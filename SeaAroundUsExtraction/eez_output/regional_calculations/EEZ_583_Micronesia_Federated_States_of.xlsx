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cf19d68c3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72240e2d0d04bf3"/>
    <x:sheet xmlns:r="http://schemas.openxmlformats.org/officeDocument/2006/relationships" name="Commercial" sheetId="2" r:id="Rdbb58dc245194652"/>
    <x:sheet xmlns:r="http://schemas.openxmlformats.org/officeDocument/2006/relationships" name="Functional" sheetId="3" r:id="R03912f866067433a"/>
    <x:sheet xmlns:r="http://schemas.openxmlformats.org/officeDocument/2006/relationships" name="Missing TL" sheetId="4" r:id="Rcafa2b3539c94227"/>
    <x:sheet xmlns:r="http://schemas.openxmlformats.org/officeDocument/2006/relationships" name="Validation" sheetId="5" r:id="Rf9eb1531e9a442c7"/>
    <x:sheet xmlns:r="http://schemas.openxmlformats.org/officeDocument/2006/relationships" name="Metadata" sheetId="6" r:id="Rba2712b1b6ab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8b107f63f49f7" /><Relationship Type="http://schemas.openxmlformats.org/officeDocument/2006/relationships/theme" Target="/xl/theme/theme1.xml" Id="R9b745621d7e04cad" /><Relationship Type="http://schemas.microsoft.com/office/2022/11/relationships/FeaturePropertyBag" Target="/xl/featurePropertyBag/featurePropertyBag.xml" Id="Rdf12764ff2c44145" /><Relationship Type="http://schemas.openxmlformats.org/officeDocument/2006/relationships/sharedStrings" Target="/xl/sharedStrings.xml" Id="R676a57a35cff4daf" /><Relationship Type="http://schemas.openxmlformats.org/officeDocument/2006/relationships/worksheet" Target="/xl/worksheets/sheet1.xml" Id="R572240e2d0d04bf3" /><Relationship Type="http://schemas.openxmlformats.org/officeDocument/2006/relationships/worksheet" Target="/xl/worksheets/sheet2.xml" Id="Rdbb58dc245194652" /><Relationship Type="http://schemas.openxmlformats.org/officeDocument/2006/relationships/worksheet" Target="/xl/worksheets/sheet3.xml" Id="R03912f866067433a" /><Relationship Type="http://schemas.openxmlformats.org/officeDocument/2006/relationships/worksheet" Target="/xl/worksheets/sheet4.xml" Id="Rcafa2b3539c94227" /><Relationship Type="http://schemas.openxmlformats.org/officeDocument/2006/relationships/worksheet" Target="/xl/worksheets/sheet5.xml" Id="Rf9eb1531e9a442c7" /><Relationship Type="http://schemas.openxmlformats.org/officeDocument/2006/relationships/worksheet" Target="/xl/worksheets/sheet6.xml" Id="Rba2712b1b6ab45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83SpeciesTable" displayName="EEZ583SpeciesTable" ref="A1:U165" headerRowCount="1" totalsRowCount="0" totalsRowShown="0">
  <x:autoFilter ref="A1:U16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83CommercialTable" displayName="EEZ583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83FunctionalTable" displayName="EEZ583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83ValidationTable" displayName="EEZ58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eb71c20c0f42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051b8ce1fd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d9664babf547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13bb1d382a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EEZ_583</x:v>
      </x:c>
      <x:c r="B2" s="24" t="str">
        <x:v>Micronesia (Federated States of)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143377.7867500543</x:v>
      </x:c>
      <x:c r="J2" s="31" t="n">
        <x:v>142733.6295567632</x:v>
      </x:c>
      <x:c r="K2" s="31" t="n">
        <x:v>644.1571932910999</x:v>
      </x:c>
      <x:c r="L2" s="31" t="n">
        <x:v>142733.6295567632</x:v>
      </x:c>
      <x:c r="M2" s="31" t="n">
        <x:v>644.1571932910999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385906303.14778227</x:v>
      </x:c>
    </x:row>
    <x:row r="3" ht="18" customHeight="1">
      <x:c r="A3" s="24" t="str">
        <x:v>EEZ_583</x:v>
      </x:c>
      <x:c r="B3" s="24" t="str">
        <x:v>Micronesia (Federated States of)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50537.9964097768</x:v>
      </x:c>
      <x:c r="J3" s="31" t="n">
        <x:v>50431.270468796596</x:v>
      </x:c>
      <x:c r="K3" s="31" t="n">
        <x:v>106.7259409802</x:v>
      </x:c>
      <x:c r="L3" s="31" t="n">
        <x:v>50431.270468796596</x:v>
      </x:c>
      <x:c r="M3" s="31" t="n">
        <x:v>106.7259409802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129902652.84127831</x:v>
      </x:c>
    </x:row>
    <x:row r="4" ht="18" customHeight="1">
      <x:c r="A4" s="24" t="str">
        <x:v>EEZ_583</x:v>
      </x:c>
      <x:c r="B4" s="24" t="str">
        <x:v>Micronesia (Federated States of)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8204.3445742087</x:v>
      </x:c>
      <x:c r="J4" s="31" t="n">
        <x:v>8073.1738687693005</x:v>
      </x:c>
      <x:c r="K4" s="31" t="n">
        <x:v>131.1707054394</x:v>
      </x:c>
      <x:c r="L4" s="31" t="n">
        <x:v>8073.1738687693005</x:v>
      </x:c>
      <x:c r="M4" s="31" t="n">
        <x:v>131.1707054394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25353848.564444818</x:v>
      </x:c>
    </x:row>
    <x:row r="5" ht="18" customHeight="1">
      <x:c r="A5" s="24" t="str">
        <x:v>EEZ_583</x:v>
      </x:c>
      <x:c r="B5" s="24" t="str">
        <x:v>Micronesia (Federated States of)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5113.5450664626005</x:v>
      </x:c>
      <x:c r="J5" s="31" t="n">
        <x:v>2580.3911231831</x:v>
      </x:c>
      <x:c r="K5" s="31" t="n">
        <x:v>2533.1539432795</x:v>
      </x:c>
      <x:c r="L5" s="31" t="n">
        <x:v>2580.3911231831</x:v>
      </x:c>
      <x:c r="M5" s="31" t="n">
        <x:v>2533.1539432795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11447801.43331166</x:v>
      </x:c>
    </x:row>
    <x:row r="6" ht="18" customHeight="1">
      <x:c r="A6" s="24" t="str">
        <x:v>EEZ_583</x:v>
      </x:c>
      <x:c r="B6" s="24" t="str">
        <x:v>Micronesia (Federated States of)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4285.4344657732</x:v>
      </x:c>
      <x:c r="J6" s="31" t="n">
        <x:v>552.5877703151</x:v>
      </x:c>
      <x:c r="K6" s="31" t="n">
        <x:v>3732.8466954581</x:v>
      </x:c>
      <x:c r="L6" s="31" t="n">
        <x:v>552.5877703151</x:v>
      </x:c>
      <x:c r="M6" s="31" t="n">
        <x:v>3732.8466954581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816572.7033936643</x:v>
      </x:c>
    </x:row>
    <x:row r="7" ht="18" customHeight="1">
      <x:c r="A7" s="24" t="str">
        <x:v>EEZ_583</x:v>
      </x:c>
      <x:c r="B7" s="24" t="str">
        <x:v>Micronesia (Federated States of)</x:v>
      </x:c>
      <x:c r="C7" s="24" t="str">
        <x:v>EEZ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2273.3582629807997</x:v>
      </x:c>
      <x:c r="J7" s="31" t="n">
        <x:v>1.9142752793000002</x:v>
      </x:c>
      <x:c r="K7" s="31" t="n">
        <x:v>2271.4439877014997</x:v>
      </x:c>
      <x:c r="L7" s="31" t="n">
        <x:v>1.9142752793000002</x:v>
      </x:c>
      <x:c r="M7" s="31" t="n">
        <x:v>2271.4439877014997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2550749.924304312</x:v>
      </x:c>
    </x:row>
    <x:row r="8" ht="18" customHeight="1">
      <x:c r="A8" s="24" t="str">
        <x:v>EEZ_583</x:v>
      </x:c>
      <x:c r="B8" s="24" t="str">
        <x:v>Micronesia (Federated States of)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2085.7241517265998</x:v>
      </x:c>
      <x:c r="J8" s="31" t="n">
        <x:v>1.3358612775</x:v>
      </x:c>
      <x:c r="K8" s="31" t="n">
        <x:v>2084.3882904491</x:v>
      </x:c>
      <x:c r="L8" s="31" t="n">
        <x:v>1.3358612775</x:v>
      </x:c>
      <x:c r="M8" s="31" t="n">
        <x:v>2084.3882904491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3795394.0297204712</x:v>
      </x:c>
    </x:row>
    <x:row r="9" ht="18" customHeight="1">
      <x:c r="A9" s="24" t="str">
        <x:v>EEZ_583</x:v>
      </x:c>
      <x:c r="B9" s="24" t="str">
        <x:v>Micronesia (Federated States of)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1758.4744072377002</x:v>
      </x:c>
      <x:c r="J9" s="31" t="n">
        <x:v>0</x:v>
      </x:c>
      <x:c r="K9" s="31" t="n">
        <x:v>1758.4744072377002</x:v>
      </x:c>
      <x:c r="L9" s="31" t="n">
        <x:v>0</x:v>
      </x:c>
      <x:c r="M9" s="31" t="n">
        <x:v>1758.4744072377002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4122266.3764492376</x:v>
      </x:c>
    </x:row>
    <x:row r="10" ht="18" customHeight="1">
      <x:c r="A10" s="24" t="str">
        <x:v>EEZ_583</x:v>
      </x:c>
      <x:c r="B10" s="24" t="str">
        <x:v>Micronesia (Federated States of)</x:v>
      </x:c>
      <x:c r="C10" s="24" t="str">
        <x:v>EEZ</x:v>
      </x:c>
      <x:c r="D10" s="30" t="n">
        <x:v>2019</x:v>
      </x:c>
      <x:c r="E10" s="24" t="str">
        <x:v>Thunnus alalunga</x:v>
      </x:c>
      <x:c r="F10" s="24" t="str">
        <x:v>Albacore</x:v>
      </x:c>
      <x:c r="G10" s="24" t="str">
        <x:v>Large pelagics (&gt;=90 cm)</x:v>
      </x:c>
      <x:c r="H10" s="24" t="str">
        <x:v>Tuna &amp; billfishes</x:v>
      </x:c>
      <x:c r="I10" s="31" t="n">
        <x:v>1059.4761375026</x:v>
      </x:c>
      <x:c r="J10" s="31" t="n">
        <x:v>1054.4613162925</x:v>
      </x:c>
      <x:c r="K10" s="31" t="n">
        <x:v>5.0148212101</x:v>
      </x:c>
      <x:c r="L10" s="31" t="n">
        <x:v>1054.4613162925</x:v>
      </x:c>
      <x:c r="M10" s="31" t="n">
        <x:v>5.0148212101</x:v>
      </x:c>
      <x:c r="N10" s="24" t="str">
        <x:v>thunnus alalunga</x:v>
      </x:c>
      <x:c r="O10" s="32" t="n">
        <x:v>4.3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alalunga</x:v>
      </x:c>
      <x:c r="T10" s="32" t="n">
        <x:f>IF(O10="","",(1/'Metadata'!$B$5)^(O10-1))</x:f>
        <x:v>1995.2623149688789</x:v>
      </x:c>
      <x:c r="U10" s="31" t="n">
        <x:f>IF(T10="","",I10*T10)</x:f>
        <x:v>2113932.810767724</x:v>
      </x:c>
    </x:row>
    <x:row r="11" ht="18" customHeight="1">
      <x:c r="A11" s="24" t="str">
        <x:v>EEZ_583</x:v>
      </x:c>
      <x:c r="B11" s="24" t="str">
        <x:v>Micronesia (Federated States of)</x:v>
      </x:c>
      <x:c r="C11" s="24" t="str">
        <x:v>EEZ</x:v>
      </x:c>
      <x:c r="D11" s="30" t="n">
        <x:v>2019</x:v>
      </x:c>
      <x:c r="E11" s="24" t="str">
        <x:v>Marine pelagic fishes not identified</x:v>
      </x:c>
      <x:c r="F11" s="24" t="str">
        <x:v>Pelagic fishes</x:v>
      </x:c>
      <x:c r="G11" s="24" t="str">
        <x:v>Medium pelagics (30 - 89 cm)</x:v>
      </x:c>
      <x:c r="H11" s="24" t="str">
        <x:v>Other fishes &amp; inverts</x:v>
      </x:c>
      <x:c r="I11" s="31" t="n">
        <x:v>821.8729180979001</x:v>
      </x:c>
      <x:c r="J11" s="31" t="n">
        <x:v>792.5351379564</x:v>
      </x:c>
      <x:c r="K11" s="31" t="n">
        <x:v>29.3377801415</x:v>
      </x:c>
      <x:c r="L11" s="31" t="n">
        <x:v>792.5351379564</x:v>
      </x:c>
      <x:c r="M11" s="31" t="n">
        <x:v>29.3377801415</x:v>
      </x:c>
      <x:c r="N11" s="24" t="str">
        <x:v>marine pelagic fishes not identified</x:v>
      </x:c>
      <x:c r="O11" s="32" t="n">
        <x:v>3.35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pelagic fishes not identified</x:v>
      </x:c>
      <x:c r="T11" s="32" t="n">
        <x:f>IF(O11="","",(1/'Metadata'!$B$5)^(O11-1))</x:f>
        <x:v>223.872113856834</x:v>
      </x:c>
      <x:c r="U11" s="31" t="n">
        <x:f>IF(T11="","",I11*T11)</x:f>
        <x:v>183994.4274962615</x:v>
      </x:c>
    </x:row>
    <x:row r="12" ht="18" customHeight="1">
      <x:c r="A12" s="24" t="str">
        <x:v>EEZ_583</x:v>
      </x:c>
      <x:c r="B12" s="24" t="str">
        <x:v>Micronesia (Federated States of)</x:v>
      </x:c>
      <x:c r="C12" s="24" t="str">
        <x:v>EEZ</x:v>
      </x:c>
      <x:c r="D12" s="30" t="n">
        <x:v>2019</x:v>
      </x:c>
      <x:c r="E12" s="24" t="str">
        <x:v>Thunnus orientalis</x:v>
      </x:c>
      <x:c r="F12" s="24" t="str">
        <x:v>Pacific bluefin tuna</x:v>
      </x:c>
      <x:c r="G12" s="24" t="str">
        <x:v>Large pelagics (&gt;=90 cm)</x:v>
      </x:c>
      <x:c r="H12" s="24" t="str">
        <x:v>Tuna &amp; billfishes</x:v>
      </x:c>
      <x:c r="I12" s="31" t="n">
        <x:v>820.3376082617001</x:v>
      </x:c>
      <x:c r="J12" s="31" t="n">
        <x:v>818.8795836339001</x:v>
      </x:c>
      <x:c r="K12" s="31" t="n">
        <x:v>1.4580246278</x:v>
      </x:c>
      <x:c r="L12" s="31" t="n">
        <x:v>818.8795836339001</x:v>
      </x:c>
      <x:c r="M12" s="31" t="n">
        <x:v>1.4580246278</x:v>
      </x:c>
      <x:c r="N12" s="24" t="str">
        <x:v>thunnus orientalis</x:v>
      </x:c>
      <x:c r="O12" s="32" t="n">
        <x:v>4.05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orientalis</x:v>
      </x:c>
      <x:c r="T12" s="32" t="n">
        <x:f>IF(O12="","",(1/'Metadata'!$B$5)^(O12-1))</x:f>
        <x:v>1122.018454301963</x:v>
      </x:c>
      <x:c r="U12" s="31" t="n">
        <x:f>IF(T12="","",I12*T12)</x:f>
        <x:v>920433.935227562</x:v>
      </x:c>
    </x:row>
    <x:row r="13" ht="18" customHeight="1">
      <x:c r="A13" s="24" t="str">
        <x:v>EEZ_583</x:v>
      </x:c>
      <x:c r="B13" s="24" t="str">
        <x:v>Micronesia (Federated States of)</x:v>
      </x:c>
      <x:c r="C13" s="24" t="str">
        <x:v>EEZ</x:v>
      </x:c>
      <x:c r="D13" s="30" t="n">
        <x:v>2019</x:v>
      </x:c>
      <x:c r="E13" s="24" t="str">
        <x:v>Alopias</x:v>
      </x:c>
      <x:c r="F13" s="24" t="str">
        <x:v>Thresher sharks</x:v>
      </x:c>
      <x:c r="G13" s="24" t="str">
        <x:v>Large sharks (&gt;=90 cm)</x:v>
      </x:c>
      <x:c r="H13" s="24" t="str">
        <x:v>Sharks &amp; rays</x:v>
      </x:c>
      <x:c r="I13" s="31" t="n">
        <x:v>760.2525736244</x:v>
      </x:c>
      <x:c r="J13" s="31" t="n">
        <x:v>738.4720897799001</x:v>
      </x:c>
      <x:c r="K13" s="31" t="n">
        <x:v>21.7804838445</x:v>
      </x:c>
      <x:c r="L13" s="31" t="n">
        <x:v>738.4720897799001</x:v>
      </x:c>
      <x:c r="M13" s="31" t="n">
        <x:v>21.7804838445</x:v>
      </x:c>
      <x:c r="N13" s="24" t="str">
        <x:v>alopias</x:v>
      </x:c>
      <x:c r="O13" s="32" t="n">
        <x:v>4.5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Alopias</x:v>
      </x:c>
      <x:c r="T13" s="32" t="n">
        <x:f>IF(O13="","",(1/'Metadata'!$B$5)^(O13-1))</x:f>
        <x:v>3162.2776601683795</x:v>
      </x:c>
      <x:c r="U13" s="31" t="n">
        <x:f>IF(T13="","",I13*T13)</x:f>
        <x:v>2404129.7296579564</x:v>
      </x:c>
    </x:row>
    <x:row r="14" ht="18" customHeight="1">
      <x:c r="A14" s="24" t="str">
        <x:v>EEZ_583</x:v>
      </x:c>
      <x:c r="B14" s="24" t="str">
        <x:v>Micronesia (Federated States of)</x:v>
      </x:c>
      <x:c r="C14" s="24" t="str">
        <x:v>EEZ</x:v>
      </x:c>
      <x:c r="D14" s="30" t="n">
        <x:v>2019</x:v>
      </x:c>
      <x:c r="E14" s="24" t="str">
        <x:v>Carangidae</x:v>
      </x:c>
      <x:c r="F14" s="24" t="str">
        <x:v>Jacks, pompanos</x:v>
      </x:c>
      <x:c r="G14" s="24" t="str">
        <x:v>Medium pelagics (30 - 89 cm)</x:v>
      </x:c>
      <x:c r="H14" s="24" t="str">
        <x:v>Perch-likes</x:v>
      </x:c>
      <x:c r="I14" s="31" t="n">
        <x:v>724.8606028062</x:v>
      </x:c>
      <x:c r="J14" s="31" t="n">
        <x:v>0</x:v>
      </x:c>
      <x:c r="K14" s="31" t="n">
        <x:v>724.8606028062</x:v>
      </x:c>
      <x:c r="L14" s="31" t="n">
        <x:v>0</x:v>
      </x:c>
      <x:c r="M14" s="31" t="n">
        <x:v>724.8606028062</x:v>
      </x:c>
      <x:c r="N14" s="24" t="str">
        <x:v>carangidae</x:v>
      </x:c>
      <x:c r="O14" s="32" t="n">
        <x:v>4.05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Carangidae</x:v>
      </x:c>
      <x:c r="T14" s="32" t="n">
        <x:f>IF(O14="","",(1/'Metadata'!$B$5)^(O14-1))</x:f>
        <x:v>1122.018454301963</x:v>
      </x:c>
      <x:c r="U14" s="31" t="n">
        <x:f>IF(T14="","",I14*T14)</x:f>
        <x:v>813306.9731450016</x:v>
      </x:c>
    </x:row>
    <x:row r="15" ht="18" customHeight="1">
      <x:c r="A15" s="24" t="str">
        <x:v>EEZ_583</x:v>
      </x:c>
      <x:c r="B15" s="24" t="str">
        <x:v>Micronesia (Federated States of)</x:v>
      </x:c>
      <x:c r="C15" s="24" t="str">
        <x:v>EEZ</x:v>
      </x:c>
      <x:c r="D15" s="30" t="n">
        <x:v>2019</x:v>
      </x:c>
      <x:c r="E15" s="24" t="str">
        <x:v>Scarus</x:v>
      </x:c>
      <x:c r="F15" s="24" t="str">
        <x:v>Parrots</x:v>
      </x:c>
      <x:c r="G15" s="24" t="str">
        <x:v>Medium reef assoc. fish (30 - 89 cm)</x:v>
      </x:c>
      <x:c r="H15" s="24" t="str">
        <x:v>Perch-likes</x:v>
      </x:c>
      <x:c r="I15" s="31" t="n">
        <x:v>591.9551751070001</x:v>
      </x:c>
      <x:c r="J15" s="31" t="n">
        <x:v>591.9551751070001</x:v>
      </x:c>
      <x:c r="K15" s="31" t="n">
        <x:v>0</x:v>
      </x:c>
      <x:c r="L15" s="31" t="n">
        <x:v>591.9551751070001</x:v>
      </x:c>
      <x:c r="M15" s="31" t="n">
        <x:v>0</x:v>
      </x:c>
      <x:c r="N15" s="24" t="str">
        <x:v>scarus</x:v>
      </x:c>
      <x:c r="O15" s="32" t="n">
        <x:v>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Scarus</x:v>
      </x:c>
      <x:c r="T15" s="32" t="n">
        <x:f>IF(O15="","",(1/'Metadata'!$B$5)^(O15-1))</x:f>
        <x:v>10</x:v>
      </x:c>
      <x:c r="U15" s="31" t="n">
        <x:f>IF(T15="","",I15*T15)</x:f>
        <x:v>5919.551751070001</x:v>
      </x:c>
    </x:row>
    <x:row r="16" ht="18" customHeight="1">
      <x:c r="A16" s="24" t="str">
        <x:v>EEZ_583</x:v>
      </x:c>
      <x:c r="B16" s="24" t="str">
        <x:v>Micronesia (Federated States of)</x:v>
      </x:c>
      <x:c r="C16" s="24" t="str">
        <x:v>EEZ</x:v>
      </x:c>
      <x:c r="D16" s="30" t="n">
        <x:v>2019</x:v>
      </x:c>
      <x:c r="E16" s="24" t="str">
        <x:v>Scaridae</x:v>
      </x:c>
      <x:c r="F16" s="24" t="str">
        <x:v>Parrotfishes</x:v>
      </x:c>
      <x:c r="G16" s="24" t="str">
        <x:v>Medium reef assoc. fish (30 - 89 cm)</x:v>
      </x:c>
      <x:c r="H16" s="24" t="str">
        <x:v>Perch-likes</x:v>
      </x:c>
      <x:c r="I16" s="31" t="n">
        <x:v>491.567221693</x:v>
      </x:c>
      <x:c r="J16" s="31" t="n">
        <x:v>491.567221693</x:v>
      </x:c>
      <x:c r="K16" s="31" t="n">
        <x:v>0</x:v>
      </x:c>
      <x:c r="L16" s="31" t="n">
        <x:v>491.567221693</x:v>
      </x:c>
      <x:c r="M16" s="31" t="n">
        <x:v>0</x:v>
      </x:c>
      <x:c r="N16" s="24" t="str">
        <x:v>scaridae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Scaridae</x:v>
      </x:c>
      <x:c r="T16" s="32" t="n">
        <x:f>IF(O16="","",(1/'Metadata'!$B$5)^(O16-1))</x:f>
        <x:v>10</x:v>
      </x:c>
      <x:c r="U16" s="31" t="n">
        <x:f>IF(T16="","",I16*T16)</x:f>
        <x:v>4915.67221693</x:v>
      </x:c>
    </x:row>
    <x:row r="17" ht="18" customHeight="1">
      <x:c r="A17" s="24" t="str">
        <x:v>EEZ_583</x:v>
      </x:c>
      <x:c r="B17" s="24" t="str">
        <x:v>Micronesia (Federated States of)</x:v>
      </x:c>
      <x:c r="C17" s="24" t="str">
        <x:v>EEZ</x:v>
      </x:c>
      <x:c r="D17" s="30" t="n">
        <x:v>2019</x:v>
      </x:c>
      <x:c r="E17" s="24" t="str">
        <x:v>Carcharhinus falciformis</x:v>
      </x:c>
      <x:c r="F17" s="24" t="str">
        <x:v>Silky shark</x:v>
      </x:c>
      <x:c r="G17" s="24" t="str">
        <x:v>Large sharks (&gt;=90 cm)</x:v>
      </x:c>
      <x:c r="H17" s="24" t="str">
        <x:v>Sharks &amp; rays</x:v>
      </x:c>
      <x:c r="I17" s="31" t="n">
        <x:v>422.76660879919996</x:v>
      </x:c>
      <x:c r="J17" s="31" t="n">
        <x:v>119.8868621706</x:v>
      </x:c>
      <x:c r="K17" s="31" t="n">
        <x:v>302.8797466286</x:v>
      </x:c>
      <x:c r="L17" s="31" t="n">
        <x:v>119.8868621706</x:v>
      </x:c>
      <x:c r="M17" s="31" t="n">
        <x:v>302.8797466286</x:v>
      </x:c>
      <x:c r="N17" s="24" t="str">
        <x:v>carcharhinus falciformis</x:v>
      </x:c>
      <x:c r="O17" s="32" t="n">
        <x:v>4.51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Carcharhinus falciformis</x:v>
      </x:c>
      <x:c r="T17" s="32" t="n">
        <x:f>IF(O17="","",(1/'Metadata'!$B$5)^(O17-1))</x:f>
        <x:v>3235.936569296281</x:v>
      </x:c>
      <x:c r="U17" s="31" t="n">
        <x:f>IF(T17="","",I17*T17)</x:f>
        <x:v>1368045.929690706</x:v>
      </x:c>
    </x:row>
    <x:row r="18" ht="18" customHeight="1">
      <x:c r="A18" s="24" t="str">
        <x:v>EEZ_583</x:v>
      </x:c>
      <x:c r="B18" s="24" t="str">
        <x:v>Micronesia (Federated States of)</x:v>
      </x:c>
      <x:c r="C18" s="24" t="str">
        <x:v>EEZ</x:v>
      </x:c>
      <x:c r="D18" s="30" t="n">
        <x:v>2019</x:v>
      </x:c>
      <x:c r="E18" s="24" t="str">
        <x:v>Istiophoridae</x:v>
      </x:c>
      <x:c r="F18" s="24" t="str">
        <x:v>Billfishes</x:v>
      </x:c>
      <x:c r="G18" s="24" t="str">
        <x:v>Large pelagics (&gt;=90 cm)</x:v>
      </x:c>
      <x:c r="H18" s="24" t="str">
        <x:v>Tuna &amp; billfishes</x:v>
      </x:c>
      <x:c r="I18" s="31" t="n">
        <x:v>415.17636839109997</x:v>
      </x:c>
      <x:c r="J18" s="31" t="n">
        <x:v>0</x:v>
      </x:c>
      <x:c r="K18" s="31" t="n">
        <x:v>415.17636839109997</x:v>
      </x:c>
      <x:c r="L18" s="31" t="n">
        <x:v>0</x:v>
      </x:c>
      <x:c r="M18" s="31" t="n">
        <x:v>415.17636839109997</x:v>
      </x:c>
      <x:c r="N18" s="24" t="str">
        <x:v>istiophoridae</x:v>
      </x:c>
      <x:c r="O18" s="32" t="n">
        <x:v>4.48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Istiophoridae</x:v>
      </x:c>
      <x:c r="T18" s="32" t="n">
        <x:f>IF(O18="","",(1/'Metadata'!$B$5)^(O18-1))</x:f>
        <x:v>3019.951720402019</x:v>
      </x:c>
      <x:c r="U18" s="31" t="n">
        <x:f>IF(T18="","",I18*T18)</x:f>
        <x:v>1253812.5879929648</x:v>
      </x:c>
    </x:row>
    <x:row r="19" ht="18" customHeight="1">
      <x:c r="A19" s="24" t="str">
        <x:v>EEZ_583</x:v>
      </x:c>
      <x:c r="B19" s="24" t="str">
        <x:v>Micronesia (Federated States of)</x:v>
      </x:c>
      <x:c r="C19" s="24" t="str">
        <x:v>EEZ</x:v>
      </x:c>
      <x:c r="D19" s="30" t="n">
        <x:v>2019</x:v>
      </x:c>
      <x:c r="E19" s="24" t="str">
        <x:v>Xiphias gladius</x:v>
      </x:c>
      <x:c r="F19" s="24" t="str">
        <x:v>Swordfish</x:v>
      </x:c>
      <x:c r="G19" s="24" t="str">
        <x:v>Large pelagics (&gt;=90 cm)</x:v>
      </x:c>
      <x:c r="H19" s="24" t="str">
        <x:v>Tuna &amp; billfishes</x:v>
      </x:c>
      <x:c r="I19" s="31" t="n">
        <x:v>399.0727037415</x:v>
      </x:c>
      <x:c r="J19" s="31" t="n">
        <x:v>103.1029190892</x:v>
      </x:c>
      <x:c r="K19" s="31" t="n">
        <x:v>295.9697846523</x:v>
      </x:c>
      <x:c r="L19" s="31" t="n">
        <x:v>103.1029190892</x:v>
      </x:c>
      <x:c r="M19" s="31" t="n">
        <x:v>295.9697846523</x:v>
      </x:c>
      <x:c r="N19" s="24" t="str">
        <x:v>xiphias gladius</x:v>
      </x:c>
      <x:c r="O19" s="32" t="n">
        <x:v>4.53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Xiphias gladius</x:v>
      </x:c>
      <x:c r="T19" s="32" t="n">
        <x:f>IF(O19="","",(1/'Metadata'!$B$5)^(O19-1))</x:f>
        <x:v>3388.4415613920273</x:v>
      </x:c>
      <x:c r="U19" s="31" t="n">
        <x:f>IF(T19="","",I19*T19)</x:f>
        <x:v>1352234.5353747862</x:v>
      </x:c>
    </x:row>
    <x:row r="20" ht="18" customHeight="1">
      <x:c r="A20" s="24" t="str">
        <x:v>EEZ_583</x:v>
      </x:c>
      <x:c r="B20" s="24" t="str">
        <x:v>Micronesia (Federated States of)</x:v>
      </x:c>
      <x:c r="C20" s="24" t="str">
        <x:v>EEZ</x:v>
      </x:c>
      <x:c r="D20" s="30" t="n">
        <x:v>2019</x:v>
      </x:c>
      <x:c r="E20" s="24" t="str">
        <x:v>Acanthurus lineatus</x:v>
      </x:c>
      <x:c r="F20" s="24" t="str">
        <x:v>Lined surgeonfish</x:v>
      </x:c>
      <x:c r="G20" s="24" t="str">
        <x:v>Small reef assoc. fish (&lt;30 cm)</x:v>
      </x:c>
      <x:c r="H20" s="24" t="str">
        <x:v>Perch-likes</x:v>
      </x:c>
      <x:c r="I20" s="31" t="n">
        <x:v>339.2287878</x:v>
      </x:c>
      <x:c r="J20" s="31" t="n">
        <x:v>339.2287878</x:v>
      </x:c>
      <x:c r="K20" s="31" t="n">
        <x:v>0</x:v>
      </x:c>
      <x:c r="L20" s="31" t="n">
        <x:v>339.2287878</x:v>
      </x:c>
      <x:c r="M20" s="31" t="n">
        <x:v>0</x:v>
      </x:c>
      <x:c r="N20" s="24" t="str">
        <x:v>acanthurus lineatus</x:v>
      </x:c>
      <x:c r="O20" s="32" t="n">
        <x:v>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Acanthurus lineatus</x:v>
      </x:c>
      <x:c r="T20" s="32" t="n">
        <x:f>IF(O20="","",(1/'Metadata'!$B$5)^(O20-1))</x:f>
        <x:v>10</x:v>
      </x:c>
      <x:c r="U20" s="31" t="n">
        <x:f>IF(T20="","",I20*T20)</x:f>
        <x:v>3392.287878</x:v>
      </x:c>
    </x:row>
    <x:row r="21" ht="18" customHeight="1">
      <x:c r="A21" s="24" t="str">
        <x:v>EEZ_583</x:v>
      </x:c>
      <x:c r="B21" s="24" t="str">
        <x:v>Micronesia (Federated States of)</x:v>
      </x:c>
      <x:c r="C21" s="24" t="str">
        <x:v>EEZ</x:v>
      </x:c>
      <x:c r="D21" s="30" t="n">
        <x:v>2019</x:v>
      </x:c>
      <x:c r="E21" s="24" t="str">
        <x:v>Isurus</x:v>
      </x:c>
      <x:c r="F21" s="24" t="str">
        <x:v>Mako sharks</x:v>
      </x:c>
      <x:c r="G21" s="24" t="str">
        <x:v>Large sharks (&gt;=90 cm)</x:v>
      </x:c>
      <x:c r="H21" s="24" t="str">
        <x:v>Sharks &amp; rays</x:v>
      </x:c>
      <x:c r="I21" s="31" t="n">
        <x:v>332.218949426</x:v>
      </x:c>
      <x:c r="J21" s="31" t="n">
        <x:v>98.80567295440001</x:v>
      </x:c>
      <x:c r="K21" s="31" t="n">
        <x:v>233.4132764716</x:v>
      </x:c>
      <x:c r="L21" s="31" t="n">
        <x:v>98.80567295440001</x:v>
      </x:c>
      <x:c r="M21" s="31" t="n">
        <x:v>233.4132764716</x:v>
      </x:c>
      <x:c r="N21" s="24" t="str">
        <x:v>isurus</x:v>
      </x:c>
      <x:c r="O21" s="32" t="n">
        <x:v>4.5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Isurus</x:v>
      </x:c>
      <x:c r="T21" s="32" t="n">
        <x:f>IF(O21="","",(1/'Metadata'!$B$5)^(O21-1))</x:f>
        <x:v>3162.2776601683795</x:v>
      </x:c>
      <x:c r="U21" s="31" t="n">
        <x:f>IF(T21="","",I21*T21)</x:f>
        <x:v>1050568.5620544485</x:v>
      </x:c>
    </x:row>
    <x:row r="22" ht="18" customHeight="1">
      <x:c r="A22" s="24" t="str">
        <x:v>EEZ_583</x:v>
      </x:c>
      <x:c r="B22" s="24" t="str">
        <x:v>Micronesia (Federated States of)</x:v>
      </x:c>
      <x:c r="C22" s="24" t="str">
        <x:v>EEZ</x:v>
      </x:c>
      <x:c r="D22" s="30" t="n">
        <x:v>2019</x:v>
      </x:c>
      <x:c r="E22" s="24" t="str">
        <x:v>Chlorurus microrhinos</x:v>
      </x:c>
      <x:c r="F22" s="24" t="str">
        <x:v>Steephead parrotfish</x:v>
      </x:c>
      <x:c r="G22" s="24" t="str">
        <x:v>Medium reef assoc. fish (30 - 89 cm)</x:v>
      </x:c>
      <x:c r="H22" s="24" t="str">
        <x:v>Perch-likes</x:v>
      </x:c>
      <x:c r="I22" s="31" t="n">
        <x:v>157.158007088</x:v>
      </x:c>
      <x:c r="J22" s="31" t="n">
        <x:v>157.158007088</x:v>
      </x:c>
      <x:c r="K22" s="31" t="n">
        <x:v>0</x:v>
      </x:c>
      <x:c r="L22" s="31" t="n">
        <x:v>157.158007088</x:v>
      </x:c>
      <x:c r="M22" s="31" t="n">
        <x:v>0</x:v>
      </x:c>
      <x:c r="N22" s="24" t="str">
        <x:v>chlorurus microrhinos</x:v>
      </x:c>
      <x:c r="O22" s="32" t="n">
        <x:v>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Chlorurus microrhinos</x:v>
      </x:c>
      <x:c r="T22" s="32" t="n">
        <x:f>IF(O22="","",(1/'Metadata'!$B$5)^(O22-1))</x:f>
        <x:v>10</x:v>
      </x:c>
      <x:c r="U22" s="31" t="n">
        <x:f>IF(T22="","",I22*T22)</x:f>
        <x:v>1571.58007088</x:v>
      </x:c>
    </x:row>
    <x:row r="23" ht="18" customHeight="1">
      <x:c r="A23" s="24" t="str">
        <x:v>EEZ_583</x:v>
      </x:c>
      <x:c r="B23" s="24" t="str">
        <x:v>Micronesia (Federated States of)</x:v>
      </x:c>
      <x:c r="C23" s="24" t="str">
        <x:v>EEZ</x:v>
      </x:c>
      <x:c r="D23" s="30" t="n">
        <x:v>2019</x:v>
      </x:c>
      <x:c r="E23" s="24" t="str">
        <x:v>Trochus</x:v>
      </x:c>
      <x:c r="F23" s="24" t="str">
        <x:v>Trochus</x:v>
      </x:c>
      <x:c r="G23" s="24" t="str">
        <x:v>Other demersal invertebrates</x:v>
      </x:c>
      <x:c r="H23" s="24" t="str">
        <x:v>Molluscs</x:v>
      </x:c>
      <x:c r="I23" s="31" t="n">
        <x:v>150.000000003</x:v>
      </x:c>
      <x:c r="J23" s="31" t="n">
        <x:v>150.000000003</x:v>
      </x:c>
      <x:c r="K23" s="31" t="n">
        <x:v>0</x:v>
      </x:c>
      <x:c r="L23" s="31" t="n">
        <x:v>150.000000003</x:v>
      </x:c>
      <x:c r="M23" s="31" t="n">
        <x:v>0</x:v>
      </x:c>
      <x:c r="N23" s="24" t="str">
        <x:v>trochus</x:v>
      </x:c>
      <x:c r="O23" s="32" t="n">
        <x:v>2.1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Trochus</x:v>
      </x:c>
      <x:c r="T23" s="32" t="n">
        <x:f>IF(O23="","",(1/'Metadata'!$B$5)^(O23-1))</x:f>
        <x:v>12.589254117941675</x:v>
      </x:c>
      <x:c r="U23" s="31" t="n">
        <x:f>IF(T23="","",I23*T23)</x:f>
        <x:v>1888.3881177290189</x:v>
      </x:c>
    </x:row>
    <x:row r="24" ht="18" customHeight="1">
      <x:c r="A24" s="24" t="str">
        <x:v>EEZ_583</x:v>
      </x:c>
      <x:c r="B24" s="24" t="str">
        <x:v>Micronesia (Federated States of)</x:v>
      </x:c>
      <x:c r="C24" s="24" t="str">
        <x:v>EEZ</x:v>
      </x:c>
      <x:c r="D24" s="30" t="n">
        <x:v>2019</x:v>
      </x:c>
      <x:c r="E24" s="24" t="str">
        <x:v>Naso lituratus</x:v>
      </x:c>
      <x:c r="F24" s="24" t="str">
        <x:v>Orangespine unicornfish</x:v>
      </x:c>
      <x:c r="G24" s="24" t="str">
        <x:v>Medium reef assoc. fish (30 - 89 cm)</x:v>
      </x:c>
      <x:c r="H24" s="24" t="str">
        <x:v>Perch-likes</x:v>
      </x:c>
      <x:c r="I24" s="31" t="n">
        <x:v>131.370144048</x:v>
      </x:c>
      <x:c r="J24" s="31" t="n">
        <x:v>131.370144048</x:v>
      </x:c>
      <x:c r="K24" s="31" t="n">
        <x:v>0</x:v>
      </x:c>
      <x:c r="L24" s="31" t="n">
        <x:v>131.370144048</x:v>
      </x:c>
      <x:c r="M24" s="31" t="n">
        <x:v>0</x:v>
      </x:c>
      <x:c r="N24" s="24" t="str">
        <x:v>naso lituratus</x:v>
      </x:c>
      <x:c r="O24" s="32" t="n">
        <x:v>2.32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Naso lituratus</x:v>
      </x:c>
      <x:c r="T24" s="32" t="n">
        <x:f>IF(O24="","",(1/'Metadata'!$B$5)^(O24-1))</x:f>
        <x:v>20.892961308540386</x:v>
      </x:c>
      <x:c r="U24" s="31" t="n">
        <x:f>IF(T24="","",I24*T24)</x:f>
        <x:v>2744.711336692241</x:v>
      </x:c>
    </x:row>
    <x:row r="25" ht="18" customHeight="1">
      <x:c r="A25" s="24" t="str">
        <x:v>EEZ_583</x:v>
      </x:c>
      <x:c r="B25" s="24" t="str">
        <x:v>Micronesia (Federated States of)</x:v>
      </x:c>
      <x:c r="C25" s="24" t="str">
        <x:v>EEZ</x:v>
      </x:c>
      <x:c r="D25" s="30" t="n">
        <x:v>2019</x:v>
      </x:c>
      <x:c r="E25" s="24" t="str">
        <x:v>Carcharhinus longimanus</x:v>
      </x:c>
      <x:c r="F25" s="24" t="str">
        <x:v>Oceanic whitetip shark</x:v>
      </x:c>
      <x:c r="G25" s="24" t="str">
        <x:v>Large sharks (&gt;=90 cm)</x:v>
      </x:c>
      <x:c r="H25" s="24" t="str">
        <x:v>Sharks &amp; rays</x:v>
      </x:c>
      <x:c r="I25" s="31" t="n">
        <x:v>105.8890431826</x:v>
      </x:c>
      <x:c r="J25" s="31" t="n">
        <x:v>13.868352331</x:v>
      </x:c>
      <x:c r="K25" s="31" t="n">
        <x:v>92.0206908516</x:v>
      </x:c>
      <x:c r="L25" s="31" t="n">
        <x:v>13.868352331</x:v>
      </x:c>
      <x:c r="M25" s="31" t="n">
        <x:v>92.0206908516</x:v>
      </x:c>
      <x:c r="N25" s="24" t="str">
        <x:v>carcharhinus longimanus</x:v>
      </x:c>
      <x:c r="O25" s="32" t="n">
        <x:v>4.16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Carcharhinus longimanus</x:v>
      </x:c>
      <x:c r="T25" s="32" t="n">
        <x:f>IF(O25="","",(1/'Metadata'!$B$5)^(O25-1))</x:f>
        <x:v>1445.439770745928</x:v>
      </x:c>
      <x:c r="U25" s="31" t="n">
        <x:f>IF(T25="","",I25*T25)</x:f>
        <x:v>153056.234302363</x:v>
      </x:c>
    </x:row>
    <x:row r="26" ht="18" customHeight="1">
      <x:c r="A26" s="24" t="str">
        <x:v>EEZ_583</x:v>
      </x:c>
      <x:c r="B26" s="24" t="str">
        <x:v>Micronesia (Federated States of)</x:v>
      </x:c>
      <x:c r="C26" s="24" t="str">
        <x:v>EEZ</x:v>
      </x:c>
      <x:c r="D26" s="30" t="n">
        <x:v>2019</x:v>
      </x:c>
      <x:c r="E26" s="24" t="str">
        <x:v>Ctenochaetus striatus</x:v>
      </x:c>
      <x:c r="F26" s="24" t="str">
        <x:v>Striated surgeonfish</x:v>
      </x:c>
      <x:c r="G26" s="24" t="str">
        <x:v>Small reef assoc. fish (&lt;30 cm)</x:v>
      </x:c>
      <x:c r="H26" s="24" t="str">
        <x:v>Perch-likes</x:v>
      </x:c>
      <x:c r="I26" s="31" t="n">
        <x:v>105.434776872</x:v>
      </x:c>
      <x:c r="J26" s="31" t="n">
        <x:v>105.434776872</x:v>
      </x:c>
      <x:c r="K26" s="31" t="n">
        <x:v>0</x:v>
      </x:c>
      <x:c r="L26" s="31" t="n">
        <x:v>105.434776872</x:v>
      </x:c>
      <x:c r="M26" s="31" t="n">
        <x:v>0</x:v>
      </x:c>
      <x:c r="N26" s="24" t="str">
        <x:v>ctenochaetus striatus</x:v>
      </x:c>
      <x:c r="O26" s="32" t="n">
        <x:v>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Ctenochaetus striatus</x:v>
      </x:c>
      <x:c r="T26" s="32" t="n">
        <x:f>IF(O26="","",(1/'Metadata'!$B$5)^(O26-1))</x:f>
        <x:v>10</x:v>
      </x:c>
      <x:c r="U26" s="31" t="n">
        <x:f>IF(T26="","",I26*T26)</x:f>
        <x:v>1054.34776872</x:v>
      </x:c>
    </x:row>
    <x:row r="27" ht="18" customHeight="1">
      <x:c r="A27" s="24" t="str">
        <x:v>EEZ_583</x:v>
      </x:c>
      <x:c r="B27" s="24" t="str">
        <x:v>Micronesia (Federated States of)</x:v>
      </x:c>
      <x:c r="C27" s="24" t="str">
        <x:v>EEZ</x:v>
      </x:c>
      <x:c r="D27" s="30" t="n">
        <x:v>2019</x:v>
      </x:c>
      <x:c r="E27" s="24" t="str">
        <x:v>Istiompax indica</x:v>
      </x:c>
      <x:c r="F27" s="24" t="str">
        <x:v>Black marlin</x:v>
      </x:c>
      <x:c r="G27" s="24" t="str">
        <x:v>Large pelagics (&gt;=90 cm)</x:v>
      </x:c>
      <x:c r="H27" s="24" t="str">
        <x:v>Tuna &amp; billfishes</x:v>
      </x:c>
      <x:c r="I27" s="31" t="n">
        <x:v>105.2978711101</x:v>
      </x:c>
      <x:c r="J27" s="31" t="n">
        <x:v>105.2978711101</x:v>
      </x:c>
      <x:c r="K27" s="31" t="n">
        <x:v>0</x:v>
      </x:c>
      <x:c r="L27" s="31" t="n">
        <x:v>105.2978711101</x:v>
      </x:c>
      <x:c r="M27" s="31" t="n">
        <x:v>0</x:v>
      </x:c>
      <x:c r="N27" s="24" t="str">
        <x:v>istiompax indica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Istiompax indica</x:v>
      </x:c>
      <x:c r="T27" s="32" t="n">
        <x:f>IF(O27="","",(1/'Metadata'!$B$5)^(O27-1))</x:f>
        <x:v>3162.2776601683795</x:v>
      </x:c>
      <x:c r="U27" s="31" t="n">
        <x:f>IF(T27="","",I27*T27)</x:f>
        <x:v>332981.10547475866</x:v>
      </x:c>
    </x:row>
    <x:row r="28" ht="18" customHeight="1">
      <x:c r="A28" s="24" t="str">
        <x:v>EEZ_583</x:v>
      </x:c>
      <x:c r="B28" s="24" t="str">
        <x:v>Micronesia (Federated States of)</x:v>
      </x:c>
      <x:c r="C28" s="24" t="str">
        <x:v>EEZ</x:v>
      </x:c>
      <x:c r="D28" s="30" t="n">
        <x:v>2019</x:v>
      </x:c>
      <x:c r="E28" s="24" t="str">
        <x:v>Plectropomus areolatus</x:v>
      </x:c>
      <x:c r="F28" s="24" t="str">
        <x:v>Squaretail coralgrouper</x:v>
      </x:c>
      <x:c r="G28" s="24" t="str">
        <x:v>Medium reef assoc. fish (30 - 89 cm)</x:v>
      </x:c>
      <x:c r="H28" s="24" t="str">
        <x:v>Perch-likes</x:v>
      </x:c>
      <x:c r="I28" s="31" t="n">
        <x:v>89.477932941</x:v>
      </x:c>
      <x:c r="J28" s="31" t="n">
        <x:v>89.477932941</x:v>
      </x:c>
      <x:c r="K28" s="31" t="n">
        <x:v>0</x:v>
      </x:c>
      <x:c r="L28" s="31" t="n">
        <x:v>89.477932941</x:v>
      </x:c>
      <x:c r="M28" s="31" t="n">
        <x:v>0</x:v>
      </x:c>
      <x:c r="N28" s="24" t="str">
        <x:v>plectropomus areolatus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Plectropomus areolatus</x:v>
      </x:c>
      <x:c r="T28" s="32" t="n">
        <x:f>IF(O28="","",(1/'Metadata'!$B$5)^(O28-1))</x:f>
        <x:v>3162.2776601683795</x:v>
      </x:c>
      <x:c r="U28" s="31" t="n">
        <x:f>IF(T28="","",I28*T28)</x:f>
        <x:v>282954.0684173687</x:v>
      </x:c>
    </x:row>
    <x:row r="29" ht="18" customHeight="1">
      <x:c r="A29" s="24" t="str">
        <x:v>EEZ_583</x:v>
      </x:c>
      <x:c r="B29" s="24" t="str">
        <x:v>Micronesia (Federated States of)</x:v>
      </x:c>
      <x:c r="C29" s="24" t="str">
        <x:v>EEZ</x:v>
      </x:c>
      <x:c r="D29" s="30" t="n">
        <x:v>2019</x:v>
      </x:c>
      <x:c r="E29" s="24" t="str">
        <x:v>Hipposcarus longiceps</x:v>
      </x:c>
      <x:c r="F29" s="24" t="str">
        <x:v>Pacific longnose parrotfish</x:v>
      </x:c>
      <x:c r="G29" s="24" t="str">
        <x:v>Medium reef assoc. fish (30 - 89 cm)</x:v>
      </x:c>
      <x:c r="H29" s="24" t="str">
        <x:v>Perch-likes</x:v>
      </x:c>
      <x:c r="I29" s="31" t="n">
        <x:v>87.26643996499999</x:v>
      </x:c>
      <x:c r="J29" s="31" t="n">
        <x:v>87.26643996499999</x:v>
      </x:c>
      <x:c r="K29" s="31" t="n">
        <x:v>0</x:v>
      </x:c>
      <x:c r="L29" s="31" t="n">
        <x:v>87.26643996499999</x:v>
      </x:c>
      <x:c r="M29" s="31" t="n">
        <x:v>0</x:v>
      </x:c>
      <x:c r="N29" s="24" t="str">
        <x:v>hipposcarus longiceps</x:v>
      </x:c>
      <x:c r="O29" s="32" t="n">
        <x:v>2.01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Hipposcarus longiceps</x:v>
      </x:c>
      <x:c r="T29" s="32" t="n">
        <x:f>IF(O29="","",(1/'Metadata'!$B$5)^(O29-1))</x:f>
        <x:v>10.232929922807536</x:v>
      </x:c>
      <x:c r="U29" s="31" t="n">
        <x:f>IF(T29="","",I29*T29)</x:f>
        <x:v>892.9913647747358</x:v>
      </x:c>
    </x:row>
    <x:row r="30" ht="18" customHeight="1">
      <x:c r="A30" s="24" t="str">
        <x:v>EEZ_583</x:v>
      </x:c>
      <x:c r="B30" s="24" t="str">
        <x:v>Micronesia (Federated States of)</x:v>
      </x:c>
      <x:c r="C30" s="24" t="str">
        <x:v>EEZ</x:v>
      </x:c>
      <x:c r="D30" s="30" t="n">
        <x:v>2019</x:v>
      </x:c>
      <x:c r="E30" s="24" t="str">
        <x:v>Parupeneus barberinus</x:v>
      </x:c>
      <x:c r="F30" s="24" t="str">
        <x:v>Dash-and-dot goatfish</x:v>
      </x:c>
      <x:c r="G30" s="24" t="str">
        <x:v>Medium reef assoc. fish (30 - 89 cm)</x:v>
      </x:c>
      <x:c r="H30" s="24" t="str">
        <x:v>Perch-likes</x:v>
      </x:c>
      <x:c r="I30" s="31" t="n">
        <x:v>82.87463626200001</x:v>
      </x:c>
      <x:c r="J30" s="31" t="n">
        <x:v>82.87463626200001</x:v>
      </x:c>
      <x:c r="K30" s="31" t="n">
        <x:v>0</x:v>
      </x:c>
      <x:c r="L30" s="31" t="n">
        <x:v>82.87463626200001</x:v>
      </x:c>
      <x:c r="M30" s="31" t="n">
        <x:v>0</x:v>
      </x:c>
      <x:c r="N30" s="24" t="str">
        <x:v>parupeneus barberinus</x:v>
      </x:c>
      <x:c r="O30" s="32" t="n">
        <x:v>3.22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Parupeneus barberinus</x:v>
      </x:c>
      <x:c r="T30" s="32" t="n">
        <x:f>IF(O30="","",(1/'Metadata'!$B$5)^(O30-1))</x:f>
        <x:v>165.95869074375614</x:v>
      </x:c>
      <x:c r="U30" s="31" t="n">
        <x:f>IF(T30="","",I30*T30)</x:f>
        <x:v>13753.766129906538</x:v>
      </x:c>
    </x:row>
    <x:row r="31" ht="18" customHeight="1">
      <x:c r="A31" s="24" t="str">
        <x:v>EEZ_583</x:v>
      </x:c>
      <x:c r="B31" s="24" t="str">
        <x:v>Micronesia (Federated States of)</x:v>
      </x:c>
      <x:c r="C31" s="24" t="str">
        <x:v>EEZ</x:v>
      </x:c>
      <x:c r="D31" s="30" t="n">
        <x:v>2019</x:v>
      </x:c>
      <x:c r="E31" s="24" t="str">
        <x:v>Variola louti</x:v>
      </x:c>
      <x:c r="F31" s="24" t="str">
        <x:v>Yellow-edged lyretail</x:v>
      </x:c>
      <x:c r="G31" s="24" t="str">
        <x:v>Medium reef assoc. fish (30 - 89 cm)</x:v>
      </x:c>
      <x:c r="H31" s="24" t="str">
        <x:v>Perch-likes</x:v>
      </x:c>
      <x:c r="I31" s="31" t="n">
        <x:v>81.661949101</x:v>
      </x:c>
      <x:c r="J31" s="31" t="n">
        <x:v>81.661949101</x:v>
      </x:c>
      <x:c r="K31" s="31" t="n">
        <x:v>0</x:v>
      </x:c>
      <x:c r="L31" s="31" t="n">
        <x:v>81.661949101</x:v>
      </x:c>
      <x:c r="M31" s="31" t="n">
        <x:v>0</x:v>
      </x:c>
      <x:c r="N31" s="24" t="str">
        <x:v>variola louti</x:v>
      </x:c>
      <x:c r="O31" s="32" t="n">
        <x:v>4.33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Variola louti</x:v>
      </x:c>
      <x:c r="T31" s="32" t="n">
        <x:f>IF(O31="","",(1/'Metadata'!$B$5)^(O31-1))</x:f>
        <x:v>2137.9620895022326</x:v>
      </x:c>
      <x:c r="U31" s="31" t="n">
        <x:f>IF(T31="","",I31*T31)</x:f>
        <x:v>174590.15133279894</x:v>
      </x:c>
    </x:row>
    <x:row r="32" ht="18" customHeight="1">
      <x:c r="A32" s="24" t="str">
        <x:v>EEZ_583</x:v>
      </x:c>
      <x:c r="B32" s="24" t="str">
        <x:v>Micronesia (Federated States of)</x:v>
      </x:c>
      <x:c r="C32" s="24" t="str">
        <x:v>EEZ</x:v>
      </x:c>
      <x:c r="D32" s="30" t="n">
        <x:v>2019</x:v>
      </x:c>
      <x:c r="E32" s="24" t="str">
        <x:v>Sargocentron spiniferum</x:v>
      </x:c>
      <x:c r="F32" s="24" t="str">
        <x:v>Sabre squirrelfish</x:v>
      </x:c>
      <x:c r="G32" s="24" t="str">
        <x:v>Medium reef assoc. fish (30 - 89 cm)</x:v>
      </x:c>
      <x:c r="H32" s="24" t="str">
        <x:v>Other fishes &amp; inverts</x:v>
      </x:c>
      <x:c r="I32" s="31" t="n">
        <x:v>80.107857819</x:v>
      </x:c>
      <x:c r="J32" s="31" t="n">
        <x:v>80.107857819</x:v>
      </x:c>
      <x:c r="K32" s="31" t="n">
        <x:v>0</x:v>
      </x:c>
      <x:c r="L32" s="31" t="n">
        <x:v>80.107857819</x:v>
      </x:c>
      <x:c r="M32" s="31" t="n">
        <x:v>0</x:v>
      </x:c>
      <x:c r="N32" s="24" t="str">
        <x:v>sargocentron spiniferum</x:v>
      </x:c>
      <x:c r="O32" s="32" t="n">
        <x:v>3.6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Sargocentron spiniferum</x:v>
      </x:c>
      <x:c r="T32" s="32" t="n">
        <x:f>IF(O32="","",(1/'Metadata'!$B$5)^(O32-1))</x:f>
        <x:v>398.1071705534973</x:v>
      </x:c>
      <x:c r="U32" s="31" t="n">
        <x:f>IF(T32="","",I32*T32)</x:f>
        <x:v>31891.512615423948</x:v>
      </x:c>
    </x:row>
    <x:row r="33" ht="18" customHeight="1">
      <x:c r="A33" s="24" t="str">
        <x:v>EEZ_583</x:v>
      </x:c>
      <x:c r="B33" s="24" t="str">
        <x:v>Micronesia (Federated States of)</x:v>
      </x:c>
      <x:c r="C33" s="24" t="str">
        <x:v>EEZ</x:v>
      </x:c>
      <x:c r="D33" s="30" t="n">
        <x:v>2019</x:v>
      </x:c>
      <x:c r="E33" s="24" t="str">
        <x:v>Scarus psittacus</x:v>
      </x:c>
      <x:c r="F33" s="24" t="str">
        <x:v>Common parrotfish</x:v>
      </x:c>
      <x:c r="G33" s="24" t="str">
        <x:v>Medium reef assoc. fish (30 - 89 cm)</x:v>
      </x:c>
      <x:c r="H33" s="24" t="str">
        <x:v>Perch-likes</x:v>
      </x:c>
      <x:c r="I33" s="31" t="n">
        <x:v>75.61475029200001</x:v>
      </x:c>
      <x:c r="J33" s="31" t="n">
        <x:v>75.61475029200001</x:v>
      </x:c>
      <x:c r="K33" s="31" t="n">
        <x:v>0</x:v>
      </x:c>
      <x:c r="L33" s="31" t="n">
        <x:v>75.61475029200001</x:v>
      </x:c>
      <x:c r="M33" s="31" t="n">
        <x:v>0</x:v>
      </x:c>
      <x:c r="N33" s="24" t="str">
        <x:v>scarus psittacus</x:v>
      </x:c>
      <x:c r="O33" s="32" t="n">
        <x:v>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Scarus psittacus</x:v>
      </x:c>
      <x:c r="T33" s="32" t="n">
        <x:f>IF(O33="","",(1/'Metadata'!$B$5)^(O33-1))</x:f>
        <x:v>10</x:v>
      </x:c>
      <x:c r="U33" s="31" t="n">
        <x:f>IF(T33="","",I33*T33)</x:f>
        <x:v>756.1475029200001</x:v>
      </x:c>
    </x:row>
    <x:row r="34" ht="18" customHeight="1">
      <x:c r="A34" s="24" t="str">
        <x:v>EEZ_583</x:v>
      </x:c>
      <x:c r="B34" s="24" t="str">
        <x:v>Micronesia (Federated States of)</x:v>
      </x:c>
      <x:c r="C34" s="24" t="str">
        <x:v>EEZ</x:v>
      </x:c>
      <x:c r="D34" s="30" t="n">
        <x:v>2019</x:v>
      </x:c>
      <x:c r="E34" s="24" t="str">
        <x:v>Naso unicornis</x:v>
      </x:c>
      <x:c r="F34" s="24" t="str">
        <x:v>Bluespine unicornfish</x:v>
      </x:c>
      <x:c r="G34" s="24" t="str">
        <x:v>Medium reef assoc. fish (30 - 89 cm)</x:v>
      </x:c>
      <x:c r="H34" s="24" t="str">
        <x:v>Perch-likes</x:v>
      </x:c>
      <x:c r="I34" s="31" t="n">
        <x:v>70.934459764</x:v>
      </x:c>
      <x:c r="J34" s="31" t="n">
        <x:v>70.934459764</x:v>
      </x:c>
      <x:c r="K34" s="31" t="n">
        <x:v>0</x:v>
      </x:c>
      <x:c r="L34" s="31" t="n">
        <x:v>70.934459764</x:v>
      </x:c>
      <x:c r="M34" s="31" t="n">
        <x:v>0</x:v>
      </x:c>
      <x:c r="N34" s="24" t="str">
        <x:v>naso unicornis</x:v>
      </x:c>
      <x:c r="O34" s="32" t="n">
        <x:v>2.17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Naso unicornis</x:v>
      </x:c>
      <x:c r="T34" s="32" t="n">
        <x:f>IF(O34="","",(1/'Metadata'!$B$5)^(O34-1))</x:f>
        <x:v>14.791083881682072</x:v>
      </x:c>
      <x:c r="U34" s="31" t="n">
        <x:f>IF(T34="","",I34*T34)</x:f>
        <x:v>1049.1975444711259</x:v>
      </x:c>
    </x:row>
    <x:row r="35" ht="18" customHeight="1">
      <x:c r="A35" s="24" t="str">
        <x:v>EEZ_583</x:v>
      </x:c>
      <x:c r="B35" s="24" t="str">
        <x:v>Micronesia (Federated States of)</x:v>
      </x:c>
      <x:c r="C35" s="24" t="str">
        <x:v>EEZ</x:v>
      </x:c>
      <x:c r="D35" s="30" t="n">
        <x:v>2019</x:v>
      </x:c>
      <x:c r="E35" s="24" t="str">
        <x:v>Acanthurus nigricauda</x:v>
      </x:c>
      <x:c r="F35" s="24" t="str">
        <x:v>Epaulette surgeonfish</x:v>
      </x:c>
      <x:c r="G35" s="24" t="str">
        <x:v>Small reef assoc. fish (&lt;30 cm)</x:v>
      </x:c>
      <x:c r="H35" s="24" t="str">
        <x:v>Perch-likes</x:v>
      </x:c>
      <x:c r="I35" s="31" t="n">
        <x:v>68.756015547</x:v>
      </x:c>
      <x:c r="J35" s="31" t="n">
        <x:v>68.756015547</x:v>
      </x:c>
      <x:c r="K35" s="31" t="n">
        <x:v>0</x:v>
      </x:c>
      <x:c r="L35" s="31" t="n">
        <x:v>68.756015547</x:v>
      </x:c>
      <x:c r="M35" s="31" t="n">
        <x:v>0</x:v>
      </x:c>
      <x:c r="N35" s="24" t="str">
        <x:v>acanthurus nigricauda</x:v>
      </x:c>
      <x:c r="O35" s="32" t="n">
        <x:v>2.99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Acanthurus nigricauda</x:v>
      </x:c>
      <x:c r="T35" s="32" t="n">
        <x:f>IF(O35="","",(1/'Metadata'!$B$5)^(O35-1))</x:f>
        <x:v>97.72372209558111</x:v>
      </x:c>
      <x:c r="U35" s="31" t="n">
        <x:f>IF(T35="","",I35*T35)</x:f>
        <x:v>6719.0937557144825</x:v>
      </x:c>
    </x:row>
    <x:row r="36" ht="18" customHeight="1">
      <x:c r="A36" s="24" t="str">
        <x:v>EEZ_583</x:v>
      </x:c>
      <x:c r="B36" s="24" t="str">
        <x:v>Micronesia (Federated States of)</x:v>
      </x:c>
      <x:c r="C36" s="24" t="str">
        <x:v>EEZ</x:v>
      </x:c>
      <x:c r="D36" s="30" t="n">
        <x:v>2019</x:v>
      </x:c>
      <x:c r="E36" s="24" t="str">
        <x:v>Siganus</x:v>
      </x:c>
      <x:c r="F36" s="24" t="str">
        <x:v>Spinefoots</x:v>
      </x:c>
      <x:c r="G36" s="24" t="str">
        <x:v>Medium reef assoc. fish (30 - 89 cm)</x:v>
      </x:c>
      <x:c r="H36" s="24" t="str">
        <x:v>Perch-likes</x:v>
      </x:c>
      <x:c r="I36" s="31" t="n">
        <x:v>67.24255316099999</x:v>
      </x:c>
      <x:c r="J36" s="31" t="n">
        <x:v>67.24255316099999</x:v>
      </x:c>
      <x:c r="K36" s="31" t="n">
        <x:v>0</x:v>
      </x:c>
      <x:c r="L36" s="31" t="n">
        <x:v>67.24255316099999</x:v>
      </x:c>
      <x:c r="M36" s="31" t="n">
        <x:v>0</x:v>
      </x:c>
      <x:c r="N36" s="24" t="str">
        <x:v>siganus</x:v>
      </x:c>
      <x:c r="O36" s="32" t="n">
        <x:v>2.11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Siganus</x:v>
      </x:c>
      <x:c r="T36" s="32" t="n">
        <x:f>IF(O36="","",(1/'Metadata'!$B$5)^(O36-1))</x:f>
        <x:v>12.882495516931336</x:v>
      </x:c>
      <x:c r="U36" s="31" t="n">
        <x:f>IF(T36="","",I36*T36)</x:f>
        <x:v>866.2518896435994</x:v>
      </x:c>
    </x:row>
    <x:row r="37" ht="18" customHeight="1">
      <x:c r="A37" s="24" t="str">
        <x:v>EEZ_583</x:v>
      </x:c>
      <x:c r="B37" s="24" t="str">
        <x:v>Micronesia (Federated States of)</x:v>
      </x:c>
      <x:c r="C37" s="24" t="str">
        <x:v>EEZ</x:v>
      </x:c>
      <x:c r="D37" s="30" t="n">
        <x:v>2019</x:v>
      </x:c>
      <x:c r="E37" s="24" t="str">
        <x:v>Acanthocybium solandri</x:v>
      </x:c>
      <x:c r="F37" s="24" t="str">
        <x:v>Wahoo</x:v>
      </x:c>
      <x:c r="G37" s="24" t="str">
        <x:v>Large pelagics (&gt;=90 cm)</x:v>
      </x:c>
      <x:c r="H37" s="24" t="str">
        <x:v>Perch-likes</x:v>
      </x:c>
      <x:c r="I37" s="31" t="n">
        <x:v>66.205098353</x:v>
      </x:c>
      <x:c r="J37" s="31" t="n">
        <x:v>0</x:v>
      </x:c>
      <x:c r="K37" s="31" t="n">
        <x:v>66.205098353</x:v>
      </x:c>
      <x:c r="L37" s="31" t="n">
        <x:v>0</x:v>
      </x:c>
      <x:c r="M37" s="31" t="n">
        <x:v>66.205098353</x:v>
      </x:c>
      <x:c r="N37" s="24" t="str">
        <x:v>acanthocybium solandri</x:v>
      </x:c>
      <x:c r="O37" s="32" t="n">
        <x:v>4.26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Acanthocybium solandri</x:v>
      </x:c>
      <x:c r="T37" s="32" t="n">
        <x:f>IF(O37="","",(1/'Metadata'!$B$5)^(O37-1))</x:f>
        <x:v>1819.7008586099826</x:v>
      </x:c>
      <x:c r="U37" s="31" t="n">
        <x:f>IF(T37="","",I37*T37)</x:f>
        <x:v>120473.47431731243</x:v>
      </x:c>
    </x:row>
    <x:row r="38" ht="18" customHeight="1">
      <x:c r="A38" s="24" t="str">
        <x:v>EEZ_583</x:v>
      </x:c>
      <x:c r="B38" s="24" t="str">
        <x:v>Micronesia (Federated States of)</x:v>
      </x:c>
      <x:c r="C38" s="24" t="str">
        <x:v>EEZ</x:v>
      </x:c>
      <x:c r="D38" s="30" t="n">
        <x:v>2019</x:v>
      </x:c>
      <x:c r="E38" s="24" t="str">
        <x:v>Caranx melampygus</x:v>
      </x:c>
      <x:c r="F38" s="24" t="str">
        <x:v>Bluefin trevally</x:v>
      </x:c>
      <x:c r="G38" s="24" t="str">
        <x:v>Large reef assoc. fish (&gt;=90 cm)</x:v>
      </x:c>
      <x:c r="H38" s="24" t="str">
        <x:v>Perch-likes</x:v>
      </x:c>
      <x:c r="I38" s="31" t="n">
        <x:v>60.797855908</x:v>
      </x:c>
      <x:c r="J38" s="31" t="n">
        <x:v>60.797855908</x:v>
      </x:c>
      <x:c r="K38" s="31" t="n">
        <x:v>0</x:v>
      </x:c>
      <x:c r="L38" s="31" t="n">
        <x:v>60.797855908</x:v>
      </x:c>
      <x:c r="M38" s="31" t="n">
        <x:v>0</x:v>
      </x:c>
      <x:c r="N38" s="24" t="str">
        <x:v>caranx melampygus</x:v>
      </x:c>
      <x:c r="O38" s="32" t="n">
        <x:v>4.49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Caranx melampygus</x:v>
      </x:c>
      <x:c r="T38" s="32" t="n">
        <x:f>IF(O38="","",(1/'Metadata'!$B$5)^(O38-1))</x:f>
        <x:v>3090.295432513592</x:v>
      </x:c>
      <x:c r="U38" s="31" t="n">
        <x:f>IF(T38="","",I38*T38)</x:f>
        <x:v>187883.3364191119</x:v>
      </x:c>
    </x:row>
    <x:row r="39" ht="18" customHeight="1">
      <x:c r="A39" s="24" t="str">
        <x:v>EEZ_583</x:v>
      </x:c>
      <x:c r="B39" s="24" t="str">
        <x:v>Micronesia (Federated States of)</x:v>
      </x:c>
      <x:c r="C39" s="24" t="str">
        <x:v>EEZ</x:v>
      </x:c>
      <x:c r="D39" s="30" t="n">
        <x:v>2019</x:v>
      </x:c>
      <x:c r="E39" s="24" t="str">
        <x:v>Aprion virescens</x:v>
      </x:c>
      <x:c r="F39" s="24" t="str">
        <x:v>Green jobfish</x:v>
      </x:c>
      <x:c r="G39" s="24" t="str">
        <x:v>Large reef assoc. fish (&gt;=90 cm)</x:v>
      </x:c>
      <x:c r="H39" s="24" t="str">
        <x:v>Perch-likes</x:v>
      </x:c>
      <x:c r="I39" s="31" t="n">
        <x:v>59.596584994</x:v>
      </x:c>
      <x:c r="J39" s="31" t="n">
        <x:v>59.596584994</x:v>
      </x:c>
      <x:c r="K39" s="31" t="n">
        <x:v>0</x:v>
      </x:c>
      <x:c r="L39" s="31" t="n">
        <x:v>59.596584994</x:v>
      </x:c>
      <x:c r="M39" s="31" t="n">
        <x:v>0</x:v>
      </x:c>
      <x:c r="N39" s="24" t="str">
        <x:v>aprion virescens</x:v>
      </x:c>
      <x:c r="O39" s="32" t="n">
        <x:v>4.28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Aprion virescens</x:v>
      </x:c>
      <x:c r="T39" s="32" t="n">
        <x:f>IF(O39="","",(1/'Metadata'!$B$5)^(O39-1))</x:f>
        <x:v>1905.4607179632483</x:v>
      </x:c>
      <x:c r="U39" s="31" t="n">
        <x:f>IF(T39="","",I39*T39)</x:f>
        <x:v>113558.95163082499</x:v>
      </x:c>
    </x:row>
    <x:row r="40" ht="18" customHeight="1">
      <x:c r="A40" s="24" t="str">
        <x:v>EEZ_583</x:v>
      </x:c>
      <x:c r="B40" s="24" t="str">
        <x:v>Micronesia (Federated States of)</x:v>
      </x:c>
      <x:c r="C40" s="24" t="str">
        <x:v>EEZ</x:v>
      </x:c>
      <x:c r="D40" s="30" t="n">
        <x:v>2019</x:v>
      </x:c>
      <x:c r="E40" s="24" t="str">
        <x:v>Scarus rubroviolaceus</x:v>
      </x:c>
      <x:c r="F40" s="24" t="str">
        <x:v>Ember parrotfish</x:v>
      </x:c>
      <x:c r="G40" s="24" t="str">
        <x:v>Medium reef assoc. fish (30 - 89 cm)</x:v>
      </x:c>
      <x:c r="H40" s="24" t="str">
        <x:v>Perch-likes</x:v>
      </x:c>
      <x:c r="I40" s="31" t="n">
        <x:v>55.966008251000005</x:v>
      </x:c>
      <x:c r="J40" s="31" t="n">
        <x:v>55.966008251000005</x:v>
      </x:c>
      <x:c r="K40" s="31" t="n">
        <x:v>0</x:v>
      </x:c>
      <x:c r="L40" s="31" t="n">
        <x:v>55.966008251000005</x:v>
      </x:c>
      <x:c r="M40" s="31" t="n">
        <x:v>0</x:v>
      </x:c>
      <x:c r="N40" s="24" t="str">
        <x:v>scarus rubroviolaceus</x:v>
      </x:c>
      <x:c r="O40" s="32" t="n">
        <x:v>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Scarus rubroviolaceus</x:v>
      </x:c>
      <x:c r="T40" s="32" t="n">
        <x:f>IF(O40="","",(1/'Metadata'!$B$5)^(O40-1))</x:f>
        <x:v>10</x:v>
      </x:c>
      <x:c r="U40" s="31" t="n">
        <x:f>IF(T40="","",I40*T40)</x:f>
        <x:v>559.66008251</x:v>
      </x:c>
    </x:row>
    <x:row r="41" ht="18" customHeight="1">
      <x:c r="A41" s="24" t="str">
        <x:v>EEZ_583</x:v>
      </x:c>
      <x:c r="B41" s="24" t="str">
        <x:v>Micronesia (Federated States of)</x:v>
      </x:c>
      <x:c r="C41" s="24" t="str">
        <x:v>EEZ</x:v>
      </x:c>
      <x:c r="D41" s="30" t="n">
        <x:v>2019</x:v>
      </x:c>
      <x:c r="E41" s="24" t="str">
        <x:v>Monotaxis grandoculis</x:v>
      </x:c>
      <x:c r="F41" s="24" t="str">
        <x:v>Humpnose big-eye bream</x:v>
      </x:c>
      <x:c r="G41" s="24" t="str">
        <x:v>Medium reef assoc. fish (30 - 89 cm)</x:v>
      </x:c>
      <x:c r="H41" s="24" t="str">
        <x:v>Perch-likes</x:v>
      </x:c>
      <x:c r="I41" s="31" t="n">
        <x:v>54.792732744</x:v>
      </x:c>
      <x:c r="J41" s="31" t="n">
        <x:v>54.792732744</x:v>
      </x:c>
      <x:c r="K41" s="31" t="n">
        <x:v>0</x:v>
      </x:c>
      <x:c r="L41" s="31" t="n">
        <x:v>54.792732744</x:v>
      </x:c>
      <x:c r="M41" s="31" t="n">
        <x:v>0</x:v>
      </x:c>
      <x:c r="N41" s="24" t="str">
        <x:v>monotaxis grandoculis</x:v>
      </x:c>
      <x:c r="O41" s="32" t="n">
        <x:v>3.37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Monotaxis grandoculis</x:v>
      </x:c>
      <x:c r="T41" s="32" t="n">
        <x:f>IF(O41="","",(1/'Metadata'!$B$5)^(O41-1))</x:f>
        <x:v>234.42288153199226</x:v>
      </x:c>
      <x:c r="U41" s="31" t="n">
        <x:f>IF(T41="","",I41*T41)</x:f>
        <x:v>12844.670296860824</x:v>
      </x:c>
    </x:row>
    <x:row r="42" ht="18" customHeight="1">
      <x:c r="A42" s="24" t="str">
        <x:v>EEZ_583</x:v>
      </x:c>
      <x:c r="B42" s="24" t="str">
        <x:v>Micronesia (Federated States of)</x:v>
      </x:c>
      <x:c r="C42" s="24" t="str">
        <x:v>EEZ</x:v>
      </x:c>
      <x:c r="D42" s="30" t="n">
        <x:v>2019</x:v>
      </x:c>
      <x:c r="E42" s="24" t="str">
        <x:v>Lethrinus xanthochilus</x:v>
      </x:c>
      <x:c r="F42" s="24" t="str">
        <x:v>Yellowlip emperor</x:v>
      </x:c>
      <x:c r="G42" s="24" t="str">
        <x:v>Medium reef assoc. fish (30 - 89 cm)</x:v>
      </x:c>
      <x:c r="H42" s="24" t="str">
        <x:v>Perch-likes</x:v>
      </x:c>
      <x:c r="I42" s="31" t="n">
        <x:v>51.813319775</x:v>
      </x:c>
      <x:c r="J42" s="31" t="n">
        <x:v>51.813319775</x:v>
      </x:c>
      <x:c r="K42" s="31" t="n">
        <x:v>0</x:v>
      </x:c>
      <x:c r="L42" s="31" t="n">
        <x:v>51.813319775</x:v>
      </x:c>
      <x:c r="M42" s="31" t="n">
        <x:v>0</x:v>
      </x:c>
      <x:c r="N42" s="24" t="str">
        <x:v>lethrinus xanthochilus</x:v>
      </x:c>
      <x:c r="O42" s="32" t="n">
        <x:v>3.78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Lethrinus xanthochilus</x:v>
      </x:c>
      <x:c r="T42" s="32" t="n">
        <x:f>IF(O42="","",(1/'Metadata'!$B$5)^(O42-1))</x:f>
        <x:v>602.5595860743575</x:v>
      </x:c>
      <x:c r="U42" s="31" t="n">
        <x:f>IF(T42="","",I42*T42)</x:f>
        <x:v>31220.61251676232</x:v>
      </x:c>
    </x:row>
    <x:row r="43" ht="18" customHeight="1">
      <x:c r="A43" s="24" t="str">
        <x:v>EEZ_583</x:v>
      </x:c>
      <x:c r="B43" s="24" t="str">
        <x:v>Micronesia (Federated States of)</x:v>
      </x:c>
      <x:c r="C43" s="24" t="str">
        <x:v>EEZ</x:v>
      </x:c>
      <x:c r="D43" s="30" t="n">
        <x:v>2019</x:v>
      </x:c>
      <x:c r="E43" s="24" t="str">
        <x:v>Acanthurus</x:v>
      </x:c>
      <x:c r="F43" s="24" t="str">
        <x:v>Surgeonfishes</x:v>
      </x:c>
      <x:c r="G43" s="24" t="str">
        <x:v>Small reef assoc. fish (&lt;30 cm)</x:v>
      </x:c>
      <x:c r="H43" s="24" t="str">
        <x:v>Perch-likes</x:v>
      </x:c>
      <x:c r="I43" s="31" t="n">
        <x:v>50.784854846</x:v>
      </x:c>
      <x:c r="J43" s="31" t="n">
        <x:v>50.784854846</x:v>
      </x:c>
      <x:c r="K43" s="31" t="n">
        <x:v>0</x:v>
      </x:c>
      <x:c r="L43" s="31" t="n">
        <x:v>50.784854846</x:v>
      </x:c>
      <x:c r="M43" s="31" t="n">
        <x:v>0</x:v>
      </x:c>
      <x:c r="N43" s="24" t="str">
        <x:v>acanthurus</x:v>
      </x:c>
      <x:c r="O43" s="32" t="n">
        <x:v>2.03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Acanthurus</x:v>
      </x:c>
      <x:c r="T43" s="32" t="n">
        <x:f>IF(O43="","",(1/'Metadata'!$B$5)^(O43-1))</x:f>
        <x:v>10.71519305237606</x:v>
      </x:c>
      <x:c r="U43" s="31" t="n">
        <x:f>IF(T43="","",I43*T43)</x:f>
        <x:v>544.1695238117859</x:v>
      </x:c>
    </x:row>
    <x:row r="44" ht="18" customHeight="1">
      <x:c r="A44" s="24" t="str">
        <x:v>EEZ_583</x:v>
      </x:c>
      <x:c r="B44" s="24" t="str">
        <x:v>Micronesia (Federated States of)</x:v>
      </x:c>
      <x:c r="C44" s="24" t="str">
        <x:v>EEZ</x:v>
      </x:c>
      <x:c r="D44" s="30" t="n">
        <x:v>2019</x:v>
      </x:c>
      <x:c r="E44" s="24" t="str">
        <x:v>Lutjanus fulvus</x:v>
      </x:c>
      <x:c r="F44" s="24" t="str">
        <x:v>Blacktail snapper</x:v>
      </x:c>
      <x:c r="G44" s="24" t="str">
        <x:v>Medium reef assoc. fish (30 - 89 cm)</x:v>
      </x:c>
      <x:c r="H44" s="24" t="str">
        <x:v>Perch-likes</x:v>
      </x:c>
      <x:c r="I44" s="31" t="n">
        <x:v>48.653807529</x:v>
      </x:c>
      <x:c r="J44" s="31" t="n">
        <x:v>48.653807529</x:v>
      </x:c>
      <x:c r="K44" s="31" t="n">
        <x:v>0</x:v>
      </x:c>
      <x:c r="L44" s="31" t="n">
        <x:v>48.653807529</x:v>
      </x:c>
      <x:c r="M44" s="31" t="n">
        <x:v>0</x:v>
      </x:c>
      <x:c r="N44" s="24" t="str">
        <x:v>lutjanus fulvus</x:v>
      </x:c>
      <x:c r="O44" s="32" t="n">
        <x:v>3.61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Lutjanus fulvus</x:v>
      </x:c>
      <x:c r="T44" s="32" t="n">
        <x:f>IF(O44="","",(1/'Metadata'!$B$5)^(O44-1))</x:f>
        <x:v>407.3802778041126</x:v>
      </x:c>
      <x:c r="U44" s="31" t="n">
        <x:f>IF(T44="","",I44*T44)</x:f>
        <x:v>19820.601627391843</x:v>
      </x:c>
    </x:row>
    <x:row r="45" ht="18" customHeight="1">
      <x:c r="A45" s="24" t="str">
        <x:v>EEZ_583</x:v>
      </x:c>
      <x:c r="B45" s="24" t="str">
        <x:v>Micronesia (Federated States of)</x:v>
      </x:c>
      <x:c r="C45" s="24" t="str">
        <x:v>EEZ</x:v>
      </x:c>
      <x:c r="D45" s="30" t="n">
        <x:v>2019</x:v>
      </x:c>
      <x:c r="E45" s="24" t="str">
        <x:v>Epinephelus</x:v>
      </x:c>
      <x:c r="F45" s="24" t="str">
        <x:v>Seabasses, hinds</x:v>
      </x:c>
      <x:c r="G45" s="24" t="str">
        <x:v>Medium reef assoc. fish (30 - 89 cm)</x:v>
      </x:c>
      <x:c r="H45" s="24" t="str">
        <x:v>Perch-likes</x:v>
      </x:c>
      <x:c r="I45" s="31" t="n">
        <x:v>48.503838972000004</x:v>
      </x:c>
      <x:c r="J45" s="31" t="n">
        <x:v>48.503838972000004</x:v>
      </x:c>
      <x:c r="K45" s="31" t="n">
        <x:v>0</x:v>
      </x:c>
      <x:c r="L45" s="31" t="n">
        <x:v>48.503838972000004</x:v>
      </x:c>
      <x:c r="M45" s="31" t="n">
        <x:v>0</x:v>
      </x:c>
      <x:c r="N45" s="24" t="str">
        <x:v>epinephelus</x:v>
      </x:c>
      <x:c r="O45" s="32" t="n">
        <x:v>3.84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Epinephelus</x:v>
      </x:c>
      <x:c r="T45" s="32" t="n">
        <x:f>IF(O45="","",(1/'Metadata'!$B$5)^(O45-1))</x:f>
        <x:v>691.8309709189363</x:v>
      </x:c>
      <x:c r="U45" s="31" t="n">
        <x:f>IF(T45="","",I45*T45)</x:f>
        <x:v>33556.4580092945</x:v>
      </x:c>
    </x:row>
    <x:row r="46" ht="18" customHeight="1">
      <x:c r="A46" s="24" t="str">
        <x:v>EEZ_583</x:v>
      </x:c>
      <x:c r="B46" s="24" t="str">
        <x:v>Micronesia (Federated States of)</x:v>
      </x:c>
      <x:c r="C46" s="24" t="str">
        <x:v>EEZ</x:v>
      </x:c>
      <x:c r="D46" s="30" t="n">
        <x:v>2019</x:v>
      </x:c>
      <x:c r="E46" s="24" t="str">
        <x:v>Lutjanus gibbus</x:v>
      </x:c>
      <x:c r="F46" s="24" t="str">
        <x:v>Humpback red snapper</x:v>
      </x:c>
      <x:c r="G46" s="24" t="str">
        <x:v>Medium reef assoc. fish (30 - 89 cm)</x:v>
      </x:c>
      <x:c r="H46" s="24" t="str">
        <x:v>Perch-likes</x:v>
      </x:c>
      <x:c r="I46" s="31" t="n">
        <x:v>47.927070799999996</x:v>
      </x:c>
      <x:c r="J46" s="31" t="n">
        <x:v>47.927070799999996</x:v>
      </x:c>
      <x:c r="K46" s="31" t="n">
        <x:v>0</x:v>
      </x:c>
      <x:c r="L46" s="31" t="n">
        <x:v>47.927070799999996</x:v>
      </x:c>
      <x:c r="M46" s="31" t="n">
        <x:v>0</x:v>
      </x:c>
      <x:c r="N46" s="24" t="str">
        <x:v>lutjanus gibbus</x:v>
      </x:c>
      <x:c r="O46" s="32" t="n">
        <x:v>4.12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Lutjanus gibbus</x:v>
      </x:c>
      <x:c r="T46" s="32" t="n">
        <x:f>IF(O46="","",(1/'Metadata'!$B$5)^(O46-1))</x:f>
        <x:v>1318.2567385564075</x:v>
      </x:c>
      <x:c r="U46" s="31" t="n">
        <x:f>IF(T46="","",I46*T46)</x:f>
        <x:v>63180.18404137003</x:v>
      </x:c>
    </x:row>
    <x:row r="47" ht="18" customHeight="1">
      <x:c r="A47" s="24" t="str">
        <x:v>EEZ_583</x:v>
      </x:c>
      <x:c r="B47" s="24" t="str">
        <x:v>Micronesia (Federated States of)</x:v>
      </x:c>
      <x:c r="C47" s="24" t="str">
        <x:v>EEZ</x:v>
      </x:c>
      <x:c r="D47" s="30" t="n">
        <x:v>2019</x:v>
      </x:c>
      <x:c r="E47" s="24" t="str">
        <x:v>Myripristis</x:v>
      </x:c>
      <x:c r="F47" s="24" t="str">
        <x:v>Soldierfishes</x:v>
      </x:c>
      <x:c r="G47" s="24" t="str">
        <x:v>Small reef assoc. fish (&lt;30 cm)</x:v>
      </x:c>
      <x:c r="H47" s="24" t="str">
        <x:v>Other fishes &amp; inverts</x:v>
      </x:c>
      <x:c r="I47" s="31" t="n">
        <x:v>44.913615209</x:v>
      </x:c>
      <x:c r="J47" s="31" t="n">
        <x:v>44.913615209</x:v>
      </x:c>
      <x:c r="K47" s="31" t="n">
        <x:v>0</x:v>
      </x:c>
      <x:c r="L47" s="31" t="n">
        <x:v>44.913615209</x:v>
      </x:c>
      <x:c r="M47" s="31" t="n">
        <x:v>0</x:v>
      </x:c>
      <x:c r="N47" s="24" t="str">
        <x:v>myripristis</x:v>
      </x:c>
      <x:c r="O47" s="32" t="n">
        <x:v>3.42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Myripristis</x:v>
      </x:c>
      <x:c r="T47" s="32" t="n">
        <x:f>IF(O47="","",(1/'Metadata'!$B$5)^(O47-1))</x:f>
        <x:v>263.02679918953817</x:v>
      </x:c>
      <x:c r="U47" s="31" t="n">
        <x:f>IF(T47="","",I47*T47)</x:f>
        <x:v>11813.48444845383</x:v>
      </x:c>
    </x:row>
    <x:row r="48" ht="18" customHeight="1">
      <x:c r="A48" s="24" t="str">
        <x:v>EEZ_583</x:v>
      </x:c>
      <x:c r="B48" s="24" t="str">
        <x:v>Micronesia (Federated States of)</x:v>
      </x:c>
      <x:c r="C48" s="24" t="str">
        <x:v>EEZ</x:v>
      </x:c>
      <x:c r="D48" s="30" t="n">
        <x:v>2019</x:v>
      </x:c>
      <x:c r="E48" s="24" t="str">
        <x:v>Lethrinus</x:v>
      </x:c>
      <x:c r="F48" s="24" t="str">
        <x:v>Emperors</x:v>
      </x:c>
      <x:c r="G48" s="24" t="str">
        <x:v>Medium reef assoc. fish (30 - 89 cm)</x:v>
      </x:c>
      <x:c r="H48" s="24" t="str">
        <x:v>Perch-likes</x:v>
      </x:c>
      <x:c r="I48" s="31" t="n">
        <x:v>40.008792897999996</x:v>
      </x:c>
      <x:c r="J48" s="31" t="n">
        <x:v>40.008792897999996</x:v>
      </x:c>
      <x:c r="K48" s="31" t="n">
        <x:v>0</x:v>
      </x:c>
      <x:c r="L48" s="31" t="n">
        <x:v>40.008792897999996</x:v>
      </x:c>
      <x:c r="M48" s="31" t="n">
        <x:v>0</x:v>
      </x:c>
      <x:c r="N48" s="24" t="str">
        <x:v>lethrinus</x:v>
      </x:c>
      <x:c r="O48" s="32" t="n">
        <x:v>3.75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Lethrinus</x:v>
      </x:c>
      <x:c r="T48" s="32" t="n">
        <x:f>IF(O48="","",(1/'Metadata'!$B$5)^(O48-1))</x:f>
        <x:v>562.341325190349</x:v>
      </x:c>
      <x:c r="U48" s="31" t="n">
        <x:f>IF(T48="","",I48*T48)</x:f>
        <x:v>22498.597617527543</x:v>
      </x:c>
    </x:row>
    <x:row r="49" ht="18" customHeight="1">
      <x:c r="A49" s="24" t="str">
        <x:v>EEZ_583</x:v>
      </x:c>
      <x:c r="B49" s="24" t="str">
        <x:v>Micronesia (Federated States of)</x:v>
      </x:c>
      <x:c r="C49" s="24" t="str">
        <x:v>EEZ</x:v>
      </x:c>
      <x:c r="D49" s="30" t="n">
        <x:v>2019</x:v>
      </x:c>
      <x:c r="E49" s="24" t="str">
        <x:v>Cheilinus trilobatus</x:v>
      </x:c>
      <x:c r="F49" s="24" t="str">
        <x:v>Tripletail wrasse</x:v>
      </x:c>
      <x:c r="G49" s="24" t="str">
        <x:v>Medium reef assoc. fish (30 - 89 cm)</x:v>
      </x:c>
      <x:c r="H49" s="24" t="str">
        <x:v>Perch-likes</x:v>
      </x:c>
      <x:c r="I49" s="31" t="n">
        <x:v>37.00851649</x:v>
      </x:c>
      <x:c r="J49" s="31" t="n">
        <x:v>37.00851649</x:v>
      </x:c>
      <x:c r="K49" s="31" t="n">
        <x:v>0</x:v>
      </x:c>
      <x:c r="L49" s="31" t="n">
        <x:v>37.00851649</x:v>
      </x:c>
      <x:c r="M49" s="31" t="n">
        <x:v>0</x:v>
      </x:c>
      <x:c r="N49" s="24" t="str">
        <x:v>cheilinus trilobatus</x:v>
      </x:c>
      <x:c r="O49" s="32" t="n">
        <x:v>3.88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Cheilinus trilobatus</x:v>
      </x:c>
      <x:c r="T49" s="32" t="n">
        <x:f>IF(O49="","",(1/'Metadata'!$B$5)^(O49-1))</x:f>
        <x:v>758.5775750291835</x:v>
      </x:c>
      <x:c r="U49" s="31" t="n">
        <x:f>IF(T49="","",I49*T49)</x:f>
        <x:v>28073.83069441175</x:v>
      </x:c>
    </x:row>
    <x:row r="50" ht="18" customHeight="1">
      <x:c r="A50" s="24" t="str">
        <x:v>EEZ_583</x:v>
      </x:c>
      <x:c r="B50" s="24" t="str">
        <x:v>Micronesia (Federated States of)</x:v>
      </x:c>
      <x:c r="C50" s="24" t="str">
        <x:v>EEZ</x:v>
      </x:c>
      <x:c r="D50" s="30" t="n">
        <x:v>2019</x:v>
      </x:c>
      <x:c r="E50" s="24" t="str">
        <x:v>Naso brevirostris</x:v>
      </x:c>
      <x:c r="F50" s="24" t="str">
        <x:v>Spotted unicornfish</x:v>
      </x:c>
      <x:c r="G50" s="24" t="str">
        <x:v>Medium reef assoc. fish (30 - 89 cm)</x:v>
      </x:c>
      <x:c r="H50" s="24" t="str">
        <x:v>Perch-likes</x:v>
      </x:c>
      <x:c r="I50" s="31" t="n">
        <x:v>35.793907766</x:v>
      </x:c>
      <x:c r="J50" s="31" t="n">
        <x:v>35.793907766</x:v>
      </x:c>
      <x:c r="K50" s="31" t="n">
        <x:v>0</x:v>
      </x:c>
      <x:c r="L50" s="31" t="n">
        <x:v>35.793907766</x:v>
      </x:c>
      <x:c r="M50" s="31" t="n">
        <x:v>0</x:v>
      </x:c>
      <x:c r="N50" s="24" t="str">
        <x:v>naso brevirostris</x:v>
      </x:c>
      <x:c r="O50" s="32" t="n">
        <x:v>2.22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Naso brevirostris</x:v>
      </x:c>
      <x:c r="T50" s="32" t="n">
        <x:f>IF(O50="","",(1/'Metadata'!$B$5)^(O50-1))</x:f>
        <x:v>16.595869074375614</x:v>
      </x:c>
      <x:c r="U50" s="31" t="n">
        <x:f>IF(T50="","",I50*T50)</x:f>
        <x:v>594.0310069448125</x:v>
      </x:c>
    </x:row>
    <x:row r="51" ht="18" customHeight="1">
      <x:c r="A51" s="24" t="str">
        <x:v>EEZ_583</x:v>
      </x:c>
      <x:c r="B51" s="24" t="str">
        <x:v>Micronesia (Federated States of)</x:v>
      </x:c>
      <x:c r="C51" s="24" t="str">
        <x:v>EEZ</x:v>
      </x:c>
      <x:c r="D51" s="30" t="n">
        <x:v>2019</x:v>
      </x:c>
      <x:c r="E51" s="24" t="str">
        <x:v>Kyphosus cinerascens</x:v>
      </x:c>
      <x:c r="F51" s="24" t="str">
        <x:v>Blue sea chub</x:v>
      </x:c>
      <x:c r="G51" s="24" t="str">
        <x:v>Medium reef assoc. fish (30 - 89 cm)</x:v>
      </x:c>
      <x:c r="H51" s="24" t="str">
        <x:v>Perch-likes</x:v>
      </x:c>
      <x:c r="I51" s="31" t="n">
        <x:v>34.747743684999996</x:v>
      </x:c>
      <x:c r="J51" s="31" t="n">
        <x:v>34.747743684999996</x:v>
      </x:c>
      <x:c r="K51" s="31" t="n">
        <x:v>0</x:v>
      </x:c>
      <x:c r="L51" s="31" t="n">
        <x:v>34.747743684999996</x:v>
      </x:c>
      <x:c r="M51" s="31" t="n">
        <x:v>0</x:v>
      </x:c>
      <x:c r="N51" s="24" t="str">
        <x:v>kyphosus cinerascens</x:v>
      </x:c>
      <x:c r="O51" s="32" t="n">
        <x:v>2.85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Kyphosus cinerascens</x:v>
      </x:c>
      <x:c r="T51" s="32" t="n">
        <x:f>IF(O51="","",(1/'Metadata'!$B$5)^(O51-1))</x:f>
        <x:v>70.79457843841381</x:v>
      </x:c>
      <x:c r="U51" s="31" t="n">
        <x:f>IF(T51="","",I51*T51)</x:f>
        <x:v>2459.95186586563</x:v>
      </x:c>
    </x:row>
    <x:row r="52" ht="18" customHeight="1">
      <x:c r="A52" s="24" t="str">
        <x:v>EEZ_583</x:v>
      </x:c>
      <x:c r="B52" s="24" t="str">
        <x:v>Micronesia (Federated States of)</x:v>
      </x:c>
      <x:c r="C52" s="24" t="str">
        <x:v>EEZ</x:v>
      </x:c>
      <x:c r="D52" s="30" t="n">
        <x:v>2019</x:v>
      </x:c>
      <x:c r="E52" s="24" t="str">
        <x:v>Acanthurus olivaceus</x:v>
      </x:c>
      <x:c r="F52" s="24" t="str">
        <x:v>Orangespot surgeonfish</x:v>
      </x:c>
      <x:c r="G52" s="24" t="str">
        <x:v>Small reef assoc. fish (&lt;30 cm)</x:v>
      </x:c>
      <x:c r="H52" s="24" t="str">
        <x:v>Perch-likes</x:v>
      </x:c>
      <x:c r="I52" s="31" t="n">
        <x:v>26.071531255</x:v>
      </x:c>
      <x:c r="J52" s="31" t="n">
        <x:v>26.071531255</x:v>
      </x:c>
      <x:c r="K52" s="31" t="n">
        <x:v>0</x:v>
      </x:c>
      <x:c r="L52" s="31" t="n">
        <x:v>26.071531255</x:v>
      </x:c>
      <x:c r="M52" s="31" t="n">
        <x:v>0</x:v>
      </x:c>
      <x:c r="N52" s="24" t="str">
        <x:v>acanthurus olivaceus</x:v>
      </x:c>
      <x:c r="O52" s="32" t="n">
        <x:v>2.2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Acanthurus olivaceus</x:v>
      </x:c>
      <x:c r="T52" s="32" t="n">
        <x:f>IF(O52="","",(1/'Metadata'!$B$5)^(O52-1))</x:f>
        <x:v>15.848931924611142</x:v>
      </x:c>
      <x:c r="U52" s="31" t="n">
        <x:f>IF(T52="","",I52*T52)</x:f>
        <x:v>413.2059240308667</x:v>
      </x:c>
    </x:row>
    <x:row r="53" ht="18" customHeight="1">
      <x:c r="A53" s="24" t="str">
        <x:v>EEZ_583</x:v>
      </x:c>
      <x:c r="B53" s="24" t="str">
        <x:v>Micronesia (Federated States of)</x:v>
      </x:c>
      <x:c r="C53" s="24" t="str">
        <x:v>EEZ</x:v>
      </x:c>
      <x:c r="D53" s="30" t="n">
        <x:v>2019</x:v>
      </x:c>
      <x:c r="E53" s="24" t="str">
        <x:v>Serranidae</x:v>
      </x:c>
      <x:c r="F53" s="24" t="str">
        <x:v>Basses, groupers, hinds</x:v>
      </x:c>
      <x:c r="G53" s="24" t="str">
        <x:v>Medium reef assoc. fish (30 - 89 cm)</x:v>
      </x:c>
      <x:c r="H53" s="24" t="str">
        <x:v>Perch-likes</x:v>
      </x:c>
      <x:c r="I53" s="31" t="n">
        <x:v>25.540562217</x:v>
      </x:c>
      <x:c r="J53" s="31" t="n">
        <x:v>25.540562217</x:v>
      </x:c>
      <x:c r="K53" s="31" t="n">
        <x:v>0</x:v>
      </x:c>
      <x:c r="L53" s="31" t="n">
        <x:v>25.540562217</x:v>
      </x:c>
      <x:c r="M53" s="31" t="n">
        <x:v>0</x:v>
      </x:c>
      <x:c r="N53" s="24" t="str">
        <x:v>serranidae</x:v>
      </x:c>
      <x:c r="O53" s="32" t="n">
        <x:v>3.98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Serranidae</x:v>
      </x:c>
      <x:c r="T53" s="32" t="n">
        <x:f>IF(O53="","",(1/'Metadata'!$B$5)^(O53-1))</x:f>
        <x:v>954.992586021436</x:v>
      </x:c>
      <x:c r="U53" s="31" t="n">
        <x:f>IF(T53="","",I53*T53)</x:f>
        <x:v>24391.047560054212</x:v>
      </x:c>
    </x:row>
    <x:row r="54" ht="18" customHeight="1">
      <x:c r="A54" s="24" t="str">
        <x:v>EEZ_583</x:v>
      </x:c>
      <x:c r="B54" s="24" t="str">
        <x:v>Micronesia (Federated States of)</x:v>
      </x:c>
      <x:c r="C54" s="24" t="str">
        <x:v>EEZ</x:v>
      </x:c>
      <x:c r="D54" s="30" t="n">
        <x:v>2019</x:v>
      </x:c>
      <x:c r="E54" s="24" t="str">
        <x:v>Myripristis adusta</x:v>
      </x:c>
      <x:c r="F54" s="24" t="str">
        <x:v>Shadowfin soldierfish</x:v>
      </x:c>
      <x:c r="G54" s="24" t="str">
        <x:v>Small reef assoc. fish (&lt;30 cm)</x:v>
      </x:c>
      <x:c r="H54" s="24" t="str">
        <x:v>Other fishes &amp; inverts</x:v>
      </x:c>
      <x:c r="I54" s="31" t="n">
        <x:v>24.793670303</x:v>
      </x:c>
      <x:c r="J54" s="31" t="n">
        <x:v>24.793670303</x:v>
      </x:c>
      <x:c r="K54" s="31" t="n">
        <x:v>0</x:v>
      </x:c>
      <x:c r="L54" s="31" t="n">
        <x:v>24.793670303</x:v>
      </x:c>
      <x:c r="M54" s="31" t="n">
        <x:v>0</x:v>
      </x:c>
      <x:c r="N54" s="24" t="str">
        <x:v>myripristis adusta</x:v>
      </x:c>
      <x:c r="O54" s="32" t="n">
        <x:v>3.4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Myripristis adusta</x:v>
      </x:c>
      <x:c r="T54" s="32" t="n">
        <x:f>IF(O54="","",(1/'Metadata'!$B$5)^(O54-1))</x:f>
        <x:v>251.18864315095797</x:v>
      </x:c>
      <x:c r="U54" s="31" t="n">
        <x:f>IF(T54="","",I54*T54)</x:f>
        <x:v>6227.888402142771</x:v>
      </x:c>
    </x:row>
    <x:row r="55" ht="18" customHeight="1">
      <x:c r="A55" s="24" t="str">
        <x:v>EEZ_583</x:v>
      </x:c>
      <x:c r="B55" s="24" t="str">
        <x:v>Micronesia (Federated States of)</x:v>
      </x:c>
      <x:c r="C55" s="24" t="str">
        <x:v>EEZ</x:v>
      </x:c>
      <x:c r="D55" s="30" t="n">
        <x:v>2019</x:v>
      </x:c>
      <x:c r="E55" s="24" t="str">
        <x:v>Mulloidichthys flavolineatus</x:v>
      </x:c>
      <x:c r="F55" s="24" t="str">
        <x:v>Yellowstripe goatfish</x:v>
      </x:c>
      <x:c r="G55" s="24" t="str">
        <x:v>Medium reef assoc. fish (30 - 89 cm)</x:v>
      </x:c>
      <x:c r="H55" s="24" t="str">
        <x:v>Perch-likes</x:v>
      </x:c>
      <x:c r="I55" s="31" t="n">
        <x:v>23.793090670999998</x:v>
      </x:c>
      <x:c r="J55" s="31" t="n">
        <x:v>23.793090670999998</x:v>
      </x:c>
      <x:c r="K55" s="31" t="n">
        <x:v>0</x:v>
      </x:c>
      <x:c r="L55" s="31" t="n">
        <x:v>23.793090670999998</x:v>
      </x:c>
      <x:c r="M55" s="31" t="n">
        <x:v>0</x:v>
      </x:c>
      <x:c r="N55" s="24" t="str">
        <x:v>mulloidichthys flavolineatus</x:v>
      </x:c>
      <x:c r="O55" s="32" t="n">
        <x:v>3.84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Mulloidichthys flavolineatus</x:v>
      </x:c>
      <x:c r="T55" s="32" t="n">
        <x:f>IF(O55="","",(1/'Metadata'!$B$5)^(O55-1))</x:f>
        <x:v>691.8309709189363</x:v>
      </x:c>
      <x:c r="U55" s="31" t="n">
        <x:f>IF(T55="","",I55*T55)</x:f>
        <x:v>16460.797020080212</x:v>
      </x:c>
    </x:row>
    <x:row r="56" ht="18" customHeight="1">
      <x:c r="A56" s="24" t="str">
        <x:v>EEZ_583</x:v>
      </x:c>
      <x:c r="B56" s="24" t="str">
        <x:v>Micronesia (Federated States of)</x:v>
      </x:c>
      <x:c r="C56" s="24" t="str">
        <x:v>EEZ</x:v>
      </x:c>
      <x:c r="D56" s="30" t="n">
        <x:v>2019</x:v>
      </x:c>
      <x:c r="E56" s="24" t="str">
        <x:v>Cephalopholis argus</x:v>
      </x:c>
      <x:c r="F56" s="24" t="str">
        <x:v>Peacock hind</x:v>
      </x:c>
      <x:c r="G56" s="24" t="str">
        <x:v>Medium reef assoc. fish (30 - 89 cm)</x:v>
      </x:c>
      <x:c r="H56" s="24" t="str">
        <x:v>Perch-likes</x:v>
      </x:c>
      <x:c r="I56" s="31" t="n">
        <x:v>23.724055995</x:v>
      </x:c>
      <x:c r="J56" s="31" t="n">
        <x:v>23.724055995</x:v>
      </x:c>
      <x:c r="K56" s="31" t="n">
        <x:v>0</x:v>
      </x:c>
      <x:c r="L56" s="31" t="n">
        <x:v>23.724055995</x:v>
      </x:c>
      <x:c r="M56" s="31" t="n">
        <x:v>0</x:v>
      </x:c>
      <x:c r="N56" s="24" t="str">
        <x:v>cephalopholis argus</x:v>
      </x:c>
      <x:c r="O56" s="32" t="n">
        <x:v>4.48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Cephalopholis argus</x:v>
      </x:c>
      <x:c r="T56" s="32" t="n">
        <x:f>IF(O56="","",(1/'Metadata'!$B$5)^(O56-1))</x:f>
        <x:v>3019.951720402019</x:v>
      </x:c>
      <x:c r="U56" s="31" t="n">
        <x:f>IF(T56="","",I56*T56)</x:f>
        <x:v>71645.50371701409</x:v>
      </x:c>
    </x:row>
    <x:row r="57" ht="18" customHeight="1">
      <x:c r="A57" s="24" t="str">
        <x:v>EEZ_583</x:v>
      </x:c>
      <x:c r="B57" s="24" t="str">
        <x:v>Micronesia (Federated States of)</x:v>
      </x:c>
      <x:c r="C57" s="24" t="str">
        <x:v>EEZ</x:v>
      </x:c>
      <x:c r="D57" s="30" t="n">
        <x:v>2019</x:v>
      </x:c>
      <x:c r="E57" s="24" t="str">
        <x:v>Epinephelus polyphekadion</x:v>
      </x:c>
      <x:c r="F57" s="24" t="str">
        <x:v>Camouflage grouper</x:v>
      </x:c>
      <x:c r="G57" s="24" t="str">
        <x:v>Large reef assoc. fish (&gt;=90 cm)</x:v>
      </x:c>
      <x:c r="H57" s="24" t="str">
        <x:v>Perch-likes</x:v>
      </x:c>
      <x:c r="I57" s="31" t="n">
        <x:v>23.514552442</x:v>
      </x:c>
      <x:c r="J57" s="31" t="n">
        <x:v>23.514552442</x:v>
      </x:c>
      <x:c r="K57" s="31" t="n">
        <x:v>0</x:v>
      </x:c>
      <x:c r="L57" s="31" t="n">
        <x:v>23.514552442</x:v>
      </x:c>
      <x:c r="M57" s="31" t="n">
        <x:v>0</x:v>
      </x:c>
      <x:c r="N57" s="24" t="str">
        <x:v>epinephelus polyphekadion</x:v>
      </x:c>
      <x:c r="O57" s="32" t="n">
        <x:v>3.99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Epinephelus polyphekadion</x:v>
      </x:c>
      <x:c r="T57" s="32" t="n">
        <x:f>IF(O57="","",(1/'Metadata'!$B$5)^(O57-1))</x:f>
        <x:v>977.2372209558112</x:v>
      </x:c>
      <x:c r="U57" s="31" t="n">
        <x:f>IF(T57="","",I57*T57)</x:f>
        <x:v>22979.29588043976</x:v>
      </x:c>
    </x:row>
    <x:row r="58" ht="18" customHeight="1">
      <x:c r="A58" s="24" t="str">
        <x:v>EEZ_583</x:v>
      </x:c>
      <x:c r="B58" s="24" t="str">
        <x:v>Micronesia (Federated States of)</x:v>
      </x:c>
      <x:c r="C58" s="24" t="str">
        <x:v>EEZ</x:v>
      </x:c>
      <x:c r="D58" s="30" t="n">
        <x:v>2019</x:v>
      </x:c>
      <x:c r="E58" s="24" t="str">
        <x:v>Macolor macularis</x:v>
      </x:c>
      <x:c r="F58" s="24" t="str">
        <x:v>Midnight snapper</x:v>
      </x:c>
      <x:c r="G58" s="24" t="str">
        <x:v>Medium reef assoc. fish (30 - 89 cm)</x:v>
      </x:c>
      <x:c r="H58" s="24" t="str">
        <x:v>Perch-likes</x:v>
      </x:c>
      <x:c r="I58" s="31" t="n">
        <x:v>22.914759881</x:v>
      </x:c>
      <x:c r="J58" s="31" t="n">
        <x:v>22.914759881</x:v>
      </x:c>
      <x:c r="K58" s="31" t="n">
        <x:v>0</x:v>
      </x:c>
      <x:c r="L58" s="31" t="n">
        <x:v>22.914759881</x:v>
      </x:c>
      <x:c r="M58" s="31" t="n">
        <x:v>0</x:v>
      </x:c>
      <x:c r="N58" s="24" t="str">
        <x:v>macolor macularis</x:v>
      </x:c>
      <x:c r="O58" s="32" t="n">
        <x:v>3.97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Macolor macularis</x:v>
      </x:c>
      <x:c r="T58" s="32" t="n">
        <x:f>IF(O58="","",(1/'Metadata'!$B$5)^(O58-1))</x:f>
        <x:v>933.2543007969915</x:v>
      </x:c>
      <x:c r="U58" s="31" t="n">
        <x:f>IF(T58="","",I58*T58)</x:f>
        <x:v>21385.298210673605</x:v>
      </x:c>
    </x:row>
    <x:row r="59" ht="18" customHeight="1">
      <x:c r="A59" s="24" t="str">
        <x:v>EEZ_583</x:v>
      </x:c>
      <x:c r="B59" s="24" t="str">
        <x:v>Micronesia (Federated States of)</x:v>
      </x:c>
      <x:c r="C59" s="24" t="str">
        <x:v>EEZ</x:v>
      </x:c>
      <x:c r="D59" s="30" t="n">
        <x:v>2019</x:v>
      </x:c>
      <x:c r="E59" s="24" t="str">
        <x:v>Mulloidichthys vanicolensis</x:v>
      </x:c>
      <x:c r="F59" s="24" t="str">
        <x:v>Yellowfin goatfish</x:v>
      </x:c>
      <x:c r="G59" s="24" t="str">
        <x:v>Medium reef assoc. fish (30 - 89 cm)</x:v>
      </x:c>
      <x:c r="H59" s="24" t="str">
        <x:v>Perch-likes</x:v>
      </x:c>
      <x:c r="I59" s="31" t="n">
        <x:v>21.341666423</x:v>
      </x:c>
      <x:c r="J59" s="31" t="n">
        <x:v>21.341666423</x:v>
      </x:c>
      <x:c r="K59" s="31" t="n">
        <x:v>0</x:v>
      </x:c>
      <x:c r="L59" s="31" t="n">
        <x:v>21.341666423</x:v>
      </x:c>
      <x:c r="M59" s="31" t="n">
        <x:v>0</x:v>
      </x:c>
      <x:c r="N59" s="24" t="str">
        <x:v>mulloidichthys vanicolensis</x:v>
      </x:c>
      <x:c r="O59" s="32" t="n">
        <x:v>3.6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Mulloidichthys vanicolensis</x:v>
      </x:c>
      <x:c r="T59" s="32" t="n">
        <x:f>IF(O59="","",(1/'Metadata'!$B$5)^(O59-1))</x:f>
        <x:v>398.1071705534973</x:v>
      </x:c>
      <x:c r="U59" s="31" t="n">
        <x:f>IF(T59="","",I59*T59)</x:f>
        <x:v>8496.270434557107</x:v>
      </x:c>
    </x:row>
    <x:row r="60" ht="18" customHeight="1">
      <x:c r="A60" s="24" t="str">
        <x:v>EEZ_583</x:v>
      </x:c>
      <x:c r="B60" s="24" t="str">
        <x:v>Micronesia (Federated States of)</x:v>
      </x:c>
      <x:c r="C60" s="24" t="str">
        <x:v>EEZ</x:v>
      </x:c>
      <x:c r="D60" s="30" t="n">
        <x:v>2019</x:v>
      </x:c>
      <x:c r="E60" s="24" t="str">
        <x:v>Labridae</x:v>
      </x:c>
      <x:c r="F60" s="24" t="str">
        <x:v>Wrasses, gropers, tuskfishes</x:v>
      </x:c>
      <x:c r="G60" s="24" t="str">
        <x:v>Medium reef assoc. fish (30 - 89 cm)</x:v>
      </x:c>
      <x:c r="H60" s="24" t="str">
        <x:v>Perch-likes</x:v>
      </x:c>
      <x:c r="I60" s="31" t="n">
        <x:v>20.269183915</x:v>
      </x:c>
      <x:c r="J60" s="31" t="n">
        <x:v>20.269183915</x:v>
      </x:c>
      <x:c r="K60" s="31" t="n">
        <x:v>0</x:v>
      </x:c>
      <x:c r="L60" s="31" t="n">
        <x:v>20.269183915</x:v>
      </x:c>
      <x:c r="M60" s="31" t="n">
        <x:v>0</x:v>
      </x:c>
      <x:c r="N60" s="24" t="str">
        <x:v>labridae</x:v>
      </x:c>
      <x:c r="O60" s="32" t="n">
        <x:v>3.46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Labridae</x:v>
      </x:c>
      <x:c r="T60" s="32" t="n">
        <x:f>IF(O60="","",(1/'Metadata'!$B$5)^(O60-1))</x:f>
        <x:v>288.40315031266056</x:v>
      </x:c>
      <x:c r="U60" s="31" t="n">
        <x:f>IF(T60="","",I60*T60)</x:f>
        <x:v>5845.696495352707</x:v>
      </x:c>
    </x:row>
    <x:row r="61" ht="18" customHeight="1">
      <x:c r="A61" s="24" t="str">
        <x:v>EEZ_583</x:v>
      </x:c>
      <x:c r="B61" s="24" t="str">
        <x:v>Micronesia (Federated States of)</x:v>
      </x:c>
      <x:c r="C61" s="24" t="str">
        <x:v>EEZ</x:v>
      </x:c>
      <x:c r="D61" s="30" t="n">
        <x:v>2019</x:v>
      </x:c>
      <x:c r="E61" s="24" t="str">
        <x:v>Octopus</x:v>
      </x:c>
      <x:c r="F61" s="24" t="str">
        <x:v>Octopuses, pikas</x:v>
      </x:c>
      <x:c r="G61" s="24" t="str">
        <x:v>Cephalopods</x:v>
      </x:c>
      <x:c r="H61" s="24" t="str">
        <x:v>Other fishes &amp; inverts</x:v>
      </x:c>
      <x:c r="I61" s="31" t="n">
        <x:v>19.999999998</x:v>
      </x:c>
      <x:c r="J61" s="31" t="n">
        <x:v>19.999999998</x:v>
      </x:c>
      <x:c r="K61" s="31" t="n">
        <x:v>0</x:v>
      </x:c>
      <x:c r="L61" s="31" t="n">
        <x:v>19.999999998</x:v>
      </x:c>
      <x:c r="M61" s="31" t="n">
        <x:v>0</x:v>
      </x:c>
      <x:c r="N61" s="24" t="str">
        <x:v>octopus</x:v>
      </x:c>
      <x:c r="O61" s="32" t="n">
        <x:v>3.8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Octopus</x:v>
      </x:c>
      <x:c r="T61" s="32" t="n">
        <x:f>IF(O61="","",(1/'Metadata'!$B$5)^(O61-1))</x:f>
        <x:v>630.957344480193</x:v>
      </x:c>
      <x:c r="U61" s="31" t="n">
        <x:f>IF(T61="","",I61*T61)</x:f>
        <x:v>12619.146888341946</x:v>
      </x:c>
    </x:row>
    <x:row r="62" ht="18" customHeight="1">
      <x:c r="A62" s="24" t="str">
        <x:v>EEZ_583</x:v>
      </x:c>
      <x:c r="B62" s="24" t="str">
        <x:v>Micronesia (Federated States of)</x:v>
      </x:c>
      <x:c r="C62" s="24" t="str">
        <x:v>EEZ</x:v>
      </x:c>
      <x:c r="D62" s="30" t="n">
        <x:v>2019</x:v>
      </x:c>
      <x:c r="E62" s="24" t="str">
        <x:v>Panulirus</x:v>
      </x:c>
      <x:c r="F62" s="24" t="str">
        <x:v>Spiny lobsters</x:v>
      </x:c>
      <x:c r="G62" s="24" t="str">
        <x:v>Lobsters, crabs</x:v>
      </x:c>
      <x:c r="H62" s="24" t="str">
        <x:v>Crustaceans</x:v>
      </x:c>
      <x:c r="I62" s="31" t="n">
        <x:v>19.999999998</x:v>
      </x:c>
      <x:c r="J62" s="31" t="n">
        <x:v>19.999999998</x:v>
      </x:c>
      <x:c r="K62" s="31" t="n">
        <x:v>0</x:v>
      </x:c>
      <x:c r="L62" s="31" t="n">
        <x:v>19.999999998</x:v>
      </x:c>
      <x:c r="M62" s="31" t="n">
        <x:v>0</x:v>
      </x:c>
      <x:c r="N62" s="24" t="str">
        <x:v>panulirus</x:v>
      </x:c>
      <x:c r="O62" s="32" t="n">
        <x:v>2.6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Panulirus</x:v>
      </x:c>
      <x:c r="T62" s="32" t="n">
        <x:f>IF(O62="","",(1/'Metadata'!$B$5)^(O62-1))</x:f>
        <x:v>39.810717055349734</x:v>
      </x:c>
      <x:c r="U62" s="31" t="n">
        <x:f>IF(T62="","",I62*T62)</x:f>
        <x:v>796.2143410273733</x:v>
      </x:c>
    </x:row>
    <x:row r="63" ht="18" customHeight="1">
      <x:c r="A63" s="24" t="str">
        <x:v>EEZ_583</x:v>
      </x:c>
      <x:c r="B63" s="24" t="str">
        <x:v>Micronesia (Federated States of)</x:v>
      </x:c>
      <x:c r="C63" s="24" t="str">
        <x:v>EEZ</x:v>
      </x:c>
      <x:c r="D63" s="30" t="n">
        <x:v>2019</x:v>
      </x:c>
      <x:c r="E63" s="24" t="str">
        <x:v>Parupeneus</x:v>
      </x:c>
      <x:c r="F63" s="24" t="str">
        <x:v>Parupeneid goatfishes</x:v>
      </x:c>
      <x:c r="G63" s="24" t="str">
        <x:v>Medium reef assoc. fish (30 - 89 cm)</x:v>
      </x:c>
      <x:c r="H63" s="24" t="str">
        <x:v>Perch-likes</x:v>
      </x:c>
      <x:c r="I63" s="31" t="n">
        <x:v>18.927973372999997</x:v>
      </x:c>
      <x:c r="J63" s="31" t="n">
        <x:v>18.927973372999997</x:v>
      </x:c>
      <x:c r="K63" s="31" t="n">
        <x:v>0</x:v>
      </x:c>
      <x:c r="L63" s="31" t="n">
        <x:v>18.927973372999997</x:v>
      </x:c>
      <x:c r="M63" s="31" t="n">
        <x:v>0</x:v>
      </x:c>
      <x:c r="N63" s="24" t="str">
        <x:v>parupeneus</x:v>
      </x:c>
      <x:c r="O63" s="32" t="n">
        <x:v>3.51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Parupeneus</x:v>
      </x:c>
      <x:c r="T63" s="32" t="n">
        <x:f>IF(O63="","",(1/'Metadata'!$B$5)^(O63-1))</x:f>
        <x:v>323.5936569296281</x:v>
      </x:c>
      <x:c r="U63" s="31" t="n">
        <x:f>IF(T63="","",I63*T63)</x:f>
        <x:v>6124.972122035696</x:v>
      </x:c>
    </x:row>
    <x:row r="64" ht="18" customHeight="1">
      <x:c r="A64" s="24" t="str">
        <x:v>EEZ_583</x:v>
      </x:c>
      <x:c r="B64" s="24" t="str">
        <x:v>Micronesia (Federated States of)</x:v>
      </x:c>
      <x:c r="C64" s="24" t="str">
        <x:v>EEZ</x:v>
      </x:c>
      <x:c r="D64" s="30" t="n">
        <x:v>2019</x:v>
      </x:c>
      <x:c r="E64" s="24" t="str">
        <x:v>Kyphosus vaigiensis</x:v>
      </x:c>
      <x:c r="F64" s="24" t="str">
        <x:v>Brassy chub</x:v>
      </x:c>
      <x:c r="G64" s="24" t="str">
        <x:v>Medium reef assoc. fish (30 - 89 cm)</x:v>
      </x:c>
      <x:c r="H64" s="24" t="str">
        <x:v>Perch-likes</x:v>
      </x:c>
      <x:c r="I64" s="31" t="n">
        <x:v>18.418850542</x:v>
      </x:c>
      <x:c r="J64" s="31" t="n">
        <x:v>18.418850542</x:v>
      </x:c>
      <x:c r="K64" s="31" t="n">
        <x:v>0</x:v>
      </x:c>
      <x:c r="L64" s="31" t="n">
        <x:v>18.418850542</x:v>
      </x:c>
      <x:c r="M64" s="31" t="n">
        <x:v>0</x:v>
      </x:c>
      <x:c r="N64" s="24" t="str">
        <x:v>kyphosus vaigiensis</x:v>
      </x:c>
      <x:c r="O64" s="32" t="n">
        <x:v>2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Kyphosus vaigiensis</x:v>
      </x:c>
      <x:c r="T64" s="32" t="n">
        <x:f>IF(O64="","",(1/'Metadata'!$B$5)^(O64-1))</x:f>
        <x:v>10</x:v>
      </x:c>
      <x:c r="U64" s="31" t="n">
        <x:f>IF(T64="","",I64*T64)</x:f>
        <x:v>184.18850542</x:v>
      </x:c>
    </x:row>
    <x:row r="65" ht="18" customHeight="1">
      <x:c r="A65" s="24" t="str">
        <x:v>EEZ_583</x:v>
      </x:c>
      <x:c r="B65" s="24" t="str">
        <x:v>Micronesia (Federated States of)</x:v>
      </x:c>
      <x:c r="C65" s="24" t="str">
        <x:v>EEZ</x:v>
      </x:c>
      <x:c r="D65" s="30" t="n">
        <x:v>2019</x:v>
      </x:c>
      <x:c r="E65" s="24" t="str">
        <x:v>Scarus oviceps</x:v>
      </x:c>
      <x:c r="F65" s="24" t="str">
        <x:v>Darkcapped parrotfish</x:v>
      </x:c>
      <x:c r="G65" s="24" t="str">
        <x:v>Medium reef assoc. fish (30 - 89 cm)</x:v>
      </x:c>
      <x:c r="H65" s="24" t="str">
        <x:v>Perch-likes</x:v>
      </x:c>
      <x:c r="I65" s="31" t="n">
        <x:v>15.631285443</x:v>
      </x:c>
      <x:c r="J65" s="31" t="n">
        <x:v>15.631285443</x:v>
      </x:c>
      <x:c r="K65" s="31" t="n">
        <x:v>0</x:v>
      </x:c>
      <x:c r="L65" s="31" t="n">
        <x:v>15.631285443</x:v>
      </x:c>
      <x:c r="M65" s="31" t="n">
        <x:v>0</x:v>
      </x:c>
      <x:c r="N65" s="24" t="str">
        <x:v>scarus oviceps</x:v>
      </x:c>
      <x:c r="O65" s="32" t="n">
        <x:v>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Scarus oviceps</x:v>
      </x:c>
      <x:c r="T65" s="32" t="n">
        <x:f>IF(O65="","",(1/'Metadata'!$B$5)^(O65-1))</x:f>
        <x:v>10</x:v>
      </x:c>
      <x:c r="U65" s="31" t="n">
        <x:f>IF(T65="","",I65*T65)</x:f>
        <x:v>156.31285443</x:v>
      </x:c>
    </x:row>
    <x:row r="66" ht="18" customHeight="1">
      <x:c r="A66" s="24" t="str">
        <x:v>EEZ_583</x:v>
      </x:c>
      <x:c r="B66" s="24" t="str">
        <x:v>Micronesia (Federated States of)</x:v>
      </x:c>
      <x:c r="C66" s="24" t="str">
        <x:v>EEZ</x:v>
      </x:c>
      <x:c r="D66" s="30" t="n">
        <x:v>2019</x:v>
      </x:c>
      <x:c r="E66" s="24" t="str">
        <x:v>Kajikia audax</x:v>
      </x:c>
      <x:c r="F66" s="24" t="str">
        <x:v>Striped marlin</x:v>
      </x:c>
      <x:c r="G66" s="24" t="str">
        <x:v>Large pelagics (&gt;=90 cm)</x:v>
      </x:c>
      <x:c r="H66" s="24" t="str">
        <x:v>Tuna &amp; billfishes</x:v>
      </x:c>
      <x:c r="I66" s="31" t="n">
        <x:v>15.4781429908</x:v>
      </x:c>
      <x:c r="J66" s="31" t="n">
        <x:v>15.4781429908</x:v>
      </x:c>
      <x:c r="K66" s="31" t="n">
        <x:v>0</x:v>
      </x:c>
      <x:c r="L66" s="31" t="n">
        <x:v>15.4781429908</x:v>
      </x:c>
      <x:c r="M66" s="31" t="n">
        <x:v>0</x:v>
      </x:c>
      <x:c r="N66" s="24" t="str">
        <x:v>kajikia audax</x:v>
      </x:c>
      <x:c r="O66" s="32" t="n">
        <x:v>4.58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Kajikia audax</x:v>
      </x:c>
      <x:c r="T66" s="32" t="n">
        <x:f>IF(O66="","",(1/'Metadata'!$B$5)^(O66-1))</x:f>
        <x:v>3801.8939632056126</x:v>
      </x:c>
      <x:c r="U66" s="31" t="n">
        <x:f>IF(T66="","",I66*T66)</x:f>
        <x:v>58846.258398355785</x:v>
      </x:c>
    </x:row>
    <x:row r="67" ht="18" customHeight="1">
      <x:c r="A67" s="24" t="str">
        <x:v>EEZ_583</x:v>
      </x:c>
      <x:c r="B67" s="24" t="str">
        <x:v>Micronesia (Federated States of)</x:v>
      </x:c>
      <x:c r="C67" s="24" t="str">
        <x:v>EEZ</x:v>
      </x:c>
      <x:c r="D67" s="30" t="n">
        <x:v>2019</x:v>
      </x:c>
      <x:c r="E67" s="24" t="str">
        <x:v>Sphyrna</x:v>
      </x:c>
      <x:c r="F67" s="24" t="str">
        <x:v>Hammerhead sharks</x:v>
      </x:c>
      <x:c r="G67" s="24" t="str">
        <x:v>Large sharks (&gt;=90 cm)</x:v>
      </x:c>
      <x:c r="H67" s="24" t="str">
        <x:v>Sharks &amp; rays</x:v>
      </x:c>
      <x:c r="I67" s="31" t="n">
        <x:v>13.6480491198</x:v>
      </x:c>
      <x:c r="J67" s="31" t="n">
        <x:v>13.6480491198</x:v>
      </x:c>
      <x:c r="K67" s="31" t="n">
        <x:v>0</x:v>
      </x:c>
      <x:c r="L67" s="31" t="n">
        <x:v>13.6480491198</x:v>
      </x:c>
      <x:c r="M67" s="31" t="n">
        <x:v>0</x:v>
      </x:c>
      <x:c r="N67" s="24" t="str">
        <x:v>sphyrna</x:v>
      </x:c>
      <x:c r="O67" s="32" t="n">
        <x:v>4.2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Sphyrna</x:v>
      </x:c>
      <x:c r="T67" s="32" t="n">
        <x:f>IF(O67="","",(1/'Metadata'!$B$5)^(O67-1))</x:f>
        <x:v>1584.893192461114</x:v>
      </x:c>
      <x:c r="U67" s="31" t="n">
        <x:f>IF(T67="","",I67*T67)</x:f>
        <x:v>21630.700140345918</x:v>
      </x:c>
    </x:row>
    <x:row r="68" ht="18" customHeight="1">
      <x:c r="A68" s="24" t="str">
        <x:v>EEZ_583</x:v>
      </x:c>
      <x:c r="B68" s="24" t="str">
        <x:v>Micronesia (Federated States of)</x:v>
      </x:c>
      <x:c r="C68" s="24" t="str">
        <x:v>EEZ</x:v>
      </x:c>
      <x:c r="D68" s="30" t="n">
        <x:v>2019</x:v>
      </x:c>
      <x:c r="E68" s="24" t="str">
        <x:v>Parupeneus cyclostomus</x:v>
      </x:c>
      <x:c r="F68" s="24" t="str">
        <x:v>Gold-saddle goatfish</x:v>
      </x:c>
      <x:c r="G68" s="24" t="str">
        <x:v>Medium reef assoc. fish (30 - 89 cm)</x:v>
      </x:c>
      <x:c r="H68" s="24" t="str">
        <x:v>Perch-likes</x:v>
      </x:c>
      <x:c r="I68" s="31" t="n">
        <x:v>12.293318223</x:v>
      </x:c>
      <x:c r="J68" s="31" t="n">
        <x:v>12.293318223</x:v>
      </x:c>
      <x:c r="K68" s="31" t="n">
        <x:v>0</x:v>
      </x:c>
      <x:c r="L68" s="31" t="n">
        <x:v>12.293318223</x:v>
      </x:c>
      <x:c r="M68" s="31" t="n">
        <x:v>0</x:v>
      </x:c>
      <x:c r="N68" s="24" t="str">
        <x:v>parupeneus cyclostomus</x:v>
      </x:c>
      <x:c r="O68" s="32" t="n">
        <x:v>4.2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Parupeneus cyclostomus</x:v>
      </x:c>
      <x:c r="T68" s="32" t="n">
        <x:f>IF(O68="","",(1/'Metadata'!$B$5)^(O68-1))</x:f>
        <x:v>1584.893192461114</x:v>
      </x:c>
      <x:c r="U68" s="31" t="n">
        <x:f>IF(T68="","",I68*T68)</x:f>
        <x:v>19483.596364390858</x:v>
      </x:c>
    </x:row>
    <x:row r="69" ht="18" customHeight="1">
      <x:c r="A69" s="24" t="str">
        <x:v>EEZ_583</x:v>
      </x:c>
      <x:c r="B69" s="24" t="str">
        <x:v>Micronesia (Federated States of)</x:v>
      </x:c>
      <x:c r="C69" s="24" t="str">
        <x:v>EEZ</x:v>
      </x:c>
      <x:c r="D69" s="30" t="n">
        <x:v>2019</x:v>
      </x:c>
      <x:c r="E69" s="24" t="str">
        <x:v>Lethrinus obsoletus</x:v>
      </x:c>
      <x:c r="F69" s="24" t="str">
        <x:v>Orange-striped emperor</x:v>
      </x:c>
      <x:c r="G69" s="24" t="str">
        <x:v>Medium demersals (30 - 89 cm)</x:v>
      </x:c>
      <x:c r="H69" s="24" t="str">
        <x:v>Perch-likes</x:v>
      </x:c>
      <x:c r="I69" s="31" t="n">
        <x:v>11.877141959</x:v>
      </x:c>
      <x:c r="J69" s="31" t="n">
        <x:v>11.877141959</x:v>
      </x:c>
      <x:c r="K69" s="31" t="n">
        <x:v>0</x:v>
      </x:c>
      <x:c r="L69" s="31" t="n">
        <x:v>11.877141959</x:v>
      </x:c>
      <x:c r="M69" s="31" t="n">
        <x:v>0</x:v>
      </x:c>
      <x:c r="N69" s="24" t="str">
        <x:v>lethrinus obsoletus</x:v>
      </x:c>
      <x:c r="O69" s="32" t="n">
        <x:v>3.89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Lethrinus obsoletus</x:v>
      </x:c>
      <x:c r="T69" s="32" t="n">
        <x:f>IF(O69="","",(1/'Metadata'!$B$5)^(O69-1))</x:f>
        <x:v>776.247116628692</x:v>
      </x:c>
      <x:c r="U69" s="31" t="n">
        <x:f>IF(T69="","",I69*T69)</x:f>
        <x:v>9219.597199463404</x:v>
      </x:c>
    </x:row>
    <x:row r="70" ht="18" customHeight="1">
      <x:c r="A70" s="24" t="str">
        <x:v>EEZ_583</x:v>
      </x:c>
      <x:c r="B70" s="24" t="str">
        <x:v>Micronesia (Federated States of)</x:v>
      </x:c>
      <x:c r="C70" s="24" t="str">
        <x:v>EEZ</x:v>
      </x:c>
      <x:c r="D70" s="30" t="n">
        <x:v>2019</x:v>
      </x:c>
      <x:c r="E70" s="24" t="str">
        <x:v>Lutjanus</x:v>
      </x:c>
      <x:c r="F70" s="24" t="str">
        <x:v>Snappers</x:v>
      </x:c>
      <x:c r="G70" s="24" t="str">
        <x:v>Medium reef assoc. fish (30 - 89 cm)</x:v>
      </x:c>
      <x:c r="H70" s="24" t="str">
        <x:v>Perch-likes</x:v>
      </x:c>
      <x:c r="I70" s="31" t="n">
        <x:v>11.452283232</x:v>
      </x:c>
      <x:c r="J70" s="31" t="n">
        <x:v>11.452283232</x:v>
      </x:c>
      <x:c r="K70" s="31" t="n">
        <x:v>0</x:v>
      </x:c>
      <x:c r="L70" s="31" t="n">
        <x:v>11.452283232</x:v>
      </x:c>
      <x:c r="M70" s="31" t="n">
        <x:v>0</x:v>
      </x:c>
      <x:c r="N70" s="24" t="str">
        <x:v>lutjanus</x:v>
      </x:c>
      <x:c r="O70" s="32" t="n">
        <x:v>4.02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Lutjanus</x:v>
      </x:c>
      <x:c r="T70" s="32" t="n">
        <x:f>IF(O70="","",(1/'Metadata'!$B$5)^(O70-1))</x:f>
        <x:v>1047.1285480508984</x:v>
      </x:c>
      <x:c r="U70" s="31" t="n">
        <x:f>IF(T70="","",I70*T70)</x:f>
        <x:v>11992.01271259181</x:v>
      </x:c>
    </x:row>
    <x:row r="71" ht="18" customHeight="1">
      <x:c r="A71" s="24" t="str">
        <x:v>EEZ_583</x:v>
      </x:c>
      <x:c r="B71" s="24" t="str">
        <x:v>Micronesia (Federated States of)</x:v>
      </x:c>
      <x:c r="C71" s="24" t="str">
        <x:v>EEZ</x:v>
      </x:c>
      <x:c r="D71" s="30" t="n">
        <x:v>2019</x:v>
      </x:c>
      <x:c r="E71" s="24" t="str">
        <x:v>Caesio caerulaurea</x:v>
      </x:c>
      <x:c r="F71" s="24" t="str">
        <x:v>Blue and gold fusilier</x:v>
      </x:c>
      <x:c r="G71" s="24" t="str">
        <x:v>Medium reef assoc. fish (30 - 89 cm)</x:v>
      </x:c>
      <x:c r="H71" s="24" t="str">
        <x:v>Perch-likes</x:v>
      </x:c>
      <x:c r="I71" s="31" t="n">
        <x:v>11.441787095</x:v>
      </x:c>
      <x:c r="J71" s="31" t="n">
        <x:v>11.441787095</x:v>
      </x:c>
      <x:c r="K71" s="31" t="n">
        <x:v>0</x:v>
      </x:c>
      <x:c r="L71" s="31" t="n">
        <x:v>11.441787095</x:v>
      </x:c>
      <x:c r="M71" s="31" t="n">
        <x:v>0</x:v>
      </x:c>
      <x:c r="N71" s="24" t="str">
        <x:v>caesio caerulaurea</x:v>
      </x:c>
      <x:c r="O71" s="32" t="n">
        <x:v>3.4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Caesio caerulaurea</x:v>
      </x:c>
      <x:c r="T71" s="32" t="n">
        <x:f>IF(O71="","",(1/'Metadata'!$B$5)^(O71-1))</x:f>
        <x:v>251.18864315095797</x:v>
      </x:c>
      <x:c r="U71" s="31" t="n">
        <x:f>IF(T71="","",I71*T71)</x:f>
        <x:v>2874.046975615191</x:v>
      </x:c>
    </x:row>
    <x:row r="72" ht="18" customHeight="1">
      <x:c r="A72" s="24" t="str">
        <x:v>EEZ_583</x:v>
      </x:c>
      <x:c r="B72" s="24" t="str">
        <x:v>Micronesia (Federated States of)</x:v>
      </x:c>
      <x:c r="C72" s="24" t="str">
        <x:v>EEZ</x:v>
      </x:c>
      <x:c r="D72" s="30" t="n">
        <x:v>2019</x:v>
      </x:c>
      <x:c r="E72" s="24" t="str">
        <x:v>Lethrinus amboinensis</x:v>
      </x:c>
      <x:c r="F72" s="24" t="str">
        <x:v>Ambon emperor</x:v>
      </x:c>
      <x:c r="G72" s="24" t="str">
        <x:v>Medium reef assoc. fish (30 - 89 cm)</x:v>
      </x:c>
      <x:c r="H72" s="24" t="str">
        <x:v>Perch-likes</x:v>
      </x:c>
      <x:c r="I72" s="31" t="n">
        <x:v>10.445316616</x:v>
      </x:c>
      <x:c r="J72" s="31" t="n">
        <x:v>10.445316616</x:v>
      </x:c>
      <x:c r="K72" s="31" t="n">
        <x:v>0</x:v>
      </x:c>
      <x:c r="L72" s="31" t="n">
        <x:v>10.445316616</x:v>
      </x:c>
      <x:c r="M72" s="31" t="n">
        <x:v>0</x:v>
      </x:c>
      <x:c r="N72" s="24" t="str">
        <x:v>lethrinus amboinensis</x:v>
      </x:c>
      <x:c r="O72" s="32" t="n">
        <x:v>3.99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Lethrinus amboinensis</x:v>
      </x:c>
      <x:c r="T72" s="32" t="n">
        <x:f>IF(O72="","",(1/'Metadata'!$B$5)^(O72-1))</x:f>
        <x:v>977.2372209558112</x:v>
      </x:c>
      <x:c r="U72" s="31" t="n">
        <x:f>IF(T72="","",I72*T72)</x:f>
        <x:v>10207.552181823397</x:v>
      </x:c>
    </x:row>
    <x:row r="73" ht="18" customHeight="1">
      <x:c r="A73" s="24" t="str">
        <x:v>EEZ_583</x:v>
      </x:c>
      <x:c r="B73" s="24" t="str">
        <x:v>Micronesia (Federated States of)</x:v>
      </x:c>
      <x:c r="C73" s="24" t="str">
        <x:v>EEZ</x:v>
      </x:c>
      <x:c r="D73" s="30" t="n">
        <x:v>2019</x:v>
      </x:c>
      <x:c r="E73" s="24" t="str">
        <x:v>Chaetodontidae</x:v>
      </x:c>
      <x:c r="F73" s="24" t="str">
        <x:v>Butterflyfishes</x:v>
      </x:c>
      <x:c r="G73" s="24" t="str">
        <x:v>Small reef assoc. fish (&lt;30 cm)</x:v>
      </x:c>
      <x:c r="H73" s="24" t="str">
        <x:v>Perch-likes</x:v>
      </x:c>
      <x:c r="I73" s="31" t="n">
        <x:v>9.7899670738</x:v>
      </x:c>
      <x:c r="J73" s="31" t="n">
        <x:v>9.7899670738</x:v>
      </x:c>
      <x:c r="K73" s="31" t="n">
        <x:v>0</x:v>
      </x:c>
      <x:c r="L73" s="31" t="n">
        <x:v>9.7899670738</x:v>
      </x:c>
      <x:c r="M73" s="31" t="n">
        <x:v>0</x:v>
      </x:c>
      <x:c r="N73" s="24" t="str">
        <x:v>chaetodontidae</x:v>
      </x:c>
      <x:c r="O73" s="32" t="n">
        <x:v>3.24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Chaetodontidae</x:v>
      </x:c>
      <x:c r="T73" s="32" t="n">
        <x:f>IF(O73="","",(1/'Metadata'!$B$5)^(O73-1))</x:f>
        <x:v>173.78008287493762</x:v>
      </x:c>
      <x:c r="U73" s="31" t="n">
        <x:f>IF(T73="","",I73*T73)</x:f>
        <x:v>1701.3012894278745</x:v>
      </x:c>
    </x:row>
    <x:row r="74" ht="18" customHeight="1">
      <x:c r="A74" s="24" t="str">
        <x:v>EEZ_583</x:v>
      </x:c>
      <x:c r="B74" s="24" t="str">
        <x:v>Micronesia (Federated States of)</x:v>
      </x:c>
      <x:c r="C74" s="24" t="str">
        <x:v>EEZ</x:v>
      </x:c>
      <x:c r="D74" s="30" t="n">
        <x:v>2019</x:v>
      </x:c>
      <x:c r="E74" s="24" t="str">
        <x:v>Ellochelon vaigiensis</x:v>
      </x:c>
      <x:c r="F74" s="24" t="str">
        <x:v>Squaretail mullet</x:v>
      </x:c>
      <x:c r="G74" s="24" t="str">
        <x:v>Medium reef assoc. fish (30 - 89 cm)</x:v>
      </x:c>
      <x:c r="H74" s="24" t="str">
        <x:v>Perch-likes</x:v>
      </x:c>
      <x:c r="I74" s="31" t="n">
        <x:v>8.079081858</x:v>
      </x:c>
      <x:c r="J74" s="31" t="n">
        <x:v>8.079081858</x:v>
      </x:c>
      <x:c r="K74" s="31" t="n">
        <x:v>0</x:v>
      </x:c>
      <x:c r="L74" s="31" t="n">
        <x:v>8.079081858</x:v>
      </x:c>
      <x:c r="M74" s="31" t="n">
        <x:v>0</x:v>
      </x:c>
      <x:c r="N74" s="24" t="str">
        <x:v>ellochelon vaigiensis</x:v>
      </x:c>
      <x:c r="O74" s="32" t="n">
        <x:v>2.18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Ellochelon vaigiensis</x:v>
      </x:c>
      <x:c r="T74" s="32" t="n">
        <x:f>IF(O74="","",(1/'Metadata'!$B$5)^(O74-1))</x:f>
        <x:v>15.135612484362087</x:v>
      </x:c>
      <x:c r="U74" s="31" t="n">
        <x:f>IF(T74="","",I74*T74)</x:f>
        <x:v>122.28185223212805</x:v>
      </x:c>
    </x:row>
    <x:row r="75" ht="18" customHeight="1">
      <x:c r="A75" s="24" t="str">
        <x:v>EEZ_583</x:v>
      </x:c>
      <x:c r="B75" s="24" t="str">
        <x:v>Micronesia (Federated States of)</x:v>
      </x:c>
      <x:c r="C75" s="24" t="str">
        <x:v>EEZ</x:v>
      </x:c>
      <x:c r="D75" s="30" t="n">
        <x:v>2019</x:v>
      </x:c>
      <x:c r="E75" s="24" t="str">
        <x:v>Aphareus furca</x:v>
      </x:c>
      <x:c r="F75" s="24" t="str">
        <x:v>Small toothed jobfish</x:v>
      </x:c>
      <x:c r="G75" s="24" t="str">
        <x:v>Medium reef assoc. fish (30 - 89 cm)</x:v>
      </x:c>
      <x:c r="H75" s="24" t="str">
        <x:v>Perch-likes</x:v>
      </x:c>
      <x:c r="I75" s="31" t="n">
        <x:v>7.506886126</x:v>
      </x:c>
      <x:c r="J75" s="31" t="n">
        <x:v>7.506886126</x:v>
      </x:c>
      <x:c r="K75" s="31" t="n">
        <x:v>0</x:v>
      </x:c>
      <x:c r="L75" s="31" t="n">
        <x:v>7.506886126</x:v>
      </x:c>
      <x:c r="M75" s="31" t="n">
        <x:v>0</x:v>
      </x:c>
      <x:c r="N75" s="24" t="str">
        <x:v>aphareus furca</x:v>
      </x:c>
      <x:c r="O75" s="32" t="n">
        <x:v>4.14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Aphareus furca</x:v>
      </x:c>
      <x:c r="T75" s="32" t="n">
        <x:f>IF(O75="","",(1/'Metadata'!$B$5)^(O75-1))</x:f>
        <x:v>1380.3842646028838</x:v>
      </x:c>
      <x:c r="U75" s="31" t="n">
        <x:f>IF(T75="","",I75*T75)</x:f>
        <x:v>10362.387484496103</x:v>
      </x:c>
    </x:row>
    <x:row r="76" ht="18" customHeight="1">
      <x:c r="A76" s="24" t="str">
        <x:v>EEZ_583</x:v>
      </x:c>
      <x:c r="B76" s="24" t="str">
        <x:v>Micronesia (Federated States of)</x:v>
      </x:c>
      <x:c r="C76" s="24" t="str">
        <x:v>EEZ</x:v>
      </x:c>
      <x:c r="D76" s="30" t="n">
        <x:v>2019</x:v>
      </x:c>
      <x:c r="E76" s="24" t="str">
        <x:v>Pomacanthidae</x:v>
      </x:c>
      <x:c r="F76" s="24" t="str">
        <x:v>Angelfishes</x:v>
      </x:c>
      <x:c r="G76" s="24" t="str">
        <x:v>Medium reef assoc. fish (30 - 89 cm)</x:v>
      </x:c>
      <x:c r="H76" s="24" t="str">
        <x:v>Perch-likes</x:v>
      </x:c>
      <x:c r="I76" s="31" t="n">
        <x:v>7.103800892000001</x:v>
      </x:c>
      <x:c r="J76" s="31" t="n">
        <x:v>7.103800892000001</x:v>
      </x:c>
      <x:c r="K76" s="31" t="n">
        <x:v>0</x:v>
      </x:c>
      <x:c r="L76" s="31" t="n">
        <x:v>7.103800892000001</x:v>
      </x:c>
      <x:c r="M76" s="31" t="n">
        <x:v>0</x:v>
      </x:c>
      <x:c r="N76" s="24" t="str">
        <x:v>pomacanthidae</x:v>
      </x:c>
      <x:c r="O76" s="32" t="n">
        <x:v>2.86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Pomacanthidae</x:v>
      </x:c>
      <x:c r="T76" s="32" t="n">
        <x:f>IF(O76="","",(1/'Metadata'!$B$5)^(O76-1))</x:f>
        <x:v>72.44359600749898</x:v>
      </x:c>
      <x:c r="U76" s="31" t="n">
        <x:f>IF(T76="","",I76*T76)</x:f>
        <x:v>514.6248819377589</x:v>
      </x:c>
    </x:row>
    <x:row r="77" ht="18" customHeight="1">
      <x:c r="A77" s="24" t="str">
        <x:v>EEZ_583</x:v>
      </x:c>
      <x:c r="B77" s="24" t="str">
        <x:v>Micronesia (Federated States of)</x:v>
      </x:c>
      <x:c r="C77" s="24" t="str">
        <x:v>EEZ</x:v>
      </x:c>
      <x:c r="D77" s="30" t="n">
        <x:v>2019</x:v>
      </x:c>
      <x:c r="E77" s="24" t="str">
        <x:v>Pempheridae</x:v>
      </x:c>
      <x:c r="F77" s="24" t="str">
        <x:v>Sweepers</x:v>
      </x:c>
      <x:c r="G77" s="24" t="str">
        <x:v>Small reef assoc. fish (&lt;30 cm)</x:v>
      </x:c>
      <x:c r="H77" s="24" t="str">
        <x:v>Perch-likes</x:v>
      </x:c>
      <x:c r="I77" s="31" t="n">
        <x:v>6.0826401400000005</x:v>
      </x:c>
      <x:c r="J77" s="31" t="n">
        <x:v>6.0826401400000005</x:v>
      </x:c>
      <x:c r="K77" s="31" t="n">
        <x:v>0</x:v>
      </x:c>
      <x:c r="L77" s="31" t="n">
        <x:v>6.0826401400000005</x:v>
      </x:c>
      <x:c r="M77" s="31" t="n">
        <x:v>0</x:v>
      </x:c>
      <x:c r="N77" s="24" t="str">
        <x:v>pempheridae</x:v>
      </x:c>
      <x:c r="O77" s="32" t="n">
        <x:v>3.58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Pempheridae</x:v>
      </x:c>
      <x:c r="T77" s="32" t="n">
        <x:f>IF(O77="","",(1/'Metadata'!$B$5)^(O77-1))</x:f>
        <x:v>380.1893963205613</x:v>
      </x:c>
      <x:c r="U77" s="31" t="n">
        <x:f>IF(T77="","",I77*T77)</x:f>
        <x:v>2312.5552828618147</x:v>
      </x:c>
    </x:row>
    <x:row r="78" ht="18" customHeight="1">
      <x:c r="A78" s="24" t="str">
        <x:v>EEZ_583</x:v>
      </x:c>
      <x:c r="B78" s="24" t="str">
        <x:v>Micronesia (Federated States of)</x:v>
      </x:c>
      <x:c r="C78" s="24" t="str">
        <x:v>EEZ</x:v>
      </x:c>
      <x:c r="D78" s="30" t="n">
        <x:v>2019</x:v>
      </x:c>
      <x:c r="E78" s="24" t="str">
        <x:v>Aethaloperca rogaa</x:v>
      </x:c>
      <x:c r="F78" s="24" t="str">
        <x:v>Redmouth grouper</x:v>
      </x:c>
      <x:c r="G78" s="24" t="str">
        <x:v>Medium reef assoc. fish (30 - 89 cm)</x:v>
      </x:c>
      <x:c r="H78" s="24" t="str">
        <x:v>Perch-likes</x:v>
      </x:c>
      <x:c r="I78" s="31" t="n">
        <x:v>5.628223106999999</x:v>
      </x:c>
      <x:c r="J78" s="31" t="n">
        <x:v>5.628223106999999</x:v>
      </x:c>
      <x:c r="K78" s="31" t="n">
        <x:v>0</x:v>
      </x:c>
      <x:c r="L78" s="31" t="n">
        <x:v>5.628223106999999</x:v>
      </x:c>
      <x:c r="M78" s="31" t="n">
        <x:v>0</x:v>
      </x:c>
      <x:c r="N78" s="24" t="str">
        <x:v>aethaloperca rogaa</x:v>
      </x:c>
      <x:c r="O78" s="32" t="n">
        <x:v>4.2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Aethaloperca rogaa</x:v>
      </x:c>
      <x:c r="T78" s="32" t="n">
        <x:f>IF(O78="","",(1/'Metadata'!$B$5)^(O78-1))</x:f>
        <x:v>1584.893192461114</x:v>
      </x:c>
      <x:c r="U78" s="31" t="n">
        <x:f>IF(T78="","",I78*T78)</x:f>
        <x:v>8920.132487936638</x:v>
      </x:c>
    </x:row>
    <x:row r="79" ht="18" customHeight="1">
      <x:c r="A79" s="24" t="str">
        <x:v>EEZ_583</x:v>
      </x:c>
      <x:c r="B79" s="24" t="str">
        <x:v>Micronesia (Federated States of)</x:v>
      </x:c>
      <x:c r="C79" s="24" t="str">
        <x:v>EEZ</x:v>
      </x:c>
      <x:c r="D79" s="30" t="n">
        <x:v>2019</x:v>
      </x:c>
      <x:c r="E79" s="24" t="str">
        <x:v>Lethrinus olivaceus</x:v>
      </x:c>
      <x:c r="F79" s="24" t="str">
        <x:v>Longface emperor</x:v>
      </x:c>
      <x:c r="G79" s="24" t="str">
        <x:v>Medium demersals (30 - 89 cm)</x:v>
      </x:c>
      <x:c r="H79" s="24" t="str">
        <x:v>Perch-likes</x:v>
      </x:c>
      <x:c r="I79" s="31" t="n">
        <x:v>5.298923427</x:v>
      </x:c>
      <x:c r="J79" s="31" t="n">
        <x:v>5.298923427</x:v>
      </x:c>
      <x:c r="K79" s="31" t="n">
        <x:v>0</x:v>
      </x:c>
      <x:c r="L79" s="31" t="n">
        <x:v>5.298923427</x:v>
      </x:c>
      <x:c r="M79" s="31" t="n">
        <x:v>0</x:v>
      </x:c>
      <x:c r="N79" s="24" t="str">
        <x:v>lethrinus olivaceus</x:v>
      </x:c>
      <x:c r="O79" s="32" t="n">
        <x:v>3.95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Lethrinus olivaceus</x:v>
      </x:c>
      <x:c r="T79" s="32" t="n">
        <x:f>IF(O79="","",(1/'Metadata'!$B$5)^(O79-1))</x:f>
        <x:v>891.2509381337459</x:v>
      </x:c>
      <x:c r="U79" s="31" t="n">
        <x:f>IF(T79="","",I79*T79)</x:f>
        <x:v>4722.670475412634</x:v>
      </x:c>
    </x:row>
    <x:row r="80" ht="18" customHeight="1">
      <x:c r="A80" s="24" t="str">
        <x:v>EEZ_583</x:v>
      </x:c>
      <x:c r="B80" s="24" t="str">
        <x:v>Micronesia (Federated States of)</x:v>
      </x:c>
      <x:c r="C80" s="24" t="str">
        <x:v>EEZ</x:v>
      </x:c>
      <x:c r="D80" s="30" t="n">
        <x:v>2019</x:v>
      </x:c>
      <x:c r="E80" s="24" t="str">
        <x:v>Lutjanus bohar</x:v>
      </x:c>
      <x:c r="F80" s="24" t="str">
        <x:v>Two-spot red snapper</x:v>
      </x:c>
      <x:c r="G80" s="24" t="str">
        <x:v>Medium reef assoc. fish (30 - 89 cm)</x:v>
      </x:c>
      <x:c r="H80" s="24" t="str">
        <x:v>Perch-likes</x:v>
      </x:c>
      <x:c r="I80" s="31" t="n">
        <x:v>5.242745103</x:v>
      </x:c>
      <x:c r="J80" s="31" t="n">
        <x:v>5.242745103</x:v>
      </x:c>
      <x:c r="K80" s="31" t="n">
        <x:v>0</x:v>
      </x:c>
      <x:c r="L80" s="31" t="n">
        <x:v>5.242745103</x:v>
      </x:c>
      <x:c r="M80" s="31" t="n">
        <x:v>0</x:v>
      </x:c>
      <x:c r="N80" s="24" t="str">
        <x:v>lutjanus bohar</x:v>
      </x:c>
      <x:c r="O80" s="32" t="n">
        <x:v>4.27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Lutjanus bohar</x:v>
      </x:c>
      <x:c r="T80" s="32" t="n">
        <x:f>IF(O80="","",(1/'Metadata'!$B$5)^(O80-1))</x:f>
        <x:v>1862.0871366628655</x:v>
      </x:c>
      <x:c r="U80" s="31" t="n">
        <x:f>IF(T80="","",I80*T80)</x:f>
        <x:v>9762.44821709853</x:v>
      </x:c>
    </x:row>
    <x:row r="81" ht="18" customHeight="1">
      <x:c r="A81" s="24" t="str">
        <x:v>EEZ_583</x:v>
      </x:c>
      <x:c r="B81" s="24" t="str">
        <x:v>Micronesia (Federated States of)</x:v>
      </x:c>
      <x:c r="C81" s="24" t="str">
        <x:v>EEZ</x:v>
      </x:c>
      <x:c r="D81" s="30" t="n">
        <x:v>2019</x:v>
      </x:c>
      <x:c r="E81" s="24" t="str">
        <x:v>Scylla serrata</x:v>
      </x:c>
      <x:c r="F81" s="24" t="str">
        <x:v>Indo-Pacific swamp crab</x:v>
      </x:c>
      <x:c r="G81" s="24" t="str">
        <x:v>Lobsters, crabs</x:v>
      </x:c>
      <x:c r="H81" s="24" t="str">
        <x:v>Crustaceans</x:v>
      </x:c>
      <x:c r="I81" s="31" t="n">
        <x:v>5</x:v>
      </x:c>
      <x:c r="J81" s="31" t="n">
        <x:v>5</x:v>
      </x:c>
      <x:c r="K81" s="31" t="n">
        <x:v>0</x:v>
      </x:c>
      <x:c r="L81" s="31" t="n">
        <x:v>5</x:v>
      </x:c>
      <x:c r="M81" s="31" t="n">
        <x:v>0</x:v>
      </x:c>
      <x:c r="N81" s="24" t="str">
        <x:v>scylla serrata</x:v>
      </x:c>
      <x:c r="O81" s="32" t="n">
        <x:v>3.17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Scylla serrata</x:v>
      </x:c>
      <x:c r="T81" s="32" t="n">
        <x:f>IF(O81="","",(1/'Metadata'!$B$5)^(O81-1))</x:f>
        <x:v>147.91083881682073</x:v>
      </x:c>
      <x:c r="U81" s="31" t="n">
        <x:f>IF(T81="","",I81*T81)</x:f>
        <x:v>739.5541940841036</x:v>
      </x:c>
    </x:row>
    <x:row r="82" ht="18" customHeight="1">
      <x:c r="A82" s="24" t="str">
        <x:v>EEZ_583</x:v>
      </x:c>
      <x:c r="B82" s="24" t="str">
        <x:v>Micronesia (Federated States of)</x:v>
      </x:c>
      <x:c r="C82" s="24" t="str">
        <x:v>EEZ</x:v>
      </x:c>
      <x:c r="D82" s="30" t="n">
        <x:v>2019</x:v>
      </x:c>
      <x:c r="E82" s="24" t="str">
        <x:v>Caranx sexfasciatus</x:v>
      </x:c>
      <x:c r="F82" s="24" t="str">
        <x:v>Bigeye trevally</x:v>
      </x:c>
      <x:c r="G82" s="24" t="str">
        <x:v>Large reef assoc. fish (&gt;=90 cm)</x:v>
      </x:c>
      <x:c r="H82" s="24" t="str">
        <x:v>Perch-likes</x:v>
      </x:c>
      <x:c r="I82" s="31" t="n">
        <x:v>4.180159267</x:v>
      </x:c>
      <x:c r="J82" s="31" t="n">
        <x:v>4.180159267</x:v>
      </x:c>
      <x:c r="K82" s="31" t="n">
        <x:v>0</x:v>
      </x:c>
      <x:c r="L82" s="31" t="n">
        <x:v>4.180159267</x:v>
      </x:c>
      <x:c r="M82" s="31" t="n">
        <x:v>0</x:v>
      </x:c>
      <x:c r="N82" s="24" t="str">
        <x:v>caranx sexfasciatus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Caranx sexfasciatus</x:v>
      </x:c>
      <x:c r="T82" s="32" t="n">
        <x:f>IF(O82="","",(1/'Metadata'!$B$5)^(O82-1))</x:f>
        <x:v>3162.2776601683795</x:v>
      </x:c>
      <x:c r="U82" s="31" t="n">
        <x:f>IF(T82="","",I82*T82)</x:f>
        <x:v>13218.824265979927</x:v>
      </x:c>
    </x:row>
    <x:row r="83" ht="18" customHeight="1">
      <x:c r="A83" s="24" t="str">
        <x:v>EEZ_583</x:v>
      </x:c>
      <x:c r="B83" s="24" t="str">
        <x:v>Micronesia (Federated States of)</x:v>
      </x:c>
      <x:c r="C83" s="24" t="str">
        <x:v>EEZ</x:v>
      </x:c>
      <x:c r="D83" s="30" t="n">
        <x:v>2019</x:v>
      </x:c>
      <x:c r="E83" s="24" t="str">
        <x:v>Epinephelus fuscoguttatus</x:v>
      </x:c>
      <x:c r="F83" s="24" t="str">
        <x:v>Brown-marbled grouper</x:v>
      </x:c>
      <x:c r="G83" s="24" t="str">
        <x:v>Large reef assoc. fish (&gt;=90 cm)</x:v>
      </x:c>
      <x:c r="H83" s="24" t="str">
        <x:v>Perch-likes</x:v>
      </x:c>
      <x:c r="I83" s="31" t="n">
        <x:v>3.614513889</x:v>
      </x:c>
      <x:c r="J83" s="31" t="n">
        <x:v>3.614513889</x:v>
      </x:c>
      <x:c r="K83" s="31" t="n">
        <x:v>0</x:v>
      </x:c>
      <x:c r="L83" s="31" t="n">
        <x:v>3.614513889</x:v>
      </x:c>
      <x:c r="M83" s="31" t="n">
        <x:v>0</x:v>
      </x:c>
      <x:c r="N83" s="24" t="str">
        <x:v>epinephelus fuscoguttatus</x:v>
      </x:c>
      <x:c r="O83" s="32" t="n">
        <x:v>4.14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Epinephelus fuscoguttatus</x:v>
      </x:c>
      <x:c r="T83" s="32" t="n">
        <x:f>IF(O83="","",(1/'Metadata'!$B$5)^(O83-1))</x:f>
        <x:v>1380.3842646028838</x:v>
      </x:c>
      <x:c r="U83" s="31" t="n">
        <x:f>IF(T83="","",I83*T83)</x:f>
        <x:v>4989.418096564174</x:v>
      </x:c>
    </x:row>
    <x:row r="84" ht="18" customHeight="1">
      <x:c r="A84" s="24" t="str">
        <x:v>EEZ_583</x:v>
      </x:c>
      <x:c r="B84" s="24" t="str">
        <x:v>Micronesia (Federated States of)</x:v>
      </x:c>
      <x:c r="C84" s="24" t="str">
        <x:v>EEZ</x:v>
      </x:c>
      <x:c r="D84" s="30" t="n">
        <x:v>2019</x:v>
      </x:c>
      <x:c r="E84" s="24" t="str">
        <x:v>Lutjanus monostigma</x:v>
      </x:c>
      <x:c r="F84" s="24" t="str">
        <x:v>One-spot snapper</x:v>
      </x:c>
      <x:c r="G84" s="24" t="str">
        <x:v>Medium reef assoc. fish (30 - 89 cm)</x:v>
      </x:c>
      <x:c r="H84" s="24" t="str">
        <x:v>Perch-likes</x:v>
      </x:c>
      <x:c r="I84" s="31" t="n">
        <x:v>2.9394802159999998</x:v>
      </x:c>
      <x:c r="J84" s="31" t="n">
        <x:v>2.9394802159999998</x:v>
      </x:c>
      <x:c r="K84" s="31" t="n">
        <x:v>0</x:v>
      </x:c>
      <x:c r="L84" s="31" t="n">
        <x:v>2.9394802159999998</x:v>
      </x:c>
      <x:c r="M84" s="31" t="n">
        <x:v>0</x:v>
      </x:c>
      <x:c r="N84" s="24" t="str">
        <x:v>lutjanus monostigma</x:v>
      </x:c>
      <x:c r="O84" s="32" t="n">
        <x:v>4.27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Lutjanus monostigma</x:v>
      </x:c>
      <x:c r="T84" s="32" t="n">
        <x:f>IF(O84="","",(1/'Metadata'!$B$5)^(O84-1))</x:f>
        <x:v>1862.0871366628655</x:v>
      </x:c>
      <x:c r="U84" s="31" t="n">
        <x:f>IF(T84="","",I84*T84)</x:f>
        <x:v>5473.568298688581</x:v>
      </x:c>
    </x:row>
    <x:row r="85" ht="18" customHeight="1">
      <x:c r="A85" s="24" t="str">
        <x:v>EEZ_583</x:v>
      </x:c>
      <x:c r="B85" s="24" t="str">
        <x:v>Micronesia (Federated States of)</x:v>
      </x:c>
      <x:c r="C85" s="24" t="str">
        <x:v>EEZ</x:v>
      </x:c>
      <x:c r="D85" s="30" t="n">
        <x:v>2019</x:v>
      </x:c>
      <x:c r="E85" s="24" t="str">
        <x:v>Platax</x:v>
      </x:c>
      <x:c r="F85" s="24" t="str">
        <x:v>Spadefishes</x:v>
      </x:c>
      <x:c r="G85" s="24" t="str">
        <x:v>Medium reef assoc. fish (30 - 89 cm)</x:v>
      </x:c>
      <x:c r="H85" s="24" t="str">
        <x:v>Perch-likes</x:v>
      </x:c>
      <x:c r="I85" s="31" t="n">
        <x:v>2.591465073</x:v>
      </x:c>
      <x:c r="J85" s="31" t="n">
        <x:v>2.591465073</x:v>
      </x:c>
      <x:c r="K85" s="31" t="n">
        <x:v>0</x:v>
      </x:c>
      <x:c r="L85" s="31" t="n">
        <x:v>2.591465073</x:v>
      </x:c>
      <x:c r="M85" s="31" t="n">
        <x:v>0</x:v>
      </x:c>
      <x:c r="N85" s="24" t="str">
        <x:v>platax</x:v>
      </x:c>
      <x:c r="O85" s="32" t="n">
        <x:v>3.53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Platax</x:v>
      </x:c>
      <x:c r="T85" s="32" t="n">
        <x:f>IF(O85="","",(1/'Metadata'!$B$5)^(O85-1))</x:f>
        <x:v>338.84415613920237</x:v>
      </x:c>
      <x:c r="U85" s="31" t="n">
        <x:f>IF(T85="","",I85*T85)</x:f>
        <x:v>878.1027958249015</x:v>
      </x:c>
    </x:row>
    <x:row r="86" ht="18" customHeight="1">
      <x:c r="A86" s="24" t="str">
        <x:v>EEZ_583</x:v>
      </x:c>
      <x:c r="B86" s="24" t="str">
        <x:v>Micronesia (Federated States of)</x:v>
      </x:c>
      <x:c r="C86" s="24" t="str">
        <x:v>EEZ</x:v>
      </x:c>
      <x:c r="D86" s="30" t="n">
        <x:v>2019</x:v>
      </x:c>
      <x:c r="E86" s="24" t="str">
        <x:v>Epinephelus coeruleopunctatus</x:v>
      </x:c>
      <x:c r="F86" s="24" t="str">
        <x:v>Whitespotted grouper</x:v>
      </x:c>
      <x:c r="G86" s="24" t="str">
        <x:v>Medium reef assoc. fish (30 - 89 cm)</x:v>
      </x:c>
      <x:c r="H86" s="24" t="str">
        <x:v>Perch-likes</x:v>
      </x:c>
      <x:c r="I86" s="31" t="n">
        <x:v>1.704908299</x:v>
      </x:c>
      <x:c r="J86" s="31" t="n">
        <x:v>1.704908299</x:v>
      </x:c>
      <x:c r="K86" s="31" t="n">
        <x:v>0</x:v>
      </x:c>
      <x:c r="L86" s="31" t="n">
        <x:v>1.704908299</x:v>
      </x:c>
      <x:c r="M86" s="31" t="n">
        <x:v>0</x:v>
      </x:c>
      <x:c r="N86" s="24" t="str">
        <x:v>epinephelus coeruleopunctatus</x:v>
      </x:c>
      <x:c r="O86" s="32" t="n">
        <x:v>3.72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Epinephelus coeruleopunctatus</x:v>
      </x:c>
      <x:c r="T86" s="32" t="n">
        <x:f>IF(O86="","",(1/'Metadata'!$B$5)^(O86-1))</x:f>
        <x:v>524.8074602497728</x:v>
      </x:c>
      <x:c r="U86" s="31" t="n">
        <x:f>IF(T86="","",I86*T86)</x:f>
        <x:v>894.7485943569503</x:v>
      </x:c>
    </x:row>
    <x:row r="87" ht="18" customHeight="1">
      <x:c r="A87" s="24" t="str">
        <x:v>EEZ_583</x:v>
      </x:c>
      <x:c r="B87" s="24" t="str">
        <x:v>Micronesia (Federated States of)</x:v>
      </x:c>
      <x:c r="C87" s="24" t="str">
        <x:v>EEZ</x:v>
      </x:c>
      <x:c r="D87" s="30" t="n">
        <x:v>2019</x:v>
      </x:c>
      <x:c r="E87" s="24" t="str">
        <x:v>Naso hexacanthus</x:v>
      </x:c>
      <x:c r="F87" s="24" t="str">
        <x:v>Sleek unicornfish</x:v>
      </x:c>
      <x:c r="G87" s="24" t="str">
        <x:v>Medium reef assoc. fish (30 - 89 cm)</x:v>
      </x:c>
      <x:c r="H87" s="24" t="str">
        <x:v>Perch-likes</x:v>
      </x:c>
      <x:c r="I87" s="31" t="n">
        <x:v>1.638619411</x:v>
      </x:c>
      <x:c r="J87" s="31" t="n">
        <x:v>1.638619411</x:v>
      </x:c>
      <x:c r="K87" s="31" t="n">
        <x:v>0</x:v>
      </x:c>
      <x:c r="L87" s="31" t="n">
        <x:v>1.638619411</x:v>
      </x:c>
      <x:c r="M87" s="31" t="n">
        <x:v>0</x:v>
      </x:c>
      <x:c r="N87" s="24" t="str">
        <x:v>naso hexacanthus</x:v>
      </x:c>
      <x:c r="O87" s="32" t="n">
        <x:v>3.28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Naso hexacanthus</x:v>
      </x:c>
      <x:c r="T87" s="32" t="n">
        <x:f>IF(O87="","",(1/'Metadata'!$B$5)^(O87-1))</x:f>
        <x:v>190.54607179632464</x:v>
      </x:c>
      <x:c r="U87" s="31" t="n">
        <x:f>IF(T87="","",I87*T87)</x:f>
        <x:v>312.2324919352572</x:v>
      </x:c>
    </x:row>
    <x:row r="88" ht="18" customHeight="1">
      <x:c r="A88" s="24" t="str">
        <x:v>EEZ_583</x:v>
      </x:c>
      <x:c r="B88" s="24" t="str">
        <x:v>Micronesia (Federated States of)</x:v>
      </x:c>
      <x:c r="C88" s="24" t="str">
        <x:v>EEZ</x:v>
      </x:c>
      <x:c r="D88" s="30" t="n">
        <x:v>2019</x:v>
      </x:c>
      <x:c r="E88" s="24" t="str">
        <x:v>Plectropomus leopardus</x:v>
      </x:c>
      <x:c r="F88" s="24" t="str">
        <x:v>Leopard coralgrouper</x:v>
      </x:c>
      <x:c r="G88" s="24" t="str">
        <x:v>Large reef assoc. fish (&gt;=90 cm)</x:v>
      </x:c>
      <x:c r="H88" s="24" t="str">
        <x:v>Perch-likes</x:v>
      </x:c>
      <x:c r="I88" s="31" t="n">
        <x:v>1.579025363</x:v>
      </x:c>
      <x:c r="J88" s="31" t="n">
        <x:v>1.579025363</x:v>
      </x:c>
      <x:c r="K88" s="31" t="n">
        <x:v>0</x:v>
      </x:c>
      <x:c r="L88" s="31" t="n">
        <x:v>1.579025363</x:v>
      </x:c>
      <x:c r="M88" s="31" t="n">
        <x:v>0</x:v>
      </x:c>
      <x:c r="N88" s="24" t="str">
        <x:v>plectropomus leopardus</x:v>
      </x:c>
      <x:c r="O88" s="32" t="n">
        <x:v>4.42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Plectropomus leopardus</x:v>
      </x:c>
      <x:c r="T88" s="32" t="n">
        <x:f>IF(O88="","",(1/'Metadata'!$B$5)^(O88-1))</x:f>
        <x:v>2630.2679918953813</x:v>
      </x:c>
      <x:c r="U88" s="31" t="n">
        <x:f>IF(T88="","",I88*T88)</x:f>
        <x:v>4153.259870689885</x:v>
      </x:c>
    </x:row>
    <x:row r="89" ht="18" customHeight="1">
      <x:c r="A89" s="24" t="str">
        <x:v>EEZ_583</x:v>
      </x:c>
      <x:c r="B89" s="24" t="str">
        <x:v>Micronesia (Federated States of)</x:v>
      </x:c>
      <x:c r="C89" s="24" t="str">
        <x:v>EEZ</x:v>
      </x:c>
      <x:c r="D89" s="30" t="n">
        <x:v>2019</x:v>
      </x:c>
      <x:c r="E89" s="24" t="str">
        <x:v>Caesio teres</x:v>
      </x:c>
      <x:c r="F89" s="24" t="str">
        <x:v>Yellow and blueback fusilier</x:v>
      </x:c>
      <x:c r="G89" s="24" t="str">
        <x:v>Medium reef assoc. fish (30 - 89 cm)</x:v>
      </x:c>
      <x:c r="H89" s="24" t="str">
        <x:v>Perch-likes</x:v>
      </x:c>
      <x:c r="I89" s="31" t="n">
        <x:v>1.52659489</x:v>
      </x:c>
      <x:c r="J89" s="31" t="n">
        <x:v>1.52659489</x:v>
      </x:c>
      <x:c r="K89" s="31" t="n">
        <x:v>0</x:v>
      </x:c>
      <x:c r="L89" s="31" t="n">
        <x:v>1.52659489</x:v>
      </x:c>
      <x:c r="M89" s="31" t="n">
        <x:v>0</x:v>
      </x:c>
      <x:c r="N89" s="24" t="str">
        <x:v>caesio teres</x:v>
      </x:c>
      <x:c r="O89" s="32" t="n">
        <x:v>3.4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Caesio teres</x:v>
      </x:c>
      <x:c r="T89" s="32" t="n">
        <x:f>IF(O89="","",(1/'Metadata'!$B$5)^(O89-1))</x:f>
        <x:v>251.18864315095797</x:v>
      </x:c>
      <x:c r="U89" s="31" t="n">
        <x:f>IF(T89="","",I89*T89)</x:f>
        <x:v>383.4632990602859</x:v>
      </x:c>
    </x:row>
    <x:row r="90" ht="18" customHeight="1">
      <x:c r="A90" s="24" t="str">
        <x:v>EEZ_583</x:v>
      </x:c>
      <x:c r="B90" s="24" t="str">
        <x:v>Micronesia (Federated States of)</x:v>
      </x:c>
      <x:c r="C90" s="24" t="str">
        <x:v>EEZ</x:v>
      </x:c>
      <x:c r="D90" s="30" t="n">
        <x:v>2019</x:v>
      </x:c>
      <x:c r="E90" s="24" t="str">
        <x:v>Acanthuridae</x:v>
      </x:c>
      <x:c r="F90" s="24" t="str">
        <x:v>Surgeons, tangs, unicornfishes</x:v>
      </x:c>
      <x:c r="G90" s="24" t="str">
        <x:v>Small reef assoc. fish (&lt;30 cm)</x:v>
      </x:c>
      <x:c r="H90" s="24" t="str">
        <x:v>Perch-likes</x:v>
      </x:c>
      <x:c r="I90" s="31" t="n">
        <x:v>1.5253395286</x:v>
      </x:c>
      <x:c r="J90" s="31" t="n">
        <x:v>1.5253395286</x:v>
      </x:c>
      <x:c r="K90" s="31" t="n">
        <x:v>0</x:v>
      </x:c>
      <x:c r="L90" s="31" t="n">
        <x:v>1.5253395286</x:v>
      </x:c>
      <x:c r="M90" s="31" t="n">
        <x:v>0</x:v>
      </x:c>
      <x:c r="N90" s="24" t="str">
        <x:v>acanthuridae</x:v>
      </x:c>
      <x:c r="O90" s="32" t="n">
        <x:v>2.28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Acanthuridae</x:v>
      </x:c>
      <x:c r="T90" s="32" t="n">
        <x:f>IF(O90="","",(1/'Metadata'!$B$5)^(O90-1))</x:f>
        <x:v>19.054607179632463</x:v>
      </x:c>
      <x:c r="U90" s="31" t="n">
        <x:f>IF(T90="","",I90*T90)</x:f>
        <x:v>29.064745533038757</x:v>
      </x:c>
    </x:row>
    <x:row r="91" ht="18" customHeight="1">
      <x:c r="A91" s="24" t="str">
        <x:v>EEZ_583</x:v>
      </x:c>
      <x:c r="B91" s="24" t="str">
        <x:v>Micronesia (Federated States of)</x:v>
      </x:c>
      <x:c r="C91" s="24" t="str">
        <x:v>EEZ</x:v>
      </x:c>
      <x:c r="D91" s="30" t="n">
        <x:v>2019</x:v>
      </x:c>
      <x:c r="E91" s="24" t="str">
        <x:v>Cheilinus undulatus</x:v>
      </x:c>
      <x:c r="F91" s="24" t="str">
        <x:v>Humphead wrasse</x:v>
      </x:c>
      <x:c r="G91" s="24" t="str">
        <x:v>Large reef assoc. fish (&gt;=90 cm)</x:v>
      </x:c>
      <x:c r="H91" s="24" t="str">
        <x:v>Perch-likes</x:v>
      </x:c>
      <x:c r="I91" s="31" t="n">
        <x:v>1.517497156</x:v>
      </x:c>
      <x:c r="J91" s="31" t="n">
        <x:v>1.517497156</x:v>
      </x:c>
      <x:c r="K91" s="31" t="n">
        <x:v>0</x:v>
      </x:c>
      <x:c r="L91" s="31" t="n">
        <x:v>1.517497156</x:v>
      </x:c>
      <x:c r="M91" s="31" t="n">
        <x:v>0</x:v>
      </x:c>
      <x:c r="N91" s="24" t="str">
        <x:v>cheilinus undulatus</x:v>
      </x:c>
      <x:c r="O91" s="32" t="n">
        <x:v>3.99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Cheilinus undulatus</x:v>
      </x:c>
      <x:c r="T91" s="32" t="n">
        <x:f>IF(O91="","",(1/'Metadata'!$B$5)^(O91-1))</x:f>
        <x:v>977.2372209558112</x:v>
      </x:c>
      <x:c r="U91" s="31" t="n">
        <x:f>IF(T91="","",I91*T91)</x:f>
        <x:v>1482.9547035377868</x:v>
      </x:c>
    </x:row>
    <x:row r="92" ht="18" customHeight="1">
      <x:c r="A92" s="24" t="str">
        <x:v>EEZ_583</x:v>
      </x:c>
      <x:c r="B92" s="24" t="str">
        <x:v>Micronesia (Federated States of)</x:v>
      </x:c>
      <x:c r="C92" s="24" t="str">
        <x:v>EEZ</x:v>
      </x:c>
      <x:c r="D92" s="30" t="n">
        <x:v>2019</x:v>
      </x:c>
      <x:c r="E92" s="24" t="str">
        <x:v>Gymnocranius</x:v>
      </x:c>
      <x:c r="F92" s="24" t="str">
        <x:v>Largeeye breams</x:v>
      </x:c>
      <x:c r="G92" s="24" t="str">
        <x:v>Medium reef assoc. fish (30 - 89 cm)</x:v>
      </x:c>
      <x:c r="H92" s="24" t="str">
        <x:v>Perch-likes</x:v>
      </x:c>
      <x:c r="I92" s="31" t="n">
        <x:v>1.199990485</x:v>
      </x:c>
      <x:c r="J92" s="31" t="n">
        <x:v>1.199990485</x:v>
      </x:c>
      <x:c r="K92" s="31" t="n">
        <x:v>0</x:v>
      </x:c>
      <x:c r="L92" s="31" t="n">
        <x:v>1.199990485</x:v>
      </x:c>
      <x:c r="M92" s="31" t="n">
        <x:v>0</x:v>
      </x:c>
      <x:c r="N92" s="24" t="str">
        <x:v>gymnocranius</x:v>
      </x:c>
      <x:c r="O92" s="32" t="n">
        <x:v>3.4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Gymnocranius</x:v>
      </x:c>
      <x:c r="T92" s="32" t="n">
        <x:f>IF(O92="","",(1/'Metadata'!$B$5)^(O92-1))</x:f>
        <x:v>251.18864315095797</x:v>
      </x:c>
      <x:c r="U92" s="31" t="n">
        <x:f>IF(T92="","",I92*T92)</x:f>
        <x:v>301.42398172121</x:v>
      </x:c>
    </x:row>
    <x:row r="93" ht="18" customHeight="1">
      <x:c r="A93" s="24" t="str">
        <x:v>EEZ_583</x:v>
      </x:c>
      <x:c r="B93" s="24" t="str">
        <x:v>Micronesia (Federated States of)</x:v>
      </x:c>
      <x:c r="C93" s="24" t="str">
        <x:v>EEZ</x:v>
      </x:c>
      <x:c r="D93" s="30" t="n">
        <x:v>2019</x:v>
      </x:c>
      <x:c r="E93" s="24" t="str">
        <x:v>Isurus oxyrinchus</x:v>
      </x:c>
      <x:c r="F93" s="24" t="str">
        <x:v>Shortfin mako</x:v>
      </x:c>
      <x:c r="G93" s="24" t="str">
        <x:v>Large sharks (&gt;=90 cm)</x:v>
      </x:c>
      <x:c r="H93" s="24" t="str">
        <x:v>Sharks &amp; rays</x:v>
      </x:c>
      <x:c r="I93" s="31" t="n">
        <x:v>1.1761716808</x:v>
      </x:c>
      <x:c r="J93" s="31" t="n">
        <x:v>1.1761716808</x:v>
      </x:c>
      <x:c r="K93" s="31" t="n">
        <x:v>0</x:v>
      </x:c>
      <x:c r="L93" s="31" t="n">
        <x:v>1.1761716808</x:v>
      </x:c>
      <x:c r="M93" s="31" t="n">
        <x:v>0</x:v>
      </x:c>
      <x:c r="N93" s="24" t="str">
        <x:v>isurus oxyrinchus</x:v>
      </x:c>
      <x:c r="O93" s="32" t="n">
        <x:v>4.5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Isurus oxyrinchus</x:v>
      </x:c>
      <x:c r="T93" s="32" t="n">
        <x:f>IF(O93="","",(1/'Metadata'!$B$5)^(O93-1))</x:f>
        <x:v>3162.2776601683795</x:v>
      </x:c>
      <x:c r="U93" s="31" t="n">
        <x:f>IF(T93="","",I93*T93)</x:f>
        <x:v>3719.381430716534</x:v>
      </x:c>
    </x:row>
    <x:row r="94" ht="18" customHeight="1">
      <x:c r="A94" s="24" t="str">
        <x:v>EEZ_583</x:v>
      </x:c>
      <x:c r="B94" s="24" t="str">
        <x:v>Micronesia (Federated States of)</x:v>
      </x:c>
      <x:c r="C94" s="24" t="str">
        <x:v>EEZ</x:v>
      </x:c>
      <x:c r="D94" s="30" t="n">
        <x:v>2019</x:v>
      </x:c>
      <x:c r="E94" s="24" t="str">
        <x:v>Bolbometopon muricatum</x:v>
      </x:c>
      <x:c r="F94" s="24" t="str">
        <x:v>Green humphead parrotfish</x:v>
      </x:c>
      <x:c r="G94" s="24" t="str">
        <x:v>Large reef assoc. fish (&gt;=90 cm)</x:v>
      </x:c>
      <x:c r="H94" s="24" t="str">
        <x:v>Perch-likes</x:v>
      </x:c>
      <x:c r="I94" s="31" t="n">
        <x:v>0.977983453</x:v>
      </x:c>
      <x:c r="J94" s="31" t="n">
        <x:v>0.977983453</x:v>
      </x:c>
      <x:c r="K94" s="31" t="n">
        <x:v>0</x:v>
      </x:c>
      <x:c r="L94" s="31" t="n">
        <x:v>0.977983453</x:v>
      </x:c>
      <x:c r="M94" s="31" t="n">
        <x:v>0</x:v>
      </x:c>
      <x:c r="N94" s="24" t="str">
        <x:v>bolbometopon muricatum</x:v>
      </x:c>
      <x:c r="O94" s="32" t="n">
        <x:v>2.67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Bolbometopon muricatum</x:v>
      </x:c>
      <x:c r="T94" s="32" t="n">
        <x:f>IF(O94="","",(1/'Metadata'!$B$5)^(O94-1))</x:f>
        <x:v>46.77351412871981</x:v>
      </x:c>
      <x:c r="U94" s="31" t="n">
        <x:f>IF(T94="","",I94*T94)</x:f>
        <x:v>45.74372285654969</x:v>
      </x:c>
    </x:row>
    <x:row r="95" ht="18" customHeight="1">
      <x:c r="A95" s="24" t="str">
        <x:v>EEZ_583</x:v>
      </x:c>
      <x:c r="B95" s="24" t="str">
        <x:v>Micronesia (Federated States of)</x:v>
      </x:c>
      <x:c r="C95" s="24" t="str">
        <x:v>EEZ</x:v>
      </x:c>
      <x:c r="D95" s="30" t="n">
        <x:v>2019</x:v>
      </x:c>
      <x:c r="E95" s="24" t="str">
        <x:v>Epinephelus maculatus</x:v>
      </x:c>
      <x:c r="F95" s="24" t="str">
        <x:v>Highfin grouper</x:v>
      </x:c>
      <x:c r="G95" s="24" t="str">
        <x:v>Medium reef assoc. fish (30 - 89 cm)</x:v>
      </x:c>
      <x:c r="H95" s="24" t="str">
        <x:v>Perch-likes</x:v>
      </x:c>
      <x:c r="I95" s="31" t="n">
        <x:v>0.956233843</x:v>
      </x:c>
      <x:c r="J95" s="31" t="n">
        <x:v>0.956233843</x:v>
      </x:c>
      <x:c r="K95" s="31" t="n">
        <x:v>0</x:v>
      </x:c>
      <x:c r="L95" s="31" t="n">
        <x:v>0.956233843</x:v>
      </x:c>
      <x:c r="M95" s="31" t="n">
        <x:v>0</x:v>
      </x:c>
      <x:c r="N95" s="24" t="str">
        <x:v>epinephelus maculatus</x:v>
      </x:c>
      <x:c r="O95" s="32" t="n">
        <x:v>3.98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Epinephelus maculatus</x:v>
      </x:c>
      <x:c r="T95" s="32" t="n">
        <x:f>IF(O95="","",(1/'Metadata'!$B$5)^(O95-1))</x:f>
        <x:v>954.992586021436</x:v>
      </x:c>
      <x:c r="U95" s="31" t="n">
        <x:f>IF(T95="","",I95*T95)</x:f>
        <x:v>913.1962305677858</x:v>
      </x:c>
    </x:row>
    <x:row r="96" ht="18" customHeight="1">
      <x:c r="A96" s="24" t="str">
        <x:v>EEZ_583</x:v>
      </x:c>
      <x:c r="B96" s="24" t="str">
        <x:v>Micronesia (Federated States of)</x:v>
      </x:c>
      <x:c r="C96" s="24" t="str">
        <x:v>EEZ</x:v>
      </x:c>
      <x:c r="D96" s="30" t="n">
        <x:v>2019</x:v>
      </x:c>
      <x:c r="E96" s="24" t="str">
        <x:v>Sargocentron</x:v>
      </x:c>
      <x:c r="F96" s="24" t="str">
        <x:v>Squirrelfishes</x:v>
      </x:c>
      <x:c r="G96" s="24" t="str">
        <x:v>Small reef assoc. fish (&lt;30 cm)</x:v>
      </x:c>
      <x:c r="H96" s="24" t="str">
        <x:v>Other fishes &amp; inverts</x:v>
      </x:c>
      <x:c r="I96" s="31" t="n">
        <x:v>0.928259294</x:v>
      </x:c>
      <x:c r="J96" s="31" t="n">
        <x:v>0.928259294</x:v>
      </x:c>
      <x:c r="K96" s="31" t="n">
        <x:v>0</x:v>
      </x:c>
      <x:c r="L96" s="31" t="n">
        <x:v>0.928259294</x:v>
      </x:c>
      <x:c r="M96" s="31" t="n">
        <x:v>0</x:v>
      </x:c>
      <x:c r="N96" s="24" t="str">
        <x:v>sargocentron</x:v>
      </x:c>
      <x:c r="O96" s="32" t="n">
        <x:v>3.49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Sargocentron</x:v>
      </x:c>
      <x:c r="T96" s="32" t="n">
        <x:f>IF(O96="","",(1/'Metadata'!$B$5)^(O96-1))</x:f>
        <x:v>309.0295432513592</x:v>
      </x:c>
      <x:c r="U96" s="31" t="n">
        <x:f>IF(T96="","",I96*T96)</x:f>
        <x:v>286.85954564364914</x:v>
      </x:c>
    </x:row>
    <x:row r="97" ht="18" customHeight="1">
      <x:c r="A97" s="24" t="str">
        <x:v>EEZ_583</x:v>
      </x:c>
      <x:c r="B97" s="24" t="str">
        <x:v>Micronesia (Federated States of)</x:v>
      </x:c>
      <x:c r="C97" s="24" t="str">
        <x:v>EEZ</x:v>
      </x:c>
      <x:c r="D97" s="30" t="n">
        <x:v>2019</x:v>
      </x:c>
      <x:c r="E97" s="24" t="str">
        <x:v>Lethrinus lentjan</x:v>
      </x:c>
      <x:c r="F97" s="24" t="str">
        <x:v>Pink ear emperor</x:v>
      </x:c>
      <x:c r="G97" s="24" t="str">
        <x:v>Medium demersals (30 - 89 cm)</x:v>
      </x:c>
      <x:c r="H97" s="24" t="str">
        <x:v>Perch-likes</x:v>
      </x:c>
      <x:c r="I97" s="31" t="n">
        <x:v>0.826406234</x:v>
      </x:c>
      <x:c r="J97" s="31" t="n">
        <x:v>0.826406234</x:v>
      </x:c>
      <x:c r="K97" s="31" t="n">
        <x:v>0</x:v>
      </x:c>
      <x:c r="L97" s="31" t="n">
        <x:v>0.826406234</x:v>
      </x:c>
      <x:c r="M97" s="31" t="n">
        <x:v>0</x:v>
      </x:c>
      <x:c r="N97" s="24" t="str">
        <x:v>lethrinus lentjan</x:v>
      </x:c>
      <x:c r="O97" s="32" t="n">
        <x:v>3.94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Lethrinus lentjan</x:v>
      </x:c>
      <x:c r="T97" s="32" t="n">
        <x:f>IF(O97="","",(1/'Metadata'!$B$5)^(O97-1))</x:f>
        <x:v>870.9635899560806</x:v>
      </x:c>
      <x:c r="U97" s="31" t="n">
        <x:f>IF(T97="","",I97*T97)</x:f>
        <x:v>719.7697403267248</x:v>
      </x:c>
    </x:row>
    <x:row r="98" ht="18" customHeight="1">
      <x:c r="A98" s="24" t="str">
        <x:v>EEZ_583</x:v>
      </x:c>
      <x:c r="B98" s="24" t="str">
        <x:v>Micronesia (Federated States of)</x:v>
      </x:c>
      <x:c r="C98" s="24" t="str">
        <x:v>EEZ</x:v>
      </x:c>
      <x:c r="D98" s="30" t="n">
        <x:v>2019</x:v>
      </x:c>
      <x:c r="E98" s="24" t="str">
        <x:v>Rastrelliger kanagurta</x:v>
      </x:c>
      <x:c r="F98" s="24" t="str">
        <x:v>Indian mackerel</x:v>
      </x:c>
      <x:c r="G98" s="24" t="str">
        <x:v>Medium pelagics (30 - 89 cm)</x:v>
      </x:c>
      <x:c r="H98" s="24" t="str">
        <x:v>Perch-likes</x:v>
      </x:c>
      <x:c r="I98" s="31" t="n">
        <x:v>0.820027173</x:v>
      </x:c>
      <x:c r="J98" s="31" t="n">
        <x:v>0.820027173</x:v>
      </x:c>
      <x:c r="K98" s="31" t="n">
        <x:v>0</x:v>
      </x:c>
      <x:c r="L98" s="31" t="n">
        <x:v>0.820027173</x:v>
      </x:c>
      <x:c r="M98" s="31" t="n">
        <x:v>0</x:v>
      </x:c>
      <x:c r="N98" s="24" t="str">
        <x:v>rastrelliger kanagurta</x:v>
      </x:c>
      <x:c r="O98" s="32" t="n">
        <x:v>3.19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Rastrelliger kanagurta</x:v>
      </x:c>
      <x:c r="T98" s="32" t="n">
        <x:f>IF(O98="","",(1/'Metadata'!$B$5)^(O98-1))</x:f>
        <x:v>154.88166189124811</x:v>
      </x:c>
      <x:c r="U98" s="31" t="n">
        <x:f>IF(T98="","",I98*T98)</x:f>
        <x:v>127.00717135022204</x:v>
      </x:c>
    </x:row>
    <x:row r="99" ht="18" customHeight="1">
      <x:c r="A99" s="24" t="str">
        <x:v>EEZ_583</x:v>
      </x:c>
      <x:c r="B99" s="24" t="str">
        <x:v>Micronesia (Federated States of)</x:v>
      </x:c>
      <x:c r="C99" s="24" t="str">
        <x:v>EEZ</x:v>
      </x:c>
      <x:c r="D99" s="30" t="n">
        <x:v>2019</x:v>
      </x:c>
      <x:c r="E99" s="24" t="str">
        <x:v>Scarus dimidiatus</x:v>
      </x:c>
      <x:c r="F99" s="24" t="str">
        <x:v>Yellowbarred parrotfish</x:v>
      </x:c>
      <x:c r="G99" s="24" t="str">
        <x:v>Medium reef assoc. fish (30 - 89 cm)</x:v>
      </x:c>
      <x:c r="H99" s="24" t="str">
        <x:v>Perch-likes</x:v>
      </x:c>
      <x:c r="I99" s="31" t="n">
        <x:v>0.744315861</x:v>
      </x:c>
      <x:c r="J99" s="31" t="n">
        <x:v>0.744315861</x:v>
      </x:c>
      <x:c r="K99" s="31" t="n">
        <x:v>0</x:v>
      </x:c>
      <x:c r="L99" s="31" t="n">
        <x:v>0.744315861</x:v>
      </x:c>
      <x:c r="M99" s="31" t="n">
        <x:v>0</x:v>
      </x:c>
      <x:c r="N99" s="24" t="str">
        <x:v>scarus dimidiatus</x:v>
      </x:c>
      <x:c r="O99" s="32" t="n">
        <x:v>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Scarus dimidiatus</x:v>
      </x:c>
      <x:c r="T99" s="32" t="n">
        <x:f>IF(O99="","",(1/'Metadata'!$B$5)^(O99-1))</x:f>
        <x:v>10</x:v>
      </x:c>
      <x:c r="U99" s="31" t="n">
        <x:f>IF(T99="","",I99*T99)</x:f>
        <x:v>7.44315861</x:v>
      </x:c>
    </x:row>
    <x:row r="100" ht="18" customHeight="1">
      <x:c r="A100" s="24" t="str">
        <x:v>EEZ_583</x:v>
      </x:c>
      <x:c r="B100" s="24" t="str">
        <x:v>Micronesia (Federated States of)</x:v>
      </x:c>
      <x:c r="C100" s="24" t="str">
        <x:v>EEZ</x:v>
      </x:c>
      <x:c r="D100" s="30" t="n">
        <x:v>2019</x:v>
      </x:c>
      <x:c r="E100" s="24" t="str">
        <x:v>Plectropomus laevis</x:v>
      </x:c>
      <x:c r="F100" s="24" t="str">
        <x:v>Blacksaddled coralgrouper</x:v>
      </x:c>
      <x:c r="G100" s="24" t="str">
        <x:v>Large reef assoc. fish (&gt;=90 cm)</x:v>
      </x:c>
      <x:c r="H100" s="24" t="str">
        <x:v>Perch-likes</x:v>
      </x:c>
      <x:c r="I100" s="31" t="n">
        <x:v>0.730423566</x:v>
      </x:c>
      <x:c r="J100" s="31" t="n">
        <x:v>0.730423566</x:v>
      </x:c>
      <x:c r="K100" s="31" t="n">
        <x:v>0</x:v>
      </x:c>
      <x:c r="L100" s="31" t="n">
        <x:v>0.730423566</x:v>
      </x:c>
      <x:c r="M100" s="31" t="n">
        <x:v>0</x:v>
      </x:c>
      <x:c r="N100" s="24" t="str">
        <x:v>plectropomus laevis</x:v>
      </x:c>
      <x:c r="O100" s="32" t="n">
        <x:v>4.14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Plectropomus laevis</x:v>
      </x:c>
      <x:c r="T100" s="32" t="n">
        <x:f>IF(O100="","",(1/'Metadata'!$B$5)^(O100-1))</x:f>
        <x:v>1380.3842646028838</x:v>
      </x:c>
      <x:c r="U100" s="31" t="n">
        <x:f>IF(T100="","",I100*T100)</x:f>
        <x:v>1008.265197001526</x:v>
      </x:c>
    </x:row>
    <x:row r="101" ht="18" customHeight="1">
      <x:c r="A101" s="24" t="str">
        <x:v>EEZ_583</x:v>
      </x:c>
      <x:c r="B101" s="24" t="str">
        <x:v>Micronesia (Federated States of)</x:v>
      </x:c>
      <x:c r="C101" s="24" t="str">
        <x:v>EEZ</x:v>
      </x:c>
      <x:c r="D101" s="30" t="n">
        <x:v>2019</x:v>
      </x:c>
      <x:c r="E101" s="24" t="str">
        <x:v>Acanthurus xanthopterus</x:v>
      </x:c>
      <x:c r="F101" s="24" t="str">
        <x:v>Yellowfin surgeonfish</x:v>
      </x:c>
      <x:c r="G101" s="24" t="str">
        <x:v>Medium reef assoc. fish (30 - 89 cm)</x:v>
      </x:c>
      <x:c r="H101" s="24" t="str">
        <x:v>Perch-likes</x:v>
      </x:c>
      <x:c r="I101" s="31" t="n">
        <x:v>0.670353572</x:v>
      </x:c>
      <x:c r="J101" s="31" t="n">
        <x:v>0.670353572</x:v>
      </x:c>
      <x:c r="K101" s="31" t="n">
        <x:v>0</x:v>
      </x:c>
      <x:c r="L101" s="31" t="n">
        <x:v>0.670353572</x:v>
      </x:c>
      <x:c r="M101" s="31" t="n">
        <x:v>0</x:v>
      </x:c>
      <x:c r="N101" s="24" t="str">
        <x:v>acanthurus xanthopterus</x:v>
      </x:c>
      <x:c r="O101" s="32" t="n">
        <x:v>2.87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Acanthurus xanthopterus</x:v>
      </x:c>
      <x:c r="T101" s="32" t="n">
        <x:f>IF(O101="","",(1/'Metadata'!$B$5)^(O101-1))</x:f>
        <x:v>74.13102413009177</x:v>
      </x:c>
      <x:c r="U101" s="31" t="n">
        <x:f>IF(T101="","",I101*T101)</x:f>
        <x:v>49.69399682162521</x:v>
      </x:c>
    </x:row>
    <x:row r="102" ht="18" customHeight="1">
      <x:c r="A102" s="24" t="str">
        <x:v>EEZ_583</x:v>
      </x:c>
      <x:c r="B102" s="24" t="str">
        <x:v>Micronesia (Federated States of)</x:v>
      </x:c>
      <x:c r="C102" s="24" t="str">
        <x:v>EEZ</x:v>
      </x:c>
      <x:c r="D102" s="30" t="n">
        <x:v>2019</x:v>
      </x:c>
      <x:c r="E102" s="24" t="str">
        <x:v>Monacanthidae</x:v>
      </x:c>
      <x:c r="F102" s="24" t="str">
        <x:v>Filefishes</x:v>
      </x:c>
      <x:c r="G102" s="24" t="str">
        <x:v>Medium reef assoc. fish (30 - 89 cm)</x:v>
      </x:c>
      <x:c r="H102" s="24" t="str">
        <x:v>Other fishes &amp; inverts</x:v>
      </x:c>
      <x:c r="I102" s="31" t="n">
        <x:v>0.606283164</x:v>
      </x:c>
      <x:c r="J102" s="31" t="n">
        <x:v>0.606283164</x:v>
      </x:c>
      <x:c r="K102" s="31" t="n">
        <x:v>0</x:v>
      </x:c>
      <x:c r="L102" s="31" t="n">
        <x:v>0.606283164</x:v>
      </x:c>
      <x:c r="M102" s="31" t="n">
        <x:v>0</x:v>
      </x:c>
      <x:c r="N102" s="24" t="str">
        <x:v>monacanthidae</x:v>
      </x:c>
      <x:c r="O102" s="32" t="n">
        <x:v>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Monacanthidae</x:v>
      </x:c>
      <x:c r="T102" s="32" t="n">
        <x:f>IF(O102="","",(1/'Metadata'!$B$5)^(O102-1))</x:f>
        <x:v>100</x:v>
      </x:c>
      <x:c r="U102" s="31" t="n">
        <x:f>IF(T102="","",I102*T102)</x:f>
        <x:v>60.6283164</x:v>
      </x:c>
    </x:row>
    <x:row r="103" ht="18" customHeight="1">
      <x:c r="A103" s="24" t="str">
        <x:v>EEZ_583</x:v>
      </x:c>
      <x:c r="B103" s="24" t="str">
        <x:v>Micronesia (Federated States of)</x:v>
      </x:c>
      <x:c r="C103" s="24" t="str">
        <x:v>EEZ</x:v>
      </x:c>
      <x:c r="D103" s="30" t="n">
        <x:v>2019</x:v>
      </x:c>
      <x:c r="E103" s="24" t="str">
        <x:v>Sphyraena forsteri</x:v>
      </x:c>
      <x:c r="F103" s="24" t="str">
        <x:v>Bigeye barracuda</x:v>
      </x:c>
      <x:c r="G103" s="24" t="str">
        <x:v>Medium reef assoc. fish (30 - 89 cm)</x:v>
      </x:c>
      <x:c r="H103" s="24" t="str">
        <x:v>Perch-likes</x:v>
      </x:c>
      <x:c r="I103" s="31" t="n">
        <x:v>0.591582955</x:v>
      </x:c>
      <x:c r="J103" s="31" t="n">
        <x:v>0.591582955</x:v>
      </x:c>
      <x:c r="K103" s="31" t="n">
        <x:v>0</x:v>
      </x:c>
      <x:c r="L103" s="31" t="n">
        <x:v>0.591582955</x:v>
      </x:c>
      <x:c r="M103" s="31" t="n">
        <x:v>0</x:v>
      </x:c>
      <x:c r="N103" s="24" t="str">
        <x:v>sphyraena forsteri</x:v>
      </x:c>
      <x:c r="O103" s="32" t="n">
        <x:v>4.42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Sphyraena forsteri</x:v>
      </x:c>
      <x:c r="T103" s="32" t="n">
        <x:f>IF(O103="","",(1/'Metadata'!$B$5)^(O103-1))</x:f>
        <x:v>2630.2679918953813</x:v>
      </x:c>
      <x:c r="U103" s="31" t="n">
        <x:f>IF(T103="","",I103*T103)</x:f>
        <x:v>1556.0217110873857</x:v>
      </x:c>
    </x:row>
    <x:row r="104" ht="18" customHeight="1">
      <x:c r="A104" s="24" t="str">
        <x:v>EEZ_583</x:v>
      </x:c>
      <x:c r="B104" s="24" t="str">
        <x:v>Micronesia (Federated States of)</x:v>
      </x:c>
      <x:c r="C104" s="24" t="str">
        <x:v>EEZ</x:v>
      </x:c>
      <x:c r="D104" s="30" t="n">
        <x:v>2019</x:v>
      </x:c>
      <x:c r="E104" s="24" t="str">
        <x:v>Caranx</x:v>
      </x:c>
      <x:c r="F104" s="24" t="str">
        <x:v>Jacks</x:v>
      </x:c>
      <x:c r="G104" s="24" t="str">
        <x:v>Medium reef assoc. fish (30 - 89 cm)</x:v>
      </x:c>
      <x:c r="H104" s="24" t="str">
        <x:v>Perch-likes</x:v>
      </x:c>
      <x:c r="I104" s="31" t="n">
        <x:v>0.563624805</x:v>
      </x:c>
      <x:c r="J104" s="31" t="n">
        <x:v>0.563624805</x:v>
      </x:c>
      <x:c r="K104" s="31" t="n">
        <x:v>0</x:v>
      </x:c>
      <x:c r="L104" s="31" t="n">
        <x:v>0.563624805</x:v>
      </x:c>
      <x:c r="M104" s="31" t="n">
        <x:v>0</x:v>
      </x:c>
      <x:c r="N104" s="24" t="str">
        <x:v>caranx</x:v>
      </x:c>
      <x:c r="O104" s="32" t="n">
        <x:v>4.12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Caranx</x:v>
      </x:c>
      <x:c r="T104" s="32" t="n">
        <x:f>IF(O104="","",(1/'Metadata'!$B$5)^(O104-1))</x:f>
        <x:v>1318.2567385564075</x:v>
      </x:c>
      <x:c r="U104" s="31" t="n">
        <x:f>IF(T104="","",I104*T104)</x:f>
        <x:v>743.0021972087911</x:v>
      </x:c>
    </x:row>
    <x:row r="105" ht="18" customHeight="1">
      <x:c r="A105" s="24" t="str">
        <x:v>EEZ_583</x:v>
      </x:c>
      <x:c r="B105" s="24" t="str">
        <x:v>Micronesia (Federated States of)</x:v>
      </x:c>
      <x:c r="C105" s="24" t="str">
        <x:v>EEZ</x:v>
      </x:c>
      <x:c r="D105" s="30" t="n">
        <x:v>2019</x:v>
      </x:c>
      <x:c r="E105" s="24" t="str">
        <x:v>Carangoides</x:v>
      </x:c>
      <x:c r="F105" s="24" t="str">
        <x:v>Trevallies</x:v>
      </x:c>
      <x:c r="G105" s="24" t="str">
        <x:v>Medium reef assoc. fish (30 - 89 cm)</x:v>
      </x:c>
      <x:c r="H105" s="24" t="str">
        <x:v>Perch-likes</x:v>
      </x:c>
      <x:c r="I105" s="31" t="n">
        <x:v>0.5600722119</x:v>
      </x:c>
      <x:c r="J105" s="31" t="n">
        <x:v>0.5600722119</x:v>
      </x:c>
      <x:c r="K105" s="31" t="n">
        <x:v>0</x:v>
      </x:c>
      <x:c r="L105" s="31" t="n">
        <x:v>0.5600722119</x:v>
      </x:c>
      <x:c r="M105" s="31" t="n">
        <x:v>0</x:v>
      </x:c>
      <x:c r="N105" s="24" t="str">
        <x:v>carangoides</x:v>
      </x:c>
      <x:c r="O105" s="32" t="n">
        <x:v>4.34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Carangoides</x:v>
      </x:c>
      <x:c r="T105" s="32" t="n">
        <x:f>IF(O105="","",(1/'Metadata'!$B$5)^(O105-1))</x:f>
        <x:v>2187.761623949552</x:v>
      </x:c>
      <x:c r="U105" s="31" t="n">
        <x:f>IF(T105="","",I105*T105)</x:f>
        <x:v>1225.3044918353617</x:v>
      </x:c>
    </x:row>
    <x:row r="106" ht="18" customHeight="1">
      <x:c r="A106" s="24" t="str">
        <x:v>EEZ_583</x:v>
      </x:c>
      <x:c r="B106" s="24" t="str">
        <x:v>Micronesia (Federated States of)</x:v>
      </x:c>
      <x:c r="C106" s="24" t="str">
        <x:v>EEZ</x:v>
      </x:c>
      <x:c r="D106" s="30" t="n">
        <x:v>2019</x:v>
      </x:c>
      <x:c r="E106" s="24" t="str">
        <x:v>Caranx ignobilis</x:v>
      </x:c>
      <x:c r="F106" s="24" t="str">
        <x:v>Giant trevally</x:v>
      </x:c>
      <x:c r="G106" s="24" t="str">
        <x:v>Large reef assoc. fish (&gt;=90 cm)</x:v>
      </x:c>
      <x:c r="H106" s="24" t="str">
        <x:v>Perch-likes</x:v>
      </x:c>
      <x:c r="I106" s="31" t="n">
        <x:v>0.526858888</x:v>
      </x:c>
      <x:c r="J106" s="31" t="n">
        <x:v>0.526858888</x:v>
      </x:c>
      <x:c r="K106" s="31" t="n">
        <x:v>0</x:v>
      </x:c>
      <x:c r="L106" s="31" t="n">
        <x:v>0.526858888</x:v>
      </x:c>
      <x:c r="M106" s="31" t="n">
        <x:v>0</x:v>
      </x:c>
      <x:c r="N106" s="24" t="str">
        <x:v>caranx ignobilis</x:v>
      </x:c>
      <x:c r="O106" s="32" t="n">
        <x:v>4.22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Caranx ignobilis</x:v>
      </x:c>
      <x:c r="T106" s="32" t="n">
        <x:f>IF(O106="","",(1/'Metadata'!$B$5)^(O106-1))</x:f>
        <x:v>1659.5869074375596</x:v>
      </x:c>
      <x:c r="U106" s="31" t="n">
        <x:f>IF(T106="","",I106*T106)</x:f>
        <x:v>874.3681125919117</x:v>
      </x:c>
    </x:row>
    <x:row r="107" ht="18" customHeight="1">
      <x:c r="A107" s="24" t="str">
        <x:v>EEZ_583</x:v>
      </x:c>
      <x:c r="B107" s="24" t="str">
        <x:v>Micronesia (Federated States of)</x:v>
      </x:c>
      <x:c r="C107" s="24" t="str">
        <x:v>EEZ</x:v>
      </x:c>
      <x:c r="D107" s="30" t="n">
        <x:v>2019</x:v>
      </x:c>
      <x:c r="E107" s="24" t="str">
        <x:v>Lethrinus atkinsoni</x:v>
      </x:c>
      <x:c r="F107" s="24" t="str">
        <x:v>Pacific yellowtail emperor</x:v>
      </x:c>
      <x:c r="G107" s="24" t="str">
        <x:v>Medium reef assoc. fish (30 - 89 cm)</x:v>
      </x:c>
      <x:c r="H107" s="24" t="str">
        <x:v>Perch-likes</x:v>
      </x:c>
      <x:c r="I107" s="31" t="n">
        <x:v>0.463542844</x:v>
      </x:c>
      <x:c r="J107" s="31" t="n">
        <x:v>0.463542844</x:v>
      </x:c>
      <x:c r="K107" s="31" t="n">
        <x:v>0</x:v>
      </x:c>
      <x:c r="L107" s="31" t="n">
        <x:v>0.463542844</x:v>
      </x:c>
      <x:c r="M107" s="31" t="n">
        <x:v>0</x:v>
      </x:c>
      <x:c r="N107" s="24" t="str">
        <x:v>lethrinus atkinsoni</x:v>
      </x:c>
      <x:c r="O107" s="32" t="n">
        <x:v>3.79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Lethrinus atkinsoni</x:v>
      </x:c>
      <x:c r="T107" s="32" t="n">
        <x:f>IF(O107="","",(1/'Metadata'!$B$5)^(O107-1))</x:f>
        <x:v>616.5950018614822</x:v>
      </x:c>
      <x:c r="U107" s="31" t="n">
        <x:f>IF(T107="","",I107*T107)</x:f>
        <x:v>285.81820075905677</x:v>
      </x:c>
    </x:row>
    <x:row r="108" ht="18" customHeight="1">
      <x:c r="A108" s="24" t="str">
        <x:v>EEZ_583</x:v>
      </x:c>
      <x:c r="B108" s="24" t="str">
        <x:v>Micronesia (Federated States of)</x:v>
      </x:c>
      <x:c r="C108" s="24" t="str">
        <x:v>EEZ</x:v>
      </x:c>
      <x:c r="D108" s="30" t="n">
        <x:v>2019</x:v>
      </x:c>
      <x:c r="E108" s="24" t="str">
        <x:v>Plectorhinchus</x:v>
      </x:c>
      <x:c r="F108" s="24" t="str">
        <x:v>Sweetlips</x:v>
      </x:c>
      <x:c r="G108" s="24" t="str">
        <x:v>Medium reef assoc. fish (30 - 89 cm)</x:v>
      </x:c>
      <x:c r="H108" s="24" t="str">
        <x:v>Perch-likes</x:v>
      </x:c>
      <x:c r="I108" s="31" t="n">
        <x:v>0.399327572</x:v>
      </x:c>
      <x:c r="J108" s="31" t="n">
        <x:v>0.399327572</x:v>
      </x:c>
      <x:c r="K108" s="31" t="n">
        <x:v>0</x:v>
      </x:c>
      <x:c r="L108" s="31" t="n">
        <x:v>0.399327572</x:v>
      </x:c>
      <x:c r="M108" s="31" t="n">
        <x:v>0</x:v>
      </x:c>
      <x:c r="N108" s="24" t="str">
        <x:v>plectorhinchus</x:v>
      </x:c>
      <x:c r="O108" s="32" t="n">
        <x:v>3.43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Plectorhinchus</x:v>
      </x:c>
      <x:c r="T108" s="32" t="n">
        <x:f>IF(O108="","",(1/'Metadata'!$B$5)^(O108-1))</x:f>
        <x:v>269.1534803926917</x:v>
      </x:c>
      <x:c r="U108" s="31" t="n">
        <x:f>IF(T108="","",I108*T108)</x:f>
        <x:v>107.48040582056318</x:v>
      </x:c>
    </x:row>
    <x:row r="109" ht="18" customHeight="1">
      <x:c r="A109" s="24" t="str">
        <x:v>EEZ_583</x:v>
      </x:c>
      <x:c r="B109" s="24" t="str">
        <x:v>Micronesia (Federated States of)</x:v>
      </x:c>
      <x:c r="C109" s="24" t="str">
        <x:v>EEZ</x:v>
      </x:c>
      <x:c r="D109" s="30" t="n">
        <x:v>2019</x:v>
      </x:c>
      <x:c r="E109" s="24" t="str">
        <x:v>Caesionidae</x:v>
      </x:c>
      <x:c r="F109" s="24" t="str">
        <x:v>Fusiliers</x:v>
      </x:c>
      <x:c r="G109" s="24" t="str">
        <x:v>Medium reef assoc. fish (30 - 89 cm)</x:v>
      </x:c>
      <x:c r="H109" s="24" t="str">
        <x:v>Perch-likes</x:v>
      </x:c>
      <x:c r="I109" s="31" t="n">
        <x:v>0.39181694899999997</x:v>
      </x:c>
      <x:c r="J109" s="31" t="n">
        <x:v>0.39181694899999997</x:v>
      </x:c>
      <x:c r="K109" s="31" t="n">
        <x:v>0</x:v>
      </x:c>
      <x:c r="L109" s="31" t="n">
        <x:v>0.39181694899999997</x:v>
      </x:c>
      <x:c r="M109" s="31" t="n">
        <x:v>0</x:v>
      </x:c>
      <x:c r="N109" s="24" t="str">
        <x:v>caesionidae</x:v>
      </x:c>
      <x:c r="O109" s="32" t="n">
        <x:v>3.39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Caesionidae</x:v>
      </x:c>
      <x:c r="T109" s="32" t="n">
        <x:f>IF(O109="","",(1/'Metadata'!$B$5)^(O109-1))</x:f>
        <x:v>245.4708915685031</x:v>
      </x:c>
      <x:c r="U109" s="31" t="n">
        <x:f>IF(T109="","",I109*T109)</x:f>
        <x:v>96.1796558026807</x:v>
      </x:c>
    </x:row>
    <x:row r="110" ht="18" customHeight="1">
      <x:c r="A110" s="24" t="str">
        <x:v>EEZ_583</x:v>
      </x:c>
      <x:c r="B110" s="24" t="str">
        <x:v>Micronesia (Federated States of)</x:v>
      </x:c>
      <x:c r="C110" s="24" t="str">
        <x:v>EEZ</x:v>
      </x:c>
      <x:c r="D110" s="30" t="n">
        <x:v>2019</x:v>
      </x:c>
      <x:c r="E110" s="24" t="str">
        <x:v>Lutjanus argentimaculatus</x:v>
      </x:c>
      <x:c r="F110" s="24" t="str">
        <x:v>Mangrove red snapper</x:v>
      </x:c>
      <x:c r="G110" s="24" t="str">
        <x:v>Large reef assoc. fish (&gt;=90 cm)</x:v>
      </x:c>
      <x:c r="H110" s="24" t="str">
        <x:v>Perch-likes</x:v>
      </x:c>
      <x:c r="I110" s="31" t="n">
        <x:v>0.32682394</x:v>
      </x:c>
      <x:c r="J110" s="31" t="n">
        <x:v>0.32682394</x:v>
      </x:c>
      <x:c r="K110" s="31" t="n">
        <x:v>0</x:v>
      </x:c>
      <x:c r="L110" s="31" t="n">
        <x:v>0.32682394</x:v>
      </x:c>
      <x:c r="M110" s="31" t="n">
        <x:v>0</x:v>
      </x:c>
      <x:c r="N110" s="24" t="str">
        <x:v>lutjanus argentimaculatus</x:v>
      </x:c>
      <x:c r="O110" s="32" t="n">
        <x:v>3.58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Lutjanus argentimaculatus</x:v>
      </x:c>
      <x:c r="T110" s="32" t="n">
        <x:f>IF(O110="","",(1/'Metadata'!$B$5)^(O110-1))</x:f>
        <x:v>380.1893963205613</x:v>
      </x:c>
      <x:c r="U110" s="31" t="n">
        <x:f>IF(T110="","",I110*T110)</x:f>
        <x:v>124.25499645170733</x:v>
      </x:c>
    </x:row>
    <x:row r="111" ht="18" customHeight="1">
      <x:c r="A111" s="24" t="str">
        <x:v>EEZ_583</x:v>
      </x:c>
      <x:c r="B111" s="24" t="str">
        <x:v>Micronesia (Federated States of)</x:v>
      </x:c>
      <x:c r="C111" s="24" t="str">
        <x:v>EEZ</x:v>
      </x:c>
      <x:c r="D111" s="30" t="n">
        <x:v>2019</x:v>
      </x:c>
      <x:c r="E111" s="24" t="str">
        <x:v>Epinephelus tauvina</x:v>
      </x:c>
      <x:c r="F111" s="24" t="str">
        <x:v>Greasy grouper</x:v>
      </x:c>
      <x:c r="G111" s="24" t="str">
        <x:v>Medium reef assoc. fish (30 - 89 cm)</x:v>
      </x:c>
      <x:c r="H111" s="24" t="str">
        <x:v>Perch-likes</x:v>
      </x:c>
      <x:c r="I111" s="31" t="n">
        <x:v>0.313958143</x:v>
      </x:c>
      <x:c r="J111" s="31" t="n">
        <x:v>0.313958143</x:v>
      </x:c>
      <x:c r="K111" s="31" t="n">
        <x:v>0</x:v>
      </x:c>
      <x:c r="L111" s="31" t="n">
        <x:v>0.313958143</x:v>
      </x:c>
      <x:c r="M111" s="31" t="n">
        <x:v>0</x:v>
      </x:c>
      <x:c r="N111" s="24" t="str">
        <x:v>epinephelus tauvina</x:v>
      </x:c>
      <x:c r="O111" s="32" t="n">
        <x:v>4.13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Epinephelus tauvina</x:v>
      </x:c>
      <x:c r="T111" s="32" t="n">
        <x:f>IF(O111="","",(1/'Metadata'!$B$5)^(O111-1))</x:f>
        <x:v>1348.9628825916532</x:v>
      </x:c>
      <x:c r="U111" s="31" t="n">
        <x:f>IF(T111="","",I111*T111)</x:f>
        <x:v>423.51788159440247</x:v>
      </x:c>
    </x:row>
    <x:row r="112" ht="18" customHeight="1">
      <x:c r="A112" s="24" t="str">
        <x:v>EEZ_583</x:v>
      </x:c>
      <x:c r="B112" s="24" t="str">
        <x:v>Micronesia (Federated States of)</x:v>
      </x:c>
      <x:c r="C112" s="24" t="str">
        <x:v>EEZ</x:v>
      </x:c>
      <x:c r="D112" s="30" t="n">
        <x:v>2019</x:v>
      </x:c>
      <x:c r="E112" s="24" t="str">
        <x:v>Scarus ghobban</x:v>
      </x:c>
      <x:c r="F112" s="24" t="str">
        <x:v>Blue-barred parrotfish</x:v>
      </x:c>
      <x:c r="G112" s="24" t="str">
        <x:v>Medium reef assoc. fish (30 - 89 cm)</x:v>
      </x:c>
      <x:c r="H112" s="24" t="str">
        <x:v>Perch-likes</x:v>
      </x:c>
      <x:c r="I112" s="31" t="n">
        <x:v>0.270278448</x:v>
      </x:c>
      <x:c r="J112" s="31" t="n">
        <x:v>0.270278448</x:v>
      </x:c>
      <x:c r="K112" s="31" t="n">
        <x:v>0</x:v>
      </x:c>
      <x:c r="L112" s="31" t="n">
        <x:v>0.270278448</x:v>
      </x:c>
      <x:c r="M112" s="31" t="n">
        <x:v>0</x:v>
      </x:c>
      <x:c r="N112" s="24" t="str">
        <x:v>scarus ghobban</x:v>
      </x:c>
      <x:c r="O112" s="32" t="n">
        <x:v>2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Scarus ghobban</x:v>
      </x:c>
      <x:c r="T112" s="32" t="n">
        <x:f>IF(O112="","",(1/'Metadata'!$B$5)^(O112-1))</x:f>
        <x:v>10</x:v>
      </x:c>
      <x:c r="U112" s="31" t="n">
        <x:f>IF(T112="","",I112*T112)</x:f>
        <x:v>2.70278448</x:v>
      </x:c>
    </x:row>
    <x:row r="113" ht="18" customHeight="1">
      <x:c r="A113" s="24" t="str">
        <x:v>EEZ_583</x:v>
      </x:c>
      <x:c r="B113" s="24" t="str">
        <x:v>Micronesia (Federated States of)</x:v>
      </x:c>
      <x:c r="C113" s="24" t="str">
        <x:v>EEZ</x:v>
      </x:c>
      <x:c r="D113" s="30" t="n">
        <x:v>2019</x:v>
      </x:c>
      <x:c r="E113" s="24" t="str">
        <x:v>Lethrinus harak</x:v>
      </x:c>
      <x:c r="F113" s="24" t="str">
        <x:v>Thumbprint emperor</x:v>
      </x:c>
      <x:c r="G113" s="24" t="str">
        <x:v>Medium reef assoc. fish (30 - 89 cm)</x:v>
      </x:c>
      <x:c r="H113" s="24" t="str">
        <x:v>Perch-likes</x:v>
      </x:c>
      <x:c r="I113" s="31" t="n">
        <x:v>0.241252213</x:v>
      </x:c>
      <x:c r="J113" s="31" t="n">
        <x:v>0.241252213</x:v>
      </x:c>
      <x:c r="K113" s="31" t="n">
        <x:v>0</x:v>
      </x:c>
      <x:c r="L113" s="31" t="n">
        <x:v>0.241252213</x:v>
      </x:c>
      <x:c r="M113" s="31" t="n">
        <x:v>0</x:v>
      </x:c>
      <x:c r="N113" s="24" t="str">
        <x:v>lethrinus harak</x:v>
      </x:c>
      <x:c r="O113" s="32" t="n">
        <x:v>3.59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Lethrinus harak</x:v>
      </x:c>
      <x:c r="T113" s="32" t="n">
        <x:f>IF(O113="","",(1/'Metadata'!$B$5)^(O113-1))</x:f>
        <x:v>389.04514499428046</x:v>
      </x:c>
      <x:c r="U113" s="31" t="n">
        <x:f>IF(T113="","",I113*T113)</x:f>
        <x:v>93.85800218677603</x:v>
      </x:c>
    </x:row>
    <x:row r="114" ht="18" customHeight="1">
      <x:c r="A114" s="24" t="str">
        <x:v>EEZ_583</x:v>
      </x:c>
      <x:c r="B114" s="24" t="str">
        <x:v>Micronesia (Federated States of)</x:v>
      </x:c>
      <x:c r="C114" s="24" t="str">
        <x:v>EEZ</x:v>
      </x:c>
      <x:c r="D114" s="30" t="n">
        <x:v>2019</x:v>
      </x:c>
      <x:c r="E114" s="24" t="str">
        <x:v>Naso vlamingii</x:v>
      </x:c>
      <x:c r="F114" s="24" t="str">
        <x:v>Bignose unicornfish</x:v>
      </x:c>
      <x:c r="G114" s="24" t="str">
        <x:v>Medium reef assoc. fish (30 - 89 cm)</x:v>
      </x:c>
      <x:c r="H114" s="24" t="str">
        <x:v>Perch-likes</x:v>
      </x:c>
      <x:c r="I114" s="31" t="n">
        <x:v>0.235221426</x:v>
      </x:c>
      <x:c r="J114" s="31" t="n">
        <x:v>0.235221426</x:v>
      </x:c>
      <x:c r="K114" s="31" t="n">
        <x:v>0</x:v>
      </x:c>
      <x:c r="L114" s="31" t="n">
        <x:v>0.235221426</x:v>
      </x:c>
      <x:c r="M114" s="31" t="n">
        <x:v>0</x:v>
      </x:c>
      <x:c r="N114" s="24" t="str">
        <x:v>naso vlamingii</x:v>
      </x:c>
      <x:c r="O114" s="32" t="n">
        <x:v>2.16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Naso vlamingii</x:v>
      </x:c>
      <x:c r="T114" s="32" t="n">
        <x:f>IF(O114="","",(1/'Metadata'!$B$5)^(O114-1))</x:f>
        <x:v>14.45439770745928</x:v>
      </x:c>
      <x:c r="U114" s="31" t="n">
        <x:f>IF(T114="","",I114*T114)</x:f>
        <x:v>3.399984040719703</x:v>
      </x:c>
    </x:row>
    <x:row r="115" ht="18" customHeight="1">
      <x:c r="A115" s="24" t="str">
        <x:v>EEZ_583</x:v>
      </x:c>
      <x:c r="B115" s="24" t="str">
        <x:v>Micronesia (Federated States of)</x:v>
      </x:c>
      <x:c r="C115" s="24" t="str">
        <x:v>EEZ</x:v>
      </x:c>
      <x:c r="D115" s="30" t="n">
        <x:v>2019</x:v>
      </x:c>
      <x:c r="E115" s="24" t="str">
        <x:v>Macolor niger</x:v>
      </x:c>
      <x:c r="F115" s="24" t="str">
        <x:v>Black and white snapper</x:v>
      </x:c>
      <x:c r="G115" s="24" t="str">
        <x:v>Medium reef assoc. fish (30 - 89 cm)</x:v>
      </x:c>
      <x:c r="H115" s="24" t="str">
        <x:v>Perch-likes</x:v>
      </x:c>
      <x:c r="I115" s="31" t="n">
        <x:v>0.220222762</x:v>
      </x:c>
      <x:c r="J115" s="31" t="n">
        <x:v>0.220222762</x:v>
      </x:c>
      <x:c r="K115" s="31" t="n">
        <x:v>0</x:v>
      </x:c>
      <x:c r="L115" s="31" t="n">
        <x:v>0.220222762</x:v>
      </x:c>
      <x:c r="M115" s="31" t="n">
        <x:v>0</x:v>
      </x:c>
      <x:c r="N115" s="24" t="str">
        <x:v>macolor niger</x:v>
      </x:c>
      <x:c r="O115" s="32" t="n">
        <x:v>4.01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Macolor niger</x:v>
      </x:c>
      <x:c r="T115" s="32" t="n">
        <x:f>IF(O115="","",(1/'Metadata'!$B$5)^(O115-1))</x:f>
        <x:v>1023.2929922807537</x:v>
      </x:c>
      <x:c r="U115" s="31" t="n">
        <x:f>IF(T115="","",I115*T115)</x:f>
        <x:v>225.35240909531223</x:v>
      </x:c>
    </x:row>
    <x:row r="116" ht="18" customHeight="1">
      <x:c r="A116" s="24" t="str">
        <x:v>EEZ_583</x:v>
      </x:c>
      <x:c r="B116" s="24" t="str">
        <x:v>Micronesia (Federated States of)</x:v>
      </x:c>
      <x:c r="C116" s="24" t="str">
        <x:v>EEZ</x:v>
      </x:c>
      <x:c r="D116" s="30" t="n">
        <x:v>2019</x:v>
      </x:c>
      <x:c r="E116" s="24" t="str">
        <x:v>Lethrinus rubrioperculatus</x:v>
      </x:c>
      <x:c r="F116" s="24" t="str">
        <x:v>Spotcheek emperor</x:v>
      </x:c>
      <x:c r="G116" s="24" t="str">
        <x:v>Medium reef assoc. fish (30 - 89 cm)</x:v>
      </x:c>
      <x:c r="H116" s="24" t="str">
        <x:v>Perch-likes</x:v>
      </x:c>
      <x:c r="I116" s="31" t="n">
        <x:v>0.197882307</x:v>
      </x:c>
      <x:c r="J116" s="31" t="n">
        <x:v>0.197882307</x:v>
      </x:c>
      <x:c r="K116" s="31" t="n">
        <x:v>0</x:v>
      </x:c>
      <x:c r="L116" s="31" t="n">
        <x:v>0.197882307</x:v>
      </x:c>
      <x:c r="M116" s="31" t="n">
        <x:v>0</x:v>
      </x:c>
      <x:c r="N116" s="24" t="str">
        <x:v>lethrinus rubrioperculatus</x:v>
      </x:c>
      <x:c r="O116" s="32" t="n">
        <x:v>3.75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Lethrinus rubrioperculatus</x:v>
      </x:c>
      <x:c r="T116" s="32" t="n">
        <x:f>IF(O116="","",(1/'Metadata'!$B$5)^(O116-1))</x:f>
        <x:v>562.341325190349</x:v>
      </x:c>
      <x:c r="U116" s="31" t="n">
        <x:f>IF(T116="","",I116*T116)</x:f>
        <x:v>111.27739875010349</x:v>
      </x:c>
    </x:row>
    <x:row r="117" ht="18" customHeight="1">
      <x:c r="A117" s="24" t="str">
        <x:v>EEZ_583</x:v>
      </x:c>
      <x:c r="B117" s="24" t="str">
        <x:v>Micronesia (Federated States of)</x:v>
      </x:c>
      <x:c r="C117" s="24" t="str">
        <x:v>EEZ</x:v>
      </x:c>
      <x:c r="D117" s="30" t="n">
        <x:v>2019</x:v>
      </x:c>
      <x:c r="E117" s="24" t="str">
        <x:v>Scomberomorus</x:v>
      </x:c>
      <x:c r="F117" s="24" t="str">
        <x:v>Spanish mackerels</x:v>
      </x:c>
      <x:c r="G117" s="24" t="str">
        <x:v>Large pelagics (&gt;=90 cm)</x:v>
      </x:c>
      <x:c r="H117" s="24" t="str">
        <x:v>Perch-likes</x:v>
      </x:c>
      <x:c r="I117" s="31" t="n">
        <x:v>0.1795792243</x:v>
      </x:c>
      <x:c r="J117" s="31" t="n">
        <x:v>0.1795792243</x:v>
      </x:c>
      <x:c r="K117" s="31" t="n">
        <x:v>0</x:v>
      </x:c>
      <x:c r="L117" s="31" t="n">
        <x:v>0.1795792243</x:v>
      </x:c>
      <x:c r="M117" s="31" t="n">
        <x:v>0</x:v>
      </x:c>
      <x:c r="N117" s="24" t="str">
        <x:v>scomberomorus</x:v>
      </x:c>
      <x:c r="O117" s="32" t="n">
        <x:v>4.35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Scomberomorus</x:v>
      </x:c>
      <x:c r="T117" s="32" t="n">
        <x:f>IF(O117="","",(1/'Metadata'!$B$5)^(O117-1))</x:f>
        <x:v>2238.7211385683377</x:v>
      </x:c>
      <x:c r="U117" s="31" t="n">
        <x:f>IF(T117="","",I117*T117)</x:f>
        <x:v>402.0278054881149</x:v>
      </x:c>
    </x:row>
    <x:row r="118" ht="18" customHeight="1">
      <x:c r="A118" s="24" t="str">
        <x:v>EEZ_583</x:v>
      </x:c>
      <x:c r="B118" s="24" t="str">
        <x:v>Micronesia (Federated States of)</x:v>
      </x:c>
      <x:c r="C118" s="24" t="str">
        <x:v>EEZ</x:v>
      </x:c>
      <x:c r="D118" s="30" t="n">
        <x:v>2019</x:v>
      </x:c>
      <x:c r="E118" s="24" t="str">
        <x:v>Acanthurus blochii</x:v>
      </x:c>
      <x:c r="F118" s="24" t="str">
        <x:v>Ringtail surgeonfish</x:v>
      </x:c>
      <x:c r="G118" s="24" t="str">
        <x:v>Medium reef assoc. fish (30 - 89 cm)</x:v>
      </x:c>
      <x:c r="H118" s="24" t="str">
        <x:v>Perch-likes</x:v>
      </x:c>
      <x:c r="I118" s="31" t="n">
        <x:v>0.174713171</x:v>
      </x:c>
      <x:c r="J118" s="31" t="n">
        <x:v>0.174713171</x:v>
      </x:c>
      <x:c r="K118" s="31" t="n">
        <x:v>0</x:v>
      </x:c>
      <x:c r="L118" s="31" t="n">
        <x:v>0.174713171</x:v>
      </x:c>
      <x:c r="M118" s="31" t="n">
        <x:v>0</x:v>
      </x:c>
      <x:c r="N118" s="24" t="str">
        <x:v>acanthurus blochii</x:v>
      </x:c>
      <x:c r="O118" s="32" t="n">
        <x:v>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Acanthurus blochii</x:v>
      </x:c>
      <x:c r="T118" s="32" t="n">
        <x:f>IF(O118="","",(1/'Metadata'!$B$5)^(O118-1))</x:f>
        <x:v>10</x:v>
      </x:c>
      <x:c r="U118" s="31" t="n">
        <x:f>IF(T118="","",I118*T118)</x:f>
        <x:v>1.7471317100000001</x:v>
      </x:c>
    </x:row>
    <x:row r="119" ht="18" customHeight="1">
      <x:c r="A119" s="24" t="str">
        <x:v>EEZ_583</x:v>
      </x:c>
      <x:c r="B119" s="24" t="str">
        <x:v>Micronesia (Federated States of)</x:v>
      </x:c>
      <x:c r="C119" s="24" t="str">
        <x:v>EEZ</x:v>
      </x:c>
      <x:c r="D119" s="30" t="n">
        <x:v>2019</x:v>
      </x:c>
      <x:c r="E119" s="24" t="str">
        <x:v>Gnathodentex aureolineatus</x:v>
      </x:c>
      <x:c r="F119" s="24" t="str">
        <x:v>Striped large-eye bream</x:v>
      </x:c>
      <x:c r="G119" s="24" t="str">
        <x:v>Medium reef assoc. fish (30 - 89 cm)</x:v>
      </x:c>
      <x:c r="H119" s="24" t="str">
        <x:v>Perch-likes</x:v>
      </x:c>
      <x:c r="I119" s="31" t="n">
        <x:v>0.157639964</x:v>
      </x:c>
      <x:c r="J119" s="31" t="n">
        <x:v>0.157639964</x:v>
      </x:c>
      <x:c r="K119" s="31" t="n">
        <x:v>0</x:v>
      </x:c>
      <x:c r="L119" s="31" t="n">
        <x:v>0.157639964</x:v>
      </x:c>
      <x:c r="M119" s="31" t="n">
        <x:v>0</x:v>
      </x:c>
      <x:c r="N119" s="24" t="str">
        <x:v>gnathodentex aureolineatus</x:v>
      </x:c>
      <x:c r="O119" s="32" t="n">
        <x:v>3.29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Gnathodentex aureolineatus</x:v>
      </x:c>
      <x:c r="T119" s="32" t="n">
        <x:f>IF(O119="","",(1/'Metadata'!$B$5)^(O119-1))</x:f>
        <x:v>194.98445997580455</x:v>
      </x:c>
      <x:c r="U119" s="31" t="n">
        <x:f>IF(T119="","",I119*T119)</x:f>
        <x:v>30.73734325114527</x:v>
      </x:c>
    </x:row>
    <x:row r="120" ht="18" customHeight="1">
      <x:c r="A120" s="24" t="str">
        <x:v>EEZ_583</x:v>
      </x:c>
      <x:c r="B120" s="24" t="str">
        <x:v>Micronesia (Federated States of)</x:v>
      </x:c>
      <x:c r="C120" s="24" t="str">
        <x:v>EEZ</x:v>
      </x:c>
      <x:c r="D120" s="30" t="n">
        <x:v>2019</x:v>
      </x:c>
      <x:c r="E120" s="24" t="str">
        <x:v>Calotomus carolinus</x:v>
      </x:c>
      <x:c r="F120" s="24" t="str">
        <x:v>Carolines parrotfish</x:v>
      </x:c>
      <x:c r="G120" s="24" t="str">
        <x:v>Medium reef assoc. fish (30 - 89 cm)</x:v>
      </x:c>
      <x:c r="H120" s="24" t="str">
        <x:v>Perch-likes</x:v>
      </x:c>
      <x:c r="I120" s="31" t="n">
        <x:v>0.133510112</x:v>
      </x:c>
      <x:c r="J120" s="31" t="n">
        <x:v>0.133510112</x:v>
      </x:c>
      <x:c r="K120" s="31" t="n">
        <x:v>0</x:v>
      </x:c>
      <x:c r="L120" s="31" t="n">
        <x:v>0.133510112</x:v>
      </x:c>
      <x:c r="M120" s="31" t="n">
        <x:v>0</x:v>
      </x:c>
      <x:c r="N120" s="24" t="str">
        <x:v>calotomus carolinus</x:v>
      </x:c>
      <x:c r="O120" s="32" t="n">
        <x:v>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Calotomus carolinus</x:v>
      </x:c>
      <x:c r="T120" s="32" t="n">
        <x:f>IF(O120="","",(1/'Metadata'!$B$5)^(O120-1))</x:f>
        <x:v>10</x:v>
      </x:c>
      <x:c r="U120" s="31" t="n">
        <x:f>IF(T120="","",I120*T120)</x:f>
        <x:v>1.3351011199999998</x:v>
      </x:c>
    </x:row>
    <x:row r="121" ht="18" customHeight="1">
      <x:c r="A121" s="24" t="str">
        <x:v>EEZ_583</x:v>
      </x:c>
      <x:c r="B121" s="24" t="str">
        <x:v>Micronesia (Federated States of)</x:v>
      </x:c>
      <x:c r="C121" s="24" t="str">
        <x:v>EEZ</x:v>
      </x:c>
      <x:c r="D121" s="30" t="n">
        <x:v>2019</x:v>
      </x:c>
      <x:c r="E121" s="24" t="str">
        <x:v>Acanthurus triostegus</x:v>
      </x:c>
      <x:c r="F121" s="24" t="str">
        <x:v>Convict surgeonfish</x:v>
      </x:c>
      <x:c r="G121" s="24" t="str">
        <x:v>Small reef assoc. fish (&lt;30 cm)</x:v>
      </x:c>
      <x:c r="H121" s="24" t="str">
        <x:v>Perch-likes</x:v>
      </x:c>
      <x:c r="I121" s="31" t="n">
        <x:v>0.10396172499999999</x:v>
      </x:c>
      <x:c r="J121" s="31" t="n">
        <x:v>0.10396172499999999</x:v>
      </x:c>
      <x:c r="K121" s="31" t="n">
        <x:v>0</x:v>
      </x:c>
      <x:c r="L121" s="31" t="n">
        <x:v>0.10396172499999999</x:v>
      </x:c>
      <x:c r="M121" s="31" t="n">
        <x:v>0</x:v>
      </x:c>
      <x:c r="N121" s="24" t="str">
        <x:v>acanthurus triostegus</x:v>
      </x:c>
      <x:c r="O121" s="32" t="n">
        <x:v>2.78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Acanthurus triostegus</x:v>
      </x:c>
      <x:c r="T121" s="32" t="n">
        <x:f>IF(O121="","",(1/'Metadata'!$B$5)^(O121-1))</x:f>
        <x:v>60.255958607435744</x:v>
      </x:c>
      <x:c r="U121" s="31" t="n">
        <x:f>IF(T121="","",I121*T121)</x:f>
        <x:v>6.264313398357618</x:v>
      </x:c>
    </x:row>
    <x:row r="122" ht="18" customHeight="1">
      <x:c r="A122" s="24" t="str">
        <x:v>EEZ_583</x:v>
      </x:c>
      <x:c r="B122" s="24" t="str">
        <x:v>Micronesia (Federated States of)</x:v>
      </x:c>
      <x:c r="C122" s="24" t="str">
        <x:v>EEZ</x:v>
      </x:c>
      <x:c r="D122" s="30" t="n">
        <x:v>2019</x:v>
      </x:c>
      <x:c r="E122" s="24" t="str">
        <x:v>Ferdauia orthogrammus</x:v>
      </x:c>
      <x:c r="F122" s="24" t="str">
        <x:v>Island trevally</x:v>
      </x:c>
      <x:c r="G122" s="24" t="str">
        <x:v>Medium pelagics (30 - 89 cm)</x:v>
      </x:c>
      <x:c r="H122" s="24" t="str">
        <x:v>Perch-likes</x:v>
      </x:c>
      <x:c r="I122" s="31" t="n">
        <x:v>0.084637113</x:v>
      </x:c>
      <x:c r="J122" s="31" t="n">
        <x:v>0.084637113</x:v>
      </x:c>
      <x:c r="K122" s="31" t="n">
        <x:v>0</x:v>
      </x:c>
      <x:c r="L122" s="31" t="n">
        <x:v>0.084637113</x:v>
      </x:c>
      <x:c r="M122" s="31" t="n">
        <x:v>0</x:v>
      </x:c>
      <x:c r="N122" s="24" t="str">
        <x:v>ferdauia orthogrammus</x:v>
      </x:c>
      <x:c r="O122" s="32" t="n">
        <x:v>4.48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Ferdauia orthogrammus</x:v>
      </x:c>
      <x:c r="T122" s="32" t="n">
        <x:f>IF(O122="","",(1/'Metadata'!$B$5)^(O122-1))</x:f>
        <x:v>3019.951720402019</x:v>
      </x:c>
      <x:c r="U122" s="31" t="n">
        <x:f>IF(T122="","",I122*T122)</x:f>
        <x:v>255.5999950142101</x:v>
      </x:c>
    </x:row>
    <x:row r="123" ht="18" customHeight="1">
      <x:c r="A123" s="24" t="str">
        <x:v>EEZ_583</x:v>
      </x:c>
      <x:c r="B123" s="24" t="str">
        <x:v>Micronesia (Federated States of)</x:v>
      </x:c>
      <x:c r="C123" s="24" t="str">
        <x:v>EEZ</x:v>
      </x:c>
      <x:c r="D123" s="30" t="n">
        <x:v>2019</x:v>
      </x:c>
      <x:c r="E123" s="24" t="str">
        <x:v>Plectorhinchus gibbosus</x:v>
      </x:c>
      <x:c r="F123" s="24" t="str">
        <x:v>Harry hotlips</x:v>
      </x:c>
      <x:c r="G123" s="24" t="str">
        <x:v>Medium reef assoc. fish (30 - 89 cm)</x:v>
      </x:c>
      <x:c r="H123" s="24" t="str">
        <x:v>Perch-likes</x:v>
      </x:c>
      <x:c r="I123" s="31" t="n">
        <x:v>0.07246937</x:v>
      </x:c>
      <x:c r="J123" s="31" t="n">
        <x:v>0.07246937</x:v>
      </x:c>
      <x:c r="K123" s="31" t="n">
        <x:v>0</x:v>
      </x:c>
      <x:c r="L123" s="31" t="n">
        <x:v>0.07246937</x:v>
      </x:c>
      <x:c r="M123" s="31" t="n">
        <x:v>0</x:v>
      </x:c>
      <x:c r="N123" s="24" t="str">
        <x:v>plectorhinchus gibbosus</x:v>
      </x:c>
      <x:c r="O123" s="32" t="n">
        <x:v>3.57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Plectorhinchus gibbosus</x:v>
      </x:c>
      <x:c r="T123" s="32" t="n">
        <x:f>IF(O123="","",(1/'Metadata'!$B$5)^(O123-1))</x:f>
        <x:v>371.5352290971724</x:v>
      </x:c>
      <x:c r="U123" s="31" t="n">
        <x:f>IF(T123="","",I123*T123)</x:f>
        <x:v>26.924923985477754</x:v>
      </x:c>
    </x:row>
    <x:row r="124" ht="18" customHeight="1">
      <x:c r="A124" s="24" t="str">
        <x:v>EEZ_583</x:v>
      </x:c>
      <x:c r="B124" s="24" t="str">
        <x:v>Micronesia (Federated States of)</x:v>
      </x:c>
      <x:c r="C124" s="24" t="str">
        <x:v>EEZ</x:v>
      </x:c>
      <x:c r="D124" s="30" t="n">
        <x:v>2019</x:v>
      </x:c>
      <x:c r="E124" s="24" t="str">
        <x:v>Elagatis bipinnulata</x:v>
      </x:c>
      <x:c r="F124" s="24" t="str">
        <x:v>Rainbow runner</x:v>
      </x:c>
      <x:c r="G124" s="24" t="str">
        <x:v>Large pelagics (&gt;=90 cm)</x:v>
      </x:c>
      <x:c r="H124" s="24" t="str">
        <x:v>Perch-likes</x:v>
      </x:c>
      <x:c r="I124" s="31" t="n">
        <x:v>0.072346756</x:v>
      </x:c>
      <x:c r="J124" s="31" t="n">
        <x:v>0.072346756</x:v>
      </x:c>
      <x:c r="K124" s="31" t="n">
        <x:v>0</x:v>
      </x:c>
      <x:c r="L124" s="31" t="n">
        <x:v>0.072346756</x:v>
      </x:c>
      <x:c r="M124" s="31" t="n">
        <x:v>0</x:v>
      </x:c>
      <x:c r="N124" s="24" t="str">
        <x:v>elagatis bipinnulata</x:v>
      </x:c>
      <x:c r="O124" s="32" t="n">
        <x:v>4.27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Elagatis bipinnulata</x:v>
      </x:c>
      <x:c r="T124" s="32" t="n">
        <x:f>IF(O124="","",(1/'Metadata'!$B$5)^(O124-1))</x:f>
        <x:v>1862.0871366628655</x:v>
      </x:c>
      <x:c r="U124" s="31" t="n">
        <x:f>IF(T124="","",I124*T124)</x:f>
        <x:v>134.715963726887</x:v>
      </x:c>
    </x:row>
    <x:row r="125" ht="18" customHeight="1">
      <x:c r="A125" s="24" t="str">
        <x:v>EEZ_583</x:v>
      </x:c>
      <x:c r="B125" s="24" t="str">
        <x:v>Micronesia (Federated States of)</x:v>
      </x:c>
      <x:c r="C125" s="24" t="str">
        <x:v>EEZ</x:v>
      </x:c>
      <x:c r="D125" s="30" t="n">
        <x:v>2019</x:v>
      </x:c>
      <x:c r="E125" s="24" t="str">
        <x:v>Naso</x:v>
      </x:c>
      <x:c r="F125" s="24" t="str">
        <x:v>Unicornfishes</x:v>
      </x:c>
      <x:c r="G125" s="24" t="str">
        <x:v>Medium reef assoc. fish (30 - 89 cm)</x:v>
      </x:c>
      <x:c r="H125" s="24" t="str">
        <x:v>Perch-likes</x:v>
      </x:c>
      <x:c r="I125" s="31" t="n">
        <x:v>0.058267321</x:v>
      </x:c>
      <x:c r="J125" s="31" t="n">
        <x:v>0.058267321</x:v>
      </x:c>
      <x:c r="K125" s="31" t="n">
        <x:v>0</x:v>
      </x:c>
      <x:c r="L125" s="31" t="n">
        <x:v>0.058267321</x:v>
      </x:c>
      <x:c r="M125" s="31" t="n">
        <x:v>0</x:v>
      </x:c>
      <x:c r="N125" s="24" t="str">
        <x:v>naso</x:v>
      </x:c>
      <x:c r="O125" s="32" t="n">
        <x:v>3.28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Naso</x:v>
      </x:c>
      <x:c r="T125" s="32" t="n">
        <x:f>IF(O125="","",(1/'Metadata'!$B$5)^(O125-1))</x:f>
        <x:v>190.54607179632464</x:v>
      </x:c>
      <x:c r="U125" s="31" t="n">
        <x:f>IF(T125="","",I125*T125)</x:f>
        <x:v>11.102609130645494</x:v>
      </x:c>
    </x:row>
    <x:row r="126" ht="18" customHeight="1">
      <x:c r="A126" s="24" t="str">
        <x:v>EEZ_583</x:v>
      </x:c>
      <x:c r="B126" s="24" t="str">
        <x:v>Micronesia (Federated States of)</x:v>
      </x:c>
      <x:c r="C126" s="24" t="str">
        <x:v>EEZ</x:v>
      </x:c>
      <x:c r="D126" s="30" t="n">
        <x:v>2019</x:v>
      </x:c>
      <x:c r="E126" s="24" t="str">
        <x:v>Caranx papuensis</x:v>
      </x:c>
      <x:c r="F126" s="24" t="str">
        <x:v>Brassy trevally</x:v>
      </x:c>
      <x:c r="G126" s="24" t="str">
        <x:v>Medium reef assoc. fish (30 - 89 cm)</x:v>
      </x:c>
      <x:c r="H126" s="24" t="str">
        <x:v>Perch-likes</x:v>
      </x:c>
      <x:c r="I126" s="31" t="n">
        <x:v>0.057090572</x:v>
      </x:c>
      <x:c r="J126" s="31" t="n">
        <x:v>0.057090572</x:v>
      </x:c>
      <x:c r="K126" s="31" t="n">
        <x:v>0</x:v>
      </x:c>
      <x:c r="L126" s="31" t="n">
        <x:v>0.057090572</x:v>
      </x:c>
      <x:c r="M126" s="31" t="n">
        <x:v>0</x:v>
      </x:c>
      <x:c r="N126" s="24" t="str">
        <x:v>caranx papuensis</x:v>
      </x:c>
      <x:c r="O126" s="32" t="n">
        <x:v>3.98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Caranx papuensis</x:v>
      </x:c>
      <x:c r="T126" s="32" t="n">
        <x:f>IF(O126="","",(1/'Metadata'!$B$5)^(O126-1))</x:f>
        <x:v>954.992586021436</x:v>
      </x:c>
      <x:c r="U126" s="31" t="n">
        <x:f>IF(T126="","",I126*T126)</x:f>
        <x:v>54.52107299172298</x:v>
      </x:c>
    </x:row>
    <x:row r="127" ht="18" customHeight="1">
      <x:c r="A127" s="24" t="str">
        <x:v>EEZ_583</x:v>
      </x:c>
      <x:c r="B127" s="24" t="str">
        <x:v>Micronesia (Federated States of)</x:v>
      </x:c>
      <x:c r="C127" s="24" t="str">
        <x:v>EEZ</x:v>
      </x:c>
      <x:c r="D127" s="30" t="n">
        <x:v>2019</x:v>
      </x:c>
      <x:c r="E127" s="24" t="str">
        <x:v>Naso annulatus</x:v>
      </x:c>
      <x:c r="F127" s="24" t="str">
        <x:v>Whitemargin unicornfish</x:v>
      </x:c>
      <x:c r="G127" s="24" t="str">
        <x:v>Medium reef assoc. fish (30 - 89 cm)</x:v>
      </x:c>
      <x:c r="H127" s="24" t="str">
        <x:v>Perch-likes</x:v>
      </x:c>
      <x:c r="I127" s="31" t="n">
        <x:v>0.053110759</x:v>
      </x:c>
      <x:c r="J127" s="31" t="n">
        <x:v>0.053110759</x:v>
      </x:c>
      <x:c r="K127" s="31" t="n">
        <x:v>0</x:v>
      </x:c>
      <x:c r="L127" s="31" t="n">
        <x:v>0.053110759</x:v>
      </x:c>
      <x:c r="M127" s="31" t="n">
        <x:v>0</x:v>
      </x:c>
      <x:c r="N127" s="24" t="str">
        <x:v>naso annulatus</x:v>
      </x:c>
      <x:c r="O127" s="32" t="n">
        <x:v>2.12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Naso annulatus</x:v>
      </x:c>
      <x:c r="T127" s="32" t="n">
        <x:f>IF(O127="","",(1/'Metadata'!$B$5)^(O127-1))</x:f>
        <x:v>13.182567385564074</x:v>
      </x:c>
      <x:c r="U127" s="31" t="n">
        <x:f>IF(T127="","",I127*T127)</x:f>
        <x:v>0.7001361594159536</x:v>
      </x:c>
    </x:row>
    <x:row r="128" ht="18" customHeight="1">
      <x:c r="A128" s="24" t="str">
        <x:v>EEZ_583</x:v>
      </x:c>
      <x:c r="B128" s="24" t="str">
        <x:v>Micronesia (Federated States of)</x:v>
      </x:c>
      <x:c r="C128" s="24" t="str">
        <x:v>EEZ</x:v>
      </x:c>
      <x:c r="D128" s="30" t="n">
        <x:v>2019</x:v>
      </x:c>
      <x:c r="E128" s="24" t="str">
        <x:v>Cephalopholis miniata</x:v>
      </x:c>
      <x:c r="F128" s="24" t="str">
        <x:v>Coral hind</x:v>
      </x:c>
      <x:c r="G128" s="24" t="str">
        <x:v>Medium reef assoc. fish (30 - 89 cm)</x:v>
      </x:c>
      <x:c r="H128" s="24" t="str">
        <x:v>Perch-likes</x:v>
      </x:c>
      <x:c r="I128" s="31" t="n">
        <x:v>0.045863191</x:v>
      </x:c>
      <x:c r="J128" s="31" t="n">
        <x:v>0.045863191</x:v>
      </x:c>
      <x:c r="K128" s="31" t="n">
        <x:v>0</x:v>
      </x:c>
      <x:c r="L128" s="31" t="n">
        <x:v>0.045863191</x:v>
      </x:c>
      <x:c r="M128" s="31" t="n">
        <x:v>0</x:v>
      </x:c>
      <x:c r="N128" s="24" t="str">
        <x:v>cephalopholis miniata</x:v>
      </x:c>
      <x:c r="O128" s="32" t="n">
        <x:v>4.29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Cephalopholis miniata</x:v>
      </x:c>
      <x:c r="T128" s="32" t="n">
        <x:f>IF(O128="","",(1/'Metadata'!$B$5)^(O128-1))</x:f>
        <x:v>1949.8445997580454</x:v>
      </x:c>
      <x:c r="U128" s="31" t="n">
        <x:f>IF(T128="","",I128*T128)</x:f>
        <x:v>89.42609529902178</x:v>
      </x:c>
    </x:row>
    <x:row r="129" ht="18" customHeight="1">
      <x:c r="A129" s="24" t="str">
        <x:v>EEZ_583</x:v>
      </x:c>
      <x:c r="B129" s="24" t="str">
        <x:v>Micronesia (Federated States of)</x:v>
      </x:c>
      <x:c r="C129" s="24" t="str">
        <x:v>EEZ</x:v>
      </x:c>
      <x:c r="D129" s="30" t="n">
        <x:v>2019</x:v>
      </x:c>
      <x:c r="E129" s="24" t="str">
        <x:v>Aphareus rutilans</x:v>
      </x:c>
      <x:c r="F129" s="24" t="str">
        <x:v>Rusty jobfish</x:v>
      </x:c>
      <x:c r="G129" s="24" t="str">
        <x:v>Medium reef assoc. fish (30 - 89 cm)</x:v>
      </x:c>
      <x:c r="H129" s="24" t="str">
        <x:v>Perch-likes</x:v>
      </x:c>
      <x:c r="I129" s="31" t="n">
        <x:v>0.028067485</x:v>
      </x:c>
      <x:c r="J129" s="31" t="n">
        <x:v>0.028067485</x:v>
      </x:c>
      <x:c r="K129" s="31" t="n">
        <x:v>0</x:v>
      </x:c>
      <x:c r="L129" s="31" t="n">
        <x:v>0.028067485</x:v>
      </x:c>
      <x:c r="M129" s="31" t="n">
        <x:v>0</x:v>
      </x:c>
      <x:c r="N129" s="24" t="str">
        <x:v>aphareus rutilans</x:v>
      </x:c>
      <x:c r="O129" s="32" t="n">
        <x:v>4.11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Aphareus rutilans</x:v>
      </x:c>
      <x:c r="T129" s="32" t="n">
        <x:f>IF(O129="","",(1/'Metadata'!$B$5)^(O129-1))</x:f>
        <x:v>1288.249551693135</x:v>
      </x:c>
      <x:c r="U129" s="31" t="n">
        <x:f>IF(T129="","",I129*T129)</x:f>
        <x:v>36.15792496840379</x:v>
      </x:c>
    </x:row>
    <x:row r="130" ht="18" customHeight="1">
      <x:c r="A130" s="24" t="str">
        <x:v>EEZ_583</x:v>
      </x:c>
      <x:c r="B130" s="24" t="str">
        <x:v>Micronesia (Federated States of)</x:v>
      </x:c>
      <x:c r="C130" s="24" t="str">
        <x:v>EEZ</x:v>
      </x:c>
      <x:c r="D130" s="30" t="n">
        <x:v>2019</x:v>
      </x:c>
      <x:c r="E130" s="24" t="str">
        <x:v>Balistidae</x:v>
      </x:c>
      <x:c r="F130" s="24" t="str">
        <x:v>Triggerfishes</x:v>
      </x:c>
      <x:c r="G130" s="24" t="str">
        <x:v>Medium reef assoc. fish (30 - 89 cm)</x:v>
      </x:c>
      <x:c r="H130" s="24" t="str">
        <x:v>Other fishes &amp; inverts</x:v>
      </x:c>
      <x:c r="I130" s="31" t="n">
        <x:v>0.025791595</x:v>
      </x:c>
      <x:c r="J130" s="31" t="n">
        <x:v>0.025791595</x:v>
      </x:c>
      <x:c r="K130" s="31" t="n">
        <x:v>0</x:v>
      </x:c>
      <x:c r="L130" s="31" t="n">
        <x:v>0.025791595</x:v>
      </x:c>
      <x:c r="M130" s="31" t="n">
        <x:v>0</x:v>
      </x:c>
      <x:c r="N130" s="24" t="str">
        <x:v>balistidae</x:v>
      </x:c>
      <x:c r="O130" s="32" t="n">
        <x:v>3.25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Balistidae</x:v>
      </x:c>
      <x:c r="T130" s="32" t="n">
        <x:f>IF(O130="","",(1/'Metadata'!$B$5)^(O130-1))</x:f>
        <x:v>177.82794100389228</x:v>
      </x:c>
      <x:c r="U130" s="31" t="n">
        <x:f>IF(T130="","",I130*T130)</x:f>
        <x:v>4.586466234056283</x:v>
      </x:c>
    </x:row>
    <x:row r="131" ht="18" customHeight="1">
      <x:c r="A131" s="24" t="str">
        <x:v>EEZ_583</x:v>
      </x:c>
      <x:c r="B131" s="24" t="str">
        <x:v>Micronesia (Federated States of)</x:v>
      </x:c>
      <x:c r="C131" s="24" t="str">
        <x:v>EEZ</x:v>
      </x:c>
      <x:c r="D131" s="30" t="n">
        <x:v>2019</x:v>
      </x:c>
      <x:c r="E131" s="24" t="str">
        <x:v>Selar crumenophthalmus</x:v>
      </x:c>
      <x:c r="F131" s="24" t="str">
        <x:v>Bigeye scad</x:v>
      </x:c>
      <x:c r="G131" s="24" t="str">
        <x:v>Medium pelagics (30 - 89 cm)</x:v>
      </x:c>
      <x:c r="H131" s="24" t="str">
        <x:v>Perch-likes</x:v>
      </x:c>
      <x:c r="I131" s="31" t="n">
        <x:v>0.024998401</x:v>
      </x:c>
      <x:c r="J131" s="31" t="n">
        <x:v>0.024998401</x:v>
      </x:c>
      <x:c r="K131" s="31" t="n">
        <x:v>0</x:v>
      </x:c>
      <x:c r="L131" s="31" t="n">
        <x:v>0.024998401</x:v>
      </x:c>
      <x:c r="M131" s="31" t="n">
        <x:v>0</x:v>
      </x:c>
      <x:c r="N131" s="24" t="str">
        <x:v>selar crumenophthalmus</x:v>
      </x:c>
      <x:c r="O131" s="32" t="n">
        <x:v>3.81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Selar crumenophthalmus</x:v>
      </x:c>
      <x:c r="T131" s="32" t="n">
        <x:f>IF(O131="","",(1/'Metadata'!$B$5)^(O131-1))</x:f>
        <x:v>645.6542290346556</x:v>
      </x:c>
      <x:c r="U131" s="31" t="n">
        <x:f>IF(T131="","",I131*T131)</x:f>
        <x:v>16.140323324754164</x:v>
      </x:c>
    </x:row>
    <x:row r="132" ht="18" customHeight="1">
      <x:c r="A132" s="24" t="str">
        <x:v>EEZ_583</x:v>
      </x:c>
      <x:c r="B132" s="24" t="str">
        <x:v>Micronesia (Federated States of)</x:v>
      </x:c>
      <x:c r="C132" s="24" t="str">
        <x:v>EEZ</x:v>
      </x:c>
      <x:c r="D132" s="30" t="n">
        <x:v>2019</x:v>
      </x:c>
      <x:c r="E132" s="24" t="str">
        <x:v>Polydactylus sexfilis</x:v>
      </x:c>
      <x:c r="F132" s="24" t="str">
        <x:v>Sixfinger threadfin</x:v>
      </x:c>
      <x:c r="G132" s="24" t="str">
        <x:v>Medium demersals (30 - 89 cm)</x:v>
      </x:c>
      <x:c r="H132" s="24" t="str">
        <x:v>Perch-likes</x:v>
      </x:c>
      <x:c r="I132" s="31" t="n">
        <x:v>0.022001238</x:v>
      </x:c>
      <x:c r="J132" s="31" t="n">
        <x:v>0.022001238</x:v>
      </x:c>
      <x:c r="K132" s="31" t="n">
        <x:v>0</x:v>
      </x:c>
      <x:c r="L132" s="31" t="n">
        <x:v>0.022001238</x:v>
      </x:c>
      <x:c r="M132" s="31" t="n">
        <x:v>0</x:v>
      </x:c>
      <x:c r="N132" s="24" t="str">
        <x:v>polydactylus sexfilis</x:v>
      </x:c>
      <x:c r="O132" s="32" t="n">
        <x:v>3.43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Polydactylus sexfilis</x:v>
      </x:c>
      <x:c r="T132" s="32" t="n">
        <x:f>IF(O132="","",(1/'Metadata'!$B$5)^(O132-1))</x:f>
        <x:v>269.1534803926917</x:v>
      </x:c>
      <x:c r="U132" s="31" t="n">
        <x:f>IF(T132="","",I132*T132)</x:f>
        <x:v>5.921709780647943</x:v>
      </x:c>
    </x:row>
    <x:row r="133" ht="18" customHeight="1">
      <x:c r="A133" s="24" t="str">
        <x:v>EEZ_583</x:v>
      </x:c>
      <x:c r="B133" s="24" t="str">
        <x:v>Micronesia (Federated States of)</x:v>
      </x:c>
      <x:c r="C133" s="24" t="str">
        <x:v>EEZ</x:v>
      </x:c>
      <x:c r="D133" s="30" t="n">
        <x:v>2019</x:v>
      </x:c>
      <x:c r="E133" s="24" t="str">
        <x:v>Cheilinus</x:v>
      </x:c>
      <x:c r="F133" s="24" t="str">
        <x:v>Wrasses</x:v>
      </x:c>
      <x:c r="G133" s="24" t="str">
        <x:v>Medium reef assoc. fish (30 - 89 cm)</x:v>
      </x:c>
      <x:c r="H133" s="24" t="str">
        <x:v>Perch-likes</x:v>
      </x:c>
      <x:c r="I133" s="31" t="n">
        <x:v>0.018824875</x:v>
      </x:c>
      <x:c r="J133" s="31" t="n">
        <x:v>0.018824875</x:v>
      </x:c>
      <x:c r="K133" s="31" t="n">
        <x:v>0</x:v>
      </x:c>
      <x:c r="L133" s="31" t="n">
        <x:v>0.018824875</x:v>
      </x:c>
      <x:c r="M133" s="31" t="n">
        <x:v>0</x:v>
      </x:c>
      <x:c r="N133" s="24" t="str">
        <x:v>cheilinus</x:v>
      </x:c>
      <x:c r="O133" s="32" t="n">
        <x:v>3.44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Cheilinus</x:v>
      </x:c>
      <x:c r="T133" s="32" t="n">
        <x:f>IF(O133="","",(1/'Metadata'!$B$5)^(O133-1))</x:f>
        <x:v>275.4228703338166</x:v>
      </x:c>
      <x:c r="U133" s="31" t="n">
        <x:f>IF(T133="","",I133*T133)</x:f>
        <x:v>5.184801106175306</x:v>
      </x:c>
    </x:row>
    <x:row r="134" ht="18" customHeight="1">
      <x:c r="A134" s="24" t="str">
        <x:v>EEZ_583</x:v>
      </x:c>
      <x:c r="B134" s="24" t="str">
        <x:v>Micronesia (Federated States of)</x:v>
      </x:c>
      <x:c r="C134" s="24" t="str">
        <x:v>EEZ</x:v>
      </x:c>
      <x:c r="D134" s="30" t="n">
        <x:v>2019</x:v>
      </x:c>
      <x:c r="E134" s="24" t="str">
        <x:v>Lutjanus kasmira</x:v>
      </x:c>
      <x:c r="F134" s="24" t="str">
        <x:v>Common bluestripe snapper</x:v>
      </x:c>
      <x:c r="G134" s="24" t="str">
        <x:v>Medium reef assoc. fish (30 - 89 cm)</x:v>
      </x:c>
      <x:c r="H134" s="24" t="str">
        <x:v>Perch-likes</x:v>
      </x:c>
      <x:c r="I134" s="31" t="n">
        <x:v>0.015138243</x:v>
      </x:c>
      <x:c r="J134" s="31" t="n">
        <x:v>0.015138243</x:v>
      </x:c>
      <x:c r="K134" s="31" t="n">
        <x:v>0</x:v>
      </x:c>
      <x:c r="L134" s="31" t="n">
        <x:v>0.015138243</x:v>
      </x:c>
      <x:c r="M134" s="31" t="n">
        <x:v>0</x:v>
      </x:c>
      <x:c r="N134" s="24" t="str">
        <x:v>lutjanus kasmira</x:v>
      </x:c>
      <x:c r="O134" s="32" t="n">
        <x:v>3.87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Lutjanus kasmira</x:v>
      </x:c>
      <x:c r="T134" s="32" t="n">
        <x:f>IF(O134="","",(1/'Metadata'!$B$5)^(O134-1))</x:f>
        <x:v>741.3102413009177</x:v>
      </x:c>
      <x:c r="U134" s="31" t="n">
        <x:f>IF(T134="","",I134*T134)</x:f>
        <x:v>11.222134571201927</x:v>
      </x:c>
    </x:row>
    <x:row r="135" ht="18" customHeight="1">
      <x:c r="A135" s="24" t="str">
        <x:v>EEZ_583</x:v>
      </x:c>
      <x:c r="B135" s="24" t="str">
        <x:v>Micronesia (Federated States of)</x:v>
      </x:c>
      <x:c r="C135" s="24" t="str">
        <x:v>EEZ</x:v>
      </x:c>
      <x:c r="D135" s="30" t="n">
        <x:v>2019</x:v>
      </x:c>
      <x:c r="E135" s="24" t="str">
        <x:v>Cephalopholis boenak</x:v>
      </x:c>
      <x:c r="F135" s="24" t="str">
        <x:v>Chocolate hind</x:v>
      </x:c>
      <x:c r="G135" s="24" t="str">
        <x:v>Small reef assoc. fish (&lt;30 cm)</x:v>
      </x:c>
      <x:c r="H135" s="24" t="str">
        <x:v>Perch-likes</x:v>
      </x:c>
      <x:c r="I135" s="31" t="n">
        <x:v>0.010431138</x:v>
      </x:c>
      <x:c r="J135" s="31" t="n">
        <x:v>0.010431138</x:v>
      </x:c>
      <x:c r="K135" s="31" t="n">
        <x:v>0</x:v>
      </x:c>
      <x:c r="L135" s="31" t="n">
        <x:v>0.010431138</x:v>
      </x:c>
      <x:c r="M135" s="31" t="n">
        <x:v>0</x:v>
      </x:c>
      <x:c r="N135" s="24" t="str">
        <x:v>cephalopholis boenak</x:v>
      </x:c>
      <x:c r="O135" s="32" t="n">
        <x:v>4.07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Cephalopholis boenak</x:v>
      </x:c>
      <x:c r="T135" s="32" t="n">
        <x:f>IF(O135="","",(1/'Metadata'!$B$5)^(O135-1))</x:f>
        <x:v>1174.8975549395302</x:v>
      </x:c>
      <x:c r="U135" s="31" t="n">
        <x:f>IF(T135="","",I135*T135)</x:f>
        <x:v>12.25551853143682</x:v>
      </x:c>
    </x:row>
    <x:row r="136" ht="18" customHeight="1">
      <x:c r="A136" s="24" t="str">
        <x:v>EEZ_583</x:v>
      </x:c>
      <x:c r="B136" s="24" t="str">
        <x:v>Micronesia (Federated States of)</x:v>
      </x:c>
      <x:c r="C136" s="24" t="str">
        <x:v>EEZ</x:v>
      </x:c>
      <x:c r="D136" s="30" t="n">
        <x:v>2019</x:v>
      </x:c>
      <x:c r="E136" s="24" t="str">
        <x:v>Siganus spinus</x:v>
      </x:c>
      <x:c r="F136" s="24" t="str">
        <x:v>Little spinefoot</x:v>
      </x:c>
      <x:c r="G136" s="24" t="str">
        <x:v>Small reef assoc. fish (&lt;30 cm)</x:v>
      </x:c>
      <x:c r="H136" s="24" t="str">
        <x:v>Perch-likes</x:v>
      </x:c>
      <x:c r="I136" s="31" t="n">
        <x:v>0.010252111</x:v>
      </x:c>
      <x:c r="J136" s="31" t="n">
        <x:v>0.010252111</x:v>
      </x:c>
      <x:c r="K136" s="31" t="n">
        <x:v>0</x:v>
      </x:c>
      <x:c r="L136" s="31" t="n">
        <x:v>0.010252111</x:v>
      </x:c>
      <x:c r="M136" s="31" t="n">
        <x:v>0</x:v>
      </x:c>
      <x:c r="N136" s="24" t="str">
        <x:v>siganus spinus</x:v>
      </x:c>
      <x:c r="O136" s="32" t="n">
        <x:v>2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Siganus spinus</x:v>
      </x:c>
      <x:c r="T136" s="32" t="n">
        <x:f>IF(O136="","",(1/'Metadata'!$B$5)^(O136-1))</x:f>
        <x:v>10</x:v>
      </x:c>
      <x:c r="U136" s="31" t="n">
        <x:f>IF(T136="","",I136*T136)</x:f>
        <x:v>0.10252111</x:v>
      </x:c>
    </x:row>
    <x:row r="137" ht="18" customHeight="1">
      <x:c r="A137" s="24" t="str">
        <x:v>EEZ_583</x:v>
      </x:c>
      <x:c r="B137" s="24" t="str">
        <x:v>Micronesia (Federated States of)</x:v>
      </x:c>
      <x:c r="C137" s="24" t="str">
        <x:v>EEZ</x:v>
      </x:c>
      <x:c r="D137" s="30" t="n">
        <x:v>2019</x:v>
      </x:c>
      <x:c r="E137" s="24" t="str">
        <x:v>Cephalopholis sonnerati</x:v>
      </x:c>
      <x:c r="F137" s="24" t="str">
        <x:v>Tomato hind</x:v>
      </x:c>
      <x:c r="G137" s="24" t="str">
        <x:v>Medium reef assoc. fish (30 - 89 cm)</x:v>
      </x:c>
      <x:c r="H137" s="24" t="str">
        <x:v>Perch-likes</x:v>
      </x:c>
      <x:c r="I137" s="31" t="n">
        <x:v>0.005326885</x:v>
      </x:c>
      <x:c r="J137" s="31" t="n">
        <x:v>0.005326885</x:v>
      </x:c>
      <x:c r="K137" s="31" t="n">
        <x:v>0</x:v>
      </x:c>
      <x:c r="L137" s="31" t="n">
        <x:v>0.005326885</x:v>
      </x:c>
      <x:c r="M137" s="31" t="n">
        <x:v>0</x:v>
      </x:c>
      <x:c r="N137" s="24" t="str">
        <x:v>cephalopholis sonnerati</x:v>
      </x:c>
      <x:c r="O137" s="32" t="n">
        <x:v>3.81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Cephalopholis sonnerati</x:v>
      </x:c>
      <x:c r="T137" s="32" t="n">
        <x:f>IF(O137="","",(1/'Metadata'!$B$5)^(O137-1))</x:f>
        <x:v>645.6542290346556</x:v>
      </x:c>
      <x:c r="U137" s="31" t="n">
        <x:f>IF(T137="","",I137*T137)</x:f>
        <x:v>3.4393258278312713</x:v>
      </x:c>
    </x:row>
    <x:row r="138" ht="18" customHeight="1">
      <x:c r="A138" s="24" t="str">
        <x:v>EEZ_583</x:v>
      </x:c>
      <x:c r="B138" s="24" t="str">
        <x:v>Micronesia (Federated States of)</x:v>
      </x:c>
      <x:c r="C138" s="24" t="str">
        <x:v>EEZ</x:v>
      </x:c>
      <x:c r="D138" s="30" t="n">
        <x:v>2019</x:v>
      </x:c>
      <x:c r="E138" s="24" t="str">
        <x:v>Naso caesius</x:v>
      </x:c>
      <x:c r="F138" s="24" t="str">
        <x:v>Gray unicornfish</x:v>
      </x:c>
      <x:c r="G138" s="24" t="str">
        <x:v>Medium reef assoc. fish (30 - 89 cm)</x:v>
      </x:c>
      <x:c r="H138" s="24" t="str">
        <x:v>Perch-likes</x:v>
      </x:c>
      <x:c r="I138" s="31" t="n">
        <x:v>0.00459637</x:v>
      </x:c>
      <x:c r="J138" s="31" t="n">
        <x:v>0.00459637</x:v>
      </x:c>
      <x:c r="K138" s="31" t="n">
        <x:v>0</x:v>
      </x:c>
      <x:c r="L138" s="31" t="n">
        <x:v>0.00459637</x:v>
      </x:c>
      <x:c r="M138" s="31" t="n">
        <x:v>0</x:v>
      </x:c>
      <x:c r="N138" s="24" t="str">
        <x:v>naso caesius</x:v>
      </x:c>
      <x:c r="O138" s="32" t="n">
        <x:v>2.71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Naso caesius</x:v>
      </x:c>
      <x:c r="T138" s="32" t="n">
        <x:f>IF(O138="","",(1/'Metadata'!$B$5)^(O138-1))</x:f>
        <x:v>51.28613839913648</x:v>
      </x:c>
      <x:c r="U138" s="31" t="n">
        <x:f>IF(T138="","",I138*T138)</x:f>
        <x:v>0.23573006795363893</x:v>
      </x:c>
    </x:row>
    <x:row r="139" ht="18" customHeight="1">
      <x:c r="A139" s="24" t="str">
        <x:v>EEZ_583</x:v>
      </x:c>
      <x:c r="B139" s="24" t="str">
        <x:v>Micronesia (Federated States of)</x:v>
      </x:c>
      <x:c r="C139" s="24" t="str">
        <x:v>EEZ</x:v>
      </x:c>
      <x:c r="D139" s="30" t="n">
        <x:v>2019</x:v>
      </x:c>
      <x:c r="E139" s="24" t="str">
        <x:v>Myripristis violacea</x:v>
      </x:c>
      <x:c r="F139" s="24" t="str">
        <x:v>Lattice soldierfish</x:v>
      </x:c>
      <x:c r="G139" s="24" t="str">
        <x:v>Small reef assoc. fish (&lt;30 cm)</x:v>
      </x:c>
      <x:c r="H139" s="24" t="str">
        <x:v>Other fishes &amp; inverts</x:v>
      </x:c>
      <x:c r="I139" s="31" t="n">
        <x:v>0.002900813</x:v>
      </x:c>
      <x:c r="J139" s="31" t="n">
        <x:v>0.002900813</x:v>
      </x:c>
      <x:c r="K139" s="31" t="n">
        <x:v>0</x:v>
      </x:c>
      <x:c r="L139" s="31" t="n">
        <x:v>0.002900813</x:v>
      </x:c>
      <x:c r="M139" s="31" t="n">
        <x:v>0</x:v>
      </x:c>
      <x:c r="N139" s="24" t="str">
        <x:v>myripristis violacea</x:v>
      </x:c>
      <x:c r="O139" s="32" t="n">
        <x:v>3.45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Myripristis violacea</x:v>
      </x:c>
      <x:c r="T139" s="32" t="n">
        <x:f>IF(O139="","",(1/'Metadata'!$B$5)^(O139-1))</x:f>
        <x:v>281.8382931264455</x:v>
      </x:c>
      <x:c r="U139" s="31" t="n">
        <x:f>IF(T139="","",I139*T139)</x:f>
        <x:v>0.8175601845990037</x:v>
      </x:c>
    </x:row>
    <x:row r="140" ht="18" customHeight="1">
      <x:c r="A140" s="24" t="str">
        <x:v>EEZ_583</x:v>
      </x:c>
      <x:c r="B140" s="24" t="str">
        <x:v>Micronesia (Federated States of)</x:v>
      </x:c>
      <x:c r="C140" s="24" t="str">
        <x:v>EEZ</x:v>
      </x:c>
      <x:c r="D140" s="30" t="n">
        <x:v>2019</x:v>
      </x:c>
      <x:c r="E140" s="24" t="str">
        <x:v>Myripristis amaena</x:v>
      </x:c>
      <x:c r="F140" s="24" t="str">
        <x:v>Brick soldierfish</x:v>
      </x:c>
      <x:c r="G140" s="24" t="str">
        <x:v>Small reef assoc. fish (&lt;30 cm)</x:v>
      </x:c>
      <x:c r="H140" s="24" t="str">
        <x:v>Other fishes &amp; inverts</x:v>
      </x:c>
      <x:c r="I140" s="31" t="n">
        <x:v>0.002815554</x:v>
      </x:c>
      <x:c r="J140" s="31" t="n">
        <x:v>0.002815554</x:v>
      </x:c>
      <x:c r="K140" s="31" t="n">
        <x:v>0</x:v>
      </x:c>
      <x:c r="L140" s="31" t="n">
        <x:v>0.002815554</x:v>
      </x:c>
      <x:c r="M140" s="31" t="n">
        <x:v>0</x:v>
      </x:c>
      <x:c r="N140" s="24" t="str">
        <x:v>myripristis amaena</x:v>
      </x:c>
      <x:c r="O140" s="32" t="n">
        <x:v>3.62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Myripristis amaena</x:v>
      </x:c>
      <x:c r="T140" s="32" t="n">
        <x:f>IF(O140="","",(1/'Metadata'!$B$5)^(O140-1))</x:f>
        <x:v>416.8693834703355</x:v>
      </x:c>
      <x:c r="U140" s="31" t="n">
        <x:f>IF(T140="","",I140*T140)</x:f>
        <x:v>1.173718260107437</x:v>
      </x:c>
    </x:row>
    <x:row r="141" ht="18" customHeight="1">
      <x:c r="A141" s="24" t="str">
        <x:v>EEZ_583</x:v>
      </x:c>
      <x:c r="B141" s="24" t="str">
        <x:v>Micronesia (Federated States of)</x:v>
      </x:c>
      <x:c r="C141" s="24" t="str">
        <x:v>EEZ</x:v>
      </x:c>
      <x:c r="D141" s="30" t="n">
        <x:v>2019</x:v>
      </x:c>
      <x:c r="E141" s="24" t="str">
        <x:v>Myripristis woodsi</x:v>
      </x:c>
      <x:c r="F141" s="24" t="str">
        <x:v>Whitespot soldierfish</x:v>
      </x:c>
      <x:c r="G141" s="24" t="str">
        <x:v>Small reef assoc. fish (&lt;30 cm)</x:v>
      </x:c>
      <x:c r="H141" s="24" t="str">
        <x:v>Other fishes &amp; inverts</x:v>
      </x:c>
      <x:c r="I141" s="31" t="n">
        <x:v>0.001905489</x:v>
      </x:c>
      <x:c r="J141" s="31" t="n">
        <x:v>0.001905489</x:v>
      </x:c>
      <x:c r="K141" s="31" t="n">
        <x:v>0</x:v>
      </x:c>
      <x:c r="L141" s="31" t="n">
        <x:v>0.001905489</x:v>
      </x:c>
      <x:c r="M141" s="31" t="n">
        <x:v>0</x:v>
      </x:c>
      <x:c r="N141" s="24" t="str">
        <x:v>myripristis woodsi</x:v>
      </x:c>
      <x:c r="O141" s="32" t="n">
        <x:v>3.52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Myripristis woodsi</x:v>
      </x:c>
      <x:c r="T141" s="32" t="n">
        <x:f>IF(O141="","",(1/'Metadata'!$B$5)^(O141-1))</x:f>
        <x:v>331.1311214825911</x:v>
      </x:c>
      <x:c r="U141" s="31" t="n">
        <x:f>IF(T141="","",I141*T141)</x:f>
        <x:v>0.630966709542741</x:v>
      </x:c>
    </x:row>
    <x:row r="142" ht="18" customHeight="1">
      <x:c r="A142" s="24" t="str">
        <x:v>EEZ_583</x:v>
      </x:c>
      <x:c r="B142" s="24" t="str">
        <x:v>Micronesia (Federated States of)</x:v>
      </x:c>
      <x:c r="C142" s="24" t="str">
        <x:v>EEZ</x:v>
      </x:c>
      <x:c r="D142" s="30" t="n">
        <x:v>2019</x:v>
      </x:c>
      <x:c r="E142" s="24" t="str">
        <x:v>Mugil</x:v>
      </x:c>
      <x:c r="F142" s="24" t="str">
        <x:v>Grey mullets</x:v>
      </x:c>
      <x:c r="G142" s="24" t="str">
        <x:v>Medium demersals (30 - 89 cm)</x:v>
      </x:c>
      <x:c r="H142" s="24" t="str">
        <x:v>Perch-likes</x:v>
      </x:c>
      <x:c r="I142" s="31" t="n">
        <x:v>0.000910065</x:v>
      </x:c>
      <x:c r="J142" s="31" t="n">
        <x:v>0.000910065</x:v>
      </x:c>
      <x:c r="K142" s="31" t="n">
        <x:v>0</x:v>
      </x:c>
      <x:c r="L142" s="31" t="n">
        <x:v>0.000910065</x:v>
      </x:c>
      <x:c r="M142" s="31" t="n">
        <x:v>0</x:v>
      </x:c>
      <x:c r="N142" s="24" t="str">
        <x:v>mugil</x:v>
      </x:c>
      <x:c r="O142" s="32" t="n">
        <x:v>2.26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Mugil</x:v>
      </x:c>
      <x:c r="T142" s="32" t="n">
        <x:f>IF(O142="","",(1/'Metadata'!$B$5)^(O142-1))</x:f>
        <x:v>18.197008586099827</x:v>
      </x:c>
      <x:c r="U142" s="31" t="n">
        <x:f>IF(T142="","",I142*T142)</x:f>
        <x:v>0.01656046061890894</x:v>
      </x:c>
    </x:row>
    <x:row r="143" ht="18" customHeight="1">
      <x:c r="A143" s="24" t="str">
        <x:v>EEZ_583</x:v>
      </x:c>
      <x:c r="B143" s="24" t="str">
        <x:v>Micronesia (Federated States of)</x:v>
      </x:c>
      <x:c r="C143" s="24" t="str">
        <x:v>EEZ</x:v>
      </x:c>
      <x:c r="D143" s="30" t="n">
        <x:v>2019</x:v>
      </x:c>
      <x:c r="E143" s="24" t="str">
        <x:v>Myripristis kuntee</x:v>
      </x:c>
      <x:c r="F143" s="24" t="str">
        <x:v>Shoulderbar soldierfish</x:v>
      </x:c>
      <x:c r="G143" s="24" t="str">
        <x:v>Small reef assoc. fish (&lt;30 cm)</x:v>
      </x:c>
      <x:c r="H143" s="24" t="str">
        <x:v>Other fishes &amp; inverts</x:v>
      </x:c>
      <x:c r="I143" s="31" t="n">
        <x:v>0.000853241</x:v>
      </x:c>
      <x:c r="J143" s="31" t="n">
        <x:v>0.000853241</x:v>
      </x:c>
      <x:c r="K143" s="31" t="n">
        <x:v>0</x:v>
      </x:c>
      <x:c r="L143" s="31" t="n">
        <x:v>0.000853241</x:v>
      </x:c>
      <x:c r="M143" s="31" t="n">
        <x:v>0</x:v>
      </x:c>
      <x:c r="N143" s="24" t="str">
        <x:v>myripristis kuntee</x:v>
      </x:c>
      <x:c r="O143" s="32" t="n">
        <x:v>3.36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Myripristis kuntee</x:v>
      </x:c>
      <x:c r="T143" s="32" t="n">
        <x:f>IF(O143="","",(1/'Metadata'!$B$5)^(O143-1))</x:f>
        <x:v>229.08676527677724</x:v>
      </x:c>
      <x:c r="U143" s="31" t="n">
        <x:f>IF(T143="","",I143*T143)</x:f>
        <x:v>0.1954662206915227</x:v>
      </x:c>
    </x:row>
    <x:row r="144" ht="18" customHeight="1">
      <x:c r="A144" s="24" t="str">
        <x:v>EEZ_583</x:v>
      </x:c>
      <x:c r="B144" s="24" t="str">
        <x:v>Micronesia (Federated States of)</x:v>
      </x:c>
      <x:c r="C144" s="24" t="str">
        <x:v>EEZ</x:v>
      </x:c>
      <x:c r="D144" s="30" t="n">
        <x:v>2019</x:v>
      </x:c>
      <x:c r="E144" s="24" t="str">
        <x:v>Parupeneus indicus</x:v>
      </x:c>
      <x:c r="F144" s="24" t="str">
        <x:v>Indian goatfish</x:v>
      </x:c>
      <x:c r="G144" s="24" t="str">
        <x:v>Medium reef assoc. fish (30 - 89 cm)</x:v>
      </x:c>
      <x:c r="H144" s="24" t="str">
        <x:v>Perch-likes</x:v>
      </x:c>
      <x:c r="I144" s="31" t="n">
        <x:v>0.000824683</x:v>
      </x:c>
      <x:c r="J144" s="31" t="n">
        <x:v>0.000824683</x:v>
      </x:c>
      <x:c r="K144" s="31" t="n">
        <x:v>0</x:v>
      </x:c>
      <x:c r="L144" s="31" t="n">
        <x:v>0.000824683</x:v>
      </x:c>
      <x:c r="M144" s="31" t="n">
        <x:v>0</x:v>
      </x:c>
      <x:c r="N144" s="24" t="str">
        <x:v>parupeneus indicus</x:v>
      </x:c>
      <x:c r="O144" s="32" t="n">
        <x:v>3.5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Parupeneus indicus</x:v>
      </x:c>
      <x:c r="T144" s="32" t="n">
        <x:f>IF(O144="","",(1/'Metadata'!$B$5)^(O144-1))</x:f>
        <x:v>316.22776601683796</x:v>
      </x:c>
      <x:c r="U144" s="31" t="n">
        <x:f>IF(T144="","",I144*T144)</x:f>
        <x:v>0.260787662762064</x:v>
      </x:c>
    </x:row>
    <x:row r="145" ht="18" customHeight="1">
      <x:c r="A145" s="24" t="str">
        <x:v>EEZ_583</x:v>
      </x:c>
      <x:c r="B145" s="24" t="str">
        <x:v>Micronesia (Federated States of)</x:v>
      </x:c>
      <x:c r="C145" s="24" t="str">
        <x:v>EEZ</x:v>
      </x:c>
      <x:c r="D145" s="30" t="n">
        <x:v>2019</x:v>
      </x:c>
      <x:c r="E145" s="24" t="str">
        <x:v>Exocoetus volitans</x:v>
      </x:c>
      <x:c r="F145" s="24" t="str">
        <x:v>Tropical two-wing flyingfish</x:v>
      </x:c>
      <x:c r="G145" s="24" t="str">
        <x:v>Small pelagics (&lt;30 cm)</x:v>
      </x:c>
      <x:c r="H145" s="24" t="str">
        <x:v>Other fishes &amp; inverts</x:v>
      </x:c>
      <x:c r="I145" s="31" t="n">
        <x:v>0.000811828</x:v>
      </x:c>
      <x:c r="J145" s="31" t="n">
        <x:v>0.000811828</x:v>
      </x:c>
      <x:c r="K145" s="31" t="n">
        <x:v>0</x:v>
      </x:c>
      <x:c r="L145" s="31" t="n">
        <x:v>0.000811828</x:v>
      </x:c>
      <x:c r="M145" s="31" t="n">
        <x:v>0</x:v>
      </x:c>
      <x:c r="N145" s="24" t="str">
        <x:v>exocoetus volitans</x:v>
      </x:c>
      <x:c r="O145" s="32" t="n">
        <x:v>3.03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Exocoetus volitans</x:v>
      </x:c>
      <x:c r="T145" s="32" t="n">
        <x:f>IF(O145="","",(1/'Metadata'!$B$5)^(O145-1))</x:f>
        <x:v>107.1519305237606</x:v>
      </x:c>
      <x:c r="U145" s="31" t="n">
        <x:f>IF(T145="","",I145*T145)</x:f>
        <x:v>0.08698893745324351</x:v>
      </x:c>
    </x:row>
    <x:row r="146" ht="18" customHeight="1">
      <x:c r="A146" s="24" t="str">
        <x:v>EEZ_583</x:v>
      </x:c>
      <x:c r="B146" s="24" t="str">
        <x:v>Micronesia (Federated States of)</x:v>
      </x:c>
      <x:c r="C146" s="24" t="str">
        <x:v>EEZ</x:v>
      </x:c>
      <x:c r="D146" s="30" t="n">
        <x:v>2019</x:v>
      </x:c>
      <x:c r="E146" s="24" t="str">
        <x:v>Caranx lugubris</x:v>
      </x:c>
      <x:c r="F146" s="24" t="str">
        <x:v>Black jack</x:v>
      </x:c>
      <x:c r="G146" s="24" t="str">
        <x:v>Large benthopelagics (&gt;=90 cm)</x:v>
      </x:c>
      <x:c r="H146" s="24" t="str">
        <x:v>Perch-likes</x:v>
      </x:c>
      <x:c r="I146" s="31" t="n">
        <x:v>0.000796325</x:v>
      </x:c>
      <x:c r="J146" s="31" t="n">
        <x:v>0.000796325</x:v>
      </x:c>
      <x:c r="K146" s="31" t="n">
        <x:v>0</x:v>
      </x:c>
      <x:c r="L146" s="31" t="n">
        <x:v>0.000796325</x:v>
      </x:c>
      <x:c r="M146" s="31" t="n">
        <x:v>0</x:v>
      </x:c>
      <x:c r="N146" s="24" t="str">
        <x:v>caranx lugubris</x:v>
      </x:c>
      <x:c r="O146" s="32" t="n">
        <x:v>4.5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Caranx lugubris</x:v>
      </x:c>
      <x:c r="T146" s="32" t="n">
        <x:f>IF(O146="","",(1/'Metadata'!$B$5)^(O146-1))</x:f>
        <x:v>3162.2776601683795</x:v>
      </x:c>
      <x:c r="U146" s="31" t="n">
        <x:f>IF(T146="","",I146*T146)</x:f>
        <x:v>2.5182007577335845</x:v>
      </x:c>
    </x:row>
    <x:row r="147" ht="18" customHeight="1">
      <x:c r="A147" s="24" t="str">
        <x:v>EEZ_583</x:v>
      </x:c>
      <x:c r="B147" s="24" t="str">
        <x:v>Micronesia (Federated States of)</x:v>
      </x:c>
      <x:c r="C147" s="24" t="str">
        <x:v>EEZ</x:v>
      </x:c>
      <x:c r="D147" s="30" t="n">
        <x:v>2019</x:v>
      </x:c>
      <x:c r="E147" s="24" t="str">
        <x:v>Chlorurus sordidus</x:v>
      </x:c>
      <x:c r="F147" s="24" t="str">
        <x:v>Daisy parrotfish</x:v>
      </x:c>
      <x:c r="G147" s="24" t="str">
        <x:v>Medium reef assoc. fish (30 - 89 cm)</x:v>
      </x:c>
      <x:c r="H147" s="24" t="str">
        <x:v>Perch-likes</x:v>
      </x:c>
      <x:c r="I147" s="31" t="n">
        <x:v>0.000597219</x:v>
      </x:c>
      <x:c r="J147" s="31" t="n">
        <x:v>0.000597219</x:v>
      </x:c>
      <x:c r="K147" s="31" t="n">
        <x:v>0</x:v>
      </x:c>
      <x:c r="L147" s="31" t="n">
        <x:v>0.000597219</x:v>
      </x:c>
      <x:c r="M147" s="31" t="n">
        <x:v>0</x:v>
      </x:c>
      <x:c r="N147" s="24" t="str">
        <x:v>chlorurus sordidus</x:v>
      </x:c>
      <x:c r="O147" s="32" t="n">
        <x:v>2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Chlorurus sordidus</x:v>
      </x:c>
      <x:c r="T147" s="32" t="n">
        <x:f>IF(O147="","",(1/'Metadata'!$B$5)^(O147-1))</x:f>
        <x:v>10</x:v>
      </x:c>
      <x:c r="U147" s="31" t="n">
        <x:f>IF(T147="","",I147*T147)</x:f>
        <x:v>0.00597219</x:v>
      </x:c>
    </x:row>
    <x:row r="148" ht="18" customHeight="1">
      <x:c r="A148" s="24" t="str">
        <x:v>EEZ_583</x:v>
      </x:c>
      <x:c r="B148" s="24" t="str">
        <x:v>Micronesia (Federated States of)</x:v>
      </x:c>
      <x:c r="C148" s="24" t="str">
        <x:v>EEZ</x:v>
      </x:c>
      <x:c r="D148" s="30" t="n">
        <x:v>2019</x:v>
      </x:c>
      <x:c r="E148" s="24" t="str">
        <x:v>Lutjanus russellii</x:v>
      </x:c>
      <x:c r="F148" s="24" t="str">
        <x:v>Russell's snapper</x:v>
      </x:c>
      <x:c r="G148" s="24" t="str">
        <x:v>Medium reef assoc. fish (30 - 89 cm)</x:v>
      </x:c>
      <x:c r="H148" s="24" t="str">
        <x:v>Perch-likes</x:v>
      </x:c>
      <x:c r="I148" s="31" t="n">
        <x:v>0.000568861</x:v>
      </x:c>
      <x:c r="J148" s="31" t="n">
        <x:v>0.000568861</x:v>
      </x:c>
      <x:c r="K148" s="31" t="n">
        <x:v>0</x:v>
      </x:c>
      <x:c r="L148" s="31" t="n">
        <x:v>0.000568861</x:v>
      </x:c>
      <x:c r="M148" s="31" t="n">
        <x:v>0</x:v>
      </x:c>
      <x:c r="N148" s="24" t="str">
        <x:v>lutjanus russellii</x:v>
      </x:c>
      <x:c r="O148" s="32" t="n">
        <x:v>4.1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Lutjanus russellii</x:v>
      </x:c>
      <x:c r="T148" s="32" t="n">
        <x:f>IF(O148="","",(1/'Metadata'!$B$5)^(O148-1))</x:f>
        <x:v>1258.9254117941662</x:v>
      </x:c>
      <x:c r="U148" s="31" t="n">
        <x:f>IF(T148="","",I148*T148)</x:f>
        <x:v>0.7161535686786412</x:v>
      </x:c>
    </x:row>
    <x:row r="149" ht="18" customHeight="1">
      <x:c r="A149" s="24" t="str">
        <x:v>EEZ_583</x:v>
      </x:c>
      <x:c r="B149" s="24" t="str">
        <x:v>Micronesia (Federated States of)</x:v>
      </x:c>
      <x:c r="C149" s="24" t="str">
        <x:v>EEZ</x:v>
      </x:c>
      <x:c r="D149" s="30" t="n">
        <x:v>2019</x:v>
      </x:c>
      <x:c r="E149" s="24" t="str">
        <x:v>Cephalopholis urodeta</x:v>
      </x:c>
      <x:c r="F149" s="24" t="str">
        <x:v>Darkfin hind</x:v>
      </x:c>
      <x:c r="G149" s="24" t="str">
        <x:v>Small reef assoc. fish (&lt;30 cm)</x:v>
      </x:c>
      <x:c r="H149" s="24" t="str">
        <x:v>Perch-likes</x:v>
      </x:c>
      <x:c r="I149" s="31" t="n">
        <x:v>0.000493036</x:v>
      </x:c>
      <x:c r="J149" s="31" t="n">
        <x:v>0.000493036</x:v>
      </x:c>
      <x:c r="K149" s="31" t="n">
        <x:v>0</x:v>
      </x:c>
      <x:c r="L149" s="31" t="n">
        <x:v>0.000493036</x:v>
      </x:c>
      <x:c r="M149" s="31" t="n">
        <x:v>0</x:v>
      </x:c>
      <x:c r="N149" s="24" t="str">
        <x:v>cephalopholis urodeta</x:v>
      </x:c>
      <x:c r="O149" s="32" t="n">
        <x:v>4.02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Cephalopholis urodeta</x:v>
      </x:c>
      <x:c r="T149" s="32" t="n">
        <x:f>IF(O149="","",(1/'Metadata'!$B$5)^(O149-1))</x:f>
        <x:v>1047.1285480508984</x:v>
      </x:c>
      <x:c r="U149" s="31" t="n">
        <x:f>IF(T149="","",I149*T149)</x:f>
        <x:v>0.5162720708168227</x:v>
      </x:c>
    </x:row>
    <x:row r="150" ht="18" customHeight="1">
      <x:c r="A150" s="24" t="str">
        <x:v>EEZ_583</x:v>
      </x:c>
      <x:c r="B150" s="24" t="str">
        <x:v>Micronesia (Federated States of)</x:v>
      </x:c>
      <x:c r="C150" s="24" t="str">
        <x:v>EEZ</x:v>
      </x:c>
      <x:c r="D150" s="30" t="n">
        <x:v>2019</x:v>
      </x:c>
      <x:c r="E150" s="24" t="str">
        <x:v>Uraspis helvola</x:v>
      </x:c>
      <x:c r="F150" s="24" t="str">
        <x:v>Whitetongue jack</x:v>
      </x:c>
      <x:c r="G150" s="24" t="str">
        <x:v>Medium benthopelagics (30 - 89 cm)</x:v>
      </x:c>
      <x:c r="H150" s="24" t="str">
        <x:v>Perch-likes</x:v>
      </x:c>
      <x:c r="I150" s="31" t="n">
        <x:v>0.000369755</x:v>
      </x:c>
      <x:c r="J150" s="31" t="n">
        <x:v>0.000369755</x:v>
      </x:c>
      <x:c r="K150" s="31" t="n">
        <x:v>0</x:v>
      </x:c>
      <x:c r="L150" s="31" t="n">
        <x:v>0.000369755</x:v>
      </x:c>
      <x:c r="M150" s="31" t="n">
        <x:v>0</x:v>
      </x:c>
      <x:c r="N150" s="24" t="str">
        <x:v>uraspis helvola</x:v>
      </x:c>
      <x:c r="O150" s="32" t="n">
        <x:v>3.78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Uraspis helvola</x:v>
      </x:c>
      <x:c r="T150" s="32" t="n">
        <x:f>IF(O150="","",(1/'Metadata'!$B$5)^(O150-1))</x:f>
        <x:v>602.5595860743575</x:v>
      </x:c>
      <x:c r="U150" s="31" t="n">
        <x:f>IF(T150="","",I150*T150)</x:f>
        <x:v>0.22279941974892406</x:v>
      </x:c>
    </x:row>
    <x:row r="151" ht="18" customHeight="1">
      <x:c r="A151" s="24" t="str">
        <x:v>EEZ_583</x:v>
      </x:c>
      <x:c r="B151" s="24" t="str">
        <x:v>Micronesia (Federated States of)</x:v>
      </x:c>
      <x:c r="C151" s="24" t="str">
        <x:v>EEZ</x:v>
      </x:c>
      <x:c r="D151" s="30" t="n">
        <x:v>2019</x:v>
      </x:c>
      <x:c r="E151" s="24" t="str">
        <x:v>Gnathanodon speciosus</x:v>
      </x:c>
      <x:c r="F151" s="24" t="str">
        <x:v>Golden trevally</x:v>
      </x:c>
      <x:c r="G151" s="24" t="str">
        <x:v>Large reef assoc. fish (&gt;=90 cm)</x:v>
      </x:c>
      <x:c r="H151" s="24" t="str">
        <x:v>Perch-likes</x:v>
      </x:c>
      <x:c r="I151" s="31" t="n">
        <x:v>0.000199076</x:v>
      </x:c>
      <x:c r="J151" s="31" t="n">
        <x:v>0.000199076</x:v>
      </x:c>
      <x:c r="K151" s="31" t="n">
        <x:v>0</x:v>
      </x:c>
      <x:c r="L151" s="31" t="n">
        <x:v>0.000199076</x:v>
      </x:c>
      <x:c r="M151" s="31" t="n">
        <x:v>0</x:v>
      </x:c>
      <x:c r="N151" s="24" t="str">
        <x:v>gnathanodon speciosus</x:v>
      </x:c>
      <x:c r="O151" s="32" t="n">
        <x:v>3.84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Gnathanodon speciosus</x:v>
      </x:c>
      <x:c r="T151" s="32" t="n">
        <x:f>IF(O151="","",(1/'Metadata'!$B$5)^(O151-1))</x:f>
        <x:v>691.8309709189363</x:v>
      </x:c>
      <x:c r="U151" s="31" t="n">
        <x:f>IF(T151="","",I151*T151)</x:f>
        <x:v>0.13772694236665814</x:v>
      </x:c>
    </x:row>
    <x:row r="152" ht="18" customHeight="1">
      <x:c r="A152" s="24" t="str">
        <x:v>EEZ_583</x:v>
      </x:c>
      <x:c r="B152" s="24" t="str">
        <x:v>Micronesia (Federated States of)</x:v>
      </x:c>
      <x:c r="C152" s="24" t="str">
        <x:v>EEZ</x:v>
      </x:c>
      <x:c r="D152" s="30" t="n">
        <x:v>2019</x:v>
      </x:c>
      <x:c r="E152" s="24" t="str">
        <x:v>Variola albimarginata</x:v>
      </x:c>
      <x:c r="F152" s="24" t="str">
        <x:v>White-edged lyretail</x:v>
      </x:c>
      <x:c r="G152" s="24" t="str">
        <x:v>Medium reef assoc. fish (30 - 89 cm)</x:v>
      </x:c>
      <x:c r="H152" s="24" t="str">
        <x:v>Perch-likes</x:v>
      </x:c>
      <x:c r="I152" s="31" t="n">
        <x:v>0.000182304</x:v>
      </x:c>
      <x:c r="J152" s="31" t="n">
        <x:v>0.000182304</x:v>
      </x:c>
      <x:c r="K152" s="31" t="n">
        <x:v>0</x:v>
      </x:c>
      <x:c r="L152" s="31" t="n">
        <x:v>0.000182304</x:v>
      </x:c>
      <x:c r="M152" s="31" t="n">
        <x:v>0</x:v>
      </x:c>
      <x:c r="N152" s="24" t="str">
        <x:v>variola albimarginata</x:v>
      </x:c>
      <x:c r="O152" s="32" t="n">
        <x:v>4.5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Variola albimarginata</x:v>
      </x:c>
      <x:c r="T152" s="32" t="n">
        <x:f>IF(O152="","",(1/'Metadata'!$B$5)^(O152-1))</x:f>
        <x:v>3162.2776601683795</x:v>
      </x:c>
      <x:c r="U152" s="31" t="n">
        <x:f>IF(T152="","",I152*T152)</x:f>
        <x:v>0.5764958665593363</x:v>
      </x:c>
    </x:row>
    <x:row r="153" ht="18" customHeight="1">
      <x:c r="A153" s="24" t="str">
        <x:v>EEZ_583</x:v>
      </x:c>
      <x:c r="B153" s="24" t="str">
        <x:v>Micronesia (Federated States of)</x:v>
      </x:c>
      <x:c r="C153" s="24" t="str">
        <x:v>EEZ</x:v>
      </x:c>
      <x:c r="D153" s="30" t="n">
        <x:v>2019</x:v>
      </x:c>
      <x:c r="E153" s="24" t="str">
        <x:v>Chanos chanos</x:v>
      </x:c>
      <x:c r="F153" s="24" t="str">
        <x:v>Milkfish</x:v>
      </x:c>
      <x:c r="G153" s="24" t="str">
        <x:v>Large benthopelagics (&gt;=90 cm)</x:v>
      </x:c>
      <x:c r="H153" s="24" t="str">
        <x:v>Other fishes &amp; inverts</x:v>
      </x:c>
      <x:c r="I153" s="31" t="n">
        <x:v>0.00008535</x:v>
      </x:c>
      <x:c r="J153" s="31" t="n">
        <x:v>0.00008535</x:v>
      </x:c>
      <x:c r="K153" s="31" t="n">
        <x:v>0</x:v>
      </x:c>
      <x:c r="L153" s="31" t="n">
        <x:v>0.00008535</x:v>
      </x:c>
      <x:c r="M153" s="31" t="n">
        <x:v>0</x:v>
      </x:c>
      <x:c r="N153" s="24" t="str">
        <x:v>chanos chanos</x:v>
      </x:c>
      <x:c r="O153" s="32" t="n">
        <x:v>2.03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Chanos chanos</x:v>
      </x:c>
      <x:c r="T153" s="32" t="n">
        <x:f>IF(O153="","",(1/'Metadata'!$B$5)^(O153-1))</x:f>
        <x:v>10.71519305237606</x:v>
      </x:c>
      <x:c r="U153" s="31" t="n">
        <x:f>IF(T153="","",I153*T153)</x:f>
        <x:v>0.0009145417270202968</x:v>
      </x:c>
    </x:row>
    <x:row r="154" ht="18" customHeight="1">
      <x:c r="A154" s="24" t="str">
        <x:v>EEZ_583</x:v>
      </x:c>
      <x:c r="B154" s="24" t="str">
        <x:v>Micronesia (Federated States of)</x:v>
      </x:c>
      <x:c r="C154" s="24" t="str">
        <x:v>EEZ</x:v>
      </x:c>
      <x:c r="D154" s="30" t="n">
        <x:v>2019</x:v>
      </x:c>
      <x:c r="E154" s="24" t="str">
        <x:v>Seriola lalandi</x:v>
      </x:c>
      <x:c r="F154" s="24" t="str">
        <x:v>Yellowtail amberjack</x:v>
      </x:c>
      <x:c r="G154" s="24" t="str">
        <x:v>Large benthopelagics (&gt;=90 cm)</x:v>
      </x:c>
      <x:c r="H154" s="24" t="str">
        <x:v>Perch-likes</x:v>
      </x:c>
      <x:c r="I154" s="31" t="n">
        <x:v>0.00008535</x:v>
      </x:c>
      <x:c r="J154" s="31" t="n">
        <x:v>0.00008535</x:v>
      </x:c>
      <x:c r="K154" s="31" t="n">
        <x:v>0</x:v>
      </x:c>
      <x:c r="L154" s="31" t="n">
        <x:v>0.00008535</x:v>
      </x:c>
      <x:c r="M154" s="31" t="n">
        <x:v>0</x:v>
      </x:c>
      <x:c r="N154" s="24" t="str">
        <x:v>seriola lalandi</x:v>
      </x:c>
      <x:c r="O154" s="32" t="n">
        <x:v>4.16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Seriola lalandi</x:v>
      </x:c>
      <x:c r="T154" s="32" t="n">
        <x:f>IF(O154="","",(1/'Metadata'!$B$5)^(O154-1))</x:f>
        <x:v>1445.439770745928</x:v>
      </x:c>
      <x:c r="U154" s="31" t="n">
        <x:f>IF(T154="","",I154*T154)</x:f>
        <x:v>0.12336828443316496</x:v>
      </x:c>
    </x:row>
    <x:row r="155" ht="18" customHeight="1">
      <x:c r="A155" s="24" t="str">
        <x:v>EEZ_583</x:v>
      </x:c>
      <x:c r="B155" s="24" t="str">
        <x:v>Micronesia (Federated States of)</x:v>
      </x:c>
      <x:c r="C155" s="24" t="str">
        <x:v>EEZ</x:v>
      </x:c>
      <x:c r="D155" s="30" t="n">
        <x:v>2019</x:v>
      </x:c>
      <x:c r="E155" s="24" t="str">
        <x:v>Lutjanidae</x:v>
      </x:c>
      <x:c r="F155" s="24" t="str">
        <x:v>Snappers</x:v>
      </x:c>
      <x:c r="G155" s="24" t="str">
        <x:v>Medium reef assoc. fish (30 - 89 cm)</x:v>
      </x:c>
      <x:c r="H155" s="24" t="str">
        <x:v>Perch-likes</x:v>
      </x:c>
      <x:c r="I155" s="31" t="n">
        <x:v>0.00008535</x:v>
      </x:c>
      <x:c r="J155" s="31" t="n">
        <x:v>0.00008535</x:v>
      </x:c>
      <x:c r="K155" s="31" t="n">
        <x:v>0</x:v>
      </x:c>
      <x:c r="L155" s="31" t="n">
        <x:v>0.00008535</x:v>
      </x:c>
      <x:c r="M155" s="31" t="n">
        <x:v>0</x:v>
      </x:c>
      <x:c r="N155" s="24" t="str">
        <x:v>lutjanidae</x:v>
      </x:c>
      <x:c r="O155" s="32" t="n">
        <x:v>4.02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Lutjanidae</x:v>
      </x:c>
      <x:c r="T155" s="32" t="n">
        <x:f>IF(O155="","",(1/'Metadata'!$B$5)^(O155-1))</x:f>
        <x:v>1047.1285480508984</x:v>
      </x:c>
      <x:c r="U155" s="31" t="n">
        <x:f>IF(T155="","",I155*T155)</x:f>
        <x:v>0.08937242157614418</x:v>
      </x:c>
    </x:row>
    <x:row r="156" ht="18" customHeight="1">
      <x:c r="A156" s="24" t="str">
        <x:v>EEZ_583</x:v>
      </x:c>
      <x:c r="B156" s="24" t="str">
        <x:v>Micronesia (Federated States of)</x:v>
      </x:c>
      <x:c r="C156" s="24" t="str">
        <x:v>EEZ</x:v>
      </x:c>
      <x:c r="D156" s="30" t="n">
        <x:v>2019</x:v>
      </x:c>
      <x:c r="E156" s="24" t="str">
        <x:v>Sphyraena obtusata</x:v>
      </x:c>
      <x:c r="F156" s="24" t="str">
        <x:v>Obtuse barracuda</x:v>
      </x:c>
      <x:c r="G156" s="24" t="str">
        <x:v>Medium reef assoc. fish (30 - 89 cm)</x:v>
      </x:c>
      <x:c r="H156" s="24" t="str">
        <x:v>Perch-likes</x:v>
      </x:c>
      <x:c r="I156" s="31" t="n">
        <x:v>0.00005687</x:v>
      </x:c>
      <x:c r="J156" s="31" t="n">
        <x:v>0.00005687</x:v>
      </x:c>
      <x:c r="K156" s="31" t="n">
        <x:v>0</x:v>
      </x:c>
      <x:c r="L156" s="31" t="n">
        <x:v>0.00005687</x:v>
      </x:c>
      <x:c r="M156" s="31" t="n">
        <x:v>0</x:v>
      </x:c>
      <x:c r="N156" s="24" t="str">
        <x:v>sphyraena obtusata</x:v>
      </x:c>
      <x:c r="O156" s="32" t="n">
        <x:v>4.5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Sphyraena obtusata</x:v>
      </x:c>
      <x:c r="T156" s="32" t="n">
        <x:f>IF(O156="","",(1/'Metadata'!$B$5)^(O156-1))</x:f>
        <x:v>3162.2776601683795</x:v>
      </x:c>
      <x:c r="U156" s="31" t="n">
        <x:f>IF(T156="","",I156*T156)</x:f>
        <x:v>0.17983873053377575</x:v>
      </x:c>
    </x:row>
    <x:row r="157" ht="18" customHeight="1">
      <x:c r="A157" s="24" t="str">
        <x:v>EEZ_583</x:v>
      </x:c>
      <x:c r="B157" s="24" t="str">
        <x:v>Micronesia (Federated States of)</x:v>
      </x:c>
      <x:c r="C157" s="24" t="str">
        <x:v>EEZ</x:v>
      </x:c>
      <x:c r="D157" s="30" t="n">
        <x:v>2019</x:v>
      </x:c>
      <x:c r="E157" s="24" t="str">
        <x:v>Cephalopholis sexmaculata</x:v>
      </x:c>
      <x:c r="F157" s="24" t="str">
        <x:v>Sixblotch hind</x:v>
      </x:c>
      <x:c r="G157" s="24" t="str">
        <x:v>Medium reef assoc. fish (30 - 89 cm)</x:v>
      </x:c>
      <x:c r="H157" s="24" t="str">
        <x:v>Perch-likes</x:v>
      </x:c>
      <x:c r="I157" s="31" t="n">
        <x:v>0.00005687</x:v>
      </x:c>
      <x:c r="J157" s="31" t="n">
        <x:v>0.00005687</x:v>
      </x:c>
      <x:c r="K157" s="31" t="n">
        <x:v>0</x:v>
      </x:c>
      <x:c r="L157" s="31" t="n">
        <x:v>0.00005687</x:v>
      </x:c>
      <x:c r="M157" s="31" t="n">
        <x:v>0</x:v>
      </x:c>
      <x:c r="N157" s="24" t="str">
        <x:v>cephalopholis sexmaculata</x:v>
      </x:c>
      <x:c r="O157" s="32" t="n">
        <x:v>4.33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Cephalopholis sexmaculata</x:v>
      </x:c>
      <x:c r="T157" s="32" t="n">
        <x:f>IF(O157="","",(1/'Metadata'!$B$5)^(O157-1))</x:f>
        <x:v>2137.9620895022326</x:v>
      </x:c>
      <x:c r="U157" s="31" t="n">
        <x:f>IF(T157="","",I157*T157)</x:f>
        <x:v>0.12158590402999198</x:v>
      </x:c>
    </x:row>
    <x:row r="158" ht="18" customHeight="1">
      <x:c r="A158" s="24" t="str">
        <x:v>EEZ_583</x:v>
      </x:c>
      <x:c r="B158" s="24" t="str">
        <x:v>Micronesia (Federated States of)</x:v>
      </x:c>
      <x:c r="C158" s="24" t="str">
        <x:v>EEZ</x:v>
      </x:c>
      <x:c r="D158" s="30" t="n">
        <x:v>2019</x:v>
      </x:c>
      <x:c r="E158" s="24" t="str">
        <x:v>Exocoetidae</x:v>
      </x:c>
      <x:c r="F158" s="24" t="str">
        <x:v>Flyingfishes</x:v>
      </x:c>
      <x:c r="G158" s="24" t="str">
        <x:v>Small pelagics (&lt;30 cm)</x:v>
      </x:c>
      <x:c r="H158" s="24" t="str">
        <x:v>Other fishes &amp; inverts</x:v>
      </x:c>
      <x:c r="I158" s="31" t="n">
        <x:v>0.00005687</x:v>
      </x:c>
      <x:c r="J158" s="31" t="n">
        <x:v>0.00005687</x:v>
      </x:c>
      <x:c r="K158" s="31" t="n">
        <x:v>0</x:v>
      </x:c>
      <x:c r="L158" s="31" t="n">
        <x:v>0.00005687</x:v>
      </x:c>
      <x:c r="M158" s="31" t="n">
        <x:v>0</x:v>
      </x:c>
      <x:c r="N158" s="24" t="str">
        <x:v>exocoetidae</x:v>
      </x:c>
      <x:c r="O158" s="32" t="n">
        <x:v>3.57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Exocoetidae</x:v>
      </x:c>
      <x:c r="T158" s="32" t="n">
        <x:f>IF(O158="","",(1/'Metadata'!$B$5)^(O158-1))</x:f>
        <x:v>371.5352290971724</x:v>
      </x:c>
      <x:c r="U158" s="31" t="n">
        <x:f>IF(T158="","",I158*T158)</x:f>
        <x:v>0.021129208478756198</x:v>
      </x:c>
    </x:row>
    <x:row r="159" ht="18" customHeight="1">
      <x:c r="A159" s="24" t="str">
        <x:v>EEZ_583</x:v>
      </x:c>
      <x:c r="B159" s="24" t="str">
        <x:v>Micronesia (Federated States of)</x:v>
      </x:c>
      <x:c r="C159" s="24" t="str">
        <x:v>EEZ</x:v>
      </x:c>
      <x:c r="D159" s="30" t="n">
        <x:v>2019</x:v>
      </x:c>
      <x:c r="E159" s="24" t="str">
        <x:v>Megalops cyprinoides</x:v>
      </x:c>
      <x:c r="F159" s="24" t="str">
        <x:v>Indo-Pacific tarpon</x:v>
      </x:c>
      <x:c r="G159" s="24" t="str">
        <x:v>Large pelagics (&gt;=90 cm)</x:v>
      </x:c>
      <x:c r="H159" s="24" t="str">
        <x:v>Other fishes &amp; inverts</x:v>
      </x:c>
      <x:c r="I159" s="31" t="n">
        <x:v>0.00005687</x:v>
      </x:c>
      <x:c r="J159" s="31" t="n">
        <x:v>0.00005687</x:v>
      </x:c>
      <x:c r="K159" s="31" t="n">
        <x:v>0</x:v>
      </x:c>
      <x:c r="L159" s="31" t="n">
        <x:v>0.00005687</x:v>
      </x:c>
      <x:c r="M159" s="31" t="n">
        <x:v>0</x:v>
      </x:c>
      <x:c r="N159" s="24" t="str">
        <x:v>megalops cyprinoides</x:v>
      </x:c>
      <x:c r="O159" s="32" t="n">
        <x:v>3.48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Megalops cyprinoides</x:v>
      </x:c>
      <x:c r="T159" s="32" t="n">
        <x:f>IF(O159="","",(1/'Metadata'!$B$5)^(O159-1))</x:f>
        <x:v>301.9951720402016</x:v>
      </x:c>
      <x:c r="U159" s="31" t="n">
        <x:f>IF(T159="","",I159*T159)</x:f>
        <x:v>0.017174465433926266</x:v>
      </x:c>
    </x:row>
    <x:row r="160" ht="18" customHeight="1">
      <x:c r="A160" s="24" t="str">
        <x:v>EEZ_583</x:v>
      </x:c>
      <x:c r="B160" s="24" t="str">
        <x:v>Micronesia (Federated States of)</x:v>
      </x:c>
      <x:c r="C160" s="24" t="str">
        <x:v>EEZ</x:v>
      </x:c>
      <x:c r="D160" s="30" t="n">
        <x:v>2019</x:v>
      </x:c>
      <x:c r="E160" s="24" t="str">
        <x:v>Scomberoides lysan</x:v>
      </x:c>
      <x:c r="F160" s="24" t="str">
        <x:v>Doublespotted queenfish</x:v>
      </x:c>
      <x:c r="G160" s="24" t="str">
        <x:v>Medium reef assoc. fish (30 - 89 cm)</x:v>
      </x:c>
      <x:c r="H160" s="24" t="str">
        <x:v>Perch-likes</x:v>
      </x:c>
      <x:c r="I160" s="31" t="n">
        <x:v>0.00005687</x:v>
      </x:c>
      <x:c r="J160" s="31" t="n">
        <x:v>0.00005687</x:v>
      </x:c>
      <x:c r="K160" s="31" t="n">
        <x:v>0</x:v>
      </x:c>
      <x:c r="L160" s="31" t="n">
        <x:v>0.00005687</x:v>
      </x:c>
      <x:c r="M160" s="31" t="n">
        <x:v>0</x:v>
      </x:c>
      <x:c r="N160" s="24" t="str">
        <x:v>scomberoides lysan</x:v>
      </x:c>
      <x:c r="O160" s="32" t="n">
        <x:v>4.38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Scomberoides lysan</x:v>
      </x:c>
      <x:c r="T160" s="32" t="n">
        <x:f>IF(O160="","",(1/'Metadata'!$B$5)^(O160-1))</x:f>
        <x:v>2398.83291901949</x:v>
      </x:c>
      <x:c r="U160" s="31" t="n">
        <x:f>IF(T160="","",I160*T160)</x:f>
        <x:v>0.1364216281046384</x:v>
      </x:c>
    </x:row>
    <x:row r="161" ht="18" customHeight="1">
      <x:c r="A161" s="24" t="str">
        <x:v>EEZ_583</x:v>
      </x:c>
      <x:c r="B161" s="24" t="str">
        <x:v>Micronesia (Federated States of)</x:v>
      </x:c>
      <x:c r="C161" s="24" t="str">
        <x:v>EEZ</x:v>
      </x:c>
      <x:c r="D161" s="30" t="n">
        <x:v>2019</x:v>
      </x:c>
      <x:c r="E161" s="24" t="str">
        <x:v>Alectis ciliaris</x:v>
      </x:c>
      <x:c r="F161" s="24" t="str">
        <x:v>African pompano</x:v>
      </x:c>
      <x:c r="G161" s="24" t="str">
        <x:v>Large pelagics (&gt;=90 cm)</x:v>
      </x:c>
      <x:c r="H161" s="24" t="str">
        <x:v>Perch-likes</x:v>
      </x:c>
      <x:c r="I161" s="31" t="n">
        <x:v>0.000028483</x:v>
      </x:c>
      <x:c r="J161" s="31" t="n">
        <x:v>0.000028483</x:v>
      </x:c>
      <x:c r="K161" s="31" t="n">
        <x:v>0</x:v>
      </x:c>
      <x:c r="L161" s="31" t="n">
        <x:v>0.000028483</x:v>
      </x:c>
      <x:c r="M161" s="31" t="n">
        <x:v>0</x:v>
      </x:c>
      <x:c r="N161" s="24" t="str">
        <x:v>alectis ciliaris</x:v>
      </x:c>
      <x:c r="O161" s="32" t="n">
        <x:v>3.95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Alectis ciliaris</x:v>
      </x:c>
      <x:c r="T161" s="32" t="n">
        <x:f>IF(O161="","",(1/'Metadata'!$B$5)^(O161-1))</x:f>
        <x:v>891.2509381337459</x:v>
      </x:c>
      <x:c r="U161" s="31" t="n">
        <x:f>IF(T161="","",I161*T161)</x:f>
        <x:v>0.025385500470863485</x:v>
      </x:c>
    </x:row>
    <x:row r="162" ht="18" customHeight="1">
      <x:c r="A162" s="24" t="str">
        <x:v>EEZ_583</x:v>
      </x:c>
      <x:c r="B162" s="24" t="str">
        <x:v>Micronesia (Federated States of)</x:v>
      </x:c>
      <x:c r="C162" s="24" t="str">
        <x:v>EEZ</x:v>
      </x:c>
      <x:c r="D162" s="30" t="n">
        <x:v>2019</x:v>
      </x:c>
      <x:c r="E162" s="24" t="str">
        <x:v>Gymnocranius euanus</x:v>
      </x:c>
      <x:c r="F162" s="24" t="str">
        <x:v>Japanese large-eye bream</x:v>
      </x:c>
      <x:c r="G162" s="24" t="str">
        <x:v>Medium reef assoc. fish (30 - 89 cm)</x:v>
      </x:c>
      <x:c r="H162" s="24" t="str">
        <x:v>Perch-likes</x:v>
      </x:c>
      <x:c r="I162" s="31" t="n">
        <x:v>0.000028483</x:v>
      </x:c>
      <x:c r="J162" s="31" t="n">
        <x:v>0.000028483</x:v>
      </x:c>
      <x:c r="K162" s="31" t="n">
        <x:v>0</x:v>
      </x:c>
      <x:c r="L162" s="31" t="n">
        <x:v>0.000028483</x:v>
      </x:c>
      <x:c r="M162" s="31" t="n">
        <x:v>0</x:v>
      </x:c>
      <x:c r="N162" s="24" t="str">
        <x:v>gymnocranius euanus</x:v>
      </x:c>
      <x:c r="O162" s="32" t="n">
        <x:v>3.8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Gymnocranius euanus</x:v>
      </x:c>
      <x:c r="T162" s="32" t="n">
        <x:f>IF(O162="","",(1/'Metadata'!$B$5)^(O162-1))</x:f>
        <x:v>630.957344480193</x:v>
      </x:c>
      <x:c r="U162" s="31" t="n">
        <x:f>IF(T162="","",I162*T162)</x:f>
        <x:v>0.01797155804282934</x:v>
      </x:c>
    </x:row>
    <x:row r="163" ht="18" customHeight="1">
      <x:c r="A163" s="24" t="str">
        <x:v>EEZ_583</x:v>
      </x:c>
      <x:c r="B163" s="24" t="str">
        <x:v>Micronesia (Federated States of)</x:v>
      </x:c>
      <x:c r="C163" s="24" t="str">
        <x:v>EEZ</x:v>
      </x:c>
      <x:c r="D163" s="30" t="n">
        <x:v>2019</x:v>
      </x:c>
      <x:c r="E163" s="24" t="str">
        <x:v>Myripristis chryseres</x:v>
      </x:c>
      <x:c r="F163" s="24" t="str">
        <x:v>Yellowfin soldierfish</x:v>
      </x:c>
      <x:c r="G163" s="24" t="str">
        <x:v>Small reef assoc. fish (&lt;30 cm)</x:v>
      </x:c>
      <x:c r="H163" s="24" t="str">
        <x:v>Other fishes &amp; inverts</x:v>
      </x:c>
      <x:c r="I163" s="31" t="n">
        <x:v>0.000028483</x:v>
      </x:c>
      <x:c r="J163" s="31" t="n">
        <x:v>0.000028483</x:v>
      </x:c>
      <x:c r="K163" s="31" t="n">
        <x:v>0</x:v>
      </x:c>
      <x:c r="L163" s="31" t="n">
        <x:v>0.000028483</x:v>
      </x:c>
      <x:c r="M163" s="31" t="n">
        <x:v>0</x:v>
      </x:c>
      <x:c r="N163" s="24" t="str">
        <x:v>myripristis chryseres</x:v>
      </x:c>
      <x:c r="O163" s="32" t="n">
        <x:v>4.04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Myripristis chryseres</x:v>
      </x:c>
      <x:c r="T163" s="32" t="n">
        <x:f>IF(O163="","",(1/'Metadata'!$B$5)^(O163-1))</x:f>
        <x:v>1096.4781961431852</x:v>
      </x:c>
      <x:c r="U163" s="31" t="n">
        <x:f>IF(T163="","",I163*T163)</x:f>
        <x:v>0.031230988460746345</x:v>
      </x:c>
    </x:row>
    <x:row r="164" ht="18" customHeight="1">
      <x:c r="A164" s="24" t="str">
        <x:v>EEZ_583</x:v>
      </x:c>
      <x:c r="B164" s="24" t="str">
        <x:v>Micronesia (Federated States of)</x:v>
      </x:c>
      <x:c r="C164" s="24" t="str">
        <x:v>EEZ</x:v>
      </x:c>
      <x:c r="D164" s="30" t="n">
        <x:v>2019</x:v>
      </x:c>
      <x:c r="E164" s="24" t="str">
        <x:v>Myripristis vittata</x:v>
      </x:c>
      <x:c r="F164" s="24" t="str">
        <x:v>Whitetip soldierfish</x:v>
      </x:c>
      <x:c r="G164" s="24" t="str">
        <x:v>Small reef assoc. fish (&lt;30 cm)</x:v>
      </x:c>
      <x:c r="H164" s="24" t="str">
        <x:v>Other fishes &amp; inverts</x:v>
      </x:c>
      <x:c r="I164" s="31" t="n">
        <x:v>0.000028483</x:v>
      </x:c>
      <x:c r="J164" s="31" t="n">
        <x:v>0.000028483</x:v>
      </x:c>
      <x:c r="K164" s="31" t="n">
        <x:v>0</x:v>
      </x:c>
      <x:c r="L164" s="31" t="n">
        <x:v>0.000028483</x:v>
      </x:c>
      <x:c r="M164" s="31" t="n">
        <x:v>0</x:v>
      </x:c>
      <x:c r="N164" s="24" t="str">
        <x:v>myripristis vittata</x:v>
      </x:c>
      <x:c r="O164" s="32" t="n">
        <x:v>3.8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Myripristis vittata</x:v>
      </x:c>
      <x:c r="T164" s="32" t="n">
        <x:f>IF(O164="","",(1/'Metadata'!$B$5)^(O164-1))</x:f>
        <x:v>630.957344480193</x:v>
      </x:c>
      <x:c r="U164" s="31" t="n">
        <x:f>IF(T164="","",I164*T164)</x:f>
        <x:v>0.01797155804282934</x:v>
      </x:c>
    </x:row>
    <x:row r="165" ht="18" customHeight="1">
      <x:c r="A165" s="24" t="str">
        <x:v>EEZ_583</x:v>
      </x:c>
      <x:c r="B165" s="24" t="str">
        <x:v>Micronesia (Federated States of)</x:v>
      </x:c>
      <x:c r="C165" s="24" t="str">
        <x:v>EEZ</x:v>
      </x:c>
      <x:c r="D165" s="30" t="n">
        <x:v>2019</x:v>
      </x:c>
      <x:c r="E165" s="24" t="str">
        <x:v>Pterocaesio tile</x:v>
      </x:c>
      <x:c r="F165" s="24" t="str">
        <x:v>Dark-banded fusilier</x:v>
      </x:c>
      <x:c r="G165" s="24" t="str">
        <x:v>Small reef assoc. fish (&lt;30 cm)</x:v>
      </x:c>
      <x:c r="H165" s="24" t="str">
        <x:v>Perch-likes</x:v>
      </x:c>
      <x:c r="I165" s="31" t="n">
        <x:v>0.000028483</x:v>
      </x:c>
      <x:c r="J165" s="31" t="n">
        <x:v>0.000028483</x:v>
      </x:c>
      <x:c r="K165" s="31" t="n">
        <x:v>0</x:v>
      </x:c>
      <x:c r="L165" s="31" t="n">
        <x:v>0.000028483</x:v>
      </x:c>
      <x:c r="M165" s="31" t="n">
        <x:v>0</x:v>
      </x:c>
      <x:c r="N165" s="24" t="str">
        <x:v>pterocaesio tile</x:v>
      </x:c>
      <x:c r="O165" s="32" t="n">
        <x:v>3.33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Pterocaesio tile</x:v>
      </x:c>
      <x:c r="T165" s="32" t="n">
        <x:f>IF(O165="","",(1/'Metadata'!$B$5)^(O165-1))</x:f>
        <x:v>213.79620895022325</x:v>
      </x:c>
      <x:c r="U165" s="31" t="n">
        <x:f>IF(T165="","",I165*T165)</x:f>
        <x:v>0.006089557419529209</x:v>
      </x:c>
    </x:row>
  </x:sheetData>
  <x:conditionalFormatting sqref="R2:R16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ceb71c20c0f42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24.999999998</x:v>
      </x:c>
      <x:c r="E2" s="31" t="n">
        <x:v>24.999999998</x:v>
      </x:c>
      <x:c r="F2" s="32" t="n">
        <x:v>0</x:v>
      </x:c>
      <x:c r="G2" s="34" t="n">
        <x:v>1</x:v>
      </x:c>
      <x:c r="H2" s="32" t="n">
        <x:f>IF(E2=0,"",I2/E2)</x:f>
        <x:v>61.43074140937354</x:v>
      </x:c>
      <x:c r="I2" s="31" t="n">
        <x:f>IF(C2=0,"",SUMIF('Species'!$H$2:$H$165,A2,'Species'!$U$2:$U$165))</x:f>
        <x:v>1535.768535111477</x:v>
      </x:c>
      <x:c r="J2" s="32" t="n">
        <x:v>2.7140000000091202</x:v>
      </x:c>
      <x:c r="K2" s="32" t="n">
        <x:f>IF(J2="","",(1/'Metadata'!$B$5)^(J2-1))</x:f>
        <x:v>51.760683196143745</x:v>
      </x:c>
      <x:c r="L2" s="31" t="n">
        <x:f>IF(E2=0,"",E2*K2)</x:f>
        <x:v>1294.0170798000722</x:v>
      </x:c>
      <x:c r="M2" s="31" t="n">
        <x:f>IF(E2=0,"",I2-L2)</x:f>
        <x:v>241.7514553114047</x:v>
      </x:c>
      <x:c r="N2" s="32" t="n">
        <x:f>IF(L2=0,"",I2/L2)</x:f>
        <x:v>1.186822460912769</x:v>
      </x:c>
      <x:c r="O2" s="34" t="n">
        <x:f>IF(L2=0,"",M2/L2)</x:f>
        <x:v>0.18682246091276916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150.000000003</x:v>
      </x:c>
      <x:c r="E3" s="31" t="n">
        <x:v>150.000000003</x:v>
      </x:c>
      <x:c r="F3" s="32" t="n">
        <x:v>0</x:v>
      </x:c>
      <x:c r="G3" s="34" t="n">
        <x:v>1</x:v>
      </x:c>
      <x:c r="H3" s="32" t="n">
        <x:f>IF(E3=0,"",I3/E3)</x:f>
        <x:v>12.589254117941675</x:v>
      </x:c>
      <x:c r="I3" s="31" t="n">
        <x:f>IF(C3=0,"",SUMIF('Species'!$H$2:$H$165,A3,'Species'!$U$2:$U$165))</x:f>
        <x:v>1888.3881177290189</x:v>
      </x:c>
      <x:c r="J3" s="32" t="n">
        <x:v>2.1</x:v>
      </x:c>
      <x:c r="K3" s="32" t="n">
        <x:f>IF(J3="","",(1/'Metadata'!$B$5)^(J3-1))</x:f>
        <x:v>12.589254117941675</x:v>
      </x:c>
      <x:c r="L3" s="31" t="n">
        <x:f>IF(E3=0,"",E3*K3)</x:f>
        <x:v>1888.3881177290189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19</x:v>
      </x:c>
      <x:c r="C4" s="33" t="n">
        <x:v>19</x:v>
      </x:c>
      <x:c r="D4" s="31" t="n">
        <x:v>5278.6924042341</x:v>
      </x:c>
      <x:c r="E4" s="31" t="n">
        <x:v>5278.6924042341</x:v>
      </x:c>
      <x:c r="F4" s="32" t="n">
        <x:v>0</x:v>
      </x:c>
      <x:c r="G4" s="34" t="n">
        <x:v>1</x:v>
      </x:c>
      <x:c r="H4" s="32" t="n">
        <x:f>IF(E4=0,"",I4/E4)</x:f>
        <x:v>201.4654670616184</x:v>
      </x:c>
      <x:c r="I4" s="31" t="n">
        <x:f>IF(C4=0,"",SUMIF('Species'!$H$2:$H$165,A4,'Species'!$U$2:$U$165))</x:f>
        <x:v>1063474.2306936402</x:v>
      </x:c>
      <x:c r="J4" s="32" t="n">
        <x:v>3.2994849196653764</x:v>
      </x:c>
      <x:c r="K4" s="32" t="n">
        <x:f>IF(J4="","",(1/'Metadata'!$B$5)^(J4-1))</x:f>
        <x:v>199.28973040881073</x:v>
      </x:c>
      <x:c r="L4" s="31" t="n">
        <x:f>IF(E4=0,"",E4*K4)</x:f>
        <x:v>1051989.1861508507</x:v>
      </x:c>
      <x:c r="M4" s="31" t="n">
        <x:f>IF(E4=0,"",I4-L4)</x:f>
        <x:v>11485.04454278946</x:v>
      </x:c>
      <x:c r="N4" s="32" t="n">
        <x:f>IF(L4=0,"",I4/L4)</x:f>
        <x:v>1.0109174549453426</x:v>
      </x:c>
      <x:c r="O4" s="34" t="n">
        <x:f>IF(L4=0,"",M4/L4)</x:f>
        <x:v>0.010917454945342521</x:v>
      </x:c>
    </x:row>
    <x:row r="5" ht="18" customHeight="1">
      <x:c r="A5" s="24" t="str">
        <x:v>Perch-likes</x:v>
      </x:c>
      <x:c r="B5" s="33" t="n">
        <x:v>125</x:v>
      </x:c>
      <x:c r="C5" s="33" t="n">
        <x:v>125</x:v>
      </x:c>
      <x:c r="D5" s="31" t="n">
        <x:v>8090.9757682821</x:v>
      </x:c>
      <x:c r="E5" s="31" t="n">
        <x:v>8090.9757682821</x:v>
      </x:c>
      <x:c r="F5" s="32" t="n">
        <x:v>0</x:v>
      </x:c>
      <x:c r="G5" s="34" t="n">
        <x:v>1</x:v>
      </x:c>
      <x:c r="H5" s="32" t="n">
        <x:f>IF(E5=0,"",I5/E5)</x:f>
        <x:v>1258.3977467889501</x:v>
      </x:c>
      <x:c r="I5" s="31" t="n">
        <x:f>IF(C5=0,"",SUMIF('Species'!$H$2:$H$165,A5,'Species'!$U$2:$U$165))</x:f>
        <x:v>10181665.676130189</x:v>
      </x:c>
      <x:c r="J5" s="32" t="n">
        <x:v>3.5647257502413763</x:v>
      </x:c>
      <x:c r="K5" s="32" t="n">
        <x:f>IF(J5="","",(1/'Metadata'!$B$5)^(J5-1))</x:f>
        <x:v>367.0504410354223</x:v>
      </x:c>
      <x:c r="L5" s="31" t="n">
        <x:f>IF(E5=0,"",E5*K5)</x:f>
        <x:v>2969796.22415486</x:v>
      </x:c>
      <x:c r="M5" s="31" t="n">
        <x:f>IF(E5=0,"",I5-L5)</x:f>
        <x:v>7211869.451975329</x:v>
      </x:c>
      <x:c r="N5" s="32" t="n">
        <x:f>IF(L5=0,"",I5/L5)</x:f>
        <x:v>3.42840548900882</x:v>
      </x:c>
      <x:c r="O5" s="34" t="n">
        <x:f>IF(L5=0,"",M5/L5)</x:f>
        <x:v>2.42840548900882</x:v>
      </x:c>
    </x:row>
    <x:row r="6" ht="18" customHeight="1">
      <x:c r="A6" s="24" t="str">
        <x:v>Sharks &amp; rays</x:v>
      </x:c>
      <x:c r="B6" s="33" t="n">
        <x:v>8</x:v>
      </x:c>
      <x:c r="C6" s="33" t="n">
        <x:v>8</x:v>
      </x:c>
      <x:c r="D6" s="31" t="n">
        <x:v>9022.8547252762</x:v>
      </x:c>
      <x:c r="E6" s="31" t="n">
        <x:v>9022.8547252762</x:v>
      </x:c>
      <x:c r="F6" s="32" t="n">
        <x:v>0</x:v>
      </x:c>
      <x:c r="G6" s="34" t="n">
        <x:v>1</x:v>
      </x:c>
      <x:c r="H6" s="32" t="n">
        <x:f>IF(E6=0,"",I6/E6)</x:f>
        <x:v>2105.7306665558563</x:v>
      </x:c>
      <x:c r="I6" s="31" t="n">
        <x:f>IF(C6=0,"",SUMIF('Species'!$H$2:$H$165,A6,'Species'!$U$2:$U$165))</x:f>
        <x:v>18999701.89489251</x:v>
      </x:c>
      <x:c r="J6" s="32" t="n">
        <x:v>4.297634777768753</x:v>
      </x:c>
      <x:c r="K6" s="32" t="n">
        <x:f>IF(J6="","",(1/'Metadata'!$B$5)^(J6-1))</x:f>
        <x:v>1984.425402471293</x:v>
      </x:c>
      <x:c r="L6" s="31" t="n">
        <x:f>IF(E6=0,"",E6*K6)</x:f>
        <x:v>17905182.11964623</x:v>
      </x:c>
      <x:c r="M6" s="31" t="n">
        <x:f>IF(E6=0,"",I6-L6)</x:f>
        <x:v>1094519.7752462812</x:v>
      </x:c>
      <x:c r="N6" s="32" t="n">
        <x:f>IF(L6=0,"",I6/L6)</x:f>
        <x:v>1.0611286591743367</x:v>
      </x:c>
      <x:c r="O6" s="34" t="n">
        <x:f>IF(L6=0,"",M6/L6)</x:f>
        <x:v>0.06112865917433666</x:v>
      </x:c>
    </x:row>
    <x:row r="7" ht="18" customHeight="1">
      <x:c r="A7" s="24" t="str">
        <x:v>Tuna &amp; billfishes</x:v>
      </x:c>
      <x:c r="B7" s="33" t="n">
        <x:v>9</x:v>
      </x:c>
      <x:c r="C7" s="33" t="n">
        <x:v>9</x:v>
      </x:c>
      <x:c r="D7" s="31" t="n">
        <x:v>204934.9665660376</x:v>
      </x:c>
      <x:c r="E7" s="31" t="n">
        <x:v>204934.9665660376</x:v>
      </x:c>
      <x:c r="F7" s="32" t="n">
        <x:v>0</x:v>
      </x:c>
      <x:c r="G7" s="34" t="n">
        <x:v>1</x:v>
      </x:c>
      <x:c r="H7" s="32" t="n">
        <x:f>IF(E7=0,"",I7/E7)</x:f>
        <x:v>2670.0911755359966</x:v>
      </x:c>
      <x:c r="I7" s="31" t="n">
        <x:f>IF(C7=0,"",SUMIF('Species'!$H$2:$H$165,A7,'Species'!$U$2:$U$165))</x:f>
        <x:v>547195045.7867415</x:v>
      </x:c>
      <x:c r="J7" s="32" t="n">
        <x:v>4.4256200701296695</x:v>
      </x:c>
      <x:c r="K7" s="32" t="n">
        <x:f>IF(J7="","",(1/'Metadata'!$B$5)^(J7-1))</x:f>
        <x:v>2664.5266611335946</x:v>
      </x:c>
      <x:c r="L7" s="31" t="n">
        <x:f>IF(E7=0,"",E7*K7)</x:f>
        <x:v>546054682.213729</x:v>
      </x:c>
      <x:c r="M7" s="31" t="n">
        <x:f>IF(E7=0,"",I7-L7)</x:f>
        <x:v>1140363.5730124712</x:v>
      </x:c>
      <x:c r="N7" s="32" t="n">
        <x:f>IF(L7=0,"",I7/L7)</x:f>
        <x:v>1.002088368821213</x:v>
      </x:c>
      <x:c r="O7" s="34" t="n">
        <x:f>IF(L7=0,"",M7/L7)</x:f>
        <x:v>0.002088368821212902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d051b8ce1fd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19.999999998</x:v>
      </x:c>
      <x:c r="E2" s="31" t="n">
        <x:v>19.999999998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IF(C2=0,"",SUMIF('Species'!$G$2:$G$165,A2,'Species'!$U$2:$U$165))</x:f>
        <x:v>12619.146888341946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12619.146888341946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3</x:v>
      </x:c>
      <x:c r="C3" s="33" t="n">
        <x:v>3</x:v>
      </x:c>
      <x:c r="D3" s="31" t="n">
        <x:v>0.0009670249999999999</x:v>
      </x:c>
      <x:c r="E3" s="31" t="n">
        <x:v>0.0009670249999999999</x:v>
      </x:c>
      <x:c r="F3" s="32" t="n">
        <x:v>0</x:v>
      </x:c>
      <x:c r="G3" s="34" t="n">
        <x:v>1</x:v>
      </x:c>
      <x:c r="H3" s="32" t="n">
        <x:f>IF(E3=0,"",I3/E3)</x:f>
        <x:v>2732.5907643481505</x:v>
      </x:c>
      <x:c r="I3" s="31" t="n">
        <x:f>IF(C3=0,"",SUMIF('Species'!$G$2:$G$165,A3,'Species'!$U$2:$U$165))</x:f>
        <x:v>2.64248358389377</x:v>
      </x:c>
      <x:c r="J3" s="32" t="n">
        <x:v>4.251988314676455</x:v>
      </x:c>
      <x:c r="K3" s="32" t="n">
        <x:f>IF(J3="","",(1/'Metadata'!$B$5)^(J3-1))</x:f>
        <x:v>1786.4395074568902</x:v>
      </x:c>
      <x:c r="L3" s="31" t="n">
        <x:f>IF(E3=0,"",E3*K3)</x:f>
        <x:v>1.727531664698499</x:v>
      </x:c>
      <x:c r="M3" s="31" t="n">
        <x:f>IF(E3=0,"",I3-L3)</x:f>
        <x:v>0.9149519191952711</x:v>
      </x:c>
      <x:c r="N3" s="32" t="n">
        <x:f>IF(L3=0,"",I3/L3)</x:f>
        <x:v>1.5296296084708554</x:v>
      </x:c>
      <x:c r="O3" s="34" t="n">
        <x:f>IF(L3=0,"",M3/L3)</x:f>
        <x:v>0.5296296084708554</x:v>
      </x:c>
    </x:row>
    <x:row r="4" ht="18" customHeight="1">
      <x:c r="A4" s="24" t="str">
        <x:v>Large pelagics (&gt;=90 cm)</x:v>
      </x:c>
      <x:c r="B4" s="33" t="n">
        <x:v>15</x:v>
      </x:c>
      <x:c r="C4" s="33" t="n">
        <x:v>15</x:v>
      </x:c>
      <x:c r="D4" s="31" t="n">
        <x:v>206759.89808296156</x:v>
      </x:c>
      <x:c r="E4" s="31" t="n">
        <x:v>206759.89808296156</x:v>
      </x:c>
      <x:c r="F4" s="32" t="n">
        <x:v>0</x:v>
      </x:c>
      <x:c r="G4" s="34" t="n">
        <x:v>1</x:v>
      </x:c>
      <x:c r="H4" s="32" t="n">
        <x:f>IF(E4=0,"",I4/E4)</x:f>
        <x:v>2667.0467897143903</x:v>
      </x:c>
      <x:c r="I4" s="31" t="n">
        <x:f>IF(C4=0,"",SUMIF('Species'!$G$2:$G$165,A4,'Species'!$U$2:$U$165))</x:f>
        <x:v>551438322.4238372</x:v>
      </x:c>
      <x:c r="J4" s="32" t="n">
        <x:v>4.4250938739493755</x:v>
      </x:c>
      <x:c r="K4" s="32" t="n">
        <x:f>IF(J4="","",(1/'Metadata'!$B$5)^(J4-1))</x:f>
        <x:v>2661.300245016343</x:v>
      </x:c>
      <x:c r="L4" s="31" t="n">
        <x:f>IF(E4=0,"",E4*K4)</x:f>
        <x:v>550250167.4277397</x:v>
      </x:c>
      <x:c r="M4" s="31" t="n">
        <x:f>IF(E4=0,"",I4-L4)</x:f>
        <x:v>1188154.9960974455</x:v>
      </x:c>
      <x:c r="N4" s="32" t="n">
        <x:f>IF(L4=0,"",I4/L4)</x:f>
        <x:v>1.0021592996539224</x:v>
      </x:c>
      <x:c r="O4" s="34" t="n">
        <x:f>IF(L4=0,"",M4/L4)</x:f>
        <x:v>0.0021592996539223715</x:v>
      </x:c>
    </x:row>
    <x:row r="5" ht="18" customHeight="1">
      <x:c r="A5" s="24" t="str">
        <x:v>Large reef assoc. fish (&gt;=90 cm)</x:v>
      </x:c>
      <x:c r="B5" s="33" t="n">
        <x:v>12</x:v>
      </x:c>
      <x:c r="C5" s="33" t="n">
        <x:v>12</x:v>
      </x:c>
      <x:c r="D5" s="31" t="n">
        <x:v>157.362477942</x:v>
      </x:c>
      <x:c r="E5" s="31" t="n">
        <x:v>157.362477942</x:v>
      </x:c>
      <x:c r="F5" s="32" t="n">
        <x:v>0</x:v>
      </x:c>
      <x:c r="G5" s="34" t="n">
        <x:v>1</x:v>
      </x:c>
      <x:c r="H5" s="32" t="n">
        <x:f>IF(E5=0,"",I5/E5)</x:f>
        <x:v>2226.190227838885</x:v>
      </x:c>
      <x:c r="I5" s="31" t="n">
        <x:f>IF(C5=0,"",SUMIF('Species'!$G$2:$G$165,A5,'Species'!$U$2:$U$165))</x:f>
        <x:v>350318.8106229925</x:v>
      </x:c>
      <x:c r="J5" s="32" t="n">
        <x:v>4.306725770425528</x:v>
      </x:c>
      <x:c r="K5" s="32" t="n">
        <x:f>IF(J5="","",(1/'Metadata'!$B$5)^(J5-1))</x:f>
        <x:v>2026.4027699156247</x:v>
      </x:c>
      <x:c r="L5" s="31" t="n">
        <x:f>IF(E5=0,"",E5*K5)</x:f>
        <x:v>318879.7611824552</x:v>
      </x:c>
      <x:c r="M5" s="31" t="n">
        <x:f>IF(E5=0,"",I5-L5)</x:f>
        <x:v>31439.049440537347</x:v>
      </x:c>
      <x:c r="N5" s="32" t="n">
        <x:f>IF(L5=0,"",I5/L5)</x:f>
        <x:v>1.0985921756964334</x:v>
      </x:c>
      <x:c r="O5" s="34" t="n">
        <x:f>IF(L5=0,"",M5/L5)</x:f>
        <x:v>0.09859217569643342</x:v>
      </x:c>
    </x:row>
    <x:row r="6" ht="18" customHeight="1">
      <x:c r="A6" s="24" t="str">
        <x:v>Large sharks (&gt;=90 cm)</x:v>
      </x:c>
      <x:c r="B6" s="33" t="n">
        <x:v>8</x:v>
      </x:c>
      <x:c r="C6" s="33" t="n">
        <x:v>8</x:v>
      </x:c>
      <x:c r="D6" s="31" t="n">
        <x:v>9022.8547252762</x:v>
      </x:c>
      <x:c r="E6" s="31" t="n">
        <x:v>9022.8547252762</x:v>
      </x:c>
      <x:c r="F6" s="32" t="n">
        <x:v>0</x:v>
      </x:c>
      <x:c r="G6" s="34" t="n">
        <x:v>1</x:v>
      </x:c>
      <x:c r="H6" s="32" t="n">
        <x:f>IF(E6=0,"",I6/E6)</x:f>
        <x:v>2105.7306665558563</x:v>
      </x:c>
      <x:c r="I6" s="31" t="n">
        <x:f>IF(C6=0,"",SUMIF('Species'!$G$2:$G$165,A6,'Species'!$U$2:$U$165))</x:f>
        <x:v>18999701.89489251</x:v>
      </x:c>
      <x:c r="J6" s="32" t="n">
        <x:v>4.297634777768753</x:v>
      </x:c>
      <x:c r="K6" s="32" t="n">
        <x:f>IF(J6="","",(1/'Metadata'!$B$5)^(J6-1))</x:f>
        <x:v>1984.425402471293</x:v>
      </x:c>
      <x:c r="L6" s="31" t="n">
        <x:f>IF(E6=0,"",E6*K6)</x:f>
        <x:v>17905182.11964623</x:v>
      </x:c>
      <x:c r="M6" s="31" t="n">
        <x:f>IF(E6=0,"",I6-L6)</x:f>
        <x:v>1094519.7752462812</x:v>
      </x:c>
      <x:c r="N6" s="32" t="n">
        <x:f>IF(L6=0,"",I6/L6)</x:f>
        <x:v>1.0611286591743367</x:v>
      </x:c>
      <x:c r="O6" s="34" t="n">
        <x:f>IF(L6=0,"",M6/L6)</x:f>
        <x:v>0.06112865917433666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24.999999998</x:v>
      </x:c>
      <x:c r="E7" s="31" t="n">
        <x:v>24.999999998</x:v>
      </x:c>
      <x:c r="F7" s="32" t="n">
        <x:v>0</x:v>
      </x:c>
      <x:c r="G7" s="34" t="n">
        <x:v>1</x:v>
      </x:c>
      <x:c r="H7" s="32" t="n">
        <x:f>IF(E7=0,"",I7/E7)</x:f>
        <x:v>61.43074140937354</x:v>
      </x:c>
      <x:c r="I7" s="31" t="n">
        <x:f>IF(C7=0,"",SUMIF('Species'!$G$2:$G$165,A7,'Species'!$U$2:$U$165))</x:f>
        <x:v>1535.768535111477</x:v>
      </x:c>
      <x:c r="J7" s="32" t="n">
        <x:v>2.7140000000091202</x:v>
      </x:c>
      <x:c r="K7" s="32" t="n">
        <x:f>IF(J7="","",(1/'Metadata'!$B$5)^(J7-1))</x:f>
        <x:v>51.760683196143745</x:v>
      </x:c>
      <x:c r="L7" s="31" t="n">
        <x:f>IF(E7=0,"",E7*K7)</x:f>
        <x:v>1294.0170798000722</x:v>
      </x:c>
      <x:c r="M7" s="31" t="n">
        <x:f>IF(E7=0,"",I7-L7)</x:f>
        <x:v>241.7514553114047</x:v>
      </x:c>
      <x:c r="N7" s="32" t="n">
        <x:f>IF(L7=0,"",I7/L7)</x:f>
        <x:v>1.186822460912769</x:v>
      </x:c>
      <x:c r="O7" s="34" t="n">
        <x:f>IF(L7=0,"",M7/L7)</x:f>
        <x:v>0.18682246091276916</x:v>
      </x:c>
    </x:row>
    <x:row r="8" ht="18" customHeight="1">
      <x:c r="A8" s="24" t="str">
        <x:v>Medium benthopelagics (30 - 89 cm)</x:v>
      </x:c>
      <x:c r="B8" s="33" t="n">
        <x:v>1</x:v>
      </x:c>
      <x:c r="C8" s="33" t="n">
        <x:v>1</x:v>
      </x:c>
      <x:c r="D8" s="31" t="n">
        <x:v>0.000369755</x:v>
      </x:c>
      <x:c r="E8" s="31" t="n">
        <x:v>0.000369755</x:v>
      </x:c>
      <x:c r="F8" s="32" t="n">
        <x:v>0</x:v>
      </x:c>
      <x:c r="G8" s="34" t="n">
        <x:v>1</x:v>
      </x:c>
      <x:c r="H8" s="32" t="n">
        <x:f>IF(E8=0,"",I8/E8)</x:f>
        <x:v>602.5595860743575</x:v>
      </x:c>
      <x:c r="I8" s="31" t="n">
        <x:f>IF(C8=0,"",SUMIF('Species'!$G$2:$G$165,A8,'Species'!$U$2:$U$165))</x:f>
        <x:v>0.22279941974892406</x:v>
      </x:c>
      <x:c r="J8" s="32" t="n">
        <x:v>3.7800000000000002</x:v>
      </x:c>
      <x:c r="K8" s="32" t="n">
        <x:f>IF(J8="","",(1/'Metadata'!$B$5)^(J8-1))</x:f>
        <x:v>602.5595860743581</x:v>
      </x:c>
      <x:c r="L8" s="31" t="n">
        <x:f>IF(E8=0,"",E8*K8)</x:f>
        <x:v>0.22279941974892428</x:v>
      </x:c>
      <x:c r="M8" s="31" t="n">
        <x:f>IF(E8=0,"",I8-L8)</x:f>
        <x:v>-2.220446049250313e-16</x:v>
      </x:c>
      <x:c r="N8" s="32" t="n">
        <x:f>IF(L8=0,"",I8/L8)</x:f>
        <x:v>0.999999999999999</x:v>
      </x:c>
      <x:c r="O8" s="34" t="n">
        <x:f>IF(L8=0,"",M8/L8)</x:f>
        <x:v>-9.966121329007787e-16</x:v>
      </x:c>
    </x:row>
    <x:row r="9" ht="18" customHeight="1">
      <x:c r="A9" s="24" t="str">
        <x:v>Medium demersals (30 - 89 cm)</x:v>
      </x:c>
      <x:c r="B9" s="33" t="n">
        <x:v>6</x:v>
      </x:c>
      <x:c r="C9" s="33" t="n">
        <x:v>6</x:v>
      </x:c>
      <x:c r="D9" s="31" t="n">
        <x:v>4303.4598486962</x:v>
      </x:c>
      <x:c r="E9" s="31" t="n">
        <x:v>4303.4598486962</x:v>
      </x:c>
      <x:c r="F9" s="32" t="n">
        <x:v>0</x:v>
      </x:c>
      <x:c r="G9" s="34" t="n">
        <x:v>1</x:v>
      </x:c>
      <x:c r="H9" s="32" t="n">
        <x:f>IF(E9=0,"",I9/E9)</x:f>
        <x:v>193.15636913190804</x:v>
      </x:c>
      <x:c r="I9" s="31" t="n">
        <x:f>IF(C9=0,"",SUMIF('Species'!$G$2:$G$165,A9,'Species'!$U$2:$U$165))</x:f>
        <x:v>831240.6790791084</x:v>
      </x:c>
      <x:c r="J9" s="32" t="n">
        <x:v>3.282635817626683</x:v>
      </x:c>
      <x:c r="K9" s="32" t="n">
        <x:f>IF(J9="","",(1/'Metadata'!$B$5)^(J9-1))</x:f>
        <x:v>191.70604944772018</x:v>
      </x:c>
      <x:c r="L9" s="31" t="n">
        <x:f>IF(E9=0,"",E9*K9)</x:f>
        <x:v>824999.2865504322</x:v>
      </x:c>
      <x:c r="M9" s="31" t="n">
        <x:f>IF(E9=0,"",I9-L9)</x:f>
        <x:v>6241.392528676195</x:v>
      </x:c>
      <x:c r="N9" s="32" t="n">
        <x:f>IF(L9=0,"",I9/L9)</x:f>
        <x:v>1.0075653308195858</x:v>
      </x:c>
      <x:c r="O9" s="34" t="n">
        <x:f>IF(L9=0,"",M9/L9)</x:f>
        <x:v>0.007565330819585695</x:v>
      </x:c>
    </x:row>
    <x:row r="10" ht="18" customHeight="1">
      <x:c r="A10" s="24" t="str">
        <x:v>Medium pelagics (30 - 89 cm)</x:v>
      </x:c>
      <x:c r="B10" s="33" t="n">
        <x:v>6</x:v>
      </x:c>
      <x:c r="C10" s="33" t="n">
        <x:v>6</x:v>
      </x:c>
      <x:c r="D10" s="31" t="n">
        <x:v>3633.3873353177005</x:v>
      </x:c>
      <x:c r="E10" s="31" t="n">
        <x:v>3633.3873353177005</x:v>
      </x:c>
      <x:c r="F10" s="32" t="n">
        <x:v>0</x:v>
      </x:c>
      <x:c r="G10" s="34" t="n">
        <x:v>1</x:v>
      </x:c>
      <x:c r="H10" s="32" t="n">
        <x:f>IF(E10=0,"",I10/E10)</x:f>
        <x:v>1319.1806255449283</x:v>
      </x:c>
      <x:c r="I10" s="31" t="n">
        <x:f>IF(C10=0,"",SUMIF('Species'!$G$2:$G$165,A10,'Species'!$U$2:$U$165))</x:f>
        <x:v>4793094.177851425</x:v>
      </x:c>
      <x:c r="J10" s="32" t="n">
        <x:v>4.012023371829606</x:v>
      </x:c>
      <x:c r="K10" s="32" t="n">
        <x:f>IF(J10="","",(1/'Metadata'!$B$5)^(J10-1))</x:f>
        <x:v>1028.0716229562122</x:v>
      </x:c>
      <x:c r="L10" s="31" t="n">
        <x:f>IF(E10=0,"",E10*K10)</x:f>
        <x:v>3735382.4146486153</x:v>
      </x:c>
      <x:c r="M10" s="31" t="n">
        <x:f>IF(E10=0,"",I10-L10)</x:f>
        <x:v>1057711.7632028093</x:v>
      </x:c>
      <x:c r="N10" s="32" t="n">
        <x:f>IF(L10=0,"",I10/L10)</x:f>
        <x:v>1.2831602352291707</x:v>
      </x:c>
      <x:c r="O10" s="34" t="n">
        <x:f>IF(L10=0,"",M10/L10)</x:f>
        <x:v>0.2831602352291706</x:v>
      </x:c>
    </x:row>
    <x:row r="11" ht="18" customHeight="1">
      <x:c r="A11" s="24" t="str">
        <x:v>Medium reef assoc. fish (30 - 89 cm)</x:v>
      </x:c>
      <x:c r="B11" s="33" t="n">
        <x:v>85</x:v>
      </x:c>
      <x:c r="C11" s="33" t="n">
        <x:v>85</x:v>
      </x:c>
      <x:c r="D11" s="31" t="n">
        <x:v>2752.081631735901</x:v>
      </x:c>
      <x:c r="E11" s="31" t="n">
        <x:v>2752.081631735901</x:v>
      </x:c>
      <x:c r="F11" s="32" t="n">
        <x:v>0</x:v>
      </x:c>
      <x:c r="G11" s="34" t="n">
        <x:v>1</x:v>
      </x:c>
      <x:c r="H11" s="32" t="n">
        <x:f>IF(E11=0,"",I11/E11)</x:f>
        <x:v>356.1199640266381</x:v>
      </x:c>
      <x:c r="I11" s="31" t="n">
        <x:f>IF(C11=0,"",SUMIF('Species'!$G$2:$G$165,A11,'Species'!$U$2:$U$165))</x:f>
        <x:v>980071.2116921605</x:v>
      </x:c>
      <x:c r="J11" s="32" t="n">
        <x:v>2.645237209953201</x:v>
      </x:c>
      <x:c r="K11" s="32" t="n">
        <x:f>IF(J11="","",(1/'Metadata'!$B$5)^(J11-1))</x:f>
        <x:v>44.18116972893713</x:v>
      </x:c>
      <x:c r="L11" s="31" t="n">
        <x:f>IF(E11=0,"",E11*K11)</x:f>
        <x:v>121590.18567961408</x:v>
      </x:c>
      <x:c r="M11" s="31" t="n">
        <x:f>IF(E11=0,"",I11-L11)</x:f>
        <x:v>858481.0260125464</x:v>
      </x:c>
      <x:c r="N11" s="32" t="n">
        <x:f>IF(L11=0,"",I11/L11)</x:f>
        <x:v>8.060446706402885</x:v>
      </x:c>
      <x:c r="O11" s="34" t="n">
        <x:f>IF(L11=0,"",M11/L11)</x:f>
        <x:v>7.060446706402884</x:v>
      </x:c>
    </x:row>
    <x:row r="12" ht="18" customHeight="1">
      <x:c r="A12" s="24" t="str">
        <x:v>Other demersal invertebrates</x:v>
      </x:c>
      <x:c r="B12" s="33" t="n">
        <x:v>1</x:v>
      </x:c>
      <x:c r="C12" s="33" t="n">
        <x:v>1</x:v>
      </x:c>
      <x:c r="D12" s="31" t="n">
        <x:v>150.000000003</x:v>
      </x:c>
      <x:c r="E12" s="31" t="n">
        <x:v>150.000000003</x:v>
      </x:c>
      <x:c r="F12" s="32" t="n">
        <x:v>0</x:v>
      </x:c>
      <x:c r="G12" s="34" t="n">
        <x:v>1</x:v>
      </x:c>
      <x:c r="H12" s="32" t="n">
        <x:f>IF(E12=0,"",I12/E12)</x:f>
        <x:v>12.589254117941675</x:v>
      </x:c>
      <x:c r="I12" s="31" t="n">
        <x:f>IF(C12=0,"",SUMIF('Species'!$G$2:$G$165,A12,'Species'!$U$2:$U$165))</x:f>
        <x:v>1888.3881177290189</x:v>
      </x:c>
      <x:c r="J12" s="32" t="n">
        <x:v>2.1</x:v>
      </x:c>
      <x:c r="K12" s="32" t="n">
        <x:f>IF(J12="","",(1/'Metadata'!$B$5)^(J12-1))</x:f>
        <x:v>12.589254117941675</x:v>
      </x:c>
      <x:c r="L12" s="31" t="n">
        <x:f>IF(E12=0,"",E12*K12)</x:f>
        <x:v>1888.3881177290189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pelagics (&lt;30 cm)</x:v>
      </x:c>
      <x:c r="B13" s="33" t="n">
        <x:v>2</x:v>
      </x:c>
      <x:c r="C13" s="33" t="n">
        <x:v>2</x:v>
      </x:c>
      <x:c r="D13" s="31" t="n">
        <x:v>0.000868698</x:v>
      </x:c>
      <x:c r="E13" s="31" t="n">
        <x:v>0.000868698</x:v>
      </x:c>
      <x:c r="F13" s="32" t="n">
        <x:v>0</x:v>
      </x:c>
      <x:c r="G13" s="34" t="n">
        <x:v>1</x:v>
      </x:c>
      <x:c r="H13" s="32" t="n">
        <x:f>IF(E13=0,"",I13/E13)</x:f>
        <x:v>124.45999177159348</x:v>
      </x:c>
      <x:c r="I13" s="31" t="n">
        <x:f>IF(C13=0,"",SUMIF('Species'!$G$2:$G$165,A13,'Species'!$U$2:$U$165))</x:f>
        <x:v>0.10811814593199971</x:v>
      </x:c>
      <x:c r="J13" s="32" t="n">
        <x:v>3.0653515260769564</x:v>
      </x:c>
      <x:c r="K13" s="32" t="n">
        <x:f>IF(J13="","",(1/'Metadata'!$B$5)^(J13-1))</x:f>
        <x:v>116.23890926420349</x:v>
      </x:c>
      <x:c r="L13" s="31" t="n">
        <x:f>IF(E13=0,"",E13*K13)</x:f>
        <x:v>0.10097650799999504</x:v>
      </x:c>
      <x:c r="M13" s="31" t="n">
        <x:f>IF(E13=0,"",I13-L13)</x:f>
        <x:v>0.007141637932004674</x:v>
      </x:c>
      <x:c r="N13" s="32" t="n">
        <x:f>IF(L13=0,"",I13/L13)</x:f>
        <x:v>1.0707257368417318</x:v>
      </x:c>
      <x:c r="O13" s="34" t="n">
        <x:f>IF(L13=0,"",M13/L13)</x:f>
        <x:v>0.07072573684173179</x:v>
      </x:c>
    </x:row>
    <x:row r="14" ht="18" customHeight="1">
      <x:c r="A14" s="24" t="str">
        <x:v>Small reef assoc. fish (&lt;30 cm)</x:v>
      </x:c>
      <x:c r="B14" s="33" t="n">
        <x:v>22</x:v>
      </x:c>
      <x:c r="C14" s="33" t="n">
        <x:v>22</x:v>
      </x:c>
      <x:c r="D14" s="31" t="n">
        <x:v>678.4431564244001</x:v>
      </x:c>
      <x:c r="E14" s="31" t="n">
        <x:v>678.4431564244001</x:v>
      </x:c>
      <x:c r="F14" s="32" t="n">
        <x:v>0</x:v>
      </x:c>
      <x:c r="G14" s="34" t="n">
        <x:v>1</x:v>
      </x:c>
      <x:c r="H14" s="32" t="n">
        <x:f>IF(E14=0,"",I14/E14)</x:f>
        <x:v>50.87569955726393</x:v>
      </x:c>
      <x:c r="I14" s="31" t="n">
        <x:f>IF(C14=0,"",SUMIF('Species'!$G$2:$G$165,A14,'Species'!$U$2:$U$165))</x:f>
        <x:v>34516.270192929594</x:v>
      </x:c>
      <x:c r="J14" s="32" t="n">
        <x:v>2.2903290561203837</x:v>
      </x:c>
      <x:c r="K14" s="32" t="n">
        <x:f>IF(J14="","",(1/'Metadata'!$B$5)^(J14-1))</x:f>
        <x:v>19.51322517287029</x:v>
      </x:c>
      <x:c r="L14" s="31" t="n">
        <x:f>IF(E14=0,"",E14*K14)</x:f>
        <x:v>13238.614078302178</x:v>
      </x:c>
      <x:c r="M14" s="31" t="n">
        <x:f>IF(E14=0,"",I14-L14)</x:f>
        <x:v>21277.656114627418</x:v>
      </x:c>
      <x:c r="N14" s="32" t="n">
        <x:f>IF(L14=0,"",I14/L14)</x:f>
        <x:v>2.6072419657206463</x:v>
      </x:c>
      <x:c r="O14" s="34" t="n">
        <x:f>IF(L14=0,"",M14/L14)</x:f>
        <x:v>1.6072419657206465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9d9664babf547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EEZ_583</x:v>
      </x:c>
      <x:c r="B2" s="24" t="str">
        <x:v>raw_filtered_tonnes</x:v>
      </x:c>
      <x:c r="C2" s="24" t="n">
        <x:v>227502.489463831</x:v>
      </x:c>
      <x:c r="D2" s="24" t="str">
        <x:v>tonnes</x:v>
      </x:c>
    </x:row>
    <x:row r="3" ht="18" customHeight="1">
      <x:c r="A3" s="24" t="str">
        <x:v>EEZ_583</x:v>
      </x:c>
      <x:c r="B3" s="24" t="str">
        <x:v>species_catch_tonnes</x:v>
      </x:c>
      <x:c r="C3" s="24" t="n">
        <x:v>227502.48946383104</x:v>
      </x:c>
      <x:c r="D3" s="24" t="str">
        <x:v>tonnes</x:v>
      </x:c>
    </x:row>
    <x:row r="4" ht="18" customHeight="1">
      <x:c r="A4" s="24" t="str">
        <x:v>EEZ_583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EEZ_583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EEZ_583</x:v>
      </x:c>
      <x:c r="B6" s="24" t="str">
        <x:v>matched_catch_tonnes</x:v>
      </x:c>
      <x:c r="C6" s="24" t="n">
        <x:v>227502.48946383104</x:v>
      </x:c>
      <x:c r="D6" s="24" t="str">
        <x:v>tonnes</x:v>
      </x:c>
    </x:row>
    <x:row r="7" ht="18" customHeight="1">
      <x:c r="A7" s="24" t="str">
        <x:v>EEZ_583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EEZ_583</x:v>
      </x:c>
      <x:c r="B8" s="24" t="str">
        <x:v>taxa_count</x:v>
      </x:c>
      <x:c r="C8" s="24" t="n">
        <x:v>164</x:v>
      </x:c>
      <x:c r="D8" s="24" t="str">
        <x:v>count</x:v>
      </x:c>
    </x:row>
    <x:row r="9" ht="18" customHeight="1">
      <x:c r="A9" s="24" t="str">
        <x:v>EEZ_583</x:v>
      </x:c>
      <x:c r="B9" s="24" t="str">
        <x:v>matched_taxa_count</x:v>
      </x:c>
      <x:c r="C9" s="24" t="n">
        <x:v>164</x:v>
      </x:c>
      <x:c r="D9" s="24" t="str">
        <x:v>count</x:v>
      </x:c>
    </x:row>
    <x:row r="10" ht="18" customHeight="1">
      <x:c r="A10" s="24" t="str">
        <x:v>EEZ_583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EEZ_583</x:v>
      </x:c>
      <x:c r="B11" s="24" t="str">
        <x:v>species_ppr</x:v>
      </x:c>
      <x:c r="C11" s="24" t="n">
        <x:v>577443311.7451106</x:v>
      </x:c>
      <x:c r="D11" s="24" t="str">
        <x:v>tonnes_primary_production_equivalent</x:v>
      </x:c>
    </x:row>
    <x:row r="12" ht="18" customHeight="1">
      <x:c r="A12" s="24" t="str">
        <x:v>EEZ_583</x:v>
      </x:c>
      <x:c r="B12" s="24" t="str">
        <x:v>commercial_ppr</x:v>
      </x:c>
      <x:c r="C12" s="24" t="n">
        <x:v>577443311.7451108</x:v>
      </x:c>
      <x:c r="D12" s="24" t="str">
        <x:v>tonnes_primary_production_equivalent</x:v>
      </x:c>
    </x:row>
    <x:row r="13" ht="18" customHeight="1">
      <x:c r="A13" s="24" t="str">
        <x:v>EEZ_583</x:v>
      </x:c>
      <x:c r="B13" s="24" t="str">
        <x:v>functional_ppr</x:v>
      </x:c>
      <x:c r="C13" s="24" t="n">
        <x:v>577443311.745111</x:v>
      </x:c>
      <x:c r="D13" s="24" t="str">
        <x:v>tonnes_primary_production_equivalent</x:v>
      </x:c>
    </x:row>
    <x:row r="14" ht="18" customHeight="1">
      <x:c r="A14" s="24" t="str">
        <x:v>EEZ_583</x:v>
      </x:c>
      <x:c r="B14" s="24" t="str">
        <x:v>commercial_ppr_difference</x:v>
      </x:c>
      <x:c r="C14" s="24" t="n">
        <x:v>1.1920928955078125e-7</x:v>
      </x:c>
      <x:c r="D14" s="24" t="str">
        <x:v>tonnes_primary_production_equivalent</x:v>
      </x:c>
    </x:row>
    <x:row r="15" ht="18" customHeight="1">
      <x:c r="A15" s="24" t="str">
        <x:v>EEZ_583</x:v>
      </x:c>
      <x:c r="B15" s="24" t="str">
        <x:v>functional_ppr_difference</x:v>
      </x:c>
      <x:c r="C15" s="24" t="n">
        <x:v>3.5762786865234375e-7</x:v>
      </x:c>
      <x:c r="D15" s="24" t="str">
        <x:v>tonnes_primary_production_equivalent</x:v>
      </x:c>
    </x:row>
    <x:row r="16" ht="18" customHeight="1">
      <x:c r="A16" s="24" t="str">
        <x:v>EEZ_583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EEZ_583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EEZ_583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EEZ_583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a13bb1d382a44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EEZ_583 - Micronesia (Federated States of)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EEZ_583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raw_data/SAU_downloads/EEZ_583-catch.zip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