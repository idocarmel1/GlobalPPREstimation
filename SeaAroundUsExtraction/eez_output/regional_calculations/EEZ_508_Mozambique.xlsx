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d72020beb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62cc0a0cda44f08"/>
    <x:sheet xmlns:r="http://schemas.openxmlformats.org/officeDocument/2006/relationships" name="Commercial" sheetId="2" r:id="R2c6a9a74e32a4ee5"/>
    <x:sheet xmlns:r="http://schemas.openxmlformats.org/officeDocument/2006/relationships" name="Functional" sheetId="3" r:id="R8c81d0d1df9d4b59"/>
    <x:sheet xmlns:r="http://schemas.openxmlformats.org/officeDocument/2006/relationships" name="Missing TL" sheetId="4" r:id="Rfbf49e034d204b3a"/>
    <x:sheet xmlns:r="http://schemas.openxmlformats.org/officeDocument/2006/relationships" name="Validation" sheetId="5" r:id="Rf688c009d814465f"/>
    <x:sheet xmlns:r="http://schemas.openxmlformats.org/officeDocument/2006/relationships" name="Metadata" sheetId="6" r:id="R71d4e8af0767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abaafc9e24963" /><Relationship Type="http://schemas.openxmlformats.org/officeDocument/2006/relationships/theme" Target="/xl/theme/theme1.xml" Id="Rc76493ccccdb41e1" /><Relationship Type="http://schemas.microsoft.com/office/2022/11/relationships/FeaturePropertyBag" Target="/xl/featurePropertyBag/featurePropertyBag.xml" Id="R00ab5c71eeb44126" /><Relationship Type="http://schemas.openxmlformats.org/officeDocument/2006/relationships/sharedStrings" Target="/xl/sharedStrings.xml" Id="R3daacb37f9b640bb" /><Relationship Type="http://schemas.openxmlformats.org/officeDocument/2006/relationships/worksheet" Target="/xl/worksheets/sheet1.xml" Id="Rb62cc0a0cda44f08" /><Relationship Type="http://schemas.openxmlformats.org/officeDocument/2006/relationships/worksheet" Target="/xl/worksheets/sheet2.xml" Id="R2c6a9a74e32a4ee5" /><Relationship Type="http://schemas.openxmlformats.org/officeDocument/2006/relationships/worksheet" Target="/xl/worksheets/sheet3.xml" Id="R8c81d0d1df9d4b59" /><Relationship Type="http://schemas.openxmlformats.org/officeDocument/2006/relationships/worksheet" Target="/xl/worksheets/sheet4.xml" Id="Rfbf49e034d204b3a" /><Relationship Type="http://schemas.openxmlformats.org/officeDocument/2006/relationships/worksheet" Target="/xl/worksheets/sheet5.xml" Id="Rf688c009d814465f" /><Relationship Type="http://schemas.openxmlformats.org/officeDocument/2006/relationships/worksheet" Target="/xl/worksheets/sheet6.xml" Id="R71d4e8af076744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08SpeciesTable" displayName="EEZ508SpeciesTable" ref="A1:U91" headerRowCount="1" totalsRowCount="0" totalsRowShown="0">
  <x:autoFilter ref="A1:U9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08CommercialTable" displayName="EEZ508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08FunctionalTable" displayName="EEZ508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08ValidationTable" displayName="EEZ50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2e4ed4bfac48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63fc3af3fc42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dfebc41a3b45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130f460ce548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EEZ_508</x:v>
      </x:c>
      <x:c r="B2" s="24" t="str">
        <x:v>Mozambique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77483.1972104484</x:v>
      </x:c>
      <x:c r="J2" s="31" t="n">
        <x:v>70732.1314174798</x:v>
      </x:c>
      <x:c r="K2" s="31" t="n">
        <x:v>6751.0657929686</x:v>
      </x:c>
      <x:c r="L2" s="31" t="n">
        <x:v>70732.1314174798</x:v>
      </x:c>
      <x:c r="M2" s="31" t="n">
        <x:v>6751.0657929686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14764118.858670883</x:v>
      </x:c>
    </x:row>
    <x:row r="3" ht="18" customHeight="1">
      <x:c r="A3" s="24" t="str">
        <x:v>EEZ_508</x:v>
      </x:c>
      <x:c r="B3" s="24" t="str">
        <x:v>Mozambique</x:v>
      </x:c>
      <x:c r="C3" s="24" t="str">
        <x:v>EEZ</x:v>
      </x:c>
      <x:c r="D3" s="30" t="n">
        <x:v>2019</x:v>
      </x:c>
      <x:c r="E3" s="24" t="str">
        <x:v>Carangidae</x:v>
      </x:c>
      <x:c r="F3" s="24" t="str">
        <x:v>Jacks, pompanos</x:v>
      </x:c>
      <x:c r="G3" s="24" t="str">
        <x:v>Medium pelagics (30 - 89 cm)</x:v>
      </x:c>
      <x:c r="H3" s="24" t="str">
        <x:v>Perch-likes</x:v>
      </x:c>
      <x:c r="I3" s="31" t="n">
        <x:v>30491.0715104</x:v>
      </x:c>
      <x:c r="J3" s="31" t="n">
        <x:v>30359.1300566</x:v>
      </x:c>
      <x:c r="K3" s="31" t="n">
        <x:v>131.9414538</x:v>
      </x:c>
      <x:c r="L3" s="31" t="n">
        <x:v>30359.1300566</x:v>
      </x:c>
      <x:c r="M3" s="31" t="n">
        <x:v>131.9414538</x:v>
      </x:c>
      <x:c r="N3" s="24" t="str">
        <x:v>carangidae</x:v>
      </x:c>
      <x:c r="O3" s="32" t="n">
        <x:v>4.05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Carangidae</x:v>
      </x:c>
      <x:c r="T3" s="32" t="n">
        <x:f>IF(O3="","",(1/'Metadata'!$B$5)^(O3-1))</x:f>
        <x:v>1122.018454301963</x:v>
      </x:c>
      <x:c r="U3" s="31" t="n">
        <x:f>IF(T3="","",I3*T3)</x:f>
        <x:v>34211544.92610963</x:v>
      </x:c>
    </x:row>
    <x:row r="4" ht="18" customHeight="1">
      <x:c r="A4" s="24" t="str">
        <x:v>EEZ_508</x:v>
      </x:c>
      <x:c r="B4" s="24" t="str">
        <x:v>Mozambique</x:v>
      </x:c>
      <x:c r="C4" s="24" t="str">
        <x:v>EEZ</x:v>
      </x:c>
      <x:c r="D4" s="30" t="n">
        <x:v>2019</x:v>
      </x:c>
      <x:c r="E4" s="24" t="str">
        <x:v>Clupeidae</x:v>
      </x:c>
      <x:c r="F4" s="24" t="str">
        <x:v>Herrings, sardines, menhadens</x:v>
      </x:c>
      <x:c r="G4" s="24" t="str">
        <x:v>Small pelagics (&lt;30 cm)</x:v>
      </x:c>
      <x:c r="H4" s="24" t="str">
        <x:v>Herring-likes</x:v>
      </x:c>
      <x:c r="I4" s="31" t="n">
        <x:v>28341.214489100003</x:v>
      </x:c>
      <x:c r="J4" s="31" t="n">
        <x:v>27842.035989</x:v>
      </x:c>
      <x:c r="K4" s="31" t="n">
        <x:v>499.1785001</x:v>
      </x:c>
      <x:c r="L4" s="31" t="n">
        <x:v>27842.035989</x:v>
      </x:c>
      <x:c r="M4" s="31" t="n">
        <x:v>499.1785001</x:v>
      </x:c>
      <x:c r="N4" s="24" t="str">
        <x:v>clupeidae</x:v>
      </x:c>
      <x:c r="O4" s="32" t="n">
        <x:v>3.16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Clupeidae</x:v>
      </x:c>
      <x:c r="T4" s="32" t="n">
        <x:f>IF(O4="","",(1/'Metadata'!$B$5)^(O4-1))</x:f>
        <x:v>144.5439770745928</x:v>
      </x:c>
      <x:c r="U4" s="31" t="n">
        <x:f>IF(T4="","",I4*T4)</x:f>
        <x:v>4096551.8573785876</x:v>
      </x:c>
    </x:row>
    <x:row r="5" ht="18" customHeight="1">
      <x:c r="A5" s="24" t="str">
        <x:v>EEZ_508</x:v>
      </x:c>
      <x:c r="B5" s="24" t="str">
        <x:v>Mozambique</x:v>
      </x:c>
      <x:c r="C5" s="24" t="str">
        <x:v>EEZ</x:v>
      </x:c>
      <x:c r="D5" s="30" t="n">
        <x:v>2019</x:v>
      </x:c>
      <x:c r="E5" s="24" t="str">
        <x:v>Engraulidae</x:v>
      </x:c>
      <x:c r="F5" s="24" t="str">
        <x:v>Anchovies, round herrings</x:v>
      </x:c>
      <x:c r="G5" s="24" t="str">
        <x:v>Small pelagics (&lt;30 cm)</x:v>
      </x:c>
      <x:c r="H5" s="24" t="str">
        <x:v>Anchovies</x:v>
      </x:c>
      <x:c r="I5" s="31" t="n">
        <x:v>22907.8113489</x:v>
      </x:c>
      <x:c r="J5" s="31" t="n">
        <x:v>22290.056893</x:v>
      </x:c>
      <x:c r="K5" s="31" t="n">
        <x:v>617.7544559</x:v>
      </x:c>
      <x:c r="L5" s="31" t="n">
        <x:v>22290.056893</x:v>
      </x:c>
      <x:c r="M5" s="31" t="n">
        <x:v>617.7544559</x:v>
      </x:c>
      <x:c r="N5" s="24" t="str">
        <x:v>engraulidae</x:v>
      </x:c>
      <x:c r="O5" s="32" t="n">
        <x:v>3.2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Engraulidae</x:v>
      </x:c>
      <x:c r="T5" s="32" t="n">
        <x:f>IF(O5="","",(1/'Metadata'!$B$5)^(O5-1))</x:f>
        <x:v>158.48931924611142</x:v>
      </x:c>
      <x:c r="U5" s="31" t="n">
        <x:f>IF(T5="","",I5*T5)</x:f>
        <x:v>3630643.4261055063</x:v>
      </x:c>
    </x:row>
    <x:row r="6" ht="18" customHeight="1">
      <x:c r="A6" s="24" t="str">
        <x:v>EEZ_508</x:v>
      </x:c>
      <x:c r="B6" s="24" t="str">
        <x:v>Mozambique</x:v>
      </x:c>
      <x:c r="C6" s="24" t="str">
        <x:v>EEZ</x:v>
      </x:c>
      <x:c r="D6" s="30" t="n">
        <x:v>2019</x:v>
      </x:c>
      <x:c r="E6" s="24" t="str">
        <x:v>Scombridae</x:v>
      </x:c>
      <x:c r="F6" s="24" t="str">
        <x:v>Mackerels, tunas, bonitos</x:v>
      </x:c>
      <x:c r="G6" s="24" t="str">
        <x:v>Medium pelagics (30 - 89 cm)</x:v>
      </x:c>
      <x:c r="H6" s="24" t="str">
        <x:v>Perch-likes</x:v>
      </x:c>
      <x:c r="I6" s="31" t="n">
        <x:v>20279.9187298038</x:v>
      </x:c>
      <x:c r="J6" s="31" t="n">
        <x:v>20279.9187298038</x:v>
      </x:c>
      <x:c r="K6" s="31" t="n">
        <x:v>0</x:v>
      </x:c>
      <x:c r="L6" s="31" t="n">
        <x:v>20279.9187298038</x:v>
      </x:c>
      <x:c r="M6" s="31" t="n">
        <x:v>0</x:v>
      </x:c>
      <x:c r="N6" s="24" t="str">
        <x:v>scombridae</x:v>
      </x:c>
      <x:c r="O6" s="32" t="n">
        <x:v>4.26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Scombridae</x:v>
      </x:c>
      <x:c r="T6" s="32" t="n">
        <x:f>IF(O6="","",(1/'Metadata'!$B$5)^(O6-1))</x:f>
        <x:v>1819.7008586099826</x:v>
      </x:c>
      <x:c r="U6" s="31" t="n">
        <x:f>IF(T6="","",I6*T6)</x:f>
        <x:v>36903385.52516464</x:v>
      </x:c>
    </x:row>
    <x:row r="7" ht="18" customHeight="1">
      <x:c r="A7" s="24" t="str">
        <x:v>EEZ_508</x:v>
      </x:c>
      <x:c r="B7" s="24" t="str">
        <x:v>Mozambique</x:v>
      </x:c>
      <x:c r="C7" s="24" t="str">
        <x:v>EEZ</x:v>
      </x:c>
      <x:c r="D7" s="30" t="n">
        <x:v>2019</x:v>
      </x:c>
      <x:c r="E7" s="24" t="str">
        <x:v>Sciaenidae</x:v>
      </x:c>
      <x:c r="F7" s="24" t="str">
        <x:v>Drums, croakers</x:v>
      </x:c>
      <x:c r="G7" s="24" t="str">
        <x:v>Medium demersals (30 - 89 cm)</x:v>
      </x:c>
      <x:c r="H7" s="24" t="str">
        <x:v>Perch-likes</x:v>
      </x:c>
      <x:c r="I7" s="31" t="n">
        <x:v>18900.6821576667</x:v>
      </x:c>
      <x:c r="J7" s="31" t="n">
        <x:v>13211.4542516667</x:v>
      </x:c>
      <x:c r="K7" s="31" t="n">
        <x:v>5689.227906</x:v>
      </x:c>
      <x:c r="L7" s="31" t="n">
        <x:v>13211.4542516667</x:v>
      </x:c>
      <x:c r="M7" s="31" t="n">
        <x:v>5689.227906</x:v>
      </x:c>
      <x:c r="N7" s="24" t="str">
        <x:v>sciaenidae</x:v>
      </x:c>
      <x:c r="O7" s="32" t="n">
        <x:v>3.76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Sciaenidae</x:v>
      </x:c>
      <x:c r="T7" s="32" t="n">
        <x:f>IF(O7="","",(1/'Metadata'!$B$5)^(O7-1))</x:f>
        <x:v>575.4399373371566</x:v>
      </x:c>
      <x:c r="U7" s="31" t="n">
        <x:f>IF(T7="","",I7*T7)</x:f>
        <x:v>10876207.35643724</x:v>
      </x:c>
    </x:row>
    <x:row r="8" ht="18" customHeight="1">
      <x:c r="A8" s="24" t="str">
        <x:v>EEZ_508</x:v>
      </x:c>
      <x:c r="B8" s="24" t="str">
        <x:v>Mozambique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13481.5745947</x:v>
      </x:c>
      <x:c r="J8" s="31" t="n">
        <x:v>12672.3336783</x:v>
      </x:c>
      <x:c r="K8" s="31" t="n">
        <x:v>809.2409164</x:v>
      </x:c>
      <x:c r="L8" s="31" t="n">
        <x:v>12672.3336783</x:v>
      </x:c>
      <x:c r="M8" s="31" t="n">
        <x:v>809.2409164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3088450.314737402</x:v>
      </x:c>
    </x:row>
    <x:row r="9" ht="18" customHeight="1">
      <x:c r="A9" s="24" t="str">
        <x:v>EEZ_508</x:v>
      </x:c>
      <x:c r="B9" s="24" t="str">
        <x:v>Mozambique</x:v>
      </x:c>
      <x:c r="C9" s="24" t="str">
        <x:v>EEZ</x:v>
      </x:c>
      <x:c r="D9" s="30" t="n">
        <x:v>2019</x:v>
      </x:c>
      <x:c r="E9" s="24" t="str">
        <x:v>Lethrinidae</x:v>
      </x:c>
      <x:c r="F9" s="24" t="str">
        <x:v>Emperors, scavengers</x:v>
      </x:c>
      <x:c r="G9" s="24" t="str">
        <x:v>Medium reef assoc. fish (30 - 89 cm)</x:v>
      </x:c>
      <x:c r="H9" s="24" t="str">
        <x:v>Perch-likes</x:v>
      </x:c>
      <x:c r="I9" s="31" t="n">
        <x:v>13447.2821465</x:v>
      </x:c>
      <x:c r="J9" s="31" t="n">
        <x:v>13447.2821465</x:v>
      </x:c>
      <x:c r="K9" s="31" t="n">
        <x:v>0</x:v>
      </x:c>
      <x:c r="L9" s="31" t="n">
        <x:v>13447.2821465</x:v>
      </x:c>
      <x:c r="M9" s="31" t="n">
        <x:v>0</x:v>
      </x:c>
      <x:c r="N9" s="24" t="str">
        <x:v>lethrinidae</x:v>
      </x:c>
      <x:c r="O9" s="32" t="n">
        <x:v>3.59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Lethrinidae</x:v>
      </x:c>
      <x:c r="T9" s="32" t="n">
        <x:f>IF(O9="","",(1/'Metadata'!$B$5)^(O9-1))</x:f>
        <x:v>389.04514499428046</x:v>
      </x:c>
      <x:c r="U9" s="31" t="n">
        <x:f>IF(T9="","",I9*T9)</x:f>
        <x:v>5231599.8324640915</x:v>
      </x:c>
    </x:row>
    <x:row r="10" ht="18" customHeight="1">
      <x:c r="A10" s="24" t="str">
        <x:v>EEZ_508</x:v>
      </x:c>
      <x:c r="B10" s="24" t="str">
        <x:v>Mozambique</x:v>
      </x:c>
      <x:c r="C10" s="24" t="str">
        <x:v>EEZ</x:v>
      </x:c>
      <x:c r="D10" s="30" t="n">
        <x:v>2019</x:v>
      </x:c>
      <x:c r="E10" s="24" t="str">
        <x:v>Penaeidae</x:v>
      </x:c>
      <x:c r="F10" s="24" t="str">
        <x:v>Commercial shrimps and prawns</x:v>
      </x:c>
      <x:c r="G10" s="24" t="str">
        <x:v>Shrimps</x:v>
      </x:c>
      <x:c r="H10" s="24" t="str">
        <x:v>Crustaceans</x:v>
      </x:c>
      <x:c r="I10" s="31" t="n">
        <x:v>10367.6340848</x:v>
      </x:c>
      <x:c r="J10" s="31" t="n">
        <x:v>9542.999998700001</x:v>
      </x:c>
      <x:c r="K10" s="31" t="n">
        <x:v>824.6340861</x:v>
      </x:c>
      <x:c r="L10" s="31" t="n">
        <x:v>9542.999998700001</x:v>
      </x:c>
      <x:c r="M10" s="31" t="n">
        <x:v>824.6340861</x:v>
      </x:c>
      <x:c r="N10" s="24" t="str">
        <x:v>penaeidae</x:v>
      </x:c>
      <x:c r="O10" s="32" t="n">
        <x:v>3.31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Penaeidae</x:v>
      </x:c>
      <x:c r="T10" s="32" t="n">
        <x:f>IF(O10="","",(1/'Metadata'!$B$5)^(O10-1))</x:f>
        <x:v>204.17379446695296</x:v>
      </x:c>
      <x:c r="U10" s="31" t="n">
        <x:f>IF(T10="","",I10*T10)</x:f>
        <x:v>2116799.1907385313</x:v>
      </x:c>
    </x:row>
    <x:row r="11" ht="18" customHeight="1">
      <x:c r="A11" s="24" t="str">
        <x:v>EEZ_508</x:v>
      </x:c>
      <x:c r="B11" s="24" t="str">
        <x:v>Mozambique</x:v>
      </x:c>
      <x:c r="C11" s="24" t="str">
        <x:v>EEZ</x:v>
      </x:c>
      <x:c r="D11" s="30" t="n">
        <x:v>2019</x:v>
      </x:c>
      <x:c r="E11" s="24" t="str">
        <x:v>Siganidae</x:v>
      </x:c>
      <x:c r="F11" s="24" t="str">
        <x:v>Rabbitfishes</x:v>
      </x:c>
      <x:c r="G11" s="24" t="str">
        <x:v>Medium reef assoc. fish (30 - 89 cm)</x:v>
      </x:c>
      <x:c r="H11" s="24" t="str">
        <x:v>Perch-likes</x:v>
      </x:c>
      <x:c r="I11" s="31" t="n">
        <x:v>8529.0264969</x:v>
      </x:c>
      <x:c r="J11" s="31" t="n">
        <x:v>8529.0264969</x:v>
      </x:c>
      <x:c r="K11" s="31" t="n">
        <x:v>0</x:v>
      </x:c>
      <x:c r="L11" s="31" t="n">
        <x:v>8529.0264969</x:v>
      </x:c>
      <x:c r="M11" s="31" t="n">
        <x:v>0</x:v>
      </x:c>
      <x:c r="N11" s="24" t="str">
        <x:v>siganidae</x:v>
      </x:c>
      <x:c r="O11" s="32" t="n">
        <x:v>2.11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Siganidae</x:v>
      </x:c>
      <x:c r="T11" s="32" t="n">
        <x:f>IF(O11="","",(1/'Metadata'!$B$5)^(O11-1))</x:f>
        <x:v>12.882495516931336</x:v>
      </x:c>
      <x:c r="U11" s="31" t="n">
        <x:f>IF(T11="","",I11*T11)</x:f>
        <x:v>109875.14561010282</x:v>
      </x:c>
    </x:row>
    <x:row r="12" ht="18" customHeight="1">
      <x:c r="A12" s="24" t="str">
        <x:v>EEZ_508</x:v>
      </x:c>
      <x:c r="B12" s="24" t="str">
        <x:v>Mozambique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8045.5695586365</x:v>
      </x:c>
      <x:c r="J12" s="31" t="n">
        <x:v>7825.6671357365</x:v>
      </x:c>
      <x:c r="K12" s="31" t="n">
        <x:v>219.9024229</x:v>
      </x:c>
      <x:c r="L12" s="31" t="n">
        <x:v>7825.6671357365</x:v>
      </x:c>
      <x:c r="M12" s="31" t="n">
        <x:v>219.9024229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9027277.520160252</x:v>
      </x:c>
    </x:row>
    <x:row r="13" ht="18" customHeight="1">
      <x:c r="A13" s="24" t="str">
        <x:v>EEZ_508</x:v>
      </x:c>
      <x:c r="B13" s="24" t="str">
        <x:v>Mozambique</x:v>
      </x:c>
      <x:c r="C13" s="24" t="str">
        <x:v>EEZ</x:v>
      </x:c>
      <x:c r="D13" s="30" t="n">
        <x:v>2019</x:v>
      </x:c>
      <x:c r="E13" s="24" t="str">
        <x:v>Cephalopoda</x:v>
      </x:c>
      <x:c r="F13" s="24" t="str">
        <x:v>Squids, cuttlefishes, octopuses</x:v>
      </x:c>
      <x:c r="G13" s="24" t="str">
        <x:v>Cephalopods</x:v>
      </x:c>
      <x:c r="H13" s="24" t="str">
        <x:v>Other fishes &amp; inverts</x:v>
      </x:c>
      <x:c r="I13" s="31" t="n">
        <x:v>5020.591521140001</x:v>
      </x:c>
      <x:c r="J13" s="31" t="n">
        <x:v>4700.99999984</x:v>
      </x:c>
      <x:c r="K13" s="31" t="n">
        <x:v>319.5915213</x:v>
      </x:c>
      <x:c r="L13" s="31" t="n">
        <x:v>4700.99999984</x:v>
      </x:c>
      <x:c r="M13" s="31" t="n">
        <x:v>319.5915213</x:v>
      </x:c>
      <x:c r="N13" s="24" t="str">
        <x:v>cephalopoda</x:v>
      </x:c>
      <x:c r="O13" s="32" t="n">
        <x:v>3.81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Cephalopoda</x:v>
      </x:c>
      <x:c r="T13" s="32" t="n">
        <x:f>IF(O13="","",(1/'Metadata'!$B$5)^(O13-1))</x:f>
        <x:v>645.6542290346556</x:v>
      </x:c>
      <x:c r="U13" s="31" t="n">
        <x:f>IF(T13="","",I13*T13)</x:f>
        <x:v>3241566.147879576</x:v>
      </x:c>
    </x:row>
    <x:row r="14" ht="18" customHeight="1">
      <x:c r="A14" s="24" t="str">
        <x:v>EEZ_508</x:v>
      </x:c>
      <x:c r="B14" s="24" t="str">
        <x:v>Mozambique</x:v>
      </x:c>
      <x:c r="C14" s="24" t="str">
        <x:v>EEZ</x:v>
      </x:c>
      <x:c r="D14" s="30" t="n">
        <x:v>2019</x:v>
      </x:c>
      <x:c r="E14" s="24" t="str">
        <x:v>Scaridae</x:v>
      </x:c>
      <x:c r="F14" s="24" t="str">
        <x:v>Parrotfishes</x:v>
      </x:c>
      <x:c r="G14" s="24" t="str">
        <x:v>Medium reef assoc. fish (30 - 89 cm)</x:v>
      </x:c>
      <x:c r="H14" s="24" t="str">
        <x:v>Perch-likes</x:v>
      </x:c>
      <x:c r="I14" s="31" t="n">
        <x:v>4664.08607383</x:v>
      </x:c>
      <x:c r="J14" s="31" t="n">
        <x:v>4664.08607383</x:v>
      </x:c>
      <x:c r="K14" s="31" t="n">
        <x:v>0</x:v>
      </x:c>
      <x:c r="L14" s="31" t="n">
        <x:v>4664.08607383</x:v>
      </x:c>
      <x:c r="M14" s="31" t="n">
        <x:v>0</x:v>
      </x:c>
      <x:c r="N14" s="24" t="str">
        <x:v>scaridae</x:v>
      </x:c>
      <x:c r="O14" s="32" t="n">
        <x:v>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Scaridae</x:v>
      </x:c>
      <x:c r="T14" s="32" t="n">
        <x:f>IF(O14="","",(1/'Metadata'!$B$5)^(O14-1))</x:f>
        <x:v>10</x:v>
      </x:c>
      <x:c r="U14" s="31" t="n">
        <x:f>IF(T14="","",I14*T14)</x:f>
        <x:v>46640.8607383</x:v>
      </x:c>
    </x:row>
    <x:row r="15" ht="18" customHeight="1">
      <x:c r="A15" s="24" t="str">
        <x:v>EEZ_508</x:v>
      </x:c>
      <x:c r="B15" s="24" t="str">
        <x:v>Mozambique</x:v>
      </x:c>
      <x:c r="C15" s="24" t="str">
        <x:v>EEZ</x:v>
      </x:c>
      <x:c r="D15" s="30" t="n">
        <x:v>2019</x:v>
      </x:c>
      <x:c r="E15" s="24" t="str">
        <x:v>Trichiuridae</x:v>
      </x:c>
      <x:c r="F15" s="24" t="str">
        <x:v>Cutlassfishes</x:v>
      </x:c>
      <x:c r="G15" s="24" t="str">
        <x:v>Large benthopelagics (&gt;=90 cm)</x:v>
      </x:c>
      <x:c r="H15" s="24" t="str">
        <x:v>Perch-likes</x:v>
      </x:c>
      <x:c r="I15" s="31" t="n">
        <x:v>4433.48281106</x:v>
      </x:c>
      <x:c r="J15" s="31" t="n">
        <x:v>3406.53849606</x:v>
      </x:c>
      <x:c r="K15" s="31" t="n">
        <x:v>1026.944315</x:v>
      </x:c>
      <x:c r="L15" s="31" t="n">
        <x:v>3406.53849606</x:v>
      </x:c>
      <x:c r="M15" s="31" t="n">
        <x:v>1026.944315</x:v>
      </x:c>
      <x:c r="N15" s="24" t="str">
        <x:v>trichiuridae</x:v>
      </x:c>
      <x:c r="O15" s="32" t="n">
        <x:v>4.15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Trichiuridae</x:v>
      </x:c>
      <x:c r="T15" s="32" t="n">
        <x:f>IF(O15="","",(1/'Metadata'!$B$5)^(O15-1))</x:f>
        <x:v>1412.5375446227554</x:v>
      </x:c>
      <x:c r="U15" s="31" t="n">
        <x:f>IF(T15="","",I15*T15)</x:f>
        <x:v>6262460.924061884</x:v>
      </x:c>
    </x:row>
    <x:row r="16" ht="18" customHeight="1">
      <x:c r="A16" s="24" t="str">
        <x:v>EEZ_508</x:v>
      </x:c>
      <x:c r="B16" s="24" t="str">
        <x:v>Mozambique</x:v>
      </x:c>
      <x:c r="C16" s="24" t="str">
        <x:v>EEZ</x:v>
      </x:c>
      <x:c r="D16" s="30" t="n">
        <x:v>2019</x:v>
      </x:c>
      <x:c r="E16" s="24" t="str">
        <x:v>Ariidae</x:v>
      </x:c>
      <x:c r="F16" s="24" t="str">
        <x:v>Sea catfishes, coblers</x:v>
      </x:c>
      <x:c r="G16" s="24" t="str">
        <x:v>Medium demersals (30 - 89 cm)</x:v>
      </x:c>
      <x:c r="H16" s="24" t="str">
        <x:v>Other fishes &amp; inverts</x:v>
      </x:c>
      <x:c r="I16" s="31" t="n">
        <x:v>3211.1250749118</x:v>
      </x:c>
      <x:c r="J16" s="31" t="n">
        <x:v>2037.8076139118</x:v>
      </x:c>
      <x:c r="K16" s="31" t="n">
        <x:v>1173.317461</x:v>
      </x:c>
      <x:c r="L16" s="31" t="n">
        <x:v>2037.8076139118</x:v>
      </x:c>
      <x:c r="M16" s="31" t="n">
        <x:v>1173.317461</x:v>
      </x:c>
      <x:c r="N16" s="24" t="str">
        <x:v>ariidae</x:v>
      </x:c>
      <x:c r="O16" s="32" t="n">
        <x:v>3.48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Ariidae</x:v>
      </x:c>
      <x:c r="T16" s="32" t="n">
        <x:f>IF(O16="","",(1/'Metadata'!$B$5)^(O16-1))</x:f>
        <x:v>301.9951720402016</x:v>
      </x:c>
      <x:c r="U16" s="31" t="n">
        <x:f>IF(T16="","",I16*T16)</x:f>
        <x:v>969744.2694405944</x:v>
      </x:c>
    </x:row>
    <x:row r="17" ht="18" customHeight="1">
      <x:c r="A17" s="24" t="str">
        <x:v>EEZ_508</x:v>
      </x:c>
      <x:c r="B17" s="24" t="str">
        <x:v>Mozambique</x:v>
      </x:c>
      <x:c r="C17" s="24" t="str">
        <x:v>EEZ</x:v>
      </x:c>
      <x:c r="D17" s="30" t="n">
        <x:v>2019</x:v>
      </x:c>
      <x:c r="E17" s="24" t="str">
        <x:v>Caesionidae</x:v>
      </x:c>
      <x:c r="F17" s="24" t="str">
        <x:v>Fusiliers</x:v>
      </x:c>
      <x:c r="G17" s="24" t="str">
        <x:v>Medium reef assoc. fish (30 - 89 cm)</x:v>
      </x:c>
      <x:c r="H17" s="24" t="str">
        <x:v>Perch-likes</x:v>
      </x:c>
      <x:c r="I17" s="31" t="n">
        <x:v>3160.07896959</x:v>
      </x:c>
      <x:c r="J17" s="31" t="n">
        <x:v>3160.07896959</x:v>
      </x:c>
      <x:c r="K17" s="31" t="n">
        <x:v>0</x:v>
      </x:c>
      <x:c r="L17" s="31" t="n">
        <x:v>3160.07896959</x:v>
      </x:c>
      <x:c r="M17" s="31" t="n">
        <x:v>0</x:v>
      </x:c>
      <x:c r="N17" s="24" t="str">
        <x:v>caesionidae</x:v>
      </x:c>
      <x:c r="O17" s="32" t="n">
        <x:v>3.39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Caesionidae</x:v>
      </x:c>
      <x:c r="T17" s="32" t="n">
        <x:f>IF(O17="","",(1/'Metadata'!$B$5)^(O17-1))</x:f>
        <x:v>245.4708915685031</x:v>
      </x:c>
      <x:c r="U17" s="31" t="n">
        <x:f>IF(T17="","",I17*T17)</x:f>
        <x:v>775707.4020921339</x:v>
      </x:c>
    </x:row>
    <x:row r="18" ht="18" customHeight="1">
      <x:c r="A18" s="24" t="str">
        <x:v>EEZ_508</x:v>
      </x:c>
      <x:c r="B18" s="24" t="str">
        <x:v>Mozambique</x:v>
      </x:c>
      <x:c r="C18" s="24" t="str">
        <x:v>EEZ</x:v>
      </x:c>
      <x:c r="D18" s="30" t="n">
        <x:v>2019</x:v>
      </x:c>
      <x:c r="E18" s="24" t="str">
        <x:v>Mullidae</x:v>
      </x:c>
      <x:c r="F18" s="24" t="str">
        <x:v>Goatfishes</x:v>
      </x:c>
      <x:c r="G18" s="24" t="str">
        <x:v>Medium reef assoc. fish (30 - 89 cm)</x:v>
      </x:c>
      <x:c r="H18" s="24" t="str">
        <x:v>Perch-likes</x:v>
      </x:c>
      <x:c r="I18" s="31" t="n">
        <x:v>2842.2207644</x:v>
      </x:c>
      <x:c r="J18" s="31" t="n">
        <x:v>2463.9885968999997</x:v>
      </x:c>
      <x:c r="K18" s="31" t="n">
        <x:v>378.2321675</x:v>
      </x:c>
      <x:c r="L18" s="31" t="n">
        <x:v>2463.9885968999997</x:v>
      </x:c>
      <x:c r="M18" s="31" t="n">
        <x:v>378.2321675</x:v>
      </x:c>
      <x:c r="N18" s="24" t="str">
        <x:v>mullidae</x:v>
      </x:c>
      <x:c r="O18" s="32" t="n">
        <x:v>3.46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Mullidae</x:v>
      </x:c>
      <x:c r="T18" s="32" t="n">
        <x:f>IF(O18="","",(1/'Metadata'!$B$5)^(O18-1))</x:f>
        <x:v>288.40315031266056</x:v>
      </x:c>
      <x:c r="U18" s="31" t="n">
        <x:f>IF(T18="","",I18*T18)</x:f>
        <x:v>819705.4223370182</x:v>
      </x:c>
    </x:row>
    <x:row r="19" ht="18" customHeight="1">
      <x:c r="A19" s="24" t="str">
        <x:v>EEZ_508</x:v>
      </x:c>
      <x:c r="B19" s="24" t="str">
        <x:v>Mozambique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2635.7719220523</x:v>
      </x:c>
      <x:c r="J19" s="31" t="n">
        <x:v>2635.3234468</x:v>
      </x:c>
      <x:c r="K19" s="31" t="n">
        <x:v>0.4484752523</x:v>
      </x:c>
      <x:c r="L19" s="31" t="n">
        <x:v>2635.3234468</x:v>
      </x:c>
      <x:c r="M19" s="31" t="n">
        <x:v>0.4484752523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89311.59127032151</x:v>
      </x:c>
    </x:row>
    <x:row r="20" ht="18" customHeight="1">
      <x:c r="A20" s="24" t="str">
        <x:v>EEZ_508</x:v>
      </x:c>
      <x:c r="B20" s="24" t="str">
        <x:v>Mozambique</x:v>
      </x:c>
      <x:c r="C20" s="24" t="str">
        <x:v>EEZ</x:v>
      </x:c>
      <x:c r="D20" s="30" t="n">
        <x:v>2019</x:v>
      </x:c>
      <x:c r="E20" s="24" t="str">
        <x:v>Scomberomorus commerson</x:v>
      </x:c>
      <x:c r="F20" s="24" t="str">
        <x:v>Narrow-barred Spanish mackerel</x:v>
      </x:c>
      <x:c r="G20" s="24" t="str">
        <x:v>Large pelagics (&gt;=90 cm)</x:v>
      </x:c>
      <x:c r="H20" s="24" t="str">
        <x:v>Perch-likes</x:v>
      </x:c>
      <x:c r="I20" s="31" t="n">
        <x:v>2399.0004318904003</x:v>
      </x:c>
      <x:c r="J20" s="31" t="n">
        <x:v>2399.0004318904003</x:v>
      </x:c>
      <x:c r="K20" s="31" t="n">
        <x:v>0</x:v>
      </x:c>
      <x:c r="L20" s="31" t="n">
        <x:v>2399.0004318904003</x:v>
      </x:c>
      <x:c r="M20" s="31" t="n">
        <x:v>0</x:v>
      </x:c>
      <x:c r="N20" s="24" t="str">
        <x:v>scomberomorus commerson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Scomberomorus commerson</x:v>
      </x:c>
      <x:c r="T20" s="32" t="n">
        <x:f>IF(O20="","",(1/'Metadata'!$B$5)^(O20-1))</x:f>
        <x:v>3162.2776601683795</x:v>
      </x:c>
      <x:c r="U20" s="31" t="n">
        <x:f>IF(T20="","",I20*T20)</x:f>
        <x:v>7586305.472501307</x:v>
      </x:c>
    </x:row>
    <x:row r="21" ht="18" customHeight="1">
      <x:c r="A21" s="24" t="str">
        <x:v>EEZ_508</x:v>
      </x:c>
      <x:c r="B21" s="24" t="str">
        <x:v>Mozambique</x:v>
      </x:c>
      <x:c r="C21" s="24" t="str">
        <x:v>EEZ</x:v>
      </x:c>
      <x:c r="D21" s="30" t="n">
        <x:v>2019</x:v>
      </x:c>
      <x:c r="E21" s="24" t="str">
        <x:v>Auxis</x:v>
      </x:c>
      <x:c r="F21" s="24" t="str">
        <x:v>Bullet and frigate tunas</x:v>
      </x:c>
      <x:c r="G21" s="24" t="str">
        <x:v>Medium pelagics (30 - 89 cm)</x:v>
      </x:c>
      <x:c r="H21" s="24" t="str">
        <x:v>Tuna &amp; billfishes</x:v>
      </x:c>
      <x:c r="I21" s="31" t="n">
        <x:v>1969.9999997999998</x:v>
      </x:c>
      <x:c r="J21" s="31" t="n">
        <x:v>1969.9999997999998</x:v>
      </x:c>
      <x:c r="K21" s="31" t="n">
        <x:v>0</x:v>
      </x:c>
      <x:c r="L21" s="31" t="n">
        <x:v>1969.9999997999998</x:v>
      </x:c>
      <x:c r="M21" s="31" t="n">
        <x:v>0</x:v>
      </x:c>
      <x:c r="N21" s="24" t="str">
        <x:v>auxis</x:v>
      </x:c>
      <x:c r="O21" s="32" t="n">
        <x:v>4.24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Auxis</x:v>
      </x:c>
      <x:c r="T21" s="32" t="n">
        <x:f>IF(O21="","",(1/'Metadata'!$B$5)^(O21-1))</x:f>
        <x:v>1737.8008287493763</x:v>
      </x:c>
      <x:c r="U21" s="31" t="n">
        <x:f>IF(T21="","",I21*T21)</x:f>
        <x:v>3423467.6322887107</x:v>
      </x:c>
    </x:row>
    <x:row r="22" ht="18" customHeight="1">
      <x:c r="A22" s="24" t="str">
        <x:v>EEZ_508</x:v>
      </x:c>
      <x:c r="B22" s="24" t="str">
        <x:v>Mozambique</x:v>
      </x:c>
      <x:c r="C22" s="24" t="str">
        <x:v>EEZ</x:v>
      </x:c>
      <x:c r="D22" s="30" t="n">
        <x:v>2019</x:v>
      </x:c>
      <x:c r="E22" s="24" t="str">
        <x:v>Palinurus</x:v>
      </x:c>
      <x:c r="F22" s="24" t="str">
        <x:v>Spiny lobsters</x:v>
      </x:c>
      <x:c r="G22" s="24" t="str">
        <x:v>Lobsters, crabs</x:v>
      </x:c>
      <x:c r="H22" s="24" t="str">
        <x:v>Crustaceans</x:v>
      </x:c>
      <x:c r="I22" s="31" t="n">
        <x:v>1522</x:v>
      </x:c>
      <x:c r="J22" s="31" t="n">
        <x:v>1522</x:v>
      </x:c>
      <x:c r="K22" s="31" t="n">
        <x:v>0</x:v>
      </x:c>
      <x:c r="L22" s="31" t="n">
        <x:v>1522</x:v>
      </x:c>
      <x:c r="M22" s="31" t="n">
        <x:v>0</x:v>
      </x:c>
      <x:c r="N22" s="24" t="str">
        <x:v>palinurus</x:v>
      </x:c>
      <x:c r="O22" s="32" t="n">
        <x:v>2.7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Palinurus</x:v>
      </x:c>
      <x:c r="T22" s="32" t="n">
        <x:f>IF(O22="","",(1/'Metadata'!$B$5)^(O22-1))</x:f>
        <x:v>50.11872336272725</x:v>
      </x:c>
      <x:c r="U22" s="31" t="n">
        <x:f>IF(T22="","",I22*T22)</x:f>
        <x:v>76280.69695807088</x:v>
      </x:c>
    </x:row>
    <x:row r="23" ht="18" customHeight="1">
      <x:c r="A23" s="24" t="str">
        <x:v>EEZ_508</x:v>
      </x:c>
      <x:c r="B23" s="24" t="str">
        <x:v>Mozambique</x:v>
      </x:c>
      <x:c r="C23" s="24" t="str">
        <x:v>EEZ</x:v>
      </x:c>
      <x:c r="D23" s="30" t="n">
        <x:v>2019</x:v>
      </x:c>
      <x:c r="E23" s="24" t="str">
        <x:v>Metanephrops</x:v>
      </x:c>
      <x:c r="F23" s="24" t="str">
        <x:v>Scampi</x:v>
      </x:c>
      <x:c r="G23" s="24" t="str">
        <x:v>Lobsters, crabs</x:v>
      </x:c>
      <x:c r="H23" s="24" t="str">
        <x:v>Crustaceans</x:v>
      </x:c>
      <x:c r="I23" s="31" t="n">
        <x:v>1522</x:v>
      </x:c>
      <x:c r="J23" s="31" t="n">
        <x:v>1522</x:v>
      </x:c>
      <x:c r="K23" s="31" t="n">
        <x:v>0</x:v>
      </x:c>
      <x:c r="L23" s="31" t="n">
        <x:v>1522</x:v>
      </x:c>
      <x:c r="M23" s="31" t="n">
        <x:v>0</x:v>
      </x:c>
      <x:c r="N23" s="24" t="str">
        <x:v>metanephrops</x:v>
      </x:c>
      <x:c r="O23" s="32" t="n">
        <x:v>3.93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Metanephrops</x:v>
      </x:c>
      <x:c r="T23" s="32" t="n">
        <x:f>IF(O23="","",(1/'Metadata'!$B$5)^(O23-1))</x:f>
        <x:v>851.1380382023768</x:v>
      </x:c>
      <x:c r="U23" s="31" t="n">
        <x:f>IF(T23="","",I23*T23)</x:f>
        <x:v>1295432.0941440174</x:v>
      </x:c>
    </x:row>
    <x:row r="24" ht="18" customHeight="1">
      <x:c r="A24" s="24" t="str">
        <x:v>EEZ_508</x:v>
      </x:c>
      <x:c r="B24" s="24" t="str">
        <x:v>Mozambique</x:v>
      </x:c>
      <x:c r="C24" s="24" t="str">
        <x:v>EEZ</x:v>
      </x:c>
      <x:c r="D24" s="30" t="n">
        <x:v>2019</x:v>
      </x:c>
      <x:c r="E24" s="24" t="str">
        <x:v>Clupeiformes</x:v>
      </x:c>
      <x:c r="F24" s="24" t="str">
        <x:v>Herrings, shads, anchovies</x:v>
      </x:c>
      <x:c r="G24" s="24" t="str">
        <x:v>Small pelagics (&lt;30 cm)</x:v>
      </x:c>
      <x:c r="H24" s="24" t="str">
        <x:v>Other fishes &amp; inverts</x:v>
      </x:c>
      <x:c r="I24" s="31" t="n">
        <x:v>1514.675649033</x:v>
      </x:c>
      <x:c r="J24" s="31" t="n">
        <x:v>1439.119849593</x:v>
      </x:c>
      <x:c r="K24" s="31" t="n">
        <x:v>75.55579944</x:v>
      </x:c>
      <x:c r="L24" s="31" t="n">
        <x:v>1439.119849593</x:v>
      </x:c>
      <x:c r="M24" s="31" t="n">
        <x:v>75.55579944</x:v>
      </x:c>
      <x:c r="N24" s="24" t="str">
        <x:v>clupeiformes</x:v>
      </x:c>
      <x:c r="O24" s="32" t="n">
        <x:v>3.24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Clupeiformes</x:v>
      </x:c>
      <x:c r="T24" s="32" t="n">
        <x:f>IF(O24="","",(1/'Metadata'!$B$5)^(O24-1))</x:f>
        <x:v>173.78008287493762</x:v>
      </x:c>
      <x:c r="U24" s="31" t="n">
        <x:f>IF(T24="","",I24*T24)</x:f>
        <x:v>263220.4598176046</x:v>
      </x:c>
    </x:row>
    <x:row r="25" ht="18" customHeight="1">
      <x:c r="A25" s="24" t="str">
        <x:v>EEZ_508</x:v>
      </x:c>
      <x:c r="B25" s="24" t="str">
        <x:v>Mozambique</x:v>
      </x:c>
      <x:c r="C25" s="24" t="str">
        <x:v>EEZ</x:v>
      </x:c>
      <x:c r="D25" s="30" t="n">
        <x:v>2019</x:v>
      </x:c>
      <x:c r="E25" s="24" t="str">
        <x:v>Lutjanidae</x:v>
      </x:c>
      <x:c r="F25" s="24" t="str">
        <x:v>Snappers</x:v>
      </x:c>
      <x:c r="G25" s="24" t="str">
        <x:v>Medium reef assoc. fish (30 - 89 cm)</x:v>
      </x:c>
      <x:c r="H25" s="24" t="str">
        <x:v>Perch-likes</x:v>
      </x:c>
      <x:c r="I25" s="31" t="n">
        <x:v>1465.86575919</x:v>
      </x:c>
      <x:c r="J25" s="31" t="n">
        <x:v>1465.86575919</x:v>
      </x:c>
      <x:c r="K25" s="31" t="n">
        <x:v>0</x:v>
      </x:c>
      <x:c r="L25" s="31" t="n">
        <x:v>1465.86575919</x:v>
      </x:c>
      <x:c r="M25" s="31" t="n">
        <x:v>0</x:v>
      </x:c>
      <x:c r="N25" s="24" t="str">
        <x:v>lutjanidae</x:v>
      </x:c>
      <x:c r="O25" s="32" t="n">
        <x:v>4.02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Lutjanidae</x:v>
      </x:c>
      <x:c r="T25" s="32" t="n">
        <x:f>IF(O25="","",(1/'Metadata'!$B$5)^(O25-1))</x:f>
        <x:v>1047.1285480508984</x:v>
      </x:c>
      <x:c r="U25" s="31" t="n">
        <x:f>IF(T25="","",I25*T25)</x:f>
        <x:v>1534949.8840581526</x:v>
      </x:c>
    </x:row>
    <x:row r="26" ht="18" customHeight="1">
      <x:c r="A26" s="24" t="str">
        <x:v>EEZ_508</x:v>
      </x:c>
      <x:c r="B26" s="24" t="str">
        <x:v>Mozambique</x:v>
      </x:c>
      <x:c r="C26" s="24" t="str">
        <x:v>EEZ</x:v>
      </x:c>
      <x:c r="D26" s="30" t="n">
        <x:v>2019</x:v>
      </x:c>
      <x:c r="E26" s="24" t="str">
        <x:v>Gerreidae</x:v>
      </x:c>
      <x:c r="F26" s="24" t="str">
        <x:v>Mojarras, silverbellies</x:v>
      </x:c>
      <x:c r="G26" s="24" t="str">
        <x:v>Small benthopelagics (&lt;30 cm)</x:v>
      </x:c>
      <x:c r="H26" s="24" t="str">
        <x:v>Perch-likes</x:v>
      </x:c>
      <x:c r="I26" s="31" t="n">
        <x:v>1303.3896823</x:v>
      </x:c>
      <x:c r="J26" s="31" t="n">
        <x:v>1303.3896823</x:v>
      </x:c>
      <x:c r="K26" s="31" t="n">
        <x:v>0</x:v>
      </x:c>
      <x:c r="L26" s="31" t="n">
        <x:v>1303.3896823</x:v>
      </x:c>
      <x:c r="M26" s="31" t="n">
        <x:v>0</x:v>
      </x:c>
      <x:c r="N26" s="24" t="str">
        <x:v>gerreidae</x:v>
      </x:c>
      <x:c r="O26" s="32" t="n">
        <x:v>3.03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Gerreidae</x:v>
      </x:c>
      <x:c r="T26" s="32" t="n">
        <x:f>IF(O26="","",(1/'Metadata'!$B$5)^(O26-1))</x:f>
        <x:v>107.1519305237606</x:v>
      </x:c>
      <x:c r="U26" s="31" t="n">
        <x:f>IF(T26="","",I26*T26)</x:f>
        <x:v>139660.720683196</x:v>
      </x:c>
    </x:row>
    <x:row r="27" ht="18" customHeight="1">
      <x:c r="A27" s="24" t="str">
        <x:v>EEZ_508</x:v>
      </x:c>
      <x:c r="B27" s="24" t="str">
        <x:v>Mozambique</x:v>
      </x:c>
      <x:c r="C27" s="24" t="str">
        <x:v>EEZ</x:v>
      </x:c>
      <x:c r="D27" s="30" t="n">
        <x:v>2019</x:v>
      </x:c>
      <x:c r="E27" s="24" t="str">
        <x:v>Portunidae</x:v>
      </x:c>
      <x:c r="F27" s="24" t="str">
        <x:v>Swimming crabs</x:v>
      </x:c>
      <x:c r="G27" s="24" t="str">
        <x:v>Lobsters, crabs</x:v>
      </x:c>
      <x:c r="H27" s="24" t="str">
        <x:v>Crustaceans</x:v>
      </x:c>
      <x:c r="I27" s="31" t="n">
        <x:v>970.502693</x:v>
      </x:c>
      <x:c r="J27" s="31" t="n">
        <x:v>0</x:v>
      </x:c>
      <x:c r="K27" s="31" t="n">
        <x:v>970.502693</x:v>
      </x:c>
      <x:c r="L27" s="31" t="n">
        <x:v>0</x:v>
      </x:c>
      <x:c r="M27" s="31" t="n">
        <x:v>970.502693</x:v>
      </x:c>
      <x:c r="N27" s="24" t="str">
        <x:v>portunidae</x:v>
      </x:c>
      <x:c r="O27" s="32" t="n">
        <x:v>3.56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Portunidae</x:v>
      </x:c>
      <x:c r="T27" s="32" t="n">
        <x:f>IF(O27="","",(1/'Metadata'!$B$5)^(O27-1))</x:f>
        <x:v>363.0780547701014</x:v>
      </x:c>
      <x:c r="U27" s="31" t="n">
        <x:f>IF(T27="","",I27*T27)</x:f>
        <x:v>352368.2299235849</x:v>
      </x:c>
    </x:row>
    <x:row r="28" ht="18" customHeight="1">
      <x:c r="A28" s="24" t="str">
        <x:v>EEZ_508</x:v>
      </x:c>
      <x:c r="B28" s="24" t="str">
        <x:v>Mozambique</x:v>
      </x:c>
      <x:c r="C28" s="24" t="str">
        <x:v>EEZ</x:v>
      </x:c>
      <x:c r="D28" s="30" t="n">
        <x:v>2019</x:v>
      </x:c>
      <x:c r="E28" s="24" t="str">
        <x:v>Hemiramphidae</x:v>
      </x:c>
      <x:c r="F28" s="24" t="str">
        <x:v>Halfbeaks, garfishes</x:v>
      </x:c>
      <x:c r="G28" s="24" t="str">
        <x:v>Medium pelagics (30 - 89 cm)</x:v>
      </x:c>
      <x:c r="H28" s="24" t="str">
        <x:v>Other fishes &amp; inverts</x:v>
      </x:c>
      <x:c r="I28" s="31" t="n">
        <x:v>808.23404404</x:v>
      </x:c>
      <x:c r="J28" s="31" t="n">
        <x:v>808.23404404</x:v>
      </x:c>
      <x:c r="K28" s="31" t="n">
        <x:v>0</x:v>
      </x:c>
      <x:c r="L28" s="31" t="n">
        <x:v>808.23404404</x:v>
      </x:c>
      <x:c r="M28" s="31" t="n">
        <x:v>0</x:v>
      </x:c>
      <x:c r="N28" s="24" t="str">
        <x:v>hemiramphidae</x:v>
      </x:c>
      <x:c r="O28" s="32" t="n">
        <x:v>2.82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Hemiramphidae</x:v>
      </x:c>
      <x:c r="T28" s="32" t="n">
        <x:f>IF(O28="","",(1/'Metadata'!$B$5)^(O28-1))</x:f>
        <x:v>66.06934480075958</x:v>
      </x:c>
      <x:c r="U28" s="31" t="n">
        <x:f>IF(T28="","",I28*T28)</x:f>
        <x:v>53399.493735391065</x:v>
      </x:c>
    </x:row>
    <x:row r="29" ht="18" customHeight="1">
      <x:c r="A29" s="24" t="str">
        <x:v>EEZ_508</x:v>
      </x:c>
      <x:c r="B29" s="24" t="str">
        <x:v>Mozambique</x:v>
      </x:c>
      <x:c r="C29" s="24" t="str">
        <x:v>EEZ</x:v>
      </x:c>
      <x:c r="D29" s="30" t="n">
        <x:v>2019</x:v>
      </x:c>
      <x:c r="E29" s="24" t="str">
        <x:v>Sparidae</x:v>
      </x:c>
      <x:c r="F29" s="24" t="str">
        <x:v>Porgies, seabreams</x:v>
      </x:c>
      <x:c r="G29" s="24" t="str">
        <x:v>Medium benthopelagics (30 - 89 cm)</x:v>
      </x:c>
      <x:c r="H29" s="24" t="str">
        <x:v>Perch-likes</x:v>
      </x:c>
      <x:c r="I29" s="31" t="n">
        <x:v>742.01071161</x:v>
      </x:c>
      <x:c r="J29" s="31" t="n">
        <x:v>742.01071161</x:v>
      </x:c>
      <x:c r="K29" s="31" t="n">
        <x:v>0</x:v>
      </x:c>
      <x:c r="L29" s="31" t="n">
        <x:v>742.01071161</x:v>
      </x:c>
      <x:c r="M29" s="31" t="n">
        <x:v>0</x:v>
      </x:c>
      <x:c r="N29" s="24" t="str">
        <x:v>sparidae</x:v>
      </x:c>
      <x:c r="O29" s="32" t="n">
        <x:v>3.31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Sparidae</x:v>
      </x:c>
      <x:c r="T29" s="32" t="n">
        <x:f>IF(O29="","",(1/'Metadata'!$B$5)^(O29-1))</x:f>
        <x:v>204.17379446695296</x:v>
      </x:c>
      <x:c r="U29" s="31" t="n">
        <x:f>IF(T29="","",I29*T29)</x:f>
        <x:v>151499.14252453766</x:v>
      </x:c>
    </x:row>
    <x:row r="30" ht="18" customHeight="1">
      <x:c r="A30" s="24" t="str">
        <x:v>EEZ_508</x:v>
      </x:c>
      <x:c r="B30" s="24" t="str">
        <x:v>Mozambique</x:v>
      </x:c>
      <x:c r="C30" s="24" t="str">
        <x:v>EEZ</x:v>
      </x:c>
      <x:c r="D30" s="30" t="n">
        <x:v>2019</x:v>
      </x:c>
      <x:c r="E30" s="24" t="str">
        <x:v>Tetraodontidae</x:v>
      </x:c>
      <x:c r="F30" s="24" t="str">
        <x:v>Puffers, tobies</x:v>
      </x:c>
      <x:c r="G30" s="24" t="str">
        <x:v>Large reef assoc. fish (&gt;=90 cm)</x:v>
      </x:c>
      <x:c r="H30" s="24" t="str">
        <x:v>Other fishes &amp; inverts</x:v>
      </x:c>
      <x:c r="I30" s="31" t="n">
        <x:v>603.552244</x:v>
      </x:c>
      <x:c r="J30" s="31" t="n">
        <x:v>0</x:v>
      </x:c>
      <x:c r="K30" s="31" t="n">
        <x:v>603.552244</x:v>
      </x:c>
      <x:c r="L30" s="31" t="n">
        <x:v>0</x:v>
      </x:c>
      <x:c r="M30" s="31" t="n">
        <x:v>603.552244</x:v>
      </x:c>
      <x:c r="N30" s="24" t="str">
        <x:v>tetraodontidae</x:v>
      </x:c>
      <x:c r="O30" s="32" t="n">
        <x:v>3.5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Tetraodontidae</x:v>
      </x:c>
      <x:c r="T30" s="32" t="n">
        <x:f>IF(O30="","",(1/'Metadata'!$B$5)^(O30-1))</x:f>
        <x:v>316.22776601683796</x:v>
      </x:c>
      <x:c r="U30" s="31" t="n">
        <x:f>IF(T30="","",I30*T30)</x:f>
        <x:v>190859.97779456948</x:v>
      </x:c>
    </x:row>
    <x:row r="31" ht="18" customHeight="1">
      <x:c r="A31" s="24" t="str">
        <x:v>EEZ_508</x:v>
      </x:c>
      <x:c r="B31" s="24" t="str">
        <x:v>Mozambique</x:v>
      </x:c>
      <x:c r="C31" s="24" t="str">
        <x:v>EEZ</x:v>
      </x:c>
      <x:c r="D31" s="30" t="n">
        <x:v>2019</x:v>
      </x:c>
      <x:c r="E31" s="24" t="str">
        <x:v>Synodontidae</x:v>
      </x:c>
      <x:c r="F31" s="24" t="str">
        <x:v>Lizardfishes, sauries</x:v>
      </x:c>
      <x:c r="G31" s="24" t="str">
        <x:v>Medium demersals (30 - 89 cm)</x:v>
      </x:c>
      <x:c r="H31" s="24" t="str">
        <x:v>Other fishes &amp; inverts</x:v>
      </x:c>
      <x:c r="I31" s="31" t="n">
        <x:v>483.0523224</x:v>
      </x:c>
      <x:c r="J31" s="31" t="n">
        <x:v>0</x:v>
      </x:c>
      <x:c r="K31" s="31" t="n">
        <x:v>483.0523224</x:v>
      </x:c>
      <x:c r="L31" s="31" t="n">
        <x:v>0</x:v>
      </x:c>
      <x:c r="M31" s="31" t="n">
        <x:v>483.0523224</x:v>
      </x:c>
      <x:c r="N31" s="24" t="str">
        <x:v>synodontidae</x:v>
      </x:c>
      <x:c r="O31" s="32" t="n">
        <x:v>4.3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Synodontidae</x:v>
      </x:c>
      <x:c r="T31" s="32" t="n">
        <x:f>IF(O31="","",(1/'Metadata'!$B$5)^(O31-1))</x:f>
        <x:v>1995.2623149688789</x:v>
      </x:c>
      <x:c r="U31" s="31" t="n">
        <x:f>IF(T31="","",I31*T31)</x:f>
        <x:v>963816.0950429172</x:v>
      </x:c>
    </x:row>
    <x:row r="32" ht="18" customHeight="1">
      <x:c r="A32" s="24" t="str">
        <x:v>EEZ_508</x:v>
      </x:c>
      <x:c r="B32" s="24" t="str">
        <x:v>Mozambique</x:v>
      </x:c>
      <x:c r="C32" s="24" t="str">
        <x:v>EEZ</x:v>
      </x:c>
      <x:c r="D32" s="30" t="n">
        <x:v>2019</x:v>
      </x:c>
      <x:c r="E32" s="24" t="str">
        <x:v>Sillaginidae</x:v>
      </x:c>
      <x:c r="F32" s="24" t="str">
        <x:v>Smelt-whitings</x:v>
      </x:c>
      <x:c r="G32" s="24" t="str">
        <x:v>Medium demersals (30 - 89 cm)</x:v>
      </x:c>
      <x:c r="H32" s="24" t="str">
        <x:v>Perch-likes</x:v>
      </x:c>
      <x:c r="I32" s="31" t="n">
        <x:v>456.44129389</x:v>
      </x:c>
      <x:c r="J32" s="31" t="n">
        <x:v>456.44129389</x:v>
      </x:c>
      <x:c r="K32" s="31" t="n">
        <x:v>0</x:v>
      </x:c>
      <x:c r="L32" s="31" t="n">
        <x:v>456.44129389</x:v>
      </x:c>
      <x:c r="M32" s="31" t="n">
        <x:v>0</x:v>
      </x:c>
      <x:c r="N32" s="24" t="str">
        <x:v>sillaginidae</x:v>
      </x:c>
      <x:c r="O32" s="32" t="n">
        <x:v>3.25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Sillaginidae</x:v>
      </x:c>
      <x:c r="T32" s="32" t="n">
        <x:f>IF(O32="","",(1/'Metadata'!$B$5)^(O32-1))</x:f>
        <x:v>177.82794100389228</x:v>
      </x:c>
      <x:c r="U32" s="31" t="n">
        <x:f>IF(T32="","",I32*T32)</x:f>
        <x:v>81168.01548161118</x:v>
      </x:c>
    </x:row>
    <x:row r="33" ht="18" customHeight="1">
      <x:c r="A33" s="24" t="str">
        <x:v>EEZ_508</x:v>
      </x:c>
      <x:c r="B33" s="24" t="str">
        <x:v>Mozambique</x:v>
      </x:c>
      <x:c r="C33" s="24" t="str">
        <x:v>EEZ</x:v>
      </x:c>
      <x:c r="D33" s="30" t="n">
        <x:v>2019</x:v>
      </x:c>
      <x:c r="E33" s="24" t="str">
        <x:v>Polynemidae</x:v>
      </x:c>
      <x:c r="F33" s="24" t="str">
        <x:v>Threadfins</x:v>
      </x:c>
      <x:c r="G33" s="24" t="str">
        <x:v>Small demersals (&lt;30 cm)</x:v>
      </x:c>
      <x:c r="H33" s="24" t="str">
        <x:v>Perch-likes</x:v>
      </x:c>
      <x:c r="I33" s="31" t="n">
        <x:v>443.1842988</x:v>
      </x:c>
      <x:c r="J33" s="31" t="n">
        <x:v>0</x:v>
      </x:c>
      <x:c r="K33" s="31" t="n">
        <x:v>443.1842988</x:v>
      </x:c>
      <x:c r="L33" s="31" t="n">
        <x:v>0</x:v>
      </x:c>
      <x:c r="M33" s="31" t="n">
        <x:v>443.1842988</x:v>
      </x:c>
      <x:c r="N33" s="24" t="str">
        <x:v>polynemidae</x:v>
      </x:c>
      <x:c r="O33" s="32" t="n">
        <x:v>3.62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Polynemidae</x:v>
      </x:c>
      <x:c r="T33" s="32" t="n">
        <x:f>IF(O33="","",(1/'Metadata'!$B$5)^(O33-1))</x:f>
        <x:v>416.8693834703355</x:v>
      </x:c>
      <x:c r="U33" s="31" t="n">
        <x:f>IF(T33="","",I33*T33)</x:f>
        <x:v>184749.96540448896</x:v>
      </x:c>
    </x:row>
    <x:row r="34" ht="18" customHeight="1">
      <x:c r="A34" s="24" t="str">
        <x:v>EEZ_508</x:v>
      </x:c>
      <x:c r="B34" s="24" t="str">
        <x:v>Mozambique</x:v>
      </x:c>
      <x:c r="C34" s="24" t="str">
        <x:v>EEZ</x:v>
      </x:c>
      <x:c r="D34" s="30" t="n">
        <x:v>2019</x:v>
      </x:c>
      <x:c r="E34" s="24" t="str">
        <x:v>Leiognathidae</x:v>
      </x:c>
      <x:c r="F34" s="24" t="str">
        <x:v>Slipmouths, ponyfishes</x:v>
      </x:c>
      <x:c r="G34" s="24" t="str">
        <x:v>Small benthopelagics (&lt;30 cm)</x:v>
      </x:c>
      <x:c r="H34" s="24" t="str">
        <x:v>Perch-likes</x:v>
      </x:c>
      <x:c r="I34" s="31" t="n">
        <x:v>368.2004128845</x:v>
      </x:c>
      <x:c r="J34" s="31" t="n">
        <x:v>264.703794079</x:v>
      </x:c>
      <x:c r="K34" s="31" t="n">
        <x:v>103.4966188055</x:v>
      </x:c>
      <x:c r="L34" s="31" t="n">
        <x:v>264.703794079</x:v>
      </x:c>
      <x:c r="M34" s="31" t="n">
        <x:v>103.4966188055</x:v>
      </x:c>
      <x:c r="N34" s="24" t="str">
        <x:v>leiognathidae</x:v>
      </x:c>
      <x:c r="O34" s="32" t="n">
        <x:v>3.24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Leiognathidae</x:v>
      </x:c>
      <x:c r="T34" s="32" t="n">
        <x:f>IF(O34="","",(1/'Metadata'!$B$5)^(O34-1))</x:f>
        <x:v>173.78008287493762</x:v>
      </x:c>
      <x:c r="U34" s="31" t="n">
        <x:f>IF(T34="","",I34*T34)</x:f>
        <x:v>63985.89826565466</x:v>
      </x:c>
    </x:row>
    <x:row r="35" ht="18" customHeight="1">
      <x:c r="A35" s="24" t="str">
        <x:v>EEZ_508</x:v>
      </x:c>
      <x:c r="B35" s="24" t="str">
        <x:v>Mozambique</x:v>
      </x:c>
      <x:c r="C35" s="24" t="str">
        <x:v>EEZ</x:v>
      </x:c>
      <x:c r="D35" s="30" t="n">
        <x:v>2019</x:v>
      </x:c>
      <x:c r="E35" s="24" t="str">
        <x:v>Istiophoridae</x:v>
      </x:c>
      <x:c r="F35" s="24" t="str">
        <x:v>Billfishes</x:v>
      </x:c>
      <x:c r="G35" s="24" t="str">
        <x:v>Large pelagics (&gt;=90 cm)</x:v>
      </x:c>
      <x:c r="H35" s="24" t="str">
        <x:v>Tuna &amp; billfishes</x:v>
      </x:c>
      <x:c r="I35" s="31" t="n">
        <x:v>314.6473285157</x:v>
      </x:c>
      <x:c r="J35" s="31" t="n">
        <x:v>314.6473285157</x:v>
      </x:c>
      <x:c r="K35" s="31" t="n">
        <x:v>0</x:v>
      </x:c>
      <x:c r="L35" s="31" t="n">
        <x:v>314.6473285157</x:v>
      </x:c>
      <x:c r="M35" s="31" t="n">
        <x:v>0</x:v>
      </x:c>
      <x:c r="N35" s="24" t="str">
        <x:v>istiophoridae</x:v>
      </x:c>
      <x:c r="O35" s="32" t="n">
        <x:v>4.48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Istiophoridae</x:v>
      </x:c>
      <x:c r="T35" s="32" t="n">
        <x:f>IF(O35="","",(1/'Metadata'!$B$5)^(O35-1))</x:f>
        <x:v>3019.951720402019</x:v>
      </x:c>
      <x:c r="U35" s="31" t="n">
        <x:f>IF(T35="","",I35*T35)</x:f>
        <x:v>950219.7410708874</x:v>
      </x:c>
    </x:row>
    <x:row r="36" ht="18" customHeight="1">
      <x:c r="A36" s="24" t="str">
        <x:v>EEZ_508</x:v>
      </x:c>
      <x:c r="B36" s="24" t="str">
        <x:v>Mozambique</x:v>
      </x:c>
      <x:c r="C36" s="24" t="str">
        <x:v>EEZ</x:v>
      </x:c>
      <x:c r="D36" s="30" t="n">
        <x:v>2019</x:v>
      </x:c>
      <x:c r="E36" s="24" t="str">
        <x:v>Prionace glauca</x:v>
      </x:c>
      <x:c r="F36" s="24" t="str">
        <x:v>Blue shark</x:v>
      </x:c>
      <x:c r="G36" s="24" t="str">
        <x:v>Large sharks (&gt;=90 cm)</x:v>
      </x:c>
      <x:c r="H36" s="24" t="str">
        <x:v>Sharks &amp; rays</x:v>
      </x:c>
      <x:c r="I36" s="31" t="n">
        <x:v>186.5630585162</x:v>
      </x:c>
      <x:c r="J36" s="31" t="n">
        <x:v>186.5630585162</x:v>
      </x:c>
      <x:c r="K36" s="31" t="n">
        <x:v>0</x:v>
      </x:c>
      <x:c r="L36" s="31" t="n">
        <x:v>186.5630585162</x:v>
      </x:c>
      <x:c r="M36" s="31" t="n">
        <x:v>0</x:v>
      </x:c>
      <x:c r="N36" s="24" t="str">
        <x:v>prionace glauca</x:v>
      </x:c>
      <x:c r="O36" s="32" t="n">
        <x:v>4.35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Prionace glauca</x:v>
      </x:c>
      <x:c r="T36" s="32" t="n">
        <x:f>IF(O36="","",(1/'Metadata'!$B$5)^(O36-1))</x:f>
        <x:v>2238.7211385683377</x:v>
      </x:c>
      <x:c r="U36" s="31" t="n">
        <x:f>IF(T36="","",I36*T36)</x:f>
        <x:v>417662.6627761786</x:v>
      </x:c>
    </x:row>
    <x:row r="37" ht="18" customHeight="1">
      <x:c r="A37" s="24" t="str">
        <x:v>EEZ_508</x:v>
      </x:c>
      <x:c r="B37" s="24" t="str">
        <x:v>Mozambique</x:v>
      </x:c>
      <x:c r="C37" s="24" t="str">
        <x:v>EEZ</x:v>
      </x:c>
      <x:c r="D37" s="30" t="n">
        <x:v>2019</x:v>
      </x:c>
      <x:c r="E37" s="24" t="str">
        <x:v>Serranidae</x:v>
      </x:c>
      <x:c r="F37" s="24" t="str">
        <x:v>Basses, groupers, hinds</x:v>
      </x:c>
      <x:c r="G37" s="24" t="str">
        <x:v>Medium reef assoc. fish (30 - 89 cm)</x:v>
      </x:c>
      <x:c r="H37" s="24" t="str">
        <x:v>Perch-likes</x:v>
      </x:c>
      <x:c r="I37" s="31" t="n">
        <x:v>131.210633545</x:v>
      </x:c>
      <x:c r="J37" s="31" t="n">
        <x:v>131.210633545</x:v>
      </x:c>
      <x:c r="K37" s="31" t="n">
        <x:v>0</x:v>
      </x:c>
      <x:c r="L37" s="31" t="n">
        <x:v>131.210633545</x:v>
      </x:c>
      <x:c r="M37" s="31" t="n">
        <x:v>0</x:v>
      </x:c>
      <x:c r="N37" s="24" t="str">
        <x:v>serranidae</x:v>
      </x:c>
      <x:c r="O37" s="32" t="n">
        <x:v>3.98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Serranidae</x:v>
      </x:c>
      <x:c r="T37" s="32" t="n">
        <x:f>IF(O37="","",(1/'Metadata'!$B$5)^(O37-1))</x:f>
        <x:v>954.992586021436</x:v>
      </x:c>
      <x:c r="U37" s="31" t="n">
        <x:f>IF(T37="","",I37*T37)</x:f>
        <x:v>125305.18224265052</x:v>
      </x:c>
    </x:row>
    <x:row r="38" ht="18" customHeight="1">
      <x:c r="A38" s="24" t="str">
        <x:v>EEZ_508</x:v>
      </x:c>
      <x:c r="B38" s="24" t="str">
        <x:v>Mozambique</x:v>
      </x:c>
      <x:c r="C38" s="24" t="str">
        <x:v>EEZ</x:v>
      </x:c>
      <x:c r="D38" s="30" t="n">
        <x:v>2019</x:v>
      </x:c>
      <x:c r="E38" s="24" t="str">
        <x:v>Lobotes surinamensis</x:v>
      </x:c>
      <x:c r="F38" s="24" t="str">
        <x:v>Tripletail</x:v>
      </x:c>
      <x:c r="G38" s="24" t="str">
        <x:v>Large benthopelagics (&gt;=90 cm)</x:v>
      </x:c>
      <x:c r="H38" s="24" t="str">
        <x:v>Perch-likes</x:v>
      </x:c>
      <x:c r="I38" s="31" t="n">
        <x:v>129.590515404</x:v>
      </x:c>
      <x:c r="J38" s="31" t="n">
        <x:v>129.590515404</x:v>
      </x:c>
      <x:c r="K38" s="31" t="n">
        <x:v>0</x:v>
      </x:c>
      <x:c r="L38" s="31" t="n">
        <x:v>129.590515404</x:v>
      </x:c>
      <x:c r="M38" s="31" t="n">
        <x:v>0</x:v>
      </x:c>
      <x:c r="N38" s="24" t="str">
        <x:v>lobotes surinamensis</x:v>
      </x:c>
      <x:c r="O38" s="32" t="n">
        <x:v>4.04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Lobotes surinamensis</x:v>
      </x:c>
      <x:c r="T38" s="32" t="n">
        <x:f>IF(O38="","",(1/'Metadata'!$B$5)^(O38-1))</x:f>
        <x:v>1096.4781961431852</x:v>
      </x:c>
      <x:c r="U38" s="31" t="n">
        <x:f>IF(T38="","",I38*T38)</x:f>
        <x:v>142093.17456744358</x:v>
      </x:c>
    </x:row>
    <x:row r="39" ht="18" customHeight="1">
      <x:c r="A39" s="24" t="str">
        <x:v>EEZ_508</x:v>
      </x:c>
      <x:c r="B39" s="24" t="str">
        <x:v>Mozambique</x:v>
      </x:c>
      <x:c r="C39" s="24" t="str">
        <x:v>EEZ</x:v>
      </x:c>
      <x:c r="D39" s="30" t="n">
        <x:v>2019</x:v>
      </x:c>
      <x:c r="E39" s="24" t="str">
        <x:v>Soleidae</x:v>
      </x:c>
      <x:c r="F39" s="24" t="str">
        <x:v>Soles</x:v>
      </x:c>
      <x:c r="G39" s="24" t="str">
        <x:v>Small to medium flatfishes (&lt;90 cm)</x:v>
      </x:c>
      <x:c r="H39" s="24" t="str">
        <x:v>Flatfishes</x:v>
      </x:c>
      <x:c r="I39" s="31" t="n">
        <x:v>101.6854434879</x:v>
      </x:c>
      <x:c r="J39" s="31" t="n">
        <x:v>0</x:v>
      </x:c>
      <x:c r="K39" s="31" t="n">
        <x:v>101.6854434879</x:v>
      </x:c>
      <x:c r="L39" s="31" t="n">
        <x:v>0</x:v>
      </x:c>
      <x:c r="M39" s="31" t="n">
        <x:v>101.6854434879</x:v>
      </x:c>
      <x:c r="N39" s="24" t="str">
        <x:v>soleidae</x:v>
      </x:c>
      <x:c r="O39" s="32" t="n">
        <x:v>3.15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Soleidae</x:v>
      </x:c>
      <x:c r="T39" s="32" t="n">
        <x:f>IF(O39="","",(1/'Metadata'!$B$5)^(O39-1))</x:f>
        <x:v>141.2537544622754</x:v>
      </x:c>
      <x:c r="U39" s="31" t="n">
        <x:f>IF(T39="","",I39*T39)</x:f>
        <x:v>14363.450666827408</x:v>
      </x:c>
    </x:row>
    <x:row r="40" ht="18" customHeight="1">
      <x:c r="A40" s="24" t="str">
        <x:v>EEZ_508</x:v>
      </x:c>
      <x:c r="B40" s="24" t="str">
        <x:v>Mozambique</x:v>
      </x:c>
      <x:c r="C40" s="24" t="str">
        <x:v>EEZ</x:v>
      </x:c>
      <x:c r="D40" s="30" t="n">
        <x:v>2019</x:v>
      </x:c>
      <x:c r="E40" s="24" t="str">
        <x:v>Carcharhinus falciformis</x:v>
      </x:c>
      <x:c r="F40" s="24" t="str">
        <x:v>Silky shark</x:v>
      </x:c>
      <x:c r="G40" s="24" t="str">
        <x:v>Large sharks (&gt;=90 cm)</x:v>
      </x:c>
      <x:c r="H40" s="24" t="str">
        <x:v>Sharks &amp; rays</x:v>
      </x:c>
      <x:c r="I40" s="31" t="n">
        <x:v>101.358722034</x:v>
      </x:c>
      <x:c r="J40" s="31" t="n">
        <x:v>101.358722034</x:v>
      </x:c>
      <x:c r="K40" s="31" t="n">
        <x:v>0</x:v>
      </x:c>
      <x:c r="L40" s="31" t="n">
        <x:v>101.358722034</x:v>
      </x:c>
      <x:c r="M40" s="31" t="n">
        <x:v>0</x:v>
      </x:c>
      <x:c r="N40" s="24" t="str">
        <x:v>carcharhinus falciformis</x:v>
      </x:c>
      <x:c r="O40" s="32" t="n">
        <x:v>4.51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Carcharhinus falciformis</x:v>
      </x:c>
      <x:c r="T40" s="32" t="n">
        <x:f>IF(O40="","",(1/'Metadata'!$B$5)^(O40-1))</x:f>
        <x:v>3235.936569296281</x:v>
      </x:c>
      <x:c r="U40" s="31" t="n">
        <x:f>IF(T40="","",I40*T40)</x:f>
        <x:v>327990.3952469573</x:v>
      </x:c>
    </x:row>
    <x:row r="41" ht="18" customHeight="1">
      <x:c r="A41" s="24" t="str">
        <x:v>EEZ_508</x:v>
      </x:c>
      <x:c r="B41" s="24" t="str">
        <x:v>Mozambique</x:v>
      </x:c>
      <x:c r="C41" s="24" t="str">
        <x:v>EEZ</x:v>
      </x:c>
      <x:c r="D41" s="30" t="n">
        <x:v>2019</x:v>
      </x:c>
      <x:c r="E41" s="24" t="str">
        <x:v>Muraenesocidae</x:v>
      </x:c>
      <x:c r="F41" s="24" t="str">
        <x:v>Pike congers</x:v>
      </x:c>
      <x:c r="G41" s="24" t="str">
        <x:v>Large demersals (&gt;=90 cm)</x:v>
      </x:c>
      <x:c r="H41" s="24" t="str">
        <x:v>Other fishes &amp; inverts</x:v>
      </x:c>
      <x:c r="I41" s="31" t="n">
        <x:v>80.1586767547</x:v>
      </x:c>
      <x:c r="J41" s="31" t="n">
        <x:v>80.1586767547</x:v>
      </x:c>
      <x:c r="K41" s="31" t="n">
        <x:v>0</x:v>
      </x:c>
      <x:c r="L41" s="31" t="n">
        <x:v>80.1586767547</x:v>
      </x:c>
      <x:c r="M41" s="31" t="n">
        <x:v>0</x:v>
      </x:c>
      <x:c r="N41" s="24" t="str">
        <x:v>muraenesocidae</x:v>
      </x:c>
      <x:c r="O41" s="32" t="n">
        <x:v>3.9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Muraenesocidae</x:v>
      </x:c>
      <x:c r="T41" s="32" t="n">
        <x:f>IF(O41="","",(1/'Metadata'!$B$5)^(O41-1))</x:f>
        <x:v>794.3282347242813</x:v>
      </x:c>
      <x:c r="U41" s="31" t="n">
        <x:f>IF(T41="","",I41*T41)</x:f>
        <x:v>63672.30020439513</x:v>
      </x:c>
    </x:row>
    <x:row r="42" ht="18" customHeight="1">
      <x:c r="A42" s="24" t="str">
        <x:v>EEZ_508</x:v>
      </x:c>
      <x:c r="B42" s="24" t="str">
        <x:v>Mozambique</x:v>
      </x:c>
      <x:c r="C42" s="24" t="str">
        <x:v>EEZ</x:v>
      </x:c>
      <x:c r="D42" s="30" t="n">
        <x:v>2019</x:v>
      </x:c>
      <x:c r="E42" s="24" t="str">
        <x:v>Platycephalidae</x:v>
      </x:c>
      <x:c r="F42" s="24" t="str">
        <x:v>Flatheads</x:v>
      </x:c>
      <x:c r="G42" s="24" t="str">
        <x:v>Medium demersals (30 - 89 cm)</x:v>
      </x:c>
      <x:c r="H42" s="24" t="str">
        <x:v>Scorpionfishes</x:v>
      </x:c>
      <x:c r="I42" s="31" t="n">
        <x:v>67.06136045</x:v>
      </x:c>
      <x:c r="J42" s="31" t="n">
        <x:v>0</x:v>
      </x:c>
      <x:c r="K42" s="31" t="n">
        <x:v>67.06136045</x:v>
      </x:c>
      <x:c r="L42" s="31" t="n">
        <x:v>0</x:v>
      </x:c>
      <x:c r="M42" s="31" t="n">
        <x:v>67.06136045</x:v>
      </x:c>
      <x:c r="N42" s="24" t="str">
        <x:v>platycephalidae</x:v>
      </x:c>
      <x:c r="O42" s="32" t="n">
        <x:v>3.9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Platycephalidae</x:v>
      </x:c>
      <x:c r="T42" s="32" t="n">
        <x:f>IF(O42="","",(1/'Metadata'!$B$5)^(O42-1))</x:f>
        <x:v>794.3282347242813</x:v>
      </x:c>
      <x:c r="U42" s="31" t="n">
        <x:f>IF(T42="","",I42*T42)</x:f>
        <x:v>53268.73206445723</x:v>
      </x:c>
    </x:row>
    <x:row r="43" ht="18" customHeight="1">
      <x:c r="A43" s="24" t="str">
        <x:v>EEZ_508</x:v>
      </x:c>
      <x:c r="B43" s="24" t="str">
        <x:v>Mozambique</x:v>
      </x:c>
      <x:c r="C43" s="24" t="str">
        <x:v>EEZ</x:v>
      </x:c>
      <x:c r="D43" s="30" t="n">
        <x:v>2019</x:v>
      </x:c>
      <x:c r="E43" s="24" t="str">
        <x:v>Congridae</x:v>
      </x:c>
      <x:c r="F43" s="24" t="str">
        <x:v>Conger, garden eels</x:v>
      </x:c>
      <x:c r="G43" s="24" t="str">
        <x:v>Large demersals (&gt;=90 cm)</x:v>
      </x:c>
      <x:c r="H43" s="24" t="str">
        <x:v>Other fishes &amp; inverts</x:v>
      </x:c>
      <x:c r="I43" s="31" t="n">
        <x:v>49.17833099</x:v>
      </x:c>
      <x:c r="J43" s="31" t="n">
        <x:v>0</x:v>
      </x:c>
      <x:c r="K43" s="31" t="n">
        <x:v>49.17833099</x:v>
      </x:c>
      <x:c r="L43" s="31" t="n">
        <x:v>0</x:v>
      </x:c>
      <x:c r="M43" s="31" t="n">
        <x:v>49.17833099</x:v>
      </x:c>
      <x:c r="N43" s="24" t="str">
        <x:v>congridae</x:v>
      </x:c>
      <x:c r="O43" s="32" t="n">
        <x:v>4.18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Congridae</x:v>
      </x:c>
      <x:c r="T43" s="32" t="n">
        <x:f>IF(O43="","",(1/'Metadata'!$B$5)^(O43-1))</x:f>
        <x:v>1513.5612484362073</x:v>
      </x:c>
      <x:c r="U43" s="31" t="n">
        <x:f>IF(T43="","",I43*T43)</x:f>
        <x:v>74434.41604923342</x:v>
      </x:c>
    </x:row>
    <x:row r="44" ht="18" customHeight="1">
      <x:c r="A44" s="24" t="str">
        <x:v>EEZ_508</x:v>
      </x:c>
      <x:c r="B44" s="24" t="str">
        <x:v>Mozambique</x:v>
      </x:c>
      <x:c r="C44" s="24" t="str">
        <x:v>EEZ</x:v>
      </x:c>
      <x:c r="D44" s="30" t="n">
        <x:v>2019</x:v>
      </x:c>
      <x:c r="E44" s="24" t="str">
        <x:v>Trichiurus lepturus</x:v>
      </x:c>
      <x:c r="F44" s="24" t="str">
        <x:v>Largehead hairtail</x:v>
      </x:c>
      <x:c r="G44" s="24" t="str">
        <x:v>Large benthopelagics (&gt;=90 cm)</x:v>
      </x:c>
      <x:c r="H44" s="24" t="str">
        <x:v>Perch-likes</x:v>
      </x:c>
      <x:c r="I44" s="31" t="n">
        <x:v>38.3054396124</x:v>
      </x:c>
      <x:c r="J44" s="31" t="n">
        <x:v>38.3054396124</x:v>
      </x:c>
      <x:c r="K44" s="31" t="n">
        <x:v>0</x:v>
      </x:c>
      <x:c r="L44" s="31" t="n">
        <x:v>38.3054396124</x:v>
      </x:c>
      <x:c r="M44" s="31" t="n">
        <x:v>0</x:v>
      </x:c>
      <x:c r="N44" s="24" t="str">
        <x:v>trichiurus lepturus</x:v>
      </x:c>
      <x:c r="O44" s="32" t="n">
        <x:v>4.42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Trichiurus lepturus</x:v>
      </x:c>
      <x:c r="T44" s="32" t="n">
        <x:f>IF(O44="","",(1/'Metadata'!$B$5)^(O44-1))</x:f>
        <x:v>2630.2679918953813</x:v>
      </x:c>
      <x:c r="U44" s="31" t="n">
        <x:f>IF(T44="","",I44*T44)</x:f>
        <x:v>100753.57172797715</x:v>
      </x:c>
    </x:row>
    <x:row r="45" ht="18" customHeight="1">
      <x:c r="A45" s="24" t="str">
        <x:v>EEZ_508</x:v>
      </x:c>
      <x:c r="B45" s="24" t="str">
        <x:v>Mozambique</x:v>
      </x:c>
      <x:c r="C45" s="24" t="str">
        <x:v>EEZ</x:v>
      </x:c>
      <x:c r="D45" s="30" t="n">
        <x:v>2019</x:v>
      </x:c>
      <x:c r="E45" s="24" t="str">
        <x:v>Sepia</x:v>
      </x:c>
      <x:c r="F45" s="24" t="str">
        <x:v>Sepia cuttlefishes</x:v>
      </x:c>
      <x:c r="G45" s="24" t="str">
        <x:v>Cephalopods</x:v>
      </x:c>
      <x:c r="H45" s="24" t="str">
        <x:v>Other fishes &amp; inverts</x:v>
      </x:c>
      <x:c r="I45" s="31" t="n">
        <x:v>36.5493199269</x:v>
      </x:c>
      <x:c r="J45" s="31" t="n">
        <x:v>36.5493199269</x:v>
      </x:c>
      <x:c r="K45" s="31" t="n">
        <x:v>0</x:v>
      </x:c>
      <x:c r="L45" s="31" t="n">
        <x:v>36.5493199269</x:v>
      </x:c>
      <x:c r="M45" s="31" t="n">
        <x:v>0</x:v>
      </x:c>
      <x:c r="N45" s="24" t="str">
        <x:v>sepia</x:v>
      </x:c>
      <x:c r="O45" s="32" t="n">
        <x:v>3.69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Sepia</x:v>
      </x:c>
      <x:c r="T45" s="32" t="n">
        <x:f>IF(O45="","",(1/'Metadata'!$B$5)^(O45-1))</x:f>
        <x:v>489.77881936844614</x:v>
      </x:c>
      <x:c r="U45" s="31" t="n">
        <x:f>IF(T45="","",I45*T45)</x:f>
        <x:v>17901.082762516704</x:v>
      </x:c>
    </x:row>
    <x:row r="46" ht="18" customHeight="1">
      <x:c r="A46" s="24" t="str">
        <x:v>EEZ_508</x:v>
      </x:c>
      <x:c r="B46" s="24" t="str">
        <x:v>Mozambique</x:v>
      </x:c>
      <x:c r="C46" s="24" t="str">
        <x:v>EEZ</x:v>
      </x:c>
      <x:c r="D46" s="30" t="n">
        <x:v>2019</x:v>
      </x:c>
      <x:c r="E46" s="24" t="str">
        <x:v>Chondrichthyes</x:v>
      </x:c>
      <x:c r="F46" s="24" t="str">
        <x:v>Sharks, rays, chimaeras</x:v>
      </x:c>
      <x:c r="G46" s="24" t="str">
        <x:v>Large sharks (&gt;=90 cm)</x:v>
      </x:c>
      <x:c r="H46" s="24" t="str">
        <x:v>Sharks &amp; rays</x:v>
      </x:c>
      <x:c r="I46" s="31" t="n">
        <x:v>31.397469720300002</x:v>
      </x:c>
      <x:c r="J46" s="31" t="n">
        <x:v>31.397469720300002</x:v>
      </x:c>
      <x:c r="K46" s="31" t="n">
        <x:v>0</x:v>
      </x:c>
      <x:c r="L46" s="31" t="n">
        <x:v>31.397469720300002</x:v>
      </x:c>
      <x:c r="M46" s="31" t="n">
        <x:v>0</x:v>
      </x:c>
      <x:c r="N46" s="24" t="str">
        <x:v>chondrichthyes</x:v>
      </x:c>
      <x:c r="O46" s="32" t="n">
        <x:v>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Chondrichthyes</x:v>
      </x:c>
      <x:c r="T46" s="32" t="n">
        <x:f>IF(O46="","",(1/'Metadata'!$B$5)^(O46-1))</x:f>
        <x:v>1000</x:v>
      </x:c>
      <x:c r="U46" s="31" t="n">
        <x:f>IF(T46="","",I46*T46)</x:f>
        <x:v>31397.469720300003</x:v>
      </x:c>
    </x:row>
    <x:row r="47" ht="18" customHeight="1">
      <x:c r="A47" s="24" t="str">
        <x:v>EEZ_508</x:v>
      </x:c>
      <x:c r="B47" s="24" t="str">
        <x:v>Mozambique</x:v>
      </x:c>
      <x:c r="C47" s="24" t="str">
        <x:v>EEZ</x:v>
      </x:c>
      <x:c r="D47" s="30" t="n">
        <x:v>2019</x:v>
      </x:c>
      <x:c r="E47" s="24" t="str">
        <x:v>Cnidaria</x:v>
      </x:c>
      <x:c r="F47" s="24" t="str">
        <x:v>Cnidarians, coelenterates</x:v>
      </x:c>
      <x:c r="G47" s="24" t="str">
        <x:v>Jellyfish</x:v>
      </x:c>
      <x:c r="H47" s="24" t="str">
        <x:v>Other fishes &amp; inverts</x:v>
      </x:c>
      <x:c r="I47" s="31" t="n">
        <x:v>27.9522671861</x:v>
      </x:c>
      <x:c r="J47" s="31" t="n">
        <x:v>27.9522671861</x:v>
      </x:c>
      <x:c r="K47" s="31" t="n">
        <x:v>0</x:v>
      </x:c>
      <x:c r="L47" s="31" t="n">
        <x:v>27.9522671861</x:v>
      </x:c>
      <x:c r="M47" s="31" t="n">
        <x:v>0</x:v>
      </x:c>
      <x:c r="N47" s="24" t="str">
        <x:v>cnidaria</x:v>
      </x:c>
      <x:c r="O47" s="32" t="n">
        <x:v>2.5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Cnidaria</x:v>
      </x:c>
      <x:c r="T47" s="32" t="n">
        <x:f>IF(O47="","",(1/'Metadata'!$B$5)^(O47-1))</x:f>
        <x:v>31.622776601683793</x:v>
      </x:c>
      <x:c r="U47" s="31" t="n">
        <x:f>IF(T47="","",I47*T47)</x:f>
        <x:v>883.9283007366167</x:v>
      </x:c>
    </x:row>
    <x:row r="48" ht="18" customHeight="1">
      <x:c r="A48" s="24" t="str">
        <x:v>EEZ_508</x:v>
      </x:c>
      <x:c r="B48" s="24" t="str">
        <x:v>Mozambique</x:v>
      </x:c>
      <x:c r="C48" s="24" t="str">
        <x:v>EEZ</x:v>
      </x:c>
      <x:c r="D48" s="30" t="n">
        <x:v>2019</x:v>
      </x:c>
      <x:c r="E48" s="24" t="str">
        <x:v>Isurus oxyrinchus</x:v>
      </x:c>
      <x:c r="F48" s="24" t="str">
        <x:v>Shortfin mako</x:v>
      </x:c>
      <x:c r="G48" s="24" t="str">
        <x:v>Large sharks (&gt;=90 cm)</x:v>
      </x:c>
      <x:c r="H48" s="24" t="str">
        <x:v>Sharks &amp; rays</x:v>
      </x:c>
      <x:c r="I48" s="31" t="n">
        <x:v>26.4512673765</x:v>
      </x:c>
      <x:c r="J48" s="31" t="n">
        <x:v>26.4512673765</x:v>
      </x:c>
      <x:c r="K48" s="31" t="n">
        <x:v>0</x:v>
      </x:c>
      <x:c r="L48" s="31" t="n">
        <x:v>26.4512673765</x:v>
      </x:c>
      <x:c r="M48" s="31" t="n">
        <x:v>0</x:v>
      </x:c>
      <x:c r="N48" s="24" t="str">
        <x:v>isurus oxyrinchus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Isurus oxyrinchus</x:v>
      </x:c>
      <x:c r="T48" s="32" t="n">
        <x:f>IF(O48="","",(1/'Metadata'!$B$5)^(O48-1))</x:f>
        <x:v>3162.2776601683795</x:v>
      </x:c>
      <x:c r="U48" s="31" t="n">
        <x:f>IF(T48="","",I48*T48)</x:f>
        <x:v>83646.2519078466</x:v>
      </x:c>
    </x:row>
    <x:row r="49" ht="18" customHeight="1">
      <x:c r="A49" s="24" t="str">
        <x:v>EEZ_508</x:v>
      </x:c>
      <x:c r="B49" s="24" t="str">
        <x:v>Mozambique</x:v>
      </x:c>
      <x:c r="C49" s="24" t="str">
        <x:v>EEZ</x:v>
      </x:c>
      <x:c r="D49" s="30" t="n">
        <x:v>2019</x:v>
      </x:c>
      <x:c r="E49" s="24" t="str">
        <x:v>Thunnus alalunga</x:v>
      </x:c>
      <x:c r="F49" s="24" t="str">
        <x:v>Albacore</x:v>
      </x:c>
      <x:c r="G49" s="24" t="str">
        <x:v>Large pelagics (&gt;=90 cm)</x:v>
      </x:c>
      <x:c r="H49" s="24" t="str">
        <x:v>Tuna &amp; billfishes</x:v>
      </x:c>
      <x:c r="I49" s="31" t="n">
        <x:v>20.589461390700002</x:v>
      </x:c>
      <x:c r="J49" s="31" t="n">
        <x:v>20.589461390700002</x:v>
      </x:c>
      <x:c r="K49" s="31" t="n">
        <x:v>0</x:v>
      </x:c>
      <x:c r="L49" s="31" t="n">
        <x:v>20.589461390700002</x:v>
      </x:c>
      <x:c r="M49" s="31" t="n">
        <x:v>0</x:v>
      </x:c>
      <x:c r="N49" s="24" t="str">
        <x:v>thunnus alalunga</x:v>
      </x:c>
      <x:c r="O49" s="32" t="n">
        <x:v>4.3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alalunga</x:v>
      </x:c>
      <x:c r="T49" s="32" t="n">
        <x:f>IF(O49="","",(1/'Metadata'!$B$5)^(O49-1))</x:f>
        <x:v>1995.2623149688789</x:v>
      </x:c>
      <x:c r="U49" s="31" t="n">
        <x:f>IF(T49="","",I49*T49)</x:f>
        <x:v>41081.37639837044</x:v>
      </x:c>
    </x:row>
    <x:row r="50" ht="18" customHeight="1">
      <x:c r="A50" s="24" t="str">
        <x:v>EEZ_508</x:v>
      </x:c>
      <x:c r="B50" s="24" t="str">
        <x:v>Mozambique</x:v>
      </x:c>
      <x:c r="C50" s="24" t="str">
        <x:v>EEZ</x:v>
      </x:c>
      <x:c r="D50" s="30" t="n">
        <x:v>2019</x:v>
      </x:c>
      <x:c r="E50" s="24" t="str">
        <x:v>Marine pelagic fishes not identified</x:v>
      </x:c>
      <x:c r="F50" s="24" t="str">
        <x:v>Pelagic fishes</x:v>
      </x:c>
      <x:c r="G50" s="24" t="str">
        <x:v>Medium pelagics (30 - 89 cm)</x:v>
      </x:c>
      <x:c r="H50" s="24" t="str">
        <x:v>Other fishes &amp; inverts</x:v>
      </x:c>
      <x:c r="I50" s="31" t="n">
        <x:v>14.9112403901</x:v>
      </x:c>
      <x:c r="J50" s="31" t="n">
        <x:v>14.9112403901</x:v>
      </x:c>
      <x:c r="K50" s="31" t="n">
        <x:v>0</x:v>
      </x:c>
      <x:c r="L50" s="31" t="n">
        <x:v>14.9112403901</x:v>
      </x:c>
      <x:c r="M50" s="31" t="n">
        <x:v>0</x:v>
      </x:c>
      <x:c r="N50" s="24" t="str">
        <x:v>marine pelagic fishes not identified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Marine pelagic fishes not identified</x:v>
      </x:c>
      <x:c r="T50" s="32" t="n">
        <x:f>IF(O50="","",(1/'Metadata'!$B$5)^(O50-1))</x:f>
        <x:v>223.872113856834</x:v>
      </x:c>
      <x:c r="U50" s="31" t="n">
        <x:f>IF(T50="","",I50*T50)</x:f>
        <x:v>3338.210906359089</x:v>
      </x:c>
    </x:row>
    <x:row r="51" ht="18" customHeight="1">
      <x:c r="A51" s="24" t="str">
        <x:v>EEZ_508</x:v>
      </x:c>
      <x:c r="B51" s="24" t="str">
        <x:v>Mozambique</x:v>
      </x:c>
      <x:c r="C51" s="24" t="str">
        <x:v>EEZ</x:v>
      </x:c>
      <x:c r="D51" s="30" t="n">
        <x:v>2019</x:v>
      </x:c>
      <x:c r="E51" s="24" t="str">
        <x:v>Nemipteridae</x:v>
      </x:c>
      <x:c r="F51" s="24" t="str">
        <x:v>Threadfins, whiptail breams</x:v>
      </x:c>
      <x:c r="G51" s="24" t="str">
        <x:v>Small demersals (&lt;30 cm)</x:v>
      </x:c>
      <x:c r="H51" s="24" t="str">
        <x:v>Perch-likes</x:v>
      </x:c>
      <x:c r="I51" s="31" t="n">
        <x:v>12.461753505599999</x:v>
      </x:c>
      <x:c r="J51" s="31" t="n">
        <x:v>1.4666323555999998</x:v>
      </x:c>
      <x:c r="K51" s="31" t="n">
        <x:v>10.99512115</x:v>
      </x:c>
      <x:c r="L51" s="31" t="n">
        <x:v>1.4666323555999998</x:v>
      </x:c>
      <x:c r="M51" s="31" t="n">
        <x:v>10.99512115</x:v>
      </x:c>
      <x:c r="N51" s="24" t="str">
        <x:v>nemipteridae</x:v>
      </x:c>
      <x:c r="O51" s="32" t="n">
        <x:v>3.51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Nemipteridae</x:v>
      </x:c>
      <x:c r="T51" s="32" t="n">
        <x:f>IF(O51="","",(1/'Metadata'!$B$5)^(O51-1))</x:f>
        <x:v>323.5936569296281</x:v>
      </x:c>
      <x:c r="U51" s="31" t="n">
        <x:f>IF(T51="","",I51*T51)</x:f>
        <x:v>4032.544388632716</x:v>
      </x:c>
    </x:row>
    <x:row r="52" ht="18" customHeight="1">
      <x:c r="A52" s="24" t="str">
        <x:v>EEZ_508</x:v>
      </x:c>
      <x:c r="B52" s="24" t="str">
        <x:v>Mozambique</x:v>
      </x:c>
      <x:c r="C52" s="24" t="str">
        <x:v>EEZ</x:v>
      </x:c>
      <x:c r="D52" s="30" t="n">
        <x:v>2019</x:v>
      </x:c>
      <x:c r="E52" s="24" t="str">
        <x:v>Thunnus obesus</x:v>
      </x:c>
      <x:c r="F52" s="24" t="str">
        <x:v>Bigeye tuna</x:v>
      </x:c>
      <x:c r="G52" s="24" t="str">
        <x:v>Large pelagics (&gt;=90 cm)</x:v>
      </x:c>
      <x:c r="H52" s="24" t="str">
        <x:v>Tuna &amp; billfishes</x:v>
      </x:c>
      <x:c r="I52" s="31" t="n">
        <x:v>6.876553013800001</x:v>
      </x:c>
      <x:c r="J52" s="31" t="n">
        <x:v>6.876553013800001</x:v>
      </x:c>
      <x:c r="K52" s="31" t="n">
        <x:v>0</x:v>
      </x:c>
      <x:c r="L52" s="31" t="n">
        <x:v>6.876553013800001</x:v>
      </x:c>
      <x:c r="M52" s="31" t="n">
        <x:v>0</x:v>
      </x:c>
      <x:c r="N52" s="24" t="str">
        <x:v>thunnus obesus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Thunnus obesus</x:v>
      </x:c>
      <x:c r="T52" s="32" t="n">
        <x:f>IF(O52="","",(1/'Metadata'!$B$5)^(O52-1))</x:f>
        <x:v>3090.295432513592</x:v>
      </x:c>
      <x:c r="U52" s="31" t="n">
        <x:f>IF(T52="","",I52*T52)</x:f>
        <x:v>21250.580369983716</x:v>
      </x:c>
    </x:row>
    <x:row r="53" ht="18" customHeight="1">
      <x:c r="A53" s="24" t="str">
        <x:v>EEZ_508</x:v>
      </x:c>
      <x:c r="B53" s="24" t="str">
        <x:v>Mozambique</x:v>
      </x:c>
      <x:c r="C53" s="24" t="str">
        <x:v>EEZ</x:v>
      </x:c>
      <x:c r="D53" s="30" t="n">
        <x:v>2019</x:v>
      </x:c>
      <x:c r="E53" s="24" t="str">
        <x:v>Thunnus maccoyii</x:v>
      </x:c>
      <x:c r="F53" s="24" t="str">
        <x:v>Southern bluefin tuna</x:v>
      </x:c>
      <x:c r="G53" s="24" t="str">
        <x:v>Large pelagics (&gt;=90 cm)</x:v>
      </x:c>
      <x:c r="H53" s="24" t="str">
        <x:v>Tuna &amp; billfishes</x:v>
      </x:c>
      <x:c r="I53" s="31" t="n">
        <x:v>6.1665983235</x:v>
      </x:c>
      <x:c r="J53" s="31" t="n">
        <x:v>6.1665983235</x:v>
      </x:c>
      <x:c r="K53" s="31" t="n">
        <x:v>0</x:v>
      </x:c>
      <x:c r="L53" s="31" t="n">
        <x:v>6.1665983235</x:v>
      </x:c>
      <x:c r="M53" s="31" t="n">
        <x:v>0</x:v>
      </x:c>
      <x:c r="N53" s="24" t="str">
        <x:v>thunnus maccoyii</x:v>
      </x:c>
      <x:c r="O53" s="32" t="n">
        <x:v>3.93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maccoyii</x:v>
      </x:c>
      <x:c r="T53" s="32" t="n">
        <x:f>IF(O53="","",(1/'Metadata'!$B$5)^(O53-1))</x:f>
        <x:v>851.1380382023768</x:v>
      </x:c>
      <x:c r="U53" s="31" t="n">
        <x:f>IF(T53="","",I53*T53)</x:f>
        <x:v>5248.626399445856</x:v>
      </x:c>
    </x:row>
    <x:row r="54" ht="18" customHeight="1">
      <x:c r="A54" s="24" t="str">
        <x:v>EEZ_508</x:v>
      </x:c>
      <x:c r="B54" s="24" t="str">
        <x:v>Mozambique</x:v>
      </x:c>
      <x:c r="C54" s="24" t="str">
        <x:v>EEZ</x:v>
      </x:c>
      <x:c r="D54" s="30" t="n">
        <x:v>2019</x:v>
      </x:c>
      <x:c r="E54" s="24" t="str">
        <x:v>Coryphaena hippurus</x:v>
      </x:c>
      <x:c r="F54" s="24" t="str">
        <x:v>Common dolphinfish</x:v>
      </x:c>
      <x:c r="G54" s="24" t="str">
        <x:v>Large pelagics (&gt;=90 cm)</x:v>
      </x:c>
      <x:c r="H54" s="24" t="str">
        <x:v>Perch-likes</x:v>
      </x:c>
      <x:c r="I54" s="31" t="n">
        <x:v>4</x:v>
      </x:c>
      <x:c r="J54" s="31" t="n">
        <x:v>4</x:v>
      </x:c>
      <x:c r="K54" s="31" t="n">
        <x:v>0</x:v>
      </x:c>
      <x:c r="L54" s="31" t="n">
        <x:v>4</x:v>
      </x:c>
      <x:c r="M54" s="31" t="n">
        <x:v>0</x:v>
      </x:c>
      <x:c r="N54" s="24" t="str">
        <x:v>coryphaena hippurus</x:v>
      </x:c>
      <x:c r="O54" s="32" t="n">
        <x:v>4.37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Coryphaena hippurus</x:v>
      </x:c>
      <x:c r="T54" s="32" t="n">
        <x:f>IF(O54="","",(1/'Metadata'!$B$5)^(O54-1))</x:f>
        <x:v>2344.228815319923</x:v>
      </x:c>
      <x:c r="U54" s="31" t="n">
        <x:f>IF(T54="","",I54*T54)</x:f>
        <x:v>9376.915261279692</x:v>
      </x:c>
    </x:row>
    <x:row r="55" ht="18" customHeight="1">
      <x:c r="A55" s="24" t="str">
        <x:v>EEZ_508</x:v>
      </x:c>
      <x:c r="B55" s="24" t="str">
        <x:v>Mozambique</x:v>
      </x:c>
      <x:c r="C55" s="24" t="str">
        <x:v>EEZ</x:v>
      </x:c>
      <x:c r="D55" s="30" t="n">
        <x:v>2019</x:v>
      </x:c>
      <x:c r="E55" s="24" t="str">
        <x:v>Xiphias gladius</x:v>
      </x:c>
      <x:c r="F55" s="24" t="str">
        <x:v>Swordfish</x:v>
      </x:c>
      <x:c r="G55" s="24" t="str">
        <x:v>Large pelagics (&gt;=90 cm)</x:v>
      </x:c>
      <x:c r="H55" s="24" t="str">
        <x:v>Tuna &amp; billfishes</x:v>
      </x:c>
      <x:c r="I55" s="31" t="n">
        <x:v>3.7234726241000002</x:v>
      </x:c>
      <x:c r="J55" s="31" t="n">
        <x:v>3.7234726241000002</x:v>
      </x:c>
      <x:c r="K55" s="31" t="n">
        <x:v>0</x:v>
      </x:c>
      <x:c r="L55" s="31" t="n">
        <x:v>3.7234726241000002</x:v>
      </x:c>
      <x:c r="M55" s="31" t="n">
        <x:v>0</x:v>
      </x:c>
      <x:c r="N55" s="24" t="str">
        <x:v>xiphias gladius</x:v>
      </x:c>
      <x:c r="O55" s="32" t="n">
        <x:v>4.53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Xiphias gladius</x:v>
      </x:c>
      <x:c r="T55" s="32" t="n">
        <x:f>IF(O55="","",(1/'Metadata'!$B$5)^(O55-1))</x:f>
        <x:v>3388.4415613920273</x:v>
      </x:c>
      <x:c r="U55" s="31" t="n">
        <x:f>IF(T55="","",I55*T55)</x:f>
        <x:v>12616.769392205873</x:v>
      </x:c>
    </x:row>
    <x:row r="56" ht="18" customHeight="1">
      <x:c r="A56" s="24" t="str">
        <x:v>EEZ_508</x:v>
      </x:c>
      <x:c r="B56" s="24" t="str">
        <x:v>Mozambique</x:v>
      </x:c>
      <x:c r="C56" s="24" t="str">
        <x:v>EEZ</x:v>
      </x:c>
      <x:c r="D56" s="30" t="n">
        <x:v>2019</x:v>
      </x:c>
      <x:c r="E56" s="24" t="str">
        <x:v>Scomberoides</x:v>
      </x:c>
      <x:c r="F56" s="24" t="str">
        <x:v>Queenfishes</x:v>
      </x:c>
      <x:c r="G56" s="24" t="str">
        <x:v>Medium pelagics (30 - 89 cm)</x:v>
      </x:c>
      <x:c r="H56" s="24" t="str">
        <x:v>Perch-likes</x:v>
      </x:c>
      <x:c r="I56" s="31" t="n">
        <x:v>3.5513518050000004</x:v>
      </x:c>
      <x:c r="J56" s="31" t="n">
        <x:v>3.5513518050000004</x:v>
      </x:c>
      <x:c r="K56" s="31" t="n">
        <x:v>0</x:v>
      </x:c>
      <x:c r="L56" s="31" t="n">
        <x:v>3.5513518050000004</x:v>
      </x:c>
      <x:c r="M56" s="31" t="n">
        <x:v>0</x:v>
      </x:c>
      <x:c r="N56" s="24" t="str">
        <x:v>scomberoides</x:v>
      </x:c>
      <x:c r="O56" s="32" t="n">
        <x:v>4.47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Scomberoides</x:v>
      </x:c>
      <x:c r="T56" s="32" t="n">
        <x:f>IF(O56="","",(1/'Metadata'!$B$5)^(O56-1))</x:f>
        <x:v>2951.209226666384</x:v>
      </x:c>
      <x:c r="U56" s="31" t="n">
        <x:f>IF(T56="","",I56*T56)</x:f>
        <x:v>10480.782214054318</x:v>
      </x:c>
    </x:row>
    <x:row r="57" ht="18" customHeight="1">
      <x:c r="A57" s="24" t="str">
        <x:v>EEZ_508</x:v>
      </x:c>
      <x:c r="B57" s="24" t="str">
        <x:v>Mozambique</x:v>
      </x:c>
      <x:c r="C57" s="24" t="str">
        <x:v>EEZ</x:v>
      </x:c>
      <x:c r="D57" s="30" t="n">
        <x:v>2019</x:v>
      </x:c>
      <x:c r="E57" s="24" t="str">
        <x:v>Platycaranx chrysophrys</x:v>
      </x:c>
      <x:c r="F57" s="24" t="str">
        <x:v>Longnose trevally</x:v>
      </x:c>
      <x:c r="G57" s="24" t="str">
        <x:v>Small pelagics (&lt;30 cm)</x:v>
      </x:c>
      <x:c r="H57" s="24" t="str">
        <x:v>Perch-likes</x:v>
      </x:c>
      <x:c r="I57" s="31" t="n">
        <x:v>2.8758016944</x:v>
      </x:c>
      <x:c r="J57" s="31" t="n">
        <x:v>0</x:v>
      </x:c>
      <x:c r="K57" s="31" t="n">
        <x:v>2.8758016944</x:v>
      </x:c>
      <x:c r="L57" s="31" t="n">
        <x:v>0</x:v>
      </x:c>
      <x:c r="M57" s="31" t="n">
        <x:v>2.8758016944</x:v>
      </x:c>
      <x:c r="N57" s="24" t="str">
        <x:v>platycaranx chrysophrys</x:v>
      </x:c>
      <x:c r="O57" s="32" t="n">
        <x:v>4.3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Platycaranx chrysophrys</x:v>
      </x:c>
      <x:c r="T57" s="32" t="n">
        <x:f>IF(O57="","",(1/'Metadata'!$B$5)^(O57-1))</x:f>
        <x:v>1995.2623149688789</x:v>
      </x:c>
      <x:c r="U57" s="31" t="n">
        <x:f>IF(T57="","",I57*T57)</x:f>
        <x:v>5737.978746159969</x:v>
      </x:c>
    </x:row>
    <x:row r="58" ht="18" customHeight="1">
      <x:c r="A58" s="24" t="str">
        <x:v>EEZ_508</x:v>
      </x:c>
      <x:c r="B58" s="24" t="str">
        <x:v>Mozambique</x:v>
      </x:c>
      <x:c r="C58" s="24" t="str">
        <x:v>EEZ</x:v>
      </x:c>
      <x:c r="D58" s="30" t="n">
        <x:v>2019</x:v>
      </x:c>
      <x:c r="E58" s="24" t="str">
        <x:v>Himantura uarnak</x:v>
      </x:c>
      <x:c r="F58" s="24" t="str">
        <x:v>Honeycomb stingray</x:v>
      </x:c>
      <x:c r="G58" s="24" t="str">
        <x:v>Large rays (&gt;=90 cm)</x:v>
      </x:c>
      <x:c r="H58" s="24" t="str">
        <x:v>Sharks &amp; rays</x:v>
      </x:c>
      <x:c r="I58" s="31" t="n">
        <x:v>2.7077887143</x:v>
      </x:c>
      <x:c r="J58" s="31" t="n">
        <x:v>0</x:v>
      </x:c>
      <x:c r="K58" s="31" t="n">
        <x:v>2.7077887143</x:v>
      </x:c>
      <x:c r="L58" s="31" t="n">
        <x:v>0</x:v>
      </x:c>
      <x:c r="M58" s="31" t="n">
        <x:v>2.7077887143</x:v>
      </x:c>
      <x:c r="N58" s="24" t="str">
        <x:v>himantura uarnak</x:v>
      </x:c>
      <x:c r="O58" s="32" t="n">
        <x:v>3.6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Himantura uarnak</x:v>
      </x:c>
      <x:c r="T58" s="32" t="n">
        <x:f>IF(O58="","",(1/'Metadata'!$B$5)^(O58-1))</x:f>
        <x:v>398.1071705534973</x:v>
      </x:c>
      <x:c r="U58" s="31" t="n">
        <x:f>IF(T58="","",I58*T58)</x:f>
        <x:v>1077.9901035066653</x:v>
      </x:c>
    </x:row>
    <x:row r="59" ht="18" customHeight="1">
      <x:c r="A59" s="24" t="str">
        <x:v>EEZ_508</x:v>
      </x:c>
      <x:c r="B59" s="24" t="str">
        <x:v>Mozambique</x:v>
      </x:c>
      <x:c r="C59" s="24" t="str">
        <x:v>EEZ</x:v>
      </x:c>
      <x:c r="D59" s="30" t="n">
        <x:v>2019</x:v>
      </x:c>
      <x:c r="E59" s="24" t="str">
        <x:v>Thunnus albacares</x:v>
      </x:c>
      <x:c r="F59" s="24" t="str">
        <x:v>Yellowfin tuna</x:v>
      </x:c>
      <x:c r="G59" s="24" t="str">
        <x:v>Large pelagics (&gt;=90 cm)</x:v>
      </x:c>
      <x:c r="H59" s="24" t="str">
        <x:v>Tuna &amp; billfishes</x:v>
      </x:c>
      <x:c r="I59" s="31" t="n">
        <x:v>2.6855021826999996</x:v>
      </x:c>
      <x:c r="J59" s="31" t="n">
        <x:v>2.6855021826999996</x:v>
      </x:c>
      <x:c r="K59" s="31" t="n">
        <x:v>0</x:v>
      </x:c>
      <x:c r="L59" s="31" t="n">
        <x:v>2.6855021826999996</x:v>
      </x:c>
      <x:c r="M59" s="31" t="n">
        <x:v>0</x:v>
      </x:c>
      <x:c r="N59" s="24" t="str">
        <x:v>thunnus albacares</x:v>
      </x:c>
      <x:c r="O59" s="32" t="n">
        <x:v>4.41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Thunnus albacares</x:v>
      </x:c>
      <x:c r="T59" s="32" t="n">
        <x:f>IF(O59="","",(1/'Metadata'!$B$5)^(O59-1))</x:f>
        <x:v>2570.3957827688646</x:v>
      </x:c>
      <x:c r="U59" s="31" t="n">
        <x:f>IF(T59="","",I59*T59)</x:f>
        <x:v>6902.80348502866</x:v>
      </x:c>
    </x:row>
    <x:row r="60" ht="18" customHeight="1">
      <x:c r="A60" s="24" t="str">
        <x:v>EEZ_508</x:v>
      </x:c>
      <x:c r="B60" s="24" t="str">
        <x:v>Mozambique</x:v>
      </x:c>
      <x:c r="C60" s="24" t="str">
        <x:v>EEZ</x:v>
      </x:c>
      <x:c r="D60" s="30" t="n">
        <x:v>2019</x:v>
      </x:c>
      <x:c r="E60" s="24" t="str">
        <x:v>Lactarius lactarius</x:v>
      </x:c>
      <x:c r="F60" s="24" t="str">
        <x:v>False trevally</x:v>
      </x:c>
      <x:c r="G60" s="24" t="str">
        <x:v>Medium pelagics (30 - 89 cm)</x:v>
      </x:c>
      <x:c r="H60" s="24" t="str">
        <x:v>Perch-likes</x:v>
      </x:c>
      <x:c r="I60" s="31" t="n">
        <x:v>2.4528768325</x:v>
      </x:c>
      <x:c r="J60" s="31" t="n">
        <x:v>0</x:v>
      </x:c>
      <x:c r="K60" s="31" t="n">
        <x:v>2.4528768325</x:v>
      </x:c>
      <x:c r="L60" s="31" t="n">
        <x:v>0</x:v>
      </x:c>
      <x:c r="M60" s="31" t="n">
        <x:v>2.4528768325</x:v>
      </x:c>
      <x:c r="N60" s="24" t="str">
        <x:v>lactarius lactarius</x:v>
      </x:c>
      <x:c r="O60" s="32" t="n">
        <x:v>3.97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Lactarius lactarius</x:v>
      </x:c>
      <x:c r="T60" s="32" t="n">
        <x:f>IF(O60="","",(1/'Metadata'!$B$5)^(O60-1))</x:f>
        <x:v>933.2543007969915</x:v>
      </x:c>
      <x:c r="U60" s="31" t="n">
        <x:f>IF(T60="","",I60*T60)</x:f>
        <x:v>2289.1578532559265</x:v>
      </x:c>
    </x:row>
    <x:row r="61" ht="18" customHeight="1">
      <x:c r="A61" s="24" t="str">
        <x:v>EEZ_508</x:v>
      </x:c>
      <x:c r="B61" s="24" t="str">
        <x:v>Mozambique</x:v>
      </x:c>
      <x:c r="C61" s="24" t="str">
        <x:v>EEZ</x:v>
      </x:c>
      <x:c r="D61" s="30" t="n">
        <x:v>2019</x:v>
      </x:c>
      <x:c r="E61" s="24" t="str">
        <x:v>Rastrelliger kanagurta</x:v>
      </x:c>
      <x:c r="F61" s="24" t="str">
        <x:v>Indian mackerel</x:v>
      </x:c>
      <x:c r="G61" s="24" t="str">
        <x:v>Medium pelagics (30 - 89 cm)</x:v>
      </x:c>
      <x:c r="H61" s="24" t="str">
        <x:v>Perch-likes</x:v>
      </x:c>
      <x:c r="I61" s="31" t="n">
        <x:v>2.1965735891</x:v>
      </x:c>
      <x:c r="J61" s="31" t="n">
        <x:v>0</x:v>
      </x:c>
      <x:c r="K61" s="31" t="n">
        <x:v>2.1965735891</x:v>
      </x:c>
      <x:c r="L61" s="31" t="n">
        <x:v>0</x:v>
      </x:c>
      <x:c r="M61" s="31" t="n">
        <x:v>2.1965735891</x:v>
      </x:c>
      <x:c r="N61" s="24" t="str">
        <x:v>rastrelliger kanagurta</x:v>
      </x:c>
      <x:c r="O61" s="32" t="n">
        <x:v>3.19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Rastrelliger kanagurta</x:v>
      </x:c>
      <x:c r="T61" s="32" t="n">
        <x:f>IF(O61="","",(1/'Metadata'!$B$5)^(O61-1))</x:f>
        <x:v>154.88166189124811</x:v>
      </x:c>
      <x:c r="U61" s="31" t="n">
        <x:f>IF(T61="","",I61*T61)</x:f>
        <x:v>340.20896794623155</x:v>
      </x:c>
    </x:row>
    <x:row r="62" ht="18" customHeight="1">
      <x:c r="A62" s="24" t="str">
        <x:v>EEZ_508</x:v>
      </x:c>
      <x:c r="B62" s="24" t="str">
        <x:v>Mozambique</x:v>
      </x:c>
      <x:c r="C62" s="24" t="str">
        <x:v>EEZ</x:v>
      </x:c>
      <x:c r="D62" s="30" t="n">
        <x:v>2019</x:v>
      </x:c>
      <x:c r="E62" s="24" t="str">
        <x:v>Scomberomorus</x:v>
      </x:c>
      <x:c r="F62" s="24" t="str">
        <x:v>Spanish mackerels</x:v>
      </x:c>
      <x:c r="G62" s="24" t="str">
        <x:v>Large pelagics (&gt;=90 cm)</x:v>
      </x:c>
      <x:c r="H62" s="24" t="str">
        <x:v>Perch-likes</x:v>
      </x:c>
      <x:c r="I62" s="31" t="n">
        <x:v>1.8110703970000002</x:v>
      </x:c>
      <x:c r="J62" s="31" t="n">
        <x:v>1.8110703970000002</x:v>
      </x:c>
      <x:c r="K62" s="31" t="n">
        <x:v>0</x:v>
      </x:c>
      <x:c r="L62" s="31" t="n">
        <x:v>1.8110703970000002</x:v>
      </x:c>
      <x:c r="M62" s="31" t="n">
        <x:v>0</x:v>
      </x:c>
      <x:c r="N62" s="24" t="str">
        <x:v>scomberomorus</x:v>
      </x:c>
      <x:c r="O62" s="32" t="n">
        <x:v>4.35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Scomberomorus</x:v>
      </x:c>
      <x:c r="T62" s="32" t="n">
        <x:f>IF(O62="","",(1/'Metadata'!$B$5)^(O62-1))</x:f>
        <x:v>2238.7211385683377</x:v>
      </x:c>
      <x:c r="U62" s="31" t="n">
        <x:f>IF(T62="","",I62*T62)</x:f>
        <x:v>4054.4815811992517</x:v>
      </x:c>
    </x:row>
    <x:row r="63" ht="18" customHeight="1">
      <x:c r="A63" s="24" t="str">
        <x:v>EEZ_508</x:v>
      </x:c>
      <x:c r="B63" s="24" t="str">
        <x:v>Mozambique</x:v>
      </x:c>
      <x:c r="C63" s="24" t="str">
        <x:v>EEZ</x:v>
      </x:c>
      <x:c r="D63" s="30" t="n">
        <x:v>2019</x:v>
      </x:c>
      <x:c r="E63" s="24" t="str">
        <x:v>Carcharhinus longimanus</x:v>
      </x:c>
      <x:c r="F63" s="24" t="str">
        <x:v>Oceanic whitetip shark</x:v>
      </x:c>
      <x:c r="G63" s="24" t="str">
        <x:v>Large sharks (&gt;=90 cm)</x:v>
      </x:c>
      <x:c r="H63" s="24" t="str">
        <x:v>Sharks &amp; rays</x:v>
      </x:c>
      <x:c r="I63" s="31" t="n">
        <x:v>1.6026974339</x:v>
      </x:c>
      <x:c r="J63" s="31" t="n">
        <x:v>1.6026974339</x:v>
      </x:c>
      <x:c r="K63" s="31" t="n">
        <x:v>0</x:v>
      </x:c>
      <x:c r="L63" s="31" t="n">
        <x:v>1.6026974339</x:v>
      </x:c>
      <x:c r="M63" s="31" t="n">
        <x:v>0</x:v>
      </x:c>
      <x:c r="N63" s="24" t="str">
        <x:v>carcharhinus longimanus</x:v>
      </x:c>
      <x:c r="O63" s="32" t="n">
        <x:v>4.16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Carcharhinus longimanus</x:v>
      </x:c>
      <x:c r="T63" s="32" t="n">
        <x:f>IF(O63="","",(1/'Metadata'!$B$5)^(O63-1))</x:f>
        <x:v>1445.439770745928</x:v>
      </x:c>
      <x:c r="U63" s="31" t="n">
        <x:f>IF(T63="","",I63*T63)</x:f>
        <x:v>2316.6026114315027</x:v>
      </x:c>
    </x:row>
    <x:row r="64" ht="18" customHeight="1">
      <x:c r="A64" s="24" t="str">
        <x:v>EEZ_508</x:v>
      </x:c>
      <x:c r="B64" s="24" t="str">
        <x:v>Mozambique</x:v>
      </x:c>
      <x:c r="C64" s="24" t="str">
        <x:v>EEZ</x:v>
      </x:c>
      <x:c r="D64" s="30" t="n">
        <x:v>2019</x:v>
      </x:c>
      <x:c r="E64" s="24" t="str">
        <x:v>Otolithes ruber</x:v>
      </x:c>
      <x:c r="F64" s="24" t="str">
        <x:v>Tigertooth croaker</x:v>
      </x:c>
      <x:c r="G64" s="24" t="str">
        <x:v>Medium benthopelagics (30 - 89 cm)</x:v>
      </x:c>
      <x:c r="H64" s="24" t="str">
        <x:v>Perch-likes</x:v>
      </x:c>
      <x:c r="I64" s="31" t="n">
        <x:v>1.5085491315</x:v>
      </x:c>
      <x:c r="J64" s="31" t="n">
        <x:v>0</x:v>
      </x:c>
      <x:c r="K64" s="31" t="n">
        <x:v>1.5085491315</x:v>
      </x:c>
      <x:c r="L64" s="31" t="n">
        <x:v>0</x:v>
      </x:c>
      <x:c r="M64" s="31" t="n">
        <x:v>1.5085491315</x:v>
      </x:c>
      <x:c r="N64" s="24" t="str">
        <x:v>otolithes ruber</x:v>
      </x:c>
      <x:c r="O64" s="32" t="n">
        <x:v>3.6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Otolithes ruber</x:v>
      </x:c>
      <x:c r="T64" s="32" t="n">
        <x:f>IF(O64="","",(1/'Metadata'!$B$5)^(O64-1))</x:f>
        <x:v>398.1071705534973</x:v>
      </x:c>
      <x:c r="U64" s="31" t="n">
        <x:f>IF(T64="","",I64*T64)</x:f>
        <x:v>600.5642263824008</x:v>
      </x:c>
    </x:row>
    <x:row r="65" ht="18" customHeight="1">
      <x:c r="A65" s="24" t="str">
        <x:v>EEZ_508</x:v>
      </x:c>
      <x:c r="B65" s="24" t="str">
        <x:v>Mozambique</x:v>
      </x:c>
      <x:c r="C65" s="24" t="str">
        <x:v>EEZ</x:v>
      </x:c>
      <x:c r="D65" s="30" t="n">
        <x:v>2019</x:v>
      </x:c>
      <x:c r="E65" s="24" t="str">
        <x:v>Mugil cephalus</x:v>
      </x:c>
      <x:c r="F65" s="24" t="str">
        <x:v>Flathead grey mullet</x:v>
      </x:c>
      <x:c r="G65" s="24" t="str">
        <x:v>Large benthopelagics (&gt;=90 cm)</x:v>
      </x:c>
      <x:c r="H65" s="24" t="str">
        <x:v>Perch-likes</x:v>
      </x:c>
      <x:c r="I65" s="31" t="n">
        <x:v>1.3385536935</x:v>
      </x:c>
      <x:c r="J65" s="31" t="n">
        <x:v>0</x:v>
      </x:c>
      <x:c r="K65" s="31" t="n">
        <x:v>1.3385536935</x:v>
      </x:c>
      <x:c r="L65" s="31" t="n">
        <x:v>0</x:v>
      </x:c>
      <x:c r="M65" s="31" t="n">
        <x:v>1.3385536935</x:v>
      </x:c>
      <x:c r="N65" s="24" t="str">
        <x:v>mugil cephalus</x:v>
      </x:c>
      <x:c r="O65" s="32" t="n">
        <x:v>2.14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Mugil cephalus</x:v>
      </x:c>
      <x:c r="T65" s="32" t="n">
        <x:f>IF(O65="","",(1/'Metadata'!$B$5)^(O65-1))</x:f>
        <x:v>13.803842646028853</x:v>
      </x:c>
      <x:c r="U65" s="31" t="n">
        <x:f>IF(T65="","",I65*T65)</x:f>
        <x:v>18.477184558334734</x:v>
      </x:c>
    </x:row>
    <x:row r="66" ht="18" customHeight="1">
      <x:c r="A66" s="24" t="str">
        <x:v>EEZ_508</x:v>
      </x:c>
      <x:c r="B66" s="24" t="str">
        <x:v>Mozambique</x:v>
      </x:c>
      <x:c r="C66" s="24" t="str">
        <x:v>EEZ</x:v>
      </x:c>
      <x:c r="D66" s="30" t="n">
        <x:v>2019</x:v>
      </x:c>
      <x:c r="E66" s="24" t="str">
        <x:v>Scombroidei</x:v>
      </x:c>
      <x:c r="F66" s="24" t="str">
        <x:v>Tunas, bonitos, billfishes</x:v>
      </x:c>
      <x:c r="G66" s="24" t="str">
        <x:v>Large pelagics (&gt;=90 cm)</x:v>
      </x:c>
      <x:c r="H66" s="24" t="str">
        <x:v>Tuna &amp; billfishes</x:v>
      </x:c>
      <x:c r="I66" s="31" t="n">
        <x:v>1.2754457344999999</x:v>
      </x:c>
      <x:c r="J66" s="31" t="n">
        <x:v>1.2754457344999999</x:v>
      </x:c>
      <x:c r="K66" s="31" t="n">
        <x:v>0</x:v>
      </x:c>
      <x:c r="L66" s="31" t="n">
        <x:v>1.2754457344999999</x:v>
      </x:c>
      <x:c r="M66" s="31" t="n">
        <x:v>0</x:v>
      </x:c>
      <x:c r="N66" s="24" t="str">
        <x:v>scombroidei</x:v>
      </x:c>
      <x:c r="O66" s="32" t="n">
        <x:v>4.2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Scombroidei</x:v>
      </x:c>
      <x:c r="T66" s="32" t="n">
        <x:f>IF(O66="","",(1/'Metadata'!$B$5)^(O66-1))</x:f>
        <x:v>1584.893192461114</x:v>
      </x:c>
      <x:c r="U66" s="31" t="n">
        <x:f>IF(T66="","",I66*T66)</x:f>
        <x:v>2021.4452619626152</x:v>
      </x:c>
    </x:row>
    <x:row r="67" ht="18" customHeight="1">
      <x:c r="A67" s="24" t="str">
        <x:v>EEZ_508</x:v>
      </x:c>
      <x:c r="B67" s="24" t="str">
        <x:v>Mozambique</x:v>
      </x:c>
      <x:c r="C67" s="24" t="str">
        <x:v>EEZ</x:v>
      </x:c>
      <x:c r="D67" s="30" t="n">
        <x:v>2019</x:v>
      </x:c>
      <x:c r="E67" s="24" t="str">
        <x:v>Netuma thalassina</x:v>
      </x:c>
      <x:c r="F67" s="24" t="str">
        <x:v>Giant catfish</x:v>
      </x:c>
      <x:c r="G67" s="24" t="str">
        <x:v>Large demersals (&gt;=90 cm)</x:v>
      </x:c>
      <x:c r="H67" s="24" t="str">
        <x:v>Other fishes &amp; inverts</x:v>
      </x:c>
      <x:c r="I67" s="31" t="n">
        <x:v>1.2065026758</x:v>
      </x:c>
      <x:c r="J67" s="31" t="n">
        <x:v>0</x:v>
      </x:c>
      <x:c r="K67" s="31" t="n">
        <x:v>1.2065026758</x:v>
      </x:c>
      <x:c r="L67" s="31" t="n">
        <x:v>0</x:v>
      </x:c>
      <x:c r="M67" s="31" t="n">
        <x:v>1.2065026758</x:v>
      </x:c>
      <x:c r="N67" s="24" t="str">
        <x:v>netuma thalassina</x:v>
      </x:c>
      <x:c r="O67" s="32" t="n">
        <x:v>3.54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Netuma thalassina</x:v>
      </x:c>
      <x:c r="T67" s="32" t="n">
        <x:f>IF(O67="","",(1/'Metadata'!$B$5)^(O67-1))</x:f>
        <x:v>346.73685045253166</x:v>
      </x:c>
      <x:c r="U67" s="31" t="n">
        <x:f>IF(T67="","",I67*T67)</x:f>
        <x:v>418.33893786944384</x:v>
      </x:c>
    </x:row>
    <x:row r="68" ht="18" customHeight="1">
      <x:c r="A68" s="24" t="str">
        <x:v>EEZ_508</x:v>
      </x:c>
      <x:c r="B68" s="24" t="str">
        <x:v>Mozambique</x:v>
      </x:c>
      <x:c r="C68" s="24" t="str">
        <x:v>EEZ</x:v>
      </x:c>
      <x:c r="D68" s="30" t="n">
        <x:v>2019</x:v>
      </x:c>
      <x:c r="E68" s="24" t="str">
        <x:v>Tetrapturus angustirostris</x:v>
      </x:c>
      <x:c r="F68" s="24" t="str">
        <x:v>Shortbill spearfish</x:v>
      </x:c>
      <x:c r="G68" s="24" t="str">
        <x:v>Large pelagics (&gt;=90 cm)</x:v>
      </x:c>
      <x:c r="H68" s="24" t="str">
        <x:v>Tuna &amp; billfishes</x:v>
      </x:c>
      <x:c r="I68" s="31" t="n">
        <x:v>0.8966795237</x:v>
      </x:c>
      <x:c r="J68" s="31" t="n">
        <x:v>0.8966795237</x:v>
      </x:c>
      <x:c r="K68" s="31" t="n">
        <x:v>0</x:v>
      </x:c>
      <x:c r="L68" s="31" t="n">
        <x:v>0.8966795237</x:v>
      </x:c>
      <x:c r="M68" s="31" t="n">
        <x:v>0</x:v>
      </x:c>
      <x:c r="N68" s="24" t="str">
        <x:v>tetrapturus angustirostris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Tetrapturus angustirostris</x:v>
      </x:c>
      <x:c r="T68" s="32" t="n">
        <x:f>IF(O68="","",(1/'Metadata'!$B$5)^(O68-1))</x:f>
        <x:v>3162.2776601683795</x:v>
      </x:c>
      <x:c r="U68" s="31" t="n">
        <x:f>IF(T68="","",I68*T68)</x:f>
        <x:v>2835.549626126933</x:v>
      </x:c>
    </x:row>
    <x:row r="69" ht="18" customHeight="1">
      <x:c r="A69" s="24" t="str">
        <x:v>EEZ_508</x:v>
      </x:c>
      <x:c r="B69" s="24" t="str">
        <x:v>Mozambique</x:v>
      </x:c>
      <x:c r="C69" s="24" t="str">
        <x:v>EEZ</x:v>
      </x:c>
      <x:c r="D69" s="30" t="n">
        <x:v>2019</x:v>
      </x:c>
      <x:c r="E69" s="24" t="str">
        <x:v>Upeneus vittatus</x:v>
      </x:c>
      <x:c r="F69" s="24" t="str">
        <x:v>Yellowstriped goatfish</x:v>
      </x:c>
      <x:c r="G69" s="24" t="str">
        <x:v>Small reef assoc. fish (&lt;30 cm)</x:v>
      </x:c>
      <x:c r="H69" s="24" t="str">
        <x:v>Perch-likes</x:v>
      </x:c>
      <x:c r="I69" s="31" t="n">
        <x:v>0.8555550744</x:v>
      </x:c>
      <x:c r="J69" s="31" t="n">
        <x:v>0</x:v>
      </x:c>
      <x:c r="K69" s="31" t="n">
        <x:v>0.8555550744</x:v>
      </x:c>
      <x:c r="L69" s="31" t="n">
        <x:v>0</x:v>
      </x:c>
      <x:c r="M69" s="31" t="n">
        <x:v>0.8555550744</x:v>
      </x:c>
      <x:c r="N69" s="24" t="str">
        <x:v>upeneus vittatus</x:v>
      </x:c>
      <x:c r="O69" s="32" t="n">
        <x:v>3.62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Upeneus vittatus</x:v>
      </x:c>
      <x:c r="T69" s="32" t="n">
        <x:f>IF(O69="","",(1/'Metadata'!$B$5)^(O69-1))</x:f>
        <x:v>416.8693834703355</x:v>
      </x:c>
      <x:c r="U69" s="31" t="n">
        <x:f>IF(T69="","",I69*T69)</x:f>
        <x:v>356.654716390045</x:v>
      </x:c>
    </x:row>
    <x:row r="70" ht="18" customHeight="1">
      <x:c r="A70" s="24" t="str">
        <x:v>EEZ_508</x:v>
      </x:c>
      <x:c r="B70" s="24" t="str">
        <x:v>Mozambique</x:v>
      </x:c>
      <x:c r="C70" s="24" t="str">
        <x:v>EEZ</x:v>
      </x:c>
      <x:c r="D70" s="30" t="n">
        <x:v>2019</x:v>
      </x:c>
      <x:c r="E70" s="24" t="str">
        <x:v>Hilsa kelee</x:v>
      </x:c>
      <x:c r="F70" s="24" t="str">
        <x:v>Kelee shad</x:v>
      </x:c>
      <x:c r="G70" s="24" t="str">
        <x:v>Small pelagics (&lt;30 cm)</x:v>
      </x:c>
      <x:c r="H70" s="24" t="str">
        <x:v>Herring-likes</x:v>
      </x:c>
      <x:c r="I70" s="31" t="n">
        <x:v>0.7448374264</x:v>
      </x:c>
      <x:c r="J70" s="31" t="n">
        <x:v>0</x:v>
      </x:c>
      <x:c r="K70" s="31" t="n">
        <x:v>0.7448374264</x:v>
      </x:c>
      <x:c r="L70" s="31" t="n">
        <x:v>0</x:v>
      </x:c>
      <x:c r="M70" s="31" t="n">
        <x:v>0.7448374264</x:v>
      </x:c>
      <x:c r="N70" s="24" t="str">
        <x:v>hilsa kelee</x:v>
      </x:c>
      <x:c r="O70" s="32" t="n">
        <x:v>3.25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Hilsa kelee</x:v>
      </x:c>
      <x:c r="T70" s="32" t="n">
        <x:f>IF(O70="","",(1/'Metadata'!$B$5)^(O70-1))</x:f>
        <x:v>177.82794100389228</x:v>
      </x:c>
      <x:c r="U70" s="31" t="n">
        <x:f>IF(T70="","",I70*T70)</x:f>
        <x:v>132.45290591935014</x:v>
      </x:c>
    </x:row>
    <x:row r="71" ht="18" customHeight="1">
      <x:c r="A71" s="24" t="str">
        <x:v>EEZ_508</x:v>
      </x:c>
      <x:c r="B71" s="24" t="str">
        <x:v>Mozambique</x:v>
      </x:c>
      <x:c r="C71" s="24" t="str">
        <x:v>EEZ</x:v>
      </x:c>
      <x:c r="D71" s="30" t="n">
        <x:v>2019</x:v>
      </x:c>
      <x:c r="E71" s="24" t="str">
        <x:v>Terapon jarbua</x:v>
      </x:c>
      <x:c r="F71" s="24" t="str">
        <x:v>Jarbua terapon</x:v>
      </x:c>
      <x:c r="G71" s="24" t="str">
        <x:v>Medium demersals (30 - 89 cm)</x:v>
      </x:c>
      <x:c r="H71" s="24" t="str">
        <x:v>Perch-likes</x:v>
      </x:c>
      <x:c r="I71" s="31" t="n">
        <x:v>0.7441959173</x:v>
      </x:c>
      <x:c r="J71" s="31" t="n">
        <x:v>0</x:v>
      </x:c>
      <x:c r="K71" s="31" t="n">
        <x:v>0.7441959173</x:v>
      </x:c>
      <x:c r="L71" s="31" t="n">
        <x:v>0</x:v>
      </x:c>
      <x:c r="M71" s="31" t="n">
        <x:v>0.7441959173</x:v>
      </x:c>
      <x:c r="N71" s="24" t="str">
        <x:v>terapon jarbua</x:v>
      </x:c>
      <x:c r="O71" s="32" t="n">
        <x:v>3.93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Terapon jarbua</x:v>
      </x:c>
      <x:c r="T71" s="32" t="n">
        <x:f>IF(O71="","",(1/'Metadata'!$B$5)^(O71-1))</x:f>
        <x:v>851.1380382023768</x:v>
      </x:c>
      <x:c r="U71" s="31" t="n">
        <x:f>IF(T71="","",I71*T71)</x:f>
        <x:v>633.4134530889403</x:v>
      </x:c>
    </x:row>
    <x:row r="72" ht="18" customHeight="1">
      <x:c r="A72" s="24" t="str">
        <x:v>EEZ_508</x:v>
      </x:c>
      <x:c r="B72" s="24" t="str">
        <x:v>Mozambique</x:v>
      </x:c>
      <x:c r="C72" s="24" t="str">
        <x:v>EEZ</x:v>
      </x:c>
      <x:c r="D72" s="30" t="n">
        <x:v>2019</x:v>
      </x:c>
      <x:c r="E72" s="24" t="str">
        <x:v>Sphyraena barracuda</x:v>
      </x:c>
      <x:c r="F72" s="24" t="str">
        <x:v>Great barracuda</x:v>
      </x:c>
      <x:c r="G72" s="24" t="str">
        <x:v>Large pelagics (&gt;=90 cm)</x:v>
      </x:c>
      <x:c r="H72" s="24" t="str">
        <x:v>Perch-likes</x:v>
      </x:c>
      <x:c r="I72" s="31" t="n">
        <x:v>0.7346761985</x:v>
      </x:c>
      <x:c r="J72" s="31" t="n">
        <x:v>0.6416284237</x:v>
      </x:c>
      <x:c r="K72" s="31" t="n">
        <x:v>0.0930477748</x:v>
      </x:c>
      <x:c r="L72" s="31" t="n">
        <x:v>0.6416284237</x:v>
      </x:c>
      <x:c r="M72" s="31" t="n">
        <x:v>0.0930477748</x:v>
      </x:c>
      <x:c r="N72" s="24" t="str">
        <x:v>sphyraena barracuda</x:v>
      </x:c>
      <x:c r="O72" s="32" t="n">
        <x:v>4.49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Sphyraena barracuda</x:v>
      </x:c>
      <x:c r="T72" s="32" t="n">
        <x:f>IF(O72="","",(1/'Metadata'!$B$5)^(O72-1))</x:f>
        <x:v>3090.295432513592</x:v>
      </x:c>
      <x:c r="U72" s="31" t="n">
        <x:f>IF(T72="","",I72*T72)</x:f>
        <x:v>2270.366500600999</x:v>
      </x:c>
    </x:row>
    <x:row r="73" ht="18" customHeight="1">
      <x:c r="A73" s="24" t="str">
        <x:v>EEZ_508</x:v>
      </x:c>
      <x:c r="B73" s="24" t="str">
        <x:v>Mozambique</x:v>
      </x:c>
      <x:c r="C73" s="24" t="str">
        <x:v>EEZ</x:v>
      </x:c>
      <x:c r="D73" s="30" t="n">
        <x:v>2019</x:v>
      </x:c>
      <x:c r="E73" s="24" t="str">
        <x:v>Scomberoides lysan</x:v>
      </x:c>
      <x:c r="F73" s="24" t="str">
        <x:v>Doublespotted queenfish</x:v>
      </x:c>
      <x:c r="G73" s="24" t="str">
        <x:v>Medium reef assoc. fish (30 - 89 cm)</x:v>
      </x:c>
      <x:c r="H73" s="24" t="str">
        <x:v>Perch-likes</x:v>
      </x:c>
      <x:c r="I73" s="31" t="n">
        <x:v>0.7246635091</x:v>
      </x:c>
      <x:c r="J73" s="31" t="n">
        <x:v>0</x:v>
      </x:c>
      <x:c r="K73" s="31" t="n">
        <x:v>0.7246635091</x:v>
      </x:c>
      <x:c r="L73" s="31" t="n">
        <x:v>0</x:v>
      </x:c>
      <x:c r="M73" s="31" t="n">
        <x:v>0.7246635091</x:v>
      </x:c>
      <x:c r="N73" s="24" t="str">
        <x:v>scomberoides lysan</x:v>
      </x:c>
      <x:c r="O73" s="32" t="n">
        <x:v>4.38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Scomberoides lysan</x:v>
      </x:c>
      <x:c r="T73" s="32" t="n">
        <x:f>IF(O73="","",(1/'Metadata'!$B$5)^(O73-1))</x:f>
        <x:v>2398.83291901949</x:v>
      </x:c>
      <x:c r="U73" s="31" t="n">
        <x:f>IF(T73="","",I73*T73)</x:f>
        <x:v>1738.3466808412597</x:v>
      </x:c>
    </x:row>
    <x:row r="74" ht="18" customHeight="1">
      <x:c r="A74" s="24" t="str">
        <x:v>EEZ_508</x:v>
      </x:c>
      <x:c r="B74" s="24" t="str">
        <x:v>Mozambique</x:v>
      </x:c>
      <x:c r="C74" s="24" t="str">
        <x:v>EEZ</x:v>
      </x:c>
      <x:c r="D74" s="30" t="n">
        <x:v>2019</x:v>
      </x:c>
      <x:c r="E74" s="24" t="str">
        <x:v>Sillago sihama</x:v>
      </x:c>
      <x:c r="F74" s="24" t="str">
        <x:v>Silver sillago</x:v>
      </x:c>
      <x:c r="G74" s="24" t="str">
        <x:v>Medium demersals (30 - 89 cm)</x:v>
      </x:c>
      <x:c r="H74" s="24" t="str">
        <x:v>Perch-likes</x:v>
      </x:c>
      <x:c r="I74" s="31" t="n">
        <x:v>0.7131050097</x:v>
      </x:c>
      <x:c r="J74" s="31" t="n">
        <x:v>0</x:v>
      </x:c>
      <x:c r="K74" s="31" t="n">
        <x:v>0.7131050097</x:v>
      </x:c>
      <x:c r="L74" s="31" t="n">
        <x:v>0</x:v>
      </x:c>
      <x:c r="M74" s="31" t="n">
        <x:v>0.7131050097</x:v>
      </x:c>
      <x:c r="N74" s="24" t="str">
        <x:v>sillago sihama</x:v>
      </x:c>
      <x:c r="O74" s="32" t="n">
        <x:v>3.33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Sillago sihama</x:v>
      </x:c>
      <x:c r="T74" s="32" t="n">
        <x:f>IF(O74="","",(1/'Metadata'!$B$5)^(O74-1))</x:f>
        <x:v>213.79620895022325</x:v>
      </x:c>
      <x:c r="U74" s="31" t="n">
        <x:f>IF(T74="","",I74*T74)</x:f>
        <x:v>152.45914765727218</x:v>
      </x:c>
    </x:row>
    <x:row r="75" ht="18" customHeight="1">
      <x:c r="A75" s="24" t="str">
        <x:v>EEZ_508</x:v>
      </x:c>
      <x:c r="B75" s="24" t="str">
        <x:v>Mozambique</x:v>
      </x:c>
      <x:c r="C75" s="24" t="str">
        <x:v>EEZ</x:v>
      </x:c>
      <x:c r="D75" s="30" t="n">
        <x:v>2019</x:v>
      </x:c>
      <x:c r="E75" s="24" t="str">
        <x:v>Thryssa</x:v>
      </x:c>
      <x:c r="F75" s="24" t="str">
        <x:v>Thryssas</x:v>
      </x:c>
      <x:c r="G75" s="24" t="str">
        <x:v>Small pelagics (&lt;30 cm)</x:v>
      </x:c>
      <x:c r="H75" s="24" t="str">
        <x:v>Anchovies</x:v>
      </x:c>
      <x:c r="I75" s="31" t="n">
        <x:v>0.6582493375</x:v>
      </x:c>
      <x:c r="J75" s="31" t="n">
        <x:v>0</x:v>
      </x:c>
      <x:c r="K75" s="31" t="n">
        <x:v>0.6582493375</x:v>
      </x:c>
      <x:c r="L75" s="31" t="n">
        <x:v>0</x:v>
      </x:c>
      <x:c r="M75" s="31" t="n">
        <x:v>0.6582493375</x:v>
      </x:c>
      <x:c r="N75" s="24" t="str">
        <x:v>thryssa</x:v>
      </x:c>
      <x:c r="O75" s="32" t="n">
        <x:v>3.34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Thryssa</x:v>
      </x:c>
      <x:c r="T75" s="32" t="n">
        <x:f>IF(O75="","",(1/'Metadata'!$B$5)^(O75-1))</x:f>
        <x:v>218.77616239495518</x:v>
      </x:c>
      <x:c r="U75" s="31" t="n">
        <x:f>IF(T75="","",I75*T75)</x:f>
        <x:v>144.00926395727166</x:v>
      </x:c>
    </x:row>
    <x:row r="76" ht="18" customHeight="1">
      <x:c r="A76" s="24" t="str">
        <x:v>EEZ_508</x:v>
      </x:c>
      <x:c r="B76" s="24" t="str">
        <x:v>Mozambique</x:v>
      </x:c>
      <x:c r="C76" s="24" t="str">
        <x:v>EEZ</x:v>
      </x:c>
      <x:c r="D76" s="30" t="n">
        <x:v>2019</x:v>
      </x:c>
      <x:c r="E76" s="24" t="str">
        <x:v>Saurida tumbil</x:v>
      </x:c>
      <x:c r="F76" s="24" t="str">
        <x:v>Greater lizardfish</x:v>
      </x:c>
      <x:c r="G76" s="24" t="str">
        <x:v>Medium demersals (30 - 89 cm)</x:v>
      </x:c>
      <x:c r="H76" s="24" t="str">
        <x:v>Other fishes &amp; inverts</x:v>
      </x:c>
      <x:c r="I76" s="31" t="n">
        <x:v>0.4019472268</x:v>
      </x:c>
      <x:c r="J76" s="31" t="n">
        <x:v>0</x:v>
      </x:c>
      <x:c r="K76" s="31" t="n">
        <x:v>0.4019472268</x:v>
      </x:c>
      <x:c r="L76" s="31" t="n">
        <x:v>0</x:v>
      </x:c>
      <x:c r="M76" s="31" t="n">
        <x:v>0.4019472268</x:v>
      </x:c>
      <x:c r="N76" s="24" t="str">
        <x:v>saurida tumbil</x:v>
      </x:c>
      <x:c r="O76" s="32" t="n">
        <x:v>4.4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Saurida tumbil</x:v>
      </x:c>
      <x:c r="T76" s="32" t="n">
        <x:f>IF(O76="","",(1/'Metadata'!$B$5)^(O76-1))</x:f>
        <x:v>2511.886431509582</x:v>
      </x:c>
      <x:c r="U76" s="31" t="n">
        <x:f>IF(T76="","",I76*T76)</x:f>
        <x:v>1009.6457851818246</x:v>
      </x:c>
    </x:row>
    <x:row r="77" ht="18" customHeight="1">
      <x:c r="A77" s="24" t="str">
        <x:v>EEZ_508</x:v>
      </x:c>
      <x:c r="B77" s="24" t="str">
        <x:v>Mozambique</x:v>
      </x:c>
      <x:c r="C77" s="24" t="str">
        <x:v>EEZ</x:v>
      </x:c>
      <x:c r="D77" s="30" t="n">
        <x:v>2019</x:v>
      </x:c>
      <x:c r="E77" s="24" t="str">
        <x:v>Carcharhinidae</x:v>
      </x:c>
      <x:c r="F77" s="24" t="str">
        <x:v>Requiem sharks</x:v>
      </x:c>
      <x:c r="G77" s="24" t="str">
        <x:v>Large sharks (&gt;=90 cm)</x:v>
      </x:c>
      <x:c r="H77" s="24" t="str">
        <x:v>Sharks &amp; rays</x:v>
      </x:c>
      <x:c r="I77" s="31" t="n">
        <x:v>0.26923920479999996</x:v>
      </x:c>
      <x:c r="J77" s="31" t="n">
        <x:v>0.26923920479999996</x:v>
      </x:c>
      <x:c r="K77" s="31" t="n">
        <x:v>0</x:v>
      </x:c>
      <x:c r="L77" s="31" t="n">
        <x:v>0.26923920479999996</x:v>
      </x:c>
      <x:c r="M77" s="31" t="n">
        <x:v>0</x:v>
      </x:c>
      <x:c r="N77" s="24" t="str">
        <x:v>carcharhinidae</x:v>
      </x:c>
      <x:c r="O77" s="32" t="n">
        <x:v>4.24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Carcharhinidae</x:v>
      </x:c>
      <x:c r="T77" s="32" t="n">
        <x:f>IF(O77="","",(1/'Metadata'!$B$5)^(O77-1))</x:f>
        <x:v>1737.8008287493763</x:v>
      </x:c>
      <x:c r="U77" s="31" t="n">
        <x:f>IF(T77="","",I77*T77)</x:f>
        <x:v>467.88411323326295</x:v>
      </x:c>
    </x:row>
    <x:row r="78" ht="18" customHeight="1">
      <x:c r="A78" s="24" t="str">
        <x:v>EEZ_508</x:v>
      </x:c>
      <x:c r="B78" s="24" t="str">
        <x:v>Mozambique</x:v>
      </x:c>
      <x:c r="C78" s="24" t="str">
        <x:v>EEZ</x:v>
      </x:c>
      <x:c r="D78" s="30" t="n">
        <x:v>2019</x:v>
      </x:c>
      <x:c r="E78" s="24" t="str">
        <x:v>Epinephelus</x:v>
      </x:c>
      <x:c r="F78" s="24" t="str">
        <x:v>Seabasses, hinds</x:v>
      </x:c>
      <x:c r="G78" s="24" t="str">
        <x:v>Medium reef assoc. fish (30 - 89 cm)</x:v>
      </x:c>
      <x:c r="H78" s="24" t="str">
        <x:v>Perch-likes</x:v>
      </x:c>
      <x:c r="I78" s="31" t="n">
        <x:v>0.24719177009999999</x:v>
      </x:c>
      <x:c r="J78" s="31" t="n">
        <x:v>0.24719177009999999</x:v>
      </x:c>
      <x:c r="K78" s="31" t="n">
        <x:v>0</x:v>
      </x:c>
      <x:c r="L78" s="31" t="n">
        <x:v>0.24719177009999999</x:v>
      </x:c>
      <x:c r="M78" s="31" t="n">
        <x:v>0</x:v>
      </x:c>
      <x:c r="N78" s="24" t="str">
        <x:v>epinephelus</x:v>
      </x:c>
      <x:c r="O78" s="32" t="n">
        <x:v>3.84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Epinephelus</x:v>
      </x:c>
      <x:c r="T78" s="32" t="n">
        <x:f>IF(O78="","",(1/'Metadata'!$B$5)^(O78-1))</x:f>
        <x:v>691.8309709189363</x:v>
      </x:c>
      <x:c r="U78" s="31" t="n">
        <x:f>IF(T78="","",I78*T78)</x:f>
        <x:v>171.01492231145346</x:v>
      </x:c>
    </x:row>
    <x:row r="79" ht="18" customHeight="1">
      <x:c r="A79" s="24" t="str">
        <x:v>EEZ_508</x:v>
      </x:c>
      <x:c r="B79" s="24" t="str">
        <x:v>Mozambique</x:v>
      </x:c>
      <x:c r="C79" s="24" t="str">
        <x:v>EEZ</x:v>
      </x:c>
      <x:c r="D79" s="30" t="n">
        <x:v>2019</x:v>
      </x:c>
      <x:c r="E79" s="24" t="str">
        <x:v>Sardinella gibbosa</x:v>
      </x:c>
      <x:c r="F79" s="24" t="str">
        <x:v>Goldstripe sardinella</x:v>
      </x:c>
      <x:c r="G79" s="24" t="str">
        <x:v>Small pelagics (&lt;30 cm)</x:v>
      </x:c>
      <x:c r="H79" s="24" t="str">
        <x:v>Herring-likes</x:v>
      </x:c>
      <x:c r="I79" s="31" t="n">
        <x:v>0.2408436828</x:v>
      </x:c>
      <x:c r="J79" s="31" t="n">
        <x:v>0</x:v>
      </x:c>
      <x:c r="K79" s="31" t="n">
        <x:v>0.2408436828</x:v>
      </x:c>
      <x:c r="L79" s="31" t="n">
        <x:v>0</x:v>
      </x:c>
      <x:c r="M79" s="31" t="n">
        <x:v>0.2408436828</x:v>
      </x:c>
      <x:c r="N79" s="24" t="str">
        <x:v>sardinella gibbosa</x:v>
      </x:c>
      <x:c r="O79" s="32" t="n">
        <x:v>2.85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Sardinella gibbosa</x:v>
      </x:c>
      <x:c r="T79" s="32" t="n">
        <x:f>IF(O79="","",(1/'Metadata'!$B$5)^(O79-1))</x:f>
        <x:v>70.79457843841381</x:v>
      </x:c>
      <x:c r="U79" s="31" t="n">
        <x:f>IF(T79="","",I79*T79)</x:f>
        <x:v>17.050426993381052</x:v>
      </x:c>
    </x:row>
    <x:row r="80" ht="18" customHeight="1">
      <x:c r="A80" s="24" t="str">
        <x:v>EEZ_508</x:v>
      </x:c>
      <x:c r="B80" s="24" t="str">
        <x:v>Mozambique</x:v>
      </x:c>
      <x:c r="C80" s="24" t="str">
        <x:v>EEZ</x:v>
      </x:c>
      <x:c r="D80" s="30" t="n">
        <x:v>2019</x:v>
      </x:c>
      <x:c r="E80" s="24" t="str">
        <x:v>Pomadasys</x:v>
      </x:c>
      <x:c r="F80" s="24" t="str">
        <x:v>Grunters</x:v>
      </x:c>
      <x:c r="G80" s="24" t="str">
        <x:v>Medium demersals (30 - 89 cm)</x:v>
      </x:c>
      <x:c r="H80" s="24" t="str">
        <x:v>Perch-likes</x:v>
      </x:c>
      <x:c r="I80" s="31" t="n">
        <x:v>0.2188583493</x:v>
      </x:c>
      <x:c r="J80" s="31" t="n">
        <x:v>0.2188583493</x:v>
      </x:c>
      <x:c r="K80" s="31" t="n">
        <x:v>0</x:v>
      </x:c>
      <x:c r="L80" s="31" t="n">
        <x:v>0.2188583493</x:v>
      </x:c>
      <x:c r="M80" s="31" t="n">
        <x:v>0</x:v>
      </x:c>
      <x:c r="N80" s="24" t="str">
        <x:v>pomadasys</x:v>
      </x:c>
      <x:c r="O80" s="32" t="n">
        <x:v>3.59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Pomadasys</x:v>
      </x:c>
      <x:c r="T80" s="32" t="n">
        <x:f>IF(O80="","",(1/'Metadata'!$B$5)^(O80-1))</x:f>
        <x:v>389.04514499428046</x:v>
      </x:c>
      <x:c r="U80" s="31" t="n">
        <x:f>IF(T80="","",I80*T80)</x:f>
        <x:v>85.14577823662738</x:v>
      </x:c>
    </x:row>
    <x:row r="81" ht="18" customHeight="1">
      <x:c r="A81" s="24" t="str">
        <x:v>EEZ_508</x:v>
      </x:c>
      <x:c r="B81" s="24" t="str">
        <x:v>Mozambique</x:v>
      </x:c>
      <x:c r="C81" s="24" t="str">
        <x:v>EEZ</x:v>
      </x:c>
      <x:c r="D81" s="30" t="n">
        <x:v>2019</x:v>
      </x:c>
      <x:c r="E81" s="24" t="str">
        <x:v>Isurus</x:v>
      </x:c>
      <x:c r="F81" s="24" t="str">
        <x:v>Mako sharks</x:v>
      </x:c>
      <x:c r="G81" s="24" t="str">
        <x:v>Large sharks (&gt;=90 cm)</x:v>
      </x:c>
      <x:c r="H81" s="24" t="str">
        <x:v>Sharks &amp; rays</x:v>
      </x:c>
      <x:c r="I81" s="31" t="n">
        <x:v>0.19603998339999998</x:v>
      </x:c>
      <x:c r="J81" s="31" t="n">
        <x:v>0.19603998339999998</x:v>
      </x:c>
      <x:c r="K81" s="31" t="n">
        <x:v>0</x:v>
      </x:c>
      <x:c r="L81" s="31" t="n">
        <x:v>0.19603998339999998</x:v>
      </x:c>
      <x:c r="M81" s="31" t="n">
        <x:v>0</x:v>
      </x:c>
      <x:c r="N81" s="24" t="str">
        <x:v>isurus</x:v>
      </x:c>
      <x:c r="O81" s="32" t="n">
        <x:v>4.5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Isurus</x:v>
      </x:c>
      <x:c r="T81" s="32" t="n">
        <x:f>IF(O81="","",(1/'Metadata'!$B$5)^(O81-1))</x:f>
        <x:v>3162.2776601683795</x:v>
      </x:c>
      <x:c r="U81" s="31" t="n">
        <x:f>IF(T81="","",I81*T81)</x:f>
        <x:v>619.9328600055999</x:v>
      </x:c>
    </x:row>
    <x:row r="82" ht="18" customHeight="1">
      <x:c r="A82" s="24" t="str">
        <x:v>EEZ_508</x:v>
      </x:c>
      <x:c r="B82" s="24" t="str">
        <x:v>Mozambique</x:v>
      </x:c>
      <x:c r="C82" s="24" t="str">
        <x:v>EEZ</x:v>
      </x:c>
      <x:c r="D82" s="30" t="n">
        <x:v>2019</x:v>
      </x:c>
      <x:c r="E82" s="24" t="str">
        <x:v>Istiophorus platypterus</x:v>
      </x:c>
      <x:c r="F82" s="24" t="str">
        <x:v>Indo-Pacific sailfish</x:v>
      </x:c>
      <x:c r="G82" s="24" t="str">
        <x:v>Large pelagics (&gt;=90 cm)</x:v>
      </x:c>
      <x:c r="H82" s="24" t="str">
        <x:v>Tuna &amp; billfishes</x:v>
      </x:c>
      <x:c r="I82" s="31" t="n">
        <x:v>0.1820966195</x:v>
      </x:c>
      <x:c r="J82" s="31" t="n">
        <x:v>0.1820966195</x:v>
      </x:c>
      <x:c r="K82" s="31" t="n">
        <x:v>0</x:v>
      </x:c>
      <x:c r="L82" s="31" t="n">
        <x:v>0.1820966195</x:v>
      </x:c>
      <x:c r="M82" s="31" t="n">
        <x:v>0</x:v>
      </x:c>
      <x:c r="N82" s="24" t="str">
        <x:v>istiophorus platypterus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Istiophorus platypterus</x:v>
      </x:c>
      <x:c r="T82" s="32" t="n">
        <x:f>IF(O82="","",(1/'Metadata'!$B$5)^(O82-1))</x:f>
        <x:v>3162.2776601683795</x:v>
      </x:c>
      <x:c r="U82" s="31" t="n">
        <x:f>IF(T82="","",I82*T82)</x:f>
        <x:v>575.8400718370317</x:v>
      </x:c>
    </x:row>
    <x:row r="83" ht="18" customHeight="1">
      <x:c r="A83" s="24" t="str">
        <x:v>EEZ_508</x:v>
      </x:c>
      <x:c r="B83" s="24" t="str">
        <x:v>Mozambique</x:v>
      </x:c>
      <x:c r="C83" s="24" t="str">
        <x:v>EEZ</x:v>
      </x:c>
      <x:c r="D83" s="30" t="n">
        <x:v>2019</x:v>
      </x:c>
      <x:c r="E83" s="24" t="str">
        <x:v>Istiompax indica</x:v>
      </x:c>
      <x:c r="F83" s="24" t="str">
        <x:v>Black marlin</x:v>
      </x:c>
      <x:c r="G83" s="24" t="str">
        <x:v>Large pelagics (&gt;=90 cm)</x:v>
      </x:c>
      <x:c r="H83" s="24" t="str">
        <x:v>Tuna &amp; billfishes</x:v>
      </x:c>
      <x:c r="I83" s="31" t="n">
        <x:v>0.1648542148</x:v>
      </x:c>
      <x:c r="J83" s="31" t="n">
        <x:v>0.1648542148</x:v>
      </x:c>
      <x:c r="K83" s="31" t="n">
        <x:v>0</x:v>
      </x:c>
      <x:c r="L83" s="31" t="n">
        <x:v>0.1648542148</x:v>
      </x:c>
      <x:c r="M83" s="31" t="n">
        <x:v>0</x:v>
      </x:c>
      <x:c r="N83" s="24" t="str">
        <x:v>istiompax indica</x:v>
      </x:c>
      <x:c r="O83" s="32" t="n">
        <x:v>4.5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Istiompax indica</x:v>
      </x:c>
      <x:c r="T83" s="32" t="n">
        <x:f>IF(O83="","",(1/'Metadata'!$B$5)^(O83-1))</x:f>
        <x:v>3162.2776601683795</x:v>
      </x:c>
      <x:c r="U83" s="31" t="n">
        <x:f>IF(T83="","",I83*T83)</x:f>
        <x:v>521.3148006466395</x:v>
      </x:c>
    </x:row>
    <x:row r="84" ht="18" customHeight="1">
      <x:c r="A84" s="24" t="str">
        <x:v>EEZ_508</x:v>
      </x:c>
      <x:c r="B84" s="24" t="str">
        <x:v>Mozambique</x:v>
      </x:c>
      <x:c r="C84" s="24" t="str">
        <x:v>EEZ</x:v>
      </x:c>
      <x:c r="D84" s="30" t="n">
        <x:v>2019</x:v>
      </x:c>
      <x:c r="E84" s="24" t="str">
        <x:v>Kajikia audax</x:v>
      </x:c>
      <x:c r="F84" s="24" t="str">
        <x:v>Striped marlin</x:v>
      </x:c>
      <x:c r="G84" s="24" t="str">
        <x:v>Large pelagics (&gt;=90 cm)</x:v>
      </x:c>
      <x:c r="H84" s="24" t="str">
        <x:v>Tuna &amp; billfishes</x:v>
      </x:c>
      <x:c r="I84" s="31" t="n">
        <x:v>0.047862004400000005</x:v>
      </x:c>
      <x:c r="J84" s="31" t="n">
        <x:v>0.047862004400000005</x:v>
      </x:c>
      <x:c r="K84" s="31" t="n">
        <x:v>0</x:v>
      </x:c>
      <x:c r="L84" s="31" t="n">
        <x:v>0.047862004400000005</x:v>
      </x:c>
      <x:c r="M84" s="31" t="n">
        <x:v>0</x:v>
      </x:c>
      <x:c r="N84" s="24" t="str">
        <x:v>kajikia audax</x:v>
      </x:c>
      <x:c r="O84" s="32" t="n">
        <x:v>4.58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Kajikia audax</x:v>
      </x:c>
      <x:c r="T84" s="32" t="n">
        <x:f>IF(O84="","",(1/'Metadata'!$B$5)^(O84-1))</x:f>
        <x:v>3801.8939632056126</x:v>
      </x:c>
      <x:c r="U84" s="31" t="n">
        <x:f>IF(T84="","",I84*T84)</x:f>
        <x:v>181.96626559528048</x:v>
      </x:c>
    </x:row>
    <x:row r="85" ht="18" customHeight="1">
      <x:c r="A85" s="24" t="str">
        <x:v>EEZ_508</x:v>
      </x:c>
      <x:c r="B85" s="24" t="str">
        <x:v>Mozambique</x:v>
      </x:c>
      <x:c r="C85" s="24" t="str">
        <x:v>EEZ</x:v>
      </x:c>
      <x:c r="D85" s="30" t="n">
        <x:v>2019</x:v>
      </x:c>
      <x:c r="E85" s="24" t="str">
        <x:v>Katsuwonus pelamis</x:v>
      </x:c>
      <x:c r="F85" s="24" t="str">
        <x:v>Skipjack tuna</x:v>
      </x:c>
      <x:c r="G85" s="24" t="str">
        <x:v>Large pelagics (&gt;=90 cm)</x:v>
      </x:c>
      <x:c r="H85" s="24" t="str">
        <x:v>Tuna &amp; billfishes</x:v>
      </x:c>
      <x:c r="I85" s="31" t="n">
        <x:v>0.010793978499999999</x:v>
      </x:c>
      <x:c r="J85" s="31" t="n">
        <x:v>0.010793978499999999</x:v>
      </x:c>
      <x:c r="K85" s="31" t="n">
        <x:v>0</x:v>
      </x:c>
      <x:c r="L85" s="31" t="n">
        <x:v>0.010793978499999999</x:v>
      </x:c>
      <x:c r="M85" s="31" t="n">
        <x:v>0</x:v>
      </x:c>
      <x:c r="N85" s="24" t="str">
        <x:v>katsuwonus pelamis</x:v>
      </x:c>
      <x:c r="O85" s="32" t="n">
        <x:v>4.43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Katsuwonus pelamis</x:v>
      </x:c>
      <x:c r="T85" s="32" t="n">
        <x:f>IF(O85="","",(1/'Metadata'!$B$5)^(O85-1))</x:f>
        <x:v>2691.534803926914</x:v>
      </x:c>
      <x:c r="U85" s="31" t="n">
        <x:f>IF(T85="","",I85*T85)</x:f>
        <x:v>29.05236880558882</x:v>
      </x:c>
    </x:row>
    <x:row r="86" ht="18" customHeight="1">
      <x:c r="A86" s="24" t="str">
        <x:v>EEZ_508</x:v>
      </x:c>
      <x:c r="B86" s="24" t="str">
        <x:v>Mozambique</x:v>
      </x:c>
      <x:c r="C86" s="24" t="str">
        <x:v>EEZ</x:v>
      </x:c>
      <x:c r="D86" s="30" t="n">
        <x:v>2019</x:v>
      </x:c>
      <x:c r="E86" s="24" t="str">
        <x:v>Sphyrna</x:v>
      </x:c>
      <x:c r="F86" s="24" t="str">
        <x:v>Hammerhead sharks</x:v>
      </x:c>
      <x:c r="G86" s="24" t="str">
        <x:v>Large sharks (&gt;=90 cm)</x:v>
      </x:c>
      <x:c r="H86" s="24" t="str">
        <x:v>Sharks &amp; rays</x:v>
      </x:c>
      <x:c r="I86" s="31" t="n">
        <x:v>0.0006299166</x:v>
      </x:c>
      <x:c r="J86" s="31" t="n">
        <x:v>0.0006299166</x:v>
      </x:c>
      <x:c r="K86" s="31" t="n">
        <x:v>0</x:v>
      </x:c>
      <x:c r="L86" s="31" t="n">
        <x:v>0.0006299166</x:v>
      </x:c>
      <x:c r="M86" s="31" t="n">
        <x:v>0</x:v>
      </x:c>
      <x:c r="N86" s="24" t="str">
        <x:v>sphyrna</x:v>
      </x:c>
      <x:c r="O86" s="32" t="n">
        <x:v>4.2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Sphyrna</x:v>
      </x:c>
      <x:c r="T86" s="32" t="n">
        <x:f>IF(O86="","",(1/'Metadata'!$B$5)^(O86-1))</x:f>
        <x:v>1584.893192461114</x:v>
      </x:c>
      <x:c r="U86" s="31" t="n">
        <x:f>IF(T86="","",I86*T86)</x:f>
        <x:v>0.9983505311582506</x:v>
      </x:c>
    </x:row>
    <x:row r="87" ht="18" customHeight="1">
      <x:c r="A87" s="24" t="str">
        <x:v>EEZ_508</x:v>
      </x:c>
      <x:c r="B87" s="24" t="str">
        <x:v>Mozambique</x:v>
      </x:c>
      <x:c r="C87" s="24" t="str">
        <x:v>EEZ</x:v>
      </x:c>
      <x:c r="D87" s="30" t="n">
        <x:v>2019</x:v>
      </x:c>
      <x:c r="E87" s="24" t="str">
        <x:v>Thunnus tonggol</x:v>
      </x:c>
      <x:c r="F87" s="24" t="str">
        <x:v>Longtail tuna</x:v>
      </x:c>
      <x:c r="G87" s="24" t="str">
        <x:v>Large pelagics (&gt;=90 cm)</x:v>
      </x:c>
      <x:c r="H87" s="24" t="str">
        <x:v>Tuna &amp; billfishes</x:v>
      </x:c>
      <x:c r="I87" s="31" t="n">
        <x:v>0.0005979887</x:v>
      </x:c>
      <x:c r="J87" s="31" t="n">
        <x:v>0.0005979887</x:v>
      </x:c>
      <x:c r="K87" s="31" t="n">
        <x:v>0</x:v>
      </x:c>
      <x:c r="L87" s="31" t="n">
        <x:v>0.0005979887</x:v>
      </x:c>
      <x:c r="M87" s="31" t="n">
        <x:v>0</x:v>
      </x:c>
      <x:c r="N87" s="24" t="str">
        <x:v>thunnus tonggol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Thunnus tonggol</x:v>
      </x:c>
      <x:c r="T87" s="32" t="n">
        <x:f>IF(O87="","",(1/'Metadata'!$B$5)^(O87-1))</x:f>
        <x:v>3162.2776601683795</x:v>
      </x:c>
      <x:c r="U87" s="31" t="n">
        <x:f>IF(T87="","",I87*T87)</x:f>
        <x:v>1.8910063070431309</x:v>
      </x:c>
    </x:row>
    <x:row r="88" ht="18" customHeight="1">
      <x:c r="A88" s="24" t="str">
        <x:v>EEZ_508</x:v>
      </x:c>
      <x:c r="B88" s="24" t="str">
        <x:v>Mozambique</x:v>
      </x:c>
      <x:c r="C88" s="24" t="str">
        <x:v>EEZ</x:v>
      </x:c>
      <x:c r="D88" s="30" t="n">
        <x:v>2019</x:v>
      </x:c>
      <x:c r="E88" s="24" t="str">
        <x:v>Euthynnus affinis</x:v>
      </x:c>
      <x:c r="F88" s="24" t="str">
        <x:v>Kawakawa</x:v>
      </x:c>
      <x:c r="G88" s="24" t="str">
        <x:v>Large pelagics (&gt;=90 cm)</x:v>
      </x:c>
      <x:c r="H88" s="24" t="str">
        <x:v>Tuna &amp; billfishes</x:v>
      </x:c>
      <x:c r="I88" s="31" t="n">
        <x:v>0.0003859304</x:v>
      </x:c>
      <x:c r="J88" s="31" t="n">
        <x:v>0.0003859304</x:v>
      </x:c>
      <x:c r="K88" s="31" t="n">
        <x:v>0</x:v>
      </x:c>
      <x:c r="L88" s="31" t="n">
        <x:v>0.0003859304</x:v>
      </x:c>
      <x:c r="M88" s="31" t="n">
        <x:v>0</x:v>
      </x:c>
      <x:c r="N88" s="24" t="str">
        <x:v>euthynnus affinis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Euthynnus affinis</x:v>
      </x:c>
      <x:c r="T88" s="32" t="n">
        <x:f>IF(O88="","",(1/'Metadata'!$B$5)^(O88-1))</x:f>
        <x:v>3162.2776601683795</x:v>
      </x:c>
      <x:c r="U88" s="31" t="n">
        <x:f>IF(T88="","",I88*T88)</x:f>
        <x:v>1.2204190822998469</x:v>
      </x:c>
    </x:row>
    <x:row r="89" ht="18" customHeight="1">
      <x:c r="A89" s="24" t="str">
        <x:v>EEZ_508</x:v>
      </x:c>
      <x:c r="B89" s="24" t="str">
        <x:v>Mozambique</x:v>
      </x:c>
      <x:c r="C89" s="24" t="str">
        <x:v>EEZ</x:v>
      </x:c>
      <x:c r="D89" s="30" t="n">
        <x:v>2019</x:v>
      </x:c>
      <x:c r="E89" s="24" t="str">
        <x:v>Auxis thazard</x:v>
      </x:c>
      <x:c r="F89" s="24" t="str">
        <x:v>Frigate tuna</x:v>
      </x:c>
      <x:c r="G89" s="24" t="str">
        <x:v>Medium pelagics (30 - 89 cm)</x:v>
      </x:c>
      <x:c r="H89" s="24" t="str">
        <x:v>Tuna &amp; billfishes</x:v>
      </x:c>
      <x:c r="I89" s="31" t="n">
        <x:v>0.0001084545</x:v>
      </x:c>
      <x:c r="J89" s="31" t="n">
        <x:v>0.0001084545</x:v>
      </x:c>
      <x:c r="K89" s="31" t="n">
        <x:v>0</x:v>
      </x:c>
      <x:c r="L89" s="31" t="n">
        <x:v>0.0001084545</x:v>
      </x:c>
      <x:c r="M89" s="31" t="n">
        <x:v>0</x:v>
      </x:c>
      <x:c r="N89" s="24" t="str">
        <x:v>auxis thazard</x:v>
      </x:c>
      <x:c r="O89" s="32" t="n">
        <x:v>4.37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Auxis thazard</x:v>
      </x:c>
      <x:c r="T89" s="32" t="n">
        <x:f>IF(O89="","",(1/'Metadata'!$B$5)^(O89-1))</x:f>
        <x:v>2344.228815319923</x:v>
      </x:c>
      <x:c r="U89" s="31" t="n">
        <x:f>IF(T89="","",I89*T89)</x:f>
        <x:v>0.25424216405111455</x:v>
      </x:c>
    </x:row>
    <x:row r="90" ht="18" customHeight="1">
      <x:c r="A90" s="24" t="str">
        <x:v>EEZ_508</x:v>
      </x:c>
      <x:c r="B90" s="24" t="str">
        <x:v>Mozambique</x:v>
      </x:c>
      <x:c r="C90" s="24" t="str">
        <x:v>EEZ</x:v>
      </x:c>
      <x:c r="D90" s="30" t="n">
        <x:v>2019</x:v>
      </x:c>
      <x:c r="E90" s="24" t="str">
        <x:v>Auxis rochei</x:v>
      </x:c>
      <x:c r="F90" s="24" t="str">
        <x:v>Bullet tuna</x:v>
      </x:c>
      <x:c r="G90" s="24" t="str">
        <x:v>Medium pelagics (30 - 89 cm)</x:v>
      </x:c>
      <x:c r="H90" s="24" t="str">
        <x:v>Tuna &amp; billfishes</x:v>
      </x:c>
      <x:c r="I90" s="31" t="n">
        <x:v>0.0000758631</x:v>
      </x:c>
      <x:c r="J90" s="31" t="n">
        <x:v>0.0000758631</x:v>
      </x:c>
      <x:c r="K90" s="31" t="n">
        <x:v>0</x:v>
      </x:c>
      <x:c r="L90" s="31" t="n">
        <x:v>0.0000758631</x:v>
      </x:c>
      <x:c r="M90" s="31" t="n">
        <x:v>0</x:v>
      </x:c>
      <x:c r="N90" s="24" t="str">
        <x:v>auxis rochei</x:v>
      </x:c>
      <x:c r="O90" s="32" t="n">
        <x:v>4.13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Auxis rochei</x:v>
      </x:c>
      <x:c r="T90" s="32" t="n">
        <x:f>IF(O90="","",(1/'Metadata'!$B$5)^(O90-1))</x:f>
        <x:v>1348.9628825916532</x:v>
      </x:c>
      <x:c r="U90" s="31" t="n">
        <x:f>IF(T90="","",I90*T90)</x:f>
        <x:v>0.10233650605833884</x:v>
      </x:c>
    </x:row>
    <x:row r="91" ht="18" customHeight="1">
      <x:c r="A91" s="24" t="str">
        <x:v>EEZ_508</x:v>
      </x:c>
      <x:c r="B91" s="24" t="str">
        <x:v>Mozambique</x:v>
      </x:c>
      <x:c r="C91" s="24" t="str">
        <x:v>EEZ</x:v>
      </x:c>
      <x:c r="D91" s="30" t="n">
        <x:v>2019</x:v>
      </x:c>
      <x:c r="E91" s="24" t="str">
        <x:v>Lamna nasus</x:v>
      </x:c>
      <x:c r="F91" s="24" t="str">
        <x:v>Porbeagle</x:v>
      </x:c>
      <x:c r="G91" s="24" t="str">
        <x:v>Large sharks (&gt;=90 cm)</x:v>
      </x:c>
      <x:c r="H91" s="24" t="str">
        <x:v>Sharks &amp; rays</x:v>
      </x:c>
      <x:c r="I91" s="31" t="n">
        <x:v>9.594e-7</x:v>
      </x:c>
      <x:c r="J91" s="31" t="n">
        <x:v>9.594e-7</x:v>
      </x:c>
      <x:c r="K91" s="31" t="n">
        <x:v>0</x:v>
      </x:c>
      <x:c r="L91" s="31" t="n">
        <x:v>9.594e-7</x:v>
      </x:c>
      <x:c r="M91" s="31" t="n">
        <x:v>0</x:v>
      </x:c>
      <x:c r="N91" s="24" t="str">
        <x:v>lamna nasus</x:v>
      </x:c>
      <x:c r="O91" s="32" t="n">
        <x:v>4.57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Lamna nasus</x:v>
      </x:c>
      <x:c r="T91" s="32" t="n">
        <x:f>IF(O91="","",(1/'Metadata'!$B$5)^(O91-1))</x:f>
        <x:v>3715.3522909717276</x:v>
      </x:c>
      <x:c r="U91" s="31" t="n">
        <x:f>IF(T91="","",I91*T91)</x:f>
        <x:v>0.0035645089879582756</x:v>
      </x:c>
    </x:row>
  </x:sheetData>
  <x:conditionalFormatting sqref="R2:R9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42e4ed4bfac48a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22908.469598237498</x:v>
      </x:c>
      <x:c r="E2" s="31" t="n">
        <x:v>22908.469598237498</x:v>
      </x:c>
      <x:c r="F2" s="32" t="n">
        <x:v>0</x:v>
      </x:c>
      <x:c r="G2" s="34" t="n">
        <x:v>1</x:v>
      </x:c>
      <x:c r="H2" s="32" t="n">
        <x:f>IF(E2=0,"",I2/E2)</x:f>
        <x:v>158.4910515213467</x:v>
      </x:c>
      <x:c r="I2" s="31" t="n">
        <x:f>IF(C2=0,"",SUMIF('Species'!$H$2:$H$91,A2,'Species'!$U$2:$U$91))</x:f>
        <x:v>3630787.4353694636</x:v>
      </x:c>
      <x:c r="J2" s="32" t="n">
        <x:v>3.20000402274394</x:v>
      </x:c>
      <x:c r="K2" s="32" t="n">
        <x:f>IF(J2="","",(1/'Metadata'!$B$5)^(J2-1))</x:f>
        <x:v>158.49078729354895</x:v>
      </x:c>
      <x:c r="L2" s="31" t="n">
        <x:f>IF(E2=0,"",E2*K2)</x:f>
        <x:v>3630781.382314992</x:v>
      </x:c>
      <x:c r="M2" s="31" t="n">
        <x:f>IF(E2=0,"",I2-L2)</x:f>
        <x:v>6.053054471500218</x:v>
      </x:c>
      <x:c r="N2" s="32" t="n">
        <x:f>IF(L2=0,"",I2/L2)</x:f>
        <x:v>1.0000016671492535</x:v>
      </x:c>
      <x:c r="O2" s="34" t="n">
        <x:f>IF(L2=0,"",M2/L2)</x:f>
        <x:v>0.000001667149253596971</x:v>
      </x:c>
    </x:row>
    <x:row r="3" ht="18" customHeight="1">
      <x:c r="A3" s="24" t="str">
        <x:v>Crustaceans</x:v>
      </x:c>
      <x:c r="B3" s="33" t="n">
        <x:v>4</x:v>
      </x:c>
      <x:c r="C3" s="33" t="n">
        <x:v>4</x:v>
      </x:c>
      <x:c r="D3" s="31" t="n">
        <x:v>14382.1367778</x:v>
      </x:c>
      <x:c r="E3" s="31" t="n">
        <x:v>14382.1367778</x:v>
      </x:c>
      <x:c r="F3" s="32" t="n">
        <x:v>0</x:v>
      </x:c>
      <x:c r="G3" s="34" t="n">
        <x:v>1</x:v>
      </x:c>
      <x:c r="H3" s="32" t="n">
        <x:f>IF(E3=0,"",I3/E3)</x:f>
        <x:v>267.05907968368905</x:v>
      </x:c>
      <x:c r="I3" s="31" t="n">
        <x:f>IF(C3=0,"",SUMIF('Species'!$H$2:$H$91,A3,'Species'!$U$2:$U$91))</x:f>
        <x:v>3840880.211764205</x:v>
      </x:c>
      <x:c r="J3" s="32" t="n">
        <x:v>3.327928189477937</x:v>
      </x:c>
      <x:c r="K3" s="32" t="n">
        <x:f>IF(J3="","",(1/'Metadata'!$B$5)^(J3-1))</x:f>
        <x:v>212.7787187627683</x:v>
      </x:c>
      <x:c r="L3" s="31" t="n">
        <x:f>IF(E3=0,"",E3*K3)</x:f>
        <x:v>3060212.6366511732</x:v>
      </x:c>
      <x:c r="M3" s="31" t="n">
        <x:f>IF(E3=0,"",I3-L3)</x:f>
        <x:v>780667.5751130315</x:v>
      </x:c>
      <x:c r="N3" s="32" t="n">
        <x:f>IF(L3=0,"",I3/L3)</x:f>
        <x:v>1.2551023957496383</x:v>
      </x:c>
      <x:c r="O3" s="34" t="n">
        <x:f>IF(L3=0,"",M3/L3)</x:f>
        <x:v>0.2551023957496383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101.6854434879</x:v>
      </x:c>
      <x:c r="E4" s="31" t="n">
        <x:v>101.6854434879</x:v>
      </x:c>
      <x:c r="F4" s="32" t="n">
        <x:v>0</x:v>
      </x:c>
      <x:c r="G4" s="34" t="n">
        <x:v>1</x:v>
      </x:c>
      <x:c r="H4" s="32" t="n">
        <x:f>IF(E4=0,"",I4/E4)</x:f>
        <x:v>141.2537544622754</x:v>
      </x:c>
      <x:c r="I4" s="31" t="n">
        <x:f>IF(C4=0,"",SUMIF('Species'!$H$2:$H$91,A4,'Species'!$U$2:$U$91))</x:f>
        <x:v>14363.450666827408</x:v>
      </x:c>
      <x:c r="J4" s="32" t="n">
        <x:v>3.1500000000000004</x:v>
      </x:c>
      <x:c r="K4" s="32" t="n">
        <x:f>IF(J4="","",(1/'Metadata'!$B$5)^(J4-1))</x:f>
        <x:v>141.25375446227554</x:v>
      </x:c>
      <x:c r="L4" s="31" t="n">
        <x:f>IF(E4=0,"",E4*K4)</x:f>
        <x:v>14363.450666827423</x:v>
      </x:c>
      <x:c r="M4" s="31" t="n">
        <x:f>IF(E4=0,"",I4-L4)</x:f>
        <x:v>-1.4551915228366852e-11</x:v>
      </x:c>
      <x:c r="N4" s="32" t="n">
        <x:f>IF(L4=0,"",I4/L4)</x:f>
        <x:v>0.999999999999999</x:v>
      </x:c>
      <x:c r="O4" s="34" t="n">
        <x:f>IF(L4=0,"",M4/L4)</x:f>
        <x:v>-1.0131211201201597e-15</x:v>
      </x:c>
    </x:row>
    <x:row r="5" ht="18" customHeight="1">
      <x:c r="A5" s="24" t="str">
        <x:v>Herring-likes</x:v>
      </x:c>
      <x:c r="B5" s="33" t="n">
        <x:v>3</x:v>
      </x:c>
      <x:c r="C5" s="33" t="n">
        <x:v>3</x:v>
      </x:c>
      <x:c r="D5" s="31" t="n">
        <x:v>28342.200170209202</x:v>
      </x:c>
      <x:c r="E5" s="31" t="n">
        <x:v>28342.200170209202</x:v>
      </x:c>
      <x:c r="F5" s="32" t="n">
        <x:v>0</x:v>
      </x:c>
      <x:c r="G5" s="34" t="n">
        <x:v>1</x:v>
      </x:c>
      <x:c r="H5" s="32" t="n">
        <x:f>IF(E5=0,"",I5/E5)</x:f>
        <x:v>144.54422508163597</x:v>
      </x:c>
      <x:c r="I5" s="31" t="n">
        <x:f>IF(C5=0,"",SUMIF('Species'!$H$2:$H$91,A5,'Species'!$U$2:$U$91))</x:f>
        <x:v>4096701.3607115005</x:v>
      </x:c>
      <x:c r="J5" s="32" t="n">
        <x:v>3.1599997309251493</x:v>
      </x:c>
      <x:c r="K5" s="32" t="n">
        <x:f>IF(J5="","",(1/'Metadata'!$B$5)^(J5-1))</x:f>
        <x:v>144.54388751983527</x:v>
      </x:c>
      <x:c r="L5" s="31" t="n">
        <x:f>IF(E5=0,"",E5*K5)</x:f>
        <x:v>4096691.793467375</x:v>
      </x:c>
      <x:c r="M5" s="31" t="n">
        <x:f>IF(E5=0,"",I5-L5)</x:f>
        <x:v>9.567244125530124</x:v>
      </x:c>
      <x:c r="N5" s="32" t="n">
        <x:f>IF(L5=0,"",I5/L5)</x:f>
        <x:v>1.0000023353585301</x:v>
      </x:c>
      <x:c r="O5" s="34" t="n">
        <x:f>IF(L5=0,"",M5/L5)</x:f>
        <x:v>0.0000023353585302136093</x:v>
      </x:c>
    </x:row>
    <x:row r="6" ht="18" customHeight="1">
      <x:c r="A6" s="24" t="str">
        <x:v>Other fishes &amp; inverts</x:v>
      </x:c>
      <x:c r="B6" s="33" t="n">
        <x:v>14</x:v>
      </x:c>
      <x:c r="C6" s="33" t="n">
        <x:v>14</x:v>
      </x:c>
      <x:c r="D6" s="31" t="n">
        <x:v>89334.7863511236</x:v>
      </x:c>
      <x:c r="E6" s="31" t="n">
        <x:v>89334.7863511236</x:v>
      </x:c>
      <x:c r="F6" s="32" t="n">
        <x:v>0</x:v>
      </x:c>
      <x:c r="G6" s="34" t="n">
        <x:v>1</x:v>
      </x:c>
      <x:c r="H6" s="32" t="n">
        <x:f>IF(E6=0,"",I6/E6)</x:f>
        <x:v>230.68710484545343</x:v>
      </x:c>
      <x:c r="I6" s="31" t="n">
        <x:f>IF(C6=0,"",SUMIF('Species'!$H$2:$H$91,A6,'Species'!$U$2:$U$91))</x:f>
        <x:v>20608383.225327834</x:v>
      </x:c>
      <x:c r="J6" s="32" t="n">
        <x:v>3.3201322691035977</x:v>
      </x:c>
      <x:c r="K6" s="32" t="n">
        <x:f>IF(J6="","",(1/'Metadata'!$B$5)^(J6-1))</x:f>
        <x:v>208.9932545602011</x:v>
      </x:c>
      <x:c r="L6" s="31" t="n">
        <x:f>IF(E6=0,"",E6*K6)</x:f>
        <x:v>18670367.744961556</x:v>
      </x:c>
      <x:c r="M6" s="31" t="n">
        <x:f>IF(E6=0,"",I6-L6)</x:f>
        <x:v>1938015.4803662784</x:v>
      </x:c>
      <x:c r="N6" s="32" t="n">
        <x:f>IF(L6=0,"",I6/L6)</x:f>
        <x:v>1.1038016769053345</x:v>
      </x:c>
      <x:c r="O6" s="34" t="n">
        <x:f>IF(L6=0,"",M6/L6)</x:f>
        <x:v>0.10380167690533451</x:v>
      </x:c>
    </x:row>
    <x:row r="7" ht="18" customHeight="1">
      <x:c r="A7" s="24" t="str">
        <x:v>Perch-likes</x:v>
      </x:c>
      <x:c r="B7" s="33" t="n">
        <x:v>37</x:v>
      </x:c>
      <x:c r="C7" s="33" t="n">
        <x:v>37</x:v>
      </x:c>
      <x:c r="D7" s="31" t="n">
        <x:v>130378.83013250609</x:v>
      </x:c>
      <x:c r="E7" s="31" t="n">
        <x:v>130378.83013250609</x:v>
      </x:c>
      <x:c r="F7" s="32" t="n">
        <x:v>0</x:v>
      </x:c>
      <x:c r="G7" s="34" t="n">
        <x:v>1</x:v>
      </x:c>
      <x:c r="H7" s="32" t="n">
        <x:f>IF(E7=0,"",I7/E7)</x:f>
        <x:v>832.7095643500048</x:v>
      </x:c>
      <x:c r="I7" s="31" t="n">
        <x:f>IF(C7=0,"",SUMIF('Species'!$H$2:$H$91,A7,'Species'!$U$2:$U$91))</x:f>
        <x:v>108567698.84010243</x:v>
      </x:c>
      <x:c r="J7" s="32" t="n">
        <x:v>3.6523468925734477</x:v>
      </x:c>
      <x:c r="K7" s="32" t="n">
        <x:f>IF(J7="","",(1/'Metadata'!$B$5)^(J7-1))</x:f>
        <x:v>449.1039683527105</x:v>
      </x:c>
      <x:c r="L7" s="31" t="n">
        <x:f>IF(E7=0,"",E7*K7)</x:f>
        <x:v>58553650.00169244</x:v>
      </x:c>
      <x:c r="M7" s="31" t="n">
        <x:f>IF(E7=0,"",I7-L7)</x:f>
        <x:v>50014048.83841</x:v>
      </x:c>
      <x:c r="N7" s="32" t="n">
        <x:f>IF(L7=0,"",I7/L7)</x:f>
        <x:v>1.8541576628777947</x:v>
      </x:c>
      <x:c r="O7" s="34" t="n">
        <x:f>IF(L7=0,"",M7/L7)</x:f>
        <x:v>0.8541576628777948</x:v>
      </x:c>
    </x:row>
    <x:row r="8" ht="18" customHeight="1">
      <x:c r="A8" s="24" t="str">
        <x:v>Scorpionfishes</x:v>
      </x:c>
      <x:c r="B8" s="33" t="n">
        <x:v>1</x:v>
      </x:c>
      <x:c r="C8" s="33" t="n">
        <x:v>1</x:v>
      </x:c>
      <x:c r="D8" s="31" t="n">
        <x:v>67.06136045</x:v>
      </x:c>
      <x:c r="E8" s="31" t="n">
        <x:v>67.06136045</x:v>
      </x:c>
      <x:c r="F8" s="32" t="n">
        <x:v>0</x:v>
      </x:c>
      <x:c r="G8" s="34" t="n">
        <x:v>1</x:v>
      </x:c>
      <x:c r="H8" s="32" t="n">
        <x:f>IF(E8=0,"",I8/E8)</x:f>
        <x:v>794.3282347242813</x:v>
      </x:c>
      <x:c r="I8" s="31" t="n">
        <x:f>IF(C8=0,"",SUMIF('Species'!$H$2:$H$91,A8,'Species'!$U$2:$U$91))</x:f>
        <x:v>53268.73206445723</x:v>
      </x:c>
      <x:c r="J8" s="32" t="n">
        <x:v>3.9</x:v>
      </x:c>
      <x:c r="K8" s="32" t="n">
        <x:f>IF(J8="","",(1/'Metadata'!$B$5)^(J8-1))</x:f>
        <x:v>794.3282347242813</x:v>
      </x:c>
      <x:c r="L8" s="31" t="n">
        <x:f>IF(E8=0,"",E8*K8)</x:f>
        <x:v>53268.73206445723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Sharks &amp; rays</x:v>
      </x:c>
      <x:c r="B9" s="33" t="n">
        <x:v>11</x:v>
      </x:c>
      <x:c r="C9" s="33" t="n">
        <x:v>11</x:v>
      </x:c>
      <x:c r="D9" s="31" t="n">
        <x:v>8396.116472495902</x:v>
      </x:c>
      <x:c r="E9" s="31" t="n">
        <x:v>8396.116472495902</x:v>
      </x:c>
      <x:c r="F9" s="32" t="n">
        <x:v>0</x:v>
      </x:c>
      <x:c r="G9" s="34" t="n">
        <x:v>1</x:v>
      </x:c>
      <x:c r="H9" s="32" t="n">
        <x:f>IF(E9=0,"",I9/E9)</x:f>
        <x:v>1178.2182564785257</x:v>
      </x:c>
      <x:c r="I9" s="31" t="n">
        <x:f>IF(C9=0,"",SUMIF('Species'!$H$2:$H$91,A9,'Species'!$U$2:$U$91))</x:f>
        <x:v>9892457.71141475</x:v>
      </x:c>
      <x:c r="J9" s="32" t="n">
        <x:v>4.063342405041067</x:v>
      </x:c>
      <x:c r="K9" s="32" t="n">
        <x:f>IF(J9="","",(1/'Metadata'!$B$5)^(J9-1))</x:f>
        <x:v>1157.0240998556985</x:v>
      </x:c>
      <x:c r="L9" s="31" t="n">
        <x:f>IF(E9=0,"",E9*K9)</x:f>
        <x:v>9714509.103873173</x:v>
      </x:c>
      <x:c r="M9" s="31" t="n">
        <x:f>IF(E9=0,"",I9-L9)</x:f>
        <x:v>177948.6075415779</x:v>
      </x:c>
      <x:c r="N9" s="32" t="n">
        <x:f>IF(L9=0,"",I9/L9)</x:f>
        <x:v>1.0183178177753347</x:v>
      </x:c>
      <x:c r="O9" s="34" t="n">
        <x:f>IF(L9=0,"",M9/L9)</x:f>
        <x:v>0.01831781777533461</x:v>
      </x:c>
    </x:row>
    <x:row r="10" ht="18" customHeight="1">
      <x:c r="A10" s="24" t="str">
        <x:v>Tuna &amp; billfishes</x:v>
      </x:c>
      <x:c r="B10" s="33" t="n">
        <x:v>17</x:v>
      </x:c>
      <x:c r="C10" s="33" t="n">
        <x:v>17</x:v>
      </x:c>
      <x:c r="D10" s="31" t="n">
        <x:v>2327.2678161626</x:v>
      </x:c>
      <x:c r="E10" s="31" t="n">
        <x:v>2327.2678161626</x:v>
      </x:c>
      <x:c r="F10" s="32" t="n">
        <x:v>0</x:v>
      </x:c>
      <x:c r="G10" s="34" t="n">
        <x:v>1</x:v>
      </x:c>
      <x:c r="H10" s="32" t="n">
        <x:f>IF(E10=0,"",I10/E10)</x:f>
        <x:v>1919.3992778919492</x:v>
      </x:c>
      <x:c r="I10" s="31" t="n">
        <x:f>IF(C10=0,"",SUMIF('Species'!$H$2:$H$91,A10,'Species'!$U$2:$U$91))</x:f>
        <x:v>4466956.165803668</x:v>
      </x:c>
      <x:c r="J10" s="32" t="n">
        <x:v>4.273681329137226</x:v>
      </x:c>
      <x:c r="K10" s="32" t="n">
        <x:f>IF(J10="","",(1/'Metadata'!$B$5)^(J10-1))</x:f>
        <x:v>1877.9383423586191</x:v>
      </x:c>
      <x:c r="L10" s="31" t="n">
        <x:f>IF(E10=0,"",E10*K10)</x:f>
        <x:v>4370465.464908957</x:v>
      </x:c>
      <x:c r="M10" s="31" t="n">
        <x:f>IF(E10=0,"",I10-L10)</x:f>
        <x:v>96490.70089471154</x:v>
      </x:c>
      <x:c r="N10" s="32" t="n">
        <x:f>IF(L10=0,"",I10/L10)</x:f>
        <x:v>1.0220779003219331</x:v>
      </x:c>
      <x:c r="O10" s="34" t="n">
        <x:f>IF(L10=0,"",M10/L10)</x:f>
        <x:v>0.022077900321933235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363fc3af3fc42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5057.140841066901</x:v>
      </x:c>
      <x:c r="E2" s="31" t="n">
        <x:v>5057.140841066901</x:v>
      </x:c>
      <x:c r="F2" s="32" t="n">
        <x:v>0</x:v>
      </x:c>
      <x:c r="G2" s="34" t="n">
        <x:v>1</x:v>
      </x:c>
      <x:c r="H2" s="32" t="n">
        <x:f>IF(E2=0,"",I2/E2)</x:f>
        <x:v>644.5276754353642</x:v>
      </x:c>
      <x:c r="I2" s="31" t="n">
        <x:f>IF(C2=0,"",SUMIF('Species'!$G$2:$G$91,A2,'Species'!$U$2:$U$91))</x:f>
        <x:v>3259467.2306420924</x:v>
      </x:c>
      <x:c r="J2" s="32" t="n">
        <x:v>3.809132727655988</x:v>
      </x:c>
      <x:c r="K2" s="32" t="n">
        <x:f>IF(J2="","",(1/'Metadata'!$B$5)^(J2-1))</x:f>
        <x:v>644.366164500864</x:v>
      </x:c>
      <x:c r="L2" s="31" t="n">
        <x:f>IF(E2=0,"",E2*K2)</x:f>
        <x:v>3258650.4470989523</x:v>
      </x:c>
      <x:c r="M2" s="31" t="n">
        <x:f>IF(E2=0,"",I2-L2)</x:f>
        <x:v>816.7835431401618</x:v>
      </x:c>
      <x:c r="N2" s="32" t="n">
        <x:f>IF(L2=0,"",I2/L2)</x:f>
        <x:v>1.000250650861883</x:v>
      </x:c>
      <x:c r="O2" s="34" t="n">
        <x:f>IF(L2=0,"",M2/L2)</x:f>
        <x:v>0.0002506508618828116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27.9522671861</x:v>
      </x:c>
      <x:c r="E3" s="31" t="n">
        <x:v>27.9522671861</x:v>
      </x:c>
      <x:c r="F3" s="32" t="n">
        <x:v>0</x:v>
      </x:c>
      <x:c r="G3" s="34" t="n">
        <x:v>1</x:v>
      </x:c>
      <x:c r="H3" s="32" t="n">
        <x:f>IF(E3=0,"",I3/E3)</x:f>
        <x:v>31.622776601683793</x:v>
      </x:c>
      <x:c r="I3" s="31" t="n">
        <x:f>IF(C3=0,"",SUMIF('Species'!$G$2:$G$91,A3,'Species'!$U$2:$U$91))</x:f>
        <x:v>883.9283007366167</x:v>
      </x:c>
      <x:c r="J3" s="32" t="n">
        <x:v>2.5</x:v>
      </x:c>
      <x:c r="K3" s="32" t="n">
        <x:f>IF(J3="","",(1/'Metadata'!$B$5)^(J3-1))</x:f>
        <x:v>31.622776601683793</x:v>
      </x:c>
      <x:c r="L3" s="31" t="n">
        <x:f>IF(E3=0,"",E3*K3)</x:f>
        <x:v>883.9283007366167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4602.7173197699</x:v>
      </x:c>
      <x:c r="E4" s="31" t="n">
        <x:v>4602.7173197699</x:v>
      </x:c>
      <x:c r="F4" s="32" t="n">
        <x:v>0</x:v>
      </x:c>
      <x:c r="G4" s="34" t="n">
        <x:v>1</x:v>
      </x:c>
      <x:c r="H4" s="32" t="n">
        <x:f>IF(E4=0,"",I4/E4)</x:f>
        <x:v>1413.3664302171567</x:v>
      </x:c>
      <x:c r="I4" s="31" t="n">
        <x:f>IF(C4=0,"",SUMIF('Species'!$G$2:$G$91,A4,'Species'!$U$2:$U$91))</x:f>
        <x:v>6505326.147541863</x:v>
      </x:c>
      <x:c r="J4" s="32" t="n">
        <x:v>4.148565416803969</x:v>
      </x:c>
      <x:c r="K4" s="32" t="n">
        <x:f>IF(J4="","",(1/'Metadata'!$B$5)^(J4-1))</x:f>
        <x:v>1407.8792780902759</x:v>
      </x:c>
      <x:c r="L4" s="31" t="n">
        <x:f>IF(E4=0,"",E4*K4)</x:f>
        <x:v>6480070.3374112565</x:v>
      </x:c>
      <x:c r="M4" s="31" t="n">
        <x:f>IF(E4=0,"",I4-L4)</x:f>
        <x:v>25255.810130606405</x:v>
      </x:c>
      <x:c r="N4" s="32" t="n">
        <x:f>IF(L4=0,"",I4/L4)</x:f>
        <x:v>1.0038974592582426</x:v>
      </x:c>
      <x:c r="O4" s="34" t="n">
        <x:f>IF(L4=0,"",M4/L4)</x:f>
        <x:v>0.003897459258242547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130.5435104205</x:v>
      </x:c>
      <x:c r="E5" s="31" t="n">
        <x:v>130.5435104205</x:v>
      </x:c>
      <x:c r="F5" s="32" t="n">
        <x:v>0</x:v>
      </x:c>
      <x:c r="G5" s="34" t="n">
        <x:v>1</x:v>
      </x:c>
      <x:c r="H5" s="32" t="n">
        <x:f>IF(E5=0,"",I5/E5)</x:f>
        <x:v>1061.1408774383976</x:v>
      </x:c>
      <x:c r="I5" s="31" t="n">
        <x:f>IF(C5=0,"",SUMIF('Species'!$G$2:$G$91,A5,'Species'!$U$2:$U$91))</x:f>
        <x:v>138525.055191498</x:v>
      </x:c>
      <x:c r="J5" s="32" t="n">
        <x:v>4.0021543826342345</x:v>
      </x:c>
      <x:c r="K5" s="32" t="n">
        <x:f>IF(J5="","",(1/'Metadata'!$B$5)^(J5-1))</x:f>
        <x:v>1004.9729737296896</x:v>
      </x:c>
      <x:c r="L5" s="31" t="n">
        <x:f>IF(E5=0,"",E5*K5)</x:f>
        <x:v>131192.69986840262</x:v>
      </x:c>
      <x:c r="M5" s="31" t="n">
        <x:f>IF(E5=0,"",I5-L5)</x:f>
        <x:v>7332.355323095369</x:v>
      </x:c>
      <x:c r="N5" s="32" t="n">
        <x:f>IF(L5=0,"",I5/L5)</x:f>
        <x:v>1.0558899643840727</x:v>
      </x:c>
      <x:c r="O5" s="34" t="n">
        <x:f>IF(L5=0,"",M5/L5)</x:f>
        <x:v>0.05588996438407276</x:v>
      </x:c>
    </x:row>
    <x:row r="6" ht="18" customHeight="1">
      <x:c r="A6" s="24" t="str">
        <x:v>Large pelagics (&gt;=90 cm)</x:v>
      </x:c>
      <x:c r="B6" s="33" t="n">
        <x:v>18</x:v>
      </x:c>
      <x:c r="C6" s="33" t="n">
        <x:v>18</x:v>
      </x:c>
      <x:c r="D6" s="31" t="n">
        <x:v>2762.8138105309004</x:v>
      </x:c>
      <x:c r="E6" s="31" t="n">
        <x:v>2762.8138105309004</x:v>
      </x:c>
      <x:c r="F6" s="32" t="n">
        <x:v>0</x:v>
      </x:c>
      <x:c r="G6" s="34" t="n">
        <x:v>1</x:v>
      </x:c>
      <x:c r="H6" s="32" t="n">
        <x:f>IF(E6=0,"",I6/E6)</x:f>
        <x:v>3129.2356292078034</x:v>
      </x:c>
      <x:c r="I6" s="31" t="n">
        <x:f>IF(C6=0,"",SUMIF('Species'!$G$2:$G$91,A6,'Species'!$U$2:$U$91))</x:f>
        <x:v>8645495.41278067</x:v>
      </x:c>
      <x:c r="J6" s="32" t="n">
        <x:v>4.494461036772582</x:v>
      </x:c>
      <x:c r="K6" s="32" t="n">
        <x:f>IF(J6="","",(1/'Metadata'!$B$5)^(J6-1))</x:f>
        <x:v>3122.2022816999042</x:v>
      </x:c>
      <x:c r="L6" s="31" t="n">
        <x:f>IF(E6=0,"",E6*K6)</x:f>
        <x:v>8626063.583151584</x:v>
      </x:c>
      <x:c r="M6" s="31" t="n">
        <x:f>IF(E6=0,"",I6-L6)</x:f>
        <x:v>19431.829629085958</x:v>
      </x:c>
      <x:c r="N6" s="32" t="n">
        <x:f>IF(L6=0,"",I6/L6)</x:f>
        <x:v>1.0022526879661589</x:v>
      </x:c>
      <x:c r="O6" s="34" t="n">
        <x:f>IF(L6=0,"",M6/L6)</x:f>
        <x:v>0.002252687966158768</x:v>
      </x:c>
    </x:row>
    <x:row r="7" ht="18" customHeight="1">
      <x:c r="A7" s="24" t="str">
        <x:v>Large rays (&gt;=90 cm)</x:v>
      </x:c>
      <x:c r="B7" s="33" t="n">
        <x:v>1</x:v>
      </x:c>
      <x:c r="C7" s="33" t="n">
        <x:v>1</x:v>
      </x:c>
      <x:c r="D7" s="31" t="n">
        <x:v>2.7077887143</x:v>
      </x:c>
      <x:c r="E7" s="31" t="n">
        <x:v>2.7077887143</x:v>
      </x:c>
      <x:c r="F7" s="32" t="n">
        <x:v>0</x:v>
      </x:c>
      <x:c r="G7" s="34" t="n">
        <x:v>1</x:v>
      </x:c>
      <x:c r="H7" s="32" t="n">
        <x:f>IF(E7=0,"",I7/E7)</x:f>
        <x:v>398.1071705534973</x:v>
      </x:c>
      <x:c r="I7" s="31" t="n">
        <x:f>IF(C7=0,"",SUMIF('Species'!$G$2:$G$91,A7,'Species'!$U$2:$U$91))</x:f>
        <x:v>1077.9901035066653</x:v>
      </x:c>
      <x:c r="J7" s="32" t="n">
        <x:v>3.5999999999999996</x:v>
      </x:c>
      <x:c r="K7" s="32" t="n">
        <x:f>IF(J7="","",(1/'Metadata'!$B$5)^(J7-1))</x:f>
        <x:v>398.1071705534969</x:v>
      </x:c>
      <x:c r="L7" s="31" t="n">
        <x:f>IF(E7=0,"",E7*K7)</x:f>
        <x:v>1077.9901035066641</x:v>
      </x:c>
      <x:c r="M7" s="31" t="n">
        <x:f>IF(E7=0,"",I7-L7)</x:f>
        <x:v>1.1368683772161603e-12</x:v>
      </x:c>
      <x:c r="N7" s="32" t="n">
        <x:f>IF(L7=0,"",I7/L7)</x:f>
        <x:v>1.000000000000001</x:v>
      </x:c>
      <x:c r="O7" s="34" t="n">
        <x:f>IF(L7=0,"",M7/L7)</x:f>
        <x:v>1.0546185660869865e-15</x:v>
      </x:c>
    </x:row>
    <x:row r="8" ht="18" customHeight="1">
      <x:c r="A8" s="24" t="str">
        <x:v>Large reef assoc. fish (&gt;=90 cm)</x:v>
      </x:c>
      <x:c r="B8" s="33" t="n">
        <x:v>1</x:v>
      </x:c>
      <x:c r="C8" s="33" t="n">
        <x:v>1</x:v>
      </x:c>
      <x:c r="D8" s="31" t="n">
        <x:v>603.552244</x:v>
      </x:c>
      <x:c r="E8" s="31" t="n">
        <x:v>603.552244</x:v>
      </x:c>
      <x:c r="F8" s="32" t="n">
        <x:v>0</x:v>
      </x:c>
      <x:c r="G8" s="34" t="n">
        <x:v>1</x:v>
      </x:c>
      <x:c r="H8" s="32" t="n">
        <x:f>IF(E8=0,"",I8/E8)</x:f>
        <x:v>316.22776601683796</x:v>
      </x:c>
      <x:c r="I8" s="31" t="n">
        <x:f>IF(C8=0,"",SUMIF('Species'!$G$2:$G$91,A8,'Species'!$U$2:$U$91))</x:f>
        <x:v>190859.97779456948</x:v>
      </x:c>
      <x:c r="J8" s="32" t="n">
        <x:v>3.4999999999999996</x:v>
      </x:c>
      <x:c r="K8" s="32" t="n">
        <x:f>IF(J8="","",(1/'Metadata'!$B$5)^(J8-1))</x:f>
        <x:v>316.2277660168376</x:v>
      </x:c>
      <x:c r="L8" s="31" t="n">
        <x:f>IF(E8=0,"",E8*K8)</x:f>
        <x:v>190859.97779456928</x:v>
      </x:c>
      <x:c r="M8" s="31" t="n">
        <x:f>IF(E8=0,"",I8-L8)</x:f>
        <x:v>2.0372681319713593e-10</x:v>
      </x:c>
      <x:c r="N8" s="32" t="n">
        <x:f>IF(L8=0,"",I8/L8)</x:f>
        <x:v>1.000000000000001</x:v>
      </x:c>
      <x:c r="O8" s="34" t="n">
        <x:f>IF(L8=0,"",M8/L8)</x:f>
        <x:v>1.0674150523920513e-15</x:v>
      </x:c>
    </x:row>
    <x:row r="9" ht="18" customHeight="1">
      <x:c r="A9" s="24" t="str">
        <x:v>Large sharks (&gt;=90 cm)</x:v>
      </x:c>
      <x:c r="B9" s="33" t="n">
        <x:v>10</x:v>
      </x:c>
      <x:c r="C9" s="33" t="n">
        <x:v>10</x:v>
      </x:c>
      <x:c r="D9" s="31" t="n">
        <x:v>8393.408683781601</x:v>
      </x:c>
      <x:c r="E9" s="31" t="n">
        <x:v>8393.408683781601</x:v>
      </x:c>
      <x:c r="F9" s="32" t="n">
        <x:v>0</x:v>
      </x:c>
      <x:c r="G9" s="34" t="n">
        <x:v>1</x:v>
      </x:c>
      <x:c r="H9" s="32" t="n">
        <x:f>IF(E9=0,"",I9/E9)</x:f>
        <x:v>1178.4699272923692</x:v>
      </x:c>
      <x:c r="I9" s="31" t="n">
        <x:f>IF(C9=0,"",SUMIF('Species'!$G$2:$G$91,A9,'Species'!$U$2:$U$91))</x:f>
        <x:v>9891379.721311243</x:v>
      </x:c>
      <x:c r="J9" s="32" t="n">
        <x:v>4.063491883445193</x:v>
      </x:c>
      <x:c r="K9" s="32" t="n">
        <x:f>IF(J9="","",(1/'Metadata'!$B$5)^(J9-1))</x:f>
        <x:v>1157.422400755604</x:v>
      </x:c>
      <x:c r="L9" s="31" t="n">
        <x:f>IF(E9=0,"",E9*K9)</x:f>
        <x:v>9714719.229305435</x:v>
      </x:c>
      <x:c r="M9" s="31" t="n">
        <x:f>IF(E9=0,"",I9-L9)</x:f>
        <x:v>176660.49200580828</x:v>
      </x:c>
      <x:c r="N9" s="32" t="n">
        <x:f>IF(L9=0,"",I9/L9)</x:f>
        <x:v>1.0181848273569136</x:v>
      </x:c>
      <x:c r="O9" s="34" t="n">
        <x:f>IF(L9=0,"",M9/L9)</x:f>
        <x:v>0.01818482735691362</x:v>
      </x:c>
    </x:row>
    <x:row r="10" ht="18" customHeight="1">
      <x:c r="A10" s="24" t="str">
        <x:v>Lobsters, crabs</x:v>
      </x:c>
      <x:c r="B10" s="33" t="n">
        <x:v>3</x:v>
      </x:c>
      <x:c r="C10" s="33" t="n">
        <x:v>3</x:v>
      </x:c>
      <x:c r="D10" s="31" t="n">
        <x:v>4014.502693</x:v>
      </x:c>
      <x:c r="E10" s="31" t="n">
        <x:v>4014.502693</x:v>
      </x:c>
      <x:c r="F10" s="32" t="n">
        <x:v>0</x:v>
      </x:c>
      <x:c r="G10" s="34" t="n">
        <x:v>1</x:v>
      </x:c>
      <x:c r="H10" s="32" t="n">
        <x:f>IF(E10=0,"",I10/E10)</x:f>
        <x:v>429.46316215752336</x:v>
      </x:c>
      <x:c r="I10" s="31" t="n">
        <x:f>IF(C10=0,"",SUMIF('Species'!$G$2:$G$91,A10,'Species'!$U$2:$U$91))</x:f>
        <x:v>1724081.0210256733</x:v>
      </x:c>
      <x:c r="J10" s="32" t="n">
        <x:v>3.374228546589245</x:v>
      </x:c>
      <x:c r="K10" s="32" t="n">
        <x:f>IF(J10="","",(1/'Metadata'!$B$5)^(J10-1))</x:f>
        <x:v>236.71650855851803</x:v>
      </x:c>
      <x:c r="L10" s="31" t="n">
        <x:f>IF(E10=0,"",E10*K10)</x:f>
        <x:v>950299.0610857281</x:v>
      </x:c>
      <x:c r="M10" s="31" t="n">
        <x:f>IF(E10=0,"",I10-L10)</x:f>
        <x:v>773781.9599399451</x:v>
      </x:c>
      <x:c r="N10" s="32" t="n">
        <x:f>IF(L10=0,"",I10/L10)</x:f>
        <x:v>1.8142509991074705</x:v>
      </x:c>
      <x:c r="O10" s="34" t="n">
        <x:f>IF(L10=0,"",M10/L10)</x:f>
        <x:v>0.8142509991074703</x:v>
      </x:c>
    </x:row>
    <x:row r="11" ht="18" customHeight="1">
      <x:c r="A11" s="24" t="str">
        <x:v>Medium benthopelagics (30 - 89 cm)</x:v>
      </x:c>
      <x:c r="B11" s="33" t="n">
        <x:v>2</x:v>
      </x:c>
      <x:c r="C11" s="33" t="n">
        <x:v>2</x:v>
      </x:c>
      <x:c r="D11" s="31" t="n">
        <x:v>743.5192607415</x:v>
      </x:c>
      <x:c r="E11" s="31" t="n">
        <x:v>743.5192607415</x:v>
      </x:c>
      <x:c r="F11" s="32" t="n">
        <x:v>0</x:v>
      </x:c>
      <x:c r="G11" s="34" t="n">
        <x:v>1</x:v>
      </x:c>
      <x:c r="H11" s="32" t="n">
        <x:f>IF(E11=0,"",I11/E11)</x:f>
        <x:v>204.56727186762242</x:v>
      </x:c>
      <x:c r="I11" s="31" t="n">
        <x:f>IF(C11=0,"",SUMIF('Species'!$G$2:$G$91,A11,'Species'!$U$2:$U$91))</x:f>
        <x:v>152099.70675092007</x:v>
      </x:c>
      <x:c r="J11" s="32" t="n">
        <x:v>3.310588389933166</x:v>
      </x:c>
      <x:c r="K11" s="32" t="n">
        <x:f>IF(J11="","",(1/'Metadata'!$B$5)^(J11-1))</x:f>
        <x:v>204.4506002445259</x:v>
      </x:c>
      <x:c r="L11" s="31" t="n">
        <x:f>IF(E11=0,"",E11*K11)</x:f>
        <x:v>152012.95915196586</x:v>
      </x:c>
      <x:c r="M11" s="31" t="n">
        <x:f>IF(E11=0,"",I11-L11)</x:f>
        <x:v>86.74759895421448</x:v>
      </x:c>
      <x:c r="N11" s="32" t="n">
        <x:f>IF(L11=0,"",I11/L11)</x:f>
        <x:v>1.000570659234832</x:v>
      </x:c>
      <x:c r="O11" s="34" t="n">
        <x:f>IF(L11=0,"",M11/L11)</x:f>
        <x:v>0.0005706592348320367</x:v>
      </x:c>
    </x:row>
    <x:row r="12" ht="18" customHeight="1">
      <x:c r="A12" s="24" t="str">
        <x:v>Medium demersals (30 - 89 cm)</x:v>
      </x:c>
      <x:c r="B12" s="33" t="n">
        <x:v>11</x:v>
      </x:c>
      <x:c r="C12" s="33" t="n">
        <x:v>11</x:v>
      </x:c>
      <x:c r="D12" s="31" t="n">
        <x:v>114085.21212096998</x:v>
      </x:c>
      <x:c r="E12" s="31" t="n">
        <x:v>114085.21212096998</x:v>
      </x:c>
      <x:c r="F12" s="32" t="n">
        <x:v>0</x:v>
      </x:c>
      <x:c r="G12" s="34" t="n">
        <x:v>1</x:v>
      </x:c>
      <x:c r="H12" s="32" t="n">
        <x:f>IF(E12=0,"",I12/E12)</x:f>
        <x:v>269.9618446024537</x:v>
      </x:c>
      <x:c r="I12" s="31" t="n">
        <x:f>IF(C12=0,"",SUMIF('Species'!$G$2:$G$91,A12,'Species'!$U$2:$U$91))</x:f>
        <x:v>30798654.306039266</x:v>
      </x:c>
      <x:c r="J12" s="32" t="n">
        <x:v>3.3791777443454305</x:v>
      </x:c>
      <x:c r="K12" s="32" t="n">
        <x:f>IF(J12="","",(1/'Metadata'!$B$5)^(J12-1))</x:f>
        <x:v>239.4295472758789</x:v>
      </x:c>
      <x:c r="L12" s="31" t="n">
        <x:f>IF(E12=0,"",E12*K12)</x:f>
        <x:v>27315370.688996453</x:v>
      </x:c>
      <x:c r="M12" s="31" t="n">
        <x:f>IF(E12=0,"",I12-L12)</x:f>
        <x:v>3483283.6170428135</x:v>
      </x:c>
      <x:c r="N12" s="32" t="n">
        <x:f>IF(L12=0,"",I12/L12)</x:f>
        <x:v>1.1275210084718343</x:v>
      </x:c>
      <x:c r="O12" s="34" t="n">
        <x:f>IF(L12=0,"",M12/L12)</x:f>
        <x:v>0.1275210084718344</x:v>
      </x:c>
    </x:row>
    <x:row r="13" ht="18" customHeight="1">
      <x:c r="A13" s="24" t="str">
        <x:v>Medium pelagics (30 - 89 cm)</x:v>
      </x:c>
      <x:c r="B13" s="33" t="n">
        <x:v>10</x:v>
      </x:c>
      <x:c r="C13" s="33" t="n">
        <x:v>10</x:v>
      </x:c>
      <x:c r="D13" s="31" t="n">
        <x:v>53572.3365109781</x:v>
      </x:c>
      <x:c r="E13" s="31" t="n">
        <x:v>53572.3365109781</x:v>
      </x:c>
      <x:c r="F13" s="32" t="n">
        <x:v>0</x:v>
      </x:c>
      <x:c r="G13" s="34" t="n">
        <x:v>1</x:v>
      </x:c>
      <x:c r="H13" s="32" t="n">
        <x:f>IF(E13=0,"",I13/E13)</x:f>
        <x:v>1392.6636610021642</x:v>
      </x:c>
      <x:c r="I13" s="31" t="n">
        <x:f>IF(C13=0,"",SUMIF('Species'!$G$2:$G$91,A13,'Species'!$U$2:$U$91))</x:f>
        <x:v>74608246.29381867</x:v>
      </x:c>
      <x:c r="J13" s="32" t="n">
        <x:v>4.11772009122907</x:v>
      </x:c>
      <x:c r="K13" s="32" t="n">
        <x:f>IF(J13="","",(1/'Metadata'!$B$5)^(J13-1))</x:f>
        <x:v>1311.3544406080873</x:v>
      </x:c>
      <x:c r="L13" s="31" t="n">
        <x:f>IF(E13=0,"",E13*K13)</x:f>
        <x:v>70252321.3774219</x:v>
      </x:c>
      <x:c r="M13" s="31" t="n">
        <x:f>IF(E13=0,"",I13-L13)</x:f>
        <x:v>4355924.916396767</x:v>
      </x:c>
      <x:c r="N13" s="32" t="n">
        <x:f>IF(L13=0,"",I13/L13)</x:f>
        <x:v>1.0620039997396684</x:v>
      </x:c>
      <x:c r="O13" s="34" t="n">
        <x:f>IF(L13=0,"",M13/L13)</x:f>
        <x:v>0.06200399973966838</x:v>
      </x:c>
    </x:row>
    <x:row r="14" ht="18" customHeight="1">
      <x:c r="A14" s="24" t="str">
        <x:v>Medium reef assoc. fish (30 - 89 cm)</x:v>
      </x:c>
      <x:c r="B14" s="33" t="n">
        <x:v>10</x:v>
      </x:c>
      <x:c r="C14" s="33" t="n">
        <x:v>10</x:v>
      </x:c>
      <x:c r="D14" s="31" t="n">
        <x:v>36876.51462128649</x:v>
      </x:c>
      <x:c r="E14" s="31" t="n">
        <x:v>36876.51462128649</x:v>
      </x:c>
      <x:c r="F14" s="32" t="n">
        <x:v>0</x:v>
      </x:c>
      <x:c r="G14" s="34" t="n">
        <x:v>1</x:v>
      </x:c>
      <x:c r="H14" s="32" t="n">
        <x:f>IF(E14=0,"",I14/E14)</x:f>
        <x:v>236.87175352992156</x:v>
      </x:c>
      <x:c r="I14" s="31" t="n">
        <x:f>IF(C14=0,"",SUMIF('Species'!$G$2:$G$91,A14,'Species'!$U$2:$U$91))</x:f>
        <x:v>8735004.682415923</x:v>
      </x:c>
      <x:c r="J14" s="32" t="n">
        <x:v>2.9621708698453335</x:v>
      </x:c>
      <x:c r="K14" s="32" t="n">
        <x:f>IF(J14="","",(1/'Metadata'!$B$5)^(J14-1))</x:f>
        <x:v>91.65810409960713</x:v>
      </x:c>
      <x:c r="L14" s="31" t="n">
        <x:f>IF(E14=0,"",E14*K14)</x:f>
        <x:v>3380031.4159885617</x:v>
      </x:c>
      <x:c r="M14" s="31" t="n">
        <x:f>IF(E14=0,"",I14-L14)</x:f>
        <x:v>5354973.266427361</x:v>
      </x:c>
      <x:c r="N14" s="32" t="n">
        <x:f>IF(L14=0,"",I14/L14)</x:f>
        <x:v>2.5842968917675537</x:v>
      </x:c>
      <x:c r="O14" s="34" t="n">
        <x:f>IF(L14=0,"",M14/L14)</x:f>
        <x:v>1.5842968917675537</x:v>
      </x:c>
    </x:row>
    <x:row r="15" ht="18" customHeight="1">
      <x:c r="A15" s="24" t="str">
        <x:v>Shrimps</x:v>
      </x:c>
      <x:c r="B15" s="33" t="n">
        <x:v>1</x:v>
      </x:c>
      <x:c r="C15" s="33" t="n">
        <x:v>1</x:v>
      </x:c>
      <x:c r="D15" s="31" t="n">
        <x:v>10367.6340848</x:v>
      </x:c>
      <x:c r="E15" s="31" t="n">
        <x:v>10367.6340848</x:v>
      </x:c>
      <x:c r="F15" s="32" t="n">
        <x:v>0</x:v>
      </x:c>
      <x:c r="G15" s="34" t="n">
        <x:v>1</x:v>
      </x:c>
      <x:c r="H15" s="32" t="n">
        <x:f>IF(E15=0,"",I15/E15)</x:f>
        <x:v>204.17379446695298</x:v>
      </x:c>
      <x:c r="I15" s="31" t="n">
        <x:f>IF(C15=0,"",SUMIF('Species'!$G$2:$G$91,A15,'Species'!$U$2:$U$91))</x:f>
        <x:v>2116799.1907385313</x:v>
      </x:c>
      <x:c r="J15" s="32" t="n">
        <x:v>3.3100000000000005</x:v>
      </x:c>
      <x:c r="K15" s="32" t="n">
        <x:f>IF(J15="","",(1/'Metadata'!$B$5)^(J15-1))</x:f>
        <x:v>204.17379446695315</x:v>
      </x:c>
      <x:c r="L15" s="31" t="n">
        <x:f>IF(E15=0,"",E15*K15)</x:f>
        <x:v>2116799.190738533</x:v>
      </x:c>
      <x:c r="M15" s="31" t="n">
        <x:f>IF(E15=0,"",I15-L15)</x:f>
        <x:v>-1.862645149230957e-9</x:v>
      </x:c>
      <x:c r="N15" s="32" t="n">
        <x:f>IF(L15=0,"",I15/L15)</x:f>
        <x:v>0.9999999999999991</x:v>
      </x:c>
      <x:c r="O15" s="34" t="n">
        <x:f>IF(L15=0,"",M15/L15)</x:f>
        <x:v>-8.799347417461436e-16</x:v>
      </x:c>
    </x:row>
    <x:row r="16" ht="18" customHeight="1">
      <x:c r="A16" s="24" t="str">
        <x:v>Small benthopelagics (&lt;30 cm)</x:v>
      </x:c>
      <x:c r="B16" s="33" t="n">
        <x:v>2</x:v>
      </x:c>
      <x:c r="C16" s="33" t="n">
        <x:v>2</x:v>
      </x:c>
      <x:c r="D16" s="31" t="n">
        <x:v>1671.5900951845001</x:v>
      </x:c>
      <x:c r="E16" s="31" t="n">
        <x:v>1671.5900951845001</x:v>
      </x:c>
      <x:c r="F16" s="32" t="n">
        <x:v>0</x:v>
      </x:c>
      <x:c r="G16" s="34" t="n">
        <x:v>1</x:v>
      </x:c>
      <x:c r="H16" s="32" t="n">
        <x:f>IF(E16=0,"",I16/E16)</x:f>
        <x:v>121.82808425074651</x:v>
      </x:c>
      <x:c r="I16" s="31" t="n">
        <x:f>IF(C16=0,"",SUMIF('Species'!$G$2:$G$91,A16,'Species'!$U$2:$U$91))</x:f>
        <x:v>203646.61894885066</x:v>
      </x:c>
      <x:c r="J16" s="32" t="n">
        <x:v>3.0762566073635473</x:v>
      </x:c>
      <x:c r="K16" s="32" t="n">
        <x:f>IF(J16="","",(1/'Metadata'!$B$5)^(J16-1))</x:f>
        <x:v>119.19460736074785</x:v>
      </x:c>
      <x:c r="L16" s="31" t="n">
        <x:f>IF(E16=0,"",E16*K16)</x:f>
        <x:v>199244.52506363162</x:v>
      </x:c>
      <x:c r="M16" s="31" t="n">
        <x:f>IF(E16=0,"",I16-L16)</x:f>
        <x:v>4402.093885219045</x:v>
      </x:c>
      <x:c r="N16" s="32" t="n">
        <x:f>IF(L16=0,"",I16/L16)</x:f>
        <x:v>1.0220939264645448</x:v>
      </x:c>
      <x:c r="O16" s="34" t="n">
        <x:f>IF(L16=0,"",M16/L16)</x:f>
        <x:v>0.02209392646454487</x:v>
      </x:c>
    </x:row>
    <x:row r="17" ht="18" customHeight="1">
      <x:c r="A17" s="24" t="str">
        <x:v>Small demersals (&lt;30 cm)</x:v>
      </x:c>
      <x:c r="B17" s="33" t="n">
        <x:v>2</x:v>
      </x:c>
      <x:c r="C17" s="33" t="n">
        <x:v>2</x:v>
      </x:c>
      <x:c r="D17" s="31" t="n">
        <x:v>455.6460523056</x:v>
      </x:c>
      <x:c r="E17" s="31" t="n">
        <x:v>455.6460523056</x:v>
      </x:c>
      <x:c r="F17" s="32" t="n">
        <x:v>0</x:v>
      </x:c>
      <x:c r="G17" s="34" t="n">
        <x:v>1</x:v>
      </x:c>
      <x:c r="H17" s="32" t="n">
        <x:f>IF(E17=0,"",I17/E17)</x:f>
        <x:v>414.3183263365706</x:v>
      </x:c>
      <x:c r="I17" s="31" t="n">
        <x:f>IF(C17=0,"",SUMIF('Species'!$G$2:$G$91,A17,'Species'!$U$2:$U$91))</x:f>
        <x:v>188782.5097931217</x:v>
      </x:c>
      <x:c r="J17" s="32" t="n">
        <x:v>3.6169915400809916</x:v>
      </x:c>
      <x:c r="K17" s="32" t="n">
        <x:f>IF(J17="","",(1/'Metadata'!$B$5)^(J17-1))</x:f>
        <x:v>413.9916103156858</x:v>
      </x:c>
      <x:c r="L17" s="31" t="n">
        <x:f>IF(E17=0,"",E17*K17)</x:f>
        <x:v>188633.64292798055</x:v>
      </x:c>
      <x:c r="M17" s="31" t="n">
        <x:f>IF(E17=0,"",I17-L17)</x:f>
        <x:v>148.86686514114263</x:v>
      </x:c>
      <x:c r="N17" s="32" t="n">
        <x:f>IF(L17=0,"",I17/L17)</x:f>
        <x:v>1.0007891851253596</x:v>
      </x:c>
      <x:c r="O17" s="34" t="n">
        <x:f>IF(L17=0,"",M17/L17)</x:f>
        <x:v>0.0007891851253595272</x:v>
      </x:c>
    </x:row>
    <x:row r="18" ht="18" customHeight="1">
      <x:c r="A18" s="24" t="str">
        <x:v>Small pelagics (&lt;30 cm)</x:v>
      </x:c>
      <x:c r="B18" s="33" t="n">
        <x:v>7</x:v>
      </x:c>
      <x:c r="C18" s="33" t="n">
        <x:v>7</x:v>
      </x:c>
      <x:c r="D18" s="31" t="n">
        <x:v>52768.2212191741</x:v>
      </x:c>
      <x:c r="E18" s="31" t="n">
        <x:v>52768.2212191741</x:v>
      </x:c>
      <x:c r="F18" s="32" t="n">
        <x:v>0</x:v>
      </x:c>
      <x:c r="G18" s="34" t="n">
        <x:v>1</x:v>
      </x:c>
      <x:c r="H18" s="32" t="n">
        <x:f>IF(E18=0,"",I18/E18)</x:f>
        <x:v>151.53907124197517</x:v>
      </x:c>
      <x:c r="I18" s="31" t="n">
        <x:f>IF(C18=0,"",SUMIF('Species'!$G$2:$G$91,A18,'Species'!$U$2:$U$91))</x:f>
        <x:v>7996447.234644729</x:v>
      </x:c>
      <x:c r="J18" s="32" t="n">
        <x:v>3.179725428571762</x:v>
      </x:c>
      <x:c r="K18" s="32" t="n">
        <x:f>IF(J18="","",(1/'Metadata'!$B$5)^(J18-1))</x:f>
        <x:v>151.26046409989806</x:v>
      </x:c>
      <x:c r="L18" s="31" t="n">
        <x:f>IF(E18=0,"",E18*K18)</x:f>
        <x:v>7981745.631338363</x:v>
      </x:c>
      <x:c r="M18" s="31" t="n">
        <x:f>IF(E18=0,"",I18-L18)</x:f>
        <x:v>14701.60330636613</x:v>
      </x:c>
      <x:c r="N18" s="32" t="n">
        <x:f>IF(L18=0,"",I18/L18)</x:f>
        <x:v>1.0018419032609414</x:v>
      </x:c>
      <x:c r="O18" s="34" t="n">
        <x:f>IF(L18=0,"",M18/L18)</x:f>
        <x:v>0.0018419032609413033</x:v>
      </x:c>
    </x:row>
    <x:row r="19" ht="18" customHeight="1">
      <x:c r="A19" s="24" t="str">
        <x:v>Small reef assoc. fish (&lt;30 cm)</x:v>
      </x:c>
      <x:c r="B19" s="33" t="n">
        <x:v>1</x:v>
      </x:c>
      <x:c r="C19" s="33" t="n">
        <x:v>1</x:v>
      </x:c>
      <x:c r="D19" s="31" t="n">
        <x:v>0.8555550744</x:v>
      </x:c>
      <x:c r="E19" s="31" t="n">
        <x:v>0.8555550744</x:v>
      </x:c>
      <x:c r="F19" s="32" t="n">
        <x:v>0</x:v>
      </x:c>
      <x:c r="G19" s="34" t="n">
        <x:v>1</x:v>
      </x:c>
      <x:c r="H19" s="32" t="n">
        <x:f>IF(E19=0,"",I19/E19)</x:f>
        <x:v>416.8693834703355</x:v>
      </x:c>
      <x:c r="I19" s="31" t="n">
        <x:f>IF(C19=0,"",SUMIF('Species'!$G$2:$G$91,A19,'Species'!$U$2:$U$91))</x:f>
        <x:v>356.654716390045</x:v>
      </x:c>
      <x:c r="J19" s="32" t="n">
        <x:v>3.62</x:v>
      </x:c>
      <x:c r="K19" s="32" t="n">
        <x:f>IF(J19="","",(1/'Metadata'!$B$5)^(J19-1))</x:f>
        <x:v>416.8693834703355</x:v>
      </x:c>
      <x:c r="L19" s="31" t="n">
        <x:f>IF(E19=0,"",E19*K19)</x:f>
        <x:v>356.654716390045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to medium flatfishes (&lt;90 cm)</x:v>
      </x:c>
      <x:c r="B20" s="33" t="n">
        <x:v>1</x:v>
      </x:c>
      <x:c r="C20" s="33" t="n">
        <x:v>1</x:v>
      </x:c>
      <x:c r="D20" s="31" t="n">
        <x:v>101.6854434879</x:v>
      </x:c>
      <x:c r="E20" s="31" t="n">
        <x:v>101.6854434879</x:v>
      </x:c>
      <x:c r="F20" s="32" t="n">
        <x:v>0</x:v>
      </x:c>
      <x:c r="G20" s="34" t="n">
        <x:v>1</x:v>
      </x:c>
      <x:c r="H20" s="32" t="n">
        <x:f>IF(E20=0,"",I20/E20)</x:f>
        <x:v>141.2537544622754</x:v>
      </x:c>
      <x:c r="I20" s="31" t="n">
        <x:f>IF(C20=0,"",SUMIF('Species'!$G$2:$G$91,A20,'Species'!$U$2:$U$91))</x:f>
        <x:v>14363.450666827408</x:v>
      </x:c>
      <x:c r="J20" s="32" t="n">
        <x:v>3.1500000000000004</x:v>
      </x:c>
      <x:c r="K20" s="32" t="n">
        <x:f>IF(J20="","",(1/'Metadata'!$B$5)^(J20-1))</x:f>
        <x:v>141.25375446227554</x:v>
      </x:c>
      <x:c r="L20" s="31" t="n">
        <x:f>IF(E20=0,"",E20*K20)</x:f>
        <x:v>14363.450666827423</x:v>
      </x:c>
      <x:c r="M20" s="31" t="n">
        <x:f>IF(E20=0,"",I20-L20)</x:f>
        <x:v>-1.4551915228366852e-11</x:v>
      </x:c>
      <x:c r="N20" s="32" t="n">
        <x:f>IF(L20=0,"",I20/L20)</x:f>
        <x:v>0.999999999999999</x:v>
      </x:c>
      <x:c r="O20" s="34" t="n">
        <x:f>IF(L20=0,"",M20/L20)</x:f>
        <x:v>-1.0131211201201597e-15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fdfebc41a3b45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EEZ_508</x:v>
      </x:c>
      <x:c r="B2" s="24" t="str">
        <x:v>raw_filtered_tonnes</x:v>
      </x:c>
      <x:c r="C2" s="24" t="n">
        <x:v>296238.55412247276</x:v>
      </x:c>
      <x:c r="D2" s="24" t="str">
        <x:v>tonnes</x:v>
      </x:c>
    </x:row>
    <x:row r="3" ht="18" customHeight="1">
      <x:c r="A3" s="24" t="str">
        <x:v>EEZ_508</x:v>
      </x:c>
      <x:c r="B3" s="24" t="str">
        <x:v>species_catch_tonnes</x:v>
      </x:c>
      <x:c r="C3" s="24" t="n">
        <x:v>296238.55412247276</x:v>
      </x:c>
      <x:c r="D3" s="24" t="str">
        <x:v>tonnes</x:v>
      </x:c>
    </x:row>
    <x:row r="4" ht="18" customHeight="1">
      <x:c r="A4" s="24" t="str">
        <x:v>EEZ_508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EEZ_508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EEZ_508</x:v>
      </x:c>
      <x:c r="B6" s="24" t="str">
        <x:v>matched_catch_tonnes</x:v>
      </x:c>
      <x:c r="C6" s="24" t="n">
        <x:v>296238.55412247276</x:v>
      </x:c>
      <x:c r="D6" s="24" t="str">
        <x:v>tonnes</x:v>
      </x:c>
    </x:row>
    <x:row r="7" ht="18" customHeight="1">
      <x:c r="A7" s="24" t="str">
        <x:v>EEZ_508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EEZ_508</x:v>
      </x:c>
      <x:c r="B8" s="24" t="str">
        <x:v>taxa_count</x:v>
      </x:c>
      <x:c r="C8" s="24" t="n">
        <x:v>90</x:v>
      </x:c>
      <x:c r="D8" s="24" t="str">
        <x:v>count</x:v>
      </x:c>
    </x:row>
    <x:row r="9" ht="18" customHeight="1">
      <x:c r="A9" s="24" t="str">
        <x:v>EEZ_508</x:v>
      </x:c>
      <x:c r="B9" s="24" t="str">
        <x:v>matched_taxa_count</x:v>
      </x:c>
      <x:c r="C9" s="24" t="n">
        <x:v>90</x:v>
      </x:c>
      <x:c r="D9" s="24" t="str">
        <x:v>count</x:v>
      </x:c>
    </x:row>
    <x:row r="10" ht="18" customHeight="1">
      <x:c r="A10" s="24" t="str">
        <x:v>EEZ_508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EEZ_508</x:v>
      </x:c>
      <x:c r="B11" s="24" t="str">
        <x:v>species_ppr</x:v>
      </x:c>
      <x:c r="C11" s="24" t="n">
        <x:v>155171497.13322508</x:v>
      </x:c>
      <x:c r="D11" s="24" t="str">
        <x:v>tonnes_primary_production_equivalent</x:v>
      </x:c>
    </x:row>
    <x:row r="12" ht="18" customHeight="1">
      <x:c r="A12" s="24" t="str">
        <x:v>EEZ_508</x:v>
      </x:c>
      <x:c r="B12" s="24" t="str">
        <x:v>commercial_ppr</x:v>
      </x:c>
      <x:c r="C12" s="24" t="n">
        <x:v>155171497.13322508</x:v>
      </x:c>
      <x:c r="D12" s="24" t="str">
        <x:v>tonnes_primary_production_equivalent</x:v>
      </x:c>
    </x:row>
    <x:row r="13" ht="18" customHeight="1">
      <x:c r="A13" s="24" t="str">
        <x:v>EEZ_508</x:v>
      </x:c>
      <x:c r="B13" s="24" t="str">
        <x:v>functional_ppr</x:v>
      </x:c>
      <x:c r="C13" s="24" t="n">
        <x:v>155171497.13322508</x:v>
      </x:c>
      <x:c r="D13" s="24" t="str">
        <x:v>tonnes_primary_production_equivalent</x:v>
      </x:c>
    </x:row>
    <x:row r="14" ht="18" customHeight="1">
      <x:c r="A14" s="24" t="str">
        <x:v>EEZ_508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EEZ_508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EEZ_508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EEZ_508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EEZ_508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EEZ_508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9130f460ce548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EEZ_508 - Mozambique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EEZ_508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