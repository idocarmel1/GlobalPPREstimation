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91b34db4b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70cbb7f0b064fe0"/>
    <x:sheet xmlns:r="http://schemas.openxmlformats.org/officeDocument/2006/relationships" name="Commercial" sheetId="2" r:id="R4ac652dcd9e54032"/>
    <x:sheet xmlns:r="http://schemas.openxmlformats.org/officeDocument/2006/relationships" name="Functional" sheetId="3" r:id="R1d89b19cbda54990"/>
    <x:sheet xmlns:r="http://schemas.openxmlformats.org/officeDocument/2006/relationships" name="Missing TL" sheetId="4" r:id="R1625b500822142e6"/>
    <x:sheet xmlns:r="http://schemas.openxmlformats.org/officeDocument/2006/relationships" name="Validation" sheetId="5" r:id="R7d8ecbc311164bc4"/>
    <x:sheet xmlns:r="http://schemas.openxmlformats.org/officeDocument/2006/relationships" name="Metadata" sheetId="6" r:id="R17f67aabb195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bbff0941844bd" /><Relationship Type="http://schemas.openxmlformats.org/officeDocument/2006/relationships/theme" Target="/xl/theme/theme1.xml" Id="Re1de16d59e7d42a1" /><Relationship Type="http://schemas.microsoft.com/office/2022/11/relationships/FeaturePropertyBag" Target="/xl/featurePropertyBag/featurePropertyBag.xml" Id="R4468cfaa97704db5" /><Relationship Type="http://schemas.openxmlformats.org/officeDocument/2006/relationships/sharedStrings" Target="/xl/sharedStrings.xml" Id="Rd56c119173d846ba" /><Relationship Type="http://schemas.openxmlformats.org/officeDocument/2006/relationships/worksheet" Target="/xl/worksheets/sheet1.xml" Id="R370cbb7f0b064fe0" /><Relationship Type="http://schemas.openxmlformats.org/officeDocument/2006/relationships/worksheet" Target="/xl/worksheets/sheet2.xml" Id="R4ac652dcd9e54032" /><Relationship Type="http://schemas.openxmlformats.org/officeDocument/2006/relationships/worksheet" Target="/xl/worksheets/sheet3.xml" Id="R1d89b19cbda54990" /><Relationship Type="http://schemas.openxmlformats.org/officeDocument/2006/relationships/worksheet" Target="/xl/worksheets/sheet4.xml" Id="R1625b500822142e6" /><Relationship Type="http://schemas.openxmlformats.org/officeDocument/2006/relationships/worksheet" Target="/xl/worksheets/sheet5.xml" Id="R7d8ecbc311164bc4" /><Relationship Type="http://schemas.openxmlformats.org/officeDocument/2006/relationships/worksheet" Target="/xl/worksheets/sheet6.xml" Id="R17f67aabb19540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84SpeciesTable" displayName="EEZ584SpeciesTable" ref="A1:U70" headerRowCount="1" totalsRowCount="0" totalsRowShown="0">
  <x:autoFilter ref="A1:U7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84CommercialTable" displayName="EEZ584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84FunctionalTable" displayName="EEZ584FunctionalTable" ref="A1:O12" headerRowCount="1" totalsRowCount="0" totalsRowShown="0">
  <x:autoFilter ref="A1:O1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84ValidationTable" displayName="EEZ58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45868cac6144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2841294ae144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191c6d461c40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accf2cd04744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EEZ_584</x:v>
      </x:c>
      <x:c r="B2" s="24" t="str">
        <x:v>Marshall Isl.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27311.5582858696</x:v>
      </x:c>
      <x:c r="J2" s="31" t="n">
        <x:v>27185.7078209452</x:v>
      </x:c>
      <x:c r="K2" s="31" t="n">
        <x:v>125.8504649244</x:v>
      </x:c>
      <x:c r="L2" s="31" t="n">
        <x:v>27185.7078209452</x:v>
      </x:c>
      <x:c r="M2" s="31" t="n">
        <x:v>125.8504649244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73510009.67589651</x:v>
      </x:c>
    </x:row>
    <x:row r="3" ht="18" customHeight="1">
      <x:c r="A3" s="24" t="str">
        <x:v>EEZ_584</x:v>
      </x:c>
      <x:c r="B3" s="24" t="str">
        <x:v>Marshall Isl.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9143.4011717376</x:v>
      </x:c>
      <x:c r="J3" s="31" t="n">
        <x:v>9106.9422032791</x:v>
      </x:c>
      <x:c r="K3" s="31" t="n">
        <x:v>36.4589684585</x:v>
      </x:c>
      <x:c r="L3" s="31" t="n">
        <x:v>9106.9422032791</x:v>
      </x:c>
      <x:c r="M3" s="31" t="n">
        <x:v>36.4589684585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23502159.811998222</x:v>
      </x:c>
    </x:row>
    <x:row r="4" ht="18" customHeight="1">
      <x:c r="A4" s="24" t="str">
        <x:v>EEZ_584</x:v>
      </x:c>
      <x:c r="B4" s="24" t="str">
        <x:v>Marshall Isl.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4687.7940064665</x:v>
      </x:c>
      <x:c r="J4" s="31" t="n">
        <x:v>4639.5579216494</x:v>
      </x:c>
      <x:c r="K4" s="31" t="n">
        <x:v>48.2360848171</x:v>
      </x:c>
      <x:c r="L4" s="31" t="n">
        <x:v>4639.5579216494</x:v>
      </x:c>
      <x:c r="M4" s="31" t="n">
        <x:v>48.2360848171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14486668.406748017</x:v>
      </x:c>
    </x:row>
    <x:row r="5" ht="18" customHeight="1">
      <x:c r="A5" s="24" t="str">
        <x:v>EEZ_584</x:v>
      </x:c>
      <x:c r="B5" s="24" t="str">
        <x:v>Marshall Isl.</x:v>
      </x:c>
      <x:c r="C5" s="24" t="str">
        <x:v>EEZ</x:v>
      </x:c>
      <x:c r="D5" s="30" t="n">
        <x:v>2019</x:v>
      </x:c>
      <x:c r="E5" s="24" t="str">
        <x:v>Prionace glauca</x:v>
      </x:c>
      <x:c r="F5" s="24" t="str">
        <x:v>Blue shark</x:v>
      </x:c>
      <x:c r="G5" s="24" t="str">
        <x:v>Large sharks (&gt;=90 cm)</x:v>
      </x:c>
      <x:c r="H5" s="24" t="str">
        <x:v>Sharks &amp; rays</x:v>
      </x:c>
      <x:c r="I5" s="31" t="n">
        <x:v>4317.3812521633</x:v>
      </x:c>
      <x:c r="J5" s="31" t="n">
        <x:v>2164.457207456</x:v>
      </x:c>
      <x:c r="K5" s="31" t="n">
        <x:v>2152.9240447073</x:v>
      </x:c>
      <x:c r="L5" s="31" t="n">
        <x:v>2164.457207456</x:v>
      </x:c>
      <x:c r="M5" s="31" t="n">
        <x:v>2152.9240447073</x:v>
      </x:c>
      <x:c r="N5" s="24" t="str">
        <x:v>prionace glauca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Prionace glauca</x:v>
      </x:c>
      <x:c r="T5" s="32" t="n">
        <x:f>IF(O5="","",(1/'Metadata'!$B$5)^(O5-1))</x:f>
        <x:v>2238.7211385683377</x:v>
      </x:c>
      <x:c r="U5" s="31" t="n">
        <x:f>IF(T5="","",I5*T5)</x:f>
        <x:v>9665412.672476618</x:v>
      </x:c>
    </x:row>
    <x:row r="6" ht="18" customHeight="1">
      <x:c r="A6" s="24" t="str">
        <x:v>EEZ_584</x:v>
      </x:c>
      <x:c r="B6" s="24" t="str">
        <x:v>Marshall Isl.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1764.4675314416</x:v>
      </x:c>
      <x:c r="J6" s="31" t="n">
        <x:v>467.2902860542</x:v>
      </x:c>
      <x:c r="K6" s="31" t="n">
        <x:v>1297.1772453874</x:v>
      </x:c>
      <x:c r="L6" s="31" t="n">
        <x:v>416.2399117104</x:v>
      </x:c>
      <x:c r="M6" s="31" t="n">
        <x:v>1348.2276197312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336212.3569283548</x:v>
      </x:c>
    </x:row>
    <x:row r="7" ht="18" customHeight="1">
      <x:c r="A7" s="24" t="str">
        <x:v>EEZ_584</x:v>
      </x:c>
      <x:c r="B7" s="24" t="str">
        <x:v>Marshall Isl.</x:v>
      </x:c>
      <x:c r="C7" s="24" t="str">
        <x:v>EEZ</x:v>
      </x:c>
      <x:c r="D7" s="30" t="n">
        <x:v>2019</x:v>
      </x:c>
      <x:c r="E7" s="24" t="str">
        <x:v>Marine pelagic fishes not identified</x:v>
      </x:c>
      <x:c r="F7" s="24" t="str">
        <x:v>Pelagic fishes</x:v>
      </x:c>
      <x:c r="G7" s="24" t="str">
        <x:v>Medium pelagics (30 - 89 cm)</x:v>
      </x:c>
      <x:c r="H7" s="24" t="str">
        <x:v>Other fishes &amp; inverts</x:v>
      </x:c>
      <x:c r="I7" s="31" t="n">
        <x:v>912.0559747735</x:v>
      </x:c>
      <x:c r="J7" s="31" t="n">
        <x:v>749.959905842</x:v>
      </x:c>
      <x:c r="K7" s="31" t="n">
        <x:v>162.0960689315</x:v>
      </x:c>
      <x:c r="L7" s="31" t="n">
        <x:v>749.959905842</x:v>
      </x:c>
      <x:c r="M7" s="31" t="n">
        <x:v>162.0960689315</x:v>
      </x:c>
      <x:c r="N7" s="24" t="str">
        <x:v>marine pelagic fishes not identified</x:v>
      </x:c>
      <x:c r="O7" s="32" t="n">
        <x:v>3.35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pelagic fishes not identified</x:v>
      </x:c>
      <x:c r="T7" s="32" t="n">
        <x:f>IF(O7="","",(1/'Metadata'!$B$5)^(O7-1))</x:f>
        <x:v>223.872113856834</x:v>
      </x:c>
      <x:c r="U7" s="31" t="n">
        <x:f>IF(T7="","",I7*T7)</x:f>
        <x:v>204183.8990282987</x:v>
      </x:c>
    </x:row>
    <x:row r="8" ht="18" customHeight="1">
      <x:c r="A8" s="24" t="str">
        <x:v>EEZ_584</x:v>
      </x:c>
      <x:c r="B8" s="24" t="str">
        <x:v>Marshall Isl.</x:v>
      </x:c>
      <x:c r="C8" s="24" t="str">
        <x:v>EEZ</x:v>
      </x:c>
      <x:c r="D8" s="30" t="n">
        <x:v>2019</x:v>
      </x:c>
      <x:c r="E8" s="24" t="str">
        <x:v>Thunnus alalunga</x:v>
      </x:c>
      <x:c r="F8" s="24" t="str">
        <x:v>Albacore</x:v>
      </x:c>
      <x:c r="G8" s="24" t="str">
        <x:v>Large pelagics (&gt;=90 cm)</x:v>
      </x:c>
      <x:c r="H8" s="24" t="str">
        <x:v>Tuna &amp; billfishes</x:v>
      </x:c>
      <x:c r="I8" s="31" t="n">
        <x:v>866.6305608599</x:v>
      </x:c>
      <x:c r="J8" s="31" t="n">
        <x:v>860.198237139</x:v>
      </x:c>
      <x:c r="K8" s="31" t="n">
        <x:v>6.4323237209</x:v>
      </x:c>
      <x:c r="L8" s="31" t="n">
        <x:v>860.198237139</x:v>
      </x:c>
      <x:c r="M8" s="31" t="n">
        <x:v>6.4323237209</x:v>
      </x:c>
      <x:c r="N8" s="24" t="str">
        <x:v>thunnus alalunga</x:v>
      </x:c>
      <x:c r="O8" s="32" t="n">
        <x:v>4.3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alalunga</x:v>
      </x:c>
      <x:c r="T8" s="32" t="n">
        <x:f>IF(O8="","",(1/'Metadata'!$B$5)^(O8-1))</x:f>
        <x:v>1995.2623149688789</x:v>
      </x:c>
      <x:c r="U8" s="31" t="n">
        <x:f>IF(T8="","",I8*T8)</x:f>
        <x:v>1729155.299084102</x:v>
      </x:c>
    </x:row>
    <x:row r="9" ht="18" customHeight="1">
      <x:c r="A9" s="24" t="str">
        <x:v>EEZ_584</x:v>
      </x:c>
      <x:c r="B9" s="24" t="str">
        <x:v>Marshall Isl.</x:v>
      </x:c>
      <x:c r="C9" s="24" t="str">
        <x:v>EEZ</x:v>
      </x:c>
      <x:c r="D9" s="30" t="n">
        <x:v>2019</x:v>
      </x:c>
      <x:c r="E9" s="24" t="str">
        <x:v>Alopias</x:v>
      </x:c>
      <x:c r="F9" s="24" t="str">
        <x:v>Thresher sharks</x:v>
      </x:c>
      <x:c r="G9" s="24" t="str">
        <x:v>Large sharks (&gt;=90 cm)</x:v>
      </x:c>
      <x:c r="H9" s="24" t="str">
        <x:v>Sharks &amp; rays</x:v>
      </x:c>
      <x:c r="I9" s="31" t="n">
        <x:v>666.9179476712001</x:v>
      </x:c>
      <x:c r="J9" s="31" t="n">
        <x:v>648.2719515849001</x:v>
      </x:c>
      <x:c r="K9" s="31" t="n">
        <x:v>18.6459960863</x:v>
      </x:c>
      <x:c r="L9" s="31" t="n">
        <x:v>648.2719515849001</x:v>
      </x:c>
      <x:c r="M9" s="31" t="n">
        <x:v>18.6459960863</x:v>
      </x:c>
      <x:c r="N9" s="24" t="str">
        <x:v>alopias</x:v>
      </x:c>
      <x:c r="O9" s="32" t="n">
        <x:v>4.5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Alopias</x:v>
      </x:c>
      <x:c r="T9" s="32" t="n">
        <x:f>IF(O9="","",(1/'Metadata'!$B$5)^(O9-1))</x:f>
        <x:v>3162.2776601683795</x:v>
      </x:c>
      <x:c r="U9" s="31" t="n">
        <x:f>IF(T9="","",I9*T9)</x:f>
        <x:v>2108979.72708598</x:v>
      </x:c>
    </x:row>
    <x:row r="10" ht="18" customHeight="1">
      <x:c r="A10" s="24" t="str">
        <x:v>EEZ_584</x:v>
      </x:c>
      <x:c r="B10" s="24" t="str">
        <x:v>Marshall Isl.</x:v>
      </x:c>
      <x:c r="C10" s="24" t="str">
        <x:v>EEZ</x:v>
      </x:c>
      <x:c r="D10" s="30" t="n">
        <x:v>2019</x:v>
      </x:c>
      <x:c r="E10" s="24" t="str">
        <x:v>Scombridae</x:v>
      </x:c>
      <x:c r="F10" s="24" t="str">
        <x:v>Mackerels, tunas, bonitos</x:v>
      </x:c>
      <x:c r="G10" s="24" t="str">
        <x:v>Medium pelagics (30 - 89 cm)</x:v>
      </x:c>
      <x:c r="H10" s="24" t="str">
        <x:v>Perch-likes</x:v>
      </x:c>
      <x:c r="I10" s="31" t="n">
        <x:v>646.0208713017</x:v>
      </x:c>
      <x:c r="J10" s="31" t="n">
        <x:v>82.4747584092</x:v>
      </x:c>
      <x:c r="K10" s="31" t="n">
        <x:v>563.5461128925</x:v>
      </x:c>
      <x:c r="L10" s="31" t="n">
        <x:v>56.8920276749</x:v>
      </x:c>
      <x:c r="M10" s="31" t="n">
        <x:v>589.1288436268</x:v>
      </x:c>
      <x:c r="N10" s="24" t="str">
        <x:v>scombridae</x:v>
      </x:c>
      <x:c r="O10" s="32" t="n">
        <x:v>4.26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Scombridae</x:v>
      </x:c>
      <x:c r="T10" s="32" t="n">
        <x:f>IF(O10="","",(1/'Metadata'!$B$5)^(O10-1))</x:f>
        <x:v>1819.7008586099826</x:v>
      </x:c>
      <x:c r="U10" s="31" t="n">
        <x:f>IF(T10="","",I10*T10)</x:f>
        <x:v>1175564.7341876726</x:v>
      </x:c>
    </x:row>
    <x:row r="11" ht="18" customHeight="1">
      <x:c r="A11" s="24" t="str">
        <x:v>EEZ_584</x:v>
      </x:c>
      <x:c r="B11" s="24" t="str">
        <x:v>Marshall Isl.</x:v>
      </x:c>
      <x:c r="C11" s="24" t="str">
        <x:v>EEZ</x:v>
      </x:c>
      <x:c r="D11" s="30" t="n">
        <x:v>2019</x:v>
      </x:c>
      <x:c r="E11" s="24" t="str">
        <x:v>Chondrichthyes</x:v>
      </x:c>
      <x:c r="F11" s="24" t="str">
        <x:v>Sharks, rays, chimaeras</x:v>
      </x:c>
      <x:c r="G11" s="24" t="str">
        <x:v>Large sharks (&gt;=90 cm)</x:v>
      </x:c>
      <x:c r="H11" s="24" t="str">
        <x:v>Sharks &amp; rays</x:v>
      </x:c>
      <x:c r="I11" s="31" t="n">
        <x:v>432.3913043478</x:v>
      </x:c>
      <x:c r="J11" s="31" t="n">
        <x:v>432.3913043478</x:v>
      </x:c>
      <x:c r="K11" s="31" t="n">
        <x:v>0</x:v>
      </x:c>
      <x:c r="L11" s="31" t="n">
        <x:v>432.3913043478</x:v>
      </x:c>
      <x:c r="M11" s="31" t="n">
        <x:v>0</x:v>
      </x:c>
      <x:c r="N11" s="24" t="str">
        <x:v>chondrichthyes</x:v>
      </x:c>
      <x:c r="O11" s="32" t="n">
        <x:v>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Chondrichthyes</x:v>
      </x:c>
      <x:c r="T11" s="32" t="n">
        <x:f>IF(O11="","",(1/'Metadata'!$B$5)^(O11-1))</x:f>
        <x:v>1000</x:v>
      </x:c>
      <x:c r="U11" s="31" t="n">
        <x:f>IF(T11="","",I11*T11)</x:f>
        <x:v>432391.3043478</x:v>
      </x:c>
    </x:row>
    <x:row r="12" ht="18" customHeight="1">
      <x:c r="A12" s="24" t="str">
        <x:v>EEZ_584</x:v>
      </x:c>
      <x:c r="B12" s="24" t="str">
        <x:v>Marshall Isl.</x:v>
      </x:c>
      <x:c r="C12" s="24" t="str">
        <x:v>EEZ</x:v>
      </x:c>
      <x:c r="D12" s="30" t="n">
        <x:v>2019</x:v>
      </x:c>
      <x:c r="E12" s="24" t="str">
        <x:v>Coryphaena hippurus</x:v>
      </x:c>
      <x:c r="F12" s="24" t="str">
        <x:v>Common dolphinfish</x:v>
      </x:c>
      <x:c r="G12" s="24" t="str">
        <x:v>Large pelagics (&gt;=90 cm)</x:v>
      </x:c>
      <x:c r="H12" s="24" t="str">
        <x:v>Perch-likes</x:v>
      </x:c>
      <x:c r="I12" s="31" t="n">
        <x:v>374.09947021889997</x:v>
      </x:c>
      <x:c r="J12" s="31" t="n">
        <x:v>0</x:v>
      </x:c>
      <x:c r="K12" s="31" t="n">
        <x:v>374.09947021889997</x:v>
      </x:c>
      <x:c r="L12" s="31" t="n">
        <x:v>0</x:v>
      </x:c>
      <x:c r="M12" s="31" t="n">
        <x:v>374.09947021889997</x:v>
      </x:c>
      <x:c r="N12" s="24" t="str">
        <x:v>coryphaena hippurus</x:v>
      </x:c>
      <x:c r="O12" s="32" t="n">
        <x:v>4.37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Coryphaena hippurus</x:v>
      </x:c>
      <x:c r="T12" s="32" t="n">
        <x:f>IF(O12="","",(1/'Metadata'!$B$5)^(O12-1))</x:f>
        <x:v>2344.228815319923</x:v>
      </x:c>
      <x:c r="U12" s="31" t="n">
        <x:f>IF(T12="","",I12*T12)</x:f>
        <x:v>876974.7578830626</x:v>
      </x:c>
    </x:row>
    <x:row r="13" ht="18" customHeight="1">
      <x:c r="A13" s="24" t="str">
        <x:v>EEZ_584</x:v>
      </x:c>
      <x:c r="B13" s="24" t="str">
        <x:v>Marshall Isl.</x:v>
      </x:c>
      <x:c r="C13" s="24" t="str">
        <x:v>EEZ</x:v>
      </x:c>
      <x:c r="D13" s="30" t="n">
        <x:v>2019</x:v>
      </x:c>
      <x:c r="E13" s="24" t="str">
        <x:v>Xiphias gladius</x:v>
      </x:c>
      <x:c r="F13" s="24" t="str">
        <x:v>Swordfish</x:v>
      </x:c>
      <x:c r="G13" s="24" t="str">
        <x:v>Large pelagics (&gt;=90 cm)</x:v>
      </x:c>
      <x:c r="H13" s="24" t="str">
        <x:v>Tuna &amp; billfishes</x:v>
      </x:c>
      <x:c r="I13" s="31" t="n">
        <x:v>373.3902829547</x:v>
      </x:c>
      <x:c r="J13" s="31" t="n">
        <x:v>116.3163216102</x:v>
      </x:c>
      <x:c r="K13" s="31" t="n">
        <x:v>257.0739613445</x:v>
      </x:c>
      <x:c r="L13" s="31" t="n">
        <x:v>116.3163216102</x:v>
      </x:c>
      <x:c r="M13" s="31" t="n">
        <x:v>257.0739613445</x:v>
      </x:c>
      <x:c r="N13" s="24" t="str">
        <x:v>xiphias gladius</x:v>
      </x:c>
      <x:c r="O13" s="32" t="n">
        <x:v>4.53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Xiphias gladius</x:v>
      </x:c>
      <x:c r="T13" s="32" t="n">
        <x:f>IF(O13="","",(1/'Metadata'!$B$5)^(O13-1))</x:f>
        <x:v>3388.4415613920273</x:v>
      </x:c>
      <x:c r="U13" s="31" t="n">
        <x:f>IF(T13="","",I13*T13)</x:f>
        <x:v>1265211.1533836345</x:v>
      </x:c>
    </x:row>
    <x:row r="14" ht="18" customHeight="1">
      <x:c r="A14" s="24" t="str">
        <x:v>EEZ_584</x:v>
      </x:c>
      <x:c r="B14" s="24" t="str">
        <x:v>Marshall Isl.</x:v>
      </x:c>
      <x:c r="C14" s="24" t="str">
        <x:v>EEZ</x:v>
      </x:c>
      <x:c r="D14" s="30" t="n">
        <x:v>2019</x:v>
      </x:c>
      <x:c r="E14" s="24" t="str">
        <x:v>Isurus</x:v>
      </x:c>
      <x:c r="F14" s="24" t="str">
        <x:v>Mako sharks</x:v>
      </x:c>
      <x:c r="G14" s="24" t="str">
        <x:v>Large sharks (&gt;=90 cm)</x:v>
      </x:c>
      <x:c r="H14" s="24" t="str">
        <x:v>Sharks &amp; rays</x:v>
      </x:c>
      <x:c r="I14" s="31" t="n">
        <x:v>293.7109777901</x:v>
      </x:c>
      <x:c r="J14" s="31" t="n">
        <x:v>91.2643488799</x:v>
      </x:c>
      <x:c r="K14" s="31" t="n">
        <x:v>202.4466289102</x:v>
      </x:c>
      <x:c r="L14" s="31" t="n">
        <x:v>91.2643488799</x:v>
      </x:c>
      <x:c r="M14" s="31" t="n">
        <x:v>202.4466289102</x:v>
      </x:c>
      <x:c r="N14" s="24" t="str">
        <x:v>isurus</x:v>
      </x:c>
      <x:c r="O14" s="32" t="n">
        <x:v>4.5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Isurus</x:v>
      </x:c>
      <x:c r="T14" s="32" t="n">
        <x:f>IF(O14="","",(1/'Metadata'!$B$5)^(O14-1))</x:f>
        <x:v>3162.2776601683795</x:v>
      </x:c>
      <x:c r="U14" s="31" t="n">
        <x:f>IF(T14="","",I14*T14)</x:f>
        <x:v>928795.6636118443</x:v>
      </x:c>
    </x:row>
    <x:row r="15" ht="18" customHeight="1">
      <x:c r="A15" s="24" t="str">
        <x:v>EEZ_584</x:v>
      </x:c>
      <x:c r="B15" s="24" t="str">
        <x:v>Marshall Isl.</x:v>
      </x:c>
      <x:c r="C15" s="24" t="str">
        <x:v>EEZ</x:v>
      </x:c>
      <x:c r="D15" s="30" t="n">
        <x:v>2019</x:v>
      </x:c>
      <x:c r="E15" s="24" t="str">
        <x:v>Elasmobranchii</x:v>
      </x:c>
      <x:c r="F15" s="24" t="str">
        <x:v>Sharks, rays, skates</x:v>
      </x:c>
      <x:c r="G15" s="24" t="str">
        <x:v>Large sharks (&gt;=90 cm)</x:v>
      </x:c>
      <x:c r="H15" s="24" t="str">
        <x:v>Sharks &amp; rays</x:v>
      </x:c>
      <x:c r="I15" s="31" t="n">
        <x:v>278.2008221203</x:v>
      </x:c>
      <x:c r="J15" s="31" t="n">
        <x:v>1.6690353786</x:v>
      </x:c>
      <x:c r="K15" s="31" t="n">
        <x:v>276.5317867417</x:v>
      </x:c>
      <x:c r="L15" s="31" t="n">
        <x:v>1.6690353786</x:v>
      </x:c>
      <x:c r="M15" s="31" t="n">
        <x:v>276.5317867417</x:v>
      </x:c>
      <x:c r="N15" s="24" t="str">
        <x:v>elasmobranchii</x:v>
      </x:c>
      <x:c r="O15" s="32" t="n">
        <x:v>4.05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Elasmobranchii</x:v>
      </x:c>
      <x:c r="T15" s="32" t="n">
        <x:f>IF(O15="","",(1/'Metadata'!$B$5)^(O15-1))</x:f>
        <x:v>1122.018454301963</x:v>
      </x:c>
      <x:c r="U15" s="31" t="n">
        <x:f>IF(T15="","",I15*T15)</x:f>
        <x:v>312146.4564209544</x:v>
      </x:c>
    </x:row>
    <x:row r="16" ht="18" customHeight="1">
      <x:c r="A16" s="24" t="str">
        <x:v>EEZ_584</x:v>
      </x:c>
      <x:c r="B16" s="24" t="str">
        <x:v>Marshall Isl.</x:v>
      </x:c>
      <x:c r="C16" s="24" t="str">
        <x:v>EEZ</x:v>
      </x:c>
      <x:c r="D16" s="30" t="n">
        <x:v>2019</x:v>
      </x:c>
      <x:c r="E16" s="24" t="str">
        <x:v>Carangidae</x:v>
      </x:c>
      <x:c r="F16" s="24" t="str">
        <x:v>Jacks, pompanos</x:v>
      </x:c>
      <x:c r="G16" s="24" t="str">
        <x:v>Medium pelagics (30 - 89 cm)</x:v>
      </x:c>
      <x:c r="H16" s="24" t="str">
        <x:v>Perch-likes</x:v>
      </x:c>
      <x:c r="I16" s="31" t="n">
        <x:v>276.1073836521</x:v>
      </x:c>
      <x:c r="J16" s="31" t="n">
        <x:v>126.453232638</x:v>
      </x:c>
      <x:c r="K16" s="31" t="n">
        <x:v>149.65415101410002</x:v>
      </x:c>
      <x:c r="L16" s="31" t="n">
        <x:v>86.7999999999</x:v>
      </x:c>
      <x:c r="M16" s="31" t="n">
        <x:v>189.3073836522</x:v>
      </x:c>
      <x:c r="N16" s="24" t="str">
        <x:v>carangidae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Carangidae</x:v>
      </x:c>
      <x:c r="T16" s="32" t="n">
        <x:f>IF(O16="","",(1/'Metadata'!$B$5)^(O16-1))</x:f>
        <x:v>1122.018454301963</x:v>
      </x:c>
      <x:c r="U16" s="31" t="n">
        <x:f>IF(T16="","",I16*T16)</x:f>
        <x:v>309797.57982668834</x:v>
      </x:c>
    </x:row>
    <x:row r="17" ht="18" customHeight="1">
      <x:c r="A17" s="24" t="str">
        <x:v>EEZ_584</x:v>
      </x:c>
      <x:c r="B17" s="24" t="str">
        <x:v>Marshall Isl.</x:v>
      </x:c>
      <x:c r="C17" s="24" t="str">
        <x:v>EEZ</x:v>
      </x:c>
      <x:c r="D17" s="30" t="n">
        <x:v>2019</x:v>
      </x:c>
      <x:c r="E17" s="24" t="str">
        <x:v>Lethrinidae</x:v>
      </x:c>
      <x:c r="F17" s="24" t="str">
        <x:v>Emperors, scavengers</x:v>
      </x:c>
      <x:c r="G17" s="24" t="str">
        <x:v>Medium reef assoc. fish (30 - 89 cm)</x:v>
      </x:c>
      <x:c r="H17" s="24" t="str">
        <x:v>Perch-likes</x:v>
      </x:c>
      <x:c r="I17" s="31" t="n">
        <x:v>257.0416018129</x:v>
      </x:c>
      <x:c r="J17" s="31" t="n">
        <x:v>257.0416018129</x:v>
      </x:c>
      <x:c r="K17" s="31" t="n">
        <x:v>0</x:v>
      </x:c>
      <x:c r="L17" s="31" t="n">
        <x:v>176.456</x:v>
      </x:c>
      <x:c r="M17" s="31" t="n">
        <x:v>80.5856018129</x:v>
      </x:c>
      <x:c r="N17" s="24" t="str">
        <x:v>lethrinidae</x:v>
      </x:c>
      <x:c r="O17" s="32" t="n">
        <x:v>3.59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Lethrinidae</x:v>
      </x:c>
      <x:c r="T17" s="32" t="n">
        <x:f>IF(O17="","",(1/'Metadata'!$B$5)^(O17-1))</x:f>
        <x:v>389.04514499428046</x:v>
      </x:c>
      <x:c r="U17" s="31" t="n">
        <x:f>IF(T17="","",I17*T17)</x:f>
        <x:v>100000.78724686179</x:v>
      </x:c>
    </x:row>
    <x:row r="18" ht="18" customHeight="1">
      <x:c r="A18" s="24" t="str">
        <x:v>EEZ_584</x:v>
      </x:c>
      <x:c r="B18" s="24" t="str">
        <x:v>Marshall Isl.</x:v>
      </x:c>
      <x:c r="C18" s="24" t="str">
        <x:v>EEZ</x:v>
      </x:c>
      <x:c r="D18" s="30" t="n">
        <x:v>2019</x:v>
      </x:c>
      <x:c r="E18" s="24" t="str">
        <x:v>Mugilidae</x:v>
      </x:c>
      <x:c r="F18" s="24" t="str">
        <x:v>Mullets, grey mullets</x:v>
      </x:c>
      <x:c r="G18" s="24" t="str">
        <x:v>Medium reef assoc. fish (30 - 89 cm)</x:v>
      </x:c>
      <x:c r="H18" s="24" t="str">
        <x:v>Perch-likes</x:v>
      </x:c>
      <x:c r="I18" s="31" t="n">
        <x:v>240.6690556661</x:v>
      </x:c>
      <x:c r="J18" s="31" t="n">
        <x:v>240.6690556661</x:v>
      </x:c>
      <x:c r="K18" s="31" t="n">
        <x:v>0</x:v>
      </x:c>
      <x:c r="L18" s="31" t="n">
        <x:v>165.2</x:v>
      </x:c>
      <x:c r="M18" s="31" t="n">
        <x:v>75.4690556661</x:v>
      </x:c>
      <x:c r="N18" s="24" t="str">
        <x:v>mugilidae</x:v>
      </x:c>
      <x:c r="O18" s="32" t="n">
        <x:v>2.53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Mugilidae</x:v>
      </x:c>
      <x:c r="T18" s="32" t="n">
        <x:f>IF(O18="","",(1/'Metadata'!$B$5)^(O18-1))</x:f>
        <x:v>33.88441561392024</x:v>
      </x:c>
      <x:c r="U18" s="31" t="n">
        <x:f>IF(T18="","",I18*T18)</x:f>
        <x:v>8154.930307599839</x:v>
      </x:c>
    </x:row>
    <x:row r="19" ht="18" customHeight="1">
      <x:c r="A19" s="24" t="str">
        <x:v>EEZ_584</x:v>
      </x:c>
      <x:c r="B19" s="24" t="str">
        <x:v>Marshall Isl.</x:v>
      </x:c>
      <x:c r="C19" s="24" t="str">
        <x:v>EEZ</x:v>
      </x:c>
      <x:c r="D19" s="30" t="n">
        <x:v>2019</x:v>
      </x:c>
      <x:c r="E19" s="24" t="str">
        <x:v>Thunnus orientalis</x:v>
      </x:c>
      <x:c r="F19" s="24" t="str">
        <x:v>Pacific bluefin tuna</x:v>
      </x:c>
      <x:c r="G19" s="24" t="str">
        <x:v>Large pelagics (&gt;=90 cm)</x:v>
      </x:c>
      <x:c r="H19" s="24" t="str">
        <x:v>Tuna &amp; billfishes</x:v>
      </x:c>
      <x:c r="I19" s="31" t="n">
        <x:v>209.8431892084</x:v>
      </x:c>
      <x:c r="J19" s="31" t="n">
        <x:v>209.0462951499</x:v>
      </x:c>
      <x:c r="K19" s="31" t="n">
        <x:v>0.7968940585</x:v>
      </x:c>
      <x:c r="L19" s="31" t="n">
        <x:v>209.0462951499</x:v>
      </x:c>
      <x:c r="M19" s="31" t="n">
        <x:v>0.7968940585</x:v>
      </x:c>
      <x:c r="N19" s="24" t="str">
        <x:v>thunnus orientalis</x:v>
      </x:c>
      <x:c r="O19" s="32" t="n">
        <x:v>4.05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orientalis</x:v>
      </x:c>
      <x:c r="T19" s="32" t="n">
        <x:f>IF(O19="","",(1/'Metadata'!$B$5)^(O19-1))</x:f>
        <x:v>1122.018454301963</x:v>
      </x:c>
      <x:c r="U19" s="31" t="n">
        <x:f>IF(T19="","",I19*T19)</x:f>
        <x:v>235447.9308014033</x:v>
      </x:c>
    </x:row>
    <x:row r="20" ht="18" customHeight="1">
      <x:c r="A20" s="24" t="str">
        <x:v>EEZ_584</x:v>
      </x:c>
      <x:c r="B20" s="24" t="str">
        <x:v>Marshall Isl.</x:v>
      </x:c>
      <x:c r="C20" s="24" t="str">
        <x:v>EEZ</x:v>
      </x:c>
      <x:c r="D20" s="30" t="n">
        <x:v>2019</x:v>
      </x:c>
      <x:c r="E20" s="24" t="str">
        <x:v>Octopus</x:v>
      </x:c>
      <x:c r="F20" s="24" t="str">
        <x:v>Octopuses, pikas</x:v>
      </x:c>
      <x:c r="G20" s="24" t="str">
        <x:v>Cephalopods</x:v>
      </x:c>
      <x:c r="H20" s="24" t="str">
        <x:v>Other fishes &amp; inverts</x:v>
      </x:c>
      <x:c r="I20" s="31" t="n">
        <x:v>203.9568268356</x:v>
      </x:c>
      <x:c r="J20" s="31" t="n">
        <x:v>203.9568268356</x:v>
      </x:c>
      <x:c r="K20" s="31" t="n">
        <x:v>0</x:v>
      </x:c>
      <x:c r="L20" s="31" t="n">
        <x:v>140</x:v>
      </x:c>
      <x:c r="M20" s="31" t="n">
        <x:v>63.9568268356</x:v>
      </x:c>
      <x:c r="N20" s="24" t="str">
        <x:v>octopus</x:v>
      </x:c>
      <x:c r="O20" s="32" t="n">
        <x:v>3.8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Octopus</x:v>
      </x:c>
      <x:c r="T20" s="32" t="n">
        <x:f>IF(O20="","",(1/'Metadata'!$B$5)^(O20-1))</x:f>
        <x:v>630.957344480193</x:v>
      </x:c>
      <x:c r="U20" s="31" t="n">
        <x:f>IF(T20="","",I20*T20)</x:f>
        <x:v>128688.05784879674</x:v>
      </x:c>
    </x:row>
    <x:row r="21" ht="18" customHeight="1">
      <x:c r="A21" s="24" t="str">
        <x:v>EEZ_584</x:v>
      </x:c>
      <x:c r="B21" s="24" t="str">
        <x:v>Marshall Isl.</x:v>
      </x:c>
      <x:c r="C21" s="24" t="str">
        <x:v>EEZ</x:v>
      </x:c>
      <x:c r="D21" s="30" t="n">
        <x:v>2019</x:v>
      </x:c>
      <x:c r="E21" s="24" t="str">
        <x:v>Miscellaneous aquatic invertebrates</x:v>
      </x:c>
      <x:c r="F21" s="24" t="str">
        <x:v>Aquatic invertebrates</x:v>
      </x:c>
      <x:c r="G21" s="24" t="str">
        <x:v>Other demersal invertebrates</x:v>
      </x:c>
      <x:c r="H21" s="24" t="str">
        <x:v>Other fishes &amp; inverts</x:v>
      </x:c>
      <x:c r="I21" s="31" t="n">
        <x:v>203.9568268356</x:v>
      </x:c>
      <x:c r="J21" s="31" t="n">
        <x:v>203.9568268356</x:v>
      </x:c>
      <x:c r="K21" s="31" t="n">
        <x:v>0</x:v>
      </x:c>
      <x:c r="L21" s="31" t="n">
        <x:v>140</x:v>
      </x:c>
      <x:c r="M21" s="31" t="n">
        <x:v>63.9568268356</x:v>
      </x:c>
      <x:c r="N21" s="24" t="str">
        <x:v>miscellaneous aquatic invertebrates</x:v>
      </x:c>
      <x:c r="O21" s="32" t="n">
        <x:v>2.43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Miscellaneous aquatic invertebrates</x:v>
      </x:c>
      <x:c r="T21" s="32" t="n">
        <x:f>IF(O21="","",(1/'Metadata'!$B$5)^(O21-1))</x:f>
        <x:v>26.915348039269166</x:v>
      </x:c>
      <x:c r="U21" s="31" t="n">
        <x:f>IF(T21="","",I21*T21)</x:f>
        <x:v>5489.568979265127</x:v>
      </x:c>
    </x:row>
    <x:row r="22" ht="18" customHeight="1">
      <x:c r="A22" s="24" t="str">
        <x:v>EEZ_584</x:v>
      </x:c>
      <x:c r="B22" s="24" t="str">
        <x:v>Marshall Isl.</x:v>
      </x:c>
      <x:c r="C22" s="24" t="str">
        <x:v>EEZ</x:v>
      </x:c>
      <x:c r="D22" s="30" t="n">
        <x:v>2019</x:v>
      </x:c>
      <x:c r="E22" s="24" t="str">
        <x:v>Lutjanus gibbus</x:v>
      </x:c>
      <x:c r="F22" s="24" t="str">
        <x:v>Humpback red snapper</x:v>
      </x:c>
      <x:c r="G22" s="24" t="str">
        <x:v>Medium reef assoc. fish (30 - 89 cm)</x:v>
      </x:c>
      <x:c r="H22" s="24" t="str">
        <x:v>Perch-likes</x:v>
      </x:c>
      <x:c r="I22" s="31" t="n">
        <x:v>203.9568268355</x:v>
      </x:c>
      <x:c r="J22" s="31" t="n">
        <x:v>203.9568268355</x:v>
      </x:c>
      <x:c r="K22" s="31" t="n">
        <x:v>0</x:v>
      </x:c>
      <x:c r="L22" s="31" t="n">
        <x:v>139.9999999999</x:v>
      </x:c>
      <x:c r="M22" s="31" t="n">
        <x:v>63.9568268356</x:v>
      </x:c>
      <x:c r="N22" s="24" t="str">
        <x:v>lutjanus gibbus</x:v>
      </x:c>
      <x:c r="O22" s="32" t="n">
        <x:v>4.12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Lutjanus gibbus</x:v>
      </x:c>
      <x:c r="T22" s="32" t="n">
        <x:f>IF(O22="","",(1/'Metadata'!$B$5)^(O22-1))</x:f>
        <x:v>1318.2567385564075</x:v>
      </x:c>
      <x:c r="U22" s="31" t="n">
        <x:f>IF(T22="","",I22*T22)</x:f>
        <x:v>268867.4613504802</x:v>
      </x:c>
    </x:row>
    <x:row r="23" ht="18" customHeight="1">
      <x:c r="A23" s="24" t="str">
        <x:v>EEZ_584</x:v>
      </x:c>
      <x:c r="B23" s="24" t="str">
        <x:v>Marshall Isl.</x:v>
      </x:c>
      <x:c r="C23" s="24" t="str">
        <x:v>EEZ</x:v>
      </x:c>
      <x:c r="D23" s="30" t="n">
        <x:v>2019</x:v>
      </x:c>
      <x:c r="E23" s="24" t="str">
        <x:v>Monotaxis grandoculis</x:v>
      </x:c>
      <x:c r="F23" s="24" t="str">
        <x:v>Humpnose big-eye bream</x:v>
      </x:c>
      <x:c r="G23" s="24" t="str">
        <x:v>Medium reef assoc. fish (30 - 89 cm)</x:v>
      </x:c>
      <x:c r="H23" s="24" t="str">
        <x:v>Perch-likes</x:v>
      </x:c>
      <x:c r="I23" s="31" t="n">
        <x:v>203.9568268355</x:v>
      </x:c>
      <x:c r="J23" s="31" t="n">
        <x:v>203.9568268355</x:v>
      </x:c>
      <x:c r="K23" s="31" t="n">
        <x:v>0</x:v>
      </x:c>
      <x:c r="L23" s="31" t="n">
        <x:v>139.9999999999</x:v>
      </x:c>
      <x:c r="M23" s="31" t="n">
        <x:v>63.9568268356</x:v>
      </x:c>
      <x:c r="N23" s="24" t="str">
        <x:v>monotaxis grandoculis</x:v>
      </x:c>
      <x:c r="O23" s="32" t="n">
        <x:v>3.37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Monotaxis grandoculis</x:v>
      </x:c>
      <x:c r="T23" s="32" t="n">
        <x:f>IF(O23="","",(1/'Metadata'!$B$5)^(O23-1))</x:f>
        <x:v>234.42288153199226</x:v>
      </x:c>
      <x:c r="U23" s="31" t="n">
        <x:f>IF(T23="","",I23*T23)</x:f>
        <x:v>47812.14705489948</x:v>
      </x:c>
    </x:row>
    <x:row r="24" ht="18" customHeight="1">
      <x:c r="A24" s="24" t="str">
        <x:v>EEZ_584</x:v>
      </x:c>
      <x:c r="B24" s="24" t="str">
        <x:v>Marshall Isl.</x:v>
      </x:c>
      <x:c r="C24" s="24" t="str">
        <x:v>EEZ</x:v>
      </x:c>
      <x:c r="D24" s="30" t="n">
        <x:v>2019</x:v>
      </x:c>
      <x:c r="E24" s="24" t="str">
        <x:v>Hippopus hippopus</x:v>
      </x:c>
      <x:c r="F24" s="24" t="str">
        <x:v>Bear paw clam</x:v>
      </x:c>
      <x:c r="G24" s="24" t="str">
        <x:v>Other demersal invertebrates</x:v>
      </x:c>
      <x:c r="H24" s="24" t="str">
        <x:v>Molluscs</x:v>
      </x:c>
      <x:c r="I24" s="31" t="n">
        <x:v>122.3740961014</x:v>
      </x:c>
      <x:c r="J24" s="31" t="n">
        <x:v>122.3740961014</x:v>
      </x:c>
      <x:c r="K24" s="31" t="n">
        <x:v>0</x:v>
      </x:c>
      <x:c r="L24" s="31" t="n">
        <x:v>84</x:v>
      </x:c>
      <x:c r="M24" s="31" t="n">
        <x:v>38.3740961014</x:v>
      </x:c>
      <x:c r="N24" s="24" t="str">
        <x:v>hippopus hippopus</x:v>
      </x:c>
      <x:c r="O24" s="32" t="n">
        <x:v>2.12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Hippopus hippopus</x:v>
      </x:c>
      <x:c r="T24" s="32" t="n">
        <x:f>IF(O24="","",(1/'Metadata'!$B$5)^(O24-1))</x:f>
        <x:v>13.182567385564074</x:v>
      </x:c>
      <x:c r="U24" s="31" t="n">
        <x:f>IF(T24="","",I24*T24)</x:f>
        <x:v>1613.2047681041993</x:v>
      </x:c>
    </x:row>
    <x:row r="25" ht="18" customHeight="1">
      <x:c r="A25" s="24" t="str">
        <x:v>EEZ_584</x:v>
      </x:c>
      <x:c r="B25" s="24" t="str">
        <x:v>Marshall Isl.</x:v>
      </x:c>
      <x:c r="C25" s="24" t="str">
        <x:v>EEZ</x:v>
      </x:c>
      <x:c r="D25" s="30" t="n">
        <x:v>2019</x:v>
      </x:c>
      <x:c r="E25" s="24" t="str">
        <x:v>Tridacna squamosa</x:v>
      </x:c>
      <x:c r="F25" s="24" t="str">
        <x:v>Fluted giant clam</x:v>
      </x:c>
      <x:c r="G25" s="24" t="str">
        <x:v>Other demersal invertebrates</x:v>
      </x:c>
      <x:c r="H25" s="24" t="str">
        <x:v>Molluscs</x:v>
      </x:c>
      <x:c r="I25" s="31" t="n">
        <x:v>122.3740961014</x:v>
      </x:c>
      <x:c r="J25" s="31" t="n">
        <x:v>122.3740961014</x:v>
      </x:c>
      <x:c r="K25" s="31" t="n">
        <x:v>0</x:v>
      </x:c>
      <x:c r="L25" s="31" t="n">
        <x:v>84</x:v>
      </x:c>
      <x:c r="M25" s="31" t="n">
        <x:v>38.3740961014</x:v>
      </x:c>
      <x:c r="N25" s="24" t="str">
        <x:v>tridacna squamosa</x:v>
      </x:c>
      <x:c r="O25" s="32" t="n">
        <x:v>2.1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Tridacna squamosa</x:v>
      </x:c>
      <x:c r="T25" s="32" t="n">
        <x:f>IF(O25="","",(1/'Metadata'!$B$5)^(O25-1))</x:f>
        <x:v>12.589254117941675</x:v>
      </x:c>
      <x:c r="U25" s="31" t="n">
        <x:f>IF(T25="","",I25*T25)</x:f>
        <x:v>1540.5985932739402</x:v>
      </x:c>
    </x:row>
    <x:row r="26" ht="18" customHeight="1">
      <x:c r="A26" s="24" t="str">
        <x:v>EEZ_584</x:v>
      </x:c>
      <x:c r="B26" s="24" t="str">
        <x:v>Marshall Isl.</x:v>
      </x:c>
      <x:c r="C26" s="24" t="str">
        <x:v>EEZ</x:v>
      </x:c>
      <x:c r="D26" s="30" t="n">
        <x:v>2019</x:v>
      </x:c>
      <x:c r="E26" s="24" t="str">
        <x:v>Tridacna maxima</x:v>
      </x:c>
      <x:c r="F26" s="24" t="str">
        <x:v>Maxima clam</x:v>
      </x:c>
      <x:c r="G26" s="24" t="str">
        <x:v>Other demersal invertebrates</x:v>
      </x:c>
      <x:c r="H26" s="24" t="str">
        <x:v>Molluscs</x:v>
      </x:c>
      <x:c r="I26" s="31" t="n">
        <x:v>122.3740961014</x:v>
      </x:c>
      <x:c r="J26" s="31" t="n">
        <x:v>122.3740961014</x:v>
      </x:c>
      <x:c r="K26" s="31" t="n">
        <x:v>0</x:v>
      </x:c>
      <x:c r="L26" s="31" t="n">
        <x:v>84</x:v>
      </x:c>
      <x:c r="M26" s="31" t="n">
        <x:v>38.3740961014</x:v>
      </x:c>
      <x:c r="N26" s="24" t="str">
        <x:v>tridacna maxima</x:v>
      </x:c>
      <x:c r="O26" s="32" t="n">
        <x:v>2.15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Tridacna maxima</x:v>
      </x:c>
      <x:c r="T26" s="32" t="n">
        <x:f>IF(O26="","",(1/'Metadata'!$B$5)^(O26-1))</x:f>
        <x:v>14.12537544622754</x:v>
      </x:c>
      <x:c r="U26" s="31" t="n">
        <x:f>IF(T26="","",I26*T26)</x:f>
        <x:v>1728.580052325005</x:v>
      </x:c>
    </x:row>
    <x:row r="27" ht="18" customHeight="1">
      <x:c r="A27" s="24" t="str">
        <x:v>EEZ_584</x:v>
      </x:c>
      <x:c r="B27" s="24" t="str">
        <x:v>Marshall Isl.</x:v>
      </x:c>
      <x:c r="C27" s="24" t="str">
        <x:v>EEZ</x:v>
      </x:c>
      <x:c r="D27" s="30" t="n">
        <x:v>2019</x:v>
      </x:c>
      <x:c r="E27" s="24" t="str">
        <x:v>Elagatis bipinnulata</x:v>
      </x:c>
      <x:c r="F27" s="24" t="str">
        <x:v>Rainbow runner</x:v>
      </x:c>
      <x:c r="G27" s="24" t="str">
        <x:v>Large pelagics (&gt;=90 cm)</x:v>
      </x:c>
      <x:c r="H27" s="24" t="str">
        <x:v>Perch-likes</x:v>
      </x:c>
      <x:c r="I27" s="31" t="n">
        <x:v>122.3740961014</x:v>
      </x:c>
      <x:c r="J27" s="31" t="n">
        <x:v>122.3740961014</x:v>
      </x:c>
      <x:c r="K27" s="31" t="n">
        <x:v>0</x:v>
      </x:c>
      <x:c r="L27" s="31" t="n">
        <x:v>84</x:v>
      </x:c>
      <x:c r="M27" s="31" t="n">
        <x:v>38.3740961014</x:v>
      </x:c>
      <x:c r="N27" s="24" t="str">
        <x:v>elagatis bipinnulata</x:v>
      </x:c>
      <x:c r="O27" s="32" t="n">
        <x:v>4.27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Elagatis bipinnulata</x:v>
      </x:c>
      <x:c r="T27" s="32" t="n">
        <x:f>IF(O27="","",(1/'Metadata'!$B$5)^(O27-1))</x:f>
        <x:v>1862.0871366628655</x:v>
      </x:c>
      <x:c r="U27" s="31" t="n">
        <x:f>IF(T27="","",I27*T27)</x:f>
        <x:v>227871.23021116227</x:v>
      </x:c>
    </x:row>
    <x:row r="28" ht="18" customHeight="1">
      <x:c r="A28" s="24" t="str">
        <x:v>EEZ_584</x:v>
      </x:c>
      <x:c r="B28" s="24" t="str">
        <x:v>Marshall Isl.</x:v>
      </x:c>
      <x:c r="C28" s="24" t="str">
        <x:v>EEZ</x:v>
      </x:c>
      <x:c r="D28" s="30" t="n">
        <x:v>2019</x:v>
      </x:c>
      <x:c r="E28" s="24" t="str">
        <x:v>Lutjanidae</x:v>
      </x:c>
      <x:c r="F28" s="24" t="str">
        <x:v>Snappers</x:v>
      </x:c>
      <x:c r="G28" s="24" t="str">
        <x:v>Medium reef assoc. fish (30 - 89 cm)</x:v>
      </x:c>
      <x:c r="H28" s="24" t="str">
        <x:v>Perch-likes</x:v>
      </x:c>
      <x:c r="I28" s="31" t="n">
        <x:v>113.935823028</x:v>
      </x:c>
      <x:c r="J28" s="31" t="n">
        <x:v>113.935823028</x:v>
      </x:c>
      <x:c r="K28" s="31" t="n">
        <x:v>0</x:v>
      </x:c>
      <x:c r="L28" s="31" t="n">
        <x:v>78.12</x:v>
      </x:c>
      <x:c r="M28" s="31" t="n">
        <x:v>35.815823028</x:v>
      </x:c>
      <x:c r="N28" s="24" t="str">
        <x:v>lutjanidae</x:v>
      </x:c>
      <x:c r="O28" s="32" t="n">
        <x:v>4.02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Lutjanidae</x:v>
      </x:c>
      <x:c r="T28" s="32" t="n">
        <x:f>IF(O28="","",(1/'Metadata'!$B$5)^(O28-1))</x:f>
        <x:v>1047.1285480508984</x:v>
      </x:c>
      <x:c r="U28" s="31" t="n">
        <x:f>IF(T28="","",I28*T28)</x:f>
        <x:v>119305.45293829376</x:v>
      </x:c>
    </x:row>
    <x:row r="29" ht="18" customHeight="1">
      <x:c r="A29" s="24" t="str">
        <x:v>EEZ_584</x:v>
      </x:c>
      <x:c r="B29" s="24" t="str">
        <x:v>Marshall Isl.</x:v>
      </x:c>
      <x:c r="C29" s="24" t="str">
        <x:v>EEZ</x:v>
      </x:c>
      <x:c r="D29" s="30" t="n">
        <x:v>2019</x:v>
      </x:c>
      <x:c r="E29" s="24" t="str">
        <x:v>Istiophoridae</x:v>
      </x:c>
      <x:c r="F29" s="24" t="str">
        <x:v>Billfishes</x:v>
      </x:c>
      <x:c r="G29" s="24" t="str">
        <x:v>Large pelagics (&gt;=90 cm)</x:v>
      </x:c>
      <x:c r="H29" s="24" t="str">
        <x:v>Tuna &amp; billfishes</x:v>
      </x:c>
      <x:c r="I29" s="31" t="n">
        <x:v>110.15526916329999</x:v>
      </x:c>
      <x:c r="J29" s="31" t="n">
        <x:v>0</x:v>
      </x:c>
      <x:c r="K29" s="31" t="n">
        <x:v>110.15526916329999</x:v>
      </x:c>
      <x:c r="L29" s="31" t="n">
        <x:v>0</x:v>
      </x:c>
      <x:c r="M29" s="31" t="n">
        <x:v>110.15526916329999</x:v>
      </x:c>
      <x:c r="N29" s="24" t="str">
        <x:v>istiophoridae</x:v>
      </x:c>
      <x:c r="O29" s="32" t="n">
        <x:v>4.48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Istiophoridae</x:v>
      </x:c>
      <x:c r="T29" s="32" t="n">
        <x:f>IF(O29="","",(1/'Metadata'!$B$5)^(O29-1))</x:f>
        <x:v>3019.951720402019</x:v>
      </x:c>
      <x:c r="U29" s="31" t="n">
        <x:f>IF(T29="","",I29*T29)</x:f>
        <x:v>332663.5946210553</x:v>
      </x:c>
    </x:row>
    <x:row r="30" ht="18" customHeight="1">
      <x:c r="A30" s="24" t="str">
        <x:v>EEZ_584</x:v>
      </x:c>
      <x:c r="B30" s="24" t="str">
        <x:v>Marshall Isl.</x:v>
      </x:c>
      <x:c r="C30" s="24" t="str">
        <x:v>EEZ</x:v>
      </x:c>
      <x:c r="D30" s="30" t="n">
        <x:v>2019</x:v>
      </x:c>
      <x:c r="E30" s="24" t="str">
        <x:v>Acanthurus olivaceus</x:v>
      </x:c>
      <x:c r="F30" s="24" t="str">
        <x:v>Orangespot surgeonfish</x:v>
      </x:c>
      <x:c r="G30" s="24" t="str">
        <x:v>Small reef assoc. fish (&lt;30 cm)</x:v>
      </x:c>
      <x:c r="H30" s="24" t="str">
        <x:v>Perch-likes</x:v>
      </x:c>
      <x:c r="I30" s="31" t="n">
        <x:v>104.4013021628</x:v>
      </x:c>
      <x:c r="J30" s="31" t="n">
        <x:v>104.4013021628</x:v>
      </x:c>
      <x:c r="K30" s="31" t="n">
        <x:v>0</x:v>
      </x:c>
      <x:c r="L30" s="31" t="n">
        <x:v>78.81857142850001</x:v>
      </x:c>
      <x:c r="M30" s="31" t="n">
        <x:v>25.5827307343</x:v>
      </x:c>
      <x:c r="N30" s="24" t="str">
        <x:v>acanthurus olivaceus</x:v>
      </x:c>
      <x:c r="O30" s="32" t="n">
        <x:v>2.2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Acanthurus olivaceus</x:v>
      </x:c>
      <x:c r="T30" s="32" t="n">
        <x:f>IF(O30="","",(1/'Metadata'!$B$5)^(O30-1))</x:f>
        <x:v>15.848931924611142</x:v>
      </x:c>
      <x:c r="U30" s="31" t="n">
        <x:f>IF(T30="","",I30*T30)</x:f>
        <x:v>1654.649130818975</x:v>
      </x:c>
    </x:row>
    <x:row r="31" ht="18" customHeight="1">
      <x:c r="A31" s="24" t="str">
        <x:v>EEZ_584</x:v>
      </x:c>
      <x:c r="B31" s="24" t="str">
        <x:v>Marshall Isl.</x:v>
      </x:c>
      <x:c r="C31" s="24" t="str">
        <x:v>EEZ</x:v>
      </x:c>
      <x:c r="D31" s="30" t="n">
        <x:v>2019</x:v>
      </x:c>
      <x:c r="E31" s="24" t="str">
        <x:v>Holocentridae</x:v>
      </x:c>
      <x:c r="F31" s="24" t="str">
        <x:v>Squirrel-, soldierfishes</x:v>
      </x:c>
      <x:c r="G31" s="24" t="str">
        <x:v>Small reef assoc. fish (&lt;30 cm)</x:v>
      </x:c>
      <x:c r="H31" s="24" t="str">
        <x:v>Other fishes &amp; inverts</x:v>
      </x:c>
      <x:c r="I31" s="31" t="n">
        <x:v>93.2601403444</x:v>
      </x:c>
      <x:c r="J31" s="31" t="n">
        <x:v>93.2601403444</x:v>
      </x:c>
      <x:c r="K31" s="31" t="n">
        <x:v>0</x:v>
      </x:c>
      <x:c r="L31" s="31" t="n">
        <x:v>63.839999999999996</x:v>
      </x:c>
      <x:c r="M31" s="31" t="n">
        <x:v>29.4201403444</x:v>
      </x:c>
      <x:c r="N31" s="24" t="str">
        <x:v>holocentridae</x:v>
      </x:c>
      <x:c r="O31" s="32" t="n">
        <x:v>3.49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Holocentridae</x:v>
      </x:c>
      <x:c r="T31" s="32" t="n">
        <x:f>IF(O31="","",(1/'Metadata'!$B$5)^(O31-1))</x:f>
        <x:v>309.0295432513592</x:v>
      </x:c>
      <x:c r="U31" s="31" t="n">
        <x:f>IF(T31="","",I31*T31)</x:f>
        <x:v>28820.13857418759</x:v>
      </x:c>
    </x:row>
    <x:row r="32" ht="18" customHeight="1">
      <x:c r="A32" s="24" t="str">
        <x:v>EEZ_584</x:v>
      </x:c>
      <x:c r="B32" s="24" t="str">
        <x:v>Marshall Isl.</x:v>
      </x:c>
      <x:c r="C32" s="24" t="str">
        <x:v>EEZ</x:v>
      </x:c>
      <x:c r="D32" s="30" t="n">
        <x:v>2019</x:v>
      </x:c>
      <x:c r="E32" s="24" t="str">
        <x:v>Carcharhinus longimanus</x:v>
      </x:c>
      <x:c r="F32" s="24" t="str">
        <x:v>Oceanic whitetip shark</x:v>
      </x:c>
      <x:c r="G32" s="24" t="str">
        <x:v>Large sharks (&gt;=90 cm)</x:v>
      </x:c>
      <x:c r="H32" s="24" t="str">
        <x:v>Sharks &amp; rays</x:v>
      </x:c>
      <x:c r="I32" s="31" t="n">
        <x:v>89.9077466024</x:v>
      </x:c>
      <x:c r="J32" s="31" t="n">
        <x:v>12.0606602494</x:v>
      </x:c>
      <x:c r="K32" s="31" t="n">
        <x:v>77.84708635300001</x:v>
      </x:c>
      <x:c r="L32" s="31" t="n">
        <x:v>12.0606602494</x:v>
      </x:c>
      <x:c r="M32" s="31" t="n">
        <x:v>77.84708635300001</x:v>
      </x:c>
      <x:c r="N32" s="24" t="str">
        <x:v>carcharhinus longimanus</x:v>
      </x:c>
      <x:c r="O32" s="32" t="n">
        <x:v>4.16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Carcharhinus longimanus</x:v>
      </x:c>
      <x:c r="T32" s="32" t="n">
        <x:f>IF(O32="","",(1/'Metadata'!$B$5)^(O32-1))</x:f>
        <x:v>1445.439770745928</x:v>
      </x:c>
      <x:c r="U32" s="31" t="n">
        <x:f>IF(T32="","",I32*T32)</x:f>
        <x:v>129956.23263725603</x:v>
      </x:c>
    </x:row>
    <x:row r="33" ht="18" customHeight="1">
      <x:c r="A33" s="24" t="str">
        <x:v>EEZ_584</x:v>
      </x:c>
      <x:c r="B33" s="24" t="str">
        <x:v>Marshall Isl.</x:v>
      </x:c>
      <x:c r="C33" s="24" t="str">
        <x:v>EEZ</x:v>
      </x:c>
      <x:c r="D33" s="30" t="n">
        <x:v>2019</x:v>
      </x:c>
      <x:c r="E33" s="24" t="str">
        <x:v>Hipposcarus longiceps</x:v>
      </x:c>
      <x:c r="F33" s="24" t="str">
        <x:v>Pacific longnose parrotfish</x:v>
      </x:c>
      <x:c r="G33" s="24" t="str">
        <x:v>Medium reef assoc. fish (30 - 89 cm)</x:v>
      </x:c>
      <x:c r="H33" s="24" t="str">
        <x:v>Perch-likes</x:v>
      </x:c>
      <x:c r="I33" s="31" t="n">
        <x:v>81.5827307344</x:v>
      </x:c>
      <x:c r="J33" s="31" t="n">
        <x:v>81.5827307344</x:v>
      </x:c>
      <x:c r="K33" s="31" t="n">
        <x:v>0</x:v>
      </x:c>
      <x:c r="L33" s="31" t="n">
        <x:v>56.0000000001</x:v>
      </x:c>
      <x:c r="M33" s="31" t="n">
        <x:v>25.5827307343</x:v>
      </x:c>
      <x:c r="N33" s="24" t="str">
        <x:v>hipposcarus longiceps</x:v>
      </x:c>
      <x:c r="O33" s="32" t="n">
        <x:v>2.01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Hipposcarus longiceps</x:v>
      </x:c>
      <x:c r="T33" s="32" t="n">
        <x:f>IF(O33="","",(1/'Metadata'!$B$5)^(O33-1))</x:f>
        <x:v>10.232929922807536</x:v>
      </x:c>
      <x:c r="U33" s="31" t="n">
        <x:f>IF(T33="","",I33*T33)</x:f>
        <x:v>834.8303665163918</x:v>
      </x:c>
    </x:row>
    <x:row r="34" ht="18" customHeight="1">
      <x:c r="A34" s="24" t="str">
        <x:v>EEZ_584</x:v>
      </x:c>
      <x:c r="B34" s="24" t="str">
        <x:v>Marshall Isl.</x:v>
      </x:c>
      <x:c r="C34" s="24" t="str">
        <x:v>EEZ</x:v>
      </x:c>
      <x:c r="D34" s="30" t="n">
        <x:v>2019</x:v>
      </x:c>
      <x:c r="E34" s="24" t="str">
        <x:v>Acanthurus</x:v>
      </x:c>
      <x:c r="F34" s="24" t="str">
        <x:v>Surgeonfishes</x:v>
      </x:c>
      <x:c r="G34" s="24" t="str">
        <x:v>Small reef assoc. fish (&lt;30 cm)</x:v>
      </x:c>
      <x:c r="H34" s="24" t="str">
        <x:v>Perch-likes</x:v>
      </x:c>
      <x:c r="I34" s="31" t="n">
        <x:v>81.5827307343</x:v>
      </x:c>
      <x:c r="J34" s="31" t="n">
        <x:v>81.5827307343</x:v>
      </x:c>
      <x:c r="K34" s="31" t="n">
        <x:v>0</x:v>
      </x:c>
      <x:c r="L34" s="31" t="n">
        <x:v>56</x:v>
      </x:c>
      <x:c r="M34" s="31" t="n">
        <x:v>25.5827307343</x:v>
      </x:c>
      <x:c r="N34" s="24" t="str">
        <x:v>acanthurus</x:v>
      </x:c>
      <x:c r="O34" s="32" t="n">
        <x:v>2.03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Acanthurus</x:v>
      </x:c>
      <x:c r="T34" s="32" t="n">
        <x:f>IF(O34="","",(1/'Metadata'!$B$5)^(O34-1))</x:f>
        <x:v>10.71519305237606</x:v>
      </x:c>
      <x:c r="U34" s="31" t="n">
        <x:f>IF(T34="","",I34*T34)</x:f>
        <x:v>874.1747095580382</x:v>
      </x:c>
    </x:row>
    <x:row r="35" ht="18" customHeight="1">
      <x:c r="A35" s="24" t="str">
        <x:v>EEZ_584</x:v>
      </x:c>
      <x:c r="B35" s="24" t="str">
        <x:v>Marshall Isl.</x:v>
      </x:c>
      <x:c r="C35" s="24" t="str">
        <x:v>EEZ</x:v>
      </x:c>
      <x:c r="D35" s="30" t="n">
        <x:v>2019</x:v>
      </x:c>
      <x:c r="E35" s="24" t="str">
        <x:v>Naso lituratus</x:v>
      </x:c>
      <x:c r="F35" s="24" t="str">
        <x:v>Orangespine unicornfish</x:v>
      </x:c>
      <x:c r="G35" s="24" t="str">
        <x:v>Medium reef assoc. fish (30 - 89 cm)</x:v>
      </x:c>
      <x:c r="H35" s="24" t="str">
        <x:v>Perch-likes</x:v>
      </x:c>
      <x:c r="I35" s="31" t="n">
        <x:v>81.5827307343</x:v>
      </x:c>
      <x:c r="J35" s="31" t="n">
        <x:v>81.5827307343</x:v>
      </x:c>
      <x:c r="K35" s="31" t="n">
        <x:v>0</x:v>
      </x:c>
      <x:c r="L35" s="31" t="n">
        <x:v>56</x:v>
      </x:c>
      <x:c r="M35" s="31" t="n">
        <x:v>25.5827307343</x:v>
      </x:c>
      <x:c r="N35" s="24" t="str">
        <x:v>naso lituratus</x:v>
      </x:c>
      <x:c r="O35" s="32" t="n">
        <x:v>2.32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Naso lituratus</x:v>
      </x:c>
      <x:c r="T35" s="32" t="n">
        <x:f>IF(O35="","",(1/'Metadata'!$B$5)^(O35-1))</x:f>
        <x:v>20.892961308540386</x:v>
      </x:c>
      <x:c r="U35" s="31" t="n">
        <x:f>IF(T35="","",I35*T35)</x:f>
        <x:v>1704.5048366767985</x:v>
      </x:c>
    </x:row>
    <x:row r="36" ht="18" customHeight="1">
      <x:c r="A36" s="24" t="str">
        <x:v>EEZ_584</x:v>
      </x:c>
      <x:c r="B36" s="24" t="str">
        <x:v>Marshall Isl.</x:v>
      </x:c>
      <x:c r="C36" s="24" t="str">
        <x:v>EEZ</x:v>
      </x:c>
      <x:c r="D36" s="30" t="n">
        <x:v>2019</x:v>
      </x:c>
      <x:c r="E36" s="24" t="str">
        <x:v>Scarus</x:v>
      </x:c>
      <x:c r="F36" s="24" t="str">
        <x:v>Parrots</x:v>
      </x:c>
      <x:c r="G36" s="24" t="str">
        <x:v>Medium reef assoc. fish (30 - 89 cm)</x:v>
      </x:c>
      <x:c r="H36" s="24" t="str">
        <x:v>Perch-likes</x:v>
      </x:c>
      <x:c r="I36" s="31" t="n">
        <x:v>81.5827307343</x:v>
      </x:c>
      <x:c r="J36" s="31" t="n">
        <x:v>81.5827307343</x:v>
      </x:c>
      <x:c r="K36" s="31" t="n">
        <x:v>0</x:v>
      </x:c>
      <x:c r="L36" s="31" t="n">
        <x:v>56</x:v>
      </x:c>
      <x:c r="M36" s="31" t="n">
        <x:v>25.5827307343</x:v>
      </x:c>
      <x:c r="N36" s="24" t="str">
        <x:v>scarus</x:v>
      </x:c>
      <x:c r="O36" s="32" t="n">
        <x:v>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Scarus</x:v>
      </x:c>
      <x:c r="T36" s="32" t="n">
        <x:f>IF(O36="","",(1/'Metadata'!$B$5)^(O36-1))</x:f>
        <x:v>10</x:v>
      </x:c>
      <x:c r="U36" s="31" t="n">
        <x:f>IF(T36="","",I36*T36)</x:f>
        <x:v>815.827307343</x:v>
      </x:c>
    </x:row>
    <x:row r="37" ht="18" customHeight="1">
      <x:c r="A37" s="24" t="str">
        <x:v>EEZ_584</x:v>
      </x:c>
      <x:c r="B37" s="24" t="str">
        <x:v>Marshall Isl.</x:v>
      </x:c>
      <x:c r="C37" s="24" t="str">
        <x:v>EEZ</x:v>
      </x:c>
      <x:c r="D37" s="30" t="n">
        <x:v>2019</x:v>
      </x:c>
      <x:c r="E37" s="24" t="str">
        <x:v>Epinephelus</x:v>
      </x:c>
      <x:c r="F37" s="24" t="str">
        <x:v>Seabasses, hinds</x:v>
      </x:c>
      <x:c r="G37" s="24" t="str">
        <x:v>Medium reef assoc. fish (30 - 89 cm)</x:v>
      </x:c>
      <x:c r="H37" s="24" t="str">
        <x:v>Perch-likes</x:v>
      </x:c>
      <x:c r="I37" s="31" t="n">
        <x:v>81.5827307343</x:v>
      </x:c>
      <x:c r="J37" s="31" t="n">
        <x:v>81.5827307343</x:v>
      </x:c>
      <x:c r="K37" s="31" t="n">
        <x:v>0</x:v>
      </x:c>
      <x:c r="L37" s="31" t="n">
        <x:v>56</x:v>
      </x:c>
      <x:c r="M37" s="31" t="n">
        <x:v>25.5827307343</x:v>
      </x:c>
      <x:c r="N37" s="24" t="str">
        <x:v>epinephelus</x:v>
      </x:c>
      <x:c r="O37" s="32" t="n">
        <x:v>3.84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Epinephelus</x:v>
      </x:c>
      <x:c r="T37" s="32" t="n">
        <x:f>IF(O37="","",(1/'Metadata'!$B$5)^(O37-1))</x:f>
        <x:v>691.8309709189363</x:v>
      </x:c>
      <x:c r="U37" s="31" t="n">
        <x:f>IF(T37="","",I37*T37)</x:f>
        <x:v>56441.45981412891</x:v>
      </x:c>
    </x:row>
    <x:row r="38" ht="18" customHeight="1">
      <x:c r="A38" s="24" t="str">
        <x:v>EEZ_584</x:v>
      </x:c>
      <x:c r="B38" s="24" t="str">
        <x:v>Marshall Isl.</x:v>
      </x:c>
      <x:c r="C38" s="24" t="str">
        <x:v>EEZ</x:v>
      </x:c>
      <x:c r="D38" s="30" t="n">
        <x:v>2019</x:v>
      </x:c>
      <x:c r="E38" s="24" t="str">
        <x:v>Asaphis violascens</x:v>
      </x:c>
      <x:c r="F38" s="24" t="str">
        <x:v>Pacific asaphis</x:v>
      </x:c>
      <x:c r="G38" s="24" t="str">
        <x:v>Other demersal invertebrates</x:v>
      </x:c>
      <x:c r="H38" s="24" t="str">
        <x:v>Molluscs</x:v>
      </x:c>
      <x:c r="I38" s="31" t="n">
        <x:v>81.5827307343</x:v>
      </x:c>
      <x:c r="J38" s="31" t="n">
        <x:v>81.5827307343</x:v>
      </x:c>
      <x:c r="K38" s="31" t="n">
        <x:v>0</x:v>
      </x:c>
      <x:c r="L38" s="31" t="n">
        <x:v>56</x:v>
      </x:c>
      <x:c r="M38" s="31" t="n">
        <x:v>25.5827307343</x:v>
      </x:c>
      <x:c r="N38" s="24" t="str">
        <x:v>asaphis violascens</x:v>
      </x:c>
      <x:c r="O38" s="32" t="n">
        <x:v>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Asaphis violascens</x:v>
      </x:c>
      <x:c r="T38" s="32" t="n">
        <x:f>IF(O38="","",(1/'Metadata'!$B$5)^(O38-1))</x:f>
        <x:v>10</x:v>
      </x:c>
      <x:c r="U38" s="31" t="n">
        <x:f>IF(T38="","",I38*T38)</x:f>
        <x:v>815.827307343</x:v>
      </x:c>
    </x:row>
    <x:row r="39" ht="18" customHeight="1">
      <x:c r="A39" s="24" t="str">
        <x:v>EEZ_584</x:v>
      </x:c>
      <x:c r="B39" s="24" t="str">
        <x:v>Marshall Isl.</x:v>
      </x:c>
      <x:c r="C39" s="24" t="str">
        <x:v>EEZ</x:v>
      </x:c>
      <x:c r="D39" s="30" t="n">
        <x:v>2019</x:v>
      </x:c>
      <x:c r="E39" s="24" t="str">
        <x:v>Epinephelus fuscoguttatus</x:v>
      </x:c>
      <x:c r="F39" s="24" t="str">
        <x:v>Brown-marbled grouper</x:v>
      </x:c>
      <x:c r="G39" s="24" t="str">
        <x:v>Large reef assoc. fish (&gt;=90 cm)</x:v>
      </x:c>
      <x:c r="H39" s="24" t="str">
        <x:v>Perch-likes</x:v>
      </x:c>
      <x:c r="I39" s="31" t="n">
        <x:v>81.5827307343</x:v>
      </x:c>
      <x:c r="J39" s="31" t="n">
        <x:v>81.5827307343</x:v>
      </x:c>
      <x:c r="K39" s="31" t="n">
        <x:v>0</x:v>
      </x:c>
      <x:c r="L39" s="31" t="n">
        <x:v>56</x:v>
      </x:c>
      <x:c r="M39" s="31" t="n">
        <x:v>25.5827307343</x:v>
      </x:c>
      <x:c r="N39" s="24" t="str">
        <x:v>epinephelus fuscoguttatus</x:v>
      </x:c>
      <x:c r="O39" s="32" t="n">
        <x:v>4.14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Epinephelus fuscoguttatus</x:v>
      </x:c>
      <x:c r="T39" s="32" t="n">
        <x:f>IF(O39="","",(1/'Metadata'!$B$5)^(O39-1))</x:f>
        <x:v>1380.3842646028838</x:v>
      </x:c>
      <x:c r="U39" s="31" t="n">
        <x:f>IF(T39="","",I39*T39)</x:f>
        <x:v>112615.5177689618</x:v>
      </x:c>
    </x:row>
    <x:row r="40" ht="18" customHeight="1">
      <x:c r="A40" s="24" t="str">
        <x:v>EEZ_584</x:v>
      </x:c>
      <x:c r="B40" s="24" t="str">
        <x:v>Marshall Isl.</x:v>
      </x:c>
      <x:c r="C40" s="24" t="str">
        <x:v>EEZ</x:v>
      </x:c>
      <x:c r="D40" s="30" t="n">
        <x:v>2019</x:v>
      </x:c>
      <x:c r="E40" s="24" t="str">
        <x:v>Serranidae</x:v>
      </x:c>
      <x:c r="F40" s="24" t="str">
        <x:v>Basses, groupers, hinds</x:v>
      </x:c>
      <x:c r="G40" s="24" t="str">
        <x:v>Medium reef assoc. fish (30 - 89 cm)</x:v>
      </x:c>
      <x:c r="H40" s="24" t="str">
        <x:v>Perch-likes</x:v>
      </x:c>
      <x:c r="I40" s="31" t="n">
        <x:v>77.6715941975</x:v>
      </x:c>
      <x:c r="J40" s="31" t="n">
        <x:v>77.6715941975</x:v>
      </x:c>
      <x:c r="K40" s="31" t="n">
        <x:v>0</x:v>
      </x:c>
      <x:c r="L40" s="31" t="n">
        <x:v>53.368</x:v>
      </x:c>
      <x:c r="M40" s="31" t="n">
        <x:v>24.3035941975</x:v>
      </x:c>
      <x:c r="N40" s="24" t="str">
        <x:v>serranidae</x:v>
      </x:c>
      <x:c r="O40" s="32" t="n">
        <x:v>3.98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Serranidae</x:v>
      </x:c>
      <x:c r="T40" s="32" t="n">
        <x:f>IF(O40="","",(1/'Metadata'!$B$5)^(O40-1))</x:f>
        <x:v>954.992586021436</x:v>
      </x:c>
      <x:c r="U40" s="31" t="n">
        <x:f>IF(T40="","",I40*T40)</x:f>
        <x:v>74175.79660307808</x:v>
      </x:c>
    </x:row>
    <x:row r="41" ht="18" customHeight="1">
      <x:c r="A41" s="24" t="str">
        <x:v>EEZ_584</x:v>
      </x:c>
      <x:c r="B41" s="24" t="str">
        <x:v>Marshall Isl.</x:v>
      </x:c>
      <x:c r="C41" s="24" t="str">
        <x:v>EEZ</x:v>
      </x:c>
      <x:c r="D41" s="30" t="n">
        <x:v>2019</x:v>
      </x:c>
      <x:c r="E41" s="24" t="str">
        <x:v>Scaridae</x:v>
      </x:c>
      <x:c r="F41" s="24" t="str">
        <x:v>Parrotfishes</x:v>
      </x:c>
      <x:c r="G41" s="24" t="str">
        <x:v>Medium reef assoc. fish (30 - 89 cm)</x:v>
      </x:c>
      <x:c r="H41" s="24" t="str">
        <x:v>Perch-likes</x:v>
      </x:c>
      <x:c r="I41" s="31" t="n">
        <x:v>64.7061845874</x:v>
      </x:c>
      <x:c r="J41" s="31" t="n">
        <x:v>64.7061845874</x:v>
      </x:c>
      <x:c r="K41" s="31" t="n">
        <x:v>0</x:v>
      </x:c>
      <x:c r="L41" s="31" t="n">
        <x:v>44.239999999999995</x:v>
      </x:c>
      <x:c r="M41" s="31" t="n">
        <x:v>20.4661845874</x:v>
      </x:c>
      <x:c r="N41" s="24" t="str">
        <x:v>scaridae</x:v>
      </x:c>
      <x:c r="O41" s="32" t="n">
        <x:v>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Scaridae</x:v>
      </x:c>
      <x:c r="T41" s="32" t="n">
        <x:f>IF(O41="","",(1/'Metadata'!$B$5)^(O41-1))</x:f>
        <x:v>10</x:v>
      </x:c>
      <x:c r="U41" s="31" t="n">
        <x:f>IF(T41="","",I41*T41)</x:f>
        <x:v>647.061845874</x:v>
      </x:c>
    </x:row>
    <x:row r="42" ht="18" customHeight="1">
      <x:c r="A42" s="24" t="str">
        <x:v>EEZ_584</x:v>
      </x:c>
      <x:c r="B42" s="24" t="str">
        <x:v>Marshall Isl.</x:v>
      </x:c>
      <x:c r="C42" s="24" t="str">
        <x:v>EEZ</x:v>
      </x:c>
      <x:c r="D42" s="30" t="n">
        <x:v>2019</x:v>
      </x:c>
      <x:c r="E42" s="24" t="str">
        <x:v>Carcharhinus falciformis</x:v>
      </x:c>
      <x:c r="F42" s="24" t="str">
        <x:v>Silky shark</x:v>
      </x:c>
      <x:c r="G42" s="24" t="str">
        <x:v>Large sharks (&gt;=90 cm)</x:v>
      </x:c>
      <x:c r="H42" s="24" t="str">
        <x:v>Sharks &amp; rays</x:v>
      </x:c>
      <x:c r="I42" s="31" t="n">
        <x:v>63.4032398878</x:v>
      </x:c>
      <x:c r="J42" s="31" t="n">
        <x:v>1.3392401804</x:v>
      </x:c>
      <x:c r="K42" s="31" t="n">
        <x:v>62.0639997074</x:v>
      </x:c>
      <x:c r="L42" s="31" t="n">
        <x:v>1.3392401804</x:v>
      </x:c>
      <x:c r="M42" s="31" t="n">
        <x:v>62.0639997074</x:v>
      </x:c>
      <x:c r="N42" s="24" t="str">
        <x:v>carcharhinus falciformis</x:v>
      </x:c>
      <x:c r="O42" s="32" t="n">
        <x:v>4.51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Carcharhinus falciformis</x:v>
      </x:c>
      <x:c r="T42" s="32" t="n">
        <x:f>IF(O42="","",(1/'Metadata'!$B$5)^(O42-1))</x:f>
        <x:v>3235.936569296281</x:v>
      </x:c>
      <x:c r="U42" s="31" t="n">
        <x:f>IF(T42="","",I42*T42)</x:f>
        <x:v>205168.86256479664</x:v>
      </x:c>
    </x:row>
    <x:row r="43" ht="18" customHeight="1">
      <x:c r="A43" s="24" t="str">
        <x:v>EEZ_584</x:v>
      </x:c>
      <x:c r="B43" s="24" t="str">
        <x:v>Marshall Isl.</x:v>
      </x:c>
      <x:c r="C43" s="24" t="str">
        <x:v>EEZ</x:v>
      </x:c>
      <x:c r="D43" s="30" t="n">
        <x:v>2019</x:v>
      </x:c>
      <x:c r="E43" s="24" t="str">
        <x:v>Siganidae</x:v>
      </x:c>
      <x:c r="F43" s="24" t="str">
        <x:v>Rabbitfishes</x:v>
      </x:c>
      <x:c r="G43" s="24" t="str">
        <x:v>Medium reef assoc. fish (30 - 89 cm)</x:v>
      </x:c>
      <x:c r="H43" s="24" t="str">
        <x:v>Perch-likes</x:v>
      </x:c>
      <x:c r="I43" s="31" t="n">
        <x:v>60.347048050699996</x:v>
      </x:c>
      <x:c r="J43" s="31" t="n">
        <x:v>60.347048050699996</x:v>
      </x:c>
      <x:c r="K43" s="31" t="n">
        <x:v>0</x:v>
      </x:c>
      <x:c r="L43" s="31" t="n">
        <x:v>41.16</x:v>
      </x:c>
      <x:c r="M43" s="31" t="n">
        <x:v>19.1870480507</x:v>
      </x:c>
      <x:c r="N43" s="24" t="str">
        <x:v>siganidae</x:v>
      </x:c>
      <x:c r="O43" s="32" t="n">
        <x:v>2.11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Siganidae</x:v>
      </x:c>
      <x:c r="T43" s="32" t="n">
        <x:f>IF(O43="","",(1/'Metadata'!$B$5)^(O43-1))</x:f>
        <x:v>12.882495516931336</x:v>
      </x:c>
      <x:c r="U43" s="31" t="n">
        <x:f>IF(T43="","",I43*T43)</x:f>
        <x:v>777.4205759731826</x:v>
      </x:c>
    </x:row>
    <x:row r="44" ht="18" customHeight="1">
      <x:c r="A44" s="24" t="str">
        <x:v>EEZ_584</x:v>
      </x:c>
      <x:c r="B44" s="24" t="str">
        <x:v>Marshall Isl.</x:v>
      </x:c>
      <x:c r="C44" s="24" t="str">
        <x:v>EEZ</x:v>
      </x:c>
      <x:c r="D44" s="30" t="n">
        <x:v>2019</x:v>
      </x:c>
      <x:c r="E44" s="24" t="str">
        <x:v>Acanthurus triostegus</x:v>
      </x:c>
      <x:c r="F44" s="24" t="str">
        <x:v>Convict surgeonfish</x:v>
      </x:c>
      <x:c r="G44" s="24" t="str">
        <x:v>Small reef assoc. fish (&lt;30 cm)</x:v>
      </x:c>
      <x:c r="H44" s="24" t="str">
        <x:v>Perch-likes</x:v>
      </x:c>
      <x:c r="I44" s="31" t="n">
        <x:v>58.7641593057</x:v>
      </x:c>
      <x:c r="J44" s="31" t="n">
        <x:v>58.7641593057</x:v>
      </x:c>
      <x:c r="K44" s="31" t="n">
        <x:v>0</x:v>
      </x:c>
      <x:c r="L44" s="31" t="n">
        <x:v>33.1814285714</x:v>
      </x:c>
      <x:c r="M44" s="31" t="n">
        <x:v>25.5827307343</x:v>
      </x:c>
      <x:c r="N44" s="24" t="str">
        <x:v>acanthurus triostegus</x:v>
      </x:c>
      <x:c r="O44" s="32" t="n">
        <x:v>2.78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Acanthurus triostegus</x:v>
      </x:c>
      <x:c r="T44" s="32" t="n">
        <x:f>IF(O44="","",(1/'Metadata'!$B$5)^(O44-1))</x:f>
        <x:v>60.255958607435744</x:v>
      </x:c>
      <x:c r="U44" s="31" t="n">
        <x:f>IF(T44="","",I44*T44)</x:f>
        <x:v>3540.890750725019</x:v>
      </x:c>
    </x:row>
    <x:row r="45" ht="18" customHeight="1">
      <x:c r="A45" s="24" t="str">
        <x:v>EEZ_584</x:v>
      </x:c>
      <x:c r="B45" s="24" t="str">
        <x:v>Marshall Isl.</x:v>
      </x:c>
      <x:c r="C45" s="24" t="str">
        <x:v>EEZ</x:v>
      </x:c>
      <x:c r="D45" s="30" t="n">
        <x:v>2019</x:v>
      </x:c>
      <x:c r="E45" s="24" t="str">
        <x:v>Acanthocybium solandri</x:v>
      </x:c>
      <x:c r="F45" s="24" t="str">
        <x:v>Wahoo</x:v>
      </x:c>
      <x:c r="G45" s="24" t="str">
        <x:v>Large pelagics (&gt;=90 cm)</x:v>
      </x:c>
      <x:c r="H45" s="24" t="str">
        <x:v>Perch-likes</x:v>
      </x:c>
      <x:c r="I45" s="31" t="n">
        <x:v>55.2267687983</x:v>
      </x:c>
      <x:c r="J45" s="31" t="n">
        <x:v>0</x:v>
      </x:c>
      <x:c r="K45" s="31" t="n">
        <x:v>55.2267687983</x:v>
      </x:c>
      <x:c r="L45" s="31" t="n">
        <x:v>0</x:v>
      </x:c>
      <x:c r="M45" s="31" t="n">
        <x:v>55.2267687983</x:v>
      </x:c>
      <x:c r="N45" s="24" t="str">
        <x:v>acanthocybium solandri</x:v>
      </x:c>
      <x:c r="O45" s="32" t="n">
        <x:v>4.26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Acanthocybium solandri</x:v>
      </x:c>
      <x:c r="T45" s="32" t="n">
        <x:f>IF(O45="","",(1/'Metadata'!$B$5)^(O45-1))</x:f>
        <x:v>1819.7008586099826</x:v>
      </x:c>
      <x:c r="U45" s="31" t="n">
        <x:f>IF(T45="","",I45*T45)</x:f>
        <x:v>100496.1986005215</x:v>
      </x:c>
    </x:row>
    <x:row r="46" ht="18" customHeight="1">
      <x:c r="A46" s="24" t="str">
        <x:v>EEZ_584</x:v>
      </x:c>
      <x:c r="B46" s="24" t="str">
        <x:v>Marshall Isl.</x:v>
      </x:c>
      <x:c r="C46" s="24" t="str">
        <x:v>EEZ</x:v>
      </x:c>
      <x:c r="D46" s="30" t="n">
        <x:v>2019</x:v>
      </x:c>
      <x:c r="E46" s="24" t="str">
        <x:v>Sphyraenidae</x:v>
      </x:c>
      <x:c r="F46" s="24" t="str">
        <x:v>Barracudas</x:v>
      </x:c>
      <x:c r="G46" s="24" t="str">
        <x:v>Medium reef assoc. fish (30 - 89 cm)</x:v>
      </x:c>
      <x:c r="H46" s="24" t="str">
        <x:v>Perch-likes</x:v>
      </x:c>
      <x:c r="I46" s="31" t="n">
        <x:v>52.7487749773</x:v>
      </x:c>
      <x:c r="J46" s="31" t="n">
        <x:v>52.7487749773</x:v>
      </x:c>
      <x:c r="K46" s="31" t="n">
        <x:v>0</x:v>
      </x:c>
      <x:c r="L46" s="31" t="n">
        <x:v>36.12</x:v>
      </x:c>
      <x:c r="M46" s="31" t="n">
        <x:v>16.6287749773</x:v>
      </x:c>
      <x:c r="N46" s="24" t="str">
        <x:v>sphyraenidae</x:v>
      </x:c>
      <x:c r="O46" s="32" t="n">
        <x:v>4.4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Sphyraenidae</x:v>
      </x:c>
      <x:c r="T46" s="32" t="n">
        <x:f>IF(O46="","",(1/'Metadata'!$B$5)^(O46-1))</x:f>
        <x:v>2511.886431509582</x:v>
      </x:c>
      <x:c r="U46" s="31" t="n">
        <x:f>IF(T46="","",I46*T46)</x:f>
        <x:v>132498.93214423204</x:v>
      </x:c>
    </x:row>
    <x:row r="47" ht="18" customHeight="1">
      <x:c r="A47" s="24" t="str">
        <x:v>EEZ_584</x:v>
      </x:c>
      <x:c r="B47" s="24" t="str">
        <x:v>Marshall Isl.</x:v>
      </x:c>
      <x:c r="C47" s="24" t="str">
        <x:v>EEZ</x:v>
      </x:c>
      <x:c r="D47" s="30" t="n">
        <x:v>2019</x:v>
      </x:c>
      <x:c r="E47" s="24" t="str">
        <x:v>Acanthuridae</x:v>
      </x:c>
      <x:c r="F47" s="24" t="str">
        <x:v>Surgeons, tangs, unicornfishes</x:v>
      </x:c>
      <x:c r="G47" s="24" t="str">
        <x:v>Small reef assoc. fish (&lt;30 cm)</x:v>
      </x:c>
      <x:c r="H47" s="24" t="str">
        <x:v>Perch-likes</x:v>
      </x:c>
      <x:c r="I47" s="31" t="n">
        <x:v>51.7407749773</x:v>
      </x:c>
      <x:c r="J47" s="31" t="n">
        <x:v>51.7407749773</x:v>
      </x:c>
      <x:c r="K47" s="31" t="n">
        <x:v>0</x:v>
      </x:c>
      <x:c r="L47" s="31" t="n">
        <x:v>35.111999999999995</x:v>
      </x:c>
      <x:c r="M47" s="31" t="n">
        <x:v>16.6287749773</x:v>
      </x:c>
      <x:c r="N47" s="24" t="str">
        <x:v>acanthuridae</x:v>
      </x:c>
      <x:c r="O47" s="32" t="n">
        <x:v>2.28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Acanthuridae</x:v>
      </x:c>
      <x:c r="T47" s="32" t="n">
        <x:f>IF(O47="","",(1/'Metadata'!$B$5)^(O47-1))</x:f>
        <x:v>19.054607179632463</x:v>
      </x:c>
      <x:c r="U47" s="31" t="n">
        <x:f>IF(T47="","",I47*T47)</x:f>
        <x:v>985.9001423622083</x:v>
      </x:c>
    </x:row>
    <x:row r="48" ht="18" customHeight="1">
      <x:c r="A48" s="24" t="str">
        <x:v>EEZ_584</x:v>
      </x:c>
      <x:c r="B48" s="24" t="str">
        <x:v>Marshall Isl.</x:v>
      </x:c>
      <x:c r="C48" s="24" t="str">
        <x:v>EEZ</x:v>
      </x:c>
      <x:c r="D48" s="30" t="n">
        <x:v>2019</x:v>
      </x:c>
      <x:c r="E48" s="24" t="str">
        <x:v>Siganus</x:v>
      </x:c>
      <x:c r="F48" s="24" t="str">
        <x:v>Spinefoots</x:v>
      </x:c>
      <x:c r="G48" s="24" t="str">
        <x:v>Medium reef assoc. fish (30 - 89 cm)</x:v>
      </x:c>
      <x:c r="H48" s="24" t="str">
        <x:v>Perch-likes</x:v>
      </x:c>
      <x:c r="I48" s="31" t="n">
        <x:v>40.7913653671</x:v>
      </x:c>
      <x:c r="J48" s="31" t="n">
        <x:v>40.7913653671</x:v>
      </x:c>
      <x:c r="K48" s="31" t="n">
        <x:v>0</x:v>
      </x:c>
      <x:c r="L48" s="31" t="n">
        <x:v>28</x:v>
      </x:c>
      <x:c r="M48" s="31" t="n">
        <x:v>12.7913653671</x:v>
      </x:c>
      <x:c r="N48" s="24" t="str">
        <x:v>siganus</x:v>
      </x:c>
      <x:c r="O48" s="32" t="n">
        <x:v>2.11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Siganus</x:v>
      </x:c>
      <x:c r="T48" s="32" t="n">
        <x:f>IF(O48="","",(1/'Metadata'!$B$5)^(O48-1))</x:f>
        <x:v>12.882495516931336</x:v>
      </x:c>
      <x:c r="U48" s="31" t="n">
        <x:f>IF(T48="","",I48*T48)</x:f>
        <x:v>525.4945814711739</x:v>
      </x:c>
    </x:row>
    <x:row r="49" ht="18" customHeight="1">
      <x:c r="A49" s="24" t="str">
        <x:v>EEZ_584</x:v>
      </x:c>
      <x:c r="B49" s="24" t="str">
        <x:v>Marshall Isl.</x:v>
      </x:c>
      <x:c r="C49" s="24" t="str">
        <x:v>EEZ</x:v>
      </x:c>
      <x:c r="D49" s="30" t="n">
        <x:v>2019</x:v>
      </x:c>
      <x:c r="E49" s="24" t="str">
        <x:v>Mulloidichthys vanicolensis</x:v>
      </x:c>
      <x:c r="F49" s="24" t="str">
        <x:v>Yellowfin goatfish</x:v>
      </x:c>
      <x:c r="G49" s="24" t="str">
        <x:v>Medium reef assoc. fish (30 - 89 cm)</x:v>
      </x:c>
      <x:c r="H49" s="24" t="str">
        <x:v>Perch-likes</x:v>
      </x:c>
      <x:c r="I49" s="31" t="n">
        <x:v>40.7913653671</x:v>
      </x:c>
      <x:c r="J49" s="31" t="n">
        <x:v>40.7913653671</x:v>
      </x:c>
      <x:c r="K49" s="31" t="n">
        <x:v>0</x:v>
      </x:c>
      <x:c r="L49" s="31" t="n">
        <x:v>28</x:v>
      </x:c>
      <x:c r="M49" s="31" t="n">
        <x:v>12.7913653671</x:v>
      </x:c>
      <x:c r="N49" s="24" t="str">
        <x:v>mulloidichthys vanicolensis</x:v>
      </x:c>
      <x:c r="O49" s="32" t="n">
        <x:v>3.6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Mulloidichthys vanicolensis</x:v>
      </x:c>
      <x:c r="T49" s="32" t="n">
        <x:f>IF(O49="","",(1/'Metadata'!$B$5)^(O49-1))</x:f>
        <x:v>398.1071705534973</x:v>
      </x:c>
      <x:c r="U49" s="31" t="n">
        <x:f>IF(T49="","",I49*T49)</x:f>
        <x:v>16239.335049310104</x:v>
      </x:c>
    </x:row>
    <x:row r="50" ht="18" customHeight="1">
      <x:c r="A50" s="24" t="str">
        <x:v>EEZ_584</x:v>
      </x:c>
      <x:c r="B50" s="24" t="str">
        <x:v>Marshall Isl.</x:v>
      </x:c>
      <x:c r="C50" s="24" t="str">
        <x:v>EEZ</x:v>
      </x:c>
      <x:c r="D50" s="30" t="n">
        <x:v>2019</x:v>
      </x:c>
      <x:c r="E50" s="24" t="str">
        <x:v>Kyphosus bigibbus</x:v>
      </x:c>
      <x:c r="F50" s="24" t="str">
        <x:v>Brown chub</x:v>
      </x:c>
      <x:c r="G50" s="24" t="str">
        <x:v>Medium reef assoc. fish (30 - 89 cm)</x:v>
      </x:c>
      <x:c r="H50" s="24" t="str">
        <x:v>Perch-likes</x:v>
      </x:c>
      <x:c r="I50" s="31" t="n">
        <x:v>40.7913653671</x:v>
      </x:c>
      <x:c r="J50" s="31" t="n">
        <x:v>40.7913653671</x:v>
      </x:c>
      <x:c r="K50" s="31" t="n">
        <x:v>0</x:v>
      </x:c>
      <x:c r="L50" s="31" t="n">
        <x:v>28</x:v>
      </x:c>
      <x:c r="M50" s="31" t="n">
        <x:v>12.7913653671</x:v>
      </x:c>
      <x:c r="N50" s="24" t="str">
        <x:v>kyphosus bigibbus</x:v>
      </x:c>
      <x:c r="O50" s="32" t="n">
        <x:v>2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Kyphosus bigibbus</x:v>
      </x:c>
      <x:c r="T50" s="32" t="n">
        <x:f>IF(O50="","",(1/'Metadata'!$B$5)^(O50-1))</x:f>
        <x:v>10</x:v>
      </x:c>
      <x:c r="U50" s="31" t="n">
        <x:f>IF(T50="","",I50*T50)</x:f>
        <x:v>407.913653671</x:v>
      </x:c>
    </x:row>
    <x:row r="51" ht="18" customHeight="1">
      <x:c r="A51" s="24" t="str">
        <x:v>EEZ_584</x:v>
      </x:c>
      <x:c r="B51" s="24" t="str">
        <x:v>Marshall Isl.</x:v>
      </x:c>
      <x:c r="C51" s="24" t="str">
        <x:v>EEZ</x:v>
      </x:c>
      <x:c r="D51" s="30" t="n">
        <x:v>2019</x:v>
      </x:c>
      <x:c r="E51" s="24" t="str">
        <x:v>Kyphosus cinerascens</x:v>
      </x:c>
      <x:c r="F51" s="24" t="str">
        <x:v>Blue sea chub</x:v>
      </x:c>
      <x:c r="G51" s="24" t="str">
        <x:v>Medium reef assoc. fish (30 - 89 cm)</x:v>
      </x:c>
      <x:c r="H51" s="24" t="str">
        <x:v>Perch-likes</x:v>
      </x:c>
      <x:c r="I51" s="31" t="n">
        <x:v>40.7913653671</x:v>
      </x:c>
      <x:c r="J51" s="31" t="n">
        <x:v>40.7913653671</x:v>
      </x:c>
      <x:c r="K51" s="31" t="n">
        <x:v>0</x:v>
      </x:c>
      <x:c r="L51" s="31" t="n">
        <x:v>28</x:v>
      </x:c>
      <x:c r="M51" s="31" t="n">
        <x:v>12.7913653671</x:v>
      </x:c>
      <x:c r="N51" s="24" t="str">
        <x:v>kyphosus cinerascens</x:v>
      </x:c>
      <x:c r="O51" s="32" t="n">
        <x:v>2.85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Kyphosus cinerascens</x:v>
      </x:c>
      <x:c r="T51" s="32" t="n">
        <x:f>IF(O51="","",(1/'Metadata'!$B$5)^(O51-1))</x:f>
        <x:v>70.79457843841381</x:v>
      </x:c>
      <x:c r="U51" s="31" t="n">
        <x:f>IF(T51="","",I51*T51)</x:f>
        <x:v>2887.8075150911573</x:v>
      </x:c>
    </x:row>
    <x:row r="52" ht="18" customHeight="1">
      <x:c r="A52" s="24" t="str">
        <x:v>EEZ_584</x:v>
      </x:c>
      <x:c r="B52" s="24" t="str">
        <x:v>Marshall Isl.</x:v>
      </x:c>
      <x:c r="C52" s="24" t="str">
        <x:v>EEZ</x:v>
      </x:c>
      <x:c r="D52" s="30" t="n">
        <x:v>2019</x:v>
      </x:c>
      <x:c r="E52" s="24" t="str">
        <x:v>Parupeneus barberinus</x:v>
      </x:c>
      <x:c r="F52" s="24" t="str">
        <x:v>Dash-and-dot goatfish</x:v>
      </x:c>
      <x:c r="G52" s="24" t="str">
        <x:v>Medium reef assoc. fish (30 - 89 cm)</x:v>
      </x:c>
      <x:c r="H52" s="24" t="str">
        <x:v>Perch-likes</x:v>
      </x:c>
      <x:c r="I52" s="31" t="n">
        <x:v>40.7913653671</x:v>
      </x:c>
      <x:c r="J52" s="31" t="n">
        <x:v>40.7913653671</x:v>
      </x:c>
      <x:c r="K52" s="31" t="n">
        <x:v>0</x:v>
      </x:c>
      <x:c r="L52" s="31" t="n">
        <x:v>28</x:v>
      </x:c>
      <x:c r="M52" s="31" t="n">
        <x:v>12.7913653671</x:v>
      </x:c>
      <x:c r="N52" s="24" t="str">
        <x:v>parupeneus barberinus</x:v>
      </x:c>
      <x:c r="O52" s="32" t="n">
        <x:v>3.22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Parupeneus barberinus</x:v>
      </x:c>
      <x:c r="T52" s="32" t="n">
        <x:f>IF(O52="","",(1/'Metadata'!$B$5)^(O52-1))</x:f>
        <x:v>165.95869074375614</x:v>
      </x:c>
      <x:c r="U52" s="31" t="n">
        <x:f>IF(T52="","",I52*T52)</x:f>
        <x:v>6769.681589974113</x:v>
      </x:c>
    </x:row>
    <x:row r="53" ht="18" customHeight="1">
      <x:c r="A53" s="24" t="str">
        <x:v>EEZ_584</x:v>
      </x:c>
      <x:c r="B53" s="24" t="str">
        <x:v>Marshall Isl.</x:v>
      </x:c>
      <x:c r="C53" s="24" t="str">
        <x:v>EEZ</x:v>
      </x:c>
      <x:c r="D53" s="30" t="n">
        <x:v>2019</x:v>
      </x:c>
      <x:c r="E53" s="24" t="str">
        <x:v>Mullidae</x:v>
      </x:c>
      <x:c r="F53" s="24" t="str">
        <x:v>Goatfishes</x:v>
      </x:c>
      <x:c r="G53" s="24" t="str">
        <x:v>Medium reef assoc. fish (30 - 89 cm)</x:v>
      </x:c>
      <x:c r="H53" s="24" t="str">
        <x:v>Perch-likes</x:v>
      </x:c>
      <x:c r="I53" s="31" t="n">
        <x:v>31.429092293700002</x:v>
      </x:c>
      <x:c r="J53" s="31" t="n">
        <x:v>31.429092293700002</x:v>
      </x:c>
      <x:c r="K53" s="31" t="n">
        <x:v>0</x:v>
      </x:c>
      <x:c r="L53" s="31" t="n">
        <x:v>21.195999999999998</x:v>
      </x:c>
      <x:c r="M53" s="31" t="n">
        <x:v>10.2330922937</x:v>
      </x:c>
      <x:c r="N53" s="24" t="str">
        <x:v>mullidae</x:v>
      </x:c>
      <x:c r="O53" s="32" t="n">
        <x:v>3.46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Mullidae</x:v>
      </x:c>
      <x:c r="T53" s="32" t="n">
        <x:f>IF(O53="","",(1/'Metadata'!$B$5)^(O53-1))</x:f>
        <x:v>288.40315031266056</x:v>
      </x:c>
      <x:c r="U53" s="31" t="n">
        <x:f>IF(T53="","",I53*T53)</x:f>
        <x:v>9064.249228970442</x:v>
      </x:c>
    </x:row>
    <x:row r="54" ht="18" customHeight="1">
      <x:c r="A54" s="24" t="str">
        <x:v>EEZ_584</x:v>
      </x:c>
      <x:c r="B54" s="24" t="str">
        <x:v>Marshall Isl.</x:v>
      </x:c>
      <x:c r="C54" s="24" t="str">
        <x:v>EEZ</x:v>
      </x:c>
      <x:c r="D54" s="30" t="n">
        <x:v>2019</x:v>
      </x:c>
      <x:c r="E54" s="24" t="str">
        <x:v>Haemulidae</x:v>
      </x:c>
      <x:c r="F54" s="24" t="str">
        <x:v>Grunts, sweetlips, bonnetmouths</x:v>
      </x:c>
      <x:c r="G54" s="24" t="str">
        <x:v>Medium demersals (30 - 89 cm)</x:v>
      </x:c>
      <x:c r="H54" s="24" t="str">
        <x:v>Perch-likes</x:v>
      </x:c>
      <x:c r="I54" s="31" t="n">
        <x:v>31.261092293700003</x:v>
      </x:c>
      <x:c r="J54" s="31" t="n">
        <x:v>31.261092293700003</x:v>
      </x:c>
      <x:c r="K54" s="31" t="n">
        <x:v>0</x:v>
      </x:c>
      <x:c r="L54" s="31" t="n">
        <x:v>21.028</x:v>
      </x:c>
      <x:c r="M54" s="31" t="n">
        <x:v>10.2330922937</x:v>
      </x:c>
      <x:c r="N54" s="24" t="str">
        <x:v>haemulidae</x:v>
      </x:c>
      <x:c r="O54" s="32" t="n">
        <x:v>3.36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Haemulidae</x:v>
      </x:c>
      <x:c r="T54" s="32" t="n">
        <x:f>IF(O54="","",(1/'Metadata'!$B$5)^(O54-1))</x:f>
        <x:v>229.08676527677724</x:v>
      </x:c>
      <x:c r="U54" s="31" t="n">
        <x:f>IF(T54="","",I54*T54)</x:f>
        <x:v>7161.502512582522</x:v>
      </x:c>
    </x:row>
    <x:row r="55" ht="18" customHeight="1">
      <x:c r="A55" s="24" t="str">
        <x:v>EEZ_584</x:v>
      </x:c>
      <x:c r="B55" s="24" t="str">
        <x:v>Marshall Isl.</x:v>
      </x:c>
      <x:c r="C55" s="24" t="str">
        <x:v>EEZ</x:v>
      </x:c>
      <x:c r="D55" s="30" t="n">
        <x:v>2019</x:v>
      </x:c>
      <x:c r="E55" s="24" t="str">
        <x:v>Balistidae</x:v>
      </x:c>
      <x:c r="F55" s="24" t="str">
        <x:v>Triggerfishes</x:v>
      </x:c>
      <x:c r="G55" s="24" t="str">
        <x:v>Medium reef assoc. fish (30 - 89 cm)</x:v>
      </x:c>
      <x:c r="H55" s="24" t="str">
        <x:v>Other fishes &amp; inverts</x:v>
      </x:c>
      <x:c r="I55" s="31" t="n">
        <x:v>25.2308192203</x:v>
      </x:c>
      <x:c r="J55" s="31" t="n">
        <x:v>25.2308192203</x:v>
      </x:c>
      <x:c r="K55" s="31" t="n">
        <x:v>0</x:v>
      </x:c>
      <x:c r="L55" s="31" t="n">
        <x:v>17.556</x:v>
      </x:c>
      <x:c r="M55" s="31" t="n">
        <x:v>7.6748192203</x:v>
      </x:c>
      <x:c r="N55" s="24" t="str">
        <x:v>balistidae</x:v>
      </x:c>
      <x:c r="O55" s="32" t="n">
        <x:v>3.25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Balistidae</x:v>
      </x:c>
      <x:c r="T55" s="32" t="n">
        <x:f>IF(O55="","",(1/'Metadata'!$B$5)^(O55-1))</x:f>
        <x:v>177.82794100389228</x:v>
      </x:c>
      <x:c r="U55" s="31" t="n">
        <x:f>IF(T55="","",I55*T55)</x:f>
        <x:v>4486.744631787379</x:v>
      </x:c>
    </x:row>
    <x:row r="56" ht="18" customHeight="1">
      <x:c r="A56" s="24" t="str">
        <x:v>EEZ_584</x:v>
      </x:c>
      <x:c r="B56" s="24" t="str">
        <x:v>Marshall Isl.</x:v>
      </x:c>
      <x:c r="C56" s="24" t="str">
        <x:v>EEZ</x:v>
      </x:c>
      <x:c r="D56" s="30" t="n">
        <x:v>2019</x:v>
      </x:c>
      <x:c r="E56" s="24" t="str">
        <x:v>Labridae</x:v>
      </x:c>
      <x:c r="F56" s="24" t="str">
        <x:v>Wrasses, gropers, tuskfishes</x:v>
      </x:c>
      <x:c r="G56" s="24" t="str">
        <x:v>Medium reef assoc. fish (30 - 89 cm)</x:v>
      </x:c>
      <x:c r="H56" s="24" t="str">
        <x:v>Perch-likes</x:v>
      </x:c>
      <x:c r="I56" s="31" t="n">
        <x:v>17.4645461469</x:v>
      </x:c>
      <x:c r="J56" s="31" t="n">
        <x:v>17.4645461469</x:v>
      </x:c>
      <x:c r="K56" s="31" t="n">
        <x:v>0</x:v>
      </x:c>
      <x:c r="L56" s="31" t="n">
        <x:v>12.347999999999999</x:v>
      </x:c>
      <x:c r="M56" s="31" t="n">
        <x:v>5.1165461469</x:v>
      </x:c>
      <x:c r="N56" s="24" t="str">
        <x:v>labridae</x:v>
      </x:c>
      <x:c r="O56" s="32" t="n">
        <x:v>3.46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Labridae</x:v>
      </x:c>
      <x:c r="T56" s="32" t="n">
        <x:f>IF(O56="","",(1/'Metadata'!$B$5)^(O56-1))</x:f>
        <x:v>288.40315031266056</x:v>
      </x:c>
      <x:c r="U56" s="31" t="n">
        <x:f>IF(T56="","",I56*T56)</x:f>
        <x:v>5036.830127546797</x:v>
      </x:c>
    </x:row>
    <x:row r="57" ht="18" customHeight="1">
      <x:c r="A57" s="24" t="str">
        <x:v>EEZ_584</x:v>
      </x:c>
      <x:c r="B57" s="24" t="str">
        <x:v>Marshall Isl.</x:v>
      </x:c>
      <x:c r="C57" s="24" t="str">
        <x:v>EEZ</x:v>
      </x:c>
      <x:c r="D57" s="30" t="n">
        <x:v>2019</x:v>
      </x:c>
      <x:c r="E57" s="24" t="str">
        <x:v>Gerreidae</x:v>
      </x:c>
      <x:c r="F57" s="24" t="str">
        <x:v>Mojarras, silverbellies</x:v>
      </x:c>
      <x:c r="G57" s="24" t="str">
        <x:v>Small benthopelagics (&lt;30 cm)</x:v>
      </x:c>
      <x:c r="H57" s="24" t="str">
        <x:v>Perch-likes</x:v>
      </x:c>
      <x:c r="I57" s="31" t="n">
        <x:v>16.7365461469</x:v>
      </x:c>
      <x:c r="J57" s="31" t="n">
        <x:v>16.7365461469</x:v>
      </x:c>
      <x:c r="K57" s="31" t="n">
        <x:v>0</x:v>
      </x:c>
      <x:c r="L57" s="31" t="n">
        <x:v>11.620000000000001</x:v>
      </x:c>
      <x:c r="M57" s="31" t="n">
        <x:v>5.1165461469</x:v>
      </x:c>
      <x:c r="N57" s="24" t="str">
        <x:v>gerreidae</x:v>
      </x:c>
      <x:c r="O57" s="32" t="n">
        <x:v>3.03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Gerreidae</x:v>
      </x:c>
      <x:c r="T57" s="32" t="n">
        <x:f>IF(O57="","",(1/'Metadata'!$B$5)^(O57-1))</x:f>
        <x:v>107.1519305237606</x:v>
      </x:c>
      <x:c r="U57" s="31" t="n">
        <x:f>IF(T57="","",I57*T57)</x:f>
        <x:v>1793.3532299403419</x:v>
      </x:c>
    </x:row>
    <x:row r="58" ht="18" customHeight="1">
      <x:c r="A58" s="24" t="str">
        <x:v>EEZ_584</x:v>
      </x:c>
      <x:c r="B58" s="24" t="str">
        <x:v>Marshall Isl.</x:v>
      </x:c>
      <x:c r="C58" s="24" t="str">
        <x:v>EEZ</x:v>
      </x:c>
      <x:c r="D58" s="30" t="n">
        <x:v>2019</x:v>
      </x:c>
      <x:c r="E58" s="24" t="str">
        <x:v>Istiompax indica</x:v>
      </x:c>
      <x:c r="F58" s="24" t="str">
        <x:v>Black marlin</x:v>
      </x:c>
      <x:c r="G58" s="24" t="str">
        <x:v>Large pelagics (&gt;=90 cm)</x:v>
      </x:c>
      <x:c r="H58" s="24" t="str">
        <x:v>Tuna &amp; billfishes</x:v>
      </x:c>
      <x:c r="I58" s="31" t="n">
        <x:v>16.0526861401</x:v>
      </x:c>
      <x:c r="J58" s="31" t="n">
        <x:v>16.0526861401</x:v>
      </x:c>
      <x:c r="K58" s="31" t="n">
        <x:v>0</x:v>
      </x:c>
      <x:c r="L58" s="31" t="n">
        <x:v>16.0526861401</x:v>
      </x:c>
      <x:c r="M58" s="31" t="n">
        <x:v>0</x:v>
      </x:c>
      <x:c r="N58" s="24" t="str">
        <x:v>istiompax indica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Istiompax indica</x:v>
      </x:c>
      <x:c r="T58" s="32" t="n">
        <x:f>IF(O58="","",(1/'Metadata'!$B$5)^(O58-1))</x:f>
        <x:v>3162.2776601683795</x:v>
      </x:c>
      <x:c r="U58" s="31" t="n">
        <x:f>IF(T58="","",I58*T58)</x:f>
        <x:v>50763.050766532804</x:v>
      </x:c>
    </x:row>
    <x:row r="59" ht="18" customHeight="1">
      <x:c r="A59" s="24" t="str">
        <x:v>EEZ_584</x:v>
      </x:c>
      <x:c r="B59" s="24" t="str">
        <x:v>Marshall Isl.</x:v>
      </x:c>
      <x:c r="C59" s="24" t="str">
        <x:v>EEZ</x:v>
      </x:c>
      <x:c r="D59" s="30" t="n">
        <x:v>2019</x:v>
      </x:c>
      <x:c r="E59" s="24" t="str">
        <x:v>Actinopyga mauritiana</x:v>
      </x:c>
      <x:c r="F59" s="24" t="str">
        <x:v>Surf redfish</x:v>
      </x:c>
      <x:c r="G59" s="24" t="str">
        <x:v>Other demersal invertebrates</x:v>
      </x:c>
      <x:c r="H59" s="24" t="str">
        <x:v>Other fishes &amp; inverts</x:v>
      </x:c>
      <x:c r="I59" s="31" t="n">
        <x:v>11.8669031795</x:v>
      </x:c>
      <x:c r="J59" s="31" t="n">
        <x:v>11.8669031795</x:v>
      </x:c>
      <x:c r="K59" s="31" t="n">
        <x:v>0</x:v>
      </x:c>
      <x:c r="L59" s="31" t="n">
        <x:v>0</x:v>
      </x:c>
      <x:c r="M59" s="31" t="n">
        <x:v>11.8669031795</x:v>
      </x:c>
      <x:c r="N59" s="24" t="str">
        <x:v>actinopyga mauritiana</x:v>
      </x:c>
      <x:c r="O59" s="32" t="n">
        <x:v>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Actinopyga mauritiana</x:v>
      </x:c>
      <x:c r="T59" s="32" t="n">
        <x:f>IF(O59="","",(1/'Metadata'!$B$5)^(O59-1))</x:f>
        <x:v>10</x:v>
      </x:c>
      <x:c r="U59" s="31" t="n">
        <x:f>IF(T59="","",I59*T59)</x:f>
        <x:v>118.669031795</x:v>
      </x:c>
    </x:row>
    <x:row r="60" ht="18" customHeight="1">
      <x:c r="A60" s="24" t="str">
        <x:v>EEZ_584</x:v>
      </x:c>
      <x:c r="B60" s="24" t="str">
        <x:v>Marshall Isl.</x:v>
      </x:c>
      <x:c r="C60" s="24" t="str">
        <x:v>EEZ</x:v>
      </x:c>
      <x:c r="D60" s="30" t="n">
        <x:v>2019</x:v>
      </x:c>
      <x:c r="E60" s="24" t="str">
        <x:v>Kajikia audax</x:v>
      </x:c>
      <x:c r="F60" s="24" t="str">
        <x:v>Striped marlin</x:v>
      </x:c>
      <x:c r="G60" s="24" t="str">
        <x:v>Large pelagics (&gt;=90 cm)</x:v>
      </x:c>
      <x:c r="H60" s="24" t="str">
        <x:v>Tuna &amp; billfishes</x:v>
      </x:c>
      <x:c r="I60" s="31" t="n">
        <x:v>11.8408554322</x:v>
      </x:c>
      <x:c r="J60" s="31" t="n">
        <x:v>11.8408554322</x:v>
      </x:c>
      <x:c r="K60" s="31" t="n">
        <x:v>0</x:v>
      </x:c>
      <x:c r="L60" s="31" t="n">
        <x:v>11.8408554322</x:v>
      </x:c>
      <x:c r="M60" s="31" t="n">
        <x:v>0</x:v>
      </x:c>
      <x:c r="N60" s="24" t="str">
        <x:v>kajikia audax</x:v>
      </x:c>
      <x:c r="O60" s="32" t="n">
        <x:v>4.58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Kajikia audax</x:v>
      </x:c>
      <x:c r="T60" s="32" t="n">
        <x:f>IF(O60="","",(1/'Metadata'!$B$5)^(O60-1))</x:f>
        <x:v>3801.8939632056126</x:v>
      </x:c>
      <x:c r="U60" s="31" t="n">
        <x:f>IF(T60="","",I60*T60)</x:f>
        <x:v>45017.67678687156</x:v>
      </x:c>
    </x:row>
    <x:row r="61" ht="18" customHeight="1">
      <x:c r="A61" s="24" t="str">
        <x:v>EEZ_584</x:v>
      </x:c>
      <x:c r="B61" s="24" t="str">
        <x:v>Marshall Isl.</x:v>
      </x:c>
      <x:c r="C61" s="24" t="str">
        <x:v>EEZ</x:v>
      </x:c>
      <x:c r="D61" s="30" t="n">
        <x:v>2019</x:v>
      </x:c>
      <x:c r="E61" s="24" t="str">
        <x:v>Sphyrna</x:v>
      </x:c>
      <x:c r="F61" s="24" t="str">
        <x:v>Hammerhead sharks</x:v>
      </x:c>
      <x:c r="G61" s="24" t="str">
        <x:v>Large sharks (&gt;=90 cm)</x:v>
      </x:c>
      <x:c r="H61" s="24" t="str">
        <x:v>Sharks &amp; rays</x:v>
      </x:c>
      <x:c r="I61" s="31" t="n">
        <x:v>11.0972757629</x:v>
      </x:c>
      <x:c r="J61" s="31" t="n">
        <x:v>11.0972757629</x:v>
      </x:c>
      <x:c r="K61" s="31" t="n">
        <x:v>0</x:v>
      </x:c>
      <x:c r="L61" s="31" t="n">
        <x:v>11.0972757629</x:v>
      </x:c>
      <x:c r="M61" s="31" t="n">
        <x:v>0</x:v>
      </x:c>
      <x:c r="N61" s="24" t="str">
        <x:v>sphyrna</x:v>
      </x:c>
      <x:c r="O61" s="32" t="n">
        <x:v>4.2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Sphyrna</x:v>
      </x:c>
      <x:c r="T61" s="32" t="n">
        <x:f>IF(O61="","",(1/'Metadata'!$B$5)^(O61-1))</x:f>
        <x:v>1584.893192461114</x:v>
      </x:c>
      <x:c r="U61" s="31" t="n">
        <x:f>IF(T61="","",I61*T61)</x:f>
        <x:v>17587.99681148393</x:v>
      </x:c>
    </x:row>
    <x:row r="62" ht="18" customHeight="1">
      <x:c r="A62" s="24" t="str">
        <x:v>EEZ_584</x:v>
      </x:c>
      <x:c r="B62" s="24" t="str">
        <x:v>Marshall Isl.</x:v>
      </x:c>
      <x:c r="C62" s="24" t="str">
        <x:v>EEZ</x:v>
      </x:c>
      <x:c r="D62" s="30" t="n">
        <x:v>2019</x:v>
      </x:c>
      <x:c r="E62" s="24" t="str">
        <x:v>Stichopus</x:v>
      </x:c>
      <x:c r="F62" s="24" t="str">
        <x:v>Boxed sea cucumbers</x:v>
      </x:c>
      <x:c r="G62" s="24" t="str">
        <x:v>Other demersal invertebrates</x:v>
      </x:c>
      <x:c r="H62" s="24" t="str">
        <x:v>Other fishes &amp; inverts</x:v>
      </x:c>
      <x:c r="I62" s="31" t="n">
        <x:v>10.4707969231</x:v>
      </x:c>
      <x:c r="J62" s="31" t="n">
        <x:v>10.4707969231</x:v>
      </x:c>
      <x:c r="K62" s="31" t="n">
        <x:v>0</x:v>
      </x:c>
      <x:c r="L62" s="31" t="n">
        <x:v>0</x:v>
      </x:c>
      <x:c r="M62" s="31" t="n">
        <x:v>10.4707969231</x:v>
      </x:c>
      <x:c r="N62" s="24" t="str">
        <x:v>stichopus</x:v>
      </x:c>
      <x:c r="O62" s="32" t="n">
        <x:v>2.3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Stichopus</x:v>
      </x:c>
      <x:c r="T62" s="32" t="n">
        <x:f>IF(O62="","",(1/'Metadata'!$B$5)^(O62-1))</x:f>
        <x:v>19.952623149688787</x:v>
      </x:c>
      <x:c r="U62" s="31" t="n">
        <x:f>IF(T62="","",I62*T62)</x:f>
        <x:v>208.91986508353517</x:v>
      </x:c>
    </x:row>
    <x:row r="63" ht="18" customHeight="1">
      <x:c r="A63" s="24" t="str">
        <x:v>EEZ_584</x:v>
      </x:c>
      <x:c r="B63" s="24" t="str">
        <x:v>Marshall Isl.</x:v>
      </x:c>
      <x:c r="C63" s="24" t="str">
        <x:v>EEZ</x:v>
      </x:c>
      <x:c r="D63" s="30" t="n">
        <x:v>2019</x:v>
      </x:c>
      <x:c r="E63" s="24" t="str">
        <x:v>Trochus</x:v>
      </x:c>
      <x:c r="F63" s="24" t="str">
        <x:v>Trochus</x:v>
      </x:c>
      <x:c r="G63" s="24" t="str">
        <x:v>Other demersal invertebrates</x:v>
      </x:c>
      <x:c r="H63" s="24" t="str">
        <x:v>Molluscs</x:v>
      </x:c>
      <x:c r="I63" s="31" t="n">
        <x:v>7.1133292346</x:v>
      </x:c>
      <x:c r="J63" s="31" t="n">
        <x:v>7.1133292346</x:v>
      </x:c>
      <x:c r="K63" s="31" t="n">
        <x:v>0</x:v>
      </x:c>
      <x:c r="L63" s="31" t="n">
        <x:v>0</x:v>
      </x:c>
      <x:c r="M63" s="31" t="n">
        <x:v>7.1133292346</x:v>
      </x:c>
      <x:c r="N63" s="24" t="str">
        <x:v>trochus</x:v>
      </x:c>
      <x:c r="O63" s="32" t="n">
        <x:v>2.1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Trochus</x:v>
      </x:c>
      <x:c r="T63" s="32" t="n">
        <x:f>IF(O63="","",(1/'Metadata'!$B$5)^(O63-1))</x:f>
        <x:v>12.589254117941675</x:v>
      </x:c>
      <x:c r="U63" s="31" t="n">
        <x:f>IF(T63="","",I63*T63)</x:f>
        <x:v>89.55150935896295</x:v>
      </x:c>
    </x:row>
    <x:row r="64" ht="18" customHeight="1">
      <x:c r="A64" s="24" t="str">
        <x:v>EEZ_584</x:v>
      </x:c>
      <x:c r="B64" s="24" t="str">
        <x:v>Marshall Isl.</x:v>
      </x:c>
      <x:c r="C64" s="24" t="str">
        <x:v>EEZ</x:v>
      </x:c>
      <x:c r="D64" s="30" t="n">
        <x:v>2019</x:v>
      </x:c>
      <x:c r="E64" s="24" t="str">
        <x:v>Hemiramphidae</x:v>
      </x:c>
      <x:c r="F64" s="24" t="str">
        <x:v>Halfbeaks, garfishes</x:v>
      </x:c>
      <x:c r="G64" s="24" t="str">
        <x:v>Medium pelagics (30 - 89 cm)</x:v>
      </x:c>
      <x:c r="H64" s="24" t="str">
        <x:v>Other fishes &amp; inverts</x:v>
      </x:c>
      <x:c r="I64" s="31" t="n">
        <x:v>5.311136536699999</x:v>
      </x:c>
      <x:c r="J64" s="31" t="n">
        <x:v>5.311136536699999</x:v>
      </x:c>
      <x:c r="K64" s="31" t="n">
        <x:v>0</x:v>
      </x:c>
      <x:c r="L64" s="31" t="n">
        <x:v>4.032</x:v>
      </x:c>
      <x:c r="M64" s="31" t="n">
        <x:v>1.2791365367</x:v>
      </x:c>
      <x:c r="N64" s="24" t="str">
        <x:v>hemiramphidae</x:v>
      </x:c>
      <x:c r="O64" s="32" t="n">
        <x:v>2.82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Hemiramphidae</x:v>
      </x:c>
      <x:c r="T64" s="32" t="n">
        <x:f>IF(O64="","",(1/'Metadata'!$B$5)^(O64-1))</x:f>
        <x:v>66.06934480075958</x:v>
      </x:c>
      <x:c r="U64" s="31" t="n">
        <x:f>IF(T64="","",I64*T64)</x:f>
        <x:v>350.9033111271444</x:v>
      </x:c>
    </x:row>
    <x:row r="65" ht="18" customHeight="1">
      <x:c r="A65" s="24" t="str">
        <x:v>EEZ_584</x:v>
      </x:c>
      <x:c r="B65" s="24" t="str">
        <x:v>Marshall Isl.</x:v>
      </x:c>
      <x:c r="C65" s="24" t="str">
        <x:v>EEZ</x:v>
      </x:c>
      <x:c r="D65" s="30" t="n">
        <x:v>2019</x:v>
      </x:c>
      <x:c r="E65" s="24" t="str">
        <x:v>Thelenota ananas</x:v>
      </x:c>
      <x:c r="F65" s="24" t="str">
        <x:v>Prickly redfish</x:v>
      </x:c>
      <x:c r="G65" s="24" t="str">
        <x:v>Other demersal invertebrates</x:v>
      </x:c>
      <x:c r="H65" s="24" t="str">
        <x:v>Other fishes &amp; inverts</x:v>
      </x:c>
      <x:c r="I65" s="31" t="n">
        <x:v>5.2353984616</x:v>
      </x:c>
      <x:c r="J65" s="31" t="n">
        <x:v>5.2353984616</x:v>
      </x:c>
      <x:c r="K65" s="31" t="n">
        <x:v>0</x:v>
      </x:c>
      <x:c r="L65" s="31" t="n">
        <x:v>0</x:v>
      </x:c>
      <x:c r="M65" s="31" t="n">
        <x:v>5.2353984616</x:v>
      </x:c>
      <x:c r="N65" s="24" t="str">
        <x:v>thelenota ananas</x:v>
      </x:c>
      <x:c r="O65" s="32" t="n">
        <x:v>2.3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Thelenota ananas</x:v>
      </x:c>
      <x:c r="T65" s="32" t="n">
        <x:f>IF(O65="","",(1/'Metadata'!$B$5)^(O65-1))</x:f>
        <x:v>19.952623149688787</x:v>
      </x:c>
      <x:c r="U65" s="31" t="n">
        <x:f>IF(T65="","",I65*T65)</x:f>
        <x:v>104.45993254276522</x:v>
      </x:c>
    </x:row>
    <x:row r="66" ht="18" customHeight="1">
      <x:c r="A66" s="24" t="str">
        <x:v>EEZ_584</x:v>
      </x:c>
      <x:c r="B66" s="24" t="str">
        <x:v>Marshall Isl.</x:v>
      </x:c>
      <x:c r="C66" s="24" t="str">
        <x:v>EEZ</x:v>
      </x:c>
      <x:c r="D66" s="30" t="n">
        <x:v>2019</x:v>
      </x:c>
      <x:c r="E66" s="24" t="str">
        <x:v>Chanos chanos</x:v>
      </x:c>
      <x:c r="F66" s="24" t="str">
        <x:v>Milkfish</x:v>
      </x:c>
      <x:c r="G66" s="24" t="str">
        <x:v>Large benthopelagics (&gt;=90 cm)</x:v>
      </x:c>
      <x:c r="H66" s="24" t="str">
        <x:v>Other fishes &amp; inverts</x:v>
      </x:c>
      <x:c r="I66" s="31" t="n">
        <x:v>4.8351365367</x:v>
      </x:c>
      <x:c r="J66" s="31" t="n">
        <x:v>4.8351365367</x:v>
      </x:c>
      <x:c r="K66" s="31" t="n">
        <x:v>0</x:v>
      </x:c>
      <x:c r="L66" s="31" t="n">
        <x:v>3.556</x:v>
      </x:c>
      <x:c r="M66" s="31" t="n">
        <x:v>1.2791365367</x:v>
      </x:c>
      <x:c r="N66" s="24" t="str">
        <x:v>chanos chanos</x:v>
      </x:c>
      <x:c r="O66" s="32" t="n">
        <x:v>2.03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Chanos chanos</x:v>
      </x:c>
      <x:c r="T66" s="32" t="n">
        <x:f>IF(O66="","",(1/'Metadata'!$B$5)^(O66-1))</x:f>
        <x:v>10.71519305237606</x:v>
      </x:c>
      <x:c r="U66" s="31" t="n">
        <x:f>IF(T66="","",I66*T66)</x:f>
        <x:v>51.80942142533749</x:v>
      </x:c>
    </x:row>
    <x:row r="67" ht="18" customHeight="1">
      <x:c r="A67" s="24" t="str">
        <x:v>EEZ_584</x:v>
      </x:c>
      <x:c r="B67" s="24" t="str">
        <x:v>Marshall Isl.</x:v>
      </x:c>
      <x:c r="C67" s="24" t="str">
        <x:v>EEZ</x:v>
      </x:c>
      <x:c r="D67" s="30" t="n">
        <x:v>2019</x:v>
      </x:c>
      <x:c r="E67" s="24" t="str">
        <x:v>Thelenota anax</x:v>
      </x:c>
      <x:c r="F67" s="24" t="str">
        <x:v>Amber fish</x:v>
      </x:c>
      <x:c r="G67" s="24" t="str">
        <x:v>Other demersal invertebrates</x:v>
      </x:c>
      <x:c r="H67" s="24" t="str">
        <x:v>Other fishes &amp; inverts</x:v>
      </x:c>
      <x:c r="I67" s="31" t="n">
        <x:v>2.4431859487</x:v>
      </x:c>
      <x:c r="J67" s="31" t="n">
        <x:v>2.4431859487</x:v>
      </x:c>
      <x:c r="K67" s="31" t="n">
        <x:v>0</x:v>
      </x:c>
      <x:c r="L67" s="31" t="n">
        <x:v>0</x:v>
      </x:c>
      <x:c r="M67" s="31" t="n">
        <x:v>2.4431859487</x:v>
      </x:c>
      <x:c r="N67" s="24" t="str">
        <x:v>thelenota anax</x:v>
      </x:c>
      <x:c r="O67" s="32" t="n">
        <x:v>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Thelenota anax</x:v>
      </x:c>
      <x:c r="T67" s="32" t="n">
        <x:f>IF(O67="","",(1/'Metadata'!$B$5)^(O67-1))</x:f>
        <x:v>10</x:v>
      </x:c>
      <x:c r="U67" s="31" t="n">
        <x:f>IF(T67="","",I67*T67)</x:f>
        <x:v>24.431859487</x:v>
      </x:c>
    </x:row>
    <x:row r="68" ht="18" customHeight="1">
      <x:c r="A68" s="24" t="str">
        <x:v>EEZ_584</x:v>
      </x:c>
      <x:c r="B68" s="24" t="str">
        <x:v>Marshall Isl.</x:v>
      </x:c>
      <x:c r="C68" s="24" t="str">
        <x:v>EEZ</x:v>
      </x:c>
      <x:c r="D68" s="30" t="n">
        <x:v>2019</x:v>
      </x:c>
      <x:c r="E68" s="24" t="str">
        <x:v>Holothuria fuscopunctata</x:v>
      </x:c>
      <x:c r="F68" s="24" t="str">
        <x:v>Elephant trunkfish</x:v>
      </x:c>
      <x:c r="G68" s="24" t="str">
        <x:v>Other demersal invertebrates</x:v>
      </x:c>
      <x:c r="H68" s="24" t="str">
        <x:v>Other fishes &amp; inverts</x:v>
      </x:c>
      <x:c r="I68" s="31" t="n">
        <x:v>2.4431859487</x:v>
      </x:c>
      <x:c r="J68" s="31" t="n">
        <x:v>2.4431859487</x:v>
      </x:c>
      <x:c r="K68" s="31" t="n">
        <x:v>0</x:v>
      </x:c>
      <x:c r="L68" s="31" t="n">
        <x:v>0</x:v>
      </x:c>
      <x:c r="M68" s="31" t="n">
        <x:v>2.4431859487</x:v>
      </x:c>
      <x:c r="N68" s="24" t="str">
        <x:v>holothuria fuscopunctata</x:v>
      </x:c>
      <x:c r="O68" s="32" t="n">
        <x:v>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Holothuria fuscopunctata</x:v>
      </x:c>
      <x:c r="T68" s="32" t="n">
        <x:f>IF(O68="","",(1/'Metadata'!$B$5)^(O68-1))</x:f>
        <x:v>10</x:v>
      </x:c>
      <x:c r="U68" s="31" t="n">
        <x:f>IF(T68="","",I68*T68)</x:f>
        <x:v>24.431859487</x:v>
      </x:c>
    </x:row>
    <x:row r="69" ht="18" customHeight="1">
      <x:c r="A69" s="24" t="str">
        <x:v>EEZ_584</x:v>
      </x:c>
      <x:c r="B69" s="24" t="str">
        <x:v>Marshall Isl.</x:v>
      </x:c>
      <x:c r="C69" s="24" t="str">
        <x:v>EEZ</x:v>
      </x:c>
      <x:c r="D69" s="30" t="n">
        <x:v>2019</x:v>
      </x:c>
      <x:c r="E69" s="24" t="str">
        <x:v>Isurus oxyrinchus</x:v>
      </x:c>
      <x:c r="F69" s="24" t="str">
        <x:v>Shortfin mako</x:v>
      </x:c>
      <x:c r="G69" s="24" t="str">
        <x:v>Large sharks (&gt;=90 cm)</x:v>
      </x:c>
      <x:c r="H69" s="24" t="str">
        <x:v>Sharks &amp; rays</x:v>
      </x:c>
      <x:c r="I69" s="31" t="n">
        <x:v>1.1026966779</x:v>
      </x:c>
      <x:c r="J69" s="31" t="n">
        <x:v>1.1026966779</x:v>
      </x:c>
      <x:c r="K69" s="31" t="n">
        <x:v>0</x:v>
      </x:c>
      <x:c r="L69" s="31" t="n">
        <x:v>1.1026966779</x:v>
      </x:c>
      <x:c r="M69" s="31" t="n">
        <x:v>0</x:v>
      </x:c>
      <x:c r="N69" s="24" t="str">
        <x:v>isurus oxyrinchus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Isurus oxyrinchus</x:v>
      </x:c>
      <x:c r="T69" s="32" t="n">
        <x:f>IF(O69="","",(1/'Metadata'!$B$5)^(O69-1))</x:f>
        <x:v>3162.2776601683795</x:v>
      </x:c>
      <x:c r="U69" s="31" t="n">
        <x:f>IF(T69="","",I69*T69)</x:f>
        <x:v>3487.0330704650573</x:v>
      </x:c>
    </x:row>
    <x:row r="70" ht="18" customHeight="1">
      <x:c r="A70" s="24" t="str">
        <x:v>EEZ_584</x:v>
      </x:c>
      <x:c r="B70" s="24" t="str">
        <x:v>Marshall Isl.</x:v>
      </x:c>
      <x:c r="C70" s="24" t="str">
        <x:v>EEZ</x:v>
      </x:c>
      <x:c r="D70" s="30" t="n">
        <x:v>2019</x:v>
      </x:c>
      <x:c r="E70" s="24" t="str">
        <x:v>Terapontidae</x:v>
      </x:c>
      <x:c r="F70" s="24" t="str">
        <x:v>Grunters, tigerperches</x:v>
      </x:c>
      <x:c r="G70" s="24" t="str">
        <x:v>Medium demersals (30 - 89 cm)</x:v>
      </x:c>
      <x:c r="H70" s="24" t="str">
        <x:v>Perch-likes</x:v>
      </x:c>
      <x:c r="I70" s="31" t="n">
        <x:v>0.7</x:v>
      </x:c>
      <x:c r="J70" s="31" t="n">
        <x:v>0.7</x:v>
      </x:c>
      <x:c r="K70" s="31" t="n">
        <x:v>0</x:v>
      </x:c>
      <x:c r="L70" s="31" t="n">
        <x:v>0.7</x:v>
      </x:c>
      <x:c r="M70" s="31" t="n">
        <x:v>0</x:v>
      </x:c>
      <x:c r="N70" s="24" t="str">
        <x:v>terapontidae</x:v>
      </x:c>
      <x:c r="O70" s="32" t="n">
        <x:v>3.64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Terapontidae</x:v>
      </x:c>
      <x:c r="T70" s="32" t="n">
        <x:f>IF(O70="","",(1/'Metadata'!$B$5)^(O70-1))</x:f>
        <x:v>436.5158322401661</x:v>
      </x:c>
      <x:c r="U70" s="31" t="n">
        <x:f>IF(T70="","",I70*T70)</x:f>
        <x:v>305.56108256811626</x:v>
      </x:c>
    </x:row>
  </x:sheetData>
  <x:conditionalFormatting sqref="R2:R7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345868cac6144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Molluscs</x:v>
      </x:c>
      <x:c r="B2" s="33" t="n">
        <x:v>5</x:v>
      </x:c>
      <x:c r="C2" s="33" t="n">
        <x:v>5</x:v>
      </x:c>
      <x:c r="D2" s="31" t="n">
        <x:v>455.81834827309996</x:v>
      </x:c>
      <x:c r="E2" s="31" t="n">
        <x:v>455.81834827309996</x:v>
      </x:c>
      <x:c r="F2" s="32" t="n">
        <x:v>0</x:v>
      </x:c>
      <x:c r="G2" s="34" t="n">
        <x:v>1</x:v>
      </x:c>
      <x:c r="H2" s="32" t="n">
        <x:f>IF(E2=0,"",I2/E2)</x:f>
        <x:v>12.697519203280109</x:v>
      </x:c>
      <x:c r="I2" s="31" t="n">
        <x:f>IF(C2=0,"",SUMIF('Species'!$H$2:$H$70,A2,'Species'!$U$2:$U$70))</x:f>
        <x:v>5787.762230405107</x:v>
      </x:c>
      <x:c r="J2" s="32" t="n">
        <x:v>2.1008949039792135</x:v>
      </x:c>
      <x:c r="K2" s="32" t="n">
        <x:f>IF(J2="","",(1/'Metadata'!$B$5)^(J2-1))</x:f>
        <x:v>12.615222186957201</x:v>
      </x:c>
      <x:c r="L2" s="31" t="n">
        <x:f>IF(E2=0,"",E2*K2)</x:f>
        <x:v>5750.249740356995</x:v>
      </x:c>
      <x:c r="M2" s="31" t="n">
        <x:f>IF(E2=0,"",I2-L2)</x:f>
        <x:v>37.51249004811234</x:v>
      </x:c>
      <x:c r="N2" s="32" t="n">
        <x:f>IF(L2=0,"",I2/L2)</x:f>
        <x:v>1.0065236279712928</x:v>
      </x:c>
      <x:c r="O2" s="34" t="n">
        <x:f>IF(L2=0,"",M2/L2)</x:f>
        <x:v>0.00652362797129285</x:v>
      </x:c>
    </x:row>
    <x:row r="3" ht="18" customHeight="1">
      <x:c r="A3" s="24" t="str">
        <x:v>Other fishes &amp; inverts</x:v>
      </x:c>
      <x:c r="B3" s="33" t="n">
        <x:v>13</x:v>
      </x:c>
      <x:c r="C3" s="33" t="n">
        <x:v>13</x:v>
      </x:c>
      <x:c r="D3" s="31" t="n">
        <x:v>3245.533862986</x:v>
      </x:c>
      <x:c r="E3" s="31" t="n">
        <x:v>3245.533862986</x:v>
      </x:c>
      <x:c r="F3" s="32" t="n">
        <x:v>0</x:v>
      </x:c>
      <x:c r="G3" s="34" t="n">
        <x:v>1</x:v>
      </x:c>
      <x:c r="H3" s="32" t="n">
        <x:f>IF(E3=0,"",I3/E3)</x:f>
        <x:v>218.38145007661424</x:v>
      </x:c>
      <x:c r="I3" s="31" t="n">
        <x:f>IF(C3=0,"",SUMIF('Species'!$H$2:$H$70,A3,'Species'!$U$2:$U$70))</x:f>
        <x:v>708764.3912716381</x:v>
      </x:c>
      <x:c r="J3" s="32" t="n">
        <x:v>3.2707696428249498</x:v>
      </x:c>
      <x:c r="K3" s="32" t="n">
        <x:f>IF(J3="","",(1/'Metadata'!$B$5)^(J3-1))</x:f>
        <x:v>186.53899938224328</x:v>
      </x:c>
      <x:c r="L3" s="31" t="n">
        <x:f>IF(E3=0,"",E3*K3)</x:f>
        <x:v>605418.6392625951</x:v>
      </x:c>
      <x:c r="M3" s="31" t="n">
        <x:f>IF(E3=0,"",I3-L3)</x:f>
        <x:v>103345.752009043</x:v>
      </x:c>
      <x:c r="N3" s="32" t="n">
        <x:f>IF(L3=0,"",I3/L3)</x:f>
        <x:v>1.170701305356107</x:v>
      </x:c>
      <x:c r="O3" s="34" t="n">
        <x:f>IF(L3=0,"",M3/L3)</x:f>
        <x:v>0.17070130535610695</x:v>
      </x:c>
    </x:row>
    <x:row r="4" ht="18" customHeight="1">
      <x:c r="A4" s="24" t="str">
        <x:v>Perch-likes</x:v>
      </x:c>
      <x:c r="B4" s="33" t="n">
        <x:v>33</x:v>
      </x:c>
      <x:c r="C4" s="33" t="n">
        <x:v>33</x:v>
      </x:c>
      <x:c r="D4" s="31" t="n">
        <x:v>3754.8130506316998</x:v>
      </x:c>
      <x:c r="E4" s="31" t="n">
        <x:v>3754.8130506316998</x:v>
      </x:c>
      <x:c r="F4" s="32" t="n">
        <x:v>0</x:v>
      </x:c>
      <x:c r="G4" s="34" t="n">
        <x:v>1</x:v>
      </x:c>
      <x:c r="H4" s="32" t="n">
        <x:f>IF(E4=0,"",I4/E4)</x:f>
        <x:v>978.1056805362779</x:v>
      </x:c>
      <x:c r="I4" s="31" t="n">
        <x:f>IF(C4=0,"",SUMIF('Species'!$H$2:$H$70,A4,'Species'!$U$2:$U$70))</x:f>
        <x:v>3672603.9741746164</x:v>
      </x:c>
      <x:c r="J4" s="32" t="n">
        <x:v>3.5452781984282646</x:v>
      </x:c>
      <x:c r="K4" s="32" t="n">
        <x:f>IF(J4="","",(1/'Metadata'!$B$5)^(J4-1))</x:f>
        <x:v>350.97662900708866</x:v>
      </x:c>
      <x:c r="L4" s="31" t="n">
        <x:f>IF(E4=0,"",E4*K4)</x:f>
        <x:v>1317851.627062537</x:v>
      </x:c>
      <x:c r="M4" s="31" t="n">
        <x:f>IF(E4=0,"",I4-L4)</x:f>
        <x:v>2354752.347112079</x:v>
      </x:c>
      <x:c r="N4" s="32" t="n">
        <x:f>IF(L4=0,"",I4/L4)</x:f>
        <x:v>2.786811427596574</x:v>
      </x:c>
      <x:c r="O4" s="34" t="n">
        <x:f>IF(L4=0,"",M4/L4)</x:f>
        <x:v>1.7868114275965736</x:v>
      </x:c>
    </x:row>
    <x:row r="5" ht="18" customHeight="1">
      <x:c r="A5" s="24" t="str">
        <x:v>Sharks &amp; rays</x:v>
      </x:c>
      <x:c r="B5" s="33" t="n">
        <x:v>9</x:v>
      </x:c>
      <x:c r="C5" s="33" t="n">
        <x:v>9</x:v>
      </x:c>
      <x:c r="D5" s="31" t="n">
        <x:v>6154.1132630237</x:v>
      </x:c>
      <x:c r="E5" s="31" t="n">
        <x:v>6154.1132630237</x:v>
      </x:c>
      <x:c r="F5" s="32" t="n">
        <x:v>0</x:v>
      </x:c>
      <x:c r="G5" s="34" t="n">
        <x:v>1</x:v>
      </x:c>
      <x:c r="H5" s="32" t="n">
        <x:f>IF(E5=0,"",I5/E5)</x:f>
        <x:v>2243.040606998012</x:v>
      </x:c>
      <x:c r="I5" s="31" t="n">
        <x:f>IF(C5=0,"",SUMIF('Species'!$H$2:$H$70,A5,'Species'!$U$2:$U$70))</x:f>
        <x:v>13803925.949027197</x:v>
      </x:c>
      <x:c r="J5" s="32" t="n">
        <x:v>4.333890448479481</x:v>
      </x:c>
      <x:c r="K5" s="32" t="n">
        <x:f>IF(J5="","",(1/'Metadata'!$B$5)^(J5-1))</x:f>
        <x:v>2157.200183105334</x:v>
      </x:c>
      <x:c r="L5" s="31" t="n">
        <x:f>IF(E5=0,"",E5*K5)</x:f>
        <x:v>13275654.257845689</x:v>
      </x:c>
      <x:c r="M5" s="31" t="n">
        <x:f>IF(E5=0,"",I5-L5)</x:f>
        <x:v>528271.6911815088</x:v>
      </x:c>
      <x:c r="N5" s="32" t="n">
        <x:f>IF(L5=0,"",I5/L5)</x:f>
        <x:v>1.039792516505867</x:v>
      </x:c>
      <x:c r="O5" s="34" t="n">
        <x:f>IF(L5=0,"",M5/L5)</x:f>
        <x:v>0.03979251650586706</x:v>
      </x:c>
    </x:row>
    <x:row r="6" ht="18" customHeight="1">
      <x:c r="A6" s="24" t="str">
        <x:v>Tuna &amp; billfishes</x:v>
      </x:c>
      <x:c r="B6" s="33" t="n">
        <x:v>9</x:v>
      </x:c>
      <x:c r="C6" s="33" t="n">
        <x:v>9</x:v>
      </x:c>
      <x:c r="D6" s="31" t="n">
        <x:v>42730.6663078323</x:v>
      </x:c>
      <x:c r="E6" s="31" t="n">
        <x:v>42730.6663078323</x:v>
      </x:c>
      <x:c r="F6" s="32" t="n">
        <x:v>0</x:v>
      </x:c>
      <x:c r="G6" s="34" t="n">
        <x:v>1</x:v>
      </x:c>
      <x:c r="H6" s="32" t="n">
        <x:f>IF(E6=0,"",I6/E6)</x:f>
        <x:v>2694.9520461603156</x:v>
      </x:c>
      <x:c r="I6" s="31" t="n">
        <x:f>IF(C6=0,"",SUMIF('Species'!$H$2:$H$70,A6,'Species'!$U$2:$U$70))</x:f>
        <x:v>115157096.60008633</x:v>
      </x:c>
      <x:c r="J6" s="32" t="n">
        <x:v>4.4288706902108235</x:v>
      </x:c>
      <x:c r="K6" s="32" t="n">
        <x:f>IF(J6="","",(1/'Metadata'!$B$5)^(J6-1))</x:f>
        <x:v>2684.5450119821967</x:v>
      </x:c>
      <x:c r="L6" s="31" t="n">
        <x:f>IF(E6=0,"",E6*K6)</x:f>
        <x:v>114712397.09536693</x:v>
      </x:c>
      <x:c r="M6" s="31" t="n">
        <x:f>IF(E6=0,"",I6-L6)</x:f>
        <x:v>444699.50471940637</x:v>
      </x:c>
      <x:c r="N6" s="32" t="n">
        <x:f>IF(L6=0,"",I6/L6)</x:f>
        <x:v>1.0038766473021195</x:v>
      </x:c>
      <x:c r="O6" s="34" t="n">
        <x:f>IF(L6=0,"",M6/L6)</x:f>
        <x:v>0.003876647302119425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d2841294ae144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203.9568268356</x:v>
      </x:c>
      <x:c r="E2" s="31" t="n">
        <x:v>203.9568268356</x:v>
      </x:c>
      <x:c r="F2" s="32" t="n">
        <x:v>0</x:v>
      </x:c>
      <x:c r="G2" s="34" t="n">
        <x:v>1</x:v>
      </x:c>
      <x:c r="H2" s="32" t="n">
        <x:f>IF(E2=0,"",I2/E2)</x:f>
        <x:v>630.957344480193</x:v>
      </x:c>
      <x:c r="I2" s="31" t="n">
        <x:f>IF(C2=0,"",SUMIF('Species'!$G$2:$G$70,A2,'Species'!$U$2:$U$70))</x:f>
        <x:v>128688.05784879674</x:v>
      </x:c>
      <x:c r="J2" s="32" t="n">
        <x:v>3.8</x:v>
      </x:c>
      <x:c r="K2" s="32" t="n">
        <x:f>IF(J2="","",(1/'Metadata'!$B$5)^(J2-1))</x:f>
        <x:v>630.957344480193</x:v>
      </x:c>
      <x:c r="L2" s="31" t="n">
        <x:f>IF(E2=0,"",E2*K2)</x:f>
        <x:v>128688.05784879674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4.8351365367</x:v>
      </x:c>
      <x:c r="E3" s="31" t="n">
        <x:v>4.8351365367</x:v>
      </x:c>
      <x:c r="F3" s="32" t="n">
        <x:v>0</x:v>
      </x:c>
      <x:c r="G3" s="34" t="n">
        <x:v>1</x:v>
      </x:c>
      <x:c r="H3" s="32" t="n">
        <x:f>IF(E3=0,"",I3/E3)</x:f>
        <x:v>10.71519305237606</x:v>
      </x:c>
      <x:c r="I3" s="31" t="n">
        <x:f>IF(C3=0,"",SUMIF('Species'!$G$2:$G$70,A3,'Species'!$U$2:$U$70))</x:f>
        <x:v>51.80942142533749</x:v>
      </x:c>
      <x:c r="J3" s="32" t="n">
        <x:v>2.03</x:v>
      </x:c>
      <x:c r="K3" s="32" t="n">
        <x:f>IF(J3="","",(1/'Metadata'!$B$5)^(J3-1))</x:f>
        <x:v>10.71519305237606</x:v>
      </x:c>
      <x:c r="L3" s="31" t="n">
        <x:f>IF(E3=0,"",E3*K3)</x:f>
        <x:v>51.80942142533749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12</x:v>
      </x:c>
      <x:c r="C4" s="33" t="n">
        <x:v>12</x:v>
      </x:c>
      <x:c r="D4" s="31" t="n">
        <x:v>43282.366642950896</x:v>
      </x:c>
      <x:c r="E4" s="31" t="n">
        <x:v>43282.366642950896</x:v>
      </x:c>
      <x:c r="F4" s="32" t="n">
        <x:v>0</x:v>
      </x:c>
      <x:c r="G4" s="34" t="n">
        <x:v>1</x:v>
      </x:c>
      <x:c r="H4" s="32" t="n">
        <x:f>IF(E4=0,"",I4/E4)</x:f>
        <x:v>2688.4490801228458</x:v>
      </x:c>
      <x:c r="I4" s="31" t="n">
        <x:f>IF(C4=0,"",SUMIF('Species'!$G$2:$G$70,A4,'Species'!$U$2:$U$70))</x:f>
        <x:v>116362438.78678107</x:v>
      </x:c>
      <x:c r="J4" s="32" t="n">
        <x:v>4.427697202307196</x:v>
      </x:c>
      <x:c r="K4" s="32" t="n">
        <x:f>IF(J4="","",(1/'Metadata'!$B$5)^(J4-1))</x:f>
        <x:v>2677.3010129385807</x:v>
      </x:c>
      <x:c r="L4" s="31" t="n">
        <x:f>IF(E4=0,"",E4*K4)</x:f>
        <x:v>115879924.05555147</x:v>
      </x:c>
      <x:c r="M4" s="31" t="n">
        <x:f>IF(E4=0,"",I4-L4)</x:f>
        <x:v>482514.7312296033</x:v>
      </x:c>
      <x:c r="N4" s="32" t="n">
        <x:f>IF(L4=0,"",I4/L4)</x:f>
        <x:v>1.0041639199815</x:v>
      </x:c>
      <x:c r="O4" s="34" t="n">
        <x:f>IF(L4=0,"",M4/L4)</x:f>
        <x:v>0.004163919981499914</x:v>
      </x:c>
    </x:row>
    <x:row r="5" ht="18" customHeight="1">
      <x:c r="A5" s="24" t="str">
        <x:v>Large reef assoc. fish (&gt;=90 cm)</x:v>
      </x:c>
      <x:c r="B5" s="33" t="n">
        <x:v>1</x:v>
      </x:c>
      <x:c r="C5" s="33" t="n">
        <x:v>1</x:v>
      </x:c>
      <x:c r="D5" s="31" t="n">
        <x:v>81.5827307343</x:v>
      </x:c>
      <x:c r="E5" s="31" t="n">
        <x:v>81.5827307343</x:v>
      </x:c>
      <x:c r="F5" s="32" t="n">
        <x:v>0</x:v>
      </x:c>
      <x:c r="G5" s="34" t="n">
        <x:v>1</x:v>
      </x:c>
      <x:c r="H5" s="32" t="n">
        <x:f>IF(E5=0,"",I5/E5)</x:f>
        <x:v>1380.3842646028838</x:v>
      </x:c>
      <x:c r="I5" s="31" t="n">
        <x:f>IF(C5=0,"",SUMIF('Species'!$G$2:$G$70,A5,'Species'!$U$2:$U$70))</x:f>
        <x:v>112615.5177689618</x:v>
      </x:c>
      <x:c r="J5" s="32" t="n">
        <x:v>4.14</x:v>
      </x:c>
      <x:c r="K5" s="32" t="n">
        <x:f>IF(J5="","",(1/'Metadata'!$B$5)^(J5-1))</x:f>
        <x:v>1380.3842646028838</x:v>
      </x:c>
      <x:c r="L5" s="31" t="n">
        <x:f>IF(E5=0,"",E5*K5)</x:f>
        <x:v>112615.5177689618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sharks (&gt;=90 cm)</x:v>
      </x:c>
      <x:c r="B6" s="33" t="n">
        <x:v>9</x:v>
      </x:c>
      <x:c r="C6" s="33" t="n">
        <x:v>9</x:v>
      </x:c>
      <x:c r="D6" s="31" t="n">
        <x:v>6154.1132630237</x:v>
      </x:c>
      <x:c r="E6" s="31" t="n">
        <x:v>6154.1132630237</x:v>
      </x:c>
      <x:c r="F6" s="32" t="n">
        <x:v>0</x:v>
      </x:c>
      <x:c r="G6" s="34" t="n">
        <x:v>1</x:v>
      </x:c>
      <x:c r="H6" s="32" t="n">
        <x:f>IF(E6=0,"",I6/E6)</x:f>
        <x:v>2243.040606998012</x:v>
      </x:c>
      <x:c r="I6" s="31" t="n">
        <x:f>IF(C6=0,"",SUMIF('Species'!$G$2:$G$70,A6,'Species'!$U$2:$U$70))</x:f>
        <x:v>13803925.949027197</x:v>
      </x:c>
      <x:c r="J6" s="32" t="n">
        <x:v>4.333890448479481</x:v>
      </x:c>
      <x:c r="K6" s="32" t="n">
        <x:f>IF(J6="","",(1/'Metadata'!$B$5)^(J6-1))</x:f>
        <x:v>2157.200183105334</x:v>
      </x:c>
      <x:c r="L6" s="31" t="n">
        <x:f>IF(E6=0,"",E6*K6)</x:f>
        <x:v>13275654.257845689</x:v>
      </x:c>
      <x:c r="M6" s="31" t="n">
        <x:f>IF(E6=0,"",I6-L6)</x:f>
        <x:v>528271.6911815088</x:v>
      </x:c>
      <x:c r="N6" s="32" t="n">
        <x:f>IF(L6=0,"",I6/L6)</x:f>
        <x:v>1.039792516505867</x:v>
      </x:c>
      <x:c r="O6" s="34" t="n">
        <x:f>IF(L6=0,"",M6/L6)</x:f>
        <x:v>0.03979251650586706</x:v>
      </x:c>
    </x:row>
    <x:row r="7" ht="18" customHeight="1">
      <x:c r="A7" s="24" t="str">
        <x:v>Medium demersals (30 - 89 cm)</x:v>
      </x:c>
      <x:c r="B7" s="33" t="n">
        <x:v>3</x:v>
      </x:c>
      <x:c r="C7" s="33" t="n">
        <x:v>3</x:v>
      </x:c>
      <x:c r="D7" s="31" t="n">
        <x:v>1796.4286237352999</x:v>
      </x:c>
      <x:c r="E7" s="31" t="n">
        <x:v>1796.4286237352999</x:v>
      </x:c>
      <x:c r="F7" s="32" t="n">
        <x:v>0</x:v>
      </x:c>
      <x:c r="G7" s="34" t="n">
        <x:v>1</x:v>
      </x:c>
      <x:c r="H7" s="32" t="n">
        <x:f>IF(E7=0,"",I7/E7)</x:f>
        <x:v>191.3125943233389</x:v>
      </x:c>
      <x:c r="I7" s="31" t="n">
        <x:f>IF(C7=0,"",SUMIF('Species'!$G$2:$G$70,A7,'Species'!$U$2:$U$70))</x:f>
        <x:v>343679.4205235055</x:v>
      </x:c>
      <x:c r="J7" s="32" t="n">
        <x:v>3.2815324223557356</x:v>
      </x:c>
      <x:c r="K7" s="32" t="n">
        <x:f>IF(J7="","",(1/'Metadata'!$B$5)^(J7-1))</x:f>
        <x:v>191.21960747194387</x:v>
      </x:c>
      <x:c r="L7" s="31" t="n">
        <x:f>IF(E7=0,"",E7*K7)</x:f>
        <x:v>343512.3762820284</x:v>
      </x:c>
      <x:c r="M7" s="31" t="n">
        <x:f>IF(E7=0,"",I7-L7)</x:f>
        <x:v>167.04424147709506</x:v>
      </x:c>
      <x:c r="N7" s="32" t="n">
        <x:f>IF(L7=0,"",I7/L7)</x:f>
        <x:v>1.0004862830366843</x:v>
      </x:c>
      <x:c r="O7" s="34" t="n">
        <x:f>IF(L7=0,"",M7/L7)</x:f>
        <x:v>0.00048628303668438844</x:v>
      </x:c>
    </x:row>
    <x:row r="8" ht="18" customHeight="1">
      <x:c r="A8" s="24" t="str">
        <x:v>Medium pelagics (30 - 89 cm)</x:v>
      </x:c>
      <x:c r="B8" s="33" t="n">
        <x:v>4</x:v>
      </x:c>
      <x:c r="C8" s="33" t="n">
        <x:v>4</x:v>
      </x:c>
      <x:c r="D8" s="31" t="n">
        <x:v>1839.495366264</x:v>
      </x:c>
      <x:c r="E8" s="31" t="n">
        <x:v>1839.495366264</x:v>
      </x:c>
      <x:c r="F8" s="32" t="n">
        <x:v>0</x:v>
      </x:c>
      <x:c r="G8" s="34" t="n">
        <x:v>1</x:v>
      </x:c>
      <x:c r="H8" s="32" t="n">
        <x:f>IF(E8=0,"",I8/E8)</x:f>
        <x:v>918.6742991290888</x:v>
      </x:c>
      <x:c r="I8" s="31" t="n">
        <x:f>IF(C8=0,"",SUMIF('Species'!$G$2:$G$70,A8,'Species'!$U$2:$U$70))</x:f>
        <x:v>1689897.1163537868</x:v>
      </x:c>
      <x:c r="J8" s="32" t="n">
        <x:v>3.7731265124942204</x:v>
      </x:c>
      <x:c r="K8" s="32" t="n">
        <x:f>IF(J8="","",(1/'Metadata'!$B$5)^(J8-1))</x:f>
        <x:v>593.0980723160825</x:v>
      </x:c>
      <x:c r="L8" s="31" t="n">
        <x:f>IF(E8=0,"",E8*K8)</x:f>
        <x:v>1091001.1557655446</x:v>
      </x:c>
      <x:c r="M8" s="31" t="n">
        <x:f>IF(E8=0,"",I8-L8)</x:f>
        <x:v>598895.9605882422</x:v>
      </x:c>
      <x:c r="N8" s="32" t="n">
        <x:f>IF(L8=0,"",I8/L8)</x:f>
        <x:v>1.5489416371589477</x:v>
      </x:c>
      <x:c r="O8" s="34" t="n">
        <x:f>IF(L8=0,"",M8/L8)</x:f>
        <x:v>0.5489416371589477</x:v>
      </x:c>
    </x:row>
    <x:row r="9" ht="18" customHeight="1">
      <x:c r="A9" s="24" t="str">
        <x:v>Medium reef assoc. fish (30 - 89 cm)</x:v>
      </x:c>
      <x:c r="B9" s="33" t="n">
        <x:v>21</x:v>
      </x:c>
      <x:c r="C9" s="33" t="n">
        <x:v>21</x:v>
      </x:c>
      <x:c r="D9" s="31" t="n">
        <x:v>1879.4459434246003</x:v>
      </x:c>
      <x:c r="E9" s="31" t="n">
        <x:v>1879.4459434246003</x:v>
      </x:c>
      <x:c r="F9" s="32" t="n">
        <x:v>0</x:v>
      </x:c>
      <x:c r="G9" s="34" t="n">
        <x:v>1</x:v>
      </x:c>
      <x:c r="H9" s="32" t="n">
        <x:f>IF(E9=0,"",I9/E9)</x:f>
        <x:v>456.2273641174182</x:v>
      </x:c>
      <x:c r="I9" s="31" t="n">
        <x:f>IF(C9=0,"",SUMIF('Species'!$G$2:$G$70,A9,'Species'!$U$2:$U$70))</x:f>
        <x:v>857454.6687697796</x:v>
      </x:c>
      <x:c r="J9" s="32" t="n">
        <x:v>3.1702302781969327</x:v>
      </x:c>
      <x:c r="K9" s="32" t="n">
        <x:f>IF(J9="","",(1/'Metadata'!$B$5)^(J9-1))</x:f>
        <x:v>147.98928713785622</x:v>
      </x:c>
      <x:c r="L9" s="31" t="n">
        <x:f>IF(E9=0,"",E9*K9)</x:f>
        <x:v>278137.86538154224</x:v>
      </x:c>
      <x:c r="M9" s="31" t="n">
        <x:f>IF(E9=0,"",I9-L9)</x:f>
        <x:v>579316.8033882374</x:v>
      </x:c>
      <x:c r="N9" s="32" t="n">
        <x:f>IF(L9=0,"",I9/L9)</x:f>
        <x:v>3.0828404740704607</x:v>
      </x:c>
      <x:c r="O9" s="34" t="n">
        <x:f>IF(L9=0,"",M9/L9)</x:f>
        <x:v>2.0828404740704607</x:v>
      </x:c>
    </x:row>
    <x:row r="10" ht="18" customHeight="1">
      <x:c r="A10" s="24" t="str">
        <x:v>Other demersal invertebrates</x:v>
      </x:c>
      <x:c r="B10" s="33" t="n">
        <x:v>11</x:v>
      </x:c>
      <x:c r="C10" s="33" t="n">
        <x:v>11</x:v>
      </x:c>
      <x:c r="D10" s="31" t="n">
        <x:v>692.2346455703</x:v>
      </x:c>
      <x:c r="E10" s="31" t="n">
        <x:v>692.2346455703</x:v>
      </x:c>
      <x:c r="F10" s="32" t="n">
        <x:v>0</x:v>
      </x:c>
      <x:c r="G10" s="34" t="n">
        <x:v>1</x:v>
      </x:c>
      <x:c r="H10" s="32" t="n">
        <x:f>IF(E10=0,"",I10/E10)</x:f>
        <x:v>16.985922090591785</x:v>
      </x:c>
      <x:c r="I10" s="31" t="n">
        <x:f>IF(C10=0,"",SUMIF('Species'!$G$2:$G$70,A10,'Species'!$U$2:$U$70))</x:f>
        <x:v>11758.243758065535</x:v>
      </x:c>
      <x:c r="J10" s="32" t="n">
        <x:v>2.199936601730866</x:v>
      </x:c>
      <x:c r="K10" s="32" t="n">
        <x:f>IF(J10="","",(1/'Metadata'!$B$5)^(J10-1))</x:f>
        <x:v>15.846618467827444</x:v>
      </x:c>
      <x:c r="L10" s="31" t="n">
        <x:f>IF(E10=0,"",E10*K10)</x:f>
        <x:v>10969.578318564301</x:v>
      </x:c>
      <x:c r="M10" s="31" t="n">
        <x:f>IF(E10=0,"",I10-L10)</x:f>
        <x:v>788.6654395012338</x:v>
      </x:c>
      <x:c r="N10" s="32" t="n">
        <x:f>IF(L10=0,"",I10/L10)</x:f>
        <x:v>1.0718956933983999</x:v>
      </x:c>
      <x:c r="O10" s="34" t="n">
        <x:f>IF(L10=0,"",M10/L10)</x:f>
        <x:v>0.07189569339839987</x:v>
      </x:c>
    </x:row>
    <x:row r="11" ht="18" customHeight="1">
      <x:c r="A11" s="24" t="str">
        <x:v>Small benthopelagics (&lt;30 cm)</x:v>
      </x:c>
      <x:c r="B11" s="33" t="n">
        <x:v>1</x:v>
      </x:c>
      <x:c r="C11" s="33" t="n">
        <x:v>1</x:v>
      </x:c>
      <x:c r="D11" s="31" t="n">
        <x:v>16.7365461469</x:v>
      </x:c>
      <x:c r="E11" s="31" t="n">
        <x:v>16.7365461469</x:v>
      </x:c>
      <x:c r="F11" s="32" t="n">
        <x:v>0</x:v>
      </x:c>
      <x:c r="G11" s="34" t="n">
        <x:v>1</x:v>
      </x:c>
      <x:c r="H11" s="32" t="n">
        <x:f>IF(E11=0,"",I11/E11)</x:f>
        <x:v>107.1519305237606</x:v>
      </x:c>
      <x:c r="I11" s="31" t="n">
        <x:f>IF(C11=0,"",SUMIF('Species'!$G$2:$G$70,A11,'Species'!$U$2:$U$70))</x:f>
        <x:v>1793.3532299403419</x:v>
      </x:c>
      <x:c r="J11" s="32" t="n">
        <x:v>3.03</x:v>
      </x:c>
      <x:c r="K11" s="32" t="n">
        <x:f>IF(J11="","",(1/'Metadata'!$B$5)^(J11-1))</x:f>
        <x:v>107.1519305237606</x:v>
      </x:c>
      <x:c r="L11" s="31" t="n">
        <x:f>IF(E11=0,"",E11*K11)</x:f>
        <x:v>1793.3532299403419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reef assoc. fish (&lt;30 cm)</x:v>
      </x:c>
      <x:c r="B12" s="33" t="n">
        <x:v>5</x:v>
      </x:c>
      <x:c r="C12" s="33" t="n">
        <x:v>5</x:v>
      </x:c>
      <x:c r="D12" s="31" t="n">
        <x:v>389.7491075245</x:v>
      </x:c>
      <x:c r="E12" s="31" t="n">
        <x:v>389.7491075245</x:v>
      </x:c>
      <x:c r="F12" s="32" t="n">
        <x:v>0</x:v>
      </x:c>
      <x:c r="G12" s="34" t="n">
        <x:v>1</x:v>
      </x:c>
      <x:c r="H12" s="32" t="n">
        <x:f>IF(E12=0,"",I12/E12)</x:f>
        <x:v>92.04832702637209</x:v>
      </x:c>
      <x:c r="I12" s="31" t="n">
        <x:f>IF(C12=0,"",SUMIF('Species'!$G$2:$G$70,A12,'Species'!$U$2:$U$70))</x:f>
        <x:v>35875.75330765184</x:v>
      </x:c>
      <x:c r="J12" s="32" t="n">
        <x:v>2.571159262259097</x:v>
      </x:c>
      <x:c r="K12" s="32" t="n">
        <x:f>IF(J12="","",(1/'Metadata'!$B$5)^(J12-1))</x:f>
        <x:v>37.25282928859023</x:v>
      </x:c>
      <x:c r="L12" s="31" t="n">
        <x:f>IF(E12=0,"",E12*K12)</x:f>
        <x:v>14519.256967990596</x:v>
      </x:c>
      <x:c r="M12" s="31" t="n">
        <x:f>IF(E12=0,"",I12-L12)</x:f>
        <x:v>21356.496339661244</x:v>
      </x:c>
      <x:c r="N12" s="32" t="n">
        <x:f>IF(L12=0,"",I12/L12)</x:f>
        <x:v>2.470908352041991</x:v>
      </x:c>
      <x:c r="O12" s="34" t="n">
        <x:f>IF(L12=0,"",M12/L12)</x:f>
        <x:v>1.4709083520419912</x:v>
      </x:c>
    </x:row>
  </x:sheetData>
  <x:conditionalFormatting sqref="G2:G12">
    <x:cfRule type="cellIs" dxfId="2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0191c6d461c40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EEZ_584</x:v>
      </x:c>
      <x:c r="B2" s="24" t="str">
        <x:v>raw_filtered_tonnes</x:v>
      </x:c>
      <x:c r="C2" s="24" t="n">
        <x:v>56340.9448327468</x:v>
      </x:c>
      <x:c r="D2" s="24" t="str">
        <x:v>tonnes</x:v>
      </x:c>
    </x:row>
    <x:row r="3" ht="18" customHeight="1">
      <x:c r="A3" s="24" t="str">
        <x:v>EEZ_584</x:v>
      </x:c>
      <x:c r="B3" s="24" t="str">
        <x:v>species_catch_tonnes</x:v>
      </x:c>
      <x:c r="C3" s="24" t="n">
        <x:v>56340.9448327468</x:v>
      </x:c>
      <x:c r="D3" s="24" t="str">
        <x:v>tonnes</x:v>
      </x:c>
    </x:row>
    <x:row r="4" ht="18" customHeight="1">
      <x:c r="A4" s="24" t="str">
        <x:v>EEZ_584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EEZ_584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EEZ_584</x:v>
      </x:c>
      <x:c r="B6" s="24" t="str">
        <x:v>matched_catch_tonnes</x:v>
      </x:c>
      <x:c r="C6" s="24" t="n">
        <x:v>56340.9448327468</x:v>
      </x:c>
      <x:c r="D6" s="24" t="str">
        <x:v>tonnes</x:v>
      </x:c>
    </x:row>
    <x:row r="7" ht="18" customHeight="1">
      <x:c r="A7" s="24" t="str">
        <x:v>EEZ_584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EEZ_584</x:v>
      </x:c>
      <x:c r="B8" s="24" t="str">
        <x:v>taxa_count</x:v>
      </x:c>
      <x:c r="C8" s="24" t="n">
        <x:v>69</x:v>
      </x:c>
      <x:c r="D8" s="24" t="str">
        <x:v>count</x:v>
      </x:c>
    </x:row>
    <x:row r="9" ht="18" customHeight="1">
      <x:c r="A9" s="24" t="str">
        <x:v>EEZ_584</x:v>
      </x:c>
      <x:c r="B9" s="24" t="str">
        <x:v>matched_taxa_count</x:v>
      </x:c>
      <x:c r="C9" s="24" t="n">
        <x:v>69</x:v>
      </x:c>
      <x:c r="D9" s="24" t="str">
        <x:v>count</x:v>
      </x:c>
    </x:row>
    <x:row r="10" ht="18" customHeight="1">
      <x:c r="A10" s="24" t="str">
        <x:v>EEZ_584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EEZ_584</x:v>
      </x:c>
      <x:c r="B11" s="24" t="str">
        <x:v>species_ppr</x:v>
      </x:c>
      <x:c r="C11" s="24" t="n">
        <x:v>133348178.67679022</x:v>
      </x:c>
      <x:c r="D11" s="24" t="str">
        <x:v>tonnes_primary_production_equivalent</x:v>
      </x:c>
    </x:row>
    <x:row r="12" ht="18" customHeight="1">
      <x:c r="A12" s="24" t="str">
        <x:v>EEZ_584</x:v>
      </x:c>
      <x:c r="B12" s="24" t="str">
        <x:v>commercial_ppr</x:v>
      </x:c>
      <x:c r="C12" s="24" t="n">
        <x:v>133348178.67679021</x:v>
      </x:c>
      <x:c r="D12" s="24" t="str">
        <x:v>tonnes_primary_production_equivalent</x:v>
      </x:c>
    </x:row>
    <x:row r="13" ht="18" customHeight="1">
      <x:c r="A13" s="24" t="str">
        <x:v>EEZ_584</x:v>
      </x:c>
      <x:c r="B13" s="24" t="str">
        <x:v>functional_ppr</x:v>
      </x:c>
      <x:c r="C13" s="24" t="n">
        <x:v>133348178.67679021</x:v>
      </x:c>
      <x:c r="D13" s="24" t="str">
        <x:v>tonnes_primary_production_equivalent</x:v>
      </x:c>
    </x:row>
    <x:row r="14" ht="18" customHeight="1">
      <x:c r="A14" s="24" t="str">
        <x:v>EEZ_584</x:v>
      </x:c>
      <x:c r="B14" s="24" t="str">
        <x:v>commercial_ppr_difference</x:v>
      </x:c>
      <x:c r="C14" s="24" t="n">
        <x:v>-1.4901161193847656e-8</x:v>
      </x:c>
      <x:c r="D14" s="24" t="str">
        <x:v>tonnes_primary_production_equivalent</x:v>
      </x:c>
    </x:row>
    <x:row r="15" ht="18" customHeight="1">
      <x:c r="A15" s="24" t="str">
        <x:v>EEZ_584</x:v>
      </x:c>
      <x:c r="B15" s="24" t="str">
        <x:v>functional_ppr_difference</x:v>
      </x:c>
      <x:c r="C15" s="24" t="n">
        <x:v>-1.4901161193847656e-8</x:v>
      </x:c>
      <x:c r="D15" s="24" t="str">
        <x:v>tonnes_primary_production_equivalent</x:v>
      </x:c>
    </x:row>
    <x:row r="16" ht="18" customHeight="1">
      <x:c r="A16" s="24" t="str">
        <x:v>EEZ_584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EEZ_584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EEZ_584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EEZ_584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1accf2cd04744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EEZ_584 - Marshall Isl.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EEZ_584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raw_data/SAU_downloads/EEZ_584-catch.zip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