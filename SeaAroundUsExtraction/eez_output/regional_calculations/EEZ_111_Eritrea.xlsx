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5412b1614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a09da3ec7de4825"/>
    <x:sheet xmlns:r="http://schemas.openxmlformats.org/officeDocument/2006/relationships" name="Commercial" sheetId="2" r:id="Re9cc40e712a6445a"/>
    <x:sheet xmlns:r="http://schemas.openxmlformats.org/officeDocument/2006/relationships" name="Functional" sheetId="3" r:id="Rd0518d136e344765"/>
    <x:sheet xmlns:r="http://schemas.openxmlformats.org/officeDocument/2006/relationships" name="Missing TL" sheetId="4" r:id="R5630fb621365422c"/>
    <x:sheet xmlns:r="http://schemas.openxmlformats.org/officeDocument/2006/relationships" name="Validation" sheetId="5" r:id="Rc29c68ca34d94c05"/>
    <x:sheet xmlns:r="http://schemas.openxmlformats.org/officeDocument/2006/relationships" name="Metadata" sheetId="6" r:id="R7e1bcadc54cc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deb7bf5714fa9" /><Relationship Type="http://schemas.openxmlformats.org/officeDocument/2006/relationships/theme" Target="/xl/theme/theme1.xml" Id="R7e4394b873df4c08" /><Relationship Type="http://schemas.microsoft.com/office/2022/11/relationships/FeaturePropertyBag" Target="/xl/featurePropertyBag/featurePropertyBag.xml" Id="Ra143892ce7524a7c" /><Relationship Type="http://schemas.openxmlformats.org/officeDocument/2006/relationships/sharedStrings" Target="/xl/sharedStrings.xml" Id="R501a6bc3df904311" /><Relationship Type="http://schemas.openxmlformats.org/officeDocument/2006/relationships/worksheet" Target="/xl/worksheets/sheet1.xml" Id="Rba09da3ec7de4825" /><Relationship Type="http://schemas.openxmlformats.org/officeDocument/2006/relationships/worksheet" Target="/xl/worksheets/sheet2.xml" Id="Re9cc40e712a6445a" /><Relationship Type="http://schemas.openxmlformats.org/officeDocument/2006/relationships/worksheet" Target="/xl/worksheets/sheet3.xml" Id="Rd0518d136e344765" /><Relationship Type="http://schemas.openxmlformats.org/officeDocument/2006/relationships/worksheet" Target="/xl/worksheets/sheet4.xml" Id="R5630fb621365422c" /><Relationship Type="http://schemas.openxmlformats.org/officeDocument/2006/relationships/worksheet" Target="/xl/worksheets/sheet5.xml" Id="Rc29c68ca34d94c05" /><Relationship Type="http://schemas.openxmlformats.org/officeDocument/2006/relationships/worksheet" Target="/xl/worksheets/sheet6.xml" Id="R7e1bcadc54cc4b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11SpeciesTable" displayName="EEZ111SpeciesTable" ref="A1:U59" headerRowCount="1" totalsRowCount="0" totalsRowShown="0">
  <x:autoFilter ref="A1:U5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11CommercialTable" displayName="EEZ111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11FunctionalTable" displayName="EEZ111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11ValidationTable" displayName="EEZ11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f5b587574448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cc399712ef43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c99b076a2d46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30ec0b97fc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EEZ_111</x:v>
      </x:c>
      <x:c r="B2" s="24" t="str">
        <x:v>Eritrea</x:v>
      </x:c>
      <x:c r="C2" s="24" t="str">
        <x:v>EEZ</x:v>
      </x:c>
      <x:c r="D2" s="30" t="n">
        <x:v>2019</x:v>
      </x:c>
      <x:c r="E2" s="24" t="str">
        <x:v>Synodontidae</x:v>
      </x:c>
      <x:c r="F2" s="24" t="str">
        <x:v>Lizardfishes, sauries</x:v>
      </x:c>
      <x:c r="G2" s="24" t="str">
        <x:v>Medium demersals (30 - 89 cm)</x:v>
      </x:c>
      <x:c r="H2" s="24" t="str">
        <x:v>Other fishes &amp; inverts</x:v>
      </x:c>
      <x:c r="I2" s="31" t="n">
        <x:v>2704.9771464241</x:v>
      </x:c>
      <x:c r="J2" s="31" t="n">
        <x:v>2704.9771464241</x:v>
      </x:c>
      <x:c r="K2" s="31" t="n">
        <x:v>0</x:v>
      </x:c>
      <x:c r="L2" s="31" t="n">
        <x:v>2704.9771464241</x:v>
      </x:c>
      <x:c r="M2" s="31" t="n">
        <x:v>0</x:v>
      </x:c>
      <x:c r="N2" s="24" t="str">
        <x:v>synodontidae</x:v>
      </x:c>
      <x:c r="O2" s="32" t="n">
        <x:v>4.3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Synodontidae</x:v>
      </x:c>
      <x:c r="T2" s="32" t="n">
        <x:f>IF(O2="","",(1/'Metadata'!$B$5)^(O2-1))</x:f>
        <x:v>1995.2623149688789</x:v>
      </x:c>
      <x:c r="U2" s="31" t="n">
        <x:f>IF(T2="","",I2*T2)</x:f>
        <x:v>5397138.963112062</x:v>
      </x:c>
    </x:row>
    <x:row r="3" ht="18" customHeight="1">
      <x:c r="A3" s="24" t="str">
        <x:v>EEZ_111</x:v>
      </x:c>
      <x:c r="B3" s="24" t="str">
        <x:v>Eritrea</x:v>
      </x:c>
      <x:c r="C3" s="24" t="str">
        <x:v>EEZ</x:v>
      </x:c>
      <x:c r="D3" s="30" t="n">
        <x:v>2019</x:v>
      </x:c>
      <x:c r="E3" s="24" t="str">
        <x:v>Holothuriidae</x:v>
      </x:c>
      <x:c r="F3" s="24" t="str">
        <x:v>Fleshy sea cucumbers</x:v>
      </x:c>
      <x:c r="G3" s="24" t="str">
        <x:v>Other demersal invertebrates</x:v>
      </x:c>
      <x:c r="H3" s="24" t="str">
        <x:v>Other fishes &amp; inverts</x:v>
      </x:c>
      <x:c r="I3" s="31" t="n">
        <x:v>2349.9518569697</x:v>
      </x:c>
      <x:c r="J3" s="31" t="n">
        <x:v>2349.9518569697</x:v>
      </x:c>
      <x:c r="K3" s="31" t="n">
        <x:v>0</x:v>
      </x:c>
      <x:c r="L3" s="31" t="n">
        <x:v>0</x:v>
      </x:c>
      <x:c r="M3" s="31" t="n">
        <x:v>2349.9518569697</x:v>
      </x:c>
      <x:c r="N3" s="24" t="str">
        <x:v>holothuriidae</x:v>
      </x:c>
      <x:c r="O3" s="32" t="n">
        <x:v>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Holothuriidae</x:v>
      </x:c>
      <x:c r="T3" s="32" t="n">
        <x:f>IF(O3="","",(1/'Metadata'!$B$5)^(O3-1))</x:f>
        <x:v>10</x:v>
      </x:c>
      <x:c r="U3" s="31" t="n">
        <x:f>IF(T3="","",I3*T3)</x:f>
        <x:v>23499.518569697</x:v>
      </x:c>
    </x:row>
    <x:row r="4" ht="18" customHeight="1">
      <x:c r="A4" s="24" t="str">
        <x:v>EEZ_111</x:v>
      </x:c>
      <x:c r="B4" s="24" t="str">
        <x:v>Eritrea</x:v>
      </x:c>
      <x:c r="C4" s="24" t="str">
        <x:v>EEZ</x:v>
      </x:c>
      <x:c r="D4" s="30" t="n">
        <x:v>2019</x:v>
      </x:c>
      <x:c r="E4" s="24" t="str">
        <x:v>Leiognathidae</x:v>
      </x:c>
      <x:c r="F4" s="24" t="str">
        <x:v>Slipmouths, ponyfishes</x:v>
      </x:c>
      <x:c r="G4" s="24" t="str">
        <x:v>Small benthopelagics (&lt;30 cm)</x:v>
      </x:c>
      <x:c r="H4" s="24" t="str">
        <x:v>Perch-likes</x:v>
      </x:c>
      <x:c r="I4" s="31" t="n">
        <x:v>1586.1955753682</x:v>
      </x:c>
      <x:c r="J4" s="31" t="n">
        <x:v>0</x:v>
      </x:c>
      <x:c r="K4" s="31" t="n">
        <x:v>1586.1955753682</x:v>
      </x:c>
      <x:c r="L4" s="31" t="n">
        <x:v>0</x:v>
      </x:c>
      <x:c r="M4" s="31" t="n">
        <x:v>1586.1955753682</x:v>
      </x:c>
      <x:c r="N4" s="24" t="str">
        <x:v>leiognathidae</x:v>
      </x:c>
      <x:c r="O4" s="32" t="n">
        <x:v>3.24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Leiognathidae</x:v>
      </x:c>
      <x:c r="T4" s="32" t="n">
        <x:f>IF(O4="","",(1/'Metadata'!$B$5)^(O4-1))</x:f>
        <x:v>173.78008287493762</x:v>
      </x:c>
      <x:c r="U4" s="31" t="n">
        <x:f>IF(T4="","",I4*T4)</x:f>
        <x:v>275649.19854334515</x:v>
      </x:c>
    </x:row>
    <x:row r="5" ht="18" customHeight="1">
      <x:c r="A5" s="24" t="str">
        <x:v>EEZ_111</x:v>
      </x:c>
      <x:c r="B5" s="24" t="str">
        <x:v>Eritrea</x:v>
      </x:c>
      <x:c r="C5" s="24" t="str">
        <x:v>EEZ</x:v>
      </x:c>
      <x:c r="D5" s="30" t="n">
        <x:v>2019</x:v>
      </x:c>
      <x:c r="E5" s="24" t="str">
        <x:v>Nemipteridae</x:v>
      </x:c>
      <x:c r="F5" s="24" t="str">
        <x:v>Threadfins, whiptail breams</x:v>
      </x:c>
      <x:c r="G5" s="24" t="str">
        <x:v>Small demersals (&lt;30 cm)</x:v>
      </x:c>
      <x:c r="H5" s="24" t="str">
        <x:v>Perch-likes</x:v>
      </x:c>
      <x:c r="I5" s="31" t="n">
        <x:v>909.6346555791</x:v>
      </x:c>
      <x:c r="J5" s="31" t="n">
        <x:v>909.6346555791</x:v>
      </x:c>
      <x:c r="K5" s="31" t="n">
        <x:v>0</x:v>
      </x:c>
      <x:c r="L5" s="31" t="n">
        <x:v>909.6157556657</x:v>
      </x:c>
      <x:c r="M5" s="31" t="n">
        <x:v>0.018899913400000003</x:v>
      </x:c>
      <x:c r="N5" s="24" t="str">
        <x:v>nemipteridae</x:v>
      </x:c>
      <x:c r="O5" s="32" t="n">
        <x:v>3.51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Nemipteridae</x:v>
      </x:c>
      <x:c r="T5" s="32" t="n">
        <x:f>IF(O5="","",(1/'Metadata'!$B$5)^(O5-1))</x:f>
        <x:v>323.5936569296281</x:v>
      </x:c>
      <x:c r="U5" s="31" t="n">
        <x:f>IF(T5="","",I5*T5)</x:f>
        <x:v>294352.00466876366</x:v>
      </x:c>
    </x:row>
    <x:row r="6" ht="18" customHeight="1">
      <x:c r="A6" s="24" t="str">
        <x:v>EEZ_111</x:v>
      </x:c>
      <x:c r="B6" s="24" t="str">
        <x:v>Eritrea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481.76092746229995</x:v>
      </x:c>
      <x:c r="J6" s="31" t="n">
        <x:v>200.3391318324</x:v>
      </x:c>
      <x:c r="K6" s="31" t="n">
        <x:v>281.4217956299</x:v>
      </x:c>
      <x:c r="L6" s="31" t="n">
        <x:v>121.6609674833</x:v>
      </x:c>
      <x:c r="M6" s="31" t="n">
        <x:v>360.099959979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91797.65227289536</x:v>
      </x:c>
    </x:row>
    <x:row r="7" ht="18" customHeight="1">
      <x:c r="A7" s="24" t="str">
        <x:v>EEZ_111</x:v>
      </x:c>
      <x:c r="B7" s="24" t="str">
        <x:v>Eritrea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278.6322496286</x:v>
      </x:c>
      <x:c r="J7" s="31" t="n">
        <x:v>278.6322496286</x:v>
      </x:c>
      <x:c r="K7" s="31" t="n">
        <x:v>0</x:v>
      </x:c>
      <x:c r="L7" s="31" t="n">
        <x:v>127.2239128713</x:v>
      </x:c>
      <x:c r="M7" s="31" t="n">
        <x:v>151.4083367573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312630.52604696044</x:v>
      </x:c>
    </x:row>
    <x:row r="8" ht="18" customHeight="1">
      <x:c r="A8" s="24" t="str">
        <x:v>EEZ_111</x:v>
      </x:c>
      <x:c r="B8" s="24" t="str">
        <x:v>Eritrea</x:v>
      </x:c>
      <x:c r="C8" s="24" t="str">
        <x:v>EEZ</x:v>
      </x:c>
      <x:c r="D8" s="30" t="n">
        <x:v>2019</x:v>
      </x:c>
      <x:c r="E8" s="24" t="str">
        <x:v>Penaeidae</x:v>
      </x:c>
      <x:c r="F8" s="24" t="str">
        <x:v>Commercial shrimps and prawns</x:v>
      </x:c>
      <x:c r="G8" s="24" t="str">
        <x:v>Shrimps</x:v>
      </x:c>
      <x:c r="H8" s="24" t="str">
        <x:v>Crustaceans</x:v>
      </x:c>
      <x:c r="I8" s="31" t="n">
        <x:v>223.64980524650002</x:v>
      </x:c>
      <x:c r="J8" s="31" t="n">
        <x:v>223.64980524650002</x:v>
      </x:c>
      <x:c r="K8" s="31" t="n">
        <x:v>0</x:v>
      </x:c>
      <x:c r="L8" s="31" t="n">
        <x:v>189.3773450717</x:v>
      </x:c>
      <x:c r="M8" s="31" t="n">
        <x:v>34.2724601748</x:v>
      </x:c>
      <x:c r="N8" s="24" t="str">
        <x:v>penaeidae</x:v>
      </x:c>
      <x:c r="O8" s="32" t="n">
        <x:v>3.31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Penaeidae</x:v>
      </x:c>
      <x:c r="T8" s="32" t="n">
        <x:f>IF(O8="","",(1/'Metadata'!$B$5)^(O8-1))</x:f>
        <x:v>204.17379446695296</x:v>
      </x:c>
      <x:c r="U8" s="31" t="n">
        <x:f>IF(T8="","",I8*T8)</x:f>
        <x:v>45663.42936897295</x:v>
      </x:c>
    </x:row>
    <x:row r="9" ht="18" customHeight="1">
      <x:c r="A9" s="24" t="str">
        <x:v>EEZ_111</x:v>
      </x:c>
      <x:c r="B9" s="24" t="str">
        <x:v>Eritrea</x:v>
      </x:c>
      <x:c r="C9" s="24" t="str">
        <x:v>EEZ</x:v>
      </x:c>
      <x:c r="D9" s="30" t="n">
        <x:v>2019</x:v>
      </x:c>
      <x:c r="E9" s="24" t="str">
        <x:v>Ariidae</x:v>
      </x:c>
      <x:c r="F9" s="24" t="str">
        <x:v>Sea catfishes, coblers</x:v>
      </x:c>
      <x:c r="G9" s="24" t="str">
        <x:v>Medium demersals (30 - 89 cm)</x:v>
      </x:c>
      <x:c r="H9" s="24" t="str">
        <x:v>Other fishes &amp; inverts</x:v>
      </x:c>
      <x:c r="I9" s="31" t="n">
        <x:v>204.8014168873</x:v>
      </x:c>
      <x:c r="J9" s="31" t="n">
        <x:v>204.8014168873</x:v>
      </x:c>
      <x:c r="K9" s="31" t="n">
        <x:v>0</x:v>
      </x:c>
      <x:c r="L9" s="31" t="n">
        <x:v>152.4756194207</x:v>
      </x:c>
      <x:c r="M9" s="31" t="n">
        <x:v>52.3257974666</x:v>
      </x:c>
      <x:c r="N9" s="24" t="str">
        <x:v>ariidae</x:v>
      </x:c>
      <x:c r="O9" s="32" t="n">
        <x:v>3.48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Ariidae</x:v>
      </x:c>
      <x:c r="T9" s="32" t="n">
        <x:f>IF(O9="","",(1/'Metadata'!$B$5)^(O9-1))</x:f>
        <x:v>301.9951720402016</x:v>
      </x:c>
      <x:c r="U9" s="31" t="n">
        <x:f>IF(T9="","",I9*T9)</x:f>
        <x:v>61849.03912695722</x:v>
      </x:c>
    </x:row>
    <x:row r="10" ht="18" customHeight="1">
      <x:c r="A10" s="24" t="str">
        <x:v>EEZ_111</x:v>
      </x:c>
      <x:c r="B10" s="24" t="str">
        <x:v>Eritrea</x:v>
      </x:c>
      <x:c r="C10" s="24" t="str">
        <x:v>EEZ</x:v>
      </x:c>
      <x:c r="D10" s="30" t="n">
        <x:v>2019</x:v>
      </x:c>
      <x:c r="E10" s="24" t="str">
        <x:v>Sphyraenidae</x:v>
      </x:c>
      <x:c r="F10" s="24" t="str">
        <x:v>Barracudas</x:v>
      </x:c>
      <x:c r="G10" s="24" t="str">
        <x:v>Medium reef assoc. fish (30 - 89 cm)</x:v>
      </x:c>
      <x:c r="H10" s="24" t="str">
        <x:v>Perch-likes</x:v>
      </x:c>
      <x:c r="I10" s="31" t="n">
        <x:v>192.0596338038</x:v>
      </x:c>
      <x:c r="J10" s="31" t="n">
        <x:v>192.0596338038</x:v>
      </x:c>
      <x:c r="K10" s="31" t="n">
        <x:v>0</x:v>
      </x:c>
      <x:c r="L10" s="31" t="n">
        <x:v>189.5766921647</x:v>
      </x:c>
      <x:c r="M10" s="31" t="n">
        <x:v>2.4829416391</x:v>
      </x:c>
      <x:c r="N10" s="24" t="str">
        <x:v>sphyraenidae</x:v>
      </x:c>
      <x:c r="O10" s="32" t="n">
        <x:v>4.4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Sphyraenidae</x:v>
      </x:c>
      <x:c r="T10" s="32" t="n">
        <x:f>IF(O10="","",(1/'Metadata'!$B$5)^(O10-1))</x:f>
        <x:v>2511.886431509582</x:v>
      </x:c>
      <x:c r="U10" s="31" t="n">
        <x:f>IF(T10="","",I10*T10)</x:f>
        <x:v>482431.9881924643</x:v>
      </x:c>
    </x:row>
    <x:row r="11" ht="18" customHeight="1">
      <x:c r="A11" s="24" t="str">
        <x:v>EEZ_111</x:v>
      </x:c>
      <x:c r="B11" s="24" t="str">
        <x:v>Eritrea</x:v>
      </x:c>
      <x:c r="C11" s="24" t="str">
        <x:v>EEZ</x:v>
      </x:c>
      <x:c r="D11" s="30" t="n">
        <x:v>2019</x:v>
      </x:c>
      <x:c r="E11" s="24" t="str">
        <x:v>Terapon</x:v>
      </x:c>
      <x:c r="F11" s="24" t="str">
        <x:v>Terapons</x:v>
      </x:c>
      <x:c r="G11" s="24" t="str">
        <x:v>Medium demersals (30 - 89 cm)</x:v>
      </x:c>
      <x:c r="H11" s="24" t="str">
        <x:v>Perch-likes</x:v>
      </x:c>
      <x:c r="I11" s="31" t="n">
        <x:v>179.086597219</x:v>
      </x:c>
      <x:c r="J11" s="31" t="n">
        <x:v>0</x:v>
      </x:c>
      <x:c r="K11" s="31" t="n">
        <x:v>179.086597219</x:v>
      </x:c>
      <x:c r="L11" s="31" t="n">
        <x:v>0</x:v>
      </x:c>
      <x:c r="M11" s="31" t="n">
        <x:v>179.086597219</x:v>
      </x:c>
      <x:c r="N11" s="24" t="str">
        <x:v>terapon</x:v>
      </x:c>
      <x:c r="O11" s="32" t="n">
        <x:v>3.5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Terapon</x:v>
      </x:c>
      <x:c r="T11" s="32" t="n">
        <x:f>IF(O11="","",(1/'Metadata'!$B$5)^(O11-1))</x:f>
        <x:v>316.22776601683796</x:v>
      </x:c>
      <x:c r="U11" s="31" t="n">
        <x:f>IF(T11="","",I11*T11)</x:f>
        <x:v>56632.154562121636</x:v>
      </x:c>
    </x:row>
    <x:row r="12" ht="18" customHeight="1">
      <x:c r="A12" s="24" t="str">
        <x:v>EEZ_111</x:v>
      </x:c>
      <x:c r="B12" s="24" t="str">
        <x:v>Eritrea</x:v>
      </x:c>
      <x:c r="C12" s="24" t="str">
        <x:v>EEZ</x:v>
      </x:c>
      <x:c r="D12" s="30" t="n">
        <x:v>2019</x:v>
      </x:c>
      <x:c r="E12" s="24" t="str">
        <x:v>Scomberoides commersonnianus</x:v>
      </x:c>
      <x:c r="F12" s="24" t="str">
        <x:v>Talang queenfish</x:v>
      </x:c>
      <x:c r="G12" s="24" t="str">
        <x:v>Large reef assoc. fish (&gt;=90 cm)</x:v>
      </x:c>
      <x:c r="H12" s="24" t="str">
        <x:v>Perch-likes</x:v>
      </x:c>
      <x:c r="I12" s="31" t="n">
        <x:v>140.0257303856</x:v>
      </x:c>
      <x:c r="J12" s="31" t="n">
        <x:v>140.0257303856</x:v>
      </x:c>
      <x:c r="K12" s="31" t="n">
        <x:v>0</x:v>
      </x:c>
      <x:c r="L12" s="31" t="n">
        <x:v>45.2130785014</x:v>
      </x:c>
      <x:c r="M12" s="31" t="n">
        <x:v>94.8126518842</x:v>
      </x:c>
      <x:c r="N12" s="24" t="str">
        <x:v>scomberoides commersonnianus</x:v>
      </x:c>
      <x:c r="O12" s="32" t="n">
        <x:v>4.48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Scomberoides commersonnianus</x:v>
      </x:c>
      <x:c r="T12" s="32" t="n">
        <x:f>IF(O12="","",(1/'Metadata'!$B$5)^(O12-1))</x:f>
        <x:v>3019.951720402019</x:v>
      </x:c>
      <x:c r="U12" s="31" t="n">
        <x:f>IF(T12="","",I12*T12)</x:f>
        <x:v>422870.945378542</x:v>
      </x:c>
    </x:row>
    <x:row r="13" ht="18" customHeight="1">
      <x:c r="A13" s="24" t="str">
        <x:v>EEZ_111</x:v>
      </x:c>
      <x:c r="B13" s="24" t="str">
        <x:v>Eritrea</x:v>
      </x:c>
      <x:c r="C13" s="24" t="str">
        <x:v>EEZ</x:v>
      </x:c>
      <x:c r="D13" s="30" t="n">
        <x:v>2019</x:v>
      </x:c>
      <x:c r="E13" s="24" t="str">
        <x:v>Clupeidae</x:v>
      </x:c>
      <x:c r="F13" s="24" t="str">
        <x:v>Herrings, sardines, menhadens</x:v>
      </x:c>
      <x:c r="G13" s="24" t="str">
        <x:v>Small pelagics (&lt;30 cm)</x:v>
      </x:c>
      <x:c r="H13" s="24" t="str">
        <x:v>Herring-likes</x:v>
      </x:c>
      <x:c r="I13" s="31" t="n">
        <x:v>110.0784333186</x:v>
      </x:c>
      <x:c r="J13" s="31" t="n">
        <x:v>84.49463371590001</x:v>
      </x:c>
      <x:c r="K13" s="31" t="n">
        <x:v>25.5837996027</x:v>
      </x:c>
      <x:c r="L13" s="31" t="n">
        <x:v>84.49463371590001</x:v>
      </x:c>
      <x:c r="M13" s="31" t="n">
        <x:v>25.5837996027</x:v>
      </x:c>
      <x:c r="N13" s="24" t="str">
        <x:v>clupeidae</x:v>
      </x:c>
      <x:c r="O13" s="32" t="n">
        <x:v>3.16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Clupeidae</x:v>
      </x:c>
      <x:c r="T13" s="32" t="n">
        <x:f>IF(O13="","",(1/'Metadata'!$B$5)^(O13-1))</x:f>
        <x:v>144.5439770745928</x:v>
      </x:c>
      <x:c r="U13" s="31" t="n">
        <x:f>IF(T13="","",I13*T13)</x:f>
        <x:v>15911.174542010811</x:v>
      </x:c>
    </x:row>
    <x:row r="14" ht="18" customHeight="1">
      <x:c r="A14" s="24" t="str">
        <x:v>EEZ_111</x:v>
      </x:c>
      <x:c r="B14" s="24" t="str">
        <x:v>Eritrea</x:v>
      </x:c>
      <x:c r="C14" s="24" t="str">
        <x:v>EEZ</x:v>
      </x:c>
      <x:c r="D14" s="30" t="n">
        <x:v>2019</x:v>
      </x:c>
      <x:c r="E14" s="24" t="str">
        <x:v>Trichiurus</x:v>
      </x:c>
      <x:c r="F14" s="24" t="str">
        <x:v>Hairtails</x:v>
      </x:c>
      <x:c r="G14" s="24" t="str">
        <x:v>Large benthopelagics (&gt;=90 cm)</x:v>
      </x:c>
      <x:c r="H14" s="24" t="str">
        <x:v>Perch-likes</x:v>
      </x:c>
      <x:c r="I14" s="31" t="n">
        <x:v>102.3351984109</x:v>
      </x:c>
      <x:c r="J14" s="31" t="n">
        <x:v>0</x:v>
      </x:c>
      <x:c r="K14" s="31" t="n">
        <x:v>102.3351984109</x:v>
      </x:c>
      <x:c r="L14" s="31" t="n">
        <x:v>0</x:v>
      </x:c>
      <x:c r="M14" s="31" t="n">
        <x:v>102.3351984109</x:v>
      </x:c>
      <x:c r="N14" s="24" t="str">
        <x:v>trichiurus</x:v>
      </x:c>
      <x:c r="O14" s="32" t="n">
        <x:v>4.42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Trichiurus</x:v>
      </x:c>
      <x:c r="T14" s="32" t="n">
        <x:f>IF(O14="","",(1/'Metadata'!$B$5)^(O14-1))</x:f>
        <x:v>2630.2679918953813</x:v>
      </x:c>
      <x:c r="U14" s="31" t="n">
        <x:f>IF(T14="","",I14*T14)</x:f>
        <x:v>269168.99682445335</x:v>
      </x:c>
    </x:row>
    <x:row r="15" ht="18" customHeight="1">
      <x:c r="A15" s="24" t="str">
        <x:v>EEZ_111</x:v>
      </x:c>
      <x:c r="B15" s="24" t="str">
        <x:v>Eritrea</x:v>
      </x:c>
      <x:c r="C15" s="24" t="str">
        <x:v>EEZ</x:v>
      </x:c>
      <x:c r="D15" s="30" t="n">
        <x:v>2019</x:v>
      </x:c>
      <x:c r="E15" s="24" t="str">
        <x:v>Gerres oyena</x:v>
      </x:c>
      <x:c r="F15" s="24" t="str">
        <x:v>Common silver-biddy</x:v>
      </x:c>
      <x:c r="G15" s="24" t="str">
        <x:v>Small demersals (&lt;30 cm)</x:v>
      </x:c>
      <x:c r="H15" s="24" t="str">
        <x:v>Perch-likes</x:v>
      </x:c>
      <x:c r="I15" s="31" t="n">
        <x:v>102.3351984109</x:v>
      </x:c>
      <x:c r="J15" s="31" t="n">
        <x:v>0</x:v>
      </x:c>
      <x:c r="K15" s="31" t="n">
        <x:v>102.3351984109</x:v>
      </x:c>
      <x:c r="L15" s="31" t="n">
        <x:v>0</x:v>
      </x:c>
      <x:c r="M15" s="31" t="n">
        <x:v>102.3351984109</x:v>
      </x:c>
      <x:c r="N15" s="24" t="str">
        <x:v>gerres oyena</x:v>
      </x:c>
      <x:c r="O15" s="32" t="n">
        <x:v>3.07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Gerres oyena</x:v>
      </x:c>
      <x:c r="T15" s="32" t="n">
        <x:f>IF(O15="","",(1/'Metadata'!$B$5)^(O15-1))</x:f>
        <x:v>117.48975549395291</x:v>
      </x:c>
      <x:c r="U15" s="31" t="n">
        <x:f>IF(T15="","",I15*T15)</x:f>
        <x:v>12023.3374397218</x:v>
      </x:c>
    </x:row>
    <x:row r="16" ht="18" customHeight="1">
      <x:c r="A16" s="24" t="str">
        <x:v>EEZ_111</x:v>
      </x:c>
      <x:c r="B16" s="24" t="str">
        <x:v>Eritrea</x:v>
      </x:c>
      <x:c r="C16" s="24" t="str">
        <x:v>EEZ</x:v>
      </x:c>
      <x:c r="D16" s="30" t="n">
        <x:v>2019</x:v>
      </x:c>
      <x:c r="E16" s="24" t="str">
        <x:v>Scomberomorus commerson</x:v>
      </x:c>
      <x:c r="F16" s="24" t="str">
        <x:v>Narrow-barred Spanish mackerel</x:v>
      </x:c>
      <x:c r="G16" s="24" t="str">
        <x:v>Large pelagics (&gt;=90 cm)</x:v>
      </x:c>
      <x:c r="H16" s="24" t="str">
        <x:v>Perch-likes</x:v>
      </x:c>
      <x:c r="I16" s="31" t="n">
        <x:v>102.2826968497</x:v>
      </x:c>
      <x:c r="J16" s="31" t="n">
        <x:v>102.2826968497</x:v>
      </x:c>
      <x:c r="K16" s="31" t="n">
        <x:v>0</x:v>
      </x:c>
      <x:c r="L16" s="31" t="n">
        <x:v>88.7587962306</x:v>
      </x:c>
      <x:c r="M16" s="31" t="n">
        <x:v>13.523900619099999</x:v>
      </x:c>
      <x:c r="N16" s="24" t="str">
        <x:v>scomberomorus commerson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Scomberomorus commerson</x:v>
      </x:c>
      <x:c r="T16" s="32" t="n">
        <x:f>IF(O16="","",(1/'Metadata'!$B$5)^(O16-1))</x:f>
        <x:v>3162.2776601683795</x:v>
      </x:c>
      <x:c r="U16" s="31" t="n">
        <x:f>IF(T16="","",I16*T16)</x:f>
        <x:v>323446.287269581</x:v>
      </x:c>
    </x:row>
    <x:row r="17" ht="18" customHeight="1">
      <x:c r="A17" s="24" t="str">
        <x:v>EEZ_111</x:v>
      </x:c>
      <x:c r="B17" s="24" t="str">
        <x:v>Eritrea</x:v>
      </x:c>
      <x:c r="C17" s="24" t="str">
        <x:v>EEZ</x:v>
      </x:c>
      <x:c r="D17" s="30" t="n">
        <x:v>2019</x:v>
      </x:c>
      <x:c r="E17" s="24" t="str">
        <x:v>Pomadasys argenteus</x:v>
      </x:c>
      <x:c r="F17" s="24" t="str">
        <x:v>Silver grunt</x:v>
      </x:c>
      <x:c r="G17" s="24" t="str">
        <x:v>Medium demersals (30 - 89 cm)</x:v>
      </x:c>
      <x:c r="H17" s="24" t="str">
        <x:v>Perch-likes</x:v>
      </x:c>
      <x:c r="I17" s="31" t="n">
        <x:v>96.07023618230001</x:v>
      </x:c>
      <x:c r="J17" s="31" t="n">
        <x:v>96.07023618230001</x:v>
      </x:c>
      <x:c r="K17" s="31" t="n">
        <x:v>0</x:v>
      </x:c>
      <x:c r="L17" s="31" t="n">
        <x:v>86.0347018217</x:v>
      </x:c>
      <x:c r="M17" s="31" t="n">
        <x:v>10.0355343606</x:v>
      </x:c>
      <x:c r="N17" s="24" t="str">
        <x:v>pomadasys argenteus</x:v>
      </x:c>
      <x:c r="O17" s="32" t="n">
        <x:v>3.47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Pomadasys argenteus</x:v>
      </x:c>
      <x:c r="T17" s="32" t="n">
        <x:f>IF(O17="","",(1/'Metadata'!$B$5)^(O17-1))</x:f>
        <x:v>295.1209226666387</x:v>
      </x:c>
      <x:c r="U17" s="31" t="n">
        <x:f>IF(T17="","",I17*T17)</x:f>
        <x:v>28352.336742922274</x:v>
      </x:c>
    </x:row>
    <x:row r="18" ht="18" customHeight="1">
      <x:c r="A18" s="24" t="str">
        <x:v>EEZ_111</x:v>
      </x:c>
      <x:c r="B18" s="24" t="str">
        <x:v>Eritrea</x:v>
      </x:c>
      <x:c r="C18" s="24" t="str">
        <x:v>EEZ</x:v>
      </x:c>
      <x:c r="D18" s="30" t="n">
        <x:v>2019</x:v>
      </x:c>
      <x:c r="E18" s="24" t="str">
        <x:v>Elasmobranchii</x:v>
      </x:c>
      <x:c r="F18" s="24" t="str">
        <x:v>Sharks, rays, skates</x:v>
      </x:c>
      <x:c r="G18" s="24" t="str">
        <x:v>Large sharks (&gt;=90 cm)</x:v>
      </x:c>
      <x:c r="H18" s="24" t="str">
        <x:v>Sharks &amp; rays</x:v>
      </x:c>
      <x:c r="I18" s="31" t="n">
        <x:v>78.5562865704</x:v>
      </x:c>
      <x:c r="J18" s="31" t="n">
        <x:v>78.5562865704</x:v>
      </x:c>
      <x:c r="K18" s="31" t="n">
        <x:v>0</x:v>
      </x:c>
      <x:c r="L18" s="31" t="n">
        <x:v>69.6517430596</x:v>
      </x:c>
      <x:c r="M18" s="31" t="n">
        <x:v>8.9045435108</x:v>
      </x:c>
      <x:c r="N18" s="24" t="str">
        <x:v>elasmobranchii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Elasmobranchii</x:v>
      </x:c>
      <x:c r="T18" s="32" t="n">
        <x:f>IF(O18="","",(1/'Metadata'!$B$5)^(O18-1))</x:f>
        <x:v>1122.018454301963</x:v>
      </x:c>
      <x:c r="U18" s="31" t="n">
        <x:f>IF(T18="","",I18*T18)</x:f>
        <x:v>88141.60323342227</x:v>
      </x:c>
    </x:row>
    <x:row r="19" ht="18" customHeight="1">
      <x:c r="A19" s="24" t="str">
        <x:v>EEZ_111</x:v>
      </x:c>
      <x:c r="B19" s="24" t="str">
        <x:v>Eritrea</x:v>
      </x:c>
      <x:c r="C19" s="24" t="str">
        <x:v>EEZ</x:v>
      </x:c>
      <x:c r="D19" s="30" t="n">
        <x:v>2019</x:v>
      </x:c>
      <x:c r="E19" s="24" t="str">
        <x:v>Haemulidae</x:v>
      </x:c>
      <x:c r="F19" s="24" t="str">
        <x:v>Grunts, sweetlips, bonnetmouths</x:v>
      </x:c>
      <x:c r="G19" s="24" t="str">
        <x:v>Medium demersals (30 - 89 cm)</x:v>
      </x:c>
      <x:c r="H19" s="24" t="str">
        <x:v>Perch-likes</x:v>
      </x:c>
      <x:c r="I19" s="31" t="n">
        <x:v>76.3544899626</x:v>
      </x:c>
      <x:c r="J19" s="31" t="n">
        <x:v>76.3544899626</x:v>
      </x:c>
      <x:c r="K19" s="31" t="n">
        <x:v>0</x:v>
      </x:c>
      <x:c r="L19" s="31" t="n">
        <x:v>68.19061545459999</x:v>
      </x:c>
      <x:c r="M19" s="31" t="n">
        <x:v>8.163874508</x:v>
      </x:c>
      <x:c r="N19" s="24" t="str">
        <x:v>haemulidae</x:v>
      </x:c>
      <x:c r="O19" s="32" t="n">
        <x:v>3.36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Haemulidae</x:v>
      </x:c>
      <x:c r="T19" s="32" t="n">
        <x:f>IF(O19="","",(1/'Metadata'!$B$5)^(O19-1))</x:f>
        <x:v>229.08676527677724</x:v>
      </x:c>
      <x:c r="U19" s="31" t="n">
        <x:f>IF(T19="","",I19*T19)</x:f>
        <x:v>17491.80311989019</x:v>
      </x:c>
    </x:row>
    <x:row r="20" ht="18" customHeight="1">
      <x:c r="A20" s="24" t="str">
        <x:v>EEZ_111</x:v>
      </x:c>
      <x:c r="B20" s="24" t="str">
        <x:v>Eritrea</x:v>
      </x:c>
      <x:c r="C20" s="24" t="str">
        <x:v>EEZ</x:v>
      </x:c>
      <x:c r="D20" s="30" t="n">
        <x:v>2019</x:v>
      </x:c>
      <x:c r="E20" s="24" t="str">
        <x:v>Scombridae</x:v>
      </x:c>
      <x:c r="F20" s="24" t="str">
        <x:v>Mackerels, tunas, bonitos</x:v>
      </x:c>
      <x:c r="G20" s="24" t="str">
        <x:v>Medium pelagics (30 - 89 cm)</x:v>
      </x:c>
      <x:c r="H20" s="24" t="str">
        <x:v>Perch-likes</x:v>
      </x:c>
      <x:c r="I20" s="31" t="n">
        <x:v>70.71887507699999</x:v>
      </x:c>
      <x:c r="J20" s="31" t="n">
        <x:v>70.71887507699999</x:v>
      </x:c>
      <x:c r="K20" s="31" t="n">
        <x:v>0</x:v>
      </x:c>
      <x:c r="L20" s="31" t="n">
        <x:v>57.2394813669</x:v>
      </x:c>
      <x:c r="M20" s="31" t="n">
        <x:v>13.4793937101</x:v>
      </x:c>
      <x:c r="N20" s="24" t="str">
        <x:v>scombridae</x:v>
      </x:c>
      <x:c r="O20" s="32" t="n">
        <x:v>4.26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Scombridae</x:v>
      </x:c>
      <x:c r="T20" s="32" t="n">
        <x:f>IF(O20="","",(1/'Metadata'!$B$5)^(O20-1))</x:f>
        <x:v>1819.7008586099826</x:v>
      </x:c>
      <x:c r="U20" s="31" t="n">
        <x:f>IF(T20="","",I20*T20)</x:f>
        <x:v>128687.19769754898</x:v>
      </x:c>
    </x:row>
    <x:row r="21" ht="18" customHeight="1">
      <x:c r="A21" s="24" t="str">
        <x:v>EEZ_111</x:v>
      </x:c>
      <x:c r="B21" s="24" t="str">
        <x:v>Eritrea</x:v>
      </x:c>
      <x:c r="C21" s="24" t="str">
        <x:v>EEZ</x:v>
      </x:c>
      <x:c r="D21" s="30" t="n">
        <x:v>2019</x:v>
      </x:c>
      <x:c r="E21" s="24" t="str">
        <x:v>Lethrinidae</x:v>
      </x:c>
      <x:c r="F21" s="24" t="str">
        <x:v>Emperors, scavengers</x:v>
      </x:c>
      <x:c r="G21" s="24" t="str">
        <x:v>Medium reef assoc. fish (30 - 89 cm)</x:v>
      </x:c>
      <x:c r="H21" s="24" t="str">
        <x:v>Perch-likes</x:v>
      </x:c>
      <x:c r="I21" s="31" t="n">
        <x:v>64.3288995304</x:v>
      </x:c>
      <x:c r="J21" s="31" t="n">
        <x:v>64.3288995304</x:v>
      </x:c>
      <x:c r="K21" s="31" t="n">
        <x:v>0</x:v>
      </x:c>
      <x:c r="L21" s="31" t="n">
        <x:v>28.7589763789</x:v>
      </x:c>
      <x:c r="M21" s="31" t="n">
        <x:v>35.5699231515</x:v>
      </x:c>
      <x:c r="N21" s="24" t="str">
        <x:v>lethrinidae</x:v>
      </x:c>
      <x:c r="O21" s="32" t="n">
        <x:v>3.59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Lethrinidae</x:v>
      </x:c>
      <x:c r="T21" s="32" t="n">
        <x:f>IF(O21="","",(1/'Metadata'!$B$5)^(O21-1))</x:f>
        <x:v>389.04514499428046</x:v>
      </x:c>
      <x:c r="U21" s="31" t="n">
        <x:f>IF(T21="","",I21*T21)</x:f>
        <x:v>25026.846045126968</x:v>
      </x:c>
    </x:row>
    <x:row r="22" ht="18" customHeight="1">
      <x:c r="A22" s="24" t="str">
        <x:v>EEZ_111</x:v>
      </x:c>
      <x:c r="B22" s="24" t="str">
        <x:v>Eritrea</x:v>
      </x:c>
      <x:c r="C22" s="24" t="str">
        <x:v>EEZ</x:v>
      </x:c>
      <x:c r="D22" s="30" t="n">
        <x:v>2019</x:v>
      </x:c>
      <x:c r="E22" s="24" t="str">
        <x:v>Lutjanidae</x:v>
      </x:c>
      <x:c r="F22" s="24" t="str">
        <x:v>Snappers</x:v>
      </x:c>
      <x:c r="G22" s="24" t="str">
        <x:v>Medium reef assoc. fish (30 - 89 cm)</x:v>
      </x:c>
      <x:c r="H22" s="24" t="str">
        <x:v>Perch-likes</x:v>
      </x:c>
      <x:c r="I22" s="31" t="n">
        <x:v>59.3923829954</x:v>
      </x:c>
      <x:c r="J22" s="31" t="n">
        <x:v>59.3923829954</x:v>
      </x:c>
      <x:c r="K22" s="31" t="n">
        <x:v>0</x:v>
      </x:c>
      <x:c r="L22" s="31" t="n">
        <x:v>12.0045374373</x:v>
      </x:c>
      <x:c r="M22" s="31" t="n">
        <x:v>47.387845558100004</x:v>
      </x:c>
      <x:c r="N22" s="24" t="str">
        <x:v>lutjanidae</x:v>
      </x:c>
      <x:c r="O22" s="32" t="n">
        <x:v>4.02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Lutjanidae</x:v>
      </x:c>
      <x:c r="T22" s="32" t="n">
        <x:f>IF(O22="","",(1/'Metadata'!$B$5)^(O22-1))</x:f>
        <x:v>1047.1285480508984</x:v>
      </x:c>
      <x:c r="U22" s="31" t="n">
        <x:f>IF(T22="","",I22*T22)</x:f>
        <x:v>62191.45977125607</x:v>
      </x:c>
    </x:row>
    <x:row r="23" ht="18" customHeight="1">
      <x:c r="A23" s="24" t="str">
        <x:v>EEZ_111</x:v>
      </x:c>
      <x:c r="B23" s="24" t="str">
        <x:v>Eritrea</x:v>
      </x:c>
      <x:c r="C23" s="24" t="str">
        <x:v>EEZ</x:v>
      </x:c>
      <x:c r="D23" s="30" t="n">
        <x:v>2019</x:v>
      </x:c>
      <x:c r="E23" s="24" t="str">
        <x:v>Mugilidae</x:v>
      </x:c>
      <x:c r="F23" s="24" t="str">
        <x:v>Mullets, grey mullets</x:v>
      </x:c>
      <x:c r="G23" s="24" t="str">
        <x:v>Medium reef assoc. fish (30 - 89 cm)</x:v>
      </x:c>
      <x:c r="H23" s="24" t="str">
        <x:v>Perch-likes</x:v>
      </x:c>
      <x:c r="I23" s="31" t="n">
        <x:v>58.2748389521</x:v>
      </x:c>
      <x:c r="J23" s="31" t="n">
        <x:v>58.2748389521</x:v>
      </x:c>
      <x:c r="K23" s="31" t="n">
        <x:v>0</x:v>
      </x:c>
      <x:c r="L23" s="31" t="n">
        <x:v>17.4368759113</x:v>
      </x:c>
      <x:c r="M23" s="31" t="n">
        <x:v>40.8379630408</x:v>
      </x:c>
      <x:c r="N23" s="24" t="str">
        <x:v>mugilidae</x:v>
      </x:c>
      <x:c r="O23" s="32" t="n">
        <x:v>2.53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Mugilidae</x:v>
      </x:c>
      <x:c r="T23" s="32" t="n">
        <x:f>IF(O23="","",(1/'Metadata'!$B$5)^(O23-1))</x:f>
        <x:v>33.88441561392024</x:v>
      </x:c>
      <x:c r="U23" s="31" t="n">
        <x:f>IF(T23="","",I23*T23)</x:f>
        <x:v>1974.6088628872246</x:v>
      </x:c>
    </x:row>
    <x:row r="24" ht="18" customHeight="1">
      <x:c r="A24" s="24" t="str">
        <x:v>EEZ_111</x:v>
      </x:c>
      <x:c r="B24" s="24" t="str">
        <x:v>Eritrea</x:v>
      </x:c>
      <x:c r="C24" s="24" t="str">
        <x:v>EEZ</x:v>
      </x:c>
      <x:c r="D24" s="30" t="n">
        <x:v>2019</x:v>
      </x:c>
      <x:c r="E24" s="24" t="str">
        <x:v>Tetraodontidae</x:v>
      </x:c>
      <x:c r="F24" s="24" t="str">
        <x:v>Puffers, tobies</x:v>
      </x:c>
      <x:c r="G24" s="24" t="str">
        <x:v>Large reef assoc. fish (&gt;=90 cm)</x:v>
      </x:c>
      <x:c r="H24" s="24" t="str">
        <x:v>Other fishes &amp; inverts</x:v>
      </x:c>
      <x:c r="I24" s="31" t="n">
        <x:v>51.1675992054</x:v>
      </x:c>
      <x:c r="J24" s="31" t="n">
        <x:v>0</x:v>
      </x:c>
      <x:c r="K24" s="31" t="n">
        <x:v>51.1675992054</x:v>
      </x:c>
      <x:c r="L24" s="31" t="n">
        <x:v>0</x:v>
      </x:c>
      <x:c r="M24" s="31" t="n">
        <x:v>51.1675992054</x:v>
      </x:c>
      <x:c r="N24" s="24" t="str">
        <x:v>tetraodontidae</x:v>
      </x:c>
      <x:c r="O24" s="32" t="n">
        <x:v>3.5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Tetraodontidae</x:v>
      </x:c>
      <x:c r="T24" s="32" t="n">
        <x:f>IF(O24="","",(1/'Metadata'!$B$5)^(O24-1))</x:f>
        <x:v>316.22776601683796</x:v>
      </x:c>
      <x:c r="U24" s="31" t="n">
        <x:f>IF(T24="","",I24*T24)</x:f>
        <x:v>16180.615589168576</x:v>
      </x:c>
    </x:row>
    <x:row r="25" ht="18" customHeight="1">
      <x:c r="A25" s="24" t="str">
        <x:v>EEZ_111</x:v>
      </x:c>
      <x:c r="B25" s="24" t="str">
        <x:v>Eritrea</x:v>
      </x:c>
      <x:c r="C25" s="24" t="str">
        <x:v>EEZ</x:v>
      </x:c>
      <x:c r="D25" s="30" t="n">
        <x:v>2019</x:v>
      </x:c>
      <x:c r="E25" s="24" t="str">
        <x:v>Platycephalidae</x:v>
      </x:c>
      <x:c r="F25" s="24" t="str">
        <x:v>Flatheads</x:v>
      </x:c>
      <x:c r="G25" s="24" t="str">
        <x:v>Medium demersals (30 - 89 cm)</x:v>
      </x:c>
      <x:c r="H25" s="24" t="str">
        <x:v>Scorpionfishes</x:v>
      </x:c>
      <x:c r="I25" s="31" t="n">
        <x:v>51.1675992054</x:v>
      </x:c>
      <x:c r="J25" s="31" t="n">
        <x:v>0</x:v>
      </x:c>
      <x:c r="K25" s="31" t="n">
        <x:v>51.1675992054</x:v>
      </x:c>
      <x:c r="L25" s="31" t="n">
        <x:v>0</x:v>
      </x:c>
      <x:c r="M25" s="31" t="n">
        <x:v>51.1675992054</x:v>
      </x:c>
      <x:c r="N25" s="24" t="str">
        <x:v>platycephalidae</x:v>
      </x:c>
      <x:c r="O25" s="32" t="n">
        <x:v>3.9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Platycephalidae</x:v>
      </x:c>
      <x:c r="T25" s="32" t="n">
        <x:f>IF(O25="","",(1/'Metadata'!$B$5)^(O25-1))</x:f>
        <x:v>794.3282347242813</x:v>
      </x:c>
      <x:c r="U25" s="31" t="n">
        <x:f>IF(T25="","",I25*T25)</x:f>
        <x:v>40643.86875190492</x:v>
      </x:c>
    </x:row>
    <x:row r="26" ht="18" customHeight="1">
      <x:c r="A26" s="24" t="str">
        <x:v>EEZ_111</x:v>
      </x:c>
      <x:c r="B26" s="24" t="str">
        <x:v>Eritrea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51.1675992054</x:v>
      </x:c>
      <x:c r="J26" s="31" t="n">
        <x:v>0</x:v>
      </x:c>
      <x:c r="K26" s="31" t="n">
        <x:v>51.1675992054</x:v>
      </x:c>
      <x:c r="L26" s="31" t="n">
        <x:v>0</x:v>
      </x:c>
      <x:c r="M26" s="31" t="n">
        <x:v>51.1675992054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17337.841974422685</x:v>
      </x:c>
    </x:row>
    <x:row r="27" ht="18" customHeight="1">
      <x:c r="A27" s="24" t="str">
        <x:v>EEZ_111</x:v>
      </x:c>
      <x:c r="B27" s="24" t="str">
        <x:v>Eritrea</x:v>
      </x:c>
      <x:c r="C27" s="24" t="str">
        <x:v>EEZ</x:v>
      </x:c>
      <x:c r="D27" s="30" t="n">
        <x:v>2019</x:v>
      </x:c>
      <x:c r="E27" s="24" t="str">
        <x:v>Soleidae</x:v>
      </x:c>
      <x:c r="F27" s="24" t="str">
        <x:v>Soles</x:v>
      </x:c>
      <x:c r="G27" s="24" t="str">
        <x:v>Small to medium flatfishes (&lt;90 cm)</x:v>
      </x:c>
      <x:c r="H27" s="24" t="str">
        <x:v>Flatfishes</x:v>
      </x:c>
      <x:c r="I27" s="31" t="n">
        <x:v>51.1675992054</x:v>
      </x:c>
      <x:c r="J27" s="31" t="n">
        <x:v>0</x:v>
      </x:c>
      <x:c r="K27" s="31" t="n">
        <x:v>51.1675992054</x:v>
      </x:c>
      <x:c r="L27" s="31" t="n">
        <x:v>0</x:v>
      </x:c>
      <x:c r="M27" s="31" t="n">
        <x:v>51.1675992054</x:v>
      </x:c>
      <x:c r="N27" s="24" t="str">
        <x:v>soleidae</x:v>
      </x:c>
      <x:c r="O27" s="32" t="n">
        <x:v>3.15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Soleidae</x:v>
      </x:c>
      <x:c r="T27" s="32" t="n">
        <x:f>IF(O27="","",(1/'Metadata'!$B$5)^(O27-1))</x:f>
        <x:v>141.2537544622754</x:v>
      </x:c>
      <x:c r="U27" s="31" t="n">
        <x:f>IF(T27="","",I27*T27)</x:f>
        <x:v>7227.61549458369</x:v>
      </x:c>
    </x:row>
    <x:row r="28" ht="18" customHeight="1">
      <x:c r="A28" s="24" t="str">
        <x:v>EEZ_111</x:v>
      </x:c>
      <x:c r="B28" s="24" t="str">
        <x:v>Eritrea</x:v>
      </x:c>
      <x:c r="C28" s="24" t="str">
        <x:v>EEZ</x:v>
      </x:c>
      <x:c r="D28" s="30" t="n">
        <x:v>2019</x:v>
      </x:c>
      <x:c r="E28" s="24" t="str">
        <x:v>Rachycentridae</x:v>
      </x:c>
      <x:c r="F28" s="24" t="str">
        <x:v>Cobias</x:v>
      </x:c>
      <x:c r="G28" s="24" t="str">
        <x:v>Large pelagics (&gt;=90 cm)</x:v>
      </x:c>
      <x:c r="H28" s="24" t="str">
        <x:v>Perch-likes</x:v>
      </x:c>
      <x:c r="I28" s="31" t="n">
        <x:v>42.9341311481</x:v>
      </x:c>
      <x:c r="J28" s="31" t="n">
        <x:v>42.9341311481</x:v>
      </x:c>
      <x:c r="K28" s="31" t="n">
        <x:v>0</x:v>
      </x:c>
      <x:c r="L28" s="31" t="n">
        <x:v>13.068503348</x:v>
      </x:c>
      <x:c r="M28" s="31" t="n">
        <x:v>29.8656278001</x:v>
      </x:c>
      <x:c r="N28" s="24" t="str">
        <x:v>rachycentridae</x:v>
      </x:c>
      <x:c r="O28" s="32" t="n">
        <x:v>3.96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Rachycentridae</x:v>
      </x:c>
      <x:c r="T28" s="32" t="n">
        <x:f>IF(O28="","",(1/'Metadata'!$B$5)^(O28-1))</x:f>
        <x:v>912.0108393559096</x:v>
      </x:c>
      <x:c r="U28" s="31" t="n">
        <x:f>IF(T28="","",I28*T28)</x:f>
        <x:v>39156.39298539539</x:v>
      </x:c>
    </x:row>
    <x:row r="29" ht="18" customHeight="1">
      <x:c r="A29" s="24" t="str">
        <x:v>EEZ_111</x:v>
      </x:c>
      <x:c r="B29" s="24" t="str">
        <x:v>Eritrea</x:v>
      </x:c>
      <x:c r="C29" s="24" t="str">
        <x:v>EEZ</x:v>
      </x:c>
      <x:c r="D29" s="30" t="n">
        <x:v>2019</x:v>
      </x:c>
      <x:c r="E29" s="24" t="str">
        <x:v>Mullidae</x:v>
      </x:c>
      <x:c r="F29" s="24" t="str">
        <x:v>Goatfishes</x:v>
      </x:c>
      <x:c r="G29" s="24" t="str">
        <x:v>Medium reef assoc. fish (30 - 89 cm)</x:v>
      </x:c>
      <x:c r="H29" s="24" t="str">
        <x:v>Perch-likes</x:v>
      </x:c>
      <x:c r="I29" s="31" t="n">
        <x:v>36.6174446994</x:v>
      </x:c>
      <x:c r="J29" s="31" t="n">
        <x:v>11.033645096699999</x:v>
      </x:c>
      <x:c r="K29" s="31" t="n">
        <x:v>25.5837996027</x:v>
      </x:c>
      <x:c r="L29" s="31" t="n">
        <x:v>8.5198755664</x:v>
      </x:c>
      <x:c r="M29" s="31" t="n">
        <x:v>28.097569133</x:v>
      </x:c>
      <x:c r="N29" s="24" t="str">
        <x:v>mullidae</x:v>
      </x:c>
      <x:c r="O29" s="32" t="n">
        <x:v>3.46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Mullidae</x:v>
      </x:c>
      <x:c r="T29" s="32" t="n">
        <x:f>IF(O29="","",(1/'Metadata'!$B$5)^(O29-1))</x:f>
        <x:v>288.40315031266056</x:v>
      </x:c>
      <x:c r="U29" s="31" t="n">
        <x:f>IF(T29="","",I29*T29)</x:f>
        <x:v>10560.586407706593</x:v>
      </x:c>
    </x:row>
    <x:row r="30" ht="18" customHeight="1">
      <x:c r="A30" s="24" t="str">
        <x:v>EEZ_111</x:v>
      </x:c>
      <x:c r="B30" s="24" t="str">
        <x:v>Eritrea</x:v>
      </x:c>
      <x:c r="C30" s="24" t="str">
        <x:v>EEZ</x:v>
      </x:c>
      <x:c r="D30" s="30" t="n">
        <x:v>2019</x:v>
      </x:c>
      <x:c r="E30" s="24" t="str">
        <x:v>Serranidae</x:v>
      </x:c>
      <x:c r="F30" s="24" t="str">
        <x:v>Basses, groupers, hinds</x:v>
      </x:c>
      <x:c r="G30" s="24" t="str">
        <x:v>Medium reef assoc. fish (30 - 89 cm)</x:v>
      </x:c>
      <x:c r="H30" s="24" t="str">
        <x:v>Perch-likes</x:v>
      </x:c>
      <x:c r="I30" s="31" t="n">
        <x:v>33.4937751211</x:v>
      </x:c>
      <x:c r="J30" s="31" t="n">
        <x:v>33.4937751211</x:v>
      </x:c>
      <x:c r="K30" s="31" t="n">
        <x:v>0</x:v>
      </x:c>
      <x:c r="L30" s="31" t="n">
        <x:v>23.016338224200002</x:v>
      </x:c>
      <x:c r="M30" s="31" t="n">
        <x:v>10.4774368969</x:v>
      </x:c>
      <x:c r="N30" s="24" t="str">
        <x:v>serranidae</x:v>
      </x:c>
      <x:c r="O30" s="32" t="n">
        <x:v>3.98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Serranidae</x:v>
      </x:c>
      <x:c r="T30" s="32" t="n">
        <x:f>IF(O30="","",(1/'Metadata'!$B$5)^(O30-1))</x:f>
        <x:v>954.992586021436</x:v>
      </x:c>
      <x:c r="U30" s="31" t="n">
        <x:f>IF(T30="","",I30*T30)</x:f>
        <x:v>31986.306918519724</x:v>
      </x:c>
    </x:row>
    <x:row r="31" ht="18" customHeight="1">
      <x:c r="A31" s="24" t="str">
        <x:v>EEZ_111</x:v>
      </x:c>
      <x:c r="B31" s="24" t="str">
        <x:v>Eritrea</x:v>
      </x:c>
      <x:c r="C31" s="24" t="str">
        <x:v>EEZ</x:v>
      </x:c>
      <x:c r="D31" s="30" t="n">
        <x:v>2019</x:v>
      </x:c>
      <x:c r="E31" s="24" t="str">
        <x:v>Lutjanus bohar</x:v>
      </x:c>
      <x:c r="F31" s="24" t="str">
        <x:v>Two-spot red snapper</x:v>
      </x:c>
      <x:c r="G31" s="24" t="str">
        <x:v>Medium reef assoc. fish (30 - 89 cm)</x:v>
      </x:c>
      <x:c r="H31" s="24" t="str">
        <x:v>Perch-likes</x:v>
      </x:c>
      <x:c r="I31" s="31" t="n">
        <x:v>28.0270505355</x:v>
      </x:c>
      <x:c r="J31" s="31" t="n">
        <x:v>28.0270505355</x:v>
      </x:c>
      <x:c r="K31" s="31" t="n">
        <x:v>0</x:v>
      </x:c>
      <x:c r="L31" s="31" t="n">
        <x:v>3.1032127640000002</x:v>
      </x:c>
      <x:c r="M31" s="31" t="n">
        <x:v>24.9238377715</x:v>
      </x:c>
      <x:c r="N31" s="24" t="str">
        <x:v>lutjanus bohar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bohar</x:v>
      </x:c>
      <x:c r="T31" s="32" t="n">
        <x:f>IF(O31="","",(1/'Metadata'!$B$5)^(O31-1))</x:f>
        <x:v>1862.0871366628655</x:v>
      </x:c>
      <x:c r="U31" s="31" t="n">
        <x:f>IF(T31="","",I31*T31)</x:f>
        <x:v>52188.810280754624</x:v>
      </x:c>
    </x:row>
    <x:row r="32" ht="18" customHeight="1">
      <x:c r="A32" s="24" t="str">
        <x:v>EEZ_111</x:v>
      </x:c>
      <x:c r="B32" s="24" t="str">
        <x:v>Eritrea</x:v>
      </x:c>
      <x:c r="C32" s="24" t="str">
        <x:v>EEZ</x:v>
      </x:c>
      <x:c r="D32" s="30" t="n">
        <x:v>2019</x:v>
      </x:c>
      <x:c r="E32" s="24" t="str">
        <x:v>Lethrinus microdon</x:v>
      </x:c>
      <x:c r="F32" s="24" t="str">
        <x:v>Smalltooth emperor</x:v>
      </x:c>
      <x:c r="G32" s="24" t="str">
        <x:v>Medium reef assoc. fish (30 - 89 cm)</x:v>
      </x:c>
      <x:c r="H32" s="24" t="str">
        <x:v>Perch-likes</x:v>
      </x:c>
      <x:c r="I32" s="31" t="n">
        <x:v>27.292373186200003</x:v>
      </x:c>
      <x:c r="J32" s="31" t="n">
        <x:v>27.292373186200003</x:v>
      </x:c>
      <x:c r="K32" s="31" t="n">
        <x:v>0</x:v>
      </x:c>
      <x:c r="L32" s="31" t="n">
        <x:v>9.564315763300002</x:v>
      </x:c>
      <x:c r="M32" s="31" t="n">
        <x:v>17.7280574229</x:v>
      </x:c>
      <x:c r="N32" s="24" t="str">
        <x:v>lethrinus microdon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Lethrinus microdon</x:v>
      </x:c>
      <x:c r="T32" s="32" t="n">
        <x:f>IF(O32="","",(1/'Metadata'!$B$5)^(O32-1))</x:f>
        <x:v>616.5950018614822</x:v>
      </x:c>
      <x:c r="U32" s="31" t="n">
        <x:f>IF(T32="","",I32*T32)</x:f>
        <x:v>16828.340895549256</x:v>
      </x:c>
    </x:row>
    <x:row r="33" ht="18" customHeight="1">
      <x:c r="A33" s="24" t="str">
        <x:v>EEZ_111</x:v>
      </x:c>
      <x:c r="B33" s="24" t="str">
        <x:v>Eritrea</x:v>
      </x:c>
      <x:c r="C33" s="24" t="str">
        <x:v>EEZ</x:v>
      </x:c>
      <x:c r="D33" s="30" t="n">
        <x:v>2019</x:v>
      </x:c>
      <x:c r="E33" s="24" t="str">
        <x:v>Euthynnus affinis</x:v>
      </x:c>
      <x:c r="F33" s="24" t="str">
        <x:v>Kawakawa</x:v>
      </x:c>
      <x:c r="G33" s="24" t="str">
        <x:v>Large pelagics (&gt;=90 cm)</x:v>
      </x:c>
      <x:c r="H33" s="24" t="str">
        <x:v>Tuna &amp; billfishes</x:v>
      </x:c>
      <x:c r="I33" s="31" t="n">
        <x:v>24.0136900666</x:v>
      </x:c>
      <x:c r="J33" s="31" t="n">
        <x:v>24.0136900666</x:v>
      </x:c>
      <x:c r="K33" s="31" t="n">
        <x:v>0</x:v>
      </x:c>
      <x:c r="L33" s="31" t="n">
        <x:v>0</x:v>
      </x:c>
      <x:c r="M33" s="31" t="n">
        <x:v>24.0136900666</x:v>
      </x:c>
      <x:c r="N33" s="24" t="str">
        <x:v>euthynnus affinis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Euthynnus affinis</x:v>
      </x:c>
      <x:c r="T33" s="32" t="n">
        <x:f>IF(O33="","",(1/'Metadata'!$B$5)^(O33-1))</x:f>
        <x:v>3162.2776601683795</x:v>
      </x:c>
      <x:c r="U33" s="31" t="n">
        <x:f>IF(T33="","",I33*T33)</x:f>
        <x:v>75937.9556358165</x:v>
      </x:c>
    </x:row>
    <x:row r="34" ht="18" customHeight="1">
      <x:c r="A34" s="24" t="str">
        <x:v>EEZ_111</x:v>
      </x:c>
      <x:c r="B34" s="24" t="str">
        <x:v>Eritrea</x:v>
      </x:c>
      <x:c r="C34" s="24" t="str">
        <x:v>EEZ</x:v>
      </x:c>
      <x:c r="D34" s="30" t="n">
        <x:v>2019</x:v>
      </x:c>
      <x:c r="E34" s="24" t="str">
        <x:v>Chanos chanos</x:v>
      </x:c>
      <x:c r="F34" s="24" t="str">
        <x:v>Milkfish</x:v>
      </x:c>
      <x:c r="G34" s="24" t="str">
        <x:v>Large benthopelagics (&gt;=90 cm)</x:v>
      </x:c>
      <x:c r="H34" s="24" t="str">
        <x:v>Other fishes &amp; inverts</x:v>
      </x:c>
      <x:c r="I34" s="31" t="n">
        <x:v>21.965505383</x:v>
      </x:c>
      <x:c r="J34" s="31" t="n">
        <x:v>21.965505383</x:v>
      </x:c>
      <x:c r="K34" s="31" t="n">
        <x:v>0</x:v>
      </x:c>
      <x:c r="L34" s="31" t="n">
        <x:v>6.5004538205</x:v>
      </x:c>
      <x:c r="M34" s="31" t="n">
        <x:v>15.4650515625</x:v>
      </x:c>
      <x:c r="N34" s="24" t="str">
        <x:v>chanos chanos</x:v>
      </x:c>
      <x:c r="O34" s="32" t="n">
        <x:v>2.03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Chanos chanos</x:v>
      </x:c>
      <x:c r="T34" s="32" t="n">
        <x:f>IF(O34="","",(1/'Metadata'!$B$5)^(O34-1))</x:f>
        <x:v>10.71519305237606</x:v>
      </x:c>
      <x:c r="U34" s="31" t="n">
        <x:f>IF(T34="","",I34*T34)</x:f>
        <x:v>235.36463067185056</x:v>
      </x:c>
    </x:row>
    <x:row r="35" ht="18" customHeight="1">
      <x:c r="A35" s="24" t="str">
        <x:v>EEZ_111</x:v>
      </x:c>
      <x:c r="B35" s="24" t="str">
        <x:v>Eritrea</x:v>
      </x:c>
      <x:c r="C35" s="24" t="str">
        <x:v>EEZ</x:v>
      </x:c>
      <x:c r="D35" s="30" t="n">
        <x:v>2019</x:v>
      </x:c>
      <x:c r="E35" s="24" t="str">
        <x:v>Plectorhinchus schotaf</x:v>
      </x:c>
      <x:c r="F35" s="24" t="str">
        <x:v>Minstrel sweetlips</x:v>
      </x:c>
      <x:c r="G35" s="24" t="str">
        <x:v>Medium reef assoc. fish (30 - 89 cm)</x:v>
      </x:c>
      <x:c r="H35" s="24" t="str">
        <x:v>Perch-likes</x:v>
      </x:c>
      <x:c r="I35" s="31" t="n">
        <x:v>15.020306062400001</x:v>
      </x:c>
      <x:c r="J35" s="31" t="n">
        <x:v>15.020306062400001</x:v>
      </x:c>
      <x:c r="K35" s="31" t="n">
        <x:v>0</x:v>
      </x:c>
      <x:c r="L35" s="31" t="n">
        <x:v>15.0050698607</x:v>
      </x:c>
      <x:c r="M35" s="31" t="n">
        <x:v>0.0152362017</x:v>
      </x:c>
      <x:c r="N35" s="24" t="str">
        <x:v>plectorhinchus schotaf</x:v>
      </x:c>
      <x:c r="O35" s="32" t="n">
        <x:v>3.82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Plectorhinchus schotaf</x:v>
      </x:c>
      <x:c r="T35" s="32" t="n">
        <x:f>IF(O35="","",(1/'Metadata'!$B$5)^(O35-1))</x:f>
        <x:v>660.6934480075957</x:v>
      </x:c>
      <x:c r="U35" s="31" t="n">
        <x:f>IF(T35="","",I35*T35)</x:f>
        <x:v>9923.81780249645</x:v>
      </x:c>
    </x:row>
    <x:row r="36" ht="18" customHeight="1">
      <x:c r="A36" s="24" t="str">
        <x:v>EEZ_111</x:v>
      </x:c>
      <x:c r="B36" s="24" t="str">
        <x:v>Eritrea</x:v>
      </x:c>
      <x:c r="C36" s="24" t="str">
        <x:v>EEZ</x:v>
      </x:c>
      <x:c r="D36" s="30" t="n">
        <x:v>2019</x:v>
      </x:c>
      <x:c r="E36" s="24" t="str">
        <x:v>Bothidae</x:v>
      </x:c>
      <x:c r="F36" s="24" t="str">
        <x:v>Lefteye flounders</x:v>
      </x:c>
      <x:c r="G36" s="24" t="str">
        <x:v>Small to medium flatfishes (&lt;90 cm)</x:v>
      </x:c>
      <x:c r="H36" s="24" t="str">
        <x:v>Flatfishes</x:v>
      </x:c>
      <x:c r="I36" s="31" t="n">
        <x:v>14.8540913151</x:v>
      </x:c>
      <x:c r="J36" s="31" t="n">
        <x:v>14.8540913151</x:v>
      </x:c>
      <x:c r="K36" s="31" t="n">
        <x:v>0</x:v>
      </x:c>
      <x:c r="L36" s="31" t="n">
        <x:v>8.1790805437</x:v>
      </x:c>
      <x:c r="M36" s="31" t="n">
        <x:v>6.6750107714</x:v>
      </x:c>
      <x:c r="N36" s="24" t="str">
        <x:v>bothidae</x:v>
      </x:c>
      <x:c r="O36" s="32" t="n">
        <x:v>3.77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Bothidae</x:v>
      </x:c>
      <x:c r="T36" s="32" t="n">
        <x:f>IF(O36="","",(1/'Metadata'!$B$5)^(O36-1))</x:f>
        <x:v>588.843655355589</x:v>
      </x:c>
      <x:c r="U36" s="31" t="n">
        <x:f>IF(T36="","",I36*T36)</x:f>
        <x:v>8746.737426969192</x:v>
      </x:c>
    </x:row>
    <x:row r="37" ht="18" customHeight="1">
      <x:c r="A37" s="24" t="str">
        <x:v>EEZ_111</x:v>
      </x:c>
      <x:c r="B37" s="24" t="str">
        <x:v>Eritrea</x:v>
      </x:c>
      <x:c r="C37" s="24" t="str">
        <x:v>EEZ</x:v>
      </x:c>
      <x:c r="D37" s="30" t="n">
        <x:v>2019</x:v>
      </x:c>
      <x:c r="E37" s="24" t="str">
        <x:v>Rastrelliger kanagurta</x:v>
      </x:c>
      <x:c r="F37" s="24" t="str">
        <x:v>Indian mackerel</x:v>
      </x:c>
      <x:c r="G37" s="24" t="str">
        <x:v>Medium pelagics (30 - 89 cm)</x:v>
      </x:c>
      <x:c r="H37" s="24" t="str">
        <x:v>Perch-likes</x:v>
      </x:c>
      <x:c r="I37" s="31" t="n">
        <x:v>12.732673887499999</x:v>
      </x:c>
      <x:c r="J37" s="31" t="n">
        <x:v>12.732673887499999</x:v>
      </x:c>
      <x:c r="K37" s="31" t="n">
        <x:v>0</x:v>
      </x:c>
      <x:c r="L37" s="31" t="n">
        <x:v>12.732673887499999</x:v>
      </x:c>
      <x:c r="M37" s="31" t="n">
        <x:v>0</x:v>
      </x:c>
      <x:c r="N37" s="24" t="str">
        <x:v>rastrelliger kanagurta</x:v>
      </x:c>
      <x:c r="O37" s="32" t="n">
        <x:v>3.19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Rastrelliger kanagurta</x:v>
      </x:c>
      <x:c r="T37" s="32" t="n">
        <x:f>IF(O37="","",(1/'Metadata'!$B$5)^(O37-1))</x:f>
        <x:v>154.88166189124811</x:v>
      </x:c>
      <x:c r="U37" s="31" t="n">
        <x:f>IF(T37="","",I37*T37)</x:f>
        <x:v>1972.0576920152985</x:v>
      </x:c>
    </x:row>
    <x:row r="38" ht="18" customHeight="1">
      <x:c r="A38" s="24" t="str">
        <x:v>EEZ_111</x:v>
      </x:c>
      <x:c r="B38" s="24" t="str">
        <x:v>Eritrea</x:v>
      </x:c>
      <x:c r="C38" s="24" t="str">
        <x:v>EEZ</x:v>
      </x:c>
      <x:c r="D38" s="30" t="n">
        <x:v>2019</x:v>
      </x:c>
      <x:c r="E38" s="24" t="str">
        <x:v>Loliginidae</x:v>
      </x:c>
      <x:c r="F38" s="24" t="str">
        <x:v>Common pencil squids</x:v>
      </x:c>
      <x:c r="G38" s="24" t="str">
        <x:v>Cephalopods</x:v>
      </x:c>
      <x:c r="H38" s="24" t="str">
        <x:v>Other fishes &amp; inverts</x:v>
      </x:c>
      <x:c r="I38" s="31" t="n">
        <x:v>10.056125143600001</x:v>
      </x:c>
      <x:c r="J38" s="31" t="n">
        <x:v>10.056125143600001</x:v>
      </x:c>
      <x:c r="K38" s="31" t="n">
        <x:v>0</x:v>
      </x:c>
      <x:c r="L38" s="31" t="n">
        <x:v>9.5253617077</x:v>
      </x:c>
      <x:c r="M38" s="31" t="n">
        <x:v>0.5307634359</x:v>
      </x:c>
      <x:c r="N38" s="24" t="str">
        <x:v>loliginidae</x:v>
      </x:c>
      <x:c r="O38" s="32" t="n">
        <x:v>3.9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Loliginidae</x:v>
      </x:c>
      <x:c r="T38" s="32" t="n">
        <x:f>IF(O38="","",(1/'Metadata'!$B$5)^(O38-1))</x:f>
        <x:v>794.3282347242813</x:v>
      </x:c>
      <x:c r="U38" s="31" t="n">
        <x:f>IF(T38="","",I38*T38)</x:f>
        <x:v>7987.864133482249</x:v>
      </x:c>
    </x:row>
    <x:row r="39" ht="18" customHeight="1">
      <x:c r="A39" s="24" t="str">
        <x:v>EEZ_111</x:v>
      </x:c>
      <x:c r="B39" s="24" t="str">
        <x:v>Eritrea</x:v>
      </x:c>
      <x:c r="C39" s="24" t="str">
        <x:v>EEZ</x:v>
      </x:c>
      <x:c r="D39" s="30" t="n">
        <x:v>2019</x:v>
      </x:c>
      <x:c r="E39" s="24" t="str">
        <x:v>Sepiidae</x:v>
      </x:c>
      <x:c r="F39" s="24" t="str">
        <x:v>Cuttlefishes</x:v>
      </x:c>
      <x:c r="G39" s="24" t="str">
        <x:v>Cephalopods</x:v>
      </x:c>
      <x:c r="H39" s="24" t="str">
        <x:v>Other fishes &amp; inverts</x:v>
      </x:c>
      <x:c r="I39" s="31" t="n">
        <x:v>8.5519800473</x:v>
      </x:c>
      <x:c r="J39" s="31" t="n">
        <x:v>8.5519800473</x:v>
      </x:c>
      <x:c r="K39" s="31" t="n">
        <x:v>0</x:v>
      </x:c>
      <x:c r="L39" s="31" t="n">
        <x:v>8.3480698111</x:v>
      </x:c>
      <x:c r="M39" s="31" t="n">
        <x:v>0.2039102362</x:v>
      </x:c>
      <x:c r="N39" s="24" t="str">
        <x:v>sepiidae</x:v>
      </x:c>
      <x:c r="O39" s="32" t="n">
        <x:v>3.6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Sepiidae</x:v>
      </x:c>
      <x:c r="T39" s="32" t="n">
        <x:f>IF(O39="","",(1/'Metadata'!$B$5)^(O39-1))</x:f>
        <x:v>398.1071705534973</x:v>
      </x:c>
      <x:c r="U39" s="31" t="n">
        <x:f>IF(T39="","",I39*T39)</x:f>
        <x:v>3404.6045792605673</x:v>
      </x:c>
    </x:row>
    <x:row r="40" ht="18" customHeight="1">
      <x:c r="A40" s="24" t="str">
        <x:v>EEZ_111</x:v>
      </x:c>
      <x:c r="B40" s="24" t="str">
        <x:v>Eritrea</x:v>
      </x:c>
      <x:c r="C40" s="24" t="str">
        <x:v>EEZ</x:v>
      </x:c>
      <x:c r="D40" s="30" t="n">
        <x:v>2019</x:v>
      </x:c>
      <x:c r="E40" s="24" t="str">
        <x:v>Lutjanus gibbus</x:v>
      </x:c>
      <x:c r="F40" s="24" t="str">
        <x:v>Humpback red snapper</x:v>
      </x:c>
      <x:c r="G40" s="24" t="str">
        <x:v>Medium reef assoc. fish (30 - 89 cm)</x:v>
      </x:c>
      <x:c r="H40" s="24" t="str">
        <x:v>Perch-likes</x:v>
      </x:c>
      <x:c r="I40" s="31" t="n">
        <x:v>3.3126868609</x:v>
      </x:c>
      <x:c r="J40" s="31" t="n">
        <x:v>3.3126868609</x:v>
      </x:c>
      <x:c r="K40" s="31" t="n">
        <x:v>0</x:v>
      </x:c>
      <x:c r="L40" s="31" t="n">
        <x:v>0.262405074</x:v>
      </x:c>
      <x:c r="M40" s="31" t="n">
        <x:v>3.0502817869</x:v>
      </x:c>
      <x:c r="N40" s="24" t="str">
        <x:v>lutjanus gibbus</x:v>
      </x:c>
      <x:c r="O40" s="32" t="n">
        <x:v>4.12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Lutjanus gibbus</x:v>
      </x:c>
      <x:c r="T40" s="32" t="n">
        <x:f>IF(O40="","",(1/'Metadata'!$B$5)^(O40-1))</x:f>
        <x:v>1318.2567385564075</x:v>
      </x:c>
      <x:c r="U40" s="31" t="n">
        <x:f>IF(T40="","",I40*T40)</x:f>
        <x:v>4366.971777108698</x:v>
      </x:c>
    </x:row>
    <x:row r="41" ht="18" customHeight="1">
      <x:c r="A41" s="24" t="str">
        <x:v>EEZ_111</x:v>
      </x:c>
      <x:c r="B41" s="24" t="str">
        <x:v>Eritrea</x:v>
      </x:c>
      <x:c r="C41" s="24" t="str">
        <x:v>EEZ</x:v>
      </x:c>
      <x:c r="D41" s="30" t="n">
        <x:v>2019</x:v>
      </x:c>
      <x:c r="E41" s="24" t="str">
        <x:v>Scaridae</x:v>
      </x:c>
      <x:c r="F41" s="24" t="str">
        <x:v>Parrotfishes</x:v>
      </x:c>
      <x:c r="G41" s="24" t="str">
        <x:v>Medium reef assoc. fish (30 - 89 cm)</x:v>
      </x:c>
      <x:c r="H41" s="24" t="str">
        <x:v>Perch-likes</x:v>
      </x:c>
      <x:c r="I41" s="31" t="n">
        <x:v>3.2712980589000002</x:v>
      </x:c>
      <x:c r="J41" s="31" t="n">
        <x:v>3.2712980589000002</x:v>
      </x:c>
      <x:c r="K41" s="31" t="n">
        <x:v>0</x:v>
      </x:c>
      <x:c r="L41" s="31" t="n">
        <x:v>3.0587057406</x:v>
      </x:c>
      <x:c r="M41" s="31" t="n">
        <x:v>0.2125923183</x:v>
      </x:c>
      <x:c r="N41" s="24" t="str">
        <x:v>scaridae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Scaridae</x:v>
      </x:c>
      <x:c r="T41" s="32" t="n">
        <x:f>IF(O41="","",(1/'Metadata'!$B$5)^(O41-1))</x:f>
        <x:v>10</x:v>
      </x:c>
      <x:c r="U41" s="31" t="n">
        <x:f>IF(T41="","",I41*T41)</x:f>
        <x:v>32.712980589000004</x:v>
      </x:c>
    </x:row>
    <x:row r="42" ht="18" customHeight="1">
      <x:c r="A42" s="24" t="str">
        <x:v>EEZ_111</x:v>
      </x:c>
      <x:c r="B42" s="24" t="str">
        <x:v>Eritrea</x:v>
      </x:c>
      <x:c r="C42" s="24" t="str">
        <x:v>EEZ</x:v>
      </x:c>
      <x:c r="D42" s="30" t="n">
        <x:v>2019</x:v>
      </x:c>
      <x:c r="E42" s="24" t="str">
        <x:v>Pristipomoides multidens</x:v>
      </x:c>
      <x:c r="F42" s="24" t="str">
        <x:v>Goldbanded jobfish</x:v>
      </x:c>
      <x:c r="G42" s="24" t="str">
        <x:v>Medium demersals (30 - 89 cm)</x:v>
      </x:c>
      <x:c r="H42" s="24" t="str">
        <x:v>Perch-likes</x:v>
      </x:c>
      <x:c r="I42" s="31" t="n">
        <x:v>2.4834868717</x:v>
      </x:c>
      <x:c r="J42" s="31" t="n">
        <x:v>2.4834868717</x:v>
      </x:c>
      <x:c r="K42" s="31" t="n">
        <x:v>0</x:v>
      </x:c>
      <x:c r="L42" s="31" t="n">
        <x:v>0</x:v>
      </x:c>
      <x:c r="M42" s="31" t="n">
        <x:v>2.4834868717</x:v>
      </x:c>
      <x:c r="N42" s="24" t="str">
        <x:v>pristipomoides multidens</x:v>
      </x:c>
      <x:c r="O42" s="32" t="n">
        <x:v>3.84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Pristipomoides multidens</x:v>
      </x:c>
      <x:c r="T42" s="32" t="n">
        <x:f>IF(O42="","",(1/'Metadata'!$B$5)^(O42-1))</x:f>
        <x:v>691.8309709189363</x:v>
      </x:c>
      <x:c r="U42" s="31" t="n">
        <x:f>IF(T42="","",I42*T42)</x:f>
        <x:v>1718.1531337126426</x:v>
      </x:c>
    </x:row>
    <x:row r="43" ht="18" customHeight="1">
      <x:c r="A43" s="24" t="str">
        <x:v>EEZ_111</x:v>
      </x:c>
      <x:c r="B43" s="24" t="str">
        <x:v>Eritrea</x:v>
      </x:c>
      <x:c r="C43" s="24" t="str">
        <x:v>EEZ</x:v>
      </x:c>
      <x:c r="D43" s="30" t="n">
        <x:v>2019</x:v>
      </x:c>
      <x:c r="E43" s="24" t="str">
        <x:v>Lethrinus mahsena</x:v>
      </x:c>
      <x:c r="F43" s="24" t="str">
        <x:v>Sky emperor</x:v>
      </x:c>
      <x:c r="G43" s="24" t="str">
        <x:v>Medium reef assoc. fish (30 - 89 cm)</x:v>
      </x:c>
      <x:c r="H43" s="24" t="str">
        <x:v>Perch-likes</x:v>
      </x:c>
      <x:c r="I43" s="31" t="n">
        <x:v>2.0316464879</x:v>
      </x:c>
      <x:c r="J43" s="31" t="n">
        <x:v>2.0316464879</x:v>
      </x:c>
      <x:c r="K43" s="31" t="n">
        <x:v>0</x:v>
      </x:c>
      <x:c r="L43" s="31" t="n">
        <x:v>0.4225343193</x:v>
      </x:c>
      <x:c r="M43" s="31" t="n">
        <x:v>1.6091121686</x:v>
      </x:c>
      <x:c r="N43" s="24" t="str">
        <x:v>lethrinus mahsena</x:v>
      </x:c>
      <x:c r="O43" s="32" t="n">
        <x:v>3.43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Lethrinus mahsena</x:v>
      </x:c>
      <x:c r="T43" s="32" t="n">
        <x:f>IF(O43="","",(1/'Metadata'!$B$5)^(O43-1))</x:f>
        <x:v>269.1534803926917</x:v>
      </x:c>
      <x:c r="U43" s="31" t="n">
        <x:f>IF(T43="","",I43*T43)</x:f>
        <x:v>546.8247231458735</x:v>
      </x:c>
    </x:row>
    <x:row r="44" ht="18" customHeight="1">
      <x:c r="A44" s="24" t="str">
        <x:v>EEZ_111</x:v>
      </x:c>
      <x:c r="B44" s="24" t="str">
        <x:v>Eritrea</x:v>
      </x:c>
      <x:c r="C44" s="24" t="str">
        <x:v>EEZ</x:v>
      </x:c>
      <x:c r="D44" s="30" t="n">
        <x:v>2019</x:v>
      </x:c>
      <x:c r="E44" s="24" t="str">
        <x:v>Istiophoridae</x:v>
      </x:c>
      <x:c r="F44" s="24" t="str">
        <x:v>Billfishes</x:v>
      </x:c>
      <x:c r="G44" s="24" t="str">
        <x:v>Large pelagics (&gt;=90 cm)</x:v>
      </x:c>
      <x:c r="H44" s="24" t="str">
        <x:v>Tuna &amp; billfishes</x:v>
      </x:c>
      <x:c r="I44" s="31" t="n">
        <x:v>1.9607720806</x:v>
      </x:c>
      <x:c r="J44" s="31" t="n">
        <x:v>1.9607720806</x:v>
      </x:c>
      <x:c r="K44" s="31" t="n">
        <x:v>0</x:v>
      </x:c>
      <x:c r="L44" s="31" t="n">
        <x:v>0</x:v>
      </x:c>
      <x:c r="M44" s="31" t="n">
        <x:v>1.9607720806</x:v>
      </x:c>
      <x:c r="N44" s="24" t="str">
        <x:v>istiophoridae</x:v>
      </x:c>
      <x:c r="O44" s="32" t="n">
        <x:v>4.48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Istiophoridae</x:v>
      </x:c>
      <x:c r="T44" s="32" t="n">
        <x:f>IF(O44="","",(1/'Metadata'!$B$5)^(O44-1))</x:f>
        <x:v>3019.951720402019</x:v>
      </x:c>
      <x:c r="U44" s="31" t="n">
        <x:f>IF(T44="","",I44*T44)</x:f>
        <x:v>5921.437018124216</x:v>
      </x:c>
    </x:row>
    <x:row r="45" ht="18" customHeight="1">
      <x:c r="A45" s="24" t="str">
        <x:v>EEZ_111</x:v>
      </x:c>
      <x:c r="B45" s="24" t="str">
        <x:v>Eritrea</x:v>
      </x:c>
      <x:c r="C45" s="24" t="str">
        <x:v>EEZ</x:v>
      </x:c>
      <x:c r="D45" s="30" t="n">
        <x:v>2019</x:v>
      </x:c>
      <x:c r="E45" s="24" t="str">
        <x:v>Epinephelus chlorostigma</x:v>
      </x:c>
      <x:c r="F45" s="24" t="str">
        <x:v>Brownspotted grouper</x:v>
      </x:c>
      <x:c r="G45" s="24" t="str">
        <x:v>Medium reef assoc. fish (30 - 89 cm)</x:v>
      </x:c>
      <x:c r="H45" s="24" t="str">
        <x:v>Perch-likes</x:v>
      </x:c>
      <x:c r="I45" s="31" t="n">
        <x:v>1.5415399088</x:v>
      </x:c>
      <x:c r="J45" s="31" t="n">
        <x:v>1.5415399088</x:v>
      </x:c>
      <x:c r="K45" s="31" t="n">
        <x:v>0</x:v>
      </x:c>
      <x:c r="L45" s="31" t="n">
        <x:v>0</x:v>
      </x:c>
      <x:c r="M45" s="31" t="n">
        <x:v>1.5415399088</x:v>
      </x:c>
      <x:c r="N45" s="24" t="str">
        <x:v>epinephelus chlorostigma</x:v>
      </x:c>
      <x:c r="O45" s="32" t="n">
        <x:v>3.99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Epinephelus chlorostigma</x:v>
      </x:c>
      <x:c r="T45" s="32" t="n">
        <x:f>IF(O45="","",(1/'Metadata'!$B$5)^(O45-1))</x:f>
        <x:v>977.2372209558112</x:v>
      </x:c>
      <x:c r="U45" s="31" t="n">
        <x:f>IF(T45="","",I45*T45)</x:f>
        <x:v>1506.4501764681866</x:v>
      </x:c>
    </x:row>
    <x:row r="46" ht="18" customHeight="1">
      <x:c r="A46" s="24" t="str">
        <x:v>EEZ_111</x:v>
      </x:c>
      <x:c r="B46" s="24" t="str">
        <x:v>Eritrea</x:v>
      </x:c>
      <x:c r="C46" s="24" t="str">
        <x:v>EEZ</x:v>
      </x:c>
      <x:c r="D46" s="30" t="n">
        <x:v>2019</x:v>
      </x:c>
      <x:c r="E46" s="24" t="str">
        <x:v>Portunus</x:v>
      </x:c>
      <x:c r="F46" s="24" t="str">
        <x:v>Swimmer crabs</x:v>
      </x:c>
      <x:c r="G46" s="24" t="str">
        <x:v>Lobsters, crabs</x:v>
      </x:c>
      <x:c r="H46" s="24" t="str">
        <x:v>Crustaceans</x:v>
      </x:c>
      <x:c r="I46" s="31" t="n">
        <x:v>1.3863267049</x:v>
      </x:c>
      <x:c r="J46" s="31" t="n">
        <x:v>1.3863267049</x:v>
      </x:c>
      <x:c r="K46" s="31" t="n">
        <x:v>0</x:v>
      </x:c>
      <x:c r="L46" s="31" t="n">
        <x:v>1.3863267049</x:v>
      </x:c>
      <x:c r="M46" s="31" t="n">
        <x:v>0</x:v>
      </x:c>
      <x:c r="N46" s="24" t="str">
        <x:v>portunus</x:v>
      </x:c>
      <x:c r="O46" s="32" t="n">
        <x:v>3.26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Portunus</x:v>
      </x:c>
      <x:c r="T46" s="32" t="n">
        <x:f>IF(O46="","",(1/'Metadata'!$B$5)^(O46-1))</x:f>
        <x:v>181.97008586099827</x:v>
      </x:c>
      <x:c r="U46" s="31" t="n">
        <x:f>IF(T46="","",I46*T46)</x:f>
        <x:v>252.26998952204784</x:v>
      </x:c>
    </x:row>
    <x:row r="47" ht="18" customHeight="1">
      <x:c r="A47" s="24" t="str">
        <x:v>EEZ_111</x:v>
      </x:c>
      <x:c r="B47" s="24" t="str">
        <x:v>Eritrea</x:v>
      </x:c>
      <x:c r="C47" s="24" t="str">
        <x:v>EEZ</x:v>
      </x:c>
      <x:c r="D47" s="30" t="n">
        <x:v>2019</x:v>
      </x:c>
      <x:c r="E47" s="24" t="str">
        <x:v>Epinephelus malabaricus</x:v>
      </x:c>
      <x:c r="F47" s="24" t="str">
        <x:v>Malabar grouper</x:v>
      </x:c>
      <x:c r="G47" s="24" t="str">
        <x:v>Large reef assoc. fish (&gt;=90 cm)</x:v>
      </x:c>
      <x:c r="H47" s="24" t="str">
        <x:v>Perch-likes</x:v>
      </x:c>
      <x:c r="I47" s="31" t="n">
        <x:v>1.2620694034</x:v>
      </x:c>
      <x:c r="J47" s="31" t="n">
        <x:v>1.2620694034</x:v>
      </x:c>
      <x:c r="K47" s="31" t="n">
        <x:v>0</x:v>
      </x:c>
      <x:c r="L47" s="31" t="n">
        <x:v>0</x:v>
      </x:c>
      <x:c r="M47" s="31" t="n">
        <x:v>1.2620694034</x:v>
      </x:c>
      <x:c r="N47" s="24" t="str">
        <x:v>epinephelus malabaricus</x:v>
      </x:c>
      <x:c r="O47" s="32" t="n">
        <x:v>4.16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Epinephelus malabaricus</x:v>
      </x:c>
      <x:c r="T47" s="32" t="n">
        <x:f>IF(O47="","",(1/'Metadata'!$B$5)^(O47-1))</x:f>
        <x:v>1445.439770745928</x:v>
      </x:c>
      <x:c r="U47" s="31" t="n">
        <x:f>IF(T47="","",I47*T47)</x:f>
        <x:v>1824.245309115946</x:v>
      </x:c>
    </x:row>
    <x:row r="48" ht="18" customHeight="1">
      <x:c r="A48" s="24" t="str">
        <x:v>EEZ_111</x:v>
      </x:c>
      <x:c r="B48" s="24" t="str">
        <x:v>Eritrea</x:v>
      </x:c>
      <x:c r="C48" s="24" t="str">
        <x:v>EEZ</x:v>
      </x:c>
      <x:c r="D48" s="30" t="n">
        <x:v>2019</x:v>
      </x:c>
      <x:c r="E48" s="24" t="str">
        <x:v>Lethrinus lentjan</x:v>
      </x:c>
      <x:c r="F48" s="24" t="str">
        <x:v>Pink ear emperor</x:v>
      </x:c>
      <x:c r="G48" s="24" t="str">
        <x:v>Medium demersals (30 - 89 cm)</x:v>
      </x:c>
      <x:c r="H48" s="24" t="str">
        <x:v>Perch-likes</x:v>
      </x:c>
      <x:c r="I48" s="31" t="n">
        <x:v>1.023558589</x:v>
      </x:c>
      <x:c r="J48" s="31" t="n">
        <x:v>1.023558589</x:v>
      </x:c>
      <x:c r="K48" s="31" t="n">
        <x:v>0</x:v>
      </x:c>
      <x:c r="L48" s="31" t="n">
        <x:v>0.208607651</x:v>
      </x:c>
      <x:c r="M48" s="31" t="n">
        <x:v>0.8149509380000001</x:v>
      </x:c>
      <x:c r="N48" s="24" t="str">
        <x:v>lethrinus lentjan</x:v>
      </x:c>
      <x:c r="O48" s="32" t="n">
        <x:v>3.94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Lethrinus lentjan</x:v>
      </x:c>
      <x:c r="T48" s="32" t="n">
        <x:f>IF(O48="","",(1/'Metadata'!$B$5)^(O48-1))</x:f>
        <x:v>870.9635899560806</x:v>
      </x:c>
      <x:c r="U48" s="31" t="n">
        <x:f>IF(T48="","",I48*T48)</x:f>
        <x:v>891.4822632058205</x:v>
      </x:c>
    </x:row>
    <x:row r="49" ht="18" customHeight="1">
      <x:c r="A49" s="24" t="str">
        <x:v>EEZ_111</x:v>
      </x:c>
      <x:c r="B49" s="24" t="str">
        <x:v>Eritrea</x:v>
      </x:c>
      <x:c r="C49" s="24" t="str">
        <x:v>EEZ</x:v>
      </x:c>
      <x:c r="D49" s="30" t="n">
        <x:v>2019</x:v>
      </x:c>
      <x:c r="E49" s="24" t="str">
        <x:v>Palinuridae</x:v>
      </x:c>
      <x:c r="F49" s="24" t="str">
        <x:v>Spiny lobsters</x:v>
      </x:c>
      <x:c r="G49" s="24" t="str">
        <x:v>Lobsters, crabs</x:v>
      </x:c>
      <x:c r="H49" s="24" t="str">
        <x:v>Crustaceans</x:v>
      </x:c>
      <x:c r="I49" s="31" t="n">
        <x:v>1.0073362092</x:v>
      </x:c>
      <x:c r="J49" s="31" t="n">
        <x:v>1.0073362092</x:v>
      </x:c>
      <x:c r="K49" s="31" t="n">
        <x:v>0</x:v>
      </x:c>
      <x:c r="L49" s="31" t="n">
        <x:v>0</x:v>
      </x:c>
      <x:c r="M49" s="31" t="n">
        <x:v>1.0073362092</x:v>
      </x:c>
      <x:c r="N49" s="24" t="str">
        <x:v>palinuridae</x:v>
      </x:c>
      <x:c r="O49" s="32" t="n">
        <x:v>3.14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Palinuridae</x:v>
      </x:c>
      <x:c r="T49" s="32" t="n">
        <x:f>IF(O49="","",(1/'Metadata'!$B$5)^(O49-1))</x:f>
        <x:v>138.03842646028852</x:v>
      </x:c>
      <x:c r="U49" s="31" t="n">
        <x:f>IF(T49="","",I49*T49)</x:f>
        <x:v>139.05110523444</x:v>
      </x:c>
    </x:row>
    <x:row r="50" ht="18" customHeight="1">
      <x:c r="A50" s="24" t="str">
        <x:v>EEZ_111</x:v>
      </x:c>
      <x:c r="B50" s="24" t="str">
        <x:v>Eritrea</x:v>
      </x:c>
      <x:c r="C50" s="24" t="str">
        <x:v>EEZ</x:v>
      </x:c>
      <x:c r="D50" s="30" t="n">
        <x:v>2019</x:v>
      </x:c>
      <x:c r="E50" s="24" t="str">
        <x:v>Mollusca</x:v>
      </x:c>
      <x:c r="F50" s="24" t="str">
        <x:v>Clams, seasnails, squids, octopuses</x:v>
      </x:c>
      <x:c r="G50" s="24" t="str">
        <x:v>Other demersal invertebrates</x:v>
      </x:c>
      <x:c r="H50" s="24" t="str">
        <x:v>Molluscs</x:v>
      </x:c>
      <x:c r="I50" s="31" t="n">
        <x:v>0.9893937235</x:v>
      </x:c>
      <x:c r="J50" s="31" t="n">
        <x:v>0.9893937235</x:v>
      </x:c>
      <x:c r="K50" s="31" t="n">
        <x:v>0</x:v>
      </x:c>
      <x:c r="L50" s="31" t="n">
        <x:v>0</x:v>
      </x:c>
      <x:c r="M50" s="31" t="n">
        <x:v>0.9893937235</x:v>
      </x:c>
      <x:c r="N50" s="24" t="str">
        <x:v>mollusca</x:v>
      </x:c>
      <x:c r="O50" s="32" t="n">
        <x:v>2.1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Mollusca</x:v>
      </x:c>
      <x:c r="T50" s="32" t="n">
        <x:f>IF(O50="","",(1/'Metadata'!$B$5)^(O50-1))</x:f>
        <x:v>12.589254117941675</x:v>
      </x:c>
      <x:c r="U50" s="31" t="n">
        <x:f>IF(T50="","",I50*T50)</x:f>
        <x:v>12.455729007838022</x:v>
      </x:c>
    </x:row>
    <x:row r="51" ht="18" customHeight="1">
      <x:c r="A51" s="24" t="str">
        <x:v>EEZ_111</x:v>
      </x:c>
      <x:c r="B51" s="24" t="str">
        <x:v>Eritrea</x:v>
      </x:c>
      <x:c r="C51" s="24" t="str">
        <x:v>EEZ</x:v>
      </x:c>
      <x:c r="D51" s="30" t="n">
        <x:v>2019</x:v>
      </x:c>
      <x:c r="E51" s="24" t="str">
        <x:v>Istiophorus platypterus</x:v>
      </x:c>
      <x:c r="F51" s="24" t="str">
        <x:v>Indo-Pacific sailfish</x:v>
      </x:c>
      <x:c r="G51" s="24" t="str">
        <x:v>Large pelagics (&gt;=90 cm)</x:v>
      </x:c>
      <x:c r="H51" s="24" t="str">
        <x:v>Tuna &amp; billfishes</x:v>
      </x:c>
      <x:c r="I51" s="31" t="n">
        <x:v>0.6348272493999999</x:v>
      </x:c>
      <x:c r="J51" s="31" t="n">
        <x:v>0.6348272493999999</x:v>
      </x:c>
      <x:c r="K51" s="31" t="n">
        <x:v>0</x:v>
      </x:c>
      <x:c r="L51" s="31" t="n">
        <x:v>0.4397798376</x:v>
      </x:c>
      <x:c r="M51" s="31" t="n">
        <x:v>0.1950474118</x:v>
      </x:c>
      <x:c r="N51" s="24" t="str">
        <x:v>istiophorus platypterus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Istiophorus platypterus</x:v>
      </x:c>
      <x:c r="T51" s="32" t="n">
        <x:f>IF(O51="","",(1/'Metadata'!$B$5)^(O51-1))</x:f>
        <x:v>3162.2776601683795</x:v>
      </x:c>
      <x:c r="U51" s="31" t="n">
        <x:f>IF(T51="","",I51*T51)</x:f>
        <x:v>2007.50002884376</x:v>
      </x:c>
    </x:row>
    <x:row r="52" ht="18" customHeight="1">
      <x:c r="A52" s="24" t="str">
        <x:v>EEZ_111</x:v>
      </x:c>
      <x:c r="B52" s="24" t="str">
        <x:v>Eritrea</x:v>
      </x:c>
      <x:c r="C52" s="24" t="str">
        <x:v>EEZ</x:v>
      </x:c>
      <x:c r="D52" s="30" t="n">
        <x:v>2019</x:v>
      </x:c>
      <x:c r="E52" s="24" t="str">
        <x:v>Pomacanthidae</x:v>
      </x:c>
      <x:c r="F52" s="24" t="str">
        <x:v>Angelfishes</x:v>
      </x:c>
      <x:c r="G52" s="24" t="str">
        <x:v>Medium reef assoc. fish (30 - 89 cm)</x:v>
      </x:c>
      <x:c r="H52" s="24" t="str">
        <x:v>Perch-likes</x:v>
      </x:c>
      <x:c r="I52" s="31" t="n">
        <x:v>0.32827441900000004</x:v>
      </x:c>
      <x:c r="J52" s="31" t="n">
        <x:v>0.32827441900000004</x:v>
      </x:c>
      <x:c r="K52" s="31" t="n">
        <x:v>0</x:v>
      </x:c>
      <x:c r="L52" s="31" t="n">
        <x:v>0</x:v>
      </x:c>
      <x:c r="M52" s="31" t="n">
        <x:v>0.32827441900000004</x:v>
      </x:c>
      <x:c r="N52" s="24" t="str">
        <x:v>pomacanthidae</x:v>
      </x:c>
      <x:c r="O52" s="32" t="n">
        <x:v>2.86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Pomacanthidae</x:v>
      </x:c>
      <x:c r="T52" s="32" t="n">
        <x:f>IF(O52="","",(1/'Metadata'!$B$5)^(O52-1))</x:f>
        <x:v>72.44359600749898</x:v>
      </x:c>
      <x:c r="U52" s="31" t="n">
        <x:f>IF(T52="","",I52*T52)</x:f>
        <x:v>23.781379389632452</x:v>
      </x:c>
    </x:row>
    <x:row r="53" ht="18" customHeight="1">
      <x:c r="A53" s="24" t="str">
        <x:v>EEZ_111</x:v>
      </x:c>
      <x:c r="B53" s="24" t="str">
        <x:v>Eritrea</x:v>
      </x:c>
      <x:c r="C53" s="24" t="str">
        <x:v>EEZ</x:v>
      </x:c>
      <x:c r="D53" s="30" t="n">
        <x:v>2019</x:v>
      </x:c>
      <x:c r="E53" s="24" t="str">
        <x:v>Rhinobatidae</x:v>
      </x:c>
      <x:c r="F53" s="24" t="str">
        <x:v>Guitarfishes, fanrays</x:v>
      </x:c>
      <x:c r="G53" s="24" t="str">
        <x:v>Large rays (&gt;=90 cm)</x:v>
      </x:c>
      <x:c r="H53" s="24" t="str">
        <x:v>Sharks &amp; rays</x:v>
      </x:c>
      <x:c r="I53" s="31" t="n">
        <x:v>0.3219263634</x:v>
      </x:c>
      <x:c r="J53" s="31" t="n">
        <x:v>0.3219263634</x:v>
      </x:c>
      <x:c r="K53" s="31" t="n">
        <x:v>0</x:v>
      </x:c>
      <x:c r="L53" s="31" t="n">
        <x:v>0</x:v>
      </x:c>
      <x:c r="M53" s="31" t="n">
        <x:v>0.3219263634</x:v>
      </x:c>
      <x:c r="N53" s="24" t="str">
        <x:v>rhinobatidae</x:v>
      </x:c>
      <x:c r="O53" s="32" t="n">
        <x:v>3.7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Rhinobatidae</x:v>
      </x:c>
      <x:c r="T53" s="32" t="n">
        <x:f>IF(O53="","",(1/'Metadata'!$B$5)^(O53-1))</x:f>
        <x:v>501.18723362727246</x:v>
      </x:c>
      <x:c r="U53" s="31" t="n">
        <x:f>IF(T53="","",I53*T53)</x:f>
        <x:v>161.34538350413402</x:v>
      </x:c>
    </x:row>
    <x:row r="54" ht="18" customHeight="1">
      <x:c r="A54" s="24" t="str">
        <x:v>EEZ_111</x:v>
      </x:c>
      <x:c r="B54" s="24" t="str">
        <x:v>Eritrea</x:v>
      </x:c>
      <x:c r="C54" s="24" t="str">
        <x:v>EEZ</x:v>
      </x:c>
      <x:c r="D54" s="30" t="n">
        <x:v>2019</x:v>
      </x:c>
      <x:c r="E54" s="24" t="str">
        <x:v>Sparidae</x:v>
      </x:c>
      <x:c r="F54" s="24" t="str">
        <x:v>Porgies, seabreams</x:v>
      </x:c>
      <x:c r="G54" s="24" t="str">
        <x:v>Medium benthopelagics (30 - 89 cm)</x:v>
      </x:c>
      <x:c r="H54" s="24" t="str">
        <x:v>Perch-likes</x:v>
      </x:c>
      <x:c r="I54" s="31" t="n">
        <x:v>0.07933380300000001</x:v>
      </x:c>
      <x:c r="J54" s="31" t="n">
        <x:v>0.07933380300000001</x:v>
      </x:c>
      <x:c r="K54" s="31" t="n">
        <x:v>0</x:v>
      </x:c>
      <x:c r="L54" s="31" t="n">
        <x:v>0.019715414499999997</x:v>
      </x:c>
      <x:c r="M54" s="31" t="n">
        <x:v>0.0596183885</x:v>
      </x:c>
      <x:c r="N54" s="24" t="str">
        <x:v>sparidae</x:v>
      </x:c>
      <x:c r="O54" s="32" t="n">
        <x:v>3.31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Sparidae</x:v>
      </x:c>
      <x:c r="T54" s="32" t="n">
        <x:f>IF(O54="","",(1/'Metadata'!$B$5)^(O54-1))</x:f>
        <x:v>204.17379446695296</x:v>
      </x:c>
      <x:c r="U54" s="31" t="n">
        <x:f>IF(T54="","",I54*T54)</x:f>
        <x:v>16.197883588003737</x:v>
      </x:c>
    </x:row>
    <x:row r="55" ht="18" customHeight="1">
      <x:c r="A55" s="24" t="str">
        <x:v>EEZ_111</x:v>
      </x:c>
      <x:c r="B55" s="24" t="str">
        <x:v>Eritrea</x:v>
      </x:c>
      <x:c r="C55" s="24" t="str">
        <x:v>EEZ</x:v>
      </x:c>
      <x:c r="D55" s="30" t="n">
        <x:v>2019</x:v>
      </x:c>
      <x:c r="E55" s="24" t="str">
        <x:v>Ephippidae</x:v>
      </x:c>
      <x:c r="F55" s="24" t="str">
        <x:v>Spade-, batfishes, scats</x:v>
      </x:c>
      <x:c r="G55" s="24" t="str">
        <x:v>Medium reef assoc. fish (30 - 89 cm)</x:v>
      </x:c>
      <x:c r="H55" s="24" t="str">
        <x:v>Perch-likes</x:v>
      </x:c>
      <x:c r="I55" s="31" t="n">
        <x:v>0.027266610700000003</x:v>
      </x:c>
      <x:c r="J55" s="31" t="n">
        <x:v>0.027266610700000003</x:v>
      </x:c>
      <x:c r="K55" s="31" t="n">
        <x:v>0</x:v>
      </x:c>
      <x:c r="L55" s="31" t="n">
        <x:v>0</x:v>
      </x:c>
      <x:c r="M55" s="31" t="n">
        <x:v>0.027266610700000003</x:v>
      </x:c>
      <x:c r="N55" s="24" t="str">
        <x:v>ephippidae</x:v>
      </x:c>
      <x:c r="O55" s="32" t="n">
        <x:v>3.57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Ephippidae</x:v>
      </x:c>
      <x:c r="T55" s="32" t="n">
        <x:f>IF(O55="","",(1/'Metadata'!$B$5)^(O55-1))</x:f>
        <x:v>371.5352290971724</x:v>
      </x:c>
      <x:c r="U55" s="31" t="n">
        <x:f>IF(T55="","",I55*T55)</x:f>
        <x:v>10.130506453127914</x:v>
      </x:c>
    </x:row>
    <x:row r="56" ht="18" customHeight="1">
      <x:c r="A56" s="24" t="str">
        <x:v>EEZ_111</x:v>
      </x:c>
      <x:c r="B56" s="24" t="str">
        <x:v>Eritrea</x:v>
      </x:c>
      <x:c r="C56" s="24" t="str">
        <x:v>EEZ</x:v>
      </x:c>
      <x:c r="D56" s="30" t="n">
        <x:v>2019</x:v>
      </x:c>
      <x:c r="E56" s="24" t="str">
        <x:v>Acanthuridae</x:v>
      </x:c>
      <x:c r="F56" s="24" t="str">
        <x:v>Surgeons, tangs, unicornfishes</x:v>
      </x:c>
      <x:c r="G56" s="24" t="str">
        <x:v>Small reef assoc. fish (&lt;30 cm)</x:v>
      </x:c>
      <x:c r="H56" s="24" t="str">
        <x:v>Perch-likes</x:v>
      </x:c>
      <x:c r="I56" s="31" t="n">
        <x:v>0.0246403913</x:v>
      </x:c>
      <x:c r="J56" s="31" t="n">
        <x:v>0.0246403913</x:v>
      </x:c>
      <x:c r="K56" s="31" t="n">
        <x:v>0</x:v>
      </x:c>
      <x:c r="L56" s="31" t="n">
        <x:v>0</x:v>
      </x:c>
      <x:c r="M56" s="31" t="n">
        <x:v>0.0246403913</x:v>
      </x:c>
      <x:c r="N56" s="24" t="str">
        <x:v>acanthuridae</x:v>
      </x:c>
      <x:c r="O56" s="32" t="n">
        <x:v>2.28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Acanthuridae</x:v>
      </x:c>
      <x:c r="T56" s="32" t="n">
        <x:f>IF(O56="","",(1/'Metadata'!$B$5)^(O56-1))</x:f>
        <x:v>19.054607179632463</x:v>
      </x:c>
      <x:c r="U56" s="31" t="n">
        <x:f>IF(T56="","",I56*T56)</x:f>
        <x:v>0.4695129769739333</x:v>
      </x:c>
    </x:row>
    <x:row r="57" ht="18" customHeight="1">
      <x:c r="A57" s="24" t="str">
        <x:v>EEZ_111</x:v>
      </x:c>
      <x:c r="B57" s="24" t="str">
        <x:v>Eritrea</x:v>
      </x:c>
      <x:c r="C57" s="24" t="str">
        <x:v>EEZ</x:v>
      </x:c>
      <x:c r="D57" s="30" t="n">
        <x:v>2019</x:v>
      </x:c>
      <x:c r="E57" s="24" t="str">
        <x:v>Labridae</x:v>
      </x:c>
      <x:c r="F57" s="24" t="str">
        <x:v>Wrasses, gropers, tuskfishes</x:v>
      </x:c>
      <x:c r="G57" s="24" t="str">
        <x:v>Medium reef assoc. fish (30 - 89 cm)</x:v>
      </x:c>
      <x:c r="H57" s="24" t="str">
        <x:v>Perch-likes</x:v>
      </x:c>
      <x:c r="I57" s="31" t="n">
        <x:v>0.0122200133</x:v>
      </x:c>
      <x:c r="J57" s="31" t="n">
        <x:v>0.0122200133</x:v>
      </x:c>
      <x:c r="K57" s="31" t="n">
        <x:v>0</x:v>
      </x:c>
      <x:c r="L57" s="31" t="n">
        <x:v>0</x:v>
      </x:c>
      <x:c r="M57" s="31" t="n">
        <x:v>0.0122200133</x:v>
      </x:c>
      <x:c r="N57" s="24" t="str">
        <x:v>labridae</x:v>
      </x:c>
      <x:c r="O57" s="32" t="n">
        <x:v>3.46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Labridae</x:v>
      </x:c>
      <x:c r="T57" s="32" t="n">
        <x:f>IF(O57="","",(1/'Metadata'!$B$5)^(O57-1))</x:f>
        <x:v>288.40315031266056</x:v>
      </x:c>
      <x:c r="U57" s="31" t="n">
        <x:f>IF(T57="","",I57*T57)</x:f>
        <x:v>3.5242903325826114</x:v>
      </x:c>
    </x:row>
    <x:row r="58" ht="18" customHeight="1">
      <x:c r="A58" s="24" t="str">
        <x:v>EEZ_111</x:v>
      </x:c>
      <x:c r="B58" s="24" t="str">
        <x:v>Eritrea</x:v>
      </x:c>
      <x:c r="C58" s="24" t="str">
        <x:v>EEZ</x:v>
      </x:c>
      <x:c r="D58" s="30" t="n">
        <x:v>2019</x:v>
      </x:c>
      <x:c r="E58" s="24" t="str">
        <x:v>Siganidae</x:v>
      </x:c>
      <x:c r="F58" s="24" t="str">
        <x:v>Rabbitfishes</x:v>
      </x:c>
      <x:c r="G58" s="24" t="str">
        <x:v>Medium reef assoc. fish (30 - 89 cm)</x:v>
      </x:c>
      <x:c r="H58" s="24" t="str">
        <x:v>Perch-likes</x:v>
      </x:c>
      <x:c r="I58" s="31" t="n">
        <x:v>0.007702266100000001</x:v>
      </x:c>
      <x:c r="J58" s="31" t="n">
        <x:v>0.007702266100000001</x:v>
      </x:c>
      <x:c r="K58" s="31" t="n">
        <x:v>0</x:v>
      </x:c>
      <x:c r="L58" s="31" t="n">
        <x:v>0</x:v>
      </x:c>
      <x:c r="M58" s="31" t="n">
        <x:v>0.007702266100000001</x:v>
      </x:c>
      <x:c r="N58" s="24" t="str">
        <x:v>siganidae</x:v>
      </x:c>
      <x:c r="O58" s="32" t="n">
        <x:v>2.11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Siganidae</x:v>
      </x:c>
      <x:c r="T58" s="32" t="n">
        <x:f>IF(O58="","",(1/'Metadata'!$B$5)^(O58-1))</x:f>
        <x:v>12.882495516931336</x:v>
      </x:c>
      <x:c r="U58" s="31" t="n">
        <x:f>IF(T58="","",I58*T58)</x:f>
        <x:v>0.09922440850346222</x:v>
      </x:c>
    </x:row>
    <x:row r="59" ht="18" customHeight="1">
      <x:c r="A59" s="24" t="str">
        <x:v>EEZ_111</x:v>
      </x:c>
      <x:c r="B59" s="24" t="str">
        <x:v>Eritrea</x:v>
      </x:c>
      <x:c r="C59" s="24" t="str">
        <x:v>EEZ</x:v>
      </x:c>
      <x:c r="D59" s="30" t="n">
        <x:v>2019</x:v>
      </x:c>
      <x:c r="E59" s="24" t="str">
        <x:v>Balistidae</x:v>
      </x:c>
      <x:c r="F59" s="24" t="str">
        <x:v>Triggerfishes</x:v>
      </x:c>
      <x:c r="G59" s="24" t="str">
        <x:v>Medium reef assoc. fish (30 - 89 cm)</x:v>
      </x:c>
      <x:c r="H59" s="24" t="str">
        <x:v>Other fishes &amp; inverts</x:v>
      </x:c>
      <x:c r="I59" s="31" t="n">
        <x:v>0.0025133064</x:v>
      </x:c>
      <x:c r="J59" s="31" t="n">
        <x:v>0.0025133064</x:v>
      </x:c>
      <x:c r="K59" s="31" t="n">
        <x:v>0</x:v>
      </x:c>
      <x:c r="L59" s="31" t="n">
        <x:v>0</x:v>
      </x:c>
      <x:c r="M59" s="31" t="n">
        <x:v>0.0025133064</x:v>
      </x:c>
      <x:c r="N59" s="24" t="str">
        <x:v>balistidae</x:v>
      </x:c>
      <x:c r="O59" s="32" t="n">
        <x:v>3.25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Balistidae</x:v>
      </x:c>
      <x:c r="T59" s="32" t="n">
        <x:f>IF(O59="","",(1/'Metadata'!$B$5)^(O59-1))</x:f>
        <x:v>177.82794100389228</x:v>
      </x:c>
      <x:c r="U59" s="31" t="n">
        <x:f>IF(T59="","",I59*T59)</x:f>
        <x:v>0.4469361022239049</x:v>
      </x:c>
    </x:row>
  </x:sheetData>
  <x:conditionalFormatting sqref="R2:R5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df5b587574448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226.0434681606</x:v>
      </x:c>
      <x:c r="E2" s="31" t="n">
        <x:v>226.0434681606</x:v>
      </x:c>
      <x:c r="F2" s="32" t="n">
        <x:v>0</x:v>
      </x:c>
      <x:c r="G2" s="34" t="n">
        <x:v>1</x:v>
      </x:c>
      <x:c r="H2" s="32" t="n">
        <x:f>IF(E2=0,"",I2/E2)</x:f>
        <x:v>203.74289440209938</x:v>
      </x:c>
      <x:c r="I2" s="31" t="n">
        <x:f>IF(C2=0,"",SUMIF('Species'!$H$2:$H$59,A2,'Species'!$U$2:$U$59))</x:f>
        <x:v>46054.75046372944</x:v>
      </x:c>
      <x:c r="J2" s="32" t="n">
        <x:v>3.3089357644670443</x:v>
      </x:c>
      <x:c r="K2" s="32" t="n">
        <x:f>IF(J2="","",(1/'Metadata'!$B$5)^(J2-1))</x:f>
        <x:v>203.6740805613759</x:v>
      </x:c>
      <x:c r="L2" s="31" t="n">
        <x:f>IF(E2=0,"",E2*K2)</x:f>
        <x:v>46039.195544514856</x:v>
      </x:c>
      <x:c r="M2" s="31" t="n">
        <x:f>IF(E2=0,"",I2-L2)</x:f>
        <x:v>15.554919214584515</x:v>
      </x:c>
      <x:c r="N2" s="32" t="n">
        <x:f>IF(L2=0,"",I2/L2)</x:f>
        <x:v>1.0003378625327966</x:v>
      </x:c>
      <x:c r="O2" s="34" t="n">
        <x:f>IF(L2=0,"",M2/L2)</x:f>
        <x:v>0.0003378625327965302</x:v>
      </x:c>
    </x:row>
    <x:row r="3" ht="18" customHeight="1">
      <x:c r="A3" s="24" t="str">
        <x:v>Flatfishes</x:v>
      </x:c>
      <x:c r="B3" s="33" t="n">
        <x:v>2</x:v>
      </x:c>
      <x:c r="C3" s="33" t="n">
        <x:v>2</x:v>
      </x:c>
      <x:c r="D3" s="31" t="n">
        <x:v>66.0216905205</x:v>
      </x:c>
      <x:c r="E3" s="31" t="n">
        <x:v>66.0216905205</x:v>
      </x:c>
      <x:c r="F3" s="32" t="n">
        <x:v>0</x:v>
      </x:c>
      <x:c r="G3" s="34" t="n">
        <x:v>1</x:v>
      </x:c>
      <x:c r="H3" s="32" t="n">
        <x:f>IF(E3=0,"",I3/E3)</x:f>
        <x:v>241.95613283475043</x:v>
      </x:c>
      <x:c r="I3" s="31" t="n">
        <x:f>IF(C3=0,"",SUMIF('Species'!$H$2:$H$59,A3,'Species'!$U$2:$U$59))</x:f>
        <x:v>15974.352921552882</x:v>
      </x:c>
      <x:c r="J3" s="32" t="n">
        <x:v>3.2894925901284275</x:v>
      </x:c>
      <x:c r="K3" s="32" t="n">
        <x:f>IF(J3="","",(1/'Metadata'!$B$5)^(J3-1))</x:f>
        <x:v>194.75678205297925</x:v>
      </x:c>
      <x:c r="L3" s="31" t="n">
        <x:f>IF(E3=0,"",E3*K3)</x:f>
        <x:v>12858.171991470264</x:v>
      </x:c>
      <x:c r="M3" s="31" t="n">
        <x:f>IF(E3=0,"",I3-L3)</x:f>
        <x:v>3116.180930082617</x:v>
      </x:c>
      <x:c r="N3" s="32" t="n">
        <x:f>IF(L3=0,"",I3/L3)</x:f>
        <x:v>1.2423502292666329</x:v>
      </x:c>
      <x:c r="O3" s="34" t="n">
        <x:f>IF(L3=0,"",M3/L3)</x:f>
        <x:v>0.24235022926663297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110.0784333186</x:v>
      </x:c>
      <x:c r="E4" s="31" t="n">
        <x:v>110.0784333186</x:v>
      </x:c>
      <x:c r="F4" s="32" t="n">
        <x:v>0</x:v>
      </x:c>
      <x:c r="G4" s="34" t="n">
        <x:v>1</x:v>
      </x:c>
      <x:c r="H4" s="32" t="n">
        <x:f>IF(E4=0,"",I4/E4)</x:f>
        <x:v>144.5439770745928</x:v>
      </x:c>
      <x:c r="I4" s="31" t="n">
        <x:f>IF(C4=0,"",SUMIF('Species'!$H$2:$H$59,A4,'Species'!$U$2:$U$59))</x:f>
        <x:v>15911.174542010811</x:v>
      </x:c>
      <x:c r="J4" s="32" t="n">
        <x:v>3.16</x:v>
      </x:c>
      <x:c r="K4" s="32" t="n">
        <x:f>IF(J4="","",(1/'Metadata'!$B$5)^(J4-1))</x:f>
        <x:v>144.5439770745928</x:v>
      </x:c>
      <x:c r="L4" s="31" t="n">
        <x:f>IF(E4=0,"",E4*K4)</x:f>
        <x:v>15911.174542010811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0.9893937235</x:v>
      </x:c>
      <x:c r="E5" s="31" t="n">
        <x:v>0.9893937235</x:v>
      </x:c>
      <x:c r="F5" s="32" t="n">
        <x:v>0</x:v>
      </x:c>
      <x:c r="G5" s="34" t="n">
        <x:v>1</x:v>
      </x:c>
      <x:c r="H5" s="32" t="n">
        <x:f>IF(E5=0,"",I5/E5)</x:f>
        <x:v>12.589254117941675</x:v>
      </x:c>
      <x:c r="I5" s="31" t="n">
        <x:f>IF(C5=0,"",SUMIF('Species'!$H$2:$H$59,A5,'Species'!$U$2:$U$59))</x:f>
        <x:v>12.455729007838022</x:v>
      </x:c>
      <x:c r="J5" s="32" t="n">
        <x:v>2.1</x:v>
      </x:c>
      <x:c r="K5" s="32" t="n">
        <x:f>IF(J5="","",(1/'Metadata'!$B$5)^(J5-1))</x:f>
        <x:v>12.589254117941675</x:v>
      </x:c>
      <x:c r="L5" s="31" t="n">
        <x:f>IF(E5=0,"",E5*K5)</x:f>
        <x:v>12.455729007838022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9</x:v>
      </x:c>
      <x:c r="C6" s="33" t="n">
        <x:v>9</x:v>
      </x:c>
      <x:c r="D6" s="31" t="n">
        <x:v>5833.2350708291</x:v>
      </x:c>
      <x:c r="E6" s="31" t="n">
        <x:v>5833.2350708291</x:v>
      </x:c>
      <x:c r="F6" s="32" t="n">
        <x:v>0</x:v>
      </x:c>
      <x:c r="G6" s="34" t="n">
        <x:v>1</x:v>
      </x:c>
      <x:c r="H6" s="32" t="n">
        <x:f>IF(E6=0,"",I6/E6)</x:f>
        <x:v>960.3751607689024</x:v>
      </x:c>
      <x:c r="I6" s="31" t="n">
        <x:f>IF(C6=0,"",SUMIF('Species'!$H$2:$H$59,A6,'Species'!$U$2:$U$59))</x:f>
        <x:v>5602094.068950296</x:v>
      </x:c>
      <x:c r="J6" s="32" t="n">
        <x:v>3.2431199401914066</x:v>
      </x:c>
      <x:c r="K6" s="32" t="n">
        <x:f>IF(J6="","",(1/'Metadata'!$B$5)^(J6-1))</x:f>
        <x:v>175.0330014891282</x:v>
      </x:c>
      <x:c r="L6" s="31" t="n">
        <x:f>IF(E6=0,"",E6*K6)</x:f>
        <x:v>1021008.6428388646</x:v>
      </x:c>
      <x:c r="M6" s="31" t="n">
        <x:f>IF(E6=0,"",I6-L6)</x:f>
        <x:v>4581085.426111432</x:v>
      </x:c>
      <x:c r="N6" s="32" t="n">
        <x:f>IF(L6=0,"",I6/L6)</x:f>
        <x:v>5.4868233567288405</x:v>
      </x:c>
      <x:c r="O6" s="34" t="n">
        <x:f>IF(L6=0,"",M6/L6)</x:f>
        <x:v>4.4868233567288405</x:v>
      </x:c>
    </x:row>
    <x:row r="7" ht="18" customHeight="1">
      <x:c r="A7" s="24" t="str">
        <x:v>Perch-likes</x:v>
      </x:c>
      <x:c r="B7" s="33" t="n">
        <x:v>36</x:v>
      </x:c>
      <x:c r="C7" s="33" t="n">
        <x:v>36</x:v>
      </x:c>
      <x:c r="D7" s="31" t="n">
        <x:v>4280.418335885201</x:v>
      </x:c>
      <x:c r="E7" s="31" t="n">
        <x:v>4280.418335885201</x:v>
      </x:c>
      <x:c r="F7" s="32" t="n">
        <x:v>0</x:v>
      </x:c>
      <x:c r="G7" s="34" t="n">
        <x:v>1</x:v>
      </x:c>
      <x:c r="H7" s="32" t="n">
        <x:f>IF(E7=0,"",I7/E7)</x:f>
        <x:v>678.3974512347336</x:v>
      </x:c>
      <x:c r="I7" s="31" t="n">
        <x:f>IF(C7=0,"",SUMIF('Species'!$H$2:$H$59,A7,'Species'!$U$2:$U$59))</x:f>
        <x:v>2903824.88928294</x:v>
      </x:c>
      <x:c r="J7" s="32" t="n">
        <x:v>3.5697679488597607</x:v>
      </x:c>
      <x:c r="K7" s="32" t="n">
        <x:f>IF(J7="","",(1/'Metadata'!$B$5)^(J7-1))</x:f>
        <x:v>371.336764350079</x:v>
      </x:c>
      <x:c r="L7" s="31" t="n">
        <x:f>IF(E7=0,"",E7*K7)</x:f>
        <x:v>1589476.69491236</x:v>
      </x:c>
      <x:c r="M7" s="31" t="n">
        <x:f>IF(E7=0,"",I7-L7)</x:f>
        <x:v>1314348.19437058</x:v>
      </x:c>
      <x:c r="N7" s="32" t="n">
        <x:f>IF(L7=0,"",I7/L7)</x:f>
        <x:v>1.8269062381207481</x:v>
      </x:c>
      <x:c r="O7" s="34" t="n">
        <x:f>IF(L7=0,"",M7/L7)</x:f>
        <x:v>0.8269062381207483</x:v>
      </x:c>
    </x:row>
    <x:row r="8" ht="18" customHeight="1">
      <x:c r="A8" s="24" t="str">
        <x:v>Scorpionfishes</x:v>
      </x:c>
      <x:c r="B8" s="33" t="n">
        <x:v>1</x:v>
      </x:c>
      <x:c r="C8" s="33" t="n">
        <x:v>1</x:v>
      </x:c>
      <x:c r="D8" s="31" t="n">
        <x:v>51.1675992054</x:v>
      </x:c>
      <x:c r="E8" s="31" t="n">
        <x:v>51.1675992054</x:v>
      </x:c>
      <x:c r="F8" s="32" t="n">
        <x:v>0</x:v>
      </x:c>
      <x:c r="G8" s="34" t="n">
        <x:v>1</x:v>
      </x:c>
      <x:c r="H8" s="32" t="n">
        <x:f>IF(E8=0,"",I8/E8)</x:f>
        <x:v>794.3282347242813</x:v>
      </x:c>
      <x:c r="I8" s="31" t="n">
        <x:f>IF(C8=0,"",SUMIF('Species'!$H$2:$H$59,A8,'Species'!$U$2:$U$59))</x:f>
        <x:v>40643.86875190492</x:v>
      </x:c>
      <x:c r="J8" s="32" t="n">
        <x:v>3.9</x:v>
      </x:c>
      <x:c r="K8" s="32" t="n">
        <x:f>IF(J8="","",(1/'Metadata'!$B$5)^(J8-1))</x:f>
        <x:v>794.3282347242813</x:v>
      </x:c>
      <x:c r="L8" s="31" t="n">
        <x:f>IF(E8=0,"",E8*K8)</x:f>
        <x:v>40643.86875190492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Sharks &amp; rays</x:v>
      </x:c>
      <x:c r="B9" s="33" t="n">
        <x:v>2</x:v>
      </x:c>
      <x:c r="C9" s="33" t="n">
        <x:v>2</x:v>
      </x:c>
      <x:c r="D9" s="31" t="n">
        <x:v>78.8782129338</x:v>
      </x:c>
      <x:c r="E9" s="31" t="n">
        <x:v>78.8782129338</x:v>
      </x:c>
      <x:c r="F9" s="32" t="n">
        <x:v>0</x:v>
      </x:c>
      <x:c r="G9" s="34" t="n">
        <x:v>1</x:v>
      </x:c>
      <x:c r="H9" s="32" t="n">
        <x:f>IF(E9=0,"",I9/E9)</x:f>
        <x:v>1119.4846502295416</x:v>
      </x:c>
      <x:c r="I9" s="31" t="n">
        <x:f>IF(C9=0,"",SUMIF('Species'!$H$2:$H$59,A9,'Species'!$U$2:$U$59))</x:f>
        <x:v>88302.9486169264</x:v>
      </x:c>
      <x:c r="J9" s="32" t="n">
        <x:v>4.04857154183647</x:v>
      </x:c>
      <x:c r="K9" s="32" t="n">
        <x:f>IF(J9="","",(1/'Metadata'!$B$5)^(J9-1))</x:f>
        <x:v>1118.3340338808775</x:v>
      </x:c>
      <x:c r="L9" s="31" t="n">
        <x:f>IF(E9=0,"",E9*K9)</x:f>
        <x:v>88212.19005557137</x:v>
      </x:c>
      <x:c r="M9" s="31" t="n">
        <x:f>IF(E9=0,"",I9-L9)</x:f>
        <x:v>90.75856135503273</x:v>
      </x:c>
      <x:c r="N9" s="32" t="n">
        <x:f>IF(L9=0,"",I9/L9)</x:f>
        <x:v>1.0010288664332885</x:v>
      </x:c>
      <x:c r="O9" s="34" t="n">
        <x:f>IF(L9=0,"",M9/L9)</x:f>
        <x:v>0.0010288664332883835</x:v>
      </x:c>
    </x:row>
    <x:row r="10" ht="18" customHeight="1">
      <x:c r="A10" s="24" t="str">
        <x:v>Tuna &amp; billfishes</x:v>
      </x:c>
      <x:c r="B10" s="33" t="n">
        <x:v>3</x:v>
      </x:c>
      <x:c r="C10" s="33" t="n">
        <x:v>3</x:v>
      </x:c>
      <x:c r="D10" s="31" t="n">
        <x:v>26.6092893966</x:v>
      </x:c>
      <x:c r="E10" s="31" t="n">
        <x:v>26.6092893966</x:v>
      </x:c>
      <x:c r="F10" s="32" t="n">
        <x:v>0</x:v>
      </x:c>
      <x:c r="G10" s="34" t="n">
        <x:v>1</x:v>
      </x:c>
      <x:c r="H10" s="32" t="n">
        <x:f>IF(E10=0,"",I10/E10)</x:f>
        <x:v>3151.790017117126</x:v>
      </x:c>
      <x:c r="I10" s="31" t="n">
        <x:f>IF(C10=0,"",SUMIF('Species'!$H$2:$H$59,A10,'Species'!$U$2:$U$59))</x:f>
        <x:v>83866.89268278447</x:v>
      </x:c>
      <x:c r="J10" s="32" t="n">
        <x:v>4.498526249948748</x:v>
      </x:c>
      <x:c r="K10" s="32" t="n">
        <x:f>IF(J10="","",(1/'Metadata'!$B$5)^(J10-1))</x:f>
        <x:v>3151.5648636655646</x:v>
      </x:c>
      <x:c r="L10" s="31" t="n">
        <x:f>IF(E10=0,"",E10*K10)</x:f>
        <x:v>83860.90150943324</x:v>
      </x:c>
      <x:c r="M10" s="31" t="n">
        <x:f>IF(E10=0,"",I10-L10)</x:f>
        <x:v>5.991173351227189</x:v>
      </x:c>
      <x:c r="N10" s="32" t="n">
        <x:f>IF(L10=0,"",I10/L10)</x:f>
        <x:v>1.0000714417952037</x:v>
      </x:c>
      <x:c r="O10" s="34" t="n">
        <x:f>IF(L10=0,"",M10/L10)</x:f>
        <x:v>0.0000714417952036118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4cc399712ef43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18.6081051909</x:v>
      </x:c>
      <x:c r="E2" s="31" t="n">
        <x:v>18.6081051909</x:v>
      </x:c>
      <x:c r="F2" s="32" t="n">
        <x:v>0</x:v>
      </x:c>
      <x:c r="G2" s="34" t="n">
        <x:v>1</x:v>
      </x:c>
      <x:c r="H2" s="32" t="n">
        <x:f>IF(E2=0,"",I2/E2)</x:f>
        <x:v>612.2315300707845</x:v>
      </x:c>
      <x:c r="I2" s="31" t="n">
        <x:f>IF(C2=0,"",SUMIF('Species'!$G$2:$G$59,A2,'Species'!$U$2:$U$59))</x:f>
        <x:v>11392.468712742815</x:v>
      </x:c>
      <x:c r="J2" s="32" t="n">
        <x:v>3.762124918799112</x:v>
      </x:c>
      <x:c r="K2" s="32" t="n">
        <x:f>IF(J2="","",(1/'Metadata'!$B$5)^(J2-1))</x:f>
        <x:v>578.2623526521597</x:v>
      </x:c>
      <x:c r="L2" s="31" t="n">
        <x:f>IF(E2=0,"",E2*K2)</x:f>
        <x:v>10760.3666860887</x:v>
      </x:c>
      <x:c r="M2" s="31" t="n">
        <x:f>IF(E2=0,"",I2-L2)</x:f>
        <x:v>632.1020266541145</x:v>
      </x:c>
      <x:c r="N2" s="32" t="n">
        <x:f>IF(L2=0,"",I2/L2)</x:f>
        <x:v>1.058743539611091</x:v>
      </x:c>
      <x:c r="O2" s="34" t="n">
        <x:f>IF(L2=0,"",M2/L2)</x:f>
        <x:v>0.058743539611090904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124.3007037939</x:v>
      </x:c>
      <x:c r="E3" s="31" t="n">
        <x:v>124.3007037939</x:v>
      </x:c>
      <x:c r="F3" s="32" t="n">
        <x:v>0</x:v>
      </x:c>
      <x:c r="G3" s="34" t="n">
        <x:v>1</x:v>
      </x:c>
      <x:c r="H3" s="32" t="n">
        <x:f>IF(E3=0,"",I3/E3)</x:f>
        <x:v>2167.3599041065613</x:v>
      </x:c>
      <x:c r="I3" s="31" t="n">
        <x:f>IF(C3=0,"",SUMIF('Species'!$G$2:$G$59,A3,'Species'!$U$2:$U$59))</x:f>
        <x:v>269404.3614551252</x:v>
      </x:c>
      <x:c r="J3" s="32" t="n">
        <x:v>3.997656793058751</x:v>
      </x:c>
      <x:c r="K3" s="32" t="n">
        <x:f>IF(J3="","",(1/'Metadata'!$B$5)^(J3-1))</x:f>
        <x:v>994.6190958357168</x:v>
      </x:c>
      <x:c r="L3" s="31" t="n">
        <x:f>IF(E3=0,"",E3*K3)</x:f>
        <x:v>123631.85361923208</x:v>
      </x:c>
      <x:c r="M3" s="31" t="n">
        <x:f>IF(E3=0,"",I3-L3)</x:f>
        <x:v>145772.50783589314</x:v>
      </x:c>
      <x:c r="N3" s="32" t="n">
        <x:f>IF(L3=0,"",I3/L3)</x:f>
        <x:v>2.17908535355986</x:v>
      </x:c>
      <x:c r="O3" s="34" t="n">
        <x:f>IF(L3=0,"",M3/L3)</x:f>
        <x:v>1.1790853535598602</x:v>
      </x:c>
    </x:row>
    <x:row r="4" ht="18" customHeight="1">
      <x:c r="A4" s="24" t="str">
        <x:v>Large pelagics (&gt;=90 cm)</x:v>
      </x:c>
      <x:c r="B4" s="33" t="n">
        <x:v>5</x:v>
      </x:c>
      <x:c r="C4" s="33" t="n">
        <x:v>5</x:v>
      </x:c>
      <x:c r="D4" s="31" t="n">
        <x:v>171.8261173944</x:v>
      </x:c>
      <x:c r="E4" s="31" t="n">
        <x:v>171.8261173944</x:v>
      </x:c>
      <x:c r="F4" s="32" t="n">
        <x:v>0</x:v>
      </x:c>
      <x:c r="G4" s="34" t="n">
        <x:v>1</x:v>
      </x:c>
      <x:c r="H4" s="32" t="n">
        <x:f>IF(E4=0,"",I4/E4)</x:f>
        <x:v>2598.3801514467077</x:v>
      </x:c>
      <x:c r="I4" s="31" t="n">
        <x:f>IF(C4=0,"",SUMIF('Species'!$G$2:$G$59,A4,'Species'!$U$2:$U$59))</x:f>
        <x:v>446469.57293776085</x:v>
      </x:c>
      <x:c r="J4" s="32" t="n">
        <x:v>4.364842163614279</x:v>
      </x:c>
      <x:c r="K4" s="32" t="n">
        <x:f>IF(J4="","",(1/'Metadata'!$B$5)^(J4-1))</x:f>
        <x:v>2316.5525882958846</x:v>
      </x:c>
      <x:c r="L4" s="31" t="n">
        <x:f>IF(E4=0,"",E4*K4)</x:f>
        <x:v>398044.23698682984</x:v>
      </x:c>
      <x:c r="M4" s="31" t="n">
        <x:f>IF(E4=0,"",I4-L4)</x:f>
        <x:v>48425.33595093101</x:v>
      </x:c>
      <x:c r="N4" s="32" t="n">
        <x:f>IF(L4=0,"",I4/L4)</x:f>
        <x:v>1.1216581762808773</x:v>
      </x:c>
      <x:c r="O4" s="34" t="n">
        <x:f>IF(L4=0,"",M4/L4)</x:f>
        <x:v>0.12165817628087722</x:v>
      </x:c>
    </x:row>
    <x:row r="5" ht="18" customHeight="1">
      <x:c r="A5" s="24" t="str">
        <x:v>Large rays (&gt;=90 cm)</x:v>
      </x:c>
      <x:c r="B5" s="33" t="n">
        <x:v>1</x:v>
      </x:c>
      <x:c r="C5" s="33" t="n">
        <x:v>1</x:v>
      </x:c>
      <x:c r="D5" s="31" t="n">
        <x:v>0.3219263634</x:v>
      </x:c>
      <x:c r="E5" s="31" t="n">
        <x:v>0.3219263634</x:v>
      </x:c>
      <x:c r="F5" s="32" t="n">
        <x:v>0</x:v>
      </x:c>
      <x:c r="G5" s="34" t="n">
        <x:v>1</x:v>
      </x:c>
      <x:c r="H5" s="32" t="n">
        <x:f>IF(E5=0,"",I5/E5)</x:f>
        <x:v>501.18723362727246</x:v>
      </x:c>
      <x:c r="I5" s="31" t="n">
        <x:f>IF(C5=0,"",SUMIF('Species'!$G$2:$G$59,A5,'Species'!$U$2:$U$59))</x:f>
        <x:v>161.34538350413402</x:v>
      </x:c>
      <x:c r="J5" s="32" t="n">
        <x:v>3.7000000000000006</x:v>
      </x:c>
      <x:c r="K5" s="32" t="n">
        <x:f>IF(J5="","",(1/'Metadata'!$B$5)^(J5-1))</x:f>
        <x:v>501.18723362727303</x:v>
      </x:c>
      <x:c r="L5" s="31" t="n">
        <x:f>IF(E5=0,"",E5*K5)</x:f>
        <x:v>161.34538350413422</x:v>
      </x:c>
      <x:c r="M5" s="31" t="n">
        <x:f>IF(E5=0,"",I5-L5)</x:f>
        <x:v>-1.9895196601282805e-13</x:v>
      </x:c>
      <x:c r="N5" s="32" t="n">
        <x:f>IF(L5=0,"",I5/L5)</x:f>
        <x:v>0.9999999999999988</x:v>
      </x:c>
      <x:c r="O5" s="34" t="n">
        <x:f>IF(L5=0,"",M5/L5)</x:f>
        <x:v>-1.233081242809344e-15</x:v>
      </x:c>
    </x:row>
    <x:row r="6" ht="18" customHeight="1">
      <x:c r="A6" s="24" t="str">
        <x:v>Large reef assoc. fish (&gt;=90 cm)</x:v>
      </x:c>
      <x:c r="B6" s="33" t="n">
        <x:v>3</x:v>
      </x:c>
      <x:c r="C6" s="33" t="n">
        <x:v>3</x:v>
      </x:c>
      <x:c r="D6" s="31" t="n">
        <x:v>192.4553989944</x:v>
      </x:c>
      <x:c r="E6" s="31" t="n">
        <x:v>192.4553989944</x:v>
      </x:c>
      <x:c r="F6" s="32" t="n">
        <x:v>0</x:v>
      </x:c>
      <x:c r="G6" s="34" t="n">
        <x:v>1</x:v>
      </x:c>
      <x:c r="H6" s="32" t="n">
        <x:f>IF(E6=0,"",I6/E6)</x:f>
        <x:v>2290.79469103205</x:v>
      </x:c>
      <x:c r="I6" s="31" t="n">
        <x:f>IF(C6=0,"",SUMIF('Species'!$G$2:$G$59,A6,'Species'!$U$2:$U$59))</x:f>
        <x:v>440875.80627682654</x:v>
      </x:c>
      <x:c r="J6" s="32" t="n">
        <x:v>4.217351564598867</x:v>
      </x:c>
      <x:c r="K6" s="32" t="n">
        <x:f>IF(J6="","",(1/'Metadata'!$B$5)^(J6-1))</x:f>
        <x:v>1649.4971313533902</x:v>
      </x:c>
      <x:c r="L6" s="31" t="n">
        <x:f>IF(E6=0,"",E6*K6)</x:f>
        <x:v>317454.6285547349</x:v>
      </x:c>
      <x:c r="M6" s="31" t="n">
        <x:f>IF(E6=0,"",I6-L6)</x:f>
        <x:v>123421.17772209161</x:v>
      </x:c>
      <x:c r="N6" s="32" t="n">
        <x:f>IF(L6=0,"",I6/L6)</x:f>
        <x:v>1.388783676848522</x:v>
      </x:c>
      <x:c r="O6" s="34" t="n">
        <x:f>IF(L6=0,"",M6/L6)</x:f>
        <x:v>0.3887836768485219</x:v>
      </x:c>
    </x:row>
    <x:row r="7" ht="18" customHeight="1">
      <x:c r="A7" s="24" t="str">
        <x:v>Large sharks (&gt;=90 cm)</x:v>
      </x:c>
      <x:c r="B7" s="33" t="n">
        <x:v>1</x:v>
      </x:c>
      <x:c r="C7" s="33" t="n">
        <x:v>1</x:v>
      </x:c>
      <x:c r="D7" s="31" t="n">
        <x:v>78.5562865704</x:v>
      </x:c>
      <x:c r="E7" s="31" t="n">
        <x:v>78.5562865704</x:v>
      </x:c>
      <x:c r="F7" s="32" t="n">
        <x:v>0</x:v>
      </x:c>
      <x:c r="G7" s="34" t="n">
        <x:v>1</x:v>
      </x:c>
      <x:c r="H7" s="32" t="n">
        <x:f>IF(E7=0,"",I7/E7)</x:f>
        <x:v>1122.018454301963</x:v>
      </x:c>
      <x:c r="I7" s="31" t="n">
        <x:f>IF(C7=0,"",SUMIF('Species'!$G$2:$G$59,A7,'Species'!$U$2:$U$59))</x:f>
        <x:v>88141.60323342227</x:v>
      </x:c>
      <x:c r="J7" s="32" t="n">
        <x:v>4.05</x:v>
      </x:c>
      <x:c r="K7" s="32" t="n">
        <x:f>IF(J7="","",(1/'Metadata'!$B$5)^(J7-1))</x:f>
        <x:v>1122.018454301963</x:v>
      </x:c>
      <x:c r="L7" s="31" t="n">
        <x:f>IF(E7=0,"",E7*K7)</x:f>
        <x:v>88141.60323342227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Lobsters, crabs</x:v>
      </x:c>
      <x:c r="B8" s="33" t="n">
        <x:v>2</x:v>
      </x:c>
      <x:c r="C8" s="33" t="n">
        <x:v>2</x:v>
      </x:c>
      <x:c r="D8" s="31" t="n">
        <x:v>2.3936629141</x:v>
      </x:c>
      <x:c r="E8" s="31" t="n">
        <x:v>2.3936629141</x:v>
      </x:c>
      <x:c r="F8" s="32" t="n">
        <x:v>0</x:v>
      </x:c>
      <x:c r="G8" s="34" t="n">
        <x:v>1</x:v>
      </x:c>
      <x:c r="H8" s="32" t="n">
        <x:f>IF(E8=0,"",I8/E8)</x:f>
        <x:v>163.48212292189928</x:v>
      </x:c>
      <x:c r="I8" s="31" t="n">
        <x:f>IF(C8=0,"",SUMIF('Species'!$G$2:$G$59,A8,'Species'!$U$2:$U$59))</x:f>
        <x:v>391.3210947564878</x:v>
      </x:c>
      <x:c r="J8" s="32" t="n">
        <x:v>3.2094998462849764</x:v>
      </x:c>
      <x:c r="K8" s="32" t="n">
        <x:f>IF(J8="","",(1/'Metadata'!$B$5)^(J8-1))</x:f>
        <x:v>161.99434205376403</x:v>
      </x:c>
      <x:c r="L8" s="31" t="n">
        <x:f>IF(E8=0,"",E8*K8)</x:f>
        <x:v>387.759848868125</x:v>
      </x:c>
      <x:c r="M8" s="31" t="n">
        <x:f>IF(E8=0,"",I8-L8)</x:f>
        <x:v>3.561245888362805</x:v>
      </x:c>
      <x:c r="N8" s="32" t="n">
        <x:f>IF(L8=0,"",I8/L8)</x:f>
        <x:v>1.0091841532813626</x:v>
      </x:c>
      <x:c r="O8" s="34" t="n">
        <x:f>IF(L8=0,"",M8/L8)</x:f>
        <x:v>0.009184153281362469</x:v>
      </x:c>
    </x:row>
    <x:row r="9" ht="18" customHeight="1">
      <x:c r="A9" s="24" t="str">
        <x:v>Medium benthopelagics (30 - 89 cm)</x:v>
      </x:c>
      <x:c r="B9" s="33" t="n">
        <x:v>1</x:v>
      </x:c>
      <x:c r="C9" s="33" t="n">
        <x:v>1</x:v>
      </x:c>
      <x:c r="D9" s="31" t="n">
        <x:v>0.07933380300000001</x:v>
      </x:c>
      <x:c r="E9" s="31" t="n">
        <x:v>0.07933380300000001</x:v>
      </x:c>
      <x:c r="F9" s="32" t="n">
        <x:v>0</x:v>
      </x:c>
      <x:c r="G9" s="34" t="n">
        <x:v>1</x:v>
      </x:c>
      <x:c r="H9" s="32" t="n">
        <x:f>IF(E9=0,"",I9/E9)</x:f>
        <x:v>204.17379446695296</x:v>
      </x:c>
      <x:c r="I9" s="31" t="n">
        <x:f>IF(C9=0,"",SUMIF('Species'!$G$2:$G$59,A9,'Species'!$U$2:$U$59))</x:f>
        <x:v>16.197883588003737</x:v>
      </x:c>
      <x:c r="J9" s="32" t="n">
        <x:v>3.31</x:v>
      </x:c>
      <x:c r="K9" s="32" t="n">
        <x:f>IF(J9="","",(1/'Metadata'!$B$5)^(J9-1))</x:f>
        <x:v>204.17379446695296</x:v>
      </x:c>
      <x:c r="L9" s="31" t="n">
        <x:f>IF(E9=0,"",E9*K9)</x:f>
        <x:v>16.197883588003737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demersals (30 - 89 cm)</x:v>
      </x:c>
      <x:c r="B10" s="33" t="n">
        <x:v>10</x:v>
      </x:c>
      <x:c r="C10" s="33" t="n">
        <x:v>10</x:v>
      </x:c>
      <x:c r="D10" s="31" t="n">
        <x:v>3848.8930580090996</x:v>
      </x:c>
      <x:c r="E10" s="31" t="n">
        <x:v>3848.8930580090996</x:v>
      </x:c>
      <x:c r="F10" s="32" t="n">
        <x:v>0</x:v>
      </x:c>
      <x:c r="G10" s="34" t="n">
        <x:v>1</x:v>
      </x:c>
      <x:c r="H10" s="32" t="n">
        <x:f>IF(E10=0,"",I10/E10)</x:f>
        <x:v>1484.54457137234</x:v>
      </x:c>
      <x:c r="I10" s="31" t="n">
        <x:f>IF(C10=0,"",SUMIF('Species'!$G$2:$G$59,A10,'Species'!$U$2:$U$59))</x:f>
        <x:v>5713853.2950600935</x:v>
      </x:c>
      <x:c r="J10" s="32" t="n">
        <x:v>4.03616022501828</x:v>
      </x:c>
      <x:c r="K10" s="32" t="n">
        <x:f>IF(J10="","",(1/'Metadata'!$B$5)^(J10-1))</x:f>
        <x:v>1086.8265144573945</x:v>
      </x:c>
      <x:c r="L10" s="31" t="n">
        <x:f>IF(E10=0,"",E10*K10)</x:f>
        <x:v>4183079.026755292</x:v>
      </x:c>
      <x:c r="M10" s="31" t="n">
        <x:f>IF(E10=0,"",I10-L10)</x:f>
        <x:v>1530774.2683048015</x:v>
      </x:c>
      <x:c r="N10" s="32" t="n">
        <x:f>IF(L10=0,"",I10/L10)</x:f>
        <x:v>1.365944381761342</x:v>
      </x:c>
      <x:c r="O10" s="34" t="n">
        <x:f>IF(L10=0,"",M10/L10)</x:f>
        <x:v>0.36594438176134203</x:v>
      </x:c>
    </x:row>
    <x:row r="11" ht="18" customHeight="1">
      <x:c r="A11" s="24" t="str">
        <x:v>Medium pelagics (30 - 89 cm)</x:v>
      </x:c>
      <x:c r="B11" s="33" t="n">
        <x:v>3</x:v>
      </x:c>
      <x:c r="C11" s="33" t="n">
        <x:v>3</x:v>
      </x:c>
      <x:c r="D11" s="31" t="n">
        <x:v>362.0837985931</x:v>
      </x:c>
      <x:c r="E11" s="31" t="n">
        <x:v>362.0837985931</x:v>
      </x:c>
      <x:c r="F11" s="32" t="n">
        <x:v>0</x:v>
      </x:c>
      <x:c r="G11" s="34" t="n">
        <x:v>1</x:v>
      </x:c>
      <x:c r="H11" s="32" t="n">
        <x:f>IF(E11=0,"",I11/E11)</x:f>
        <x:v>1224.2740027555935</x:v>
      </x:c>
      <x:c r="I11" s="31" t="n">
        <x:f>IF(C11=0,"",SUMIF('Species'!$G$2:$G$59,A11,'Species'!$U$2:$U$59))</x:f>
        <x:v>443289.7814365247</x:v>
      </x:c>
      <x:c r="J11" s="32" t="n">
        <x:v>4.060773374114161</x:v>
      </x:c>
      <x:c r="K11" s="32" t="n">
        <x:f>IF(J11="","",(1/'Metadata'!$B$5)^(J11-1))</x:f>
        <x:v>1150.2000287420042</x:v>
      </x:c>
      <x:c r="L11" s="31" t="n">
        <x:f>IF(E11=0,"",E11*K11)</x:f>
        <x:v>416468.7955487977</x:v>
      </x:c>
      <x:c r="M11" s="31" t="n">
        <x:f>IF(E11=0,"",I11-L11)</x:f>
        <x:v>26820.985887727</x:v>
      </x:c>
      <x:c r="N11" s="32" t="n">
        <x:f>IF(L11=0,"",I11/L11)</x:f>
        <x:v>1.064400949541451</x:v>
      </x:c>
      <x:c r="O11" s="34" t="n">
        <x:f>IF(L11=0,"",M11/L11)</x:f>
        <x:v>0.06440094954145102</x:v>
      </x:c>
    </x:row>
    <x:row r="12" ht="18" customHeight="1">
      <x:c r="A12" s="24" t="str">
        <x:v>Medium reef assoc. fish (30 - 89 cm)</x:v>
      </x:c>
      <x:c r="B12" s="33" t="n">
        <x:v>18</x:v>
      </x:c>
      <x:c r="C12" s="33" t="n">
        <x:v>18</x:v>
      </x:c>
      <x:c r="D12" s="31" t="n">
        <x:v>525.0418528183</x:v>
      </x:c>
      <x:c r="E12" s="31" t="n">
        <x:v>525.0418528183</x:v>
      </x:c>
      <x:c r="F12" s="32" t="n">
        <x:v>0</x:v>
      </x:c>
      <x:c r="G12" s="34" t="n">
        <x:v>1</x:v>
      </x:c>
      <x:c r="H12" s="32" t="n">
        <x:f>IF(E12=0,"",I12/E12)</x:f>
        <x:v>1332.472265621212</x:v>
      </x:c>
      <x:c r="I12" s="31" t="n">
        <x:f>IF(C12=0,"",SUMIF('Species'!$G$2:$G$59,A12,'Species'!$U$2:$U$59))</x:f>
        <x:v>699603.7071707591</x:v>
      </x:c>
      <x:c r="J12" s="32" t="n">
        <x:v>3.8798843708462427</x:v>
      </x:c>
      <x:c r="K12" s="32" t="n">
        <x:f>IF(J12="","",(1/'Metadata'!$B$5)^(J12-1))</x:f>
        <x:v>758.3756336943443</x:v>
      </x:c>
      <x:c r="L12" s="31" t="n">
        <x:f>IF(E12=0,"",E12*K12)</x:f>
        <x:v>398178.9478471309</x:v>
      </x:c>
      <x:c r="M12" s="31" t="n">
        <x:f>IF(E12=0,"",I12-L12)</x:f>
        <x:v>301424.7593236282</x:v>
      </x:c>
      <x:c r="N12" s="32" t="n">
        <x:f>IF(L12=0,"",I12/L12)</x:f>
        <x:v>1.7570082771913682</x:v>
      </x:c>
      <x:c r="O12" s="34" t="n">
        <x:f>IF(L12=0,"",M12/L12)</x:f>
        <x:v>0.7570082771913682</x:v>
      </x:c>
    </x:row>
    <x:row r="13" ht="18" customHeight="1">
      <x:c r="A13" s="24" t="str">
        <x:v>Other demersal invertebrates</x:v>
      </x:c>
      <x:c r="B13" s="33" t="n">
        <x:v>2</x:v>
      </x:c>
      <x:c r="C13" s="33" t="n">
        <x:v>2</x:v>
      </x:c>
      <x:c r="D13" s="31" t="n">
        <x:v>2350.9412506932003</x:v>
      </x:c>
      <x:c r="E13" s="31" t="n">
        <x:v>2350.9412506932003</x:v>
      </x:c>
      <x:c r="F13" s="32" t="n">
        <x:v>0</x:v>
      </x:c>
      <x:c r="G13" s="34" t="n">
        <x:v>1</x:v>
      </x:c>
      <x:c r="H13" s="32" t="n">
        <x:f>IF(E13=0,"",I13/E13)</x:f>
        <x:v>10.00108968770363</x:v>
      </x:c>
      <x:c r="I13" s="31" t="n">
        <x:f>IF(C13=0,"",SUMIF('Species'!$G$2:$G$59,A13,'Species'!$U$2:$U$59))</x:f>
        <x:v>23511.974298704838</x:v>
      </x:c>
      <x:c r="J13" s="32" t="n">
        <x:v>2.0000420850041745</x:v>
      </x:c>
      <x:c r="K13" s="32" t="n">
        <x:f>IF(J13="","",(1/'Metadata'!$B$5)^(J13-1))</x:f>
        <x:v>10.000969089986244</x:v>
      </x:c>
      <x:c r="L13" s="31" t="n">
        <x:f>IF(E13=0,"",E13*K13)</x:f>
        <x:v>23511.6907805563</x:v>
      </x:c>
      <x:c r="M13" s="31" t="n">
        <x:f>IF(E13=0,"",I13-L13)</x:f>
        <x:v>0.28351814853886026</x:v>
      </x:c>
      <x:c r="N13" s="32" t="n">
        <x:f>IF(L13=0,"",I13/L13)</x:f>
        <x:v>1.0000120586031513</x:v>
      </x:c>
      <x:c r="O13" s="34" t="n">
        <x:f>IF(L13=0,"",M13/L13)</x:f>
        <x:v>0.000012058603151302251</x:v>
      </x:c>
    </x:row>
    <x:row r="14" ht="18" customHeight="1">
      <x:c r="A14" s="24" t="str">
        <x:v>Shrimps</x:v>
      </x:c>
      <x:c r="B14" s="33" t="n">
        <x:v>1</x:v>
      </x:c>
      <x:c r="C14" s="33" t="n">
        <x:v>1</x:v>
      </x:c>
      <x:c r="D14" s="31" t="n">
        <x:v>223.64980524650002</x:v>
      </x:c>
      <x:c r="E14" s="31" t="n">
        <x:v>223.64980524650002</x:v>
      </x:c>
      <x:c r="F14" s="32" t="n">
        <x:v>0</x:v>
      </x:c>
      <x:c r="G14" s="34" t="n">
        <x:v>1</x:v>
      </x:c>
      <x:c r="H14" s="32" t="n">
        <x:f>IF(E14=0,"",I14/E14)</x:f>
        <x:v>204.17379446695296</x:v>
      </x:c>
      <x:c r="I14" s="31" t="n">
        <x:f>IF(C14=0,"",SUMIF('Species'!$G$2:$G$59,A14,'Species'!$U$2:$U$59))</x:f>
        <x:v>45663.42936897295</x:v>
      </x:c>
      <x:c r="J14" s="32" t="n">
        <x:v>3.31</x:v>
      </x:c>
      <x:c r="K14" s="32" t="n">
        <x:f>IF(J14="","",(1/'Metadata'!$B$5)^(J14-1))</x:f>
        <x:v>204.17379446695296</x:v>
      </x:c>
      <x:c r="L14" s="31" t="n">
        <x:f>IF(E14=0,"",E14*K14)</x:f>
        <x:v>45663.42936897295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1586.1955753682</x:v>
      </x:c>
      <x:c r="E15" s="31" t="n">
        <x:v>1586.1955753682</x:v>
      </x:c>
      <x:c r="F15" s="32" t="n">
        <x:v>0</x:v>
      </x:c>
      <x:c r="G15" s="34" t="n">
        <x:v>1</x:v>
      </x:c>
      <x:c r="H15" s="32" t="n">
        <x:f>IF(E15=0,"",I15/E15)</x:f>
        <x:v>173.78008287493762</x:v>
      </x:c>
      <x:c r="I15" s="31" t="n">
        <x:f>IF(C15=0,"",SUMIF('Species'!$G$2:$G$59,A15,'Species'!$U$2:$U$59))</x:f>
        <x:v>275649.19854334515</x:v>
      </x:c>
      <x:c r="J15" s="32" t="n">
        <x:v>3.24</x:v>
      </x:c>
      <x:c r="K15" s="32" t="n">
        <x:f>IF(J15="","",(1/'Metadata'!$B$5)^(J15-1))</x:f>
        <x:v>173.78008287493762</x:v>
      </x:c>
      <x:c r="L15" s="31" t="n">
        <x:f>IF(E15=0,"",E15*K15)</x:f>
        <x:v>275649.19854334515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demersals (&lt;30 cm)</x:v>
      </x:c>
      <x:c r="B16" s="33" t="n">
        <x:v>2</x:v>
      </x:c>
      <x:c r="C16" s="33" t="n">
        <x:v>2</x:v>
      </x:c>
      <x:c r="D16" s="31" t="n">
        <x:v>1011.96985399</x:v>
      </x:c>
      <x:c r="E16" s="31" t="n">
        <x:v>1011.96985399</x:v>
      </x:c>
      <x:c r="F16" s="32" t="n">
        <x:v>0</x:v>
      </x:c>
      <x:c r="G16" s="34" t="n">
        <x:v>1</x:v>
      </x:c>
      <x:c r="H16" s="32" t="n">
        <x:f>IF(E16=0,"",I16/E16)</x:f>
        <x:v>302.75145143949413</x:v>
      </x:c>
      <x:c r="I16" s="31" t="n">
        <x:f>IF(C16=0,"",SUMIF('Species'!$G$2:$G$59,A16,'Species'!$U$2:$U$59))</x:f>
        <x:v>306375.34210848546</x:v>
      </x:c>
      <x:c r="J16" s="32" t="n">
        <x:v>3.465505110035381</x:v>
      </x:c>
      <x:c r="K16" s="32" t="n">
        <x:f>IF(J16="","",(1/'Metadata'!$B$5)^(J16-1))</x:f>
        <x:v>292.0822127248927</x:v>
      </x:c>
      <x:c r="L16" s="31" t="n">
        <x:f>IF(E16=0,"",E16*K16)</x:f>
        <x:v>295578.3941642858</x:v>
      </x:c>
      <x:c r="M16" s="31" t="n">
        <x:f>IF(E16=0,"",I16-L16)</x:f>
        <x:v>10796.947944199666</x:v>
      </x:c>
      <x:c r="N16" s="32" t="n">
        <x:f>IF(L16=0,"",I16/L16)</x:f>
        <x:v>1.036528204217114</x:v>
      </x:c>
      <x:c r="O16" s="34" t="n">
        <x:f>IF(L16=0,"",M16/L16)</x:f>
        <x:v>0.03652820421711406</x:v>
      </x:c>
    </x:row>
    <x:row r="17" ht="18" customHeight="1">
      <x:c r="A17" s="24" t="str">
        <x:v>Small pelagics (&lt;30 cm)</x:v>
      </x:c>
      <x:c r="B17" s="33" t="n">
        <x:v>1</x:v>
      </x:c>
      <x:c r="C17" s="33" t="n">
        <x:v>1</x:v>
      </x:c>
      <x:c r="D17" s="31" t="n">
        <x:v>110.0784333186</x:v>
      </x:c>
      <x:c r="E17" s="31" t="n">
        <x:v>110.0784333186</x:v>
      </x:c>
      <x:c r="F17" s="32" t="n">
        <x:v>0</x:v>
      </x:c>
      <x:c r="G17" s="34" t="n">
        <x:v>1</x:v>
      </x:c>
      <x:c r="H17" s="32" t="n">
        <x:f>IF(E17=0,"",I17/E17)</x:f>
        <x:v>144.5439770745928</x:v>
      </x:c>
      <x:c r="I17" s="31" t="n">
        <x:f>IF(C17=0,"",SUMIF('Species'!$G$2:$G$59,A17,'Species'!$U$2:$U$59))</x:f>
        <x:v>15911.174542010811</x:v>
      </x:c>
      <x:c r="J17" s="32" t="n">
        <x:v>3.16</x:v>
      </x:c>
      <x:c r="K17" s="32" t="n">
        <x:f>IF(J17="","",(1/'Metadata'!$B$5)^(J17-1))</x:f>
        <x:v>144.5439770745928</x:v>
      </x:c>
      <x:c r="L17" s="31" t="n">
        <x:f>IF(E17=0,"",E17*K17)</x:f>
        <x:v>15911.174542010811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reef assoc. fish (&lt;30 cm)</x:v>
      </x:c>
      <x:c r="B18" s="33" t="n">
        <x:v>1</x:v>
      </x:c>
      <x:c r="C18" s="33" t="n">
        <x:v>1</x:v>
      </x:c>
      <x:c r="D18" s="31" t="n">
        <x:v>0.0246403913</x:v>
      </x:c>
      <x:c r="E18" s="31" t="n">
        <x:v>0.0246403913</x:v>
      </x:c>
      <x:c r="F18" s="32" t="n">
        <x:v>0</x:v>
      </x:c>
      <x:c r="G18" s="34" t="n">
        <x:v>1</x:v>
      </x:c>
      <x:c r="H18" s="32" t="n">
        <x:f>IF(E18=0,"",I18/E18)</x:f>
        <x:v>19.054607179632463</x:v>
      </x:c>
      <x:c r="I18" s="31" t="n">
        <x:f>IF(C18=0,"",SUMIF('Species'!$G$2:$G$59,A18,'Species'!$U$2:$U$59))</x:f>
        <x:v>0.4695129769739333</x:v>
      </x:c>
      <x:c r="J18" s="32" t="n">
        <x:v>2.28</x:v>
      </x:c>
      <x:c r="K18" s="32" t="n">
        <x:f>IF(J18="","",(1/'Metadata'!$B$5)^(J18-1))</x:f>
        <x:v>19.054607179632463</x:v>
      </x:c>
      <x:c r="L18" s="31" t="n">
        <x:f>IF(E18=0,"",E18*K18)</x:f>
        <x:v>0.4695129769739333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to medium flatfishes (&lt;90 cm)</x:v>
      </x:c>
      <x:c r="B19" s="33" t="n">
        <x:v>2</x:v>
      </x:c>
      <x:c r="C19" s="33" t="n">
        <x:v>2</x:v>
      </x:c>
      <x:c r="D19" s="31" t="n">
        <x:v>66.0216905205</x:v>
      </x:c>
      <x:c r="E19" s="31" t="n">
        <x:v>66.0216905205</x:v>
      </x:c>
      <x:c r="F19" s="32" t="n">
        <x:v>0</x:v>
      </x:c>
      <x:c r="G19" s="34" t="n">
        <x:v>1</x:v>
      </x:c>
      <x:c r="H19" s="32" t="n">
        <x:f>IF(E19=0,"",I19/E19)</x:f>
        <x:v>241.95613283475043</x:v>
      </x:c>
      <x:c r="I19" s="31" t="n">
        <x:f>IF(C19=0,"",SUMIF('Species'!$G$2:$G$59,A19,'Species'!$U$2:$U$59))</x:f>
        <x:v>15974.352921552882</x:v>
      </x:c>
      <x:c r="J19" s="32" t="n">
        <x:v>3.2894925901284275</x:v>
      </x:c>
      <x:c r="K19" s="32" t="n">
        <x:f>IF(J19="","",(1/'Metadata'!$B$5)^(J19-1))</x:f>
        <x:v>194.75678205297925</x:v>
      </x:c>
      <x:c r="L19" s="31" t="n">
        <x:f>IF(E19=0,"",E19*K19)</x:f>
        <x:v>12858.171991470264</x:v>
      </x:c>
      <x:c r="M19" s="31" t="n">
        <x:f>IF(E19=0,"",I19-L19)</x:f>
        <x:v>3116.180930082617</x:v>
      </x:c>
      <x:c r="N19" s="32" t="n">
        <x:f>IF(L19=0,"",I19/L19)</x:f>
        <x:v>1.2423502292666329</x:v>
      </x:c>
      <x:c r="O19" s="34" t="n">
        <x:f>IF(L19=0,"",M19/L19)</x:f>
        <x:v>0.24235022926663297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ec99b076a2d46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EEZ_111</x:v>
      </x:c>
      <x:c r="B2" s="24" t="str">
        <x:v>raw_filtered_tonnes</x:v>
      </x:c>
      <x:c r="C2" s="24" t="n">
        <x:v>10673.4414939733</x:v>
      </x:c>
      <x:c r="D2" s="24" t="str">
        <x:v>tonnes</x:v>
      </x:c>
    </x:row>
    <x:row r="3" ht="18" customHeight="1">
      <x:c r="A3" s="24" t="str">
        <x:v>EEZ_111</x:v>
      </x:c>
      <x:c r="B3" s="24" t="str">
        <x:v>species_catch_tonnes</x:v>
      </x:c>
      <x:c r="C3" s="24" t="n">
        <x:v>10673.441493973301</x:v>
      </x:c>
      <x:c r="D3" s="24" t="str">
        <x:v>tonnes</x:v>
      </x:c>
    </x:row>
    <x:row r="4" ht="18" customHeight="1">
      <x:c r="A4" s="24" t="str">
        <x:v>EEZ_111</x:v>
      </x:c>
      <x:c r="B4" s="24" t="str">
        <x:v>catch_difference_tonnes</x:v>
      </x:c>
      <x:c r="C4" s="24" t="n">
        <x:v>1.8189894035458565e-12</x:v>
      </x:c>
      <x:c r="D4" s="24" t="str">
        <x:v>tonnes</x:v>
      </x:c>
    </x:row>
    <x:row r="5" ht="18" customHeight="1">
      <x:c r="A5" s="24" t="str">
        <x:v>EEZ_111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EEZ_111</x:v>
      </x:c>
      <x:c r="B6" s="24" t="str">
        <x:v>matched_catch_tonnes</x:v>
      </x:c>
      <x:c r="C6" s="24" t="n">
        <x:v>10673.441493973301</x:v>
      </x:c>
      <x:c r="D6" s="24" t="str">
        <x:v>tonnes</x:v>
      </x:c>
    </x:row>
    <x:row r="7" ht="18" customHeight="1">
      <x:c r="A7" s="24" t="str">
        <x:v>EEZ_111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EEZ_111</x:v>
      </x:c>
      <x:c r="B8" s="24" t="str">
        <x:v>taxa_count</x:v>
      </x:c>
      <x:c r="C8" s="24" t="n">
        <x:v>58</x:v>
      </x:c>
      <x:c r="D8" s="24" t="str">
        <x:v>count</x:v>
      </x:c>
    </x:row>
    <x:row r="9" ht="18" customHeight="1">
      <x:c r="A9" s="24" t="str">
        <x:v>EEZ_111</x:v>
      </x:c>
      <x:c r="B9" s="24" t="str">
        <x:v>matched_taxa_count</x:v>
      </x:c>
      <x:c r="C9" s="24" t="n">
        <x:v>58</x:v>
      </x:c>
      <x:c r="D9" s="24" t="str">
        <x:v>count</x:v>
      </x:c>
    </x:row>
    <x:row r="10" ht="18" customHeight="1">
      <x:c r="A10" s="24" t="str">
        <x:v>EEZ_111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EEZ_111</x:v>
      </x:c>
      <x:c r="B11" s="24" t="str">
        <x:v>species_ppr</x:v>
      </x:c>
      <x:c r="C11" s="24" t="n">
        <x:v>8796685.401941154</x:v>
      </x:c>
      <x:c r="D11" s="24" t="str">
        <x:v>tonnes_primary_production_equivalent</x:v>
      </x:c>
    </x:row>
    <x:row r="12" ht="18" customHeight="1">
      <x:c r="A12" s="24" t="str">
        <x:v>EEZ_111</x:v>
      </x:c>
      <x:c r="B12" s="24" t="str">
        <x:v>commercial_ppr</x:v>
      </x:c>
      <x:c r="C12" s="24" t="n">
        <x:v>8796685.401941154</x:v>
      </x:c>
      <x:c r="D12" s="24" t="str">
        <x:v>tonnes_primary_production_equivalent</x:v>
      </x:c>
    </x:row>
    <x:row r="13" ht="18" customHeight="1">
      <x:c r="A13" s="24" t="str">
        <x:v>EEZ_111</x:v>
      </x:c>
      <x:c r="B13" s="24" t="str">
        <x:v>functional_ppr</x:v>
      </x:c>
      <x:c r="C13" s="24" t="n">
        <x:v>8796685.401941152</x:v>
      </x:c>
      <x:c r="D13" s="24" t="str">
        <x:v>tonnes_primary_production_equivalent</x:v>
      </x:c>
    </x:row>
    <x:row r="14" ht="18" customHeight="1">
      <x:c r="A14" s="24" t="str">
        <x:v>EEZ_111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EEZ_111</x:v>
      </x:c>
      <x:c r="B15" s="24" t="str">
        <x:v>functional_ppr_difference</x:v>
      </x:c>
      <x:c r="C15" s="24" t="n">
        <x:v>-1.862645149230957e-9</x:v>
      </x:c>
      <x:c r="D15" s="24" t="str">
        <x:v>tonnes_primary_production_equivalent</x:v>
      </x:c>
    </x:row>
    <x:row r="16" ht="18" customHeight="1">
      <x:c r="A16" s="24" t="str">
        <x:v>EEZ_111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EEZ_111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EEZ_111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EEZ_111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f30ec0b97fc4b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EEZ_111 - Eritrea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EEZ_111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raw_data/SAU_downloads/EEZ_111-catch.zip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