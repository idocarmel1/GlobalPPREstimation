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e9ee1a1c5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331c6c950e54a23"/>
    <x:sheet xmlns:r="http://schemas.openxmlformats.org/officeDocument/2006/relationships" name="Commercial" sheetId="2" r:id="R157fe4c2987a45c2"/>
    <x:sheet xmlns:r="http://schemas.openxmlformats.org/officeDocument/2006/relationships" name="Functional" sheetId="3" r:id="R75171c60f7f0400b"/>
    <x:sheet xmlns:r="http://schemas.openxmlformats.org/officeDocument/2006/relationships" name="Missing TL" sheetId="4" r:id="R9c3bd924f4cd4baf"/>
    <x:sheet xmlns:r="http://schemas.openxmlformats.org/officeDocument/2006/relationships" name="Validation" sheetId="5" r:id="Rc2c2476071894f9e"/>
    <x:sheet xmlns:r="http://schemas.openxmlformats.org/officeDocument/2006/relationships" name="Metadata" sheetId="6" r:id="R125d2b83a4e3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8820dc215457b" /><Relationship Type="http://schemas.openxmlformats.org/officeDocument/2006/relationships/theme" Target="/xl/theme/theme1.xml" Id="R810eda7e1a9a4851" /><Relationship Type="http://schemas.microsoft.com/office/2022/11/relationships/FeaturePropertyBag" Target="/xl/featurePropertyBag/featurePropertyBag.xml" Id="R8b0473c3cebe492a" /><Relationship Type="http://schemas.openxmlformats.org/officeDocument/2006/relationships/sharedStrings" Target="/xl/sharedStrings.xml" Id="R8ca9b4c0576e411f" /><Relationship Type="http://schemas.openxmlformats.org/officeDocument/2006/relationships/worksheet" Target="/xl/worksheets/sheet1.xml" Id="Ra331c6c950e54a23" /><Relationship Type="http://schemas.openxmlformats.org/officeDocument/2006/relationships/worksheet" Target="/xl/worksheets/sheet2.xml" Id="R157fe4c2987a45c2" /><Relationship Type="http://schemas.openxmlformats.org/officeDocument/2006/relationships/worksheet" Target="/xl/worksheets/sheet3.xml" Id="R75171c60f7f0400b" /><Relationship Type="http://schemas.openxmlformats.org/officeDocument/2006/relationships/worksheet" Target="/xl/worksheets/sheet4.xml" Id="R9c3bd924f4cd4baf" /><Relationship Type="http://schemas.openxmlformats.org/officeDocument/2006/relationships/worksheet" Target="/xl/worksheets/sheet5.xml" Id="Rc2c2476071894f9e" /><Relationship Type="http://schemas.openxmlformats.org/officeDocument/2006/relationships/worksheet" Target="/xl/worksheets/sheet6.xml" Id="R125d2b83a4e3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68SpeciesTable" displayName="EEZ368SpeciesTable" ref="A1:U51" headerRowCount="1" totalsRowCount="0" totalsRowShown="0">
  <x:autoFilter ref="A1:U5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68CommercialTable" displayName="EEZ368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68FunctionalTable" displayName="EEZ368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68ValidationTable" displayName="EEZ36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90c1652b5d4f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bc406ba70f46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1c15014dc24b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4247d5615c4d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EEZ_368</x:v>
      </x:c>
      <x:c r="B2" s="24" t="str">
        <x:v>Iraq</x:v>
      </x:c>
      <x:c r="C2" s="24" t="str">
        <x:v>EEZ</x:v>
      </x:c>
      <x:c r="D2" s="30" t="n">
        <x:v>2019</x:v>
      </x:c>
      <x:c r="E2" s="24" t="str">
        <x:v>Mugilidae</x:v>
      </x:c>
      <x:c r="F2" s="24" t="str">
        <x:v>Mullets, grey mullets</x:v>
      </x:c>
      <x:c r="G2" s="24" t="str">
        <x:v>Medium reef assoc. fish (30 - 89 cm)</x:v>
      </x:c>
      <x:c r="H2" s="24" t="str">
        <x:v>Perch-likes</x:v>
      </x:c>
      <x:c r="I2" s="31" t="n">
        <x:v>4533.7413909629995</x:v>
      </x:c>
      <x:c r="J2" s="31" t="n">
        <x:v>4503.495346722</x:v>
      </x:c>
      <x:c r="K2" s="31" t="n">
        <x:v>30.246044241</x:v>
      </x:c>
      <x:c r="L2" s="31" t="n">
        <x:v>1939.00000007</x:v>
      </x:c>
      <x:c r="M2" s="31" t="n">
        <x:v>2594.741390893</x:v>
      </x:c>
      <x:c r="N2" s="24" t="str">
        <x:v>mugilidae</x:v>
      </x:c>
      <x:c r="O2" s="32" t="n">
        <x:v>2.53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Mugilidae</x:v>
      </x:c>
      <x:c r="T2" s="32" t="n">
        <x:f>IF(O2="","",(1/'Metadata'!$B$5)^(O2-1))</x:f>
        <x:v>33.88441561392024</x:v>
      </x:c>
      <x:c r="U2" s="31" t="n">
        <x:f>IF(T2="","",I2*T2)</x:f>
        <x:v>153623.17757742314</x:v>
      </x:c>
    </x:row>
    <x:row r="3" ht="18" customHeight="1">
      <x:c r="A3" s="24" t="str">
        <x:v>EEZ_368</x:v>
      </x:c>
      <x:c r="B3" s="24" t="str">
        <x:v>Iraq</x:v>
      </x:c>
      <x:c r="C3" s="24" t="str">
        <x:v>EEZ</x:v>
      </x:c>
      <x:c r="D3" s="30" t="n">
        <x:v>2019</x:v>
      </x:c>
      <x:c r="E3" s="24" t="str">
        <x:v>Tenualosa ilisha</x:v>
      </x:c>
      <x:c r="F3" s="24" t="str">
        <x:v>Hilsa shad</x:v>
      </x:c>
      <x:c r="G3" s="24" t="str">
        <x:v>Medium pelagics (30 - 89 cm)</x:v>
      </x:c>
      <x:c r="H3" s="24" t="str">
        <x:v>Herring-likes</x:v>
      </x:c>
      <x:c r="I3" s="31" t="n">
        <x:v>2019.7548906060001</x:v>
      </x:c>
      <x:c r="J3" s="31" t="n">
        <x:v>2019.7548906060001</x:v>
      </x:c>
      <x:c r="K3" s="31" t="n">
        <x:v>0</x:v>
      </x:c>
      <x:c r="L3" s="31" t="n">
        <x:v>1719.9999999400002</x:v>
      </x:c>
      <x:c r="M3" s="31" t="n">
        <x:v>299.754890666</x:v>
      </x:c>
      <x:c r="N3" s="24" t="str">
        <x:v>tenualosa ilisha</x:v>
      </x:c>
      <x:c r="O3" s="32" t="n">
        <x:v>2.2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Tenualosa ilisha</x:v>
      </x:c>
      <x:c r="T3" s="32" t="n">
        <x:f>IF(O3="","",(1/'Metadata'!$B$5)^(O3-1))</x:f>
        <x:v>15.848931924611142</x:v>
      </x:c>
      <x:c r="U3" s="31" t="n">
        <x:f>IF(T3="","",I3*T3)</x:f>
        <x:v>32010.95776561492</x:v>
      </x:c>
    </x:row>
    <x:row r="4" ht="18" customHeight="1">
      <x:c r="A4" s="24" t="str">
        <x:v>EEZ_368</x:v>
      </x:c>
      <x:c r="B4" s="24" t="str">
        <x:v>Iraq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1826.588481867</x:v>
      </x:c>
      <x:c r="J4" s="31" t="n">
        <x:v>1817.830700714</x:v>
      </x:c>
      <x:c r="K4" s="31" t="n">
        <x:v>8.757781153</x:v>
      </x:c>
      <x:c r="L4" s="31" t="n">
        <x:v>1060</x:v>
      </x:c>
      <x:c r="M4" s="31" t="n">
        <x:v>766.588481867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348049.260008169</x:v>
      </x:c>
    </x:row>
    <x:row r="5" ht="18" customHeight="1">
      <x:c r="A5" s="24" t="str">
        <x:v>EEZ_368</x:v>
      </x:c>
      <x:c r="B5" s="24" t="str">
        <x:v>Iraq</x:v>
      </x:c>
      <x:c r="C5" s="24" t="str">
        <x:v>EEZ</x:v>
      </x:c>
      <x:c r="D5" s="30" t="n">
        <x:v>2019</x:v>
      </x:c>
      <x:c r="E5" s="24" t="str">
        <x:v>Penaeus semisulcatus</x:v>
      </x:c>
      <x:c r="F5" s="24" t="str">
        <x:v>Green tiger prawn</x:v>
      </x:c>
      <x:c r="G5" s="24" t="str">
        <x:v>Shrimps</x:v>
      </x:c>
      <x:c r="H5" s="24" t="str">
        <x:v>Crustaceans</x:v>
      </x:c>
      <x:c r="I5" s="31" t="n">
        <x:v>1625</x:v>
      </x:c>
      <x:c r="J5" s="31" t="n">
        <x:v>1625</x:v>
      </x:c>
      <x:c r="K5" s="31" t="n">
        <x:v>0</x:v>
      </x:c>
      <x:c r="L5" s="31" t="n">
        <x:v>1625</x:v>
      </x:c>
      <x:c r="M5" s="31" t="n">
        <x:v>0</x:v>
      </x:c>
      <x:c r="N5" s="24" t="str">
        <x:v>penaeus semisulcatus</x:v>
      </x:c>
      <x:c r="O5" s="32" t="n">
        <x:v>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Penaeus semisulcatus</x:v>
      </x:c>
      <x:c r="T5" s="32" t="n">
        <x:f>IF(O5="","",(1/'Metadata'!$B$5)^(O5-1))</x:f>
        <x:v>10</x:v>
      </x:c>
      <x:c r="U5" s="31" t="n">
        <x:f>IF(T5="","",I5*T5)</x:f>
        <x:v>16250</x:v>
      </x:c>
    </x:row>
    <x:row r="6" ht="18" customHeight="1">
      <x:c r="A6" s="24" t="str">
        <x:v>EEZ_368</x:v>
      </x:c>
      <x:c r="B6" s="24" t="str">
        <x:v>Iraq</x:v>
      </x:c>
      <x:c r="C6" s="24" t="str">
        <x:v>EEZ</x:v>
      </x:c>
      <x:c r="D6" s="30" t="n">
        <x:v>2019</x:v>
      </x:c>
      <x:c r="E6" s="24" t="str">
        <x:v>Equulites klunzingeri</x:v>
      </x:c>
      <x:c r="F6" s="24" t="str">
        <x:v>Klunzinger's ponyfish</x:v>
      </x:c>
      <x:c r="G6" s="24" t="str">
        <x:v>Small demersals (&lt;30 cm)</x:v>
      </x:c>
      <x:c r="H6" s="24" t="str">
        <x:v>Perch-likes</x:v>
      </x:c>
      <x:c r="I6" s="31" t="n">
        <x:v>1229.325741</x:v>
      </x:c>
      <x:c r="J6" s="31" t="n">
        <x:v>1229.325741</x:v>
      </x:c>
      <x:c r="K6" s="31" t="n">
        <x:v>0</x:v>
      </x:c>
      <x:c r="L6" s="31" t="n">
        <x:v>0</x:v>
      </x:c>
      <x:c r="M6" s="31" t="n">
        <x:v>1229.325741</x:v>
      </x:c>
      <x:c r="N6" s="24" t="str">
        <x:v>equulites klunzingeri</x:v>
      </x:c>
      <x:c r="O6" s="32" t="n">
        <x:v>3.5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Equulites klunzingeri</x:v>
      </x:c>
      <x:c r="T6" s="32" t="n">
        <x:f>IF(O6="","",(1/'Metadata'!$B$5)^(O6-1))</x:f>
        <x:v>316.22776601683796</x:v>
      </x:c>
      <x:c r="U6" s="31" t="n">
        <x:f>IF(T6="","",I6*T6)</x:f>
        <x:v>388746.932783424</x:v>
      </x:c>
    </x:row>
    <x:row r="7" ht="18" customHeight="1">
      <x:c r="A7" s="24" t="str">
        <x:v>EEZ_368</x:v>
      </x:c>
      <x:c r="B7" s="24" t="str">
        <x:v>Iraq</x:v>
      </x:c>
      <x:c r="C7" s="24" t="str">
        <x:v>EEZ</x:v>
      </x:c>
      <x:c r="D7" s="30" t="n">
        <x:v>2019</x:v>
      </x:c>
      <x:c r="E7" s="24" t="str">
        <x:v>Sparidae</x:v>
      </x:c>
      <x:c r="F7" s="24" t="str">
        <x:v>Porgies, seabreams</x:v>
      </x:c>
      <x:c r="G7" s="24" t="str">
        <x:v>Medium benthopelagics (30 - 89 cm)</x:v>
      </x:c>
      <x:c r="H7" s="24" t="str">
        <x:v>Perch-likes</x:v>
      </x:c>
      <x:c r="I7" s="31" t="n">
        <x:v>1192.413717022</x:v>
      </x:c>
      <x:c r="J7" s="31" t="n">
        <x:v>1076.424271453</x:v>
      </x:c>
      <x:c r="K7" s="31" t="n">
        <x:v>115.989445569</x:v>
      </x:c>
      <x:c r="L7" s="31" t="n">
        <x:v>907.999999953</x:v>
      </x:c>
      <x:c r="M7" s="31" t="n">
        <x:v>284.41371706900003</x:v>
      </x:c>
      <x:c r="N7" s="24" t="str">
        <x:v>sparidae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Sparidae</x:v>
      </x:c>
      <x:c r="T7" s="32" t="n">
        <x:f>IF(O7="","",(1/'Metadata'!$B$5)^(O7-1))</x:f>
        <x:v>204.17379446695296</x:v>
      </x:c>
      <x:c r="U7" s="31" t="n">
        <x:f>IF(T7="","",I7*T7)</x:f>
        <x:v>243459.6331788252</x:v>
      </x:c>
    </x:row>
    <x:row r="8" ht="18" customHeight="1">
      <x:c r="A8" s="24" t="str">
        <x:v>EEZ_368</x:v>
      </x:c>
      <x:c r="B8" s="24" t="str">
        <x:v>Iraq</x:v>
      </x:c>
      <x:c r="C8" s="24" t="str">
        <x:v>EEZ</x:v>
      </x:c>
      <x:c r="D8" s="30" t="n">
        <x:v>2019</x:v>
      </x:c>
      <x:c r="E8" s="24" t="str">
        <x:v>Scomberoides lysan</x:v>
      </x:c>
      <x:c r="F8" s="24" t="str">
        <x:v>Doublespotted queenfish</x:v>
      </x:c>
      <x:c r="G8" s="24" t="str">
        <x:v>Medium reef assoc. fish (30 - 89 cm)</x:v>
      </x:c>
      <x:c r="H8" s="24" t="str">
        <x:v>Perch-likes</x:v>
      </x:c>
      <x:c r="I8" s="31" t="n">
        <x:v>1077.999999973</x:v>
      </x:c>
      <x:c r="J8" s="31" t="n">
        <x:v>1077.999999973</x:v>
      </x:c>
      <x:c r="K8" s="31" t="n">
        <x:v>0</x:v>
      </x:c>
      <x:c r="L8" s="31" t="n">
        <x:v>1077.999999973</x:v>
      </x:c>
      <x:c r="M8" s="31" t="n">
        <x:v>0</x:v>
      </x:c>
      <x:c r="N8" s="24" t="str">
        <x:v>scomberoides lysan</x:v>
      </x:c>
      <x:c r="O8" s="32" t="n">
        <x:v>4.38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Scomberoides lysan</x:v>
      </x:c>
      <x:c r="T8" s="32" t="n">
        <x:f>IF(O8="","",(1/'Metadata'!$B$5)^(O8-1))</x:f>
        <x:v>2398.83291901949</x:v>
      </x:c>
      <x:c r="U8" s="31" t="n">
        <x:f>IF(T8="","",I8*T8)</x:f>
        <x:v>2585941.886638242</x:v>
      </x:c>
    </x:row>
    <x:row r="9" ht="18" customHeight="1">
      <x:c r="A9" s="24" t="str">
        <x:v>EEZ_368</x:v>
      </x:c>
      <x:c r="B9" s="24" t="str">
        <x:v>Iraq</x:v>
      </x:c>
      <x:c r="C9" s="24" t="str">
        <x:v>EEZ</x:v>
      </x:c>
      <x:c r="D9" s="30" t="n">
        <x:v>2019</x:v>
      </x:c>
      <x:c r="E9" s="24" t="str">
        <x:v>Otolithes ruber</x:v>
      </x:c>
      <x:c r="F9" s="24" t="str">
        <x:v>Tigertooth croaker</x:v>
      </x:c>
      <x:c r="G9" s="24" t="str">
        <x:v>Medium benthopelagics (30 - 89 cm)</x:v>
      </x:c>
      <x:c r="H9" s="24" t="str">
        <x:v>Perch-likes</x:v>
      </x:c>
      <x:c r="I9" s="31" t="n">
        <x:v>545.874270762</x:v>
      </x:c>
      <x:c r="J9" s="31" t="n">
        <x:v>545.874270762</x:v>
      </x:c>
      <x:c r="K9" s="31" t="n">
        <x:v>0</x:v>
      </x:c>
      <x:c r="L9" s="31" t="n">
        <x:v>533.000000054</x:v>
      </x:c>
      <x:c r="M9" s="31" t="n">
        <x:v>12.874270708000001</x:v>
      </x:c>
      <x:c r="N9" s="24" t="str">
        <x:v>otolithes ruber</x:v>
      </x:c>
      <x:c r="O9" s="32" t="n">
        <x:v>3.6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Otolithes ruber</x:v>
      </x:c>
      <x:c r="T9" s="32" t="n">
        <x:f>IF(O9="","",(1/'Metadata'!$B$5)^(O9-1))</x:f>
        <x:v>398.1071705534973</x:v>
      </x:c>
      <x:c r="U9" s="31" t="n">
        <x:f>IF(T9="","",I9*T9)</x:f>
        <x:v>217316.46141101353</x:v>
      </x:c>
    </x:row>
    <x:row r="10" ht="18" customHeight="1">
      <x:c r="A10" s="24" t="str">
        <x:v>EEZ_368</x:v>
      </x:c>
      <x:c r="B10" s="24" t="str">
        <x:v>Iraq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537.761181248</x:v>
      </x:c>
      <x:c r="J10" s="31" t="n">
        <x:v>532.554971415</x:v>
      </x:c>
      <x:c r="K10" s="31" t="n">
        <x:v>5.206209833</x:v>
      </x:c>
      <x:c r="L10" s="31" t="n">
        <x:v>524.9999999859999</x:v>
      </x:c>
      <x:c r="M10" s="31" t="n">
        <x:v>12.761181262000001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513557.9411419696</x:v>
      </x:c>
    </x:row>
    <x:row r="11" ht="18" customHeight="1">
      <x:c r="A11" s="24" t="str">
        <x:v>EEZ_368</x:v>
      </x:c>
      <x:c r="B11" s="24" t="str">
        <x:v>Iraq</x:v>
      </x:c>
      <x:c r="C11" s="24" t="str">
        <x:v>EEZ</x:v>
      </x:c>
      <x:c r="D11" s="30" t="n">
        <x:v>2019</x:v>
      </x:c>
      <x:c r="E11" s="24" t="str">
        <x:v>Chirocentrus</x:v>
      </x:c>
      <x:c r="F11" s="24" t="str">
        <x:v>Wolf herrings</x:v>
      </x:c>
      <x:c r="G11" s="24" t="str">
        <x:v>Large pelagics (&gt;=90 cm)</x:v>
      </x:c>
      <x:c r="H11" s="24" t="str">
        <x:v>Herring-likes</x:v>
      </x:c>
      <x:c r="I11" s="31" t="n">
        <x:v>472.207468069</x:v>
      </x:c>
      <x:c r="J11" s="31" t="n">
        <x:v>420.32978697</x:v>
      </x:c>
      <x:c r="K11" s="31" t="n">
        <x:v>51.877681099</x:v>
      </x:c>
      <x:c r="L11" s="31" t="n">
        <x:v>344.99999998</x:v>
      </x:c>
      <x:c r="M11" s="31" t="n">
        <x:v>127.207468089</x:v>
      </x:c>
      <x:c r="N11" s="24" t="str">
        <x:v>chirocentrus</x:v>
      </x:c>
      <x:c r="O11" s="32" t="n">
        <x:v>4.3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Chirocentrus</x:v>
      </x:c>
      <x:c r="T11" s="32" t="n">
        <x:f>IF(O11="","",(1/'Metadata'!$B$5)^(O11-1))</x:f>
        <x:v>1995.2623149688789</x:v>
      </x:c>
      <x:c r="U11" s="31" t="n">
        <x:f>IF(T11="","",I11*T11)</x:f>
        <x:v>942177.7658849459</x:v>
      </x:c>
    </x:row>
    <x:row r="12" ht="18" customHeight="1">
      <x:c r="A12" s="24" t="str">
        <x:v>EEZ_368</x:v>
      </x:c>
      <x:c r="B12" s="24" t="str">
        <x:v>Iraq</x:v>
      </x:c>
      <x:c r="C12" s="24" t="str">
        <x:v>EEZ</x:v>
      </x:c>
      <x:c r="D12" s="30" t="n">
        <x:v>2019</x:v>
      </x:c>
      <x:c r="E12" s="24" t="str">
        <x:v>Clupeidae</x:v>
      </x:c>
      <x:c r="F12" s="24" t="str">
        <x:v>Herrings, sardines, menhadens</x:v>
      </x:c>
      <x:c r="G12" s="24" t="str">
        <x:v>Small pelagics (&lt;30 cm)</x:v>
      </x:c>
      <x:c r="H12" s="24" t="str">
        <x:v>Herring-likes</x:v>
      </x:c>
      <x:c r="I12" s="31" t="n">
        <x:v>301.88318215099997</x:v>
      </x:c>
      <x:c r="J12" s="31" t="n">
        <x:v>178.769364</x:v>
      </x:c>
      <x:c r="K12" s="31" t="n">
        <x:v>123.113818151</x:v>
      </x:c>
      <x:c r="L12" s="31" t="n">
        <x:v>0</x:v>
      </x:c>
      <x:c r="M12" s="31" t="n">
        <x:v>301.88318215099997</x:v>
      </x:c>
      <x:c r="N12" s="24" t="str">
        <x:v>clupeidae</x:v>
      </x:c>
      <x:c r="O12" s="32" t="n">
        <x:v>3.16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Clupeidae</x:v>
      </x:c>
      <x:c r="T12" s="32" t="n">
        <x:f>IF(O12="","",(1/'Metadata'!$B$5)^(O12-1))</x:f>
        <x:v>144.5439770745928</x:v>
      </x:c>
      <x:c r="U12" s="31" t="n">
        <x:f>IF(T12="","",I12*T12)</x:f>
        <x:v>43635.39576003926</x:v>
      </x:c>
    </x:row>
    <x:row r="13" ht="18" customHeight="1">
      <x:c r="A13" s="24" t="str">
        <x:v>EEZ_368</x:v>
      </x:c>
      <x:c r="B13" s="24" t="str">
        <x:v>Iraq</x:v>
      </x:c>
      <x:c r="C13" s="24" t="str">
        <x:v>EEZ</x:v>
      </x:c>
      <x:c r="D13" s="30" t="n">
        <x:v>2019</x:v>
      </x:c>
      <x:c r="E13" s="24" t="str">
        <x:v>Pampus argenteus</x:v>
      </x:c>
      <x:c r="F13" s="24" t="str">
        <x:v>Silver pomfret</x:v>
      </x:c>
      <x:c r="G13" s="24" t="str">
        <x:v>Medium benthopelagics (30 - 89 cm)</x:v>
      </x:c>
      <x:c r="H13" s="24" t="str">
        <x:v>Perch-likes</x:v>
      </x:c>
      <x:c r="I13" s="31" t="n">
        <x:v>274.57920835</x:v>
      </x:c>
      <x:c r="J13" s="31" t="n">
        <x:v>274.57920835</x:v>
      </x:c>
      <x:c r="K13" s="31" t="n">
        <x:v>0</x:v>
      </x:c>
      <x:c r="L13" s="31" t="n">
        <x:v>256.99999995999997</x:v>
      </x:c>
      <x:c r="M13" s="31" t="n">
        <x:v>17.57920839</x:v>
      </x:c>
      <x:c r="N13" s="24" t="str">
        <x:v>pampus argenteus</x:v>
      </x:c>
      <x:c r="O13" s="32" t="n">
        <x:v>3.3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Pampus argenteus</x:v>
      </x:c>
      <x:c r="T13" s="32" t="n">
        <x:f>IF(O13="","",(1/'Metadata'!$B$5)^(O13-1))</x:f>
        <x:v>199.52623149688787</x:v>
      </x:c>
      <x:c r="U13" s="31" t="n">
        <x:f>IF(T13="","",I13*T13)</x:f>
        <x:v>54785.754689474306</x:v>
      </x:c>
    </x:row>
    <x:row r="14" ht="18" customHeight="1">
      <x:c r="A14" s="24" t="str">
        <x:v>EEZ_368</x:v>
      </x:c>
      <x:c r="B14" s="24" t="str">
        <x:v>Iraq</x:v>
      </x:c>
      <x:c r="C14" s="24" t="str">
        <x:v>EEZ</x:v>
      </x:c>
      <x:c r="D14" s="30" t="n">
        <x:v>2019</x:v>
      </x:c>
      <x:c r="E14" s="24" t="str">
        <x:v>Thryssa</x:v>
      </x:c>
      <x:c r="F14" s="24" t="str">
        <x:v>Thryssas</x:v>
      </x:c>
      <x:c r="G14" s="24" t="str">
        <x:v>Small pelagics (&lt;30 cm)</x:v>
      </x:c>
      <x:c r="H14" s="24" t="str">
        <x:v>Anchovies</x:v>
      </x:c>
      <x:c r="I14" s="31" t="n">
        <x:v>253.79203109</x:v>
      </x:c>
      <x:c r="J14" s="31" t="n">
        <x:v>253.79203109</x:v>
      </x:c>
      <x:c r="K14" s="31" t="n">
        <x:v>0</x:v>
      </x:c>
      <x:c r="L14" s="31" t="n">
        <x:v>0</x:v>
      </x:c>
      <x:c r="M14" s="31" t="n">
        <x:v>253.79203109</x:v>
      </x:c>
      <x:c r="N14" s="24" t="str">
        <x:v>thryssa</x:v>
      </x:c>
      <x:c r="O14" s="32" t="n">
        <x:v>3.34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Thryssa</x:v>
      </x:c>
      <x:c r="T14" s="32" t="n">
        <x:f>IF(O14="","",(1/'Metadata'!$B$5)^(O14-1))</x:f>
        <x:v>218.77616239495518</x:v>
      </x:c>
      <x:c r="U14" s="31" t="n">
        <x:f>IF(T14="","",I14*T14)</x:f>
        <x:v>55523.646608291354</x:v>
      </x:c>
    </x:row>
    <x:row r="15" ht="18" customHeight="1">
      <x:c r="A15" s="24" t="str">
        <x:v>EEZ_368</x:v>
      </x:c>
      <x:c r="B15" s="24" t="str">
        <x:v>Iraq</x:v>
      </x:c>
      <x:c r="C15" s="24" t="str">
        <x:v>EEZ</x:v>
      </x:c>
      <x:c r="D15" s="30" t="n">
        <x:v>2019</x:v>
      </x:c>
      <x:c r="E15" s="24" t="str">
        <x:v>Pleuronectiformes</x:v>
      </x:c>
      <x:c r="F15" s="24" t="str">
        <x:v>Flatfishes</x:v>
      </x:c>
      <x:c r="G15" s="24" t="str">
        <x:v>Small to medium flatfishes (&lt;90 cm)</x:v>
      </x:c>
      <x:c r="H15" s="24" t="str">
        <x:v>Flatfishes</x:v>
      </x:c>
      <x:c r="I15" s="31" t="n">
        <x:v>249.146711408</x:v>
      </x:c>
      <x:c r="J15" s="31" t="n">
        <x:v>231.142821866</x:v>
      </x:c>
      <x:c r="K15" s="31" t="n">
        <x:v>18.003889542000003</x:v>
      </x:c>
      <x:c r="L15" s="31" t="n">
        <x:v>204.99999999599999</x:v>
      </x:c>
      <x:c r="M15" s="31" t="n">
        <x:v>44.146711412</x:v>
      </x:c>
      <x:c r="N15" s="24" t="str">
        <x:v>pleuronectiformes</x:v>
      </x:c>
      <x:c r="O15" s="32" t="n">
        <x:v>3.57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Pleuronectiformes</x:v>
      </x:c>
      <x:c r="T15" s="32" t="n">
        <x:f>IF(O15="","",(1/'Metadata'!$B$5)^(O15-1))</x:f>
        <x:v>371.5352290971724</x:v>
      </x:c>
      <x:c r="U15" s="31" t="n">
        <x:f>IF(T15="","",I15*T15)</x:f>
        <x:v>92566.78050177838</x:v>
      </x:c>
    </x:row>
    <x:row r="16" ht="18" customHeight="1">
      <x:c r="A16" s="24" t="str">
        <x:v>EEZ_368</x:v>
      </x:c>
      <x:c r="B16" s="24" t="str">
        <x:v>Iraq</x:v>
      </x:c>
      <x:c r="C16" s="24" t="str">
        <x:v>EEZ</x:v>
      </x:c>
      <x:c r="D16" s="30" t="n">
        <x:v>2019</x:v>
      </x:c>
      <x:c r="E16" s="24" t="str">
        <x:v>Acanthurus dussumieri</x:v>
      </x:c>
      <x:c r="F16" s="24" t="str">
        <x:v>Eyestripe surgeonfish</x:v>
      </x:c>
      <x:c r="G16" s="24" t="str">
        <x:v>Medium reef assoc. fish (30 - 89 cm)</x:v>
      </x:c>
      <x:c r="H16" s="24" t="str">
        <x:v>Perch-likes</x:v>
      </x:c>
      <x:c r="I16" s="31" t="n">
        <x:v>222.2095339</x:v>
      </x:c>
      <x:c r="J16" s="31" t="n">
        <x:v>222.2095339</x:v>
      </x:c>
      <x:c r="K16" s="31" t="n">
        <x:v>0</x:v>
      </x:c>
      <x:c r="L16" s="31" t="n">
        <x:v>0</x:v>
      </x:c>
      <x:c r="M16" s="31" t="n">
        <x:v>222.2095339</x:v>
      </x:c>
      <x:c r="N16" s="24" t="str">
        <x:v>acanthurus dussumieri</x:v>
      </x:c>
      <x:c r="O16" s="32" t="n">
        <x:v>2.02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Acanthurus dussumieri</x:v>
      </x:c>
      <x:c r="T16" s="32" t="n">
        <x:f>IF(O16="","",(1/'Metadata'!$B$5)^(O16-1))</x:f>
        <x:v>10.471285480508996</x:v>
      </x:c>
      <x:c r="U16" s="31" t="n">
        <x:f>IF(T16="","",I16*T16)</x:f>
        <x:v>2326.8194659577416</x:v>
      </x:c>
    </x:row>
    <x:row r="17" ht="18" customHeight="1">
      <x:c r="A17" s="24" t="str">
        <x:v>EEZ_368</x:v>
      </x:c>
      <x:c r="B17" s="24" t="str">
        <x:v>Iraq</x:v>
      </x:c>
      <x:c r="C17" s="24" t="str">
        <x:v>EEZ</x:v>
      </x:c>
      <x:c r="D17" s="30" t="n">
        <x:v>2019</x:v>
      </x:c>
      <x:c r="E17" s="24" t="str">
        <x:v>Penaeidae</x:v>
      </x:c>
      <x:c r="F17" s="24" t="str">
        <x:v>Commercial shrimps and prawns</x:v>
      </x:c>
      <x:c r="G17" s="24" t="str">
        <x:v>Shrimps</x:v>
      </x:c>
      <x:c r="H17" s="24" t="str">
        <x:v>Crustaceans</x:v>
      </x:c>
      <x:c r="I17" s="31" t="n">
        <x:v>152.086391846</x:v>
      </x:c>
      <x:c r="J17" s="31" t="n">
        <x:v>90.06259282</x:v>
      </x:c>
      <x:c r="K17" s="31" t="n">
        <x:v>62.02379902599999</x:v>
      </x:c>
      <x:c r="L17" s="31" t="n">
        <x:v>0</x:v>
      </x:c>
      <x:c r="M17" s="31" t="n">
        <x:v>152.086391846</x:v>
      </x:c>
      <x:c r="N17" s="24" t="str">
        <x:v>penaeidae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Penaeidae</x:v>
      </x:c>
      <x:c r="T17" s="32" t="n">
        <x:f>IF(O17="","",(1/'Metadata'!$B$5)^(O17-1))</x:f>
        <x:v>204.17379446695296</x:v>
      </x:c>
      <x:c r="U17" s="31" t="n">
        <x:f>IF(T17="","",I17*T17)</x:f>
        <x:v>31052.055709985674</x:v>
      </x:c>
    </x:row>
    <x:row r="18" ht="18" customHeight="1">
      <x:c r="A18" s="24" t="str">
        <x:v>EEZ_368</x:v>
      </x:c>
      <x:c r="B18" s="24" t="str">
        <x:v>Iraq</x:v>
      </x:c>
      <x:c r="C18" s="24" t="str">
        <x:v>EEZ</x:v>
      </x:c>
      <x:c r="D18" s="30" t="n">
        <x:v>2019</x:v>
      </x:c>
      <x:c r="E18" s="24" t="str">
        <x:v>Synanceiidae</x:v>
      </x:c>
      <x:c r="F18" s="24" t="str">
        <x:v>Stonefishes</x:v>
      </x:c>
      <x:c r="G18" s="24" t="str">
        <x:v>Medium demersals (30 - 89 cm)</x:v>
      </x:c>
      <x:c r="H18" s="24" t="str">
        <x:v>Scorpionfishes</x:v>
      </x:c>
      <x:c r="I18" s="31" t="n">
        <x:v>141.8868726</x:v>
      </x:c>
      <x:c r="J18" s="31" t="n">
        <x:v>141.8868726</x:v>
      </x:c>
      <x:c r="K18" s="31" t="n">
        <x:v>0</x:v>
      </x:c>
      <x:c r="L18" s="31" t="n">
        <x:v>0</x:v>
      </x:c>
      <x:c r="M18" s="31" t="n">
        <x:v>141.8868726</x:v>
      </x:c>
      <x:c r="N18" s="24" t="str">
        <x:v>synanceiidae</x:v>
      </x:c>
      <x:c r="O18" s="32" t="n">
        <x:v>4.2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Synanceiidae</x:v>
      </x:c>
      <x:c r="T18" s="32" t="n">
        <x:f>IF(O18="","",(1/'Metadata'!$B$5)^(O18-1))</x:f>
        <x:v>1584.893192461114</x:v>
      </x:c>
      <x:c r="U18" s="31" t="n">
        <x:f>IF(T18="","",I18*T18)</x:f>
        <x:v>224875.53848333738</x:v>
      </x:c>
    </x:row>
    <x:row r="19" ht="18" customHeight="1">
      <x:c r="A19" s="24" t="str">
        <x:v>EEZ_368</x:v>
      </x:c>
      <x:c r="B19" s="24" t="str">
        <x:v>Iraq</x:v>
      </x:c>
      <x:c r="C19" s="24" t="str">
        <x:v>EEZ</x:v>
      </x:c>
      <x:c r="D19" s="30" t="n">
        <x:v>2019</x:v>
      </x:c>
      <x:c r="E19" s="24" t="str">
        <x:v>Sillaginidae</x:v>
      </x:c>
      <x:c r="F19" s="24" t="str">
        <x:v>Smelt-whitings</x:v>
      </x:c>
      <x:c r="G19" s="24" t="str">
        <x:v>Medium demersals (30 - 89 cm)</x:v>
      </x:c>
      <x:c r="H19" s="24" t="str">
        <x:v>Perch-likes</x:v>
      </x:c>
      <x:c r="I19" s="31" t="n">
        <x:v>129.04223445</x:v>
      </x:c>
      <x:c r="J19" s="31" t="n">
        <x:v>129.04223445</x:v>
      </x:c>
      <x:c r="K19" s="31" t="n">
        <x:v>0</x:v>
      </x:c>
      <x:c r="L19" s="31" t="n">
        <x:v>0</x:v>
      </x:c>
      <x:c r="M19" s="31" t="n">
        <x:v>129.04223445</x:v>
      </x:c>
      <x:c r="N19" s="24" t="str">
        <x:v>sillaginidae</x:v>
      </x:c>
      <x:c r="O19" s="32" t="n">
        <x:v>3.25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Sillaginidae</x:v>
      </x:c>
      <x:c r="T19" s="32" t="n">
        <x:f>IF(O19="","",(1/'Metadata'!$B$5)^(O19-1))</x:f>
        <x:v>177.82794100389228</x:v>
      </x:c>
      <x:c r="U19" s="31" t="n">
        <x:f>IF(T19="","",I19*T19)</x:f>
        <x:v>22947.314854785036</x:v>
      </x:c>
    </x:row>
    <x:row r="20" ht="18" customHeight="1">
      <x:c r="A20" s="24" t="str">
        <x:v>EEZ_368</x:v>
      </x:c>
      <x:c r="B20" s="24" t="str">
        <x:v>Iraq</x:v>
      </x:c>
      <x:c r="C20" s="24" t="str">
        <x:v>EEZ</x:v>
      </x:c>
      <x:c r="D20" s="30" t="n">
        <x:v>2019</x:v>
      </x:c>
      <x:c r="E20" s="24" t="str">
        <x:v>Sciaenidae</x:v>
      </x:c>
      <x:c r="F20" s="24" t="str">
        <x:v>Drums, croakers</x:v>
      </x:c>
      <x:c r="G20" s="24" t="str">
        <x:v>Medium demersals (30 - 89 cm)</x:v>
      </x:c>
      <x:c r="H20" s="24" t="str">
        <x:v>Perch-likes</x:v>
      </x:c>
      <x:c r="I20" s="31" t="n">
        <x:v>117.053382057</x:v>
      </x:c>
      <x:c r="J20" s="31" t="n">
        <x:v>82.902591947</x:v>
      </x:c>
      <x:c r="K20" s="31" t="n">
        <x:v>34.15079011</x:v>
      </x:c>
      <x:c r="L20" s="31" t="n">
        <x:v>0</x:v>
      </x:c>
      <x:c r="M20" s="31" t="n">
        <x:v>117.053382057</x:v>
      </x:c>
      <x:c r="N20" s="24" t="str">
        <x:v>sciaenidae</x:v>
      </x:c>
      <x:c r="O20" s="32" t="n">
        <x:v>3.76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Sciaenidae</x:v>
      </x:c>
      <x:c r="T20" s="32" t="n">
        <x:f>IF(O20="","",(1/'Metadata'!$B$5)^(O20-1))</x:f>
        <x:v>575.4399373371566</x:v>
      </x:c>
      <x:c r="U20" s="31" t="n">
        <x:f>IF(T20="","",I20*T20)</x:f>
        <x:v>67357.19083598233</x:v>
      </x:c>
    </x:row>
    <x:row r="21" ht="18" customHeight="1">
      <x:c r="A21" s="24" t="str">
        <x:v>EEZ_368</x:v>
      </x:c>
      <x:c r="B21" s="24" t="str">
        <x:v>Iraq</x:v>
      </x:c>
      <x:c r="C21" s="24" t="str">
        <x:v>EEZ</x:v>
      </x:c>
      <x:c r="D21" s="30" t="n">
        <x:v>2019</x:v>
      </x:c>
      <x:c r="E21" s="24" t="str">
        <x:v>Scomberoides commersonnianus</x:v>
      </x:c>
      <x:c r="F21" s="24" t="str">
        <x:v>Talang queenfish</x:v>
      </x:c>
      <x:c r="G21" s="24" t="str">
        <x:v>Large reef assoc. fish (&gt;=90 cm)</x:v>
      </x:c>
      <x:c r="H21" s="24" t="str">
        <x:v>Perch-likes</x:v>
      </x:c>
      <x:c r="I21" s="31" t="n">
        <x:v>58.832513316000004</x:v>
      </x:c>
      <x:c r="J21" s="31" t="n">
        <x:v>58.832513316000004</x:v>
      </x:c>
      <x:c r="K21" s="31" t="n">
        <x:v>0</x:v>
      </x:c>
      <x:c r="L21" s="31" t="n">
        <x:v>0</x:v>
      </x:c>
      <x:c r="M21" s="31" t="n">
        <x:v>58.832513316000004</x:v>
      </x:c>
      <x:c r="N21" s="24" t="str">
        <x:v>scomberoides commersonnianus</x:v>
      </x:c>
      <x:c r="O21" s="32" t="n">
        <x:v>4.48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Scomberoides commersonnianus</x:v>
      </x:c>
      <x:c r="T21" s="32" t="n">
        <x:f>IF(O21="","",(1/'Metadata'!$B$5)^(O21-1))</x:f>
        <x:v>3019.951720402019</x:v>
      </x:c>
      <x:c r="U21" s="31" t="n">
        <x:f>IF(T21="","",I21*T21)</x:f>
        <x:v>177671.3498042289</x:v>
      </x:c>
    </x:row>
    <x:row r="22" ht="18" customHeight="1">
      <x:c r="A22" s="24" t="str">
        <x:v>EEZ_368</x:v>
      </x:c>
      <x:c r="B22" s="24" t="str">
        <x:v>Iraq</x:v>
      </x:c>
      <x:c r="C22" s="24" t="str">
        <x:v>EEZ</x:v>
      </x:c>
      <x:c r="D22" s="30" t="n">
        <x:v>2019</x:v>
      </x:c>
      <x:c r="E22" s="24" t="str">
        <x:v>Platycephalus indicus</x:v>
      </x:c>
      <x:c r="F22" s="24" t="str">
        <x:v>Bartail flathead</x:v>
      </x:c>
      <x:c r="G22" s="24" t="str">
        <x:v>Medium demersals (30 - 89 cm)</x:v>
      </x:c>
      <x:c r="H22" s="24" t="str">
        <x:v>Scorpionfishes</x:v>
      </x:c>
      <x:c r="I22" s="31" t="n">
        <x:v>48.852415295</x:v>
      </x:c>
      <x:c r="J22" s="31" t="n">
        <x:v>48.852415295</x:v>
      </x:c>
      <x:c r="K22" s="31" t="n">
        <x:v>0</x:v>
      </x:c>
      <x:c r="L22" s="31" t="n">
        <x:v>0</x:v>
      </x:c>
      <x:c r="M22" s="31" t="n">
        <x:v>48.852415295</x:v>
      </x:c>
      <x:c r="N22" s="24" t="str">
        <x:v>platycephalus indicus</x:v>
      </x:c>
      <x:c r="O22" s="32" t="n">
        <x:v>3.6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Platycephalus indicus</x:v>
      </x:c>
      <x:c r="T22" s="32" t="n">
        <x:f>IF(O22="","",(1/'Metadata'!$B$5)^(O22-1))</x:f>
        <x:v>398.1071705534973</x:v>
      </x:c>
      <x:c r="U22" s="31" t="n">
        <x:f>IF(T22="","",I22*T22)</x:f>
        <x:v>19448.496827796847</x:v>
      </x:c>
    </x:row>
    <x:row r="23" ht="18" customHeight="1">
      <x:c r="A23" s="24" t="str">
        <x:v>EEZ_368</x:v>
      </x:c>
      <x:c r="B23" s="24" t="str">
        <x:v>Iraq</x:v>
      </x:c>
      <x:c r="C23" s="24" t="str">
        <x:v>EEZ</x:v>
      </x:c>
      <x:c r="D23" s="30" t="n">
        <x:v>2019</x:v>
      </x:c>
      <x:c r="E23" s="24" t="str">
        <x:v>Balistidae</x:v>
      </x:c>
      <x:c r="F23" s="24" t="str">
        <x:v>Triggerfishes</x:v>
      </x:c>
      <x:c r="G23" s="24" t="str">
        <x:v>Medium reef assoc. fish (30 - 89 cm)</x:v>
      </x:c>
      <x:c r="H23" s="24" t="str">
        <x:v>Other fishes &amp; inverts</x:v>
      </x:c>
      <x:c r="I23" s="31" t="n">
        <x:v>46.5827148</x:v>
      </x:c>
      <x:c r="J23" s="31" t="n">
        <x:v>46.5827148</x:v>
      </x:c>
      <x:c r="K23" s="31" t="n">
        <x:v>0</x:v>
      </x:c>
      <x:c r="L23" s="31" t="n">
        <x:v>0</x:v>
      </x:c>
      <x:c r="M23" s="31" t="n">
        <x:v>46.5827148</x:v>
      </x:c>
      <x:c r="N23" s="24" t="str">
        <x:v>balistidae</x:v>
      </x:c>
      <x:c r="O23" s="32" t="n">
        <x:v>3.25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Balistidae</x:v>
      </x:c>
      <x:c r="T23" s="32" t="n">
        <x:f>IF(O23="","",(1/'Metadata'!$B$5)^(O23-1))</x:f>
        <x:v>177.82794100389228</x:v>
      </x:c>
      <x:c r="U23" s="31" t="n">
        <x:f>IF(T23="","",I23*T23)</x:f>
        <x:v>8283.70825925554</x:v>
      </x:c>
    </x:row>
    <x:row r="24" ht="18" customHeight="1">
      <x:c r="A24" s="24" t="str">
        <x:v>EEZ_368</x:v>
      </x:c>
      <x:c r="B24" s="24" t="str">
        <x:v>Iraq</x:v>
      </x:c>
      <x:c r="C24" s="24" t="str">
        <x:v>EEZ</x:v>
      </x:c>
      <x:c r="D24" s="30" t="n">
        <x:v>2019</x:v>
      </x:c>
      <x:c r="E24" s="24" t="str">
        <x:v>Chirocentrus dorab</x:v>
      </x:c>
      <x:c r="F24" s="24" t="str">
        <x:v>Dorab wolf-herring</x:v>
      </x:c>
      <x:c r="G24" s="24" t="str">
        <x:v>Large benthopelagics (&gt;=90 cm)</x:v>
      </x:c>
      <x:c r="H24" s="24" t="str">
        <x:v>Herring-likes</x:v>
      </x:c>
      <x:c r="I24" s="31" t="n">
        <x:v>32.352825811</x:v>
      </x:c>
      <x:c r="J24" s="31" t="n">
        <x:v>32.352825811</x:v>
      </x:c>
      <x:c r="K24" s="31" t="n">
        <x:v>0</x:v>
      </x:c>
      <x:c r="L24" s="31" t="n">
        <x:v>0</x:v>
      </x:c>
      <x:c r="M24" s="31" t="n">
        <x:v>32.352825811</x:v>
      </x:c>
      <x:c r="N24" s="24" t="str">
        <x:v>chirocentrus dorab</x:v>
      </x:c>
      <x:c r="O24" s="32" t="n">
        <x:v>4.2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Chirocentrus dorab</x:v>
      </x:c>
      <x:c r="T24" s="32" t="n">
        <x:f>IF(O24="","",(1/'Metadata'!$B$5)^(O24-1))</x:f>
        <x:v>1584.893192461114</x:v>
      </x:c>
      <x:c r="U24" s="31" t="n">
        <x:f>IF(T24="","",I24*T24)</x:f>
        <x:v>51275.77338473412</x:v>
      </x:c>
    </x:row>
    <x:row r="25" ht="18" customHeight="1">
      <x:c r="A25" s="24" t="str">
        <x:v>EEZ_368</x:v>
      </x:c>
      <x:c r="B25" s="24" t="str">
        <x:v>Iraq</x:v>
      </x:c>
      <x:c r="C25" s="24" t="str">
        <x:v>EEZ</x:v>
      </x:c>
      <x:c r="D25" s="30" t="n">
        <x:v>2019</x:v>
      </x:c>
      <x:c r="E25" s="24" t="str">
        <x:v>Clupeiformes</x:v>
      </x:c>
      <x:c r="F25" s="24" t="str">
        <x:v>Herrings, shads, anchovies</x:v>
      </x:c>
      <x:c r="G25" s="24" t="str">
        <x:v>Small pelagics (&lt;30 cm)</x:v>
      </x:c>
      <x:c r="H25" s="24" t="str">
        <x:v>Other fishes &amp; inverts</x:v>
      </x:c>
      <x:c r="I25" s="31" t="n">
        <x:v>26.365783065</x:v>
      </x:c>
      <x:c r="J25" s="31" t="n">
        <x:v>25.71546712</x:v>
      </x:c>
      <x:c r="K25" s="31" t="n">
        <x:v>0.650315945</x:v>
      </x:c>
      <x:c r="L25" s="31" t="n">
        <x:v>0</x:v>
      </x:c>
      <x:c r="M25" s="31" t="n">
        <x:v>26.365783065</x:v>
      </x:c>
      <x:c r="N25" s="24" t="str">
        <x:v>clupeiformes</x:v>
      </x:c>
      <x:c r="O25" s="32" t="n">
        <x:v>3.24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Clupeiformes</x:v>
      </x:c>
      <x:c r="T25" s="32" t="n">
        <x:f>IF(O25="","",(1/'Metadata'!$B$5)^(O25-1))</x:f>
        <x:v>173.78008287493762</x:v>
      </x:c>
      <x:c r="U25" s="31" t="n">
        <x:f>IF(T25="","",I25*T25)</x:f>
        <x:v>4581.847966098327</x:v>
      </x:c>
    </x:row>
    <x:row r="26" ht="18" customHeight="1">
      <x:c r="A26" s="24" t="str">
        <x:v>EEZ_368</x:v>
      </x:c>
      <x:c r="B26" s="24" t="str">
        <x:v>Iraq</x:v>
      </x:c>
      <x:c r="C26" s="24" t="str">
        <x:v>EEZ</x:v>
      </x:c>
      <x:c r="D26" s="30" t="n">
        <x:v>2019</x:v>
      </x:c>
      <x:c r="E26" s="24" t="str">
        <x:v>Gobiidae</x:v>
      </x:c>
      <x:c r="F26" s="24" t="str">
        <x:v>Gobies</x:v>
      </x:c>
      <x:c r="G26" s="24" t="str">
        <x:v>Small reef assoc. fish (&lt;30 cm)</x:v>
      </x:c>
      <x:c r="H26" s="24" t="str">
        <x:v>Perch-likes</x:v>
      </x:c>
      <x:c r="I26" s="31" t="n">
        <x:v>25.16304328</x:v>
      </x:c>
      <x:c r="J26" s="31" t="n">
        <x:v>25.16304328</x:v>
      </x:c>
      <x:c r="K26" s="31" t="n">
        <x:v>0</x:v>
      </x:c>
      <x:c r="L26" s="31" t="n">
        <x:v>0</x:v>
      </x:c>
      <x:c r="M26" s="31" t="n">
        <x:v>25.16304328</x:v>
      </x:c>
      <x:c r="N26" s="24" t="str">
        <x:v>gobiidae</x:v>
      </x:c>
      <x:c r="O26" s="32" t="n">
        <x:v>3.11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Gobiidae</x:v>
      </x:c>
      <x:c r="T26" s="32" t="n">
        <x:f>IF(O26="","",(1/'Metadata'!$B$5)^(O26-1))</x:f>
        <x:v>128.82495516931337</x:v>
      </x:c>
      <x:c r="U26" s="31" t="n">
        <x:f>IF(T26="","",I26*T26)</x:f>
        <x:v>3241.627922469492</x:v>
      </x:c>
    </x:row>
    <x:row r="27" ht="18" customHeight="1">
      <x:c r="A27" s="24" t="str">
        <x:v>EEZ_368</x:v>
      </x:c>
      <x:c r="B27" s="24" t="str">
        <x:v>Iraq</x:v>
      </x:c>
      <x:c r="C27" s="24" t="str">
        <x:v>EEZ</x:v>
      </x:c>
      <x:c r="D27" s="30" t="n">
        <x:v>2019</x:v>
      </x:c>
      <x:c r="E27" s="24" t="str">
        <x:v>Scombridae</x:v>
      </x:c>
      <x:c r="F27" s="24" t="str">
        <x:v>Mackerels, tunas, bonitos</x:v>
      </x:c>
      <x:c r="G27" s="24" t="str">
        <x:v>Medium pelagics (30 - 89 cm)</x:v>
      </x:c>
      <x:c r="H27" s="24" t="str">
        <x:v>Perch-likes</x:v>
      </x:c>
      <x:c r="I27" s="31" t="n">
        <x:v>22.423906081</x:v>
      </x:c>
      <x:c r="J27" s="31" t="n">
        <x:v>13.2790007</x:v>
      </x:c>
      <x:c r="K27" s="31" t="n">
        <x:v>9.144905381000001</x:v>
      </x:c>
      <x:c r="L27" s="31" t="n">
        <x:v>0</x:v>
      </x:c>
      <x:c r="M27" s="31" t="n">
        <x:v>22.423906081</x:v>
      </x:c>
      <x:c r="N27" s="24" t="str">
        <x:v>scombridae</x:v>
      </x:c>
      <x:c r="O27" s="32" t="n">
        <x:v>4.26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Scombridae</x:v>
      </x:c>
      <x:c r="T27" s="32" t="n">
        <x:f>IF(O27="","",(1/'Metadata'!$B$5)^(O27-1))</x:f>
        <x:v>1819.7008586099826</x:v>
      </x:c>
      <x:c r="U27" s="31" t="n">
        <x:f>IF(T27="","",I27*T27)</x:f>
        <x:v>40804.80114898531</x:v>
      </x:c>
    </x:row>
    <x:row r="28" ht="18" customHeight="1">
      <x:c r="A28" s="24" t="str">
        <x:v>EEZ_368</x:v>
      </x:c>
      <x:c r="B28" s="24" t="str">
        <x:v>Iraq</x:v>
      </x:c>
      <x:c r="C28" s="24" t="str">
        <x:v>EEZ</x:v>
      </x:c>
      <x:c r="D28" s="30" t="n">
        <x:v>2019</x:v>
      </x:c>
      <x:c r="E28" s="24" t="str">
        <x:v>Carangidae</x:v>
      </x:c>
      <x:c r="F28" s="24" t="str">
        <x:v>Jacks, pompanos</x:v>
      </x:c>
      <x:c r="G28" s="24" t="str">
        <x:v>Medium pelagics (30 - 89 cm)</x:v>
      </x:c>
      <x:c r="H28" s="24" t="str">
        <x:v>Perch-likes</x:v>
      </x:c>
      <x:c r="I28" s="31" t="n">
        <x:v>19.856212334</x:v>
      </x:c>
      <x:c r="J28" s="31" t="n">
        <x:v>11.75534197</x:v>
      </x:c>
      <x:c r="K28" s="31" t="n">
        <x:v>8.100870364</x:v>
      </x:c>
      <x:c r="L28" s="31" t="n">
        <x:v>0</x:v>
      </x:c>
      <x:c r="M28" s="31" t="n">
        <x:v>19.856212334</x:v>
      </x:c>
      <x:c r="N28" s="24" t="str">
        <x:v>carangidae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Carangidae</x:v>
      </x:c>
      <x:c r="T28" s="32" t="n">
        <x:f>IF(O28="","",(1/'Metadata'!$B$5)^(O28-1))</x:f>
        <x:v>1122.018454301963</x:v>
      </x:c>
      <x:c r="U28" s="31" t="n">
        <x:f>IF(T28="","",I28*T28)</x:f>
        <x:v>22279.03667128625</x:v>
      </x:c>
    </x:row>
    <x:row r="29" ht="18" customHeight="1">
      <x:c r="A29" s="24" t="str">
        <x:v>EEZ_368</x:v>
      </x:c>
      <x:c r="B29" s="24" t="str">
        <x:v>Iraq</x:v>
      </x:c>
      <x:c r="C29" s="24" t="str">
        <x:v>EEZ</x:v>
      </x:c>
      <x:c r="D29" s="30" t="n">
        <x:v>2019</x:v>
      </x:c>
      <x:c r="E29" s="24" t="str">
        <x:v>Nematalosa nasus</x:v>
      </x:c>
      <x:c r="F29" s="24" t="str">
        <x:v>Bloch's gizzard shad</x:v>
      </x:c>
      <x:c r="G29" s="24" t="str">
        <x:v>Small pelagics (&lt;30 cm)</x:v>
      </x:c>
      <x:c r="H29" s="24" t="str">
        <x:v>Herring-likes</x:v>
      </x:c>
      <x:c r="I29" s="31" t="n">
        <x:v>17.579208389</x:v>
      </x:c>
      <x:c r="J29" s="31" t="n">
        <x:v>17.579208389</x:v>
      </x:c>
      <x:c r="K29" s="31" t="n">
        <x:v>0</x:v>
      </x:c>
      <x:c r="L29" s="31" t="n">
        <x:v>0</x:v>
      </x:c>
      <x:c r="M29" s="31" t="n">
        <x:v>17.579208389</x:v>
      </x:c>
      <x:c r="N29" s="24" t="str">
        <x:v>nematalosa nasus</x:v>
      </x:c>
      <x:c r="O29" s="32" t="n">
        <x:v>2.67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Nematalosa nasus</x:v>
      </x:c>
      <x:c r="T29" s="32" t="n">
        <x:f>IF(O29="","",(1/'Metadata'!$B$5)^(O29-1))</x:f>
        <x:v>46.77351412871981</x:v>
      </x:c>
      <x:c r="U29" s="31" t="n">
        <x:f>IF(T29="","",I29*T29)</x:f>
        <x:v>822.2413519546014</x:v>
      </x:c>
    </x:row>
    <x:row r="30" ht="18" customHeight="1">
      <x:c r="A30" s="24" t="str">
        <x:v>EEZ_368</x:v>
      </x:c>
      <x:c r="B30" s="24" t="str">
        <x:v>Iraq</x:v>
      </x:c>
      <x:c r="C30" s="24" t="str">
        <x:v>EEZ</x:v>
      </x:c>
      <x:c r="D30" s="30" t="n">
        <x:v>2019</x:v>
      </x:c>
      <x:c r="E30" s="24" t="str">
        <x:v>Siluriformes</x:v>
      </x:c>
      <x:c r="F30" s="24" t="str">
        <x:v>Catfishes</x:v>
      </x:c>
      <x:c r="G30" s="24" t="str">
        <x:v>Medium demersals (30 - 89 cm)</x:v>
      </x:c>
      <x:c r="H30" s="24" t="str">
        <x:v>Other fishes &amp; inverts</x:v>
      </x:c>
      <x:c r="I30" s="31" t="n">
        <x:v>15.52948168</x:v>
      </x:c>
      <x:c r="J30" s="31" t="n">
        <x:v>15.52948168</x:v>
      </x:c>
      <x:c r="K30" s="31" t="n">
        <x:v>0</x:v>
      </x:c>
      <x:c r="L30" s="31" t="n">
        <x:v>0</x:v>
      </x:c>
      <x:c r="M30" s="31" t="n">
        <x:v>15.52948168</x:v>
      </x:c>
      <x:c r="N30" s="24" t="str">
        <x:v>siluriformes</x:v>
      </x:c>
      <x:c r="O30" s="32" t="n">
        <x:v>3.48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Siluriformes</x:v>
      </x:c>
      <x:c r="T30" s="32" t="n">
        <x:f>IF(O30="","",(1/'Metadata'!$B$5)^(O30-1))</x:f>
        <x:v>301.9951720402016</x:v>
      </x:c>
      <x:c r="U30" s="31" t="n">
        <x:f>IF(T30="","",I30*T30)</x:f>
        <x:v>4689.828491646759</x:v>
      </x:c>
    </x:row>
    <x:row r="31" ht="18" customHeight="1">
      <x:c r="A31" s="24" t="str">
        <x:v>EEZ_368</x:v>
      </x:c>
      <x:c r="B31" s="24" t="str">
        <x:v>Iraq</x:v>
      </x:c>
      <x:c r="C31" s="24" t="str">
        <x:v>EEZ</x:v>
      </x:c>
      <x:c r="D31" s="30" t="n">
        <x:v>2019</x:v>
      </x:c>
      <x:c r="E31" s="24" t="str">
        <x:v>Rachycentron canadum</x:v>
      </x:c>
      <x:c r="F31" s="24" t="str">
        <x:v>Cobia</x:v>
      </x:c>
      <x:c r="G31" s="24" t="str">
        <x:v>Large pelagics (&gt;=90 cm)</x:v>
      </x:c>
      <x:c r="H31" s="24" t="str">
        <x:v>Perch-likes</x:v>
      </x:c>
      <x:c r="I31" s="31" t="n">
        <x:v>14.061082769</x:v>
      </x:c>
      <x:c r="J31" s="31" t="n">
        <x:v>14.061082769</x:v>
      </x:c>
      <x:c r="K31" s="31" t="n">
        <x:v>0</x:v>
      </x:c>
      <x:c r="L31" s="31" t="n">
        <x:v>0</x:v>
      </x:c>
      <x:c r="M31" s="31" t="n">
        <x:v>14.061082769</x:v>
      </x:c>
      <x:c r="N31" s="24" t="str">
        <x:v>rachycentron canadum</x:v>
      </x:c>
      <x:c r="O31" s="32" t="n">
        <x:v>3.96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Rachycentron canadum</x:v>
      </x:c>
      <x:c r="T31" s="32" t="n">
        <x:f>IF(O31="","",(1/'Metadata'!$B$5)^(O31-1))</x:f>
        <x:v>912.0108393559096</x:v>
      </x:c>
      <x:c r="U31" s="31" t="n">
        <x:f>IF(T31="","",I31*T31)</x:f>
        <x:v>12823.85989840861</x:v>
      </x:c>
    </x:row>
    <x:row r="32" ht="18" customHeight="1">
      <x:c r="A32" s="24" t="str">
        <x:v>EEZ_368</x:v>
      </x:c>
      <x:c r="B32" s="24" t="str">
        <x:v>Iraq</x:v>
      </x:c>
      <x:c r="C32" s="24" t="str">
        <x:v>EEZ</x:v>
      </x:c>
      <x:c r="D32" s="30" t="n">
        <x:v>2019</x:v>
      </x:c>
      <x:c r="E32" s="24" t="str">
        <x:v>Sparidentex hasta</x:v>
      </x:c>
      <x:c r="F32" s="24" t="str">
        <x:v>Sobaity seabream</x:v>
      </x:c>
      <x:c r="G32" s="24" t="str">
        <x:v>Medium demersals (30 - 89 cm)</x:v>
      </x:c>
      <x:c r="H32" s="24" t="str">
        <x:v>Perch-likes</x:v>
      </x:c>
      <x:c r="I32" s="31" t="n">
        <x:v>13.91532864</x:v>
      </x:c>
      <x:c r="J32" s="31" t="n">
        <x:v>13.91532864</x:v>
      </x:c>
      <x:c r="K32" s="31" t="n">
        <x:v>0</x:v>
      </x:c>
      <x:c r="L32" s="31" t="n">
        <x:v>0</x:v>
      </x:c>
      <x:c r="M32" s="31" t="n">
        <x:v>13.91532864</x:v>
      </x:c>
      <x:c r="N32" s="24" t="str">
        <x:v>sparidentex hasta</x:v>
      </x:c>
      <x:c r="O32" s="32" t="n">
        <x:v>3.38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Sparidentex hasta</x:v>
      </x:c>
      <x:c r="T32" s="32" t="n">
        <x:f>IF(O32="","",(1/'Metadata'!$B$5)^(O32-1))</x:f>
        <x:v>239.88329190194898</x:v>
      </x:c>
      <x:c r="U32" s="31" t="n">
        <x:f>IF(T32="","",I32*T32)</x:f>
        <x:v>3338.0548420606706</x:v>
      </x:c>
    </x:row>
    <x:row r="33" ht="18" customHeight="1">
      <x:c r="A33" s="24" t="str">
        <x:v>EEZ_368</x:v>
      </x:c>
      <x:c r="B33" s="24" t="str">
        <x:v>Iraq</x:v>
      </x:c>
      <x:c r="C33" s="24" t="str">
        <x:v>EEZ</x:v>
      </x:c>
      <x:c r="D33" s="30" t="n">
        <x:v>2019</x:v>
      </x:c>
      <x:c r="E33" s="24" t="str">
        <x:v>Photopectoralis bindus</x:v>
      </x:c>
      <x:c r="F33" s="24" t="str">
        <x:v>Orangefin ponyfish</x:v>
      </x:c>
      <x:c r="G33" s="24" t="str">
        <x:v>Large reef assoc. fish (&gt;=90 cm)</x:v>
      </x:c>
      <x:c r="H33" s="24" t="str">
        <x:v>Perch-likes</x:v>
      </x:c>
      <x:c r="I33" s="31" t="n">
        <x:v>13.91532864</x:v>
      </x:c>
      <x:c r="J33" s="31" t="n">
        <x:v>13.91532864</x:v>
      </x:c>
      <x:c r="K33" s="31" t="n">
        <x:v>0</x:v>
      </x:c>
      <x:c r="L33" s="31" t="n">
        <x:v>0</x:v>
      </x:c>
      <x:c r="M33" s="31" t="n">
        <x:v>13.91532864</x:v>
      </x:c>
      <x:c r="N33" s="24" t="str">
        <x:v>photopectoralis bindus</x:v>
      </x:c>
      <x:c r="O33" s="32" t="n">
        <x:v>2.93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Photopectoralis bindus</x:v>
      </x:c>
      <x:c r="T33" s="32" t="n">
        <x:f>IF(O33="","",(1/'Metadata'!$B$5)^(O33-1))</x:f>
        <x:v>85.11380382023768</x:v>
      </x:c>
      <x:c r="U33" s="31" t="n">
        <x:f>IF(T33="","",I33*T33)</x:f>
        <x:v>1184.3865519590947</x:v>
      </x:c>
    </x:row>
    <x:row r="34" ht="18" customHeight="1">
      <x:c r="A34" s="24" t="str">
        <x:v>EEZ_368</x:v>
      </x:c>
      <x:c r="B34" s="24" t="str">
        <x:v>Iraq</x:v>
      </x:c>
      <x:c r="C34" s="24" t="str">
        <x:v>EEZ</x:v>
      </x:c>
      <x:c r="D34" s="30" t="n">
        <x:v>2019</x:v>
      </x:c>
      <x:c r="E34" s="24" t="str">
        <x:v>Alepes djedaba</x:v>
      </x:c>
      <x:c r="F34" s="24" t="str">
        <x:v>Shrimp scad</x:v>
      </x:c>
      <x:c r="G34" s="24" t="str">
        <x:v>Medium reef assoc. fish (30 - 89 cm)</x:v>
      </x:c>
      <x:c r="H34" s="24" t="str">
        <x:v>Perch-likes</x:v>
      </x:c>
      <x:c r="I34" s="31" t="n">
        <x:v>12.869979745</x:v>
      </x:c>
      <x:c r="J34" s="31" t="n">
        <x:v>12.869979745</x:v>
      </x:c>
      <x:c r="K34" s="31" t="n">
        <x:v>0</x:v>
      </x:c>
      <x:c r="L34" s="31" t="n">
        <x:v>0</x:v>
      </x:c>
      <x:c r="M34" s="31" t="n">
        <x:v>12.869979745</x:v>
      </x:c>
      <x:c r="N34" s="24" t="str">
        <x:v>alepes djedaba</x:v>
      </x:c>
      <x:c r="O34" s="32" t="n">
        <x:v>3.32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Alepes djedaba</x:v>
      </x:c>
      <x:c r="T34" s="32" t="n">
        <x:f>IF(O34="","",(1/'Metadata'!$B$5)^(O34-1))</x:f>
        <x:v>208.92961308540387</x:v>
      </x:c>
      <x:c r="U34" s="31" t="n">
        <x:f>IF(T34="","",I34*T34)</x:f>
        <x:v>2688.919888539835</x:v>
      </x:c>
    </x:row>
    <x:row r="35" ht="18" customHeight="1">
      <x:c r="A35" s="24" t="str">
        <x:v>EEZ_368</x:v>
      </x:c>
      <x:c r="B35" s="24" t="str">
        <x:v>Iraq</x:v>
      </x:c>
      <x:c r="C35" s="24" t="str">
        <x:v>EEZ</x:v>
      </x:c>
      <x:c r="D35" s="30" t="n">
        <x:v>2019</x:v>
      </x:c>
      <x:c r="E35" s="24" t="str">
        <x:v>Trichiurus lepturus</x:v>
      </x:c>
      <x:c r="F35" s="24" t="str">
        <x:v>Largehead hairtail</x:v>
      </x:c>
      <x:c r="G35" s="24" t="str">
        <x:v>Large benthopelagics (&gt;=90 cm)</x:v>
      </x:c>
      <x:c r="H35" s="24" t="str">
        <x:v>Perch-likes</x:v>
      </x:c>
      <x:c r="I35" s="31" t="n">
        <x:v>12.86469295</x:v>
      </x:c>
      <x:c r="J35" s="31" t="n">
        <x:v>12.86469295</x:v>
      </x:c>
      <x:c r="K35" s="31" t="n">
        <x:v>0</x:v>
      </x:c>
      <x:c r="L35" s="31" t="n">
        <x:v>0</x:v>
      </x:c>
      <x:c r="M35" s="31" t="n">
        <x:v>12.86469295</x:v>
      </x:c>
      <x:c r="N35" s="24" t="str">
        <x:v>trichiurus lepturus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Trichiurus lepturus</x:v>
      </x:c>
      <x:c r="T35" s="32" t="n">
        <x:f>IF(O35="","",(1/'Metadata'!$B$5)^(O35-1))</x:f>
        <x:v>2630.2679918953813</x:v>
      </x:c>
      <x:c r="U35" s="31" t="n">
        <x:f>IF(T35="","",I35*T35)</x:f>
        <x:v>33837.59009194717</x:v>
      </x:c>
    </x:row>
    <x:row r="36" ht="18" customHeight="1">
      <x:c r="A36" s="24" t="str">
        <x:v>EEZ_368</x:v>
      </x:c>
      <x:c r="B36" s="24" t="str">
        <x:v>Iraq</x:v>
      </x:c>
      <x:c r="C36" s="24" t="str">
        <x:v>EEZ</x:v>
      </x:c>
      <x:c r="D36" s="30" t="n">
        <x:v>2019</x:v>
      </x:c>
      <x:c r="E36" s="24" t="str">
        <x:v>Saurida tumbil</x:v>
      </x:c>
      <x:c r="F36" s="24" t="str">
        <x:v>Greater lizardfish</x:v>
      </x:c>
      <x:c r="G36" s="24" t="str">
        <x:v>Medium demersals (30 - 89 cm)</x:v>
      </x:c>
      <x:c r="H36" s="24" t="str">
        <x:v>Other fishes &amp; inverts</x:v>
      </x:c>
      <x:c r="I36" s="31" t="n">
        <x:v>12.864692948</x:v>
      </x:c>
      <x:c r="J36" s="31" t="n">
        <x:v>12.864692948</x:v>
      </x:c>
      <x:c r="K36" s="31" t="n">
        <x:v>0</x:v>
      </x:c>
      <x:c r="L36" s="31" t="n">
        <x:v>0</x:v>
      </x:c>
      <x:c r="M36" s="31" t="n">
        <x:v>12.864692948</x:v>
      </x:c>
      <x:c r="N36" s="24" t="str">
        <x:v>saurida tumbil</x:v>
      </x:c>
      <x:c r="O36" s="32" t="n">
        <x:v>4.4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Saurida tumbil</x:v>
      </x:c>
      <x:c r="T36" s="32" t="n">
        <x:f>IF(O36="","",(1/'Metadata'!$B$5)^(O36-1))</x:f>
        <x:v>2511.886431509582</x:v>
      </x:c>
      <x:c r="U36" s="31" t="n">
        <x:f>IF(T36="","",I36*T36)</x:f>
        <x:v>32314.647661618204</x:v>
      </x:c>
    </x:row>
    <x:row r="37" ht="18" customHeight="1">
      <x:c r="A37" s="24" t="str">
        <x:v>EEZ_368</x:v>
      </x:c>
      <x:c r="B37" s="24" t="str">
        <x:v>Iraq</x:v>
      </x:c>
      <x:c r="C37" s="24" t="str">
        <x:v>EEZ</x:v>
      </x:c>
      <x:c r="D37" s="30" t="n">
        <x:v>2019</x:v>
      </x:c>
      <x:c r="E37" s="24" t="str">
        <x:v>Scomberomorus guttatus</x:v>
      </x:c>
      <x:c r="F37" s="24" t="str">
        <x:v>Indo-Pacific king mackerel</x:v>
      </x:c>
      <x:c r="G37" s="24" t="str">
        <x:v>Medium pelagics (30 - 89 cm)</x:v>
      </x:c>
      <x:c r="H37" s="24" t="str">
        <x:v>Perch-likes</x:v>
      </x:c>
      <x:c r="I37" s="31" t="n">
        <x:v>12.864692944</x:v>
      </x:c>
      <x:c r="J37" s="31" t="n">
        <x:v>12.864692944</x:v>
      </x:c>
      <x:c r="K37" s="31" t="n">
        <x:v>0</x:v>
      </x:c>
      <x:c r="L37" s="31" t="n">
        <x:v>0</x:v>
      </x:c>
      <x:c r="M37" s="31" t="n">
        <x:v>12.864692944</x:v>
      </x:c>
      <x:c r="N37" s="24" t="str">
        <x:v>scomberomorus guttatus</x:v>
      </x:c>
      <x:c r="O37" s="32" t="n">
        <x:v>4.28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guttatus</x:v>
      </x:c>
      <x:c r="T37" s="32" t="n">
        <x:f>IF(O37="","",(1/'Metadata'!$B$5)^(O37-1))</x:f>
        <x:v>1905.4607179632483</x:v>
      </x:c>
      <x:c r="U37" s="31" t="n">
        <x:f>IF(T37="","",I37*T37)</x:f>
        <x:v>24513.167053450972</x:v>
      </x:c>
    </x:row>
    <x:row r="38" ht="18" customHeight="1">
      <x:c r="A38" s="24" t="str">
        <x:v>EEZ_368</x:v>
      </x:c>
      <x:c r="B38" s="24" t="str">
        <x:v>Iraq</x:v>
      </x:c>
      <x:c r="C38" s="24" t="str">
        <x:v>EEZ</x:v>
      </x:c>
      <x:c r="D38" s="30" t="n">
        <x:v>2019</x:v>
      </x:c>
      <x:c r="E38" s="24" t="str">
        <x:v>Haemulidae</x:v>
      </x:c>
      <x:c r="F38" s="24" t="str">
        <x:v>Grunts, sweetlips, bonnetmouths</x:v>
      </x:c>
      <x:c r="G38" s="24" t="str">
        <x:v>Medium demersals (30 - 89 cm)</x:v>
      </x:c>
      <x:c r="H38" s="24" t="str">
        <x:v>Perch-likes</x:v>
      </x:c>
      <x:c r="I38" s="31" t="n">
        <x:v>10.336232517</x:v>
      </x:c>
      <x:c r="J38" s="31" t="n">
        <x:v>6.120915118</x:v>
      </x:c>
      <x:c r="K38" s="31" t="n">
        <x:v>4.215317399</x:v>
      </x:c>
      <x:c r="L38" s="31" t="n">
        <x:v>0</x:v>
      </x:c>
      <x:c r="M38" s="31" t="n">
        <x:v>10.336232517</x:v>
      </x:c>
      <x:c r="N38" s="24" t="str">
        <x:v>haemulidae</x:v>
      </x:c>
      <x:c r="O38" s="32" t="n">
        <x:v>3.36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Haemulidae</x:v>
      </x:c>
      <x:c r="T38" s="32" t="n">
        <x:f>IF(O38="","",(1/'Metadata'!$B$5)^(O38-1))</x:f>
        <x:v>229.08676527677724</x:v>
      </x:c>
      <x:c r="U38" s="31" t="n">
        <x:f>IF(T38="","",I38*T38)</x:f>
        <x:v>2367.894072468171</x:v>
      </x:c>
    </x:row>
    <x:row r="39" ht="18" customHeight="1">
      <x:c r="A39" s="24" t="str">
        <x:v>EEZ_368</x:v>
      </x:c>
      <x:c r="B39" s="24" t="str">
        <x:v>Iraq</x:v>
      </x:c>
      <x:c r="C39" s="24" t="str">
        <x:v>EEZ</x:v>
      </x:c>
      <x:c r="D39" s="30" t="n">
        <x:v>2019</x:v>
      </x:c>
      <x:c r="E39" s="24" t="str">
        <x:v>Rachycentridae</x:v>
      </x:c>
      <x:c r="F39" s="24" t="str">
        <x:v>Cobias</x:v>
      </x:c>
      <x:c r="G39" s="24" t="str">
        <x:v>Large pelagics (&gt;=90 cm)</x:v>
      </x:c>
      <x:c r="H39" s="24" t="str">
        <x:v>Perch-likes</x:v>
      </x:c>
      <x:c r="I39" s="31" t="n">
        <x:v>10.229696415</x:v>
      </x:c>
      <x:c r="J39" s="31" t="n">
        <x:v>6.029680512</x:v>
      </x:c>
      <x:c r="K39" s="31" t="n">
        <x:v>4.200015903</x:v>
      </x:c>
      <x:c r="L39" s="31" t="n">
        <x:v>0</x:v>
      </x:c>
      <x:c r="M39" s="31" t="n">
        <x:v>10.229696415</x:v>
      </x:c>
      <x:c r="N39" s="24" t="str">
        <x:v>rachycentridae</x:v>
      </x:c>
      <x:c r="O39" s="32" t="n">
        <x:v>3.96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Rachycentridae</x:v>
      </x:c>
      <x:c r="T39" s="32" t="n">
        <x:f>IF(O39="","",(1/'Metadata'!$B$5)^(O39-1))</x:f>
        <x:v>912.0108393559096</x:v>
      </x:c>
      <x:c r="U39" s="31" t="n">
        <x:f>IF(T39="","",I39*T39)</x:f>
        <x:v>9329.59401380029</x:v>
      </x:c>
    </x:row>
    <x:row r="40" ht="18" customHeight="1">
      <x:c r="A40" s="24" t="str">
        <x:v>EEZ_368</x:v>
      </x:c>
      <x:c r="B40" s="24" t="str">
        <x:v>Iraq</x:v>
      </x:c>
      <x:c r="C40" s="24" t="str">
        <x:v>EEZ</x:v>
      </x:c>
      <x:c r="D40" s="30" t="n">
        <x:v>2019</x:v>
      </x:c>
      <x:c r="E40" s="24" t="str">
        <x:v>Polynemidae</x:v>
      </x:c>
      <x:c r="F40" s="24" t="str">
        <x:v>Threadfins</x:v>
      </x:c>
      <x:c r="G40" s="24" t="str">
        <x:v>Small demersals (&lt;30 cm)</x:v>
      </x:c>
      <x:c r="H40" s="24" t="str">
        <x:v>Perch-likes</x:v>
      </x:c>
      <x:c r="I40" s="31" t="n">
        <x:v>10.182167375</x:v>
      </x:c>
      <x:c r="J40" s="31" t="n">
        <x:v>6.029680512</x:v>
      </x:c>
      <x:c r="K40" s="31" t="n">
        <x:v>4.152486863</x:v>
      </x:c>
      <x:c r="L40" s="31" t="n">
        <x:v>0</x:v>
      </x:c>
      <x:c r="M40" s="31" t="n">
        <x:v>10.182167375</x:v>
      </x:c>
      <x:c r="N40" s="24" t="str">
        <x:v>polynemidae</x:v>
      </x:c>
      <x:c r="O40" s="32" t="n">
        <x:v>3.62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Polynemidae</x:v>
      </x:c>
      <x:c r="T40" s="32" t="n">
        <x:f>IF(O40="","",(1/'Metadata'!$B$5)^(O40-1))</x:f>
        <x:v>416.8693834703355</x:v>
      </x:c>
      <x:c r="U40" s="31" t="n">
        <x:f>IF(T40="","",I40*T40)</x:f>
        <x:v>4244.633836008014</x:v>
      </x:c>
    </x:row>
    <x:row r="41" ht="18" customHeight="1">
      <x:c r="A41" s="24" t="str">
        <x:v>EEZ_368</x:v>
      </x:c>
      <x:c r="B41" s="24" t="str">
        <x:v>Iraq</x:v>
      </x:c>
      <x:c r="C41" s="24" t="str">
        <x:v>EEZ</x:v>
      </x:c>
      <x:c r="D41" s="30" t="n">
        <x:v>2019</x:v>
      </x:c>
      <x:c r="E41" s="24" t="str">
        <x:v>Synodontidae</x:v>
      </x:c>
      <x:c r="F41" s="24" t="str">
        <x:v>Lizardfishes, sauries</x:v>
      </x:c>
      <x:c r="G41" s="24" t="str">
        <x:v>Medium demersals (30 - 89 cm)</x:v>
      </x:c>
      <x:c r="H41" s="24" t="str">
        <x:v>Other fishes &amp; inverts</x:v>
      </x:c>
      <x:c r="I41" s="31" t="n">
        <x:v>10.182167374999999</x:v>
      </x:c>
      <x:c r="J41" s="31" t="n">
        <x:v>6.029680512</x:v>
      </x:c>
      <x:c r="K41" s="31" t="n">
        <x:v>4.152486863</x:v>
      </x:c>
      <x:c r="L41" s="31" t="n">
        <x:v>0</x:v>
      </x:c>
      <x:c r="M41" s="31" t="n">
        <x:v>10.182167374999999</x:v>
      </x:c>
      <x:c r="N41" s="24" t="str">
        <x:v>synodontidae</x:v>
      </x:c>
      <x:c r="O41" s="32" t="n">
        <x:v>4.3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Synodontidae</x:v>
      </x:c>
      <x:c r="T41" s="32" t="n">
        <x:f>IF(O41="","",(1/'Metadata'!$B$5)^(O41-1))</x:f>
        <x:v>1995.2623149688789</x:v>
      </x:c>
      <x:c r="U41" s="31" t="n">
        <x:f>IF(T41="","",I41*T41)</x:f>
        <x:v>20316.09484804309</x:v>
      </x:c>
    </x:row>
    <x:row r="42" ht="18" customHeight="1">
      <x:c r="A42" s="24" t="str">
        <x:v>EEZ_368</x:v>
      </x:c>
      <x:c r="B42" s="24" t="str">
        <x:v>Iraq</x:v>
      </x:c>
      <x:c r="C42" s="24" t="str">
        <x:v>EEZ</x:v>
      </x:c>
      <x:c r="D42" s="30" t="n">
        <x:v>2019</x:v>
      </x:c>
      <x:c r="E42" s="24" t="str">
        <x:v>Trichiuridae</x:v>
      </x:c>
      <x:c r="F42" s="24" t="str">
        <x:v>Cutlassfishes</x:v>
      </x:c>
      <x:c r="G42" s="24" t="str">
        <x:v>Large benthopelagics (&gt;=90 cm)</x:v>
      </x:c>
      <x:c r="H42" s="24" t="str">
        <x:v>Perch-likes</x:v>
      </x:c>
      <x:c r="I42" s="31" t="n">
        <x:v>10.182167373999999</x:v>
      </x:c>
      <x:c r="J42" s="31" t="n">
        <x:v>6.029680512</x:v>
      </x:c>
      <x:c r="K42" s="31" t="n">
        <x:v>4.152486862</x:v>
      </x:c>
      <x:c r="L42" s="31" t="n">
        <x:v>0</x:v>
      </x:c>
      <x:c r="M42" s="31" t="n">
        <x:v>10.182167373999999</x:v>
      </x:c>
      <x:c r="N42" s="24" t="str">
        <x:v>trichiuridae</x:v>
      </x:c>
      <x:c r="O42" s="32" t="n">
        <x:v>4.15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Trichiuridae</x:v>
      </x:c>
      <x:c r="T42" s="32" t="n">
        <x:f>IF(O42="","",(1/'Metadata'!$B$5)^(O42-1))</x:f>
        <x:v>1412.5375446227554</x:v>
      </x:c>
      <x:c r="U42" s="31" t="n">
        <x:f>IF(T42="","",I42*T42)</x:f>
        <x:v>14382.693701407887</x:v>
      </x:c>
    </x:row>
    <x:row r="43" ht="18" customHeight="1">
      <x:c r="A43" s="24" t="str">
        <x:v>EEZ_368</x:v>
      </x:c>
      <x:c r="B43" s="24" t="str">
        <x:v>Iraq</x:v>
      </x:c>
      <x:c r="C43" s="24" t="str">
        <x:v>EEZ</x:v>
      </x:c>
      <x:c r="D43" s="30" t="n">
        <x:v>2019</x:v>
      </x:c>
      <x:c r="E43" s="24" t="str">
        <x:v>Soleidae</x:v>
      </x:c>
      <x:c r="F43" s="24" t="str">
        <x:v>Soles</x:v>
      </x:c>
      <x:c r="G43" s="24" t="str">
        <x:v>Small to medium flatfishes (&lt;90 cm)</x:v>
      </x:c>
      <x:c r="H43" s="24" t="str">
        <x:v>Flatfishes</x:v>
      </x:c>
      <x:c r="I43" s="31" t="n">
        <x:v>5.077518448</x:v>
      </x:c>
      <x:c r="J43" s="31" t="n">
        <x:v>4.216954193</x:v>
      </x:c>
      <x:c r="K43" s="31" t="n">
        <x:v>0.860564255</x:v>
      </x:c>
      <x:c r="L43" s="31" t="n">
        <x:v>0</x:v>
      </x:c>
      <x:c r="M43" s="31" t="n">
        <x:v>5.077518448</x:v>
      </x:c>
      <x:c r="N43" s="24" t="str">
        <x:v>soleidae</x:v>
      </x:c>
      <x:c r="O43" s="32" t="n">
        <x:v>3.15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Soleidae</x:v>
      </x:c>
      <x:c r="T43" s="32" t="n">
        <x:f>IF(O43="","",(1/'Metadata'!$B$5)^(O43-1))</x:f>
        <x:v>141.2537544622754</x:v>
      </x:c>
      <x:c r="U43" s="31" t="n">
        <x:f>IF(T43="","",I43*T43)</x:f>
        <x:v>717.2185441314657</x:v>
      </x:c>
    </x:row>
    <x:row r="44" ht="18" customHeight="1">
      <x:c r="A44" s="24" t="str">
        <x:v>EEZ_368</x:v>
      </x:c>
      <x:c r="B44" s="24" t="str">
        <x:v>Iraq</x:v>
      </x:c>
      <x:c r="C44" s="24" t="str">
        <x:v>EEZ</x:v>
      </x:c>
      <x:c r="D44" s="30" t="n">
        <x:v>2019</x:v>
      </x:c>
      <x:c r="E44" s="24" t="str">
        <x:v>Lethrinus nebulosus</x:v>
      </x:c>
      <x:c r="F44" s="24" t="str">
        <x:v>Spangled emperor</x:v>
      </x:c>
      <x:c r="G44" s="24" t="str">
        <x:v>Medium demersals (30 - 89 cm)</x:v>
      </x:c>
      <x:c r="H44" s="24" t="str">
        <x:v>Perch-likes</x:v>
      </x:c>
      <x:c r="I44" s="31" t="n">
        <x:v>3.514693285</x:v>
      </x:c>
      <x:c r="J44" s="31" t="n">
        <x:v>3.514693285</x:v>
      </x:c>
      <x:c r="K44" s="31" t="n">
        <x:v>0</x:v>
      </x:c>
      <x:c r="L44" s="31" t="n">
        <x:v>0</x:v>
      </x:c>
      <x:c r="M44" s="31" t="n">
        <x:v>3.514693285</x:v>
      </x:c>
      <x:c r="N44" s="24" t="str">
        <x:v>lethrinus nebulosus</x:v>
      </x:c>
      <x:c r="O44" s="32" t="n">
        <x:v>3.76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Lethrinus nebulosus</x:v>
      </x:c>
      <x:c r="T44" s="32" t="n">
        <x:f>IF(O44="","",(1/'Metadata'!$B$5)^(O44-1))</x:f>
        <x:v>575.4399373371566</x:v>
      </x:c>
      <x:c r="U44" s="31" t="n">
        <x:f>IF(T44="","",I44*T44)</x:f>
        <x:v>2022.494883679725</x:v>
      </x:c>
    </x:row>
    <x:row r="45" ht="18" customHeight="1">
      <x:c r="A45" s="24" t="str">
        <x:v>EEZ_368</x:v>
      </x:c>
      <x:c r="B45" s="24" t="str">
        <x:v>Iraq</x:v>
      </x:c>
      <x:c r="C45" s="24" t="str">
        <x:v>EEZ</x:v>
      </x:c>
      <x:c r="D45" s="30" t="n">
        <x:v>2019</x:v>
      </x:c>
      <x:c r="E45" s="24" t="str">
        <x:v>Scomberomorus commerson</x:v>
      </x:c>
      <x:c r="F45" s="24" t="str">
        <x:v>Narrow-barred Spanish mackerel</x:v>
      </x:c>
      <x:c r="G45" s="24" t="str">
        <x:v>Large pelagics (&gt;=90 cm)</x:v>
      </x:c>
      <x:c r="H45" s="24" t="str">
        <x:v>Perch-likes</x:v>
      </x:c>
      <x:c r="I45" s="31" t="n">
        <x:v>2.9673587269999997</x:v>
      </x:c>
      <x:c r="J45" s="31" t="n">
        <x:v>2.9673587269999997</x:v>
      </x:c>
      <x:c r="K45" s="31" t="n">
        <x:v>0</x:v>
      </x:c>
      <x:c r="L45" s="31" t="n">
        <x:v>0</x:v>
      </x:c>
      <x:c r="M45" s="31" t="n">
        <x:v>2.9673587269999997</x:v>
      </x:c>
      <x:c r="N45" s="24" t="str">
        <x:v>scomberomorus commerson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Scomberomorus commerson</x:v>
      </x:c>
      <x:c r="T45" s="32" t="n">
        <x:f>IF(O45="","",(1/'Metadata'!$B$5)^(O45-1))</x:f>
        <x:v>3162.2776601683795</x:v>
      </x:c>
      <x:c r="U45" s="31" t="n">
        <x:f>IF(T45="","",I45*T45)</x:f>
        <x:v>9383.61221209778</x:v>
      </x:c>
    </x:row>
    <x:row r="46" ht="18" customHeight="1">
      <x:c r="A46" s="24" t="str">
        <x:v>EEZ_368</x:v>
      </x:c>
      <x:c r="B46" s="24" t="str">
        <x:v>Iraq</x:v>
      </x:c>
      <x:c r="C46" s="24" t="str">
        <x:v>EEZ</x:v>
      </x:c>
      <x:c r="D46" s="30" t="n">
        <x:v>2019</x:v>
      </x:c>
      <x:c r="E46" s="24" t="str">
        <x:v>Lethrinidae</x:v>
      </x:c>
      <x:c r="F46" s="24" t="str">
        <x:v>Emperors, scavengers</x:v>
      </x:c>
      <x:c r="G46" s="24" t="str">
        <x:v>Medium reef assoc. fish (30 - 89 cm)</x:v>
      </x:c>
      <x:c r="H46" s="24" t="str">
        <x:v>Perch-likes</x:v>
      </x:c>
      <x:c r="I46" s="31" t="n">
        <x:v>2.713689565</x:v>
      </x:c>
      <x:c r="J46" s="31" t="n">
        <x:v>1.606994135</x:v>
      </x:c>
      <x:c r="K46" s="31" t="n">
        <x:v>1.10669543</x:v>
      </x:c>
      <x:c r="L46" s="31" t="n">
        <x:v>0</x:v>
      </x:c>
      <x:c r="M46" s="31" t="n">
        <x:v>2.713689565</x:v>
      </x:c>
      <x:c r="N46" s="24" t="str">
        <x:v>lethrinidae</x:v>
      </x:c>
      <x:c r="O46" s="32" t="n">
        <x:v>3.59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Lethrinidae</x:v>
      </x:c>
      <x:c r="T46" s="32" t="n">
        <x:f>IF(O46="","",(1/'Metadata'!$B$5)^(O46-1))</x:f>
        <x:v>389.04514499428046</x:v>
      </x:c>
      <x:c r="U46" s="31" t="n">
        <x:f>IF(T46="","",I46*T46)</x:f>
        <x:v>1055.747750284891</x:v>
      </x:c>
    </x:row>
    <x:row r="47" ht="18" customHeight="1">
      <x:c r="A47" s="24" t="str">
        <x:v>EEZ_368</x:v>
      </x:c>
      <x:c r="B47" s="24" t="str">
        <x:v>Iraq</x:v>
      </x:c>
      <x:c r="C47" s="24" t="str">
        <x:v>EEZ</x:v>
      </x:c>
      <x:c r="D47" s="30" t="n">
        <x:v>2019</x:v>
      </x:c>
      <x:c r="E47" s="24" t="str">
        <x:v>Stromateidae</x:v>
      </x:c>
      <x:c r="F47" s="24" t="str">
        <x:v>Butterfishes</x:v>
      </x:c>
      <x:c r="G47" s="24" t="str">
        <x:v>Small benthopelagics (&lt;30 cm)</x:v>
      </x:c>
      <x:c r="H47" s="24" t="str">
        <x:v>Perch-likes</x:v>
      </x:c>
      <x:c r="I47" s="31" t="n">
        <x:v>1.983943827</x:v>
      </x:c>
      <x:c r="J47" s="31" t="n">
        <x:v>0.812120169</x:v>
      </x:c>
      <x:c r="K47" s="31" t="n">
        <x:v>1.171823658</x:v>
      </x:c>
      <x:c r="L47" s="31" t="n">
        <x:v>0</x:v>
      </x:c>
      <x:c r="M47" s="31" t="n">
        <x:v>1.983943827</x:v>
      </x:c>
      <x:c r="N47" s="24" t="str">
        <x:v>stromateidae</x:v>
      </x:c>
      <x:c r="O47" s="32" t="n">
        <x:v>3.62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Stromateidae</x:v>
      </x:c>
      <x:c r="T47" s="32" t="n">
        <x:f>IF(O47="","",(1/'Metadata'!$B$5)^(O47-1))</x:f>
        <x:v>416.8693834703355</x:v>
      </x:c>
      <x:c r="U47" s="31" t="n">
        <x:f>IF(T47="","",I47*T47)</x:f>
        <x:v>827.0454400012679</x:v>
      </x:c>
    </x:row>
    <x:row r="48" ht="18" customHeight="1">
      <x:c r="A48" s="24" t="str">
        <x:v>EEZ_368</x:v>
      </x:c>
      <x:c r="B48" s="24" t="str">
        <x:v>Iraq</x:v>
      </x:c>
      <x:c r="C48" s="24" t="str">
        <x:v>EEZ</x:v>
      </x:c>
      <x:c r="D48" s="30" t="n">
        <x:v>2019</x:v>
      </x:c>
      <x:c r="E48" s="24" t="str">
        <x:v>Platycephalidae</x:v>
      </x:c>
      <x:c r="F48" s="24" t="str">
        <x:v>Flatheads</x:v>
      </x:c>
      <x:c r="G48" s="24" t="str">
        <x:v>Medium demersals (30 - 89 cm)</x:v>
      </x:c>
      <x:c r="H48" s="24" t="str">
        <x:v>Scorpionfishes</x:v>
      </x:c>
      <x:c r="I48" s="31" t="n">
        <x:v>0.800992665</x:v>
      </x:c>
      <x:c r="J48" s="31" t="n">
        <x:v>0.474332236</x:v>
      </x:c>
      <x:c r="K48" s="31" t="n">
        <x:v>0.32666042900000003</x:v>
      </x:c>
      <x:c r="L48" s="31" t="n">
        <x:v>0</x:v>
      </x:c>
      <x:c r="M48" s="31" t="n">
        <x:v>0.800992665</x:v>
      </x:c>
      <x:c r="N48" s="24" t="str">
        <x:v>platycephalidae</x:v>
      </x:c>
      <x:c r="O48" s="32" t="n">
        <x:v>3.9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Platycephalidae</x:v>
      </x:c>
      <x:c r="T48" s="32" t="n">
        <x:f>IF(O48="","",(1/'Metadata'!$B$5)^(O48-1))</x:f>
        <x:v>794.3282347242813</x:v>
      </x:c>
      <x:c r="U48" s="31" t="n">
        <x:f>IF(T48="","",I48*T48)</x:f>
        <x:v>636.2510896165476</x:v>
      </x:c>
    </x:row>
    <x:row r="49" ht="18" customHeight="1">
      <x:c r="A49" s="24" t="str">
        <x:v>EEZ_368</x:v>
      </x:c>
      <x:c r="B49" s="24" t="str">
        <x:v>Iraq</x:v>
      </x:c>
      <x:c r="C49" s="24" t="str">
        <x:v>EEZ</x:v>
      </x:c>
      <x:c r="D49" s="30" t="n">
        <x:v>2019</x:v>
      </x:c>
      <x:c r="E49" s="24" t="str">
        <x:v>Pomadasys argenteus</x:v>
      </x:c>
      <x:c r="F49" s="24" t="str">
        <x:v>Silver grunt</x:v>
      </x:c>
      <x:c r="G49" s="24" t="str">
        <x:v>Medium demersals (30 - 89 cm)</x:v>
      </x:c>
      <x:c r="H49" s="24" t="str">
        <x:v>Perch-likes</x:v>
      </x:c>
      <x:c r="I49" s="31" t="n">
        <x:v>0.44703655</x:v>
      </x:c>
      <x:c r="J49" s="31" t="n">
        <x:v>0.44703655</x:v>
      </x:c>
      <x:c r="K49" s="31" t="n">
        <x:v>0</x:v>
      </x:c>
      <x:c r="L49" s="31" t="n">
        <x:v>0</x:v>
      </x:c>
      <x:c r="M49" s="31" t="n">
        <x:v>0.44703655</x:v>
      </x:c>
      <x:c r="N49" s="24" t="str">
        <x:v>pomadasys argenteus</x:v>
      </x:c>
      <x:c r="O49" s="32" t="n">
        <x:v>3.47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Pomadasys argenteus</x:v>
      </x:c>
      <x:c r="T49" s="32" t="n">
        <x:f>IF(O49="","",(1/'Metadata'!$B$5)^(O49-1))</x:f>
        <x:v>295.1209226666387</x:v>
      </x:c>
      <x:c r="U49" s="31" t="n">
        <x:f>IF(T49="","",I49*T49)</x:f>
        <x:v>131.92983910171097</x:v>
      </x:c>
    </x:row>
    <x:row r="50" ht="18" customHeight="1">
      <x:c r="A50" s="24" t="str">
        <x:v>EEZ_368</x:v>
      </x:c>
      <x:c r="B50" s="24" t="str">
        <x:v>Iraq</x:v>
      </x:c>
      <x:c r="C50" s="24" t="str">
        <x:v>EEZ</x:v>
      </x:c>
      <x:c r="D50" s="30" t="n">
        <x:v>2019</x:v>
      </x:c>
      <x:c r="E50" s="24" t="str">
        <x:v>Epinephelus coioides</x:v>
      </x:c>
      <x:c r="F50" s="24" t="str">
        <x:v>Orange-spotted grouper</x:v>
      </x:c>
      <x:c r="G50" s="24" t="str">
        <x:v>Large reef assoc. fish (&gt;=90 cm)</x:v>
      </x:c>
      <x:c r="H50" s="24" t="str">
        <x:v>Perch-likes</x:v>
      </x:c>
      <x:c r="I50" s="31" t="n">
        <x:v>0.292501568</x:v>
      </x:c>
      <x:c r="J50" s="31" t="n">
        <x:v>0.292501568</x:v>
      </x:c>
      <x:c r="K50" s="31" t="n">
        <x:v>0</x:v>
      </x:c>
      <x:c r="L50" s="31" t="n">
        <x:v>0</x:v>
      </x:c>
      <x:c r="M50" s="31" t="n">
        <x:v>0.292501568</x:v>
      </x:c>
      <x:c r="N50" s="24" t="str">
        <x:v>epinephelus coioides</x:v>
      </x:c>
      <x:c r="O50" s="32" t="n">
        <x:v>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Epinephelus coioides</x:v>
      </x:c>
      <x:c r="T50" s="32" t="n">
        <x:f>IF(O50="","",(1/'Metadata'!$B$5)^(O50-1))</x:f>
        <x:v>1000</x:v>
      </x:c>
      <x:c r="U50" s="31" t="n">
        <x:f>IF(T50="","",I50*T50)</x:f>
        <x:v>292.50156799999996</x:v>
      </x:c>
    </x:row>
    <x:row r="51" ht="18" customHeight="1">
      <x:c r="A51" s="24" t="str">
        <x:v>EEZ_368</x:v>
      </x:c>
      <x:c r="B51" s="24" t="str">
        <x:v>Iraq</x:v>
      </x:c>
      <x:c r="C51" s="24" t="str">
        <x:v>EEZ</x:v>
      </x:c>
      <x:c r="D51" s="30" t="n">
        <x:v>2019</x:v>
      </x:c>
      <x:c r="E51" s="24" t="str">
        <x:v>Nemipteridae</x:v>
      </x:c>
      <x:c r="F51" s="24" t="str">
        <x:v>Threadfins, whiptail breams</x:v>
      </x:c>
      <x:c r="G51" s="24" t="str">
        <x:v>Small demersals (&lt;30 cm)</x:v>
      </x:c>
      <x:c r="H51" s="24" t="str">
        <x:v>Perch-likes</x:v>
      </x:c>
      <x:c r="I51" s="31" t="n">
        <x:v>0.126463869</x:v>
      </x:c>
      <x:c r="J51" s="31" t="n">
        <x:v>0.074889463</x:v>
      </x:c>
      <x:c r="K51" s="31" t="n">
        <x:v>0.051574406</x:v>
      </x:c>
      <x:c r="L51" s="31" t="n">
        <x:v>0</x:v>
      </x:c>
      <x:c r="M51" s="31" t="n">
        <x:v>0.126463869</x:v>
      </x:c>
      <x:c r="N51" s="24" t="str">
        <x:v>nemipteridae</x:v>
      </x:c>
      <x:c r="O51" s="32" t="n">
        <x:v>3.51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Nemipteridae</x:v>
      </x:c>
      <x:c r="T51" s="32" t="n">
        <x:f>IF(O51="","",(1/'Metadata'!$B$5)^(O51-1))</x:f>
        <x:v>323.5936569296281</x:v>
      </x:c>
      <x:c r="U51" s="31" t="n">
        <x:f>IF(T51="","",I51*T51)</x:f>
        <x:v>40.92290583917943</x:v>
      </x:c>
    </x:row>
  </x:sheetData>
  <x:conditionalFormatting sqref="R2:R5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390c1652b5d4f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253.79203109</x:v>
      </x:c>
      <x:c r="C2" s="32" t="n">
        <x:v>3.34</x:v>
      </x:c>
      <x:c r="D2" s="32" t="n">
        <x:f>IF(C2="","",(1/'Metadata'!$B$5)^(C2-1))</x:f>
        <x:v>218.77616239495518</x:v>
      </x:c>
      <x:c r="E2" s="31" t="n">
        <x:f>IF(B2=0,"",B2*D2)</x:f>
        <x:v>55523.646608291354</x:v>
      </x:c>
    </x:row>
    <x:row r="3" ht="18" customHeight="1">
      <x:c r="A3" s="24" t="str">
        <x:v>Crustaceans</x:v>
      </x:c>
      <x:c r="B3" s="31" t="n">
        <x:v>1777.086391846</x:v>
      </x:c>
      <x:c r="C3" s="32" t="n">
        <x:v>2.112112260964027</x:v>
      </x:c>
      <x:c r="D3" s="32" t="n">
        <x:f>IF(C3="","",(1/'Metadata'!$B$5)^(C3-1))</x:f>
        <x:v>12.945304219206339</x:v>
      </x:c>
      <x:c r="E3" s="31" t="n">
        <x:f>IF(B3=0,"",B3*D3)</x:f>
        <x:v>23004.923966258193</x:v>
      </x:c>
    </x:row>
    <x:row r="4" ht="18" customHeight="1">
      <x:c r="A4" s="24" t="str">
        <x:v>Flatfishes</x:v>
      </x:c>
      <x:c r="B4" s="31" t="n">
        <x:v>254.224229856</x:v>
      </x:c>
      <x:c r="C4" s="32" t="n">
        <x:v>3.561611508669461</x:v>
      </x:c>
      <x:c r="D4" s="32" t="n">
        <x:f>IF(C4="","",(1/'Metadata'!$B$5)^(C4-1))</x:f>
        <x:v>364.4278078851117</x:v>
      </x:c>
      <x:c r="E4" s="31" t="n">
        <x:f>IF(B4=0,"",B4*D4)</x:f>
        <x:v>92646.37879770284</x:v>
      </x:c>
    </x:row>
    <x:row r="5" ht="18" customHeight="1">
      <x:c r="A5" s="24" t="str">
        <x:v>Herring-likes</x:v>
      </x:c>
      <x:c r="B5" s="31" t="n">
        <x:v>2843.7775750260002</x:v>
      </x:c>
      <x:c r="C5" s="32" t="n">
        <x:v>2.676271924101626</x:v>
      </x:c>
      <x:c r="D5" s="32" t="n">
        <x:f>IF(C5="","",(1/'Metadata'!$B$5)^(C5-1))</x:f>
        <x:v>47.453901460709424</x:v>
      </x:c>
      <x:c r="E5" s="31" t="n">
        <x:f>IF(B5=0,"",B5*D5)</x:f>
        <x:v>134948.34082145902</x:v>
      </x:c>
    </x:row>
    <x:row r="6" ht="18" customHeight="1">
      <x:c r="A6" s="24" t="str">
        <x:v>Other fishes &amp; inverts</x:v>
      </x:c>
      <x:c r="B6" s="31" t="n">
        <x:v>1938.113321735</x:v>
      </x:c>
      <x:c r="C6" s="32" t="n">
        <x:v>3.293130321177958</x:v>
      </x:c>
      <x:c r="D6" s="32" t="n">
        <x:f>IF(C6="","",(1/'Metadata'!$B$5)^(C6-1))</x:f>
        <x:v>196.39495217569996</x:v>
      </x:c>
      <x:c r="E6" s="31" t="n">
        <x:f>IF(B6=0,"",B6*D6)</x:f>
        <x:v>380635.6731332323</x:v>
      </x:c>
    </x:row>
    <x:row r="7" ht="18" customHeight="1">
      <x:c r="A7" s="24" t="str">
        <x:v>Perch-likes</x:v>
      </x:c>
      <x:c r="B7" s="31" t="n">
        <x:v>10119.743391496</x:v>
      </x:c>
      <x:c r="C7" s="32" t="n">
        <x:v>3.140235355597274</x:v>
      </x:c>
      <x:c r="D7" s="32" t="n">
        <x:f>IF(C7="","",(1/'Metadata'!$B$5)^(C7-1))</x:f>
        <x:v>138.1132533861027</x:v>
      </x:c>
      <x:c r="E7" s="31" t="n">
        <x:f>IF(B7=0,"",B7*D7)</x:f>
        <x:v>1397670.6832320255</x:v>
      </x:c>
    </x:row>
    <x:row r="8" ht="18" customHeight="1">
      <x:c r="A8" s="24" t="str">
        <x:v>Scorpionfishes</x:v>
      </x:c>
      <x:c r="B8" s="31" t="n">
        <x:v>191.54028056</x:v>
      </x:c>
      <x:c r="C8" s="32" t="n">
        <x:v>4.0457152360323345</x:v>
      </x:c>
      <x:c r="D8" s="32" t="n">
        <x:f>IF(C8="","",(1/'Metadata'!$B$5)^(C8-1))</x:f>
        <x:v>1111.0030112065579</x:v>
      </x:c>
      <x:c r="E8" s="31" t="n">
        <x:f>IF(B8=0,"",B8*D8)</x:f>
        <x:v>212801.82846950894</x:v>
      </x:c>
    </x:row>
  </x:sheetData>
  <x:pageMargins left="0.7" right="0.7" top="0.75" bottom="0.75" header="0.3" footer="0.3"/>
  <x:tableParts count="1">
    <x:tablePart xmlns:r="http://schemas.openxmlformats.org/officeDocument/2006/relationships" r:id="R70bc406ba70f46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55.399686134999996</x:v>
      </x:c>
      <x:c r="C2" s="32" t="n">
        <x:v>4.24189778394491</x:v>
      </x:c>
      <x:c r="D2" s="32" t="n">
        <x:f>IF(C2="","",(1/'Metadata'!$B$5)^(C2-1))</x:f>
        <x:v>1745.4113025362153</x:v>
      </x:c>
      <x:c r="E2" s="31" t="n">
        <x:f>IF(B2=0,"",B2*D2)</x:f>
        <x:v>96695.23833698785</x:v>
      </x:c>
    </x:row>
    <x:row r="3" ht="18" customHeight="1">
      <x:c r="A3" s="24" t="str">
        <x:v>Large pelagics (&gt;=90 cm)</x:v>
      </x:c>
      <x:c r="B3" s="31" t="n">
        <x:v>499.46560597999996</x:v>
      </x:c>
      <x:c r="C3" s="32" t="n">
        <x:v>4.284652810753366</x:v>
      </x:c>
      <x:c r="D3" s="32" t="n">
        <x:f>IF(C3="","",(1/'Metadata'!$B$5)^(C3-1))</x:f>
        <x:v>1925.984602353366</x:v>
      </x:c>
      <x:c r="E3" s="31" t="n">
        <x:f>IF(B3=0,"",B3*D3)</x:f>
        <x:v>961963.0665225732</x:v>
      </x:c>
    </x:row>
    <x:row r="4" ht="18" customHeight="1">
      <x:c r="A4" s="24" t="str">
        <x:v>Large reef assoc. fish (&gt;=90 cm)</x:v>
      </x:c>
      <x:c r="B4" s="31" t="n">
        <x:v>73.04034352400001</x:v>
      </x:c>
      <x:c r="C4" s="32" t="n">
        <x:v>4.182778504354834</x:v>
      </x:c>
      <x:c r="D4" s="32" t="n">
        <x:f>IF(C4="","",(1/'Metadata'!$B$5)^(C4-1))</x:f>
        <x:v>1523.2756659135503</x:v>
      </x:c>
      <x:c r="E4" s="31" t="n">
        <x:f>IF(B4=0,"",B4*D4)</x:f>
        <x:v>111260.57792007558</x:v>
      </x:c>
    </x:row>
    <x:row r="5" ht="18" customHeight="1">
      <x:c r="A5" s="24" t="str">
        <x:v>Medium benthopelagics (30 - 89 cm)</x:v>
      </x:c>
      <x:c r="B5" s="31" t="n">
        <x:v>2012.867196134</x:v>
      </x:c>
      <x:c r="C5" s="32" t="n">
        <x:v>3.387281673990341</x:v>
      </x:c>
      <x:c r="D5" s="32" t="n">
        <x:f>IF(C5="","",(1/'Metadata'!$B$5)^(C5-1))</x:f>
        <x:v>243.93924424893407</x:v>
      </x:c>
      <x:c r="E5" s="31" t="n">
        <x:f>IF(B5=0,"",B5*D5)</x:f>
        <x:v>491017.30259839894</x:v>
      </x:c>
    </x:row>
    <x:row r="6" ht="18" customHeight="1">
      <x:c r="A6" s="24" t="str">
        <x:v>Medium demersals (30 - 89 cm)</x:v>
      </x:c>
      <x:c r="B6" s="31" t="n">
        <x:v>2331.0140119290004</x:v>
      </x:c>
      <x:c r="C6" s="32" t="n">
        <x:v>3.3790428417238147</x:v>
      </x:c>
      <x:c r="D6" s="32" t="n">
        <x:f>IF(C6="","",(1/'Metadata'!$B$5)^(C6-1))</x:f>
        <x:v>239.35518607870603</x:v>
      </x:c>
      <x:c r="E6" s="31" t="n">
        <x:f>IF(B6=0,"",B6*D6)</x:f>
        <x:v>557940.292577337</x:v>
      </x:c>
    </x:row>
    <x:row r="7" ht="18" customHeight="1">
      <x:c r="A7" s="24" t="str">
        <x:v>Medium pelagics (30 - 89 cm)</x:v>
      </x:c>
      <x:c r="B7" s="31" t="n">
        <x:v>2074.899701965</x:v>
      </x:c>
      <x:c r="C7" s="32" t="n">
        <x:v>2.2528631820441265</x:v>
      </x:c>
      <x:c r="D7" s="32" t="n">
        <x:f>IF(C7="","",(1/'Metadata'!$B$5)^(C7-1))</x:f>
        <x:v>17.90041839392604</x:v>
      </x:c>
      <x:c r="E7" s="31" t="n">
        <x:f>IF(B7=0,"",B7*D7)</x:f>
        <x:v>37141.57279060594</x:v>
      </x:c>
    </x:row>
    <x:row r="8" ht="18" customHeight="1">
      <x:c r="A8" s="24" t="str">
        <x:v>Medium reef assoc. fish (30 - 89 cm)</x:v>
      </x:c>
      <x:c r="B8" s="31" t="n">
        <x:v>6433.878490193999</x:v>
      </x:c>
      <x:c r="C8" s="32" t="n">
        <x:v>2.950789762223573</x:v>
      </x:c>
      <x:c r="D8" s="32" t="n">
        <x:f>IF(C8="","",(1/'Metadata'!$B$5)^(C8-1))</x:f>
        <x:v>89.28731478044381</x:v>
      </x:c>
      <x:c r="E8" s="31" t="n">
        <x:f>IF(B8=0,"",B8*D8)</x:f>
        <x:v>574463.7340130782</x:v>
      </x:c>
    </x:row>
    <x:row r="9" ht="18" customHeight="1">
      <x:c r="A9" s="24" t="str">
        <x:v>Shrimps</x:v>
      </x:c>
      <x:c r="B9" s="31" t="n">
        <x:v>1777.086391846</x:v>
      </x:c>
      <x:c r="C9" s="32" t="n">
        <x:v>2.112112260964027</x:v>
      </x:c>
      <x:c r="D9" s="32" t="n">
        <x:f>IF(C9="","",(1/'Metadata'!$B$5)^(C9-1))</x:f>
        <x:v>12.945304219206339</x:v>
      </x:c>
      <x:c r="E9" s="31" t="n">
        <x:f>IF(B9=0,"",B9*D9)</x:f>
        <x:v>23004.923966258193</x:v>
      </x:c>
    </x:row>
    <x:row r="10" ht="18" customHeight="1">
      <x:c r="A10" s="24" t="str">
        <x:v>Small benthopelagics (&lt;30 cm)</x:v>
      </x:c>
      <x:c r="B10" s="31" t="n">
        <x:v>1.983943827</x:v>
      </x:c>
      <x:c r="C10" s="32" t="n">
        <x:v>3.62</x:v>
      </x:c>
      <x:c r="D10" s="32" t="n">
        <x:f>IF(C10="","",(1/'Metadata'!$B$5)^(C10-1))</x:f>
        <x:v>416.8693834703355</x:v>
      </x:c>
      <x:c r="E10" s="31" t="n">
        <x:f>IF(B10=0,"",B10*D10)</x:f>
        <x:v>827.0454400012679</x:v>
      </x:c>
    </x:row>
    <x:row r="11" ht="18" customHeight="1">
      <x:c r="A11" s="24" t="str">
        <x:v>Small demersals (&lt;30 cm)</x:v>
      </x:c>
      <x:c r="B11" s="31" t="n">
        <x:v>1239.6343722440001</x:v>
      </x:c>
      <x:c r="C11" s="32" t="n">
        <x:v>3.500986681840288</x:v>
      </x:c>
      <x:c r="D11" s="32" t="n">
        <x:f>IF(C11="","",(1/'Metadata'!$B$5)^(C11-1))</x:f>
        <x:v>316.94702659567133</x:v>
      </x:c>
      <x:c r="E11" s="31" t="n">
        <x:f>IF(B11=0,"",B11*D11)</x:f>
        <x:v>392898.42834852746</x:v>
      </x:c>
    </x:row>
    <x:row r="12" ht="18" customHeight="1">
      <x:c r="A12" s="24" t="str">
        <x:v>Small pelagics (&lt;30 cm)</x:v>
      </x:c>
      <x:c r="B12" s="31" t="n">
        <x:v>599.6202046949999</x:v>
      </x:c>
      <x:c r="C12" s="32" t="n">
        <x:v>3.22533805202698</x:v>
      </x:c>
      <x:c r="D12" s="32" t="n">
        <x:f>IF(C12="","",(1/'Metadata'!$B$5)^(C12-1))</x:f>
        <x:v>168.01112970781307</x:v>
      </x:c>
      <x:c r="E12" s="31" t="n">
        <x:f>IF(B12=0,"",B12*D12)</x:f>
        <x:v>100742.86798643705</x:v>
      </x:c>
    </x:row>
    <x:row r="13" ht="18" customHeight="1">
      <x:c r="A13" s="24" t="str">
        <x:v>Small reef assoc. fish (&lt;30 cm)</x:v>
      </x:c>
      <x:c r="B13" s="31" t="n">
        <x:v>25.16304328</x:v>
      </x:c>
      <x:c r="C13" s="32" t="n">
        <x:v>3.11</x:v>
      </x:c>
      <x:c r="D13" s="32" t="n">
        <x:f>IF(C13="","",(1/'Metadata'!$B$5)^(C13-1))</x:f>
        <x:v>128.82495516931337</x:v>
      </x:c>
      <x:c r="E13" s="31" t="n">
        <x:f>IF(B13=0,"",B13*D13)</x:f>
        <x:v>3241.627922469492</x:v>
      </x:c>
    </x:row>
    <x:row r="14" ht="18" customHeight="1">
      <x:c r="A14" s="24" t="str">
        <x:v>Small to medium flatfishes (&lt;90 cm)</x:v>
      </x:c>
      <x:c r="B14" s="31" t="n">
        <x:v>254.224229856</x:v>
      </x:c>
      <x:c r="C14" s="32" t="n">
        <x:v>3.561611508669461</x:v>
      </x:c>
      <x:c r="D14" s="32" t="n">
        <x:f>IF(C14="","",(1/'Metadata'!$B$5)^(C14-1))</x:f>
        <x:v>364.4278078851117</x:v>
      </x:c>
      <x:c r="E14" s="31" t="n">
        <x:f>IF(B14=0,"",B14*D14)</x:f>
        <x:v>92646.37879770284</x:v>
      </x:c>
    </x:row>
  </x:sheetData>
  <x:pageMargins left="0.7" right="0.7" top="0.75" bottom="0.75" header="0.3" footer="0.3"/>
  <x:tableParts count="1">
    <x:tablePart xmlns:r="http://schemas.openxmlformats.org/officeDocument/2006/relationships" r:id="Rc91c15014dc24b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EEZ_368</x:v>
      </x:c>
      <x:c r="B2" s="24" t="str">
        <x:v>raw_filtered_tonnes</x:v>
      </x:c>
      <x:c r="C2" s="24" t="n">
        <x:v>17378.277221609</x:v>
      </x:c>
      <x:c r="D2" s="24" t="str">
        <x:v>tonnes</x:v>
      </x:c>
    </x:row>
    <x:row r="3" ht="18" customHeight="1">
      <x:c r="A3" s="24" t="str">
        <x:v>EEZ_368</x:v>
      </x:c>
      <x:c r="B3" s="24" t="str">
        <x:v>species_catch_tonnes</x:v>
      </x:c>
      <x:c r="C3" s="24" t="n">
        <x:v>17378.277221609</x:v>
      </x:c>
      <x:c r="D3" s="24" t="str">
        <x:v>tonnes</x:v>
      </x:c>
    </x:row>
    <x:row r="4" ht="18" customHeight="1">
      <x:c r="A4" s="24" t="str">
        <x:v>EEZ_368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EEZ_368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EEZ_368</x:v>
      </x:c>
      <x:c r="B6" s="24" t="str">
        <x:v>matched_catch_tonnes</x:v>
      </x:c>
      <x:c r="C6" s="24" t="n">
        <x:v>17378.277221609</x:v>
      </x:c>
      <x:c r="D6" s="24" t="str">
        <x:v>tonnes</x:v>
      </x:c>
    </x:row>
    <x:row r="7" ht="18" customHeight="1">
      <x:c r="A7" s="24" t="str">
        <x:v>EEZ_368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EEZ_368</x:v>
      </x:c>
      <x:c r="B8" s="24" t="str">
        <x:v>taxa_count</x:v>
      </x:c>
      <x:c r="C8" s="24" t="n">
        <x:v>50</x:v>
      </x:c>
      <x:c r="D8" s="24" t="str">
        <x:v>count</x:v>
      </x:c>
    </x:row>
    <x:row r="9" ht="18" customHeight="1">
      <x:c r="A9" s="24" t="str">
        <x:v>EEZ_368</x:v>
      </x:c>
      <x:c r="B9" s="24" t="str">
        <x:v>matched_taxa_count</x:v>
      </x:c>
      <x:c r="C9" s="24" t="n">
        <x:v>50</x:v>
      </x:c>
      <x:c r="D9" s="24" t="str">
        <x:v>count</x:v>
      </x:c>
    </x:row>
    <x:row r="10" ht="18" customHeight="1">
      <x:c r="A10" s="24" t="str">
        <x:v>EEZ_368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EEZ_368</x:v>
      </x:c>
      <x:c r="B11" s="24" t="str">
        <x:v>species_ppr</x:v>
      </x:c>
      <x:c r="C11" s="24" t="n">
        <x:v>6545752.48582018</x:v>
      </x:c>
      <x:c r="D11" s="24" t="str">
        <x:v>tonnes_primary_production_equivalent</x:v>
      </x:c>
    </x:row>
    <x:row r="12" ht="18" customHeight="1">
      <x:c r="A12" s="24" t="str">
        <x:v>EEZ_368</x:v>
      </x:c>
      <x:c r="B12" s="24" t="str">
        <x:v>commercial_ppr</x:v>
      </x:c>
      <x:c r="C12" s="24" t="n">
        <x:v>2297231.475028478</x:v>
      </x:c>
      <x:c r="D12" s="24" t="str">
        <x:v>tonnes_primary_production_equivalent</x:v>
      </x:c>
    </x:row>
    <x:row r="13" ht="18" customHeight="1">
      <x:c r="A13" s="24" t="str">
        <x:v>EEZ_368</x:v>
      </x:c>
      <x:c r="B13" s="24" t="str">
        <x:v>functional_ppr</x:v>
      </x:c>
      <x:c r="C13" s="24" t="n">
        <x:v>3443843.0572204525</x:v>
      </x:c>
      <x:c r="D13" s="24" t="str">
        <x:v>tonnes_primary_production_equivalent</x:v>
      </x:c>
    </x:row>
    <x:row r="14" ht="18" customHeight="1">
      <x:c r="A14" s="24" t="str">
        <x:v>EEZ_368</x:v>
      </x:c>
      <x:c r="B14" s="24" t="str">
        <x:v>commercial_ppr_difference</x:v>
      </x:c>
      <x:c r="C14" s="24" t="n">
        <x:v>-4248521.010791702</x:v>
      </x:c>
      <x:c r="D14" s="24" t="str">
        <x:v>tonnes_primary_production_equivalent</x:v>
      </x:c>
    </x:row>
    <x:row r="15" ht="18" customHeight="1">
      <x:c r="A15" s="24" t="str">
        <x:v>EEZ_368</x:v>
      </x:c>
      <x:c r="B15" s="24" t="str">
        <x:v>functional_ppr_difference</x:v>
      </x:c>
      <x:c r="C15" s="24" t="n">
        <x:v>-3101909.4285997273</x:v>
      </x:c>
      <x:c r="D15" s="24" t="str">
        <x:v>tonnes_primary_production_equivalent</x:v>
      </x:c>
    </x:row>
    <x:row r="16" ht="18" customHeight="1">
      <x:c r="A16" s="24" t="str">
        <x:v>EEZ_368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EEZ_368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24247d5615c4d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EEZ_368 - Iraq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EEZ_368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