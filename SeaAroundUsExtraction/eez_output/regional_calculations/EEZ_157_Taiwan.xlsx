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4495ad2df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0142f42b4594088"/>
    <x:sheet xmlns:r="http://schemas.openxmlformats.org/officeDocument/2006/relationships" name="Commercial" sheetId="2" r:id="Rbae1b7cc070b4c17"/>
    <x:sheet xmlns:r="http://schemas.openxmlformats.org/officeDocument/2006/relationships" name="Functional" sheetId="3" r:id="Rca61639275e84e61"/>
    <x:sheet xmlns:r="http://schemas.openxmlformats.org/officeDocument/2006/relationships" name="Missing TL" sheetId="4" r:id="Rcd0803d881f4437e"/>
    <x:sheet xmlns:r="http://schemas.openxmlformats.org/officeDocument/2006/relationships" name="Validation" sheetId="5" r:id="R08d0e6c51b1946ac"/>
    <x:sheet xmlns:r="http://schemas.openxmlformats.org/officeDocument/2006/relationships" name="Metadata" sheetId="6" r:id="R712725d0fefb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45806992940f6" /><Relationship Type="http://schemas.openxmlformats.org/officeDocument/2006/relationships/theme" Target="/xl/theme/theme1.xml" Id="R6eceac875b4044f1" /><Relationship Type="http://schemas.microsoft.com/office/2022/11/relationships/FeaturePropertyBag" Target="/xl/featurePropertyBag/featurePropertyBag.xml" Id="R1372430101eb4d9f" /><Relationship Type="http://schemas.openxmlformats.org/officeDocument/2006/relationships/sharedStrings" Target="/xl/sharedStrings.xml" Id="R507169a3674c44c5" /><Relationship Type="http://schemas.openxmlformats.org/officeDocument/2006/relationships/worksheet" Target="/xl/worksheets/sheet1.xml" Id="Rb0142f42b4594088" /><Relationship Type="http://schemas.openxmlformats.org/officeDocument/2006/relationships/worksheet" Target="/xl/worksheets/sheet2.xml" Id="Rbae1b7cc070b4c17" /><Relationship Type="http://schemas.openxmlformats.org/officeDocument/2006/relationships/worksheet" Target="/xl/worksheets/sheet3.xml" Id="Rca61639275e84e61" /><Relationship Type="http://schemas.openxmlformats.org/officeDocument/2006/relationships/worksheet" Target="/xl/worksheets/sheet4.xml" Id="Rcd0803d881f4437e" /><Relationship Type="http://schemas.openxmlformats.org/officeDocument/2006/relationships/worksheet" Target="/xl/worksheets/sheet5.xml" Id="R08d0e6c51b1946ac" /><Relationship Type="http://schemas.openxmlformats.org/officeDocument/2006/relationships/worksheet" Target="/xl/worksheets/sheet6.xml" Id="R712725d0fefb47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7SpeciesTable" displayName="EEZ157SpeciesTable" ref="A1:U150" headerRowCount="1" totalsRowCount="0" totalsRowShown="0">
  <x:autoFilter ref="A1:U15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7CommercialTable" displayName="EEZ157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7FunctionalTable" displayName="EEZ157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7ValidationTable" displayName="EEZ15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df383998da44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fbcdb5591a46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14da6b17b848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9fa49af6c8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EEZ_157</x:v>
      </x:c>
      <x:c r="B2" s="24" t="str">
        <x:v>Taiwan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126927.3844777801</x:v>
      </x:c>
      <x:c r="J2" s="31" t="n">
        <x:v>118375.6519924401</x:v>
      </x:c>
      <x:c r="K2" s="31" t="n">
        <x:v>8551.73248534</x:v>
      </x:c>
      <x:c r="L2" s="31" t="n">
        <x:v>104696.2987387612</x:v>
      </x:c>
      <x:c r="M2" s="31" t="n">
        <x:v>22231.0857390189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24185514.515622787</x:v>
      </x:c>
    </x:row>
    <x:row r="3" ht="18" customHeight="1">
      <x:c r="A3" s="24" t="str">
        <x:v>EEZ_157</x:v>
      </x:c>
      <x:c r="B3" s="24" t="str">
        <x:v>Taiwan</x:v>
      </x:c>
      <x:c r="C3" s="24" t="str">
        <x:v>EEZ</x:v>
      </x:c>
      <x:c r="D3" s="30" t="n">
        <x:v>2019</x:v>
      </x:c>
      <x:c r="E3" s="24" t="str">
        <x:v>Scomber japonicus</x:v>
      </x:c>
      <x:c r="F3" s="24" t="str">
        <x:v>Pacific chub mackerel</x:v>
      </x:c>
      <x:c r="G3" s="24" t="str">
        <x:v>Medium pelagics (30 - 89 cm)</x:v>
      </x:c>
      <x:c r="H3" s="24" t="str">
        <x:v>Perch-likes</x:v>
      </x:c>
      <x:c r="I3" s="31" t="n">
        <x:v>104729.7733895961</x:v>
      </x:c>
      <x:c r="J3" s="31" t="n">
        <x:v>104729.7733895961</x:v>
      </x:c>
      <x:c r="K3" s="31" t="n">
        <x:v>0</x:v>
      </x:c>
      <x:c r="L3" s="31" t="n">
        <x:v>81390.7530707652</x:v>
      </x:c>
      <x:c r="M3" s="31" t="n">
        <x:v>23339.0203188309</x:v>
      </x:c>
      <x:c r="N3" s="24" t="str">
        <x:v>scomber japonicus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Scomber japonicus</x:v>
      </x:c>
      <x:c r="T3" s="32" t="n">
        <x:f>IF(O3="","",(1/'Metadata'!$B$5)^(O3-1))</x:f>
        <x:v>239.88329190194898</x:v>
      </x:c>
      <x:c r="U3" s="31" t="n">
        <x:f>IF(T3="","",I3*T3)</x:f>
        <x:v>25122922.80084145</x:v>
      </x:c>
    </x:row>
    <x:row r="4" ht="18" customHeight="1">
      <x:c r="A4" s="24" t="str">
        <x:v>EEZ_157</x:v>
      </x:c>
      <x:c r="B4" s="24" t="str">
        <x:v>Taiwan</x:v>
      </x:c>
      <x:c r="C4" s="24" t="str">
        <x:v>EEZ</x:v>
      </x:c>
      <x:c r="D4" s="30" t="n">
        <x:v>2019</x:v>
      </x:c>
      <x:c r="E4" s="24" t="str">
        <x:v>Engraulis japonicus</x:v>
      </x:c>
      <x:c r="F4" s="24" t="str">
        <x:v>Japanese anchovy</x:v>
      </x:c>
      <x:c r="G4" s="24" t="str">
        <x:v>Small pelagics (&lt;30 cm)</x:v>
      </x:c>
      <x:c r="H4" s="24" t="str">
        <x:v>Anchovies</x:v>
      </x:c>
      <x:c r="I4" s="31" t="n">
        <x:v>87804.629643869</x:v>
      </x:c>
      <x:c r="J4" s="31" t="n">
        <x:v>87804.2647305077</x:v>
      </x:c>
      <x:c r="K4" s="31" t="n">
        <x:v>0.3649133613</x:v>
      </x:c>
      <x:c r="L4" s="31" t="n">
        <x:v>87804.2647305077</x:v>
      </x:c>
      <x:c r="M4" s="31" t="n">
        <x:v>0.3649133613</x:v>
      </x:c>
      <x:c r="N4" s="24" t="str">
        <x:v>engraulis japonicus</x:v>
      </x:c>
      <x:c r="O4" s="32" t="n">
        <x:v>3.14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Engraulis japonicus</x:v>
      </x:c>
      <x:c r="T4" s="32" t="n">
        <x:f>IF(O4="","",(1/'Metadata'!$B$5)^(O4-1))</x:f>
        <x:v>138.03842646028852</x:v>
      </x:c>
      <x:c r="U4" s="31" t="n">
        <x:f>IF(T4="","",I4*T4)</x:f>
        <x:v>12120412.91196808</x:v>
      </x:c>
    </x:row>
    <x:row r="5" ht="18" customHeight="1">
      <x:c r="A5" s="24" t="str">
        <x:v>EEZ_157</x:v>
      </x:c>
      <x:c r="B5" s="24" t="str">
        <x:v>Taiwan</x:v>
      </x:c>
      <x:c r="C5" s="24" t="str">
        <x:v>EEZ</x:v>
      </x:c>
      <x:c r="D5" s="30" t="n">
        <x:v>2019</x:v>
      </x:c>
      <x:c r="E5" s="24" t="str">
        <x:v>Cololabis saira</x:v>
      </x:c>
      <x:c r="F5" s="24" t="str">
        <x:v>Pacific saury</x:v>
      </x:c>
      <x:c r="G5" s="24" t="str">
        <x:v>Medium pelagics (30 - 89 cm)</x:v>
      </x:c>
      <x:c r="H5" s="24" t="str">
        <x:v>Other fishes &amp; inverts</x:v>
      </x:c>
      <x:c r="I5" s="31" t="n">
        <x:v>83116.4447889746</x:v>
      </x:c>
      <x:c r="J5" s="31" t="n">
        <x:v>83116.4447889746</x:v>
      </x:c>
      <x:c r="K5" s="31" t="n">
        <x:v>0</x:v>
      </x:c>
      <x:c r="L5" s="31" t="n">
        <x:v>57589.773664665</x:v>
      </x:c>
      <x:c r="M5" s="31" t="n">
        <x:v>25526.6711243096</x:v>
      </x:c>
      <x:c r="N5" s="24" t="str">
        <x:v>cololabis saira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Cololabis saira</x:v>
      </x:c>
      <x:c r="T5" s="32" t="n">
        <x:f>IF(O5="","",(1/'Metadata'!$B$5)^(O5-1))</x:f>
        <x:v>512.8613839913648</x:v>
      </x:c>
      <x:c r="U5" s="31" t="n">
        <x:f>IF(T5="","",I5*T5)</x:f>
        <x:v>42627214.906915374</x:v>
      </x:c>
    </x:row>
    <x:row r="6" ht="18" customHeight="1">
      <x:c r="A6" s="24" t="str">
        <x:v>EEZ_157</x:v>
      </x:c>
      <x:c r="B6" s="24" t="str">
        <x:v>Taiwan</x:v>
      </x:c>
      <x:c r="C6" s="24" t="str">
        <x:v>EEZ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69762.19669059089</x:v>
      </x:c>
      <x:c r="J6" s="31" t="n">
        <x:v>69283.5517449631</x:v>
      </x:c>
      <x:c r="K6" s="31" t="n">
        <x:v>478.6449456278</x:v>
      </x:c>
      <x:c r="L6" s="31" t="n">
        <x:v>67678.2665188522</x:v>
      </x:c>
      <x:c r="M6" s="31" t="n">
        <x:v>2083.9301717386998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183493272.9995711</x:v>
      </x:c>
    </x:row>
    <x:row r="7" ht="18" customHeight="1">
      <x:c r="A7" s="24" t="str">
        <x:v>EEZ_157</x:v>
      </x:c>
      <x:c r="B7" s="24" t="str">
        <x:v>Taiwan</x:v>
      </x:c>
      <x:c r="C7" s="24" t="str">
        <x:v>EEZ</x:v>
      </x:c>
      <x:c r="D7" s="30" t="n">
        <x:v>2019</x:v>
      </x:c>
      <x:c r="E7" s="24" t="str">
        <x:v>Alepes</x:v>
      </x:c>
      <x:c r="F7" s="24" t="str">
        <x:v>Crevalles</x:v>
      </x:c>
      <x:c r="G7" s="24" t="str">
        <x:v>Medium reef assoc. fish (30 - 89 cm)</x:v>
      </x:c>
      <x:c r="H7" s="24" t="str">
        <x:v>Perch-likes</x:v>
      </x:c>
      <x:c r="I7" s="31" t="n">
        <x:v>53473.9640093865</x:v>
      </x:c>
      <x:c r="J7" s="31" t="n">
        <x:v>53473.9640093865</x:v>
      </x:c>
      <x:c r="K7" s="31" t="n">
        <x:v>0</x:v>
      </x:c>
      <x:c r="L7" s="31" t="n">
        <x:v>53473.9640093865</x:v>
      </x:c>
      <x:c r="M7" s="31" t="n">
        <x:v>0</x:v>
      </x:c>
      <x:c r="N7" s="24" t="str">
        <x:v>alepes</x:v>
      </x:c>
      <x:c r="O7" s="32" t="n">
        <x:v>3.32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Alepes</x:v>
      </x:c>
      <x:c r="T7" s="32" t="n">
        <x:f>IF(O7="","",(1/'Metadata'!$B$5)^(O7-1))</x:f>
        <x:v>208.92961308540387</x:v>
      </x:c>
      <x:c r="U7" s="31" t="n">
        <x:f>IF(T7="","",I7*T7)</x:f>
        <x:v>11172294.610623933</x:v>
      </x:c>
    </x:row>
    <x:row r="8" ht="18" customHeight="1">
      <x:c r="A8" s="24" t="str">
        <x:v>EEZ_157</x:v>
      </x:c>
      <x:c r="B8" s="24" t="str">
        <x:v>Taiwan</x:v>
      </x:c>
      <x:c r="C8" s="24" t="str">
        <x:v>EEZ</x:v>
      </x:c>
      <x:c r="D8" s="30" t="n">
        <x:v>2019</x:v>
      </x:c>
      <x:c r="E8" s="24" t="str">
        <x:v>Scomberomorus</x:v>
      </x:c>
      <x:c r="F8" s="24" t="str">
        <x:v>Spanish mackerels</x:v>
      </x:c>
      <x:c r="G8" s="24" t="str">
        <x:v>Large pelagics (&gt;=90 cm)</x:v>
      </x:c>
      <x:c r="H8" s="24" t="str">
        <x:v>Perch-likes</x:v>
      </x:c>
      <x:c r="I8" s="31" t="n">
        <x:v>36652.516284325706</x:v>
      </x:c>
      <x:c r="J8" s="31" t="n">
        <x:v>36626.3517396149</x:v>
      </x:c>
      <x:c r="K8" s="31" t="n">
        <x:v>26.1645447108</x:v>
      </x:c>
      <x:c r="L8" s="31" t="n">
        <x:v>35462.250331017</x:v>
      </x:c>
      <x:c r="M8" s="31" t="n">
        <x:v>1190.2659533087</x:v>
      </x:c>
      <x:c r="N8" s="24" t="str">
        <x:v>scomberomorus</x:v>
      </x:c>
      <x:c r="O8" s="32" t="n">
        <x:v>4.35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Scomberomorus</x:v>
      </x:c>
      <x:c r="T8" s="32" t="n">
        <x:f>IF(O8="","",(1/'Metadata'!$B$5)^(O8-1))</x:f>
        <x:v>2238.7211385683377</x:v>
      </x:c>
      <x:c r="U8" s="31" t="n">
        <x:f>IF(T8="","",I8*T8)</x:f>
        <x:v>82054762.98744018</x:v>
      </x:c>
    </x:row>
    <x:row r="9" ht="18" customHeight="1">
      <x:c r="A9" s="24" t="str">
        <x:v>EEZ_157</x:v>
      </x:c>
      <x:c r="B9" s="24" t="str">
        <x:v>Taiwan</x:v>
      </x:c>
      <x:c r="C9" s="24" t="str">
        <x:v>EEZ</x:v>
      </x:c>
      <x:c r="D9" s="30" t="n">
        <x:v>2019</x:v>
      </x:c>
      <x:c r="E9" s="24" t="str">
        <x:v>Pampus</x:v>
      </x:c>
      <x:c r="F9" s="24" t="str">
        <x:v>Silver pomfrets</x:v>
      </x:c>
      <x:c r="G9" s="24" t="str">
        <x:v>Medium benthopelagics (30 - 89 cm)</x:v>
      </x:c>
      <x:c r="H9" s="24" t="str">
        <x:v>Perch-likes</x:v>
      </x:c>
      <x:c r="I9" s="31" t="n">
        <x:v>26679.815333547398</x:v>
      </x:c>
      <x:c r="J9" s="31" t="n">
        <x:v>26679.815333547398</x:v>
      </x:c>
      <x:c r="K9" s="31" t="n">
        <x:v>0</x:v>
      </x:c>
      <x:c r="L9" s="31" t="n">
        <x:v>26679.815333547398</x:v>
      </x:c>
      <x:c r="M9" s="31" t="n">
        <x:v>0</x:v>
      </x:c>
      <x:c r="N9" s="24" t="str">
        <x:v>pampus</x:v>
      </x:c>
      <x:c r="O9" s="32" t="n">
        <x:v>3.41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Pampus</x:v>
      </x:c>
      <x:c r="T9" s="32" t="n">
        <x:f>IF(O9="","",(1/'Metadata'!$B$5)^(O9-1))</x:f>
        <x:v>257.03957827688646</x:v>
      </x:c>
      <x:c r="U9" s="31" t="n">
        <x:f>IF(T9="","",I9*T9)</x:f>
        <x:v>6857768.481840232</x:v>
      </x:c>
    </x:row>
    <x:row r="10" ht="18" customHeight="1">
      <x:c r="A10" s="24" t="str">
        <x:v>EEZ_157</x:v>
      </x:c>
      <x:c r="B10" s="24" t="str">
        <x:v>Taiwan</x:v>
      </x:c>
      <x:c r="C10" s="24" t="str">
        <x:v>EEZ</x:v>
      </x:c>
      <x:c r="D10" s="30" t="n">
        <x:v>2019</x:v>
      </x:c>
      <x:c r="E10" s="24" t="str">
        <x:v>Nemipterus</x:v>
      </x:c>
      <x:c r="F10" s="24" t="str">
        <x:v>Threadfin breams</x:v>
      </x:c>
      <x:c r="G10" s="24" t="str">
        <x:v>Small demersals (&lt;30 cm)</x:v>
      </x:c>
      <x:c r="H10" s="24" t="str">
        <x:v>Perch-likes</x:v>
      </x:c>
      <x:c r="I10" s="31" t="n">
        <x:v>25621.845891836</x:v>
      </x:c>
      <x:c r="J10" s="31" t="n">
        <x:v>25621.845891836</x:v>
      </x:c>
      <x:c r="K10" s="31" t="n">
        <x:v>0</x:v>
      </x:c>
      <x:c r="L10" s="31" t="n">
        <x:v>25621.845891836</x:v>
      </x:c>
      <x:c r="M10" s="31" t="n">
        <x:v>0</x:v>
      </x:c>
      <x:c r="N10" s="24" t="str">
        <x:v>nemipterus</x:v>
      </x:c>
      <x:c r="O10" s="32" t="n">
        <x:v>3.72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Nemipterus</x:v>
      </x:c>
      <x:c r="T10" s="32" t="n">
        <x:f>IF(O10="","",(1/'Metadata'!$B$5)^(O10-1))</x:f>
        <x:v>524.8074602497728</x:v>
      </x:c>
      <x:c r="U10" s="31" t="n">
        <x:f>IF(T10="","",I10*T10)</x:f>
        <x:v>13446535.869405527</x:v>
      </x:c>
    </x:row>
    <x:row r="11" ht="18" customHeight="1">
      <x:c r="A11" s="24" t="str">
        <x:v>EEZ_157</x:v>
      </x:c>
      <x:c r="B11" s="24" t="str">
        <x:v>Taiwan</x:v>
      </x:c>
      <x:c r="C11" s="24" t="str">
        <x:v>EEZ</x:v>
      </x:c>
      <x:c r="D11" s="30" t="n">
        <x:v>2019</x:v>
      </x:c>
      <x:c r="E11" s="24" t="str">
        <x:v>Portunus trituberculatus</x:v>
      </x:c>
      <x:c r="F11" s="24" t="str">
        <x:v>Gazami crab</x:v>
      </x:c>
      <x:c r="G11" s="24" t="str">
        <x:v>Lobsters, crabs</x:v>
      </x:c>
      <x:c r="H11" s="24" t="str">
        <x:v>Crustaceans</x:v>
      </x:c>
      <x:c r="I11" s="31" t="n">
        <x:v>22229.9709898549</x:v>
      </x:c>
      <x:c r="J11" s="31" t="n">
        <x:v>22229.9709898549</x:v>
      </x:c>
      <x:c r="K11" s="31" t="n">
        <x:v>0</x:v>
      </x:c>
      <x:c r="L11" s="31" t="n">
        <x:v>22229.9709898549</x:v>
      </x:c>
      <x:c r="M11" s="31" t="n">
        <x:v>0</x:v>
      </x:c>
      <x:c r="N11" s="24" t="str">
        <x:v>portunus trituberculatus</x:v>
      </x:c>
      <x:c r="O11" s="32" t="n">
        <x:v>3.73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Portunus trituberculatus</x:v>
      </x:c>
      <x:c r="T11" s="32" t="n">
        <x:f>IF(O11="","",(1/'Metadata'!$B$5)^(O11-1))</x:f>
        <x:v>537.0317963702527</x:v>
      </x:c>
      <x:c r="U11" s="31" t="n">
        <x:f>IF(T11="","",I11*T11)</x:f>
        <x:v>11938201.253940381</x:v>
      </x:c>
    </x:row>
    <x:row r="12" ht="18" customHeight="1">
      <x:c r="A12" s="24" t="str">
        <x:v>EEZ_157</x:v>
      </x:c>
      <x:c r="B12" s="24" t="str">
        <x:v>Taiwan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20450.025022556998</x:v>
      </x:c>
      <x:c r="J12" s="31" t="n">
        <x:v>20450.025022556998</x:v>
      </x:c>
      <x:c r="K12" s="31" t="n">
        <x:v>0</x:v>
      </x:c>
      <x:c r="L12" s="31" t="n">
        <x:v>15713.2762129737</x:v>
      </x:c>
      <x:c r="M12" s="31" t="n">
        <x:v>4736.7488095833005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22945305.466245867</x:v>
      </x:c>
    </x:row>
    <x:row r="13" ht="18" customHeight="1">
      <x:c r="A13" s="24" t="str">
        <x:v>EEZ_157</x:v>
      </x:c>
      <x:c r="B13" s="24" t="str">
        <x:v>Taiwan</x:v>
      </x:c>
      <x:c r="C13" s="24" t="str">
        <x:v>EEZ</x:v>
      </x:c>
      <x:c r="D13" s="30" t="n">
        <x:v>2019</x:v>
      </x:c>
      <x:c r="E13" s="24" t="str">
        <x:v>Muraenesox cinereus</x:v>
      </x:c>
      <x:c r="F13" s="24" t="str">
        <x:v>Daggertooth pike conger</x:v>
      </x:c>
      <x:c r="G13" s="24" t="str">
        <x:v>Large demersals (&gt;=90 cm)</x:v>
      </x:c>
      <x:c r="H13" s="24" t="str">
        <x:v>Other fishes &amp; inverts</x:v>
      </x:c>
      <x:c r="I13" s="31" t="n">
        <x:v>19277.2453274132</x:v>
      </x:c>
      <x:c r="J13" s="31" t="n">
        <x:v>19277.2453274132</x:v>
      </x:c>
      <x:c r="K13" s="31" t="n">
        <x:v>0</x:v>
      </x:c>
      <x:c r="L13" s="31" t="n">
        <x:v>19277.2453274132</x:v>
      </x:c>
      <x:c r="M13" s="31" t="n">
        <x:v>0</x:v>
      </x:c>
      <x:c r="N13" s="24" t="str">
        <x:v>muraenesox cinereus</x:v>
      </x:c>
      <x:c r="O13" s="32" t="n">
        <x:v>4.38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Muraenesox cinereus</x:v>
      </x:c>
      <x:c r="T13" s="32" t="n">
        <x:f>IF(O13="","",(1/'Metadata'!$B$5)^(O13-1))</x:f>
        <x:v>2398.83291901949</x:v>
      </x:c>
      <x:c r="U13" s="31" t="n">
        <x:f>IF(T13="","",I13*T13)</x:f>
        <x:v>46242890.67941342</x:v>
      </x:c>
    </x:row>
    <x:row r="14" ht="18" customHeight="1">
      <x:c r="A14" s="24" t="str">
        <x:v>EEZ_157</x:v>
      </x:c>
      <x:c r="B14" s="24" t="str">
        <x:v>Taiwan</x:v>
      </x:c>
      <x:c r="C14" s="24" t="str">
        <x:v>EEZ</x:v>
      </x:c>
      <x:c r="D14" s="30" t="n">
        <x:v>2019</x:v>
      </x:c>
      <x:c r="E14" s="24" t="str">
        <x:v>Ruvettus pretiosus</x:v>
      </x:c>
      <x:c r="F14" s="24" t="str">
        <x:v>Oilfish</x:v>
      </x:c>
      <x:c r="G14" s="24" t="str">
        <x:v>Large benthopelagics (&gt;=90 cm)</x:v>
      </x:c>
      <x:c r="H14" s="24" t="str">
        <x:v>Perch-likes</x:v>
      </x:c>
      <x:c r="I14" s="31" t="n">
        <x:v>17981.9872104617</x:v>
      </x:c>
      <x:c r="J14" s="31" t="n">
        <x:v>17981.9872104617</x:v>
      </x:c>
      <x:c r="K14" s="31" t="n">
        <x:v>0</x:v>
      </x:c>
      <x:c r="L14" s="31" t="n">
        <x:v>12574.218483879999</x:v>
      </x:c>
      <x:c r="M14" s="31" t="n">
        <x:v>5407.768726581699</x:v>
      </x:c>
      <x:c r="N14" s="24" t="str">
        <x:v>ruvettus pretiosus</x:v>
      </x:c>
      <x:c r="O14" s="32" t="n">
        <x:v>4.18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Ruvettus pretiosus</x:v>
      </x:c>
      <x:c r="T14" s="32" t="n">
        <x:f>IF(O14="","",(1/'Metadata'!$B$5)^(O14-1))</x:f>
        <x:v>1513.5612484362073</x:v>
      </x:c>
      <x:c r="U14" s="31" t="n">
        <x:f>IF(T14="","",I14*T14)</x:f>
        <x:v>27216839.011630323</x:v>
      </x:c>
    </x:row>
    <x:row r="15" ht="18" customHeight="1">
      <x:c r="A15" s="24" t="str">
        <x:v>EEZ_157</x:v>
      </x:c>
      <x:c r="B15" s="24" t="str">
        <x:v>Taiwan</x:v>
      </x:c>
      <x:c r="C15" s="24" t="str">
        <x:v>EEZ</x:v>
      </x:c>
      <x:c r="D15" s="30" t="n">
        <x:v>2019</x:v>
      </x:c>
      <x:c r="E15" s="24" t="str">
        <x:v>Trachysalambria curvirostris</x:v>
      </x:c>
      <x:c r="F15" s="24" t="str">
        <x:v>Southern rough shrimp</x:v>
      </x:c>
      <x:c r="G15" s="24" t="str">
        <x:v>Shrimps</x:v>
      </x:c>
      <x:c r="H15" s="24" t="str">
        <x:v>Crustaceans</x:v>
      </x:c>
      <x:c r="I15" s="31" t="n">
        <x:v>15184.6932308873</x:v>
      </x:c>
      <x:c r="J15" s="31" t="n">
        <x:v>15151.280789722401</x:v>
      </x:c>
      <x:c r="K15" s="31" t="n">
        <x:v>33.4124411649</x:v>
      </x:c>
      <x:c r="L15" s="31" t="n">
        <x:v>15151.280789722401</x:v>
      </x:c>
      <x:c r="M15" s="31" t="n">
        <x:v>33.4124411649</x:v>
      </x:c>
      <x:c r="N15" s="24" t="str">
        <x:v>trachysalambria curvirostris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Trachysalambria curvirostris</x:v>
      </x:c>
      <x:c r="T15" s="32" t="n">
        <x:f>IF(O15="","",(1/'Metadata'!$B$5)^(O15-1))</x:f>
        <x:v>50.11872336272725</x:v>
      </x:c>
      <x:c r="U15" s="31" t="n">
        <x:f>IF(T15="","",I15*T15)</x:f>
        <x:v>761037.4393867177</x:v>
      </x:c>
    </x:row>
    <x:row r="16" ht="18" customHeight="1">
      <x:c r="A16" s="24" t="str">
        <x:v>EEZ_157</x:v>
      </x:c>
      <x:c r="B16" s="24" t="str">
        <x:v>Taiwan</x:v>
      </x:c>
      <x:c r="C16" s="24" t="str">
        <x:v>EEZ</x:v>
      </x:c>
      <x:c r="D16" s="30" t="n">
        <x:v>2019</x:v>
      </x:c>
      <x:c r="E16" s="24" t="str">
        <x:v>Miichthys miiuy</x:v>
      </x:c>
      <x:c r="F16" s="24" t="str">
        <x:v>Mi-iuy croaker</x:v>
      </x:c>
      <x:c r="G16" s="24" t="str">
        <x:v>Medium demersals (30 - 89 cm)</x:v>
      </x:c>
      <x:c r="H16" s="24" t="str">
        <x:v>Perch-likes</x:v>
      </x:c>
      <x:c r="I16" s="31" t="n">
        <x:v>14785.8056966528</x:v>
      </x:c>
      <x:c r="J16" s="31" t="n">
        <x:v>14750.614344678599</x:v>
      </x:c>
      <x:c r="K16" s="31" t="n">
        <x:v>35.1913519742</x:v>
      </x:c>
      <x:c r="L16" s="31" t="n">
        <x:v>14732.5845982742</x:v>
      </x:c>
      <x:c r="M16" s="31" t="n">
        <x:v>53.221098378600004</x:v>
      </x:c>
      <x:c r="N16" s="24" t="str">
        <x:v>miichthys miiuy</x:v>
      </x:c>
      <x:c r="O16" s="32" t="n">
        <x:v>3.5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Miichthys miiuy</x:v>
      </x:c>
      <x:c r="T16" s="32" t="n">
        <x:f>IF(O16="","",(1/'Metadata'!$B$5)^(O16-1))</x:f>
        <x:v>316.22776601683796</x:v>
      </x:c>
      <x:c r="U16" s="31" t="n">
        <x:f>IF(T16="","",I16*T16)</x:f>
        <x:v>4675682.304211551</x:v>
      </x:c>
    </x:row>
    <x:row r="17" ht="18" customHeight="1">
      <x:c r="A17" s="24" t="str">
        <x:v>EEZ_157</x:v>
      </x:c>
      <x:c r="B17" s="24" t="str">
        <x:v>Taiwan</x:v>
      </x:c>
      <x:c r="C17" s="24" t="str">
        <x:v>EEZ</x:v>
      </x:c>
      <x:c r="D17" s="30" t="n">
        <x:v>2019</x:v>
      </x:c>
      <x:c r="E17" s="24" t="str">
        <x:v>Sparidae</x:v>
      </x:c>
      <x:c r="F17" s="24" t="str">
        <x:v>Porgies, seabreams</x:v>
      </x:c>
      <x:c r="G17" s="24" t="str">
        <x:v>Medium benthopelagics (30 - 89 cm)</x:v>
      </x:c>
      <x:c r="H17" s="24" t="str">
        <x:v>Perch-likes</x:v>
      </x:c>
      <x:c r="I17" s="31" t="n">
        <x:v>14174.7173289244</x:v>
      </x:c>
      <x:c r="J17" s="31" t="n">
        <x:v>14164.1590677337</x:v>
      </x:c>
      <x:c r="K17" s="31" t="n">
        <x:v>10.5582611907</x:v>
      </x:c>
      <x:c r="L17" s="31" t="n">
        <x:v>9872.8294952902</x:v>
      </x:c>
      <x:c r="M17" s="31" t="n">
        <x:v>4301.8878336342</x:v>
      </x:c>
      <x:c r="N17" s="24" t="str">
        <x:v>sparidae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Sparidae</x:v>
      </x:c>
      <x:c r="T17" s="32" t="n">
        <x:f>IF(O17="","",(1/'Metadata'!$B$5)^(O17-1))</x:f>
        <x:v>204.17379446695296</x:v>
      </x:c>
      <x:c r="U17" s="31" t="n">
        <x:f>IF(T17="","",I17*T17)</x:f>
        <x:v>2894105.822542967</x:v>
      </x:c>
    </x:row>
    <x:row r="18" ht="18" customHeight="1">
      <x:c r="A18" s="24" t="str">
        <x:v>EEZ_157</x:v>
      </x:c>
      <x:c r="B18" s="24" t="str">
        <x:v>Taiwan</x:v>
      </x:c>
      <x:c r="C18" s="24" t="str">
        <x:v>EEZ</x:v>
      </x:c>
      <x:c r="D18" s="30" t="n">
        <x:v>2019</x:v>
      </x:c>
      <x:c r="E18" s="24" t="str">
        <x:v>Sciaenidae</x:v>
      </x:c>
      <x:c r="F18" s="24" t="str">
        <x:v>Drums, croakers</x:v>
      </x:c>
      <x:c r="G18" s="24" t="str">
        <x:v>Medium demersals (30 - 89 cm)</x:v>
      </x:c>
      <x:c r="H18" s="24" t="str">
        <x:v>Perch-likes</x:v>
      </x:c>
      <x:c r="I18" s="31" t="n">
        <x:v>14017.2778077795</x:v>
      </x:c>
      <x:c r="J18" s="31" t="n">
        <x:v>14000.8569888614</x:v>
      </x:c>
      <x:c r="K18" s="31" t="n">
        <x:v>16.4208189181</x:v>
      </x:c>
      <x:c r="L18" s="31" t="n">
        <x:v>13898.4749351143</x:v>
      </x:c>
      <x:c r="M18" s="31" t="n">
        <x:v>118.8028726652</x:v>
      </x:c>
      <x:c r="N18" s="24" t="str">
        <x:v>sciaenidae</x:v>
      </x:c>
      <x:c r="O18" s="32" t="n">
        <x:v>3.76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Sciaenidae</x:v>
      </x:c>
      <x:c r="T18" s="32" t="n">
        <x:f>IF(O18="","",(1/'Metadata'!$B$5)^(O18-1))</x:f>
        <x:v>575.4399373371566</x:v>
      </x:c>
      <x:c r="U18" s="31" t="n">
        <x:f>IF(T18="","",I18*T18)</x:f>
        <x:v>8066101.463346151</x:v>
      </x:c>
    </x:row>
    <x:row r="19" ht="18" customHeight="1">
      <x:c r="A19" s="24" t="str">
        <x:v>EEZ_157</x:v>
      </x:c>
      <x:c r="B19" s="24" t="str">
        <x:v>Taiwan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13955.1843603902</x:v>
      </x:c>
      <x:c r="J19" s="31" t="n">
        <x:v>13955.1843603902</x:v>
      </x:c>
      <x:c r="K19" s="31" t="n">
        <x:v>0</x:v>
      </x:c>
      <x:c r="L19" s="31" t="n">
        <x:v>13955.1843603902</x:v>
      </x:c>
      <x:c r="M19" s="31" t="n">
        <x:v>0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699416.0244342543</x:v>
      </x:c>
    </x:row>
    <x:row r="20" ht="18" customHeight="1">
      <x:c r="A20" s="24" t="str">
        <x:v>EEZ_157</x:v>
      </x:c>
      <x:c r="B20" s="24" t="str">
        <x:v>Taiwan</x:v>
      </x:c>
      <x:c r="C20" s="24" t="str">
        <x:v>EEZ</x:v>
      </x:c>
      <x:c r="D20" s="30" t="n">
        <x:v>2019</x:v>
      </x:c>
      <x:c r="E20" s="24" t="str">
        <x:v>Decapterus maruadsi</x:v>
      </x:c>
      <x:c r="F20" s="24" t="str">
        <x:v>Japanese scad</x:v>
      </x:c>
      <x:c r="G20" s="24" t="str">
        <x:v>Small pelagics (&lt;30 cm)</x:v>
      </x:c>
      <x:c r="H20" s="24" t="str">
        <x:v>Perch-likes</x:v>
      </x:c>
      <x:c r="I20" s="31" t="n">
        <x:v>13805.4381106252</x:v>
      </x:c>
      <x:c r="J20" s="31" t="n">
        <x:v>12497.971483745</x:v>
      </x:c>
      <x:c r="K20" s="31" t="n">
        <x:v>1307.4666268802</x:v>
      </x:c>
      <x:c r="L20" s="31" t="n">
        <x:v>9809.4298850517</x:v>
      </x:c>
      <x:c r="M20" s="31" t="n">
        <x:v>3996.0082255735</x:v>
      </x:c>
      <x:c r="N20" s="24" t="str">
        <x:v>decapterus maruadsi</x:v>
      </x:c>
      <x:c r="O20" s="32" t="n">
        <x:v>3.4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Decapterus maruadsi</x:v>
      </x:c>
      <x:c r="T20" s="32" t="n">
        <x:f>IF(O20="","",(1/'Metadata'!$B$5)^(O20-1))</x:f>
        <x:v>251.18864315095797</x:v>
      </x:c>
      <x:c r="U20" s="31" t="n">
        <x:f>IF(T20="","",I20*T20)</x:f>
        <x:v>3467769.267112469</x:v>
      </x:c>
    </x:row>
    <x:row r="21" ht="18" customHeight="1">
      <x:c r="A21" s="24" t="str">
        <x:v>EEZ_157</x:v>
      </x:c>
      <x:c r="B21" s="24" t="str">
        <x:v>Taiwan</x:v>
      </x:c>
      <x:c r="C21" s="24" t="str">
        <x:v>EEZ</x:v>
      </x:c>
      <x:c r="D21" s="30" t="n">
        <x:v>2019</x:v>
      </x:c>
      <x:c r="E21" s="24" t="str">
        <x:v>Trachurus japonicus</x:v>
      </x:c>
      <x:c r="F21" s="24" t="str">
        <x:v>Japanese jack mackerel</x:v>
      </x:c>
      <x:c r="G21" s="24" t="str">
        <x:v>Medium demersals (30 - 89 cm)</x:v>
      </x:c>
      <x:c r="H21" s="24" t="str">
        <x:v>Perch-likes</x:v>
      </x:c>
      <x:c r="I21" s="31" t="n">
        <x:v>12796.6067073116</x:v>
      </x:c>
      <x:c r="J21" s="31" t="n">
        <x:v>11977.300407757799</x:v>
      </x:c>
      <x:c r="K21" s="31" t="n">
        <x:v>819.3062995538</x:v>
      </x:c>
      <x:c r="L21" s="31" t="n">
        <x:v>9652.262253801899</x:v>
      </x:c>
      <x:c r="M21" s="31" t="n">
        <x:v>3144.3444535097</x:v>
      </x:c>
      <x:c r="N21" s="24" t="str">
        <x:v>trachurus japonicus</x:v>
      </x:c>
      <x:c r="O21" s="32" t="n">
        <x:v>3.4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Trachurus japonicus</x:v>
      </x:c>
      <x:c r="T21" s="32" t="n">
        <x:f>IF(O21="","",(1/'Metadata'!$B$5)^(O21-1))</x:f>
        <x:v>251.18864315095797</x:v>
      </x:c>
      <x:c r="U21" s="31" t="n">
        <x:f>IF(T21="","",I21*T21)</x:f>
        <x:v>3214362.2757460484</x:v>
      </x:c>
    </x:row>
    <x:row r="22" ht="18" customHeight="1">
      <x:c r="A22" s="24" t="str">
        <x:v>EEZ_157</x:v>
      </x:c>
      <x:c r="B22" s="24" t="str">
        <x:v>Taiwan</x:v>
      </x:c>
      <x:c r="C22" s="24" t="str">
        <x:v>EEZ</x:v>
      </x:c>
      <x:c r="D22" s="30" t="n">
        <x:v>2019</x:v>
      </x:c>
      <x:c r="E22" s="24" t="str">
        <x:v>Squillidae</x:v>
      </x:c>
      <x:c r="F22" s="24" t="str">
        <x:v>Squilla mantis shrimps</x:v>
      </x:c>
      <x:c r="G22" s="24" t="str">
        <x:v>Shrimps</x:v>
      </x:c>
      <x:c r="H22" s="24" t="str">
        <x:v>Crustaceans</x:v>
      </x:c>
      <x:c r="I22" s="31" t="n">
        <x:v>12659.0276800585</x:v>
      </x:c>
      <x:c r="J22" s="31" t="n">
        <x:v>12659.0276800585</x:v>
      </x:c>
      <x:c r="K22" s="31" t="n">
        <x:v>0</x:v>
      </x:c>
      <x:c r="L22" s="31" t="n">
        <x:v>12659.0276800585</x:v>
      </x:c>
      <x:c r="M22" s="31" t="n">
        <x:v>0</x:v>
      </x:c>
      <x:c r="N22" s="24" t="str">
        <x:v>squillidae</x:v>
      </x:c>
      <x:c r="O22" s="32" t="n">
        <x:v>3.5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Squillidae</x:v>
      </x:c>
      <x:c r="T22" s="32" t="n">
        <x:f>IF(O22="","",(1/'Metadata'!$B$5)^(O22-1))</x:f>
        <x:v>316.22776601683796</x:v>
      </x:c>
      <x:c r="U22" s="31" t="n">
        <x:f>IF(T22="","",I22*T22)</x:f>
        <x:v>4003136.0432102145</x:v>
      </x:c>
    </x:row>
    <x:row r="23" ht="18" customHeight="1">
      <x:c r="A23" s="24" t="str">
        <x:v>EEZ_157</x:v>
      </x:c>
      <x:c r="B23" s="24" t="str">
        <x:v>Taiwan</x:v>
      </x:c>
      <x:c r="C23" s="24" t="str">
        <x:v>EEZ</x:v>
      </x:c>
      <x:c r="D23" s="30" t="n">
        <x:v>2019</x:v>
      </x:c>
      <x:c r="E23" s="24" t="str">
        <x:v>Coryphaena hippurus</x:v>
      </x:c>
      <x:c r="F23" s="24" t="str">
        <x:v>Common dolphinfish</x:v>
      </x:c>
      <x:c r="G23" s="24" t="str">
        <x:v>Large pelagics (&gt;=90 cm)</x:v>
      </x:c>
      <x:c r="H23" s="24" t="str">
        <x:v>Perch-likes</x:v>
      </x:c>
      <x:c r="I23" s="31" t="n">
        <x:v>11220.885868044601</x:v>
      </x:c>
      <x:c r="J23" s="31" t="n">
        <x:v>11178.2161700759</x:v>
      </x:c>
      <x:c r="K23" s="31" t="n">
        <x:v>42.6696979687</x:v>
      </x:c>
      <x:c r="L23" s="31" t="n">
        <x:v>7348.4640237624</x:v>
      </x:c>
      <x:c r="M23" s="31" t="n">
        <x:v>3872.4218442822</x:v>
      </x:c>
      <x:c r="N23" s="24" t="str">
        <x:v>coryphaena hippurus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Coryphaena hippurus</x:v>
      </x:c>
      <x:c r="T23" s="32" t="n">
        <x:f>IF(O23="","",(1/'Metadata'!$B$5)^(O23-1))</x:f>
        <x:v>2344.228815319923</x:v>
      </x:c>
      <x:c r="U23" s="31" t="n">
        <x:f>IF(T23="","",I23*T23)</x:f>
        <x:v>26304323.98528626</x:v>
      </x:c>
    </x:row>
    <x:row r="24" ht="18" customHeight="1">
      <x:c r="A24" s="24" t="str">
        <x:v>EEZ_157</x:v>
      </x:c>
      <x:c r="B24" s="24" t="str">
        <x:v>Taiwan</x:v>
      </x:c>
      <x:c r="C24" s="24" t="str">
        <x:v>EEZ</x:v>
      </x:c>
      <x:c r="D24" s="30" t="n">
        <x:v>2019</x:v>
      </x:c>
      <x:c r="E24" s="24" t="str">
        <x:v>Pennahia argentata</x:v>
      </x:c>
      <x:c r="F24" s="24" t="str">
        <x:v>Silver croaker</x:v>
      </x:c>
      <x:c r="G24" s="24" t="str">
        <x:v>Medium benthopelagics (30 - 89 cm)</x:v>
      </x:c>
      <x:c r="H24" s="24" t="str">
        <x:v>Perch-likes</x:v>
      </x:c>
      <x:c r="I24" s="31" t="n">
        <x:v>10977.505182036799</x:v>
      </x:c>
      <x:c r="J24" s="31" t="n">
        <x:v>10868.9834638334</x:v>
      </x:c>
      <x:c r="K24" s="31" t="n">
        <x:v>108.5217182034</x:v>
      </x:c>
      <x:c r="L24" s="31" t="n">
        <x:v>10738.1910955433</x:v>
      </x:c>
      <x:c r="M24" s="31" t="n">
        <x:v>239.3140864935</x:v>
      </x:c>
      <x:c r="N24" s="24" t="str">
        <x:v>pennahia argentata</x:v>
      </x:c>
      <x:c r="O24" s="32" t="n">
        <x:v>3.47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Pennahia argentata</x:v>
      </x:c>
      <x:c r="T24" s="32" t="n">
        <x:f>IF(O24="","",(1/'Metadata'!$B$5)^(O24-1))</x:f>
        <x:v>295.1209226666387</x:v>
      </x:c>
      <x:c r="U24" s="31" t="n">
        <x:f>IF(T24="","",I24*T24)</x:f>
        <x:v>3239691.457900508</x:v>
      </x:c>
    </x:row>
    <x:row r="25" ht="18" customHeight="1">
      <x:c r="A25" s="24" t="str">
        <x:v>EEZ_157</x:v>
      </x:c>
      <x:c r="B25" s="24" t="str">
        <x:v>Taiwan</x:v>
      </x:c>
      <x:c r="C25" s="24" t="str">
        <x:v>EEZ</x:v>
      </x:c>
      <x:c r="D25" s="30" t="n">
        <x:v>2019</x:v>
      </x:c>
      <x:c r="E25" s="24" t="str">
        <x:v>Penaeus chinensis</x:v>
      </x:c>
      <x:c r="F25" s="24" t="str">
        <x:v>Fleshy prawn</x:v>
      </x:c>
      <x:c r="G25" s="24" t="str">
        <x:v>Shrimps</x:v>
      </x:c>
      <x:c r="H25" s="24" t="str">
        <x:v>Crustaceans</x:v>
      </x:c>
      <x:c r="I25" s="31" t="n">
        <x:v>9281.830023537199</x:v>
      </x:c>
      <x:c r="J25" s="31" t="n">
        <x:v>9281.830023537199</x:v>
      </x:c>
      <x:c r="K25" s="31" t="n">
        <x:v>0</x:v>
      </x:c>
      <x:c r="L25" s="31" t="n">
        <x:v>9281.830023537199</x:v>
      </x:c>
      <x:c r="M25" s="31" t="n">
        <x:v>0</x:v>
      </x:c>
      <x:c r="N25" s="24" t="str">
        <x:v>penaeus chinensis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Penaeus chinensis</x:v>
      </x:c>
      <x:c r="T25" s="32" t="n">
        <x:f>IF(O25="","",(1/'Metadata'!$B$5)^(O25-1))</x:f>
        <x:v>10</x:v>
      </x:c>
      <x:c r="U25" s="31" t="n">
        <x:f>IF(T25="","",I25*T25)</x:f>
        <x:v>92818.300235372</x:v>
      </x:c>
    </x:row>
    <x:row r="26" ht="18" customHeight="1">
      <x:c r="A26" s="24" t="str">
        <x:v>EEZ_157</x:v>
      </x:c>
      <x:c r="B26" s="24" t="str">
        <x:v>Taiwan</x:v>
      </x:c>
      <x:c r="C26" s="24" t="str">
        <x:v>EEZ</x:v>
      </x:c>
      <x:c r="D26" s="30" t="n">
        <x:v>2019</x:v>
      </x:c>
      <x:c r="E26" s="24" t="str">
        <x:v>Scomber australasicus</x:v>
      </x:c>
      <x:c r="F26" s="24" t="str">
        <x:v>Blue mackerel</x:v>
      </x:c>
      <x:c r="G26" s="24" t="str">
        <x:v>Medium pelagics (30 - 89 cm)</x:v>
      </x:c>
      <x:c r="H26" s="24" t="str">
        <x:v>Perch-likes</x:v>
      </x:c>
      <x:c r="I26" s="31" t="n">
        <x:v>8924.0278915128</x:v>
      </x:c>
      <x:c r="J26" s="31" t="n">
        <x:v>0</x:v>
      </x:c>
      <x:c r="K26" s="31" t="n">
        <x:v>8924.0278915128</x:v>
      </x:c>
      <x:c r="L26" s="31" t="n">
        <x:v>0</x:v>
      </x:c>
      <x:c r="M26" s="31" t="n">
        <x:v>8924.0278915128</x:v>
      </x:c>
      <x:c r="N26" s="24" t="str">
        <x:v>scomber australasicus</x:v>
      </x:c>
      <x:c r="O26" s="32" t="n">
        <x:v>4.23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 australasicus</x:v>
      </x:c>
      <x:c r="T26" s="32" t="n">
        <x:f>IF(O26="","",(1/'Metadata'!$B$5)^(O26-1))</x:f>
        <x:v>1698.243652461746</x:v>
      </x:c>
      <x:c r="U26" s="31" t="n">
        <x:f>IF(T26="","",I26*T26)</x:f>
        <x:v>15155173.721153192</x:v>
      </x:c>
    </x:row>
    <x:row r="27" ht="18" customHeight="1">
      <x:c r="A27" s="24" t="str">
        <x:v>EEZ_157</x:v>
      </x:c>
      <x:c r="B27" s="24" t="str">
        <x:v>Taiwan</x:v>
      </x:c>
      <x:c r="C27" s="24" t="str">
        <x:v>EEZ</x:v>
      </x:c>
      <x:c r="D27" s="30" t="n">
        <x:v>2019</x:v>
      </x:c>
      <x:c r="E27" s="24" t="str">
        <x:v>Monacanthidae</x:v>
      </x:c>
      <x:c r="F27" s="24" t="str">
        <x:v>Filefishes</x:v>
      </x:c>
      <x:c r="G27" s="24" t="str">
        <x:v>Medium reef assoc. fish (30 - 89 cm)</x:v>
      </x:c>
      <x:c r="H27" s="24" t="str">
        <x:v>Other fishes &amp; inverts</x:v>
      </x:c>
      <x:c r="I27" s="31" t="n">
        <x:v>8026.1899376194</x:v>
      </x:c>
      <x:c r="J27" s="31" t="n">
        <x:v>8026.1899376194</x:v>
      </x:c>
      <x:c r="K27" s="31" t="n">
        <x:v>0</x:v>
      </x:c>
      <x:c r="L27" s="31" t="n">
        <x:v>8026.1899376194</x:v>
      </x:c>
      <x:c r="M27" s="31" t="n">
        <x:v>0</x:v>
      </x:c>
      <x:c r="N27" s="24" t="str">
        <x:v>monacanthidae</x:v>
      </x:c>
      <x:c r="O27" s="32" t="n">
        <x:v>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Monacanthidae</x:v>
      </x:c>
      <x:c r="T27" s="32" t="n">
        <x:f>IF(O27="","",(1/'Metadata'!$B$5)^(O27-1))</x:f>
        <x:v>100</x:v>
      </x:c>
      <x:c r="U27" s="31" t="n">
        <x:f>IF(T27="","",I27*T27)</x:f>
        <x:v>802618.9937619399</x:v>
      </x:c>
    </x:row>
    <x:row r="28" ht="18" customHeight="1">
      <x:c r="A28" s="24" t="str">
        <x:v>EEZ_157</x:v>
      </x:c>
      <x:c r="B28" s="24" t="str">
        <x:v>Taiwan</x:v>
      </x:c>
      <x:c r="C28" s="24" t="str">
        <x:v>EEZ</x:v>
      </x:c>
      <x:c r="D28" s="30" t="n">
        <x:v>2019</x:v>
      </x:c>
      <x:c r="E28" s="24" t="str">
        <x:v>Teuthida</x:v>
      </x:c>
      <x:c r="F28" s="24" t="str">
        <x:v>Squids</x:v>
      </x:c>
      <x:c r="G28" s="24" t="str">
        <x:v>Cephalopods</x:v>
      </x:c>
      <x:c r="H28" s="24" t="str">
        <x:v>Other fishes &amp; inverts</x:v>
      </x:c>
      <x:c r="I28" s="31" t="n">
        <x:v>7897.9702110196</x:v>
      </x:c>
      <x:c r="J28" s="31" t="n">
        <x:v>7897.9702110196</x:v>
      </x:c>
      <x:c r="K28" s="31" t="n">
        <x:v>0</x:v>
      </x:c>
      <x:c r="L28" s="31" t="n">
        <x:v>7897.9702110196</x:v>
      </x:c>
      <x:c r="M28" s="31" t="n">
        <x:v>0</x:v>
      </x:c>
      <x:c r="N28" s="24" t="str">
        <x:v>teuthida</x:v>
      </x:c>
      <x:c r="O28" s="32" t="n">
        <x:v>4.13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Teuthida</x:v>
      </x:c>
      <x:c r="T28" s="32" t="n">
        <x:f>IF(O28="","",(1/'Metadata'!$B$5)^(O28-1))</x:f>
        <x:v>1348.9628825916532</x:v>
      </x:c>
      <x:c r="U28" s="31" t="n">
        <x:f>IF(T28="","",I28*T28)</x:f>
        <x:v>10654068.662480008</x:v>
      </x:c>
    </x:row>
    <x:row r="29" ht="18" customHeight="1">
      <x:c r="A29" s="24" t="str">
        <x:v>EEZ_157</x:v>
      </x:c>
      <x:c r="B29" s="24" t="str">
        <x:v>Taiwan</x:v>
      </x:c>
      <x:c r="C29" s="24" t="str">
        <x:v>EEZ</x:v>
      </x:c>
      <x:c r="D29" s="30" t="n">
        <x:v>2019</x:v>
      </x:c>
      <x:c r="E29" s="24" t="str">
        <x:v>Decapoda</x:v>
      </x:c>
      <x:c r="F29" s="24" t="str">
        <x:v>Crabs, lobsters, shrimps</x:v>
      </x:c>
      <x:c r="G29" s="24" t="str">
        <x:v>Lobsters, crabs</x:v>
      </x:c>
      <x:c r="H29" s="24" t="str">
        <x:v>Crustaceans</x:v>
      </x:c>
      <x:c r="I29" s="31" t="n">
        <x:v>7568.861117809301</x:v>
      </x:c>
      <x:c r="J29" s="31" t="n">
        <x:v>7385.8446746068</x:v>
      </x:c>
      <x:c r="K29" s="31" t="n">
        <x:v>183.0164432025</x:v>
      </x:c>
      <x:c r="L29" s="31" t="n">
        <x:v>7385.8446746068</x:v>
      </x:c>
      <x:c r="M29" s="31" t="n">
        <x:v>183.0164432025</x:v>
      </x:c>
      <x:c r="N29" s="24" t="str">
        <x:v>decapoda</x:v>
      </x:c>
      <x:c r="O29" s="32" t="n">
        <x:v>3.43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Decapoda</x:v>
      </x:c>
      <x:c r="T29" s="32" t="n">
        <x:f>IF(O29="","",(1/'Metadata'!$B$5)^(O29-1))</x:f>
        <x:v>269.1534803926917</x:v>
      </x:c>
      <x:c r="U29" s="31" t="n">
        <x:f>IF(T29="","",I29*T29)</x:f>
        <x:v>2037185.312467292</x:v>
      </x:c>
    </x:row>
    <x:row r="30" ht="18" customHeight="1">
      <x:c r="A30" s="24" t="str">
        <x:v>EEZ_157</x:v>
      </x:c>
      <x:c r="B30" s="24" t="str">
        <x:v>Taiwan</x:v>
      </x:c>
      <x:c r="C30" s="24" t="str">
        <x:v>EEZ</x:v>
      </x:c>
      <x:c r="D30" s="30" t="n">
        <x:v>2019</x:v>
      </x:c>
      <x:c r="E30" s="24" t="str">
        <x:v>Larimichthys crocea</x:v>
      </x:c>
      <x:c r="F30" s="24" t="str">
        <x:v>Large yellow croaker</x:v>
      </x:c>
      <x:c r="G30" s="24" t="str">
        <x:v>Medium benthopelagics (30 - 89 cm)</x:v>
      </x:c>
      <x:c r="H30" s="24" t="str">
        <x:v>Perch-likes</x:v>
      </x:c>
      <x:c r="I30" s="31" t="n">
        <x:v>7293.8279645798</x:v>
      </x:c>
      <x:c r="J30" s="31" t="n">
        <x:v>7288.7573854503</x:v>
      </x:c>
      <x:c r="K30" s="31" t="n">
        <x:v>5.0705791295000004</x:v>
      </x:c>
      <x:c r="L30" s="31" t="n">
        <x:v>7245.3494970688</x:v>
      </x:c>
      <x:c r="M30" s="31" t="n">
        <x:v>48.478467511000005</x:v>
      </x:c>
      <x:c r="N30" s="24" t="str">
        <x:v>larimichthys crocea</x:v>
      </x:c>
      <x:c r="O30" s="32" t="n">
        <x:v>3.72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Larimichthys crocea</x:v>
      </x:c>
      <x:c r="T30" s="32" t="n">
        <x:f>IF(O30="","",(1/'Metadata'!$B$5)^(O30-1))</x:f>
        <x:v>524.8074602497728</x:v>
      </x:c>
      <x:c r="U30" s="31" t="n">
        <x:f>IF(T30="","",I30*T30)</x:f>
        <x:v>3827855.329589895</x:v>
      </x:c>
    </x:row>
    <x:row r="31" ht="18" customHeight="1">
      <x:c r="A31" s="24" t="str">
        <x:v>EEZ_157</x:v>
      </x:c>
      <x:c r="B31" s="24" t="str">
        <x:v>Taiwan</x:v>
      </x:c>
      <x:c r="C31" s="24" t="str">
        <x:v>EEZ</x:v>
      </x:c>
      <x:c r="D31" s="30" t="n">
        <x:v>2019</x:v>
      </x:c>
      <x:c r="E31" s="24" t="str">
        <x:v>Sepiida</x:v>
      </x:c>
      <x:c r="F31" s="24" t="str">
        <x:v>Cuttlefishes, bobtail squids</x:v>
      </x:c>
      <x:c r="G31" s="24" t="str">
        <x:v>Cephalopods</x:v>
      </x:c>
      <x:c r="H31" s="24" t="str">
        <x:v>Other fishes &amp; inverts</x:v>
      </x:c>
      <x:c r="I31" s="31" t="n">
        <x:v>7282.1745097022995</x:v>
      </x:c>
      <x:c r="J31" s="31" t="n">
        <x:v>7282.1745097022995</x:v>
      </x:c>
      <x:c r="K31" s="31" t="n">
        <x:v>0</x:v>
      </x:c>
      <x:c r="L31" s="31" t="n">
        <x:v>7282.1745097022995</x:v>
      </x:c>
      <x:c r="M31" s="31" t="n">
        <x:v>0</x:v>
      </x:c>
      <x:c r="N31" s="24" t="str">
        <x:v>sepiida</x:v>
      </x:c>
      <x:c r="O31" s="32" t="n">
        <x:v>3.7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Sepiida</x:v>
      </x:c>
      <x:c r="T31" s="32" t="n">
        <x:f>IF(O31="","",(1/'Metadata'!$B$5)^(O31-1))</x:f>
        <x:v>501.18723362727246</x:v>
      </x:c>
      <x:c r="U31" s="31" t="n">
        <x:f>IF(T31="","",I31*T31)</x:f>
        <x:v>3649732.8973087347</x:v>
      </x:c>
    </x:row>
    <x:row r="32" ht="18" customHeight="1">
      <x:c r="A32" s="24" t="str">
        <x:v>EEZ_157</x:v>
      </x:c>
      <x:c r="B32" s="24" t="str">
        <x:v>Taiwan</x:v>
      </x:c>
      <x:c r="C32" s="24" t="str">
        <x:v>EEZ</x:v>
      </x:c>
      <x:c r="D32" s="30" t="n">
        <x:v>2019</x:v>
      </x:c>
      <x:c r="E32" s="24" t="str">
        <x:v>Epinephelus</x:v>
      </x:c>
      <x:c r="F32" s="24" t="str">
        <x:v>Seabasses, hinds</x:v>
      </x:c>
      <x:c r="G32" s="24" t="str">
        <x:v>Medium reef assoc. fish (30 - 89 cm)</x:v>
      </x:c>
      <x:c r="H32" s="24" t="str">
        <x:v>Perch-likes</x:v>
      </x:c>
      <x:c r="I32" s="31" t="n">
        <x:v>6962.3304624016</x:v>
      </x:c>
      <x:c r="J32" s="31" t="n">
        <x:v>6962.3304624016</x:v>
      </x:c>
      <x:c r="K32" s="31" t="n">
        <x:v>0</x:v>
      </x:c>
      <x:c r="L32" s="31" t="n">
        <x:v>6768.1182733387</x:v>
      </x:c>
      <x:c r="M32" s="31" t="n">
        <x:v>194.2121890629</x:v>
      </x:c>
      <x:c r="N32" s="24" t="str">
        <x:v>epinephelus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Epinephelus</x:v>
      </x:c>
      <x:c r="T32" s="32" t="n">
        <x:f>IF(O32="","",(1/'Metadata'!$B$5)^(O32-1))</x:f>
        <x:v>691.8309709189363</x:v>
      </x:c>
      <x:c r="U32" s="31" t="n">
        <x:f>IF(T32="","",I32*T32)</x:f>
        <x:v>4816755.843661785</x:v>
      </x:c>
    </x:row>
    <x:row r="33" ht="18" customHeight="1">
      <x:c r="A33" s="24" t="str">
        <x:v>EEZ_157</x:v>
      </x:c>
      <x:c r="B33" s="24" t="str">
        <x:v>Taiwan</x:v>
      </x:c>
      <x:c r="C33" s="24" t="str">
        <x:v>EEZ</x:v>
      </x:c>
      <x:c r="D33" s="30" t="n">
        <x:v>2019</x:v>
      </x:c>
      <x:c r="E33" s="24" t="str">
        <x:v>Ilisha elongata</x:v>
      </x:c>
      <x:c r="F33" s="24" t="str">
        <x:v>Elongate ilisha</x:v>
      </x:c>
      <x:c r="G33" s="24" t="str">
        <x:v>Medium pelagics (30 - 89 cm)</x:v>
      </x:c>
      <x:c r="H33" s="24" t="str">
        <x:v>Herring-likes</x:v>
      </x:c>
      <x:c r="I33" s="31" t="n">
        <x:v>6308.3581616693</x:v>
      </x:c>
      <x:c r="J33" s="31" t="n">
        <x:v>6308.3581616693</x:v>
      </x:c>
      <x:c r="K33" s="31" t="n">
        <x:v>0</x:v>
      </x:c>
      <x:c r="L33" s="31" t="n">
        <x:v>6308.3581616693</x:v>
      </x:c>
      <x:c r="M33" s="31" t="n">
        <x:v>0</x:v>
      </x:c>
      <x:c r="N33" s="24" t="str">
        <x:v>ilisha elongata</x:v>
      </x:c>
      <x:c r="O33" s="32" t="n">
        <x:v>3.79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Ilisha elongata</x:v>
      </x:c>
      <x:c r="T33" s="32" t="n">
        <x:f>IF(O33="","",(1/'Metadata'!$B$5)^(O33-1))</x:f>
        <x:v>616.5950018614822</x:v>
      </x:c>
      <x:c r="U33" s="31" t="n">
        <x:f>IF(T33="","",I33*T33)</x:f>
        <x:v>3889702.112437378</x:v>
      </x:c>
    </x:row>
    <x:row r="34" ht="18" customHeight="1">
      <x:c r="A34" s="24" t="str">
        <x:v>EEZ_157</x:v>
      </x:c>
      <x:c r="B34" s="24" t="str">
        <x:v>Taiwan</x:v>
      </x:c>
      <x:c r="C34" s="24" t="str">
        <x:v>EEZ</x:v>
      </x:c>
      <x:c r="D34" s="30" t="n">
        <x:v>2019</x:v>
      </x:c>
      <x:c r="E34" s="24" t="str">
        <x:v>Planiliza haematocheilus</x:v>
      </x:c>
      <x:c r="F34" s="24" t="str">
        <x:v>So-iny mullet</x:v>
      </x:c>
      <x:c r="G34" s="24" t="str">
        <x:v>Medium demersals (30 - 89 cm)</x:v>
      </x:c>
      <x:c r="H34" s="24" t="str">
        <x:v>Perch-likes</x:v>
      </x:c>
      <x:c r="I34" s="31" t="n">
        <x:v>6167.0969067873</x:v>
      </x:c>
      <x:c r="J34" s="31" t="n">
        <x:v>6167.0969067873</x:v>
      </x:c>
      <x:c r="K34" s="31" t="n">
        <x:v>0</x:v>
      </x:c>
      <x:c r="L34" s="31" t="n">
        <x:v>6167.0969067873</x:v>
      </x:c>
      <x:c r="M34" s="31" t="n">
        <x:v>0</x:v>
      </x:c>
      <x:c r="N34" s="24" t="str">
        <x:v>planiliza haematocheilus</x:v>
      </x:c>
      <x:c r="O34" s="32" t="n">
        <x:v>2.5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Planiliza haematocheilus</x:v>
      </x:c>
      <x:c r="T34" s="32" t="n">
        <x:f>IF(O34="","",(1/'Metadata'!$B$5)^(O34-1))</x:f>
        <x:v>31.622776601683793</x:v>
      </x:c>
      <x:c r="U34" s="31" t="n">
        <x:f>IF(T34="","",I34*T34)</x:f>
        <x:v>195020.72776426992</x:v>
      </x:c>
    </x:row>
    <x:row r="35" ht="18" customHeight="1">
      <x:c r="A35" s="24" t="str">
        <x:v>EEZ_157</x:v>
      </x:c>
      <x:c r="B35" s="24" t="str">
        <x:v>Taiwan</x:v>
      </x:c>
      <x:c r="C35" s="24" t="str">
        <x:v>EEZ</x:v>
      </x:c>
      <x:c r="D35" s="30" t="n">
        <x:v>2019</x:v>
      </x:c>
      <x:c r="E35" s="24" t="str">
        <x:v>Larimichthys polyactis</x:v>
      </x:c>
      <x:c r="F35" s="24" t="str">
        <x:v>Yellow croaker</x:v>
      </x:c>
      <x:c r="G35" s="24" t="str">
        <x:v>Medium benthopelagics (30 - 89 cm)</x:v>
      </x:c>
      <x:c r="H35" s="24" t="str">
        <x:v>Perch-likes</x:v>
      </x:c>
      <x:c r="I35" s="31" t="n">
        <x:v>6078.8595412178</x:v>
      </x:c>
      <x:c r="J35" s="31" t="n">
        <x:v>6069.6285011934</x:v>
      </x:c>
      <x:c r="K35" s="31" t="n">
        <x:v>9.2310400244</x:v>
      </x:c>
      <x:c r="L35" s="31" t="n">
        <x:v>6013.5734538902</x:v>
      </x:c>
      <x:c r="M35" s="31" t="n">
        <x:v>65.2860873276</x:v>
      </x:c>
      <x:c r="N35" s="24" t="str">
        <x:v>larimichthys polyactis</x:v>
      </x:c>
      <x:c r="O35" s="32" t="n">
        <x:v>3.64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Larimichthys polyactis</x:v>
      </x:c>
      <x:c r="T35" s="32" t="n">
        <x:f>IF(O35="","",(1/'Metadata'!$B$5)^(O35-1))</x:f>
        <x:v>436.5158322401661</x:v>
      </x:c>
      <x:c r="U35" s="31" t="n">
        <x:f>IF(T35="","",I35*T35)</x:f>
        <x:v>2653518.431705762</x:v>
      </x:c>
    </x:row>
    <x:row r="36" ht="18" customHeight="1">
      <x:c r="A36" s="24" t="str">
        <x:v>EEZ_157</x:v>
      </x:c>
      <x:c r="B36" s="24" t="str">
        <x:v>Taiwan</x:v>
      </x:c>
      <x:c r="C36" s="24" t="str">
        <x:v>EEZ</x:v>
      </x:c>
      <x:c r="D36" s="30" t="n">
        <x:v>2019</x:v>
      </x:c>
      <x:c r="E36" s="24" t="str">
        <x:v>Dendrobranchiata</x:v>
      </x:c>
      <x:c r="F36" s="24" t="str">
        <x:v>Shrimps and prawns</x:v>
      </x:c>
      <x:c r="G36" s="24" t="str">
        <x:v>Shrimps</x:v>
      </x:c>
      <x:c r="H36" s="24" t="str">
        <x:v>Crustaceans</x:v>
      </x:c>
      <x:c r="I36" s="31" t="n">
        <x:v>5878.4260348056</x:v>
      </x:c>
      <x:c r="J36" s="31" t="n">
        <x:v>5542.5073788733</x:v>
      </x:c>
      <x:c r="K36" s="31" t="n">
        <x:v>335.9186559323</x:v>
      </x:c>
      <x:c r="L36" s="31" t="n">
        <x:v>4028.0169391554</x:v>
      </x:c>
      <x:c r="M36" s="31" t="n">
        <x:v>1850.4090956501998</x:v>
      </x:c>
      <x:c r="N36" s="24" t="str">
        <x:v>dendrobranchiata</x:v>
      </x:c>
      <x:c r="O36" s="32" t="n">
        <x:v>3.24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Dendrobranchiata</x:v>
      </x:c>
      <x:c r="T36" s="32" t="n">
        <x:f>IF(O36="","",(1/'Metadata'!$B$5)^(O36-1))</x:f>
        <x:v>173.78008287493762</x:v>
      </x:c>
      <x:c r="U36" s="31" t="n">
        <x:f>IF(T36="","",I36*T36)</x:f>
        <x:v>1021553.363502708</x:v>
      </x:c>
    </x:row>
    <x:row r="37" ht="18" customHeight="1">
      <x:c r="A37" s="24" t="str">
        <x:v>EEZ_157</x:v>
      </x:c>
      <x:c r="B37" s="24" t="str">
        <x:v>Taiwan</x:v>
      </x:c>
      <x:c r="C37" s="24" t="str">
        <x:v>EEZ</x:v>
      </x:c>
      <x:c r="D37" s="30" t="n">
        <x:v>2019</x:v>
      </x:c>
      <x:c r="E37" s="24" t="str">
        <x:v>Octopoda</x:v>
      </x:c>
      <x:c r="F37" s="24" t="str">
        <x:v>Octopuses, argonauts</x:v>
      </x:c>
      <x:c r="G37" s="24" t="str">
        <x:v>Cephalopods</x:v>
      </x:c>
      <x:c r="H37" s="24" t="str">
        <x:v>Other fishes &amp; inverts</x:v>
      </x:c>
      <x:c r="I37" s="31" t="n">
        <x:v>5147.593409033901</x:v>
      </x:c>
      <x:c r="J37" s="31" t="n">
        <x:v>5147.593409033901</x:v>
      </x:c>
      <x:c r="K37" s="31" t="n">
        <x:v>0</x:v>
      </x:c>
      <x:c r="L37" s="31" t="n">
        <x:v>5147.593409033901</x:v>
      </x:c>
      <x:c r="M37" s="31" t="n">
        <x:v>0</x:v>
      </x:c>
      <x:c r="N37" s="24" t="str">
        <x:v>octopoda</x:v>
      </x:c>
      <x:c r="O37" s="32" t="n">
        <x:v>3.58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Octopoda</x:v>
      </x:c>
      <x:c r="T37" s="32" t="n">
        <x:f>IF(O37="","",(1/'Metadata'!$B$5)^(O37-1))</x:f>
        <x:v>380.1893963205613</x:v>
      </x:c>
      <x:c r="U37" s="31" t="n">
        <x:f>IF(T37="","",I37*T37)</x:f>
        <x:v>1957060.4306842987</x:v>
      </x:c>
    </x:row>
    <x:row r="38" ht="18" customHeight="1">
      <x:c r="A38" s="24" t="str">
        <x:v>EEZ_157</x:v>
      </x:c>
      <x:c r="B38" s="24" t="str">
        <x:v>Taiwan</x:v>
      </x:c>
      <x:c r="C38" s="24" t="str">
        <x:v>EEZ</x:v>
      </x:c>
      <x:c r="D38" s="30" t="n">
        <x:v>2019</x:v>
      </x:c>
      <x:c r="E38" s="24" t="str">
        <x:v>Mugil cephalus</x:v>
      </x:c>
      <x:c r="F38" s="24" t="str">
        <x:v>Flathead grey mullet</x:v>
      </x:c>
      <x:c r="G38" s="24" t="str">
        <x:v>Large benthopelagics (&gt;=90 cm)</x:v>
      </x:c>
      <x:c r="H38" s="24" t="str">
        <x:v>Perch-likes</x:v>
      </x:c>
      <x:c r="I38" s="31" t="n">
        <x:v>5145.528301579</x:v>
      </x:c>
      <x:c r="J38" s="31" t="n">
        <x:v>5130.8955751416</x:v>
      </x:c>
      <x:c r="K38" s="31" t="n">
        <x:v>14.632726437399999</x:v>
      </x:c>
      <x:c r="L38" s="31" t="n">
        <x:v>4508.667960693</x:v>
      </x:c>
      <x:c r="M38" s="31" t="n">
        <x:v>636.860340886</x:v>
      </x:c>
      <x:c r="N38" s="24" t="str">
        <x:v>mugil cephalus</x:v>
      </x:c>
      <x:c r="O38" s="32" t="n">
        <x:v>2.14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Mugil cephalus</x:v>
      </x:c>
      <x:c r="T38" s="32" t="n">
        <x:f>IF(O38="","",(1/'Metadata'!$B$5)^(O38-1))</x:f>
        <x:v>13.803842646028853</x:v>
      </x:c>
      <x:c r="U38" s="31" t="n">
        <x:f>IF(T38="","",I38*T38)</x:f>
        <x:v>71028.06300568461</x:v>
      </x:c>
    </x:row>
    <x:row r="39" ht="18" customHeight="1">
      <x:c r="A39" s="24" t="str">
        <x:v>EEZ_157</x:v>
      </x:c>
      <x:c r="B39" s="24" t="str">
        <x:v>Taiwan</x:v>
      </x:c>
      <x:c r="C39" s="24" t="str">
        <x:v>EEZ</x:v>
      </x:c>
      <x:c r="D39" s="30" t="n">
        <x:v>2019</x:v>
      </x:c>
      <x:c r="E39" s="24" t="str">
        <x:v>Auxis</x:v>
      </x:c>
      <x:c r="F39" s="24" t="str">
        <x:v>Bullet and frigate tunas</x:v>
      </x:c>
      <x:c r="G39" s="24" t="str">
        <x:v>Medium pelagics (30 - 89 cm)</x:v>
      </x:c>
      <x:c r="H39" s="24" t="str">
        <x:v>Tuna &amp; billfishes</x:v>
      </x:c>
      <x:c r="I39" s="31" t="n">
        <x:v>4974.5670571022</x:v>
      </x:c>
      <x:c r="J39" s="31" t="n">
        <x:v>4974.5670571022</x:v>
      </x:c>
      <x:c r="K39" s="31" t="n">
        <x:v>0</x:v>
      </x:c>
      <x:c r="L39" s="31" t="n">
        <x:v>3228.61353227</x:v>
      </x:c>
      <x:c r="M39" s="31" t="n">
        <x:v>1745.9535248322</x:v>
      </x:c>
      <x:c r="N39" s="24" t="str">
        <x:v>auxis</x:v>
      </x:c>
      <x:c r="O39" s="32" t="n">
        <x:v>4.24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Auxis</x:v>
      </x:c>
      <x:c r="T39" s="32" t="n">
        <x:f>IF(O39="","",(1/'Metadata'!$B$5)^(O39-1))</x:f>
        <x:v>1737.8008287493763</x:v>
      </x:c>
      <x:c r="U39" s="31" t="n">
        <x:f>IF(T39="","",I39*T39)</x:f>
        <x:v>8644806.75450155</x:v>
      </x:c>
    </x:row>
    <x:row r="40" ht="18" customHeight="1">
      <x:c r="A40" s="24" t="str">
        <x:v>EEZ_157</x:v>
      </x:c>
      <x:c r="B40" s="24" t="str">
        <x:v>Taiwan</x:v>
      </x:c>
      <x:c r="C40" s="24" t="str">
        <x:v>EEZ</x:v>
      </x:c>
      <x:c r="D40" s="30" t="n">
        <x:v>2019</x:v>
      </x:c>
      <x:c r="E40" s="24" t="str">
        <x:v>Sardinops sagax</x:v>
      </x:c>
      <x:c r="F40" s="24" t="str">
        <x:v>South American pilchard</x:v>
      </x:c>
      <x:c r="G40" s="24" t="str">
        <x:v>Medium pelagics (30 - 89 cm)</x:v>
      </x:c>
      <x:c r="H40" s="24" t="str">
        <x:v>Herring-likes</x:v>
      </x:c>
      <x:c r="I40" s="31" t="n">
        <x:v>4415.7860903697</x:v>
      </x:c>
      <x:c r="J40" s="31" t="n">
        <x:v>4415.7860903697</x:v>
      </x:c>
      <x:c r="K40" s="31" t="n">
        <x:v>0</x:v>
      </x:c>
      <x:c r="L40" s="31" t="n">
        <x:v>4415.7860903697</x:v>
      </x:c>
      <x:c r="M40" s="31" t="n">
        <x:v>0</x:v>
      </x:c>
      <x:c r="N40" s="24" t="str">
        <x:v>sardinops sagax</x:v>
      </x:c>
      <x:c r="O40" s="32" t="n">
        <x:v>2.84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Sardinops sagax</x:v>
      </x:c>
      <x:c r="T40" s="32" t="n">
        <x:f>IF(O40="","",(1/'Metadata'!$B$5)^(O40-1))</x:f>
        <x:v>69.18309709189363</x:v>
      </x:c>
      <x:c r="U40" s="31" t="n">
        <x:f>IF(T40="","",I40*T40)</x:f>
        <x:v>305497.7578270803</x:v>
      </x:c>
    </x:row>
    <x:row r="41" ht="18" customHeight="1">
      <x:c r="A41" s="24" t="str">
        <x:v>EEZ_157</x:v>
      </x:c>
      <x:c r="B41" s="24" t="str">
        <x:v>Taiwan</x:v>
      </x:c>
      <x:c r="C41" s="24" t="str">
        <x:v>EEZ</x:v>
      </x:c>
      <x:c r="D41" s="30" t="n">
        <x:v>2019</x:v>
      </x:c>
      <x:c r="E41" s="24" t="str">
        <x:v>Cephalopoda</x:v>
      </x:c>
      <x:c r="F41" s="24" t="str">
        <x:v>Squids, cuttlefishes, octopuses</x:v>
      </x:c>
      <x:c r="G41" s="24" t="str">
        <x:v>Cephalopods</x:v>
      </x:c>
      <x:c r="H41" s="24" t="str">
        <x:v>Other fishes &amp; inverts</x:v>
      </x:c>
      <x:c r="I41" s="31" t="n">
        <x:v>4200.6419168270995</x:v>
      </x:c>
      <x:c r="J41" s="31" t="n">
        <x:v>4200.6419168270995</x:v>
      </x:c>
      <x:c r="K41" s="31" t="n">
        <x:v>0</x:v>
      </x:c>
      <x:c r="L41" s="31" t="n">
        <x:v>3419.597046449</x:v>
      </x:c>
      <x:c r="M41" s="31" t="n">
        <x:v>781.0448703781</x:v>
      </x:c>
      <x:c r="N41" s="24" t="str">
        <x:v>cephalopoda</x:v>
      </x:c>
      <x:c r="O41" s="32" t="n">
        <x:v>3.81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Cephalopoda</x:v>
      </x:c>
      <x:c r="T41" s="32" t="n">
        <x:f>IF(O41="","",(1/'Metadata'!$B$5)^(O41-1))</x:f>
        <x:v>645.6542290346556</x:v>
      </x:c>
      <x:c r="U41" s="31" t="n">
        <x:f>IF(T41="","",I41*T41)</x:f>
        <x:v>2712162.2182596587</x:v>
      </x:c>
    </x:row>
    <x:row r="42" ht="18" customHeight="1">
      <x:c r="A42" s="24" t="str">
        <x:v>EEZ_157</x:v>
      </x:c>
      <x:c r="B42" s="24" t="str">
        <x:v>Taiwan</x:v>
      </x:c>
      <x:c r="C42" s="24" t="str">
        <x:v>EEZ</x:v>
      </x:c>
      <x:c r="D42" s="30" t="n">
        <x:v>2019</x:v>
      </x:c>
      <x:c r="E42" s="24" t="str">
        <x:v>Portunus pelagicus</x:v>
      </x:c>
      <x:c r="F42" s="24" t="str">
        <x:v>Blue swimming crab</x:v>
      </x:c>
      <x:c r="G42" s="24" t="str">
        <x:v>Lobsters, crabs</x:v>
      </x:c>
      <x:c r="H42" s="24" t="str">
        <x:v>Crustaceans</x:v>
      </x:c>
      <x:c r="I42" s="31" t="n">
        <x:v>4072.0967957626</x:v>
      </x:c>
      <x:c r="J42" s="31" t="n">
        <x:v>3988.255072676</x:v>
      </x:c>
      <x:c r="K42" s="31" t="n">
        <x:v>83.8417230866</x:v>
      </x:c>
      <x:c r="L42" s="31" t="n">
        <x:v>3988.255072676</x:v>
      </x:c>
      <x:c r="M42" s="31" t="n">
        <x:v>83.8417230866</x:v>
      </x:c>
      <x:c r="N42" s="24" t="str">
        <x:v>portunus pelagicus</x:v>
      </x:c>
      <x:c r="O42" s="32" t="n">
        <x:v>2.48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Portunus pelagicus</x:v>
      </x:c>
      <x:c r="T42" s="32" t="n">
        <x:f>IF(O42="","",(1/'Metadata'!$B$5)^(O42-1))</x:f>
        <x:v>30.19951720402016</x:v>
      </x:c>
      <x:c r="U42" s="31" t="n">
        <x:f>IF(T42="","",I42*T42)</x:f>
        <x:v>122975.35724006801</x:v>
      </x:c>
    </x:row>
    <x:row r="43" ht="18" customHeight="1">
      <x:c r="A43" s="24" t="str">
        <x:v>EEZ_157</x:v>
      </x:c>
      <x:c r="B43" s="24" t="str">
        <x:v>Taiwan</x:v>
      </x:c>
      <x:c r="C43" s="24" t="str">
        <x:v>EEZ</x:v>
      </x:c>
      <x:c r="D43" s="30" t="n">
        <x:v>2019</x:v>
      </x:c>
      <x:c r="E43" s="24" t="str">
        <x:v>Mugilidae</x:v>
      </x:c>
      <x:c r="F43" s="24" t="str">
        <x:v>Mullets, grey mullets</x:v>
      </x:c>
      <x:c r="G43" s="24" t="str">
        <x:v>Medium reef assoc. fish (30 - 89 cm)</x:v>
      </x:c>
      <x:c r="H43" s="24" t="str">
        <x:v>Perch-likes</x:v>
      </x:c>
      <x:c r="I43" s="31" t="n">
        <x:v>3948.9632</x:v>
      </x:c>
      <x:c r="J43" s="31" t="n">
        <x:v>3948.9632</x:v>
      </x:c>
      <x:c r="K43" s="31" t="n">
        <x:v>0</x:v>
      </x:c>
      <x:c r="L43" s="31" t="n">
        <x:v>0</x:v>
      </x:c>
      <x:c r="M43" s="31" t="n">
        <x:v>3948.9632</x:v>
      </x:c>
      <x:c r="N43" s="24" t="str">
        <x:v>mugilidae</x:v>
      </x:c>
      <x:c r="O43" s="32" t="n">
        <x:v>2.53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Mugilidae</x:v>
      </x:c>
      <x:c r="T43" s="32" t="n">
        <x:f>IF(O43="","",(1/'Metadata'!$B$5)^(O43-1))</x:f>
        <x:v>33.88441561392024</x:v>
      </x:c>
      <x:c r="U43" s="31" t="n">
        <x:f>IF(T43="","",I43*T43)</x:f>
        <x:v>133808.31031287645</x:v>
      </x:c>
    </x:row>
    <x:row r="44" ht="18" customHeight="1">
      <x:c r="A44" s="24" t="str">
        <x:v>EEZ_157</x:v>
      </x:c>
      <x:c r="B44" s="24" t="str">
        <x:v>Taiwan</x:v>
      </x:c>
      <x:c r="C44" s="24" t="str">
        <x:v>EEZ</x:v>
      </x:c>
      <x:c r="D44" s="30" t="n">
        <x:v>2019</x:v>
      </x:c>
      <x:c r="E44" s="24" t="str">
        <x:v>Bivalvia</x:v>
      </x:c>
      <x:c r="F44" s="24" t="str">
        <x:v>Clams</x:v>
      </x:c>
      <x:c r="G44" s="24" t="str">
        <x:v>Other demersal invertebrates</x:v>
      </x:c>
      <x:c r="H44" s="24" t="str">
        <x:v>Molluscs</x:v>
      </x:c>
      <x:c r="I44" s="31" t="n">
        <x:v>3948.9632</x:v>
      </x:c>
      <x:c r="J44" s="31" t="n">
        <x:v>3948.9632</x:v>
      </x:c>
      <x:c r="K44" s="31" t="n">
        <x:v>0</x:v>
      </x:c>
      <x:c r="L44" s="31" t="n">
        <x:v>0</x:v>
      </x:c>
      <x:c r="M44" s="31" t="n">
        <x:v>3948.9632</x:v>
      </x:c>
      <x:c r="N44" s="24" t="str">
        <x:v>bivalvia</x:v>
      </x:c>
      <x:c r="O44" s="32" t="n">
        <x:v>2.23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Bivalvia</x:v>
      </x:c>
      <x:c r="T44" s="32" t="n">
        <x:f>IF(O44="","",(1/'Metadata'!$B$5)^(O44-1))</x:f>
        <x:v>16.982436524617444</x:v>
      </x:c>
      <x:c r="U44" s="31" t="n">
        <x:f>IF(T44="","",I44*T44)</x:f>
        <x:v>67063.01688205019</x:v>
      </x:c>
    </x:row>
    <x:row r="45" ht="18" customHeight="1">
      <x:c r="A45" s="24" t="str">
        <x:v>EEZ_157</x:v>
      </x:c>
      <x:c r="B45" s="24" t="str">
        <x:v>Taiwan</x:v>
      </x:c>
      <x:c r="C45" s="24" t="str">
        <x:v>EEZ</x:v>
      </x:c>
      <x:c r="D45" s="30" t="n">
        <x:v>2019</x:v>
      </x:c>
      <x:c r="E45" s="24" t="str">
        <x:v>Scombridae</x:v>
      </x:c>
      <x:c r="F45" s="24" t="str">
        <x:v>Mackerels, tunas, bonitos</x:v>
      </x:c>
      <x:c r="G45" s="24" t="str">
        <x:v>Medium pelagics (30 - 89 cm)</x:v>
      </x:c>
      <x:c r="H45" s="24" t="str">
        <x:v>Perch-likes</x:v>
      </x:c>
      <x:c r="I45" s="31" t="n">
        <x:v>2305.6607925062</x:v>
      </x:c>
      <x:c r="J45" s="31" t="n">
        <x:v>2197.4202725079</x:v>
      </x:c>
      <x:c r="K45" s="31" t="n">
        <x:v>108.2405199983</x:v>
      </x:c>
      <x:c r="L45" s="31" t="n">
        <x:v>2197.4202725079</x:v>
      </x:c>
      <x:c r="M45" s="31" t="n">
        <x:v>108.2405199983</x:v>
      </x:c>
      <x:c r="N45" s="24" t="str">
        <x:v>scombridae</x:v>
      </x:c>
      <x:c r="O45" s="32" t="n">
        <x:v>4.26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Scombridae</x:v>
      </x:c>
      <x:c r="T45" s="32" t="n">
        <x:f>IF(O45="","",(1/'Metadata'!$B$5)^(O45-1))</x:f>
        <x:v>1819.7008586099826</x:v>
      </x:c>
      <x:c r="U45" s="31" t="n">
        <x:f>IF(T45="","",I45*T45)</x:f>
        <x:v>4195612.923786905</x:v>
      </x:c>
    </x:row>
    <x:row r="46" ht="18" customHeight="1">
      <x:c r="A46" s="24" t="str">
        <x:v>EEZ_157</x:v>
      </x:c>
      <x:c r="B46" s="24" t="str">
        <x:v>Taiwan</x:v>
      </x:c>
      <x:c r="C46" s="24" t="str">
        <x:v>EEZ</x:v>
      </x:c>
      <x:c r="D46" s="30" t="n">
        <x:v>2019</x:v>
      </x:c>
      <x:c r="E46" s="24" t="str">
        <x:v>Charybdis</x:v>
      </x:c>
      <x:c r="F46" s="24" t="str">
        <x:v>Whirlpool swimming crabs</x:v>
      </x:c>
      <x:c r="G46" s="24" t="str">
        <x:v>Lobsters, crabs</x:v>
      </x:c>
      <x:c r="H46" s="24" t="str">
        <x:v>Crustaceans</x:v>
      </x:c>
      <x:c r="I46" s="31" t="n">
        <x:v>2042.9151644779</x:v>
      </x:c>
      <x:c r="J46" s="31" t="n">
        <x:v>2042.9151644779</x:v>
      </x:c>
      <x:c r="K46" s="31" t="n">
        <x:v>0</x:v>
      </x:c>
      <x:c r="L46" s="31" t="n">
        <x:v>2042.9151644779</x:v>
      </x:c>
      <x:c r="M46" s="31" t="n">
        <x:v>0</x:v>
      </x:c>
      <x:c r="N46" s="24" t="str">
        <x:v>charybdis</x:v>
      </x:c>
      <x:c r="O46" s="32" t="n">
        <x:v>2.7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Charybdis</x:v>
      </x:c>
      <x:c r="T46" s="32" t="n">
        <x:f>IF(O46="","",(1/'Metadata'!$B$5)^(O46-1))</x:f>
        <x:v>50.11872336272725</x:v>
      </x:c>
      <x:c r="U46" s="31" t="n">
        <x:f>IF(T46="","",I46*T46)</x:f>
        <x:v>102388.29998198831</x:v>
      </x:c>
    </x:row>
    <x:row r="47" ht="18" customHeight="1">
      <x:c r="A47" s="24" t="str">
        <x:v>EEZ_157</x:v>
      </x:c>
      <x:c r="B47" s="24" t="str">
        <x:v>Taiwan</x:v>
      </x:c>
      <x:c r="C47" s="24" t="str">
        <x:v>EEZ</x:v>
      </x:c>
      <x:c r="D47" s="30" t="n">
        <x:v>2019</x:v>
      </x:c>
      <x:c r="E47" s="24" t="str">
        <x:v>Mene maculata</x:v>
      </x:c>
      <x:c r="F47" s="24" t="str">
        <x:v>Moonfish</x:v>
      </x:c>
      <x:c r="G47" s="24" t="str">
        <x:v>Medium reef assoc. fish (30 - 89 cm)</x:v>
      </x:c>
      <x:c r="H47" s="24" t="str">
        <x:v>Perch-likes</x:v>
      </x:c>
      <x:c r="I47" s="31" t="n">
        <x:v>1767.6749691419</x:v>
      </x:c>
      <x:c r="J47" s="31" t="n">
        <x:v>1543.2973115193</x:v>
      </x:c>
      <x:c r="K47" s="31" t="n">
        <x:v>224.3776576226</x:v>
      </x:c>
      <x:c r="L47" s="31" t="n">
        <x:v>665.0346438264</x:v>
      </x:c>
      <x:c r="M47" s="31" t="n">
        <x:v>1102.6403253155</x:v>
      </x:c>
      <x:c r="N47" s="24" t="str">
        <x:v>mene maculata</x:v>
      </x:c>
      <x:c r="O47" s="32" t="n">
        <x:v>3.45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Mene maculata</x:v>
      </x:c>
      <x:c r="T47" s="32" t="n">
        <x:f>IF(O47="","",(1/'Metadata'!$B$5)^(O47-1))</x:f>
        <x:v>281.8382931264455</x:v>
      </x:c>
      <x:c r="U47" s="31" t="n">
        <x:f>IF(T47="","",I47*T47)</x:f>
        <x:v>498198.49610529526</x:v>
      </x:c>
    </x:row>
    <x:row r="48" ht="18" customHeight="1">
      <x:c r="A48" s="24" t="str">
        <x:v>EEZ_157</x:v>
      </x:c>
      <x:c r="B48" s="24" t="str">
        <x:v>Taiwan</x:v>
      </x:c>
      <x:c r="C48" s="24" t="str">
        <x:v>EEZ</x:v>
      </x:c>
      <x:c r="D48" s="30" t="n">
        <x:v>2019</x:v>
      </x:c>
      <x:c r="E48" s="24" t="str">
        <x:v>Seriola</x:v>
      </x:c>
      <x:c r="F48" s="24" t="str">
        <x:v>Amberjacks</x:v>
      </x:c>
      <x:c r="G48" s="24" t="str">
        <x:v>Large benthopelagics (&gt;=90 cm)</x:v>
      </x:c>
      <x:c r="H48" s="24" t="str">
        <x:v>Perch-likes</x:v>
      </x:c>
      <x:c r="I48" s="31" t="n">
        <x:v>1699.5703288787001</x:v>
      </x:c>
      <x:c r="J48" s="31" t="n">
        <x:v>1699.5703288787001</x:v>
      </x:c>
      <x:c r="K48" s="31" t="n">
        <x:v>0</x:v>
      </x:c>
      <x:c r="L48" s="31" t="n">
        <x:v>1399.1432231214</x:v>
      </x:c>
      <x:c r="M48" s="31" t="n">
        <x:v>300.4271057573</x:v>
      </x:c>
      <x:c r="N48" s="24" t="str">
        <x:v>seriola</x:v>
      </x:c>
      <x:c r="O48" s="32" t="n">
        <x:v>4.39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Seriola</x:v>
      </x:c>
      <x:c r="T48" s="32" t="n">
        <x:f>IF(O48="","",(1/'Metadata'!$B$5)^(O48-1))</x:f>
        <x:v>2454.7089156850284</x:v>
      </x:c>
      <x:c r="U48" s="31" t="n">
        <x:f>IF(T48="","",I48*T48)</x:f>
        <x:v>4171950.439132281</x:v>
      </x:c>
    </x:row>
    <x:row r="49" ht="18" customHeight="1">
      <x:c r="A49" s="24" t="str">
        <x:v>EEZ_157</x:v>
      </x:c>
      <x:c r="B49" s="24" t="str">
        <x:v>Taiwan</x:v>
      </x:c>
      <x:c r="C49" s="24" t="str">
        <x:v>EEZ</x:v>
      </x:c>
      <x:c r="D49" s="30" t="n">
        <x:v>2019</x:v>
      </x:c>
      <x:c r="E49" s="24" t="str">
        <x:v>Miscellaneous aquatic invertebrates</x:v>
      </x:c>
      <x:c r="F49" s="24" t="str">
        <x:v>Aquatic invertebrates</x:v>
      </x:c>
      <x:c r="G49" s="24" t="str">
        <x:v>Other demersal invertebrates</x:v>
      </x:c>
      <x:c r="H49" s="24" t="str">
        <x:v>Other fishes &amp; inverts</x:v>
      </x:c>
      <x:c r="I49" s="31" t="n">
        <x:v>1387.2640222015</x:v>
      </x:c>
      <x:c r="J49" s="31" t="n">
        <x:v>1387.2640222015</x:v>
      </x:c>
      <x:c r="K49" s="31" t="n">
        <x:v>0</x:v>
      </x:c>
      <x:c r="L49" s="31" t="n">
        <x:v>1384.9966035124</x:v>
      </x:c>
      <x:c r="M49" s="31" t="n">
        <x:v>2.2674186891</x:v>
      </x:c>
      <x:c r="N49" s="24" t="str">
        <x:v>miscellaneous aquatic invertebrates</x:v>
      </x:c>
      <x:c r="O49" s="32" t="n">
        <x:v>2.43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Miscellaneous aquatic invertebrates</x:v>
      </x:c>
      <x:c r="T49" s="32" t="n">
        <x:f>IF(O49="","",(1/'Metadata'!$B$5)^(O49-1))</x:f>
        <x:v>26.915348039269166</x:v>
      </x:c>
      <x:c r="U49" s="31" t="n">
        <x:f>IF(T49="","",I49*T49)</x:f>
        <x:v>37338.693979909796</x:v>
      </x:c>
    </x:row>
    <x:row r="50" ht="18" customHeight="1">
      <x:c r="A50" s="24" t="str">
        <x:v>EEZ_157</x:v>
      </x:c>
      <x:c r="B50" s="24" t="str">
        <x:v>Taiwan</x:v>
      </x:c>
      <x:c r="C50" s="24" t="str">
        <x:v>EEZ</x:v>
      </x:c>
      <x:c r="D50" s="30" t="n">
        <x:v>2019</x:v>
      </x:c>
      <x:c r="E50" s="24" t="str">
        <x:v>Gastropoda</x:v>
      </x:c>
      <x:c r="F50" s="24" t="str">
        <x:v>Sea snails</x:v>
      </x:c>
      <x:c r="G50" s="24" t="str">
        <x:v>Other demersal invertebrates</x:v>
      </x:c>
      <x:c r="H50" s="24" t="str">
        <x:v>Molluscs</x:v>
      </x:c>
      <x:c r="I50" s="31" t="n">
        <x:v>1318.4560185801001</x:v>
      </x:c>
      <x:c r="J50" s="31" t="n">
        <x:v>1318.4560185801001</x:v>
      </x:c>
      <x:c r="K50" s="31" t="n">
        <x:v>0</x:v>
      </x:c>
      <x:c r="L50" s="31" t="n">
        <x:v>1238.9161898359</x:v>
      </x:c>
      <x:c r="M50" s="31" t="n">
        <x:v>79.5398287442</x:v>
      </x:c>
      <x:c r="N50" s="24" t="str">
        <x:v>gastropoda</x:v>
      </x:c>
      <x:c r="O50" s="32" t="n">
        <x:v>3.06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Gastropoda</x:v>
      </x:c>
      <x:c r="T50" s="32" t="n">
        <x:f>IF(O50="","",(1/'Metadata'!$B$5)^(O50-1))</x:f>
        <x:v>114.81536214968828</x:v>
      </x:c>
      <x:c r="U50" s="31" t="n">
        <x:f>IF(T50="","",I50*T50)</x:f>
        <x:v>151379.00525171033</x:v>
      </x:c>
    </x:row>
    <x:row r="51" ht="18" customHeight="1">
      <x:c r="A51" s="24" t="str">
        <x:v>EEZ_157</x:v>
      </x:c>
      <x:c r="B51" s="24" t="str">
        <x:v>Taiwan</x:v>
      </x:c>
      <x:c r="C51" s="24" t="str">
        <x:v>EEZ</x:v>
      </x:c>
      <x:c r="D51" s="30" t="n">
        <x:v>2019</x:v>
      </x:c>
      <x:c r="E51" s="24" t="str">
        <x:v>Thunnus albacares</x:v>
      </x:c>
      <x:c r="F51" s="24" t="str">
        <x:v>Yellowfin tuna</x:v>
      </x:c>
      <x:c r="G51" s="24" t="str">
        <x:v>Large pelagics (&gt;=90 cm)</x:v>
      </x:c>
      <x:c r="H51" s="24" t="str">
        <x:v>Tuna &amp; billfishes</x:v>
      </x:c>
      <x:c r="I51" s="31" t="n">
        <x:v>1006.4014676128</x:v>
      </x:c>
      <x:c r="J51" s="31" t="n">
        <x:v>1004.8428135949</x:v>
      </x:c>
      <x:c r="K51" s="31" t="n">
        <x:v>1.5586540179</x:v>
      </x:c>
      <x:c r="L51" s="31" t="n">
        <x:v>1004.8428135949</x:v>
      </x:c>
      <x:c r="M51" s="31" t="n">
        <x:v>1.5586540179</x:v>
      </x:c>
      <x:c r="N51" s="24" t="str">
        <x:v>thunnus albacares</x:v>
      </x:c>
      <x:c r="O51" s="32" t="n">
        <x:v>4.41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albacares</x:v>
      </x:c>
      <x:c r="T51" s="32" t="n">
        <x:f>IF(O51="","",(1/'Metadata'!$B$5)^(O51-1))</x:f>
        <x:v>2570.3957827688646</x:v>
      </x:c>
      <x:c r="U51" s="31" t="n">
        <x:f>IF(T51="","",I51*T51)</x:f>
        <x:v>2586850.088124337</x:v>
      </x:c>
    </x:row>
    <x:row r="52" ht="18" customHeight="1">
      <x:c r="A52" s="24" t="str">
        <x:v>EEZ_157</x:v>
      </x:c>
      <x:c r="B52" s="24" t="str">
        <x:v>Taiwan</x:v>
      </x:c>
      <x:c r="C52" s="24" t="str">
        <x:v>EEZ</x:v>
      </x:c>
      <x:c r="D52" s="30" t="n">
        <x:v>2019</x:v>
      </x:c>
      <x:c r="E52" s="24" t="str">
        <x:v>Clupeiformes</x:v>
      </x:c>
      <x:c r="F52" s="24" t="str">
        <x:v>Herrings, shads, anchovies</x:v>
      </x:c>
      <x:c r="G52" s="24" t="str">
        <x:v>Small pelagics (&lt;30 cm)</x:v>
      </x:c>
      <x:c r="H52" s="24" t="str">
        <x:v>Other fishes &amp; inverts</x:v>
      </x:c>
      <x:c r="I52" s="31" t="n">
        <x:v>802.1615619149</x:v>
      </x:c>
      <x:c r="J52" s="31" t="n">
        <x:v>802.1615619149</x:v>
      </x:c>
      <x:c r="K52" s="31" t="n">
        <x:v>0</x:v>
      </x:c>
      <x:c r="L52" s="31" t="n">
        <x:v>342.9823375048</x:v>
      </x:c>
      <x:c r="M52" s="31" t="n">
        <x:v>459.1792244101</x:v>
      </x:c>
      <x:c r="N52" s="24" t="str">
        <x:v>clupeiformes</x:v>
      </x:c>
      <x:c r="O52" s="32" t="n">
        <x:v>3.24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Clupeiformes</x:v>
      </x:c>
      <x:c r="T52" s="32" t="n">
        <x:f>IF(O52="","",(1/'Metadata'!$B$5)^(O52-1))</x:f>
        <x:v>173.78008287493762</x:v>
      </x:c>
      <x:c r="U52" s="31" t="n">
        <x:f>IF(T52="","",I52*T52)</x:f>
        <x:v>139399.7027086607</x:v>
      </x:c>
    </x:row>
    <x:row r="53" ht="18" customHeight="1">
      <x:c r="A53" s="24" t="str">
        <x:v>EEZ_157</x:v>
      </x:c>
      <x:c r="B53" s="24" t="str">
        <x:v>Taiwan</x:v>
      </x:c>
      <x:c r="C53" s="24" t="str">
        <x:v>EEZ</x:v>
      </x:c>
      <x:c r="D53" s="30" t="n">
        <x:v>2019</x:v>
      </x:c>
      <x:c r="E53" s="24" t="str">
        <x:v>Atrobucca nibe</x:v>
      </x:c>
      <x:c r="F53" s="24" t="str">
        <x:v>Blackmouth croaker</x:v>
      </x:c>
      <x:c r="G53" s="24" t="str">
        <x:v>Medium demersals (30 - 89 cm)</x:v>
      </x:c>
      <x:c r="H53" s="24" t="str">
        <x:v>Perch-likes</x:v>
      </x:c>
      <x:c r="I53" s="31" t="n">
        <x:v>645.4434595603</x:v>
      </x:c>
      <x:c r="J53" s="31" t="n">
        <x:v>602.7253475251</x:v>
      </x:c>
      <x:c r="K53" s="31" t="n">
        <x:v>42.7181120352</x:v>
      </x:c>
      <x:c r="L53" s="31" t="n">
        <x:v>430.7534038184</x:v>
      </x:c>
      <x:c r="M53" s="31" t="n">
        <x:v>214.69005574189998</x:v>
      </x:c>
      <x:c r="N53" s="24" t="str">
        <x:v>atrobucca nibe</x:v>
      </x:c>
      <x:c r="O53" s="32" t="n">
        <x:v>3.03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Atrobucca nibe</x:v>
      </x:c>
      <x:c r="T53" s="32" t="n">
        <x:f>IF(O53="","",(1/'Metadata'!$B$5)^(O53-1))</x:f>
        <x:v>107.1519305237606</x:v>
      </x:c>
      <x:c r="U53" s="31" t="n">
        <x:f>IF(T53="","",I53*T53)</x:f>
        <x:v>69160.51273582094</x:v>
      </x:c>
    </x:row>
    <x:row r="54" ht="18" customHeight="1">
      <x:c r="A54" s="24" t="str">
        <x:v>EEZ_157</x:v>
      </x:c>
      <x:c r="B54" s="24" t="str">
        <x:v>Taiwan</x:v>
      </x:c>
      <x:c r="C54" s="24" t="str">
        <x:v>EEZ</x:v>
      </x:c>
      <x:c r="D54" s="30" t="n">
        <x:v>2019</x:v>
      </x:c>
      <x:c r="E54" s="24" t="str">
        <x:v>Auxis rochei</x:v>
      </x:c>
      <x:c r="F54" s="24" t="str">
        <x:v>Bullet tuna</x:v>
      </x:c>
      <x:c r="G54" s="24" t="str">
        <x:v>Medium pelagics (30 - 89 cm)</x:v>
      </x:c>
      <x:c r="H54" s="24" t="str">
        <x:v>Tuna &amp; billfishes</x:v>
      </x:c>
      <x:c r="I54" s="31" t="n">
        <x:v>613.2427784704</x:v>
      </x:c>
      <x:c r="J54" s="31" t="n">
        <x:v>0</x:v>
      </x:c>
      <x:c r="K54" s="31" t="n">
        <x:v>613.2427784704</x:v>
      </x:c>
      <x:c r="L54" s="31" t="n">
        <x:v>0</x:v>
      </x:c>
      <x:c r="M54" s="31" t="n">
        <x:v>613.2427784704</x:v>
      </x:c>
      <x:c r="N54" s="24" t="str">
        <x:v>auxis rochei</x:v>
      </x:c>
      <x:c r="O54" s="32" t="n">
        <x:v>4.13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rochei</x:v>
      </x:c>
      <x:c r="T54" s="32" t="n">
        <x:f>IF(O54="","",(1/'Metadata'!$B$5)^(O54-1))</x:f>
        <x:v>1348.9628825916532</x:v>
      </x:c>
      <x:c r="U54" s="31" t="n">
        <x:f>IF(T54="","",I54*T54)</x:f>
        <x:v>827241.7461739454</x:v>
      </x:c>
    </x:row>
    <x:row r="55" ht="18" customHeight="1">
      <x:c r="A55" s="24" t="str">
        <x:v>EEZ_157</x:v>
      </x:c>
      <x:c r="B55" s="24" t="str">
        <x:v>Taiwan</x:v>
      </x:c>
      <x:c r="C55" s="24" t="str">
        <x:v>EEZ</x:v>
      </x:c>
      <x:c r="D55" s="30" t="n">
        <x:v>2019</x:v>
      </x:c>
      <x:c r="E55" s="24" t="str">
        <x:v>Sillaginidae</x:v>
      </x:c>
      <x:c r="F55" s="24" t="str">
        <x:v>Smelt-whitings</x:v>
      </x:c>
      <x:c r="G55" s="24" t="str">
        <x:v>Medium demersals (30 - 89 cm)</x:v>
      </x:c>
      <x:c r="H55" s="24" t="str">
        <x:v>Perch-likes</x:v>
      </x:c>
      <x:c r="I55" s="31" t="n">
        <x:v>600.5590784071001</x:v>
      </x:c>
      <x:c r="J55" s="31" t="n">
        <x:v>600.5590784071001</x:v>
      </x:c>
      <x:c r="K55" s="31" t="n">
        <x:v>0</x:v>
      </x:c>
      <x:c r="L55" s="31" t="n">
        <x:v>589.6451674254</x:v>
      </x:c>
      <x:c r="M55" s="31" t="n">
        <x:v>10.9139109817</x:v>
      </x:c>
      <x:c r="N55" s="24" t="str">
        <x:v>sillaginidae</x:v>
      </x:c>
      <x:c r="O55" s="32" t="n">
        <x:v>3.25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Sillaginidae</x:v>
      </x:c>
      <x:c r="T55" s="32" t="n">
        <x:f>IF(O55="","",(1/'Metadata'!$B$5)^(O55-1))</x:f>
        <x:v>177.82794100389228</x:v>
      </x:c>
      <x:c r="U55" s="31" t="n">
        <x:f>IF(T55="","",I55*T55)</x:f>
        <x:v>106796.1843643297</x:v>
      </x:c>
    </x:row>
    <x:row r="56" ht="18" customHeight="1">
      <x:c r="A56" s="24" t="str">
        <x:v>EEZ_157</x:v>
      </x:c>
      <x:c r="B56" s="24" t="str">
        <x:v>Taiwan</x:v>
      </x:c>
      <x:c r="C56" s="24" t="str">
        <x:v>EEZ</x:v>
      </x:c>
      <x:c r="D56" s="30" t="n">
        <x:v>2019</x:v>
      </x:c>
      <x:c r="E56" s="24" t="str">
        <x:v>Mollusca</x:v>
      </x:c>
      <x:c r="F56" s="24" t="str">
        <x:v>Clams, seasnails, squids, octopuses</x:v>
      </x:c>
      <x:c r="G56" s="24" t="str">
        <x:v>Other demersal invertebrates</x:v>
      </x:c>
      <x:c r="H56" s="24" t="str">
        <x:v>Molluscs</x:v>
      </x:c>
      <x:c r="I56" s="31" t="n">
        <x:v>558.714858419</x:v>
      </x:c>
      <x:c r="J56" s="31" t="n">
        <x:v>548.316342877</x:v>
      </x:c>
      <x:c r="K56" s="31" t="n">
        <x:v>10.398515542</x:v>
      </x:c>
      <x:c r="L56" s="31" t="n">
        <x:v>438.1801866429</x:v>
      </x:c>
      <x:c r="M56" s="31" t="n">
        <x:v>120.5346717761</x:v>
      </x:c>
      <x:c r="N56" s="24" t="str">
        <x:v>mollusca</x:v>
      </x:c>
      <x:c r="O56" s="32" t="n">
        <x:v>2.1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Mollusca</x:v>
      </x:c>
      <x:c r="T56" s="32" t="n">
        <x:f>IF(O56="","",(1/'Metadata'!$B$5)^(O56-1))</x:f>
        <x:v>12.589254117941675</x:v>
      </x:c>
      <x:c r="U56" s="31" t="n">
        <x:f>IF(T56="","",I56*T56)</x:f>
        <x:v>7033.803332106596</x:v>
      </x:c>
    </x:row>
    <x:row r="57" ht="18" customHeight="1">
      <x:c r="A57" s="24" t="str">
        <x:v>EEZ_157</x:v>
      </x:c>
      <x:c r="B57" s="24" t="str">
        <x:v>Taiwan</x:v>
      </x:c>
      <x:c r="C57" s="24" t="str">
        <x:v>EEZ</x:v>
      </x:c>
      <x:c r="D57" s="30" t="n">
        <x:v>2019</x:v>
      </x:c>
      <x:c r="E57" s="24" t="str">
        <x:v>Priacanthus macracanthus</x:v>
      </x:c>
      <x:c r="F57" s="24" t="str">
        <x:v>Red bigeye</x:v>
      </x:c>
      <x:c r="G57" s="24" t="str">
        <x:v>Medium reef assoc. fish (30 - 89 cm)</x:v>
      </x:c>
      <x:c r="H57" s="24" t="str">
        <x:v>Perch-likes</x:v>
      </x:c>
      <x:c r="I57" s="31" t="n">
        <x:v>498.6731895973</x:v>
      </x:c>
      <x:c r="J57" s="31" t="n">
        <x:v>405.0972449704</x:v>
      </x:c>
      <x:c r="K57" s="31" t="n">
        <x:v>93.5759446269</x:v>
      </x:c>
      <x:c r="L57" s="31" t="n">
        <x:v>405.0972449704</x:v>
      </x:c>
      <x:c r="M57" s="31" t="n">
        <x:v>93.5759446269</x:v>
      </x:c>
      <x:c r="N57" s="24" t="str">
        <x:v>priacanthus macracanthus</x:v>
      </x:c>
      <x:c r="O57" s="32" t="n">
        <x:v>4.11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Priacanthus macracanthus</x:v>
      </x:c>
      <x:c r="T57" s="32" t="n">
        <x:f>IF(O57="","",(1/'Metadata'!$B$5)^(O57-1))</x:f>
        <x:v>1288.249551693135</x:v>
      </x:c>
      <x:c r="U57" s="31" t="n">
        <x:f>IF(T57="","",I57*T57)</x:f>
        <x:v>642415.5129401074</x:v>
      </x:c>
    </x:row>
    <x:row r="58" ht="18" customHeight="1">
      <x:c r="A58" s="24" t="str">
        <x:v>EEZ_157</x:v>
      </x:c>
      <x:c r="B58" s="24" t="str">
        <x:v>Taiwan</x:v>
      </x:c>
      <x:c r="C58" s="24" t="str">
        <x:v>EEZ</x:v>
      </x:c>
      <x:c r="D58" s="30" t="n">
        <x:v>2019</x:v>
      </x:c>
      <x:c r="E58" s="24" t="str">
        <x:v>Scomberomorus commerson</x:v>
      </x:c>
      <x:c r="F58" s="24" t="str">
        <x:v>Narrow-barred Spanish mackerel</x:v>
      </x:c>
      <x:c r="G58" s="24" t="str">
        <x:v>Large pelagics (&gt;=90 cm)</x:v>
      </x:c>
      <x:c r="H58" s="24" t="str">
        <x:v>Perch-likes</x:v>
      </x:c>
      <x:c r="I58" s="31" t="n">
        <x:v>474.0088341219</x:v>
      </x:c>
      <x:c r="J58" s="31" t="n">
        <x:v>385.5175447968</x:v>
      </x:c>
      <x:c r="K58" s="31" t="n">
        <x:v>88.4912893251</x:v>
      </x:c>
      <x:c r="L58" s="31" t="n">
        <x:v>385.5175447968</x:v>
      </x:c>
      <x:c r="M58" s="31" t="n">
        <x:v>88.4912893251</x:v>
      </x:c>
      <x:c r="N58" s="24" t="str">
        <x:v>scomberomorus commerson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Scomberomorus commerson</x:v>
      </x:c>
      <x:c r="T58" s="32" t="n">
        <x:f>IF(O58="","",(1/'Metadata'!$B$5)^(O58-1))</x:f>
        <x:v>3162.2776601683795</x:v>
      </x:c>
      <x:c r="U58" s="31" t="n">
        <x:f>IF(T58="","",I58*T58)</x:f>
        <x:v>1498947.5468661436</x:v>
      </x:c>
    </x:row>
    <x:row r="59" ht="18" customHeight="1">
      <x:c r="A59" s="24" t="str">
        <x:v>EEZ_157</x:v>
      </x:c>
      <x:c r="B59" s="24" t="str">
        <x:v>Taiwan</x:v>
      </x:c>
      <x:c r="C59" s="24" t="str">
        <x:v>EEZ</x:v>
      </x:c>
      <x:c r="D59" s="30" t="n">
        <x:v>2019</x:v>
      </x:c>
      <x:c r="E59" s="24" t="str">
        <x:v>Seriola dumerili</x:v>
      </x:c>
      <x:c r="F59" s="24" t="str">
        <x:v>Greater amberjack</x:v>
      </x:c>
      <x:c r="G59" s="24" t="str">
        <x:v>Large reef assoc. fish (&gt;=90 cm)</x:v>
      </x:c>
      <x:c r="H59" s="24" t="str">
        <x:v>Perch-likes</x:v>
      </x:c>
      <x:c r="I59" s="31" t="n">
        <x:v>459.4215949741</x:v>
      </x:c>
      <x:c r="J59" s="31" t="n">
        <x:v>459.4215949741</x:v>
      </x:c>
      <x:c r="K59" s="31" t="n">
        <x:v>0</x:v>
      </x:c>
      <x:c r="L59" s="31" t="n">
        <x:v>277.4916128047</x:v>
      </x:c>
      <x:c r="M59" s="31" t="n">
        <x:v>181.9299821694</x:v>
      </x:c>
      <x:c r="N59" s="24" t="str">
        <x:v>seriola dumerili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Seriola dumerili</x:v>
      </x:c>
      <x:c r="T59" s="32" t="n">
        <x:f>IF(O59="","",(1/'Metadata'!$B$5)^(O59-1))</x:f>
        <x:v>3162.2776601683795</x:v>
      </x:c>
      <x:c r="U59" s="31" t="n">
        <x:f>IF(T59="","",I59*T59)</x:f>
        <x:v>1452818.6463855219</x:v>
      </x:c>
    </x:row>
    <x:row r="60" ht="18" customHeight="1">
      <x:c r="A60" s="24" t="str">
        <x:v>EEZ_157</x:v>
      </x:c>
      <x:c r="B60" s="24" t="str">
        <x:v>Taiwan</x:v>
      </x:c>
      <x:c r="C60" s="24" t="str">
        <x:v>EEZ</x:v>
      </x:c>
      <x:c r="D60" s="30" t="n">
        <x:v>2019</x:v>
      </x:c>
      <x:c r="E60" s="24" t="str">
        <x:v>Mola mola</x:v>
      </x:c>
      <x:c r="F60" s="24" t="str">
        <x:v>Ocean sunfish</x:v>
      </x:c>
      <x:c r="G60" s="24" t="str">
        <x:v>Large pelagics (&gt;=90 cm)</x:v>
      </x:c>
      <x:c r="H60" s="24" t="str">
        <x:v>Other fishes &amp; inverts</x:v>
      </x:c>
      <x:c r="I60" s="31" t="n">
        <x:v>408.1464512717</x:v>
      </x:c>
      <x:c r="J60" s="31" t="n">
        <x:v>399.3633147498</x:v>
      </x:c>
      <x:c r="K60" s="31" t="n">
        <x:v>8.7831365219</x:v>
      </x:c>
      <x:c r="L60" s="31" t="n">
        <x:v>327.289208313</x:v>
      </x:c>
      <x:c r="M60" s="31" t="n">
        <x:v>80.8572429587</x:v>
      </x:c>
      <x:c r="N60" s="24" t="str">
        <x:v>mola mola</x:v>
      </x:c>
      <x:c r="O60" s="32" t="n">
        <x:v>3.68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Mola mola</x:v>
      </x:c>
      <x:c r="T60" s="32" t="n">
        <x:f>IF(O60="","",(1/'Metadata'!$B$5)^(O60-1))</x:f>
        <x:v>478.6300923226385</x:v>
      </x:c>
      <x:c r="U60" s="31" t="n">
        <x:f>IF(T60="","",I60*T60)</x:f>
        <x:v>195351.17365333106</x:v>
      </x:c>
    </x:row>
    <x:row r="61" ht="18" customHeight="1">
      <x:c r="A61" s="24" t="str">
        <x:v>EEZ_157</x:v>
      </x:c>
      <x:c r="B61" s="24" t="str">
        <x:v>Taiwan</x:v>
      </x:c>
      <x:c r="C61" s="24" t="str">
        <x:v>EEZ</x:v>
      </x:c>
      <x:c r="D61" s="30" t="n">
        <x:v>2019</x:v>
      </x:c>
      <x:c r="E61" s="24" t="str">
        <x:v>Pleuronectiformes</x:v>
      </x:c>
      <x:c r="F61" s="24" t="str">
        <x:v>Flatfishes</x:v>
      </x:c>
      <x:c r="G61" s="24" t="str">
        <x:v>Small to medium flatfishes (&lt;90 cm)</x:v>
      </x:c>
      <x:c r="H61" s="24" t="str">
        <x:v>Flatfishes</x:v>
      </x:c>
      <x:c r="I61" s="31" t="n">
        <x:v>400.95166120370004</x:v>
      </x:c>
      <x:c r="J61" s="31" t="n">
        <x:v>400.95166120370004</x:v>
      </x:c>
      <x:c r="K61" s="31" t="n">
        <x:v>0</x:v>
      </x:c>
      <x:c r="L61" s="31" t="n">
        <x:v>313.2752027771</x:v>
      </x:c>
      <x:c r="M61" s="31" t="n">
        <x:v>87.67645842659999</x:v>
      </x:c>
      <x:c r="N61" s="24" t="str">
        <x:v>pleuronectiformes</x:v>
      </x:c>
      <x:c r="O61" s="32" t="n">
        <x:v>3.57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Pleuronectiformes</x:v>
      </x:c>
      <x:c r="T61" s="32" t="n">
        <x:f>IF(O61="","",(1/'Metadata'!$B$5)^(O61-1))</x:f>
        <x:v>371.5352290971724</x:v>
      </x:c>
      <x:c r="U61" s="31" t="n">
        <x:f>IF(T61="","",I61*T61)</x:f>
        <x:v>148967.66730220855</x:v>
      </x:c>
    </x:row>
    <x:row r="62" ht="18" customHeight="1">
      <x:c r="A62" s="24" t="str">
        <x:v>EEZ_157</x:v>
      </x:c>
      <x:c r="B62" s="24" t="str">
        <x:v>Taiwan</x:v>
      </x:c>
      <x:c r="C62" s="24" t="str">
        <x:v>EEZ</x:v>
      </x:c>
      <x:c r="D62" s="30" t="n">
        <x:v>2019</x:v>
      </x:c>
      <x:c r="E62" s="24" t="str">
        <x:v>Sepiidae</x:v>
      </x:c>
      <x:c r="F62" s="24" t="str">
        <x:v>Cuttlefishes</x:v>
      </x:c>
      <x:c r="G62" s="24" t="str">
        <x:v>Cephalopods</x:v>
      </x:c>
      <x:c r="H62" s="24" t="str">
        <x:v>Other fishes &amp; inverts</x:v>
      </x:c>
      <x:c r="I62" s="31" t="n">
        <x:v>377.00648065</x:v>
      </x:c>
      <x:c r="J62" s="31" t="n">
        <x:v>331.92383601070003</x:v>
      </x:c>
      <x:c r="K62" s="31" t="n">
        <x:v>45.0826446393</x:v>
      </x:c>
      <x:c r="L62" s="31" t="n">
        <x:v>245.08383320700003</x:v>
      </x:c>
      <x:c r="M62" s="31" t="n">
        <x:v>131.922647443</x:v>
      </x:c>
      <x:c r="N62" s="24" t="str">
        <x:v>sepiidae</x:v>
      </x:c>
      <x:c r="O62" s="32" t="n">
        <x:v>3.6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Sepiidae</x:v>
      </x:c>
      <x:c r="T62" s="32" t="n">
        <x:f>IF(O62="","",(1/'Metadata'!$B$5)^(O62-1))</x:f>
        <x:v>398.1071705534973</x:v>
      </x:c>
      <x:c r="U62" s="31" t="n">
        <x:f>IF(T62="","",I62*T62)</x:f>
        <x:v>150088.98329190334</x:v>
      </x:c>
    </x:row>
    <x:row r="63" ht="18" customHeight="1">
      <x:c r="A63" s="24" t="str">
        <x:v>EEZ_157</x:v>
      </x:c>
      <x:c r="B63" s="24" t="str">
        <x:v>Taiwan</x:v>
      </x:c>
      <x:c r="C63" s="24" t="str">
        <x:v>EEZ</x:v>
      </x:c>
      <x:c r="D63" s="30" t="n">
        <x:v>2019</x:v>
      </x:c>
      <x:c r="E63" s="24" t="str">
        <x:v>Decapterus</x:v>
      </x:c>
      <x:c r="F63" s="24" t="str">
        <x:v>Scads</x:v>
      </x:c>
      <x:c r="G63" s="24" t="str">
        <x:v>Medium pelagics (30 - 89 cm)</x:v>
      </x:c>
      <x:c r="H63" s="24" t="str">
        <x:v>Perch-likes</x:v>
      </x:c>
      <x:c r="I63" s="31" t="n">
        <x:v>328.55356907510003</x:v>
      </x:c>
      <x:c r="J63" s="31" t="n">
        <x:v>247.7633734194</x:v>
      </x:c>
      <x:c r="K63" s="31" t="n">
        <x:v>80.7901956557</x:v>
      </x:c>
      <x:c r="L63" s="31" t="n">
        <x:v>0</x:v>
      </x:c>
      <x:c r="M63" s="31" t="n">
        <x:v>328.55356907510003</x:v>
      </x:c>
      <x:c r="N63" s="24" t="str">
        <x:v>decapterus</x:v>
      </x:c>
      <x:c r="O63" s="32" t="n">
        <x:v>3.63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Decapterus</x:v>
      </x:c>
      <x:c r="T63" s="32" t="n">
        <x:f>IF(O63="","",(1/'Metadata'!$B$5)^(O63-1))</x:f>
        <x:v>426.57951880159254</x:v>
      </x:c>
      <x:c r="U63" s="31" t="n">
        <x:f>IF(T63="","",I63*T63)</x:f>
        <x:v>140154.22339660197</x:v>
      </x:c>
    </x:row>
    <x:row r="64" ht="18" customHeight="1">
      <x:c r="A64" s="24" t="str">
        <x:v>EEZ_157</x:v>
      </x:c>
      <x:c r="B64" s="24" t="str">
        <x:v>Taiwan</x:v>
      </x:c>
      <x:c r="C64" s="24" t="str">
        <x:v>EEZ</x:v>
      </x:c>
      <x:c r="D64" s="30" t="n">
        <x:v>2019</x:v>
      </x:c>
      <x:c r="E64" s="24" t="str">
        <x:v>Psenopsis anomala</x:v>
      </x:c>
      <x:c r="F64" s="24" t="str">
        <x:v>Pacific rudderfish</x:v>
      </x:c>
      <x:c r="G64" s="24" t="str">
        <x:v>Small benthopelagics (&lt;30 cm)</x:v>
      </x:c>
      <x:c r="H64" s="24" t="str">
        <x:v>Perch-likes</x:v>
      </x:c>
      <x:c r="I64" s="31" t="n">
        <x:v>322.3405361456</x:v>
      </x:c>
      <x:c r="J64" s="31" t="n">
        <x:v>110.726580292</x:v>
      </x:c>
      <x:c r="K64" s="31" t="n">
        <x:v>211.6139558536</x:v>
      </x:c>
      <x:c r="L64" s="31" t="n">
        <x:v>110.726580292</x:v>
      </x:c>
      <x:c r="M64" s="31" t="n">
        <x:v>211.6139558536</x:v>
      </x:c>
      <x:c r="N64" s="24" t="str">
        <x:v>psenopsis anomala</x:v>
      </x:c>
      <x:c r="O64" s="32" t="n">
        <x:v>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Psenopsis anomala</x:v>
      </x:c>
      <x:c r="T64" s="32" t="n">
        <x:f>IF(O64="","",(1/'Metadata'!$B$5)^(O64-1))</x:f>
        <x:v>1000</x:v>
      </x:c>
      <x:c r="U64" s="31" t="n">
        <x:f>IF(T64="","",I64*T64)</x:f>
        <x:v>322340.5361456</x:v>
      </x:c>
    </x:row>
    <x:row r="65" ht="18" customHeight="1">
      <x:c r="A65" s="24" t="str">
        <x:v>EEZ_157</x:v>
      </x:c>
      <x:c r="B65" s="24" t="str">
        <x:v>Taiwan</x:v>
      </x:c>
      <x:c r="C65" s="24" t="str">
        <x:v>EEZ</x:v>
      </x:c>
      <x:c r="D65" s="30" t="n">
        <x:v>2019</x:v>
      </x:c>
      <x:c r="E65" s="24" t="str">
        <x:v>Saurida tumbil</x:v>
      </x:c>
      <x:c r="F65" s="24" t="str">
        <x:v>Greater lizardfish</x:v>
      </x:c>
      <x:c r="G65" s="24" t="str">
        <x:v>Medium demersals (30 - 89 cm)</x:v>
      </x:c>
      <x:c r="H65" s="24" t="str">
        <x:v>Other fishes &amp; inverts</x:v>
      </x:c>
      <x:c r="I65" s="31" t="n">
        <x:v>307.8739061775</x:v>
      </x:c>
      <x:c r="J65" s="31" t="n">
        <x:v>307.8739061775</x:v>
      </x:c>
      <x:c r="K65" s="31" t="n">
        <x:v>0</x:v>
      </x:c>
      <x:c r="L65" s="31" t="n">
        <x:v>307.8739061775</x:v>
      </x:c>
      <x:c r="M65" s="31" t="n">
        <x:v>0</x:v>
      </x:c>
      <x:c r="N65" s="24" t="str">
        <x:v>saurida tumbil</x:v>
      </x:c>
      <x:c r="O65" s="32" t="n">
        <x:v>4.4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Saurida tumbil</x:v>
      </x:c>
      <x:c r="T65" s="32" t="n">
        <x:f>IF(O65="","",(1/'Metadata'!$B$5)^(O65-1))</x:f>
        <x:v>2511.886431509582</x:v>
      </x:c>
      <x:c r="U65" s="31" t="n">
        <x:f>IF(T65="","",I65*T65)</x:f>
        <x:v>773344.2875431163</x:v>
      </x:c>
    </x:row>
    <x:row r="66" ht="18" customHeight="1">
      <x:c r="A66" s="24" t="str">
        <x:v>EEZ_157</x:v>
      </x:c>
      <x:c r="B66" s="24" t="str">
        <x:v>Taiwan</x:v>
      </x:c>
      <x:c r="C66" s="24" t="str">
        <x:v>EEZ</x:v>
      </x:c>
      <x:c r="D66" s="30" t="n">
        <x:v>2019</x:v>
      </x:c>
      <x:c r="E66" s="24" t="str">
        <x:v>Loliginidae</x:v>
      </x:c>
      <x:c r="F66" s="24" t="str">
        <x:v>Common pencil squids</x:v>
      </x:c>
      <x:c r="G66" s="24" t="str">
        <x:v>Cephalopods</x:v>
      </x:c>
      <x:c r="H66" s="24" t="str">
        <x:v>Other fishes &amp; inverts</x:v>
      </x:c>
      <x:c r="I66" s="31" t="n">
        <x:v>306.4969620383</x:v>
      </x:c>
      <x:c r="J66" s="31" t="n">
        <x:v>0</x:v>
      </x:c>
      <x:c r="K66" s="31" t="n">
        <x:v>306.4969620383</x:v>
      </x:c>
      <x:c r="L66" s="31" t="n">
        <x:v>0</x:v>
      </x:c>
      <x:c r="M66" s="31" t="n">
        <x:v>306.4969620383</x:v>
      </x:c>
      <x:c r="N66" s="24" t="str">
        <x:v>loliginidae</x:v>
      </x:c>
      <x:c r="O66" s="32" t="n">
        <x:v>3.9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Loliginidae</x:v>
      </x:c>
      <x:c r="T66" s="32" t="n">
        <x:f>IF(O66="","",(1/'Metadata'!$B$5)^(O66-1))</x:f>
        <x:v>794.3282347242813</x:v>
      </x:c>
      <x:c r="U66" s="31" t="n">
        <x:f>IF(T66="","",I66*T66)</x:f>
        <x:v>243459.1908042379</x:v>
      </x:c>
    </x:row>
    <x:row r="67" ht="18" customHeight="1">
      <x:c r="A67" s="24" t="str">
        <x:v>EEZ_157</x:v>
      </x:c>
      <x:c r="B67" s="24" t="str">
        <x:v>Taiwan</x:v>
      </x:c>
      <x:c r="C67" s="24" t="str">
        <x:v>EEZ</x:v>
      </x:c>
      <x:c r="D67" s="30" t="n">
        <x:v>2019</x:v>
      </x:c>
      <x:c r="E67" s="24" t="str">
        <x:v>Acanthopagrus schlegelii</x:v>
      </x:c>
      <x:c r="F67" s="24" t="str">
        <x:v>Blackhead seabream</x:v>
      </x:c>
      <x:c r="G67" s="24" t="str">
        <x:v>Medium demersals (30 - 89 cm)</x:v>
      </x:c>
      <x:c r="H67" s="24" t="str">
        <x:v>Perch-likes</x:v>
      </x:c>
      <x:c r="I67" s="31" t="n">
        <x:v>290.4147825297</x:v>
      </x:c>
      <x:c r="J67" s="31" t="n">
        <x:v>267.1159948232</x:v>
      </x:c>
      <x:c r="K67" s="31" t="n">
        <x:v>23.2987877065</x:v>
      </x:c>
      <x:c r="L67" s="31" t="n">
        <x:v>180.94343608670002</x:v>
      </x:c>
      <x:c r="M67" s="31" t="n">
        <x:v>109.471346443</x:v>
      </x:c>
      <x:c r="N67" s="24" t="str">
        <x:v>acanthopagrus schlegelii</x:v>
      </x:c>
      <x:c r="O67" s="32" t="n">
        <x:v>3.24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Acanthopagrus schlegelii</x:v>
      </x:c>
      <x:c r="T67" s="32" t="n">
        <x:f>IF(O67="","",(1/'Metadata'!$B$5)^(O67-1))</x:f>
        <x:v>173.78008287493762</x:v>
      </x:c>
      <x:c r="U67" s="31" t="n">
        <x:f>IF(T67="","",I67*T67)</x:f>
        <x:v>50468.304976118256</x:v>
      </x:c>
    </x:row>
    <x:row r="68" ht="18" customHeight="1">
      <x:c r="A68" s="24" t="str">
        <x:v>EEZ_157</x:v>
      </x:c>
      <x:c r="B68" s="24" t="str">
        <x:v>Taiwan</x:v>
      </x:c>
      <x:c r="C68" s="24" t="str">
        <x:v>EEZ</x:v>
      </x:c>
      <x:c r="D68" s="30" t="n">
        <x:v>2019</x:v>
      </x:c>
      <x:c r="E68" s="24" t="str">
        <x:v>Pampus argenteus</x:v>
      </x:c>
      <x:c r="F68" s="24" t="str">
        <x:v>Silver pomfret</x:v>
      </x:c>
      <x:c r="G68" s="24" t="str">
        <x:v>Medium benthopelagics (30 - 89 cm)</x:v>
      </x:c>
      <x:c r="H68" s="24" t="str">
        <x:v>Perch-likes</x:v>
      </x:c>
      <x:c r="I68" s="31" t="n">
        <x:v>231.518092846</x:v>
      </x:c>
      <x:c r="J68" s="31" t="n">
        <x:v>189.8504150714</x:v>
      </x:c>
      <x:c r="K68" s="31" t="n">
        <x:v>41.6676777746</x:v>
      </x:c>
      <x:c r="L68" s="31" t="n">
        <x:v>139.7585495146</x:v>
      </x:c>
      <x:c r="M68" s="31" t="n">
        <x:v>91.7595433314</x:v>
      </x:c>
      <x:c r="N68" s="24" t="str">
        <x:v>pampus argenteus</x:v>
      </x:c>
      <x:c r="O68" s="32" t="n">
        <x:v>3.3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Pampus argenteus</x:v>
      </x:c>
      <x:c r="T68" s="32" t="n">
        <x:f>IF(O68="","",(1/'Metadata'!$B$5)^(O68-1))</x:f>
        <x:v>199.52623149688787</x:v>
      </x:c>
      <x:c r="U68" s="31" t="n">
        <x:f>IF(T68="","",I68*T68)</x:f>
        <x:v>46193.932588908974</x:v>
      </x:c>
    </x:row>
    <x:row r="69" ht="18" customHeight="1">
      <x:c r="A69" s="24" t="str">
        <x:v>EEZ_157</x:v>
      </x:c>
      <x:c r="B69" s="24" t="str">
        <x:v>Taiwan</x:v>
      </x:c>
      <x:c r="C69" s="24" t="str">
        <x:v>EEZ</x:v>
      </x:c>
      <x:c r="D69" s="30" t="n">
        <x:v>2019</x:v>
      </x:c>
      <x:c r="E69" s="24" t="str">
        <x:v>Sphyraena</x:v>
      </x:c>
      <x:c r="F69" s="24" t="str">
        <x:v>Barracudas, sennets</x:v>
      </x:c>
      <x:c r="G69" s="24" t="str">
        <x:v>Large pelagics (&gt;=90 cm)</x:v>
      </x:c>
      <x:c r="H69" s="24" t="str">
        <x:v>Perch-likes</x:v>
      </x:c>
      <x:c r="I69" s="31" t="n">
        <x:v>220.95065455510002</x:v>
      </x:c>
      <x:c r="J69" s="31" t="n">
        <x:v>220.95065455510002</x:v>
      </x:c>
      <x:c r="K69" s="31" t="n">
        <x:v>0</x:v>
      </x:c>
      <x:c r="L69" s="31" t="n">
        <x:v>174.7523991957</x:v>
      </x:c>
      <x:c r="M69" s="31" t="n">
        <x:v>46.1982553594</x:v>
      </x:c>
      <x:c r="N69" s="24" t="str">
        <x:v>sphyraena</x:v>
      </x:c>
      <x:c r="O69" s="32" t="n">
        <x:v>4.4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Sphyraena</x:v>
      </x:c>
      <x:c r="T69" s="32" t="n">
        <x:f>IF(O69="","",(1/'Metadata'!$B$5)^(O69-1))</x:f>
        <x:v>2511.886431509582</x:v>
      </x:c>
      <x:c r="U69" s="31" t="n">
        <x:f>IF(T69="","",I69*T69)</x:f>
        <x:v>555002.9512101165</x:v>
      </x:c>
    </x:row>
    <x:row r="70" ht="18" customHeight="1">
      <x:c r="A70" s="24" t="str">
        <x:v>EEZ_157</x:v>
      </x:c>
      <x:c r="B70" s="24" t="str">
        <x:v>Taiwan</x:v>
      </x:c>
      <x:c r="C70" s="24" t="str">
        <x:v>EEZ</x:v>
      </x:c>
      <x:c r="D70" s="30" t="n">
        <x:v>2019</x:v>
      </x:c>
      <x:c r="E70" s="24" t="str">
        <x:v>Scomberomorus niphonius</x:v>
      </x:c>
      <x:c r="F70" s="24" t="str">
        <x:v>Japanese Spanish mackerel</x:v>
      </x:c>
      <x:c r="G70" s="24" t="str">
        <x:v>Large pelagics (&gt;=90 cm)</x:v>
      </x:c>
      <x:c r="H70" s="24" t="str">
        <x:v>Perch-likes</x:v>
      </x:c>
      <x:c r="I70" s="31" t="n">
        <x:v>216.3259961747</x:v>
      </x:c>
      <x:c r="J70" s="31" t="n">
        <x:v>175.5421394871</x:v>
      </x:c>
      <x:c r="K70" s="31" t="n">
        <x:v>40.7838566876</x:v>
      </x:c>
      <x:c r="L70" s="31" t="n">
        <x:v>175.5421394871</x:v>
      </x:c>
      <x:c r="M70" s="31" t="n">
        <x:v>40.7838566876</x:v>
      </x:c>
      <x:c r="N70" s="24" t="str">
        <x:v>scomberomorus niphonius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Scomberomorus niphonius</x:v>
      </x:c>
      <x:c r="T70" s="32" t="n">
        <x:f>IF(O70="","",(1/'Metadata'!$B$5)^(O70-1))</x:f>
        <x:v>3162.2776601683795</x:v>
      </x:c>
      <x:c r="U70" s="31" t="n">
        <x:f>IF(T70="","",I70*T70)</x:f>
        <x:v>684082.8650169241</x:v>
      </x:c>
    </x:row>
    <x:row r="71" ht="18" customHeight="1">
      <x:c r="A71" s="24" t="str">
        <x:v>EEZ_157</x:v>
      </x:c>
      <x:c r="B71" s="24" t="str">
        <x:v>Taiwan</x:v>
      </x:c>
      <x:c r="C71" s="24" t="str">
        <x:v>EEZ</x:v>
      </x:c>
      <x:c r="D71" s="30" t="n">
        <x:v>2019</x:v>
      </x:c>
      <x:c r="E71" s="24" t="str">
        <x:v>Parastromateus niger</x:v>
      </x:c>
      <x:c r="F71" s="24" t="str">
        <x:v>Black pomfret</x:v>
      </x:c>
      <x:c r="G71" s="24" t="str">
        <x:v>Medium benthopelagics (30 - 89 cm)</x:v>
      </x:c>
      <x:c r="H71" s="24" t="str">
        <x:v>Perch-likes</x:v>
      </x:c>
      <x:c r="I71" s="31" t="n">
        <x:v>190.12518868089998</x:v>
      </x:c>
      <x:c r="J71" s="31" t="n">
        <x:v>167.8101613126</x:v>
      </x:c>
      <x:c r="K71" s="31" t="n">
        <x:v>22.3150273683</x:v>
      </x:c>
      <x:c r="L71" s="31" t="n">
        <x:v>165.414708363</x:v>
      </x:c>
      <x:c r="M71" s="31" t="n">
        <x:v>24.7104803179</x:v>
      </x:c>
      <x:c r="N71" s="24" t="str">
        <x:v>parastromateus niger</x:v>
      </x:c>
      <x:c r="O71" s="32" t="n">
        <x:v>2.93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Parastromateus niger</x:v>
      </x:c>
      <x:c r="T71" s="32" t="n">
        <x:f>IF(O71="","",(1/'Metadata'!$B$5)^(O71-1))</x:f>
        <x:v>85.11380382023768</x:v>
      </x:c>
      <x:c r="U71" s="31" t="n">
        <x:f>IF(T71="","",I71*T71)</x:f>
        <x:v>16182.278010671795</x:v>
      </x:c>
    </x:row>
    <x:row r="72" ht="18" customHeight="1">
      <x:c r="A72" s="24" t="str">
        <x:v>EEZ_157</x:v>
      </x:c>
      <x:c r="B72" s="24" t="str">
        <x:v>Taiwan</x:v>
      </x:c>
      <x:c r="C72" s="24" t="str">
        <x:v>EEZ</x:v>
      </x:c>
      <x:c r="D72" s="30" t="n">
        <x:v>2019</x:v>
      </x:c>
      <x:c r="E72" s="24" t="str">
        <x:v>Lutjanidae</x:v>
      </x:c>
      <x:c r="F72" s="24" t="str">
        <x:v>Snappers</x:v>
      </x:c>
      <x:c r="G72" s="24" t="str">
        <x:v>Medium reef assoc. fish (30 - 89 cm)</x:v>
      </x:c>
      <x:c r="H72" s="24" t="str">
        <x:v>Perch-likes</x:v>
      </x:c>
      <x:c r="I72" s="31" t="n">
        <x:v>179.0619704091</x:v>
      </x:c>
      <x:c r="J72" s="31" t="n">
        <x:v>179.0619704091</x:v>
      </x:c>
      <x:c r="K72" s="31" t="n">
        <x:v>0</x:v>
      </x:c>
      <x:c r="L72" s="31" t="n">
        <x:v>90.4717180433</x:v>
      </x:c>
      <x:c r="M72" s="31" t="n">
        <x:v>88.5902523658</x:v>
      </x:c>
      <x:c r="N72" s="24" t="str">
        <x:v>lutjanidae</x:v>
      </x:c>
      <x:c r="O72" s="32" t="n">
        <x:v>4.02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Lutjanidae</x:v>
      </x:c>
      <x:c r="T72" s="32" t="n">
        <x:f>IF(O72="","",(1/'Metadata'!$B$5)^(O72-1))</x:f>
        <x:v>1047.1285480508984</x:v>
      </x:c>
      <x:c r="U72" s="31" t="n">
        <x:f>IF(T72="","",I72*T72)</x:f>
        <x:v>187500.90108561382</x:v>
      </x:c>
    </x:row>
    <x:row r="73" ht="18" customHeight="1">
      <x:c r="A73" s="24" t="str">
        <x:v>EEZ_157</x:v>
      </x:c>
      <x:c r="B73" s="24" t="str">
        <x:v>Taiwan</x:v>
      </x:c>
      <x:c r="C73" s="24" t="str">
        <x:v>EEZ</x:v>
      </x:c>
      <x:c r="D73" s="30" t="n">
        <x:v>2019</x:v>
      </x:c>
      <x:c r="E73" s="24" t="str">
        <x:v>Stromateidae</x:v>
      </x:c>
      <x:c r="F73" s="24" t="str">
        <x:v>Butterfishes</x:v>
      </x:c>
      <x:c r="G73" s="24" t="str">
        <x:v>Small benthopelagics (&lt;30 cm)</x:v>
      </x:c>
      <x:c r="H73" s="24" t="str">
        <x:v>Perch-likes</x:v>
      </x:c>
      <x:c r="I73" s="31" t="n">
        <x:v>177.7701300874</x:v>
      </x:c>
      <x:c r="J73" s="31" t="n">
        <x:v>177.7701300874</x:v>
      </x:c>
      <x:c r="K73" s="31" t="n">
        <x:v>0</x:v>
      </x:c>
      <x:c r="L73" s="31" t="n">
        <x:v>154.6121151637</x:v>
      </x:c>
      <x:c r="M73" s="31" t="n">
        <x:v>23.1580149237</x:v>
      </x:c>
      <x:c r="N73" s="24" t="str">
        <x:v>stromateidae</x:v>
      </x:c>
      <x:c r="O73" s="32" t="n">
        <x:v>3.62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Stromateidae</x:v>
      </x:c>
      <x:c r="T73" s="32" t="n">
        <x:f>IF(O73="","",(1/'Metadata'!$B$5)^(O73-1))</x:f>
        <x:v>416.8693834703355</x:v>
      </x:c>
      <x:c r="U73" s="31" t="n">
        <x:f>IF(T73="","",I73*T73)</x:f>
        <x:v>74106.92452897577</x:v>
      </x:c>
    </x:row>
    <x:row r="74" ht="18" customHeight="1">
      <x:c r="A74" s="24" t="str">
        <x:v>EEZ_157</x:v>
      </x:c>
      <x:c r="B74" s="24" t="str">
        <x:v>Taiwan</x:v>
      </x:c>
      <x:c r="C74" s="24" t="str">
        <x:v>EEZ</x:v>
      </x:c>
      <x:c r="D74" s="30" t="n">
        <x:v>2019</x:v>
      </x:c>
      <x:c r="E74" s="24" t="str">
        <x:v>Penaeus japonicus</x:v>
      </x:c>
      <x:c r="F74" s="24" t="str">
        <x:v>Kuruma prawn</x:v>
      </x:c>
      <x:c r="G74" s="24" t="str">
        <x:v>Shrimps</x:v>
      </x:c>
      <x:c r="H74" s="24" t="str">
        <x:v>Crustaceans</x:v>
      </x:c>
      <x:c r="I74" s="31" t="n">
        <x:v>175.1689814789</x:v>
      </x:c>
      <x:c r="J74" s="31" t="n">
        <x:v>16.8790518737</x:v>
      </x:c>
      <x:c r="K74" s="31" t="n">
        <x:v>158.2899296052</x:v>
      </x:c>
      <x:c r="L74" s="31" t="n">
        <x:v>16.8790518737</x:v>
      </x:c>
      <x:c r="M74" s="31" t="n">
        <x:v>158.2899296052</x:v>
      </x:c>
      <x:c r="N74" s="24" t="str">
        <x:v>penaeus japonicus</x:v>
      </x:c>
      <x:c r="O74" s="32" t="n">
        <x:v>2.7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Penaeus japonicus</x:v>
      </x:c>
      <x:c r="T74" s="32" t="n">
        <x:f>IF(O74="","",(1/'Metadata'!$B$5)^(O74-1))</x:f>
        <x:v>50.11872336272725</x:v>
      </x:c>
      <x:c r="U74" s="31" t="n">
        <x:f>IF(T74="","",I74*T74)</x:f>
        <x:v>8779.245724471682</x:v>
      </x:c>
    </x:row>
    <x:row r="75" ht="18" customHeight="1">
      <x:c r="A75" s="24" t="str">
        <x:v>EEZ_157</x:v>
      </x:c>
      <x:c r="B75" s="24" t="str">
        <x:v>Taiwan</x:v>
      </x:c>
      <x:c r="C75" s="24" t="str">
        <x:v>EEZ</x:v>
      </x:c>
      <x:c r="D75" s="30" t="n">
        <x:v>2019</x:v>
      </x:c>
      <x:c r="E75" s="24" t="str">
        <x:v>Pagrus auratus</x:v>
      </x:c>
      <x:c r="F75" s="24" t="str">
        <x:v>Silver seabream</x:v>
      </x:c>
      <x:c r="G75" s="24" t="str">
        <x:v>Large demersals (&gt;=90 cm)</x:v>
      </x:c>
      <x:c r="H75" s="24" t="str">
        <x:v>Perch-likes</x:v>
      </x:c>
      <x:c r="I75" s="31" t="n">
        <x:v>168.6829523326</x:v>
      </x:c>
      <x:c r="J75" s="31" t="n">
        <x:v>168.6829523326</x:v>
      </x:c>
      <x:c r="K75" s="31" t="n">
        <x:v>0</x:v>
      </x:c>
      <x:c r="L75" s="31" t="n">
        <x:v>151.9114668638</x:v>
      </x:c>
      <x:c r="M75" s="31" t="n">
        <x:v>16.771485468799998</x:v>
      </x:c>
      <x:c r="N75" s="24" t="str">
        <x:v>pagrus auratus</x:v>
      </x:c>
      <x:c r="O75" s="32" t="n">
        <x:v>3.59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Pagrus auratus</x:v>
      </x:c>
      <x:c r="T75" s="32" t="n">
        <x:f>IF(O75="","",(1/'Metadata'!$B$5)^(O75-1))</x:f>
        <x:v>389.04514499428046</x:v>
      </x:c>
      <x:c r="U75" s="31" t="n">
        <x:f>IF(T75="","",I75*T75)</x:f>
        <x:v>65625.28364829966</x:v>
      </x:c>
    </x:row>
    <x:row r="76" ht="18" customHeight="1">
      <x:c r="A76" s="24" t="str">
        <x:v>EEZ_157</x:v>
      </x:c>
      <x:c r="B76" s="24" t="str">
        <x:v>Taiwan</x:v>
      </x:c>
      <x:c r="C76" s="24" t="str">
        <x:v>EEZ</x:v>
      </x:c>
      <x:c r="D76" s="30" t="n">
        <x:v>2019</x:v>
      </x:c>
      <x:c r="E76" s="24" t="str">
        <x:v>Metapenaeus</x:v>
      </x:c>
      <x:c r="F76" s="24" t="str">
        <x:v>Indo-Pacific prawns</x:v>
      </x:c>
      <x:c r="G76" s="24" t="str">
        <x:v>Shrimps</x:v>
      </x:c>
      <x:c r="H76" s="24" t="str">
        <x:v>Crustaceans</x:v>
      </x:c>
      <x:c r="I76" s="31" t="n">
        <x:v>130.2164610664</x:v>
      </x:c>
      <x:c r="J76" s="31" t="n">
        <x:v>130.2164610664</x:v>
      </x:c>
      <x:c r="K76" s="31" t="n">
        <x:v>0</x:v>
      </x:c>
      <x:c r="L76" s="31" t="n">
        <x:v>13.5032414991</x:v>
      </x:c>
      <x:c r="M76" s="31" t="n">
        <x:v>116.7132195673</x:v>
      </x:c>
      <x:c r="N76" s="24" t="str">
        <x:v>metapenaeus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Metapenaeus</x:v>
      </x:c>
      <x:c r="T76" s="32" t="n">
        <x:f>IF(O76="","",(1/'Metadata'!$B$5)^(O76-1))</x:f>
        <x:v>50.11872336272725</x:v>
      </x:c>
      <x:c r="U76" s="31" t="n">
        <x:f>IF(T76="","",I76*T76)</x:f>
        <x:v>6526.282789460245</x:v>
      </x:c>
    </x:row>
    <x:row r="77" ht="18" customHeight="1">
      <x:c r="A77" s="24" t="str">
        <x:v>EEZ_157</x:v>
      </x:c>
      <x:c r="B77" s="24" t="str">
        <x:v>Taiwan</x:v>
      </x:c>
      <x:c r="C77" s="24" t="str">
        <x:v>EEZ</x:v>
      </x:c>
      <x:c r="D77" s="30" t="n">
        <x:v>2019</x:v>
      </x:c>
      <x:c r="E77" s="24" t="str">
        <x:v>Ariidae</x:v>
      </x:c>
      <x:c r="F77" s="24" t="str">
        <x:v>Sea catfishes, coblers</x:v>
      </x:c>
      <x:c r="G77" s="24" t="str">
        <x:v>Medium demersals (30 - 89 cm)</x:v>
      </x:c>
      <x:c r="H77" s="24" t="str">
        <x:v>Other fishes &amp; inverts</x:v>
      </x:c>
      <x:c r="I77" s="31" t="n">
        <x:v>129.2150223318</x:v>
      </x:c>
      <x:c r="J77" s="31" t="n">
        <x:v>117.3166089113</x:v>
      </x:c>
      <x:c r="K77" s="31" t="n">
        <x:v>11.898413420499999</x:v>
      </x:c>
      <x:c r="L77" s="31" t="n">
        <x:v>62.7900729704</x:v>
      </x:c>
      <x:c r="M77" s="31" t="n">
        <x:v>66.4249493614</x:v>
      </x:c>
      <x:c r="N77" s="24" t="str">
        <x:v>ariidae</x:v>
      </x:c>
      <x:c r="O77" s="32" t="n">
        <x:v>3.48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Ariidae</x:v>
      </x:c>
      <x:c r="T77" s="32" t="n">
        <x:f>IF(O77="","",(1/'Metadata'!$B$5)^(O77-1))</x:f>
        <x:v>301.9951720402016</x:v>
      </x:c>
      <x:c r="U77" s="31" t="n">
        <x:f>IF(T77="","",I77*T77)</x:f>
        <x:v>39022.31289927043</x:v>
      </x:c>
    </x:row>
    <x:row r="78" ht="18" customHeight="1">
      <x:c r="A78" s="24" t="str">
        <x:v>EEZ_157</x:v>
      </x:c>
      <x:c r="B78" s="24" t="str">
        <x:v>Taiwan</x:v>
      </x:c>
      <x:c r="C78" s="24" t="str">
        <x:v>EEZ</x:v>
      </x:c>
      <x:c r="D78" s="30" t="n">
        <x:v>2019</x:v>
      </x:c>
      <x:c r="E78" s="24" t="str">
        <x:v>Magallana gigas</x:v>
      </x:c>
      <x:c r="F78" s="24" t="str">
        <x:v>Pacific cupped oyster</x:v>
      </x:c>
      <x:c r="G78" s="24" t="str">
        <x:v>Other demersal invertebrates</x:v>
      </x:c>
      <x:c r="H78" s="24" t="str">
        <x:v>Molluscs</x:v>
      </x:c>
      <x:c r="I78" s="31" t="n">
        <x:v>123.2696995295</x:v>
      </x:c>
      <x:c r="J78" s="31" t="n">
        <x:v>123.2696995295</x:v>
      </x:c>
      <x:c r="K78" s="31" t="n">
        <x:v>0</x:v>
      </x:c>
      <x:c r="L78" s="31" t="n">
        <x:v>81</x:v>
      </x:c>
      <x:c r="M78" s="31" t="n">
        <x:v>42.2696995295</x:v>
      </x:c>
      <x:c r="N78" s="24" t="str">
        <x:v>magallana gigas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Magallana gigas</x:v>
      </x:c>
      <x:c r="T78" s="32" t="n">
        <x:f>IF(O78="","",(1/'Metadata'!$B$5)^(O78-1))</x:f>
        <x:v>10</x:v>
      </x:c>
      <x:c r="U78" s="31" t="n">
        <x:f>IF(T78="","",I78*T78)</x:f>
        <x:v>1232.696995295</x:v>
      </x:c>
    </x:row>
    <x:row r="79" ht="18" customHeight="1">
      <x:c r="A79" s="24" t="str">
        <x:v>EEZ_157</x:v>
      </x:c>
      <x:c r="B79" s="24" t="str">
        <x:v>Taiwan</x:v>
      </x:c>
      <x:c r="C79" s="24" t="str">
        <x:v>EEZ</x:v>
      </x:c>
      <x:c r="D79" s="30" t="n">
        <x:v>2019</x:v>
      </x:c>
      <x:c r="E79" s="24" t="str">
        <x:v>Megalaspis cordyla</x:v>
      </x:c>
      <x:c r="F79" s="24" t="str">
        <x:v>Torpedo scad</x:v>
      </x:c>
      <x:c r="G79" s="24" t="str">
        <x:v>Medium pelagics (30 - 89 cm)</x:v>
      </x:c>
      <x:c r="H79" s="24" t="str">
        <x:v>Perch-likes</x:v>
      </x:c>
      <x:c r="I79" s="31" t="n">
        <x:v>121.365096613</x:v>
      </x:c>
      <x:c r="J79" s="31" t="n">
        <x:v>113.76617867910001</x:v>
      </x:c>
      <x:c r="K79" s="31" t="n">
        <x:v>7.5989179339</x:v>
      </x:c>
      <x:c r="L79" s="31" t="n">
        <x:v>35.8014821252</x:v>
      </x:c>
      <x:c r="M79" s="31" t="n">
        <x:v>85.5636144878</x:v>
      </x:c>
      <x:c r="N79" s="24" t="str">
        <x:v>megalaspis cordyla</x:v>
      </x:c>
      <x:c r="O79" s="32" t="n">
        <x:v>4.24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Megalaspis cordyla</x:v>
      </x:c>
      <x:c r="T79" s="32" t="n">
        <x:f>IF(O79="","",(1/'Metadata'!$B$5)^(O79-1))</x:f>
        <x:v>1737.8008287493763</x:v>
      </x:c>
      <x:c r="U79" s="31" t="n">
        <x:f>IF(T79="","",I79*T79)</x:f>
        <x:v>210908.36547531953</x:v>
      </x:c>
    </x:row>
    <x:row r="80" ht="18" customHeight="1">
      <x:c r="A80" s="24" t="str">
        <x:v>EEZ_157</x:v>
      </x:c>
      <x:c r="B80" s="24" t="str">
        <x:v>Taiwan</x:v>
      </x:c>
      <x:c r="C80" s="24" t="str">
        <x:v>EEZ</x:v>
      </x:c>
      <x:c r="D80" s="30" t="n">
        <x:v>2019</x:v>
      </x:c>
      <x:c r="E80" s="24" t="str">
        <x:v>Evynnis tumifrons</x:v>
      </x:c>
      <x:c r="F80" s="24" t="str">
        <x:v>Yellowback seabream</x:v>
      </x:c>
      <x:c r="G80" s="24" t="str">
        <x:v>Medium demersals (30 - 89 cm)</x:v>
      </x:c>
      <x:c r="H80" s="24" t="str">
        <x:v>Perch-likes</x:v>
      </x:c>
      <x:c r="I80" s="31" t="n">
        <x:v>115.5438135973</x:v>
      </x:c>
      <x:c r="J80" s="31" t="n">
        <x:v>0</x:v>
      </x:c>
      <x:c r="K80" s="31" t="n">
        <x:v>115.5438135973</x:v>
      </x:c>
      <x:c r="L80" s="31" t="n">
        <x:v>0</x:v>
      </x:c>
      <x:c r="M80" s="31" t="n">
        <x:v>115.5438135973</x:v>
      </x:c>
      <x:c r="N80" s="24" t="str">
        <x:v>evynnis tumifrons</x:v>
      </x:c>
      <x:c r="O80" s="32" t="n">
        <x:v>3.97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Evynnis tumifrons</x:v>
      </x:c>
      <x:c r="T80" s="32" t="n">
        <x:f>IF(O80="","",(1/'Metadata'!$B$5)^(O80-1))</x:f>
        <x:v>933.2543007969915</x:v>
      </x:c>
      <x:c r="U80" s="31" t="n">
        <x:f>IF(T80="","",I80*T80)</x:f>
        <x:v>107831.76097016613</x:v>
      </x:c>
    </x:row>
    <x:row r="81" ht="18" customHeight="1">
      <x:c r="A81" s="24" t="str">
        <x:v>EEZ_157</x:v>
      </x:c>
      <x:c r="B81" s="24" t="str">
        <x:v>Taiwan</x:v>
      </x:c>
      <x:c r="C81" s="24" t="str">
        <x:v>EEZ</x:v>
      </x:c>
      <x:c r="D81" s="30" t="n">
        <x:v>2019</x:v>
      </x:c>
      <x:c r="E81" s="24" t="str">
        <x:v>Katsuwonus pelamis</x:v>
      </x:c>
      <x:c r="F81" s="24" t="str">
        <x:v>Skipjack tuna</x:v>
      </x:c>
      <x:c r="G81" s="24" t="str">
        <x:v>Large pelagics (&gt;=90 cm)</x:v>
      </x:c>
      <x:c r="H81" s="24" t="str">
        <x:v>Tuna &amp; billfishes</x:v>
      </x:c>
      <x:c r="I81" s="31" t="n">
        <x:v>115.52067274519999</x:v>
      </x:c>
      <x:c r="J81" s="31" t="n">
        <x:v>53.338005641500004</x:v>
      </x:c>
      <x:c r="K81" s="31" t="n">
        <x:v>62.1826671037</x:v>
      </x:c>
      <x:c r="L81" s="31" t="n">
        <x:v>53.338005641500004</x:v>
      </x:c>
      <x:c r="M81" s="31" t="n">
        <x:v>62.1826671037</x:v>
      </x:c>
      <x:c r="N81" s="24" t="str">
        <x:v>katsuwonus pelamis</x:v>
      </x:c>
      <x:c r="O81" s="32" t="n">
        <x:v>4.43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Katsuwonus pelamis</x:v>
      </x:c>
      <x:c r="T81" s="32" t="n">
        <x:f>IF(O81="","",(1/'Metadata'!$B$5)^(O81-1))</x:f>
        <x:v>2691.534803926914</x:v>
      </x:c>
      <x:c r="U81" s="31" t="n">
        <x:f>IF(T81="","",I81*T81)</x:f>
        <x:v>310927.911266757</x:v>
      </x:c>
    </x:row>
    <x:row r="82" ht="18" customHeight="1">
      <x:c r="A82" s="24" t="str">
        <x:v>EEZ_157</x:v>
      </x:c>
      <x:c r="B82" s="24" t="str">
        <x:v>Taiwan</x:v>
      </x:c>
      <x:c r="C82" s="24" t="str">
        <x:v>EEZ</x:v>
      </x:c>
      <x:c r="D82" s="30" t="n">
        <x:v>2019</x:v>
      </x:c>
      <x:c r="E82" s="24" t="str">
        <x:v>Muraenidae</x:v>
      </x:c>
      <x:c r="F82" s="24" t="str">
        <x:v>Moray eels</x:v>
      </x:c>
      <x:c r="G82" s="24" t="str">
        <x:v>Large reef assoc. fish (&gt;=90 cm)</x:v>
      </x:c>
      <x:c r="H82" s="24" t="str">
        <x:v>Other fishes &amp; inverts</x:v>
      </x:c>
      <x:c r="I82" s="31" t="n">
        <x:v>99.7804013135</x:v>
      </x:c>
      <x:c r="J82" s="31" t="n">
        <x:v>0</x:v>
      </x:c>
      <x:c r="K82" s="31" t="n">
        <x:v>99.7804013135</x:v>
      </x:c>
      <x:c r="L82" s="31" t="n">
        <x:v>0</x:v>
      </x:c>
      <x:c r="M82" s="31" t="n">
        <x:v>99.7804013135</x:v>
      </x:c>
      <x:c r="N82" s="24" t="str">
        <x:v>muraenidae</x:v>
      </x:c>
      <x:c r="O82" s="32" t="n">
        <x:v>4.07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Muraenidae</x:v>
      </x:c>
      <x:c r="T82" s="32" t="n">
        <x:f>IF(O82="","",(1/'Metadata'!$B$5)^(O82-1))</x:f>
        <x:v>1174.8975549395302</x:v>
      </x:c>
      <x:c r="U82" s="31" t="n">
        <x:f>IF(T82="","",I82*T82)</x:f>
        <x:v>117231.74953411623</x:v>
      </x:c>
    </x:row>
    <x:row r="83" ht="18" customHeight="1">
      <x:c r="A83" s="24" t="str">
        <x:v>EEZ_157</x:v>
      </x:c>
      <x:c r="B83" s="24" t="str">
        <x:v>Taiwan</x:v>
      </x:c>
      <x:c r="C83" s="24" t="str">
        <x:v>EEZ</x:v>
      </x:c>
      <x:c r="D83" s="30" t="n">
        <x:v>2019</x:v>
      </x:c>
      <x:c r="E83" s="24" t="str">
        <x:v>Lateolabrax japonicus</x:v>
      </x:c>
      <x:c r="F83" s="24" t="str">
        <x:v>Japanese seabass</x:v>
      </x:c>
      <x:c r="G83" s="24" t="str">
        <x:v>Medium reef assoc. fish (30 - 89 cm)</x:v>
      </x:c>
      <x:c r="H83" s="24" t="str">
        <x:v>Perch-likes</x:v>
      </x:c>
      <x:c r="I83" s="31" t="n">
        <x:v>94.4786453882</x:v>
      </x:c>
      <x:c r="J83" s="31" t="n">
        <x:v>94.4786453882</x:v>
      </x:c>
      <x:c r="K83" s="31" t="n">
        <x:v>0</x:v>
      </x:c>
      <x:c r="L83" s="31" t="n">
        <x:v>39.1876213945</x:v>
      </x:c>
      <x:c r="M83" s="31" t="n">
        <x:v>55.2910239937</x:v>
      </x:c>
      <x:c r="N83" s="24" t="str">
        <x:v>lateolabrax japonicus</x:v>
      </x:c>
      <x:c r="O83" s="32" t="n">
        <x:v>3.36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Lateolabrax japonicus</x:v>
      </x:c>
      <x:c r="T83" s="32" t="n">
        <x:f>IF(O83="","",(1/'Metadata'!$B$5)^(O83-1))</x:f>
        <x:v>229.08676527677724</x:v>
      </x:c>
      <x:c r="U83" s="31" t="n">
        <x:f>IF(T83="","",I83*T83)</x:f>
        <x:v>21643.807259714446</x:v>
      </x:c>
    </x:row>
    <x:row r="84" ht="18" customHeight="1">
      <x:c r="A84" s="24" t="str">
        <x:v>EEZ_157</x:v>
      </x:c>
      <x:c r="B84" s="24" t="str">
        <x:v>Taiwan</x:v>
      </x:c>
      <x:c r="C84" s="24" t="str">
        <x:v>EEZ</x:v>
      </x:c>
      <x:c r="D84" s="30" t="n">
        <x:v>2019</x:v>
      </x:c>
      <x:c r="E84" s="24" t="str">
        <x:v>Carangidae</x:v>
      </x:c>
      <x:c r="F84" s="24" t="str">
        <x:v>Jacks, pompanos</x:v>
      </x:c>
      <x:c r="G84" s="24" t="str">
        <x:v>Medium pelagics (30 - 89 cm)</x:v>
      </x:c>
      <x:c r="H84" s="24" t="str">
        <x:v>Perch-likes</x:v>
      </x:c>
      <x:c r="I84" s="31" t="n">
        <x:v>91.3041807061</x:v>
      </x:c>
      <x:c r="J84" s="31" t="n">
        <x:v>91.3041807061</x:v>
      </x:c>
      <x:c r="K84" s="31" t="n">
        <x:v>0</x:v>
      </x:c>
      <x:c r="L84" s="31" t="n">
        <x:v>0</x:v>
      </x:c>
      <x:c r="M84" s="31" t="n">
        <x:v>91.3041807061</x:v>
      </x:c>
      <x:c r="N84" s="24" t="str">
        <x:v>carangidae</x:v>
      </x:c>
      <x:c r="O84" s="32" t="n">
        <x:v>4.05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Carangidae</x:v>
      </x:c>
      <x:c r="T84" s="32" t="n">
        <x:f>IF(O84="","",(1/'Metadata'!$B$5)^(O84-1))</x:f>
        <x:v>1122.018454301963</x:v>
      </x:c>
      <x:c r="U84" s="31" t="n">
        <x:f>IF(T84="","",I84*T84)</x:f>
        <x:v>102444.97570716543</x:v>
      </x:c>
    </x:row>
    <x:row r="85" ht="18" customHeight="1">
      <x:c r="A85" s="24" t="str">
        <x:v>EEZ_157</x:v>
      </x:c>
      <x:c r="B85" s="24" t="str">
        <x:v>Taiwan</x:v>
      </x:c>
      <x:c r="C85" s="24" t="str">
        <x:v>EEZ</x:v>
      </x:c>
      <x:c r="D85" s="30" t="n">
        <x:v>2019</x:v>
      </x:c>
      <x:c r="E85" s="24" t="str">
        <x:v>Mierspenaeopsis hardwickii</x:v>
      </x:c>
      <x:c r="F85" s="24" t="str">
        <x:v>Spear shrimp</x:v>
      </x:c>
      <x:c r="G85" s="24" t="str">
        <x:v>Shrimps</x:v>
      </x:c>
      <x:c r="H85" s="24" t="str">
        <x:v>Crustaceans</x:v>
      </x:c>
      <x:c r="I85" s="31" t="n">
        <x:v>90.66205253</x:v>
      </x:c>
      <x:c r="J85" s="31" t="n">
        <x:v>0</x:v>
      </x:c>
      <x:c r="K85" s="31" t="n">
        <x:v>90.66205253</x:v>
      </x:c>
      <x:c r="L85" s="31" t="n">
        <x:v>0</x:v>
      </x:c>
      <x:c r="M85" s="31" t="n">
        <x:v>90.66205253</x:v>
      </x:c>
      <x:c r="N85" s="24" t="str">
        <x:v>mierspenaeopsis hardwickii</x:v>
      </x:c>
      <x:c r="O85" s="32" t="n">
        <x:v>2.71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Mierspenaeopsis hardwickii</x:v>
      </x:c>
      <x:c r="T85" s="32" t="n">
        <x:f>IF(O85="","",(1/'Metadata'!$B$5)^(O85-1))</x:f>
        <x:v>51.28613839913648</x:v>
      </x:c>
      <x:c r="U85" s="31" t="n">
        <x:f>IF(T85="","",I85*T85)</x:f>
        <x:v>4649.706573603362</x:v>
      </x:c>
    </x:row>
    <x:row r="86" ht="18" customHeight="1">
      <x:c r="A86" s="24" t="str">
        <x:v>EEZ_157</x:v>
      </x:c>
      <x:c r="B86" s="24" t="str">
        <x:v>Taiwan</x:v>
      </x:c>
      <x:c r="C86" s="24" t="str">
        <x:v>EEZ</x:v>
      </x:c>
      <x:c r="D86" s="30" t="n">
        <x:v>2019</x:v>
      </x:c>
      <x:c r="E86" s="24" t="str">
        <x:v>Nemipterus virgatus</x:v>
      </x:c>
      <x:c r="F86" s="24" t="str">
        <x:v>Golden threadfin bream</x:v>
      </x:c>
      <x:c r="G86" s="24" t="str">
        <x:v>Medium demersals (30 - 89 cm)</x:v>
      </x:c>
      <x:c r="H86" s="24" t="str">
        <x:v>Perch-likes</x:v>
      </x:c>
      <x:c r="I86" s="31" t="n">
        <x:v>89.7342360292</x:v>
      </x:c>
      <x:c r="J86" s="31" t="n">
        <x:v>17.5542139487</x:v>
      </x:c>
      <x:c r="K86" s="31" t="n">
        <x:v>72.1800220805</x:v>
      </x:c>
      <x:c r="L86" s="31" t="n">
        <x:v>17.5542139487</x:v>
      </x:c>
      <x:c r="M86" s="31" t="n">
        <x:v>72.1800220805</x:v>
      </x:c>
      <x:c r="N86" s="24" t="str">
        <x:v>nemipterus virgatus</x:v>
      </x:c>
      <x:c r="O86" s="32" t="n">
        <x:v>3.99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Nemipterus virgatus</x:v>
      </x:c>
      <x:c r="T86" s="32" t="n">
        <x:f>IF(O86="","",(1/'Metadata'!$B$5)^(O86-1))</x:f>
        <x:v>977.2372209558112</x:v>
      </x:c>
      <x:c r="U86" s="31" t="n">
        <x:f>IF(T86="","",I86*T86)</x:f>
        <x:v>87691.63544176823</x:v>
      </x:c>
    </x:row>
    <x:row r="87" ht="18" customHeight="1">
      <x:c r="A87" s="24" t="str">
        <x:v>EEZ_157</x:v>
      </x:c>
      <x:c r="B87" s="24" t="str">
        <x:v>Taiwan</x:v>
      </x:c>
      <x:c r="C87" s="24" t="str">
        <x:v>EEZ</x:v>
      </x:c>
      <x:c r="D87" s="30" t="n">
        <x:v>2019</x:v>
      </x:c>
      <x:c r="E87" s="24" t="str">
        <x:v>Ibacus ciliatus</x:v>
      </x:c>
      <x:c r="F87" s="24" t="str">
        <x:v>Sand Crayfish</x:v>
      </x:c>
      <x:c r="G87" s="24" t="str">
        <x:v>Lobsters, crabs</x:v>
      </x:c>
      <x:c r="H87" s="24" t="str">
        <x:v>Crustaceans</x:v>
      </x:c>
      <x:c r="I87" s="31" t="n">
        <x:v>88.5715763802</x:v>
      </x:c>
      <x:c r="J87" s="31" t="n">
        <x:v>1.3503241498999998</x:v>
      </x:c>
      <x:c r="K87" s="31" t="n">
        <x:v>87.2212522303</x:v>
      </x:c>
      <x:c r="L87" s="31" t="n">
        <x:v>1.3503241498999998</x:v>
      </x:c>
      <x:c r="M87" s="31" t="n">
        <x:v>87.2212522303</x:v>
      </x:c>
      <x:c r="N87" s="24" t="str">
        <x:v>ibacus ciliatus</x:v>
      </x:c>
      <x:c r="O87" s="32" t="n">
        <x:v>2.6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Ibacus ciliatus</x:v>
      </x:c>
      <x:c r="T87" s="32" t="n">
        <x:f>IF(O87="","",(1/'Metadata'!$B$5)^(O87-1))</x:f>
        <x:v>39.810717055349734</x:v>
      </x:c>
      <x:c r="U87" s="31" t="n">
        <x:f>IF(T87="","",I87*T87)</x:f>
        <x:v>3526.0979664184397</x:v>
      </x:c>
    </x:row>
    <x:row r="88" ht="18" customHeight="1">
      <x:c r="A88" s="24" t="str">
        <x:v>EEZ_157</x:v>
      </x:c>
      <x:c r="B88" s="24" t="str">
        <x:v>Taiwan</x:v>
      </x:c>
      <x:c r="C88" s="24" t="str">
        <x:v>EEZ</x:v>
      </x:c>
      <x:c r="D88" s="30" t="n">
        <x:v>2019</x:v>
      </x:c>
      <x:c r="E88" s="24" t="str">
        <x:v>Pagrus major</x:v>
      </x:c>
      <x:c r="F88" s="24" t="str">
        <x:v>Japanese seabream</x:v>
      </x:c>
      <x:c r="G88" s="24" t="str">
        <x:v>Large demersals (&gt;=90 cm)</x:v>
      </x:c>
      <x:c r="H88" s="24" t="str">
        <x:v>Perch-likes</x:v>
      </x:c>
      <x:c r="I88" s="31" t="n">
        <x:v>78.01160390480001</x:v>
      </x:c>
      <x:c r="J88" s="31" t="n">
        <x:v>43.4078883815</x:v>
      </x:c>
      <x:c r="K88" s="31" t="n">
        <x:v>34.603715523300004</x:v>
      </x:c>
      <x:c r="L88" s="31" t="n">
        <x:v>0</x:v>
      </x:c>
      <x:c r="M88" s="31" t="n">
        <x:v>78.01160390480001</x:v>
      </x:c>
      <x:c r="N88" s="24" t="str">
        <x:v>pagrus major</x:v>
      </x:c>
      <x:c r="O88" s="32" t="n">
        <x:v>3.7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Pagrus major</x:v>
      </x:c>
      <x:c r="T88" s="32" t="n">
        <x:f>IF(O88="","",(1/'Metadata'!$B$5)^(O88-1))</x:f>
        <x:v>501.18723362727246</x:v>
      </x:c>
      <x:c r="U88" s="31" t="n">
        <x:f>IF(T88="","",I88*T88)</x:f>
        <x:v>39098.41995187324</x:v>
      </x:c>
    </x:row>
    <x:row r="89" ht="18" customHeight="1">
      <x:c r="A89" s="24" t="str">
        <x:v>EEZ_157</x:v>
      </x:c>
      <x:c r="B89" s="24" t="str">
        <x:v>Taiwan</x:v>
      </x:c>
      <x:c r="C89" s="24" t="str">
        <x:v>EEZ</x:v>
      </x:c>
      <x:c r="D89" s="30" t="n">
        <x:v>2019</x:v>
      </x:c>
      <x:c r="E89" s="24" t="str">
        <x:v>Clupeidae</x:v>
      </x:c>
      <x:c r="F89" s="24" t="str">
        <x:v>Herrings, sardines, menhadens</x:v>
      </x:c>
      <x:c r="G89" s="24" t="str">
        <x:v>Small pelagics (&lt;30 cm)</x:v>
      </x:c>
      <x:c r="H89" s="24" t="str">
        <x:v>Herring-likes</x:v>
      </x:c>
      <x:c r="I89" s="31" t="n">
        <x:v>73.8140442993</x:v>
      </x:c>
      <x:c r="J89" s="31" t="n">
        <x:v>0</x:v>
      </x:c>
      <x:c r="K89" s="31" t="n">
        <x:v>73.8140442993</x:v>
      </x:c>
      <x:c r="L89" s="31" t="n">
        <x:v>0</x:v>
      </x:c>
      <x:c r="M89" s="31" t="n">
        <x:v>73.8140442993</x:v>
      </x:c>
      <x:c r="N89" s="24" t="str">
        <x:v>clupeidae</x:v>
      </x:c>
      <x:c r="O89" s="32" t="n">
        <x:v>3.16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Clupeidae</x:v>
      </x:c>
      <x:c r="T89" s="32" t="n">
        <x:f>IF(O89="","",(1/'Metadata'!$B$5)^(O89-1))</x:f>
        <x:v>144.5439770745928</x:v>
      </x:c>
      <x:c r="U89" s="31" t="n">
        <x:f>IF(T89="","",I89*T89)</x:f>
        <x:v>10669.375526980995</x:v>
      </x:c>
    </x:row>
    <x:row r="90" ht="18" customHeight="1">
      <x:c r="A90" s="24" t="str">
        <x:v>EEZ_157</x:v>
      </x:c>
      <x:c r="B90" s="24" t="str">
        <x:v>Taiwan</x:v>
      </x:c>
      <x:c r="C90" s="24" t="str">
        <x:v>EEZ</x:v>
      </x:c>
      <x:c r="D90" s="30" t="n">
        <x:v>2019</x:v>
      </x:c>
      <x:c r="E90" s="24" t="str">
        <x:v>Cypselurus</x:v>
      </x:c>
      <x:c r="F90" s="24" t="str">
        <x:v>Cypselurid flyingfishes</x:v>
      </x:c>
      <x:c r="G90" s="24" t="str">
        <x:v>Small pelagics (&lt;30 cm)</x:v>
      </x:c>
      <x:c r="H90" s="24" t="str">
        <x:v>Other fishes &amp; inverts</x:v>
      </x:c>
      <x:c r="I90" s="31" t="n">
        <x:v>71.3602389379</x:v>
      </x:c>
      <x:c r="J90" s="31" t="n">
        <x:v>71.3602389379</x:v>
      </x:c>
      <x:c r="K90" s="31" t="n">
        <x:v>0</x:v>
      </x:c>
      <x:c r="L90" s="31" t="n">
        <x:v>29.5123733327</x:v>
      </x:c>
      <x:c r="M90" s="31" t="n">
        <x:v>41.8478656052</x:v>
      </x:c>
      <x:c r="N90" s="24" t="str">
        <x:v>cypselurus</x:v>
      </x:c>
      <x:c r="O90" s="32" t="n">
        <x:v>3.4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Cypselurus</x:v>
      </x:c>
      <x:c r="T90" s="32" t="n">
        <x:f>IF(O90="","",(1/'Metadata'!$B$5)^(O90-1))</x:f>
        <x:v>251.18864315095797</x:v>
      </x:c>
      <x:c r="U90" s="31" t="n">
        <x:f>IF(T90="","",I90*T90)</x:f>
        <x:v>17924.881593739257</x:v>
      </x:c>
    </x:row>
    <x:row r="91" ht="18" customHeight="1">
      <x:c r="A91" s="24" t="str">
        <x:v>EEZ_157</x:v>
      </x:c>
      <x:c r="B91" s="24" t="str">
        <x:v>Taiwan</x:v>
      </x:c>
      <x:c r="C91" s="24" t="str">
        <x:v>EEZ</x:v>
      </x:c>
      <x:c r="D91" s="30" t="n">
        <x:v>2019</x:v>
      </x:c>
      <x:c r="E91" s="24" t="str">
        <x:v>Polydactylus sexfilis</x:v>
      </x:c>
      <x:c r="F91" s="24" t="str">
        <x:v>Sixfinger threadfin</x:v>
      </x:c>
      <x:c r="G91" s="24" t="str">
        <x:v>Medium demersals (30 - 89 cm)</x:v>
      </x:c>
      <x:c r="H91" s="24" t="str">
        <x:v>Perch-likes</x:v>
      </x:c>
      <x:c r="I91" s="31" t="n">
        <x:v>66.30805526</x:v>
      </x:c>
      <x:c r="J91" s="31" t="n">
        <x:v>0</x:v>
      </x:c>
      <x:c r="K91" s="31" t="n">
        <x:v>66.30805526</x:v>
      </x:c>
      <x:c r="L91" s="31" t="n">
        <x:v>0</x:v>
      </x:c>
      <x:c r="M91" s="31" t="n">
        <x:v>66.30805526</x:v>
      </x:c>
      <x:c r="N91" s="24" t="str">
        <x:v>polydactylus sexfilis</x:v>
      </x:c>
      <x:c r="O91" s="32" t="n">
        <x:v>3.43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Polydactylus sexfilis</x:v>
      </x:c>
      <x:c r="T91" s="32" t="n">
        <x:f>IF(O91="","",(1/'Metadata'!$B$5)^(O91-1))</x:f>
        <x:v>269.1534803926917</x:v>
      </x:c>
      <x:c r="U91" s="31" t="n">
        <x:f>IF(T91="","",I91*T91)</x:f>
        <x:v>17847.043851299928</x:v>
      </x:c>
    </x:row>
    <x:row r="92" ht="18" customHeight="1">
      <x:c r="A92" s="24" t="str">
        <x:v>EEZ_157</x:v>
      </x:c>
      <x:c r="B92" s="24" t="str">
        <x:v>Taiwan</x:v>
      </x:c>
      <x:c r="C92" s="24" t="str">
        <x:v>EEZ</x:v>
      </x:c>
      <x:c r="D92" s="30" t="n">
        <x:v>2019</x:v>
      </x:c>
      <x:c r="E92" s="24" t="str">
        <x:v>Saurida</x:v>
      </x:c>
      <x:c r="F92" s="24" t="str">
        <x:v>Lizardfishes</x:v>
      </x:c>
      <x:c r="G92" s="24" t="str">
        <x:v>Medium demersals (30 - 89 cm)</x:v>
      </x:c>
      <x:c r="H92" s="24" t="str">
        <x:v>Other fishes &amp; inverts</x:v>
      </x:c>
      <x:c r="I92" s="31" t="n">
        <x:v>61.1532168533</x:v>
      </x:c>
      <x:c r="J92" s="31" t="n">
        <x:v>0</x:v>
      </x:c>
      <x:c r="K92" s="31" t="n">
        <x:v>61.1532168533</x:v>
      </x:c>
      <x:c r="L92" s="31" t="n">
        <x:v>0</x:v>
      </x:c>
      <x:c r="M92" s="31" t="n">
        <x:v>61.1532168533</x:v>
      </x:c>
      <x:c r="N92" s="24" t="str">
        <x:v>saurida</x:v>
      </x:c>
      <x:c r="O92" s="32" t="n">
        <x:v>4.35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Saurida</x:v>
      </x:c>
      <x:c r="T92" s="32" t="n">
        <x:f>IF(O92="","",(1/'Metadata'!$B$5)^(O92-1))</x:f>
        <x:v>2238.7211385683377</x:v>
      </x:c>
      <x:c r="U92" s="31" t="n">
        <x:f>IF(T92="","",I92*T92)</x:f>
        <x:v>136904.99926093622</x:v>
      </x:c>
    </x:row>
    <x:row r="93" ht="18" customHeight="1">
      <x:c r="A93" s="24" t="str">
        <x:v>EEZ_157</x:v>
      </x:c>
      <x:c r="B93" s="24" t="str">
        <x:v>Taiwan</x:v>
      </x:c>
      <x:c r="C93" s="24" t="str">
        <x:v>EEZ</x:v>
      </x:c>
      <x:c r="D93" s="30" t="n">
        <x:v>2019</x:v>
      </x:c>
      <x:c r="E93" s="24" t="str">
        <x:v>Mullidae</x:v>
      </x:c>
      <x:c r="F93" s="24" t="str">
        <x:v>Goatfishes</x:v>
      </x:c>
      <x:c r="G93" s="24" t="str">
        <x:v>Medium reef assoc. fish (30 - 89 cm)</x:v>
      </x:c>
      <x:c r="H93" s="24" t="str">
        <x:v>Perch-likes</x:v>
      </x:c>
      <x:c r="I93" s="31" t="n">
        <x:v>60.0647352303</x:v>
      </x:c>
      <x:c r="J93" s="31" t="n">
        <x:v>60.0647352303</x:v>
      </x:c>
      <x:c r="K93" s="31" t="n">
        <x:v>0</x:v>
      </x:c>
      <x:c r="L93" s="31" t="n">
        <x:v>49.2868314713</x:v>
      </x:c>
      <x:c r="M93" s="31" t="n">
        <x:v>10.777903758999999</x:v>
      </x:c>
      <x:c r="N93" s="24" t="str">
        <x:v>mullidae</x:v>
      </x:c>
      <x:c r="O93" s="32" t="n">
        <x:v>3.46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Mullidae</x:v>
      </x:c>
      <x:c r="T93" s="32" t="n">
        <x:f>IF(O93="","",(1/'Metadata'!$B$5)^(O93-1))</x:f>
        <x:v>288.40315031266056</x:v>
      </x:c>
      <x:c r="U93" s="31" t="n">
        <x:f>IF(T93="","",I93*T93)</x:f>
        <x:v>17322.85886311437</x:v>
      </x:c>
    </x:row>
    <x:row r="94" ht="18" customHeight="1">
      <x:c r="A94" s="24" t="str">
        <x:v>EEZ_157</x:v>
      </x:c>
      <x:c r="B94" s="24" t="str">
        <x:v>Taiwan</x:v>
      </x:c>
      <x:c r="C94" s="24" t="str">
        <x:v>EEZ</x:v>
      </x:c>
      <x:c r="D94" s="30" t="n">
        <x:v>2019</x:v>
      </x:c>
      <x:c r="E94" s="24" t="str">
        <x:v>Penaeus penicillatus</x:v>
      </x:c>
      <x:c r="F94" s="24" t="str">
        <x:v>Redtail prawn</x:v>
      </x:c>
      <x:c r="G94" s="24" t="str">
        <x:v>Shrimps</x:v>
      </x:c>
      <x:c r="H94" s="24" t="str">
        <x:v>Crustaceans</x:v>
      </x:c>
      <x:c r="I94" s="31" t="n">
        <x:v>54.4036492602</x:v>
      </x:c>
      <x:c r="J94" s="31" t="n">
        <x:v>46.7524753808</x:v>
      </x:c>
      <x:c r="K94" s="31" t="n">
        <x:v>7.6511738794</x:v>
      </x:c>
      <x:c r="L94" s="31" t="n">
        <x:v>23.6306726233</x:v>
      </x:c>
      <x:c r="M94" s="31" t="n">
        <x:v>30.772976636899998</x:v>
      </x:c>
      <x:c r="N94" s="24" t="str">
        <x:v>penaeus penicillatus</x:v>
      </x:c>
      <x:c r="O94" s="32" t="n">
        <x:v>2.7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Penaeus penicillatus</x:v>
      </x:c>
      <x:c r="T94" s="32" t="n">
        <x:f>IF(O94="","",(1/'Metadata'!$B$5)^(O94-1))</x:f>
        <x:v>50.11872336272725</x:v>
      </x:c>
      <x:c r="U94" s="31" t="n">
        <x:f>IF(T94="","",I94*T94)</x:f>
        <x:v>2726.6414471948046</x:v>
      </x:c>
    </x:row>
    <x:row r="95" ht="18" customHeight="1">
      <x:c r="A95" s="24" t="str">
        <x:v>EEZ_157</x:v>
      </x:c>
      <x:c r="B95" s="24" t="str">
        <x:v>Taiwan</x:v>
      </x:c>
      <x:c r="C95" s="24" t="str">
        <x:v>EEZ</x:v>
      </x:c>
      <x:c r="D95" s="30" t="n">
        <x:v>2019</x:v>
      </x:c>
      <x:c r="E95" s="24" t="str">
        <x:v>Octopodidae</x:v>
      </x:c>
      <x:c r="F95" s="24" t="str">
        <x:v>Octopuses</x:v>
      </x:c>
      <x:c r="G95" s="24" t="str">
        <x:v>Cephalopods</x:v>
      </x:c>
      <x:c r="H95" s="24" t="str">
        <x:v>Other fishes &amp; inverts</x:v>
      </x:c>
      <x:c r="I95" s="31" t="n">
        <x:v>46.3529561443</x:v>
      </x:c>
      <x:c r="J95" s="31" t="n">
        <x:v>36.458752047400004</x:v>
      </x:c>
      <x:c r="K95" s="31" t="n">
        <x:v>9.8942040969</x:v>
      </x:c>
      <x:c r="L95" s="31" t="n">
        <x:v>36.458752047400004</x:v>
      </x:c>
      <x:c r="M95" s="31" t="n">
        <x:v>9.8942040969</x:v>
      </x:c>
      <x:c r="N95" s="24" t="str">
        <x:v>octopodidae</x:v>
      </x:c>
      <x:c r="O95" s="32" t="n">
        <x:v>3.59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Octopodidae</x:v>
      </x:c>
      <x:c r="T95" s="32" t="n">
        <x:f>IF(O95="","",(1/'Metadata'!$B$5)^(O95-1))</x:f>
        <x:v>389.04514499428046</x:v>
      </x:c>
      <x:c r="U95" s="31" t="n">
        <x:f>IF(T95="","",I95*T95)</x:f>
        <x:v>18033.392544072718</x:v>
      </x:c>
    </x:row>
    <x:row r="96" ht="18" customHeight="1">
      <x:c r="A96" s="24" t="str">
        <x:v>EEZ_157</x:v>
      </x:c>
      <x:c r="B96" s="24" t="str">
        <x:v>Taiwan</x:v>
      </x:c>
      <x:c r="C96" s="24" t="str">
        <x:v>EEZ</x:v>
      </x:c>
      <x:c r="D96" s="30" t="n">
        <x:v>2019</x:v>
      </x:c>
      <x:c r="E96" s="24" t="str">
        <x:v>Platycaranx malabaricus</x:v>
      </x:c>
      <x:c r="F96" s="24" t="str">
        <x:v>Malabar trevally</x:v>
      </x:c>
      <x:c r="G96" s="24" t="str">
        <x:v>Medium reef assoc. fish (30 - 89 cm)</x:v>
      </x:c>
      <x:c r="H96" s="24" t="str">
        <x:v>Perch-likes</x:v>
      </x:c>
      <x:c r="I96" s="31" t="n">
        <x:v>43.7579377371</x:v>
      </x:c>
      <x:c r="J96" s="31" t="n">
        <x:v>0</x:v>
      </x:c>
      <x:c r="K96" s="31" t="n">
        <x:v>43.7579377371</x:v>
      </x:c>
      <x:c r="L96" s="31" t="n">
        <x:v>0</x:v>
      </x:c>
      <x:c r="M96" s="31" t="n">
        <x:v>43.7579377371</x:v>
      </x:c>
      <x:c r="N96" s="24" t="str">
        <x:v>platycaranx malabaricus</x:v>
      </x:c>
      <x:c r="O96" s="32" t="n">
        <x:v>3.88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Platycaranx malabaricus</x:v>
      </x:c>
      <x:c r="T96" s="32" t="n">
        <x:f>IF(O96="","",(1/'Metadata'!$B$5)^(O96-1))</x:f>
        <x:v>758.5775750291835</x:v>
      </x:c>
      <x:c r="U96" s="31" t="n">
        <x:f>IF(T96="","",I96*T96)</x:f>
        <x:v>33193.79029688732</x:v>
      </x:c>
    </x:row>
    <x:row r="97" ht="18" customHeight="1">
      <x:c r="A97" s="24" t="str">
        <x:v>EEZ_157</x:v>
      </x:c>
      <x:c r="B97" s="24" t="str">
        <x:v>Taiwan</x:v>
      </x:c>
      <x:c r="C97" s="24" t="str">
        <x:v>EEZ</x:v>
      </x:c>
      <x:c r="D97" s="30" t="n">
        <x:v>2019</x:v>
      </x:c>
      <x:c r="E97" s="24" t="str">
        <x:v>Nibea albiflora</x:v>
      </x:c>
      <x:c r="F97" s="24" t="str">
        <x:v>Yellow drum</x:v>
      </x:c>
      <x:c r="G97" s="24" t="str">
        <x:v>Medium benthopelagics (30 - 89 cm)</x:v>
      </x:c>
      <x:c r="H97" s="24" t="str">
        <x:v>Perch-likes</x:v>
      </x:c>
      <x:c r="I97" s="31" t="n">
        <x:v>43.4078883815</x:v>
      </x:c>
      <x:c r="J97" s="31" t="n">
        <x:v>43.4078883815</x:v>
      </x:c>
      <x:c r="K97" s="31" t="n">
        <x:v>0</x:v>
      </x:c>
      <x:c r="L97" s="31" t="n">
        <x:v>0</x:v>
      </x:c>
      <x:c r="M97" s="31" t="n">
        <x:v>43.4078883815</x:v>
      </x:c>
      <x:c r="N97" s="24" t="str">
        <x:v>nibea albiflora</x:v>
      </x:c>
      <x:c r="O97" s="32" t="n">
        <x:v>3.5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Nibea albiflora</x:v>
      </x:c>
      <x:c r="T97" s="32" t="n">
        <x:f>IF(O97="","",(1/'Metadata'!$B$5)^(O97-1))</x:f>
        <x:v>316.22776601683796</x:v>
      </x:c>
      <x:c r="U97" s="31" t="n">
        <x:f>IF(T97="","",I97*T97)</x:f>
        <x:v>13726.779570390001</x:v>
      </x:c>
    </x:row>
    <x:row r="98" ht="18" customHeight="1">
      <x:c r="A98" s="24" t="str">
        <x:v>EEZ_157</x:v>
      </x:c>
      <x:c r="B98" s="24" t="str">
        <x:v>Taiwan</x:v>
      </x:c>
      <x:c r="C98" s="24" t="str">
        <x:v>EEZ</x:v>
      </x:c>
      <x:c r="D98" s="30" t="n">
        <x:v>2019</x:v>
      </x:c>
      <x:c r="E98" s="24" t="str">
        <x:v>Serranidae</x:v>
      </x:c>
      <x:c r="F98" s="24" t="str">
        <x:v>Basses, groupers, hinds</x:v>
      </x:c>
      <x:c r="G98" s="24" t="str">
        <x:v>Medium reef assoc. fish (30 - 89 cm)</x:v>
      </x:c>
      <x:c r="H98" s="24" t="str">
        <x:v>Perch-likes</x:v>
      </x:c>
      <x:c r="I98" s="31" t="n">
        <x:v>43.4078883815</x:v>
      </x:c>
      <x:c r="J98" s="31" t="n">
        <x:v>43.4078883815</x:v>
      </x:c>
      <x:c r="K98" s="31" t="n">
        <x:v>0</x:v>
      </x:c>
      <x:c r="L98" s="31" t="n">
        <x:v>0</x:v>
      </x:c>
      <x:c r="M98" s="31" t="n">
        <x:v>43.4078883815</x:v>
      </x:c>
      <x:c r="N98" s="24" t="str">
        <x:v>serranidae</x:v>
      </x:c>
      <x:c r="O98" s="32" t="n">
        <x:v>3.98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Serranidae</x:v>
      </x:c>
      <x:c r="T98" s="32" t="n">
        <x:f>IF(O98="","",(1/'Metadata'!$B$5)^(O98-1))</x:f>
        <x:v>954.992586021436</x:v>
      </x:c>
      <x:c r="U98" s="31" t="n">
        <x:f>IF(T98="","",I98*T98)</x:f>
        <x:v>41454.21157917853</x:v>
      </x:c>
    </x:row>
    <x:row r="99" ht="18" customHeight="1">
      <x:c r="A99" s="24" t="str">
        <x:v>EEZ_157</x:v>
      </x:c>
      <x:c r="B99" s="24" t="str">
        <x:v>Taiwan</x:v>
      </x:c>
      <x:c r="C99" s="24" t="str">
        <x:v>EEZ</x:v>
      </x:c>
      <x:c r="D99" s="30" t="n">
        <x:v>2019</x:v>
      </x:c>
      <x:c r="E99" s="24" t="str">
        <x:v>Epinephelus maculatus</x:v>
      </x:c>
      <x:c r="F99" s="24" t="str">
        <x:v>Highfin grouper</x:v>
      </x:c>
      <x:c r="G99" s="24" t="str">
        <x:v>Medium reef assoc. fish (30 - 89 cm)</x:v>
      </x:c>
      <x:c r="H99" s="24" t="str">
        <x:v>Perch-likes</x:v>
      </x:c>
      <x:c r="I99" s="31" t="n">
        <x:v>43.4078883815</x:v>
      </x:c>
      <x:c r="J99" s="31" t="n">
        <x:v>43.4078883815</x:v>
      </x:c>
      <x:c r="K99" s="31" t="n">
        <x:v>0</x:v>
      </x:c>
      <x:c r="L99" s="31" t="n">
        <x:v>0</x:v>
      </x:c>
      <x:c r="M99" s="31" t="n">
        <x:v>43.4078883815</x:v>
      </x:c>
      <x:c r="N99" s="24" t="str">
        <x:v>epinephelus maculatus</x:v>
      </x:c>
      <x:c r="O99" s="32" t="n">
        <x:v>3.98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Epinephelus maculatus</x:v>
      </x:c>
      <x:c r="T99" s="32" t="n">
        <x:f>IF(O99="","",(1/'Metadata'!$B$5)^(O99-1))</x:f>
        <x:v>954.992586021436</x:v>
      </x:c>
      <x:c r="U99" s="31" t="n">
        <x:f>IF(T99="","",I99*T99)</x:f>
        <x:v>41454.21157917853</x:v>
      </x:c>
    </x:row>
    <x:row r="100" ht="18" customHeight="1">
      <x:c r="A100" s="24" t="str">
        <x:v>EEZ_157</x:v>
      </x:c>
      <x:c r="B100" s="24" t="str">
        <x:v>Taiwan</x:v>
      </x:c>
      <x:c r="C100" s="24" t="str">
        <x:v>EEZ</x:v>
      </x:c>
      <x:c r="D100" s="30" t="n">
        <x:v>2019</x:v>
      </x:c>
      <x:c r="E100" s="24" t="str">
        <x:v>Psettodes erumei</x:v>
      </x:c>
      <x:c r="F100" s="24" t="str">
        <x:v>Indian halibut</x:v>
      </x:c>
      <x:c r="G100" s="24" t="str">
        <x:v>Small to medium flatfishes (&lt;90 cm)</x:v>
      </x:c>
      <x:c r="H100" s="24" t="str">
        <x:v>Flatfishes</x:v>
      </x:c>
      <x:c r="I100" s="31" t="n">
        <x:v>37.6424261863</x:v>
      </x:c>
      <x:c r="J100" s="31" t="n">
        <x:v>0</x:v>
      </x:c>
      <x:c r="K100" s="31" t="n">
        <x:v>37.6424261863</x:v>
      </x:c>
      <x:c r="L100" s="31" t="n">
        <x:v>0</x:v>
      </x:c>
      <x:c r="M100" s="31" t="n">
        <x:v>37.6424261863</x:v>
      </x:c>
      <x:c r="N100" s="24" t="str">
        <x:v>psettodes erumei</x:v>
      </x:c>
      <x:c r="O100" s="32" t="n">
        <x:v>4.39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Psettodes erumei</x:v>
      </x:c>
      <x:c r="T100" s="32" t="n">
        <x:f>IF(O100="","",(1/'Metadata'!$B$5)^(O100-1))</x:f>
        <x:v>2454.7089156850284</x:v>
      </x:c>
      <x:c r="U100" s="31" t="n">
        <x:f>IF(T100="","",I100*T100)</x:f>
        <x:v>92401.1991675262</x:v>
      </x:c>
    </x:row>
    <x:row r="101" ht="18" customHeight="1">
      <x:c r="A101" s="24" t="str">
        <x:v>EEZ_157</x:v>
      </x:c>
      <x:c r="B101" s="24" t="str">
        <x:v>Taiwan</x:v>
      </x:c>
      <x:c r="C101" s="24" t="str">
        <x:v>EEZ</x:v>
      </x:c>
      <x:c r="D101" s="30" t="n">
        <x:v>2019</x:v>
      </x:c>
      <x:c r="E101" s="24" t="str">
        <x:v>Scomberomorus guttatus</x:v>
      </x:c>
      <x:c r="F101" s="24" t="str">
        <x:v>Indo-Pacific king mackerel</x:v>
      </x:c>
      <x:c r="G101" s="24" t="str">
        <x:v>Medium pelagics (30 - 89 cm)</x:v>
      </x:c>
      <x:c r="H101" s="24" t="str">
        <x:v>Perch-likes</x:v>
      </x:c>
      <x:c r="I101" s="31" t="n">
        <x:v>37.1524814506</x:v>
      </x:c>
      <x:c r="J101" s="31" t="n">
        <x:v>37.1524814506</x:v>
      </x:c>
      <x:c r="K101" s="31" t="n">
        <x:v>0</x:v>
      </x:c>
      <x:c r="L101" s="31" t="n">
        <x:v>37.1524814506</x:v>
      </x:c>
      <x:c r="M101" s="31" t="n">
        <x:v>0</x:v>
      </x:c>
      <x:c r="N101" s="24" t="str">
        <x:v>scomberomorus guttatus</x:v>
      </x:c>
      <x:c r="O101" s="32" t="n">
        <x:v>4.28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Scomberomorus guttatus</x:v>
      </x:c>
      <x:c r="T101" s="32" t="n">
        <x:f>IF(O101="","",(1/'Metadata'!$B$5)^(O101-1))</x:f>
        <x:v>1905.4607179632483</x:v>
      </x:c>
      <x:c r="U101" s="31" t="n">
        <x:f>IF(T101="","",I101*T101)</x:f>
        <x:v>70792.59397897654</x:v>
      </x:c>
    </x:row>
    <x:row r="102" ht="18" customHeight="1">
      <x:c r="A102" s="24" t="str">
        <x:v>EEZ_157</x:v>
      </x:c>
      <x:c r="B102" s="24" t="str">
        <x:v>Taiwan</x:v>
      </x:c>
      <x:c r="C102" s="24" t="str">
        <x:v>EEZ</x:v>
      </x:c>
      <x:c r="D102" s="30" t="n">
        <x:v>2019</x:v>
      </x:c>
      <x:c r="E102" s="24" t="str">
        <x:v>Decapterus russelli</x:v>
      </x:c>
      <x:c r="F102" s="24" t="str">
        <x:v>Indian scad</x:v>
      </x:c>
      <x:c r="G102" s="24" t="str">
        <x:v>Medium pelagics (30 - 89 cm)</x:v>
      </x:c>
      <x:c r="H102" s="24" t="str">
        <x:v>Perch-likes</x:v>
      </x:c>
      <x:c r="I102" s="31" t="n">
        <x:v>35.9551069606</x:v>
      </x:c>
      <x:c r="J102" s="31" t="n">
        <x:v>35.9551069606</x:v>
      </x:c>
      <x:c r="K102" s="31" t="n">
        <x:v>0</x:v>
      </x:c>
      <x:c r="L102" s="31" t="n">
        <x:v>0</x:v>
      </x:c>
      <x:c r="M102" s="31" t="n">
        <x:v>35.9551069606</x:v>
      </x:c>
      <x:c r="N102" s="24" t="str">
        <x:v>decapterus russelli</x:v>
      </x:c>
      <x:c r="O102" s="32" t="n">
        <x:v>3.68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Decapterus russelli</x:v>
      </x:c>
      <x:c r="T102" s="32" t="n">
        <x:f>IF(O102="","",(1/'Metadata'!$B$5)^(O102-1))</x:f>
        <x:v>478.6300923226385</x:v>
      </x:c>
      <x:c r="U102" s="31" t="n">
        <x:f>IF(T102="","",I102*T102)</x:f>
        <x:v>17209.19616402232</x:v>
      </x:c>
    </x:row>
    <x:row r="103" ht="18" customHeight="1">
      <x:c r="A103" s="24" t="str">
        <x:v>EEZ_157</x:v>
      </x:c>
      <x:c r="B103" s="24" t="str">
        <x:v>Taiwan</x:v>
      </x:c>
      <x:c r="C103" s="24" t="str">
        <x:v>EEZ</x:v>
      </x:c>
      <x:c r="D103" s="30" t="n">
        <x:v>2019</x:v>
      </x:c>
      <x:c r="E103" s="24" t="str">
        <x:v>Isurus</x:v>
      </x:c>
      <x:c r="F103" s="24" t="str">
        <x:v>Mako sharks</x:v>
      </x:c>
      <x:c r="G103" s="24" t="str">
        <x:v>Large sharks (&gt;=90 cm)</x:v>
      </x:c>
      <x:c r="H103" s="24" t="str">
        <x:v>Sharks &amp; rays</x:v>
      </x:c>
      <x:c r="I103" s="31" t="n">
        <x:v>33.2665221582</x:v>
      </x:c>
      <x:c r="J103" s="31" t="n">
        <x:v>0.2446102932</x:v>
      </x:c>
      <x:c r="K103" s="31" t="n">
        <x:v>33.021911865</x:v>
      </x:c>
      <x:c r="L103" s="31" t="n">
        <x:v>0.2446102932</x:v>
      </x:c>
      <x:c r="M103" s="31" t="n">
        <x:v>33.021911865</x:v>
      </x:c>
      <x:c r="N103" s="24" t="str">
        <x:v>isurus</x:v>
      </x:c>
      <x:c r="O103" s="32" t="n">
        <x:v>4.5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Isurus</x:v>
      </x:c>
      <x:c r="T103" s="32" t="n">
        <x:f>IF(O103="","",(1/'Metadata'!$B$5)^(O103-1))</x:f>
        <x:v>3162.2776601683795</x:v>
      </x:c>
      <x:c r="U103" s="31" t="n">
        <x:f>IF(T103="","",I103*T103)</x:f>
        <x:v>105197.97985237224</x:v>
      </x:c>
    </x:row>
    <x:row r="104" ht="18" customHeight="1">
      <x:c r="A104" s="24" t="str">
        <x:v>EEZ_157</x:v>
      </x:c>
      <x:c r="B104" s="24" t="str">
        <x:v>Taiwan</x:v>
      </x:c>
      <x:c r="C104" s="24" t="str">
        <x:v>EEZ</x:v>
      </x:c>
      <x:c r="D104" s="30" t="n">
        <x:v>2019</x:v>
      </x:c>
      <x:c r="E104" s="24" t="str">
        <x:v>Scaridae</x:v>
      </x:c>
      <x:c r="F104" s="24" t="str">
        <x:v>Parrotfishes</x:v>
      </x:c>
      <x:c r="G104" s="24" t="str">
        <x:v>Medium reef assoc. fish (30 - 89 cm)</x:v>
      </x:c>
      <x:c r="H104" s="24" t="str">
        <x:v>Perch-likes</x:v>
      </x:c>
      <x:c r="I104" s="31" t="n">
        <x:v>32.9454951267</x:v>
      </x:c>
      <x:c r="J104" s="31" t="n">
        <x:v>32.9454951267</x:v>
      </x:c>
      <x:c r="K104" s="31" t="n">
        <x:v>0</x:v>
      </x:c>
      <x:c r="L104" s="31" t="n">
        <x:v>14.8535656488</x:v>
      </x:c>
      <x:c r="M104" s="31" t="n">
        <x:v>18.091929477900003</x:v>
      </x:c>
      <x:c r="N104" s="24" t="str">
        <x:v>scaridae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Scaridae</x:v>
      </x:c>
      <x:c r="T104" s="32" t="n">
        <x:f>IF(O104="","",(1/'Metadata'!$B$5)^(O104-1))</x:f>
        <x:v>10</x:v>
      </x:c>
      <x:c r="U104" s="31" t="n">
        <x:f>IF(T104="","",I104*T104)</x:f>
        <x:v>329.454951267</x:v>
      </x:c>
    </x:row>
    <x:row r="105" ht="18" customHeight="1">
      <x:c r="A105" s="24" t="str">
        <x:v>EEZ_157</x:v>
      </x:c>
      <x:c r="B105" s="24" t="str">
        <x:v>Taiwan</x:v>
      </x:c>
      <x:c r="C105" s="24" t="str">
        <x:v>EEZ</x:v>
      </x:c>
      <x:c r="D105" s="30" t="n">
        <x:v>2019</x:v>
      </x:c>
      <x:c r="E105" s="24" t="str">
        <x:v>Sphyraena barracuda</x:v>
      </x:c>
      <x:c r="F105" s="24" t="str">
        <x:v>Great barracuda</x:v>
      </x:c>
      <x:c r="G105" s="24" t="str">
        <x:v>Large pelagics (&gt;=90 cm)</x:v>
      </x:c>
      <x:c r="H105" s="24" t="str">
        <x:v>Perch-likes</x:v>
      </x:c>
      <x:c r="I105" s="31" t="n">
        <x:v>29.7739432368</x:v>
      </x:c>
      <x:c r="J105" s="31" t="n">
        <x:v>0</x:v>
      </x:c>
      <x:c r="K105" s="31" t="n">
        <x:v>29.7739432368</x:v>
      </x:c>
      <x:c r="L105" s="31" t="n">
        <x:v>0</x:v>
      </x:c>
      <x:c r="M105" s="31" t="n">
        <x:v>29.7739432368</x:v>
      </x:c>
      <x:c r="N105" s="24" t="str">
        <x:v>sphyraena barracuda</x:v>
      </x:c>
      <x:c r="O105" s="32" t="n">
        <x:v>4.49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Sphyraena barracuda</x:v>
      </x:c>
      <x:c r="T105" s="32" t="n">
        <x:f>IF(O105="","",(1/'Metadata'!$B$5)^(O105-1))</x:f>
        <x:v>3090.295432513592</x:v>
      </x:c>
      <x:c r="U105" s="31" t="n">
        <x:f>IF(T105="","",I105*T105)</x:f>
        <x:v>92010.280792602</x:v>
      </x:c>
    </x:row>
    <x:row r="106" ht="18" customHeight="1">
      <x:c r="A106" s="24" t="str">
        <x:v>EEZ_157</x:v>
      </x:c>
      <x:c r="B106" s="24" t="str">
        <x:v>Taiwan</x:v>
      </x:c>
      <x:c r="C106" s="24" t="str">
        <x:v>EEZ</x:v>
      </x:c>
      <x:c r="D106" s="30" t="n">
        <x:v>2019</x:v>
      </x:c>
      <x:c r="E106" s="24" t="str">
        <x:v>Epinephelus malabaricus</x:v>
      </x:c>
      <x:c r="F106" s="24" t="str">
        <x:v>Malabar grouper</x:v>
      </x:c>
      <x:c r="G106" s="24" t="str">
        <x:v>Large reef assoc. fish (&gt;=90 cm)</x:v>
      </x:c>
      <x:c r="H106" s="24" t="str">
        <x:v>Perch-likes</x:v>
      </x:c>
      <x:c r="I106" s="31" t="n">
        <x:v>29.7222549143</x:v>
      </x:c>
      <x:c r="J106" s="31" t="n">
        <x:v>0</x:v>
      </x:c>
      <x:c r="K106" s="31" t="n">
        <x:v>29.7222549143</x:v>
      </x:c>
      <x:c r="L106" s="31" t="n">
        <x:v>0</x:v>
      </x:c>
      <x:c r="M106" s="31" t="n">
        <x:v>29.7222549143</x:v>
      </x:c>
      <x:c r="N106" s="24" t="str">
        <x:v>epinephelus malabaricus</x:v>
      </x:c>
      <x:c r="O106" s="32" t="n">
        <x:v>4.16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Epinephelus malabaricus</x:v>
      </x:c>
      <x:c r="T106" s="32" t="n">
        <x:f>IF(O106="","",(1/'Metadata'!$B$5)^(O106-1))</x:f>
        <x:v>1445.439770745928</x:v>
      </x:c>
      <x:c r="U106" s="31" t="n">
        <x:f>IF(T106="","",I106*T106)</x:f>
        <x:v>42961.72932937782</x:v>
      </x:c>
    </x:row>
    <x:row r="107" ht="18" customHeight="1">
      <x:c r="A107" s="24" t="str">
        <x:v>EEZ_157</x:v>
      </x:c>
      <x:c r="B107" s="24" t="str">
        <x:v>Taiwan</x:v>
      </x:c>
      <x:c r="C107" s="24" t="str">
        <x:v>EEZ</x:v>
      </x:c>
      <x:c r="D107" s="30" t="n">
        <x:v>2019</x:v>
      </x:c>
      <x:c r="E107" s="24" t="str">
        <x:v>Lethrinus miniatus</x:v>
      </x:c>
      <x:c r="F107" s="24" t="str">
        <x:v>Trumpet emperor</x:v>
      </x:c>
      <x:c r="G107" s="24" t="str">
        <x:v>Medium reef assoc. fish (30 - 89 cm)</x:v>
      </x:c>
      <x:c r="H107" s="24" t="str">
        <x:v>Perch-likes</x:v>
      </x:c>
      <x:c r="I107" s="31" t="n">
        <x:v>28.123209090099998</x:v>
      </x:c>
      <x:c r="J107" s="31" t="n">
        <x:v>24.977719828599998</x:v>
      </x:c>
      <x:c r="K107" s="31" t="n">
        <x:v>3.1454892615</x:v>
      </x:c>
      <x:c r="L107" s="31" t="n">
        <x:v>15.5287277238</x:v>
      </x:c>
      <x:c r="M107" s="31" t="n">
        <x:v>12.5944813663</x:v>
      </x:c>
      <x:c r="N107" s="24" t="str">
        <x:v>lethrinus miniatus</x:v>
      </x:c>
      <x:c r="O107" s="32" t="n">
        <x:v>4.19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Lethrinus miniatus</x:v>
      </x:c>
      <x:c r="T107" s="32" t="n">
        <x:f>IF(O107="","",(1/'Metadata'!$B$5)^(O107-1))</x:f>
        <x:v>1548.8166189124827</x:v>
      </x:c>
      <x:c r="U107" s="31" t="n">
        <x:f>IF(T107="","",I107*T107)</x:f>
        <x:v>43557.69361589748</x:v>
      </x:c>
    </x:row>
    <x:row r="108" ht="18" customHeight="1">
      <x:c r="A108" s="24" t="str">
        <x:v>EEZ_157</x:v>
      </x:c>
      <x:c r="B108" s="24" t="str">
        <x:v>Taiwan</x:v>
      </x:c>
      <x:c r="C108" s="24" t="str">
        <x:v>EEZ</x:v>
      </x:c>
      <x:c r="D108" s="30" t="n">
        <x:v>2019</x:v>
      </x:c>
      <x:c r="E108" s="24" t="str">
        <x:v>Panulirus longipes</x:v>
      </x:c>
      <x:c r="F108" s="24" t="str">
        <x:v>Longlegged spiny lobster</x:v>
      </x:c>
      <x:c r="G108" s="24" t="str">
        <x:v>Lobsters, crabs</x:v>
      </x:c>
      <x:c r="H108" s="24" t="str">
        <x:v>Crustaceans</x:v>
      </x:c>
      <x:c r="I108" s="31" t="n">
        <x:v>27.399219184</x:v>
      </x:c>
      <x:c r="J108" s="31" t="n">
        <x:v>27.399219184</x:v>
      </x:c>
      <x:c r="K108" s="31" t="n">
        <x:v>0</x:v>
      </x:c>
      <x:c r="L108" s="31" t="n">
        <x:v>20.930024323399998</x:v>
      </x:c>
      <x:c r="M108" s="31" t="n">
        <x:v>6.4691948606</x:v>
      </x:c>
      <x:c r="N108" s="24" t="str">
        <x:v>panulirus longipes</x:v>
      </x:c>
      <x:c r="O108" s="32" t="n">
        <x:v>2.6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Panulirus longipes</x:v>
      </x:c>
      <x:c r="T108" s="32" t="n">
        <x:f>IF(O108="","",(1/'Metadata'!$B$5)^(O108-1))</x:f>
        <x:v>39.810717055349734</x:v>
      </x:c>
      <x:c r="U108" s="31" t="n">
        <x:f>IF(T108="","",I108*T108)</x:f>
        <x:v>1090.7825624717343</x:v>
      </x:c>
    </x:row>
    <x:row r="109" ht="18" customHeight="1">
      <x:c r="A109" s="24" t="str">
        <x:v>EEZ_157</x:v>
      </x:c>
      <x:c r="B109" s="24" t="str">
        <x:v>Taiwan</x:v>
      </x:c>
      <x:c r="C109" s="24" t="str">
        <x:v>EEZ</x:v>
      </x:c>
      <x:c r="D109" s="30" t="n">
        <x:v>2019</x:v>
      </x:c>
      <x:c r="E109" s="24" t="str">
        <x:v>Spratelloides gracilis</x:v>
      </x:c>
      <x:c r="F109" s="24" t="str">
        <x:v>Silver-stripe round herring</x:v>
      </x:c>
      <x:c r="G109" s="24" t="str">
        <x:v>Small pelagics (&lt;30 cm)</x:v>
      </x:c>
      <x:c r="H109" s="24" t="str">
        <x:v>Herring-likes</x:v>
      </x:c>
      <x:c r="I109" s="31" t="n">
        <x:v>25.6840219828</x:v>
      </x:c>
      <x:c r="J109" s="31" t="n">
        <x:v>16.8790520426</x:v>
      </x:c>
      <x:c r="K109" s="31" t="n">
        <x:v>8.8049699402</x:v>
      </x:c>
      <x:c r="L109" s="31" t="n">
        <x:v>16.8790520426</x:v>
      </x:c>
      <x:c r="M109" s="31" t="n">
        <x:v>8.8049699402</x:v>
      </x:c>
      <x:c r="N109" s="24" t="str">
        <x:v>spratelloides gracilis</x:v>
      </x:c>
      <x:c r="O109" s="32" t="n">
        <x:v>3.06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Spratelloides gracilis</x:v>
      </x:c>
      <x:c r="T109" s="32" t="n">
        <x:f>IF(O109="","",(1/'Metadata'!$B$5)^(O109-1))</x:f>
        <x:v>114.81536214968828</x:v>
      </x:c>
      <x:c r="U109" s="31" t="n">
        <x:f>IF(T109="","",I109*T109)</x:f>
        <x:v>2948.920285415737</x:v>
      </x:c>
    </x:row>
    <x:row r="110" ht="18" customHeight="1">
      <x:c r="A110" s="24" t="str">
        <x:v>EEZ_157</x:v>
      </x:c>
      <x:c r="B110" s="24" t="str">
        <x:v>Taiwan</x:v>
      </x:c>
      <x:c r="C110" s="24" t="str">
        <x:v>EEZ</x:v>
      </x:c>
      <x:c r="D110" s="30" t="n">
        <x:v>2019</x:v>
      </x:c>
      <x:c r="E110" s="24" t="str">
        <x:v>Rachycentridae</x:v>
      </x:c>
      <x:c r="F110" s="24" t="str">
        <x:v>Cobias</x:v>
      </x:c>
      <x:c r="G110" s="24" t="str">
        <x:v>Large pelagics (&gt;=90 cm)</x:v>
      </x:c>
      <x:c r="H110" s="24" t="str">
        <x:v>Perch-likes</x:v>
      </x:c>
      <x:c r="I110" s="31" t="n">
        <x:v>24.0917330919</x:v>
      </x:c>
      <x:c r="J110" s="31" t="n">
        <x:v>24.0917330919</x:v>
      </x:c>
      <x:c r="K110" s="31" t="n">
        <x:v>0</x:v>
      </x:c>
      <x:c r="L110" s="31" t="n">
        <x:v>24.0917330919</x:v>
      </x:c>
      <x:c r="M110" s="31" t="n">
        <x:v>0</x:v>
      </x:c>
      <x:c r="N110" s="24" t="str">
        <x:v>rachycentridae</x:v>
      </x:c>
      <x:c r="O110" s="32" t="n">
        <x:v>3.96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Rachycentridae</x:v>
      </x:c>
      <x:c r="T110" s="32" t="n">
        <x:f>IF(O110="","",(1/'Metadata'!$B$5)^(O110-1))</x:f>
        <x:v>912.0108393559096</x:v>
      </x:c>
      <x:c r="U110" s="31" t="n">
        <x:f>IF(T110="","",I110*T110)</x:f>
        <x:v>21971.921718682264</x:v>
      </x:c>
    </x:row>
    <x:row r="111" ht="18" customHeight="1">
      <x:c r="A111" s="24" t="str">
        <x:v>EEZ_157</x:v>
      </x:c>
      <x:c r="B111" s="24" t="str">
        <x:v>Taiwan</x:v>
      </x:c>
      <x:c r="C111" s="24" t="str">
        <x:v>EEZ</x:v>
      </x:c>
      <x:c r="D111" s="30" t="n">
        <x:v>2019</x:v>
      </x:c>
      <x:c r="E111" s="24" t="str">
        <x:v>Scylla</x:v>
      </x:c>
      <x:c r="F111" s="24" t="str">
        <x:v>Mud crabs</x:v>
      </x:c>
      <x:c r="G111" s="24" t="str">
        <x:v>Lobsters, crabs</x:v>
      </x:c>
      <x:c r="H111" s="24" t="str">
        <x:v>Crustaceans</x:v>
      </x:c>
      <x:c r="I111" s="31" t="n">
        <x:v>22.3959864369</x:v>
      </x:c>
      <x:c r="J111" s="31" t="n">
        <x:v>0</x:v>
      </x:c>
      <x:c r="K111" s="31" t="n">
        <x:v>22.3959864369</x:v>
      </x:c>
      <x:c r="L111" s="31" t="n">
        <x:v>0</x:v>
      </x:c>
      <x:c r="M111" s="31" t="n">
        <x:v>22.3959864369</x:v>
      </x:c>
      <x:c r="N111" s="24" t="str">
        <x:v>scylla</x:v>
      </x:c>
      <x:c r="O111" s="32" t="n">
        <x:v>3.17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Scylla</x:v>
      </x:c>
      <x:c r="T111" s="32" t="n">
        <x:f>IF(O111="","",(1/'Metadata'!$B$5)^(O111-1))</x:f>
        <x:v>147.91083881682073</x:v>
      </x:c>
      <x:c r="U111" s="31" t="n">
        <x:f>IF(T111="","",I111*T111)</x:f>
        <x:v>3312.609140012019</x:v>
      </x:c>
    </x:row>
    <x:row r="112" ht="18" customHeight="1">
      <x:c r="A112" s="24" t="str">
        <x:v>EEZ_157</x:v>
      </x:c>
      <x:c r="B112" s="24" t="str">
        <x:v>Taiwan</x:v>
      </x:c>
      <x:c r="C112" s="24" t="str">
        <x:v>EEZ</x:v>
      </x:c>
      <x:c r="D112" s="30" t="n">
        <x:v>2019</x:v>
      </x:c>
      <x:c r="E112" s="24" t="str">
        <x:v>Chanos chanos</x:v>
      </x:c>
      <x:c r="F112" s="24" t="str">
        <x:v>Milkfish</x:v>
      </x:c>
      <x:c r="G112" s="24" t="str">
        <x:v>Large benthopelagics (&gt;=90 cm)</x:v>
      </x:c>
      <x:c r="H112" s="24" t="str">
        <x:v>Other fishes &amp; inverts</x:v>
      </x:c>
      <x:c r="I112" s="31" t="n">
        <x:v>22.3612470534</x:v>
      </x:c>
      <x:c r="J112" s="31" t="n">
        <x:v>22.3612470534</x:v>
      </x:c>
      <x:c r="K112" s="31" t="n">
        <x:v>0</x:v>
      </x:c>
      <x:c r="L112" s="31" t="n">
        <x:v>14.8535656488</x:v>
      </x:c>
      <x:c r="M112" s="31" t="n">
        <x:v>7.5076814045999996</x:v>
      </x:c>
      <x:c r="N112" s="24" t="str">
        <x:v>chanos chanos</x:v>
      </x:c>
      <x:c r="O112" s="32" t="n">
        <x:v>2.03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Chanos chanos</x:v>
      </x:c>
      <x:c r="T112" s="32" t="n">
        <x:f>IF(O112="","",(1/'Metadata'!$B$5)^(O112-1))</x:f>
        <x:v>10.71519305237606</x:v>
      </x:c>
      <x:c r="U112" s="31" t="n">
        <x:f>IF(T112="","",I112*T112)</x:f>
        <x:v>239.60507906905633</x:v>
      </x:c>
    </x:row>
    <x:row r="113" ht="18" customHeight="1">
      <x:c r="A113" s="24" t="str">
        <x:v>EEZ_157</x:v>
      </x:c>
      <x:c r="B113" s="24" t="str">
        <x:v>Taiwan</x:v>
      </x:c>
      <x:c r="C113" s="24" t="str">
        <x:v>EEZ</x:v>
      </x:c>
      <x:c r="D113" s="30" t="n">
        <x:v>2019</x:v>
      </x:c>
      <x:c r="E113" s="24" t="str">
        <x:v>Aluterus</x:v>
      </x:c>
      <x:c r="F113" s="24" t="str">
        <x:v>Aluterid filefishes</x:v>
      </x:c>
      <x:c r="G113" s="24" t="str">
        <x:v>Large reef assoc. fish (&gt;=90 cm)</x:v>
      </x:c>
      <x:c r="H113" s="24" t="str">
        <x:v>Other fishes &amp; inverts</x:v>
      </x:c>
      <x:c r="I113" s="31" t="n">
        <x:v>19.2771649509</x:v>
      </x:c>
      <x:c r="J113" s="31" t="n">
        <x:v>0</x:v>
      </x:c>
      <x:c r="K113" s="31" t="n">
        <x:v>19.2771649509</x:v>
      </x:c>
      <x:c r="L113" s="31" t="n">
        <x:v>0</x:v>
      </x:c>
      <x:c r="M113" s="31" t="n">
        <x:v>19.2771649509</x:v>
      </x:c>
      <x:c r="N113" s="24" t="str">
        <x:v>aluterus</x:v>
      </x:c>
      <x:c r="O113" s="32" t="n">
        <x:v>2.81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Aluterus</x:v>
      </x:c>
      <x:c r="T113" s="32" t="n">
        <x:f>IF(O113="","",(1/'Metadata'!$B$5)^(O113-1))</x:f>
        <x:v>64.56542290346556</x:v>
      </x:c>
      <x:c r="U113" s="31" t="n">
        <x:f>IF(T113="","",I113*T113)</x:f>
        <x:v>1244.6383074347225</x:v>
      </x:c>
    </x:row>
    <x:row r="114" ht="18" customHeight="1">
      <x:c r="A114" s="24" t="str">
        <x:v>EEZ_157</x:v>
      </x:c>
      <x:c r="B114" s="24" t="str">
        <x:v>Taiwan</x:v>
      </x:c>
      <x:c r="C114" s="24" t="str">
        <x:v>EEZ</x:v>
      </x:c>
      <x:c r="D114" s="30" t="n">
        <x:v>2019</x:v>
      </x:c>
      <x:c r="E114" s="24" t="str">
        <x:v>Clupanodon thrissa</x:v>
      </x:c>
      <x:c r="F114" s="24" t="str">
        <x:v>Chinese gizzard shad</x:v>
      </x:c>
      <x:c r="G114" s="24" t="str">
        <x:v>Small pelagics (&lt;30 cm)</x:v>
      </x:c>
      <x:c r="H114" s="24" t="str">
        <x:v>Herring-likes</x:v>
      </x:c>
      <x:c r="I114" s="31" t="n">
        <x:v>18.252317067</x:v>
      </x:c>
      <x:c r="J114" s="31" t="n">
        <x:v>18.252317067</x:v>
      </x:c>
      <x:c r="K114" s="31" t="n">
        <x:v>0</x:v>
      </x:c>
      <x:c r="L114" s="31" t="n">
        <x:v>17.5542141242</x:v>
      </x:c>
      <x:c r="M114" s="31" t="n">
        <x:v>0.6981029428000001</x:v>
      </x:c>
      <x:c r="N114" s="24" t="str">
        <x:v>clupanodon thrissa</x:v>
      </x:c>
      <x:c r="O114" s="32" t="n">
        <x:v>3.01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Clupanodon thrissa</x:v>
      </x:c>
      <x:c r="T114" s="32" t="n">
        <x:f>IF(O114="","",(1/'Metadata'!$B$5)^(O114-1))</x:f>
        <x:v>102.32929922807536</x:v>
      </x:c>
      <x:c r="U114" s="31" t="n">
        <x:f>IF(T114="","",I114*T114)</x:f>
        <x:v>1867.7468147547497</x:v>
      </x:c>
    </x:row>
    <x:row r="115" ht="18" customHeight="1">
      <x:c r="A115" s="24" t="str">
        <x:v>EEZ_157</x:v>
      </x:c>
      <x:c r="B115" s="24" t="str">
        <x:v>Taiwan</x:v>
      </x:c>
      <x:c r="C115" s="24" t="str">
        <x:v>EEZ</x:v>
      </x:c>
      <x:c r="D115" s="30" t="n">
        <x:v>2019</x:v>
      </x:c>
      <x:c r="E115" s="24" t="str">
        <x:v>Sergestidae</x:v>
      </x:c>
      <x:c r="F115" s="24" t="str">
        <x:v>Sergestid shrimp</x:v>
      </x:c>
      <x:c r="G115" s="24" t="str">
        <x:v>Shrimps</x:v>
      </x:c>
      <x:c r="H115" s="24" t="str">
        <x:v>Crustaceans</x:v>
      </x:c>
      <x:c r="I115" s="31" t="n">
        <x:v>16.6970591673</x:v>
      </x:c>
      <x:c r="J115" s="31" t="n">
        <x:v>0</x:v>
      </x:c>
      <x:c r="K115" s="31" t="n">
        <x:v>16.6970591673</x:v>
      </x:c>
      <x:c r="L115" s="31" t="n">
        <x:v>0</x:v>
      </x:c>
      <x:c r="M115" s="31" t="n">
        <x:v>16.6970591673</x:v>
      </x:c>
      <x:c r="N115" s="24" t="str">
        <x:v>sergestidae</x:v>
      </x:c>
      <x:c r="O115" s="32" t="n">
        <x:v>2.93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Sergestidae</x:v>
      </x:c>
      <x:c r="T115" s="32" t="n">
        <x:f>IF(O115="","",(1/'Metadata'!$B$5)^(O115-1))</x:f>
        <x:v>85.11380382023768</x:v>
      </x:c>
      <x:c r="U115" s="31" t="n">
        <x:f>IF(T115="","",I115*T115)</x:f>
        <x:v>1421.1502183404734</x:v>
      </x:c>
    </x:row>
    <x:row r="116" ht="18" customHeight="1">
      <x:c r="A116" s="24" t="str">
        <x:v>EEZ_157</x:v>
      </x:c>
      <x:c r="B116" s="24" t="str">
        <x:v>Taiwan</x:v>
      </x:c>
      <x:c r="C116" s="24" t="str">
        <x:v>EEZ</x:v>
      </x:c>
      <x:c r="D116" s="30" t="n">
        <x:v>2019</x:v>
      </x:c>
      <x:c r="E116" s="24" t="str">
        <x:v>Hemitrygon akajei</x:v>
      </x:c>
      <x:c r="F116" s="24" t="str">
        <x:v>Whip stingray</x:v>
      </x:c>
      <x:c r="G116" s="24" t="str">
        <x:v>Large rays (&gt;=90 cm)</x:v>
      </x:c>
      <x:c r="H116" s="24" t="str">
        <x:v>Sharks &amp; rays</x:v>
      </x:c>
      <x:c r="I116" s="31" t="n">
        <x:v>16.5853120462</x:v>
      </x:c>
      <x:c r="J116" s="31" t="n">
        <x:v>0</x:v>
      </x:c>
      <x:c r="K116" s="31" t="n">
        <x:v>16.5853120462</x:v>
      </x:c>
      <x:c r="L116" s="31" t="n">
        <x:v>0</x:v>
      </x:c>
      <x:c r="M116" s="31" t="n">
        <x:v>16.5853120462</x:v>
      </x:c>
      <x:c r="N116" s="24" t="str">
        <x:v>hemitrygon akajei</x:v>
      </x:c>
      <x:c r="O116" s="32" t="n">
        <x:v>3.84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Hemitrygon akajei</x:v>
      </x:c>
      <x:c r="T116" s="32" t="n">
        <x:f>IF(O116="","",(1/'Metadata'!$B$5)^(O116-1))</x:f>
        <x:v>691.8309709189363</x:v>
      </x:c>
      <x:c r="U116" s="31" t="n">
        <x:f>IF(T116="","",I116*T116)</x:f>
        <x:v>11474.232535916075</x:v>
      </x:c>
    </x:row>
    <x:row r="117" ht="18" customHeight="1">
      <x:c r="A117" s="24" t="str">
        <x:v>EEZ_157</x:v>
      </x:c>
      <x:c r="B117" s="24" t="str">
        <x:v>Taiwan</x:v>
      </x:c>
      <x:c r="C117" s="24" t="str">
        <x:v>EEZ</x:v>
      </x:c>
      <x:c r="D117" s="30" t="n">
        <x:v>2019</x:v>
      </x:c>
      <x:c r="E117" s="24" t="str">
        <x:v>Prionace glauca</x:v>
      </x:c>
      <x:c r="F117" s="24" t="str">
        <x:v>Blue shark</x:v>
      </x:c>
      <x:c r="G117" s="24" t="str">
        <x:v>Large sharks (&gt;=90 cm)</x:v>
      </x:c>
      <x:c r="H117" s="24" t="str">
        <x:v>Sharks &amp; rays</x:v>
      </x:c>
      <x:c r="I117" s="31" t="n">
        <x:v>12.6434711087</x:v>
      </x:c>
      <x:c r="J117" s="31" t="n">
        <x:v>10.801284856</x:v>
      </x:c>
      <x:c r="K117" s="31" t="n">
        <x:v>1.8421862527</x:v>
      </x:c>
      <x:c r="L117" s="31" t="n">
        <x:v>10.801284856</x:v>
      </x:c>
      <x:c r="M117" s="31" t="n">
        <x:v>1.8421862527</x:v>
      </x:c>
      <x:c r="N117" s="24" t="str">
        <x:v>prionace glauca</x:v>
      </x:c>
      <x:c r="O117" s="32" t="n">
        <x:v>4.35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Prionace glauca</x:v>
      </x:c>
      <x:c r="T117" s="32" t="n">
        <x:f>IF(O117="","",(1/'Metadata'!$B$5)^(O117-1))</x:f>
        <x:v>2238.7211385683377</x:v>
      </x:c>
      <x:c r="U117" s="31" t="n">
        <x:f>IF(T117="","",I117*T117)</x:f>
        <x:v>28305.206035924748</x:v>
      </x:c>
    </x:row>
    <x:row r="118" ht="18" customHeight="1">
      <x:c r="A118" s="24" t="str">
        <x:v>EEZ_157</x:v>
      </x:c>
      <x:c r="B118" s="24" t="str">
        <x:v>Taiwan</x:v>
      </x:c>
      <x:c r="C118" s="24" t="str">
        <x:v>EEZ</x:v>
      </x:c>
      <x:c r="D118" s="30" t="n">
        <x:v>2019</x:v>
      </x:c>
      <x:c r="E118" s="24" t="str">
        <x:v>Encrasicholina punctifer</x:v>
      </x:c>
      <x:c r="F118" s="24" t="str">
        <x:v>Buccaneer anchovy</x:v>
      </x:c>
      <x:c r="G118" s="24" t="str">
        <x:v>Small pelagics (&lt;30 cm)</x:v>
      </x:c>
      <x:c r="H118" s="24" t="str">
        <x:v>Anchovies</x:v>
      </x:c>
      <x:c r="I118" s="31" t="n">
        <x:v>12.6192561163</x:v>
      </x:c>
      <x:c r="J118" s="31" t="n">
        <x:v>0</x:v>
      </x:c>
      <x:c r="K118" s="31" t="n">
        <x:v>12.6192561163</x:v>
      </x:c>
      <x:c r="L118" s="31" t="n">
        <x:v>0</x:v>
      </x:c>
      <x:c r="M118" s="31" t="n">
        <x:v>12.6192561163</x:v>
      </x:c>
      <x:c r="N118" s="24" t="str">
        <x:v>encrasicholina punctifer</x:v>
      </x:c>
      <x:c r="O118" s="32" t="n">
        <x:v>3.25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Encrasicholina punctifer</x:v>
      </x:c>
      <x:c r="T118" s="32" t="n">
        <x:f>IF(O118="","",(1/'Metadata'!$B$5)^(O118-1))</x:f>
        <x:v>177.82794100389228</x:v>
      </x:c>
      <x:c r="U118" s="31" t="n">
        <x:f>IF(T118="","",I118*T118)</x:f>
        <x:v>2244.056332162403</x:v>
      </x:c>
    </x:row>
    <x:row r="119" ht="18" customHeight="1">
      <x:c r="A119" s="24" t="str">
        <x:v>EEZ_157</x:v>
      </x:c>
      <x:c r="B119" s="24" t="str">
        <x:v>Taiwan</x:v>
      </x:c>
      <x:c r="C119" s="24" t="str">
        <x:v>EEZ</x:v>
      </x:c>
      <x:c r="D119" s="30" t="n">
        <x:v>2019</x:v>
      </x:c>
      <x:c r="E119" s="24" t="str">
        <x:v>Istiophorus platypterus</x:v>
      </x:c>
      <x:c r="F119" s="24" t="str">
        <x:v>Indo-Pacific sailfish</x:v>
      </x:c>
      <x:c r="G119" s="24" t="str">
        <x:v>Large pelagics (&gt;=90 cm)</x:v>
      </x:c>
      <x:c r="H119" s="24" t="str">
        <x:v>Tuna &amp; billfishes</x:v>
      </x:c>
      <x:c r="I119" s="31" t="n">
        <x:v>11.0877580882</x:v>
      </x:c>
      <x:c r="J119" s="31" t="n">
        <x:v>0</x:v>
      </x:c>
      <x:c r="K119" s="31" t="n">
        <x:v>11.0877580882</x:v>
      </x:c>
      <x:c r="L119" s="31" t="n">
        <x:v>0</x:v>
      </x:c>
      <x:c r="M119" s="31" t="n">
        <x:v>11.0877580882</x:v>
      </x:c>
      <x:c r="N119" s="24" t="str">
        <x:v>istiophorus platypterus</x:v>
      </x:c>
      <x:c r="O119" s="32" t="n">
        <x:v>4.5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Istiophorus platypterus</x:v>
      </x:c>
      <x:c r="T119" s="32" t="n">
        <x:f>IF(O119="","",(1/'Metadata'!$B$5)^(O119-1))</x:f>
        <x:v>3162.2776601683795</x:v>
      </x:c>
      <x:c r="U119" s="31" t="n">
        <x:f>IF(T119="","",I119*T119)</x:f>
        <x:v>35062.569703666115</x:v>
      </x:c>
    </x:row>
    <x:row r="120" ht="18" customHeight="1">
      <x:c r="A120" s="24" t="str">
        <x:v>EEZ_157</x:v>
      </x:c>
      <x:c r="B120" s="24" t="str">
        <x:v>Taiwan</x:v>
      </x:c>
      <x:c r="C120" s="24" t="str">
        <x:v>EEZ</x:v>
      </x:c>
      <x:c r="D120" s="30" t="n">
        <x:v>2019</x:v>
      </x:c>
      <x:c r="E120" s="24" t="str">
        <x:v>Auxis thazard</x:v>
      </x:c>
      <x:c r="F120" s="24" t="str">
        <x:v>Frigate tuna</x:v>
      </x:c>
      <x:c r="G120" s="24" t="str">
        <x:v>Medium pelagics (30 - 89 cm)</x:v>
      </x:c>
      <x:c r="H120" s="24" t="str">
        <x:v>Tuna &amp; billfishes</x:v>
      </x:c>
      <x:c r="I120" s="31" t="n">
        <x:v>10.814094855299999</x:v>
      </x:c>
      <x:c r="J120" s="31" t="n">
        <x:v>0</x:v>
      </x:c>
      <x:c r="K120" s="31" t="n">
        <x:v>10.814094855299999</x:v>
      </x:c>
      <x:c r="L120" s="31" t="n">
        <x:v>0</x:v>
      </x:c>
      <x:c r="M120" s="31" t="n">
        <x:v>10.814094855299999</x:v>
      </x:c>
      <x:c r="N120" s="24" t="str">
        <x:v>auxis thazard</x:v>
      </x:c>
      <x:c r="O120" s="32" t="n">
        <x:v>4.37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Auxis thazard</x:v>
      </x:c>
      <x:c r="T120" s="32" t="n">
        <x:f>IF(O120="","",(1/'Metadata'!$B$5)^(O120-1))</x:f>
        <x:v>2344.228815319923</x:v>
      </x:c>
      <x:c r="U120" s="31" t="n">
        <x:f>IF(T120="","",I120*T120)</x:f>
        <x:v>25350.71277139719</x:v>
      </x:c>
    </x:row>
    <x:row r="121" ht="18" customHeight="1">
      <x:c r="A121" s="24" t="str">
        <x:v>EEZ_157</x:v>
      </x:c>
      <x:c r="B121" s="24" t="str">
        <x:v>Taiwan</x:v>
      </x:c>
      <x:c r="C121" s="24" t="str">
        <x:v>EEZ</x:v>
      </x:c>
      <x:c r="D121" s="30" t="n">
        <x:v>2019</x:v>
      </x:c>
      <x:c r="E121" s="24" t="str">
        <x:v>Scylla serrata</x:v>
      </x:c>
      <x:c r="F121" s="24" t="str">
        <x:v>Indo-Pacific swamp crab</x:v>
      </x:c>
      <x:c r="G121" s="24" t="str">
        <x:v>Lobsters, crabs</x:v>
      </x:c>
      <x:c r="H121" s="24" t="str">
        <x:v>Crustaceans</x:v>
      </x:c>
      <x:c r="I121" s="31" t="n">
        <x:v>10.1218032623</x:v>
      </x:c>
      <x:c r="J121" s="31" t="n">
        <x:v>10.1218032623</x:v>
      </x:c>
      <x:c r="K121" s="31" t="n">
        <x:v>0</x:v>
      </x:c>
      <x:c r="L121" s="31" t="n">
        <x:v>4.0509724496</x:v>
      </x:c>
      <x:c r="M121" s="31" t="n">
        <x:v>6.0708308127</x:v>
      </x:c>
      <x:c r="N121" s="24" t="str">
        <x:v>scylla serrata</x:v>
      </x:c>
      <x:c r="O121" s="32" t="n">
        <x:v>3.17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Scylla serrata</x:v>
      </x:c>
      <x:c r="T121" s="32" t="n">
        <x:f>IF(O121="","",(1/'Metadata'!$B$5)^(O121-1))</x:f>
        <x:v>147.91083881682073</x:v>
      </x:c>
      <x:c r="U121" s="31" t="n">
        <x:f>IF(T121="","",I121*T121)</x:f>
        <x:v>1497.1244108656256</x:v>
      </x:c>
    </x:row>
    <x:row r="122" ht="18" customHeight="1">
      <x:c r="A122" s="24" t="str">
        <x:v>EEZ_157</x:v>
      </x:c>
      <x:c r="B122" s="24" t="str">
        <x:v>Taiwan</x:v>
      </x:c>
      <x:c r="C122" s="24" t="str">
        <x:v>EEZ</x:v>
      </x:c>
      <x:c r="D122" s="30" t="n">
        <x:v>2019</x:v>
      </x:c>
      <x:c r="E122" s="24" t="str">
        <x:v>Penaeus monodon</x:v>
      </x:c>
      <x:c r="F122" s="24" t="str">
        <x:v>Giant tiger prawn</x:v>
      </x:c>
      <x:c r="G122" s="24" t="str">
        <x:v>Shrimps</x:v>
      </x:c>
      <x:c r="H122" s="24" t="str">
        <x:v>Crustaceans</x:v>
      </x:c>
      <x:c r="I122" s="31" t="n">
        <x:v>9.14587546</x:v>
      </x:c>
      <x:c r="J122" s="31" t="n">
        <x:v>9.14587546</x:v>
      </x:c>
      <x:c r="K122" s="31" t="n">
        <x:v>0</x:v>
      </x:c>
      <x:c r="L122" s="31" t="n">
        <x:v>5.401296599599999</x:v>
      </x:c>
      <x:c r="M122" s="31" t="n">
        <x:v>3.7445788604000003</x:v>
      </x:c>
      <x:c r="N122" s="24" t="str">
        <x:v>penaeus monodon</x:v>
      </x:c>
      <x:c r="O122" s="32" t="n">
        <x:v>2.6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Penaeus monodon</x:v>
      </x:c>
      <x:c r="T122" s="32" t="n">
        <x:f>IF(O122="","",(1/'Metadata'!$B$5)^(O122-1))</x:f>
        <x:v>39.810717055349734</x:v>
      </x:c>
      <x:c r="U122" s="31" t="n">
        <x:f>IF(T122="","",I122*T122)</x:f>
        <x:v>364.10386016152654</x:v>
      </x:c>
    </x:row>
    <x:row r="123" ht="18" customHeight="1">
      <x:c r="A123" s="24" t="str">
        <x:v>EEZ_157</x:v>
      </x:c>
      <x:c r="B123" s="24" t="str">
        <x:v>Taiwan</x:v>
      </x:c>
      <x:c r="C123" s="24" t="str">
        <x:v>EEZ</x:v>
      </x:c>
      <x:c r="D123" s="30" t="n">
        <x:v>2019</x:v>
      </x:c>
      <x:c r="E123" s="24" t="str">
        <x:v>Echinoidea</x:v>
      </x:c>
      <x:c r="F123" s="24" t="str">
        <x:v>Sea urchins, sea hedgehogs</x:v>
      </x:c>
      <x:c r="G123" s="24" t="str">
        <x:v>Other demersal invertebrates</x:v>
      </x:c>
      <x:c r="H123" s="24" t="str">
        <x:v>Other fishes &amp; inverts</x:v>
      </x:c>
      <x:c r="I123" s="31" t="n">
        <x:v>7.6718893251</x:v>
      </x:c>
      <x:c r="J123" s="31" t="n">
        <x:v>7.6718893251</x:v>
      </x:c>
      <x:c r="K123" s="31" t="n">
        <x:v>0</x:v>
      </x:c>
      <x:c r="L123" s="31" t="n">
        <x:v>7.6718893251</x:v>
      </x:c>
      <x:c r="M123" s="31" t="n">
        <x:v>0</x:v>
      </x:c>
      <x:c r="N123" s="24" t="str">
        <x:v>echinoidea</x:v>
      </x:c>
      <x:c r="O123" s="32" t="n">
        <x:v>2.51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Echinoidea</x:v>
      </x:c>
      <x:c r="T123" s="32" t="n">
        <x:f>IF(O123="","",(1/'Metadata'!$B$5)^(O123-1))</x:f>
        <x:v>32.35936569296281</x:v>
      </x:c>
      <x:c r="U123" s="31" t="n">
        <x:f>IF(T123="","",I123*T123)</x:f>
        <x:v>248.25747222684856</x:v>
      </x:c>
    </x:row>
    <x:row r="124" ht="18" customHeight="1">
      <x:c r="A124" s="24" t="str">
        <x:v>EEZ_157</x:v>
      </x:c>
      <x:c r="B124" s="24" t="str">
        <x:v>Taiwan</x:v>
      </x:c>
      <x:c r="C124" s="24" t="str">
        <x:v>EEZ</x:v>
      </x:c>
      <x:c r="D124" s="30" t="n">
        <x:v>2019</x:v>
      </x:c>
      <x:c r="E124" s="24" t="str">
        <x:v>Acetes</x:v>
      </x:c>
      <x:c r="F124" s="24" t="str">
        <x:v>Acetes shrimps</x:v>
      </x:c>
      <x:c r="G124" s="24" t="str">
        <x:v>Shrimps</x:v>
      </x:c>
      <x:c r="H124" s="24" t="str">
        <x:v>Crustaceans</x:v>
      </x:c>
      <x:c r="I124" s="31" t="n">
        <x:v>7.1882464087</x:v>
      </x:c>
      <x:c r="J124" s="31" t="n">
        <x:v>0</x:v>
      </x:c>
      <x:c r="K124" s="31" t="n">
        <x:v>7.1882464087</x:v>
      </x:c>
      <x:c r="L124" s="31" t="n">
        <x:v>0</x:v>
      </x:c>
      <x:c r="M124" s="31" t="n">
        <x:v>7.1882464087</x:v>
      </x:c>
      <x:c r="N124" s="24" t="str">
        <x:v>acetes</x:v>
      </x:c>
      <x:c r="O124" s="32" t="n">
        <x:v>2.7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Acetes</x:v>
      </x:c>
      <x:c r="T124" s="32" t="n">
        <x:f>IF(O124="","",(1/'Metadata'!$B$5)^(O124-1))</x:f>
        <x:v>50.11872336272725</x:v>
      </x:c>
      <x:c r="U124" s="31" t="n">
        <x:f>IF(T124="","",I124*T124)</x:f>
        <x:v>360.26573322075296</x:v>
      </x:c>
    </x:row>
    <x:row r="125" ht="18" customHeight="1">
      <x:c r="A125" s="24" t="str">
        <x:v>EEZ_157</x:v>
      </x:c>
      <x:c r="B125" s="24" t="str">
        <x:v>Taiwan</x:v>
      </x:c>
      <x:c r="C125" s="24" t="str">
        <x:v>EEZ</x:v>
      </x:c>
      <x:c r="D125" s="30" t="n">
        <x:v>2019</x:v>
      </x:c>
      <x:c r="E125" s="24" t="str">
        <x:v>Parupeneus barberinus</x:v>
      </x:c>
      <x:c r="F125" s="24" t="str">
        <x:v>Dash-and-dot goatfish</x:v>
      </x:c>
      <x:c r="G125" s="24" t="str">
        <x:v>Medium reef assoc. fish (30 - 89 cm)</x:v>
      </x:c>
      <x:c r="H125" s="24" t="str">
        <x:v>Perch-likes</x:v>
      </x:c>
      <x:c r="I125" s="31" t="n">
        <x:v>7.0669258737</x:v>
      </x:c>
      <x:c r="J125" s="31" t="n">
        <x:v>0</x:v>
      </x:c>
      <x:c r="K125" s="31" t="n">
        <x:v>7.0669258737</x:v>
      </x:c>
      <x:c r="L125" s="31" t="n">
        <x:v>0</x:v>
      </x:c>
      <x:c r="M125" s="31" t="n">
        <x:v>7.0669258737</x:v>
      </x:c>
      <x:c r="N125" s="24" t="str">
        <x:v>parupeneus barberinus</x:v>
      </x:c>
      <x:c r="O125" s="32" t="n">
        <x:v>3.22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Parupeneus barberinus</x:v>
      </x:c>
      <x:c r="T125" s="32" t="n">
        <x:f>IF(O125="","",(1/'Metadata'!$B$5)^(O125-1))</x:f>
        <x:v>165.95869074375614</x:v>
      </x:c>
      <x:c r="U125" s="31" t="n">
        <x:f>IF(T125="","",I125*T125)</x:f>
        <x:v>1172.817765582427</x:v>
      </x:c>
    </x:row>
    <x:row r="126" ht="18" customHeight="1">
      <x:c r="A126" s="24" t="str">
        <x:v>EEZ_157</x:v>
      </x:c>
      <x:c r="B126" s="24" t="str">
        <x:v>Taiwan</x:v>
      </x:c>
      <x:c r="C126" s="24" t="str">
        <x:v>EEZ</x:v>
      </x:c>
      <x:c r="D126" s="30" t="n">
        <x:v>2019</x:v>
      </x:c>
      <x:c r="E126" s="24" t="str">
        <x:v>Cheilopogon unicolor</x:v>
      </x:c>
      <x:c r="F126" s="24" t="str">
        <x:v>Limpidwing flyingfish</x:v>
      </x:c>
      <x:c r="G126" s="24" t="str">
        <x:v>Medium pelagics (30 - 89 cm)</x:v>
      </x:c>
      <x:c r="H126" s="24" t="str">
        <x:v>Other fishes &amp; inverts</x:v>
      </x:c>
      <x:c r="I126" s="31" t="n">
        <x:v>5.9662925259</x:v>
      </x:c>
      <x:c r="J126" s="31" t="n">
        <x:v>0</x:v>
      </x:c>
      <x:c r="K126" s="31" t="n">
        <x:v>5.9662925259</x:v>
      </x:c>
      <x:c r="L126" s="31" t="n">
        <x:v>0</x:v>
      </x:c>
      <x:c r="M126" s="31" t="n">
        <x:v>5.9662925259</x:v>
      </x:c>
      <x:c r="N126" s="24" t="str">
        <x:v>cheilopogon unicolor</x:v>
      </x:c>
      <x:c r="O126" s="32" t="n">
        <x:v>3.7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Cheilopogon unicolor</x:v>
      </x:c>
      <x:c r="T126" s="32" t="n">
        <x:f>IF(O126="","",(1/'Metadata'!$B$5)^(O126-1))</x:f>
        <x:v>501.18723362727246</x:v>
      </x:c>
      <x:c r="U126" s="31" t="n">
        <x:f>IF(T126="","",I126*T126)</x:f>
        <x:v>2990.229646066893</x:v>
      </x:c>
    </x:row>
    <x:row r="127" ht="18" customHeight="1">
      <x:c r="A127" s="24" t="str">
        <x:v>EEZ_157</x:v>
      </x:c>
      <x:c r="B127" s="24" t="str">
        <x:v>Taiwan</x:v>
      </x:c>
      <x:c r="C127" s="24" t="str">
        <x:v>EEZ</x:v>
      </x:c>
      <x:c r="D127" s="30" t="n">
        <x:v>2019</x:v>
      </x:c>
      <x:c r="E127" s="24" t="str">
        <x:v>Istiompax indica</x:v>
      </x:c>
      <x:c r="F127" s="24" t="str">
        <x:v>Black marlin</x:v>
      </x:c>
      <x:c r="G127" s="24" t="str">
        <x:v>Large pelagics (&gt;=90 cm)</x:v>
      </x:c>
      <x:c r="H127" s="24" t="str">
        <x:v>Tuna &amp; billfishes</x:v>
      </x:c>
      <x:c r="I127" s="31" t="n">
        <x:v>3.9855370892</x:v>
      </x:c>
      <x:c r="J127" s="31" t="n">
        <x:v>0</x:v>
      </x:c>
      <x:c r="K127" s="31" t="n">
        <x:v>3.9855370892</x:v>
      </x:c>
      <x:c r="L127" s="31" t="n">
        <x:v>0</x:v>
      </x:c>
      <x:c r="M127" s="31" t="n">
        <x:v>3.9855370892</x:v>
      </x:c>
      <x:c r="N127" s="24" t="str">
        <x:v>istiompax indica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Istiompax indica</x:v>
      </x:c>
      <x:c r="T127" s="32" t="n">
        <x:f>IF(O127="","",(1/'Metadata'!$B$5)^(O127-1))</x:f>
        <x:v>3162.2776601683795</x:v>
      </x:c>
      <x:c r="U127" s="31" t="n">
        <x:f>IF(T127="","",I127*T127)</x:f>
        <x:v>12603.37490094967</x:v>
      </x:c>
    </x:row>
    <x:row r="128" ht="18" customHeight="1">
      <x:c r="A128" s="24" t="str">
        <x:v>EEZ_157</x:v>
      </x:c>
      <x:c r="B128" s="24" t="str">
        <x:v>Taiwan</x:v>
      </x:c>
      <x:c r="C128" s="24" t="str">
        <x:v>EEZ</x:v>
      </x:c>
      <x:c r="D128" s="30" t="n">
        <x:v>2019</x:v>
      </x:c>
      <x:c r="E128" s="24" t="str">
        <x:v>Lates calcarifer</x:v>
      </x:c>
      <x:c r="F128" s="24" t="str">
        <x:v>Barramundi</x:v>
      </x:c>
      <x:c r="G128" s="24" t="str">
        <x:v>Large demersals (&gt;=90 cm)</x:v>
      </x:c>
      <x:c r="H128" s="24" t="str">
        <x:v>Perch-likes</x:v>
      </x:c>
      <x:c r="I128" s="31" t="n">
        <x:v>3.3758103746</x:v>
      </x:c>
      <x:c r="J128" s="31" t="n">
        <x:v>3.3758103746</x:v>
      </x:c>
      <x:c r="K128" s="31" t="n">
        <x:v>0</x:v>
      </x:c>
      <x:c r="L128" s="31" t="n">
        <x:v>3.3758103746</x:v>
      </x:c>
      <x:c r="M128" s="31" t="n">
        <x:v>0</x:v>
      </x:c>
      <x:c r="N128" s="24" t="str">
        <x:v>lates calcarifer</x:v>
      </x:c>
      <x:c r="O128" s="32" t="n">
        <x:v>4.35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Lates calcarifer</x:v>
      </x:c>
      <x:c r="T128" s="32" t="n">
        <x:f>IF(O128="","",(1/'Metadata'!$B$5)^(O128-1))</x:f>
        <x:v>2238.7211385683377</x:v>
      </x:c>
      <x:c r="U128" s="31" t="n">
        <x:f>IF(T128="","",I128*T128)</x:f>
        <x:v>7557.498045415318</x:v>
      </x:c>
    </x:row>
    <x:row r="129" ht="18" customHeight="1">
      <x:c r="A129" s="24" t="str">
        <x:v>EEZ_157</x:v>
      </x:c>
      <x:c r="B129" s="24" t="str">
        <x:v>Taiwan</x:v>
      </x:c>
      <x:c r="C129" s="24" t="str">
        <x:v>EEZ</x:v>
      </x:c>
      <x:c r="D129" s="30" t="n">
        <x:v>2019</x:v>
      </x:c>
      <x:c r="E129" s="24" t="str">
        <x:v>Kajikia audax</x:v>
      </x:c>
      <x:c r="F129" s="24" t="str">
        <x:v>Striped marlin</x:v>
      </x:c>
      <x:c r="G129" s="24" t="str">
        <x:v>Large pelagics (&gt;=90 cm)</x:v>
      </x:c>
      <x:c r="H129" s="24" t="str">
        <x:v>Tuna &amp; billfishes</x:v>
      </x:c>
      <x:c r="I129" s="31" t="n">
        <x:v>3.0018754766</x:v>
      </x:c>
      <x:c r="J129" s="31" t="n">
        <x:v>0.1772391942</x:v>
      </x:c>
      <x:c r="K129" s="31" t="n">
        <x:v>2.8246362824</x:v>
      </x:c>
      <x:c r="L129" s="31" t="n">
        <x:v>0.1772391942</x:v>
      </x:c>
      <x:c r="M129" s="31" t="n">
        <x:v>2.8246362824</x:v>
      </x:c>
      <x:c r="N129" s="24" t="str">
        <x:v>kajikia audax</x:v>
      </x:c>
      <x:c r="O129" s="32" t="n">
        <x:v>4.58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Kajikia audax</x:v>
      </x:c>
      <x:c r="T129" s="32" t="n">
        <x:f>IF(O129="","",(1/'Metadata'!$B$5)^(O129-1))</x:f>
        <x:v>3801.8939632056126</x:v>
      </x:c>
      <x:c r="U129" s="31" t="n">
        <x:f>IF(T129="","",I129*T129)</x:f>
        <x:v>11412.812252780512</x:v>
      </x:c>
    </x:row>
    <x:row r="130" ht="18" customHeight="1">
      <x:c r="A130" s="24" t="str">
        <x:v>EEZ_157</x:v>
      </x:c>
      <x:c r="B130" s="24" t="str">
        <x:v>Taiwan</x:v>
      </x:c>
      <x:c r="C130" s="24" t="str">
        <x:v>EEZ</x:v>
      </x:c>
      <x:c r="D130" s="30" t="n">
        <x:v>2019</x:v>
      </x:c>
      <x:c r="E130" s="24" t="str">
        <x:v>Metapenaeus ensis</x:v>
      </x:c>
      <x:c r="F130" s="24" t="str">
        <x:v>Greasyback shrimp</x:v>
      </x:c>
      <x:c r="G130" s="24" t="str">
        <x:v>Shrimps</x:v>
      </x:c>
      <x:c r="H130" s="24" t="str">
        <x:v>Crustaceans</x:v>
      </x:c>
      <x:c r="I130" s="31" t="n">
        <x:v>2.7278102176</x:v>
      </x:c>
      <x:c r="J130" s="31" t="n">
        <x:v>0</x:v>
      </x:c>
      <x:c r="K130" s="31" t="n">
        <x:v>2.7278102176</x:v>
      </x:c>
      <x:c r="L130" s="31" t="n">
        <x:v>0</x:v>
      </x:c>
      <x:c r="M130" s="31" t="n">
        <x:v>2.7278102176</x:v>
      </x:c>
      <x:c r="N130" s="24" t="str">
        <x:v>metapenaeus ensis</x:v>
      </x:c>
      <x:c r="O130" s="32" t="n">
        <x:v>2.7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Metapenaeus ensis</x:v>
      </x:c>
      <x:c r="T130" s="32" t="n">
        <x:f>IF(O130="","",(1/'Metadata'!$B$5)^(O130-1))</x:f>
        <x:v>50.11872336272725</x:v>
      </x:c>
      <x:c r="U130" s="31" t="n">
        <x:f>IF(T130="","",I130*T130)</x:f>
        <x:v>136.71436568191524</x:v>
      </x:c>
    </x:row>
    <x:row r="131" ht="18" customHeight="1">
      <x:c r="A131" s="24" t="str">
        <x:v>EEZ_157</x:v>
      </x:c>
      <x:c r="B131" s="24" t="str">
        <x:v>Taiwan</x:v>
      </x:c>
      <x:c r="C131" s="24" t="str">
        <x:v>EEZ</x:v>
      </x:c>
      <x:c r="D131" s="30" t="n">
        <x:v>2019</x:v>
      </x:c>
      <x:c r="E131" s="24" t="str">
        <x:v>Sillago sihama</x:v>
      </x:c>
      <x:c r="F131" s="24" t="str">
        <x:v>Silver sillago</x:v>
      </x:c>
      <x:c r="G131" s="24" t="str">
        <x:v>Medium demersals (30 - 89 cm)</x:v>
      </x:c>
      <x:c r="H131" s="24" t="str">
        <x:v>Perch-likes</x:v>
      </x:c>
      <x:c r="I131" s="31" t="n">
        <x:v>2.0024095575</x:v>
      </x:c>
      <x:c r="J131" s="31" t="n">
        <x:v>0</x:v>
      </x:c>
      <x:c r="K131" s="31" t="n">
        <x:v>2.0024095575</x:v>
      </x:c>
      <x:c r="L131" s="31" t="n">
        <x:v>0</x:v>
      </x:c>
      <x:c r="M131" s="31" t="n">
        <x:v>2.0024095575</x:v>
      </x:c>
      <x:c r="N131" s="24" t="str">
        <x:v>sillago sihama</x:v>
      </x:c>
      <x:c r="O131" s="32" t="n">
        <x:v>3.33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Sillago sihama</x:v>
      </x:c>
      <x:c r="T131" s="32" t="n">
        <x:f>IF(O131="","",(1/'Metadata'!$B$5)^(O131-1))</x:f>
        <x:v>213.79620895022325</x:v>
      </x:c>
      <x:c r="U131" s="31" t="n">
        <x:f>IF(T131="","",I131*T131)</x:f>
        <x:v>428.1075721591941</x:v>
      </x:c>
    </x:row>
    <x:row r="132" ht="18" customHeight="1">
      <x:c r="A132" s="24" t="str">
        <x:v>EEZ_157</x:v>
      </x:c>
      <x:c r="B132" s="24" t="str">
        <x:v>Taiwan</x:v>
      </x:c>
      <x:c r="C132" s="24" t="str">
        <x:v>EEZ</x:v>
      </x:c>
      <x:c r="D132" s="30" t="n">
        <x:v>2019</x:v>
      </x:c>
      <x:c r="E132" s="24" t="str">
        <x:v>Lutjanus</x:v>
      </x:c>
      <x:c r="F132" s="24" t="str">
        <x:v>Snappers</x:v>
      </x:c>
      <x:c r="G132" s="24" t="str">
        <x:v>Medium reef assoc. fish (30 - 89 cm)</x:v>
      </x:c>
      <x:c r="H132" s="24" t="str">
        <x:v>Perch-likes</x:v>
      </x:c>
      <x:c r="I132" s="31" t="n">
        <x:v>1.4922232311</x:v>
      </x:c>
      <x:c r="J132" s="31" t="n">
        <x:v>0</x:v>
      </x:c>
      <x:c r="K132" s="31" t="n">
        <x:v>1.4922232311</x:v>
      </x:c>
      <x:c r="L132" s="31" t="n">
        <x:v>0</x:v>
      </x:c>
      <x:c r="M132" s="31" t="n">
        <x:v>1.4922232311</x:v>
      </x:c>
      <x:c r="N132" s="24" t="str">
        <x:v>lutjanus</x:v>
      </x:c>
      <x:c r="O132" s="32" t="n">
        <x:v>4.02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Lutjanus</x:v>
      </x:c>
      <x:c r="T132" s="32" t="n">
        <x:f>IF(O132="","",(1/'Metadata'!$B$5)^(O132-1))</x:f>
        <x:v>1047.1285480508984</x:v>
      </x:c>
      <x:c r="U132" s="31" t="n">
        <x:f>IF(T132="","",I132*T132)</x:f>
        <x:v>1562.5495453495635</x:v>
      </x:c>
    </x:row>
    <x:row r="133" ht="18" customHeight="1">
      <x:c r="A133" s="24" t="str">
        <x:v>EEZ_157</x:v>
      </x:c>
      <x:c r="B133" s="24" t="str">
        <x:v>Taiwan</x:v>
      </x:c>
      <x:c r="C133" s="24" t="str">
        <x:v>EEZ</x:v>
      </x:c>
      <x:c r="D133" s="30" t="n">
        <x:v>2019</x:v>
      </x:c>
      <x:c r="E133" s="24" t="str">
        <x:v>Xiphias gladius</x:v>
      </x:c>
      <x:c r="F133" s="24" t="str">
        <x:v>Swordfish</x:v>
      </x:c>
      <x:c r="G133" s="24" t="str">
        <x:v>Large pelagics (&gt;=90 cm)</x:v>
      </x:c>
      <x:c r="H133" s="24" t="str">
        <x:v>Tuna &amp; billfishes</x:v>
      </x:c>
      <x:c r="I133" s="31" t="n">
        <x:v>1.4627177045</x:v>
      </x:c>
      <x:c r="J133" s="31" t="n">
        <x:v>0.3501997521</x:v>
      </x:c>
      <x:c r="K133" s="31" t="n">
        <x:v>1.1125179524</x:v>
      </x:c>
      <x:c r="L133" s="31" t="n">
        <x:v>0.3501997521</x:v>
      </x:c>
      <x:c r="M133" s="31" t="n">
        <x:v>1.1125179524</x:v>
      </x:c>
      <x:c r="N133" s="24" t="str">
        <x:v>xiphias gladius</x:v>
      </x:c>
      <x:c r="O133" s="32" t="n">
        <x:v>4.53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Xiphias gladius</x:v>
      </x:c>
      <x:c r="T133" s="32" t="n">
        <x:f>IF(O133="","",(1/'Metadata'!$B$5)^(O133-1))</x:f>
        <x:v>3388.4415613920273</x:v>
      </x:c>
      <x:c r="U133" s="31" t="n">
        <x:f>IF(T133="","",I133*T133)</x:f>
        <x:v>4956.333462511742</x:v>
      </x:c>
    </x:row>
    <x:row r="134" ht="18" customHeight="1">
      <x:c r="A134" s="24" t="str">
        <x:v>EEZ_157</x:v>
      </x:c>
      <x:c r="B134" s="24" t="str">
        <x:v>Taiwan</x:v>
      </x:c>
      <x:c r="C134" s="24" t="str">
        <x:v>EEZ</x:v>
      </x:c>
      <x:c r="D134" s="30" t="n">
        <x:v>2019</x:v>
      </x:c>
      <x:c r="E134" s="24" t="str">
        <x:v>Marine pelagic fishes not identified</x:v>
      </x:c>
      <x:c r="F134" s="24" t="str">
        <x:v>Pelagic fishes</x:v>
      </x:c>
      <x:c r="G134" s="24" t="str">
        <x:v>Medium pelagics (30 - 89 cm)</x:v>
      </x:c>
      <x:c r="H134" s="24" t="str">
        <x:v>Other fishes &amp; inverts</x:v>
      </x:c>
      <x:c r="I134" s="31" t="n">
        <x:v>1.4568141247</x:v>
      </x:c>
      <x:c r="J134" s="31" t="n">
        <x:v>1.4565146122</x:v>
      </x:c>
      <x:c r="K134" s="31" t="n">
        <x:v>0.0002995125</x:v>
      </x:c>
      <x:c r="L134" s="31" t="n">
        <x:v>1.4565146122</x:v>
      </x:c>
      <x:c r="M134" s="31" t="n">
        <x:v>0.0002995125</x:v>
      </x:c>
      <x:c r="N134" s="24" t="str">
        <x:v>marine pelagic fishes not identified</x:v>
      </x:c>
      <x:c r="O134" s="32" t="n">
        <x:v>3.35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Marine pelagic fishes not identified</x:v>
      </x:c>
      <x:c r="T134" s="32" t="n">
        <x:f>IF(O134="","",(1/'Metadata'!$B$5)^(O134-1))</x:f>
        <x:v>223.872113856834</x:v>
      </x:c>
      <x:c r="U134" s="31" t="n">
        <x:f>IF(T134="","",I134*T134)</x:f>
        <x:v>326.14005759308236</x:v>
      </x:c>
    </x:row>
    <x:row r="135" ht="18" customHeight="1">
      <x:c r="A135" s="24" t="str">
        <x:v>EEZ_157</x:v>
      </x:c>
      <x:c r="B135" s="24" t="str">
        <x:v>Taiwan</x:v>
      </x:c>
      <x:c r="C135" s="24" t="str">
        <x:v>EEZ</x:v>
      </x:c>
      <x:c r="D135" s="30" t="n">
        <x:v>2019</x:v>
      </x:c>
      <x:c r="E135" s="24" t="str">
        <x:v>Todarodes pacificus</x:v>
      </x:c>
      <x:c r="F135" s="24" t="str">
        <x:v>Japanese flying squid</x:v>
      </x:c>
      <x:c r="G135" s="24" t="str">
        <x:v>Cephalopods</x:v>
      </x:c>
      <x:c r="H135" s="24" t="str">
        <x:v>Other fishes &amp; inverts</x:v>
      </x:c>
      <x:c r="I135" s="31" t="n">
        <x:v>1.0890041829</x:v>
      </x:c>
      <x:c r="J135" s="31" t="n">
        <x:v>1.0890041829</x:v>
      </x:c>
      <x:c r="K135" s="31" t="n">
        <x:v>0</x:v>
      </x:c>
      <x:c r="L135" s="31" t="n">
        <x:v>0</x:v>
      </x:c>
      <x:c r="M135" s="31" t="n">
        <x:v>1.0890041829</x:v>
      </x:c>
      <x:c r="N135" s="24" t="str">
        <x:v>todarodes pacificus</x:v>
      </x:c>
      <x:c r="O135" s="32" t="n">
        <x:v>4.28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Todarodes pacificus</x:v>
      </x:c>
      <x:c r="T135" s="32" t="n">
        <x:f>IF(O135="","",(1/'Metadata'!$B$5)^(O135-1))</x:f>
        <x:v>1905.4607179632483</x:v>
      </x:c>
      <x:c r="U135" s="31" t="n">
        <x:f>IF(T135="","",I135*T135)</x:f>
        <x:v>2075.0546922136145</x:v>
      </x:c>
    </x:row>
    <x:row r="136" ht="18" customHeight="1">
      <x:c r="A136" s="24" t="str">
        <x:v>EEZ_157</x:v>
      </x:c>
      <x:c r="B136" s="24" t="str">
        <x:v>Taiwan</x:v>
      </x:c>
      <x:c r="C136" s="24" t="str">
        <x:v>EEZ</x:v>
      </x:c>
      <x:c r="D136" s="30" t="n">
        <x:v>2019</x:v>
      </x:c>
      <x:c r="E136" s="24" t="str">
        <x:v>Rachycentron canadum</x:v>
      </x:c>
      <x:c r="F136" s="24" t="str">
        <x:v>Cobia</x:v>
      </x:c>
      <x:c r="G136" s="24" t="str">
        <x:v>Large pelagics (&gt;=90 cm)</x:v>
      </x:c>
      <x:c r="H136" s="24" t="str">
        <x:v>Perch-likes</x:v>
      </x:c>
      <x:c r="I136" s="31" t="n">
        <x:v>1.0449111942</x:v>
      </x:c>
      <x:c r="J136" s="31" t="n">
        <x:v>0</x:v>
      </x:c>
      <x:c r="K136" s="31" t="n">
        <x:v>1.0449111942</x:v>
      </x:c>
      <x:c r="L136" s="31" t="n">
        <x:v>0</x:v>
      </x:c>
      <x:c r="M136" s="31" t="n">
        <x:v>1.0449111942</x:v>
      </x:c>
      <x:c r="N136" s="24" t="str">
        <x:v>rachycentron canadum</x:v>
      </x:c>
      <x:c r="O136" s="32" t="n">
        <x:v>3.96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Rachycentron canadum</x:v>
      </x:c>
      <x:c r="T136" s="32" t="n">
        <x:f>IF(O136="","",(1/'Metadata'!$B$5)^(O136-1))</x:f>
        <x:v>912.0108393559096</x:v>
      </x:c>
      <x:c r="U136" s="31" t="n">
        <x:f>IF(T136="","",I136*T136)</x:f>
        <x:v>952.9703352747279</x:v>
      </x:c>
    </x:row>
    <x:row r="137" ht="18" customHeight="1">
      <x:c r="A137" s="24" t="str">
        <x:v>EEZ_157</x:v>
      </x:c>
      <x:c r="B137" s="24" t="str">
        <x:v>Taiwan</x:v>
      </x:c>
      <x:c r="C137" s="24" t="str">
        <x:v>EEZ</x:v>
      </x:c>
      <x:c r="D137" s="30" t="n">
        <x:v>2019</x:v>
      </x:c>
      <x:c r="E137" s="24" t="str">
        <x:v>Carcharhinus longimanus</x:v>
      </x:c>
      <x:c r="F137" s="24" t="str">
        <x:v>Oceanic whitetip shark</x:v>
      </x:c>
      <x:c r="G137" s="24" t="str">
        <x:v>Large sharks (&gt;=90 cm)</x:v>
      </x:c>
      <x:c r="H137" s="24" t="str">
        <x:v>Sharks &amp; rays</x:v>
      </x:c>
      <x:c r="I137" s="31" t="n">
        <x:v>0.8894726894</x:v>
      </x:c>
      <x:c r="J137" s="31" t="n">
        <x:v>0.8288817704</x:v>
      </x:c>
      <x:c r="K137" s="31" t="n">
        <x:v>0.060590919</x:v>
      </x:c>
      <x:c r="L137" s="31" t="n">
        <x:v>0.8288817704</x:v>
      </x:c>
      <x:c r="M137" s="31" t="n">
        <x:v>0.060590919</x:v>
      </x:c>
      <x:c r="N137" s="24" t="str">
        <x:v>carcharhinus longimanus</x:v>
      </x:c>
      <x:c r="O137" s="32" t="n">
        <x:v>4.16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Carcharhinus longimanus</x:v>
      </x:c>
      <x:c r="T137" s="32" t="n">
        <x:f>IF(O137="","",(1/'Metadata'!$B$5)^(O137-1))</x:f>
        <x:v>1445.439770745928</x:v>
      </x:c>
      <x:c r="U137" s="31" t="n">
        <x:f>IF(T137="","",I137*T137)</x:f>
        <x:v>1285.6792002511</x:v>
      </x:c>
    </x:row>
    <x:row r="138" ht="18" customHeight="1">
      <x:c r="A138" s="24" t="str">
        <x:v>EEZ_157</x:v>
      </x:c>
      <x:c r="B138" s="24" t="str">
        <x:v>Taiwan</x:v>
      </x:c>
      <x:c r="C138" s="24" t="str">
        <x:v>EEZ</x:v>
      </x:c>
      <x:c r="D138" s="30" t="n">
        <x:v>2019</x:v>
      </x:c>
      <x:c r="E138" s="24" t="str">
        <x:v>Ommastrephidae</x:v>
      </x:c>
      <x:c r="F138" s="24" t="str">
        <x:v>Arrow squids</x:v>
      </x:c>
      <x:c r="G138" s="24" t="str">
        <x:v>Cephalopods</x:v>
      </x:c>
      <x:c r="H138" s="24" t="str">
        <x:v>Other fishes &amp; inverts</x:v>
      </x:c>
      <x:c r="I138" s="31" t="n">
        <x:v>0.7169975521</x:v>
      </x:c>
      <x:c r="J138" s="31" t="n">
        <x:v>0</x:v>
      </x:c>
      <x:c r="K138" s="31" t="n">
        <x:v>0.7169975521</x:v>
      </x:c>
      <x:c r="L138" s="31" t="n">
        <x:v>0</x:v>
      </x:c>
      <x:c r="M138" s="31" t="n">
        <x:v>0.7169975521</x:v>
      </x:c>
      <x:c r="N138" s="24" t="str">
        <x:v>ommastrephidae</x:v>
      </x:c>
      <x:c r="O138" s="32" t="n">
        <x:v>4.09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Ommastrephidae</x:v>
      </x:c>
      <x:c r="T138" s="32" t="n">
        <x:f>IF(O138="","",(1/'Metadata'!$B$5)^(O138-1))</x:f>
        <x:v>1230.268770812381</x:v>
      </x:c>
      <x:c r="U138" s="31" t="n">
        <x:f>IF(T138="","",I138*T138)</x:f>
        <x:v>882.0996970975532</x:v>
      </x:c>
    </x:row>
    <x:row r="139" ht="18" customHeight="1">
      <x:c r="A139" s="24" t="str">
        <x:v>EEZ_157</x:v>
      </x:c>
      <x:c r="B139" s="24" t="str">
        <x:v>Taiwan</x:v>
      </x:c>
      <x:c r="C139" s="24" t="str">
        <x:v>EEZ</x:v>
      </x:c>
      <x:c r="D139" s="30" t="n">
        <x:v>2019</x:v>
      </x:c>
      <x:c r="E139" s="24" t="str">
        <x:v>Makaira mazara</x:v>
      </x:c>
      <x:c r="F139" s="24" t="str">
        <x:v>Indo-Pacific blue marlin</x:v>
      </x:c>
      <x:c r="G139" s="24" t="str">
        <x:v>Large pelagics (&gt;=90 cm)</x:v>
      </x:c>
      <x:c r="H139" s="24" t="str">
        <x:v>Tuna &amp; billfishes</x:v>
      </x:c>
      <x:c r="I139" s="31" t="n">
        <x:v>0.7002792155</x:v>
      </x:c>
      <x:c r="J139" s="31" t="n">
        <x:v>0</x:v>
      </x:c>
      <x:c r="K139" s="31" t="n">
        <x:v>0.7002792155</x:v>
      </x:c>
      <x:c r="L139" s="31" t="n">
        <x:v>0</x:v>
      </x:c>
      <x:c r="M139" s="31" t="n">
        <x:v>0.7002792155</x:v>
      </x:c>
      <x:c r="N139" s="24" t="str">
        <x:v>makaira mazara</x:v>
      </x:c>
      <x:c r="O139" s="32" t="n">
        <x:v>4.46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Makaira mazara</x:v>
      </x:c>
      <x:c r="T139" s="32" t="n">
        <x:f>IF(O139="","",(1/'Metadata'!$B$5)^(O139-1))</x:f>
        <x:v>2884.031503126606</x:v>
      </x:c>
      <x:c r="U139" s="31" t="n">
        <x:f>IF(T139="","",I139*T139)</x:f>
        <x:v>2019.6273184867855</x:v>
      </x:c>
    </x:row>
    <x:row r="140" ht="18" customHeight="1">
      <x:c r="A140" s="24" t="str">
        <x:v>EEZ_157</x:v>
      </x:c>
      <x:c r="B140" s="24" t="str">
        <x:v>Taiwan</x:v>
      </x:c>
      <x:c r="C140" s="24" t="str">
        <x:v>EEZ</x:v>
      </x:c>
      <x:c r="D140" s="30" t="n">
        <x:v>2019</x:v>
      </x:c>
      <x:c r="E140" s="24" t="str">
        <x:v>Carcharhinus falciformis</x:v>
      </x:c>
      <x:c r="F140" s="24" t="str">
        <x:v>Silky shark</x:v>
      </x:c>
      <x:c r="G140" s="24" t="str">
        <x:v>Large sharks (&gt;=90 cm)</x:v>
      </x:c>
      <x:c r="H140" s="24" t="str">
        <x:v>Sharks &amp; rays</x:v>
      </x:c>
      <x:c r="I140" s="31" t="n">
        <x:v>0.42500738610000005</x:v>
      </x:c>
      <x:c r="J140" s="31" t="n">
        <x:v>0.0178028645</x:v>
      </x:c>
      <x:c r="K140" s="31" t="n">
        <x:v>0.40720452160000004</x:v>
      </x:c>
      <x:c r="L140" s="31" t="n">
        <x:v>0.0178028645</x:v>
      </x:c>
      <x:c r="M140" s="31" t="n">
        <x:v>0.40720452160000004</x:v>
      </x:c>
      <x:c r="N140" s="24" t="str">
        <x:v>carcharhinus falciformis</x:v>
      </x:c>
      <x:c r="O140" s="32" t="n">
        <x:v>4.51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Carcharhinus falciformis</x:v>
      </x:c>
      <x:c r="T140" s="32" t="n">
        <x:f>IF(O140="","",(1/'Metadata'!$B$5)^(O140-1))</x:f>
        <x:v>3235.936569296281</x:v>
      </x:c>
      <x:c r="U140" s="31" t="n">
        <x:f>IF(T140="","",I140*T140)</x:f>
        <x:v>1375.296942902014</x:v>
      </x:c>
    </x:row>
    <x:row r="141" ht="18" customHeight="1">
      <x:c r="A141" s="24" t="str">
        <x:v>EEZ_157</x:v>
      </x:c>
      <x:c r="B141" s="24" t="str">
        <x:v>Taiwan</x:v>
      </x:c>
      <x:c r="C141" s="24" t="str">
        <x:v>EEZ</x:v>
      </x:c>
      <x:c r="D141" s="30" t="n">
        <x:v>2019</x:v>
      </x:c>
      <x:c r="E141" s="24" t="str">
        <x:v>Thunnus obesus</x:v>
      </x:c>
      <x:c r="F141" s="24" t="str">
        <x:v>Bigeye tuna</x:v>
      </x:c>
      <x:c r="G141" s="24" t="str">
        <x:v>Large pelagics (&gt;=90 cm)</x:v>
      </x:c>
      <x:c r="H141" s="24" t="str">
        <x:v>Tuna &amp; billfishes</x:v>
      </x:c>
      <x:c r="I141" s="31" t="n">
        <x:v>0.2137607597</x:v>
      </x:c>
      <x:c r="J141" s="31" t="n">
        <x:v>0.1835775343</x:v>
      </x:c>
      <x:c r="K141" s="31" t="n">
        <x:v>0.0301832254</x:v>
      </x:c>
      <x:c r="L141" s="31" t="n">
        <x:v>0.1835775343</x:v>
      </x:c>
      <x:c r="M141" s="31" t="n">
        <x:v>0.0301832254</x:v>
      </x:c>
      <x:c r="N141" s="24" t="str">
        <x:v>thunnus obesus</x:v>
      </x:c>
      <x:c r="O141" s="32" t="n">
        <x:v>4.49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Thunnus obesus</x:v>
      </x:c>
      <x:c r="T141" s="32" t="n">
        <x:f>IF(O141="","",(1/'Metadata'!$B$5)^(O141-1))</x:f>
        <x:v>3090.295432513592</x:v>
      </x:c>
      <x:c r="U141" s="31" t="n">
        <x:f>IF(T141="","",I141*T141)</x:f>
        <x:v>660.5838993515455</x:v>
      </x:c>
    </x:row>
    <x:row r="142" ht="18" customHeight="1">
      <x:c r="A142" s="24" t="str">
        <x:v>EEZ_157</x:v>
      </x:c>
      <x:c r="B142" s="24" t="str">
        <x:v>Taiwan</x:v>
      </x:c>
      <x:c r="C142" s="24" t="str">
        <x:v>EEZ</x:v>
      </x:c>
      <x:c r="D142" s="30" t="n">
        <x:v>2019</x:v>
      </x:c>
      <x:c r="E142" s="24" t="str">
        <x:v>Isurus oxyrinchus</x:v>
      </x:c>
      <x:c r="F142" s="24" t="str">
        <x:v>Shortfin mako</x:v>
      </x:c>
      <x:c r="G142" s="24" t="str">
        <x:v>Large sharks (&gt;=90 cm)</x:v>
      </x:c>
      <x:c r="H142" s="24" t="str">
        <x:v>Sharks &amp; rays</x:v>
      </x:c>
      <x:c r="I142" s="31" t="n">
        <x:v>0.1424782845</x:v>
      </x:c>
      <x:c r="J142" s="31" t="n">
        <x:v>0.1424782845</x:v>
      </x:c>
      <x:c r="K142" s="31" t="n">
        <x:v>0</x:v>
      </x:c>
      <x:c r="L142" s="31" t="n">
        <x:v>0.1424782845</x:v>
      </x:c>
      <x:c r="M142" s="31" t="n">
        <x:v>0</x:v>
      </x:c>
      <x:c r="N142" s="24" t="str">
        <x:v>isurus oxyrinchus</x:v>
      </x:c>
      <x:c r="O142" s="32" t="n">
        <x:v>4.5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Isurus oxyrinchus</x:v>
      </x:c>
      <x:c r="T142" s="32" t="n">
        <x:f>IF(O142="","",(1/'Metadata'!$B$5)^(O142-1))</x:f>
        <x:v>3162.2776601683795</x:v>
      </x:c>
      <x:c r="U142" s="31" t="n">
        <x:f>IF(T142="","",I142*T142)</x:f>
        <x:v>450.55589613346467</x:v>
      </x:c>
    </x:row>
    <x:row r="143" ht="18" customHeight="1">
      <x:c r="A143" s="24" t="str">
        <x:v>EEZ_157</x:v>
      </x:c>
      <x:c r="B143" s="24" t="str">
        <x:v>Taiwan</x:v>
      </x:c>
      <x:c r="C143" s="24" t="str">
        <x:v>EEZ</x:v>
      </x:c>
      <x:c r="D143" s="30" t="n">
        <x:v>2019</x:v>
      </x:c>
      <x:c r="E143" s="24" t="str">
        <x:v>Tripneustes gratilla</x:v>
      </x:c>
      <x:c r="F143" s="24" t="str">
        <x:v>Shortspine urchin</x:v>
      </x:c>
      <x:c r="G143" s="24" t="str">
        <x:v>Other demersal invertebrates</x:v>
      </x:c>
      <x:c r="H143" s="24" t="str">
        <x:v>Other fishes &amp; inverts</x:v>
      </x:c>
      <x:c r="I143" s="31" t="n">
        <x:v>0.1247616317</x:v>
      </x:c>
      <x:c r="J143" s="31" t="n">
        <x:v>0</x:v>
      </x:c>
      <x:c r="K143" s="31" t="n">
        <x:v>0.1247616317</x:v>
      </x:c>
      <x:c r="L143" s="31" t="n">
        <x:v>0</x:v>
      </x:c>
      <x:c r="M143" s="31" t="n">
        <x:v>0.1247616317</x:v>
      </x:c>
      <x:c r="N143" s="24" t="str">
        <x:v>tripneustes gratilla</x:v>
      </x:c>
      <x:c r="O143" s="32" t="n">
        <x:v>2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Tripneustes gratilla</x:v>
      </x:c>
      <x:c r="T143" s="32" t="n">
        <x:f>IF(O143="","",(1/'Metadata'!$B$5)^(O143-1))</x:f>
        <x:v>10</x:v>
      </x:c>
      <x:c r="U143" s="31" t="n">
        <x:f>IF(T143="","",I143*T143)</x:f>
        <x:v>1.247616317</x:v>
      </x:c>
    </x:row>
    <x:row r="144" ht="18" customHeight="1">
      <x:c r="A144" s="24" t="str">
        <x:v>EEZ_157</x:v>
      </x:c>
      <x:c r="B144" s="24" t="str">
        <x:v>Taiwan</x:v>
      </x:c>
      <x:c r="C144" s="24" t="str">
        <x:v>EEZ</x:v>
      </x:c>
      <x:c r="D144" s="30" t="n">
        <x:v>2019</x:v>
      </x:c>
      <x:c r="E144" s="24" t="str">
        <x:v>Alopias</x:v>
      </x:c>
      <x:c r="F144" s="24" t="str">
        <x:v>Thresher sharks</x:v>
      </x:c>
      <x:c r="G144" s="24" t="str">
        <x:v>Large sharks (&gt;=90 cm)</x:v>
      </x:c>
      <x:c r="H144" s="24" t="str">
        <x:v>Sharks &amp; rays</x:v>
      </x:c>
      <x:c r="I144" s="31" t="n">
        <x:v>0.0904179928</x:v>
      </x:c>
      <x:c r="J144" s="31" t="n">
        <x:v>0.078999961</x:v>
      </x:c>
      <x:c r="K144" s="31" t="n">
        <x:v>0.0114180318</x:v>
      </x:c>
      <x:c r="L144" s="31" t="n">
        <x:v>0.078999961</x:v>
      </x:c>
      <x:c r="M144" s="31" t="n">
        <x:v>0.0114180318</x:v>
      </x:c>
      <x:c r="N144" s="24" t="str">
        <x:v>alopias</x:v>
      </x:c>
      <x:c r="O144" s="32" t="n">
        <x:v>4.5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Alopias</x:v>
      </x:c>
      <x:c r="T144" s="32" t="n">
        <x:f>IF(O144="","",(1/'Metadata'!$B$5)^(O144-1))</x:f>
        <x:v>3162.2776601683795</x:v>
      </x:c>
      <x:c r="U144" s="31" t="n">
        <x:f>IF(T144="","",I144*T144)</x:f>
        <x:v>285.9267987087054</x:v>
      </x:c>
    </x:row>
    <x:row r="145" ht="18" customHeight="1">
      <x:c r="A145" s="24" t="str">
        <x:v>EEZ_157</x:v>
      </x:c>
      <x:c r="B145" s="24" t="str">
        <x:v>Taiwan</x:v>
      </x:c>
      <x:c r="C145" s="24" t="str">
        <x:v>EEZ</x:v>
      </x:c>
      <x:c r="D145" s="30" t="n">
        <x:v>2019</x:v>
      </x:c>
      <x:c r="E145" s="24" t="str">
        <x:v>Istiophoridae</x:v>
      </x:c>
      <x:c r="F145" s="24" t="str">
        <x:v>Billfishes</x:v>
      </x:c>
      <x:c r="G145" s="24" t="str">
        <x:v>Large pelagics (&gt;=90 cm)</x:v>
      </x:c>
      <x:c r="H145" s="24" t="str">
        <x:v>Tuna &amp; billfishes</x:v>
      </x:c>
      <x:c r="I145" s="31" t="n">
        <x:v>0.062255545499999995</x:v>
      </x:c>
      <x:c r="J145" s="31" t="n">
        <x:v>0</x:v>
      </x:c>
      <x:c r="K145" s="31" t="n">
        <x:v>0.062255545499999995</x:v>
      </x:c>
      <x:c r="L145" s="31" t="n">
        <x:v>0</x:v>
      </x:c>
      <x:c r="M145" s="31" t="n">
        <x:v>0.062255545499999995</x:v>
      </x:c>
      <x:c r="N145" s="24" t="str">
        <x:v>istiophoridae</x:v>
      </x:c>
      <x:c r="O145" s="32" t="n">
        <x:v>4.48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Istiophoridae</x:v>
      </x:c>
      <x:c r="T145" s="32" t="n">
        <x:f>IF(O145="","",(1/'Metadata'!$B$5)^(O145-1))</x:f>
        <x:v>3019.951720402019</x:v>
      </x:c>
      <x:c r="U145" s="31" t="n">
        <x:f>IF(T145="","",I145*T145)</x:f>
        <x:v>188.00874173729116</x:v>
      </x:c>
    </x:row>
    <x:row r="146" ht="18" customHeight="1">
      <x:c r="A146" s="24" t="str">
        <x:v>EEZ_157</x:v>
      </x:c>
      <x:c r="B146" s="24" t="str">
        <x:v>Taiwan</x:v>
      </x:c>
      <x:c r="C146" s="24" t="str">
        <x:v>EEZ</x:v>
      </x:c>
      <x:c r="D146" s="30" t="n">
        <x:v>2019</x:v>
      </x:c>
      <x:c r="E146" s="24" t="str">
        <x:v>Mizuhopecten yessoensis</x:v>
      </x:c>
      <x:c r="F146" s="24" t="str">
        <x:v>Yesso scallop</x:v>
      </x:c>
      <x:c r="G146" s="24" t="str">
        <x:v>Other demersal invertebrates</x:v>
      </x:c>
      <x:c r="H146" s="24" t="str">
        <x:v>Molluscs</x:v>
      </x:c>
      <x:c r="I146" s="31" t="n">
        <x:v>0.0544502091</x:v>
      </x:c>
      <x:c r="J146" s="31" t="n">
        <x:v>0.0544502091</x:v>
      </x:c>
      <x:c r="K146" s="31" t="n">
        <x:v>0</x:v>
      </x:c>
      <x:c r="L146" s="31" t="n">
        <x:v>0</x:v>
      </x:c>
      <x:c r="M146" s="31" t="n">
        <x:v>0.0544502091</x:v>
      </x:c>
      <x:c r="N146" s="24" t="str">
        <x:v>mizuhopecten yessoensis</x:v>
      </x:c>
      <x:c r="O146" s="32" t="n">
        <x:v>2.1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Mizuhopecten yessoensis</x:v>
      </x:c>
      <x:c r="T146" s="32" t="n">
        <x:f>IF(O146="","",(1/'Metadata'!$B$5)^(O146-1))</x:f>
        <x:v>12.589254117941675</x:v>
      </x:c>
      <x:c r="U146" s="31" t="n">
        <x:f>IF(T146="","",I146*T146)</x:f>
        <x:v>0.6854875191349602</x:v>
      </x:c>
    </x:row>
    <x:row r="147" ht="18" customHeight="1">
      <x:c r="A147" s="24" t="str">
        <x:v>EEZ_157</x:v>
      </x:c>
      <x:c r="B147" s="24" t="str">
        <x:v>Taiwan</x:v>
      </x:c>
      <x:c r="C147" s="24" t="str">
        <x:v>EEZ</x:v>
      </x:c>
      <x:c r="D147" s="30" t="n">
        <x:v>2019</x:v>
      </x:c>
      <x:c r="E147" s="24" t="str">
        <x:v>Acanthocybium solandri</x:v>
      </x:c>
      <x:c r="F147" s="24" t="str">
        <x:v>Wahoo</x:v>
      </x:c>
      <x:c r="G147" s="24" t="str">
        <x:v>Large pelagics (&gt;=90 cm)</x:v>
      </x:c>
      <x:c r="H147" s="24" t="str">
        <x:v>Perch-likes</x:v>
      </x:c>
      <x:c r="I147" s="31" t="n">
        <x:v>0.053603795100000004</x:v>
      </x:c>
      <x:c r="J147" s="31" t="n">
        <x:v>0</x:v>
      </x:c>
      <x:c r="K147" s="31" t="n">
        <x:v>0.053603795100000004</x:v>
      </x:c>
      <x:c r="L147" s="31" t="n">
        <x:v>0</x:v>
      </x:c>
      <x:c r="M147" s="31" t="n">
        <x:v>0.053603795100000004</x:v>
      </x:c>
      <x:c r="N147" s="24" t="str">
        <x:v>acanthocybium solandri</x:v>
      </x:c>
      <x:c r="O147" s="32" t="n">
        <x:v>4.26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Acanthocybium solandri</x:v>
      </x:c>
      <x:c r="T147" s="32" t="n">
        <x:f>IF(O147="","",(1/'Metadata'!$B$5)^(O147-1))</x:f>
        <x:v>1819.7008586099826</x:v>
      </x:c>
      <x:c r="U147" s="31" t="n">
        <x:f>IF(T147="","",I147*T147)</x:f>
        <x:v>97.54287196822358</x:v>
      </x:c>
    </x:row>
    <x:row r="148" ht="18" customHeight="1">
      <x:c r="A148" s="24" t="str">
        <x:v>EEZ_157</x:v>
      </x:c>
      <x:c r="B148" s="24" t="str">
        <x:v>Taiwan</x:v>
      </x:c>
      <x:c r="C148" s="24" t="str">
        <x:v>EEZ</x:v>
      </x:c>
      <x:c r="D148" s="30" t="n">
        <x:v>2019</x:v>
      </x:c>
      <x:c r="E148" s="24" t="str">
        <x:v>Sphyrna</x:v>
      </x:c>
      <x:c r="F148" s="24" t="str">
        <x:v>Hammerhead sharks</x:v>
      </x:c>
      <x:c r="G148" s="24" t="str">
        <x:v>Large sharks (&gt;=90 cm)</x:v>
      </x:c>
      <x:c r="H148" s="24" t="str">
        <x:v>Sharks &amp; rays</x:v>
      </x:c>
      <x:c r="I148" s="31" t="n">
        <x:v>0.0482326137</x:v>
      </x:c>
      <x:c r="J148" s="31" t="n">
        <x:v>0.0482326137</x:v>
      </x:c>
      <x:c r="K148" s="31" t="n">
        <x:v>0</x:v>
      </x:c>
      <x:c r="L148" s="31" t="n">
        <x:v>0.0482326137</x:v>
      </x:c>
      <x:c r="M148" s="31" t="n">
        <x:v>0</x:v>
      </x:c>
      <x:c r="N148" s="24" t="str">
        <x:v>sphyrna</x:v>
      </x:c>
      <x:c r="O148" s="32" t="n">
        <x:v>4.2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Sphyrna</x:v>
      </x:c>
      <x:c r="T148" s="32" t="n">
        <x:f>IF(O148="","",(1/'Metadata'!$B$5)^(O148-1))</x:f>
        <x:v>1584.893192461114</x:v>
      </x:c>
      <x:c r="U148" s="31" t="n">
        <x:f>IF(T148="","",I148*T148)</x:f>
        <x:v>76.44354110773666</x:v>
      </x:c>
    </x:row>
    <x:row r="149" ht="18" customHeight="1">
      <x:c r="A149" s="24" t="str">
        <x:v>EEZ_157</x:v>
      </x:c>
      <x:c r="B149" s="24" t="str">
        <x:v>Taiwan</x:v>
      </x:c>
      <x:c r="C149" s="24" t="str">
        <x:v>EEZ</x:v>
      </x:c>
      <x:c r="D149" s="30" t="n">
        <x:v>2019</x:v>
      </x:c>
      <x:c r="E149" s="24" t="str">
        <x:v>Thunnus alalunga</x:v>
      </x:c>
      <x:c r="F149" s="24" t="str">
        <x:v>Albacore</x:v>
      </x:c>
      <x:c r="G149" s="24" t="str">
        <x:v>Large pelagics (&gt;=90 cm)</x:v>
      </x:c>
      <x:c r="H149" s="24" t="str">
        <x:v>Tuna &amp; billfishes</x:v>
      </x:c>
      <x:c r="I149" s="31" t="n">
        <x:v>0.0402512449</x:v>
      </x:c>
      <x:c r="J149" s="31" t="n">
        <x:v>0.0402512449</x:v>
      </x:c>
      <x:c r="K149" s="31" t="n">
        <x:v>0</x:v>
      </x:c>
      <x:c r="L149" s="31" t="n">
        <x:v>0.0402512449</x:v>
      </x:c>
      <x:c r="M149" s="31" t="n">
        <x:v>0</x:v>
      </x:c>
      <x:c r="N149" s="24" t="str">
        <x:v>thunnus alalunga</x:v>
      </x:c>
      <x:c r="O149" s="32" t="n">
        <x:v>4.3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Thunnus alalunga</x:v>
      </x:c>
      <x:c r="T149" s="32" t="n">
        <x:f>IF(O149="","",(1/'Metadata'!$B$5)^(O149-1))</x:f>
        <x:v>1995.2623149688789</x:v>
      </x:c>
      <x:c r="U149" s="31" t="n">
        <x:f>IF(T149="","",I149*T149)</x:f>
        <x:v>80.31179207955327</x:v>
      </x:c>
    </x:row>
    <x:row r="150" ht="18" customHeight="1">
      <x:c r="A150" s="24" t="str">
        <x:v>EEZ_157</x:v>
      </x:c>
      <x:c r="B150" s="24" t="str">
        <x:v>Taiwan</x:v>
      </x:c>
      <x:c r="C150" s="24" t="str">
        <x:v>EEZ</x:v>
      </x:c>
      <x:c r="D150" s="30" t="n">
        <x:v>2019</x:v>
      </x:c>
      <x:c r="E150" s="24" t="str">
        <x:v>Thunnus orientalis</x:v>
      </x:c>
      <x:c r="F150" s="24" t="str">
        <x:v>Pacific bluefin tuna</x:v>
      </x:c>
      <x:c r="G150" s="24" t="str">
        <x:v>Large pelagics (&gt;=90 cm)</x:v>
      </x:c>
      <x:c r="H150" s="24" t="str">
        <x:v>Tuna &amp; billfishes</x:v>
      </x:c>
      <x:c r="I150" s="31" t="n">
        <x:v>0.0293804331</x:v>
      </x:c>
      <x:c r="J150" s="31" t="n">
        <x:v>0.0293804331</x:v>
      </x:c>
      <x:c r="K150" s="31" t="n">
        <x:v>0</x:v>
      </x:c>
      <x:c r="L150" s="31" t="n">
        <x:v>0.0293804331</x:v>
      </x:c>
      <x:c r="M150" s="31" t="n">
        <x:v>0</x:v>
      </x:c>
      <x:c r="N150" s="24" t="str">
        <x:v>thunnus orientalis</x:v>
      </x:c>
      <x:c r="O150" s="32" t="n">
        <x:v>4.05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Thunnus orientalis</x:v>
      </x:c>
      <x:c r="T150" s="32" t="n">
        <x:f>IF(O150="","",(1/'Metadata'!$B$5)^(O150-1))</x:f>
        <x:v>1122.018454301963</x:v>
      </x:c>
      <x:c r="U150" s="31" t="n">
        <x:f>IF(T150="","",I150*T150)</x:f>
        <x:v>32.96538813358423</x:v>
      </x:c>
    </x:row>
  </x:sheetData>
  <x:conditionalFormatting sqref="R2:R15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4df383998da44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87817.24889998531</x:v>
      </x:c>
      <x:c r="E2" s="31" t="n">
        <x:v>87817.24889998531</x:v>
      </x:c>
      <x:c r="F2" s="32" t="n">
        <x:v>0</x:v>
      </x:c>
      <x:c r="G2" s="34" t="n">
        <x:v>1</x:v>
      </x:c>
      <x:c r="H2" s="32" t="n">
        <x:f>IF(E2=0,"",I2/E2)</x:f>
        <x:v>138.04414417612517</x:v>
      </x:c>
      <x:c r="I2" s="31" t="n">
        <x:f>IF(C2=0,"",SUMIF('Species'!$H$2:$H$150,A2,'Species'!$U$2:$U$150))</x:f>
        <x:v>12122656.968300242</x:v>
      </x:c>
      <x:c r="J2" s="32" t="n">
        <x:v>3.1400158068965975</x:v>
      </x:c>
      <x:c r="K2" s="32" t="n">
        <x:f>IF(J2="","",(1/'Metadata'!$B$5)^(J2-1))</x:f>
        <x:v>138.04345069829526</x:v>
      </x:c>
      <x:c r="L2" s="31" t="n">
        <x:f>IF(E2=0,"",E2*K2)</x:f>
        <x:v>12122596.068985045</x:v>
      </x:c>
      <x:c r="M2" s="31" t="n">
        <x:f>IF(E2=0,"",I2-L2)</x:f>
        <x:v>60.89931519702077</x:v>
      </x:c>
      <x:c r="N2" s="32" t="n">
        <x:f>IF(L2=0,"",I2/L2)</x:f>
        <x:v>1.0000050236199285</x:v>
      </x:c>
      <x:c r="O2" s="34" t="n">
        <x:f>IF(L2=0,"",M2/L2)</x:f>
        <x:v>0.000005023619928476221</x:v>
      </x:c>
    </x:row>
    <x:row r="3" ht="18" customHeight="1">
      <x:c r="A3" s="24" t="str">
        <x:v>Crustaceans</x:v>
      </x:c>
      <x:c r="B3" s="33" t="n">
        <x:v>21</x:v>
      </x:c>
      <x:c r="C3" s="33" t="n">
        <x:v>21</x:v>
      </x:c>
      <x:c r="D3" s="31" t="n">
        <x:v>93507.70411843601</x:v>
      </x:c>
      <x:c r="E3" s="31" t="n">
        <x:v>93507.70411843601</x:v>
      </x:c>
      <x:c r="F3" s="32" t="n">
        <x:v>0</x:v>
      </x:c>
      <x:c r="G3" s="34" t="n">
        <x:v>1</x:v>
      </x:c>
      <x:c r="H3" s="32" t="n">
        <x:f>IF(E3=0,"",I3/E3)</x:f>
        <x:v>222.5816826047746</x:v>
      </x:c>
      <x:c r="I3" s="31" t="n">
        <x:f>IF(C3=0,"",SUMIF('Species'!$H$2:$H$150,A3,'Species'!$U$2:$U$150))</x:f>
        <x:v>20813102.1191909</x:v>
      </x:c>
      <x:c r="J3" s="32" t="n">
        <x:v>3.067222012226361</x:v>
      </x:c>
      <x:c r="K3" s="32" t="n">
        <x:f>IF(J3="","",(1/'Metadata'!$B$5)^(J3-1))</x:f>
        <x:v>116.74062450065767</x:v>
      </x:c>
      <x:c r="L3" s="31" t="n">
        <x:f>IF(E3=0,"",E3*K3)</x:f>
        <x:v>10916147.77440894</x:v>
      </x:c>
      <x:c r="M3" s="31" t="n">
        <x:f>IF(E3=0,"",I3-L3)</x:f>
        <x:v>9896954.344781961</x:v>
      </x:c>
      <x:c r="N3" s="32" t="n">
        <x:f>IF(L3=0,"",I3/L3)</x:f>
        <x:v>1.906634331937471</x:v>
      </x:c>
      <x:c r="O3" s="34" t="n">
        <x:f>IF(L3=0,"",M3/L3)</x:f>
        <x:v>0.9066343319374711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438.59408739</x:v>
      </x:c>
      <x:c r="E4" s="31" t="n">
        <x:v>438.59408739</x:v>
      </x:c>
      <x:c r="F4" s="32" t="n">
        <x:v>0</x:v>
      </x:c>
      <x:c r="G4" s="34" t="n">
        <x:v>1</x:v>
      </x:c>
      <x:c r="H4" s="32" t="n">
        <x:f>IF(E4=0,"",I4/E4)</x:f>
        <x:v>550.3240317398725</x:v>
      </x:c>
      <x:c r="I4" s="31" t="n">
        <x:f>IF(C4=0,"",SUMIF('Species'!$H$2:$H$150,A4,'Species'!$U$2:$U$150))</x:f>
        <x:v>241368.86646973476</x:v>
      </x:c>
      <x:c r="J4" s="32" t="n">
        <x:v>3.6403766657148733</x:v>
      </x:c>
      <x:c r="K4" s="32" t="n">
        <x:f>IF(J4="","",(1/'Metadata'!$B$5)^(J4-1))</x:f>
        <x:v>436.89458876792884</x:v>
      </x:c>
      <x:c r="L4" s="31" t="n">
        <x:f>IF(E4=0,"",E4*K4)</x:f>
        <x:v>191619.3834462991</x:v>
      </x:c>
      <x:c r="M4" s="31" t="n">
        <x:f>IF(E4=0,"",I4-L4)</x:f>
        <x:v>49749.48302343566</x:v>
      </x:c>
      <x:c r="N4" s="32" t="n">
        <x:f>IF(L4=0,"",I4/L4)</x:f>
        <x:v>1.2596265687149435</x:v>
      </x:c>
      <x:c r="O4" s="34" t="n">
        <x:f>IF(L4=0,"",M4/L4)</x:f>
        <x:v>0.25962656871494344</x:v>
      </x:c>
    </x:row>
    <x:row r="5" ht="18" customHeight="1">
      <x:c r="A5" s="24" t="str">
        <x:v>Herring-likes</x:v>
      </x:c>
      <x:c r="B5" s="33" t="n">
        <x:v>5</x:v>
      </x:c>
      <x:c r="C5" s="33" t="n">
        <x:v>5</x:v>
      </x:c>
      <x:c r="D5" s="31" t="n">
        <x:v>10841.8946353881</x:v>
      </x:c>
      <x:c r="E5" s="31" t="n">
        <x:v>10841.8946353881</x:v>
      </x:c>
      <x:c r="F5" s="32" t="n">
        <x:v>0</x:v>
      </x:c>
      <x:c r="G5" s="34" t="n">
        <x:v>1</x:v>
      </x:c>
      <x:c r="H5" s="32" t="n">
        <x:f>IF(E5=0,"",I5/E5)</x:f>
        <x:v>388.37177951793325</x:v>
      </x:c>
      <x:c r="I5" s="31" t="n">
        <x:f>IF(C5=0,"",SUMIF('Species'!$H$2:$H$150,A5,'Species'!$U$2:$U$150))</x:f>
        <x:v>4210685.9128916105</x:v>
      </x:c>
      <x:c r="J5" s="32" t="n">
        <x:v>3.395743652666805</x:v>
      </x:c>
      <x:c r="K5" s="32" t="n">
        <x:f>IF(J5="","",(1/'Metadata'!$B$5)^(J5-1))</x:f>
        <x:v>248.73886749933132</x:v>
      </x:c>
      <x:c r="L5" s="31" t="n">
        <x:f>IF(E5=0,"",E5*K5)</x:f>
        <x:v>2696800.5931535116</x:v>
      </x:c>
      <x:c r="M5" s="31" t="n">
        <x:f>IF(E5=0,"",I5-L5)</x:f>
        <x:v>1513885.319738099</x:v>
      </x:c>
      <x:c r="N5" s="32" t="n">
        <x:f>IF(L5=0,"",I5/L5)</x:f>
        <x:v>1.5613634629054396</x:v>
      </x:c>
      <x:c r="O5" s="34" t="n">
        <x:f>IF(L5=0,"",M5/L5)</x:f>
        <x:v>0.5613634629054396</x:v>
      </x:c>
    </x:row>
    <x:row r="6" ht="18" customHeight="1">
      <x:c r="A6" s="24" t="str">
        <x:v>Molluscs</x:v>
      </x:c>
      <x:c r="B6" s="33" t="n">
        <x:v>5</x:v>
      </x:c>
      <x:c r="C6" s="33" t="n">
        <x:v>5</x:v>
      </x:c>
      <x:c r="D6" s="31" t="n">
        <x:v>5949.4582267377</x:v>
      </x:c>
      <x:c r="E6" s="31" t="n">
        <x:v>5949.4582267377</x:v>
      </x:c>
      <x:c r="F6" s="32" t="n">
        <x:v>0</x:v>
      </x:c>
      <x:c r="G6" s="34" t="n">
        <x:v>1</x:v>
      </x:c>
      <x:c r="H6" s="32" t="n">
        <x:f>IF(E6=0,"",I6/E6)</x:f>
        <x:v>38.10585759385926</x:v>
      </x:c>
      <x:c r="I6" s="31" t="n">
        <x:f>IF(C6=0,"",SUMIF('Species'!$H$2:$H$150,A6,'Species'!$U$2:$U$150))</x:f>
        <x:v>226709.20794868123</x:v>
      </x:c>
      <x:c r="J6" s="32" t="n">
        <x:v>2.3969608250956194</x:v>
      </x:c>
      <x:c r="K6" s="32" t="n">
        <x:f>IF(J6="","",(1/'Metadata'!$B$5)^(J6-1))</x:f>
        <x:v>24.94369715789217</x:v>
      </x:c>
      <x:c r="L6" s="31" t="n">
        <x:f>IF(E6=0,"",E6*K6)</x:f>
        <x:v>148401.48426127536</x:v>
      </x:c>
      <x:c r="M6" s="31" t="n">
        <x:f>IF(E6=0,"",I6-L6)</x:f>
        <x:v>78307.72368740587</x:v>
      </x:c>
      <x:c r="N6" s="32" t="n">
        <x:f>IF(L6=0,"",I6/L6)</x:f>
        <x:v>1.527674801079061</x:v>
      </x:c>
      <x:c r="O6" s="34" t="n">
        <x:f>IF(L6=0,"",M6/L6)</x:f>
        <x:v>0.527674801079061</x:v>
      </x:c>
    </x:row>
    <x:row r="7" ht="18" customHeight="1">
      <x:c r="A7" s="24" t="str">
        <x:v>Other fishes &amp; inverts</x:v>
      </x:c>
      <x:c r="B7" s="33" t="n">
        <x:v>27</x:v>
      </x:c>
      <x:c r="C7" s="33" t="n">
        <x:v>27</x:v>
      </x:c>
      <x:c r="D7" s="31" t="n">
        <x:v>265931.11996955157</x:v>
      </x:c>
      <x:c r="E7" s="31" t="n">
        <x:v>265931.11996955157</x:v>
      </x:c>
      <x:c r="F7" s="32" t="n">
        <x:v>0</x:v>
      </x:c>
      <x:c r="G7" s="34" t="n">
        <x:v>1</x:v>
      </x:c>
      <x:c r="H7" s="32" t="n">
        <x:f>IF(E7=0,"",I7/E7)</x:f>
        <x:v>506.5498538127133</x:v>
      </x:c>
      <x:c r="I7" s="31" t="n">
        <x:f>IF(C7=0,"",SUMIF('Species'!$H$2:$H$150,A7,'Species'!$U$2:$U$150))</x:f>
        <x:v>134707369.94482747</x:v>
      </x:c>
      <x:c r="J7" s="32" t="n">
        <x:v>3.5357122146732554</x:v>
      </x:c>
      <x:c r="K7" s="32" t="n">
        <x:f>IF(J7="","",(1/'Metadata'!$B$5)^(J7-1))</x:f>
        <x:v>343.33036456823635</x:v>
      </x:c>
      <x:c r="L7" s="31" t="n">
        <x:f>IF(E7=0,"",E7*K7)</x:f>
        <x:v>91302228.36918554</x:v>
      </x:c>
      <x:c r="M7" s="31" t="n">
        <x:f>IF(E7=0,"",I7-L7)</x:f>
        <x:v>43405141.57564193</x:v>
      </x:c>
      <x:c r="N7" s="32" t="n">
        <x:f>IF(L7=0,"",I7/L7)</x:f>
        <x:v>1.4754006813517286</x:v>
      </x:c>
      <x:c r="O7" s="34" t="n">
        <x:f>IF(L7=0,"",M7/L7)</x:f>
        <x:v>0.47540068135172864</x:v>
      </x:c>
    </x:row>
    <x:row r="8" ht="18" customHeight="1">
      <x:c r="A8" s="24" t="str">
        <x:v>Perch-likes</x:v>
      </x:c>
      <x:c r="B8" s="33" t="n">
        <x:v>64</x:v>
      </x:c>
      <x:c r="C8" s="33" t="n">
        <x:v>64</x:v>
      </x:c>
      <x:c r="D8" s="31" t="n">
        <x:v>483101.31797672884</x:v>
      </x:c>
      <x:c r="E8" s="31" t="n">
        <x:v>483101.31797672884</x:v>
      </x:c>
      <x:c r="F8" s="32" t="n">
        <x:v>0</x:v>
      </x:c>
      <x:c r="G8" s="34" t="n">
        <x:v>1</x:v>
      </x:c>
      <x:c r="H8" s="32" t="n">
        <x:f>IF(E8=0,"",I8/E8)</x:f>
        <x:v>918.8390880486724</x:v>
      </x:c>
      <x:c r="I8" s="31" t="n">
        <x:f>IF(C8=0,"",SUMIF('Species'!$H$2:$H$150,A8,'Species'!$U$2:$U$150))</x:f>
        <x:v>443892374.4448492</x:v>
      </x:c>
      <x:c r="J8" s="32" t="n">
        <x:v>3.6977033521100138</x:v>
      </x:c>
      <x:c r="K8" s="32" t="n">
        <x:f>IF(J8="","",(1/'Metadata'!$B$5)^(J8-1))</x:f>
        <x:v>498.54383726899147</x:v>
      </x:c>
      <x:c r="L8" s="31" t="n">
        <x:f>IF(E8=0,"",E8*K8)</x:f>
        <x:v>240847184.8538256</x:v>
      </x:c>
      <x:c r="M8" s="31" t="n">
        <x:f>IF(E8=0,"",I8-L8)</x:f>
        <x:v>203045189.5910236</x:v>
      </x:c>
      <x:c r="N8" s="32" t="n">
        <x:f>IF(L8=0,"",I8/L8)</x:f>
        <x:v>1.8430457250901866</x:v>
      </x:c>
      <x:c r="O8" s="34" t="n">
        <x:f>IF(L8=0,"",M8/L8)</x:f>
        <x:v>0.8430457250901865</x:v>
      </x:c>
    </x:row>
    <x:row r="9" ht="18" customHeight="1">
      <x:c r="A9" s="24" t="str">
        <x:v>Sharks &amp; rays</x:v>
      </x:c>
      <x:c r="B9" s="33" t="n">
        <x:v>9</x:v>
      </x:c>
      <x:c r="C9" s="33" t="n">
        <x:v>9</x:v>
      </x:c>
      <x:c r="D9" s="31" t="n">
        <x:v>20514.115936836595</x:v>
      </x:c>
      <x:c r="E9" s="31" t="n">
        <x:v>20514.115936836595</x:v>
      </x:c>
      <x:c r="F9" s="32" t="n">
        <x:v>0</x:v>
      </x:c>
      <x:c r="G9" s="34" t="n">
        <x:v>1</x:v>
      </x:c>
      <x:c r="H9" s="32" t="n">
        <x:f>IF(E9=0,"",I9/E9)</x:f>
        <x:v>1125.7495501222356</x:v>
      </x:c>
      <x:c r="I9" s="31" t="n">
        <x:f>IF(C9=0,"",SUMIF('Species'!$H$2:$H$150,A9,'Species'!$U$2:$U$150))</x:f>
        <x:v>23093756.78704918</x:v>
      </x:c>
      <x:c r="J9" s="32" t="n">
        <x:v>4.050764617126698</x:v>
      </x:c>
      <x:c r="K9" s="32" t="n">
        <x:f>IF(J9="","",(1/'Metadata'!$B$5)^(J9-1))</x:f>
        <x:v>1123.99561548236</x:v>
      </x:c>
      <x:c r="L9" s="31" t="n">
        <x:f>IF(E9=0,"",E9*K9)</x:f>
        <x:v>23057776.36850114</x:v>
      </x:c>
      <x:c r="M9" s="31" t="n">
        <x:f>IF(E9=0,"",I9-L9)</x:f>
        <x:v>35980.41854804009</x:v>
      </x:c>
      <x:c r="N9" s="32" t="n">
        <x:f>IF(L9=0,"",I9/L9)</x:f>
        <x:v>1.0015604461580776</x:v>
      </x:c>
      <x:c r="O9" s="34" t="n">
        <x:f>IF(L9=0,"",M9/L9)</x:f>
        <x:v>0.0015604461580776003</x:v>
      </x:c>
    </x:row>
    <x:row r="10" ht="18" customHeight="1">
      <x:c r="A10" s="24" t="str">
        <x:v>Tuna &amp; billfishes</x:v>
      </x:c>
      <x:c r="B10" s="33" t="n">
        <x:v>14</x:v>
      </x:c>
      <x:c r="C10" s="33" t="n">
        <x:v>14</x:v>
      </x:c>
      <x:c r="D10" s="31" t="n">
        <x:v>6741.1298863431</x:v>
      </x:c>
      <x:c r="E10" s="31" t="n">
        <x:v>6741.1298863431</x:v>
      </x:c>
      <x:c r="F10" s="32" t="n">
        <x:v>0</x:v>
      </x:c>
      <x:c r="G10" s="34" t="n">
        <x:v>1</x:v>
      </x:c>
      <x:c r="H10" s="32" t="n">
        <x:f>IF(E10=0,"",I10/E10)</x:f>
        <x:v>1848.6802673161549</x:v>
      </x:c>
      <x:c r="I10" s="31" t="n">
        <x:f>IF(C10=0,"",SUMIF('Species'!$H$2:$H$150,A10,'Species'!$U$2:$U$150))</x:f>
        <x:v>12462193.800297683</x:v>
      </x:c>
      <x:c r="J10" s="32" t="n">
        <x:v>4.259665762940855</x:v>
      </x:c>
      <x:c r="K10" s="32" t="n">
        <x:f>IF(J10="","",(1/'Metadata'!$B$5)^(J10-1))</x:f>
        <x:v>1818.3009387254872</x:v>
      </x:c>
      <x:c r="L10" s="31" t="n">
        <x:f>IF(E10=0,"",E10*K10)</x:f>
        <x:v>12257402.800408095</x:v>
      </x:c>
      <x:c r="M10" s="31" t="n">
        <x:f>IF(E10=0,"",I10-L10)</x:f>
        <x:v>204790.99988958798</x:v>
      </x:c>
      <x:c r="N10" s="32" t="n">
        <x:f>IF(L10=0,"",I10/L10)</x:f>
        <x:v>1.0167075361089357</x:v>
      </x:c>
      <x:c r="O10" s="34" t="n">
        <x:f>IF(L10=0,"",M10/L10)</x:f>
        <x:v>0.016707536108935713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6fbcdb5591a46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9</x:v>
      </x:c>
      <x:c r="C2" s="33" t="n">
        <x:v>9</x:v>
      </x:c>
      <x:c r="D2" s="31" t="n">
        <x:v>25260.042447150496</x:v>
      </x:c>
      <x:c r="E2" s="31" t="n">
        <x:v>25260.042447150496</x:v>
      </x:c>
      <x:c r="F2" s="32" t="n">
        <x:v>0</x:v>
      </x:c>
      <x:c r="G2" s="34" t="n">
        <x:v>1</x:v>
      </x:c>
      <x:c r="H2" s="32" t="n">
        <x:f>IF(E2=0,"",I2/E2)</x:f>
        <x:v>767.5190162615611</x:v>
      </x:c>
      <x:c r="I2" s="31" t="n">
        <x:f>IF(C2=0,"",SUMIF('Species'!$G$2:$G$150,A2,'Species'!$U$2:$U$150))</x:f>
        <x:v>19387562.929762226</x:v>
      </x:c>
      <x:c r="J2" s="32" t="n">
        <x:v>3.829053534647218</x:v>
      </x:c>
      <x:c r="K2" s="32" t="n">
        <x:f>IF(J2="","",(1/'Metadata'!$B$5)^(J2-1))</x:f>
        <x:v>674.6111805981801</x:v>
      </x:c>
      <x:c r="L2" s="31" t="n">
        <x:f>IF(E2=0,"",E2*K2)</x:f>
        <x:v>17040707.05723234</x:v>
      </x:c>
      <x:c r="M2" s="31" t="n">
        <x:f>IF(E2=0,"",I2-L2)</x:f>
        <x:v>2346855.8725298867</x:v>
      </x:c>
      <x:c r="N2" s="32" t="n">
        <x:f>IF(L2=0,"",I2/L2)</x:f>
        <x:v>1.1377205690261452</x:v>
      </x:c>
      <x:c r="O2" s="34" t="n">
        <x:f>IF(L2=0,"",M2/L2)</x:f>
        <x:v>0.13772056902614524</x:v>
      </x:c>
    </x:row>
    <x:row r="3" ht="18" customHeight="1">
      <x:c r="A3" s="24" t="str">
        <x:v>Large benthopelagics (&gt;=90 cm)</x:v>
      </x:c>
      <x:c r="B3" s="33" t="n">
        <x:v>5</x:v>
      </x:c>
      <x:c r="C3" s="33" t="n">
        <x:v>5</x:v>
      </x:c>
      <x:c r="D3" s="31" t="n">
        <x:v>94611.6437785637</x:v>
      </x:c>
      <x:c r="E3" s="31" t="n">
        <x:v>94611.6437785637</x:v>
      </x:c>
      <x:c r="F3" s="32" t="n">
        <x:v>0</x:v>
      </x:c>
      <x:c r="G3" s="34" t="n">
        <x:v>1</x:v>
      </x:c>
      <x:c r="H3" s="32" t="n">
        <x:f>IF(E3=0,"",I3/E3)</x:f>
        <x:v>2271.9542916040186</x:v>
      </x:c>
      <x:c r="I3" s="31" t="n">
        <x:f>IF(C3=0,"",SUMIF('Species'!$G$2:$G$150,A3,'Species'!$U$2:$U$150))</x:f>
        <x:v>214953330.11841846</x:v>
      </x:c>
      <x:c r="J3" s="32" t="n">
        <x:v>4.249281985775047</x:v>
      </x:c>
      <x:c r="K3" s="32" t="n">
        <x:f>IF(J3="","",(1/'Metadata'!$B$5)^(J3-1))</x:f>
        <x:v>1775.3418295201434</x:v>
      </x:c>
      <x:c r="L3" s="31" t="n">
        <x:f>IF(E3=0,"",E3*K3)</x:f>
        <x:v>167968008.75974336</x:v>
      </x:c>
      <x:c r="M3" s="31" t="n">
        <x:f>IF(E3=0,"",I3-L3)</x:f>
        <x:v>46985321.35867509</x:v>
      </x:c>
      <x:c r="N3" s="32" t="n">
        <x:f>IF(L3=0,"",I3/L3)</x:f>
        <x:v>1.2797277987969813</x:v>
      </x:c>
      <x:c r="O3" s="34" t="n">
        <x:f>IF(L3=0,"",M3/L3)</x:f>
        <x:v>0.27972779879698134</x:v>
      </x:c>
    </x:row>
    <x:row r="4" ht="18" customHeight="1">
      <x:c r="A4" s="24" t="str">
        <x:v>Large demersals (&gt;=90 cm)</x:v>
      </x:c>
      <x:c r="B4" s="33" t="n">
        <x:v>4</x:v>
      </x:c>
      <x:c r="C4" s="33" t="n">
        <x:v>4</x:v>
      </x:c>
      <x:c r="D4" s="31" t="n">
        <x:v>19527.3156940252</x:v>
      </x:c>
      <x:c r="E4" s="31" t="n">
        <x:v>19527.3156940252</x:v>
      </x:c>
      <x:c r="F4" s="32" t="n">
        <x:v>0</x:v>
      </x:c>
      <x:c r="G4" s="34" t="n">
        <x:v>1</x:v>
      </x:c>
      <x:c r="H4" s="32" t="n">
        <x:f>IF(E4=0,"",I4/E4)</x:f>
        <x:v>2373.8629828800463</x:v>
      </x:c>
      <x:c r="I4" s="31" t="n">
        <x:f>IF(C4=0,"",SUMIF('Species'!$G$2:$G$150,A4,'Species'!$U$2:$U$150))</x:f>
        <x:v>46355171.881059006</x:v>
      </x:c>
      <x:c r="J4" s="32" t="n">
        <x:v>4.3704539517755485</x:v>
      </x:c>
      <x:c r="K4" s="32" t="n">
        <x:f>IF(J4="","",(1/'Metadata'!$B$5)^(J4-1))</x:f>
        <x:v>2346.6804310739653</x:v>
      </x:c>
      <x:c r="L4" s="31" t="n">
        <x:f>IF(E4=0,"",E4*K4)</x:f>
        <x:v>45824369.610572465</x:v>
      </x:c>
      <x:c r="M4" s="31" t="n">
        <x:f>IF(E4=0,"",I4-L4)</x:f>
        <x:v>530802.2704865411</x:v>
      </x:c>
      <x:c r="N4" s="32" t="n">
        <x:f>IF(L4=0,"",I4/L4)</x:f>
        <x:v>1.011583405838366</x:v>
      </x:c>
      <x:c r="O4" s="34" t="n">
        <x:f>IF(L4=0,"",M4/L4)</x:f>
        <x:v>0.01158340583836588</x:v>
      </x:c>
    </x:row>
    <x:row r="5" ht="18" customHeight="1">
      <x:c r="A5" s="24" t="str">
        <x:v>Large pelagics (&gt;=90 cm)</x:v>
      </x:c>
      <x:c r="B5" s="33" t="n">
        <x:v>21</x:v>
      </x:c>
      <x:c r="C5" s="33" t="n">
        <x:v>21</x:v>
      </x:c>
      <x:c r="D5" s="31" t="n">
        <x:v>50390.304235726915</x:v>
      </x:c>
      <x:c r="E5" s="31" t="n">
        <x:v>50390.304235726915</x:v>
      </x:c>
      <x:c r="F5" s="32" t="n">
        <x:v>0</x:v>
      </x:c>
      <x:c r="G5" s="34" t="n">
        <x:v>1</x:v>
      </x:c>
      <x:c r="H5" s="32" t="n">
        <x:f>IF(E5=0,"",I5/E5)</x:f>
        <x:v>2269.7282849693906</x:v>
      </x:c>
      <x:c r="I5" s="31" t="n">
        <x:f>IF(C5=0,"",SUMIF('Species'!$G$2:$G$150,A5,'Species'!$U$2:$U$150))</x:f>
        <x:v>114372298.81204227</x:v>
      </x:c>
      <x:c r="J5" s="32" t="n">
        <x:v>4.3526366633657885</x:v>
      </x:c>
      <x:c r="K5" s="32" t="n">
        <x:f>IF(J5="","",(1/'Metadata'!$B$5)^(J5-1))</x:f>
        <x:v>2252.354073831527</x:v>
      </x:c>
      <x:c r="L5" s="31" t="n">
        <x:f>IF(E5=0,"",E5*K5)</x:f>
        <x:v>113496807.02694955</x:v>
      </x:c>
      <x:c r="M5" s="31" t="n">
        <x:f>IF(E5=0,"",I5-L5)</x:f>
        <x:v>875491.7850927114</x:v>
      </x:c>
      <x:c r="N5" s="32" t="n">
        <x:f>IF(L5=0,"",I5/L5)</x:f>
        <x:v>1.0077138010136693</x:v>
      </x:c>
      <x:c r="O5" s="34" t="n">
        <x:f>IF(L5=0,"",M5/L5)</x:f>
        <x:v>0.0077138010136692916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16.5853120462</x:v>
      </x:c>
      <x:c r="E6" s="31" t="n">
        <x:v>16.5853120462</x:v>
      </x:c>
      <x:c r="F6" s="32" t="n">
        <x:v>0</x:v>
      </x:c>
      <x:c r="G6" s="34" t="n">
        <x:v>1</x:v>
      </x:c>
      <x:c r="H6" s="32" t="n">
        <x:f>IF(E6=0,"",I6/E6)</x:f>
        <x:v>691.8309709189363</x:v>
      </x:c>
      <x:c r="I6" s="31" t="n">
        <x:f>IF(C6=0,"",SUMIF('Species'!$G$2:$G$150,A6,'Species'!$U$2:$U$150))</x:f>
        <x:v>11474.232535916075</x:v>
      </x:c>
      <x:c r="J6" s="32" t="n">
        <x:v>3.84</x:v>
      </x:c>
      <x:c r="K6" s="32" t="n">
        <x:f>IF(J6="","",(1/'Metadata'!$B$5)^(J6-1))</x:f>
        <x:v>691.8309709189363</x:v>
      </x:c>
      <x:c r="L6" s="31" t="n">
        <x:f>IF(E6=0,"",E6*K6)</x:f>
        <x:v>11474.232535916075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608.2014161528</x:v>
      </x:c>
      <x:c r="E7" s="31" t="n">
        <x:v>608.2014161528</x:v>
      </x:c>
      <x:c r="F7" s="32" t="n">
        <x:v>0</x:v>
      </x:c>
      <x:c r="G7" s="34" t="n">
        <x:v>1</x:v>
      </x:c>
      <x:c r="H7" s="32" t="n">
        <x:f>IF(E7=0,"",I7/E7)</x:f>
        <x:v>2654.148314496684</x:v>
      </x:c>
      <x:c r="I7" s="31" t="n">
        <x:f>IF(C7=0,"",SUMIF('Species'!$G$2:$G$150,A7,'Species'!$U$2:$U$150))</x:f>
        <x:v>1614256.7635564506</x:v>
      </x:c>
      <x:c r="J7" s="32" t="n">
        <x:v>4.359274336215644</x:v>
      </x:c>
      <x:c r="K7" s="32" t="n">
        <x:f>IF(J7="","",(1/'Metadata'!$B$5)^(J7-1))</x:f>
        <x:v>2287.043032196224</x:v>
      </x:c>
      <x:c r="L7" s="31" t="n">
        <x:f>IF(E7=0,"",E7*K7)</x:f>
        <x:v>1390982.8109841372</x:v>
      </x:c>
      <x:c r="M7" s="31" t="n">
        <x:f>IF(E7=0,"",I7-L7)</x:f>
        <x:v>223273.95257231337</x:v>
      </x:c>
      <x:c r="N7" s="32" t="n">
        <x:f>IF(L7=0,"",I7/L7)</x:f>
        <x:v>1.160515249224643</x:v>
      </x:c>
      <x:c r="O7" s="34" t="n">
        <x:f>IF(L7=0,"",M7/L7)</x:f>
        <x:v>0.16051524922464308</x:v>
      </x:c>
    </x:row>
    <x:row r="8" ht="18" customHeight="1">
      <x:c r="A8" s="24" t="str">
        <x:v>Large sharks (&gt;=90 cm)</x:v>
      </x:c>
      <x:c r="B8" s="33" t="n">
        <x:v>8</x:v>
      </x:c>
      <x:c r="C8" s="33" t="n">
        <x:v>8</x:v>
      </x:c>
      <x:c r="D8" s="31" t="n">
        <x:v>20497.530624790397</x:v>
      </x:c>
      <x:c r="E8" s="31" t="n">
        <x:v>20497.530624790397</x:v>
      </x:c>
      <x:c r="F8" s="32" t="n">
        <x:v>0</x:v>
      </x:c>
      <x:c r="G8" s="34" t="n">
        <x:v>1</x:v>
      </x:c>
      <x:c r="H8" s="32" t="n">
        <x:f>IF(E8=0,"",I8/E8)</x:f>
        <x:v>1126.1006497337187</x:v>
      </x:c>
      <x:c r="I8" s="31" t="n">
        <x:f>IF(C8=0,"",SUMIF('Species'!$G$2:$G$150,A8,'Species'!$U$2:$U$150))</x:f>
        <x:v>23082282.554513264</x:v>
      </x:c>
      <x:c r="J8" s="32" t="n">
        <x:v>4.050935154593251</x:v>
      </x:c>
      <x:c r="K8" s="32" t="n">
        <x:f>IF(J8="","",(1/'Metadata'!$B$5)^(J8-1))</x:f>
        <x:v>1124.4370694091847</x:v>
      </x:c>
      <x:c r="L8" s="31" t="n">
        <x:f>IF(E8=0,"",E8*K8)</x:f>
        <x:v>23048183.265864328</x:v>
      </x:c>
      <x:c r="M8" s="31" t="n">
        <x:f>IF(E8=0,"",I8-L8)</x:f>
        <x:v>34099.2886489369</x:v>
      </x:c>
      <x:c r="N8" s="32" t="n">
        <x:f>IF(L8=0,"",I8/L8)</x:f>
        <x:v>1.001479478371705</x:v>
      </x:c>
      <x:c r="O8" s="34" t="n">
        <x:f>IF(L8=0,"",M8/L8)</x:f>
        <x:v>0.0014794783717048921</x:v>
      </x:c>
    </x:row>
    <x:row r="9" ht="18" customHeight="1">
      <x:c r="A9" s="24" t="str">
        <x:v>Lobsters, crabs</x:v>
      </x:c>
      <x:c r="B9" s="33" t="n">
        <x:v>8</x:v>
      </x:c>
      <x:c r="C9" s="33" t="n">
        <x:v>8</x:v>
      </x:c>
      <x:c r="D9" s="31" t="n">
        <x:v>36062.33265316811</x:v>
      </x:c>
      <x:c r="E9" s="31" t="n">
        <x:v>36062.33265316811</x:v>
      </x:c>
      <x:c r="F9" s="32" t="n">
        <x:v>0</x:v>
      </x:c>
      <x:c r="G9" s="34" t="n">
        <x:v>1</x:v>
      </x:c>
      <x:c r="H9" s="32" t="n">
        <x:f>IF(E9=0,"",I9/E9)</x:f>
        <x:v>394.04486044696057</x:v>
      </x:c>
      <x:c r="I9" s="31" t="n">
        <x:f>IF(C9=0,"",SUMIF('Species'!$G$2:$G$150,A9,'Species'!$U$2:$U$150))</x:f>
        <x:v>14210176.837709498</x:v>
      </x:c>
      <x:c r="J9" s="32" t="n">
        <x:v>3.463399416972191</x:v>
      </x:c>
      <x:c r="K9" s="32" t="n">
        <x:f>IF(J9="","",(1/'Metadata'!$B$5)^(J9-1))</x:f>
        <x:v>290.66946881424735</x:v>
      </x:c>
      <x:c r="L9" s="31" t="n">
        <x:f>IF(E9=0,"",E9*K9)</x:f>
        <x:v>10482219.076499062</x:v>
      </x:c>
      <x:c r="M9" s="31" t="n">
        <x:f>IF(E9=0,"",I9-L9)</x:f>
        <x:v>3727957.761210436</x:v>
      </x:c>
      <x:c r="N9" s="32" t="n">
        <x:f>IF(L9=0,"",I9/L9)</x:f>
        <x:v>1.3556458545660859</x:v>
      </x:c>
      <x:c r="O9" s="34" t="n">
        <x:f>IF(L9=0,"",M9/L9)</x:f>
        <x:v>0.35564585456608583</x:v>
      </x:c>
    </x:row>
    <x:row r="10" ht="18" customHeight="1">
      <x:c r="A10" s="24" t="str">
        <x:v>Medium benthopelagics (30 - 89 cm)</x:v>
      </x:c>
      <x:c r="B10" s="33" t="n">
        <x:v>8</x:v>
      </x:c>
      <x:c r="C10" s="33" t="n">
        <x:v>8</x:v>
      </x:c>
      <x:c r="D10" s="31" t="n">
        <x:v>65669.7765202146</x:v>
      </x:c>
      <x:c r="E10" s="31" t="n">
        <x:v>65669.7765202146</x:v>
      </x:c>
      <x:c r="F10" s="32" t="n">
        <x:v>0</x:v>
      </x:c>
      <x:c r="G10" s="34" t="n">
        <x:v>1</x:v>
      </x:c>
      <x:c r="H10" s="32" t="n">
        <x:f>IF(E10=0,"",I10/E10)</x:f>
        <x:v>297.68705711571454</x:v>
      </x:c>
      <x:c r="I10" s="31" t="n">
        <x:f>IF(C10=0,"",SUMIF('Species'!$G$2:$G$150,A10,'Species'!$U$2:$U$150))</x:f>
        <x:v>19549042.51374933</x:v>
      </x:c>
      <x:c r="J10" s="32" t="n">
        <x:v>3.452448485717718</x:v>
      </x:c>
      <x:c r="K10" s="32" t="n">
        <x:f>IF(J10="","",(1/'Metadata'!$B$5)^(J10-1))</x:f>
        <x:v>283.43174181026126</x:v>
      </x:c>
      <x:c r="L10" s="31" t="n">
        <x:f>IF(E10=0,"",E10*K10)</x:f>
        <x:v>18612899.14341502</x:v>
      </x:c>
      <x:c r="M10" s="31" t="n">
        <x:f>IF(E10=0,"",I10-L10)</x:f>
        <x:v>936143.3703343123</x:v>
      </x:c>
      <x:c r="N10" s="32" t="n">
        <x:f>IF(L10=0,"",I10/L10)</x:f>
        <x:v>1.0502954087442904</x:v>
      </x:c>
      <x:c r="O10" s="34" t="n">
        <x:f>IF(L10=0,"",M10/L10)</x:f>
        <x:v>0.05029540874429047</x:v>
      </x:c>
    </x:row>
    <x:row r="11" ht="18" customHeight="1">
      <x:c r="A11" s="24" t="str">
        <x:v>Medium demersals (30 - 89 cm)</x:v>
      </x:c>
      <x:c r="B11" s="33" t="n">
        <x:v>15</x:v>
      </x:c>
      <x:c r="C11" s="33" t="n">
        <x:v>15</x:v>
      </x:c>
      <x:c r="D11" s="31" t="n">
        <x:v>177002.419576615</x:v>
      </x:c>
      <x:c r="E11" s="31" t="n">
        <x:v>177002.419576615</x:v>
      </x:c>
      <x:c r="F11" s="32" t="n">
        <x:v>0</x:v>
      </x:c>
      <x:c r="G11" s="34" t="n">
        <x:v>1</x:v>
      </x:c>
      <x:c r="H11" s="32" t="n">
        <x:f>IF(E11=0,"",I11/E11)</x:f>
        <x:v>235.73788729054485</x:v>
      </x:c>
      <x:c r="I11" s="31" t="n">
        <x:f>IF(C11=0,"",SUMIF('Species'!$G$2:$G$150,A11,'Species'!$U$2:$U$150))</x:f>
        <x:v>41726176.4363058</x:v>
      </x:c>
      <x:c r="J11" s="32" t="n">
        <x:v>3.320140763025615</x:v>
      </x:c>
      <x:c r="K11" s="32" t="n">
        <x:f>IF(J11="","",(1/'Metadata'!$B$5)^(J11-1))</x:f>
        <x:v>208.99734208569325</x:v>
      </x:c>
      <x:c r="L11" s="31" t="n">
        <x:f>IF(E11=0,"",E11*K11)</x:f>
        <x:v>36993035.23424921</x:v>
      </x:c>
      <x:c r="M11" s="31" t="n">
        <x:f>IF(E11=0,"",I11-L11)</x:f>
        <x:v>4733141.202056587</x:v>
      </x:c>
      <x:c r="N11" s="32" t="n">
        <x:f>IF(L11=0,"",I11/L11)</x:f>
        <x:v>1.1279468195049458</x:v>
      </x:c>
      <x:c r="O11" s="34" t="n">
        <x:f>IF(L11=0,"",M11/L11)</x:f>
        <x:v>0.12794681950494588</x:v>
      </x:c>
    </x:row>
    <x:row r="12" ht="18" customHeight="1">
      <x:c r="A12" s="24" t="str">
        <x:v>Medium pelagics (30 - 89 cm)</x:v>
      </x:c>
      <x:c r="B12" s="33" t="n">
        <x:v>16</x:v>
      </x:c>
      <x:c r="C12" s="33" t="n">
        <x:v>16</x:v>
      </x:c>
      <x:c r="D12" s="31" t="n">
        <x:v>216020.4285865126</x:v>
      </x:c>
      <x:c r="E12" s="31" t="n">
        <x:v>216020.4285865126</x:v>
      </x:c>
      <x:c r="F12" s="32" t="n">
        <x:v>0</x:v>
      </x:c>
      <x:c r="G12" s="34" t="n">
        <x:v>1</x:v>
      </x:c>
      <x:c r="H12" s="32" t="n">
        <x:f>IF(E12=0,"",I12/E12)</x:f>
        <x:v>469.11465653466985</x:v>
      </x:c>
      <x:c r="I12" s="31" t="n">
        <x:f>IF(C12=0,"",SUMIF('Species'!$G$2:$G$150,A12,'Species'!$U$2:$U$150))</x:f>
        <x:v>101338349.16083403</x:v>
      </x:c>
      <x:c r="J12" s="32" t="n">
        <x:v>3.5757559096498923</x:v>
      </x:c>
      <x:c r="K12" s="32" t="n">
        <x:f>IF(J12="","",(1/'Metadata'!$B$5)^(J12-1))</x:f>
        <x:v>376.49213631909385</x:v>
      </x:c>
      <x:c r="L12" s="31" t="n">
        <x:f>IF(E12=0,"",E12*K12)</x:f>
        <x:v>81329992.64710239</x:v>
      </x:c>
      <x:c r="M12" s="31" t="n">
        <x:f>IF(E12=0,"",I12-L12)</x:f>
        <x:v>20008356.513731644</x:v>
      </x:c>
      <x:c r="N12" s="32" t="n">
        <x:f>IF(L12=0,"",I12/L12)</x:f>
        <x:v>1.2460144881673552</x:v>
      </x:c>
      <x:c r="O12" s="34" t="n">
        <x:f>IF(L12=0,"",M12/L12)</x:f>
        <x:v>0.24601448816735505</x:v>
      </x:c>
    </x:row>
    <x:row r="13" ht="18" customHeight="1">
      <x:c r="A13" s="24" t="str">
        <x:v>Medium reef assoc. fish (30 - 89 cm)</x:v>
      </x:c>
      <x:c r="B13" s="33" t="n">
        <x:v>16</x:v>
      </x:c>
      <x:c r="C13" s="33" t="n">
        <x:v>16</x:v>
      </x:c>
      <x:c r="D13" s="31" t="n">
        <x:v>75211.602686996</x:v>
      </x:c>
      <x:c r="E13" s="31" t="n">
        <x:v>75211.602686996</x:v>
      </x:c>
      <x:c r="F13" s="32" t="n">
        <x:v>0</x:v>
      </x:c>
      <x:c r="G13" s="34" t="n">
        <x:v>1</x:v>
      </x:c>
      <x:c r="H13" s="32" t="n">
        <x:f>IF(E13=0,"",I13/E13)</x:f>
        <x:v>245.37815183585528</x:v>
      </x:c>
      <x:c r="I13" s="31" t="n">
        <x:f>IF(C13=0,"",SUMIF('Species'!$G$2:$G$150,A13,'Species'!$U$2:$U$150))</x:f>
        <x:v>18455284.063947726</x:v>
      </x:c>
      <x:c r="J13" s="32" t="n">
        <x:v>3.303469985885728</x:v>
      </x:c>
      <x:c r="K13" s="32" t="n">
        <x:f>IF(J13="","",(1/'Metadata'!$B$5)^(J13-1))</x:f>
        <x:v>201.12681945479716</x:v>
      </x:c>
      <x:c r="L13" s="31" t="n">
        <x:f>IF(E13=0,"",E13*K13)</x:f>
        <x:v>15127070.434533382</x:v>
      </x:c>
      <x:c r="M13" s="31" t="n">
        <x:f>IF(E13=0,"",I13-L13)</x:f>
        <x:v>3328213.629414344</x:v>
      </x:c>
      <x:c r="N13" s="32" t="n">
        <x:f>IF(L13=0,"",I13/L13)</x:f>
        <x:v>1.2200170643627342</x:v>
      </x:c>
      <x:c r="O13" s="34" t="n">
        <x:f>IF(L13=0,"",M13/L13)</x:f>
        <x:v>0.22001706436273416</x:v>
      </x:c>
    </x:row>
    <x:row r="14" ht="18" customHeight="1">
      <x:c r="A14" s="24" t="str">
        <x:v>Other demersal invertebrates</x:v>
      </x:c>
      <x:c r="B14" s="33" t="n">
        <x:v>8</x:v>
      </x:c>
      <x:c r="C14" s="33" t="n">
        <x:v>8</x:v>
      </x:c>
      <x:c r="D14" s="31" t="n">
        <x:v>7344.518899896</x:v>
      </x:c>
      <x:c r="E14" s="31" t="n">
        <x:v>7344.518899896</x:v>
      </x:c>
      <x:c r="F14" s="32" t="n">
        <x:v>0</x:v>
      </x:c>
      <x:c r="G14" s="34" t="n">
        <x:v>1</x:v>
      </x:c>
      <x:c r="H14" s="32" t="n">
        <x:f>IF(E14=0,"",I14/E14)</x:f>
        <x:v>35.98566640231227</x:v>
      </x:c>
      <x:c r="I14" s="31" t="n">
        <x:f>IF(C14=0,"",SUMIF('Species'!$G$2:$G$150,A14,'Species'!$U$2:$U$150))</x:f>
        <x:v>264297.40701713494</x:v>
      </x:c>
      <x:c r="J14" s="32" t="n">
        <x:v>2.4033127397496536</x:v>
      </x:c>
      <x:c r="K14" s="32" t="n">
        <x:f>IF(J14="","",(1/'Metadata'!$B$5)^(J14-1))</x:f>
        <x:v>25.311200248884706</x:v>
      </x:c>
      <x:c r="L14" s="31" t="n">
        <x:f>IF(E14=0,"",E14*K14)</x:f>
        <x:v>185898.58860698607</x:v>
      </x:c>
      <x:c r="M14" s="31" t="n">
        <x:f>IF(E14=0,"",I14-L14)</x:f>
        <x:v>78398.81841014887</x:v>
      </x:c>
      <x:c r="N14" s="32" t="n">
        <x:f>IF(L14=0,"",I14/L14)</x:f>
        <x:v>1.4217289598464582</x:v>
      </x:c>
      <x:c r="O14" s="34" t="n">
        <x:f>IF(L14=0,"",M14/L14)</x:f>
        <x:v>0.42172895984645814</x:v>
      </x:c>
    </x:row>
    <x:row r="15" ht="18" customHeight="1">
      <x:c r="A15" s="24" t="str">
        <x:v>Shrimps</x:v>
      </x:c>
      <x:c r="B15" s="33" t="n">
        <x:v>13</x:v>
      </x:c>
      <x:c r="C15" s="33" t="n">
        <x:v>13</x:v>
      </x:c>
      <x:c r="D15" s="31" t="n">
        <x:v>57445.371465267905</x:v>
      </x:c>
      <x:c r="E15" s="31" t="n">
        <x:v>57445.371465267905</x:v>
      </x:c>
      <x:c r="F15" s="32" t="n">
        <x:v>0</x:v>
      </x:c>
      <x:c r="G15" s="34" t="n">
        <x:v>1</x:v>
      </x:c>
      <x:c r="H15" s="32" t="n">
        <x:f>IF(E15=0,"",I15/E15)</x:f>
        <x:v>114.9426857736241</x:v>
      </x:c>
      <x:c r="I15" s="31" t="n">
        <x:f>IF(C15=0,"",SUMIF('Species'!$G$2:$G$150,A15,'Species'!$U$2:$U$150))</x:f>
        <x:v>6602925.281481401</x:v>
      </x:c>
      <x:c r="J15" s="32" t="n">
        <x:v>2.818514744866257</x:v>
      </x:c>
      <x:c r="K15" s="32" t="n">
        <x:f>IF(J15="","",(1/'Metadata'!$B$5)^(J15-1))</x:f>
        <x:v>65.8437784388733</x:v>
      </x:c>
      <x:c r="L15" s="31" t="n">
        <x:f>IF(E15=0,"",E15*K15)</x:f>
        <x:v>3782420.3110978743</x:v>
      </x:c>
      <x:c r="M15" s="31" t="n">
        <x:f>IF(E15=0,"",I15-L15)</x:f>
        <x:v>2820504.9703835268</x:v>
      </x:c>
      <x:c r="N15" s="32" t="n">
        <x:f>IF(L15=0,"",I15/L15)</x:f>
        <x:v>1.745687876650825</x:v>
      </x:c>
      <x:c r="O15" s="34" t="n">
        <x:f>IF(L15=0,"",M15/L15)</x:f>
        <x:v>0.745687876650825</x:v>
      </x:c>
    </x:row>
    <x:row r="16" ht="18" customHeight="1">
      <x:c r="A16" s="24" t="str">
        <x:v>Small benthopelagics (&lt;30 cm)</x:v>
      </x:c>
      <x:c r="B16" s="33" t="n">
        <x:v>2</x:v>
      </x:c>
      <x:c r="C16" s="33" t="n">
        <x:v>2</x:v>
      </x:c>
      <x:c r="D16" s="31" t="n">
        <x:v>500.110666233</x:v>
      </x:c>
      <x:c r="E16" s="31" t="n">
        <x:v>500.110666233</x:v>
      </x:c>
      <x:c r="F16" s="32" t="n">
        <x:v>0</x:v>
      </x:c>
      <x:c r="G16" s="34" t="n">
        <x:v>1</x:v>
      </x:c>
      <x:c r="H16" s="32" t="n">
        <x:f>IF(E16=0,"",I16/E16)</x:f>
        <x:v>792.7194667947197</x:v>
      </x:c>
      <x:c r="I16" s="31" t="n">
        <x:f>IF(C16=0,"",SUMIF('Species'!$G$2:$G$150,A16,'Species'!$U$2:$U$150))</x:f>
        <x:v>396447.46067457576</x:v>
      </x:c>
      <x:c r="J16" s="32" t="n">
        <x:v>3.8649245977054623</x:v>
      </x:c>
      <x:c r="K16" s="32" t="n">
        <x:f>IF(J16="","",(1/'Metadata'!$B$5)^(J16-1))</x:f>
        <x:v>732.6973110418323</x:v>
      </x:c>
      <x:c r="L16" s="31" t="n">
        <x:f>IF(E16=0,"",E16*K16)</x:f>
        <x:v>366429.7403722584</x:v>
      </x:c>
      <x:c r="M16" s="31" t="n">
        <x:f>IF(E16=0,"",I16-L16)</x:f>
        <x:v>30017.72030231735</x:v>
      </x:c>
      <x:c r="N16" s="32" t="n">
        <x:f>IF(L16=0,"",I16/L16)</x:f>
        <x:v>1.0819194431975476</x:v>
      </x:c>
      <x:c r="O16" s="34" t="n">
        <x:f>IF(L16=0,"",M16/L16)</x:f>
        <x:v>0.08191944319754764</x:v>
      </x:c>
    </x:row>
    <x:row r="17" ht="18" customHeight="1">
      <x:c r="A17" s="24" t="str">
        <x:v>Small demersals (&lt;30 cm)</x:v>
      </x:c>
      <x:c r="B17" s="33" t="n">
        <x:v>1</x:v>
      </x:c>
      <x:c r="C17" s="33" t="n">
        <x:v>1</x:v>
      </x:c>
      <x:c r="D17" s="31" t="n">
        <x:v>25621.845891836</x:v>
      </x:c>
      <x:c r="E17" s="31" t="n">
        <x:v>25621.845891836</x:v>
      </x:c>
      <x:c r="F17" s="32" t="n">
        <x:v>0</x:v>
      </x:c>
      <x:c r="G17" s="34" t="n">
        <x:v>1</x:v>
      </x:c>
      <x:c r="H17" s="32" t="n">
        <x:f>IF(E17=0,"",I17/E17)</x:f>
        <x:v>524.8074602497728</x:v>
      </x:c>
      <x:c r="I17" s="31" t="n">
        <x:f>IF(C17=0,"",SUMIF('Species'!$G$2:$G$150,A17,'Species'!$U$2:$U$150))</x:f>
        <x:v>13446535.869405527</x:v>
      </x:c>
      <x:c r="J17" s="32" t="n">
        <x:v>3.72</x:v>
      </x:c>
      <x:c r="K17" s="32" t="n">
        <x:f>IF(J17="","",(1/'Metadata'!$B$5)^(J17-1))</x:f>
        <x:v>524.8074602497728</x:v>
      </x:c>
      <x:c r="L17" s="31" t="n">
        <x:f>IF(E17=0,"",E17*K17)</x:f>
        <x:v>13446535.869405527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pelagics (&lt;30 cm)</x:v>
      </x:c>
      <x:c r="B18" s="33" t="n">
        <x:v>8</x:v>
      </x:c>
      <x:c r="C18" s="33" t="n">
        <x:v>8</x:v>
      </x:c>
      <x:c r="D18" s="31" t="n">
        <x:v>102613.9591948124</x:v>
      </x:c>
      <x:c r="E18" s="31" t="n">
        <x:v>102613.9591948124</x:v>
      </x:c>
      <x:c r="F18" s="32" t="n">
        <x:v>0</x:v>
      </x:c>
      <x:c r="G18" s="34" t="n">
        <x:v>1</x:v>
      </x:c>
      <x:c r="H18" s="32" t="n">
        <x:f>IF(E18=0,"",I18/E18)</x:f>
        <x:v>153.61688590940915</x:v>
      </x:c>
      <x:c r="I18" s="31" t="n">
        <x:f>IF(C18=0,"",SUMIF('Species'!$G$2:$G$150,A18,'Species'!$U$2:$U$150))</x:f>
        <x:v>15763236.862342263</x:v>
      </x:c>
      <x:c r="J18" s="32" t="n">
        <x:v>3.1759270866467624</x:v>
      </x:c>
      <x:c r="K18" s="32" t="n">
        <x:f>IF(J18="","",(1/'Metadata'!$B$5)^(J18-1))</x:f>
        <x:v>149.94330757491844</x:v>
      </x:c>
      <x:c r="L18" s="31" t="n">
        <x:f>IF(E18=0,"",E18*K18)</x:f>
        <x:v>15386276.445027886</x:v>
      </x:c>
      <x:c r="M18" s="31" t="n">
        <x:f>IF(E18=0,"",I18-L18)</x:f>
        <x:v>376960.4173143767</x:v>
      </x:c>
      <x:c r="N18" s="32" t="n">
        <x:f>IF(L18=0,"",I18/L18)</x:f>
        <x:v>1.0244997819102746</x:v>
      </x:c>
      <x:c r="O18" s="34" t="n">
        <x:f>IF(L18=0,"",M18/L18)</x:f>
        <x:v>0.02449978191027449</x:v>
      </x:c>
    </x:row>
    <x:row r="19" ht="18" customHeight="1">
      <x:c r="A19" s="24" t="str">
        <x:v>Small to medium flatfishes (&lt;90 cm)</x:v>
      </x:c>
      <x:c r="B19" s="33" t="n">
        <x:v>2</x:v>
      </x:c>
      <x:c r="C19" s="33" t="n">
        <x:v>2</x:v>
      </x:c>
      <x:c r="D19" s="31" t="n">
        <x:v>438.59408739</x:v>
      </x:c>
      <x:c r="E19" s="31" t="n">
        <x:v>438.59408739</x:v>
      </x:c>
      <x:c r="F19" s="32" t="n">
        <x:v>0</x:v>
      </x:c>
      <x:c r="G19" s="34" t="n">
        <x:v>1</x:v>
      </x:c>
      <x:c r="H19" s="32" t="n">
        <x:f>IF(E19=0,"",I19/E19)</x:f>
        <x:v>550.3240317398725</x:v>
      </x:c>
      <x:c r="I19" s="31" t="n">
        <x:f>IF(C19=0,"",SUMIF('Species'!$G$2:$G$150,A19,'Species'!$U$2:$U$150))</x:f>
        <x:v>241368.86646973476</x:v>
      </x:c>
      <x:c r="J19" s="32" t="n">
        <x:v>3.6403766657148733</x:v>
      </x:c>
      <x:c r="K19" s="32" t="n">
        <x:f>IF(J19="","",(1/'Metadata'!$B$5)^(J19-1))</x:f>
        <x:v>436.89458876792884</x:v>
      </x:c>
      <x:c r="L19" s="31" t="n">
        <x:f>IF(E19=0,"",E19*K19)</x:f>
        <x:v>191619.3834462991</x:v>
      </x:c>
      <x:c r="M19" s="31" t="n">
        <x:f>IF(E19=0,"",I19-L19)</x:f>
        <x:v>49749.48302343566</x:v>
      </x:c>
      <x:c r="N19" s="32" t="n">
        <x:f>IF(L19=0,"",I19/L19)</x:f>
        <x:v>1.2596265687149435</x:v>
      </x:c>
      <x:c r="O19" s="34" t="n">
        <x:f>IF(L19=0,"",M19/L19)</x:f>
        <x:v>0.25962656871494344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d14da6b17b848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EEZ_157</x:v>
      </x:c>
      <x:c r="B2" s="24" t="str">
        <x:v>raw_filtered_tonnes</x:v>
      </x:c>
      <x:c r="C2" s="24" t="n">
        <x:v>974842.5837373973</x:v>
      </x:c>
      <x:c r="D2" s="24" t="str">
        <x:v>tonnes</x:v>
      </x:c>
    </x:row>
    <x:row r="3" ht="18" customHeight="1">
      <x:c r="A3" s="24" t="str">
        <x:v>EEZ_157</x:v>
      </x:c>
      <x:c r="B3" s="24" t="str">
        <x:v>species_catch_tonnes</x:v>
      </x:c>
      <x:c r="C3" s="24" t="n">
        <x:v>974842.5837373973</x:v>
      </x:c>
      <x:c r="D3" s="24" t="str">
        <x:v>tonnes</x:v>
      </x:c>
    </x:row>
    <x:row r="4" ht="18" customHeight="1">
      <x:c r="A4" s="24" t="str">
        <x:v>EEZ_157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EEZ_157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EEZ_157</x:v>
      </x:c>
      <x:c r="B6" s="24" t="str">
        <x:v>matched_catch_tonnes</x:v>
      </x:c>
      <x:c r="C6" s="24" t="n">
        <x:v>974842.5837373973</x:v>
      </x:c>
      <x:c r="D6" s="24" t="str">
        <x:v>tonnes</x:v>
      </x:c>
    </x:row>
    <x:row r="7" ht="18" customHeight="1">
      <x:c r="A7" s="24" t="str">
        <x:v>EEZ_157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EEZ_157</x:v>
      </x:c>
      <x:c r="B8" s="24" t="str">
        <x:v>taxa_count</x:v>
      </x:c>
      <x:c r="C8" s="24" t="n">
        <x:v>149</x:v>
      </x:c>
      <x:c r="D8" s="24" t="str">
        <x:v>count</x:v>
      </x:c>
    </x:row>
    <x:row r="9" ht="18" customHeight="1">
      <x:c r="A9" s="24" t="str">
        <x:v>EEZ_157</x:v>
      </x:c>
      <x:c r="B9" s="24" t="str">
        <x:v>matched_taxa_count</x:v>
      </x:c>
      <x:c r="C9" s="24" t="n">
        <x:v>149</x:v>
      </x:c>
      <x:c r="D9" s="24" t="str">
        <x:v>count</x:v>
      </x:c>
    </x:row>
    <x:row r="10" ht="18" customHeight="1">
      <x:c r="A10" s="24" t="str">
        <x:v>EEZ_157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EEZ_157</x:v>
      </x:c>
      <x:c r="B11" s="24" t="str">
        <x:v>species_ppr</x:v>
      </x:c>
      <x:c r="C11" s="24" t="n">
        <x:v>651770218.0518247</x:v>
      </x:c>
      <x:c r="D11" s="24" t="str">
        <x:v>tonnes_primary_production_equivalent</x:v>
      </x:c>
    </x:row>
    <x:row r="12" ht="18" customHeight="1">
      <x:c r="A12" s="24" t="str">
        <x:v>EEZ_157</x:v>
      </x:c>
      <x:c r="B12" s="24" t="str">
        <x:v>commercial_ppr</x:v>
      </x:c>
      <x:c r="C12" s="24" t="n">
        <x:v>651770218.0518247</x:v>
      </x:c>
      <x:c r="D12" s="24" t="str">
        <x:v>tonnes_primary_production_equivalent</x:v>
      </x:c>
    </x:row>
    <x:row r="13" ht="18" customHeight="1">
      <x:c r="A13" s="24" t="str">
        <x:v>EEZ_157</x:v>
      </x:c>
      <x:c r="B13" s="24" t="str">
        <x:v>functional_ppr</x:v>
      </x:c>
      <x:c r="C13" s="24" t="n">
        <x:v>651770218.0518246</x:v>
      </x:c>
      <x:c r="D13" s="24" t="str">
        <x:v>tonnes_primary_production_equivalent</x:v>
      </x:c>
    </x:row>
    <x:row r="14" ht="18" customHeight="1">
      <x:c r="A14" s="24" t="str">
        <x:v>EEZ_157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EEZ_157</x:v>
      </x:c>
      <x:c r="B15" s="24" t="str">
        <x:v>functional_ppr_difference</x:v>
      </x:c>
      <x:c r="C15" s="24" t="n">
        <x:v>-1.1920928955078125e-7</x:v>
      </x:c>
      <x:c r="D15" s="24" t="str">
        <x:v>tonnes_primary_production_equivalent</x:v>
      </x:c>
    </x:row>
    <x:row r="16" ht="18" customHeight="1">
      <x:c r="A16" s="24" t="str">
        <x:v>EEZ_157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EEZ_157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EEZ_157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EEZ_157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29fa49af6c842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EEZ_157 - Taiwan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