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7fc6ad0fe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793a974e9bf48b4"/>
    <x:sheet xmlns:r="http://schemas.openxmlformats.org/officeDocument/2006/relationships" name="Commercial" sheetId="2" r:id="R9cfb0c3b8a1b4f4c"/>
    <x:sheet xmlns:r="http://schemas.openxmlformats.org/officeDocument/2006/relationships" name="Functional" sheetId="3" r:id="R9eaee9ade19c41f0"/>
    <x:sheet xmlns:r="http://schemas.openxmlformats.org/officeDocument/2006/relationships" name="Missing TL" sheetId="4" r:id="Re58e844ed93b41e1"/>
    <x:sheet xmlns:r="http://schemas.openxmlformats.org/officeDocument/2006/relationships" name="Validation" sheetId="5" r:id="Re0145c760e154e16"/>
    <x:sheet xmlns:r="http://schemas.openxmlformats.org/officeDocument/2006/relationships" name="Metadata" sheetId="6" r:id="Rbab443d80817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e81dae7da4261" /><Relationship Type="http://schemas.openxmlformats.org/officeDocument/2006/relationships/theme" Target="/xl/theme/theme1.xml" Id="R998880c1e0324d6a" /><Relationship Type="http://schemas.microsoft.com/office/2022/11/relationships/FeaturePropertyBag" Target="/xl/featurePropertyBag/featurePropertyBag.xml" Id="R22844e8ea55a45b4" /><Relationship Type="http://schemas.openxmlformats.org/officeDocument/2006/relationships/sharedStrings" Target="/xl/sharedStrings.xml" Id="R3b8ec63b32614e8e" /><Relationship Type="http://schemas.openxmlformats.org/officeDocument/2006/relationships/worksheet" Target="/xl/worksheets/sheet1.xml" Id="R4793a974e9bf48b4" /><Relationship Type="http://schemas.openxmlformats.org/officeDocument/2006/relationships/worksheet" Target="/xl/worksheets/sheet2.xml" Id="R9cfb0c3b8a1b4f4c" /><Relationship Type="http://schemas.openxmlformats.org/officeDocument/2006/relationships/worksheet" Target="/xl/worksheets/sheet3.xml" Id="R9eaee9ade19c41f0" /><Relationship Type="http://schemas.openxmlformats.org/officeDocument/2006/relationships/worksheet" Target="/xl/worksheets/sheet4.xml" Id="Re58e844ed93b41e1" /><Relationship Type="http://schemas.openxmlformats.org/officeDocument/2006/relationships/worksheet" Target="/xl/worksheets/sheet5.xml" Id="Re0145c760e154e16" /><Relationship Type="http://schemas.openxmlformats.org/officeDocument/2006/relationships/worksheet" Target="/xl/worksheets/sheet6.xml" Id="Rbab443d8081744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62SpeciesTable" displayName="EEZ262SpeciesTable" ref="A1:U42" headerRowCount="1" totalsRowCount="0" totalsRowShown="0">
  <x:autoFilter ref="A1:U4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62CommercialTable" displayName="EEZ262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62FunctionalTable" displayName="EEZ262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62ValidationTable" displayName="EEZ2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a73cdbf024a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b29595ea1346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ffb8e96cc949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57b8a7b27a42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EEZ_262</x:v>
      </x:c>
      <x:c r="B2" s="24" t="str">
        <x:v>Djibouti</x:v>
      </x:c>
      <x:c r="C2" s="24" t="str">
        <x:v>EEZ</x:v>
      </x:c>
      <x:c r="D2" s="30" t="n">
        <x:v>2019</x:v>
      </x:c>
      <x:c r="E2" s="24" t="str">
        <x:v>Scomberomorus commerson</x:v>
      </x:c>
      <x:c r="F2" s="24" t="str">
        <x:v>Narrow-barred Spanish mackerel</x:v>
      </x:c>
      <x:c r="G2" s="24" t="str">
        <x:v>Large pelagics (&gt;=90 cm)</x:v>
      </x:c>
      <x:c r="H2" s="24" t="str">
        <x:v>Perch-likes</x:v>
      </x:c>
      <x:c r="I2" s="31" t="n">
        <x:v>320.9770129286</x:v>
      </x:c>
      <x:c r="J2" s="31" t="n">
        <x:v>320.9770129286</x:v>
      </x:c>
      <x:c r="K2" s="31" t="n">
        <x:v>0</x:v>
      </x:c>
      <x:c r="L2" s="31" t="n">
        <x:v>320.4900000001</x:v>
      </x:c>
      <x:c r="M2" s="31" t="n">
        <x:v>0.4870129285</x:v>
      </x:c>
      <x:c r="N2" s="24" t="str">
        <x:v>scomberomorus commerson</x:v>
      </x:c>
      <x:c r="O2" s="32" t="n">
        <x:v>4.5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Scomberomorus commerson</x:v>
      </x:c>
      <x:c r="T2" s="32" t="n">
        <x:f>IF(O2="","",(1/'Metadata'!$B$5)^(O2-1))</x:f>
        <x:v>3162.2776601683795</x:v>
      </x:c>
      <x:c r="U2" s="31" t="n">
        <x:f>IF(T2="","",I2*T2)</x:f>
        <x:v>1015018.437411689</x:v>
      </x:c>
    </x:row>
    <x:row r="3" ht="18" customHeight="1">
      <x:c r="A3" s="24" t="str">
        <x:v>EEZ_262</x:v>
      </x:c>
      <x:c r="B3" s="24" t="str">
        <x:v>Djibouti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273.1063054799</x:v>
      </x:c>
      <x:c r="J3" s="31" t="n">
        <x:v>187.1713054799</x:v>
      </x:c>
      <x:c r="K3" s="31" t="n">
        <x:v>85.935</x:v>
      </x:c>
      <x:c r="L3" s="31" t="n">
        <x:v>80.21999999990001</x:v>
      </x:c>
      <x:c r="M3" s="31" t="n">
        <x:v>192.88630548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52039.333692002</x:v>
      </x:c>
    </x:row>
    <x:row r="4" ht="18" customHeight="1">
      <x:c r="A4" s="24" t="str">
        <x:v>EEZ_262</x:v>
      </x:c>
      <x:c r="B4" s="24" t="str">
        <x:v>Djibouti</x:v>
      </x:c>
      <x:c r="C4" s="24" t="str">
        <x:v>EEZ</x:v>
      </x:c>
      <x:c r="D4" s="30" t="n">
        <x:v>2019</x:v>
      </x:c>
      <x:c r="E4" s="24" t="str">
        <x:v>Caranx sexfasciatus</x:v>
      </x:c>
      <x:c r="F4" s="24" t="str">
        <x:v>Bigeye trevally</x:v>
      </x:c>
      <x:c r="G4" s="24" t="str">
        <x:v>Large reef assoc. fish (&gt;=90 cm)</x:v>
      </x:c>
      <x:c r="H4" s="24" t="str">
        <x:v>Perch-likes</x:v>
      </x:c>
      <x:c r="I4" s="31" t="n">
        <x:v>245.13</x:v>
      </x:c>
      <x:c r="J4" s="31" t="n">
        <x:v>245.13</x:v>
      </x:c>
      <x:c r="K4" s="31" t="n">
        <x:v>0</x:v>
      </x:c>
      <x:c r="L4" s="31" t="n">
        <x:v>245.13</x:v>
      </x:c>
      <x:c r="M4" s="31" t="n">
        <x:v>0</x:v>
      </x:c>
      <x:c r="N4" s="24" t="str">
        <x:v>caranx sexfasciatus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Caranx sexfasciatus</x:v>
      </x:c>
      <x:c r="T4" s="32" t="n">
        <x:f>IF(O4="","",(1/'Metadata'!$B$5)^(O4-1))</x:f>
        <x:v>3162.2776601683795</x:v>
      </x:c>
      <x:c r="U4" s="31" t="n">
        <x:f>IF(T4="","",I4*T4)</x:f>
        <x:v>775169.1228370748</x:v>
      </x:c>
    </x:row>
    <x:row r="5" ht="18" customHeight="1">
      <x:c r="A5" s="24" t="str">
        <x:v>EEZ_262</x:v>
      </x:c>
      <x:c r="B5" s="24" t="str">
        <x:v>Djibouti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216.852723468</x:v>
      </x:c>
      <x:c r="J5" s="31" t="n">
        <x:v>216.852723468</x:v>
      </x:c>
      <x:c r="K5" s="31" t="n">
        <x:v>0</x:v>
      </x:c>
      <x:c r="L5" s="31" t="n">
        <x:v>29.4</x:v>
      </x:c>
      <x:c r="M5" s="31" t="n">
        <x:v>187.452723468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243312.75759673637</x:v>
      </x:c>
    </x:row>
    <x:row r="6" ht="18" customHeight="1">
      <x:c r="A6" s="24" t="str">
        <x:v>EEZ_262</x:v>
      </x:c>
      <x:c r="B6" s="24" t="str">
        <x:v>Djibouti</x:v>
      </x:c>
      <x:c r="C6" s="24" t="str">
        <x:v>EEZ</x:v>
      </x:c>
      <x:c r="D6" s="30" t="n">
        <x:v>2019</x:v>
      </x:c>
      <x:c r="E6" s="24" t="str">
        <x:v>Sphyraenidae</x:v>
      </x:c>
      <x:c r="F6" s="24" t="str">
        <x:v>Barracudas</x:v>
      </x:c>
      <x:c r="G6" s="24" t="str">
        <x:v>Medium reef assoc. fish (30 - 89 cm)</x:v>
      </x:c>
      <x:c r="H6" s="24" t="str">
        <x:v>Perch-likes</x:v>
      </x:c>
      <x:c r="I6" s="31" t="n">
        <x:v>194.69921670989999</x:v>
      </x:c>
      <x:c r="J6" s="31" t="n">
        <x:v>194.69921670989999</x:v>
      </x:c>
      <x:c r="K6" s="31" t="n">
        <x:v>0</x:v>
      </x:c>
      <x:c r="L6" s="31" t="n">
        <x:v>87</x:v>
      </x:c>
      <x:c r="M6" s="31" t="n">
        <x:v>107.6992167099</x:v>
      </x:c>
      <x:c r="N6" s="24" t="str">
        <x:v>sphyraenidae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Sphyraenidae</x:v>
      </x:c>
      <x:c r="T6" s="32" t="n">
        <x:f>IF(O6="","",(1/'Metadata'!$B$5)^(O6-1))</x:f>
        <x:v>2511.886431509582</x:v>
      </x:c>
      <x:c r="U6" s="31" t="n">
        <x:f>IF(T6="","",I6*T6)</x:f>
        <x:v>489062.32067914144</x:v>
      </x:c>
    </x:row>
    <x:row r="7" ht="18" customHeight="1">
      <x:c r="A7" s="24" t="str">
        <x:v>EEZ_262</x:v>
      </x:c>
      <x:c r="B7" s="24" t="str">
        <x:v>Djibouti</x:v>
      </x:c>
      <x:c r="C7" s="24" t="str">
        <x:v>EEZ</x:v>
      </x:c>
      <x:c r="D7" s="30" t="n">
        <x:v>2019</x:v>
      </x:c>
      <x:c r="E7" s="24" t="str">
        <x:v>Euthynnus affinis</x:v>
      </x:c>
      <x:c r="F7" s="24" t="str">
        <x:v>Kawakawa</x:v>
      </x:c>
      <x:c r="G7" s="24" t="str">
        <x:v>Large pelagics (&gt;=90 cm)</x:v>
      </x:c>
      <x:c r="H7" s="24" t="str">
        <x:v>Tuna &amp; billfishes</x:v>
      </x:c>
      <x:c r="I7" s="31" t="n">
        <x:v>184.22000000000003</x:v>
      </x:c>
      <x:c r="J7" s="31" t="n">
        <x:v>184.22000000000003</x:v>
      </x:c>
      <x:c r="K7" s="31" t="n">
        <x:v>0</x:v>
      </x:c>
      <x:c r="L7" s="31" t="n">
        <x:v>184.22000000000003</x:v>
      </x:c>
      <x:c r="M7" s="31" t="n">
        <x:v>0</x:v>
      </x:c>
      <x:c r="N7" s="24" t="str">
        <x:v>euthynnus affinis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Euthynnus affinis</x:v>
      </x:c>
      <x:c r="T7" s="32" t="n">
        <x:f>IF(O7="","",(1/'Metadata'!$B$5)^(O7-1))</x:f>
        <x:v>3162.2776601683795</x:v>
      </x:c>
      <x:c r="U7" s="31" t="n">
        <x:f>IF(T7="","",I7*T7)</x:f>
        <x:v>582554.7905562189</x:v>
      </x:c>
    </x:row>
    <x:row r="8" ht="18" customHeight="1">
      <x:c r="A8" s="24" t="str">
        <x:v>EEZ_262</x:v>
      </x:c>
      <x:c r="B8" s="24" t="str">
        <x:v>Djibouti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146.6695298898</x:v>
      </x:c>
      <x:c r="J8" s="31" t="n">
        <x:v>146.6695298898</x:v>
      </x:c>
      <x:c r="K8" s="31" t="n">
        <x:v>0</x:v>
      </x:c>
      <x:c r="L8" s="31" t="n">
        <x:v>62.7</x:v>
      </x:c>
      <x:c r="M8" s="31" t="n">
        <x:v>83.9695298898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266894.66947239154</x:v>
      </x:c>
    </x:row>
    <x:row r="9" ht="18" customHeight="1">
      <x:c r="A9" s="24" t="str">
        <x:v>EEZ_262</x:v>
      </x:c>
      <x:c r="B9" s="24" t="str">
        <x:v>Djibouti</x:v>
      </x:c>
      <x:c r="C9" s="24" t="str">
        <x:v>EEZ</x:v>
      </x:c>
      <x:c r="D9" s="30" t="n">
        <x:v>2019</x:v>
      </x:c>
      <x:c r="E9" s="24" t="str">
        <x:v>Carcharhinidae</x:v>
      </x:c>
      <x:c r="F9" s="24" t="str">
        <x:v>Requiem sharks</x:v>
      </x:c>
      <x:c r="G9" s="24" t="str">
        <x:v>Large sharks (&gt;=90 cm)</x:v>
      </x:c>
      <x:c r="H9" s="24" t="str">
        <x:v>Sharks &amp; rays</x:v>
      </x:c>
      <x:c r="I9" s="31" t="n">
        <x:v>141.9599999999</x:v>
      </x:c>
      <x:c r="J9" s="31" t="n">
        <x:v>141.9599999999</x:v>
      </x:c>
      <x:c r="K9" s="31" t="n">
        <x:v>0</x:v>
      </x:c>
      <x:c r="L9" s="31" t="n">
        <x:v>141.9599999999</x:v>
      </x:c>
      <x:c r="M9" s="31" t="n">
        <x:v>0</x:v>
      </x:c>
      <x:c r="N9" s="24" t="str">
        <x:v>carcharhinidae</x:v>
      </x:c>
      <x:c r="O9" s="32" t="n">
        <x:v>4.24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Carcharhinidae</x:v>
      </x:c>
      <x:c r="T9" s="32" t="n">
        <x:f>IF(O9="","",(1/'Metadata'!$B$5)^(O9-1))</x:f>
        <x:v>1737.8008287493763</x:v>
      </x:c>
      <x:c r="U9" s="31" t="n">
        <x:f>IF(T9="","",I9*T9)</x:f>
        <x:v>246698.20564908767</x:v>
      </x:c>
    </x:row>
    <x:row r="10" ht="18" customHeight="1">
      <x:c r="A10" s="24" t="str">
        <x:v>EEZ_262</x:v>
      </x:c>
      <x:c r="B10" s="24" t="str">
        <x:v>Djibouti</x:v>
      </x:c>
      <x:c r="C10" s="24" t="str">
        <x:v>EEZ</x:v>
      </x:c>
      <x:c r="D10" s="30" t="n">
        <x:v>2019</x:v>
      </x:c>
      <x:c r="E10" s="24" t="str">
        <x:v>Flavocaranx bajad</x:v>
      </x:c>
      <x:c r="F10" s="24" t="str">
        <x:v>Orangespotted trevally</x:v>
      </x:c>
      <x:c r="G10" s="24" t="str">
        <x:v>Medium reef assoc. fish (30 - 89 cm)</x:v>
      </x:c>
      <x:c r="H10" s="24" t="str">
        <x:v>Perch-likes</x:v>
      </x:c>
      <x:c r="I10" s="31" t="n">
        <x:v>136.2000000001</x:v>
      </x:c>
      <x:c r="J10" s="31" t="n">
        <x:v>136.2000000001</x:v>
      </x:c>
      <x:c r="K10" s="31" t="n">
        <x:v>0</x:v>
      </x:c>
      <x:c r="L10" s="31" t="n">
        <x:v>136.2000000001</x:v>
      </x:c>
      <x:c r="M10" s="31" t="n">
        <x:v>0</x:v>
      </x:c>
      <x:c r="N10" s="24" t="str">
        <x:v>flavocaranx bajad</x:v>
      </x:c>
      <x:c r="O10" s="32" t="n">
        <x:v>4.3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Flavocaranx bajad</x:v>
      </x:c>
      <x:c r="T10" s="32" t="n">
        <x:f>IF(O10="","",(1/'Metadata'!$B$5)^(O10-1))</x:f>
        <x:v>1995.2623149688789</x:v>
      </x:c>
      <x:c r="U10" s="31" t="n">
        <x:f>IF(T10="","",I10*T10)</x:f>
        <x:v>271754.72729896085</x:v>
      </x:c>
    </x:row>
    <x:row r="11" ht="18" customHeight="1">
      <x:c r="A11" s="24" t="str">
        <x:v>EEZ_262</x:v>
      </x:c>
      <x:c r="B11" s="24" t="str">
        <x:v>Djibouti</x:v>
      </x:c>
      <x:c r="C11" s="24" t="str">
        <x:v>EEZ</x:v>
      </x:c>
      <x:c r="D11" s="30" t="n">
        <x:v>2019</x:v>
      </x:c>
      <x:c r="E11" s="24" t="str">
        <x:v>Lethrinidae</x:v>
      </x:c>
      <x:c r="F11" s="24" t="str">
        <x:v>Emperors, scavengers</x:v>
      </x:c>
      <x:c r="G11" s="24" t="str">
        <x:v>Medium reef assoc. fish (30 - 89 cm)</x:v>
      </x:c>
      <x:c r="H11" s="24" t="str">
        <x:v>Perch-likes</x:v>
      </x:c>
      <x:c r="I11" s="31" t="n">
        <x:v>134.895354402</x:v>
      </x:c>
      <x:c r="J11" s="31" t="n">
        <x:v>134.895354402</x:v>
      </x:c>
      <x:c r="K11" s="31" t="n">
        <x:v>0</x:v>
      </x:c>
      <x:c r="L11" s="31" t="n">
        <x:v>0</x:v>
      </x:c>
      <x:c r="M11" s="31" t="n">
        <x:v>134.895354402</x:v>
      </x:c>
      <x:c r="N11" s="24" t="str">
        <x:v>lethrinidae</x:v>
      </x:c>
      <x:c r="O11" s="32" t="n">
        <x:v>3.59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Lethrinidae</x:v>
      </x:c>
      <x:c r="T11" s="32" t="n">
        <x:f>IF(O11="","",(1/'Metadata'!$B$5)^(O11-1))</x:f>
        <x:v>389.04514499428046</x:v>
      </x:c>
      <x:c r="U11" s="31" t="n">
        <x:f>IF(T11="","",I11*T11)</x:f>
        <x:v>52480.382712380946</x:v>
      </x:c>
    </x:row>
    <x:row r="12" ht="18" customHeight="1">
      <x:c r="A12" s="24" t="str">
        <x:v>EEZ_262</x:v>
      </x:c>
      <x:c r="B12" s="24" t="str">
        <x:v>Djibouti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125.04934726009999</x:v>
      </x:c>
      <x:c r="J12" s="31" t="n">
        <x:v>125.04934726009999</x:v>
      </x:c>
      <x:c r="K12" s="31" t="n">
        <x:v>0</x:v>
      </x:c>
      <x:c r="L12" s="31" t="n">
        <x:v>35.3</x:v>
      </x:c>
      <x:c r="M12" s="31" t="n">
        <x:v>89.7493472601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119421.19952021546</x:v>
      </x:c>
    </x:row>
    <x:row r="13" ht="18" customHeight="1">
      <x:c r="A13" s="24" t="str">
        <x:v>EEZ_262</x:v>
      </x:c>
      <x:c r="B13" s="24" t="str">
        <x:v>Djibouti</x:v>
      </x:c>
      <x:c r="C13" s="24" t="str">
        <x:v>EEZ</x:v>
      </x:c>
      <x:c r="D13" s="30" t="n">
        <x:v>2019</x:v>
      </x:c>
      <x:c r="E13" s="24" t="str">
        <x:v>Thunnus tonggol</x:v>
      </x:c>
      <x:c r="F13" s="24" t="str">
        <x:v>Longtail tuna</x:v>
      </x:c>
      <x:c r="G13" s="24" t="str">
        <x:v>Large pelagics (&gt;=90 cm)</x:v>
      </x:c>
      <x:c r="H13" s="24" t="str">
        <x:v>Tuna &amp; billfishes</x:v>
      </x:c>
      <x:c r="I13" s="31" t="n">
        <x:v>116.0000000001</x:v>
      </x:c>
      <x:c r="J13" s="31" t="n">
        <x:v>116.0000000001</x:v>
      </x:c>
      <x:c r="K13" s="31" t="n">
        <x:v>0</x:v>
      </x:c>
      <x:c r="L13" s="31" t="n">
        <x:v>116.0000000001</x:v>
      </x:c>
      <x:c r="M13" s="31" t="n">
        <x:v>0</x:v>
      </x:c>
      <x:c r="N13" s="24" t="str">
        <x:v>thunnus tonggol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tonggol</x:v>
      </x:c>
      <x:c r="T13" s="32" t="n">
        <x:f>IF(O13="","",(1/'Metadata'!$B$5)^(O13-1))</x:f>
        <x:v>3162.2776601683795</x:v>
      </x:c>
      <x:c r="U13" s="31" t="n">
        <x:f>IF(T13="","",I13*T13)</x:f>
        <x:v>366824.20857984823</x:v>
      </x:c>
    </x:row>
    <x:row r="14" ht="18" customHeight="1">
      <x:c r="A14" s="24" t="str">
        <x:v>EEZ_262</x:v>
      </x:c>
      <x:c r="B14" s="24" t="str">
        <x:v>Djibouti</x:v>
      </x:c>
      <x:c r="C14" s="24" t="str">
        <x:v>EEZ</x:v>
      </x:c>
      <x:c r="D14" s="30" t="n">
        <x:v>2019</x:v>
      </x:c>
      <x:c r="E14" s="24" t="str">
        <x:v>Scomberomorus</x:v>
      </x:c>
      <x:c r="F14" s="24" t="str">
        <x:v>Spanish mackerels</x:v>
      </x:c>
      <x:c r="G14" s="24" t="str">
        <x:v>Large pelagics (&gt;=90 cm)</x:v>
      </x:c>
      <x:c r="H14" s="24" t="str">
        <x:v>Perch-likes</x:v>
      </x:c>
      <x:c r="I14" s="31" t="n">
        <x:v>112.8321946668</x:v>
      </x:c>
      <x:c r="J14" s="31" t="n">
        <x:v>112.8321946668</x:v>
      </x:c>
      <x:c r="K14" s="31" t="n">
        <x:v>0</x:v>
      </x:c>
      <x:c r="L14" s="31" t="n">
        <x:v>0</x:v>
      </x:c>
      <x:c r="M14" s="31" t="n">
        <x:v>112.8321946668</x:v>
      </x:c>
      <x:c r="N14" s="24" t="str">
        <x:v>scomberomorus</x:v>
      </x:c>
      <x:c r="O14" s="32" t="n">
        <x:v>4.35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Scomberomorus</x:v>
      </x:c>
      <x:c r="T14" s="32" t="n">
        <x:f>IF(O14="","",(1/'Metadata'!$B$5)^(O14-1))</x:f>
        <x:v>2238.7211385683377</x:v>
      </x:c>
      <x:c r="U14" s="31" t="n">
        <x:f>IF(T14="","",I14*T14)</x:f>
        <x:v>252599.81931162282</x:v>
      </x:c>
    </x:row>
    <x:row r="15" ht="18" customHeight="1">
      <x:c r="A15" s="24" t="str">
        <x:v>EEZ_262</x:v>
      </x:c>
      <x:c r="B15" s="24" t="str">
        <x:v>Djibouti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111.476490695</x:v>
      </x:c>
      <x:c r="J15" s="31" t="n">
        <x:v>111.476490695</x:v>
      </x:c>
      <x:c r="K15" s="31" t="n">
        <x:v>0</x:v>
      </x:c>
      <x:c r="L15" s="31" t="n">
        <x:v>87</x:v>
      </x:c>
      <x:c r="M15" s="31" t="n">
        <x:v>24.476490695000003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280016.2844090747</x:v>
      </x:c>
    </x:row>
    <x:row r="16" ht="18" customHeight="1">
      <x:c r="A16" s="24" t="str">
        <x:v>EEZ_262</x:v>
      </x:c>
      <x:c r="B16" s="24" t="str">
        <x:v>Djibouti</x:v>
      </x:c>
      <x:c r="C16" s="24" t="str">
        <x:v>EEZ</x:v>
      </x:c>
      <x:c r="D16" s="30" t="n">
        <x:v>2019</x:v>
      </x:c>
      <x:c r="E16" s="24" t="str">
        <x:v>Rachycentron canadum</x:v>
      </x:c>
      <x:c r="F16" s="24" t="str">
        <x:v>Cobia</x:v>
      </x:c>
      <x:c r="G16" s="24" t="str">
        <x:v>Large pelagics (&gt;=90 cm)</x:v>
      </x:c>
      <x:c r="H16" s="24" t="str">
        <x:v>Perch-likes</x:v>
      </x:c>
      <x:c r="I16" s="31" t="n">
        <x:v>105.8881853801</x:v>
      </x:c>
      <x:c r="J16" s="31" t="n">
        <x:v>105.8881853801</x:v>
      </x:c>
      <x:c r="K16" s="31" t="n">
        <x:v>0</x:v>
      </x:c>
      <x:c r="L16" s="31" t="n">
        <x:v>56.9</x:v>
      </x:c>
      <x:c r="M16" s="31" t="n">
        <x:v>48.9881853801</x:v>
      </x:c>
      <x:c r="N16" s="24" t="str">
        <x:v>rachycentron canadum</x:v>
      </x:c>
      <x:c r="O16" s="32" t="n">
        <x:v>3.96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Rachycentron canadum</x:v>
      </x:c>
      <x:c r="T16" s="32" t="n">
        <x:f>IF(O16="","",(1/'Metadata'!$B$5)^(O16-1))</x:f>
        <x:v>912.0108393559096</x:v>
      </x:c>
      <x:c r="U16" s="31" t="n">
        <x:f>IF(T16="","",I16*T16)</x:f>
        <x:v>96571.17282637916</x:v>
      </x:c>
    </x:row>
    <x:row r="17" ht="18" customHeight="1">
      <x:c r="A17" s="24" t="str">
        <x:v>EEZ_262</x:v>
      </x:c>
      <x:c r="B17" s="24" t="str">
        <x:v>Djibouti</x:v>
      </x:c>
      <x:c r="C17" s="24" t="str">
        <x:v>EEZ</x:v>
      </x:c>
      <x:c r="D17" s="30" t="n">
        <x:v>2019</x:v>
      </x:c>
      <x:c r="E17" s="24" t="str">
        <x:v>Marine groundfishes not identified</x:v>
      </x:c>
      <x:c r="F17" s="24" t="str">
        <x:v>Groundfishes</x:v>
      </x:c>
      <x:c r="G17" s="24" t="str">
        <x:v>Medium demersals (30 - 89 cm)</x:v>
      </x:c>
      <x:c r="H17" s="24" t="str">
        <x:v>Other fishes &amp; inverts</x:v>
      </x:c>
      <x:c r="I17" s="31" t="n">
        <x:v>99.8877945485</x:v>
      </x:c>
      <x:c r="J17" s="31" t="n">
        <x:v>99.8877945485</x:v>
      </x:c>
      <x:c r="K17" s="31" t="n">
        <x:v>0</x:v>
      </x:c>
      <x:c r="L17" s="31" t="n">
        <x:v>60.82</x:v>
      </x:c>
      <x:c r="M17" s="31" t="n">
        <x:v>39.0677945485</x:v>
      </x:c>
      <x:c r="N17" s="24" t="str">
        <x:v>marine groundfishes not identified</x:v>
      </x:c>
      <x:c r="O17" s="32" t="n">
        <x:v>3.22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Marine groundfishes not identified</x:v>
      </x:c>
      <x:c r="T17" s="32" t="n">
        <x:f>IF(O17="","",(1/'Metadata'!$B$5)^(O17-1))</x:f>
        <x:v>165.95869074375614</x:v>
      </x:c>
      <x:c r="U17" s="31" t="n">
        <x:f>IF(T17="","",I17*T17)</x:f>
        <x:v>16577.24760455036</x:v>
      </x:c>
    </x:row>
    <x:row r="18" ht="18" customHeight="1">
      <x:c r="A18" s="24" t="str">
        <x:v>EEZ_262</x:v>
      </x:c>
      <x:c r="B18" s="24" t="str">
        <x:v>Djibouti</x:v>
      </x:c>
      <x:c r="C18" s="24" t="str">
        <x:v>EEZ</x:v>
      </x:c>
      <x:c r="D18" s="30" t="n">
        <x:v>2019</x:v>
      </x:c>
      <x:c r="E18" s="24" t="str">
        <x:v>Sphyraena jello</x:v>
      </x:c>
      <x:c r="F18" s="24" t="str">
        <x:v>Pickhandle barracuda</x:v>
      </x:c>
      <x:c r="G18" s="24" t="str">
        <x:v>Large reef assoc. fish (&gt;=90 cm)</x:v>
      </x:c>
      <x:c r="H18" s="24" t="str">
        <x:v>Perch-likes</x:v>
      </x:c>
      <x:c r="I18" s="31" t="n">
        <x:v>96</x:v>
      </x:c>
      <x:c r="J18" s="31" t="n">
        <x:v>96</x:v>
      </x:c>
      <x:c r="K18" s="31" t="n">
        <x:v>0</x:v>
      </x:c>
      <x:c r="L18" s="31" t="n">
        <x:v>96</x:v>
      </x:c>
      <x:c r="M18" s="31" t="n">
        <x:v>0</x:v>
      </x:c>
      <x:c r="N18" s="24" t="str">
        <x:v>sphyraena jello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Sphyraena jello</x:v>
      </x:c>
      <x:c r="T18" s="32" t="n">
        <x:f>IF(O18="","",(1/'Metadata'!$B$5)^(O18-1))</x:f>
        <x:v>3162.2776601683795</x:v>
      </x:c>
      <x:c r="U18" s="31" t="n">
        <x:f>IF(T18="","",I18*T18)</x:f>
        <x:v>303578.6553761644</x:v>
      </x:c>
    </x:row>
    <x:row r="19" ht="18" customHeight="1">
      <x:c r="A19" s="24" t="str">
        <x:v>EEZ_262</x:v>
      </x:c>
      <x:c r="B19" s="24" t="str">
        <x:v>Djibouti</x:v>
      </x:c>
      <x:c r="C19" s="24" t="str">
        <x:v>EEZ</x:v>
      </x:c>
      <x:c r="D19" s="30" t="n">
        <x:v>2019</x:v>
      </x:c>
      <x:c r="E19" s="24" t="str">
        <x:v>Lutjanidae</x:v>
      </x:c>
      <x:c r="F19" s="24" t="str">
        <x:v>Snappers</x:v>
      </x:c>
      <x:c r="G19" s="24" t="str">
        <x:v>Medium reef assoc. fish (30 - 89 cm)</x:v>
      </x:c>
      <x:c r="H19" s="24" t="str">
        <x:v>Perch-likes</x:v>
      </x:c>
      <x:c r="I19" s="31" t="n">
        <x:v>86.8989506705</x:v>
      </x:c>
      <x:c r="J19" s="31" t="n">
        <x:v>86.8989506705</x:v>
      </x:c>
      <x:c r="K19" s="31" t="n">
        <x:v>0</x:v>
      </x:c>
      <x:c r="L19" s="31" t="n">
        <x:v>1.4000000001</x:v>
      </x:c>
      <x:c r="M19" s="31" t="n">
        <x:v>85.49895067039999</x:v>
      </x:c>
      <x:c r="N19" s="24" t="str">
        <x:v>lutjanidae</x:v>
      </x:c>
      <x:c r="O19" s="32" t="n">
        <x:v>4.02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Lutjanidae</x:v>
      </x:c>
      <x:c r="T19" s="32" t="n">
        <x:f>IF(O19="","",(1/'Metadata'!$B$5)^(O19-1))</x:f>
        <x:v>1047.1285480508984</x:v>
      </x:c>
      <x:c r="U19" s="31" t="n">
        <x:f>IF(T19="","",I19*T19)</x:f>
        <x:v>90994.37204274732</x:v>
      </x:c>
    </x:row>
    <x:row r="20" ht="18" customHeight="1">
      <x:c r="A20" s="24" t="str">
        <x:v>EEZ_262</x:v>
      </x:c>
      <x:c r="B20" s="24" t="str">
        <x:v>Djibouti</x:v>
      </x:c>
      <x:c r="C20" s="24" t="str">
        <x:v>EEZ</x:v>
      </x:c>
      <x:c r="D20" s="30" t="n">
        <x:v>2019</x:v>
      </x:c>
      <x:c r="E20" s="24" t="str">
        <x:v>Lethrinus mahsena</x:v>
      </x:c>
      <x:c r="F20" s="24" t="str">
        <x:v>Sky emperor</x:v>
      </x:c>
      <x:c r="G20" s="24" t="str">
        <x:v>Medium reef assoc. fish (30 - 89 cm)</x:v>
      </x:c>
      <x:c r="H20" s="24" t="str">
        <x:v>Perch-likes</x:v>
      </x:c>
      <x:c r="I20" s="31" t="n">
        <x:v>81.63</x:v>
      </x:c>
      <x:c r="J20" s="31" t="n">
        <x:v>81.63</x:v>
      </x:c>
      <x:c r="K20" s="31" t="n">
        <x:v>0</x:v>
      </x:c>
      <x:c r="L20" s="31" t="n">
        <x:v>81.63</x:v>
      </x:c>
      <x:c r="M20" s="31" t="n">
        <x:v>0</x:v>
      </x:c>
      <x:c r="N20" s="24" t="str">
        <x:v>lethrinus mahsena</x:v>
      </x:c>
      <x:c r="O20" s="32" t="n">
        <x:v>3.43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Lethrinus mahsena</x:v>
      </x:c>
      <x:c r="T20" s="32" t="n">
        <x:f>IF(O20="","",(1/'Metadata'!$B$5)^(O20-1))</x:f>
        <x:v>269.1534803926917</x:v>
      </x:c>
      <x:c r="U20" s="31" t="n">
        <x:f>IF(T20="","",I20*T20)</x:f>
        <x:v>21970.99860445542</x:v>
      </x:c>
    </x:row>
    <x:row r="21" ht="18" customHeight="1">
      <x:c r="A21" s="24" t="str">
        <x:v>EEZ_262</x:v>
      </x:c>
      <x:c r="B21" s="24" t="str">
        <x:v>Djibouti</x:v>
      </x:c>
      <x:c r="C21" s="24" t="str">
        <x:v>EEZ</x:v>
      </x:c>
      <x:c r="D21" s="30" t="n">
        <x:v>2019</x:v>
      </x:c>
      <x:c r="E21" s="24" t="str">
        <x:v>Lethrinus</x:v>
      </x:c>
      <x:c r="F21" s="24" t="str">
        <x:v>Emperors</x:v>
      </x:c>
      <x:c r="G21" s="24" t="str">
        <x:v>Medium reef assoc. fish (30 - 89 cm)</x:v>
      </x:c>
      <x:c r="H21" s="24" t="str">
        <x:v>Perch-likes</x:v>
      </x:c>
      <x:c r="I21" s="31" t="n">
        <x:v>79.4</x:v>
      </x:c>
      <x:c r="J21" s="31" t="n">
        <x:v>79.4</x:v>
      </x:c>
      <x:c r="K21" s="31" t="n">
        <x:v>0</x:v>
      </x:c>
      <x:c r="L21" s="31" t="n">
        <x:v>79.4</x:v>
      </x:c>
      <x:c r="M21" s="31" t="n">
        <x:v>0</x:v>
      </x:c>
      <x:c r="N21" s="24" t="str">
        <x:v>lethrinus</x:v>
      </x:c>
      <x:c r="O21" s="32" t="n">
        <x:v>3.75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Lethrinus</x:v>
      </x:c>
      <x:c r="T21" s="32" t="n">
        <x:f>IF(O21="","",(1/'Metadata'!$B$5)^(O21-1))</x:f>
        <x:v>562.341325190349</x:v>
      </x:c>
      <x:c r="U21" s="31" t="n">
        <x:f>IF(T21="","",I21*T21)</x:f>
        <x:v>44649.901220113716</x:v>
      </x:c>
    </x:row>
    <x:row r="22" ht="18" customHeight="1">
      <x:c r="A22" s="24" t="str">
        <x:v>EEZ_262</x:v>
      </x:c>
      <x:c r="B22" s="24" t="str">
        <x:v>Djibouti</x:v>
      </x:c>
      <x:c r="C22" s="24" t="str">
        <x:v>EEZ</x:v>
      </x:c>
      <x:c r="D22" s="30" t="n">
        <x:v>2019</x:v>
      </x:c>
      <x:c r="E22" s="24" t="str">
        <x:v>Scomberoides commersonnianus</x:v>
      </x:c>
      <x:c r="F22" s="24" t="str">
        <x:v>Talang queenfish</x:v>
      </x:c>
      <x:c r="G22" s="24" t="str">
        <x:v>Large reef assoc. fish (&gt;=90 cm)</x:v>
      </x:c>
      <x:c r="H22" s="24" t="str">
        <x:v>Perch-likes</x:v>
      </x:c>
      <x:c r="I22" s="31" t="n">
        <x:v>78.32</x:v>
      </x:c>
      <x:c r="J22" s="31" t="n">
        <x:v>78.32</x:v>
      </x:c>
      <x:c r="K22" s="31" t="n">
        <x:v>0</x:v>
      </x:c>
      <x:c r="L22" s="31" t="n">
        <x:v>78.32</x:v>
      </x:c>
      <x:c r="M22" s="31" t="n">
        <x:v>0</x:v>
      </x:c>
      <x:c r="N22" s="24" t="str">
        <x:v>scomberoides commersonnianus</x:v>
      </x:c>
      <x:c r="O22" s="32" t="n">
        <x:v>4.48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Scomberoides commersonnianus</x:v>
      </x:c>
      <x:c r="T22" s="32" t="n">
        <x:f>IF(O22="","",(1/'Metadata'!$B$5)^(O22-1))</x:f>
        <x:v>3019.951720402019</x:v>
      </x:c>
      <x:c r="U22" s="31" t="n">
        <x:f>IF(T22="","",I22*T22)</x:f>
        <x:v>236522.6187418861</x:v>
      </x:c>
    </x:row>
    <x:row r="23" ht="18" customHeight="1">
      <x:c r="A23" s="24" t="str">
        <x:v>EEZ_262</x:v>
      </x:c>
      <x:c r="B23" s="24" t="str">
        <x:v>Djibouti</x:v>
      </x:c>
      <x:c r="C23" s="24" t="str">
        <x:v>EEZ</x:v>
      </x:c>
      <x:c r="D23" s="30" t="n">
        <x:v>2019</x:v>
      </x:c>
      <x:c r="E23" s="24" t="str">
        <x:v>Epinephelus areolatus</x:v>
      </x:c>
      <x:c r="F23" s="24" t="str">
        <x:v>Areolate grouper</x:v>
      </x:c>
      <x:c r="G23" s="24" t="str">
        <x:v>Medium reef assoc. fish (30 - 89 cm)</x:v>
      </x:c>
      <x:c r="H23" s="24" t="str">
        <x:v>Perch-likes</x:v>
      </x:c>
      <x:c r="I23" s="31" t="n">
        <x:v>68.84</x:v>
      </x:c>
      <x:c r="J23" s="31" t="n">
        <x:v>68.84</x:v>
      </x:c>
      <x:c r="K23" s="31" t="n">
        <x:v>0</x:v>
      </x:c>
      <x:c r="L23" s="31" t="n">
        <x:v>68.84</x:v>
      </x:c>
      <x:c r="M23" s="31" t="n">
        <x:v>0</x:v>
      </x:c>
      <x:c r="N23" s="24" t="str">
        <x:v>epinephelus areolatus</x:v>
      </x:c>
      <x:c r="O23" s="32" t="n">
        <x:v>3.74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Epinephelus areolatus</x:v>
      </x:c>
      <x:c r="T23" s="32" t="n">
        <x:f>IF(O23="","",(1/'Metadata'!$B$5)^(O23-1))</x:f>
        <x:v>549.5408738576248</x:v>
      </x:c>
      <x:c r="U23" s="31" t="n">
        <x:f>IF(T23="","",I23*T23)</x:f>
        <x:v>37830.39375635889</x:v>
      </x:c>
    </x:row>
    <x:row r="24" ht="18" customHeight="1">
      <x:c r="A24" s="24" t="str">
        <x:v>EEZ_262</x:v>
      </x:c>
      <x:c r="B24" s="24" t="str">
        <x:v>Djibouti</x:v>
      </x:c>
      <x:c r="C24" s="24" t="str">
        <x:v>EEZ</x:v>
      </x:c>
      <x:c r="D24" s="30" t="n">
        <x:v>2019</x:v>
      </x:c>
      <x:c r="E24" s="24" t="str">
        <x:v>Sphyraena barracuda</x:v>
      </x:c>
      <x:c r="F24" s="24" t="str">
        <x:v>Great barracuda</x:v>
      </x:c>
      <x:c r="G24" s="24" t="str">
        <x:v>Large pelagics (&gt;=90 cm)</x:v>
      </x:c>
      <x:c r="H24" s="24" t="str">
        <x:v>Perch-likes</x:v>
      </x:c>
      <x:c r="I24" s="31" t="n">
        <x:v>60.7</x:v>
      </x:c>
      <x:c r="J24" s="31" t="n">
        <x:v>60.7</x:v>
      </x:c>
      <x:c r="K24" s="31" t="n">
        <x:v>0</x:v>
      </x:c>
      <x:c r="L24" s="31" t="n">
        <x:v>60.7</x:v>
      </x:c>
      <x:c r="M24" s="31" t="n">
        <x:v>0</x:v>
      </x:c>
      <x:c r="N24" s="24" t="str">
        <x:v>sphyraena barracuda</x:v>
      </x:c>
      <x:c r="O24" s="32" t="n">
        <x:v>4.49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Sphyraena barracuda</x:v>
      </x:c>
      <x:c r="T24" s="32" t="n">
        <x:f>IF(O24="","",(1/'Metadata'!$B$5)^(O24-1))</x:f>
        <x:v>3090.295432513592</x:v>
      </x:c>
      <x:c r="U24" s="31" t="n">
        <x:f>IF(T24="","",I24*T24)</x:f>
        <x:v>187580.93275357503</x:v>
      </x:c>
    </x:row>
    <x:row r="25" ht="18" customHeight="1">
      <x:c r="A25" s="24" t="str">
        <x:v>EEZ_262</x:v>
      </x:c>
      <x:c r="B25" s="24" t="str">
        <x:v>Djibouti</x:v>
      </x:c>
      <x:c r="C25" s="24" t="str">
        <x:v>EEZ</x:v>
      </x:c>
      <x:c r="D25" s="30" t="n">
        <x:v>2019</x:v>
      </x:c>
      <x:c r="E25" s="24" t="str">
        <x:v>Caranx ignobilis</x:v>
      </x:c>
      <x:c r="F25" s="24" t="str">
        <x:v>Giant trevally</x:v>
      </x:c>
      <x:c r="G25" s="24" t="str">
        <x:v>Large reef assoc. fish (&gt;=90 cm)</x:v>
      </x:c>
      <x:c r="H25" s="24" t="str">
        <x:v>Perch-likes</x:v>
      </x:c>
      <x:c r="I25" s="31" t="n">
        <x:v>59.629999999999995</x:v>
      </x:c>
      <x:c r="J25" s="31" t="n">
        <x:v>59.629999999999995</x:v>
      </x:c>
      <x:c r="K25" s="31" t="n">
        <x:v>0</x:v>
      </x:c>
      <x:c r="L25" s="31" t="n">
        <x:v>59.629999999999995</x:v>
      </x:c>
      <x:c r="M25" s="31" t="n">
        <x:v>0</x:v>
      </x:c>
      <x:c r="N25" s="24" t="str">
        <x:v>caranx ignobilis</x:v>
      </x:c>
      <x:c r="O25" s="32" t="n">
        <x:v>4.22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Caranx ignobilis</x:v>
      </x:c>
      <x:c r="T25" s="32" t="n">
        <x:f>IF(O25="","",(1/'Metadata'!$B$5)^(O25-1))</x:f>
        <x:v>1659.5869074375596</x:v>
      </x:c>
      <x:c r="U25" s="31" t="n">
        <x:f>IF(T25="","",I25*T25)</x:f>
        <x:v>98961.16729050167</x:v>
      </x:c>
    </x:row>
    <x:row r="26" ht="18" customHeight="1">
      <x:c r="A26" s="24" t="str">
        <x:v>EEZ_262</x:v>
      </x:c>
      <x:c r="B26" s="24" t="str">
        <x:v>Djibouti</x:v>
      </x:c>
      <x:c r="C26" s="24" t="str">
        <x:v>EEZ</x:v>
      </x:c>
      <x:c r="D26" s="30" t="n">
        <x:v>2019</x:v>
      </x:c>
      <x:c r="E26" s="24" t="str">
        <x:v>Pristipomoides</x:v>
      </x:c>
      <x:c r="F26" s="24" t="str">
        <x:v>Jobfishes</x:v>
      </x:c>
      <x:c r="G26" s="24" t="str">
        <x:v>Medium demersals (30 - 89 cm)</x:v>
      </x:c>
      <x:c r="H26" s="24" t="str">
        <x:v>Perch-likes</x:v>
      </x:c>
      <x:c r="I26" s="31" t="n">
        <x:v>58.000000000099995</x:v>
      </x:c>
      <x:c r="J26" s="31" t="n">
        <x:v>58.000000000099995</x:v>
      </x:c>
      <x:c r="K26" s="31" t="n">
        <x:v>0</x:v>
      </x:c>
      <x:c r="L26" s="31" t="n">
        <x:v>58.000000000099995</x:v>
      </x:c>
      <x:c r="M26" s="31" t="n">
        <x:v>0</x:v>
      </x:c>
      <x:c r="N26" s="24" t="str">
        <x:v>pristipomoides</x:v>
      </x:c>
      <x:c r="O26" s="32" t="n">
        <x:v>3.91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Pristipomoides</x:v>
      </x:c>
      <x:c r="T26" s="32" t="n">
        <x:f>IF(O26="","",(1/'Metadata'!$B$5)^(O26-1))</x:f>
        <x:v>812.8305161640995</x:v>
      </x:c>
      <x:c r="U26" s="31" t="n">
        <x:f>IF(T26="","",I26*T26)</x:f>
        <x:v>47144.16993759905</x:v>
      </x:c>
    </x:row>
    <x:row r="27" ht="18" customHeight="1">
      <x:c r="A27" s="24" t="str">
        <x:v>EEZ_262</x:v>
      </x:c>
      <x:c r="B27" s="24" t="str">
        <x:v>Djibouti</x:v>
      </x:c>
      <x:c r="C27" s="24" t="str">
        <x:v>EEZ</x:v>
      </x:c>
      <x:c r="D27" s="30" t="n">
        <x:v>2019</x:v>
      </x:c>
      <x:c r="E27" s="24" t="str">
        <x:v>Epinephelus chlorostigma</x:v>
      </x:c>
      <x:c r="F27" s="24" t="str">
        <x:v>Brownspotted grouper</x:v>
      </x:c>
      <x:c r="G27" s="24" t="str">
        <x:v>Medium reef assoc. fish (30 - 89 cm)</x:v>
      </x:c>
      <x:c r="H27" s="24" t="str">
        <x:v>Perch-likes</x:v>
      </x:c>
      <x:c r="I27" s="31" t="n">
        <x:v>42.6</x:v>
      </x:c>
      <x:c r="J27" s="31" t="n">
        <x:v>42.6</x:v>
      </x:c>
      <x:c r="K27" s="31" t="n">
        <x:v>0</x:v>
      </x:c>
      <x:c r="L27" s="31" t="n">
        <x:v>42.6</x:v>
      </x:c>
      <x:c r="M27" s="31" t="n">
        <x:v>0</x:v>
      </x:c>
      <x:c r="N27" s="24" t="str">
        <x:v>epinephelus chlorostigma</x:v>
      </x:c>
      <x:c r="O27" s="32" t="n">
        <x:v>3.99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Epinephelus chlorostigma</x:v>
      </x:c>
      <x:c r="T27" s="32" t="n">
        <x:f>IF(O27="","",(1/'Metadata'!$B$5)^(O27-1))</x:f>
        <x:v>977.2372209558112</x:v>
      </x:c>
      <x:c r="U27" s="31" t="n">
        <x:f>IF(T27="","",I27*T27)</x:f>
        <x:v>41630.30561271756</x:v>
      </x:c>
    </x:row>
    <x:row r="28" ht="18" customHeight="1">
      <x:c r="A28" s="24" t="str">
        <x:v>EEZ_262</x:v>
      </x:c>
      <x:c r="B28" s="24" t="str">
        <x:v>Djibouti</x:v>
      </x:c>
      <x:c r="C28" s="24" t="str">
        <x:v>EEZ</x:v>
      </x:c>
      <x:c r="D28" s="30" t="n">
        <x:v>2019</x:v>
      </x:c>
      <x:c r="E28" s="24" t="str">
        <x:v>Seriola dumerili</x:v>
      </x:c>
      <x:c r="F28" s="24" t="str">
        <x:v>Greater amberjack</x:v>
      </x:c>
      <x:c r="G28" s="24" t="str">
        <x:v>Large reef assoc. fish (&gt;=90 cm)</x:v>
      </x:c>
      <x:c r="H28" s="24" t="str">
        <x:v>Perch-likes</x:v>
      </x:c>
      <x:c r="I28" s="31" t="n">
        <x:v>41.5</x:v>
      </x:c>
      <x:c r="J28" s="31" t="n">
        <x:v>41.5</x:v>
      </x:c>
      <x:c r="K28" s="31" t="n">
        <x:v>0</x:v>
      </x:c>
      <x:c r="L28" s="31" t="n">
        <x:v>41.5</x:v>
      </x:c>
      <x:c r="M28" s="31" t="n">
        <x:v>0</x:v>
      </x:c>
      <x:c r="N28" s="24" t="str">
        <x:v>seriola dumerili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Seriola dumerili</x:v>
      </x:c>
      <x:c r="T28" s="32" t="n">
        <x:f>IF(O28="","",(1/'Metadata'!$B$5)^(O28-1))</x:f>
        <x:v>3162.2776601683795</x:v>
      </x:c>
      <x:c r="U28" s="31" t="n">
        <x:f>IF(T28="","",I28*T28)</x:f>
        <x:v>131234.52289698774</x:v>
      </x:c>
    </x:row>
    <x:row r="29" ht="18" customHeight="1">
      <x:c r="A29" s="24" t="str">
        <x:v>EEZ_262</x:v>
      </x:c>
      <x:c r="B29" s="24" t="str">
        <x:v>Djibouti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35.151827680000004</x:v>
      </x:c>
      <x:c r="J29" s="31" t="n">
        <x:v>35.151827680000004</x:v>
      </x:c>
      <x:c r="K29" s="31" t="n">
        <x:v>0</x:v>
      </x:c>
      <x:c r="L29" s="31" t="n">
        <x:v>0</x:v>
      </x:c>
      <x:c r="M29" s="31" t="n">
        <x:v>35.151827680000004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39440.99935940256</x:v>
      </x:c>
    </x:row>
    <x:row r="30" ht="18" customHeight="1">
      <x:c r="A30" s="24" t="str">
        <x:v>EEZ_262</x:v>
      </x:c>
      <x:c r="B30" s="24" t="str">
        <x:v>Djibouti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27.1281105149</x:v>
      </x:c>
      <x:c r="J30" s="31" t="n">
        <x:v>27.1281105149</x:v>
      </x:c>
      <x:c r="K30" s="31" t="n">
        <x:v>0</x:v>
      </x:c>
      <x:c r="L30" s="31" t="n">
        <x:v>0</x:v>
      </x:c>
      <x:c r="M30" s="31" t="n">
        <x:v>27.1281105149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18768.067036719473</x:v>
      </x:c>
    </x:row>
    <x:row r="31" ht="18" customHeight="1">
      <x:c r="A31" s="24" t="str">
        <x:v>EEZ_262</x:v>
      </x:c>
      <x:c r="B31" s="24" t="str">
        <x:v>Djibouti</x:v>
      </x:c>
      <x:c r="C31" s="24" t="str">
        <x:v>EEZ</x:v>
      </x:c>
      <x:c r="D31" s="30" t="n">
        <x:v>2019</x:v>
      </x:c>
      <x:c r="E31" s="24" t="str">
        <x:v>Mugilidae</x:v>
      </x:c>
      <x:c r="F31" s="24" t="str">
        <x:v>Mullets, grey mullets</x:v>
      </x:c>
      <x:c r="G31" s="24" t="str">
        <x:v>Medium reef assoc. fish (30 - 89 cm)</x:v>
      </x:c>
      <x:c r="H31" s="24" t="str">
        <x:v>Perch-likes</x:v>
      </x:c>
      <x:c r="I31" s="31" t="n">
        <x:v>24.6</x:v>
      </x:c>
      <x:c r="J31" s="31" t="n">
        <x:v>24.6</x:v>
      </x:c>
      <x:c r="K31" s="31" t="n">
        <x:v>0</x:v>
      </x:c>
      <x:c r="L31" s="31" t="n">
        <x:v>24.6</x:v>
      </x:c>
      <x:c r="M31" s="31" t="n">
        <x:v>0</x:v>
      </x:c>
      <x:c r="N31" s="24" t="str">
        <x:v>mugilidae</x:v>
      </x:c>
      <x:c r="O31" s="32" t="n">
        <x:v>2.53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Mugilidae</x:v>
      </x:c>
      <x:c r="T31" s="32" t="n">
        <x:f>IF(O31="","",(1/'Metadata'!$B$5)^(O31-1))</x:f>
        <x:v>33.88441561392024</x:v>
      </x:c>
      <x:c r="U31" s="31" t="n">
        <x:f>IF(T31="","",I31*T31)</x:f>
        <x:v>833.5566241024379</x:v>
      </x:c>
    </x:row>
    <x:row r="32" ht="18" customHeight="1">
      <x:c r="A32" s="24" t="str">
        <x:v>EEZ_262</x:v>
      </x:c>
      <x:c r="B32" s="24" t="str">
        <x:v>Djibouti</x:v>
      </x:c>
      <x:c r="C32" s="24" t="str">
        <x:v>EEZ</x:v>
      </x:c>
      <x:c r="D32" s="30" t="n">
        <x:v>2019</x:v>
      </x:c>
      <x:c r="E32" s="24" t="str">
        <x:v>Epinephelus polyphekadion</x:v>
      </x:c>
      <x:c r="F32" s="24" t="str">
        <x:v>Camouflage grouper</x:v>
      </x:c>
      <x:c r="G32" s="24" t="str">
        <x:v>Large reef assoc. fish (&gt;=90 cm)</x:v>
      </x:c>
      <x:c r="H32" s="24" t="str">
        <x:v>Perch-likes</x:v>
      </x:c>
      <x:c r="I32" s="31" t="n">
        <x:v>19.7</x:v>
      </x:c>
      <x:c r="J32" s="31" t="n">
        <x:v>19.7</x:v>
      </x:c>
      <x:c r="K32" s="31" t="n">
        <x:v>0</x:v>
      </x:c>
      <x:c r="L32" s="31" t="n">
        <x:v>19.7</x:v>
      </x:c>
      <x:c r="M32" s="31" t="n">
        <x:v>0</x:v>
      </x:c>
      <x:c r="N32" s="24" t="str">
        <x:v>epinephelus polyphekadion</x:v>
      </x:c>
      <x:c r="O32" s="32" t="n">
        <x:v>3.99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Epinephelus polyphekadion</x:v>
      </x:c>
      <x:c r="T32" s="32" t="n">
        <x:f>IF(O32="","",(1/'Metadata'!$B$5)^(O32-1))</x:f>
        <x:v>977.2372209558112</x:v>
      </x:c>
      <x:c r="U32" s="31" t="n">
        <x:f>IF(T32="","",I32*T32)</x:f>
        <x:v>19251.57325282948</x:v>
      </x:c>
    </x:row>
    <x:row r="33" ht="18" customHeight="1">
      <x:c r="A33" s="24" t="str">
        <x:v>EEZ_262</x:v>
      </x:c>
      <x:c r="B33" s="24" t="str">
        <x:v>Djibouti</x:v>
      </x:c>
      <x:c r="C33" s="24" t="str">
        <x:v>EEZ</x:v>
      </x:c>
      <x:c r="D33" s="30" t="n">
        <x:v>2019</x:v>
      </x:c>
      <x:c r="E33" s="24" t="str">
        <x:v>Ariidae</x:v>
      </x:c>
      <x:c r="F33" s="24" t="str">
        <x:v>Sea catfishes, coblers</x:v>
      </x:c>
      <x:c r="G33" s="24" t="str">
        <x:v>Medium demersals (30 - 89 cm)</x:v>
      </x:c>
      <x:c r="H33" s="24" t="str">
        <x:v>Other fishes &amp; inverts</x:v>
      </x:c>
      <x:c r="I33" s="31" t="n">
        <x:v>17.6</x:v>
      </x:c>
      <x:c r="J33" s="31" t="n">
        <x:v>17.6</x:v>
      </x:c>
      <x:c r="K33" s="31" t="n">
        <x:v>0</x:v>
      </x:c>
      <x:c r="L33" s="31" t="n">
        <x:v>17.6</x:v>
      </x:c>
      <x:c r="M33" s="31" t="n">
        <x:v>0</x:v>
      </x:c>
      <x:c r="N33" s="24" t="str">
        <x:v>ariidae</x:v>
      </x:c>
      <x:c r="O33" s="32" t="n">
        <x:v>3.48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Ariidae</x:v>
      </x:c>
      <x:c r="T33" s="32" t="n">
        <x:f>IF(O33="","",(1/'Metadata'!$B$5)^(O33-1))</x:f>
        <x:v>301.9951720402016</x:v>
      </x:c>
      <x:c r="U33" s="31" t="n">
        <x:f>IF(T33="","",I33*T33)</x:f>
        <x:v>5315.115027907549</x:v>
      </x:c>
    </x:row>
    <x:row r="34" ht="18" customHeight="1">
      <x:c r="A34" s="24" t="str">
        <x:v>EEZ_262</x:v>
      </x:c>
      <x:c r="B34" s="24" t="str">
        <x:v>Djibouti</x:v>
      </x:c>
      <x:c r="C34" s="24" t="str">
        <x:v>EEZ</x:v>
      </x:c>
      <x:c r="D34" s="30" t="n">
        <x:v>2019</x:v>
      </x:c>
      <x:c r="E34" s="24" t="str">
        <x:v>Lutjanus bohar</x:v>
      </x:c>
      <x:c r="F34" s="24" t="str">
        <x:v>Two-spot red snapper</x:v>
      </x:c>
      <x:c r="G34" s="24" t="str">
        <x:v>Medium reef assoc. fish (30 - 89 cm)</x:v>
      </x:c>
      <x:c r="H34" s="24" t="str">
        <x:v>Perch-likes</x:v>
      </x:c>
      <x:c r="I34" s="31" t="n">
        <x:v>12.700000000000001</x:v>
      </x:c>
      <x:c r="J34" s="31" t="n">
        <x:v>12.700000000000001</x:v>
      </x:c>
      <x:c r="K34" s="31" t="n">
        <x:v>0</x:v>
      </x:c>
      <x:c r="L34" s="31" t="n">
        <x:v>12.700000000000001</x:v>
      </x:c>
      <x:c r="M34" s="31" t="n">
        <x:v>0</x:v>
      </x:c>
      <x:c r="N34" s="24" t="str">
        <x:v>lutjanus bohar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bohar</x:v>
      </x:c>
      <x:c r="T34" s="32" t="n">
        <x:f>IF(O34="","",(1/'Metadata'!$B$5)^(O34-1))</x:f>
        <x:v>1862.0871366628655</x:v>
      </x:c>
      <x:c r="U34" s="31" t="n">
        <x:f>IF(T34="","",I34*T34)</x:f>
        <x:v>23648.506635618392</x:v>
      </x:c>
    </x:row>
    <x:row r="35" ht="18" customHeight="1">
      <x:c r="A35" s="24" t="str">
        <x:v>EEZ_262</x:v>
      </x:c>
      <x:c r="B35" s="24" t="str">
        <x:v>Djibouti</x:v>
      </x:c>
      <x:c r="C35" s="24" t="str">
        <x:v>EEZ</x:v>
      </x:c>
      <x:c r="D35" s="30" t="n">
        <x:v>2019</x:v>
      </x:c>
      <x:c r="E35" s="24" t="str">
        <x:v>Istiophoridae</x:v>
      </x:c>
      <x:c r="F35" s="24" t="str">
        <x:v>Billfishes</x:v>
      </x:c>
      <x:c r="G35" s="24" t="str">
        <x:v>Large pelagics (&gt;=90 cm)</x:v>
      </x:c>
      <x:c r="H35" s="24" t="str">
        <x:v>Tuna &amp; billfishes</x:v>
      </x:c>
      <x:c r="I35" s="31" t="n">
        <x:v>10.7000000001</x:v>
      </x:c>
      <x:c r="J35" s="31" t="n">
        <x:v>10.7000000001</x:v>
      </x:c>
      <x:c r="K35" s="31" t="n">
        <x:v>0</x:v>
      </x:c>
      <x:c r="L35" s="31" t="n">
        <x:v>10.7000000001</x:v>
      </x:c>
      <x:c r="M35" s="31" t="n">
        <x:v>0</x:v>
      </x:c>
      <x:c r="N35" s="24" t="str">
        <x:v>istiophoridae</x:v>
      </x:c>
      <x:c r="O35" s="32" t="n">
        <x:v>4.48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Istiophoridae</x:v>
      </x:c>
      <x:c r="T35" s="32" t="n">
        <x:f>IF(O35="","",(1/'Metadata'!$B$5)^(O35-1))</x:f>
        <x:v>3019.951720402019</x:v>
      </x:c>
      <x:c r="U35" s="31" t="n">
        <x:f>IF(T35="","",I35*T35)</x:f>
        <x:v>32313.483408603595</x:v>
      </x:c>
    </x:row>
    <x:row r="36" ht="18" customHeight="1">
      <x:c r="A36" s="24" t="str">
        <x:v>EEZ_262</x:v>
      </x:c>
      <x:c r="B36" s="24" t="str">
        <x:v>Djibouti</x:v>
      </x:c>
      <x:c r="C36" s="24" t="str">
        <x:v>EEZ</x:v>
      </x:c>
      <x:c r="D36" s="30" t="n">
        <x:v>2019</x:v>
      </x:c>
      <x:c r="E36" s="24" t="str">
        <x:v>Trichiurus lepturus</x:v>
      </x:c>
      <x:c r="F36" s="24" t="str">
        <x:v>Largehead hairtail</x:v>
      </x:c>
      <x:c r="G36" s="24" t="str">
        <x:v>Large benthopelagics (&gt;=90 cm)</x:v>
      </x:c>
      <x:c r="H36" s="24" t="str">
        <x:v>Perch-likes</x:v>
      </x:c>
      <x:c r="I36" s="31" t="n">
        <x:v>10.3</x:v>
      </x:c>
      <x:c r="J36" s="31" t="n">
        <x:v>10.3</x:v>
      </x:c>
      <x:c r="K36" s="31" t="n">
        <x:v>0</x:v>
      </x:c>
      <x:c r="L36" s="31" t="n">
        <x:v>10.3</x:v>
      </x:c>
      <x:c r="M36" s="31" t="n">
        <x:v>0</x:v>
      </x:c>
      <x:c r="N36" s="24" t="str">
        <x:v>trichiurus lepturus</x:v>
      </x:c>
      <x:c r="O36" s="32" t="n">
        <x:v>4.42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Trichiurus lepturus</x:v>
      </x:c>
      <x:c r="T36" s="32" t="n">
        <x:f>IF(O36="","",(1/'Metadata'!$B$5)^(O36-1))</x:f>
        <x:v>2630.2679918953813</x:v>
      </x:c>
      <x:c r="U36" s="31" t="n">
        <x:f>IF(T36="","",I36*T36)</x:f>
        <x:v>27091.76031652243</x:v>
      </x:c>
    </x:row>
    <x:row r="37" ht="18" customHeight="1">
      <x:c r="A37" s="24" t="str">
        <x:v>EEZ_262</x:v>
      </x:c>
      <x:c r="B37" s="24" t="str">
        <x:v>Djibouti</x:v>
      </x:c>
      <x:c r="C37" s="24" t="str">
        <x:v>EEZ</x:v>
      </x:c>
      <x:c r="D37" s="30" t="n">
        <x:v>2019</x:v>
      </x:c>
      <x:c r="E37" s="24" t="str">
        <x:v>Lutjanus argentimaculatus</x:v>
      </x:c>
      <x:c r="F37" s="24" t="str">
        <x:v>Mangrove red snapper</x:v>
      </x:c>
      <x:c r="G37" s="24" t="str">
        <x:v>Large reef assoc. fish (&gt;=90 cm)</x:v>
      </x:c>
      <x:c r="H37" s="24" t="str">
        <x:v>Perch-likes</x:v>
      </x:c>
      <x:c r="I37" s="31" t="n">
        <x:v>10.200000000100001</x:v>
      </x:c>
      <x:c r="J37" s="31" t="n">
        <x:v>10.200000000100001</x:v>
      </x:c>
      <x:c r="K37" s="31" t="n">
        <x:v>0</x:v>
      </x:c>
      <x:c r="L37" s="31" t="n">
        <x:v>10.200000000100001</x:v>
      </x:c>
      <x:c r="M37" s="31" t="n">
        <x:v>0</x:v>
      </x:c>
      <x:c r="N37" s="24" t="str">
        <x:v>lutjanus argentimaculatus</x:v>
      </x:c>
      <x:c r="O37" s="32" t="n">
        <x:v>3.58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Lutjanus argentimaculatus</x:v>
      </x:c>
      <x:c r="T37" s="32" t="n">
        <x:f>IF(O37="","",(1/'Metadata'!$B$5)^(O37-1))</x:f>
        <x:v>380.1893963205613</x:v>
      </x:c>
      <x:c r="U37" s="31" t="n">
        <x:f>IF(T37="","",I37*T37)</x:f>
        <x:v>3877.9318425077445</x:v>
      </x:c>
    </x:row>
    <x:row r="38" ht="18" customHeight="1">
      <x:c r="A38" s="24" t="str">
        <x:v>EEZ_262</x:v>
      </x:c>
      <x:c r="B38" s="24" t="str">
        <x:v>Djibouti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9.7053863915</x:v>
      </x:c>
      <x:c r="J38" s="31" t="n">
        <x:v>9.7053863915</x:v>
      </x:c>
      <x:c r="K38" s="31" t="n">
        <x:v>0</x:v>
      </x:c>
      <x:c r="L38" s="31" t="n">
        <x:v>0</x:v>
      </x:c>
      <x:c r="M38" s="31" t="n">
        <x:v>9.7053863915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2172.765367262455</x:v>
      </x:c>
    </x:row>
    <x:row r="39" ht="18" customHeight="1">
      <x:c r="A39" s="24" t="str">
        <x:v>EEZ_262</x:v>
      </x:c>
      <x:c r="B39" s="24" t="str">
        <x:v>Djibouti</x:v>
      </x:c>
      <x:c r="C39" s="24" t="str">
        <x:v>EEZ</x:v>
      </x:c>
      <x:c r="D39" s="30" t="n">
        <x:v>2019</x:v>
      </x:c>
      <x:c r="E39" s="24" t="str">
        <x:v>Miscellaneous marine crustaceans</x:v>
      </x:c>
      <x:c r="F39" s="24" t="str">
        <x:v>Marine crabs, shrimps, lobsters nei</x:v>
      </x:c>
      <x:c r="G39" s="24" t="str">
        <x:v>Shrimps</x:v>
      </x:c>
      <x:c r="H39" s="24" t="str">
        <x:v>Crustaceans</x:v>
      </x:c>
      <x:c r="I39" s="31" t="n">
        <x:v>7.105156658</x:v>
      </x:c>
      <x:c r="J39" s="31" t="n">
        <x:v>7.105156658</x:v>
      </x:c>
      <x:c r="K39" s="31" t="n">
        <x:v>0</x:v>
      </x:c>
      <x:c r="L39" s="31" t="n">
        <x:v>0</x:v>
      </x:c>
      <x:c r="M39" s="31" t="n">
        <x:v>7.105156658</x:v>
      </x:c>
      <x:c r="N39" s="24" t="str">
        <x:v>miscellaneous marine crustaceans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Miscellaneous marine crustaceans</x:v>
      </x:c>
      <x:c r="T39" s="32" t="n">
        <x:f>IF(O39="","",(1/'Metadata'!$B$5)^(O39-1))</x:f>
        <x:v>50.11872336272725</x:v>
      </x:c>
      <x:c r="U39" s="31" t="n">
        <x:f>IF(T39="","",I39*T39)</x:f>
        <x:v>356.1013809911417</x:v>
      </x:c>
    </x:row>
    <x:row r="40" ht="18" customHeight="1">
      <x:c r="A40" s="24" t="str">
        <x:v>EEZ_262</x:v>
      </x:c>
      <x:c r="B40" s="24" t="str">
        <x:v>Djibouti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0.6</x:v>
      </x:c>
      <x:c r="J40" s="31" t="n">
        <x:v>0.6</x:v>
      </x:c>
      <x:c r="K40" s="31" t="n">
        <x:v>0</x:v>
      </x:c>
      <x:c r="L40" s="31" t="n">
        <x:v>0.6</x:v>
      </x:c>
      <x:c r="M40" s="31" t="n">
        <x:v>0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1542.2374696613188</x:v>
      </x:c>
    </x:row>
    <x:row r="41" ht="18" customHeight="1">
      <x:c r="A41" s="24" t="str">
        <x:v>EEZ_262</x:v>
      </x:c>
      <x:c r="B41" s="24" t="str">
        <x:v>Djibouti</x:v>
      </x:c>
      <x:c r="C41" s="24" t="str">
        <x:v>EEZ</x:v>
      </x:c>
      <x:c r="D41" s="30" t="n">
        <x:v>2019</x:v>
      </x:c>
      <x:c r="E41" s="24" t="str">
        <x:v>Rajiformes</x:v>
      </x:c>
      <x:c r="F41" s="24" t="str">
        <x:v>Skates and rays</x:v>
      </x:c>
      <x:c r="G41" s="24" t="str">
        <x:v>Large rays (&gt;=90 cm)</x:v>
      </x:c>
      <x:c r="H41" s="24" t="str">
        <x:v>Sharks &amp; rays</x:v>
      </x:c>
      <x:c r="I41" s="31" t="n">
        <x:v>0.1</x:v>
      </x:c>
      <x:c r="J41" s="31" t="n">
        <x:v>0.1</x:v>
      </x:c>
      <x:c r="K41" s="31" t="n">
        <x:v>0</x:v>
      </x:c>
      <x:c r="L41" s="31" t="n">
        <x:v>0.1</x:v>
      </x:c>
      <x:c r="M41" s="31" t="n">
        <x:v>0</x:v>
      </x:c>
      <x:c r="N41" s="24" t="str">
        <x:v>rajiformes</x:v>
      </x:c>
      <x:c r="O41" s="32" t="n">
        <x:v>3.61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Rajiformes</x:v>
      </x:c>
      <x:c r="T41" s="32" t="n">
        <x:f>IF(O41="","",(1/'Metadata'!$B$5)^(O41-1))</x:f>
        <x:v>407.3802778041126</x:v>
      </x:c>
      <x:c r="U41" s="31" t="n">
        <x:f>IF(T41="","",I41*T41)</x:f>
        <x:v>40.738027780411265</x:v>
      </x:c>
    </x:row>
    <x:row r="42" ht="18" customHeight="1">
      <x:c r="A42" s="24" t="str">
        <x:v>EEZ_262</x:v>
      </x:c>
      <x:c r="B42" s="24" t="str">
        <x:v>Djibouti</x:v>
      </x:c>
      <x:c r="C42" s="24" t="str">
        <x:v>EEZ</x:v>
      </x:c>
      <x:c r="D42" s="30" t="n">
        <x:v>2019</x:v>
      </x:c>
      <x:c r="E42" s="24" t="str">
        <x:v>Panulirus versicolor</x:v>
      </x:c>
      <x:c r="F42" s="24" t="str">
        <x:v>Painted spiny lobster</x:v>
      </x:c>
      <x:c r="G42" s="24" t="str">
        <x:v>Lobsters, crabs</x:v>
      </x:c>
      <x:c r="H42" s="24" t="str">
        <x:v>Crustaceans</x:v>
      </x:c>
      <x:c r="I42" s="31" t="n">
        <x:v>0.09999999999999999</x:v>
      </x:c>
      <x:c r="J42" s="31" t="n">
        <x:v>0.09999999999999999</x:v>
      </x:c>
      <x:c r="K42" s="31" t="n">
        <x:v>0</x:v>
      </x:c>
      <x:c r="L42" s="31" t="n">
        <x:v>0.09999999999999999</x:v>
      </x:c>
      <x:c r="M42" s="31" t="n">
        <x:v>0</x:v>
      </x:c>
      <x:c r="N42" s="24" t="str">
        <x:v>panulirus versicolor</x:v>
      </x:c>
      <x:c r="O42" s="32" t="n">
        <x:v>3.57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Panulirus versicolor</x:v>
      </x:c>
      <x:c r="T42" s="32" t="n">
        <x:f>IF(O42="","",(1/'Metadata'!$B$5)^(O42-1))</x:f>
        <x:v>371.5352290971724</x:v>
      </x:c>
      <x:c r="U42" s="31" t="n">
        <x:f>IF(T42="","",I42*T42)</x:f>
        <x:v>37.15352290971724</x:v>
      </x:c>
    </x:row>
  </x:sheetData>
  <x:conditionalFormatting sqref="R2:R4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fba73cdbf024a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7.205156658</x:v>
      </x:c>
      <x:c r="E2" s="31" t="n">
        <x:v>7.205156658</x:v>
      </x:c>
      <x:c r="F2" s="32" t="n">
        <x:v>0</x:v>
      </x:c>
      <x:c r="G2" s="34" t="n">
        <x:v>1</x:v>
      </x:c>
      <x:c r="H2" s="32" t="n">
        <x:f>IF(E2=0,"",I2/E2)</x:f>
        <x:v>54.57964657357197</x:v>
      </x:c>
      <x:c r="I2" s="31" t="n">
        <x:f>IF(C2=0,"",SUMIF('Species'!$H$2:$H$42,A2,'Species'!$U$2:$U$42))</x:f>
        <x:v>393.25490390085895</x:v>
      </x:c>
      <x:c r="J2" s="32" t="n">
        <x:v>2.712074685413454</x:v>
      </x:c>
      <x:c r="K2" s="32" t="n">
        <x:f>IF(J2="","",(1/'Metadata'!$B$5)^(J2-1))</x:f>
        <x:v>51.531725582329</x:v>
      </x:c>
      <x:c r="L2" s="31" t="n">
        <x:f>IF(E2=0,"",E2*K2)</x:f>
        <x:v>371.29415567774674</x:v>
      </x:c>
      <x:c r="M2" s="31" t="n">
        <x:f>IF(E2=0,"",I2-L2)</x:f>
        <x:v>21.960748223112205</x:v>
      </x:c>
      <x:c r="N2" s="32" t="n">
        <x:f>IF(L2=0,"",I2/L2)</x:f>
        <x:v>1.05914649581011</x:v>
      </x:c>
      <x:c r="O2" s="34" t="n">
        <x:f>IF(L2=0,"",M2/L2)</x:f>
        <x:v>0.05914649581011007</x:v>
      </x:c>
    </x:row>
    <x:row r="3" ht="18" customHeight="1">
      <x:c r="A3" s="24" t="str">
        <x:v>Other fishes &amp; inverts</x:v>
      </x:c>
      <x:c r="B3" s="33" t="n">
        <x:v>4</x:v>
      </x:c>
      <x:c r="C3" s="33" t="n">
        <x:v>4</x:v>
      </x:c>
      <x:c r="D3" s="31" t="n">
        <x:v>400.2994864199</x:v>
      </x:c>
      <x:c r="E3" s="31" t="n">
        <x:v>400.2994864199</x:v>
      </x:c>
      <x:c r="F3" s="32" t="n">
        <x:v>0</x:v>
      </x:c>
      <x:c r="G3" s="34" t="n">
        <x:v>1</x:v>
      </x:c>
      <x:c r="H3" s="32" t="n">
        <x:f>IF(E3=0,"",I3/E3)</x:f>
        <x:v>190.11880922547945</x:v>
      </x:c>
      <x:c r="I3" s="31" t="n">
        <x:f>IF(C3=0,"",SUMIF('Species'!$H$2:$H$42,A3,'Species'!$U$2:$U$42))</x:f>
        <x:v>76104.46169172238</x:v>
      </x:c>
      <x:c r="J3" s="32" t="n">
        <x:v>3.275518628710847</x:v>
      </x:c>
      <x:c r="K3" s="32" t="n">
        <x:f>IF(J3="","",(1/'Metadata'!$B$5)^(J3-1))</x:f>
        <x:v>188.58998619060617</x:v>
      </x:c>
      <x:c r="L3" s="31" t="n">
        <x:f>IF(E3=0,"",E3*K3)</x:f>
        <x:v>75492.47461603569</x:v>
      </x:c>
      <x:c r="M3" s="31" t="n">
        <x:f>IF(E3=0,"",I3-L3)</x:f>
        <x:v>611.9870756866876</x:v>
      </x:c>
      <x:c r="N3" s="32" t="n">
        <x:f>IF(L3=0,"",I3/L3)</x:f>
        <x:v>1.008106597098576</x:v>
      </x:c>
      <x:c r="O3" s="34" t="n">
        <x:f>IF(L3=0,"",M3/L3)</x:f>
        <x:v>0.008106597098576137</x:v>
      </x:c>
    </x:row>
    <x:row r="4" ht="18" customHeight="1">
      <x:c r="A4" s="24" t="str">
        <x:v>Perch-likes</x:v>
      </x:c>
      <x:c r="B4" s="33" t="n">
        <x:v>28</x:v>
      </x:c>
      <x:c r="C4" s="33" t="n">
        <x:v>28</x:v>
      </x:c>
      <x:c r="D4" s="31" t="n">
        <x:v>2708.8171165859994</x:v>
      </x:c>
      <x:c r="E4" s="31" t="n">
        <x:v>2708.8171165859994</x:v>
      </x:c>
      <x:c r="F4" s="32" t="n">
        <x:v>0</x:v>
      </x:c>
      <x:c r="G4" s="34" t="n">
        <x:v>1</x:v>
      </x:c>
      <x:c r="H4" s="32" t="n">
        <x:f>IF(E4=0,"",I4/E4)</x:f>
        <x:v>1918.870896152672</x:v>
      </x:c>
      <x:c r="I4" s="31" t="n">
        <x:f>IF(C4=0,"",SUMIF('Species'!$H$2:$H$42,A4,'Species'!$U$2:$U$42))</x:f>
        <x:v>5197870.328017074</x:v>
      </x:c>
      <x:c r="J4" s="32" t="n">
        <x:v>4.183327010202906</x:v>
      </x:c>
      <x:c r="K4" s="32" t="n">
        <x:f>IF(J4="","",(1/'Metadata'!$B$5)^(J4-1))</x:f>
        <x:v>1525.200750147091</x:v>
      </x:c>
      <x:c r="L4" s="31" t="n">
        <x:f>IF(E4=0,"",E4*K4)</x:f>
        <x:v>4131489.8982282463</x:v>
      </x:c>
      <x:c r="M4" s="31" t="n">
        <x:f>IF(E4=0,"",I4-L4)</x:f>
        <x:v>1066380.4297888274</x:v>
      </x:c>
      <x:c r="N4" s="32" t="n">
        <x:f>IF(L4=0,"",I4/L4)</x:f>
        <x:v>1.2581103805303107</x:v>
      </x:c>
      <x:c r="O4" s="34" t="n">
        <x:f>IF(L4=0,"",M4/L4)</x:f>
        <x:v>0.2581103805303107</x:v>
      </x:c>
    </x:row>
    <x:row r="5" ht="18" customHeight="1">
      <x:c r="A5" s="24" t="str">
        <x:v>Sharks &amp; rays</x:v>
      </x:c>
      <x:c r="B5" s="33" t="n">
        <x:v>3</x:v>
      </x:c>
      <x:c r="C5" s="33" t="n">
        <x:v>3</x:v>
      </x:c>
      <x:c r="D5" s="31" t="n">
        <x:v>177.21182767989998</x:v>
      </x:c>
      <x:c r="E5" s="31" t="n">
        <x:v>177.21182767989998</x:v>
      </x:c>
      <x:c r="F5" s="32" t="n">
        <x:v>0</x:v>
      </x:c>
      <x:c r="G5" s="34" t="n">
        <x:v>1</x:v>
      </x:c>
      <x:c r="H5" s="32" t="n">
        <x:f>IF(E5=0,"",I5/E5)</x:f>
        <x:v>1614.9031742576528</x:v>
      </x:c>
      <x:c r="I5" s="31" t="n">
        <x:f>IF(C5=0,"",SUMIF('Species'!$H$2:$H$42,A5,'Species'!$U$2:$U$42))</x:f>
        <x:v>286179.9430362707</x:v>
      </x:c>
      <x:c r="J5" s="32" t="n">
        <x:v>4.201955997252182</x:v>
      </x:c>
      <x:c r="K5" s="32" t="n">
        <x:f>IF(J5="","",(1/'Metadata'!$B$5)^(J5-1))</x:f>
        <x:v>1592.0474125219555</x:v>
      </x:c>
      <x:c r="L5" s="31" t="n">
        <x:f>IF(E5=0,"",E5*K5)</x:f>
        <x:v>282129.6317260714</x:v>
      </x:c>
      <x:c r="M5" s="31" t="n">
        <x:f>IF(E5=0,"",I5-L5)</x:f>
        <x:v>4050.311310199264</x:v>
      </x:c>
      <x:c r="N5" s="32" t="n">
        <x:f>IF(L5=0,"",I5/L5)</x:f>
        <x:v>1.0143562067033491</x:v>
      </x:c>
      <x:c r="O5" s="34" t="n">
        <x:f>IF(L5=0,"",M5/L5)</x:f>
        <x:v>0.014356206703349188</x:v>
      </x:c>
    </x:row>
    <x:row r="6" ht="18" customHeight="1">
      <x:c r="A6" s="24" t="str">
        <x:v>Tuna &amp; billfishes</x:v>
      </x:c>
      <x:c r="B6" s="33" t="n">
        <x:v>4</x:v>
      </x:c>
      <x:c r="C6" s="33" t="n">
        <x:v>4</x:v>
      </x:c>
      <x:c r="D6" s="31" t="n">
        <x:v>311.5200000002</x:v>
      </x:c>
      <x:c r="E6" s="31" t="n">
        <x:v>311.5200000002</x:v>
      </x:c>
      <x:c r="F6" s="32" t="n">
        <x:v>0</x:v>
      </x:c>
      <x:c r="G6" s="34" t="n">
        <x:v>1</x:v>
      </x:c>
      <x:c r="H6" s="32" t="n">
        <x:f>IF(E6=0,"",I6/E6)</x:f>
        <x:v>3156.249101225285</x:v>
      </x:c>
      <x:c r="I6" s="31" t="n">
        <x:f>IF(C6=0,"",SUMIF('Species'!$H$2:$H$42,A6,'Species'!$U$2:$U$42))</x:f>
        <x:v>983234.7200143321</x:v>
      </x:c>
      <x:c r="J6" s="32" t="n">
        <x:v>4.499139702105798</x:v>
      </x:c>
      <x:c r="K6" s="32" t="n">
        <x:f>IF(J6="","",(1/'Metadata'!$B$5)^(J6-1))</x:f>
        <x:v>3156.0196758487878</x:v>
      </x:c>
      <x:c r="L6" s="31" t="n">
        <x:f>IF(E6=0,"",E6*K6)</x:f>
        <x:v>983163.2494210456</x:v>
      </x:c>
      <x:c r="M6" s="31" t="n">
        <x:f>IF(E6=0,"",I6-L6)</x:f>
        <x:v>71.47059328644536</x:v>
      </x:c>
      <x:c r="N6" s="32" t="n">
        <x:f>IF(L6=0,"",I6/L6)</x:f>
        <x:v>1.0000726945330072</x:v>
      </x:c>
      <x:c r="O6" s="34" t="n">
        <x:f>IF(L6=0,"",M6/L6)</x:f>
        <x:v>0.00007269453300714015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1b29595ea1346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10.3</x:v>
      </x:c>
      <x:c r="E2" s="31" t="n">
        <x:v>10.3</x:v>
      </x:c>
      <x:c r="F2" s="32" t="n">
        <x:v>0</x:v>
      </x:c>
      <x:c r="G2" s="34" t="n">
        <x:v>1</x:v>
      </x:c>
      <x:c r="H2" s="32" t="n">
        <x:f>IF(E2=0,"",I2/E2)</x:f>
        <x:v>2630.2679918953813</x:v>
      </x:c>
      <x:c r="I2" s="31" t="n">
        <x:f>IF(C2=0,"",SUMIF('Species'!$G$2:$G$42,A2,'Species'!$U$2:$U$42))</x:f>
        <x:v>27091.76031652243</x:v>
      </x:c>
      <x:c r="J2" s="32" t="n">
        <x:v>4.42</x:v>
      </x:c>
      <x:c r="K2" s="32" t="n">
        <x:f>IF(J2="","",(1/'Metadata'!$B$5)^(J2-1))</x:f>
        <x:v>2630.2679918953813</x:v>
      </x:c>
      <x:c r="L2" s="31" t="n">
        <x:f>IF(E2=0,"",E2*K2)</x:f>
        <x:v>27091.76031652243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9</x:v>
      </x:c>
      <x:c r="C3" s="33" t="n">
        <x:v>9</x:v>
      </x:c>
      <x:c r="D3" s="31" t="n">
        <x:v>1023.3938836707001</x:v>
      </x:c>
      <x:c r="E3" s="31" t="n">
        <x:v>1023.3938836707001</x:v>
      </x:c>
      <x:c r="F3" s="32" t="n">
        <x:v>0</x:v>
      </x:c>
      <x:c r="G3" s="34" t="n">
        <x:v>1</x:v>
      </x:c>
      <x:c r="H3" s="32" t="n">
        <x:f>IF(E3=0,"",I3/E3)</x:f>
        <x:v>2750.6724552913875</x:v>
      </x:c>
      <x:c r="I3" s="31" t="n">
        <x:f>IF(C3=0,"",SUMIF('Species'!$G$2:$G$42,A3,'Species'!$U$2:$U$42))</x:f>
        <x:v>2815021.366726673</x:v>
      </x:c>
      <x:c r="J3" s="32" t="n">
        <x:v>4.415841691308671</x:v>
      </x:c>
      <x:c r="K3" s="32" t="n">
        <x:f>IF(J3="","",(1/'Metadata'!$B$5)^(J3-1))</x:f>
        <x:v>2605.203730030774</x:v>
      </x:c>
      <x:c r="L3" s="31" t="n">
        <x:f>IF(E3=0,"",E3*K3)</x:f>
        <x:v>2666149.5630295877</x:v>
      </x:c>
      <x:c r="M3" s="31" t="n">
        <x:f>IF(E3=0,"",I3-L3)</x:f>
        <x:v>148871.80369708547</x:v>
      </x:c>
      <x:c r="N3" s="32" t="n">
        <x:f>IF(L3=0,"",I3/L3)</x:f>
        <x:v>1.0558377541010566</x:v>
      </x:c>
      <x:c r="O3" s="34" t="n">
        <x:f>IF(L3=0,"",M3/L3)</x:f>
        <x:v>0.05583775410105654</x:v>
      </x:c>
    </x:row>
    <x:row r="4" ht="18" customHeight="1">
      <x:c r="A4" s="24" t="str">
        <x:v>Large rays (&gt;=90 cm)</x:v>
      </x:c>
      <x:c r="B4" s="33" t="n">
        <x:v>1</x:v>
      </x:c>
      <x:c r="C4" s="33" t="n">
        <x:v>1</x:v>
      </x:c>
      <x:c r="D4" s="31" t="n">
        <x:v>0.1</x:v>
      </x:c>
      <x:c r="E4" s="31" t="n">
        <x:v>0.1</x:v>
      </x:c>
      <x:c r="F4" s="32" t="n">
        <x:v>0</x:v>
      </x:c>
      <x:c r="G4" s="34" t="n">
        <x:v>1</x:v>
      </x:c>
      <x:c r="H4" s="32" t="n">
        <x:f>IF(E4=0,"",I4/E4)</x:f>
        <x:v>407.3802778041126</x:v>
      </x:c>
      <x:c r="I4" s="31" t="n">
        <x:f>IF(C4=0,"",SUMIF('Species'!$G$2:$G$42,A4,'Species'!$U$2:$U$42))</x:f>
        <x:v>40.738027780411265</x:v>
      </x:c>
      <x:c r="J4" s="32" t="n">
        <x:v>3.61</x:v>
      </x:c>
      <x:c r="K4" s="32" t="n">
        <x:f>IF(J4="","",(1/'Metadata'!$B$5)^(J4-1))</x:f>
        <x:v>407.3802778041126</x:v>
      </x:c>
      <x:c r="L4" s="31" t="n">
        <x:f>IF(E4=0,"",E4*K4)</x:f>
        <x:v>40.738027780411265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reef assoc. fish (&gt;=90 cm)</x:v>
      </x:c>
      <x:c r="B5" s="33" t="n">
        <x:v>7</x:v>
      </x:c>
      <x:c r="C5" s="33" t="n">
        <x:v>7</x:v>
      </x:c>
      <x:c r="D5" s="31" t="n">
        <x:v>550.4800000001</x:v>
      </x:c>
      <x:c r="E5" s="31" t="n">
        <x:v>550.4800000001</x:v>
      </x:c>
      <x:c r="F5" s="32" t="n">
        <x:v>0</x:v>
      </x:c>
      <x:c r="G5" s="34" t="n">
        <x:v>1</x:v>
      </x:c>
      <x:c r="H5" s="32" t="n">
        <x:f>IF(E5=0,"",I5/E5)</x:f>
        <x:v>2849.5051450328215</x:v>
      </x:c>
      <x:c r="I5" s="31" t="n">
        <x:f>IF(C5=0,"",SUMIF('Species'!$G$2:$G$42,A5,'Species'!$U$2:$U$42))</x:f>
        <x:v>1568595.5922379524</x:v>
      </x:c>
      <x:c r="J5" s="32" t="n">
        <x:v>4.431525577677508</x:v>
      </x:c>
      <x:c r="K5" s="32" t="n">
        <x:f>IF(J5="","",(1/'Metadata'!$B$5)^(J5-1))</x:f>
        <x:v>2701.0061788022317</x:v>
      </x:c>
      <x:c r="L5" s="31" t="n">
        <x:f>IF(E5=0,"",E5*K5)</x:f>
        <x:v>1486849.8813073225</x:v>
      </x:c>
      <x:c r="M5" s="31" t="n">
        <x:f>IF(E5=0,"",I5-L5)</x:f>
        <x:v>81745.71093062987</x:v>
      </x:c>
      <x:c r="N5" s="32" t="n">
        <x:f>IF(L5=0,"",I5/L5)</x:f>
        <x:v>1.054979128665467</x:v>
      </x:c>
      <x:c r="O5" s="34" t="n">
        <x:f>IF(L5=0,"",M5/L5)</x:f>
        <x:v>0.05497912866546716</x:v>
      </x:c>
    </x:row>
    <x:row r="6" ht="18" customHeight="1">
      <x:c r="A6" s="24" t="str">
        <x:v>Large sharks (&gt;=90 cm)</x:v>
      </x:c>
      <x:c r="B6" s="33" t="n">
        <x:v>2</x:v>
      </x:c>
      <x:c r="C6" s="33" t="n">
        <x:v>2</x:v>
      </x:c>
      <x:c r="D6" s="31" t="n">
        <x:v>177.1118276799</x:v>
      </x:c>
      <x:c r="E6" s="31" t="n">
        <x:v>177.1118276799</x:v>
      </x:c>
      <x:c r="F6" s="32" t="n">
        <x:v>0</x:v>
      </x:c>
      <x:c r="G6" s="34" t="n">
        <x:v>1</x:v>
      </x:c>
      <x:c r="H6" s="32" t="n">
        <x:f>IF(E6=0,"",I6/E6)</x:f>
        <x:v>1615.5849598347493</x:v>
      </x:c>
      <x:c r="I6" s="31" t="n">
        <x:f>IF(C6=0,"",SUMIF('Species'!$G$2:$G$42,A6,'Species'!$U$2:$U$42))</x:f>
        <x:v>286139.20500849024</x:v>
      </x:c>
      <x:c r="J6" s="32" t="n">
        <x:v>4.202290224505667</x:v>
      </x:c>
      <x:c r="K6" s="32" t="n">
        <x:f>IF(J6="","",(1/'Metadata'!$B$5)^(J6-1))</x:f>
        <x:v>1593.2731025998355</x:v>
      </x:c>
      <x:c r="L6" s="31" t="n">
        <x:f>IF(E6=0,"",E6*K6)</x:f>
        <x:v>282187.5111946817</x:v>
      </x:c>
      <x:c r="M6" s="31" t="n">
        <x:f>IF(E6=0,"",I6-L6)</x:f>
        <x:v>3951.6938138085534</x:v>
      </x:c>
      <x:c r="N6" s="32" t="n">
        <x:f>IF(L6=0,"",I6/L6)</x:f>
        <x:v>1.014003787045991</x:v>
      </x:c>
      <x:c r="O6" s="34" t="n">
        <x:f>IF(L6=0,"",M6/L6)</x:f>
        <x:v>0.014003787045991105</x:v>
      </x:c>
    </x:row>
    <x:row r="7" ht="18" customHeight="1">
      <x:c r="A7" s="24" t="str">
        <x:v>Lobsters, crabs</x:v>
      </x:c>
      <x:c r="B7" s="33" t="n">
        <x:v>1</x:v>
      </x:c>
      <x:c r="C7" s="33" t="n">
        <x:v>1</x:v>
      </x:c>
      <x:c r="D7" s="31" t="n">
        <x:v>0.09999999999999999</x:v>
      </x:c>
      <x:c r="E7" s="31" t="n">
        <x:v>0.09999999999999999</x:v>
      </x:c>
      <x:c r="F7" s="32" t="n">
        <x:v>0</x:v>
      </x:c>
      <x:c r="G7" s="34" t="n">
        <x:v>1</x:v>
      </x:c>
      <x:c r="H7" s="32" t="n">
        <x:f>IF(E7=0,"",I7/E7)</x:f>
        <x:v>371.5352290971724</x:v>
      </x:c>
      <x:c r="I7" s="31" t="n">
        <x:f>IF(C7=0,"",SUMIF('Species'!$G$2:$G$42,A7,'Species'!$U$2:$U$42))</x:f>
        <x:v>37.15352290971724</x:v>
      </x:c>
      <x:c r="J7" s="32" t="n">
        <x:v>3.5699999999999994</x:v>
      </x:c>
      <x:c r="K7" s="32" t="n">
        <x:f>IF(J7="","",(1/'Metadata'!$B$5)^(J7-1))</x:f>
        <x:v>371.535229097172</x:v>
      </x:c>
      <x:c r="L7" s="31" t="n">
        <x:f>IF(E7=0,"",E7*K7)</x:f>
        <x:v>37.153522909717196</x:v>
      </x:c>
      <x:c r="M7" s="31" t="n">
        <x:f>IF(E7=0,"",I7-L7)</x:f>
        <x:v>4.263256414560601e-14</x:v>
      </x:c>
      <x:c r="N7" s="32" t="n">
        <x:f>IF(L7=0,"",I7/L7)</x:f>
        <x:v>1.000000000000001</x:v>
      </x:c>
      <x:c r="O7" s="34" t="n">
        <x:f>IF(L7=0,"",M7/L7)</x:f>
        <x:v>1.1474703017854551e-15</x:v>
      </x:c>
    </x:row>
    <x:row r="8" ht="18" customHeight="1">
      <x:c r="A8" s="24" t="str">
        <x:v>Medium demersals (30 - 89 cm)</x:v>
      </x:c>
      <x:c r="B8" s="33" t="n">
        <x:v>4</x:v>
      </x:c>
      <x:c r="C8" s="33" t="n">
        <x:v>4</x:v>
      </x:c>
      <x:c r="D8" s="31" t="n">
        <x:v>448.5941000285</x:v>
      </x:c>
      <x:c r="E8" s="31" t="n">
        <x:v>448.5941000285</x:v>
      </x:c>
      <x:c r="F8" s="32" t="n">
        <x:v>0</x:v>
      </x:c>
      <x:c r="G8" s="34" t="n">
        <x:v>1</x:v>
      </x:c>
      <x:c r="H8" s="32" t="n">
        <x:f>IF(E8=0,"",I8/E8)</x:f>
        <x:v>269.90071036236725</x:v>
      </x:c>
      <x:c r="I8" s="31" t="n">
        <x:f>IF(C8=0,"",SUMIF('Species'!$G$2:$G$42,A8,'Species'!$U$2:$U$42))</x:f>
        <x:v>121075.86626205897</x:v>
      </x:c>
      <x:c r="J8" s="32" t="n">
        <x:v>3.355941106503605</x:v>
      </x:c>
      <x:c r="K8" s="32" t="n">
        <x:f>IF(J8="","",(1/'Metadata'!$B$5)^(J8-1))</x:f>
        <x:v>226.95570625393998</x:v>
      </x:c>
      <x:c r="L8" s="31" t="n">
        <x:f>IF(E8=0,"",E8*K8)</x:f>
        <x:v>101810.99079331882</x:v>
      </x:c>
      <x:c r="M8" s="31" t="n">
        <x:f>IF(E8=0,"",I8-L8)</x:f>
        <x:v>19264.875468740152</x:v>
      </x:c>
      <x:c r="N8" s="32" t="n">
        <x:f>IF(L8=0,"",I8/L8)</x:f>
        <x:v>1.1892219623699447</x:v>
      </x:c>
      <x:c r="O8" s="34" t="n">
        <x:f>IF(L8=0,"",M8/L8)</x:f>
        <x:v>0.18922196236994462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373.22763974929995</x:v>
      </x:c>
      <x:c r="E9" s="31" t="n">
        <x:v>373.22763974929995</x:v>
      </x:c>
      <x:c r="F9" s="32" t="n">
        <x:v>0</x:v>
      </x:c>
      <x:c r="G9" s="34" t="n">
        <x:v>1</x:v>
      </x:c>
      <x:c r="H9" s="32" t="n">
        <x:f>IF(E9=0,"",I9/E9)</x:f>
        <x:v>1372.8356045135358</x:v>
      </x:c>
      <x:c r="I9" s="31" t="n">
        <x:f>IF(C9=0,"",SUMIF('Species'!$G$2:$G$42,A9,'Species'!$U$2:$U$42))</x:f>
        <x:v>512380.1924363904</x:v>
      </x:c>
      <x:c r="J9" s="32" t="n">
        <x:v>4.114322221202411</x:v>
      </x:c>
      <x:c r="K9" s="32" t="n">
        <x:f>IF(J9="","",(1/'Metadata'!$B$5)^(J9-1))</x:f>
        <x:v>1301.1345860544195</x:v>
      </x:c>
      <x:c r="L9" s="31" t="n">
        <x:f>IF(E9=0,"",E9*K9)</x:f>
        <x:v>485619.3905492734</x:v>
      </x:c>
      <x:c r="M9" s="31" t="n">
        <x:f>IF(E9=0,"",I9-L9)</x:f>
        <x:v>26760.801887116977</x:v>
      </x:c>
      <x:c r="N9" s="32" t="n">
        <x:f>IF(L9=0,"",I9/L9)</x:f>
        <x:v>1.05510653488702</x:v>
      </x:c>
      <x:c r="O9" s="34" t="n">
        <x:f>IF(L9=0,"",M9/L9)</x:f>
        <x:v>0.05510653488702011</x:v>
      </x:c>
    </x:row>
    <x:row r="10" ht="18" customHeight="1">
      <x:c r="A10" s="24" t="str">
        <x:v>Medium reef assoc. fish (30 - 89 cm)</x:v>
      </x:c>
      <x:c r="B10" s="33" t="n">
        <x:v>12</x:v>
      </x:c>
      <x:c r="C10" s="33" t="n">
        <x:v>12</x:v>
      </x:c>
      <x:c r="D10" s="31" t="n">
        <x:v>1014.6409795575</x:v>
      </x:c>
      <x:c r="E10" s="31" t="n">
        <x:v>1014.6409795575</x:v>
      </x:c>
      <x:c r="F10" s="32" t="n">
        <x:v>0</x:v>
      </x:c>
      <x:c r="G10" s="34" t="n">
        <x:v>1</x:v>
      </x:c>
      <x:c r="H10" s="32" t="n">
        <x:f>IF(E10=0,"",I10/E10)</x:f>
        <x:v>1195.5408427053267</x:v>
      </x:c>
      <x:c r="I10" s="31" t="n">
        <x:f>IF(C10=0,"",SUMIF('Species'!$G$2:$G$42,A10,'Species'!$U$2:$U$42))</x:f>
        <x:v>1213044.7317435318</x:v>
      </x:c>
      <x:c r="J10" s="32" t="n">
        <x:v>3.941745488871557</x:v>
      </x:c>
      <x:c r="K10" s="32" t="n">
        <x:f>IF(J10="","",(1/'Metadata'!$B$5)^(J10-1))</x:f>
        <x:v>874.4711556174481</x:v>
      </x:c>
      <x:c r="L10" s="31" t="n">
        <x:f>IF(E10=0,"",E10*K10)</x:f>
        <x:v>887274.2699304665</x:v>
      </x:c>
      <x:c r="M10" s="31" t="n">
        <x:f>IF(E10=0,"",I10-L10)</x:f>
        <x:v>325770.4618130652</x:v>
      </x:c>
      <x:c r="N10" s="32" t="n">
        <x:f>IF(L10=0,"",I10/L10)</x:f>
        <x:v>1.367158693600565</x:v>
      </x:c>
      <x:c r="O10" s="34" t="n">
        <x:f>IF(L10=0,"",M10/L10)</x:f>
        <x:v>0.3671586936005651</x:v>
      </x:c>
    </x:row>
    <x:row r="11" ht="18" customHeight="1">
      <x:c r="A11" s="24" t="str">
        <x:v>Shrimps</x:v>
      </x:c>
      <x:c r="B11" s="33" t="n">
        <x:v>1</x:v>
      </x:c>
      <x:c r="C11" s="33" t="n">
        <x:v>1</x:v>
      </x:c>
      <x:c r="D11" s="31" t="n">
        <x:v>7.105156658</x:v>
      </x:c>
      <x:c r="E11" s="31" t="n">
        <x:v>7.105156658</x:v>
      </x:c>
      <x:c r="F11" s="32" t="n">
        <x:v>0</x:v>
      </x:c>
      <x:c r="G11" s="34" t="n">
        <x:v>1</x:v>
      </x:c>
      <x:c r="H11" s="32" t="n">
        <x:f>IF(E11=0,"",I11/E11)</x:f>
        <x:v>50.11872336272725</x:v>
      </x:c>
      <x:c r="I11" s="31" t="n">
        <x:f>IF(C11=0,"",SUMIF('Species'!$G$2:$G$42,A11,'Species'!$U$2:$U$42))</x:f>
        <x:v>356.1013809911417</x:v>
      </x:c>
      <x:c r="J11" s="32" t="n">
        <x:v>2.7</x:v>
      </x:c>
      <x:c r="K11" s="32" t="n">
        <x:f>IF(J11="","",(1/'Metadata'!$B$5)^(J11-1))</x:f>
        <x:v>50.11872336272725</x:v>
      </x:c>
      <x:c r="L11" s="31" t="n">
        <x:f>IF(E11=0,"",E11*K11)</x:f>
        <x:v>356.1013809911417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9ffb8e96cc949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EEZ_262</x:v>
      </x:c>
      <x:c r="B2" s="24" t="str">
        <x:v>raw_filtered_tonnes</x:v>
      </x:c>
      <x:c r="C2" s="24" t="n">
        <x:v>3605.0535873440003</x:v>
      </x:c>
      <x:c r="D2" s="24" t="str">
        <x:v>tonnes</x:v>
      </x:c>
    </x:row>
    <x:row r="3" ht="18" customHeight="1">
      <x:c r="A3" s="24" t="str">
        <x:v>EEZ_262</x:v>
      </x:c>
      <x:c r="B3" s="24" t="str">
        <x:v>species_catch_tonnes</x:v>
      </x:c>
      <x:c r="C3" s="24" t="n">
        <x:v>3605.053587344</x:v>
      </x:c>
      <x:c r="D3" s="24" t="str">
        <x:v>tonnes</x:v>
      </x:c>
    </x:row>
    <x:row r="4" ht="18" customHeight="1">
      <x:c r="A4" s="24" t="str">
        <x:v>EEZ_262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EEZ_262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EEZ_262</x:v>
      </x:c>
      <x:c r="B6" s="24" t="str">
        <x:v>matched_catch_tonnes</x:v>
      </x:c>
      <x:c r="C6" s="24" t="n">
        <x:v>3605.053587344</x:v>
      </x:c>
      <x:c r="D6" s="24" t="str">
        <x:v>tonnes</x:v>
      </x:c>
    </x:row>
    <x:row r="7" ht="18" customHeight="1">
      <x:c r="A7" s="24" t="str">
        <x:v>EEZ_262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EEZ_262</x:v>
      </x:c>
      <x:c r="B8" s="24" t="str">
        <x:v>taxa_count</x:v>
      </x:c>
      <x:c r="C8" s="24" t="n">
        <x:v>41</x:v>
      </x:c>
      <x:c r="D8" s="24" t="str">
        <x:v>count</x:v>
      </x:c>
    </x:row>
    <x:row r="9" ht="18" customHeight="1">
      <x:c r="A9" s="24" t="str">
        <x:v>EEZ_262</x:v>
      </x:c>
      <x:c r="B9" s="24" t="str">
        <x:v>matched_taxa_count</x:v>
      </x:c>
      <x:c r="C9" s="24" t="n">
        <x:v>41</x:v>
      </x:c>
      <x:c r="D9" s="24" t="str">
        <x:v>count</x:v>
      </x:c>
    </x:row>
    <x:row r="10" ht="18" customHeight="1">
      <x:c r="A10" s="24" t="str">
        <x:v>EEZ_262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EEZ_262</x:v>
      </x:c>
      <x:c r="B11" s="24" t="str">
        <x:v>species_ppr</x:v>
      </x:c>
      <x:c r="C11" s="24" t="n">
        <x:v>6543782.7076633</x:v>
      </x:c>
      <x:c r="D11" s="24" t="str">
        <x:v>tonnes_primary_production_equivalent</x:v>
      </x:c>
    </x:row>
    <x:row r="12" ht="18" customHeight="1">
      <x:c r="A12" s="24" t="str">
        <x:v>EEZ_262</x:v>
      </x:c>
      <x:c r="B12" s="24" t="str">
        <x:v>commercial_ppr</x:v>
      </x:c>
      <x:c r="C12" s="24" t="n">
        <x:v>6543782.7076633</x:v>
      </x:c>
      <x:c r="D12" s="24" t="str">
        <x:v>tonnes_primary_production_equivalent</x:v>
      </x:c>
    </x:row>
    <x:row r="13" ht="18" customHeight="1">
      <x:c r="A13" s="24" t="str">
        <x:v>EEZ_262</x:v>
      </x:c>
      <x:c r="B13" s="24" t="str">
        <x:v>functional_ppr</x:v>
      </x:c>
      <x:c r="C13" s="24" t="n">
        <x:v>6543782.7076632995</x:v>
      </x:c>
      <x:c r="D13" s="24" t="str">
        <x:v>tonnes_primary_production_equivalent</x:v>
      </x:c>
    </x:row>
    <x:row r="14" ht="18" customHeight="1">
      <x:c r="A14" s="24" t="str">
        <x:v>EEZ_262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EEZ_262</x:v>
      </x:c>
      <x:c r="B15" s="24" t="str">
        <x:v>functional_ppr_difference</x:v>
      </x:c>
      <x:c r="C15" s="24" t="n">
        <x:v>-9.313225746154785e-10</x:v>
      </x:c>
      <x:c r="D15" s="24" t="str">
        <x:v>tonnes_primary_production_equivalent</x:v>
      </x:c>
    </x:row>
    <x:row r="16" ht="18" customHeight="1">
      <x:c r="A16" s="24" t="str">
        <x:v>EEZ_262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EEZ_262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EEZ_262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EEZ_262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f57b8a7b27a42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EEZ_262 - Djibouti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EEZ_262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