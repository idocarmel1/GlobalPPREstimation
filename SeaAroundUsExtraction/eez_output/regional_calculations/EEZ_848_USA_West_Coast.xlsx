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7e85e04b7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615d485e3ee4938"/>
    <x:sheet xmlns:r="http://schemas.openxmlformats.org/officeDocument/2006/relationships" name="Commercial" sheetId="2" r:id="R15e8e92a30434884"/>
    <x:sheet xmlns:r="http://schemas.openxmlformats.org/officeDocument/2006/relationships" name="Functional" sheetId="3" r:id="Rd8617e5a1bf54758"/>
    <x:sheet xmlns:r="http://schemas.openxmlformats.org/officeDocument/2006/relationships" name="Missing TL" sheetId="4" r:id="R7360432359b049b8"/>
    <x:sheet xmlns:r="http://schemas.openxmlformats.org/officeDocument/2006/relationships" name="Validation" sheetId="5" r:id="Rbb05d47bc96349fb"/>
    <x:sheet xmlns:r="http://schemas.openxmlformats.org/officeDocument/2006/relationships" name="Metadata" sheetId="6" r:id="Rfe1b9d80ec5e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c019b96e04a3e" /><Relationship Type="http://schemas.openxmlformats.org/officeDocument/2006/relationships/theme" Target="/xl/theme/theme1.xml" Id="R818ce723cfa648ea" /><Relationship Type="http://schemas.microsoft.com/office/2022/11/relationships/FeaturePropertyBag" Target="/xl/featurePropertyBag/featurePropertyBag.xml" Id="R2dd7030d77a7418c" /><Relationship Type="http://schemas.openxmlformats.org/officeDocument/2006/relationships/sharedStrings" Target="/xl/sharedStrings.xml" Id="R0504c6343c3645ee" /><Relationship Type="http://schemas.openxmlformats.org/officeDocument/2006/relationships/worksheet" Target="/xl/worksheets/sheet1.xml" Id="R5615d485e3ee4938" /><Relationship Type="http://schemas.openxmlformats.org/officeDocument/2006/relationships/worksheet" Target="/xl/worksheets/sheet2.xml" Id="R15e8e92a30434884" /><Relationship Type="http://schemas.openxmlformats.org/officeDocument/2006/relationships/worksheet" Target="/xl/worksheets/sheet3.xml" Id="Rd8617e5a1bf54758" /><Relationship Type="http://schemas.openxmlformats.org/officeDocument/2006/relationships/worksheet" Target="/xl/worksheets/sheet4.xml" Id="R7360432359b049b8" /><Relationship Type="http://schemas.openxmlformats.org/officeDocument/2006/relationships/worksheet" Target="/xl/worksheets/sheet5.xml" Id="Rbb05d47bc96349fb" /><Relationship Type="http://schemas.openxmlformats.org/officeDocument/2006/relationships/worksheet" Target="/xl/worksheets/sheet6.xml" Id="Rfe1b9d80ec5e4d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48SpeciesTable" displayName="EEZ848SpeciesTable" ref="A1:U186" headerRowCount="1" totalsRowCount="0" totalsRowShown="0">
  <x:autoFilter ref="A1:U18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48CommercialTable" displayName="EEZ848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48FunctionalTable" displayName="EEZ848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48ValidationTable" displayName="EEZ8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1858ff74ef40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8cad8b1d62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5be2221f9a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16d4da9ca64d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EEZ_848</x:v>
      </x:c>
      <x:c r="B2" s="24" t="str">
        <x:v>USA (West Coast)</x:v>
      </x:c>
      <x:c r="C2" s="24" t="str">
        <x:v>EEZ</x:v>
      </x:c>
      <x:c r="D2" s="30" t="n">
        <x:v>2019</x:v>
      </x:c>
      <x:c r="E2" s="24" t="str">
        <x:v>Merluccius productus</x:v>
      </x:c>
      <x:c r="F2" s="24" t="str">
        <x:v>North Pacific hake</x:v>
      </x:c>
      <x:c r="G2" s="24" t="str">
        <x:v>Medium benthopelagics (30 - 89 cm)</x:v>
      </x:c>
      <x:c r="H2" s="24" t="str">
        <x:v>Cod-likes</x:v>
      </x:c>
      <x:c r="I2" s="31" t="n">
        <x:v>325964.37486731</x:v>
      </x:c>
      <x:c r="J2" s="31" t="n">
        <x:v>316385.2204803746</x:v>
      </x:c>
      <x:c r="K2" s="31" t="n">
        <x:v>9579.1543869354</x:v>
      </x:c>
      <x:c r="L2" s="31" t="n">
        <x:v>316385.20017055125</x:v>
      </x:c>
      <x:c r="M2" s="31" t="n">
        <x:v>9579.1746967587</x:v>
      </x:c>
      <x:c r="N2" s="24" t="str">
        <x:v>merluccius productus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productus</x:v>
      </x:c>
      <x:c r="T2" s="32" t="n">
        <x:f>IF(O2="","",(1/'Metadata'!$B$5)^(O2-1))</x:f>
        <x:v>2238.7211385683377</x:v>
      </x:c>
      <x:c r="U2" s="31" t="n">
        <x:f>IF(T2="","",I2*T2)</x:f>
        <x:v>729743336.4356606</x:v>
      </x:c>
    </x:row>
    <x:row r="3" ht="18" customHeight="1">
      <x:c r="A3" s="24" t="str">
        <x:v>EEZ_848</x:v>
      </x:c>
      <x:c r="B3" s="24" t="str">
        <x:v>USA (West Coast)</x:v>
      </x:c>
      <x:c r="C3" s="24" t="str">
        <x:v>EEZ</x:v>
      </x:c>
      <x:c r="D3" s="30" t="n">
        <x:v>2019</x:v>
      </x:c>
      <x:c r="E3" s="24" t="str">
        <x:v>Metacarcinus magister</x:v>
      </x:c>
      <x:c r="F3" s="24" t="str">
        <x:v>Dungeness crab</x:v>
      </x:c>
      <x:c r="G3" s="24" t="str">
        <x:v>Lobsters, crabs</x:v>
      </x:c>
      <x:c r="H3" s="24" t="str">
        <x:v>Crustaceans</x:v>
      </x:c>
      <x:c r="I3" s="31" t="n">
        <x:v>26956.4978720154</x:v>
      </x:c>
      <x:c r="J3" s="31" t="n">
        <x:v>26956.4978720154</x:v>
      </x:c>
      <x:c r="K3" s="31" t="n">
        <x:v>0</x:v>
      </x:c>
      <x:c r="L3" s="31" t="n">
        <x:v>25335.5997859043</x:v>
      </x:c>
      <x:c r="M3" s="31" t="n">
        <x:v>1620.8980861111</x:v>
      </x:c>
      <x:c r="N3" s="24" t="str">
        <x:v>metacarcinus magister</x:v>
      </x:c>
      <x:c r="O3" s="32" t="n">
        <x:v>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Metacarcinus magister</x:v>
      </x:c>
      <x:c r="T3" s="32" t="n">
        <x:f>IF(O3="","",(1/'Metadata'!$B$5)^(O3-1))</x:f>
        <x:v>1000</x:v>
      </x:c>
      <x:c r="U3" s="31" t="n">
        <x:f>IF(T3="","",I3*T3)</x:f>
        <x:v>26956497.872015398</x:v>
      </x:c>
    </x:row>
    <x:row r="4" ht="18" customHeight="1">
      <x:c r="A4" s="24" t="str">
        <x:v>EEZ_848</x:v>
      </x:c>
      <x:c r="B4" s="24" t="str">
        <x:v>USA (West Coast)</x:v>
      </x:c>
      <x:c r="C4" s="24" t="str">
        <x:v>EEZ</x:v>
      </x:c>
      <x:c r="D4" s="30" t="n">
        <x:v>2019</x:v>
      </x:c>
      <x:c r="E4" s="24" t="str">
        <x:v>Pandalus jordani</x:v>
      </x:c>
      <x:c r="F4" s="24" t="str">
        <x:v>Ocean shrimp</x:v>
      </x:c>
      <x:c r="G4" s="24" t="str">
        <x:v>Shrimps</x:v>
      </x:c>
      <x:c r="H4" s="24" t="str">
        <x:v>Crustaceans</x:v>
      </x:c>
      <x:c r="I4" s="31" t="n">
        <x:v>17679.299833985</x:v>
      </x:c>
      <x:c r="J4" s="31" t="n">
        <x:v>17679.299833985</x:v>
      </x:c>
      <x:c r="K4" s="31" t="n">
        <x:v>0</x:v>
      </x:c>
      <x:c r="L4" s="31" t="n">
        <x:v>17679.299833985</x:v>
      </x:c>
      <x:c r="M4" s="31" t="n">
        <x:v>0</x:v>
      </x:c>
      <x:c r="N4" s="24" t="str">
        <x:v>pandalus jordani</x:v>
      </x:c>
      <x:c r="O4" s="32" t="n">
        <x:v>3.23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Pandalus jordani</x:v>
      </x:c>
      <x:c r="T4" s="32" t="n">
        <x:f>IF(O4="","",(1/'Metadata'!$B$5)^(O4-1))</x:f>
        <x:v>169.82436524617444</x:v>
      </x:c>
      <x:c r="U4" s="31" t="n">
        <x:f>IF(T4="","",I4*T4)</x:f>
        <x:v>3002375.8723032996</x:v>
      </x:c>
    </x:row>
    <x:row r="5" ht="18" customHeight="1">
      <x:c r="A5" s="24" t="str">
        <x:v>EEZ_848</x:v>
      </x:c>
      <x:c r="B5" s="24" t="str">
        <x:v>USA (West Coast)</x:v>
      </x:c>
      <x:c r="C5" s="24" t="str">
        <x:v>EEZ</x:v>
      </x:c>
      <x:c r="D5" s="30" t="n">
        <x:v>2019</x:v>
      </x:c>
      <x:c r="E5" s="24" t="str">
        <x:v>Doryteuthis opalescens</x:v>
      </x:c>
      <x:c r="F5" s="24" t="str">
        <x:v>California market squid</x:v>
      </x:c>
      <x:c r="G5" s="24" t="str">
        <x:v>Cephalopods</x:v>
      </x:c>
      <x:c r="H5" s="24" t="str">
        <x:v>Other fishes &amp; inverts</x:v>
      </x:c>
      <x:c r="I5" s="31" t="n">
        <x:v>14730.899656176602</x:v>
      </x:c>
      <x:c r="J5" s="31" t="n">
        <x:v>14730.899656176602</x:v>
      </x:c>
      <x:c r="K5" s="31" t="n">
        <x:v>0</x:v>
      </x:c>
      <x:c r="L5" s="31" t="n">
        <x:v>14730.899656176602</x:v>
      </x:c>
      <x:c r="M5" s="31" t="n">
        <x:v>0</x:v>
      </x:c>
      <x:c r="N5" s="24" t="str">
        <x:v>doryteuthis opalescens</x:v>
      </x:c>
      <x:c r="O5" s="32" t="n">
        <x:v>3.86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Doryteuthis opalescens</x:v>
      </x:c>
      <x:c r="T5" s="32" t="n">
        <x:f>IF(O5="","",(1/'Metadata'!$B$5)^(O5-1))</x:f>
        <x:v>724.4359600749899</x:v>
      </x:c>
      <x:c r="U5" s="31" t="n">
        <x:f>IF(T5="","",I5*T5)</x:f>
        <x:v>10671593.435190635</x:v>
      </x:c>
    </x:row>
    <x:row r="6" ht="18" customHeight="1">
      <x:c r="A6" s="24" t="str">
        <x:v>EEZ_848</x:v>
      </x:c>
      <x:c r="B6" s="24" t="str">
        <x:v>USA (West Coast)</x:v>
      </x:c>
      <x:c r="C6" s="24" t="str">
        <x:v>EEZ</x:v>
      </x:c>
      <x:c r="D6" s="30" t="n">
        <x:v>2019</x:v>
      </x:c>
      <x:c r="E6" s="24" t="str">
        <x:v>Engraulis mordax</x:v>
      </x:c>
      <x:c r="F6" s="24" t="str">
        <x:v>Californian anchovy</x:v>
      </x:c>
      <x:c r="G6" s="24" t="str">
        <x:v>Small pelagics (&lt;30 cm)</x:v>
      </x:c>
      <x:c r="H6" s="24" t="str">
        <x:v>Anchovies</x:v>
      </x:c>
      <x:c r="I6" s="31" t="n">
        <x:v>10164.8464966883</x:v>
      </x:c>
      <x:c r="J6" s="31" t="n">
        <x:v>10164.8007475607</x:v>
      </x:c>
      <x:c r="K6" s="31" t="n">
        <x:v>0.0457491276</x:v>
      </x:c>
      <x:c r="L6" s="31" t="n">
        <x:v>10164.799829448999</x:v>
      </x:c>
      <x:c r="M6" s="31" t="n">
        <x:v>0.0466672393</x:v>
      </x:c>
      <x:c r="N6" s="24" t="str">
        <x:v>engraulis mordax</x:v>
      </x:c>
      <x:c r="O6" s="32" t="n">
        <x:v>2.97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mordax</x:v>
      </x:c>
      <x:c r="T6" s="32" t="n">
        <x:f>IF(O6="","",(1/'Metadata'!$B$5)^(O6-1))</x:f>
        <x:v>93.32543007969915</x:v>
      </x:c>
      <x:c r="U6" s="31" t="n">
        <x:f>IF(T6="","",I6*T6)</x:f>
        <x:v>948638.6709975587</x:v>
      </x:c>
    </x:row>
    <x:row r="7" ht="18" customHeight="1">
      <x:c r="A7" s="24" t="str">
        <x:v>EEZ_848</x:v>
      </x:c>
      <x:c r="B7" s="24" t="str">
        <x:v>USA (West Coast)</x:v>
      </x:c>
      <x:c r="C7" s="24" t="str">
        <x:v>EEZ</x:v>
      </x:c>
      <x:c r="D7" s="30" t="n">
        <x:v>2019</x:v>
      </x:c>
      <x:c r="E7" s="24" t="str">
        <x:v>Sebastes entomelas</x:v>
      </x:c>
      <x:c r="F7" s="24" t="str">
        <x:v>Widow rockfish</x:v>
      </x:c>
      <x:c r="G7" s="24" t="str">
        <x:v>Medium pelagics (30 - 89 cm)</x:v>
      </x:c>
      <x:c r="H7" s="24" t="str">
        <x:v>Scorpionfishes</x:v>
      </x:c>
      <x:c r="I7" s="31" t="n">
        <x:v>9534.120073975302</x:v>
      </x:c>
      <x:c r="J7" s="31" t="n">
        <x:v>9440.9420913462</x:v>
      </x:c>
      <x:c r="K7" s="31" t="n">
        <x:v>93.1779826291</x:v>
      </x:c>
      <x:c r="L7" s="31" t="n">
        <x:v>9440.7997750181</x:v>
      </x:c>
      <x:c r="M7" s="31" t="n">
        <x:v>93.3202989572</x:v>
      </x:c>
      <x:c r="N7" s="24" t="str">
        <x:v>sebastes entomelas</x:v>
      </x:c>
      <x:c r="O7" s="32" t="n">
        <x:v>3.7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entomelas</x:v>
      </x:c>
      <x:c r="T7" s="32" t="n">
        <x:f>IF(O7="","",(1/'Metadata'!$B$5)^(O7-1))</x:f>
        <x:v>501.18723362727246</x:v>
      </x:c>
      <x:c r="U7" s="31" t="n">
        <x:f>IF(T7="","",I7*T7)</x:f>
        <x:v>4778379.264945928</x:v>
      </x:c>
    </x:row>
    <x:row r="8" ht="18" customHeight="1">
      <x:c r="A8" s="24" t="str">
        <x:v>EEZ_848</x:v>
      </x:c>
      <x:c r="B8" s="24" t="str">
        <x:v>USA (West Coast)</x:v>
      </x:c>
      <x:c r="C8" s="24" t="str">
        <x:v>EEZ</x:v>
      </x:c>
      <x:c r="D8" s="30" t="n">
        <x:v>2019</x:v>
      </x:c>
      <x:c r="E8" s="24" t="str">
        <x:v>Thunnus alalunga</x:v>
      </x:c>
      <x:c r="F8" s="24" t="str">
        <x:v>Albacore</x:v>
      </x:c>
      <x:c r="G8" s="24" t="str">
        <x:v>Large pelagics (&gt;=90 cm)</x:v>
      </x:c>
      <x:c r="H8" s="24" t="str">
        <x:v>Tuna &amp; billfishes</x:v>
      </x:c>
      <x:c r="I8" s="31" t="n">
        <x:v>7699.165867990399</x:v>
      </x:c>
      <x:c r="J8" s="31" t="n">
        <x:v>7699.1245079904</x:v>
      </x:c>
      <x:c r="K8" s="31" t="n">
        <x:v>0.04136</x:v>
      </x:c>
      <x:c r="L8" s="31" t="n">
        <x:v>7583.9001732724</x:v>
      </x:c>
      <x:c r="M8" s="31" t="n">
        <x:v>115.26569471799999</x:v>
      </x:c>
      <x:c r="N8" s="24" t="str">
        <x:v>thunnus alalunga</x:v>
      </x:c>
      <x:c r="O8" s="32" t="n">
        <x:v>4.3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alalunga</x:v>
      </x:c>
      <x:c r="T8" s="32" t="n">
        <x:f>IF(O8="","",(1/'Metadata'!$B$5)^(O8-1))</x:f>
        <x:v>1995.2623149688789</x:v>
      </x:c>
      <x:c r="U8" s="31" t="n">
        <x:f>IF(T8="","",I8*T8)</x:f>
        <x:v>15361855.513095902</x:v>
      </x:c>
    </x:row>
    <x:row r="9" ht="18" customHeight="1">
      <x:c r="A9" s="24" t="str">
        <x:v>EEZ_848</x:v>
      </x:c>
      <x:c r="B9" s="24" t="str">
        <x:v>USA (West Coast)</x:v>
      </x:c>
      <x:c r="C9" s="24" t="str">
        <x:v>EEZ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6512.3270269322</x:v>
      </x:c>
      <x:c r="J9" s="31" t="n">
        <x:v>5775.1338725939</x:v>
      </x:c>
      <x:c r="K9" s="31" t="n">
        <x:v>737.1931543383</x:v>
      </x:c>
      <x:c r="L9" s="31" t="n">
        <x:v>5013.1995536644</x:v>
      </x:c>
      <x:c r="M9" s="31" t="n">
        <x:v>1499.1274732678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1240898.3332349684</x:v>
      </x:c>
    </x:row>
    <x:row r="10" ht="18" customHeight="1">
      <x:c r="A10" s="24" t="str">
        <x:v>EEZ_848</x:v>
      </x:c>
      <x:c r="B10" s="24" t="str">
        <x:v>USA (West Coast)</x:v>
      </x:c>
      <x:c r="C10" s="24" t="str">
        <x:v>EEZ</x:v>
      </x:c>
      <x:c r="D10" s="30" t="n">
        <x:v>2019</x:v>
      </x:c>
      <x:c r="E10" s="24" t="str">
        <x:v>Oncorhynchus tshawytscha</x:v>
      </x:c>
      <x:c r="F10" s="24" t="str">
        <x:v>Chinook salmon</x:v>
      </x:c>
      <x:c r="G10" s="24" t="str">
        <x:v>Large benthopelagics (&gt;=90 cm)</x:v>
      </x:c>
      <x:c r="H10" s="24" t="str">
        <x:v>Salmon, smelts, etc</x:v>
      </x:c>
      <x:c r="I10" s="31" t="n">
        <x:v>6308.5005658526</x:v>
      </x:c>
      <x:c r="J10" s="31" t="n">
        <x:v>6160.5337771148</x:v>
      </x:c>
      <x:c r="K10" s="31" t="n">
        <x:v>147.9667887378</x:v>
      </x:c>
      <x:c r="L10" s="31" t="n">
        <x:v>2954.1004799012</x:v>
      </x:c>
      <x:c r="M10" s="31" t="n">
        <x:v>3354.4000859514</x:v>
      </x:c>
      <x:c r="N10" s="24" t="str">
        <x:v>oncorhynchus tshawytscha</x:v>
      </x:c>
      <x:c r="O10" s="32" t="n">
        <x:v>4.4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Oncorhynchus tshawytscha</x:v>
      </x:c>
      <x:c r="T10" s="32" t="n">
        <x:f>IF(O10="","",(1/'Metadata'!$B$5)^(O10-1))</x:f>
        <x:v>2511.886431509582</x:v>
      </x:c>
      <x:c r="U10" s="31" t="n">
        <x:f>IF(T10="","",I10*T10)</x:f>
        <x:v>15846236.974535666</x:v>
      </x:c>
    </x:row>
    <x:row r="11" ht="18" customHeight="1">
      <x:c r="A11" s="24" t="str">
        <x:v>EEZ_848</x:v>
      </x:c>
      <x:c r="B11" s="24" t="str">
        <x:v>USA (West Coast)</x:v>
      </x:c>
      <x:c r="C11" s="24" t="str">
        <x:v>EEZ</x:v>
      </x:c>
      <x:c r="D11" s="30" t="n">
        <x:v>2019</x:v>
      </x:c>
      <x:c r="E11" s="24" t="str">
        <x:v>Microstomus pacificus</x:v>
      </x:c>
      <x:c r="F11" s="24" t="str">
        <x:v>Dover sole</x:v>
      </x:c>
      <x:c r="G11" s="24" t="str">
        <x:v>Small to medium flatfishes (&lt;90 cm)</x:v>
      </x:c>
      <x:c r="H11" s="24" t="str">
        <x:v>Flatfishes</x:v>
      </x:c>
      <x:c r="I11" s="31" t="n">
        <x:v>5807.0895406587</x:v>
      </x:c>
      <x:c r="J11" s="31" t="n">
        <x:v>5773.0009141855</x:v>
      </x:c>
      <x:c r="K11" s="31" t="n">
        <x:v>34.0886264732</x:v>
      </x:c>
      <x:c r="L11" s="31" t="n">
        <x:v>5772.9000916258</x:v>
      </x:c>
      <x:c r="M11" s="31" t="n">
        <x:v>34.1894490329</x:v>
      </x:c>
      <x:c r="N11" s="24" t="str">
        <x:v>microstomus pacificus</x:v>
      </x:c>
      <x:c r="O11" s="32" t="n">
        <x:v>3.22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Microstomus pacificus</x:v>
      </x:c>
      <x:c r="T11" s="32" t="n">
        <x:f>IF(O11="","",(1/'Metadata'!$B$5)^(O11-1))</x:f>
        <x:v>165.95869074375614</x:v>
      </x:c>
      <x:c r="U11" s="31" t="n">
        <x:f>IF(T11="","",I11*T11)</x:f>
        <x:v>963736.977199478</x:v>
      </x:c>
    </x:row>
    <x:row r="12" ht="18" customHeight="1">
      <x:c r="A12" s="24" t="str">
        <x:v>EEZ_848</x:v>
      </x:c>
      <x:c r="B12" s="24" t="str">
        <x:v>USA (West Coast)</x:v>
      </x:c>
      <x:c r="C12" s="24" t="str">
        <x:v>EEZ</x:v>
      </x:c>
      <x:c r="D12" s="30" t="n">
        <x:v>2019</x:v>
      </x:c>
      <x:c r="E12" s="24" t="str">
        <x:v>Anoplopoma fimbria</x:v>
      </x:c>
      <x:c r="F12" s="24" t="str">
        <x:v>Sablefish</x:v>
      </x:c>
      <x:c r="G12" s="24" t="str">
        <x:v>Large bathydemersals (&gt;=90 cm)</x:v>
      </x:c>
      <x:c r="H12" s="24" t="str">
        <x:v>Scorpionfishes</x:v>
      </x:c>
      <x:c r="I12" s="31" t="n">
        <x:v>5533.648239161</x:v>
      </x:c>
      <x:c r="J12" s="31" t="n">
        <x:v>5366.3868866247</x:v>
      </x:c>
      <x:c r="K12" s="31" t="n">
        <x:v>167.2613525363</x:v>
      </x:c>
      <x:c r="L12" s="31" t="n">
        <x:v>5364.899619889</x:v>
      </x:c>
      <x:c r="M12" s="31" t="n">
        <x:v>168.74861927199998</x:v>
      </x:c>
      <x:c r="N12" s="24" t="str">
        <x:v>anoplopoma fimbria</x:v>
      </x:c>
      <x:c r="O12" s="32" t="n">
        <x:v>3.84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Anoplopoma fimbria</x:v>
      </x:c>
      <x:c r="T12" s="32" t="n">
        <x:f>IF(O12="","",(1/'Metadata'!$B$5)^(O12-1))</x:f>
        <x:v>691.8309709189363</x:v>
      </x:c>
      <x:c r="U12" s="31" t="n">
        <x:f>IF(T12="","",I12*T12)</x:f>
        <x:v>3828349.2340226164</x:v>
      </x:c>
    </x:row>
    <x:row r="13" ht="18" customHeight="1">
      <x:c r="A13" s="24" t="str">
        <x:v>EEZ_848</x:v>
      </x:c>
      <x:c r="B13" s="24" t="str">
        <x:v>USA (West Coast)</x:v>
      </x:c>
      <x:c r="C13" s="24" t="str">
        <x:v>EEZ</x:v>
      </x:c>
      <x:c r="D13" s="30" t="n">
        <x:v>2019</x:v>
      </x:c>
      <x:c r="E13" s="24" t="str">
        <x:v>Oncorhynchus kisutch</x:v>
      </x:c>
      <x:c r="F13" s="24" t="str">
        <x:v>Coho salmon</x:v>
      </x:c>
      <x:c r="G13" s="24" t="str">
        <x:v>Large demersals (&gt;=90 cm)</x:v>
      </x:c>
      <x:c r="H13" s="24" t="str">
        <x:v>Salmon, smelts, etc</x:v>
      </x:c>
      <x:c r="I13" s="31" t="n">
        <x:v>4249.2236312895</x:v>
      </x:c>
      <x:c r="J13" s="31" t="n">
        <x:v>4238.7110227469</x:v>
      </x:c>
      <x:c r="K13" s="31" t="n">
        <x:v>10.5126085426</x:v>
      </x:c>
      <x:c r="L13" s="31" t="n">
        <x:v>560.8000471736</x:v>
      </x:c>
      <x:c r="M13" s="31" t="n">
        <x:v>3688.4235841159</x:v>
      </x:c>
      <x:c r="N13" s="24" t="str">
        <x:v>oncorhynchus kisutch</x:v>
      </x:c>
      <x:c r="O13" s="32" t="n">
        <x:v>4.22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Oncorhynchus kisutch</x:v>
      </x:c>
      <x:c r="T13" s="32" t="n">
        <x:f>IF(O13="","",(1/'Metadata'!$B$5)^(O13-1))</x:f>
        <x:v>1659.5869074375596</x:v>
      </x:c>
      <x:c r="U13" s="31" t="n">
        <x:f>IF(T13="","",I13*T13)</x:f>
        <x:v>7051955.905262339</x:v>
      </x:c>
    </x:row>
    <x:row r="14" ht="18" customHeight="1">
      <x:c r="A14" s="24" t="str">
        <x:v>EEZ_848</x:v>
      </x:c>
      <x:c r="B14" s="24" t="str">
        <x:v>USA (West Coast)</x:v>
      </x:c>
      <x:c r="C14" s="24" t="str">
        <x:v>EEZ</x:v>
      </x:c>
      <x:c r="D14" s="30" t="n">
        <x:v>2019</x:v>
      </x:c>
      <x:c r="E14" s="24" t="str">
        <x:v>Scomber japonicus</x:v>
      </x:c>
      <x:c r="F14" s="24" t="str">
        <x:v>Pacific chub mackerel</x:v>
      </x:c>
      <x:c r="G14" s="24" t="str">
        <x:v>Medium pelagics (30 - 89 cm)</x:v>
      </x:c>
      <x:c r="H14" s="24" t="str">
        <x:v>Perch-likes</x:v>
      </x:c>
      <x:c r="I14" s="31" t="n">
        <x:v>3998.1458647770996</x:v>
      </x:c>
      <x:c r="J14" s="31" t="n">
        <x:v>3983.1272347770996</x:v>
      </x:c>
      <x:c r="K14" s="31" t="n">
        <x:v>15.01863</x:v>
      </x:c>
      <x:c r="L14" s="31" t="n">
        <x:v>3913.4998321703997</x:v>
      </x:c>
      <x:c r="M14" s="31" t="n">
        <x:v>84.6460326067</x:v>
      </x:c>
      <x:c r="N14" s="24" t="str">
        <x:v>scomber japonicus</x:v>
      </x:c>
      <x:c r="O14" s="32" t="n">
        <x:v>3.38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Scomber japonicus</x:v>
      </x:c>
      <x:c r="T14" s="32" t="n">
        <x:f>IF(O14="","",(1/'Metadata'!$B$5)^(O14-1))</x:f>
        <x:v>239.88329190194898</x:v>
      </x:c>
      <x:c r="U14" s="31" t="n">
        <x:f>IF(T14="","",I14*T14)</x:f>
        <x:v>959088.3915468953</x:v>
      </x:c>
    </x:row>
    <x:row r="15" ht="18" customHeight="1">
      <x:c r="A15" s="24" t="str">
        <x:v>EEZ_848</x:v>
      </x:c>
      <x:c r="B15" s="24" t="str">
        <x:v>USA (West Coast)</x:v>
      </x:c>
      <x:c r="C15" s="24" t="str">
        <x:v>EEZ</x:v>
      </x:c>
      <x:c r="D15" s="30" t="n">
        <x:v>2019</x:v>
      </x:c>
      <x:c r="E15" s="24" t="str">
        <x:v>Sebastes flavidus</x:v>
      </x:c>
      <x:c r="F15" s="24" t="str">
        <x:v>Yellowtail rockfish</x:v>
      </x:c>
      <x:c r="G15" s="24" t="str">
        <x:v>Medium reef assoc. fish (30 - 89 cm)</x:v>
      </x:c>
      <x:c r="H15" s="24" t="str">
        <x:v>Scorpionfishes</x:v>
      </x:c>
      <x:c r="I15" s="31" t="n">
        <x:v>3564.7480422644</x:v>
      </x:c>
      <x:c r="J15" s="31" t="n">
        <x:v>3529.9029349612</x:v>
      </x:c>
      <x:c r="K15" s="31" t="n">
        <x:v>34.8451073032</x:v>
      </x:c>
      <x:c r="L15" s="31" t="n">
        <x:v>3503.8006549884</x:v>
      </x:c>
      <x:c r="M15" s="31" t="n">
        <x:v>60.947387276</x:v>
      </x:c>
      <x:c r="N15" s="24" t="str">
        <x:v>sebastes flavidus</x:v>
      </x:c>
      <x:c r="O15" s="32" t="n">
        <x:v>4.15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Sebastes flavidus</x:v>
      </x:c>
      <x:c r="T15" s="32" t="n">
        <x:f>IF(O15="","",(1/'Metadata'!$B$5)^(O15-1))</x:f>
        <x:v>1412.5375446227554</x:v>
      </x:c>
      <x:c r="U15" s="31" t="n">
        <x:f>IF(T15="","",I15*T15)</x:f>
        <x:v>5035340.446818929</x:v>
      </x:c>
    </x:row>
    <x:row r="16" ht="18" customHeight="1">
      <x:c r="A16" s="24" t="str">
        <x:v>EEZ_848</x:v>
      </x:c>
      <x:c r="B16" s="24" t="str">
        <x:v>USA (West Coast)</x:v>
      </x:c>
      <x:c r="C16" s="24" t="str">
        <x:v>EEZ</x:v>
      </x:c>
      <x:c r="D16" s="30" t="n">
        <x:v>2019</x:v>
      </x:c>
      <x:c r="E16" s="24" t="str">
        <x:v>Eopsetta jordani</x:v>
      </x:c>
      <x:c r="F16" s="24" t="str">
        <x:v>Petrale sole</x:v>
      </x:c>
      <x:c r="G16" s="24" t="str">
        <x:v>Small to medium flatfishes (&lt;90 cm)</x:v>
      </x:c>
      <x:c r="H16" s="24" t="str">
        <x:v>Flatfishes</x:v>
      </x:c>
      <x:c r="I16" s="31" t="n">
        <x:v>2636.7986917722</x:v>
      </x:c>
      <x:c r="J16" s="31" t="n">
        <x:v>2617.5796708446</x:v>
      </x:c>
      <x:c r="K16" s="31" t="n">
        <x:v>19.2190209276</x:v>
      </x:c>
      <x:c r="L16" s="31" t="n">
        <x:v>2616.4001052336</x:v>
      </x:c>
      <x:c r="M16" s="31" t="n">
        <x:v>20.3985865386</x:v>
      </x:c>
      <x:c r="N16" s="24" t="str">
        <x:v>eopsetta jordani</x:v>
      </x:c>
      <x:c r="O16" s="32" t="n">
        <x:v>4.05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Eopsetta jordani</x:v>
      </x:c>
      <x:c r="T16" s="32" t="n">
        <x:f>IF(O16="","",(1/'Metadata'!$B$5)^(O16-1))</x:f>
        <x:v>1122.018454301963</x:v>
      </x:c>
      <x:c r="U16" s="31" t="n">
        <x:f>IF(T16="","",I16*T16)</x:f>
        <x:v>2958536.792447682</x:v>
      </x:c>
    </x:row>
    <x:row r="17" ht="18" customHeight="1">
      <x:c r="A17" s="24" t="str">
        <x:v>EEZ_848</x:v>
      </x:c>
      <x:c r="B17" s="24" t="str">
        <x:v>USA (West Coast)</x:v>
      </x:c>
      <x:c r="C17" s="24" t="str">
        <x:v>EEZ</x:v>
      </x:c>
      <x:c r="D17" s="30" t="n">
        <x:v>2019</x:v>
      </x:c>
      <x:c r="E17" s="24" t="str">
        <x:v>Thunnus albacares</x:v>
      </x:c>
      <x:c r="F17" s="24" t="str">
        <x:v>Yellowfin tuna</x:v>
      </x:c>
      <x:c r="G17" s="24" t="str">
        <x:v>Large pelagics (&gt;=90 cm)</x:v>
      </x:c>
      <x:c r="H17" s="24" t="str">
        <x:v>Tuna &amp; billfishes</x:v>
      </x:c>
      <x:c r="I17" s="31" t="n">
        <x:v>2456.9377918459</x:v>
      </x:c>
      <x:c r="J17" s="31" t="n">
        <x:v>2456.6060855826</x:v>
      </x:c>
      <x:c r="K17" s="31" t="n">
        <x:v>0.3317062633</x:v>
      </x:c>
      <x:c r="L17" s="31" t="n">
        <x:v>459.59984033530003</x:v>
      </x:c>
      <x:c r="M17" s="31" t="n">
        <x:v>1997.3379515106</x:v>
      </x:c>
      <x:c r="N17" s="24" t="str">
        <x:v>thunnus albacares</x:v>
      </x:c>
      <x:c r="O17" s="32" t="n">
        <x:v>4.41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albacares</x:v>
      </x:c>
      <x:c r="T17" s="32" t="n">
        <x:f>IF(O17="","",(1/'Metadata'!$B$5)^(O17-1))</x:f>
        <x:v>2570.3957827688646</x:v>
      </x:c>
      <x:c r="U17" s="31" t="n">
        <x:f>IF(T17="","",I17*T17)</x:f>
        <x:v>6315302.538686148</x:v>
      </x:c>
    </x:row>
    <x:row r="18" ht="18" customHeight="1">
      <x:c r="A18" s="24" t="str">
        <x:v>EEZ_848</x:v>
      </x:c>
      <x:c r="B18" s="24" t="str">
        <x:v>USA (West Coast)</x:v>
      </x:c>
      <x:c r="C18" s="24" t="str">
        <x:v>EEZ</x:v>
      </x:c>
      <x:c r="D18" s="30" t="n">
        <x:v>2019</x:v>
      </x:c>
      <x:c r="E18" s="24" t="str">
        <x:v>Panopea generosa</x:v>
      </x:c>
      <x:c r="F18" s="24" t="str">
        <x:v>Pacific geoduck</x:v>
      </x:c>
      <x:c r="G18" s="24" t="str">
        <x:v>Other demersal invertebrates</x:v>
      </x:c>
      <x:c r="H18" s="24" t="str">
        <x:v>Molluscs</x:v>
      </x:c>
      <x:c r="I18" s="31" t="n">
        <x:v>1983.9743949075</x:v>
      </x:c>
      <x:c r="J18" s="31" t="n">
        <x:v>1983.9743949075</x:v>
      </x:c>
      <x:c r="K18" s="31" t="n">
        <x:v>0</x:v>
      </x:c>
      <x:c r="L18" s="31" t="n">
        <x:v>1981.6997940688</x:v>
      </x:c>
      <x:c r="M18" s="31" t="n">
        <x:v>2.2746008387</x:v>
      </x:c>
      <x:c r="N18" s="24" t="str">
        <x:v>panopea generosa</x:v>
      </x:c>
      <x:c r="O18" s="32" t="n">
        <x:v>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Panopea generosa</x:v>
      </x:c>
      <x:c r="T18" s="32" t="n">
        <x:f>IF(O18="","",(1/'Metadata'!$B$5)^(O18-1))</x:f>
        <x:v>10</x:v>
      </x:c>
      <x:c r="U18" s="31" t="n">
        <x:f>IF(T18="","",I18*T18)</x:f>
        <x:v>19839.743949075</x:v>
      </x:c>
    </x:row>
    <x:row r="19" ht="18" customHeight="1">
      <x:c r="A19" s="24" t="str">
        <x:v>EEZ_848</x:v>
      </x:c>
      <x:c r="B19" s="24" t="str">
        <x:v>USA (West Coast)</x:v>
      </x:c>
      <x:c r="C19" s="24" t="str">
        <x:v>EEZ</x:v>
      </x:c>
      <x:c r="D19" s="30" t="n">
        <x:v>2019</x:v>
      </x:c>
      <x:c r="E19" s="24" t="str">
        <x:v>Sardinops sagax</x:v>
      </x:c>
      <x:c r="F19" s="24" t="str">
        <x:v>South American pilchard</x:v>
      </x:c>
      <x:c r="G19" s="24" t="str">
        <x:v>Medium pelagics (30 - 89 cm)</x:v>
      </x:c>
      <x:c r="H19" s="24" t="str">
        <x:v>Herring-likes</x:v>
      </x:c>
      <x:c r="I19" s="31" t="n">
        <x:v>1871.7685165946998</x:v>
      </x:c>
      <x:c r="J19" s="31" t="n">
        <x:v>1871.7000083168</x:v>
      </x:c>
      <x:c r="K19" s="31" t="n">
        <x:v>0.0685082779</x:v>
      </x:c>
      <x:c r="L19" s="31" t="n">
        <x:v>1871.6998847875</x:v>
      </x:c>
      <x:c r="M19" s="31" t="n">
        <x:v>0.06863180719999999</x:v>
      </x:c>
      <x:c r="N19" s="24" t="str">
        <x:v>sardinops sagax</x:v>
      </x:c>
      <x:c r="O19" s="32" t="n">
        <x:v>2.84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Sardinops sagax</x:v>
      </x:c>
      <x:c r="T19" s="32" t="n">
        <x:f>IF(O19="","",(1/'Metadata'!$B$5)^(O19-1))</x:f>
        <x:v>69.18309709189363</x:v>
      </x:c>
      <x:c r="U19" s="31" t="n">
        <x:f>IF(T19="","",I19*T19)</x:f>
        <x:v>129494.74301712083</x:v>
      </x:c>
    </x:row>
    <x:row r="20" ht="18" customHeight="1">
      <x:c r="A20" s="24" t="str">
        <x:v>EEZ_848</x:v>
      </x:c>
      <x:c r="B20" s="24" t="str">
        <x:v>USA (West Coast)</x:v>
      </x:c>
      <x:c r="C20" s="24" t="str">
        <x:v>EEZ</x:v>
      </x:c>
      <x:c r="D20" s="30" t="n">
        <x:v>2019</x:v>
      </x:c>
      <x:c r="E20" s="24" t="str">
        <x:v>Thunnus orientalis</x:v>
      </x:c>
      <x:c r="F20" s="24" t="str">
        <x:v>Pacific bluefin tuna</x:v>
      </x:c>
      <x:c r="G20" s="24" t="str">
        <x:v>Large pelagics (&gt;=90 cm)</x:v>
      </x:c>
      <x:c r="H20" s="24" t="str">
        <x:v>Tuna &amp; billfishes</x:v>
      </x:c>
      <x:c r="I20" s="31" t="n">
        <x:v>1208.3768537369</x:v>
      </x:c>
      <x:c r="J20" s="31" t="n">
        <x:v>1208.3768537369</x:v>
      </x:c>
      <x:c r="K20" s="31" t="n">
        <x:v>0</x:v>
      </x:c>
      <x:c r="L20" s="31" t="n">
        <x:v>1208.3768537369</x:v>
      </x:c>
      <x:c r="M20" s="31" t="n">
        <x:v>0</x:v>
      </x:c>
      <x:c r="N20" s="24" t="str">
        <x:v>thunnus orientalis</x:v>
      </x:c>
      <x:c r="O20" s="32" t="n">
        <x:v>4.05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orientalis</x:v>
      </x:c>
      <x:c r="T20" s="32" t="n">
        <x:f>IF(O20="","",(1/'Metadata'!$B$5)^(O20-1))</x:f>
        <x:v>1122.018454301963</x:v>
      </x:c>
      <x:c r="U20" s="31" t="n">
        <x:f>IF(T20="","",I20*T20)</x:f>
        <x:v>1355821.1296441457</x:v>
      </x:c>
    </x:row>
    <x:row r="21" ht="18" customHeight="1">
      <x:c r="A21" s="24" t="str">
        <x:v>EEZ_848</x:v>
      </x:c>
      <x:c r="B21" s="24" t="str">
        <x:v>USA (West Coast)</x:v>
      </x:c>
      <x:c r="C21" s="24" t="str">
        <x:v>EEZ</x:v>
      </x:c>
      <x:c r="D21" s="30" t="n">
        <x:v>2019</x:v>
      </x:c>
      <x:c r="E21" s="24" t="str">
        <x:v>Oncorhynchus keta</x:v>
      </x:c>
      <x:c r="F21" s="24" t="str">
        <x:v>Chum salmon</x:v>
      </x:c>
      <x:c r="G21" s="24" t="str">
        <x:v>Large benthopelagics (&gt;=90 cm)</x:v>
      </x:c>
      <x:c r="H21" s="24" t="str">
        <x:v>Salmon, smelts, etc</x:v>
      </x:c>
      <x:c r="I21" s="31" t="n">
        <x:v>1190.4423657747002</x:v>
      </x:c>
      <x:c r="J21" s="31" t="n">
        <x:v>1190.4423657747002</x:v>
      </x:c>
      <x:c r="K21" s="31" t="n">
        <x:v>0</x:v>
      </x:c>
      <x:c r="L21" s="31" t="n">
        <x:v>1168.3002059311002</x:v>
      </x:c>
      <x:c r="M21" s="31" t="n">
        <x:v>22.1421598436</x:v>
      </x:c>
      <x:c r="N21" s="24" t="str">
        <x:v>oncorhynchus keta</x:v>
      </x:c>
      <x:c r="O21" s="32" t="n">
        <x:v>3.74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Oncorhynchus keta</x:v>
      </x:c>
      <x:c r="T21" s="32" t="n">
        <x:f>IF(O21="","",(1/'Metadata'!$B$5)^(O21-1))</x:f>
        <x:v>549.5408738576248</x:v>
      </x:c>
      <x:c r="U21" s="31" t="n">
        <x:f>IF(T21="","",I21*T21)</x:f>
        <x:v>654196.7379649669</x:v>
      </x:c>
    </x:row>
    <x:row r="22" ht="18" customHeight="1">
      <x:c r="A22" s="24" t="str">
        <x:v>EEZ_848</x:v>
      </x:c>
      <x:c r="B22" s="24" t="str">
        <x:v>USA (West Coast)</x:v>
      </x:c>
      <x:c r="C22" s="24" t="str">
        <x:v>EEZ</x:v>
      </x:c>
      <x:c r="D22" s="30" t="n">
        <x:v>2019</x:v>
      </x:c>
      <x:c r="E22" s="24" t="str">
        <x:v>Sebastes</x:v>
      </x:c>
      <x:c r="F22" s="24" t="str">
        <x:v>Redfishes</x:v>
      </x:c>
      <x:c r="G22" s="24" t="str">
        <x:v>Large reef assoc. fish (&gt;=90 cm)</x:v>
      </x:c>
      <x:c r="H22" s="24" t="str">
        <x:v>Scorpionfishes</x:v>
      </x:c>
      <x:c r="I22" s="31" t="n">
        <x:v>901.0792333548999</x:v>
      </x:c>
      <x:c r="J22" s="31" t="n">
        <x:v>559.9262664977</x:v>
      </x:c>
      <x:c r="K22" s="31" t="n">
        <x:v>341.15296685719994</x:v>
      </x:c>
      <x:c r="L22" s="31" t="n">
        <x:v>537.5007937874</x:v>
      </x:c>
      <x:c r="M22" s="31" t="n">
        <x:v>363.57843956749997</x:v>
      </x:c>
      <x:c r="N22" s="24" t="str">
        <x:v>sebastes</x:v>
      </x:c>
      <x:c r="O22" s="32" t="n">
        <x:v>3.79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Sebastes</x:v>
      </x:c>
      <x:c r="T22" s="32" t="n">
        <x:f>IF(O22="","",(1/'Metadata'!$B$5)^(O22-1))</x:f>
        <x:v>616.5950018614822</x:v>
      </x:c>
      <x:c r="U22" s="31" t="n">
        <x:f>IF(T22="","",I22*T22)</x:f>
        <x:v>555600.9515678075</x:v>
      </x:c>
    </x:row>
    <x:row r="23" ht="18" customHeight="1">
      <x:c r="A23" s="24" t="str">
        <x:v>EEZ_848</x:v>
      </x:c>
      <x:c r="B23" s="24" t="str">
        <x:v>USA (West Coast)</x:v>
      </x:c>
      <x:c r="C23" s="24" t="str">
        <x:v>EEZ</x:v>
      </x:c>
      <x:c r="D23" s="30" t="n">
        <x:v>2019</x:v>
      </x:c>
      <x:c r="E23" s="24" t="str">
        <x:v>Hippoglossus stenolepis</x:v>
      </x:c>
      <x:c r="F23" s="24" t="str">
        <x:v>Pacific halibut</x:v>
      </x:c>
      <x:c r="G23" s="24" t="str">
        <x:v>Large flatfishes (&gt;=90 cm)</x:v>
      </x:c>
      <x:c r="H23" s="24" t="str">
        <x:v>Flatfishes</x:v>
      </x:c>
      <x:c r="I23" s="31" t="n">
        <x:v>883.6273876465</x:v>
      </x:c>
      <x:c r="J23" s="31" t="n">
        <x:v>846.0658465696999</x:v>
      </x:c>
      <x:c r="K23" s="31" t="n">
        <x:v>37.5615410768</x:v>
      </x:c>
      <x:c r="L23" s="31" t="n">
        <x:v>624.6001578504</x:v>
      </x:c>
      <x:c r="M23" s="31" t="n">
        <x:v>259.0272297961</x:v>
      </x:c>
      <x:c r="N23" s="24" t="str">
        <x:v>hippoglossus stenolepis</x:v>
      </x:c>
      <x:c r="O23" s="32" t="n">
        <x:v>4.14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Hippoglossus stenolepis</x:v>
      </x:c>
      <x:c r="T23" s="32" t="n">
        <x:f>IF(O23="","",(1/'Metadata'!$B$5)^(O23-1))</x:f>
        <x:v>1380.3842646028838</x:v>
      </x:c>
      <x:c r="U23" s="31" t="n">
        <x:f>IF(T23="","",I23*T23)</x:f>
        <x:v>1219745.3416793812</x:v>
      </x:c>
    </x:row>
    <x:row r="24" ht="18" customHeight="1">
      <x:c r="A24" s="24" t="str">
        <x:v>EEZ_848</x:v>
      </x:c>
      <x:c r="B24" s="24" t="str">
        <x:v>USA (West Coast)</x:v>
      </x:c>
      <x:c r="C24" s="24" t="str">
        <x:v>EEZ</x:v>
      </x:c>
      <x:c r="D24" s="30" t="n">
        <x:v>2019</x:v>
      </x:c>
      <x:c r="E24" s="24" t="str">
        <x:v>Trachurus symmetricus</x:v>
      </x:c>
      <x:c r="F24" s="24" t="str">
        <x:v>Pacific jack mackerel</x:v>
      </x:c>
      <x:c r="G24" s="24" t="str">
        <x:v>Medium pelagics (30 - 89 cm)</x:v>
      </x:c>
      <x:c r="H24" s="24" t="str">
        <x:v>Perch-likes</x:v>
      </x:c>
      <x:c r="I24" s="31" t="n">
        <x:v>883.1339904794999</x:v>
      </x:c>
      <x:c r="J24" s="31" t="n">
        <x:v>883.0410043221999</x:v>
      </x:c>
      <x:c r="K24" s="31" t="n">
        <x:v>0.0929861573</x:v>
      </x:c>
      <x:c r="L24" s="31" t="n">
        <x:v>880.500040823</x:v>
      </x:c>
      <x:c r="M24" s="31" t="n">
        <x:v>2.6339496565</x:v>
      </x:c>
      <x:c r="N24" s="24" t="str">
        <x:v>trachurus symmetricus</x:v>
      </x:c>
      <x:c r="O24" s="32" t="n">
        <x:v>3.57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Trachurus symmetricus</x:v>
      </x:c>
      <x:c r="T24" s="32" t="n">
        <x:f>IF(O24="","",(1/'Metadata'!$B$5)^(O24-1))</x:f>
        <x:v>371.5352290971724</x:v>
      </x:c>
      <x:c r="U24" s="31" t="n">
        <x:f>IF(T24="","",I24*T24)</x:f>
        <x:v>328115.3894763011</x:v>
      </x:c>
    </x:row>
    <x:row r="25" ht="18" customHeight="1">
      <x:c r="A25" s="24" t="str">
        <x:v>EEZ_848</x:v>
      </x:c>
      <x:c r="B25" s="24" t="str">
        <x:v>USA (West Coast)</x:v>
      </x:c>
      <x:c r="C25" s="24" t="str">
        <x:v>EEZ</x:v>
      </x:c>
      <x:c r="D25" s="30" t="n">
        <x:v>2019</x:v>
      </x:c>
      <x:c r="E25" s="24" t="str">
        <x:v>Rajidae</x:v>
      </x:c>
      <x:c r="F25" s="24" t="str">
        <x:v>Stingrays</x:v>
      </x:c>
      <x:c r="G25" s="24" t="str">
        <x:v>Large rays (&gt;=90 cm)</x:v>
      </x:c>
      <x:c r="H25" s="24" t="str">
        <x:v>Sharks &amp; rays</x:v>
      </x:c>
      <x:c r="I25" s="31" t="n">
        <x:v>835.2344784398</x:v>
      </x:c>
      <x:c r="J25" s="31" t="n">
        <x:v>823.173741991</x:v>
      </x:c>
      <x:c r="K25" s="31" t="n">
        <x:v>12.0607364488</x:v>
      </x:c>
      <x:c r="L25" s="31" t="n">
        <x:v>823.1005796917001</x:v>
      </x:c>
      <x:c r="M25" s="31" t="n">
        <x:v>12.1338987481</x:v>
      </x:c>
      <x:c r="N25" s="24" t="str">
        <x:v>rajidae</x:v>
      </x:c>
      <x:c r="O25" s="32" t="n">
        <x:v>3.82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Rajidae</x:v>
      </x:c>
      <x:c r="T25" s="32" t="n">
        <x:f>IF(O25="","",(1/'Metadata'!$B$5)^(O25-1))</x:f>
        <x:v>660.6934480075957</x:v>
      </x:c>
      <x:c r="U25" s="31" t="n">
        <x:f>IF(T25="","",I25*T25)</x:f>
        <x:v>551833.9474552174</x:v>
      </x:c>
    </x:row>
    <x:row r="26" ht="18" customHeight="1">
      <x:c r="A26" s="24" t="str">
        <x:v>EEZ_848</x:v>
      </x:c>
      <x:c r="B26" s="24" t="str">
        <x:v>USA (West Coast)</x:v>
      </x:c>
      <x:c r="C26" s="24" t="str">
        <x:v>EEZ</x:v>
      </x:c>
      <x:c r="D26" s="30" t="n">
        <x:v>2019</x:v>
      </x:c>
      <x:c r="E26" s="24" t="str">
        <x:v>Ophiodon elongatus</x:v>
      </x:c>
      <x:c r="F26" s="24" t="str">
        <x:v>Lingcod</x:v>
      </x:c>
      <x:c r="G26" s="24" t="str">
        <x:v>Large demersals (&gt;=90 cm)</x:v>
      </x:c>
      <x:c r="H26" s="24" t="str">
        <x:v>Scorpionfishes</x:v>
      </x:c>
      <x:c r="I26" s="31" t="n">
        <x:v>793.6891402220999</x:v>
      </x:c>
      <x:c r="J26" s="31" t="n">
        <x:v>767.8543065092</x:v>
      </x:c>
      <x:c r="K26" s="31" t="n">
        <x:v>25.8348337129</x:v>
      </x:c>
      <x:c r="L26" s="31" t="n">
        <x:v>724.5997042576</x:v>
      </x:c>
      <x:c r="M26" s="31" t="n">
        <x:v>69.0894359645</x:v>
      </x:c>
      <x:c r="N26" s="24" t="str">
        <x:v>ophiodon elongatus</x:v>
      </x:c>
      <x:c r="O26" s="32" t="n">
        <x:v>4.32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Ophiodon elongatus</x:v>
      </x:c>
      <x:c r="T26" s="32" t="n">
        <x:f>IF(O26="","",(1/'Metadata'!$B$5)^(O26-1))</x:f>
        <x:v>2089.2961308540407</x:v>
      </x:c>
      <x:c r="U26" s="31" t="n">
        <x:f>IF(T26="","",I26*T26)</x:f>
        <x:v>1658251.6497669036</x:v>
      </x:c>
    </x:row>
    <x:row r="27" ht="18" customHeight="1">
      <x:c r="A27" s="24" t="str">
        <x:v>EEZ_848</x:v>
      </x:c>
      <x:c r="B27" s="24" t="str">
        <x:v>USA (West Coast)</x:v>
      </x:c>
      <x:c r="C27" s="24" t="str">
        <x:v>EEZ</x:v>
      </x:c>
      <x:c r="D27" s="30" t="n">
        <x:v>2019</x:v>
      </x:c>
      <x:c r="E27" s="24" t="str">
        <x:v>Atheresthes stomias</x:v>
      </x:c>
      <x:c r="F27" s="24" t="str">
        <x:v>Arrowtooth flounder</x:v>
      </x:c>
      <x:c r="G27" s="24" t="str">
        <x:v>Small to medium flatfishes (&lt;90 cm)</x:v>
      </x:c>
      <x:c r="H27" s="24" t="str">
        <x:v>Flatfishes</x:v>
      </x:c>
      <x:c r="I27" s="31" t="n">
        <x:v>791.7895701770001</x:v>
      </x:c>
      <x:c r="J27" s="31" t="n">
        <x:v>443.4811261667</x:v>
      </x:c>
      <x:c r="K27" s="31" t="n">
        <x:v>348.3084440103</x:v>
      </x:c>
      <x:c r="L27" s="31" t="n">
        <x:v>443.4002231677</x:v>
      </x:c>
      <x:c r="M27" s="31" t="n">
        <x:v>348.3893470093</x:v>
      </x:c>
      <x:c r="N27" s="24" t="str">
        <x:v>atheresthes stomias</x:v>
      </x:c>
      <x:c r="O27" s="32" t="n">
        <x:v>4.17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Atheresthes stomias</x:v>
      </x:c>
      <x:c r="T27" s="32" t="n">
        <x:f>IF(O27="","",(1/'Metadata'!$B$5)^(O27-1))</x:f>
        <x:v>1479.1083881682073</x:v>
      </x:c>
      <x:c r="U27" s="31" t="n">
        <x:f>IF(T27="","",I27*T27)</x:f>
        <x:v>1171142.5949129004</x:v>
      </x:c>
    </x:row>
    <x:row r="28" ht="18" customHeight="1">
      <x:c r="A28" s="24" t="str">
        <x:v>EEZ_848</x:v>
      </x:c>
      <x:c r="B28" s="24" t="str">
        <x:v>USA (West Coast)</x:v>
      </x:c>
      <x:c r="C28" s="24" t="str">
        <x:v>EEZ</x:v>
      </x:c>
      <x:c r="D28" s="30" t="n">
        <x:v>2019</x:v>
      </x:c>
      <x:c r="E28" s="24" t="str">
        <x:v>Sebastolobus alascanus</x:v>
      </x:c>
      <x:c r="F28" s="24" t="str">
        <x:v>Shortspine thornyhead</x:v>
      </x:c>
      <x:c r="G28" s="24" t="str">
        <x:v>Medium bathydemersals (30 - 89 cm)</x:v>
      </x:c>
      <x:c r="H28" s="24" t="str">
        <x:v>Scorpionfishes</x:v>
      </x:c>
      <x:c r="I28" s="31" t="n">
        <x:v>748.2808976074</x:v>
      </x:c>
      <x:c r="J28" s="31" t="n">
        <x:v>725.3000517096</x:v>
      </x:c>
      <x:c r="K28" s="31" t="n">
        <x:v>22.9808458978</x:v>
      </x:c>
      <x:c r="L28" s="31" t="n">
        <x:v>725.3000517096</x:v>
      </x:c>
      <x:c r="M28" s="31" t="n">
        <x:v>22.9808458978</x:v>
      </x:c>
      <x:c r="N28" s="24" t="str">
        <x:v>sebastolobus alascanus</x:v>
      </x:c>
      <x:c r="O28" s="32" t="n">
        <x:v>3.62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Sebastolobus alascanus</x:v>
      </x:c>
      <x:c r="T28" s="32" t="n">
        <x:f>IF(O28="","",(1/'Metadata'!$B$5)^(O28-1))</x:f>
        <x:v>416.8693834703355</x:v>
      </x:c>
      <x:c r="U28" s="31" t="n">
        <x:f>IF(T28="","",I28*T28)</x:f>
        <x:v>311935.39644822606</x:v>
      </x:c>
    </x:row>
    <x:row r="29" ht="18" customHeight="1">
      <x:c r="A29" s="24" t="str">
        <x:v>EEZ_848</x:v>
      </x:c>
      <x:c r="B29" s="24" t="str">
        <x:v>USA (West Coast)</x:v>
      </x:c>
      <x:c r="C29" s="24" t="str">
        <x:v>EEZ</x:v>
      </x:c>
      <x:c r="D29" s="30" t="n">
        <x:v>2019</x:v>
      </x:c>
      <x:c r="E29" s="24" t="str">
        <x:v>Cancer productus</x:v>
      </x:c>
      <x:c r="F29" s="24" t="str">
        <x:v>Pacific rock crab</x:v>
      </x:c>
      <x:c r="G29" s="24" t="str">
        <x:v>Lobsters, crabs</x:v>
      </x:c>
      <x:c r="H29" s="24" t="str">
        <x:v>Crustaceans</x:v>
      </x:c>
      <x:c r="I29" s="31" t="n">
        <x:v>684.1584133434</x:v>
      </x:c>
      <x:c r="J29" s="31" t="n">
        <x:v>684.1584133434</x:v>
      </x:c>
      <x:c r="K29" s="31" t="n">
        <x:v>0</x:v>
      </x:c>
      <x:c r="L29" s="31" t="n">
        <x:v>649.8997559671</x:v>
      </x:c>
      <x:c r="M29" s="31" t="n">
        <x:v>34.2586573763</x:v>
      </x:c>
      <x:c r="N29" s="24" t="str">
        <x:v>cancer productus</x:v>
      </x:c>
      <x:c r="O29" s="32" t="n">
        <x:v>3.3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Cancer productus</x:v>
      </x:c>
      <x:c r="T29" s="32" t="n">
        <x:f>IF(O29="","",(1/'Metadata'!$B$5)^(O29-1))</x:f>
        <x:v>199.52623149688787</x:v>
      </x:c>
      <x:c r="U29" s="31" t="n">
        <x:f>IF(T29="","",I29*T29)</x:f>
        <x:v>136507.54996129873</x:v>
      </x:c>
    </x:row>
    <x:row r="30" ht="18" customHeight="1">
      <x:c r="A30" s="24" t="str">
        <x:v>EEZ_848</x:v>
      </x:c>
      <x:c r="B30" s="24" t="str">
        <x:v>USA (West Coast)</x:v>
      </x:c>
      <x:c r="C30" s="24" t="str">
        <x:v>EEZ</x:v>
      </x:c>
      <x:c r="D30" s="30" t="n">
        <x:v>2019</x:v>
      </x:c>
      <x:c r="E30" s="24" t="str">
        <x:v>Siliqua patula</x:v>
      </x:c>
      <x:c r="F30" s="24" t="str">
        <x:v>Pacific razor clam</x:v>
      </x:c>
      <x:c r="G30" s="24" t="str">
        <x:v>Other demersal invertebrates</x:v>
      </x:c>
      <x:c r="H30" s="24" t="str">
        <x:v>Molluscs</x:v>
      </x:c>
      <x:c r="I30" s="31" t="n">
        <x:v>621.4243567711001</x:v>
      </x:c>
      <x:c r="J30" s="31" t="n">
        <x:v>621.4243567711001</x:v>
      </x:c>
      <x:c r="K30" s="31" t="n">
        <x:v>0</x:v>
      </x:c>
      <x:c r="L30" s="31" t="n">
        <x:v>82.9997913473</x:v>
      </x:c>
      <x:c r="M30" s="31" t="n">
        <x:v>538.4245654238</x:v>
      </x:c>
      <x:c r="N30" s="24" t="str">
        <x:v>siliqua patula</x:v>
      </x:c>
      <x:c r="O30" s="32" t="n">
        <x:v>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Siliqua patula</x:v>
      </x:c>
      <x:c r="T30" s="32" t="n">
        <x:f>IF(O30="","",(1/'Metadata'!$B$5)^(O30-1))</x:f>
        <x:v>10</x:v>
      </x:c>
      <x:c r="U30" s="31" t="n">
        <x:f>IF(T30="","",I30*T30)</x:f>
        <x:v>6214.243567711001</x:v>
      </x:c>
    </x:row>
    <x:row r="31" ht="18" customHeight="1">
      <x:c r="A31" s="24" t="str">
        <x:v>EEZ_848</x:v>
      </x:c>
      <x:c r="B31" s="24" t="str">
        <x:v>USA (West Coast)</x:v>
      </x:c>
      <x:c r="C31" s="24" t="str">
        <x:v>EEZ</x:v>
      </x:c>
      <x:c r="D31" s="30" t="n">
        <x:v>2019</x:v>
      </x:c>
      <x:c r="E31" s="24" t="str">
        <x:v>Sebastes alutus</x:v>
      </x:c>
      <x:c r="F31" s="24" t="str">
        <x:v>Pacific ocean perch</x:v>
      </x:c>
      <x:c r="G31" s="24" t="str">
        <x:v>Medium demersals (30 - 89 cm)</x:v>
      </x:c>
      <x:c r="H31" s="24" t="str">
        <x:v>Scorpionfishes</x:v>
      </x:c>
      <x:c r="I31" s="31" t="n">
        <x:v>604.2409154251001</x:v>
      </x:c>
      <x:c r="J31" s="31" t="n">
        <x:v>599.3002496849</x:v>
      </x:c>
      <x:c r="K31" s="31" t="n">
        <x:v>4.940665740199999</x:v>
      </x:c>
      <x:c r="L31" s="31" t="n">
        <x:v>599.300106141</x:v>
      </x:c>
      <x:c r="M31" s="31" t="n">
        <x:v>4.940809284099999</x:v>
      </x:c>
      <x:c r="N31" s="24" t="str">
        <x:v>sebastes alutus</x:v>
      </x:c>
      <x:c r="O31" s="32" t="n">
        <x:v>3.48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Sebastes alutus</x:v>
      </x:c>
      <x:c r="T31" s="32" t="n">
        <x:f>IF(O31="","",(1/'Metadata'!$B$5)^(O31-1))</x:f>
        <x:v>301.9951720402016</x:v>
      </x:c>
      <x:c r="U31" s="31" t="n">
        <x:f>IF(T31="","",I31*T31)</x:f>
        <x:v>182477.839207532</x:v>
      </x:c>
    </x:row>
    <x:row r="32" ht="18" customHeight="1">
      <x:c r="A32" s="24" t="str">
        <x:v>EEZ_848</x:v>
      </x:c>
      <x:c r="B32" s="24" t="str">
        <x:v>USA (West Coast)</x:v>
      </x:c>
      <x:c r="C32" s="24" t="str">
        <x:v>EEZ</x:v>
      </x:c>
      <x:c r="D32" s="30" t="n">
        <x:v>2019</x:v>
      </x:c>
      <x:c r="E32" s="24" t="str">
        <x:v>Thunnus obesus</x:v>
      </x:c>
      <x:c r="F32" s="24" t="str">
        <x:v>Bigeye tuna</x:v>
      </x:c>
      <x:c r="G32" s="24" t="str">
        <x:v>Large pelagics (&gt;=90 cm)</x:v>
      </x:c>
      <x:c r="H32" s="24" t="str">
        <x:v>Tuna &amp; billfishes</x:v>
      </x:c>
      <x:c r="I32" s="31" t="n">
        <x:v>598.8527310456</x:v>
      </x:c>
      <x:c r="J32" s="31" t="n">
        <x:v>597.4997958834</x:v>
      </x:c>
      <x:c r="K32" s="31" t="n">
        <x:v>1.3529351621999999</x:v>
      </x:c>
      <x:c r="L32" s="31" t="n">
        <x:v>597.4997958834</x:v>
      </x:c>
      <x:c r="M32" s="31" t="n">
        <x:v>1.3529351621999999</x:v>
      </x:c>
      <x:c r="N32" s="24" t="str">
        <x:v>thunnus obesus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Thunnus obesus</x:v>
      </x:c>
      <x:c r="T32" s="32" t="n">
        <x:f>IF(O32="","",(1/'Metadata'!$B$5)^(O32-1))</x:f>
        <x:v>3090.295432513592</x:v>
      </x:c>
      <x:c r="U32" s="31" t="n">
        <x:f>IF(T32="","",I32*T32)</x:f>
        <x:v>1850631.859498508</x:v>
      </x:c>
    </x:row>
    <x:row r="33" ht="18" customHeight="1">
      <x:c r="A33" s="24" t="str">
        <x:v>EEZ_848</x:v>
      </x:c>
      <x:c r="B33" s="24" t="str">
        <x:v>USA (West Coast)</x:v>
      </x:c>
      <x:c r="C33" s="24" t="str">
        <x:v>EEZ</x:v>
      </x:c>
      <x:c r="D33" s="30" t="n">
        <x:v>2019</x:v>
      </x:c>
      <x:c r="E33" s="24" t="str">
        <x:v>Oncorhynchus gorbuscha</x:v>
      </x:c>
      <x:c r="F33" s="24" t="str">
        <x:v>Pink salmon</x:v>
      </x:c>
      <x:c r="G33" s="24" t="str">
        <x:v>Medium demersals (30 - 89 cm)</x:v>
      </x:c>
      <x:c r="H33" s="24" t="str">
        <x:v>Salmon, smelts, etc</x:v>
      </x:c>
      <x:c r="I33" s="31" t="n">
        <x:v>585.2999609908</x:v>
      </x:c>
      <x:c r="J33" s="31" t="n">
        <x:v>585.2999609908</x:v>
      </x:c>
      <x:c r="K33" s="31" t="n">
        <x:v>0</x:v>
      </x:c>
      <x:c r="L33" s="31" t="n">
        <x:v>585.2999609908</x:v>
      </x:c>
      <x:c r="M33" s="31" t="n">
        <x:v>0</x:v>
      </x:c>
      <x:c r="N33" s="24" t="str">
        <x:v>oncorhynchus gorbuscha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Oncorhynchus gorbuscha</x:v>
      </x:c>
      <x:c r="T33" s="32" t="n">
        <x:f>IF(O33="","",(1/'Metadata'!$B$5)^(O33-1))</x:f>
        <x:v>3090.295432513592</x:v>
      </x:c>
      <x:c r="U33" s="31" t="n">
        <x:f>IF(T33="","",I33*T33)</x:f>
        <x:v>1808749.7961002525</x:v>
      </x:c>
    </x:row>
    <x:row r="34" ht="18" customHeight="1">
      <x:c r="A34" s="24" t="str">
        <x:v>EEZ_848</x:v>
      </x:c>
      <x:c r="B34" s="24" t="str">
        <x:v>USA (West Coast)</x:v>
      </x:c>
      <x:c r="C34" s="24" t="str">
        <x:v>EEZ</x:v>
      </x:c>
      <x:c r="D34" s="30" t="n">
        <x:v>2019</x:v>
      </x:c>
      <x:c r="E34" s="24" t="str">
        <x:v>Sebastes goodei</x:v>
      </x:c>
      <x:c r="F34" s="24" t="str">
        <x:v>Chilipepper rockfish</x:v>
      </x:c>
      <x:c r="G34" s="24" t="str">
        <x:v>Medium demersals (30 - 89 cm)</x:v>
      </x:c>
      <x:c r="H34" s="24" t="str">
        <x:v>Scorpionfishes</x:v>
      </x:c>
      <x:c r="I34" s="31" t="n">
        <x:v>564.9043155916</x:v>
      </x:c>
      <x:c r="J34" s="31" t="n">
        <x:v>564.9027394435</x:v>
      </x:c>
      <x:c r="K34" s="31" t="n">
        <x:v>0.0015761481</x:v>
      </x:c>
      <x:c r="L34" s="31" t="n">
        <x:v>564.8996198891</x:v>
      </x:c>
      <x:c r="M34" s="31" t="n">
        <x:v>0.0046957025</x:v>
      </x:c>
      <x:c r="N34" s="24" t="str">
        <x:v>sebastes goodei</x:v>
      </x:c>
      <x:c r="O34" s="32" t="n">
        <x:v>3.46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Sebastes goodei</x:v>
      </x:c>
      <x:c r="T34" s="32" t="n">
        <x:f>IF(O34="","",(1/'Metadata'!$B$5)^(O34-1))</x:f>
        <x:v>288.40315031266056</x:v>
      </x:c>
      <x:c r="U34" s="31" t="n">
        <x:f>IF(T34="","",I34*T34)</x:f>
        <x:v>162920.18424183485</x:v>
      </x:c>
    </x:row>
    <x:row r="35" ht="18" customHeight="1">
      <x:c r="A35" s="24" t="str">
        <x:v>EEZ_848</x:v>
      </x:c>
      <x:c r="B35" s="24" t="str">
        <x:v>USA (West Coast)</x:v>
      </x:c>
      <x:c r="C35" s="24" t="str">
        <x:v>EEZ</x:v>
      </x:c>
      <x:c r="D35" s="30" t="n">
        <x:v>2019</x:v>
      </x:c>
      <x:c r="E35" s="24" t="str">
        <x:v>Eptatretus stoutii</x:v>
      </x:c>
      <x:c r="F35" s="24" t="str">
        <x:v>Pacific hagfish</x:v>
      </x:c>
      <x:c r="G35" s="24" t="str">
        <x:v>Medium demersals (30 - 89 cm)</x:v>
      </x:c>
      <x:c r="H35" s="24" t="str">
        <x:v>Other fishes &amp; inverts</x:v>
      </x:c>
      <x:c r="I35" s="31" t="n">
        <x:v>541.9012045162</x:v>
      </x:c>
      <x:c r="J35" s="31" t="n">
        <x:v>541.9001914162</x:v>
      </x:c>
      <x:c r="K35" s="31" t="n">
        <x:v>0.0010131</x:v>
      </x:c>
      <x:c r="L35" s="31" t="n">
        <x:v>541.9001914162</x:v>
      </x:c>
      <x:c r="M35" s="31" t="n">
        <x:v>0.0010131</x:v>
      </x:c>
      <x:c r="N35" s="24" t="str">
        <x:v>eptatretus stoutii</x:v>
      </x:c>
      <x:c r="O35" s="32" t="n">
        <x:v>4.24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Eptatretus stoutii</x:v>
      </x:c>
      <x:c r="T35" s="32" t="n">
        <x:f>IF(O35="","",(1/'Metadata'!$B$5)^(O35-1))</x:f>
        <x:v>1737.8008287493763</x:v>
      </x:c>
      <x:c r="U35" s="31" t="n">
        <x:f>IF(T35="","",I35*T35)</x:f>
        <x:v>941716.3623085376</x:v>
      </x:c>
    </x:row>
    <x:row r="36" ht="18" customHeight="1">
      <x:c r="A36" s="24" t="str">
        <x:v>EEZ_848</x:v>
      </x:c>
      <x:c r="B36" s="24" t="str">
        <x:v>USA (West Coast)</x:v>
      </x:c>
      <x:c r="C36" s="24" t="str">
        <x:v>EEZ</x:v>
      </x:c>
      <x:c r="D36" s="30" t="n">
        <x:v>2019</x:v>
      </x:c>
      <x:c r="E36" s="24" t="str">
        <x:v>Strongylocentrotus</x:v>
      </x:c>
      <x:c r="F36" s="24" t="str">
        <x:v>Sickle-arched sea urchins</x:v>
      </x:c>
      <x:c r="G36" s="24" t="str">
        <x:v>Other demersal invertebrates</x:v>
      </x:c>
      <x:c r="H36" s="24" t="str">
        <x:v>Other fishes &amp; inverts</x:v>
      </x:c>
      <x:c r="I36" s="31" t="n">
        <x:v>507.5001587576</x:v>
      </x:c>
      <x:c r="J36" s="31" t="n">
        <x:v>507.5001587576</x:v>
      </x:c>
      <x:c r="K36" s="31" t="n">
        <x:v>0</x:v>
      </x:c>
      <x:c r="L36" s="31" t="n">
        <x:v>507.5001587576</x:v>
      </x:c>
      <x:c r="M36" s="31" t="n">
        <x:v>0</x:v>
      </x:c>
      <x:c r="N36" s="24" t="str">
        <x:v>strongylocentrotus</x:v>
      </x:c>
      <x:c r="O36" s="32" t="n">
        <x:v>2.1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Strongylocentrotus</x:v>
      </x:c>
      <x:c r="T36" s="32" t="n">
        <x:f>IF(O36="","",(1/'Metadata'!$B$5)^(O36-1))</x:f>
        <x:v>12.589254117941675</x:v>
      </x:c>
      <x:c r="U36" s="31" t="n">
        <x:f>IF(T36="","",I36*T36)</x:f>
        <x:v>6389.048463495169</x:v>
      </x:c>
    </x:row>
    <x:row r="37" ht="18" customHeight="1">
      <x:c r="A37" s="24" t="str">
        <x:v>EEZ_848</x:v>
      </x:c>
      <x:c r="B37" s="24" t="str">
        <x:v>USA (West Coast)</x:v>
      </x:c>
      <x:c r="C37" s="24" t="str">
        <x:v>EEZ</x:v>
      </x:c>
      <x:c r="D37" s="30" t="n">
        <x:v>2019</x:v>
      </x:c>
      <x:c r="E37" s="24" t="str">
        <x:v>Sebastes pinniger</x:v>
      </x:c>
      <x:c r="F37" s="24" t="str">
        <x:v>Canary rockfish</x:v>
      </x:c>
      <x:c r="G37" s="24" t="str">
        <x:v>Medium reef assoc. fish (30 - 89 cm)</x:v>
      </x:c>
      <x:c r="H37" s="24" t="str">
        <x:v>Scorpionfishes</x:v>
      </x:c>
      <x:c r="I37" s="31" t="n">
        <x:v>498.7831560119</x:v>
      </x:c>
      <x:c r="J37" s="31" t="n">
        <x:v>479.55089089070003</x:v>
      </x:c>
      <x:c r="K37" s="31" t="n">
        <x:v>19.2322651212</x:v>
      </x:c>
      <x:c r="L37" s="31" t="n">
        <x:v>455.89988297310003</x:v>
      </x:c>
      <x:c r="M37" s="31" t="n">
        <x:v>42.8832730388</x:v>
      </x:c>
      <x:c r="N37" s="24" t="str">
        <x:v>sebastes pinniger</x:v>
      </x:c>
      <x:c r="O37" s="32" t="n">
        <x:v>3.8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Sebastes pinniger</x:v>
      </x:c>
      <x:c r="T37" s="32" t="n">
        <x:f>IF(O37="","",(1/'Metadata'!$B$5)^(O37-1))</x:f>
        <x:v>630.957344480193</x:v>
      </x:c>
      <x:c r="U37" s="31" t="n">
        <x:f>IF(T37="","",I37*T37)</x:f>
        <x:v>314710.89558871824</x:v>
      </x:c>
    </x:row>
    <x:row r="38" ht="18" customHeight="1">
      <x:c r="A38" s="24" t="str">
        <x:v>EEZ_848</x:v>
      </x:c>
      <x:c r="B38" s="24" t="str">
        <x:v>USA (West Coast)</x:v>
      </x:c>
      <x:c r="C38" s="24" t="str">
        <x:v>EEZ</x:v>
      </x:c>
      <x:c r="D38" s="30" t="n">
        <x:v>2019</x:v>
      </x:c>
      <x:c r="E38" s="24" t="str">
        <x:v>Alosa sapidissima</x:v>
      </x:c>
      <x:c r="F38" s="24" t="str">
        <x:v>American shad</x:v>
      </x:c>
      <x:c r="G38" s="24" t="str">
        <x:v>Medium pelagics (30 - 89 cm)</x:v>
      </x:c>
      <x:c r="H38" s="24" t="str">
        <x:v>Herring-likes</x:v>
      </x:c>
      <x:c r="I38" s="31" t="n">
        <x:v>480.2724261164</x:v>
      </x:c>
      <x:c r="J38" s="31" t="n">
        <x:v>479.65154089500004</x:v>
      </x:c>
      <x:c r="K38" s="31" t="n">
        <x:v>0.6208852214</x:v>
      </x:c>
      <x:c r="L38" s="31" t="n">
        <x:v>479.60011249120004</x:v>
      </x:c>
      <x:c r="M38" s="31" t="n">
        <x:v>0.6723136252</x:v>
      </x:c>
      <x:c r="N38" s="24" t="str">
        <x:v>alosa sapidissima</x:v>
      </x:c>
      <x:c r="O38" s="32" t="n">
        <x:v>3.48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Alosa sapidissima</x:v>
      </x:c>
      <x:c r="T38" s="32" t="n">
        <x:f>IF(O38="","",(1/'Metadata'!$B$5)^(O38-1))</x:f>
        <x:v>301.9951720402016</x:v>
      </x:c>
      <x:c r="U38" s="31" t="n">
        <x:f>IF(T38="","",I38*T38)</x:f>
        <x:v>145039.95395118726</x:v>
      </x:c>
    </x:row>
    <x:row r="39" ht="18" customHeight="1">
      <x:c r="A39" s="24" t="str">
        <x:v>EEZ_848</x:v>
      </x:c>
      <x:c r="B39" s="24" t="str">
        <x:v>USA (West Coast)</x:v>
      </x:c>
      <x:c r="C39" s="24" t="str">
        <x:v>EEZ</x:v>
      </x:c>
      <x:c r="D39" s="30" t="n">
        <x:v>2019</x:v>
      </x:c>
      <x:c r="E39" s="24" t="str">
        <x:v>Sebastes paucispinis</x:v>
      </x:c>
      <x:c r="F39" s="24" t="str">
        <x:v>Bocaccio rockfish</x:v>
      </x:c>
      <x:c r="G39" s="24" t="str">
        <x:v>Medium reef assoc. fish (30 - 89 cm)</x:v>
      </x:c>
      <x:c r="H39" s="24" t="str">
        <x:v>Scorpionfishes</x:v>
      </x:c>
      <x:c r="I39" s="31" t="n">
        <x:v>450.74234281760005</x:v>
      </x:c>
      <x:c r="J39" s="31" t="n">
        <x:v>450.15605326120004</x:v>
      </x:c>
      <x:c r="K39" s="31" t="n">
        <x:v>0.5862895564</x:v>
      </x:c>
      <x:c r="L39" s="31" t="n">
        <x:v>450.0997904403</x:v>
      </x:c>
      <x:c r="M39" s="31" t="n">
        <x:v>0.6425523773</x:v>
      </x:c>
      <x:c r="N39" s="24" t="str">
        <x:v>sebastes paucispinis</x:v>
      </x:c>
      <x:c r="O39" s="32" t="n">
        <x:v>3.51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Sebastes paucispinis</x:v>
      </x:c>
      <x:c r="T39" s="32" t="n">
        <x:f>IF(O39="","",(1/'Metadata'!$B$5)^(O39-1))</x:f>
        <x:v>323.5936569296281</x:v>
      </x:c>
      <x:c r="U39" s="31" t="n">
        <x:f>IF(T39="","",I39*T39)</x:f>
        <x:v>145857.36304537527</x:v>
      </x:c>
    </x:row>
    <x:row r="40" ht="18" customHeight="1">
      <x:c r="A40" s="24" t="str">
        <x:v>EEZ_848</x:v>
      </x:c>
      <x:c r="B40" s="24" t="str">
        <x:v>USA (West Coast)</x:v>
      </x:c>
      <x:c r="C40" s="24" t="str">
        <x:v>EEZ</x:v>
      </x:c>
      <x:c r="D40" s="30" t="n">
        <x:v>2019</x:v>
      </x:c>
      <x:c r="E40" s="24" t="str">
        <x:v>Xiphias gladius</x:v>
      </x:c>
      <x:c r="F40" s="24" t="str">
        <x:v>Swordfish</x:v>
      </x:c>
      <x:c r="G40" s="24" t="str">
        <x:v>Large pelagics (&gt;=90 cm)</x:v>
      </x:c>
      <x:c r="H40" s="24" t="str">
        <x:v>Tuna &amp; billfishes</x:v>
      </x:c>
      <x:c r="I40" s="31" t="n">
        <x:v>422.4921774574</x:v>
      </x:c>
      <x:c r="J40" s="31" t="n">
        <x:v>421.29981584129996</x:v>
      </x:c>
      <x:c r="K40" s="31" t="n">
        <x:v>1.1923616161</x:v>
      </x:c>
      <x:c r="L40" s="31" t="n">
        <x:v>421.29981584129996</x:v>
      </x:c>
      <x:c r="M40" s="31" t="n">
        <x:v>1.1923616161</x:v>
      </x:c>
      <x:c r="N40" s="24" t="str">
        <x:v>xiphias gladius</x:v>
      </x:c>
      <x:c r="O40" s="32" t="n">
        <x:v>4.53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Xiphias gladius</x:v>
      </x:c>
      <x:c r="T40" s="32" t="n">
        <x:f>IF(O40="","",(1/'Metadata'!$B$5)^(O40-1))</x:f>
        <x:v>3388.4415613920273</x:v>
      </x:c>
      <x:c r="U40" s="31" t="n">
        <x:f>IF(T40="","",I40*T40)</x:f>
        <x:v>1431590.05345967</x:v>
      </x:c>
    </x:row>
    <x:row r="41" ht="18" customHeight="1">
      <x:c r="A41" s="24" t="str">
        <x:v>EEZ_848</x:v>
      </x:c>
      <x:c r="B41" s="24" t="str">
        <x:v>USA (West Coast)</x:v>
      </x:c>
      <x:c r="C41" s="24" t="str">
        <x:v>EEZ</x:v>
      </x:c>
      <x:c r="D41" s="30" t="n">
        <x:v>2019</x:v>
      </x:c>
      <x:c r="E41" s="24" t="str">
        <x:v>Paralichthys californicus</x:v>
      </x:c>
      <x:c r="F41" s="24" t="str">
        <x:v>California flounder</x:v>
      </x:c>
      <x:c r="G41" s="24" t="str">
        <x:v>Large flatfishes (&gt;=90 cm)</x:v>
      </x:c>
      <x:c r="H41" s="24" t="str">
        <x:v>Flatfishes</x:v>
      </x:c>
      <x:c r="I41" s="31" t="n">
        <x:v>410.7294688184</x:v>
      </x:c>
      <x:c r="J41" s="31" t="n">
        <x:v>354.5852873056</x:v>
      </x:c>
      <x:c r="K41" s="31" t="n">
        <x:v>56.1441815128</x:v>
      </x:c>
      <x:c r="L41" s="31" t="n">
        <x:v>332.09986301509997</x:v>
      </x:c>
      <x:c r="M41" s="31" t="n">
        <x:v>78.6296058033</x:v>
      </x:c>
      <x:c r="N41" s="24" t="str">
        <x:v>paralichthys californicus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Paralichthys californicus</x:v>
      </x:c>
      <x:c r="T41" s="32" t="n">
        <x:f>IF(O41="","",(1/'Metadata'!$B$5)^(O41-1))</x:f>
        <x:v>3162.2776601683795</x:v>
      </x:c>
      <x:c r="U41" s="31" t="n">
        <x:f>IF(T41="","",I41*T41)</x:f>
        <x:v>1298840.6236172514</x:v>
      </x:c>
    </x:row>
    <x:row r="42" ht="18" customHeight="1">
      <x:c r="A42" s="24" t="str">
        <x:v>EEZ_848</x:v>
      </x:c>
      <x:c r="B42" s="24" t="str">
        <x:v>USA (West Coast)</x:v>
      </x:c>
      <x:c r="C42" s="24" t="str">
        <x:v>EEZ</x:v>
      </x:c>
      <x:c r="D42" s="30" t="n">
        <x:v>2019</x:v>
      </x:c>
      <x:c r="E42" s="24" t="str">
        <x:v>Sebastes crameri</x:v>
      </x:c>
      <x:c r="F42" s="24" t="str">
        <x:v>Darkblotched rockfish</x:v>
      </x:c>
      <x:c r="G42" s="24" t="str">
        <x:v>Medium demersals (30 - 89 cm)</x:v>
      </x:c>
      <x:c r="H42" s="24" t="str">
        <x:v>Scorpionfishes</x:v>
      </x:c>
      <x:c r="I42" s="31" t="n">
        <x:v>406.36879968780005</x:v>
      </x:c>
      <x:c r="J42" s="31" t="n">
        <x:v>393.3045696933</x:v>
      </x:c>
      <x:c r="K42" s="31" t="n">
        <x:v>13.0642299945</x:v>
      </x:c>
      <x:c r="L42" s="31" t="n">
        <x:v>393.2999791348</x:v>
      </x:c>
      <x:c r="M42" s="31" t="n">
        <x:v>13.068820553</x:v>
      </x:c>
      <x:c r="N42" s="24" t="str">
        <x:v>sebastes crameri</x:v>
      </x:c>
      <x:c r="O42" s="32" t="n">
        <x:v>3.7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Sebastes crameri</x:v>
      </x:c>
      <x:c r="T42" s="32" t="n">
        <x:f>IF(O42="","",(1/'Metadata'!$B$5)^(O42-1))</x:f>
        <x:v>501.18723362727246</x:v>
      </x:c>
      <x:c r="U42" s="31" t="n">
        <x:f>IF(T42="","",I42*T42)</x:f>
        <x:v>203666.85454796374</x:v>
      </x:c>
    </x:row>
    <x:row r="43" ht="18" customHeight="1">
      <x:c r="A43" s="24" t="str">
        <x:v>EEZ_848</x:v>
      </x:c>
      <x:c r="B43" s="24" t="str">
        <x:v>USA (West Coast)</x:v>
      </x:c>
      <x:c r="C43" s="24" t="str">
        <x:v>EEZ</x:v>
      </x:c>
      <x:c r="D43" s="30" t="n">
        <x:v>2019</x:v>
      </x:c>
      <x:c r="E43" s="24" t="str">
        <x:v>Clupea pallasii</x:v>
      </x:c>
      <x:c r="F43" s="24" t="str">
        <x:v>Pacific herring</x:v>
      </x:c>
      <x:c r="G43" s="24" t="str">
        <x:v>Medium pelagics (30 - 89 cm)</x:v>
      </x:c>
      <x:c r="H43" s="24" t="str">
        <x:v>Herring-likes</x:v>
      </x:c>
      <x:c r="I43" s="31" t="n">
        <x:v>395.7647671699</x:v>
      </x:c>
      <x:c r="J43" s="31" t="n">
        <x:v>395.7612471699</x:v>
      </x:c>
      <x:c r="K43" s="31" t="n">
        <x:v>0.00352</x:v>
      </x:c>
      <x:c r="L43" s="31" t="n">
        <x:v>391.3998784372</x:v>
      </x:c>
      <x:c r="M43" s="31" t="n">
        <x:v>4.3648887327</x:v>
      </x:c>
      <x:c r="N43" s="24" t="str">
        <x:v>clupea pallasii</x:v>
      </x:c>
      <x:c r="O43" s="32" t="n">
        <x:v>3.16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Clupea pallasii</x:v>
      </x:c>
      <x:c r="T43" s="32" t="n">
        <x:f>IF(O43="","",(1/'Metadata'!$B$5)^(O43-1))</x:f>
        <x:v>144.5439770745928</x:v>
      </x:c>
      <x:c r="U43" s="31" t="n">
        <x:f>IF(T43="","",I43*T43)</x:f>
        <x:v>57205.41343273757</x:v>
      </x:c>
    </x:row>
    <x:row r="44" ht="18" customHeight="1">
      <x:c r="A44" s="24" t="str">
        <x:v>EEZ_848</x:v>
      </x:c>
      <x:c r="B44" s="24" t="str">
        <x:v>USA (West Coast)</x:v>
      </x:c>
      <x:c r="C44" s="24" t="str">
        <x:v>EEZ</x:v>
      </x:c>
      <x:c r="D44" s="30" t="n">
        <x:v>2019</x:v>
      </x:c>
      <x:c r="E44" s="24" t="str">
        <x:v>Miscellaneous marine crustaceans</x:v>
      </x:c>
      <x:c r="F44" s="24" t="str">
        <x:v>Marine crabs, shrimps, lobsters nei</x:v>
      </x:c>
      <x:c r="G44" s="24" t="str">
        <x:v>Shrimps</x:v>
      </x:c>
      <x:c r="H44" s="24" t="str">
        <x:v>Crustaceans</x:v>
      </x:c>
      <x:c r="I44" s="31" t="n">
        <x:v>394.5999764132</x:v>
      </x:c>
      <x:c r="J44" s="31" t="n">
        <x:v>394.5999764132</x:v>
      </x:c>
      <x:c r="K44" s="31" t="n">
        <x:v>0</x:v>
      </x:c>
      <x:c r="L44" s="31" t="n">
        <x:v>394.5999764132</x:v>
      </x:c>
      <x:c r="M44" s="31" t="n">
        <x:v>0</x:v>
      </x:c>
      <x:c r="N44" s="24" t="str">
        <x:v>miscellaneous marine crustaceans</x:v>
      </x:c>
      <x:c r="O44" s="32" t="n">
        <x:v>2.7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Miscellaneous marine crustaceans</x:v>
      </x:c>
      <x:c r="T44" s="32" t="n">
        <x:f>IF(O44="","",(1/'Metadata'!$B$5)^(O44-1))</x:f>
        <x:v>50.11872336272725</x:v>
      </x:c>
      <x:c r="U44" s="31" t="n">
        <x:f>IF(T44="","",I44*T44)</x:f>
        <x:v>19776.84705679187</x:v>
      </x:c>
    </x:row>
    <x:row r="45" ht="18" customHeight="1">
      <x:c r="A45" s="24" t="str">
        <x:v>EEZ_848</x:v>
      </x:c>
      <x:c r="B45" s="24" t="str">
        <x:v>USA (West Coast)</x:v>
      </x:c>
      <x:c r="C45" s="24" t="str">
        <x:v>EEZ</x:v>
      </x:c>
      <x:c r="D45" s="30" t="n">
        <x:v>2019</x:v>
      </x:c>
      <x:c r="E45" s="24" t="str">
        <x:v>Panulirus interruptus</x:v>
      </x:c>
      <x:c r="F45" s="24" t="str">
        <x:v>Mexican spiny loster</x:v>
      </x:c>
      <x:c r="G45" s="24" t="str">
        <x:v>Lobsters, crabs</x:v>
      </x:c>
      <x:c r="H45" s="24" t="str">
        <x:v>Crustaceans</x:v>
      </x:c>
      <x:c r="I45" s="31" t="n">
        <x:v>374.0998448712</x:v>
      </x:c>
      <x:c r="J45" s="31" t="n">
        <x:v>374.0998448712</x:v>
      </x:c>
      <x:c r="K45" s="31" t="n">
        <x:v>0</x:v>
      </x:c>
      <x:c r="L45" s="31" t="n">
        <x:v>374.0998448712</x:v>
      </x:c>
      <x:c r="M45" s="31" t="n">
        <x:v>0</x:v>
      </x:c>
      <x:c r="N45" s="24" t="str">
        <x:v>panulirus interruptus</x:v>
      </x:c>
      <x:c r="O45" s="32" t="n">
        <x:v>3.31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Panulirus interruptus</x:v>
      </x:c>
      <x:c r="T45" s="32" t="n">
        <x:f>IF(O45="","",(1/'Metadata'!$B$5)^(O45-1))</x:f>
        <x:v>204.17379446695296</x:v>
      </x:c>
      <x:c r="U45" s="31" t="n">
        <x:f>IF(T45="","",I45*T45)</x:f>
        <x:v>76381.38483685137</x:v>
      </x:c>
    </x:row>
    <x:row r="46" ht="18" customHeight="1">
      <x:c r="A46" s="24" t="str">
        <x:v>EEZ_848</x:v>
      </x:c>
      <x:c r="B46" s="24" t="str">
        <x:v>USA (West Coast)</x:v>
      </x:c>
      <x:c r="C46" s="24" t="str">
        <x:v>EEZ</x:v>
      </x:c>
      <x:c r="D46" s="30" t="n">
        <x:v>2019</x:v>
      </x:c>
      <x:c r="E46" s="24" t="str">
        <x:v>Sebastes jordani</x:v>
      </x:c>
      <x:c r="F46" s="24" t="str">
        <x:v>Shortbelly rockfish</x:v>
      </x:c>
      <x:c r="G46" s="24" t="str">
        <x:v>Medium demersals (30 - 89 cm)</x:v>
      </x:c>
      <x:c r="H46" s="24" t="str">
        <x:v>Scorpionfishes</x:v>
      </x:c>
      <x:c r="I46" s="31" t="n">
        <x:v>372.9056041667</x:v>
      </x:c>
      <x:c r="J46" s="31" t="n">
        <x:v>368.600030844</x:v>
      </x:c>
      <x:c r="K46" s="31" t="n">
        <x:v>4.3055733227</x:v>
      </x:c>
      <x:c r="L46" s="31" t="n">
        <x:v>368.600030844</x:v>
      </x:c>
      <x:c r="M46" s="31" t="n">
        <x:v>4.3055733227</x:v>
      </x:c>
      <x:c r="N46" s="24" t="str">
        <x:v>sebastes jordani</x:v>
      </x:c>
      <x:c r="O46" s="32" t="n">
        <x:v>3.2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Sebastes jordani</x:v>
      </x:c>
      <x:c r="T46" s="32" t="n">
        <x:f>IF(O46="","",(1/'Metadata'!$B$5)^(O46-1))</x:f>
        <x:v>158.48931924611142</x:v>
      </x:c>
      <x:c r="U46" s="31" t="n">
        <x:f>IF(T46="","",I46*T46)</x:f>
        <x:v>59101.555347440175</x:v>
      </x:c>
    </x:row>
    <x:row r="47" ht="18" customHeight="1">
      <x:c r="A47" s="24" t="str">
        <x:v>EEZ_848</x:v>
      </x:c>
      <x:c r="B47" s="24" t="str">
        <x:v>USA (West Coast)</x:v>
      </x:c>
      <x:c r="C47" s="24" t="str">
        <x:v>EEZ</x:v>
      </x:c>
      <x:c r="D47" s="30" t="n">
        <x:v>2019</x:v>
      </x:c>
      <x:c r="E47" s="24" t="str">
        <x:v>Glyptocephalus zachirus</x:v>
      </x:c>
      <x:c r="F47" s="24" t="str">
        <x:v>Rex sole</x:v>
      </x:c>
      <x:c r="G47" s="24" t="str">
        <x:v>Small to medium flatfishes (&lt;90 cm)</x:v>
      </x:c>
      <x:c r="H47" s="24" t="str">
        <x:v>Flatfishes</x:v>
      </x:c>
      <x:c r="I47" s="31" t="n">
        <x:v>366.5003492667</x:v>
      </x:c>
      <x:c r="J47" s="31" t="n">
        <x:v>366.5003492667</x:v>
      </x:c>
      <x:c r="K47" s="31" t="n">
        <x:v>0</x:v>
      </x:c>
      <x:c r="L47" s="31" t="n">
        <x:v>366.5003492667</x:v>
      </x:c>
      <x:c r="M47" s="31" t="n">
        <x:v>0</x:v>
      </x:c>
      <x:c r="N47" s="24" t="str">
        <x:v>glyptocephalus zachirus</x:v>
      </x:c>
      <x:c r="O47" s="32" t="n">
        <x:v>3.25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Glyptocephalus zachirus</x:v>
      </x:c>
      <x:c r="T47" s="32" t="n">
        <x:f>IF(O47="","",(1/'Metadata'!$B$5)^(O47-1))</x:f>
        <x:v>177.82794100389228</x:v>
      </x:c>
      <x:c r="U47" s="31" t="n">
        <x:f>IF(T47="","",I47*T47)</x:f>
        <x:v>65174.00248730465</x:v>
      </x:c>
    </x:row>
    <x:row r="48" ht="18" customHeight="1">
      <x:c r="A48" s="24" t="str">
        <x:v>EEZ_848</x:v>
      </x:c>
      <x:c r="B48" s="24" t="str">
        <x:v>USA (West Coast)</x:v>
      </x:c>
      <x:c r="C48" s="24" t="str">
        <x:v>EEZ</x:v>
      </x:c>
      <x:c r="D48" s="30" t="n">
        <x:v>2019</x:v>
      </x:c>
      <x:c r="E48" s="24" t="str">
        <x:v>Sebastes melanops</x:v>
      </x:c>
      <x:c r="F48" s="24" t="str">
        <x:v>Black rockfish</x:v>
      </x:c>
      <x:c r="G48" s="24" t="str">
        <x:v>Medium reef assoc. fish (30 - 89 cm)</x:v>
      </x:c>
      <x:c r="H48" s="24" t="str">
        <x:v>Scorpionfishes</x:v>
      </x:c>
      <x:c r="I48" s="31" t="n">
        <x:v>308.9148872469</x:v>
      </x:c>
      <x:c r="J48" s="31" t="n">
        <x:v>292.6864236999</x:v>
      </x:c>
      <x:c r="K48" s="31" t="n">
        <x:v>16.228463547</x:v>
      </x:c>
      <x:c r="L48" s="31" t="n">
        <x:v>166.8999646197</x:v>
      </x:c>
      <x:c r="M48" s="31" t="n">
        <x:v>142.0149226272</x:v>
      </x:c>
      <x:c r="N48" s="24" t="str">
        <x:v>sebastes melanops</x:v>
      </x:c>
      <x:c r="O48" s="32" t="n">
        <x:v>4.38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Sebastes melanops</x:v>
      </x:c>
      <x:c r="T48" s="32" t="n">
        <x:f>IF(O48="","",(1/'Metadata'!$B$5)^(O48-1))</x:f>
        <x:v>2398.83291901949</x:v>
      </x:c>
      <x:c r="U48" s="31" t="n">
        <x:f>IF(T48="","",I48*T48)</x:f>
        <x:v>741035.2007030577</x:v>
      </x:c>
    </x:row>
    <x:row r="49" ht="18" customHeight="1">
      <x:c r="A49" s="24" t="str">
        <x:v>EEZ_848</x:v>
      </x:c>
      <x:c r="B49" s="24" t="str">
        <x:v>USA (West Coast)</x:v>
      </x:c>
      <x:c r="C49" s="24" t="str">
        <x:v>EEZ</x:v>
      </x:c>
      <x:c r="D49" s="30" t="n">
        <x:v>2019</x:v>
      </x:c>
      <x:c r="E49" s="24" t="str">
        <x:v>Decapoda</x:v>
      </x:c>
      <x:c r="F49" s="24" t="str">
        <x:v>Crabs, lobsters, shrimps</x:v>
      </x:c>
      <x:c r="G49" s="24" t="str">
        <x:v>Lobsters, crabs</x:v>
      </x:c>
      <x:c r="H49" s="24" t="str">
        <x:v>Crustaceans</x:v>
      </x:c>
      <x:c r="I49" s="31" t="n">
        <x:v>296.1195314774</x:v>
      </x:c>
      <x:c r="J49" s="31" t="n">
        <x:v>62.7999383115</x:v>
      </x:c>
      <x:c r="K49" s="31" t="n">
        <x:v>233.3195931659</x:v>
      </x:c>
      <x:c r="L49" s="31" t="n">
        <x:v>62.7999383115</x:v>
      </x:c>
      <x:c r="M49" s="31" t="n">
        <x:v>233.3195931659</x:v>
      </x:c>
      <x:c r="N49" s="24" t="str">
        <x:v>decapoda</x:v>
      </x:c>
      <x:c r="O49" s="32" t="n">
        <x:v>3.43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Decapoda</x:v>
      </x:c>
      <x:c r="T49" s="32" t="n">
        <x:f>IF(O49="","",(1/'Metadata'!$B$5)^(O49-1))</x:f>
        <x:v>269.1534803926917</x:v>
      </x:c>
      <x:c r="U49" s="31" t="n">
        <x:f>IF(T49="","",I49*T49)</x:f>
        <x:v>79701.60250939544</x:v>
      </x:c>
    </x:row>
    <x:row r="50" ht="18" customHeight="1">
      <x:c r="A50" s="24" t="str">
        <x:v>EEZ_848</x:v>
      </x:c>
      <x:c r="B50" s="24" t="str">
        <x:v>USA (West Coast)</x:v>
      </x:c>
      <x:c r="C50" s="24" t="str">
        <x:v>EEZ</x:v>
      </x:c>
      <x:c r="D50" s="30" t="n">
        <x:v>2019</x:v>
      </x:c>
      <x:c r="E50" s="24" t="str">
        <x:v>Parophrys vetulus</x:v>
      </x:c>
      <x:c r="F50" s="24" t="str">
        <x:v>English sole</x:v>
      </x:c>
      <x:c r="G50" s="24" t="str">
        <x:v>Small to medium flatfishes (&lt;90 cm)</x:v>
      </x:c>
      <x:c r="H50" s="24" t="str">
        <x:v>Flatfishes</x:v>
      </x:c>
      <x:c r="I50" s="31" t="n">
        <x:v>238.78521002440002</x:v>
      </x:c>
      <x:c r="J50" s="31" t="n">
        <x:v>157.49925157180002</x:v>
      </x:c>
      <x:c r="K50" s="31" t="n">
        <x:v>81.2859584526</x:v>
      </x:c>
      <x:c r="L50" s="31" t="n">
        <x:v>157.49925157180002</x:v>
      </x:c>
      <x:c r="M50" s="31" t="n">
        <x:v>81.2859584526</x:v>
      </x:c>
      <x:c r="N50" s="24" t="str">
        <x:v>parophrys vetulus</x:v>
      </x:c>
      <x:c r="O50" s="32" t="n">
        <x:v>3.39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Parophrys vetulus</x:v>
      </x:c>
      <x:c r="T50" s="32" t="n">
        <x:f>IF(O50="","",(1/'Metadata'!$B$5)^(O50-1))</x:f>
        <x:v>245.4708915685031</x:v>
      </x:c>
      <x:c r="U50" s="31" t="n">
        <x:f>IF(T50="","",I50*T50)</x:f>
        <x:v>58614.81839806174</x:v>
      </x:c>
    </x:row>
    <x:row r="51" ht="18" customHeight="1">
      <x:c r="A51" s="24" t="str">
        <x:v>EEZ_848</x:v>
      </x:c>
      <x:c r="B51" s="24" t="str">
        <x:v>USA (West Coast)</x:v>
      </x:c>
      <x:c r="C51" s="24" t="str">
        <x:v>EEZ</x:v>
      </x:c>
      <x:c r="D51" s="30" t="n">
        <x:v>2019</x:v>
      </x:c>
      <x:c r="E51" s="24" t="str">
        <x:v>Sebastolobus altivelis</x:v>
      </x:c>
      <x:c r="F51" s="24" t="str">
        <x:v>Longspine thornyhead</x:v>
      </x:c>
      <x:c r="G51" s="24" t="str">
        <x:v>Medium bathydemersals (30 - 89 cm)</x:v>
      </x:c>
      <x:c r="H51" s="24" t="str">
        <x:v>Scorpionfishes</x:v>
      </x:c>
      <x:c r="I51" s="31" t="n">
        <x:v>238.5508897114</x:v>
      </x:c>
      <x:c r="J51" s="31" t="n">
        <x:v>226.6998394281</x:v>
      </x:c>
      <x:c r="K51" s="31" t="n">
        <x:v>11.851050283300001</x:v>
      </x:c>
      <x:c r="L51" s="31" t="n">
        <x:v>226.6998394281</x:v>
      </x:c>
      <x:c r="M51" s="31" t="n">
        <x:v>11.851050283300001</x:v>
      </x:c>
      <x:c r="N51" s="24" t="str">
        <x:v>sebastolobus altivelis</x:v>
      </x:c>
      <x:c r="O51" s="32" t="n">
        <x:v>3.33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Sebastolobus altivelis</x:v>
      </x:c>
      <x:c r="T51" s="32" t="n">
        <x:f>IF(O51="","",(1/'Metadata'!$B$5)^(O51-1))</x:f>
        <x:v>213.79620895022325</x:v>
      </x:c>
      <x:c r="U51" s="31" t="n">
        <x:f>IF(T51="","",I51*T51)</x:f>
        <x:v>51001.27586200013</x:v>
      </x:c>
    </x:row>
    <x:row r="52" ht="18" customHeight="1">
      <x:c r="A52" s="24" t="str">
        <x:v>EEZ_848</x:v>
      </x:c>
      <x:c r="B52" s="24" t="str">
        <x:v>USA (West Coast)</x:v>
      </x:c>
      <x:c r="C52" s="24" t="str">
        <x:v>EEZ</x:v>
      </x:c>
      <x:c r="D52" s="30" t="n">
        <x:v>2019</x:v>
      </x:c>
      <x:c r="E52" s="24" t="str">
        <x:v>Clinocardium nuttallii</x:v>
      </x:c>
      <x:c r="F52" s="24" t="str">
        <x:v>Nuttall cockle</x:v>
      </x:c>
      <x:c r="G52" s="24" t="str">
        <x:v>Other demersal invertebrates</x:v>
      </x:c>
      <x:c r="H52" s="24" t="str">
        <x:v>Molluscs</x:v>
      </x:c>
      <x:c r="I52" s="31" t="n">
        <x:v>212.1744979928</x:v>
      </x:c>
      <x:c r="J52" s="31" t="n">
        <x:v>212.1744979928</x:v>
      </x:c>
      <x:c r="K52" s="31" t="n">
        <x:v>0</x:v>
      </x:c>
      <x:c r="L52" s="31" t="n">
        <x:v>151.59982219160003</x:v>
      </x:c>
      <x:c r="M52" s="31" t="n">
        <x:v>60.5746758012</x:v>
      </x:c>
      <x:c r="N52" s="24" t="str">
        <x:v>clinocardium nuttallii</x:v>
      </x:c>
      <x:c r="O52" s="32" t="n">
        <x:v>2.05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Clinocardium nuttallii</x:v>
      </x:c>
      <x:c r="T52" s="32" t="n">
        <x:f>IF(O52="","",(1/'Metadata'!$B$5)^(O52-1))</x:f>
        <x:v>11.220184543019629</x:v>
      </x:c>
      <x:c r="U52" s="31" t="n">
        <x:f>IF(T52="","",I52*T52)</x:f>
        <x:v>2380.637022801764</x:v>
      </x:c>
    </x:row>
    <x:row r="53" ht="18" customHeight="1">
      <x:c r="A53" s="24" t="str">
        <x:v>EEZ_848</x:v>
      </x:c>
      <x:c r="B53" s="24" t="str">
        <x:v>USA (West Coast)</x:v>
      </x:c>
      <x:c r="C53" s="24" t="str">
        <x:v>EEZ</x:v>
      </x:c>
      <x:c r="D53" s="30" t="n">
        <x:v>2019</x:v>
      </x:c>
      <x:c r="E53" s="24" t="str">
        <x:v>Raja</x:v>
      </x:c>
      <x:c r="F53" s="24" t="str">
        <x:v>Stingrays, skates</x:v>
      </x:c>
      <x:c r="G53" s="24" t="str">
        <x:v>Small to medium rays (&lt;90 cm)</x:v>
      </x:c>
      <x:c r="H53" s="24" t="str">
        <x:v>Sharks &amp; rays</x:v>
      </x:c>
      <x:c r="I53" s="31" t="n">
        <x:v>205.4752643821</x:v>
      </x:c>
      <x:c r="J53" s="31" t="n">
        <x:v>0.1868039025</x:v>
      </x:c>
      <x:c r="K53" s="31" t="n">
        <x:v>205.2884604796</x:v>
      </x:c>
      <x:c r="L53" s="31" t="n">
        <x:v>0</x:v>
      </x:c>
      <x:c r="M53" s="31" t="n">
        <x:v>205.4752643821</x:v>
      </x:c>
      <x:c r="N53" s="24" t="str">
        <x:v>raja</x:v>
      </x:c>
      <x:c r="O53" s="32" t="n">
        <x:v>3.8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Raja</x:v>
      </x:c>
      <x:c r="T53" s="32" t="n">
        <x:f>IF(O53="","",(1/'Metadata'!$B$5)^(O53-1))</x:f>
        <x:v>630.957344480193</x:v>
      </x:c>
      <x:c r="U53" s="31" t="n">
        <x:f>IF(T53="","",I53*T53)</x:f>
        <x:v>129646.1271708954</x:v>
      </x:c>
    </x:row>
    <x:row r="54" ht="18" customHeight="1">
      <x:c r="A54" s="24" t="str">
        <x:v>EEZ_848</x:v>
      </x:c>
      <x:c r="B54" s="24" t="str">
        <x:v>USA (West Coast)</x:v>
      </x:c>
      <x:c r="C54" s="24" t="str">
        <x:v>EEZ</x:v>
      </x:c>
      <x:c r="D54" s="30" t="n">
        <x:v>2019</x:v>
      </x:c>
      <x:c r="E54" s="24" t="str">
        <x:v>Sicyonia ingentis</x:v>
      </x:c>
      <x:c r="F54" s="24" t="str">
        <x:v>Ridgeback rock shrimp</x:v>
      </x:c>
      <x:c r="G54" s="24" t="str">
        <x:v>Shrimps</x:v>
      </x:c>
      <x:c r="H54" s="24" t="str">
        <x:v>Crustaceans</x:v>
      </x:c>
      <x:c r="I54" s="31" t="n">
        <x:v>204.3000607814</x:v>
      </x:c>
      <x:c r="J54" s="31" t="n">
        <x:v>204.3000607814</x:v>
      </x:c>
      <x:c r="K54" s="31" t="n">
        <x:v>0</x:v>
      </x:c>
      <x:c r="L54" s="31" t="n">
        <x:v>204.3000607814</x:v>
      </x:c>
      <x:c r="M54" s="31" t="n">
        <x:v>0</x:v>
      </x:c>
      <x:c r="N54" s="24" t="str">
        <x:v>sicyonia ingentis</x:v>
      </x:c>
      <x:c r="O54" s="32" t="n">
        <x:v>2.6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Sicyonia ingentis</x:v>
      </x:c>
      <x:c r="T54" s="32" t="n">
        <x:f>IF(O54="","",(1/'Metadata'!$B$5)^(O54-1))</x:f>
        <x:v>39.810717055349734</x:v>
      </x:c>
      <x:c r="U54" s="31" t="n">
        <x:f>IF(T54="","",I54*T54)</x:f>
        <x:v>8133.331914159068</x:v>
      </x:c>
    </x:row>
    <x:row r="55" ht="18" customHeight="1">
      <x:c r="A55" s="24" t="str">
        <x:v>EEZ_848</x:v>
      </x:c>
      <x:c r="B55" s="24" t="str">
        <x:v>USA (West Coast)</x:v>
      </x:c>
      <x:c r="C55" s="24" t="str">
        <x:v>EEZ</x:v>
      </x:c>
      <x:c r="D55" s="30" t="n">
        <x:v>2019</x:v>
      </x:c>
      <x:c r="E55" s="24" t="str">
        <x:v>Sebastes aleutianus</x:v>
      </x:c>
      <x:c r="F55" s="24" t="str">
        <x:v>Rougheye rockfish</x:v>
      </x:c>
      <x:c r="G55" s="24" t="str">
        <x:v>Large bathydemersals (&gt;=90 cm)</x:v>
      </x:c>
      <x:c r="H55" s="24" t="str">
        <x:v>Scorpionfishes</x:v>
      </x:c>
      <x:c r="I55" s="31" t="n">
        <x:v>196.5637098116</x:v>
      </x:c>
      <x:c r="J55" s="31" t="n">
        <x:v>176.300224075</x:v>
      </x:c>
      <x:c r="K55" s="31" t="n">
        <x:v>20.2634857366</x:v>
      </x:c>
      <x:c r="L55" s="31" t="n">
        <x:v>176.300224075</x:v>
      </x:c>
      <x:c r="M55" s="31" t="n">
        <x:v>20.2634857366</x:v>
      </x:c>
      <x:c r="N55" s="24" t="str">
        <x:v>sebastes aleutianus</x:v>
      </x:c>
      <x:c r="O55" s="32" t="n">
        <x:v>3.52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Sebastes aleutianus</x:v>
      </x:c>
      <x:c r="T55" s="32" t="n">
        <x:f>IF(O55="","",(1/'Metadata'!$B$5)^(O55-1))</x:f>
        <x:v>331.1311214825911</x:v>
      </x:c>
      <x:c r="U55" s="31" t="n">
        <x:f>IF(T55="","",I55*T55)</x:f>
        <x:v>65088.3616726937</x:v>
      </x:c>
    </x:row>
    <x:row r="56" ht="18" customHeight="1">
      <x:c r="A56" s="24" t="str">
        <x:v>EEZ_848</x:v>
      </x:c>
      <x:c r="B56" s="24" t="str">
        <x:v>USA (West Coast)</x:v>
      </x:c>
      <x:c r="C56" s="24" t="str">
        <x:v>EEZ</x:v>
      </x:c>
      <x:c r="D56" s="30" t="n">
        <x:v>2019</x:v>
      </x:c>
      <x:c r="E56" s="24" t="str">
        <x:v>Osmeridae</x:v>
      </x:c>
      <x:c r="F56" s="24" t="str">
        <x:v>Smelts</x:v>
      </x:c>
      <x:c r="G56" s="24" t="str">
        <x:v>Small pelagics (&lt;30 cm)</x:v>
      </x:c>
      <x:c r="H56" s="24" t="str">
        <x:v>Salmon, smelts, etc</x:v>
      </x:c>
      <x:c r="I56" s="31" t="n">
        <x:v>187.35796722029997</x:v>
      </x:c>
      <x:c r="J56" s="31" t="n">
        <x:v>182.39606801559998</x:v>
      </x:c>
      <x:c r="K56" s="31" t="n">
        <x:v>4.9618992047</x:v>
      </x:c>
      <x:c r="L56" s="31" t="n">
        <x:v>182.2001070479</x:v>
      </x:c>
      <x:c r="M56" s="31" t="n">
        <x:v>5.1578601723999995</x:v>
      </x:c>
      <x:c r="N56" s="24" t="str">
        <x:v>osmeridae</x:v>
      </x:c>
      <x:c r="O56" s="32" t="n">
        <x:v>3.46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Osmeridae</x:v>
      </x:c>
      <x:c r="T56" s="32" t="n">
        <x:f>IF(O56="","",(1/'Metadata'!$B$5)^(O56-1))</x:f>
        <x:v>288.40315031266056</x:v>
      </x:c>
      <x:c r="U56" s="31" t="n">
        <x:f>IF(T56="","",I56*T56)</x:f>
        <x:v>54034.627982510705</x:v>
      </x:c>
    </x:row>
    <x:row r="57" ht="18" customHeight="1">
      <x:c r="A57" s="24" t="str">
        <x:v>EEZ_848</x:v>
      </x:c>
      <x:c r="B57" s="24" t="str">
        <x:v>USA (West Coast)</x:v>
      </x:c>
      <x:c r="C57" s="24" t="str">
        <x:v>EEZ</x:v>
      </x:c>
      <x:c r="D57" s="30" t="n">
        <x:v>2019</x:v>
      </x:c>
      <x:c r="E57" s="24" t="str">
        <x:v>Pleuronectidae</x:v>
      </x:c>
      <x:c r="F57" s="24" t="str">
        <x:v>Righteye flounders</x:v>
      </x:c>
      <x:c r="G57" s="24" t="str">
        <x:v>Small to medium flatfishes (&lt;90 cm)</x:v>
      </x:c>
      <x:c r="H57" s="24" t="str">
        <x:v>Flatfishes</x:v>
      </x:c>
      <x:c r="I57" s="31" t="n">
        <x:v>172.4363747656</x:v>
      </x:c>
      <x:c r="J57" s="31" t="n">
        <x:v>3.1069864662</x:v>
      </x:c>
      <x:c r="K57" s="31" t="n">
        <x:v>169.3293882994</x:v>
      </x:c>
      <x:c r="L57" s="31" t="n">
        <x:v>3.0994003502</x:v>
      </x:c>
      <x:c r="M57" s="31" t="n">
        <x:v>169.3369744154</x:v>
      </x:c>
      <x:c r="N57" s="24" t="str">
        <x:v>pleuronectidae</x:v>
      </x:c>
      <x:c r="O57" s="32" t="n">
        <x:v>3.49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Pleuronectidae</x:v>
      </x:c>
      <x:c r="T57" s="32" t="n">
        <x:f>IF(O57="","",(1/'Metadata'!$B$5)^(O57-1))</x:f>
        <x:v>309.0295432513592</x:v>
      </x:c>
      <x:c r="U57" s="31" t="n">
        <x:f>IF(T57="","",I57*T57)</x:f>
        <x:v>53287.934133733565</x:v>
      </x:c>
    </x:row>
    <x:row r="58" ht="18" customHeight="1">
      <x:c r="A58" s="24" t="str">
        <x:v>EEZ_848</x:v>
      </x:c>
      <x:c r="B58" s="24" t="str">
        <x:v>USA (West Coast)</x:v>
      </x:c>
      <x:c r="C58" s="24" t="str">
        <x:v>EEZ</x:v>
      </x:c>
      <x:c r="D58" s="30" t="n">
        <x:v>2019</x:v>
      </x:c>
      <x:c r="E58" s="24" t="str">
        <x:v>Citharichthys sordidus</x:v>
      </x:c>
      <x:c r="F58" s="24" t="str">
        <x:v>Pacific sanddab</x:v>
      </x:c>
      <x:c r="G58" s="24" t="str">
        <x:v>Small to medium flatfishes (&lt;90 cm)</x:v>
      </x:c>
      <x:c r="H58" s="24" t="str">
        <x:v>Flatfishes</x:v>
      </x:c>
      <x:c r="I58" s="31" t="n">
        <x:v>159.5783762449</x:v>
      </x:c>
      <x:c r="J58" s="31" t="n">
        <x:v>22.0426783139</x:v>
      </x:c>
      <x:c r="K58" s="31" t="n">
        <x:v>137.535697931</x:v>
      </x:c>
      <x:c r="L58" s="31" t="n">
        <x:v>21.8999192604</x:v>
      </x:c>
      <x:c r="M58" s="31" t="n">
        <x:v>137.6784569845</x:v>
      </x:c>
      <x:c r="N58" s="24" t="str">
        <x:v>citharichthys sordidus</x:v>
      </x:c>
      <x:c r="O58" s="32" t="n">
        <x:v>3.46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Citharichthys sordidus</x:v>
      </x:c>
      <x:c r="T58" s="32" t="n">
        <x:f>IF(O58="","",(1/'Metadata'!$B$5)^(O58-1))</x:f>
        <x:v>288.40315031266056</x:v>
      </x:c>
      <x:c r="U58" s="31" t="n">
        <x:f>IF(T58="","",I58*T58)</x:f>
        <x:v>46022.906430808194</x:v>
      </x:c>
    </x:row>
    <x:row r="59" ht="18" customHeight="1">
      <x:c r="A59" s="24" t="str">
        <x:v>EEZ_848</x:v>
      </x:c>
      <x:c r="B59" s="24" t="str">
        <x:v>USA (West Coast)</x:v>
      </x:c>
      <x:c r="C59" s="24" t="str">
        <x:v>EEZ</x:v>
      </x:c>
      <x:c r="D59" s="30" t="n">
        <x:v>2019</x:v>
      </x:c>
      <x:c r="E59" s="24" t="str">
        <x:v>Tresus</x:v>
      </x:c>
      <x:c r="F59" s="24" t="str">
        <x:v>Gaper clams</x:v>
      </x:c>
      <x:c r="G59" s="24" t="str">
        <x:v>Other demersal invertebrates</x:v>
      </x:c>
      <x:c r="H59" s="24" t="str">
        <x:v>Molluscs</x:v>
      </x:c>
      <x:c r="I59" s="31" t="n">
        <x:v>159.0744060164</x:v>
      </x:c>
      <x:c r="J59" s="31" t="n">
        <x:v>159.0744060164</x:v>
      </x:c>
      <x:c r="K59" s="31" t="n">
        <x:v>0</x:v>
      </x:c>
      <x:c r="L59" s="31" t="n">
        <x:v>144.50018597309997</x:v>
      </x:c>
      <x:c r="M59" s="31" t="n">
        <x:v>14.5742200433</x:v>
      </x:c>
      <x:c r="N59" s="24" t="str">
        <x:v>tresus</x:v>
      </x:c>
      <x:c r="O59" s="32" t="n">
        <x:v>2.03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Tresus</x:v>
      </x:c>
      <x:c r="T59" s="32" t="n">
        <x:f>IF(O59="","",(1/'Metadata'!$B$5)^(O59-1))</x:f>
        <x:v>10.71519305237606</x:v>
      </x:c>
      <x:c r="U59" s="31" t="n">
        <x:f>IF(T59="","",I59*T59)</x:f>
        <x:v>1704.5129701577778</x:v>
      </x:c>
    </x:row>
    <x:row r="60" ht="18" customHeight="1">
      <x:c r="A60" s="24" t="str">
        <x:v>EEZ_848</x:v>
      </x:c>
      <x:c r="B60" s="24" t="str">
        <x:v>USA (West Coast)</x:v>
      </x:c>
      <x:c r="C60" s="24" t="str">
        <x:v>EEZ</x:v>
      </x:c>
      <x:c r="D60" s="30" t="n">
        <x:v>2019</x:v>
      </x:c>
      <x:c r="E60" s="24" t="str">
        <x:v>Penaeidae</x:v>
      </x:c>
      <x:c r="F60" s="24" t="str">
        <x:v>Commercial shrimps and prawns</x:v>
      </x:c>
      <x:c r="G60" s="24" t="str">
        <x:v>Shrimps</x:v>
      </x:c>
      <x:c r="H60" s="24" t="str">
        <x:v>Crustaceans</x:v>
      </x:c>
      <x:c r="I60" s="31" t="n">
        <x:v>137.8001651079</x:v>
      </x:c>
      <x:c r="J60" s="31" t="n">
        <x:v>137.8001651079</x:v>
      </x:c>
      <x:c r="K60" s="31" t="n">
        <x:v>0</x:v>
      </x:c>
      <x:c r="L60" s="31" t="n">
        <x:v>137.8001651079</x:v>
      </x:c>
      <x:c r="M60" s="31" t="n">
        <x:v>0</x:v>
      </x:c>
      <x:c r="N60" s="24" t="str">
        <x:v>penaeidae</x:v>
      </x:c>
      <x:c r="O60" s="32" t="n">
        <x:v>3.31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Penaeidae</x:v>
      </x:c>
      <x:c r="T60" s="32" t="n">
        <x:f>IF(O60="","",(1/'Metadata'!$B$5)^(O60-1))</x:f>
        <x:v>204.17379446695296</x:v>
      </x:c>
      <x:c r="U60" s="31" t="n">
        <x:f>IF(T60="","",I60*T60)</x:f>
        <x:v>28135.182588252555</x:v>
      </x:c>
    </x:row>
    <x:row r="61" ht="18" customHeight="1">
      <x:c r="A61" s="24" t="str">
        <x:v>EEZ_848</x:v>
      </x:c>
      <x:c r="B61" s="24" t="str">
        <x:v>USA (West Coast)</x:v>
      </x:c>
      <x:c r="C61" s="24" t="str">
        <x:v>EEZ</x:v>
      </x:c>
      <x:c r="D61" s="30" t="n">
        <x:v>2019</x:v>
      </x:c>
      <x:c r="E61" s="24" t="str">
        <x:v>Saxidomus gigantea</x:v>
      </x:c>
      <x:c r="F61" s="24" t="str">
        <x:v>Butter clam</x:v>
      </x:c>
      <x:c r="G61" s="24" t="str">
        <x:v>Other demersal invertebrates</x:v>
      </x:c>
      <x:c r="H61" s="24" t="str">
        <x:v>Molluscs</x:v>
      </x:c>
      <x:c r="I61" s="31" t="n">
        <x:v>129.746673301</x:v>
      </x:c>
      <x:c r="J61" s="31" t="n">
        <x:v>129.746673301</x:v>
      </x:c>
      <x:c r="K61" s="31" t="n">
        <x:v>0</x:v>
      </x:c>
      <x:c r="L61" s="31" t="n">
        <x:v>51.500031751600005</x:v>
      </x:c>
      <x:c r="M61" s="31" t="n">
        <x:v>78.2466415494</x:v>
      </x:c>
      <x:c r="N61" s="24" t="str">
        <x:v>saxidomus gigantea</x:v>
      </x:c>
      <x:c r="O61" s="32" t="n">
        <x:v>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Saxidomus gigantea</x:v>
      </x:c>
      <x:c r="T61" s="32" t="n">
        <x:f>IF(O61="","",(1/'Metadata'!$B$5)^(O61-1))</x:f>
        <x:v>10</x:v>
      </x:c>
      <x:c r="U61" s="31" t="n">
        <x:f>IF(T61="","",I61*T61)</x:f>
        <x:v>1297.4667330099999</x:v>
      </x:c>
    </x:row>
    <x:row r="62" ht="18" customHeight="1">
      <x:c r="A62" s="24" t="str">
        <x:v>EEZ_848</x:v>
      </x:c>
      <x:c r="B62" s="24" t="str">
        <x:v>USA (West Coast)</x:v>
      </x:c>
      <x:c r="C62" s="24" t="str">
        <x:v>EEZ</x:v>
      </x:c>
      <x:c r="D62" s="30" t="n">
        <x:v>2019</x:v>
      </x:c>
      <x:c r="E62" s="24" t="str">
        <x:v>Squalus suckleyi</x:v>
      </x:c>
      <x:c r="F62" s="24" t="str">
        <x:v>Pacific spiny dogfish</x:v>
      </x:c>
      <x:c r="G62" s="24" t="str">
        <x:v>Large sharks (&gt;=90 cm)</x:v>
      </x:c>
      <x:c r="H62" s="24" t="str">
        <x:v>Sharks &amp; rays</x:v>
      </x:c>
      <x:c r="I62" s="31" t="n">
        <x:v>125.4910066062</x:v>
      </x:c>
      <x:c r="J62" s="31" t="n">
        <x:v>0</x:v>
      </x:c>
      <x:c r="K62" s="31" t="n">
        <x:v>125.4910066062</x:v>
      </x:c>
      <x:c r="L62" s="31" t="n">
        <x:v>0</x:v>
      </x:c>
      <x:c r="M62" s="31" t="n">
        <x:v>125.4910066062</x:v>
      </x:c>
      <x:c r="N62" s="24" t="str">
        <x:v>squalus suckleyi</x:v>
      </x:c>
      <x:c r="O62" s="32" t="n">
        <x:v>3.82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Squalus suckleyi</x:v>
      </x:c>
      <x:c r="T62" s="32" t="n">
        <x:f>IF(O62="","",(1/'Metadata'!$B$5)^(O62-1))</x:f>
        <x:v>660.6934480075957</x:v>
      </x:c>
      <x:c r="U62" s="31" t="n">
        <x:f>IF(T62="","",I62*T62)</x:f>
        <x:v>82911.08584859426</x:v>
      </x:c>
    </x:row>
    <x:row r="63" ht="18" customHeight="1">
      <x:c r="A63" s="24" t="str">
        <x:v>EEZ_848</x:v>
      </x:c>
      <x:c r="B63" s="24" t="str">
        <x:v>USA (West Coast)</x:v>
      </x:c>
      <x:c r="C63" s="24" t="str">
        <x:v>EEZ</x:v>
      </x:c>
      <x:c r="D63" s="30" t="n">
        <x:v>2019</x:v>
      </x:c>
      <x:c r="E63" s="24" t="str">
        <x:v>Gadus macrocephalus</x:v>
      </x:c>
      <x:c r="F63" s="24" t="str">
        <x:v>Pacific cod</x:v>
      </x:c>
      <x:c r="G63" s="24" t="str">
        <x:v>Large demersals (&gt;=90 cm)</x:v>
      </x:c>
      <x:c r="H63" s="24" t="str">
        <x:v>Cod-likes</x:v>
      </x:c>
      <x:c r="I63" s="31" t="n">
        <x:v>112.80810346029999</x:v>
      </x:c>
      <x:c r="J63" s="31" t="n">
        <x:v>109.88631906299999</x:v>
      </x:c>
      <x:c r="K63" s="31" t="n">
        <x:v>2.9217843972999997</x:v>
      </x:c>
      <x:c r="L63" s="31" t="n">
        <x:v>109.7000843683</x:v>
      </x:c>
      <x:c r="M63" s="31" t="n">
        <x:v>3.1080190919999997</x:v>
      </x:c>
      <x:c r="N63" s="24" t="str">
        <x:v>gadus macrocephalus</x:v>
      </x:c>
      <x:c r="O63" s="32" t="n">
        <x:v>4.16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Gadus macrocephalus</x:v>
      </x:c>
      <x:c r="T63" s="32" t="n">
        <x:f>IF(O63="","",(1/'Metadata'!$B$5)^(O63-1))</x:f>
        <x:v>1445.439770745928</x:v>
      </x:c>
      <x:c r="U63" s="31" t="n">
        <x:f>IF(T63="","",I63*T63)</x:f>
        <x:v>163057.31920393894</x:v>
      </x:c>
    </x:row>
    <x:row r="64" ht="18" customHeight="1">
      <x:c r="A64" s="24" t="str">
        <x:v>EEZ_848</x:v>
      </x:c>
      <x:c r="B64" s="24" t="str">
        <x:v>USA (West Coast)</x:v>
      </x:c>
      <x:c r="C64" s="24" t="str">
        <x:v>EEZ</x:v>
      </x:c>
      <x:c r="D64" s="30" t="n">
        <x:v>2019</x:v>
      </x:c>
      <x:c r="E64" s="24" t="str">
        <x:v>Triakis semifasciata</x:v>
      </x:c>
      <x:c r="F64" s="24" t="str">
        <x:v>Leopard shark</x:v>
      </x:c>
      <x:c r="G64" s="24" t="str">
        <x:v>Large sharks (&gt;=90 cm)</x:v>
      </x:c>
      <x:c r="H64" s="24" t="str">
        <x:v>Sharks &amp; rays</x:v>
      </x:c>
      <x:c r="I64" s="31" t="n">
        <x:v>111.44440508000001</x:v>
      </x:c>
      <x:c r="J64" s="31" t="n">
        <x:v>4.9453974796</x:v>
      </x:c>
      <x:c r="K64" s="31" t="n">
        <x:v>106.4990076004</x:v>
      </x:c>
      <x:c r="L64" s="31" t="n">
        <x:v>4.500095254600001</x:v>
      </x:c>
      <x:c r="M64" s="31" t="n">
        <x:v>106.94430982540001</x:v>
      </x:c>
      <x:c r="N64" s="24" t="str">
        <x:v>triakis semifasciata</x:v>
      </x:c>
      <x:c r="O64" s="32" t="n">
        <x:v>3.67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Triakis semifasciata</x:v>
      </x:c>
      <x:c r="T64" s="32" t="n">
        <x:f>IF(O64="","",(1/'Metadata'!$B$5)^(O64-1))</x:f>
        <x:v>467.73514128719813</x:v>
      </x:c>
      <x:c r="U64" s="31" t="n">
        <x:f>IF(T64="","",I64*T64)</x:f>
        <x:v>52126.464555761544</x:v>
      </x:c>
    </x:row>
    <x:row r="65" ht="18" customHeight="1">
      <x:c r="A65" s="24" t="str">
        <x:v>EEZ_848</x:v>
      </x:c>
      <x:c r="B65" s="24" t="str">
        <x:v>USA (West Coast)</x:v>
      </x:c>
      <x:c r="C65" s="24" t="str">
        <x:v>EEZ</x:v>
      </x:c>
      <x:c r="D65" s="30" t="n">
        <x:v>2019</x:v>
      </x:c>
      <x:c r="E65" s="24" t="str">
        <x:v>Hydrolagus colliei</x:v>
      </x:c>
      <x:c r="F65" s="24" t="str">
        <x:v>Spotted ratfish</x:v>
      </x:c>
      <x:c r="G65" s="24" t="str">
        <x:v>Small to medium rays (&lt;90 cm)</x:v>
      </x:c>
      <x:c r="H65" s="24" t="str">
        <x:v>Sharks &amp; rays</x:v>
      </x:c>
      <x:c r="I65" s="31" t="n">
        <x:v>95.35957124250001</x:v>
      </x:c>
      <x:c r="J65" s="31" t="n">
        <x:v>4.0168734915</x:v>
      </x:c>
      <x:c r="K65" s="31" t="n">
        <x:v>91.342697751</x:v>
      </x:c>
      <x:c r="L65" s="31" t="n">
        <x:v>4.0002358682</x:v>
      </x:c>
      <x:c r="M65" s="31" t="n">
        <x:v>91.3593353743</x:v>
      </x:c>
      <x:c r="N65" s="24" t="str">
        <x:v>hydrolagus colliei</x:v>
      </x:c>
      <x:c r="O65" s="32" t="n">
        <x:v>3.68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Hydrolagus colliei</x:v>
      </x:c>
      <x:c r="T65" s="32" t="n">
        <x:f>IF(O65="","",(1/'Metadata'!$B$5)^(O65-1))</x:f>
        <x:v>478.6300923226385</x:v>
      </x:c>
      <x:c r="U65" s="31" t="n">
        <x:f>IF(T65="","",I65*T65)</x:f>
        <x:v>45641.960387645006</x:v>
      </x:c>
    </x:row>
    <x:row r="66" ht="18" customHeight="1">
      <x:c r="A66" s="24" t="str">
        <x:v>EEZ_848</x:v>
      </x:c>
      <x:c r="B66" s="24" t="str">
        <x:v>USA (West Coast)</x:v>
      </x:c>
      <x:c r="C66" s="24" t="str">
        <x:v>EEZ</x:v>
      </x:c>
      <x:c r="D66" s="30" t="n">
        <x:v>2019</x:v>
      </x:c>
      <x:c r="E66" s="24" t="str">
        <x:v>Teuthida</x:v>
      </x:c>
      <x:c r="F66" s="24" t="str">
        <x:v>Squids</x:v>
      </x:c>
      <x:c r="G66" s="24" t="str">
        <x:v>Cephalopods</x:v>
      </x:c>
      <x:c r="H66" s="24" t="str">
        <x:v>Other fishes &amp; inverts</x:v>
      </x:c>
      <x:c r="I66" s="31" t="n">
        <x:v>88.4808594158</x:v>
      </x:c>
      <x:c r="J66" s="31" t="n">
        <x:v>0</x:v>
      </x:c>
      <x:c r="K66" s="31" t="n">
        <x:v>88.4808594158</x:v>
      </x:c>
      <x:c r="L66" s="31" t="n">
        <x:v>0</x:v>
      </x:c>
      <x:c r="M66" s="31" t="n">
        <x:v>88.4808594158</x:v>
      </x:c>
      <x:c r="N66" s="24" t="str">
        <x:v>teuthida</x:v>
      </x:c>
      <x:c r="O66" s="32" t="n">
        <x:v>4.13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Teuthida</x:v>
      </x:c>
      <x:c r="T66" s="32" t="n">
        <x:f>IF(O66="","",(1/'Metadata'!$B$5)^(O66-1))</x:f>
        <x:v>1348.9628825916532</x:v>
      </x:c>
      <x:c r="U66" s="31" t="n">
        <x:f>IF(T66="","",I66*T66)</x:f>
        <x:v>119357.39517172438</x:v>
      </x:c>
    </x:row>
    <x:row r="67" ht="18" customHeight="1">
      <x:c r="A67" s="24" t="str">
        <x:v>EEZ_848</x:v>
      </x:c>
      <x:c r="B67" s="24" t="str">
        <x:v>USA (West Coast)</x:v>
      </x:c>
      <x:c r="C67" s="24" t="str">
        <x:v>EEZ</x:v>
      </x:c>
      <x:c r="D67" s="30" t="n">
        <x:v>2019</x:v>
      </x:c>
      <x:c r="E67" s="24" t="str">
        <x:v>Perciformes</x:v>
      </x:c>
      <x:c r="F67" s="24" t="str">
        <x:v>Perch-likes</x:v>
      </x:c>
      <x:c r="G67" s="24" t="str">
        <x:v>Medium demersals (30 - 89 cm)</x:v>
      </x:c>
      <x:c r="H67" s="24" t="str">
        <x:v>Perch-likes</x:v>
      </x:c>
      <x:c r="I67" s="31" t="n">
        <x:v>84.3707898486</x:v>
      </x:c>
      <x:c r="J67" s="31" t="n">
        <x:v>68.5364876643</x:v>
      </x:c>
      <x:c r="K67" s="31" t="n">
        <x:v>15.8343021843</x:v>
      </x:c>
      <x:c r="L67" s="31" t="n">
        <x:v>0</x:v>
      </x:c>
      <x:c r="M67" s="31" t="n">
        <x:v>84.3707898486</x:v>
      </x:c>
      <x:c r="N67" s="24" t="str">
        <x:v>perciformes</x:v>
      </x:c>
      <x:c r="O67" s="32" t="n">
        <x:v>3.53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Perciformes</x:v>
      </x:c>
      <x:c r="T67" s="32" t="n">
        <x:f>IF(O67="","",(1/'Metadata'!$B$5)^(O67-1))</x:f>
        <x:v>338.84415613920237</x:v>
      </x:c>
      <x:c r="U67" s="31" t="n">
        <x:f>IF(T67="","",I67*T67)</x:f>
        <x:v>28588.549089046846</x:v>
      </x:c>
    </x:row>
    <x:row r="68" ht="18" customHeight="1">
      <x:c r="A68" s="24" t="str">
        <x:v>EEZ_848</x:v>
      </x:c>
      <x:c r="B68" s="24" t="str">
        <x:v>USA (West Coast)</x:v>
      </x:c>
      <x:c r="C68" s="24" t="str">
        <x:v>EEZ</x:v>
      </x:c>
      <x:c r="D68" s="30" t="n">
        <x:v>2019</x:v>
      </x:c>
      <x:c r="E68" s="24" t="str">
        <x:v>Atractoscion nobilis</x:v>
      </x:c>
      <x:c r="F68" s="24" t="str">
        <x:v>White weakfish</x:v>
      </x:c>
      <x:c r="G68" s="24" t="str">
        <x:v>Large demersals (&gt;=90 cm)</x:v>
      </x:c>
      <x:c r="H68" s="24" t="str">
        <x:v>Perch-likes</x:v>
      </x:c>
      <x:c r="I68" s="31" t="n">
        <x:v>76.59599162590001</x:v>
      </x:c>
      <x:c r="J68" s="31" t="n">
        <x:v>72.9000916259</x:v>
      </x:c>
      <x:c r="K68" s="31" t="n">
        <x:v>3.6959</x:v>
      </x:c>
      <x:c r="L68" s="31" t="n">
        <x:v>72.9000916259</x:v>
      </x:c>
      <x:c r="M68" s="31" t="n">
        <x:v>3.6959</x:v>
      </x:c>
      <x:c r="N68" s="24" t="str">
        <x:v>atractoscion nobilis</x:v>
      </x:c>
      <x:c r="O68" s="32" t="n">
        <x:v>3.21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Atractoscion nobilis</x:v>
      </x:c>
      <x:c r="T68" s="32" t="n">
        <x:f>IF(O68="","",(1/'Metadata'!$B$5)^(O68-1))</x:f>
        <x:v>162.18100973589299</x:v>
      </x:c>
      <x:c r="U68" s="31" t="n">
        <x:f>IF(T68="","",I68*T68)</x:f>
        <x:v>12422.415263610468</x:v>
      </x:c>
    </x:row>
    <x:row r="69" ht="18" customHeight="1">
      <x:c r="A69" s="24" t="str">
        <x:v>EEZ_848</x:v>
      </x:c>
      <x:c r="B69" s="24" t="str">
        <x:v>USA (West Coast)</x:v>
      </x:c>
      <x:c r="C69" s="24" t="str">
        <x:v>EEZ</x:v>
      </x:c>
      <x:c r="D69" s="30" t="n">
        <x:v>2019</x:v>
      </x:c>
      <x:c r="E69" s="24" t="str">
        <x:v>Tresus nuttallii</x:v>
      </x:c>
      <x:c r="F69" s="24" t="str">
        <x:v>Pacific gaper clam</x:v>
      </x:c>
      <x:c r="G69" s="24" t="str">
        <x:v>Other demersal invertebrates</x:v>
      </x:c>
      <x:c r="H69" s="24" t="str">
        <x:v>Molluscs</x:v>
      </x:c>
      <x:c r="I69" s="31" t="n">
        <x:v>74.6697330334</x:v>
      </x:c>
      <x:c r="J69" s="31" t="n">
        <x:v>74.6697330334</x:v>
      </x:c>
      <x:c r="K69" s="31" t="n">
        <x:v>0</x:v>
      </x:c>
      <x:c r="L69" s="31" t="n">
        <x:v>0</x:v>
      </x:c>
      <x:c r="M69" s="31" t="n">
        <x:v>74.6697330334</x:v>
      </x:c>
      <x:c r="N69" s="24" t="str">
        <x:v>tresus nuttallii</x:v>
      </x:c>
      <x:c r="O69" s="32" t="n">
        <x:v>2.03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Tresus nuttallii</x:v>
      </x:c>
      <x:c r="T69" s="32" t="n">
        <x:f>IF(O69="","",(1/'Metadata'!$B$5)^(O69-1))</x:f>
        <x:v>10.71519305237606</x:v>
      </x:c>
      <x:c r="U69" s="31" t="n">
        <x:f>IF(T69="","",I69*T69)</x:f>
        <x:v>800.1006046222628</x:v>
      </x:c>
    </x:row>
    <x:row r="70" ht="18" customHeight="1">
      <x:c r="A70" s="24" t="str">
        <x:v>EEZ_848</x:v>
      </x:c>
      <x:c r="B70" s="24" t="str">
        <x:v>USA (West Coast)</x:v>
      </x:c>
      <x:c r="C70" s="24" t="str">
        <x:v>EEZ</x:v>
      </x:c>
      <x:c r="D70" s="30" t="n">
        <x:v>2019</x:v>
      </x:c>
      <x:c r="E70" s="24" t="str">
        <x:v>Oncorhynchus mykiss</x:v>
      </x:c>
      <x:c r="F70" s="24" t="str">
        <x:v>Rainbow trout</x:v>
      </x:c>
      <x:c r="G70" s="24" t="str">
        <x:v>Large benthopelagics (&gt;=90 cm)</x:v>
      </x:c>
      <x:c r="H70" s="24" t="str">
        <x:v>Salmon, smelts, etc</x:v>
      </x:c>
      <x:c r="I70" s="31" t="n">
        <x:v>74.4999138173</x:v>
      </x:c>
      <x:c r="J70" s="31" t="n">
        <x:v>74.4999138173</x:v>
      </x:c>
      <x:c r="K70" s="31" t="n">
        <x:v>0</x:v>
      </x:c>
      <x:c r="L70" s="31" t="n">
        <x:v>74.4999138173</x:v>
      </x:c>
      <x:c r="M70" s="31" t="n">
        <x:v>0</x:v>
      </x:c>
      <x:c r="N70" s="24" t="str">
        <x:v>oncorhynchus mykiss</x:v>
      </x:c>
      <x:c r="O70" s="32" t="n">
        <x:v>4.08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Oncorhynchus mykiss</x:v>
      </x:c>
      <x:c r="T70" s="32" t="n">
        <x:f>IF(O70="","",(1/'Metadata'!$B$5)^(O70-1))</x:f>
        <x:v>1202.2644346174131</x:v>
      </x:c>
      <x:c r="U70" s="31" t="n">
        <x:f>IF(T70="","",I70*T70)</x:f>
        <x:v>89568.59676460219</x:v>
      </x:c>
    </x:row>
    <x:row r="71" ht="18" customHeight="1">
      <x:c r="A71" s="24" t="str">
        <x:v>EEZ_848</x:v>
      </x:c>
      <x:c r="B71" s="24" t="str">
        <x:v>USA (West Coast)</x:v>
      </x:c>
      <x:c r="C71" s="24" t="str">
        <x:v>EEZ</x:v>
      </x:c>
      <x:c r="D71" s="30" t="n">
        <x:v>2019</x:v>
      </x:c>
      <x:c r="E71" s="24" t="str">
        <x:v>Pandalus</x:v>
      </x:c>
      <x:c r="F71" s="24" t="str">
        <x:v>Seabed shrimps</x:v>
      </x:c>
      <x:c r="G71" s="24" t="str">
        <x:v>Shrimps</x:v>
      </x:c>
      <x:c r="H71" s="24" t="str">
        <x:v>Crustaceans</x:v>
      </x:c>
      <x:c r="I71" s="31" t="n">
        <x:v>71.7416018195</x:v>
      </x:c>
      <x:c r="J71" s="31" t="n">
        <x:v>71.7416018195</x:v>
      </x:c>
      <x:c r="K71" s="31" t="n">
        <x:v>0</x:v>
      </x:c>
      <x:c r="L71" s="31" t="n">
        <x:v>0</x:v>
      </x:c>
      <x:c r="M71" s="31" t="n">
        <x:v>71.7416018195</x:v>
      </x:c>
      <x:c r="N71" s="24" t="str">
        <x:v>pandalus</x:v>
      </x:c>
      <x:c r="O71" s="32" t="n">
        <x:v>2.6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Pandalus</x:v>
      </x:c>
      <x:c r="T71" s="32" t="n">
        <x:f>IF(O71="","",(1/'Metadata'!$B$5)^(O71-1))</x:f>
        <x:v>39.810717055349734</x:v>
      </x:c>
      <x:c r="U71" s="31" t="n">
        <x:f>IF(T71="","",I71*T71)</x:f>
        <x:v>2856.084611133678</x:v>
      </x:c>
    </x:row>
    <x:row r="72" ht="18" customHeight="1">
      <x:c r="A72" s="24" t="str">
        <x:v>EEZ_848</x:v>
      </x:c>
      <x:c r="B72" s="24" t="str">
        <x:v>USA (West Coast)</x:v>
      </x:c>
      <x:c r="C72" s="24" t="str">
        <x:v>EEZ</x:v>
      </x:c>
      <x:c r="D72" s="30" t="n">
        <x:v>2019</x:v>
      </x:c>
      <x:c r="E72" s="24" t="str">
        <x:v>Loliginidae</x:v>
      </x:c>
      <x:c r="F72" s="24" t="str">
        <x:v>Common pencil squids</x:v>
      </x:c>
      <x:c r="G72" s="24" t="str">
        <x:v>Cephalopods</x:v>
      </x:c>
      <x:c r="H72" s="24" t="str">
        <x:v>Other fishes &amp; inverts</x:v>
      </x:c>
      <x:c r="I72" s="31" t="n">
        <x:v>65.5001769013</x:v>
      </x:c>
      <x:c r="J72" s="31" t="n">
        <x:v>65.5001769013</x:v>
      </x:c>
      <x:c r="K72" s="31" t="n">
        <x:v>0</x:v>
      </x:c>
      <x:c r="L72" s="31" t="n">
        <x:v>65.5001769013</x:v>
      </x:c>
      <x:c r="M72" s="31" t="n">
        <x:v>0</x:v>
      </x:c>
      <x:c r="N72" s="24" t="str">
        <x:v>loliginidae</x:v>
      </x:c>
      <x:c r="O72" s="32" t="n">
        <x:v>3.9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Loliginidae</x:v>
      </x:c>
      <x:c r="T72" s="32" t="n">
        <x:f>IF(O72="","",(1/'Metadata'!$B$5)^(O72-1))</x:f>
        <x:v>794.3282347242813</x:v>
      </x:c>
      <x:c r="U72" s="31" t="n">
        <x:f>IF(T72="","",I72*T72)</x:f>
        <x:v>52028.63989213777</x:v>
      </x:c>
    </x:row>
    <x:row r="73" ht="18" customHeight="1">
      <x:c r="A73" s="24" t="str">
        <x:v>EEZ_848</x:v>
      </x:c>
      <x:c r="B73" s="24" t="str">
        <x:v>USA (West Coast)</x:v>
      </x:c>
      <x:c r="C73" s="24" t="str">
        <x:v>EEZ</x:v>
      </x:c>
      <x:c r="D73" s="30" t="n">
        <x:v>2019</x:v>
      </x:c>
      <x:c r="E73" s="24" t="str">
        <x:v>Scorpaenichthys marmoratus</x:v>
      </x:c>
      <x:c r="F73" s="24" t="str">
        <x:v>Cabezon</x:v>
      </x:c>
      <x:c r="G73" s="24" t="str">
        <x:v>Medium demersals (30 - 89 cm)</x:v>
      </x:c>
      <x:c r="H73" s="24" t="str">
        <x:v>Scorpionfishes</x:v>
      </x:c>
      <x:c r="I73" s="31" t="n">
        <x:v>63.571668188</x:v>
      </x:c>
      <x:c r="J73" s="31" t="n">
        <x:v>59.622651628599996</x:v>
      </x:c>
      <x:c r="K73" s="31" t="n">
        <x:v>3.9490165594</x:v>
      </x:c>
      <x:c r="L73" s="31" t="n">
        <x:v>52.5999945569</x:v>
      </x:c>
      <x:c r="M73" s="31" t="n">
        <x:v>10.9716736311</x:v>
      </x:c>
      <x:c r="N73" s="24" t="str">
        <x:v>scorpaenichthys marmoratus</x:v>
      </x:c>
      <x:c r="O73" s="32" t="n">
        <x:v>3.62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Scorpaenichthys marmoratus</x:v>
      </x:c>
      <x:c r="T73" s="32" t="n">
        <x:f>IF(O73="","",(1/'Metadata'!$B$5)^(O73-1))</x:f>
        <x:v>416.8693834703355</x:v>
      </x:c>
      <x:c r="U73" s="31" t="n">
        <x:f>IF(T73="","",I73*T73)</x:f>
        <x:v>26501.0821237123</x:v>
      </x:c>
    </x:row>
    <x:row r="74" ht="18" customHeight="1">
      <x:c r="A74" s="24" t="str">
        <x:v>EEZ_848</x:v>
      </x:c>
      <x:c r="B74" s="24" t="str">
        <x:v>USA (West Coast)</x:v>
      </x:c>
      <x:c r="C74" s="24" t="str">
        <x:v>EEZ</x:v>
      </x:c>
      <x:c r="D74" s="30" t="n">
        <x:v>2019</x:v>
      </x:c>
      <x:c r="E74" s="24" t="str">
        <x:v>Alopias vulpinus</x:v>
      </x:c>
      <x:c r="F74" s="24" t="str">
        <x:v>Thresher</x:v>
      </x:c>
      <x:c r="G74" s="24" t="str">
        <x:v>Large sharks (&gt;=90 cm)</x:v>
      </x:c>
      <x:c r="H74" s="24" t="str">
        <x:v>Sharks &amp; rays</x:v>
      </x:c>
      <x:c r="I74" s="31" t="n">
        <x:v>59.4422115102</x:v>
      </x:c>
      <x:c r="J74" s="31" t="n">
        <x:v>58.8416115102</x:v>
      </x:c>
      <x:c r="K74" s="31" t="n">
        <x:v>0.6006</x:v>
      </x:c>
      <x:c r="L74" s="31" t="n">
        <x:v>56.999845778700006</x:v>
      </x:c>
      <x:c r="M74" s="31" t="n">
        <x:v>2.4423657315</x:v>
      </x:c>
      <x:c r="N74" s="24" t="str">
        <x:v>alopias vulpinus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Alopias vulpinus</x:v>
      </x:c>
      <x:c r="T74" s="32" t="n">
        <x:f>IF(O74="","",(1/'Metadata'!$B$5)^(O74-1))</x:f>
        <x:v>3162.2776601683795</x:v>
      </x:c>
      <x:c r="U74" s="31" t="n">
        <x:f>IF(T74="","",I74*T74)</x:f>
        <x:v>187972.7775297092</x:v>
      </x:c>
    </x:row>
    <x:row r="75" ht="18" customHeight="1">
      <x:c r="A75" s="24" t="str">
        <x:v>EEZ_848</x:v>
      </x:c>
      <x:c r="B75" s="24" t="str">
        <x:v>USA (West Coast)</x:v>
      </x:c>
      <x:c r="C75" s="24" t="str">
        <x:v>EEZ</x:v>
      </x:c>
      <x:c r="D75" s="30" t="n">
        <x:v>2019</x:v>
      </x:c>
      <x:c r="E75" s="24" t="str">
        <x:v>Chondrichthyes</x:v>
      </x:c>
      <x:c r="F75" s="24" t="str">
        <x:v>Sharks, rays, chimaeras</x:v>
      </x:c>
      <x:c r="G75" s="24" t="str">
        <x:v>Large sharks (&gt;=90 cm)</x:v>
      </x:c>
      <x:c r="H75" s="24" t="str">
        <x:v>Sharks &amp; rays</x:v>
      </x:c>
      <x:c r="I75" s="31" t="n">
        <x:v>55.9996734131</x:v>
      </x:c>
      <x:c r="J75" s="31" t="n">
        <x:v>55.9996734131</x:v>
      </x:c>
      <x:c r="K75" s="31" t="n">
        <x:v>0</x:v>
      </x:c>
      <x:c r="L75" s="31" t="n">
        <x:v>55.9996734131</x:v>
      </x:c>
      <x:c r="M75" s="31" t="n">
        <x:v>0</x:v>
      </x:c>
      <x:c r="N75" s="24" t="str">
        <x:v>chondrichthyes</x:v>
      </x:c>
      <x:c r="O75" s="32" t="n">
        <x:v>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Chondrichthyes</x:v>
      </x:c>
      <x:c r="T75" s="32" t="n">
        <x:f>IF(O75="","",(1/'Metadata'!$B$5)^(O75-1))</x:f>
        <x:v>1000</x:v>
      </x:c>
      <x:c r="U75" s="31" t="n">
        <x:f>IF(T75="","",I75*T75)</x:f>
        <x:v>55999.6734131</x:v>
      </x:c>
    </x:row>
    <x:row r="76" ht="18" customHeight="1">
      <x:c r="A76" s="24" t="str">
        <x:v>EEZ_848</x:v>
      </x:c>
      <x:c r="B76" s="24" t="str">
        <x:v>USA (West Coast)</x:v>
      </x:c>
      <x:c r="C76" s="24" t="str">
        <x:v>EEZ</x:v>
      </x:c>
      <x:c r="D76" s="30" t="n">
        <x:v>2019</x:v>
      </x:c>
      <x:c r="E76" s="24" t="str">
        <x:v>Veneridae</x:v>
      </x:c>
      <x:c r="F76" s="24" t="str">
        <x:v>Venus clams</x:v>
      </x:c>
      <x:c r="G76" s="24" t="str">
        <x:v>Other demersal invertebrates</x:v>
      </x:c>
      <x:c r="H76" s="24" t="str">
        <x:v>Molluscs</x:v>
      </x:c>
      <x:c r="I76" s="31" t="n">
        <x:v>52.2086776572</x:v>
      </x:c>
      <x:c r="J76" s="31" t="n">
        <x:v>52.2086776572</x:v>
      </x:c>
      <x:c r="K76" s="31" t="n">
        <x:v>0</x:v>
      </x:c>
      <x:c r="L76" s="31" t="n">
        <x:v>0</x:v>
      </x:c>
      <x:c r="M76" s="31" t="n">
        <x:v>52.2086776572</x:v>
      </x:c>
      <x:c r="N76" s="24" t="str">
        <x:v>veneridae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Veneridae</x:v>
      </x:c>
      <x:c r="T76" s="32" t="n">
        <x:f>IF(O76="","",(1/'Metadata'!$B$5)^(O76-1))</x:f>
        <x:v>10</x:v>
      </x:c>
      <x:c r="U76" s="31" t="n">
        <x:f>IF(T76="","",I76*T76)</x:f>
        <x:v>522.086776572</x:v>
      </x:c>
    </x:row>
    <x:row r="77" ht="18" customHeight="1">
      <x:c r="A77" s="24" t="str">
        <x:v>EEZ_848</x:v>
      </x:c>
      <x:c r="B77" s="24" t="str">
        <x:v>USA (West Coast)</x:v>
      </x:c>
      <x:c r="C77" s="24" t="str">
        <x:v>EEZ</x:v>
      </x:c>
      <x:c r="D77" s="30" t="n">
        <x:v>2019</x:v>
      </x:c>
      <x:c r="E77" s="24" t="str">
        <x:v>Prionace glauca</x:v>
      </x:c>
      <x:c r="F77" s="24" t="str">
        <x:v>Blue shark</x:v>
      </x:c>
      <x:c r="G77" s="24" t="str">
        <x:v>Large sharks (&gt;=90 cm)</x:v>
      </x:c>
      <x:c r="H77" s="24" t="str">
        <x:v>Sharks &amp; rays</x:v>
      </x:c>
      <x:c r="I77" s="31" t="n">
        <x:v>51.2186939338</x:v>
      </x:c>
      <x:c r="J77" s="31" t="n">
        <x:v>13.5289733647</x:v>
      </x:c>
      <x:c r="K77" s="31" t="n">
        <x:v>37.689720569100004</x:v>
      </x:c>
      <x:c r="L77" s="31" t="n">
        <x:v>13.4000417306</x:v>
      </x:c>
      <x:c r="M77" s="31" t="n">
        <x:v>37.8186522032</x:v>
      </x:c>
      <x:c r="N77" s="24" t="str">
        <x:v>prionace glauca</x:v>
      </x:c>
      <x:c r="O77" s="32" t="n">
        <x:v>4.35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Prionace glauca</x:v>
      </x:c>
      <x:c r="T77" s="32" t="n">
        <x:f>IF(O77="","",(1/'Metadata'!$B$5)^(O77-1))</x:f>
        <x:v>2238.7211385683377</x:v>
      </x:c>
      <x:c r="U77" s="31" t="n">
        <x:f>IF(T77="","",I77*T77)</x:f>
        <x:v>114664.37279945995</x:v>
      </x:c>
    </x:row>
    <x:row r="78" ht="18" customHeight="1">
      <x:c r="A78" s="24" t="str">
        <x:v>EEZ_848</x:v>
      </x:c>
      <x:c r="B78" s="24" t="str">
        <x:v>USA (West Coast)</x:v>
      </x:c>
      <x:c r="C78" s="24" t="str">
        <x:v>EEZ</x:v>
      </x:c>
      <x:c r="D78" s="30" t="n">
        <x:v>2019</x:v>
      </x:c>
      <x:c r="E78" s="24" t="str">
        <x:v>Sebastes babcocki</x:v>
      </x:c>
      <x:c r="F78" s="24" t="str">
        <x:v>Redbanded rockfish</x:v>
      </x:c>
      <x:c r="G78" s="24" t="str">
        <x:v>Medium demersals (30 - 89 cm)</x:v>
      </x:c>
      <x:c r="H78" s="24" t="str">
        <x:v>Scorpionfishes</x:v>
      </x:c>
      <x:c r="I78" s="31" t="n">
        <x:v>47.496566591000004</x:v>
      </x:c>
      <x:c r="J78" s="31" t="n">
        <x:v>40.1027335502</x:v>
      </x:c>
      <x:c r="K78" s="31" t="n">
        <x:v>7.3938330408</x:v>
      </x:c>
      <x:c r="L78" s="31" t="n">
        <x:v>40.0998811586</x:v>
      </x:c>
      <x:c r="M78" s="31" t="n">
        <x:v>7.3966854324</x:v>
      </x:c>
      <x:c r="N78" s="24" t="str">
        <x:v>sebastes babcocki</x:v>
      </x:c>
      <x:c r="O78" s="32" t="n">
        <x:v>3.82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Sebastes babcocki</x:v>
      </x:c>
      <x:c r="T78" s="32" t="n">
        <x:f>IF(O78="","",(1/'Metadata'!$B$5)^(O78-1))</x:f>
        <x:v>660.6934480075957</x:v>
      </x:c>
      <x:c r="U78" s="31" t="n">
        <x:f>IF(T78="","",I78*T78)</x:f>
        <x:v>31380.67034953017</x:v>
      </x:c>
    </x:row>
    <x:row r="79" ht="18" customHeight="1">
      <x:c r="A79" s="24" t="str">
        <x:v>EEZ_848</x:v>
      </x:c>
      <x:c r="B79" s="24" t="str">
        <x:v>USA (West Coast)</x:v>
      </x:c>
      <x:c r="C79" s="24" t="str">
        <x:v>EEZ</x:v>
      </x:c>
      <x:c r="D79" s="30" t="n">
        <x:v>2019</x:v>
      </x:c>
      <x:c r="E79" s="24" t="str">
        <x:v>Coryphaena hippurus</x:v>
      </x:c>
      <x:c r="F79" s="24" t="str">
        <x:v>Common dolphinfish</x:v>
      </x:c>
      <x:c r="G79" s="24" t="str">
        <x:v>Large pelagics (&gt;=90 cm)</x:v>
      </x:c>
      <x:c r="H79" s="24" t="str">
        <x:v>Perch-likes</x:v>
      </x:c>
      <x:c r="I79" s="31" t="n">
        <x:v>43.6734934567</x:v>
      </x:c>
      <x:c r="J79" s="31" t="n">
        <x:v>21.299815841199997</x:v>
      </x:c>
      <x:c r="K79" s="31" t="n">
        <x:v>22.3736776155</x:v>
      </x:c>
      <x:c r="L79" s="31" t="n">
        <x:v>21.299815841199997</x:v>
      </x:c>
      <x:c r="M79" s="31" t="n">
        <x:v>22.3736776155</x:v>
      </x:c>
      <x:c r="N79" s="24" t="str">
        <x:v>coryphaena hippurus</x:v>
      </x:c>
      <x:c r="O79" s="32" t="n">
        <x:v>4.37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Coryphaena hippurus</x:v>
      </x:c>
      <x:c r="T79" s="32" t="n">
        <x:f>IF(O79="","",(1/'Metadata'!$B$5)^(O79-1))</x:f>
        <x:v>2344.228815319923</x:v>
      </x:c>
      <x:c r="U79" s="31" t="n">
        <x:f>IF(T79="","",I79*T79)</x:f>
        <x:v>102380.66182688225</x:v>
      </x:c>
    </x:row>
    <x:row r="80" ht="18" customHeight="1">
      <x:c r="A80" s="24" t="str">
        <x:v>EEZ_848</x:v>
      </x:c>
      <x:c r="B80" s="24" t="str">
        <x:v>USA (West Coast)</x:v>
      </x:c>
      <x:c r="C80" s="24" t="str">
        <x:v>EEZ</x:v>
      </x:c>
      <x:c r="D80" s="30" t="n">
        <x:v>2019</x:v>
      </x:c>
      <x:c r="E80" s="24" t="str">
        <x:v>Sebastes proriger</x:v>
      </x:c>
      <x:c r="F80" s="24" t="str">
        <x:v>Redstripe rockfish</x:v>
      </x:c>
      <x:c r="G80" s="24" t="str">
        <x:v>Medium bathydemersals (30 - 89 cm)</x:v>
      </x:c>
      <x:c r="H80" s="24" t="str">
        <x:v>Scorpionfishes</x:v>
      </x:c>
      <x:c r="I80" s="31" t="n">
        <x:v>42.457058560300005</x:v>
      </x:c>
      <x:c r="J80" s="31" t="n">
        <x:v>42.1605134651</x:v>
      </x:c>
      <x:c r="K80" s="31" t="n">
        <x:v>0.2965450952</x:v>
      </x:c>
      <x:c r="L80" s="31" t="n">
        <x:v>42.0997722966</x:v>
      </x:c>
      <x:c r="M80" s="31" t="n">
        <x:v>0.3572862637</x:v>
      </x:c>
      <x:c r="N80" s="24" t="str">
        <x:v>sebastes proriger</x:v>
      </x:c>
      <x:c r="O80" s="32" t="n">
        <x:v>3.81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Sebastes proriger</x:v>
      </x:c>
      <x:c r="T80" s="32" t="n">
        <x:f>IF(O80="","",(1/'Metadata'!$B$5)^(O80-1))</x:f>
        <x:v>645.6542290346556</x:v>
      </x:c>
      <x:c r="U80" s="31" t="n">
        <x:f>IF(T80="","",I80*T80)</x:f>
        <x:v>27412.579411829724</x:v>
      </x:c>
    </x:row>
    <x:row r="81" ht="18" customHeight="1">
      <x:c r="A81" s="24" t="str">
        <x:v>EEZ_848</x:v>
      </x:c>
      <x:c r="B81" s="24" t="str">
        <x:v>USA (West Coast)</x:v>
      </x:c>
      <x:c r="C81" s="24" t="str">
        <x:v>EEZ</x:v>
      </x:c>
      <x:c r="D81" s="30" t="n">
        <x:v>2019</x:v>
      </x:c>
      <x:c r="E81" s="24" t="str">
        <x:v>Hippoglossoides elassodon</x:v>
      </x:c>
      <x:c r="F81" s="24" t="str">
        <x:v>Flathead sole</x:v>
      </x:c>
      <x:c r="G81" s="24" t="str">
        <x:v>Small to medium flatfishes (&lt;90 cm)</x:v>
      </x:c>
      <x:c r="H81" s="24" t="str">
        <x:v>Flatfishes</x:v>
      </x:c>
      <x:c r="I81" s="31" t="n">
        <x:v>36.825849723000005</x:v>
      </x:c>
      <x:c r="J81" s="31" t="n">
        <x:v>6.400195952200001</x:v>
      </x:c>
      <x:c r="K81" s="31" t="n">
        <x:v>30.4256537708</x:v>
      </x:c>
      <x:c r="L81" s="31" t="n">
        <x:v>6.400195952200001</x:v>
      </x:c>
      <x:c r="M81" s="31" t="n">
        <x:v>30.4256537708</x:v>
      </x:c>
      <x:c r="N81" s="24" t="str">
        <x:v>hippoglossoides elassodon</x:v>
      </x:c>
      <x:c r="O81" s="32" t="n">
        <x:v>3.67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Hippoglossoides elassodon</x:v>
      </x:c>
      <x:c r="T81" s="32" t="n">
        <x:f>IF(O81="","",(1/'Metadata'!$B$5)^(O81-1))</x:f>
        <x:v>467.73514128719813</x:v>
      </x:c>
      <x:c r="U81" s="31" t="n">
        <x:f>IF(T81="","",I81*T81)</x:f>
        <x:v>17224.744023208532</x:v>
      </x:c>
    </x:row>
    <x:row r="82" ht="18" customHeight="1">
      <x:c r="A82" s="24" t="str">
        <x:v>EEZ_848</x:v>
      </x:c>
      <x:c r="B82" s="24" t="str">
        <x:v>USA (West Coast)</x:v>
      </x:c>
      <x:c r="C82" s="24" t="str">
        <x:v>EEZ</x:v>
      </x:c>
      <x:c r="D82" s="30" t="n">
        <x:v>2019</x:v>
      </x:c>
      <x:c r="E82" s="24" t="str">
        <x:v>Mollusca</x:v>
      </x:c>
      <x:c r="F82" s="24" t="str">
        <x:v>Clams, seasnails, squids, octopuses</x:v>
      </x:c>
      <x:c r="G82" s="24" t="str">
        <x:v>Other demersal invertebrates</x:v>
      </x:c>
      <x:c r="H82" s="24" t="str">
        <x:v>Molluscs</x:v>
      </x:c>
      <x:c r="I82" s="31" t="n">
        <x:v>36.500167829300004</x:v>
      </x:c>
      <x:c r="J82" s="31" t="n">
        <x:v>36.500167829300004</x:v>
      </x:c>
      <x:c r="K82" s="31" t="n">
        <x:v>0</x:v>
      </x:c>
      <x:c r="L82" s="31" t="n">
        <x:v>36.500167829300004</x:v>
      </x:c>
      <x:c r="M82" s="31" t="n">
        <x:v>0</x:v>
      </x:c>
      <x:c r="N82" s="24" t="str">
        <x:v>mollusca</x:v>
      </x:c>
      <x:c r="O82" s="32" t="n">
        <x:v>2.1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Mollusca</x:v>
      </x:c>
      <x:c r="T82" s="32" t="n">
        <x:f>IF(O82="","",(1/'Metadata'!$B$5)^(O82-1))</x:f>
        <x:v>12.589254117941675</x:v>
      </x:c>
      <x:c r="U82" s="31" t="n">
        <x:f>IF(T82="","",I82*T82)</x:f>
        <x:v>459.5098881505773</x:v>
      </x:c>
    </x:row>
    <x:row r="83" ht="18" customHeight="1">
      <x:c r="A83" s="24" t="str">
        <x:v>EEZ_848</x:v>
      </x:c>
      <x:c r="B83" s="24" t="str">
        <x:v>USA (West Coast)</x:v>
      </x:c>
      <x:c r="C83" s="24" t="str">
        <x:v>EEZ</x:v>
      </x:c>
      <x:c r="D83" s="30" t="n">
        <x:v>2019</x:v>
      </x:c>
      <x:c r="E83" s="24" t="str">
        <x:v>Caulolatilus princeps</x:v>
      </x:c>
      <x:c r="F83" s="24" t="str">
        <x:v>Ocean whitefish</x:v>
      </x:c>
      <x:c r="G83" s="24" t="str">
        <x:v>Medium reef assoc. fish (30 - 89 cm)</x:v>
      </x:c>
      <x:c r="H83" s="24" t="str">
        <x:v>Perch-likes</x:v>
      </x:c>
      <x:c r="I83" s="31" t="n">
        <x:v>36.4868159871</x:v>
      </x:c>
      <x:c r="J83" s="31" t="n">
        <x:v>36.4037586479</x:v>
      </x:c>
      <x:c r="K83" s="31" t="n">
        <x:v>0.0830573392</x:v>
      </x:c>
      <x:c r="L83" s="31" t="n">
        <x:v>9.9001188413</x:v>
      </x:c>
      <x:c r="M83" s="31" t="n">
        <x:v>26.5866971458</x:v>
      </x:c>
      <x:c r="N83" s="24" t="str">
        <x:v>caulolatilus princeps</x:v>
      </x:c>
      <x:c r="O83" s="32" t="n">
        <x:v>3.7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Caulolatilus princeps</x:v>
      </x:c>
      <x:c r="T83" s="32" t="n">
        <x:f>IF(O83="","",(1/'Metadata'!$B$5)^(O83-1))</x:f>
        <x:v>501.18723362727246</x:v>
      </x:c>
      <x:c r="U83" s="31" t="n">
        <x:f>IF(T83="","",I83*T83)</x:f>
        <x:v>18286.72636844199</x:v>
      </x:c>
    </x:row>
    <x:row r="84" ht="18" customHeight="1">
      <x:c r="A84" s="24" t="str">
        <x:v>EEZ_848</x:v>
      </x:c>
      <x:c r="B84" s="24" t="str">
        <x:v>USA (West Coast)</x:v>
      </x:c>
      <x:c r="C84" s="24" t="str">
        <x:v>EEZ</x:v>
      </x:c>
      <x:c r="D84" s="30" t="n">
        <x:v>2019</x:v>
      </x:c>
      <x:c r="E84" s="24" t="str">
        <x:v>Sebastes zacentrus</x:v>
      </x:c>
      <x:c r="F84" s="24" t="str">
        <x:v>Sharpchin rockfish</x:v>
      </x:c>
      <x:c r="G84" s="24" t="str">
        <x:v>Medium bathydemersals (30 - 89 cm)</x:v>
      </x:c>
      <x:c r="H84" s="24" t="str">
        <x:v>Scorpionfishes</x:v>
      </x:c>
      <x:c r="I84" s="31" t="n">
        <x:v>34.807413472200004</x:v>
      </x:c>
      <x:c r="J84" s="31" t="n">
        <x:v>33.3000698535</x:v>
      </x:c>
      <x:c r="K84" s="31" t="n">
        <x:v>1.5073436187</x:v>
      </x:c>
      <x:c r="L84" s="31" t="n">
        <x:v>33.3000698535</x:v>
      </x:c>
      <x:c r="M84" s="31" t="n">
        <x:v>1.5073436187</x:v>
      </x:c>
      <x:c r="N84" s="24" t="str">
        <x:v>sebastes zacentrus</x:v>
      </x:c>
      <x:c r="O84" s="32" t="n">
        <x:v>3.7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Sebastes zacentrus</x:v>
      </x:c>
      <x:c r="T84" s="32" t="n">
        <x:f>IF(O84="","",(1/'Metadata'!$B$5)^(O84-1))</x:f>
        <x:v>501.18723362727246</x:v>
      </x:c>
      <x:c r="U84" s="31" t="n">
        <x:f>IF(T84="","",I84*T84)</x:f>
        <x:v>17445.031267852573</x:v>
      </x:c>
    </x:row>
    <x:row r="85" ht="18" customHeight="1">
      <x:c r="A85" s="24" t="str">
        <x:v>EEZ_848</x:v>
      </x:c>
      <x:c r="B85" s="24" t="str">
        <x:v>USA (West Coast)</x:v>
      </x:c>
      <x:c r="C85" s="24" t="str">
        <x:v>EEZ</x:v>
      </x:c>
      <x:c r="D85" s="30" t="n">
        <x:v>2019</x:v>
      </x:c>
      <x:c r="E85" s="24" t="str">
        <x:v>Magallana gigas</x:v>
      </x:c>
      <x:c r="F85" s="24" t="str">
        <x:v>Pacific cupped oyster</x:v>
      </x:c>
      <x:c r="G85" s="24" t="str">
        <x:v>Other demersal invertebrates</x:v>
      </x:c>
      <x:c r="H85" s="24" t="str">
        <x:v>Molluscs</x:v>
      </x:c>
      <x:c r="I85" s="31" t="n">
        <x:v>34.2449864572</x:v>
      </x:c>
      <x:c r="J85" s="31" t="n">
        <x:v>34.2449864572</x:v>
      </x:c>
      <x:c r="K85" s="31" t="n">
        <x:v>0</x:v>
      </x:c>
      <x:c r="L85" s="31" t="n">
        <x:v>0</x:v>
      </x:c>
      <x:c r="M85" s="31" t="n">
        <x:v>34.2449864572</x:v>
      </x:c>
      <x:c r="N85" s="24" t="str">
        <x:v>magallana gigas</x:v>
      </x:c>
      <x:c r="O85" s="32" t="n">
        <x:v>2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Magallana gigas</x:v>
      </x:c>
      <x:c r="T85" s="32" t="n">
        <x:f>IF(O85="","",(1/'Metadata'!$B$5)^(O85-1))</x:f>
        <x:v>10</x:v>
      </x:c>
      <x:c r="U85" s="31" t="n">
        <x:f>IF(T85="","",I85*T85)</x:f>
        <x:v>342.449864572</x:v>
      </x:c>
    </x:row>
    <x:row r="86" ht="18" customHeight="1">
      <x:c r="A86" s="24" t="str">
        <x:v>EEZ_848</x:v>
      </x:c>
      <x:c r="B86" s="24" t="str">
        <x:v>USA (West Coast)</x:v>
      </x:c>
      <x:c r="C86" s="24" t="str">
        <x:v>EEZ</x:v>
      </x:c>
      <x:c r="D86" s="30" t="n">
        <x:v>2019</x:v>
      </x:c>
      <x:c r="E86" s="24" t="str">
        <x:v>Isurus oxyrinchus</x:v>
      </x:c>
      <x:c r="F86" s="24" t="str">
        <x:v>Shortfin mako</x:v>
      </x:c>
      <x:c r="G86" s="24" t="str">
        <x:v>Large sharks (&gt;=90 cm)</x:v>
      </x:c>
      <x:c r="H86" s="24" t="str">
        <x:v>Sharks &amp; rays</x:v>
      </x:c>
      <x:c r="I86" s="31" t="n">
        <x:v>33.9536990753</x:v>
      </x:c>
      <x:c r="J86" s="31" t="n">
        <x:v>33.9536990753</x:v>
      </x:c>
      <x:c r="K86" s="31" t="n">
        <x:v>0</x:v>
      </x:c>
      <x:c r="L86" s="31" t="n">
        <x:v>33.8997196795</x:v>
      </x:c>
      <x:c r="M86" s="31" t="n">
        <x:v>0.0539793958</x:v>
      </x:c>
      <x:c r="N86" s="24" t="str">
        <x:v>isurus oxyrinchus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Isurus oxyrinchus</x:v>
      </x:c>
      <x:c r="T86" s="32" t="n">
        <x:f>IF(O86="","",(1/'Metadata'!$B$5)^(O86-1))</x:f>
        <x:v>3162.2776601683795</x:v>
      </x:c>
      <x:c r="U86" s="31" t="n">
        <x:f>IF(T86="","",I86*T86)</x:f>
        <x:v>107371.02406590096</x:v>
      </x:c>
    </x:row>
    <x:row r="87" ht="18" customHeight="1">
      <x:c r="A87" s="24" t="str">
        <x:v>EEZ_848</x:v>
      </x:c>
      <x:c r="B87" s="24" t="str">
        <x:v>USA (West Coast)</x:v>
      </x:c>
      <x:c r="C87" s="24" t="str">
        <x:v>EEZ</x:v>
      </x:c>
      <x:c r="D87" s="30" t="n">
        <x:v>2019</x:v>
      </x:c>
      <x:c r="E87" s="24" t="str">
        <x:v>Sebastes carnatus</x:v>
      </x:c>
      <x:c r="F87" s="24" t="str">
        <x:v>Gopher rockfish</x:v>
      </x:c>
      <x:c r="G87" s="24" t="str">
        <x:v>Medium demersals (30 - 89 cm)</x:v>
      </x:c>
      <x:c r="H87" s="24" t="str">
        <x:v>Scorpionfishes</x:v>
      </x:c>
      <x:c r="I87" s="31" t="n">
        <x:v>32.4039772869</x:v>
      </x:c>
      <x:c r="J87" s="31" t="n">
        <x:v>29.7996933711</x:v>
      </x:c>
      <x:c r="K87" s="31" t="n">
        <x:v>2.6042839158</x:v>
      </x:c>
      <x:c r="L87" s="31" t="n">
        <x:v>29.7996933711</x:v>
      </x:c>
      <x:c r="M87" s="31" t="n">
        <x:v>2.6042839158</x:v>
      </x:c>
      <x:c r="N87" s="24" t="str">
        <x:v>sebastes carnatus</x:v>
      </x:c>
      <x:c r="O87" s="32" t="n">
        <x:v>3.62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Sebastes carnatus</x:v>
      </x:c>
      <x:c r="T87" s="32" t="n">
        <x:f>IF(O87="","",(1/'Metadata'!$B$5)^(O87-1))</x:f>
        <x:v>416.8693834703355</x:v>
      </x:c>
      <x:c r="U87" s="31" t="n">
        <x:f>IF(T87="","",I87*T87)</x:f>
        <x:v>13508.226033576759</x:v>
      </x:c>
    </x:row>
    <x:row r="88" ht="18" customHeight="1">
      <x:c r="A88" s="24" t="str">
        <x:v>EEZ_848</x:v>
      </x:c>
      <x:c r="B88" s="24" t="str">
        <x:v>USA (West Coast)</x:v>
      </x:c>
      <x:c r="C88" s="24" t="str">
        <x:v>EEZ</x:v>
      </x:c>
      <x:c r="D88" s="30" t="n">
        <x:v>2019</x:v>
      </x:c>
      <x:c r="E88" s="24" t="str">
        <x:v>Paralichthyidae</x:v>
      </x:c>
      <x:c r="F88" s="24" t="str">
        <x:v>Largetooth flounders</x:v>
      </x:c>
      <x:c r="G88" s="24" t="str">
        <x:v>Small to medium flatfishes (&lt;90 cm)</x:v>
      </x:c>
      <x:c r="H88" s="24" t="str">
        <x:v>Flatfishes</x:v>
      </x:c>
      <x:c r="I88" s="31" t="n">
        <x:v>32.010138974600004</x:v>
      </x:c>
      <x:c r="J88" s="31" t="n">
        <x:v>32.0000725748</x:v>
      </x:c>
      <x:c r="K88" s="31" t="n">
        <x:v>0.0100663998</x:v>
      </x:c>
      <x:c r="L88" s="31" t="n">
        <x:v>32.0000725748</x:v>
      </x:c>
      <x:c r="M88" s="31" t="n">
        <x:v>0.0100663998</x:v>
      </x:c>
      <x:c r="N88" s="24" t="str">
        <x:v>paralichthyidae</x:v>
      </x:c>
      <x:c r="O88" s="32" t="n">
        <x:v>4.06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Paralichthyidae</x:v>
      </x:c>
      <x:c r="T88" s="32" t="n">
        <x:f>IF(O88="","",(1/'Metadata'!$B$5)^(O88-1))</x:f>
        <x:v>1148.1536214968817</x:v>
      </x:c>
      <x:c r="U88" s="31" t="n">
        <x:f>IF(T88="","",I88*T88)</x:f>
        <x:v>36752.55698830547</x:v>
      </x:c>
    </x:row>
    <x:row r="89" ht="18" customHeight="1">
      <x:c r="A89" s="24" t="str">
        <x:v>EEZ_848</x:v>
      </x:c>
      <x:c r="B89" s="24" t="str">
        <x:v>USA (West Coast)</x:v>
      </x:c>
      <x:c r="C89" s="24" t="str">
        <x:v>EEZ</x:v>
      </x:c>
      <x:c r="D89" s="30" t="n">
        <x:v>2019</x:v>
      </x:c>
      <x:c r="E89" s="24" t="str">
        <x:v>Amphistichus rhodoterus</x:v>
      </x:c>
      <x:c r="F89" s="24" t="str">
        <x:v>Redtail surfperch</x:v>
      </x:c>
      <x:c r="G89" s="24" t="str">
        <x:v>Medium demersals (30 - 89 cm)</x:v>
      </x:c>
      <x:c r="H89" s="24" t="str">
        <x:v>Perch-likes</x:v>
      </x:c>
      <x:c r="I89" s="31" t="n">
        <x:v>28.8559914722</x:v>
      </x:c>
      <x:c r="J89" s="31" t="n">
        <x:v>22.6595814722</x:v>
      </x:c>
      <x:c r="K89" s="31" t="n">
        <x:v>6.19641</x:v>
      </x:c>
      <x:c r="L89" s="31" t="n">
        <x:v>0</x:v>
      </x:c>
      <x:c r="M89" s="31" t="n">
        <x:v>28.8559914722</x:v>
      </x:c>
      <x:c r="N89" s="24" t="str">
        <x:v>amphistichus rhodoterus</x:v>
      </x:c>
      <x:c r="O89" s="32" t="n">
        <x:v>3.37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Amphistichus rhodoterus</x:v>
      </x:c>
      <x:c r="T89" s="32" t="n">
        <x:f>IF(O89="","",(1/'Metadata'!$B$5)^(O89-1))</x:f>
        <x:v>234.42288153199226</x:v>
      </x:c>
      <x:c r="U89" s="31" t="n">
        <x:f>IF(T89="","",I89*T89)</x:f>
        <x:v>6764.50467037572</x:v>
      </x:c>
    </x:row>
    <x:row r="90" ht="18" customHeight="1">
      <x:c r="A90" s="24" t="str">
        <x:v>EEZ_848</x:v>
      </x:c>
      <x:c r="B90" s="24" t="str">
        <x:v>USA (West Coast)</x:v>
      </x:c>
      <x:c r="C90" s="24" t="str">
        <x:v>EEZ</x:v>
      </x:c>
      <x:c r="D90" s="30" t="n">
        <x:v>2019</x:v>
      </x:c>
      <x:c r="E90" s="24" t="str">
        <x:v>Bodianus pulcher</x:v>
      </x:c>
      <x:c r="F90" s="24" t="str">
        <x:v>California sheephead</x:v>
      </x:c>
      <x:c r="G90" s="24" t="str">
        <x:v>Medium reef assoc. fish (30 - 89 cm)</x:v>
      </x:c>
      <x:c r="H90" s="24" t="str">
        <x:v>Perch-likes</x:v>
      </x:c>
      <x:c r="I90" s="31" t="n">
        <x:v>27.2999428473</x:v>
      </x:c>
      <x:c r="J90" s="31" t="n">
        <x:v>27.2999428473</x:v>
      </x:c>
      <x:c r="K90" s="31" t="n">
        <x:v>0</x:v>
      </x:c>
      <x:c r="L90" s="31" t="n">
        <x:v>27.2999428473</x:v>
      </x:c>
      <x:c r="M90" s="31" t="n">
        <x:v>0</x:v>
      </x:c>
      <x:c r="N90" s="24" t="str">
        <x:v>bodianus pulcher</x:v>
      </x:c>
      <x:c r="O90" s="32" t="n">
        <x:v>3.56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Bodianus pulcher</x:v>
      </x:c>
      <x:c r="T90" s="32" t="n">
        <x:f>IF(O90="","",(1/'Metadata'!$B$5)^(O90-1))</x:f>
        <x:v>363.0780547701014</x:v>
      </x:c>
      <x:c r="U90" s="31" t="n">
        <x:f>IF(T90="","",I90*T90)</x:f>
        <x:v>9912.010144332628</x:v>
      </x:c>
    </x:row>
    <x:row r="91" ht="18" customHeight="1">
      <x:c r="A91" s="24" t="str">
        <x:v>EEZ_848</x:v>
      </x:c>
      <x:c r="B91" s="24" t="str">
        <x:v>USA (West Coast)</x:v>
      </x:c>
      <x:c r="C91" s="24" t="str">
        <x:v>EEZ</x:v>
      </x:c>
      <x:c r="D91" s="30" t="n">
        <x:v>2019</x:v>
      </x:c>
      <x:c r="E91" s="24" t="str">
        <x:v>Sebastes rufus</x:v>
      </x:c>
      <x:c r="F91" s="24" t="str">
        <x:v>Bank rockfish</x:v>
      </x:c>
      <x:c r="G91" s="24" t="str">
        <x:v>Medium demersals (30 - 89 cm)</x:v>
      </x:c>
      <x:c r="H91" s="24" t="str">
        <x:v>Scorpionfishes</x:v>
      </x:c>
      <x:c r="I91" s="31" t="n">
        <x:v>26.4000145151</x:v>
      </x:c>
      <x:c r="J91" s="31" t="n">
        <x:v>26.4000145151</x:v>
      </x:c>
      <x:c r="K91" s="31" t="n">
        <x:v>0</x:v>
      </x:c>
      <x:c r="L91" s="31" t="n">
        <x:v>26.4000145151</x:v>
      </x:c>
      <x:c r="M91" s="31" t="n">
        <x:v>0</x:v>
      </x:c>
      <x:c r="N91" s="24" t="str">
        <x:v>sebastes rufus</x:v>
      </x:c>
      <x:c r="O91" s="32" t="n">
        <x:v>3.74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Sebastes rufus</x:v>
      </x:c>
      <x:c r="T91" s="32" t="n">
        <x:f>IF(O91="","",(1/'Metadata'!$B$5)^(O91-1))</x:f>
        <x:v>549.5408738576248</x:v>
      </x:c>
      <x:c r="U91" s="31" t="n">
        <x:f>IF(T91="","",I91*T91)</x:f>
        <x:v>14507.887046482032</x:v>
      </x:c>
    </x:row>
    <x:row r="92" ht="18" customHeight="1">
      <x:c r="A92" s="24" t="str">
        <x:v>EEZ_848</x:v>
      </x:c>
      <x:c r="B92" s="24" t="str">
        <x:v>USA (West Coast)</x:v>
      </x:c>
      <x:c r="C92" s="24" t="str">
        <x:v>EEZ</x:v>
      </x:c>
      <x:c r="D92" s="30" t="n">
        <x:v>2019</x:v>
      </x:c>
      <x:c r="E92" s="24" t="str">
        <x:v>Sebastes reedi</x:v>
      </x:c>
      <x:c r="F92" s="24" t="str">
        <x:v>Yellowmouth rockfish</x:v>
      </x:c>
      <x:c r="G92" s="24" t="str">
        <x:v>Medium bathydemersals (30 - 89 cm)</x:v>
      </x:c>
      <x:c r="H92" s="24" t="str">
        <x:v>Scorpionfishes</x:v>
      </x:c>
      <x:c r="I92" s="31" t="n">
        <x:v>25.827063239599998</x:v>
      </x:c>
      <x:c r="J92" s="31" t="n">
        <x:v>25.799911095699997</x:v>
      </x:c>
      <x:c r="K92" s="31" t="n">
        <x:v>0.027152143899999998</x:v>
      </x:c>
      <x:c r="L92" s="31" t="n">
        <x:v>25.799911095699997</x:v>
      </x:c>
      <x:c r="M92" s="31" t="n">
        <x:v>0.027152143899999998</x:v>
      </x:c>
      <x:c r="N92" s="24" t="str">
        <x:v>sebastes reedi</x:v>
      </x:c>
      <x:c r="O92" s="32" t="n">
        <x:v>3.88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Sebastes reedi</x:v>
      </x:c>
      <x:c r="T92" s="32" t="n">
        <x:f>IF(O92="","",(1/'Metadata'!$B$5)^(O92-1))</x:f>
        <x:v>758.5775750291835</x:v>
      </x:c>
      <x:c r="U92" s="31" t="n">
        <x:f>IF(T92="","",I92*T92)</x:f>
        <x:v>19591.831002421135</x:v>
      </x:c>
    </x:row>
    <x:row r="93" ht="18" customHeight="1">
      <x:c r="A93" s="24" t="str">
        <x:v>EEZ_848</x:v>
      </x:c>
      <x:c r="B93" s="24" t="str">
        <x:v>USA (West Coast)</x:v>
      </x:c>
      <x:c r="C93" s="24" t="str">
        <x:v>EEZ</x:v>
      </x:c>
      <x:c r="D93" s="30" t="n">
        <x:v>2019</x:v>
      </x:c>
      <x:c r="E93" s="24" t="str">
        <x:v>Scombridae</x:v>
      </x:c>
      <x:c r="F93" s="24" t="str">
        <x:v>Mackerels, tunas, bonitos</x:v>
      </x:c>
      <x:c r="G93" s="24" t="str">
        <x:v>Medium pelagics (30 - 89 cm)</x:v>
      </x:c>
      <x:c r="H93" s="24" t="str">
        <x:v>Perch-likes</x:v>
      </x:c>
      <x:c r="I93" s="31" t="n">
        <x:v>23.0725409075</x:v>
      </x:c>
      <x:c r="J93" s="31" t="n">
        <x:v>0</x:v>
      </x:c>
      <x:c r="K93" s="31" t="n">
        <x:v>23.0725409075</x:v>
      </x:c>
      <x:c r="L93" s="31" t="n">
        <x:v>0</x:v>
      </x:c>
      <x:c r="M93" s="31" t="n">
        <x:v>23.0725409075</x:v>
      </x:c>
      <x:c r="N93" s="24" t="str">
        <x:v>scombridae</x:v>
      </x:c>
      <x:c r="O93" s="32" t="n">
        <x:v>4.26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Scombridae</x:v>
      </x:c>
      <x:c r="T93" s="32" t="n">
        <x:f>IF(O93="","",(1/'Metadata'!$B$5)^(O93-1))</x:f>
        <x:v>1819.7008586099826</x:v>
      </x:c>
      <x:c r="U93" s="31" t="n">
        <x:f>IF(T93="","",I93*T93)</x:f>
        <x:v>41985.12249969169</x:v>
      </x:c>
    </x:row>
    <x:row r="94" ht="18" customHeight="1">
      <x:c r="A94" s="24" t="str">
        <x:v>EEZ_848</x:v>
      </x:c>
      <x:c r="B94" s="24" t="str">
        <x:v>USA (West Coast)</x:v>
      </x:c>
      <x:c r="C94" s="24" t="str">
        <x:v>EEZ</x:v>
      </x:c>
      <x:c r="D94" s="30" t="n">
        <x:v>2019</x:v>
      </x:c>
      <x:c r="E94" s="24" t="str">
        <x:v>Oncorhynchus nerka</x:v>
      </x:c>
      <x:c r="F94" s="24" t="str">
        <x:v>Sockeye salmon</x:v>
      </x:c>
      <x:c r="G94" s="24" t="str">
        <x:v>Medium pelagics (30 - 89 cm)</x:v>
      </x:c>
      <x:c r="H94" s="24" t="str">
        <x:v>Salmon, smelts, etc</x:v>
      </x:c>
      <x:c r="I94" s="31" t="n">
        <x:v>21.699884787400002</x:v>
      </x:c>
      <x:c r="J94" s="31" t="n">
        <x:v>21.699884787400002</x:v>
      </x:c>
      <x:c r="K94" s="31" t="n">
        <x:v>0</x:v>
      </x:c>
      <x:c r="L94" s="31" t="n">
        <x:v>21.699884787400002</x:v>
      </x:c>
      <x:c r="M94" s="31" t="n">
        <x:v>0</x:v>
      </x:c>
      <x:c r="N94" s="24" t="str">
        <x:v>oncorhynchus nerka</x:v>
      </x:c>
      <x:c r="O94" s="32" t="n">
        <x:v>3.54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Oncorhynchus nerka</x:v>
      </x:c>
      <x:c r="T94" s="32" t="n">
        <x:f>IF(O94="","",(1/'Metadata'!$B$5)^(O94-1))</x:f>
        <x:v>346.73685045253166</x:v>
      </x:c>
      <x:c r="U94" s="31" t="n">
        <x:f>IF(T94="","",I94*T94)</x:f>
        <x:v>7524.149706365881</x:v>
      </x:c>
    </x:row>
    <x:row r="95" ht="18" customHeight="1">
      <x:c r="A95" s="24" t="str">
        <x:v>EEZ_848</x:v>
      </x:c>
      <x:c r="B95" s="24" t="str">
        <x:v>USA (West Coast)</x:v>
      </x:c>
      <x:c r="C95" s="24" t="str">
        <x:v>EEZ</x:v>
      </x:c>
      <x:c r="D95" s="30" t="n">
        <x:v>2019</x:v>
      </x:c>
      <x:c r="E95" s="24" t="str">
        <x:v>Sebastes aurora</x:v>
      </x:c>
      <x:c r="F95" s="24" t="str">
        <x:v>Aurora rockfish</x:v>
      </x:c>
      <x:c r="G95" s="24" t="str">
        <x:v>Medium bathydemersals (30 - 89 cm)</x:v>
      </x:c>
      <x:c r="H95" s="24" t="str">
        <x:v>Scorpionfishes</x:v>
      </x:c>
      <x:c r="I95" s="31" t="n">
        <x:v>21.6998847873</x:v>
      </x:c>
      <x:c r="J95" s="31" t="n">
        <x:v>21.6998847873</x:v>
      </x:c>
      <x:c r="K95" s="31" t="n">
        <x:v>0</x:v>
      </x:c>
      <x:c r="L95" s="31" t="n">
        <x:v>21.6998847873</x:v>
      </x:c>
      <x:c r="M95" s="31" t="n">
        <x:v>0</x:v>
      </x:c>
      <x:c r="N95" s="24" t="str">
        <x:v>sebastes aurora</x:v>
      </x:c>
      <x:c r="O95" s="32" t="n">
        <x:v>3.68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Sebastes aurora</x:v>
      </x:c>
      <x:c r="T95" s="32" t="n">
        <x:f>IF(O95="","",(1/'Metadata'!$B$5)^(O95-1))</x:f>
        <x:v>478.6300923226385</x:v>
      </x:c>
      <x:c r="U95" s="31" t="n">
        <x:f>IF(T95="","",I95*T95)</x:f>
        <x:v>10386.217859136019</x:v>
      </x:c>
    </x:row>
    <x:row r="96" ht="18" customHeight="1">
      <x:c r="A96" s="24" t="str">
        <x:v>EEZ_848</x:v>
      </x:c>
      <x:c r="B96" s="24" t="str">
        <x:v>USA (West Coast)</x:v>
      </x:c>
      <x:c r="C96" s="24" t="str">
        <x:v>EEZ</x:v>
      </x:c>
      <x:c r="D96" s="30" t="n">
        <x:v>2019</x:v>
      </x:c>
      <x:c r="E96" s="24" t="str">
        <x:v>Gadus chalcogrammus</x:v>
      </x:c>
      <x:c r="F96" s="24" t="str">
        <x:v>Alaska pollock</x:v>
      </x:c>
      <x:c r="G96" s="24" t="str">
        <x:v>Medium benthopelagics (30 - 89 cm)</x:v>
      </x:c>
      <x:c r="H96" s="24" t="str">
        <x:v>Cod-likes</x:v>
      </x:c>
      <x:c r="I96" s="31" t="n">
        <x:v>21.4802922609</x:v>
      </x:c>
      <x:c r="J96" s="31" t="n">
        <x:v>21.4000598742</x:v>
      </x:c>
      <x:c r="K96" s="31" t="n">
        <x:v>0.0802323867</x:v>
      </x:c>
      <x:c r="L96" s="31" t="n">
        <x:v>21.4000598742</x:v>
      </x:c>
      <x:c r="M96" s="31" t="n">
        <x:v>0.0802323867</x:v>
      </x:c>
      <x:c r="N96" s="24" t="str">
        <x:v>gadus chalcogrammus</x:v>
      </x:c>
      <x:c r="O96" s="32" t="n">
        <x:v>3.57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Gadus chalcogrammus</x:v>
      </x:c>
      <x:c r="T96" s="32" t="n">
        <x:f>IF(O96="","",(1/'Metadata'!$B$5)^(O96-1))</x:f>
        <x:v>371.5352290971724</x:v>
      </x:c>
      <x:c r="U96" s="31" t="n">
        <x:f>IF(T96="","",I96*T96)</x:f>
        <x:v>7980.685306227701</x:v>
      </x:c>
    </x:row>
    <x:row r="97" ht="18" customHeight="1">
      <x:c r="A97" s="24" t="str">
        <x:v>EEZ_848</x:v>
      </x:c>
      <x:c r="B97" s="24" t="str">
        <x:v>USA (West Coast)</x:v>
      </x:c>
      <x:c r="C97" s="24" t="str">
        <x:v>EEZ</x:v>
      </x:c>
      <x:c r="D97" s="30" t="n">
        <x:v>2019</x:v>
      </x:c>
      <x:c r="E97" s="24" t="str">
        <x:v>Coryphaena</x:v>
      </x:c>
      <x:c r="F97" s="24" t="str">
        <x:v>Dolphinfishes</x:v>
      </x:c>
      <x:c r="G97" s="24" t="str">
        <x:v>Large pelagics (&gt;=90 cm)</x:v>
      </x:c>
      <x:c r="H97" s="24" t="str">
        <x:v>Perch-likes</x:v>
      </x:c>
      <x:c r="I97" s="31" t="n">
        <x:v>21.299815841199997</x:v>
      </x:c>
      <x:c r="J97" s="31" t="n">
        <x:v>21.299815841199997</x:v>
      </x:c>
      <x:c r="K97" s="31" t="n">
        <x:v>0</x:v>
      </x:c>
      <x:c r="L97" s="31" t="n">
        <x:v>21.299815841199997</x:v>
      </x:c>
      <x:c r="M97" s="31" t="n">
        <x:v>0</x:v>
      </x:c>
      <x:c r="N97" s="24" t="str">
        <x:v>coryphaena</x:v>
      </x:c>
      <x:c r="O97" s="32" t="n">
        <x:v>4.49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Coryphaena</x:v>
      </x:c>
      <x:c r="T97" s="32" t="n">
        <x:f>IF(O97="","",(1/'Metadata'!$B$5)^(O97-1))</x:f>
        <x:v>3090.295432513592</x:v>
      </x:c>
      <x:c r="U97" s="31" t="n">
        <x:f>IF(T97="","",I97*T97)</x:f>
        <x:v>65822.723607441</x:v>
      </x:c>
    </x:row>
    <x:row r="98" ht="18" customHeight="1">
      <x:c r="A98" s="24" t="str">
        <x:v>EEZ_848</x:v>
      </x:c>
      <x:c r="B98" s="24" t="str">
        <x:v>USA (West Coast)</x:v>
      </x:c>
      <x:c r="C98" s="24" t="str">
        <x:v>EEZ</x:v>
      </x:c>
      <x:c r="D98" s="30" t="n">
        <x:v>2019</x:v>
      </x:c>
      <x:c r="E98" s="24" t="str">
        <x:v>Genyonemus lineatus</x:v>
      </x:c>
      <x:c r="F98" s="24" t="str">
        <x:v>White croaker</x:v>
      </x:c>
      <x:c r="G98" s="24" t="str">
        <x:v>Medium benthopelagics (30 - 89 cm)</x:v>
      </x:c>
      <x:c r="H98" s="24" t="str">
        <x:v>Perch-likes</x:v>
      </x:c>
      <x:c r="I98" s="31" t="n">
        <x:v>20.9711659288</x:v>
      </x:c>
      <x:c r="J98" s="31" t="n">
        <x:v>20.193465928800002</x:v>
      </x:c>
      <x:c r="K98" s="31" t="n">
        <x:v>0.7777</x:v>
      </x:c>
      <x:c r="L98" s="31" t="n">
        <x:v>19.4999591767</x:v>
      </x:c>
      <x:c r="M98" s="31" t="n">
        <x:v>1.4712067521</x:v>
      </x:c>
      <x:c r="N98" s="24" t="str">
        <x:v>genyonemus lineatus</x:v>
      </x:c>
      <x:c r="O98" s="32" t="n">
        <x:v>3.43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Genyonemus lineatus</x:v>
      </x:c>
      <x:c r="T98" s="32" t="n">
        <x:f>IF(O98="","",(1/'Metadata'!$B$5)^(O98-1))</x:f>
        <x:v>269.1534803926917</x:v>
      </x:c>
      <x:c r="U98" s="31" t="n">
        <x:f>IF(T98="","",I98*T98)</x:f>
        <x:v>5644.462297629155</x:v>
      </x:c>
    </x:row>
    <x:row r="99" ht="18" customHeight="1">
      <x:c r="A99" s="24" t="str">
        <x:v>EEZ_848</x:v>
      </x:c>
      <x:c r="B99" s="24" t="str">
        <x:v>USA (West Coast)</x:v>
      </x:c>
      <x:c r="C99" s="24" t="str">
        <x:v>EEZ</x:v>
      </x:c>
      <x:c r="D99" s="30" t="n">
        <x:v>2019</x:v>
      </x:c>
      <x:c r="E99" s="24" t="str">
        <x:v>Myliobatis californica</x:v>
      </x:c>
      <x:c r="F99" s="24" t="str">
        <x:v>Bat eagle ray</x:v>
      </x:c>
      <x:c r="G99" s="24" t="str">
        <x:v>Large rays (&gt;=90 cm)</x:v>
      </x:c>
      <x:c r="H99" s="24" t="str">
        <x:v>Sharks &amp; rays</x:v>
      </x:c>
      <x:c r="I99" s="31" t="n">
        <x:v>19.7947236571</x:v>
      </x:c>
      <x:c r="J99" s="31" t="n">
        <x:v>4.956346525</x:v>
      </x:c>
      <x:c r="K99" s="31" t="n">
        <x:v>14.8383771321</x:v>
      </x:c>
      <x:c r="L99" s="31" t="n">
        <x:v>0</x:v>
      </x:c>
      <x:c r="M99" s="31" t="n">
        <x:v>19.7947236571</x:v>
      </x:c>
      <x:c r="N99" s="24" t="str">
        <x:v>myliobatis californica</x:v>
      </x:c>
      <x:c r="O99" s="32" t="n">
        <x:v>3.24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Myliobatis californica</x:v>
      </x:c>
      <x:c r="T99" s="32" t="n">
        <x:f>IF(O99="","",(1/'Metadata'!$B$5)^(O99-1))</x:f>
        <x:v>173.78008287493762</x:v>
      </x:c>
      <x:c r="U99" s="31" t="n">
        <x:f>IF(T99="","",I99*T99)</x:f>
        <x:v>3439.9287176173266</x:v>
      </x:c>
    </x:row>
    <x:row r="100" ht="18" customHeight="1">
      <x:c r="A100" s="24" t="str">
        <x:v>EEZ_848</x:v>
      </x:c>
      <x:c r="B100" s="24" t="str">
        <x:v>USA (West Coast)</x:v>
      </x:c>
      <x:c r="C100" s="24" t="str">
        <x:v>EEZ</x:v>
      </x:c>
      <x:c r="D100" s="30" t="n">
        <x:v>2019</x:v>
      </x:c>
      <x:c r="E100" s="24" t="str">
        <x:v>Sebastes elongatus</x:v>
      </x:c>
      <x:c r="F100" s="24" t="str">
        <x:v>Greenstriped rockfish</x:v>
      </x:c>
      <x:c r="G100" s="24" t="str">
        <x:v>Medium demersals (30 - 89 cm)</x:v>
      </x:c>
      <x:c r="H100" s="24" t="str">
        <x:v>Scorpionfishes</x:v>
      </x:c>
      <x:c r="I100" s="31" t="n">
        <x:v>19.466956165</x:v>
      </x:c>
      <x:c r="J100" s="31" t="n">
        <x:v>14.9990239522</x:v>
      </x:c>
      <x:c r="K100" s="31" t="n">
        <x:v>4.4679322128</x:v>
      </x:c>
      <x:c r="L100" s="31" t="n">
        <x:v>14.8996198891</x:v>
      </x:c>
      <x:c r="M100" s="31" t="n">
        <x:v>4.5673362759</x:v>
      </x:c>
      <x:c r="N100" s="24" t="str">
        <x:v>sebastes elongatus</x:v>
      </x:c>
      <x:c r="O100" s="32" t="n">
        <x:v>3.7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Sebastes elongatus</x:v>
      </x:c>
      <x:c r="T100" s="32" t="n">
        <x:f>IF(O100="","",(1/'Metadata'!$B$5)^(O100-1))</x:f>
        <x:v>501.18723362727246</x:v>
      </x:c>
      <x:c r="U100" s="31" t="n">
        <x:f>IF(T100="","",I100*T100)</x:f>
        <x:v>9756.589907479727</x:v>
      </x:c>
    </x:row>
    <x:row r="101" ht="18" customHeight="1">
      <x:c r="A101" s="24" t="str">
        <x:v>EEZ_848</x:v>
      </x:c>
      <x:c r="B101" s="24" t="str">
        <x:v>USA (West Coast)</x:v>
      </x:c>
      <x:c r="C101" s="24" t="str">
        <x:v>EEZ</x:v>
      </x:c>
      <x:c r="D101" s="30" t="n">
        <x:v>2019</x:v>
      </x:c>
      <x:c r="E101" s="24" t="str">
        <x:v>Katsuwonus pelamis</x:v>
      </x:c>
      <x:c r="F101" s="24" t="str">
        <x:v>Skipjack tuna</x:v>
      </x:c>
      <x:c r="G101" s="24" t="str">
        <x:v>Large pelagics (&gt;=90 cm)</x:v>
      </x:c>
      <x:c r="H101" s="24" t="str">
        <x:v>Tuna &amp; billfishes</x:v>
      </x:c>
      <x:c r="I101" s="31" t="n">
        <x:v>19.099890230400003</x:v>
      </x:c>
      <x:c r="J101" s="31" t="n">
        <x:v>19.099890230400003</x:v>
      </x:c>
      <x:c r="K101" s="31" t="n">
        <x:v>0</x:v>
      </x:c>
      <x:c r="L101" s="31" t="n">
        <x:v>19.099890230400003</x:v>
      </x:c>
      <x:c r="M101" s="31" t="n">
        <x:v>0</x:v>
      </x:c>
      <x:c r="N101" s="24" t="str">
        <x:v>katsuwonus pelamis</x:v>
      </x:c>
      <x:c r="O101" s="32" t="n">
        <x:v>4.43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Katsuwonus pelamis</x:v>
      </x:c>
      <x:c r="T101" s="32" t="n">
        <x:f>IF(O101="","",(1/'Metadata'!$B$5)^(O101-1))</x:f>
        <x:v>2691.534803926914</x:v>
      </x:c>
      <x:c r="U101" s="31" t="n">
        <x:f>IF(T101="","",I101*T101)</x:f>
        <x:v>51408.01930630525</x:v>
      </x:c>
    </x:row>
    <x:row r="102" ht="18" customHeight="1">
      <x:c r="A102" s="24" t="str">
        <x:v>EEZ_848</x:v>
      </x:c>
      <x:c r="B102" s="24" t="str">
        <x:v>USA (West Coast)</x:v>
      </x:c>
      <x:c r="C102" s="24" t="str">
        <x:v>EEZ</x:v>
      </x:c>
      <x:c r="D102" s="30" t="n">
        <x:v>2019</x:v>
      </x:c>
      <x:c r="E102" s="24" t="str">
        <x:v>Elasmobranchii</x:v>
      </x:c>
      <x:c r="F102" s="24" t="str">
        <x:v>Sharks, rays, skates</x:v>
      </x:c>
      <x:c r="G102" s="24" t="str">
        <x:v>Large sharks (&gt;=90 cm)</x:v>
      </x:c>
      <x:c r="H102" s="24" t="str">
        <x:v>Sharks &amp; rays</x:v>
      </x:c>
      <x:c r="I102" s="31" t="n">
        <x:v>18.6382443098</x:v>
      </x:c>
      <x:c r="J102" s="31" t="n">
        <x:v>0.0053560074</x:v>
      </x:c>
      <x:c r="K102" s="31" t="n">
        <x:v>18.6328883024</x:v>
      </x:c>
      <x:c r="L102" s="31" t="n">
        <x:v>0</x:v>
      </x:c>
      <x:c r="M102" s="31" t="n">
        <x:v>18.6382443098</x:v>
      </x:c>
      <x:c r="N102" s="24" t="str">
        <x:v>elasmobranchii</x:v>
      </x:c>
      <x:c r="O102" s="32" t="n">
        <x:v>4.05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Elasmobranchii</x:v>
      </x:c>
      <x:c r="T102" s="32" t="n">
        <x:f>IF(O102="","",(1/'Metadata'!$B$5)^(O102-1))</x:f>
        <x:v>1122.018454301963</x:v>
      </x:c>
      <x:c r="U102" s="31" t="n">
        <x:f>IF(T102="","",I102*T102)</x:f>
        <x:v>20912.454071384152</x:v>
      </x:c>
    </x:row>
    <x:row r="103" ht="18" customHeight="1">
      <x:c r="A103" s="24" t="str">
        <x:v>EEZ_848</x:v>
      </x:c>
      <x:c r="B103" s="24" t="str">
        <x:v>USA (West Coast)</x:v>
      </x:c>
      <x:c r="C103" s="24" t="str">
        <x:v>EEZ</x:v>
      </x:c>
      <x:c r="D103" s="30" t="n">
        <x:v>2019</x:v>
      </x:c>
      <x:c r="E103" s="24" t="str">
        <x:v>Sebastes chrysomelas</x:v>
      </x:c>
      <x:c r="F103" s="24" t="str">
        <x:v>Black-and-yellow rockfish</x:v>
      </x:c>
      <x:c r="G103" s="24" t="str">
        <x:v>Medium demersals (30 - 89 cm)</x:v>
      </x:c>
      <x:c r="H103" s="24" t="str">
        <x:v>Scorpionfishes</x:v>
      </x:c>
      <x:c r="I103" s="31" t="n">
        <x:v>17.4565058354</x:v>
      </x:c>
      <x:c r="J103" s="31" t="n">
        <x:v>17.1020031399</x:v>
      </x:c>
      <x:c r="K103" s="31" t="n">
        <x:v>0.3545026955</x:v>
      </x:c>
      <x:c r="L103" s="31" t="n">
        <x:v>17.0999990929</x:v>
      </x:c>
      <x:c r="M103" s="31" t="n">
        <x:v>0.35650674250000003</x:v>
      </x:c>
      <x:c r="N103" s="24" t="str">
        <x:v>sebastes chrysomelas</x:v>
      </x:c>
      <x:c r="O103" s="32" t="n">
        <x:v>3.47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Sebastes chrysomelas</x:v>
      </x:c>
      <x:c r="T103" s="32" t="n">
        <x:f>IF(O103="","",(1/'Metadata'!$B$5)^(O103-1))</x:f>
        <x:v>295.1209226666387</x:v>
      </x:c>
      <x:c r="U103" s="31" t="n">
        <x:f>IF(T103="","",I103*T103)</x:f>
        <x:v>5151.780108678811</x:v>
      </x:c>
    </x:row>
    <x:row r="104" ht="18" customHeight="1">
      <x:c r="A104" s="24" t="str">
        <x:v>EEZ_848</x:v>
      </x:c>
      <x:c r="B104" s="24" t="str">
        <x:v>USA (West Coast)</x:v>
      </x:c>
      <x:c r="C104" s="24" t="str">
        <x:v>EEZ</x:v>
      </x:c>
      <x:c r="D104" s="30" t="n">
        <x:v>2019</x:v>
      </x:c>
      <x:c r="E104" s="24" t="str">
        <x:v>Sebastes auriculatus</x:v>
      </x:c>
      <x:c r="F104" s="24" t="str">
        <x:v>Brown rockfish</x:v>
      </x:c>
      <x:c r="G104" s="24" t="str">
        <x:v>Medium demersals (30 - 89 cm)</x:v>
      </x:c>
      <x:c r="H104" s="24" t="str">
        <x:v>Scorpionfishes</x:v>
      </x:c>
      <x:c r="I104" s="31" t="n">
        <x:v>16.693264216000003</x:v>
      </x:c>
      <x:c r="J104" s="31" t="n">
        <x:v>15.4111180537</x:v>
      </x:c>
      <x:c r="K104" s="31" t="n">
        <x:v>1.2821461623000001</x:v>
      </x:c>
      <x:c r="L104" s="31" t="n">
        <x:v>15.3999328682</x:v>
      </x:c>
      <x:c r="M104" s="31" t="n">
        <x:v>1.2933313478</x:v>
      </x:c>
      <x:c r="N104" s="24" t="str">
        <x:v>sebastes auriculatus</x:v>
      </x:c>
      <x:c r="O104" s="32" t="n">
        <x:v>4.03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Sebastes auriculatus</x:v>
      </x:c>
      <x:c r="T104" s="32" t="n">
        <x:f>IF(O104="","",(1/'Metadata'!$B$5)^(O104-1))</x:f>
        <x:v>1071.519305237607</x:v>
      </x:c>
      <x:c r="U104" s="31" t="n">
        <x:f>IF(T104="","",I104*T104)</x:f>
        <x:v>17887.15487487613</x:v>
      </x:c>
    </x:row>
    <x:row r="105" ht="18" customHeight="1">
      <x:c r="A105" s="24" t="str">
        <x:v>EEZ_848</x:v>
      </x:c>
      <x:c r="B105" s="24" t="str">
        <x:v>USA (West Coast)</x:v>
      </x:c>
      <x:c r="C105" s="24" t="str">
        <x:v>EEZ</x:v>
      </x:c>
      <x:c r="D105" s="30" t="n">
        <x:v>2019</x:v>
      </x:c>
      <x:c r="E105" s="24" t="str">
        <x:v>Hexagrammidae</x:v>
      </x:c>
      <x:c r="F105" s="24" t="str">
        <x:v>Greenlings</x:v>
      </x:c>
      <x:c r="G105" s="24" t="str">
        <x:v>Medium demersals (30 - 89 cm)</x:v>
      </x:c>
      <x:c r="H105" s="24" t="str">
        <x:v>Scorpionfishes</x:v>
      </x:c>
      <x:c r="I105" s="31" t="n">
        <x:v>13.9123691059</x:v>
      </x:c>
      <x:c r="J105" s="31" t="n">
        <x:v>12.8391810686</x:v>
      </x:c>
      <x:c r="K105" s="31" t="n">
        <x:v>1.0731880373</x:v>
      </x:c>
      <x:c r="L105" s="31" t="n">
        <x:v>12.699694278299999</x:v>
      </x:c>
      <x:c r="M105" s="31" t="n">
        <x:v>1.2126748276</x:v>
      </x:c>
      <x:c r="N105" s="24" t="str">
        <x:v>hexagrammidae</x:v>
      </x:c>
      <x:c r="O105" s="32" t="n">
        <x:v>3.72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Hexagrammidae</x:v>
      </x:c>
      <x:c r="T105" s="32" t="n">
        <x:f>IF(O105="","",(1/'Metadata'!$B$5)^(O105-1))</x:f>
        <x:v>524.8074602497728</x:v>
      </x:c>
      <x:c r="U105" s="31" t="n">
        <x:f>IF(T105="","",I105*T105)</x:f>
        <x:v>7301.315096524781</x:v>
      </x:c>
    </x:row>
    <x:row r="106" ht="18" customHeight="1">
      <x:c r="A106" s="24" t="str">
        <x:v>EEZ_848</x:v>
      </x:c>
      <x:c r="B106" s="24" t="str">
        <x:v>USA (West Coast)</x:v>
      </x:c>
      <x:c r="C106" s="24" t="str">
        <x:v>EEZ</x:v>
      </x:c>
      <x:c r="D106" s="30" t="n">
        <x:v>2019</x:v>
      </x:c>
      <x:c r="E106" s="24" t="str">
        <x:v>Galeorhinus galeus</x:v>
      </x:c>
      <x:c r="F106" s="24" t="str">
        <x:v>Tope shark</x:v>
      </x:c>
      <x:c r="G106" s="24" t="str">
        <x:v>Large sharks (&gt;=90 cm)</x:v>
      </x:c>
      <x:c r="H106" s="24" t="str">
        <x:v>Sharks &amp; rays</x:v>
      </x:c>
      <x:c r="I106" s="31" t="n">
        <x:v>12.074296875599998</x:v>
      </x:c>
      <x:c r="J106" s="31" t="n">
        <x:v>10.416578896699999</x:v>
      </x:c>
      <x:c r="K106" s="31" t="n">
        <x:v>1.6577179788999998</x:v>
      </x:c>
      <x:c r="L106" s="31" t="n">
        <x:v>10.3999782275</x:v>
      </x:c>
      <x:c r="M106" s="31" t="n">
        <x:v>1.6743186480999999</x:v>
      </x:c>
      <x:c r="N106" s="24" t="str">
        <x:v>galeorhinus galeus</x:v>
      </x:c>
      <x:c r="O106" s="32" t="n">
        <x:v>4.34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Galeorhinus galeus</x:v>
      </x:c>
      <x:c r="T106" s="32" t="n">
        <x:f>IF(O106="","",(1/'Metadata'!$B$5)^(O106-1))</x:f>
        <x:v>2187.761623949552</x:v>
      </x:c>
      <x:c r="U106" s="31" t="n">
        <x:f>IF(T106="","",I106*T106)</x:f>
        <x:v>26415.683340611653</x:v>
      </x:c>
    </x:row>
    <x:row r="107" ht="18" customHeight="1">
      <x:c r="A107" s="24" t="str">
        <x:v>EEZ_848</x:v>
      </x:c>
      <x:c r="B107" s="24" t="str">
        <x:v>USA (West Coast)</x:v>
      </x:c>
      <x:c r="C107" s="24" t="str">
        <x:v>EEZ</x:v>
      </x:c>
      <x:c r="D107" s="30" t="n">
        <x:v>2019</x:v>
      </x:c>
      <x:c r="E107" s="24" t="str">
        <x:v>Seriola lalandi</x:v>
      </x:c>
      <x:c r="F107" s="24" t="str">
        <x:v>Yellowtail amberjack</x:v>
      </x:c>
      <x:c r="G107" s="24" t="str">
        <x:v>Large benthopelagics (&gt;=90 cm)</x:v>
      </x:c>
      <x:c r="H107" s="24" t="str">
        <x:v>Perch-likes</x:v>
      </x:c>
      <x:c r="I107" s="31" t="n">
        <x:v>11.9998004191</x:v>
      </x:c>
      <x:c r="J107" s="31" t="n">
        <x:v>11.9998004191</x:v>
      </x:c>
      <x:c r="K107" s="31" t="n">
        <x:v>0</x:v>
      </x:c>
      <x:c r="L107" s="31" t="n">
        <x:v>11.9998004191</x:v>
      </x:c>
      <x:c r="M107" s="31" t="n">
        <x:v>0</x:v>
      </x:c>
      <x:c r="N107" s="24" t="str">
        <x:v>seriola lalandi</x:v>
      </x:c>
      <x:c r="O107" s="32" t="n">
        <x:v>4.16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Seriola lalandi</x:v>
      </x:c>
      <x:c r="T107" s="32" t="n">
        <x:f>IF(O107="","",(1/'Metadata'!$B$5)^(O107-1))</x:f>
        <x:v>1445.439770745928</x:v>
      </x:c>
      <x:c r="U107" s="31" t="n">
        <x:f>IF(T107="","",I107*T107)</x:f>
        <x:v>17344.988766780793</x:v>
      </x:c>
    </x:row>
    <x:row r="108" ht="18" customHeight="1">
      <x:c r="A108" s="24" t="str">
        <x:v>EEZ_848</x:v>
      </x:c>
      <x:c r="B108" s="24" t="str">
        <x:v>USA (West Coast)</x:v>
      </x:c>
      <x:c r="C108" s="24" t="str">
        <x:v>EEZ</x:v>
      </x:c>
      <x:c r="D108" s="30" t="n">
        <x:v>2019</x:v>
      </x:c>
      <x:c r="E108" s="24" t="str">
        <x:v>Platichthys stellatus</x:v>
      </x:c>
      <x:c r="F108" s="24" t="str">
        <x:v>Starry flounder</x:v>
      </x:c>
      <x:c r="G108" s="24" t="str">
        <x:v>Small to medium flatfishes (&lt;90 cm)</x:v>
      </x:c>
      <x:c r="H108" s="24" t="str">
        <x:v>Flatfishes</x:v>
      </x:c>
      <x:c r="I108" s="31" t="n">
        <x:v>11.9199524394</x:v>
      </x:c>
      <x:c r="J108" s="31" t="n">
        <x:v>9.4765981418</x:v>
      </x:c>
      <x:c r="K108" s="31" t="n">
        <x:v>2.4433542976</x:v>
      </x:c>
      <x:c r="L108" s="31" t="n">
        <x:v>9.1997713892</x:v>
      </x:c>
      <x:c r="M108" s="31" t="n">
        <x:v>2.7201810502</x:v>
      </x:c>
      <x:c r="N108" s="24" t="str">
        <x:v>platichthys stellatus</x:v>
      </x:c>
      <x:c r="O108" s="32" t="n">
        <x:v>3.58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Platichthys stellatus</x:v>
      </x:c>
      <x:c r="T108" s="32" t="n">
        <x:f>IF(O108="","",(1/'Metadata'!$B$5)^(O108-1))</x:f>
        <x:v>380.1893963205613</x:v>
      </x:c>
      <x:c r="U108" s="31" t="n">
        <x:f>IF(T108="","",I108*T108)</x:f>
        <x:v>4531.839522105288</x:v>
      </x:c>
    </x:row>
    <x:row r="109" ht="18" customHeight="1">
      <x:c r="A109" s="24" t="str">
        <x:v>EEZ_848</x:v>
      </x:c>
      <x:c r="B109" s="24" t="str">
        <x:v>USA (West Coast)</x:v>
      </x:c>
      <x:c r="C109" s="24" t="str">
        <x:v>EEZ</x:v>
      </x:c>
      <x:c r="D109" s="30" t="n">
        <x:v>2019</x:v>
      </x:c>
      <x:c r="E109" s="24" t="str">
        <x:v>Sebastes saxicola</x:v>
      </x:c>
      <x:c r="F109" s="24" t="str">
        <x:v>Stripetail rockfish</x:v>
      </x:c>
      <x:c r="G109" s="24" t="str">
        <x:v>Medium demersals (30 - 89 cm)</x:v>
      </x:c>
      <x:c r="H109" s="24" t="str">
        <x:v>Scorpionfishes</x:v>
      </x:c>
      <x:c r="I109" s="31" t="n">
        <x:v>11.056631625</x:v>
      </x:c>
      <x:c r="J109" s="31" t="n">
        <x:v>5.9996734135</x:v>
      </x:c>
      <x:c r="K109" s="31" t="n">
        <x:v>5.0569582115000005</x:v>
      </x:c>
      <x:c r="L109" s="31" t="n">
        <x:v>5.9996734135</x:v>
      </x:c>
      <x:c r="M109" s="31" t="n">
        <x:v>5.0569582115000005</x:v>
      </x:c>
      <x:c r="N109" s="24" t="str">
        <x:v>sebastes saxicola</x:v>
      </x:c>
      <x:c r="O109" s="32" t="n">
        <x:v>3.7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Sebastes saxicola</x:v>
      </x:c>
      <x:c r="T109" s="32" t="n">
        <x:f>IF(O109="","",(1/'Metadata'!$B$5)^(O109-1))</x:f>
        <x:v>501.18723362727246</x:v>
      </x:c>
      <x:c r="U109" s="31" t="n">
        <x:f>IF(T109="","",I109*T109)</x:f>
        <x:v>5541.442617369564</x:v>
      </x:c>
    </x:row>
    <x:row r="110" ht="18" customHeight="1">
      <x:c r="A110" s="24" t="str">
        <x:v>EEZ_848</x:v>
      </x:c>
      <x:c r="B110" s="24" t="str">
        <x:v>USA (West Coast)</x:v>
      </x:c>
      <x:c r="C110" s="24" t="str">
        <x:v>EEZ</x:v>
      </x:c>
      <x:c r="D110" s="30" t="n">
        <x:v>2019</x:v>
      </x:c>
      <x:c r="E110" s="24" t="str">
        <x:v>Sebastes rastrelliger</x:v>
      </x:c>
      <x:c r="F110" s="24" t="str">
        <x:v>Grass rockfish</x:v>
      </x:c>
      <x:c r="G110" s="24" t="str">
        <x:v>Medium demersals (30 - 89 cm)</x:v>
      </x:c>
      <x:c r="H110" s="24" t="str">
        <x:v>Scorpionfishes</x:v>
      </x:c>
      <x:c r="I110" s="31" t="n">
        <x:v>10.966507545499999</x:v>
      </x:c>
      <x:c r="J110" s="31" t="n">
        <x:v>10.717758778299999</x:v>
      </x:c>
      <x:c r="K110" s="31" t="n">
        <x:v>0.2487487672</x:v>
      </x:c>
      <x:c r="L110" s="31" t="n">
        <x:v>10.6998031405</x:v>
      </x:c>
      <x:c r="M110" s="31" t="n">
        <x:v>0.266704405</x:v>
      </x:c>
      <x:c r="N110" s="24" t="str">
        <x:v>sebastes rastrelliger</x:v>
      </x:c>
      <x:c r="O110" s="32" t="n">
        <x:v>3.87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Sebastes rastrelliger</x:v>
      </x:c>
      <x:c r="T110" s="32" t="n">
        <x:f>IF(O110="","",(1/'Metadata'!$B$5)^(O110-1))</x:f>
        <x:v>741.3102413009177</x:v>
      </x:c>
      <x:c r="U110" s="31" t="n">
        <x:f>IF(T110="","",I110*T110)</x:f>
        <x:v>8129.584354782939</x:v>
      </x:c>
    </x:row>
    <x:row r="111" ht="18" customHeight="1">
      <x:c r="A111" s="24" t="str">
        <x:v>EEZ_848</x:v>
      </x:c>
      <x:c r="B111" s="24" t="str">
        <x:v>USA (West Coast)</x:v>
      </x:c>
      <x:c r="C111" s="24" t="str">
        <x:v>EEZ</x:v>
      </x:c>
      <x:c r="D111" s="30" t="n">
        <x:v>2019</x:v>
      </x:c>
      <x:c r="E111" s="24" t="str">
        <x:v>Oncorhynchus</x:v>
      </x:c>
      <x:c r="F111" s="24" t="str">
        <x:v>Salmons, trouts</x:v>
      </x:c>
      <x:c r="G111" s="24" t="str">
        <x:v>Large benthopelagics (&gt;=90 cm)</x:v>
      </x:c>
      <x:c r="H111" s="24" t="str">
        <x:v>Salmon, smelts, etc</x:v>
      </x:c>
      <x:c r="I111" s="31" t="n">
        <x:v>8.8999464761</x:v>
      </x:c>
      <x:c r="J111" s="31" t="n">
        <x:v>8.8999464761</x:v>
      </x:c>
      <x:c r="K111" s="31" t="n">
        <x:v>0</x:v>
      </x:c>
      <x:c r="L111" s="31" t="n">
        <x:v>8.8999464761</x:v>
      </x:c>
      <x:c r="M111" s="31" t="n">
        <x:v>0</x:v>
      </x:c>
      <x:c r="N111" s="24" t="str">
        <x:v>oncorhynchus</x:v>
      </x:c>
      <x:c r="O111" s="32" t="n">
        <x:v>3.95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Oncorhynchus</x:v>
      </x:c>
      <x:c r="T111" s="32" t="n">
        <x:f>IF(O111="","",(1/'Metadata'!$B$5)^(O111-1))</x:f>
        <x:v>891.2509381337459</x:v>
      </x:c>
      <x:c r="U111" s="31" t="n">
        <x:f>IF(T111="","",I111*T111)</x:f>
        <x:v>7932.085646164251</x:v>
      </x:c>
    </x:row>
    <x:row r="112" ht="18" customHeight="1">
      <x:c r="A112" s="24" t="str">
        <x:v>EEZ_848</x:v>
      </x:c>
      <x:c r="B112" s="24" t="str">
        <x:v>USA (West Coast)</x:v>
      </x:c>
      <x:c r="C112" s="24" t="str">
        <x:v>EEZ</x:v>
      </x:c>
      <x:c r="D112" s="30" t="n">
        <x:v>2019</x:v>
      </x:c>
      <x:c r="E112" s="24" t="str">
        <x:v>Sebastes chlorostictus</x:v>
      </x:c>
      <x:c r="F112" s="24" t="str">
        <x:v>Greenspotted rockfish</x:v>
      </x:c>
      <x:c r="G112" s="24" t="str">
        <x:v>Medium demersals (30 - 89 cm)</x:v>
      </x:c>
      <x:c r="H112" s="24" t="str">
        <x:v>Scorpionfishes</x:v>
      </x:c>
      <x:c r="I112" s="31" t="n">
        <x:v>8.2376011325</x:v>
      </x:c>
      <x:c r="J112" s="31" t="n">
        <x:v>7.532988558</x:v>
      </x:c>
      <x:c r="K112" s="31" t="n">
        <x:v>0.7046125745</x:v>
      </x:c>
      <x:c r="L112" s="31" t="n">
        <x:v>5.1999891138</x:v>
      </x:c>
      <x:c r="M112" s="31" t="n">
        <x:v>3.0376120187</x:v>
      </x:c>
      <x:c r="N112" s="24" t="str">
        <x:v>sebastes chlorostictus</x:v>
      </x:c>
      <x:c r="O112" s="32" t="n">
        <x:v>3.46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Sebastes chlorostictus</x:v>
      </x:c>
      <x:c r="T112" s="32" t="n">
        <x:f>IF(O112="","",(1/'Metadata'!$B$5)^(O112-1))</x:f>
        <x:v>288.40315031266056</x:v>
      </x:c>
      <x:c r="U112" s="31" t="n">
        <x:f>IF(T112="","",I112*T112)</x:f>
        <x:v>2375.7501176321402</x:v>
      </x:c>
    </x:row>
    <x:row r="113" ht="18" customHeight="1">
      <x:c r="A113" s="24" t="str">
        <x:v>EEZ_848</x:v>
      </x:c>
      <x:c r="B113" s="24" t="str">
        <x:v>USA (West Coast)</x:v>
      </x:c>
      <x:c r="C113" s="24" t="str">
        <x:v>EEZ</x:v>
      </x:c>
      <x:c r="D113" s="30" t="n">
        <x:v>2019</x:v>
      </x:c>
      <x:c r="E113" s="24" t="str">
        <x:v>Carangidae</x:v>
      </x:c>
      <x:c r="F113" s="24" t="str">
        <x:v>Jacks, pompanos</x:v>
      </x:c>
      <x:c r="G113" s="24" t="str">
        <x:v>Medium pelagics (30 - 89 cm)</x:v>
      </x:c>
      <x:c r="H113" s="24" t="str">
        <x:v>Perch-likes</x:v>
      </x:c>
      <x:c r="I113" s="31" t="n">
        <x:v>7.6015257192</x:v>
      </x:c>
      <x:c r="J113" s="31" t="n">
        <x:v>0</x:v>
      </x:c>
      <x:c r="K113" s="31" t="n">
        <x:v>7.6015257192</x:v>
      </x:c>
      <x:c r="L113" s="31" t="n">
        <x:v>0</x:v>
      </x:c>
      <x:c r="M113" s="31" t="n">
        <x:v>7.6015257192</x:v>
      </x:c>
      <x:c r="N113" s="24" t="str">
        <x:v>carangidae</x:v>
      </x:c>
      <x:c r="O113" s="32" t="n">
        <x:v>4.05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Carangidae</x:v>
      </x:c>
      <x:c r="T113" s="32" t="n">
        <x:f>IF(O113="","",(1/'Metadata'!$B$5)^(O113-1))</x:f>
        <x:v>1122.018454301963</x:v>
      </x:c>
      <x:c r="U113" s="31" t="n">
        <x:f>IF(T113="","",I113*T113)</x:f>
        <x:v>8529.0521377934</x:v>
      </x:c>
    </x:row>
    <x:row r="114" ht="18" customHeight="1">
      <x:c r="A114" s="24" t="str">
        <x:v>EEZ_848</x:v>
      </x:c>
      <x:c r="B114" s="24" t="str">
        <x:v>USA (West Coast)</x:v>
      </x:c>
      <x:c r="C114" s="24" t="str">
        <x:v>EEZ</x:v>
      </x:c>
      <x:c r="D114" s="30" t="n">
        <x:v>2019</x:v>
      </x:c>
      <x:c r="E114" s="24" t="str">
        <x:v>Actinopterygii</x:v>
      </x:c>
      <x:c r="F114" s="24" t="str">
        <x:v>Ray-finned fishes</x:v>
      </x:c>
      <x:c r="G114" s="24" t="str">
        <x:v>Medium demersals (30 - 89 cm)</x:v>
      </x:c>
      <x:c r="H114" s="24" t="str">
        <x:v>Other fishes &amp; inverts</x:v>
      </x:c>
      <x:c r="I114" s="31" t="n">
        <x:v>7.3001242844</x:v>
      </x:c>
      <x:c r="J114" s="31" t="n">
        <x:v>7.3001242844</x:v>
      </x:c>
      <x:c r="K114" s="31" t="n">
        <x:v>0</x:v>
      </x:c>
      <x:c r="L114" s="31" t="n">
        <x:v>7.3001242844</x:v>
      </x:c>
      <x:c r="M114" s="31" t="n">
        <x:v>0</x:v>
      </x:c>
      <x:c r="N114" s="24" t="str">
        <x:v>actinopterygii</x:v>
      </x:c>
      <x:c r="O114" s="32" t="n">
        <x:v>3.79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Actinopterygii</x:v>
      </x:c>
      <x:c r="T114" s="32" t="n">
        <x:f>IF(O114="","",(1/'Metadata'!$B$5)^(O114-1))</x:f>
        <x:v>616.5950018614822</x:v>
      </x:c>
      <x:c r="U114" s="31" t="n">
        <x:f>IF(T114="","",I114*T114)</x:f>
        <x:v>4501.220146728669</x:v>
      </x:c>
    </x:row>
    <x:row r="115" ht="18" customHeight="1">
      <x:c r="A115" s="24" t="str">
        <x:v>EEZ_848</x:v>
      </x:c>
      <x:c r="B115" s="24" t="str">
        <x:v>USA (West Coast)</x:v>
      </x:c>
      <x:c r="C115" s="24" t="str">
        <x:v>EEZ</x:v>
      </x:c>
      <x:c r="D115" s="30" t="n">
        <x:v>2019</x:v>
      </x:c>
      <x:c r="E115" s="24" t="str">
        <x:v>Cephalopoda</x:v>
      </x:c>
      <x:c r="F115" s="24" t="str">
        <x:v>Squids, cuttlefishes, octopuses</x:v>
      </x:c>
      <x:c r="G115" s="24" t="str">
        <x:v>Cephalopods</x:v>
      </x:c>
      <x:c r="H115" s="24" t="str">
        <x:v>Other fishes &amp; inverts</x:v>
      </x:c>
      <x:c r="I115" s="31" t="n">
        <x:v>7.1344208359</x:v>
      </x:c>
      <x:c r="J115" s="31" t="n">
        <x:v>7.1344208359</x:v>
      </x:c>
      <x:c r="K115" s="31" t="n">
        <x:v>0</x:v>
      </x:c>
      <x:c r="L115" s="31" t="n">
        <x:v>0</x:v>
      </x:c>
      <x:c r="M115" s="31" t="n">
        <x:v>7.1344208359</x:v>
      </x:c>
      <x:c r="N115" s="24" t="str">
        <x:v>cephalopoda</x:v>
      </x:c>
      <x:c r="O115" s="32" t="n">
        <x:v>3.81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Cephalopoda</x:v>
      </x:c>
      <x:c r="T115" s="32" t="n">
        <x:f>IF(O115="","",(1/'Metadata'!$B$5)^(O115-1))</x:f>
        <x:v>645.6542290346556</x:v>
      </x:c>
      <x:c r="U115" s="31" t="n">
        <x:f>IF(T115="","",I115*T115)</x:f>
        <x:v>4606.368984411798</x:v>
      </x:c>
    </x:row>
    <x:row r="116" ht="18" customHeight="1">
      <x:c r="A116" s="24" t="str">
        <x:v>EEZ_848</x:v>
      </x:c>
      <x:c r="B116" s="24" t="str">
        <x:v>USA (West Coast)</x:v>
      </x:c>
      <x:c r="C116" s="24" t="str">
        <x:v>EEZ</x:v>
      </x:c>
      <x:c r="D116" s="30" t="n">
        <x:v>2019</x:v>
      </x:c>
      <x:c r="E116" s="24" t="str">
        <x:v>Psettichthys melanostictus</x:v>
      </x:c>
      <x:c r="F116" s="24" t="str">
        <x:v>Pacific sand sole</x:v>
      </x:c>
      <x:c r="G116" s="24" t="str">
        <x:v>Small to medium flatfishes (&lt;90 cm)</x:v>
      </x:c>
      <x:c r="H116" s="24" t="str">
        <x:v>Flatfishes</x:v>
      </x:c>
      <x:c r="I116" s="31" t="n">
        <x:v>6.4838328259</x:v>
      </x:c>
      <x:c r="J116" s="31" t="n">
        <x:v>6.074834543000001</x:v>
      </x:c>
      <x:c r="K116" s="31" t="n">
        <x:v>0.4089982829</x:v>
      </x:c>
      <x:c r="L116" s="31" t="n">
        <x:v>5.9996734131</x:v>
      </x:c>
      <x:c r="M116" s="31" t="n">
        <x:v>0.4841594128</x:v>
      </x:c>
      <x:c r="N116" s="24" t="str">
        <x:v>psettichthys melanostictus</x:v>
      </x:c>
      <x:c r="O116" s="32" t="n">
        <x:v>4.06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Psettichthys melanostictus</x:v>
      </x:c>
      <x:c r="T116" s="32" t="n">
        <x:f>IF(O116="","",(1/'Metadata'!$B$5)^(O116-1))</x:f>
        <x:v>1148.1536214968817</x:v>
      </x:c>
      <x:c r="U116" s="31" t="n">
        <x:f>IF(T116="","",I116*T116)</x:f>
        <x:v>7444.436140237446</x:v>
      </x:c>
    </x:row>
    <x:row r="117" ht="18" customHeight="1">
      <x:c r="A117" s="24" t="str">
        <x:v>EEZ_848</x:v>
      </x:c>
      <x:c r="B117" s="24" t="str">
        <x:v>USA (West Coast)</x:v>
      </x:c>
      <x:c r="C117" s="24" t="str">
        <x:v>EEZ</x:v>
      </x:c>
      <x:c r="D117" s="30" t="n">
        <x:v>2019</x:v>
      </x:c>
      <x:c r="E117" s="24" t="str">
        <x:v>Pleuronectiformes</x:v>
      </x:c>
      <x:c r="F117" s="24" t="str">
        <x:v>Flatfishes</x:v>
      </x:c>
      <x:c r="G117" s="24" t="str">
        <x:v>Small to medium flatfishes (&lt;90 cm)</x:v>
      </x:c>
      <x:c r="H117" s="24" t="str">
        <x:v>Flatfishes</x:v>
      </x:c>
      <x:c r="I117" s="31" t="n">
        <x:v>6.171546370400001</x:v>
      </x:c>
      <x:c r="J117" s="31" t="n">
        <x:v>4.2371163802</x:v>
      </x:c>
      <x:c r="K117" s="31" t="n">
        <x:v>1.9344299902</x:v>
      </x:c>
      <x:c r="L117" s="31" t="n">
        <x:v>4.2002703415000004</x:v>
      </x:c>
      <x:c r="M117" s="31" t="n">
        <x:v>1.9712760289</x:v>
      </x:c>
      <x:c r="N117" s="24" t="str">
        <x:v>pleuronectiformes</x:v>
      </x:c>
      <x:c r="O117" s="32" t="n">
        <x:v>3.57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Pleuronectiformes</x:v>
      </x:c>
      <x:c r="T117" s="32" t="n">
        <x:f>IF(O117="","",(1/'Metadata'!$B$5)^(O117-1))</x:f>
        <x:v>371.5352290971724</x:v>
      </x:c>
      <x:c r="U117" s="31" t="n">
        <x:f>IF(T117="","",I117*T117)</x:f>
        <x:v>2292.946894610387</x:v>
      </x:c>
    </x:row>
    <x:row r="118" ht="18" customHeight="1">
      <x:c r="A118" s="24" t="str">
        <x:v>EEZ_848</x:v>
      </x:c>
      <x:c r="B118" s="24" t="str">
        <x:v>USA (West Coast)</x:v>
      </x:c>
      <x:c r="C118" s="24" t="str">
        <x:v>EEZ</x:v>
      </x:c>
      <x:c r="D118" s="30" t="n">
        <x:v>2019</x:v>
      </x:c>
      <x:c r="E118" s="24" t="str">
        <x:v>Istiophoridae</x:v>
      </x:c>
      <x:c r="F118" s="24" t="str">
        <x:v>Billfishes</x:v>
      </x:c>
      <x:c r="G118" s="24" t="str">
        <x:v>Large pelagics (&gt;=90 cm)</x:v>
      </x:c>
      <x:c r="H118" s="24" t="str">
        <x:v>Tuna &amp; billfishes</x:v>
      </x:c>
      <x:c r="I118" s="31" t="n">
        <x:v>4.888626227</x:v>
      </x:c>
      <x:c r="J118" s="31" t="n">
        <x:v>0</x:v>
      </x:c>
      <x:c r="K118" s="31" t="n">
        <x:v>4.888626227</x:v>
      </x:c>
      <x:c r="L118" s="31" t="n">
        <x:v>0</x:v>
      </x:c>
      <x:c r="M118" s="31" t="n">
        <x:v>4.888626227</x:v>
      </x:c>
      <x:c r="N118" s="24" t="str">
        <x:v>istiophoridae</x:v>
      </x:c>
      <x:c r="O118" s="32" t="n">
        <x:v>4.48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Istiophoridae</x:v>
      </x:c>
      <x:c r="T118" s="32" t="n">
        <x:f>IF(O118="","",(1/'Metadata'!$B$5)^(O118-1))</x:f>
        <x:v>3019.951720402019</x:v>
      </x:c>
      <x:c r="U118" s="31" t="n">
        <x:f>IF(T118="","",I118*T118)</x:f>
        <x:v>14763.41518463108</x:v>
      </x:c>
    </x:row>
    <x:row r="119" ht="18" customHeight="1">
      <x:c r="A119" s="24" t="str">
        <x:v>EEZ_848</x:v>
      </x:c>
      <x:c r="B119" s="24" t="str">
        <x:v>USA (West Coast)</x:v>
      </x:c>
      <x:c r="C119" s="24" t="str">
        <x:v>EEZ</x:v>
      </x:c>
      <x:c r="D119" s="30" t="n">
        <x:v>2019</x:v>
      </x:c>
      <x:c r="E119" s="24" t="str">
        <x:v>Alopias</x:v>
      </x:c>
      <x:c r="F119" s="24" t="str">
        <x:v>Thresher sharks</x:v>
      </x:c>
      <x:c r="G119" s="24" t="str">
        <x:v>Large sharks (&gt;=90 cm)</x:v>
      </x:c>
      <x:c r="H119" s="24" t="str">
        <x:v>Sharks &amp; rays</x:v>
      </x:c>
      <x:c r="I119" s="31" t="n">
        <x:v>4.5000952545</x:v>
      </x:c>
      <x:c r="J119" s="31" t="n">
        <x:v>4.5000952545</x:v>
      </x:c>
      <x:c r="K119" s="31" t="n">
        <x:v>0</x:v>
      </x:c>
      <x:c r="L119" s="31" t="n">
        <x:v>4.5000952545</x:v>
      </x:c>
      <x:c r="M119" s="31" t="n">
        <x:v>0</x:v>
      </x:c>
      <x:c r="N119" s="24" t="str">
        <x:v>alopias</x:v>
      </x:c>
      <x:c r="O119" s="32" t="n">
        <x:v>4.5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Alopias</x:v>
      </x:c>
      <x:c r="T119" s="32" t="n">
        <x:f>IF(O119="","",(1/'Metadata'!$B$5)^(O119-1))</x:f>
        <x:v>3162.2776601683795</x:v>
      </x:c>
      <x:c r="U119" s="31" t="n">
        <x:f>IF(T119="","",I119*T119)</x:f>
        <x:v>14230.550691935086</x:v>
      </x:c>
    </x:row>
    <x:row r="120" ht="18" customHeight="1">
      <x:c r="A120" s="24" t="str">
        <x:v>EEZ_848</x:v>
      </x:c>
      <x:c r="B120" s="24" t="str">
        <x:v>USA (West Coast)</x:v>
      </x:c>
      <x:c r="C120" s="24" t="str">
        <x:v>EEZ</x:v>
      </x:c>
      <x:c r="D120" s="30" t="n">
        <x:v>2019</x:v>
      </x:c>
      <x:c r="E120" s="24" t="str">
        <x:v>Clupeiformes</x:v>
      </x:c>
      <x:c r="F120" s="24" t="str">
        <x:v>Herrings, shads, anchovies</x:v>
      </x:c>
      <x:c r="G120" s="24" t="str">
        <x:v>Small pelagics (&lt;30 cm)</x:v>
      </x:c>
      <x:c r="H120" s="24" t="str">
        <x:v>Other fishes &amp; inverts</x:v>
      </x:c>
      <x:c r="I120" s="31" t="n">
        <x:v>4.3998512215</x:v>
      </x:c>
      <x:c r="J120" s="31" t="n">
        <x:v>4.3998512215</x:v>
      </x:c>
      <x:c r="K120" s="31" t="n">
        <x:v>0</x:v>
      </x:c>
      <x:c r="L120" s="31" t="n">
        <x:v>4.3998512215</x:v>
      </x:c>
      <x:c r="M120" s="31" t="n">
        <x:v>0</x:v>
      </x:c>
      <x:c r="N120" s="24" t="str">
        <x:v>clupeiformes</x:v>
      </x:c>
      <x:c r="O120" s="32" t="n">
        <x:v>3.24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Clupeiformes</x:v>
      </x:c>
      <x:c r="T120" s="32" t="n">
        <x:f>IF(O120="","",(1/'Metadata'!$B$5)^(O120-1))</x:f>
        <x:v>173.78008287493762</x:v>
      </x:c>
      <x:c r="U120" s="31" t="n">
        <x:f>IF(T120="","",I120*T120)</x:f>
        <x:v>764.6065099096654</x:v>
      </x:c>
    </x:row>
    <x:row r="121" ht="18" customHeight="1">
      <x:c r="A121" s="24" t="str">
        <x:v>EEZ_848</x:v>
      </x:c>
      <x:c r="B121" s="24" t="str">
        <x:v>USA (West Coast)</x:v>
      </x:c>
      <x:c r="C121" s="24" t="str">
        <x:v>EEZ</x:v>
      </x:c>
      <x:c r="D121" s="30" t="n">
        <x:v>2019</x:v>
      </x:c>
      <x:c r="E121" s="24" t="str">
        <x:v>Microstomus bathybius</x:v>
      </x:c>
      <x:c r="F121" s="24" t="str">
        <x:v>Deep-sea sole</x:v>
      </x:c>
      <x:c r="G121" s="24" t="str">
        <x:v>Medium bathydemersals (30 - 89 cm)</x:v>
      </x:c>
      <x:c r="H121" s="24" t="str">
        <x:v>Flatfishes</x:v>
      </x:c>
      <x:c r="I121" s="31" t="n">
        <x:v>4.3666985855</x:v>
      </x:c>
      <x:c r="J121" s="31" t="n">
        <x:v>0</x:v>
      </x:c>
      <x:c r="K121" s="31" t="n">
        <x:v>4.3666985855</x:v>
      </x:c>
      <x:c r="L121" s="31" t="n">
        <x:v>0</x:v>
      </x:c>
      <x:c r="M121" s="31" t="n">
        <x:v>4.3666985855</x:v>
      </x:c>
      <x:c r="N121" s="24" t="str">
        <x:v>microstomus bathybius</x:v>
      </x:c>
      <x:c r="O121" s="32" t="n">
        <x:v>3.2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Microstomus bathybius</x:v>
      </x:c>
      <x:c r="T121" s="32" t="n">
        <x:f>IF(O121="","",(1/'Metadata'!$B$5)^(O121-1))</x:f>
        <x:v>158.48931924611142</x:v>
      </x:c>
      <x:c r="U121" s="31" t="n">
        <x:f>IF(T121="","",I121*T121)</x:f>
        <x:v>692.0750861688526</x:v>
      </x:c>
    </x:row>
    <x:row r="122" ht="18" customHeight="1">
      <x:c r="A122" s="24" t="str">
        <x:v>EEZ_848</x:v>
      </x:c>
      <x:c r="B122" s="24" t="str">
        <x:v>USA (West Coast)</x:v>
      </x:c>
      <x:c r="C122" s="24" t="str">
        <x:v>EEZ</x:v>
      </x:c>
      <x:c r="D122" s="30" t="n">
        <x:v>2019</x:v>
      </x:c>
      <x:c r="E122" s="24" t="str">
        <x:v>Stereolepis gigas</x:v>
      </x:c>
      <x:c r="F122" s="24" t="str">
        <x:v>Giant seabass</x:v>
      </x:c>
      <x:c r="G122" s="24" t="str">
        <x:v>Large demersals (&gt;=90 cm)</x:v>
      </x:c>
      <x:c r="H122" s="24" t="str">
        <x:v>Perch-likes</x:v>
      </x:c>
      <x:c r="I122" s="31" t="n">
        <x:v>4.218468598</x:v>
      </x:c>
      <x:c r="J122" s="31" t="n">
        <x:v>4.1998167485</x:v>
      </x:c>
      <x:c r="K122" s="31" t="n">
        <x:v>0.0186518495</x:v>
      </x:c>
      <x:c r="L122" s="31" t="n">
        <x:v>4.1998167485</x:v>
      </x:c>
      <x:c r="M122" s="31" t="n">
        <x:v>0.0186518495</x:v>
      </x:c>
      <x:c r="N122" s="24" t="str">
        <x:v>stereolepis gigas</x:v>
      </x:c>
      <x:c r="O122" s="32" t="n">
        <x:v>4.5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Stereolepis gigas</x:v>
      </x:c>
      <x:c r="T122" s="32" t="n">
        <x:f>IF(O122="","",(1/'Metadata'!$B$5)^(O122-1))</x:f>
        <x:v>3162.2776601683795</x:v>
      </x:c>
      <x:c r="U122" s="31" t="n">
        <x:f>IF(T122="","",I122*T122)</x:f>
        <x:v>13339.969007577225</x:v>
      </x:c>
    </x:row>
    <x:row r="123" ht="18" customHeight="1">
      <x:c r="A123" s="24" t="str">
        <x:v>EEZ_848</x:v>
      </x:c>
      <x:c r="B123" s="24" t="str">
        <x:v>USA (West Coast)</x:v>
      </x:c>
      <x:c r="C123" s="24" t="str">
        <x:v>EEZ</x:v>
      </x:c>
      <x:c r="D123" s="30" t="n">
        <x:v>2019</x:v>
      </x:c>
      <x:c r="E123" s="24" t="str">
        <x:v>Hyperprosopon ellipticum</x:v>
      </x:c>
      <x:c r="F123" s="24" t="str">
        <x:v>Silver surfperch</x:v>
      </x:c>
      <x:c r="G123" s="24" t="str">
        <x:v>Small demersals (&lt;30 cm)</x:v>
      </x:c>
      <x:c r="H123" s="24" t="str">
        <x:v>Perch-likes</x:v>
      </x:c>
      <x:c r="I123" s="31" t="n">
        <x:v>3.9637260058</x:v>
      </x:c>
      <x:c r="J123" s="31" t="n">
        <x:v>3.3611460058</x:v>
      </x:c>
      <x:c r="K123" s="31" t="n">
        <x:v>0.60258</x:v>
      </x:c>
      <x:c r="L123" s="31" t="n">
        <x:v>0</x:v>
      </x:c>
      <x:c r="M123" s="31" t="n">
        <x:v>3.9637260058</x:v>
      </x:c>
      <x:c r="N123" s="24" t="str">
        <x:v>hyperprosopon ellipticum</x:v>
      </x:c>
      <x:c r="O123" s="32" t="n">
        <x:v>3.3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Hyperprosopon ellipticum</x:v>
      </x:c>
      <x:c r="T123" s="32" t="n">
        <x:f>IF(O123="","",(1/'Metadata'!$B$5)^(O123-1))</x:f>
        <x:v>199.52623149688787</x:v>
      </x:c>
      <x:c r="U123" s="31" t="n">
        <x:f>IF(T123="","",I123*T123)</x:f>
        <x:v>790.8673126234855</x:v>
      </x:c>
    </x:row>
    <x:row r="124" ht="18" customHeight="1">
      <x:c r="A124" s="24" t="str">
        <x:v>EEZ_848</x:v>
      </x:c>
      <x:c r="B124" s="24" t="str">
        <x:v>USA (West Coast)</x:v>
      </x:c>
      <x:c r="C124" s="24" t="str">
        <x:v>EEZ</x:v>
      </x:c>
      <x:c r="D124" s="30" t="n">
        <x:v>2019</x:v>
      </x:c>
      <x:c r="E124" s="24" t="str">
        <x:v>Embiotoca lateralis</x:v>
      </x:c>
      <x:c r="F124" s="24" t="str">
        <x:v>Striped seaperch</x:v>
      </x:c>
      <x:c r="G124" s="24" t="str">
        <x:v>Medium demersals (30 - 89 cm)</x:v>
      </x:c>
      <x:c r="H124" s="24" t="str">
        <x:v>Perch-likes</x:v>
      </x:c>
      <x:c r="I124" s="31" t="n">
        <x:v>3.7582582428999998</x:v>
      </x:c>
      <x:c r="J124" s="31" t="n">
        <x:v>3.3547282964</x:v>
      </x:c>
      <x:c r="K124" s="31" t="n">
        <x:v>0.4035299465</x:v>
      </x:c>
      <x:c r="L124" s="31" t="n">
        <x:v>0</x:v>
      </x:c>
      <x:c r="M124" s="31" t="n">
        <x:v>3.7582582428999998</x:v>
      </x:c>
      <x:c r="N124" s="24" t="str">
        <x:v>embiotoca lateralis</x:v>
      </x:c>
      <x:c r="O124" s="32" t="n">
        <x:v>3.31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Embiotoca lateralis</x:v>
      </x:c>
      <x:c r="T124" s="32" t="n">
        <x:f>IF(O124="","",(1/'Metadata'!$B$5)^(O124-1))</x:f>
        <x:v>204.17379446695296</x:v>
      </x:c>
      <x:c r="U124" s="31" t="n">
        <x:f>IF(T124="","",I124*T124)</x:f>
        <x:v>767.3378460395963</x:v>
      </x:c>
    </x:row>
    <x:row r="125" ht="18" customHeight="1">
      <x:c r="A125" s="24" t="str">
        <x:v>EEZ_848</x:v>
      </x:c>
      <x:c r="B125" s="24" t="str">
        <x:v>USA (West Coast)</x:v>
      </x:c>
      <x:c r="C125" s="24" t="str">
        <x:v>EEZ</x:v>
      </x:c>
      <x:c r="D125" s="30" t="n">
        <x:v>2019</x:v>
      </x:c>
      <x:c r="E125" s="24" t="str">
        <x:v>Amphistichus koelzi</x:v>
      </x:c>
      <x:c r="F125" s="24" t="str">
        <x:v>Calico surfperch</x:v>
      </x:c>
      <x:c r="G125" s="24" t="str">
        <x:v>Small demersals (&lt;30 cm)</x:v>
      </x:c>
      <x:c r="H125" s="24" t="str">
        <x:v>Perch-likes</x:v>
      </x:c>
      <x:c r="I125" s="31" t="n">
        <x:v>3.2517824341</x:v>
      </x:c>
      <x:c r="J125" s="31" t="n">
        <x:v>2.7163024341</x:v>
      </x:c>
      <x:c r="K125" s="31" t="n">
        <x:v>0.53548</x:v>
      </x:c>
      <x:c r="L125" s="31" t="n">
        <x:v>0</x:v>
      </x:c>
      <x:c r="M125" s="31" t="n">
        <x:v>3.2517824341</x:v>
      </x:c>
      <x:c r="N125" s="24" t="str">
        <x:v>amphistichus koelzi</x:v>
      </x:c>
      <x:c r="O125" s="32" t="n">
        <x:v>3.36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Amphistichus koelzi</x:v>
      </x:c>
      <x:c r="T125" s="32" t="n">
        <x:f>IF(O125="","",(1/'Metadata'!$B$5)^(O125-1))</x:f>
        <x:v>229.08676527677724</x:v>
      </x:c>
      <x:c r="U125" s="31" t="n">
        <x:f>IF(T125="","",I125*T125)</x:f>
        <x:v>744.9403192118141</x:v>
      </x:c>
    </x:row>
    <x:row r="126" ht="18" customHeight="1">
      <x:c r="A126" s="24" t="str">
        <x:v>EEZ_848</x:v>
      </x:c>
      <x:c r="B126" s="24" t="str">
        <x:v>USA (West Coast)</x:v>
      </x:c>
      <x:c r="C126" s="24" t="str">
        <x:v>EEZ</x:v>
      </x:c>
      <x:c r="D126" s="30" t="n">
        <x:v>2019</x:v>
      </x:c>
      <x:c r="E126" s="24" t="str">
        <x:v>Notorynchus cepedianus</x:v>
      </x:c>
      <x:c r="F126" s="24" t="str">
        <x:v>Broadnose sevengill shark</x:v>
      </x:c>
      <x:c r="G126" s="24" t="str">
        <x:v>Large sharks (&gt;=90 cm)</x:v>
      </x:c>
      <x:c r="H126" s="24" t="str">
        <x:v>Sharks &amp; rays</x:v>
      </x:c>
      <x:c r="I126" s="31" t="n">
        <x:v>3.1534485989</x:v>
      </x:c>
      <x:c r="J126" s="31" t="n">
        <x:v>0</x:v>
      </x:c>
      <x:c r="K126" s="31" t="n">
        <x:v>3.1534485989</x:v>
      </x:c>
      <x:c r="L126" s="31" t="n">
        <x:v>0</x:v>
      </x:c>
      <x:c r="M126" s="31" t="n">
        <x:v>3.1534485989</x:v>
      </x:c>
      <x:c r="N126" s="24" t="str">
        <x:v>notorynchus cepedianus</x:v>
      </x:c>
      <x:c r="O126" s="32" t="n">
        <x:v>4.68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Notorynchus cepedianus</x:v>
      </x:c>
      <x:c r="T126" s="32" t="n">
        <x:f>IF(O126="","",(1/'Metadata'!$B$5)^(O126-1))</x:f>
        <x:v>4786.30092322638</x:v>
      </x:c>
      <x:c r="U126" s="31" t="n">
        <x:f>IF(T126="","",I126*T126)</x:f>
        <x:v>15093.353940262004</x:v>
      </x:c>
    </x:row>
    <x:row r="127" ht="18" customHeight="1">
      <x:c r="A127" s="24" t="str">
        <x:v>EEZ_848</x:v>
      </x:c>
      <x:c r="B127" s="24" t="str">
        <x:v>USA (West Coast)</x:v>
      </x:c>
      <x:c r="C127" s="24" t="str">
        <x:v>EEZ</x:v>
      </x:c>
      <x:c r="D127" s="30" t="n">
        <x:v>2019</x:v>
      </x:c>
      <x:c r="E127" s="24" t="str">
        <x:v>Octopodidae</x:v>
      </x:c>
      <x:c r="F127" s="24" t="str">
        <x:v>Octopuses</x:v>
      </x:c>
      <x:c r="G127" s="24" t="str">
        <x:v>Cephalopods</x:v>
      </x:c>
      <x:c r="H127" s="24" t="str">
        <x:v>Other fishes &amp; inverts</x:v>
      </x:c>
      <x:c r="I127" s="31" t="n">
        <x:v>3.0000635032</x:v>
      </x:c>
      <x:c r="J127" s="31" t="n">
        <x:v>3.0000635032</x:v>
      </x:c>
      <x:c r="K127" s="31" t="n">
        <x:v>0</x:v>
      </x:c>
      <x:c r="L127" s="31" t="n">
        <x:v>3.0000635032</x:v>
      </x:c>
      <x:c r="M127" s="31" t="n">
        <x:v>0</x:v>
      </x:c>
      <x:c r="N127" s="24" t="str">
        <x:v>octopodidae</x:v>
      </x:c>
      <x:c r="O127" s="32" t="n">
        <x:v>3.59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Octopodidae</x:v>
      </x:c>
      <x:c r="T127" s="32" t="n">
        <x:f>IF(O127="","",(1/'Metadata'!$B$5)^(O127-1))</x:f>
        <x:v>389.04514499428046</x:v>
      </x:c>
      <x:c r="U127" s="31" t="n">
        <x:f>IF(T127="","",I127*T127)</x:f>
        <x:v>1167.160140594493</x:v>
      </x:c>
    </x:row>
    <x:row r="128" ht="18" customHeight="1">
      <x:c r="A128" s="24" t="str">
        <x:v>EEZ_848</x:v>
      </x:c>
      <x:c r="B128" s="24" t="str">
        <x:v>USA (West Coast)</x:v>
      </x:c>
      <x:c r="C128" s="24" t="str">
        <x:v>EEZ</x:v>
      </x:c>
      <x:c r="D128" s="30" t="n">
        <x:v>2019</x:v>
      </x:c>
      <x:c r="E128" s="24" t="str">
        <x:v>Sarda chiliensis</x:v>
      </x:c>
      <x:c r="F128" s="24" t="str">
        <x:v>Eastern Pacific bonito</x:v>
      </x:c>
      <x:c r="G128" s="24" t="str">
        <x:v>Medium pelagics (30 - 89 cm)</x:v>
      </x:c>
      <x:c r="H128" s="24" t="str">
        <x:v>Tuna &amp; billfishes</x:v>
      </x:c>
      <x:c r="I128" s="31" t="n">
        <x:v>2.8000290298999997</x:v>
      </x:c>
      <x:c r="J128" s="31" t="n">
        <x:v>2.8000290298999997</x:v>
      </x:c>
      <x:c r="K128" s="31" t="n">
        <x:v>0</x:v>
      </x:c>
      <x:c r="L128" s="31" t="n">
        <x:v>2.8000290298999997</x:v>
      </x:c>
      <x:c r="M128" s="31" t="n">
        <x:v>0</x:v>
      </x:c>
      <x:c r="N128" s="24" t="str">
        <x:v>sarda chiliensis</x:v>
      </x:c>
      <x:c r="O128" s="32" t="n">
        <x:v>4.49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Sarda chiliensis</x:v>
      </x:c>
      <x:c r="T128" s="32" t="n">
        <x:f>IF(O128="","",(1/'Metadata'!$B$5)^(O128-1))</x:f>
        <x:v>3090.295432513592</x:v>
      </x:c>
      <x:c r="U128" s="31" t="n">
        <x:f>IF(T128="","",I128*T128)</x:f>
        <x:v>8652.916922005434</x:v>
      </x:c>
    </x:row>
    <x:row r="129" ht="18" customHeight="1">
      <x:c r="A129" s="24" t="str">
        <x:v>EEZ_848</x:v>
      </x:c>
      <x:c r="B129" s="24" t="str">
        <x:v>USA (West Coast)</x:v>
      </x:c>
      <x:c r="C129" s="24" t="str">
        <x:v>EEZ</x:v>
      </x:c>
      <x:c r="D129" s="30" t="n">
        <x:v>2019</x:v>
      </x:c>
      <x:c r="E129" s="24" t="str">
        <x:v>Pleuronichthys decurrens</x:v>
      </x:c>
      <x:c r="F129" s="24" t="str">
        <x:v>Curlfin sole</x:v>
      </x:c>
      <x:c r="G129" s="24" t="str">
        <x:v>Small to medium flatfishes (&lt;90 cm)</x:v>
      </x:c>
      <x:c r="H129" s="24" t="str">
        <x:v>Flatfishes</x:v>
      </x:c>
      <x:c r="I129" s="31" t="n">
        <x:v>2.5836134401999997</x:v>
      </x:c>
      <x:c r="J129" s="31" t="n">
        <x:v>0.4080190104</x:v>
      </x:c>
      <x:c r="K129" s="31" t="n">
        <x:v>2.1755944298</x:v>
      </x:c>
      <x:c r="L129" s="31" t="n">
        <x:v>0.4000689462</x:v>
      </x:c>
      <x:c r="M129" s="31" t="n">
        <x:v>2.183544494</x:v>
      </x:c>
      <x:c r="N129" s="24" t="str">
        <x:v>pleuronichthys decurrens</x:v>
      </x:c>
      <x:c r="O129" s="32" t="n">
        <x:v>3.85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Pleuronichthys decurrens</x:v>
      </x:c>
      <x:c r="T129" s="32" t="n">
        <x:f>IF(O129="","",(1/'Metadata'!$B$5)^(O129-1))</x:f>
        <x:v>707.945784384138</x:v>
      </x:c>
      <x:c r="U129" s="31" t="n">
        <x:f>IF(T129="","",I129*T129)</x:f>
        <x:v>1829.0582434677901</x:v>
      </x:c>
    </x:row>
    <x:row r="130" ht="18" customHeight="1">
      <x:c r="A130" s="24" t="str">
        <x:v>EEZ_848</x:v>
      </x:c>
      <x:c r="B130" s="24" t="str">
        <x:v>USA (West Coast)</x:v>
      </x:c>
      <x:c r="C130" s="24" t="str">
        <x:v>EEZ</x:v>
      </x:c>
      <x:c r="D130" s="30" t="n">
        <x:v>2019</x:v>
      </x:c>
      <x:c r="E130" s="24" t="str">
        <x:v>Bivalvia</x:v>
      </x:c>
      <x:c r="F130" s="24" t="str">
        <x:v>Clams</x:v>
      </x:c>
      <x:c r="G130" s="24" t="str">
        <x:v>Other demersal invertebrates</x:v>
      </x:c>
      <x:c r="H130" s="24" t="str">
        <x:v>Molluscs</x:v>
      </x:c>
      <x:c r="I130" s="31" t="n">
        <x:v>2.4447808648000002</x:v>
      </x:c>
      <x:c r="J130" s="31" t="n">
        <x:v>2.4447808648000002</x:v>
      </x:c>
      <x:c r="K130" s="31" t="n">
        <x:v>0</x:v>
      </x:c>
      <x:c r="L130" s="31" t="n">
        <x:v>1.9998911378000002</x:v>
      </x:c>
      <x:c r="M130" s="31" t="n">
        <x:v>0.444889727</x:v>
      </x:c>
      <x:c r="N130" s="24" t="str">
        <x:v>bivalvia</x:v>
      </x:c>
      <x:c r="O130" s="32" t="n">
        <x:v>2.23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Bivalvia</x:v>
      </x:c>
      <x:c r="T130" s="32" t="n">
        <x:f>IF(O130="","",(1/'Metadata'!$B$5)^(O130-1))</x:f>
        <x:v>16.982436524617444</x:v>
      </x:c>
      <x:c r="U130" s="31" t="n">
        <x:f>IF(T130="","",I130*T130)</x:f>
        <x:v>41.518335853065345</x:v>
      </x:c>
    </x:row>
    <x:row r="131" ht="18" customHeight="1">
      <x:c r="A131" s="24" t="str">
        <x:v>EEZ_848</x:v>
      </x:c>
      <x:c r="B131" s="24" t="str">
        <x:v>USA (West Coast)</x:v>
      </x:c>
      <x:c r="C131" s="24" t="str">
        <x:v>EEZ</x:v>
      </x:c>
      <x:c r="D131" s="30" t="n">
        <x:v>2019</x:v>
      </x:c>
      <x:c r="E131" s="24" t="str">
        <x:v>Sciaenidae</x:v>
      </x:c>
      <x:c r="F131" s="24" t="str">
        <x:v>Drums, croakers</x:v>
      </x:c>
      <x:c r="G131" s="24" t="str">
        <x:v>Medium demersals (30 - 89 cm)</x:v>
      </x:c>
      <x:c r="H131" s="24" t="str">
        <x:v>Perch-likes</x:v>
      </x:c>
      <x:c r="I131" s="31" t="n">
        <x:v>2.4069152879</x:v>
      </x:c>
      <x:c r="J131" s="31" t="n">
        <x:v>1.8448397318</x:v>
      </x:c>
      <x:c r="K131" s="31" t="n">
        <x:v>0.5620755561</x:v>
      </x:c>
      <x:c r="L131" s="31" t="n">
        <x:v>0.29982491310000003</x:v>
      </x:c>
      <x:c r="M131" s="31" t="n">
        <x:v>2.1070903748</x:v>
      </x:c>
      <x:c r="N131" s="24" t="str">
        <x:v>sciaenidae</x:v>
      </x:c>
      <x:c r="O131" s="32" t="n">
        <x:v>3.76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Sciaenidae</x:v>
      </x:c>
      <x:c r="T131" s="32" t="n">
        <x:f>IF(O131="","",(1/'Metadata'!$B$5)^(O131-1))</x:f>
        <x:v>575.4399373371566</x:v>
      </x:c>
      <x:c r="U131" s="31" t="n">
        <x:f>IF(T131="","",I131*T131)</x:f>
        <x:v>1385.0351824450202</x:v>
      </x:c>
    </x:row>
    <x:row r="132" ht="18" customHeight="1">
      <x:c r="A132" s="24" t="str">
        <x:v>EEZ_848</x:v>
      </x:c>
      <x:c r="B132" s="24" t="str">
        <x:v>USA (West Coast)</x:v>
      </x:c>
      <x:c r="C132" s="24" t="str">
        <x:v>EEZ</x:v>
      </x:c>
      <x:c r="D132" s="30" t="n">
        <x:v>2019</x:v>
      </x:c>
      <x:c r="E132" s="24" t="str">
        <x:v>Sebastes rosaceus</x:v>
      </x:c>
      <x:c r="F132" s="24" t="str">
        <x:v>Rosy rockfish</x:v>
      </x:c>
      <x:c r="G132" s="24" t="str">
        <x:v>Medium demersals (30 - 89 cm)</x:v>
      </x:c>
      <x:c r="H132" s="24" t="str">
        <x:v>Scorpionfishes</x:v>
      </x:c>
      <x:c r="I132" s="31" t="n">
        <x:v>2.3505454431</x:v>
      </x:c>
      <x:c r="J132" s="31" t="n">
        <x:v>1.2826891619</x:v>
      </x:c>
      <x:c r="K132" s="31" t="n">
        <x:v>1.0678562811999999</x:v>
      </x:c>
      <x:c r="L132" s="31" t="n">
        <x:v>0.6001034192</x:v>
      </x:c>
      <x:c r="M132" s="31" t="n">
        <x:v>1.7504420239</x:v>
      </x:c>
      <x:c r="N132" s="24" t="str">
        <x:v>sebastes rosaceus</x:v>
      </x:c>
      <x:c r="O132" s="32" t="n">
        <x:v>3.68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Sebastes rosaceus</x:v>
      </x:c>
      <x:c r="T132" s="32" t="n">
        <x:f>IF(O132="","",(1/'Metadata'!$B$5)^(O132-1))</x:f>
        <x:v>478.6300923226385</x:v>
      </x:c>
      <x:c r="U132" s="31" t="n">
        <x:f>IF(T132="","",I132*T132)</x:f>
        <x:v>1125.0417824395104</x:v>
      </x:c>
    </x:row>
    <x:row r="133" ht="18" customHeight="1">
      <x:c r="A133" s="24" t="str">
        <x:v>EEZ_848</x:v>
      </x:c>
      <x:c r="B133" s="24" t="str">
        <x:v>USA (West Coast)</x:v>
      </x:c>
      <x:c r="C133" s="24" t="str">
        <x:v>EEZ</x:v>
      </x:c>
      <x:c r="D133" s="30" t="n">
        <x:v>2019</x:v>
      </x:c>
      <x:c r="E133" s="24" t="str">
        <x:v>Sebastes serriceps</x:v>
      </x:c>
      <x:c r="F133" s="24" t="str">
        <x:v>Treefish</x:v>
      </x:c>
      <x:c r="G133" s="24" t="str">
        <x:v>Medium demersals (30 - 89 cm)</x:v>
      </x:c>
      <x:c r="H133" s="24" t="str">
        <x:v>Scorpionfishes</x:v>
      </x:c>
      <x:c r="I133" s="31" t="n">
        <x:v>2.3001696437</x:v>
      </x:c>
      <x:c r="J133" s="31" t="n">
        <x:v>2.3001696437</x:v>
      </x:c>
      <x:c r="K133" s="31" t="n">
        <x:v>0</x:v>
      </x:c>
      <x:c r="L133" s="31" t="n">
        <x:v>2.3001696437</x:v>
      </x:c>
      <x:c r="M133" s="31" t="n">
        <x:v>0</x:v>
      </x:c>
      <x:c r="N133" s="24" t="str">
        <x:v>sebastes serriceps</x:v>
      </x:c>
      <x:c r="O133" s="32" t="n">
        <x:v>3.71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Sebastes serriceps</x:v>
      </x:c>
      <x:c r="T133" s="32" t="n">
        <x:f>IF(O133="","",(1/'Metadata'!$B$5)^(O133-1))</x:f>
        <x:v>512.8613839913648</x:v>
      </x:c>
      <x:c r="U133" s="31" t="n">
        <x:f>IF(T133="","",I133*T133)</x:f>
        <x:v>1179.6681868829064</x:v>
      </x:c>
    </x:row>
    <x:row r="134" ht="18" customHeight="1">
      <x:c r="A134" s="24" t="str">
        <x:v>EEZ_848</x:v>
      </x:c>
      <x:c r="B134" s="24" t="str">
        <x:v>USA (West Coast)</x:v>
      </x:c>
      <x:c r="C134" s="24" t="str">
        <x:v>EEZ</x:v>
      </x:c>
      <x:c r="D134" s="30" t="n">
        <x:v>2019</x:v>
      </x:c>
      <x:c r="E134" s="24" t="str">
        <x:v>Xystreurys liolepis</x:v>
      </x:c>
      <x:c r="F134" s="24" t="str">
        <x:v>Fantail flounder</x:v>
      </x:c>
      <x:c r="G134" s="24" t="str">
        <x:v>Small to medium flatfishes (&lt;90 cm)</x:v>
      </x:c>
      <x:c r="H134" s="24" t="str">
        <x:v>Flatfishes</x:v>
      </x:c>
      <x:c r="I134" s="31" t="n">
        <x:v>2.1001351707</x:v>
      </x:c>
      <x:c r="J134" s="31" t="n">
        <x:v>2.1001351707</x:v>
      </x:c>
      <x:c r="K134" s="31" t="n">
        <x:v>0</x:v>
      </x:c>
      <x:c r="L134" s="31" t="n">
        <x:v>2.1001351707</x:v>
      </x:c>
      <x:c r="M134" s="31" t="n">
        <x:v>0</x:v>
      </x:c>
      <x:c r="N134" s="24" t="str">
        <x:v>xystreurys liolepis</x:v>
      </x:c>
      <x:c r="O134" s="32" t="n">
        <x:v>3.5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Xystreurys liolepis</x:v>
      </x:c>
      <x:c r="T134" s="32" t="n">
        <x:f>IF(O134="","",(1/'Metadata'!$B$5)^(O134-1))</x:f>
        <x:v>316.22776601683796</x:v>
      </x:c>
      <x:c r="U134" s="31" t="n">
        <x:f>IF(T134="","",I134*T134)</x:f>
        <x:v>664.1210533638517</x:v>
      </x:c>
    </x:row>
    <x:row r="135" ht="18" customHeight="1">
      <x:c r="A135" s="24" t="str">
        <x:v>EEZ_848</x:v>
      </x:c>
      <x:c r="B135" s="24" t="str">
        <x:v>USA (West Coast)</x:v>
      </x:c>
      <x:c r="C135" s="24" t="str">
        <x:v>EEZ</x:v>
      </x:c>
      <x:c r="D135" s="30" t="n">
        <x:v>2019</x:v>
      </x:c>
      <x:c r="E135" s="24" t="str">
        <x:v>Crangon franciscorum</x:v>
      </x:c>
      <x:c r="F135" s="24" t="str">
        <x:v>California bay shrimp</x:v>
      </x:c>
      <x:c r="G135" s="24" t="str">
        <x:v>Shrimps</x:v>
      </x:c>
      <x:c r="H135" s="24" t="str">
        <x:v>Crustaceans</x:v>
      </x:c>
      <x:c r="I135" s="31" t="n">
        <x:v>1.9956298872</x:v>
      </x:c>
      <x:c r="J135" s="31" t="n">
        <x:v>1.9956298872</x:v>
      </x:c>
      <x:c r="K135" s="31" t="n">
        <x:v>0</x:v>
      </x:c>
      <x:c r="L135" s="31" t="n">
        <x:v>0</x:v>
      </x:c>
      <x:c r="M135" s="31" t="n">
        <x:v>1.9956298872</x:v>
      </x:c>
      <x:c r="N135" s="24" t="str">
        <x:v>crangon franciscorum</x:v>
      </x:c>
      <x:c r="O135" s="32" t="n">
        <x:v>3.33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Crangon franciscorum</x:v>
      </x:c>
      <x:c r="T135" s="32" t="n">
        <x:f>IF(O135="","",(1/'Metadata'!$B$5)^(O135-1))</x:f>
        <x:v>213.79620895022325</x:v>
      </x:c>
      <x:c r="U135" s="31" t="n">
        <x:f>IF(T135="","",I135*T135)</x:f>
        <x:v>426.65810435112166</x:v>
      </x:c>
    </x:row>
    <x:row r="136" ht="18" customHeight="1">
      <x:c r="A136" s="24" t="str">
        <x:v>EEZ_848</x:v>
      </x:c>
      <x:c r="B136" s="24" t="str">
        <x:v>USA (West Coast)</x:v>
      </x:c>
      <x:c r="C136" s="24" t="str">
        <x:v>EEZ</x:v>
      </x:c>
      <x:c r="D136" s="30" t="n">
        <x:v>2019</x:v>
      </x:c>
      <x:c r="E136" s="24" t="str">
        <x:v>Scorpaenidae</x:v>
      </x:c>
      <x:c r="F136" s="24" t="str">
        <x:v>Scorpionfishes, rockfishes</x:v>
      </x:c>
      <x:c r="G136" s="24" t="str">
        <x:v>Large reef assoc. fish (&gt;=90 cm)</x:v>
      </x:c>
      <x:c r="H136" s="24" t="str">
        <x:v>Scorpionfishes</x:v>
      </x:c>
      <x:c r="I136" s="31" t="n">
        <x:v>1.5000317516</x:v>
      </x:c>
      <x:c r="J136" s="31" t="n">
        <x:v>1.5000317516</x:v>
      </x:c>
      <x:c r="K136" s="31" t="n">
        <x:v>0</x:v>
      </x:c>
      <x:c r="L136" s="31" t="n">
        <x:v>1.5000317516</x:v>
      </x:c>
      <x:c r="M136" s="31" t="n">
        <x:v>0</x:v>
      </x:c>
      <x:c r="N136" s="24" t="str">
        <x:v>scorpaenidae</x:v>
      </x:c>
      <x:c r="O136" s="32" t="n">
        <x:v>3.92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Scorpaenidae</x:v>
      </x:c>
      <x:c r="T136" s="32" t="n">
        <x:f>IF(O136="","",(1/'Metadata'!$B$5)^(O136-1))</x:f>
        <x:v>831.7637711026708</x:v>
      </x:c>
      <x:c r="U136" s="31" t="n">
        <x:f>IF(T136="","",I136*T136)</x:f>
        <x:v>1247.6720664845607</x:v>
      </x:c>
    </x:row>
    <x:row r="137" ht="18" customHeight="1">
      <x:c r="A137" s="24" t="str">
        <x:v>EEZ_848</x:v>
      </x:c>
      <x:c r="B137" s="24" t="str">
        <x:v>USA (West Coast)</x:v>
      </x:c>
      <x:c r="C137" s="24" t="str">
        <x:v>EEZ</x:v>
      </x:c>
      <x:c r="D137" s="30" t="n">
        <x:v>2019</x:v>
      </x:c>
      <x:c r="E137" s="24" t="str">
        <x:v>Caliraja inornata</x:v>
      </x:c>
      <x:c r="F137" s="24" t="str">
        <x:v>California skate</x:v>
      </x:c>
      <x:c r="G137" s="24" t="str">
        <x:v>Small to medium rays (&lt;90 cm)</x:v>
      </x:c>
      <x:c r="H137" s="24" t="str">
        <x:v>Sharks &amp; rays</x:v>
      </x:c>
      <x:c r="I137" s="31" t="n">
        <x:v>1.5000317513</x:v>
      </x:c>
      <x:c r="J137" s="31" t="n">
        <x:v>1.5000317513</x:v>
      </x:c>
      <x:c r="K137" s="31" t="n">
        <x:v>0</x:v>
      </x:c>
      <x:c r="L137" s="31" t="n">
        <x:v>1.5000317513</x:v>
      </x:c>
      <x:c r="M137" s="31" t="n">
        <x:v>0</x:v>
      </x:c>
      <x:c r="N137" s="24" t="str">
        <x:v>caliraja inornata</x:v>
      </x:c>
      <x:c r="O137" s="32" t="n">
        <x:v>4.24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Caliraja inornata</x:v>
      </x:c>
      <x:c r="T137" s="32" t="n">
        <x:f>IF(O137="","",(1/'Metadata'!$B$5)^(O137-1))</x:f>
        <x:v>1737.8008287493763</x:v>
      </x:c>
      <x:c r="U137" s="31" t="n">
        <x:f>IF(T137="","",I137*T137)</x:f>
        <x:v>2606.7564205595186</x:v>
      </x:c>
    </x:row>
    <x:row r="138" ht="18" customHeight="1">
      <x:c r="A138" s="24" t="str">
        <x:v>EEZ_848</x:v>
      </x:c>
      <x:c r="B138" s="24" t="str">
        <x:v>USA (West Coast)</x:v>
      </x:c>
      <x:c r="C138" s="24" t="str">
        <x:v>EEZ</x:v>
      </x:c>
      <x:c r="D138" s="30" t="n">
        <x:v>2019</x:v>
      </x:c>
      <x:c r="E138" s="24" t="str">
        <x:v>Scorpaeniformes</x:v>
      </x:c>
      <x:c r="F138" s="24" t="str">
        <x:v>Scorpionfishes, flatheads</x:v>
      </x:c>
      <x:c r="G138" s="24" t="str">
        <x:v>Medium demersals (30 - 89 cm)</x:v>
      </x:c>
      <x:c r="H138" s="24" t="str">
        <x:v>Scorpionfishes</x:v>
      </x:c>
      <x:c r="I138" s="31" t="n">
        <x:v>1.4517943726</x:v>
      </x:c>
      <x:c r="J138" s="31" t="n">
        <x:v>0</x:v>
      </x:c>
      <x:c r="K138" s="31" t="n">
        <x:v>1.4517943726</x:v>
      </x:c>
      <x:c r="L138" s="31" t="n">
        <x:v>0</x:v>
      </x:c>
      <x:c r="M138" s="31" t="n">
        <x:v>1.4517943726</x:v>
      </x:c>
      <x:c r="N138" s="24" t="str">
        <x:v>scorpaeniformes</x:v>
      </x:c>
      <x:c r="O138" s="32" t="n">
        <x:v>3.78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Scorpaeniformes</x:v>
      </x:c>
      <x:c r="T138" s="32" t="n">
        <x:f>IF(O138="","",(1/'Metadata'!$B$5)^(O138-1))</x:f>
        <x:v>602.5595860743575</x:v>
      </x:c>
      <x:c r="U138" s="31" t="n">
        <x:f>IF(T138="","",I138*T138)</x:f>
        <x:v>874.7926162189376</x:v>
      </x:c>
    </x:row>
    <x:row r="139" ht="18" customHeight="1">
      <x:c r="A139" s="24" t="str">
        <x:v>EEZ_848</x:v>
      </x:c>
      <x:c r="B139" s="24" t="str">
        <x:v>USA (West Coast)</x:v>
      </x:c>
      <x:c r="C139" s="24" t="str">
        <x:v>EEZ</x:v>
      </x:c>
      <x:c r="D139" s="30" t="n">
        <x:v>2019</x:v>
      </x:c>
      <x:c r="E139" s="24" t="str">
        <x:v>Apristurus brunneus</x:v>
      </x:c>
      <x:c r="F139" s="24" t="str">
        <x:v>Brown catshark</x:v>
      </x:c>
      <x:c r="G139" s="24" t="str">
        <x:v>Small to medium sharks (&lt;90 cm)</x:v>
      </x:c>
      <x:c r="H139" s="24" t="str">
        <x:v>Sharks &amp; rays</x:v>
      </x:c>
      <x:c r="I139" s="31" t="n">
        <x:v>1.3997877186</x:v>
      </x:c>
      <x:c r="J139" s="31" t="n">
        <x:v>1.3997877186</x:v>
      </x:c>
      <x:c r="K139" s="31" t="n">
        <x:v>0</x:v>
      </x:c>
      <x:c r="L139" s="31" t="n">
        <x:v>1.3997877186</x:v>
      </x:c>
      <x:c r="M139" s="31" t="n">
        <x:v>0</x:v>
      </x:c>
      <x:c r="N139" s="24" t="str">
        <x:v>apristurus brunneus</x:v>
      </x:c>
      <x:c r="O139" s="32" t="n">
        <x:v>3.58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Apristurus brunneus</x:v>
      </x:c>
      <x:c r="T139" s="32" t="n">
        <x:f>IF(O139="","",(1/'Metadata'!$B$5)^(O139-1))</x:f>
        <x:v>380.1893963205613</x:v>
      </x:c>
      <x:c r="U139" s="31" t="n">
        <x:f>IF(T139="","",I139*T139)</x:f>
        <x:v>532.1844477114697</x:v>
      </x:c>
    </x:row>
    <x:row r="140" ht="18" customHeight="1">
      <x:c r="A140" s="24" t="str">
        <x:v>EEZ_848</x:v>
      </x:c>
      <x:c r="B140" s="24" t="str">
        <x:v>USA (West Coast)</x:v>
      </x:c>
      <x:c r="C140" s="24" t="str">
        <x:v>EEZ</x:v>
      </x:c>
      <x:c r="D140" s="30" t="n">
        <x:v>2019</x:v>
      </x:c>
      <x:c r="E140" s="24" t="str">
        <x:v>Rajiformes</x:v>
      </x:c>
      <x:c r="F140" s="24" t="str">
        <x:v>Skates and rays</x:v>
      </x:c>
      <x:c r="G140" s="24" t="str">
        <x:v>Large rays (&gt;=90 cm)</x:v>
      </x:c>
      <x:c r="H140" s="24" t="str">
        <x:v>Sharks &amp; rays</x:v>
      </x:c>
      <x:c r="I140" s="31" t="n">
        <x:v>1.3402759904</x:v>
      </x:c>
      <x:c r="J140" s="31" t="n">
        <x:v>0.7205370293</x:v>
      </x:c>
      <x:c r="K140" s="31" t="n">
        <x:v>0.6197389611</x:v>
      </x:c>
      <x:c r="L140" s="31" t="n">
        <x:v>0</x:v>
      </x:c>
      <x:c r="M140" s="31" t="n">
        <x:v>1.3402759904</x:v>
      </x:c>
      <x:c r="N140" s="24" t="str">
        <x:v>rajiformes</x:v>
      </x:c>
      <x:c r="O140" s="32" t="n">
        <x:v>3.61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Rajiformes</x:v>
      </x:c>
      <x:c r="T140" s="32" t="n">
        <x:f>IF(O140="","",(1/'Metadata'!$B$5)^(O140-1))</x:f>
        <x:v>407.3802778041126</x:v>
      </x:c>
      <x:c r="U140" s="31" t="n">
        <x:f>IF(T140="","",I140*T140)</x:f>
        <x:v>546.0020053033342</x:v>
      </x:c>
    </x:row>
    <x:row r="141" ht="18" customHeight="1">
      <x:c r="A141" s="24" t="str">
        <x:v>EEZ_848</x:v>
      </x:c>
      <x:c r="B141" s="24" t="str">
        <x:v>USA (West Coast)</x:v>
      </x:c>
      <x:c r="C141" s="24" t="str">
        <x:v>EEZ</x:v>
      </x:c>
      <x:c r="D141" s="30" t="n">
        <x:v>2019</x:v>
      </x:c>
      <x:c r="E141" s="24" t="str">
        <x:v>Allosmerus elongatus</x:v>
      </x:c>
      <x:c r="F141" s="24" t="str">
        <x:v>Whitebait smelt</x:v>
      </x:c>
      <x:c r="G141" s="24" t="str">
        <x:v>Small pelagics (&lt;30 cm)</x:v>
      </x:c>
      <x:c r="H141" s="24" t="str">
        <x:v>Salmon, smelts, etc</x:v>
      </x:c>
      <x:c r="I141" s="31" t="n">
        <x:v>1.0631353626</x:v>
      </x:c>
      <x:c r="J141" s="31" t="n">
        <x:v>0</x:v>
      </x:c>
      <x:c r="K141" s="31" t="n">
        <x:v>1.0631353626</x:v>
      </x:c>
      <x:c r="L141" s="31" t="n">
        <x:v>0</x:v>
      </x:c>
      <x:c r="M141" s="31" t="n">
        <x:v>1.0631353626</x:v>
      </x:c>
      <x:c r="N141" s="24" t="str">
        <x:v>allosmerus elongatus</x:v>
      </x:c>
      <x:c r="O141" s="32" t="n">
        <x:v>3.3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Allosmerus elongatus</x:v>
      </x:c>
      <x:c r="T141" s="32" t="n">
        <x:f>IF(O141="","",(1/'Metadata'!$B$5)^(O141-1))</x:f>
        <x:v>199.52623149688787</x:v>
      </x:c>
      <x:c r="U141" s="31" t="n">
        <x:f>IF(T141="","",I141*T141)</x:f>
        <x:v>212.12339247065543</x:v>
      </x:c>
    </x:row>
    <x:row r="142" ht="18" customHeight="1">
      <x:c r="A142" s="24" t="str">
        <x:v>EEZ_848</x:v>
      </x:c>
      <x:c r="B142" s="24" t="str">
        <x:v>USA (West Coast)</x:v>
      </x:c>
      <x:c r="C142" s="24" t="str">
        <x:v>EEZ</x:v>
      </x:c>
      <x:c r="D142" s="30" t="n">
        <x:v>2019</x:v>
      </x:c>
      <x:c r="E142" s="24" t="str">
        <x:v>Sebastes helvomaculatus</x:v>
      </x:c>
      <x:c r="F142" s="24" t="str">
        <x:v>Rosethorn rockfish</x:v>
      </x:c>
      <x:c r="G142" s="24" t="str">
        <x:v>Medium demersals (30 - 89 cm)</x:v>
      </x:c>
      <x:c r="H142" s="24" t="str">
        <x:v>Scorpionfishes</x:v>
      </x:c>
      <x:c r="I142" s="31" t="n">
        <x:v>1.0342093271</x:v>
      </x:c>
      <x:c r="J142" s="31" t="n">
        <x:v>0.0229069568</x:v>
      </x:c>
      <x:c r="K142" s="31" t="n">
        <x:v>1.0113023703</x:v>
      </x:c>
      <x:c r="L142" s="31" t="n">
        <x:v>0</x:v>
      </x:c>
      <x:c r="M142" s="31" t="n">
        <x:v>1.0342093271</x:v>
      </x:c>
      <x:c r="N142" s="24" t="str">
        <x:v>sebastes helvomaculatus</x:v>
      </x:c>
      <x:c r="O142" s="32" t="n">
        <x:v>3.7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Sebastes helvomaculatus</x:v>
      </x:c>
      <x:c r="T142" s="32" t="n">
        <x:f>IF(O142="","",(1/'Metadata'!$B$5)^(O142-1))</x:f>
        <x:v>501.18723362727246</x:v>
      </x:c>
      <x:c r="U142" s="31" t="n">
        <x:f>IF(T142="","",I142*T142)</x:f>
        <x:v>518.3325116407719</x:v>
      </x:c>
    </x:row>
    <x:row r="143" ht="18" customHeight="1">
      <x:c r="A143" s="24" t="str">
        <x:v>EEZ_848</x:v>
      </x:c>
      <x:c r="B143" s="24" t="str">
        <x:v>USA (West Coast)</x:v>
      </x:c>
      <x:c r="C143" s="24" t="str">
        <x:v>EEZ</x:v>
      </x:c>
      <x:c r="D143" s="30" t="n">
        <x:v>2019</x:v>
      </x:c>
      <x:c r="E143" s="24" t="str">
        <x:v>Sebastes levis</x:v>
      </x:c>
      <x:c r="F143" s="24" t="str">
        <x:v>Cowcod</x:v>
      </x:c>
      <x:c r="G143" s="24" t="str">
        <x:v>Large bathydemersals (&gt;=90 cm)</x:v>
      </x:c>
      <x:c r="H143" s="24" t="str">
        <x:v>Scorpionfishes</x:v>
      </x:c>
      <x:c r="I143" s="31" t="n">
        <x:v>1.0001723653</x:v>
      </x:c>
      <x:c r="J143" s="31" t="n">
        <x:v>1.0001723653</x:v>
      </x:c>
      <x:c r="K143" s="31" t="n">
        <x:v>0</x:v>
      </x:c>
      <x:c r="L143" s="31" t="n">
        <x:v>1.0001723653</x:v>
      </x:c>
      <x:c r="M143" s="31" t="n">
        <x:v>0</x:v>
      </x:c>
      <x:c r="N143" s="24" t="str">
        <x:v>sebastes levis</x:v>
      </x:c>
      <x:c r="O143" s="32" t="n">
        <x:v>3.95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Sebastes levis</x:v>
      </x:c>
      <x:c r="T143" s="32" t="n">
        <x:f>IF(O143="","",(1/'Metadata'!$B$5)^(O143-1))</x:f>
        <x:v>891.2509381337459</x:v>
      </x:c>
      <x:c r="U143" s="31" t="n">
        <x:f>IF(T143="","",I143*T143)</x:f>
        <x:v>891.4045588690726</x:v>
      </x:c>
    </x:row>
    <x:row r="144" ht="18" customHeight="1">
      <x:c r="A144" s="24" t="str">
        <x:v>EEZ_848</x:v>
      </x:c>
      <x:c r="B144" s="24" t="str">
        <x:v>USA (West Coast)</x:v>
      </x:c>
      <x:c r="C144" s="24" t="str">
        <x:v>EEZ</x:v>
      </x:c>
      <x:c r="D144" s="30" t="n">
        <x:v>2019</x:v>
      </x:c>
      <x:c r="E144" s="24" t="str">
        <x:v>Sebastes atrovirens</x:v>
      </x:c>
      <x:c r="F144" s="24" t="str">
        <x:v>Kelp rockfish</x:v>
      </x:c>
      <x:c r="G144" s="24" t="str">
        <x:v>Medium demersals (30 - 89 cm)</x:v>
      </x:c>
      <x:c r="H144" s="24" t="str">
        <x:v>Scorpionfishes</x:v>
      </x:c>
      <x:c r="I144" s="31" t="n">
        <x:v>0.8999283324</x:v>
      </x:c>
      <x:c r="J144" s="31" t="n">
        <x:v>0.8999283324</x:v>
      </x:c>
      <x:c r="K144" s="31" t="n">
        <x:v>0</x:v>
      </x:c>
      <x:c r="L144" s="31" t="n">
        <x:v>0.8999283324</x:v>
      </x:c>
      <x:c r="M144" s="31" t="n">
        <x:v>0</x:v>
      </x:c>
      <x:c r="N144" s="24" t="str">
        <x:v>sebastes atrovirens</x:v>
      </x:c>
      <x:c r="O144" s="32" t="n">
        <x:v>3.35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Sebastes atrovirens</x:v>
      </x:c>
      <x:c r="T144" s="32" t="n">
        <x:f>IF(O144="","",(1/'Metadata'!$B$5)^(O144-1))</x:f>
        <x:v>223.872113856834</x:v>
      </x:c>
      <x:c r="U144" s="31" t="n">
        <x:f>IF(T144="","",I144*T144)</x:f>
        <x:v>201.46885809404355</x:v>
      </x:c>
    </x:row>
    <x:row r="145" ht="18" customHeight="1">
      <x:c r="A145" s="24" t="str">
        <x:v>EEZ_848</x:v>
      </x:c>
      <x:c r="B145" s="24" t="str">
        <x:v>USA (West Coast)</x:v>
      </x:c>
      <x:c r="C145" s="24" t="str">
        <x:v>EEZ</x:v>
      </x:c>
      <x:c r="D145" s="30" t="n">
        <x:v>2019</x:v>
      </x:c>
      <x:c r="E145" s="24" t="str">
        <x:v>Mya arenaria</x:v>
      </x:c>
      <x:c r="F145" s="24" t="str">
        <x:v>Sand gaper</x:v>
      </x:c>
      <x:c r="G145" s="24" t="str">
        <x:v>Other demersal invertebrates</x:v>
      </x:c>
      <x:c r="H145" s="24" t="str">
        <x:v>Molluscs</x:v>
      </x:c>
      <x:c r="I145" s="31" t="n">
        <x:v>0.83080423</x:v>
      </x:c>
      <x:c r="J145" s="31" t="n">
        <x:v>0.83080423</x:v>
      </x:c>
      <x:c r="K145" s="31" t="n">
        <x:v>0</x:v>
      </x:c>
      <x:c r="L145" s="31" t="n">
        <x:v>0</x:v>
      </x:c>
      <x:c r="M145" s="31" t="n">
        <x:v>0.83080423</x:v>
      </x:c>
      <x:c r="N145" s="24" t="str">
        <x:v>mya arenaria</x:v>
      </x:c>
      <x:c r="O145" s="32" t="n">
        <x:v>2.31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Mya arenaria</x:v>
      </x:c>
      <x:c r="T145" s="32" t="n">
        <x:f>IF(O145="","",(1/'Metadata'!$B$5)^(O145-1))</x:f>
        <x:v>20.417379446695296</x:v>
      </x:c>
      <x:c r="U145" s="31" t="n">
        <x:f>IF(T145="","",I145*T145)</x:f>
        <x:v>16.962845209829513</x:v>
      </x:c>
    </x:row>
    <x:row r="146" ht="18" customHeight="1">
      <x:c r="A146" s="24" t="str">
        <x:v>EEZ_848</x:v>
      </x:c>
      <x:c r="B146" s="24" t="str">
        <x:v>USA (West Coast)</x:v>
      </x:c>
      <x:c r="C146" s="24" t="str">
        <x:v>EEZ</x:v>
      </x:c>
      <x:c r="D146" s="30" t="n">
        <x:v>2019</x:v>
      </x:c>
      <x:c r="E146" s="24" t="str">
        <x:v>Isurus</x:v>
      </x:c>
      <x:c r="F146" s="24" t="str">
        <x:v>Mako sharks</x:v>
      </x:c>
      <x:c r="G146" s="24" t="str">
        <x:v>Large sharks (&gt;=90 cm)</x:v>
      </x:c>
      <x:c r="H146" s="24" t="str">
        <x:v>Sharks &amp; rays</x:v>
      </x:c>
      <x:c r="I146" s="31" t="n">
        <x:v>0.7378749181</x:v>
      </x:c>
      <x:c r="J146" s="31" t="n">
        <x:v>0</x:v>
      </x:c>
      <x:c r="K146" s="31" t="n">
        <x:v>0.7378749181</x:v>
      </x:c>
      <x:c r="L146" s="31" t="n">
        <x:v>0</x:v>
      </x:c>
      <x:c r="M146" s="31" t="n">
        <x:v>0.7378749181</x:v>
      </x:c>
      <x:c r="N146" s="24" t="str">
        <x:v>isurus</x:v>
      </x:c>
      <x:c r="O146" s="32" t="n">
        <x:v>4.5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Isurus</x:v>
      </x:c>
      <x:c r="T146" s="32" t="n">
        <x:f>IF(O146="","",(1/'Metadata'!$B$5)^(O146-1))</x:f>
        <x:v>3162.2776601683795</x:v>
      </x:c>
      <x:c r="U146" s="31" t="n">
        <x:f>IF(T146="","",I146*T146)</x:f>
        <x:v>2333.365369506203</x:v>
      </x:c>
    </x:row>
    <x:row r="147" ht="18" customHeight="1">
      <x:c r="A147" s="24" t="str">
        <x:v>EEZ_848</x:v>
      </x:c>
      <x:c r="B147" s="24" t="str">
        <x:v>USA (West Coast)</x:v>
      </x:c>
      <x:c r="C147" s="24" t="str">
        <x:v>EEZ</x:v>
      </x:c>
      <x:c r="D147" s="30" t="n">
        <x:v>2019</x:v>
      </x:c>
      <x:c r="E147" s="24" t="str">
        <x:v>Alopias superciliosus</x:v>
      </x:c>
      <x:c r="F147" s="24" t="str">
        <x:v>Bigeye thresher</x:v>
      </x:c>
      <x:c r="G147" s="24" t="str">
        <x:v>Large sharks (&gt;=90 cm)</x:v>
      </x:c>
      <x:c r="H147" s="24" t="str">
        <x:v>Sharks &amp; rays</x:v>
      </x:c>
      <x:c r="I147" s="31" t="n">
        <x:v>0.6998938592</x:v>
      </x:c>
      <x:c r="J147" s="31" t="n">
        <x:v>0.6998938592</x:v>
      </x:c>
      <x:c r="K147" s="31" t="n">
        <x:v>0</x:v>
      </x:c>
      <x:c r="L147" s="31" t="n">
        <x:v>0.6998938592</x:v>
      </x:c>
      <x:c r="M147" s="31" t="n">
        <x:v>0</x:v>
      </x:c>
      <x:c r="N147" s="24" t="str">
        <x:v>alopias superciliosus</x:v>
      </x:c>
      <x:c r="O147" s="32" t="n">
        <x:v>4.51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Alopias superciliosus</x:v>
      </x:c>
      <x:c r="T147" s="32" t="n">
        <x:f>IF(O147="","",(1/'Metadata'!$B$5)^(O147-1))</x:f>
        <x:v>3235.936569296281</x:v>
      </x:c>
      <x:c r="U147" s="31" t="n">
        <x:f>IF(T147="","",I147*T147)</x:f>
        <x:v>2264.8121336111826</x:v>
      </x:c>
    </x:row>
    <x:row r="148" ht="18" customHeight="1">
      <x:c r="A148" s="24" t="str">
        <x:v>EEZ_848</x:v>
      </x:c>
      <x:c r="B148" s="24" t="str">
        <x:v>USA (West Coast)</x:v>
      </x:c>
      <x:c r="C148" s="24" t="str">
        <x:v>EEZ</x:v>
      </x:c>
      <x:c r="D148" s="30" t="n">
        <x:v>2019</x:v>
      </x:c>
      <x:c r="E148" s="24" t="str">
        <x:v>Sebastes rosenblatti</x:v>
      </x:c>
      <x:c r="F148" s="24" t="str">
        <x:v>Greenblotched rockfish</x:v>
      </x:c>
      <x:c r="G148" s="24" t="str">
        <x:v>Medium demersals (30 - 89 cm)</x:v>
      </x:c>
      <x:c r="H148" s="24" t="str">
        <x:v>Scorpionfishes</x:v>
      </x:c>
      <x:c r="I148" s="31" t="n">
        <x:v>0.6001034192</x:v>
      </x:c>
      <x:c r="J148" s="31" t="n">
        <x:v>0.6001034192</x:v>
      </x:c>
      <x:c r="K148" s="31" t="n">
        <x:v>0</x:v>
      </x:c>
      <x:c r="L148" s="31" t="n">
        <x:v>0.6001034192</x:v>
      </x:c>
      <x:c r="M148" s="31" t="n">
        <x:v>0</x:v>
      </x:c>
      <x:c r="N148" s="24" t="str">
        <x:v>sebastes rosenblatti</x:v>
      </x:c>
      <x:c r="O148" s="32" t="n">
        <x:v>3.75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Sebastes rosenblatti</x:v>
      </x:c>
      <x:c r="T148" s="32" t="n">
        <x:f>IF(O148="","",(1/'Metadata'!$B$5)^(O148-1))</x:f>
        <x:v>562.341325190349</x:v>
      </x:c>
      <x:c r="U148" s="31" t="n">
        <x:f>IF(T148="","",I148*T148)</x:f>
        <x:v>337.46295200418757</x:v>
      </x:c>
    </x:row>
    <x:row r="149" ht="18" customHeight="1">
      <x:c r="A149" s="24" t="str">
        <x:v>EEZ_848</x:v>
      </x:c>
      <x:c r="B149" s="24" t="str">
        <x:v>USA (West Coast)</x:v>
      </x:c>
      <x:c r="C149" s="24" t="str">
        <x:v>EEZ</x:v>
      </x:c>
      <x:c r="D149" s="30" t="n">
        <x:v>2019</x:v>
      </x:c>
      <x:c r="E149" s="24" t="str">
        <x:v>Cottidae</x:v>
      </x:c>
      <x:c r="F149" s="24" t="str">
        <x:v>Sculpins</x:v>
      </x:c>
      <x:c r="G149" s="24" t="str">
        <x:v>Large reef assoc. fish (&gt;=90 cm)</x:v>
      </x:c>
      <x:c r="H149" s="24" t="str">
        <x:v>Scorpionfishes</x:v>
      </x:c>
      <x:c r="I149" s="31" t="n">
        <x:v>0.5833814157999999</x:v>
      </x:c>
      <x:c r="J149" s="31" t="n">
        <x:v>0.5157724364</x:v>
      </x:c>
      <x:c r="K149" s="31" t="n">
        <x:v>0.0676089794</x:v>
      </x:c>
      <x:c r="L149" s="31" t="n">
        <x:v>0.200034473</x:v>
      </x:c>
      <x:c r="M149" s="31" t="n">
        <x:v>0.3833469428</x:v>
      </x:c>
      <x:c r="N149" s="24" t="str">
        <x:v>cottidae</x:v>
      </x:c>
      <x:c r="O149" s="32" t="n">
        <x:v>3.81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Cottidae</x:v>
      </x:c>
      <x:c r="T149" s="32" t="n">
        <x:f>IF(O149="","",(1/'Metadata'!$B$5)^(O149-1))</x:f>
        <x:v>645.6542290346556</x:v>
      </x:c>
      <x:c r="U149" s="31" t="n">
        <x:f>IF(T149="","",I149*T149)</x:f>
        <x:v>376.6626782514948</x:v>
      </x:c>
    </x:row>
    <x:row r="150" ht="18" customHeight="1">
      <x:c r="A150" s="24" t="str">
        <x:v>EEZ_848</x:v>
      </x:c>
      <x:c r="B150" s="24" t="str">
        <x:v>USA (West Coast)</x:v>
      </x:c>
      <x:c r="C150" s="24" t="str">
        <x:v>EEZ</x:v>
      </x:c>
      <x:c r="D150" s="30" t="n">
        <x:v>2019</x:v>
      </x:c>
      <x:c r="E150" s="24" t="str">
        <x:v>Sebastes ovalis</x:v>
      </x:c>
      <x:c r="F150" s="24" t="str">
        <x:v>Speckled rockfish</x:v>
      </x:c>
      <x:c r="G150" s="24" t="str">
        <x:v>Medium demersals (30 - 89 cm)</x:v>
      </x:c>
      <x:c r="H150" s="24" t="str">
        <x:v>Scorpionfishes</x:v>
      </x:c>
      <x:c r="I150" s="31" t="n">
        <x:v>0.49985938640000005</x:v>
      </x:c>
      <x:c r="J150" s="31" t="n">
        <x:v>0.49985938640000005</x:v>
      </x:c>
      <x:c r="K150" s="31" t="n">
        <x:v>0</x:v>
      </x:c>
      <x:c r="L150" s="31" t="n">
        <x:v>0.49985938640000005</x:v>
      </x:c>
      <x:c r="M150" s="31" t="n">
        <x:v>0</x:v>
      </x:c>
      <x:c r="N150" s="24" t="str">
        <x:v>sebastes ovalis</x:v>
      </x:c>
      <x:c r="O150" s="32" t="n">
        <x:v>3.79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Sebastes ovalis</x:v>
      </x:c>
      <x:c r="T150" s="32" t="n">
        <x:f>IF(O150="","",(1/'Metadata'!$B$5)^(O150-1))</x:f>
        <x:v>616.5950018614822</x:v>
      </x:c>
      <x:c r="U150" s="31" t="n">
        <x:f>IF(T150="","",I150*T150)</x:f>
        <x:v>308.2107992877874</x:v>
      </x:c>
    </x:row>
    <x:row r="151" ht="18" customHeight="1">
      <x:c r="A151" s="24" t="str">
        <x:v>EEZ_848</x:v>
      </x:c>
      <x:c r="B151" s="24" t="str">
        <x:v>USA (West Coast)</x:v>
      </x:c>
      <x:c r="C151" s="24" t="str">
        <x:v>EEZ</x:v>
      </x:c>
      <x:c r="D151" s="30" t="n">
        <x:v>2019</x:v>
      </x:c>
      <x:c r="E151" s="24" t="str">
        <x:v>Haliotis</x:v>
      </x:c>
      <x:c r="F151" s="24" t="str">
        <x:v>Abalones</x:v>
      </x:c>
      <x:c r="G151" s="24" t="str">
        <x:v>Other demersal invertebrates</x:v>
      </x:c>
      <x:c r="H151" s="24" t="str">
        <x:v>Molluscs</x:v>
      </x:c>
      <x:c r="I151" s="31" t="n">
        <x:v>0.4920848074</x:v>
      </x:c>
      <x:c r="J151" s="31" t="n">
        <x:v>0.4920848074</x:v>
      </x:c>
      <x:c r="K151" s="31" t="n">
        <x:v>0</x:v>
      </x:c>
      <x:c r="L151" s="31" t="n">
        <x:v>0</x:v>
      </x:c>
      <x:c r="M151" s="31" t="n">
        <x:v>0.4920848074</x:v>
      </x:c>
      <x:c r="N151" s="24" t="str">
        <x:v>haliotis</x:v>
      </x:c>
      <x:c r="O151" s="32" t="n">
        <x:v>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Haliotis</x:v>
      </x:c>
      <x:c r="T151" s="32" t="n">
        <x:f>IF(O151="","",(1/'Metadata'!$B$5)^(O151-1))</x:f>
        <x:v>10</x:v>
      </x:c>
      <x:c r="U151" s="31" t="n">
        <x:f>IF(T151="","",I151*T151)</x:f>
        <x:v>4.920848074</x:v>
      </x:c>
    </x:row>
    <x:row r="152" ht="18" customHeight="1">
      <x:c r="A152" s="24" t="str">
        <x:v>EEZ_848</x:v>
      </x:c>
      <x:c r="B152" s="24" t="str">
        <x:v>USA (West Coast)</x:v>
      </x:c>
      <x:c r="C152" s="24" t="str">
        <x:v>EEZ</x:v>
      </x:c>
      <x:c r="D152" s="30" t="n">
        <x:v>2019</x:v>
      </x:c>
      <x:c r="E152" s="24" t="str">
        <x:v>Anarrhichthys ocellatus</x:v>
      </x:c>
      <x:c r="F152" s="24" t="str">
        <x:v>Wolf-eel</x:v>
      </x:c>
      <x:c r="G152" s="24" t="str">
        <x:v>Large demersals (&gt;=90 cm)</x:v>
      </x:c>
      <x:c r="H152" s="24" t="str">
        <x:v>Perch-likes</x:v>
      </x:c>
      <x:c r="I152" s="31" t="n">
        <x:v>0.42865416230000003</x:v>
      </x:c>
      <x:c r="J152" s="31" t="n">
        <x:v>0.42865416230000003</x:v>
      </x:c>
      <x:c r="K152" s="31" t="n">
        <x:v>0</x:v>
      </x:c>
      <x:c r="L152" s="31" t="n">
        <x:v>0.40006894620000005</x:v>
      </x:c>
      <x:c r="M152" s="31" t="n">
        <x:v>0.0285852161</x:v>
      </x:c>
      <x:c r="N152" s="24" t="str">
        <x:v>anarrhichthys ocellatus</x:v>
      </x:c>
      <x:c r="O152" s="32" t="n">
        <x:v>3.51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Anarrhichthys ocellatus</x:v>
      </x:c>
      <x:c r="T152" s="32" t="n">
        <x:f>IF(O152="","",(1/'Metadata'!$B$5)^(O152-1))</x:f>
        <x:v>323.5936569296281</x:v>
      </x:c>
      <x:c r="U152" s="31" t="n">
        <x:f>IF(T152="","",I152*T152)</x:f>
        <x:v>138.7097679367633</x:v>
      </x:c>
    </x:row>
    <x:row r="153" ht="18" customHeight="1">
      <x:c r="A153" s="24" t="str">
        <x:v>EEZ_848</x:v>
      </x:c>
      <x:c r="B153" s="24" t="str">
        <x:v>USA (West Coast)</x:v>
      </x:c>
      <x:c r="C153" s="24" t="str">
        <x:v>EEZ</x:v>
      </x:c>
      <x:c r="D153" s="30" t="n">
        <x:v>2019</x:v>
      </x:c>
      <x:c r="E153" s="24" t="str">
        <x:v>Hyperprosopon argenteum</x:v>
      </x:c>
      <x:c r="F153" s="24" t="str">
        <x:v>Walleye surfperch</x:v>
      </x:c>
      <x:c r="G153" s="24" t="str">
        <x:v>Medium demersals (30 - 89 cm)</x:v>
      </x:c>
      <x:c r="H153" s="24" t="str">
        <x:v>Perch-likes</x:v>
      </x:c>
      <x:c r="I153" s="31" t="n">
        <x:v>0.42493</x:v>
      </x:c>
      <x:c r="J153" s="31" t="n">
        <x:v>0</x:v>
      </x:c>
      <x:c r="K153" s="31" t="n">
        <x:v>0.42493</x:v>
      </x:c>
      <x:c r="L153" s="31" t="n">
        <x:v>0</x:v>
      </x:c>
      <x:c r="M153" s="31" t="n">
        <x:v>0.42493</x:v>
      </x:c>
      <x:c r="N153" s="24" t="str">
        <x:v>hyperprosopon argenteum</x:v>
      </x:c>
      <x:c r="O153" s="32" t="n">
        <x:v>3.5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Hyperprosopon argenteum</x:v>
      </x:c>
      <x:c r="T153" s="32" t="n">
        <x:f>IF(O153="","",(1/'Metadata'!$B$5)^(O153-1))</x:f>
        <x:v>316.22776601683796</x:v>
      </x:c>
      <x:c r="U153" s="31" t="n">
        <x:f>IF(T153="","",I153*T153)</x:f>
        <x:v>134.37466461353495</x:v>
      </x:c>
    </x:row>
    <x:row r="154" ht="18" customHeight="1">
      <x:c r="A154" s="24" t="str">
        <x:v>EEZ_848</x:v>
      </x:c>
      <x:c r="B154" s="24" t="str">
        <x:v>USA (West Coast)</x:v>
      </x:c>
      <x:c r="C154" s="24" t="str">
        <x:v>EEZ</x:v>
      </x:c>
      <x:c r="D154" s="30" t="n">
        <x:v>2019</x:v>
      </x:c>
      <x:c r="E154" s="24" t="str">
        <x:v>Enophrys bison</x:v>
      </x:c>
      <x:c r="F154" s="24" t="str">
        <x:v>Buffalo sculpin</x:v>
      </x:c>
      <x:c r="G154" s="24" t="str">
        <x:v>Medium demersals (30 - 89 cm)</x:v>
      </x:c>
      <x:c r="H154" s="24" t="str">
        <x:v>Scorpionfishes</x:v>
      </x:c>
      <x:c r="I154" s="31" t="n">
        <x:v>0.33756980890000005</x:v>
      </x:c>
      <x:c r="J154" s="31" t="n">
        <x:v>0.0327756322</x:v>
      </x:c>
      <x:c r="K154" s="31" t="n">
        <x:v>0.30479417670000003</x:v>
      </x:c>
      <x:c r="L154" s="31" t="n">
        <x:v>0</x:v>
      </x:c>
      <x:c r="M154" s="31" t="n">
        <x:v>0.33756980890000005</x:v>
      </x:c>
      <x:c r="N154" s="24" t="str">
        <x:v>enophrys bison</x:v>
      </x:c>
      <x:c r="O154" s="32" t="n">
        <x:v>3.34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Enophrys bison</x:v>
      </x:c>
      <x:c r="T154" s="32" t="n">
        <x:f>IF(O154="","",(1/'Metadata'!$B$5)^(O154-1))</x:f>
        <x:v>218.77616239495518</x:v>
      </x:c>
      <x:c r="U154" s="31" t="n">
        <x:f>IF(T154="","",I154*T154)</x:f>
        <x:v>73.85222733154039</x:v>
      </x:c>
    </x:row>
    <x:row r="155" ht="18" customHeight="1">
      <x:c r="A155" s="24" t="str">
        <x:v>EEZ_848</x:v>
      </x:c>
      <x:c r="B155" s="24" t="str">
        <x:v>USA (West Coast)</x:v>
      </x:c>
      <x:c r="C155" s="24" t="str">
        <x:v>EEZ</x:v>
      </x:c>
      <x:c r="D155" s="30" t="n">
        <x:v>2019</x:v>
      </x:c>
      <x:c r="E155" s="24" t="str">
        <x:v>Cebidichthys violaceus</x:v>
      </x:c>
      <x:c r="F155" s="24" t="str">
        <x:v>Monkeyface prickleback</x:v>
      </x:c>
      <x:c r="G155" s="24" t="str">
        <x:v>Medium demersals (30 - 89 cm)</x:v>
      </x:c>
      <x:c r="H155" s="24" t="str">
        <x:v>Perch-likes</x:v>
      </x:c>
      <x:c r="I155" s="31" t="n">
        <x:v>0.2941494316</x:v>
      </x:c>
      <x:c r="J155" s="31" t="n">
        <x:v>0.11891943160000001</x:v>
      </x:c>
      <x:c r="K155" s="31" t="n">
        <x:v>0.17523</x:v>
      </x:c>
      <x:c r="L155" s="31" t="n">
        <x:v>0.09979044000000001</x:v>
      </x:c>
      <x:c r="M155" s="31" t="n">
        <x:v>0.1943589916</x:v>
      </x:c>
      <x:c r="N155" s="24" t="str">
        <x:v>cebidichthys violaceus</x:v>
      </x:c>
      <x:c r="O155" s="32" t="n">
        <x:v>2.33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Cebidichthys violaceus</x:v>
      </x:c>
      <x:c r="T155" s="32" t="n">
        <x:f>IF(O155="","",(1/'Metadata'!$B$5)^(O155-1))</x:f>
        <x:v>21.379620895022324</x:v>
      </x:c>
      <x:c r="U155" s="31" t="n">
        <x:f>IF(T155="","",I155*T155)</x:f>
        <x:v>6.2888033340943</x:v>
      </x:c>
    </x:row>
    <x:row r="156" ht="18" customHeight="1">
      <x:c r="A156" s="24" t="str">
        <x:v>EEZ_848</x:v>
      </x:c>
      <x:c r="B156" s="24" t="str">
        <x:v>USA (West Coast)</x:v>
      </x:c>
      <x:c r="C156" s="24" t="str">
        <x:v>EEZ</x:v>
      </x:c>
      <x:c r="D156" s="30" t="n">
        <x:v>2019</x:v>
      </x:c>
      <x:c r="E156" s="24" t="str">
        <x:v>Caliraja stellulata</x:v>
      </x:c>
      <x:c r="F156" s="24" t="str">
        <x:v>Starry skate</x:v>
      </x:c>
      <x:c r="G156" s="24" t="str">
        <x:v>Small to medium rays (&lt;90 cm)</x:v>
      </x:c>
      <x:c r="H156" s="24" t="str">
        <x:v>Sharks &amp; rays</x:v>
      </x:c>
      <x:c r="I156" s="31" t="n">
        <x:v>0.2746363661</x:v>
      </x:c>
      <x:c r="J156" s="31" t="n">
        <x:v>0</x:v>
      </x:c>
      <x:c r="K156" s="31" t="n">
        <x:v>0.2746363661</x:v>
      </x:c>
      <x:c r="L156" s="31" t="n">
        <x:v>0</x:v>
      </x:c>
      <x:c r="M156" s="31" t="n">
        <x:v>0.2746363661</x:v>
      </x:c>
      <x:c r="N156" s="24" t="str">
        <x:v>caliraja stellulata</x:v>
      </x:c>
      <x:c r="O156" s="32" t="n">
        <x:v>3.63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Caliraja stellulata</x:v>
      </x:c>
      <x:c r="T156" s="32" t="n">
        <x:f>IF(O156="","",(1/'Metadata'!$B$5)^(O156-1))</x:f>
        <x:v>426.57951880159254</x:v>
      </x:c>
      <x:c r="U156" s="31" t="n">
        <x:f>IF(T156="","",I156*T156)</x:f>
        <x:v>117.154248896356</x:v>
      </x:c>
    </x:row>
    <x:row r="157" ht="18" customHeight="1">
      <x:c r="A157" s="24" t="str">
        <x:v>EEZ_848</x:v>
      </x:c>
      <x:c r="B157" s="24" t="str">
        <x:v>USA (West Coast)</x:v>
      </x:c>
      <x:c r="C157" s="24" t="str">
        <x:v>EEZ</x:v>
      </x:c>
      <x:c r="D157" s="30" t="n">
        <x:v>2019</x:v>
      </x:c>
      <x:c r="E157" s="24" t="str">
        <x:v>Marine pelagic fishes not identified</x:v>
      </x:c>
      <x:c r="F157" s="24" t="str">
        <x:v>Pelagic fishes</x:v>
      </x:c>
      <x:c r="G157" s="24" t="str">
        <x:v>Medium pelagics (30 - 89 cm)</x:v>
      </x:c>
      <x:c r="H157" s="24" t="str">
        <x:v>Other fishes &amp; inverts</x:v>
      </x:c>
      <x:c r="I157" s="31" t="n">
        <x:v>0.2184116128</x:v>
      </x:c>
      <x:c r="J157" s="31" t="n">
        <x:v>0</x:v>
      </x:c>
      <x:c r="K157" s="31" t="n">
        <x:v>0.2184116128</x:v>
      </x:c>
      <x:c r="L157" s="31" t="n">
        <x:v>0</x:v>
      </x:c>
      <x:c r="M157" s="31" t="n">
        <x:v>0.2184116128</x:v>
      </x:c>
      <x:c r="N157" s="24" t="str">
        <x:v>marine pelagic fishes not identified</x:v>
      </x:c>
      <x:c r="O157" s="32" t="n">
        <x:v>3.35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Marine pelagic fishes not identified</x:v>
      </x:c>
      <x:c r="T157" s="32" t="n">
        <x:f>IF(O157="","",(1/'Metadata'!$B$5)^(O157-1))</x:f>
        <x:v>223.872113856834</x:v>
      </x:c>
      <x:c r="U157" s="31" t="n">
        <x:f>IF(T157="","",I157*T157)</x:f>
        <x:v>48.89626944841634</x:v>
      </x:c>
    </x:row>
    <x:row r="158" ht="18" customHeight="1">
      <x:c r="A158" s="24" t="str">
        <x:v>EEZ_848</x:v>
      </x:c>
      <x:c r="B158" s="24" t="str">
        <x:v>USA (West Coast)</x:v>
      </x:c>
      <x:c r="C158" s="24" t="str">
        <x:v>EEZ</x:v>
      </x:c>
      <x:c r="D158" s="30" t="n">
        <x:v>2019</x:v>
      </x:c>
      <x:c r="E158" s="24" t="str">
        <x:v>Sebastes nigrocinctus</x:v>
      </x:c>
      <x:c r="F158" s="24" t="str">
        <x:v>Tiger rockfish</x:v>
      </x:c>
      <x:c r="G158" s="24" t="str">
        <x:v>Medium reef assoc. fish (30 - 89 cm)</x:v>
      </x:c>
      <x:c r="H158" s="24" t="str">
        <x:v>Scorpionfishes</x:v>
      </x:c>
      <x:c r="I158" s="31" t="n">
        <x:v>0.1572446579</x:v>
      </x:c>
      <x:c r="J158" s="31" t="n">
        <x:v>0.1285918661</x:v>
      </x:c>
      <x:c r="K158" s="31" t="n">
        <x:v>0.0286527918</x:v>
      </x:c>
      <x:c r="L158" s="31" t="n">
        <x:v>0</x:v>
      </x:c>
      <x:c r="M158" s="31" t="n">
        <x:v>0.1572446579</x:v>
      </x:c>
      <x:c r="N158" s="24" t="str">
        <x:v>sebastes nigrocinctus</x:v>
      </x:c>
      <x:c r="O158" s="32" t="n">
        <x:v>3.52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Sebastes nigrocinctus</x:v>
      </x:c>
      <x:c r="T158" s="32" t="n">
        <x:f>IF(O158="","",(1/'Metadata'!$B$5)^(O158-1))</x:f>
        <x:v>331.1311214825911</x:v>
      </x:c>
      <x:c r="U158" s="31" t="n">
        <x:f>IF(T158="","",I158*T158)</x:f>
        <x:v>52.06859991757337</x:v>
      </x:c>
    </x:row>
    <x:row r="159" ht="18" customHeight="1">
      <x:c r="A159" s="24" t="str">
        <x:v>EEZ_848</x:v>
      </x:c>
      <x:c r="B159" s="24" t="str">
        <x:v>USA (West Coast)</x:v>
      </x:c>
      <x:c r="C159" s="24" t="str">
        <x:v>EEZ</x:v>
      </x:c>
      <x:c r="D159" s="30" t="n">
        <x:v>2019</x:v>
      </x:c>
      <x:c r="E159" s="24" t="str">
        <x:v>Hemilepidotus hemilepidotus</x:v>
      </x:c>
      <x:c r="F159" s="24" t="str">
        <x:v>Red Irish lord</x:v>
      </x:c>
      <x:c r="G159" s="24" t="str">
        <x:v>Medium demersals (30 - 89 cm)</x:v>
      </x:c>
      <x:c r="H159" s="24" t="str">
        <x:v>Scorpionfishes</x:v>
      </x:c>
      <x:c r="I159" s="31" t="n">
        <x:v>0.156018607</x:v>
      </x:c>
      <x:c r="J159" s="31" t="n">
        <x:v>0</x:v>
      </x:c>
      <x:c r="K159" s="31" t="n">
        <x:v>0.156018607</x:v>
      </x:c>
      <x:c r="L159" s="31" t="n">
        <x:v>0</x:v>
      </x:c>
      <x:c r="M159" s="31" t="n">
        <x:v>0.156018607</x:v>
      </x:c>
      <x:c r="N159" s="24" t="str">
        <x:v>hemilepidotus hemilepidotus</x:v>
      </x:c>
      <x:c r="O159" s="32" t="n">
        <x:v>3.53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Hemilepidotus hemilepidotus</x:v>
      </x:c>
      <x:c r="T159" s="32" t="n">
        <x:f>IF(O159="","",(1/'Metadata'!$B$5)^(O159-1))</x:f>
        <x:v>338.84415613920237</x:v>
      </x:c>
      <x:c r="U159" s="31" t="n">
        <x:f>IF(T159="","",I159*T159)</x:f>
        <x:v>52.86599323092885</x:v>
      </x:c>
    </x:row>
    <x:row r="160" ht="18" customHeight="1">
      <x:c r="A160" s="24" t="str">
        <x:v>EEZ_848</x:v>
      </x:c>
      <x:c r="B160" s="24" t="str">
        <x:v>USA (West Coast)</x:v>
      </x:c>
      <x:c r="C160" s="24" t="str">
        <x:v>EEZ</x:v>
      </x:c>
      <x:c r="D160" s="30" t="n">
        <x:v>2019</x:v>
      </x:c>
      <x:c r="E160" s="24" t="str">
        <x:v>Lepidopsetta bilineata</x:v>
      </x:c>
      <x:c r="F160" s="24" t="str">
        <x:v>Rock sole</x:v>
      </x:c>
      <x:c r="G160" s="24" t="str">
        <x:v>Small to medium flatfishes (&lt;90 cm)</x:v>
      </x:c>
      <x:c r="H160" s="24" t="str">
        <x:v>Flatfishes</x:v>
      </x:c>
      <x:c r="I160" s="31" t="n">
        <x:v>0.1122106811</x:v>
      </x:c>
      <x:c r="J160" s="31" t="n">
        <x:v>0.1114406811</x:v>
      </x:c>
      <x:c r="K160" s="31" t="n">
        <x:v>0.00077</x:v>
      </x:c>
      <x:c r="L160" s="31" t="n">
        <x:v>0</x:v>
      </x:c>
      <x:c r="M160" s="31" t="n">
        <x:v>0.1122106811</x:v>
      </x:c>
      <x:c r="N160" s="24" t="str">
        <x:v>lepidopsetta bilineata</x:v>
      </x:c>
      <x:c r="O160" s="32" t="n">
        <x:v>3.18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Lepidopsetta bilineata</x:v>
      </x:c>
      <x:c r="T160" s="32" t="n">
        <x:f>IF(O160="","",(1/'Metadata'!$B$5)^(O160-1))</x:f>
        <x:v>151.35612484362088</x:v>
      </x:c>
      <x:c r="U160" s="31" t="n">
        <x:f>IF(T160="","",I160*T160)</x:f>
        <x:v>16.98377385735933</x:v>
      </x:c>
    </x:row>
    <x:row r="161" ht="18" customHeight="1">
      <x:c r="A161" s="24" t="str">
        <x:v>EEZ_848</x:v>
      </x:c>
      <x:c r="B161" s="24" t="str">
        <x:v>USA (West Coast)</x:v>
      </x:c>
      <x:c r="C161" s="24" t="str">
        <x:v>EEZ</x:v>
      </x:c>
      <x:c r="D161" s="30" t="n">
        <x:v>2019</x:v>
      </x:c>
      <x:c r="E161" s="24" t="str">
        <x:v>Thaleichthys pacificus</x:v>
      </x:c>
      <x:c r="F161" s="24" t="str">
        <x:v>Eulachon</x:v>
      </x:c>
      <x:c r="G161" s="24" t="str">
        <x:v>Small pelagics (&lt;30 cm)</x:v>
      </x:c>
      <x:c r="H161" s="24" t="str">
        <x:v>Salmon, smelts, etc</x:v>
      </x:c>
      <x:c r="I161" s="31" t="n">
        <x:v>0.1101889546</x:v>
      </x:c>
      <x:c r="J161" s="31" t="n">
        <x:v>0.1101889546</x:v>
      </x:c>
      <x:c r="K161" s="31" t="n">
        <x:v>0</x:v>
      </x:c>
      <x:c r="L161" s="31" t="n">
        <x:v>0.09979044</x:v>
      </x:c>
      <x:c r="M161" s="31" t="n">
        <x:v>0.0103985146</x:v>
      </x:c>
      <x:c r="N161" s="24" t="str">
        <x:v>thaleichthys pacificus</x:v>
      </x:c>
      <x:c r="O161" s="32" t="n">
        <x:v>3.25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Thaleichthys pacificus</x:v>
      </x:c>
      <x:c r="T161" s="32" t="n">
        <x:f>IF(O161="","",(1/'Metadata'!$B$5)^(O161-1))</x:f>
        <x:v>177.82794100389228</x:v>
      </x:c>
      <x:c r="U161" s="31" t="n">
        <x:f>IF(T161="","",I161*T161)</x:f>
        <x:v>19.594674917889364</x:v>
      </x:c>
    </x:row>
    <x:row r="162" ht="18" customHeight="1">
      <x:c r="A162" s="24" t="str">
        <x:v>EEZ_848</x:v>
      </x:c>
      <x:c r="B162" s="24" t="str">
        <x:v>USA (West Coast)</x:v>
      </x:c>
      <x:c r="C162" s="24" t="str">
        <x:v>EEZ</x:v>
      </x:c>
      <x:c r="D162" s="30" t="n">
        <x:v>2019</x:v>
      </x:c>
      <x:c r="E162" s="24" t="str">
        <x:v>Mola mola</x:v>
      </x:c>
      <x:c r="F162" s="24" t="str">
        <x:v>Ocean sunfish</x:v>
      </x:c>
      <x:c r="G162" s="24" t="str">
        <x:v>Large pelagics (&gt;=90 cm)</x:v>
      </x:c>
      <x:c r="H162" s="24" t="str">
        <x:v>Other fishes &amp; inverts</x:v>
      </x:c>
      <x:c r="I162" s="31" t="n">
        <x:v>0.1085874591</x:v>
      </x:c>
      <x:c r="J162" s="31" t="n">
        <x:v>0.10792745910000001</x:v>
      </x:c>
      <x:c r="K162" s="31" t="n">
        <x:v>0.00066</x:v>
      </x:c>
      <x:c r="L162" s="31" t="n">
        <x:v>0.09979044000000001</x:v>
      </x:c>
      <x:c r="M162" s="31" t="n">
        <x:v>0.008797019100000001</x:v>
      </x:c>
      <x:c r="N162" s="24" t="str">
        <x:v>mola mola</x:v>
      </x:c>
      <x:c r="O162" s="32" t="n">
        <x:v>3.68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Mola mola</x:v>
      </x:c>
      <x:c r="T162" s="32" t="n">
        <x:f>IF(O162="","",(1/'Metadata'!$B$5)^(O162-1))</x:f>
        <x:v>478.6300923226385</x:v>
      </x:c>
      <x:c r="U162" s="31" t="n">
        <x:f>IF(T162="","",I162*T162)</x:f>
        <x:v>51.973225574113734</x:v>
      </x:c>
    </x:row>
    <x:row r="163" ht="18" customHeight="1">
      <x:c r="A163" s="24" t="str">
        <x:v>EEZ_848</x:v>
      </x:c>
      <x:c r="B163" s="24" t="str">
        <x:v>USA (West Coast)</x:v>
      </x:c>
      <x:c r="C163" s="24" t="str">
        <x:v>EEZ</x:v>
      </x:c>
      <x:c r="D163" s="30" t="n">
        <x:v>2019</x:v>
      </x:c>
      <x:c r="E163" s="24" t="str">
        <x:v>Brachyura</x:v>
      </x:c>
      <x:c r="F163" s="24" t="str">
        <x:v>Marine crabs</x:v>
      </x:c>
      <x:c r="G163" s="24" t="str">
        <x:v>Lobsters, crabs</x:v>
      </x:c>
      <x:c r="H163" s="24" t="str">
        <x:v>Crustaceans</x:v>
      </x:c>
      <x:c r="I163" s="31" t="n">
        <x:v>0.10205611730000001</x:v>
      </x:c>
      <x:c r="J163" s="31" t="n">
        <x:v>0.0973311361</x:v>
      </x:c>
      <x:c r="K163" s="31" t="n">
        <x:v>0.0047249812</x:v>
      </x:c>
      <x:c r="L163" s="31" t="n">
        <x:v>0</x:v>
      </x:c>
      <x:c r="M163" s="31" t="n">
        <x:v>0.10205611730000001</x:v>
      </x:c>
      <x:c r="N163" s="24" t="str">
        <x:v>brachyura</x:v>
      </x:c>
      <x:c r="O163" s="32" t="n">
        <x:v>2.6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Brachyura</x:v>
      </x:c>
      <x:c r="T163" s="32" t="n">
        <x:f>IF(O163="","",(1/'Metadata'!$B$5)^(O163-1))</x:f>
        <x:v>39.810717055349734</x:v>
      </x:c>
      <x:c r="U163" s="31" t="n">
        <x:f>IF(T163="","",I163*T163)</x:f>
        <x:v>4.062927209597883</x:v>
      </x:c>
    </x:row>
    <x:row r="164" ht="18" customHeight="1">
      <x:c r="A164" s="24" t="str">
        <x:v>EEZ_848</x:v>
      </x:c>
      <x:c r="B164" s="24" t="str">
        <x:v>USA (West Coast)</x:v>
      </x:c>
      <x:c r="C164" s="24" t="str">
        <x:v>EEZ</x:v>
      </x:c>
      <x:c r="D164" s="30" t="n">
        <x:v>2019</x:v>
      </x:c>
      <x:c r="E164" s="24" t="str">
        <x:v>Pleuronichthys guttulatus</x:v>
      </x:c>
      <x:c r="F164" s="24" t="str">
        <x:v>Diamond turbot</x:v>
      </x:c>
      <x:c r="G164" s="24" t="str">
        <x:v>Medium demersals (30 - 89 cm)</x:v>
      </x:c>
      <x:c r="H164" s="24" t="str">
        <x:v>Flatfishes</x:v>
      </x:c>
      <x:c r="I164" s="31" t="n">
        <x:v>0.0997904401</x:v>
      </x:c>
      <x:c r="J164" s="31" t="n">
        <x:v>0.0997904401</x:v>
      </x:c>
      <x:c r="K164" s="31" t="n">
        <x:v>0</x:v>
      </x:c>
      <x:c r="L164" s="31" t="n">
        <x:v>0.0997904401</x:v>
      </x:c>
      <x:c r="M164" s="31" t="n">
        <x:v>0</x:v>
      </x:c>
      <x:c r="N164" s="24" t="str">
        <x:v>pleuronichthys guttulatus</x:v>
      </x:c>
      <x:c r="O164" s="32" t="n">
        <x:v>3.3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Pleuronichthys guttulatus</x:v>
      </x:c>
      <x:c r="T164" s="32" t="n">
        <x:f>IF(O164="","",(1/'Metadata'!$B$5)^(O164-1))</x:f>
        <x:v>199.52623149688787</x:v>
      </x:c>
      <x:c r="U164" s="31" t="n">
        <x:f>IF(T164="","",I164*T164)</x:f>
        <x:v>19.910810452568924</x:v>
      </x:c>
    </x:row>
    <x:row r="165" ht="18" customHeight="1">
      <x:c r="A165" s="24" t="str">
        <x:v>EEZ_848</x:v>
      </x:c>
      <x:c r="B165" s="24" t="str">
        <x:v>USA (West Coast)</x:v>
      </x:c>
      <x:c r="C165" s="24" t="str">
        <x:v>EEZ</x:v>
      </x:c>
      <x:c r="D165" s="30" t="n">
        <x:v>2019</x:v>
      </x:c>
      <x:c r="E165" s="24" t="str">
        <x:v>Pleuronichthys verticalis</x:v>
      </x:c>
      <x:c r="F165" s="24" t="str">
        <x:v>Hornyhead turbot</x:v>
      </x:c>
      <x:c r="G165" s="24" t="str">
        <x:v>Small to medium flatfishes (&lt;90 cm)</x:v>
      </x:c>
      <x:c r="H165" s="24" t="str">
        <x:v>Flatfishes</x:v>
      </x:c>
      <x:c r="I165" s="31" t="n">
        <x:v>0.0997904401</x:v>
      </x:c>
      <x:c r="J165" s="31" t="n">
        <x:v>0.0997904401</x:v>
      </x:c>
      <x:c r="K165" s="31" t="n">
        <x:v>0</x:v>
      </x:c>
      <x:c r="L165" s="31" t="n">
        <x:v>0.0997904401</x:v>
      </x:c>
      <x:c r="M165" s="31" t="n">
        <x:v>0</x:v>
      </x:c>
      <x:c r="N165" s="24" t="str">
        <x:v>pleuronichthys verticalis</x:v>
      </x:c>
      <x:c r="O165" s="32" t="n">
        <x:v>3.1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Pleuronichthys verticalis</x:v>
      </x:c>
      <x:c r="T165" s="32" t="n">
        <x:f>IF(O165="","",(1/'Metadata'!$B$5)^(O165-1))</x:f>
        <x:v>125.89254117941675</x:v>
      </x:c>
      <x:c r="U165" s="31" t="n">
        <x:f>IF(T165="","",I165*T165)</x:f>
        <x:v>12.56287208960137</x:v>
      </x:c>
    </x:row>
    <x:row r="166" ht="18" customHeight="1">
      <x:c r="A166" s="24" t="str">
        <x:v>EEZ_848</x:v>
      </x:c>
      <x:c r="B166" s="24" t="str">
        <x:v>USA (West Coast)</x:v>
      </x:c>
      <x:c r="C166" s="24" t="str">
        <x:v>EEZ</x:v>
      </x:c>
      <x:c r="D166" s="30" t="n">
        <x:v>2019</x:v>
      </x:c>
      <x:c r="E166" s="24" t="str">
        <x:v>Anguilliformes</x:v>
      </x:c>
      <x:c r="F166" s="24" t="str">
        <x:v>Eels, morays</x:v>
      </x:c>
      <x:c r="G166" s="24" t="str">
        <x:v>Large demersals (&gt;=90 cm)</x:v>
      </x:c>
      <x:c r="H166" s="24" t="str">
        <x:v>Other fishes &amp; inverts</x:v>
      </x:c>
      <x:c r="I166" s="31" t="n">
        <x:v>0.09979044000000001</x:v>
      </x:c>
      <x:c r="J166" s="31" t="n">
        <x:v>0.09979044000000001</x:v>
      </x:c>
      <x:c r="K166" s="31" t="n">
        <x:v>0</x:v>
      </x:c>
      <x:c r="L166" s="31" t="n">
        <x:v>0.09979044000000001</x:v>
      </x:c>
      <x:c r="M166" s="31" t="n">
        <x:v>0</x:v>
      </x:c>
      <x:c r="N166" s="24" t="str">
        <x:v>anguilliformes</x:v>
      </x:c>
      <x:c r="O166" s="32" t="n">
        <x:v>3.89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Anguilliformes</x:v>
      </x:c>
      <x:c r="T166" s="32" t="n">
        <x:f>IF(O166="","",(1/'Metadata'!$B$5)^(O166-1))</x:f>
        <x:v>776.247116628692</x:v>
      </x:c>
      <x:c r="U166" s="31" t="n">
        <x:f>IF(T166="","",I166*T166)</x:f>
        <x:v>77.4620413171085</x:v>
      </x:c>
    </x:row>
    <x:row r="167" ht="18" customHeight="1">
      <x:c r="A167" s="24" t="str">
        <x:v>EEZ_848</x:v>
      </x:c>
      <x:c r="B167" s="24" t="str">
        <x:v>USA (West Coast)</x:v>
      </x:c>
      <x:c r="C167" s="24" t="str">
        <x:v>EEZ</x:v>
      </x:c>
      <x:c r="D167" s="30" t="n">
        <x:v>2019</x:v>
      </x:c>
      <x:c r="E167" s="24" t="str">
        <x:v>Sebastes eos</x:v>
      </x:c>
      <x:c r="F167" s="24" t="str">
        <x:v>Pink rockfish</x:v>
      </x:c>
      <x:c r="G167" s="24" t="str">
        <x:v>Medium demersals (30 - 89 cm)</x:v>
      </x:c>
      <x:c r="H167" s="24" t="str">
        <x:v>Scorpionfishes</x:v>
      </x:c>
      <x:c r="I167" s="31" t="n">
        <x:v>0.09979044</x:v>
      </x:c>
      <x:c r="J167" s="31" t="n">
        <x:v>0.09979044</x:v>
      </x:c>
      <x:c r="K167" s="31" t="n">
        <x:v>0</x:v>
      </x:c>
      <x:c r="L167" s="31" t="n">
        <x:v>0.09979044</x:v>
      </x:c>
      <x:c r="M167" s="31" t="n">
        <x:v>0</x:v>
      </x:c>
      <x:c r="N167" s="24" t="str">
        <x:v>sebastes eos</x:v>
      </x:c>
      <x:c r="O167" s="32" t="n">
        <x:v>3.73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Sebastes eos</x:v>
      </x:c>
      <x:c r="T167" s="32" t="n">
        <x:f>IF(O167="","",(1/'Metadata'!$B$5)^(O167-1))</x:f>
        <x:v>537.0317963702527</x:v>
      </x:c>
      <x:c r="U167" s="31" t="n">
        <x:f>IF(T167="","",I167*T167)</x:f>
        <x:v>53.590639253777915</x:v>
      </x:c>
    </x:row>
    <x:row r="168" ht="18" customHeight="1">
      <x:c r="A168" s="24" t="str">
        <x:v>EEZ_848</x:v>
      </x:c>
      <x:c r="B168" s="24" t="str">
        <x:v>USA (West Coast)</x:v>
      </x:c>
      <x:c r="C168" s="24" t="str">
        <x:v>EEZ</x:v>
      </x:c>
      <x:c r="D168" s="30" t="n">
        <x:v>2019</x:v>
      </x:c>
      <x:c r="E168" s="24" t="str">
        <x:v>Sebastes rubrivinctus</x:v>
      </x:c>
      <x:c r="F168" s="24" t="str">
        <x:v>Flag rockfish</x:v>
      </x:c>
      <x:c r="G168" s="24" t="str">
        <x:v>Medium demersals (30 - 89 cm)</x:v>
      </x:c>
      <x:c r="H168" s="24" t="str">
        <x:v>Scorpionfishes</x:v>
      </x:c>
      <x:c r="I168" s="31" t="n">
        <x:v>0.09979044</x:v>
      </x:c>
      <x:c r="J168" s="31" t="n">
        <x:v>0.09979044</x:v>
      </x:c>
      <x:c r="K168" s="31" t="n">
        <x:v>0</x:v>
      </x:c>
      <x:c r="L168" s="31" t="n">
        <x:v>0.09979044</x:v>
      </x:c>
      <x:c r="M168" s="31" t="n">
        <x:v>0</x:v>
      </x:c>
      <x:c r="N168" s="24" t="str">
        <x:v>sebastes rubrivinctus</x:v>
      </x:c>
      <x:c r="O168" s="32" t="n">
        <x:v>3.77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Sebastes rubrivinctus</x:v>
      </x:c>
      <x:c r="T168" s="32" t="n">
        <x:f>IF(O168="","",(1/'Metadata'!$B$5)^(O168-1))</x:f>
        <x:v>588.843655355589</x:v>
      </x:c>
      <x:c r="U168" s="31" t="n">
        <x:f>IF(T168="","",I168*T168)</x:f>
        <x:v>58.760967459142584</x:v>
      </x:c>
    </x:row>
    <x:row r="169" ht="18" customHeight="1">
      <x:c r="A169" s="24" t="str">
        <x:v>EEZ_848</x:v>
      </x:c>
      <x:c r="B169" s="24" t="str">
        <x:v>USA (West Coast)</x:v>
      </x:c>
      <x:c r="C169" s="24" t="str">
        <x:v>EEZ</x:v>
      </x:c>
      <x:c r="D169" s="30" t="n">
        <x:v>2019</x:v>
      </x:c>
      <x:c r="E169" s="24" t="str">
        <x:v>Cancer antennarius</x:v>
      </x:c>
      <x:c r="F169" s="24" t="str">
        <x:v>California red rock crab</x:v>
      </x:c>
      <x:c r="G169" s="24" t="str">
        <x:v>Lobsters, crabs</x:v>
      </x:c>
      <x:c r="H169" s="24" t="str">
        <x:v>Crustaceans</x:v>
      </x:c>
      <x:c r="I169" s="31" t="n">
        <x:v>0.0887798039</x:v>
      </x:c>
      <x:c r="J169" s="31" t="n">
        <x:v>0.0887798039</x:v>
      </x:c>
      <x:c r="K169" s="31" t="n">
        <x:v>0</x:v>
      </x:c>
      <x:c r="L169" s="31" t="n">
        <x:v>0</x:v>
      </x:c>
      <x:c r="M169" s="31" t="n">
        <x:v>0.0887798039</x:v>
      </x:c>
      <x:c r="N169" s="24" t="str">
        <x:v>cancer antennarius</x:v>
      </x:c>
      <x:c r="O169" s="32" t="n">
        <x:v>3.77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Cancer antennarius</x:v>
      </x:c>
      <x:c r="T169" s="32" t="n">
        <x:f>IF(O169="","",(1/'Metadata'!$B$5)^(O169-1))</x:f>
        <x:v>588.843655355589</x:v>
      </x:c>
      <x:c r="U169" s="31" t="n">
        <x:f>IF(T169="","",I169*T169)</x:f>
        <x:v>52.27742425022838</x:v>
      </x:c>
    </x:row>
    <x:row r="170" ht="18" customHeight="1">
      <x:c r="A170" s="24" t="str">
        <x:v>EEZ_848</x:v>
      </x:c>
      <x:c r="B170" s="24" t="str">
        <x:v>USA (West Coast)</x:v>
      </x:c>
      <x:c r="C170" s="24" t="str">
        <x:v>EEZ</x:v>
      </x:c>
      <x:c r="D170" s="30" t="n">
        <x:v>2019</x:v>
      </x:c>
      <x:c r="E170" s="24" t="str">
        <x:v>Sebastidae</x:v>
      </x:c>
      <x:c r="F170" s="24" t="str">
        <x:v>Rockfishes, rockcods, thornyheads</x:v>
      </x:c>
      <x:c r="G170" s="24" t="str">
        <x:v>Medium demersals (30 - 89 cm)</x:v>
      </x:c>
      <x:c r="H170" s="24" t="str">
        <x:v>Scorpionfishes</x:v>
      </x:c>
      <x:c r="I170" s="31" t="n">
        <x:v>0.070154081</x:v>
      </x:c>
      <x:c r="J170" s="31" t="n">
        <x:v>0</x:v>
      </x:c>
      <x:c r="K170" s="31" t="n">
        <x:v>0.070154081</x:v>
      </x:c>
      <x:c r="L170" s="31" t="n">
        <x:v>0</x:v>
      </x:c>
      <x:c r="M170" s="31" t="n">
        <x:v>0.070154081</x:v>
      </x:c>
      <x:c r="N170" s="24" t="str">
        <x:v>sebastidae</x:v>
      </x:c>
      <x:c r="O170" s="32" t="n">
        <x:v>3.74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Sebastidae</x:v>
      </x:c>
      <x:c r="T170" s="32" t="n">
        <x:f>IF(O170="","",(1/'Metadata'!$B$5)^(O170-1))</x:f>
        <x:v>549.5408738576248</x:v>
      </x:c>
      <x:c r="U170" s="31" t="n">
        <x:f>IF(T170="","",I170*T170)</x:f>
        <x:v>38.55253497741859</x:v>
      </x:c>
    </x:row>
    <x:row r="171" ht="18" customHeight="1">
      <x:c r="A171" s="24" t="str">
        <x:v>EEZ_848</x:v>
      </x:c>
      <x:c r="B171" s="24" t="str">
        <x:v>USA (West Coast)</x:v>
      </x:c>
      <x:c r="C171" s="24" t="str">
        <x:v>EEZ</x:v>
      </x:c>
      <x:c r="D171" s="30" t="n">
        <x:v>2019</x:v>
      </x:c>
      <x:c r="E171" s="24" t="str">
        <x:v>Hexanchus griseus</x:v>
      </x:c>
      <x:c r="F171" s="24" t="str">
        <x:v>Bluntnose sixgill shark</x:v>
      </x:c>
      <x:c r="G171" s="24" t="str">
        <x:v>Large sharks (&gt;=90 cm)</x:v>
      </x:c>
      <x:c r="H171" s="24" t="str">
        <x:v>Sharks &amp; rays</x:v>
      </x:c>
      <x:c r="I171" s="31" t="n">
        <x:v>0.0652246833</x:v>
      </x:c>
      <x:c r="J171" s="31" t="n">
        <x:v>0.0596382473</x:v>
      </x:c>
      <x:c r="K171" s="31" t="n">
        <x:v>0.005586436</x:v>
      </x:c>
      <x:c r="L171" s="31" t="n">
        <x:v>0</x:v>
      </x:c>
      <x:c r="M171" s="31" t="n">
        <x:v>0.0652246833</x:v>
      </x:c>
      <x:c r="N171" s="24" t="str">
        <x:v>hexanchus griseus</x:v>
      </x:c>
      <x:c r="O171" s="32" t="n">
        <x:v>4.48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Hexanchus griseus</x:v>
      </x:c>
      <x:c r="T171" s="32" t="n">
        <x:f>IF(O171="","",(1/'Metadata'!$B$5)^(O171-1))</x:f>
        <x:v>3019.951720402019</x:v>
      </x:c>
      <x:c r="U171" s="31" t="n">
        <x:f>IF(T171="","",I171*T171)</x:f>
        <x:v>196.97539454451186</x:v>
      </x:c>
    </x:row>
    <x:row r="172" ht="18" customHeight="1">
      <x:c r="A172" s="24" t="str">
        <x:v>EEZ_848</x:v>
      </x:c>
      <x:c r="B172" s="24" t="str">
        <x:v>USA (West Coast)</x:v>
      </x:c>
      <x:c r="C172" s="24" t="str">
        <x:v>EEZ</x:v>
      </x:c>
      <x:c r="D172" s="30" t="n">
        <x:v>2019</x:v>
      </x:c>
      <x:c r="E172" s="24" t="str">
        <x:v>Octopoda</x:v>
      </x:c>
      <x:c r="F172" s="24" t="str">
        <x:v>Octopuses, argonauts</x:v>
      </x:c>
      <x:c r="G172" s="24" t="str">
        <x:v>Cephalopods</x:v>
      </x:c>
      <x:c r="H172" s="24" t="str">
        <x:v>Other fishes &amp; inverts</x:v>
      </x:c>
      <x:c r="I172" s="31" t="n">
        <x:v>0.0578895704</x:v>
      </x:c>
      <x:c r="J172" s="31" t="n">
        <x:v>0.0578895704</x:v>
      </x:c>
      <x:c r="K172" s="31" t="n">
        <x:v>0</x:v>
      </x:c>
      <x:c r="L172" s="31" t="n">
        <x:v>0</x:v>
      </x:c>
      <x:c r="M172" s="31" t="n">
        <x:v>0.0578895704</x:v>
      </x:c>
      <x:c r="N172" s="24" t="str">
        <x:v>octopoda</x:v>
      </x:c>
      <x:c r="O172" s="32" t="n">
        <x:v>3.58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Octopoda</x:v>
      </x:c>
      <x:c r="T172" s="32" t="n">
        <x:f>IF(O172="","",(1/'Metadata'!$B$5)^(O172-1))</x:f>
        <x:v>380.1893963205613</x:v>
      </x:c>
      <x:c r="U172" s="31" t="n">
        <x:f>IF(T172="","",I172*T172)</x:f>
        <x:v>22.009000823632633</x:v>
      </x:c>
    </x:row>
    <x:row r="173" ht="18" customHeight="1">
      <x:c r="A173" s="24" t="str">
        <x:v>EEZ_848</x:v>
      </x:c>
      <x:c r="B173" s="24" t="str">
        <x:v>USA (West Coast)</x:v>
      </x:c>
      <x:c r="C173" s="24" t="str">
        <x:v>EEZ</x:v>
      </x:c>
      <x:c r="D173" s="30" t="n">
        <x:v>2019</x:v>
      </x:c>
      <x:c r="E173" s="24" t="str">
        <x:v>Leukoma staminea</x:v>
      </x:c>
      <x:c r="F173" s="24" t="str">
        <x:v>Pacific littleneck clam</x:v>
      </x:c>
      <x:c r="G173" s="24" t="str">
        <x:v>Other demersal invertebrates</x:v>
      </x:c>
      <x:c r="H173" s="24" t="str">
        <x:v>Molluscs</x:v>
      </x:c>
      <x:c r="I173" s="31" t="n">
        <x:v>0.0567602983</x:v>
      </x:c>
      <x:c r="J173" s="31" t="n">
        <x:v>0.0567602983</x:v>
      </x:c>
      <x:c r="K173" s="31" t="n">
        <x:v>0</x:v>
      </x:c>
      <x:c r="L173" s="31" t="n">
        <x:v>0</x:v>
      </x:c>
      <x:c r="M173" s="31" t="n">
        <x:v>0.0567602983</x:v>
      </x:c>
      <x:c r="N173" s="24" t="str">
        <x:v>leukoma staminea</x:v>
      </x:c>
      <x:c r="O173" s="32" t="n">
        <x:v>2.1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Leukoma staminea</x:v>
      </x:c>
      <x:c r="T173" s="32" t="n">
        <x:f>IF(O173="","",(1/'Metadata'!$B$5)^(O173-1))</x:f>
        <x:v>12.589254117941675</x:v>
      </x:c>
      <x:c r="U173" s="31" t="n">
        <x:f>IF(T173="","",I173*T173)</x:f>
        <x:v>0.7145698191088729</x:v>
      </x:c>
    </x:row>
    <x:row r="174" ht="18" customHeight="1">
      <x:c r="A174" s="24" t="str">
        <x:v>EEZ_848</x:v>
      </x:c>
      <x:c r="B174" s="24" t="str">
        <x:v>USA (West Coast)</x:v>
      </x:c>
      <x:c r="C174" s="24" t="str">
        <x:v>EEZ</x:v>
      </x:c>
      <x:c r="D174" s="30" t="n">
        <x:v>2019</x:v>
      </x:c>
      <x:c r="E174" s="24" t="str">
        <x:v>Phanerodon furcatus</x:v>
      </x:c>
      <x:c r="F174" s="24" t="str">
        <x:v>White seaperch</x:v>
      </x:c>
      <x:c r="G174" s="24" t="str">
        <x:v>Medium demersals (30 - 89 cm)</x:v>
      </x:c>
      <x:c r="H174" s="24" t="str">
        <x:v>Perch-likes</x:v>
      </x:c>
      <x:c r="I174" s="31" t="n">
        <x:v>0.04521</x:v>
      </x:c>
      <x:c r="J174" s="31" t="n">
        <x:v>0</x:v>
      </x:c>
      <x:c r="K174" s="31" t="n">
        <x:v>0.04521</x:v>
      </x:c>
      <x:c r="L174" s="31" t="n">
        <x:v>0</x:v>
      </x:c>
      <x:c r="M174" s="31" t="n">
        <x:v>0.04521</x:v>
      </x:c>
      <x:c r="N174" s="24" t="str">
        <x:v>phanerodon furcatus</x:v>
      </x:c>
      <x:c r="O174" s="32" t="n">
        <x:v>3.3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Phanerodon furcatus</x:v>
      </x:c>
      <x:c r="T174" s="32" t="n">
        <x:f>IF(O174="","",(1/'Metadata'!$B$5)^(O174-1))</x:f>
        <x:v>199.52623149688787</x:v>
      </x:c>
      <x:c r="U174" s="31" t="n">
        <x:f>IF(T174="","",I174*T174)</x:f>
        <x:v>9.0205809259743</x:v>
      </x:c>
    </x:row>
    <x:row r="175" ht="18" customHeight="1">
      <x:c r="A175" s="24" t="str">
        <x:v>EEZ_848</x:v>
      </x:c>
      <x:c r="B175" s="24" t="str">
        <x:v>USA (West Coast)</x:v>
      </x:c>
      <x:c r="C175" s="24" t="str">
        <x:v>EEZ</x:v>
      </x:c>
      <x:c r="D175" s="30" t="n">
        <x:v>2019</x:v>
      </x:c>
      <x:c r="E175" s="24" t="str">
        <x:v>Lampris guttatus</x:v>
      </x:c>
      <x:c r="F175" s="24" t="str">
        <x:v>Opah</x:v>
      </x:c>
      <x:c r="G175" s="24" t="str">
        <x:v>Large bathypelagics (&gt;=90 cm)</x:v>
      </x:c>
      <x:c r="H175" s="24" t="str">
        <x:v>Other fishes &amp; inverts</x:v>
      </x:c>
      <x:c r="I175" s="31" t="n">
        <x:v>0.0276105942</x:v>
      </x:c>
      <x:c r="J175" s="31" t="n">
        <x:v>0.0276105942</x:v>
      </x:c>
      <x:c r="K175" s="31" t="n">
        <x:v>0</x:v>
      </x:c>
      <x:c r="L175" s="31" t="n">
        <x:v>0</x:v>
      </x:c>
      <x:c r="M175" s="31" t="n">
        <x:v>0.0276105942</x:v>
      </x:c>
      <x:c r="N175" s="24" t="str">
        <x:v>lampris guttatus</x:v>
      </x:c>
      <x:c r="O175" s="32" t="n">
        <x:v>4.22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Lampris guttatus</x:v>
      </x:c>
      <x:c r="T175" s="32" t="n">
        <x:f>IF(O175="","",(1/'Metadata'!$B$5)^(O175-1))</x:f>
        <x:v>1659.5869074375596</x:v>
      </x:c>
      <x:c r="U175" s="31" t="n">
        <x:f>IF(T175="","",I175*T175)</x:f>
        <x:v>45.822180640891425</x:v>
      </x:c>
    </x:row>
    <x:row r="176" ht="18" customHeight="1">
      <x:c r="A176" s="24" t="str">
        <x:v>EEZ_848</x:v>
      </x:c>
      <x:c r="B176" s="24" t="str">
        <x:v>USA (West Coast)</x:v>
      </x:c>
      <x:c r="C176" s="24" t="str">
        <x:v>EEZ</x:v>
      </x:c>
      <x:c r="D176" s="30" t="n">
        <x:v>2019</x:v>
      </x:c>
      <x:c r="E176" s="24" t="str">
        <x:v>Ammodytidae</x:v>
      </x:c>
      <x:c r="F176" s="24" t="str">
        <x:v>Sand lances</x:v>
      </x:c>
      <x:c r="G176" s="24" t="str">
        <x:v>Large reef assoc. fish (&gt;=90 cm)</x:v>
      </x:c>
      <x:c r="H176" s="24" t="str">
        <x:v>Perch-likes</x:v>
      </x:c>
      <x:c r="I176" s="31" t="n">
        <x:v>0.025772188</x:v>
      </x:c>
      <x:c r="J176" s="31" t="n">
        <x:v>0.0020797029</x:v>
      </x:c>
      <x:c r="K176" s="31" t="n">
        <x:v>0.0236924851</x:v>
      </x:c>
      <x:c r="L176" s="31" t="n">
        <x:v>0</x:v>
      </x:c>
      <x:c r="M176" s="31" t="n">
        <x:v>0.025772188</x:v>
      </x:c>
      <x:c r="N176" s="24" t="str">
        <x:v>ammodytidae</x:v>
      </x:c>
      <x:c r="O176" s="32" t="n">
        <x:v>3.11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Ammodytidae</x:v>
      </x:c>
      <x:c r="T176" s="32" t="n">
        <x:f>IF(O176="","",(1/'Metadata'!$B$5)^(O176-1))</x:f>
        <x:v>128.82495516931337</x:v>
      </x:c>
      <x:c r="U176" s="31" t="n">
        <x:f>IF(T176="","",I176*T176)</x:f>
        <x:v>3.320100963715116</x:v>
      </x:c>
    </x:row>
    <x:row r="177" ht="18" customHeight="1">
      <x:c r="A177" s="24" t="str">
        <x:v>EEZ_848</x:v>
      </x:c>
      <x:c r="B177" s="24" t="str">
        <x:v>USA (West Coast)</x:v>
      </x:c>
      <x:c r="C177" s="24" t="str">
        <x:v>EEZ</x:v>
      </x:c>
      <x:c r="D177" s="30" t="n">
        <x:v>2019</x:v>
      </x:c>
      <x:c r="E177" s="24" t="str">
        <x:v>Alepisaurus ferox</x:v>
      </x:c>
      <x:c r="F177" s="24" t="str">
        <x:v>Long snouted lancetfish</x:v>
      </x:c>
      <x:c r="G177" s="24" t="str">
        <x:v>Large bathypelagics (&gt;=90 cm)</x:v>
      </x:c>
      <x:c r="H177" s="24" t="str">
        <x:v>Other fishes &amp; inverts</x:v>
      </x:c>
      <x:c r="I177" s="31" t="n">
        <x:v>0.0117534721</x:v>
      </x:c>
      <x:c r="J177" s="31" t="n">
        <x:v>0.0117534721</x:v>
      </x:c>
      <x:c r="K177" s="31" t="n">
        <x:v>0</x:v>
      </x:c>
      <x:c r="L177" s="31" t="n">
        <x:v>0</x:v>
      </x:c>
      <x:c r="M177" s="31" t="n">
        <x:v>0.0117534721</x:v>
      </x:c>
      <x:c r="N177" s="24" t="str">
        <x:v>alepisaurus ferox</x:v>
      </x:c>
      <x:c r="O177" s="32" t="n">
        <x:v>4.03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Alepisaurus ferox</x:v>
      </x:c>
      <x:c r="T177" s="32" t="n">
        <x:f>IF(O177="","",(1/'Metadata'!$B$5)^(O177-1))</x:f>
        <x:v>1071.519305237607</x:v>
      </x:c>
      <x:c r="U177" s="31" t="n">
        <x:f>IF(T177="","",I177*T177)</x:f>
        <x:v>12.5940722587216</x:v>
      </x:c>
    </x:row>
    <x:row r="178" ht="18" customHeight="1">
      <x:c r="A178" s="24" t="str">
        <x:v>EEZ_848</x:v>
      </x:c>
      <x:c r="B178" s="24" t="str">
        <x:v>USA (West Coast)</x:v>
      </x:c>
      <x:c r="C178" s="24" t="str">
        <x:v>EEZ</x:v>
      </x:c>
      <x:c r="D178" s="30" t="n">
        <x:v>2019</x:v>
      </x:c>
      <x:c r="E178" s="24" t="str">
        <x:v>Hexagrammos lagocephalus</x:v>
      </x:c>
      <x:c r="F178" s="24" t="str">
        <x:v>Rock greenling</x:v>
      </x:c>
      <x:c r="G178" s="24" t="str">
        <x:v>Medium demersals (30 - 89 cm)</x:v>
      </x:c>
      <x:c r="H178" s="24" t="str">
        <x:v>Scorpionfishes</x:v>
      </x:c>
      <x:c r="I178" s="31" t="n">
        <x:v>0.0088</x:v>
      </x:c>
      <x:c r="J178" s="31" t="n">
        <x:v>0</x:v>
      </x:c>
      <x:c r="K178" s="31" t="n">
        <x:v>0.0088</x:v>
      </x:c>
      <x:c r="L178" s="31" t="n">
        <x:v>0</x:v>
      </x:c>
      <x:c r="M178" s="31" t="n">
        <x:v>0.0088</x:v>
      </x:c>
      <x:c r="N178" s="24" t="str">
        <x:v>hexagrammos lagocephalus</x:v>
      </x:c>
      <x:c r="O178" s="32" t="n">
        <x:v>3.67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Hexagrammos lagocephalus</x:v>
      </x:c>
      <x:c r="T178" s="32" t="n">
        <x:f>IF(O178="","",(1/'Metadata'!$B$5)^(O178-1))</x:f>
        <x:v>467.73514128719813</x:v>
      </x:c>
      <x:c r="U178" s="31" t="n">
        <x:f>IF(T178="","",I178*T178)</x:f>
        <x:v>4.116069243327344</x:v>
      </x:c>
    </x:row>
    <x:row r="179" ht="18" customHeight="1">
      <x:c r="A179" s="24" t="str">
        <x:v>EEZ_848</x:v>
      </x:c>
      <x:c r="B179" s="24" t="str">
        <x:v>USA (West Coast)</x:v>
      </x:c>
      <x:c r="C179" s="24" t="str">
        <x:v>EEZ</x:v>
      </x:c>
      <x:c r="D179" s="30" t="n">
        <x:v>2019</x:v>
      </x:c>
      <x:c r="E179" s="24" t="str">
        <x:v>Scyliorhinidae</x:v>
      </x:c>
      <x:c r="F179" s="24" t="str">
        <x:v>Cat/swellsharks</x:v>
      </x:c>
      <x:c r="G179" s="24" t="str">
        <x:v>Large sharks (&gt;=90 cm)</x:v>
      </x:c>
      <x:c r="H179" s="24" t="str">
        <x:v>Sharks &amp; rays</x:v>
      </x:c>
      <x:c r="I179" s="31" t="n">
        <x:v>0.0081760388</x:v>
      </x:c>
      <x:c r="J179" s="31" t="n">
        <x:v>0.0081760388</x:v>
      </x:c>
      <x:c r="K179" s="31" t="n">
        <x:v>0</x:v>
      </x:c>
      <x:c r="L179" s="31" t="n">
        <x:v>0</x:v>
      </x:c>
      <x:c r="M179" s="31" t="n">
        <x:v>0.0081760388</x:v>
      </x:c>
      <x:c r="N179" s="24" t="str">
        <x:v>scyliorhinidae</x:v>
      </x:c>
      <x:c r="O179" s="32" t="n">
        <x:v>3.97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Scyliorhinidae</x:v>
      </x:c>
      <x:c r="T179" s="32" t="n">
        <x:f>IF(O179="","",(1/'Metadata'!$B$5)^(O179-1))</x:f>
        <x:v>933.2543007969915</x:v>
      </x:c>
      <x:c r="U179" s="31" t="n">
        <x:f>IF(T179="","",I179*T179)</x:f>
        <x:v>7.6303233735830736</x:v>
      </x:c>
    </x:row>
    <x:row r="180" ht="18" customHeight="1">
      <x:c r="A180" s="24" t="str">
        <x:v>EEZ_848</x:v>
      </x:c>
      <x:c r="B180" s="24" t="str">
        <x:v>USA (West Coast)</x:v>
      </x:c>
      <x:c r="C180" s="24" t="str">
        <x:v>EEZ</x:v>
      </x:c>
      <x:c r="D180" s="30" t="n">
        <x:v>2019</x:v>
      </x:c>
      <x:c r="E180" s="24" t="str">
        <x:v>Stromateidae</x:v>
      </x:c>
      <x:c r="F180" s="24" t="str">
        <x:v>Butterfishes</x:v>
      </x:c>
      <x:c r="G180" s="24" t="str">
        <x:v>Small benthopelagics (&lt;30 cm)</x:v>
      </x:c>
      <x:c r="H180" s="24" t="str">
        <x:v>Perch-likes</x:v>
      </x:c>
      <x:c r="I180" s="31" t="n">
        <x:v>0.0081370191</x:v>
      </x:c>
      <x:c r="J180" s="31" t="n">
        <x:v>0.0081370191</x:v>
      </x:c>
      <x:c r="K180" s="31" t="n">
        <x:v>0</x:v>
      </x:c>
      <x:c r="L180" s="31" t="n">
        <x:v>0</x:v>
      </x:c>
      <x:c r="M180" s="31" t="n">
        <x:v>0.0081370191</x:v>
      </x:c>
      <x:c r="N180" s="24" t="str">
        <x:v>stromateidae</x:v>
      </x:c>
      <x:c r="O180" s="32" t="n">
        <x:v>3.62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Stromateidae</x:v>
      </x:c>
      <x:c r="T180" s="32" t="n">
        <x:f>IF(O180="","",(1/'Metadata'!$B$5)^(O180-1))</x:f>
        <x:v>416.8693834703355</x:v>
      </x:c>
      <x:c r="U180" s="31" t="n">
        <x:f>IF(T180="","",I180*T180)</x:f>
        <x:v>3.392074135503344</x:v>
      </x:c>
    </x:row>
    <x:row r="181" ht="18" customHeight="1">
      <x:c r="A181" s="24" t="str">
        <x:v>EEZ_848</x:v>
      </x:c>
      <x:c r="B181" s="24" t="str">
        <x:v>USA (West Coast)</x:v>
      </x:c>
      <x:c r="C181" s="24" t="str">
        <x:v>EEZ</x:v>
      </x:c>
      <x:c r="D181" s="30" t="n">
        <x:v>2019</x:v>
      </x:c>
      <x:c r="E181" s="24" t="str">
        <x:v>Gadidae</x:v>
      </x:c>
      <x:c r="F181" s="24" t="str">
        <x:v>Cods, haddocks</x:v>
      </x:c>
      <x:c r="G181" s="24" t="str">
        <x:v>Medium demersals (30 - 89 cm)</x:v>
      </x:c>
      <x:c r="H181" s="24" t="str">
        <x:v>Cod-likes</x:v>
      </x:c>
      <x:c r="I181" s="31" t="n">
        <x:v>0.0074999621</x:v>
      </x:c>
      <x:c r="J181" s="31" t="n">
        <x:v>0.0074999621</x:v>
      </x:c>
      <x:c r="K181" s="31" t="n">
        <x:v>0</x:v>
      </x:c>
      <x:c r="L181" s="31" t="n">
        <x:v>0</x:v>
      </x:c>
      <x:c r="M181" s="31" t="n">
        <x:v>0.0074999621</x:v>
      </x:c>
      <x:c r="N181" s="24" t="str">
        <x:v>gadidae</x:v>
      </x:c>
      <x:c r="O181" s="32" t="n">
        <x:v>3.84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Gadidae</x:v>
      </x:c>
      <x:c r="T181" s="32" t="n">
        <x:f>IF(O181="","",(1/'Metadata'!$B$5)^(O181-1))</x:f>
        <x:v>691.8309709189363</x:v>
      </x:c>
      <x:c r="U181" s="31" t="n">
        <x:f>IF(T181="","",I181*T181)</x:f>
        <x:v>5.188706061498224</x:v>
      </x:c>
    </x:row>
    <x:row r="182" ht="18" customHeight="1">
      <x:c r="A182" s="24" t="str">
        <x:v>EEZ_848</x:v>
      </x:c>
      <x:c r="B182" s="24" t="str">
        <x:v>USA (West Coast)</x:v>
      </x:c>
      <x:c r="C182" s="24" t="str">
        <x:v>EEZ</x:v>
      </x:c>
      <x:c r="D182" s="30" t="n">
        <x:v>2019</x:v>
      </x:c>
      <x:c r="E182" s="24" t="str">
        <x:v>Thunnus</x:v>
      </x:c>
      <x:c r="F182" s="24" t="str">
        <x:v>Tunas</x:v>
      </x:c>
      <x:c r="G182" s="24" t="str">
        <x:v>Large pelagics (&gt;=90 cm)</x:v>
      </x:c>
      <x:c r="H182" s="24" t="str">
        <x:v>Tuna &amp; billfishes</x:v>
      </x:c>
      <x:c r="I182" s="31" t="n">
        <x:v>0.0058484011</x:v>
      </x:c>
      <x:c r="J182" s="31" t="n">
        <x:v>0.0058484011</x:v>
      </x:c>
      <x:c r="K182" s="31" t="n">
        <x:v>0</x:v>
      </x:c>
      <x:c r="L182" s="31" t="n">
        <x:v>0</x:v>
      </x:c>
      <x:c r="M182" s="31" t="n">
        <x:v>0.0058484011</x:v>
      </x:c>
      <x:c r="N182" s="24" t="str">
        <x:v>thunnus</x:v>
      </x:c>
      <x:c r="O182" s="32" t="n">
        <x:v>4.34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Thunnus</x:v>
      </x:c>
      <x:c r="T182" s="32" t="n">
        <x:f>IF(O182="","",(1/'Metadata'!$B$5)^(O182-1))</x:f>
        <x:v>2187.761623949552</x:v>
      </x:c>
      <x:c r="U182" s="31" t="n">
        <x:f>IF(T182="","",I182*T182)</x:f>
        <x:v>12.794907488044347</x:v>
      </x:c>
    </x:row>
    <x:row r="183" ht="18" customHeight="1">
      <x:c r="A183" s="24" t="str">
        <x:v>EEZ_848</x:v>
      </x:c>
      <x:c r="B183" s="24" t="str">
        <x:v>USA (West Coast)</x:v>
      </x:c>
      <x:c r="C183" s="24" t="str">
        <x:v>EEZ</x:v>
      </x:c>
      <x:c r="D183" s="30" t="n">
        <x:v>2019</x:v>
      </x:c>
      <x:c r="E183" s="24" t="str">
        <x:v>Hypomesus pretiosus</x:v>
      </x:c>
      <x:c r="F183" s="24" t="str">
        <x:v>Surf smelt</x:v>
      </x:c>
      <x:c r="G183" s="24" t="str">
        <x:v>Small pelagics (&lt;30 cm)</x:v>
      </x:c>
      <x:c r="H183" s="24" t="str">
        <x:v>Salmon, smelts, etc</x:v>
      </x:c>
      <x:c r="I183" s="31" t="n">
        <x:v>0.0036029892</x:v>
      </x:c>
      <x:c r="J183" s="31" t="n">
        <x:v>0</x:v>
      </x:c>
      <x:c r="K183" s="31" t="n">
        <x:v>0.0036029892</x:v>
      </x:c>
      <x:c r="L183" s="31" t="n">
        <x:v>0</x:v>
      </x:c>
      <x:c r="M183" s="31" t="n">
        <x:v>0.0036029892</x:v>
      </x:c>
      <x:c r="N183" s="24" t="str">
        <x:v>hypomesus pretiosus</x:v>
      </x:c>
      <x:c r="O183" s="32" t="n">
        <x:v>3.43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Hypomesus pretiosus</x:v>
      </x:c>
      <x:c r="T183" s="32" t="n">
        <x:f>IF(O183="","",(1/'Metadata'!$B$5)^(O183-1))</x:f>
        <x:v>269.1534803926917</x:v>
      </x:c>
      <x:c r="U183" s="31" t="n">
        <x:f>IF(T183="","",I183*T183)</x:f>
        <x:v>0.9697570829972799</x:v>
      </x:c>
    </x:row>
    <x:row r="184" ht="18" customHeight="1">
      <x:c r="A184" s="24" t="str">
        <x:v>EEZ_848</x:v>
      </x:c>
      <x:c r="B184" s="24" t="str">
        <x:v>USA (West Coast)</x:v>
      </x:c>
      <x:c r="C184" s="24" t="str">
        <x:v>EEZ</x:v>
      </x:c>
      <x:c r="D184" s="30" t="n">
        <x:v>2019</x:v>
      </x:c>
      <x:c r="E184" s="24" t="str">
        <x:v>Lamnidae</x:v>
      </x:c>
      <x:c r="F184" s="24" t="str">
        <x:v>Mackerel/white sharks</x:v>
      </x:c>
      <x:c r="G184" s="24" t="str">
        <x:v>Large sharks (&gt;=90 cm)</x:v>
      </x:c>
      <x:c r="H184" s="24" t="str">
        <x:v>Sharks &amp; rays</x:v>
      </x:c>
      <x:c r="I184" s="31" t="n">
        <x:v>0.0033</x:v>
      </x:c>
      <x:c r="J184" s="31" t="n">
        <x:v>0</x:v>
      </x:c>
      <x:c r="K184" s="31" t="n">
        <x:v>0.0033</x:v>
      </x:c>
      <x:c r="L184" s="31" t="n">
        <x:v>0</x:v>
      </x:c>
      <x:c r="M184" s="31" t="n">
        <x:v>0.0033</x:v>
      </x:c>
      <x:c r="N184" s="24" t="str">
        <x:v>lamnidae</x:v>
      </x:c>
      <x:c r="O184" s="32" t="n">
        <x:v>4.5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Lamnidae</x:v>
      </x:c>
      <x:c r="T184" s="32" t="n">
        <x:f>IF(O184="","",(1/'Metadata'!$B$5)^(O184-1))</x:f>
        <x:v>3162.2776601683795</x:v>
      </x:c>
      <x:c r="U184" s="31" t="n">
        <x:f>IF(T184="","",I184*T184)</x:f>
        <x:v>10.435516278555653</x:v>
      </x:c>
    </x:row>
    <x:row r="185" ht="18" customHeight="1">
      <x:c r="A185" s="24" t="str">
        <x:v>EEZ_848</x:v>
      </x:c>
      <x:c r="B185" s="24" t="str">
        <x:v>USA (West Coast)</x:v>
      </x:c>
      <x:c r="C185" s="24" t="str">
        <x:v>EEZ</x:v>
      </x:c>
      <x:c r="D185" s="30" t="n">
        <x:v>2019</x:v>
      </x:c>
      <x:c r="E185" s="24" t="str">
        <x:v>Scomberesocidae</x:v>
      </x:c>
      <x:c r="F185" s="24" t="str">
        <x:v>Sauries</x:v>
      </x:c>
      <x:c r="G185" s="24" t="str">
        <x:v>Medium pelagics (30 - 89 cm)</x:v>
      </x:c>
      <x:c r="H185" s="24" t="str">
        <x:v>Other fishes &amp; inverts</x:v>
      </x:c>
      <x:c r="I185" s="31" t="n">
        <x:v>0.0025265553</x:v>
      </x:c>
      <x:c r="J185" s="31" t="n">
        <x:v>0</x:v>
      </x:c>
      <x:c r="K185" s="31" t="n">
        <x:v>0.0025265553</x:v>
      </x:c>
      <x:c r="L185" s="31" t="n">
        <x:v>0</x:v>
      </x:c>
      <x:c r="M185" s="31" t="n">
        <x:v>0.0025265553</x:v>
      </x:c>
      <x:c r="N185" s="24" t="str">
        <x:v>scomberesocidae</x:v>
      </x:c>
      <x:c r="O185" s="32" t="n">
        <x:v>4.01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Scomberesocidae</x:v>
      </x:c>
      <x:c r="T185" s="32" t="n">
        <x:f>IF(O185="","",(1/'Metadata'!$B$5)^(O185-1))</x:f>
        <x:v>1023.2929922807537</x:v>
      </x:c>
      <x:c r="U185" s="31" t="n">
        <x:f>IF(T185="","",I185*T185)</x:f>
        <x:v>2.585406333099797</x:v>
      </x:c>
    </x:row>
    <x:row r="186" ht="18" customHeight="1">
      <x:c r="A186" s="24" t="str">
        <x:v>EEZ_848</x:v>
      </x:c>
      <x:c r="B186" s="24" t="str">
        <x:v>USA (West Coast)</x:v>
      </x:c>
      <x:c r="C186" s="24" t="str">
        <x:v>EEZ</x:v>
      </x:c>
      <x:c r="D186" s="30" t="n">
        <x:v>2019</x:v>
      </x:c>
      <x:c r="E186" s="24" t="str">
        <x:v>Microgadus proximus</x:v>
      </x:c>
      <x:c r="F186" s="24" t="str">
        <x:v>Pacific tomcod</x:v>
      </x:c>
      <x:c r="G186" s="24" t="str">
        <x:v>Medium demersals (30 - 89 cm)</x:v>
      </x:c>
      <x:c r="H186" s="24" t="str">
        <x:v>Cod-likes</x:v>
      </x:c>
      <x:c r="I186" s="31" t="n">
        <x:v>0.0003947162</x:v>
      </x:c>
      <x:c r="J186" s="31" t="n">
        <x:v>0.0003947162</x:v>
      </x:c>
      <x:c r="K186" s="31" t="n">
        <x:v>0</x:v>
      </x:c>
      <x:c r="L186" s="31" t="n">
        <x:v>0</x:v>
      </x:c>
      <x:c r="M186" s="31" t="n">
        <x:v>0.0003947162</x:v>
      </x:c>
      <x:c r="N186" s="24" t="str">
        <x:v>microgadus proximus</x:v>
      </x:c>
      <x:c r="O186" s="32" t="n">
        <x:v>3.58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Microgadus proximus</x:v>
      </x:c>
      <x:c r="T186" s="32" t="n">
        <x:f>IF(O186="","",(1/'Metadata'!$B$5)^(O186-1))</x:f>
        <x:v>380.1893963205613</x:v>
      </x:c>
      <x:c r="U186" s="31" t="n">
        <x:f>IF(T186="","",I186*T186)</x:f>
        <x:v>0.15006691379594592</x:v>
      </x:c>
    </x:row>
  </x:sheetData>
  <x:conditionalFormatting sqref="R2:R18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51858ff74ef40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10164.8464966883</x:v>
      </x:c>
      <x:c r="E2" s="31" t="n">
        <x:v>10164.8464966883</x:v>
      </x:c>
      <x:c r="F2" s="32" t="n">
        <x:v>0</x:v>
      </x:c>
      <x:c r="G2" s="34" t="n">
        <x:v>1</x:v>
      </x:c>
      <x:c r="H2" s="32" t="n">
        <x:f>IF(E2=0,"",I2/E2)</x:f>
        <x:v>93.32543007969915</x:v>
      </x:c>
      <x:c r="I2" s="31" t="n">
        <x:f>IF(C2=0,"",SUMIF('Species'!$H$2:$H$186,A2,'Species'!$U$2:$U$186))</x:f>
        <x:v>948638.6709975587</x:v>
      </x:c>
      <x:c r="J2" s="32" t="n">
        <x:v>2.97</x:v>
      </x:c>
      <x:c r="K2" s="32" t="n">
        <x:f>IF(J2="","",(1/'Metadata'!$B$5)^(J2-1))</x:f>
        <x:v>93.32543007969915</x:v>
      </x:c>
      <x:c r="L2" s="31" t="n">
        <x:f>IF(E2=0,"",E2*K2)</x:f>
        <x:v>948638.6709975587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5</x:v>
      </x:c>
      <x:c r="C3" s="33" t="n">
        <x:v>5</x:v>
      </x:c>
      <x:c r="D3" s="31" t="n">
        <x:v>326098.6711577095</x:v>
      </x:c>
      <x:c r="E3" s="31" t="n">
        <x:v>326098.6711577095</x:v>
      </x:c>
      <x:c r="F3" s="32" t="n">
        <x:v>0</x:v>
      </x:c>
      <x:c r="G3" s="34" t="n">
        <x:v>1</x:v>
      </x:c>
      <x:c r="H3" s="32" t="n">
        <x:f>IF(E3=0,"",I3/E3)</x:f>
        <x:v>2238.32368647077</x:v>
      </x:c>
      <x:c r="I3" s="31" t="n">
        <x:f>IF(C3=0,"",SUMIF('Species'!$H$2:$H$186,A3,'Species'!$U$2:$U$186))</x:f>
        <x:v>729914379.7789438</x:v>
      </x:c>
      <x:c r="J3" s="32" t="n">
        <x:v>4.349882881164779</x:v>
      </x:c>
      <x:c r="K3" s="32" t="n">
        <x:f>IF(J3="","",(1/'Metadata'!$B$5)^(J3-1))</x:f>
        <x:v>2238.117490416719</x:v>
      </x:c>
      <x:c r="L3" s="31" t="n">
        <x:f>IF(E3=0,"",E3*K3)</x:f>
        <x:v>729847139.5197197</x:v>
      </x:c>
      <x:c r="M3" s="31" t="n">
        <x:f>IF(E3=0,"",I3-L3)</x:f>
        <x:v>67240.2592240572</x:v>
      </x:c>
      <x:c r="N3" s="32" t="n">
        <x:f>IF(L3=0,"",I3/L3)</x:f>
        <x:v>1.0000921292358127</x:v>
      </x:c>
      <x:c r="O3" s="34" t="n">
        <x:f>IF(L3=0,"",M3/L3)</x:f>
        <x:v>0.00009212923581272793</x:v>
      </x:c>
    </x:row>
    <x:row r="4" ht="18" customHeight="1">
      <x:c r="A4" s="24" t="str">
        <x:v>Crustaceans</x:v>
      </x:c>
      <x:c r="B4" s="33" t="n">
        <x:v>12</x:v>
      </x:c>
      <x:c r="C4" s="33" t="n">
        <x:v>12</x:v>
      </x:c>
      <x:c r="D4" s="31" t="n">
        <x:v>46800.80376562279</x:v>
      </x:c>
      <x:c r="E4" s="31" t="n">
        <x:v>46800.80376562279</x:v>
      </x:c>
      <x:c r="F4" s="32" t="n">
        <x:v>0</x:v>
      </x:c>
      <x:c r="G4" s="34" t="n">
        <x:v>1</x:v>
      </x:c>
      <x:c r="H4" s="32" t="n">
        <x:f>IF(E4=0,"",I4/E4)</x:f>
        <x:v>647.656584661416</x:v>
      </x:c>
      <x:c r="I4" s="31" t="n">
        <x:f>IF(C4=0,"",SUMIF('Species'!$H$2:$H$186,A4,'Species'!$U$2:$U$186))</x:f>
        <x:v>30310848.726252392</x:v>
      </x:c>
      <x:c r="J4" s="32" t="n">
        <x:v>3.6684905317875156</x:v>
      </x:c>
      <x:c r="K4" s="32" t="n">
        <x:f>IF(J4="","",(1/'Metadata'!$B$5)^(J4-1))</x:f>
        <x:v>466.11226600750814</x:v>
      </x:c>
      <x:c r="L4" s="31" t="n">
        <x:f>IF(E4=0,"",E4*K4)</x:f>
        <x:v>21814428.69416716</x:v>
      </x:c>
      <x:c r="M4" s="31" t="n">
        <x:f>IF(E4=0,"",I4-L4)</x:f>
        <x:v>8496420.032085232</x:v>
      </x:c>
      <x:c r="N4" s="32" t="n">
        <x:f>IF(L4=0,"",I4/L4)</x:f>
        <x:v>1.3894862501880254</x:v>
      </x:c>
      <x:c r="O4" s="34" t="n">
        <x:f>IF(L4=0,"",M4/L4)</x:f>
        <x:v>0.38948625018802546</x:v>
      </x:c>
    </x:row>
    <x:row r="5" ht="18" customHeight="1">
      <x:c r="A5" s="24" t="str">
        <x:v>Flatfishes</x:v>
      </x:c>
      <x:c r="B5" s="33" t="n">
        <x:v>20</x:v>
      </x:c>
      <x:c r="C5" s="33" t="n">
        <x:v>20</x:v>
      </x:c>
      <x:c r="D5" s="31" t="n">
        <x:v>11570.108528465396</x:v>
      </x:c>
      <x:c r="E5" s="31" t="n">
        <x:v>11570.108528465396</x:v>
      </x:c>
      <x:c r="F5" s="32" t="n">
        <x:v>0</x:v>
      </x:c>
      <x:c r="G5" s="34" t="n">
        <x:v>1</x:v>
      </x:c>
      <x:c r="H5" s="32" t="n">
        <x:f>IF(E5=0,"",I5/E5)</x:f>
        <x:v>683.3629267402525</x:v>
      </x:c>
      <x:c r="I5" s="31" t="n">
        <x:f>IF(C5=0,"",SUMIF('Species'!$H$2:$H$186,A5,'Species'!$U$2:$U$186))</x:f>
        <x:v>7906583.2267144695</x:v>
      </x:c>
      <x:c r="J5" s="32" t="n">
        <x:v>3.606628762584005</x:v>
      </x:c>
      <x:c r="K5" s="32" t="n">
        <x:f>IF(J5="","",(1/'Metadata'!$B$5)^(J5-1))</x:f>
        <x:v>404.23020567119016</x:v>
      </x:c>
      <x:c r="L5" s="31" t="n">
        <x:f>IF(E5=0,"",E5*K5)</x:f>
        <x:v>4676987.350099559</x:v>
      </x:c>
      <x:c r="M5" s="31" t="n">
        <x:f>IF(E5=0,"",I5-L5)</x:f>
        <x:v>3229595.8766149106</x:v>
      </x:c>
      <x:c r="N5" s="32" t="n">
        <x:f>IF(L5=0,"",I5/L5)</x:f>
        <x:v>1.6905291023603393</x:v>
      </x:c>
      <x:c r="O5" s="34" t="n">
        <x:f>IF(L5=0,"",M5/L5)</x:f>
        <x:v>0.6905291023603394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2747.805709881</x:v>
      </x:c>
      <x:c r="E6" s="31" t="n">
        <x:v>2747.805709881</x:v>
      </x:c>
      <x:c r="F6" s="32" t="n">
        <x:v>0</x:v>
      </x:c>
      <x:c r="G6" s="34" t="n">
        <x:v>1</x:v>
      </x:c>
      <x:c r="H6" s="32" t="n">
        <x:f>IF(E6=0,"",I6/E6)</x:f>
        <x:v>120.72910002629422</x:v>
      </x:c>
      <x:c r="I6" s="31" t="n">
        <x:f>IF(C6=0,"",SUMIF('Species'!$H$2:$H$186,A6,'Species'!$U$2:$U$186))</x:f>
        <x:v>331740.11040104565</x:v>
      </x:c>
      <x:c r="J6" s="32" t="n">
        <x:v>2.9979511523133344</x:v>
      </x:c>
      <x:c r="K6" s="32" t="n">
        <x:f>IF(J6="","",(1/'Metadata'!$B$5)^(J6-1))</x:f>
        <x:v>99.5293464472577</x:v>
      </x:c>
      <x:c r="L6" s="31" t="n">
        <x:f>IF(E6=0,"",E6*K6)</x:f>
        <x:v>273487.3064684989</x:v>
      </x:c>
      <x:c r="M6" s="31" t="n">
        <x:f>IF(E6=0,"",I6-L6)</x:f>
        <x:v>58252.803932546754</x:v>
      </x:c>
      <x:c r="N6" s="32" t="n">
        <x:f>IF(L6=0,"",I6/L6)</x:f>
        <x:v>1.2130000279894397</x:v>
      </x:c>
      <x:c r="O6" s="34" t="n">
        <x:f>IF(L6=0,"",M6/L6)</x:f>
        <x:v>0.21300002798943976</x:v>
      </x:c>
    </x:row>
    <x:row r="7" ht="18" customHeight="1">
      <x:c r="A7" s="24" t="str">
        <x:v>Molluscs</x:v>
      </x:c>
      <x:c r="B7" s="33" t="n">
        <x:v>13</x:v>
      </x:c>
      <x:c r="C7" s="33" t="n">
        <x:v>13</x:v>
      </x:c>
      <x:c r="D7" s="31" t="n">
        <x:v>3307.8423241664</x:v>
      </x:c>
      <x:c r="E7" s="31" t="n">
        <x:v>3307.8423241664</x:v>
      </x:c>
      <x:c r="F7" s="32" t="n">
        <x:v>0</x:v>
      </x:c>
      <x:c r="G7" s="34" t="n">
        <x:v>1</x:v>
      </x:c>
      <x:c r="H7" s="32" t="n">
        <x:f>IF(E7=0,"",I7/E7)</x:f>
        <x:v>10.165196729593841</x:v>
      </x:c>
      <x:c r="I7" s="31" t="n">
        <x:f>IF(C7=0,"",SUMIF('Species'!$H$2:$H$186,A7,'Species'!$U$2:$U$186))</x:f>
        <x:v>33624.86797562838</x:v>
      </x:c>
      <x:c r="J7" s="32" t="n">
        <x:v>2.00668006169238</x:v>
      </x:c>
      <x:c r="K7" s="32" t="n">
        <x:f>IF(J7="","",(1/'Metadata'!$B$5)^(J7-1))</x:f>
        <x:v>10.155003132156407</x:v>
      </x:c>
      <x:c r="L7" s="31" t="n">
        <x:f>IF(E7=0,"",E7*K7)</x:f>
        <x:v>33591.149162589325</x:v>
      </x:c>
      <x:c r="M7" s="31" t="n">
        <x:f>IF(E7=0,"",I7-L7)</x:f>
        <x:v>33.71881303905684</x:v>
      </x:c>
      <x:c r="N7" s="32" t="n">
        <x:f>IF(L7=0,"",I7/L7)</x:f>
        <x:v>1.0010038005212578</x:v>
      </x:c>
      <x:c r="O7" s="34" t="n">
        <x:f>IF(L7=0,"",M7/L7)</x:f>
        <x:v>0.0010038005212578346</x:v>
      </x:c>
    </x:row>
    <x:row r="8" ht="18" customHeight="1">
      <x:c r="A8" s="24" t="str">
        <x:v>Other fishes &amp; inverts</x:v>
      </x:c>
      <x:c r="B8" s="33" t="n">
        <x:v>17</x:v>
      </x:c>
      <x:c r="C8" s="33" t="n">
        <x:v>17</x:v>
      </x:c>
      <x:c r="D8" s="31" t="n">
        <x:v>22468.970112248604</x:v>
      </x:c>
      <x:c r="E8" s="31" t="n">
        <x:v>22468.970112248604</x:v>
      </x:c>
      <x:c r="F8" s="32" t="n">
        <x:v>0</x:v>
      </x:c>
      <x:c r="G8" s="34" t="n">
        <x:v>1</x:v>
      </x:c>
      <x:c r="H8" s="32" t="n">
        <x:f>IF(E8=0,"",I8/E8)</x:f>
        <x:v>580.5020811848069</x:v>
      </x:c>
      <x:c r="I8" s="31" t="n">
        <x:f>IF(C8=0,"",SUMIF('Species'!$H$2:$H$186,A8,'Species'!$U$2:$U$186))</x:f>
        <x:v>13043283.912239539</x:v>
      </x:c>
      <x:c r="J8" s="32" t="n">
        <x:v>3.6622848788887317</x:v>
      </x:c>
      <x:c r="K8" s="32" t="n">
        <x:f>IF(J8="","",(1/'Metadata'!$B$5)^(J8-1))</x:f>
        <x:v>459.4993262066542</x:v>
      </x:c>
      <x:c r="L8" s="31" t="n">
        <x:f>IF(E8=0,"",E8*K8)</x:f>
        <x:v>10324476.627135685</x:v>
      </x:c>
      <x:c r="M8" s="31" t="n">
        <x:f>IF(E8=0,"",I8-L8)</x:f>
        <x:v>2718807.285103854</x:v>
      </x:c>
      <x:c r="N8" s="32" t="n">
        <x:f>IF(L8=0,"",I8/L8)</x:f>
        <x:v>1.2633360879483275</x:v>
      </x:c>
      <x:c r="O8" s="34" t="n">
        <x:f>IF(L8=0,"",M8/L8)</x:f>
        <x:v>0.26333608794832747</x:v>
      </x:c>
    </x:row>
    <x:row r="9" ht="18" customHeight="1">
      <x:c r="A9" s="24" t="str">
        <x:v>Perch-likes</x:v>
      </x:c>
      <x:c r="B9" s="33" t="n">
        <x:v>24</x:v>
      </x:c>
      <x:c r="C9" s="33" t="n">
        <x:v>24</x:v>
      </x:c>
      <x:c r="D9" s="31" t="n">
        <x:v>5282.333732679899</x:v>
      </x:c>
      <x:c r="E9" s="31" t="n">
        <x:v>5282.333732679899</x:v>
      </x:c>
      <x:c r="F9" s="32" t="n">
        <x:v>0</x:v>
      </x:c>
      <x:c r="G9" s="34" t="n">
        <x:v>1</x:v>
      </x:c>
      <x:c r="H9" s="32" t="n">
        <x:f>IF(E9=0,"",I9/E9)</x:f>
        <x:v>307.10067471106765</x:v>
      </x:c>
      <x:c r="I9" s="31" t="n">
        <x:f>IF(C9=0,"",SUMIF('Species'!$H$2:$H$186,A9,'Species'!$U$2:$U$186))</x:f>
        <x:v>1622208.2533550295</x:v>
      </x:c>
      <x:c r="J9" s="32" t="n">
        <x:v>3.4351269830470073</x:v>
      </x:c>
      <x:c r="K9" s="32" t="n">
        <x:f>IF(J9="","",(1/'Metadata'!$B$5)^(J9-1))</x:f>
        <x:v>272.34975131240435</x:v>
      </x:c>
      <x:c r="L9" s="31" t="n">
        <x:f>IF(E9=0,"",E9*K9)</x:f>
        <x:v>1438642.278444495</x:v>
      </x:c>
      <x:c r="M9" s="31" t="n">
        <x:f>IF(E9=0,"",I9-L9)</x:f>
        <x:v>183565.97491053445</x:v>
      </x:c>
      <x:c r="N9" s="32" t="n">
        <x:f>IF(L9=0,"",I9/L9)</x:f>
        <x:v>1.127596677548648</x:v>
      </x:c>
      <x:c r="O9" s="34" t="n">
        <x:f>IF(L9=0,"",M9/L9)</x:f>
        <x:v>0.12759667754864795</x:v>
      </x:c>
    </x:row>
    <x:row r="10" ht="18" customHeight="1">
      <x:c r="A10" s="24" t="str">
        <x:v>Salmon, smelts, etc</x:v>
      </x:c>
      <x:c r="B10" s="33" t="n">
        <x:v>11</x:v>
      </x:c>
      <x:c r="C10" s="33" t="n">
        <x:v>11</x:v>
      </x:c>
      <x:c r="D10" s="31" t="n">
        <x:v>12627.101163515099</x:v>
      </x:c>
      <x:c r="E10" s="31" t="n">
        <x:v>12627.101163515099</x:v>
      </x:c>
      <x:c r="F10" s="32" t="n">
        <x:v>0</x:v>
      </x:c>
      <x:c r="G10" s="34" t="n">
        <x:v>1</x:v>
      </x:c>
      <x:c r="H10" s="32" t="n">
        <x:f>IF(E10=0,"",I10/E10)</x:f>
        <x:v>2021.0839551619645</x:v>
      </x:c>
      <x:c r="I10" s="31" t="n">
        <x:f>IF(C10=0,"",SUMIF('Species'!$H$2:$H$186,A10,'Species'!$U$2:$U$186))</x:f>
        <x:v>25520431.56178734</x:v>
      </x:c>
      <x:c r="J10" s="32" t="n">
        <x:v>4.263642636912943</x:v>
      </x:c>
      <x:c r="K10" s="32" t="n">
        <x:f>IF(J10="","",(1/'Metadata'!$B$5)^(J10-1))</x:f>
        <x:v>1835.0277529826392</x:v>
      </x:c>
      <x:c r="L10" s="31" t="n">
        <x:f>IF(E10=0,"",E10*K10)</x:f>
        <x:v>23171081.074769583</x:v>
      </x:c>
      <x:c r="M10" s="31" t="n">
        <x:f>IF(E10=0,"",I10-L10)</x:f>
        <x:v>2349350.487017758</x:v>
      </x:c>
      <x:c r="N10" s="32" t="n">
        <x:f>IF(L10=0,"",I10/L10)</x:f>
        <x:v>1.1013914922414176</x:v>
      </x:c>
      <x:c r="O10" s="34" t="n">
        <x:f>IF(L10=0,"",M10/L10)</x:f>
        <x:v>0.1013914922414176</x:v>
      </x:c>
    </x:row>
    <x:row r="11" ht="18" customHeight="1">
      <x:c r="A11" s="24" t="str">
        <x:v>Scorpionfishes</x:v>
      </x:c>
      <x:c r="B11" s="33" t="n">
        <x:v>47</x:v>
      </x:c>
      <x:c r="C11" s="33" t="n">
        <x:v>47</x:v>
      </x:c>
      <x:c r="D11" s="31" t="n">
        <x:v>25123.143292813398</x:v>
      </x:c>
      <x:c r="E11" s="31" t="n">
        <x:v>25123.143292813398</x:v>
      </x:c>
      <x:c r="F11" s="32" t="n">
        <x:v>0</x:v>
      </x:c>
      <x:c r="G11" s="34" t="n">
        <x:v>1</x:v>
      </x:c>
      <x:c r="H11" s="32" t="n">
        <x:f>IF(E11=0,"",I11/E11)</x:f>
        <x:v>729.1280365080927</x:v>
      </x:c>
      <x:c r="I11" s="31" t="n">
        <x:f>IF(C11=0,"",SUMIF('Species'!$H$2:$H$186,A11,'Species'!$U$2:$U$186))</x:f>
        <x:v>18317988.140000492</x:v>
      </x:c>
      <x:c r="J11" s="32" t="n">
        <x:v>3.7994228734551307</x:v>
      </x:c>
      <x:c r="K11" s="32" t="n">
        <x:f>IF(J11="","",(1/'Metadata'!$B$5)^(J11-1))</x:f>
        <x:v>630.119432871192</x:v>
      </x:c>
      <x:c r="L11" s="31" t="n">
        <x:f>IF(E11=0,"",E11*K11)</x:f>
        <x:v>15830580.803609269</x:v>
      </x:c>
      <x:c r="M11" s="31" t="n">
        <x:f>IF(E11=0,"",I11-L11)</x:f>
        <x:v>2487407.3363912236</x:v>
      </x:c>
      <x:c r="N11" s="32" t="n">
        <x:f>IF(L11=0,"",I11/L11)</x:f>
        <x:v>1.1571267262553064</x:v>
      </x:c>
      <x:c r="O11" s="34" t="n">
        <x:f>IF(L11=0,"",M11/L11)</x:f>
        <x:v>0.1571267262553065</x:v>
      </x:c>
    </x:row>
    <x:row r="12" ht="18" customHeight="1">
      <x:c r="A12" s="24" t="str">
        <x:v>Sharks &amp; rays</x:v>
      </x:c>
      <x:c r="B12" s="33" t="n">
        <x:v>23</x:v>
      </x:c>
      <x:c r="C12" s="33" t="n">
        <x:v>23</x:v>
      </x:c>
      <x:c r="D12" s="31" t="n">
        <x:v>1637.8090137047</x:v>
      </x:c>
      <x:c r="E12" s="31" t="n">
        <x:v>1637.8090137047</x:v>
      </x:c>
      <x:c r="F12" s="32" t="n">
        <x:v>0</x:v>
      </x:c>
      <x:c r="G12" s="34" t="n">
        <x:v>1</x:v>
      </x:c>
      <x:c r="H12" s="32" t="n">
        <x:f>IF(E12=0,"",I12/E12)</x:f>
        <x:v>865.1037501881423</x:v>
      </x:c>
      <x:c r="I12" s="31" t="n">
        <x:f>IF(C12=0,"",SUMIF('Species'!$H$2:$H$186,A12,'Species'!$U$2:$U$186))</x:f>
        <x:v>1416874.7198478784</x:v>
      </x:c>
      <x:c r="J12" s="32" t="n">
        <x:v>3.864209495002772</x:v>
      </x:c>
      <x:c r="K12" s="32" t="n">
        <x:f>IF(J12="","",(1/'Metadata'!$B$5)^(J12-1))</x:f>
        <x:v>731.4918554842599</x:v>
      </x:c>
      <x:c r="L12" s="31" t="n">
        <x:f>IF(E12=0,"",E12*K12)</x:f>
        <x:v>1198043.9543636965</x:v>
      </x:c>
      <x:c r="M12" s="31" t="n">
        <x:f>IF(E12=0,"",I12-L12)</x:f>
        <x:v>218830.76548418193</x:v>
      </x:c>
      <x:c r="N12" s="32" t="n">
        <x:f>IF(L12=0,"",I12/L12)</x:f>
        <x:v>1.182656708618347</x:v>
      </x:c>
      <x:c r="O12" s="34" t="n">
        <x:f>IF(L12=0,"",M12/L12)</x:f>
        <x:v>0.182656708618347</x:v>
      </x:c>
    </x:row>
    <x:row r="13" ht="18" customHeight="1">
      <x:c r="A13" s="24" t="str">
        <x:v>Tuna &amp; billfishes</x:v>
      </x:c>
      <x:c r="B13" s="33" t="n">
        <x:v>9</x:v>
      </x:c>
      <x:c r="C13" s="33" t="n">
        <x:v>9</x:v>
      </x:c>
      <x:c r="D13" s="31" t="n">
        <x:v>12412.619815964601</x:v>
      </x:c>
      <x:c r="E13" s="31" t="n">
        <x:v>12412.619815964601</x:v>
      </x:c>
      <x:c r="F13" s="32" t="n">
        <x:v>0</x:v>
      </x:c>
      <x:c r="G13" s="34" t="n">
        <x:v>1</x:v>
      </x:c>
      <x:c r="H13" s="32" t="n">
        <x:f>IF(E13=0,"",I13/E13)</x:f>
        <x:v>2126.065136286783</x:v>
      </x:c>
      <x:c r="I13" s="31" t="n">
        <x:f>IF(C13=0,"",SUMIF('Species'!$H$2:$H$186,A13,'Species'!$U$2:$U$186))</x:f>
        <x:v>26390038.240704805</x:v>
      </x:c>
      <x:c r="J13" s="32" t="n">
        <x:v>4.314744618299662</x:v>
      </x:c>
      <x:c r="K13" s="32" t="n">
        <x:f>IF(J13="","",(1/'Metadata'!$B$5)^(J13-1))</x:f>
        <x:v>2064.1659906184145</x:v>
      </x:c>
      <x:c r="L13" s="31" t="n">
        <x:f>IF(E13=0,"",E13*K13)</x:f>
        <x:v>25621707.67859033</x:v>
      </x:c>
      <x:c r="M13" s="31" t="n">
        <x:f>IF(E13=0,"",I13-L13)</x:f>
        <x:v>768330.5621144734</x:v>
      </x:c>
      <x:c r="N13" s="32" t="n">
        <x:f>IF(L13=0,"",I13/L13)</x:f>
        <x:v>1.0299874845093364</x:v>
      </x:c>
      <x:c r="O13" s="34" t="n">
        <x:f>IF(L13=0,"",M13/L13)</x:f>
        <x:v>0.029987484509336415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e8cad8b1d624d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14895.073066403202</x:v>
      </x:c>
      <x:c r="E2" s="31" t="n">
        <x:v>14895.073066403202</x:v>
      </x:c>
      <x:c r="F2" s="32" t="n">
        <x:v>0</x:v>
      </x:c>
      <x:c r="G2" s="34" t="n">
        <x:v>1</x:v>
      </x:c>
      <x:c r="H2" s="32" t="n">
        <x:f>IF(E2=0,"",I2/E2)</x:f>
        <x:v>728.3465451975821</x:v>
      </x:c>
      <x:c r="I2" s="31" t="n">
        <x:f>IF(C2=0,"",SUMIF('Species'!$G$2:$G$186,A2,'Species'!$U$2:$U$186))</x:f>
        <x:v>10848775.008380327</x:v>
      </x:c>
      <x:c r="J2" s="32" t="n">
        <x:v>3.8617003536496957</x:v>
      </x:c>
      <x:c r="K2" s="32" t="n">
        <x:f>IF(J2="","",(1/'Metadata'!$B$5)^(J2-1))</x:f>
        <x:v>727.2778378841202</x:v>
      </x:c>
      <x:c r="L2" s="31" t="n">
        <x:f>IF(E2=0,"",E2*K2)</x:f>
        <x:v>10832856.534859713</x:v>
      </x:c>
      <x:c r="M2" s="31" t="n">
        <x:f>IF(E2=0,"",I2-L2)</x:f>
        <x:v>15918.473520614207</x:v>
      </x:c>
      <x:c r="N2" s="32" t="n">
        <x:f>IF(L2=0,"",I2/L2)</x:f>
        <x:v>1.0014694622299658</x:v>
      </x:c>
      <x:c r="O2" s="34" t="n">
        <x:f>IF(L2=0,"",M2/L2)</x:f>
        <x:v>0.001469462229965769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5731.2121213379005</x:v>
      </x:c>
      <x:c r="E3" s="31" t="n">
        <x:v>5731.2121213379005</x:v>
      </x:c>
      <x:c r="F3" s="32" t="n">
        <x:v>0</x:v>
      </x:c>
      <x:c r="G3" s="34" t="n">
        <x:v>1</x:v>
      </x:c>
      <x:c r="H3" s="32" t="n">
        <x:f>IF(E3=0,"",I3/E3)</x:f>
        <x:v>679.4948289830674</x:v>
      </x:c>
      <x:c r="I3" s="31" t="n">
        <x:f>IF(C3=0,"",SUMIF('Species'!$G$2:$G$186,A3,'Species'!$U$2:$U$186))</x:f>
        <x:v>3894329.0002541794</x:v>
      </x:c>
      <x:c r="J3" s="32" t="n">
        <x:v>3.829044138159578</x:v>
      </x:c>
      <x:c r="K3" s="32" t="n">
        <x:f>IF(J3="","",(1/'Metadata'!$B$5)^(J3-1))</x:f>
        <x:v>674.5965847253124</x:v>
      </x:c>
      <x:c r="L3" s="31" t="n">
        <x:f>IF(E3=0,"",E3*K3)</x:f>
        <x:v>3866256.1233908604</x:v>
      </x:c>
      <x:c r="M3" s="31" t="n">
        <x:f>IF(E3=0,"",I3-L3)</x:f>
        <x:v>28072.87686331896</x:v>
      </x:c>
      <x:c r="N3" s="32" t="n">
        <x:f>IF(L3=0,"",I3/L3)</x:f>
        <x:v>1.0072609977113203</x:v>
      </x:c>
      <x:c r="O3" s="34" t="n">
        <x:f>IF(L3=0,"",M3/L3)</x:f>
        <x:v>0.007260997711320255</x:v>
      </x:c>
    </x:row>
    <x:row r="4" ht="18" customHeight="1">
      <x:c r="A4" s="24" t="str">
        <x:v>Large bathypelagics (&gt;=90 cm)</x:v>
      </x:c>
      <x:c r="B4" s="33" t="n">
        <x:v>2</x:v>
      </x:c>
      <x:c r="C4" s="33" t="n">
        <x:v>2</x:v>
      </x:c>
      <x:c r="D4" s="31" t="n">
        <x:v>0.0393640663</x:v>
      </x:c>
      <x:c r="E4" s="31" t="n">
        <x:v>0.0393640663</x:v>
      </x:c>
      <x:c r="F4" s="32" t="n">
        <x:v>0</x:v>
      </x:c>
      <x:c r="G4" s="34" t="n">
        <x:v>1</x:v>
      </x:c>
      <x:c r="H4" s="32" t="n">
        <x:f>IF(E4=0,"",I4/E4)</x:f>
        <x:v>1483.9994540811203</x:v>
      </x:c>
      <x:c r="I4" s="31" t="n">
        <x:f>IF(C4=0,"",SUMIF('Species'!$G$2:$G$186,A4,'Species'!$U$2:$U$186))</x:f>
        <x:v>58.41625289961303</x:v>
      </x:c>
      <x:c r="J4" s="32" t="n">
        <x:v>4.163269079927344</x:v>
      </x:c>
      <x:c r="K4" s="32" t="n">
        <x:f>IF(J4="","",(1/'Metadata'!$B$5)^(J4-1))</x:f>
        <x:v>1456.361132506365</x:v>
      </x:c>
      <x:c r="L4" s="31" t="n">
        <x:f>IF(E4=0,"",E4*K4)</x:f>
        <x:v>57.32829617672364</x:v>
      </x:c>
      <x:c r="M4" s="31" t="n">
        <x:f>IF(E4=0,"",I4-L4)</x:f>
        <x:v>1.0879567228893876</x:v>
      </x:c>
      <x:c r="N4" s="32" t="n">
        <x:f>IF(L4=0,"",I4/L4)</x:f>
        <x:v>1.018977656679968</x:v>
      </x:c>
      <x:c r="O4" s="34" t="n">
        <x:f>IF(L4=0,"",M4/L4)</x:f>
        <x:v>0.018977656679968074</x:v>
      </x:c>
    </x:row>
    <x:row r="5" ht="18" customHeight="1">
      <x:c r="A5" s="24" t="str">
        <x:v>Large benthopelagics (&gt;=90 cm)</x:v>
      </x:c>
      <x:c r="B5" s="33" t="n">
        <x:v>5</x:v>
      </x:c>
      <x:c r="C5" s="33" t="n">
        <x:v>5</x:v>
      </x:c>
      <x:c r="D5" s="31" t="n">
        <x:v>7594.3425923398</x:v>
      </x:c>
      <x:c r="E5" s="31" t="n">
        <x:v>7594.3425923398</x:v>
      </x:c>
      <x:c r="F5" s="32" t="n">
        <x:v>0</x:v>
      </x:c>
      <x:c r="G5" s="34" t="n">
        <x:v>1</x:v>
      </x:c>
      <x:c r="H5" s="32" t="n">
        <x:f>IF(E5=0,"",I5/E5)</x:f>
        <x:v>2187.8495974671387</x:v>
      </x:c>
      <x:c r="I5" s="31" t="n">
        <x:f>IF(C5=0,"",SUMIF('Species'!$G$2:$G$186,A5,'Species'!$U$2:$U$186))</x:f>
        <x:v>16615279.38367818</x:v>
      </x:c>
      <x:c r="J5" s="32" t="n">
        <x:v>4.292496703707947</x:v>
      </x:c>
      <x:c r="K5" s="32" t="n">
        <x:f>IF(J5="","",(1/'Metadata'!$B$5)^(J5-1))</x:f>
        <x:v>1961.0862907884514</x:v>
      </x:c>
      <x:c r="L5" s="31" t="n">
        <x:f>IF(E5=0,"",E5*K5)</x:f>
        <x:v>14893161.145388411</x:v>
      </x:c>
      <x:c r="M5" s="31" t="n">
        <x:f>IF(E5=0,"",I5-L5)</x:f>
        <x:v>1722118.2382897679</x:v>
      </x:c>
      <x:c r="N5" s="32" t="n">
        <x:f>IF(L5=0,"",I5/L5)</x:f>
        <x:v>1.1156314781985026</x:v>
      </x:c>
      <x:c r="O5" s="34" t="n">
        <x:f>IF(L5=0,"",M5/L5)</x:f>
        <x:v>0.11563147819850272</x:v>
      </x:c>
    </x:row>
    <x:row r="6" ht="18" customHeight="1">
      <x:c r="A6" s="24" t="str">
        <x:v>Large demersals (&gt;=90 cm)</x:v>
      </x:c>
      <x:c r="B6" s="33" t="n">
        <x:v>7</x:v>
      </x:c>
      <x:c r="C6" s="33" t="n">
        <x:v>7</x:v>
      </x:c>
      <x:c r="D6" s="31" t="n">
        <x:v>5237.0637797981</x:v>
      </x:c>
      <x:c r="E6" s="31" t="n">
        <x:v>5237.0637797981</x:v>
      </x:c>
      <x:c r="F6" s="32" t="n">
        <x:v>0</x:v>
      </x:c>
      <x:c r="G6" s="34" t="n">
        <x:v>1</x:v>
      </x:c>
      <x:c r="H6" s="32" t="n">
        <x:f>IF(E6=0,"",I6/E6)</x:f>
        <x:v>1699.2810865970987</x:v>
      </x:c>
      <x:c r="I6" s="31" t="n">
        <x:f>IF(C6=0,"",SUMIF('Species'!$G$2:$G$186,A6,'Species'!$U$2:$U$186))</x:f>
        <x:v>8899243.430313624</x:v>
      </x:c>
      <x:c r="J6" s="32" t="n">
        <x:v>4.219251941930578</x:v>
      </x:c>
      <x:c r="K6" s="32" t="n">
        <x:f>IF(J6="","",(1/'Metadata'!$B$5)^(J6-1))</x:f>
        <x:v>1656.730783655648</x:v>
      </x:c>
      <x:c r="L6" s="31" t="n">
        <x:f>IF(E6=0,"",E6*K6)</x:f>
        <x:v>8676404.779959517</x:v>
      </x:c>
      <x:c r="M6" s="31" t="n">
        <x:f>IF(E6=0,"",I6-L6)</x:f>
        <x:v>222838.65035410784</x:v>
      </x:c>
      <x:c r="N6" s="32" t="n">
        <x:f>IF(L6=0,"",I6/L6)</x:f>
        <x:v>1.0256832934845102</x:v>
      </x:c>
      <x:c r="O6" s="34" t="n">
        <x:f>IF(L6=0,"",M6/L6)</x:f>
        <x:v>0.02568329348451025</x:v>
      </x:c>
    </x:row>
    <x:row r="7" ht="18" customHeight="1">
      <x:c r="A7" s="24" t="str">
        <x:v>Large flatfishes (&gt;=90 cm)</x:v>
      </x:c>
      <x:c r="B7" s="33" t="n">
        <x:v>2</x:v>
      </x:c>
      <x:c r="C7" s="33" t="n">
        <x:v>2</x:v>
      </x:c>
      <x:c r="D7" s="31" t="n">
        <x:v>1294.3568564649</x:v>
      </x:c>
      <x:c r="E7" s="31" t="n">
        <x:v>1294.3568564649</x:v>
      </x:c>
      <x:c r="F7" s="32" t="n">
        <x:v>0</x:v>
      </x:c>
      <x:c r="G7" s="34" t="n">
        <x:v>1</x:v>
      </x:c>
      <x:c r="H7" s="32" t="n">
        <x:f>IF(E7=0,"",I7/E7)</x:f>
        <x:v>1945.8203915845143</x:v>
      </x:c>
      <x:c r="I7" s="31" t="n">
        <x:f>IF(C7=0,"",SUMIF('Species'!$G$2:$G$186,A7,'Species'!$U$2:$U$186))</x:f>
        <x:v>2518585.9652966326</x:v>
      </x:c>
      <x:c r="J7" s="32" t="n">
        <x:v>4.2542363545540764</x:v>
      </x:c>
      <x:c r="K7" s="32" t="n">
        <x:f>IF(J7="","",(1/'Metadata'!$B$5)^(J7-1))</x:f>
        <x:v>1795.7106342165396</x:v>
      </x:c>
      <x:c r="L7" s="31" t="n">
        <x:f>IF(E7=0,"",E7*K7)</x:f>
        <x:v>2324290.371625112</x:v>
      </x:c>
      <x:c r="M7" s="31" t="n">
        <x:f>IF(E7=0,"",I7-L7)</x:f>
        <x:v>194295.5936715207</x:v>
      </x:c>
      <x:c r="N7" s="32" t="n">
        <x:f>IF(L7=0,"",I7/L7)</x:f>
        <x:v>1.0835935113974904</x:v>
      </x:c>
      <x:c r="O7" s="34" t="n">
        <x:f>IF(L7=0,"",M7/L7)</x:f>
        <x:v>0.08359351139749027</x:v>
      </x:c>
    </x:row>
    <x:row r="8" ht="18" customHeight="1">
      <x:c r="A8" s="24" t="str">
        <x:v>Large pelagics (&gt;=90 cm)</x:v>
      </x:c>
      <x:c r="B8" s="33" t="n">
        <x:v>11</x:v>
      </x:c>
      <x:c r="C8" s="33" t="n">
        <x:v>11</x:v>
      </x:c>
      <x:c r="D8" s="31" t="n">
        <x:v>12474.901683691702</x:v>
      </x:c>
      <x:c r="E8" s="31" t="n">
        <x:v>12474.901683691702</x:v>
      </x:c>
      <x:c r="F8" s="32" t="n">
        <x:v>0</x:v>
      </x:c>
      <x:c r="G8" s="34" t="n">
        <x:v>1</x:v>
      </x:c>
      <x:c r="H8" s="32" t="n">
        <x:f>IF(E8=0,"",I8/E8)</x:f>
        <x:v>2128.244482852377</x:v>
      </x:c>
      <x:c r="I8" s="31" t="n">
        <x:f>IF(C8=0,"",SUMIF('Species'!$G$2:$G$186,A8,'Species'!$U$2:$U$186))</x:f>
        <x:v>26549640.682442695</x:v>
      </x:c>
      <x:c r="J8" s="32" t="n">
        <x:v>4.315192434048956</x:v>
      </x:c>
      <x:c r="K8" s="32" t="n">
        <x:f>IF(J8="","",(1/'Metadata'!$B$5)^(J8-1))</x:f>
        <x:v>2066.295519808177</x:v>
      </x:c>
      <x:c r="L8" s="31" t="n">
        <x:f>IF(E8=0,"",E8*K8)</x:f>
        <x:v>25776833.459059644</x:v>
      </x:c>
      <x:c r="M8" s="31" t="n">
        <x:f>IF(E8=0,"",I8-L8)</x:f>
        <x:v>772807.2233830504</x:v>
      </x:c>
      <x:c r="N8" s="32" t="n">
        <x:f>IF(L8=0,"",I8/L8)</x:f>
        <x:v>1.0299806888464587</x:v>
      </x:c>
      <x:c r="O8" s="34" t="n">
        <x:f>IF(L8=0,"",M8/L8)</x:f>
        <x:v>0.029980688846458603</x:v>
      </x:c>
    </x:row>
    <x:row r="9" ht="18" customHeight="1">
      <x:c r="A9" s="24" t="str">
        <x:v>Large rays (&gt;=90 cm)</x:v>
      </x:c>
      <x:c r="B9" s="33" t="n">
        <x:v>3</x:v>
      </x:c>
      <x:c r="C9" s="33" t="n">
        <x:v>3</x:v>
      </x:c>
      <x:c r="D9" s="31" t="n">
        <x:v>856.3694780873</x:v>
      </x:c>
      <x:c r="E9" s="31" t="n">
        <x:v>856.3694780873</x:v>
      </x:c>
      <x:c r="F9" s="32" t="n">
        <x:v>0</x:v>
      </x:c>
      <x:c r="G9" s="34" t="n">
        <x:v>1</x:v>
      </x:c>
      <x:c r="H9" s="32" t="n">
        <x:f>IF(E9=0,"",I9/E9)</x:f>
        <x:v>649.0421394040816</x:v>
      </x:c>
      <x:c r="I9" s="31" t="n">
        <x:f>IF(C9=0,"",SUMIF('Species'!$G$2:$G$186,A9,'Species'!$U$2:$U$186))</x:f>
        <x:v>555819.8781781379</x:v>
      </x:c>
      <x:c r="J9" s="32" t="n">
        <x:v>3.806264809781202</x:v>
      </x:c>
      <x:c r="K9" s="32" t="n">
        <x:f>IF(J9="","",(1/'Metadata'!$B$5)^(J9-1))</x:f>
        <x:v>640.1250308625093</x:v>
      </x:c>
      <x:c r="L9" s="31" t="n">
        <x:f>IF(E9=0,"",E9*K9)</x:f>
        <x:v>548183.5385903439</x:v>
      </x:c>
      <x:c r="M9" s="31" t="n">
        <x:f>IF(E9=0,"",I9-L9)</x:f>
        <x:v>7636.339587794035</x:v>
      </x:c>
      <x:c r="N9" s="32" t="n">
        <x:f>IF(L9=0,"",I9/L9)</x:f>
        <x:v>1.013930260670415</x:v>
      </x:c>
      <x:c r="O9" s="34" t="n">
        <x:f>IF(L9=0,"",M9/L9)</x:f>
        <x:v>0.01393026067041508</x:v>
      </x:c>
    </x:row>
    <x:row r="10" ht="18" customHeight="1">
      <x:c r="A10" s="24" t="str">
        <x:v>Large reef assoc. fish (&gt;=90 cm)</x:v>
      </x:c>
      <x:c r="B10" s="33" t="n">
        <x:v>4</x:v>
      </x:c>
      <x:c r="C10" s="33" t="n">
        <x:v>4</x:v>
      </x:c>
      <x:c r="D10" s="31" t="n">
        <x:v>903.1884187102999</x:v>
      </x:c>
      <x:c r="E10" s="31" t="n">
        <x:v>903.1884187102999</x:v>
      </x:c>
      <x:c r="F10" s="32" t="n">
        <x:v>0</x:v>
      </x:c>
      <x:c r="G10" s="34" t="n">
        <x:v>1</x:v>
      </x:c>
      <x:c r="H10" s="32" t="n">
        <x:f>IF(E10=0,"",I10/E10)</x:f>
        <x:v>616.9572094482755</x:v>
      </x:c>
      <x:c r="I10" s="31" t="n">
        <x:f>IF(C10=0,"",SUMIF('Species'!$G$2:$G$186,A10,'Species'!$U$2:$U$186))</x:f>
        <x:v>557228.6064135073</x:v>
      </x:c>
      <x:c r="J10" s="32" t="n">
        <x:v>3.7902094210513178</x:v>
      </x:c>
      <x:c r="K10" s="32" t="n">
        <x:f>IF(J10="","",(1/'Metadata'!$B$5)^(J10-1))</x:f>
        <x:v>616.8924017072102</x:v>
      </x:c>
      <x:c r="L10" s="31" t="n">
        <x:f>IF(E10=0,"",E10*K10)</x:f>
        <x:v>557170.0728123343</x:v>
      </x:c>
      <x:c r="M10" s="31" t="n">
        <x:f>IF(E10=0,"",I10-L10)</x:f>
        <x:v>58.53360117296688</x:v>
      </x:c>
      <x:c r="N10" s="32" t="n">
        <x:f>IF(L10=0,"",I10/L10)</x:f>
        <x:v>1.0001050551779953</x:v>
      </x:c>
      <x:c r="O10" s="34" t="n">
        <x:f>IF(L10=0,"",M10/L10)</x:f>
        <x:v>0.00010505517799532305</x:v>
      </x:c>
    </x:row>
    <x:row r="11" ht="18" customHeight="1">
      <x:c r="A11" s="24" t="str">
        <x:v>Large sharks (&gt;=90 cm)</x:v>
      </x:c>
      <x:c r="B11" s="33" t="n">
        <x:v>15</x:v>
      </x:c>
      <x:c r="C11" s="33" t="n">
        <x:v>15</x:v>
      </x:c>
      <x:c r="D11" s="31" t="n">
        <x:v>477.43024415680014</x:v>
      </x:c>
      <x:c r="E11" s="31" t="n">
        <x:v>477.43024415680014</x:v>
      </x:c>
      <x:c r="F11" s="32" t="n">
        <x:v>0</x:v>
      </x:c>
      <x:c r="G11" s="34" t="n">
        <x:v>1</x:v>
      </x:c>
      <x:c r="H11" s="32" t="n">
        <x:f>IF(E11=0,"",I11/E11)</x:f>
        <x:v>1429.5505308831655</x:v>
      </x:c>
      <x:c r="I11" s="31" t="n">
        <x:f>IF(C11=0,"",SUMIF('Species'!$G$2:$G$186,A11,'Species'!$U$2:$U$186))</x:f>
        <x:v>682510.658994033</x:v>
      </x:c>
      <x:c r="J11" s="32" t="n">
        <x:v>4.032359962978691</x:v>
      </x:c>
      <x:c r="K11" s="32" t="n">
        <x:f>IF(J11="","",(1/'Metadata'!$B$5)^(J11-1))</x:f>
        <x:v>1077.3578067180492</x:v>
      </x:c>
      <x:c r="L11" s="31" t="n">
        <x:f>IF(E11=0,"",E11*K11)</x:f>
        <x:v>514363.2007056329</x:v>
      </x:c>
      <x:c r="M11" s="31" t="n">
        <x:f>IF(E11=0,"",I11-L11)</x:f>
        <x:v>168147.45828840008</x:v>
      </x:c>
      <x:c r="N11" s="32" t="n">
        <x:f>IF(L11=0,"",I11/L11)</x:f>
        <x:v>1.326904137111142</x:v>
      </x:c>
      <x:c r="O11" s="34" t="n">
        <x:f>IF(L11=0,"",M11/L11)</x:f>
        <x:v>0.326904137111142</x:v>
      </x:c>
    </x:row>
    <x:row r="12" ht="18" customHeight="1">
      <x:c r="A12" s="24" t="str">
        <x:v>Lobsters, crabs</x:v>
      </x:c>
      <x:c r="B12" s="33" t="n">
        <x:v>6</x:v>
      </x:c>
      <x:c r="C12" s="33" t="n">
        <x:v>6</x:v>
      </x:c>
      <x:c r="D12" s="31" t="n">
        <x:v>28311.066497628603</x:v>
      </x:c>
      <x:c r="E12" s="31" t="n">
        <x:v>28311.066497628603</x:v>
      </x:c>
      <x:c r="F12" s="32" t="n">
        <x:v>0</x:v>
      </x:c>
      <x:c r="G12" s="34" t="n">
        <x:v>1</x:v>
      </x:c>
      <x:c r="H12" s="32" t="n">
        <x:f>IF(E12=0,"",I12/E12)</x:f>
        <x:v>962.4909309565166</x:v>
      </x:c>
      <x:c r="I12" s="31" t="n">
        <x:f>IF(C12=0,"",SUMIF('Species'!$G$2:$G$186,A12,'Species'!$U$2:$U$186))</x:f>
        <x:v>27249144.749674402</x:v>
      </x:c>
      <x:c r="J12" s="32" t="n">
        <x:v>3.967998690079773</x:v>
      </x:c>
      <x:c r="K12" s="32" t="n">
        <x:f>IF(J12="","",(1/'Metadata'!$B$5)^(J12-1))</x:f>
        <x:v>928.9635848331566</x:v>
      </x:c>
      <x:c r="L12" s="31" t="n">
        <x:f>IF(E12=0,"",E12*K12)</x:f>
        <x:v>26299949.824086946</x:v>
      </x:c>
      <x:c r="M12" s="31" t="n">
        <x:f>IF(E12=0,"",I12-L12)</x:f>
        <x:v>949194.9255874567</x:v>
      </x:c>
      <x:c r="N12" s="32" t="n">
        <x:f>IF(L12=0,"",I12/L12)</x:f>
        <x:v>1.036091130665129</x:v>
      </x:c>
      <x:c r="O12" s="34" t="n">
        <x:f>IF(L12=0,"",M12/L12)</x:f>
        <x:v>0.03609113066512894</x:v>
      </x:c>
    </x:row>
    <x:row r="13" ht="18" customHeight="1">
      <x:c r="A13" s="24" t="str">
        <x:v>Medium bathydemersals (30 - 89 cm)</x:v>
      </x:c>
      <x:c r="B13" s="33" t="n">
        <x:v>7</x:v>
      </x:c>
      <x:c r="C13" s="33" t="n">
        <x:v>7</x:v>
      </x:c>
      <x:c r="D13" s="31" t="n">
        <x:v>1115.9899059637003</x:v>
      </x:c>
      <x:c r="E13" s="31" t="n">
        <x:v>1115.9899059637003</x:v>
      </x:c>
      <x:c r="F13" s="32" t="n">
        <x:v>0</x:v>
      </x:c>
      <x:c r="G13" s="34" t="n">
        <x:v>1</x:v>
      </x:c>
      <x:c r="H13" s="32" t="n">
        <x:f>IF(E13=0,"",I13/E13)</x:f>
        <x:v>392.8928071791147</x:v>
      </x:c>
      <x:c r="I13" s="31" t="n">
        <x:f>IF(C13=0,"",SUMIF('Species'!$G$2:$G$186,A13,'Species'!$U$2:$U$186))</x:f>
        <x:v>438464.40693763446</x:v>
      </x:c>
      <x:c r="J13" s="32" t="n">
        <x:v>3.5732743912737988</x:v>
      </x:c>
      <x:c r="K13" s="32" t="n">
        <x:f>IF(J13="","",(1/'Metadata'!$B$5)^(J13-1))</x:f>
        <x:v>374.3470294897616</x:v>
      </x:c>
      <x:c r="L13" s="31" t="n">
        <x:f>IF(E13=0,"",E13*K13)</x:f>
        <x:v>417767.5062380696</x:v>
      </x:c>
      <x:c r="M13" s="31" t="n">
        <x:f>IF(E13=0,"",I13-L13)</x:f>
        <x:v>20696.900699564838</x:v>
      </x:c>
      <x:c r="N13" s="32" t="n">
        <x:f>IF(L13=0,"",I13/L13)</x:f>
        <x:v>1.049541671840247</x:v>
      </x:c>
      <x:c r="O13" s="34" t="n">
        <x:f>IF(L13=0,"",M13/L13)</x:f>
        <x:v>0.049541671840247124</x:v>
      </x:c>
    </x:row>
    <x:row r="14" ht="18" customHeight="1">
      <x:c r="A14" s="24" t="str">
        <x:v>Medium benthopelagics (30 - 89 cm)</x:v>
      </x:c>
      <x:c r="B14" s="33" t="n">
        <x:v>3</x:v>
      </x:c>
      <x:c r="C14" s="33" t="n">
        <x:v>3</x:v>
      </x:c>
      <x:c r="D14" s="31" t="n">
        <x:v>326006.8263254997</x:v>
      </x:c>
      <x:c r="E14" s="31" t="n">
        <x:v>326006.8263254997</x:v>
      </x:c>
      <x:c r="F14" s="32" t="n">
        <x:v>0</x:v>
      </x:c>
      <x:c r="G14" s="34" t="n">
        <x:v>1</x:v>
      </x:c>
      <x:c r="H14" s="32" t="n">
        <x:f>IF(E14=0,"",I14/E14)</x:f>
        <x:v>2238.4714142600274</x:v>
      </x:c>
      <x:c r="I14" s="31" t="n">
        <x:f>IF(C14=0,"",SUMIF('Species'!$G$2:$G$186,A14,'Species'!$U$2:$U$186))</x:f>
        <x:v>729756961.5832645</x:v>
      </x:c>
      <x:c r="J14" s="32" t="n">
        <x:v>4.349889425319635</x:v>
      </x:c>
      <x:c r="K14" s="32" t="n">
        <x:f>IF(J14="","",(1/'Metadata'!$B$5)^(J14-1))</x:f>
        <x:v>2238.1512156847193</x:v>
      </x:c>
      <x:c r="L14" s="31" t="n">
        <x:f>IF(E14=0,"",E14*K14)</x:f>
        <x:v>729652574.6619343</x:v>
      </x:c>
      <x:c r="M14" s="31" t="n">
        <x:f>IF(E14=0,"",I14-L14)</x:f>
        <x:v>104386.92133021355</x:v>
      </x:c>
      <x:c r="N14" s="32" t="n">
        <x:f>IF(L14=0,"",I14/L14)</x:f>
        <x:v>1.000143063870334</x:v>
      </x:c>
      <x:c r="O14" s="34" t="n">
        <x:f>IF(L14=0,"",M14/L14)</x:f>
        <x:v>0.00014306387033387574</x:v>
      </x:c>
    </x:row>
    <x:row r="15" ht="18" customHeight="1">
      <x:c r="A15" s="24" t="str">
        <x:v>Medium demersals (30 - 89 cm)</x:v>
      </x:c>
      <x:c r="B15" s="33" t="n">
        <x:v>42</x:v>
      </x:c>
      <x:c r="C15" s="33" t="n">
        <x:v>42</x:v>
      </x:c>
      <x:c r="D15" s="31" t="n">
        <x:v>9993.082676504102</x:v>
      </x:c>
      <x:c r="E15" s="31" t="n">
        <x:v>9993.082676504102</x:v>
      </x:c>
      <x:c r="F15" s="32" t="n">
        <x:v>0</x:v>
      </x:c>
      <x:c r="G15" s="34" t="n">
        <x:v>1</x:v>
      </x:c>
      <x:c r="H15" s="32" t="n">
        <x:f>IF(E15=0,"",I15/E15)</x:f>
        <x:v>479.1895413397476</x:v>
      </x:c>
      <x:c r="I15" s="31" t="n">
        <x:f>IF(C15=0,"",SUMIF('Species'!$G$2:$G$186,A15,'Species'!$U$2:$U$186))</x:f>
        <x:v>4788580.704324178</x:v>
      </x:c>
      <x:c r="J15" s="32" t="n">
        <x:v>3.4538549461811736</x:v>
      </x:c>
      <x:c r="K15" s="32" t="n">
        <x:f>IF(J15="","",(1/'Metadata'!$B$5)^(J15-1))</x:f>
        <x:v>284.35112196020793</x:v>
      </x:c>
      <x:c r="L15" s="31" t="n">
        <x:f>IF(E15=0,"",E15*K15)</x:f>
        <x:v>2841544.270905059</x:v>
      </x:c>
      <x:c r="M15" s="31" t="n">
        <x:f>IF(E15=0,"",I15-L15)</x:f>
        <x:v>1947036.4334191196</x:v>
      </x:c>
      <x:c r="N15" s="32" t="n">
        <x:f>IF(L15=0,"",I15/L15)</x:f>
        <x:v>1.685203624435867</x:v>
      </x:c>
      <x:c r="O15" s="34" t="n">
        <x:f>IF(L15=0,"",M15/L15)</x:f>
        <x:v>0.685203624435867</x:v>
      </x:c>
    </x:row>
    <x:row r="16" ht="18" customHeight="1">
      <x:c r="A16" s="24" t="str">
        <x:v>Medium pelagics (30 - 89 cm)</x:v>
      </x:c>
      <x:c r="B16" s="33" t="n">
        <x:v>12</x:v>
      </x:c>
      <x:c r="C16" s="33" t="n">
        <x:v>12</x:v>
      </x:c>
      <x:c r="D16" s="31" t="n">
        <x:v>17218.600557725003</x:v>
      </x:c>
      <x:c r="E16" s="31" t="n">
        <x:v>17218.600557725003</x:v>
      </x:c>
      <x:c r="F16" s="32" t="n">
        <x:v>0</x:v>
      </x:c>
      <x:c r="G16" s="34" t="n">
        <x:v>1</x:v>
      </x:c>
      <x:c r="H16" s="32" t="n">
        <x:f>IF(E16=0,"",I16/E16)</x:f>
        <x:v>375.4118029302765</x:v>
      </x:c>
      <x:c r="I16" s="31" t="n">
        <x:f>IF(C16=0,"",SUMIF('Species'!$G$2:$G$186,A16,'Species'!$U$2:$U$186))</x:f>
        <x:v>6464065.879311808</x:v>
      </x:c>
      <x:c r="J16" s="32" t="n">
        <x:v>3.507820479995396</x:v>
      </x:c>
      <x:c r="K16" s="32" t="n">
        <x:f>IF(J16="","",(1/'Metadata'!$B$5)^(J16-1))</x:f>
        <x:v>321.9737605157823</x:v>
      </x:c>
      <x:c r="L16" s="31" t="n">
        <x:f>IF(E16=0,"",E16*K16)</x:f>
        <x:v>5543937.572389866</x:v>
      </x:c>
      <x:c r="M16" s="31" t="n">
        <x:f>IF(E16=0,"",I16-L16)</x:f>
        <x:v>920128.3069219422</x:v>
      </x:c>
      <x:c r="N16" s="32" t="n">
        <x:f>IF(L16=0,"",I16/L16)</x:f>
        <x:v>1.1659701782185286</x:v>
      </x:c>
      <x:c r="O16" s="34" t="n">
        <x:f>IF(L16=0,"",M16/L16)</x:f>
        <x:v>0.16597017821852847</x:v>
      </x:c>
    </x:row>
    <x:row r="17" ht="18" customHeight="1">
      <x:c r="A17" s="24" t="str">
        <x:v>Medium reef assoc. fish (30 - 89 cm)</x:v>
      </x:c>
      <x:c r="B17" s="33" t="n">
        <x:v>7</x:v>
      </x:c>
      <x:c r="C17" s="33" t="n">
        <x:v>7</x:v>
      </x:c>
      <x:c r="D17" s="31" t="n">
        <x:v>4887.132431833101</x:v>
      </x:c>
      <x:c r="E17" s="31" t="n">
        <x:v>4887.132431833101</x:v>
      </x:c>
      <x:c r="F17" s="32" t="n">
        <x:v>0</x:v>
      </x:c>
      <x:c r="G17" s="34" t="n">
        <x:v>1</x:v>
      </x:c>
      <x:c r="H17" s="32" t="n">
        <x:f>IF(E17=0,"",I17/E17)</x:f>
        <x:v>1281.9776829576886</x:v>
      </x:c>
      <x:c r="I17" s="31" t="n">
        <x:f>IF(C17=0,"",SUMIF('Species'!$G$2:$G$186,A17,'Species'!$U$2:$U$186))</x:f>
        <x:v>6265194.711268772</x:v>
      </x:c>
      <x:c r="J17" s="32" t="n">
        <x:v>4.0631138999255745</x:v>
      </x:c>
      <x:c r="K17" s="32" t="n">
        <x:f>IF(J17="","",(1/'Metadata'!$B$5)^(J17-1))</x:f>
        <x:v>1156.4154888898177</x:v>
      </x:c>
      <x:c r="L17" s="31" t="n">
        <x:f>IF(E17=0,"",E17*K17)</x:f>
        <x:v>5651555.640427559</x:v>
      </x:c>
      <x:c r="M17" s="31" t="n">
        <x:f>IF(E17=0,"",I17-L17)</x:f>
        <x:v>613639.0708412137</x:v>
      </x:c>
      <x:c r="N17" s="32" t="n">
        <x:f>IF(L17=0,"",I17/L17)</x:f>
        <x:v>1.1085787896082342</x:v>
      </x:c>
      <x:c r="O17" s="34" t="n">
        <x:f>IF(L17=0,"",M17/L17)</x:f>
        <x:v>0.10857878960823429</x:v>
      </x:c>
    </x:row>
    <x:row r="18" ht="18" customHeight="1">
      <x:c r="A18" s="24" t="str">
        <x:v>Other demersal invertebrates</x:v>
      </x:c>
      <x:c r="B18" s="33" t="n">
        <x:v>14</x:v>
      </x:c>
      <x:c r="C18" s="33" t="n">
        <x:v>14</x:v>
      </x:c>
      <x:c r="D18" s="31" t="n">
        <x:v>3815.3424829240003</x:v>
      </x:c>
      <x:c r="E18" s="31" t="n">
        <x:v>3815.3424829240003</x:v>
      </x:c>
      <x:c r="F18" s="32" t="n">
        <x:v>0</x:v>
      </x:c>
      <x:c r="G18" s="34" t="n">
        <x:v>1</x:v>
      </x:c>
      <x:c r="H18" s="32" t="n">
        <x:f>IF(E18=0,"",I18/E18)</x:f>
        <x:v>10.48763423420319</x:v>
      </x:c>
      <x:c r="I18" s="31" t="n">
        <x:f>IF(C18=0,"",SUMIF('Species'!$G$2:$G$186,A18,'Species'!$U$2:$U$186))</x:f>
        <x:v>40013.916439123546</x:v>
      </x:c>
      <x:c r="J18" s="32" t="n">
        <x:v>2.0190930714597415</x:v>
      </x:c>
      <x:c r="K18" s="32" t="n">
        <x:f>IF(J18="","",(1/'Metadata'!$B$5)^(J18-1))</x:f>
        <x:v>10.449441319331317</x:v>
      </x:c>
      <x:c r="L18" s="31" t="n">
        <x:f>IF(E18=0,"",E18*K18)</x:f>
        <x:v>39868.197388466186</x:v>
      </x:c>
      <x:c r="M18" s="31" t="n">
        <x:f>IF(E18=0,"",I18-L18)</x:f>
        <x:v>145.71905065736064</x:v>
      </x:c>
      <x:c r="N18" s="32" t="n">
        <x:f>IF(L18=0,"",I18/L18)</x:f>
        <x:v>1.0036550197952896</x:v>
      </x:c>
      <x:c r="O18" s="34" t="n">
        <x:f>IF(L18=0,"",M18/L18)</x:f>
        <x:v>0.0036550197952896902</x:v>
      </x:c>
    </x:row>
    <x:row r="19" ht="18" customHeight="1">
      <x:c r="A19" s="24" t="str">
        <x:v>Shrimps</x:v>
      </x:c>
      <x:c r="B19" s="33" t="n">
        <x:v>6</x:v>
      </x:c>
      <x:c r="C19" s="33" t="n">
        <x:v>6</x:v>
      </x:c>
      <x:c r="D19" s="31" t="n">
        <x:v>18489.737267994195</x:v>
      </x:c>
      <x:c r="E19" s="31" t="n">
        <x:v>18489.737267994195</x:v>
      </x:c>
      <x:c r="F19" s="32" t="n">
        <x:v>0</x:v>
      </x:c>
      <x:c r="G19" s="34" t="n">
        <x:v>1</x:v>
      </x:c>
      <x:c r="H19" s="32" t="n">
        <x:f>IF(E19=0,"",I19/E19)</x:f>
        <x:v>165.58937167148443</x:v>
      </x:c>
      <x:c r="I19" s="31" t="n">
        <x:f>IF(C19=0,"",SUMIF('Species'!$G$2:$G$186,A19,'Species'!$U$2:$U$186))</x:f>
        <x:v>3061703.976577988</x:v>
      </x:c>
      <x:c r="J19" s="32" t="n">
        <x:v>3.2098904303857343</x:v>
      </x:c>
      <x:c r="K19" s="32" t="n">
        <x:f>IF(J19="","",(1/'Metadata'!$B$5)^(J19-1))</x:f>
        <x:v>162.1400977050789</x:v>
      </x:c>
      <x:c r="L19" s="31" t="n">
        <x:f>IF(E19=0,"",E19*K19)</x:f>
        <x:v>2997927.807173817</x:v>
      </x:c>
      <x:c r="M19" s="31" t="n">
        <x:f>IF(E19=0,"",I19-L19)</x:f>
        <x:v>63776.16940417094</x:v>
      </x:c>
      <x:c r="N19" s="32" t="n">
        <x:f>IF(L19=0,"",I19/L19)</x:f>
        <x:v>1.0212734173423255</x:v>
      </x:c>
      <x:c r="O19" s="34" t="n">
        <x:f>IF(L19=0,"",M19/L19)</x:f>
        <x:v>0.02127341734232537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0.0081370191</x:v>
      </x:c>
      <x:c r="E20" s="31" t="n">
        <x:v>0.0081370191</x:v>
      </x:c>
      <x:c r="F20" s="32" t="n">
        <x:v>0</x:v>
      </x:c>
      <x:c r="G20" s="34" t="n">
        <x:v>1</x:v>
      </x:c>
      <x:c r="H20" s="32" t="n">
        <x:f>IF(E20=0,"",I20/E20)</x:f>
        <x:v>416.8693834703355</x:v>
      </x:c>
      <x:c r="I20" s="31" t="n">
        <x:f>IF(C20=0,"",SUMIF('Species'!$G$2:$G$186,A20,'Species'!$U$2:$U$186))</x:f>
        <x:v>3.392074135503344</x:v>
      </x:c>
      <x:c r="J20" s="32" t="n">
        <x:v>3.62</x:v>
      </x:c>
      <x:c r="K20" s="32" t="n">
        <x:f>IF(J20="","",(1/'Metadata'!$B$5)^(J20-1))</x:f>
        <x:v>416.8693834703355</x:v>
      </x:c>
      <x:c r="L20" s="31" t="n">
        <x:f>IF(E20=0,"",E20*K20)</x:f>
        <x:v>3.392074135503344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2</x:v>
      </x:c>
      <x:c r="C21" s="33" t="n">
        <x:v>2</x:v>
      </x:c>
      <x:c r="D21" s="31" t="n">
        <x:v>7.2155084399</x:v>
      </x:c>
      <x:c r="E21" s="31" t="n">
        <x:v>7.2155084399</x:v>
      </x:c>
      <x:c r="F21" s="32" t="n">
        <x:v>0</x:v>
      </x:c>
      <x:c r="G21" s="34" t="n">
        <x:v>1</x:v>
      </x:c>
      <x:c r="H21" s="32" t="n">
        <x:f>IF(E21=0,"",I21/E21)</x:f>
        <x:v>212.84815126022977</x:v>
      </x:c>
      <x:c r="I21" s="31" t="n">
        <x:f>IF(C21=0,"",SUMIF('Species'!$G$2:$G$186,A21,'Species'!$U$2:$U$186))</x:f>
        <x:v>1535.8076318352996</x:v>
      </x:c>
      <x:c r="J21" s="32" t="n">
        <x:v>3.3270399442632628</x:v>
      </x:c>
      <x:c r="K21" s="32" t="n">
        <x:f>IF(J21="","",(1/'Metadata'!$B$5)^(J21-1))</x:f>
        <x:v>212.34397565288947</x:v>
      </x:c>
      <x:c r="L21" s="31" t="n">
        <x:f>IF(E21=0,"",E21*K21)</x:f>
        <x:v>1532.1697484853441</x:v>
      </x:c>
      <x:c r="M21" s="31" t="n">
        <x:f>IF(E21=0,"",I21-L21)</x:f>
        <x:v>3.637883349955473</x:v>
      </x:c>
      <x:c r="N21" s="32" t="n">
        <x:f>IF(L21=0,"",I21/L21)</x:f>
        <x:v>1.0023743344061922</x:v>
      </x:c>
      <x:c r="O21" s="34" t="n">
        <x:f>IF(L21=0,"",M21/L21)</x:f>
        <x:v>0.0023743344061921156</x:v>
      </x:c>
    </x:row>
    <x:row r="22" ht="18" customHeight="1">
      <x:c r="A22" s="24" t="str">
        <x:v>Small pelagics (&lt;30 cm)</x:v>
      </x:c>
      <x:c r="B22" s="33" t="n">
        <x:v>6</x:v>
      </x:c>
      <x:c r="C22" s="33" t="n">
        <x:v>6</x:v>
      </x:c>
      <x:c r="D22" s="31" t="n">
        <x:v>10357.7812424365</x:v>
      </x:c>
      <x:c r="E22" s="31" t="n">
        <x:v>10357.7812424365</x:v>
      </x:c>
      <x:c r="F22" s="32" t="n">
        <x:v>0</x:v>
      </x:c>
      <x:c r="G22" s="34" t="n">
        <x:v>1</x:v>
      </x:c>
      <x:c r="H22" s="32" t="n">
        <x:f>IF(E22=0,"",I22/E22)</x:f>
        <x:v>96.90015359682894</x:v>
      </x:c>
      <x:c r="I22" s="31" t="n">
        <x:f>IF(C22=0,"",SUMIF('Species'!$G$2:$G$186,A22,'Species'!$U$2:$U$186))</x:f>
        <x:v>1003670.5933144506</x:v>
      </x:c>
      <x:c r="J22" s="32" t="n">
        <x:v>2.9790151265540503</x:v>
      </x:c>
      <x:c r="K22" s="32" t="n">
        <x:f>IF(J22="","",(1/'Metadata'!$B$5)^(J22-1))</x:f>
        <x:v>95.28293506614585</x:v>
      </x:c>
      <x:c r="L22" s="31" t="n">
        <x:f>IF(E22=0,"",E22*K22)</x:f>
        <x:v>986919.7975524205</x:v>
      </x:c>
      <x:c r="M22" s="31" t="n">
        <x:f>IF(E22=0,"",I22-L22)</x:f>
        <x:v>16750.79576203006</x:v>
      </x:c>
      <x:c r="N22" s="32" t="n">
        <x:f>IF(L22=0,"",I22/L22)</x:f>
        <x:v>1.0169728034674879</x:v>
      </x:c>
      <x:c r="O22" s="34" t="n">
        <x:f>IF(L22=0,"",M22/L22)</x:f>
        <x:v>0.01697280346748778</x:v>
      </x:c>
    </x:row>
    <x:row r="23" ht="18" customHeight="1">
      <x:c r="A23" s="24" t="str">
        <x:v>Small to medium flatfishes (&lt;90 cm)</x:v>
      </x:c>
      <x:c r="B23" s="33" t="n">
        <x:v>16</x:v>
      </x:c>
      <x:c r="C23" s="33" t="n">
        <x:v>16</x:v>
      </x:c>
      <x:c r="D23" s="31" t="n">
        <x:v>10271.285182974898</x:v>
      </x:c>
      <x:c r="E23" s="31" t="n">
        <x:v>10271.285182974898</x:v>
      </x:c>
      <x:c r="F23" s="32" t="n">
        <x:v>0</x:v>
      </x:c>
      <x:c r="G23" s="34" t="n">
        <x:v>1</x:v>
      </x:c>
      <x:c r="H23" s="32" t="n">
        <x:f>IF(E23=0,"",I23/E23)</x:f>
        <x:v>524.4996297494372</x:v>
      </x:c>
      <x:c r="I23" s="31" t="n">
        <x:f>IF(C23=0,"",SUMIF('Species'!$G$2:$G$186,A23,'Species'!$U$2:$U$186))</x:f>
        <x:v>5387285.275521214</x:v>
      </x:c>
      <x:c r="J23" s="32" t="n">
        <x:v>3.5251950288103533</x:v>
      </x:c>
      <x:c r="K23" s="32" t="n">
        <x:f>IF(J23="","",(1/'Metadata'!$B$5)^(J23-1))</x:f>
        <x:v>335.11589601243617</x:v>
      </x:c>
      <x:c r="L23" s="31" t="n">
        <x:f>IF(E23=0,"",E23*K23)</x:f>
        <x:v>3442070.9372918922</x:v>
      </x:c>
      <x:c r="M23" s="31" t="n">
        <x:f>IF(E23=0,"",I23-L23)</x:f>
        <x:v>1945214.3382293219</x:v>
      </x:c>
      <x:c r="N23" s="32" t="n">
        <x:f>IF(L23=0,"",I23/L23)</x:f>
        <x:v>1.5651290672584894</x:v>
      </x:c>
      <x:c r="O23" s="34" t="n">
        <x:f>IF(L23=0,"",M23/L23)</x:f>
        <x:v>0.5651290672584895</x:v>
      </x:c>
    </x:row>
    <x:row r="24" ht="18" customHeight="1">
      <x:c r="A24" s="24" t="str">
        <x:v>Small to medium rays (&lt;90 cm)</x:v>
      </x:c>
      <x:c r="B24" s="33" t="n">
        <x:v>4</x:v>
      </x:c>
      <x:c r="C24" s="33" t="n">
        <x:v>4</x:v>
      </x:c>
      <x:c r="D24" s="31" t="n">
        <x:v>302.6095037420001</x:v>
      </x:c>
      <x:c r="E24" s="31" t="n">
        <x:v>302.6095037420001</x:v>
      </x:c>
      <x:c r="F24" s="32" t="n">
        <x:v>0</x:v>
      </x:c>
      <x:c r="G24" s="34" t="n">
        <x:v>1</x:v>
      </x:c>
      <x:c r="H24" s="32" t="n">
        <x:f>IF(E24=0,"",I24/E24)</x:f>
        <x:v>588.2564692342459</x:v>
      </x:c>
      <x:c r="I24" s="31" t="n">
        <x:f>IF(C24=0,"",SUMIF('Species'!$G$2:$G$186,A24,'Species'!$U$2:$U$186))</x:f>
        <x:v>178011.99822799626</x:v>
      </x:c>
      <x:c r="J24" s="32" t="n">
        <x:v>3.7642118881699154</x:v>
      </x:c>
      <x:c r="K24" s="32" t="n">
        <x:f>IF(J24="","",(1/'Metadata'!$B$5)^(J24-1))</x:f>
        <x:v>581.047836120424</x:v>
      </x:c>
      <x:c r="L24" s="31" t="n">
        <x:f>IF(E24=0,"",E24*K24)</x:f>
        <x:v>175830.5973387645</x:v>
      </x:c>
      <x:c r="M24" s="31" t="n">
        <x:f>IF(E24=0,"",I24-L24)</x:f>
        <x:v>2181.400889231765</x:v>
      </x:c>
      <x:c r="N24" s="32" t="n">
        <x:f>IF(L24=0,"",I24/L24)</x:f>
        <x:v>1.0124062644513967</x:v>
      </x:c>
      <x:c r="O24" s="34" t="n">
        <x:f>IF(L24=0,"",M24/L24)</x:f>
        <x:v>0.012406264451396722</x:v>
      </x:c>
    </x:row>
    <x:row r="25" ht="18" customHeight="1">
      <x:c r="A25" s="24" t="str">
        <x:v>Small to medium sharks (&lt;90 cm)</x:v>
      </x:c>
      <x:c r="B25" s="33" t="n">
        <x:v>1</x:v>
      </x:c>
      <x:c r="C25" s="33" t="n">
        <x:v>1</x:v>
      </x:c>
      <x:c r="D25" s="31" t="n">
        <x:v>1.3997877186</x:v>
      </x:c>
      <x:c r="E25" s="31" t="n">
        <x:v>1.3997877186</x:v>
      </x:c>
      <x:c r="F25" s="32" t="n">
        <x:v>0</x:v>
      </x:c>
      <x:c r="G25" s="34" t="n">
        <x:v>1</x:v>
      </x:c>
      <x:c r="H25" s="32" t="n">
        <x:f>IF(E25=0,"",I25/E25)</x:f>
        <x:v>380.1893963205613</x:v>
      </x:c>
      <x:c r="I25" s="31" t="n">
        <x:f>IF(C25=0,"",SUMIF('Species'!$G$2:$G$186,A25,'Species'!$U$2:$U$186))</x:f>
        <x:v>532.1844477114697</x:v>
      </x:c>
      <x:c r="J25" s="32" t="n">
        <x:v>3.5800000000000005</x:v>
      </x:c>
      <x:c r="K25" s="32" t="n">
        <x:f>IF(J25="","",(1/'Metadata'!$B$5)^(J25-1))</x:f>
        <x:v>380.1893963205616</x:v>
      </x:c>
      <x:c r="L25" s="31" t="n">
        <x:f>IF(E25=0,"",E25*K25)</x:f>
        <x:v>532.1844477114702</x:v>
      </x:c>
      <x:c r="M25" s="31" t="n">
        <x:f>IF(E25=0,"",I25-L25)</x:f>
        <x:v>-4.547473508864641e-13</x:v>
      </x:c>
      <x:c r="N25" s="32" t="n">
        <x:f>IF(L25=0,"",I25/L25)</x:f>
        <x:v>0.9999999999999991</x:v>
      </x:c>
      <x:c r="O25" s="34" t="n">
        <x:f>IF(L25=0,"",M25/L25)</x:f>
        <x:v>-8.544919958521798e-16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35be2221f9a40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EEZ_848</x:v>
      </x:c>
      <x:c r="B2" s="24" t="str">
        <x:v>raw_filtered_tonnes</x:v>
      </x:c>
      <x:c r="C2" s="24" t="n">
        <x:v>480242.05511345965</x:v>
      </x:c>
      <x:c r="D2" s="24" t="str">
        <x:v>tonnes</x:v>
      </x:c>
    </x:row>
    <x:row r="3" ht="18" customHeight="1">
      <x:c r="A3" s="24" t="str">
        <x:v>EEZ_848</x:v>
      </x:c>
      <x:c r="B3" s="24" t="str">
        <x:v>species_catch_tonnes</x:v>
      </x:c>
      <x:c r="C3" s="24" t="n">
        <x:v>480242.05511345976</x:v>
      </x:c>
      <x:c r="D3" s="24" t="str">
        <x:v>tonnes</x:v>
      </x:c>
    </x:row>
    <x:row r="4" ht="18" customHeight="1">
      <x:c r="A4" s="24" t="str">
        <x:v>EEZ_848</x:v>
      </x:c>
      <x:c r="B4" s="24" t="str">
        <x:v>catch_difference_tonnes</x:v>
      </x:c>
      <x:c r="C4" s="24" t="n">
        <x:v>1.1641532182693481e-10</x:v>
      </x:c>
      <x:c r="D4" s="24" t="str">
        <x:v>tonnes</x:v>
      </x:c>
    </x:row>
    <x:row r="5" ht="18" customHeight="1">
      <x:c r="A5" s="24" t="str">
        <x:v>EEZ_848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EEZ_848</x:v>
      </x:c>
      <x:c r="B6" s="24" t="str">
        <x:v>matched_catch_tonnes</x:v>
      </x:c>
      <x:c r="C6" s="24" t="n">
        <x:v>480242.05511345976</x:v>
      </x:c>
      <x:c r="D6" s="24" t="str">
        <x:v>tonnes</x:v>
      </x:c>
    </x:row>
    <x:row r="7" ht="18" customHeight="1">
      <x:c r="A7" s="24" t="str">
        <x:v>EEZ_848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EEZ_848</x:v>
      </x:c>
      <x:c r="B8" s="24" t="str">
        <x:v>taxa_count</x:v>
      </x:c>
      <x:c r="C8" s="24" t="n">
        <x:v>185</x:v>
      </x:c>
      <x:c r="D8" s="24" t="str">
        <x:v>count</x:v>
      </x:c>
    </x:row>
    <x:row r="9" ht="18" customHeight="1">
      <x:c r="A9" s="24" t="str">
        <x:v>EEZ_848</x:v>
      </x:c>
      <x:c r="B9" s="24" t="str">
        <x:v>matched_taxa_count</x:v>
      </x:c>
      <x:c r="C9" s="24" t="n">
        <x:v>185</x:v>
      </x:c>
      <x:c r="D9" s="24" t="str">
        <x:v>count</x:v>
      </x:c>
    </x:row>
    <x:row r="10" ht="18" customHeight="1">
      <x:c r="A10" s="24" t="str">
        <x:v>EEZ_848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EEZ_848</x:v>
      </x:c>
      <x:c r="B11" s="24" t="str">
        <x:v>species_ppr</x:v>
      </x:c>
      <x:c r="C11" s="24" t="n">
        <x:v>855756640.2092203</x:v>
      </x:c>
      <x:c r="D11" s="24" t="str">
        <x:v>tonnes_primary_production_equivalent</x:v>
      </x:c>
    </x:row>
    <x:row r="12" ht="18" customHeight="1">
      <x:c r="A12" s="24" t="str">
        <x:v>EEZ_848</x:v>
      </x:c>
      <x:c r="B12" s="24" t="str">
        <x:v>commercial_ppr</x:v>
      </x:c>
      <x:c r="C12" s="24" t="n">
        <x:v>855756640.2092198</x:v>
      </x:c>
      <x:c r="D12" s="24" t="str">
        <x:v>tonnes_primary_production_equivalent</x:v>
      </x:c>
    </x:row>
    <x:row r="13" ht="18" customHeight="1">
      <x:c r="A13" s="24" t="str">
        <x:v>EEZ_848</x:v>
      </x:c>
      <x:c r="B13" s="24" t="str">
        <x:v>functional_ppr</x:v>
      </x:c>
      <x:c r="C13" s="24" t="n">
        <x:v>855756640.2092198</x:v>
      </x:c>
      <x:c r="D13" s="24" t="str">
        <x:v>tonnes_primary_production_equivalent</x:v>
      </x:c>
    </x:row>
    <x:row r="14" ht="18" customHeight="1">
      <x:c r="A14" s="24" t="str">
        <x:v>EEZ_848</x:v>
      </x:c>
      <x:c r="B14" s="24" t="str">
        <x:v>commercial_ppr_difference</x:v>
      </x:c>
      <x:c r="C14" s="24" t="n">
        <x:v>-4.76837158203125e-7</x:v>
      </x:c>
      <x:c r="D14" s="24" t="str">
        <x:v>tonnes_primary_production_equivalent</x:v>
      </x:c>
    </x:row>
    <x:row r="15" ht="18" customHeight="1">
      <x:c r="A15" s="24" t="str">
        <x:v>EEZ_848</x:v>
      </x:c>
      <x:c r="B15" s="24" t="str">
        <x:v>functional_ppr_difference</x:v>
      </x:c>
      <x:c r="C15" s="24" t="n">
        <x:v>-4.76837158203125e-7</x:v>
      </x:c>
      <x:c r="D15" s="24" t="str">
        <x:v>tonnes_primary_production_equivalent</x:v>
      </x:c>
    </x:row>
    <x:row r="16" ht="18" customHeight="1">
      <x:c r="A16" s="24" t="str">
        <x:v>EEZ_848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EEZ_848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EEZ_848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EEZ_848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d16d4da9ca64d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EEZ_848 - USA (West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EEZ_848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