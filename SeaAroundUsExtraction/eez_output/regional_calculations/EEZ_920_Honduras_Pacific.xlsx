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4379ec12b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e95a307576e4f51"/>
    <x:sheet xmlns:r="http://schemas.openxmlformats.org/officeDocument/2006/relationships" name="Commercial" sheetId="2" r:id="R210674b81a4b4b63"/>
    <x:sheet xmlns:r="http://schemas.openxmlformats.org/officeDocument/2006/relationships" name="Functional" sheetId="3" r:id="Refed94216c684154"/>
    <x:sheet xmlns:r="http://schemas.openxmlformats.org/officeDocument/2006/relationships" name="Missing TL" sheetId="4" r:id="R26e11a8e822e4e87"/>
    <x:sheet xmlns:r="http://schemas.openxmlformats.org/officeDocument/2006/relationships" name="Validation" sheetId="5" r:id="Rddb50ac52bba4ba3"/>
    <x:sheet xmlns:r="http://schemas.openxmlformats.org/officeDocument/2006/relationships" name="Metadata" sheetId="6" r:id="Rdb8f60a5e70d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314b7b3174ec6" /><Relationship Type="http://schemas.openxmlformats.org/officeDocument/2006/relationships/theme" Target="/xl/theme/theme1.xml" Id="R61b84126520445ce" /><Relationship Type="http://schemas.microsoft.com/office/2022/11/relationships/FeaturePropertyBag" Target="/xl/featurePropertyBag/featurePropertyBag.xml" Id="R09a50b7ead2e4d90" /><Relationship Type="http://schemas.openxmlformats.org/officeDocument/2006/relationships/sharedStrings" Target="/xl/sharedStrings.xml" Id="R71fb5e8b857a4e9d" /><Relationship Type="http://schemas.openxmlformats.org/officeDocument/2006/relationships/worksheet" Target="/xl/worksheets/sheet1.xml" Id="R5e95a307576e4f51" /><Relationship Type="http://schemas.openxmlformats.org/officeDocument/2006/relationships/worksheet" Target="/xl/worksheets/sheet2.xml" Id="R210674b81a4b4b63" /><Relationship Type="http://schemas.openxmlformats.org/officeDocument/2006/relationships/worksheet" Target="/xl/worksheets/sheet3.xml" Id="Refed94216c684154" /><Relationship Type="http://schemas.openxmlformats.org/officeDocument/2006/relationships/worksheet" Target="/xl/worksheets/sheet4.xml" Id="R26e11a8e822e4e87" /><Relationship Type="http://schemas.openxmlformats.org/officeDocument/2006/relationships/worksheet" Target="/xl/worksheets/sheet5.xml" Id="Rddb50ac52bba4ba3" /><Relationship Type="http://schemas.openxmlformats.org/officeDocument/2006/relationships/worksheet" Target="/xl/worksheets/sheet6.xml" Id="Rdb8f60a5e70d4a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0SpeciesTable" displayName="EEZ920SpeciesTable" ref="A1:U26" headerRowCount="1" totalsRowCount="0" totalsRowShown="0">
  <x:autoFilter ref="A1:U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0CommercialTable" displayName="EEZ920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0FunctionalTable" displayName="EEZ920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0ValidationTable" displayName="EEZ92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1d3446f37e4e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a3fcbd6ec841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b28726d80045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57ad0d839448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EEZ_920</x:v>
      </x:c>
      <x:c r="B2" s="24" t="str">
        <x:v>Honduras (Pacific)</x:v>
      </x:c>
      <x:c r="C2" s="24" t="str">
        <x:v>EEZ</x:v>
      </x:c>
      <x:c r="D2" s="30" t="n">
        <x:v>2019</x:v>
      </x:c>
      <x:c r="E2" s="24" t="str">
        <x:v>Cynoscion</x:v>
      </x:c>
      <x:c r="F2" s="24" t="str">
        <x:v>Weakfishes</x:v>
      </x:c>
      <x:c r="G2" s="24" t="str">
        <x:v>Medium demersals (30 - 89 cm)</x:v>
      </x:c>
      <x:c r="H2" s="24" t="str">
        <x:v>Perch-likes</x:v>
      </x:c>
      <x:c r="I2" s="31" t="n">
        <x:v>1528.6756425468998</x:v>
      </x:c>
      <x:c r="J2" s="31" t="n">
        <x:v>1528.6756425468998</x:v>
      </x:c>
      <x:c r="K2" s="31" t="n">
        <x:v>0</x:v>
      </x:c>
      <x:c r="L2" s="31" t="n">
        <x:v>725</x:v>
      </x:c>
      <x:c r="M2" s="31" t="n">
        <x:v>803.6756425468999</x:v>
      </x:c>
      <x:c r="N2" s="24" t="str">
        <x:v>cynoscion</x:v>
      </x:c>
      <x:c r="O2" s="32" t="n">
        <x:v>4.21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Cynoscion</x:v>
      </x:c>
      <x:c r="T2" s="32" t="n">
        <x:f>IF(O2="","",(1/'Metadata'!$B$5)^(O2-1))</x:f>
        <x:v>1621.8100973589299</x:v>
      </x:c>
      <x:c r="U2" s="31" t="n">
        <x:f>IF(T2="","",I2*T2)</x:f>
        <x:v>2479221.5926692123</x:v>
      </x:c>
    </x:row>
    <x:row r="3" ht="18" customHeight="1">
      <x:c r="A3" s="24" t="str">
        <x:v>EEZ_920</x:v>
      </x:c>
      <x:c r="B3" s="24" t="str">
        <x:v>Honduras (Pacific)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1525.2120454827998</x:v>
      </x:c>
      <x:c r="J3" s="31" t="n">
        <x:v>1525.2116226776998</x:v>
      </x:c>
      <x:c r="K3" s="31" t="n">
        <x:v>0.0004228051</x:v>
      </x:c>
      <x:c r="L3" s="31" t="n">
        <x:v>662.4999999999999</x:v>
      </x:c>
      <x:c r="M3" s="31" t="n">
        <x:v>862.7120454828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290623.16392318474</x:v>
      </x:c>
    </x:row>
    <x:row r="4" ht="18" customHeight="1">
      <x:c r="A4" s="24" t="str">
        <x:v>EEZ_920</x:v>
      </x:c>
      <x:c r="B4" s="24" t="str">
        <x:v>Honduras (Pacific)</x:v>
      </x:c>
      <x:c r="C4" s="24" t="str">
        <x:v>EEZ</x:v>
      </x:c>
      <x:c r="D4" s="30" t="n">
        <x:v>2019</x:v>
      </x:c>
      <x:c r="E4" s="24" t="str">
        <x:v>Mugil curema</x:v>
      </x:c>
      <x:c r="F4" s="24" t="str">
        <x:v>White mullet</x:v>
      </x:c>
      <x:c r="G4" s="24" t="str">
        <x:v>Medium benthopelagics (30 - 89 cm)</x:v>
      </x:c>
      <x:c r="H4" s="24" t="str">
        <x:v>Perch-likes</x:v>
      </x:c>
      <x:c r="I4" s="31" t="n">
        <x:v>368.9906723389</x:v>
      </x:c>
      <x:c r="J4" s="31" t="n">
        <x:v>368.9906723389</x:v>
      </x:c>
      <x:c r="K4" s="31" t="n">
        <x:v>0</x:v>
      </x:c>
      <x:c r="L4" s="31" t="n">
        <x:v>175</x:v>
      </x:c>
      <x:c r="M4" s="31" t="n">
        <x:v>193.9906723389</x:v>
      </x:c>
      <x:c r="N4" s="24" t="str">
        <x:v>mugil curema</x:v>
      </x:c>
      <x:c r="O4" s="32" t="n">
        <x:v>2.01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Mugil curema</x:v>
      </x:c>
      <x:c r="T4" s="32" t="n">
        <x:f>IF(O4="","",(1/'Metadata'!$B$5)^(O4-1))</x:f>
        <x:v>10.232929922807536</x:v>
      </x:c>
      <x:c r="U4" s="31" t="n">
        <x:f>IF(T4="","",I4*T4)</x:f>
        <x:v>3775.855692213601</x:v>
      </x:c>
    </x:row>
    <x:row r="5" ht="18" customHeight="1">
      <x:c r="A5" s="24" t="str">
        <x:v>EEZ_920</x:v>
      </x:c>
      <x:c r="B5" s="24" t="str">
        <x:v>Honduras (Pacific)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316.2777191476</x:v>
      </x:c>
      <x:c r="J5" s="31" t="n">
        <x:v>316.2777191476</x:v>
      </x:c>
      <x:c r="K5" s="31" t="n">
        <x:v>0</x:v>
      </x:c>
      <x:c r="L5" s="31" t="n">
        <x:v>150</x:v>
      </x:c>
      <x:c r="M5" s="31" t="n">
        <x:v>166.2777191476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302042.876909728</x:v>
      </x:c>
    </x:row>
    <x:row r="6" ht="18" customHeight="1">
      <x:c r="A6" s="24" t="str">
        <x:v>EEZ_920</x:v>
      </x:c>
      <x:c r="B6" s="24" t="str">
        <x:v>Honduras (Pacific)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316.2777191476</x:v>
      </x:c>
      <x:c r="J6" s="31" t="n">
        <x:v>316.2777191476</x:v>
      </x:c>
      <x:c r="K6" s="31" t="n">
        <x:v>0</x:v>
      </x:c>
      <x:c r="L6" s="31" t="n">
        <x:v>150</x:v>
      </x:c>
      <x:c r="M6" s="31" t="n">
        <x:v>166.2777191476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331183.42883187626</x:v>
      </x:c>
    </x:row>
    <x:row r="7" ht="18" customHeight="1">
      <x:c r="A7" s="24" t="str">
        <x:v>EEZ_920</x:v>
      </x:c>
      <x:c r="B7" s="24" t="str">
        <x:v>Honduras (Pacific)</x:v>
      </x:c>
      <x:c r="C7" s="24" t="str">
        <x:v>EEZ</x:v>
      </x:c>
      <x:c r="D7" s="30" t="n">
        <x:v>2019</x:v>
      </x:c>
      <x:c r="E7" s="24" t="str">
        <x:v>Lutjanus</x:v>
      </x:c>
      <x:c r="F7" s="24" t="str">
        <x:v>Snappers</x:v>
      </x:c>
      <x:c r="G7" s="24" t="str">
        <x:v>Medium reef assoc. fish (30 - 89 cm)</x:v>
      </x:c>
      <x:c r="H7" s="24" t="str">
        <x:v>Perch-likes</x:v>
      </x:c>
      <x:c r="I7" s="31" t="n">
        <x:v>263.5647659563</x:v>
      </x:c>
      <x:c r="J7" s="31" t="n">
        <x:v>263.5647659563</x:v>
      </x:c>
      <x:c r="K7" s="31" t="n">
        <x:v>0</x:v>
      </x:c>
      <x:c r="L7" s="31" t="n">
        <x:v>125</x:v>
      </x:c>
      <x:c r="M7" s="31" t="n">
        <x:v>138.5647659563</x:v>
      </x:c>
      <x:c r="N7" s="24" t="str">
        <x:v>lutjanus</x:v>
      </x:c>
      <x:c r="O7" s="32" t="n">
        <x:v>4.02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Lutjanus</x:v>
      </x:c>
      <x:c r="T7" s="32" t="n">
        <x:f>IF(O7="","",(1/'Metadata'!$B$5)^(O7-1))</x:f>
        <x:v>1047.1285480508984</x:v>
      </x:c>
      <x:c r="U7" s="31" t="n">
        <x:f>IF(T7="","",I7*T7)</x:f>
        <x:v>275986.19069319527</x:v>
      </x:c>
    </x:row>
    <x:row r="8" ht="18" customHeight="1">
      <x:c r="A8" s="24" t="str">
        <x:v>EEZ_920</x:v>
      </x:c>
      <x:c r="B8" s="24" t="str">
        <x:v>Honduras (Pacific)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210.851812765</x:v>
      </x:c>
      <x:c r="J8" s="31" t="n">
        <x:v>210.851812765</x:v>
      </x:c>
      <x:c r="K8" s="31" t="n">
        <x:v>0</x:v>
      </x:c>
      <x:c r="L8" s="31" t="n">
        <x:v>100</x:v>
      </x:c>
      <x:c r="M8" s="31" t="n">
        <x:v>110.85181276499999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48303.359739078536</x:v>
      </x:c>
    </x:row>
    <x:row r="9" ht="18" customHeight="1">
      <x:c r="A9" s="24" t="str">
        <x:v>EEZ_920</x:v>
      </x:c>
      <x:c r="B9" s="24" t="str">
        <x:v>Honduras (Pacific)</x:v>
      </x:c>
      <x:c r="C9" s="24" t="str">
        <x:v>EEZ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158.1388950207</x:v>
      </x:c>
      <x:c r="J9" s="31" t="n">
        <x:v>158.1388595738</x:v>
      </x:c>
      <x:c r="K9" s="31" t="n">
        <x:v>0.000035446899999999994</x:v>
      </x:c>
      <x:c r="L9" s="31" t="n">
        <x:v>74.9999999999</x:v>
      </x:c>
      <x:c r="M9" s="31" t="n">
        <x:v>83.1388950208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287765.4830488017</x:v>
      </x:c>
    </x:row>
    <x:row r="10" ht="18" customHeight="1">
      <x:c r="A10" s="24" t="str">
        <x:v>EEZ_920</x:v>
      </x:c>
      <x:c r="B10" s="24" t="str">
        <x:v>Honduras (Pacific)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158.13886288179998</x:v>
      </x:c>
      <x:c r="J10" s="31" t="n">
        <x:v>158.1388628817</x:v>
      </x:c>
      <x:c r="K10" s="31" t="n">
        <x:v>1e-10</x:v>
      </x:c>
      <x:c r="L10" s="31" t="n">
        <x:v>75.0000033078</x:v>
      </x:c>
      <x:c r="M10" s="31" t="n">
        <x:v>83.138859574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177434.72249570728</x:v>
      </x:c>
    </x:row>
    <x:row r="11" ht="18" customHeight="1">
      <x:c r="A11" s="24" t="str">
        <x:v>EEZ_920</x:v>
      </x:c>
      <x:c r="B11" s="24" t="str">
        <x:v>Honduras (Pacific)</x:v>
      </x:c>
      <x:c r="C11" s="24" t="str">
        <x:v>EEZ</x:v>
      </x:c>
      <x:c r="D11" s="30" t="n">
        <x:v>2019</x:v>
      </x:c>
      <x:c r="E11" s="24" t="str">
        <x:v>Sciaenidae</x:v>
      </x:c>
      <x:c r="F11" s="24" t="str">
        <x:v>Drums, croakers</x:v>
      </x:c>
      <x:c r="G11" s="24" t="str">
        <x:v>Medium demersals (30 - 89 cm)</x:v>
      </x:c>
      <x:c r="H11" s="24" t="str">
        <x:v>Perch-likes</x:v>
      </x:c>
      <x:c r="I11" s="31" t="n">
        <x:v>158.1388595739</x:v>
      </x:c>
      <x:c r="J11" s="31" t="n">
        <x:v>158.1388595739</x:v>
      </x:c>
      <x:c r="K11" s="31" t="n">
        <x:v>0</x:v>
      </x:c>
      <x:c r="L11" s="31" t="n">
        <x:v>75</x:v>
      </x:c>
      <x:c r="M11" s="31" t="n">
        <x:v>83.13885957389999</x:v>
      </x:c>
      <x:c r="N11" s="24" t="str">
        <x:v>sciaenidae</x:v>
      </x:c>
      <x:c r="O11" s="32" t="n">
        <x:v>3.76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Sciaenidae</x:v>
      </x:c>
      <x:c r="T11" s="32" t="n">
        <x:f>IF(O11="","",(1/'Metadata'!$B$5)^(O11-1))</x:f>
        <x:v>575.4399373371566</x:v>
      </x:c>
      <x:c r="U11" s="31" t="n">
        <x:f>IF(T11="","",I11*T11)</x:f>
        <x:v>90999.41544377441</x:v>
      </x:c>
    </x:row>
    <x:row r="12" ht="18" customHeight="1">
      <x:c r="A12" s="24" t="str">
        <x:v>EEZ_920</x:v>
      </x:c>
      <x:c r="B12" s="24" t="str">
        <x:v>Honduras (Pacific)</x:v>
      </x:c>
      <x:c r="C12" s="24" t="str">
        <x:v>EEZ</x:v>
      </x:c>
      <x:c r="D12" s="30" t="n">
        <x:v>2019</x:v>
      </x:c>
      <x:c r="E12" s="24" t="str">
        <x:v>Gerreidae</x:v>
      </x:c>
      <x:c r="F12" s="24" t="str">
        <x:v>Mojarras, silverbellies</x:v>
      </x:c>
      <x:c r="G12" s="24" t="str">
        <x:v>Small benthopelagics (&lt;30 cm)</x:v>
      </x:c>
      <x:c r="H12" s="24" t="str">
        <x:v>Perch-likes</x:v>
      </x:c>
      <x:c r="I12" s="31" t="n">
        <x:v>158.1388595739</x:v>
      </x:c>
      <x:c r="J12" s="31" t="n">
        <x:v>158.1388595739</x:v>
      </x:c>
      <x:c r="K12" s="31" t="n">
        <x:v>0</x:v>
      </x:c>
      <x:c r="L12" s="31" t="n">
        <x:v>75</x:v>
      </x:c>
      <x:c r="M12" s="31" t="n">
        <x:v>83.13885957389999</x:v>
      </x:c>
      <x:c r="N12" s="24" t="str">
        <x:v>gerreidae</x:v>
      </x:c>
      <x:c r="O12" s="32" t="n">
        <x:v>3.03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Gerreidae</x:v>
      </x:c>
      <x:c r="T12" s="32" t="n">
        <x:f>IF(O12="","",(1/'Metadata'!$B$5)^(O12-1))</x:f>
        <x:v>107.1519305237606</x:v>
      </x:c>
      <x:c r="U12" s="31" t="n">
        <x:f>IF(T12="","",I12*T12)</x:f>
        <x:v>16944.884094169265</x:v>
      </x:c>
    </x:row>
    <x:row r="13" ht="18" customHeight="1">
      <x:c r="A13" s="24" t="str">
        <x:v>EEZ_920</x:v>
      </x:c>
      <x:c r="B13" s="24" t="str">
        <x:v>Honduras (Pacific)</x:v>
      </x:c>
      <x:c r="C13" s="24" t="str">
        <x:v>EEZ</x:v>
      </x:c>
      <x:c r="D13" s="30" t="n">
        <x:v>2019</x:v>
      </x:c>
      <x:c r="E13" s="24" t="str">
        <x:v>Polynemidae</x:v>
      </x:c>
      <x:c r="F13" s="24" t="str">
        <x:v>Threadfins</x:v>
      </x:c>
      <x:c r="G13" s="24" t="str">
        <x:v>Small demersals (&lt;30 cm)</x:v>
      </x:c>
      <x:c r="H13" s="24" t="str">
        <x:v>Perch-likes</x:v>
      </x:c>
      <x:c r="I13" s="31" t="n">
        <x:v>158.13885957370002</x:v>
      </x:c>
      <x:c r="J13" s="31" t="n">
        <x:v>158.13885957370002</x:v>
      </x:c>
      <x:c r="K13" s="31" t="n">
        <x:v>0</x:v>
      </x:c>
      <x:c r="L13" s="31" t="n">
        <x:v>74.9999999999</x:v>
      </x:c>
      <x:c r="M13" s="31" t="n">
        <x:v>83.1388595738</x:v>
      </x:c>
      <x:c r="N13" s="24" t="str">
        <x:v>polynemidae</x:v>
      </x:c>
      <x:c r="O13" s="32" t="n">
        <x:v>3.62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Polynemidae</x:v>
      </x:c>
      <x:c r="T13" s="32" t="n">
        <x:f>IF(O13="","",(1/'Metadata'!$B$5)^(O13-1))</x:f>
        <x:v>416.8693834703355</x:v>
      </x:c>
      <x:c r="U13" s="31" t="n">
        <x:f>IF(T13="","",I13*T13)</x:f>
        <x:v>65923.24889319029</x:v>
      </x:c>
    </x:row>
    <x:row r="14" ht="18" customHeight="1">
      <x:c r="A14" s="24" t="str">
        <x:v>EEZ_920</x:v>
      </x:c>
      <x:c r="B14" s="24" t="str">
        <x:v>Honduras (Pacific)</x:v>
      </x:c>
      <x:c r="C14" s="24" t="str">
        <x:v>EEZ</x:v>
      </x:c>
      <x:c r="D14" s="30" t="n">
        <x:v>2019</x:v>
      </x:c>
      <x:c r="E14" s="24" t="str">
        <x:v>Malacostraca</x:v>
      </x:c>
      <x:c r="F14" s="24" t="str">
        <x:v>Lobsters, crabs, shrimps, krill</x:v>
      </x:c>
      <x:c r="G14" s="24" t="str">
        <x:v>Shrimps</x:v>
      </x:c>
      <x:c r="H14" s="24" t="str">
        <x:v>Crustaceans</x:v>
      </x:c>
      <x:c r="I14" s="31" t="n">
        <x:v>135.4191717891</x:v>
      </x:c>
      <x:c r="J14" s="31" t="n">
        <x:v>135.4191717891</x:v>
      </x:c>
      <x:c r="K14" s="31" t="n">
        <x:v>0</x:v>
      </x:c>
      <x:c r="L14" s="31" t="n">
        <x:v>75</x:v>
      </x:c>
      <x:c r="M14" s="31" t="n">
        <x:v>60.419171789100005</x:v>
      </x:c>
      <x:c r="N14" s="24" t="str">
        <x:v>malacostraca</x:v>
      </x:c>
      <x:c r="O14" s="32" t="n">
        <x:v>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Malacostraca</x:v>
      </x:c>
      <x:c r="T14" s="32" t="n">
        <x:f>IF(O14="","",(1/'Metadata'!$B$5)^(O14-1))</x:f>
        <x:v>100</x:v>
      </x:c>
      <x:c r="U14" s="31" t="n">
        <x:f>IF(T14="","",I14*T14)</x:f>
        <x:v>13541.91717891</x:v>
      </x:c>
    </x:row>
    <x:row r="15" ht="18" customHeight="1">
      <x:c r="A15" s="24" t="str">
        <x:v>EEZ_920</x:v>
      </x:c>
      <x:c r="B15" s="24" t="str">
        <x:v>Honduras (Pacific)</x:v>
      </x:c>
      <x:c r="C15" s="24" t="str">
        <x:v>EEZ</x:v>
      </x:c>
      <x:c r="D15" s="30" t="n">
        <x:v>2019</x:v>
      </x:c>
      <x:c r="E15" s="24" t="str">
        <x:v>Callinectes arcuatus</x:v>
      </x:c>
      <x:c r="F15" s="24" t="str">
        <x:v>Arched swimming crab</x:v>
      </x:c>
      <x:c r="G15" s="24" t="str">
        <x:v>Lobsters, crabs</x:v>
      </x:c>
      <x:c r="H15" s="24" t="str">
        <x:v>Crustaceans</x:v>
      </x:c>
      <x:c r="I15" s="31" t="n">
        <x:v>135.4191717891</x:v>
      </x:c>
      <x:c r="J15" s="31" t="n">
        <x:v>135.4191717891</x:v>
      </x:c>
      <x:c r="K15" s="31" t="n">
        <x:v>0</x:v>
      </x:c>
      <x:c r="L15" s="31" t="n">
        <x:v>75</x:v>
      </x:c>
      <x:c r="M15" s="31" t="n">
        <x:v>60.4191717891</x:v>
      </x:c>
      <x:c r="N15" s="24" t="str">
        <x:v>callinectes arcuatus</x:v>
      </x:c>
      <x:c r="O15" s="32" t="n">
        <x:v>3.6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Callinectes arcuatus</x:v>
      </x:c>
      <x:c r="T15" s="32" t="n">
        <x:f>IF(O15="","",(1/'Metadata'!$B$5)^(O15-1))</x:f>
        <x:v>398.1071705534973</x:v>
      </x:c>
      <x:c r="U15" s="31" t="n">
        <x:f>IF(T15="","",I15*T15)</x:f>
        <x:v>53911.34331965659</x:v>
      </x:c>
    </x:row>
    <x:row r="16" ht="18" customHeight="1">
      <x:c r="A16" s="24" t="str">
        <x:v>EEZ_920</x:v>
      </x:c>
      <x:c r="B16" s="24" t="str">
        <x:v>Honduras (Pacific)</x:v>
      </x:c>
      <x:c r="C16" s="24" t="str">
        <x:v>EEZ</x:v>
      </x:c>
      <x:c r="D16" s="30" t="n">
        <x:v>2019</x:v>
      </x:c>
      <x:c r="E16" s="24" t="str">
        <x:v>Penaeus vannamei</x:v>
      </x:c>
      <x:c r="F16" s="24" t="str">
        <x:v>Whiteleg shrimp</x:v>
      </x:c>
      <x:c r="G16" s="24" t="str">
        <x:v>Shrimps</x:v>
      </x:c>
      <x:c r="H16" s="24" t="str">
        <x:v>Crustaceans</x:v>
      </x:c>
      <x:c r="I16" s="31" t="n">
        <x:v>116.3638734631</x:v>
      </x:c>
      <x:c r="J16" s="31" t="n">
        <x:v>116.3638734631</x:v>
      </x:c>
      <x:c r="K16" s="31" t="n">
        <x:v>0</x:v>
      </x:c>
      <x:c r="L16" s="31" t="n">
        <x:v>0</x:v>
      </x:c>
      <x:c r="M16" s="31" t="n">
        <x:v>116.3638734631</x:v>
      </x:c>
      <x:c r="N16" s="24" t="str">
        <x:v>penaeus vannamei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 vannamei</x:v>
      </x:c>
      <x:c r="T16" s="32" t="n">
        <x:f>IF(O16="","",(1/'Metadata'!$B$5)^(O16-1))</x:f>
        <x:v>50.11872336272725</x:v>
      </x:c>
      <x:c r="U16" s="31" t="n">
        <x:f>IF(T16="","",I16*T16)</x:f>
        <x:v>5832.008783512508</x:v>
      </x:c>
    </x:row>
    <x:row r="17" ht="18" customHeight="1">
      <x:c r="A17" s="24" t="str">
        <x:v>EEZ_920</x:v>
      </x:c>
      <x:c r="B17" s="24" t="str">
        <x:v>Honduras (Pacific)</x:v>
      </x:c>
      <x:c r="C17" s="24" t="str">
        <x:v>EEZ</x:v>
      </x:c>
      <x:c r="D17" s="30" t="n">
        <x:v>2019</x:v>
      </x:c>
      <x:c r="E17" s="24" t="str">
        <x:v>Penaeidae</x:v>
      </x:c>
      <x:c r="F17" s="24" t="str">
        <x:v>Commercial shrimps and prawns</x:v>
      </x:c>
      <x:c r="G17" s="24" t="str">
        <x:v>Shrimps</x:v>
      </x:c>
      <x:c r="H17" s="24" t="str">
        <x:v>Crustaceans</x:v>
      </x:c>
      <x:c r="I17" s="31" t="n">
        <x:v>98.9092924436</x:v>
      </x:c>
      <x:c r="J17" s="31" t="n">
        <x:v>98.9092924436</x:v>
      </x:c>
      <x:c r="K17" s="31" t="n">
        <x:v>0</x:v>
      </x:c>
      <x:c r="L17" s="31" t="n">
        <x:v>0</x:v>
      </x:c>
      <x:c r="M17" s="31" t="n">
        <x:v>98.9092924436</x:v>
      </x:c>
      <x:c r="N17" s="24" t="str">
        <x:v>penaeidae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Penaeidae</x:v>
      </x:c>
      <x:c r="T17" s="32" t="n">
        <x:f>IF(O17="","",(1/'Metadata'!$B$5)^(O17-1))</x:f>
        <x:v>204.17379446695296</x:v>
      </x:c>
      <x:c r="U17" s="31" t="n">
        <x:f>IF(T17="","",I17*T17)</x:f>
        <x:v>20194.685546251327</x:v>
      </x:c>
    </x:row>
    <x:row r="18" ht="18" customHeight="1">
      <x:c r="A18" s="24" t="str">
        <x:v>EEZ_920</x:v>
      </x:c>
      <x:c r="B18" s="24" t="str">
        <x:v>Honduras (Pacific)</x:v>
      </x:c>
      <x:c r="C18" s="24" t="str">
        <x:v>EEZ</x:v>
      </x:c>
      <x:c r="D18" s="30" t="n">
        <x:v>2019</x:v>
      </x:c>
      <x:c r="E18" s="24" t="str">
        <x:v>Penaeus occidentalis</x:v>
      </x:c>
      <x:c r="F18" s="24" t="str">
        <x:v>Western white shrimp</x:v>
      </x:c>
      <x:c r="G18" s="24" t="str">
        <x:v>Shrimps</x:v>
      </x:c>
      <x:c r="H18" s="24" t="str">
        <x:v>Crustaceans</x:v>
      </x:c>
      <x:c r="I18" s="31" t="n">
        <x:v>98.9092924436</x:v>
      </x:c>
      <x:c r="J18" s="31" t="n">
        <x:v>98.9092924436</x:v>
      </x:c>
      <x:c r="K18" s="31" t="n">
        <x:v>0</x:v>
      </x:c>
      <x:c r="L18" s="31" t="n">
        <x:v>0</x:v>
      </x:c>
      <x:c r="M18" s="31" t="n">
        <x:v>98.9092924436</x:v>
      </x:c>
      <x:c r="N18" s="24" t="str">
        <x:v>penaeus occidentalis</x:v>
      </x:c>
      <x:c r="O18" s="32" t="n">
        <x:v>2.7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Penaeus occidentalis</x:v>
      </x:c>
      <x:c r="T18" s="32" t="n">
        <x:f>IF(O18="","",(1/'Metadata'!$B$5)^(O18-1))</x:f>
        <x:v>50.11872336272725</x:v>
      </x:c>
      <x:c r="U18" s="31" t="n">
        <x:f>IF(T18="","",I18*T18)</x:f>
        <x:v>4957.207465983877</x:v>
      </x:c>
    </x:row>
    <x:row r="19" ht="18" customHeight="1">
      <x:c r="A19" s="24" t="str">
        <x:v>EEZ_920</x:v>
      </x:c>
      <x:c r="B19" s="24" t="str">
        <x:v>Honduras (Pacific)</x:v>
      </x:c>
      <x:c r="C19" s="24" t="str">
        <x:v>EEZ</x:v>
      </x:c>
      <x:c r="D19" s="30" t="n">
        <x:v>2019</x:v>
      </x:c>
      <x:c r="E19" s="24" t="str">
        <x:v>Penaeus stylirostris</x:v>
      </x:c>
      <x:c r="F19" s="24" t="str">
        <x:v>Blue shrimp</x:v>
      </x:c>
      <x:c r="G19" s="24" t="str">
        <x:v>Shrimps</x:v>
      </x:c>
      <x:c r="H19" s="24" t="str">
        <x:v>Crustaceans</x:v>
      </x:c>
      <x:c r="I19" s="31" t="n">
        <x:v>93.0910987705</x:v>
      </x:c>
      <x:c r="J19" s="31" t="n">
        <x:v>93.0910987705</x:v>
      </x:c>
      <x:c r="K19" s="31" t="n">
        <x:v>0</x:v>
      </x:c>
      <x:c r="L19" s="31" t="n">
        <x:v>0</x:v>
      </x:c>
      <x:c r="M19" s="31" t="n">
        <x:v>93.0910987705</x:v>
      </x:c>
      <x:c r="N19" s="24" t="str">
        <x:v>penaeus stylirostris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Penaeus stylirostris</x:v>
      </x:c>
      <x:c r="T19" s="32" t="n">
        <x:f>IF(O19="","",(1/'Metadata'!$B$5)^(O19-1))</x:f>
        <x:v>50.11872336272725</x:v>
      </x:c>
      <x:c r="U19" s="31" t="n">
        <x:f>IF(T19="","",I19*T19)</x:f>
        <x:v>4665.607026811008</x:v>
      </x:c>
    </x:row>
    <x:row r="20" ht="18" customHeight="1">
      <x:c r="A20" s="24" t="str">
        <x:v>EEZ_920</x:v>
      </x:c>
      <x:c r="B20" s="24" t="str">
        <x:v>Honduras (Pacific)</x:v>
      </x:c>
      <x:c r="C20" s="24" t="str">
        <x:v>EEZ</x:v>
      </x:c>
      <x:c r="D20" s="30" t="n">
        <x:v>2019</x:v>
      </x:c>
      <x:c r="E20" s="24" t="str">
        <x:v>Rimapenaeus byrdi</x:v>
      </x:c>
      <x:c r="F20" s="24" t="str">
        <x:v>Carabali shrimp</x:v>
      </x:c>
      <x:c r="G20" s="24" t="str">
        <x:v>Shrimps</x:v>
      </x:c>
      <x:c r="H20" s="24" t="str">
        <x:v>Crustaceans</x:v>
      </x:c>
      <x:c r="I20" s="31" t="n">
        <x:v>87.2729050973</x:v>
      </x:c>
      <x:c r="J20" s="31" t="n">
        <x:v>87.2729050973</x:v>
      </x:c>
      <x:c r="K20" s="31" t="n">
        <x:v>0</x:v>
      </x:c>
      <x:c r="L20" s="31" t="n">
        <x:v>0</x:v>
      </x:c>
      <x:c r="M20" s="31" t="n">
        <x:v>87.2729050973</x:v>
      </x:c>
      <x:c r="N20" s="24" t="str">
        <x:v>rimapenaeus byrdi</x:v>
      </x:c>
      <x:c r="O20" s="32" t="n">
        <x:v>2.2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Rimapenaeus byrdi</x:v>
      </x:c>
      <x:c r="T20" s="32" t="n">
        <x:f>IF(O20="","",(1/'Metadata'!$B$5)^(O20-1))</x:f>
        <x:v>15.848931924611142</x:v>
      </x:c>
      <x:c r="U20" s="31" t="n">
        <x:f>IF(T20="","",I20*T20)</x:f>
        <x:v>1383.1823317501564</x:v>
      </x:c>
    </x:row>
    <x:row r="21" ht="18" customHeight="1">
      <x:c r="A21" s="24" t="str">
        <x:v>EEZ_920</x:v>
      </x:c>
      <x:c r="B21" s="24" t="str">
        <x:v>Honduras (Pacific)</x:v>
      </x:c>
      <x:c r="C21" s="24" t="str">
        <x:v>EEZ</x:v>
      </x:c>
      <x:c r="D21" s="30" t="n">
        <x:v>2019</x:v>
      </x:c>
      <x:c r="E21" s="24" t="str">
        <x:v>Sphyraenidae</x:v>
      </x:c>
      <x:c r="F21" s="24" t="str">
        <x:v>Barracudas</x:v>
      </x:c>
      <x:c r="G21" s="24" t="str">
        <x:v>Medium reef assoc. fish (30 - 89 cm)</x:v>
      </x:c>
      <x:c r="H21" s="24" t="str">
        <x:v>Perch-likes</x:v>
      </x:c>
      <x:c r="I21" s="31" t="n">
        <x:v>79.0694297869</x:v>
      </x:c>
      <x:c r="J21" s="31" t="n">
        <x:v>79.0694297869</x:v>
      </x:c>
      <x:c r="K21" s="31" t="n">
        <x:v>0</x:v>
      </x:c>
      <x:c r="L21" s="31" t="n">
        <x:v>37.5</x:v>
      </x:c>
      <x:c r="M21" s="31" t="n">
        <x:v>41.5694297869</x:v>
      </x:c>
      <x:c r="N21" s="24" t="str">
        <x:v>sphyraenidae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Sphyraenidae</x:v>
      </x:c>
      <x:c r="T21" s="32" t="n">
        <x:f>IF(O21="","",(1/'Metadata'!$B$5)^(O21-1))</x:f>
        <x:v>2511.886431509582</x:v>
      </x:c>
      <x:c r="U21" s="31" t="n">
        <x:f>IF(T21="","",I21*T21)</x:f>
        <x:v>198613.4278289137</x:v>
      </x:c>
    </x:row>
    <x:row r="22" ht="18" customHeight="1">
      <x:c r="A22" s="24" t="str">
        <x:v>EEZ_920</x:v>
      </x:c>
      <x:c r="B22" s="24" t="str">
        <x:v>Honduras (Pacific)</x:v>
      </x:c>
      <x:c r="C22" s="24" t="str">
        <x:v>EEZ</x:v>
      </x:c>
      <x:c r="D22" s="30" t="n">
        <x:v>2019</x:v>
      </x:c>
      <x:c r="E22" s="24" t="str">
        <x:v>Donax</x:v>
      </x:c>
      <x:c r="F22" s="24" t="str">
        <x:v>Bean clams</x:v>
      </x:c>
      <x:c r="G22" s="24" t="str">
        <x:v>Other demersal invertebrates</x:v>
      </x:c>
      <x:c r="H22" s="24" t="str">
        <x:v>Molluscs</x:v>
      </x:c>
      <x:c r="I22" s="31" t="n">
        <x:v>30.854244508599997</x:v>
      </x:c>
      <x:c r="J22" s="31" t="n">
        <x:v>30.854244508599997</x:v>
      </x:c>
      <x:c r="K22" s="31" t="n">
        <x:v>0</x:v>
      </x:c>
      <x:c r="L22" s="31" t="n">
        <x:v>0</x:v>
      </x:c>
      <x:c r="M22" s="31" t="n">
        <x:v>30.854244508599997</x:v>
      </x:c>
      <x:c r="N22" s="24" t="str">
        <x:v>donax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Donax</x:v>
      </x:c>
      <x:c r="T22" s="32" t="n">
        <x:f>IF(O22="","",(1/'Metadata'!$B$5)^(O22-1))</x:f>
        <x:v>10</x:v>
      </x:c>
      <x:c r="U22" s="31" t="n">
        <x:f>IF(T22="","",I22*T22)</x:f>
        <x:v>308.542445086</x:v>
      </x:c>
    </x:row>
    <x:row r="23" ht="18" customHeight="1">
      <x:c r="A23" s="24" t="str">
        <x:v>EEZ_920</x:v>
      </x:c>
      <x:c r="B23" s="24" t="str">
        <x:v>Honduras (Pacific)</x:v>
      </x:c>
      <x:c r="C23" s="24" t="str">
        <x:v>EEZ</x:v>
      </x:c>
      <x:c r="D23" s="30" t="n">
        <x:v>2019</x:v>
      </x:c>
      <x:c r="E23" s="24" t="str">
        <x:v>Coryphaena</x:v>
      </x:c>
      <x:c r="F23" s="24" t="str">
        <x:v>Dolphinfishes</x:v>
      </x:c>
      <x:c r="G23" s="24" t="str">
        <x:v>Large pelagics (&gt;=90 cm)</x:v>
      </x:c>
      <x:c r="H23" s="24" t="str">
        <x:v>Perch-likes</x:v>
      </x:c>
      <x:c r="I23" s="31" t="n">
        <x:v>0.0004741515</x:v>
      </x:c>
      <x:c r="J23" s="31" t="n">
        <x:v>0.0004741515</x:v>
      </x:c>
      <x:c r="K23" s="31" t="n">
        <x:v>0</x:v>
      </x:c>
      <x:c r="L23" s="31" t="n">
        <x:v>0.0004741515</x:v>
      </x:c>
      <x:c r="M23" s="31" t="n">
        <x:v>0</x:v>
      </x:c>
      <x:c r="N23" s="24" t="str">
        <x:v>coryphaena</x:v>
      </x:c>
      <x:c r="O23" s="32" t="n">
        <x:v>4.49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Coryphaena</x:v>
      </x:c>
      <x:c r="T23" s="32" t="n">
        <x:f>IF(O23="","",(1/'Metadata'!$B$5)^(O23-1))</x:f>
        <x:v>3090.295432513592</x:v>
      </x:c>
      <x:c r="U23" s="31" t="n">
        <x:f>IF(T23="","",I23*T23)</x:f>
        <x:v>1.4652682147694684</x:v>
      </x:c>
    </x:row>
    <x:row r="24" ht="18" customHeight="1">
      <x:c r="A24" s="24" t="str">
        <x:v>EEZ_920</x:v>
      </x:c>
      <x:c r="B24" s="24" t="str">
        <x:v>Honduras (Pacific)</x:v>
      </x:c>
      <x:c r="C24" s="24" t="str">
        <x:v>EEZ</x:v>
      </x:c>
      <x:c r="D24" s="30" t="n">
        <x:v>2019</x:v>
      </x:c>
      <x:c r="E24" s="24" t="str">
        <x:v>Marine pelagic fishes not identified</x:v>
      </x:c>
      <x:c r="F24" s="24" t="str">
        <x:v>Pelagic fishes</x:v>
      </x:c>
      <x:c r="G24" s="24" t="str">
        <x:v>Medium pelagics (30 - 89 cm)</x:v>
      </x:c>
      <x:c r="H24" s="24" t="str">
        <x:v>Other fishes &amp; inverts</x:v>
      </x:c>
      <x:c r="I24" s="31" t="n">
        <x:v>0.00010919240000000001</x:v>
      </x:c>
      <x:c r="J24" s="31" t="n">
        <x:v>0.00010919240000000001</x:v>
      </x:c>
      <x:c r="K24" s="31" t="n">
        <x:v>0</x:v>
      </x:c>
      <x:c r="L24" s="31" t="n">
        <x:v>0.00010919240000000001</x:v>
      </x:c>
      <x:c r="M24" s="31" t="n">
        <x:v>0</x:v>
      </x:c>
      <x:c r="N24" s="24" t="str">
        <x:v>marine pelagic fishes not identified</x:v>
      </x:c>
      <x:c r="O24" s="32" t="n">
        <x:v>3.35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Marine pelagic fishes not identified</x:v>
      </x:c>
      <x:c r="T24" s="32" t="n">
        <x:f>IF(O24="","",(1/'Metadata'!$B$5)^(O24-1))</x:f>
        <x:v>223.872113856834</x:v>
      </x:c>
      <x:c r="U24" s="31" t="n">
        <x:f>IF(T24="","",I24*T24)</x:f>
        <x:v>0.024445133405100964</x:v>
      </x:c>
    </x:row>
    <x:row r="25" ht="18" customHeight="1">
      <x:c r="A25" s="24" t="str">
        <x:v>EEZ_920</x:v>
      </x:c>
      <x:c r="B25" s="24" t="str">
        <x:v>Honduras (Pacific)</x:v>
      </x:c>
      <x:c r="C25" s="24" t="str">
        <x:v>EEZ</x:v>
      </x:c>
      <x:c r="D25" s="30" t="n">
        <x:v>2019</x:v>
      </x:c>
      <x:c r="E25" s="24" t="str">
        <x:v>Coryphaena hippurus</x:v>
      </x:c>
      <x:c r="F25" s="24" t="str">
        <x:v>Common dolphinfish</x:v>
      </x:c>
      <x:c r="G25" s="24" t="str">
        <x:v>Large pelagics (&gt;=90 cm)</x:v>
      </x:c>
      <x:c r="H25" s="24" t="str">
        <x:v>Perch-likes</x:v>
      </x:c>
      <x:c r="I25" s="31" t="n">
        <x:v>0.0000336439</x:v>
      </x:c>
      <x:c r="J25" s="31" t="n">
        <x:v>0</x:v>
      </x:c>
      <x:c r="K25" s="31" t="n">
        <x:v>0.0000336439</x:v>
      </x:c>
      <x:c r="L25" s="31" t="n">
        <x:v>0</x:v>
      </x:c>
      <x:c r="M25" s="31" t="n">
        <x:v>0.0000336439</x:v>
      </x:c>
      <x:c r="N25" s="24" t="str">
        <x:v>coryphaena hippurus</x:v>
      </x:c>
      <x:c r="O25" s="32" t="n">
        <x:v>4.37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Coryphaena hippurus</x:v>
      </x:c>
      <x:c r="T25" s="32" t="n">
        <x:f>IF(O25="","",(1/'Metadata'!$B$5)^(O25-1))</x:f>
        <x:v>2344.228815319923</x:v>
      </x:c>
      <x:c r="U25" s="31" t="n">
        <x:f>IF(T25="","",I25*T25)</x:f>
        <x:v>0.07886899983974195</x:v>
      </x:c>
    </x:row>
    <x:row r="26" ht="18" customHeight="1">
      <x:c r="A26" s="24" t="str">
        <x:v>EEZ_920</x:v>
      </x:c>
      <x:c r="B26" s="24" t="str">
        <x:v>Honduras (Pacific)</x:v>
      </x:c>
      <x:c r="C26" s="24" t="str">
        <x:v>EEZ</x:v>
      </x:c>
      <x:c r="D26" s="30" t="n">
        <x:v>2019</x:v>
      </x:c>
      <x:c r="E26" s="24" t="str">
        <x:v>Carcharhinus falciformis</x:v>
      </x:c>
      <x:c r="F26" s="24" t="str">
        <x:v>Silky shark</x:v>
      </x:c>
      <x:c r="G26" s="24" t="str">
        <x:v>Large sharks (&gt;=90 cm)</x:v>
      </x:c>
      <x:c r="H26" s="24" t="str">
        <x:v>Sharks &amp; rays</x:v>
      </x:c>
      <x:c r="I26" s="31" t="n">
        <x:v>0.0000022269</x:v>
      </x:c>
      <x:c r="J26" s="31" t="n">
        <x:v>0</x:v>
      </x:c>
      <x:c r="K26" s="31" t="n">
        <x:v>0.0000022269</x:v>
      </x:c>
      <x:c r="L26" s="31" t="n">
        <x:v>0</x:v>
      </x:c>
      <x:c r="M26" s="31" t="n">
        <x:v>0.0000022269</x:v>
      </x:c>
      <x:c r="N26" s="24" t="str">
        <x:v>carcharhinus falciformis</x:v>
      </x:c>
      <x:c r="O26" s="32" t="n">
        <x:v>4.51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falciformis</x:v>
      </x:c>
      <x:c r="T26" s="32" t="n">
        <x:f>IF(O26="","",(1/'Metadata'!$B$5)^(O26-1))</x:f>
        <x:v>3235.936569296281</x:v>
      </x:c>
      <x:c r="U26" s="31" t="n">
        <x:f>IF(T26="","",I26*T26)</x:f>
        <x:v>0.007206107146165887</x:v>
      </x:c>
    </x:row>
  </x:sheetData>
  <x:conditionalFormatting sqref="R2:R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91d3446f37e4e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7</x:v>
      </x:c>
      <x:c r="C2" s="33" t="n">
        <x:v>7</x:v>
      </x:c>
      <x:c r="D2" s="31" t="n">
        <x:v>765.3848057963</x:v>
      </x:c>
      <x:c r="E2" s="31" t="n">
        <x:v>765.3848057963</x:v>
      </x:c>
      <x:c r="F2" s="32" t="n">
        <x:v>0</x:v>
      </x:c>
      <x:c r="G2" s="34" t="n">
        <x:v>1</x:v>
      </x:c>
      <x:c r="H2" s="32" t="n">
        <x:f>IF(E2=0,"",I2/E2)</x:f>
        <x:v>136.51427473030265</x:v>
      </x:c>
      <x:c r="I2" s="31" t="n">
        <x:f>IF(C2=0,"",SUMIF('Species'!$H$2:$H$26,A2,'Species'!$U$2:$U$26))</x:f>
        <x:v>104485.95165287545</x:v>
      </x:c>
      <x:c r="J2" s="32" t="n">
        <x:v>2.934132191587507</x:v>
      </x:c>
      <x:c r="K2" s="32" t="n">
        <x:f>IF(J2="","",(1/'Metadata'!$B$5)^(J2-1))</x:f>
        <x:v>85.9275029881756</x:v>
      </x:c>
      <x:c r="L2" s="31" t="n">
        <x:f>IF(E2=0,"",E2*K2)</x:f>
        <x:v>65767.60518716577</x:v>
      </x:c>
      <x:c r="M2" s="31" t="n">
        <x:f>IF(E2=0,"",I2-L2)</x:f>
        <x:v>38718.34646570968</x:v>
      </x:c>
      <x:c r="N2" s="32" t="n">
        <x:f>IF(L2=0,"",I2/L2)</x:f>
        <x:v>1.5887145556771067</x:v>
      </x:c>
      <x:c r="O2" s="34" t="n">
        <x:f>IF(L2=0,"",M2/L2)</x:f>
        <x:v>0.5887145556771067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30.854244508599997</x:v>
      </x:c>
      <x:c r="E3" s="31" t="n">
        <x:v>30.854244508599997</x:v>
      </x:c>
      <x:c r="F3" s="32" t="n">
        <x:v>0</x:v>
      </x:c>
      <x:c r="G3" s="34" t="n">
        <x:v>1</x:v>
      </x:c>
      <x:c r="H3" s="32" t="n">
        <x:f>IF(E3=0,"",I3/E3)</x:f>
        <x:v>10</x:v>
      </x:c>
      <x:c r="I3" s="31" t="n">
        <x:f>IF(C3=0,"",SUMIF('Species'!$H$2:$H$26,A3,'Species'!$U$2:$U$26))</x:f>
        <x:v>308.542445086</x:v>
      </x:c>
      <x:c r="J3" s="32" t="n">
        <x:v>2</x:v>
      </x:c>
      <x:c r="K3" s="32" t="n">
        <x:f>IF(J3="","",(1/'Metadata'!$B$5)^(J3-1))</x:f>
        <x:v>10</x:v>
      </x:c>
      <x:c r="L3" s="31" t="n">
        <x:f>IF(E3=0,"",E3*K3)</x:f>
        <x:v>308.542445086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2</x:v>
      </x:c>
      <x:c r="C4" s="33" t="n">
        <x:v>2</x:v>
      </x:c>
      <x:c r="D4" s="31" t="n">
        <x:v>1525.2121546751998</x:v>
      </x:c>
      <x:c r="E4" s="31" t="n">
        <x:v>1525.2121546751998</x:v>
      </x:c>
      <x:c r="F4" s="32" t="n">
        <x:v>0</x:v>
      </x:c>
      <x:c r="G4" s="34" t="n">
        <x:v>1</x:v>
      </x:c>
      <x:c r="H4" s="32" t="n">
        <x:f>IF(E4=0,"",I4/E4)</x:f>
        <x:v>190.54607418218978</x:v>
      </x:c>
      <x:c r="I4" s="31" t="n">
        <x:f>IF(C4=0,"",SUMIF('Species'!$H$2:$H$26,A4,'Species'!$U$2:$U$26))</x:f>
        <x:v>290623.18836831814</x:v>
      </x:c>
      <x:c r="J4" s="32" t="n">
        <x:v>3.280000005011413</x:v>
      </x:c>
      <x:c r="K4" s="32" t="n">
        <x:f>IF(J4="","",(1/'Metadata'!$B$5)^(J4-1))</x:f>
        <x:v>190.54607399507483</x:v>
      </x:c>
      <x:c r="L4" s="31" t="n">
        <x:f>IF(E4=0,"",E4*K4)</x:f>
        <x:v>290623.1880829281</x:v>
      </x:c>
      <x:c r="M4" s="31" t="n">
        <x:f>IF(E4=0,"",I4-L4)</x:f>
        <x:v>0.0002853900077752769</x:v>
      </x:c>
      <x:c r="N4" s="32" t="n">
        <x:f>IF(L4=0,"",I4/L4)</x:f>
        <x:v>1.0000000009819932</x:v>
      </x:c>
      <x:c r="O4" s="34" t="n">
        <x:f>IF(L4=0,"",M4/L4)</x:f>
        <x:v>9.8199324581713e-10</x:v>
      </x:c>
    </x:row>
    <x:row r="5" ht="18" customHeight="1">
      <x:c r="A5" s="24" t="str">
        <x:v>Perch-likes</x:v>
      </x:c>
      <x:c r="B5" s="33" t="n">
        <x:v>14</x:v>
      </x:c>
      <x:c r="C5" s="33" t="n">
        <x:v>14</x:v>
      </x:c>
      <x:c r="D5" s="31" t="n">
        <x:v>3874.4026061085992</x:v>
      </x:c>
      <x:c r="E5" s="31" t="n">
        <x:v>3874.4026061085992</x:v>
      </x:c>
      <x:c r="F5" s="32" t="n">
        <x:v>0</x:v>
      </x:c>
      <x:c r="G5" s="34" t="n">
        <x:v>1</x:v>
      </x:c>
      <x:c r="H5" s="32" t="n">
        <x:f>IF(E5=0,"",I5/E5)</x:f>
        <x:v>1104.2208220002312</x:v>
      </x:c>
      <x:c r="I5" s="31" t="n">
        <x:f>IF(C5=0,"",SUMIF('Species'!$H$2:$H$26,A5,'Species'!$U$2:$U$26))</x:f>
        <x:v>4278196.030477076</x:v>
      </x:c>
      <x:c r="J5" s="32" t="n">
        <x:v>3.8157824045130373</x:v>
      </x:c>
      <x:c r="K5" s="32" t="n">
        <x:f>IF(J5="","",(1/'Metadata'!$B$5)^(J5-1))</x:f>
        <x:v>654.3082624681354</x:v>
      </x:c>
      <x:c r="L5" s="31" t="n">
        <x:f>IF(E5=0,"",E5*K5)</x:f>
        <x:v>2535053.637304933</x:v>
      </x:c>
      <x:c r="M5" s="31" t="n">
        <x:f>IF(E5=0,"",I5-L5)</x:f>
        <x:v>1743142.393172143</x:v>
      </x:c>
      <x:c r="N5" s="32" t="n">
        <x:f>IF(L5=0,"",I5/L5)</x:f>
        <x:v>1.6876155863216027</x:v>
      </x:c>
      <x:c r="O5" s="34" t="n">
        <x:f>IF(L5=0,"",M5/L5)</x:f>
        <x:v>0.6876155863216027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0.0000022269</x:v>
      </x:c>
      <x:c r="E6" s="31" t="n">
        <x:v>0.0000022269</x:v>
      </x:c>
      <x:c r="F6" s="32" t="n">
        <x:v>0</x:v>
      </x:c>
      <x:c r="G6" s="34" t="n">
        <x:v>1</x:v>
      </x:c>
      <x:c r="H6" s="32" t="n">
        <x:f>IF(E6=0,"",I6/E6)</x:f>
        <x:v>3235.936569296281</x:v>
      </x:c>
      <x:c r="I6" s="31" t="n">
        <x:f>IF(C6=0,"",SUMIF('Species'!$H$2:$H$26,A6,'Species'!$U$2:$U$26))</x:f>
        <x:v>0.007206107146165887</x:v>
      </x:c>
      <x:c r="J6" s="32" t="n">
        <x:v>4.51</x:v>
      </x:c>
      <x:c r="K6" s="32" t="n">
        <x:f>IF(J6="","",(1/'Metadata'!$B$5)^(J6-1))</x:f>
        <x:v>3235.936569296281</x:v>
      </x:c>
      <x:c r="L6" s="31" t="n">
        <x:f>IF(E6=0,"",E6*K6)</x:f>
        <x:v>0.007206107146165887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ba3fcbd6ec841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2</x:v>
      </x:c>
      <x:c r="C2" s="33" t="n">
        <x:v>2</x:v>
      </x:c>
      <x:c r="D2" s="31" t="n">
        <x:v>0.0005077953999999999</x:v>
      </x:c>
      <x:c r="E2" s="31" t="n">
        <x:v>0.0005077953999999999</x:v>
      </x:c>
      <x:c r="F2" s="32" t="n">
        <x:v>0</x:v>
      </x:c>
      <x:c r="G2" s="34" t="n">
        <x:v>1</x:v>
      </x:c>
      <x:c r="H2" s="32" t="n">
        <x:f>IF(E2=0,"",I2/E2)</x:f>
        <x:v>3040.864912539993</x:v>
      </x:c>
      <x:c r="I2" s="31" t="n">
        <x:f>IF(C2=0,"",SUMIF('Species'!$G$2:$G$26,A2,'Species'!$U$2:$U$26))</x:f>
        <x:v>1.5441372146092105</x:v>
      </x:c>
      <x:c r="J2" s="32" t="n">
        <x:v>4.482049419904159</x:v>
      </x:c>
      <x:c r="K2" s="32" t="n">
        <x:f>IF(J2="","",(1/'Metadata'!$B$5)^(J2-1))</x:f>
        <x:v>3034.236441039382</x:v>
      </x:c>
      <x:c r="L2" s="31" t="n">
        <x:f>IF(E2=0,"",E2*K2)</x:f>
        <x:v>1.5407713072721692</x:v>
      </x:c>
      <x:c r="M2" s="31" t="n">
        <x:f>IF(E2=0,"",I2-L2)</x:f>
        <x:v>0.0033659073370413406</x:v>
      </x:c>
      <x:c r="N2" s="32" t="n">
        <x:f>IF(L2=0,"",I2/L2)</x:f>
        <x:v>1.0021845599805466</x:v>
      </x:c>
      <x:c r="O2" s="34" t="n">
        <x:f>IF(L2=0,"",M2/L2)</x:f>
        <x:v>0.002184559980546659</x:v>
      </x:c>
    </x:row>
    <x:row r="3" ht="18" customHeight="1">
      <x:c r="A3" s="24" t="str">
        <x:v>Large sharks (&gt;=90 cm)</x:v>
      </x:c>
      <x:c r="B3" s="33" t="n">
        <x:v>1</x:v>
      </x:c>
      <x:c r="C3" s="33" t="n">
        <x:v>1</x:v>
      </x:c>
      <x:c r="D3" s="31" t="n">
        <x:v>0.0000022269</x:v>
      </x:c>
      <x:c r="E3" s="31" t="n">
        <x:v>0.0000022269</x:v>
      </x:c>
      <x:c r="F3" s="32" t="n">
        <x:v>0</x:v>
      </x:c>
      <x:c r="G3" s="34" t="n">
        <x:v>1</x:v>
      </x:c>
      <x:c r="H3" s="32" t="n">
        <x:f>IF(E3=0,"",I3/E3)</x:f>
        <x:v>3235.936569296281</x:v>
      </x:c>
      <x:c r="I3" s="31" t="n">
        <x:f>IF(C3=0,"",SUMIF('Species'!$G$2:$G$26,A3,'Species'!$U$2:$U$26))</x:f>
        <x:v>0.007206107146165887</x:v>
      </x:c>
      <x:c r="J3" s="32" t="n">
        <x:v>4.51</x:v>
      </x:c>
      <x:c r="K3" s="32" t="n">
        <x:f>IF(J3="","",(1/'Metadata'!$B$5)^(J3-1))</x:f>
        <x:v>3235.936569296281</x:v>
      </x:c>
      <x:c r="L3" s="31" t="n">
        <x:f>IF(E3=0,"",E3*K3)</x:f>
        <x:v>0.007206107146165887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Lobsters, crabs</x:v>
      </x:c>
      <x:c r="B4" s="33" t="n">
        <x:v>1</x:v>
      </x:c>
      <x:c r="C4" s="33" t="n">
        <x:v>1</x:v>
      </x:c>
      <x:c r="D4" s="31" t="n">
        <x:v>135.4191717891</x:v>
      </x:c>
      <x:c r="E4" s="31" t="n">
        <x:v>135.4191717891</x:v>
      </x:c>
      <x:c r="F4" s="32" t="n">
        <x:v>0</x:v>
      </x:c>
      <x:c r="G4" s="34" t="n">
        <x:v>1</x:v>
      </x:c>
      <x:c r="H4" s="32" t="n">
        <x:f>IF(E4=0,"",I4/E4)</x:f>
        <x:v>398.1071705534973</x:v>
      </x:c>
      <x:c r="I4" s="31" t="n">
        <x:f>IF(C4=0,"",SUMIF('Species'!$G$2:$G$26,A4,'Species'!$U$2:$U$26))</x:f>
        <x:v>53911.34331965659</x:v>
      </x:c>
      <x:c r="J4" s="32" t="n">
        <x:v>3.6</x:v>
      </x:c>
      <x:c r="K4" s="32" t="n">
        <x:f>IF(J4="","",(1/'Metadata'!$B$5)^(J4-1))</x:f>
        <x:v>398.1071705534973</x:v>
      </x:c>
      <x:c r="L4" s="31" t="n">
        <x:f>IF(E4=0,"",E4*K4)</x:f>
        <x:v>53911.34331965659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benthopelagics (30 - 89 cm)</x:v>
      </x:c>
      <x:c r="B5" s="33" t="n">
        <x:v>1</x:v>
      </x:c>
      <x:c r="C5" s="33" t="n">
        <x:v>1</x:v>
      </x:c>
      <x:c r="D5" s="31" t="n">
        <x:v>368.9906723389</x:v>
      </x:c>
      <x:c r="E5" s="31" t="n">
        <x:v>368.9906723389</x:v>
      </x:c>
      <x:c r="F5" s="32" t="n">
        <x:v>0</x:v>
      </x:c>
      <x:c r="G5" s="34" t="n">
        <x:v>1</x:v>
      </x:c>
      <x:c r="H5" s="32" t="n">
        <x:f>IF(E5=0,"",I5/E5)</x:f>
        <x:v>10.232929922807536</x:v>
      </x:c>
      <x:c r="I5" s="31" t="n">
        <x:f>IF(C5=0,"",SUMIF('Species'!$G$2:$G$26,A5,'Species'!$U$2:$U$26))</x:f>
        <x:v>3775.855692213601</x:v>
      </x:c>
      <x:c r="J5" s="32" t="n">
        <x:v>2.01</x:v>
      </x:c>
      <x:c r="K5" s="32" t="n">
        <x:f>IF(J5="","",(1/'Metadata'!$B$5)^(J5-1))</x:f>
        <x:v>10.232929922807536</x:v>
      </x:c>
      <x:c r="L5" s="31" t="n">
        <x:f>IF(E5=0,"",E5*K5)</x:f>
        <x:v>3775.855692213601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4</x:v>
      </x:c>
      <x:c r="C6" s="33" t="n">
        <x:v>4</x:v>
      </x:c>
      <x:c r="D6" s="31" t="n">
        <x:v>3422.8783603685993</x:v>
      </x:c>
      <x:c r="E6" s="31" t="n">
        <x:v>3422.8783603685993</x:v>
      </x:c>
      <x:c r="F6" s="32" t="n">
        <x:v>0</x:v>
      </x:c>
      <x:c r="G6" s="34" t="n">
        <x:v>1</x:v>
      </x:c>
      <x:c r="H6" s="32" t="n">
        <x:f>IF(E6=0,"",I6/E6)</x:f>
        <x:v>849.9126248418518</x:v>
      </x:c>
      <x:c r="I6" s="31" t="n">
        <x:f>IF(C6=0,"",SUMIF('Species'!$G$2:$G$26,A6,'Species'!$U$2:$U$26))</x:f>
        <x:v>2909147.53177525</x:v>
      </x:c>
      <x:c r="J6" s="32" t="n">
        <x:v>3.722447258050445</x:v>
      </x:c>
      <x:c r="K6" s="32" t="n">
        <x:f>IF(J6="","",(1/'Metadata'!$B$5)^(J6-1))</x:f>
        <x:v>527.7731086312929</x:v>
      </x:c>
      <x:c r="L6" s="31" t="n">
        <x:f>IF(E6=0,"",E6*K6)</x:f>
        <x:v>1806503.1527185184</x:v>
      </x:c>
      <x:c r="M6" s="31" t="n">
        <x:f>IF(E6=0,"",I6-L6)</x:f>
        <x:v>1102644.3790567317</x:v>
      </x:c>
      <x:c r="N6" s="32" t="n">
        <x:f>IF(L6=0,"",I6/L6)</x:f>
        <x:v>1.6103750095301057</x:v>
      </x:c>
      <x:c r="O6" s="34" t="n">
        <x:f>IF(L6=0,"",M6/L6)</x:f>
        <x:v>0.6103750095301057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316.27786709489993</x:v>
      </x:c>
      <x:c r="E7" s="31" t="n">
        <x:v>316.27786709489993</x:v>
      </x:c>
      <x:c r="F7" s="32" t="n">
        <x:v>0</x:v>
      </x:c>
      <x:c r="G7" s="34" t="n">
        <x:v>1</x:v>
      </x:c>
      <x:c r="H7" s="32" t="n">
        <x:f>IF(E7=0,"",I7/E7)</x:f>
        <x:v>1470.85926139137</x:v>
      </x:c>
      <x:c r="I7" s="31" t="n">
        <x:f>IF(C7=0,"",SUMIF('Species'!$G$2:$G$26,A7,'Species'!$U$2:$U$26))</x:f>
        <x:v>465200.2299896424</x:v>
      </x:c>
      <x:c r="J7" s="32" t="n">
        <x:v>4.154999732749881</x:v>
      </x:c>
      <x:c r="K7" s="32" t="n">
        <x:f>IF(J7="","",(1/'Metadata'!$B$5)^(J7-1))</x:f>
        <x:v>1428.8930792184146</x:v>
      </x:c>
      <x:c r="L7" s="31" t="n">
        <x:f>IF(E7=0,"",E7*K7)</x:f>
        <x:v>451927.25540186407</x:v>
      </x:c>
      <x:c r="M7" s="31" t="n">
        <x:f>IF(E7=0,"",I7-L7)</x:f>
        <x:v>13272.974587778328</x:v>
      </x:c>
      <x:c r="N7" s="32" t="n">
        <x:f>IF(L7=0,"",I7/L7)</x:f>
        <x:v>1.0293697147696386</x:v>
      </x:c>
      <x:c r="O7" s="34" t="n">
        <x:f>IF(L7=0,"",M7/L7)</x:f>
        <x:v>0.02936971476963852</x:v>
      </x:c>
    </x:row>
    <x:row r="8" ht="18" customHeight="1">
      <x:c r="A8" s="24" t="str">
        <x:v>Medium reef assoc. fish (30 - 89 cm)</x:v>
      </x:c>
      <x:c r="B8" s="33" t="n">
        <x:v>4</x:v>
      </x:c>
      <x:c r="C8" s="33" t="n">
        <x:v>4</x:v>
      </x:c>
      <x:c r="D8" s="31" t="n">
        <x:v>975.1896340384001</x:v>
      </x:c>
      <x:c r="E8" s="31" t="n">
        <x:v>975.1896340384001</x:v>
      </x:c>
      <x:c r="F8" s="32" t="n">
        <x:v>0</x:v>
      </x:c>
      <x:c r="G8" s="34" t="n">
        <x:v>1</x:v>
      </x:c>
      <x:c r="H8" s="32" t="n">
        <x:f>IF(E8=0,"",I8/E8)</x:f>
        <x:v>1136.0107671325907</x:v>
      </x:c>
      <x:c r="I8" s="31" t="n">
        <x:f>IF(C8=0,"",SUMIF('Species'!$G$2:$G$26,A8,'Species'!$U$2:$U$26))</x:f>
        <x:v>1107825.9242637132</x:v>
      </x:c>
      <x:c r="J8" s="32" t="n">
        <x:v>4.037837837837838</x:v>
      </x:c>
      <x:c r="K8" s="32" t="n">
        <x:f>IF(J8="","",(1/'Metadata'!$B$5)^(J8-1))</x:f>
        <x:v>1091.0328772409744</x:v>
      </x:c>
      <x:c r="L8" s="31" t="n">
        <x:f>IF(E8=0,"",E8*K8)</x:f>
        <x:v>1063963.9522804886</x:v>
      </x:c>
      <x:c r="M8" s="31" t="n">
        <x:f>IF(E8=0,"",I8-L8)</x:f>
        <x:v>43861.97198322462</x:v>
      </x:c>
      <x:c r="N8" s="32" t="n">
        <x:f>IF(L8=0,"",I8/L8)</x:f>
        <x:v>1.0412250545605528</x:v>
      </x:c>
      <x:c r="O8" s="34" t="n">
        <x:f>IF(L8=0,"",M8/L8)</x:f>
        <x:v>0.04122505456055288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30.854244508599997</x:v>
      </x:c>
      <x:c r="E9" s="31" t="n">
        <x:v>30.854244508599997</x:v>
      </x:c>
      <x:c r="F9" s="32" t="n">
        <x:v>0</x:v>
      </x:c>
      <x:c r="G9" s="34" t="n">
        <x:v>1</x:v>
      </x:c>
      <x:c r="H9" s="32" t="n">
        <x:f>IF(E9=0,"",I9/E9)</x:f>
        <x:v>10</x:v>
      </x:c>
      <x:c r="I9" s="31" t="n">
        <x:f>IF(C9=0,"",SUMIF('Species'!$G$2:$G$26,A9,'Species'!$U$2:$U$26))</x:f>
        <x:v>308.542445086</x:v>
      </x:c>
      <x:c r="J9" s="32" t="n">
        <x:v>2</x:v>
      </x:c>
      <x:c r="K9" s="32" t="n">
        <x:f>IF(J9="","",(1/'Metadata'!$B$5)^(J9-1))</x:f>
        <x:v>10</x:v>
      </x:c>
      <x:c r="L9" s="31" t="n">
        <x:f>IF(E9=0,"",E9*K9)</x:f>
        <x:v>308.542445086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Shrimps</x:v>
      </x:c>
      <x:c r="B10" s="33" t="n">
        <x:v>6</x:v>
      </x:c>
      <x:c r="C10" s="33" t="n">
        <x:v>6</x:v>
      </x:c>
      <x:c r="D10" s="31" t="n">
        <x:v>629.9656340071999</x:v>
      </x:c>
      <x:c r="E10" s="31" t="n">
        <x:v>629.9656340071999</x:v>
      </x:c>
      <x:c r="F10" s="32" t="n">
        <x:v>0</x:v>
      </x:c>
      <x:c r="G10" s="34" t="n">
        <x:v>1</x:v>
      </x:c>
      <x:c r="H10" s="32" t="n">
        <x:f>IF(E10=0,"",I10/E10)</x:f>
        <x:v>80.28153537759626</x:v>
      </x:c>
      <x:c r="I10" s="31" t="n">
        <x:f>IF(C10=0,"",SUMIF('Species'!$G$2:$G$26,A10,'Species'!$U$2:$U$26))</x:f>
        <x:v>50574.60833321887</x:v>
      </x:c>
      <x:c r="J10" s="32" t="n">
        <x:v>2.7909953881357614</x:v>
      </x:c>
      <x:c r="K10" s="32" t="n">
        <x:f>IF(J10="","",(1/'Metadata'!$B$5)^(J10-1))</x:f>
        <x:v>61.80098373274201</x:v>
      </x:c>
      <x:c r="L10" s="31" t="n">
        <x:f>IF(E10=0,"",E10*K10)</x:f>
        <x:v>38932.49589946547</x:v>
      </x:c>
      <x:c r="M10" s="31" t="n">
        <x:f>IF(E10=0,"",I10-L10)</x:f>
        <x:v>11642.112433753398</x:v>
      </x:c>
      <x:c r="N10" s="32" t="n">
        <x:f>IF(L10=0,"",I10/L10)</x:f>
        <x:v>1.299033292492127</x:v>
      </x:c>
      <x:c r="O10" s="34" t="n">
        <x:f>IF(L10=0,"",M10/L10)</x:f>
        <x:v>0.2990332924921271</x:v>
      </x:c>
    </x:row>
    <x:row r="11" ht="18" customHeight="1">
      <x:c r="A11" s="24" t="str">
        <x:v>Small benthopelagics (&lt;30 cm)</x:v>
      </x:c>
      <x:c r="B11" s="33" t="n">
        <x:v>1</x:v>
      </x:c>
      <x:c r="C11" s="33" t="n">
        <x:v>1</x:v>
      </x:c>
      <x:c r="D11" s="31" t="n">
        <x:v>158.1388595739</x:v>
      </x:c>
      <x:c r="E11" s="31" t="n">
        <x:v>158.1388595739</x:v>
      </x:c>
      <x:c r="F11" s="32" t="n">
        <x:v>0</x:v>
      </x:c>
      <x:c r="G11" s="34" t="n">
        <x:v>1</x:v>
      </x:c>
      <x:c r="H11" s="32" t="n">
        <x:f>IF(E11=0,"",I11/E11)</x:f>
        <x:v>107.1519305237606</x:v>
      </x:c>
      <x:c r="I11" s="31" t="n">
        <x:f>IF(C11=0,"",SUMIF('Species'!$G$2:$G$26,A11,'Species'!$U$2:$U$26))</x:f>
        <x:v>16944.884094169265</x:v>
      </x:c>
      <x:c r="J11" s="32" t="n">
        <x:v>3.03</x:v>
      </x:c>
      <x:c r="K11" s="32" t="n">
        <x:f>IF(J11="","",(1/'Metadata'!$B$5)^(J11-1))</x:f>
        <x:v>107.1519305237606</x:v>
      </x:c>
      <x:c r="L11" s="31" t="n">
        <x:f>IF(E11=0,"",E11*K11)</x:f>
        <x:v>16944.884094169265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demersals (&lt;30 cm)</x:v>
      </x:c>
      <x:c r="B12" s="33" t="n">
        <x:v>1</x:v>
      </x:c>
      <x:c r="C12" s="33" t="n">
        <x:v>1</x:v>
      </x:c>
      <x:c r="D12" s="31" t="n">
        <x:v>158.13885957370002</x:v>
      </x:c>
      <x:c r="E12" s="31" t="n">
        <x:v>158.13885957370002</x:v>
      </x:c>
      <x:c r="F12" s="32" t="n">
        <x:v>0</x:v>
      </x:c>
      <x:c r="G12" s="34" t="n">
        <x:v>1</x:v>
      </x:c>
      <x:c r="H12" s="32" t="n">
        <x:f>IF(E12=0,"",I12/E12)</x:f>
        <x:v>416.8693834703355</x:v>
      </x:c>
      <x:c r="I12" s="31" t="n">
        <x:f>IF(C12=0,"",SUMIF('Species'!$G$2:$G$26,A12,'Species'!$U$2:$U$26))</x:f>
        <x:v>65923.24889319029</x:v>
      </x:c>
      <x:c r="J12" s="32" t="n">
        <x:v>3.62</x:v>
      </x:c>
      <x:c r="K12" s="32" t="n">
        <x:f>IF(J12="","",(1/'Metadata'!$B$5)^(J12-1))</x:f>
        <x:v>416.8693834703355</x:v>
      </x:c>
      <x:c r="L12" s="31" t="n">
        <x:f>IF(E12=0,"",E12*K12)</x:f>
        <x:v>65923.24889319029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bb28726d80045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EEZ_920</x:v>
      </x:c>
      <x:c r="B2" s="24" t="str">
        <x:v>raw_filtered_tonnes</x:v>
      </x:c>
      <x:c r="C2" s="24" t="n">
        <x:v>6195.8538133156</x:v>
      </x:c>
      <x:c r="D2" s="24" t="str">
        <x:v>tonnes</x:v>
      </x:c>
    </x:row>
    <x:row r="3" ht="18" customHeight="1">
      <x:c r="A3" s="24" t="str">
        <x:v>EEZ_920</x:v>
      </x:c>
      <x:c r="B3" s="24" t="str">
        <x:v>species_catch_tonnes</x:v>
      </x:c>
      <x:c r="C3" s="24" t="n">
        <x:v>6195.853813315599</x:v>
      </x:c>
      <x:c r="D3" s="24" t="str">
        <x:v>tonnes</x:v>
      </x:c>
    </x:row>
    <x:row r="4" ht="18" customHeight="1">
      <x:c r="A4" s="24" t="str">
        <x:v>EEZ_920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EEZ_920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EEZ_920</x:v>
      </x:c>
      <x:c r="B6" s="24" t="str">
        <x:v>matched_catch_tonnes</x:v>
      </x:c>
      <x:c r="C6" s="24" t="n">
        <x:v>6195.853813315599</x:v>
      </x:c>
      <x:c r="D6" s="24" t="str">
        <x:v>tonnes</x:v>
      </x:c>
    </x:row>
    <x:row r="7" ht="18" customHeight="1">
      <x:c r="A7" s="24" t="str">
        <x:v>EEZ_920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EEZ_920</x:v>
      </x:c>
      <x:c r="B8" s="24" t="str">
        <x:v>taxa_count</x:v>
      </x:c>
      <x:c r="C8" s="24" t="n">
        <x:v>25</x:v>
      </x:c>
      <x:c r="D8" s="24" t="str">
        <x:v>count</x:v>
      </x:c>
    </x:row>
    <x:row r="9" ht="18" customHeight="1">
      <x:c r="A9" s="24" t="str">
        <x:v>EEZ_920</x:v>
      </x:c>
      <x:c r="B9" s="24" t="str">
        <x:v>matched_taxa_count</x:v>
      </x:c>
      <x:c r="C9" s="24" t="n">
        <x:v>25</x:v>
      </x:c>
      <x:c r="D9" s="24" t="str">
        <x:v>count</x:v>
      </x:c>
    </x:row>
    <x:row r="10" ht="18" customHeight="1">
      <x:c r="A10" s="24" t="str">
        <x:v>EEZ_920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EEZ_920</x:v>
      </x:c>
      <x:c r="B11" s="24" t="str">
        <x:v>species_ppr</x:v>
      </x:c>
      <x:c r="C11" s="24" t="n">
        <x:v>4673613.720149462</x:v>
      </x:c>
      <x:c r="D11" s="24" t="str">
        <x:v>tonnes_primary_production_equivalent</x:v>
      </x:c>
    </x:row>
    <x:row r="12" ht="18" customHeight="1">
      <x:c r="A12" s="24" t="str">
        <x:v>EEZ_920</x:v>
      </x:c>
      <x:c r="B12" s="24" t="str">
        <x:v>commercial_ppr</x:v>
      </x:c>
      <x:c r="C12" s="24" t="n">
        <x:v>4673613.720149463</x:v>
      </x:c>
      <x:c r="D12" s="24" t="str">
        <x:v>tonnes_primary_production_equivalent</x:v>
      </x:c>
    </x:row>
    <x:row r="13" ht="18" customHeight="1">
      <x:c r="A13" s="24" t="str">
        <x:v>EEZ_920</x:v>
      </x:c>
      <x:c r="B13" s="24" t="str">
        <x:v>functional_ppr</x:v>
      </x:c>
      <x:c r="C13" s="24" t="n">
        <x:v>4673613.720149461</x:v>
      </x:c>
      <x:c r="D13" s="24" t="str">
        <x:v>tonnes_primary_production_equivalent</x:v>
      </x:c>
    </x:row>
    <x:row r="14" ht="18" customHeight="1">
      <x:c r="A14" s="24" t="str">
        <x:v>EEZ_920</x:v>
      </x:c>
      <x:c r="B14" s="24" t="str">
        <x:v>commercial_ppr_difference</x:v>
      </x:c>
      <x:c r="C14" s="24" t="n">
        <x:v>9.313225746154785e-10</x:v>
      </x:c>
      <x:c r="D14" s="24" t="str">
        <x:v>tonnes_primary_production_equivalent</x:v>
      </x:c>
    </x:row>
    <x:row r="15" ht="18" customHeight="1">
      <x:c r="A15" s="24" t="str">
        <x:v>EEZ_920</x:v>
      </x:c>
      <x:c r="B15" s="24" t="str">
        <x:v>functional_ppr_difference</x:v>
      </x:c>
      <x:c r="C15" s="24" t="n">
        <x:v>-9.313225746154785e-10</x:v>
      </x:c>
      <x:c r="D15" s="24" t="str">
        <x:v>tonnes_primary_production_equivalent</x:v>
      </x:c>
    </x:row>
    <x:row r="16" ht="18" customHeight="1">
      <x:c r="A16" s="24" t="str">
        <x:v>EEZ_920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357ad0d839448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EEZ_920 - Honduras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