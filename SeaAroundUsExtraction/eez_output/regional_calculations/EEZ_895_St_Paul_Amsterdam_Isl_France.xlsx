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06a181a1e4a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8f42ce387a84bc5"/>
    <x:sheet xmlns:r="http://schemas.openxmlformats.org/officeDocument/2006/relationships" name="Commercial" sheetId="2" r:id="Rbd02e5cdcfe04cea"/>
    <x:sheet xmlns:r="http://schemas.openxmlformats.org/officeDocument/2006/relationships" name="Functional" sheetId="3" r:id="R1f70884ab394470c"/>
    <x:sheet xmlns:r="http://schemas.openxmlformats.org/officeDocument/2006/relationships" name="Missing TL" sheetId="4" r:id="R16b69292837a4c24"/>
    <x:sheet xmlns:r="http://schemas.openxmlformats.org/officeDocument/2006/relationships" name="Validation" sheetId="5" r:id="R9d6f5c961c314aed"/>
    <x:sheet xmlns:r="http://schemas.openxmlformats.org/officeDocument/2006/relationships" name="Metadata" sheetId="6" r:id="R43984064157048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48b14ce2ae4318" /><Relationship Type="http://schemas.openxmlformats.org/officeDocument/2006/relationships/theme" Target="/xl/theme/theme1.xml" Id="R6908435ecc9e4593" /><Relationship Type="http://schemas.microsoft.com/office/2022/11/relationships/FeaturePropertyBag" Target="/xl/featurePropertyBag/featurePropertyBag.xml" Id="R2b5f778be2f144e8" /><Relationship Type="http://schemas.openxmlformats.org/officeDocument/2006/relationships/sharedStrings" Target="/xl/sharedStrings.xml" Id="Rf96808100c104b3a" /><Relationship Type="http://schemas.openxmlformats.org/officeDocument/2006/relationships/worksheet" Target="/xl/worksheets/sheet1.xml" Id="R78f42ce387a84bc5" /><Relationship Type="http://schemas.openxmlformats.org/officeDocument/2006/relationships/worksheet" Target="/xl/worksheets/sheet2.xml" Id="Rbd02e5cdcfe04cea" /><Relationship Type="http://schemas.openxmlformats.org/officeDocument/2006/relationships/worksheet" Target="/xl/worksheets/sheet3.xml" Id="R1f70884ab394470c" /><Relationship Type="http://schemas.openxmlformats.org/officeDocument/2006/relationships/worksheet" Target="/xl/worksheets/sheet4.xml" Id="R16b69292837a4c24" /><Relationship Type="http://schemas.openxmlformats.org/officeDocument/2006/relationships/worksheet" Target="/xl/worksheets/sheet5.xml" Id="R9d6f5c961c314aed" /><Relationship Type="http://schemas.openxmlformats.org/officeDocument/2006/relationships/worksheet" Target="/xl/worksheets/sheet6.xml" Id="R43984064157048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95SpeciesTable" displayName="EEZ895SpeciesTable" ref="A1:U4" headerRowCount="1" totalsRowCount="0" totalsRowShown="0">
  <x:autoFilter ref="A1:U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95CommercialTable" displayName="EEZ895CommercialTable" ref="A1:O3" headerRowCount="1" totalsRowCount="0" totalsRowShown="0">
  <x:autoFilter ref="A1:O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95FunctionalTable" displayName="EEZ895FunctionalTable" ref="A1:O3" headerRowCount="1" totalsRowCount="0" totalsRowShown="0">
  <x:autoFilter ref="A1:O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95ValidationTable" displayName="EEZ895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de8d3e913a45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38b62579d748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3d2d10209f44b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434080f37043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EEZ_895</x:v>
      </x:c>
      <x:c r="B2" s="24" t="str">
        <x:v>St Paul &amp; Amsterdam Isl. (France)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428.96866088</x:v>
      </x:c>
      <x:c r="J2" s="31" t="n">
        <x:v>428.96866088</x:v>
      </x:c>
      <x:c r="K2" s="31" t="n">
        <x:v>0</x:v>
      </x:c>
      <x:c r="L2" s="31" t="n">
        <x:v>355</x:v>
      </x:c>
      <x:c r="M2" s="31" t="n">
        <x:v>73.96866088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81738.29325441371</x:v>
      </x:c>
    </x:row>
    <x:row r="3" ht="18" customHeight="1">
      <x:c r="A3" s="24" t="str">
        <x:v>EEZ_895</x:v>
      </x:c>
      <x:c r="B3" s="24" t="str">
        <x:v>St Paul &amp; Amsterdam Isl. (France)</x:v>
      </x:c>
      <x:c r="C3" s="24" t="str">
        <x:v>EEZ</x:v>
      </x:c>
      <x:c r="D3" s="30" t="n">
        <x:v>2019</x:v>
      </x:c>
      <x:c r="E3" s="24" t="str">
        <x:v>Marine finfishes not identified</x:v>
      </x:c>
      <x:c r="F3" s="24" t="str">
        <x:v>Finfishes</x:v>
      </x:c>
      <x:c r="G3" s="24" t="str">
        <x:v>Medium demersals (30 - 89 cm)</x:v>
      </x:c>
      <x:c r="H3" s="24" t="str">
        <x:v>Other fishes &amp; inverts</x:v>
      </x:c>
      <x:c r="I3" s="31" t="n">
        <x:v>65</x:v>
      </x:c>
      <x:c r="J3" s="31" t="n">
        <x:v>65</x:v>
      </x:c>
      <x:c r="K3" s="31" t="n">
        <x:v>0</x:v>
      </x:c>
      <x:c r="L3" s="31" t="n">
        <x:v>65</x:v>
      </x:c>
      <x:c r="M3" s="31" t="n">
        <x:v>0</x:v>
      </x:c>
      <x:c r="N3" s="24" t="str">
        <x:v>marine finfishes not identified</x:v>
      </x:c>
      <x:c r="O3" s="32" t="n">
        <x:v>3.23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finfishes not identified</x:v>
      </x:c>
      <x:c r="T3" s="32" t="n">
        <x:f>IF(O3="","",(1/'Metadata'!$B$5)^(O3-1))</x:f>
        <x:v>169.82436524617444</x:v>
      </x:c>
      <x:c r="U3" s="31" t="n">
        <x:f>IF(T3="","",I3*T3)</x:f>
        <x:v>11038.58374100134</x:v>
      </x:c>
    </x:row>
    <x:row r="4" ht="18" customHeight="1">
      <x:c r="A4" s="24" t="str">
        <x:v>EEZ_895</x:v>
      </x:c>
      <x:c r="B4" s="24" t="str">
        <x:v>St Paul &amp; Amsterdam Isl. (France)</x:v>
      </x:c>
      <x:c r="C4" s="24" t="str">
        <x:v>EEZ</x:v>
      </x:c>
      <x:c r="D4" s="30" t="n">
        <x:v>2019</x:v>
      </x:c>
      <x:c r="E4" s="24" t="str">
        <x:v>Seriola lalandi</x:v>
      </x:c>
      <x:c r="F4" s="24" t="str">
        <x:v>Yellowtail amberjack</x:v>
      </x:c>
      <x:c r="G4" s="24" t="str">
        <x:v>Large benthopelagics (&gt;=90 cm)</x:v>
      </x:c>
      <x:c r="H4" s="24" t="str">
        <x:v>Perch-likes</x:v>
      </x:c>
      <x:c r="I4" s="31" t="n">
        <x:v>3.3886859041</x:v>
      </x:c>
      <x:c r="J4" s="31" t="n">
        <x:v>3.3886859041</x:v>
      </x:c>
      <x:c r="K4" s="31" t="n">
        <x:v>0</x:v>
      </x:c>
      <x:c r="L4" s="31" t="n">
        <x:v>0</x:v>
      </x:c>
      <x:c r="M4" s="31" t="n">
        <x:v>3.3886859041</x:v>
      </x:c>
      <x:c r="N4" s="24" t="str">
        <x:v>seriola lalandi</x:v>
      </x:c>
      <x:c r="O4" s="32" t="n">
        <x:v>4.16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Seriola lalandi</x:v>
      </x:c>
      <x:c r="T4" s="32" t="n">
        <x:f>IF(O4="","",(1/'Metadata'!$B$5)^(O4-1))</x:f>
        <x:v>1445.439770745928</x:v>
      </x:c>
      <x:c r="U4" s="31" t="n">
        <x:f>IF(T4="","",I4*T4)</x:f>
        <x:v>4898.141376352261</x:v>
      </x:c>
    </x:row>
  </x:sheetData>
  <x:conditionalFormatting sqref="R2:R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9de8d3e913a45c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Other fishes &amp; inverts</x:v>
      </x:c>
      <x:c r="B2" s="33" t="n">
        <x:v>2</x:v>
      </x:c>
      <x:c r="C2" s="33" t="n">
        <x:v>2</x:v>
      </x:c>
      <x:c r="D2" s="31" t="n">
        <x:v>493.96866088</x:v>
      </x:c>
      <x:c r="E2" s="31" t="n">
        <x:v>493.96866088</x:v>
      </x:c>
      <x:c r="F2" s="32" t="n">
        <x:v>0</x:v>
      </x:c>
      <x:c r="G2" s="34" t="n">
        <x:v>1</x:v>
      </x:c>
      <x:c r="H2" s="32" t="n">
        <x:f>IF(E2=0,"",I2/E2)</x:f>
        <x:v>187.81935847941043</x:v>
      </x:c>
      <x:c r="I2" s="31" t="n">
        <x:f>IF(C2=0,"",SUMIF('Species'!$H$2:$H$4,A2,'Species'!$U$2:$U$4))</x:f>
        <x:v>92776.87699541505</x:v>
      </x:c>
      <x:c r="J2" s="32" t="n">
        <x:v>3.273420635239875</x:v>
      </x:c>
      <x:c r="K2" s="32" t="n">
        <x:f>IF(J2="","",(1/'Metadata'!$B$5)^(J2-1))</x:f>
        <x:v>187.6811410797061</x:v>
      </x:c>
      <x:c r="L2" s="31" t="n">
        <x:f>IF(E2=0,"",E2*K2)</x:f>
        <x:v>92708.60193157278</x:v>
      </x:c>
      <x:c r="M2" s="31" t="n">
        <x:f>IF(E2=0,"",I2-L2)</x:f>
        <x:v>68.27506384227308</x:v>
      </x:c>
      <x:c r="N2" s="32" t="n">
        <x:f>IF(L2=0,"",I2/L2)</x:f>
        <x:v>1.0007364479931717</x:v>
      </x:c>
      <x:c r="O2" s="34" t="n">
        <x:f>IF(L2=0,"",M2/L2)</x:f>
        <x:v>0.000736447993171833</x:v>
      </x:c>
    </x:row>
    <x:row r="3" ht="18" customHeight="1">
      <x:c r="A3" s="24" t="str">
        <x:v>Perch-likes</x:v>
      </x:c>
      <x:c r="B3" s="33" t="n">
        <x:v>1</x:v>
      </x:c>
      <x:c r="C3" s="33" t="n">
        <x:v>1</x:v>
      </x:c>
      <x:c r="D3" s="31" t="n">
        <x:v>3.3886859041</x:v>
      </x:c>
      <x:c r="E3" s="31" t="n">
        <x:v>3.3886859041</x:v>
      </x:c>
      <x:c r="F3" s="32" t="n">
        <x:v>0</x:v>
      </x:c>
      <x:c r="G3" s="34" t="n">
        <x:v>1</x:v>
      </x:c>
      <x:c r="H3" s="32" t="n">
        <x:f>IF(E3=0,"",I3/E3)</x:f>
        <x:v>1445.439770745928</x:v>
      </x:c>
      <x:c r="I3" s="31" t="n">
        <x:f>IF(C3=0,"",SUMIF('Species'!$H$2:$H$4,A3,'Species'!$U$2:$U$4))</x:f>
        <x:v>4898.141376352261</x:v>
      </x:c>
      <x:c r="J3" s="32" t="n">
        <x:v>4.16</x:v>
      </x:c>
      <x:c r="K3" s="32" t="n">
        <x:f>IF(J3="","",(1/'Metadata'!$B$5)^(J3-1))</x:f>
        <x:v>1445.439770745928</x:v>
      </x:c>
      <x:c r="L3" s="31" t="n">
        <x:f>IF(E3=0,"",E3*K3)</x:f>
        <x:v>4898.141376352261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</x:sheetData>
  <x:conditionalFormatting sqref="G2:G3">
    <x:cfRule type="cellIs" dxfId="1" priority="1" operator="lessThan">
      <x:formula>0.9</x:formula>
    </x:cfRule>
  </x:conditionalFormatting>
  <x:conditionalFormatting sqref="O2:O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b38b62579d748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1</x:v>
      </x:c>
      <x:c r="C2" s="33" t="n">
        <x:v>1</x:v>
      </x:c>
      <x:c r="D2" s="31" t="n">
        <x:v>3.3886859041</x:v>
      </x:c>
      <x:c r="E2" s="31" t="n">
        <x:v>3.3886859041</x:v>
      </x:c>
      <x:c r="F2" s="32" t="n">
        <x:v>0</x:v>
      </x:c>
      <x:c r="G2" s="34" t="n">
        <x:v>1</x:v>
      </x:c>
      <x:c r="H2" s="32" t="n">
        <x:f>IF(E2=0,"",I2/E2)</x:f>
        <x:v>1445.439770745928</x:v>
      </x:c>
      <x:c r="I2" s="31" t="n">
        <x:f>IF(C2=0,"",SUMIF('Species'!$G$2:$G$4,A2,'Species'!$U$2:$U$4))</x:f>
        <x:v>4898.141376352261</x:v>
      </x:c>
      <x:c r="J2" s="32" t="n">
        <x:v>4.16</x:v>
      </x:c>
      <x:c r="K2" s="32" t="n">
        <x:f>IF(J2="","",(1/'Metadata'!$B$5)^(J2-1))</x:f>
        <x:v>1445.439770745928</x:v>
      </x:c>
      <x:c r="L2" s="31" t="n">
        <x:f>IF(E2=0,"",E2*K2)</x:f>
        <x:v>4898.141376352261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Medium demersals (30 - 89 cm)</x:v>
      </x:c>
      <x:c r="B3" s="33" t="n">
        <x:v>2</x:v>
      </x:c>
      <x:c r="C3" s="33" t="n">
        <x:v>2</x:v>
      </x:c>
      <x:c r="D3" s="31" t="n">
        <x:v>493.96866088</x:v>
      </x:c>
      <x:c r="E3" s="31" t="n">
        <x:v>493.96866088</x:v>
      </x:c>
      <x:c r="F3" s="32" t="n">
        <x:v>0</x:v>
      </x:c>
      <x:c r="G3" s="34" t="n">
        <x:v>1</x:v>
      </x:c>
      <x:c r="H3" s="32" t="n">
        <x:f>IF(E3=0,"",I3/E3)</x:f>
        <x:v>187.81935847941043</x:v>
      </x:c>
      <x:c r="I3" s="31" t="n">
        <x:f>IF(C3=0,"",SUMIF('Species'!$G$2:$G$4,A3,'Species'!$U$2:$U$4))</x:f>
        <x:v>92776.87699541505</x:v>
      </x:c>
      <x:c r="J3" s="32" t="n">
        <x:v>3.273420635239875</x:v>
      </x:c>
      <x:c r="K3" s="32" t="n">
        <x:f>IF(J3="","",(1/'Metadata'!$B$5)^(J3-1))</x:f>
        <x:v>187.6811410797061</x:v>
      </x:c>
      <x:c r="L3" s="31" t="n">
        <x:f>IF(E3=0,"",E3*K3)</x:f>
        <x:v>92708.60193157278</x:v>
      </x:c>
      <x:c r="M3" s="31" t="n">
        <x:f>IF(E3=0,"",I3-L3)</x:f>
        <x:v>68.27506384227308</x:v>
      </x:c>
      <x:c r="N3" s="32" t="n">
        <x:f>IF(L3=0,"",I3/L3)</x:f>
        <x:v>1.0007364479931717</x:v>
      </x:c>
      <x:c r="O3" s="34" t="n">
        <x:f>IF(L3=0,"",M3/L3)</x:f>
        <x:v>0.000736447993171833</x:v>
      </x:c>
    </x:row>
  </x:sheetData>
  <x:conditionalFormatting sqref="G2:G3">
    <x:cfRule type="cellIs" dxfId="2" priority="1" operator="lessThan">
      <x:formula>0.9</x:formula>
    </x:cfRule>
  </x:conditionalFormatting>
  <x:conditionalFormatting sqref="O2:O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3d2d10209f44b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EEZ_895</x:v>
      </x:c>
      <x:c r="B2" s="24" t="str">
        <x:v>raw_filtered_tonnes</x:v>
      </x:c>
      <x:c r="C2" s="24" t="n">
        <x:v>497.3573467841</x:v>
      </x:c>
      <x:c r="D2" s="24" t="str">
        <x:v>tonnes</x:v>
      </x:c>
    </x:row>
    <x:row r="3" ht="18" customHeight="1">
      <x:c r="A3" s="24" t="str">
        <x:v>EEZ_895</x:v>
      </x:c>
      <x:c r="B3" s="24" t="str">
        <x:v>species_catch_tonnes</x:v>
      </x:c>
      <x:c r="C3" s="24" t="n">
        <x:v>497.3573467841</x:v>
      </x:c>
      <x:c r="D3" s="24" t="str">
        <x:v>tonnes</x:v>
      </x:c>
    </x:row>
    <x:row r="4" ht="18" customHeight="1">
      <x:c r="A4" s="24" t="str">
        <x:v>EEZ_895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EEZ_895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EEZ_895</x:v>
      </x:c>
      <x:c r="B6" s="24" t="str">
        <x:v>matched_catch_tonnes</x:v>
      </x:c>
      <x:c r="C6" s="24" t="n">
        <x:v>497.3573467841</x:v>
      </x:c>
      <x:c r="D6" s="24" t="str">
        <x:v>tonnes</x:v>
      </x:c>
    </x:row>
    <x:row r="7" ht="18" customHeight="1">
      <x:c r="A7" s="24" t="str">
        <x:v>EEZ_895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EEZ_895</x:v>
      </x:c>
      <x:c r="B8" s="24" t="str">
        <x:v>taxa_count</x:v>
      </x:c>
      <x:c r="C8" s="24" t="n">
        <x:v>3</x:v>
      </x:c>
      <x:c r="D8" s="24" t="str">
        <x:v>count</x:v>
      </x:c>
    </x:row>
    <x:row r="9" ht="18" customHeight="1">
      <x:c r="A9" s="24" t="str">
        <x:v>EEZ_895</x:v>
      </x:c>
      <x:c r="B9" s="24" t="str">
        <x:v>matched_taxa_count</x:v>
      </x:c>
      <x:c r="C9" s="24" t="n">
        <x:v>3</x:v>
      </x:c>
      <x:c r="D9" s="24" t="str">
        <x:v>count</x:v>
      </x:c>
    </x:row>
    <x:row r="10" ht="18" customHeight="1">
      <x:c r="A10" s="24" t="str">
        <x:v>EEZ_895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EEZ_895</x:v>
      </x:c>
      <x:c r="B11" s="24" t="str">
        <x:v>species_ppr</x:v>
      </x:c>
      <x:c r="C11" s="24" t="n">
        <x:v>97675.0183717673</x:v>
      </x:c>
      <x:c r="D11" s="24" t="str">
        <x:v>tonnes_primary_production_equivalent</x:v>
      </x:c>
    </x:row>
    <x:row r="12" ht="18" customHeight="1">
      <x:c r="A12" s="24" t="str">
        <x:v>EEZ_895</x:v>
      </x:c>
      <x:c r="B12" s="24" t="str">
        <x:v>commercial_ppr</x:v>
      </x:c>
      <x:c r="C12" s="24" t="n">
        <x:v>97675.0183717673</x:v>
      </x:c>
      <x:c r="D12" s="24" t="str">
        <x:v>tonnes_primary_production_equivalent</x:v>
      </x:c>
    </x:row>
    <x:row r="13" ht="18" customHeight="1">
      <x:c r="A13" s="24" t="str">
        <x:v>EEZ_895</x:v>
      </x:c>
      <x:c r="B13" s="24" t="str">
        <x:v>functional_ppr</x:v>
      </x:c>
      <x:c r="C13" s="24" t="n">
        <x:v>97675.0183717673</x:v>
      </x:c>
      <x:c r="D13" s="24" t="str">
        <x:v>tonnes_primary_production_equivalent</x:v>
      </x:c>
    </x:row>
    <x:row r="14" ht="18" customHeight="1">
      <x:c r="A14" s="24" t="str">
        <x:v>EEZ_895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EEZ_895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EEZ_895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EEZ_895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EEZ_895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EEZ_895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52434080f37043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EEZ_895 - St Paul &amp; Amsterdam Isl. (France)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EEZ_895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raw_data/SAU_downloads/EEZ_895-catch.zip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