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1af2360b514f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281bc48656364626"/>
    <x:sheet xmlns:r="http://schemas.openxmlformats.org/officeDocument/2006/relationships" name="Commercial" sheetId="2" r:id="R1ddeaa1780a244bc"/>
    <x:sheet xmlns:r="http://schemas.openxmlformats.org/officeDocument/2006/relationships" name="Functional" sheetId="3" r:id="Rb2a6e7d0de2c4ec2"/>
    <x:sheet xmlns:r="http://schemas.openxmlformats.org/officeDocument/2006/relationships" name="Missing TL" sheetId="4" r:id="Rbb9affd6d66444ae"/>
    <x:sheet xmlns:r="http://schemas.openxmlformats.org/officeDocument/2006/relationships" name="Validation" sheetId="5" r:id="R5aaca9084c2c4257"/>
    <x:sheet xmlns:r="http://schemas.openxmlformats.org/officeDocument/2006/relationships" name="Metadata" sheetId="6" r:id="Ra3acf22a879540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dba12068fa4aaf" /><Relationship Type="http://schemas.openxmlformats.org/officeDocument/2006/relationships/theme" Target="/xl/theme/theme1.xml" Id="Rea058a18ae464de5" /><Relationship Type="http://schemas.microsoft.com/office/2022/11/relationships/FeaturePropertyBag" Target="/xl/featurePropertyBag/featurePropertyBag.xml" Id="R1d143140152042f2" /><Relationship Type="http://schemas.openxmlformats.org/officeDocument/2006/relationships/sharedStrings" Target="/xl/sharedStrings.xml" Id="R12740f1dd04f4cb8" /><Relationship Type="http://schemas.openxmlformats.org/officeDocument/2006/relationships/worksheet" Target="/xl/worksheets/sheet1.xml" Id="R281bc48656364626" /><Relationship Type="http://schemas.openxmlformats.org/officeDocument/2006/relationships/worksheet" Target="/xl/worksheets/sheet2.xml" Id="R1ddeaa1780a244bc" /><Relationship Type="http://schemas.openxmlformats.org/officeDocument/2006/relationships/worksheet" Target="/xl/worksheets/sheet3.xml" Id="Rb2a6e7d0de2c4ec2" /><Relationship Type="http://schemas.openxmlformats.org/officeDocument/2006/relationships/worksheet" Target="/xl/worksheets/sheet4.xml" Id="Rbb9affd6d66444ae" /><Relationship Type="http://schemas.openxmlformats.org/officeDocument/2006/relationships/worksheet" Target="/xl/worksheets/sheet5.xml" Id="R5aaca9084c2c4257" /><Relationship Type="http://schemas.openxmlformats.org/officeDocument/2006/relationships/worksheet" Target="/xl/worksheets/sheet6.xml" Id="Ra3acf22a8795402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056SpeciesTable" displayName="EEZ056SpeciesTable" ref="A1:U154" headerRowCount="1" totalsRowCount="0" totalsRowShown="0">
  <x:autoFilter ref="A1:U154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056CommercialTable" displayName="EEZ056CommercialTable" ref="A1:O12" headerRowCount="1" totalsRowCount="0" totalsRowShown="0">
  <x:autoFilter ref="A1:O12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056FunctionalTable" displayName="EEZ056FunctionalTable" ref="A1:O24" headerRowCount="1" totalsRowCount="0" totalsRowShown="0">
  <x:autoFilter ref="A1:O24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056ValidationTable" displayName="EEZ056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929ac130108434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84fd8d375df482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ab8a038708346e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a3d561275fe40e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EEZ_056</x:v>
      </x:c>
      <x:c r="B2" s="24" t="str">
        <x:v>Belgium</x:v>
      </x:c>
      <x:c r="C2" s="24" t="str">
        <x:v>EEZ</x:v>
      </x:c>
      <x:c r="D2" s="30" t="n">
        <x:v>2019</x:v>
      </x:c>
      <x:c r="E2" s="24" t="str">
        <x:v>Crangon crangon</x:v>
      </x:c>
      <x:c r="F2" s="24" t="str">
        <x:v>Common shrimp</x:v>
      </x:c>
      <x:c r="G2" s="24" t="str">
        <x:v>Shrimps</x:v>
      </x:c>
      <x:c r="H2" s="24" t="str">
        <x:v>Crustaceans</x:v>
      </x:c>
      <x:c r="I2" s="31" t="n">
        <x:v>889.6840921610001</x:v>
      </x:c>
      <x:c r="J2" s="31" t="n">
        <x:v>405.38045867740004</x:v>
      </x:c>
      <x:c r="K2" s="31" t="n">
        <x:v>484.30363348360004</x:v>
      </x:c>
      <x:c r="L2" s="31" t="n">
        <x:v>351.31427244120005</x:v>
      </x:c>
      <x:c r="M2" s="31" t="n">
        <x:v>538.3698197198</x:v>
      </x:c>
      <x:c r="N2" s="24" t="str">
        <x:v>crangon crangon</x:v>
      </x:c>
      <x:c r="O2" s="32" t="n">
        <x:v>3.19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Crangon crangon</x:v>
      </x:c>
      <x:c r="T2" s="32" t="n">
        <x:f>IF(O2="","",(1/'Metadata'!$B$5)^(O2-1))</x:f>
        <x:v>154.88166189124811</x:v>
      </x:c>
      <x:c r="U2" s="31" t="n">
        <x:f>IF(T2="","",I2*T2)</x:f>
        <x:v>137795.75075210203</x:v>
      </x:c>
    </x:row>
    <x:row r="3" ht="18" customHeight="1">
      <x:c r="A3" s="24" t="str">
        <x:v>EEZ_056</x:v>
      </x:c>
      <x:c r="B3" s="24" t="str">
        <x:v>Belgium</x:v>
      </x:c>
      <x:c r="C3" s="24" t="str">
        <x:v>EEZ</x:v>
      </x:c>
      <x:c r="D3" s="30" t="n">
        <x:v>2019</x:v>
      </x:c>
      <x:c r="E3" s="24" t="str">
        <x:v>Pleuronectes platessa</x:v>
      </x:c>
      <x:c r="F3" s="24" t="str">
        <x:v>European plaice</x:v>
      </x:c>
      <x:c r="G3" s="24" t="str">
        <x:v>Large flatfishes (&gt;=90 cm)</x:v>
      </x:c>
      <x:c r="H3" s="24" t="str">
        <x:v>Flatfishes</x:v>
      </x:c>
      <x:c r="I3" s="31" t="n">
        <x:v>765.2700733397</x:v>
      </x:c>
      <x:c r="J3" s="31" t="n">
        <x:v>360.92145122520003</x:v>
      </x:c>
      <x:c r="K3" s="31" t="n">
        <x:v>404.3486221145</x:v>
      </x:c>
      <x:c r="L3" s="31" t="n">
        <x:v>343.45583515010003</x:v>
      </x:c>
      <x:c r="M3" s="31" t="n">
        <x:v>421.8142381896</x:v>
      </x:c>
      <x:c r="N3" s="24" t="str">
        <x:v>pleuronectes platessa</x:v>
      </x:c>
      <x:c r="O3" s="32" t="n">
        <x:v>3.26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Pleuronectes platessa</x:v>
      </x:c>
      <x:c r="T3" s="32" t="n">
        <x:f>IF(O3="","",(1/'Metadata'!$B$5)^(O3-1))</x:f>
        <x:v>181.97008586099827</x:v>
      </x:c>
      <x:c r="U3" s="31" t="n">
        <x:f>IF(T3="","",I3*T3)</x:f>
        <x:v>139256.26095247766</x:v>
      </x:c>
    </x:row>
    <x:row r="4" ht="18" customHeight="1">
      <x:c r="A4" s="24" t="str">
        <x:v>EEZ_056</x:v>
      </x:c>
      <x:c r="B4" s="24" t="str">
        <x:v>Belgium</x:v>
      </x:c>
      <x:c r="C4" s="24" t="str">
        <x:v>EEZ</x:v>
      </x:c>
      <x:c r="D4" s="30" t="n">
        <x:v>2019</x:v>
      </x:c>
      <x:c r="E4" s="24" t="str">
        <x:v>Limanda limanda</x:v>
      </x:c>
      <x:c r="F4" s="24" t="str">
        <x:v>Common dab</x:v>
      </x:c>
      <x:c r="G4" s="24" t="str">
        <x:v>Small to medium flatfishes (&lt;90 cm)</x:v>
      </x:c>
      <x:c r="H4" s="24" t="str">
        <x:v>Flatfishes</x:v>
      </x:c>
      <x:c r="I4" s="31" t="n">
        <x:v>505.9434184916</x:v>
      </x:c>
      <x:c r="J4" s="31" t="n">
        <x:v>34.8258265899</x:v>
      </x:c>
      <x:c r="K4" s="31" t="n">
        <x:v>471.1175919017</x:v>
      </x:c>
      <x:c r="L4" s="31" t="n">
        <x:v>34.007055076</x:v>
      </x:c>
      <x:c r="M4" s="31" t="n">
        <x:v>471.9363634156</x:v>
      </x:c>
      <x:c r="N4" s="24" t="str">
        <x:v>limanda limanda</x:v>
      </x:c>
      <x:c r="O4" s="32" t="n">
        <x:v>3.29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Limanda limanda</x:v>
      </x:c>
      <x:c r="T4" s="32" t="n">
        <x:f>IF(O4="","",(1/'Metadata'!$B$5)^(O4-1))</x:f>
        <x:v>194.98445997580455</x:v>
      </x:c>
      <x:c r="U4" s="31" t="n">
        <x:f>IF(T4="","",I4*T4)</x:f>
        <x:v>98651.10423289712</x:v>
      </x:c>
    </x:row>
    <x:row r="5" ht="18" customHeight="1">
      <x:c r="A5" s="24" t="str">
        <x:v>EEZ_056</x:v>
      </x:c>
      <x:c r="B5" s="24" t="str">
        <x:v>Belgium</x:v>
      </x:c>
      <x:c r="C5" s="24" t="str">
        <x:v>EEZ</x:v>
      </x:c>
      <x:c r="D5" s="30" t="n">
        <x:v>2019</x:v>
      </x:c>
      <x:c r="E5" s="24" t="str">
        <x:v>Cancer pagurus</x:v>
      </x:c>
      <x:c r="F5" s="24" t="str">
        <x:v>Edible crab</x:v>
      </x:c>
      <x:c r="G5" s="24" t="str">
        <x:v>Lobsters, crabs</x:v>
      </x:c>
      <x:c r="H5" s="24" t="str">
        <x:v>Crustaceans</x:v>
      </x:c>
      <x:c r="I5" s="31" t="n">
        <x:v>485.06414847599996</x:v>
      </x:c>
      <x:c r="J5" s="31" t="n">
        <x:v>25.420545834</x:v>
      </x:c>
      <x:c r="K5" s="31" t="n">
        <x:v>459.64360264199996</x:v>
      </x:c>
      <x:c r="L5" s="31" t="n">
        <x:v>25.420545834</x:v>
      </x:c>
      <x:c r="M5" s="31" t="n">
        <x:v>459.64360264199996</x:v>
      </x:c>
      <x:c r="N5" s="24" t="str">
        <x:v>cancer pagurus</x:v>
      </x:c>
      <x:c r="O5" s="32" t="n">
        <x:v>3.1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Cancer pagurus</x:v>
      </x:c>
      <x:c r="T5" s="32" t="n">
        <x:f>IF(O5="","",(1/'Metadata'!$B$5)^(O5-1))</x:f>
        <x:v>125.89254117941675</x:v>
      </x:c>
      <x:c r="U5" s="31" t="n">
        <x:f>IF(T5="","",I5*T5)</x:f>
        <x:v>61065.95828667354</x:v>
      </x:c>
    </x:row>
    <x:row r="6" ht="18" customHeight="1">
      <x:c r="A6" s="24" t="str">
        <x:v>EEZ_056</x:v>
      </x:c>
      <x:c r="B6" s="24" t="str">
        <x:v>Belgium</x:v>
      </x:c>
      <x:c r="C6" s="24" t="str">
        <x:v>EEZ</x:v>
      </x:c>
      <x:c r="D6" s="30" t="n">
        <x:v>2019</x:v>
      </x:c>
      <x:c r="E6" s="24" t="str">
        <x:v>Merlangius merlangus</x:v>
      </x:c>
      <x:c r="F6" s="24" t="str">
        <x:v>Whiting</x:v>
      </x:c>
      <x:c r="G6" s="24" t="str">
        <x:v>Medium benthopelagics (30 - 89 cm)</x:v>
      </x:c>
      <x:c r="H6" s="24" t="str">
        <x:v>Cod-likes</x:v>
      </x:c>
      <x:c r="I6" s="31" t="n">
        <x:v>364.5805369491</x:v>
      </x:c>
      <x:c r="J6" s="31" t="n">
        <x:v>54.8364579897</x:v>
      </x:c>
      <x:c r="K6" s="31" t="n">
        <x:v>309.74407895940004</x:v>
      </x:c>
      <x:c r="L6" s="31" t="n">
        <x:v>53.628584220200004</x:v>
      </x:c>
      <x:c r="M6" s="31" t="n">
        <x:v>310.9519527289</x:v>
      </x:c>
      <x:c r="N6" s="24" t="str">
        <x:v>merlangius merlangus</x:v>
      </x:c>
      <x:c r="O6" s="32" t="n">
        <x:v>4.36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Merlangius merlangus</x:v>
      </x:c>
      <x:c r="T6" s="32" t="n">
        <x:f>IF(O6="","",(1/'Metadata'!$B$5)^(O6-1))</x:f>
        <x:v>2290.867652767775</x:v>
      </x:c>
      <x:c r="U6" s="31" t="n">
        <x:f>IF(T6="","",I6*T6)</x:f>
        <x:v>835205.7589253997</x:v>
      </x:c>
    </x:row>
    <x:row r="7" ht="18" customHeight="1">
      <x:c r="A7" s="24" t="str">
        <x:v>EEZ_056</x:v>
      </x:c>
      <x:c r="B7" s="24" t="str">
        <x:v>Belgium</x:v>
      </x:c>
      <x:c r="C7" s="24" t="str">
        <x:v>EEZ</x:v>
      </x:c>
      <x:c r="D7" s="30" t="n">
        <x:v>2019</x:v>
      </x:c>
      <x:c r="E7" s="24" t="str">
        <x:v>Solea solea</x:v>
      </x:c>
      <x:c r="F7" s="24" t="str">
        <x:v>Common sole</x:v>
      </x:c>
      <x:c r="G7" s="24" t="str">
        <x:v>Small to medium flatfishes (&lt;90 cm)</x:v>
      </x:c>
      <x:c r="H7" s="24" t="str">
        <x:v>Flatfishes</x:v>
      </x:c>
      <x:c r="I7" s="31" t="n">
        <x:v>336.4581063265</x:v>
      </x:c>
      <x:c r="J7" s="31" t="n">
        <x:v>243.5037908625</x:v>
      </x:c>
      <x:c r="K7" s="31" t="n">
        <x:v>92.954315464</x:v>
      </x:c>
      <x:c r="L7" s="31" t="n">
        <x:v>229.3053564521</x:v>
      </x:c>
      <x:c r="M7" s="31" t="n">
        <x:v>107.1527498744</x:v>
      </x:c>
      <x:c r="N7" s="24" t="str">
        <x:v>solea solea</x:v>
      </x:c>
      <x:c r="O7" s="32" t="n">
        <x:v>3.21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Solea solea</x:v>
      </x:c>
      <x:c r="T7" s="32" t="n">
        <x:f>IF(O7="","",(1/'Metadata'!$B$5)^(O7-1))</x:f>
        <x:v>162.18100973589299</x:v>
      </x:c>
      <x:c r="U7" s="31" t="n">
        <x:f>IF(T7="","",I7*T7)</x:f>
        <x:v>54567.115417858215</x:v>
      </x:c>
    </x:row>
    <x:row r="8" ht="18" customHeight="1">
      <x:c r="A8" s="24" t="str">
        <x:v>EEZ_056</x:v>
      </x:c>
      <x:c r="B8" s="24" t="str">
        <x:v>Belgium</x:v>
      </x:c>
      <x:c r="C8" s="24" t="str">
        <x:v>EEZ</x:v>
      </x:c>
      <x:c r="D8" s="30" t="n">
        <x:v>2019</x:v>
      </x:c>
      <x:c r="E8" s="24" t="str">
        <x:v>Ensis siliqua</x:v>
      </x:c>
      <x:c r="F8" s="24" t="str">
        <x:v>Sword razor shell</x:v>
      </x:c>
      <x:c r="G8" s="24" t="str">
        <x:v>Other demersal invertebrates</x:v>
      </x:c>
      <x:c r="H8" s="24" t="str">
        <x:v>Molluscs</x:v>
      </x:c>
      <x:c r="I8" s="31" t="n">
        <x:v>138.8029222715</x:v>
      </x:c>
      <x:c r="J8" s="31" t="n">
        <x:v>138.8029222715</x:v>
      </x:c>
      <x:c r="K8" s="31" t="n">
        <x:v>0</x:v>
      </x:c>
      <x:c r="L8" s="31" t="n">
        <x:v>138.8029222715</x:v>
      </x:c>
      <x:c r="M8" s="31" t="n">
        <x:v>0</x:v>
      </x:c>
      <x:c r="N8" s="24" t="str">
        <x:v>ensis siliqua</x:v>
      </x:c>
      <x:c r="O8" s="32" t="n">
        <x:v>2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Ensis siliqua</x:v>
      </x:c>
      <x:c r="T8" s="32" t="n">
        <x:f>IF(O8="","",(1/'Metadata'!$B$5)^(O8-1))</x:f>
        <x:v>10</x:v>
      </x:c>
      <x:c r="U8" s="31" t="n">
        <x:f>IF(T8="","",I8*T8)</x:f>
        <x:v>1388.0292227149998</x:v>
      </x:c>
    </x:row>
    <x:row r="9" ht="18" customHeight="1">
      <x:c r="A9" s="24" t="str">
        <x:v>EEZ_056</x:v>
      </x:c>
      <x:c r="B9" s="24" t="str">
        <x:v>Belgium</x:v>
      </x:c>
      <x:c r="C9" s="24" t="str">
        <x:v>EEZ</x:v>
      </x:c>
      <x:c r="D9" s="30" t="n">
        <x:v>2019</x:v>
      </x:c>
      <x:c r="E9" s="24" t="str">
        <x:v>Gadus morhua</x:v>
      </x:c>
      <x:c r="F9" s="24" t="str">
        <x:v>Atlantic cod</x:v>
      </x:c>
      <x:c r="G9" s="24" t="str">
        <x:v>Large benthopelagics (&gt;=90 cm)</x:v>
      </x:c>
      <x:c r="H9" s="24" t="str">
        <x:v>Cod-likes</x:v>
      </x:c>
      <x:c r="I9" s="31" t="n">
        <x:v>84.021266622</x:v>
      </x:c>
      <x:c r="J9" s="31" t="n">
        <x:v>71.3363965474</x:v>
      </x:c>
      <x:c r="K9" s="31" t="n">
        <x:v>12.6848700746</x:v>
      </x:c>
      <x:c r="L9" s="31" t="n">
        <x:v>41.0006662823</x:v>
      </x:c>
      <x:c r="M9" s="31" t="n">
        <x:v>43.020600339699996</x:v>
      </x:c>
      <x:c r="N9" s="24" t="str">
        <x:v>gadus morhua</x:v>
      </x:c>
      <x:c r="O9" s="32" t="n">
        <x:v>4.09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Gadus morhua</x:v>
      </x:c>
      <x:c r="T9" s="32" t="n">
        <x:f>IF(O9="","",(1/'Metadata'!$B$5)^(O9-1))</x:f>
        <x:v>1230.268770812381</x:v>
      </x:c>
      <x:c r="U9" s="31" t="n">
        <x:f>IF(T9="","",I9*T9)</x:f>
        <x:v>103368.74040914727</x:v>
      </x:c>
    </x:row>
    <x:row r="10" ht="18" customHeight="1">
      <x:c r="A10" s="24" t="str">
        <x:v>EEZ_056</x:v>
      </x:c>
      <x:c r="B10" s="24" t="str">
        <x:v>Belgium</x:v>
      </x:c>
      <x:c r="C10" s="24" t="str">
        <x:v>EEZ</x:v>
      </x:c>
      <x:c r="D10" s="30" t="n">
        <x:v>2019</x:v>
      </x:c>
      <x:c r="E10" s="24" t="str">
        <x:v>Marine fishes not identified</x:v>
      </x:c>
      <x:c r="F10" s="24" t="str">
        <x:v>Marine fishes nei</x:v>
      </x:c>
      <x:c r="G10" s="24" t="str">
        <x:v>Medium demersals (30 - 89 cm)</x:v>
      </x:c>
      <x:c r="H10" s="24" t="str">
        <x:v>Other fishes &amp; inverts</x:v>
      </x:c>
      <x:c r="I10" s="31" t="n">
        <x:v>80.80049916</x:v>
      </x:c>
      <x:c r="J10" s="31" t="n">
        <x:v>42.5879817466</x:v>
      </x:c>
      <x:c r="K10" s="31" t="n">
        <x:v>38.2125174134</x:v>
      </x:c>
      <x:c r="L10" s="31" t="n">
        <x:v>42.3723994497</x:v>
      </x:c>
      <x:c r="M10" s="31" t="n">
        <x:v>38.4280997103</x:v>
      </x:c>
      <x:c r="N10" s="24" t="str">
        <x:v>marine fishes not identified</x:v>
      </x:c>
      <x:c r="O10" s="32" t="n">
        <x:v>3.28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Marine fishes not identified</x:v>
      </x:c>
      <x:c r="T10" s="32" t="n">
        <x:f>IF(O10="","",(1/'Metadata'!$B$5)^(O10-1))</x:f>
        <x:v>190.54607179632464</x:v>
      </x:c>
      <x:c r="U10" s="31" t="n">
        <x:f>IF(T10="","",I10*T10)</x:f>
        <x:v>15396.217714120228</x:v>
      </x:c>
    </x:row>
    <x:row r="11" ht="18" customHeight="1">
      <x:c r="A11" s="24" t="str">
        <x:v>EEZ_056</x:v>
      </x:c>
      <x:c r="B11" s="24" t="str">
        <x:v>Belgium</x:v>
      </x:c>
      <x:c r="C11" s="24" t="str">
        <x:v>EEZ</x:v>
      </x:c>
      <x:c r="D11" s="30" t="n">
        <x:v>2019</x:v>
      </x:c>
      <x:c r="E11" s="24" t="str">
        <x:v>Spisula solida</x:v>
      </x:c>
      <x:c r="F11" s="24" t="str">
        <x:v>Surf clam</x:v>
      </x:c>
      <x:c r="G11" s="24" t="str">
        <x:v>Other demersal invertebrates</x:v>
      </x:c>
      <x:c r="H11" s="24" t="str">
        <x:v>Molluscs</x:v>
      </x:c>
      <x:c r="I11" s="31" t="n">
        <x:v>65.4591240041</x:v>
      </x:c>
      <x:c r="J11" s="31" t="n">
        <x:v>65.4591240041</x:v>
      </x:c>
      <x:c r="K11" s="31" t="n">
        <x:v>0</x:v>
      </x:c>
      <x:c r="L11" s="31" t="n">
        <x:v>65.4591240041</x:v>
      </x:c>
      <x:c r="M11" s="31" t="n">
        <x:v>0</x:v>
      </x:c>
      <x:c r="N11" s="24" t="str">
        <x:v>spisula solida</x:v>
      </x:c>
      <x:c r="O11" s="32" t="n">
        <x:v>2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Spisula solida</x:v>
      </x:c>
      <x:c r="T11" s="32" t="n">
        <x:f>IF(O11="","",(1/'Metadata'!$B$5)^(O11-1))</x:f>
        <x:v>10</x:v>
      </x:c>
      <x:c r="U11" s="31" t="n">
        <x:f>IF(T11="","",I11*T11)</x:f>
        <x:v>654.591240041</x:v>
      </x:c>
    </x:row>
    <x:row r="12" ht="18" customHeight="1">
      <x:c r="A12" s="24" t="str">
        <x:v>EEZ_056</x:v>
      </x:c>
      <x:c r="B12" s="24" t="str">
        <x:v>Belgium</x:v>
      </x:c>
      <x:c r="C12" s="24" t="str">
        <x:v>EEZ</x:v>
      </x:c>
      <x:c r="D12" s="30" t="n">
        <x:v>2019</x:v>
      </x:c>
      <x:c r="E12" s="24" t="str">
        <x:v>Chelidonichthys lucerna</x:v>
      </x:c>
      <x:c r="F12" s="24" t="str">
        <x:v>Tub gurnard</x:v>
      </x:c>
      <x:c r="G12" s="24" t="str">
        <x:v>Medium demersals (30 - 89 cm)</x:v>
      </x:c>
      <x:c r="H12" s="24" t="str">
        <x:v>Scorpionfishes</x:v>
      </x:c>
      <x:c r="I12" s="31" t="n">
        <x:v>50.8813709127</x:v>
      </x:c>
      <x:c r="J12" s="31" t="n">
        <x:v>46.1886063755</x:v>
      </x:c>
      <x:c r="K12" s="31" t="n">
        <x:v>4.6927645372</x:v>
      </x:c>
      <x:c r="L12" s="31" t="n">
        <x:v>46.1886063755</x:v>
      </x:c>
      <x:c r="M12" s="31" t="n">
        <x:v>4.6927645372</x:v>
      </x:c>
      <x:c r="N12" s="24" t="str">
        <x:v>chelidonichthys lucerna</x:v>
      </x:c>
      <x:c r="O12" s="32" t="n">
        <x:v>3.98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Chelidonichthys lucerna</x:v>
      </x:c>
      <x:c r="T12" s="32" t="n">
        <x:f>IF(O12="","",(1/'Metadata'!$B$5)^(O12-1))</x:f>
        <x:v>954.992586021436</x:v>
      </x:c>
      <x:c r="U12" s="31" t="n">
        <x:f>IF(T12="","",I12*T12)</x:f>
        <x:v>48591.331988235244</x:v>
      </x:c>
    </x:row>
    <x:row r="13" ht="18" customHeight="1">
      <x:c r="A13" s="24" t="str">
        <x:v>EEZ_056</x:v>
      </x:c>
      <x:c r="B13" s="24" t="str">
        <x:v>Belgium</x:v>
      </x:c>
      <x:c r="C13" s="24" t="str">
        <x:v>EEZ</x:v>
      </x:c>
      <x:c r="D13" s="30" t="n">
        <x:v>2019</x:v>
      </x:c>
      <x:c r="E13" s="24" t="str">
        <x:v>Clupea harengus</x:v>
      </x:c>
      <x:c r="F13" s="24" t="str">
        <x:v>Atlantic herring</x:v>
      </x:c>
      <x:c r="G13" s="24" t="str">
        <x:v>Medium pelagics (30 - 89 cm)</x:v>
      </x:c>
      <x:c r="H13" s="24" t="str">
        <x:v>Herring-likes</x:v>
      </x:c>
      <x:c r="I13" s="31" t="n">
        <x:v>44.473763139899994</x:v>
      </x:c>
      <x:c r="J13" s="31" t="n">
        <x:v>43.927323667799996</x:v>
      </x:c>
      <x:c r="K13" s="31" t="n">
        <x:v>0.5464394721</x:v>
      </x:c>
      <x:c r="L13" s="31" t="n">
        <x:v>43.17496751629999</x:v>
      </x:c>
      <x:c r="M13" s="31" t="n">
        <x:v>1.2987956236</x:v>
      </x:c>
      <x:c r="N13" s="24" t="str">
        <x:v>clupea harengus</x:v>
      </x:c>
      <x:c r="O13" s="32" t="n">
        <x:v>3.38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Clupea harengus</x:v>
      </x:c>
      <x:c r="T13" s="32" t="n">
        <x:f>IF(O13="","",(1/'Metadata'!$B$5)^(O13-1))</x:f>
        <x:v>239.88329190194898</x:v>
      </x:c>
      <x:c r="U13" s="31" t="n">
        <x:f>IF(T13="","",I13*T13)</x:f>
        <x:v>10668.512705266769</x:v>
      </x:c>
    </x:row>
    <x:row r="14" ht="18" customHeight="1">
      <x:c r="A14" s="24" t="str">
        <x:v>EEZ_056</x:v>
      </x:c>
      <x:c r="B14" s="24" t="str">
        <x:v>Belgium</x:v>
      </x:c>
      <x:c r="C14" s="24" t="str">
        <x:v>EEZ</x:v>
      </x:c>
      <x:c r="D14" s="30" t="n">
        <x:v>2019</x:v>
      </x:c>
      <x:c r="E14" s="24" t="str">
        <x:v>Scophthalmus maximus</x:v>
      </x:c>
      <x:c r="F14" s="24" t="str">
        <x:v>Turbot</x:v>
      </x:c>
      <x:c r="G14" s="24" t="str">
        <x:v>Large flatfishes (&gt;=90 cm)</x:v>
      </x:c>
      <x:c r="H14" s="24" t="str">
        <x:v>Flatfishes</x:v>
      </x:c>
      <x:c r="I14" s="31" t="n">
        <x:v>37.2077530593</x:v>
      </x:c>
      <x:c r="J14" s="31" t="n">
        <x:v>36.789282325200006</x:v>
      </x:c>
      <x:c r="K14" s="31" t="n">
        <x:v>0.4184707341</x:v>
      </x:c>
      <x:c r="L14" s="31" t="n">
        <x:v>36.789282325200006</x:v>
      </x:c>
      <x:c r="M14" s="31" t="n">
        <x:v>0.4184707341</x:v>
      </x:c>
      <x:c r="N14" s="24" t="str">
        <x:v>scophthalmus maximus</x:v>
      </x:c>
      <x:c r="O14" s="32" t="n">
        <x:v>4.36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Scophthalmus maximus</x:v>
      </x:c>
      <x:c r="T14" s="32" t="n">
        <x:f>IF(O14="","",(1/'Metadata'!$B$5)^(O14-1))</x:f>
        <x:v>2290.867652767775</x:v>
      </x:c>
      <x:c r="U14" s="31" t="n">
        <x:f>IF(T14="","",I14*T14)</x:f>
        <x:v>85238.0379157216</x:v>
      </x:c>
    </x:row>
    <x:row r="15" ht="18" customHeight="1">
      <x:c r="A15" s="24" t="str">
        <x:v>EEZ_056</x:v>
      </x:c>
      <x:c r="B15" s="24" t="str">
        <x:v>Belgium</x:v>
      </x:c>
      <x:c r="C15" s="24" t="str">
        <x:v>EEZ</x:v>
      </x:c>
      <x:c r="D15" s="30" t="n">
        <x:v>2019</x:v>
      </x:c>
      <x:c r="E15" s="24" t="str">
        <x:v>Mullus surmuletus</x:v>
      </x:c>
      <x:c r="F15" s="24" t="str">
        <x:v>Surmullet</x:v>
      </x:c>
      <x:c r="G15" s="24" t="str">
        <x:v>Medium demersals (30 - 89 cm)</x:v>
      </x:c>
      <x:c r="H15" s="24" t="str">
        <x:v>Perch-likes</x:v>
      </x:c>
      <x:c r="I15" s="31" t="n">
        <x:v>36.8021734462</x:v>
      </x:c>
      <x:c r="J15" s="31" t="n">
        <x:v>36.8021734462</x:v>
      </x:c>
      <x:c r="K15" s="31" t="n">
        <x:v>0</x:v>
      </x:c>
      <x:c r="L15" s="31" t="n">
        <x:v>36.8021734462</x:v>
      </x:c>
      <x:c r="M15" s="31" t="n">
        <x:v>0</x:v>
      </x:c>
      <x:c r="N15" s="24" t="str">
        <x:v>mullus surmuletus</x:v>
      </x:c>
      <x:c r="O15" s="32" t="n">
        <x:v>3.45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Mullus surmuletus</x:v>
      </x:c>
      <x:c r="T15" s="32" t="n">
        <x:f>IF(O15="","",(1/'Metadata'!$B$5)^(O15-1))</x:f>
        <x:v>281.8382931264455</x:v>
      </x:c>
      <x:c r="U15" s="31" t="n">
        <x:f>IF(T15="","",I15*T15)</x:f>
        <x:v>10372.261747420403</x:v>
      </x:c>
    </x:row>
    <x:row r="16" ht="18" customHeight="1">
      <x:c r="A16" s="24" t="str">
        <x:v>EEZ_056</x:v>
      </x:c>
      <x:c r="B16" s="24" t="str">
        <x:v>Belgium</x:v>
      </x:c>
      <x:c r="C16" s="24" t="str">
        <x:v>EEZ</x:v>
      </x:c>
      <x:c r="D16" s="30" t="n">
        <x:v>2019</x:v>
      </x:c>
      <x:c r="E16" s="24" t="str">
        <x:v>Eutrigla gurnardus</x:v>
      </x:c>
      <x:c r="F16" s="24" t="str">
        <x:v>Grey gurnard</x:v>
      </x:c>
      <x:c r="G16" s="24" t="str">
        <x:v>Medium demersals (30 - 89 cm)</x:v>
      </x:c>
      <x:c r="H16" s="24" t="str">
        <x:v>Scorpionfishes</x:v>
      </x:c>
      <x:c r="I16" s="31" t="n">
        <x:v>33.1877642577</x:v>
      </x:c>
      <x:c r="J16" s="31" t="n">
        <x:v>5.219791804300001</x:v>
      </x:c>
      <x:c r="K16" s="31" t="n">
        <x:v>27.9679724534</x:v>
      </x:c>
      <x:c r="L16" s="31" t="n">
        <x:v>5.219791804300001</x:v>
      </x:c>
      <x:c r="M16" s="31" t="n">
        <x:v>27.9679724534</x:v>
      </x:c>
      <x:c r="N16" s="24" t="str">
        <x:v>eutrigla gurnardus</x:v>
      </x:c>
      <x:c r="O16" s="32" t="n">
        <x:v>3.87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Eutrigla gurnardus</x:v>
      </x:c>
      <x:c r="T16" s="32" t="n">
        <x:f>IF(O16="","",(1/'Metadata'!$B$5)^(O16-1))</x:f>
        <x:v>741.3102413009177</x:v>
      </x:c>
      <x:c r="U16" s="31" t="n">
        <x:f>IF(T16="","",I16*T16)</x:f>
        <x:v>24602.42953011356</x:v>
      </x:c>
    </x:row>
    <x:row r="17" ht="18" customHeight="1">
      <x:c r="A17" s="24" t="str">
        <x:v>EEZ_056</x:v>
      </x:c>
      <x:c r="B17" s="24" t="str">
        <x:v>Belgium</x:v>
      </x:c>
      <x:c r="C17" s="24" t="str">
        <x:v>EEZ</x:v>
      </x:c>
      <x:c r="D17" s="30" t="n">
        <x:v>2019</x:v>
      </x:c>
      <x:c r="E17" s="24" t="str">
        <x:v>Buccinum undatum</x:v>
      </x:c>
      <x:c r="F17" s="24" t="str">
        <x:v>Whelk</x:v>
      </x:c>
      <x:c r="G17" s="24" t="str">
        <x:v>Other demersal invertebrates</x:v>
      </x:c>
      <x:c r="H17" s="24" t="str">
        <x:v>Molluscs</x:v>
      </x:c>
      <x:c r="I17" s="31" t="n">
        <x:v>31.8588503677</x:v>
      </x:c>
      <x:c r="J17" s="31" t="n">
        <x:v>31.8588503677</x:v>
      </x:c>
      <x:c r="K17" s="31" t="n">
        <x:v>0</x:v>
      </x:c>
      <x:c r="L17" s="31" t="n">
        <x:v>31.8588503677</x:v>
      </x:c>
      <x:c r="M17" s="31" t="n">
        <x:v>0</x:v>
      </x:c>
      <x:c r="N17" s="24" t="str">
        <x:v>buccinum undatum</x:v>
      </x:c>
      <x:c r="O17" s="32" t="n">
        <x:v>3.75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Buccinum undatum</x:v>
      </x:c>
      <x:c r="T17" s="32" t="n">
        <x:f>IF(O17="","",(1/'Metadata'!$B$5)^(O17-1))</x:f>
        <x:v>562.341325190349</x:v>
      </x:c>
      <x:c r="U17" s="31" t="n">
        <x:f>IF(T17="","",I17*T17)</x:f>
        <x:v>17915.548134813456</x:v>
      </x:c>
    </x:row>
    <x:row r="18" ht="18" customHeight="1">
      <x:c r="A18" s="24" t="str">
        <x:v>EEZ_056</x:v>
      </x:c>
      <x:c r="B18" s="24" t="str">
        <x:v>Belgium</x:v>
      </x:c>
      <x:c r="C18" s="24" t="str">
        <x:v>EEZ</x:v>
      </x:c>
      <x:c r="D18" s="30" t="n">
        <x:v>2019</x:v>
      </x:c>
      <x:c r="E18" s="24" t="str">
        <x:v>Platichthys flesus</x:v>
      </x:c>
      <x:c r="F18" s="24" t="str">
        <x:v>European flounder</x:v>
      </x:c>
      <x:c r="G18" s="24" t="str">
        <x:v>Small to medium flatfishes (&lt;90 cm)</x:v>
      </x:c>
      <x:c r="H18" s="24" t="str">
        <x:v>Flatfishes</x:v>
      </x:c>
      <x:c r="I18" s="31" t="n">
        <x:v>30.6144464541</x:v>
      </x:c>
      <x:c r="J18" s="31" t="n">
        <x:v>28.908181017900002</x:v>
      </x:c>
      <x:c r="K18" s="31" t="n">
        <x:v>1.7062654362</x:v>
      </x:c>
      <x:c r="L18" s="31" t="n">
        <x:v>28.908181017900002</x:v>
      </x:c>
      <x:c r="M18" s="31" t="n">
        <x:v>1.7062654362</x:v>
      </x:c>
      <x:c r="N18" s="24" t="str">
        <x:v>platichthys flesus</x:v>
      </x:c>
      <x:c r="O18" s="32" t="n">
        <x:v>3.32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Platichthys flesus</x:v>
      </x:c>
      <x:c r="T18" s="32" t="n">
        <x:f>IF(O18="","",(1/'Metadata'!$B$5)^(O18-1))</x:f>
        <x:v>208.92961308540387</x:v>
      </x:c>
      <x:c r="U18" s="31" t="n">
        <x:f>IF(T18="","",I18*T18)</x:f>
        <x:v>6396.2644524789275</x:v>
      </x:c>
    </x:row>
    <x:row r="19" ht="18" customHeight="1">
      <x:c r="A19" s="24" t="str">
        <x:v>EEZ_056</x:v>
      </x:c>
      <x:c r="B19" s="24" t="str">
        <x:v>Belgium</x:v>
      </x:c>
      <x:c r="C19" s="24" t="str">
        <x:v>EEZ</x:v>
      </x:c>
      <x:c r="D19" s="30" t="n">
        <x:v>2019</x:v>
      </x:c>
      <x:c r="E19" s="24" t="str">
        <x:v>Lophiidae</x:v>
      </x:c>
      <x:c r="F19" s="24" t="str">
        <x:v>Goosefishes</x:v>
      </x:c>
      <x:c r="G19" s="24" t="str">
        <x:v>Medium bathydemersals (30 - 89 cm)</x:v>
      </x:c>
      <x:c r="H19" s="24" t="str">
        <x:v>Other fishes &amp; inverts</x:v>
      </x:c>
      <x:c r="I19" s="31" t="n">
        <x:v>29.022363565899997</x:v>
      </x:c>
      <x:c r="J19" s="31" t="n">
        <x:v>29.022363565899997</x:v>
      </x:c>
      <x:c r="K19" s="31" t="n">
        <x:v>0</x:v>
      </x:c>
      <x:c r="L19" s="31" t="n">
        <x:v>29.022363565899997</x:v>
      </x:c>
      <x:c r="M19" s="31" t="n">
        <x:v>0</x:v>
      </x:c>
      <x:c r="N19" s="24" t="str">
        <x:v>lophiidae</x:v>
      </x:c>
      <x:c r="O19" s="32" t="n">
        <x:v>4.46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Lophiidae</x:v>
      </x:c>
      <x:c r="T19" s="32" t="n">
        <x:f>IF(O19="","",(1/'Metadata'!$B$5)^(O19-1))</x:f>
        <x:v>2884.031503126606</x:v>
      </x:c>
      <x:c r="U19" s="31" t="n">
        <x:f>IF(T19="","",I19*T19)</x:f>
        <x:v>83701.41081924942</x:v>
      </x:c>
    </x:row>
    <x:row r="20" ht="18" customHeight="1">
      <x:c r="A20" s="24" t="str">
        <x:v>EEZ_056</x:v>
      </x:c>
      <x:c r="B20" s="24" t="str">
        <x:v>Belgium</x:v>
      </x:c>
      <x:c r="C20" s="24" t="str">
        <x:v>EEZ</x:v>
      </x:c>
      <x:c r="D20" s="30" t="n">
        <x:v>2019</x:v>
      </x:c>
      <x:c r="E20" s="24" t="str">
        <x:v>Elasmobranchii</x:v>
      </x:c>
      <x:c r="F20" s="24" t="str">
        <x:v>Sharks, rays, skates</x:v>
      </x:c>
      <x:c r="G20" s="24" t="str">
        <x:v>Large sharks (&gt;=90 cm)</x:v>
      </x:c>
      <x:c r="H20" s="24" t="str">
        <x:v>Sharks &amp; rays</x:v>
      </x:c>
      <x:c r="I20" s="31" t="n">
        <x:v>28.3393413837</x:v>
      </x:c>
      <x:c r="J20" s="31" t="n">
        <x:v>0.1049870539</x:v>
      </x:c>
      <x:c r="K20" s="31" t="n">
        <x:v>28.2343543298</x:v>
      </x:c>
      <x:c r="L20" s="31" t="n">
        <x:v>0.1049870539</x:v>
      </x:c>
      <x:c r="M20" s="31" t="n">
        <x:v>28.2343543298</x:v>
      </x:c>
      <x:c r="N20" s="24" t="str">
        <x:v>elasmobranchii</x:v>
      </x:c>
      <x:c r="O20" s="32" t="n">
        <x:v>4.05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Elasmobranchii</x:v>
      </x:c>
      <x:c r="T20" s="32" t="n">
        <x:f>IF(O20="","",(1/'Metadata'!$B$5)^(O20-1))</x:f>
        <x:v>1122.018454301963</x:v>
      </x:c>
      <x:c r="U20" s="31" t="n">
        <x:f>IF(T20="","",I20*T20)</x:f>
        <x:v>31797.264015274726</x:v>
      </x:c>
    </x:row>
    <x:row r="21" ht="18" customHeight="1">
      <x:c r="A21" s="24" t="str">
        <x:v>EEZ_056</x:v>
      </x:c>
      <x:c r="B21" s="24" t="str">
        <x:v>Belgium</x:v>
      </x:c>
      <x:c r="C21" s="24" t="str">
        <x:v>EEZ</x:v>
      </x:c>
      <x:c r="D21" s="30" t="n">
        <x:v>2019</x:v>
      </x:c>
      <x:c r="E21" s="24" t="str">
        <x:v>Dicentrarchus labrax</x:v>
      </x:c>
      <x:c r="F21" s="24" t="str">
        <x:v>European seabass</x:v>
      </x:c>
      <x:c r="G21" s="24" t="str">
        <x:v>Large demersals (&gt;=90 cm)</x:v>
      </x:c>
      <x:c r="H21" s="24" t="str">
        <x:v>Perch-likes</x:v>
      </x:c>
      <x:c r="I21" s="31" t="n">
        <x:v>25.9903728528</x:v>
      </x:c>
      <x:c r="J21" s="31" t="n">
        <x:v>25.9903728528</x:v>
      </x:c>
      <x:c r="K21" s="31" t="n">
        <x:v>0</x:v>
      </x:c>
      <x:c r="L21" s="31" t="n">
        <x:v>5.9903728528</x:v>
      </x:c>
      <x:c r="M21" s="31" t="n">
        <x:v>20</x:v>
      </x:c>
      <x:c r="N21" s="24" t="str">
        <x:v>dicentrarchus labrax</x:v>
      </x:c>
      <x:c r="O21" s="32" t="n">
        <x:v>3.79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Dicentrarchus labrax</x:v>
      </x:c>
      <x:c r="T21" s="32" t="n">
        <x:f>IF(O21="","",(1/'Metadata'!$B$5)^(O21-1))</x:f>
        <x:v>616.5950018614822</x:v>
      </x:c>
      <x:c r="U21" s="31" t="n">
        <x:f>IF(T21="","",I21*T21)</x:f>
        <x:v>16025.533997552831</x:v>
      </x:c>
    </x:row>
    <x:row r="22" ht="18" customHeight="1">
      <x:c r="A22" s="24" t="str">
        <x:v>EEZ_056</x:v>
      </x:c>
      <x:c r="B22" s="24" t="str">
        <x:v>Belgium</x:v>
      </x:c>
      <x:c r="C22" s="24" t="str">
        <x:v>EEZ</x:v>
      </x:c>
      <x:c r="D22" s="30" t="n">
        <x:v>2019</x:v>
      </x:c>
      <x:c r="E22" s="24" t="str">
        <x:v>Sepia officinalis</x:v>
      </x:c>
      <x:c r="F22" s="24" t="str">
        <x:v>Common cuttlefish</x:v>
      </x:c>
      <x:c r="G22" s="24" t="str">
        <x:v>Cephalopods</x:v>
      </x:c>
      <x:c r="H22" s="24" t="str">
        <x:v>Other fishes &amp; inverts</x:v>
      </x:c>
      <x:c r="I22" s="31" t="n">
        <x:v>24.403771767600002</x:v>
      </x:c>
      <x:c r="J22" s="31" t="n">
        <x:v>24.403771767600002</x:v>
      </x:c>
      <x:c r="K22" s="31" t="n">
        <x:v>0</x:v>
      </x:c>
      <x:c r="L22" s="31" t="n">
        <x:v>24.403771767600002</x:v>
      </x:c>
      <x:c r="M22" s="31" t="n">
        <x:v>0</x:v>
      </x:c>
      <x:c r="N22" s="24" t="str">
        <x:v>sepia officinalis</x:v>
      </x:c>
      <x:c r="O22" s="32" t="n">
        <x:v>4.27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Sepia officinalis</x:v>
      </x:c>
      <x:c r="T22" s="32" t="n">
        <x:f>IF(O22="","",(1/'Metadata'!$B$5)^(O22-1))</x:f>
        <x:v>1862.0871366628655</x:v>
      </x:c>
      <x:c r="U22" s="31" t="n">
        <x:f>IF(T22="","",I22*T22)</x:f>
        <x:v>45441.94949450436</x:v>
      </x:c>
    </x:row>
    <x:row r="23" ht="18" customHeight="1">
      <x:c r="A23" s="24" t="str">
        <x:v>EEZ_056</x:v>
      </x:c>
      <x:c r="B23" s="24" t="str">
        <x:v>Belgium</x:v>
      </x:c>
      <x:c r="C23" s="24" t="str">
        <x:v>EEZ</x:v>
      </x:c>
      <x:c r="D23" s="30" t="n">
        <x:v>2019</x:v>
      </x:c>
      <x:c r="E23" s="24" t="str">
        <x:v>Scomber scombrus</x:v>
      </x:c>
      <x:c r="F23" s="24" t="str">
        <x:v>Atlantic mackerel</x:v>
      </x:c>
      <x:c r="G23" s="24" t="str">
        <x:v>Medium pelagics (30 - 89 cm)</x:v>
      </x:c>
      <x:c r="H23" s="24" t="str">
        <x:v>Perch-likes</x:v>
      </x:c>
      <x:c r="I23" s="31" t="n">
        <x:v>23.8077586646</x:v>
      </x:c>
      <x:c r="J23" s="31" t="n">
        <x:v>23.7556953496</x:v>
      </x:c>
      <x:c r="K23" s="31" t="n">
        <x:v>0.052063315</x:v>
      </x:c>
      <x:c r="L23" s="31" t="n">
        <x:v>23.7547465636</x:v>
      </x:c>
      <x:c r="M23" s="31" t="n">
        <x:v>0.053012101</x:v>
      </x:c>
      <x:c r="N23" s="24" t="str">
        <x:v>scomber scombrus</x:v>
      </x:c>
      <x:c r="O23" s="32" t="n">
        <x:v>3.63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Scomber scombrus</x:v>
      </x:c>
      <x:c r="T23" s="32" t="n">
        <x:f>IF(O23="","",(1/'Metadata'!$B$5)^(O23-1))</x:f>
        <x:v>426.57951880159254</x:v>
      </x:c>
      <x:c r="U23" s="31" t="n">
        <x:f>IF(T23="","",I23*T23)</x:f>
        <x:v>10155.902234889514</x:v>
      </x:c>
    </x:row>
    <x:row r="24" ht="18" customHeight="1">
      <x:c r="A24" s="24" t="str">
        <x:v>EEZ_056</x:v>
      </x:c>
      <x:c r="B24" s="24" t="str">
        <x:v>Belgium</x:v>
      </x:c>
      <x:c r="C24" s="24" t="str">
        <x:v>EEZ</x:v>
      </x:c>
      <x:c r="D24" s="30" t="n">
        <x:v>2019</x:v>
      </x:c>
      <x:c r="E24" s="24" t="str">
        <x:v>Loliginidae</x:v>
      </x:c>
      <x:c r="F24" s="24" t="str">
        <x:v>Common pencil squids</x:v>
      </x:c>
      <x:c r="G24" s="24" t="str">
        <x:v>Cephalopods</x:v>
      </x:c>
      <x:c r="H24" s="24" t="str">
        <x:v>Other fishes &amp; inverts</x:v>
      </x:c>
      <x:c r="I24" s="31" t="n">
        <x:v>23.6751783968</x:v>
      </x:c>
      <x:c r="J24" s="31" t="n">
        <x:v>23.6751783968</x:v>
      </x:c>
      <x:c r="K24" s="31" t="n">
        <x:v>0</x:v>
      </x:c>
      <x:c r="L24" s="31" t="n">
        <x:v>23.6751783968</x:v>
      </x:c>
      <x:c r="M24" s="31" t="n">
        <x:v>0</x:v>
      </x:c>
      <x:c r="N24" s="24" t="str">
        <x:v>loliginidae</x:v>
      </x:c>
      <x:c r="O24" s="32" t="n">
        <x:v>3.9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Loliginidae</x:v>
      </x:c>
      <x:c r="T24" s="32" t="n">
        <x:f>IF(O24="","",(1/'Metadata'!$B$5)^(O24-1))</x:f>
        <x:v>794.3282347242813</x:v>
      </x:c>
      <x:c r="U24" s="31" t="n">
        <x:f>IF(T24="","",I24*T24)</x:f>
        <x:v>18805.862662712585</x:v>
      </x:c>
    </x:row>
    <x:row r="25" ht="18" customHeight="1">
      <x:c r="A25" s="24" t="str">
        <x:v>EEZ_056</x:v>
      </x:c>
      <x:c r="B25" s="24" t="str">
        <x:v>Belgium</x:v>
      </x:c>
      <x:c r="C25" s="24" t="str">
        <x:v>EEZ</x:v>
      </x:c>
      <x:c r="D25" s="30" t="n">
        <x:v>2019</x:v>
      </x:c>
      <x:c r="E25" s="24" t="str">
        <x:v>Scyliorhinus canicula</x:v>
      </x:c>
      <x:c r="F25" s="24" t="str">
        <x:v>Small-spotted catshark</x:v>
      </x:c>
      <x:c r="G25" s="24" t="str">
        <x:v>Small to medium sharks (&lt;90 cm)</x:v>
      </x:c>
      <x:c r="H25" s="24" t="str">
        <x:v>Sharks &amp; rays</x:v>
      </x:c>
      <x:c r="I25" s="31" t="n">
        <x:v>22.3809043372</x:v>
      </x:c>
      <x:c r="J25" s="31" t="n">
        <x:v>22.3809043372</x:v>
      </x:c>
      <x:c r="K25" s="31" t="n">
        <x:v>0</x:v>
      </x:c>
      <x:c r="L25" s="31" t="n">
        <x:v>22.3809043372</x:v>
      </x:c>
      <x:c r="M25" s="31" t="n">
        <x:v>0</x:v>
      </x:c>
      <x:c r="N25" s="24" t="str">
        <x:v>scyliorhinus canicula</x:v>
      </x:c>
      <x:c r="O25" s="32" t="n">
        <x:v>3.82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Scyliorhinus canicula</x:v>
      </x:c>
      <x:c r="T25" s="32" t="n">
        <x:f>IF(O25="","",(1/'Metadata'!$B$5)^(O25-1))</x:f>
        <x:v>660.6934480075957</x:v>
      </x:c>
      <x:c r="U25" s="31" t="n">
        <x:f>IF(T25="","",I25*T25)</x:f>
        <x:v>14786.916856072823</x:v>
      </x:c>
    </x:row>
    <x:row r="26" ht="18" customHeight="1">
      <x:c r="A26" s="24" t="str">
        <x:v>EEZ_056</x:v>
      </x:c>
      <x:c r="B26" s="24" t="str">
        <x:v>Belgium</x:v>
      </x:c>
      <x:c r="C26" s="24" t="str">
        <x:v>EEZ</x:v>
      </x:c>
      <x:c r="D26" s="30" t="n">
        <x:v>2019</x:v>
      </x:c>
      <x:c r="E26" s="24" t="str">
        <x:v>Microstomus kitt</x:v>
      </x:c>
      <x:c r="F26" s="24" t="str">
        <x:v>Lemon sole</x:v>
      </x:c>
      <x:c r="G26" s="24" t="str">
        <x:v>Small to medium flatfishes (&lt;90 cm)</x:v>
      </x:c>
      <x:c r="H26" s="24" t="str">
        <x:v>Flatfishes</x:v>
      </x:c>
      <x:c r="I26" s="31" t="n">
        <x:v>21.709589434399998</x:v>
      </x:c>
      <x:c r="J26" s="31" t="n">
        <x:v>20.6094323914</x:v>
      </x:c>
      <x:c r="K26" s="31" t="n">
        <x:v>1.100157043</x:v>
      </x:c>
      <x:c r="L26" s="31" t="n">
        <x:v>20.6094323914</x:v>
      </x:c>
      <x:c r="M26" s="31" t="n">
        <x:v>1.100157043</x:v>
      </x:c>
      <x:c r="N26" s="24" t="str">
        <x:v>microstomus kitt</x:v>
      </x:c>
      <x:c r="O26" s="32" t="n">
        <x:v>3.22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Microstomus kitt</x:v>
      </x:c>
      <x:c r="T26" s="32" t="n">
        <x:f>IF(O26="","",(1/'Metadata'!$B$5)^(O26-1))</x:f>
        <x:v>165.95869074375614</x:v>
      </x:c>
      <x:c r="U26" s="31" t="n">
        <x:f>IF(T26="","",I26*T26)</x:f>
        <x:v>3602.895039117505</x:v>
      </x:c>
    </x:row>
    <x:row r="27" ht="18" customHeight="1">
      <x:c r="A27" s="24" t="str">
        <x:v>EEZ_056</x:v>
      </x:c>
      <x:c r="B27" s="24" t="str">
        <x:v>Belgium</x:v>
      </x:c>
      <x:c r="C27" s="24" t="str">
        <x:v>EEZ</x:v>
      </x:c>
      <x:c r="D27" s="30" t="n">
        <x:v>2019</x:v>
      </x:c>
      <x:c r="E27" s="24" t="str">
        <x:v>Scophthalmus rhombus</x:v>
      </x:c>
      <x:c r="F27" s="24" t="str">
        <x:v>Brill</x:v>
      </x:c>
      <x:c r="G27" s="24" t="str">
        <x:v>Small to medium flatfishes (&lt;90 cm)</x:v>
      </x:c>
      <x:c r="H27" s="24" t="str">
        <x:v>Flatfishes</x:v>
      </x:c>
      <x:c r="I27" s="31" t="n">
        <x:v>21.6754675869</x:v>
      </x:c>
      <x:c r="J27" s="31" t="n">
        <x:v>21.551733531300002</x:v>
      </x:c>
      <x:c r="K27" s="31" t="n">
        <x:v>0.1237340556</x:v>
      </x:c>
      <x:c r="L27" s="31" t="n">
        <x:v>21.551733531300002</x:v>
      </x:c>
      <x:c r="M27" s="31" t="n">
        <x:v>0.1237340556</x:v>
      </x:c>
      <x:c r="N27" s="24" t="str">
        <x:v>scophthalmus rhombus</x:v>
      </x:c>
      <x:c r="O27" s="32" t="n">
        <x:v>4.42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Scophthalmus rhombus</x:v>
      </x:c>
      <x:c r="T27" s="32" t="n">
        <x:f>IF(O27="","",(1/'Metadata'!$B$5)^(O27-1))</x:f>
        <x:v>2630.2679918953813</x:v>
      </x:c>
      <x:c r="U27" s="31" t="n">
        <x:f>IF(T27="","",I27*T27)</x:f>
        <x:v>57012.28860318889</x:v>
      </x:c>
    </x:row>
    <x:row r="28" ht="18" customHeight="1">
      <x:c r="A28" s="24" t="str">
        <x:v>EEZ_056</x:v>
      </x:c>
      <x:c r="B28" s="24" t="str">
        <x:v>Belgium</x:v>
      </x:c>
      <x:c r="C28" s="24" t="str">
        <x:v>EEZ</x:v>
      </x:c>
      <x:c r="D28" s="30" t="n">
        <x:v>2019</x:v>
      </x:c>
      <x:c r="E28" s="24" t="str">
        <x:v>Trisopterus luscus</x:v>
      </x:c>
      <x:c r="F28" s="24" t="str">
        <x:v>Pouting</x:v>
      </x:c>
      <x:c r="G28" s="24" t="str">
        <x:v>Medium benthopelagics (30 - 89 cm)</x:v>
      </x:c>
      <x:c r="H28" s="24" t="str">
        <x:v>Cod-likes</x:v>
      </x:c>
      <x:c r="I28" s="31" t="n">
        <x:v>19.9983851676</x:v>
      </x:c>
      <x:c r="J28" s="31" t="n">
        <x:v>9.217166262200001</x:v>
      </x:c>
      <x:c r="K28" s="31" t="n">
        <x:v>10.7812189054</x:v>
      </x:c>
      <x:c r="L28" s="31" t="n">
        <x:v>9.217166262200001</x:v>
      </x:c>
      <x:c r="M28" s="31" t="n">
        <x:v>10.7812189054</x:v>
      </x:c>
      <x:c r="N28" s="24" t="str">
        <x:v>trisopterus luscus</x:v>
      </x:c>
      <x:c r="O28" s="32" t="n">
        <x:v>3.73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Trisopterus luscus</x:v>
      </x:c>
      <x:c r="T28" s="32" t="n">
        <x:f>IF(O28="","",(1/'Metadata'!$B$5)^(O28-1))</x:f>
        <x:v>537.0317963702527</x:v>
      </x:c>
      <x:c r="U28" s="31" t="n">
        <x:f>IF(T28="","",I28*T28)</x:f>
        <x:v>10739.768711060444</x:v>
      </x:c>
    </x:row>
    <x:row r="29" ht="18" customHeight="1">
      <x:c r="A29" s="24" t="str">
        <x:v>EEZ_056</x:v>
      </x:c>
      <x:c r="B29" s="24" t="str">
        <x:v>Belgium</x:v>
      </x:c>
      <x:c r="C29" s="24" t="str">
        <x:v>EEZ</x:v>
      </x:c>
      <x:c r="D29" s="30" t="n">
        <x:v>2019</x:v>
      </x:c>
      <x:c r="E29" s="24" t="str">
        <x:v>Nephrops norvegicus</x:v>
      </x:c>
      <x:c r="F29" s="24" t="str">
        <x:v>Norway lobster</x:v>
      </x:c>
      <x:c r="G29" s="24" t="str">
        <x:v>Lobsters, crabs</x:v>
      </x:c>
      <x:c r="H29" s="24" t="str">
        <x:v>Crustaceans</x:v>
      </x:c>
      <x:c r="I29" s="31" t="n">
        <x:v>18.3333110943</x:v>
      </x:c>
      <x:c r="J29" s="31" t="n">
        <x:v>15.4963589201</x:v>
      </x:c>
      <x:c r="K29" s="31" t="n">
        <x:v>2.8369521742</x:v>
      </x:c>
      <x:c r="L29" s="31" t="n">
        <x:v>15.4963589201</x:v>
      </x:c>
      <x:c r="M29" s="31" t="n">
        <x:v>2.8369521742</x:v>
      </x:c>
      <x:c r="N29" s="24" t="str">
        <x:v>nephrops norvegicus</x:v>
      </x:c>
      <x:c r="O29" s="32" t="n">
        <x:v>2.87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Nephrops norvegicus</x:v>
      </x:c>
      <x:c r="T29" s="32" t="n">
        <x:f>IF(O29="","",(1/'Metadata'!$B$5)^(O29-1))</x:f>
        <x:v>74.13102413009177</x:v>
      </x:c>
      <x:c r="U29" s="31" t="n">
        <x:f>IF(T29="","",I29*T29)</x:f>
        <x:v>1359.0671271160327</x:v>
      </x:c>
    </x:row>
    <x:row r="30" ht="18" customHeight="1">
      <x:c r="A30" s="24" t="str">
        <x:v>EEZ_056</x:v>
      </x:c>
      <x:c r="B30" s="24" t="str">
        <x:v>Belgium</x:v>
      </x:c>
      <x:c r="C30" s="24" t="str">
        <x:v>EEZ</x:v>
      </x:c>
      <x:c r="D30" s="30" t="n">
        <x:v>2019</x:v>
      </x:c>
      <x:c r="E30" s="24" t="str">
        <x:v>Triglidae</x:v>
      </x:c>
      <x:c r="F30" s="24" t="str">
        <x:v>Searobins, gurnards</x:v>
      </x:c>
      <x:c r="G30" s="24" t="str">
        <x:v>Medium demersals (30 - 89 cm)</x:v>
      </x:c>
      <x:c r="H30" s="24" t="str">
        <x:v>Scorpionfishes</x:v>
      </x:c>
      <x:c r="I30" s="31" t="n">
        <x:v>16.4819971942</x:v>
      </x:c>
      <x:c r="J30" s="31" t="n">
        <x:v>0.0557021045</x:v>
      </x:c>
      <x:c r="K30" s="31" t="n">
        <x:v>16.4262950897</x:v>
      </x:c>
      <x:c r="L30" s="31" t="n">
        <x:v>0.0557021045</x:v>
      </x:c>
      <x:c r="M30" s="31" t="n">
        <x:v>16.4262950897</x:v>
      </x:c>
      <x:c r="N30" s="24" t="str">
        <x:v>triglidae</x:v>
      </x:c>
      <x:c r="O30" s="32" t="n">
        <x:v>3.74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Triglidae</x:v>
      </x:c>
      <x:c r="T30" s="32" t="n">
        <x:f>IF(O30="","",(1/'Metadata'!$B$5)^(O30-1))</x:f>
        <x:v>549.5408738576248</x:v>
      </x:c>
      <x:c r="U30" s="31" t="n">
        <x:f>IF(T30="","",I30*T30)</x:f>
        <x:v>9057.531141019588</x:v>
      </x:c>
    </x:row>
    <x:row r="31" ht="18" customHeight="1">
      <x:c r="A31" s="24" t="str">
        <x:v>EEZ_056</x:v>
      </x:c>
      <x:c r="B31" s="24" t="str">
        <x:v>Belgium</x:v>
      </x:c>
      <x:c r="C31" s="24" t="str">
        <x:v>EEZ</x:v>
      </x:c>
      <x:c r="D31" s="30" t="n">
        <x:v>2019</x:v>
      </x:c>
      <x:c r="E31" s="24" t="str">
        <x:v>Pecten maximus</x:v>
      </x:c>
      <x:c r="F31" s="24" t="str">
        <x:v>Great Atlantic scallop</x:v>
      </x:c>
      <x:c r="G31" s="24" t="str">
        <x:v>Other demersal invertebrates</x:v>
      </x:c>
      <x:c r="H31" s="24" t="str">
        <x:v>Molluscs</x:v>
      </x:c>
      <x:c r="I31" s="31" t="n">
        <x:v>13.9059268007</x:v>
      </x:c>
      <x:c r="J31" s="31" t="n">
        <x:v>13.9059268007</x:v>
      </x:c>
      <x:c r="K31" s="31" t="n">
        <x:v>0</x:v>
      </x:c>
      <x:c r="L31" s="31" t="n">
        <x:v>13.9059268007</x:v>
      </x:c>
      <x:c r="M31" s="31" t="n">
        <x:v>0</x:v>
      </x:c>
      <x:c r="N31" s="24" t="str">
        <x:v>pecten maximus</x:v>
      </x:c>
      <x:c r="O31" s="32" t="n">
        <x:v>2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Pecten maximus</x:v>
      </x:c>
      <x:c r="T31" s="32" t="n">
        <x:f>IF(O31="","",(1/'Metadata'!$B$5)^(O31-1))</x:f>
        <x:v>10</x:v>
      </x:c>
      <x:c r="U31" s="31" t="n">
        <x:f>IF(T31="","",I31*T31)</x:f>
        <x:v>139.059268007</x:v>
      </x:c>
    </x:row>
    <x:row r="32" ht="18" customHeight="1">
      <x:c r="A32" s="24" t="str">
        <x:v>EEZ_056</x:v>
      </x:c>
      <x:c r="B32" s="24" t="str">
        <x:v>Belgium</x:v>
      </x:c>
      <x:c r="C32" s="24" t="str">
        <x:v>EEZ</x:v>
      </x:c>
      <x:c r="D32" s="30" t="n">
        <x:v>2019</x:v>
      </x:c>
      <x:c r="E32" s="24" t="str">
        <x:v>Raja clavata</x:v>
      </x:c>
      <x:c r="F32" s="24" t="str">
        <x:v>Thornback ray</x:v>
      </x:c>
      <x:c r="G32" s="24" t="str">
        <x:v>Large rays (&gt;=90 cm)</x:v>
      </x:c>
      <x:c r="H32" s="24" t="str">
        <x:v>Sharks &amp; rays</x:v>
      </x:c>
      <x:c r="I32" s="31" t="n">
        <x:v>12.1010244383</x:v>
      </x:c>
      <x:c r="J32" s="31" t="n">
        <x:v>12.1010244383</x:v>
      </x:c>
      <x:c r="K32" s="31" t="n">
        <x:v>0</x:v>
      </x:c>
      <x:c r="L32" s="31" t="n">
        <x:v>12.1010244383</x:v>
      </x:c>
      <x:c r="M32" s="31" t="n">
        <x:v>0</x:v>
      </x:c>
      <x:c r="N32" s="24" t="str">
        <x:v>raja clavata</x:v>
      </x:c>
      <x:c r="O32" s="32" t="n">
        <x:v>3.84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Raja clavata</x:v>
      </x:c>
      <x:c r="T32" s="32" t="n">
        <x:f>IF(O32="","",(1/'Metadata'!$B$5)^(O32-1))</x:f>
        <x:v>691.8309709189363</x:v>
      </x:c>
      <x:c r="U32" s="31" t="n">
        <x:f>IF(T32="","",I32*T32)</x:f>
        <x:v>8371.863486262864</x:v>
      </x:c>
    </x:row>
    <x:row r="33" ht="18" customHeight="1">
      <x:c r="A33" s="24" t="str">
        <x:v>EEZ_056</x:v>
      </x:c>
      <x:c r="B33" s="24" t="str">
        <x:v>Belgium</x:v>
      </x:c>
      <x:c r="C33" s="24" t="str">
        <x:v>EEZ</x:v>
      </x:c>
      <x:c r="D33" s="30" t="n">
        <x:v>2019</x:v>
      </x:c>
      <x:c r="E33" s="24" t="str">
        <x:v>Raja brachyura</x:v>
      </x:c>
      <x:c r="F33" s="24" t="str">
        <x:v>Blonde ray</x:v>
      </x:c>
      <x:c r="G33" s="24" t="str">
        <x:v>Large rays (&gt;=90 cm)</x:v>
      </x:c>
      <x:c r="H33" s="24" t="str">
        <x:v>Sharks &amp; rays</x:v>
      </x:c>
      <x:c r="I33" s="31" t="n">
        <x:v>10.4479870197</x:v>
      </x:c>
      <x:c r="J33" s="31" t="n">
        <x:v>10.4479870197</x:v>
      </x:c>
      <x:c r="K33" s="31" t="n">
        <x:v>0</x:v>
      </x:c>
      <x:c r="L33" s="31" t="n">
        <x:v>10.4479870197</x:v>
      </x:c>
      <x:c r="M33" s="31" t="n">
        <x:v>0</x:v>
      </x:c>
      <x:c r="N33" s="24" t="str">
        <x:v>raja brachyura</x:v>
      </x:c>
      <x:c r="O33" s="32" t="n">
        <x:v>3.89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Raja brachyura</x:v>
      </x:c>
      <x:c r="T33" s="32" t="n">
        <x:f>IF(O33="","",(1/'Metadata'!$B$5)^(O33-1))</x:f>
        <x:v>776.247116628692</x:v>
      </x:c>
      <x:c r="U33" s="31" t="n">
        <x:f>IF(T33="","",I33*T33)</x:f>
        <x:v>8110.219798616125</x:v>
      </x:c>
    </x:row>
    <x:row r="34" ht="18" customHeight="1">
      <x:c r="A34" s="24" t="str">
        <x:v>EEZ_056</x:v>
      </x:c>
      <x:c r="B34" s="24" t="str">
        <x:v>Belgium</x:v>
      </x:c>
      <x:c r="C34" s="24" t="str">
        <x:v>EEZ</x:v>
      </x:c>
      <x:c r="D34" s="30" t="n">
        <x:v>2019</x:v>
      </x:c>
      <x:c r="E34" s="24" t="str">
        <x:v>Miscellaneous aquatic invertebrates</x:v>
      </x:c>
      <x:c r="F34" s="24" t="str">
        <x:v>Aquatic invertebrates</x:v>
      </x:c>
      <x:c r="G34" s="24" t="str">
        <x:v>Other demersal invertebrates</x:v>
      </x:c>
      <x:c r="H34" s="24" t="str">
        <x:v>Other fishes &amp; inverts</x:v>
      </x:c>
      <x:c r="I34" s="31" t="n">
        <x:v>8.3358031185</x:v>
      </x:c>
      <x:c r="J34" s="31" t="n">
        <x:v>0</x:v>
      </x:c>
      <x:c r="K34" s="31" t="n">
        <x:v>8.3358031185</x:v>
      </x:c>
      <x:c r="L34" s="31" t="n">
        <x:v>0</x:v>
      </x:c>
      <x:c r="M34" s="31" t="n">
        <x:v>8.3358031185</x:v>
      </x:c>
      <x:c r="N34" s="24" t="str">
        <x:v>miscellaneous aquatic invertebrates</x:v>
      </x:c>
      <x:c r="O34" s="32" t="n">
        <x:v>2.43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Miscellaneous aquatic invertebrates</x:v>
      </x:c>
      <x:c r="T34" s="32" t="n">
        <x:f>IF(O34="","",(1/'Metadata'!$B$5)^(O34-1))</x:f>
        <x:v>26.915348039269166</x:v>
      </x:c>
      <x:c r="U34" s="31" t="n">
        <x:f>IF(T34="","",I34*T34)</x:f>
        <x:v>224.36104212125275</x:v>
      </x:c>
    </x:row>
    <x:row r="35" ht="18" customHeight="1">
      <x:c r="A35" s="24" t="str">
        <x:v>EEZ_056</x:v>
      </x:c>
      <x:c r="B35" s="24" t="str">
        <x:v>Belgium</x:v>
      </x:c>
      <x:c r="C35" s="24" t="str">
        <x:v>EEZ</x:v>
      </x:c>
      <x:c r="D35" s="30" t="n">
        <x:v>2019</x:v>
      </x:c>
      <x:c r="E35" s="24" t="str">
        <x:v>Rajiformes</x:v>
      </x:c>
      <x:c r="F35" s="24" t="str">
        <x:v>Skates and rays</x:v>
      </x:c>
      <x:c r="G35" s="24" t="str">
        <x:v>Large rays (&gt;=90 cm)</x:v>
      </x:c>
      <x:c r="H35" s="24" t="str">
        <x:v>Sharks &amp; rays</x:v>
      </x:c>
      <x:c r="I35" s="31" t="n">
        <x:v>7.6464905226</x:v>
      </x:c>
      <x:c r="J35" s="31" t="n">
        <x:v>0.1650659386</x:v>
      </x:c>
      <x:c r="K35" s="31" t="n">
        <x:v>7.481424584</x:v>
      </x:c>
      <x:c r="L35" s="31" t="n">
        <x:v>0.1650659386</x:v>
      </x:c>
      <x:c r="M35" s="31" t="n">
        <x:v>7.481424584</x:v>
      </x:c>
      <x:c r="N35" s="24" t="str">
        <x:v>rajiformes</x:v>
      </x:c>
      <x:c r="O35" s="32" t="n">
        <x:v>3.61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Rajiformes</x:v>
      </x:c>
      <x:c r="T35" s="32" t="n">
        <x:f>IF(O35="","",(1/'Metadata'!$B$5)^(O35-1))</x:f>
        <x:v>407.3802778041126</x:v>
      </x:c>
      <x:c r="U35" s="31" t="n">
        <x:f>IF(T35="","",I35*T35)</x:f>
        <x:v>3115.029433323302</x:v>
      </x:c>
    </x:row>
    <x:row r="36" ht="18" customHeight="1">
      <x:c r="A36" s="24" t="str">
        <x:v>EEZ_056</x:v>
      </x:c>
      <x:c r="B36" s="24" t="str">
        <x:v>Belgium</x:v>
      </x:c>
      <x:c r="C36" s="24" t="str">
        <x:v>EEZ</x:v>
      </x:c>
      <x:c r="D36" s="30" t="n">
        <x:v>2019</x:v>
      </x:c>
      <x:c r="E36" s="24" t="str">
        <x:v>Lepidorhombus</x:v>
      </x:c>
      <x:c r="F36" s="24" t="str">
        <x:v>Megrims</x:v>
      </x:c>
      <x:c r="G36" s="24" t="str">
        <x:v>Small to medium flatfishes (&lt;90 cm)</x:v>
      </x:c>
      <x:c r="H36" s="24" t="str">
        <x:v>Flatfishes</x:v>
      </x:c>
      <x:c r="I36" s="31" t="n">
        <x:v>7.456102232999999</x:v>
      </x:c>
      <x:c r="J36" s="31" t="n">
        <x:v>7.456102232999999</x:v>
      </x:c>
      <x:c r="K36" s="31" t="n">
        <x:v>0</x:v>
      </x:c>
      <x:c r="L36" s="31" t="n">
        <x:v>7.456102232999999</x:v>
      </x:c>
      <x:c r="M36" s="31" t="n">
        <x:v>0</x:v>
      </x:c>
      <x:c r="N36" s="24" t="str">
        <x:v>lepidorhombus</x:v>
      </x:c>
      <x:c r="O36" s="32" t="n">
        <x:v>3.96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Lepidorhombus</x:v>
      </x:c>
      <x:c r="T36" s="32" t="n">
        <x:f>IF(O36="","",(1/'Metadata'!$B$5)^(O36-1))</x:f>
        <x:v>912.0108393559096</x:v>
      </x:c>
      <x:c r="U36" s="31" t="n">
        <x:f>IF(T36="","",I36*T36)</x:f>
        <x:v>6800.046055841802</x:v>
      </x:c>
    </x:row>
    <x:row r="37" ht="18" customHeight="1">
      <x:c r="A37" s="24" t="str">
        <x:v>EEZ_056</x:v>
      </x:c>
      <x:c r="B37" s="24" t="str">
        <x:v>Belgium</x:v>
      </x:c>
      <x:c r="C37" s="24" t="str">
        <x:v>EEZ</x:v>
      </x:c>
      <x:c r="D37" s="30" t="n">
        <x:v>2019</x:v>
      </x:c>
      <x:c r="E37" s="24" t="str">
        <x:v>Scombridae</x:v>
      </x:c>
      <x:c r="F37" s="24" t="str">
        <x:v>Mackerels, tunas, bonitos</x:v>
      </x:c>
      <x:c r="G37" s="24" t="str">
        <x:v>Medium pelagics (30 - 89 cm)</x:v>
      </x:c>
      <x:c r="H37" s="24" t="str">
        <x:v>Perch-likes</x:v>
      </x:c>
      <x:c r="I37" s="31" t="n">
        <x:v>7.3734576484</x:v>
      </x:c>
      <x:c r="J37" s="31" t="n">
        <x:v>0</x:v>
      </x:c>
      <x:c r="K37" s="31" t="n">
        <x:v>7.3734576484</x:v>
      </x:c>
      <x:c r="L37" s="31" t="n">
        <x:v>0</x:v>
      </x:c>
      <x:c r="M37" s="31" t="n">
        <x:v>7.3734576484</x:v>
      </x:c>
      <x:c r="N37" s="24" t="str">
        <x:v>scombridae</x:v>
      </x:c>
      <x:c r="O37" s="32" t="n">
        <x:v>4.26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Scombridae</x:v>
      </x:c>
      <x:c r="T37" s="32" t="n">
        <x:f>IF(O37="","",(1/'Metadata'!$B$5)^(O37-1))</x:f>
        <x:v>1819.7008586099826</x:v>
      </x:c>
      <x:c r="U37" s="31" t="n">
        <x:f>IF(T37="","",I37*T37)</x:f>
        <x:v>13417.487213717823</x:v>
      </x:c>
    </x:row>
    <x:row r="38" ht="18" customHeight="1">
      <x:c r="A38" s="24" t="str">
        <x:v>EEZ_056</x:v>
      </x:c>
      <x:c r="B38" s="24" t="str">
        <x:v>Belgium</x:v>
      </x:c>
      <x:c r="C38" s="24" t="str">
        <x:v>EEZ</x:v>
      </x:c>
      <x:c r="D38" s="30" t="n">
        <x:v>2019</x:v>
      </x:c>
      <x:c r="E38" s="24" t="str">
        <x:v>Squalidae</x:v>
      </x:c>
      <x:c r="F38" s="24" t="str">
        <x:v>Dogfish sharks</x:v>
      </x:c>
      <x:c r="G38" s="24" t="str">
        <x:v>Large sharks (&gt;=90 cm)</x:v>
      </x:c>
      <x:c r="H38" s="24" t="str">
        <x:v>Sharks &amp; rays</x:v>
      </x:c>
      <x:c r="I38" s="31" t="n">
        <x:v>7.1020528249</x:v>
      </x:c>
      <x:c r="J38" s="31" t="n">
        <x:v>0.0000812185</x:v>
      </x:c>
      <x:c r="K38" s="31" t="n">
        <x:v>7.1019716064</x:v>
      </x:c>
      <x:c r="L38" s="31" t="n">
        <x:v>0.0000812185</x:v>
      </x:c>
      <x:c r="M38" s="31" t="n">
        <x:v>7.1019716064</x:v>
      </x:c>
      <x:c r="N38" s="24" t="str">
        <x:v>squalidae</x:v>
      </x:c>
      <x:c r="O38" s="32" t="n">
        <x:v>4.23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Squalidae</x:v>
      </x:c>
      <x:c r="T38" s="32" t="n">
        <x:f>IF(O38="","",(1/'Metadata'!$B$5)^(O38-1))</x:f>
        <x:v>1698.243652461746</x:v>
      </x:c>
      <x:c r="U38" s="31" t="n">
        <x:f>IF(T38="","",I38*T38)</x:f>
        <x:v>12061.016129334437</x:v>
      </x:c>
    </x:row>
    <x:row r="39" ht="18" customHeight="1">
      <x:c r="A39" s="24" t="str">
        <x:v>EEZ_056</x:v>
      </x:c>
      <x:c r="B39" s="24" t="str">
        <x:v>Belgium</x:v>
      </x:c>
      <x:c r="C39" s="24" t="str">
        <x:v>EEZ</x:v>
      </x:c>
      <x:c r="D39" s="30" t="n">
        <x:v>2019</x:v>
      </x:c>
      <x:c r="E39" s="24" t="str">
        <x:v>Scyliorhinus</x:v>
      </x:c>
      <x:c r="F39" s="24" t="str">
        <x:v>Catsharks</x:v>
      </x:c>
      <x:c r="G39" s="24" t="str">
        <x:v>Small to medium sharks (&lt;90 cm)</x:v>
      </x:c>
      <x:c r="H39" s="24" t="str">
        <x:v>Sharks &amp; rays</x:v>
      </x:c>
      <x:c r="I39" s="31" t="n">
        <x:v>6.9621404607</x:v>
      </x:c>
      <x:c r="J39" s="31" t="n">
        <x:v>6.9621404607</x:v>
      </x:c>
      <x:c r="K39" s="31" t="n">
        <x:v>0</x:v>
      </x:c>
      <x:c r="L39" s="31" t="n">
        <x:v>6.9621404607</x:v>
      </x:c>
      <x:c r="M39" s="31" t="n">
        <x:v>0</x:v>
      </x:c>
      <x:c r="N39" s="24" t="str">
        <x:v>scyliorhinus</x:v>
      </x:c>
      <x:c r="O39" s="32" t="n">
        <x:v>3.86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Scyliorhinus</x:v>
      </x:c>
      <x:c r="T39" s="32" t="n">
        <x:f>IF(O39="","",(1/'Metadata'!$B$5)^(O39-1))</x:f>
        <x:v>724.4359600749899</x:v>
      </x:c>
      <x:c r="U39" s="31" t="n">
        <x:f>IF(T39="","",I39*T39)</x:f>
        <x:v>5043.624908824137</x:v>
      </x:c>
    </x:row>
    <x:row r="40" ht="18" customHeight="1">
      <x:c r="A40" s="24" t="str">
        <x:v>EEZ_056</x:v>
      </x:c>
      <x:c r="B40" s="24" t="str">
        <x:v>Belgium</x:v>
      </x:c>
      <x:c r="C40" s="24" t="str">
        <x:v>EEZ</x:v>
      </x:c>
      <x:c r="D40" s="30" t="n">
        <x:v>2019</x:v>
      </x:c>
      <x:c r="E40" s="24" t="str">
        <x:v>Chelidonichthys cuculus</x:v>
      </x:c>
      <x:c r="F40" s="24" t="str">
        <x:v>Red gurnard</x:v>
      </x:c>
      <x:c r="G40" s="24" t="str">
        <x:v>Medium demersals (30 - 89 cm)</x:v>
      </x:c>
      <x:c r="H40" s="24" t="str">
        <x:v>Scorpionfishes</x:v>
      </x:c>
      <x:c r="I40" s="31" t="n">
        <x:v>6.2697122841</x:v>
      </x:c>
      <x:c r="J40" s="31" t="n">
        <x:v>6.2697122841</x:v>
      </x:c>
      <x:c r="K40" s="31" t="n">
        <x:v>0</x:v>
      </x:c>
      <x:c r="L40" s="31" t="n">
        <x:v>6.2697122841</x:v>
      </x:c>
      <x:c r="M40" s="31" t="n">
        <x:v>0</x:v>
      </x:c>
      <x:c r="N40" s="24" t="str">
        <x:v>chelidonichthys cuculus</x:v>
      </x:c>
      <x:c r="O40" s="32" t="n">
        <x:v>3.81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Chelidonichthys cuculus</x:v>
      </x:c>
      <x:c r="T40" s="32" t="n">
        <x:f>IF(O40="","",(1/'Metadata'!$B$5)^(O40-1))</x:f>
        <x:v>645.6542290346556</x:v>
      </x:c>
      <x:c r="U40" s="31" t="n">
        <x:f>IF(T40="","",I40*T40)</x:f>
        <x:v>4048.066251059695</x:v>
      </x:c>
    </x:row>
    <x:row r="41" ht="18" customHeight="1">
      <x:c r="A41" s="24" t="str">
        <x:v>EEZ_056</x:v>
      </x:c>
      <x:c r="B41" s="24" t="str">
        <x:v>Belgium</x:v>
      </x:c>
      <x:c r="C41" s="24" t="str">
        <x:v>EEZ</x:v>
      </x:c>
      <x:c r="D41" s="30" t="n">
        <x:v>2019</x:v>
      </x:c>
      <x:c r="E41" s="24" t="str">
        <x:v>Gadidae</x:v>
      </x:c>
      <x:c r="F41" s="24" t="str">
        <x:v>Cods, haddocks</x:v>
      </x:c>
      <x:c r="G41" s="24" t="str">
        <x:v>Medium demersals (30 - 89 cm)</x:v>
      </x:c>
      <x:c r="H41" s="24" t="str">
        <x:v>Cod-likes</x:v>
      </x:c>
      <x:c r="I41" s="31" t="n">
        <x:v>6.1694616034</x:v>
      </x:c>
      <x:c r="J41" s="31" t="n">
        <x:v>0</x:v>
      </x:c>
      <x:c r="K41" s="31" t="n">
        <x:v>6.1694616034</x:v>
      </x:c>
      <x:c r="L41" s="31" t="n">
        <x:v>0</x:v>
      </x:c>
      <x:c r="M41" s="31" t="n">
        <x:v>6.1694616034</x:v>
      </x:c>
      <x:c r="N41" s="24" t="str">
        <x:v>gadidae</x:v>
      </x:c>
      <x:c r="O41" s="32" t="n">
        <x:v>3.84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Gadidae</x:v>
      </x:c>
      <x:c r="T41" s="32" t="n">
        <x:f>IF(O41="","",(1/'Metadata'!$B$5)^(O41-1))</x:f>
        <x:v>691.8309709189363</x:v>
      </x:c>
      <x:c r="U41" s="31" t="n">
        <x:f>IF(T41="","",I41*T41)</x:f>
        <x:v>4268.22461112732</x:v>
      </x:c>
    </x:row>
    <x:row r="42" ht="18" customHeight="1">
      <x:c r="A42" s="24" t="str">
        <x:v>EEZ_056</x:v>
      </x:c>
      <x:c r="B42" s="24" t="str">
        <x:v>Belgium</x:v>
      </x:c>
      <x:c r="C42" s="24" t="str">
        <x:v>EEZ</x:v>
      </x:c>
      <x:c r="D42" s="30" t="n">
        <x:v>2019</x:v>
      </x:c>
      <x:c r="E42" s="24" t="str">
        <x:v>Clupeidae</x:v>
      </x:c>
      <x:c r="F42" s="24" t="str">
        <x:v>Herrings, sardines, menhadens</x:v>
      </x:c>
      <x:c r="G42" s="24" t="str">
        <x:v>Small pelagics (&lt;30 cm)</x:v>
      </x:c>
      <x:c r="H42" s="24" t="str">
        <x:v>Herring-likes</x:v>
      </x:c>
      <x:c r="I42" s="31" t="n">
        <x:v>5.8540247775</x:v>
      </x:c>
      <x:c r="J42" s="31" t="n">
        <x:v>0.0296523662</x:v>
      </x:c>
      <x:c r="K42" s="31" t="n">
        <x:v>5.8243724113</x:v>
      </x:c>
      <x:c r="L42" s="31" t="n">
        <x:v>0.0296523662</x:v>
      </x:c>
      <x:c r="M42" s="31" t="n">
        <x:v>5.8243724113</x:v>
      </x:c>
      <x:c r="N42" s="24" t="str">
        <x:v>clupeidae</x:v>
      </x:c>
      <x:c r="O42" s="32" t="n">
        <x:v>3.16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Clupeidae</x:v>
      </x:c>
      <x:c r="T42" s="32" t="n">
        <x:f>IF(O42="","",(1/'Metadata'!$B$5)^(O42-1))</x:f>
        <x:v>144.5439770745928</x:v>
      </x:c>
      <x:c r="U42" s="31" t="n">
        <x:f>IF(T42="","",I42*T42)</x:f>
        <x:v>846.1640232330582</x:v>
      </x:c>
    </x:row>
    <x:row r="43" ht="18" customHeight="1">
      <x:c r="A43" s="24" t="str">
        <x:v>EEZ_056</x:v>
      </x:c>
      <x:c r="B43" s="24" t="str">
        <x:v>Belgium</x:v>
      </x:c>
      <x:c r="C43" s="24" t="str">
        <x:v>EEZ</x:v>
      </x:c>
      <x:c r="D43" s="30" t="n">
        <x:v>2019</x:v>
      </x:c>
      <x:c r="E43" s="24" t="str">
        <x:v>Miscellaneous marine crustaceans</x:v>
      </x:c>
      <x:c r="F43" s="24" t="str">
        <x:v>Marine crabs, shrimps, lobsters nei</x:v>
      </x:c>
      <x:c r="G43" s="24" t="str">
        <x:v>Shrimps</x:v>
      </x:c>
      <x:c r="H43" s="24" t="str">
        <x:v>Crustaceans</x:v>
      </x:c>
      <x:c r="I43" s="31" t="n">
        <x:v>5.7592923006</x:v>
      </x:c>
      <x:c r="J43" s="31" t="n">
        <x:v>0.08391733180000001</x:v>
      </x:c>
      <x:c r="K43" s="31" t="n">
        <x:v>5.6753749688</x:v>
      </x:c>
      <x:c r="L43" s="31" t="n">
        <x:v>0.08391733180000001</x:v>
      </x:c>
      <x:c r="M43" s="31" t="n">
        <x:v>5.6753749688</x:v>
      </x:c>
      <x:c r="N43" s="24" t="str">
        <x:v>miscellaneous marine crustaceans</x:v>
      </x:c>
      <x:c r="O43" s="32" t="n">
        <x:v>2.7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Miscellaneous marine crustaceans</x:v>
      </x:c>
      <x:c r="T43" s="32" t="n">
        <x:f>IF(O43="","",(1/'Metadata'!$B$5)^(O43-1))</x:f>
        <x:v>50.11872336272725</x:v>
      </x:c>
      <x:c r="U43" s="31" t="n">
        <x:f>IF(T43="","",I43*T43)</x:f>
        <x:v>288.6483775788564</x:v>
      </x:c>
    </x:row>
    <x:row r="44" ht="18" customHeight="1">
      <x:c r="A44" s="24" t="str">
        <x:v>EEZ_056</x:v>
      </x:c>
      <x:c r="B44" s="24" t="str">
        <x:v>Belgium</x:v>
      </x:c>
      <x:c r="C44" s="24" t="str">
        <x:v>EEZ</x:v>
      </x:c>
      <x:c r="D44" s="30" t="n">
        <x:v>2019</x:v>
      </x:c>
      <x:c r="E44" s="24" t="str">
        <x:v>Pleuronectidae</x:v>
      </x:c>
      <x:c r="F44" s="24" t="str">
        <x:v>Righteye flounders</x:v>
      </x:c>
      <x:c r="G44" s="24" t="str">
        <x:v>Small to medium flatfishes (&lt;90 cm)</x:v>
      </x:c>
      <x:c r="H44" s="24" t="str">
        <x:v>Flatfishes</x:v>
      </x:c>
      <x:c r="I44" s="31" t="n">
        <x:v>5.5435770581</x:v>
      </x:c>
      <x:c r="J44" s="31" t="n">
        <x:v>0</x:v>
      </x:c>
      <x:c r="K44" s="31" t="n">
        <x:v>5.5435770581</x:v>
      </x:c>
      <x:c r="L44" s="31" t="n">
        <x:v>0</x:v>
      </x:c>
      <x:c r="M44" s="31" t="n">
        <x:v>5.5435770581</x:v>
      </x:c>
      <x:c r="N44" s="24" t="str">
        <x:v>pleuronectidae</x:v>
      </x:c>
      <x:c r="O44" s="32" t="n">
        <x:v>3.49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Pleuronectidae</x:v>
      </x:c>
      <x:c r="T44" s="32" t="n">
        <x:f>IF(O44="","",(1/'Metadata'!$B$5)^(O44-1))</x:f>
        <x:v>309.0295432513592</x:v>
      </x:c>
      <x:c r="U44" s="31" t="n">
        <x:f>IF(T44="","",I44*T44)</x:f>
        <x:v>1713.1290862433566</x:v>
      </x:c>
    </x:row>
    <x:row r="45" ht="18" customHeight="1">
      <x:c r="A45" s="24" t="str">
        <x:v>EEZ_056</x:v>
      </x:c>
      <x:c r="B45" s="24" t="str">
        <x:v>Belgium</x:v>
      </x:c>
      <x:c r="C45" s="24" t="str">
        <x:v>EEZ</x:v>
      </x:c>
      <x:c r="D45" s="30" t="n">
        <x:v>2019</x:v>
      </x:c>
      <x:c r="E45" s="24" t="str">
        <x:v>Raja montagui</x:v>
      </x:c>
      <x:c r="F45" s="24" t="str">
        <x:v>Spotted ray</x:v>
      </x:c>
      <x:c r="G45" s="24" t="str">
        <x:v>Small to medium rays (&lt;90 cm)</x:v>
      </x:c>
      <x:c r="H45" s="24" t="str">
        <x:v>Sharks &amp; rays</x:v>
      </x:c>
      <x:c r="I45" s="31" t="n">
        <x:v>5.5154844235</x:v>
      </x:c>
      <x:c r="J45" s="31" t="n">
        <x:v>5.5154844235</x:v>
      </x:c>
      <x:c r="K45" s="31" t="n">
        <x:v>0</x:v>
      </x:c>
      <x:c r="L45" s="31" t="n">
        <x:v>5.5154844235</x:v>
      </x:c>
      <x:c r="M45" s="31" t="n">
        <x:v>0</x:v>
      </x:c>
      <x:c r="N45" s="24" t="str">
        <x:v>raja montagui</x:v>
      </x:c>
      <x:c r="O45" s="32" t="n">
        <x:v>3.88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Raja montagui</x:v>
      </x:c>
      <x:c r="T45" s="32" t="n">
        <x:f>IF(O45="","",(1/'Metadata'!$B$5)^(O45-1))</x:f>
        <x:v>758.5775750291835</x:v>
      </x:c>
      <x:c r="U45" s="31" t="n">
        <x:f>IF(T45="","",I45*T45)</x:f>
        <x:v>4183.922799089864</x:v>
      </x:c>
    </x:row>
    <x:row r="46" ht="18" customHeight="1">
      <x:c r="A46" s="24" t="str">
        <x:v>EEZ_056</x:v>
      </x:c>
      <x:c r="B46" s="24" t="str">
        <x:v>Belgium</x:v>
      </x:c>
      <x:c r="C46" s="24" t="str">
        <x:v>EEZ</x:v>
      </x:c>
      <x:c r="D46" s="30" t="n">
        <x:v>2019</x:v>
      </x:c>
      <x:c r="E46" s="24" t="str">
        <x:v>Squaliformes</x:v>
      </x:c>
      <x:c r="F46" s="24" t="str">
        <x:v>Bramble, sleeper, dogfish sharks</x:v>
      </x:c>
      <x:c r="G46" s="24" t="str">
        <x:v>Large sharks (&gt;=90 cm)</x:v>
      </x:c>
      <x:c r="H46" s="24" t="str">
        <x:v>Sharks &amp; rays</x:v>
      </x:c>
      <x:c r="I46" s="31" t="n">
        <x:v>5.4249325632000005</x:v>
      </x:c>
      <x:c r="J46" s="31" t="n">
        <x:v>0</x:v>
      </x:c>
      <x:c r="K46" s="31" t="n">
        <x:v>5.4249325632000005</x:v>
      </x:c>
      <x:c r="L46" s="31" t="n">
        <x:v>0</x:v>
      </x:c>
      <x:c r="M46" s="31" t="n">
        <x:v>5.4249325632000005</x:v>
      </x:c>
      <x:c r="N46" s="24" t="str">
        <x:v>squaliformes</x:v>
      </x:c>
      <x:c r="O46" s="32" t="n">
        <x:v>4.19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Squaliformes</x:v>
      </x:c>
      <x:c r="T46" s="32" t="n">
        <x:f>IF(O46="","",(1/'Metadata'!$B$5)^(O46-1))</x:f>
        <x:v>1548.8166189124827</x:v>
      </x:c>
      <x:c r="U46" s="31" t="n">
        <x:f>IF(T46="","",I46*T46)</x:f>
        <x:v>8402.225710363653</x:v>
      </x:c>
    </x:row>
    <x:row r="47" ht="18" customHeight="1">
      <x:c r="A47" s="24" t="str">
        <x:v>EEZ_056</x:v>
      </x:c>
      <x:c r="B47" s="24" t="str">
        <x:v>Belgium</x:v>
      </x:c>
      <x:c r="C47" s="24" t="str">
        <x:v>EEZ</x:v>
      </x:c>
      <x:c r="D47" s="30" t="n">
        <x:v>2019</x:v>
      </x:c>
      <x:c r="E47" s="24" t="str">
        <x:v>Buglossidium luteum</x:v>
      </x:c>
      <x:c r="F47" s="24" t="str">
        <x:v>Solenette</x:v>
      </x:c>
      <x:c r="G47" s="24" t="str">
        <x:v>Small to medium flatfishes (&lt;90 cm)</x:v>
      </x:c>
      <x:c r="H47" s="24" t="str">
        <x:v>Flatfishes</x:v>
      </x:c>
      <x:c r="I47" s="31" t="n">
        <x:v>4.970881844</x:v>
      </x:c>
      <x:c r="J47" s="31" t="n">
        <x:v>0</x:v>
      </x:c>
      <x:c r="K47" s="31" t="n">
        <x:v>4.970881844</x:v>
      </x:c>
      <x:c r="L47" s="31" t="n">
        <x:v>0</x:v>
      </x:c>
      <x:c r="M47" s="31" t="n">
        <x:v>4.970881844</x:v>
      </x:c>
      <x:c r="N47" s="24" t="str">
        <x:v>buglossidium luteum</x:v>
      </x:c>
      <x:c r="O47" s="32" t="n">
        <x:v>3.31</x:v>
      </x:c>
      <x:c r="P47" s="24" t="str">
        <x:v>exact_2020_supplement</x:v>
      </x:c>
      <x:c r="Q47" s="32" t="str">
        <x:v>2020 supplement MeanTL</x:v>
      </x:c>
      <x:c r="R47" s="24" t="str">
        <x:v>high</x:v>
      </x:c>
      <x:c r="S47" s="24" t="str">
        <x:v>Buglossidium luteum</x:v>
      </x:c>
      <x:c r="T47" s="32" t="n">
        <x:f>IF(O47="","",(1/'Metadata'!$B$5)^(O47-1))</x:f>
        <x:v>204.17379446695296</x:v>
      </x:c>
      <x:c r="U47" s="31" t="n">
        <x:f>IF(T47="","",I47*T47)</x:f>
        <x:v>1014.9238079363641</x:v>
      </x:c>
    </x:row>
    <x:row r="48" ht="18" customHeight="1">
      <x:c r="A48" s="24" t="str">
        <x:v>EEZ_056</x:v>
      </x:c>
      <x:c r="B48" s="24" t="str">
        <x:v>Belgium</x:v>
      </x:c>
      <x:c r="C48" s="24" t="str">
        <x:v>EEZ</x:v>
      </x:c>
      <x:c r="D48" s="30" t="n">
        <x:v>2019</x:v>
      </x:c>
      <x:c r="E48" s="24" t="str">
        <x:v>Asterias rubens</x:v>
      </x:c>
      <x:c r="F48" s="24" t="str">
        <x:v>Red starfish</x:v>
      </x:c>
      <x:c r="G48" s="24" t="str">
        <x:v>Other demersal invertebrates</x:v>
      </x:c>
      <x:c r="H48" s="24" t="str">
        <x:v>Other fishes &amp; inverts</x:v>
      </x:c>
      <x:c r="I48" s="31" t="n">
        <x:v>4.9540840853</x:v>
      </x:c>
      <x:c r="J48" s="31" t="n">
        <x:v>0</x:v>
      </x:c>
      <x:c r="K48" s="31" t="n">
        <x:v>4.9540840853</x:v>
      </x:c>
      <x:c r="L48" s="31" t="n">
        <x:v>0</x:v>
      </x:c>
      <x:c r="M48" s="31" t="n">
        <x:v>4.9540840853</x:v>
      </x:c>
      <x:c r="N48" s="24" t="str">
        <x:v>asterias rubens</x:v>
      </x:c>
      <x:c r="O48" s="32" t="n">
        <x:v>3</x:v>
      </x:c>
      <x:c r="P48" s="24" t="str">
        <x:v>exact_2020_supplement</x:v>
      </x:c>
      <x:c r="Q48" s="32" t="str">
        <x:v>2020 supplement MeanTL</x:v>
      </x:c>
      <x:c r="R48" s="24" t="str">
        <x:v>high</x:v>
      </x:c>
      <x:c r="S48" s="24" t="str">
        <x:v>Asterias rubens</x:v>
      </x:c>
      <x:c r="T48" s="32" t="n">
        <x:f>IF(O48="","",(1/'Metadata'!$B$5)^(O48-1))</x:f>
        <x:v>100</x:v>
      </x:c>
      <x:c r="U48" s="31" t="n">
        <x:f>IF(T48="","",I48*T48)</x:f>
        <x:v>495.40840853</x:v>
      </x:c>
    </x:row>
    <x:row r="49" ht="18" customHeight="1">
      <x:c r="A49" s="24" t="str">
        <x:v>EEZ_056</x:v>
      </x:c>
      <x:c r="B49" s="24" t="str">
        <x:v>Belgium</x:v>
      </x:c>
      <x:c r="C49" s="24" t="str">
        <x:v>EEZ</x:v>
      </x:c>
      <x:c r="D49" s="30" t="n">
        <x:v>2019</x:v>
      </x:c>
      <x:c r="E49" s="24" t="str">
        <x:v>Loligo</x:v>
      </x:c>
      <x:c r="F49" s="24" t="str">
        <x:v>Common squids</x:v>
      </x:c>
      <x:c r="G49" s="24" t="str">
        <x:v>Cephalopods</x:v>
      </x:c>
      <x:c r="H49" s="24" t="str">
        <x:v>Other fishes &amp; inverts</x:v>
      </x:c>
      <x:c r="I49" s="31" t="n">
        <x:v>4.9457828461</x:v>
      </x:c>
      <x:c r="J49" s="31" t="n">
        <x:v>4.9457828461</x:v>
      </x:c>
      <x:c r="K49" s="31" t="n">
        <x:v>0</x:v>
      </x:c>
      <x:c r="L49" s="31" t="n">
        <x:v>4.9457828461</x:v>
      </x:c>
      <x:c r="M49" s="31" t="n">
        <x:v>0</x:v>
      </x:c>
      <x:c r="N49" s="24" t="str">
        <x:v>loligo</x:v>
      </x:c>
      <x:c r="O49" s="32" t="n">
        <x:v>3.99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Loligo</x:v>
      </x:c>
      <x:c r="T49" s="32" t="n">
        <x:f>IF(O49="","",(1/'Metadata'!$B$5)^(O49-1))</x:f>
        <x:v>977.2372209558112</x:v>
      </x:c>
      <x:c r="U49" s="31" t="n">
        <x:f>IF(T49="","",I49*T49)</x:f>
        <x:v>4833.203083973686</x:v>
      </x:c>
    </x:row>
    <x:row r="50" ht="18" customHeight="1">
      <x:c r="A50" s="24" t="str">
        <x:v>EEZ_056</x:v>
      </x:c>
      <x:c r="B50" s="24" t="str">
        <x:v>Belgium</x:v>
      </x:c>
      <x:c r="C50" s="24" t="str">
        <x:v>EEZ</x:v>
      </x:c>
      <x:c r="D50" s="30" t="n">
        <x:v>2019</x:v>
      </x:c>
      <x:c r="E50" s="24" t="str">
        <x:v>Carangidae</x:v>
      </x:c>
      <x:c r="F50" s="24" t="str">
        <x:v>Jacks, pompanos</x:v>
      </x:c>
      <x:c r="G50" s="24" t="str">
        <x:v>Medium pelagics (30 - 89 cm)</x:v>
      </x:c>
      <x:c r="H50" s="24" t="str">
        <x:v>Perch-likes</x:v>
      </x:c>
      <x:c r="I50" s="31" t="n">
        <x:v>4.8177433941</x:v>
      </x:c>
      <x:c r="J50" s="31" t="n">
        <x:v>0</x:v>
      </x:c>
      <x:c r="K50" s="31" t="n">
        <x:v>4.8177433941</x:v>
      </x:c>
      <x:c r="L50" s="31" t="n">
        <x:v>0</x:v>
      </x:c>
      <x:c r="M50" s="31" t="n">
        <x:v>4.8177433941</x:v>
      </x:c>
      <x:c r="N50" s="24" t="str">
        <x:v>carangidae</x:v>
      </x:c>
      <x:c r="O50" s="32" t="n">
        <x:v>4.05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Carangidae</x:v>
      </x:c>
      <x:c r="T50" s="32" t="n">
        <x:f>IF(O50="","",(1/'Metadata'!$B$5)^(O50-1))</x:f>
        <x:v>1122.018454301963</x:v>
      </x:c>
      <x:c r="U50" s="31" t="n">
        <x:f>IF(T50="","",I50*T50)</x:f>
        <x:v>5405.596996271574</x:v>
      </x:c>
    </x:row>
    <x:row r="51" ht="18" customHeight="1">
      <x:c r="A51" s="24" t="str">
        <x:v>EEZ_056</x:v>
      </x:c>
      <x:c r="B51" s="24" t="str">
        <x:v>Belgium</x:v>
      </x:c>
      <x:c r="C51" s="24" t="str">
        <x:v>EEZ</x:v>
      </x:c>
      <x:c r="D51" s="30" t="n">
        <x:v>2019</x:v>
      </x:c>
      <x:c r="E51" s="24" t="str">
        <x:v>Melanogrammus aeglefinus</x:v>
      </x:c>
      <x:c r="F51" s="24" t="str">
        <x:v>Haddock</x:v>
      </x:c>
      <x:c r="G51" s="24" t="str">
        <x:v>Medium demersals (30 - 89 cm)</x:v>
      </x:c>
      <x:c r="H51" s="24" t="str">
        <x:v>Cod-likes</x:v>
      </x:c>
      <x:c r="I51" s="31" t="n">
        <x:v>4.7388549554</x:v>
      </x:c>
      <x:c r="J51" s="31" t="n">
        <x:v>4.5952052152</x:v>
      </x:c>
      <x:c r="K51" s="31" t="n">
        <x:v>0.1436497402</x:v>
      </x:c>
      <x:c r="L51" s="31" t="n">
        <x:v>4.5920255919</x:v>
      </x:c>
      <x:c r="M51" s="31" t="n">
        <x:v>0.1468293635</x:v>
      </x:c>
      <x:c r="N51" s="24" t="str">
        <x:v>melanogrammus aeglefinus</x:v>
      </x:c>
      <x:c r="O51" s="32" t="n">
        <x:v>4.03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Melanogrammus aeglefinus</x:v>
      </x:c>
      <x:c r="T51" s="32" t="n">
        <x:f>IF(O51="","",(1/'Metadata'!$B$5)^(O51-1))</x:f>
        <x:v>1071.519305237607</x:v>
      </x:c>
      <x:c r="U51" s="31" t="n">
        <x:f>IF(T51="","",I51*T51)</x:f>
        <x:v>5077.774569431999</x:v>
      </x:c>
    </x:row>
    <x:row r="52" ht="18" customHeight="1">
      <x:c r="A52" s="24" t="str">
        <x:v>EEZ_056</x:v>
      </x:c>
      <x:c r="B52" s="24" t="str">
        <x:v>Belgium</x:v>
      </x:c>
      <x:c r="C52" s="24" t="str">
        <x:v>EEZ</x:v>
      </x:c>
      <x:c r="D52" s="30" t="n">
        <x:v>2019</x:v>
      </x:c>
      <x:c r="E52" s="24" t="str">
        <x:v>Marine finfishes not identified</x:v>
      </x:c>
      <x:c r="F52" s="24" t="str">
        <x:v>Finfishes</x:v>
      </x:c>
      <x:c r="G52" s="24" t="str">
        <x:v>Medium demersals (30 - 89 cm)</x:v>
      </x:c>
      <x:c r="H52" s="24" t="str">
        <x:v>Other fishes &amp; inverts</x:v>
      </x:c>
      <x:c r="I52" s="31" t="n">
        <x:v>4.4943853815</x:v>
      </x:c>
      <x:c r="J52" s="31" t="n">
        <x:v>0</x:v>
      </x:c>
      <x:c r="K52" s="31" t="n">
        <x:v>4.4943853815</x:v>
      </x:c>
      <x:c r="L52" s="31" t="n">
        <x:v>0</x:v>
      </x:c>
      <x:c r="M52" s="31" t="n">
        <x:v>4.4943853815</x:v>
      </x:c>
      <x:c r="N52" s="24" t="str">
        <x:v>marine finfishes not identified</x:v>
      </x:c>
      <x:c r="O52" s="32" t="n">
        <x:v>3.23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Marine finfishes not identified</x:v>
      </x:c>
      <x:c r="T52" s="32" t="n">
        <x:f>IF(O52="","",(1/'Metadata'!$B$5)^(O52-1))</x:f>
        <x:v>169.82436524617444</x:v>
      </x:c>
      <x:c r="U52" s="31" t="n">
        <x:f>IF(T52="","",I52*T52)</x:f>
        <x:v>763.256144584923</x:v>
      </x:c>
    </x:row>
    <x:row r="53" ht="18" customHeight="1">
      <x:c r="A53" s="24" t="str">
        <x:v>EEZ_056</x:v>
      </x:c>
      <x:c r="B53" s="24" t="str">
        <x:v>Belgium</x:v>
      </x:c>
      <x:c r="C53" s="24" t="str">
        <x:v>EEZ</x:v>
      </x:c>
      <x:c r="D53" s="30" t="n">
        <x:v>2019</x:v>
      </x:c>
      <x:c r="E53" s="24" t="str">
        <x:v>Illex</x:v>
      </x:c>
      <x:c r="F53" s="24" t="str">
        <x:v>Shortfin squid</x:v>
      </x:c>
      <x:c r="G53" s="24" t="str">
        <x:v>Cephalopods</x:v>
      </x:c>
      <x:c r="H53" s="24" t="str">
        <x:v>Other fishes &amp; inverts</x:v>
      </x:c>
      <x:c r="I53" s="31" t="n">
        <x:v>4.3432772682000005</x:v>
      </x:c>
      <x:c r="J53" s="31" t="n">
        <x:v>4.3432772682000005</x:v>
      </x:c>
      <x:c r="K53" s="31" t="n">
        <x:v>0</x:v>
      </x:c>
      <x:c r="L53" s="31" t="n">
        <x:v>4.3432772682000005</x:v>
      </x:c>
      <x:c r="M53" s="31" t="n">
        <x:v>0</x:v>
      </x:c>
      <x:c r="N53" s="24" t="str">
        <x:v>illex</x:v>
      </x:c>
      <x:c r="O53" s="32" t="n">
        <x:v>3.98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Illex</x:v>
      </x:c>
      <x:c r="T53" s="32" t="n">
        <x:f>IF(O53="","",(1/'Metadata'!$B$5)^(O53-1))</x:f>
        <x:v>954.992586021436</x:v>
      </x:c>
      <x:c r="U53" s="31" t="n">
        <x:f>IF(T53="","",I53*T53)</x:f>
        <x:v>4147.797590166437</x:v>
      </x:c>
    </x:row>
    <x:row r="54" ht="18" customHeight="1">
      <x:c r="A54" s="24" t="str">
        <x:v>EEZ_056</x:v>
      </x:c>
      <x:c r="B54" s="24" t="str">
        <x:v>Belgium</x:v>
      </x:c>
      <x:c r="C54" s="24" t="str">
        <x:v>EEZ</x:v>
      </x:c>
      <x:c r="D54" s="30" t="n">
        <x:v>2019</x:v>
      </x:c>
      <x:c r="E54" s="24" t="str">
        <x:v>Perciformes</x:v>
      </x:c>
      <x:c r="F54" s="24" t="str">
        <x:v>Perch-likes</x:v>
      </x:c>
      <x:c r="G54" s="24" t="str">
        <x:v>Medium demersals (30 - 89 cm)</x:v>
      </x:c>
      <x:c r="H54" s="24" t="str">
        <x:v>Perch-likes</x:v>
      </x:c>
      <x:c r="I54" s="31" t="n">
        <x:v>4.1995766877000005</x:v>
      </x:c>
      <x:c r="J54" s="31" t="n">
        <x:v>4.1994647431</x:v>
      </x:c>
      <x:c r="K54" s="31" t="n">
        <x:v>0.0001119446</x:v>
      </x:c>
      <x:c r="L54" s="31" t="n">
        <x:v>4.1994647431</x:v>
      </x:c>
      <x:c r="M54" s="31" t="n">
        <x:v>0.0001119446</x:v>
      </x:c>
      <x:c r="N54" s="24" t="str">
        <x:v>perciformes</x:v>
      </x:c>
      <x:c r="O54" s="32" t="n">
        <x:v>3.53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Perciformes</x:v>
      </x:c>
      <x:c r="T54" s="32" t="n">
        <x:f>IF(O54="","",(1/'Metadata'!$B$5)^(O54-1))</x:f>
        <x:v>338.84415613920237</x:v>
      </x:c>
      <x:c r="U54" s="31" t="n">
        <x:f>IF(T54="","",I54*T54)</x:f>
        <x:v>1423.0020188855733</x:v>
      </x:c>
    </x:row>
    <x:row r="55" ht="18" customHeight="1">
      <x:c r="A55" s="24" t="str">
        <x:v>EEZ_056</x:v>
      </x:c>
      <x:c r="B55" s="24" t="str">
        <x:v>Belgium</x:v>
      </x:c>
      <x:c r="C55" s="24" t="str">
        <x:v>EEZ</x:v>
      </x:c>
      <x:c r="D55" s="30" t="n">
        <x:v>2019</x:v>
      </x:c>
      <x:c r="E55" s="24" t="str">
        <x:v>Portunidae</x:v>
      </x:c>
      <x:c r="F55" s="24" t="str">
        <x:v>Swimming crabs</x:v>
      </x:c>
      <x:c r="G55" s="24" t="str">
        <x:v>Lobsters, crabs</x:v>
      </x:c>
      <x:c r="H55" s="24" t="str">
        <x:v>Crustaceans</x:v>
      </x:c>
      <x:c r="I55" s="31" t="n">
        <x:v>3.8465626156</x:v>
      </x:c>
      <x:c r="J55" s="31" t="n">
        <x:v>0</x:v>
      </x:c>
      <x:c r="K55" s="31" t="n">
        <x:v>3.8465626156</x:v>
      </x:c>
      <x:c r="L55" s="31" t="n">
        <x:v>0</x:v>
      </x:c>
      <x:c r="M55" s="31" t="n">
        <x:v>3.8465626156</x:v>
      </x:c>
      <x:c r="N55" s="24" t="str">
        <x:v>portunidae</x:v>
      </x:c>
      <x:c r="O55" s="32" t="n">
        <x:v>3.56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Portunidae</x:v>
      </x:c>
      <x:c r="T55" s="32" t="n">
        <x:f>IF(O55="","",(1/'Metadata'!$B$5)^(O55-1))</x:f>
        <x:v>363.0780547701014</x:v>
      </x:c>
      <x:c r="U55" s="31" t="n">
        <x:f>IF(T55="","",I55*T55)</x:f>
        <x:v>1396.6024720234414</x:v>
      </x:c>
    </x:row>
    <x:row r="56" ht="18" customHeight="1">
      <x:c r="A56" s="24" t="str">
        <x:v>EEZ_056</x:v>
      </x:c>
      <x:c r="B56" s="24" t="str">
        <x:v>Belgium</x:v>
      </x:c>
      <x:c r="C56" s="24" t="str">
        <x:v>EEZ</x:v>
      </x:c>
      <x:c r="D56" s="30" t="n">
        <x:v>2019</x:v>
      </x:c>
      <x:c r="E56" s="24" t="str">
        <x:v>Raja</x:v>
      </x:c>
      <x:c r="F56" s="24" t="str">
        <x:v>Stingrays, skates</x:v>
      </x:c>
      <x:c r="G56" s="24" t="str">
        <x:v>Small to medium rays (&lt;90 cm)</x:v>
      </x:c>
      <x:c r="H56" s="24" t="str">
        <x:v>Sharks &amp; rays</x:v>
      </x:c>
      <x:c r="I56" s="31" t="n">
        <x:v>3.6303617517</x:v>
      </x:c>
      <x:c r="J56" s="31" t="n">
        <x:v>3.6303553958</x:v>
      </x:c>
      <x:c r="K56" s="31" t="n">
        <x:v>0.0000063559</x:v>
      </x:c>
      <x:c r="L56" s="31" t="n">
        <x:v>3.6303553958</x:v>
      </x:c>
      <x:c r="M56" s="31" t="n">
        <x:v>0.0000063559</x:v>
      </x:c>
      <x:c r="N56" s="24" t="str">
        <x:v>raja</x:v>
      </x:c>
      <x:c r="O56" s="32" t="n">
        <x:v>3.8</x:v>
      </x:c>
      <x:c r="P56" s="24" t="str">
        <x:v>exact_sea_around_us</x:v>
      </x:c>
      <x:c r="Q56" s="32" t="str">
        <x:v>Sea Around Us exploited organisms</x:v>
      </x:c>
      <x:c r="R56" s="24" t="str">
        <x:v>high</x:v>
      </x:c>
      <x:c r="S56" s="24" t="str">
        <x:v>Raja</x:v>
      </x:c>
      <x:c r="T56" s="32" t="n">
        <x:f>IF(O56="","",(1/'Metadata'!$B$5)^(O56-1))</x:f>
        <x:v>630.957344480193</x:v>
      </x:c>
      <x:c r="U56" s="31" t="n">
        <x:f>IF(T56="","",I56*T56)</x:f>
        <x:v>2290.6034103550937</x:v>
      </x:c>
    </x:row>
    <x:row r="57" ht="18" customHeight="1">
      <x:c r="A57" s="24" t="str">
        <x:v>EEZ_056</x:v>
      </x:c>
      <x:c r="B57" s="24" t="str">
        <x:v>Belgium</x:v>
      </x:c>
      <x:c r="C57" s="24" t="str">
        <x:v>EEZ</x:v>
      </x:c>
      <x:c r="D57" s="30" t="n">
        <x:v>2019</x:v>
      </x:c>
      <x:c r="E57" s="24" t="str">
        <x:v>Callionymus lyra</x:v>
      </x:c>
      <x:c r="F57" s="24" t="str">
        <x:v>Dragonet</x:v>
      </x:c>
      <x:c r="G57" s="24" t="str">
        <x:v>Large reef assoc. fish (&gt;=90 cm)</x:v>
      </x:c>
      <x:c r="H57" s="24" t="str">
        <x:v>Perch-likes</x:v>
      </x:c>
      <x:c r="I57" s="31" t="n">
        <x:v>3.382612264</x:v>
      </x:c>
      <x:c r="J57" s="31" t="n">
        <x:v>0</x:v>
      </x:c>
      <x:c r="K57" s="31" t="n">
        <x:v>3.382612264</x:v>
      </x:c>
      <x:c r="L57" s="31" t="n">
        <x:v>0</x:v>
      </x:c>
      <x:c r="M57" s="31" t="n">
        <x:v>3.382612264</x:v>
      </x:c>
      <x:c r="N57" s="24" t="str">
        <x:v>callionymus lyra</x:v>
      </x:c>
      <x:c r="O57" s="32" t="n">
        <x:v>3.27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Callionymus lyra</x:v>
      </x:c>
      <x:c r="T57" s="32" t="n">
        <x:f>IF(O57="","",(1/'Metadata'!$B$5)^(O57-1))</x:f>
        <x:v>186.20871366628674</x:v>
      </x:c>
      <x:c r="U57" s="31" t="n">
        <x:f>IF(T57="","",I57*T57)</x:f>
        <x:v>629.871878511246</x:v>
      </x:c>
    </x:row>
    <x:row r="58" ht="18" customHeight="1">
      <x:c r="A58" s="24" t="str">
        <x:v>EEZ_056</x:v>
      </x:c>
      <x:c r="B58" s="24" t="str">
        <x:v>Belgium</x:v>
      </x:c>
      <x:c r="C58" s="24" t="str">
        <x:v>EEZ</x:v>
      </x:c>
      <x:c r="D58" s="30" t="n">
        <x:v>2019</x:v>
      </x:c>
      <x:c r="E58" s="24" t="str">
        <x:v>Soleidae</x:v>
      </x:c>
      <x:c r="F58" s="24" t="str">
        <x:v>Soles</x:v>
      </x:c>
      <x:c r="G58" s="24" t="str">
        <x:v>Small to medium flatfishes (&lt;90 cm)</x:v>
      </x:c>
      <x:c r="H58" s="24" t="str">
        <x:v>Flatfishes</x:v>
      </x:c>
      <x:c r="I58" s="31" t="n">
        <x:v>3.3154652591000002</x:v>
      </x:c>
      <x:c r="J58" s="31" t="n">
        <x:v>0.0012711201</x:v>
      </x:c>
      <x:c r="K58" s="31" t="n">
        <x:v>3.314194139</x:v>
      </x:c>
      <x:c r="L58" s="31" t="n">
        <x:v>0.0012711201</x:v>
      </x:c>
      <x:c r="M58" s="31" t="n">
        <x:v>3.314194139</x:v>
      </x:c>
      <x:c r="N58" s="24" t="str">
        <x:v>soleidae</x:v>
      </x:c>
      <x:c r="O58" s="32" t="n">
        <x:v>3.15</x:v>
      </x:c>
      <x:c r="P58" s="24" t="str">
        <x:v>exact_sea_around_us</x:v>
      </x:c>
      <x:c r="Q58" s="32" t="str">
        <x:v>Sea Around Us exploited organisms</x:v>
      </x:c>
      <x:c r="R58" s="24" t="str">
        <x:v>high</x:v>
      </x:c>
      <x:c r="S58" s="24" t="str">
        <x:v>Soleidae</x:v>
      </x:c>
      <x:c r="T58" s="32" t="n">
        <x:f>IF(O58="","",(1/'Metadata'!$B$5)^(O58-1))</x:f>
        <x:v>141.2537544622754</x:v>
      </x:c>
      <x:c r="U58" s="31" t="n">
        <x:f>IF(T58="","",I58*T58)</x:f>
        <x:v>468.3219156371157</x:v>
      </x:c>
    </x:row>
    <x:row r="59" ht="18" customHeight="1">
      <x:c r="A59" s="24" t="str">
        <x:v>EEZ_056</x:v>
      </x:c>
      <x:c r="B59" s="24" t="str">
        <x:v>Belgium</x:v>
      </x:c>
      <x:c r="C59" s="24" t="str">
        <x:v>EEZ</x:v>
      </x:c>
      <x:c r="D59" s="30" t="n">
        <x:v>2019</x:v>
      </x:c>
      <x:c r="E59" s="24" t="str">
        <x:v>Lophius</x:v>
      </x:c>
      <x:c r="F59" s="24" t="str">
        <x:v>Frogfishes</x:v>
      </x:c>
      <x:c r="G59" s="24" t="str">
        <x:v>Medium bathydemersals (30 - 89 cm)</x:v>
      </x:c>
      <x:c r="H59" s="24" t="str">
        <x:v>Other fishes &amp; inverts</x:v>
      </x:c>
      <x:c r="I59" s="31" t="n">
        <x:v>3.3014997889999997</x:v>
      </x:c>
      <x:c r="J59" s="31" t="n">
        <x:v>0</x:v>
      </x:c>
      <x:c r="K59" s="31" t="n">
        <x:v>3.3014997889999997</x:v>
      </x:c>
      <x:c r="L59" s="31" t="n">
        <x:v>0</x:v>
      </x:c>
      <x:c r="M59" s="31" t="n">
        <x:v>3.3014997889999997</x:v>
      </x:c>
      <x:c r="N59" s="24" t="str">
        <x:v>lophius</x:v>
      </x:c>
      <x:c r="O59" s="32" t="n">
        <x:v>4.46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Lophius</x:v>
      </x:c>
      <x:c r="T59" s="32" t="n">
        <x:f>IF(O59="","",(1/'Metadata'!$B$5)^(O59-1))</x:f>
        <x:v>2884.031503126606</x:v>
      </x:c>
      <x:c r="U59" s="31" t="n">
        <x:f>IF(T59="","",I59*T59)</x:f>
        <x:v>9521.629399041842</x:v>
      </x:c>
    </x:row>
    <x:row r="60" ht="18" customHeight="1">
      <x:c r="A60" s="24" t="str">
        <x:v>EEZ_056</x:v>
      </x:c>
      <x:c r="B60" s="24" t="str">
        <x:v>Belgium</x:v>
      </x:c>
      <x:c r="C60" s="24" t="str">
        <x:v>EEZ</x:v>
      </x:c>
      <x:c r="D60" s="30" t="n">
        <x:v>2019</x:v>
      </x:c>
      <x:c r="E60" s="24" t="str">
        <x:v>Merlucciidae</x:v>
      </x:c>
      <x:c r="F60" s="24" t="str">
        <x:v>Merluccid hakes</x:v>
      </x:c>
      <x:c r="G60" s="24" t="str">
        <x:v>Large bathydemersals (&gt;=90 cm)</x:v>
      </x:c>
      <x:c r="H60" s="24" t="str">
        <x:v>Cod-likes</x:v>
      </x:c>
      <x:c r="I60" s="31" t="n">
        <x:v>3.2953652821</x:v>
      </x:c>
      <x:c r="J60" s="31" t="n">
        <x:v>0</x:v>
      </x:c>
      <x:c r="K60" s="31" t="n">
        <x:v>3.2953652821</x:v>
      </x:c>
      <x:c r="L60" s="31" t="n">
        <x:v>0</x:v>
      </x:c>
      <x:c r="M60" s="31" t="n">
        <x:v>3.2953652821</x:v>
      </x:c>
      <x:c r="N60" s="24" t="str">
        <x:v>merlucciidae</x:v>
      </x:c>
      <x:c r="O60" s="32" t="n">
        <x:v>4.35</x:v>
      </x:c>
      <x:c r="P60" s="24" t="str">
        <x:v>exact_sea_around_us</x:v>
      </x:c>
      <x:c r="Q60" s="32" t="str">
        <x:v>Sea Around Us exploited organisms</x:v>
      </x:c>
      <x:c r="R60" s="24" t="str">
        <x:v>high</x:v>
      </x:c>
      <x:c r="S60" s="24" t="str">
        <x:v>Merlucciidae</x:v>
      </x:c>
      <x:c r="T60" s="32" t="n">
        <x:f>IF(O60="","",(1/'Metadata'!$B$5)^(O60-1))</x:f>
        <x:v>2238.7211385683377</x:v>
      </x:c>
      <x:c r="U60" s="31" t="n">
        <x:f>IF(T60="","",I60*T60)</x:f>
        <x:v>7377.403916341484</x:v>
      </x:c>
    </x:row>
    <x:row r="61" ht="18" customHeight="1">
      <x:c r="A61" s="24" t="str">
        <x:v>EEZ_056</x:v>
      </x:c>
      <x:c r="B61" s="24" t="str">
        <x:v>Belgium</x:v>
      </x:c>
      <x:c r="C61" s="24" t="str">
        <x:v>EEZ</x:v>
      </x:c>
      <x:c r="D61" s="30" t="n">
        <x:v>2019</x:v>
      </x:c>
      <x:c r="E61" s="24" t="str">
        <x:v>Sardina pilchardus</x:v>
      </x:c>
      <x:c r="F61" s="24" t="str">
        <x:v>European pilchard</x:v>
      </x:c>
      <x:c r="G61" s="24" t="str">
        <x:v>Small pelagics (&lt;30 cm)</x:v>
      </x:c>
      <x:c r="H61" s="24" t="str">
        <x:v>Herring-likes</x:v>
      </x:c>
      <x:c r="I61" s="31" t="n">
        <x:v>3.2089793813</x:v>
      </x:c>
      <x:c r="J61" s="31" t="n">
        <x:v>3.2089793813</x:v>
      </x:c>
      <x:c r="K61" s="31" t="n">
        <x:v>0</x:v>
      </x:c>
      <x:c r="L61" s="31" t="n">
        <x:v>3.2089793813</x:v>
      </x:c>
      <x:c r="M61" s="31" t="n">
        <x:v>0</x:v>
      </x:c>
      <x:c r="N61" s="24" t="str">
        <x:v>sardina pilchardus</x:v>
      </x:c>
      <x:c r="O61" s="32" t="n">
        <x:v>3.06</x:v>
      </x:c>
      <x:c r="P61" s="24" t="str">
        <x:v>exact_2020_supplement</x:v>
      </x:c>
      <x:c r="Q61" s="32" t="str">
        <x:v>2020 supplement MeanTL</x:v>
      </x:c>
      <x:c r="R61" s="24" t="str">
        <x:v>high</x:v>
      </x:c>
      <x:c r="S61" s="24" t="str">
        <x:v>Sardina pilchardus</x:v>
      </x:c>
      <x:c r="T61" s="32" t="n">
        <x:f>IF(O61="","",(1/'Metadata'!$B$5)^(O61-1))</x:f>
        <x:v>114.81536214968828</x:v>
      </x:c>
      <x:c r="U61" s="31" t="n">
        <x:f>IF(T61="","",I61*T61)</x:f>
        <x:v>368.4401297948421</x:v>
      </x:c>
    </x:row>
    <x:row r="62" ht="18" customHeight="1">
      <x:c r="A62" s="24" t="str">
        <x:v>EEZ_056</x:v>
      </x:c>
      <x:c r="B62" s="24" t="str">
        <x:v>Belgium</x:v>
      </x:c>
      <x:c r="C62" s="24" t="str">
        <x:v>EEZ</x:v>
      </x:c>
      <x:c r="D62" s="30" t="n">
        <x:v>2019</x:v>
      </x:c>
      <x:c r="E62" s="24" t="str">
        <x:v>Mustelus</x:v>
      </x:c>
      <x:c r="F62" s="24" t="str">
        <x:v>Smoothhounds</x:v>
      </x:c>
      <x:c r="G62" s="24" t="str">
        <x:v>Large sharks (&gt;=90 cm)</x:v>
      </x:c>
      <x:c r="H62" s="24" t="str">
        <x:v>Sharks &amp; rays</x:v>
      </x:c>
      <x:c r="I62" s="31" t="n">
        <x:v>3.1119579286</x:v>
      </x:c>
      <x:c r="J62" s="31" t="n">
        <x:v>3.1119579286</x:v>
      </x:c>
      <x:c r="K62" s="31" t="n">
        <x:v>0</x:v>
      </x:c>
      <x:c r="L62" s="31" t="n">
        <x:v>3.1119579286</x:v>
      </x:c>
      <x:c r="M62" s="31" t="n">
        <x:v>0</x:v>
      </x:c>
      <x:c r="N62" s="24" t="str">
        <x:v>mustelus</x:v>
      </x:c>
      <x:c r="O62" s="32" t="n">
        <x:v>3.73</x:v>
      </x:c>
      <x:c r="P62" s="24" t="str">
        <x:v>exact_sea_around_us</x:v>
      </x:c>
      <x:c r="Q62" s="32" t="str">
        <x:v>Sea Around Us exploited organisms</x:v>
      </x:c>
      <x:c r="R62" s="24" t="str">
        <x:v>high</x:v>
      </x:c>
      <x:c r="S62" s="24" t="str">
        <x:v>Mustelus</x:v>
      </x:c>
      <x:c r="T62" s="32" t="n">
        <x:f>IF(O62="","",(1/'Metadata'!$B$5)^(O62-1))</x:f>
        <x:v>537.0317963702527</x:v>
      </x:c>
      <x:c r="U62" s="31" t="n">
        <x:f>IF(T62="","",I62*T62)</x:f>
        <x:v>1671.2203566247083</x:v>
      </x:c>
    </x:row>
    <x:row r="63" ht="18" customHeight="1">
      <x:c r="A63" s="24" t="str">
        <x:v>EEZ_056</x:v>
      </x:c>
      <x:c r="B63" s="24" t="str">
        <x:v>Belgium</x:v>
      </x:c>
      <x:c r="C63" s="24" t="str">
        <x:v>EEZ</x:v>
      </x:c>
      <x:c r="D63" s="30" t="n">
        <x:v>2019</x:v>
      </x:c>
      <x:c r="E63" s="24" t="str">
        <x:v>Bivalvia</x:v>
      </x:c>
      <x:c r="F63" s="24" t="str">
        <x:v>Clams</x:v>
      </x:c>
      <x:c r="G63" s="24" t="str">
        <x:v>Other demersal invertebrates</x:v>
      </x:c>
      <x:c r="H63" s="24" t="str">
        <x:v>Molluscs</x:v>
      </x:c>
      <x:c r="I63" s="31" t="n">
        <x:v>2.3422139545</x:v>
      </x:c>
      <x:c r="J63" s="31" t="n">
        <x:v>0.0283647291</x:v>
      </x:c>
      <x:c r="K63" s="31" t="n">
        <x:v>2.3138492254</x:v>
      </x:c>
      <x:c r="L63" s="31" t="n">
        <x:v>0.0283647291</x:v>
      </x:c>
      <x:c r="M63" s="31" t="n">
        <x:v>2.3138492254</x:v>
      </x:c>
      <x:c r="N63" s="24" t="str">
        <x:v>bivalvia</x:v>
      </x:c>
      <x:c r="O63" s="32" t="n">
        <x:v>2.23</x:v>
      </x:c>
      <x:c r="P63" s="24" t="str">
        <x:v>exact_sea_around_us</x:v>
      </x:c>
      <x:c r="Q63" s="32" t="str">
        <x:v>Sea Around Us exploited organisms</x:v>
      </x:c>
      <x:c r="R63" s="24" t="str">
        <x:v>high</x:v>
      </x:c>
      <x:c r="S63" s="24" t="str">
        <x:v>Bivalvia</x:v>
      </x:c>
      <x:c r="T63" s="32" t="n">
        <x:f>IF(O63="","",(1/'Metadata'!$B$5)^(O63-1))</x:f>
        <x:v>16.982436524617444</x:v>
      </x:c>
      <x:c r="U63" s="31" t="n">
        <x:f>IF(T63="","",I63*T63)</x:f>
        <x:v>39.77649980936946</x:v>
      </x:c>
    </x:row>
    <x:row r="64" ht="18" customHeight="1">
      <x:c r="A64" s="24" t="str">
        <x:v>EEZ_056</x:v>
      </x:c>
      <x:c r="B64" s="24" t="str">
        <x:v>Belgium</x:v>
      </x:c>
      <x:c r="C64" s="24" t="str">
        <x:v>EEZ</x:v>
      </x:c>
      <x:c r="D64" s="30" t="n">
        <x:v>2019</x:v>
      </x:c>
      <x:c r="E64" s="24" t="str">
        <x:v>Scophthalmidae</x:v>
      </x:c>
      <x:c r="F64" s="24" t="str">
        <x:v>Turbots</x:v>
      </x:c>
      <x:c r="G64" s="24" t="str">
        <x:v>Small to medium flatfishes (&lt;90 cm)</x:v>
      </x:c>
      <x:c r="H64" s="24" t="str">
        <x:v>Flatfishes</x:v>
      </x:c>
      <x:c r="I64" s="31" t="n">
        <x:v>2.2526549926</x:v>
      </x:c>
      <x:c r="J64" s="31" t="n">
        <x:v>0</x:v>
      </x:c>
      <x:c r="K64" s="31" t="n">
        <x:v>2.2526549926</x:v>
      </x:c>
      <x:c r="L64" s="31" t="n">
        <x:v>0</x:v>
      </x:c>
      <x:c r="M64" s="31" t="n">
        <x:v>2.2526549926</x:v>
      </x:c>
      <x:c r="N64" s="24" t="str">
        <x:v>scophthalmidae</x:v>
      </x:c>
      <x:c r="O64" s="32" t="n">
        <x:v>3.71</x:v>
      </x:c>
      <x:c r="P64" s="24" t="str">
        <x:v>exact_sea_around_us</x:v>
      </x:c>
      <x:c r="Q64" s="32" t="str">
        <x:v>Sea Around Us exploited organisms</x:v>
      </x:c>
      <x:c r="R64" s="24" t="str">
        <x:v>high</x:v>
      </x:c>
      <x:c r="S64" s="24" t="str">
        <x:v>Scophthalmidae</x:v>
      </x:c>
      <x:c r="T64" s="32" t="n">
        <x:f>IF(O64="","",(1/'Metadata'!$B$5)^(O64-1))</x:f>
        <x:v>512.8613839913648</x:v>
      </x:c>
      <x:c r="U64" s="31" t="n">
        <x:f>IF(T64="","",I64*T64)</x:f>
        <x:v>1155.2997571598937</x:v>
      </x:c>
    </x:row>
    <x:row r="65" ht="18" customHeight="1">
      <x:c r="A65" s="24" t="str">
        <x:v>EEZ_056</x:v>
      </x:c>
      <x:c r="B65" s="24" t="str">
        <x:v>Belgium</x:v>
      </x:c>
      <x:c r="C65" s="24" t="str">
        <x:v>EEZ</x:v>
      </x:c>
      <x:c r="D65" s="30" t="n">
        <x:v>2019</x:v>
      </x:c>
      <x:c r="E65" s="24" t="str">
        <x:v>Crangonidae</x:v>
      </x:c>
      <x:c r="F65" s="24" t="str">
        <x:v>Brown shrimps</x:v>
      </x:c>
      <x:c r="G65" s="24" t="str">
        <x:v>Shrimps</x:v>
      </x:c>
      <x:c r="H65" s="24" t="str">
        <x:v>Crustaceans</x:v>
      </x:c>
      <x:c r="I65" s="31" t="n">
        <x:v>2.2183046183</x:v>
      </x:c>
      <x:c r="J65" s="31" t="n">
        <x:v>0</x:v>
      </x:c>
      <x:c r="K65" s="31" t="n">
        <x:v>2.2183046183</x:v>
      </x:c>
      <x:c r="L65" s="31" t="n">
        <x:v>0</x:v>
      </x:c>
      <x:c r="M65" s="31" t="n">
        <x:v>2.2183046183</x:v>
      </x:c>
      <x:c r="N65" s="24" t="str">
        <x:v>crangonidae</x:v>
      </x:c>
      <x:c r="O65" s="32" t="n">
        <x:v>3.19</x:v>
      </x:c>
      <x:c r="P65" s="24" t="str">
        <x:v>exact_sea_around_us</x:v>
      </x:c>
      <x:c r="Q65" s="32" t="str">
        <x:v>Sea Around Us exploited organisms</x:v>
      </x:c>
      <x:c r="R65" s="24" t="str">
        <x:v>high</x:v>
      </x:c>
      <x:c r="S65" s="24" t="str">
        <x:v>Crangonidae</x:v>
      </x:c>
      <x:c r="T65" s="32" t="n">
        <x:f>IF(O65="","",(1/'Metadata'!$B$5)^(O65-1))</x:f>
        <x:v>154.88166189124811</x:v>
      </x:c>
      <x:c r="U65" s="31" t="n">
        <x:f>IF(T65="","",I65*T65)</x:f>
        <x:v>343.57470586333477</x:v>
      </x:c>
    </x:row>
    <x:row r="66" ht="18" customHeight="1">
      <x:c r="A66" s="24" t="str">
        <x:v>EEZ_056</x:v>
      </x:c>
      <x:c r="B66" s="24" t="str">
        <x:v>Belgium</x:v>
      </x:c>
      <x:c r="C66" s="24" t="str">
        <x:v>EEZ</x:v>
      </x:c>
      <x:c r="D66" s="30" t="n">
        <x:v>2019</x:v>
      </x:c>
      <x:c r="E66" s="24" t="str">
        <x:v>Sebastidae</x:v>
      </x:c>
      <x:c r="F66" s="24" t="str">
        <x:v>Rockfishes, rockcods, thornyheads</x:v>
      </x:c>
      <x:c r="G66" s="24" t="str">
        <x:v>Medium demersals (30 - 89 cm)</x:v>
      </x:c>
      <x:c r="H66" s="24" t="str">
        <x:v>Scorpionfishes</x:v>
      </x:c>
      <x:c r="I66" s="31" t="n">
        <x:v>2.199046578</x:v>
      </x:c>
      <x:c r="J66" s="31" t="n">
        <x:v>0</x:v>
      </x:c>
      <x:c r="K66" s="31" t="n">
        <x:v>2.199046578</x:v>
      </x:c>
      <x:c r="L66" s="31" t="n">
        <x:v>0</x:v>
      </x:c>
      <x:c r="M66" s="31" t="n">
        <x:v>2.199046578</x:v>
      </x:c>
      <x:c r="N66" s="24" t="str">
        <x:v>sebastidae</x:v>
      </x:c>
      <x:c r="O66" s="32" t="n">
        <x:v>3.74</x:v>
      </x:c>
      <x:c r="P66" s="24" t="str">
        <x:v>exact_sea_around_us</x:v>
      </x:c>
      <x:c r="Q66" s="32" t="str">
        <x:v>Sea Around Us exploited organisms</x:v>
      </x:c>
      <x:c r="R66" s="24" t="str">
        <x:v>high</x:v>
      </x:c>
      <x:c r="S66" s="24" t="str">
        <x:v>Sebastidae</x:v>
      </x:c>
      <x:c r="T66" s="32" t="n">
        <x:f>IF(O66="","",(1/'Metadata'!$B$5)^(O66-1))</x:f>
        <x:v>549.5408738576248</x:v>
      </x:c>
      <x:c r="U66" s="31" t="n">
        <x:f>IF(T66="","",I66*T66)</x:f>
        <x:v>1208.4659781277394</x:v>
      </x:c>
    </x:row>
    <x:row r="67" ht="18" customHeight="1">
      <x:c r="A67" s="24" t="str">
        <x:v>EEZ_056</x:v>
      </x:c>
      <x:c r="B67" s="24" t="str">
        <x:v>Belgium</x:v>
      </x:c>
      <x:c r="C67" s="24" t="str">
        <x:v>EEZ</x:v>
      </x:c>
      <x:c r="D67" s="30" t="n">
        <x:v>2019</x:v>
      </x:c>
      <x:c r="E67" s="24" t="str">
        <x:v>Cephalopoda</x:v>
      </x:c>
      <x:c r="F67" s="24" t="str">
        <x:v>Squids, cuttlefishes, octopuses</x:v>
      </x:c>
      <x:c r="G67" s="24" t="str">
        <x:v>Cephalopods</x:v>
      </x:c>
      <x:c r="H67" s="24" t="str">
        <x:v>Other fishes &amp; inverts</x:v>
      </x:c>
      <x:c r="I67" s="31" t="n">
        <x:v>2.1411027335</x:v>
      </x:c>
      <x:c r="J67" s="31" t="n">
        <x:v>0</x:v>
      </x:c>
      <x:c r="K67" s="31" t="n">
        <x:v>2.1411027335</x:v>
      </x:c>
      <x:c r="L67" s="31" t="n">
        <x:v>0</x:v>
      </x:c>
      <x:c r="M67" s="31" t="n">
        <x:v>2.1411027335</x:v>
      </x:c>
      <x:c r="N67" s="24" t="str">
        <x:v>cephalopoda</x:v>
      </x:c>
      <x:c r="O67" s="32" t="n">
        <x:v>3.81</x:v>
      </x:c>
      <x:c r="P67" s="24" t="str">
        <x:v>exact_sea_around_us</x:v>
      </x:c>
      <x:c r="Q67" s="32" t="str">
        <x:v>Sea Around Us exploited organisms</x:v>
      </x:c>
      <x:c r="R67" s="24" t="str">
        <x:v>high</x:v>
      </x:c>
      <x:c r="S67" s="24" t="str">
        <x:v>Cephalopoda</x:v>
      </x:c>
      <x:c r="T67" s="32" t="n">
        <x:f>IF(O67="","",(1/'Metadata'!$B$5)^(O67-1))</x:f>
        <x:v>645.6542290346556</x:v>
      </x:c>
      <x:c r="U67" s="31" t="n">
        <x:f>IF(T67="","",I67*T67)</x:f>
        <x:v>1382.4120346819361</x:v>
      </x:c>
    </x:row>
    <x:row r="68" ht="18" customHeight="1">
      <x:c r="A68" s="24" t="str">
        <x:v>EEZ_056</x:v>
      </x:c>
      <x:c r="B68" s="24" t="str">
        <x:v>Belgium</x:v>
      </x:c>
      <x:c r="C68" s="24" t="str">
        <x:v>EEZ</x:v>
      </x:c>
      <x:c r="D68" s="30" t="n">
        <x:v>2019</x:v>
      </x:c>
      <x:c r="E68" s="24" t="str">
        <x:v>Gastropoda</x:v>
      </x:c>
      <x:c r="F68" s="24" t="str">
        <x:v>Sea snails</x:v>
      </x:c>
      <x:c r="G68" s="24" t="str">
        <x:v>Other demersal invertebrates</x:v>
      </x:c>
      <x:c r="H68" s="24" t="str">
        <x:v>Molluscs</x:v>
      </x:c>
      <x:c r="I68" s="31" t="n">
        <x:v>1.9912416907</x:v>
      </x:c>
      <x:c r="J68" s="31" t="n">
        <x:v>0</x:v>
      </x:c>
      <x:c r="K68" s="31" t="n">
        <x:v>1.9912416907</x:v>
      </x:c>
      <x:c r="L68" s="31" t="n">
        <x:v>0</x:v>
      </x:c>
      <x:c r="M68" s="31" t="n">
        <x:v>1.9912416907</x:v>
      </x:c>
      <x:c r="N68" s="24" t="str">
        <x:v>gastropoda</x:v>
      </x:c>
      <x:c r="O68" s="32" t="n">
        <x:v>3.06</x:v>
      </x:c>
      <x:c r="P68" s="24" t="str">
        <x:v>exact_sea_around_us</x:v>
      </x:c>
      <x:c r="Q68" s="32" t="str">
        <x:v>Sea Around Us exploited organisms</x:v>
      </x:c>
      <x:c r="R68" s="24" t="str">
        <x:v>high</x:v>
      </x:c>
      <x:c r="S68" s="24" t="str">
        <x:v>Gastropoda</x:v>
      </x:c>
      <x:c r="T68" s="32" t="n">
        <x:f>IF(O68="","",(1/'Metadata'!$B$5)^(O68-1))</x:f>
        <x:v>114.81536214968828</x:v>
      </x:c>
      <x:c r="U68" s="31" t="n">
        <x:f>IF(T68="","",I68*T68)</x:f>
        <x:v>228.62513584527807</x:v>
      </x:c>
    </x:row>
    <x:row r="69" ht="18" customHeight="1">
      <x:c r="A69" s="24" t="str">
        <x:v>EEZ_056</x:v>
      </x:c>
      <x:c r="B69" s="24" t="str">
        <x:v>Belgium</x:v>
      </x:c>
      <x:c r="C69" s="24" t="str">
        <x:v>EEZ</x:v>
      </x:c>
      <x:c r="D69" s="30" t="n">
        <x:v>2019</x:v>
      </x:c>
      <x:c r="E69" s="24" t="str">
        <x:v>Homarus gammarus</x:v>
      </x:c>
      <x:c r="F69" s="24" t="str">
        <x:v>European lobster</x:v>
      </x:c>
      <x:c r="G69" s="24" t="str">
        <x:v>Lobsters, crabs</x:v>
      </x:c>
      <x:c r="H69" s="24" t="str">
        <x:v>Crustaceans</x:v>
      </x:c>
      <x:c r="I69" s="31" t="n">
        <x:v>1.7269495916999997</x:v>
      </x:c>
      <x:c r="J69" s="31" t="n">
        <x:v>1.7269495916999997</x:v>
      </x:c>
      <x:c r="K69" s="31" t="n">
        <x:v>0</x:v>
      </x:c>
      <x:c r="L69" s="31" t="n">
        <x:v>1.7269495916999997</x:v>
      </x:c>
      <x:c r="M69" s="31" t="n">
        <x:v>0</x:v>
      </x:c>
      <x:c r="N69" s="24" t="str">
        <x:v>homarus gammarus</x:v>
      </x:c>
      <x:c r="O69" s="32" t="n">
        <x:v>3.7</x:v>
      </x:c>
      <x:c r="P69" s="24" t="str">
        <x:v>exact_2020_supplement</x:v>
      </x:c>
      <x:c r="Q69" s="32" t="str">
        <x:v>2020 supplement MeanTL</x:v>
      </x:c>
      <x:c r="R69" s="24" t="str">
        <x:v>high</x:v>
      </x:c>
      <x:c r="S69" s="24" t="str">
        <x:v>Homarus gammarus</x:v>
      </x:c>
      <x:c r="T69" s="32" t="n">
        <x:f>IF(O69="","",(1/'Metadata'!$B$5)^(O69-1))</x:f>
        <x:v>501.18723362727246</x:v>
      </x:c>
      <x:c r="U69" s="31" t="n">
        <x:f>IF(T69="","",I69*T69)</x:f>
        <x:v>865.5250884778706</x:v>
      </x:c>
    </x:row>
    <x:row r="70" ht="18" customHeight="1">
      <x:c r="A70" s="24" t="str">
        <x:v>EEZ_056</x:v>
      </x:c>
      <x:c r="B70" s="24" t="str">
        <x:v>Belgium</x:v>
      </x:c>
      <x:c r="C70" s="24" t="str">
        <x:v>EEZ</x:v>
      </x:c>
      <x:c r="D70" s="30" t="n">
        <x:v>2019</x:v>
      </x:c>
      <x:c r="E70" s="24" t="str">
        <x:v>Octopus</x:v>
      </x:c>
      <x:c r="F70" s="24" t="str">
        <x:v>Octopuses, pikas</x:v>
      </x:c>
      <x:c r="G70" s="24" t="str">
        <x:v>Cephalopods</x:v>
      </x:c>
      <x:c r="H70" s="24" t="str">
        <x:v>Other fishes &amp; inverts</x:v>
      </x:c>
      <x:c r="I70" s="31" t="n">
        <x:v>1.534630587</x:v>
      </x:c>
      <x:c r="J70" s="31" t="n">
        <x:v>1.534630587</x:v>
      </x:c>
      <x:c r="K70" s="31" t="n">
        <x:v>0</x:v>
      </x:c>
      <x:c r="L70" s="31" t="n">
        <x:v>1.534630587</x:v>
      </x:c>
      <x:c r="M70" s="31" t="n">
        <x:v>0</x:v>
      </x:c>
      <x:c r="N70" s="24" t="str">
        <x:v>octopus</x:v>
      </x:c>
      <x:c r="O70" s="32" t="n">
        <x:v>3.8</x:v>
      </x:c>
      <x:c r="P70" s="24" t="str">
        <x:v>exact_sea_around_us</x:v>
      </x:c>
      <x:c r="Q70" s="32" t="str">
        <x:v>Sea Around Us exploited organisms</x:v>
      </x:c>
      <x:c r="R70" s="24" t="str">
        <x:v>high</x:v>
      </x:c>
      <x:c r="S70" s="24" t="str">
        <x:v>Octopus</x:v>
      </x:c>
      <x:c r="T70" s="32" t="n">
        <x:f>IF(O70="","",(1/'Metadata'!$B$5)^(O70-1))</x:f>
        <x:v>630.957344480193</x:v>
      </x:c>
      <x:c r="U70" s="31" t="n">
        <x:f>IF(T70="","",I70*T70)</x:f>
        <x:v>968.2864399315998</x:v>
      </x:c>
    </x:row>
    <x:row r="71" ht="18" customHeight="1">
      <x:c r="A71" s="24" t="str">
        <x:v>EEZ_056</x:v>
      </x:c>
      <x:c r="B71" s="24" t="str">
        <x:v>Belgium</x:v>
      </x:c>
      <x:c r="C71" s="24" t="str">
        <x:v>EEZ</x:v>
      </x:c>
      <x:c r="D71" s="30" t="n">
        <x:v>2019</x:v>
      </x:c>
      <x:c r="E71" s="24" t="str">
        <x:v>Pollachius pollachius</x:v>
      </x:c>
      <x:c r="F71" s="24" t="str">
        <x:v>Pollack</x:v>
      </x:c>
      <x:c r="G71" s="24" t="str">
        <x:v>Large benthopelagics (&gt;=90 cm)</x:v>
      </x:c>
      <x:c r="H71" s="24" t="str">
        <x:v>Cod-likes</x:v>
      </x:c>
      <x:c r="I71" s="31" t="n">
        <x:v>1.4314570915</x:v>
      </x:c>
      <x:c r="J71" s="31" t="n">
        <x:v>1.4314570915</x:v>
      </x:c>
      <x:c r="K71" s="31" t="n">
        <x:v>0</x:v>
      </x:c>
      <x:c r="L71" s="31" t="n">
        <x:v>1.4314570915</x:v>
      </x:c>
      <x:c r="M71" s="31" t="n">
        <x:v>0</x:v>
      </x:c>
      <x:c r="N71" s="24" t="str">
        <x:v>pollachius pollachius</x:v>
      </x:c>
      <x:c r="O71" s="32" t="n">
        <x:v>4.32</x:v>
      </x:c>
      <x:c r="P71" s="24" t="str">
        <x:v>exact_2020_supplement</x:v>
      </x:c>
      <x:c r="Q71" s="32" t="str">
        <x:v>2020 supplement MeanTL</x:v>
      </x:c>
      <x:c r="R71" s="24" t="str">
        <x:v>high</x:v>
      </x:c>
      <x:c r="S71" s="24" t="str">
        <x:v>Pollachius pollachius</x:v>
      </x:c>
      <x:c r="T71" s="32" t="n">
        <x:f>IF(O71="","",(1/'Metadata'!$B$5)^(O71-1))</x:f>
        <x:v>2089.2961308540407</x:v>
      </x:c>
      <x:c r="U71" s="31" t="n">
        <x:f>IF(T71="","",I71*T71)</x:f>
        <x:v>2990.7377627545284</x:v>
      </x:c>
    </x:row>
    <x:row r="72" ht="18" customHeight="1">
      <x:c r="A72" s="24" t="str">
        <x:v>EEZ_056</x:v>
      </x:c>
      <x:c r="B72" s="24" t="str">
        <x:v>Belgium</x:v>
      </x:c>
      <x:c r="C72" s="24" t="str">
        <x:v>EEZ</x:v>
      </x:c>
      <x:c r="D72" s="30" t="n">
        <x:v>2019</x:v>
      </x:c>
      <x:c r="E72" s="24" t="str">
        <x:v>Amblyraja radiata</x:v>
      </x:c>
      <x:c r="F72" s="24" t="str">
        <x:v>Starry ray</x:v>
      </x:c>
      <x:c r="G72" s="24" t="str">
        <x:v>Large rays (&gt;=90 cm)</x:v>
      </x:c>
      <x:c r="H72" s="24" t="str">
        <x:v>Sharks &amp; rays</x:v>
      </x:c>
      <x:c r="I72" s="31" t="n">
        <x:v>1.3918643846</x:v>
      </x:c>
      <x:c r="J72" s="31" t="n">
        <x:v>0</x:v>
      </x:c>
      <x:c r="K72" s="31" t="n">
        <x:v>1.3918643846</x:v>
      </x:c>
      <x:c r="L72" s="31" t="n">
        <x:v>0</x:v>
      </x:c>
      <x:c r="M72" s="31" t="n">
        <x:v>1.3918643846</x:v>
      </x:c>
      <x:c r="N72" s="24" t="str">
        <x:v>amblyraja radiata</x:v>
      </x:c>
      <x:c r="O72" s="32" t="n">
        <x:v>4.2</x:v>
      </x:c>
      <x:c r="P72" s="24" t="str">
        <x:v>exact_2020_supplement</x:v>
      </x:c>
      <x:c r="Q72" s="32" t="str">
        <x:v>2020 supplement MeanTL</x:v>
      </x:c>
      <x:c r="R72" s="24" t="str">
        <x:v>high</x:v>
      </x:c>
      <x:c r="S72" s="24" t="str">
        <x:v>Amblyraja radiata</x:v>
      </x:c>
      <x:c r="T72" s="32" t="n">
        <x:f>IF(O72="","",(1/'Metadata'!$B$5)^(O72-1))</x:f>
        <x:v>1584.893192461114</x:v>
      </x:c>
      <x:c r="U72" s="31" t="n">
        <x:f>IF(T72="","",I72*T72)</x:f>
        <x:v>2205.956387981618</x:v>
      </x:c>
    </x:row>
    <x:row r="73" ht="18" customHeight="1">
      <x:c r="A73" s="24" t="str">
        <x:v>EEZ_056</x:v>
      </x:c>
      <x:c r="B73" s="24" t="str">
        <x:v>Belgium</x:v>
      </x:c>
      <x:c r="C73" s="24" t="str">
        <x:v>EEZ</x:v>
      </x:c>
      <x:c r="D73" s="30" t="n">
        <x:v>2019</x:v>
      </x:c>
      <x:c r="E73" s="24" t="str">
        <x:v>Trachinus draco</x:v>
      </x:c>
      <x:c r="F73" s="24" t="str">
        <x:v>Greater weever</x:v>
      </x:c>
      <x:c r="G73" s="24" t="str">
        <x:v>Medium demersals (30 - 89 cm)</x:v>
      </x:c>
      <x:c r="H73" s="24" t="str">
        <x:v>Perch-likes</x:v>
      </x:c>
      <x:c r="I73" s="31" t="n">
        <x:v>1.317269915</x:v>
      </x:c>
      <x:c r="J73" s="31" t="n">
        <x:v>1.317269915</x:v>
      </x:c>
      <x:c r="K73" s="31" t="n">
        <x:v>0</x:v>
      </x:c>
      <x:c r="L73" s="31" t="n">
        <x:v>1.317269915</x:v>
      </x:c>
      <x:c r="M73" s="31" t="n">
        <x:v>0</x:v>
      </x:c>
      <x:c r="N73" s="24" t="str">
        <x:v>trachinus draco</x:v>
      </x:c>
      <x:c r="O73" s="32" t="n">
        <x:v>4.18</x:v>
      </x:c>
      <x:c r="P73" s="24" t="str">
        <x:v>exact_2020_supplement</x:v>
      </x:c>
      <x:c r="Q73" s="32" t="str">
        <x:v>2020 supplement MeanTL</x:v>
      </x:c>
      <x:c r="R73" s="24" t="str">
        <x:v>high</x:v>
      </x:c>
      <x:c r="S73" s="24" t="str">
        <x:v>Trachinus draco</x:v>
      </x:c>
      <x:c r="T73" s="32" t="n">
        <x:f>IF(O73="","",(1/'Metadata'!$B$5)^(O73-1))</x:f>
        <x:v>1513.5612484362073</x:v>
      </x:c>
      <x:c r="U73" s="31" t="n">
        <x:f>IF(T73="","",I73*T73)</x:f>
        <x:v>1993.7686970748566</x:v>
      </x:c>
    </x:row>
    <x:row r="74" ht="18" customHeight="1">
      <x:c r="A74" s="24" t="str">
        <x:v>EEZ_056</x:v>
      </x:c>
      <x:c r="B74" s="24" t="str">
        <x:v>Belgium</x:v>
      </x:c>
      <x:c r="C74" s="24" t="str">
        <x:v>EEZ</x:v>
      </x:c>
      <x:c r="D74" s="30" t="n">
        <x:v>2019</x:v>
      </x:c>
      <x:c r="E74" s="24" t="str">
        <x:v>Solea</x:v>
      </x:c>
      <x:c r="F74" s="24" t="str">
        <x:v>Soles</x:v>
      </x:c>
      <x:c r="G74" s="24" t="str">
        <x:v>Small to medium flatfishes (&lt;90 cm)</x:v>
      </x:c>
      <x:c r="H74" s="24" t="str">
        <x:v>Flatfishes</x:v>
      </x:c>
      <x:c r="I74" s="31" t="n">
        <x:v>1.2859450384</x:v>
      </x:c>
      <x:c r="J74" s="31" t="n">
        <x:v>1.2859450384</x:v>
      </x:c>
      <x:c r="K74" s="31" t="n">
        <x:v>0</x:v>
      </x:c>
      <x:c r="L74" s="31" t="n">
        <x:v>1.2859450384</x:v>
      </x:c>
      <x:c r="M74" s="31" t="n">
        <x:v>0</x:v>
      </x:c>
      <x:c r="N74" s="24" t="str">
        <x:v>solea</x:v>
      </x:c>
      <x:c r="O74" s="32" t="n">
        <x:v>3.13</x:v>
      </x:c>
      <x:c r="P74" s="24" t="str">
        <x:v>exact_sea_around_us</x:v>
      </x:c>
      <x:c r="Q74" s="32" t="str">
        <x:v>Sea Around Us exploited organisms</x:v>
      </x:c>
      <x:c r="R74" s="24" t="str">
        <x:v>high</x:v>
      </x:c>
      <x:c r="S74" s="24" t="str">
        <x:v>Solea</x:v>
      </x:c>
      <x:c r="T74" s="32" t="n">
        <x:f>IF(O74="","",(1/'Metadata'!$B$5)^(O74-1))</x:f>
        <x:v>134.89628825916532</x:v>
      </x:c>
      <x:c r="U74" s="31" t="n">
        <x:f>IF(T74="","",I74*T74)</x:f>
        <x:v>173.4692125854498</x:v>
      </x:c>
    </x:row>
    <x:row r="75" ht="18" customHeight="1">
      <x:c r="A75" s="24" t="str">
        <x:v>EEZ_056</x:v>
      </x:c>
      <x:c r="B75" s="24" t="str">
        <x:v>Belgium</x:v>
      </x:c>
      <x:c r="C75" s="24" t="str">
        <x:v>EEZ</x:v>
      </x:c>
      <x:c r="D75" s="30" t="n">
        <x:v>2019</x:v>
      </x:c>
      <x:c r="E75" s="24" t="str">
        <x:v>Chelon ramada</x:v>
      </x:c>
      <x:c r="F75" s="24" t="str">
        <x:v>Thinlip grey mullet</x:v>
      </x:c>
      <x:c r="G75" s="24" t="str">
        <x:v>Medium pelagics (30 - 89 cm)</x:v>
      </x:c>
      <x:c r="H75" s="24" t="str">
        <x:v>Perch-likes</x:v>
      </x:c>
      <x:c r="I75" s="31" t="n">
        <x:v>1.1811849487</x:v>
      </x:c>
      <x:c r="J75" s="31" t="n">
        <x:v>1.1811849487</x:v>
      </x:c>
      <x:c r="K75" s="31" t="n">
        <x:v>0</x:v>
      </x:c>
      <x:c r="L75" s="31" t="n">
        <x:v>1.1811849487</x:v>
      </x:c>
      <x:c r="M75" s="31" t="n">
        <x:v>0</x:v>
      </x:c>
      <x:c r="N75" s="24" t="str">
        <x:v>chelon ramada</x:v>
      </x:c>
      <x:c r="O75" s="32" t="n">
        <x:v>2.3</x:v>
      </x:c>
      <x:c r="P75" s="24" t="str">
        <x:v>exact_sea_around_us</x:v>
      </x:c>
      <x:c r="Q75" s="32" t="str">
        <x:v>Sea Around Us exploited organisms</x:v>
      </x:c>
      <x:c r="R75" s="24" t="str">
        <x:v>high</x:v>
      </x:c>
      <x:c r="S75" s="24" t="str">
        <x:v>Chelon ramada</x:v>
      </x:c>
      <x:c r="T75" s="32" t="n">
        <x:f>IF(O75="","",(1/'Metadata'!$B$5)^(O75-1))</x:f>
        <x:v>19.952623149688787</x:v>
      </x:c>
      <x:c r="U75" s="31" t="n">
        <x:f>IF(T75="","",I75*T75)</x:f>
        <x:v>23.56773815149558</x:v>
      </x:c>
    </x:row>
    <x:row r="76" ht="18" customHeight="1">
      <x:c r="A76" s="24" t="str">
        <x:v>EEZ_056</x:v>
      </x:c>
      <x:c r="B76" s="24" t="str">
        <x:v>Belgium</x:v>
      </x:c>
      <x:c r="C76" s="24" t="str">
        <x:v>EEZ</x:v>
      </x:c>
      <x:c r="D76" s="30" t="n">
        <x:v>2019</x:v>
      </x:c>
      <x:c r="E76" s="24" t="str">
        <x:v>Anarhichas lupus</x:v>
      </x:c>
      <x:c r="F76" s="24" t="str">
        <x:v>Atlantic wolffish</x:v>
      </x:c>
      <x:c r="G76" s="24" t="str">
        <x:v>Large demersals (&gt;=90 cm)</x:v>
      </x:c>
      <x:c r="H76" s="24" t="str">
        <x:v>Perch-likes</x:v>
      </x:c>
      <x:c r="I76" s="31" t="n">
        <x:v>1.1397253712</x:v>
      </x:c>
      <x:c r="J76" s="31" t="n">
        <x:v>1.1397253712</x:v>
      </x:c>
      <x:c r="K76" s="31" t="n">
        <x:v>0</x:v>
      </x:c>
      <x:c r="L76" s="31" t="n">
        <x:v>1.1397253712</x:v>
      </x:c>
      <x:c r="M76" s="31" t="n">
        <x:v>0</x:v>
      </x:c>
      <x:c r="N76" s="24" t="str">
        <x:v>anarhichas lupus</x:v>
      </x:c>
      <x:c r="O76" s="32" t="n">
        <x:v>3.55</x:v>
      </x:c>
      <x:c r="P76" s="24" t="str">
        <x:v>exact_2020_supplement</x:v>
      </x:c>
      <x:c r="Q76" s="32" t="str">
        <x:v>2020 supplement MeanTL</x:v>
      </x:c>
      <x:c r="R76" s="24" t="str">
        <x:v>high</x:v>
      </x:c>
      <x:c r="S76" s="24" t="str">
        <x:v>Anarhichas lupus</x:v>
      </x:c>
      <x:c r="T76" s="32" t="n">
        <x:f>IF(O76="","",(1/'Metadata'!$B$5)^(O76-1))</x:f>
        <x:v>354.8133892335753</x:v>
      </x:c>
      <x:c r="U76" s="31" t="n">
        <x:f>IF(T76="","",I76*T76)</x:f>
        <x:v>404.3898217509667</x:v>
      </x:c>
    </x:row>
    <x:row r="77" ht="18" customHeight="1">
      <x:c r="A77" s="24" t="str">
        <x:v>EEZ_056</x:v>
      </x:c>
      <x:c r="B77" s="24" t="str">
        <x:v>Belgium</x:v>
      </x:c>
      <x:c r="C77" s="24" t="str">
        <x:v>EEZ</x:v>
      </x:c>
      <x:c r="D77" s="30" t="n">
        <x:v>2019</x:v>
      </x:c>
      <x:c r="E77" s="24" t="str">
        <x:v>Congridae</x:v>
      </x:c>
      <x:c r="F77" s="24" t="str">
        <x:v>Conger, garden eels</x:v>
      </x:c>
      <x:c r="G77" s="24" t="str">
        <x:v>Large demersals (&gt;=90 cm)</x:v>
      </x:c>
      <x:c r="H77" s="24" t="str">
        <x:v>Other fishes &amp; inverts</x:v>
      </x:c>
      <x:c r="I77" s="31" t="n">
        <x:v>1.1336809411</x:v>
      </x:c>
      <x:c r="J77" s="31" t="n">
        <x:v>0</x:v>
      </x:c>
      <x:c r="K77" s="31" t="n">
        <x:v>1.1336809411</x:v>
      </x:c>
      <x:c r="L77" s="31" t="n">
        <x:v>0</x:v>
      </x:c>
      <x:c r="M77" s="31" t="n">
        <x:v>1.1336809411</x:v>
      </x:c>
      <x:c r="N77" s="24" t="str">
        <x:v>congridae</x:v>
      </x:c>
      <x:c r="O77" s="32" t="n">
        <x:v>4.18</x:v>
      </x:c>
      <x:c r="P77" s="24" t="str">
        <x:v>exact_sea_around_us</x:v>
      </x:c>
      <x:c r="Q77" s="32" t="str">
        <x:v>Sea Around Us exploited organisms</x:v>
      </x:c>
      <x:c r="R77" s="24" t="str">
        <x:v>high</x:v>
      </x:c>
      <x:c r="S77" s="24" t="str">
        <x:v>Congridae</x:v>
      </x:c>
      <x:c r="T77" s="32" t="n">
        <x:f>IF(O77="","",(1/'Metadata'!$B$5)^(O77-1))</x:f>
        <x:v>1513.5612484362073</x:v>
      </x:c>
      <x:c r="U77" s="31" t="n">
        <x:f>IF(T77="","",I77*T77)</x:f>
        <x:v>1715.8955405396503</x:v>
      </x:c>
    </x:row>
    <x:row r="78" ht="18" customHeight="1">
      <x:c r="A78" s="24" t="str">
        <x:v>EEZ_056</x:v>
      </x:c>
      <x:c r="B78" s="24" t="str">
        <x:v>Belgium</x:v>
      </x:c>
      <x:c r="C78" s="24" t="str">
        <x:v>EEZ</x:v>
      </x:c>
      <x:c r="D78" s="30" t="n">
        <x:v>2019</x:v>
      </x:c>
      <x:c r="E78" s="24" t="str">
        <x:v>Sprattus sprattus</x:v>
      </x:c>
      <x:c r="F78" s="24" t="str">
        <x:v>European sprat</x:v>
      </x:c>
      <x:c r="G78" s="24" t="str">
        <x:v>Small pelagics (&lt;30 cm)</x:v>
      </x:c>
      <x:c r="H78" s="24" t="str">
        <x:v>Herring-likes</x:v>
      </x:c>
      <x:c r="I78" s="31" t="n">
        <x:v>1.0401192235999999</x:v>
      </x:c>
      <x:c r="J78" s="31" t="n">
        <x:v>1.0291777239</x:v>
      </x:c>
      <x:c r="K78" s="31" t="n">
        <x:v>0.0109414997</x:v>
      </x:c>
      <x:c r="L78" s="31" t="n">
        <x:v>1.0259501833999998</x:v>
      </x:c>
      <x:c r="M78" s="31" t="n">
        <x:v>0.0141690402</x:v>
      </x:c>
      <x:c r="N78" s="24" t="str">
        <x:v>sprattus sprattus</x:v>
      </x:c>
      <x:c r="O78" s="32" t="n">
        <x:v>3.01</x:v>
      </x:c>
      <x:c r="P78" s="24" t="str">
        <x:v>exact_2020_supplement</x:v>
      </x:c>
      <x:c r="Q78" s="32" t="str">
        <x:v>2020 supplement MeanTL</x:v>
      </x:c>
      <x:c r="R78" s="24" t="str">
        <x:v>high</x:v>
      </x:c>
      <x:c r="S78" s="24" t="str">
        <x:v>Sprattus sprattus</x:v>
      </x:c>
      <x:c r="T78" s="32" t="n">
        <x:f>IF(O78="","",(1/'Metadata'!$B$5)^(O78-1))</x:f>
        <x:v>102.32929922807536</x:v>
      </x:c>
      <x:c r="U78" s="31" t="n">
        <x:f>IF(T78="","",I78*T78)</x:f>
        <x:v>106.4346712646378</x:v>
      </x:c>
    </x:row>
    <x:row r="79" ht="18" customHeight="1">
      <x:c r="A79" s="24" t="str">
        <x:v>EEZ_056</x:v>
      </x:c>
      <x:c r="B79" s="24" t="str">
        <x:v>Belgium</x:v>
      </x:c>
      <x:c r="C79" s="24" t="str">
        <x:v>EEZ</x:v>
      </x:c>
      <x:c r="D79" s="30" t="n">
        <x:v>2019</x:v>
      </x:c>
      <x:c r="E79" s="24" t="str">
        <x:v>Mustelus mustelus</x:v>
      </x:c>
      <x:c r="F79" s="24" t="str">
        <x:v>Smooth-hound</x:v>
      </x:c>
      <x:c r="G79" s="24" t="str">
        <x:v>Large sharks (&gt;=90 cm)</x:v>
      </x:c>
      <x:c r="H79" s="24" t="str">
        <x:v>Sharks &amp; rays</x:v>
      </x:c>
      <x:c r="I79" s="31" t="n">
        <x:v>0.9783278763</x:v>
      </x:c>
      <x:c r="J79" s="31" t="n">
        <x:v>0.9783278763</x:v>
      </x:c>
      <x:c r="K79" s="31" t="n">
        <x:v>0</x:v>
      </x:c>
      <x:c r="L79" s="31" t="n">
        <x:v>0.9783278763</x:v>
      </x:c>
      <x:c r="M79" s="31" t="n">
        <x:v>0</x:v>
      </x:c>
      <x:c r="N79" s="24" t="str">
        <x:v>mustelus mustelus</x:v>
      </x:c>
      <x:c r="O79" s="32" t="n">
        <x:v>3.75</x:v>
      </x:c>
      <x:c r="P79" s="24" t="str">
        <x:v>exact_2020_supplement</x:v>
      </x:c>
      <x:c r="Q79" s="32" t="str">
        <x:v>2020 supplement MeanTL</x:v>
      </x:c>
      <x:c r="R79" s="24" t="str">
        <x:v>high</x:v>
      </x:c>
      <x:c r="S79" s="24" t="str">
        <x:v>Mustelus mustelus</x:v>
      </x:c>
      <x:c r="T79" s="32" t="n">
        <x:f>IF(O79="","",(1/'Metadata'!$B$5)^(O79-1))</x:f>
        <x:v>562.341325190349</x:v>
      </x:c>
      <x:c r="U79" s="31" t="n">
        <x:f>IF(T79="","",I79*T79)</x:f>
        <x:v>550.1541944292019</x:v>
      </x:c>
    </x:row>
    <x:row r="80" ht="18" customHeight="1">
      <x:c r="A80" s="24" t="str">
        <x:v>EEZ_056</x:v>
      </x:c>
      <x:c r="B80" s="24" t="str">
        <x:v>Belgium</x:v>
      </x:c>
      <x:c r="C80" s="24" t="str">
        <x:v>EEZ</x:v>
      </x:c>
      <x:c r="D80" s="30" t="n">
        <x:v>2019</x:v>
      </x:c>
      <x:c r="E80" s="24" t="str">
        <x:v>Rajidae</x:v>
      </x:c>
      <x:c r="F80" s="24" t="str">
        <x:v>Stingrays</x:v>
      </x:c>
      <x:c r="G80" s="24" t="str">
        <x:v>Large rays (&gt;=90 cm)</x:v>
      </x:c>
      <x:c r="H80" s="24" t="str">
        <x:v>Sharks &amp; rays</x:v>
      </x:c>
      <x:c r="I80" s="31" t="n">
        <x:v>0.893400969</x:v>
      </x:c>
      <x:c r="J80" s="31" t="n">
        <x:v>0.893400969</x:v>
      </x:c>
      <x:c r="K80" s="31" t="n">
        <x:v>0</x:v>
      </x:c>
      <x:c r="L80" s="31" t="n">
        <x:v>0.893400969</x:v>
      </x:c>
      <x:c r="M80" s="31" t="n">
        <x:v>0</x:v>
      </x:c>
      <x:c r="N80" s="24" t="str">
        <x:v>rajidae</x:v>
      </x:c>
      <x:c r="O80" s="32" t="n">
        <x:v>3.82</x:v>
      </x:c>
      <x:c r="P80" s="24" t="str">
        <x:v>exact_sea_around_us</x:v>
      </x:c>
      <x:c r="Q80" s="32" t="str">
        <x:v>Sea Around Us exploited organisms</x:v>
      </x:c>
      <x:c r="R80" s="24" t="str">
        <x:v>high</x:v>
      </x:c>
      <x:c r="S80" s="24" t="str">
        <x:v>Rajidae</x:v>
      </x:c>
      <x:c r="T80" s="32" t="n">
        <x:f>IF(O80="","",(1/'Metadata'!$B$5)^(O80-1))</x:f>
        <x:v>660.6934480075957</x:v>
      </x:c>
      <x:c r="U80" s="31" t="n">
        <x:f>IF(T80="","",I80*T80)</x:f>
        <x:v>590.2641666619371</x:v>
      </x:c>
    </x:row>
    <x:row r="81" ht="18" customHeight="1">
      <x:c r="A81" s="24" t="str">
        <x:v>EEZ_056</x:v>
      </x:c>
      <x:c r="B81" s="24" t="str">
        <x:v>Belgium</x:v>
      </x:c>
      <x:c r="C81" s="24" t="str">
        <x:v>EEZ</x:v>
      </x:c>
      <x:c r="D81" s="30" t="n">
        <x:v>2019</x:v>
      </x:c>
      <x:c r="E81" s="24" t="str">
        <x:v>Scyliorhinus stellaris</x:v>
      </x:c>
      <x:c r="F81" s="24" t="str">
        <x:v>Nursehound</x:v>
      </x:c>
      <x:c r="G81" s="24" t="str">
        <x:v>Large sharks (&gt;=90 cm)</x:v>
      </x:c>
      <x:c r="H81" s="24" t="str">
        <x:v>Sharks &amp; rays</x:v>
      </x:c>
      <x:c r="I81" s="31" t="n">
        <x:v>0.8798496173</x:v>
      </x:c>
      <x:c r="J81" s="31" t="n">
        <x:v>0.8798496173</x:v>
      </x:c>
      <x:c r="K81" s="31" t="n">
        <x:v>0</x:v>
      </x:c>
      <x:c r="L81" s="31" t="n">
        <x:v>0.8798496173</x:v>
      </x:c>
      <x:c r="M81" s="31" t="n">
        <x:v>0</x:v>
      </x:c>
      <x:c r="N81" s="24" t="str">
        <x:v>scyliorhinus stellaris</x:v>
      </x:c>
      <x:c r="O81" s="32" t="n">
        <x:v>4.03</x:v>
      </x:c>
      <x:c r="P81" s="24" t="str">
        <x:v>exact_2020_supplement</x:v>
      </x:c>
      <x:c r="Q81" s="32" t="str">
        <x:v>2020 supplement MeanTL</x:v>
      </x:c>
      <x:c r="R81" s="24" t="str">
        <x:v>high</x:v>
      </x:c>
      <x:c r="S81" s="24" t="str">
        <x:v>Scyliorhinus stellaris</x:v>
      </x:c>
      <x:c r="T81" s="32" t="n">
        <x:f>IF(O81="","",(1/'Metadata'!$B$5)^(O81-1))</x:f>
        <x:v>1071.519305237607</x:v>
      </x:c>
      <x:c r="U81" s="31" t="n">
        <x:f>IF(T81="","",I81*T81)</x:f>
        <x:v>942.7758506428705</x:v>
      </x:c>
    </x:row>
    <x:row r="82" ht="18" customHeight="1">
      <x:c r="A82" s="24" t="str">
        <x:v>EEZ_056</x:v>
      </x:c>
      <x:c r="B82" s="24" t="str">
        <x:v>Belgium</x:v>
      </x:c>
      <x:c r="C82" s="24" t="str">
        <x:v>EEZ</x:v>
      </x:c>
      <x:c r="D82" s="30" t="n">
        <x:v>2019</x:v>
      </x:c>
      <x:c r="E82" s="24" t="str">
        <x:v>Conger conger</x:v>
      </x:c>
      <x:c r="F82" s="24" t="str">
        <x:v>European conger</x:v>
      </x:c>
      <x:c r="G82" s="24" t="str">
        <x:v>Large demersals (&gt;=90 cm)</x:v>
      </x:c>
      <x:c r="H82" s="24" t="str">
        <x:v>Other fishes &amp; inverts</x:v>
      </x:c>
      <x:c r="I82" s="31" t="n">
        <x:v>0.8617328365</x:v>
      </x:c>
      <x:c r="J82" s="31" t="n">
        <x:v>0.8617328365</x:v>
      </x:c>
      <x:c r="K82" s="31" t="n">
        <x:v>0</x:v>
      </x:c>
      <x:c r="L82" s="31" t="n">
        <x:v>0.8617328365</x:v>
      </x:c>
      <x:c r="M82" s="31" t="n">
        <x:v>0</x:v>
      </x:c>
      <x:c r="N82" s="24" t="str">
        <x:v>conger conger</x:v>
      </x:c>
      <x:c r="O82" s="32" t="n">
        <x:v>4.31</x:v>
      </x:c>
      <x:c r="P82" s="24" t="str">
        <x:v>exact_2020_supplement</x:v>
      </x:c>
      <x:c r="Q82" s="32" t="str">
        <x:v>2020 supplement MeanTL</x:v>
      </x:c>
      <x:c r="R82" s="24" t="str">
        <x:v>high</x:v>
      </x:c>
      <x:c r="S82" s="24" t="str">
        <x:v>Conger conger</x:v>
      </x:c>
      <x:c r="T82" s="32" t="n">
        <x:f>IF(O82="","",(1/'Metadata'!$B$5)^(O82-1))</x:f>
        <x:v>2041.7379446695275</x:v>
      </x:c>
      <x:c r="U82" s="31" t="n">
        <x:f>IF(T82="","",I82*T82)</x:f>
        <x:v>1759.432630449752</x:v>
      </x:c>
    </x:row>
    <x:row r="83" ht="18" customHeight="1">
      <x:c r="A83" s="24" t="str">
        <x:v>EEZ_056</x:v>
      </x:c>
      <x:c r="B83" s="24" t="str">
        <x:v>Belgium</x:v>
      </x:c>
      <x:c r="C83" s="24" t="str">
        <x:v>EEZ</x:v>
      </x:c>
      <x:c r="D83" s="30" t="n">
        <x:v>2019</x:v>
      </x:c>
      <x:c r="E83" s="24" t="str">
        <x:v>Sciaenidae</x:v>
      </x:c>
      <x:c r="F83" s="24" t="str">
        <x:v>Drums, croakers</x:v>
      </x:c>
      <x:c r="G83" s="24" t="str">
        <x:v>Medium demersals (30 - 89 cm)</x:v>
      </x:c>
      <x:c r="H83" s="24" t="str">
        <x:v>Perch-likes</x:v>
      </x:c>
      <x:c r="I83" s="31" t="n">
        <x:v>0.7861915016</x:v>
      </x:c>
      <x:c r="J83" s="31" t="n">
        <x:v>0</x:v>
      </x:c>
      <x:c r="K83" s="31" t="n">
        <x:v>0.7861915016</x:v>
      </x:c>
      <x:c r="L83" s="31" t="n">
        <x:v>0</x:v>
      </x:c>
      <x:c r="M83" s="31" t="n">
        <x:v>0.7861915016</x:v>
      </x:c>
      <x:c r="N83" s="24" t="str">
        <x:v>sciaenidae</x:v>
      </x:c>
      <x:c r="O83" s="32" t="n">
        <x:v>3.76</x:v>
      </x:c>
      <x:c r="P83" s="24" t="str">
        <x:v>exact_sea_around_us</x:v>
      </x:c>
      <x:c r="Q83" s="32" t="str">
        <x:v>Sea Around Us exploited organisms</x:v>
      </x:c>
      <x:c r="R83" s="24" t="str">
        <x:v>high</x:v>
      </x:c>
      <x:c r="S83" s="24" t="str">
        <x:v>Sciaenidae</x:v>
      </x:c>
      <x:c r="T83" s="32" t="n">
        <x:f>IF(O83="","",(1/'Metadata'!$B$5)^(O83-1))</x:f>
        <x:v>575.4399373371566</x:v>
      </x:c>
      <x:c r="U83" s="31" t="n">
        <x:f>IF(T83="","",I83*T83)</x:f>
        <x:v>452.40598841570903</x:v>
      </x:c>
    </x:row>
    <x:row r="84" ht="18" customHeight="1">
      <x:c r="A84" s="24" t="str">
        <x:v>EEZ_056</x:v>
      </x:c>
      <x:c r="B84" s="24" t="str">
        <x:v>Belgium</x:v>
      </x:c>
      <x:c r="C84" s="24" t="str">
        <x:v>EEZ</x:v>
      </x:c>
      <x:c r="D84" s="30" t="n">
        <x:v>2019</x:v>
      </x:c>
      <x:c r="E84" s="24" t="str">
        <x:v>Anguilla anguilla</x:v>
      </x:c>
      <x:c r="F84" s="24" t="str">
        <x:v>European eel</x:v>
      </x:c>
      <x:c r="G84" s="24" t="str">
        <x:v>Large demersals (&gt;=90 cm)</x:v>
      </x:c>
      <x:c r="H84" s="24" t="str">
        <x:v>Other fishes &amp; inverts</x:v>
      </x:c>
      <x:c r="I84" s="31" t="n">
        <x:v>0.7593198656</x:v>
      </x:c>
      <x:c r="J84" s="31" t="n">
        <x:v>0.7593198656</x:v>
      </x:c>
      <x:c r="K84" s="31" t="n">
        <x:v>0</x:v>
      </x:c>
      <x:c r="L84" s="31" t="n">
        <x:v>0.7593198656</x:v>
      </x:c>
      <x:c r="M84" s="31" t="n">
        <x:v>0</x:v>
      </x:c>
      <x:c r="N84" s="24" t="str">
        <x:v>anguilla anguilla</x:v>
      </x:c>
      <x:c r="O84" s="32" t="n">
        <x:v>3.55</x:v>
      </x:c>
      <x:c r="P84" s="24" t="str">
        <x:v>exact_2020_supplement</x:v>
      </x:c>
      <x:c r="Q84" s="32" t="str">
        <x:v>2020 supplement MeanTL</x:v>
      </x:c>
      <x:c r="R84" s="24" t="str">
        <x:v>high</x:v>
      </x:c>
      <x:c r="S84" s="24" t="str">
        <x:v>Anguilla anguilla</x:v>
      </x:c>
      <x:c r="T84" s="32" t="n">
        <x:f>IF(O84="","",(1/'Metadata'!$B$5)^(O84-1))</x:f>
        <x:v>354.8133892335753</x:v>
      </x:c>
      <x:c r="U84" s="31" t="n">
        <x:f>IF(T84="","",I84*T84)</x:f>
        <x:v>269.4168550259189</x:v>
      </x:c>
    </x:row>
    <x:row r="85" ht="18" customHeight="1">
      <x:c r="A85" s="24" t="str">
        <x:v>EEZ_056</x:v>
      </x:c>
      <x:c r="B85" s="24" t="str">
        <x:v>Belgium</x:v>
      </x:c>
      <x:c r="C85" s="24" t="str">
        <x:v>EEZ</x:v>
      </x:c>
      <x:c r="D85" s="30" t="n">
        <x:v>2019</x:v>
      </x:c>
      <x:c r="E85" s="24" t="str">
        <x:v>Arnoglossus laterna</x:v>
      </x:c>
      <x:c r="F85" s="24" t="str">
        <x:v>Mediterranean scaldfish</x:v>
      </x:c>
      <x:c r="G85" s="24" t="str">
        <x:v>Small to medium flatfishes (&lt;90 cm)</x:v>
      </x:c>
      <x:c r="H85" s="24" t="str">
        <x:v>Flatfishes</x:v>
      </x:c>
      <x:c r="I85" s="31" t="n">
        <x:v>0.7221794957</x:v>
      </x:c>
      <x:c r="J85" s="31" t="n">
        <x:v>0</x:v>
      </x:c>
      <x:c r="K85" s="31" t="n">
        <x:v>0.7221794957</x:v>
      </x:c>
      <x:c r="L85" s="31" t="n">
        <x:v>0</x:v>
      </x:c>
      <x:c r="M85" s="31" t="n">
        <x:v>0.7221794957</x:v>
      </x:c>
      <x:c r="N85" s="24" t="str">
        <x:v>arnoglossus laterna</x:v>
      </x:c>
      <x:c r="O85" s="32" t="n">
        <x:v>3.59</x:v>
      </x:c>
      <x:c r="P85" s="24" t="str">
        <x:v>exact_2020_supplement</x:v>
      </x:c>
      <x:c r="Q85" s="32" t="str">
        <x:v>2020 supplement MeanTL</x:v>
      </x:c>
      <x:c r="R85" s="24" t="str">
        <x:v>high</x:v>
      </x:c>
      <x:c r="S85" s="24" t="str">
        <x:v>Arnoglossus laterna</x:v>
      </x:c>
      <x:c r="T85" s="32" t="n">
        <x:f>IF(O85="","",(1/'Metadata'!$B$5)^(O85-1))</x:f>
        <x:v>389.04514499428046</x:v>
      </x:c>
      <x:c r="U85" s="31" t="n">
        <x:f>IF(T85="","",I85*T85)</x:f>
        <x:v>280.96042661650284</x:v>
      </x:c>
    </x:row>
    <x:row r="86" ht="18" customHeight="1">
      <x:c r="A86" s="24" t="str">
        <x:v>EEZ_056</x:v>
      </x:c>
      <x:c r="B86" s="24" t="str">
        <x:v>Belgium</x:v>
      </x:c>
      <x:c r="C86" s="24" t="str">
        <x:v>EEZ</x:v>
      </x:c>
      <x:c r="D86" s="30" t="n">
        <x:v>2019</x:v>
      </x:c>
      <x:c r="E86" s="24" t="str">
        <x:v>Hippoglossoides platessoides</x:v>
      </x:c>
      <x:c r="F86" s="24" t="str">
        <x:v>American plaice</x:v>
      </x:c>
      <x:c r="G86" s="24" t="str">
        <x:v>Small to medium flatfishes (&lt;90 cm)</x:v>
      </x:c>
      <x:c r="H86" s="24" t="str">
        <x:v>Flatfishes</x:v>
      </x:c>
      <x:c r="I86" s="31" t="n">
        <x:v>0.6023977422</x:v>
      </x:c>
      <x:c r="J86" s="31" t="n">
        <x:v>0</x:v>
      </x:c>
      <x:c r="K86" s="31" t="n">
        <x:v>0.6023977422</x:v>
      </x:c>
      <x:c r="L86" s="31" t="n">
        <x:v>0</x:v>
      </x:c>
      <x:c r="M86" s="31" t="n">
        <x:v>0.6023977422</x:v>
      </x:c>
      <x:c r="N86" s="24" t="str">
        <x:v>hippoglossoides platessoides</x:v>
      </x:c>
      <x:c r="O86" s="32" t="n">
        <x:v>4.08</x:v>
      </x:c>
      <x:c r="P86" s="24" t="str">
        <x:v>exact_2020_supplement</x:v>
      </x:c>
      <x:c r="Q86" s="32" t="str">
        <x:v>2020 supplement MeanTL</x:v>
      </x:c>
      <x:c r="R86" s="24" t="str">
        <x:v>high</x:v>
      </x:c>
      <x:c r="S86" s="24" t="str">
        <x:v>Hippoglossoides platessoides</x:v>
      </x:c>
      <x:c r="T86" s="32" t="n">
        <x:f>IF(O86="","",(1/'Metadata'!$B$5)^(O86-1))</x:f>
        <x:v>1202.2644346174131</x:v>
      </x:c>
      <x:c r="U86" s="31" t="n">
        <x:f>IF(T86="","",I86*T86)</x:f>
        <x:v>724.2413809408891</x:v>
      </x:c>
    </x:row>
    <x:row r="87" ht="18" customHeight="1">
      <x:c r="A87" s="24" t="str">
        <x:v>EEZ_056</x:v>
      </x:c>
      <x:c r="B87" s="24" t="str">
        <x:v>Belgium</x:v>
      </x:c>
      <x:c r="C87" s="24" t="str">
        <x:v>EEZ</x:v>
      </x:c>
      <x:c r="D87" s="30" t="n">
        <x:v>2019</x:v>
      </x:c>
      <x:c r="E87" s="24" t="str">
        <x:v>Zeus faber</x:v>
      </x:c>
      <x:c r="F87" s="24" t="str">
        <x:v>John dory</x:v>
      </x:c>
      <x:c r="G87" s="24" t="str">
        <x:v>Medium benthopelagics (30 - 89 cm)</x:v>
      </x:c>
      <x:c r="H87" s="24" t="str">
        <x:v>Other fishes &amp; inverts</x:v>
      </x:c>
      <x:c r="I87" s="31" t="n">
        <x:v>0.6013000567</x:v>
      </x:c>
      <x:c r="J87" s="31" t="n">
        <x:v>0.601299249</x:v>
      </x:c>
      <x:c r="K87" s="31" t="n">
        <x:v>8.077e-7</x:v>
      </x:c>
      <x:c r="L87" s="31" t="n">
        <x:v>0.601299249</x:v>
      </x:c>
      <x:c r="M87" s="31" t="n">
        <x:v>8.077e-7</x:v>
      </x:c>
      <x:c r="N87" s="24" t="str">
        <x:v>zeus faber</x:v>
      </x:c>
      <x:c r="O87" s="32" t="n">
        <x:v>4.5</x:v>
      </x:c>
      <x:c r="P87" s="24" t="str">
        <x:v>exact_2020_supplement</x:v>
      </x:c>
      <x:c r="Q87" s="32" t="str">
        <x:v>2020 supplement MeanTL</x:v>
      </x:c>
      <x:c r="R87" s="24" t="str">
        <x:v>high</x:v>
      </x:c>
      <x:c r="S87" s="24" t="str">
        <x:v>Zeus faber</x:v>
      </x:c>
      <x:c r="T87" s="32" t="n">
        <x:f>IF(O87="","",(1/'Metadata'!$B$5)^(O87-1))</x:f>
        <x:v>3162.2776601683795</x:v>
      </x:c>
      <x:c r="U87" s="31" t="n">
        <x:f>IF(T87="","",I87*T87)</x:f>
        <x:v>1901.4777363603898</x:v>
      </x:c>
    </x:row>
    <x:row r="88" ht="18" customHeight="1">
      <x:c r="A88" s="24" t="str">
        <x:v>EEZ_056</x:v>
      </x:c>
      <x:c r="B88" s="24" t="str">
        <x:v>Belgium</x:v>
      </x:c>
      <x:c r="C88" s="24" t="str">
        <x:v>EEZ</x:v>
      </x:c>
      <x:c r="D88" s="30" t="n">
        <x:v>2019</x:v>
      </x:c>
      <x:c r="E88" s="24" t="str">
        <x:v>Carcinus maenas</x:v>
      </x:c>
      <x:c r="F88" s="24" t="str">
        <x:v>Green crab</x:v>
      </x:c>
      <x:c r="G88" s="24" t="str">
        <x:v>Lobsters, crabs</x:v>
      </x:c>
      <x:c r="H88" s="24" t="str">
        <x:v>Crustaceans</x:v>
      </x:c>
      <x:c r="I88" s="31" t="n">
        <x:v>0.5705979017</x:v>
      </x:c>
      <x:c r="J88" s="31" t="n">
        <x:v>0.5705979017</x:v>
      </x:c>
      <x:c r="K88" s="31" t="n">
        <x:v>0</x:v>
      </x:c>
      <x:c r="L88" s="31" t="n">
        <x:v>0.5705979017</x:v>
      </x:c>
      <x:c r="M88" s="31" t="n">
        <x:v>0</x:v>
      </x:c>
      <x:c r="N88" s="24" t="str">
        <x:v>carcinus maenas</x:v>
      </x:c>
      <x:c r="O88" s="32" t="n">
        <x:v>3.5</x:v>
      </x:c>
      <x:c r="P88" s="24" t="str">
        <x:v>exact_2020_supplement</x:v>
      </x:c>
      <x:c r="Q88" s="32" t="str">
        <x:v>2020 supplement MeanTL</x:v>
      </x:c>
      <x:c r="R88" s="24" t="str">
        <x:v>high</x:v>
      </x:c>
      <x:c r="S88" s="24" t="str">
        <x:v>Carcinus maenas</x:v>
      </x:c>
      <x:c r="T88" s="32" t="n">
        <x:f>IF(O88="","",(1/'Metadata'!$B$5)^(O88-1))</x:f>
        <x:v>316.22776601683796</x:v>
      </x:c>
      <x:c r="U88" s="31" t="n">
        <x:f>IF(T88="","",I88*T88)</x:f>
        <x:v>180.4388997484863</x:v>
      </x:c>
    </x:row>
    <x:row r="89" ht="18" customHeight="1">
      <x:c r="A89" s="24" t="str">
        <x:v>EEZ_056</x:v>
      </x:c>
      <x:c r="B89" s="24" t="str">
        <x:v>Belgium</x:v>
      </x:c>
      <x:c r="C89" s="24" t="str">
        <x:v>EEZ</x:v>
      </x:c>
      <x:c r="D89" s="30" t="n">
        <x:v>2019</x:v>
      </x:c>
      <x:c r="E89" s="24" t="str">
        <x:v>Teuthida</x:v>
      </x:c>
      <x:c r="F89" s="24" t="str">
        <x:v>Squids</x:v>
      </x:c>
      <x:c r="G89" s="24" t="str">
        <x:v>Cephalopods</x:v>
      </x:c>
      <x:c r="H89" s="24" t="str">
        <x:v>Other fishes &amp; inverts</x:v>
      </x:c>
      <x:c r="I89" s="31" t="n">
        <x:v>0.5562043896000001</x:v>
      </x:c>
      <x:c r="J89" s="31" t="n">
        <x:v>0.5562043896000001</x:v>
      </x:c>
      <x:c r="K89" s="31" t="n">
        <x:v>0</x:v>
      </x:c>
      <x:c r="L89" s="31" t="n">
        <x:v>0.5562043896000001</x:v>
      </x:c>
      <x:c r="M89" s="31" t="n">
        <x:v>0</x:v>
      </x:c>
      <x:c r="N89" s="24" t="str">
        <x:v>teuthida</x:v>
      </x:c>
      <x:c r="O89" s="32" t="n">
        <x:v>4.13</x:v>
      </x:c>
      <x:c r="P89" s="24" t="str">
        <x:v>exact_sea_around_us</x:v>
      </x:c>
      <x:c r="Q89" s="32" t="str">
        <x:v>Sea Around Us exploited organisms</x:v>
      </x:c>
      <x:c r="R89" s="24" t="str">
        <x:v>high</x:v>
      </x:c>
      <x:c r="S89" s="24" t="str">
        <x:v>Teuthida</x:v>
      </x:c>
      <x:c r="T89" s="32" t="n">
        <x:f>IF(O89="","",(1/'Metadata'!$B$5)^(O89-1))</x:f>
        <x:v>1348.9628825916532</x:v>
      </x:c>
      <x:c r="U89" s="31" t="n">
        <x:f>IF(T89="","",I89*T89)</x:f>
        <x:v>750.299076704947</x:v>
      </x:c>
    </x:row>
    <x:row r="90" ht="18" customHeight="1">
      <x:c r="A90" s="24" t="str">
        <x:v>EEZ_056</x:v>
      </x:c>
      <x:c r="B90" s="24" t="str">
        <x:v>Belgium</x:v>
      </x:c>
      <x:c r="C90" s="24" t="str">
        <x:v>EEZ</x:v>
      </x:c>
      <x:c r="D90" s="30" t="n">
        <x:v>2019</x:v>
      </x:c>
      <x:c r="E90" s="24" t="str">
        <x:v>Lophius piscatorius</x:v>
      </x:c>
      <x:c r="F90" s="24" t="str">
        <x:v>Angler</x:v>
      </x:c>
      <x:c r="G90" s="24" t="str">
        <x:v>Large bathydemersals (&gt;=90 cm)</x:v>
      </x:c>
      <x:c r="H90" s="24" t="str">
        <x:v>Other fishes &amp; inverts</x:v>
      </x:c>
      <x:c r="I90" s="31" t="n">
        <x:v>0.49583374809999997</x:v>
      </x:c>
      <x:c r="J90" s="31" t="n">
        <x:v>0.4956883876</x:v>
      </x:c>
      <x:c r="K90" s="31" t="n">
        <x:v>0.0001453605</x:v>
      </x:c>
      <x:c r="L90" s="31" t="n">
        <x:v>0.4956883876</x:v>
      </x:c>
      <x:c r="M90" s="31" t="n">
        <x:v>0.0001453605</x:v>
      </x:c>
      <x:c r="N90" s="24" t="str">
        <x:v>lophius piscatorius</x:v>
      </x:c>
      <x:c r="O90" s="32" t="n">
        <x:v>4.45</x:v>
      </x:c>
      <x:c r="P90" s="24" t="str">
        <x:v>exact_2020_supplement</x:v>
      </x:c>
      <x:c r="Q90" s="32" t="str">
        <x:v>2020 supplement MeanTL</x:v>
      </x:c>
      <x:c r="R90" s="24" t="str">
        <x:v>high</x:v>
      </x:c>
      <x:c r="S90" s="24" t="str">
        <x:v>Lophius piscatorius</x:v>
      </x:c>
      <x:c r="T90" s="32" t="n">
        <x:f>IF(O90="","",(1/'Metadata'!$B$5)^(O90-1))</x:f>
        <x:v>2818.382931264455</x:v>
      </x:c>
      <x:c r="U90" s="31" t="n">
        <x:f>IF(T90="","",I90*T90)</x:f>
        <x:v>1397.4493723899193</x:v>
      </x:c>
    </x:row>
    <x:row r="91" ht="18" customHeight="1">
      <x:c r="A91" s="24" t="str">
        <x:v>EEZ_056</x:v>
      </x:c>
      <x:c r="B91" s="24" t="str">
        <x:v>Belgium</x:v>
      </x:c>
      <x:c r="C91" s="24" t="str">
        <x:v>EEZ</x:v>
      </x:c>
      <x:c r="D91" s="30" t="n">
        <x:v>2019</x:v>
      </x:c>
      <x:c r="E91" s="24" t="str">
        <x:v>Chamelea gallina</x:v>
      </x:c>
      <x:c r="F91" s="24" t="str">
        <x:v>Striped venus</x:v>
      </x:c>
      <x:c r="G91" s="24" t="str">
        <x:v>Other demersal invertebrates</x:v>
      </x:c>
      <x:c r="H91" s="24" t="str">
        <x:v>Molluscs</x:v>
      </x:c>
      <x:c r="I91" s="31" t="n">
        <x:v>0.4731998609</x:v>
      </x:c>
      <x:c r="J91" s="31" t="n">
        <x:v>0.4731998609</x:v>
      </x:c>
      <x:c r="K91" s="31" t="n">
        <x:v>0</x:v>
      </x:c>
      <x:c r="L91" s="31" t="n">
        <x:v>0.4731998609</x:v>
      </x:c>
      <x:c r="M91" s="31" t="n">
        <x:v>0</x:v>
      </x:c>
      <x:c r="N91" s="24" t="str">
        <x:v>chamelea gallina</x:v>
      </x:c>
      <x:c r="O91" s="32" t="n">
        <x:v>2.1</x:v>
      </x:c>
      <x:c r="P91" s="24" t="str">
        <x:v>exact_sea_around_us</x:v>
      </x:c>
      <x:c r="Q91" s="32" t="str">
        <x:v>Sea Around Us exploited organisms</x:v>
      </x:c>
      <x:c r="R91" s="24" t="str">
        <x:v>high</x:v>
      </x:c>
      <x:c r="S91" s="24" t="str">
        <x:v>Chamelea gallina</x:v>
      </x:c>
      <x:c r="T91" s="32" t="n">
        <x:f>IF(O91="","",(1/'Metadata'!$B$5)^(O91-1))</x:f>
        <x:v>12.589254117941675</x:v>
      </x:c>
      <x:c r="U91" s="31" t="n">
        <x:f>IF(T91="","",I91*T91)</x:f>
        <x:v>5.957233297444753</x:v>
      </x:c>
    </x:row>
    <x:row r="92" ht="18" customHeight="1">
      <x:c r="A92" s="24" t="str">
        <x:v>EEZ_056</x:v>
      </x:c>
      <x:c r="B92" s="24" t="str">
        <x:v>Belgium</x:v>
      </x:c>
      <x:c r="C92" s="24" t="str">
        <x:v>EEZ</x:v>
      </x:c>
      <x:c r="D92" s="30" t="n">
        <x:v>2019</x:v>
      </x:c>
      <x:c r="E92" s="24" t="str">
        <x:v>Spondyliosoma cantharus</x:v>
      </x:c>
      <x:c r="F92" s="24" t="str">
        <x:v>Black seabream</x:v>
      </x:c>
      <x:c r="G92" s="24" t="str">
        <x:v>Medium benthopelagics (30 - 89 cm)</x:v>
      </x:c>
      <x:c r="H92" s="24" t="str">
        <x:v>Perch-likes</x:v>
      </x:c>
      <x:c r="I92" s="31" t="n">
        <x:v>0.4707856061</x:v>
      </x:c>
      <x:c r="J92" s="31" t="n">
        <x:v>0.4707856061</x:v>
      </x:c>
      <x:c r="K92" s="31" t="n">
        <x:v>0</x:v>
      </x:c>
      <x:c r="L92" s="31" t="n">
        <x:v>0.4707856061</x:v>
      </x:c>
      <x:c r="M92" s="31" t="n">
        <x:v>0</x:v>
      </x:c>
      <x:c r="N92" s="24" t="str">
        <x:v>spondyliosoma cantharus</x:v>
      </x:c>
      <x:c r="O92" s="32" t="n">
        <x:v>3.34</x:v>
      </x:c>
      <x:c r="P92" s="24" t="str">
        <x:v>exact_2020_supplement</x:v>
      </x:c>
      <x:c r="Q92" s="32" t="str">
        <x:v>2020 supplement MeanTL</x:v>
      </x:c>
      <x:c r="R92" s="24" t="str">
        <x:v>high</x:v>
      </x:c>
      <x:c r="S92" s="24" t="str">
        <x:v>Spondyliosoma cantharus</x:v>
      </x:c>
      <x:c r="T92" s="32" t="n">
        <x:f>IF(O92="","",(1/'Metadata'!$B$5)^(O92-1))</x:f>
        <x:v>218.77616239495518</x:v>
      </x:c>
      <x:c r="U92" s="31" t="n">
        <x:f>IF(T92="","",I92*T92)</x:f>
        <x:v>102.996668213341</x:v>
      </x:c>
    </x:row>
    <x:row r="93" ht="18" customHeight="1">
      <x:c r="A93" s="24" t="str">
        <x:v>EEZ_056</x:v>
      </x:c>
      <x:c r="B93" s="24" t="str">
        <x:v>Belgium</x:v>
      </x:c>
      <x:c r="C93" s="24" t="str">
        <x:v>EEZ</x:v>
      </x:c>
      <x:c r="D93" s="30" t="n">
        <x:v>2019</x:v>
      </x:c>
      <x:c r="E93" s="24" t="str">
        <x:v>Agonus cataphractus</x:v>
      </x:c>
      <x:c r="F93" s="24" t="str">
        <x:v>Hooknose</x:v>
      </x:c>
      <x:c r="G93" s="24" t="str">
        <x:v>Large reef assoc. fish (&gt;=90 cm)</x:v>
      </x:c>
      <x:c r="H93" s="24" t="str">
        <x:v>Scorpionfishes</x:v>
      </x:c>
      <x:c r="I93" s="31" t="n">
        <x:v>0.4346522818</x:v>
      </x:c>
      <x:c r="J93" s="31" t="n">
        <x:v>0</x:v>
      </x:c>
      <x:c r="K93" s="31" t="n">
        <x:v>0.4346522818</x:v>
      </x:c>
      <x:c r="L93" s="31" t="n">
        <x:v>0</x:v>
      </x:c>
      <x:c r="M93" s="31" t="n">
        <x:v>0.4346522818</x:v>
      </x:c>
      <x:c r="N93" s="24" t="str">
        <x:v>agonus cataphractus</x:v>
      </x:c>
      <x:c r="O93" s="32" t="n">
        <x:v>3.43</x:v>
      </x:c>
      <x:c r="P93" s="24" t="str">
        <x:v>exact_2020_supplement</x:v>
      </x:c>
      <x:c r="Q93" s="32" t="str">
        <x:v>2020 supplement MeanTL</x:v>
      </x:c>
      <x:c r="R93" s="24" t="str">
        <x:v>high</x:v>
      </x:c>
      <x:c r="S93" s="24" t="str">
        <x:v>Agonus cataphractus</x:v>
      </x:c>
      <x:c r="T93" s="32" t="n">
        <x:f>IF(O93="","",(1/'Metadata'!$B$5)^(O93-1))</x:f>
        <x:v>269.1534803926917</x:v>
      </x:c>
      <x:c r="U93" s="31" t="n">
        <x:f>IF(T93="","",I93*T93)</x:f>
        <x:v>116.98817440709499</x:v>
      </x:c>
    </x:row>
    <x:row r="94" ht="18" customHeight="1">
      <x:c r="A94" s="24" t="str">
        <x:v>EEZ_056</x:v>
      </x:c>
      <x:c r="B94" s="24" t="str">
        <x:v>Belgium</x:v>
      </x:c>
      <x:c r="C94" s="24" t="str">
        <x:v>EEZ</x:v>
      </x:c>
      <x:c r="D94" s="30" t="n">
        <x:v>2019</x:v>
      </x:c>
      <x:c r="E94" s="24" t="str">
        <x:v>Zoarces viviparus</x:v>
      </x:c>
      <x:c r="F94" s="24" t="str">
        <x:v>Eelpout</x:v>
      </x:c>
      <x:c r="G94" s="24" t="str">
        <x:v>Medium demersals (30 - 89 cm)</x:v>
      </x:c>
      <x:c r="H94" s="24" t="str">
        <x:v>Perch-likes</x:v>
      </x:c>
      <x:c r="I94" s="31" t="n">
        <x:v>0.4294866159</x:v>
      </x:c>
      <x:c r="J94" s="31" t="n">
        <x:v>0</x:v>
      </x:c>
      <x:c r="K94" s="31" t="n">
        <x:v>0.4294866159</x:v>
      </x:c>
      <x:c r="L94" s="31" t="n">
        <x:v>0</x:v>
      </x:c>
      <x:c r="M94" s="31" t="n">
        <x:v>0.4294866159</x:v>
      </x:c>
      <x:c r="N94" s="24" t="str">
        <x:v>zoarces viviparus</x:v>
      </x:c>
      <x:c r="O94" s="32" t="n">
        <x:v>3.47</x:v>
      </x:c>
      <x:c r="P94" s="24" t="str">
        <x:v>exact_2020_supplement</x:v>
      </x:c>
      <x:c r="Q94" s="32" t="str">
        <x:v>2020 supplement MeanTL</x:v>
      </x:c>
      <x:c r="R94" s="24" t="str">
        <x:v>high</x:v>
      </x:c>
      <x:c r="S94" s="24" t="str">
        <x:v>Zoarces viviparus</x:v>
      </x:c>
      <x:c r="T94" s="32" t="n">
        <x:f>IF(O94="","",(1/'Metadata'!$B$5)^(O94-1))</x:f>
        <x:v>295.1209226666387</x:v>
      </x:c>
      <x:c r="U94" s="31" t="n">
        <x:f>IF(T94="","",I94*T94)</x:f>
        <x:v>126.75048635738025</x:v>
      </x:c>
    </x:row>
    <x:row r="95" ht="18" customHeight="1">
      <x:c r="A95" s="24" t="str">
        <x:v>EEZ_056</x:v>
      </x:c>
      <x:c r="B95" s="24" t="str">
        <x:v>Belgium</x:v>
      </x:c>
      <x:c r="C95" s="24" t="str">
        <x:v>EEZ</x:v>
      </x:c>
      <x:c r="D95" s="30" t="n">
        <x:v>2019</x:v>
      </x:c>
      <x:c r="E95" s="24" t="str">
        <x:v>Balistidae</x:v>
      </x:c>
      <x:c r="F95" s="24" t="str">
        <x:v>Triggerfishes</x:v>
      </x:c>
      <x:c r="G95" s="24" t="str">
        <x:v>Medium reef assoc. fish (30 - 89 cm)</x:v>
      </x:c>
      <x:c r="H95" s="24" t="str">
        <x:v>Other fishes &amp; inverts</x:v>
      </x:c>
      <x:c r="I95" s="31" t="n">
        <x:v>0.4202505794</x:v>
      </x:c>
      <x:c r="J95" s="31" t="n">
        <x:v>0</x:v>
      </x:c>
      <x:c r="K95" s="31" t="n">
        <x:v>0.4202505794</x:v>
      </x:c>
      <x:c r="L95" s="31" t="n">
        <x:v>0</x:v>
      </x:c>
      <x:c r="M95" s="31" t="n">
        <x:v>0.4202505794</x:v>
      </x:c>
      <x:c r="N95" s="24" t="str">
        <x:v>balistidae</x:v>
      </x:c>
      <x:c r="O95" s="32" t="n">
        <x:v>3.25</x:v>
      </x:c>
      <x:c r="P95" s="24" t="str">
        <x:v>exact_sea_around_us</x:v>
      </x:c>
      <x:c r="Q95" s="32" t="str">
        <x:v>Sea Around Us exploited organisms</x:v>
      </x:c>
      <x:c r="R95" s="24" t="str">
        <x:v>high</x:v>
      </x:c>
      <x:c r="S95" s="24" t="str">
        <x:v>Balistidae</x:v>
      </x:c>
      <x:c r="T95" s="32" t="n">
        <x:f>IF(O95="","",(1/'Metadata'!$B$5)^(O95-1))</x:f>
        <x:v>177.82794100389228</x:v>
      </x:c>
      <x:c r="U95" s="31" t="n">
        <x:f>IF(T95="","",I95*T95)</x:f>
        <x:v>74.73229524039475</x:v>
      </x:c>
    </x:row>
    <x:row r="96" ht="18" customHeight="1">
      <x:c r="A96" s="24" t="str">
        <x:v>EEZ_056</x:v>
      </x:c>
      <x:c r="B96" s="24" t="str">
        <x:v>Belgium</x:v>
      </x:c>
      <x:c r="C96" s="24" t="str">
        <x:v>EEZ</x:v>
      </x:c>
      <x:c r="D96" s="30" t="n">
        <x:v>2019</x:v>
      </x:c>
      <x:c r="E96" s="24" t="str">
        <x:v>Mullidae</x:v>
      </x:c>
      <x:c r="F96" s="24" t="str">
        <x:v>Goatfishes</x:v>
      </x:c>
      <x:c r="G96" s="24" t="str">
        <x:v>Medium reef assoc. fish (30 - 89 cm)</x:v>
      </x:c>
      <x:c r="H96" s="24" t="str">
        <x:v>Perch-likes</x:v>
      </x:c>
      <x:c r="I96" s="31" t="n">
        <x:v>0.3957403889</x:v>
      </x:c>
      <x:c r="J96" s="31" t="n">
        <x:v>0</x:v>
      </x:c>
      <x:c r="K96" s="31" t="n">
        <x:v>0.3957403889</x:v>
      </x:c>
      <x:c r="L96" s="31" t="n">
        <x:v>0</x:v>
      </x:c>
      <x:c r="M96" s="31" t="n">
        <x:v>0.3957403889</x:v>
      </x:c>
      <x:c r="N96" s="24" t="str">
        <x:v>mullidae</x:v>
      </x:c>
      <x:c r="O96" s="32" t="n">
        <x:v>3.46</x:v>
      </x:c>
      <x:c r="P96" s="24" t="str">
        <x:v>exact_sea_around_us</x:v>
      </x:c>
      <x:c r="Q96" s="32" t="str">
        <x:v>Sea Around Us exploited organisms</x:v>
      </x:c>
      <x:c r="R96" s="24" t="str">
        <x:v>high</x:v>
      </x:c>
      <x:c r="S96" s="24" t="str">
        <x:v>Mullidae</x:v>
      </x:c>
      <x:c r="T96" s="32" t="n">
        <x:f>IF(O96="","",(1/'Metadata'!$B$5)^(O96-1))</x:f>
        <x:v>288.40315031266056</x:v>
      </x:c>
      <x:c r="U96" s="31" t="n">
        <x:f>IF(T96="","",I96*T96)</x:f>
        <x:v>114.13277486471745</x:v>
      </x:c>
    </x:row>
    <x:row r="97" ht="18" customHeight="1">
      <x:c r="A97" s="24" t="str">
        <x:v>EEZ_056</x:v>
      </x:c>
      <x:c r="B97" s="24" t="str">
        <x:v>Belgium</x:v>
      </x:c>
      <x:c r="C97" s="24" t="str">
        <x:v>EEZ</x:v>
      </x:c>
      <x:c r="D97" s="30" t="n">
        <x:v>2019</x:v>
      </x:c>
      <x:c r="E97" s="24" t="str">
        <x:v>Chelon labrosus</x:v>
      </x:c>
      <x:c r="F97" s="24" t="str">
        <x:v>Thicklip grey mullet</x:v>
      </x:c>
      <x:c r="G97" s="24" t="str">
        <x:v>Medium demersals (30 - 89 cm)</x:v>
      </x:c>
      <x:c r="H97" s="24" t="str">
        <x:v>Perch-likes</x:v>
      </x:c>
      <x:c r="I97" s="31" t="n">
        <x:v>0.35543791449999995</x:v>
      </x:c>
      <x:c r="J97" s="31" t="n">
        <x:v>0.35543791449999995</x:v>
      </x:c>
      <x:c r="K97" s="31" t="n">
        <x:v>0</x:v>
      </x:c>
      <x:c r="L97" s="31" t="n">
        <x:v>0.35543791449999995</x:v>
      </x:c>
      <x:c r="M97" s="31" t="n">
        <x:v>0</x:v>
      </x:c>
      <x:c r="N97" s="24" t="str">
        <x:v>chelon labrosus</x:v>
      </x:c>
      <x:c r="O97" s="32" t="n">
        <x:v>2.59</x:v>
      </x:c>
      <x:c r="P97" s="24" t="str">
        <x:v>exact_2020_supplement</x:v>
      </x:c>
      <x:c r="Q97" s="32" t="str">
        <x:v>2020 supplement MeanTL</x:v>
      </x:c>
      <x:c r="R97" s="24" t="str">
        <x:v>high</x:v>
      </x:c>
      <x:c r="S97" s="24" t="str">
        <x:v>Chelon labrosus</x:v>
      </x:c>
      <x:c r="T97" s="32" t="n">
        <x:f>IF(O97="","",(1/'Metadata'!$B$5)^(O97-1))</x:f>
        <x:v>38.904514499428046</x:v>
      </x:c>
      <x:c r="U97" s="31" t="n">
        <x:f>IF(T97="","",I97*T97)</x:f>
        <x:v>13.828139498311714</x:v>
      </x:c>
    </x:row>
    <x:row r="98" ht="18" customHeight="1">
      <x:c r="A98" s="24" t="str">
        <x:v>EEZ_056</x:v>
      </x:c>
      <x:c r="B98" s="24" t="str">
        <x:v>Belgium</x:v>
      </x:c>
      <x:c r="C98" s="24" t="str">
        <x:v>EEZ</x:v>
      </x:c>
      <x:c r="D98" s="30" t="n">
        <x:v>2019</x:v>
      </x:c>
      <x:c r="E98" s="24" t="str">
        <x:v>Osmerus eperlanus</x:v>
      </x:c>
      <x:c r="F98" s="24" t="str">
        <x:v>European smelt</x:v>
      </x:c>
      <x:c r="G98" s="24" t="str">
        <x:v>Medium pelagics (30 - 89 cm)</x:v>
      </x:c>
      <x:c r="H98" s="24" t="str">
        <x:v>Salmon, smelts, etc</x:v>
      </x:c>
      <x:c r="I98" s="31" t="n">
        <x:v>0.2913460705</x:v>
      </x:c>
      <x:c r="J98" s="31" t="n">
        <x:v>0.2913460705</x:v>
      </x:c>
      <x:c r="K98" s="31" t="n">
        <x:v>0</x:v>
      </x:c>
      <x:c r="L98" s="31" t="n">
        <x:v>0.2913460705</x:v>
      </x:c>
      <x:c r="M98" s="31" t="n">
        <x:v>0</x:v>
      </x:c>
      <x:c r="N98" s="24" t="str">
        <x:v>osmerus eperlanus</x:v>
      </x:c>
      <x:c r="O98" s="32" t="n">
        <x:v>3.46</x:v>
      </x:c>
      <x:c r="P98" s="24" t="str">
        <x:v>exact_2020_supplement</x:v>
      </x:c>
      <x:c r="Q98" s="32" t="str">
        <x:v>2020 supplement MeanTL</x:v>
      </x:c>
      <x:c r="R98" s="24" t="str">
        <x:v>high</x:v>
      </x:c>
      <x:c r="S98" s="24" t="str">
        <x:v>Osmerus eperlanus</x:v>
      </x:c>
      <x:c r="T98" s="32" t="n">
        <x:f>IF(O98="","",(1/'Metadata'!$B$5)^(O98-1))</x:f>
        <x:v>288.40315031266056</x:v>
      </x:c>
      <x:c r="U98" s="31" t="n">
        <x:f>IF(T98="","",I98*T98)</x:f>
        <x:v>84.0251245634145</x:v>
      </x:c>
    </x:row>
    <x:row r="99" ht="18" customHeight="1">
      <x:c r="A99" s="24" t="str">
        <x:v>EEZ_056</x:v>
      </x:c>
      <x:c r="B99" s="24" t="str">
        <x:v>Belgium</x:v>
      </x:c>
      <x:c r="C99" s="24" t="str">
        <x:v>EEZ</x:v>
      </x:c>
      <x:c r="D99" s="30" t="n">
        <x:v>2019</x:v>
      </x:c>
      <x:c r="E99" s="24" t="str">
        <x:v>Gadiformes</x:v>
      </x:c>
      <x:c r="F99" s="24" t="str">
        <x:v>Cods</x:v>
      </x:c>
      <x:c r="G99" s="24" t="str">
        <x:v>Medium benthopelagics (30 - 89 cm)</x:v>
      </x:c>
      <x:c r="H99" s="24" t="str">
        <x:v>Cod-likes</x:v>
      </x:c>
      <x:c r="I99" s="31" t="n">
        <x:v>0.24846074480000002</x:v>
      </x:c>
      <x:c r="J99" s="31" t="n">
        <x:v>0</x:v>
      </x:c>
      <x:c r="K99" s="31" t="n">
        <x:v>0.24846074480000002</x:v>
      </x:c>
      <x:c r="L99" s="31" t="n">
        <x:v>0</x:v>
      </x:c>
      <x:c r="M99" s="31" t="n">
        <x:v>0.24846074480000002</x:v>
      </x:c>
      <x:c r="N99" s="24" t="str">
        <x:v>gadiformes</x:v>
      </x:c>
      <x:c r="O99" s="32" t="n">
        <x:v>3.91</x:v>
      </x:c>
      <x:c r="P99" s="24" t="str">
        <x:v>exact_sea_around_us</x:v>
      </x:c>
      <x:c r="Q99" s="32" t="str">
        <x:v>Sea Around Us exploited organisms</x:v>
      </x:c>
      <x:c r="R99" s="24" t="str">
        <x:v>high</x:v>
      </x:c>
      <x:c r="S99" s="24" t="str">
        <x:v>Gadiformes</x:v>
      </x:c>
      <x:c r="T99" s="32" t="n">
        <x:f>IF(O99="","",(1/'Metadata'!$B$5)^(O99-1))</x:f>
        <x:v>812.8305161640995</x:v>
      </x:c>
      <x:c r="U99" s="31" t="n">
        <x:f>IF(T99="","",I99*T99)</x:f>
        <x:v>201.95647544230064</x:v>
      </x:c>
    </x:row>
    <x:row r="100" ht="18" customHeight="1">
      <x:c r="A100" s="24" t="str">
        <x:v>EEZ_056</x:v>
      </x:c>
      <x:c r="B100" s="24" t="str">
        <x:v>Belgium</x:v>
      </x:c>
      <x:c r="C100" s="24" t="str">
        <x:v>EEZ</x:v>
      </x:c>
      <x:c r="D100" s="30" t="n">
        <x:v>2019</x:v>
      </x:c>
      <x:c r="E100" s="24" t="str">
        <x:v>Magallana gigas</x:v>
      </x:c>
      <x:c r="F100" s="24" t="str">
        <x:v>Pacific cupped oyster</x:v>
      </x:c>
      <x:c r="G100" s="24" t="str">
        <x:v>Other demersal invertebrates</x:v>
      </x:c>
      <x:c r="H100" s="24" t="str">
        <x:v>Molluscs</x:v>
      </x:c>
      <x:c r="I100" s="31" t="n">
        <x:v>0.16281606269999999</x:v>
      </x:c>
      <x:c r="J100" s="31" t="n">
        <x:v>0.16281606269999999</x:v>
      </x:c>
      <x:c r="K100" s="31" t="n">
        <x:v>0</x:v>
      </x:c>
      <x:c r="L100" s="31" t="n">
        <x:v>0.16281606269999999</x:v>
      </x:c>
      <x:c r="M100" s="31" t="n">
        <x:v>0</x:v>
      </x:c>
      <x:c r="N100" s="24" t="str">
        <x:v>magallana gigas</x:v>
      </x:c>
      <x:c r="O100" s="32" t="n">
        <x:v>2</x:v>
      </x:c>
      <x:c r="P100" s="24" t="str">
        <x:v>exact_sea_around_us</x:v>
      </x:c>
      <x:c r="Q100" s="32" t="str">
        <x:v>Sea Around Us exploited organisms</x:v>
      </x:c>
      <x:c r="R100" s="24" t="str">
        <x:v>high</x:v>
      </x:c>
      <x:c r="S100" s="24" t="str">
        <x:v>Magallana gigas</x:v>
      </x:c>
      <x:c r="T100" s="32" t="n">
        <x:f>IF(O100="","",(1/'Metadata'!$B$5)^(O100-1))</x:f>
        <x:v>10</x:v>
      </x:c>
      <x:c r="U100" s="31" t="n">
        <x:f>IF(T100="","",I100*T100)</x:f>
        <x:v>1.6281606269999997</x:v>
      </x:c>
    </x:row>
    <x:row r="101" ht="18" customHeight="1">
      <x:c r="A101" s="24" t="str">
        <x:v>EEZ_056</x:v>
      </x:c>
      <x:c r="B101" s="24" t="str">
        <x:v>Belgium</x:v>
      </x:c>
      <x:c r="C101" s="24" t="str">
        <x:v>EEZ</x:v>
      </x:c>
      <x:c r="D101" s="30" t="n">
        <x:v>2019</x:v>
      </x:c>
      <x:c r="E101" s="24" t="str">
        <x:v>Sander lucioperca</x:v>
      </x:c>
      <x:c r="F101" s="24" t="str">
        <x:v>Pike-perch</x:v>
      </x:c>
      <x:c r="G101" s="24" t="str">
        <x:v>Large pelagics (&gt;=90 cm)</x:v>
      </x:c>
      <x:c r="H101" s="24" t="str">
        <x:v>Perch-likes</x:v>
      </x:c>
      <x:c r="I101" s="31" t="n">
        <x:v>0.126549834</x:v>
      </x:c>
      <x:c r="J101" s="31" t="n">
        <x:v>0.126549834</x:v>
      </x:c>
      <x:c r="K101" s="31" t="n">
        <x:v>0</x:v>
      </x:c>
      <x:c r="L101" s="31" t="n">
        <x:v>0.126549834</x:v>
      </x:c>
      <x:c r="M101" s="31" t="n">
        <x:v>0</x:v>
      </x:c>
      <x:c r="N101" s="24" t="str">
        <x:v>sander lucioperca</x:v>
      </x:c>
      <x:c r="O101" s="32" t="n">
        <x:v>4.04</x:v>
      </x:c>
      <x:c r="P101" s="24" t="str">
        <x:v>exact_2020_supplement</x:v>
      </x:c>
      <x:c r="Q101" s="32" t="str">
        <x:v>2020 supplement MeanTL</x:v>
      </x:c>
      <x:c r="R101" s="24" t="str">
        <x:v>high</x:v>
      </x:c>
      <x:c r="S101" s="24" t="str">
        <x:v>Sander lucioperca</x:v>
      </x:c>
      <x:c r="T101" s="32" t="n">
        <x:f>IF(O101="","",(1/'Metadata'!$B$5)^(O101-1))</x:f>
        <x:v>1096.4781961431852</x:v>
      </x:c>
      <x:c r="U101" s="31" t="n">
        <x:f>IF(T101="","",I101*T101)</x:f>
        <x:v>138.75913370653953</x:v>
      </x:c>
    </x:row>
    <x:row r="102" ht="18" customHeight="1">
      <x:c r="A102" s="24" t="str">
        <x:v>EEZ_056</x:v>
      </x:c>
      <x:c r="B102" s="24" t="str">
        <x:v>Belgium</x:v>
      </x:c>
      <x:c r="C102" s="24" t="str">
        <x:v>EEZ</x:v>
      </x:c>
      <x:c r="D102" s="30" t="n">
        <x:v>2019</x:v>
      </x:c>
      <x:c r="E102" s="24" t="str">
        <x:v>Alosa alosa</x:v>
      </x:c>
      <x:c r="F102" s="24" t="str">
        <x:v>Allis shad</x:v>
      </x:c>
      <x:c r="G102" s="24" t="str">
        <x:v>Medium pelagics (30 - 89 cm)</x:v>
      </x:c>
      <x:c r="H102" s="24" t="str">
        <x:v>Herring-likes</x:v>
      </x:c>
      <x:c r="I102" s="31" t="n">
        <x:v>0.1146953104</x:v>
      </x:c>
      <x:c r="J102" s="31" t="n">
        <x:v>0.1146953104</x:v>
      </x:c>
      <x:c r="K102" s="31" t="n">
        <x:v>0</x:v>
      </x:c>
      <x:c r="L102" s="31" t="n">
        <x:v>0.1146953104</x:v>
      </x:c>
      <x:c r="M102" s="31" t="n">
        <x:v>0</x:v>
      </x:c>
      <x:c r="N102" s="24" t="str">
        <x:v>alosa alosa</x:v>
      </x:c>
      <x:c r="O102" s="32" t="n">
        <x:v>2.95</x:v>
      </x:c>
      <x:c r="P102" s="24" t="str">
        <x:v>exact_2020_supplement</x:v>
      </x:c>
      <x:c r="Q102" s="32" t="str">
        <x:v>2020 supplement MeanTL</x:v>
      </x:c>
      <x:c r="R102" s="24" t="str">
        <x:v>high</x:v>
      </x:c>
      <x:c r="S102" s="24" t="str">
        <x:v>Alosa alosa</x:v>
      </x:c>
      <x:c r="T102" s="32" t="n">
        <x:f>IF(O102="","",(1/'Metadata'!$B$5)^(O102-1))</x:f>
        <x:v>89.12509381337459</x:v>
      </x:c>
      <x:c r="U102" s="31" t="n">
        <x:f>IF(T102="","",I102*T102)</x:f>
        <x:v>10.222230299354118</x:v>
      </x:c>
    </x:row>
    <x:row r="103" ht="18" customHeight="1">
      <x:c r="A103" s="24" t="str">
        <x:v>EEZ_056</x:v>
      </x:c>
      <x:c r="B103" s="24" t="str">
        <x:v>Belgium</x:v>
      </x:c>
      <x:c r="C103" s="24" t="str">
        <x:v>EEZ</x:v>
      </x:c>
      <x:c r="D103" s="30" t="n">
        <x:v>2019</x:v>
      </x:c>
      <x:c r="E103" s="24" t="str">
        <x:v>Osteichthyes</x:v>
      </x:c>
      <x:c r="F103" s="24" t="str">
        <x:v>Bony fishes</x:v>
      </x:c>
      <x:c r="G103" s="24" t="str">
        <x:v>Medium demersals (30 - 89 cm)</x:v>
      </x:c>
      <x:c r="H103" s="24" t="str">
        <x:v>Other fishes &amp; inverts</x:v>
      </x:c>
      <x:c r="I103" s="31" t="n">
        <x:v>0.09513725890000001</x:v>
      </x:c>
      <x:c r="J103" s="31" t="n">
        <x:v>0.09513725890000001</x:v>
      </x:c>
      <x:c r="K103" s="31" t="n">
        <x:v>0</x:v>
      </x:c>
      <x:c r="L103" s="31" t="n">
        <x:v>0.09513725890000001</x:v>
      </x:c>
      <x:c r="M103" s="31" t="n">
        <x:v>0</x:v>
      </x:c>
      <x:c r="N103" s="24" t="str">
        <x:v>osteichthyes</x:v>
      </x:c>
      <x:c r="O103" s="32" t="n">
        <x:v>3.79</x:v>
      </x:c>
      <x:c r="P103" s="24" t="str">
        <x:v>exact_sea_around_us</x:v>
      </x:c>
      <x:c r="Q103" s="32" t="str">
        <x:v>Sea Around Us exploited organisms</x:v>
      </x:c>
      <x:c r="R103" s="24" t="str">
        <x:v>high</x:v>
      </x:c>
      <x:c r="S103" s="24" t="str">
        <x:v>Osteichthyes</x:v>
      </x:c>
      <x:c r="T103" s="32" t="n">
        <x:f>IF(O103="","",(1/'Metadata'!$B$5)^(O103-1))</x:f>
        <x:v>616.5950018614822</x:v>
      </x:c>
      <x:c r="U103" s="31" t="n">
        <x:f>IF(T103="","",I103*T103)</x:f>
        <x:v>58.661158328541816</x:v>
      </x:c>
    </x:row>
    <x:row r="104" ht="18" customHeight="1">
      <x:c r="A104" s="24" t="str">
        <x:v>EEZ_056</x:v>
      </x:c>
      <x:c r="B104" s="24" t="str">
        <x:v>Belgium</x:v>
      </x:c>
      <x:c r="C104" s="24" t="str">
        <x:v>EEZ</x:v>
      </x:c>
      <x:c r="D104" s="30" t="n">
        <x:v>2019</x:v>
      </x:c>
      <x:c r="E104" s="24" t="str">
        <x:v>Octopus vulgaris</x:v>
      </x:c>
      <x:c r="F104" s="24" t="str">
        <x:v>Common octopus</x:v>
      </x:c>
      <x:c r="G104" s="24" t="str">
        <x:v>Cephalopods</x:v>
      </x:c>
      <x:c r="H104" s="24" t="str">
        <x:v>Other fishes &amp; inverts</x:v>
      </x:c>
      <x:c r="I104" s="31" t="n">
        <x:v>0.0934412793</x:v>
      </x:c>
      <x:c r="J104" s="31" t="n">
        <x:v>0.0934412793</x:v>
      </x:c>
      <x:c r="K104" s="31" t="n">
        <x:v>0</x:v>
      </x:c>
      <x:c r="L104" s="31" t="n">
        <x:v>0.0934412793</x:v>
      </x:c>
      <x:c r="M104" s="31" t="n">
        <x:v>0</x:v>
      </x:c>
      <x:c r="N104" s="24" t="str">
        <x:v>octopus vulgaris</x:v>
      </x:c>
      <x:c r="O104" s="32" t="n">
        <x:v>3.6</x:v>
      </x:c>
      <x:c r="P104" s="24" t="str">
        <x:v>exact_2020_supplement</x:v>
      </x:c>
      <x:c r="Q104" s="32" t="str">
        <x:v>2020 supplement MeanTL</x:v>
      </x:c>
      <x:c r="R104" s="24" t="str">
        <x:v>high</x:v>
      </x:c>
      <x:c r="S104" s="24" t="str">
        <x:v>Octopus vulgaris</x:v>
      </x:c>
      <x:c r="T104" s="32" t="n">
        <x:f>IF(O104="","",(1/'Metadata'!$B$5)^(O104-1))</x:f>
        <x:v>398.1071705534973</x:v>
      </x:c>
      <x:c r="U104" s="31" t="n">
        <x:f>IF(T104="","",I104*T104)</x:f>
        <x:v>37.19964331502208</x:v>
      </x:c>
    </x:row>
    <x:row r="105" ht="18" customHeight="1">
      <x:c r="A105" s="24" t="str">
        <x:v>EEZ_056</x:v>
      </x:c>
      <x:c r="B105" s="24" t="str">
        <x:v>Belgium</x:v>
      </x:c>
      <x:c r="C105" s="24" t="str">
        <x:v>EEZ</x:v>
      </x:c>
      <x:c r="D105" s="30" t="n">
        <x:v>2019</x:v>
      </x:c>
      <x:c r="E105" s="24" t="str">
        <x:v>Labridae</x:v>
      </x:c>
      <x:c r="F105" s="24" t="str">
        <x:v>Wrasses, gropers, tuskfishes</x:v>
      </x:c>
      <x:c r="G105" s="24" t="str">
        <x:v>Medium reef assoc. fish (30 - 89 cm)</x:v>
      </x:c>
      <x:c r="H105" s="24" t="str">
        <x:v>Perch-likes</x:v>
      </x:c>
      <x:c r="I105" s="31" t="n">
        <x:v>0.0496284766</x:v>
      </x:c>
      <x:c r="J105" s="31" t="n">
        <x:v>0.0496284766</x:v>
      </x:c>
      <x:c r="K105" s="31" t="n">
        <x:v>0</x:v>
      </x:c>
      <x:c r="L105" s="31" t="n">
        <x:v>0.0496284766</x:v>
      </x:c>
      <x:c r="M105" s="31" t="n">
        <x:v>0</x:v>
      </x:c>
      <x:c r="N105" s="24" t="str">
        <x:v>labridae</x:v>
      </x:c>
      <x:c r="O105" s="32" t="n">
        <x:v>3.46</x:v>
      </x:c>
      <x:c r="P105" s="24" t="str">
        <x:v>exact_sea_around_us</x:v>
      </x:c>
      <x:c r="Q105" s="32" t="str">
        <x:v>Sea Around Us exploited organisms</x:v>
      </x:c>
      <x:c r="R105" s="24" t="str">
        <x:v>high</x:v>
      </x:c>
      <x:c r="S105" s="24" t="str">
        <x:v>Labridae</x:v>
      </x:c>
      <x:c r="T105" s="32" t="n">
        <x:f>IF(O105="","",(1/'Metadata'!$B$5)^(O105-1))</x:f>
        <x:v>288.40315031266056</x:v>
      </x:c>
      <x:c r="U105" s="31" t="n">
        <x:f>IF(T105="","",I105*T105)</x:f>
        <x:v>14.313008996658157</x:v>
      </x:c>
    </x:row>
    <x:row r="106" ht="18" customHeight="1">
      <x:c r="A106" s="24" t="str">
        <x:v>EEZ_056</x:v>
      </x:c>
      <x:c r="B106" s="24" t="str">
        <x:v>Belgium</x:v>
      </x:c>
      <x:c r="C106" s="24" t="str">
        <x:v>EEZ</x:v>
      </x:c>
      <x:c r="D106" s="30" t="n">
        <x:v>2019</x:v>
      </x:c>
      <x:c r="E106" s="24" t="str">
        <x:v>Trachinus</x:v>
      </x:c>
      <x:c r="F106" s="24" t="str">
        <x:v>Weevers</x:v>
      </x:c>
      <x:c r="G106" s="24" t="str">
        <x:v>Medium demersals (30 - 89 cm)</x:v>
      </x:c>
      <x:c r="H106" s="24" t="str">
        <x:v>Perch-likes</x:v>
      </x:c>
      <x:c r="I106" s="31" t="n">
        <x:v>0.0375570384</x:v>
      </x:c>
      <x:c r="J106" s="31" t="n">
        <x:v>0.0375570384</x:v>
      </x:c>
      <x:c r="K106" s="31" t="n">
        <x:v>0</x:v>
      </x:c>
      <x:c r="L106" s="31" t="n">
        <x:v>0.0375570384</x:v>
      </x:c>
      <x:c r="M106" s="31" t="n">
        <x:v>0</x:v>
      </x:c>
      <x:c r="N106" s="24" t="str">
        <x:v>trachinus</x:v>
      </x:c>
      <x:c r="O106" s="32" t="n">
        <x:v>3.95</x:v>
      </x:c>
      <x:c r="P106" s="24" t="str">
        <x:v>exact_sea_around_us</x:v>
      </x:c>
      <x:c r="Q106" s="32" t="str">
        <x:v>Sea Around Us exploited organisms</x:v>
      </x:c>
      <x:c r="R106" s="24" t="str">
        <x:v>high</x:v>
      </x:c>
      <x:c r="S106" s="24" t="str">
        <x:v>Trachinus</x:v>
      </x:c>
      <x:c r="T106" s="32" t="n">
        <x:f>IF(O106="","",(1/'Metadata'!$B$5)^(O106-1))</x:f>
        <x:v>891.2509381337459</x:v>
      </x:c>
      <x:c r="U106" s="31" t="n">
        <x:f>IF(T106="","",I106*T106)</x:f>
        <x:v>33.47274570752512</x:v>
      </x:c>
    </x:row>
    <x:row r="107" ht="18" customHeight="1">
      <x:c r="A107" s="24" t="str">
        <x:v>EEZ_056</x:v>
      </x:c>
      <x:c r="B107" s="24" t="str">
        <x:v>Belgium</x:v>
      </x:c>
      <x:c r="C107" s="24" t="str">
        <x:v>EEZ</x:v>
      </x:c>
      <x:c r="D107" s="30" t="n">
        <x:v>2019</x:v>
      </x:c>
      <x:c r="E107" s="24" t="str">
        <x:v>Chondrichthyes</x:v>
      </x:c>
      <x:c r="F107" s="24" t="str">
        <x:v>Sharks, rays, chimaeras</x:v>
      </x:c>
      <x:c r="G107" s="24" t="str">
        <x:v>Large sharks (&gt;=90 cm)</x:v>
      </x:c>
      <x:c r="H107" s="24" t="str">
        <x:v>Sharks &amp; rays</x:v>
      </x:c>
      <x:c r="I107" s="31" t="n">
        <x:v>0.0369485271</x:v>
      </x:c>
      <x:c r="J107" s="31" t="n">
        <x:v>0.0369485271</x:v>
      </x:c>
      <x:c r="K107" s="31" t="n">
        <x:v>0</x:v>
      </x:c>
      <x:c r="L107" s="31" t="n">
        <x:v>0.0369485271</x:v>
      </x:c>
      <x:c r="M107" s="31" t="n">
        <x:v>0</x:v>
      </x:c>
      <x:c r="N107" s="24" t="str">
        <x:v>chondrichthyes</x:v>
      </x:c>
      <x:c r="O107" s="32" t="n">
        <x:v>4</x:v>
      </x:c>
      <x:c r="P107" s="24" t="str">
        <x:v>exact_sea_around_us</x:v>
      </x:c>
      <x:c r="Q107" s="32" t="str">
        <x:v>Sea Around Us exploited organisms</x:v>
      </x:c>
      <x:c r="R107" s="24" t="str">
        <x:v>high</x:v>
      </x:c>
      <x:c r="S107" s="24" t="str">
        <x:v>Chondrichthyes</x:v>
      </x:c>
      <x:c r="T107" s="32" t="n">
        <x:f>IF(O107="","",(1/'Metadata'!$B$5)^(O107-1))</x:f>
        <x:v>1000</x:v>
      </x:c>
      <x:c r="U107" s="31" t="n">
        <x:f>IF(T107="","",I107*T107)</x:f>
        <x:v>36.9485271</x:v>
      </x:c>
    </x:row>
    <x:row r="108" ht="18" customHeight="1">
      <x:c r="A108" s="24" t="str">
        <x:v>EEZ_056</x:v>
      </x:c>
      <x:c r="B108" s="24" t="str">
        <x:v>Belgium</x:v>
      </x:c>
      <x:c r="C108" s="24" t="str">
        <x:v>EEZ</x:v>
      </x:c>
      <x:c r="D108" s="30" t="n">
        <x:v>2019</x:v>
      </x:c>
      <x:c r="E108" s="24" t="str">
        <x:v>Mullus</x:v>
      </x:c>
      <x:c r="F108" s="24" t="str">
        <x:v>Atlantic goatfishes</x:v>
      </x:c>
      <x:c r="G108" s="24" t="str">
        <x:v>Medium demersals (30 - 89 cm)</x:v>
      </x:c>
      <x:c r="H108" s="24" t="str">
        <x:v>Perch-likes</x:v>
      </x:c>
      <x:c r="I108" s="31" t="n">
        <x:v>0.0252237451</x:v>
      </x:c>
      <x:c r="J108" s="31" t="n">
        <x:v>0.0252237451</x:v>
      </x:c>
      <x:c r="K108" s="31" t="n">
        <x:v>0</x:v>
      </x:c>
      <x:c r="L108" s="31" t="n">
        <x:v>0.0252237451</x:v>
      </x:c>
      <x:c r="M108" s="31" t="n">
        <x:v>0</x:v>
      </x:c>
      <x:c r="N108" s="24" t="str">
        <x:v>mullus</x:v>
      </x:c>
      <x:c r="O108" s="32" t="n">
        <x:v>3.29</x:v>
      </x:c>
      <x:c r="P108" s="24" t="str">
        <x:v>exact_sea_around_us</x:v>
      </x:c>
      <x:c r="Q108" s="32" t="str">
        <x:v>Sea Around Us exploited organisms</x:v>
      </x:c>
      <x:c r="R108" s="24" t="str">
        <x:v>high</x:v>
      </x:c>
      <x:c r="S108" s="24" t="str">
        <x:v>Mullus</x:v>
      </x:c>
      <x:c r="T108" s="32" t="n">
        <x:f>IF(O108="","",(1/'Metadata'!$B$5)^(O108-1))</x:f>
        <x:v>194.98445997580455</x:v>
      </x:c>
      <x:c r="U108" s="31" t="n">
        <x:f>IF(T108="","",I108*T108)</x:f>
        <x:v>4.918238316890847</x:v>
      </x:c>
    </x:row>
    <x:row r="109" ht="18" customHeight="1">
      <x:c r="A109" s="24" t="str">
        <x:v>EEZ_056</x:v>
      </x:c>
      <x:c r="B109" s="24" t="str">
        <x:v>Belgium</x:v>
      </x:c>
      <x:c r="C109" s="24" t="str">
        <x:v>EEZ</x:v>
      </x:c>
      <x:c r="D109" s="30" t="n">
        <x:v>2019</x:v>
      </x:c>
      <x:c r="E109" s="24" t="str">
        <x:v>Malacostraca</x:v>
      </x:c>
      <x:c r="F109" s="24" t="str">
        <x:v>Lobsters, crabs, shrimps, krill</x:v>
      </x:c>
      <x:c r="G109" s="24" t="str">
        <x:v>Shrimps</x:v>
      </x:c>
      <x:c r="H109" s="24" t="str">
        <x:v>Crustaceans</x:v>
      </x:c>
      <x:c r="I109" s="31" t="n">
        <x:v>0.021014841</x:v>
      </x:c>
      <x:c r="J109" s="31" t="n">
        <x:v>0.021014841</x:v>
      </x:c>
      <x:c r="K109" s="31" t="n">
        <x:v>0</x:v>
      </x:c>
      <x:c r="L109" s="31" t="n">
        <x:v>0.021014841</x:v>
      </x:c>
      <x:c r="M109" s="31" t="n">
        <x:v>0</x:v>
      </x:c>
      <x:c r="N109" s="24" t="str">
        <x:v>malacostraca</x:v>
      </x:c>
      <x:c r="O109" s="32" t="n">
        <x:v>3</x:v>
      </x:c>
      <x:c r="P109" s="24" t="str">
        <x:v>exact_sea_around_us</x:v>
      </x:c>
      <x:c r="Q109" s="32" t="str">
        <x:v>Sea Around Us exploited organisms</x:v>
      </x:c>
      <x:c r="R109" s="24" t="str">
        <x:v>high</x:v>
      </x:c>
      <x:c r="S109" s="24" t="str">
        <x:v>Malacostraca</x:v>
      </x:c>
      <x:c r="T109" s="32" t="n">
        <x:f>IF(O109="","",(1/'Metadata'!$B$5)^(O109-1))</x:f>
        <x:v>100</x:v>
      </x:c>
      <x:c r="U109" s="31" t="n">
        <x:f>IF(T109="","",I109*T109)</x:f>
        <x:v>2.1014841</x:v>
      </x:c>
    </x:row>
    <x:row r="110" ht="18" customHeight="1">
      <x:c r="A110" s="24" t="str">
        <x:v>EEZ_056</x:v>
      </x:c>
      <x:c r="B110" s="24" t="str">
        <x:v>Belgium</x:v>
      </x:c>
      <x:c r="C110" s="24" t="str">
        <x:v>EEZ</x:v>
      </x:c>
      <x:c r="D110" s="30" t="n">
        <x:v>2019</x:v>
      </x:c>
      <x:c r="E110" s="24" t="str">
        <x:v>Sepiidae</x:v>
      </x:c>
      <x:c r="F110" s="24" t="str">
        <x:v>Cuttlefishes</x:v>
      </x:c>
      <x:c r="G110" s="24" t="str">
        <x:v>Cephalopods</x:v>
      </x:c>
      <x:c r="H110" s="24" t="str">
        <x:v>Other fishes &amp; inverts</x:v>
      </x:c>
      <x:c r="I110" s="31" t="n">
        <x:v>0.0190589472</x:v>
      </x:c>
      <x:c r="J110" s="31" t="n">
        <x:v>0.0190589472</x:v>
      </x:c>
      <x:c r="K110" s="31" t="n">
        <x:v>0</x:v>
      </x:c>
      <x:c r="L110" s="31" t="n">
        <x:v>0.0190589472</x:v>
      </x:c>
      <x:c r="M110" s="31" t="n">
        <x:v>0</x:v>
      </x:c>
      <x:c r="N110" s="24" t="str">
        <x:v>sepiidae</x:v>
      </x:c>
      <x:c r="O110" s="32" t="n">
        <x:v>3.6</x:v>
      </x:c>
      <x:c r="P110" s="24" t="str">
        <x:v>exact_sea_around_us</x:v>
      </x:c>
      <x:c r="Q110" s="32" t="str">
        <x:v>Sea Around Us exploited organisms</x:v>
      </x:c>
      <x:c r="R110" s="24" t="str">
        <x:v>high</x:v>
      </x:c>
      <x:c r="S110" s="24" t="str">
        <x:v>Sepiidae</x:v>
      </x:c>
      <x:c r="T110" s="32" t="n">
        <x:f>IF(O110="","",(1/'Metadata'!$B$5)^(O110-1))</x:f>
        <x:v>398.1071705534973</x:v>
      </x:c>
      <x:c r="U110" s="31" t="n">
        <x:f>IF(T110="","",I110*T110)</x:f>
        <x:v>7.5875035435205</x:v>
      </x:c>
    </x:row>
    <x:row r="111" ht="18" customHeight="1">
      <x:c r="A111" s="24" t="str">
        <x:v>EEZ_056</x:v>
      </x:c>
      <x:c r="B111" s="24" t="str">
        <x:v>Belgium</x:v>
      </x:c>
      <x:c r="C111" s="24" t="str">
        <x:v>EEZ</x:v>
      </x:c>
      <x:c r="D111" s="30" t="n">
        <x:v>2019</x:v>
      </x:c>
      <x:c r="E111" s="24" t="str">
        <x:v>Mugilidae</x:v>
      </x:c>
      <x:c r="F111" s="24" t="str">
        <x:v>Mullets, grey mullets</x:v>
      </x:c>
      <x:c r="G111" s="24" t="str">
        <x:v>Medium reef assoc. fish (30 - 89 cm)</x:v>
      </x:c>
      <x:c r="H111" s="24" t="str">
        <x:v>Perch-likes</x:v>
      </x:c>
      <x:c r="I111" s="31" t="n">
        <x:v>0.0184967781</x:v>
      </x:c>
      <x:c r="J111" s="31" t="n">
        <x:v>0.0184967781</x:v>
      </x:c>
      <x:c r="K111" s="31" t="n">
        <x:v>0</x:v>
      </x:c>
      <x:c r="L111" s="31" t="n">
        <x:v>0.0184967781</x:v>
      </x:c>
      <x:c r="M111" s="31" t="n">
        <x:v>0</x:v>
      </x:c>
      <x:c r="N111" s="24" t="str">
        <x:v>mugilidae</x:v>
      </x:c>
      <x:c r="O111" s="32" t="n">
        <x:v>2.53</x:v>
      </x:c>
      <x:c r="P111" s="24" t="str">
        <x:v>exact_sea_around_us</x:v>
      </x:c>
      <x:c r="Q111" s="32" t="str">
        <x:v>Sea Around Us exploited organisms</x:v>
      </x:c>
      <x:c r="R111" s="24" t="str">
        <x:v>high</x:v>
      </x:c>
      <x:c r="S111" s="24" t="str">
        <x:v>Mugilidae</x:v>
      </x:c>
      <x:c r="T111" s="32" t="n">
        <x:f>IF(O111="","",(1/'Metadata'!$B$5)^(O111-1))</x:f>
        <x:v>33.88441561392024</x:v>
      </x:c>
      <x:c r="U111" s="31" t="n">
        <x:f>IF(T111="","",I111*T111)</x:f>
        <x:v>0.6267525166588579</x:v>
      </x:c>
    </x:row>
    <x:row r="112" ht="18" customHeight="1">
      <x:c r="A112" s="24" t="str">
        <x:v>EEZ_056</x:v>
      </x:c>
      <x:c r="B112" s="24" t="str">
        <x:v>Belgium</x:v>
      </x:c>
      <x:c r="C112" s="24" t="str">
        <x:v>EEZ</x:v>
      </x:c>
      <x:c r="D112" s="30" t="n">
        <x:v>2019</x:v>
      </x:c>
      <x:c r="E112" s="24" t="str">
        <x:v>Rutilus rutilus</x:v>
      </x:c>
      <x:c r="F112" s="24" t="str">
        <x:v>Roach</x:v>
      </x:c>
      <x:c r="G112" s="24" t="str">
        <x:v>Medium benthopelagics (30 - 89 cm)</x:v>
      </x:c>
      <x:c r="H112" s="24" t="str">
        <x:v>Other fishes &amp; inverts</x:v>
      </x:c>
      <x:c r="I112" s="31" t="n">
        <x:v>0.0179806901</x:v>
      </x:c>
      <x:c r="J112" s="31" t="n">
        <x:v>0.0179806901</x:v>
      </x:c>
      <x:c r="K112" s="31" t="n">
        <x:v>0</x:v>
      </x:c>
      <x:c r="L112" s="31" t="n">
        <x:v>0.0179806901</x:v>
      </x:c>
      <x:c r="M112" s="31" t="n">
        <x:v>0</x:v>
      </x:c>
      <x:c r="N112" s="24" t="str">
        <x:v>rutilus rutilus</x:v>
      </x:c>
      <x:c r="O112" s="32" t="n">
        <x:v>2.96</x:v>
      </x:c>
      <x:c r="P112" s="24" t="str">
        <x:v>exact_2020_supplement</x:v>
      </x:c>
      <x:c r="Q112" s="32" t="str">
        <x:v>2020 supplement MeanTL</x:v>
      </x:c>
      <x:c r="R112" s="24" t="str">
        <x:v>high</x:v>
      </x:c>
      <x:c r="S112" s="24" t="str">
        <x:v>Rutilus rutilus</x:v>
      </x:c>
      <x:c r="T112" s="32" t="n">
        <x:f>IF(O112="","",(1/'Metadata'!$B$5)^(O112-1))</x:f>
        <x:v>91.20108393559097</x:v>
      </x:c>
      <x:c r="U112" s="31" t="n">
        <x:f>IF(T112="","",I112*T112)</x:f>
        <x:v>1.6398584270299494</x:v>
      </x:c>
    </x:row>
    <x:row r="113" ht="18" customHeight="1">
      <x:c r="A113" s="24" t="str">
        <x:v>EEZ_056</x:v>
      </x:c>
      <x:c r="B113" s="24" t="str">
        <x:v>Belgium</x:v>
      </x:c>
      <x:c r="C113" s="24" t="str">
        <x:v>EEZ</x:v>
      </x:c>
      <x:c r="D113" s="30" t="n">
        <x:v>2019</x:v>
      </x:c>
      <x:c r="E113" s="24" t="str">
        <x:v>Mercenaria mercenaria</x:v>
      </x:c>
      <x:c r="F113" s="24" t="str">
        <x:v>Northern quahog</x:v>
      </x:c>
      <x:c r="G113" s="24" t="str">
        <x:v>Other demersal invertebrates</x:v>
      </x:c>
      <x:c r="H113" s="24" t="str">
        <x:v>Molluscs</x:v>
      </x:c>
      <x:c r="I113" s="31" t="n">
        <x:v>0.015038608</x:v>
      </x:c>
      <x:c r="J113" s="31" t="n">
        <x:v>0.015038608</x:v>
      </x:c>
      <x:c r="K113" s="31" t="n">
        <x:v>0</x:v>
      </x:c>
      <x:c r="L113" s="31" t="n">
        <x:v>0.015038608</x:v>
      </x:c>
      <x:c r="M113" s="31" t="n">
        <x:v>0</x:v>
      </x:c>
      <x:c r="N113" s="24" t="str">
        <x:v>mercenaria mercenaria</x:v>
      </x:c>
      <x:c r="O113" s="32" t="n">
        <x:v>2</x:v>
      </x:c>
      <x:c r="P113" s="24" t="str">
        <x:v>exact_sea_around_us</x:v>
      </x:c>
      <x:c r="Q113" s="32" t="str">
        <x:v>Sea Around Us exploited organisms</x:v>
      </x:c>
      <x:c r="R113" s="24" t="str">
        <x:v>high</x:v>
      </x:c>
      <x:c r="S113" s="24" t="str">
        <x:v>Mercenaria mercenaria</x:v>
      </x:c>
      <x:c r="T113" s="32" t="n">
        <x:f>IF(O113="","",(1/'Metadata'!$B$5)^(O113-1))</x:f>
        <x:v>10</x:v>
      </x:c>
      <x:c r="U113" s="31" t="n">
        <x:f>IF(T113="","",I113*T113)</x:f>
        <x:v>0.15038608</x:v>
      </x:c>
    </x:row>
    <x:row r="114" ht="18" customHeight="1">
      <x:c r="A114" s="24" t="str">
        <x:v>EEZ_056</x:v>
      </x:c>
      <x:c r="B114" s="24" t="str">
        <x:v>Belgium</x:v>
      </x:c>
      <x:c r="C114" s="24" t="str">
        <x:v>EEZ</x:v>
      </x:c>
      <x:c r="D114" s="30" t="n">
        <x:v>2019</x:v>
      </x:c>
      <x:c r="E114" s="24" t="str">
        <x:v>Squalus acanthias</x:v>
      </x:c>
      <x:c r="F114" s="24" t="str">
        <x:v>Picked dogfish</x:v>
      </x:c>
      <x:c r="G114" s="24" t="str">
        <x:v>Large sharks (&gt;=90 cm)</x:v>
      </x:c>
      <x:c r="H114" s="24" t="str">
        <x:v>Sharks &amp; rays</x:v>
      </x:c>
      <x:c r="I114" s="31" t="n">
        <x:v>0.0141791679</x:v>
      </x:c>
      <x:c r="J114" s="31" t="n">
        <x:v>0.0141721586</x:v>
      </x:c>
      <x:c r="K114" s="31" t="n">
        <x:v>0.0000070093</x:v>
      </x:c>
      <x:c r="L114" s="31" t="n">
        <x:v>0.0141721586</x:v>
      </x:c>
      <x:c r="M114" s="31" t="n">
        <x:v>0.0000070093</x:v>
      </x:c>
      <x:c r="N114" s="24" t="str">
        <x:v>squalus acanthias</x:v>
      </x:c>
      <x:c r="O114" s="32" t="n">
        <x:v>4.37</x:v>
      </x:c>
      <x:c r="P114" s="24" t="str">
        <x:v>exact_2020_supplement</x:v>
      </x:c>
      <x:c r="Q114" s="32" t="str">
        <x:v>2020 supplement MeanTL</x:v>
      </x:c>
      <x:c r="R114" s="24" t="str">
        <x:v>high</x:v>
      </x:c>
      <x:c r="S114" s="24" t="str">
        <x:v>Squalus acanthias</x:v>
      </x:c>
      <x:c r="T114" s="32" t="n">
        <x:f>IF(O114="","",(1/'Metadata'!$B$5)^(O114-1))</x:f>
        <x:v>2344.228815319923</x:v>
      </x:c>
      <x:c r="U114" s="31" t="n">
        <x:f>IF(T114="","",I114*T114)</x:f>
        <x:v>33.23921396843928</x:v>
      </x:c>
    </x:row>
    <x:row r="115" ht="18" customHeight="1">
      <x:c r="A115" s="24" t="str">
        <x:v>EEZ_056</x:v>
      </x:c>
      <x:c r="B115" s="24" t="str">
        <x:v>Belgium</x:v>
      </x:c>
      <x:c r="C115" s="24" t="str">
        <x:v>EEZ</x:v>
      </x:c>
      <x:c r="D115" s="30" t="n">
        <x:v>2019</x:v>
      </x:c>
      <x:c r="E115" s="24" t="str">
        <x:v>Scyliorhinidae</x:v>
      </x:c>
      <x:c r="F115" s="24" t="str">
        <x:v>Cat/swellsharks</x:v>
      </x:c>
      <x:c r="G115" s="24" t="str">
        <x:v>Large sharks (&gt;=90 cm)</x:v>
      </x:c>
      <x:c r="H115" s="24" t="str">
        <x:v>Sharks &amp; rays</x:v>
      </x:c>
      <x:c r="I115" s="31" t="n">
        <x:v>0.0124523398</x:v>
      </x:c>
      <x:c r="J115" s="31" t="n">
        <x:v>0.0124523398</x:v>
      </x:c>
      <x:c r="K115" s="31" t="n">
        <x:v>0</x:v>
      </x:c>
      <x:c r="L115" s="31" t="n">
        <x:v>0.0124523398</x:v>
      </x:c>
      <x:c r="M115" s="31" t="n">
        <x:v>0</x:v>
      </x:c>
      <x:c r="N115" s="24" t="str">
        <x:v>scyliorhinidae</x:v>
      </x:c>
      <x:c r="O115" s="32" t="n">
        <x:v>3.97</x:v>
      </x:c>
      <x:c r="P115" s="24" t="str">
        <x:v>exact_sea_around_us</x:v>
      </x:c>
      <x:c r="Q115" s="32" t="str">
        <x:v>Sea Around Us exploited organisms</x:v>
      </x:c>
      <x:c r="R115" s="24" t="str">
        <x:v>high</x:v>
      </x:c>
      <x:c r="S115" s="24" t="str">
        <x:v>Scyliorhinidae</x:v>
      </x:c>
      <x:c r="T115" s="32" t="n">
        <x:f>IF(O115="","",(1/'Metadata'!$B$5)^(O115-1))</x:f>
        <x:v>933.2543007969915</x:v>
      </x:c>
      <x:c r="U115" s="31" t="n">
        <x:f>IF(T115="","",I115*T115)</x:f>
        <x:v>11.62119967333555</x:v>
      </x:c>
    </x:row>
    <x:row r="116" ht="18" customHeight="1">
      <x:c r="A116" s="24" t="str">
        <x:v>EEZ_056</x:v>
      </x:c>
      <x:c r="B116" s="24" t="str">
        <x:v>Belgium</x:v>
      </x:c>
      <x:c r="C116" s="24" t="str">
        <x:v>EEZ</x:v>
      </x:c>
      <x:c r="D116" s="30" t="n">
        <x:v>2019</x:v>
      </x:c>
      <x:c r="E116" s="24" t="str">
        <x:v>Mustelus asterias</x:v>
      </x:c>
      <x:c r="F116" s="24" t="str">
        <x:v>Starry smooth-hound</x:v>
      </x:c>
      <x:c r="G116" s="24" t="str">
        <x:v>Large sharks (&gt;=90 cm)</x:v>
      </x:c>
      <x:c r="H116" s="24" t="str">
        <x:v>Sharks &amp; rays</x:v>
      </x:c>
      <x:c r="I116" s="31" t="n">
        <x:v>0.008102595800000001</x:v>
      </x:c>
      <x:c r="J116" s="31" t="n">
        <x:v>0.008102595800000001</x:v>
      </x:c>
      <x:c r="K116" s="31" t="n">
        <x:v>0</x:v>
      </x:c>
      <x:c r="L116" s="31" t="n">
        <x:v>0.008102595800000001</x:v>
      </x:c>
      <x:c r="M116" s="31" t="n">
        <x:v>0</x:v>
      </x:c>
      <x:c r="N116" s="24" t="str">
        <x:v>mustelus asterias</x:v>
      </x:c>
      <x:c r="O116" s="32" t="n">
        <x:v>3.62</x:v>
      </x:c>
      <x:c r="P116" s="24" t="str">
        <x:v>exact_2020_supplement</x:v>
      </x:c>
      <x:c r="Q116" s="32" t="str">
        <x:v>2020 supplement MeanTL</x:v>
      </x:c>
      <x:c r="R116" s="24" t="str">
        <x:v>high</x:v>
      </x:c>
      <x:c r="S116" s="24" t="str">
        <x:v>Mustelus asterias</x:v>
      </x:c>
      <x:c r="T116" s="32" t="n">
        <x:f>IF(O116="","",(1/'Metadata'!$B$5)^(O116-1))</x:f>
        <x:v>416.8693834703355</x:v>
      </x:c>
      <x:c r="U116" s="31" t="n">
        <x:f>IF(T116="","",I116*T116)</x:f>
        <x:v>3.3777241156553304</x:v>
      </x:c>
    </x:row>
    <x:row r="117" ht="18" customHeight="1">
      <x:c r="A117" s="24" t="str">
        <x:v>EEZ_056</x:v>
      </x:c>
      <x:c r="B117" s="24" t="str">
        <x:v>Belgium</x:v>
      </x:c>
      <x:c r="C117" s="24" t="str">
        <x:v>EEZ</x:v>
      </x:c>
      <x:c r="D117" s="30" t="n">
        <x:v>2019</x:v>
      </x:c>
      <x:c r="E117" s="24" t="str">
        <x:v>Mugil cephalus</x:v>
      </x:c>
      <x:c r="F117" s="24" t="str">
        <x:v>Flathead grey mullet</x:v>
      </x:c>
      <x:c r="G117" s="24" t="str">
        <x:v>Large benthopelagics (&gt;=90 cm)</x:v>
      </x:c>
      <x:c r="H117" s="24" t="str">
        <x:v>Perch-likes</x:v>
      </x:c>
      <x:c r="I117" s="31" t="n">
        <x:v>0.0048171881000000005</x:v>
      </x:c>
      <x:c r="J117" s="31" t="n">
        <x:v>0.0048171881000000005</x:v>
      </x:c>
      <x:c r="K117" s="31" t="n">
        <x:v>0</x:v>
      </x:c>
      <x:c r="L117" s="31" t="n">
        <x:v>0.0048171881000000005</x:v>
      </x:c>
      <x:c r="M117" s="31" t="n">
        <x:v>0</x:v>
      </x:c>
      <x:c r="N117" s="24" t="str">
        <x:v>mugil cephalus</x:v>
      </x:c>
      <x:c r="O117" s="32" t="n">
        <x:v>2.14</x:v>
      </x:c>
      <x:c r="P117" s="24" t="str">
        <x:v>exact_2020_supplement</x:v>
      </x:c>
      <x:c r="Q117" s="32" t="str">
        <x:v>2020 supplement MeanTL</x:v>
      </x:c>
      <x:c r="R117" s="24" t="str">
        <x:v>high</x:v>
      </x:c>
      <x:c r="S117" s="24" t="str">
        <x:v>Mugil cephalus</x:v>
      </x:c>
      <x:c r="T117" s="32" t="n">
        <x:f>IF(O117="","",(1/'Metadata'!$B$5)^(O117-1))</x:f>
        <x:v>13.803842646028853</x:v>
      </x:c>
      <x:c r="U117" s="31" t="n">
        <x:f>IF(T117="","",I117*T117)</x:f>
        <x:v>0.0664957065287227</x:v>
      </x:c>
    </x:row>
    <x:row r="118" ht="18" customHeight="1">
      <x:c r="A118" s="24" t="str">
        <x:v>EEZ_056</x:v>
      </x:c>
      <x:c r="B118" s="24" t="str">
        <x:v>Belgium</x:v>
      </x:c>
      <x:c r="C118" s="24" t="str">
        <x:v>EEZ</x:v>
      </x:c>
      <x:c r="D118" s="30" t="n">
        <x:v>2019</x:v>
      </x:c>
      <x:c r="E118" s="24" t="str">
        <x:v>Echinoidea</x:v>
      </x:c>
      <x:c r="F118" s="24" t="str">
        <x:v>Sea urchins, sea hedgehogs</x:v>
      </x:c>
      <x:c r="G118" s="24" t="str">
        <x:v>Other demersal invertebrates</x:v>
      </x:c>
      <x:c r="H118" s="24" t="str">
        <x:v>Other fishes &amp; inverts</x:v>
      </x:c>
      <x:c r="I118" s="31" t="n">
        <x:v>0.0043329856</x:v>
      </x:c>
      <x:c r="J118" s="31" t="n">
        <x:v>0.0043329856</x:v>
      </x:c>
      <x:c r="K118" s="31" t="n">
        <x:v>0</x:v>
      </x:c>
      <x:c r="L118" s="31" t="n">
        <x:v>0.0043329856</x:v>
      </x:c>
      <x:c r="M118" s="31" t="n">
        <x:v>0</x:v>
      </x:c>
      <x:c r="N118" s="24" t="str">
        <x:v>echinoidea</x:v>
      </x:c>
      <x:c r="O118" s="32" t="n">
        <x:v>2.51</x:v>
      </x:c>
      <x:c r="P118" s="24" t="str">
        <x:v>exact_sea_around_us</x:v>
      </x:c>
      <x:c r="Q118" s="32" t="str">
        <x:v>Sea Around Us exploited organisms</x:v>
      </x:c>
      <x:c r="R118" s="24" t="str">
        <x:v>high</x:v>
      </x:c>
      <x:c r="S118" s="24" t="str">
        <x:v>Echinoidea</x:v>
      </x:c>
      <x:c r="T118" s="32" t="n">
        <x:f>IF(O118="","",(1/'Metadata'!$B$5)^(O118-1))</x:f>
        <x:v>32.35936569296281</x:v>
      </x:c>
      <x:c r="U118" s="31" t="n">
        <x:f>IF(T118="","",I118*T118)</x:f>
        <x:v>0.1402126655727419</x:v>
      </x:c>
    </x:row>
    <x:row r="119" ht="18" customHeight="1">
      <x:c r="A119" s="24" t="str">
        <x:v>EEZ_056</x:v>
      </x:c>
      <x:c r="B119" s="24" t="str">
        <x:v>Belgium</x:v>
      </x:c>
      <x:c r="C119" s="24" t="str">
        <x:v>EEZ</x:v>
      </x:c>
      <x:c r="D119" s="30" t="n">
        <x:v>2019</x:v>
      </x:c>
      <x:c r="E119" s="24" t="str">
        <x:v>Leucoraja naevus</x:v>
      </x:c>
      <x:c r="F119" s="24" t="str">
        <x:v>Cuckoo ray</x:v>
      </x:c>
      <x:c r="G119" s="24" t="str">
        <x:v>Small to medium rays (&lt;90 cm)</x:v>
      </x:c>
      <x:c r="H119" s="24" t="str">
        <x:v>Sharks &amp; rays</x:v>
      </x:c>
      <x:c r="I119" s="31" t="n">
        <x:v>0.0037070460000000003</x:v>
      </x:c>
      <x:c r="J119" s="31" t="n">
        <x:v>0.0037070460000000003</x:v>
      </x:c>
      <x:c r="K119" s="31" t="n">
        <x:v>0</x:v>
      </x:c>
      <x:c r="L119" s="31" t="n">
        <x:v>0.0037070460000000003</x:v>
      </x:c>
      <x:c r="M119" s="31" t="n">
        <x:v>0</x:v>
      </x:c>
      <x:c r="N119" s="24" t="str">
        <x:v>leucoraja naevus</x:v>
      </x:c>
      <x:c r="O119" s="32" t="n">
        <x:v>4.21</x:v>
      </x:c>
      <x:c r="P119" s="24" t="str">
        <x:v>exact_2020_supplement</x:v>
      </x:c>
      <x:c r="Q119" s="32" t="str">
        <x:v>2020 supplement MeanTL</x:v>
      </x:c>
      <x:c r="R119" s="24" t="str">
        <x:v>high</x:v>
      </x:c>
      <x:c r="S119" s="24" t="str">
        <x:v>Leucoraja naevus</x:v>
      </x:c>
      <x:c r="T119" s="32" t="n">
        <x:f>IF(O119="","",(1/'Metadata'!$B$5)^(O119-1))</x:f>
        <x:v>1621.8100973589299</x:v>
      </x:c>
      <x:c r="U119" s="31" t="n">
        <x:f>IF(T119="","",I119*T119)</x:f>
        <x:v>6.0121246341740315</x:v>
      </x:c>
    </x:row>
    <x:row r="120" ht="18" customHeight="1">
      <x:c r="A120" s="24" t="str">
        <x:v>EEZ_056</x:v>
      </x:c>
      <x:c r="B120" s="24" t="str">
        <x:v>Belgium</x:v>
      </x:c>
      <x:c r="C120" s="24" t="str">
        <x:v>EEZ</x:v>
      </x:c>
      <x:c r="D120" s="30" t="n">
        <x:v>2019</x:v>
      </x:c>
      <x:c r="E120" s="24" t="str">
        <x:v>Engraulis encrasicolus</x:v>
      </x:c>
      <x:c r="F120" s="24" t="str">
        <x:v>European anchovy</x:v>
      </x:c>
      <x:c r="G120" s="24" t="str">
        <x:v>Small pelagics (&lt;30 cm)</x:v>
      </x:c>
      <x:c r="H120" s="24" t="str">
        <x:v>Anchovies</x:v>
      </x:c>
      <x:c r="I120" s="31" t="n">
        <x:v>0.0028653886999999998</x:v>
      </x:c>
      <x:c r="J120" s="31" t="n">
        <x:v>0.0028653886999999998</x:v>
      </x:c>
      <x:c r="K120" s="31" t="n">
        <x:v>0</x:v>
      </x:c>
      <x:c r="L120" s="31" t="n">
        <x:v>0.0028653886999999998</x:v>
      </x:c>
      <x:c r="M120" s="31" t="n">
        <x:v>0</x:v>
      </x:c>
      <x:c r="N120" s="24" t="str">
        <x:v>engraulis encrasicolus</x:v>
      </x:c>
      <x:c r="O120" s="32" t="n">
        <x:v>3.11</x:v>
      </x:c>
      <x:c r="P120" s="24" t="str">
        <x:v>exact_2020_supplement</x:v>
      </x:c>
      <x:c r="Q120" s="32" t="str">
        <x:v>2020 supplement MeanTL</x:v>
      </x:c>
      <x:c r="R120" s="24" t="str">
        <x:v>high</x:v>
      </x:c>
      <x:c r="S120" s="24" t="str">
        <x:v>Engraulis encrasicolus</x:v>
      </x:c>
      <x:c r="T120" s="32" t="n">
        <x:f>IF(O120="","",(1/'Metadata'!$B$5)^(O120-1))</x:f>
        <x:v>128.82495516931337</x:v>
      </x:c>
      <x:c r="U120" s="31" t="n">
        <x:f>IF(T120="","",I120*T120)</x:f>
        <x:v>0.3691335708201571</x:v>
      </x:c>
    </x:row>
    <x:row r="121" ht="18" customHeight="1">
      <x:c r="A121" s="24" t="str">
        <x:v>EEZ_056</x:v>
      </x:c>
      <x:c r="B121" s="24" t="str">
        <x:v>Belgium</x:v>
      </x:c>
      <x:c r="C121" s="24" t="str">
        <x:v>EEZ</x:v>
      </x:c>
      <x:c r="D121" s="30" t="n">
        <x:v>2019</x:v>
      </x:c>
      <x:c r="E121" s="24" t="str">
        <x:v>Sparus aurata</x:v>
      </x:c>
      <x:c r="F121" s="24" t="str">
        <x:v>Gilthead seabream</x:v>
      </x:c>
      <x:c r="G121" s="24" t="str">
        <x:v>Medium demersals (30 - 89 cm)</x:v>
      </x:c>
      <x:c r="H121" s="24" t="str">
        <x:v>Perch-likes</x:v>
      </x:c>
      <x:c r="I121" s="31" t="n">
        <x:v>0.0028159523999999997</x:v>
      </x:c>
      <x:c r="J121" s="31" t="n">
        <x:v>0.0028159523999999997</x:v>
      </x:c>
      <x:c r="K121" s="31" t="n">
        <x:v>0</x:v>
      </x:c>
      <x:c r="L121" s="31" t="n">
        <x:v>0.0028159523999999997</x:v>
      </x:c>
      <x:c r="M121" s="31" t="n">
        <x:v>0</x:v>
      </x:c>
      <x:c r="N121" s="24" t="str">
        <x:v>sparus aurata</x:v>
      </x:c>
      <x:c r="O121" s="32" t="n">
        <x:v>3.7</x:v>
      </x:c>
      <x:c r="P121" s="24" t="str">
        <x:v>exact_2020_supplement</x:v>
      </x:c>
      <x:c r="Q121" s="32" t="str">
        <x:v>2020 supplement MeanTL</x:v>
      </x:c>
      <x:c r="R121" s="24" t="str">
        <x:v>high</x:v>
      </x:c>
      <x:c r="S121" s="24" t="str">
        <x:v>Sparus aurata</x:v>
      </x:c>
      <x:c r="T121" s="32" t="n">
        <x:f>IF(O121="","",(1/'Metadata'!$B$5)^(O121-1))</x:f>
        <x:v>501.18723362727246</x:v>
      </x:c>
      <x:c r="U121" s="31" t="n">
        <x:f>IF(T121="","",I121*T121)</x:f>
        <x:v>1.4113193933820785</x:v>
      </x:c>
    </x:row>
    <x:row r="122" ht="18" customHeight="1">
      <x:c r="A122" s="24" t="str">
        <x:v>EEZ_056</x:v>
      </x:c>
      <x:c r="B122" s="24" t="str">
        <x:v>Belgium</x:v>
      </x:c>
      <x:c r="C122" s="24" t="str">
        <x:v>EEZ</x:v>
      </x:c>
      <x:c r="D122" s="30" t="n">
        <x:v>2019</x:v>
      </x:c>
      <x:c r="E122" s="24" t="str">
        <x:v>Necora puber</x:v>
      </x:c>
      <x:c r="F122" s="24" t="str">
        <x:v>Velvet swimcrab</x:v>
      </x:c>
      <x:c r="G122" s="24" t="str">
        <x:v>Lobsters, crabs</x:v>
      </x:c>
      <x:c r="H122" s="24" t="str">
        <x:v>Crustaceans</x:v>
      </x:c>
      <x:c r="I122" s="31" t="n">
        <x:v>0.0024714024</x:v>
      </x:c>
      <x:c r="J122" s="31" t="n">
        <x:v>0.0024714024</x:v>
      </x:c>
      <x:c r="K122" s="31" t="n">
        <x:v>0</x:v>
      </x:c>
      <x:c r="L122" s="31" t="n">
        <x:v>0.0024714024</x:v>
      </x:c>
      <x:c r="M122" s="31" t="n">
        <x:v>0</x:v>
      </x:c>
      <x:c r="N122" s="24" t="str">
        <x:v>necora puber</x:v>
      </x:c>
      <x:c r="O122" s="32" t="n">
        <x:v>2.6</x:v>
      </x:c>
      <x:c r="P122" s="24" t="str">
        <x:v>exact_sea_around_us</x:v>
      </x:c>
      <x:c r="Q122" s="32" t="str">
        <x:v>Sea Around Us exploited organisms</x:v>
      </x:c>
      <x:c r="R122" s="24" t="str">
        <x:v>high</x:v>
      </x:c>
      <x:c r="S122" s="24" t="str">
        <x:v>Necora puber</x:v>
      </x:c>
      <x:c r="T122" s="32" t="n">
        <x:f>IF(O122="","",(1/'Metadata'!$B$5)^(O122-1))</x:f>
        <x:v>39.810717055349734</x:v>
      </x:c>
      <x:c r="U122" s="31" t="n">
        <x:f>IF(T122="","",I122*T122)</x:f>
        <x:v>0.09838830167631225</x:v>
      </x:c>
    </x:row>
    <x:row r="123" ht="18" customHeight="1">
      <x:c r="A123" s="24" t="str">
        <x:v>EEZ_056</x:v>
      </x:c>
      <x:c r="B123" s="24" t="str">
        <x:v>Belgium</x:v>
      </x:c>
      <x:c r="C123" s="24" t="str">
        <x:v>EEZ</x:v>
      </x:c>
      <x:c r="D123" s="30" t="n">
        <x:v>2019</x:v>
      </x:c>
      <x:c r="E123" s="24" t="str">
        <x:v>Littorina littorea</x:v>
      </x:c>
      <x:c r="F123" s="24" t="str">
        <x:v>Common periwinkle</x:v>
      </x:c>
      <x:c r="G123" s="24" t="str">
        <x:v>Other demersal invertebrates</x:v>
      </x:c>
      <x:c r="H123" s="24" t="str">
        <x:v>Molluscs</x:v>
      </x:c>
      <x:c r="I123" s="31" t="n">
        <x:v>0.0023937559000000003</x:v>
      </x:c>
      <x:c r="J123" s="31" t="n">
        <x:v>0.0023937559000000003</x:v>
      </x:c>
      <x:c r="K123" s="31" t="n">
        <x:v>0</x:v>
      </x:c>
      <x:c r="L123" s="31" t="n">
        <x:v>0.0023937559000000003</x:v>
      </x:c>
      <x:c r="M123" s="31" t="n">
        <x:v>0</x:v>
      </x:c>
      <x:c r="N123" s="24" t="str">
        <x:v>littorina littorea</x:v>
      </x:c>
      <x:c r="O123" s="32" t="n">
        <x:v>2</x:v>
      </x:c>
      <x:c r="P123" s="24" t="str">
        <x:v>exact_2020_supplement</x:v>
      </x:c>
      <x:c r="Q123" s="32" t="str">
        <x:v>2020 supplement MeanTL</x:v>
      </x:c>
      <x:c r="R123" s="24" t="str">
        <x:v>high</x:v>
      </x:c>
      <x:c r="S123" s="24" t="str">
        <x:v>Littorina littorea</x:v>
      </x:c>
      <x:c r="T123" s="32" t="n">
        <x:f>IF(O123="","",(1/'Metadata'!$B$5)^(O123-1))</x:f>
        <x:v>10</x:v>
      </x:c>
      <x:c r="U123" s="31" t="n">
        <x:f>IF(T123="","",I123*T123)</x:f>
        <x:v>0.023937559000000004</x:v>
      </x:c>
    </x:row>
    <x:row r="124" ht="18" customHeight="1">
      <x:c r="A124" s="24" t="str">
        <x:v>EEZ_056</x:v>
      </x:c>
      <x:c r="B124" s="24" t="str">
        <x:v>Belgium</x:v>
      </x:c>
      <x:c r="C124" s="24" t="str">
        <x:v>EEZ</x:v>
      </x:c>
      <x:c r="D124" s="30" t="n">
        <x:v>2019</x:v>
      </x:c>
      <x:c r="E124" s="24" t="str">
        <x:v>Dasyatis pastinaca</x:v>
      </x:c>
      <x:c r="F124" s="24" t="str">
        <x:v>Common stingray</x:v>
      </x:c>
      <x:c r="G124" s="24" t="str">
        <x:v>Large rays (&gt;=90 cm)</x:v>
      </x:c>
      <x:c r="H124" s="24" t="str">
        <x:v>Sharks &amp; rays</x:v>
      </x:c>
      <x:c r="I124" s="31" t="n">
        <x:v>0.0022407297999999997</x:v>
      </x:c>
      <x:c r="J124" s="31" t="n">
        <x:v>0.0022407297999999997</x:v>
      </x:c>
      <x:c r="K124" s="31" t="n">
        <x:v>0</x:v>
      </x:c>
      <x:c r="L124" s="31" t="n">
        <x:v>0.0022407297999999997</x:v>
      </x:c>
      <x:c r="M124" s="31" t="n">
        <x:v>0</x:v>
      </x:c>
      <x:c r="N124" s="24" t="str">
        <x:v>dasyatis pastinaca</x:v>
      </x:c>
      <x:c r="O124" s="32" t="n">
        <x:v>4.05</x:v>
      </x:c>
      <x:c r="P124" s="24" t="str">
        <x:v>exact_2020_supplement</x:v>
      </x:c>
      <x:c r="Q124" s="32" t="str">
        <x:v>2020 supplement MeanTL</x:v>
      </x:c>
      <x:c r="R124" s="24" t="str">
        <x:v>high</x:v>
      </x:c>
      <x:c r="S124" s="24" t="str">
        <x:v>Dasyatis pastinaca</x:v>
      </x:c>
      <x:c r="T124" s="32" t="n">
        <x:f>IF(O124="","",(1/'Metadata'!$B$5)^(O124-1))</x:f>
        <x:v>1122.018454301963</x:v>
      </x:c>
      <x:c r="U124" s="31" t="n">
        <x:f>IF(T124="","",I124*T124)</x:f>
        <x:v>2.5141401867043465</x:v>
      </x:c>
    </x:row>
    <x:row r="125" ht="18" customHeight="1">
      <x:c r="A125" s="24" t="str">
        <x:v>EEZ_056</x:v>
      </x:c>
      <x:c r="B125" s="24" t="str">
        <x:v>Belgium</x:v>
      </x:c>
      <x:c r="C125" s="24" t="str">
        <x:v>EEZ</x:v>
      </x:c>
      <x:c r="D125" s="30" t="n">
        <x:v>2019</x:v>
      </x:c>
      <x:c r="E125" s="24" t="str">
        <x:v>Pleuronectiformes</x:v>
      </x:c>
      <x:c r="F125" s="24" t="str">
        <x:v>Flatfishes</x:v>
      </x:c>
      <x:c r="G125" s="24" t="str">
        <x:v>Small to medium flatfishes (&lt;90 cm)</x:v>
      </x:c>
      <x:c r="H125" s="24" t="str">
        <x:v>Flatfishes</x:v>
      </x:c>
      <x:c r="I125" s="31" t="n">
        <x:v>0.002051043</x:v>
      </x:c>
      <x:c r="J125" s="31" t="n">
        <x:v>0.002051043</x:v>
      </x:c>
      <x:c r="K125" s="31" t="n">
        <x:v>0</x:v>
      </x:c>
      <x:c r="L125" s="31" t="n">
        <x:v>0.002051043</x:v>
      </x:c>
      <x:c r="M125" s="31" t="n">
        <x:v>0</x:v>
      </x:c>
      <x:c r="N125" s="24" t="str">
        <x:v>pleuronectiformes</x:v>
      </x:c>
      <x:c r="O125" s="32" t="n">
        <x:v>3.57</x:v>
      </x:c>
      <x:c r="P125" s="24" t="str">
        <x:v>exact_sea_around_us</x:v>
      </x:c>
      <x:c r="Q125" s="32" t="str">
        <x:v>Sea Around Us exploited organisms</x:v>
      </x:c>
      <x:c r="R125" s="24" t="str">
        <x:v>high</x:v>
      </x:c>
      <x:c r="S125" s="24" t="str">
        <x:v>Pleuronectiformes</x:v>
      </x:c>
      <x:c r="T125" s="32" t="n">
        <x:f>IF(O125="","",(1/'Metadata'!$B$5)^(O125-1))</x:f>
        <x:v>371.5352290971724</x:v>
      </x:c>
      <x:c r="U125" s="31" t="n">
        <x:f>IF(T125="","",I125*T125)</x:f>
        <x:v>0.7620347308931518</x:v>
      </x:c>
    </x:row>
    <x:row r="126" ht="18" customHeight="1">
      <x:c r="A126" s="24" t="str">
        <x:v>EEZ_056</x:v>
      </x:c>
      <x:c r="B126" s="24" t="str">
        <x:v>Belgium</x:v>
      </x:c>
      <x:c r="C126" s="24" t="str">
        <x:v>EEZ</x:v>
      </x:c>
      <x:c r="D126" s="30" t="n">
        <x:v>2019</x:v>
      </x:c>
      <x:c r="E126" s="24" t="str">
        <x:v>Aequipecten opercularis</x:v>
      </x:c>
      <x:c r="F126" s="24" t="str">
        <x:v>Queen scallop</x:v>
      </x:c>
      <x:c r="G126" s="24" t="str">
        <x:v>Other demersal invertebrates</x:v>
      </x:c>
      <x:c r="H126" s="24" t="str">
        <x:v>Molluscs</x:v>
      </x:c>
      <x:c r="I126" s="31" t="n">
        <x:v>0.0018570487</x:v>
      </x:c>
      <x:c r="J126" s="31" t="n">
        <x:v>0.0018570487</x:v>
      </x:c>
      <x:c r="K126" s="31" t="n">
        <x:v>0</x:v>
      </x:c>
      <x:c r="L126" s="31" t="n">
        <x:v>0.0018570487</x:v>
      </x:c>
      <x:c r="M126" s="31" t="n">
        <x:v>0</x:v>
      </x:c>
      <x:c r="N126" s="24" t="str">
        <x:v>aequipecten opercularis</x:v>
      </x:c>
      <x:c r="O126" s="32" t="n">
        <x:v>2</x:v>
      </x:c>
      <x:c r="P126" s="24" t="str">
        <x:v>exact_2020_supplement</x:v>
      </x:c>
      <x:c r="Q126" s="32" t="str">
        <x:v>2020 supplement MeanTL</x:v>
      </x:c>
      <x:c r="R126" s="24" t="str">
        <x:v>high</x:v>
      </x:c>
      <x:c r="S126" s="24" t="str">
        <x:v>Aequipecten opercularis</x:v>
      </x:c>
      <x:c r="T126" s="32" t="n">
        <x:f>IF(O126="","",(1/'Metadata'!$B$5)^(O126-1))</x:f>
        <x:v>10</x:v>
      </x:c>
      <x:c r="U126" s="31" t="n">
        <x:f>IF(T126="","",I126*T126)</x:f>
        <x:v>0.018570487</x:v>
      </x:c>
    </x:row>
    <x:row r="127" ht="18" customHeight="1">
      <x:c r="A127" s="24" t="str">
        <x:v>EEZ_056</x:v>
      </x:c>
      <x:c r="B127" s="24" t="str">
        <x:v>Belgium</x:v>
      </x:c>
      <x:c r="C127" s="24" t="str">
        <x:v>EEZ</x:v>
      </x:c>
      <x:c r="D127" s="30" t="n">
        <x:v>2019</x:v>
      </x:c>
      <x:c r="E127" s="24" t="str">
        <x:v>Scardinius erythrophthalmus</x:v>
      </x:c>
      <x:c r="F127" s="24" t="str">
        <x:v>Rudd</x:v>
      </x:c>
      <x:c r="G127" s="24" t="str">
        <x:v>Medium benthopelagics (30 - 89 cm)</x:v>
      </x:c>
      <x:c r="H127" s="24" t="str">
        <x:v>Other fishes &amp; inverts</x:v>
      </x:c>
      <x:c r="I127" s="31" t="n">
        <x:v>0.001782948</x:v>
      </x:c>
      <x:c r="J127" s="31" t="n">
        <x:v>0.001782948</x:v>
      </x:c>
      <x:c r="K127" s="31" t="n">
        <x:v>0</x:v>
      </x:c>
      <x:c r="L127" s="31" t="n">
        <x:v>0.001782948</x:v>
      </x:c>
      <x:c r="M127" s="31" t="n">
        <x:v>0</x:v>
      </x:c>
      <x:c r="N127" s="24" t="str">
        <x:v>scardinius erythrophthalmus</x:v>
      </x:c>
      <x:c r="O127" s="32" t="n">
        <x:v>2.89</x:v>
      </x:c>
      <x:c r="P127" s="24" t="str">
        <x:v>exact_2020_supplement</x:v>
      </x:c>
      <x:c r="Q127" s="32" t="str">
        <x:v>2020 supplement MeanTL</x:v>
      </x:c>
      <x:c r="R127" s="24" t="str">
        <x:v>high</x:v>
      </x:c>
      <x:c r="S127" s="24" t="str">
        <x:v>Scardinius erythrophthalmus</x:v>
      </x:c>
      <x:c r="T127" s="32" t="n">
        <x:f>IF(O127="","",(1/'Metadata'!$B$5)^(O127-1))</x:f>
        <x:v>77.6247116628692</x:v>
      </x:c>
      <x:c r="U127" s="31" t="n">
        <x:f>IF(T127="","",I127*T127)</x:f>
        <x:v>0.13840082440988932</x:v>
      </x:c>
    </x:row>
    <x:row r="128" ht="18" customHeight="1">
      <x:c r="A128" s="24" t="str">
        <x:v>EEZ_056</x:v>
      </x:c>
      <x:c r="B128" s="24" t="str">
        <x:v>Belgium</x:v>
      </x:c>
      <x:c r="C128" s="24" t="str">
        <x:v>EEZ</x:v>
      </x:c>
      <x:c r="D128" s="30" t="n">
        <x:v>2019</x:v>
      </x:c>
      <x:c r="E128" s="24" t="str">
        <x:v>Alopias vulpinus</x:v>
      </x:c>
      <x:c r="F128" s="24" t="str">
        <x:v>Thresher</x:v>
      </x:c>
      <x:c r="G128" s="24" t="str">
        <x:v>Large sharks (&gt;=90 cm)</x:v>
      </x:c>
      <x:c r="H128" s="24" t="str">
        <x:v>Sharks &amp; rays</x:v>
      </x:c>
      <x:c r="I128" s="31" t="n">
        <x:v>0.0016832444</x:v>
      </x:c>
      <x:c r="J128" s="31" t="n">
        <x:v>0.0016832444</x:v>
      </x:c>
      <x:c r="K128" s="31" t="n">
        <x:v>0</x:v>
      </x:c>
      <x:c r="L128" s="31" t="n">
        <x:v>0.0016832444</x:v>
      </x:c>
      <x:c r="M128" s="31" t="n">
        <x:v>0</x:v>
      </x:c>
      <x:c r="N128" s="24" t="str">
        <x:v>alopias vulpinus</x:v>
      </x:c>
      <x:c r="O128" s="32" t="n">
        <x:v>4.5</x:v>
      </x:c>
      <x:c r="P128" s="24" t="str">
        <x:v>exact_2020_supplement</x:v>
      </x:c>
      <x:c r="Q128" s="32" t="str">
        <x:v>2020 supplement MeanTL</x:v>
      </x:c>
      <x:c r="R128" s="24" t="str">
        <x:v>high</x:v>
      </x:c>
      <x:c r="S128" s="24" t="str">
        <x:v>Alopias vulpinus</x:v>
      </x:c>
      <x:c r="T128" s="32" t="n">
        <x:f>IF(O128="","",(1/'Metadata'!$B$5)^(O128-1))</x:f>
        <x:v>3162.2776601683795</x:v>
      </x:c>
      <x:c r="U128" s="31" t="n">
        <x:f>IF(T128="","",I128*T128)</x:f>
        <x:v>5.3228861627235275</x:v>
      </x:c>
    </x:row>
    <x:row r="129" ht="18" customHeight="1">
      <x:c r="A129" s="24" t="str">
        <x:v>EEZ_056</x:v>
      </x:c>
      <x:c r="B129" s="24" t="str">
        <x:v>Belgium</x:v>
      </x:c>
      <x:c r="C129" s="24" t="str">
        <x:v>EEZ</x:v>
      </x:c>
      <x:c r="D129" s="30" t="n">
        <x:v>2019</x:v>
      </x:c>
      <x:c r="E129" s="24" t="str">
        <x:v>Esox lucius</x:v>
      </x:c>
      <x:c r="F129" s="24" t="str">
        <x:v>Northern pike</x:v>
      </x:c>
      <x:c r="G129" s="24" t="str">
        <x:v>Large demersals (&gt;=90 cm)</x:v>
      </x:c>
      <x:c r="H129" s="24" t="str">
        <x:v>Salmon, smelts, etc</x:v>
      </x:c>
      <x:c r="I129" s="31" t="n">
        <x:v>0.0016677278</x:v>
      </x:c>
      <x:c r="J129" s="31" t="n">
        <x:v>0.0016677278</x:v>
      </x:c>
      <x:c r="K129" s="31" t="n">
        <x:v>0</x:v>
      </x:c>
      <x:c r="L129" s="31" t="n">
        <x:v>0.0016677278</x:v>
      </x:c>
      <x:c r="M129" s="31" t="n">
        <x:v>0</x:v>
      </x:c>
      <x:c r="N129" s="24" t="str">
        <x:v>esox lucius</x:v>
      </x:c>
      <x:c r="O129" s="32" t="n">
        <x:v>4.07</x:v>
      </x:c>
      <x:c r="P129" s="24" t="str">
        <x:v>exact_2020_supplement</x:v>
      </x:c>
      <x:c r="Q129" s="32" t="str">
        <x:v>2020 supplement MeanTL</x:v>
      </x:c>
      <x:c r="R129" s="24" t="str">
        <x:v>high</x:v>
      </x:c>
      <x:c r="S129" s="24" t="str">
        <x:v>Esox lucius</x:v>
      </x:c>
      <x:c r="T129" s="32" t="n">
        <x:f>IF(O129="","",(1/'Metadata'!$B$5)^(O129-1))</x:f>
        <x:v>1174.8975549395302</x:v>
      </x:c>
      <x:c r="U129" s="31" t="n">
        <x:f>IF(T129="","",I129*T129)</x:f>
        <x:v>1.9594093145246818</x:v>
      </x:c>
    </x:row>
    <x:row r="130" ht="18" customHeight="1">
      <x:c r="A130" s="24" t="str">
        <x:v>EEZ_056</x:v>
      </x:c>
      <x:c r="B130" s="24" t="str">
        <x:v>Belgium</x:v>
      </x:c>
      <x:c r="C130" s="24" t="str">
        <x:v>EEZ</x:v>
      </x:c>
      <x:c r="D130" s="30" t="n">
        <x:v>2019</x:v>
      </x:c>
      <x:c r="E130" s="24" t="str">
        <x:v>Labrus bergylta</x:v>
      </x:c>
      <x:c r="F130" s="24" t="str">
        <x:v>Ballan wrasse</x:v>
      </x:c>
      <x:c r="G130" s="24" t="str">
        <x:v>Medium reef assoc. fish (30 - 89 cm)</x:v>
      </x:c>
      <x:c r="H130" s="24" t="str">
        <x:v>Perch-likes</x:v>
      </x:c>
      <x:c r="I130" s="31" t="n">
        <x:v>0.0015123515999999999</x:v>
      </x:c>
      <x:c r="J130" s="31" t="n">
        <x:v>0.0015123515999999999</x:v>
      </x:c>
      <x:c r="K130" s="31" t="n">
        <x:v>0</x:v>
      </x:c>
      <x:c r="L130" s="31" t="n">
        <x:v>0.0015123515999999999</x:v>
      </x:c>
      <x:c r="M130" s="31" t="n">
        <x:v>0</x:v>
      </x:c>
      <x:c r="N130" s="24" t="str">
        <x:v>labrus bergylta</x:v>
      </x:c>
      <x:c r="O130" s="32" t="n">
        <x:v>3.2</x:v>
      </x:c>
      <x:c r="P130" s="24" t="str">
        <x:v>exact_2020_supplement</x:v>
      </x:c>
      <x:c r="Q130" s="32" t="str">
        <x:v>2020 supplement MeanTL</x:v>
      </x:c>
      <x:c r="R130" s="24" t="str">
        <x:v>high</x:v>
      </x:c>
      <x:c r="S130" s="24" t="str">
        <x:v>Labrus bergylta</x:v>
      </x:c>
      <x:c r="T130" s="32" t="n">
        <x:f>IF(O130="","",(1/'Metadata'!$B$5)^(O130-1))</x:f>
        <x:v>158.48931924611142</x:v>
      </x:c>
      <x:c r="U130" s="31" t="n">
        <x:f>IF(T130="","",I130*T130)</x:f>
        <x:v>0.2396915755447674</x:v>
      </x:c>
    </x:row>
    <x:row r="131" ht="18" customHeight="1">
      <x:c r="A131" s="24" t="str">
        <x:v>EEZ_056</x:v>
      </x:c>
      <x:c r="B131" s="24" t="str">
        <x:v>Belgium</x:v>
      </x:c>
      <x:c r="C131" s="24" t="str">
        <x:v>EEZ</x:v>
      </x:c>
      <x:c r="D131" s="30" t="n">
        <x:v>2019</x:v>
      </x:c>
      <x:c r="E131" s="24" t="str">
        <x:v>Todarodes sagittatus</x:v>
      </x:c>
      <x:c r="F131" s="24" t="str">
        <x:v>European flying squid</x:v>
      </x:c>
      <x:c r="G131" s="24" t="str">
        <x:v>Cephalopods</x:v>
      </x:c>
      <x:c r="H131" s="24" t="str">
        <x:v>Other fishes &amp; inverts</x:v>
      </x:c>
      <x:c r="I131" s="31" t="n">
        <x:v>0.0014662333999999999</x:v>
      </x:c>
      <x:c r="J131" s="31" t="n">
        <x:v>0.0014662333999999999</x:v>
      </x:c>
      <x:c r="K131" s="31" t="n">
        <x:v>0</x:v>
      </x:c>
      <x:c r="L131" s="31" t="n">
        <x:v>0.0014662333999999999</x:v>
      </x:c>
      <x:c r="M131" s="31" t="n">
        <x:v>0</x:v>
      </x:c>
      <x:c r="N131" s="24" t="str">
        <x:v>todarodes sagittatus</x:v>
      </x:c>
      <x:c r="O131" s="32" t="n">
        <x:v>4.01</x:v>
      </x:c>
      <x:c r="P131" s="24" t="str">
        <x:v>exact_2020_supplement</x:v>
      </x:c>
      <x:c r="Q131" s="32" t="str">
        <x:v>2020 supplement MeanTL</x:v>
      </x:c>
      <x:c r="R131" s="24" t="str">
        <x:v>high</x:v>
      </x:c>
      <x:c r="S131" s="24" t="str">
        <x:v>Todarodes sagittatus</x:v>
      </x:c>
      <x:c r="T131" s="32" t="n">
        <x:f>IF(O131="","",(1/'Metadata'!$B$5)^(O131-1))</x:f>
        <x:v>1023.2929922807537</x:v>
      </x:c>
      <x:c r="U131" s="31" t="n">
        <x:f>IF(T131="","",I131*T131)</x:f>
        <x:v>1.500386363267983</x:v>
      </x:c>
    </x:row>
    <x:row r="132" ht="18" customHeight="1">
      <x:c r="A132" s="24" t="str">
        <x:v>EEZ_056</x:v>
      </x:c>
      <x:c r="B132" s="24" t="str">
        <x:v>Belgium</x:v>
      </x:c>
      <x:c r="C132" s="24" t="str">
        <x:v>EEZ</x:v>
      </x:c>
      <x:c r="D132" s="30" t="n">
        <x:v>2019</x:v>
      </x:c>
      <x:c r="E132" s="24" t="str">
        <x:v>Palinuridae</x:v>
      </x:c>
      <x:c r="F132" s="24" t="str">
        <x:v>Spiny lobsters</x:v>
      </x:c>
      <x:c r="G132" s="24" t="str">
        <x:v>Lobsters, crabs</x:v>
      </x:c>
      <x:c r="H132" s="24" t="str">
        <x:v>Crustaceans</x:v>
      </x:c>
      <x:c r="I132" s="31" t="n">
        <x:v>0.0014196427999999999</x:v>
      </x:c>
      <x:c r="J132" s="31" t="n">
        <x:v>0.0014196427999999999</x:v>
      </x:c>
      <x:c r="K132" s="31" t="n">
        <x:v>0</x:v>
      </x:c>
      <x:c r="L132" s="31" t="n">
        <x:v>0.0014196427999999999</x:v>
      </x:c>
      <x:c r="M132" s="31" t="n">
        <x:v>0</x:v>
      </x:c>
      <x:c r="N132" s="24" t="str">
        <x:v>palinuridae</x:v>
      </x:c>
      <x:c r="O132" s="32" t="n">
        <x:v>3.14</x:v>
      </x:c>
      <x:c r="P132" s="24" t="str">
        <x:v>exact_sea_around_us</x:v>
      </x:c>
      <x:c r="Q132" s="32" t="str">
        <x:v>Sea Around Us exploited organisms</x:v>
      </x:c>
      <x:c r="R132" s="24" t="str">
        <x:v>high</x:v>
      </x:c>
      <x:c r="S132" s="24" t="str">
        <x:v>Palinuridae</x:v>
      </x:c>
      <x:c r="T132" s="32" t="n">
        <x:f>IF(O132="","",(1/'Metadata'!$B$5)^(O132-1))</x:f>
        <x:v>138.03842646028852</x:v>
      </x:c>
      <x:c r="U132" s="31" t="n">
        <x:f>IF(T132="","",I132*T132)</x:f>
        <x:v>0.19596525824767808</x:v>
      </x:c>
    </x:row>
    <x:row r="133" ht="18" customHeight="1">
      <x:c r="A133" s="24" t="str">
        <x:v>EEZ_056</x:v>
      </x:c>
      <x:c r="B133" s="24" t="str">
        <x:v>Belgium</x:v>
      </x:c>
      <x:c r="C133" s="24" t="str">
        <x:v>EEZ</x:v>
      </x:c>
      <x:c r="D133" s="30" t="n">
        <x:v>2019</x:v>
      </x:c>
      <x:c r="E133" s="24" t="str">
        <x:v>Galeorhinus galeus</x:v>
      </x:c>
      <x:c r="F133" s="24" t="str">
        <x:v>Tope shark</x:v>
      </x:c>
      <x:c r="G133" s="24" t="str">
        <x:v>Large sharks (&gt;=90 cm)</x:v>
      </x:c>
      <x:c r="H133" s="24" t="str">
        <x:v>Sharks &amp; rays</x:v>
      </x:c>
      <x:c r="I133" s="31" t="n">
        <x:v>0.0013651919999999999</x:v>
      </x:c>
      <x:c r="J133" s="31" t="n">
        <x:v>0.0013651919999999999</x:v>
      </x:c>
      <x:c r="K133" s="31" t="n">
        <x:v>0</x:v>
      </x:c>
      <x:c r="L133" s="31" t="n">
        <x:v>0.0013651919999999999</x:v>
      </x:c>
      <x:c r="M133" s="31" t="n">
        <x:v>0</x:v>
      </x:c>
      <x:c r="N133" s="24" t="str">
        <x:v>galeorhinus galeus</x:v>
      </x:c>
      <x:c r="O133" s="32" t="n">
        <x:v>4.34</x:v>
      </x:c>
      <x:c r="P133" s="24" t="str">
        <x:v>exact_2020_supplement</x:v>
      </x:c>
      <x:c r="Q133" s="32" t="str">
        <x:v>2020 supplement MeanTL</x:v>
      </x:c>
      <x:c r="R133" s="24" t="str">
        <x:v>high</x:v>
      </x:c>
      <x:c r="S133" s="24" t="str">
        <x:v>Galeorhinus galeus</x:v>
      </x:c>
      <x:c r="T133" s="32" t="n">
        <x:f>IF(O133="","",(1/'Metadata'!$B$5)^(O133-1))</x:f>
        <x:v>2187.761623949552</x:v>
      </x:c>
      <x:c r="U133" s="31" t="n">
        <x:f>IF(T133="","",I133*T133)</x:f>
        <x:v>2.9867146669229365</x:v>
      </x:c>
    </x:row>
    <x:row r="134" ht="18" customHeight="1">
      <x:c r="A134" s="24" t="str">
        <x:v>EEZ_056</x:v>
      </x:c>
      <x:c r="B134" s="24" t="str">
        <x:v>Belgium</x:v>
      </x:c>
      <x:c r="C134" s="24" t="str">
        <x:v>EEZ</x:v>
      </x:c>
      <x:c r="D134" s="30" t="n">
        <x:v>2019</x:v>
      </x:c>
      <x:c r="E134" s="24" t="str">
        <x:v>Mugil</x:v>
      </x:c>
      <x:c r="F134" s="24" t="str">
        <x:v>Grey mullets</x:v>
      </x:c>
      <x:c r="G134" s="24" t="str">
        <x:v>Medium demersals (30 - 89 cm)</x:v>
      </x:c>
      <x:c r="H134" s="24" t="str">
        <x:v>Perch-likes</x:v>
      </x:c>
      <x:c r="I134" s="31" t="n">
        <x:v>0.0010943928</x:v>
      </x:c>
      <x:c r="J134" s="31" t="n">
        <x:v>0.0010943928</x:v>
      </x:c>
      <x:c r="K134" s="31" t="n">
        <x:v>0</x:v>
      </x:c>
      <x:c r="L134" s="31" t="n">
        <x:v>0.0010943928</x:v>
      </x:c>
      <x:c r="M134" s="31" t="n">
        <x:v>0</x:v>
      </x:c>
      <x:c r="N134" s="24" t="str">
        <x:v>mugil</x:v>
      </x:c>
      <x:c r="O134" s="32" t="n">
        <x:v>2.26</x:v>
      </x:c>
      <x:c r="P134" s="24" t="str">
        <x:v>exact_sea_around_us</x:v>
      </x:c>
      <x:c r="Q134" s="32" t="str">
        <x:v>Sea Around Us exploited organisms</x:v>
      </x:c>
      <x:c r="R134" s="24" t="str">
        <x:v>high</x:v>
      </x:c>
      <x:c r="S134" s="24" t="str">
        <x:v>Mugil</x:v>
      </x:c>
      <x:c r="T134" s="32" t="n">
        <x:f>IF(O134="","",(1/'Metadata'!$B$5)^(O134-1))</x:f>
        <x:v>18.197008586099827</x:v>
      </x:c>
      <x:c r="U134" s="31" t="n">
        <x:f>IF(T134="","",I134*T134)</x:f>
        <x:v>0.019914675178165833</x:v>
      </x:c>
    </x:row>
    <x:row r="135" ht="18" customHeight="1">
      <x:c r="A135" s="24" t="str">
        <x:v>EEZ_056</x:v>
      </x:c>
      <x:c r="B135" s="24" t="str">
        <x:v>Belgium</x:v>
      </x:c>
      <x:c r="C135" s="24" t="str">
        <x:v>EEZ</x:v>
      </x:c>
      <x:c r="D135" s="30" t="n">
        <x:v>2019</x:v>
      </x:c>
      <x:c r="E135" s="24" t="str">
        <x:v>Sparidae</x:v>
      </x:c>
      <x:c r="F135" s="24" t="str">
        <x:v>Porgies, seabreams</x:v>
      </x:c>
      <x:c r="G135" s="24" t="str">
        <x:v>Medium benthopelagics (30 - 89 cm)</x:v>
      </x:c>
      <x:c r="H135" s="24" t="str">
        <x:v>Perch-likes</x:v>
      </x:c>
      <x:c r="I135" s="31" t="n">
        <x:v>0.0009642912999999999</x:v>
      </x:c>
      <x:c r="J135" s="31" t="n">
        <x:v>0.0009642912999999999</x:v>
      </x:c>
      <x:c r="K135" s="31" t="n">
        <x:v>0</x:v>
      </x:c>
      <x:c r="L135" s="31" t="n">
        <x:v>0.0009642912999999999</x:v>
      </x:c>
      <x:c r="M135" s="31" t="n">
        <x:v>0</x:v>
      </x:c>
      <x:c r="N135" s="24" t="str">
        <x:v>sparidae</x:v>
      </x:c>
      <x:c r="O135" s="32" t="n">
        <x:v>3.31</x:v>
      </x:c>
      <x:c r="P135" s="24" t="str">
        <x:v>exact_sea_around_us</x:v>
      </x:c>
      <x:c r="Q135" s="32" t="str">
        <x:v>Sea Around Us exploited organisms</x:v>
      </x:c>
      <x:c r="R135" s="24" t="str">
        <x:v>high</x:v>
      </x:c>
      <x:c r="S135" s="24" t="str">
        <x:v>Sparidae</x:v>
      </x:c>
      <x:c r="T135" s="32" t="n">
        <x:f>IF(O135="","",(1/'Metadata'!$B$5)^(O135-1))</x:f>
        <x:v>204.17379446695296</x:v>
      </x:c>
      <x:c r="U135" s="31" t="n">
        <x:f>IF(T135="","",I135*T135)</x:f>
        <x:v>0.19688301369247085</x:v>
      </x:c>
    </x:row>
    <x:row r="136" ht="18" customHeight="1">
      <x:c r="A136" s="24" t="str">
        <x:v>EEZ_056</x:v>
      </x:c>
      <x:c r="B136" s="24" t="str">
        <x:v>Belgium</x:v>
      </x:c>
      <x:c r="C136" s="24" t="str">
        <x:v>EEZ</x:v>
      </x:c>
      <x:c r="D136" s="30" t="n">
        <x:v>2019</x:v>
      </x:c>
      <x:c r="E136" s="24" t="str">
        <x:v>Microchirus variegatus</x:v>
      </x:c>
      <x:c r="F136" s="24" t="str">
        <x:v>Thickback sole</x:v>
      </x:c>
      <x:c r="G136" s="24" t="str">
        <x:v>Small to medium flatfishes (&lt;90 cm)</x:v>
      </x:c>
      <x:c r="H136" s="24" t="str">
        <x:v>Flatfishes</x:v>
      </x:c>
      <x:c r="I136" s="31" t="n">
        <x:v>0.0008094686</x:v>
      </x:c>
      <x:c r="J136" s="31" t="n">
        <x:v>0.0008094686</x:v>
      </x:c>
      <x:c r="K136" s="31" t="n">
        <x:v>0</x:v>
      </x:c>
      <x:c r="L136" s="31" t="n">
        <x:v>0.0008094686</x:v>
      </x:c>
      <x:c r="M136" s="31" t="n">
        <x:v>0</x:v>
      </x:c>
      <x:c r="N136" s="24" t="str">
        <x:v>microchirus variegatus</x:v>
      </x:c>
      <x:c r="O136" s="32" t="n">
        <x:v>3.28</x:v>
      </x:c>
      <x:c r="P136" s="24" t="str">
        <x:v>exact_2020_supplement</x:v>
      </x:c>
      <x:c r="Q136" s="32" t="str">
        <x:v>2020 supplement MeanTL</x:v>
      </x:c>
      <x:c r="R136" s="24" t="str">
        <x:v>high</x:v>
      </x:c>
      <x:c r="S136" s="24" t="str">
        <x:v>Microchirus variegatus</x:v>
      </x:c>
      <x:c r="T136" s="32" t="n">
        <x:f>IF(O136="","",(1/'Metadata'!$B$5)^(O136-1))</x:f>
        <x:v>190.54607179632464</x:v>
      </x:c>
      <x:c r="U136" s="31" t="n">
        <x:f>IF(T136="","",I136*T136)</x:f>
        <x:v>0.1542410619724704</x:v>
      </x:c>
    </x:row>
    <x:row r="137" ht="18" customHeight="1">
      <x:c r="A137" s="24" t="str">
        <x:v>EEZ_056</x:v>
      </x:c>
      <x:c r="B137" s="24" t="str">
        <x:v>Belgium</x:v>
      </x:c>
      <x:c r="C137" s="24" t="str">
        <x:v>EEZ</x:v>
      </x:c>
      <x:c r="D137" s="30" t="n">
        <x:v>2019</x:v>
      </x:c>
      <x:c r="E137" s="24" t="str">
        <x:v>Chelidonichthys lastoviza</x:v>
      </x:c>
      <x:c r="F137" s="24" t="str">
        <x:v>Streaked gurnard</x:v>
      </x:c>
      <x:c r="G137" s="24" t="str">
        <x:v>Medium demersals (30 - 89 cm)</x:v>
      </x:c>
      <x:c r="H137" s="24" t="str">
        <x:v>Scorpionfishes</x:v>
      </x:c>
      <x:c r="I137" s="31" t="n">
        <x:v>0.0004563044</x:v>
      </x:c>
      <x:c r="J137" s="31" t="n">
        <x:v>0.0004563044</x:v>
      </x:c>
      <x:c r="K137" s="31" t="n">
        <x:v>0</x:v>
      </x:c>
      <x:c r="L137" s="31" t="n">
        <x:v>0.0004563044</x:v>
      </x:c>
      <x:c r="M137" s="31" t="n">
        <x:v>0</x:v>
      </x:c>
      <x:c r="N137" s="24" t="str">
        <x:v>chelidonichthys lastoviza</x:v>
      </x:c>
      <x:c r="O137" s="32" t="n">
        <x:v>3.49</x:v>
      </x:c>
      <x:c r="P137" s="24" t="str">
        <x:v>exact_sea_around_us</x:v>
      </x:c>
      <x:c r="Q137" s="32" t="str">
        <x:v>Sea Around Us exploited organisms</x:v>
      </x:c>
      <x:c r="R137" s="24" t="str">
        <x:v>high</x:v>
      </x:c>
      <x:c r="S137" s="24" t="str">
        <x:v>Chelidonichthys lastoviza</x:v>
      </x:c>
      <x:c r="T137" s="32" t="n">
        <x:f>IF(O137="","",(1/'Metadata'!$B$5)^(O137-1))</x:f>
        <x:v>309.0295432513592</x:v>
      </x:c>
      <x:c r="U137" s="31" t="n">
        <x:f>IF(T137="","",I137*T137)</x:f>
        <x:v>0.14101154031558552</x:v>
      </x:c>
    </x:row>
    <x:row r="138" ht="18" customHeight="1">
      <x:c r="A138" s="24" t="str">
        <x:v>EEZ_056</x:v>
      </x:c>
      <x:c r="B138" s="24" t="str">
        <x:v>Belgium</x:v>
      </x:c>
      <x:c r="C138" s="24" t="str">
        <x:v>EEZ</x:v>
      </x:c>
      <x:c r="D138" s="30" t="n">
        <x:v>2019</x:v>
      </x:c>
      <x:c r="E138" s="24" t="str">
        <x:v>Alosa fallax</x:v>
      </x:c>
      <x:c r="F138" s="24" t="str">
        <x:v>Twaite shad</x:v>
      </x:c>
      <x:c r="G138" s="24" t="str">
        <x:v>Medium pelagics (30 - 89 cm)</x:v>
      </x:c>
      <x:c r="H138" s="24" t="str">
        <x:v>Herring-likes</x:v>
      </x:c>
      <x:c r="I138" s="31" t="n">
        <x:v>0.00044144979999999996</x:v>
      </x:c>
      <x:c r="J138" s="31" t="n">
        <x:v>0.00044144979999999996</x:v>
      </x:c>
      <x:c r="K138" s="31" t="n">
        <x:v>0</x:v>
      </x:c>
      <x:c r="L138" s="31" t="n">
        <x:v>0.00044144979999999996</x:v>
      </x:c>
      <x:c r="M138" s="31" t="n">
        <x:v>0</x:v>
      </x:c>
      <x:c r="N138" s="24" t="str">
        <x:v>alosa fallax</x:v>
      </x:c>
      <x:c r="O138" s="32" t="n">
        <x:v>4.03</x:v>
      </x:c>
      <x:c r="P138" s="24" t="str">
        <x:v>exact_2020_supplement</x:v>
      </x:c>
      <x:c r="Q138" s="32" t="str">
        <x:v>2020 supplement MeanTL</x:v>
      </x:c>
      <x:c r="R138" s="24" t="str">
        <x:v>high</x:v>
      </x:c>
      <x:c r="S138" s="24" t="str">
        <x:v>Alosa fallax</x:v>
      </x:c>
      <x:c r="T138" s="32" t="n">
        <x:f>IF(O138="","",(1/'Metadata'!$B$5)^(O138-1))</x:f>
        <x:v>1071.519305237607</x:v>
      </x:c>
      <x:c r="U138" s="31" t="n">
        <x:f>IF(T138="","",I138*T138)</x:f>
        <x:v>0.4730219829932806</x:v>
      </x:c>
    </x:row>
    <x:row r="139" ht="18" customHeight="1">
      <x:c r="A139" s="24" t="str">
        <x:v>EEZ_056</x:v>
      </x:c>
      <x:c r="B139" s="24" t="str">
        <x:v>Belgium</x:v>
      </x:c>
      <x:c r="C139" s="24" t="str">
        <x:v>EEZ</x:v>
      </x:c>
      <x:c r="D139" s="30" t="n">
        <x:v>2019</x:v>
      </x:c>
      <x:c r="E139" s="24" t="str">
        <x:v>Trachinidae</x:v>
      </x:c>
      <x:c r="F139" s="24" t="str">
        <x:v>Weeverfishes</x:v>
      </x:c>
      <x:c r="G139" s="24" t="str">
        <x:v>Medium demersals (30 - 89 cm)</x:v>
      </x:c>
      <x:c r="H139" s="24" t="str">
        <x:v>Perch-likes</x:v>
      </x:c>
      <x:c r="I139" s="31" t="n">
        <x:v>0.00037921820000000003</x:v>
      </x:c>
      <x:c r="J139" s="31" t="n">
        <x:v>0.00037921820000000003</x:v>
      </x:c>
      <x:c r="K139" s="31" t="n">
        <x:v>0</x:v>
      </x:c>
      <x:c r="L139" s="31" t="n">
        <x:v>0.00037921820000000003</x:v>
      </x:c>
      <x:c r="M139" s="31" t="n">
        <x:v>0</x:v>
      </x:c>
      <x:c r="N139" s="24" t="str">
        <x:v>trachinidae</x:v>
      </x:c>
      <x:c r="O139" s="32" t="n">
        <x:v>3.95</x:v>
      </x:c>
      <x:c r="P139" s="24" t="str">
        <x:v>exact_sea_around_us</x:v>
      </x:c>
      <x:c r="Q139" s="32" t="str">
        <x:v>Sea Around Us exploited organisms</x:v>
      </x:c>
      <x:c r="R139" s="24" t="str">
        <x:v>high</x:v>
      </x:c>
      <x:c r="S139" s="24" t="str">
        <x:v>Trachinidae</x:v>
      </x:c>
      <x:c r="T139" s="32" t="n">
        <x:f>IF(O139="","",(1/'Metadata'!$B$5)^(O139-1))</x:f>
        <x:v>891.2509381337459</x:v>
      </x:c>
      <x:c r="U139" s="31" t="n">
        <x:f>IF(T139="","",I139*T139)</x:f>
        <x:v>0.3379785765073905</x:v>
      </x:c>
    </x:row>
    <x:row r="140" ht="18" customHeight="1">
      <x:c r="A140" s="24" t="str">
        <x:v>EEZ_056</x:v>
      </x:c>
      <x:c r="B140" s="24" t="str">
        <x:v>Belgium</x:v>
      </x:c>
      <x:c r="C140" s="24" t="str">
        <x:v>EEZ</x:v>
      </x:c>
      <x:c r="D140" s="30" t="n">
        <x:v>2019</x:v>
      </x:c>
      <x:c r="E140" s="24" t="str">
        <x:v>Cerastoderma edule</x:v>
      </x:c>
      <x:c r="F140" s="24" t="str">
        <x:v>Common cockle</x:v>
      </x:c>
      <x:c r="G140" s="24" t="str">
        <x:v>Other demersal invertebrates</x:v>
      </x:c>
      <x:c r="H140" s="24" t="str">
        <x:v>Molluscs</x:v>
      </x:c>
      <x:c r="I140" s="31" t="n">
        <x:v>0.0002524429</x:v>
      </x:c>
      <x:c r="J140" s="31" t="n">
        <x:v>0.0002524429</x:v>
      </x:c>
      <x:c r="K140" s="31" t="n">
        <x:v>0</x:v>
      </x:c>
      <x:c r="L140" s="31" t="n">
        <x:v>0.0002524429</x:v>
      </x:c>
      <x:c r="M140" s="31" t="n">
        <x:v>0</x:v>
      </x:c>
      <x:c r="N140" s="24" t="str">
        <x:v>cerastoderma edule</x:v>
      </x:c>
      <x:c r="O140" s="32" t="n">
        <x:v>2</x:v>
      </x:c>
      <x:c r="P140" s="24" t="str">
        <x:v>exact_2020_supplement</x:v>
      </x:c>
      <x:c r="Q140" s="32" t="str">
        <x:v>2020 supplement MeanTL</x:v>
      </x:c>
      <x:c r="R140" s="24" t="str">
        <x:v>high</x:v>
      </x:c>
      <x:c r="S140" s="24" t="str">
        <x:v>Cerastoderma edule</x:v>
      </x:c>
      <x:c r="T140" s="32" t="n">
        <x:f>IF(O140="","",(1/'Metadata'!$B$5)^(O140-1))</x:f>
        <x:v>10</x:v>
      </x:c>
      <x:c r="U140" s="31" t="n">
        <x:f>IF(T140="","",I140*T140)</x:f>
        <x:v>0.002524429</x:v>
      </x:c>
    </x:row>
    <x:row r="141" ht="18" customHeight="1">
      <x:c r="A141" s="24" t="str">
        <x:v>EEZ_056</x:v>
      </x:c>
      <x:c r="B141" s="24" t="str">
        <x:v>Belgium</x:v>
      </x:c>
      <x:c r="C141" s="24" t="str">
        <x:v>EEZ</x:v>
      </x:c>
      <x:c r="D141" s="30" t="n">
        <x:v>2019</x:v>
      </x:c>
      <x:c r="E141" s="24" t="str">
        <x:v>Ammodytes tobianus</x:v>
      </x:c>
      <x:c r="F141" s="24" t="str">
        <x:v>Small sandeel</x:v>
      </x:c>
      <x:c r="G141" s="24" t="str">
        <x:v>Small demersals (&lt;30 cm)</x:v>
      </x:c>
      <x:c r="H141" s="24" t="str">
        <x:v>Perch-likes</x:v>
      </x:c>
      <x:c r="I141" s="31" t="n">
        <x:v>0.000247091</x:v>
      </x:c>
      <x:c r="J141" s="31" t="n">
        <x:v>0.000247091</x:v>
      </x:c>
      <x:c r="K141" s="31" t="n">
        <x:v>0</x:v>
      </x:c>
      <x:c r="L141" s="31" t="n">
        <x:v>0.000247091</x:v>
      </x:c>
      <x:c r="M141" s="31" t="n">
        <x:v>0</x:v>
      </x:c>
      <x:c r="N141" s="24" t="str">
        <x:v>ammodytes tobianus</x:v>
      </x:c>
      <x:c r="O141" s="32" t="n">
        <x:v>3.08</x:v>
      </x:c>
      <x:c r="P141" s="24" t="str">
        <x:v>exact_2020_supplement</x:v>
      </x:c>
      <x:c r="Q141" s="32" t="str">
        <x:v>2020 supplement MeanTL</x:v>
      </x:c>
      <x:c r="R141" s="24" t="str">
        <x:v>high</x:v>
      </x:c>
      <x:c r="S141" s="24" t="str">
        <x:v>Ammodytes tobianus</x:v>
      </x:c>
      <x:c r="T141" s="32" t="n">
        <x:f>IF(O141="","",(1/'Metadata'!$B$5)^(O141-1))</x:f>
        <x:v>120.22644346174131</x:v>
      </x:c>
      <x:c r="U141" s="31" t="n">
        <x:f>IF(T141="","",I141*T141)</x:f>
        <x:v>0.029706872141405122</x:v>
      </x:c>
    </x:row>
    <x:row r="142" ht="18" customHeight="1">
      <x:c r="A142" s="24" t="str">
        <x:v>EEZ_056</x:v>
      </x:c>
      <x:c r="B142" s="24" t="str">
        <x:v>Belgium</x:v>
      </x:c>
      <x:c r="C142" s="24" t="str">
        <x:v>EEZ</x:v>
      </x:c>
      <x:c r="D142" s="30" t="n">
        <x:v>2019</x:v>
      </x:c>
      <x:c r="E142" s="24" t="str">
        <x:v>Trisopterus minutus</x:v>
      </x:c>
      <x:c r="F142" s="24" t="str">
        <x:v>Poor cod</x:v>
      </x:c>
      <x:c r="G142" s="24" t="str">
        <x:v>Medium benthopelagics (30 - 89 cm)</x:v>
      </x:c>
      <x:c r="H142" s="24" t="str">
        <x:v>Cod-likes</x:v>
      </x:c>
      <x:c r="I142" s="31" t="n">
        <x:v>0.0002285528</x:v>
      </x:c>
      <x:c r="J142" s="31" t="n">
        <x:v>0</x:v>
      </x:c>
      <x:c r="K142" s="31" t="n">
        <x:v>0.0002285528</x:v>
      </x:c>
      <x:c r="L142" s="31" t="n">
        <x:v>0</x:v>
      </x:c>
      <x:c r="M142" s="31" t="n">
        <x:v>0.0002285528</x:v>
      </x:c>
      <x:c r="N142" s="24" t="str">
        <x:v>trisopterus minutus</x:v>
      </x:c>
      <x:c r="O142" s="32" t="n">
        <x:v>3.73</x:v>
      </x:c>
      <x:c r="P142" s="24" t="str">
        <x:v>exact_2020_supplement</x:v>
      </x:c>
      <x:c r="Q142" s="32" t="str">
        <x:v>2020 supplement MeanTL</x:v>
      </x:c>
      <x:c r="R142" s="24" t="str">
        <x:v>high</x:v>
      </x:c>
      <x:c r="S142" s="24" t="str">
        <x:v>Trisopterus minutus</x:v>
      </x:c>
      <x:c r="T142" s="32" t="n">
        <x:f>IF(O142="","",(1/'Metadata'!$B$5)^(O142-1))</x:f>
        <x:v>537.0317963702527</x:v>
      </x:c>
      <x:c r="U142" s="31" t="n">
        <x:f>IF(T142="","",I142*T142)</x:f>
        <x:v>0.12274012074945109</x:v>
      </x:c>
    </x:row>
    <x:row r="143" ht="18" customHeight="1">
      <x:c r="A143" s="24" t="str">
        <x:v>EEZ_056</x:v>
      </x:c>
      <x:c r="B143" s="24" t="str">
        <x:v>Belgium</x:v>
      </x:c>
      <x:c r="C143" s="24" t="str">
        <x:v>EEZ</x:v>
      </x:c>
      <x:c r="D143" s="30" t="n">
        <x:v>2019</x:v>
      </x:c>
      <x:c r="E143" s="24" t="str">
        <x:v>Belone belone</x:v>
      </x:c>
      <x:c r="F143" s="24" t="str">
        <x:v>Garfish</x:v>
      </x:c>
      <x:c r="G143" s="24" t="str">
        <x:v>Medium pelagics (30 - 89 cm)</x:v>
      </x:c>
      <x:c r="H143" s="24" t="str">
        <x:v>Other fishes &amp; inverts</x:v>
      </x:c>
      <x:c r="I143" s="31" t="n">
        <x:v>0.0002223268</x:v>
      </x:c>
      <x:c r="J143" s="31" t="n">
        <x:v>0.0002223268</x:v>
      </x:c>
      <x:c r="K143" s="31" t="n">
        <x:v>0</x:v>
      </x:c>
      <x:c r="L143" s="31" t="n">
        <x:v>0.0002223268</x:v>
      </x:c>
      <x:c r="M143" s="31" t="n">
        <x:v>0</x:v>
      </x:c>
      <x:c r="N143" s="24" t="str">
        <x:v>belone belone</x:v>
      </x:c>
      <x:c r="O143" s="32" t="n">
        <x:v>4.16</x:v>
      </x:c>
      <x:c r="P143" s="24" t="str">
        <x:v>exact_2020_supplement</x:v>
      </x:c>
      <x:c r="Q143" s="32" t="str">
        <x:v>2020 supplement MeanTL</x:v>
      </x:c>
      <x:c r="R143" s="24" t="str">
        <x:v>high</x:v>
      </x:c>
      <x:c r="S143" s="24" t="str">
        <x:v>Belone belone</x:v>
      </x:c>
      <x:c r="T143" s="32" t="n">
        <x:f>IF(O143="","",(1/'Metadata'!$B$5)^(O143-1))</x:f>
        <x:v>1445.439770745928</x:v>
      </x:c>
      <x:c r="U143" s="31" t="n">
        <x:f>IF(T143="","",I143*T143)</x:f>
        <x:v>0.32135999882267574</x:v>
      </x:c>
    </x:row>
    <x:row r="144" ht="18" customHeight="1">
      <x:c r="A144" s="24" t="str">
        <x:v>EEZ_056</x:v>
      </x:c>
      <x:c r="B144" s="24" t="str">
        <x:v>Belgium</x:v>
      </x:c>
      <x:c r="C144" s="24" t="str">
        <x:v>EEZ</x:v>
      </x:c>
      <x:c r="D144" s="30" t="n">
        <x:v>2019</x:v>
      </x:c>
      <x:c r="E144" s="24" t="str">
        <x:v>Pagellus bogaraveo</x:v>
      </x:c>
      <x:c r="F144" s="24" t="str">
        <x:v>Blackspot seabream</x:v>
      </x:c>
      <x:c r="G144" s="24" t="str">
        <x:v>Medium benthopelagics (30 - 89 cm)</x:v>
      </x:c>
      <x:c r="H144" s="24" t="str">
        <x:v>Perch-likes</x:v>
      </x:c>
      <x:c r="I144" s="31" t="n">
        <x:v>0.0001908458</x:v>
      </x:c>
      <x:c r="J144" s="31" t="n">
        <x:v>0.0001908458</x:v>
      </x:c>
      <x:c r="K144" s="31" t="n">
        <x:v>0</x:v>
      </x:c>
      <x:c r="L144" s="31" t="n">
        <x:v>0.0001908458</x:v>
      </x:c>
      <x:c r="M144" s="31" t="n">
        <x:v>0</x:v>
      </x:c>
      <x:c r="N144" s="24" t="str">
        <x:v>pagellus bogaraveo</x:v>
      </x:c>
      <x:c r="O144" s="32" t="n">
        <x:v>4.21</x:v>
      </x:c>
      <x:c r="P144" s="24" t="str">
        <x:v>exact_2020_supplement</x:v>
      </x:c>
      <x:c r="Q144" s="32" t="str">
        <x:v>2020 supplement MeanTL</x:v>
      </x:c>
      <x:c r="R144" s="24" t="str">
        <x:v>high</x:v>
      </x:c>
      <x:c r="S144" s="24" t="str">
        <x:v>Pagellus bogaraveo</x:v>
      </x:c>
      <x:c r="T144" s="32" t="n">
        <x:f>IF(O144="","",(1/'Metadata'!$B$5)^(O144-1))</x:f>
        <x:v>1621.8100973589299</x:v>
      </x:c>
      <x:c r="U144" s="31" t="n">
        <x:f>IF(T144="","",I144*T144)</x:f>
        <x:v>0.3095156454785429</x:v>
      </x:c>
    </x:row>
    <x:row r="145" ht="18" customHeight="1">
      <x:c r="A145" s="24" t="str">
        <x:v>EEZ_056</x:v>
      </x:c>
      <x:c r="B145" s="24" t="str">
        <x:v>Belgium</x:v>
      </x:c>
      <x:c r="C145" s="24" t="str">
        <x:v>EEZ</x:v>
      </x:c>
      <x:c r="D145" s="30" t="n">
        <x:v>2019</x:v>
      </x:c>
      <x:c r="E145" s="24" t="str">
        <x:v>Raja microocellata</x:v>
      </x:c>
      <x:c r="F145" s="24" t="str">
        <x:v>Small-eyed ray</x:v>
      </x:c>
      <x:c r="G145" s="24" t="str">
        <x:v>Small to medium rays (&lt;90 cm)</x:v>
      </x:c>
      <x:c r="H145" s="24" t="str">
        <x:v>Sharks &amp; rays</x:v>
      </x:c>
      <x:c r="I145" s="31" t="n">
        <x:v>0.0001661078</x:v>
      </x:c>
      <x:c r="J145" s="31" t="n">
        <x:v>0.0001661078</x:v>
      </x:c>
      <x:c r="K145" s="31" t="n">
        <x:v>0</x:v>
      </x:c>
      <x:c r="L145" s="31" t="n">
        <x:v>0.0001661078</x:v>
      </x:c>
      <x:c r="M145" s="31" t="n">
        <x:v>0</x:v>
      </x:c>
      <x:c r="N145" s="24" t="str">
        <x:v>raja microocellata</x:v>
      </x:c>
      <x:c r="O145" s="32" t="n">
        <x:v>3.94</x:v>
      </x:c>
      <x:c r="P145" s="24" t="str">
        <x:v>exact_2020_supplement</x:v>
      </x:c>
      <x:c r="Q145" s="32" t="str">
        <x:v>2020 supplement MeanTL</x:v>
      </x:c>
      <x:c r="R145" s="24" t="str">
        <x:v>high</x:v>
      </x:c>
      <x:c r="S145" s="24" t="str">
        <x:v>Raja microocellata</x:v>
      </x:c>
      <x:c r="T145" s="32" t="n">
        <x:f>IF(O145="","",(1/'Metadata'!$B$5)^(O145-1))</x:f>
        <x:v>870.9635899560806</x:v>
      </x:c>
      <x:c r="U145" s="31" t="n">
        <x:f>IF(T145="","",I145*T145)</x:f>
        <x:v>0.14467384580770665</x:v>
      </x:c>
    </x:row>
    <x:row r="146" ht="18" customHeight="1">
      <x:c r="A146" s="24" t="str">
        <x:v>EEZ_056</x:v>
      </x:c>
      <x:c r="B146" s="24" t="str">
        <x:v>Belgium</x:v>
      </x:c>
      <x:c r="C146" s="24" t="str">
        <x:v>EEZ</x:v>
      </x:c>
      <x:c r="D146" s="30" t="n">
        <x:v>2019</x:v>
      </x:c>
      <x:c r="E146" s="24" t="str">
        <x:v>Palinurus</x:v>
      </x:c>
      <x:c r="F146" s="24" t="str">
        <x:v>Spiny lobsters</x:v>
      </x:c>
      <x:c r="G146" s="24" t="str">
        <x:v>Lobsters, crabs</x:v>
      </x:c>
      <x:c r="H146" s="24" t="str">
        <x:v>Crustaceans</x:v>
      </x:c>
      <x:c r="I146" s="31" t="n">
        <x:v>0.00015817080000000001</x:v>
      </x:c>
      <x:c r="J146" s="31" t="n">
        <x:v>0.00015817080000000001</x:v>
      </x:c>
      <x:c r="K146" s="31" t="n">
        <x:v>0</x:v>
      </x:c>
      <x:c r="L146" s="31" t="n">
        <x:v>0.00015817080000000001</x:v>
      </x:c>
      <x:c r="M146" s="31" t="n">
        <x:v>0</x:v>
      </x:c>
      <x:c r="N146" s="24" t="str">
        <x:v>palinurus</x:v>
      </x:c>
      <x:c r="O146" s="32" t="n">
        <x:v>2.7</x:v>
      </x:c>
      <x:c r="P146" s="24" t="str">
        <x:v>exact_sea_around_us</x:v>
      </x:c>
      <x:c r="Q146" s="32" t="str">
        <x:v>Sea Around Us exploited organisms</x:v>
      </x:c>
      <x:c r="R146" s="24" t="str">
        <x:v>high</x:v>
      </x:c>
      <x:c r="S146" s="24" t="str">
        <x:v>Palinurus</x:v>
      </x:c>
      <x:c r="T146" s="32" t="n">
        <x:f>IF(O146="","",(1/'Metadata'!$B$5)^(O146-1))</x:f>
        <x:v>50.11872336272725</x:v>
      </x:c>
      <x:c r="U146" s="31" t="n">
        <x:f>IF(T146="","",I146*T146)</x:f>
        <x:v>0.00792731856926126</x:v>
      </x:c>
    </x:row>
    <x:row r="147" ht="18" customHeight="1">
      <x:c r="A147" s="24" t="str">
        <x:v>EEZ_056</x:v>
      </x:c>
      <x:c r="B147" s="24" t="str">
        <x:v>Belgium</x:v>
      </x:c>
      <x:c r="C147" s="24" t="str">
        <x:v>EEZ</x:v>
      </x:c>
      <x:c r="D147" s="30" t="n">
        <x:v>2019</x:v>
      </x:c>
      <x:c r="E147" s="24" t="str">
        <x:v>Solen</x:v>
      </x:c>
      <x:c r="F147" s="24" t="str">
        <x:v>Razor clams</x:v>
      </x:c>
      <x:c r="G147" s="24" t="str">
        <x:v>Other demersal invertebrates</x:v>
      </x:c>
      <x:c r="H147" s="24" t="str">
        <x:v>Molluscs</x:v>
      </x:c>
      <x:c r="I147" s="31" t="n">
        <x:v>0.00009546970000000001</x:v>
      </x:c>
      <x:c r="J147" s="31" t="n">
        <x:v>0.00009546970000000001</x:v>
      </x:c>
      <x:c r="K147" s="31" t="n">
        <x:v>0</x:v>
      </x:c>
      <x:c r="L147" s="31" t="n">
        <x:v>0.00009546970000000001</x:v>
      </x:c>
      <x:c r="M147" s="31" t="n">
        <x:v>0</x:v>
      </x:c>
      <x:c r="N147" s="24" t="str">
        <x:v>solen</x:v>
      </x:c>
      <x:c r="O147" s="32" t="n">
        <x:v>2</x:v>
      </x:c>
      <x:c r="P147" s="24" t="str">
        <x:v>exact_sea_around_us</x:v>
      </x:c>
      <x:c r="Q147" s="32" t="str">
        <x:v>Sea Around Us exploited organisms</x:v>
      </x:c>
      <x:c r="R147" s="24" t="str">
        <x:v>high</x:v>
      </x:c>
      <x:c r="S147" s="24" t="str">
        <x:v>Solen</x:v>
      </x:c>
      <x:c r="T147" s="32" t="n">
        <x:f>IF(O147="","",(1/'Metadata'!$B$5)^(O147-1))</x:f>
        <x:v>10</x:v>
      </x:c>
      <x:c r="U147" s="31" t="n">
        <x:f>IF(T147="","",I147*T147)</x:f>
        <x:v>0.0009546970000000001</x:v>
      </x:c>
    </x:row>
    <x:row r="148" ht="18" customHeight="1">
      <x:c r="A148" s="24" t="str">
        <x:v>EEZ_056</x:v>
      </x:c>
      <x:c r="B148" s="24" t="str">
        <x:v>Belgium</x:v>
      </x:c>
      <x:c r="C148" s="24" t="str">
        <x:v>EEZ</x:v>
      </x:c>
      <x:c r="D148" s="30" t="n">
        <x:v>2019</x:v>
      </x:c>
      <x:c r="E148" s="24" t="str">
        <x:v>Salmo trutta</x:v>
      </x:c>
      <x:c r="F148" s="24" t="str">
        <x:v>Sea trout</x:v>
      </x:c>
      <x:c r="G148" s="24" t="str">
        <x:v>Large pelagics (&gt;=90 cm)</x:v>
      </x:c>
      <x:c r="H148" s="24" t="str">
        <x:v>Salmon, smelts, etc</x:v>
      </x:c>
      <x:c r="I148" s="31" t="n">
        <x:v>0.0000532197</x:v>
      </x:c>
      <x:c r="J148" s="31" t="n">
        <x:v>0.0000532197</x:v>
      </x:c>
      <x:c r="K148" s="31" t="n">
        <x:v>0</x:v>
      </x:c>
      <x:c r="L148" s="31" t="n">
        <x:v>0.0000532197</x:v>
      </x:c>
      <x:c r="M148" s="31" t="n">
        <x:v>0</x:v>
      </x:c>
      <x:c r="N148" s="24" t="str">
        <x:v>salmo trutta</x:v>
      </x:c>
      <x:c r="O148" s="32" t="n">
        <x:v>3.36</x:v>
      </x:c>
      <x:c r="P148" s="24" t="str">
        <x:v>exact_2020_supplement</x:v>
      </x:c>
      <x:c r="Q148" s="32" t="str">
        <x:v>2020 supplement MeanTL</x:v>
      </x:c>
      <x:c r="R148" s="24" t="str">
        <x:v>high</x:v>
      </x:c>
      <x:c r="S148" s="24" t="str">
        <x:v>Salmo trutta</x:v>
      </x:c>
      <x:c r="T148" s="32" t="n">
        <x:f>IF(O148="","",(1/'Metadata'!$B$5)^(O148-1))</x:f>
        <x:v>229.08676527677724</x:v>
      </x:c>
      <x:c r="U148" s="31" t="n">
        <x:f>IF(T148="","",I148*T148)</x:f>
        <x:v>0.012191928922000501</x:v>
      </x:c>
    </x:row>
    <x:row r="149" ht="18" customHeight="1">
      <x:c r="A149" s="24" t="str">
        <x:v>EEZ_056</x:v>
      </x:c>
      <x:c r="B149" s="24" t="str">
        <x:v>Belgium</x:v>
      </x:c>
      <x:c r="C149" s="24" t="str">
        <x:v>EEZ</x:v>
      </x:c>
      <x:c r="D149" s="30" t="n">
        <x:v>2019</x:v>
      </x:c>
      <x:c r="E149" s="24" t="str">
        <x:v>Alosa</x:v>
      </x:c>
      <x:c r="F149" s="24" t="str">
        <x:v>Shads</x:v>
      </x:c>
      <x:c r="G149" s="24" t="str">
        <x:v>Medium pelagics (30 - 89 cm)</x:v>
      </x:c>
      <x:c r="H149" s="24" t="str">
        <x:v>Herring-likes</x:v>
      </x:c>
      <x:c r="I149" s="31" t="n">
        <x:v>0.0000299015</x:v>
      </x:c>
      <x:c r="J149" s="31" t="n">
        <x:v>0.0000299015</x:v>
      </x:c>
      <x:c r="K149" s="31" t="n">
        <x:v>0</x:v>
      </x:c>
      <x:c r="L149" s="31" t="n">
        <x:v>0.0000299015</x:v>
      </x:c>
      <x:c r="M149" s="31" t="n">
        <x:v>0</x:v>
      </x:c>
      <x:c r="N149" s="24" t="str">
        <x:v>alosa</x:v>
      </x:c>
      <x:c r="O149" s="32" t="n">
        <x:v>3.89</x:v>
      </x:c>
      <x:c r="P149" s="24" t="str">
        <x:v>exact_sea_around_us</x:v>
      </x:c>
      <x:c r="Q149" s="32" t="str">
        <x:v>Sea Around Us exploited organisms</x:v>
      </x:c>
      <x:c r="R149" s="24" t="str">
        <x:v>high</x:v>
      </x:c>
      <x:c r="S149" s="24" t="str">
        <x:v>Alosa</x:v>
      </x:c>
      <x:c r="T149" s="32" t="n">
        <x:f>IF(O149="","",(1/'Metadata'!$B$5)^(O149-1))</x:f>
        <x:v>776.247116628692</x:v>
      </x:c>
      <x:c r="U149" s="31" t="n">
        <x:f>IF(T149="","",I149*T149)</x:f>
        <x:v>0.023210953157872836</x:v>
      </x:c>
    </x:row>
    <x:row r="150" ht="18" customHeight="1">
      <x:c r="A150" s="24" t="str">
        <x:v>EEZ_056</x:v>
      </x:c>
      <x:c r="B150" s="24" t="str">
        <x:v>Belgium</x:v>
      </x:c>
      <x:c r="C150" s="24" t="str">
        <x:v>EEZ</x:v>
      </x:c>
      <x:c r="D150" s="30" t="n">
        <x:v>2019</x:v>
      </x:c>
      <x:c r="E150" s="24" t="str">
        <x:v>Ostrea edulis</x:v>
      </x:c>
      <x:c r="F150" s="24" t="str">
        <x:v>European flat oyster</x:v>
      </x:c>
      <x:c r="G150" s="24" t="str">
        <x:v>Other demersal invertebrates</x:v>
      </x:c>
      <x:c r="H150" s="24" t="str">
        <x:v>Molluscs</x:v>
      </x:c>
      <x:c r="I150" s="31" t="n">
        <x:v>0.0000246779</x:v>
      </x:c>
      <x:c r="J150" s="31" t="n">
        <x:v>0.0000246779</x:v>
      </x:c>
      <x:c r="K150" s="31" t="n">
        <x:v>0</x:v>
      </x:c>
      <x:c r="L150" s="31" t="n">
        <x:v>0.0000246779</x:v>
      </x:c>
      <x:c r="M150" s="31" t="n">
        <x:v>0</x:v>
      </x:c>
      <x:c r="N150" s="24" t="str">
        <x:v>ostrea edulis</x:v>
      </x:c>
      <x:c r="O150" s="32" t="n">
        <x:v>2</x:v>
      </x:c>
      <x:c r="P150" s="24" t="str">
        <x:v>exact_2020_supplement</x:v>
      </x:c>
      <x:c r="Q150" s="32" t="str">
        <x:v>2020 supplement MeanTL</x:v>
      </x:c>
      <x:c r="R150" s="24" t="str">
        <x:v>high</x:v>
      </x:c>
      <x:c r="S150" s="24" t="str">
        <x:v>Ostrea edulis</x:v>
      </x:c>
      <x:c r="T150" s="32" t="n">
        <x:f>IF(O150="","",(1/'Metadata'!$B$5)^(O150-1))</x:f>
        <x:v>10</x:v>
      </x:c>
      <x:c r="U150" s="31" t="n">
        <x:f>IF(T150="","",I150*T150)</x:f>
        <x:v>0.000246779</x:v>
      </x:c>
    </x:row>
    <x:row r="151" ht="18" customHeight="1">
      <x:c r="A151" s="24" t="str">
        <x:v>EEZ_056</x:v>
      </x:c>
      <x:c r="B151" s="24" t="str">
        <x:v>Belgium</x:v>
      </x:c>
      <x:c r="C151" s="24" t="str">
        <x:v>EEZ</x:v>
      </x:c>
      <x:c r="D151" s="30" t="n">
        <x:v>2019</x:v>
      </x:c>
      <x:c r="E151" s="24" t="str">
        <x:v>Lepidorhombus boscii</x:v>
      </x:c>
      <x:c r="F151" s="24" t="str">
        <x:v>Four-spot megrim</x:v>
      </x:c>
      <x:c r="G151" s="24" t="str">
        <x:v>Small to medium flatfishes (&lt;90 cm)</x:v>
      </x:c>
      <x:c r="H151" s="24" t="str">
        <x:v>Flatfishes</x:v>
      </x:c>
      <x:c r="I151" s="31" t="n">
        <x:v>0.0000093087</x:v>
      </x:c>
      <x:c r="J151" s="31" t="n">
        <x:v>0.0000093087</x:v>
      </x:c>
      <x:c r="K151" s="31" t="n">
        <x:v>0</x:v>
      </x:c>
      <x:c r="L151" s="31" t="n">
        <x:v>0.0000093087</x:v>
      </x:c>
      <x:c r="M151" s="31" t="n">
        <x:v>0</x:v>
      </x:c>
      <x:c r="N151" s="24" t="str">
        <x:v>lepidorhombus boscii</x:v>
      </x:c>
      <x:c r="O151" s="32" t="n">
        <x:v>3.74</x:v>
      </x:c>
      <x:c r="P151" s="24" t="str">
        <x:v>exact_2020_supplement</x:v>
      </x:c>
      <x:c r="Q151" s="32" t="str">
        <x:v>2020 supplement MeanTL</x:v>
      </x:c>
      <x:c r="R151" s="24" t="str">
        <x:v>high</x:v>
      </x:c>
      <x:c r="S151" s="24" t="str">
        <x:v>Lepidorhombus boscii</x:v>
      </x:c>
      <x:c r="T151" s="32" t="n">
        <x:f>IF(O151="","",(1/'Metadata'!$B$5)^(O151-1))</x:f>
        <x:v>549.5408738576248</x:v>
      </x:c>
      <x:c r="U151" s="31" t="n">
        <x:f>IF(T151="","",I151*T151)</x:f>
        <x:v>0.0051155111324784714</x:v>
      </x:c>
    </x:row>
    <x:row r="152" ht="18" customHeight="1">
      <x:c r="A152" s="24" t="str">
        <x:v>EEZ_056</x:v>
      </x:c>
      <x:c r="B152" s="24" t="str">
        <x:v>Belgium</x:v>
      </x:c>
      <x:c r="C152" s="24" t="str">
        <x:v>EEZ</x:v>
      </x:c>
      <x:c r="D152" s="30" t="n">
        <x:v>2019</x:v>
      </x:c>
      <x:c r="E152" s="24" t="str">
        <x:v>Gobiidae</x:v>
      </x:c>
      <x:c r="F152" s="24" t="str">
        <x:v>Gobies</x:v>
      </x:c>
      <x:c r="G152" s="24" t="str">
        <x:v>Small reef assoc. fish (&lt;30 cm)</x:v>
      </x:c>
      <x:c r="H152" s="24" t="str">
        <x:v>Perch-likes</x:v>
      </x:c>
      <x:c r="I152" s="31" t="n">
        <x:v>0.0000052911</x:v>
      </x:c>
      <x:c r="J152" s="31" t="n">
        <x:v>0</x:v>
      </x:c>
      <x:c r="K152" s="31" t="n">
        <x:v>0.0000052911</x:v>
      </x:c>
      <x:c r="L152" s="31" t="n">
        <x:v>0</x:v>
      </x:c>
      <x:c r="M152" s="31" t="n">
        <x:v>0.0000052911</x:v>
      </x:c>
      <x:c r="N152" s="24" t="str">
        <x:v>gobiidae</x:v>
      </x:c>
      <x:c r="O152" s="32" t="n">
        <x:v>3.11</x:v>
      </x:c>
      <x:c r="P152" s="24" t="str">
        <x:v>exact_sea_around_us</x:v>
      </x:c>
      <x:c r="Q152" s="32" t="str">
        <x:v>Sea Around Us exploited organisms</x:v>
      </x:c>
      <x:c r="R152" s="24" t="str">
        <x:v>high</x:v>
      </x:c>
      <x:c r="S152" s="24" t="str">
        <x:v>Gobiidae</x:v>
      </x:c>
      <x:c r="T152" s="32" t="n">
        <x:f>IF(O152="","",(1/'Metadata'!$B$5)^(O152-1))</x:f>
        <x:v>128.82495516931337</x:v>
      </x:c>
      <x:c r="U152" s="31" t="n">
        <x:f>IF(T152="","",I152*T152)</x:f>
        <x:v>0.000681625720296354</x:v>
      </x:c>
    </x:row>
    <x:row r="153" ht="18" customHeight="1">
      <x:c r="A153" s="24" t="str">
        <x:v>EEZ_056</x:v>
      </x:c>
      <x:c r="B153" s="24" t="str">
        <x:v>Belgium</x:v>
      </x:c>
      <x:c r="C153" s="24" t="str">
        <x:v>EEZ</x:v>
      </x:c>
      <x:c r="D153" s="30" t="n">
        <x:v>2019</x:v>
      </x:c>
      <x:c r="E153" s="24" t="str">
        <x:v>Scorpaeniformes</x:v>
      </x:c>
      <x:c r="F153" s="24" t="str">
        <x:v>Scorpionfishes, flatheads</x:v>
      </x:c>
      <x:c r="G153" s="24" t="str">
        <x:v>Medium demersals (30 - 89 cm)</x:v>
      </x:c>
      <x:c r="H153" s="24" t="str">
        <x:v>Scorpionfishes</x:v>
      </x:c>
      <x:c r="I153" s="31" t="n">
        <x:v>0.0000020014</x:v>
      </x:c>
      <x:c r="J153" s="31" t="n">
        <x:v>0</x:v>
      </x:c>
      <x:c r="K153" s="31" t="n">
        <x:v>0.0000020014</x:v>
      </x:c>
      <x:c r="L153" s="31" t="n">
        <x:v>0</x:v>
      </x:c>
      <x:c r="M153" s="31" t="n">
        <x:v>0.0000020014</x:v>
      </x:c>
      <x:c r="N153" s="24" t="str">
        <x:v>scorpaeniformes</x:v>
      </x:c>
      <x:c r="O153" s="32" t="n">
        <x:v>3.78</x:v>
      </x:c>
      <x:c r="P153" s="24" t="str">
        <x:v>exact_sea_around_us</x:v>
      </x:c>
      <x:c r="Q153" s="32" t="str">
        <x:v>Sea Around Us exploited organisms</x:v>
      </x:c>
      <x:c r="R153" s="24" t="str">
        <x:v>high</x:v>
      </x:c>
      <x:c r="S153" s="24" t="str">
        <x:v>Scorpaeniformes</x:v>
      </x:c>
      <x:c r="T153" s="32" t="n">
        <x:f>IF(O153="","",(1/'Metadata'!$B$5)^(O153-1))</x:f>
        <x:v>602.5595860743575</x:v>
      </x:c>
      <x:c r="U153" s="31" t="n">
        <x:f>IF(T153="","",I153*T153)</x:f>
        <x:v>0.0012059627555692193</x:v>
      </x:c>
    </x:row>
    <x:row r="154" ht="18" customHeight="1">
      <x:c r="A154" s="24" t="str">
        <x:v>EEZ_056</x:v>
      </x:c>
      <x:c r="B154" s="24" t="str">
        <x:v>Belgium</x:v>
      </x:c>
      <x:c r="C154" s="24" t="str">
        <x:v>EEZ</x:v>
      </x:c>
      <x:c r="D154" s="30" t="n">
        <x:v>2019</x:v>
      </x:c>
      <x:c r="E154" s="24" t="str">
        <x:v>Cepola macrophthalma</x:v>
      </x:c>
      <x:c r="F154" s="24" t="str">
        <x:v>Red bandfish</x:v>
      </x:c>
      <x:c r="G154" s="24" t="str">
        <x:v>Medium demersals (30 - 89 cm)</x:v>
      </x:c>
      <x:c r="H154" s="24" t="str">
        <x:v>Perch-likes</x:v>
      </x:c>
      <x:c r="I154" s="31" t="n">
        <x:v>0.0000016928</x:v>
      </x:c>
      <x:c r="J154" s="31" t="n">
        <x:v>0</x:v>
      </x:c>
      <x:c r="K154" s="31" t="n">
        <x:v>0.0000016928</x:v>
      </x:c>
      <x:c r="L154" s="31" t="n">
        <x:v>0</x:v>
      </x:c>
      <x:c r="M154" s="31" t="n">
        <x:v>0.0000016928</x:v>
      </x:c>
      <x:c r="N154" s="24" t="str">
        <x:v>cepola macrophthalma</x:v>
      </x:c>
      <x:c r="O154" s="32" t="n">
        <x:v>3.13</x:v>
      </x:c>
      <x:c r="P154" s="24" t="str">
        <x:v>exact_2020_supplement</x:v>
      </x:c>
      <x:c r="Q154" s="32" t="str">
        <x:v>2020 supplement MeanTL</x:v>
      </x:c>
      <x:c r="R154" s="24" t="str">
        <x:v>high</x:v>
      </x:c>
      <x:c r="S154" s="24" t="str">
        <x:v>Cepola macrophthalma</x:v>
      </x:c>
      <x:c r="T154" s="32" t="n">
        <x:f>IF(O154="","",(1/'Metadata'!$B$5)^(O154-1))</x:f>
        <x:v>134.89628825916532</x:v>
      </x:c>
      <x:c r="U154" s="31" t="n">
        <x:f>IF(T154="","",I154*T154)</x:f>
        <x:v>0.00022835243676511504</x:v>
      </x:c>
    </x:row>
  </x:sheetData>
  <x:conditionalFormatting sqref="R2:R154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a929ac130108434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Anchovies</x:v>
      </x:c>
      <x:c r="B2" s="33" t="n">
        <x:v>1</x:v>
      </x:c>
      <x:c r="C2" s="33" t="n">
        <x:v>1</x:v>
      </x:c>
      <x:c r="D2" s="31" t="n">
        <x:v>0.0028653886999999998</x:v>
      </x:c>
      <x:c r="E2" s="31" t="n">
        <x:v>0.0028653886999999998</x:v>
      </x:c>
      <x:c r="F2" s="32" t="n">
        <x:v>0</x:v>
      </x:c>
      <x:c r="G2" s="34" t="n">
        <x:v>1</x:v>
      </x:c>
      <x:c r="H2" s="32" t="n">
        <x:f>IF(E2=0,"",I2/E2)</x:f>
        <x:v>128.82495516931337</x:v>
      </x:c>
      <x:c r="I2" s="31" t="n">
        <x:f>IF(C2=0,"",SUMIF('Species'!$H$2:$H$154,A2,'Species'!$U$2:$U$154))</x:f>
        <x:v>0.3691335708201571</x:v>
      </x:c>
      <x:c r="J2" s="32" t="n">
        <x:v>3.1099999999999994</x:v>
      </x:c>
      <x:c r="K2" s="32" t="n">
        <x:f>IF(J2="","",(1/'Metadata'!$B$5)^(J2-1))</x:f>
        <x:v>128.82495516931323</x:v>
      </x:c>
      <x:c r="L2" s="31" t="n">
        <x:f>IF(E2=0,"",E2*K2)</x:f>
        <x:v>0.3691335708201567</x:v>
      </x:c>
      <x:c r="M2" s="31" t="n">
        <x:f>IF(E2=0,"",I2-L2)</x:f>
        <x:v>3.885780586188048e-16</x:v>
      </x:c>
      <x:c r="N2" s="32" t="n">
        <x:f>IF(L2=0,"",I2/L2)</x:f>
        <x:v>1.000000000000001</x:v>
      </x:c>
      <x:c r="O2" s="34" t="n">
        <x:f>IF(L2=0,"",M2/L2)</x:f>
        <x:v>1.0526760211905017e-15</x:v>
      </x:c>
    </x:row>
    <x:row r="3" ht="18" customHeight="1">
      <x:c r="A3" s="24" t="str">
        <x:v>Cod-likes</x:v>
      </x:c>
      <x:c r="B3" s="33" t="n">
        <x:v>9</x:v>
      </x:c>
      <x:c r="C3" s="33" t="n">
        <x:v>9</x:v>
      </x:c>
      <x:c r="D3" s="31" t="n">
        <x:v>484.4840169687</x:v>
      </x:c>
      <x:c r="E3" s="31" t="n">
        <x:v>484.4840169687</x:v>
      </x:c>
      <x:c r="F3" s="32" t="n">
        <x:v>0</x:v>
      </x:c>
      <x:c r="G3" s="34" t="n">
        <x:v>1</x:v>
      </x:c>
      <x:c r="H3" s="32" t="n">
        <x:f>IF(E3=0,"",I3/E3)</x:f>
        <x:v>2000.5417189715934</x:v>
      </x:c>
      <x:c r="I3" s="31" t="n">
        <x:f>IF(C3=0,"",SUMIF('Species'!$H$2:$H$154,A3,'Species'!$U$2:$U$154))</x:f>
        <x:v>969230.4881208257</x:v>
      </x:c>
      <x:c r="J3" s="32" t="n">
        <x:v>4.276903698238854</x:v>
      </x:c>
      <x:c r="K3" s="32" t="n">
        <x:f>IF(J3="","",(1/'Metadata'!$B$5)^(J3-1))</x:f>
        <x:v>1891.9240512144104</x:v>
      </x:c>
      <x:c r="L3" s="31" t="n">
        <x:f>IF(E3=0,"",E3*K3)</x:f>
        <x:v>916606.9641320541</x:v>
      </x:c>
      <x:c r="M3" s="31" t="n">
        <x:f>IF(E3=0,"",I3-L3)</x:f>
        <x:v>52623.5239887716</x:v>
      </x:c>
      <x:c r="N3" s="32" t="n">
        <x:f>IF(L3=0,"",I3/L3)</x:f>
        <x:v>1.0574112199099441</x:v>
      </x:c>
      <x:c r="O3" s="34" t="n">
        <x:f>IF(L3=0,"",M3/L3)</x:f>
        <x:v>0.0574112199099441</x:v>
      </x:c>
    </x:row>
    <x:row r="4" ht="18" customHeight="1">
      <x:c r="A4" s="24" t="str">
        <x:v>Crustaceans</x:v>
      </x:c>
      <x:c r="B4" s="33" t="n">
        <x:v>12</x:v>
      </x:c>
      <x:c r="C4" s="33" t="n">
        <x:v>12</x:v>
      </x:c>
      <x:c r="D4" s="31" t="n">
        <x:v>1407.2283228161998</x:v>
      </x:c>
      <x:c r="E4" s="31" t="n">
        <x:v>1407.2283228161998</x:v>
      </x:c>
      <x:c r="F4" s="32" t="n">
        <x:v>0</x:v>
      </x:c>
      <x:c r="G4" s="34" t="n">
        <x:v>1</x:v>
      </x:c>
      <x:c r="H4" s="32" t="n">
        <x:f>IF(E4=0,"",I4/E4)</x:f>
        <x:v>144.4669398550154</x:v>
      </x:c>
      <x:c r="I4" s="31" t="n">
        <x:f>IF(C4=0,"",SUMIF('Species'!$H$2:$H$154,A4,'Species'!$U$2:$U$154))</x:f>
        <x:v>203297.96947456212</x:v>
      </x:c>
      <x:c r="J4" s="32" t="n">
        <x:v>3.1545620920530646</x:v>
      </x:c>
      <x:c r="K4" s="32" t="n">
        <x:f>IF(J4="","",(1/'Metadata'!$B$5)^(J4-1))</x:f>
        <x:v>142.7453901852074</x:v>
      </x:c>
      <x:c r="L4" s="31" t="n">
        <x:f>IF(E4=0,"",E4*K4)</x:f>
        <x:v>200875.35602007346</x:v>
      </x:c>
      <x:c r="M4" s="31" t="n">
        <x:f>IF(E4=0,"",I4-L4)</x:f>
        <x:v>2422.613454488659</x:v>
      </x:c>
      <x:c r="N4" s="32" t="n">
        <x:f>IF(L4=0,"",I4/L4)</x:f>
        <x:v>1.012060282069875</x:v>
      </x:c>
      <x:c r="O4" s="34" t="n">
        <x:f>IF(L4=0,"",M4/L4)</x:f>
        <x:v>0.012060282069875049</x:v>
      </x:c>
    </x:row>
    <x:row r="5" ht="18" customHeight="1">
      <x:c r="A5" s="24" t="str">
        <x:v>Flatfishes</x:v>
      </x:c>
      <x:c r="B5" s="33" t="n">
        <x:v>18</x:v>
      </x:c>
      <x:c r="C5" s="33" t="n">
        <x:v>18</x:v>
      </x:c>
      <x:c r="D5" s="31" t="n">
        <x:v>1745.0309281759</x:v>
      </x:c>
      <x:c r="E5" s="31" t="n">
        <x:v>1745.0309281759</x:v>
      </x:c>
      <x:c r="F5" s="32" t="n">
        <x:v>0</x:v>
      </x:c>
      <x:c r="G5" s="34" t="n">
        <x:v>1</x:v>
      </x:c>
      <x:c r="H5" s="32" t="n">
        <x:f>IF(E5=0,"",I5/E5)</x:f>
        <x:v>261.9181541531588</x:v>
      </x:c>
      <x:c r="I5" s="31" t="n">
        <x:f>IF(C5=0,"",SUMIF('Species'!$H$2:$H$154,A5,'Species'!$U$2:$U$154))</x:f>
        <x:v>457055.2796480052</x:v>
      </x:c>
      <x:c r="J5" s="32" t="n">
        <x:v>3.302035674545842</x:v>
      </x:c>
      <x:c r="K5" s="32" t="n">
        <x:f>IF(J5="","",(1/'Metadata'!$B$5)^(J5-1))</x:f>
        <x:v>200.4636688831701</x:v>
      </x:c>
      <x:c r="L5" s="31" t="n">
        <x:f>IF(E5=0,"",E5*K5)</x:f>
        <x:v>349815.3021767446</x:v>
      </x:c>
      <x:c r="M5" s="31" t="n">
        <x:f>IF(E5=0,"",I5-L5)</x:f>
        <x:v>107239.97747126059</x:v>
      </x:c>
      <x:c r="N5" s="32" t="n">
        <x:f>IF(L5=0,"",I5/L5)</x:f>
        <x:v>1.3065617107197829</x:v>
      </x:c>
      <x:c r="O5" s="34" t="n">
        <x:f>IF(L5=0,"",M5/L5)</x:f>
        <x:v>0.3065617107197828</x:v>
      </x:c>
    </x:row>
    <x:row r="6" ht="18" customHeight="1">
      <x:c r="A6" s="24" t="str">
        <x:v>Herring-likes</x:v>
      </x:c>
      <x:c r="B6" s="33" t="n">
        <x:v>7</x:v>
      </x:c>
      <x:c r="C6" s="33" t="n">
        <x:v>7</x:v>
      </x:c>
      <x:c r="D6" s="31" t="n">
        <x:v>54.692053183999995</x:v>
      </x:c>
      <x:c r="E6" s="31" t="n">
        <x:v>54.692053183999995</x:v>
      </x:c>
      <x:c r="F6" s="32" t="n">
        <x:v>0</x:v>
      </x:c>
      <x:c r="G6" s="34" t="n">
        <x:v>1</x:v>
      </x:c>
      <x:c r="H6" s="32" t="n">
        <x:f>IF(E6=0,"",I6/E6)</x:f>
        <x:v>219.41524031695076</x:v>
      </x:c>
      <x:c r="I6" s="31" t="n">
        <x:f>IF(C6=0,"",SUMIF('Species'!$H$2:$H$154,A6,'Species'!$U$2:$U$154))</x:f>
        <x:v>12000.26999279481</x:v>
      </x:c>
      <x:c r="J6" s="32" t="n">
        <x:v>3.3297437086904043</x:v>
      </x:c>
      <x:c r="K6" s="32" t="n">
        <x:f>IF(J6="","",(1/'Metadata'!$B$5)^(J6-1))</x:f>
        <x:v>213.67007806911158</x:v>
      </x:c>
      <x:c r="L6" s="31" t="n">
        <x:f>IF(E6=0,"",E6*K6)</x:f>
        <x:v>11686.055273585282</x:v>
      </x:c>
      <x:c r="M6" s="31" t="n">
        <x:f>IF(E6=0,"",I6-L6)</x:f>
        <x:v>314.214719209529</x:v>
      </x:c>
      <x:c r="N6" s="32" t="n">
        <x:f>IF(L6=0,"",I6/L6)</x:f>
        <x:v>1.0268880055633287</x:v>
      </x:c>
      <x:c r="O6" s="34" t="n">
        <x:f>IF(L6=0,"",M6/L6)</x:f>
        <x:v>0.026888005563328807</x:v>
      </x:c>
    </x:row>
    <x:row r="7" ht="18" customHeight="1">
      <x:c r="A7" s="24" t="str">
        <x:v>Molluscs</x:v>
      </x:c>
      <x:c r="B7" s="33" t="n">
        <x:v>14</x:v>
      </x:c>
      <x:c r="C7" s="33" t="n">
        <x:v>14</x:v>
      </x:c>
      <x:c r="D7" s="31" t="n">
        <x:v>255.0159570159</x:v>
      </x:c>
      <x:c r="E7" s="31" t="n">
        <x:v>255.0159570159</x:v>
      </x:c>
      <x:c r="F7" s="32" t="n">
        <x:v>0</x:v>
      </x:c>
      <x:c r="G7" s="34" t="n">
        <x:v>1</x:v>
      </x:c>
      <x:c r="H7" s="32" t="n">
        <x:f>IF(E7=0,"",I7/E7)</x:f>
        <x:v>79.89073214707221</x:v>
      </x:c>
      <x:c r="I7" s="31" t="n">
        <x:f>IF(C7=0,"",SUMIF('Species'!$H$2:$H$154,A7,'Species'!$U$2:$U$154))</x:f>
        <x:v>20373.411515186548</x:v>
      </x:c>
      <x:c r="J7" s="32" t="n">
        <x:v>2.229200298738944</x:v>
      </x:c>
      <x:c r="K7" s="32" t="n">
        <x:f>IF(J7="","",(1/'Metadata'!$B$5)^(J7-1))</x:f>
        <x:v>16.9511941755591</x:v>
      </x:c>
      <x:c r="L7" s="31" t="n">
        <x:f>IF(E7=0,"",E7*K7)</x:f>
        <x:v>4322.825005242554</x:v>
      </x:c>
      <x:c r="M7" s="31" t="n">
        <x:f>IF(E7=0,"",I7-L7)</x:f>
        <x:v>16050.586509943994</x:v>
      </x:c>
      <x:c r="N7" s="32" t="n">
        <x:f>IF(L7=0,"",I7/L7)</x:f>
        <x:v>4.712985487610178</x:v>
      </x:c>
      <x:c r="O7" s="34" t="n">
        <x:f>IF(L7=0,"",M7/L7)</x:f>
        <x:v>3.712985487610178</x:v>
      </x:c>
    </x:row>
    <x:row r="8" ht="18" customHeight="1">
      <x:c r="A8" s="24" t="str">
        <x:v>Other fishes &amp; inverts</x:v>
      </x:c>
      <x:c r="B8" s="33" t="n">
        <x:v>27</x:v>
      </x:c>
      <x:c r="C8" s="33" t="n">
        <x:v>27</x:v>
      </x:c>
      <x:c r="D8" s="31" t="n">
        <x:v>197.01412378570004</x:v>
      </x:c>
      <x:c r="E8" s="31" t="n">
        <x:v>197.01412378570004</x:v>
      </x:c>
      <x:c r="F8" s="32" t="n">
        <x:v>0</x:v>
      </x:c>
      <x:c r="G8" s="34" t="n">
        <x:v>1</x:v>
      </x:c>
      <x:c r="H8" s="32" t="n">
        <x:f>IF(E8=0,"",I8/E8)</x:f>
        <x:v>982.963470550185</x:v>
      </x:c>
      <x:c r="I8" s="31" t="n">
        <x:f>IF(C8=0,"",SUMIF('Species'!$H$2:$H$154,A8,'Species'!$U$2:$U$154))</x:f>
        <x:v>193657.68686379545</x:v>
      </x:c>
      <x:c r="J8" s="32" t="n">
        <x:v>3.6897705837824324</x:v>
      </x:c>
      <x:c r="K8" s="32" t="n">
        <x:f>IF(J8="","",(1/'Metadata'!$B$5)^(J8-1))</x:f>
        <x:v>489.5201618534684</x:v>
      </x:c>
      <x:c r="L8" s="31" t="n">
        <x:f>IF(E8=0,"",E8*K8)</x:f>
        <x:v>96442.38576299514</x:v>
      </x:c>
      <x:c r="M8" s="31" t="n">
        <x:f>IF(E8=0,"",I8-L8)</x:f>
        <x:v>97215.30110080031</x:v>
      </x:c>
      <x:c r="N8" s="32" t="n">
        <x:f>IF(L8=0,"",I8/L8)</x:f>
        <x:v>2.0080142701955195</x:v>
      </x:c>
      <x:c r="O8" s="34" t="n">
        <x:f>IF(L8=0,"",M8/L8)</x:f>
        <x:v>1.0080142701955195</x:v>
      </x:c>
    </x:row>
    <x:row r="9" ht="18" customHeight="1">
      <x:c r="A9" s="24" t="str">
        <x:v>Perch-likes</x:v>
      </x:c>
      <x:c r="B9" s="33" t="n">
        <x:v>30</x:v>
      </x:c>
      <x:c r="C9" s="33" t="n">
        <x:v>30</x:v>
      </x:c>
      <x:c r="D9" s="31" t="n">
        <x:v>112.719001407</x:v>
      </x:c>
      <x:c r="E9" s="31" t="n">
        <x:v>112.719001407</x:v>
      </x:c>
      <x:c r="F9" s="32" t="n">
        <x:v>0</x:v>
      </x:c>
      <x:c r="G9" s="34" t="n">
        <x:v>1</x:v>
      </x:c>
      <x:c r="H9" s="32" t="n">
        <x:f>IF(E9=0,"",I9/E9)</x:f>
        <x:v>539.8929899717633</x:v>
      </x:c>
      <x:c r="I9" s="31" t="n">
        <x:f>IF(C9=0,"",SUMIF('Species'!$H$2:$H$154,A9,'Species'!$U$2:$U$154))</x:f>
        <x:v>60856.19869625662</x:v>
      </x:c>
      <x:c r="J9" s="32" t="n">
        <x:v>3.6398002235507683</x:v>
      </x:c>
      <x:c r="K9" s="32" t="n">
        <x:f>IF(J9="","",(1/'Metadata'!$B$5)^(J9-1))</x:f>
        <x:v>436.315080141479</x:v>
      </x:c>
      <x:c r="L9" s="31" t="n">
        <x:f>IF(E9=0,"",E9*K9)</x:f>
        <x:v>49181.000132362686</x:v>
      </x:c>
      <x:c r="M9" s="31" t="n">
        <x:f>IF(E9=0,"",I9-L9)</x:f>
        <x:v>11675.198563893937</x:v>
      </x:c>
      <x:c r="N9" s="32" t="n">
        <x:f>IF(L9=0,"",I9/L9)</x:f>
        <x:v>1.2373924591299899</x:v>
      </x:c>
      <x:c r="O9" s="34" t="n">
        <x:f>IF(L9=0,"",M9/L9)</x:f>
        <x:v>0.2373924591299899</x:v>
      </x:c>
    </x:row>
    <x:row r="10" ht="18" customHeight="1">
      <x:c r="A10" s="24" t="str">
        <x:v>Salmon, smelts, etc</x:v>
      </x:c>
      <x:c r="B10" s="33" t="n">
        <x:v>3</x:v>
      </x:c>
      <x:c r="C10" s="33" t="n">
        <x:v>3</x:v>
      </x:c>
      <x:c r="D10" s="31" t="n">
        <x:v>0.293067018</x:v>
      </x:c>
      <x:c r="E10" s="31" t="n">
        <x:v>0.293067018</x:v>
      </x:c>
      <x:c r="F10" s="32" t="n">
        <x:v>0</x:v>
      </x:c>
      <x:c r="G10" s="34" t="n">
        <x:v>1</x:v>
      </x:c>
      <x:c r="H10" s="32" t="n">
        <x:f>IF(E10=0,"",I10/E10)</x:f>
        <x:v>293.4370656709694</x:v>
      </x:c>
      <x:c r="I10" s="31" t="n">
        <x:f>IF(C10=0,"",SUMIF('Species'!$H$2:$H$154,A10,'Species'!$U$2:$U$154))</x:f>
        <x:v>85.99672580686118</x:v>
      </x:c>
      <x:c r="J10" s="32" t="n">
        <x:v>3.4634531077393356</x:v>
      </x:c>
      <x:c r="K10" s="32" t="n">
        <x:f>IF(J10="","",(1/'Metadata'!$B$5)^(J10-1))</x:f>
        <x:v>290.70540579281516</x:v>
      </x:c>
      <x:c r="L10" s="31" t="n">
        <x:f>IF(E10=0,"",E10*K10)</x:f>
        <x:v>85.19616639218027</x:v>
      </x:c>
      <x:c r="M10" s="31" t="n">
        <x:f>IF(E10=0,"",I10-L10)</x:f>
        <x:v>0.8005594146809045</x:v>
      </x:c>
      <x:c r="N10" s="32" t="n">
        <x:f>IF(L10=0,"",I10/L10)</x:f>
        <x:v>1.0093966600679627</x:v>
      </x:c>
      <x:c r="O10" s="34" t="n">
        <x:f>IF(L10=0,"",M10/L10)</x:f>
        <x:v>0.00939666006796268</x:v>
      </x:c>
    </x:row>
    <x:row r="11" ht="18" customHeight="1">
      <x:c r="A11" s="24" t="str">
        <x:v>Scorpionfishes</x:v>
      </x:c>
      <x:c r="B11" s="33" t="n">
        <x:v>8</x:v>
      </x:c>
      <x:c r="C11" s="33" t="n">
        <x:v>8</x:v>
      </x:c>
      <x:c r="D11" s="31" t="n">
        <x:v>109.4550018143</x:v>
      </x:c>
      <x:c r="E11" s="31" t="n">
        <x:v>109.4550018143</x:v>
      </x:c>
      <x:c r="F11" s="32" t="n">
        <x:v>0</x:v>
      </x:c>
      <x:c r="G11" s="34" t="n">
        <x:v>1</x:v>
      </x:c>
      <x:c r="H11" s="32" t="n">
        <x:f>IF(E11=0,"",I11/E11)</x:f>
        <x:v>800.5568848203885</x:v>
      </x:c>
      <x:c r="I11" s="31" t="n">
        <x:f>IF(C11=0,"",SUMIF('Species'!$H$2:$H$154,A11,'Species'!$U$2:$U$154))</x:f>
        <x:v>87624.95528046599</x:v>
      </x:c>
      <x:c r="J11" s="32" t="n">
        <x:v>3.8937614704679055</x:v>
      </x:c>
      <x:c r="K11" s="32" t="n">
        <x:f>IF(J11="","",(1/'Metadata'!$B$5)^(J11-1))</x:f>
        <x:v>782.9994742854618</x:v>
      </x:c>
      <x:c r="L11" s="31" t="n">
        <x:f>IF(E11=0,"",E11*K11)</x:f>
        <x:v>85703.20887851117</x:v>
      </x:c>
      <x:c r="M11" s="31" t="n">
        <x:f>IF(E11=0,"",I11-L11)</x:f>
        <x:v>1921.7464019548206</x:v>
      </x:c>
      <x:c r="N11" s="32" t="n">
        <x:f>IF(L11=0,"",I11/L11)</x:f>
        <x:v>1.0224232724433806</x:v>
      </x:c>
      <x:c r="O11" s="34" t="n">
        <x:f>IF(L11=0,"",M11/L11)</x:f>
        <x:v>0.02242327244338071</x:v>
      </x:c>
    </x:row>
    <x:row r="12" ht="18" customHeight="1">
      <x:c r="A12" s="24" t="str">
        <x:v>Sharks &amp; rays</x:v>
      </x:c>
      <x:c r="B12" s="33" t="n">
        <x:v>24</x:v>
      </x:c>
      <x:c r="C12" s="33" t="n">
        <x:v>24</x:v>
      </x:c>
      <x:c r="D12" s="31" t="n">
        <x:v>116.8869654519</x:v>
      </x:c>
      <x:c r="E12" s="31" t="n">
        <x:v>116.8869654519</x:v>
      </x:c>
      <x:c r="F12" s="32" t="n">
        <x:v>0</x:v>
      </x:c>
      <x:c r="G12" s="34" t="n">
        <x:v>1</x:v>
      </x:c>
      <x:c r="H12" s="32" t="n">
        <x:f>IF(E12=0,"",I12/E12)</x:f>
        <x:v>891.6753404048347</x:v>
      </x:c>
      <x:c r="I12" s="31" t="n">
        <x:f>IF(C12=0,"",SUMIF('Species'!$H$2:$H$154,A12,'Species'!$U$2:$U$154))</x:f>
        <x:v>104225.22470821108</x:v>
      </x:c>
      <x:c r="J12" s="32" t="n">
        <x:v>3.9203122040458225</x:v>
      </x:c>
      <x:c r="K12" s="32" t="n">
        <x:f>IF(J12="","",(1/'Metadata'!$B$5)^(J12-1))</x:f>
        <x:v>832.361921405326</x:v>
      </x:c>
      <x:c r="L12" s="31" t="n">
        <x:f>IF(E12=0,"",E12*K12)</x:f>
        <x:v>97292.25915078145</x:v>
      </x:c>
      <x:c r="M12" s="31" t="n">
        <x:f>IF(E12=0,"",I12-L12)</x:f>
        <x:v>6932.965557429634</x:v>
      </x:c>
      <x:c r="N12" s="32" t="n">
        <x:f>IF(L12=0,"",I12/L12)</x:f>
        <x:v>1.0712591692077482</x:v>
      </x:c>
      <x:c r="O12" s="34" t="n">
        <x:f>IF(L12=0,"",M12/L12)</x:f>
        <x:v>0.0712591692077483</x:v>
      </x:c>
    </x:row>
  </x:sheetData>
  <x:conditionalFormatting sqref="G2:G12">
    <x:cfRule type="cellIs" dxfId="1" priority="1" operator="lessThan">
      <x:formula>0.9</x:formula>
    </x:cfRule>
  </x:conditionalFormatting>
  <x:conditionalFormatting sqref="O2:O12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584fd8d375df482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Cephalopods</x:v>
      </x:c>
      <x:c r="B2" s="33" t="n">
        <x:v>10</x:v>
      </x:c>
      <x:c r="C2" s="33" t="n">
        <x:v>10</x:v>
      </x:c>
      <x:c r="D2" s="31" t="n">
        <x:v>61.7139144487</x:v>
      </x:c>
      <x:c r="E2" s="31" t="n">
        <x:v>61.7139144487</x:v>
      </x:c>
      <x:c r="F2" s="32" t="n">
        <x:v>0</x:v>
      </x:c>
      <x:c r="G2" s="34" t="n">
        <x:v>1</x:v>
      </x:c>
      <x:c r="H2" s="32" t="n">
        <x:f>IF(E2=0,"",I2/E2)</x:f>
        <x:v>1237.5831058226809</x:v>
      </x:c>
      <x:c r="I2" s="31" t="n">
        <x:f>IF(C2=0,"",SUMIF('Species'!$G$2:$G$154,A2,'Species'!$U$2:$U$154))</x:f>
        <x:v>76376.09791589736</x:v>
      </x:c>
      <x:c r="J2" s="32" t="n">
        <x:v>4.055072874565252</x:v>
      </x:c>
      <x:c r="K2" s="32" t="n">
        <x:f>IF(J2="","",(1/'Metadata'!$B$5)^(J2-1))</x:f>
        <x:v>1135.2012863396503</x:v>
      </x:c>
      <x:c r="L2" s="31" t="n">
        <x:f>IF(E2=0,"",E2*K2)</x:f>
        <x:v>70057.71506721938</x:v>
      </x:c>
      <x:c r="M2" s="31" t="n">
        <x:f>IF(E2=0,"",I2-L2)</x:f>
        <x:v>6318.382848677982</x:v>
      </x:c>
      <x:c r="N2" s="32" t="n">
        <x:f>IF(L2=0,"",I2/L2)</x:f>
        <x:v>1.090188251823737</x:v>
      </x:c>
      <x:c r="O2" s="34" t="n">
        <x:f>IF(L2=0,"",M2/L2)</x:f>
        <x:v>0.09018825182373681</x:v>
      </x:c>
    </x:row>
    <x:row r="3" ht="18" customHeight="1">
      <x:c r="A3" s="24" t="str">
        <x:v>Large bathydemersals (&gt;=90 cm)</x:v>
      </x:c>
      <x:c r="B3" s="33" t="n">
        <x:v>2</x:v>
      </x:c>
      <x:c r="C3" s="33" t="n">
        <x:v>2</x:v>
      </x:c>
      <x:c r="D3" s="31" t="n">
        <x:v>3.7911990302</x:v>
      </x:c>
      <x:c r="E3" s="31" t="n">
        <x:v>3.7911990302</x:v>
      </x:c>
      <x:c r="F3" s="32" t="n">
        <x:v>0</x:v>
      </x:c>
      <x:c r="G3" s="34" t="n">
        <x:v>1</x:v>
      </x:c>
      <x:c r="H3" s="32" t="n">
        <x:f>IF(E3=0,"",I3/E3)</x:f>
        <x:v>2314.5324787310087</x:v>
      </x:c>
      <x:c r="I3" s="31" t="n">
        <x:f>IF(C3=0,"",SUMIF('Species'!$G$2:$G$154,A3,'Species'!$U$2:$U$154))</x:f>
        <x:v>8774.853288731403</x:v>
      </x:c>
      <x:c r="J3" s="32" t="n">
        <x:v>4.363078547028269</x:v>
      </x:c>
      <x:c r="K3" s="32" t="n">
        <x:f>IF(J3="","",(1/'Metadata'!$B$5)^(J3-1))</x:f>
        <x:v>2307.1644275525505</x:v>
      </x:c>
      <x:c r="L3" s="31" t="n">
        <x:f>IF(E3=0,"",E3*K3)</x:f>
        <x:v>8746.919540249168</x:v>
      </x:c>
      <x:c r="M3" s="31" t="n">
        <x:f>IF(E3=0,"",I3-L3)</x:f>
        <x:v>27.933748482235387</x:v>
      </x:c>
      <x:c r="N3" s="32" t="n">
        <x:f>IF(L3=0,"",I3/L3)</x:f>
        <x:v>1.0031935526963176</x:v>
      </x:c>
      <x:c r="O3" s="34" t="n">
        <x:f>IF(L3=0,"",M3/L3)</x:f>
        <x:v>0.0031935526963175493</x:v>
      </x:c>
    </x:row>
    <x:row r="4" ht="18" customHeight="1">
      <x:c r="A4" s="24" t="str">
        <x:v>Large benthopelagics (&gt;=90 cm)</x:v>
      </x:c>
      <x:c r="B4" s="33" t="n">
        <x:v>3</x:v>
      </x:c>
      <x:c r="C4" s="33" t="n">
        <x:v>3</x:v>
      </x:c>
      <x:c r="D4" s="31" t="n">
        <x:v>85.4575409016</x:v>
      </x:c>
      <x:c r="E4" s="31" t="n">
        <x:v>85.4575409016</x:v>
      </x:c>
      <x:c r="F4" s="32" t="n">
        <x:v>0</x:v>
      </x:c>
      <x:c r="G4" s="34" t="n">
        <x:v>1</x:v>
      </x:c>
      <x:c r="H4" s="32" t="n">
        <x:f>IF(E4=0,"",I4/E4)</x:f>
        <x:v>1244.5893427951073</x:v>
      </x:c>
      <x:c r="I4" s="31" t="n">
        <x:f>IF(C4=0,"",SUMIF('Species'!$G$2:$G$154,A4,'Species'!$U$2:$U$154))</x:f>
        <x:v>106359.54466760834</x:v>
      </x:c>
      <x:c r="J4" s="32" t="n">
        <x:v>4.09374269620768</x:v>
      </x:c>
      <x:c r="K4" s="32" t="n">
        <x:f>IF(J4="","",(1/'Metadata'!$B$5)^(J4-1))</x:f>
        <x:v>1240.916891328203</x:v>
      </x:c>
      <x:c r="L4" s="31" t="n">
        <x:f>IF(E4=0,"",E4*K4)</x:f>
        <x:v>106045.70599616623</x:v>
      </x:c>
      <x:c r="M4" s="31" t="n">
        <x:f>IF(E4=0,"",I4-L4)</x:f>
        <x:v>313.8386714421067</x:v>
      </x:c>
      <x:c r="N4" s="32" t="n">
        <x:f>IF(L4=0,"",I4/L4)</x:f>
        <x:v>1.0029594660952463</x:v>
      </x:c>
      <x:c r="O4" s="34" t="n">
        <x:f>IF(L4=0,"",M4/L4)</x:f>
        <x:v>0.0029594660952462575</x:v>
      </x:c>
    </x:row>
    <x:row r="5" ht="18" customHeight="1">
      <x:c r="A5" s="24" t="str">
        <x:v>Large demersals (&gt;=90 cm)</x:v>
      </x:c>
      <x:c r="B5" s="33" t="n">
        <x:v>6</x:v>
      </x:c>
      <x:c r="C5" s="33" t="n">
        <x:v>6</x:v>
      </x:c>
      <x:c r="D5" s="31" t="n">
        <x:v>29.886499595</x:v>
      </x:c>
      <x:c r="E5" s="31" t="n">
        <x:v>29.886499595</x:v>
      </x:c>
      <x:c r="F5" s="32" t="n">
        <x:v>0</x:v>
      </x:c>
      <x:c r="G5" s="34" t="n">
        <x:v>1</x:v>
      </x:c>
      <x:c r="H5" s="32" t="n">
        <x:f>IF(E5=0,"",I5/E5)</x:f>
        <x:v>675.1084445503008</x:v>
      </x:c>
      <x:c r="I5" s="31" t="n">
        <x:f>IF(C5=0,"",SUMIF('Species'!$G$2:$G$154,A5,'Species'!$U$2:$U$154))</x:f>
        <x:v>20176.628254633644</x:v>
      </x:c>
      <x:c r="J5" s="32" t="n">
        <x:v>3.8045528166514946</x:v>
      </x:c>
      <x:c r="K5" s="32" t="n">
        <x:f>IF(J5="","",(1/'Metadata'!$B$5)^(J5-1))</x:f>
        <x:v>637.60661874329</x:v>
      </x:c>
      <x:c r="L5" s="31" t="n">
        <x:f>IF(E5=0,"",E5*K5)</x:f>
        <x:v>19055.829952840657</x:v>
      </x:c>
      <x:c r="M5" s="31" t="n">
        <x:f>IF(E5=0,"",I5-L5)</x:f>
        <x:v>1120.7983017929873</x:v>
      </x:c>
      <x:c r="N5" s="32" t="n">
        <x:f>IF(L5=0,"",I5/L5)</x:f>
        <x:v>1.058816556642599</x:v>
      </x:c>
      <x:c r="O5" s="34" t="n">
        <x:f>IF(L5=0,"",M5/L5)</x:f>
        <x:v>0.05881655664259901</x:v>
      </x:c>
    </x:row>
    <x:row r="6" ht="18" customHeight="1">
      <x:c r="A6" s="24" t="str">
        <x:v>Large flatfishes (&gt;=90 cm)</x:v>
      </x:c>
      <x:c r="B6" s="33" t="n">
        <x:v>2</x:v>
      </x:c>
      <x:c r="C6" s="33" t="n">
        <x:v>2</x:v>
      </x:c>
      <x:c r="D6" s="31" t="n">
        <x:v>802.477826399</x:v>
      </x:c>
      <x:c r="E6" s="31" t="n">
        <x:v>802.477826399</x:v>
      </x:c>
      <x:c r="F6" s="32" t="n">
        <x:v>0</x:v>
      </x:c>
      <x:c r="G6" s="34" t="n">
        <x:v>1</x:v>
      </x:c>
      <x:c r="H6" s="32" t="n">
        <x:f>IF(E6=0,"",I6/E6)</x:f>
        <x:v>279.75140431678227</x:v>
      </x:c>
      <x:c r="I6" s="31" t="n">
        <x:f>IF(C6=0,"",SUMIF('Species'!$G$2:$G$154,A6,'Species'!$U$2:$U$154))</x:f>
        <x:v>224494.29886819926</x:v>
      </x:c>
      <x:c r="J6" s="32" t="n">
        <x:v>3.311002690689773</x:v>
      </x:c>
      <x:c r="K6" s="32" t="n">
        <x:f>IF(J6="","",(1/'Metadata'!$B$5)^(J6-1))</x:f>
        <x:v>204.64573155979784</x:v>
      </x:c>
      <x:c r="L6" s="31" t="n">
        <x:f>IF(E6=0,"",E6*K6)</x:f>
        <x:v>164223.6618439398</x:v>
      </x:c>
      <x:c r="M6" s="31" t="n">
        <x:f>IF(E6=0,"",I6-L6)</x:f>
        <x:v>60270.63702425946</x:v>
      </x:c>
      <x:c r="N6" s="32" t="n">
        <x:f>IF(L6=0,"",I6/L6)</x:f>
        <x:v>1.3670033681354279</x:v>
      </x:c>
      <x:c r="O6" s="34" t="n">
        <x:f>IF(L6=0,"",M6/L6)</x:f>
        <x:v>0.3670033681354279</x:v>
      </x:c>
    </x:row>
    <x:row r="7" ht="18" customHeight="1">
      <x:c r="A7" s="24" t="str">
        <x:v>Large pelagics (&gt;=90 cm)</x:v>
      </x:c>
      <x:c r="B7" s="33" t="n">
        <x:v>2</x:v>
      </x:c>
      <x:c r="C7" s="33" t="n">
        <x:v>2</x:v>
      </x:c>
      <x:c r="D7" s="31" t="n">
        <x:v>0.1266030537</x:v>
      </x:c>
      <x:c r="E7" s="31" t="n">
        <x:v>0.1266030537</x:v>
      </x:c>
      <x:c r="F7" s="32" t="n">
        <x:v>0</x:v>
      </x:c>
      <x:c r="G7" s="34" t="n">
        <x:v>1</x:v>
      </x:c>
      <x:c r="H7" s="32" t="n">
        <x:f>IF(E7=0,"",I7/E7)</x:f>
        <x:v>1096.113573723866</x:v>
      </x:c>
      <x:c r="I7" s="31" t="n">
        <x:f>IF(C7=0,"",SUMIF('Species'!$G$2:$G$154,A7,'Species'!$U$2:$U$154))</x:f>
        <x:v>138.77132563546152</x:v>
      </x:c>
      <x:c r="J7" s="32" t="n">
        <x:v>4.039714150686399</x:v>
      </x:c>
      <x:c r="K7" s="32" t="n">
        <x:f>IF(J7="","",(1/'Metadata'!$B$5)^(J7-1))</x:f>
        <x:v>1095.7567400169369</x:v>
      </x:c>
      <x:c r="L7" s="31" t="n">
        <x:f>IF(E7=0,"",E7*K7)</x:f>
        <x:v>138.7261493985012</x:v>
      </x:c>
      <x:c r="M7" s="31" t="n">
        <x:f>IF(E7=0,"",I7-L7)</x:f>
        <x:v>0.04517623696031592</x:v>
      </x:c>
      <x:c r="N7" s="32" t="n">
        <x:f>IF(L7=0,"",I7/L7)</x:f>
        <x:v>1.0003256504787035</x:v>
      </x:c>
      <x:c r="O7" s="34" t="n">
        <x:f>IF(L7=0,"",M7/L7)</x:f>
        <x:v>0.00032565047870350536</x:v>
      </x:c>
    </x:row>
    <x:row r="8" ht="18" customHeight="1">
      <x:c r="A8" s="24" t="str">
        <x:v>Large rays (&gt;=90 cm)</x:v>
      </x:c>
      <x:c r="B8" s="33" t="n">
        <x:v>6</x:v>
      </x:c>
      <x:c r="C8" s="33" t="n">
        <x:v>6</x:v>
      </x:c>
      <x:c r="D8" s="31" t="n">
        <x:v>32.483008064</x:v>
      </x:c>
      <x:c r="E8" s="31" t="n">
        <x:v>32.483008064</x:v>
      </x:c>
      <x:c r="F8" s="32" t="n">
        <x:v>0</x:v>
      </x:c>
      <x:c r="G8" s="34" t="n">
        <x:v>1</x:v>
      </x:c>
      <x:c r="H8" s="32" t="n">
        <x:f>IF(E8=0,"",I8/E8)</x:f>
        <x:v>689.4634686820533</x:v>
      </x:c>
      <x:c r="I8" s="31" t="n">
        <x:f>IF(C8=0,"",SUMIF('Species'!$G$2:$G$154,A8,'Species'!$U$2:$U$154))</x:f>
        <x:v>22395.847413032552</x:v>
      </x:c>
      <x:c r="J8" s="32" t="n">
        <x:v>3.816830355261552</x:v>
      </x:c>
      <x:c r="K8" s="32" t="n">
        <x:f>IF(J8="","",(1/'Metadata'!$B$5)^(J8-1))</x:f>
        <x:v>655.889011942774</x:v>
      </x:c>
      <x:c r="L8" s="31" t="n">
        <x:f>IF(E8=0,"",E8*K8)</x:f>
        <x:v>21305.248064026124</x:v>
      </x:c>
      <x:c r="M8" s="31" t="n">
        <x:f>IF(E8=0,"",I8-L8)</x:f>
        <x:v>1090.5993490064284</x:v>
      </x:c>
      <x:c r="N8" s="32" t="n">
        <x:f>IF(L8=0,"",I8/L8)</x:f>
        <x:v>1.0511892349588694</x:v>
      </x:c>
      <x:c r="O8" s="34" t="n">
        <x:f>IF(L8=0,"",M8/L8)</x:f>
        <x:v>0.0511892349588693</x:v>
      </x:c>
    </x:row>
    <x:row r="9" ht="18" customHeight="1">
      <x:c r="A9" s="24" t="str">
        <x:v>Large reef assoc. fish (&gt;=90 cm)</x:v>
      </x:c>
      <x:c r="B9" s="33" t="n">
        <x:v>2</x:v>
      </x:c>
      <x:c r="C9" s="33" t="n">
        <x:v>2</x:v>
      </x:c>
      <x:c r="D9" s="31" t="n">
        <x:v>3.8172645458</x:v>
      </x:c>
      <x:c r="E9" s="31" t="n">
        <x:v>3.8172645458</x:v>
      </x:c>
      <x:c r="F9" s="32" t="n">
        <x:v>0</x:v>
      </x:c>
      <x:c r="G9" s="34" t="n">
        <x:v>1</x:v>
      </x:c>
      <x:c r="H9" s="32" t="n">
        <x:f>IF(E9=0,"",I9/E9)</x:f>
        <x:v>195.65320767199236</x:v>
      </x:c>
      <x:c r="I9" s="31" t="n">
        <x:f>IF(C9=0,"",SUMIF('Species'!$G$2:$G$154,A9,'Species'!$U$2:$U$154))</x:f>
        <x:v>746.860052918341</x:v>
      </x:c>
      <x:c r="J9" s="32" t="n">
        <x:v>3.2882183771267615</x:v>
      </x:c>
      <x:c r="K9" s="32" t="n">
        <x:f>IF(J9="","",(1/'Metadata'!$B$5)^(J9-1))</x:f>
        <x:v>194.1862062366628</x:v>
      </x:c>
      <x:c r="L9" s="31" t="n">
        <x:f>IF(E9=0,"",E9*K9)</x:f>
        <x:v>741.2601203506198</x:v>
      </x:c>
      <x:c r="M9" s="31" t="n">
        <x:f>IF(E9=0,"",I9-L9)</x:f>
        <x:v>5.5999325677212255</x:v>
      </x:c>
      <x:c r="N9" s="32" t="n">
        <x:f>IF(L9=0,"",I9/L9)</x:f>
        <x:v>1.0075546119560195</x:v>
      </x:c>
      <x:c r="O9" s="34" t="n">
        <x:f>IF(L9=0,"",M9/L9)</x:f>
        <x:v>0.007554611956019473</x:v>
      </x:c>
    </x:row>
    <x:row r="10" ht="18" customHeight="1">
      <x:c r="A10" s="24" t="str">
        <x:v>Large sharks (&gt;=90 cm)</x:v>
      </x:c>
      <x:c r="B10" s="33" t="n">
        <x:v>12</x:v>
      </x:c>
      <x:c r="C10" s="33" t="n">
        <x:v>12</x:v>
      </x:c>
      <x:c r="D10" s="31" t="n">
        <x:v>45.911193261</x:v>
      </x:c>
      <x:c r="E10" s="31" t="n">
        <x:v>45.911193261</x:v>
      </x:c>
      <x:c r="F10" s="32" t="n">
        <x:v>0</x:v>
      </x:c>
      <x:c r="G10" s="34" t="n">
        <x:v>1</x:v>
      </x:c>
      <x:c r="H10" s="32" t="n">
        <x:f>IF(E10=0,"",I10/E10)</x:f>
        <x:v>1209.250916366782</x:v>
      </x:c>
      <x:c r="I10" s="31" t="n">
        <x:f>IF(C10=0,"",SUMIF('Species'!$G$2:$G$154,A10,'Species'!$U$2:$U$154))</x:f>
        <x:v>55518.15252235667</x:v>
      </x:c>
      <x:c r="J10" s="32" t="n">
        <x:v>4.065906821250437</x:v>
      </x:c>
      <x:c r="K10" s="32" t="n">
        <x:f>IF(J10="","",(1/'Metadata'!$B$5)^(J10-1))</x:f>
        <x:v>1163.87629063488</x:v>
      </x:c>
      <x:c r="L10" s="31" t="n">
        <x:f>IF(E10=0,"",E10*K10)</x:f>
        <x:v>53434.94931123378</x:v>
      </x:c>
      <x:c r="M10" s="31" t="n">
        <x:f>IF(E10=0,"",I10-L10)</x:f>
        <x:v>2083.203211122891</x:v>
      </x:c>
      <x:c r="N10" s="32" t="n">
        <x:f>IF(L10=0,"",I10/L10)</x:f>
        <x:v>1.0389857806168992</x:v>
      </x:c>
      <x:c r="O10" s="34" t="n">
        <x:f>IF(L10=0,"",M10/L10)</x:f>
        <x:v>0.03898578061689923</x:v>
      </x:c>
    </x:row>
    <x:row r="11" ht="18" customHeight="1">
      <x:c r="A11" s="24" t="str">
        <x:v>Lobsters, crabs</x:v>
      </x:c>
      <x:c r="B11" s="33" t="n">
        <x:v>8</x:v>
      </x:c>
      <x:c r="C11" s="33" t="n">
        <x:v>8</x:v>
      </x:c>
      <x:c r="D11" s="31" t="n">
        <x:v>509.5456188952999</x:v>
      </x:c>
      <x:c r="E11" s="31" t="n">
        <x:v>509.5456188952999</x:v>
      </x:c>
      <x:c r="F11" s="32" t="n">
        <x:v>0</x:v>
      </x:c>
      <x:c r="G11" s="34" t="n">
        <x:v>1</x:v>
      </x:c>
      <x:c r="H11" s="32" t="n">
        <x:f>IF(E11=0,"",I11/E11)</x:f>
        <x:v>127.30537119630645</x:v>
      </x:c>
      <x:c r="I11" s="31" t="n">
        <x:f>IF(C11=0,"",SUMIF('Species'!$G$2:$G$154,A11,'Species'!$U$2:$U$154))</x:f>
        <x:v>64867.89415491786</x:v>
      </x:c>
      <x:c r="J11" s="32" t="n">
        <x:v>3.0976762119568644</x:v>
      </x:c>
      <x:c r="K11" s="32" t="n">
        <x:f>IF(J11="","",(1/'Metadata'!$B$5)^(J11-1))</x:f>
        <x:v>125.22072443271956</x:v>
      </x:c>
      <x:c r="L11" s="31" t="n">
        <x:f>IF(E11=0,"",E11*K11)</x:f>
        <x:v>63805.6715295879</x:v>
      </x:c>
      <x:c r="M11" s="31" t="n">
        <x:f>IF(E11=0,"",I11-L11)</x:f>
        <x:v>1062.2226253299668</x:v>
      </x:c>
      <x:c r="N11" s="32" t="n">
        <x:f>IF(L11=0,"",I11/L11)</x:f>
        <x:v>1.016647777538669</x:v>
      </x:c>
      <x:c r="O11" s="34" t="n">
        <x:f>IF(L11=0,"",M11/L11)</x:f>
        <x:v>0.01664777753866902</x:v>
      </x:c>
    </x:row>
    <x:row r="12" ht="18" customHeight="1">
      <x:c r="A12" s="24" t="str">
        <x:v>Medium bathydemersals (30 - 89 cm)</x:v>
      </x:c>
      <x:c r="B12" s="33" t="n">
        <x:v>2</x:v>
      </x:c>
      <x:c r="C12" s="33" t="n">
        <x:v>2</x:v>
      </x:c>
      <x:c r="D12" s="31" t="n">
        <x:v>32.3238633549</x:v>
      </x:c>
      <x:c r="E12" s="31" t="n">
        <x:v>32.3238633549</x:v>
      </x:c>
      <x:c r="F12" s="32" t="n">
        <x:v>0</x:v>
      </x:c>
      <x:c r="G12" s="34" t="n">
        <x:v>1</x:v>
      </x:c>
      <x:c r="H12" s="32" t="n">
        <x:f>IF(E12=0,"",I12/E12)</x:f>
        <x:v>2884.031503126606</x:v>
      </x:c>
      <x:c r="I12" s="31" t="n">
        <x:f>IF(C12=0,"",SUMIF('Species'!$G$2:$G$154,A12,'Species'!$U$2:$U$154))</x:f>
        <x:v>93223.04021829125</x:v>
      </x:c>
      <x:c r="J12" s="32" t="n">
        <x:v>4.459999999999999</x:v>
      </x:c>
      <x:c r="K12" s="32" t="n">
        <x:f>IF(J12="","",(1/'Metadata'!$B$5)^(J12-1))</x:f>
        <x:v>2884.0315031266</x:v>
      </x:c>
      <x:c r="L12" s="31" t="n">
        <x:f>IF(E12=0,"",E12*K12)</x:f>
        <x:v>93223.04021829106</x:v>
      </x:c>
      <x:c r="M12" s="31" t="n">
        <x:f>IF(E12=0,"",I12-L12)</x:f>
        <x:v>1.8917489796876907e-10</x:v>
      </x:c>
      <x:c r="N12" s="32" t="n">
        <x:f>IF(L12=0,"",I12/L12)</x:f>
        <x:v>1.000000000000002</x:v>
      </x:c>
      <x:c r="O12" s="34" t="n">
        <x:f>IF(L12=0,"",M12/L12)</x:f>
        <x:v>2.0292719216815623e-15</x:v>
      </x:c>
    </x:row>
    <x:row r="13" ht="18" customHeight="1">
      <x:c r="A13" s="24" t="str">
        <x:v>Medium benthopelagics (30 - 89 cm)</x:v>
      </x:c>
      <x:c r="B13" s="33" t="n">
        <x:v>10</x:v>
      </x:c>
      <x:c r="C13" s="33" t="n">
        <x:v>10</x:v>
      </x:c>
      <x:c r="D13" s="31" t="n">
        <x:v>385.92061585230005</x:v>
      </x:c>
      <x:c r="E13" s="31" t="n">
        <x:v>385.92061585230005</x:v>
      </x:c>
      <x:c r="F13" s="32" t="n">
        <x:v>0</x:v>
      </x:c>
      <x:c r="G13" s="34" t="n">
        <x:v>1</x:v>
      </x:c>
      <x:c r="H13" s="32" t="n">
        <x:f>IF(E13=0,"",I13/E13)</x:f>
        <x:v>2197.743087762676</x:v>
      </x:c>
      <x:c r="I13" s="31" t="n">
        <x:f>IF(C13=0,"",SUMIF('Species'!$G$2:$G$154,A13,'Species'!$U$2:$U$154))</x:f>
        <x:v>848154.3659145075</x:v>
      </x:c>
      <x:c r="J13" s="32" t="n">
        <x:v>4.325962460199954</x:v>
      </x:c>
      <x:c r="K13" s="32" t="n">
        <x:f>IF(J13="","",(1/'Metadata'!$B$5)^(J13-1))</x:f>
        <x:v>2118.17803502519</x:v>
      </x:c>
      <x:c r="L13" s="31" t="n">
        <x:f>IF(E13=0,"",E13*K13)</x:f>
        <x:v>817448.5717617362</x:v>
      </x:c>
      <x:c r="M13" s="31" t="n">
        <x:f>IF(E13=0,"",I13-L13)</x:f>
        <x:v>30705.794152771356</x:v>
      </x:c>
      <x:c r="N13" s="32" t="n">
        <x:f>IF(L13=0,"",I13/L13)</x:f>
        <x:v>1.037562967522954</x:v>
      </x:c>
      <x:c r="O13" s="34" t="n">
        <x:f>IF(L13=0,"",M13/L13)</x:f>
        <x:v>0.037562967522954155</x:v>
      </x:c>
    </x:row>
    <x:row r="14" ht="18" customHeight="1">
      <x:c r="A14" s="24" t="str">
        <x:v>Medium demersals (30 - 89 cm)</x:v>
      </x:c>
      <x:c r="B14" s="33" t="n">
        <x:v>24</x:v>
      </x:c>
      <x:c r="C14" s="33" t="n">
        <x:v>24</x:v>
      </x:c>
      <x:c r="D14" s="31" t="n">
        <x:v>249.2758960123</x:v>
      </x:c>
      <x:c r="E14" s="31" t="n">
        <x:v>249.2758960123</x:v>
      </x:c>
      <x:c r="F14" s="32" t="n">
        <x:v>0</x:v>
      </x:c>
      <x:c r="G14" s="34" t="n">
        <x:v>1</x:v>
      </x:c>
      <x:c r="H14" s="32" t="n">
        <x:f>IF(E14=0,"",I14/E14)</x:f>
        <x:v>511.45851181710384</x:v>
      </x:c>
      <x:c r="I14" s="31" t="n">
        <x:f>IF(C14=0,"",SUMIF('Species'!$G$2:$G$154,A14,'Species'!$U$2:$U$154))</x:f>
        <x:v>127494.27880632608</x:v>
      </x:c>
      <x:c r="J14" s="32" t="n">
        <x:v>3.611673343809979</x:v>
      </x:c>
      <x:c r="K14" s="32" t="n">
        <x:f>IF(J14="","",(1/'Metadata'!$B$5)^(J14-1))</x:f>
        <x:v>408.9529485588543</x:v>
      </x:c>
      <x:c r="L14" s="31" t="n">
        <x:f>IF(E14=0,"",E14*K14)</x:f>
        <x:v>101942.11267888044</x:v>
      </x:c>
      <x:c r="M14" s="31" t="n">
        <x:f>IF(E14=0,"",I14-L14)</x:f>
        <x:v>25552.166127445642</x:v>
      </x:c>
      <x:c r="N14" s="32" t="n">
        <x:f>IF(L14=0,"",I14/L14)</x:f>
        <x:v>1.2506536842917455</x:v>
      </x:c>
      <x:c r="O14" s="34" t="n">
        <x:f>IF(L14=0,"",M14/L14)</x:f>
        <x:v>0.2506536842917455</x:v>
      </x:c>
    </x:row>
    <x:row r="15" ht="18" customHeight="1">
      <x:c r="A15" s="24" t="str">
        <x:v>Medium pelagics (30 - 89 cm)</x:v>
      </x:c>
      <x:c r="B15" s="33" t="n">
        <x:v>10</x:v>
      </x:c>
      <x:c r="C15" s="33" t="n">
        <x:v>10</x:v>
      </x:c>
      <x:c r="D15" s="31" t="n">
        <x:v>82.06064285469998</x:v>
      </x:c>
      <x:c r="E15" s="31" t="n">
        <x:v>82.06064285469998</x:v>
      </x:c>
      <x:c r="F15" s="32" t="n">
        <x:v>0</x:v>
      </x:c>
      <x:c r="G15" s="34" t="n">
        <x:v>1</x:v>
      </x:c>
      <x:c r="H15" s="32" t="n">
        <x:f>IF(E15=0,"",I15/E15)</x:f>
        <x:v>484.5944468958951</x:v>
      </x:c>
      <x:c r="I15" s="31" t="n">
        <x:f>IF(C15=0,"",SUMIF('Species'!$G$2:$G$154,A15,'Species'!$U$2:$U$154))</x:f>
        <x:v>39766.13183609492</x:v>
      </x:c>
      <x:c r="J15" s="32" t="n">
        <x:v>3.555080946670614</x:v>
      </x:c>
      <x:c r="K15" s="32" t="n">
        <x:f>IF(J15="","",(1/'Metadata'!$B$5)^(J15-1))</x:f>
        <x:v>358.9888391178772</x:v>
      </x:c>
      <x:c r="L15" s="31" t="n">
        <x:f>IF(E15=0,"",E15*K15)</x:f>
        <x:v>29458.85491567547</x:v>
      </x:c>
      <x:c r="M15" s="31" t="n">
        <x:f>IF(E15=0,"",I15-L15)</x:f>
        <x:v>10307.276920419452</x:v>
      </x:c>
      <x:c r="N15" s="32" t="n">
        <x:f>IF(L15=0,"",I15/L15)</x:f>
        <x:v>1.3498872223622924</x:v>
      </x:c>
      <x:c r="O15" s="34" t="n">
        <x:f>IF(L15=0,"",M15/L15)</x:f>
        <x:v>0.3498872223622923</x:v>
      </x:c>
    </x:row>
    <x:row r="16" ht="18" customHeight="1">
      <x:c r="A16" s="24" t="str">
        <x:v>Medium reef assoc. fish (30 - 89 cm)</x:v>
      </x:c>
      <x:c r="B16" s="33" t="n">
        <x:v>5</x:v>
      </x:c>
      <x:c r="C16" s="33" t="n">
        <x:v>5</x:v>
      </x:c>
      <x:c r="D16" s="31" t="n">
        <x:v>0.8856285745999999</x:v>
      </x:c>
      <x:c r="E16" s="31" t="n">
        <x:v>0.8856285745999999</x:v>
      </x:c>
      <x:c r="F16" s="32" t="n">
        <x:v>0</x:v>
      </x:c>
      <x:c r="G16" s="34" t="n">
        <x:v>1</x:v>
      </x:c>
      <x:c r="H16" s="32" t="n">
        <x:f>IF(E16=0,"",I16/E16)</x:f>
        <x:v>230.39514424670867</x:v>
      </x:c>
      <x:c r="I16" s="31" t="n">
        <x:f>IF(C16=0,"",SUMIF('Species'!$G$2:$G$154,A16,'Species'!$U$2:$U$154))</x:f>
        <x:v>204.04452319397396</x:v>
      </x:c>
      <x:c r="J16" s="32" t="n">
        <x:v>3.3404828121418664</x:v>
      </x:c>
      <x:c r="K16" s="32" t="n">
        <x:f>IF(J16="","",(1/'Metadata'!$B$5)^(J16-1))</x:f>
        <x:v>219.01951460820183</x:v>
      </x:c>
      <x:c r="L16" s="31" t="n">
        <x:f>IF(E16=0,"",E16*K16)</x:f>
        <x:v>193.96994053204563</x:v>
      </x:c>
      <x:c r="M16" s="31" t="n">
        <x:f>IF(E16=0,"",I16-L16)</x:f>
        <x:v>10.074582661928332</x:v>
      </x:c>
      <x:c r="N16" s="32" t="n">
        <x:f>IF(L16=0,"",I16/L16)</x:f>
        <x:v>1.0519388861711998</x:v>
      </x:c>
      <x:c r="O16" s="34" t="n">
        <x:f>IF(L16=0,"",M16/L16)</x:f>
        <x:v>0.051938886171199905</x:v>
      </x:c>
    </x:row>
    <x:row r="17" ht="18" customHeight="1">
      <x:c r="A17" s="24" t="str">
        <x:v>Other demersal invertebrates</x:v>
      </x:c>
      <x:c r="B17" s="33" t="n">
        <x:v>17</x:v>
      </x:c>
      <x:c r="C17" s="33" t="n">
        <x:v>17</x:v>
      </x:c>
      <x:c r="D17" s="31" t="n">
        <x:v>268.3101772053</x:v>
      </x:c>
      <x:c r="E17" s="31" t="n">
        <x:v>268.3101772053</x:v>
      </x:c>
      <x:c r="F17" s="32" t="n">
        <x:v>0</x:v>
      </x:c>
      <x:c r="G17" s="34" t="n">
        <x:v>1</x:v>
      </x:c>
      <x:c r="H17" s="32" t="n">
        <x:f>IF(E17=0,"",I17/E17)</x:f>
        <x:v>78.61543456237824</x:v>
      </x:c>
      <x:c r="I17" s="31" t="n">
        <x:f>IF(C17=0,"",SUMIF('Species'!$G$2:$G$154,A17,'Species'!$U$2:$U$154))</x:f>
        <x:v>21093.321178503375</x:v>
      </x:c>
      <x:c r="J17" s="32" t="n">
        <x:v>2.249675295502841</x:v>
      </x:c>
      <x:c r="K17" s="32" t="n">
        <x:f>IF(J17="","",(1/'Metadata'!$B$5)^(J17-1))</x:f>
        <x:v>17.76950359027712</x:v>
      </x:c>
      <x:c r="L17" s="31" t="n">
        <x:f>IF(E17=0,"",E17*K17)</x:f>
        <x:v>4767.73865715747</x:v>
      </x:c>
      <x:c r="M17" s="31" t="n">
        <x:f>IF(E17=0,"",I17-L17)</x:f>
        <x:v>16325.582521345905</x:v>
      </x:c>
      <x:c r="N17" s="32" t="n">
        <x:f>IF(L17=0,"",I17/L17)</x:f>
        <x:v>4.4241773082166445</x:v>
      </x:c>
      <x:c r="O17" s="34" t="n">
        <x:f>IF(L17=0,"",M17/L17)</x:f>
        <x:v>3.4241773082166445</x:v>
      </x:c>
    </x:row>
    <x:row r="18" ht="18" customHeight="1">
      <x:c r="A18" s="24" t="str">
        <x:v>Shrimps</x:v>
      </x:c>
      <x:c r="B18" s="33" t="n">
        <x:v>4</x:v>
      </x:c>
      <x:c r="C18" s="33" t="n">
        <x:v>4</x:v>
      </x:c>
      <x:c r="D18" s="31" t="n">
        <x:v>897.6827039209</x:v>
      </x:c>
      <x:c r="E18" s="31" t="n">
        <x:v>897.6827039209</x:v>
      </x:c>
      <x:c r="F18" s="32" t="n">
        <x:v>0</x:v>
      </x:c>
      <x:c r="G18" s="34" t="n">
        <x:v>1</x:v>
      </x:c>
      <x:c r="H18" s="32" t="n">
        <x:f>IF(E18=0,"",I18/E18)</x:f>
        <x:v>154.2082460929782</x:v>
      </x:c>
      <x:c r="I18" s="31" t="n">
        <x:f>IF(C18=0,"",SUMIF('Species'!$G$2:$G$154,A18,'Species'!$U$2:$U$154))</x:f>
        <x:v>138430.07531964424</x:v>
      </x:c>
      <x:c r="J18" s="32" t="n">
        <x:v>3.1868518430457216</x:v>
      </x:c>
      <x:c r="K18" s="32" t="n">
        <x:f>IF(J18="","",(1/'Metadata'!$B$5)^(J18-1))</x:f>
        <x:v>153.7629997579567</x:v>
      </x:c>
      <x:c r="L18" s="31" t="n">
        <x:f>IF(E18=0,"",E18*K18)</x:f>
        <x:v>138030.38538571127</x:v>
      </x:c>
      <x:c r="M18" s="31" t="n">
        <x:f>IF(E18=0,"",I18-L18)</x:f>
        <x:v>399.6899339329684</x:v>
      </x:c>
      <x:c r="N18" s="32" t="n">
        <x:f>IF(L18=0,"",I18/L18)</x:f>
        <x:v>1.0028956662898252</x:v>
      </x:c>
      <x:c r="O18" s="34" t="n">
        <x:f>IF(L18=0,"",M18/L18)</x:f>
        <x:v>0.0028956662898250796</x:v>
      </x:c>
    </x:row>
    <x:row r="19" ht="18" customHeight="1">
      <x:c r="A19" s="24" t="str">
        <x:v>Small demersals (&lt;30 cm)</x:v>
      </x:c>
      <x:c r="B19" s="33" t="n">
        <x:v>1</x:v>
      </x:c>
      <x:c r="C19" s="33" t="n">
        <x:v>1</x:v>
      </x:c>
      <x:c r="D19" s="31" t="n">
        <x:v>0.000247091</x:v>
      </x:c>
      <x:c r="E19" s="31" t="n">
        <x:v>0.000247091</x:v>
      </x:c>
      <x:c r="F19" s="32" t="n">
        <x:v>0</x:v>
      </x:c>
      <x:c r="G19" s="34" t="n">
        <x:v>1</x:v>
      </x:c>
      <x:c r="H19" s="32" t="n">
        <x:f>IF(E19=0,"",I19/E19)</x:f>
        <x:v>120.22644346174131</x:v>
      </x:c>
      <x:c r="I19" s="31" t="n">
        <x:f>IF(C19=0,"",SUMIF('Species'!$G$2:$G$154,A19,'Species'!$U$2:$U$154))</x:f>
        <x:v>0.029706872141405122</x:v>
      </x:c>
      <x:c r="J19" s="32" t="n">
        <x:v>3.08</x:v>
      </x:c>
      <x:c r="K19" s="32" t="n">
        <x:f>IF(J19="","",(1/'Metadata'!$B$5)^(J19-1))</x:f>
        <x:v>120.22644346174131</x:v>
      </x:c>
      <x:c r="L19" s="31" t="n">
        <x:f>IF(E19=0,"",E19*K19)</x:f>
        <x:v>0.029706872141405122</x:v>
      </x:c>
      <x:c r="M19" s="31" t="n">
        <x:f>IF(E19=0,"",I19-L19)</x:f>
        <x:v>0</x:v>
      </x:c>
      <x:c r="N19" s="32" t="n">
        <x:f>IF(L19=0,"",I19/L19)</x:f>
        <x:v>1</x:v>
      </x:c>
      <x:c r="O19" s="34" t="n">
        <x:f>IF(L19=0,"",M19/L19)</x:f>
        <x:v>0</x:v>
      </x:c>
    </x:row>
    <x:row r="20" ht="18" customHeight="1">
      <x:c r="A20" s="24" t="str">
        <x:v>Small pelagics (&lt;30 cm)</x:v>
      </x:c>
      <x:c r="B20" s="33" t="n">
        <x:v>4</x:v>
      </x:c>
      <x:c r="C20" s="33" t="n">
        <x:v>4</x:v>
      </x:c>
      <x:c r="D20" s="31" t="n">
        <x:v>10.1059887711</x:v>
      </x:c>
      <x:c r="E20" s="31" t="n">
        <x:v>10.1059887711</x:v>
      </x:c>
      <x:c r="F20" s="32" t="n">
        <x:v>0</x:v>
      </x:c>
      <x:c r="G20" s="34" t="n">
        <x:v>1</x:v>
      </x:c>
      <x:c r="H20" s="32" t="n">
        <x:f>IF(E20=0,"",I20/E20)</x:f>
        <x:v>130.75494024317302</x:v>
      </x:c>
      <x:c r="I20" s="31" t="n">
        <x:f>IF(C20=0,"",SUMIF('Species'!$G$2:$G$154,A20,'Species'!$U$2:$U$154))</x:f>
        <x:v>1321.4079578633582</x:v>
      </x:c>
      <x:c r="J20" s="32" t="n">
        <x:v>3.1127944170619664</x:v>
      </x:c>
      <x:c r="K20" s="32" t="n">
        <x:f>IF(J20="","",(1/'Metadata'!$B$5)^(J20-1))</x:f>
        <x:v>129.65653676814873</x:v>
      </x:c>
      <x:c r="L20" s="31" t="n">
        <x:f>IF(E20=0,"",E20*K20)</x:f>
        <x:v>1310.3075046786253</x:v>
      </x:c>
      <x:c r="M20" s="31" t="n">
        <x:f>IF(E20=0,"",I20-L20)</x:f>
        <x:v>11.100453184732942</x:v>
      </x:c>
      <x:c r="N20" s="32" t="n">
        <x:f>IF(L20=0,"",I20/L20)</x:f>
        <x:v>1.0084716397831024</x:v>
      </x:c>
      <x:c r="O20" s="34" t="n">
        <x:f>IF(L20=0,"",M20/L20)</x:f>
        <x:v>0.008471639783102298</x:v>
      </x:c>
    </x:row>
    <x:row r="21" ht="18" customHeight="1">
      <x:c r="A21" s="24" t="str">
        <x:v>Small reef assoc. fish (&lt;30 cm)</x:v>
      </x:c>
      <x:c r="B21" s="33" t="n">
        <x:v>1</x:v>
      </x:c>
      <x:c r="C21" s="33" t="n">
        <x:v>1</x:v>
      </x:c>
      <x:c r="D21" s="31" t="n">
        <x:v>0.0000052911</x:v>
      </x:c>
      <x:c r="E21" s="31" t="n">
        <x:v>0.0000052911</x:v>
      </x:c>
      <x:c r="F21" s="32" t="n">
        <x:v>0</x:v>
      </x:c>
      <x:c r="G21" s="34" t="n">
        <x:v>1</x:v>
      </x:c>
      <x:c r="H21" s="32" t="n">
        <x:f>IF(E21=0,"",I21/E21)</x:f>
        <x:v>128.82495516931337</x:v>
      </x:c>
      <x:c r="I21" s="31" t="n">
        <x:f>IF(C21=0,"",SUMIF('Species'!$G$2:$G$154,A21,'Species'!$U$2:$U$154))</x:f>
        <x:v>0.000681625720296354</x:v>
      </x:c>
      <x:c r="J21" s="32" t="n">
        <x:v>3.11</x:v>
      </x:c>
      <x:c r="K21" s="32" t="n">
        <x:f>IF(J21="","",(1/'Metadata'!$B$5)^(J21-1))</x:f>
        <x:v>128.82495516931337</x:v>
      </x:c>
      <x:c r="L21" s="31" t="n">
        <x:f>IF(E21=0,"",E21*K21)</x:f>
        <x:v>0.000681625720296354</x:v>
      </x:c>
      <x:c r="M21" s="31" t="n">
        <x:f>IF(E21=0,"",I21-L21)</x:f>
        <x:v>0</x:v>
      </x:c>
      <x:c r="N21" s="32" t="n">
        <x:f>IF(L21=0,"",I21/L21)</x:f>
        <x:v>1</x:v>
      </x:c>
      <x:c r="O21" s="34" t="n">
        <x:f>IF(L21=0,"",M21/L21)</x:f>
        <x:v>0</x:v>
      </x:c>
    </x:row>
    <x:row r="22" ht="18" customHeight="1">
      <x:c r="A22" s="24" t="str">
        <x:v>Small to medium flatfishes (&lt;90 cm)</x:v>
      </x:c>
      <x:c r="B22" s="33" t="n">
        <x:v>16</x:v>
      </x:c>
      <x:c r="C22" s="33" t="n">
        <x:v>16</x:v>
      </x:c>
      <x:c r="D22" s="31" t="n">
        <x:v>942.5531017769</x:v>
      </x:c>
      <x:c r="E22" s="31" t="n">
        <x:v>942.5531017769</x:v>
      </x:c>
      <x:c r="F22" s="32" t="n">
        <x:v>0</x:v>
      </x:c>
      <x:c r="G22" s="34" t="n">
        <x:v>1</x:v>
      </x:c>
      <x:c r="H22" s="32" t="n">
        <x:f>IF(E22=0,"",I22/E22)</x:f>
        <x:v>246.73514981955117</x:v>
      </x:c>
      <x:c r="I22" s="31" t="n">
        <x:f>IF(C22=0,"",SUMIF('Species'!$G$2:$G$154,A22,'Species'!$U$2:$U$154))</x:f>
        <x:v>232560.9807798061</x:v>
      </x:c>
      <x:c r="J22" s="32" t="n">
        <x:v>3.2944012700641188</x:v>
      </x:c>
      <x:c r="K22" s="32" t="n">
        <x:f>IF(J22="","",(1/'Metadata'!$B$5)^(J22-1))</x:f>
        <x:v>196.97053751583837</x:v>
      </x:c>
      <x:c r="L22" s="31" t="n">
        <x:f>IF(E22=0,"",E22*K22)</x:f>
        <x:v>185655.19109421672</x:v>
      </x:c>
      <x:c r="M22" s="31" t="n">
        <x:f>IF(E22=0,"",I22-L22)</x:f>
        <x:v>46905.78968558938</x:v>
      </x:c>
      <x:c r="N22" s="32" t="n">
        <x:f>IF(L22=0,"",I22/L22)</x:f>
        <x:v>1.2526500304631154</x:v>
      </x:c>
      <x:c r="O22" s="34" t="n">
        <x:f>IF(L22=0,"",M22/L22)</x:f>
        <x:v>0.25265003046311546</x:v>
      </x:c>
    </x:row>
    <x:row r="23" ht="18" customHeight="1">
      <x:c r="A23" s="24" t="str">
        <x:v>Small to medium rays (&lt;90 cm)</x:v>
      </x:c>
      <x:c r="B23" s="33" t="n">
        <x:v>4</x:v>
      </x:c>
      <x:c r="C23" s="33" t="n">
        <x:v>4</x:v>
      </x:c>
      <x:c r="D23" s="31" t="n">
        <x:v>9.149719329000002</x:v>
      </x:c>
      <x:c r="E23" s="31" t="n">
        <x:v>9.149719329000002</x:v>
      </x:c>
      <x:c r="F23" s="32" t="n">
        <x:v>0</x:v>
      </x:c>
      <x:c r="G23" s="34" t="n">
        <x:v>1</x:v>
      </x:c>
      <x:c r="H23" s="32" t="n">
        <x:f>IF(E23=0,"",I23/E23)</x:f>
        <x:v>708.2930934705767</x:v>
      </x:c>
      <x:c r="I23" s="31" t="n">
        <x:f>IF(C23=0,"",SUMIF('Species'!$G$2:$G$154,A23,'Species'!$U$2:$U$154))</x:f>
        <x:v>6480.68300792494</x:v>
      </x:c>
      <x:c r="J23" s="32" t="n">
        <x:v>3.848392948669868</x:v>
      </x:c>
      <x:c r="K23" s="32" t="n">
        <x:f>IF(J23="","",(1/'Metadata'!$B$5)^(J23-1))</x:f>
        <x:v>705.3309622087385</x:v>
      </x:c>
      <x:c r="L23" s="31" t="n">
        <x:f>IF(E23=0,"",E23*K23)</x:f>
        <x:v>6453.580338263464</x:v>
      </x:c>
      <x:c r="M23" s="31" t="n">
        <x:f>IF(E23=0,"",I23-L23)</x:f>
        <x:v>27.102669661476284</x:v>
      </x:c>
      <x:c r="N23" s="32" t="n">
        <x:f>IF(L23=0,"",I23/L23)</x:f>
        <x:v>1.0041996331092036</x:v>
      </x:c>
      <x:c r="O23" s="34" t="n">
        <x:f>IF(L23=0,"",M23/L23)</x:f>
        <x:v>0.004199633109203549</x:v>
      </x:c>
    </x:row>
    <x:row r="24" ht="18" customHeight="1">
      <x:c r="A24" s="24" t="str">
        <x:v>Small to medium sharks (&lt;90 cm)</x:v>
      </x:c>
      <x:c r="B24" s="33" t="n">
        <x:v>2</x:v>
      </x:c>
      <x:c r="C24" s="33" t="n">
        <x:v>2</x:v>
      </x:c>
      <x:c r="D24" s="31" t="n">
        <x:v>29.3430447979</x:v>
      </x:c>
      <x:c r="E24" s="31" t="n">
        <x:v>29.3430447979</x:v>
      </x:c>
      <x:c r="F24" s="32" t="n">
        <x:v>0</x:v>
      </x:c>
      <x:c r="G24" s="34" t="n">
        <x:v>1</x:v>
      </x:c>
      <x:c r="H24" s="32" t="n">
        <x:f>IF(E24=0,"",I24/E24)</x:f>
        <x:v>675.8174518520374</x:v>
      </x:c>
      <x:c r="I24" s="31" t="n">
        <x:f>IF(C24=0,"",SUMIF('Species'!$G$2:$G$154,A24,'Species'!$U$2:$U$154))</x:f>
        <x:v>19830.54176489696</x:v>
      </x:c>
      <x:c r="J24" s="32" t="n">
        <x:v>3.8294906857944047</x:v>
      </x:c>
      <x:c r="K24" s="32" t="n">
        <x:f>IF(J24="","",(1/'Metadata'!$B$5)^(J24-1))</x:f>
        <x:v>675.2905710510723</x:v>
      </x:c>
      <x:c r="L24" s="31" t="n">
        <x:f>IF(E24=0,"",E24*K24)</x:f>
        <x:v>19815.081477951087</x:v>
      </x:c>
      <x:c r="M24" s="31" t="n">
        <x:f>IF(E24=0,"",I24-L24)</x:f>
        <x:v>15.460286945872213</x:v>
      </x:c>
      <x:c r="N24" s="32" t="n">
        <x:f>IF(L24=0,"",I24/L24)</x:f>
        <x:v>1.0007802282803164</x:v>
      </x:c>
      <x:c r="O24" s="34" t="n">
        <x:f>IF(L24=0,"",M24/L24)</x:f>
        <x:v>0.0007802282803164548</x:v>
      </x:c>
    </x:row>
  </x:sheetData>
  <x:conditionalFormatting sqref="G2:G24">
    <x:cfRule type="cellIs" dxfId="2" priority="1" operator="lessThan">
      <x:formula>0.9</x:formula>
    </x:cfRule>
  </x:conditionalFormatting>
  <x:conditionalFormatting sqref="O2:O24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bab8a038708346e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EEZ_056</x:v>
      </x:c>
      <x:c r="B2" s="24" t="str">
        <x:v>raw_filtered_tonnes</x:v>
      </x:c>
      <x:c r="C2" s="24" t="n">
        <x:v>4482.8223030263</x:v>
      </x:c>
      <x:c r="D2" s="24" t="str">
        <x:v>tonnes</x:v>
      </x:c>
    </x:row>
    <x:row r="3" ht="18" customHeight="1">
      <x:c r="A3" s="24" t="str">
        <x:v>EEZ_056</x:v>
      </x:c>
      <x:c r="B3" s="24" t="str">
        <x:v>species_catch_tonnes</x:v>
      </x:c>
      <x:c r="C3" s="24" t="n">
        <x:v>4482.8223030263</x:v>
      </x:c>
      <x:c r="D3" s="24" t="str">
        <x:v>tonnes</x:v>
      </x:c>
    </x:row>
    <x:row r="4" ht="18" customHeight="1">
      <x:c r="A4" s="24" t="str">
        <x:v>EEZ_056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EEZ_056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EEZ_056</x:v>
      </x:c>
      <x:c r="B6" s="24" t="str">
        <x:v>matched_catch_tonnes</x:v>
      </x:c>
      <x:c r="C6" s="24" t="n">
        <x:v>4482.8223030263</x:v>
      </x:c>
      <x:c r="D6" s="24" t="str">
        <x:v>tonnes</x:v>
      </x:c>
    </x:row>
    <x:row r="7" ht="18" customHeight="1">
      <x:c r="A7" s="24" t="str">
        <x:v>EEZ_056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EEZ_056</x:v>
      </x:c>
      <x:c r="B8" s="24" t="str">
        <x:v>taxa_count</x:v>
      </x:c>
      <x:c r="C8" s="24" t="n">
        <x:v>153</x:v>
      </x:c>
      <x:c r="D8" s="24" t="str">
        <x:v>count</x:v>
      </x:c>
    </x:row>
    <x:row r="9" ht="18" customHeight="1">
      <x:c r="A9" s="24" t="str">
        <x:v>EEZ_056</x:v>
      </x:c>
      <x:c r="B9" s="24" t="str">
        <x:v>matched_taxa_count</x:v>
      </x:c>
      <x:c r="C9" s="24" t="n">
        <x:v>153</x:v>
      </x:c>
      <x:c r="D9" s="24" t="str">
        <x:v>count</x:v>
      </x:c>
    </x:row>
    <x:row r="10" ht="18" customHeight="1">
      <x:c r="A10" s="24" t="str">
        <x:v>EEZ_056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EEZ_056</x:v>
      </x:c>
      <x:c r="B11" s="24" t="str">
        <x:v>species_ppr</x:v>
      </x:c>
      <x:c r="C11" s="24" t="n">
        <x:v>2108407.8501594816</x:v>
      </x:c>
      <x:c r="D11" s="24" t="str">
        <x:v>tonnes_primary_production_equivalent</x:v>
      </x:c>
    </x:row>
    <x:row r="12" ht="18" customHeight="1">
      <x:c r="A12" s="24" t="str">
        <x:v>EEZ_056</x:v>
      </x:c>
      <x:c r="B12" s="24" t="str">
        <x:v>commercial_ppr</x:v>
      </x:c>
      <x:c r="C12" s="24" t="n">
        <x:v>2108407.8501594816</x:v>
      </x:c>
      <x:c r="D12" s="24" t="str">
        <x:v>tonnes_primary_production_equivalent</x:v>
      </x:c>
    </x:row>
    <x:row r="13" ht="18" customHeight="1">
      <x:c r="A13" s="24" t="str">
        <x:v>EEZ_056</x:v>
      </x:c>
      <x:c r="B13" s="24" t="str">
        <x:v>functional_ppr</x:v>
      </x:c>
      <x:c r="C13" s="24" t="n">
        <x:v>2108407.8501594816</x:v>
      </x:c>
      <x:c r="D13" s="24" t="str">
        <x:v>tonnes_primary_production_equivalent</x:v>
      </x:c>
    </x:row>
    <x:row r="14" ht="18" customHeight="1">
      <x:c r="A14" s="24" t="str">
        <x:v>EEZ_056</x:v>
      </x:c>
      <x:c r="B14" s="24" t="str">
        <x:v>commercial_ppr_difference</x:v>
      </x:c>
      <x:c r="C14" s="24" t="n">
        <x:v>0</x:v>
      </x:c>
      <x:c r="D14" s="24" t="str">
        <x:v>tonnes_primary_production_equivalent</x:v>
      </x:c>
    </x:row>
    <x:row r="15" ht="18" customHeight="1">
      <x:c r="A15" s="24" t="str">
        <x:v>EEZ_056</x:v>
      </x:c>
      <x:c r="B15" s="24" t="str">
        <x:v>functional_ppr_difference</x:v>
      </x:c>
      <x:c r="C15" s="24" t="n">
        <x:v>0</x:v>
      </x:c>
      <x:c r="D15" s="24" t="str">
        <x:v>tonnes_primary_production_equivalent</x:v>
      </x:c>
    </x:row>
    <x:row r="16" ht="18" customHeight="1">
      <x:c r="A16" s="24" t="str">
        <x:v>EEZ_056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EEZ_056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EEZ_056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EEZ_056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9a3d561275fe40e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EEZ_056 - Belgium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EEZ_056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raw_data/SAU_downloads/EEZ_056-catch.zip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