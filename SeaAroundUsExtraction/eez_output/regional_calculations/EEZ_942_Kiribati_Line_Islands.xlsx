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abae1c389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2eb5e0e0b4c4e90"/>
    <x:sheet xmlns:r="http://schemas.openxmlformats.org/officeDocument/2006/relationships" name="Commercial" sheetId="2" r:id="Re8ab78f83d5c4313"/>
    <x:sheet xmlns:r="http://schemas.openxmlformats.org/officeDocument/2006/relationships" name="Functional" sheetId="3" r:id="R731789205ddf499a"/>
    <x:sheet xmlns:r="http://schemas.openxmlformats.org/officeDocument/2006/relationships" name="Missing TL" sheetId="4" r:id="R1337ea33f1a74729"/>
    <x:sheet xmlns:r="http://schemas.openxmlformats.org/officeDocument/2006/relationships" name="Validation" sheetId="5" r:id="R1e80245c9d634550"/>
    <x:sheet xmlns:r="http://schemas.openxmlformats.org/officeDocument/2006/relationships" name="Metadata" sheetId="6" r:id="Recb7384d5a17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6f0d404ed4ece" /><Relationship Type="http://schemas.openxmlformats.org/officeDocument/2006/relationships/theme" Target="/xl/theme/theme1.xml" Id="R7f74bb761c19481c" /><Relationship Type="http://schemas.microsoft.com/office/2022/11/relationships/FeaturePropertyBag" Target="/xl/featurePropertyBag/featurePropertyBag.xml" Id="R6c04329c093342fb" /><Relationship Type="http://schemas.openxmlformats.org/officeDocument/2006/relationships/sharedStrings" Target="/xl/sharedStrings.xml" Id="R8cf35aade89444c3" /><Relationship Type="http://schemas.openxmlformats.org/officeDocument/2006/relationships/worksheet" Target="/xl/worksheets/sheet1.xml" Id="Rc2eb5e0e0b4c4e90" /><Relationship Type="http://schemas.openxmlformats.org/officeDocument/2006/relationships/worksheet" Target="/xl/worksheets/sheet2.xml" Id="Re8ab78f83d5c4313" /><Relationship Type="http://schemas.openxmlformats.org/officeDocument/2006/relationships/worksheet" Target="/xl/worksheets/sheet3.xml" Id="R731789205ddf499a" /><Relationship Type="http://schemas.openxmlformats.org/officeDocument/2006/relationships/worksheet" Target="/xl/worksheets/sheet4.xml" Id="R1337ea33f1a74729" /><Relationship Type="http://schemas.openxmlformats.org/officeDocument/2006/relationships/worksheet" Target="/xl/worksheets/sheet5.xml" Id="R1e80245c9d634550" /><Relationship Type="http://schemas.openxmlformats.org/officeDocument/2006/relationships/worksheet" Target="/xl/worksheets/sheet6.xml" Id="Recb7384d5a174b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2SpeciesTable" displayName="EEZ942SpeciesTable" ref="A1:U41" headerRowCount="1" totalsRowCount="0" totalsRowShown="0">
  <x:autoFilter ref="A1:U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2CommercialTable" displayName="EEZ942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2FunctionalTable" displayName="EEZ942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2ValidationTable" displayName="EEZ94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b98d6d79bd43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9328b8e3ab4b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ab0f556c9144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e03ffe862843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EEZ_942</x:v>
      </x:c>
      <x:c r="B2" s="24" t="str">
        <x:v>Kiribati (Line Islands)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58332.4072571226</x:v>
      </x:c>
      <x:c r="J2" s="31" t="n">
        <x:v>58136.3474392777</x:v>
      </x:c>
      <x:c r="K2" s="31" t="n">
        <x:v>196.0598178449</x:v>
      </x:c>
      <x:c r="L2" s="31" t="n">
        <x:v>58136.3474392777</x:v>
      </x:c>
      <x:c r="M2" s="31" t="n">
        <x:v>196.0598178449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157003704.32938436</x:v>
      </x:c>
    </x:row>
    <x:row r="3" ht="18" customHeight="1">
      <x:c r="A3" s="24" t="str">
        <x:v>EEZ_942</x:v>
      </x:c>
      <x:c r="B3" s="24" t="str">
        <x:v>Kiribati (Line Islands)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15723.1564148987</x:v>
      </x:c>
      <x:c r="J3" s="31" t="n">
        <x:v>15648.9005741113</x:v>
      </x:c>
      <x:c r="K3" s="31" t="n">
        <x:v>74.2558407874</x:v>
      </x:c>
      <x:c r="L3" s="31" t="n">
        <x:v>15648.9005741113</x:v>
      </x:c>
      <x:c r="M3" s="31" t="n">
        <x:v>74.2558407874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40414734.94067084</x:v>
      </x:c>
    </x:row>
    <x:row r="4" ht="18" customHeight="1">
      <x:c r="A4" s="24" t="str">
        <x:v>EEZ_942</x:v>
      </x:c>
      <x:c r="B4" s="24" t="str">
        <x:v>Kiribati (Line Islands)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9738.1717853748</x:v>
      </x:c>
      <x:c r="J4" s="31" t="n">
        <x:v>9648.5120959274</x:v>
      </x:c>
      <x:c r="K4" s="31" t="n">
        <x:v>89.6596894474</x:v>
      </x:c>
      <x:c r="L4" s="31" t="n">
        <x:v>9648.5120959274</x:v>
      </x:c>
      <x:c r="M4" s="31" t="n">
        <x:v>89.6596894474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30093827.789376475</x:v>
      </x:c>
    </x:row>
    <x:row r="5" ht="18" customHeight="1">
      <x:c r="A5" s="24" t="str">
        <x:v>EEZ_942</x:v>
      </x:c>
      <x:c r="B5" s="24" t="str">
        <x:v>Kiribati (Line Islands)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8602.0067713644</x:v>
      </x:c>
      <x:c r="J5" s="31" t="n">
        <x:v>4819.2404653392005</x:v>
      </x:c>
      <x:c r="K5" s="31" t="n">
        <x:v>3782.7663060252</x:v>
      </x:c>
      <x:c r="L5" s="31" t="n">
        <x:v>4819.2404653392005</x:v>
      </x:c>
      <x:c r="M5" s="31" t="n">
        <x:v>3782.7663060252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19257494.39316146</x:v>
      </x:c>
    </x:row>
    <x:row r="6" ht="18" customHeight="1">
      <x:c r="A6" s="24" t="str">
        <x:v>EEZ_942</x:v>
      </x:c>
      <x:c r="B6" s="24" t="str">
        <x:v>Kiribati (Line Islands)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5135.0529096797</x:v>
      </x:c>
      <x:c r="J6" s="31" t="n">
        <x:v>5134.9767487064</x:v>
      </x:c>
      <x:c r="K6" s="31" t="n">
        <x:v>0.07616097329999999</x:v>
      </x:c>
      <x:c r="L6" s="31" t="n">
        <x:v>5134.9767487064</x:v>
      </x:c>
      <x:c r="M6" s="31" t="n">
        <x:v>0.07616097329999999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10245777.556055196</x:v>
      </x:c>
    </x:row>
    <x:row r="7" ht="18" customHeight="1">
      <x:c r="A7" s="24" t="str">
        <x:v>EEZ_942</x:v>
      </x:c>
      <x:c r="B7" s="24" t="str">
        <x:v>Kiribati (Line Islands)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3272.1358472634</x:v>
      </x:c>
      <x:c r="J7" s="31" t="n">
        <x:v>608.0630940607</x:v>
      </x:c>
      <x:c r="K7" s="31" t="n">
        <x:v>2664.0727532027</x:v>
      </x:c>
      <x:c r="L7" s="31" t="n">
        <x:v>540.5434050103</x:v>
      </x:c>
      <x:c r="M7" s="31" t="n">
        <x:v>2731.5924422531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623492.6320799794</x:v>
      </x:c>
    </x:row>
    <x:row r="8" ht="18" customHeight="1">
      <x:c r="A8" s="24" t="str">
        <x:v>EEZ_942</x:v>
      </x:c>
      <x:c r="B8" s="24" t="str">
        <x:v>Kiribati (Line Islands)</x:v>
      </x:c>
      <x:c r="C8" s="24" t="str">
        <x:v>EEZ</x:v>
      </x:c>
      <x:c r="D8" s="30" t="n">
        <x:v>2019</x:v>
      </x:c>
      <x:c r="E8" s="24" t="str">
        <x:v>Xiphias gladius</x:v>
      </x:c>
      <x:c r="F8" s="24" t="str">
        <x:v>Swordfish</x:v>
      </x:c>
      <x:c r="G8" s="24" t="str">
        <x:v>Large pelagics (&gt;=90 cm)</x:v>
      </x:c>
      <x:c r="H8" s="24" t="str">
        <x:v>Tuna &amp; billfishes</x:v>
      </x:c>
      <x:c r="I8" s="31" t="n">
        <x:v>1580.2004707808</x:v>
      </x:c>
      <x:c r="J8" s="31" t="n">
        <x:v>1068.578458861</x:v>
      </x:c>
      <x:c r="K8" s="31" t="n">
        <x:v>511.6220119198</x:v>
      </x:c>
      <x:c r="L8" s="31" t="n">
        <x:v>1068.578458861</x:v>
      </x:c>
      <x:c r="M8" s="31" t="n">
        <x:v>511.6220119198</x:v>
      </x:c>
      <x:c r="N8" s="24" t="str">
        <x:v>xiphias gladius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Xiphias gladius</x:v>
      </x:c>
      <x:c r="T8" s="32" t="n">
        <x:f>IF(O8="","",(1/'Metadata'!$B$5)^(O8-1))</x:f>
        <x:v>3388.4415613920273</x:v>
      </x:c>
      <x:c r="U8" s="31" t="n">
        <x:f>IF(T8="","",I8*T8)</x:f>
        <x:v>5354416.95052491</x:v>
      </x:c>
    </x:row>
    <x:row r="9" ht="18" customHeight="1">
      <x:c r="A9" s="24" t="str">
        <x:v>EEZ_942</x:v>
      </x:c>
      <x:c r="B9" s="24" t="str">
        <x:v>Kiribati (Line Islands)</x:v>
      </x:c>
      <x:c r="C9" s="24" t="str">
        <x:v>EEZ</x:v>
      </x:c>
      <x:c r="D9" s="30" t="n">
        <x:v>2019</x:v>
      </x:c>
      <x:c r="E9" s="24" t="str">
        <x:v>Chondrichthyes</x:v>
      </x:c>
      <x:c r="F9" s="24" t="str">
        <x:v>Sharks, rays, chimaeras</x:v>
      </x:c>
      <x:c r="G9" s="24" t="str">
        <x:v>Large sharks (&gt;=90 cm)</x:v>
      </x:c>
      <x:c r="H9" s="24" t="str">
        <x:v>Sharks &amp; rays</x:v>
      </x:c>
      <x:c r="I9" s="31" t="n">
        <x:v>1380.5308188607</x:v>
      </x:c>
      <x:c r="J9" s="31" t="n">
        <x:v>1380.5308188607</x:v>
      </x:c>
      <x:c r="K9" s="31" t="n">
        <x:v>0</x:v>
      </x:c>
      <x:c r="L9" s="31" t="n">
        <x:v>1380.5308188607</x:v>
      </x:c>
      <x:c r="M9" s="31" t="n">
        <x:v>0</x:v>
      </x:c>
      <x:c r="N9" s="24" t="str">
        <x:v>chondrichthyes</x:v>
      </x:c>
      <x:c r="O9" s="32" t="n">
        <x:v>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Chondrichthyes</x:v>
      </x:c>
      <x:c r="T9" s="32" t="n">
        <x:f>IF(O9="","",(1/'Metadata'!$B$5)^(O9-1))</x:f>
        <x:v>1000</x:v>
      </x:c>
      <x:c r="U9" s="31" t="n">
        <x:f>IF(T9="","",I9*T9)</x:f>
        <x:v>1380530.8188607001</x:v>
      </x:c>
    </x:row>
    <x:row r="10" ht="18" customHeight="1">
      <x:c r="A10" s="24" t="str">
        <x:v>EEZ_942</x:v>
      </x:c>
      <x:c r="B10" s="24" t="str">
        <x:v>Kiribati (Line Islands)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1262.3046173246</x:v>
      </x:c>
      <x:c r="J10" s="31" t="n">
        <x:v>816.5289474247</x:v>
      </x:c>
      <x:c r="K10" s="31" t="n">
        <x:v>445.7756698999</x:v>
      </x:c>
      <x:c r="L10" s="31" t="n">
        <x:v>816.5289474247</x:v>
      </x:c>
      <x:c r="M10" s="31" t="n">
        <x:v>445.7756698999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282594.80301170016</x:v>
      </x:c>
    </x:row>
    <x:row r="11" ht="18" customHeight="1">
      <x:c r="A11" s="24" t="str">
        <x:v>EEZ_942</x:v>
      </x:c>
      <x:c r="B11" s="24" t="str">
        <x:v>Kiribati (Line Islands)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1050.4347422808</x:v>
      </x:c>
      <x:c r="J11" s="31" t="n">
        <x:v>2.4554993578</x:v>
      </x:c>
      <x:c r="K11" s="31" t="n">
        <x:v>1047.9792429230001</x:v>
      </x:c>
      <x:c r="L11" s="31" t="n">
        <x:v>2.4554993578</x:v>
      </x:c>
      <x:c r="M11" s="31" t="n">
        <x:v>1047.9792429230001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1911477.0024421276</x:v>
      </x:c>
    </x:row>
    <x:row r="12" ht="18" customHeight="1">
      <x:c r="A12" s="24" t="str">
        <x:v>EEZ_942</x:v>
      </x:c>
      <x:c r="B12" s="24" t="str">
        <x:v>Kiribati (Line Islands)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790.58073812</x:v>
      </x:c>
      <x:c r="J12" s="31" t="n">
        <x:v>0</x:v>
      </x:c>
      <x:c r="K12" s="31" t="n">
        <x:v>790.58073812</x:v>
      </x:c>
      <x:c r="L12" s="31" t="n">
        <x:v>0</x:v>
      </x:c>
      <x:c r="M12" s="31" t="n">
        <x:v>790.58073812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1853302.1471377977</x:v>
      </x:c>
    </x:row>
    <x:row r="13" ht="18" customHeight="1">
      <x:c r="A13" s="24" t="str">
        <x:v>EEZ_942</x:v>
      </x:c>
      <x:c r="B13" s="24" t="str">
        <x:v>Kiribati (Line Islands)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740.608739891</x:v>
      </x:c>
      <x:c r="J13" s="31" t="n">
        <x:v>240.5934195529</x:v>
      </x:c>
      <x:c r="K13" s="31" t="n">
        <x:v>500.01532033809997</x:v>
      </x:c>
      <x:c r="L13" s="31" t="n">
        <x:v>217.0469915651</x:v>
      </x:c>
      <x:c r="M13" s="31" t="n">
        <x:v>523.5617483259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830976.6735750244</x:v>
      </x:c>
    </x:row>
    <x:row r="14" ht="18" customHeight="1">
      <x:c r="A14" s="24" t="str">
        <x:v>EEZ_942</x:v>
      </x:c>
      <x:c r="B14" s="24" t="str">
        <x:v>Kiribati (Line Islands)</x:v>
      </x:c>
      <x:c r="C14" s="24" t="str">
        <x:v>EEZ</x:v>
      </x:c>
      <x:c r="D14" s="30" t="n">
        <x:v>2019</x:v>
      </x:c>
      <x:c r="E14" s="24" t="str">
        <x:v>Thunnus orientalis</x:v>
      </x:c>
      <x:c r="F14" s="24" t="str">
        <x:v>Pacific bluefin tuna</x:v>
      </x:c>
      <x:c r="G14" s="24" t="str">
        <x:v>Large pelagics (&gt;=90 cm)</x:v>
      </x:c>
      <x:c r="H14" s="24" t="str">
        <x:v>Tuna &amp; billfishes</x:v>
      </x:c>
      <x:c r="I14" s="31" t="n">
        <x:v>602.0252782252</x:v>
      </x:c>
      <x:c r="J14" s="31" t="n">
        <x:v>599.7749448711</x:v>
      </x:c>
      <x:c r="K14" s="31" t="n">
        <x:v>2.2503333541</x:v>
      </x:c>
      <x:c r="L14" s="31" t="n">
        <x:v>599.7749448711</x:v>
      </x:c>
      <x:c r="M14" s="31" t="n">
        <x:v>2.2503333541</x:v>
      </x:c>
      <x:c r="N14" s="24" t="str">
        <x:v>thunnus orientalis</x:v>
      </x:c>
      <x:c r="O14" s="32" t="n">
        <x:v>4.05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orientalis</x:v>
      </x:c>
      <x:c r="T14" s="32" t="n">
        <x:f>IF(O14="","",(1/'Metadata'!$B$5)^(O14-1))</x:f>
        <x:v>1122.018454301963</x:v>
      </x:c>
      <x:c r="U14" s="31" t="n">
        <x:f>IF(T14="","",I14*T14)</x:f>
        <x:v>675483.4721249482</x:v>
      </x:c>
    </x:row>
    <x:row r="15" ht="18" customHeight="1">
      <x:c r="A15" s="24" t="str">
        <x:v>EEZ_942</x:v>
      </x:c>
      <x:c r="B15" s="24" t="str">
        <x:v>Kiribati (Line Islands)</x:v>
      </x:c>
      <x:c r="C15" s="24" t="str">
        <x:v>EEZ</x:v>
      </x:c>
      <x:c r="D15" s="30" t="n">
        <x:v>2019</x:v>
      </x:c>
      <x:c r="E15" s="24" t="str">
        <x:v>Isurus</x:v>
      </x:c>
      <x:c r="F15" s="24" t="str">
        <x:v>Mako sharks</x:v>
      </x:c>
      <x:c r="G15" s="24" t="str">
        <x:v>Large sharks (&gt;=90 cm)</x:v>
      </x:c>
      <x:c r="H15" s="24" t="str">
        <x:v>Sharks &amp; rays</x:v>
      </x:c>
      <x:c r="I15" s="31" t="n">
        <x:v>567.7503214512</x:v>
      </x:c>
      <x:c r="J15" s="31" t="n">
        <x:v>178.60651081889998</x:v>
      </x:c>
      <x:c r="K15" s="31" t="n">
        <x:v>389.1438106323</x:v>
      </x:c>
      <x:c r="L15" s="31" t="n">
        <x:v>178.60651081889998</x:v>
      </x:c>
      <x:c r="M15" s="31" t="n">
        <x:v>389.1438106323</x:v>
      </x:c>
      <x:c r="N15" s="24" t="str">
        <x:v>isurus</x:v>
      </x:c>
      <x:c r="O15" s="32" t="n">
        <x:v>4.5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Isurus</x:v>
      </x:c>
      <x:c r="T15" s="32" t="n">
        <x:f>IF(O15="","",(1/'Metadata'!$B$5)^(O15-1))</x:f>
        <x:v>3162.2776601683795</x:v>
      </x:c>
      <x:c r="U15" s="31" t="n">
        <x:f>IF(T15="","",I15*T15)</x:f>
        <x:v>1795384.158078546</x:v>
      </x:c>
    </x:row>
    <x:row r="16" ht="18" customHeight="1">
      <x:c r="A16" s="24" t="str">
        <x:v>EEZ_942</x:v>
      </x:c>
      <x:c r="B16" s="24" t="str">
        <x:v>Kiribati (Line Islands)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291.2607193894</x:v>
      </x:c>
      <x:c r="J16" s="31" t="n">
        <x:v>52.3396605441</x:v>
      </x:c>
      <x:c r="K16" s="31" t="n">
        <x:v>238.9210588453</x:v>
      </x:c>
      <x:c r="L16" s="31" t="n">
        <x:v>27.7329626707</x:v>
      </x:c>
      <x:c r="M16" s="31" t="n">
        <x:v>263.5277567187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326799.90216817235</x:v>
      </x:c>
    </x:row>
    <x:row r="17" ht="18" customHeight="1">
      <x:c r="A17" s="24" t="str">
        <x:v>EEZ_942</x:v>
      </x:c>
      <x:c r="B17" s="24" t="str">
        <x:v>Kiribati (Line Islands)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236.0063259591</x:v>
      </x:c>
      <x:c r="J17" s="31" t="n">
        <x:v>5.6753514501</x:v>
      </x:c>
      <x:c r="K17" s="31" t="n">
        <x:v>230.330974509</x:v>
      </x:c>
      <x:c r="L17" s="31" t="n">
        <x:v>5.6753514501</x:v>
      </x:c>
      <x:c r="M17" s="31" t="n">
        <x:v>230.330974509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712727.7101059437</x:v>
      </x:c>
    </x:row>
    <x:row r="18" ht="18" customHeight="1">
      <x:c r="A18" s="24" t="str">
        <x:v>EEZ_942</x:v>
      </x:c>
      <x:c r="B18" s="24" t="str">
        <x:v>Kiribati (Line Islands)</x:v>
      </x:c>
      <x:c r="C18" s="24" t="str">
        <x:v>EEZ</x:v>
      </x:c>
      <x:c r="D18" s="30" t="n">
        <x:v>2019</x:v>
      </x:c>
      <x:c r="E18" s="24" t="str">
        <x:v>Carcharhinus longimanus</x:v>
      </x:c>
      <x:c r="F18" s="24" t="str">
        <x:v>Oceanic whitetip shark</x:v>
      </x:c>
      <x:c r="G18" s="24" t="str">
        <x:v>Large sharks (&gt;=90 cm)</x:v>
      </x:c>
      <x:c r="H18" s="24" t="str">
        <x:v>Sharks &amp; rays</x:v>
      </x:c>
      <x:c r="I18" s="31" t="n">
        <x:v>183.6813199389</x:v>
      </x:c>
      <x:c r="J18" s="31" t="n">
        <x:v>37.966502885</x:v>
      </x:c>
      <x:c r="K18" s="31" t="n">
        <x:v>145.71481705390002</x:v>
      </x:c>
      <x:c r="L18" s="31" t="n">
        <x:v>37.966502885</x:v>
      </x:c>
      <x:c r="M18" s="31" t="n">
        <x:v>145.71481705390002</x:v>
      </x:c>
      <x:c r="N18" s="24" t="str">
        <x:v>carcharhinus longimanus</x:v>
      </x:c>
      <x:c r="O18" s="32" t="n">
        <x:v>4.16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longimanus</x:v>
      </x:c>
      <x:c r="T18" s="32" t="n">
        <x:f>IF(O18="","",(1/'Metadata'!$B$5)^(O18-1))</x:f>
        <x:v>1445.439770745928</x:v>
      </x:c>
      <x:c r="U18" s="31" t="n">
        <x:f>IF(T18="","",I18*T18)</x:f>
        <x:v>265500.2849827931</x:v>
      </x:c>
    </x:row>
    <x:row r="19" ht="18" customHeight="1">
      <x:c r="A19" s="24" t="str">
        <x:v>EEZ_942</x:v>
      </x:c>
      <x:c r="B19" s="24" t="str">
        <x:v>Kiribati (Line Islands)</x:v>
      </x:c>
      <x:c r="C19" s="24" t="str">
        <x:v>EEZ</x:v>
      </x:c>
      <x:c r="D19" s="30" t="n">
        <x:v>2019</x:v>
      </x:c>
      <x:c r="E19" s="24" t="str">
        <x:v>Kajikia audax</x:v>
      </x:c>
      <x:c r="F19" s="24" t="str">
        <x:v>Striped marlin</x:v>
      </x:c>
      <x:c r="G19" s="24" t="str">
        <x:v>Large pelagics (&gt;=90 cm)</x:v>
      </x:c>
      <x:c r="H19" s="24" t="str">
        <x:v>Tuna &amp; billfishes</x:v>
      </x:c>
      <x:c r="I19" s="31" t="n">
        <x:v>129.3217814825</x:v>
      </x:c>
      <x:c r="J19" s="31" t="n">
        <x:v>129.3217814825</x:v>
      </x:c>
      <x:c r="K19" s="31" t="n">
        <x:v>0</x:v>
      </x:c>
      <x:c r="L19" s="31" t="n">
        <x:v>129.3217814825</x:v>
      </x:c>
      <x:c r="M19" s="31" t="n">
        <x:v>0</x:v>
      </x:c>
      <x:c r="N19" s="24" t="str">
        <x:v>kajikia audax</x:v>
      </x:c>
      <x:c r="O19" s="32" t="n">
        <x:v>4.58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Kajikia audax</x:v>
      </x:c>
      <x:c r="T19" s="32" t="n">
        <x:f>IF(O19="","",(1/'Metadata'!$B$5)^(O19-1))</x:f>
        <x:v>3801.8939632056126</x:v>
      </x:c>
      <x:c r="U19" s="31" t="n">
        <x:f>IF(T19="","",I19*T19)</x:f>
        <x:v>491667.7003293121</x:v>
      </x:c>
    </x:row>
    <x:row r="20" ht="18" customHeight="1">
      <x:c r="A20" s="24" t="str">
        <x:v>EEZ_942</x:v>
      </x:c>
      <x:c r="B20" s="24" t="str">
        <x:v>Kiribati (Line Islands)</x:v>
      </x:c>
      <x:c r="C20" s="24" t="str">
        <x:v>EEZ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116.1338214866</x:v>
      </x:c>
      <x:c r="J20" s="31" t="n">
        <x:v>1.8300986895000002</x:v>
      </x:c>
      <x:c r="K20" s="31" t="n">
        <x:v>114.3037227971</x:v>
      </x:c>
      <x:c r="L20" s="31" t="n">
        <x:v>1.8300986895000002</x:v>
      </x:c>
      <x:c r="M20" s="31" t="n">
        <x:v>114.3037227971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375801.67988061515</x:v>
      </x:c>
    </x:row>
    <x:row r="21" ht="18" customHeight="1">
      <x:c r="A21" s="24" t="str">
        <x:v>EEZ_942</x:v>
      </x:c>
      <x:c r="B21" s="24" t="str">
        <x:v>Kiribati (Line Islands)</x:v>
      </x:c>
      <x:c r="C21" s="24" t="str">
        <x:v>EEZ</x:v>
      </x:c>
      <x:c r="D21" s="30" t="n">
        <x:v>2019</x:v>
      </x:c>
      <x:c r="E21" s="24" t="str">
        <x:v>Isurus oxyrinchus</x:v>
      </x:c>
      <x:c r="F21" s="24" t="str">
        <x:v>Shortfin mako</x:v>
      </x:c>
      <x:c r="G21" s="24" t="str">
        <x:v>Large sharks (&gt;=90 cm)</x:v>
      </x:c>
      <x:c r="H21" s="24" t="str">
        <x:v>Sharks &amp; rays</x:v>
      </x:c>
      <x:c r="I21" s="31" t="n">
        <x:v>115.79267918229999</x:v>
      </x:c>
      <x:c r="J21" s="31" t="n">
        <x:v>115.79267918229999</x:v>
      </x:c>
      <x:c r="K21" s="31" t="n">
        <x:v>0</x:v>
      </x:c>
      <x:c r="L21" s="31" t="n">
        <x:v>115.79267918229999</x:v>
      </x:c>
      <x:c r="M21" s="31" t="n">
        <x:v>0</x:v>
      </x:c>
      <x:c r="N21" s="24" t="str">
        <x:v>isurus oxyrinchus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Isurus oxyrinchus</x:v>
      </x:c>
      <x:c r="T21" s="32" t="n">
        <x:f>IF(O21="","",(1/'Metadata'!$B$5)^(O21-1))</x:f>
        <x:v>3162.2776601683795</x:v>
      </x:c>
      <x:c r="U21" s="31" t="n">
        <x:f>IF(T21="","",I21*T21)</x:f>
        <x:v>366168.60258923145</x:v>
      </x:c>
    </x:row>
    <x:row r="22" ht="18" customHeight="1">
      <x:c r="A22" s="24" t="str">
        <x:v>EEZ_942</x:v>
      </x:c>
      <x:c r="B22" s="24" t="str">
        <x:v>Kiribati (Line Islands)</x:v>
      </x:c>
      <x:c r="C22" s="24" t="str">
        <x:v>EEZ</x:v>
      </x:c>
      <x:c r="D22" s="30" t="n">
        <x:v>2019</x:v>
      </x:c>
      <x:c r="E22" s="24" t="str">
        <x:v>Mollusca</x:v>
      </x:c>
      <x:c r="F22" s="24" t="str">
        <x:v>Clams, seasnails, squids, octopuses</x:v>
      </x:c>
      <x:c r="G22" s="24" t="str">
        <x:v>Other demersal invertebrates</x:v>
      </x:c>
      <x:c r="H22" s="24" t="str">
        <x:v>Molluscs</x:v>
      </x:c>
      <x:c r="I22" s="31" t="n">
        <x:v>104.32862282319999</x:v>
      </x:c>
      <x:c r="J22" s="31" t="n">
        <x:v>104.32862282319999</x:v>
      </x:c>
      <x:c r="K22" s="31" t="n">
        <x:v>0</x:v>
      </x:c>
      <x:c r="L22" s="31" t="n">
        <x:v>7.479200586099999</x:v>
      </x:c>
      <x:c r="M22" s="31" t="n">
        <x:v>96.84942223709999</x:v>
      </x:c>
      <x:c r="N22" s="24" t="str">
        <x:v>mollusca</x:v>
      </x:c>
      <x:c r="O22" s="32" t="n">
        <x:v>2.1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Mollusca</x:v>
      </x:c>
      <x:c r="T22" s="32" t="n">
        <x:f>IF(O22="","",(1/'Metadata'!$B$5)^(O22-1))</x:f>
        <x:v>12.589254117941675</x:v>
      </x:c>
      <x:c r="U22" s="31" t="n">
        <x:f>IF(T22="","",I22*T22)</x:f>
        <x:v>1313.4195444961542</x:v>
      </x:c>
    </x:row>
    <x:row r="23" ht="18" customHeight="1">
      <x:c r="A23" s="24" t="str">
        <x:v>EEZ_942</x:v>
      </x:c>
      <x:c r="B23" s="24" t="str">
        <x:v>Kiribati (Line Islands)</x:v>
      </x:c>
      <x:c r="C23" s="24" t="str">
        <x:v>EEZ</x:v>
      </x:c>
      <x:c r="D23" s="30" t="n">
        <x:v>2019</x:v>
      </x:c>
      <x:c r="E23" s="24" t="str">
        <x:v>Alopias</x:v>
      </x:c>
      <x:c r="F23" s="24" t="str">
        <x:v>Thresher sharks</x:v>
      </x:c>
      <x:c r="G23" s="24" t="str">
        <x:v>Large sharks (&gt;=90 cm)</x:v>
      </x:c>
      <x:c r="H23" s="24" t="str">
        <x:v>Sharks &amp; rays</x:v>
      </x:c>
      <x:c r="I23" s="31" t="n">
        <x:v>84.9848397042</x:v>
      </x:c>
      <x:c r="J23" s="31" t="n">
        <x:v>45.166280103599995</x:v>
      </x:c>
      <x:c r="K23" s="31" t="n">
        <x:v>39.8185596006</x:v>
      </x:c>
      <x:c r="L23" s="31" t="n">
        <x:v>45.166280103599995</x:v>
      </x:c>
      <x:c r="M23" s="31" t="n">
        <x:v>39.8185596006</x:v>
      </x:c>
      <x:c r="N23" s="24" t="str">
        <x:v>alopias</x:v>
      </x:c>
      <x:c r="O23" s="32" t="n">
        <x:v>4.5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Alopias</x:v>
      </x:c>
      <x:c r="T23" s="32" t="n">
        <x:f>IF(O23="","",(1/'Metadata'!$B$5)^(O23-1))</x:f>
        <x:v>3162.2776601683795</x:v>
      </x:c>
      <x:c r="U23" s="31" t="n">
        <x:f>IF(T23="","",I23*T23)</x:f>
        <x:v>268745.66004958237</x:v>
      </x:c>
    </x:row>
    <x:row r="24" ht="18" customHeight="1">
      <x:c r="A24" s="24" t="str">
        <x:v>EEZ_942</x:v>
      </x:c>
      <x:c r="B24" s="24" t="str">
        <x:v>Kiribati (Line Islands)</x:v>
      </x:c>
      <x:c r="C24" s="24" t="str">
        <x:v>EEZ</x:v>
      </x:c>
      <x:c r="D24" s="30" t="n">
        <x:v>2019</x:v>
      </x:c>
      <x:c r="E24" s="24" t="str">
        <x:v>Istiompax indica</x:v>
      </x:c>
      <x:c r="F24" s="24" t="str">
        <x:v>Black marlin</x:v>
      </x:c>
      <x:c r="G24" s="24" t="str">
        <x:v>Large pelagics (&gt;=90 cm)</x:v>
      </x:c>
      <x:c r="H24" s="24" t="str">
        <x:v>Tuna &amp; billfishes</x:v>
      </x:c>
      <x:c r="I24" s="31" t="n">
        <x:v>69.96059424629999</x:v>
      </x:c>
      <x:c r="J24" s="31" t="n">
        <x:v>69.96059424629999</x:v>
      </x:c>
      <x:c r="K24" s="31" t="n">
        <x:v>0</x:v>
      </x:c>
      <x:c r="L24" s="31" t="n">
        <x:v>69.96059424629999</x:v>
      </x:c>
      <x:c r="M24" s="31" t="n">
        <x:v>0</x:v>
      </x:c>
      <x:c r="N24" s="24" t="str">
        <x:v>istiompax indica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Istiompax indica</x:v>
      </x:c>
      <x:c r="T24" s="32" t="n">
        <x:f>IF(O24="","",(1/'Metadata'!$B$5)^(O24-1))</x:f>
        <x:v>3162.2776601683795</x:v>
      </x:c>
      <x:c r="U24" s="31" t="n">
        <x:f>IF(T24="","",I24*T24)</x:f>
        <x:v>221234.82427717894</x:v>
      </x:c>
    </x:row>
    <x:row r="25" ht="18" customHeight="1">
      <x:c r="A25" s="24" t="str">
        <x:v>EEZ_942</x:v>
      </x:c>
      <x:c r="B25" s="24" t="str">
        <x:v>Kiribati (Line Islands)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67.2638223826</x:v>
      </x:c>
      <x:c r="J25" s="31" t="n">
        <x:v>67.2638223826</x:v>
      </x:c>
      <x:c r="K25" s="31" t="n">
        <x:v>0</x:v>
      </x:c>
      <x:c r="L25" s="31" t="n">
        <x:v>4.8220671007</x:v>
      </x:c>
      <x:c r="M25" s="31" t="n">
        <x:v>62.4417552819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70433.86866784545</x:v>
      </x:c>
    </x:row>
    <x:row r="26" ht="18" customHeight="1">
      <x:c r="A26" s="24" t="str">
        <x:v>EEZ_942</x:v>
      </x:c>
      <x:c r="B26" s="24" t="str">
        <x:v>Kiribati (Line Islands)</x:v>
      </x:c>
      <x:c r="C26" s="24" t="str">
        <x:v>EEZ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37.194592425799996</x:v>
      </x:c>
      <x:c r="J26" s="31" t="n">
        <x:v>37.194592425799996</x:v>
      </x:c>
      <x:c r="K26" s="31" t="n">
        <x:v>0</x:v>
      </x:c>
      <x:c r="L26" s="31" t="n">
        <x:v>2.6664381254</x:v>
      </x:c>
      <x:c r="M26" s="31" t="n">
        <x:v>34.528154300400004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1260.3170283461768</x:v>
      </x:c>
    </x:row>
    <x:row r="27" ht="18" customHeight="1">
      <x:c r="A27" s="24" t="str">
        <x:v>EEZ_942</x:v>
      </x:c>
      <x:c r="B27" s="24" t="str">
        <x:v>Kiribati (Line Islands)</x:v>
      </x:c>
      <x:c r="C27" s="24" t="str">
        <x:v>EEZ</x:v>
      </x:c>
      <x:c r="D27" s="30" t="n">
        <x:v>2019</x:v>
      </x:c>
      <x:c r="E27" s="24" t="str">
        <x:v>Lethrinidae</x:v>
      </x:c>
      <x:c r="F27" s="24" t="str">
        <x:v>Emperors, scavengers</x:v>
      </x:c>
      <x:c r="G27" s="24" t="str">
        <x:v>Medium reef assoc. fish (30 - 89 cm)</x:v>
      </x:c>
      <x:c r="H27" s="24" t="str">
        <x:v>Perch-likes</x:v>
      </x:c>
      <x:c r="I27" s="31" t="n">
        <x:v>37.014186962</x:v>
      </x:c>
      <x:c r="J27" s="31" t="n">
        <x:v>37.014186962</x:v>
      </x:c>
      <x:c r="K27" s="31" t="n">
        <x:v>0</x:v>
      </x:c>
      <x:c r="L27" s="31" t="n">
        <x:v>2.6535050624</x:v>
      </x:c>
      <x:c r="M27" s="31" t="n">
        <x:v>34.360681899599996</x:v>
      </x:c>
      <x:c r="N27" s="24" t="str">
        <x:v>lethrinidae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Lethrinidae</x:v>
      </x:c>
      <x:c r="T27" s="32" t="n">
        <x:f>IF(O27="","",(1/'Metadata'!$B$5)^(O27-1))</x:f>
        <x:v>389.04514499428046</x:v>
      </x:c>
      <x:c r="U27" s="31" t="n">
        <x:f>IF(T27="","",I27*T27)</x:f>
        <x:v>14400.189733476695</x:v>
      </x:c>
    </x:row>
    <x:row r="28" ht="18" customHeight="1">
      <x:c r="A28" s="24" t="str">
        <x:v>EEZ_942</x:v>
      </x:c>
      <x:c r="B28" s="24" t="str">
        <x:v>Kiribati (Line Islands)</x:v>
      </x:c>
      <x:c r="C28" s="24" t="str">
        <x:v>EEZ</x:v>
      </x:c>
      <x:c r="D28" s="30" t="n">
        <x:v>2019</x:v>
      </x:c>
      <x:c r="E28" s="24" t="str">
        <x:v>Acanthocybium solandri</x:v>
      </x:c>
      <x:c r="F28" s="24" t="str">
        <x:v>Wahoo</x:v>
      </x:c>
      <x:c r="G28" s="24" t="str">
        <x:v>Large pelagics (&gt;=90 cm)</x:v>
      </x:c>
      <x:c r="H28" s="24" t="str">
        <x:v>Perch-likes</x:v>
      </x:c>
      <x:c r="I28" s="31" t="n">
        <x:v>36.0147084189</x:v>
      </x:c>
      <x:c r="J28" s="31" t="n">
        <x:v>0</x:v>
      </x:c>
      <x:c r="K28" s="31" t="n">
        <x:v>36.0147084189</x:v>
      </x:c>
      <x:c r="L28" s="31" t="n">
        <x:v>0</x:v>
      </x:c>
      <x:c r="M28" s="31" t="n">
        <x:v>36.0147084189</x:v>
      </x:c>
      <x:c r="N28" s="24" t="str">
        <x:v>acanthocybium solandri</x:v>
      </x:c>
      <x:c r="O28" s="32" t="n">
        <x:v>4.26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Acanthocybium solandri</x:v>
      </x:c>
      <x:c r="T28" s="32" t="n">
        <x:f>IF(O28="","",(1/'Metadata'!$B$5)^(O28-1))</x:f>
        <x:v>1819.7008586099826</x:v>
      </x:c>
      <x:c r="U28" s="31" t="n">
        <x:f>IF(T28="","",I28*T28)</x:f>
        <x:v>65535.995832460496</x:v>
      </x:c>
    </x:row>
    <x:row r="29" ht="18" customHeight="1">
      <x:c r="A29" s="24" t="str">
        <x:v>EEZ_942</x:v>
      </x:c>
      <x:c r="B29" s="24" t="str">
        <x:v>Kiribati (Line Islands)</x:v>
      </x:c>
      <x:c r="C29" s="24" t="str">
        <x:v>EEZ</x:v>
      </x:c>
      <x:c r="D29" s="30" t="n">
        <x:v>2019</x:v>
      </x:c>
      <x:c r="E29" s="24" t="str">
        <x:v>Exocoetidae</x:v>
      </x:c>
      <x:c r="F29" s="24" t="str">
        <x:v>Flyingfishes</x:v>
      </x:c>
      <x:c r="G29" s="24" t="str">
        <x:v>Small pelagics (&lt;30 cm)</x:v>
      </x:c>
      <x:c r="H29" s="24" t="str">
        <x:v>Other fishes &amp; inverts</x:v>
      </x:c>
      <x:c r="I29" s="31" t="n">
        <x:v>27.6030198817</x:v>
      </x:c>
      <x:c r="J29" s="31" t="n">
        <x:v>27.6030198817</x:v>
      </x:c>
      <x:c r="K29" s="31" t="n">
        <x:v>0</x:v>
      </x:c>
      <x:c r="L29" s="31" t="n">
        <x:v>1.9788291735999999</x:v>
      </x:c>
      <x:c r="M29" s="31" t="n">
        <x:v>25.624190708100002</x:v>
      </x:c>
      <x:c r="N29" s="24" t="str">
        <x:v>exocoetidae</x:v>
      </x:c>
      <x:c r="O29" s="32" t="n">
        <x:v>3.57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Exocoetidae</x:v>
      </x:c>
      <x:c r="T29" s="32" t="n">
        <x:f>IF(O29="","",(1/'Metadata'!$B$5)^(O29-1))</x:f>
        <x:v>371.5352290971724</x:v>
      </x:c>
      <x:c r="U29" s="31" t="n">
        <x:f>IF(T29="","",I29*T29)</x:f>
        <x:v>10255.494315521215</x:v>
      </x:c>
    </x:row>
    <x:row r="30" ht="18" customHeight="1">
      <x:c r="A30" s="24" t="str">
        <x:v>EEZ_942</x:v>
      </x:c>
      <x:c r="B30" s="24" t="str">
        <x:v>Kiribati (Line Islands)</x:v>
      </x:c>
      <x:c r="C30" s="24" t="str">
        <x:v>EEZ</x:v>
      </x:c>
      <x:c r="D30" s="30" t="n">
        <x:v>2019</x:v>
      </x:c>
      <x:c r="E30" s="24" t="str">
        <x:v>Sphyrna</x:v>
      </x:c>
      <x:c r="F30" s="24" t="str">
        <x:v>Hammerhead sharks</x:v>
      </x:c>
      <x:c r="G30" s="24" t="str">
        <x:v>Large sharks (&gt;=90 cm)</x:v>
      </x:c>
      <x:c r="H30" s="24" t="str">
        <x:v>Sharks &amp; rays</x:v>
      </x:c>
      <x:c r="I30" s="31" t="n">
        <x:v>22.7684034762</x:v>
      </x:c>
      <x:c r="J30" s="31" t="n">
        <x:v>22.7684034762</x:v>
      </x:c>
      <x:c r="K30" s="31" t="n">
        <x:v>0</x:v>
      </x:c>
      <x:c r="L30" s="31" t="n">
        <x:v>22.7684034762</x:v>
      </x:c>
      <x:c r="M30" s="31" t="n">
        <x:v>0</x:v>
      </x:c>
      <x:c r="N30" s="24" t="str">
        <x:v>sphyrna</x:v>
      </x:c>
      <x:c r="O30" s="32" t="n">
        <x:v>4.2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Sphyrna</x:v>
      </x:c>
      <x:c r="T30" s="32" t="n">
        <x:f>IF(O30="","",(1/'Metadata'!$B$5)^(O30-1))</x:f>
        <x:v>1584.893192461114</x:v>
      </x:c>
      <x:c r="U30" s="31" t="n">
        <x:f>IF(T30="","",I30*T30)</x:f>
        <x:v>36085.48767263734</x:v>
      </x:c>
    </x:row>
    <x:row r="31" ht="18" customHeight="1">
      <x:c r="A31" s="24" t="str">
        <x:v>EEZ_942</x:v>
      </x:c>
      <x:c r="B31" s="24" t="str">
        <x:v>Kiribati (Line Islands)</x:v>
      </x:c>
      <x:c r="C31" s="24" t="str">
        <x:v>EEZ</x:v>
      </x:c>
      <x:c r="D31" s="30" t="n">
        <x:v>2019</x:v>
      </x:c>
      <x:c r="E31" s="24" t="str">
        <x:v>Mullidae</x:v>
      </x:c>
      <x:c r="F31" s="24" t="str">
        <x:v>Goatfishes</x:v>
      </x:c>
      <x:c r="G31" s="24" t="str">
        <x:v>Medium reef assoc. fish (30 - 89 cm)</x:v>
      </x:c>
      <x:c r="H31" s="24" t="str">
        <x:v>Perch-likes</x:v>
      </x:c>
      <x:c r="I31" s="31" t="n">
        <x:v>20.5245921025</x:v>
      </x:c>
      <x:c r="J31" s="31" t="n">
        <x:v>20.5245921025</x:v>
      </x:c>
      <x:c r="K31" s="31" t="n">
        <x:v>0</x:v>
      </x:c>
      <x:c r="L31" s="31" t="n">
        <x:v>1.4713847181</x:v>
      </x:c>
      <x:c r="M31" s="31" t="n">
        <x:v>19.0532073844</x:v>
      </x:c>
      <x:c r="N31" s="24" t="str">
        <x:v>mullidae</x:v>
      </x:c>
      <x:c r="O31" s="32" t="n">
        <x:v>3.46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Mullidae</x:v>
      </x:c>
      <x:c r="T31" s="32" t="n">
        <x:f>IF(O31="","",(1/'Metadata'!$B$5)^(O31-1))</x:f>
        <x:v>288.40315031266056</x:v>
      </x:c>
      <x:c r="U31" s="31" t="n">
        <x:f>IF(T31="","",I31*T31)</x:f>
        <x:v>5919.357021243353</x:v>
      </x:c>
    </x:row>
    <x:row r="32" ht="18" customHeight="1">
      <x:c r="A32" s="24" t="str">
        <x:v>EEZ_942</x:v>
      </x:c>
      <x:c r="B32" s="24" t="str">
        <x:v>Kiribati (Line Islands)</x:v>
      </x:c>
      <x:c r="C32" s="24" t="str">
        <x:v>EEZ</x:v>
      </x:c>
      <x:c r="D32" s="30" t="n">
        <x:v>2019</x:v>
      </x:c>
      <x:c r="E32" s="24" t="str">
        <x:v>Coryphaena</x:v>
      </x:c>
      <x:c r="F32" s="24" t="str">
        <x:v>Dolphinfishes</x:v>
      </x:c>
      <x:c r="G32" s="24" t="str">
        <x:v>Large pelagics (&gt;=90 cm)</x:v>
      </x:c>
      <x:c r="H32" s="24" t="str">
        <x:v>Perch-likes</x:v>
      </x:c>
      <x:c r="I32" s="31" t="n">
        <x:v>18.6486227121</x:v>
      </x:c>
      <x:c r="J32" s="31" t="n">
        <x:v>18.6486227121</x:v>
      </x:c>
      <x:c r="K32" s="31" t="n">
        <x:v>0</x:v>
      </x:c>
      <x:c r="L32" s="31" t="n">
        <x:v>18.6486227121</x:v>
      </x:c>
      <x:c r="M32" s="31" t="n">
        <x:v>0</x:v>
      </x:c>
      <x:c r="N32" s="24" t="str">
        <x:v>coryphaena</x:v>
      </x:c>
      <x:c r="O32" s="32" t="n">
        <x:v>4.49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Coryphaena</x:v>
      </x:c>
      <x:c r="T32" s="32" t="n">
        <x:f>IF(O32="","",(1/'Metadata'!$B$5)^(O32-1))</x:f>
        <x:v>3090.295432513592</x:v>
      </x:c>
      <x:c r="U32" s="31" t="n">
        <x:f>IF(T32="","",I32*T32)</x:f>
        <x:v>57629.75358987186</x:v>
      </x:c>
    </x:row>
    <x:row r="33" ht="18" customHeight="1">
      <x:c r="A33" s="24" t="str">
        <x:v>EEZ_942</x:v>
      </x:c>
      <x:c r="B33" s="24" t="str">
        <x:v>Kiribati (Line Islands)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16.4069631797</x:v>
      </x:c>
      <x:c r="J33" s="31" t="n">
        <x:v>16.4069631797</x:v>
      </x:c>
      <x:c r="K33" s="31" t="n">
        <x:v>0</x:v>
      </x:c>
      <x:c r="L33" s="31" t="n">
        <x:v>1.176196573</x:v>
      </x:c>
      <x:c r="M33" s="31" t="n">
        <x:v>15.230766606700001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15668.528195740184</x:v>
      </x:c>
    </x:row>
    <x:row r="34" ht="18" customHeight="1">
      <x:c r="A34" s="24" t="str">
        <x:v>EEZ_942</x:v>
      </x:c>
      <x:c r="B34" s="24" t="str">
        <x:v>Kiribati (Line Islands)</x:v>
      </x:c>
      <x:c r="C34" s="24" t="str">
        <x:v>EEZ</x:v>
      </x:c>
      <x:c r="D34" s="30" t="n">
        <x:v>2019</x:v>
      </x:c>
      <x:c r="E34" s="24" t="str">
        <x:v>Miscellaneous marine crustaceans</x:v>
      </x:c>
      <x:c r="F34" s="24" t="str">
        <x:v>Marine crabs, shrimps, lobsters nei</x:v>
      </x:c>
      <x:c r="G34" s="24" t="str">
        <x:v>Shrimps</x:v>
      </x:c>
      <x:c r="H34" s="24" t="str">
        <x:v>Crustaceans</x:v>
      </x:c>
      <x:c r="I34" s="31" t="n">
        <x:v>11.1636951198</x:v>
      </x:c>
      <x:c r="J34" s="31" t="n">
        <x:v>11.1636951198</x:v>
      </x:c>
      <x:c r="K34" s="31" t="n">
        <x:v>0</x:v>
      </x:c>
      <x:c r="L34" s="31" t="n">
        <x:v>0.8003126354000001</x:v>
      </x:c>
      <x:c r="M34" s="31" t="n">
        <x:v>10.363382484399999</x:v>
      </x:c>
      <x:c r="N34" s="24" t="str">
        <x:v>miscellaneous marine crustaceans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marine crustaceans</x:v>
      </x:c>
      <x:c r="T34" s="32" t="n">
        <x:f>IF(O34="","",(1/'Metadata'!$B$5)^(O34-1))</x:f>
        <x:v>50.11872336272725</x:v>
      </x:c>
      <x:c r="U34" s="31" t="n">
        <x:f>IF(T34="","",I34*T34)</x:f>
        <x:v>559.5101474150845</x:v>
      </x:c>
    </x:row>
    <x:row r="35" ht="18" customHeight="1">
      <x:c r="A35" s="24" t="str">
        <x:v>EEZ_942</x:v>
      </x:c>
      <x:c r="B35" s="24" t="str">
        <x:v>Kiribati (Line Islands)</x:v>
      </x:c>
      <x:c r="C35" s="24" t="str">
        <x:v>EEZ</x:v>
      </x:c>
      <x:c r="D35" s="30" t="n">
        <x:v>2019</x:v>
      </x:c>
      <x:c r="E35" s="24" t="str">
        <x:v>Tetrapturus angustirostris</x:v>
      </x:c>
      <x:c r="F35" s="24" t="str">
        <x:v>Shortbill spearfish</x:v>
      </x:c>
      <x:c r="G35" s="24" t="str">
        <x:v>Large pelagics (&gt;=90 cm)</x:v>
      </x:c>
      <x:c r="H35" s="24" t="str">
        <x:v>Tuna &amp; billfishes</x:v>
      </x:c>
      <x:c r="I35" s="31" t="n">
        <x:v>10.3230478078</x:v>
      </x:c>
      <x:c r="J35" s="31" t="n">
        <x:v>10.3230478078</x:v>
      </x:c>
      <x:c r="K35" s="31" t="n">
        <x:v>0</x:v>
      </x:c>
      <x:c r="L35" s="31" t="n">
        <x:v>10.3230478078</x:v>
      </x:c>
      <x:c r="M35" s="31" t="n">
        <x:v>0</x:v>
      </x:c>
      <x:c r="N35" s="24" t="str">
        <x:v>tetrapturus angustirostris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Tetrapturus angustirostris</x:v>
      </x:c>
      <x:c r="T35" s="32" t="n">
        <x:f>IF(O35="","",(1/'Metadata'!$B$5)^(O35-1))</x:f>
        <x:v>3162.2776601683795</x:v>
      </x:c>
      <x:c r="U35" s="31" t="n">
        <x:f>IF(T35="","",I35*T35)</x:f>
        <x:v>32644.343467456103</x:v>
      </x:c>
    </x:row>
    <x:row r="36" ht="18" customHeight="1">
      <x:c r="A36" s="24" t="str">
        <x:v>EEZ_942</x:v>
      </x:c>
      <x:c r="B36" s="24" t="str">
        <x:v>Kiribati (Line Islands)</x:v>
      </x:c>
      <x:c r="C36" s="24" t="str">
        <x:v>EEZ</x:v>
      </x:c>
      <x:c r="D36" s="30" t="n">
        <x:v>2019</x:v>
      </x:c>
      <x:c r="E36" s="24" t="str">
        <x:v>Holocentridae</x:v>
      </x:c>
      <x:c r="F36" s="24" t="str">
        <x:v>Squirrel-, soldierfishes</x:v>
      </x:c>
      <x:c r="G36" s="24" t="str">
        <x:v>Small reef assoc. fish (&lt;30 cm)</x:v>
      </x:c>
      <x:c r="H36" s="24" t="str">
        <x:v>Other fishes &amp; inverts</x:v>
      </x:c>
      <x:c r="I36" s="31" t="n">
        <x:v>4.3499487595</x:v>
      </x:c>
      <x:c r="J36" s="31" t="n">
        <x:v>4.3499487595</x:v>
      </x:c>
      <x:c r="K36" s="31" t="n">
        <x:v>0</x:v>
      </x:c>
      <x:c r="L36" s="31" t="n">
        <x:v>0.3118428906</x:v>
      </x:c>
      <x:c r="M36" s="31" t="n">
        <x:v>4.0381058689</x:v>
      </x:c>
      <x:c r="N36" s="24" t="str">
        <x:v>holocentridae</x:v>
      </x:c>
      <x:c r="O36" s="32" t="n">
        <x:v>3.49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Holocentridae</x:v>
      </x:c>
      <x:c r="T36" s="32" t="n">
        <x:f>IF(O36="","",(1/'Metadata'!$B$5)^(O36-1))</x:f>
        <x:v>309.0295432513592</x:v>
      </x:c>
      <x:c r="U36" s="31" t="n">
        <x:f>IF(T36="","",I36*T36)</x:f>
        <x:v>1344.2626783151015</x:v>
      </x:c>
    </x:row>
    <x:row r="37" ht="18" customHeight="1">
      <x:c r="A37" s="24" t="str">
        <x:v>EEZ_942</x:v>
      </x:c>
      <x:c r="B37" s="24" t="str">
        <x:v>Kiribati (Line Islands)</x:v>
      </x:c>
      <x:c r="C37" s="24" t="str">
        <x:v>EEZ</x:v>
      </x:c>
      <x:c r="D37" s="30" t="n">
        <x:v>2019</x:v>
      </x:c>
      <x:c r="E37" s="24" t="str">
        <x:v>Sphyraena</x:v>
      </x:c>
      <x:c r="F37" s="24" t="str">
        <x:v>Barracudas, sennets</x:v>
      </x:c>
      <x:c r="G37" s="24" t="str">
        <x:v>Large pelagics (&gt;=90 cm)</x:v>
      </x:c>
      <x:c r="H37" s="24" t="str">
        <x:v>Perch-likes</x:v>
      </x:c>
      <x:c r="I37" s="31" t="n">
        <x:v>2.6309888462</x:v>
      </x:c>
      <x:c r="J37" s="31" t="n">
        <x:v>2.6309888462</x:v>
      </x:c>
      <x:c r="K37" s="31" t="n">
        <x:v>0</x:v>
      </x:c>
      <x:c r="L37" s="31" t="n">
        <x:v>0.188612605</x:v>
      </x:c>
      <x:c r="M37" s="31" t="n">
        <x:v>2.4423762412</x:v>
      </x:c>
      <x:c r="N37" s="24" t="str">
        <x:v>sphyraena</x:v>
      </x:c>
      <x:c r="O37" s="32" t="n">
        <x:v>4.4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Sphyraena</x:v>
      </x:c>
      <x:c r="T37" s="32" t="n">
        <x:f>IF(O37="","",(1/'Metadata'!$B$5)^(O37-1))</x:f>
        <x:v>2511.886431509582</x:v>
      </x:c>
      <x:c r="U37" s="31" t="n">
        <x:f>IF(T37="","",I37*T37)</x:f>
        <x:v>6608.745184222831</x:v>
      </x:c>
    </x:row>
    <x:row r="38" ht="18" customHeight="1">
      <x:c r="A38" s="24" t="str">
        <x:v>EEZ_942</x:v>
      </x:c>
      <x:c r="B38" s="24" t="str">
        <x:v>Kiribati (Line Islands)</x:v>
      </x:c>
      <x:c r="C38" s="24" t="str">
        <x:v>EEZ</x:v>
      </x:c>
      <x:c r="D38" s="30" t="n">
        <x:v>2019</x:v>
      </x:c>
      <x:c r="E38" s="24" t="str">
        <x:v>Istiophorus platypterus</x:v>
      </x:c>
      <x:c r="F38" s="24" t="str">
        <x:v>Indo-Pacific sailfish</x:v>
      </x:c>
      <x:c r="G38" s="24" t="str">
        <x:v>Large pelagics (&gt;=90 cm)</x:v>
      </x:c>
      <x:c r="H38" s="24" t="str">
        <x:v>Tuna &amp; billfishes</x:v>
      </x:c>
      <x:c r="I38" s="31" t="n">
        <x:v>1.8661756660000002</x:v>
      </x:c>
      <x:c r="J38" s="31" t="n">
        <x:v>1.8661756660000002</x:v>
      </x:c>
      <x:c r="K38" s="31" t="n">
        <x:v>0</x:v>
      </x:c>
      <x:c r="L38" s="31" t="n">
        <x:v>1.8661756660000002</x:v>
      </x:c>
      <x:c r="M38" s="31" t="n">
        <x:v>0</x:v>
      </x:c>
      <x:c r="N38" s="24" t="str">
        <x:v>istiophorus platypterus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Istiophorus platypterus</x:v>
      </x:c>
      <x:c r="T38" s="32" t="n">
        <x:f>IF(O38="","",(1/'Metadata'!$B$5)^(O38-1))</x:f>
        <x:v>3162.2776601683795</x:v>
      </x:c>
      <x:c r="U38" s="31" t="n">
        <x:f>IF(T38="","",I38*T38)</x:f>
        <x:v>5901.365618541648</x:v>
      </x:c>
    </x:row>
    <x:row r="39" ht="18" customHeight="1">
      <x:c r="A39" s="24" t="str">
        <x:v>EEZ_942</x:v>
      </x:c>
      <x:c r="B39" s="24" t="str">
        <x:v>Kiribati (Line Islands)</x:v>
      </x:c>
      <x:c r="C39" s="24" t="str">
        <x:v>EEZ</x:v>
      </x:c>
      <x:c r="D39" s="30" t="n">
        <x:v>2019</x:v>
      </x:c>
      <x:c r="E39" s="24" t="str">
        <x:v>Chanos chanos</x:v>
      </x:c>
      <x:c r="F39" s="24" t="str">
        <x:v>Milkfish</x:v>
      </x:c>
      <x:c r="G39" s="24" t="str">
        <x:v>Large benthopelagics (&gt;=90 cm)</x:v>
      </x:c>
      <x:c r="H39" s="24" t="str">
        <x:v>Other fishes &amp; inverts</x:v>
      </x:c>
      <x:c r="I39" s="31" t="n">
        <x:v>0.7621254382</x:v>
      </x:c>
      <x:c r="J39" s="31" t="n">
        <x:v>0.7621254382</x:v>
      </x:c>
      <x:c r="K39" s="31" t="n">
        <x:v>0</x:v>
      </x:c>
      <x:c r="L39" s="31" t="n">
        <x:v>0.0546359079</x:v>
      </x:c>
      <x:c r="M39" s="31" t="n">
        <x:v>0.7074895303</x:v>
      </x:c>
      <x:c r="N39" s="24" t="str">
        <x:v>chanos chanos</x:v>
      </x:c>
      <x:c r="O39" s="32" t="n">
        <x:v>2.03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Chanos chanos</x:v>
      </x:c>
      <x:c r="T39" s="32" t="n">
        <x:f>IF(O39="","",(1/'Metadata'!$B$5)^(O39-1))</x:f>
        <x:v>10.71519305237606</x:v>
      </x:c>
      <x:c r="U39" s="31" t="n">
        <x:f>IF(T39="","",I39*T39)</x:f>
        <x:v>8.1663212004397</x:v>
      </x:c>
    </x:row>
    <x:row r="40" ht="18" customHeight="1">
      <x:c r="A40" s="24" t="str">
        <x:v>EEZ_942</x:v>
      </x:c>
      <x:c r="B40" s="24" t="str">
        <x:v>Kiribati (Line Islands)</x:v>
      </x:c>
      <x:c r="C40" s="24" t="str">
        <x:v>EEZ</x:v>
      </x:c>
      <x:c r="D40" s="30" t="n">
        <x:v>2019</x:v>
      </x:c>
      <x:c r="E40" s="24" t="str">
        <x:v>Clupeidae</x:v>
      </x:c>
      <x:c r="F40" s="24" t="str">
        <x:v>Herrings, sardines, menhadens</x:v>
      </x:c>
      <x:c r="G40" s="24" t="str">
        <x:v>Small pelagics (&lt;30 cm)</x:v>
      </x:c>
      <x:c r="H40" s="24" t="str">
        <x:v>Herring-likes</x:v>
      </x:c>
      <x:c r="I40" s="31" t="n">
        <x:v>0.7121113512</x:v>
      </x:c>
      <x:c r="J40" s="31" t="n">
        <x:v>0.7121113512</x:v>
      </x:c>
      <x:c r="K40" s="31" t="n">
        <x:v>0</x:v>
      </x:c>
      <x:c r="L40" s="31" t="n">
        <x:v>0.051050454700000004</x:v>
      </x:c>
      <x:c r="M40" s="31" t="n">
        <x:v>0.6610608965</x:v>
      </x:c>
      <x:c r="N40" s="24" t="str">
        <x:v>clupeidae</x:v>
      </x:c>
      <x:c r="O40" s="32" t="n">
        <x:v>3.16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Clupeidae</x:v>
      </x:c>
      <x:c r="T40" s="32" t="n">
        <x:f>IF(O40="","",(1/'Metadata'!$B$5)^(O40-1))</x:f>
        <x:v>144.5439770745928</x:v>
      </x:c>
      <x:c r="U40" s="31" t="n">
        <x:f>IF(T40="","",I40*T40)</x:f>
        <x:v>102.9314068224101</x:v>
      </x:c>
    </x:row>
    <x:row r="41" ht="18" customHeight="1">
      <x:c r="A41" s="24" t="str">
        <x:v>EEZ_942</x:v>
      </x:c>
      <x:c r="B41" s="24" t="str">
        <x:v>Kiribati (Line Islands)</x:v>
      </x:c>
      <x:c r="C41" s="24" t="str">
        <x:v>EEZ</x:v>
      </x:c>
      <x:c r="D41" s="30" t="n">
        <x:v>2019</x:v>
      </x:c>
      <x:c r="E41" s="24" t="str">
        <x:v>Octopodidae</x:v>
      </x:c>
      <x:c r="F41" s="24" t="str">
        <x:v>Octopuses</x:v>
      </x:c>
      <x:c r="G41" s="24" t="str">
        <x:v>Cephalopods</x:v>
      </x:c>
      <x:c r="H41" s="24" t="str">
        <x:v>Other fishes &amp; inverts</x:v>
      </x:c>
      <x:c r="I41" s="31" t="n">
        <x:v>0.26494772440000003</x:v>
      </x:c>
      <x:c r="J41" s="31" t="n">
        <x:v>0.26494772440000003</x:v>
      </x:c>
      <x:c r="K41" s="31" t="n">
        <x:v>0</x:v>
      </x:c>
      <x:c r="L41" s="31" t="n">
        <x:v>0.10737133069999999</x:v>
      </x:c>
      <x:c r="M41" s="31" t="n">
        <x:v>0.15757639369999998</x:v>
      </x:c>
      <x:c r="N41" s="24" t="str">
        <x:v>octopodidae</x:v>
      </x:c>
      <x:c r="O41" s="32" t="n">
        <x:v>3.59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Octopodidae</x:v>
      </x:c>
      <x:c r="T41" s="32" t="n">
        <x:f>IF(O41="","",(1/'Metadata'!$B$5)^(O41-1))</x:f>
        <x:v>389.04514499428046</x:v>
      </x:c>
      <x:c r="U41" s="31" t="n">
        <x:f>IF(T41="","",I41*T41)</x:f>
        <x:v>103.07662585510268</x:v>
      </x:c>
    </x:row>
  </x:sheetData>
  <x:conditionalFormatting sqref="R2:R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db98d6d79bd43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11.1636951198</x:v>
      </x:c>
      <x:c r="E2" s="31" t="n">
        <x:v>11.1636951198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IF(C2=0,"",SUMIF('Species'!$H$2:$H$41,A2,'Species'!$U$2:$U$41))</x:f>
        <x:v>559.5101474150845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559.5101474150845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0.7121113512</x:v>
      </x:c>
      <x:c r="E3" s="31" t="n">
        <x:v>0.7121113512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IF(C3=0,"",SUMIF('Species'!$H$2:$H$41,A3,'Species'!$U$2:$U$41))</x:f>
        <x:v>102.9314068224101</x:v>
      </x:c>
      <x:c r="J3" s="32" t="n">
        <x:v>3.1600000000000006</x:v>
      </x:c>
      <x:c r="K3" s="32" t="n">
        <x:f>IF(J3="","",(1/'Metadata'!$B$5)^(J3-1))</x:f>
        <x:v>144.54397707459296</x:v>
      </x:c>
      <x:c r="L3" s="31" t="n">
        <x:f>IF(E3=0,"",E3*K3)</x:f>
        <x:v>102.93140682241022</x:v>
      </x:c>
      <x:c r="M3" s="31" t="n">
        <x:f>IF(E3=0,"",I3-L3)</x:f>
        <x:v>-1.2789769243681803e-13</x:v>
      </x:c>
      <x:c r="N3" s="32" t="n">
        <x:f>IF(L3=0,"",I3/L3)</x:f>
        <x:v>0.9999999999999988</x:v>
      </x:c>
      <x:c r="O3" s="34" t="n">
        <x:f>IF(L3=0,"",M3/L3)</x:f>
        <x:v>-1.2425526511794663e-15</x:v>
      </x:c>
    </x:row>
    <x:row r="4" ht="18" customHeight="1">
      <x:c r="A4" s="24" t="str">
        <x:v>Molluscs</x:v>
      </x:c>
      <x:c r="B4" s="33" t="n">
        <x:v>1</x:v>
      </x:c>
      <x:c r="C4" s="33" t="n">
        <x:v>1</x:v>
      </x:c>
      <x:c r="D4" s="31" t="n">
        <x:v>104.32862282319999</x:v>
      </x:c>
      <x:c r="E4" s="31" t="n">
        <x:v>104.32862282319999</x:v>
      </x:c>
      <x:c r="F4" s="32" t="n">
        <x:v>0</x:v>
      </x:c>
      <x:c r="G4" s="34" t="n">
        <x:v>1</x:v>
      </x:c>
      <x:c r="H4" s="32" t="n">
        <x:f>IF(E4=0,"",I4/E4)</x:f>
        <x:v>12.589254117941675</x:v>
      </x:c>
      <x:c r="I4" s="31" t="n">
        <x:f>IF(C4=0,"",SUMIF('Species'!$H$2:$H$41,A4,'Species'!$U$2:$U$41))</x:f>
        <x:v>1313.4195444961542</x:v>
      </x:c>
      <x:c r="J4" s="32" t="n">
        <x:v>2.1</x:v>
      </x:c>
      <x:c r="K4" s="32" t="n">
        <x:f>IF(J4="","",(1/'Metadata'!$B$5)^(J4-1))</x:f>
        <x:v>12.589254117941675</x:v>
      </x:c>
      <x:c r="L4" s="31" t="n">
        <x:f>IF(E4=0,"",E4*K4)</x:f>
        <x:v>1313.4195444961542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6</x:v>
      </x:c>
      <x:c r="C5" s="33" t="n">
        <x:v>6</x:v>
      </x:c>
      <x:c r="D5" s="31" t="n">
        <x:v>4567.420506391801</x:v>
      </x:c>
      <x:c r="E5" s="31" t="n">
        <x:v>4567.420506391801</x:v>
      </x:c>
      <x:c r="F5" s="32" t="n">
        <x:v>0</x:v>
      </x:c>
      <x:c r="G5" s="34" t="n">
        <x:v>1</x:v>
      </x:c>
      <x:c r="H5" s="32" t="n">
        <x:f>IF(E5=0,"",I5/E5)</x:f>
        <x:v>200.94458869030638</x:v>
      </x:c>
      <x:c r="I5" s="31" t="n">
        <x:f>IF(C5=0,"",SUMIF('Species'!$H$2:$H$41,A5,'Species'!$U$2:$U$41))</x:f>
        <x:v>917798.4350325713</x:v>
      </x:c>
      <x:c r="J5" s="32" t="n">
        <x:v>3.301108011640225</x:v>
      </x:c>
      <x:c r="K5" s="32" t="n">
        <x:f>IF(J5="","",(1/'Metadata'!$B$5)^(J5-1))</x:f>
        <x:v>200.03593091197243</x:v>
      </x:c>
      <x:c r="L5" s="31" t="n">
        <x:f>IF(E5=0,"",E5*K5)</x:f>
        <x:v>913648.2128625164</x:v>
      </x:c>
      <x:c r="M5" s="31" t="n">
        <x:f>IF(E5=0,"",I5-L5)</x:f>
        <x:v>4150.222170054913</x:v>
      </x:c>
      <x:c r="N5" s="32" t="n">
        <x:f>IF(L5=0,"",I5/L5)</x:f>
        <x:v>1.0045424728157153</x:v>
      </x:c>
      <x:c r="O5" s="34" t="n">
        <x:f>IF(L5=0,"",M5/L5)</x:f>
        <x:v>0.0045424728157153725</x:v>
      </x:c>
    </x:row>
    <x:row r="6" ht="18" customHeight="1">
      <x:c r="A6" s="24" t="str">
        <x:v>Perch-likes</x:v>
      </x:c>
      <x:c r="B6" s="33" t="n">
        <x:v>11</x:v>
      </x:c>
      <x:c r="C6" s="33" t="n">
        <x:v>11</x:v>
      </x:c>
      <x:c r="D6" s="31" t="n">
        <x:v>2367.9746768200002</x:v>
      </x:c>
      <x:c r="E6" s="31" t="n">
        <x:v>2367.9746768200002</x:v>
      </x:c>
      <x:c r="F6" s="32" t="n">
        <x:v>0</x:v>
      </x:c>
      <x:c r="G6" s="34" t="n">
        <x:v>1</x:v>
      </x:c>
      <x:c r="H6" s="32" t="n">
        <x:f>IF(E6=0,"",I6/E6)</x:f>
        <x:v>1828.1596713757315</x:v>
      </x:c>
      <x:c r="I6" s="31" t="n">
        <x:f>IF(C6=0,"",SUMIF('Species'!$H$2:$H$41,A6,'Species'!$U$2:$U$41))</x:f>
        <x:v>4329035.807001306</x:v>
      </x:c>
      <x:c r="J6" s="32" t="n">
        <x:v>4.219523874955304</x:v>
      </x:c>
      <x:c r="K6" s="32" t="n">
        <x:f>IF(J6="","",(1/'Metadata'!$B$5)^(J6-1))</x:f>
        <x:v>1657.7684687003084</x:v>
      </x:c>
      <x:c r="L6" s="31" t="n">
        <x:f>IF(E6=0,"",E6*K6)</x:f>
        <x:v>3925553.7539129993</x:v>
      </x:c>
      <x:c r="M6" s="31" t="n">
        <x:f>IF(E6=0,"",I6-L6)</x:f>
        <x:v>403482.05308830645</x:v>
      </x:c>
      <x:c r="N6" s="32" t="n">
        <x:f>IF(L6=0,"",I6/L6)</x:f>
        <x:v>1.102783474226054</x:v>
      </x:c>
      <x:c r="O6" s="34" t="n">
        <x:f>IF(L6=0,"",M6/L6)</x:f>
        <x:v>0.10278347422605404</x:v>
      </x:c>
    </x:row>
    <x:row r="7" ht="18" customHeight="1">
      <x:c r="A7" s="24" t="str">
        <x:v>Sharks &amp; rays</x:v>
      </x:c>
      <x:c r="B7" s="33" t="n">
        <x:v>9</x:v>
      </x:c>
      <x:c r="C7" s="33" t="n">
        <x:v>9</x:v>
      </x:c>
      <x:c r="D7" s="31" t="n">
        <x:v>11814.257715355501</x:v>
      </x:c>
      <x:c r="E7" s="31" t="n">
        <x:v>11814.257715355501</x:v>
      </x:c>
      <x:c r="F7" s="32" t="n">
        <x:v>0</x:v>
      </x:c>
      <x:c r="G7" s="34" t="n">
        <x:v>1</x:v>
      </x:c>
      <x:c r="H7" s="32" t="n">
        <x:f>IF(E7=0,"",I7/E7)</x:f>
        <x:v>2080.2566145909623</x:v>
      </x:c>
      <x:c r="I7" s="31" t="n">
        <x:f>IF(C7=0,"",SUMIF('Species'!$H$2:$H$41,A7,'Species'!$U$2:$U$41))</x:f>
        <x:v>24576687.758850593</x:v>
      </x:c>
      <x:c r="J7" s="32" t="n">
        <x:v>4.298382492824983</x:v>
      </x:c>
      <x:c r="K7" s="32" t="n">
        <x:f>IF(J7="","",(1/'Metadata'!$B$5)^(J7-1))</x:f>
        <x:v>1987.8448859003129</x:v>
      </x:c>
      <x:c r="L7" s="31" t="n">
        <x:f>IF(E7=0,"",E7*K7)</x:f>
        <x:v>23484911.780177746</x:v>
      </x:c>
      <x:c r="M7" s="31" t="n">
        <x:f>IF(E7=0,"",I7-L7)</x:f>
        <x:v>1091775.9786728472</x:v>
      </x:c>
      <x:c r="N7" s="32" t="n">
        <x:f>IF(L7=0,"",I7/L7)</x:f>
        <x:v>1.0464884002500001</x:v>
      </x:c>
      <x:c r="O7" s="34" t="n">
        <x:f>IF(L7=0,"",M7/L7)</x:f>
        <x:v>0.04648840025000017</x:v>
      </x:c>
    </x:row>
    <x:row r="8" ht="18" customHeight="1">
      <x:c r="A8" s="24" t="str">
        <x:v>Tuna &amp; billfishes</x:v>
      </x:c>
      <x:c r="B8" s="33" t="n">
        <x:v>11</x:v>
      </x:c>
      <x:c r="C8" s="33" t="n">
        <x:v>11</x:v>
      </x:c>
      <x:c r="D8" s="31" t="n">
        <x:v>91558.49204124349</x:v>
      </x:c>
      <x:c r="E8" s="31" t="n">
        <x:v>91558.49204124349</x:v>
      </x:c>
      <x:c r="F8" s="32" t="n">
        <x:v>0</x:v>
      </x:c>
      <x:c r="G8" s="34" t="n">
        <x:v>1</x:v>
      </x:c>
      <x:c r="H8" s="32" t="n">
        <x:f>IF(E8=0,"",I8/E8)</x:f>
        <x:v>2678.6387096836274</x:v>
      </x:c>
      <x:c r="I8" s="31" t="n">
        <x:f>IF(C8=0,"",SUMIF('Species'!$H$2:$H$41,A8,'Species'!$U$2:$U$41))</x:f>
        <x:v>245252120.9819351</x:v>
      </x:c>
      <x:c r="J8" s="32" t="n">
        <x:v>4.425286836013789</x:v>
      </x:c>
      <x:c r="K8" s="32" t="n">
        <x:f>IF(J8="","",(1/'Metadata'!$B$5)^(J8-1))</x:f>
        <x:v>2662.4829542407556</x:v>
      </x:c>
      <x:c r="L8" s="31" t="n">
        <x:f>IF(E8=0,"",E8*K8)</x:f>
        <x:v>243772924.37579867</x:v>
      </x:c>
      <x:c r="M8" s="31" t="n">
        <x:f>IF(E8=0,"",I8-L8)</x:f>
        <x:v>1479196.6061364412</x:v>
      </x:c>
      <x:c r="N8" s="32" t="n">
        <x:f>IF(L8=0,"",I8/L8)</x:f>
        <x:v>1.0060679282160807</x:v>
      </x:c>
      <x:c r="O8" s="34" t="n">
        <x:f>IF(L8=0,"",M8/L8)</x:f>
        <x:v>0.006067928216080806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d9328b8e3ab4b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0.26494772440000003</x:v>
      </x:c>
      <x:c r="E2" s="31" t="n">
        <x:v>0.26494772440000003</x:v>
      </x:c>
      <x:c r="F2" s="32" t="n">
        <x:v>0</x:v>
      </x:c>
      <x:c r="G2" s="34" t="n">
        <x:v>1</x:v>
      </x:c>
      <x:c r="H2" s="32" t="n">
        <x:f>IF(E2=0,"",I2/E2)</x:f>
        <x:v>389.04514499428046</x:v>
      </x:c>
      <x:c r="I2" s="31" t="n">
        <x:f>IF(C2=0,"",SUMIF('Species'!$G$2:$G$41,A2,'Species'!$U$2:$U$41))</x:f>
        <x:v>103.07662585510268</x:v>
      </x:c>
      <x:c r="J2" s="32" t="n">
        <x:v>3.59</x:v>
      </x:c>
      <x:c r="K2" s="32" t="n">
        <x:f>IF(J2="","",(1/'Metadata'!$B$5)^(J2-1))</x:f>
        <x:v>389.04514499428046</x:v>
      </x:c>
      <x:c r="L2" s="31" t="n">
        <x:f>IF(E2=0,"",E2*K2)</x:f>
        <x:v>103.07662585510268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0.7621254382</x:v>
      </x:c>
      <x:c r="E3" s="31" t="n">
        <x:v>0.7621254382</x:v>
      </x:c>
      <x:c r="F3" s="32" t="n">
        <x:v>0</x:v>
      </x:c>
      <x:c r="G3" s="34" t="n">
        <x:v>1</x:v>
      </x:c>
      <x:c r="H3" s="32" t="n">
        <x:f>IF(E3=0,"",I3/E3)</x:f>
        <x:v>10.71519305237606</x:v>
      </x:c>
      <x:c r="I3" s="31" t="n">
        <x:f>IF(C3=0,"",SUMIF('Species'!$G$2:$G$41,A3,'Species'!$U$2:$U$41))</x:f>
        <x:v>8.1663212004397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8.1663212004397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15</x:v>
      </x:c>
      <x:c r="C4" s="33" t="n">
        <x:v>15</x:v>
      </x:c>
      <x:c r="D4" s="31" t="n">
        <x:v>92406.36709934068</x:v>
      </x:c>
      <x:c r="E4" s="31" t="n">
        <x:v>92406.36709934068</x:v>
      </x:c>
      <x:c r="F4" s="32" t="n">
        <x:v>0</x:v>
      </x:c>
      <x:c r="G4" s="34" t="n">
        <x:v>1</x:v>
      </x:c>
      <x:c r="H4" s="32" t="n">
        <x:f>IF(E4=0,"",I4/E4)</x:f>
        <x:v>2675.521237166389</x:v>
      </x:c>
      <x:c r="I4" s="31" t="n">
        <x:f>IF(C4=0,"",SUMIF('Species'!$G$2:$G$41,A4,'Species'!$U$2:$U$41))</x:f>
        <x:v>247235197.62367946</x:v>
      </x:c>
      <x:c r="J4" s="32" t="n">
        <x:v>4.424761751170012</x:v>
      </x:c>
      <x:c r="K4" s="32" t="n">
        <x:f>IF(J4="","",(1/'Metadata'!$B$5)^(J4-1))</x:f>
        <x:v>2659.265817714068</x:v>
      </x:c>
      <x:c r="L4" s="31" t="n">
        <x:f>IF(E4=0,"",E4*K4)</x:f>
        <x:v>245733093.36641455</x:v>
      </x:c>
      <x:c r="M4" s="31" t="n">
        <x:f>IF(E4=0,"",I4-L4)</x:f>
        <x:v>1502104.2572649121</x:v>
      </x:c>
      <x:c r="N4" s="32" t="n">
        <x:f>IF(L4=0,"",I4/L4)</x:f>
        <x:v>1.0061127471138986</x:v>
      </x:c>
      <x:c r="O4" s="34" t="n">
        <x:f>IF(L4=0,"",M4/L4)</x:f>
        <x:v>0.006112747113898544</x:v>
      </x:c>
    </x:row>
    <x:row r="5" ht="18" customHeight="1">
      <x:c r="A5" s="24" t="str">
        <x:v>Large sharks (&gt;=90 cm)</x:v>
      </x:c>
      <x:c r="B5" s="33" t="n">
        <x:v>9</x:v>
      </x:c>
      <x:c r="C5" s="33" t="n">
        <x:v>9</x:v>
      </x:c>
      <x:c r="D5" s="31" t="n">
        <x:v>11814.257715355501</x:v>
      </x:c>
      <x:c r="E5" s="31" t="n">
        <x:v>11814.257715355501</x:v>
      </x:c>
      <x:c r="F5" s="32" t="n">
        <x:v>0</x:v>
      </x:c>
      <x:c r="G5" s="34" t="n">
        <x:v>1</x:v>
      </x:c>
      <x:c r="H5" s="32" t="n">
        <x:f>IF(E5=0,"",I5/E5)</x:f>
        <x:v>2080.2566145909623</x:v>
      </x:c>
      <x:c r="I5" s="31" t="n">
        <x:f>IF(C5=0,"",SUMIF('Species'!$G$2:$G$41,A5,'Species'!$U$2:$U$41))</x:f>
        <x:v>24576687.758850593</x:v>
      </x:c>
      <x:c r="J5" s="32" t="n">
        <x:v>4.298382492824983</x:v>
      </x:c>
      <x:c r="K5" s="32" t="n">
        <x:f>IF(J5="","",(1/'Metadata'!$B$5)^(J5-1))</x:f>
        <x:v>1987.8448859003129</x:v>
      </x:c>
      <x:c r="L5" s="31" t="n">
        <x:f>IF(E5=0,"",E5*K5)</x:f>
        <x:v>23484911.780177746</x:v>
      </x:c>
      <x:c r="M5" s="31" t="n">
        <x:f>IF(E5=0,"",I5-L5)</x:f>
        <x:v>1091775.9786728472</x:v>
      </x:c>
      <x:c r="N5" s="32" t="n">
        <x:f>IF(L5=0,"",I5/L5)</x:f>
        <x:v>1.0464884002500001</x:v>
      </x:c>
      <x:c r="O5" s="34" t="n">
        <x:f>IF(L5=0,"",M5/L5)</x:f>
        <x:v>0.04648840025000017</x:v>
      </x:c>
    </x:row>
    <x:row r="6" ht="18" customHeight="1">
      <x:c r="A6" s="24" t="str">
        <x:v>Medium demersals (30 - 89 cm)</x:v>
      </x:c>
      <x:c r="B6" s="33" t="n">
        <x:v>1</x:v>
      </x:c>
      <x:c r="C6" s="33" t="n">
        <x:v>1</x:v>
      </x:c>
      <x:c r="D6" s="31" t="n">
        <x:v>3272.1358472634</x:v>
      </x:c>
      <x:c r="E6" s="31" t="n">
        <x:v>3272.1358472634</x:v>
      </x:c>
      <x:c r="F6" s="32" t="n">
        <x:v>0</x:v>
      </x:c>
      <x:c r="G6" s="34" t="n">
        <x:v>1</x:v>
      </x:c>
      <x:c r="H6" s="32" t="n">
        <x:f>IF(E6=0,"",I6/E6)</x:f>
        <x:v>190.54607179632464</x:v>
      </x:c>
      <x:c r="I6" s="31" t="n">
        <x:f>IF(C6=0,"",SUMIF('Species'!$G$2:$G$41,A6,'Species'!$U$2:$U$41))</x:f>
        <x:v>623492.6320799794</x:v>
      </x:c>
      <x:c r="J6" s="32" t="n">
        <x:v>3.28</x:v>
      </x:c>
      <x:c r="K6" s="32" t="n">
        <x:f>IF(J6="","",(1/'Metadata'!$B$5)^(J6-1))</x:f>
        <x:v>190.54607179632464</x:v>
      </x:c>
      <x:c r="L6" s="31" t="n">
        <x:f>IF(E6=0,"",E6*K6)</x:f>
        <x:v>623492.6320799794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2604.0000789948</x:v>
      </x:c>
      <x:c r="E7" s="31" t="n">
        <x:v>2604.0000789948</x:v>
      </x:c>
      <x:c r="F7" s="32" t="n">
        <x:v>0</x:v>
      </x:c>
      <x:c r="G7" s="34" t="n">
        <x:v>1</x:v>
      </x:c>
      <x:c r="H7" s="32" t="n">
        <x:f>IF(E7=0,"",I7/E7)</x:f>
        <x:v>968.0766632676566</x:v>
      </x:c>
      <x:c r="I7" s="31" t="n">
        <x:f>IF(C7=0,"",SUMIF('Species'!$G$2:$G$41,A7,'Species'!$U$2:$U$41))</x:f>
        <x:v>2520871.707622</x:v>
      </x:c>
      <x:c r="J7" s="32" t="n">
        <x:v>3.795383288734694</x:v>
      </x:c>
      <x:c r="K7" s="32" t="n">
        <x:f>IF(J7="","",(1/'Metadata'!$B$5)^(J7-1))</x:f>
        <x:v>624.2855587205099</x:v>
      </x:c>
      <x:c r="L7" s="31" t="n">
        <x:f>IF(E7=0,"",E7*K7)</x:f>
        <x:v>1625639.6442235205</x:v>
      </x:c>
      <x:c r="M7" s="31" t="n">
        <x:f>IF(E7=0,"",I7-L7)</x:f>
        <x:v>895232.0633984795</x:v>
      </x:c>
      <x:c r="N7" s="32" t="n">
        <x:f>IF(L7=0,"",I7/L7)</x:f>
        <x:v>1.5506952703691494</x:v>
      </x:c>
      <x:c r="O7" s="34" t="n">
        <x:f>IF(L7=0,"",M7/L7)</x:f>
        <x:v>0.5506952703691494</x:v>
      </x:c>
    </x:row>
    <x:row r="8" ht="18" customHeight="1">
      <x:c r="A8" s="24" t="str">
        <x:v>Medium reef assoc. fish (30 - 89 cm)</x:v>
      </x:c>
      <x:c r="B8" s="33" t="n">
        <x:v>5</x:v>
      </x:c>
      <x:c r="C8" s="33" t="n">
        <x:v>5</x:v>
      </x:c>
      <x:c r="D8" s="31" t="n">
        <x:v>178.4041570526</x:v>
      </x:c>
      <x:c r="E8" s="31" t="n">
        <x:v>178.4041570526</x:v>
      </x:c>
      <x:c r="F8" s="32" t="n">
        <x:v>0</x:v>
      </x:c>
      <x:c r="G8" s="34" t="n">
        <x:v>1</x:v>
      </x:c>
      <x:c r="H8" s="32" t="n">
        <x:f>IF(E8=0,"",I8/E8)</x:f>
        <x:v>603.5860510520686</x:v>
      </x:c>
      <x:c r="I8" s="31" t="n">
        <x:f>IF(C8=0,"",SUMIF('Species'!$G$2:$G$41,A8,'Species'!$U$2:$U$41))</x:f>
        <x:v>107682.26064665188</x:v>
      </x:c>
      <x:c r="J8" s="32" t="n">
        <x:v>3.5520395298408016</x:v>
      </x:c>
      <x:c r="K8" s="32" t="n">
        <x:f>IF(J8="","",(1/'Metadata'!$B$5)^(J8-1))</x:f>
        <x:v>356.4835793780741</x:v>
      </x:c>
      <x:c r="L8" s="31" t="n">
        <x:f>IF(E8=0,"",E8*K8)</x:f>
        <x:v>63598.15248203893</x:v>
      </x:c>
      <x:c r="M8" s="31" t="n">
        <x:f>IF(E8=0,"",I8-L8)</x:f>
        <x:v>44084.108164612946</x:v>
      </x:c>
      <x:c r="N8" s="32" t="n">
        <x:f>IF(L8=0,"",I8/L8)</x:f>
        <x:v>1.693166490599911</x:v>
      </x:c>
      <x:c r="O8" s="34" t="n">
        <x:f>IF(L8=0,"",M8/L8)</x:f>
        <x:v>0.693166490599911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104.32862282319999</x:v>
      </x:c>
      <x:c r="E9" s="31" t="n">
        <x:v>104.32862282319999</x:v>
      </x:c>
      <x:c r="F9" s="32" t="n">
        <x:v>0</x:v>
      </x:c>
      <x:c r="G9" s="34" t="n">
        <x:v>1</x:v>
      </x:c>
      <x:c r="H9" s="32" t="n">
        <x:f>IF(E9=0,"",I9/E9)</x:f>
        <x:v>12.589254117941675</x:v>
      </x:c>
      <x:c r="I9" s="31" t="n">
        <x:f>IF(C9=0,"",SUMIF('Species'!$G$2:$G$41,A9,'Species'!$U$2:$U$41))</x:f>
        <x:v>1313.4195444961542</x:v>
      </x:c>
      <x:c r="J9" s="32" t="n">
        <x:v>2.1</x:v>
      </x:c>
      <x:c r="K9" s="32" t="n">
        <x:f>IF(J9="","",(1/'Metadata'!$B$5)^(J9-1))</x:f>
        <x:v>12.589254117941675</x:v>
      </x:c>
      <x:c r="L9" s="31" t="n">
        <x:f>IF(E9=0,"",E9*K9)</x:f>
        <x:v>1313.4195444961542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Shrimps</x:v>
      </x:c>
      <x:c r="B10" s="33" t="n">
        <x:v>1</x:v>
      </x:c>
      <x:c r="C10" s="33" t="n">
        <x:v>1</x:v>
      </x:c>
      <x:c r="D10" s="31" t="n">
        <x:v>11.1636951198</x:v>
      </x:c>
      <x:c r="E10" s="31" t="n">
        <x:v>11.1636951198</x:v>
      </x:c>
      <x:c r="F10" s="32" t="n">
        <x:v>0</x:v>
      </x:c>
      <x:c r="G10" s="34" t="n">
        <x:v>1</x:v>
      </x:c>
      <x:c r="H10" s="32" t="n">
        <x:f>IF(E10=0,"",I10/E10)</x:f>
        <x:v>50.11872336272725</x:v>
      </x:c>
      <x:c r="I10" s="31" t="n">
        <x:f>IF(C10=0,"",SUMIF('Species'!$G$2:$G$41,A10,'Species'!$U$2:$U$41))</x:f>
        <x:v>559.5101474150845</x:v>
      </x:c>
      <x:c r="J10" s="32" t="n">
        <x:v>2.7</x:v>
      </x:c>
      <x:c r="K10" s="32" t="n">
        <x:f>IF(J10="","",(1/'Metadata'!$B$5)^(J10-1))</x:f>
        <x:v>50.11872336272725</x:v>
      </x:c>
      <x:c r="L10" s="31" t="n">
        <x:f>IF(E10=0,"",E10*K10)</x:f>
        <x:v>559.5101474150845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pelagics (&lt;30 cm)</x:v>
      </x:c>
      <x:c r="B11" s="33" t="n">
        <x:v>2</x:v>
      </x:c>
      <x:c r="C11" s="33" t="n">
        <x:v>2</x:v>
      </x:c>
      <x:c r="D11" s="31" t="n">
        <x:v>28.3151312329</x:v>
      </x:c>
      <x:c r="E11" s="31" t="n">
        <x:v>28.3151312329</x:v>
      </x:c>
      <x:c r="F11" s="32" t="n">
        <x:v>0</x:v>
      </x:c>
      <x:c r="G11" s="34" t="n">
        <x:v>1</x:v>
      </x:c>
      <x:c r="H11" s="32" t="n">
        <x:f>IF(E11=0,"",I11/E11)</x:f>
        <x:v>365.82651293905826</x:v>
      </x:c>
      <x:c r="I11" s="31" t="n">
        <x:f>IF(C11=0,"",SUMIF('Species'!$G$2:$G$41,A11,'Species'!$U$2:$U$41))</x:f>
        <x:v>10358.425722343625</x:v>
      </x:c>
      <x:c r="J11" s="32" t="n">
        <x:v>3.5596887056044166</x:v>
      </x:c>
      <x:c r="K11" s="32" t="n">
        <x:f>IF(J11="","",(1/'Metadata'!$B$5)^(J11-1))</x:f>
        <x:v>362.81790026397715</x:v>
      </x:c>
      <x:c r="L11" s="31" t="n">
        <x:f>IF(E11=0,"",E11*K11)</x:f>
        <x:v>10273.236459619737</x:v>
      </x:c>
      <x:c r="M11" s="31" t="n">
        <x:f>IF(E11=0,"",I11-L11)</x:f>
        <x:v>85.18926272388853</x:v>
      </x:c>
      <x:c r="N11" s="32" t="n">
        <x:f>IF(L11=0,"",I11/L11)</x:f>
        <x:v>1.0082923490624143</x:v>
      </x:c>
      <x:c r="O11" s="34" t="n">
        <x:f>IF(L11=0,"",M11/L11)</x:f>
        <x:v>0.00829234906241434</x:v>
      </x:c>
    </x:row>
    <x:row r="12" ht="18" customHeight="1">
      <x:c r="A12" s="24" t="str">
        <x:v>Small reef assoc. fish (&lt;30 cm)</x:v>
      </x:c>
      <x:c r="B12" s="33" t="n">
        <x:v>1</x:v>
      </x:c>
      <x:c r="C12" s="33" t="n">
        <x:v>1</x:v>
      </x:c>
      <x:c r="D12" s="31" t="n">
        <x:v>4.3499487595</x:v>
      </x:c>
      <x:c r="E12" s="31" t="n">
        <x:v>4.3499487595</x:v>
      </x:c>
      <x:c r="F12" s="32" t="n">
        <x:v>0</x:v>
      </x:c>
      <x:c r="G12" s="34" t="n">
        <x:v>1</x:v>
      </x:c>
      <x:c r="H12" s="32" t="n">
        <x:f>IF(E12=0,"",I12/E12)</x:f>
        <x:v>309.0295432513592</x:v>
      </x:c>
      <x:c r="I12" s="31" t="n">
        <x:f>IF(C12=0,"",SUMIF('Species'!$G$2:$G$41,A12,'Species'!$U$2:$U$41))</x:f>
        <x:v>1344.2626783151015</x:v>
      </x:c>
      <x:c r="J12" s="32" t="n">
        <x:v>3.49</x:v>
      </x:c>
      <x:c r="K12" s="32" t="n">
        <x:f>IF(J12="","",(1/'Metadata'!$B$5)^(J12-1))</x:f>
        <x:v>309.0295432513592</x:v>
      </x:c>
      <x:c r="L12" s="31" t="n">
        <x:f>IF(E12=0,"",E12*K12)</x:f>
        <x:v>1344.2626783151015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0ab0f556c9144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EEZ_942</x:v>
      </x:c>
      <x:c r="B2" s="24" t="str">
        <x:v>raw_filtered_tonnes</x:v>
      </x:c>
      <x:c r="C2" s="24" t="n">
        <x:v>110424.34936910501</x:v>
      </x:c>
      <x:c r="D2" s="24" t="str">
        <x:v>tonnes</x:v>
      </x:c>
    </x:row>
    <x:row r="3" ht="18" customHeight="1">
      <x:c r="A3" s="24" t="str">
        <x:v>EEZ_942</x:v>
      </x:c>
      <x:c r="B3" s="24" t="str">
        <x:v>species_catch_tonnes</x:v>
      </x:c>
      <x:c r="C3" s="24" t="n">
        <x:v>110424.34936910501</x:v>
      </x:c>
      <x:c r="D3" s="24" t="str">
        <x:v>tonnes</x:v>
      </x:c>
    </x:row>
    <x:row r="4" ht="18" customHeight="1">
      <x:c r="A4" s="24" t="str">
        <x:v>EEZ_942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EEZ_942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EEZ_942</x:v>
      </x:c>
      <x:c r="B6" s="24" t="str">
        <x:v>matched_catch_tonnes</x:v>
      </x:c>
      <x:c r="C6" s="24" t="n">
        <x:v>110424.34936910501</x:v>
      </x:c>
      <x:c r="D6" s="24" t="str">
        <x:v>tonnes</x:v>
      </x:c>
    </x:row>
    <x:row r="7" ht="18" customHeight="1">
      <x:c r="A7" s="24" t="str">
        <x:v>EEZ_942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EEZ_942</x:v>
      </x:c>
      <x:c r="B8" s="24" t="str">
        <x:v>taxa_count</x:v>
      </x:c>
      <x:c r="C8" s="24" t="n">
        <x:v>40</x:v>
      </x:c>
      <x:c r="D8" s="24" t="str">
        <x:v>count</x:v>
      </x:c>
    </x:row>
    <x:row r="9" ht="18" customHeight="1">
      <x:c r="A9" s="24" t="str">
        <x:v>EEZ_942</x:v>
      </x:c>
      <x:c r="B9" s="24" t="str">
        <x:v>matched_taxa_count</x:v>
      </x:c>
      <x:c r="C9" s="24" t="n">
        <x:v>40</x:v>
      </x:c>
      <x:c r="D9" s="24" t="str">
        <x:v>count</x:v>
      </x:c>
    </x:row>
    <x:row r="10" ht="18" customHeight="1">
      <x:c r="A10" s="24" t="str">
        <x:v>EEZ_942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EEZ_942</x:v>
      </x:c>
      <x:c r="B11" s="24" t="str">
        <x:v>species_ppr</x:v>
      </x:c>
      <x:c r="C11" s="24" t="n">
        <x:v>275077618.8439184</x:v>
      </x:c>
      <x:c r="D11" s="24" t="str">
        <x:v>tonnes_primary_production_equivalent</x:v>
      </x:c>
    </x:row>
    <x:row r="12" ht="18" customHeight="1">
      <x:c r="A12" s="24" t="str">
        <x:v>EEZ_942</x:v>
      </x:c>
      <x:c r="B12" s="24" t="str">
        <x:v>commercial_ppr</x:v>
      </x:c>
      <x:c r="C12" s="24" t="n">
        <x:v>275077618.8439183</x:v>
      </x:c>
      <x:c r="D12" s="24" t="str">
        <x:v>tonnes_primary_production_equivalent</x:v>
      </x:c>
    </x:row>
    <x:row r="13" ht="18" customHeight="1">
      <x:c r="A13" s="24" t="str">
        <x:v>EEZ_942</x:v>
      </x:c>
      <x:c r="B13" s="24" t="str">
        <x:v>functional_ppr</x:v>
      </x:c>
      <x:c r="C13" s="24" t="n">
        <x:v>275077618.8439183</x:v>
      </x:c>
      <x:c r="D13" s="24" t="str">
        <x:v>tonnes_primary_production_equivalent</x:v>
      </x:c>
    </x:row>
    <x:row r="14" ht="18" customHeight="1">
      <x:c r="A14" s="24" t="str">
        <x:v>EEZ_942</x:v>
      </x:c>
      <x:c r="B14" s="24" t="str">
        <x:v>commercial_ppr_difference</x:v>
      </x:c>
      <x:c r="C14" s="24" t="n">
        <x:v>-5.960464477539063e-8</x:v>
      </x:c>
      <x:c r="D14" s="24" t="str">
        <x:v>tonnes_primary_production_equivalent</x:v>
      </x:c>
    </x:row>
    <x:row r="15" ht="18" customHeight="1">
      <x:c r="A15" s="24" t="str">
        <x:v>EEZ_942</x:v>
      </x:c>
      <x:c r="B15" s="24" t="str">
        <x:v>functional_ppr_difference</x:v>
      </x:c>
      <x:c r="C15" s="24" t="n">
        <x:v>-5.960464477539063e-8</x:v>
      </x:c>
      <x:c r="D15" s="24" t="str">
        <x:v>tonnes_primary_production_equivalent</x:v>
      </x:c>
    </x:row>
    <x:row r="16" ht="18" customHeight="1">
      <x:c r="A16" s="24" t="str">
        <x:v>EEZ_942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8e03ffe862843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EEZ_942 - Kiribati (Line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