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ea816b111a4e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2ff7a498db74975"/>
    <x:sheet xmlns:r="http://schemas.openxmlformats.org/officeDocument/2006/relationships" name="Commercial" sheetId="2" r:id="R53576f4d41224b17"/>
    <x:sheet xmlns:r="http://schemas.openxmlformats.org/officeDocument/2006/relationships" name="Functional" sheetId="3" r:id="R94f397b81e04439f"/>
    <x:sheet xmlns:r="http://schemas.openxmlformats.org/officeDocument/2006/relationships" name="Missing TL" sheetId="4" r:id="Rd5fe881e612342a0"/>
    <x:sheet xmlns:r="http://schemas.openxmlformats.org/officeDocument/2006/relationships" name="Validation" sheetId="5" r:id="R98433c170d404e0c"/>
    <x:sheet xmlns:r="http://schemas.openxmlformats.org/officeDocument/2006/relationships" name="Metadata" sheetId="6" r:id="R64cc8a0d1e8d4d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71f4c7a7dc4b77" /><Relationship Type="http://schemas.openxmlformats.org/officeDocument/2006/relationships/theme" Target="/xl/theme/theme1.xml" Id="R1cd94df959d44577" /><Relationship Type="http://schemas.microsoft.com/office/2022/11/relationships/FeaturePropertyBag" Target="/xl/featurePropertyBag/featurePropertyBag.xml" Id="R10c6a5a43deb47db" /><Relationship Type="http://schemas.openxmlformats.org/officeDocument/2006/relationships/sharedStrings" Target="/xl/sharedStrings.xml" Id="R5f37e31b5157445b" /><Relationship Type="http://schemas.openxmlformats.org/officeDocument/2006/relationships/worksheet" Target="/xl/worksheets/sheet1.xml" Id="Rc2ff7a498db74975" /><Relationship Type="http://schemas.openxmlformats.org/officeDocument/2006/relationships/worksheet" Target="/xl/worksheets/sheet2.xml" Id="R53576f4d41224b17" /><Relationship Type="http://schemas.openxmlformats.org/officeDocument/2006/relationships/worksheet" Target="/xl/worksheets/sheet3.xml" Id="R94f397b81e04439f" /><Relationship Type="http://schemas.openxmlformats.org/officeDocument/2006/relationships/worksheet" Target="/xl/worksheets/sheet4.xml" Id="Rd5fe881e612342a0" /><Relationship Type="http://schemas.openxmlformats.org/officeDocument/2006/relationships/worksheet" Target="/xl/worksheets/sheet5.xml" Id="R98433c170d404e0c" /><Relationship Type="http://schemas.openxmlformats.org/officeDocument/2006/relationships/worksheet" Target="/xl/worksheets/sheet6.xml" Id="R64cc8a0d1e8d4db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66SpeciesTable" displayName="EEZ666SpeciesTable" ref="A1:U22" headerRowCount="1" totalsRowCount="0" totalsRowShown="0">
  <x:autoFilter ref="A1:U2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66CommercialTable" displayName="EEZ666CommercialTable" ref="A1:O10" headerRowCount="1" totalsRowCount="0" totalsRowShown="0">
  <x:autoFilter ref="A1:O10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66FunctionalTable" displayName="EEZ666FunctionalTable" ref="A1:O12" headerRowCount="1" totalsRowCount="0" totalsRowShown="0">
  <x:autoFilter ref="A1:O1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66ValidationTable" displayName="EEZ66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8eac5b768646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bb566248d244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411ceef800246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6c593635e846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EEZ_666</x:v>
      </x:c>
      <x:c r="B2" s="24" t="str">
        <x:v>Saint Pierre &amp; Miquelon (France)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1259.2762259403999</x:v>
      </x:c>
      <x:c r="J2" s="31" t="n">
        <x:v>1259.2762259403999</x:v>
      </x:c>
      <x:c r="K2" s="31" t="n">
        <x:v>0</x:v>
      </x:c>
      <x:c r="L2" s="31" t="n">
        <x:v>1244.2216804864</x:v>
      </x:c>
      <x:c r="M2" s="31" t="n">
        <x:v>15.054545454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239950.13815944415</x:v>
      </x:c>
    </x:row>
    <x:row r="3" ht="18" customHeight="1">
      <x:c r="A3" s="24" t="str">
        <x:v>EEZ_666</x:v>
      </x:c>
      <x:c r="B3" s="24" t="str">
        <x:v>Saint Pierre &amp; Miquelon (France)</x:v>
      </x:c>
      <x:c r="C3" s="24" t="str">
        <x:v>EEZ</x:v>
      </x:c>
      <x:c r="D3" s="30" t="n">
        <x:v>2019</x:v>
      </x:c>
      <x:c r="E3" s="24" t="str">
        <x:v>Scorpaeniformes</x:v>
      </x:c>
      <x:c r="F3" s="24" t="str">
        <x:v>Scorpionfishes, flatheads</x:v>
      </x:c>
      <x:c r="G3" s="24" t="str">
        <x:v>Medium demersals (30 - 89 cm)</x:v>
      </x:c>
      <x:c r="H3" s="24" t="str">
        <x:v>Scorpionfishes</x:v>
      </x:c>
      <x:c r="I3" s="31" t="n">
        <x:v>121.4613317921</x:v>
      </x:c>
      <x:c r="J3" s="31" t="n">
        <x:v>121.4613317921</x:v>
      </x:c>
      <x:c r="K3" s="31" t="n">
        <x:v>0</x:v>
      </x:c>
      <x:c r="L3" s="31" t="n">
        <x:v>121.4613317921</x:v>
      </x:c>
      <x:c r="M3" s="31" t="n">
        <x:v>0</x:v>
      </x:c>
      <x:c r="N3" s="24" t="str">
        <x:v>scorpaeniformes</x:v>
      </x:c>
      <x:c r="O3" s="32" t="n">
        <x:v>3.78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Scorpaeniformes</x:v>
      </x:c>
      <x:c r="T3" s="32" t="n">
        <x:f>IF(O3="","",(1/'Metadata'!$B$5)^(O3-1))</x:f>
        <x:v>602.5595860743575</x:v>
      </x:c>
      <x:c r="U3" s="31" t="n">
        <x:f>IF(T3="","",I3*T3)</x:f>
        <x:v>73187.68980868798</x:v>
      </x:c>
    </x:row>
    <x:row r="4" ht="18" customHeight="1">
      <x:c r="A4" s="24" t="str">
        <x:v>EEZ_666</x:v>
      </x:c>
      <x:c r="B4" s="24" t="str">
        <x:v>Saint Pierre &amp; Miquelon (France)</x:v>
      </x:c>
      <x:c r="C4" s="24" t="str">
        <x:v>EEZ</x:v>
      </x:c>
      <x:c r="D4" s="30" t="n">
        <x:v>2019</x:v>
      </x:c>
      <x:c r="E4" s="24" t="str">
        <x:v>Gadus morhua</x:v>
      </x:c>
      <x:c r="F4" s="24" t="str">
        <x:v>Atlantic cod</x:v>
      </x:c>
      <x:c r="G4" s="24" t="str">
        <x:v>Large benthopelagics (&gt;=90 cm)</x:v>
      </x:c>
      <x:c r="H4" s="24" t="str">
        <x:v>Cod-likes</x:v>
      </x:c>
      <x:c r="I4" s="31" t="n">
        <x:v>93.2363813746</x:v>
      </x:c>
      <x:c r="J4" s="31" t="n">
        <x:v>93.2363813746</x:v>
      </x:c>
      <x:c r="K4" s="31" t="n">
        <x:v>0</x:v>
      </x:c>
      <x:c r="L4" s="31" t="n">
        <x:v>93.2363813746</x:v>
      </x:c>
      <x:c r="M4" s="31" t="n">
        <x:v>0</x:v>
      </x:c>
      <x:c r="N4" s="24" t="str">
        <x:v>gadus morhua</x:v>
      </x:c>
      <x:c r="O4" s="32" t="n">
        <x:v>4.09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Gadus morhua</x:v>
      </x:c>
      <x:c r="T4" s="32" t="n">
        <x:f>IF(O4="","",(1/'Metadata'!$B$5)^(O4-1))</x:f>
        <x:v>1230.268770812381</x:v>
      </x:c>
      <x:c r="U4" s="31" t="n">
        <x:f>IF(T4="","",I4*T4)</x:f>
        <x:v>114705.80830872351</x:v>
      </x:c>
    </x:row>
    <x:row r="5" ht="18" customHeight="1">
      <x:c r="A5" s="24" t="str">
        <x:v>EEZ_666</x:v>
      </x:c>
      <x:c r="B5" s="24" t="str">
        <x:v>Saint Pierre &amp; Miquelon (France)</x:v>
      </x:c>
      <x:c r="C5" s="24" t="str">
        <x:v>EEZ</x:v>
      </x:c>
      <x:c r="D5" s="30" t="n">
        <x:v>2019</x:v>
      </x:c>
      <x:c r="E5" s="24" t="str">
        <x:v>Chionoecetes opilio</x:v>
      </x:c>
      <x:c r="F5" s="24" t="str">
        <x:v>Snow crab</x:v>
      </x:c>
      <x:c r="G5" s="24" t="str">
        <x:v>Lobsters, crabs</x:v>
      </x:c>
      <x:c r="H5" s="24" t="str">
        <x:v>Crustaceans</x:v>
      </x:c>
      <x:c r="I5" s="31" t="n">
        <x:v>67.4494814766</x:v>
      </x:c>
      <x:c r="J5" s="31" t="n">
        <x:v>67.4494814766</x:v>
      </x:c>
      <x:c r="K5" s="31" t="n">
        <x:v>0</x:v>
      </x:c>
      <x:c r="L5" s="31" t="n">
        <x:v>67.4494814766</x:v>
      </x:c>
      <x:c r="M5" s="31" t="n">
        <x:v>0</x:v>
      </x:c>
      <x:c r="N5" s="24" t="str">
        <x:v>chionoecetes opilio</x:v>
      </x:c>
      <x:c r="O5" s="32" t="n">
        <x:v>3.54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Chionoecetes opilio</x:v>
      </x:c>
      <x:c r="T5" s="32" t="n">
        <x:f>IF(O5="","",(1/'Metadata'!$B$5)^(O5-1))</x:f>
        <x:v>346.73685045253166</x:v>
      </x:c>
      <x:c r="U5" s="31" t="n">
        <x:f>IF(T5="","",I5*T5)</x:f>
        <x:v>23387.22077185266</x:v>
      </x:c>
    </x:row>
    <x:row r="6" ht="18" customHeight="1">
      <x:c r="A6" s="24" t="str">
        <x:v>EEZ_666</x:v>
      </x:c>
      <x:c r="B6" s="24" t="str">
        <x:v>Saint Pierre &amp; Miquelon (France)</x:v>
      </x:c>
      <x:c r="C6" s="24" t="str">
        <x:v>EEZ</x:v>
      </x:c>
      <x:c r="D6" s="30" t="n">
        <x:v>2019</x:v>
      </x:c>
      <x:c r="E6" s="24" t="str">
        <x:v>Bivalvia</x:v>
      </x:c>
      <x:c r="F6" s="24" t="str">
        <x:v>Clams</x:v>
      </x:c>
      <x:c r="G6" s="24" t="str">
        <x:v>Other demersal invertebrates</x:v>
      </x:c>
      <x:c r="H6" s="24" t="str">
        <x:v>Molluscs</x:v>
      </x:c>
      <x:c r="I6" s="31" t="n">
        <x:v>30.101563627300003</x:v>
      </x:c>
      <x:c r="J6" s="31" t="n">
        <x:v>30.101563627300003</x:v>
      </x:c>
      <x:c r="K6" s="31" t="n">
        <x:v>0</x:v>
      </x:c>
      <x:c r="L6" s="31" t="n">
        <x:v>0</x:v>
      </x:c>
      <x:c r="M6" s="31" t="n">
        <x:v>30.101563627300003</x:v>
      </x:c>
      <x:c r="N6" s="24" t="str">
        <x:v>bivalvia</x:v>
      </x:c>
      <x:c r="O6" s="32" t="n">
        <x:v>2.23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Bivalvia</x:v>
      </x:c>
      <x:c r="T6" s="32" t="n">
        <x:f>IF(O6="","",(1/'Metadata'!$B$5)^(O6-1))</x:f>
        <x:v>16.982436524617444</x:v>
      </x:c>
      <x:c r="U6" s="31" t="n">
        <x:f>IF(T6="","",I6*T6)</x:f>
        <x:v>511.1978935923555</x:v>
      </x:c>
    </x:row>
    <x:row r="7" ht="18" customHeight="1">
      <x:c r="A7" s="24" t="str">
        <x:v>EEZ_666</x:v>
      </x:c>
      <x:c r="B7" s="24" t="str">
        <x:v>Saint Pierre &amp; Miquelon (France)</x:v>
      </x:c>
      <x:c r="C7" s="24" t="str">
        <x:v>EEZ</x:v>
      </x:c>
      <x:c r="D7" s="30" t="n">
        <x:v>2019</x:v>
      </x:c>
      <x:c r="E7" s="24" t="str">
        <x:v>Homarus americanus</x:v>
      </x:c>
      <x:c r="F7" s="24" t="str">
        <x:v>American lobster</x:v>
      </x:c>
      <x:c r="G7" s="24" t="str">
        <x:v>Lobsters, crabs</x:v>
      </x:c>
      <x:c r="H7" s="24" t="str">
        <x:v>Crustaceans</x:v>
      </x:c>
      <x:c r="I7" s="31" t="n">
        <x:v>28.8601332124</x:v>
      </x:c>
      <x:c r="J7" s="31" t="n">
        <x:v>28.8601332124</x:v>
      </x:c>
      <x:c r="K7" s="31" t="n">
        <x:v>0</x:v>
      </x:c>
      <x:c r="L7" s="31" t="n">
        <x:v>14.1426332124</x:v>
      </x:c>
      <x:c r="M7" s="31" t="n">
        <x:v>14.7175</x:v>
      </x:c>
      <x:c r="N7" s="24" t="str">
        <x:v>homarus americanus</x:v>
      </x:c>
      <x:c r="O7" s="32" t="n">
        <x:v>3.7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Homarus americanus</x:v>
      </x:c>
      <x:c r="T7" s="32" t="n">
        <x:f>IF(O7="","",(1/'Metadata'!$B$5)^(O7-1))</x:f>
        <x:v>501.18723362727246</x:v>
      </x:c>
      <x:c r="U7" s="31" t="n">
        <x:f>IF(T7="","",I7*T7)</x:f>
        <x:v>14464.330326837324</x:v>
      </x:c>
    </x:row>
    <x:row r="8" ht="18" customHeight="1">
      <x:c r="A8" s="24" t="str">
        <x:v>EEZ_666</x:v>
      </x:c>
      <x:c r="B8" s="24" t="str">
        <x:v>Saint Pierre &amp; Miquelon (France)</x:v>
      </x:c>
      <x:c r="C8" s="24" t="str">
        <x:v>EEZ</x:v>
      </x:c>
      <x:c r="D8" s="30" t="n">
        <x:v>2019</x:v>
      </x:c>
      <x:c r="E8" s="24" t="str">
        <x:v>Hippoglossus hippoglossus</x:v>
      </x:c>
      <x:c r="F8" s="24" t="str">
        <x:v>Atlantic halibut</x:v>
      </x:c>
      <x:c r="G8" s="24" t="str">
        <x:v>Large flatfishes (&gt;=90 cm)</x:v>
      </x:c>
      <x:c r="H8" s="24" t="str">
        <x:v>Flatfishes</x:v>
      </x:c>
      <x:c r="I8" s="31" t="n">
        <x:v>23.25</x:v>
      </x:c>
      <x:c r="J8" s="31" t="n">
        <x:v>23.25</x:v>
      </x:c>
      <x:c r="K8" s="31" t="n">
        <x:v>0</x:v>
      </x:c>
      <x:c r="L8" s="31" t="n">
        <x:v>23.25</x:v>
      </x:c>
      <x:c r="M8" s="31" t="n">
        <x:v>0</x:v>
      </x:c>
      <x:c r="N8" s="24" t="str">
        <x:v>hippoglossus hippoglossus</x:v>
      </x:c>
      <x:c r="O8" s="32" t="n">
        <x:v>4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Hippoglossus hippoglossus</x:v>
      </x:c>
      <x:c r="T8" s="32" t="n">
        <x:f>IF(O8="","",(1/'Metadata'!$B$5)^(O8-1))</x:f>
        <x:v>1000</x:v>
      </x:c>
      <x:c r="U8" s="31" t="n">
        <x:f>IF(T8="","",I8*T8)</x:f>
        <x:v>23250</x:v>
      </x:c>
    </x:row>
    <x:row r="9" ht="18" customHeight="1">
      <x:c r="A9" s="24" t="str">
        <x:v>EEZ_666</x:v>
      </x:c>
      <x:c r="B9" s="24" t="str">
        <x:v>Saint Pierre &amp; Miquelon (France)</x:v>
      </x:c>
      <x:c r="C9" s="24" t="str">
        <x:v>EEZ</x:v>
      </x:c>
      <x:c r="D9" s="30" t="n">
        <x:v>2019</x:v>
      </x:c>
      <x:c r="E9" s="24" t="str">
        <x:v>Placopecten magellanicus</x:v>
      </x:c>
      <x:c r="F9" s="24" t="str">
        <x:v>American sea scallop</x:v>
      </x:c>
      <x:c r="G9" s="24" t="str">
        <x:v>Other demersal invertebrates</x:v>
      </x:c>
      <x:c r="H9" s="24" t="str">
        <x:v>Molluscs</x:v>
      </x:c>
      <x:c r="I9" s="31" t="n">
        <x:v>22.3018446787</x:v>
      </x:c>
      <x:c r="J9" s="31" t="n">
        <x:v>22.3018446787</x:v>
      </x:c>
      <x:c r="K9" s="31" t="n">
        <x:v>0</x:v>
      </x:c>
      <x:c r="L9" s="31" t="n">
        <x:v>22.3018446787</x:v>
      </x:c>
      <x:c r="M9" s="31" t="n">
        <x:v>0</x:v>
      </x:c>
      <x:c r="N9" s="24" t="str">
        <x:v>placopecten magellanicus</x:v>
      </x:c>
      <x:c r="O9" s="32" t="n">
        <x:v>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Placopecten magellanicus</x:v>
      </x:c>
      <x:c r="T9" s="32" t="n">
        <x:f>IF(O9="","",(1/'Metadata'!$B$5)^(O9-1))</x:f>
        <x:v>10</x:v>
      </x:c>
      <x:c r="U9" s="31" t="n">
        <x:f>IF(T9="","",I9*T9)</x:f>
        <x:v>223.01844678700002</x:v>
      </x:c>
    </x:row>
    <x:row r="10" ht="18" customHeight="1">
      <x:c r="A10" s="24" t="str">
        <x:v>EEZ_666</x:v>
      </x:c>
      <x:c r="B10" s="24" t="str">
        <x:v>Saint Pierre &amp; Miquelon (France)</x:v>
      </x:c>
      <x:c r="C10" s="24" t="str">
        <x:v>EEZ</x:v>
      </x:c>
      <x:c r="D10" s="30" t="n">
        <x:v>2019</x:v>
      </x:c>
      <x:c r="E10" s="24" t="str">
        <x:v>Busycon</x:v>
      </x:c>
      <x:c r="F10" s="24" t="str">
        <x:v>Whelks</x:v>
      </x:c>
      <x:c r="G10" s="24" t="str">
        <x:v>Other demersal invertebrates</x:v>
      </x:c>
      <x:c r="H10" s="24" t="str">
        <x:v>Molluscs</x:v>
      </x:c>
      <x:c r="I10" s="31" t="n">
        <x:v>21.525152002</x:v>
      </x:c>
      <x:c r="J10" s="31" t="n">
        <x:v>21.525152002</x:v>
      </x:c>
      <x:c r="K10" s="31" t="n">
        <x:v>0</x:v>
      </x:c>
      <x:c r="L10" s="31" t="n">
        <x:v>21.525152002</x:v>
      </x:c>
      <x:c r="M10" s="31" t="n">
        <x:v>0</x:v>
      </x:c>
      <x:c r="N10" s="24" t="str">
        <x:v>busycon</x:v>
      </x:c>
      <x:c r="O10" s="32" t="n">
        <x:v>3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Busycon</x:v>
      </x:c>
      <x:c r="T10" s="32" t="n">
        <x:f>IF(O10="","",(1/'Metadata'!$B$5)^(O10-1))</x:f>
        <x:v>100</x:v>
      </x:c>
      <x:c r="U10" s="31" t="n">
        <x:f>IF(T10="","",I10*T10)</x:f>
        <x:v>2152.5152002</x:v>
      </x:c>
    </x:row>
    <x:row r="11" ht="18" customHeight="1">
      <x:c r="A11" s="24" t="str">
        <x:v>EEZ_666</x:v>
      </x:c>
      <x:c r="B11" s="24" t="str">
        <x:v>Saint Pierre &amp; Miquelon (France)</x:v>
      </x:c>
      <x:c r="C11" s="24" t="str">
        <x:v>EEZ</x:v>
      </x:c>
      <x:c r="D11" s="30" t="n">
        <x:v>2019</x:v>
      </x:c>
      <x:c r="E11" s="24" t="str">
        <x:v>Ammodytidae</x:v>
      </x:c>
      <x:c r="F11" s="24" t="str">
        <x:v>Sand lances</x:v>
      </x:c>
      <x:c r="G11" s="24" t="str">
        <x:v>Large reef assoc. fish (&gt;=90 cm)</x:v>
      </x:c>
      <x:c r="H11" s="24" t="str">
        <x:v>Perch-likes</x:v>
      </x:c>
      <x:c r="I11" s="31" t="n">
        <x:v>15.0507818196</x:v>
      </x:c>
      <x:c r="J11" s="31" t="n">
        <x:v>15.0507818196</x:v>
      </x:c>
      <x:c r="K11" s="31" t="n">
        <x:v>0</x:v>
      </x:c>
      <x:c r="L11" s="31" t="n">
        <x:v>0</x:v>
      </x:c>
      <x:c r="M11" s="31" t="n">
        <x:v>15.0507818196</x:v>
      </x:c>
      <x:c r="N11" s="24" t="str">
        <x:v>ammodytidae</x:v>
      </x:c>
      <x:c r="O11" s="32" t="n">
        <x:v>3.11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Ammodytidae</x:v>
      </x:c>
      <x:c r="T11" s="32" t="n">
        <x:f>IF(O11="","",(1/'Metadata'!$B$5)^(O11-1))</x:f>
        <x:v>128.82495516931337</x:v>
      </x:c>
      <x:c r="U11" s="31" t="n">
        <x:f>IF(T11="","",I11*T11)</x:f>
        <x:v>1938.9162931730866</x:v>
      </x:c>
    </x:row>
    <x:row r="12" ht="18" customHeight="1">
      <x:c r="A12" s="24" t="str">
        <x:v>EEZ_666</x:v>
      </x:c>
      <x:c r="B12" s="24" t="str">
        <x:v>Saint Pierre &amp; Miquelon (France)</x:v>
      </x:c>
      <x:c r="C12" s="24" t="str">
        <x:v>EEZ</x:v>
      </x:c>
      <x:c r="D12" s="30" t="n">
        <x:v>2019</x:v>
      </x:c>
      <x:c r="E12" s="24" t="str">
        <x:v>Buccinum undatum</x:v>
      </x:c>
      <x:c r="F12" s="24" t="str">
        <x:v>Whelk</x:v>
      </x:c>
      <x:c r="G12" s="24" t="str">
        <x:v>Other demersal invertebrates</x:v>
      </x:c>
      <x:c r="H12" s="24" t="str">
        <x:v>Molluscs</x:v>
      </x:c>
      <x:c r="I12" s="31" t="n">
        <x:v>15.050781817699999</x:v>
      </x:c>
      <x:c r="J12" s="31" t="n">
        <x:v>15.050781817699999</x:v>
      </x:c>
      <x:c r="K12" s="31" t="n">
        <x:v>0</x:v>
      </x:c>
      <x:c r="L12" s="31" t="n">
        <x:v>0</x:v>
      </x:c>
      <x:c r="M12" s="31" t="n">
        <x:v>15.050781817699999</x:v>
      </x:c>
      <x:c r="N12" s="24" t="str">
        <x:v>buccinum undatum</x:v>
      </x:c>
      <x:c r="O12" s="32" t="n">
        <x:v>3.75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Buccinum undatum</x:v>
      </x:c>
      <x:c r="T12" s="32" t="n">
        <x:f>IF(O12="","",(1/'Metadata'!$B$5)^(O12-1))</x:f>
        <x:v>562.341325190349</x:v>
      </x:c>
      <x:c r="U12" s="31" t="n">
        <x:f>IF(T12="","",I12*T12)</x:f>
        <x:v>8463.676592516227</x:v>
      </x:c>
    </x:row>
    <x:row r="13" ht="18" customHeight="1">
      <x:c r="A13" s="24" t="str">
        <x:v>EEZ_666</x:v>
      </x:c>
      <x:c r="B13" s="24" t="str">
        <x:v>Saint Pierre &amp; Miquelon (France)</x:v>
      </x:c>
      <x:c r="C13" s="24" t="str">
        <x:v>EEZ</x:v>
      </x:c>
      <x:c r="D13" s="30" t="n">
        <x:v>2019</x:v>
      </x:c>
      <x:c r="E13" s="24" t="str">
        <x:v>Teuthida</x:v>
      </x:c>
      <x:c r="F13" s="24" t="str">
        <x:v>Squids</x:v>
      </x:c>
      <x:c r="G13" s="24" t="str">
        <x:v>Cephalopods</x:v>
      </x:c>
      <x:c r="H13" s="24" t="str">
        <x:v>Other fishes &amp; inverts</x:v>
      </x:c>
      <x:c r="I13" s="31" t="n">
        <x:v>15.050781817699999</x:v>
      </x:c>
      <x:c r="J13" s="31" t="n">
        <x:v>15.050781817699999</x:v>
      </x:c>
      <x:c r="K13" s="31" t="n">
        <x:v>0</x:v>
      </x:c>
      <x:c r="L13" s="31" t="n">
        <x:v>0</x:v>
      </x:c>
      <x:c r="M13" s="31" t="n">
        <x:v>15.050781817699999</x:v>
      </x:c>
      <x:c r="N13" s="24" t="str">
        <x:v>teuthida</x:v>
      </x:c>
      <x:c r="O13" s="32" t="n">
        <x:v>4.13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Teuthida</x:v>
      </x:c>
      <x:c r="T13" s="32" t="n">
        <x:f>IF(O13="","",(1/'Metadata'!$B$5)^(O13-1))</x:f>
        <x:v>1348.9628825916532</x:v>
      </x:c>
      <x:c r="U13" s="31" t="n">
        <x:f>IF(T13="","",I13*T13)</x:f>
        <x:v>20302.946026062633</x:v>
      </x:c>
    </x:row>
    <x:row r="14" ht="18" customHeight="1">
      <x:c r="A14" s="24" t="str">
        <x:v>EEZ_666</x:v>
      </x:c>
      <x:c r="B14" s="24" t="str">
        <x:v>Saint Pierre &amp; Miquelon (France)</x:v>
      </x:c>
      <x:c r="C14" s="24" t="str">
        <x:v>EEZ</x:v>
      </x:c>
      <x:c r="D14" s="30" t="n">
        <x:v>2019</x:v>
      </x:c>
      <x:c r="E14" s="24" t="str">
        <x:v>Mallotus villosus</x:v>
      </x:c>
      <x:c r="F14" s="24" t="str">
        <x:v>Capelin</x:v>
      </x:c>
      <x:c r="G14" s="24" t="str">
        <x:v>Small pelagics (&lt;30 cm)</x:v>
      </x:c>
      <x:c r="H14" s="24" t="str">
        <x:v>Salmon, smelts, etc</x:v>
      </x:c>
      <x:c r="I14" s="31" t="n">
        <x:v>10.8892026454</x:v>
      </x:c>
      <x:c r="J14" s="31" t="n">
        <x:v>10.8892026454</x:v>
      </x:c>
      <x:c r="K14" s="31" t="n">
        <x:v>0</x:v>
      </x:c>
      <x:c r="L14" s="31" t="n">
        <x:v>0</x:v>
      </x:c>
      <x:c r="M14" s="31" t="n">
        <x:v>10.8892026454</x:v>
      </x:c>
      <x:c r="N14" s="24" t="str">
        <x:v>mallotus villosus</x:v>
      </x:c>
      <x:c r="O14" s="32" t="n">
        <x:v>3.15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Mallotus villosus</x:v>
      </x:c>
      <x:c r="T14" s="32" t="n">
        <x:f>IF(O14="","",(1/'Metadata'!$B$5)^(O14-1))</x:f>
        <x:v>141.2537544622754</x:v>
      </x:c>
      <x:c r="U14" s="31" t="n">
        <x:f>IF(T14="","",I14*T14)</x:f>
        <x:v>1538.1407567632912</x:v>
      </x:c>
    </x:row>
    <x:row r="15" ht="18" customHeight="1">
      <x:c r="A15" s="24" t="str">
        <x:v>EEZ_666</x:v>
      </x:c>
      <x:c r="B15" s="24" t="str">
        <x:v>Saint Pierre &amp; Miquelon (France)</x:v>
      </x:c>
      <x:c r="C15" s="24" t="str">
        <x:v>EEZ</x:v>
      </x:c>
      <x:c r="D15" s="30" t="n">
        <x:v>2019</x:v>
      </x:c>
      <x:c r="E15" s="24" t="str">
        <x:v>Clupeidae</x:v>
      </x:c>
      <x:c r="F15" s="24" t="str">
        <x:v>Herrings, sardines, menhadens</x:v>
      </x:c>
      <x:c r="G15" s="24" t="str">
        <x:v>Small pelagics (&lt;30 cm)</x:v>
      </x:c>
      <x:c r="H15" s="24" t="str">
        <x:v>Herring-likes</x:v>
      </x:c>
      <x:c r="I15" s="31" t="n">
        <x:v>7.5272727281</x:v>
      </x:c>
      <x:c r="J15" s="31" t="n">
        <x:v>7.5272727281</x:v>
      </x:c>
      <x:c r="K15" s="31" t="n">
        <x:v>0</x:v>
      </x:c>
      <x:c r="L15" s="31" t="n">
        <x:v>0</x:v>
      </x:c>
      <x:c r="M15" s="31" t="n">
        <x:v>7.5272727281</x:v>
      </x:c>
      <x:c r="N15" s="24" t="str">
        <x:v>clupeidae</x:v>
      </x:c>
      <x:c r="O15" s="32" t="n">
        <x:v>3.16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Clupeidae</x:v>
      </x:c>
      <x:c r="T15" s="32" t="n">
        <x:f>IF(O15="","",(1/'Metadata'!$B$5)^(O15-1))</x:f>
        <x:v>144.5439770745928</x:v>
      </x:c>
      <x:c r="U15" s="31" t="n">
        <x:f>IF(T15="","",I15*T15)</x:f>
        <x:v>1088.0219366446938</x:v>
      </x:c>
    </x:row>
    <x:row r="16" ht="18" customHeight="1">
      <x:c r="A16" s="24" t="str">
        <x:v>EEZ_666</x:v>
      </x:c>
      <x:c r="B16" s="24" t="str">
        <x:v>Saint Pierre &amp; Miquelon (France)</x:v>
      </x:c>
      <x:c r="C16" s="24" t="str">
        <x:v>EEZ</x:v>
      </x:c>
      <x:c r="D16" s="30" t="n">
        <x:v>2019</x:v>
      </x:c>
      <x:c r="E16" s="24" t="str">
        <x:v>Scombridae</x:v>
      </x:c>
      <x:c r="F16" s="24" t="str">
        <x:v>Mackerels, tunas, bonitos</x:v>
      </x:c>
      <x:c r="G16" s="24" t="str">
        <x:v>Medium pelagics (30 - 89 cm)</x:v>
      </x:c>
      <x:c r="H16" s="24" t="str">
        <x:v>Perch-likes</x:v>
      </x:c>
      <x:c r="I16" s="31" t="n">
        <x:v>7.527272726900001</x:v>
      </x:c>
      <x:c r="J16" s="31" t="n">
        <x:v>7.527272726900001</x:v>
      </x:c>
      <x:c r="K16" s="31" t="n">
        <x:v>0</x:v>
      </x:c>
      <x:c r="L16" s="31" t="n">
        <x:v>0</x:v>
      </x:c>
      <x:c r="M16" s="31" t="n">
        <x:v>7.527272726900001</x:v>
      </x:c>
      <x:c r="N16" s="24" t="str">
        <x:v>scombridae</x:v>
      </x:c>
      <x:c r="O16" s="32" t="n">
        <x:v>4.26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Scombridae</x:v>
      </x:c>
      <x:c r="T16" s="32" t="n">
        <x:f>IF(O16="","",(1/'Metadata'!$B$5)^(O16-1))</x:f>
        <x:v>1819.7008586099826</x:v>
      </x:c>
      <x:c r="U16" s="31" t="n">
        <x:f>IF(T16="","",I16*T16)</x:f>
        <x:v>13697.384644131436</x:v>
      </x:c>
    </x:row>
    <x:row r="17" ht="18" customHeight="1">
      <x:c r="A17" s="24" t="str">
        <x:v>EEZ_666</x:v>
      </x:c>
      <x:c r="B17" s="24" t="str">
        <x:v>Saint Pierre &amp; Miquelon (France)</x:v>
      </x:c>
      <x:c r="C17" s="24" t="str">
        <x:v>EEZ</x:v>
      </x:c>
      <x:c r="D17" s="30" t="n">
        <x:v>2019</x:v>
      </x:c>
      <x:c r="E17" s="24" t="str">
        <x:v>Illex illecebrosus</x:v>
      </x:c>
      <x:c r="F17" s="24" t="str">
        <x:v>Northern shortfin squid</x:v>
      </x:c>
      <x:c r="G17" s="24" t="str">
        <x:v>Cephalopods</x:v>
      </x:c>
      <x:c r="H17" s="24" t="str">
        <x:v>Other fishes &amp; inverts</x:v>
      </x:c>
      <x:c r="I17" s="31" t="n">
        <x:v>7.397635821800001</x:v>
      </x:c>
      <x:c r="J17" s="31" t="n">
        <x:v>7.397635821800001</x:v>
      </x:c>
      <x:c r="K17" s="31" t="n">
        <x:v>0</x:v>
      </x:c>
      <x:c r="L17" s="31" t="n">
        <x:v>7.397635821800001</x:v>
      </x:c>
      <x:c r="M17" s="31" t="n">
        <x:v>0</x:v>
      </x:c>
      <x:c r="N17" s="24" t="str">
        <x:v>illex illecebrosus</x:v>
      </x:c>
      <x:c r="O17" s="32" t="n">
        <x:v>3.98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Illex illecebrosus</x:v>
      </x:c>
      <x:c r="T17" s="32" t="n">
        <x:f>IF(O17="","",(1/'Metadata'!$B$5)^(O17-1))</x:f>
        <x:v>954.992586021436</x:v>
      </x:c>
      <x:c r="U17" s="31" t="n">
        <x:f>IF(T17="","",I17*T17)</x:f>
        <x:v>7064.687363905593</x:v>
      </x:c>
    </x:row>
    <x:row r="18" ht="18" customHeight="1">
      <x:c r="A18" s="24" t="str">
        <x:v>EEZ_666</x:v>
      </x:c>
      <x:c r="B18" s="24" t="str">
        <x:v>Saint Pierre &amp; Miquelon (France)</x:v>
      </x:c>
      <x:c r="C18" s="24" t="str">
        <x:v>EEZ</x:v>
      </x:c>
      <x:c r="D18" s="30" t="n">
        <x:v>2019</x:v>
      </x:c>
      <x:c r="E18" s="24" t="str">
        <x:v>Pollachius virens</x:v>
      </x:c>
      <x:c r="F18" s="24" t="str">
        <x:v>Saithe</x:v>
      </x:c>
      <x:c r="G18" s="24" t="str">
        <x:v>Large demersals (&gt;=90 cm)</x:v>
      </x:c>
      <x:c r="H18" s="24" t="str">
        <x:v>Cod-likes</x:v>
      </x:c>
      <x:c r="I18" s="31" t="n">
        <x:v>6.788017551299999</x:v>
      </x:c>
      <x:c r="J18" s="31" t="n">
        <x:v>6.788017551299999</x:v>
      </x:c>
      <x:c r="K18" s="31" t="n">
        <x:v>0</x:v>
      </x:c>
      <x:c r="L18" s="31" t="n">
        <x:v>6.788017551299999</x:v>
      </x:c>
      <x:c r="M18" s="31" t="n">
        <x:v>0</x:v>
      </x:c>
      <x:c r="N18" s="24" t="str">
        <x:v>pollachius virens</x:v>
      </x:c>
      <x:c r="O18" s="32" t="n">
        <x:v>4.31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Pollachius virens</x:v>
      </x:c>
      <x:c r="T18" s="32" t="n">
        <x:f>IF(O18="","",(1/'Metadata'!$B$5)^(O18-1))</x:f>
        <x:v>2041.7379446695275</x:v>
      </x:c>
      <x:c r="U18" s="31" t="n">
        <x:f>IF(T18="","",I18*T18)</x:f>
        <x:v>13859.35300357194</x:v>
      </x:c>
    </x:row>
    <x:row r="19" ht="18" customHeight="1">
      <x:c r="A19" s="24" t="str">
        <x:v>EEZ_666</x:v>
      </x:c>
      <x:c r="B19" s="24" t="str">
        <x:v>Saint Pierre &amp; Miquelon (France)</x:v>
      </x:c>
      <x:c r="C19" s="24" t="str">
        <x:v>EEZ</x:v>
      </x:c>
      <x:c r="D19" s="30" t="n">
        <x:v>2019</x:v>
      </x:c>
      <x:c r="E19" s="24" t="str">
        <x:v>Melanogrammus aeglefinus</x:v>
      </x:c>
      <x:c r="F19" s="24" t="str">
        <x:v>Haddock</x:v>
      </x:c>
      <x:c r="G19" s="24" t="str">
        <x:v>Medium demersals (30 - 89 cm)</x:v>
      </x:c>
      <x:c r="H19" s="24" t="str">
        <x:v>Cod-likes</x:v>
      </x:c>
      <x:c r="I19" s="31" t="n">
        <x:v>6.2658623538</x:v>
      </x:c>
      <x:c r="J19" s="31" t="n">
        <x:v>6.2658623538</x:v>
      </x:c>
      <x:c r="K19" s="31" t="n">
        <x:v>0</x:v>
      </x:c>
      <x:c r="L19" s="31" t="n">
        <x:v>6.2658623538</x:v>
      </x:c>
      <x:c r="M19" s="31" t="n">
        <x:v>0</x:v>
      </x:c>
      <x:c r="N19" s="24" t="str">
        <x:v>melanogrammus aeglefinus</x:v>
      </x:c>
      <x:c r="O19" s="32" t="n">
        <x:v>4.03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Melanogrammus aeglefinus</x:v>
      </x:c>
      <x:c r="T19" s="32" t="n">
        <x:f>IF(O19="","",(1/'Metadata'!$B$5)^(O19-1))</x:f>
        <x:v>1071.519305237607</x:v>
      </x:c>
      <x:c r="U19" s="31" t="n">
        <x:f>IF(T19="","",I19*T19)</x:f>
        <x:v>6713.9924760582535</x:v>
      </x:c>
    </x:row>
    <x:row r="20" ht="18" customHeight="1">
      <x:c r="A20" s="24" t="str">
        <x:v>EEZ_666</x:v>
      </x:c>
      <x:c r="B20" s="24" t="str">
        <x:v>Saint Pierre &amp; Miquelon (France)</x:v>
      </x:c>
      <x:c r="C20" s="24" t="str">
        <x:v>EEZ</x:v>
      </x:c>
      <x:c r="D20" s="30" t="n">
        <x:v>2019</x:v>
      </x:c>
      <x:c r="E20" s="24" t="str">
        <x:v>Myzopsetta ferruginea</x:v>
      </x:c>
      <x:c r="F20" s="24" t="str">
        <x:v>Yellowtail flounder</x:v>
      </x:c>
      <x:c r="G20" s="24" t="str">
        <x:v>Small to medium flatfishes (&lt;90 cm)</x:v>
      </x:c>
      <x:c r="H20" s="24" t="str">
        <x:v>Flatfishes</x:v>
      </x:c>
      <x:c r="I20" s="31" t="n">
        <x:v>3.2874295469</x:v>
      </x:c>
      <x:c r="J20" s="31" t="n">
        <x:v>3.2874295469</x:v>
      </x:c>
      <x:c r="K20" s="31" t="n">
        <x:v>0</x:v>
      </x:c>
      <x:c r="L20" s="31" t="n">
        <x:v>3.2874295469</x:v>
      </x:c>
      <x:c r="M20" s="31" t="n">
        <x:v>0</x:v>
      </x:c>
      <x:c r="N20" s="24" t="str">
        <x:v>myzopsetta ferruginea</x:v>
      </x:c>
      <x:c r="O20" s="32" t="n">
        <x:v>3.28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Myzopsetta ferruginea</x:v>
      </x:c>
      <x:c r="T20" s="32" t="n">
        <x:f>IF(O20="","",(1/'Metadata'!$B$5)^(O20-1))</x:f>
        <x:v>190.54607179632464</x:v>
      </x:c>
      <x:c r="U20" s="31" t="n">
        <x:f>IF(T20="","",I20*T20)</x:f>
        <x:v>626.4067864689664</x:v>
      </x:c>
    </x:row>
    <x:row r="21" ht="18" customHeight="1">
      <x:c r="A21" s="24" t="str">
        <x:v>EEZ_666</x:v>
      </x:c>
      <x:c r="B21" s="24" t="str">
        <x:v>Saint Pierre &amp; Miquelon (France)</x:v>
      </x:c>
      <x:c r="C21" s="24" t="str">
        <x:v>EEZ</x:v>
      </x:c>
      <x:c r="D21" s="30" t="n">
        <x:v>2019</x:v>
      </x:c>
      <x:c r="E21" s="24" t="str">
        <x:v>Salmo salar</x:v>
      </x:c>
      <x:c r="F21" s="24" t="str">
        <x:v>Atlantic salmon</x:v>
      </x:c>
      <x:c r="G21" s="24" t="str">
        <x:v>Large benthopelagics (&gt;=90 cm)</x:v>
      </x:c>
      <x:c r="H21" s="24" t="str">
        <x:v>Salmon, smelts, etc</x:v>
      </x:c>
      <x:c r="I21" s="31" t="n">
        <x:v>2.223</x:v>
      </x:c>
      <x:c r="J21" s="31" t="n">
        <x:v>2.223</x:v>
      </x:c>
      <x:c r="K21" s="31" t="n">
        <x:v>0</x:v>
      </x:c>
      <x:c r="L21" s="31" t="n">
        <x:v>2.223</x:v>
      </x:c>
      <x:c r="M21" s="31" t="n">
        <x:v>0</x:v>
      </x:c>
      <x:c r="N21" s="24" t="str">
        <x:v>salmo salar</x:v>
      </x:c>
      <x:c r="O21" s="32" t="n">
        <x:v>4.5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Salmo salar</x:v>
      </x:c>
      <x:c r="T21" s="32" t="n">
        <x:f>IF(O21="","",(1/'Metadata'!$B$5)^(O21-1))</x:f>
        <x:v>3162.2776601683795</x:v>
      </x:c>
      <x:c r="U21" s="31" t="n">
        <x:f>IF(T21="","",I21*T21)</x:f>
        <x:v>7029.743238554307</x:v>
      </x:c>
    </x:row>
    <x:row r="22" ht="18" customHeight="1">
      <x:c r="A22" s="24" t="str">
        <x:v>EEZ_666</x:v>
      </x:c>
      <x:c r="B22" s="24" t="str">
        <x:v>Saint Pierre &amp; Miquelon (France)</x:v>
      </x:c>
      <x:c r="C22" s="24" t="str">
        <x:v>EEZ</x:v>
      </x:c>
      <x:c r="D22" s="30" t="n">
        <x:v>2019</x:v>
      </x:c>
      <x:c r="E22" s="24" t="str">
        <x:v>Glyptocephalus cynoglossus</x:v>
      </x:c>
      <x:c r="F22" s="24" t="str">
        <x:v>Witch flounder</x:v>
      </x:c>
      <x:c r="G22" s="24" t="str">
        <x:v>Small to medium flatfishes (&lt;90 cm)</x:v>
      </x:c>
      <x:c r="H22" s="24" t="str">
        <x:v>Flatfishes</x:v>
      </x:c>
      <x:c r="I22" s="31" t="n">
        <x:v>1.5664655887</x:v>
      </x:c>
      <x:c r="J22" s="31" t="n">
        <x:v>1.5664655887</x:v>
      </x:c>
      <x:c r="K22" s="31" t="n">
        <x:v>0</x:v>
      </x:c>
      <x:c r="L22" s="31" t="n">
        <x:v>1.5664655887</x:v>
      </x:c>
      <x:c r="M22" s="31" t="n">
        <x:v>0</x:v>
      </x:c>
      <x:c r="N22" s="24" t="str">
        <x:v>glyptocephalus cynoglossus</x:v>
      </x:c>
      <x:c r="O22" s="32" t="n">
        <x:v>3.17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Glyptocephalus cynoglossus</x:v>
      </x:c>
      <x:c r="T22" s="32" t="n">
        <x:f>IF(O22="","",(1/'Metadata'!$B$5)^(O22-1))</x:f>
        <x:v>147.91083881682073</x:v>
      </x:c>
      <x:c r="U22" s="31" t="n">
        <x:f>IF(T22="","",I22*T22)</x:f>
        <x:v>231.69723920230192</x:v>
      </x:c>
    </x:row>
  </x:sheetData>
  <x:conditionalFormatting sqref="R2:R2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18eac5b768646f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Cod-likes</x:v>
      </x:c>
      <x:c r="B2" s="33" t="n">
        <x:v>3</x:v>
      </x:c>
      <x:c r="C2" s="33" t="n">
        <x:v>3</x:v>
      </x:c>
      <x:c r="D2" s="31" t="n">
        <x:v>106.2902612797</x:v>
      </x:c>
      <x:c r="E2" s="31" t="n">
        <x:v>106.2902612797</x:v>
      </x:c>
      <x:c r="F2" s="32" t="n">
        <x:v>0</x:v>
      </x:c>
      <x:c r="G2" s="34" t="n">
        <x:v>1</x:v>
      </x:c>
      <x:c r="H2" s="32" t="n">
        <x:f>IF(E2=0,"",I2/E2)</x:f>
        <x:v>1272.7332886346965</x:v>
      </x:c>
      <x:c r="I2" s="31" t="n">
        <x:f>IF(C2=0,"",SUMIF('Species'!$H$2:$H$22,A2,'Species'!$U$2:$U$22))</x:f>
        <x:v>135279.15378835372</x:v>
      </x:c>
      <x:c r="J2" s="32" t="n">
        <x:v>4.100512836327662</x:v>
      </x:c>
      <x:c r="K2" s="32" t="n">
        <x:f>IF(J2="","",(1/'Metadata'!$B$5)^(J2-1))</x:f>
        <x:v>1260.4128910358659</x:v>
      </x:c>
      <x:c r="L2" s="31" t="n">
        <x:f>IF(E2=0,"",E2*K2)</x:f>
        <x:v>133969.61550850424</x:v>
      </x:c>
      <x:c r="M2" s="31" t="n">
        <x:f>IF(E2=0,"",I2-L2)</x:f>
        <x:v>1309.538279849483</x:v>
      </x:c>
      <x:c r="N2" s="32" t="n">
        <x:f>IF(L2=0,"",I2/L2)</x:f>
        <x:v>1.0097748901859493</x:v>
      </x:c>
      <x:c r="O2" s="34" t="n">
        <x:f>IF(L2=0,"",M2/L2)</x:f>
        <x:v>0.009774890185949327</x:v>
      </x:c>
    </x:row>
    <x:row r="3" ht="18" customHeight="1">
      <x:c r="A3" s="24" t="str">
        <x:v>Crustaceans</x:v>
      </x:c>
      <x:c r="B3" s="33" t="n">
        <x:v>2</x:v>
      </x:c>
      <x:c r="C3" s="33" t="n">
        <x:v>2</x:v>
      </x:c>
      <x:c r="D3" s="31" t="n">
        <x:v>96.309614689</x:v>
      </x:c>
      <x:c r="E3" s="31" t="n">
        <x:v>96.309614689</x:v>
      </x:c>
      <x:c r="F3" s="32" t="n">
        <x:v>0</x:v>
      </x:c>
      <x:c r="G3" s="34" t="n">
        <x:v>1</x:v>
      </x:c>
      <x:c r="H3" s="32" t="n">
        <x:f>IF(E3=0,"",I3/E3)</x:f>
        <x:v>393.01944277234446</x:v>
      </x:c>
      <x:c r="I3" s="31" t="n">
        <x:f>IF(C3=0,"",SUMIF('Species'!$H$2:$H$22,A3,'Species'!$U$2:$U$22))</x:f>
        <x:v>37851.55109868998</x:v>
      </x:c>
      <x:c r="J3" s="32" t="n">
        <x:v>3.5879455901562385</x:v>
      </x:c>
      <x:c r="K3" s="32" t="n">
        <x:f>IF(J3="","",(1/'Metadata'!$B$5)^(J3-1))</x:f>
        <x:v>387.20913104683905</x:v>
      </x:c>
      <x:c r="L3" s="31" t="n">
        <x:f>IF(E3=0,"",E3*K3)</x:f>
        <x:v>37291.96221518358</x:v>
      </x:c>
      <x:c r="M3" s="31" t="n">
        <x:f>IF(E3=0,"",I3-L3)</x:f>
        <x:v>559.5888835064034</x:v>
      </x:c>
      <x:c r="N3" s="32" t="n">
        <x:f>IF(L3=0,"",I3/L3)</x:f>
        <x:v>1.0150056164992725</x:v>
      </x:c>
      <x:c r="O3" s="34" t="n">
        <x:f>IF(L3=0,"",M3/L3)</x:f>
        <x:v>0.015005616499272446</x:v>
      </x:c>
    </x:row>
    <x:row r="4" ht="18" customHeight="1">
      <x:c r="A4" s="24" t="str">
        <x:v>Flatfishes</x:v>
      </x:c>
      <x:c r="B4" s="33" t="n">
        <x:v>3</x:v>
      </x:c>
      <x:c r="C4" s="33" t="n">
        <x:v>3</x:v>
      </x:c>
      <x:c r="D4" s="31" t="n">
        <x:v>28.103895135600002</x:v>
      </x:c>
      <x:c r="E4" s="31" t="n">
        <x:v>28.103895135600002</x:v>
      </x:c>
      <x:c r="F4" s="32" t="n">
        <x:v>0</x:v>
      </x:c>
      <x:c r="G4" s="34" t="n">
        <x:v>1</x:v>
      </x:c>
      <x:c r="H4" s="32" t="n">
        <x:f>IF(E4=0,"",I4/E4)</x:f>
        <x:v>857.8207365687488</x:v>
      </x:c>
      <x:c r="I4" s="31" t="n">
        <x:f>IF(C4=0,"",SUMIF('Species'!$H$2:$H$22,A4,'Species'!$U$2:$U$22))</x:f>
        <x:v>24108.10402567127</x:v>
      </x:c>
      <x:c r="J4" s="32" t="n">
        <x:v>3.8695157488065144</x:v>
      </x:c>
      <x:c r="K4" s="32" t="n">
        <x:f>IF(J4="","",(1/'Metadata'!$B$5)^(J4-1))</x:f>
        <x:v>740.4841191152954</x:v>
      </x:c>
      <x:c r="L4" s="31" t="n">
        <x:f>IF(E4=0,"",E4*K4)</x:f>
        <x:v>20810.4880331934</x:v>
      </x:c>
      <x:c r="M4" s="31" t="n">
        <x:f>IF(E4=0,"",I4-L4)</x:f>
        <x:v>3297.6159924778694</x:v>
      </x:c>
      <x:c r="N4" s="32" t="n">
        <x:f>IF(L4=0,"",I4/L4)</x:f>
        <x:v>1.1584593300848143</x:v>
      </x:c>
      <x:c r="O4" s="34" t="n">
        <x:f>IF(L4=0,"",M4/L4)</x:f>
        <x:v>0.15845933008481422</x:v>
      </x:c>
    </x:row>
    <x:row r="5" ht="18" customHeight="1">
      <x:c r="A5" s="24" t="str">
        <x:v>Herring-likes</x:v>
      </x:c>
      <x:c r="B5" s="33" t="n">
        <x:v>1</x:v>
      </x:c>
      <x:c r="C5" s="33" t="n">
        <x:v>1</x:v>
      </x:c>
      <x:c r="D5" s="31" t="n">
        <x:v>7.5272727281</x:v>
      </x:c>
      <x:c r="E5" s="31" t="n">
        <x:v>7.5272727281</x:v>
      </x:c>
      <x:c r="F5" s="32" t="n">
        <x:v>0</x:v>
      </x:c>
      <x:c r="G5" s="34" t="n">
        <x:v>1</x:v>
      </x:c>
      <x:c r="H5" s="32" t="n">
        <x:f>IF(E5=0,"",I5/E5)</x:f>
        <x:v>144.5439770745928</x:v>
      </x:c>
      <x:c r="I5" s="31" t="n">
        <x:f>IF(C5=0,"",SUMIF('Species'!$H$2:$H$22,A5,'Species'!$U$2:$U$22))</x:f>
        <x:v>1088.0219366446938</x:v>
      </x:c>
      <x:c r="J5" s="32" t="n">
        <x:v>3.16</x:v>
      </x:c>
      <x:c r="K5" s="32" t="n">
        <x:f>IF(J5="","",(1/'Metadata'!$B$5)^(J5-1))</x:f>
        <x:v>144.5439770745928</x:v>
      </x:c>
      <x:c r="L5" s="31" t="n">
        <x:f>IF(E5=0,"",E5*K5)</x:f>
        <x:v>1088.0219366446938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Molluscs</x:v>
      </x:c>
      <x:c r="B6" s="33" t="n">
        <x:v>4</x:v>
      </x:c>
      <x:c r="C6" s="33" t="n">
        <x:v>4</x:v>
      </x:c>
      <x:c r="D6" s="31" t="n">
        <x:v>88.9793421257</x:v>
      </x:c>
      <x:c r="E6" s="31" t="n">
        <x:v>88.9793421257</x:v>
      </x:c>
      <x:c r="F6" s="32" t="n">
        <x:v>0</x:v>
      </x:c>
      <x:c r="G6" s="34" t="n">
        <x:v>1</x:v>
      </x:c>
      <x:c r="H6" s="32" t="n">
        <x:f>IF(E6=0,"",I6/E6)</x:f>
        <x:v>127.56228425538373</x:v>
      </x:c>
      <x:c r="I6" s="31" t="n">
        <x:f>IF(C6=0,"",SUMIF('Species'!$H$2:$H$22,A6,'Species'!$U$2:$U$22))</x:f>
        <x:v>11350.408133095583</x:v>
      </x:c>
      <x:c r="J6" s="32" t="n">
        <x:v>2.615731455283818</x:v>
      </x:c>
      <x:c r="K6" s="32" t="n">
        <x:f>IF(J6="","",(1/'Metadata'!$B$5)^(J6-1))</x:f>
        <x:v>41.279217423026886</x:v>
      </x:c>
      <x:c r="L6" s="31" t="n">
        <x:f>IF(E6=0,"",E6*K6)</x:f>
        <x:v>3672.9976097646654</x:v>
      </x:c>
      <x:c r="M6" s="31" t="n">
        <x:f>IF(E6=0,"",I6-L6)</x:f>
        <x:v>7677.410523330918</x:v>
      </x:c>
      <x:c r="N6" s="32" t="n">
        <x:f>IF(L6=0,"",I6/L6)</x:f>
        <x:v>3.090230198604137</x:v>
      </x:c>
      <x:c r="O6" s="34" t="n">
        <x:f>IF(L6=0,"",M6/L6)</x:f>
        <x:v>2.090230198604137</x:v>
      </x:c>
    </x:row>
    <x:row r="7" ht="18" customHeight="1">
      <x:c r="A7" s="24" t="str">
        <x:v>Other fishes &amp; inverts</x:v>
      </x:c>
      <x:c r="B7" s="33" t="n">
        <x:v>3</x:v>
      </x:c>
      <x:c r="C7" s="33" t="n">
        <x:v>3</x:v>
      </x:c>
      <x:c r="D7" s="31" t="n">
        <x:v>1281.7246435798997</x:v>
      </x:c>
      <x:c r="E7" s="31" t="n">
        <x:v>1281.7246435798997</x:v>
      </x:c>
      <x:c r="F7" s="32" t="n">
        <x:v>0</x:v>
      </x:c>
      <x:c r="G7" s="34" t="n">
        <x:v>1</x:v>
      </x:c>
      <x:c r="H7" s="32" t="n">
        <x:f>IF(E7=0,"",I7/E7)</x:f>
        <x:v>208.5609985642352</x:v>
      </x:c>
      <x:c r="I7" s="31" t="n">
        <x:f>IF(C7=0,"",SUMIF('Species'!$H$2:$H$22,A7,'Species'!$U$2:$U$22))</x:f>
        <x:v>267317.77154941234</x:v>
      </x:c>
      <x:c r="J7" s="32" t="n">
        <x:v>3.294021349835414</x:v>
      </x:c>
      <x:c r="K7" s="32" t="n">
        <x:f>IF(J7="","",(1/'Metadata'!$B$5)^(J7-1))</x:f>
        <x:v>196.7983033006305</x:v>
      </x:c>
      <x:c r="L7" s="31" t="n">
        <x:f>IF(E7=0,"",E7*K7)</x:f>
        <x:v>252241.23515512963</x:v>
      </x:c>
      <x:c r="M7" s="31" t="n">
        <x:f>IF(E7=0,"",I7-L7)</x:f>
        <x:v>15076.53639428271</x:v>
      </x:c>
      <x:c r="N7" s="32" t="n">
        <x:f>IF(L7=0,"",I7/L7)</x:f>
        <x:v>1.0597703083122416</x:v>
      </x:c>
      <x:c r="O7" s="34" t="n">
        <x:f>IF(L7=0,"",M7/L7)</x:f>
        <x:v>0.05977030831224151</x:v>
      </x:c>
    </x:row>
    <x:row r="8" ht="18" customHeight="1">
      <x:c r="A8" s="24" t="str">
        <x:v>Perch-likes</x:v>
      </x:c>
      <x:c r="B8" s="33" t="n">
        <x:v>2</x:v>
      </x:c>
      <x:c r="C8" s="33" t="n">
        <x:v>2</x:v>
      </x:c>
      <x:c r="D8" s="31" t="n">
        <x:v>22.5780545465</x:v>
      </x:c>
      <x:c r="E8" s="31" t="n">
        <x:v>22.5780545465</x:v>
      </x:c>
      <x:c r="F8" s="32" t="n">
        <x:v>0</x:v>
      </x:c>
      <x:c r="G8" s="34" t="n">
        <x:v>1</x:v>
      </x:c>
      <x:c r="H8" s="32" t="n">
        <x:f>IF(E8=0,"",I8/E8)</x:f>
        <x:v>692.5442094712464</x:v>
      </x:c>
      <x:c r="I8" s="31" t="n">
        <x:f>IF(C8=0,"",SUMIF('Species'!$H$2:$H$22,A8,'Species'!$U$2:$U$22))</x:f>
        <x:v>15636.300937304522</x:v>
      </x:c>
      <x:c r="J8" s="32" t="n">
        <x:v>3.493397232835408</x:v>
      </x:c>
      <x:c r="K8" s="32" t="n">
        <x:f>IF(J8="","",(1/'Metadata'!$B$5)^(J8-1))</x:f>
        <x:v>311.4563809094669</x:v>
      </x:c>
      <x:c r="L8" s="31" t="n">
        <x:f>IF(E8=0,"",E8*K8)</x:f>
        <x:v>7032.079157029424</x:v>
      </x:c>
      <x:c r="M8" s="31" t="n">
        <x:f>IF(E8=0,"",I8-L8)</x:f>
        <x:v>8604.221780275098</x:v>
      </x:c>
      <x:c r="N8" s="32" t="n">
        <x:f>IF(L8=0,"",I8/L8)</x:f>
        <x:v>2.223567253459331</x:v>
      </x:c>
      <x:c r="O8" s="34" t="n">
        <x:f>IF(L8=0,"",M8/L8)</x:f>
        <x:v>1.2235672534593307</x:v>
      </x:c>
    </x:row>
    <x:row r="9" ht="18" customHeight="1">
      <x:c r="A9" s="24" t="str">
        <x:v>Salmon, smelts, etc</x:v>
      </x:c>
      <x:c r="B9" s="33" t="n">
        <x:v>2</x:v>
      </x:c>
      <x:c r="C9" s="33" t="n">
        <x:v>2</x:v>
      </x:c>
      <x:c r="D9" s="31" t="n">
        <x:v>13.1122026454</x:v>
      </x:c>
      <x:c r="E9" s="31" t="n">
        <x:v>13.1122026454</x:v>
      </x:c>
      <x:c r="F9" s="32" t="n">
        <x:v>0</x:v>
      </x:c>
      <x:c r="G9" s="34" t="n">
        <x:v>1</x:v>
      </x:c>
      <x:c r="H9" s="32" t="n">
        <x:f>IF(E9=0,"",I9/E9)</x:f>
        <x:v>653.4282779959451</x:v>
      </x:c>
      <x:c r="I9" s="31" t="n">
        <x:f>IF(C9=0,"",SUMIF('Species'!$H$2:$H$22,A9,'Species'!$U$2:$U$22))</x:f>
        <x:v>8567.883995317598</x:v>
      </x:c>
      <x:c r="J9" s="32" t="n">
        <x:v>3.378874589659642</x:v>
      </x:c>
      <x:c r="K9" s="32" t="n">
        <x:f>IF(J9="","",(1/'Metadata'!$B$5)^(J9-1))</x:f>
        <x:v>239.2624743224435</x:v>
      </x:c>
      <x:c r="L9" s="31" t="n">
        <x:f>IF(E9=0,"",E9*K9)</x:f>
        <x:v>3137.2580487556934</x:v>
      </x:c>
      <x:c r="M9" s="31" t="n">
        <x:f>IF(E9=0,"",I9-L9)</x:f>
        <x:v>5430.625946561904</x:v>
      </x:c>
      <x:c r="N9" s="32" t="n">
        <x:f>IF(L9=0,"",I9/L9)</x:f>
        <x:v>2.731010284192533</x:v>
      </x:c>
      <x:c r="O9" s="34" t="n">
        <x:f>IF(L9=0,"",M9/L9)</x:f>
        <x:v>1.731010284192533</x:v>
      </x:c>
    </x:row>
    <x:row r="10" ht="18" customHeight="1">
      <x:c r="A10" s="24" t="str">
        <x:v>Scorpionfishes</x:v>
      </x:c>
      <x:c r="B10" s="33" t="n">
        <x:v>1</x:v>
      </x:c>
      <x:c r="C10" s="33" t="n">
        <x:v>1</x:v>
      </x:c>
      <x:c r="D10" s="31" t="n">
        <x:v>121.4613317921</x:v>
      </x:c>
      <x:c r="E10" s="31" t="n">
        <x:v>121.4613317921</x:v>
      </x:c>
      <x:c r="F10" s="32" t="n">
        <x:v>0</x:v>
      </x:c>
      <x:c r="G10" s="34" t="n">
        <x:v>1</x:v>
      </x:c>
      <x:c r="H10" s="32" t="n">
        <x:f>IF(E10=0,"",I10/E10)</x:f>
        <x:v>602.5595860743575</x:v>
      </x:c>
      <x:c r="I10" s="31" t="n">
        <x:f>IF(C10=0,"",SUMIF('Species'!$H$2:$H$22,A10,'Species'!$U$2:$U$22))</x:f>
        <x:v>73187.68980868798</x:v>
      </x:c>
      <x:c r="J10" s="32" t="n">
        <x:v>3.78</x:v>
      </x:c>
      <x:c r="K10" s="32" t="n">
        <x:f>IF(J10="","",(1/'Metadata'!$B$5)^(J10-1))</x:f>
        <x:v>602.5595860743575</x:v>
      </x:c>
      <x:c r="L10" s="31" t="n">
        <x:f>IF(E10=0,"",E10*K10)</x:f>
        <x:v>73187.68980868798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</x:sheetData>
  <x:conditionalFormatting sqref="G2:G10">
    <x:cfRule type="cellIs" dxfId="1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4bb566248d244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2</x:v>
      </x:c>
      <x:c r="C2" s="33" t="n">
        <x:v>2</x:v>
      </x:c>
      <x:c r="D2" s="31" t="n">
        <x:v>22.4484176395</x:v>
      </x:c>
      <x:c r="E2" s="31" t="n">
        <x:v>22.4484176395</x:v>
      </x:c>
      <x:c r="F2" s="32" t="n">
        <x:v>0</x:v>
      </x:c>
      <x:c r="G2" s="34" t="n">
        <x:v>1</x:v>
      </x:c>
      <x:c r="H2" s="32" t="n">
        <x:f>IF(E2=0,"",I2/E2)</x:f>
        <x:v>1219.1341870712715</x:v>
      </x:c>
      <x:c r="I2" s="31" t="n">
        <x:f>IF(C2=0,"",SUMIF('Species'!$G$2:$G$22,A2,'Species'!$U$2:$U$22))</x:f>
        <x:v>27367.633389968225</x:v>
      </x:c>
      <x:c r="J2" s="32" t="n">
        <x:v>4.080569105088392</x:v>
      </x:c>
      <x:c r="K2" s="32" t="n">
        <x:f>IF(J2="","",(1/'Metadata'!$B$5)^(J2-1))</x:f>
        <x:v>1203.840930137618</x:v>
      </x:c>
      <x:c r="L2" s="31" t="n">
        <x:f>IF(E2=0,"",E2*K2)</x:f>
        <x:v>27024.32397125339</x:v>
      </x:c>
      <x:c r="M2" s="31" t="n">
        <x:f>IF(E2=0,"",I2-L2)</x:f>
        <x:v>343.30941871483446</x:v>
      </x:c>
      <x:c r="N2" s="32" t="n">
        <x:f>IF(L2=0,"",I2/L2)</x:f>
        <x:v>1.0127037190303085</x:v>
      </x:c>
      <x:c r="O2" s="34" t="n">
        <x:f>IF(L2=0,"",M2/L2)</x:f>
        <x:v>0.012703719030308522</x:v>
      </x:c>
    </x:row>
    <x:row r="3" ht="18" customHeight="1">
      <x:c r="A3" s="24" t="str">
        <x:v>Large benthopelagics (&gt;=90 cm)</x:v>
      </x:c>
      <x:c r="B3" s="33" t="n">
        <x:v>2</x:v>
      </x:c>
      <x:c r="C3" s="33" t="n">
        <x:v>2</x:v>
      </x:c>
      <x:c r="D3" s="31" t="n">
        <x:v>95.4593813746</x:v>
      </x:c>
      <x:c r="E3" s="31" t="n">
        <x:v>95.4593813746</x:v>
      </x:c>
      <x:c r="F3" s="32" t="n">
        <x:v>0</x:v>
      </x:c>
      <x:c r="G3" s="34" t="n">
        <x:v>1</x:v>
      </x:c>
      <x:c r="H3" s="32" t="n">
        <x:f>IF(E3=0,"",I3/E3)</x:f>
        <x:v>1275.2602184751788</x:v>
      </x:c>
      <x:c r="I3" s="31" t="n">
        <x:f>IF(C3=0,"",SUMIF('Species'!$G$2:$G$22,A3,'Species'!$U$2:$U$22))</x:f>
        <x:v>121735.55154727782</x:v>
      </x:c>
      <x:c r="J3" s="32" t="n">
        <x:v>4.099547830573335</x:v>
      </x:c>
      <x:c r="K3" s="32" t="n">
        <x:f>IF(J3="","",(1/'Metadata'!$B$5)^(J3-1))</x:f>
        <x:v>1257.615352906272</x:v>
      </x:c>
      <x:c r="L3" s="31" t="n">
        <x:f>IF(E3=0,"",E3*K3)</x:f>
        <x:v>120051.18359563198</x:v>
      </x:c>
      <x:c r="M3" s="31" t="n">
        <x:f>IF(E3=0,"",I3-L3)</x:f>
        <x:v>1684.367951645836</x:v>
      </x:c>
      <x:c r="N3" s="32" t="n">
        <x:f>IF(L3=0,"",I3/L3)</x:f>
        <x:v>1.014030415204562</x:v>
      </x:c>
      <x:c r="O3" s="34" t="n">
        <x:f>IF(L3=0,"",M3/L3)</x:f>
        <x:v>0.01403041520456214</x:v>
      </x:c>
    </x:row>
    <x:row r="4" ht="18" customHeight="1">
      <x:c r="A4" s="24" t="str">
        <x:v>Large demersals (&gt;=90 cm)</x:v>
      </x:c>
      <x:c r="B4" s="33" t="n">
        <x:v>1</x:v>
      </x:c>
      <x:c r="C4" s="33" t="n">
        <x:v>1</x:v>
      </x:c>
      <x:c r="D4" s="31" t="n">
        <x:v>6.788017551299999</x:v>
      </x:c>
      <x:c r="E4" s="31" t="n">
        <x:v>6.788017551299999</x:v>
      </x:c>
      <x:c r="F4" s="32" t="n">
        <x:v>0</x:v>
      </x:c>
      <x:c r="G4" s="34" t="n">
        <x:v>1</x:v>
      </x:c>
      <x:c r="H4" s="32" t="n">
        <x:f>IF(E4=0,"",I4/E4)</x:f>
        <x:v>2041.7379446695275</x:v>
      </x:c>
      <x:c r="I4" s="31" t="n">
        <x:f>IF(C4=0,"",SUMIF('Species'!$G$2:$G$22,A4,'Species'!$U$2:$U$22))</x:f>
        <x:v>13859.35300357194</x:v>
      </x:c>
      <x:c r="J4" s="32" t="n">
        <x:v>4.31</x:v>
      </x:c>
      <x:c r="K4" s="32" t="n">
        <x:f>IF(J4="","",(1/'Metadata'!$B$5)^(J4-1))</x:f>
        <x:v>2041.7379446695275</x:v>
      </x:c>
      <x:c r="L4" s="31" t="n">
        <x:f>IF(E4=0,"",E4*K4)</x:f>
        <x:v>13859.35300357194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flatfishes (&gt;=90 cm)</x:v>
      </x:c>
      <x:c r="B5" s="33" t="n">
        <x:v>1</x:v>
      </x:c>
      <x:c r="C5" s="33" t="n">
        <x:v>1</x:v>
      </x:c>
      <x:c r="D5" s="31" t="n">
        <x:v>23.25</x:v>
      </x:c>
      <x:c r="E5" s="31" t="n">
        <x:v>23.25</x:v>
      </x:c>
      <x:c r="F5" s="32" t="n">
        <x:v>0</x:v>
      </x:c>
      <x:c r="G5" s="34" t="n">
        <x:v>1</x:v>
      </x:c>
      <x:c r="H5" s="32" t="n">
        <x:f>IF(E5=0,"",I5/E5)</x:f>
        <x:v>1000</x:v>
      </x:c>
      <x:c r="I5" s="31" t="n">
        <x:f>IF(C5=0,"",SUMIF('Species'!$G$2:$G$22,A5,'Species'!$U$2:$U$22))</x:f>
        <x:v>23250</x:v>
      </x:c>
      <x:c r="J5" s="32" t="n">
        <x:v>4</x:v>
      </x:c>
      <x:c r="K5" s="32" t="n">
        <x:f>IF(J5="","",(1/'Metadata'!$B$5)^(J5-1))</x:f>
        <x:v>1000</x:v>
      </x:c>
      <x:c r="L5" s="31" t="n">
        <x:f>IF(E5=0,"",E5*K5)</x:f>
        <x:v>23250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Large reef assoc. fish (&gt;=90 cm)</x:v>
      </x:c>
      <x:c r="B6" s="33" t="n">
        <x:v>1</x:v>
      </x:c>
      <x:c r="C6" s="33" t="n">
        <x:v>1</x:v>
      </x:c>
      <x:c r="D6" s="31" t="n">
        <x:v>15.0507818196</x:v>
      </x:c>
      <x:c r="E6" s="31" t="n">
        <x:v>15.0507818196</x:v>
      </x:c>
      <x:c r="F6" s="32" t="n">
        <x:v>0</x:v>
      </x:c>
      <x:c r="G6" s="34" t="n">
        <x:v>1</x:v>
      </x:c>
      <x:c r="H6" s="32" t="n">
        <x:f>IF(E6=0,"",I6/E6)</x:f>
        <x:v>128.82495516931337</x:v>
      </x:c>
      <x:c r="I6" s="31" t="n">
        <x:f>IF(C6=0,"",SUMIF('Species'!$G$2:$G$22,A6,'Species'!$U$2:$U$22))</x:f>
        <x:v>1938.9162931730866</x:v>
      </x:c>
      <x:c r="J6" s="32" t="n">
        <x:v>3.11</x:v>
      </x:c>
      <x:c r="K6" s="32" t="n">
        <x:f>IF(J6="","",(1/'Metadata'!$B$5)^(J6-1))</x:f>
        <x:v>128.82495516931337</x:v>
      </x:c>
      <x:c r="L6" s="31" t="n">
        <x:f>IF(E6=0,"",E6*K6)</x:f>
        <x:v>1938.9162931730866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Lobsters, crabs</x:v>
      </x:c>
      <x:c r="B7" s="33" t="n">
        <x:v>2</x:v>
      </x:c>
      <x:c r="C7" s="33" t="n">
        <x:v>2</x:v>
      </x:c>
      <x:c r="D7" s="31" t="n">
        <x:v>96.309614689</x:v>
      </x:c>
      <x:c r="E7" s="31" t="n">
        <x:v>96.309614689</x:v>
      </x:c>
      <x:c r="F7" s="32" t="n">
        <x:v>0</x:v>
      </x:c>
      <x:c r="G7" s="34" t="n">
        <x:v>1</x:v>
      </x:c>
      <x:c r="H7" s="32" t="n">
        <x:f>IF(E7=0,"",I7/E7)</x:f>
        <x:v>393.01944277234446</x:v>
      </x:c>
      <x:c r="I7" s="31" t="n">
        <x:f>IF(C7=0,"",SUMIF('Species'!$G$2:$G$22,A7,'Species'!$U$2:$U$22))</x:f>
        <x:v>37851.55109868998</x:v>
      </x:c>
      <x:c r="J7" s="32" t="n">
        <x:v>3.5879455901562385</x:v>
      </x:c>
      <x:c r="K7" s="32" t="n">
        <x:f>IF(J7="","",(1/'Metadata'!$B$5)^(J7-1))</x:f>
        <x:v>387.20913104683905</x:v>
      </x:c>
      <x:c r="L7" s="31" t="n">
        <x:f>IF(E7=0,"",E7*K7)</x:f>
        <x:v>37291.96221518358</x:v>
      </x:c>
      <x:c r="M7" s="31" t="n">
        <x:f>IF(E7=0,"",I7-L7)</x:f>
        <x:v>559.5888835064034</x:v>
      </x:c>
      <x:c r="N7" s="32" t="n">
        <x:f>IF(L7=0,"",I7/L7)</x:f>
        <x:v>1.0150056164992725</x:v>
      </x:c>
      <x:c r="O7" s="34" t="n">
        <x:f>IF(L7=0,"",M7/L7)</x:f>
        <x:v>0.015005616499272446</x:v>
      </x:c>
    </x:row>
    <x:row r="8" ht="18" customHeight="1">
      <x:c r="A8" s="24" t="str">
        <x:v>Medium demersals (30 - 89 cm)</x:v>
      </x:c>
      <x:c r="B8" s="33" t="n">
        <x:v>3</x:v>
      </x:c>
      <x:c r="C8" s="33" t="n">
        <x:v>3</x:v>
      </x:c>
      <x:c r="D8" s="31" t="n">
        <x:v>1387.0034200863</x:v>
      </x:c>
      <x:c r="E8" s="31" t="n">
        <x:v>1387.0034200863</x:v>
      </x:c>
      <x:c r="F8" s="32" t="n">
        <x:v>0</x:v>
      </x:c>
      <x:c r="G8" s="34" t="n">
        <x:v>1</x:v>
      </x:c>
      <x:c r="H8" s="32" t="n">
        <x:f>IF(E8=0,"",I8/E8)</x:f>
        <x:v>230.6063675201962</x:v>
      </x:c>
      <x:c r="I8" s="31" t="n">
        <x:f>IF(C8=0,"",SUMIF('Species'!$G$2:$G$22,A8,'Species'!$U$2:$U$22))</x:f>
        <x:v>319851.82044419035</x:v>
      </x:c>
      <x:c r="J8" s="32" t="n">
        <x:v>3.327173685164618</x:v>
      </x:c>
      <x:c r="K8" s="32" t="n">
        <x:f>IF(J8="","",(1/'Metadata'!$B$5)^(J8-1))</x:f>
        <x:v>212.4093770086018</x:v>
      </x:c>
      <x:c r="L8" s="31" t="n">
        <x:f>IF(E8=0,"",E8*K8)</x:f>
        <x:v>294612.532369331</x:v>
      </x:c>
      <x:c r="M8" s="31" t="n">
        <x:f>IF(E8=0,"",I8-L8)</x:f>
        <x:v>25239.28807485936</x:v>
      </x:c>
      <x:c r="N8" s="32" t="n">
        <x:f>IF(L8=0,"",I8/L8)</x:f>
        <x:v>1.0856694312081028</x:v>
      </x:c>
      <x:c r="O8" s="34" t="n">
        <x:f>IF(L8=0,"",M8/L8)</x:f>
        <x:v>0.0856694312081028</x:v>
      </x:c>
    </x:row>
    <x:row r="9" ht="18" customHeight="1">
      <x:c r="A9" s="24" t="str">
        <x:v>Medium pelagics (30 - 89 cm)</x:v>
      </x:c>
      <x:c r="B9" s="33" t="n">
        <x:v>1</x:v>
      </x:c>
      <x:c r="C9" s="33" t="n">
        <x:v>1</x:v>
      </x:c>
      <x:c r="D9" s="31" t="n">
        <x:v>7.527272726900001</x:v>
      </x:c>
      <x:c r="E9" s="31" t="n">
        <x:v>7.527272726900001</x:v>
      </x:c>
      <x:c r="F9" s="32" t="n">
        <x:v>0</x:v>
      </x:c>
      <x:c r="G9" s="34" t="n">
        <x:v>1</x:v>
      </x:c>
      <x:c r="H9" s="32" t="n">
        <x:f>IF(E9=0,"",I9/E9)</x:f>
        <x:v>1819.7008586099826</x:v>
      </x:c>
      <x:c r="I9" s="31" t="n">
        <x:f>IF(C9=0,"",SUMIF('Species'!$G$2:$G$22,A9,'Species'!$U$2:$U$22))</x:f>
        <x:v>13697.384644131436</x:v>
      </x:c>
      <x:c r="J9" s="32" t="n">
        <x:v>4.26</x:v>
      </x:c>
      <x:c r="K9" s="32" t="n">
        <x:f>IF(J9="","",(1/'Metadata'!$B$5)^(J9-1))</x:f>
        <x:v>1819.7008586099826</x:v>
      </x:c>
      <x:c r="L9" s="31" t="n">
        <x:f>IF(E9=0,"",E9*K9)</x:f>
        <x:v>13697.384644131436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Other demersal invertebrates</x:v>
      </x:c>
      <x:c r="B10" s="33" t="n">
        <x:v>4</x:v>
      </x:c>
      <x:c r="C10" s="33" t="n">
        <x:v>4</x:v>
      </x:c>
      <x:c r="D10" s="31" t="n">
        <x:v>88.9793421257</x:v>
      </x:c>
      <x:c r="E10" s="31" t="n">
        <x:v>88.9793421257</x:v>
      </x:c>
      <x:c r="F10" s="32" t="n">
        <x:v>0</x:v>
      </x:c>
      <x:c r="G10" s="34" t="n">
        <x:v>1</x:v>
      </x:c>
      <x:c r="H10" s="32" t="n">
        <x:f>IF(E10=0,"",I10/E10)</x:f>
        <x:v>127.56228425538373</x:v>
      </x:c>
      <x:c r="I10" s="31" t="n">
        <x:f>IF(C10=0,"",SUMIF('Species'!$G$2:$G$22,A10,'Species'!$U$2:$U$22))</x:f>
        <x:v>11350.408133095583</x:v>
      </x:c>
      <x:c r="J10" s="32" t="n">
        <x:v>2.615731455283818</x:v>
      </x:c>
      <x:c r="K10" s="32" t="n">
        <x:f>IF(J10="","",(1/'Metadata'!$B$5)^(J10-1))</x:f>
        <x:v>41.279217423026886</x:v>
      </x:c>
      <x:c r="L10" s="31" t="n">
        <x:f>IF(E10=0,"",E10*K10)</x:f>
        <x:v>3672.9976097646654</x:v>
      </x:c>
      <x:c r="M10" s="31" t="n">
        <x:f>IF(E10=0,"",I10-L10)</x:f>
        <x:v>7677.410523330918</x:v>
      </x:c>
      <x:c r="N10" s="32" t="n">
        <x:f>IF(L10=0,"",I10/L10)</x:f>
        <x:v>3.090230198604137</x:v>
      </x:c>
      <x:c r="O10" s="34" t="n">
        <x:f>IF(L10=0,"",M10/L10)</x:f>
        <x:v>2.090230198604137</x:v>
      </x:c>
    </x:row>
    <x:row r="11" ht="18" customHeight="1">
      <x:c r="A11" s="24" t="str">
        <x:v>Small pelagics (&lt;30 cm)</x:v>
      </x:c>
      <x:c r="B11" s="33" t="n">
        <x:v>2</x:v>
      </x:c>
      <x:c r="C11" s="33" t="n">
        <x:v>2</x:v>
      </x:c>
      <x:c r="D11" s="31" t="n">
        <x:v>18.4164753735</x:v>
      </x:c>
      <x:c r="E11" s="31" t="n">
        <x:v>18.4164753735</x:v>
      </x:c>
      <x:c r="F11" s="32" t="n">
        <x:v>0</x:v>
      </x:c>
      <x:c r="G11" s="34" t="n">
        <x:v>1</x:v>
      </x:c>
      <x:c r="H11" s="32" t="n">
        <x:f>IF(E11=0,"",I11/E11)</x:f>
        <x:v>142.59855049065723</x:v>
      </x:c>
      <x:c r="I11" s="31" t="n">
        <x:f>IF(C11=0,"",SUMIF('Species'!$G$2:$G$22,A11,'Species'!$U$2:$U$22))</x:f>
        <x:v>2626.162693407985</x:v>
      </x:c>
      <x:c r="J11" s="32" t="n">
        <x:v>3.1540872493652783</x:v>
      </x:c>
      <x:c r="K11" s="32" t="n">
        <x:f>IF(J11="","",(1/'Metadata'!$B$5)^(J11-1))</x:f>
        <x:v>142.58940256383974</x:v>
      </x:c>
      <x:c r="L11" s="31" t="n">
        <x:f>IF(E11=0,"",E11*K11)</x:f>
        <x:v>2625.994220839032</x:v>
      </x:c>
      <x:c r="M11" s="31" t="n">
        <x:f>IF(E11=0,"",I11-L11)</x:f>
        <x:v>0.1684725689528932</x:v>
      </x:c>
      <x:c r="N11" s="32" t="n">
        <x:f>IF(L11=0,"",I11/L11)</x:f>
        <x:v>1.000064155727235</x:v>
      </x:c>
      <x:c r="O11" s="34" t="n">
        <x:f>IF(L11=0,"",M11/L11)</x:f>
        <x:v>0.00006415572723502205</x:v>
      </x:c>
    </x:row>
    <x:row r="12" ht="18" customHeight="1">
      <x:c r="A12" s="24" t="str">
        <x:v>Small to medium flatfishes (&lt;90 cm)</x:v>
      </x:c>
      <x:c r="B12" s="33" t="n">
        <x:v>2</x:v>
      </x:c>
      <x:c r="C12" s="33" t="n">
        <x:v>2</x:v>
      </x:c>
      <x:c r="D12" s="31" t="n">
        <x:v>4.8538951356</x:v>
      </x:c>
      <x:c r="E12" s="31" t="n">
        <x:v>4.8538951356</x:v>
      </x:c>
      <x:c r="F12" s="32" t="n">
        <x:v>0</x:v>
      </x:c>
      <x:c r="G12" s="34" t="n">
        <x:v>1</x:v>
      </x:c>
      <x:c r="H12" s="32" t="n">
        <x:f>IF(E12=0,"",I12/E12)</x:f>
        <x:v>176.786684033955</x:v>
      </x:c>
      <x:c r="I12" s="31" t="n">
        <x:f>IF(C12=0,"",SUMIF('Species'!$G$2:$G$22,A12,'Species'!$U$2:$U$22))</x:f>
        <x:v>858.1040256712683</x:v>
      </x:c>
      <x:c r="J12" s="32" t="n">
        <x:v>3.2445004249281744</x:v>
      </x:c>
      <x:c r="K12" s="32" t="n">
        <x:f>IF(J12="","",(1/'Metadata'!$B$5)^(J12-1))</x:f>
        <x:v>175.59026122318556</x:v>
      </x:c>
      <x:c r="L12" s="31" t="n">
        <x:f>IF(E12=0,"",E12*K12)</x:f>
        <x:v>852.2967148099538</x:v>
      </x:c>
      <x:c r="M12" s="31" t="n">
        <x:f>IF(E12=0,"",I12-L12)</x:f>
        <x:v>5.8073108613145905</x:v>
      </x:c>
      <x:c r="N12" s="32" t="n">
        <x:f>IF(L12=0,"",I12/L12)</x:f>
        <x:v>1.006813719635901</x:v>
      </x:c>
      <x:c r="O12" s="34" t="n">
        <x:f>IF(L12=0,"",M12/L12)</x:f>
        <x:v>0.006813719635901111</x:v>
      </x:c>
    </x:row>
  </x:sheetData>
  <x:conditionalFormatting sqref="G2:G12">
    <x:cfRule type="cellIs" dxfId="2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411ceef800246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EEZ_666</x:v>
      </x:c>
      <x:c r="B2" s="24" t="str">
        <x:v>raw_filtered_tonnes</x:v>
      </x:c>
      <x:c r="C2" s="24" t="n">
        <x:v>1766.0866185219998</x:v>
      </x:c>
      <x:c r="D2" s="24" t="str">
        <x:v>tonnes</x:v>
      </x:c>
    </x:row>
    <x:row r="3" ht="18" customHeight="1">
      <x:c r="A3" s="24" t="str">
        <x:v>EEZ_666</x:v>
      </x:c>
      <x:c r="B3" s="24" t="str">
        <x:v>species_catch_tonnes</x:v>
      </x:c>
      <x:c r="C3" s="24" t="n">
        <x:v>1766.086618522</x:v>
      </x:c>
      <x:c r="D3" s="24" t="str">
        <x:v>tonnes</x:v>
      </x:c>
    </x:row>
    <x:row r="4" ht="18" customHeight="1">
      <x:c r="A4" s="24" t="str">
        <x:v>EEZ_666</x:v>
      </x:c>
      <x:c r="B4" s="24" t="str">
        <x:v>catch_difference_tonnes</x:v>
      </x:c>
      <x:c r="C4" s="24" t="n">
        <x:v>2.2737367544323206e-13</x:v>
      </x:c>
      <x:c r="D4" s="24" t="str">
        <x:v>tonnes</x:v>
      </x:c>
    </x:row>
    <x:row r="5" ht="18" customHeight="1">
      <x:c r="A5" s="24" t="str">
        <x:v>EEZ_666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EEZ_666</x:v>
      </x:c>
      <x:c r="B6" s="24" t="str">
        <x:v>matched_catch_tonnes</x:v>
      </x:c>
      <x:c r="C6" s="24" t="n">
        <x:v>1766.086618522</x:v>
      </x:c>
      <x:c r="D6" s="24" t="str">
        <x:v>tonnes</x:v>
      </x:c>
    </x:row>
    <x:row r="7" ht="18" customHeight="1">
      <x:c r="A7" s="24" t="str">
        <x:v>EEZ_666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EEZ_666</x:v>
      </x:c>
      <x:c r="B8" s="24" t="str">
        <x:v>taxa_count</x:v>
      </x:c>
      <x:c r="C8" s="24" t="n">
        <x:v>21</x:v>
      </x:c>
      <x:c r="D8" s="24" t="str">
        <x:v>count</x:v>
      </x:c>
    </x:row>
    <x:row r="9" ht="18" customHeight="1">
      <x:c r="A9" s="24" t="str">
        <x:v>EEZ_666</x:v>
      </x:c>
      <x:c r="B9" s="24" t="str">
        <x:v>matched_taxa_count</x:v>
      </x:c>
      <x:c r="C9" s="24" t="n">
        <x:v>21</x:v>
      </x:c>
      <x:c r="D9" s="24" t="str">
        <x:v>count</x:v>
      </x:c>
    </x:row>
    <x:row r="10" ht="18" customHeight="1">
      <x:c r="A10" s="24" t="str">
        <x:v>EEZ_666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EEZ_666</x:v>
      </x:c>
      <x:c r="B11" s="24" t="str">
        <x:v>species_ppr</x:v>
      </x:c>
      <x:c r="C11" s="24" t="n">
        <x:v>574386.8852731779</x:v>
      </x:c>
      <x:c r="D11" s="24" t="str">
        <x:v>tonnes_primary_production_equivalent</x:v>
      </x:c>
    </x:row>
    <x:row r="12" ht="18" customHeight="1">
      <x:c r="A12" s="24" t="str">
        <x:v>EEZ_666</x:v>
      </x:c>
      <x:c r="B12" s="24" t="str">
        <x:v>commercial_ppr</x:v>
      </x:c>
      <x:c r="C12" s="24" t="n">
        <x:v>574386.8852731778</x:v>
      </x:c>
      <x:c r="D12" s="24" t="str">
        <x:v>tonnes_primary_production_equivalent</x:v>
      </x:c>
    </x:row>
    <x:row r="13" ht="18" customHeight="1">
      <x:c r="A13" s="24" t="str">
        <x:v>EEZ_666</x:v>
      </x:c>
      <x:c r="B13" s="24" t="str">
        <x:v>functional_ppr</x:v>
      </x:c>
      <x:c r="C13" s="24" t="n">
        <x:v>574386.8852731776</x:v>
      </x:c>
      <x:c r="D13" s="24" t="str">
        <x:v>tonnes_primary_production_equivalent</x:v>
      </x:c>
    </x:row>
    <x:row r="14" ht="18" customHeight="1">
      <x:c r="A14" s="24" t="str">
        <x:v>EEZ_666</x:v>
      </x:c>
      <x:c r="B14" s="24" t="str">
        <x:v>commercial_ppr_difference</x:v>
      </x:c>
      <x:c r="C14" s="24" t="n">
        <x:v>-1.1641532182693481e-10</x:v>
      </x:c>
      <x:c r="D14" s="24" t="str">
        <x:v>tonnes_primary_production_equivalent</x:v>
      </x:c>
    </x:row>
    <x:row r="15" ht="18" customHeight="1">
      <x:c r="A15" s="24" t="str">
        <x:v>EEZ_666</x:v>
      </x:c>
      <x:c r="B15" s="24" t="str">
        <x:v>functional_ppr_difference</x:v>
      </x:c>
      <x:c r="C15" s="24" t="n">
        <x:v>-2.3283064365386963e-10</x:v>
      </x:c>
      <x:c r="D15" s="24" t="str">
        <x:v>tonnes_primary_production_equivalent</x:v>
      </x:c>
    </x:row>
    <x:row r="16" ht="18" customHeight="1">
      <x:c r="A16" s="24" t="str">
        <x:v>EEZ_666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EEZ_666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EEZ_666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EEZ_666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b76c593635e846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EEZ_666 - Saint Pierre &amp; Miquelon (France)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EEZ_666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raw_data/SAU_downloads/EEZ_666-catch.zip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