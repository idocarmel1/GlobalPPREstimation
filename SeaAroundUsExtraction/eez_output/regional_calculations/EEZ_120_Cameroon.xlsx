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42f5d65ff47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93fd8de94f048e5"/>
    <x:sheet xmlns:r="http://schemas.openxmlformats.org/officeDocument/2006/relationships" name="Commercial" sheetId="2" r:id="R574e4f05c3364c28"/>
    <x:sheet xmlns:r="http://schemas.openxmlformats.org/officeDocument/2006/relationships" name="Functional" sheetId="3" r:id="R900a202c71894da0"/>
    <x:sheet xmlns:r="http://schemas.openxmlformats.org/officeDocument/2006/relationships" name="Missing TL" sheetId="4" r:id="Rcce04f587de04f4b"/>
    <x:sheet xmlns:r="http://schemas.openxmlformats.org/officeDocument/2006/relationships" name="Validation" sheetId="5" r:id="R3e45b39a5b9447b2"/>
    <x:sheet xmlns:r="http://schemas.openxmlformats.org/officeDocument/2006/relationships" name="Metadata" sheetId="6" r:id="R3b9556f8f40a4a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75d2b8cc02430f" /><Relationship Type="http://schemas.openxmlformats.org/officeDocument/2006/relationships/theme" Target="/xl/theme/theme1.xml" Id="Re6c5bc91ea5f43af" /><Relationship Type="http://schemas.microsoft.com/office/2022/11/relationships/FeaturePropertyBag" Target="/xl/featurePropertyBag/featurePropertyBag.xml" Id="Ree1c5cf015534cfe" /><Relationship Type="http://schemas.openxmlformats.org/officeDocument/2006/relationships/sharedStrings" Target="/xl/sharedStrings.xml" Id="R3c5cc3fd5911459c" /><Relationship Type="http://schemas.openxmlformats.org/officeDocument/2006/relationships/worksheet" Target="/xl/worksheets/sheet1.xml" Id="R793fd8de94f048e5" /><Relationship Type="http://schemas.openxmlformats.org/officeDocument/2006/relationships/worksheet" Target="/xl/worksheets/sheet2.xml" Id="R574e4f05c3364c28" /><Relationship Type="http://schemas.openxmlformats.org/officeDocument/2006/relationships/worksheet" Target="/xl/worksheets/sheet3.xml" Id="R900a202c71894da0" /><Relationship Type="http://schemas.openxmlformats.org/officeDocument/2006/relationships/worksheet" Target="/xl/worksheets/sheet4.xml" Id="Rcce04f587de04f4b" /><Relationship Type="http://schemas.openxmlformats.org/officeDocument/2006/relationships/worksheet" Target="/xl/worksheets/sheet5.xml" Id="R3e45b39a5b9447b2" /><Relationship Type="http://schemas.openxmlformats.org/officeDocument/2006/relationships/worksheet" Target="/xl/worksheets/sheet6.xml" Id="R3b9556f8f40a4a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20SpeciesTable" displayName="EEZ120SpeciesTable" ref="A1:U64" headerRowCount="1" totalsRowCount="0" totalsRowShown="0">
  <x:autoFilter ref="A1:U6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20CommercialTable" displayName="EEZ120CommercialTable" ref="A1:E9" headerRowCount="1" totalsRowCount="0" totalsRowShown="0">
  <x:autoFilter ref="A1:E9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20FunctionalTable" displayName="EEZ120FunctionalTable" ref="A1:E20" headerRowCount="1" totalsRowCount="0" totalsRowShown="0">
  <x:autoFilter ref="A1:E20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20ValidationTable" displayName="EEZ12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de6d2be1bc49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af7bb688e5b48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f85c1ae7cea4e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9abc8272d643f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EEZ_120</x:v>
      </x:c>
      <x:c r="B2" s="24" t="str">
        <x:v>Cameroon</x:v>
      </x:c>
      <x:c r="C2" s="24" t="str">
        <x:v>EEZ</x:v>
      </x:c>
      <x:c r="D2" s="30" t="n">
        <x:v>2019</x:v>
      </x:c>
      <x:c r="E2" s="24" t="str">
        <x:v>Ethmalosa fimbriata</x:v>
      </x:c>
      <x:c r="F2" s="24" t="str">
        <x:v>Bonga shad</x:v>
      </x:c>
      <x:c r="G2" s="24" t="str">
        <x:v>Medium pelagics (30 - 89 cm)</x:v>
      </x:c>
      <x:c r="H2" s="24" t="str">
        <x:v>Herring-likes</x:v>
      </x:c>
      <x:c r="I2" s="31" t="n">
        <x:v>100677.9999999999</x:v>
      </x:c>
      <x:c r="J2" s="31" t="n">
        <x:v>100677.9999999999</x:v>
      </x:c>
      <x:c r="K2" s="31" t="n">
        <x:v>0</x:v>
      </x:c>
      <x:c r="L2" s="31" t="n">
        <x:v>100677.9999999999</x:v>
      </x:c>
      <x:c r="M2" s="31" t="n">
        <x:v>0</x:v>
      </x:c>
      <x:c r="N2" s="24" t="str">
        <x:v>ethmalosa fimbriata</x:v>
      </x:c>
      <x:c r="O2" s="32" t="n">
        <x:v>2.5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Ethmalosa fimbriata</x:v>
      </x:c>
      <x:c r="T2" s="32" t="n">
        <x:f>IF(O2="","",(1/'Metadata'!$B$5)^(O2-1))</x:f>
        <x:v>31.622776601683793</x:v>
      </x:c>
      <x:c r="U2" s="31" t="n">
        <x:f>IF(T2="","",I2*T2)</x:f>
        <x:v>3183717.9027043176</x:v>
      </x:c>
    </x:row>
    <x:row r="3" ht="18" customHeight="1">
      <x:c r="A3" s="24" t="str">
        <x:v>EEZ_120</x:v>
      </x:c>
      <x:c r="B3" s="24" t="str">
        <x:v>Cameroon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80267.89061804139</x:v>
      </x:c>
      <x:c r="J3" s="31" t="n">
        <x:v>79171.0984834175</x:v>
      </x:c>
      <x:c r="K3" s="31" t="n">
        <x:v>1096.7921346239</x:v>
      </x:c>
      <x:c r="L3" s="31" t="n">
        <x:v>68083.4023834535</x:v>
      </x:c>
      <x:c r="M3" s="31" t="n">
        <x:v>12184.4882345879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15294731.248644847</x:v>
      </x:c>
    </x:row>
    <x:row r="4" ht="18" customHeight="1">
      <x:c r="A4" s="24" t="str">
        <x:v>EEZ_120</x:v>
      </x:c>
      <x:c r="B4" s="24" t="str">
        <x:v>Cameroon</x:v>
      </x:c>
      <x:c r="C4" s="24" t="str">
        <x:v>EEZ</x:v>
      </x:c>
      <x:c r="D4" s="30" t="n">
        <x:v>2019</x:v>
      </x:c>
      <x:c r="E4" s="24" t="str">
        <x:v>Pseudotolithus</x:v>
      </x:c>
      <x:c r="F4" s="24" t="str">
        <x:v>African croakers</x:v>
      </x:c>
      <x:c r="G4" s="24" t="str">
        <x:v>Large demersals (&gt;=90 cm)</x:v>
      </x:c>
      <x:c r="H4" s="24" t="str">
        <x:v>Perch-likes</x:v>
      </x:c>
      <x:c r="I4" s="31" t="n">
        <x:v>22994.340000000102</x:v>
      </x:c>
      <x:c r="J4" s="31" t="n">
        <x:v>22994.340000000102</x:v>
      </x:c>
      <x:c r="K4" s="31" t="n">
        <x:v>0</x:v>
      </x:c>
      <x:c r="L4" s="31" t="n">
        <x:v>22994.340000000102</x:v>
      </x:c>
      <x:c r="M4" s="31" t="n">
        <x:v>0</x:v>
      </x:c>
      <x:c r="N4" s="24" t="str">
        <x:v>pseudotolithus</x:v>
      </x:c>
      <x:c r="O4" s="32" t="n">
        <x:v>3.79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Pseudotolithus</x:v>
      </x:c>
      <x:c r="T4" s="32" t="n">
        <x:f>IF(O4="","",(1/'Metadata'!$B$5)^(O4-1))</x:f>
        <x:v>616.5950018614822</x:v>
      </x:c>
      <x:c r="U4" s="31" t="n">
        <x:f>IF(T4="","",I4*T4)</x:f>
        <x:v>14178195.115103617</x:v>
      </x:c>
    </x:row>
    <x:row r="5" ht="18" customHeight="1">
      <x:c r="A5" s="24" t="str">
        <x:v>EEZ_120</x:v>
      </x:c>
      <x:c r="B5" s="24" t="str">
        <x:v>Cameroon</x:v>
      </x:c>
      <x:c r="C5" s="24" t="str">
        <x:v>EEZ</x:v>
      </x:c>
      <x:c r="D5" s="30" t="n">
        <x:v>2019</x:v>
      </x:c>
      <x:c r="E5" s="24" t="str">
        <x:v>Pseudotolithus elongatus</x:v>
      </x:c>
      <x:c r="F5" s="24" t="str">
        <x:v>Bobo croaker</x:v>
      </x:c>
      <x:c r="G5" s="24" t="str">
        <x:v>Medium demersals (30 - 89 cm)</x:v>
      </x:c>
      <x:c r="H5" s="24" t="str">
        <x:v>Perch-likes</x:v>
      </x:c>
      <x:c r="I5" s="31" t="n">
        <x:v>14361</x:v>
      </x:c>
      <x:c r="J5" s="31" t="n">
        <x:v>14361</x:v>
      </x:c>
      <x:c r="K5" s="31" t="n">
        <x:v>0</x:v>
      </x:c>
      <x:c r="L5" s="31" t="n">
        <x:v>14361</x:v>
      </x:c>
      <x:c r="M5" s="31" t="n">
        <x:v>0</x:v>
      </x:c>
      <x:c r="N5" s="24" t="str">
        <x:v>pseudotolithus elongatus</x:v>
      </x:c>
      <x:c r="O5" s="32" t="n">
        <x:v>4.06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Pseudotolithus elongatus</x:v>
      </x:c>
      <x:c r="T5" s="32" t="n">
        <x:f>IF(O5="","",(1/'Metadata'!$B$5)^(O5-1))</x:f>
        <x:v>1148.1536214968817</x:v>
      </x:c>
      <x:c r="U5" s="31" t="n">
        <x:f>IF(T5="","",I5*T5)</x:f>
        <x:v>16488634.158316718</x:v>
      </x:c>
    </x:row>
    <x:row r="6" ht="18" customHeight="1">
      <x:c r="A6" s="24" t="str">
        <x:v>EEZ_120</x:v>
      </x:c>
      <x:c r="B6" s="24" t="str">
        <x:v>Cameroon</x:v>
      </x:c>
      <x:c r="C6" s="24" t="str">
        <x:v>EEZ</x:v>
      </x:c>
      <x:c r="D6" s="30" t="n">
        <x:v>2019</x:v>
      </x:c>
      <x:c r="E6" s="24" t="str">
        <x:v>Sphyraena</x:v>
      </x:c>
      <x:c r="F6" s="24" t="str">
        <x:v>Barracudas, sennets</x:v>
      </x:c>
      <x:c r="G6" s="24" t="str">
        <x:v>Large pelagics (&gt;=90 cm)</x:v>
      </x:c>
      <x:c r="H6" s="24" t="str">
        <x:v>Perch-likes</x:v>
      </x:c>
      <x:c r="I6" s="31" t="n">
        <x:v>9207.8499999999</x:v>
      </x:c>
      <x:c r="J6" s="31" t="n">
        <x:v>9207.8499999999</x:v>
      </x:c>
      <x:c r="K6" s="31" t="n">
        <x:v>0</x:v>
      </x:c>
      <x:c r="L6" s="31" t="n">
        <x:v>9207.8499999999</x:v>
      </x:c>
      <x:c r="M6" s="31" t="n">
        <x:v>0</x:v>
      </x:c>
      <x:c r="N6" s="24" t="str">
        <x:v>sphyraena</x:v>
      </x:c>
      <x:c r="O6" s="32" t="n">
        <x:v>4.4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Sphyraena</x:v>
      </x:c>
      <x:c r="T6" s="32" t="n">
        <x:f>IF(O6="","",(1/'Metadata'!$B$5)^(O6-1))</x:f>
        <x:v>2511.886431509582</x:v>
      </x:c>
      <x:c r="U6" s="31" t="n">
        <x:f>IF(T6="","",I6*T6)</x:f>
        <x:v>23129073.478375256</x:v>
      </x:c>
    </x:row>
    <x:row r="7" ht="18" customHeight="1">
      <x:c r="A7" s="24" t="str">
        <x:v>EEZ_120</x:v>
      </x:c>
      <x:c r="B7" s="24" t="str">
        <x:v>Cameroon</x:v>
      </x:c>
      <x:c r="C7" s="24" t="str">
        <x:v>EEZ</x:v>
      </x:c>
      <x:c r="D7" s="30" t="n">
        <x:v>2019</x:v>
      </x:c>
      <x:c r="E7" s="24" t="str">
        <x:v>Polynemidae</x:v>
      </x:c>
      <x:c r="F7" s="24" t="str">
        <x:v>Threadfins</x:v>
      </x:c>
      <x:c r="G7" s="24" t="str">
        <x:v>Small demersals (&lt;30 cm)</x:v>
      </x:c>
      <x:c r="H7" s="24" t="str">
        <x:v>Perch-likes</x:v>
      </x:c>
      <x:c r="I7" s="31" t="n">
        <x:v>8619</x:v>
      </x:c>
      <x:c r="J7" s="31" t="n">
        <x:v>8619</x:v>
      </x:c>
      <x:c r="K7" s="31" t="n">
        <x:v>0</x:v>
      </x:c>
      <x:c r="L7" s="31" t="n">
        <x:v>8619</x:v>
      </x:c>
      <x:c r="M7" s="31" t="n">
        <x:v>0</x:v>
      </x:c>
      <x:c r="N7" s="24" t="str">
        <x:v>polynemidae</x:v>
      </x:c>
      <x:c r="O7" s="32" t="n">
        <x:v>3.62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Polynemidae</x:v>
      </x:c>
      <x:c r="T7" s="32" t="n">
        <x:f>IF(O7="","",(1/'Metadata'!$B$5)^(O7-1))</x:f>
        <x:v>416.8693834703355</x:v>
      </x:c>
      <x:c r="U7" s="31" t="n">
        <x:f>IF(T7="","",I7*T7)</x:f>
        <x:v>3592997.2161308215</x:v>
      </x:c>
    </x:row>
    <x:row r="8" ht="18" customHeight="1">
      <x:c r="A8" s="24" t="str">
        <x:v>EEZ_120</x:v>
      </x:c>
      <x:c r="B8" s="24" t="str">
        <x:v>Cameroon</x:v>
      </x:c>
      <x:c r="C8" s="24" t="str">
        <x:v>EEZ</x:v>
      </x:c>
      <x:c r="D8" s="30" t="n">
        <x:v>2019</x:v>
      </x:c>
      <x:c r="E8" s="24" t="str">
        <x:v>Haemulidae</x:v>
      </x:c>
      <x:c r="F8" s="24" t="str">
        <x:v>Grunts, sweetlips, bonnetmouths</x:v>
      </x:c>
      <x:c r="G8" s="24" t="str">
        <x:v>Medium demersals (30 - 89 cm)</x:v>
      </x:c>
      <x:c r="H8" s="24" t="str">
        <x:v>Perch-likes</x:v>
      </x:c>
      <x:c r="I8" s="31" t="n">
        <x:v>6318.46</x:v>
      </x:c>
      <x:c r="J8" s="31" t="n">
        <x:v>6318.46</x:v>
      </x:c>
      <x:c r="K8" s="31" t="n">
        <x:v>0</x:v>
      </x:c>
      <x:c r="L8" s="31" t="n">
        <x:v>6318.46</x:v>
      </x:c>
      <x:c r="M8" s="31" t="n">
        <x:v>0</x:v>
      </x:c>
      <x:c r="N8" s="24" t="str">
        <x:v>haemulidae</x:v>
      </x:c>
      <x:c r="O8" s="32" t="n">
        <x:v>3.36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Haemulidae</x:v>
      </x:c>
      <x:c r="T8" s="32" t="n">
        <x:f>IF(O8="","",(1/'Metadata'!$B$5)^(O8-1))</x:f>
        <x:v>229.08676527677724</x:v>
      </x:c>
      <x:c r="U8" s="31" t="n">
        <x:f>IF(T8="","",I8*T8)</x:f>
        <x:v>1447475.562930706</x:v>
      </x:c>
    </x:row>
    <x:row r="9" ht="18" customHeight="1">
      <x:c r="A9" s="24" t="str">
        <x:v>EEZ_120</x:v>
      </x:c>
      <x:c r="B9" s="24" t="str">
        <x:v>Cameroon</x:v>
      </x:c>
      <x:c r="C9" s="24" t="str">
        <x:v>EEZ</x:v>
      </x:c>
      <x:c r="D9" s="30" t="n">
        <x:v>2019</x:v>
      </x:c>
      <x:c r="E9" s="24" t="str">
        <x:v>Mullidae</x:v>
      </x:c>
      <x:c r="F9" s="24" t="str">
        <x:v>Goatfishes</x:v>
      </x:c>
      <x:c r="G9" s="24" t="str">
        <x:v>Medium reef assoc. fish (30 - 89 cm)</x:v>
      </x:c>
      <x:c r="H9" s="24" t="str">
        <x:v>Perch-likes</x:v>
      </x:c>
      <x:c r="I9" s="31" t="n">
        <x:v>6251.85</x:v>
      </x:c>
      <x:c r="J9" s="31" t="n">
        <x:v>6251.85</x:v>
      </x:c>
      <x:c r="K9" s="31" t="n">
        <x:v>0</x:v>
      </x:c>
      <x:c r="L9" s="31" t="n">
        <x:v>6251.85</x:v>
      </x:c>
      <x:c r="M9" s="31" t="n">
        <x:v>0</x:v>
      </x:c>
      <x:c r="N9" s="24" t="str">
        <x:v>mullidae</x:v>
      </x:c>
      <x:c r="O9" s="32" t="n">
        <x:v>3.46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Mullidae</x:v>
      </x:c>
      <x:c r="T9" s="32" t="n">
        <x:f>IF(O9="","",(1/'Metadata'!$B$5)^(O9-1))</x:f>
        <x:v>288.40315031266056</x:v>
      </x:c>
      <x:c r="U9" s="31" t="n">
        <x:f>IF(T9="","",I9*T9)</x:f>
        <x:v>1803053.235282207</x:v>
      </x:c>
    </x:row>
    <x:row r="10" ht="18" customHeight="1">
      <x:c r="A10" s="24" t="str">
        <x:v>EEZ_120</x:v>
      </x:c>
      <x:c r="B10" s="24" t="str">
        <x:v>Cameroon</x:v>
      </x:c>
      <x:c r="C10" s="24" t="str">
        <x:v>EEZ</x:v>
      </x:c>
      <x:c r="D10" s="30" t="n">
        <x:v>2019</x:v>
      </x:c>
      <x:c r="E10" s="24" t="str">
        <x:v>Dasyatidae</x:v>
      </x:c>
      <x:c r="F10" s="24" t="str">
        <x:v>Whiptail stingrays</x:v>
      </x:c>
      <x:c r="G10" s="24" t="str">
        <x:v>Large rays (&gt;=90 cm)</x:v>
      </x:c>
      <x:c r="H10" s="24" t="str">
        <x:v>Sharks &amp; rays</x:v>
      </x:c>
      <x:c r="I10" s="31" t="n">
        <x:v>3447.0986096885</x:v>
      </x:c>
      <x:c r="J10" s="31" t="n">
        <x:v>3447.0986096885</x:v>
      </x:c>
      <x:c r="K10" s="31" t="n">
        <x:v>0</x:v>
      </x:c>
      <x:c r="L10" s="31" t="n">
        <x:v>3344.8598096885</x:v>
      </x:c>
      <x:c r="M10" s="31" t="n">
        <x:v>102.2388</x:v>
      </x:c>
      <x:c r="N10" s="24" t="str">
        <x:v>dasyatidae</x:v>
      </x:c>
      <x:c r="O10" s="32" t="n">
        <x:v>3.38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Dasyatidae</x:v>
      </x:c>
      <x:c r="T10" s="32" t="n">
        <x:f>IF(O10="","",(1/'Metadata'!$B$5)^(O10-1))</x:f>
        <x:v>239.88329190194898</x:v>
      </x:c>
      <x:c r="U10" s="31" t="n">
        <x:f>IF(T10="","",I10*T10)</x:f>
        <x:v>826901.362002709</x:v>
      </x:c>
    </x:row>
    <x:row r="11" ht="18" customHeight="1">
      <x:c r="A11" s="24" t="str">
        <x:v>EEZ_120</x:v>
      </x:c>
      <x:c r="B11" s="24" t="str">
        <x:v>Cameroon</x:v>
      </x:c>
      <x:c r="C11" s="24" t="str">
        <x:v>EEZ</x:v>
      </x:c>
      <x:c r="D11" s="30" t="n">
        <x:v>2019</x:v>
      </x:c>
      <x:c r="E11" s="24" t="str">
        <x:v>Sardinella</x:v>
      </x:c>
      <x:c r="F11" s="24" t="str">
        <x:v>Sardinellas</x:v>
      </x:c>
      <x:c r="G11" s="24" t="str">
        <x:v>Small pelagics (&lt;30 cm)</x:v>
      </x:c>
      <x:c r="H11" s="24" t="str">
        <x:v>Herring-likes</x:v>
      </x:c>
      <x:c r="I11" s="31" t="n">
        <x:v>2619.0000000003</x:v>
      </x:c>
      <x:c r="J11" s="31" t="n">
        <x:v>2619.0000000003</x:v>
      </x:c>
      <x:c r="K11" s="31" t="n">
        <x:v>0</x:v>
      </x:c>
      <x:c r="L11" s="31" t="n">
        <x:v>2619.0000000003</x:v>
      </x:c>
      <x:c r="M11" s="31" t="n">
        <x:v>0</x:v>
      </x:c>
      <x:c r="N11" s="24" t="str">
        <x:v>sardinella</x:v>
      </x:c>
      <x:c r="O11" s="32" t="n">
        <x:v>2.77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Sardinella</x:v>
      </x:c>
      <x:c r="T11" s="32" t="n">
        <x:f>IF(O11="","",(1/'Metadata'!$B$5)^(O11-1))</x:f>
        <x:v>58.8843655355589</x:v>
      </x:c>
      <x:c r="U11" s="31" t="n">
        <x:f>IF(T11="","",I11*T11)</x:f>
        <x:v>154218.15333764642</x:v>
      </x:c>
    </x:row>
    <x:row r="12" ht="18" customHeight="1">
      <x:c r="A12" s="24" t="str">
        <x:v>EEZ_120</x:v>
      </x:c>
      <x:c r="B12" s="24" t="str">
        <x:v>Cameroon</x:v>
      </x:c>
      <x:c r="C12" s="24" t="str">
        <x:v>EEZ</x:v>
      </x:c>
      <x:c r="D12" s="30" t="n">
        <x:v>2019</x:v>
      </x:c>
      <x:c r="E12" s="24" t="str">
        <x:v>Pagrus</x:v>
      </x:c>
      <x:c r="F12" s="24" t="str">
        <x:v>Subtropical seabreams</x:v>
      </x:c>
      <x:c r="G12" s="24" t="str">
        <x:v>Medium benthopelagics (30 - 89 cm)</x:v>
      </x:c>
      <x:c r="H12" s="24" t="str">
        <x:v>Perch-likes</x:v>
      </x:c>
      <x:c r="I12" s="31" t="n">
        <x:v>2557</x:v>
      </x:c>
      <x:c r="J12" s="31" t="n">
        <x:v>2557</x:v>
      </x:c>
      <x:c r="K12" s="31" t="n">
        <x:v>0</x:v>
      </x:c>
      <x:c r="L12" s="31" t="n">
        <x:v>2557</x:v>
      </x:c>
      <x:c r="M12" s="31" t="n">
        <x:v>0</x:v>
      </x:c>
      <x:c r="N12" s="24" t="str">
        <x:v>pagrus</x:v>
      </x:c>
      <x:c r="O12" s="32" t="n">
        <x:v>3.55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Pagrus</x:v>
      </x:c>
      <x:c r="T12" s="32" t="n">
        <x:f>IF(O12="","",(1/'Metadata'!$B$5)^(O12-1))</x:f>
        <x:v>354.8133892335753</x:v>
      </x:c>
      <x:c r="U12" s="31" t="n">
        <x:f>IF(T12="","",I12*T12)</x:f>
        <x:v>907257.8362702521</x:v>
      </x:c>
    </x:row>
    <x:row r="13" ht="18" customHeight="1">
      <x:c r="A13" s="24" t="str">
        <x:v>EEZ_120</x:v>
      </x:c>
      <x:c r="B13" s="24" t="str">
        <x:v>Cameroon</x:v>
      </x:c>
      <x:c r="C13" s="24" t="str">
        <x:v>EEZ</x:v>
      </x:c>
      <x:c r="D13" s="30" t="n">
        <x:v>2019</x:v>
      </x:c>
      <x:c r="E13" s="24" t="str">
        <x:v>Drepane africana</x:v>
      </x:c>
      <x:c r="F13" s="24" t="str">
        <x:v>African sicklefish</x:v>
      </x:c>
      <x:c r="G13" s="24" t="str">
        <x:v>Medium benthopelagics (30 - 89 cm)</x:v>
      </x:c>
      <x:c r="H13" s="24" t="str">
        <x:v>Perch-likes</x:v>
      </x:c>
      <x:c r="I13" s="31" t="n">
        <x:v>2090.2928292853003</x:v>
      </x:c>
      <x:c r="J13" s="31" t="n">
        <x:v>2077.9145392853</x:v>
      </x:c>
      <x:c r="K13" s="31" t="n">
        <x:v>12.37829</x:v>
      </x:c>
      <x:c r="L13" s="31" t="n">
        <x:v>1951.9749906466</x:v>
      </x:c>
      <x:c r="M13" s="31" t="n">
        <x:v>138.31783863869998</x:v>
      </x:c>
      <x:c r="N13" s="24" t="str">
        <x:v>drepane africana</x:v>
      </x:c>
      <x:c r="O13" s="32" t="n">
        <x:v>3.1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Drepane africana</x:v>
      </x:c>
      <x:c r="T13" s="32" t="n">
        <x:f>IF(O13="","",(1/'Metadata'!$B$5)^(O13-1))</x:f>
        <x:v>125.89254117941675</x:v>
      </x:c>
      <x:c r="U13" s="31" t="n">
        <x:f>IF(T13="","",I13*T13)</x:f>
        <x:v>263152.2760878392</x:v>
      </x:c>
    </x:row>
    <x:row r="14" ht="18" customHeight="1">
      <x:c r="A14" s="24" t="str">
        <x:v>EEZ_120</x:v>
      </x:c>
      <x:c r="B14" s="24" t="str">
        <x:v>Cameroon</x:v>
      </x:c>
      <x:c r="C14" s="24" t="str">
        <x:v>EEZ</x:v>
      </x:c>
      <x:c r="D14" s="30" t="n">
        <x:v>2019</x:v>
      </x:c>
      <x:c r="E14" s="24" t="str">
        <x:v>Caranx</x:v>
      </x:c>
      <x:c r="F14" s="24" t="str">
        <x:v>Jacks</x:v>
      </x:c>
      <x:c r="G14" s="24" t="str">
        <x:v>Medium reef assoc. fish (30 - 89 cm)</x:v>
      </x:c>
      <x:c r="H14" s="24" t="str">
        <x:v>Perch-likes</x:v>
      </x:c>
      <x:c r="I14" s="31" t="n">
        <x:v>1477</x:v>
      </x:c>
      <x:c r="J14" s="31" t="n">
        <x:v>1477</x:v>
      </x:c>
      <x:c r="K14" s="31" t="n">
        <x:v>0</x:v>
      </x:c>
      <x:c r="L14" s="31" t="n">
        <x:v>1477</x:v>
      </x:c>
      <x:c r="M14" s="31" t="n">
        <x:v>0</x:v>
      </x:c>
      <x:c r="N14" s="24" t="str">
        <x:v>caranx</x:v>
      </x:c>
      <x:c r="O14" s="32" t="n">
        <x:v>4.12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Caranx</x:v>
      </x:c>
      <x:c r="T14" s="32" t="n">
        <x:f>IF(O14="","",(1/'Metadata'!$B$5)^(O14-1))</x:f>
        <x:v>1318.2567385564075</x:v>
      </x:c>
      <x:c r="U14" s="31" t="n">
        <x:f>IF(T14="","",I14*T14)</x:f>
        <x:v>1947065.202847814</x:v>
      </x:c>
    </x:row>
    <x:row r="15" ht="18" customHeight="1">
      <x:c r="A15" s="24" t="str">
        <x:v>EEZ_120</x:v>
      </x:c>
      <x:c r="B15" s="24" t="str">
        <x:v>Cameroon</x:v>
      </x:c>
      <x:c r="C15" s="24" t="str">
        <x:v>EEZ</x:v>
      </x:c>
      <x:c r="D15" s="30" t="n">
        <x:v>2019</x:v>
      </x:c>
      <x:c r="E15" s="24" t="str">
        <x:v>Pseudotolithus senegalensis</x:v>
      </x:c>
      <x:c r="F15" s="24" t="str">
        <x:v>Cassava croaker</x:v>
      </x:c>
      <x:c r="G15" s="24" t="str">
        <x:v>Large demersals (&gt;=90 cm)</x:v>
      </x:c>
      <x:c r="H15" s="24" t="str">
        <x:v>Perch-likes</x:v>
      </x:c>
      <x:c r="I15" s="31" t="n">
        <x:v>1464.4006329155</x:v>
      </x:c>
      <x:c r="J15" s="31" t="n">
        <x:v>1292.7190329155</x:v>
      </x:c>
      <x:c r="K15" s="31" t="n">
        <x:v>171.6816</x:v>
      </x:c>
      <x:c r="L15" s="31" t="n">
        <x:v>963.9999999998</x:v>
      </x:c>
      <x:c r="M15" s="31" t="n">
        <x:v>500.4006329157</x:v>
      </x:c>
      <x:c r="N15" s="24" t="str">
        <x:v>pseudotolithus senegalensis</x:v>
      </x:c>
      <x:c r="O15" s="32" t="n">
        <x:v>3.79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Pseudotolithus senegalensis</x:v>
      </x:c>
      <x:c r="T15" s="32" t="n">
        <x:f>IF(O15="","",(1/'Metadata'!$B$5)^(O15-1))</x:f>
        <x:v>616.5950018614822</x:v>
      </x:c>
      <x:c r="U15" s="31" t="n">
        <x:f>IF(T15="","",I15*T15)</x:f>
        <x:v>902942.1109784883</x:v>
      </x:c>
    </x:row>
    <x:row r="16" ht="18" customHeight="1">
      <x:c r="A16" s="24" t="str">
        <x:v>EEZ_120</x:v>
      </x:c>
      <x:c r="B16" s="24" t="str">
        <x:v>Cameroon</x:v>
      </x:c>
      <x:c r="C16" s="24" t="str">
        <x:v>EEZ</x:v>
      </x:c>
      <x:c r="D16" s="30" t="n">
        <x:v>2019</x:v>
      </x:c>
      <x:c r="E16" s="24" t="str">
        <x:v>Crassostrea</x:v>
      </x:c>
      <x:c r="F16" s="24" t="str">
        <x:v>Cupped oysters</x:v>
      </x:c>
      <x:c r="G16" s="24" t="str">
        <x:v>Other demersal invertebrates</x:v>
      </x:c>
      <x:c r="H16" s="24" t="str">
        <x:v>Molluscs</x:v>
      </x:c>
      <x:c r="I16" s="31" t="n">
        <x:v>1235.3722817562</x:v>
      </x:c>
      <x:c r="J16" s="31" t="n">
        <x:v>1235.3722817562</x:v>
      </x:c>
      <x:c r="K16" s="31" t="n">
        <x:v>0</x:v>
      </x:c>
      <x:c r="L16" s="31" t="n">
        <x:v>1030.8946817562</x:v>
      </x:c>
      <x:c r="M16" s="31" t="n">
        <x:v>204.4776</x:v>
      </x:c>
      <x:c r="N16" s="24" t="str">
        <x:v>crassostrea</x:v>
      </x:c>
      <x:c r="O16" s="32" t="n">
        <x:v>2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Crassostrea</x:v>
      </x:c>
      <x:c r="T16" s="32" t="n">
        <x:f>IF(O16="","",(1/'Metadata'!$B$5)^(O16-1))</x:f>
        <x:v>10</x:v>
      </x:c>
      <x:c r="U16" s="31" t="n">
        <x:f>IF(T16="","",I16*T16)</x:f>
        <x:v>12353.722817562</x:v>
      </x:c>
    </x:row>
    <x:row r="17" ht="18" customHeight="1">
      <x:c r="A17" s="24" t="str">
        <x:v>EEZ_120</x:v>
      </x:c>
      <x:c r="B17" s="24" t="str">
        <x:v>Cameroon</x:v>
      </x:c>
      <x:c r="C17" s="24" t="str">
        <x:v>EEZ</x:v>
      </x:c>
      <x:c r="D17" s="30" t="n">
        <x:v>2019</x:v>
      </x:c>
      <x:c r="E17" s="24" t="str">
        <x:v>Selene dorsalis</x:v>
      </x:c>
      <x:c r="F17" s="24" t="str">
        <x:v>African moonfish</x:v>
      </x:c>
      <x:c r="G17" s="24" t="str">
        <x:v>Small demersals (&lt;30 cm)</x:v>
      </x:c>
      <x:c r="H17" s="24" t="str">
        <x:v>Perch-likes</x:v>
      </x:c>
      <x:c r="I17" s="31" t="n">
        <x:v>800.6858956498</x:v>
      </x:c>
      <x:c r="J17" s="31" t="n">
        <x:v>800.6858956498</x:v>
      </x:c>
      <x:c r="K17" s="31" t="n">
        <x:v>0</x:v>
      </x:c>
      <x:c r="L17" s="31" t="n">
        <x:v>698.4470956498</x:v>
      </x:c>
      <x:c r="M17" s="31" t="n">
        <x:v>102.2388</x:v>
      </x:c>
      <x:c r="N17" s="24" t="str">
        <x:v>selene dorsalis</x:v>
      </x:c>
      <x:c r="O17" s="32" t="n">
        <x:v>4.08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Selene dorsalis</x:v>
      </x:c>
      <x:c r="T17" s="32" t="n">
        <x:f>IF(O17="","",(1/'Metadata'!$B$5)^(O17-1))</x:f>
        <x:v>1202.2644346174131</x:v>
      </x:c>
      <x:c r="U17" s="31" t="n">
        <x:f>IF(T17="","",I17*T17)</x:f>
        <x:v>962636.1756395439</x:v>
      </x:c>
    </x:row>
    <x:row r="18" ht="18" customHeight="1">
      <x:c r="A18" s="24" t="str">
        <x:v>EEZ_120</x:v>
      </x:c>
      <x:c r="B18" s="24" t="str">
        <x:v>Cameroon</x:v>
      </x:c>
      <x:c r="C18" s="24" t="str">
        <x:v>EEZ</x:v>
      </x:c>
      <x:c r="D18" s="30" t="n">
        <x:v>2019</x:v>
      </x:c>
      <x:c r="E18" s="24" t="str">
        <x:v>Chloroscombrus chrysurus</x:v>
      </x:c>
      <x:c r="F18" s="24" t="str">
        <x:v>Atlantic bumper</x:v>
      </x:c>
      <x:c r="G18" s="24" t="str">
        <x:v>Medium pelagics (30 - 89 cm)</x:v>
      </x:c>
      <x:c r="H18" s="24" t="str">
        <x:v>Perch-likes</x:v>
      </x:c>
      <x:c r="I18" s="31" t="n">
        <x:v>719.6860182639999</x:v>
      </x:c>
      <x:c r="J18" s="31" t="n">
        <x:v>719.6860182639999</x:v>
      </x:c>
      <x:c r="K18" s="31" t="n">
        <x:v>0</x:v>
      </x:c>
      <x:c r="L18" s="31" t="n">
        <x:v>617.447218264</x:v>
      </x:c>
      <x:c r="M18" s="31" t="n">
        <x:v>102.2388</x:v>
      </x:c>
      <x:c r="N18" s="24" t="str">
        <x:v>chloroscombrus chrysurus</x:v>
      </x:c>
      <x:c r="O18" s="32" t="n">
        <x:v>3.54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Chloroscombrus chrysurus</x:v>
      </x:c>
      <x:c r="T18" s="32" t="n">
        <x:f>IF(O18="","",(1/'Metadata'!$B$5)^(O18-1))</x:f>
        <x:v>346.73685045253166</x:v>
      </x:c>
      <x:c r="U18" s="31" t="n">
        <x:f>IF(T18="","",I18*T18)</x:f>
        <x:v>249541.66328758252</x:v>
      </x:c>
    </x:row>
    <x:row r="19" ht="18" customHeight="1">
      <x:c r="A19" s="24" t="str">
        <x:v>EEZ_120</x:v>
      </x:c>
      <x:c r="B19" s="24" t="str">
        <x:v>Cameroon</x:v>
      </x:c>
      <x:c r="C19" s="24" t="str">
        <x:v>EEZ</x:v>
      </x:c>
      <x:c r="D19" s="30" t="n">
        <x:v>2019</x:v>
      </x:c>
      <x:c r="E19" s="24" t="str">
        <x:v>Epinephelus</x:v>
      </x:c>
      <x:c r="F19" s="24" t="str">
        <x:v>Seabasses, hinds</x:v>
      </x:c>
      <x:c r="G19" s="24" t="str">
        <x:v>Medium reef assoc. fish (30 - 89 cm)</x:v>
      </x:c>
      <x:c r="H19" s="24" t="str">
        <x:v>Perch-likes</x:v>
      </x:c>
      <x:c r="I19" s="31" t="n">
        <x:v>698.4360186939999</x:v>
      </x:c>
      <x:c r="J19" s="31" t="n">
        <x:v>698.4360186939999</x:v>
      </x:c>
      <x:c r="K19" s="31" t="n">
        <x:v>0</x:v>
      </x:c>
      <x:c r="L19" s="31" t="n">
        <x:v>596.197218694</x:v>
      </x:c>
      <x:c r="M19" s="31" t="n">
        <x:v>102.2388</x:v>
      </x:c>
      <x:c r="N19" s="24" t="str">
        <x:v>epinephelus</x:v>
      </x:c>
      <x:c r="O19" s="32" t="n">
        <x:v>3.84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Epinephelus</x:v>
      </x:c>
      <x:c r="T19" s="32" t="n">
        <x:f>IF(O19="","",(1/'Metadata'!$B$5)^(O19-1))</x:f>
        <x:v>691.8309709189363</x:v>
      </x:c>
      <x:c r="U19" s="31" t="n">
        <x:f>IF(T19="","",I19*T19)</x:f>
        <x:v>483199.6689378263</x:v>
      </x:c>
    </x:row>
    <x:row r="20" ht="18" customHeight="1">
      <x:c r="A20" s="24" t="str">
        <x:v>EEZ_120</x:v>
      </x:c>
      <x:c r="B20" s="24" t="str">
        <x:v>Cameroon</x:v>
      </x:c>
      <x:c r="C20" s="24" t="str">
        <x:v>EEZ</x:v>
      </x:c>
      <x:c r="D20" s="30" t="n">
        <x:v>2019</x:v>
      </x:c>
      <x:c r="E20" s="24" t="str">
        <x:v>Brachydeuterus auritus</x:v>
      </x:c>
      <x:c r="F20" s="24" t="str">
        <x:v>Bigeye grunt</x:v>
      </x:c>
      <x:c r="G20" s="24" t="str">
        <x:v>Small demersals (&lt;30 cm)</x:v>
      </x:c>
      <x:c r="H20" s="24" t="str">
        <x:v>Perch-likes</x:v>
      </x:c>
      <x:c r="I20" s="31" t="n">
        <x:v>636.3049642464</x:v>
      </x:c>
      <x:c r="J20" s="31" t="n">
        <x:v>418.3393642464</x:v>
      </x:c>
      <x:c r="K20" s="31" t="n">
        <x:v>217.9656</x:v>
      </x:c>
      <x:c r="L20" s="31" t="n">
        <x:v>1</x:v>
      </x:c>
      <x:c r="M20" s="31" t="n">
        <x:v>635.3049642464</x:v>
      </x:c>
      <x:c r="N20" s="24" t="str">
        <x:v>brachydeuterus auritus</x:v>
      </x:c>
      <x:c r="O20" s="32" t="n">
        <x:v>3.03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Brachydeuterus auritus</x:v>
      </x:c>
      <x:c r="T20" s="32" t="n">
        <x:f>IF(O20="","",(1/'Metadata'!$B$5)^(O20-1))</x:f>
        <x:v>107.1519305237606</x:v>
      </x:c>
      <x:c r="U20" s="31" t="n">
        <x:f>IF(T20="","",I20*T20)</x:f>
        <x:v>68181.30532085423</x:v>
      </x:c>
    </x:row>
    <x:row r="21" ht="18" customHeight="1">
      <x:c r="A21" s="24" t="str">
        <x:v>EEZ_120</x:v>
      </x:c>
      <x:c r="B21" s="24" t="str">
        <x:v>Cameroon</x:v>
      </x:c>
      <x:c r="C21" s="24" t="str">
        <x:v>EEZ</x:v>
      </x:c>
      <x:c r="D21" s="30" t="n">
        <x:v>2019</x:v>
      </x:c>
      <x:c r="E21" s="24" t="str">
        <x:v>Thunnus obesus</x:v>
      </x:c>
      <x:c r="F21" s="24" t="str">
        <x:v>Bigeye tuna</x:v>
      </x:c>
      <x:c r="G21" s="24" t="str">
        <x:v>Large pelagics (&gt;=90 cm)</x:v>
      </x:c>
      <x:c r="H21" s="24" t="str">
        <x:v>Tuna &amp; billfishes</x:v>
      </x:c>
      <x:c r="I21" s="31" t="n">
        <x:v>618.3885598241</x:v>
      </x:c>
      <x:c r="J21" s="31" t="n">
        <x:v>618.3885598241</x:v>
      </x:c>
      <x:c r="K21" s="31" t="n">
        <x:v>0</x:v>
      </x:c>
      <x:c r="L21" s="31" t="n">
        <x:v>516.1497598241</x:v>
      </x:c>
      <x:c r="M21" s="31" t="n">
        <x:v>102.2388</x:v>
      </x:c>
      <x:c r="N21" s="24" t="str">
        <x:v>thunnus obesus</x:v>
      </x:c>
      <x:c r="O21" s="32" t="n">
        <x:v>4.49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Thunnus obesus</x:v>
      </x:c>
      <x:c r="T21" s="32" t="n">
        <x:f>IF(O21="","",(1/'Metadata'!$B$5)^(O21-1))</x:f>
        <x:v>3090.295432513592</x:v>
      </x:c>
      <x:c r="U21" s="31" t="n">
        <x:f>IF(T21="","",I21*T21)</x:f>
        <x:v>1911003.3419430743</x:v>
      </x:c>
    </x:row>
    <x:row r="22" ht="18" customHeight="1">
      <x:c r="A22" s="24" t="str">
        <x:v>EEZ_120</x:v>
      </x:c>
      <x:c r="B22" s="24" t="str">
        <x:v>Cameroon</x:v>
      </x:c>
      <x:c r="C22" s="24" t="str">
        <x:v>EEZ</x:v>
      </x:c>
      <x:c r="D22" s="30" t="n">
        <x:v>2019</x:v>
      </x:c>
      <x:c r="E22" s="24" t="str">
        <x:v>Seriola dumerili</x:v>
      </x:c>
      <x:c r="F22" s="24" t="str">
        <x:v>Greater amberjack</x:v>
      </x:c>
      <x:c r="G22" s="24" t="str">
        <x:v>Large reef assoc. fish (&gt;=90 cm)</x:v>
      </x:c>
      <x:c r="H22" s="24" t="str">
        <x:v>Perch-likes</x:v>
      </x:c>
      <x:c r="I22" s="31" t="n">
        <x:v>617.6861408781</x:v>
      </x:c>
      <x:c r="J22" s="31" t="n">
        <x:v>617.6861408781</x:v>
      </x:c>
      <x:c r="K22" s="31" t="n">
        <x:v>0</x:v>
      </x:c>
      <x:c r="L22" s="31" t="n">
        <x:v>515.4473408781</x:v>
      </x:c>
      <x:c r="M22" s="31" t="n">
        <x:v>102.2388</x:v>
      </x:c>
      <x:c r="N22" s="24" t="str">
        <x:v>seriola dumerili</x:v>
      </x:c>
      <x:c r="O22" s="32" t="n">
        <x:v>4.5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Seriola dumerili</x:v>
      </x:c>
      <x:c r="T22" s="32" t="n">
        <x:f>IF(O22="","",(1/'Metadata'!$B$5)^(O22-1))</x:f>
        <x:v>3162.2776601683795</x:v>
      </x:c>
      <x:c r="U22" s="31" t="n">
        <x:f>IF(T22="","",I22*T22)</x:f>
        <x:v>1953295.0842944342</x:v>
      </x:c>
    </x:row>
    <x:row r="23" ht="18" customHeight="1">
      <x:c r="A23" s="24" t="str">
        <x:v>EEZ_120</x:v>
      </x:c>
      <x:c r="B23" s="24" t="str">
        <x:v>Cameroon</x:v>
      </x:c>
      <x:c r="C23" s="24" t="str">
        <x:v>EEZ</x:v>
      </x:c>
      <x:c r="D23" s="30" t="n">
        <x:v>2019</x:v>
      </x:c>
      <x:c r="E23" s="24" t="str">
        <x:v>Sepia officinalis</x:v>
      </x:c>
      <x:c r="F23" s="24" t="str">
        <x:v>Common cuttlefish</x:v>
      </x:c>
      <x:c r="G23" s="24" t="str">
        <x:v>Cephalopods</x:v>
      </x:c>
      <x:c r="H23" s="24" t="str">
        <x:v>Other fishes &amp; inverts</x:v>
      </x:c>
      <x:c r="I23" s="31" t="n">
        <x:v>617.6860182639999</x:v>
      </x:c>
      <x:c r="J23" s="31" t="n">
        <x:v>617.6860182639999</x:v>
      </x:c>
      <x:c r="K23" s="31" t="n">
        <x:v>0</x:v>
      </x:c>
      <x:c r="L23" s="31" t="n">
        <x:v>515.447218264</x:v>
      </x:c>
      <x:c r="M23" s="31" t="n">
        <x:v>102.2388</x:v>
      </x:c>
      <x:c r="N23" s="24" t="str">
        <x:v>sepia officinalis</x:v>
      </x:c>
      <x:c r="O23" s="32" t="n">
        <x:v>4.27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Sepia officinalis</x:v>
      </x:c>
      <x:c r="T23" s="32" t="n">
        <x:f>IF(O23="","",(1/'Metadata'!$B$5)^(O23-1))</x:f>
        <x:v>1862.0871366628655</x:v>
      </x:c>
      <x:c r="U23" s="31" t="n">
        <x:f>IF(T23="","",I23*T23)</x:f>
        <x:v>1150185.1891058981</x:v>
      </x:c>
    </x:row>
    <x:row r="24" ht="18" customHeight="1">
      <x:c r="A24" s="24" t="str">
        <x:v>EEZ_120</x:v>
      </x:c>
      <x:c r="B24" s="24" t="str">
        <x:v>Cameroon</x:v>
      </x:c>
      <x:c r="C24" s="24" t="str">
        <x:v>EEZ</x:v>
      </x:c>
      <x:c r="D24" s="30" t="n">
        <x:v>2019</x:v>
      </x:c>
      <x:c r="E24" s="24" t="str">
        <x:v>Raja miraletus</x:v>
      </x:c>
      <x:c r="F24" s="24" t="str">
        <x:v>Brown ray</x:v>
      </x:c>
      <x:c r="G24" s="24" t="str">
        <x:v>Small to medium rays (&lt;90 cm)</x:v>
      </x:c>
      <x:c r="H24" s="24" t="str">
        <x:v>Sharks &amp; rays</x:v>
      </x:c>
      <x:c r="I24" s="31" t="n">
        <x:v>617.6860182639999</x:v>
      </x:c>
      <x:c r="J24" s="31" t="n">
        <x:v>617.6860182639999</x:v>
      </x:c>
      <x:c r="K24" s="31" t="n">
        <x:v>0</x:v>
      </x:c>
      <x:c r="L24" s="31" t="n">
        <x:v>515.447218264</x:v>
      </x:c>
      <x:c r="M24" s="31" t="n">
        <x:v>102.2388</x:v>
      </x:c>
      <x:c r="N24" s="24" t="str">
        <x:v>raja miraletus</x:v>
      </x:c>
      <x:c r="O24" s="32" t="n">
        <x:v>3.8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Raja miraletus</x:v>
      </x:c>
      <x:c r="T24" s="32" t="n">
        <x:f>IF(O24="","",(1/'Metadata'!$B$5)^(O24-1))</x:f>
        <x:v>630.957344480193</x:v>
      </x:c>
      <x:c r="U24" s="31" t="n">
        <x:f>IF(T24="","",I24*T24)</x:f>
        <x:v>389733.5298063974</x:v>
      </x:c>
    </x:row>
    <x:row r="25" ht="18" customHeight="1">
      <x:c r="A25" s="24" t="str">
        <x:v>EEZ_120</x:v>
      </x:c>
      <x:c r="B25" s="24" t="str">
        <x:v>Cameroon</x:v>
      </x:c>
      <x:c r="C25" s="24" t="str">
        <x:v>EEZ</x:v>
      </x:c>
      <x:c r="D25" s="30" t="n">
        <x:v>2019</x:v>
      </x:c>
      <x:c r="E25" s="24" t="str">
        <x:v>Callinectes marginatus</x:v>
      </x:c>
      <x:c r="F25" s="24" t="str">
        <x:v>Marbled swimcrab</x:v>
      </x:c>
      <x:c r="G25" s="24" t="str">
        <x:v>Lobsters, crabs</x:v>
      </x:c>
      <x:c r="H25" s="24" t="str">
        <x:v>Crustaceans</x:v>
      </x:c>
      <x:c r="I25" s="31" t="n">
        <x:v>617.6860182639999</x:v>
      </x:c>
      <x:c r="J25" s="31" t="n">
        <x:v>617.6860182639999</x:v>
      </x:c>
      <x:c r="K25" s="31" t="n">
        <x:v>0</x:v>
      </x:c>
      <x:c r="L25" s="31" t="n">
        <x:v>515.447218264</x:v>
      </x:c>
      <x:c r="M25" s="31" t="n">
        <x:v>102.2388</x:v>
      </x:c>
      <x:c r="N25" s="24" t="str">
        <x:v>callinectes marginatus</x:v>
      </x:c>
      <x:c r="O25" s="32" t="n">
        <x:v>3.63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Callinectes marginatus</x:v>
      </x:c>
      <x:c r="T25" s="32" t="n">
        <x:f>IF(O25="","",(1/'Metadata'!$B$5)^(O25-1))</x:f>
        <x:v>426.57951880159254</x:v>
      </x:c>
      <x:c r="U25" s="31" t="n">
        <x:f>IF(T25="","",I25*T25)</x:f>
        <x:v>263492.20444152877</x:v>
      </x:c>
    </x:row>
    <x:row r="26" ht="18" customHeight="1">
      <x:c r="A26" s="24" t="str">
        <x:v>EEZ_120</x:v>
      </x:c>
      <x:c r="B26" s="24" t="str">
        <x:v>Cameroon</x:v>
      </x:c>
      <x:c r="C26" s="24" t="str">
        <x:v>EEZ</x:v>
      </x:c>
      <x:c r="D26" s="30" t="n">
        <x:v>2019</x:v>
      </x:c>
      <x:c r="E26" s="24" t="str">
        <x:v>Mytilidae</x:v>
      </x:c>
      <x:c r="F26" s="24" t="str">
        <x:v>Sea mussels</x:v>
      </x:c>
      <x:c r="G26" s="24" t="str">
        <x:v>Other demersal invertebrates</x:v>
      </x:c>
      <x:c r="H26" s="24" t="str">
        <x:v>Molluscs</x:v>
      </x:c>
      <x:c r="I26" s="31" t="n">
        <x:v>617.6860182639999</x:v>
      </x:c>
      <x:c r="J26" s="31" t="n">
        <x:v>617.6860182639999</x:v>
      </x:c>
      <x:c r="K26" s="31" t="n">
        <x:v>0</x:v>
      </x:c>
      <x:c r="L26" s="31" t="n">
        <x:v>515.447218264</x:v>
      </x:c>
      <x:c r="M26" s="31" t="n">
        <x:v>102.2388</x:v>
      </x:c>
      <x:c r="N26" s="24" t="str">
        <x:v>mytilidae</x:v>
      </x:c>
      <x:c r="O26" s="32" t="n">
        <x:v>2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Mytilidae</x:v>
      </x:c>
      <x:c r="T26" s="32" t="n">
        <x:f>IF(O26="","",(1/'Metadata'!$B$5)^(O26-1))</x:f>
        <x:v>10</x:v>
      </x:c>
      <x:c r="U26" s="31" t="n">
        <x:f>IF(T26="","",I26*T26)</x:f>
        <x:v>6176.860182639999</x:v>
      </x:c>
    </x:row>
    <x:row r="27" ht="18" customHeight="1">
      <x:c r="A27" s="24" t="str">
        <x:v>EEZ_120</x:v>
      </x:c>
      <x:c r="B27" s="24" t="str">
        <x:v>Cameroon</x:v>
      </x:c>
      <x:c r="C27" s="24" t="str">
        <x:v>EEZ</x:v>
      </x:c>
      <x:c r="D27" s="30" t="n">
        <x:v>2019</x:v>
      </x:c>
      <x:c r="E27" s="24" t="str">
        <x:v>Mugil cephalus</x:v>
      </x:c>
      <x:c r="F27" s="24" t="str">
        <x:v>Flathead grey mullet</x:v>
      </x:c>
      <x:c r="G27" s="24" t="str">
        <x:v>Large benthopelagics (&gt;=90 cm)</x:v>
      </x:c>
      <x:c r="H27" s="24" t="str">
        <x:v>Perch-likes</x:v>
      </x:c>
      <x:c r="I27" s="31" t="n">
        <x:v>617.6860182639999</x:v>
      </x:c>
      <x:c r="J27" s="31" t="n">
        <x:v>617.6860182639999</x:v>
      </x:c>
      <x:c r="K27" s="31" t="n">
        <x:v>0</x:v>
      </x:c>
      <x:c r="L27" s="31" t="n">
        <x:v>515.447218264</x:v>
      </x:c>
      <x:c r="M27" s="31" t="n">
        <x:v>102.2388</x:v>
      </x:c>
      <x:c r="N27" s="24" t="str">
        <x:v>mugil cephalus</x:v>
      </x:c>
      <x:c r="O27" s="32" t="n">
        <x:v>2.14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Mugil cephalus</x:v>
      </x:c>
      <x:c r="T27" s="32" t="n">
        <x:f>IF(O27="","",(1/'Metadata'!$B$5)^(O27-1))</x:f>
        <x:v>13.803842646028853</x:v>
      </x:c>
      <x:c r="U27" s="31" t="n">
        <x:f>IF(T27="","",I27*T27)</x:f>
        <x:v>8526.44060076836</x:v>
      </x:c>
    </x:row>
    <x:row r="28" ht="18" customHeight="1">
      <x:c r="A28" s="24" t="str">
        <x:v>EEZ_120</x:v>
      </x:c>
      <x:c r="B28" s="24" t="str">
        <x:v>Cameroon</x:v>
      </x:c>
      <x:c r="C28" s="24" t="str">
        <x:v>EEZ</x:v>
      </x:c>
      <x:c r="D28" s="30" t="n">
        <x:v>2019</x:v>
      </x:c>
      <x:c r="E28" s="24" t="str">
        <x:v>Decapterus punctatus</x:v>
      </x:c>
      <x:c r="F28" s="24" t="str">
        <x:v>Round scad</x:v>
      </x:c>
      <x:c r="G28" s="24" t="str">
        <x:v>Medium benthopelagics (30 - 89 cm)</x:v>
      </x:c>
      <x:c r="H28" s="24" t="str">
        <x:v>Perch-likes</x:v>
      </x:c>
      <x:c r="I28" s="31" t="n">
        <x:v>617.6860060025</x:v>
      </x:c>
      <x:c r="J28" s="31" t="n">
        <x:v>617.6860060025</x:v>
      </x:c>
      <x:c r="K28" s="31" t="n">
        <x:v>0</x:v>
      </x:c>
      <x:c r="L28" s="31" t="n">
        <x:v>515.4472060025</x:v>
      </x:c>
      <x:c r="M28" s="31" t="n">
        <x:v>102.2388</x:v>
      </x:c>
      <x:c r="N28" s="24" t="str">
        <x:v>decapterus punctatus</x:v>
      </x:c>
      <x:c r="O28" s="32" t="n">
        <x:v>4.43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Decapterus punctatus</x:v>
      </x:c>
      <x:c r="T28" s="32" t="n">
        <x:f>IF(O28="","",(1/'Metadata'!$B$5)^(O28-1))</x:f>
        <x:v>2691.534803926914</x:v>
      </x:c>
      <x:c r="U28" s="31" t="n">
        <x:f>IF(T28="","",I28*T28)</x:f>
        <x:v>1662523.3830543372</x:v>
      </x:c>
    </x:row>
    <x:row r="29" ht="18" customHeight="1">
      <x:c r="A29" s="24" t="str">
        <x:v>EEZ_120</x:v>
      </x:c>
      <x:c r="B29" s="24" t="str">
        <x:v>Cameroon</x:v>
      </x:c>
      <x:c r="C29" s="24" t="str">
        <x:v>EEZ</x:v>
      </x:c>
      <x:c r="D29" s="30" t="n">
        <x:v>2019</x:v>
      </x:c>
      <x:c r="E29" s="24" t="str">
        <x:v>Gobiidae</x:v>
      </x:c>
      <x:c r="F29" s="24" t="str">
        <x:v>Gobies</x:v>
      </x:c>
      <x:c r="G29" s="24" t="str">
        <x:v>Small reef assoc. fish (&lt;30 cm)</x:v>
      </x:c>
      <x:c r="H29" s="24" t="str">
        <x:v>Perch-likes</x:v>
      </x:c>
      <x:c r="I29" s="31" t="n">
        <x:v>617.6860029373</x:v>
      </x:c>
      <x:c r="J29" s="31" t="n">
        <x:v>617.6860029373</x:v>
      </x:c>
      <x:c r="K29" s="31" t="n">
        <x:v>0</x:v>
      </x:c>
      <x:c r="L29" s="31" t="n">
        <x:v>515.4472029373</x:v>
      </x:c>
      <x:c r="M29" s="31" t="n">
        <x:v>102.2388</x:v>
      </x:c>
      <x:c r="N29" s="24" t="str">
        <x:v>gobiidae</x:v>
      </x:c>
      <x:c r="O29" s="32" t="n">
        <x:v>3.11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Gobiidae</x:v>
      </x:c>
      <x:c r="T29" s="32" t="n">
        <x:f>IF(O29="","",(1/'Metadata'!$B$5)^(O29-1))</x:f>
        <x:v>128.82495516931337</x:v>
      </x:c>
      <x:c r="U29" s="31" t="n">
        <x:f>IF(T29="","",I29*T29)</x:f>
        <x:v>79573.37163711005</x:v>
      </x:c>
    </x:row>
    <x:row r="30" ht="18" customHeight="1">
      <x:c r="A30" s="24" t="str">
        <x:v>EEZ_120</x:v>
      </x:c>
      <x:c r="B30" s="24" t="str">
        <x:v>Cameroon</x:v>
      </x:c>
      <x:c r="C30" s="24" t="str">
        <x:v>EEZ</x:v>
      </x:c>
      <x:c r="D30" s="30" t="n">
        <x:v>2019</x:v>
      </x:c>
      <x:c r="E30" s="24" t="str">
        <x:v>Selar crumenophthalmus</x:v>
      </x:c>
      <x:c r="F30" s="24" t="str">
        <x:v>Bigeye scad</x:v>
      </x:c>
      <x:c r="G30" s="24" t="str">
        <x:v>Medium pelagics (30 - 89 cm)</x:v>
      </x:c>
      <x:c r="H30" s="24" t="str">
        <x:v>Perch-likes</x:v>
      </x:c>
      <x:c r="I30" s="31" t="n">
        <x:v>617.6859906758</x:v>
      </x:c>
      <x:c r="J30" s="31" t="n">
        <x:v>617.6859906758</x:v>
      </x:c>
      <x:c r="K30" s="31" t="n">
        <x:v>0</x:v>
      </x:c>
      <x:c r="L30" s="31" t="n">
        <x:v>515.4471906758</x:v>
      </x:c>
      <x:c r="M30" s="31" t="n">
        <x:v>102.2388</x:v>
      </x:c>
      <x:c r="N30" s="24" t="str">
        <x:v>selar crumenophthalmus</x:v>
      </x:c>
      <x:c r="O30" s="32" t="n">
        <x:v>3.81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Selar crumenophthalmus</x:v>
      </x:c>
      <x:c r="T30" s="32" t="n">
        <x:f>IF(O30="","",(1/'Metadata'!$B$5)^(O30-1))</x:f>
        <x:v>645.6542290346556</x:v>
      </x:c>
      <x:c r="U30" s="31" t="n">
        <x:f>IF(T30="","",I30*T30)</x:f>
        <x:v>398811.5720952911</x:v>
      </x:c>
    </x:row>
    <x:row r="31" ht="18" customHeight="1">
      <x:c r="A31" s="24" t="str">
        <x:v>EEZ_120</x:v>
      </x:c>
      <x:c r="B31" s="24" t="str">
        <x:v>Cameroon</x:v>
      </x:c>
      <x:c r="C31" s="24" t="str">
        <x:v>EEZ</x:v>
      </x:c>
      <x:c r="D31" s="30" t="n">
        <x:v>2019</x:v>
      </x:c>
      <x:c r="E31" s="24" t="str">
        <x:v>Trachinotus ovatus</x:v>
      </x:c>
      <x:c r="F31" s="24" t="str">
        <x:v>Pompano</x:v>
      </x:c>
      <x:c r="G31" s="24" t="str">
        <x:v>Medium pelagics (30 - 89 cm)</x:v>
      </x:c>
      <x:c r="H31" s="24" t="str">
        <x:v>Perch-likes</x:v>
      </x:c>
      <x:c r="I31" s="31" t="n">
        <x:v>617.6859876105</x:v>
      </x:c>
      <x:c r="J31" s="31" t="n">
        <x:v>617.6859876105</x:v>
      </x:c>
      <x:c r="K31" s="31" t="n">
        <x:v>0</x:v>
      </x:c>
      <x:c r="L31" s="31" t="n">
        <x:v>515.4471876105</x:v>
      </x:c>
      <x:c r="M31" s="31" t="n">
        <x:v>102.2388</x:v>
      </x:c>
      <x:c r="N31" s="24" t="str">
        <x:v>trachinotus ovatus</x:v>
      </x:c>
      <x:c r="O31" s="32" t="n">
        <x:v>3.73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Trachinotus ovatus</x:v>
      </x:c>
      <x:c r="T31" s="32" t="n">
        <x:f>IF(O31="","",(1/'Metadata'!$B$5)^(O31-1))</x:f>
        <x:v>537.0317963702527</x:v>
      </x:c>
      <x:c r="U31" s="31" t="n">
        <x:f>IF(T31="","",I31*T31)</x:f>
        <x:v>331717.0155192004</x:v>
      </x:c>
    </x:row>
    <x:row r="32" ht="18" customHeight="1">
      <x:c r="A32" s="24" t="str">
        <x:v>EEZ_120</x:v>
      </x:c>
      <x:c r="B32" s="24" t="str">
        <x:v>Cameroon</x:v>
      </x:c>
      <x:c r="C32" s="24" t="str">
        <x:v>EEZ</x:v>
      </x:c>
      <x:c r="D32" s="30" t="n">
        <x:v>2019</x:v>
      </x:c>
      <x:c r="E32" s="24" t="str">
        <x:v>Scyris alexandrina</x:v>
      </x:c>
      <x:c r="F32" s="24" t="str">
        <x:v>Alexandria pompano</x:v>
      </x:c>
      <x:c r="G32" s="24" t="str">
        <x:v>Medium pelagics (30 - 89 cm)</x:v>
      </x:c>
      <x:c r="H32" s="24" t="str">
        <x:v>Perch-likes</x:v>
      </x:c>
      <x:c r="I32" s="31" t="n">
        <x:v>617.6859876105</x:v>
      </x:c>
      <x:c r="J32" s="31" t="n">
        <x:v>617.6859876105</x:v>
      </x:c>
      <x:c r="K32" s="31" t="n">
        <x:v>0</x:v>
      </x:c>
      <x:c r="L32" s="31" t="n">
        <x:v>515.4471876105</x:v>
      </x:c>
      <x:c r="M32" s="31" t="n">
        <x:v>102.2388</x:v>
      </x:c>
      <x:c r="N32" s="24" t="str">
        <x:v>scyris alexandrina</x:v>
      </x:c>
      <x:c r="O32" s="32" t="n">
        <x:v>3.6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Scyris alexandrina</x:v>
      </x:c>
      <x:c r="T32" s="32" t="n">
        <x:f>IF(O32="","",(1/'Metadata'!$B$5)^(O32-1))</x:f>
        <x:v>398.1071705534973</x:v>
      </x:c>
      <x:c r="U32" s="31" t="n">
        <x:f>IF(T32="","",I32*T32)</x:f>
        <x:v>245905.22081815876</x:v>
      </x:c>
    </x:row>
    <x:row r="33" ht="18" customHeight="1">
      <x:c r="A33" s="24" t="str">
        <x:v>EEZ_120</x:v>
      </x:c>
      <x:c r="B33" s="24" t="str">
        <x:v>Cameroon</x:v>
      </x:c>
      <x:c r="C33" s="24" t="str">
        <x:v>EEZ</x:v>
      </x:c>
      <x:c r="D33" s="30" t="n">
        <x:v>2019</x:v>
      </x:c>
      <x:c r="E33" s="24" t="str">
        <x:v>Sphyraenidae</x:v>
      </x:c>
      <x:c r="F33" s="24" t="str">
        <x:v>Barracudas</x:v>
      </x:c>
      <x:c r="G33" s="24" t="str">
        <x:v>Medium reef assoc. fish (30 - 89 cm)</x:v>
      </x:c>
      <x:c r="H33" s="24" t="str">
        <x:v>Perch-likes</x:v>
      </x:c>
      <x:c r="I33" s="31" t="n">
        <x:v>617.6859814798</x:v>
      </x:c>
      <x:c r="J33" s="31" t="n">
        <x:v>617.6859814798</x:v>
      </x:c>
      <x:c r="K33" s="31" t="n">
        <x:v>0</x:v>
      </x:c>
      <x:c r="L33" s="31" t="n">
        <x:v>515.4471814798</x:v>
      </x:c>
      <x:c r="M33" s="31" t="n">
        <x:v>102.2388</x:v>
      </x:c>
      <x:c r="N33" s="24" t="str">
        <x:v>sphyraenidae</x:v>
      </x:c>
      <x:c r="O33" s="32" t="n">
        <x:v>4.4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Sphyraenidae</x:v>
      </x:c>
      <x:c r="T33" s="32" t="n">
        <x:f>IF(O33="","",(1/'Metadata'!$B$5)^(O33-1))</x:f>
        <x:v>2511.886431509582</x:v>
      </x:c>
      <x:c r="U33" s="31" t="n">
        <x:f>IF(T33="","",I33*T33)</x:f>
        <x:v>1551557.0358127886</x:v>
      </x:c>
    </x:row>
    <x:row r="34" ht="18" customHeight="1">
      <x:c r="A34" s="24" t="str">
        <x:v>EEZ_120</x:v>
      </x:c>
      <x:c r="B34" s="24" t="str">
        <x:v>Cameroon</x:v>
      </x:c>
      <x:c r="C34" s="24" t="str">
        <x:v>EEZ</x:v>
      </x:c>
      <x:c r="D34" s="30" t="n">
        <x:v>2019</x:v>
      </x:c>
      <x:c r="E34" s="24" t="str">
        <x:v>Scomberomorus tritor</x:v>
      </x:c>
      <x:c r="F34" s="24" t="str">
        <x:v>West African Spanish mackerel</x:v>
      </x:c>
      <x:c r="G34" s="24" t="str">
        <x:v>Medium pelagics (30 - 89 cm)</x:v>
      </x:c>
      <x:c r="H34" s="24" t="str">
        <x:v>Perch-likes</x:v>
      </x:c>
      <x:c r="I34" s="31" t="n">
        <x:v>617.685956957</x:v>
      </x:c>
      <x:c r="J34" s="31" t="n">
        <x:v>617.685956957</x:v>
      </x:c>
      <x:c r="K34" s="31" t="n">
        <x:v>0</x:v>
      </x:c>
      <x:c r="L34" s="31" t="n">
        <x:v>515.4471569570001</x:v>
      </x:c>
      <x:c r="M34" s="31" t="n">
        <x:v>102.2388</x:v>
      </x:c>
      <x:c r="N34" s="24" t="str">
        <x:v>scomberomorus tritor</x:v>
      </x:c>
      <x:c r="O34" s="32" t="n">
        <x:v>4.26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Scomberomorus tritor</x:v>
      </x:c>
      <x:c r="T34" s="32" t="n">
        <x:f>IF(O34="","",(1/'Metadata'!$B$5)^(O34-1))</x:f>
        <x:v>1819.7008586099826</x:v>
      </x:c>
      <x:c r="U34" s="31" t="n">
        <x:f>IF(T34="","",I34*T34)</x:f>
        <x:v>1124003.6662259817</x:v>
      </x:c>
    </x:row>
    <x:row r="35" ht="18" customHeight="1">
      <x:c r="A35" s="24" t="str">
        <x:v>EEZ_120</x:v>
      </x:c>
      <x:c r="B35" s="24" t="str">
        <x:v>Cameroon</x:v>
      </x:c>
      <x:c r="C35" s="24" t="str">
        <x:v>EEZ</x:v>
      </x:c>
      <x:c r="D35" s="30" t="n">
        <x:v>2019</x:v>
      </x:c>
      <x:c r="E35" s="24" t="str">
        <x:v>Caranx crysos</x:v>
      </x:c>
      <x:c r="F35" s="24" t="str">
        <x:v>Blue runner</x:v>
      </x:c>
      <x:c r="G35" s="24" t="str">
        <x:v>Medium reef assoc. fish (30 - 89 cm)</x:v>
      </x:c>
      <x:c r="H35" s="24" t="str">
        <x:v>Perch-likes</x:v>
      </x:c>
      <x:c r="I35" s="31" t="n">
        <x:v>617.6859569568</x:v>
      </x:c>
      <x:c r="J35" s="31" t="n">
        <x:v>617.6859569568</x:v>
      </x:c>
      <x:c r="K35" s="31" t="n">
        <x:v>0</x:v>
      </x:c>
      <x:c r="L35" s="31" t="n">
        <x:v>515.4471569568</x:v>
      </x:c>
      <x:c r="M35" s="31" t="n">
        <x:v>102.2388</x:v>
      </x:c>
      <x:c r="N35" s="24" t="str">
        <x:v>caranx crysos</x:v>
      </x:c>
      <x:c r="O35" s="32" t="n">
        <x:v>4.13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Caranx crysos</x:v>
      </x:c>
      <x:c r="T35" s="32" t="n">
        <x:f>IF(O35="","",(1/'Metadata'!$B$5)^(O35-1))</x:f>
        <x:v>1348.9628825916532</x:v>
      </x:c>
      <x:c r="U35" s="31" t="n">
        <x:f>IF(T35="","",I35*T35)</x:f>
        <x:v>833235.4290328288</x:v>
      </x:c>
    </x:row>
    <x:row r="36" ht="18" customHeight="1">
      <x:c r="A36" s="24" t="str">
        <x:v>EEZ_120</x:v>
      </x:c>
      <x:c r="B36" s="24" t="str">
        <x:v>Cameroon</x:v>
      </x:c>
      <x:c r="C36" s="24" t="str">
        <x:v>EEZ</x:v>
      </x:c>
      <x:c r="D36" s="30" t="n">
        <x:v>2019</x:v>
      </x:c>
      <x:c r="E36" s="24" t="str">
        <x:v>Ocypode cursor</x:v>
      </x:c>
      <x:c r="F36" s="24" t="str">
        <x:v>Tufted ghost crab</x:v>
      </x:c>
      <x:c r="G36" s="24" t="str">
        <x:v>Lobsters, crabs</x:v>
      </x:c>
      <x:c r="H36" s="24" t="str">
        <x:v>Crustaceans</x:v>
      </x:c>
      <x:c r="I36" s="31" t="n">
        <x:v>617.3758045659</x:v>
      </x:c>
      <x:c r="J36" s="31" t="n">
        <x:v>617.3758045659</x:v>
      </x:c>
      <x:c r="K36" s="31" t="n">
        <x:v>0</x:v>
      </x:c>
      <x:c r="L36" s="31" t="n">
        <x:v>515.1370045659</x:v>
      </x:c>
      <x:c r="M36" s="31" t="n">
        <x:v>102.2388</x:v>
      </x:c>
      <x:c r="N36" s="24" t="str">
        <x:v>ocypode cursor</x:v>
      </x:c>
      <x:c r="O36" s="32" t="n">
        <x:v>3.02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Ocypode cursor</x:v>
      </x:c>
      <x:c r="T36" s="32" t="n">
        <x:f>IF(O36="","",(1/'Metadata'!$B$5)^(O36-1))</x:f>
        <x:v>104.71285480508996</x:v>
      </x:c>
      <x:c r="U36" s="31" t="n">
        <x:f>IF(T36="","",I36*T36)</x:f>
        <x:v>64647.18298368468</x:v>
      </x:c>
    </x:row>
    <x:row r="37" ht="18" customHeight="1">
      <x:c r="A37" s="24" t="str">
        <x:v>EEZ_120</x:v>
      </x:c>
      <x:c r="B37" s="24" t="str">
        <x:v>Cameroon</x:v>
      </x:c>
      <x:c r="C37" s="24" t="str">
        <x:v>EEZ</x:v>
      </x:c>
      <x:c r="D37" s="30" t="n">
        <x:v>2019</x:v>
      </x:c>
      <x:c r="E37" s="24" t="str">
        <x:v>Istiophoridae</x:v>
      </x:c>
      <x:c r="F37" s="24" t="str">
        <x:v>Billfishes</x:v>
      </x:c>
      <x:c r="G37" s="24" t="str">
        <x:v>Large pelagics (&gt;=90 cm)</x:v>
      </x:c>
      <x:c r="H37" s="24" t="str">
        <x:v>Tuna &amp; billfishes</x:v>
      </x:c>
      <x:c r="I37" s="31" t="n">
        <x:v>599.2526523584</x:v>
      </x:c>
      <x:c r="J37" s="31" t="n">
        <x:v>599.2526523584</x:v>
      </x:c>
      <x:c r="K37" s="31" t="n">
        <x:v>0</x:v>
      </x:c>
      <x:c r="L37" s="31" t="n">
        <x:v>599.2526523584</x:v>
      </x:c>
      <x:c r="M37" s="31" t="n">
        <x:v>0</x:v>
      </x:c>
      <x:c r="N37" s="24" t="str">
        <x:v>istiophoridae</x:v>
      </x:c>
      <x:c r="O37" s="32" t="n">
        <x:v>4.48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Istiophoridae</x:v>
      </x:c>
      <x:c r="T37" s="32" t="n">
        <x:f>IF(O37="","",(1/'Metadata'!$B$5)^(O37-1))</x:f>
        <x:v>3019.951720402019</x:v>
      </x:c>
      <x:c r="U37" s="31" t="n">
        <x:f>IF(T37="","",I37*T37)</x:f>
        <x:v>1809714.0784452232</x:v>
      </x:c>
    </x:row>
    <x:row r="38" ht="18" customHeight="1">
      <x:c r="A38" s="24" t="str">
        <x:v>EEZ_120</x:v>
      </x:c>
      <x:c r="B38" s="24" t="str">
        <x:v>Cameroon</x:v>
      </x:c>
      <x:c r="C38" s="24" t="str">
        <x:v>EEZ</x:v>
      </x:c>
      <x:c r="D38" s="30" t="n">
        <x:v>2019</x:v>
      </x:c>
      <x:c r="E38" s="24" t="str">
        <x:v>Sardinella maderensis</x:v>
      </x:c>
      <x:c r="F38" s="24" t="str">
        <x:v>Madeiran sardinella</x:v>
      </x:c>
      <x:c r="G38" s="24" t="str">
        <x:v>Medium pelagics (30 - 89 cm)</x:v>
      </x:c>
      <x:c r="H38" s="24" t="str">
        <x:v>Herring-likes</x:v>
      </x:c>
      <x:c r="I38" s="31" t="n">
        <x:v>558</x:v>
      </x:c>
      <x:c r="J38" s="31" t="n">
        <x:v>558</x:v>
      </x:c>
      <x:c r="K38" s="31" t="n">
        <x:v>0</x:v>
      </x:c>
      <x:c r="L38" s="31" t="n">
        <x:v>558</x:v>
      </x:c>
      <x:c r="M38" s="31" t="n">
        <x:v>0</x:v>
      </x:c>
      <x:c r="N38" s="24" t="str">
        <x:v>sardinella maderensis</x:v>
      </x:c>
      <x:c r="O38" s="32" t="n">
        <x:v>3.2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Sardinella maderensis</x:v>
      </x:c>
      <x:c r="T38" s="32" t="n">
        <x:f>IF(O38="","",(1/'Metadata'!$B$5)^(O38-1))</x:f>
        <x:v>158.48931924611142</x:v>
      </x:c>
      <x:c r="U38" s="31" t="n">
        <x:f>IF(T38="","",I38*T38)</x:f>
        <x:v>88437.04013933017</x:v>
      </x:c>
    </x:row>
    <x:row r="39" ht="18" customHeight="1">
      <x:c r="A39" s="24" t="str">
        <x:v>EEZ_120</x:v>
      </x:c>
      <x:c r="B39" s="24" t="str">
        <x:v>Cameroon</x:v>
      </x:c>
      <x:c r="C39" s="24" t="str">
        <x:v>EEZ</x:v>
      </x:c>
      <x:c r="D39" s="30" t="n">
        <x:v>2019</x:v>
      </x:c>
      <x:c r="E39" s="24" t="str">
        <x:v>Galeoides decadactylus</x:v>
      </x:c>
      <x:c r="F39" s="24" t="str">
        <x:v>Lesser African threadfin</x:v>
      </x:c>
      <x:c r="G39" s="24" t="str">
        <x:v>Medium demersals (30 - 89 cm)</x:v>
      </x:c>
      <x:c r="H39" s="24" t="str">
        <x:v>Perch-likes</x:v>
      </x:c>
      <x:c r="I39" s="31" t="n">
        <x:v>539.9999999999001</x:v>
      </x:c>
      <x:c r="J39" s="31" t="n">
        <x:v>539.9999999999001</x:v>
      </x:c>
      <x:c r="K39" s="31" t="n">
        <x:v>0</x:v>
      </x:c>
      <x:c r="L39" s="31" t="n">
        <x:v>539.9999999999001</x:v>
      </x:c>
      <x:c r="M39" s="31" t="n">
        <x:v>0</x:v>
      </x:c>
      <x:c r="N39" s="24" t="str">
        <x:v>galeoides decadactylus</x:v>
      </x:c>
      <x:c r="O39" s="32" t="n">
        <x:v>3.57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Galeoides decadactylus</x:v>
      </x:c>
      <x:c r="T39" s="32" t="n">
        <x:f>IF(O39="","",(1/'Metadata'!$B$5)^(O39-1))</x:f>
        <x:v>371.5352290971724</x:v>
      </x:c>
      <x:c r="U39" s="31" t="n">
        <x:f>IF(T39="","",I39*T39)</x:f>
        <x:v>200629.02371243597</x:v>
      </x:c>
    </x:row>
    <x:row r="40" ht="18" customHeight="1">
      <x:c r="A40" s="24" t="str">
        <x:v>EEZ_120</x:v>
      </x:c>
      <x:c r="B40" s="24" t="str">
        <x:v>Cameroon</x:v>
      </x:c>
      <x:c r="C40" s="24" t="str">
        <x:v>EEZ</x:v>
      </x:c>
      <x:c r="D40" s="30" t="n">
        <x:v>2019</x:v>
      </x:c>
      <x:c r="E40" s="24" t="str">
        <x:v>Ilisha africana</x:v>
      </x:c>
      <x:c r="F40" s="24" t="str">
        <x:v>West African ilisha</x:v>
      </x:c>
      <x:c r="G40" s="24" t="str">
        <x:v>Medium pelagics (30 - 89 cm)</x:v>
      </x:c>
      <x:c r="H40" s="24" t="str">
        <x:v>Herring-likes</x:v>
      </x:c>
      <x:c r="I40" s="31" t="n">
        <x:v>530</x:v>
      </x:c>
      <x:c r="J40" s="31" t="n">
        <x:v>530</x:v>
      </x:c>
      <x:c r="K40" s="31" t="n">
        <x:v>0</x:v>
      </x:c>
      <x:c r="L40" s="31" t="n">
        <x:v>530</x:v>
      </x:c>
      <x:c r="M40" s="31" t="n">
        <x:v>0</x:v>
      </x:c>
      <x:c r="N40" s="24" t="str">
        <x:v>ilisha africana</x:v>
      </x:c>
      <x:c r="O40" s="32" t="n">
        <x:v>3.59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Ilisha africana</x:v>
      </x:c>
      <x:c r="T40" s="32" t="n">
        <x:f>IF(O40="","",(1/'Metadata'!$B$5)^(O40-1))</x:f>
        <x:v>389.04514499428046</x:v>
      </x:c>
      <x:c r="U40" s="31" t="n">
        <x:f>IF(T40="","",I40*T40)</x:f>
        <x:v>206193.92684696865</x:v>
      </x:c>
    </x:row>
    <x:row r="41" ht="18" customHeight="1">
      <x:c r="A41" s="24" t="str">
        <x:v>EEZ_120</x:v>
      </x:c>
      <x:c r="B41" s="24" t="str">
        <x:v>Cameroon</x:v>
      </x:c>
      <x:c r="C41" s="24" t="str">
        <x:v>EEZ</x:v>
      </x:c>
      <x:c r="D41" s="30" t="n">
        <x:v>2019</x:v>
      </x:c>
      <x:c r="E41" s="24" t="str">
        <x:v>Lethrinus atlanticus</x:v>
      </x:c>
      <x:c r="F41" s="24" t="str">
        <x:v>Atlantic emperor</x:v>
      </x:c>
      <x:c r="G41" s="24" t="str">
        <x:v>Medium reef assoc. fish (30 - 89 cm)</x:v>
      </x:c>
      <x:c r="H41" s="24" t="str">
        <x:v>Perch-likes</x:v>
      </x:c>
      <x:c r="I41" s="31" t="n">
        <x:v>516</x:v>
      </x:c>
      <x:c r="J41" s="31" t="n">
        <x:v>516</x:v>
      </x:c>
      <x:c r="K41" s="31" t="n">
        <x:v>0</x:v>
      </x:c>
      <x:c r="L41" s="31" t="n">
        <x:v>516</x:v>
      </x:c>
      <x:c r="M41" s="31" t="n">
        <x:v>0</x:v>
      </x:c>
      <x:c r="N41" s="24" t="str">
        <x:v>lethrinus atlanticus</x:v>
      </x:c>
      <x:c r="O41" s="32" t="n">
        <x:v>3.54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Lethrinus atlanticus</x:v>
      </x:c>
      <x:c r="T41" s="32" t="n">
        <x:f>IF(O41="","",(1/'Metadata'!$B$5)^(O41-1))</x:f>
        <x:v>346.73685045253166</x:v>
      </x:c>
      <x:c r="U41" s="31" t="n">
        <x:f>IF(T41="","",I41*T41)</x:f>
        <x:v>178916.21483350632</x:v>
      </x:c>
    </x:row>
    <x:row r="42" ht="18" customHeight="1">
      <x:c r="A42" s="24" t="str">
        <x:v>EEZ_120</x:v>
      </x:c>
      <x:c r="B42" s="24" t="str">
        <x:v>Cameroon</x:v>
      </x:c>
      <x:c r="C42" s="24" t="str">
        <x:v>EEZ</x:v>
      </x:c>
      <x:c r="D42" s="30" t="n">
        <x:v>2019</x:v>
      </x:c>
      <x:c r="E42" s="24" t="str">
        <x:v>Pomadasys jubelini</x:v>
      </x:c>
      <x:c r="F42" s="24" t="str">
        <x:v>Sompat grunt</x:v>
      </x:c>
      <x:c r="G42" s="24" t="str">
        <x:v>Medium demersals (30 - 89 cm)</x:v>
      </x:c>
      <x:c r="H42" s="24" t="str">
        <x:v>Perch-likes</x:v>
      </x:c>
      <x:c r="I42" s="31" t="n">
        <x:v>365</x:v>
      </x:c>
      <x:c r="J42" s="31" t="n">
        <x:v>365</x:v>
      </x:c>
      <x:c r="K42" s="31" t="n">
        <x:v>0</x:v>
      </x:c>
      <x:c r="L42" s="31" t="n">
        <x:v>365</x:v>
      </x:c>
      <x:c r="M42" s="31" t="n">
        <x:v>0</x:v>
      </x:c>
      <x:c r="N42" s="24" t="str">
        <x:v>pomadasys jubelini</x:v>
      </x:c>
      <x:c r="O42" s="32" t="n">
        <x:v>3.33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Pomadasys jubelini</x:v>
      </x:c>
      <x:c r="T42" s="32" t="n">
        <x:f>IF(O42="","",(1/'Metadata'!$B$5)^(O42-1))</x:f>
        <x:v>213.79620895022325</x:v>
      </x:c>
      <x:c r="U42" s="31" t="n">
        <x:f>IF(T42="","",I42*T42)</x:f>
        <x:v>78035.61626683148</x:v>
      </x:c>
    </x:row>
    <x:row r="43" ht="18" customHeight="1">
      <x:c r="A43" s="24" t="str">
        <x:v>EEZ_120</x:v>
      </x:c>
      <x:c r="B43" s="24" t="str">
        <x:v>Cameroon</x:v>
      </x:c>
      <x:c r="C43" s="24" t="str">
        <x:v>EEZ</x:v>
      </x:c>
      <x:c r="D43" s="30" t="n">
        <x:v>2019</x:v>
      </x:c>
      <x:c r="E43" s="24" t="str">
        <x:v>Pentanemus quinquarius</x:v>
      </x:c>
      <x:c r="F43" s="24" t="str">
        <x:v>Royal threadfin</x:v>
      </x:c>
      <x:c r="G43" s="24" t="str">
        <x:v>Small demersals (&lt;30 cm)</x:v>
      </x:c>
      <x:c r="H43" s="24" t="str">
        <x:v>Perch-likes</x:v>
      </x:c>
      <x:c r="I43" s="31" t="n">
        <x:v>219.99999999989998</x:v>
      </x:c>
      <x:c r="J43" s="31" t="n">
        <x:v>219.99999999989998</x:v>
      </x:c>
      <x:c r="K43" s="31" t="n">
        <x:v>0</x:v>
      </x:c>
      <x:c r="L43" s="31" t="n">
        <x:v>219.99999999989998</x:v>
      </x:c>
      <x:c r="M43" s="31" t="n">
        <x:v>0</x:v>
      </x:c>
      <x:c r="N43" s="24" t="str">
        <x:v>pentanemus quinquarius</x:v>
      </x:c>
      <x:c r="O43" s="32" t="n">
        <x:v>3.56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Pentanemus quinquarius</x:v>
      </x:c>
      <x:c r="T43" s="32" t="n">
        <x:f>IF(O43="","",(1/'Metadata'!$B$5)^(O43-1))</x:f>
        <x:v>363.0780547701014</x:v>
      </x:c>
      <x:c r="U43" s="31" t="n">
        <x:f>IF(T43="","",I43*T43)</x:f>
        <x:v>79877.17204938599</x:v>
      </x:c>
    </x:row>
    <x:row r="44" ht="18" customHeight="1">
      <x:c r="A44" s="24" t="str">
        <x:v>EEZ_120</x:v>
      </x:c>
      <x:c r="B44" s="24" t="str">
        <x:v>Cameroon</x:v>
      </x:c>
      <x:c r="C44" s="24" t="str">
        <x:v>EEZ</x:v>
      </x:c>
      <x:c r="D44" s="30" t="n">
        <x:v>2019</x:v>
      </x:c>
      <x:c r="E44" s="24" t="str">
        <x:v>Caranx hippos</x:v>
      </x:c>
      <x:c r="F44" s="24" t="str">
        <x:v>Crevalle jack</x:v>
      </x:c>
      <x:c r="G44" s="24" t="str">
        <x:v>Large reef assoc. fish (&gt;=90 cm)</x:v>
      </x:c>
      <x:c r="H44" s="24" t="str">
        <x:v>Perch-likes</x:v>
      </x:c>
      <x:c r="I44" s="31" t="n">
        <x:v>179</x:v>
      </x:c>
      <x:c r="J44" s="31" t="n">
        <x:v>179</x:v>
      </x:c>
      <x:c r="K44" s="31" t="n">
        <x:v>0</x:v>
      </x:c>
      <x:c r="L44" s="31" t="n">
        <x:v>179</x:v>
      </x:c>
      <x:c r="M44" s="31" t="n">
        <x:v>0</x:v>
      </x:c>
      <x:c r="N44" s="24" t="str">
        <x:v>caranx hippos</x:v>
      </x:c>
      <x:c r="O44" s="32" t="n">
        <x:v>3.56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Caranx hippos</x:v>
      </x:c>
      <x:c r="T44" s="32" t="n">
        <x:f>IF(O44="","",(1/'Metadata'!$B$5)^(O44-1))</x:f>
        <x:v>363.0780547701014</x:v>
      </x:c>
      <x:c r="U44" s="31" t="n">
        <x:f>IF(T44="","",I44*T44)</x:f>
        <x:v>64990.97180384815</x:v>
      </x:c>
    </x:row>
    <x:row r="45" ht="18" customHeight="1">
      <x:c r="A45" s="24" t="str">
        <x:v>EEZ_120</x:v>
      </x:c>
      <x:c r="B45" s="24" t="str">
        <x:v>Cameroon</x:v>
      </x:c>
      <x:c r="C45" s="24" t="str">
        <x:v>EEZ</x:v>
      </x:c>
      <x:c r="D45" s="30" t="n">
        <x:v>2019</x:v>
      </x:c>
      <x:c r="E45" s="24" t="str">
        <x:v>Sardinella aurita</x:v>
      </x:c>
      <x:c r="F45" s="24" t="str">
        <x:v>Round sardinella</x:v>
      </x:c>
      <x:c r="G45" s="24" t="str">
        <x:v>Small pelagics (&lt;30 cm)</x:v>
      </x:c>
      <x:c r="H45" s="24" t="str">
        <x:v>Herring-likes</x:v>
      </x:c>
      <x:c r="I45" s="31" t="n">
        <x:v>159</x:v>
      </x:c>
      <x:c r="J45" s="31" t="n">
        <x:v>159</x:v>
      </x:c>
      <x:c r="K45" s="31" t="n">
        <x:v>0</x:v>
      </x:c>
      <x:c r="L45" s="31" t="n">
        <x:v>159</x:v>
      </x:c>
      <x:c r="M45" s="31" t="n">
        <x:v>0</x:v>
      </x:c>
      <x:c r="N45" s="24" t="str">
        <x:v>sardinella aurita</x:v>
      </x:c>
      <x:c r="O45" s="32" t="n">
        <x:v>3.4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Sardinella aurita</x:v>
      </x:c>
      <x:c r="T45" s="32" t="n">
        <x:f>IF(O45="","",(1/'Metadata'!$B$5)^(O45-1))</x:f>
        <x:v>251.18864315095797</x:v>
      </x:c>
      <x:c r="U45" s="31" t="n">
        <x:f>IF(T45="","",I45*T45)</x:f>
        <x:v>39938.99426100232</x:v>
      </x:c>
    </x:row>
    <x:row r="46" ht="18" customHeight="1">
      <x:c r="A46" s="24" t="str">
        <x:v>EEZ_120</x:v>
      </x:c>
      <x:c r="B46" s="24" t="str">
        <x:v>Cameroon</x:v>
      </x:c>
      <x:c r="C46" s="24" t="str">
        <x:v>EEZ</x:v>
      </x:c>
      <x:c r="D46" s="30" t="n">
        <x:v>2019</x:v>
      </x:c>
      <x:c r="E46" s="24" t="str">
        <x:v>Elasmobranchii</x:v>
      </x:c>
      <x:c r="F46" s="24" t="str">
        <x:v>Sharks, rays, skates</x:v>
      </x:c>
      <x:c r="G46" s="24" t="str">
        <x:v>Large sharks (&gt;=90 cm)</x:v>
      </x:c>
      <x:c r="H46" s="24" t="str">
        <x:v>Sharks &amp; rays</x:v>
      </x:c>
      <x:c r="I46" s="31" t="n">
        <x:v>89.86000000000001</x:v>
      </x:c>
      <x:c r="J46" s="31" t="n">
        <x:v>89.86000000000001</x:v>
      </x:c>
      <x:c r="K46" s="31" t="n">
        <x:v>0</x:v>
      </x:c>
      <x:c r="L46" s="31" t="n">
        <x:v>89.86000000000001</x:v>
      </x:c>
      <x:c r="M46" s="31" t="n">
        <x:v>0</x:v>
      </x:c>
      <x:c r="N46" s="24" t="str">
        <x:v>elasmobranchii</x:v>
      </x:c>
      <x:c r="O46" s="32" t="n">
        <x:v>4.05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Elasmobranchii</x:v>
      </x:c>
      <x:c r="T46" s="32" t="n">
        <x:f>IF(O46="","",(1/'Metadata'!$B$5)^(O46-1))</x:f>
        <x:v>1122.018454301963</x:v>
      </x:c>
      <x:c r="U46" s="31" t="n">
        <x:f>IF(T46="","",I46*T46)</x:f>
        <x:v>100824.57830357441</x:v>
      </x:c>
    </x:row>
    <x:row r="47" ht="18" customHeight="1">
      <x:c r="A47" s="24" t="str">
        <x:v>EEZ_120</x:v>
      </x:c>
      <x:c r="B47" s="24" t="str">
        <x:v>Cameroon</x:v>
      </x:c>
      <x:c r="C47" s="24" t="str">
        <x:v>EEZ</x:v>
      </x:c>
      <x:c r="D47" s="30" t="n">
        <x:v>2019</x:v>
      </x:c>
      <x:c r="E47" s="24" t="str">
        <x:v>Umbrina canariensis</x:v>
      </x:c>
      <x:c r="F47" s="24" t="str">
        <x:v>Canary drum</x:v>
      </x:c>
      <x:c r="G47" s="24" t="str">
        <x:v>Medium demersals (30 - 89 cm)</x:v>
      </x:c>
      <x:c r="H47" s="24" t="str">
        <x:v>Perch-likes</x:v>
      </x:c>
      <x:c r="I47" s="31" t="n">
        <x:v>87.2551892575</x:v>
      </x:c>
      <x:c r="J47" s="31" t="n">
        <x:v>81.3351362575</x:v>
      </x:c>
      <x:c r="K47" s="31" t="n">
        <x:v>5.920053</x:v>
      </x:c>
      <x:c r="L47" s="31" t="n">
        <x:v>70</x:v>
      </x:c>
      <x:c r="M47" s="31" t="n">
        <x:v>17.2551892575</x:v>
      </x:c>
      <x:c r="N47" s="24" t="str">
        <x:v>umbrina canariensis</x:v>
      </x:c>
      <x:c r="O47" s="32" t="n">
        <x:v>3.37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Umbrina canariensis</x:v>
      </x:c>
      <x:c r="T47" s="32" t="n">
        <x:f>IF(O47="","",(1/'Metadata'!$B$5)^(O47-1))</x:f>
        <x:v>234.42288153199226</x:v>
      </x:c>
      <x:c r="U47" s="31" t="n">
        <x:f>IF(T47="","",I47*T47)</x:f>
        <x:v>20454.612894362486</x:v>
      </x:c>
    </x:row>
    <x:row r="48" ht="18" customHeight="1">
      <x:c r="A48" s="24" t="str">
        <x:v>EEZ_120</x:v>
      </x:c>
      <x:c r="B48" s="24" t="str">
        <x:v>Cameroon</x:v>
      </x:c>
      <x:c r="C48" s="24" t="str">
        <x:v>EEZ</x:v>
      </x:c>
      <x:c r="D48" s="30" t="n">
        <x:v>2019</x:v>
      </x:c>
      <x:c r="E48" s="24" t="str">
        <x:v>Polydactylus quadrifilis</x:v>
      </x:c>
      <x:c r="F48" s="24" t="str">
        <x:v>Giant African threadfin</x:v>
      </x:c>
      <x:c r="G48" s="24" t="str">
        <x:v>Large demersals (&gt;=90 cm)</x:v>
      </x:c>
      <x:c r="H48" s="24" t="str">
        <x:v>Perch-likes</x:v>
      </x:c>
      <x:c r="I48" s="31" t="n">
        <x:v>80.0013353444</x:v>
      </x:c>
      <x:c r="J48" s="31" t="n">
        <x:v>52.5538153444</x:v>
      </x:c>
      <x:c r="K48" s="31" t="n">
        <x:v>27.44752</x:v>
      </x:c>
      <x:c r="L48" s="31" t="n">
        <x:v>0</x:v>
      </x:c>
      <x:c r="M48" s="31" t="n">
        <x:v>80.0013353444</x:v>
      </x:c>
      <x:c r="N48" s="24" t="str">
        <x:v>polydactylus quadrifilis</x:v>
      </x:c>
      <x:c r="O48" s="32" t="n">
        <x:v>4.01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Polydactylus quadrifilis</x:v>
      </x:c>
      <x:c r="T48" s="32" t="n">
        <x:f>IF(O48="","",(1/'Metadata'!$B$5)^(O48-1))</x:f>
        <x:v>1023.2929922807537</x:v>
      </x:c>
      <x:c r="U48" s="31" t="n">
        <x:f>IF(T48="","",I48*T48)</x:f>
        <x:v>81864.8058310271</x:v>
      </x:c>
    </x:row>
    <x:row r="49" ht="18" customHeight="1">
      <x:c r="A49" s="24" t="str">
        <x:v>EEZ_120</x:v>
      </x:c>
      <x:c r="B49" s="24" t="str">
        <x:v>Cameroon</x:v>
      </x:c>
      <x:c r="C49" s="24" t="str">
        <x:v>EEZ</x:v>
      </x:c>
      <x:c r="D49" s="30" t="n">
        <x:v>2019</x:v>
      </x:c>
      <x:c r="E49" s="24" t="str">
        <x:v>Cynoglossus</x:v>
      </x:c>
      <x:c r="F49" s="24" t="str">
        <x:v>Tonguesoles</x:v>
      </x:c>
      <x:c r="G49" s="24" t="str">
        <x:v>Small to medium flatfishes (&lt;90 cm)</x:v>
      </x:c>
      <x:c r="H49" s="24" t="str">
        <x:v>Flatfishes</x:v>
      </x:c>
      <x:c r="I49" s="31" t="n">
        <x:v>72.1580872775</x:v>
      </x:c>
      <x:c r="J49" s="31" t="n">
        <x:v>47.4014972775</x:v>
      </x:c>
      <x:c r="K49" s="31" t="n">
        <x:v>24.75659</x:v>
      </x:c>
      <x:c r="L49" s="31" t="n">
        <x:v>0</x:v>
      </x:c>
      <x:c r="M49" s="31" t="n">
        <x:v>72.1580872775</x:v>
      </x:c>
      <x:c r="N49" s="24" t="str">
        <x:v>cynoglossus</x:v>
      </x:c>
      <x:c r="O49" s="32" t="n">
        <x:v>3.36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Cynoglossus</x:v>
      </x:c>
      <x:c r="T49" s="32" t="n">
        <x:f>IF(O49="","",(1/'Metadata'!$B$5)^(O49-1))</x:f>
        <x:v>229.08676527677724</x:v>
      </x:c>
      <x:c r="U49" s="31" t="n">
        <x:f>IF(T49="","",I49*T49)</x:f>
        <x:v>16530.46280296185</x:v>
      </x:c>
    </x:row>
    <x:row r="50" ht="18" customHeight="1">
      <x:c r="A50" s="24" t="str">
        <x:v>EEZ_120</x:v>
      </x:c>
      <x:c r="B50" s="24" t="str">
        <x:v>Cameroon</x:v>
      </x:c>
      <x:c r="C50" s="24" t="str">
        <x:v>EEZ</x:v>
      </x:c>
      <x:c r="D50" s="30" t="n">
        <x:v>2019</x:v>
      </x:c>
      <x:c r="E50" s="24" t="str">
        <x:v>Sarda sarda</x:v>
      </x:c>
      <x:c r="F50" s="24" t="str">
        <x:v>Atlantic bonito</x:v>
      </x:c>
      <x:c r="G50" s="24" t="str">
        <x:v>Medium pelagics (30 - 89 cm)</x:v>
      </x:c>
      <x:c r="H50" s="24" t="str">
        <x:v>Tuna &amp; billfishes</x:v>
      </x:c>
      <x:c r="I50" s="31" t="n">
        <x:v>63.7559022222</x:v>
      </x:c>
      <x:c r="J50" s="31" t="n">
        <x:v>63.7559022222</x:v>
      </x:c>
      <x:c r="K50" s="31" t="n">
        <x:v>0</x:v>
      </x:c>
      <x:c r="L50" s="31" t="n">
        <x:v>63.7559022222</x:v>
      </x:c>
      <x:c r="M50" s="31" t="n">
        <x:v>0</x:v>
      </x:c>
      <x:c r="N50" s="24" t="str">
        <x:v>sarda sarda</x:v>
      </x:c>
      <x:c r="O50" s="32" t="n">
        <x:v>4.5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Sarda sarda</x:v>
      </x:c>
      <x:c r="T50" s="32" t="n">
        <x:f>IF(O50="","",(1/'Metadata'!$B$5)^(O50-1))</x:f>
        <x:v>3162.2776601683795</x:v>
      </x:c>
      <x:c r="U50" s="31" t="n">
        <x:f>IF(T50="","",I50*T50)</x:f>
        <x:v>201613.8653011426</x:v>
      </x:c>
    </x:row>
    <x:row r="51" ht="18" customHeight="1">
      <x:c r="A51" s="24" t="str">
        <x:v>EEZ_120</x:v>
      </x:c>
      <x:c r="B51" s="24" t="str">
        <x:v>Cameroon</x:v>
      </x:c>
      <x:c r="C51" s="24" t="str">
        <x:v>EEZ</x:v>
      </x:c>
      <x:c r="D51" s="30" t="n">
        <x:v>2019</x:v>
      </x:c>
      <x:c r="E51" s="24" t="str">
        <x:v>Raja</x:v>
      </x:c>
      <x:c r="F51" s="24" t="str">
        <x:v>Stingrays, skates</x:v>
      </x:c>
      <x:c r="G51" s="24" t="str">
        <x:v>Small to medium rays (&lt;90 cm)</x:v>
      </x:c>
      <x:c r="H51" s="24" t="str">
        <x:v>Sharks &amp; rays</x:v>
      </x:c>
      <x:c r="I51" s="31" t="n">
        <x:v>42.3536545819</x:v>
      </x:c>
      <x:c r="J51" s="31" t="n">
        <x:v>27.8226145819</x:v>
      </x:c>
      <x:c r="K51" s="31" t="n">
        <x:v>14.53104</x:v>
      </x:c>
      <x:c r="L51" s="31" t="n">
        <x:v>0</x:v>
      </x:c>
      <x:c r="M51" s="31" t="n">
        <x:v>42.3536545819</x:v>
      </x:c>
      <x:c r="N51" s="24" t="str">
        <x:v>raja</x:v>
      </x:c>
      <x:c r="O51" s="32" t="n">
        <x:v>3.8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Raja</x:v>
      </x:c>
      <x:c r="T51" s="32" t="n">
        <x:f>IF(O51="","",(1/'Metadata'!$B$5)^(O51-1))</x:f>
        <x:v>630.957344480193</x:v>
      </x:c>
      <x:c r="U51" s="31" t="n">
        <x:f>IF(T51="","",I51*T51)</x:f>
        <x:v>26723.349424026983</x:v>
      </x:c>
    </x:row>
    <x:row r="52" ht="18" customHeight="1">
      <x:c r="A52" s="24" t="str">
        <x:v>EEZ_120</x:v>
      </x:c>
      <x:c r="B52" s="24" t="str">
        <x:v>Cameroon</x:v>
      </x:c>
      <x:c r="C52" s="24" t="str">
        <x:v>EEZ</x:v>
      </x:c>
      <x:c r="D52" s="30" t="n">
        <x:v>2019</x:v>
      </x:c>
      <x:c r="E52" s="24" t="str">
        <x:v>Penaeidae</x:v>
      </x:c>
      <x:c r="F52" s="24" t="str">
        <x:v>Commercial shrimps and prawns</x:v>
      </x:c>
      <x:c r="G52" s="24" t="str">
        <x:v>Shrimps</x:v>
      </x:c>
      <x:c r="H52" s="24" t="str">
        <x:v>Crustaceans</x:v>
      </x:c>
      <x:c r="I52" s="31" t="n">
        <x:v>28.2357665719</x:v>
      </x:c>
      <x:c r="J52" s="31" t="n">
        <x:v>18.5484065719</x:v>
      </x:c>
      <x:c r="K52" s="31" t="n">
        <x:v>9.68736</x:v>
      </x:c>
      <x:c r="L52" s="31" t="n">
        <x:v>0</x:v>
      </x:c>
      <x:c r="M52" s="31" t="n">
        <x:v>28.2357665719</x:v>
      </x:c>
      <x:c r="N52" s="24" t="str">
        <x:v>penaeidae</x:v>
      </x:c>
      <x:c r="O52" s="32" t="n">
        <x:v>3.31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Penaeidae</x:v>
      </x:c>
      <x:c r="T52" s="32" t="n">
        <x:f>IF(O52="","",(1/'Metadata'!$B$5)^(O52-1))</x:f>
        <x:v>204.17379446695296</x:v>
      </x:c>
      <x:c r="U52" s="31" t="n">
        <x:f>IF(T52="","",I52*T52)</x:f>
        <x:v>5765.003600667972</x:v>
      </x:c>
    </x:row>
    <x:row r="53" ht="18" customHeight="1">
      <x:c r="A53" s="24" t="str">
        <x:v>EEZ_120</x:v>
      </x:c>
      <x:c r="B53" s="24" t="str">
        <x:v>Cameroon</x:v>
      </x:c>
      <x:c r="C53" s="24" t="str">
        <x:v>EEZ</x:v>
      </x:c>
      <x:c r="D53" s="30" t="n">
        <x:v>2019</x:v>
      </x:c>
      <x:c r="E53" s="24" t="str">
        <x:v>Trachurus</x:v>
      </x:c>
      <x:c r="F53" s="24" t="str">
        <x:v>Jacks, horse mackerels</x:v>
      </x:c>
      <x:c r="G53" s="24" t="str">
        <x:v>Medium pelagics (30 - 89 cm)</x:v>
      </x:c>
      <x:c r="H53" s="24" t="str">
        <x:v>Perch-likes</x:v>
      </x:c>
      <x:c r="I53" s="31" t="n">
        <x:v>23</x:v>
      </x:c>
      <x:c r="J53" s="31" t="n">
        <x:v>23</x:v>
      </x:c>
      <x:c r="K53" s="31" t="n">
        <x:v>0</x:v>
      </x:c>
      <x:c r="L53" s="31" t="n">
        <x:v>23</x:v>
      </x:c>
      <x:c r="M53" s="31" t="n">
        <x:v>0</x:v>
      </x:c>
      <x:c r="N53" s="24" t="str">
        <x:v>trachurus</x:v>
      </x:c>
      <x:c r="O53" s="32" t="n">
        <x:v>3.69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Trachurus</x:v>
      </x:c>
      <x:c r="T53" s="32" t="n">
        <x:f>IF(O53="","",(1/'Metadata'!$B$5)^(O53-1))</x:f>
        <x:v>489.77881936844614</x:v>
      </x:c>
      <x:c r="U53" s="31" t="n">
        <x:f>IF(T53="","",I53*T53)</x:f>
        <x:v>11264.91284547426</x:v>
      </x:c>
    </x:row>
    <x:row r="54" ht="18" customHeight="1">
      <x:c r="A54" s="24" t="str">
        <x:v>EEZ_120</x:v>
      </x:c>
      <x:c r="B54" s="24" t="str">
        <x:v>Cameroon</x:v>
      </x:c>
      <x:c r="C54" s="24" t="str">
        <x:v>EEZ</x:v>
      </x:c>
      <x:c r="D54" s="30" t="n">
        <x:v>2019</x:v>
      </x:c>
      <x:c r="E54" s="24" t="str">
        <x:v>Sparidae</x:v>
      </x:c>
      <x:c r="F54" s="24" t="str">
        <x:v>Porgies, seabreams</x:v>
      </x:c>
      <x:c r="G54" s="24" t="str">
        <x:v>Medium benthopelagics (30 - 89 cm)</x:v>
      </x:c>
      <x:c r="H54" s="24" t="str">
        <x:v>Perch-likes</x:v>
      </x:c>
      <x:c r="I54" s="31" t="n">
        <x:v>16.1200000001</x:v>
      </x:c>
      <x:c r="J54" s="31" t="n">
        <x:v>16.1200000001</x:v>
      </x:c>
      <x:c r="K54" s="31" t="n">
        <x:v>0</x:v>
      </x:c>
      <x:c r="L54" s="31" t="n">
        <x:v>16.1200000001</x:v>
      </x:c>
      <x:c r="M54" s="31" t="n">
        <x:v>0</x:v>
      </x:c>
      <x:c r="N54" s="24" t="str">
        <x:v>sparidae</x:v>
      </x:c>
      <x:c r="O54" s="32" t="n">
        <x:v>3.31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Sparidae</x:v>
      </x:c>
      <x:c r="T54" s="32" t="n">
        <x:f>IF(O54="","",(1/'Metadata'!$B$5)^(O54-1))</x:f>
        <x:v>204.17379446695296</x:v>
      </x:c>
      <x:c r="U54" s="31" t="n">
        <x:f>IF(T54="","",I54*T54)</x:f>
        <x:v>3291.281566827699</x:v>
      </x:c>
    </x:row>
    <x:row r="55" ht="18" customHeight="1">
      <x:c r="A55" s="24" t="str">
        <x:v>EEZ_120</x:v>
      </x:c>
      <x:c r="B55" s="24" t="str">
        <x:v>Cameroon</x:v>
      </x:c>
      <x:c r="C55" s="24" t="str">
        <x:v>EEZ</x:v>
      </x:c>
      <x:c r="D55" s="30" t="n">
        <x:v>2019</x:v>
      </x:c>
      <x:c r="E55" s="24" t="str">
        <x:v>Lichia amia</x:v>
      </x:c>
      <x:c r="F55" s="24" t="str">
        <x:v>Leerfish</x:v>
      </x:c>
      <x:c r="G55" s="24" t="str">
        <x:v>Large pelagics (&gt;=90 cm)</x:v>
      </x:c>
      <x:c r="H55" s="24" t="str">
        <x:v>Perch-likes</x:v>
      </x:c>
      <x:c r="I55" s="31" t="n">
        <x:v>5</x:v>
      </x:c>
      <x:c r="J55" s="31" t="n">
        <x:v>5</x:v>
      </x:c>
      <x:c r="K55" s="31" t="n">
        <x:v>0</x:v>
      </x:c>
      <x:c r="L55" s="31" t="n">
        <x:v>5</x:v>
      </x:c>
      <x:c r="M55" s="31" t="n">
        <x:v>0</x:v>
      </x:c>
      <x:c r="N55" s="24" t="str">
        <x:v>lichia amia</x:v>
      </x:c>
      <x:c r="O55" s="32" t="n">
        <x:v>4.5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Lichia amia</x:v>
      </x:c>
      <x:c r="T55" s="32" t="n">
        <x:f>IF(O55="","",(1/'Metadata'!$B$5)^(O55-1))</x:f>
        <x:v>3162.2776601683795</x:v>
      </x:c>
      <x:c r="U55" s="31" t="n">
        <x:f>IF(T55="","",I55*T55)</x:f>
        <x:v>15811.388300841898</x:v>
      </x:c>
    </x:row>
    <x:row r="56" ht="18" customHeight="1">
      <x:c r="A56" s="24" t="str">
        <x:v>EEZ_120</x:v>
      </x:c>
      <x:c r="B56" s="24" t="str">
        <x:v>Cameroon</x:v>
      </x:c>
      <x:c r="C56" s="24" t="str">
        <x:v>EEZ</x:v>
      </x:c>
      <x:c r="D56" s="30" t="n">
        <x:v>2019</x:v>
      </x:c>
      <x:c r="E56" s="24" t="str">
        <x:v>Euthynnus alletteratus</x:v>
      </x:c>
      <x:c r="F56" s="24" t="str">
        <x:v>Little tunny </x:v>
      </x:c>
      <x:c r="G56" s="24" t="str">
        <x:v>Large pelagics (&gt;=90 cm)</x:v>
      </x:c>
      <x:c r="H56" s="24" t="str">
        <x:v>Tuna &amp; billfishes</x:v>
      </x:c>
      <x:c r="I56" s="31" t="n">
        <x:v>4.2784004437</x:v>
      </x:c>
      <x:c r="J56" s="31" t="n">
        <x:v>4.2784004437</x:v>
      </x:c>
      <x:c r="K56" s="31" t="n">
        <x:v>0</x:v>
      </x:c>
      <x:c r="L56" s="31" t="n">
        <x:v>4.2784004437</x:v>
      </x:c>
      <x:c r="M56" s="31" t="n">
        <x:v>0</x:v>
      </x:c>
      <x:c r="N56" s="24" t="str">
        <x:v>euthynnus alletteratus</x:v>
      </x:c>
      <x:c r="O56" s="32" t="n">
        <x:v>4.49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Euthynnus alletteratus</x:v>
      </x:c>
      <x:c r="T56" s="32" t="n">
        <x:f>IF(O56="","",(1/'Metadata'!$B$5)^(O56-1))</x:f>
        <x:v>3090.295432513592</x:v>
      </x:c>
      <x:c r="U56" s="31" t="n">
        <x:f>IF(T56="","",I56*T56)</x:f>
        <x:v>13221.521349630235</x:v>
      </x:c>
    </x:row>
    <x:row r="57" ht="18" customHeight="1">
      <x:c r="A57" s="24" t="str">
        <x:v>EEZ_120</x:v>
      </x:c>
      <x:c r="B57" s="24" t="str">
        <x:v>Cameroon</x:v>
      </x:c>
      <x:c r="C57" s="24" t="str">
        <x:v>EEZ</x:v>
      </x:c>
      <x:c r="D57" s="30" t="n">
        <x:v>2019</x:v>
      </x:c>
      <x:c r="E57" s="24" t="str">
        <x:v>Prionace glauca</x:v>
      </x:c>
      <x:c r="F57" s="24" t="str">
        <x:v>Blue shark</x:v>
      </x:c>
      <x:c r="G57" s="24" t="str">
        <x:v>Large sharks (&gt;=90 cm)</x:v>
      </x:c>
      <x:c r="H57" s="24" t="str">
        <x:v>Sharks &amp; rays</x:v>
      </x:c>
      <x:c r="I57" s="31" t="n">
        <x:v>1.5112631112000001</x:v>
      </x:c>
      <x:c r="J57" s="31" t="n">
        <x:v>1.5112631112000001</x:v>
      </x:c>
      <x:c r="K57" s="31" t="n">
        <x:v>0</x:v>
      </x:c>
      <x:c r="L57" s="31" t="n">
        <x:v>1.5112631112000001</x:v>
      </x:c>
      <x:c r="M57" s="31" t="n">
        <x:v>0</x:v>
      </x:c>
      <x:c r="N57" s="24" t="str">
        <x:v>prionace glauca</x:v>
      </x:c>
      <x:c r="O57" s="32" t="n">
        <x:v>4.35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Prionace glauca</x:v>
      </x:c>
      <x:c r="T57" s="32" t="n">
        <x:f>IF(O57="","",(1/'Metadata'!$B$5)^(O57-1))</x:f>
        <x:v>2238.7211385683377</x:v>
      </x:c>
      <x:c r="U57" s="31" t="n">
        <x:f>IF(T57="","",I57*T57)</x:f>
        <x:v>3383.2966729819927</x:v>
      </x:c>
    </x:row>
    <x:row r="58" ht="18" customHeight="1">
      <x:c r="A58" s="24" t="str">
        <x:v>EEZ_120</x:v>
      </x:c>
      <x:c r="B58" s="24" t="str">
        <x:v>Cameroon</x:v>
      </x:c>
      <x:c r="C58" s="24" t="str">
        <x:v>EEZ</x:v>
      </x:c>
      <x:c r="D58" s="30" t="n">
        <x:v>2019</x:v>
      </x:c>
      <x:c r="E58" s="24" t="str">
        <x:v>Stromateus fiatola</x:v>
      </x:c>
      <x:c r="F58" s="24" t="str">
        <x:v>Blue butterfish</x:v>
      </x:c>
      <x:c r="G58" s="24" t="str">
        <x:v>Medium benthopelagics (30 - 89 cm)</x:v>
      </x:c>
      <x:c r="H58" s="24" t="str">
        <x:v>Perch-likes</x:v>
      </x:c>
      <x:c r="I58" s="31" t="n">
        <x:v>1</x:v>
      </x:c>
      <x:c r="J58" s="31" t="n">
        <x:v>1</x:v>
      </x:c>
      <x:c r="K58" s="31" t="n">
        <x:v>0</x:v>
      </x:c>
      <x:c r="L58" s="31" t="n">
        <x:v>1</x:v>
      </x:c>
      <x:c r="M58" s="31" t="n">
        <x:v>0</x:v>
      </x:c>
      <x:c r="N58" s="24" t="str">
        <x:v>stromateus fiatola</x:v>
      </x:c>
      <x:c r="O58" s="32" t="n">
        <x:v>4.03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Stromateus fiatola</x:v>
      </x:c>
      <x:c r="T58" s="32" t="n">
        <x:f>IF(O58="","",(1/'Metadata'!$B$5)^(O58-1))</x:f>
        <x:v>1071.519305237607</x:v>
      </x:c>
      <x:c r="U58" s="31" t="n">
        <x:f>IF(T58="","",I58*T58)</x:f>
        <x:v>1071.519305237607</x:v>
      </x:c>
    </x:row>
    <x:row r="59" ht="18" customHeight="1">
      <x:c r="A59" s="24" t="str">
        <x:v>EEZ_120</x:v>
      </x:c>
      <x:c r="B59" s="24" t="str">
        <x:v>Cameroon</x:v>
      </x:c>
      <x:c r="C59" s="24" t="str">
        <x:v>EEZ</x:v>
      </x:c>
      <x:c r="D59" s="30" t="n">
        <x:v>2019</x:v>
      </x:c>
      <x:c r="E59" s="24" t="str">
        <x:v>Thunnus albacares</x:v>
      </x:c>
      <x:c r="F59" s="24" t="str">
        <x:v>Yellowfin tuna</x:v>
      </x:c>
      <x:c r="G59" s="24" t="str">
        <x:v>Large pelagics (&gt;=90 cm)</x:v>
      </x:c>
      <x:c r="H59" s="24" t="str">
        <x:v>Tuna &amp; billfishes</x:v>
      </x:c>
      <x:c r="I59" s="31" t="n">
        <x:v>0.9046933626</x:v>
      </x:c>
      <x:c r="J59" s="31" t="n">
        <x:v>0.9046933626</x:v>
      </x:c>
      <x:c r="K59" s="31" t="n">
        <x:v>0</x:v>
      </x:c>
      <x:c r="L59" s="31" t="n">
        <x:v>0.9046933626</x:v>
      </x:c>
      <x:c r="M59" s="31" t="n">
        <x:v>0</x:v>
      </x:c>
      <x:c r="N59" s="24" t="str">
        <x:v>thunnus albacares</x:v>
      </x:c>
      <x:c r="O59" s="32" t="n">
        <x:v>4.41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Thunnus albacares</x:v>
      </x:c>
      <x:c r="T59" s="32" t="n">
        <x:f>IF(O59="","",(1/'Metadata'!$B$5)^(O59-1))</x:f>
        <x:v>2570.3957827688646</x:v>
      </x:c>
      <x:c r="U59" s="31" t="n">
        <x:f>IF(T59="","",I59*T59)</x:f>
        <x:v>2325.420003926023</x:v>
      </x:c>
    </x:row>
    <x:row r="60" ht="18" customHeight="1">
      <x:c r="A60" s="24" t="str">
        <x:v>EEZ_120</x:v>
      </x:c>
      <x:c r="B60" s="24" t="str">
        <x:v>Cameroon</x:v>
      </x:c>
      <x:c r="C60" s="24" t="str">
        <x:v>EEZ</x:v>
      </x:c>
      <x:c r="D60" s="30" t="n">
        <x:v>2019</x:v>
      </x:c>
      <x:c r="E60" s="24" t="str">
        <x:v>Auxis thazard</x:v>
      </x:c>
      <x:c r="F60" s="24" t="str">
        <x:v>Frigate tuna</x:v>
      </x:c>
      <x:c r="G60" s="24" t="str">
        <x:v>Medium pelagics (30 - 89 cm)</x:v>
      </x:c>
      <x:c r="H60" s="24" t="str">
        <x:v>Tuna &amp; billfishes</x:v>
      </x:c>
      <x:c r="I60" s="31" t="n">
        <x:v>0.5335645524</x:v>
      </x:c>
      <x:c r="J60" s="31" t="n">
        <x:v>0.5335645524</x:v>
      </x:c>
      <x:c r="K60" s="31" t="n">
        <x:v>0</x:v>
      </x:c>
      <x:c r="L60" s="31" t="n">
        <x:v>0.5335645524</x:v>
      </x:c>
      <x:c r="M60" s="31" t="n">
        <x:v>0</x:v>
      </x:c>
      <x:c r="N60" s="24" t="str">
        <x:v>auxis thazard</x:v>
      </x:c>
      <x:c r="O60" s="32" t="n">
        <x:v>4.37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Auxis thazard</x:v>
      </x:c>
      <x:c r="T60" s="32" t="n">
        <x:f>IF(O60="","",(1/'Metadata'!$B$5)^(O60-1))</x:f>
        <x:v>2344.228815319923</x:v>
      </x:c>
      <x:c r="U60" s="31" t="n">
        <x:f>IF(T60="","",I60*T60)</x:f>
        <x:v>1250.797398569357</x:v>
      </x:c>
    </x:row>
    <x:row r="61" ht="18" customHeight="1">
      <x:c r="A61" s="24" t="str">
        <x:v>EEZ_120</x:v>
      </x:c>
      <x:c r="B61" s="24" t="str">
        <x:v>Cameroon</x:v>
      </x:c>
      <x:c r="C61" s="24" t="str">
        <x:v>EEZ</x:v>
      </x:c>
      <x:c r="D61" s="30" t="n">
        <x:v>2019</x:v>
      </x:c>
      <x:c r="E61" s="24" t="str">
        <x:v>Istiophorus albicans</x:v>
      </x:c>
      <x:c r="F61" s="24" t="str">
        <x:v>Atlantic sailfish</x:v>
      </x:c>
      <x:c r="G61" s="24" t="str">
        <x:v>Large pelagics (&gt;=90 cm)</x:v>
      </x:c>
      <x:c r="H61" s="24" t="str">
        <x:v>Tuna &amp; billfishes</x:v>
      </x:c>
      <x:c r="I61" s="31" t="n">
        <x:v>0.2613081543</x:v>
      </x:c>
      <x:c r="J61" s="31" t="n">
        <x:v>0.2613081543</x:v>
      </x:c>
      <x:c r="K61" s="31" t="n">
        <x:v>0</x:v>
      </x:c>
      <x:c r="L61" s="31" t="n">
        <x:v>0.2613081543</x:v>
      </x:c>
      <x:c r="M61" s="31" t="n">
        <x:v>0</x:v>
      </x:c>
      <x:c r="N61" s="24" t="str">
        <x:v>istiophorus albicans</x:v>
      </x:c>
      <x:c r="O61" s="32" t="n">
        <x:v>4.5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Istiophorus albicans</x:v>
      </x:c>
      <x:c r="T61" s="32" t="n">
        <x:f>IF(O61="","",(1/'Metadata'!$B$5)^(O61-1))</x:f>
        <x:v>3162.2776601683795</x:v>
      </x:c>
      <x:c r="U61" s="31" t="n">
        <x:f>IF(T61="","",I61*T61)</x:f>
        <x:v>826.3289387627218</x:v>
      </x:c>
    </x:row>
    <x:row r="62" ht="18" customHeight="1">
      <x:c r="A62" s="24" t="str">
        <x:v>EEZ_120</x:v>
      </x:c>
      <x:c r="B62" s="24" t="str">
        <x:v>Cameroon</x:v>
      </x:c>
      <x:c r="C62" s="24" t="str">
        <x:v>EEZ</x:v>
      </x:c>
      <x:c r="D62" s="30" t="n">
        <x:v>2019</x:v>
      </x:c>
      <x:c r="E62" s="24" t="str">
        <x:v>Cephalopoda</x:v>
      </x:c>
      <x:c r="F62" s="24" t="str">
        <x:v>Squids, cuttlefishes, octopuses</x:v>
      </x:c>
      <x:c r="G62" s="24" t="str">
        <x:v>Cephalopods</x:v>
      </x:c>
      <x:c r="H62" s="24" t="str">
        <x:v>Other fishes &amp; inverts</x:v>
      </x:c>
      <x:c r="I62" s="31" t="n">
        <x:v>0.17</x:v>
      </x:c>
      <x:c r="J62" s="31" t="n">
        <x:v>0.17</x:v>
      </x:c>
      <x:c r="K62" s="31" t="n">
        <x:v>0</x:v>
      </x:c>
      <x:c r="L62" s="31" t="n">
        <x:v>0.17</x:v>
      </x:c>
      <x:c r="M62" s="31" t="n">
        <x:v>0</x:v>
      </x:c>
      <x:c r="N62" s="24" t="str">
        <x:v>cephalopoda</x:v>
      </x:c>
      <x:c r="O62" s="32" t="n">
        <x:v>3.81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Cephalopoda</x:v>
      </x:c>
      <x:c r="T62" s="32" t="n">
        <x:f>IF(O62="","",(1/'Metadata'!$B$5)^(O62-1))</x:f>
        <x:v>645.6542290346556</x:v>
      </x:c>
      <x:c r="U62" s="31" t="n">
        <x:f>IF(T62="","",I62*T62)</x:f>
        <x:v>109.76121893589146</x:v>
      </x:c>
    </x:row>
    <x:row r="63" ht="18" customHeight="1">
      <x:c r="A63" s="24" t="str">
        <x:v>EEZ_120</x:v>
      </x:c>
      <x:c r="B63" s="24" t="str">
        <x:v>Cameroon</x:v>
      </x:c>
      <x:c r="C63" s="24" t="str">
        <x:v>EEZ</x:v>
      </x:c>
      <x:c r="D63" s="30" t="n">
        <x:v>2019</x:v>
      </x:c>
      <x:c r="E63" s="24" t="str">
        <x:v>Katsuwonus pelamis</x:v>
      </x:c>
      <x:c r="F63" s="24" t="str">
        <x:v>Skipjack tuna</x:v>
      </x:c>
      <x:c r="G63" s="24" t="str">
        <x:v>Large pelagics (&gt;=90 cm)</x:v>
      </x:c>
      <x:c r="H63" s="24" t="str">
        <x:v>Tuna &amp; billfishes</x:v>
      </x:c>
      <x:c r="I63" s="31" t="n">
        <x:v>0.1247201066</x:v>
      </x:c>
      <x:c r="J63" s="31" t="n">
        <x:v>0.1247201066</x:v>
      </x:c>
      <x:c r="K63" s="31" t="n">
        <x:v>0</x:v>
      </x:c>
      <x:c r="L63" s="31" t="n">
        <x:v>0.1247201066</x:v>
      </x:c>
      <x:c r="M63" s="31" t="n">
        <x:v>0</x:v>
      </x:c>
      <x:c r="N63" s="24" t="str">
        <x:v>katsuwonus pelamis</x:v>
      </x:c>
      <x:c r="O63" s="32" t="n">
        <x:v>4.43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Katsuwonus pelamis</x:v>
      </x:c>
      <x:c r="T63" s="32" t="n">
        <x:f>IF(O63="","",(1/'Metadata'!$B$5)^(O63-1))</x:f>
        <x:v>2691.534803926914</x:v>
      </x:c>
      <x:c r="U63" s="31" t="n">
        <x:f>IF(T63="","",I63*T63)</x:f>
        <x:v>335.6885076633748</x:v>
      </x:c>
    </x:row>
    <x:row r="64" ht="18" customHeight="1">
      <x:c r="A64" s="24" t="str">
        <x:v>EEZ_120</x:v>
      </x:c>
      <x:c r="B64" s="24" t="str">
        <x:v>Cameroon</x:v>
      </x:c>
      <x:c r="C64" s="24" t="str">
        <x:v>EEZ</x:v>
      </x:c>
      <x:c r="D64" s="30" t="n">
        <x:v>2019</x:v>
      </x:c>
      <x:c r="E64" s="24" t="str">
        <x:v>Sphyraena barracuda</x:v>
      </x:c>
      <x:c r="F64" s="24" t="str">
        <x:v>Great barracuda</x:v>
      </x:c>
      <x:c r="G64" s="24" t="str">
        <x:v>Large pelagics (&gt;=90 cm)</x:v>
      </x:c>
      <x:c r="H64" s="24" t="str">
        <x:v>Perch-likes</x:v>
      </x:c>
      <x:c r="I64" s="31" t="n">
        <x:v>0.1054216538</x:v>
      </x:c>
      <x:c r="J64" s="31" t="n">
        <x:v>0.1054216538</x:v>
      </x:c>
      <x:c r="K64" s="31" t="n">
        <x:v>0</x:v>
      </x:c>
      <x:c r="L64" s="31" t="n">
        <x:v>0.1054216538</x:v>
      </x:c>
      <x:c r="M64" s="31" t="n">
        <x:v>0</x:v>
      </x:c>
      <x:c r="N64" s="24" t="str">
        <x:v>sphyraena barracuda</x:v>
      </x:c>
      <x:c r="O64" s="32" t="n">
        <x:v>4.49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Sphyraena barracuda</x:v>
      </x:c>
      <x:c r="T64" s="32" t="n">
        <x:f>IF(O64="","",(1/'Metadata'!$B$5)^(O64-1))</x:f>
        <x:v>3090.295432513592</x:v>
      </x:c>
      <x:c r="U64" s="31" t="n">
        <x:f>IF(T64="","",I64*T64)</x:f>
        <x:v>325.7840552261692</x:v>
      </x:c>
    </x:row>
  </x:sheetData>
  <x:conditionalFormatting sqref="R2:R6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fde6d2be1bc490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1263.2975894018</x:v>
      </x:c>
      <x:c r="C2" s="32" t="n">
        <x:v>3.324739632748912</x:v>
      </x:c>
      <x:c r="D2" s="32" t="n">
        <x:f>IF(C2="","",(1/'Metadata'!$B$5)^(C2-1))</x:f>
        <x:v>211.22223453814414</x:v>
      </x:c>
      <x:c r="E2" s="31" t="n">
        <x:f>IF(B2=0,"",B2*D2)</x:f>
        <x:v>266836.5397200991</x:v>
      </x:c>
    </x:row>
    <x:row r="3" ht="18" customHeight="1">
      <x:c r="A3" s="24" t="str">
        <x:v>Flatfishes</x:v>
      </x:c>
      <x:c r="B3" s="31" t="n">
        <x:v>72.1580872775</x:v>
      </x:c>
      <x:c r="C3" s="32" t="n">
        <x:v>3.36</x:v>
      </x:c>
      <x:c r="D3" s="32" t="n">
        <x:f>IF(C3="","",(1/'Metadata'!$B$5)^(C3-1))</x:f>
        <x:v>229.08676527677724</x:v>
      </x:c>
      <x:c r="E3" s="31" t="n">
        <x:f>IF(B3=0,"",B3*D3)</x:f>
        <x:v>16530.46280296185</x:v>
      </x:c>
    </x:row>
    <x:row r="4" ht="18" customHeight="1">
      <x:c r="A4" s="24" t="str">
        <x:v>Herring-likes</x:v>
      </x:c>
      <x:c r="B4" s="31" t="n">
        <x:v>104544.0000000002</x:v>
      </x:c>
      <x:c r="C4" s="32" t="n">
        <x:v>2.5173948767982863</x:v>
      </x:c>
      <x:c r="D4" s="32" t="n">
        <x:f>IF(C4="","",(1/'Metadata'!$B$5)^(C4-1))</x:f>
        <x:v>32.9150771061581</x:v>
      </x:c>
      <x:c r="E4" s="31" t="n">
        <x:f>IF(B4=0,"",B4*D4)</x:f>
        <x:v>3441073.820986199</x:v>
      </x:c>
    </x:row>
    <x:row r="5" ht="18" customHeight="1">
      <x:c r="A5" s="24" t="str">
        <x:v>Molluscs</x:v>
      </x:c>
      <x:c r="B5" s="31" t="n">
        <x:v>1853.0583000202</x:v>
      </x:c>
      <x:c r="C5" s="32" t="n">
        <x:v>2</x:v>
      </x:c>
      <x:c r="D5" s="32" t="n">
        <x:f>IF(C5="","",(1/'Metadata'!$B$5)^(C5-1))</x:f>
        <x:v>10</x:v>
      </x:c>
      <x:c r="E5" s="31" t="n">
        <x:f>IF(B5=0,"",B5*D5)</x:f>
        <x:v>18530.583000202</x:v>
      </x:c>
    </x:row>
    <x:row r="6" ht="18" customHeight="1">
      <x:c r="A6" s="24" t="str">
        <x:v>Other fishes &amp; inverts</x:v>
      </x:c>
      <x:c r="B6" s="31" t="n">
        <x:v>80885.74663630538</x:v>
      </x:c>
      <x:c r="C6" s="32" t="n">
        <x:v>3.2875612735681523</x:v>
      </x:c>
      <x:c r="D6" s="32" t="n">
        <x:f>IF(C6="","",(1/'Metadata'!$B$5)^(C6-1))</x:f>
        <x:v>193.89261751048463</x:v>
      </x:c>
      <x:c r="E6" s="31" t="n">
        <x:f>IF(B6=0,"",B6*D6)</x:f>
        <x:v>15683149.134603128</x:v>
      </x:c>
    </x:row>
    <x:row r="7" ht="18" customHeight="1">
      <x:c r="A7" s="24" t="str">
        <x:v>Perch-likes</x:v>
      </x:c>
      <x:c r="B7" s="31" t="n">
        <x:v>86405.6483346829</x:v>
      </x:c>
      <x:c r="C7" s="32" t="n">
        <x:v>3.8001965438137373</x:v>
      </x:c>
      <x:c r="D7" s="32" t="n">
        <x:f>IF(C7="","",(1/'Metadata'!$B$5)^(C7-1))</x:f>
        <x:v>631.2429544367465</x:v>
      </x:c>
      <x:c r="E7" s="31" t="n">
        <x:f>IF(B7=0,"",B7*D7)</x:f>
        <x:v>54542956.73480778</x:v>
      </x:c>
    </x:row>
    <x:row r="8" ht="18" customHeight="1">
      <x:c r="A8" s="24" t="str">
        <x:v>Sharks &amp; rays</x:v>
      </x:c>
      <x:c r="B8" s="31" t="n">
        <x:v>4198.509545645599</x:v>
      </x:c>
      <x:c r="C8" s="32" t="n">
        <x:v>3.460716450475769</x:v>
      </x:c>
      <x:c r="D8" s="32" t="n">
        <x:f>IF(C8="","",(1/'Metadata'!$B$5)^(C8-1))</x:f>
        <x:v>288.8793182386671</x:v>
      </x:c>
      <x:c r="E8" s="31" t="n">
        <x:f>IF(B8=0,"",B8*D8)</x:f>
        <x:v>1212862.5751646368</x:v>
      </x:c>
    </x:row>
    <x:row r="9" ht="18" customHeight="1">
      <x:c r="A9" s="24" t="str">
        <x:v>Tuna &amp; billfishes</x:v>
      </x:c>
      <x:c r="B9" s="31" t="n">
        <x:v>1287.4998010243</x:v>
      </x:c>
      <x:c r="C9" s="32" t="n">
        <x:v>4.485731074414817</x:v>
      </x:c>
      <x:c r="D9" s="32" t="n">
        <x:f>IF(C9="","",(1/'Metadata'!$B$5)^(C9-1))</x:f>
        <x:v>3060.067979228066</x:v>
      </x:c>
      <x:c r="E9" s="31" t="n">
        <x:f>IF(B9=0,"",B9*D9)</x:f>
        <x:v>3939836.914376967</x:v>
      </x:c>
    </x:row>
  </x:sheetData>
  <x:pageMargins left="0.7" right="0.7" top="0.75" bottom="0.75" header="0.3" footer="0.3"/>
  <x:tableParts count="1">
    <x:tablePart xmlns:r="http://schemas.openxmlformats.org/officeDocument/2006/relationships" r:id="Reaf7bb688e5b483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617.8560182639999</x:v>
      </x:c>
      <x:c r="C2" s="32" t="n">
        <x:v>4.269873433295641</x:v>
      </x:c>
      <x:c r="D2" s="32" t="n">
        <x:f>IF(C2="","",(1/'Metadata'!$B$5)^(C2-1))</x:f>
        <x:v>1861.544546546375</x:v>
      </x:c>
      <x:c r="E2" s="31" t="n">
        <x:f>IF(B2=0,"",B2*D2)</x:f>
        <x:v>1150166.5013502063</x:v>
      </x:c>
    </x:row>
    <x:row r="3" ht="18" customHeight="1">
      <x:c r="A3" s="24" t="str">
        <x:v>Large benthopelagics (&gt;=90 cm)</x:v>
      </x:c>
      <x:c r="B3" s="31" t="n">
        <x:v>617.6860182639999</x:v>
      </x:c>
      <x:c r="C3" s="32" t="n">
        <x:v>2.14</x:v>
      </x:c>
      <x:c r="D3" s="32" t="n">
        <x:f>IF(C3="","",(1/'Metadata'!$B$5)^(C3-1))</x:f>
        <x:v>13.803842646028853</x:v>
      </x:c>
      <x:c r="E3" s="31" t="n">
        <x:f>IF(B3=0,"",B3*D3)</x:f>
        <x:v>8526.44060076836</x:v>
      </x:c>
    </x:row>
    <x:row r="4" ht="18" customHeight="1">
      <x:c r="A4" s="24" t="str">
        <x:v>Large demersals (&gt;=90 cm)</x:v>
      </x:c>
      <x:c r="B4" s="31" t="n">
        <x:v>24538.74196826</x:v>
      </x:c>
      <x:c r="C4" s="32" t="n">
        <x:v>3.7907172451545614</x:v>
      </x:c>
      <x:c r="D4" s="32" t="n">
        <x:f>IF(C4="","",(1/'Metadata'!$B$5)^(C4-1))</x:f>
        <x:v>617.6141609544775</x:v>
      </x:c>
      <x:c r="E4" s="31" t="n">
        <x:f>IF(B4=0,"",B4*D4)</x:f>
        <x:v>15155474.531605324</x:v>
      </x:c>
    </x:row>
    <x:row r="5" ht="18" customHeight="1">
      <x:c r="A5" s="24" t="str">
        <x:v>Large pelagics (&gt;=90 cm)</x:v>
      </x:c>
      <x:c r="B5" s="31" t="n">
        <x:v>10436.1657559034</x:v>
      </x:c>
      <x:c r="C5" s="32" t="n">
        <x:v>4.410016000929724</x:v>
      </x:c>
      <x:c r="D5" s="32" t="n">
        <x:f>IF(C5="","",(1/'Metadata'!$B$5)^(C5-1))</x:f>
        <x:v>2570.490486896289</x:v>
      </x:c>
      <x:c r="E5" s="31" t="n">
        <x:f>IF(B5=0,"",B5*D5)</x:f>
        <x:v>26826064.795222506</x:v>
      </x:c>
    </x:row>
    <x:row r="6" ht="18" customHeight="1">
      <x:c r="A6" s="24" t="str">
        <x:v>Large rays (&gt;=90 cm)</x:v>
      </x:c>
      <x:c r="B6" s="31" t="n">
        <x:v>3447.0986096885</x:v>
      </x:c>
      <x:c r="C6" s="32" t="n">
        <x:v>3.38</x:v>
      </x:c>
      <x:c r="D6" s="32" t="n">
        <x:f>IF(C6="","",(1/'Metadata'!$B$5)^(C6-1))</x:f>
        <x:v>239.88329190194898</x:v>
      </x:c>
      <x:c r="E6" s="31" t="n">
        <x:f>IF(B6=0,"",B6*D6)</x:f>
        <x:v>826901.362002709</x:v>
      </x:c>
    </x:row>
    <x:row r="7" ht="18" customHeight="1">
      <x:c r="A7" s="24" t="str">
        <x:v>Large reef assoc. fish (&gt;=90 cm)</x:v>
      </x:c>
      <x:c r="B7" s="31" t="n">
        <x:v>796.6861408781</x:v>
      </x:c>
      <x:c r="C7" s="32" t="n">
        <x:v>4.288800141779113</x:v>
      </x:c>
      <x:c r="D7" s="32" t="n">
        <x:f>IF(C7="","",(1/'Metadata'!$B$5)^(C7-1))</x:f>
        <x:v>1944.465051235116</x:v>
      </x:c>
      <x:c r="E7" s="31" t="n">
        <x:f>IF(B7=0,"",B7*D7)</x:f>
        <x:v>1549128.3577408416</x:v>
      </x:c>
    </x:row>
    <x:row r="8" ht="18" customHeight="1">
      <x:c r="A8" s="24" t="str">
        <x:v>Large sharks (&gt;=90 cm)</x:v>
      </x:c>
      <x:c r="B8" s="31" t="n">
        <x:v>91.37126311120001</x:v>
      </x:c>
      <x:c r="C8" s="32" t="n">
        <x:v>4.054961942277281</x:v>
      </x:c>
      <x:c r="D8" s="32" t="n">
        <x:f>IF(C8="","",(1/'Metadata'!$B$5)^(C8-1))</x:f>
        <x:v>1134.9113577328128</x:v>
      </x:c>
      <x:c r="E8" s="31" t="n">
        <x:f>IF(B8=0,"",B8*D8)</x:f>
        <x:v>103698.28427529408</x:v>
      </x:c>
    </x:row>
    <x:row r="9" ht="18" customHeight="1">
      <x:c r="A9" s="24" t="str">
        <x:v>Lobsters, crabs</x:v>
      </x:c>
      <x:c r="B9" s="31" t="n">
        <x:v>1235.0618228299</x:v>
      </x:c>
      <x:c r="C9" s="32" t="n">
        <x:v>3.3250766076451974</x:v>
      </x:c>
      <x:c r="D9" s="32" t="n">
        <x:f>IF(C9="","",(1/'Metadata'!$B$5)^(C9-1))</x:f>
        <x:v>211.3861882933061</x:v>
      </x:c>
      <x:c r="E9" s="31" t="n">
        <x:f>IF(B9=0,"",B9*D9)</x:f>
        <x:v>261075.01103459508</x:v>
      </x:c>
    </x:row>
    <x:row r="10" ht="18" customHeight="1">
      <x:c r="A10" s="24" t="str">
        <x:v>Medium benthopelagics (30 - 89 cm)</x:v>
      </x:c>
      <x:c r="B10" s="31" t="n">
        <x:v>5282.0988352879</x:v>
      </x:c>
      <x:c r="C10" s="32" t="n">
        <x:v>3.4741860290040587</x:v>
      </x:c>
      <x:c r="D10" s="32" t="n">
        <x:f>IF(C10="","",(1/'Metadata'!$B$5)^(C10-1))</x:f>
        <x:v>297.97925431184905</x:v>
      </x:c>
      <x:c r="E10" s="31" t="n">
        <x:f>IF(B10=0,"",B10*D10)</x:f>
        <x:v>1573955.872140575</x:v>
      </x:c>
    </x:row>
    <x:row r="11" ht="18" customHeight="1">
      <x:c r="A11" s="24" t="str">
        <x:v>Medium demersals (30 - 89 cm)</x:v>
      </x:c>
      <x:c r="B11" s="31" t="n">
        <x:v>101939.6058072988</x:v>
      </x:c>
      <x:c r="C11" s="32" t="n">
        <x:v>3.396635331997545</x:v>
      </x:c>
      <x:c r="D11" s="32" t="n">
        <x:f>IF(C11="","",(1/'Metadata'!$B$5)^(C11-1))</x:f>
        <x:v>249.25009470465784</x:v>
      </x:c>
      <x:c r="E11" s="31" t="n">
        <x:f>IF(B11=0,"",B11*D11)</x:f>
        <x:v>25408456.401624713</x:v>
      </x:c>
    </x:row>
    <x:row r="12" ht="18" customHeight="1">
      <x:c r="A12" s="24" t="str">
        <x:v>Medium pelagics (30 - 89 cm)</x:v>
      </x:c>
      <x:c r="B12" s="31" t="n">
        <x:v>105043.71940789229</x:v>
      </x:c>
      <x:c r="C12" s="32" t="n">
        <x:v>2.5495808539689118</x:v>
      </x:c>
      <x:c r="D12" s="32" t="n">
        <x:f>IF(C12="","",(1/'Metadata'!$B$5)^(C12-1))</x:f>
        <x:v>35.44711171404788</x:v>
      </x:c>
      <x:c r="E12" s="31" t="n">
        <x:f>IF(B12=0,"",B12*D12)</x:f>
        <x:v>3723496.456710657</x:v>
      </x:c>
    </x:row>
    <x:row r="13" ht="18" customHeight="1">
      <x:c r="A13" s="24" t="str">
        <x:v>Medium reef assoc. fish (30 - 89 cm)</x:v>
      </x:c>
      <x:c r="B13" s="31" t="n">
        <x:v>10178.657957130601</x:v>
      </x:c>
      <x:c r="C13" s="32" t="n">
        <x:v>3.683603161678241</x:v>
      </x:c>
      <x:c r="D13" s="32" t="n">
        <x:f>IF(C13="","",(1/'Metadata'!$B$5)^(C13-1))</x:f>
        <x:v>482.6176067279255</x:v>
      </x:c>
      <x:c r="E13" s="31" t="n">
        <x:f>IF(B13=0,"",B13*D13)</x:f>
        <x:v>4912399.542972526</x:v>
      </x:c>
    </x:row>
    <x:row r="14" ht="18" customHeight="1">
      <x:c r="A14" s="24" t="str">
        <x:v>Other demersal invertebrates</x:v>
      </x:c>
      <x:c r="B14" s="31" t="n">
        <x:v>1853.0583000202</x:v>
      </x:c>
      <x:c r="C14" s="32" t="n">
        <x:v>2</x:v>
      </x:c>
      <x:c r="D14" s="32" t="n">
        <x:f>IF(C14="","",(1/'Metadata'!$B$5)^(C14-1))</x:f>
        <x:v>10</x:v>
      </x:c>
      <x:c r="E14" s="31" t="n">
        <x:f>IF(B14=0,"",B14*D14)</x:f>
        <x:v>18530.583000202</x:v>
      </x:c>
    </x:row>
    <x:row r="15" ht="18" customHeight="1">
      <x:c r="A15" s="24" t="str">
        <x:v>Shrimps</x:v>
      </x:c>
      <x:c r="B15" s="31" t="n">
        <x:v>28.2357665719</x:v>
      </x:c>
      <x:c r="C15" s="32" t="n">
        <x:v>3.31</x:v>
      </x:c>
      <x:c r="D15" s="32" t="n">
        <x:f>IF(C15="","",(1/'Metadata'!$B$5)^(C15-1))</x:f>
        <x:v>204.17379446695296</x:v>
      </x:c>
      <x:c r="E15" s="31" t="n">
        <x:f>IF(B15=0,"",B15*D15)</x:f>
        <x:v>5765.003600667972</x:v>
      </x:c>
    </x:row>
    <x:row r="16" ht="18" customHeight="1">
      <x:c r="A16" s="24" t="str">
        <x:v>Small demersals (&lt;30 cm)</x:v>
      </x:c>
      <x:c r="B16" s="31" t="n">
        <x:v>10275.9908598961</x:v>
      </x:c>
      <x:c r="C16" s="32" t="n">
        <x:v>3.61802409157586</x:v>
      </x:c>
      <x:c r="D16" s="32" t="n">
        <x:f>IF(C16="","",(1/'Metadata'!$B$5)^(C16-1))</x:f>
        <x:v>414.9770619783718</x:v>
      </x:c>
      <x:c r="E16" s="31" t="n">
        <x:f>IF(B16=0,"",B16*D16)</x:f>
        <x:v>4264300.495956286</x:v>
      </x:c>
    </x:row>
    <x:row r="17" ht="18" customHeight="1">
      <x:c r="A17" s="24" t="str">
        <x:v>Small pelagics (&lt;30 cm)</x:v>
      </x:c>
      <x:c r="B17" s="31" t="n">
        <x:v>2778.0000000003</x:v>
      </x:c>
      <x:c r="C17" s="32" t="n">
        <x:v>2.8060583153347696</x:v>
      </x:c>
      <x:c r="D17" s="32" t="n">
        <x:f>IF(C17="","",(1/'Metadata'!$B$5)^(C17-1))</x:f>
        <x:v>63.982074229803686</x:v>
      </x:c>
      <x:c r="E17" s="31" t="n">
        <x:f>IF(B17=0,"",B17*D17)</x:f>
        <x:v>177742.20221041385</x:v>
      </x:c>
    </x:row>
    <x:row r="18" ht="18" customHeight="1">
      <x:c r="A18" s="24" t="str">
        <x:v>Small reef assoc. fish (&lt;30 cm)</x:v>
      </x:c>
      <x:c r="B18" s="31" t="n">
        <x:v>617.6860029373</x:v>
      </x:c>
      <x:c r="C18" s="32" t="n">
        <x:v>3.11</x:v>
      </x:c>
      <x:c r="D18" s="32" t="n">
        <x:f>IF(C18="","",(1/'Metadata'!$B$5)^(C18-1))</x:f>
        <x:v>128.82495516931337</x:v>
      </x:c>
      <x:c r="E18" s="31" t="n">
        <x:f>IF(B18=0,"",B18*D18)</x:f>
        <x:v>79573.37163711005</x:v>
      </x:c>
    </x:row>
    <x:row r="19" ht="18" customHeight="1">
      <x:c r="A19" s="24" t="str">
        <x:v>Small to medium flatfishes (&lt;90 cm)</x:v>
      </x:c>
      <x:c r="B19" s="31" t="n">
        <x:v>72.1580872775</x:v>
      </x:c>
      <x:c r="C19" s="32" t="n">
        <x:v>3.36</x:v>
      </x:c>
      <x:c r="D19" s="32" t="n">
        <x:f>IF(C19="","",(1/'Metadata'!$B$5)^(C19-1))</x:f>
        <x:v>229.08676527677724</x:v>
      </x:c>
      <x:c r="E19" s="31" t="n">
        <x:f>IF(B19=0,"",B19*D19)</x:f>
        <x:v>16530.46280296185</x:v>
      </x:c>
    </x:row>
    <x:row r="20" ht="18" customHeight="1">
      <x:c r="A20" s="24" t="str">
        <x:v>Small to medium rays (&lt;90 cm)</x:v>
      </x:c>
      <x:c r="B20" s="31" t="n">
        <x:v>660.0396728459</x:v>
      </x:c>
      <x:c r="C20" s="32" t="n">
        <x:v>3.8</x:v>
      </x:c>
      <x:c r="D20" s="32" t="n">
        <x:f>IF(C20="","",(1/'Metadata'!$B$5)^(C20-1))</x:f>
        <x:v>630.957344480193</x:v>
      </x:c>
      <x:c r="E20" s="31" t="n">
        <x:f>IF(B20=0,"",B20*D20)</x:f>
        <x:v>416456.8792304244</x:v>
      </x:c>
    </x:row>
  </x:sheetData>
  <x:pageMargins left="0.7" right="0.7" top="0.75" bottom="0.75" header="0.3" footer="0.3"/>
  <x:tableParts count="1">
    <x:tablePart xmlns:r="http://schemas.openxmlformats.org/officeDocument/2006/relationships" r:id="R7f85c1ae7cea4e8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EEZ_120</x:v>
      </x:c>
      <x:c r="B2" s="24" t="str">
        <x:v>raw_filtered_tonnes</x:v>
      </x:c>
      <x:c r="C2" s="24" t="n">
        <x:v>280509.9182943579</x:v>
      </x:c>
      <x:c r="D2" s="24" t="str">
        <x:v>tonnes</x:v>
      </x:c>
    </x:row>
    <x:row r="3" ht="18" customHeight="1">
      <x:c r="A3" s="24" t="str">
        <x:v>EEZ_120</x:v>
      </x:c>
      <x:c r="B3" s="24" t="str">
        <x:v>species_catch_tonnes</x:v>
      </x:c>
      <x:c r="C3" s="24" t="n">
        <x:v>280509.9182943578</x:v>
      </x:c>
      <x:c r="D3" s="24" t="str">
        <x:v>tonnes</x:v>
      </x:c>
    </x:row>
    <x:row r="4" ht="18" customHeight="1">
      <x:c r="A4" s="24" t="str">
        <x:v>EEZ_120</x:v>
      </x:c>
      <x:c r="B4" s="24" t="str">
        <x:v>catch_difference_tonnes</x:v>
      </x:c>
      <x:c r="C4" s="24" t="n">
        <x:v>-1.1641532182693481e-10</x:v>
      </x:c>
      <x:c r="D4" s="24" t="str">
        <x:v>tonnes</x:v>
      </x:c>
    </x:row>
    <x:row r="5" ht="18" customHeight="1">
      <x:c r="A5" s="24" t="str">
        <x:v>EEZ_120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EEZ_120</x:v>
      </x:c>
      <x:c r="B6" s="24" t="str">
        <x:v>matched_catch_tonnes</x:v>
      </x:c>
      <x:c r="C6" s="24" t="n">
        <x:v>280509.9182943578</x:v>
      </x:c>
      <x:c r="D6" s="24" t="str">
        <x:v>tonnes</x:v>
      </x:c>
    </x:row>
    <x:row r="7" ht="18" customHeight="1">
      <x:c r="A7" s="24" t="str">
        <x:v>EEZ_120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EEZ_120</x:v>
      </x:c>
      <x:c r="B8" s="24" t="str">
        <x:v>taxa_count</x:v>
      </x:c>
      <x:c r="C8" s="24" t="n">
        <x:v>63</x:v>
      </x:c>
      <x:c r="D8" s="24" t="str">
        <x:v>count</x:v>
      </x:c>
    </x:row>
    <x:row r="9" ht="18" customHeight="1">
      <x:c r="A9" s="24" t="str">
        <x:v>EEZ_120</x:v>
      </x:c>
      <x:c r="B9" s="24" t="str">
        <x:v>matched_taxa_count</x:v>
      </x:c>
      <x:c r="C9" s="24" t="n">
        <x:v>63</x:v>
      </x:c>
      <x:c r="D9" s="24" t="str">
        <x:v>count</x:v>
      </x:c>
    </x:row>
    <x:row r="10" ht="18" customHeight="1">
      <x:c r="A10" s="24" t="str">
        <x:v>EEZ_120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EEZ_120</x:v>
      </x:c>
      <x:c r="B11" s="24" t="str">
        <x:v>species_ppr</x:v>
      </x:c>
      <x:c r="C11" s="24" t="n">
        <x:v>101123441.33925112</x:v>
      </x:c>
      <x:c r="D11" s="24" t="str">
        <x:v>tonnes_primary_production_equivalent</x:v>
      </x:c>
    </x:row>
    <x:row r="12" ht="18" customHeight="1">
      <x:c r="A12" s="24" t="str">
        <x:v>EEZ_120</x:v>
      </x:c>
      <x:c r="B12" s="24" t="str">
        <x:v>commercial_ppr</x:v>
      </x:c>
      <x:c r="C12" s="24" t="n">
        <x:v>79121776.76546197</x:v>
      </x:c>
      <x:c r="D12" s="24" t="str">
        <x:v>tonnes_primary_production_equivalent</x:v>
      </x:c>
    </x:row>
    <x:row r="13" ht="18" customHeight="1">
      <x:c r="A13" s="24" t="str">
        <x:v>EEZ_120</x:v>
      </x:c>
      <x:c r="B13" s="24" t="str">
        <x:v>functional_ppr</x:v>
      </x:c>
      <x:c r="C13" s="24" t="n">
        <x:v>86478242.55571876</x:v>
      </x:c>
      <x:c r="D13" s="24" t="str">
        <x:v>tonnes_primary_production_equivalent</x:v>
      </x:c>
    </x:row>
    <x:row r="14" ht="18" customHeight="1">
      <x:c r="A14" s="24" t="str">
        <x:v>EEZ_120</x:v>
      </x:c>
      <x:c r="B14" s="24" t="str">
        <x:v>commercial_ppr_difference</x:v>
      </x:c>
      <x:c r="C14" s="24" t="n">
        <x:v>-22001664.57378915</x:v>
      </x:c>
      <x:c r="D14" s="24" t="str">
        <x:v>tonnes_primary_production_equivalent</x:v>
      </x:c>
    </x:row>
    <x:row r="15" ht="18" customHeight="1">
      <x:c r="A15" s="24" t="str">
        <x:v>EEZ_120</x:v>
      </x:c>
      <x:c r="B15" s="24" t="str">
        <x:v>functional_ppr_difference</x:v>
      </x:c>
      <x:c r="C15" s="24" t="n">
        <x:v>-14645198.783532351</x:v>
      </x:c>
      <x:c r="D15" s="24" t="str">
        <x:v>tonnes_primary_production_equivalent</x:v>
      </x:c>
    </x:row>
    <x:row r="16" ht="18" customHeight="1">
      <x:c r="A16" s="24" t="str">
        <x:v>EEZ_120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EEZ_120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3a9abc8272d643f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EEZ_120 - Cameroon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EEZ_120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raw_data/SAU_downloads/EEZ_120-catch.zip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