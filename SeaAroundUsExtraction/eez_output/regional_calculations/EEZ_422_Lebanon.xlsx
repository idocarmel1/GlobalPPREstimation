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fd70d441a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cfc26a6f7dd49d2"/>
    <x:sheet xmlns:r="http://schemas.openxmlformats.org/officeDocument/2006/relationships" name="Commercial" sheetId="2" r:id="Rb7d898947559475b"/>
    <x:sheet xmlns:r="http://schemas.openxmlformats.org/officeDocument/2006/relationships" name="Functional" sheetId="3" r:id="Rb7c7952af31b40e2"/>
    <x:sheet xmlns:r="http://schemas.openxmlformats.org/officeDocument/2006/relationships" name="Missing TL" sheetId="4" r:id="Rb1752fa91c8d47a3"/>
    <x:sheet xmlns:r="http://schemas.openxmlformats.org/officeDocument/2006/relationships" name="Validation" sheetId="5" r:id="R57849a3b0aaf41a1"/>
    <x:sheet xmlns:r="http://schemas.openxmlformats.org/officeDocument/2006/relationships" name="Metadata" sheetId="6" r:id="Ra15940e6aa3e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bded6d6314fbb" /><Relationship Type="http://schemas.openxmlformats.org/officeDocument/2006/relationships/theme" Target="/xl/theme/theme1.xml" Id="R5fb4ade02b8a4f09" /><Relationship Type="http://schemas.microsoft.com/office/2022/11/relationships/FeaturePropertyBag" Target="/xl/featurePropertyBag/featurePropertyBag.xml" Id="R7005ff682ca74c03" /><Relationship Type="http://schemas.openxmlformats.org/officeDocument/2006/relationships/sharedStrings" Target="/xl/sharedStrings.xml" Id="Rbef61d8c932e47df" /><Relationship Type="http://schemas.openxmlformats.org/officeDocument/2006/relationships/worksheet" Target="/xl/worksheets/sheet1.xml" Id="Racfc26a6f7dd49d2" /><Relationship Type="http://schemas.openxmlformats.org/officeDocument/2006/relationships/worksheet" Target="/xl/worksheets/sheet2.xml" Id="Rb7d898947559475b" /><Relationship Type="http://schemas.openxmlformats.org/officeDocument/2006/relationships/worksheet" Target="/xl/worksheets/sheet3.xml" Id="Rb7c7952af31b40e2" /><Relationship Type="http://schemas.openxmlformats.org/officeDocument/2006/relationships/worksheet" Target="/xl/worksheets/sheet4.xml" Id="Rb1752fa91c8d47a3" /><Relationship Type="http://schemas.openxmlformats.org/officeDocument/2006/relationships/worksheet" Target="/xl/worksheets/sheet5.xml" Id="R57849a3b0aaf41a1" /><Relationship Type="http://schemas.openxmlformats.org/officeDocument/2006/relationships/worksheet" Target="/xl/worksheets/sheet6.xml" Id="Ra15940e6aa3e46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22SpeciesTable" displayName="EEZ422SpeciesTable" ref="A1:U108" headerRowCount="1" totalsRowCount="0" totalsRowShown="0">
  <x:autoFilter ref="A1:U10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22CommercialTable" displayName="EEZ422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22FunctionalTable" displayName="EEZ422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22ValidationTable" displayName="EEZ42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6072e76ecd41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ea0415382c44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a29c7a125d45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25beab6dce45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EEZ_422</x:v>
      </x:c>
      <x:c r="B2" s="24" t="str">
        <x:v>Lebanon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779.999999997</x:v>
      </x:c>
      <x:c r="J2" s="31" t="n">
        <x:v>779.999999997</x:v>
      </x:c>
      <x:c r="K2" s="31" t="n">
        <x:v>0</x:v>
      </x:c>
      <x:c r="L2" s="31" t="n">
        <x:v>779.999999997</x:v>
      </x:c>
      <x:c r="M2" s="31" t="n">
        <x:v>0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100483.46503167796</x:v>
      </x:c>
    </x:row>
    <x:row r="3" ht="18" customHeight="1">
      <x:c r="A3" s="24" t="str">
        <x:v>EEZ_422</x:v>
      </x:c>
      <x:c r="B3" s="24" t="str">
        <x:v>Lebanon</x:v>
      </x:c>
      <x:c r="C3" s="24" t="str">
        <x:v>EEZ</x:v>
      </x:c>
      <x:c r="D3" s="30" t="n">
        <x:v>2019</x:v>
      </x:c>
      <x:c r="E3" s="24" t="str">
        <x:v>Clupeidae</x:v>
      </x:c>
      <x:c r="F3" s="24" t="str">
        <x:v>Herrings, sardines, menhadens</x:v>
      </x:c>
      <x:c r="G3" s="24" t="str">
        <x:v>Small pelagics (&lt;30 cm)</x:v>
      </x:c>
      <x:c r="H3" s="24" t="str">
        <x:v>Herring-likes</x:v>
      </x:c>
      <x:c r="I3" s="31" t="n">
        <x:v>759.939816047</x:v>
      </x:c>
      <x:c r="J3" s="31" t="n">
        <x:v>751.407341258</x:v>
      </x:c>
      <x:c r="K3" s="31" t="n">
        <x:v>8.532474789</x:v>
      </x:c>
      <x:c r="L3" s="31" t="n">
        <x:v>27.300000004</x:v>
      </x:c>
      <x:c r="M3" s="31" t="n">
        <x:v>732.639816043</x:v>
      </x:c>
      <x:c r="N3" s="24" t="str">
        <x:v>clupeidae</x:v>
      </x:c>
      <x:c r="O3" s="32" t="n">
        <x:v>3.16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Clupeidae</x:v>
      </x:c>
      <x:c r="T3" s="32" t="n">
        <x:f>IF(O3="","",(1/'Metadata'!$B$5)^(O3-1))</x:f>
        <x:v>144.5439770745928</x:v>
      </x:c>
      <x:c r="U3" s="31" t="n">
        <x:f>IF(T3="","",I3*T3)</x:f>
        <x:v>109844.72334876783</x:v>
      </x:c>
    </x:row>
    <x:row r="4" ht="18" customHeight="1">
      <x:c r="A4" s="24" t="str">
        <x:v>EEZ_422</x:v>
      </x:c>
      <x:c r="B4" s="24" t="str">
        <x:v>Lebanon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456.463012798</x:v>
      </x:c>
      <x:c r="J4" s="31" t="n">
        <x:v>455.535028373</x:v>
      </x:c>
      <x:c r="K4" s="31" t="n">
        <x:v>0.927984425</x:v>
      </x:c>
      <x:c r="L4" s="31" t="n">
        <x:v>217.500000042</x:v>
      </x:c>
      <x:c r="M4" s="31" t="n">
        <x:v>238.963012756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86977.23400897437</x:v>
      </x:c>
    </x:row>
    <x:row r="5" ht="18" customHeight="1">
      <x:c r="A5" s="24" t="str">
        <x:v>EEZ_422</x:v>
      </x:c>
      <x:c r="B5" s="24" t="str">
        <x:v>Lebanon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358.499027671</x:v>
      </x:c>
      <x:c r="J5" s="31" t="n">
        <x:v>356.7961048</x:v>
      </x:c>
      <x:c r="K5" s="31" t="n">
        <x:v>1.7029228710000002</x:v>
      </x:c>
      <x:c r="L5" s="31" t="n">
        <x:v>0</x:v>
      </x:c>
      <x:c r="M5" s="31" t="n">
        <x:v>358.499027671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402242.5248961721</x:v>
      </x:c>
    </x:row>
    <x:row r="6" ht="18" customHeight="1">
      <x:c r="A6" s="24" t="str">
        <x:v>EEZ_422</x:v>
      </x:c>
      <x:c r="B6" s="24" t="str">
        <x:v>Lebanon</x:v>
      </x:c>
      <x:c r="C6" s="24" t="str">
        <x:v>EEZ</x:v>
      </x:c>
      <x:c r="D6" s="30" t="n">
        <x:v>2019</x:v>
      </x:c>
      <x:c r="E6" s="24" t="str">
        <x:v>Sparidae</x:v>
      </x:c>
      <x:c r="F6" s="24" t="str">
        <x:v>Porgies, seabreams</x:v>
      </x:c>
      <x:c r="G6" s="24" t="str">
        <x:v>Medium benthopelagics (30 - 89 cm)</x:v>
      </x:c>
      <x:c r="H6" s="24" t="str">
        <x:v>Perch-likes</x:v>
      </x:c>
      <x:c r="I6" s="31" t="n">
        <x:v>355.23191375</x:v>
      </x:c>
      <x:c r="J6" s="31" t="n">
        <x:v>354.8601042</x:v>
      </x:c>
      <x:c r="K6" s="31" t="n">
        <x:v>0.37180955</x:v>
      </x:c>
      <x:c r="L6" s="31" t="n">
        <x:v>0</x:v>
      </x:c>
      <x:c r="M6" s="31" t="n">
        <x:v>355.23191375</x:v>
      </x:c>
      <x:c r="N6" s="24" t="str">
        <x:v>sparidae</x:v>
      </x:c>
      <x:c r="O6" s="32" t="n">
        <x:v>3.31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Sparidae</x:v>
      </x:c>
      <x:c r="T6" s="32" t="n">
        <x:f>IF(O6="","",(1/'Metadata'!$B$5)^(O6-1))</x:f>
        <x:v>204.17379446695296</x:v>
      </x:c>
      <x:c r="U6" s="31" t="n">
        <x:f>IF(T6="","",I6*T6)</x:f>
        <x:v>72529.04774609486</x:v>
      </x:c>
    </x:row>
    <x:row r="7" ht="18" customHeight="1">
      <x:c r="A7" s="24" t="str">
        <x:v>EEZ_422</x:v>
      </x:c>
      <x:c r="B7" s="24" t="str">
        <x:v>Lebanon</x:v>
      </x:c>
      <x:c r="C7" s="24" t="str">
        <x:v>EEZ</x:v>
      </x:c>
      <x:c r="D7" s="30" t="n">
        <x:v>2019</x:v>
      </x:c>
      <x:c r="E7" s="24" t="str">
        <x:v>Mugilidae</x:v>
      </x:c>
      <x:c r="F7" s="24" t="str">
        <x:v>Mullets, grey mullets</x:v>
      </x:c>
      <x:c r="G7" s="24" t="str">
        <x:v>Medium reef assoc. fish (30 - 89 cm)</x:v>
      </x:c>
      <x:c r="H7" s="24" t="str">
        <x:v>Perch-likes</x:v>
      </x:c>
      <x:c r="I7" s="31" t="n">
        <x:v>345.10207327100005</x:v>
      </x:c>
      <x:c r="J7" s="31" t="n">
        <x:v>344.2884378</x:v>
      </x:c>
      <x:c r="K7" s="31" t="n">
        <x:v>0.813635471</x:v>
      </x:c>
      <x:c r="L7" s="31" t="n">
        <x:v>0</x:v>
      </x:c>
      <x:c r="M7" s="31" t="n">
        <x:v>345.10207327100005</x:v>
      </x:c>
      <x:c r="N7" s="24" t="str">
        <x:v>mugilidae</x:v>
      </x:c>
      <x:c r="O7" s="32" t="n">
        <x:v>2.53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Mugilidae</x:v>
      </x:c>
      <x:c r="T7" s="32" t="n">
        <x:f>IF(O7="","",(1/'Metadata'!$B$5)^(O7-1))</x:f>
        <x:v>33.88441561392024</x:v>
      </x:c>
      <x:c r="U7" s="31" t="n">
        <x:f>IF(T7="","",I7*T7)</x:f>
        <x:v>11693.58207994012</x:v>
      </x:c>
    </x:row>
    <x:row r="8" ht="18" customHeight="1">
      <x:c r="A8" s="24" t="str">
        <x:v>EEZ_422</x:v>
      </x:c>
      <x:c r="B8" s="24" t="str">
        <x:v>Lebanon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307.17620053300004</x:v>
      </x:c>
      <x:c r="J8" s="31" t="n">
        <x:v>307.111225106</x:v>
      </x:c>
      <x:c r="K8" s="31" t="n">
        <x:v>0.064975427</x:v>
      </x:c>
      <x:c r="L8" s="31" t="n">
        <x:v>0</x:v>
      </x:c>
      <x:c r="M8" s="31" t="n">
        <x:v>307.17620053300004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558968.7958544524</x:v>
      </x:c>
    </x:row>
    <x:row r="9" ht="18" customHeight="1">
      <x:c r="A9" s="24" t="str">
        <x:v>EEZ_422</x:v>
      </x:c>
      <x:c r="B9" s="24" t="str">
        <x:v>Lebanon</x:v>
      </x:c>
      <x:c r="C9" s="24" t="str">
        <x:v>EEZ</x:v>
      </x:c>
      <x:c r="D9" s="30" t="n">
        <x:v>2019</x:v>
      </x:c>
      <x:c r="E9" s="24" t="str">
        <x:v>Diplodus sargus</x:v>
      </x:c>
      <x:c r="F9" s="24" t="str">
        <x:v>White seabream</x:v>
      </x:c>
      <x:c r="G9" s="24" t="str">
        <x:v>Medium demersals (30 - 89 cm)</x:v>
      </x:c>
      <x:c r="H9" s="24" t="str">
        <x:v>Perch-likes</x:v>
      </x:c>
      <x:c r="I9" s="31" t="n">
        <x:v>296.9</x:v>
      </x:c>
      <x:c r="J9" s="31" t="n">
        <x:v>296.9</x:v>
      </x:c>
      <x:c r="K9" s="31" t="n">
        <x:v>0</x:v>
      </x:c>
      <x:c r="L9" s="31" t="n">
        <x:v>296.9</x:v>
      </x:c>
      <x:c r="M9" s="31" t="n">
        <x:v>0</x:v>
      </x:c>
      <x:c r="N9" s="24" t="str">
        <x:v>diplodus sargus</x:v>
      </x:c>
      <x:c r="O9" s="32" t="n">
        <x:v>3.38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Diplodus sargus</x:v>
      </x:c>
      <x:c r="T9" s="32" t="n">
        <x:f>IF(O9="","",(1/'Metadata'!$B$5)^(O9-1))</x:f>
        <x:v>239.88329190194898</x:v>
      </x:c>
      <x:c r="U9" s="31" t="n">
        <x:f>IF(T9="","",I9*T9)</x:f>
        <x:v>71221.34936568864</x:v>
      </x:c>
    </x:row>
    <x:row r="10" ht="18" customHeight="1">
      <x:c r="A10" s="24" t="str">
        <x:v>EEZ_422</x:v>
      </x:c>
      <x:c r="B10" s="24" t="str">
        <x:v>Lebanon</x:v>
      </x:c>
      <x:c r="C10" s="24" t="str">
        <x:v>EEZ</x:v>
      </x:c>
      <x:c r="D10" s="30" t="n">
        <x:v>2019</x:v>
      </x:c>
      <x:c r="E10" s="24" t="str">
        <x:v>Euthynnus alletteratus</x:v>
      </x:c>
      <x:c r="F10" s="24" t="str">
        <x:v>Little tunny </x:v>
      </x:c>
      <x:c r="G10" s="24" t="str">
        <x:v>Large pelagics (&gt;=90 cm)</x:v>
      </x:c>
      <x:c r="H10" s="24" t="str">
        <x:v>Tuna &amp; billfishes</x:v>
      </x:c>
      <x:c r="I10" s="31" t="n">
        <x:v>269.5</x:v>
      </x:c>
      <x:c r="J10" s="31" t="n">
        <x:v>269.5</x:v>
      </x:c>
      <x:c r="K10" s="31" t="n">
        <x:v>0</x:v>
      </x:c>
      <x:c r="L10" s="31" t="n">
        <x:v>269.5</x:v>
      </x:c>
      <x:c r="M10" s="31" t="n">
        <x:v>0</x:v>
      </x:c>
      <x:c r="N10" s="24" t="str">
        <x:v>euthynnus alletteratus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Euthynnus alletteratus</x:v>
      </x:c>
      <x:c r="T10" s="32" t="n">
        <x:f>IF(O10="","",(1/'Metadata'!$B$5)^(O10-1))</x:f>
        <x:v>3090.295432513592</x:v>
      </x:c>
      <x:c r="U10" s="31" t="n">
        <x:f>IF(T10="","",I10*T10)</x:f>
        <x:v>832834.619062413</x:v>
      </x:c>
    </x:row>
    <x:row r="11" ht="18" customHeight="1">
      <x:c r="A11" s="24" t="str">
        <x:v>EEZ_422</x:v>
      </x:c>
      <x:c r="B11" s="24" t="str">
        <x:v>Lebanon</x:v>
      </x:c>
      <x:c r="C11" s="24" t="str">
        <x:v>EEZ</x:v>
      </x:c>
      <x:c r="D11" s="30" t="n">
        <x:v>2019</x:v>
      </x:c>
      <x:c r="E11" s="24" t="str">
        <x:v>Serranidae</x:v>
      </x:c>
      <x:c r="F11" s="24" t="str">
        <x:v>Basses, groupers, hinds</x:v>
      </x:c>
      <x:c r="G11" s="24" t="str">
        <x:v>Medium reef assoc. fish (30 - 89 cm)</x:v>
      </x:c>
      <x:c r="H11" s="24" t="str">
        <x:v>Perch-likes</x:v>
      </x:c>
      <x:c r="I11" s="31" t="n">
        <x:v>242.744529174</x:v>
      </x:c>
      <x:c r="J11" s="31" t="n">
        <x:v>240.860837879</x:v>
      </x:c>
      <x:c r="K11" s="31" t="n">
        <x:v>1.8836912949999998</x:v>
      </x:c>
      <x:c r="L11" s="31" t="n">
        <x:v>0</x:v>
      </x:c>
      <x:c r="M11" s="31" t="n">
        <x:v>242.744529174</x:v>
      </x:c>
      <x:c r="N11" s="24" t="str">
        <x:v>serranidae</x:v>
      </x:c>
      <x:c r="O11" s="32" t="n">
        <x:v>3.98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Serranidae</x:v>
      </x:c>
      <x:c r="T11" s="32" t="n">
        <x:f>IF(O11="","",(1/'Metadata'!$B$5)^(O11-1))</x:f>
        <x:v>954.992586021436</x:v>
      </x:c>
      <x:c r="U11" s="31" t="n">
        <x:f>IF(T11="","",I11*T11)</x:f>
        <x:v>231819.22565843418</x:v>
      </x:c>
    </x:row>
    <x:row r="12" ht="18" customHeight="1">
      <x:c r="A12" s="24" t="str">
        <x:v>EEZ_422</x:v>
      </x:c>
      <x:c r="B12" s="24" t="str">
        <x:v>Lebanon</x:v>
      </x:c>
      <x:c r="C12" s="24" t="str">
        <x:v>EEZ</x:v>
      </x:c>
      <x:c r="D12" s="30" t="n">
        <x:v>2019</x:v>
      </x:c>
      <x:c r="E12" s="24" t="str">
        <x:v>Pagellus acarne</x:v>
      </x:c>
      <x:c r="F12" s="24" t="str">
        <x:v>Axillary seabream</x:v>
      </x:c>
      <x:c r="G12" s="24" t="str">
        <x:v>Medium benthopelagics (30 - 89 cm)</x:v>
      </x:c>
      <x:c r="H12" s="24" t="str">
        <x:v>Perch-likes</x:v>
      </x:c>
      <x:c r="I12" s="31" t="n">
        <x:v>180.63474346</x:v>
      </x:c>
      <x:c r="J12" s="31" t="n">
        <x:v>180.63474346</x:v>
      </x:c>
      <x:c r="K12" s="31" t="n">
        <x:v>0</x:v>
      </x:c>
      <x:c r="L12" s="31" t="n">
        <x:v>84.9</x:v>
      </x:c>
      <x:c r="M12" s="31" t="n">
        <x:v>95.73474346</x:v>
      </x:c>
      <x:c r="N12" s="24" t="str">
        <x:v>pagellus acarne</x:v>
      </x:c>
      <x:c r="O12" s="32" t="n">
        <x:v>3.81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Pagellus acarne</x:v>
      </x:c>
      <x:c r="T12" s="32" t="n">
        <x:f>IF(O12="","",(1/'Metadata'!$B$5)^(O12-1))</x:f>
        <x:v>645.6542290346556</x:v>
      </x:c>
      <x:c r="U12" s="31" t="n">
        <x:f>IF(T12="","",I12*T12)</x:f>
        <x:v>116627.5860255391</x:v>
      </x:c>
    </x:row>
    <x:row r="13" ht="18" customHeight="1">
      <x:c r="A13" s="24" t="str">
        <x:v>EEZ_422</x:v>
      </x:c>
      <x:c r="B13" s="24" t="str">
        <x:v>Lebanon</x:v>
      </x:c>
      <x:c r="C13" s="24" t="str">
        <x:v>EEZ</x:v>
      </x:c>
      <x:c r="D13" s="30" t="n">
        <x:v>2019</x:v>
      </x:c>
      <x:c r="E13" s="24" t="str">
        <x:v>Sardinella aurita</x:v>
      </x:c>
      <x:c r="F13" s="24" t="str">
        <x:v>Round sardinella</x:v>
      </x:c>
      <x:c r="G13" s="24" t="str">
        <x:v>Small pelagics (&lt;30 cm)</x:v>
      </x:c>
      <x:c r="H13" s="24" t="str">
        <x:v>Herring-likes</x:v>
      </x:c>
      <x:c r="I13" s="31" t="n">
        <x:v>177.867765547</x:v>
      </x:c>
      <x:c r="J13" s="31" t="n">
        <x:v>177.867765547</x:v>
      </x:c>
      <x:c r="K13" s="31" t="n">
        <x:v>0</x:v>
      </x:c>
      <x:c r="L13" s="31" t="n">
        <x:v>175.6</x:v>
      </x:c>
      <x:c r="M13" s="31" t="n">
        <x:v>2.267765547</x:v>
      </x:c>
      <x:c r="N13" s="24" t="str">
        <x:v>sardinella aurita</x:v>
      </x:c>
      <x:c r="O13" s="32" t="n">
        <x:v>3.4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Sardinella aurita</x:v>
      </x:c>
      <x:c r="T13" s="32" t="n">
        <x:f>IF(O13="","",(1/'Metadata'!$B$5)^(O13-1))</x:f>
        <x:v>251.18864315095797</x:v>
      </x:c>
      <x:c r="U13" s="31" t="n">
        <x:f>IF(T13="","",I13*T13)</x:f>
        <x:v>44678.36268804364</x:v>
      </x:c>
    </x:row>
    <x:row r="14" ht="18" customHeight="1">
      <x:c r="A14" s="24" t="str">
        <x:v>EEZ_422</x:v>
      </x:c>
      <x:c r="B14" s="24" t="str">
        <x:v>Lebanon</x:v>
      </x:c>
      <x:c r="C14" s="24" t="str">
        <x:v>EEZ</x:v>
      </x:c>
      <x:c r="D14" s="30" t="n">
        <x:v>2019</x:v>
      </x:c>
      <x:c r="E14" s="24" t="str">
        <x:v>Mullidae</x:v>
      </x:c>
      <x:c r="F14" s="24" t="str">
        <x:v>Goatfishes</x:v>
      </x:c>
      <x:c r="G14" s="24" t="str">
        <x:v>Medium reef assoc. fish (30 - 89 cm)</x:v>
      </x:c>
      <x:c r="H14" s="24" t="str">
        <x:v>Perch-likes</x:v>
      </x:c>
      <x:c r="I14" s="31" t="n">
        <x:v>177.301263311</x:v>
      </x:c>
      <x:c r="J14" s="31" t="n">
        <x:v>177.0765844</x:v>
      </x:c>
      <x:c r="K14" s="31" t="n">
        <x:v>0.22467891099999998</x:v>
      </x:c>
      <x:c r="L14" s="31" t="n">
        <x:v>0</x:v>
      </x:c>
      <x:c r="M14" s="31" t="n">
        <x:v>177.301263311</x:v>
      </x:c>
      <x:c r="N14" s="24" t="str">
        <x:v>mullidae</x:v>
      </x:c>
      <x:c r="O14" s="32" t="n">
        <x:v>3.46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Mullidae</x:v>
      </x:c>
      <x:c r="T14" s="32" t="n">
        <x:f>IF(O14="","",(1/'Metadata'!$B$5)^(O14-1))</x:f>
        <x:v>288.40315031266056</x:v>
      </x:c>
      <x:c r="U14" s="31" t="n">
        <x:f>IF(T14="","",I14*T14)</x:f>
        <x:v>51134.242893306946</x:v>
      </x:c>
    </x:row>
    <x:row r="15" ht="18" customHeight="1">
      <x:c r="A15" s="24" t="str">
        <x:v>EEZ_422</x:v>
      </x:c>
      <x:c r="B15" s="24" t="str">
        <x:v>Lebanon</x:v>
      </x:c>
      <x:c r="C15" s="24" t="str">
        <x:v>EEZ</x:v>
      </x:c>
      <x:c r="D15" s="30" t="n">
        <x:v>2019</x:v>
      </x:c>
      <x:c r="E15" s="24" t="str">
        <x:v>Boops boops</x:v>
      </x:c>
      <x:c r="F15" s="24" t="str">
        <x:v>Bogue</x:v>
      </x:c>
      <x:c r="G15" s="24" t="str">
        <x:v>Medium demersals (30 - 89 cm)</x:v>
      </x:c>
      <x:c r="H15" s="24" t="str">
        <x:v>Perch-likes</x:v>
      </x:c>
      <x:c r="I15" s="31" t="n">
        <x:v>147.86103375</x:v>
      </x:c>
      <x:c r="J15" s="31" t="n">
        <x:v>147.86103375</x:v>
      </x:c>
      <x:c r="K15" s="31" t="n">
        <x:v>0</x:v>
      </x:c>
      <x:c r="L15" s="31" t="n">
        <x:v>128.1</x:v>
      </x:c>
      <x:c r="M15" s="31" t="n">
        <x:v>19.76103375</x:v>
      </x:c>
      <x:c r="N15" s="24" t="str">
        <x:v>boops boops</x:v>
      </x:c>
      <x:c r="O15" s="32" t="n">
        <x:v>2.79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Boops boops</x:v>
      </x:c>
      <x:c r="T15" s="32" t="n">
        <x:f>IF(O15="","",(1/'Metadata'!$B$5)^(O15-1))</x:f>
        <x:v>61.65950018614822</x:v>
      </x:c>
      <x:c r="U15" s="31" t="n">
        <x:f>IF(T15="","",I15*T15)</x:f>
        <x:v>9117.037438032194</x:v>
      </x:c>
    </x:row>
    <x:row r="16" ht="18" customHeight="1">
      <x:c r="A16" s="24" t="str">
        <x:v>EEZ_422</x:v>
      </x:c>
      <x:c r="B16" s="24" t="str">
        <x:v>Lebanon</x:v>
      </x:c>
      <x:c r="C16" s="24" t="str">
        <x:v>EEZ</x:v>
      </x:c>
      <x:c r="D16" s="30" t="n">
        <x:v>2019</x:v>
      </x:c>
      <x:c r="E16" s="24" t="str">
        <x:v>Pagellus erythrinus</x:v>
      </x:c>
      <x:c r="F16" s="24" t="str">
        <x:v>Common pandora</x:v>
      </x:c>
      <x:c r="G16" s="24" t="str">
        <x:v>Medium benthopelagics (30 - 89 cm)</x:v>
      </x:c>
      <x:c r="H16" s="24" t="str">
        <x:v>Perch-likes</x:v>
      </x:c>
      <x:c r="I16" s="31" t="n">
        <x:v>137.607683579</x:v>
      </x:c>
      <x:c r="J16" s="31" t="n">
        <x:v>137.607683579</x:v>
      </x:c>
      <x:c r="K16" s="31" t="n">
        <x:v>0</x:v>
      </x:c>
      <x:c r="L16" s="31" t="n">
        <x:v>82.300000005</x:v>
      </x:c>
      <x:c r="M16" s="31" t="n">
        <x:v>55.307683574</x:v>
      </x:c>
      <x:c r="N16" s="24" t="str">
        <x:v>pagellus erythrinus</x:v>
      </x:c>
      <x:c r="O16" s="32" t="n">
        <x:v>3.48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Pagellus erythrinus</x:v>
      </x:c>
      <x:c r="T16" s="32" t="n">
        <x:f>IF(O16="","",(1/'Metadata'!$B$5)^(O16-1))</x:f>
        <x:v>301.9951720402016</x:v>
      </x:c>
      <x:c r="U16" s="31" t="n">
        <x:f>IF(T16="","",I16*T16)</x:f>
        <x:v>41556.85607649373</x:v>
      </x:c>
    </x:row>
    <x:row r="17" ht="18" customHeight="1">
      <x:c r="A17" s="24" t="str">
        <x:v>EEZ_422</x:v>
      </x:c>
      <x:c r="B17" s="24" t="str">
        <x:v>Lebanon</x:v>
      </x:c>
      <x:c r="C17" s="24" t="str">
        <x:v>EEZ</x:v>
      </x:c>
      <x:c r="D17" s="30" t="n">
        <x:v>2019</x:v>
      </x:c>
      <x:c r="E17" s="24" t="str">
        <x:v>Seriola dumerili</x:v>
      </x:c>
      <x:c r="F17" s="24" t="str">
        <x:v>Greater amberjack</x:v>
      </x:c>
      <x:c r="G17" s="24" t="str">
        <x:v>Large reef assoc. fish (&gt;=90 cm)</x:v>
      </x:c>
      <x:c r="H17" s="24" t="str">
        <x:v>Perch-likes</x:v>
      </x:c>
      <x:c r="I17" s="31" t="n">
        <x:v>116.04375389900001</x:v>
      </x:c>
      <x:c r="J17" s="31" t="n">
        <x:v>116.04375389900001</x:v>
      </x:c>
      <x:c r="K17" s="31" t="n">
        <x:v>0</x:v>
      </x:c>
      <x:c r="L17" s="31" t="n">
        <x:v>115.29999998900001</x:v>
      </x:c>
      <x:c r="M17" s="31" t="n">
        <x:v>0.7437539099999999</x:v>
      </x:c>
      <x:c r="N17" s="24" t="str">
        <x:v>seriola dumerili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Seriola dumerili</x:v>
      </x:c>
      <x:c r="T17" s="32" t="n">
        <x:f>IF(O17="","",(1/'Metadata'!$B$5)^(O17-1))</x:f>
        <x:v>3162.2776601683795</x:v>
      </x:c>
      <x:c r="U17" s="31" t="n">
        <x:f>IF(T17="","",I17*T17)</x:f>
        <x:v>366962.57055688504</x:v>
      </x:c>
    </x:row>
    <x:row r="18" ht="18" customHeight="1">
      <x:c r="A18" s="24" t="str">
        <x:v>EEZ_422</x:v>
      </x:c>
      <x:c r="B18" s="24" t="str">
        <x:v>Lebanon</x:v>
      </x:c>
      <x:c r="C18" s="24" t="str">
        <x:v>EEZ</x:v>
      </x:c>
      <x:c r="D18" s="30" t="n">
        <x:v>2019</x:v>
      </x:c>
      <x:c r="E18" s="24" t="str">
        <x:v>Scorpaenidae</x:v>
      </x:c>
      <x:c r="F18" s="24" t="str">
        <x:v>Scorpionfishes, rockfishes</x:v>
      </x:c>
      <x:c r="G18" s="24" t="str">
        <x:v>Large reef assoc. fish (&gt;=90 cm)</x:v>
      </x:c>
      <x:c r="H18" s="24" t="str">
        <x:v>Scorpionfishes</x:v>
      </x:c>
      <x:c r="I18" s="31" t="n">
        <x:v>105.7174047</x:v>
      </x:c>
      <x:c r="J18" s="31" t="n">
        <x:v>105.7174047</x:v>
      </x:c>
      <x:c r="K18" s="31" t="n">
        <x:v>0</x:v>
      </x:c>
      <x:c r="L18" s="31" t="n">
        <x:v>0</x:v>
      </x:c>
      <x:c r="M18" s="31" t="n">
        <x:v>105.7174047</x:v>
      </x:c>
      <x:c r="N18" s="24" t="str">
        <x:v>scorpaenidae</x:v>
      </x:c>
      <x:c r="O18" s="32" t="n">
        <x:v>3.92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Scorpaenidae</x:v>
      </x:c>
      <x:c r="T18" s="32" t="n">
        <x:f>IF(O18="","",(1/'Metadata'!$B$5)^(O18-1))</x:f>
        <x:v>831.7637711026708</x:v>
      </x:c>
      <x:c r="U18" s="31" t="n">
        <x:f>IF(T18="","",I18*T18)</x:f>
        <x:v>87931.90720445922</x:v>
      </x:c>
    </x:row>
    <x:row r="19" ht="18" customHeight="1">
      <x:c r="A19" s="24" t="str">
        <x:v>EEZ_422</x:v>
      </x:c>
      <x:c r="B19" s="24" t="str">
        <x:v>Lebanon</x:v>
      </x:c>
      <x:c r="C19" s="24" t="str">
        <x:v>EEZ</x:v>
      </x:c>
      <x:c r="D19" s="30" t="n">
        <x:v>2019</x:v>
      </x:c>
      <x:c r="E19" s="24" t="str">
        <x:v>Thunnus alalunga</x:v>
      </x:c>
      <x:c r="F19" s="24" t="str">
        <x:v>Albacore</x:v>
      </x:c>
      <x:c r="G19" s="24" t="str">
        <x:v>Large pelagics (&gt;=90 cm)</x:v>
      </x:c>
      <x:c r="H19" s="24" t="str">
        <x:v>Tuna &amp; billfishes</x:v>
      </x:c>
      <x:c r="I19" s="31" t="n">
        <x:v>96.091985812</x:v>
      </x:c>
      <x:c r="J19" s="31" t="n">
        <x:v>96.091985812</x:v>
      </x:c>
      <x:c r="K19" s="31" t="n">
        <x:v>0</x:v>
      </x:c>
      <x:c r="L19" s="31" t="n">
        <x:v>96.091985812</x:v>
      </x:c>
      <x:c r="M19" s="31" t="n">
        <x:v>0</x:v>
      </x:c>
      <x:c r="N19" s="24" t="str">
        <x:v>thunnus alalunga</x:v>
      </x:c>
      <x:c r="O19" s="32" t="n">
        <x:v>4.3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alalunga</x:v>
      </x:c>
      <x:c r="T19" s="32" t="n">
        <x:f>IF(O19="","",(1/'Metadata'!$B$5)^(O19-1))</x:f>
        <x:v>1995.2623149688789</x:v>
      </x:c>
      <x:c r="U19" s="31" t="n">
        <x:f>IF(T19="","",I19*T19)</x:f>
        <x:v>191728.7180612078</x:v>
      </x:c>
    </x:row>
    <x:row r="20" ht="18" customHeight="1">
      <x:c r="A20" s="24" t="str">
        <x:v>EEZ_422</x:v>
      </x:c>
      <x:c r="B20" s="24" t="str">
        <x:v>Lebanon</x:v>
      </x:c>
      <x:c r="C20" s="24" t="str">
        <x:v>EEZ</x:v>
      </x:c>
      <x:c r="D20" s="30" t="n">
        <x:v>2019</x:v>
      </x:c>
      <x:c r="E20" s="24" t="str">
        <x:v>Epinephelus marginatus</x:v>
      </x:c>
      <x:c r="F20" s="24" t="str">
        <x:v>Dusky grouper</x:v>
      </x:c>
      <x:c r="G20" s="24" t="str">
        <x:v>Large reef assoc. fish (&gt;=90 cm)</x:v>
      </x:c>
      <x:c r="H20" s="24" t="str">
        <x:v>Perch-likes</x:v>
      </x:c>
      <x:c r="I20" s="31" t="n">
        <x:v>87.271695122</x:v>
      </x:c>
      <x:c r="J20" s="31" t="n">
        <x:v>87.271695122</x:v>
      </x:c>
      <x:c r="K20" s="31" t="n">
        <x:v>0</x:v>
      </x:c>
      <x:c r="L20" s="31" t="n">
        <x:v>43.599999995999994</x:v>
      </x:c>
      <x:c r="M20" s="31" t="n">
        <x:v>43.671695126</x:v>
      </x:c>
      <x:c r="N20" s="24" t="str">
        <x:v>epinephelus marginatus</x:v>
      </x:c>
      <x:c r="O20" s="32" t="n">
        <x:v>4.43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Epinephelus marginatus</x:v>
      </x:c>
      <x:c r="T20" s="32" t="n">
        <x:f>IF(O20="","",(1/'Metadata'!$B$5)^(O20-1))</x:f>
        <x:v>2691.534803926914</x:v>
      </x:c>
      <x:c r="U20" s="31" t="n">
        <x:f>IF(T20="","",I20*T20)</x:f>
        <x:v>234894.80481856165</x:v>
      </x:c>
    </x:row>
    <x:row r="21" ht="18" customHeight="1">
      <x:c r="A21" s="24" t="str">
        <x:v>EEZ_422</x:v>
      </x:c>
      <x:c r="B21" s="24" t="str">
        <x:v>Lebanon</x:v>
      </x:c>
      <x:c r="C21" s="24" t="str">
        <x:v>EEZ</x:v>
      </x:c>
      <x:c r="D21" s="30" t="n">
        <x:v>2019</x:v>
      </x:c>
      <x:c r="E21" s="24" t="str">
        <x:v>Perciformes</x:v>
      </x:c>
      <x:c r="F21" s="24" t="str">
        <x:v>Perch-likes</x:v>
      </x:c>
      <x:c r="G21" s="24" t="str">
        <x:v>Medium demersals (30 - 89 cm)</x:v>
      </x:c>
      <x:c r="H21" s="24" t="str">
        <x:v>Perch-likes</x:v>
      </x:c>
      <x:c r="I21" s="31" t="n">
        <x:v>79.473225689</x:v>
      </x:c>
      <x:c r="J21" s="31" t="n">
        <x:v>79.28802213</x:v>
      </x:c>
      <x:c r="K21" s="31" t="n">
        <x:v>0.185203559</x:v>
      </x:c>
      <x:c r="L21" s="31" t="n">
        <x:v>0</x:v>
      </x:c>
      <x:c r="M21" s="31" t="n">
        <x:v>79.473225689</x:v>
      </x:c>
      <x:c r="N21" s="24" t="str">
        <x:v>perciformes</x:v>
      </x:c>
      <x:c r="O21" s="32" t="n">
        <x:v>3.53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Perciformes</x:v>
      </x:c>
      <x:c r="T21" s="32" t="n">
        <x:f>IF(O21="","",(1/'Metadata'!$B$5)^(O21-1))</x:f>
        <x:v>338.84415613920237</x:v>
      </x:c>
      <x:c r="U21" s="31" t="n">
        <x:f>IF(T21="","",I21*T21)</x:f>
        <x:v>26929.038094249587</x:v>
      </x:c>
    </x:row>
    <x:row r="22" ht="18" customHeight="1">
      <x:c r="A22" s="24" t="str">
        <x:v>EEZ_422</x:v>
      </x:c>
      <x:c r="B22" s="24" t="str">
        <x:v>Lebanon</x:v>
      </x:c>
      <x:c r="C22" s="24" t="str">
        <x:v>EEZ</x:v>
      </x:c>
      <x:c r="D22" s="30" t="n">
        <x:v>2019</x:v>
      </x:c>
      <x:c r="E22" s="24" t="str">
        <x:v>Pagrus caeruleostictus</x:v>
      </x:c>
      <x:c r="F22" s="24" t="str">
        <x:v>Bluespotted seabream</x:v>
      </x:c>
      <x:c r="G22" s="24" t="str">
        <x:v>Large benthopelagics (&gt;=90 cm)</x:v>
      </x:c>
      <x:c r="H22" s="24" t="str">
        <x:v>Perch-likes</x:v>
      </x:c>
      <x:c r="I22" s="31" t="n">
        <x:v>61.3</x:v>
      </x:c>
      <x:c r="J22" s="31" t="n">
        <x:v>61.3</x:v>
      </x:c>
      <x:c r="K22" s="31" t="n">
        <x:v>0</x:v>
      </x:c>
      <x:c r="L22" s="31" t="n">
        <x:v>61.3</x:v>
      </x:c>
      <x:c r="M22" s="31" t="n">
        <x:v>0</x:v>
      </x:c>
      <x:c r="N22" s="24" t="str">
        <x:v>pagrus caeruleostictus</x:v>
      </x:c>
      <x:c r="O22" s="32" t="n">
        <x:v>3.81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Pagrus caeruleostictus</x:v>
      </x:c>
      <x:c r="T22" s="32" t="n">
        <x:f>IF(O22="","",(1/'Metadata'!$B$5)^(O22-1))</x:f>
        <x:v>645.6542290346556</x:v>
      </x:c>
      <x:c r="U22" s="31" t="n">
        <x:f>IF(T22="","",I22*T22)</x:f>
        <x:v>39578.60423982439</x:v>
      </x:c>
    </x:row>
    <x:row r="23" ht="18" customHeight="1">
      <x:c r="A23" s="24" t="str">
        <x:v>EEZ_422</x:v>
      </x:c>
      <x:c r="B23" s="24" t="str">
        <x:v>Lebanon</x:v>
      </x:c>
      <x:c r="C23" s="24" t="str">
        <x:v>EEZ</x:v>
      </x:c>
      <x:c r="D23" s="30" t="n">
        <x:v>2019</x:v>
      </x:c>
      <x:c r="E23" s="24" t="str">
        <x:v>Solea aegyptiaca</x:v>
      </x:c>
      <x:c r="F23" s="24" t="str">
        <x:v>Egyptian sole</x:v>
      </x:c>
      <x:c r="G23" s="24" t="str">
        <x:v>Small to medium flatfishes (&lt;90 cm)</x:v>
      </x:c>
      <x:c r="H23" s="24" t="str">
        <x:v>Flatfishes</x:v>
      </x:c>
      <x:c r="I23" s="31" t="n">
        <x:v>58.69348152</x:v>
      </x:c>
      <x:c r="J23" s="31" t="n">
        <x:v>58.69348152</x:v>
      </x:c>
      <x:c r="K23" s="31" t="n">
        <x:v>0</x:v>
      </x:c>
      <x:c r="L23" s="31" t="n">
        <x:v>0</x:v>
      </x:c>
      <x:c r="M23" s="31" t="n">
        <x:v>58.69348152</x:v>
      </x:c>
      <x:c r="N23" s="24" t="str">
        <x:v>solea aegyptiaca</x:v>
      </x:c>
      <x:c r="O23" s="32" t="n">
        <x:v>3.17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Solea aegyptiaca</x:v>
      </x:c>
      <x:c r="T23" s="32" t="n">
        <x:f>IF(O23="","",(1/'Metadata'!$B$5)^(O23-1))</x:f>
        <x:v>147.91083881682073</x:v>
      </x:c>
      <x:c r="U23" s="31" t="n">
        <x:f>IF(T23="","",I23*T23)</x:f>
        <x:v>8681.402084702766</x:v>
      </x:c>
    </x:row>
    <x:row r="24" ht="18" customHeight="1">
      <x:c r="A24" s="24" t="str">
        <x:v>EEZ_422</x:v>
      </x:c>
      <x:c r="B24" s="24" t="str">
        <x:v>Lebanon</x:v>
      </x:c>
      <x:c r="C24" s="24" t="str">
        <x:v>EEZ</x:v>
      </x:c>
      <x:c r="D24" s="30" t="n">
        <x:v>2019</x:v>
      </x:c>
      <x:c r="E24" s="24" t="str">
        <x:v>Serranus cabrilla</x:v>
      </x:c>
      <x:c r="F24" s="24" t="str">
        <x:v>Comber</x:v>
      </x:c>
      <x:c r="G24" s="24" t="str">
        <x:v>Medium bathydemersals (30 - 89 cm)</x:v>
      </x:c>
      <x:c r="H24" s="24" t="str">
        <x:v>Perch-likes</x:v>
      </x:c>
      <x:c r="I24" s="31" t="n">
        <x:v>58.665648811000004</x:v>
      </x:c>
      <x:c r="J24" s="31" t="n">
        <x:v>58.665648811000004</x:v>
      </x:c>
      <x:c r="K24" s="31" t="n">
        <x:v>0</x:v>
      </x:c>
      <x:c r="L24" s="31" t="n">
        <x:v>0</x:v>
      </x:c>
      <x:c r="M24" s="31" t="n">
        <x:v>58.665648811000004</x:v>
      </x:c>
      <x:c r="N24" s="24" t="str">
        <x:v>serranus cabrilla</x:v>
      </x:c>
      <x:c r="O24" s="32" t="n">
        <x:v>3.35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Serranus cabrilla</x:v>
      </x:c>
      <x:c r="T24" s="32" t="n">
        <x:f>IF(O24="","",(1/'Metadata'!$B$5)^(O24-1))</x:f>
        <x:v>223.872113856834</x:v>
      </x:c>
      <x:c r="U24" s="31" t="n">
        <x:f>IF(T24="","",I24*T24)</x:f>
        <x:v>13133.60281010123</x:v>
      </x:c>
    </x:row>
    <x:row r="25" ht="18" customHeight="1">
      <x:c r="A25" s="24" t="str">
        <x:v>EEZ_422</x:v>
      </x:c>
      <x:c r="B25" s="24" t="str">
        <x:v>Lebanon</x:v>
      </x:c>
      <x:c r="C25" s="24" t="str">
        <x:v>EEZ</x:v>
      </x:c>
      <x:c r="D25" s="30" t="n">
        <x:v>2019</x:v>
      </x:c>
      <x:c r="E25" s="24" t="str">
        <x:v>Scomberomorus commerson</x:v>
      </x:c>
      <x:c r="F25" s="24" t="str">
        <x:v>Narrow-barred Spanish mackerel</x:v>
      </x:c>
      <x:c r="G25" s="24" t="str">
        <x:v>Large pelagics (&gt;=90 cm)</x:v>
      </x:c>
      <x:c r="H25" s="24" t="str">
        <x:v>Perch-likes</x:v>
      </x:c>
      <x:c r="I25" s="31" t="n">
        <x:v>58.6</x:v>
      </x:c>
      <x:c r="J25" s="31" t="n">
        <x:v>58.6</x:v>
      </x:c>
      <x:c r="K25" s="31" t="n">
        <x:v>0</x:v>
      </x:c>
      <x:c r="L25" s="31" t="n">
        <x:v>58.6</x:v>
      </x:c>
      <x:c r="M25" s="31" t="n">
        <x:v>0</x:v>
      </x:c>
      <x:c r="N25" s="24" t="str">
        <x:v>scomberomorus commerson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Scomberomorus commerson</x:v>
      </x:c>
      <x:c r="T25" s="32" t="n">
        <x:f>IF(O25="","",(1/'Metadata'!$B$5)^(O25-1))</x:f>
        <x:v>3162.2776601683795</x:v>
      </x:c>
      <x:c r="U25" s="31" t="n">
        <x:f>IF(T25="","",I25*T25)</x:f>
        <x:v>185309.47088586705</x:v>
      </x:c>
    </x:row>
    <x:row r="26" ht="18" customHeight="1">
      <x:c r="A26" s="24" t="str">
        <x:v>EEZ_422</x:v>
      </x:c>
      <x:c r="B26" s="24" t="str">
        <x:v>Lebanon</x:v>
      </x:c>
      <x:c r="C26" s="24" t="str">
        <x:v>EEZ</x:v>
      </x:c>
      <x:c r="D26" s="30" t="n">
        <x:v>2019</x:v>
      </x:c>
      <x:c r="E26" s="24" t="str">
        <x:v>Oblada melanurus</x:v>
      </x:c>
      <x:c r="F26" s="24" t="str">
        <x:v>Saddled seabream</x:v>
      </x:c>
      <x:c r="G26" s="24" t="str">
        <x:v>Small benthopelagics (&lt;30 cm)</x:v>
      </x:c>
      <x:c r="H26" s="24" t="str">
        <x:v>Perch-likes</x:v>
      </x:c>
      <x:c r="I26" s="31" t="n">
        <x:v>57.53588662</x:v>
      </x:c>
      <x:c r="J26" s="31" t="n">
        <x:v>57.53588662</x:v>
      </x:c>
      <x:c r="K26" s="31" t="n">
        <x:v>0</x:v>
      </x:c>
      <x:c r="L26" s="31" t="n">
        <x:v>44.8</x:v>
      </x:c>
      <x:c r="M26" s="31" t="n">
        <x:v>12.73588662</x:v>
      </x:c>
      <x:c r="N26" s="24" t="str">
        <x:v>oblada melanurus</x:v>
      </x:c>
      <x:c r="O26" s="32" t="n">
        <x:v>3.38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Oblada melanurus</x:v>
      </x:c>
      <x:c r="T26" s="32" t="n">
        <x:f>IF(O26="","",(1/'Metadata'!$B$5)^(O26-1))</x:f>
        <x:v>239.88329190194898</x:v>
      </x:c>
      <x:c r="U26" s="31" t="n">
        <x:f>IF(T26="","",I26*T26)</x:f>
        <x:v>13801.8978849029</x:v>
      </x:c>
    </x:row>
    <x:row r="27" ht="18" customHeight="1">
      <x:c r="A27" s="24" t="str">
        <x:v>EEZ_422</x:v>
      </x:c>
      <x:c r="B27" s="24" t="str">
        <x:v>Lebanon</x:v>
      </x:c>
      <x:c r="C27" s="24" t="str">
        <x:v>EEZ</x:v>
      </x:c>
      <x:c r="D27" s="30" t="n">
        <x:v>2019</x:v>
      </x:c>
      <x:c r="E27" s="24" t="str">
        <x:v>Miscellaneous marine crustaceans</x:v>
      </x:c>
      <x:c r="F27" s="24" t="str">
        <x:v>Marine crabs, shrimps, lobsters nei</x:v>
      </x:c>
      <x:c r="G27" s="24" t="str">
        <x:v>Shrimps</x:v>
      </x:c>
      <x:c r="H27" s="24" t="str">
        <x:v>Crustaceans</x:v>
      </x:c>
      <x:c r="I27" s="31" t="n">
        <x:v>52.85867893</x:v>
      </x:c>
      <x:c r="J27" s="31" t="n">
        <x:v>52.85867893</x:v>
      </x:c>
      <x:c r="K27" s="31" t="n">
        <x:v>0</x:v>
      </x:c>
      <x:c r="L27" s="31" t="n">
        <x:v>0</x:v>
      </x:c>
      <x:c r="M27" s="31" t="n">
        <x:v>52.85867893</x:v>
      </x:c>
      <x:c r="N27" s="24" t="str">
        <x:v>miscellaneous marine crustaceans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Miscellaneous marine crustaceans</x:v>
      </x:c>
      <x:c r="T27" s="32" t="n">
        <x:f>IF(O27="","",(1/'Metadata'!$B$5)^(O27-1))</x:f>
        <x:v>50.11872336272725</x:v>
      </x:c>
      <x:c r="U27" s="31" t="n">
        <x:f>IF(T27="","",I27*T27)</x:f>
        <x:v>2649.20950661189</x:v>
      </x:c>
    </x:row>
    <x:row r="28" ht="18" customHeight="1">
      <x:c r="A28" s="24" t="str">
        <x:v>EEZ_422</x:v>
      </x:c>
      <x:c r="B28" s="24" t="str">
        <x:v>Lebanon</x:v>
      </x:c>
      <x:c r="C28" s="24" t="str">
        <x:v>EEZ</x:v>
      </x:c>
      <x:c r="D28" s="30" t="n">
        <x:v>2019</x:v>
      </x:c>
      <x:c r="E28" s="24" t="str">
        <x:v>Atherina boyeri</x:v>
      </x:c>
      <x:c r="F28" s="24" t="str">
        <x:v>Big-scale sand smelt</x:v>
      </x:c>
      <x:c r="G28" s="24" t="str">
        <x:v>Small demersals (&lt;30 cm)</x:v>
      </x:c>
      <x:c r="H28" s="24" t="str">
        <x:v>Other fishes &amp; inverts</x:v>
      </x:c>
      <x:c r="I28" s="31" t="n">
        <x:v>50.82879679</x:v>
      </x:c>
      <x:c r="J28" s="31" t="n">
        <x:v>50.82879679</x:v>
      </x:c>
      <x:c r="K28" s="31" t="n">
        <x:v>0</x:v>
      </x:c>
      <x:c r="L28" s="31" t="n">
        <x:v>0</x:v>
      </x:c>
      <x:c r="M28" s="31" t="n">
        <x:v>50.82879679</x:v>
      </x:c>
      <x:c r="N28" s="24" t="str">
        <x:v>atherina boyeri</x:v>
      </x:c>
      <x:c r="O28" s="32" t="n">
        <x:v>3.22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Atherina boyeri</x:v>
      </x:c>
      <x:c r="T28" s="32" t="n">
        <x:f>IF(O28="","",(1/'Metadata'!$B$5)^(O28-1))</x:f>
        <x:v>165.95869074375614</x:v>
      </x:c>
      <x:c r="U28" s="31" t="n">
        <x:f>IF(T28="","",I28*T28)</x:f>
        <x:v>8435.480567348834</x:v>
      </x:c>
    </x:row>
    <x:row r="29" ht="18" customHeight="1">
      <x:c r="A29" s="24" t="str">
        <x:v>EEZ_422</x:v>
      </x:c>
      <x:c r="B29" s="24" t="str">
        <x:v>Lebanon</x:v>
      </x:c>
      <x:c r="C29" s="24" t="str">
        <x:v>EEZ</x:v>
      </x:c>
      <x:c r="D29" s="30" t="n">
        <x:v>2019</x:v>
      </x:c>
      <x:c r="E29" s="24" t="str">
        <x:v>Mycteroperca rubra</x:v>
      </x:c>
      <x:c r="F29" s="24" t="str">
        <x:v>Mottled grouper</x:v>
      </x:c>
      <x:c r="G29" s="24" t="str">
        <x:v>Large demersals (&gt;=90 cm)</x:v>
      </x:c>
      <x:c r="H29" s="24" t="str">
        <x:v>Perch-likes</x:v>
      </x:c>
      <x:c r="I29" s="31" t="n">
        <x:v>49.292995269</x:v>
      </x:c>
      <x:c r="J29" s="31" t="n">
        <x:v>49.292995269</x:v>
      </x:c>
      <x:c r="K29" s="31" t="n">
        <x:v>0</x:v>
      </x:c>
      <x:c r="L29" s="31" t="n">
        <x:v>47.1</x:v>
      </x:c>
      <x:c r="M29" s="31" t="n">
        <x:v>2.192995269</x:v>
      </x:c>
      <x:c r="N29" s="24" t="str">
        <x:v>mycteroperca rubra</x:v>
      </x:c>
      <x:c r="O29" s="32" t="n">
        <x:v>4.13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Mycteroperca rubra</x:v>
      </x:c>
      <x:c r="T29" s="32" t="n">
        <x:f>IF(O29="","",(1/'Metadata'!$B$5)^(O29-1))</x:f>
        <x:v>1348.9628825916532</x:v>
      </x:c>
      <x:c r="U29" s="31" t="n">
        <x:f>IF(T29="","",I29*T29)</x:f>
        <x:v>66494.42098964697</x:v>
      </x:c>
    </x:row>
    <x:row r="30" ht="18" customHeight="1">
      <x:c r="A30" s="24" t="str">
        <x:v>EEZ_422</x:v>
      </x:c>
      <x:c r="B30" s="24" t="str">
        <x:v>Lebanon</x:v>
      </x:c>
      <x:c r="C30" s="24" t="str">
        <x:v>EEZ</x:v>
      </x:c>
      <x:c r="D30" s="30" t="n">
        <x:v>2019</x:v>
      </x:c>
      <x:c r="E30" s="24" t="str">
        <x:v>Atherinidae</x:v>
      </x:c>
      <x:c r="F30" s="24" t="str">
        <x:v>Silversides</x:v>
      </x:c>
      <x:c r="G30" s="24" t="str">
        <x:v>Small pelagics (&lt;30 cm)</x:v>
      </x:c>
      <x:c r="H30" s="24" t="str">
        <x:v>Other fishes &amp; inverts</x:v>
      </x:c>
      <x:c r="I30" s="31" t="n">
        <x:v>46.079877461</x:v>
      </x:c>
      <x:c r="J30" s="31" t="n">
        <x:v>44.92987808</x:v>
      </x:c>
      <x:c r="K30" s="31" t="n">
        <x:v>1.149999381</x:v>
      </x:c>
      <x:c r="L30" s="31" t="n">
        <x:v>0</x:v>
      </x:c>
      <x:c r="M30" s="31" t="n">
        <x:v>46.079877461</x:v>
      </x:c>
      <x:c r="N30" s="24" t="str">
        <x:v>atherinidae</x:v>
      </x:c>
      <x:c r="O30" s="32" t="n">
        <x:v>3.2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Atherinidae</x:v>
      </x:c>
      <x:c r="T30" s="32" t="n">
        <x:f>IF(O30="","",(1/'Metadata'!$B$5)^(O30-1))</x:f>
        <x:v>158.48931924611142</x:v>
      </x:c>
      <x:c r="U30" s="31" t="n">
        <x:f>IF(T30="","",I30*T30)</x:f>
        <x:v>7303.168409738124</x:v>
      </x:c>
    </x:row>
    <x:row r="31" ht="18" customHeight="1">
      <x:c r="A31" s="24" t="str">
        <x:v>EEZ_422</x:v>
      </x:c>
      <x:c r="B31" s="24" t="str">
        <x:v>Lebanon</x:v>
      </x:c>
      <x:c r="C31" s="24" t="str">
        <x:v>EEZ</x:v>
      </x:c>
      <x:c r="D31" s="30" t="n">
        <x:v>2019</x:v>
      </x:c>
      <x:c r="E31" s="24" t="str">
        <x:v>Scyllarides latus</x:v>
      </x:c>
      <x:c r="F31" s="24" t="str">
        <x:v>Mediterranean slipper lobster</x:v>
      </x:c>
      <x:c r="G31" s="24" t="str">
        <x:v>Lobsters, crabs</x:v>
      </x:c>
      <x:c r="H31" s="24" t="str">
        <x:v>Crustaceans</x:v>
      </x:c>
      <x:c r="I31" s="31" t="n">
        <x:v>32.953798082</x:v>
      </x:c>
      <x:c r="J31" s="31" t="n">
        <x:v>32.953798082</x:v>
      </x:c>
      <x:c r="K31" s="31" t="n">
        <x:v>0</x:v>
      </x:c>
      <x:c r="L31" s="31" t="n">
        <x:v>0</x:v>
      </x:c>
      <x:c r="M31" s="31" t="n">
        <x:v>32.953798082</x:v>
      </x:c>
      <x:c r="N31" s="24" t="str">
        <x:v>scyllarides latus</x:v>
      </x:c>
      <x:c r="O31" s="32" t="n">
        <x:v>3.37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Scyllarides latus</x:v>
      </x:c>
      <x:c r="T31" s="32" t="n">
        <x:f>IF(O31="","",(1/'Metadata'!$B$5)^(O31-1))</x:f>
        <x:v>234.42288153199226</x:v>
      </x:c>
      <x:c r="U31" s="31" t="n">
        <x:f>IF(T31="","",I31*T31)</x:f>
        <x:v>7725.124303805879</x:v>
      </x:c>
    </x:row>
    <x:row r="32" ht="18" customHeight="1">
      <x:c r="A32" s="24" t="str">
        <x:v>EEZ_422</x:v>
      </x:c>
      <x:c r="B32" s="24" t="str">
        <x:v>Lebanon</x:v>
      </x:c>
      <x:c r="C32" s="24" t="str">
        <x:v>EEZ</x:v>
      </x:c>
      <x:c r="D32" s="30" t="n">
        <x:v>2019</x:v>
      </x:c>
      <x:c r="E32" s="24" t="str">
        <x:v>Dentex macrophthalmus</x:v>
      </x:c>
      <x:c r="F32" s="24" t="str">
        <x:v>Large-eye dentex</x:v>
      </x:c>
      <x:c r="G32" s="24" t="str">
        <x:v>Medium benthopelagics (30 - 89 cm)</x:v>
      </x:c>
      <x:c r="H32" s="24" t="str">
        <x:v>Perch-likes</x:v>
      </x:c>
      <x:c r="I32" s="31" t="n">
        <x:v>30.032973949000002</x:v>
      </x:c>
      <x:c r="J32" s="31" t="n">
        <x:v>30.032973949000002</x:v>
      </x:c>
      <x:c r="K32" s="31" t="n">
        <x:v>0</x:v>
      </x:c>
      <x:c r="L32" s="31" t="n">
        <x:v>24.8</x:v>
      </x:c>
      <x:c r="M32" s="31" t="n">
        <x:v>5.232973949</x:v>
      </x:c>
      <x:c r="N32" s="24" t="str">
        <x:v>dentex macrophthalmus</x:v>
      </x:c>
      <x:c r="O32" s="32" t="n">
        <x:v>3.52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Dentex macrophthalmus</x:v>
      </x:c>
      <x:c r="T32" s="32" t="n">
        <x:f>IF(O32="","",(1/'Metadata'!$B$5)^(O32-1))</x:f>
        <x:v>331.1311214825911</x:v>
      </x:c>
      <x:c r="U32" s="31" t="n">
        <x:f>IF(T32="","",I32*T32)</x:f>
        <x:v>9944.852345189813</x:v>
      </x:c>
    </x:row>
    <x:row r="33" ht="18" customHeight="1">
      <x:c r="A33" s="24" t="str">
        <x:v>EEZ_422</x:v>
      </x:c>
      <x:c r="B33" s="24" t="str">
        <x:v>Lebanon</x:v>
      </x:c>
      <x:c r="C33" s="24" t="str">
        <x:v>EEZ</x:v>
      </x:c>
      <x:c r="D33" s="30" t="n">
        <x:v>2019</x:v>
      </x:c>
      <x:c r="E33" s="24" t="str">
        <x:v>Lithognathus mormyrus</x:v>
      </x:c>
      <x:c r="F33" s="24" t="str">
        <x:v>Sand steenbras</x:v>
      </x:c>
      <x:c r="G33" s="24" t="str">
        <x:v>Medium benthopelagics (30 - 89 cm)</x:v>
      </x:c>
      <x:c r="H33" s="24" t="str">
        <x:v>Perch-likes</x:v>
      </x:c>
      <x:c r="I33" s="31" t="n">
        <x:v>30.000000002</x:v>
      </x:c>
      <x:c r="J33" s="31" t="n">
        <x:v>30.000000002</x:v>
      </x:c>
      <x:c r="K33" s="31" t="n">
        <x:v>0</x:v>
      </x:c>
      <x:c r="L33" s="31" t="n">
        <x:v>30.000000002</x:v>
      </x:c>
      <x:c r="M33" s="31" t="n">
        <x:v>0</x:v>
      </x:c>
      <x:c r="N33" s="24" t="str">
        <x:v>lithognathus mormyrus</x:v>
      </x:c>
      <x:c r="O33" s="32" t="n">
        <x:v>3.42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Lithognathus mormyrus</x:v>
      </x:c>
      <x:c r="T33" s="32" t="n">
        <x:f>IF(O33="","",(1/'Metadata'!$B$5)^(O33-1))</x:f>
        <x:v>263.02679918953817</x:v>
      </x:c>
      <x:c r="U33" s="31" t="n">
        <x:f>IF(T33="","",I33*T33)</x:f>
        <x:v>7890.803976212199</x:v>
      </x:c>
    </x:row>
    <x:row r="34" ht="18" customHeight="1">
      <x:c r="A34" s="24" t="str">
        <x:v>EEZ_422</x:v>
      </x:c>
      <x:c r="B34" s="24" t="str">
        <x:v>Lebanon</x:v>
      </x:c>
      <x:c r="C34" s="24" t="str">
        <x:v>EEZ</x:v>
      </x:c>
      <x:c r="D34" s="30" t="n">
        <x:v>2019</x:v>
      </x:c>
      <x:c r="E34" s="24" t="str">
        <x:v>Octopodidae</x:v>
      </x:c>
      <x:c r="F34" s="24" t="str">
        <x:v>Octopuses</x:v>
      </x:c>
      <x:c r="G34" s="24" t="str">
        <x:v>Cephalopods</x:v>
      </x:c>
      <x:c r="H34" s="24" t="str">
        <x:v>Other fishes &amp; inverts</x:v>
      </x:c>
      <x:c r="I34" s="31" t="n">
        <x:v>28.66901833</x:v>
      </x:c>
      <x:c r="J34" s="31" t="n">
        <x:v>28.66901833</x:v>
      </x:c>
      <x:c r="K34" s="31" t="n">
        <x:v>0</x:v>
      </x:c>
      <x:c r="L34" s="31" t="n">
        <x:v>0</x:v>
      </x:c>
      <x:c r="M34" s="31" t="n">
        <x:v>28.66901833</x:v>
      </x:c>
      <x:c r="N34" s="24" t="str">
        <x:v>octopodidae</x:v>
      </x:c>
      <x:c r="O34" s="32" t="n">
        <x:v>3.59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Octopodidae</x:v>
      </x:c>
      <x:c r="T34" s="32" t="n">
        <x:f>IF(O34="","",(1/'Metadata'!$B$5)^(O34-1))</x:f>
        <x:v>389.04514499428046</x:v>
      </x:c>
      <x:c r="U34" s="31" t="n">
        <x:f>IF(T34="","",I34*T34)</x:f>
        <x:v>11153.542393038535</x:v>
      </x:c>
    </x:row>
    <x:row r="35" ht="18" customHeight="1">
      <x:c r="A35" s="24" t="str">
        <x:v>EEZ_422</x:v>
      </x:c>
      <x:c r="B35" s="24" t="str">
        <x:v>Lebanon</x:v>
      </x:c>
      <x:c r="C35" s="24" t="str">
        <x:v>EEZ</x:v>
      </x:c>
      <x:c r="D35" s="30" t="n">
        <x:v>2019</x:v>
      </x:c>
      <x:c r="E35" s="24" t="str">
        <x:v>Rhinobatos rhinobatos</x:v>
      </x:c>
      <x:c r="F35" s="24" t="str">
        <x:v>Common guitarfish</x:v>
      </x:c>
      <x:c r="G35" s="24" t="str">
        <x:v>Large rays (&gt;=90 cm)</x:v>
      </x:c>
      <x:c r="H35" s="24" t="str">
        <x:v>Sharks &amp; rays</x:v>
      </x:c>
      <x:c r="I35" s="31" t="n">
        <x:v>24.45179512</x:v>
      </x:c>
      <x:c r="J35" s="31" t="n">
        <x:v>24.45179512</x:v>
      </x:c>
      <x:c r="K35" s="31" t="n">
        <x:v>0</x:v>
      </x:c>
      <x:c r="L35" s="31" t="n">
        <x:v>0</x:v>
      </x:c>
      <x:c r="M35" s="31" t="n">
        <x:v>24.45179512</x:v>
      </x:c>
      <x:c r="N35" s="24" t="str">
        <x:v>rhinobatos rhinobatos</x:v>
      </x:c>
      <x:c r="O35" s="32" t="n">
        <x:v>4.08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Rhinobatos rhinobatos</x:v>
      </x:c>
      <x:c r="T35" s="32" t="n">
        <x:f>IF(O35="","",(1/'Metadata'!$B$5)^(O35-1))</x:f>
        <x:v>1202.2644346174131</x:v>
      </x:c>
      <x:c r="U35" s="31" t="n">
        <x:f>IF(T35="","",I35*T35)</x:f>
        <x:v>29397.523635327623</x:v>
      </x:c>
    </x:row>
    <x:row r="36" ht="18" customHeight="1">
      <x:c r="A36" s="24" t="str">
        <x:v>EEZ_422</x:v>
      </x:c>
      <x:c r="B36" s="24" t="str">
        <x:v>Lebanon</x:v>
      </x:c>
      <x:c r="C36" s="24" t="str">
        <x:v>EEZ</x:v>
      </x:c>
      <x:c r="D36" s="30" t="n">
        <x:v>2019</x:v>
      </x:c>
      <x:c r="E36" s="24" t="str">
        <x:v>Gadiformes</x:v>
      </x:c>
      <x:c r="F36" s="24" t="str">
        <x:v>Cods</x:v>
      </x:c>
      <x:c r="G36" s="24" t="str">
        <x:v>Medium benthopelagics (30 - 89 cm)</x:v>
      </x:c>
      <x:c r="H36" s="24" t="str">
        <x:v>Cod-likes</x:v>
      </x:c>
      <x:c r="I36" s="31" t="n">
        <x:v>23.863439248000002</x:v>
      </x:c>
      <x:c r="J36" s="31" t="n">
        <x:v>23.7864162</x:v>
      </x:c>
      <x:c r="K36" s="31" t="n">
        <x:v>0.07702304800000001</x:v>
      </x:c>
      <x:c r="L36" s="31" t="n">
        <x:v>0</x:v>
      </x:c>
      <x:c r="M36" s="31" t="n">
        <x:v>23.863439248000002</x:v>
      </x:c>
      <x:c r="N36" s="24" t="str">
        <x:v>gadiformes</x:v>
      </x:c>
      <x:c r="O36" s="32" t="n">
        <x:v>3.91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Gadiformes</x:v>
      </x:c>
      <x:c r="T36" s="32" t="n">
        <x:f>IF(O36="","",(1/'Metadata'!$B$5)^(O36-1))</x:f>
        <x:v>812.8305161640995</x:v>
      </x:c>
      <x:c r="U36" s="31" t="n">
        <x:f>IF(T36="","",I36*T36)</x:f>
        <x:v>19396.931641402472</x:v>
      </x:c>
    </x:row>
    <x:row r="37" ht="18" customHeight="1">
      <x:c r="A37" s="24" t="str">
        <x:v>EEZ_422</x:v>
      </x:c>
      <x:c r="B37" s="24" t="str">
        <x:v>Lebanon</x:v>
      </x:c>
      <x:c r="C37" s="24" t="str">
        <x:v>EEZ</x:v>
      </x:c>
      <x:c r="D37" s="30" t="n">
        <x:v>2019</x:v>
      </x:c>
      <x:c r="E37" s="24" t="str">
        <x:v>Sepiida</x:v>
      </x:c>
      <x:c r="F37" s="24" t="str">
        <x:v>Cuttlefishes, bobtail squids</x:v>
      </x:c>
      <x:c r="G37" s="24" t="str">
        <x:v>Cephalopods</x:v>
      </x:c>
      <x:c r="H37" s="24" t="str">
        <x:v>Other fishes &amp; inverts</x:v>
      </x:c>
      <x:c r="I37" s="31" t="n">
        <x:v>23.857390421</x:v>
      </x:c>
      <x:c r="J37" s="31" t="n">
        <x:v>23.7864162</x:v>
      </x:c>
      <x:c r="K37" s="31" t="n">
        <x:v>0.070974221</x:v>
      </x:c>
      <x:c r="L37" s="31" t="n">
        <x:v>0</x:v>
      </x:c>
      <x:c r="M37" s="31" t="n">
        <x:v>23.857390421</x:v>
      </x:c>
      <x:c r="N37" s="24" t="str">
        <x:v>sepiida</x:v>
      </x:c>
      <x:c r="O37" s="32" t="n">
        <x:v>3.7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Sepiida</x:v>
      </x:c>
      <x:c r="T37" s="32" t="n">
        <x:f>IF(O37="","",(1/'Metadata'!$B$5)^(O37-1))</x:f>
        <x:v>501.18723362727246</x:v>
      </x:c>
      <x:c r="U37" s="31" t="n">
        <x:f>IF(T37="","",I37*T37)</x:f>
        <x:v>11957.01950666678</x:v>
      </x:c>
    </x:row>
    <x:row r="38" ht="18" customHeight="1">
      <x:c r="A38" s="24" t="str">
        <x:v>EEZ_422</x:v>
      </x:c>
      <x:c r="B38" s="24" t="str">
        <x:v>Lebanon</x:v>
      </x:c>
      <x:c r="C38" s="24" t="str">
        <x:v>EEZ</x:v>
      </x:c>
      <x:c r="D38" s="30" t="n">
        <x:v>2019</x:v>
      </x:c>
      <x:c r="E38" s="24" t="str">
        <x:v>Argyrosomus regius</x:v>
      </x:c>
      <x:c r="F38" s="24" t="str">
        <x:v>Meagre</x:v>
      </x:c>
      <x:c r="G38" s="24" t="str">
        <x:v>Large benthopelagics (&gt;=90 cm)</x:v>
      </x:c>
      <x:c r="H38" s="24" t="str">
        <x:v>Perch-likes</x:v>
      </x:c>
      <x:c r="I38" s="31" t="n">
        <x:v>23.8</x:v>
      </x:c>
      <x:c r="J38" s="31" t="n">
        <x:v>23.8</x:v>
      </x:c>
      <x:c r="K38" s="31" t="n">
        <x:v>0</x:v>
      </x:c>
      <x:c r="L38" s="31" t="n">
        <x:v>23.8</x:v>
      </x:c>
      <x:c r="M38" s="31" t="n">
        <x:v>0</x:v>
      </x:c>
      <x:c r="N38" s="24" t="str">
        <x:v>argyrosomus regius</x:v>
      </x:c>
      <x:c r="O38" s="32" t="n">
        <x:v>4.29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Argyrosomus regius</x:v>
      </x:c>
      <x:c r="T38" s="32" t="n">
        <x:f>IF(O38="","",(1/'Metadata'!$B$5)^(O38-1))</x:f>
        <x:v>1949.8445997580454</x:v>
      </x:c>
      <x:c r="U38" s="31" t="n">
        <x:f>IF(T38="","",I38*T38)</x:f>
        <x:v>46406.30147424148</x:v>
      </x:c>
    </x:row>
    <x:row r="39" ht="18" customHeight="1">
      <x:c r="A39" s="24" t="str">
        <x:v>EEZ_422</x:v>
      </x:c>
      <x:c r="B39" s="24" t="str">
        <x:v>Lebanon</x:v>
      </x:c>
      <x:c r="C39" s="24" t="str">
        <x:v>EEZ</x:v>
      </x:c>
      <x:c r="D39" s="30" t="n">
        <x:v>2019</x:v>
      </x:c>
      <x:c r="E39" s="24" t="str">
        <x:v>Octopus vulgaris</x:v>
      </x:c>
      <x:c r="F39" s="24" t="str">
        <x:v>Common octopus</x:v>
      </x:c>
      <x:c r="G39" s="24" t="str">
        <x:v>Cephalopods</x:v>
      </x:c>
      <x:c r="H39" s="24" t="str">
        <x:v>Other fishes &amp; inverts</x:v>
      </x:c>
      <x:c r="I39" s="31" t="n">
        <x:v>21.14347245</x:v>
      </x:c>
      <x:c r="J39" s="31" t="n">
        <x:v>21.14347245</x:v>
      </x:c>
      <x:c r="K39" s="31" t="n">
        <x:v>0</x:v>
      </x:c>
      <x:c r="L39" s="31" t="n">
        <x:v>0</x:v>
      </x:c>
      <x:c r="M39" s="31" t="n">
        <x:v>21.14347245</x:v>
      </x:c>
      <x:c r="N39" s="24" t="str">
        <x:v>octopus vulgaris</x:v>
      </x:c>
      <x:c r="O39" s="32" t="n">
        <x:v>3.6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Octopus vulgaris</x:v>
      </x:c>
      <x:c r="T39" s="32" t="n">
        <x:f>IF(O39="","",(1/'Metadata'!$B$5)^(O39-1))</x:f>
        <x:v>398.1071705534973</x:v>
      </x:c>
      <x:c r="U39" s="31" t="n">
        <x:f>IF(T39="","",I39*T39)</x:f>
        <x:v>8417.367992745323</x:v>
      </x:c>
    </x:row>
    <x:row r="40" ht="18" customHeight="1">
      <x:c r="A40" s="24" t="str">
        <x:v>EEZ_422</x:v>
      </x:c>
      <x:c r="B40" s="24" t="str">
        <x:v>Lebanon</x:v>
      </x:c>
      <x:c r="C40" s="24" t="str">
        <x:v>EEZ</x:v>
      </x:c>
      <x:c r="D40" s="30" t="n">
        <x:v>2019</x:v>
      </x:c>
      <x:c r="E40" s="24" t="str">
        <x:v>Pagrus auriga</x:v>
      </x:c>
      <x:c r="F40" s="24" t="str">
        <x:v>Redbanded seabream</x:v>
      </x:c>
      <x:c r="G40" s="24" t="str">
        <x:v>Medium benthopelagics (30 - 89 cm)</x:v>
      </x:c>
      <x:c r="H40" s="24" t="str">
        <x:v>Perch-likes</x:v>
      </x:c>
      <x:c r="I40" s="31" t="n">
        <x:v>19.24374948</x:v>
      </x:c>
      <x:c r="J40" s="31" t="n">
        <x:v>19.24374948</x:v>
      </x:c>
      <x:c r="K40" s="31" t="n">
        <x:v>0</x:v>
      </x:c>
      <x:c r="L40" s="31" t="n">
        <x:v>0</x:v>
      </x:c>
      <x:c r="M40" s="31" t="n">
        <x:v>19.24374948</x:v>
      </x:c>
      <x:c r="N40" s="24" t="str">
        <x:v>pagrus auriga</x:v>
      </x:c>
      <x:c r="O40" s="32" t="n">
        <x:v>3.84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Pagrus auriga</x:v>
      </x:c>
      <x:c r="T40" s="32" t="n">
        <x:f>IF(O40="","",(1/'Metadata'!$B$5)^(O40-1))</x:f>
        <x:v>691.8309709189363</x:v>
      </x:c>
      <x:c r="U40" s="31" t="n">
        <x:f>IF(T40="","",I40*T40)</x:f>
        <x:v>13313.421886869175</x:v>
      </x:c>
    </x:row>
    <x:row r="41" ht="18" customHeight="1">
      <x:c r="A41" s="24" t="str">
        <x:v>EEZ_422</x:v>
      </x:c>
      <x:c r="B41" s="24" t="str">
        <x:v>Lebanon</x:v>
      </x:c>
      <x:c r="C41" s="24" t="str">
        <x:v>EEZ</x:v>
      </x:c>
      <x:c r="D41" s="30" t="n">
        <x:v>2019</x:v>
      </x:c>
      <x:c r="E41" s="24" t="str">
        <x:v>Diplodus annularis</x:v>
      </x:c>
      <x:c r="F41" s="24" t="str">
        <x:v>Annular seabream</x:v>
      </x:c>
      <x:c r="G41" s="24" t="str">
        <x:v>Small benthopelagics (&lt;30 cm)</x:v>
      </x:c>
      <x:c r="H41" s="24" t="str">
        <x:v>Perch-likes</x:v>
      </x:c>
      <x:c r="I41" s="31" t="n">
        <x:v>17.23772317</x:v>
      </x:c>
      <x:c r="J41" s="31" t="n">
        <x:v>17.23772317</x:v>
      </x:c>
      <x:c r="K41" s="31" t="n">
        <x:v>0</x:v>
      </x:c>
      <x:c r="L41" s="31" t="n">
        <x:v>0</x:v>
      </x:c>
      <x:c r="M41" s="31" t="n">
        <x:v>17.23772317</x:v>
      </x:c>
      <x:c r="N41" s="24" t="str">
        <x:v>diplodus annularis</x:v>
      </x:c>
      <x:c r="O41" s="32" t="n">
        <x:v>3.64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Diplodus annularis</x:v>
      </x:c>
      <x:c r="T41" s="32" t="n">
        <x:f>IF(O41="","",(1/'Metadata'!$B$5)^(O41-1))</x:f>
        <x:v>436.5158322401661</x:v>
      </x:c>
      <x:c r="U41" s="31" t="n">
        <x:f>IF(T41="","",I41*T41)</x:f>
        <x:v>7524.539075478144</x:v>
      </x:c>
    </x:row>
    <x:row r="42" ht="18" customHeight="1">
      <x:c r="A42" s="24" t="str">
        <x:v>EEZ_422</x:v>
      </x:c>
      <x:c r="B42" s="24" t="str">
        <x:v>Lebanon</x:v>
      </x:c>
      <x:c r="C42" s="24" t="str">
        <x:v>EEZ</x:v>
      </x:c>
      <x:c r="D42" s="30" t="n">
        <x:v>2019</x:v>
      </x:c>
      <x:c r="E42" s="24" t="str">
        <x:v>Mugil cephalus</x:v>
      </x:c>
      <x:c r="F42" s="24" t="str">
        <x:v>Flathead grey mullet</x:v>
      </x:c>
      <x:c r="G42" s="24" t="str">
        <x:v>Large benthopelagics (&gt;=90 cm)</x:v>
      </x:c>
      <x:c r="H42" s="24" t="str">
        <x:v>Perch-likes</x:v>
      </x:c>
      <x:c r="I42" s="31" t="n">
        <x:v>16.56654963</x:v>
      </x:c>
      <x:c r="J42" s="31" t="n">
        <x:v>16.56654963</x:v>
      </x:c>
      <x:c r="K42" s="31" t="n">
        <x:v>0</x:v>
      </x:c>
      <x:c r="L42" s="31" t="n">
        <x:v>0</x:v>
      </x:c>
      <x:c r="M42" s="31" t="n">
        <x:v>16.56654963</x:v>
      </x:c>
      <x:c r="N42" s="24" t="str">
        <x:v>mugil cephalus</x:v>
      </x:c>
      <x:c r="O42" s="32" t="n">
        <x:v>2.14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Mugil cephalus</x:v>
      </x:c>
      <x:c r="T42" s="32" t="n">
        <x:f>IF(O42="","",(1/'Metadata'!$B$5)^(O42-1))</x:f>
        <x:v>13.803842646028853</x:v>
      </x:c>
      <x:c r="U42" s="31" t="n">
        <x:f>IF(T42="","",I42*T42)</x:f>
        <x:v>228.68204428014752</x:v>
      </x:c>
    </x:row>
    <x:row r="43" ht="18" customHeight="1">
      <x:c r="A43" s="24" t="str">
        <x:v>EEZ_422</x:v>
      </x:c>
      <x:c r="B43" s="24" t="str">
        <x:v>Lebanon</x:v>
      </x:c>
      <x:c r="C43" s="24" t="str">
        <x:v>EEZ</x:v>
      </x:c>
      <x:c r="D43" s="30" t="n">
        <x:v>2019</x:v>
      </x:c>
      <x:c r="E43" s="24" t="str">
        <x:v>Sphyraena</x:v>
      </x:c>
      <x:c r="F43" s="24" t="str">
        <x:v>Barracudas, sennets</x:v>
      </x:c>
      <x:c r="G43" s="24" t="str">
        <x:v>Large pelagics (&gt;=90 cm)</x:v>
      </x:c>
      <x:c r="H43" s="24" t="str">
        <x:v>Perch-likes</x:v>
      </x:c>
      <x:c r="I43" s="31" t="n">
        <x:v>15.600000001000002</x:v>
      </x:c>
      <x:c r="J43" s="31" t="n">
        <x:v>15.600000001000002</x:v>
      </x:c>
      <x:c r="K43" s="31" t="n">
        <x:v>0</x:v>
      </x:c>
      <x:c r="L43" s="31" t="n">
        <x:v>15.600000001000002</x:v>
      </x:c>
      <x:c r="M43" s="31" t="n">
        <x:v>0</x:v>
      </x:c>
      <x:c r="N43" s="24" t="str">
        <x:v>sphyraena</x:v>
      </x:c>
      <x:c r="O43" s="32" t="n">
        <x:v>4.4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Sphyraena</x:v>
      </x:c>
      <x:c r="T43" s="32" t="n">
        <x:f>IF(O43="","",(1/'Metadata'!$B$5)^(O43-1))</x:f>
        <x:v>2511.886431509582</x:v>
      </x:c>
      <x:c r="U43" s="31" t="n">
        <x:f>IF(T43="","",I43*T43)</x:f>
        <x:v>39185.42833406137</x:v>
      </x:c>
    </x:row>
    <x:row r="44" ht="18" customHeight="1">
      <x:c r="A44" s="24" t="str">
        <x:v>EEZ_422</x:v>
      </x:c>
      <x:c r="B44" s="24" t="str">
        <x:v>Lebanon</x:v>
      </x:c>
      <x:c r="C44" s="24" t="str">
        <x:v>EEZ</x:v>
      </x:c>
      <x:c r="D44" s="30" t="n">
        <x:v>2019</x:v>
      </x:c>
      <x:c r="E44" s="24" t="str">
        <x:v>Sparisoma cretense</x:v>
      </x:c>
      <x:c r="F44" s="24" t="str">
        <x:v>Old parrotfish</x:v>
      </x:c>
      <x:c r="G44" s="24" t="str">
        <x:v>Medium reef assoc. fish (30 - 89 cm)</x:v>
      </x:c>
      <x:c r="H44" s="24" t="str">
        <x:v>Perch-likes</x:v>
      </x:c>
      <x:c r="I44" s="31" t="n">
        <x:v>15.47416993</x:v>
      </x:c>
      <x:c r="J44" s="31" t="n">
        <x:v>15.47416993</x:v>
      </x:c>
      <x:c r="K44" s="31" t="n">
        <x:v>0</x:v>
      </x:c>
      <x:c r="L44" s="31" t="n">
        <x:v>0</x:v>
      </x:c>
      <x:c r="M44" s="31" t="n">
        <x:v>15.47416993</x:v>
      </x:c>
      <x:c r="N44" s="24" t="str">
        <x:v>sparisoma cretense</x:v>
      </x:c>
      <x:c r="O44" s="32" t="n">
        <x:v>2.86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Sparisoma cretense</x:v>
      </x:c>
      <x:c r="T44" s="32" t="n">
        <x:f>IF(O44="","",(1/'Metadata'!$B$5)^(O44-1))</x:f>
        <x:v>72.44359600749898</x:v>
      </x:c>
      <x:c r="U44" s="31" t="n">
        <x:f>IF(T44="","",I44*T44)</x:f>
        <x:v>1121.0045149603088</x:v>
      </x:c>
    </x:row>
    <x:row r="45" ht="18" customHeight="1">
      <x:c r="A45" s="24" t="str">
        <x:v>EEZ_422</x:v>
      </x:c>
      <x:c r="B45" s="24" t="str">
        <x:v>Lebanon</x:v>
      </x:c>
      <x:c r="C45" s="24" t="str">
        <x:v>EEZ</x:v>
      </x:c>
      <x:c r="D45" s="30" t="n">
        <x:v>2019</x:v>
      </x:c>
      <x:c r="E45" s="24" t="str">
        <x:v>Portunus pelagicus</x:v>
      </x:c>
      <x:c r="F45" s="24" t="str">
        <x:v>Blue swimming crab</x:v>
      </x:c>
      <x:c r="G45" s="24" t="str">
        <x:v>Lobsters, crabs</x:v>
      </x:c>
      <x:c r="H45" s="24" t="str">
        <x:v>Crustaceans</x:v>
      </x:c>
      <x:c r="I45" s="31" t="n">
        <x:v>15</x:v>
      </x:c>
      <x:c r="J45" s="31" t="n">
        <x:v>15</x:v>
      </x:c>
      <x:c r="K45" s="31" t="n">
        <x:v>0</x:v>
      </x:c>
      <x:c r="L45" s="31" t="n">
        <x:v>15</x:v>
      </x:c>
      <x:c r="M45" s="31" t="n">
        <x:v>0</x:v>
      </x:c>
      <x:c r="N45" s="24" t="str">
        <x:v>portunus pelagicus</x:v>
      </x:c>
      <x:c r="O45" s="32" t="n">
        <x:v>2.48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Portunus pelagicus</x:v>
      </x:c>
      <x:c r="T45" s="32" t="n">
        <x:f>IF(O45="","",(1/'Metadata'!$B$5)^(O45-1))</x:f>
        <x:v>30.19951720402016</x:v>
      </x:c>
      <x:c r="U45" s="31" t="n">
        <x:f>IF(T45="","",I45*T45)</x:f>
        <x:v>452.99275806030244</x:v>
      </x:c>
    </x:row>
    <x:row r="46" ht="18" customHeight="1">
      <x:c r="A46" s="24" t="str">
        <x:v>EEZ_422</x:v>
      </x:c>
      <x:c r="B46" s="24" t="str">
        <x:v>Lebanon</x:v>
      </x:c>
      <x:c r="C46" s="24" t="str">
        <x:v>EEZ</x:v>
      </x:c>
      <x:c r="D46" s="30" t="n">
        <x:v>2019</x:v>
      </x:c>
      <x:c r="E46" s="24" t="str">
        <x:v>Coryphaena hippurus</x:v>
      </x:c>
      <x:c r="F46" s="24" t="str">
        <x:v>Common dolphinfish</x:v>
      </x:c>
      <x:c r="G46" s="24" t="str">
        <x:v>Large pelagics (&gt;=90 cm)</x:v>
      </x:c>
      <x:c r="H46" s="24" t="str">
        <x:v>Perch-likes</x:v>
      </x:c>
      <x:c r="I46" s="31" t="n">
        <x:v>14.604778531000001</x:v>
      </x:c>
      <x:c r="J46" s="31" t="n">
        <x:v>14.604778531000001</x:v>
      </x:c>
      <x:c r="K46" s="31" t="n">
        <x:v>0</x:v>
      </x:c>
      <x:c r="L46" s="31" t="n">
        <x:v>7.8</x:v>
      </x:c>
      <x:c r="M46" s="31" t="n">
        <x:v>6.804778531</x:v>
      </x:c>
      <x:c r="N46" s="24" t="str">
        <x:v>coryphaena hippurus</x:v>
      </x:c>
      <x:c r="O46" s="32" t="n">
        <x:v>4.37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Coryphaena hippurus</x:v>
      </x:c>
      <x:c r="T46" s="32" t="n">
        <x:f>IF(O46="","",(1/'Metadata'!$B$5)^(O46-1))</x:f>
        <x:v>2344.228815319923</x:v>
      </x:c>
      <x:c r="U46" s="31" t="n">
        <x:f>IF(T46="","",I46*T46)</x:f>
        <x:v>34236.942673735975</x:v>
      </x:c>
    </x:row>
    <x:row r="47" ht="18" customHeight="1">
      <x:c r="A47" s="24" t="str">
        <x:v>EEZ_422</x:v>
      </x:c>
      <x:c r="B47" s="24" t="str">
        <x:v>Lebanon</x:v>
      </x:c>
      <x:c r="C47" s="24" t="str">
        <x:v>EEZ</x:v>
      </x:c>
      <x:c r="D47" s="30" t="n">
        <x:v>2019</x:v>
      </x:c>
      <x:c r="E47" s="24" t="str">
        <x:v>Mullus barbatus</x:v>
      </x:c>
      <x:c r="F47" s="24" t="str">
        <x:v>Red mullet</x:v>
      </x:c>
      <x:c r="G47" s="24" t="str">
        <x:v>Medium demersals (30 - 89 cm)</x:v>
      </x:c>
      <x:c r="H47" s="24" t="str">
        <x:v>Perch-likes</x:v>
      </x:c>
      <x:c r="I47" s="31" t="n">
        <x:v>14.447105635</x:v>
      </x:c>
      <x:c r="J47" s="31" t="n">
        <x:v>14.447105635</x:v>
      </x:c>
      <x:c r="K47" s="31" t="n">
        <x:v>0</x:v>
      </x:c>
      <x:c r="L47" s="31" t="n">
        <x:v>14.2</x:v>
      </x:c>
      <x:c r="M47" s="31" t="n">
        <x:v>0.247105635</x:v>
      </x:c>
      <x:c r="N47" s="24" t="str">
        <x:v>mullus barbatus</x:v>
      </x:c>
      <x:c r="O47" s="32" t="n">
        <x:v>3.14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Mullus barbatus</x:v>
      </x:c>
      <x:c r="T47" s="32" t="n">
        <x:f>IF(O47="","",(1/'Metadata'!$B$5)^(O47-1))</x:f>
        <x:v>138.03842646028852</x:v>
      </x:c>
      <x:c r="U47" s="31" t="n">
        <x:f>IF(T47="","",I47*T47)</x:f>
        <x:v>1994.2557287609673</x:v>
      </x:c>
    </x:row>
    <x:row r="48" ht="18" customHeight="1">
      <x:c r="A48" s="24" t="str">
        <x:v>EEZ_422</x:v>
      </x:c>
      <x:c r="B48" s="24" t="str">
        <x:v>Lebanon</x:v>
      </x:c>
      <x:c r="C48" s="24" t="str">
        <x:v>EEZ</x:v>
      </x:c>
      <x:c r="D48" s="30" t="n">
        <x:v>2019</x:v>
      </x:c>
      <x:c r="E48" s="24" t="str">
        <x:v>Mullus surmuletus</x:v>
      </x:c>
      <x:c r="F48" s="24" t="str">
        <x:v>Surmullet</x:v>
      </x:c>
      <x:c r="G48" s="24" t="str">
        <x:v>Medium demersals (30 - 89 cm)</x:v>
      </x:c>
      <x:c r="H48" s="24" t="str">
        <x:v>Perch-likes</x:v>
      </x:c>
      <x:c r="I48" s="31" t="n">
        <x:v>12.1</x:v>
      </x:c>
      <x:c r="J48" s="31" t="n">
        <x:v>12.1</x:v>
      </x:c>
      <x:c r="K48" s="31" t="n">
        <x:v>0</x:v>
      </x:c>
      <x:c r="L48" s="31" t="n">
        <x:v>12.1</x:v>
      </x:c>
      <x:c r="M48" s="31" t="n">
        <x:v>0</x:v>
      </x:c>
      <x:c r="N48" s="24" t="str">
        <x:v>mullus surmuletus</x:v>
      </x:c>
      <x:c r="O48" s="32" t="n">
        <x:v>3.45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Mullus surmuletus</x:v>
      </x:c>
      <x:c r="T48" s="32" t="n">
        <x:f>IF(O48="","",(1/'Metadata'!$B$5)^(O48-1))</x:f>
        <x:v>281.8382931264455</x:v>
      </x:c>
      <x:c r="U48" s="31" t="n">
        <x:f>IF(T48="","",I48*T48)</x:f>
        <x:v>3410.24334682999</x:v>
      </x:c>
    </x:row>
    <x:row r="49" ht="18" customHeight="1">
      <x:c r="A49" s="24" t="str">
        <x:v>EEZ_422</x:v>
      </x:c>
      <x:c r="B49" s="24" t="str">
        <x:v>Lebanon</x:v>
      </x:c>
      <x:c r="C49" s="24" t="str">
        <x:v>EEZ</x:v>
      </x:c>
      <x:c r="D49" s="30" t="n">
        <x:v>2019</x:v>
      </x:c>
      <x:c r="E49" s="24" t="str">
        <x:v>Chromis chromis</x:v>
      </x:c>
      <x:c r="F49" s="24" t="str">
        <x:v>Damselfish</x:v>
      </x:c>
      <x:c r="G49" s="24" t="str">
        <x:v>Small reef assoc. fish (&lt;30 cm)</x:v>
      </x:c>
      <x:c r="H49" s="24" t="str">
        <x:v>Perch-likes</x:v>
      </x:c>
      <x:c r="I49" s="31" t="n">
        <x:v>11.5950844</x:v>
      </x:c>
      <x:c r="J49" s="31" t="n">
        <x:v>11.5950844</x:v>
      </x:c>
      <x:c r="K49" s="31" t="n">
        <x:v>0</x:v>
      </x:c>
      <x:c r="L49" s="31" t="n">
        <x:v>0</x:v>
      </x:c>
      <x:c r="M49" s="31" t="n">
        <x:v>11.5950844</x:v>
      </x:c>
      <x:c r="N49" s="24" t="str">
        <x:v>chromis chromis</x:v>
      </x:c>
      <x:c r="O49" s="32" t="n">
        <x:v>3.77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Chromis chromis</x:v>
      </x:c>
      <x:c r="T49" s="32" t="n">
        <x:f>IF(O49="","",(1/'Metadata'!$B$5)^(O49-1))</x:f>
        <x:v>588.843655355589</x:v>
      </x:c>
      <x:c r="U49" s="31" t="n">
        <x:f>IF(T49="","",I49*T49)</x:f>
        <x:v>6827.691882252566</x:v>
      </x:c>
    </x:row>
    <x:row r="50" ht="18" customHeight="1">
      <x:c r="A50" s="24" t="str">
        <x:v>EEZ_422</x:v>
      </x:c>
      <x:c r="B50" s="24" t="str">
        <x:v>Lebanon</x:v>
      </x:c>
      <x:c r="C50" s="24" t="str">
        <x:v>EEZ</x:v>
      </x:c>
      <x:c r="D50" s="30" t="n">
        <x:v>2019</x:v>
      </x:c>
      <x:c r="E50" s="24" t="str">
        <x:v>Haemulidae</x:v>
      </x:c>
      <x:c r="F50" s="24" t="str">
        <x:v>Grunts, sweetlips, bonnetmouths</x:v>
      </x:c>
      <x:c r="G50" s="24" t="str">
        <x:v>Medium demersals (30 - 89 cm)</x:v>
      </x:c>
      <x:c r="H50" s="24" t="str">
        <x:v>Perch-likes</x:v>
      </x:c>
      <x:c r="I50" s="31" t="n">
        <x:v>11.2787352</x:v>
      </x:c>
      <x:c r="J50" s="31" t="n">
        <x:v>11.2787352</x:v>
      </x:c>
      <x:c r="K50" s="31" t="n">
        <x:v>0</x:v>
      </x:c>
      <x:c r="L50" s="31" t="n">
        <x:v>0</x:v>
      </x:c>
      <x:c r="M50" s="31" t="n">
        <x:v>11.2787352</x:v>
      </x:c>
      <x:c r="N50" s="24" t="str">
        <x:v>haemulidae</x:v>
      </x:c>
      <x:c r="O50" s="32" t="n">
        <x:v>3.36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Haemulidae</x:v>
      </x:c>
      <x:c r="T50" s="32" t="n">
        <x:f>IF(O50="","",(1/'Metadata'!$B$5)^(O50-1))</x:f>
        <x:v>229.08676527677724</x:v>
      </x:c>
      <x:c r="U50" s="31" t="n">
        <x:f>IF(T50="","",I50*T50)</x:f>
        <x:v>2583.808963381325</x:v>
      </x:c>
    </x:row>
    <x:row r="51" ht="18" customHeight="1">
      <x:c r="A51" s="24" t="str">
        <x:v>EEZ_422</x:v>
      </x:c>
      <x:c r="B51" s="24" t="str">
        <x:v>Lebanon</x:v>
      </x:c>
      <x:c r="C51" s="24" t="str">
        <x:v>EEZ</x:v>
      </x:c>
      <x:c r="D51" s="30" t="n">
        <x:v>2019</x:v>
      </x:c>
      <x:c r="E51" s="24" t="str">
        <x:v>Auxis rochei</x:v>
      </x:c>
      <x:c r="F51" s="24" t="str">
        <x:v>Bullet tuna</x:v>
      </x:c>
      <x:c r="G51" s="24" t="str">
        <x:v>Medium pelagics (30 - 89 cm)</x:v>
      </x:c>
      <x:c r="H51" s="24" t="str">
        <x:v>Tuna &amp; billfishes</x:v>
      </x:c>
      <x:c r="I51" s="31" t="n">
        <x:v>11.257703651</x:v>
      </x:c>
      <x:c r="J51" s="31" t="n">
        <x:v>11.257703651</x:v>
      </x:c>
      <x:c r="K51" s="31" t="n">
        <x:v>0</x:v>
      </x:c>
      <x:c r="L51" s="31" t="n">
        <x:v>0</x:v>
      </x:c>
      <x:c r="M51" s="31" t="n">
        <x:v>11.257703651</x:v>
      </x:c>
      <x:c r="N51" s="24" t="str">
        <x:v>auxis rochei</x:v>
      </x:c>
      <x:c r="O51" s="32" t="n">
        <x:v>4.13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Auxis rochei</x:v>
      </x:c>
      <x:c r="T51" s="32" t="n">
        <x:f>IF(O51="","",(1/'Metadata'!$B$5)^(O51-1))</x:f>
        <x:v>1348.9628825916532</x:v>
      </x:c>
      <x:c r="U51" s="31" t="n">
        <x:f>IF(T51="","",I51*T51)</x:f>
        <x:v>15186.224368415538</x:v>
      </x:c>
    </x:row>
    <x:row r="52" ht="18" customHeight="1">
      <x:c r="A52" s="24" t="str">
        <x:v>EEZ_422</x:v>
      </x:c>
      <x:c r="B52" s="24" t="str">
        <x:v>Lebanon</x:v>
      </x:c>
      <x:c r="C52" s="24" t="str">
        <x:v>EEZ</x:v>
      </x:c>
      <x:c r="D52" s="30" t="n">
        <x:v>2019</x:v>
      </x:c>
      <x:c r="E52" s="24" t="str">
        <x:v>Decapoda</x:v>
      </x:c>
      <x:c r="F52" s="24" t="str">
        <x:v>Crabs, lobsters, shrimps</x:v>
      </x:c>
      <x:c r="G52" s="24" t="str">
        <x:v>Lobsters, crabs</x:v>
      </x:c>
      <x:c r="H52" s="24" t="str">
        <x:v>Crustaceans</x:v>
      </x:c>
      <x:c r="I52" s="31" t="n">
        <x:v>11</x:v>
      </x:c>
      <x:c r="J52" s="31" t="n">
        <x:v>11</x:v>
      </x:c>
      <x:c r="K52" s="31" t="n">
        <x:v>0</x:v>
      </x:c>
      <x:c r="L52" s="31" t="n">
        <x:v>11</x:v>
      </x:c>
      <x:c r="M52" s="31" t="n">
        <x:v>0</x:v>
      </x:c>
      <x:c r="N52" s="24" t="str">
        <x:v>decapoda</x:v>
      </x:c>
      <x:c r="O52" s="32" t="n">
        <x:v>3.43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Decapoda</x:v>
      </x:c>
      <x:c r="T52" s="32" t="n">
        <x:f>IF(O52="","",(1/'Metadata'!$B$5)^(O52-1))</x:f>
        <x:v>269.1534803926917</x:v>
      </x:c>
      <x:c r="U52" s="31" t="n">
        <x:f>IF(T52="","",I52*T52)</x:f>
        <x:v>2960.6882843196086</x:v>
      </x:c>
    </x:row>
    <x:row r="53" ht="18" customHeight="1">
      <x:c r="A53" s="24" t="str">
        <x:v>EEZ_422</x:v>
      </x:c>
      <x:c r="B53" s="24" t="str">
        <x:v>Lebanon</x:v>
      </x:c>
      <x:c r="C53" s="24" t="str">
        <x:v>EEZ</x:v>
      </x:c>
      <x:c r="D53" s="30" t="n">
        <x:v>2019</x:v>
      </x:c>
      <x:c r="E53" s="24" t="str">
        <x:v>Epinephelus</x:v>
      </x:c>
      <x:c r="F53" s="24" t="str">
        <x:v>Seabasses, hinds</x:v>
      </x:c>
      <x:c r="G53" s="24" t="str">
        <x:v>Medium reef assoc. fish (30 - 89 cm)</x:v>
      </x:c>
      <x:c r="H53" s="24" t="str">
        <x:v>Perch-likes</x:v>
      </x:c>
      <x:c r="I53" s="31" t="n">
        <x:v>10.42253558</x:v>
      </x:c>
      <x:c r="J53" s="31" t="n">
        <x:v>10.42253558</x:v>
      </x:c>
      <x:c r="K53" s="31" t="n">
        <x:v>0</x:v>
      </x:c>
      <x:c r="L53" s="31" t="n">
        <x:v>0</x:v>
      </x:c>
      <x:c r="M53" s="31" t="n">
        <x:v>10.42253558</x:v>
      </x:c>
      <x:c r="N53" s="24" t="str">
        <x:v>epinephelus</x:v>
      </x:c>
      <x:c r="O53" s="32" t="n">
        <x:v>3.84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Epinephelus</x:v>
      </x:c>
      <x:c r="T53" s="32" t="n">
        <x:f>IF(O53="","",(1/'Metadata'!$B$5)^(O53-1))</x:f>
        <x:v>691.8309709189363</x:v>
      </x:c>
      <x:c r="U53" s="31" t="n">
        <x:f>IF(T53="","",I53*T53)</x:f>
        <x:v>7210.632909748559</x:v>
      </x:c>
    </x:row>
    <x:row r="54" ht="18" customHeight="1">
      <x:c r="A54" s="24" t="str">
        <x:v>EEZ_422</x:v>
      </x:c>
      <x:c r="B54" s="24" t="str">
        <x:v>Lebanon</x:v>
      </x:c>
      <x:c r="C54" s="24" t="str">
        <x:v>EEZ</x:v>
      </x:c>
      <x:c r="D54" s="30" t="n">
        <x:v>2019</x:v>
      </x:c>
      <x:c r="E54" s="24" t="str">
        <x:v>Trachurus trachurus</x:v>
      </x:c>
      <x:c r="F54" s="24" t="str">
        <x:v>Atlantic horse mackerel</x:v>
      </x:c>
      <x:c r="G54" s="24" t="str">
        <x:v>Medium pelagics (30 - 89 cm)</x:v>
      </x:c>
      <x:c r="H54" s="24" t="str">
        <x:v>Perch-likes</x:v>
      </x:c>
      <x:c r="I54" s="31" t="n">
        <x:v>10.19927424</x:v>
      </x:c>
      <x:c r="J54" s="31" t="n">
        <x:v>10.19927424</x:v>
      </x:c>
      <x:c r="K54" s="31" t="n">
        <x:v>0</x:v>
      </x:c>
      <x:c r="L54" s="31" t="n">
        <x:v>0</x:v>
      </x:c>
      <x:c r="M54" s="31" t="n">
        <x:v>10.19927424</x:v>
      </x:c>
      <x:c r="N54" s="24" t="str">
        <x:v>trachurus trachurus</x:v>
      </x:c>
      <x:c r="O54" s="32" t="n">
        <x:v>3.71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Trachurus trachurus</x:v>
      </x:c>
      <x:c r="T54" s="32" t="n">
        <x:f>IF(O54="","",(1/'Metadata'!$B$5)^(O54-1))</x:f>
        <x:v>512.8613839913648</x:v>
      </x:c>
      <x:c r="U54" s="31" t="n">
        <x:f>IF(T54="","",I54*T54)</x:f>
        <x:v>5230.813902433875</x:v>
      </x:c>
    </x:row>
    <x:row r="55" ht="18" customHeight="1">
      <x:c r="A55" s="24" t="str">
        <x:v>EEZ_422</x:v>
      </x:c>
      <x:c r="B55" s="24" t="str">
        <x:v>Lebanon</x:v>
      </x:c>
      <x:c r="C55" s="24" t="str">
        <x:v>EEZ</x:v>
      </x:c>
      <x:c r="D55" s="30" t="n">
        <x:v>2019</x:v>
      </x:c>
      <x:c r="E55" s="24" t="str">
        <x:v>Labridae</x:v>
      </x:c>
      <x:c r="F55" s="24" t="str">
        <x:v>Wrasses, gropers, tuskfishes</x:v>
      </x:c>
      <x:c r="G55" s="24" t="str">
        <x:v>Medium reef assoc. fish (30 - 89 cm)</x:v>
      </x:c>
      <x:c r="H55" s="24" t="str">
        <x:v>Perch-likes</x:v>
      </x:c>
      <x:c r="I55" s="31" t="n">
        <x:v>8.2</x:v>
      </x:c>
      <x:c r="J55" s="31" t="n">
        <x:v>8.2</x:v>
      </x:c>
      <x:c r="K55" s="31" t="n">
        <x:v>0</x:v>
      </x:c>
      <x:c r="L55" s="31" t="n">
        <x:v>8.2</x:v>
      </x:c>
      <x:c r="M55" s="31" t="n">
        <x:v>0</x:v>
      </x:c>
      <x:c r="N55" s="24" t="str">
        <x:v>labridae</x:v>
      </x:c>
      <x:c r="O55" s="32" t="n">
        <x:v>3.46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Labridae</x:v>
      </x:c>
      <x:c r="T55" s="32" t="n">
        <x:f>IF(O55="","",(1/'Metadata'!$B$5)^(O55-1))</x:f>
        <x:v>288.40315031266056</x:v>
      </x:c>
      <x:c r="U55" s="31" t="n">
        <x:f>IF(T55="","",I55*T55)</x:f>
        <x:v>2364.905832563816</x:v>
      </x:c>
    </x:row>
    <x:row r="56" ht="18" customHeight="1">
      <x:c r="A56" s="24" t="str">
        <x:v>EEZ_422</x:v>
      </x:c>
      <x:c r="B56" s="24" t="str">
        <x:v>Lebanon</x:v>
      </x:c>
      <x:c r="C56" s="24" t="str">
        <x:v>EEZ</x:v>
      </x:c>
      <x:c r="D56" s="30" t="n">
        <x:v>2019</x:v>
      </x:c>
      <x:c r="E56" s="24" t="str">
        <x:v>Pleuronectiformes</x:v>
      </x:c>
      <x:c r="F56" s="24" t="str">
        <x:v>Flatfishes</x:v>
      </x:c>
      <x:c r="G56" s="24" t="str">
        <x:v>Small to medium flatfishes (&lt;90 cm)</x:v>
      </x:c>
      <x:c r="H56" s="24" t="str">
        <x:v>Flatfishes</x:v>
      </x:c>
      <x:c r="I56" s="31" t="n">
        <x:v>7.928802213</x:v>
      </x:c>
      <x:c r="J56" s="31" t="n">
        <x:v>7.928802213</x:v>
      </x:c>
      <x:c r="K56" s="31" t="n">
        <x:v>0</x:v>
      </x:c>
      <x:c r="L56" s="31" t="n">
        <x:v>0</x:v>
      </x:c>
      <x:c r="M56" s="31" t="n">
        <x:v>7.928802213</x:v>
      </x:c>
      <x:c r="N56" s="24" t="str">
        <x:v>pleuronectiformes</x:v>
      </x:c>
      <x:c r="O56" s="32" t="n">
        <x:v>3.57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Pleuronectiformes</x:v>
      </x:c>
      <x:c r="T56" s="32" t="n">
        <x:f>IF(O56="","",(1/'Metadata'!$B$5)^(O56-1))</x:f>
        <x:v>371.5352290971724</x:v>
      </x:c>
      <x:c r="U56" s="31" t="n">
        <x:f>IF(T56="","",I56*T56)</x:f>
        <x:v>2945.8293466731225</x:v>
      </x:c>
    </x:row>
    <x:row r="57" ht="18" customHeight="1">
      <x:c r="A57" s="24" t="str">
        <x:v>EEZ_422</x:v>
      </x:c>
      <x:c r="B57" s="24" t="str">
        <x:v>Lebanon</x:v>
      </x:c>
      <x:c r="C57" s="24" t="str">
        <x:v>EEZ</x:v>
      </x:c>
      <x:c r="D57" s="30" t="n">
        <x:v>2019</x:v>
      </x:c>
      <x:c r="E57" s="24" t="str">
        <x:v>Umbrina cirrosa</x:v>
      </x:c>
      <x:c r="F57" s="24" t="str">
        <x:v>Shi drum</x:v>
      </x:c>
      <x:c r="G57" s="24" t="str">
        <x:v>Medium demersals (30 - 89 cm)</x:v>
      </x:c>
      <x:c r="H57" s="24" t="str">
        <x:v>Perch-likes</x:v>
      </x:c>
      <x:c r="I57" s="31" t="n">
        <x:v>7.135796297</x:v>
      </x:c>
      <x:c r="J57" s="31" t="n">
        <x:v>7.135796297</x:v>
      </x:c>
      <x:c r="K57" s="31" t="n">
        <x:v>0</x:v>
      </x:c>
      <x:c r="L57" s="31" t="n">
        <x:v>6.1</x:v>
      </x:c>
      <x:c r="M57" s="31" t="n">
        <x:v>1.035796297</x:v>
      </x:c>
      <x:c r="N57" s="24" t="str">
        <x:v>umbrina cirrosa</x:v>
      </x:c>
      <x:c r="O57" s="32" t="n">
        <x:v>3.46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Umbrina cirrosa</x:v>
      </x:c>
      <x:c r="T57" s="32" t="n">
        <x:f>IF(O57="","",(1/'Metadata'!$B$5)^(O57-1))</x:f>
        <x:v>288.40315031266056</x:v>
      </x:c>
      <x:c r="U57" s="31" t="n">
        <x:f>IF(T57="","",I57*T57)</x:f>
        <x:v>2057.9861320442174</x:v>
      </x:c>
    </x:row>
    <x:row r="58" ht="18" customHeight="1">
      <x:c r="A58" s="24" t="str">
        <x:v>EEZ_422</x:v>
      </x:c>
      <x:c r="B58" s="24" t="str">
        <x:v>Lebanon</x:v>
      </x:c>
      <x:c r="C58" s="24" t="str">
        <x:v>EEZ</x:v>
      </x:c>
      <x:c r="D58" s="30" t="n">
        <x:v>2019</x:v>
      </x:c>
      <x:c r="E58" s="24" t="str">
        <x:v>Balistes capriscus</x:v>
      </x:c>
      <x:c r="F58" s="24" t="str">
        <x:v>Grey triggerfish</x:v>
      </x:c>
      <x:c r="G58" s="24" t="str">
        <x:v>Medium benthopelagics (30 - 89 cm)</x:v>
      </x:c>
      <x:c r="H58" s="24" t="str">
        <x:v>Other fishes &amp; inverts</x:v>
      </x:c>
      <x:c r="I58" s="31" t="n">
        <x:v>6.8</x:v>
      </x:c>
      <x:c r="J58" s="31" t="n">
        <x:v>6.8</x:v>
      </x:c>
      <x:c r="K58" s="31" t="n">
        <x:v>0</x:v>
      </x:c>
      <x:c r="L58" s="31" t="n">
        <x:v>6.8</x:v>
      </x:c>
      <x:c r="M58" s="31" t="n">
        <x:v>0</x:v>
      </x:c>
      <x:c r="N58" s="24" t="str">
        <x:v>balistes capriscus</x:v>
      </x:c>
      <x:c r="O58" s="32" t="n">
        <x:v>4.06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Balistes capriscus</x:v>
      </x:c>
      <x:c r="T58" s="32" t="n">
        <x:f>IF(O58="","",(1/'Metadata'!$B$5)^(O58-1))</x:f>
        <x:v>1148.1536214968817</x:v>
      </x:c>
      <x:c r="U58" s="31" t="n">
        <x:f>IF(T58="","",I58*T58)</x:f>
        <x:v>7807.444626178795</x:v>
      </x:c>
    </x:row>
    <x:row r="59" ht="18" customHeight="1">
      <x:c r="A59" s="24" t="str">
        <x:v>EEZ_422</x:v>
      </x:c>
      <x:c r="B59" s="24" t="str">
        <x:v>Lebanon</x:v>
      </x:c>
      <x:c r="C59" s="24" t="str">
        <x:v>EEZ</x:v>
      </x:c>
      <x:c r="D59" s="30" t="n">
        <x:v>2019</x:v>
      </x:c>
      <x:c r="E59" s="24" t="str">
        <x:v>Epinephelus aeneus</x:v>
      </x:c>
      <x:c r="F59" s="24" t="str">
        <x:v>White grouper</x:v>
      </x:c>
      <x:c r="G59" s="24" t="str">
        <x:v>Large demersals (&gt;=90 cm)</x:v>
      </x:c>
      <x:c r="H59" s="24" t="str">
        <x:v>Perch-likes</x:v>
      </x:c>
      <x:c r="I59" s="31" t="n">
        <x:v>5.722882168</x:v>
      </x:c>
      <x:c r="J59" s="31" t="n">
        <x:v>5.722882168</x:v>
      </x:c>
      <x:c r="K59" s="31" t="n">
        <x:v>0</x:v>
      </x:c>
      <x:c r="L59" s="31" t="n">
        <x:v>0</x:v>
      </x:c>
      <x:c r="M59" s="31" t="n">
        <x:v>5.722882168</x:v>
      </x:c>
      <x:c r="N59" s="24" t="str">
        <x:v>epinephelus aeneus</x:v>
      </x:c>
      <x:c r="O59" s="32" t="n">
        <x:v>4.02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Epinephelus aeneus</x:v>
      </x:c>
      <x:c r="T59" s="32" t="n">
        <x:f>IF(O59="","",(1/'Metadata'!$B$5)^(O59-1))</x:f>
        <x:v>1047.1285480508984</x:v>
      </x:c>
      <x:c r="U59" s="31" t="n">
        <x:f>IF(T59="","",I59*T59)</x:f>
        <x:v>5992.593295244217</x:v>
      </x:c>
    </x:row>
    <x:row r="60" ht="18" customHeight="1">
      <x:c r="A60" s="24" t="str">
        <x:v>EEZ_422</x:v>
      </x:c>
      <x:c r="B60" s="24" t="str">
        <x:v>Lebanon</x:v>
      </x:c>
      <x:c r="C60" s="24" t="str">
        <x:v>EEZ</x:v>
      </x:c>
      <x:c r="D60" s="30" t="n">
        <x:v>2019</x:v>
      </x:c>
      <x:c r="E60" s="24" t="str">
        <x:v>Sparus aurata</x:v>
      </x:c>
      <x:c r="F60" s="24" t="str">
        <x:v>Gilthead seabream</x:v>
      </x:c>
      <x:c r="G60" s="24" t="str">
        <x:v>Medium demersals (30 - 89 cm)</x:v>
      </x:c>
      <x:c r="H60" s="24" t="str">
        <x:v>Perch-likes</x:v>
      </x:c>
      <x:c r="I60" s="31" t="n">
        <x:v>5.293569495</x:v>
      </x:c>
      <x:c r="J60" s="31" t="n">
        <x:v>5.293569495</x:v>
      </x:c>
      <x:c r="K60" s="31" t="n">
        <x:v>0</x:v>
      </x:c>
      <x:c r="L60" s="31" t="n">
        <x:v>0</x:v>
      </x:c>
      <x:c r="M60" s="31" t="n">
        <x:v>5.293569495</x:v>
      </x:c>
      <x:c r="N60" s="24" t="str">
        <x:v>sparus aurata</x:v>
      </x:c>
      <x:c r="O60" s="32" t="n">
        <x:v>3.7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Sparus aurata</x:v>
      </x:c>
      <x:c r="T60" s="32" t="n">
        <x:f>IF(O60="","",(1/'Metadata'!$B$5)^(O60-1))</x:f>
        <x:v>501.18723362727246</x:v>
      </x:c>
      <x:c r="U60" s="31" t="n">
        <x:f>IF(T60="","",I60*T60)</x:f>
        <x:v>2653.0694512127675</x:v>
      </x:c>
    </x:row>
    <x:row r="61" ht="18" customHeight="1">
      <x:c r="A61" s="24" t="str">
        <x:v>EEZ_422</x:v>
      </x:c>
      <x:c r="B61" s="24" t="str">
        <x:v>Lebanon</x:v>
      </x:c>
      <x:c r="C61" s="24" t="str">
        <x:v>EEZ</x:v>
      </x:c>
      <x:c r="D61" s="30" t="n">
        <x:v>2019</x:v>
      </x:c>
      <x:c r="E61" s="24" t="str">
        <x:v>Trachurus mediterraneus</x:v>
      </x:c>
      <x:c r="F61" s="24" t="str">
        <x:v>Mediterranean horse mackerel</x:v>
      </x:c>
      <x:c r="G61" s="24" t="str">
        <x:v>Medium pelagics (30 - 89 cm)</x:v>
      </x:c>
      <x:c r="H61" s="24" t="str">
        <x:v>Perch-likes</x:v>
      </x:c>
      <x:c r="I61" s="31" t="n">
        <x:v>3.344721501</x:v>
      </x:c>
      <x:c r="J61" s="31" t="n">
        <x:v>3.344721501</x:v>
      </x:c>
      <x:c r="K61" s="31" t="n">
        <x:v>0</x:v>
      </x:c>
      <x:c r="L61" s="31" t="n">
        <x:v>0</x:v>
      </x:c>
      <x:c r="M61" s="31" t="n">
        <x:v>3.344721501</x:v>
      </x:c>
      <x:c r="N61" s="24" t="str">
        <x:v>trachurus mediterraneus</x:v>
      </x:c>
      <x:c r="O61" s="32" t="n">
        <x:v>3.77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Trachurus mediterraneus</x:v>
      </x:c>
      <x:c r="T61" s="32" t="n">
        <x:f>IF(O61="","",(1/'Metadata'!$B$5)^(O61-1))</x:f>
        <x:v>588.843655355589</x:v>
      </x:c>
      <x:c r="U61" s="31" t="n">
        <x:f>IF(T61="","",I61*T61)</x:f>
        <x:v>1969.5180347952723</x:v>
      </x:c>
    </x:row>
    <x:row r="62" ht="18" customHeight="1">
      <x:c r="A62" s="24" t="str">
        <x:v>EEZ_422</x:v>
      </x:c>
      <x:c r="B62" s="24" t="str">
        <x:v>Lebanon</x:v>
      </x:c>
      <x:c r="C62" s="24" t="str">
        <x:v>EEZ</x:v>
      </x:c>
      <x:c r="D62" s="30" t="n">
        <x:v>2019</x:v>
      </x:c>
      <x:c r="E62" s="24" t="str">
        <x:v>Sphyraenidae</x:v>
      </x:c>
      <x:c r="F62" s="24" t="str">
        <x:v>Barracudas</x:v>
      </x:c>
      <x:c r="G62" s="24" t="str">
        <x:v>Medium reef assoc. fish (30 - 89 cm)</x:v>
      </x:c>
      <x:c r="H62" s="24" t="str">
        <x:v>Perch-likes</x:v>
      </x:c>
      <x:c r="I62" s="31" t="n">
        <x:v>2.819979128</x:v>
      </x:c>
      <x:c r="J62" s="31" t="n">
        <x:v>2.819979128</x:v>
      </x:c>
      <x:c r="K62" s="31" t="n">
        <x:v>0</x:v>
      </x:c>
      <x:c r="L62" s="31" t="n">
        <x:v>0</x:v>
      </x:c>
      <x:c r="M62" s="31" t="n">
        <x:v>2.819979128</x:v>
      </x:c>
      <x:c r="N62" s="24" t="str">
        <x:v>sphyraenidae</x:v>
      </x:c>
      <x:c r="O62" s="32" t="n">
        <x:v>4.4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Sphyraenidae</x:v>
      </x:c>
      <x:c r="T62" s="32" t="n">
        <x:f>IF(O62="","",(1/'Metadata'!$B$5)^(O62-1))</x:f>
        <x:v>2511.886431509582</x:v>
      </x:c>
      <x:c r="U62" s="31" t="n">
        <x:f>IF(T62="","",I62*T62)</x:f>
        <x:v>7083.467308763423</x:v>
      </x:c>
    </x:row>
    <x:row r="63" ht="18" customHeight="1">
      <x:c r="A63" s="24" t="str">
        <x:v>EEZ_422</x:v>
      </x:c>
      <x:c r="B63" s="24" t="str">
        <x:v>Lebanon</x:v>
      </x:c>
      <x:c r="C63" s="24" t="str">
        <x:v>EEZ</x:v>
      </x:c>
      <x:c r="D63" s="30" t="n">
        <x:v>2019</x:v>
      </x:c>
      <x:c r="E63" s="24" t="str">
        <x:v>Xiphias gladius</x:v>
      </x:c>
      <x:c r="F63" s="24" t="str">
        <x:v>Swordfish</x:v>
      </x:c>
      <x:c r="G63" s="24" t="str">
        <x:v>Large pelagics (&gt;=90 cm)</x:v>
      </x:c>
      <x:c r="H63" s="24" t="str">
        <x:v>Tuna &amp; billfishes</x:v>
      </x:c>
      <x:c r="I63" s="31" t="n">
        <x:v>2.6221004799</x:v>
      </x:c>
      <x:c r="J63" s="31" t="n">
        <x:v>2.6221004799</x:v>
      </x:c>
      <x:c r="K63" s="31" t="n">
        <x:v>0</x:v>
      </x:c>
      <x:c r="L63" s="31" t="n">
        <x:v>2.6221004799</x:v>
      </x:c>
      <x:c r="M63" s="31" t="n">
        <x:v>0</x:v>
      </x:c>
      <x:c r="N63" s="24" t="str">
        <x:v>xiphias gladius</x:v>
      </x:c>
      <x:c r="O63" s="32" t="n">
        <x:v>4.53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Xiphias gladius</x:v>
      </x:c>
      <x:c r="T63" s="32" t="n">
        <x:f>IF(O63="","",(1/'Metadata'!$B$5)^(O63-1))</x:f>
        <x:v>3388.4415613920273</x:v>
      </x:c>
      <x:c r="U63" s="31" t="n">
        <x:f>IF(T63="","",I63*T63)</x:f>
        <x:v>8884.83424423914</x:v>
      </x:c>
    </x:row>
    <x:row r="64" ht="18" customHeight="1">
      <x:c r="A64" s="24" t="str">
        <x:v>EEZ_422</x:v>
      </x:c>
      <x:c r="B64" s="24" t="str">
        <x:v>Lebanon</x:v>
      </x:c>
      <x:c r="C64" s="24" t="str">
        <x:v>EEZ</x:v>
      </x:c>
      <x:c r="D64" s="30" t="n">
        <x:v>2019</x:v>
      </x:c>
      <x:c r="E64" s="24" t="str">
        <x:v>Thunnus thynnus</x:v>
      </x:c>
      <x:c r="F64" s="24" t="str">
        <x:v>Atlantic bluefin tuna</x:v>
      </x:c>
      <x:c r="G64" s="24" t="str">
        <x:v>Large pelagics (&gt;=90 cm)</x:v>
      </x:c>
      <x:c r="H64" s="24" t="str">
        <x:v>Tuna &amp; billfishes</x:v>
      </x:c>
      <x:c r="I64" s="31" t="n">
        <x:v>2.15102422</x:v>
      </x:c>
      <x:c r="J64" s="31" t="n">
        <x:v>2.15102422</x:v>
      </x:c>
      <x:c r="K64" s="31" t="n">
        <x:v>0</x:v>
      </x:c>
      <x:c r="L64" s="31" t="n">
        <x:v>2.15102422</x:v>
      </x:c>
      <x:c r="M64" s="31" t="n">
        <x:v>0</x:v>
      </x:c>
      <x:c r="N64" s="24" t="str">
        <x:v>thunnus thynnus</x:v>
      </x:c>
      <x:c r="O64" s="32" t="n">
        <x:v>4.45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Thunnus thynnus</x:v>
      </x:c>
      <x:c r="T64" s="32" t="n">
        <x:f>IF(O64="","",(1/'Metadata'!$B$5)^(O64-1))</x:f>
        <x:v>2818.382931264455</x:v>
      </x:c>
      <x:c r="U64" s="31" t="n">
        <x:f>IF(T64="","",I64*T64)</x:f>
        <x:v>6062.409946384438</x:v>
      </x:c>
    </x:row>
    <x:row r="65" ht="18" customHeight="1">
      <x:c r="A65" s="24" t="str">
        <x:v>EEZ_422</x:v>
      </x:c>
      <x:c r="B65" s="24" t="str">
        <x:v>Lebanon</x:v>
      </x:c>
      <x:c r="C65" s="24" t="str">
        <x:v>EEZ</x:v>
      </x:c>
      <x:c r="D65" s="30" t="n">
        <x:v>2019</x:v>
      </x:c>
      <x:c r="E65" s="24" t="str">
        <x:v>Rajidae</x:v>
      </x:c>
      <x:c r="F65" s="24" t="str">
        <x:v>Stingrays</x:v>
      </x:c>
      <x:c r="G65" s="24" t="str">
        <x:v>Large rays (&gt;=90 cm)</x:v>
      </x:c>
      <x:c r="H65" s="24" t="str">
        <x:v>Sharks &amp; rays</x:v>
      </x:c>
      <x:c r="I65" s="31" t="n">
        <x:v>2.074845335</x:v>
      </x:c>
      <x:c r="J65" s="31" t="n">
        <x:v>2.038697331</x:v>
      </x:c>
      <x:c r="K65" s="31" t="n">
        <x:v>0.036148004</x:v>
      </x:c>
      <x:c r="L65" s="31" t="n">
        <x:v>0</x:v>
      </x:c>
      <x:c r="M65" s="31" t="n">
        <x:v>2.074845335</x:v>
      </x:c>
      <x:c r="N65" s="24" t="str">
        <x:v>rajidae</x:v>
      </x:c>
      <x:c r="O65" s="32" t="n">
        <x:v>3.82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Rajidae</x:v>
      </x:c>
      <x:c r="T65" s="32" t="n">
        <x:f>IF(O65="","",(1/'Metadata'!$B$5)^(O65-1))</x:f>
        <x:v>660.6934480075957</x:v>
      </x:c>
      <x:c r="U65" s="31" t="n">
        <x:f>IF(T65="","",I65*T65)</x:f>
        <x:v>1370.8367184636252</x:v>
      </x:c>
    </x:row>
    <x:row r="66" ht="18" customHeight="1">
      <x:c r="A66" s="24" t="str">
        <x:v>EEZ_422</x:v>
      </x:c>
      <x:c r="B66" s="24" t="str">
        <x:v>Lebanon</x:v>
      </x:c>
      <x:c r="C66" s="24" t="str">
        <x:v>EEZ</x:v>
      </x:c>
      <x:c r="D66" s="30" t="n">
        <x:v>2019</x:v>
      </x:c>
      <x:c r="E66" s="24" t="str">
        <x:v>Tetraodontidae</x:v>
      </x:c>
      <x:c r="F66" s="24" t="str">
        <x:v>Puffers, tobies</x:v>
      </x:c>
      <x:c r="G66" s="24" t="str">
        <x:v>Large reef assoc. fish (&gt;=90 cm)</x:v>
      </x:c>
      <x:c r="H66" s="24" t="str">
        <x:v>Other fishes &amp; inverts</x:v>
      </x:c>
      <x:c r="I66" s="31" t="n">
        <x:v>1.95961706</x:v>
      </x:c>
      <x:c r="J66" s="31" t="n">
        <x:v>1.927599896</x:v>
      </x:c>
      <x:c r="K66" s="31" t="n">
        <x:v>0.032017164</x:v>
      </x:c>
      <x:c r="L66" s="31" t="n">
        <x:v>0</x:v>
      </x:c>
      <x:c r="M66" s="31" t="n">
        <x:v>1.95961706</x:v>
      </x:c>
      <x:c r="N66" s="24" t="str">
        <x:v>tetraodontidae</x:v>
      </x:c>
      <x:c r="O66" s="32" t="n">
        <x:v>3.5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Tetraodontidae</x:v>
      </x:c>
      <x:c r="T66" s="32" t="n">
        <x:f>IF(O66="","",(1/'Metadata'!$B$5)^(O66-1))</x:f>
        <x:v>316.22776601683796</x:v>
      </x:c>
      <x:c r="U66" s="31" t="n">
        <x:f>IF(T66="","",I66*T66)</x:f>
        <x:v>619.6853251322839</x:v>
      </x:c>
    </x:row>
    <x:row r="67" ht="18" customHeight="1">
      <x:c r="A67" s="24" t="str">
        <x:v>EEZ_422</x:v>
      </x:c>
      <x:c r="B67" s="24" t="str">
        <x:v>Lebanon</x:v>
      </x:c>
      <x:c r="C67" s="24" t="str">
        <x:v>EEZ</x:v>
      </x:c>
      <x:c r="D67" s="30" t="n">
        <x:v>2019</x:v>
      </x:c>
      <x:c r="E67" s="24" t="str">
        <x:v>Sardinella maderensis</x:v>
      </x:c>
      <x:c r="F67" s="24" t="str">
        <x:v>Madeiran sardinella</x:v>
      </x:c>
      <x:c r="G67" s="24" t="str">
        <x:v>Medium pelagics (30 - 89 cm)</x:v>
      </x:c>
      <x:c r="H67" s="24" t="str">
        <x:v>Herring-likes</x:v>
      </x:c>
      <x:c r="I67" s="31" t="n">
        <x:v>1.711083275</x:v>
      </x:c>
      <x:c r="J67" s="31" t="n">
        <x:v>1.711083275</x:v>
      </x:c>
      <x:c r="K67" s="31" t="n">
        <x:v>0</x:v>
      </x:c>
      <x:c r="L67" s="31" t="n">
        <x:v>0</x:v>
      </x:c>
      <x:c r="M67" s="31" t="n">
        <x:v>1.711083275</x:v>
      </x:c>
      <x:c r="N67" s="24" t="str">
        <x:v>sardinella maderensis</x:v>
      </x:c>
      <x:c r="O67" s="32" t="n">
        <x:v>3.2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Sardinella maderensis</x:v>
      </x:c>
      <x:c r="T67" s="32" t="n">
        <x:f>IF(O67="","",(1/'Metadata'!$B$5)^(O67-1))</x:f>
        <x:v>158.48931924611142</x:v>
      </x:c>
      <x:c r="U67" s="31" t="n">
        <x:f>IF(T67="","",I67*T67)</x:f>
        <x:v>271.18842342815685</x:v>
      </x:c>
    </x:row>
    <x:row r="68" ht="18" customHeight="1">
      <x:c r="A68" s="24" t="str">
        <x:v>EEZ_422</x:v>
      </x:c>
      <x:c r="B68" s="24" t="str">
        <x:v>Lebanon</x:v>
      </x:c>
      <x:c r="C68" s="24" t="str">
        <x:v>EEZ</x:v>
      </x:c>
      <x:c r="D68" s="30" t="n">
        <x:v>2019</x:v>
      </x:c>
      <x:c r="E68" s="24" t="str">
        <x:v>Pagrus pagrus</x:v>
      </x:c>
      <x:c r="F68" s="24" t="str">
        <x:v>Red porgy</x:v>
      </x:c>
      <x:c r="G68" s="24" t="str">
        <x:v>Medium benthopelagics (30 - 89 cm)</x:v>
      </x:c>
      <x:c r="H68" s="24" t="str">
        <x:v>Perch-likes</x:v>
      </x:c>
      <x:c r="I68" s="31" t="n">
        <x:v>1.670431697</x:v>
      </x:c>
      <x:c r="J68" s="31" t="n">
        <x:v>1.670431697</x:v>
      </x:c>
      <x:c r="K68" s="31" t="n">
        <x:v>0</x:v>
      </x:c>
      <x:c r="L68" s="31" t="n">
        <x:v>0</x:v>
      </x:c>
      <x:c r="M68" s="31" t="n">
        <x:v>1.670431697</x:v>
      </x:c>
      <x:c r="N68" s="24" t="str">
        <x:v>pagrus pagrus</x:v>
      </x:c>
      <x:c r="O68" s="32" t="n">
        <x:v>3.86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Pagrus pagrus</x:v>
      </x:c>
      <x:c r="T68" s="32" t="n">
        <x:f>IF(O68="","",(1/'Metadata'!$B$5)^(O68-1))</x:f>
        <x:v>724.4359600749899</x:v>
      </x:c>
      <x:c r="U68" s="31" t="n">
        <x:f>IF(T68="","",I68*T68)</x:f>
        <x:v>1210.1207901558896</x:v>
      </x:c>
    </x:row>
    <x:row r="69" ht="18" customHeight="1">
      <x:c r="A69" s="24" t="str">
        <x:v>EEZ_422</x:v>
      </x:c>
      <x:c r="B69" s="24" t="str">
        <x:v>Lebanon</x:v>
      </x:c>
      <x:c r="C69" s="24" t="str">
        <x:v>EEZ</x:v>
      </x:c>
      <x:c r="D69" s="30" t="n">
        <x:v>2019</x:v>
      </x:c>
      <x:c r="E69" s="24" t="str">
        <x:v>Diplodus vulgaris</x:v>
      </x:c>
      <x:c r="F69" s="24" t="str">
        <x:v>Common two-banded seabream</x:v>
      </x:c>
      <x:c r="G69" s="24" t="str">
        <x:v>Medium benthopelagics (30 - 89 cm)</x:v>
      </x:c>
      <x:c r="H69" s="24" t="str">
        <x:v>Perch-likes</x:v>
      </x:c>
      <x:c r="I69" s="31" t="n">
        <x:v>1.281925326</x:v>
      </x:c>
      <x:c r="J69" s="31" t="n">
        <x:v>1.281925326</x:v>
      </x:c>
      <x:c r="K69" s="31" t="n">
        <x:v>0</x:v>
      </x:c>
      <x:c r="L69" s="31" t="n">
        <x:v>0</x:v>
      </x:c>
      <x:c r="M69" s="31" t="n">
        <x:v>1.281925326</x:v>
      </x:c>
      <x:c r="N69" s="24" t="str">
        <x:v>diplodus vulgaris</x:v>
      </x:c>
      <x:c r="O69" s="32" t="n">
        <x:v>3.52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Diplodus vulgaris</x:v>
      </x:c>
      <x:c r="T69" s="32" t="n">
        <x:f>IF(O69="","",(1/'Metadata'!$B$5)^(O69-1))</x:f>
        <x:v>331.1311214825911</x:v>
      </x:c>
      <x:c r="U69" s="31" t="n">
        <x:f>IF(T69="","",I69*T69)</x:f>
        <x:v>424.4853708553162</x:v>
      </x:c>
    </x:row>
    <x:row r="70" ht="18" customHeight="1">
      <x:c r="A70" s="24" t="str">
        <x:v>EEZ_422</x:v>
      </x:c>
      <x:c r="B70" s="24" t="str">
        <x:v>Lebanon</x:v>
      </x:c>
      <x:c r="C70" s="24" t="str">
        <x:v>EEZ</x:v>
      </x:c>
      <x:c r="D70" s="30" t="n">
        <x:v>2019</x:v>
      </x:c>
      <x:c r="E70" s="24" t="str">
        <x:v>Soleidae</x:v>
      </x:c>
      <x:c r="F70" s="24" t="str">
        <x:v>Soles</x:v>
      </x:c>
      <x:c r="G70" s="24" t="str">
        <x:v>Small to medium flatfishes (&lt;90 cm)</x:v>
      </x:c>
      <x:c r="H70" s="24" t="str">
        <x:v>Flatfishes</x:v>
      </x:c>
      <x:c r="I70" s="31" t="n">
        <x:v>0.9311827619999999</x:v>
      </x:c>
      <x:c r="J70" s="31" t="n">
        <x:v>0</x:v>
      </x:c>
      <x:c r="K70" s="31" t="n">
        <x:v>0.9311827619999999</x:v>
      </x:c>
      <x:c r="L70" s="31" t="n">
        <x:v>0</x:v>
      </x:c>
      <x:c r="M70" s="31" t="n">
        <x:v>0.9311827619999999</x:v>
      </x:c>
      <x:c r="N70" s="24" t="str">
        <x:v>soleidae</x:v>
      </x:c>
      <x:c r="O70" s="32" t="n">
        <x:v>3.15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Soleidae</x:v>
      </x:c>
      <x:c r="T70" s="32" t="n">
        <x:f>IF(O70="","",(1/'Metadata'!$B$5)^(O70-1))</x:f>
        <x:v>141.2537544622754</x:v>
      </x:c>
      <x:c r="U70" s="31" t="n">
        <x:f>IF(T70="","",I70*T70)</x:f>
        <x:v>131.53306122305142</x:v>
      </x:c>
    </x:row>
    <x:row r="71" ht="18" customHeight="1">
      <x:c r="A71" s="24" t="str">
        <x:v>EEZ_422</x:v>
      </x:c>
      <x:c r="B71" s="24" t="str">
        <x:v>Lebanon</x:v>
      </x:c>
      <x:c r="C71" s="24" t="str">
        <x:v>EEZ</x:v>
      </x:c>
      <x:c r="D71" s="30" t="n">
        <x:v>2019</x:v>
      </x:c>
      <x:c r="E71" s="24" t="str">
        <x:v>Pomatomus saltatrix</x:v>
      </x:c>
      <x:c r="F71" s="24" t="str">
        <x:v>Bluefish</x:v>
      </x:c>
      <x:c r="G71" s="24" t="str">
        <x:v>Large pelagics (&gt;=90 cm)</x:v>
      </x:c>
      <x:c r="H71" s="24" t="str">
        <x:v>Perch-likes</x:v>
      </x:c>
      <x:c r="I71" s="31" t="n">
        <x:v>0.853596795</x:v>
      </x:c>
      <x:c r="J71" s="31" t="n">
        <x:v>0.853596795</x:v>
      </x:c>
      <x:c r="K71" s="31" t="n">
        <x:v>0</x:v>
      </x:c>
      <x:c r="L71" s="31" t="n">
        <x:v>0</x:v>
      </x:c>
      <x:c r="M71" s="31" t="n">
        <x:v>0.853596795</x:v>
      </x:c>
      <x:c r="N71" s="24" t="str">
        <x:v>pomatomus saltatrix</x:v>
      </x:c>
      <x:c r="O71" s="32" t="n">
        <x:v>4.53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Pomatomus saltatrix</x:v>
      </x:c>
      <x:c r="T71" s="32" t="n">
        <x:f>IF(O71="","",(1/'Metadata'!$B$5)^(O71-1))</x:f>
        <x:v>3388.4415613920273</x:v>
      </x:c>
      <x:c r="U71" s="31" t="n">
        <x:f>IF(T71="","",I71*T71)</x:f>
        <x:v>2892.3628568490303</x:v>
      </x:c>
    </x:row>
    <x:row r="72" ht="18" customHeight="1">
      <x:c r="A72" s="24" t="str">
        <x:v>EEZ_422</x:v>
      </x:c>
      <x:c r="B72" s="24" t="str">
        <x:v>Lebanon</x:v>
      </x:c>
      <x:c r="C72" s="24" t="str">
        <x:v>EEZ</x:v>
      </x:c>
      <x:c r="D72" s="30" t="n">
        <x:v>2019</x:v>
      </x:c>
      <x:c r="E72" s="24" t="str">
        <x:v>Lichia amia</x:v>
      </x:c>
      <x:c r="F72" s="24" t="str">
        <x:v>Leerfish</x:v>
      </x:c>
      <x:c r="G72" s="24" t="str">
        <x:v>Large pelagics (&gt;=90 cm)</x:v>
      </x:c>
      <x:c r="H72" s="24" t="str">
        <x:v>Perch-likes</x:v>
      </x:c>
      <x:c r="I72" s="31" t="n">
        <x:v>0.846342996</x:v>
      </x:c>
      <x:c r="J72" s="31" t="n">
        <x:v>0.846342996</x:v>
      </x:c>
      <x:c r="K72" s="31" t="n">
        <x:v>0</x:v>
      </x:c>
      <x:c r="L72" s="31" t="n">
        <x:v>0</x:v>
      </x:c>
      <x:c r="M72" s="31" t="n">
        <x:v>0.846342996</x:v>
      </x:c>
      <x:c r="N72" s="24" t="str">
        <x:v>lichia amia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Lichia amia</x:v>
      </x:c>
      <x:c r="T72" s="32" t="n">
        <x:f>IF(O72="","",(1/'Metadata'!$B$5)^(O72-1))</x:f>
        <x:v>3162.2776601683795</x:v>
      </x:c>
      <x:c r="U72" s="31" t="n">
        <x:f>IF(T72="","",I72*T72)</x:f>
        <x:v>2676.371549090776</x:v>
      </x:c>
    </x:row>
    <x:row r="73" ht="18" customHeight="1">
      <x:c r="A73" s="24" t="str">
        <x:v>EEZ_422</x:v>
      </x:c>
      <x:c r="B73" s="24" t="str">
        <x:v>Lebanon</x:v>
      </x:c>
      <x:c r="C73" s="24" t="str">
        <x:v>EEZ</x:v>
      </x:c>
      <x:c r="D73" s="30" t="n">
        <x:v>2019</x:v>
      </x:c>
      <x:c r="E73" s="24" t="str">
        <x:v>Scomber scombrus</x:v>
      </x:c>
      <x:c r="F73" s="24" t="str">
        <x:v>Atlantic mackerel</x:v>
      </x:c>
      <x:c r="G73" s="24" t="str">
        <x:v>Medium pelagics (30 - 89 cm)</x:v>
      </x:c>
      <x:c r="H73" s="24" t="str">
        <x:v>Perch-likes</x:v>
      </x:c>
      <x:c r="I73" s="31" t="n">
        <x:v>0.77399977</x:v>
      </x:c>
      <x:c r="J73" s="31" t="n">
        <x:v>0.77399977</x:v>
      </x:c>
      <x:c r="K73" s="31" t="n">
        <x:v>0</x:v>
      </x:c>
      <x:c r="L73" s="31" t="n">
        <x:v>0</x:v>
      </x:c>
      <x:c r="M73" s="31" t="n">
        <x:v>0.77399977</x:v>
      </x:c>
      <x:c r="N73" s="24" t="str">
        <x:v>scomber scombrus</x:v>
      </x:c>
      <x:c r="O73" s="32" t="n">
        <x:v>3.63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 scombrus</x:v>
      </x:c>
      <x:c r="T73" s="32" t="n">
        <x:f>IF(O73="","",(1/'Metadata'!$B$5)^(O73-1))</x:f>
        <x:v>426.57951880159254</x:v>
      </x:c>
      <x:c r="U73" s="31" t="n">
        <x:f>IF(T73="","",I73*T73)</x:f>
        <x:v>330.1724494391433</x:v>
      </x:c>
    </x:row>
    <x:row r="74" ht="18" customHeight="1">
      <x:c r="A74" s="24" t="str">
        <x:v>EEZ_422</x:v>
      </x:c>
      <x:c r="B74" s="24" t="str">
        <x:v>Lebanon</x:v>
      </x:c>
      <x:c r="C74" s="24" t="str">
        <x:v>EEZ</x:v>
      </x:c>
      <x:c r="D74" s="30" t="n">
        <x:v>2019</x:v>
      </x:c>
      <x:c r="E74" s="24" t="str">
        <x:v>Scaridae</x:v>
      </x:c>
      <x:c r="F74" s="24" t="str">
        <x:v>Parrotfishes</x:v>
      </x:c>
      <x:c r="G74" s="24" t="str">
        <x:v>Medium reef assoc. fish (30 - 89 cm)</x:v>
      </x:c>
      <x:c r="H74" s="24" t="str">
        <x:v>Perch-likes</x:v>
      </x:c>
      <x:c r="I74" s="31" t="n">
        <x:v>0.751139998</x:v>
      </x:c>
      <x:c r="J74" s="31" t="n">
        <x:v>0.5</x:v>
      </x:c>
      <x:c r="K74" s="31" t="n">
        <x:v>0.251139998</x:v>
      </x:c>
      <x:c r="L74" s="31" t="n">
        <x:v>0.5</x:v>
      </x:c>
      <x:c r="M74" s="31" t="n">
        <x:v>0.251139998</x:v>
      </x:c>
      <x:c r="N74" s="24" t="str">
        <x:v>scaridae</x:v>
      </x:c>
      <x:c r="O74" s="32" t="n">
        <x:v>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Scaridae</x:v>
      </x:c>
      <x:c r="T74" s="32" t="n">
        <x:f>IF(O74="","",(1/'Metadata'!$B$5)^(O74-1))</x:f>
        <x:v>10</x:v>
      </x:c>
      <x:c r="U74" s="31" t="n">
        <x:f>IF(T74="","",I74*T74)</x:f>
        <x:v>7.51139998</x:v>
      </x:c>
    </x:row>
    <x:row r="75" ht="18" customHeight="1">
      <x:c r="A75" s="24" t="str">
        <x:v>EEZ_422</x:v>
      </x:c>
      <x:c r="B75" s="24" t="str">
        <x:v>Lebanon</x:v>
      </x:c>
      <x:c r="C75" s="24" t="str">
        <x:v>EEZ</x:v>
      </x:c>
      <x:c r="D75" s="30" t="n">
        <x:v>2019</x:v>
      </x:c>
      <x:c r="E75" s="24" t="str">
        <x:v>Dentex dentex</x:v>
      </x:c>
      <x:c r="F75" s="24" t="str">
        <x:v>Common dentex</x:v>
      </x:c>
      <x:c r="G75" s="24" t="str">
        <x:v>Large benthopelagics (&gt;=90 cm)</x:v>
      </x:c>
      <x:c r="H75" s="24" t="str">
        <x:v>Perch-likes</x:v>
      </x:c>
      <x:c r="I75" s="31" t="n">
        <x:v>0.617498239</x:v>
      </x:c>
      <x:c r="J75" s="31" t="n">
        <x:v>0.617498239</x:v>
      </x:c>
      <x:c r="K75" s="31" t="n">
        <x:v>0</x:v>
      </x:c>
      <x:c r="L75" s="31" t="n">
        <x:v>0</x:v>
      </x:c>
      <x:c r="M75" s="31" t="n">
        <x:v>0.617498239</x:v>
      </x:c>
      <x:c r="N75" s="24" t="str">
        <x:v>dentex dentex</x:v>
      </x:c>
      <x:c r="O75" s="32" t="n">
        <x:v>4.53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Dentex dentex</x:v>
      </x:c>
      <x:c r="T75" s="32" t="n">
        <x:f>IF(O75="","",(1/'Metadata'!$B$5)^(O75-1))</x:f>
        <x:v>3388.4415613920273</x:v>
      </x:c>
      <x:c r="U75" s="31" t="n">
        <x:f>IF(T75="","",I75*T75)</x:f>
        <x:v>2092.356697113987</x:v>
      </x:c>
    </x:row>
    <x:row r="76" ht="18" customHeight="1">
      <x:c r="A76" s="24" t="str">
        <x:v>EEZ_422</x:v>
      </x:c>
      <x:c r="B76" s="24" t="str">
        <x:v>Lebanon</x:v>
      </x:c>
      <x:c r="C76" s="24" t="str">
        <x:v>EEZ</x:v>
      </x:c>
      <x:c r="D76" s="30" t="n">
        <x:v>2019</x:v>
      </x:c>
      <x:c r="E76" s="24" t="str">
        <x:v>Scorpaena scrofa</x:v>
      </x:c>
      <x:c r="F76" s="24" t="str">
        <x:v>Red scorpionfish</x:v>
      </x:c>
      <x:c r="G76" s="24" t="str">
        <x:v>Medium demersals (30 - 89 cm)</x:v>
      </x:c>
      <x:c r="H76" s="24" t="str">
        <x:v>Scorpionfishes</x:v>
      </x:c>
      <x:c r="I76" s="31" t="n">
        <x:v>0.588748996</x:v>
      </x:c>
      <x:c r="J76" s="31" t="n">
        <x:v>0.588748996</x:v>
      </x:c>
      <x:c r="K76" s="31" t="n">
        <x:v>0</x:v>
      </x:c>
      <x:c r="L76" s="31" t="n">
        <x:v>0</x:v>
      </x:c>
      <x:c r="M76" s="31" t="n">
        <x:v>0.588748996</x:v>
      </x:c>
      <x:c r="N76" s="24" t="str">
        <x:v>scorpaena scrofa</x:v>
      </x:c>
      <x:c r="O76" s="32" t="n">
        <x:v>4.25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Scorpaena scrofa</x:v>
      </x:c>
      <x:c r="T76" s="32" t="n">
        <x:f>IF(O76="","",(1/'Metadata'!$B$5)^(O76-1))</x:f>
        <x:v>1778.2794100389228</x:v>
      </x:c>
      <x:c r="U76" s="31" t="n">
        <x:f>IF(T76="","",I76*T76)</x:f>
        <x:v>1046.960217267888</x:v>
      </x:c>
    </x:row>
    <x:row r="77" ht="18" customHeight="1">
      <x:c r="A77" s="24" t="str">
        <x:v>EEZ_422</x:v>
      </x:c>
      <x:c r="B77" s="24" t="str">
        <x:v>Lebanon</x:v>
      </x:c>
      <x:c r="C77" s="24" t="str">
        <x:v>EEZ</x:v>
      </x:c>
      <x:c r="D77" s="30" t="n">
        <x:v>2019</x:v>
      </x:c>
      <x:c r="E77" s="24" t="str">
        <x:v>Squalidae</x:v>
      </x:c>
      <x:c r="F77" s="24" t="str">
        <x:v>Dogfish sharks</x:v>
      </x:c>
      <x:c r="G77" s="24" t="str">
        <x:v>Large sharks (&gt;=90 cm)</x:v>
      </x:c>
      <x:c r="H77" s="24" t="str">
        <x:v>Sharks &amp; rays</x:v>
      </x:c>
      <x:c r="I77" s="31" t="n">
        <x:v>0.582304055</x:v>
      </x:c>
      <x:c r="J77" s="31" t="n">
        <x:v>0.573225997</x:v>
      </x:c>
      <x:c r="K77" s="31" t="n">
        <x:v>0.009078058</x:v>
      </x:c>
      <x:c r="L77" s="31" t="n">
        <x:v>0</x:v>
      </x:c>
      <x:c r="M77" s="31" t="n">
        <x:v>0.582304055</x:v>
      </x:c>
      <x:c r="N77" s="24" t="str">
        <x:v>squalidae</x:v>
      </x:c>
      <x:c r="O77" s="32" t="n">
        <x:v>4.23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Squalidae</x:v>
      </x:c>
      <x:c r="T77" s="32" t="n">
        <x:f>IF(O77="","",(1/'Metadata'!$B$5)^(O77-1))</x:f>
        <x:v>1698.243652461746</x:v>
      </x:c>
      <x:c r="U77" s="31" t="n">
        <x:f>IF(T77="","",I77*T77)</x:f>
        <x:v>988.8941652064855</x:v>
      </x:c>
    </x:row>
    <x:row r="78" ht="18" customHeight="1">
      <x:c r="A78" s="24" t="str">
        <x:v>EEZ_422</x:v>
      </x:c>
      <x:c r="B78" s="24" t="str">
        <x:v>Lebanon</x:v>
      </x:c>
      <x:c r="C78" s="24" t="str">
        <x:v>EEZ</x:v>
      </x:c>
      <x:c r="D78" s="30" t="n">
        <x:v>2019</x:v>
      </x:c>
      <x:c r="E78" s="24" t="str">
        <x:v>Scyllaridae</x:v>
      </x:c>
      <x:c r="F78" s="24" t="str">
        <x:v>Slipper lobsters</x:v>
      </x:c>
      <x:c r="G78" s="24" t="str">
        <x:v>Lobsters, crabs</x:v>
      </x:c>
      <x:c r="H78" s="24" t="str">
        <x:v>Crustaceans</x:v>
      </x:c>
      <x:c r="I78" s="31" t="n">
        <x:v>0.522080834</x:v>
      </x:c>
      <x:c r="J78" s="31" t="n">
        <x:v>0</x:v>
      </x:c>
      <x:c r="K78" s="31" t="n">
        <x:v>0.522080834</x:v>
      </x:c>
      <x:c r="L78" s="31" t="n">
        <x:v>0</x:v>
      </x:c>
      <x:c r="M78" s="31" t="n">
        <x:v>0.522080834</x:v>
      </x:c>
      <x:c r="N78" s="24" t="str">
        <x:v>scyllaridae</x:v>
      </x:c>
      <x:c r="O78" s="32" t="n">
        <x:v>2.87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Scyllaridae</x:v>
      </x:c>
      <x:c r="T78" s="32" t="n">
        <x:f>IF(O78="","",(1/'Metadata'!$B$5)^(O78-1))</x:f>
        <x:v>74.13102413009177</x:v>
      </x:c>
      <x:c r="U78" s="31" t="n">
        <x:f>IF(T78="","",I78*T78)</x:f>
        <x:v>38.70238690311244</x:v>
      </x:c>
    </x:row>
    <x:row r="79" ht="18" customHeight="1">
      <x:c r="A79" s="24" t="str">
        <x:v>EEZ_422</x:v>
      </x:c>
      <x:c r="B79" s="24" t="str">
        <x:v>Lebanon</x:v>
      </x:c>
      <x:c r="C79" s="24" t="str">
        <x:v>EEZ</x:v>
      </x:c>
      <x:c r="D79" s="30" t="n">
        <x:v>2019</x:v>
      </x:c>
      <x:c r="E79" s="24" t="str">
        <x:v>Sillago sihama</x:v>
      </x:c>
      <x:c r="F79" s="24" t="str">
        <x:v>Silver sillago</x:v>
      </x:c>
      <x:c r="G79" s="24" t="str">
        <x:v>Medium demersals (30 - 89 cm)</x:v>
      </x:c>
      <x:c r="H79" s="24" t="str">
        <x:v>Perch-likes</x:v>
      </x:c>
      <x:c r="I79" s="31" t="n">
        <x:v>0.5</x:v>
      </x:c>
      <x:c r="J79" s="31" t="n">
        <x:v>0.5</x:v>
      </x:c>
      <x:c r="K79" s="31" t="n">
        <x:v>0</x:v>
      </x:c>
      <x:c r="L79" s="31" t="n">
        <x:v>0.5</x:v>
      </x:c>
      <x:c r="M79" s="31" t="n">
        <x:v>0</x:v>
      </x:c>
      <x:c r="N79" s="24" t="str">
        <x:v>sillago sihama</x:v>
      </x:c>
      <x:c r="O79" s="32" t="n">
        <x:v>3.33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Sillago sihama</x:v>
      </x:c>
      <x:c r="T79" s="32" t="n">
        <x:f>IF(O79="","",(1/'Metadata'!$B$5)^(O79-1))</x:f>
        <x:v>213.79620895022325</x:v>
      </x:c>
      <x:c r="U79" s="31" t="n">
        <x:f>IF(T79="","",I79*T79)</x:f>
        <x:v>106.89810447511162</x:v>
      </x:c>
    </x:row>
    <x:row r="80" ht="18" customHeight="1">
      <x:c r="A80" s="24" t="str">
        <x:v>EEZ_422</x:v>
      </x:c>
      <x:c r="B80" s="24" t="str">
        <x:v>Lebanon</x:v>
      </x:c>
      <x:c r="C80" s="24" t="str">
        <x:v>EEZ</x:v>
      </x:c>
      <x:c r="D80" s="30" t="n">
        <x:v>2019</x:v>
      </x:c>
      <x:c r="E80" s="24" t="str">
        <x:v>Diplodus cervinus</x:v>
      </x:c>
      <x:c r="F80" s="24" t="str">
        <x:v>Zebra seabream</x:v>
      </x:c>
      <x:c r="G80" s="24" t="str">
        <x:v>Medium benthopelagics (30 - 89 cm)</x:v>
      </x:c>
      <x:c r="H80" s="24" t="str">
        <x:v>Perch-likes</x:v>
      </x:c>
      <x:c r="I80" s="31" t="n">
        <x:v>0.365271528</x:v>
      </x:c>
      <x:c r="J80" s="31" t="n">
        <x:v>0.365271528</x:v>
      </x:c>
      <x:c r="K80" s="31" t="n">
        <x:v>0</x:v>
      </x:c>
      <x:c r="L80" s="31" t="n">
        <x:v>0</x:v>
      </x:c>
      <x:c r="M80" s="31" t="n">
        <x:v>0.365271528</x:v>
      </x:c>
      <x:c r="N80" s="24" t="str">
        <x:v>diplodus cervinus</x:v>
      </x:c>
      <x:c r="O80" s="32" t="n">
        <x:v>2.99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Diplodus cervinus</x:v>
      </x:c>
      <x:c r="T80" s="32" t="n">
        <x:f>IF(O80="","",(1/'Metadata'!$B$5)^(O80-1))</x:f>
        <x:v>97.72372209558111</x:v>
      </x:c>
      <x:c r="U80" s="31" t="n">
        <x:f>IF(T80="","",I80*T80)</x:f>
        <x:v>35.69569329170027</x:v>
      </x:c>
    </x:row>
    <x:row r="81" ht="18" customHeight="1">
      <x:c r="A81" s="24" t="str">
        <x:v>EEZ_422</x:v>
      </x:c>
      <x:c r="B81" s="24" t="str">
        <x:v>Lebanon</x:v>
      </x:c>
      <x:c r="C81" s="24" t="str">
        <x:v>EEZ</x:v>
      </x:c>
      <x:c r="D81" s="30" t="n">
        <x:v>2019</x:v>
      </x:c>
      <x:c r="E81" s="24" t="str">
        <x:v>Teuthida</x:v>
      </x:c>
      <x:c r="F81" s="24" t="str">
        <x:v>Squids</x:v>
      </x:c>
      <x:c r="G81" s="24" t="str">
        <x:v>Cephalopods</x:v>
      </x:c>
      <x:c r="H81" s="24" t="str">
        <x:v>Other fishes &amp; inverts</x:v>
      </x:c>
      <x:c r="I81" s="31" t="n">
        <x:v>0.302687047</x:v>
      </x:c>
      <x:c r="J81" s="31" t="n">
        <x:v>0.302687047</x:v>
      </x:c>
      <x:c r="K81" s="31" t="n">
        <x:v>0</x:v>
      </x:c>
      <x:c r="L81" s="31" t="n">
        <x:v>0</x:v>
      </x:c>
      <x:c r="M81" s="31" t="n">
        <x:v>0.302687047</x:v>
      </x:c>
      <x:c r="N81" s="24" t="str">
        <x:v>teuthida</x:v>
      </x:c>
      <x:c r="O81" s="32" t="n">
        <x:v>4.13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Teuthida</x:v>
      </x:c>
      <x:c r="T81" s="32" t="n">
        <x:f>IF(O81="","",(1/'Metadata'!$B$5)^(O81-1))</x:f>
        <x:v>1348.9628825916532</x:v>
      </x:c>
      <x:c r="U81" s="31" t="n">
        <x:f>IF(T81="","",I81*T81)</x:f>
        <x:v>408.3135914442752</x:v>
      </x:c>
    </x:row>
    <x:row r="82" ht="18" customHeight="1">
      <x:c r="A82" s="24" t="str">
        <x:v>EEZ_422</x:v>
      </x:c>
      <x:c r="B82" s="24" t="str">
        <x:v>Lebanon</x:v>
      </x:c>
      <x:c r="C82" s="24" t="str">
        <x:v>EEZ</x:v>
      </x:c>
      <x:c r="D82" s="30" t="n">
        <x:v>2019</x:v>
      </x:c>
      <x:c r="E82" s="24" t="str">
        <x:v>Scyris alexandrina</x:v>
      </x:c>
      <x:c r="F82" s="24" t="str">
        <x:v>Alexandria pompano</x:v>
      </x:c>
      <x:c r="G82" s="24" t="str">
        <x:v>Medium pelagics (30 - 89 cm)</x:v>
      </x:c>
      <x:c r="H82" s="24" t="str">
        <x:v>Perch-likes</x:v>
      </x:c>
      <x:c r="I82" s="31" t="n">
        <x:v>0.302052421</x:v>
      </x:c>
      <x:c r="J82" s="31" t="n">
        <x:v>0.302052421</x:v>
      </x:c>
      <x:c r="K82" s="31" t="n">
        <x:v>0</x:v>
      </x:c>
      <x:c r="L82" s="31" t="n">
        <x:v>0</x:v>
      </x:c>
      <x:c r="M82" s="31" t="n">
        <x:v>0.302052421</x:v>
      </x:c>
      <x:c r="N82" s="24" t="str">
        <x:v>scyris alexandrina</x:v>
      </x:c>
      <x:c r="O82" s="32" t="n">
        <x:v>3.6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Scyris alexandrina</x:v>
      </x:c>
      <x:c r="T82" s="32" t="n">
        <x:f>IF(O82="","",(1/'Metadata'!$B$5)^(O82-1))</x:f>
        <x:v>398.1071705534973</x:v>
      </x:c>
      <x:c r="U82" s="31" t="n">
        <x:f>IF(T82="","",I82*T82)</x:f>
        <x:v>120.24923468314378</x:v>
      </x:c>
    </x:row>
    <x:row r="83" ht="18" customHeight="1">
      <x:c r="A83" s="24" t="str">
        <x:v>EEZ_422</x:v>
      </x:c>
      <x:c r="B83" s="24" t="str">
        <x:v>Lebanon</x:v>
      </x:c>
      <x:c r="C83" s="24" t="str">
        <x:v>EEZ</x:v>
      </x:c>
      <x:c r="D83" s="30" t="n">
        <x:v>2019</x:v>
      </x:c>
      <x:c r="E83" s="24" t="str">
        <x:v>Anguilla anguilla</x:v>
      </x:c>
      <x:c r="F83" s="24" t="str">
        <x:v>European eel</x:v>
      </x:c>
      <x:c r="G83" s="24" t="str">
        <x:v>Large demersals (&gt;=90 cm)</x:v>
      </x:c>
      <x:c r="H83" s="24" t="str">
        <x:v>Other fishes &amp; inverts</x:v>
      </x:c>
      <x:c r="I83" s="31" t="n">
        <x:v>0.300000049</x:v>
      </x:c>
      <x:c r="J83" s="31" t="n">
        <x:v>0.300000049</x:v>
      </x:c>
      <x:c r="K83" s="31" t="n">
        <x:v>0</x:v>
      </x:c>
      <x:c r="L83" s="31" t="n">
        <x:v>0.300000049</x:v>
      </x:c>
      <x:c r="M83" s="31" t="n">
        <x:v>0</x:v>
      </x:c>
      <x:c r="N83" s="24" t="str">
        <x:v>anguilla anguilla</x:v>
      </x:c>
      <x:c r="O83" s="32" t="n">
        <x:v>3.55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Anguilla anguilla</x:v>
      </x:c>
      <x:c r="T83" s="32" t="n">
        <x:f>IF(O83="","",(1/'Metadata'!$B$5)^(O83-1))</x:f>
        <x:v>354.8133892335753</x:v>
      </x:c>
      <x:c r="U83" s="31" t="n">
        <x:f>IF(T83="","",I83*T83)</x:f>
        <x:v>106.44403415592866</x:v>
      </x:c>
    </x:row>
    <x:row r="84" ht="18" customHeight="1">
      <x:c r="A84" s="24" t="str">
        <x:v>EEZ_422</x:v>
      </x:c>
      <x:c r="B84" s="24" t="str">
        <x:v>Lebanon</x:v>
      </x:c>
      <x:c r="C84" s="24" t="str">
        <x:v>EEZ</x:v>
      </x:c>
      <x:c r="D84" s="30" t="n">
        <x:v>2019</x:v>
      </x:c>
      <x:c r="E84" s="24" t="str">
        <x:v>Belone belone</x:v>
      </x:c>
      <x:c r="F84" s="24" t="str">
        <x:v>Garfish</x:v>
      </x:c>
      <x:c r="G84" s="24" t="str">
        <x:v>Medium pelagics (30 - 89 cm)</x:v>
      </x:c>
      <x:c r="H84" s="24" t="str">
        <x:v>Other fishes &amp; inverts</x:v>
      </x:c>
      <x:c r="I84" s="31" t="n">
        <x:v>0.300000031</x:v>
      </x:c>
      <x:c r="J84" s="31" t="n">
        <x:v>0.300000031</x:v>
      </x:c>
      <x:c r="K84" s="31" t="n">
        <x:v>0</x:v>
      </x:c>
      <x:c r="L84" s="31" t="n">
        <x:v>0.300000031</x:v>
      </x:c>
      <x:c r="M84" s="31" t="n">
        <x:v>0</x:v>
      </x:c>
      <x:c r="N84" s="24" t="str">
        <x:v>belone belone</x:v>
      </x:c>
      <x:c r="O84" s="32" t="n">
        <x:v>4.16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Belone belone</x:v>
      </x:c>
      <x:c r="T84" s="32" t="n">
        <x:f>IF(O84="","",(1/'Metadata'!$B$5)^(O84-1))</x:f>
        <x:v>1445.439770745928</x:v>
      </x:c>
      <x:c r="U84" s="31" t="n">
        <x:f>IF(T84="","",I84*T84)</x:f>
        <x:v>433.6319760324113</x:v>
      </x:c>
    </x:row>
    <x:row r="85" ht="18" customHeight="1">
      <x:c r="A85" s="24" t="str">
        <x:v>EEZ_422</x:v>
      </x:c>
      <x:c r="B85" s="24" t="str">
        <x:v>Lebanon</x:v>
      </x:c>
      <x:c r="C85" s="24" t="str">
        <x:v>EEZ</x:v>
      </x:c>
      <x:c r="D85" s="30" t="n">
        <x:v>2019</x:v>
      </x:c>
      <x:c r="E85" s="24" t="str">
        <x:v>Spondyliosoma cantharus</x:v>
      </x:c>
      <x:c r="F85" s="24" t="str">
        <x:v>Black seabream</x:v>
      </x:c>
      <x:c r="G85" s="24" t="str">
        <x:v>Medium benthopelagics (30 - 89 cm)</x:v>
      </x:c>
      <x:c r="H85" s="24" t="str">
        <x:v>Perch-likes</x:v>
      </x:c>
      <x:c r="I85" s="31" t="n">
        <x:v>0.24221779</x:v>
      </x:c>
      <x:c r="J85" s="31" t="n">
        <x:v>0.24221779</x:v>
      </x:c>
      <x:c r="K85" s="31" t="n">
        <x:v>0</x:v>
      </x:c>
      <x:c r="L85" s="31" t="n">
        <x:v>0</x:v>
      </x:c>
      <x:c r="M85" s="31" t="n">
        <x:v>0.24221779</x:v>
      </x:c>
      <x:c r="N85" s="24" t="str">
        <x:v>spondyliosoma cantharus</x:v>
      </x:c>
      <x:c r="O85" s="32" t="n">
        <x:v>3.34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Spondyliosoma cantharus</x:v>
      </x:c>
      <x:c r="T85" s="32" t="n">
        <x:f>IF(O85="","",(1/'Metadata'!$B$5)^(O85-1))</x:f>
        <x:v>218.77616239495518</x:v>
      </x:c>
      <x:c r="U85" s="31" t="n">
        <x:f>IF(T85="","",I85*T85)</x:f>
        <x:v>52.99147855998715</x:v>
      </x:c>
    </x:row>
    <x:row r="86" ht="18" customHeight="1">
      <x:c r="A86" s="24" t="str">
        <x:v>EEZ_422</x:v>
      </x:c>
      <x:c r="B86" s="24" t="str">
        <x:v>Lebanon</x:v>
      </x:c>
      <x:c r="C86" s="24" t="str">
        <x:v>EEZ</x:v>
      </x:c>
      <x:c r="D86" s="30" t="n">
        <x:v>2019</x:v>
      </x:c>
      <x:c r="E86" s="24" t="str">
        <x:v>Serranus scriba</x:v>
      </x:c>
      <x:c r="F86" s="24" t="str">
        <x:v>Painted comber</x:v>
      </x:c>
      <x:c r="G86" s="24" t="str">
        <x:v>Medium demersals (30 - 89 cm)</x:v>
      </x:c>
      <x:c r="H86" s="24" t="str">
        <x:v>Perch-likes</x:v>
      </x:c>
      <x:c r="I86" s="31" t="n">
        <x:v>0.221137043</x:v>
      </x:c>
      <x:c r="J86" s="31" t="n">
        <x:v>0.221137043</x:v>
      </x:c>
      <x:c r="K86" s="31" t="n">
        <x:v>0</x:v>
      </x:c>
      <x:c r="L86" s="31" t="n">
        <x:v>0</x:v>
      </x:c>
      <x:c r="M86" s="31" t="n">
        <x:v>0.221137043</x:v>
      </x:c>
      <x:c r="N86" s="24" t="str">
        <x:v>serranus scriba</x:v>
      </x:c>
      <x:c r="O86" s="32" t="n">
        <x:v>3.82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Serranus scriba</x:v>
      </x:c>
      <x:c r="T86" s="32" t="n">
        <x:f>IF(O86="","",(1/'Metadata'!$B$5)^(O86-1))</x:f>
        <x:v>660.6934480075957</x:v>
      </x:c>
      <x:c r="U86" s="31" t="n">
        <x:f>IF(T86="","",I86*T86)</x:f>
        <x:v>146.10379542187397</x:v>
      </x:c>
    </x:row>
    <x:row r="87" ht="18" customHeight="1">
      <x:c r="A87" s="24" t="str">
        <x:v>EEZ_422</x:v>
      </x:c>
      <x:c r="B87" s="24" t="str">
        <x:v>Lebanon</x:v>
      </x:c>
      <x:c r="C87" s="24" t="str">
        <x:v>EEZ</x:v>
      </x:c>
      <x:c r="D87" s="30" t="n">
        <x:v>2019</x:v>
      </x:c>
      <x:c r="E87" s="24" t="str">
        <x:v>Sarda sarda</x:v>
      </x:c>
      <x:c r="F87" s="24" t="str">
        <x:v>Atlantic bonito</x:v>
      </x:c>
      <x:c r="G87" s="24" t="str">
        <x:v>Medium pelagics (30 - 89 cm)</x:v>
      </x:c>
      <x:c r="H87" s="24" t="str">
        <x:v>Tuna &amp; billfishes</x:v>
      </x:c>
      <x:c r="I87" s="31" t="n">
        <x:v>0.19624983199999999</x:v>
      </x:c>
      <x:c r="J87" s="31" t="n">
        <x:v>0.19624983199999999</x:v>
      </x:c>
      <x:c r="K87" s="31" t="n">
        <x:v>0</x:v>
      </x:c>
      <x:c r="L87" s="31" t="n">
        <x:v>0</x:v>
      </x:c>
      <x:c r="M87" s="31" t="n">
        <x:v>0.19624983199999999</x:v>
      </x:c>
      <x:c r="N87" s="24" t="str">
        <x:v>sarda sarda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Sarda sarda</x:v>
      </x:c>
      <x:c r="T87" s="32" t="n">
        <x:f>IF(O87="","",(1/'Metadata'!$B$5)^(O87-1))</x:f>
        <x:v>3162.2776601683795</x:v>
      </x:c>
      <x:c r="U87" s="31" t="n">
        <x:f>IF(T87="","",I87*T87)</x:f>
        <x:v>620.5964595453975</x:v>
      </x:c>
    </x:row>
    <x:row r="88" ht="18" customHeight="1">
      <x:c r="A88" s="24" t="str">
        <x:v>EEZ_422</x:v>
      </x:c>
      <x:c r="B88" s="24" t="str">
        <x:v>Lebanon</x:v>
      </x:c>
      <x:c r="C88" s="24" t="str">
        <x:v>EEZ</x:v>
      </x:c>
      <x:c r="D88" s="30" t="n">
        <x:v>2019</x:v>
      </x:c>
      <x:c r="E88" s="24" t="str">
        <x:v>Dicentrarchus labrax</x:v>
      </x:c>
      <x:c r="F88" s="24" t="str">
        <x:v>European seabass</x:v>
      </x:c>
      <x:c r="G88" s="24" t="str">
        <x:v>Large demersals (&gt;=90 cm)</x:v>
      </x:c>
      <x:c r="H88" s="24" t="str">
        <x:v>Perch-likes</x:v>
      </x:c>
      <x:c r="I88" s="31" t="n">
        <x:v>0.163872624</x:v>
      </x:c>
      <x:c r="J88" s="31" t="n">
        <x:v>0.163872624</x:v>
      </x:c>
      <x:c r="K88" s="31" t="n">
        <x:v>0</x:v>
      </x:c>
      <x:c r="L88" s="31" t="n">
        <x:v>0</x:v>
      </x:c>
      <x:c r="M88" s="31" t="n">
        <x:v>0.163872624</x:v>
      </x:c>
      <x:c r="N88" s="24" t="str">
        <x:v>dicentrarchus labrax</x:v>
      </x:c>
      <x:c r="O88" s="32" t="n">
        <x:v>3.79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Dicentrarchus labrax</x:v>
      </x:c>
      <x:c r="T88" s="32" t="n">
        <x:f>IF(O88="","",(1/'Metadata'!$B$5)^(O88-1))</x:f>
        <x:v>616.5950018614822</x:v>
      </x:c>
      <x:c r="U88" s="31" t="n">
        <x:f>IF(T88="","",I88*T88)</x:f>
        <x:v>101.04304090032596</x:v>
      </x:c>
    </x:row>
    <x:row r="89" ht="18" customHeight="1">
      <x:c r="A89" s="24" t="str">
        <x:v>EEZ_422</x:v>
      </x:c>
      <x:c r="B89" s="24" t="str">
        <x:v>Lebanon</x:v>
      </x:c>
      <x:c r="C89" s="24" t="str">
        <x:v>EEZ</x:v>
      </x:c>
      <x:c r="D89" s="30" t="n">
        <x:v>2019</x:v>
      </x:c>
      <x:c r="E89" s="24" t="str">
        <x:v>Scorpaeniformes</x:v>
      </x:c>
      <x:c r="F89" s="24" t="str">
        <x:v>Scorpionfishes, flatheads</x:v>
      </x:c>
      <x:c r="G89" s="24" t="str">
        <x:v>Medium demersals (30 - 89 cm)</x:v>
      </x:c>
      <x:c r="H89" s="24" t="str">
        <x:v>Scorpionfishes</x:v>
      </x:c>
      <x:c r="I89" s="31" t="n">
        <x:v>0.155651298</x:v>
      </x:c>
      <x:c r="J89" s="31" t="n">
        <x:v>0.152968676</x:v>
      </x:c>
      <x:c r="K89" s="31" t="n">
        <x:v>0.002682622</x:v>
      </x:c>
      <x:c r="L89" s="31" t="n">
        <x:v>0</x:v>
      </x:c>
      <x:c r="M89" s="31" t="n">
        <x:v>0.155651298</x:v>
      </x:c>
      <x:c r="N89" s="24" t="str">
        <x:v>scorpaeniformes</x:v>
      </x:c>
      <x:c r="O89" s="32" t="n">
        <x:v>3.78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Scorpaeniformes</x:v>
      </x:c>
      <x:c r="T89" s="32" t="n">
        <x:f>IF(O89="","",(1/'Metadata'!$B$5)^(O89-1))</x:f>
        <x:v>602.5595860743575</x:v>
      </x:c>
      <x:c r="U89" s="31" t="n">
        <x:f>IF(T89="","",I89*T89)</x:f>
        <x:v>93.78918169481646</x:v>
      </x:c>
    </x:row>
    <x:row r="90" ht="18" customHeight="1">
      <x:c r="A90" s="24" t="str">
        <x:v>EEZ_422</x:v>
      </x:c>
      <x:c r="B90" s="24" t="str">
        <x:v>Lebanon</x:v>
      </x:c>
      <x:c r="C90" s="24" t="str">
        <x:v>EEZ</x:v>
      </x:c>
      <x:c r="D90" s="30" t="n">
        <x:v>2019</x:v>
      </x:c>
      <x:c r="E90" s="24" t="str">
        <x:v>Scorpaena porcus</x:v>
      </x:c>
      <x:c r="F90" s="24" t="str">
        <x:v>Black scorpionfish</x:v>
      </x:c>
      <x:c r="G90" s="24" t="str">
        <x:v>Small demersals (&lt;30 cm)</x:v>
      </x:c>
      <x:c r="H90" s="24" t="str">
        <x:v>Scorpionfishes</x:v>
      </x:c>
      <x:c r="I90" s="31" t="n">
        <x:v>0.148812669</x:v>
      </x:c>
      <x:c r="J90" s="31" t="n">
        <x:v>0.148812669</x:v>
      </x:c>
      <x:c r="K90" s="31" t="n">
        <x:v>0</x:v>
      </x:c>
      <x:c r="L90" s="31" t="n">
        <x:v>0</x:v>
      </x:c>
      <x:c r="M90" s="31" t="n">
        <x:v>0.148812669</x:v>
      </x:c>
      <x:c r="N90" s="24" t="str">
        <x:v>scorpaena porcus</x:v>
      </x:c>
      <x:c r="O90" s="32" t="n">
        <x:v>3.92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Scorpaena porcus</x:v>
      </x:c>
      <x:c r="T90" s="32" t="n">
        <x:f>IF(O90="","",(1/'Metadata'!$B$5)^(O90-1))</x:f>
        <x:v>831.7637711026708</x:v>
      </x:c>
      <x:c r="U90" s="31" t="n">
        <x:f>IF(T90="","",I90*T90)</x:f>
        <x:v>123.77698675529352</x:v>
      </x:c>
    </x:row>
    <x:row r="91" ht="18" customHeight="1">
      <x:c r="A91" s="24" t="str">
        <x:v>EEZ_422</x:v>
      </x:c>
      <x:c r="B91" s="24" t="str">
        <x:v>Lebanon</x:v>
      </x:c>
      <x:c r="C91" s="24" t="str">
        <x:v>EEZ</x:v>
      </x:c>
      <x:c r="D91" s="30" t="n">
        <x:v>2019</x:v>
      </x:c>
      <x:c r="E91" s="24" t="str">
        <x:v>Thalassoma pavo</x:v>
      </x:c>
      <x:c r="F91" s="24" t="str">
        <x:v>Ornate wrasse</x:v>
      </x:c>
      <x:c r="G91" s="24" t="str">
        <x:v>Small reef assoc. fish (&lt;30 cm)</x:v>
      </x:c>
      <x:c r="H91" s="24" t="str">
        <x:v>Perch-likes</x:v>
      </x:c>
      <x:c r="I91" s="31" t="n">
        <x:v>0.147899588</x:v>
      </x:c>
      <x:c r="J91" s="31" t="n">
        <x:v>0.147899588</x:v>
      </x:c>
      <x:c r="K91" s="31" t="n">
        <x:v>0</x:v>
      </x:c>
      <x:c r="L91" s="31" t="n">
        <x:v>0</x:v>
      </x:c>
      <x:c r="M91" s="31" t="n">
        <x:v>0.147899588</x:v>
      </x:c>
      <x:c r="N91" s="24" t="str">
        <x:v>thalassoma pavo</x:v>
      </x:c>
      <x:c r="O91" s="32" t="n">
        <x:v>3.5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Thalassoma pavo</x:v>
      </x:c>
      <x:c r="T91" s="32" t="n">
        <x:f>IF(O91="","",(1/'Metadata'!$B$5)^(O91-1))</x:f>
        <x:v>316.22776601683796</x:v>
      </x:c>
      <x:c r="U91" s="31" t="n">
        <x:f>IF(T91="","",I91*T91)</x:f>
        <x:v>46.76995630805074</x:v>
      </x:c>
    </x:row>
    <x:row r="92" ht="18" customHeight="1">
      <x:c r="A92" s="24" t="str">
        <x:v>EEZ_422</x:v>
      </x:c>
      <x:c r="B92" s="24" t="str">
        <x:v>Lebanon</x:v>
      </x:c>
      <x:c r="C92" s="24" t="str">
        <x:v>EEZ</x:v>
      </x:c>
      <x:c r="D92" s="30" t="n">
        <x:v>2019</x:v>
      </x:c>
      <x:c r="E92" s="24" t="str">
        <x:v>Sarpa salpa</x:v>
      </x:c>
      <x:c r="F92" s="24" t="str">
        <x:v>Salema</x:v>
      </x:c>
      <x:c r="G92" s="24" t="str">
        <x:v>Medium benthopelagics (30 - 89 cm)</x:v>
      </x:c>
      <x:c r="H92" s="24" t="str">
        <x:v>Perch-likes</x:v>
      </x:c>
      <x:c r="I92" s="31" t="n">
        <x:v>0.144520735</x:v>
      </x:c>
      <x:c r="J92" s="31" t="n">
        <x:v>0.144520735</x:v>
      </x:c>
      <x:c r="K92" s="31" t="n">
        <x:v>0</x:v>
      </x:c>
      <x:c r="L92" s="31" t="n">
        <x:v>0</x:v>
      </x:c>
      <x:c r="M92" s="31" t="n">
        <x:v>0.144520735</x:v>
      </x:c>
      <x:c r="N92" s="24" t="str">
        <x:v>sarpa salpa</x:v>
      </x:c>
      <x:c r="O92" s="32" t="n">
        <x:v>2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Sarpa salpa</x:v>
      </x:c>
      <x:c r="T92" s="32" t="n">
        <x:f>IF(O92="","",(1/'Metadata'!$B$5)^(O92-1))</x:f>
        <x:v>10</x:v>
      </x:c>
      <x:c r="U92" s="31" t="n">
        <x:f>IF(T92="","",I92*T92)</x:f>
        <x:v>1.44520735</x:v>
      </x:c>
    </x:row>
    <x:row r="93" ht="18" customHeight="1">
      <x:c r="A93" s="24" t="str">
        <x:v>EEZ_422</x:v>
      </x:c>
      <x:c r="B93" s="24" t="str">
        <x:v>Lebanon</x:v>
      </x:c>
      <x:c r="C93" s="24" t="str">
        <x:v>EEZ</x:v>
      </x:c>
      <x:c r="D93" s="30" t="n">
        <x:v>2019</x:v>
      </x:c>
      <x:c r="E93" s="24" t="str">
        <x:v>Trachinidae</x:v>
      </x:c>
      <x:c r="F93" s="24" t="str">
        <x:v>Weeverfishes</x:v>
      </x:c>
      <x:c r="G93" s="24" t="str">
        <x:v>Medium demersals (30 - 89 cm)</x:v>
      </x:c>
      <x:c r="H93" s="24" t="str">
        <x:v>Perch-likes</x:v>
      </x:c>
      <x:c r="I93" s="31" t="n">
        <x:v>0.136471401</x:v>
      </x:c>
      <x:c r="J93" s="31" t="n">
        <x:v>0.131664172</x:v>
      </x:c>
      <x:c r="K93" s="31" t="n">
        <x:v>0.004807229</x:v>
      </x:c>
      <x:c r="L93" s="31" t="n">
        <x:v>0</x:v>
      </x:c>
      <x:c r="M93" s="31" t="n">
        <x:v>0.136471401</x:v>
      </x:c>
      <x:c r="N93" s="24" t="str">
        <x:v>trachinidae</x:v>
      </x:c>
      <x:c r="O93" s="32" t="n">
        <x:v>3.95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Trachinidae</x:v>
      </x:c>
      <x:c r="T93" s="32" t="n">
        <x:f>IF(O93="","",(1/'Metadata'!$B$5)^(O93-1))</x:f>
        <x:v>891.2509381337459</x:v>
      </x:c>
      <x:c r="U93" s="31" t="n">
        <x:f>IF(T93="","",I93*T93)</x:f>
        <x:v>121.63026416967662</x:v>
      </x:c>
    </x:row>
    <x:row r="94" ht="18" customHeight="1">
      <x:c r="A94" s="24" t="str">
        <x:v>EEZ_422</x:v>
      </x:c>
      <x:c r="B94" s="24" t="str">
        <x:v>Lebanon</x:v>
      </x:c>
      <x:c r="C94" s="24" t="str">
        <x:v>EEZ</x:v>
      </x:c>
      <x:c r="D94" s="30" t="n">
        <x:v>2019</x:v>
      </x:c>
      <x:c r="E94" s="24" t="str">
        <x:v>Sciaenidae</x:v>
      </x:c>
      <x:c r="F94" s="24" t="str">
        <x:v>Drums, croakers</x:v>
      </x:c>
      <x:c r="G94" s="24" t="str">
        <x:v>Medium demersals (30 - 89 cm)</x:v>
      </x:c>
      <x:c r="H94" s="24" t="str">
        <x:v>Perch-likes</x:v>
      </x:c>
      <x:c r="I94" s="31" t="n">
        <x:v>0.11470721700000001</x:v>
      </x:c>
      <x:c r="J94" s="31" t="n">
        <x:v>0</x:v>
      </x:c>
      <x:c r="K94" s="31" t="n">
        <x:v>0.11470721700000001</x:v>
      </x:c>
      <x:c r="L94" s="31" t="n">
        <x:v>0</x:v>
      </x:c>
      <x:c r="M94" s="31" t="n">
        <x:v>0.11470721700000001</x:v>
      </x:c>
      <x:c r="N94" s="24" t="str">
        <x:v>sciaenidae</x:v>
      </x:c>
      <x:c r="O94" s="32" t="n">
        <x:v>3.76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Sciaenidae</x:v>
      </x:c>
      <x:c r="T94" s="32" t="n">
        <x:f>IF(O94="","",(1/'Metadata'!$B$5)^(O94-1))</x:f>
        <x:v>575.4399373371566</x:v>
      </x:c>
      <x:c r="U94" s="31" t="n">
        <x:f>IF(T94="","",I94*T94)</x:f>
        <x:v>66.00711376259963</x:v>
      </x:c>
    </x:row>
    <x:row r="95" ht="18" customHeight="1">
      <x:c r="A95" s="24" t="str">
        <x:v>EEZ_422</x:v>
      </x:c>
      <x:c r="B95" s="24" t="str">
        <x:v>Lebanon</x:v>
      </x:c>
      <x:c r="C95" s="24" t="str">
        <x:v>EEZ</x:v>
      </x:c>
      <x:c r="D95" s="30" t="n">
        <x:v>2019</x:v>
      </x:c>
      <x:c r="E95" s="24" t="str">
        <x:v>Pomacentridae</x:v>
      </x:c>
      <x:c r="F95" s="24" t="str">
        <x:v>Damselfishes</x:v>
      </x:c>
      <x:c r="G95" s="24" t="str">
        <x:v>Small reef assoc. fish (&lt;30 cm)</x:v>
      </x:c>
      <x:c r="H95" s="24" t="str">
        <x:v>Perch-likes</x:v>
      </x:c>
      <x:c r="I95" s="31" t="n">
        <x:v>0.112146751</x:v>
      </x:c>
      <x:c r="J95" s="31" t="n">
        <x:v>0</x:v>
      </x:c>
      <x:c r="K95" s="31" t="n">
        <x:v>0.112146751</x:v>
      </x:c>
      <x:c r="L95" s="31" t="n">
        <x:v>0</x:v>
      </x:c>
      <x:c r="M95" s="31" t="n">
        <x:v>0.112146751</x:v>
      </x:c>
      <x:c r="N95" s="24" t="str">
        <x:v>pomacentridae</x:v>
      </x:c>
      <x:c r="O95" s="32" t="n">
        <x:v>2.57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Pomacentridae</x:v>
      </x:c>
      <x:c r="T95" s="32" t="n">
        <x:f>IF(O95="","",(1/'Metadata'!$B$5)^(O95-1))</x:f>
        <x:v>37.15352290971724</x:v>
      </x:c>
      <x:c r="U95" s="31" t="n">
        <x:f>IF(T95="","",I95*T95)</x:f>
        <x:v>4.1666468825288545</x:v>
      </x:c>
    </x:row>
    <x:row r="96" ht="18" customHeight="1">
      <x:c r="A96" s="24" t="str">
        <x:v>EEZ_422</x:v>
      </x:c>
      <x:c r="B96" s="24" t="str">
        <x:v>Lebanon</x:v>
      </x:c>
      <x:c r="C96" s="24" t="str">
        <x:v>EEZ</x:v>
      </x:c>
      <x:c r="D96" s="30" t="n">
        <x:v>2019</x:v>
      </x:c>
      <x:c r="E96" s="24" t="str">
        <x:v>Engraulidae</x:v>
      </x:c>
      <x:c r="F96" s="24" t="str">
        <x:v>Anchovies, round herrings</x:v>
      </x:c>
      <x:c r="G96" s="24" t="str">
        <x:v>Small pelagics (&lt;30 cm)</x:v>
      </x:c>
      <x:c r="H96" s="24" t="str">
        <x:v>Anchovies</x:v>
      </x:c>
      <x:c r="I96" s="31" t="n">
        <x:v>0.078226509</x:v>
      </x:c>
      <x:c r="J96" s="31" t="n">
        <x:v>0</x:v>
      </x:c>
      <x:c r="K96" s="31" t="n">
        <x:v>0.078226509</x:v>
      </x:c>
      <x:c r="L96" s="31" t="n">
        <x:v>0</x:v>
      </x:c>
      <x:c r="M96" s="31" t="n">
        <x:v>0.078226509</x:v>
      </x:c>
      <x:c r="N96" s="24" t="str">
        <x:v>engraulidae</x:v>
      </x:c>
      <x:c r="O96" s="32" t="n">
        <x:v>3.2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Engraulidae</x:v>
      </x:c>
      <x:c r="T96" s="32" t="n">
        <x:f>IF(O96="","",(1/'Metadata'!$B$5)^(O96-1))</x:f>
        <x:v>158.48931924611142</x:v>
      </x:c>
      <x:c r="U96" s="31" t="n">
        <x:f>IF(T96="","",I96*T96)</x:f>
        <x:v>12.398066158409808</x:v>
      </x:c>
    </x:row>
    <x:row r="97" ht="18" customHeight="1">
      <x:c r="A97" s="24" t="str">
        <x:v>EEZ_422</x:v>
      </x:c>
      <x:c r="B97" s="24" t="str">
        <x:v>Lebanon</x:v>
      </x:c>
      <x:c r="C97" s="24" t="str">
        <x:v>EEZ</x:v>
      </x:c>
      <x:c r="D97" s="30" t="n">
        <x:v>2019</x:v>
      </x:c>
      <x:c r="E97" s="24" t="str">
        <x:v>Terapontidae</x:v>
      </x:c>
      <x:c r="F97" s="24" t="str">
        <x:v>Grunters, tigerperches</x:v>
      </x:c>
      <x:c r="G97" s="24" t="str">
        <x:v>Medium demersals (30 - 89 cm)</x:v>
      </x:c>
      <x:c r="H97" s="24" t="str">
        <x:v>Perch-likes</x:v>
      </x:c>
      <x:c r="I97" s="31" t="n">
        <x:v>0.066964882</x:v>
      </x:c>
      <x:c r="J97" s="31" t="n">
        <x:v>0</x:v>
      </x:c>
      <x:c r="K97" s="31" t="n">
        <x:v>0.066964882</x:v>
      </x:c>
      <x:c r="L97" s="31" t="n">
        <x:v>0</x:v>
      </x:c>
      <x:c r="M97" s="31" t="n">
        <x:v>0.066964882</x:v>
      </x:c>
      <x:c r="N97" s="24" t="str">
        <x:v>terapontidae</x:v>
      </x:c>
      <x:c r="O97" s="32" t="n">
        <x:v>3.64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Terapontidae</x:v>
      </x:c>
      <x:c r="T97" s="32" t="n">
        <x:f>IF(O97="","",(1/'Metadata'!$B$5)^(O97-1))</x:f>
        <x:v>436.5158322401661</x:v>
      </x:c>
      <x:c r="U97" s="31" t="n">
        <x:f>IF(T97="","",I97*T97)</x:f>
        <x:v>29.23123119709452</x:v>
      </x:c>
    </x:row>
    <x:row r="98" ht="18" customHeight="1">
      <x:c r="A98" s="24" t="str">
        <x:v>EEZ_422</x:v>
      </x:c>
      <x:c r="B98" s="24" t="str">
        <x:v>Lebanon</x:v>
      </x:c>
      <x:c r="C98" s="24" t="str">
        <x:v>EEZ</x:v>
      </x:c>
      <x:c r="D98" s="30" t="n">
        <x:v>2019</x:v>
      </x:c>
      <x:c r="E98" s="24" t="str">
        <x:v>Clupeiformes</x:v>
      </x:c>
      <x:c r="F98" s="24" t="str">
        <x:v>Herrings, shads, anchovies</x:v>
      </x:c>
      <x:c r="G98" s="24" t="str">
        <x:v>Small pelagics (&lt;30 cm)</x:v>
      </x:c>
      <x:c r="H98" s="24" t="str">
        <x:v>Other fishes &amp; inverts</x:v>
      </x:c>
      <x:c r="I98" s="31" t="n">
        <x:v>0.04148614</x:v>
      </x:c>
      <x:c r="J98" s="31" t="n">
        <x:v>0</x:v>
      </x:c>
      <x:c r="K98" s="31" t="n">
        <x:v>0.04148614</x:v>
      </x:c>
      <x:c r="L98" s="31" t="n">
        <x:v>0</x:v>
      </x:c>
      <x:c r="M98" s="31" t="n">
        <x:v>0.04148614</x:v>
      </x:c>
      <x:c r="N98" s="24" t="str">
        <x:v>clupeiformes</x:v>
      </x:c>
      <x:c r="O98" s="32" t="n">
        <x:v>3.24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Clupeiformes</x:v>
      </x:c>
      <x:c r="T98" s="32" t="n">
        <x:f>IF(O98="","",(1/'Metadata'!$B$5)^(O98-1))</x:f>
        <x:v>173.78008287493762</x:v>
      </x:c>
      <x:c r="U98" s="31" t="n">
        <x:f>IF(T98="","",I98*T98)</x:f>
        <x:v>7.209464847361264</x:v>
      </x:c>
    </x:row>
    <x:row r="99" ht="18" customHeight="1">
      <x:c r="A99" s="24" t="str">
        <x:v>EEZ_422</x:v>
      </x:c>
      <x:c r="B99" s="24" t="str">
        <x:v>Lebanon</x:v>
      </x:c>
      <x:c r="C99" s="24" t="str">
        <x:v>EEZ</x:v>
      </x:c>
      <x:c r="D99" s="30" t="n">
        <x:v>2019</x:v>
      </x:c>
      <x:c r="E99" s="24" t="str">
        <x:v>Carcharhinidae</x:v>
      </x:c>
      <x:c r="F99" s="24" t="str">
        <x:v>Requiem sharks</x:v>
      </x:c>
      <x:c r="G99" s="24" t="str">
        <x:v>Large sharks (&gt;=90 cm)</x:v>
      </x:c>
      <x:c r="H99" s="24" t="str">
        <x:v>Sharks &amp; rays</x:v>
      </x:c>
      <x:c r="I99" s="31" t="n">
        <x:v>0.032616855</x:v>
      </x:c>
      <x:c r="J99" s="31" t="n">
        <x:v>0</x:v>
      </x:c>
      <x:c r="K99" s="31" t="n">
        <x:v>0.032616855</x:v>
      </x:c>
      <x:c r="L99" s="31" t="n">
        <x:v>0</x:v>
      </x:c>
      <x:c r="M99" s="31" t="n">
        <x:v>0.032616855</x:v>
      </x:c>
      <x:c r="N99" s="24" t="str">
        <x:v>carcharhinidae</x:v>
      </x:c>
      <x:c r="O99" s="32" t="n">
        <x:v>4.24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Carcharhinidae</x:v>
      </x:c>
      <x:c r="T99" s="32" t="n">
        <x:f>IF(O99="","",(1/'Metadata'!$B$5)^(O99-1))</x:f>
        <x:v>1737.8008287493763</x:v>
      </x:c>
      <x:c r="U99" s="31" t="n">
        <x:f>IF(T99="","",I99*T99)</x:f>
        <x:v>56.681597650198235</x:v>
      </x:c>
    </x:row>
    <x:row r="100" ht="18" customHeight="1">
      <x:c r="A100" s="24" t="str">
        <x:v>EEZ_422</x:v>
      </x:c>
      <x:c r="B100" s="24" t="str">
        <x:v>Lebanon</x:v>
      </x:c>
      <x:c r="C100" s="24" t="str">
        <x:v>EEZ</x:v>
      </x:c>
      <x:c r="D100" s="30" t="n">
        <x:v>2019</x:v>
      </x:c>
      <x:c r="E100" s="24" t="str">
        <x:v>Belonidae</x:v>
      </x:c>
      <x:c r="F100" s="24" t="str">
        <x:v>Needlefishes, garfishes</x:v>
      </x:c>
      <x:c r="G100" s="24" t="str">
        <x:v>Medium pelagics (30 - 89 cm)</x:v>
      </x:c>
      <x:c r="H100" s="24" t="str">
        <x:v>Other fishes &amp; inverts</x:v>
      </x:c>
      <x:c r="I100" s="31" t="n">
        <x:v>0.020342322</x:v>
      </x:c>
      <x:c r="J100" s="31" t="n">
        <x:v>0</x:v>
      </x:c>
      <x:c r="K100" s="31" t="n">
        <x:v>0.020342322</x:v>
      </x:c>
      <x:c r="L100" s="31" t="n">
        <x:v>0</x:v>
      </x:c>
      <x:c r="M100" s="31" t="n">
        <x:v>0.020342322</x:v>
      </x:c>
      <x:c r="N100" s="24" t="str">
        <x:v>belonidae</x:v>
      </x:c>
      <x:c r="O100" s="32" t="n">
        <x:v>4.38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Belonidae</x:v>
      </x:c>
      <x:c r="T100" s="32" t="n">
        <x:f>IF(O100="","",(1/'Metadata'!$B$5)^(O100-1))</x:f>
        <x:v>2398.83291901949</x:v>
      </x:c>
      <x:c r="U100" s="31" t="n">
        <x:f>IF(T100="","",I100*T100)</x:f>
        <x:v>48.79783166289439</x:v>
      </x:c>
    </x:row>
    <x:row r="101" ht="18" customHeight="1">
      <x:c r="A101" s="24" t="str">
        <x:v>EEZ_422</x:v>
      </x:c>
      <x:c r="B101" s="24" t="str">
        <x:v>Lebanon</x:v>
      </x:c>
      <x:c r="C101" s="24" t="str">
        <x:v>EEZ</x:v>
      </x:c>
      <x:c r="D101" s="30" t="n">
        <x:v>2019</x:v>
      </x:c>
      <x:c r="E101" s="24" t="str">
        <x:v>Pomatomidae</x:v>
      </x:c>
      <x:c r="F101" s="24" t="str">
        <x:v>Bluefishes</x:v>
      </x:c>
      <x:c r="G101" s="24" t="str">
        <x:v>Large pelagics (&gt;=90 cm)</x:v>
      </x:c>
      <x:c r="H101" s="24" t="str">
        <x:v>Perch-likes</x:v>
      </x:c>
      <x:c r="I101" s="31" t="n">
        <x:v>0.017591944</x:v>
      </x:c>
      <x:c r="J101" s="31" t="n">
        <x:v>0</x:v>
      </x:c>
      <x:c r="K101" s="31" t="n">
        <x:v>0.017591944</x:v>
      </x:c>
      <x:c r="L101" s="31" t="n">
        <x:v>0</x:v>
      </x:c>
      <x:c r="M101" s="31" t="n">
        <x:v>0.017591944</x:v>
      </x:c>
      <x:c r="N101" s="24" t="str">
        <x:v>pomatomidae</x:v>
      </x:c>
      <x:c r="O101" s="32" t="n">
        <x:v>4.53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Pomatomidae</x:v>
      </x:c>
      <x:c r="T101" s="32" t="n">
        <x:f>IF(O101="","",(1/'Metadata'!$B$5)^(O101-1))</x:f>
        <x:v>3388.4415613920273</x:v>
      </x:c>
      <x:c r="U101" s="31" t="n">
        <x:f>IF(T101="","",I101*T101)</x:f>
        <x:v>59.60927419528111</x:v>
      </x:c>
    </x:row>
    <x:row r="102" ht="18" customHeight="1">
      <x:c r="A102" s="24" t="str">
        <x:v>EEZ_422</x:v>
      </x:c>
      <x:c r="B102" s="24" t="str">
        <x:v>Lebanon</x:v>
      </x:c>
      <x:c r="C102" s="24" t="str">
        <x:v>EEZ</x:v>
      </x:c>
      <x:c r="D102" s="30" t="n">
        <x:v>2019</x:v>
      </x:c>
      <x:c r="E102" s="24" t="str">
        <x:v>Sillaginidae</x:v>
      </x:c>
      <x:c r="F102" s="24" t="str">
        <x:v>Smelt-whitings</x:v>
      </x:c>
      <x:c r="G102" s="24" t="str">
        <x:v>Medium demersals (30 - 89 cm)</x:v>
      </x:c>
      <x:c r="H102" s="24" t="str">
        <x:v>Perch-likes</x:v>
      </x:c>
      <x:c r="I102" s="31" t="n">
        <x:v>0.016762823</x:v>
      </x:c>
      <x:c r="J102" s="31" t="n">
        <x:v>0</x:v>
      </x:c>
      <x:c r="K102" s="31" t="n">
        <x:v>0.016762823</x:v>
      </x:c>
      <x:c r="L102" s="31" t="n">
        <x:v>0</x:v>
      </x:c>
      <x:c r="M102" s="31" t="n">
        <x:v>0.016762823</x:v>
      </x:c>
      <x:c r="N102" s="24" t="str">
        <x:v>sillaginidae</x:v>
      </x:c>
      <x:c r="O102" s="32" t="n">
        <x:v>3.25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Sillaginidae</x:v>
      </x:c>
      <x:c r="T102" s="32" t="n">
        <x:f>IF(O102="","",(1/'Metadata'!$B$5)^(O102-1))</x:f>
        <x:v>177.82794100389228</x:v>
      </x:c>
      <x:c r="U102" s="31" t="n">
        <x:f>IF(T102="","",I102*T102)</x:f>
        <x:v>2.9808982995026887</x:v>
      </x:c>
    </x:row>
    <x:row r="103" ht="18" customHeight="1">
      <x:c r="A103" s="24" t="str">
        <x:v>EEZ_422</x:v>
      </x:c>
      <x:c r="B103" s="24" t="str">
        <x:v>Lebanon</x:v>
      </x:c>
      <x:c r="C103" s="24" t="str">
        <x:v>EEZ</x:v>
      </x:c>
      <x:c r="D103" s="30" t="n">
        <x:v>2019</x:v>
      </x:c>
      <x:c r="E103" s="24" t="str">
        <x:v>Scombroidei</x:v>
      </x:c>
      <x:c r="F103" s="24" t="str">
        <x:v>Tunas, bonitos, billfishes</x:v>
      </x:c>
      <x:c r="G103" s="24" t="str">
        <x:v>Large pelagics (&gt;=90 cm)</x:v>
      </x:c>
      <x:c r="H103" s="24" t="str">
        <x:v>Tuna &amp; billfishes</x:v>
      </x:c>
      <x:c r="I103" s="31" t="n">
        <x:v>0.016147496</x:v>
      </x:c>
      <x:c r="J103" s="31" t="n">
        <x:v>0</x:v>
      </x:c>
      <x:c r="K103" s="31" t="n">
        <x:v>0.016147496</x:v>
      </x:c>
      <x:c r="L103" s="31" t="n">
        <x:v>0</x:v>
      </x:c>
      <x:c r="M103" s="31" t="n">
        <x:v>0.016147496</x:v>
      </x:c>
      <x:c r="N103" s="24" t="str">
        <x:v>scombroidei</x:v>
      </x:c>
      <x:c r="O103" s="32" t="n">
        <x:v>4.2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Scombroidei</x:v>
      </x:c>
      <x:c r="T103" s="32" t="n">
        <x:f>IF(O103="","",(1/'Metadata'!$B$5)^(O103-1))</x:f>
        <x:v>1584.893192461114</x:v>
      </x:c>
      <x:c r="U103" s="31" t="n">
        <x:f>IF(T103="","",I103*T103)</x:f>
        <x:v>25.59205648569307</x:v>
      </x:c>
    </x:row>
    <x:row r="104" ht="18" customHeight="1">
      <x:c r="A104" s="24" t="str">
        <x:v>EEZ_422</x:v>
      </x:c>
      <x:c r="B104" s="24" t="str">
        <x:v>Lebanon</x:v>
      </x:c>
      <x:c r="C104" s="24" t="str">
        <x:v>EEZ</x:v>
      </x:c>
      <x:c r="D104" s="30" t="n">
        <x:v>2019</x:v>
      </x:c>
      <x:c r="E104" s="24" t="str">
        <x:v>Balistidae</x:v>
      </x:c>
      <x:c r="F104" s="24" t="str">
        <x:v>Triggerfishes</x:v>
      </x:c>
      <x:c r="G104" s="24" t="str">
        <x:v>Medium reef assoc. fish (30 - 89 cm)</x:v>
      </x:c>
      <x:c r="H104" s="24" t="str">
        <x:v>Other fishes &amp; inverts</x:v>
      </x:c>
      <x:c r="I104" s="31" t="n">
        <x:v>0.016142909</x:v>
      </x:c>
      <x:c r="J104" s="31" t="n">
        <x:v>0</x:v>
      </x:c>
      <x:c r="K104" s="31" t="n">
        <x:v>0.016142909</x:v>
      </x:c>
      <x:c r="L104" s="31" t="n">
        <x:v>0</x:v>
      </x:c>
      <x:c r="M104" s="31" t="n">
        <x:v>0.016142909</x:v>
      </x:c>
      <x:c r="N104" s="24" t="str">
        <x:v>balistidae</x:v>
      </x:c>
      <x:c r="O104" s="32" t="n">
        <x:v>3.25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Balistidae</x:v>
      </x:c>
      <x:c r="T104" s="32" t="n">
        <x:f>IF(O104="","",(1/'Metadata'!$B$5)^(O104-1))</x:f>
        <x:v>177.82794100389228</x:v>
      </x:c>
      <x:c r="U104" s="31" t="n">
        <x:f>IF(T104="","",I104*T104)</x:f>
        <x:v>2.870660269283202</x:v>
      </x:c>
    </x:row>
    <x:row r="105" ht="18" customHeight="1">
      <x:c r="A105" s="24" t="str">
        <x:v>EEZ_422</x:v>
      </x:c>
      <x:c r="B105" s="24" t="str">
        <x:v>Lebanon</x:v>
      </x:c>
      <x:c r="C105" s="24" t="str">
        <x:v>EEZ</x:v>
      </x:c>
      <x:c r="D105" s="30" t="n">
        <x:v>2019</x:v>
      </x:c>
      <x:c r="E105" s="24" t="str">
        <x:v>Elasmobranchii</x:v>
      </x:c>
      <x:c r="F105" s="24" t="str">
        <x:v>Sharks, rays, skates</x:v>
      </x:c>
      <x:c r="G105" s="24" t="str">
        <x:v>Large sharks (&gt;=90 cm)</x:v>
      </x:c>
      <x:c r="H105" s="24" t="str">
        <x:v>Sharks &amp; rays</x:v>
      </x:c>
      <x:c r="I105" s="31" t="n">
        <x:v>0.010530981</x:v>
      </x:c>
      <x:c r="J105" s="31" t="n">
        <x:v>0</x:v>
      </x:c>
      <x:c r="K105" s="31" t="n">
        <x:v>0.010530981</x:v>
      </x:c>
      <x:c r="L105" s="31" t="n">
        <x:v>0</x:v>
      </x:c>
      <x:c r="M105" s="31" t="n">
        <x:v>0.010530981</x:v>
      </x:c>
      <x:c r="N105" s="24" t="str">
        <x:v>elasmobranchii</x:v>
      </x:c>
      <x:c r="O105" s="32" t="n">
        <x:v>4.05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Elasmobranchii</x:v>
      </x:c>
      <x:c r="T105" s="32" t="n">
        <x:f>IF(O105="","",(1/'Metadata'!$B$5)^(O105-1))</x:f>
        <x:v>1122.018454301963</x:v>
      </x:c>
      <x:c r="U105" s="31" t="n">
        <x:f>IF(T105="","",I105*T105)</x:f>
        <x:v>11.81595502390334</x:v>
      </x:c>
    </x:row>
    <x:row r="106" ht="18" customHeight="1">
      <x:c r="A106" s="24" t="str">
        <x:v>EEZ_422</x:v>
      </x:c>
      <x:c r="B106" s="24" t="str">
        <x:v>Lebanon</x:v>
      </x:c>
      <x:c r="C106" s="24" t="str">
        <x:v>EEZ</x:v>
      </x:c>
      <x:c r="D106" s="30" t="n">
        <x:v>2019</x:v>
      </x:c>
      <x:c r="E106" s="24" t="str">
        <x:v>Trichiuridae</x:v>
      </x:c>
      <x:c r="F106" s="24" t="str">
        <x:v>Cutlassfishes</x:v>
      </x:c>
      <x:c r="G106" s="24" t="str">
        <x:v>Large benthopelagics (&gt;=90 cm)</x:v>
      </x:c>
      <x:c r="H106" s="24" t="str">
        <x:v>Perch-likes</x:v>
      </x:c>
      <x:c r="I106" s="31" t="n">
        <x:v>0.007450144</x:v>
      </x:c>
      <x:c r="J106" s="31" t="n">
        <x:v>0</x:v>
      </x:c>
      <x:c r="K106" s="31" t="n">
        <x:v>0.007450144</x:v>
      </x:c>
      <x:c r="L106" s="31" t="n">
        <x:v>0</x:v>
      </x:c>
      <x:c r="M106" s="31" t="n">
        <x:v>0.007450144</x:v>
      </x:c>
      <x:c r="N106" s="24" t="str">
        <x:v>trichiuridae</x:v>
      </x:c>
      <x:c r="O106" s="32" t="n">
        <x:v>4.15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Trichiuridae</x:v>
      </x:c>
      <x:c r="T106" s="32" t="n">
        <x:f>IF(O106="","",(1/'Metadata'!$B$5)^(O106-1))</x:f>
        <x:v>1412.5375446227554</x:v>
      </x:c>
      <x:c r="U106" s="31" t="n">
        <x:f>IF(T106="","",I106*T106)</x:f>
        <x:v>10.523608112845952</x:v>
      </x:c>
    </x:row>
    <x:row r="107" ht="18" customHeight="1">
      <x:c r="A107" s="24" t="str">
        <x:v>EEZ_422</x:v>
      </x:c>
      <x:c r="B107" s="24" t="str">
        <x:v>Lebanon</x:v>
      </x:c>
      <x:c r="C107" s="24" t="str">
        <x:v>EEZ</x:v>
      </x:c>
      <x:c r="D107" s="30" t="n">
        <x:v>2019</x:v>
      </x:c>
      <x:c r="E107" s="24" t="str">
        <x:v>Penaeidae</x:v>
      </x:c>
      <x:c r="F107" s="24" t="str">
        <x:v>Commercial shrimps and prawns</x:v>
      </x:c>
      <x:c r="G107" s="24" t="str">
        <x:v>Shrimps</x:v>
      </x:c>
      <x:c r="H107" s="24" t="str">
        <x:v>Crustaceans</x:v>
      </x:c>
      <x:c r="I107" s="31" t="n">
        <x:v>0.002864251</x:v>
      </x:c>
      <x:c r="J107" s="31" t="n">
        <x:v>0</x:v>
      </x:c>
      <x:c r="K107" s="31" t="n">
        <x:v>0.002864251</x:v>
      </x:c>
      <x:c r="L107" s="31" t="n">
        <x:v>0</x:v>
      </x:c>
      <x:c r="M107" s="31" t="n">
        <x:v>0.002864251</x:v>
      </x:c>
      <x:c r="N107" s="24" t="str">
        <x:v>penaeidae</x:v>
      </x:c>
      <x:c r="O107" s="32" t="n">
        <x:v>3.31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Penaeidae</x:v>
      </x:c>
      <x:c r="T107" s="32" t="n">
        <x:f>IF(O107="","",(1/'Metadata'!$B$5)^(O107-1))</x:f>
        <x:v>204.17379446695296</x:v>
      </x:c>
      <x:c r="U107" s="31" t="n">
        <x:f>IF(T107="","",I107*T107)</x:f>
        <x:v>0.5848049949757644</x:v>
      </x:c>
    </x:row>
    <x:row r="108" ht="18" customHeight="1">
      <x:c r="A108" s="24" t="str">
        <x:v>EEZ_422</x:v>
      </x:c>
      <x:c r="B108" s="24" t="str">
        <x:v>Lebanon</x:v>
      </x:c>
      <x:c r="C108" s="24" t="str">
        <x:v>EEZ</x:v>
      </x:c>
      <x:c r="D108" s="30" t="n">
        <x:v>2019</x:v>
      </x:c>
      <x:c r="E108" s="24" t="str">
        <x:v>Anguilliformes</x:v>
      </x:c>
      <x:c r="F108" s="24" t="str">
        <x:v>Eels, morays</x:v>
      </x:c>
      <x:c r="G108" s="24" t="str">
        <x:v>Large demersals (&gt;=90 cm)</x:v>
      </x:c>
      <x:c r="H108" s="24" t="str">
        <x:v>Other fishes &amp; inverts</x:v>
      </x:c>
      <x:c r="I108" s="31" t="n">
        <x:v>0.000465634</x:v>
      </x:c>
      <x:c r="J108" s="31" t="n">
        <x:v>0</x:v>
      </x:c>
      <x:c r="K108" s="31" t="n">
        <x:v>0.000465634</x:v>
      </x:c>
      <x:c r="L108" s="31" t="n">
        <x:v>0</x:v>
      </x:c>
      <x:c r="M108" s="31" t="n">
        <x:v>0.000465634</x:v>
      </x:c>
      <x:c r="N108" s="24" t="str">
        <x:v>anguilliformes</x:v>
      </x:c>
      <x:c r="O108" s="32" t="n">
        <x:v>3.89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Anguilliformes</x:v>
      </x:c>
      <x:c r="T108" s="32" t="n">
        <x:f>IF(O108="","",(1/'Metadata'!$B$5)^(O108-1))</x:f>
        <x:v>776.247116628692</x:v>
      </x:c>
      <x:c r="U108" s="31" t="n">
        <x:f>IF(T108="","",I108*T108)</x:f>
        <x:v>0.36144704990428433</x:v>
      </x:c>
    </x:row>
  </x:sheetData>
  <x:conditionalFormatting sqref="R2:R10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56072e76ecd414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780.0782265060001</x:v>
      </x:c>
      <x:c r="E2" s="31" t="n">
        <x:v>780.0782265060001</x:v>
      </x:c>
      <x:c r="F2" s="32" t="n">
        <x:v>0</x:v>
      </x:c>
      <x:c r="G2" s="34" t="n">
        <x:v>1</x:v>
      </x:c>
      <x:c r="H2" s="32" t="n">
        <x:f>IF(E2=0,"",I2/E2)</x:f>
        <x:v>128.82792992179918</x:v>
      </x:c>
      <x:c r="I2" s="31" t="n">
        <x:f>IF(C2=0,"",SUMIF('Species'!$H$2:$H$108,A2,'Species'!$U$2:$U$108))</x:f>
        <x:v>100495.86309783637</x:v>
      </x:c>
      <x:c r="J2" s="32" t="n">
        <x:v>3.1100090252305095</x:v>
      </x:c>
      <x:c r="K2" s="32" t="n">
        <x:f>IF(J2="","",(1/'Metadata'!$B$5)^(J2-1))</x:f>
        <x:v>128.82763235506016</x:v>
      </x:c>
      <x:c r="L2" s="31" t="n">
        <x:f>IF(E2=0,"",E2*K2)</x:f>
        <x:v>100495.63097250233</x:v>
      </x:c>
      <x:c r="M2" s="31" t="n">
        <x:f>IF(E2=0,"",I2-L2)</x:f>
        <x:v>0.2321253340342082</x:v>
      </x:c>
      <x:c r="N2" s="32" t="n">
        <x:f>IF(L2=0,"",I2/L2)</x:f>
        <x:v>1.0000023098052302</x:v>
      </x:c>
      <x:c r="O2" s="34" t="n">
        <x:f>IF(L2=0,"",M2/L2)</x:f>
        <x:v>0.0000023098052302166494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23.863439248000002</x:v>
      </x:c>
      <x:c r="E3" s="31" t="n">
        <x:v>23.863439248000002</x:v>
      </x:c>
      <x:c r="F3" s="32" t="n">
        <x:v>0</x:v>
      </x:c>
      <x:c r="G3" s="34" t="n">
        <x:v>1</x:v>
      </x:c>
      <x:c r="H3" s="32" t="n">
        <x:f>IF(E3=0,"",I3/E3)</x:f>
        <x:v>812.8305161640995</x:v>
      </x:c>
      <x:c r="I3" s="31" t="n">
        <x:f>IF(C3=0,"",SUMIF('Species'!$H$2:$H$108,A3,'Species'!$U$2:$U$108))</x:f>
        <x:v>19396.931641402472</x:v>
      </x:c>
      <x:c r="J3" s="32" t="n">
        <x:v>3.91</x:v>
      </x:c>
      <x:c r="K3" s="32" t="n">
        <x:f>IF(J3="","",(1/'Metadata'!$B$5)^(J3-1))</x:f>
        <x:v>812.8305161640995</x:v>
      </x:c>
      <x:c r="L3" s="31" t="n">
        <x:f>IF(E3=0,"",E3*K3)</x:f>
        <x:v>19396.931641402472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6</x:v>
      </x:c>
      <x:c r="C4" s="33" t="n">
        <x:v>6</x:v>
      </x:c>
      <x:c r="D4" s="31" t="n">
        <x:v>112.337422097</x:v>
      </x:c>
      <x:c r="E4" s="31" t="n">
        <x:v>112.337422097</x:v>
      </x:c>
      <x:c r="F4" s="32" t="n">
        <x:v>0</x:v>
      </x:c>
      <x:c r="G4" s="34" t="n">
        <x:v>1</x:v>
      </x:c>
      <x:c r="H4" s="32" t="n">
        <x:f>IF(E4=0,"",I4/E4)</x:f>
        <x:v>123.087229407457</x:v>
      </x:c>
      <x:c r="I4" s="31" t="n">
        <x:f>IF(C4=0,"",SUMIF('Species'!$H$2:$H$108,A4,'Species'!$U$2:$U$108))</x:f>
        <x:v>13827.302044695769</x:v>
      </x:c>
      <x:c r="J4" s="32" t="n">
        <x:v>2.9394531149789342</x:v>
      </x:c>
      <x:c r="K4" s="32" t="n">
        <x:f>IF(J4="","",(1/'Metadata'!$B$5)^(J4-1))</x:f>
        <x:v>86.98675199251848</x:v>
      </x:c>
      <x:c r="L4" s="31" t="n">
        <x:f>IF(E4=0,"",E4*K4)</x:f>
        <x:v>9771.867475430605</x:v>
      </x:c>
      <x:c r="M4" s="31" t="n">
        <x:f>IF(E4=0,"",I4-L4)</x:f>
        <x:v>4055.434569265164</x:v>
      </x:c>
      <x:c r="N4" s="32" t="n">
        <x:f>IF(L4=0,"",I4/L4)</x:f>
        <x:v>1.4150112124895</x:v>
      </x:c>
      <x:c r="O4" s="34" t="n">
        <x:f>IF(L4=0,"",M4/L4)</x:f>
        <x:v>0.41501121248949996</x:v>
      </x:c>
    </x:row>
    <x:row r="5" ht="18" customHeight="1">
      <x:c r="A5" s="24" t="str">
        <x:v>Flatfishes</x:v>
      </x:c>
      <x:c r="B5" s="33" t="n">
        <x:v>3</x:v>
      </x:c>
      <x:c r="C5" s="33" t="n">
        <x:v>3</x:v>
      </x:c>
      <x:c r="D5" s="31" t="n">
        <x:v>67.55346649500001</x:v>
      </x:c>
      <x:c r="E5" s="31" t="n">
        <x:v>67.55346649500001</x:v>
      </x:c>
      <x:c r="F5" s="32" t="n">
        <x:v>0</x:v>
      </x:c>
      <x:c r="G5" s="34" t="n">
        <x:v>1</x:v>
      </x:c>
      <x:c r="H5" s="32" t="n">
        <x:f>IF(E5=0,"",I5/E5)</x:f>
        <x:v>174.06604135509863</x:v>
      </x:c>
      <x:c r="I5" s="31" t="n">
        <x:f>IF(C5=0,"",SUMIF('Species'!$H$2:$H$108,A5,'Species'!$U$2:$U$108))</x:f>
        <x:v>11758.76449259894</x:v>
      </x:c>
      <x:c r="J5" s="32" t="n">
        <x:v>3.216672619386502</x:v>
      </x:c>
      <x:c r="K5" s="32" t="n">
        <x:f>IF(J5="","",(1/'Metadata'!$B$5)^(J5-1))</x:f>
        <x:v>164.6920439080246</x:v>
      </x:c>
      <x:c r="L5" s="31" t="n">
        <x:f>IF(E5=0,"",E5*K5)</x:f>
        <x:v>11125.51847013381</x:v>
      </x:c>
      <x:c r="M5" s="31" t="n">
        <x:f>IF(E5=0,"",I5-L5)</x:f>
        <x:v>633.2460224651313</x:v>
      </x:c>
      <x:c r="N5" s="32" t="n">
        <x:f>IF(L5=0,"",I5/L5)</x:f>
        <x:v>1.0569183381579084</x:v>
      </x:c>
      <x:c r="O5" s="34" t="n">
        <x:f>IF(L5=0,"",M5/L5)</x:f>
        <x:v>0.05691833815790835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939.518664869</x:v>
      </x:c>
      <x:c r="E6" s="31" t="n">
        <x:v>939.518664869</x:v>
      </x:c>
      <x:c r="F6" s="32" t="n">
        <x:v>0</x:v>
      </x:c>
      <x:c r="G6" s="34" t="n">
        <x:v>1</x:v>
      </x:c>
      <x:c r="H6" s="32" t="n">
        <x:f>IF(E6=0,"",I6/E6)</x:f>
        <x:v>164.75912639992424</x:v>
      </x:c>
      <x:c r="I6" s="31" t="n">
        <x:f>IF(C6=0,"",SUMIF('Species'!$H$2:$H$108,A6,'Species'!$U$2:$U$108))</x:f>
        <x:v>154794.27446023963</x:v>
      </x:c>
      <x:c r="J6" s="32" t="n">
        <x:v>3.205509161936918</x:v>
      </x:c>
      <x:c r="K6" s="32" t="n">
        <x:f>IF(J6="","",(1/'Metadata'!$B$5)^(J6-1))</x:f>
        <x:v>160.51261197040424</x:v>
      </x:c>
      <x:c r="L6" s="31" t="n">
        <x:f>IF(E6=0,"",E6*K6)</x:f>
        <x:v>150804.59489307005</x:v>
      </x:c>
      <x:c r="M6" s="31" t="n">
        <x:f>IF(E6=0,"",I6-L6)</x:f>
        <x:v>3989.6795671695727</x:v>
      </x:c>
      <x:c r="N6" s="32" t="n">
        <x:f>IF(L6=0,"",I6/L6)</x:f>
        <x:v>1.0264559549395593</x:v>
      </x:c>
      <x:c r="O6" s="34" t="n">
        <x:f>IF(L6=0,"",M6/L6)</x:f>
        <x:v>0.02645595493955941</x:v>
      </x:c>
    </x:row>
    <x:row r="7" ht="18" customHeight="1">
      <x:c r="A7" s="24" t="str">
        <x:v>Other fishes &amp; inverts</x:v>
      </x:c>
      <x:c r="B7" s="33" t="n">
        <x:v>15</x:v>
      </x:c>
      <x:c r="C7" s="33" t="n">
        <x:v>15</x:v>
      </x:c>
      <x:c r="D7" s="31" t="n">
        <x:v>636.7823094419998</x:v>
      </x:c>
      <x:c r="E7" s="31" t="n">
        <x:v>636.7823094419998</x:v>
      </x:c>
      <x:c r="F7" s="32" t="n">
        <x:v>0</x:v>
      </x:c>
      <x:c r="G7" s="34" t="n">
        <x:v>1</x:v>
      </x:c>
      <x:c r="H7" s="32" t="n">
        <x:f>IF(E7=0,"",I7/E7)</x:f>
        <x:v>225.63216613411873</x:v>
      </x:c>
      <x:c r="I7" s="31" t="n">
        <x:f>IF(C7=0,"",SUMIF('Species'!$H$2:$H$108,A7,'Species'!$U$2:$U$108))</x:f>
        <x:v>143678.5718352851</x:v>
      </x:c>
      <x:c r="J7" s="32" t="n">
        <x:v>3.3197234802310014</x:v>
      </x:c>
      <x:c r="K7" s="32" t="n">
        <x:f>IF(J7="","",(1/'Metadata'!$B$5)^(J7-1))</x:f>
        <x:v>208.79662779023846</x:v>
      </x:c>
      <x:c r="L7" s="31" t="n">
        <x:f>IF(E7=0,"",E7*K7)</x:f>
        <x:v>132957.9988479697</x:v>
      </x:c>
      <x:c r="M7" s="31" t="n">
        <x:f>IF(E7=0,"",I7-L7)</x:f>
        <x:v>10720.57298731542</x:v>
      </x:c>
      <x:c r="N7" s="32" t="n">
        <x:f>IF(L7=0,"",I7/L7)</x:f>
        <x:v>1.0806312751410603</x:v>
      </x:c>
      <x:c r="O7" s="34" t="n">
        <x:f>IF(L7=0,"",M7/L7)</x:f>
        <x:v>0.08063127514106028</x:v>
      </x:c>
    </x:row>
    <x:row r="8" ht="18" customHeight="1">
      <x:c r="A8" s="24" t="str">
        <x:v>Perch-likes</x:v>
      </x:c>
      <x:c r="B8" s="33" t="n">
        <x:v>61</x:v>
      </x:c>
      <x:c r="C8" s="33" t="n">
        <x:v>61</x:v>
      </x:c>
      <x:c r="D8" s="31" t="n">
        <x:v>3411.715303958</x:v>
      </x:c>
      <x:c r="E8" s="31" t="n">
        <x:v>3411.715303958</x:v>
      </x:c>
      <x:c r="F8" s="32" t="n">
        <x:v>0</x:v>
      </x:c>
      <x:c r="G8" s="34" t="n">
        <x:v>1</x:v>
      </x:c>
      <x:c r="H8" s="32" t="n">
        <x:f>IF(E8=0,"",I8/E8)</x:f>
        <x:v>801.2932218924685</x:v>
      </x:c>
      <x:c r="I8" s="31" t="n">
        <x:f>IF(C8=0,"",SUMIF('Species'!$H$2:$H$108,A8,'Species'!$U$2:$U$108))</x:f>
        <x:v>2733784.3480883483</x:v>
      </x:c>
      <x:c r="J8" s="32" t="n">
        <x:v>3.6093742003868075</x:v>
      </x:c>
      <x:c r="K8" s="32" t="n">
        <x:f>IF(J8="","",(1/'Metadata'!$B$5)^(J8-1))</x:f>
        <x:v>406.79368312827233</x:v>
      </x:c>
      <x:c r="L8" s="31" t="n">
        <x:f>IF(E8=0,"",E8*K8)</x:f>
        <x:v>1387864.2342821679</x:v>
      </x:c>
      <x:c r="M8" s="31" t="n">
        <x:f>IF(E8=0,"",I8-L8)</x:f>
        <x:v>1345920.1138061804</x:v>
      </x:c>
      <x:c r="N8" s="32" t="n">
        <x:f>IF(L8=0,"",I8/L8)</x:f>
        <x:v>1.9697779368904325</x:v>
      </x:c>
      <x:c r="O8" s="34" t="n">
        <x:f>IF(L8=0,"",M8/L8)</x:f>
        <x:v>0.9697779368904323</x:v>
      </x:c>
    </x:row>
    <x:row r="9" ht="18" customHeight="1">
      <x:c r="A9" s="24" t="str">
        <x:v>Scorpionfishes</x:v>
      </x:c>
      <x:c r="B9" s="33" t="n">
        <x:v>4</x:v>
      </x:c>
      <x:c r="C9" s="33" t="n">
        <x:v>4</x:v>
      </x:c>
      <x:c r="D9" s="31" t="n">
        <x:v>106.610617663</x:v>
      </x:c>
      <x:c r="E9" s="31" t="n">
        <x:v>106.610617663</x:v>
      </x:c>
      <x:c r="F9" s="32" t="n">
        <x:v>0</x:v>
      </x:c>
      <x:c r="G9" s="34" t="n">
        <x:v>1</x:v>
      </x:c>
      <x:c r="H9" s="32" t="n">
        <x:f>IF(E9=0,"",I9/E9)</x:f>
        <x:v>836.6561937773436</x:v>
      </x:c>
      <x:c r="I9" s="31" t="n">
        <x:f>IF(C9=0,"",SUMIF('Species'!$H$2:$H$108,A9,'Species'!$U$2:$U$108))</x:f>
        <x:v>89196.43359017721</x:v>
      </x:c>
      <x:c r="J9" s="32" t="n">
        <x:v>3.9216180000711116</x:v>
      </x:c>
      <x:c r="K9" s="32" t="n">
        <x:f>IF(J9="","",(1/'Metadata'!$B$5)^(J9-1))</x:f>
        <x:v>834.8683555410231</x:v>
      </x:c>
      <x:c r="L9" s="31" t="n">
        <x:f>IF(E9=0,"",E9*K9)</x:f>
        <x:v>89005.83105152156</x:v>
      </x:c>
      <x:c r="M9" s="31" t="n">
        <x:f>IF(E9=0,"",I9-L9)</x:f>
        <x:v>190.60253865565755</x:v>
      </x:c>
      <x:c r="N9" s="32" t="n">
        <x:f>IF(L9=0,"",I9/L9)</x:f>
        <x:v>1.002141461254885</x:v>
      </x:c>
      <x:c r="O9" s="34" t="n">
        <x:f>IF(L9=0,"",M9/L9)</x:f>
        <x:v>0.0021414612548848193</x:v>
      </x:c>
    </x:row>
    <x:row r="10" ht="18" customHeight="1">
      <x:c r="A10" s="24" t="str">
        <x:v>Sharks &amp; rays</x:v>
      </x:c>
      <x:c r="B10" s="33" t="n">
        <x:v>5</x:v>
      </x:c>
      <x:c r="C10" s="33" t="n">
        <x:v>5</x:v>
      </x:c>
      <x:c r="D10" s="31" t="n">
        <x:v>27.152092346</x:v>
      </x:c>
      <x:c r="E10" s="31" t="n">
        <x:v>27.152092346</x:v>
      </x:c>
      <x:c r="F10" s="32" t="n">
        <x:v>0</x:v>
      </x:c>
      <x:c r="G10" s="34" t="n">
        <x:v>1</x:v>
      </x:c>
      <x:c r="H10" s="32" t="n">
        <x:f>IF(E10=0,"",I10/E10)</x:f>
        <x:v>1172.1288976965473</x:v>
      </x:c>
      <x:c r="I10" s="31" t="n">
        <x:f>IF(C10=0,"",SUMIF('Species'!$H$2:$H$108,A10,'Species'!$U$2:$U$108))</x:f>
        <x:v>31825.752071671835</x:v>
      </x:c>
      <x:c r="J10" s="32" t="n">
        <x:v>4.063529394133566</x:v>
      </x:c>
      <x:c r="K10" s="32" t="n">
        <x:f>IF(J10="","",(1/'Metadata'!$B$5)^(J10-1))</x:f>
        <x:v>1157.522373441867</x:v>
      </x:c>
      <x:c r="L10" s="31" t="n">
        <x:f>IF(E10=0,"",E10*K10)</x:f>
        <x:v>31429.15437625467</x:v>
      </x:c>
      <x:c r="M10" s="31" t="n">
        <x:f>IF(E10=0,"",I10-L10)</x:f>
        <x:v>396.5976954171638</x:v>
      </x:c>
      <x:c r="N10" s="32" t="n">
        <x:f>IF(L10=0,"",I10/L10)</x:f>
        <x:v>1.0126187835240263</x:v>
      </x:c>
      <x:c r="O10" s="34" t="n">
        <x:f>IF(L10=0,"",M10/L10)</x:f>
        <x:v>0.01261878352402637</x:v>
      </x:c>
    </x:row>
    <x:row r="11" ht="18" customHeight="1">
      <x:c r="A11" s="24" t="str">
        <x:v>Tuna &amp; billfishes</x:v>
      </x:c>
      <x:c r="B11" s="33" t="n">
        <x:v>7</x:v>
      </x:c>
      <x:c r="C11" s="33" t="n">
        <x:v>7</x:v>
      </x:c>
      <x:c r="D11" s="31" t="n">
        <x:v>381.83521149089995</x:v>
      </x:c>
      <x:c r="E11" s="31" t="n">
        <x:v>381.83521149089995</x:v>
      </x:c>
      <x:c r="F11" s="32" t="n">
        <x:v>0</x:v>
      </x:c>
      <x:c r="G11" s="34" t="n">
        <x:v>1</x:v>
      </x:c>
      <x:c r="H11" s="32" t="n">
        <x:f>IF(E11=0,"",I11/E11)</x:f>
        <x:v>2763.8702834084806</x:v>
      </x:c>
      <x:c r="I11" s="31" t="n">
        <x:f>IF(C11=0,"",SUMIF('Species'!$H$2:$H$108,A11,'Species'!$U$2:$U$108))</x:f>
        <x:v>1055342.9941986909</x:v>
      </x:c>
      <x:c r="J11" s="32" t="n">
        <x:v>4.431613221691329</x:v>
      </x:c>
      <x:c r="K11" s="32" t="n">
        <x:f>IF(J11="","",(1/'Metadata'!$B$5)^(J11-1))</x:f>
        <x:v>2701.551317921002</x:v>
      </x:c>
      <x:c r="L11" s="31" t="n">
        <x:f>IF(E11=0,"",E11*K11)</x:f>
        <x:v>1031547.4188318853</x:v>
      </x:c>
      <x:c r="M11" s="31" t="n">
        <x:f>IF(E11=0,"",I11-L11)</x:f>
        <x:v>23795.57536680554</x:v>
      </x:c>
      <x:c r="N11" s="32" t="n">
        <x:f>IF(L11=0,"",I11/L11)</x:f>
        <x:v>1.0230678444174204</x:v>
      </x:c>
      <x:c r="O11" s="34" t="n">
        <x:f>IF(L11=0,"",M11/L11)</x:f>
        <x:v>0.02306784441742041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2ea0415382c44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73.97256824800002</x:v>
      </x:c>
      <x:c r="E2" s="31" t="n">
        <x:v>73.97256824800002</x:v>
      </x:c>
      <x:c r="F2" s="32" t="n">
        <x:v>0</x:v>
      </x:c>
      <x:c r="G2" s="34" t="n">
        <x:v>1</x:v>
      </x:c>
      <x:c r="H2" s="32" t="n">
        <x:f>IF(E2=0,"",I2/E2)</x:f>
        <x:v>431.73090025515467</x:v>
      </x:c>
      <x:c r="I2" s="31" t="n">
        <x:f>IF(C2=0,"",SUMIF('Species'!$G$2:$G$108,A2,'Species'!$U$2:$U$108))</x:f>
        <x:v>31936.243483894916</x:v>
      </x:c>
      <x:c r="J2" s="32" t="n">
        <x:v>3.6305447417498717</x:v>
      </x:c>
      <x:c r="K2" s="32" t="n">
        <x:f>IF(J2="","",(1/'Metadata'!$B$5)^(J2-1))</x:f>
        <x:v>427.114919273461</x:v>
      </x:c>
      <x:c r="L2" s="31" t="n">
        <x:f>IF(E2=0,"",E2*K2)</x:f>
        <x:v>31594.787515695112</x:v>
      </x:c>
      <x:c r="M2" s="31" t="n">
        <x:f>IF(E2=0,"",I2-L2)</x:f>
        <x:v>341.45596819980346</x:v>
      </x:c>
      <x:c r="N2" s="32" t="n">
        <x:f>IF(L2=0,"",I2/L2)</x:f>
        <x:v>1.0108073513085087</x:v>
      </x:c>
      <x:c r="O2" s="34" t="n">
        <x:f>IF(L2=0,"",M2/L2)</x:f>
        <x:v>0.01080735130850875</x:v>
      </x:c>
    </x:row>
    <x:row r="3" ht="18" customHeight="1">
      <x:c r="A3" s="24" t="str">
        <x:v>Large benthopelagics (&gt;=90 cm)</x:v>
      </x:c>
      <x:c r="B3" s="33" t="n">
        <x:v>5</x:v>
      </x:c>
      <x:c r="C3" s="33" t="n">
        <x:v>5</x:v>
      </x:c>
      <x:c r="D3" s="31" t="n">
        <x:v>102.291498013</x:v>
      </x:c>
      <x:c r="E3" s="31" t="n">
        <x:v>102.291498013</x:v>
      </x:c>
      <x:c r="F3" s="32" t="n">
        <x:v>0</x:v>
      </x:c>
      <x:c r="G3" s="34" t="n">
        <x:v>1</x:v>
      </x:c>
      <x:c r="H3" s="32" t="n">
        <x:f>IF(E3=0,"",I3/E3)</x:f>
        <x:v>863.3803373604803</x:v>
      </x:c>
      <x:c r="I3" s="31" t="n">
        <x:f>IF(C3=0,"",SUMIF('Species'!$G$2:$G$108,A3,'Species'!$U$2:$U$108))</x:f>
        <x:v>88316.46806357284</x:v>
      </x:c>
      <x:c r="J3" s="32" t="n">
        <x:v>3.6555882804741735</x:v>
      </x:c>
      <x:c r="K3" s="32" t="n">
        <x:f>IF(J3="","",(1/'Metadata'!$B$5)^(J3-1))</x:f>
        <x:v>452.46842773731396</x:v>
      </x:c>
      <x:c r="L3" s="31" t="n">
        <x:f>IF(E3=0,"",E3*K3)</x:f>
        <x:v>46283.673276836686</x:v>
      </x:c>
      <x:c r="M3" s="31" t="n">
        <x:f>IF(E3=0,"",I3-L3)</x:f>
        <x:v>42032.79478673616</x:v>
      </x:c>
      <x:c r="N3" s="32" t="n">
        <x:f>IF(L3=0,"",I3/L3)</x:f>
        <x:v>1.9081559826793622</x:v>
      </x:c>
      <x:c r="O3" s="34" t="n">
        <x:f>IF(L3=0,"",M3/L3)</x:f>
        <x:v>0.9081559826793623</x:v>
      </x:c>
    </x:row>
    <x:row r="4" ht="18" customHeight="1">
      <x:c r="A4" s="24" t="str">
        <x:v>Large demersals (&gt;=90 cm)</x:v>
      </x:c>
      <x:c r="B4" s="33" t="n">
        <x:v>5</x:v>
      </x:c>
      <x:c r="C4" s="33" t="n">
        <x:v>5</x:v>
      </x:c>
      <x:c r="D4" s="31" t="n">
        <x:v>55.480215744</x:v>
      </x:c>
      <x:c r="E4" s="31" t="n">
        <x:v>55.480215744</x:v>
      </x:c>
      <x:c r="F4" s="32" t="n">
        <x:v>0</x:v>
      </x:c>
      <x:c r="G4" s="34" t="n">
        <x:v>1</x:v>
      </x:c>
      <x:c r="H4" s="32" t="n">
        <x:f>IF(E4=0,"",I4/E4)</x:f>
        <x:v>1310.2844290013247</x:v>
      </x:c>
      <x:c r="I4" s="31" t="n">
        <x:f>IF(C4=0,"",SUMIF('Species'!$G$2:$G$108,A4,'Species'!$U$2:$U$108))</x:f>
        <x:v>72694.86280699735</x:v>
      </x:c>
      <x:c r="J4" s="32" t="n">
        <x:v>4.114510775603591</x:v>
      </x:c>
      <x:c r="K4" s="32" t="n">
        <x:f>IF(J4="","",(1/'Metadata'!$B$5)^(J4-1))</x:f>
        <x:v>1301.6996126163997</x:v>
      </x:c>
      <x:c r="L4" s="31" t="n">
        <x:f>IF(E4=0,"",E4*K4)</x:f>
        <x:v>72218.57534183908</x:v>
      </x:c>
      <x:c r="M4" s="31" t="n">
        <x:f>IF(E4=0,"",I4-L4)</x:f>
        <x:v>476.2874651582679</x:v>
      </x:c>
      <x:c r="N4" s="32" t="n">
        <x:f>IF(L4=0,"",I4/L4)</x:f>
        <x:v>1.0065950825380285</x:v>
      </x:c>
      <x:c r="O4" s="34" t="n">
        <x:f>IF(L4=0,"",M4/L4)</x:f>
        <x:v>0.006595082538028629</x:v>
      </x:c>
    </x:row>
    <x:row r="5" ht="18" customHeight="1">
      <x:c r="A5" s="24" t="str">
        <x:v>Large pelagics (&gt;=90 cm)</x:v>
      </x:c>
      <x:c r="B5" s="33" t="n">
        <x:v>11</x:v>
      </x:c>
      <x:c r="C5" s="33" t="n">
        <x:v>11</x:v>
      </x:c>
      <x:c r="D5" s="31" t="n">
        <x:v>460.90356827489995</x:v>
      </x:c>
      <x:c r="E5" s="31" t="n">
        <x:v>460.90356827489995</x:v>
      </x:c>
      <x:c r="F5" s="32" t="n">
        <x:v>0</x:v>
      </x:c>
      <x:c r="G5" s="34" t="n">
        <x:v>1</x:v>
      </x:c>
      <x:c r="H5" s="32" t="n">
        <x:f>IF(E5=0,"",I5/E5)</x:f>
        <x:v>2829.0003564624985</x:v>
      </x:c>
      <x:c r="I5" s="31" t="n">
        <x:f>IF(C5=0,"",SUMIF('Species'!$G$2:$G$108,A5,'Species'!$U$2:$U$108))</x:f>
        <x:v>1303896.3589445294</x:v>
      </x:c>
      <x:c r="J5" s="32" t="n">
        <x:v>4.444935086422188</x:v>
      </x:c>
      <x:c r="K5" s="32" t="n">
        <x:f>IF(J5="","",(1/'Metadata'!$B$5)^(J5-1))</x:f>
        <x:v>2785.704760903641</x:v>
      </x:c>
      <x:c r="L5" s="31" t="n">
        <x:f>IF(E5=0,"",E5*K5)</x:f>
        <x:v>1283941.2644608652</x:v>
      </x:c>
      <x:c r="M5" s="31" t="n">
        <x:f>IF(E5=0,"",I5-L5)</x:f>
        <x:v>19955.09448366426</x:v>
      </x:c>
      <x:c r="N5" s="32" t="n">
        <x:f>IF(L5=0,"",I5/L5)</x:f>
        <x:v>1.0155420618029933</x:v>
      </x:c>
      <x:c r="O5" s="34" t="n">
        <x:f>IF(L5=0,"",M5/L5)</x:f>
        <x:v>0.0155420618029934</x:v>
      </x:c>
    </x:row>
    <x:row r="6" ht="18" customHeight="1">
      <x:c r="A6" s="24" t="str">
        <x:v>Large rays (&gt;=90 cm)</x:v>
      </x:c>
      <x:c r="B6" s="33" t="n">
        <x:v>2</x:v>
      </x:c>
      <x:c r="C6" s="33" t="n">
        <x:v>2</x:v>
      </x:c>
      <x:c r="D6" s="31" t="n">
        <x:v>26.526640455</x:v>
      </x:c>
      <x:c r="E6" s="31" t="n">
        <x:v>26.526640455</x:v>
      </x:c>
      <x:c r="F6" s="32" t="n">
        <x:v>0</x:v>
      </x:c>
      <x:c r="G6" s="34" t="n">
        <x:v>1</x:v>
      </x:c>
      <x:c r="H6" s="32" t="n">
        <x:f>IF(E6=0,"",I6/E6)</x:f>
        <x:v>1159.904150168844</x:v>
      </x:c>
      <x:c r="I6" s="31" t="n">
        <x:f>IF(C6=0,"",SUMIF('Species'!$G$2:$G$108,A6,'Species'!$U$2:$U$108))</x:f>
        <x:v>30768.36035379125</x:v>
      </x:c>
      <x:c r="J6" s="32" t="n">
        <x:v>4.0596634712181086</x:v>
      </x:c>
      <x:c r="K6" s="32" t="n">
        <x:f>IF(J6="","",(1/'Metadata'!$B$5)^(J6-1))</x:f>
        <x:v>1147.2642777645697</x:v>
      </x:c>
      <x:c r="L6" s="31" t="n">
        <x:f>IF(E6=0,"",E6*K6)</x:f>
        <x:v>30433.06700312599</x:v>
      </x:c>
      <x:c r="M6" s="31" t="n">
        <x:f>IF(E6=0,"",I6-L6)</x:f>
        <x:v>335.2933506652589</x:v>
      </x:c>
      <x:c r="N6" s="32" t="n">
        <x:f>IF(L6=0,"",I6/L6)</x:f>
        <x:v>1.0110174025717098</x:v>
      </x:c>
      <x:c r="O6" s="34" t="n">
        <x:f>IF(L6=0,"",M6/L6)</x:f>
        <x:v>0.011017402571709864</x:v>
      </x:c>
    </x:row>
    <x:row r="7" ht="18" customHeight="1">
      <x:c r="A7" s="24" t="str">
        <x:v>Large reef assoc. fish (&gt;=90 cm)</x:v>
      </x:c>
      <x:c r="B7" s="33" t="n">
        <x:v>4</x:v>
      </x:c>
      <x:c r="C7" s="33" t="n">
        <x:v>4</x:v>
      </x:c>
      <x:c r="D7" s="31" t="n">
        <x:v>310.992470781</x:v>
      </x:c>
      <x:c r="E7" s="31" t="n">
        <x:v>310.992470781</x:v>
      </x:c>
      <x:c r="F7" s="32" t="n">
        <x:v>0</x:v>
      </x:c>
      <x:c r="G7" s="34" t="n">
        <x:v>1</x:v>
      </x:c>
      <x:c r="H7" s="32" t="n">
        <x:f>IF(E7=0,"",I7/E7)</x:f>
        <x:v>2220.018273018649</x:v>
      </x:c>
      <x:c r="I7" s="31" t="n">
        <x:f>IF(C7=0,"",SUMIF('Species'!$G$2:$G$108,A7,'Species'!$U$2:$U$108))</x:f>
        <x:v>690408.9679050383</x:v>
      </x:c>
      <x:c r="J7" s="32" t="n">
        <x:v>4.276892571481576</x:v>
      </x:c>
      <x:c r="K7" s="32" t="n">
        <x:f>IF(J7="","",(1/'Metadata'!$B$5)^(J7-1))</x:f>
        <x:v>1891.8755801632692</x:v>
      </x:c>
      <x:c r="L7" s="31" t="n">
        <x:f>IF(E7=0,"",E7*K7)</x:f>
        <x:v>588359.061085213</x:v>
      </x:c>
      <x:c r="M7" s="31" t="n">
        <x:f>IF(E7=0,"",I7-L7)</x:f>
        <x:v>102049.9068198253</x:v>
      </x:c>
      <x:c r="N7" s="32" t="n">
        <x:f>IF(L7=0,"",I7/L7)</x:f>
        <x:v>1.1734483473945263</x:v>
      </x:c>
      <x:c r="O7" s="34" t="n">
        <x:f>IF(L7=0,"",M7/L7)</x:f>
        <x:v>0.17344834739452622</x:v>
      </x:c>
    </x:row>
    <x:row r="8" ht="18" customHeight="1">
      <x:c r="A8" s="24" t="str">
        <x:v>Large sharks (&gt;=90 cm)</x:v>
      </x:c>
      <x:c r="B8" s="33" t="n">
        <x:v>3</x:v>
      </x:c>
      <x:c r="C8" s="33" t="n">
        <x:v>3</x:v>
      </x:c>
      <x:c r="D8" s="31" t="n">
        <x:v>0.6254518910000001</x:v>
      </x:c>
      <x:c r="E8" s="31" t="n">
        <x:v>0.6254518910000001</x:v>
      </x:c>
      <x:c r="F8" s="32" t="n">
        <x:v>0</x:v>
      </x:c>
      <x:c r="G8" s="34" t="n">
        <x:v>1</x:v>
      </x:c>
      <x:c r="H8" s="32" t="n">
        <x:f>IF(E8=0,"",I8/E8)</x:f>
        <x:v>1690.6043983494599</x:v>
      </x:c>
      <x:c r="I8" s="31" t="n">
        <x:f>IF(C8=0,"",SUMIF('Species'!$G$2:$G$108,A8,'Species'!$U$2:$U$108))</x:f>
        <x:v>1057.391717880587</x:v>
      </x:c>
      <x:c r="J8" s="32" t="n">
        <x:v>4.227490761395748</x:v>
      </x:c>
      <x:c r="K8" s="32" t="n">
        <x:f>IF(J8="","",(1/'Metadata'!$B$5)^(J8-1))</x:f>
        <x:v>1688.4599410494745</x:v>
      </x:c>
      <x:c r="L8" s="31" t="n">
        <x:f>IF(E8=0,"",E8*K8)</x:f>
        <x:v>1056.0504630071425</x:v>
      </x:c>
      <x:c r="M8" s="31" t="n">
        <x:f>IF(E8=0,"",I8-L8)</x:f>
        <x:v>1.3412548734445409</x:v>
      </x:c>
      <x:c r="N8" s="32" t="n">
        <x:f>IF(L8=0,"",I8/L8)</x:f>
        <x:v>1.0012700670284498</x:v>
      </x:c>
      <x:c r="O8" s="34" t="n">
        <x:f>IF(L8=0,"",M8/L8)</x:f>
        <x:v>0.0012700670284498227</x:v>
      </x:c>
    </x:row>
    <x:row r="9" ht="18" customHeight="1">
      <x:c r="A9" s="24" t="str">
        <x:v>Lobsters, crabs</x:v>
      </x:c>
      <x:c r="B9" s="33" t="n">
        <x:v>4</x:v>
      </x:c>
      <x:c r="C9" s="33" t="n">
        <x:v>4</x:v>
      </x:c>
      <x:c r="D9" s="31" t="n">
        <x:v>59.475878916</x:v>
      </x:c>
      <x:c r="E9" s="31" t="n">
        <x:v>59.475878916</x:v>
      </x:c>
      <x:c r="F9" s="32" t="n">
        <x:v>0</x:v>
      </x:c>
      <x:c r="G9" s="34" t="n">
        <x:v>1</x:v>
      </x:c>
      <x:c r="H9" s="32" t="n">
        <x:f>IF(E9=0,"",I9/E9)</x:f>
        <x:v>187.9334603676108</x:v>
      </x:c>
      <x:c r="I9" s="31" t="n">
        <x:f>IF(C9=0,"",SUMIF('Species'!$G$2:$G$108,A9,'Species'!$U$2:$U$108))</x:f>
        <x:v>11177.507733088903</x:v>
      </x:c>
      <x:c r="J9" s="32" t="n">
        <x:v>3.1522471789733246</x:v>
      </x:c>
      <x:c r="K9" s="32" t="n">
        <x:f>IF(J9="","",(1/'Metadata'!$B$5)^(J9-1))</x:f>
        <x:v>141.98654090393381</x:v>
      </x:c>
      <x:c r="L9" s="31" t="n">
        <x:f>IF(E9=0,"",E9*K9)</x:f>
        <x:v>8444.77431450405</x:v>
      </x:c>
      <x:c r="M9" s="31" t="n">
        <x:f>IF(E9=0,"",I9-L9)</x:f>
        <x:v>2732.733418584854</x:v>
      </x:c>
      <x:c r="N9" s="32" t="n">
        <x:f>IF(L9=0,"",I9/L9)</x:f>
        <x:v>1.3236005270018094</x:v>
      </x:c>
      <x:c r="O9" s="34" t="n">
        <x:f>IF(L9=0,"",M9/L9)</x:f>
        <x:v>0.3236005270018094</x:v>
      </x:c>
    </x:row>
    <x:row r="10" ht="18" customHeight="1">
      <x:c r="A10" s="24" t="str">
        <x:v>Medium bathydemersals (30 - 89 cm)</x:v>
      </x:c>
      <x:c r="B10" s="33" t="n">
        <x:v>1</x:v>
      </x:c>
      <x:c r="C10" s="33" t="n">
        <x:v>1</x:v>
      </x:c>
      <x:c r="D10" s="31" t="n">
        <x:v>58.665648811000004</x:v>
      </x:c>
      <x:c r="E10" s="31" t="n">
        <x:v>58.665648811000004</x:v>
      </x:c>
      <x:c r="F10" s="32" t="n">
        <x:v>0</x:v>
      </x:c>
      <x:c r="G10" s="34" t="n">
        <x:v>1</x:v>
      </x:c>
      <x:c r="H10" s="32" t="n">
        <x:f>IF(E10=0,"",I10/E10)</x:f>
        <x:v>223.872113856834</x:v>
      </x:c>
      <x:c r="I10" s="31" t="n">
        <x:f>IF(C10=0,"",SUMIF('Species'!$G$2:$G$108,A10,'Species'!$U$2:$U$108))</x:f>
        <x:v>13133.60281010123</x:v>
      </x:c>
      <x:c r="J10" s="32" t="n">
        <x:v>3.3499999999999996</x:v>
      </x:c>
      <x:c r="K10" s="32" t="n">
        <x:f>IF(J10="","",(1/'Metadata'!$B$5)^(J10-1))</x:f>
        <x:v>223.87211385683378</x:v>
      </x:c>
      <x:c r="L10" s="31" t="n">
        <x:f>IF(E10=0,"",E10*K10)</x:f>
        <x:v>13133.602810101218</x:v>
      </x:c>
      <x:c r="M10" s="31" t="n">
        <x:f>IF(E10=0,"",I10-L10)</x:f>
        <x:v>1.2732925824820995e-11</x:v>
      </x:c>
      <x:c r="N10" s="32" t="n">
        <x:f>IF(L10=0,"",I10/L10)</x:f>
        <x:v>1.0000000000000009</x:v>
      </x:c>
      <x:c r="O10" s="34" t="n">
        <x:f>IF(L10=0,"",M10/L10)</x:f>
        <x:v>9.694922260804127e-16</x:v>
      </x:c>
    </x:row>
    <x:row r="11" ht="18" customHeight="1">
      <x:c r="A11" s="24" t="str">
        <x:v>Medium benthopelagics (30 - 89 cm)</x:v>
      </x:c>
      <x:c r="B11" s="33" t="n">
        <x:v>13</x:v>
      </x:c>
      <x:c r="C11" s="33" t="n">
        <x:v>13</x:v>
      </x:c>
      <x:c r="D11" s="31" t="n">
        <x:v>787.1188705440001</x:v>
      </x:c>
      <x:c r="E11" s="31" t="n">
        <x:v>787.1188705440001</x:v>
      </x:c>
      <x:c r="F11" s="32" t="n">
        <x:v>0</x:v>
      </x:c>
      <x:c r="G11" s="34" t="n">
        <x:v>1</x:v>
      </x:c>
      <x:c r="H11" s="32" t="n">
        <x:f>IF(E11=0,"",I11/E11)</x:f>
        <x:v>369.43807821964515</x:v>
      </x:c>
      <x:c r="I11" s="31" t="n">
        <x:f>IF(C11=0,"",SUMIF('Species'!$G$2:$G$108,A11,'Species'!$U$2:$U$108))</x:f>
        <x:v>290791.68286419305</x:v>
      </x:c>
      <x:c r="J11" s="32" t="n">
        <x:v>3.505426457465729</x:v>
      </x:c>
      <x:c r="K11" s="32" t="n">
        <x:f>IF(J11="","",(1/'Metadata'!$B$5)^(J11-1))</x:f>
        <x:v>320.2037822218089</x:v>
      </x:c>
      <x:c r="L11" s="31" t="n">
        <x:f>IF(E11=0,"",E11*K11)</x:f>
        <x:v>252038.4394063472</x:v>
      </x:c>
      <x:c r="M11" s="31" t="n">
        <x:f>IF(E11=0,"",I11-L11)</x:f>
        <x:v>38753.24345784585</x:v>
      </x:c>
      <x:c r="N11" s="32" t="n">
        <x:f>IF(L11=0,"",I11/L11)</x:f>
        <x:v>1.1537592581081102</x:v>
      </x:c>
      <x:c r="O11" s="34" t="n">
        <x:f>IF(L11=0,"",M11/L11)</x:f>
        <x:v>0.15375925810811028</x:v>
      </x:c>
    </x:row>
    <x:row r="12" ht="18" customHeight="1">
      <x:c r="A12" s="24" t="str">
        <x:v>Medium demersals (30 - 89 cm)</x:v>
      </x:c>
      <x:c r="B12" s="33" t="n">
        <x:v>17</x:v>
      </x:c>
      <x:c r="C12" s="33" t="n">
        <x:v>17</x:v>
      </x:c>
      <x:c r="D12" s="31" t="n">
        <x:v>1032.7529225239998</x:v>
      </x:c>
      <x:c r="E12" s="31" t="n">
        <x:v>1032.7529225239998</x:v>
      </x:c>
      <x:c r="F12" s="32" t="n">
        <x:v>0</x:v>
      </x:c>
      <x:c r="G12" s="34" t="n">
        <x:v>1</x:v>
      </x:c>
      <x:c r="H12" s="32" t="n">
        <x:f>IF(E12=0,"",I12/E12)</x:f>
        <x:v>201.94338721962424</x:v>
      </x:c>
      <x:c r="I12" s="31" t="n">
        <x:f>IF(C12=0,"",SUMIF('Species'!$G$2:$G$108,A12,'Species'!$U$2:$U$108))</x:f>
        <x:v>208557.62333546267</x:v>
      </x:c>
      <x:c r="J12" s="32" t="n">
        <x:v>3.2630688180769756</x:v>
      </x:c>
      <x:c r="K12" s="32" t="n">
        <x:f>IF(J12="","",(1/'Metadata'!$B$5)^(J12-1))</x:f>
        <x:v>183.2604792963807</x:v>
      </x:c>
      <x:c r="L12" s="31" t="n">
        <x:f>IF(E12=0,"",E12*K12)</x:f>
        <x:v>189262.79557648613</x:v>
      </x:c>
      <x:c r="M12" s="31" t="n">
        <x:f>IF(E12=0,"",I12-L12)</x:f>
        <x:v>19294.82775897655</x:v>
      </x:c>
      <x:c r="N12" s="32" t="n">
        <x:f>IF(L12=0,"",I12/L12)</x:f>
        <x:v>1.1019472828783141</x:v>
      </x:c>
      <x:c r="O12" s="34" t="n">
        <x:f>IF(L12=0,"",M12/L12)</x:f>
        <x:v>0.10194728287831402</x:v>
      </x:c>
    </x:row>
    <x:row r="13" ht="18" customHeight="1">
      <x:c r="A13" s="24" t="str">
        <x:v>Medium pelagics (30 - 89 cm)</x:v>
      </x:c>
      <x:c r="B13" s="33" t="n">
        <x:v>11</x:v>
      </x:c>
      <x:c r="C13" s="33" t="n">
        <x:v>11</x:v>
      </x:c>
      <x:c r="D13" s="31" t="n">
        <x:v>693.780655247</x:v>
      </x:c>
      <x:c r="E13" s="31" t="n">
        <x:v>693.780655247</x:v>
      </x:c>
      <x:c r="F13" s="32" t="n">
        <x:v>0</x:v>
      </x:c>
      <x:c r="G13" s="34" t="n">
        <x:v>1</x:v>
      </x:c>
      <x:c r="H13" s="32" t="n">
        <x:f>IF(E13=0,"",I13/E13)</x:f>
        <x:v>1420.366085416766</x:v>
      </x:c>
      <x:c r="I13" s="31" t="n">
        <x:f>IF(C13=0,"",SUMIF('Species'!$G$2:$G$108,A13,'Species'!$U$2:$U$108))</x:f>
        <x:v>985422.5134310604</x:v>
      </x:c>
      <x:c r="J13" s="32" t="n">
        <x:v>4.135352544513537</x:v>
      </x:c>
      <x:c r="K13" s="32" t="n">
        <x:f>IF(J13="","",(1/'Metadata'!$B$5)^(J13-1))</x:f>
        <x:v>1365.6913054262386</x:v>
      </x:c>
      <x:c r="L13" s="31" t="n">
        <x:f>IF(E13=0,"",E13*K13)</x:f>
        <x:v>947490.2087437466</x:v>
      </x:c>
      <x:c r="M13" s="31" t="n">
        <x:f>IF(E13=0,"",I13-L13)</x:f>
        <x:v>37932.304687313735</x:v>
      </x:c>
      <x:c r="N13" s="32" t="n">
        <x:f>IF(L13=0,"",I13/L13)</x:f>
        <x:v>1.0400345083645848</x:v>
      </x:c>
      <x:c r="O13" s="34" t="n">
        <x:f>IF(L13=0,"",M13/L13)</x:f>
        <x:v>0.04003450836458482</x:v>
      </x:c>
    </x:row>
    <x:row r="14" ht="18" customHeight="1">
      <x:c r="A14" s="24" t="str">
        <x:v>Medium reef assoc. fish (30 - 89 cm)</x:v>
      </x:c>
      <x:c r="B14" s="33" t="n">
        <x:v>9</x:v>
      </x:c>
      <x:c r="C14" s="33" t="n">
        <x:v>9</x:v>
      </x:c>
      <x:c r="D14" s="31" t="n">
        <x:v>802.831833301</x:v>
      </x:c>
      <x:c r="E14" s="31" t="n">
        <x:v>802.831833301</x:v>
      </x:c>
      <x:c r="F14" s="32" t="n">
        <x:v>0</x:v>
      </x:c>
      <x:c r="G14" s="34" t="n">
        <x:v>1</x:v>
      </x:c>
      <x:c r="H14" s="32" t="n">
        <x:f>IF(E14=0,"",I14/E14)</x:f>
        <x:v>389.1692261046987</x:v>
      </x:c>
      <x:c r="I14" s="31" t="n">
        <x:f>IF(C14=0,"",SUMIF('Species'!$G$2:$G$108,A14,'Species'!$U$2:$U$108))</x:f>
        <x:v>312437.4432579666</x:v>
      </x:c>
      <x:c r="J14" s="32" t="n">
        <x:v>3.212761441184183</x:v>
      </x:c>
      <x:c r="K14" s="32" t="n">
        <x:f>IF(J14="","",(1/'Metadata'!$B$5)^(J14-1))</x:f>
        <x:v>163.21551555646244</x:v>
      </x:c>
      <x:c r="L14" s="31" t="n">
        <x:f>IF(E14=0,"",E14*K14)</x:f>
        <x:v>131034.61157736262</x:v>
      </x:c>
      <x:c r="M14" s="31" t="n">
        <x:f>IF(E14=0,"",I14-L14)</x:f>
        <x:v>181402.83168060397</x:v>
      </x:c>
      <x:c r="N14" s="32" t="n">
        <x:f>IF(L14=0,"",I14/L14)</x:f>
        <x:v>2.3843886702675046</x:v>
      </x:c>
      <x:c r="O14" s="34" t="n">
        <x:f>IF(L14=0,"",M14/L14)</x:f>
        <x:v>1.3843886702675043</x:v>
      </x:c>
    </x:row>
    <x:row r="15" ht="18" customHeight="1">
      <x:c r="A15" s="24" t="str">
        <x:v>Shrimps</x:v>
      </x:c>
      <x:c r="B15" s="33" t="n">
        <x:v>2</x:v>
      </x:c>
      <x:c r="C15" s="33" t="n">
        <x:v>2</x:v>
      </x:c>
      <x:c r="D15" s="31" t="n">
        <x:v>52.861543181</x:v>
      </x:c>
      <x:c r="E15" s="31" t="n">
        <x:v>52.861543181</x:v>
      </x:c>
      <x:c r="F15" s="32" t="n">
        <x:v>0</x:v>
      </x:c>
      <x:c r="G15" s="34" t="n">
        <x:v>1</x:v>
      </x:c>
      <x:c r="H15" s="32" t="n">
        <x:f>IF(E15=0,"",I15/E15)</x:f>
        <x:v>50.12707068603476</x:v>
      </x:c>
      <x:c r="I15" s="31" t="n">
        <x:f>IF(C15=0,"",SUMIF('Species'!$G$2:$G$108,A15,'Species'!$U$2:$U$108))</x:f>
        <x:v>2649.794311606866</x:v>
      </x:c>
      <x:c r="J15" s="32" t="n">
        <x:v>2.7000330522532052</x:v>
      </x:c>
      <x:c r="K15" s="32" t="n">
        <x:f>IF(J15="","",(1/'Metadata'!$B$5)^(J15-1))</x:f>
        <x:v>50.122537824668186</x:v>
      </x:c>
      <x:c r="L15" s="31" t="n">
        <x:f>IF(E15=0,"",E15*K15)</x:f>
        <x:v>2649.554697560003</x:v>
      </x:c>
      <x:c r="M15" s="31" t="n">
        <x:f>IF(E15=0,"",I15-L15)</x:f>
        <x:v>0.23961404686269816</x:v>
      </x:c>
      <x:c r="N15" s="32" t="n">
        <x:f>IF(L15=0,"",I15/L15)</x:f>
        <x:v>1.000090435591718</x:v>
      </x:c>
      <x:c r="O15" s="34" t="n">
        <x:f>IF(L15=0,"",M15/L15)</x:f>
        <x:v>0.00009043559171786894</x:v>
      </x:c>
    </x:row>
    <x:row r="16" ht="18" customHeight="1">
      <x:c r="A16" s="24" t="str">
        <x:v>Small benthopelagics (&lt;30 cm)</x:v>
      </x:c>
      <x:c r="B16" s="33" t="n">
        <x:v>2</x:v>
      </x:c>
      <x:c r="C16" s="33" t="n">
        <x:v>2</x:v>
      </x:c>
      <x:c r="D16" s="31" t="n">
        <x:v>74.77360979</x:v>
      </x:c>
      <x:c r="E16" s="31" t="n">
        <x:v>74.77360979</x:v>
      </x:c>
      <x:c r="F16" s="32" t="n">
        <x:v>0</x:v>
      </x:c>
      <x:c r="G16" s="34" t="n">
        <x:v>1</x:v>
      </x:c>
      <x:c r="H16" s="32" t="n">
        <x:f>IF(E16=0,"",I16/E16)</x:f>
        <x:v>285.21341981851435</x:v>
      </x:c>
      <x:c r="I16" s="31" t="n">
        <x:f>IF(C16=0,"",SUMIF('Species'!$G$2:$G$108,A16,'Species'!$U$2:$U$108))</x:f>
        <x:v>21326.436960381045</x:v>
      </x:c>
      <x:c r="J16" s="32" t="n">
        <x:v>3.439938366447562</x:v>
      </x:c>
      <x:c r="K16" s="32" t="n">
        <x:f>IF(J16="","",(1/'Metadata'!$B$5)^(J16-1))</x:f>
        <x:v>275.3837860577118</x:v>
      </x:c>
      <x:c r="L16" s="31" t="n">
        <x:f>IF(E16=0,"",E16*K16)</x:f>
        <x:v>20591.439761172183</x:v>
      </x:c>
      <x:c r="M16" s="31" t="n">
        <x:f>IF(E16=0,"",I16-L16)</x:f>
        <x:v>734.9971992088613</x:v>
      </x:c>
      <x:c r="N16" s="32" t="n">
        <x:f>IF(L16=0,"",I16/L16)</x:f>
        <x:v>1.0356943083015882</x:v>
      </x:c>
      <x:c r="O16" s="34" t="n">
        <x:f>IF(L16=0,"",M16/L16)</x:f>
        <x:v>0.035694308301588186</x:v>
      </x:c>
    </x:row>
    <x:row r="17" ht="18" customHeight="1">
      <x:c r="A17" s="24" t="str">
        <x:v>Small demersals (&lt;30 cm)</x:v>
      </x:c>
      <x:c r="B17" s="33" t="n">
        <x:v>2</x:v>
      </x:c>
      <x:c r="C17" s="33" t="n">
        <x:v>2</x:v>
      </x:c>
      <x:c r="D17" s="31" t="n">
        <x:v>50.977609459</x:v>
      </x:c>
      <x:c r="E17" s="31" t="n">
        <x:v>50.977609459</x:v>
      </x:c>
      <x:c r="F17" s="32" t="n">
        <x:v>0</x:v>
      </x:c>
      <x:c r="G17" s="34" t="n">
        <x:v>1</x:v>
      </x:c>
      <x:c r="H17" s="32" t="n">
        <x:f>IF(E17=0,"",I17/E17)</x:f>
        <x:v>167.90229367244302</x:v>
      </x:c>
      <x:c r="I17" s="31" t="n">
        <x:f>IF(C17=0,"",SUMIF('Species'!$G$2:$G$108,A17,'Species'!$U$2:$U$108))</x:f>
        <x:v>8559.257554104128</x:v>
      </x:c>
      <x:c r="J17" s="32" t="n">
        <x:v>3.222043423954272</x:v>
      </x:c>
      <x:c r="K17" s="32" t="n">
        <x:f>IF(J17="","",(1/'Metadata'!$B$5)^(J17-1))</x:f>
        <x:v>166.74139245156877</x:v>
      </x:c>
      <x:c r="L17" s="31" t="n">
        <x:f>IF(E17=0,"",E17*K17)</x:f>
        <x:v>8500.077585045923</x:v>
      </x:c>
      <x:c r="M17" s="31" t="n">
        <x:f>IF(E17=0,"",I17-L17)</x:f>
        <x:v>59.17996905820473</x:v>
      </x:c>
      <x:c r="N17" s="32" t="n">
        <x:f>IF(L17=0,"",I17/L17)</x:f>
        <x:v>1.0069622857516405</x:v>
      </x:c>
      <x:c r="O17" s="34" t="n">
        <x:f>IF(L17=0,"",M17/L17)</x:f>
        <x:v>0.0069622857516405835</x:v>
      </x:c>
    </x:row>
    <x:row r="18" ht="18" customHeight="1">
      <x:c r="A18" s="24" t="str">
        <x:v>Small pelagics (&lt;30 cm)</x:v>
      </x:c>
      <x:c r="B18" s="33" t="n">
        <x:v>6</x:v>
      </x:c>
      <x:c r="C18" s="33" t="n">
        <x:v>6</x:v>
      </x:c>
      <x:c r="D18" s="31" t="n">
        <x:v>1764.007171701</x:v>
      </x:c>
      <x:c r="E18" s="31" t="n">
        <x:v>1764.007171701</x:v>
      </x:c>
      <x:c r="F18" s="32" t="n">
        <x:v>0</x:v>
      </x:c>
      <x:c r="G18" s="34" t="n">
        <x:v>1</x:v>
      </x:c>
      <x:c r="H18" s="32" t="n">
        <x:f>IF(E18=0,"",I18/E18)</x:f>
        <x:v>148.71216581068313</x:v>
      </x:c>
      <x:c r="I18" s="31" t="n">
        <x:f>IF(C18=0,"",SUMIF('Species'!$G$2:$G$108,A18,'Species'!$U$2:$U$108))</x:f>
        <x:v>262329.3270092333</x:v>
      </x:c>
      <x:c r="J18" s="32" t="n">
        <x:v>3.163139390173845</x:v>
      </x:c>
      <x:c r="K18" s="32" t="n">
        <x:f>IF(J18="","",(1/'Metadata'!$B$5)^(J18-1))</x:f>
        <x:v>145.59262964081563</x:v>
      </x:c>
      <x:c r="L18" s="31" t="n">
        <x:f>IF(E18=0,"",E18*K18)</x:f>
        <x:v>256826.44283320635</x:v>
      </x:c>
      <x:c r="M18" s="31" t="n">
        <x:f>IF(E18=0,"",I18-L18)</x:f>
        <x:v>5502.884176026942</x:v>
      </x:c>
      <x:c r="N18" s="32" t="n">
        <x:f>IF(L18=0,"",I18/L18)</x:f>
        <x:v>1.0214264704028189</x:v>
      </x:c>
      <x:c r="O18" s="34" t="n">
        <x:f>IF(L18=0,"",M18/L18)</x:f>
        <x:v>0.021426470402818847</x:v>
      </x:c>
    </x:row>
    <x:row r="19" ht="18" customHeight="1">
      <x:c r="A19" s="24" t="str">
        <x:v>Small reef assoc. fish (&lt;30 cm)</x:v>
      </x:c>
      <x:c r="B19" s="33" t="n">
        <x:v>3</x:v>
      </x:c>
      <x:c r="C19" s="33" t="n">
        <x:v>3</x:v>
      </x:c>
      <x:c r="D19" s="31" t="n">
        <x:v>11.855130738999998</x:v>
      </x:c>
      <x:c r="E19" s="31" t="n">
        <x:v>11.855130738999998</x:v>
      </x:c>
      <x:c r="F19" s="32" t="n">
        <x:v>0</x:v>
      </x:c>
      <x:c r="G19" s="34" t="n">
        <x:v>1</x:v>
      </x:c>
      <x:c r="H19" s="32" t="n">
        <x:f>IF(E19=0,"",I19/E19)</x:f>
        <x:v>580.2237560159855</x:v>
      </x:c>
      <x:c r="I19" s="31" t="n">
        <x:f>IF(C19=0,"",SUMIF('Species'!$G$2:$G$108,A19,'Species'!$U$2:$U$108))</x:f>
        <x:v>6878.628485443145</x:v>
      </x:c>
      <x:c r="J19" s="32" t="n">
        <x:v>3.7552798763841624</x:v>
      </x:c>
      <x:c r="K19" s="32" t="n">
        <x:f>IF(J19="","",(1/'Metadata'!$B$5)^(J19-1))</x:f>
        <x:v>569.2196401140752</x:v>
      </x:c>
      <x:c r="L19" s="31" t="n">
        <x:f>IF(E19=0,"",E19*K19)</x:f>
        <x:v>6748.173252758889</x:v>
      </x:c>
      <x:c r="M19" s="31" t="n">
        <x:f>IF(E19=0,"",I19-L19)</x:f>
        <x:v>130.45523268425586</x:v>
      </x:c>
      <x:c r="N19" s="32" t="n">
        <x:f>IF(L19=0,"",I19/L19)</x:f>
        <x:v>1.0193319329243542</x:v>
      </x:c>
      <x:c r="O19" s="34" t="n">
        <x:f>IF(L19=0,"",M19/L19)</x:f>
        <x:v>0.019331932924354187</x:v>
      </x:c>
    </x:row>
    <x:row r="20" ht="18" customHeight="1">
      <x:c r="A20" s="24" t="str">
        <x:v>Small to medium flatfishes (&lt;90 cm)</x:v>
      </x:c>
      <x:c r="B20" s="33" t="n">
        <x:v>3</x:v>
      </x:c>
      <x:c r="C20" s="33" t="n">
        <x:v>3</x:v>
      </x:c>
      <x:c r="D20" s="31" t="n">
        <x:v>67.55346649500001</x:v>
      </x:c>
      <x:c r="E20" s="31" t="n">
        <x:v>67.55346649500001</x:v>
      </x:c>
      <x:c r="F20" s="32" t="n">
        <x:v>0</x:v>
      </x:c>
      <x:c r="G20" s="34" t="n">
        <x:v>1</x:v>
      </x:c>
      <x:c r="H20" s="32" t="n">
        <x:f>IF(E20=0,"",I20/E20)</x:f>
        <x:v>174.06604135509863</x:v>
      </x:c>
      <x:c r="I20" s="31" t="n">
        <x:f>IF(C20=0,"",SUMIF('Species'!$G$2:$G$108,A20,'Species'!$U$2:$U$108))</x:f>
        <x:v>11758.76449259894</x:v>
      </x:c>
      <x:c r="J20" s="32" t="n">
        <x:v>3.216672619386502</x:v>
      </x:c>
      <x:c r="K20" s="32" t="n">
        <x:f>IF(J20="","",(1/'Metadata'!$B$5)^(J20-1))</x:f>
        <x:v>164.6920439080246</x:v>
      </x:c>
      <x:c r="L20" s="31" t="n">
        <x:f>IF(E20=0,"",E20*K20)</x:f>
        <x:v>11125.51847013381</x:v>
      </x:c>
      <x:c r="M20" s="31" t="n">
        <x:f>IF(E20=0,"",I20-L20)</x:f>
        <x:v>633.2460224651313</x:v>
      </x:c>
      <x:c r="N20" s="32" t="n">
        <x:f>IF(L20=0,"",I20/L20)</x:f>
        <x:v>1.0569183381579084</x:v>
      </x:c>
      <x:c r="O20" s="34" t="n">
        <x:f>IF(L20=0,"",M20/L20)</x:f>
        <x:v>0.05691833815790835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ca29c7a125d45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EEZ_422</x:v>
      </x:c>
      <x:c r="B2" s="24" t="str">
        <x:v>raw_filtered_tonnes</x:v>
      </x:c>
      <x:c r="C2" s="24" t="n">
        <x:v>6487.446754114901</x:v>
      </x:c>
      <x:c r="D2" s="24" t="str">
        <x:v>tonnes</x:v>
      </x:c>
    </x:row>
    <x:row r="3" ht="18" customHeight="1">
      <x:c r="A3" s="24" t="str">
        <x:v>EEZ_422</x:v>
      </x:c>
      <x:c r="B3" s="24" t="str">
        <x:v>species_catch_tonnes</x:v>
      </x:c>
      <x:c r="C3" s="24" t="n">
        <x:v>6487.446754114901</x:v>
      </x:c>
      <x:c r="D3" s="24" t="str">
        <x:v>tonnes</x:v>
      </x:c>
    </x:row>
    <x:row r="4" ht="18" customHeight="1">
      <x:c r="A4" s="24" t="str">
        <x:v>EEZ_422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EEZ_422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EEZ_422</x:v>
      </x:c>
      <x:c r="B6" s="24" t="str">
        <x:v>matched_catch_tonnes</x:v>
      </x:c>
      <x:c r="C6" s="24" t="n">
        <x:v>6487.446754114901</x:v>
      </x:c>
      <x:c r="D6" s="24" t="str">
        <x:v>tonnes</x:v>
      </x:c>
    </x:row>
    <x:row r="7" ht="18" customHeight="1">
      <x:c r="A7" s="24" t="str">
        <x:v>EEZ_422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EEZ_422</x:v>
      </x:c>
      <x:c r="B8" s="24" t="str">
        <x:v>taxa_count</x:v>
      </x:c>
      <x:c r="C8" s="24" t="n">
        <x:v>107</x:v>
      </x:c>
      <x:c r="D8" s="24" t="str">
        <x:v>count</x:v>
      </x:c>
    </x:row>
    <x:row r="9" ht="18" customHeight="1">
      <x:c r="A9" s="24" t="str">
        <x:v>EEZ_422</x:v>
      </x:c>
      <x:c r="B9" s="24" t="str">
        <x:v>matched_taxa_count</x:v>
      </x:c>
      <x:c r="C9" s="24" t="n">
        <x:v>107</x:v>
      </x:c>
      <x:c r="D9" s="24" t="str">
        <x:v>count</x:v>
      </x:c>
    </x:row>
    <x:row r="10" ht="18" customHeight="1">
      <x:c r="A10" s="24" t="str">
        <x:v>EEZ_422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EEZ_422</x:v>
      </x:c>
      <x:c r="B11" s="24" t="str">
        <x:v>species_ppr</x:v>
      </x:c>
      <x:c r="C11" s="24" t="n">
        <x:v>4354101.235520945</x:v>
      </x:c>
      <x:c r="D11" s="24" t="str">
        <x:v>tonnes_primary_production_equivalent</x:v>
      </x:c>
    </x:row>
    <x:row r="12" ht="18" customHeight="1">
      <x:c r="A12" s="24" t="str">
        <x:v>EEZ_422</x:v>
      </x:c>
      <x:c r="B12" s="24" t="str">
        <x:v>commercial_ppr</x:v>
      </x:c>
      <x:c r="C12" s="24" t="n">
        <x:v>4354101.235520946</x:v>
      </x:c>
      <x:c r="D12" s="24" t="str">
        <x:v>tonnes_primary_production_equivalent</x:v>
      </x:c>
    </x:row>
    <x:row r="13" ht="18" customHeight="1">
      <x:c r="A13" s="24" t="str">
        <x:v>EEZ_422</x:v>
      </x:c>
      <x:c r="B13" s="24" t="str">
        <x:v>functional_ppr</x:v>
      </x:c>
      <x:c r="C13" s="24" t="n">
        <x:v>4354101.235520945</x:v>
      </x:c>
      <x:c r="D13" s="24" t="str">
        <x:v>tonnes_primary_production_equivalent</x:v>
      </x:c>
    </x:row>
    <x:row r="14" ht="18" customHeight="1">
      <x:c r="A14" s="24" t="str">
        <x:v>EEZ_422</x:v>
      </x:c>
      <x:c r="B14" s="24" t="str">
        <x:v>commercial_ppr_difference</x:v>
      </x:c>
      <x:c r="C14" s="24" t="n">
        <x:v>9.313225746154785e-10</x:v>
      </x:c>
      <x:c r="D14" s="24" t="str">
        <x:v>tonnes_primary_production_equivalent</x:v>
      </x:c>
    </x:row>
    <x:row r="15" ht="18" customHeight="1">
      <x:c r="A15" s="24" t="str">
        <x:v>EEZ_422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EEZ_422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EEZ_422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EEZ_422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EEZ_422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c25beab6dce45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EEZ_422 - Lebanon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EEZ_422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raw_data/SAU_downloads/EEZ_422-catch.zip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