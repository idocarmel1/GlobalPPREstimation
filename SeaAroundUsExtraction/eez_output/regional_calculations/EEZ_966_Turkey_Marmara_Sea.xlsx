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39fc245cf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6607ca3a5004823"/>
    <x:sheet xmlns:r="http://schemas.openxmlformats.org/officeDocument/2006/relationships" name="Commercial" sheetId="2" r:id="R9b8544cd121941b2"/>
    <x:sheet xmlns:r="http://schemas.openxmlformats.org/officeDocument/2006/relationships" name="Functional" sheetId="3" r:id="Re8072d0cd0074a2b"/>
    <x:sheet xmlns:r="http://schemas.openxmlformats.org/officeDocument/2006/relationships" name="Missing TL" sheetId="4" r:id="R03d89c507fea444d"/>
    <x:sheet xmlns:r="http://schemas.openxmlformats.org/officeDocument/2006/relationships" name="Validation" sheetId="5" r:id="R1c5a43c47d5949d9"/>
    <x:sheet xmlns:r="http://schemas.openxmlformats.org/officeDocument/2006/relationships" name="Metadata" sheetId="6" r:id="Rdedaac5e22b6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ce89b1cdf4635" /><Relationship Type="http://schemas.openxmlformats.org/officeDocument/2006/relationships/theme" Target="/xl/theme/theme1.xml" Id="R0ad3aa999d2e44b9" /><Relationship Type="http://schemas.microsoft.com/office/2022/11/relationships/FeaturePropertyBag" Target="/xl/featurePropertyBag/featurePropertyBag.xml" Id="Ra273ff7781674f8c" /><Relationship Type="http://schemas.openxmlformats.org/officeDocument/2006/relationships/sharedStrings" Target="/xl/sharedStrings.xml" Id="R8acbe99bdcad40df" /><Relationship Type="http://schemas.openxmlformats.org/officeDocument/2006/relationships/worksheet" Target="/xl/worksheets/sheet1.xml" Id="Rd6607ca3a5004823" /><Relationship Type="http://schemas.openxmlformats.org/officeDocument/2006/relationships/worksheet" Target="/xl/worksheets/sheet2.xml" Id="R9b8544cd121941b2" /><Relationship Type="http://schemas.openxmlformats.org/officeDocument/2006/relationships/worksheet" Target="/xl/worksheets/sheet3.xml" Id="Re8072d0cd0074a2b" /><Relationship Type="http://schemas.openxmlformats.org/officeDocument/2006/relationships/worksheet" Target="/xl/worksheets/sheet4.xml" Id="R03d89c507fea444d" /><Relationship Type="http://schemas.openxmlformats.org/officeDocument/2006/relationships/worksheet" Target="/xl/worksheets/sheet5.xml" Id="R1c5a43c47d5949d9" /><Relationship Type="http://schemas.openxmlformats.org/officeDocument/2006/relationships/worksheet" Target="/xl/worksheets/sheet6.xml" Id="Rdedaac5e22b6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6SpeciesTable" displayName="EEZ966SpeciesTable" ref="A1:U90" headerRowCount="1" totalsRowCount="0" totalsRowShown="0">
  <x:autoFilter ref="A1:U9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6CommercialTable" displayName="EEZ96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6FunctionalTable" displayName="EEZ966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6ValidationTable" displayName="EEZ9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1443a770b045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304c37c42649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165c3c78e24c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4defd70dc48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EEZ_966</x:v>
      </x:c>
      <x:c r="B2" s="24" t="str">
        <x:v>Turkey (Marmara Sea)</x:v>
      </x:c>
      <x:c r="C2" s="24" t="str">
        <x:v>EEZ</x:v>
      </x:c>
      <x:c r="D2" s="30" t="n">
        <x:v>2019</x:v>
      </x:c>
      <x:c r="E2" s="24" t="str">
        <x:v>Mytilus galloprovincialis</x:v>
      </x:c>
      <x:c r="F2" s="24" t="str">
        <x:v>Mediterranean mussel</x:v>
      </x:c>
      <x:c r="G2" s="24" t="str">
        <x:v>Other demersal invertebrates</x:v>
      </x:c>
      <x:c r="H2" s="24" t="str">
        <x:v>Molluscs</x:v>
      </x:c>
      <x:c r="I2" s="31" t="n">
        <x:v>31546.622062247498</x:v>
      </x:c>
      <x:c r="J2" s="31" t="n">
        <x:v>31545.6105083144</x:v>
      </x:c>
      <x:c r="K2" s="31" t="n">
        <x:v>1.0115539331</x:v>
      </x:c>
      <x:c r="L2" s="31" t="n">
        <x:v>271.8116129031</x:v>
      </x:c>
      <x:c r="M2" s="31" t="n">
        <x:v>31274.810449344397</x:v>
      </x:c>
      <x:c r="N2" s="24" t="str">
        <x:v>mytilus galloprovincialis</x:v>
      </x:c>
      <x:c r="O2" s="32" t="n">
        <x:v>2.69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Mytilus galloprovincialis</x:v>
      </x:c>
      <x:c r="T2" s="32" t="n">
        <x:f>IF(O2="","",(1/'Metadata'!$B$5)^(O2-1))</x:f>
        <x:v>48.97788193684461</x:v>
      </x:c>
      <x:c r="U2" s="31" t="n">
        <x:f>IF(T2="","",I2*T2)</x:f>
        <x:v>1545086.7308710155</x:v>
      </x:c>
    </x:row>
    <x:row r="3" ht="18" customHeight="1">
      <x:c r="A3" s="24" t="str">
        <x:v>EEZ_966</x:v>
      </x:c>
      <x:c r="B3" s="24" t="str">
        <x:v>Turkey (Marmara Sea)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25212.7004094679</x:v>
      </x:c>
      <x:c r="J3" s="31" t="n">
        <x:v>23659.289797914</x:v>
      </x:c>
      <x:c r="K3" s="31" t="n">
        <x:v>1553.4106115539</x:v>
      </x:c>
      <x:c r="L3" s="31" t="n">
        <x:v>17231.8</x:v>
      </x:c>
      <x:c r="M3" s="31" t="n">
        <x:v>7980.900409467899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3248024.999947031</x:v>
      </x:c>
    </x:row>
    <x:row r="4" ht="18" customHeight="1">
      <x:c r="A4" s="24" t="str">
        <x:v>EEZ_966</x:v>
      </x:c>
      <x:c r="B4" s="24" t="str">
        <x:v>Turkey (Marmara Sea)</x:v>
      </x:c>
      <x:c r="C4" s="24" t="str">
        <x:v>EEZ</x:v>
      </x:c>
      <x:c r="D4" s="30" t="n">
        <x:v>2019</x:v>
      </x:c>
      <x:c r="E4" s="24" t="str">
        <x:v>Pomatomus saltatrix</x:v>
      </x:c>
      <x:c r="F4" s="24" t="str">
        <x:v>Bluefish</x:v>
      </x:c>
      <x:c r="G4" s="24" t="str">
        <x:v>Large pelagics (&gt;=90 cm)</x:v>
      </x:c>
      <x:c r="H4" s="24" t="str">
        <x:v>Perch-likes</x:v>
      </x:c>
      <x:c r="I4" s="31" t="n">
        <x:v>10917.6458429906</x:v>
      </x:c>
      <x:c r="J4" s="31" t="n">
        <x:v>10767.7509944784</x:v>
      </x:c>
      <x:c r="K4" s="31" t="n">
        <x:v>149.8948485122</x:v>
      </x:c>
      <x:c r="L4" s="31" t="n">
        <x:v>400.90000000000003</x:v>
      </x:c>
      <x:c r="M4" s="31" t="n">
        <x:v>10516.7458429906</x:v>
      </x:c>
      <x:c r="N4" s="24" t="str">
        <x:v>pomatomus saltatrix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Pomatomus saltatrix</x:v>
      </x:c>
      <x:c r="T4" s="32" t="n">
        <x:f>IF(O4="","",(1/'Metadata'!$B$5)^(O4-1))</x:f>
        <x:v>3388.4415613920273</x:v>
      </x:c>
      <x:c r="U4" s="31" t="n">
        <x:f>IF(T4="","",I4*T4)</x:f>
        <x:v>36993804.92694824</x:v>
      </x:c>
    </x:row>
    <x:row r="5" ht="18" customHeight="1">
      <x:c r="A5" s="24" t="str">
        <x:v>EEZ_966</x:v>
      </x:c>
      <x:c r="B5" s="24" t="str">
        <x:v>Turkey (Marmara Sea)</x:v>
      </x:c>
      <x:c r="C5" s="24" t="str">
        <x:v>EEZ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9700.3719626971</x:v>
      </x:c>
      <x:c r="J5" s="31" t="n">
        <x:v>9687.3702458978</x:v>
      </x:c>
      <x:c r="K5" s="31" t="n">
        <x:v>13.0017167993</x:v>
      </x:c>
      <x:c r="L5" s="31" t="n">
        <x:v>2443.8999999999996</x:v>
      </x:c>
      <x:c r="M5" s="31" t="n">
        <x:v>7256.4719626971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4974946.190019866</x:v>
      </x:c>
    </x:row>
    <x:row r="6" ht="18" customHeight="1">
      <x:c r="A6" s="24" t="str">
        <x:v>EEZ_966</x:v>
      </x:c>
      <x:c r="B6" s="24" t="str">
        <x:v>Turkey (Marmara Sea)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8727.8057337999</x:v>
      </x:c>
      <x:c r="J6" s="31" t="n">
        <x:v>7905.151956587801</x:v>
      </x:c>
      <x:c r="K6" s="31" t="n">
        <x:v>822.6537772121001</x:v>
      </x:c>
      <x:c r="L6" s="31" t="n">
        <x:v>1030.0413842358</x:v>
      </x:c>
      <x:c r="M6" s="31" t="n">
        <x:v>7697.7643495641005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1663049.0979770096</x:v>
      </x:c>
    </x:row>
    <x:row r="7" ht="18" customHeight="1">
      <x:c r="A7" s="24" t="str">
        <x:v>EEZ_966</x:v>
      </x:c>
      <x:c r="B7" s="24" t="str">
        <x:v>Turkey (Marmara Sea)</x:v>
      </x:c>
      <x:c r="C7" s="24" t="str">
        <x:v>EEZ</x:v>
      </x:c>
      <x:c r="D7" s="30" t="n">
        <x:v>2019</x:v>
      </x:c>
      <x:c r="E7" s="24" t="str">
        <x:v>Sarda sarda</x:v>
      </x:c>
      <x:c r="F7" s="24" t="str">
        <x:v>Atlantic bonito</x:v>
      </x:c>
      <x:c r="G7" s="24" t="str">
        <x:v>Medium pelagics (30 - 89 cm)</x:v>
      </x:c>
      <x:c r="H7" s="24" t="str">
        <x:v>Tuna &amp; billfishes</x:v>
      </x:c>
      <x:c r="I7" s="31" t="n">
        <x:v>6697.4301613336</x:v>
      </x:c>
      <x:c r="J7" s="31" t="n">
        <x:v>6573.5926525667</x:v>
      </x:c>
      <x:c r="K7" s="31" t="n">
        <x:v>123.8375087669</x:v>
      </x:c>
      <x:c r="L7" s="31" t="n">
        <x:v>220.4</x:v>
      </x:c>
      <x:c r="M7" s="31" t="n">
        <x:v>6477.0301613336005</x:v>
      </x:c>
      <x:c r="N7" s="24" t="str">
        <x:v>sarda sarda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Sarda sarda</x:v>
      </x:c>
      <x:c r="T7" s="32" t="n">
        <x:f>IF(O7="","",(1/'Metadata'!$B$5)^(O7-1))</x:f>
        <x:v>3162.2776601683795</x:v>
      </x:c>
      <x:c r="U7" s="31" t="n">
        <x:f>IF(T7="","",I7*T7)</x:f>
        <x:v>21179133.77972315</x:v>
      </x:c>
    </x:row>
    <x:row r="8" ht="18" customHeight="1">
      <x:c r="A8" s="24" t="str">
        <x:v>EEZ_966</x:v>
      </x:c>
      <x:c r="B8" s="24" t="str">
        <x:v>Turkey (Marmara Sea)</x:v>
      </x:c>
      <x:c r="C8" s="24" t="str">
        <x:v>EEZ</x:v>
      </x:c>
      <x:c r="D8" s="30" t="n">
        <x:v>2019</x:v>
      </x:c>
      <x:c r="E8" s="24" t="str">
        <x:v>Sardina pilchardus</x:v>
      </x:c>
      <x:c r="F8" s="24" t="str">
        <x:v>European pilchard</x:v>
      </x:c>
      <x:c r="G8" s="24" t="str">
        <x:v>Small pelagics (&lt;30 cm)</x:v>
      </x:c>
      <x:c r="H8" s="24" t="str">
        <x:v>Herring-likes</x:v>
      </x:c>
      <x:c r="I8" s="31" t="n">
        <x:v>6556.8396584137</x:v>
      </x:c>
      <x:c r="J8" s="31" t="n">
        <x:v>6378.4311425081</x:v>
      </x:c>
      <x:c r="K8" s="31" t="n">
        <x:v>178.4085159056</x:v>
      </x:c>
      <x:c r="L8" s="31" t="n">
        <x:v>4536.4</x:v>
      </x:c>
      <x:c r="M8" s="31" t="n">
        <x:v>2020.4396584137</x:v>
      </x:c>
      <x:c r="N8" s="24" t="str">
        <x:v>sardina pilchardus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Sardina pilchardus</x:v>
      </x:c>
      <x:c r="T8" s="32" t="n">
        <x:f>IF(O8="","",(1/'Metadata'!$B$5)^(O8-1))</x:f>
        <x:v>114.81536214968828</x:v>
      </x:c>
      <x:c r="U8" s="31" t="n">
        <x:f>IF(T8="","",I8*T8)</x:f>
        <x:v>752825.9199382074</x:v>
      </x:c>
    </x:row>
    <x:row r="9" ht="18" customHeight="1">
      <x:c r="A9" s="24" t="str">
        <x:v>EEZ_966</x:v>
      </x:c>
      <x:c r="B9" s="24" t="str">
        <x:v>Turkey (Marmara Sea)</x:v>
      </x:c>
      <x:c r="C9" s="24" t="str">
        <x:v>EEZ</x:v>
      </x:c>
      <x:c r="D9" s="30" t="n">
        <x:v>2019</x:v>
      </x:c>
      <x:c r="E9" s="24" t="str">
        <x:v>Trachurus mediterraneus</x:v>
      </x:c>
      <x:c r="F9" s="24" t="str">
        <x:v>Mediterranean horse mackerel</x:v>
      </x:c>
      <x:c r="G9" s="24" t="str">
        <x:v>Medium pelagics (30 - 89 cm)</x:v>
      </x:c>
      <x:c r="H9" s="24" t="str">
        <x:v>Perch-likes</x:v>
      </x:c>
      <x:c r="I9" s="31" t="n">
        <x:v>4806.9460107989</x:v>
      </x:c>
      <x:c r="J9" s="31" t="n">
        <x:v>4736.2478171171</x:v>
      </x:c>
      <x:c r="K9" s="31" t="n">
        <x:v>70.69819368179999</x:v>
      </x:c>
      <x:c r="L9" s="31" t="n">
        <x:v>1265.7000000003</x:v>
      </x:c>
      <x:c r="M9" s="31" t="n">
        <x:v>3541.2460107986</x:v>
      </x:c>
      <x:c r="N9" s="24" t="str">
        <x:v>trachurus mediterraneus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mediterraneus</x:v>
      </x:c>
      <x:c r="T9" s="32" t="n">
        <x:f>IF(O9="","",(1/'Metadata'!$B$5)^(O9-1))</x:f>
        <x:v>588.843655355589</x:v>
      </x:c>
      <x:c r="U9" s="31" t="n">
        <x:f>IF(T9="","",I9*T9)</x:f>
        <x:v>2830539.660095791</x:v>
      </x:c>
    </x:row>
    <x:row r="10" ht="18" customHeight="1">
      <x:c r="A10" s="24" t="str">
        <x:v>EEZ_966</x:v>
      </x:c>
      <x:c r="B10" s="24" t="str">
        <x:v>Turkey (Marmara Sea)</x:v>
      </x:c>
      <x:c r="C10" s="24" t="str">
        <x:v>EEZ</x:v>
      </x:c>
      <x:c r="D10" s="30" t="n">
        <x:v>2019</x:v>
      </x:c>
      <x:c r="E10" s="24" t="str">
        <x:v>Mugilidae</x:v>
      </x:c>
      <x:c r="F10" s="24" t="str">
        <x:v>Mullets, grey mullets</x:v>
      </x:c>
      <x:c r="G10" s="24" t="str">
        <x:v>Medium reef assoc. fish (30 - 89 cm)</x:v>
      </x:c>
      <x:c r="H10" s="24" t="str">
        <x:v>Perch-likes</x:v>
      </x:c>
      <x:c r="I10" s="31" t="n">
        <x:v>3665.0387665621997</x:v>
      </x:c>
      <x:c r="J10" s="31" t="n">
        <x:v>3665.0387665621997</x:v>
      </x:c>
      <x:c r="K10" s="31" t="n">
        <x:v>0</x:v>
      </x:c>
      <x:c r="L10" s="31" t="n">
        <x:v>0</x:v>
      </x:c>
      <x:c r="M10" s="31" t="n">
        <x:v>3665.0387665621997</x:v>
      </x:c>
      <x:c r="N10" s="24" t="str">
        <x:v>mugilidae</x:v>
      </x:c>
      <x:c r="O10" s="32" t="n">
        <x:v>2.53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Mugilidae</x:v>
      </x:c>
      <x:c r="T10" s="32" t="n">
        <x:f>IF(O10="","",(1/'Metadata'!$B$5)^(O10-1))</x:f>
        <x:v>33.88441561392024</x:v>
      </x:c>
      <x:c r="U10" s="31" t="n">
        <x:f>IF(T10="","",I10*T10)</x:f>
        <x:v>124187.69680732318</x:v>
      </x:c>
    </x:row>
    <x:row r="11" ht="18" customHeight="1">
      <x:c r="A11" s="24" t="str">
        <x:v>EEZ_966</x:v>
      </x:c>
      <x:c r="B11" s="24" t="str">
        <x:v>Turkey (Marmara Sea)</x:v>
      </x:c>
      <x:c r="C11" s="24" t="str">
        <x:v>EEZ</x:v>
      </x:c>
      <x:c r="D11" s="30" t="n">
        <x:v>2019</x:v>
      </x:c>
      <x:c r="E11" s="24" t="str">
        <x:v>Parapenaeus longirostris</x:v>
      </x:c>
      <x:c r="F11" s="24" t="str">
        <x:v>Deepwater rose shrimp</x:v>
      </x:c>
      <x:c r="G11" s="24" t="str">
        <x:v>Shrimps</x:v>
      </x:c>
      <x:c r="H11" s="24" t="str">
        <x:v>Crustaceans</x:v>
      </x:c>
      <x:c r="I11" s="31" t="n">
        <x:v>3261.4602498112</x:v>
      </x:c>
      <x:c r="J11" s="31" t="n">
        <x:v>3261.4602498112</x:v>
      </x:c>
      <x:c r="K11" s="31" t="n">
        <x:v>0</x:v>
      </x:c>
      <x:c r="L11" s="31" t="n">
        <x:v>2732.1987565629997</x:v>
      </x:c>
      <x:c r="M11" s="31" t="n">
        <x:v>529.2614932482</x:v>
      </x:c>
      <x:c r="N11" s="24" t="str">
        <x:v>parapenaeus longirostris</x:v>
      </x:c>
      <x:c r="O11" s="32" t="n">
        <x:v>3.3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Parapenaeus longirostris</x:v>
      </x:c>
      <x:c r="T11" s="32" t="n">
        <x:f>IF(O11="","",(1/'Metadata'!$B$5)^(O11-1))</x:f>
        <x:v>199.52623149688787</x:v>
      </x:c>
      <x:c r="U11" s="31" t="n">
        <x:f>IF(T11="","",I11*T11)</x:f>
        <x:v>650746.8728217272</x:v>
      </x:c>
    </x:row>
    <x:row r="12" ht="18" customHeight="1">
      <x:c r="A12" s="24" t="str">
        <x:v>EEZ_966</x:v>
      </x:c>
      <x:c r="B12" s="24" t="str">
        <x:v>Turkey (Marmara Sea)</x:v>
      </x:c>
      <x:c r="C12" s="24" t="str">
        <x:v>EEZ</x:v>
      </x:c>
      <x:c r="D12" s="30" t="n">
        <x:v>2019</x:v>
      </x:c>
      <x:c r="E12" s="24" t="str">
        <x:v>Scophthalmus maximus</x:v>
      </x:c>
      <x:c r="F12" s="24" t="str">
        <x:v>Turbot</x:v>
      </x:c>
      <x:c r="G12" s="24" t="str">
        <x:v>Large flatfishes (&gt;=90 cm)</x:v>
      </x:c>
      <x:c r="H12" s="24" t="str">
        <x:v>Flatfishes</x:v>
      </x:c>
      <x:c r="I12" s="31" t="n">
        <x:v>2818.0601206840997</x:v>
      </x:c>
      <x:c r="J12" s="31" t="n">
        <x:v>2816.2561039132997</x:v>
      </x:c>
      <x:c r="K12" s="31" t="n">
        <x:v>1.8040167708</x:v>
      </x:c>
      <x:c r="L12" s="31" t="n">
        <x:v>17.0000000002</x:v>
      </x:c>
      <x:c r="M12" s="31" t="n">
        <x:v>2801.0601206839</x:v>
      </x:c>
      <x:c r="N12" s="24" t="str">
        <x:v>scophthalmus maximus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Scophthalmus maximus</x:v>
      </x:c>
      <x:c r="T12" s="32" t="n">
        <x:f>IF(O12="","",(1/'Metadata'!$B$5)^(O12-1))</x:f>
        <x:v>2290.867652767775</x:v>
      </x:c>
      <x:c r="U12" s="31" t="n">
        <x:f>IF(T12="","",I12*T12)</x:f>
        <x:v>6455802.774030056</x:v>
      </x:c>
    </x:row>
    <x:row r="13" ht="18" customHeight="1">
      <x:c r="A13" s="24" t="str">
        <x:v>EEZ_966</x:v>
      </x:c>
      <x:c r="B13" s="24" t="str">
        <x:v>Turkey (Marmara Sea)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2791.5906350305</x:v>
      </x:c>
      <x:c r="J13" s="31" t="n">
        <x:v>2791.5906350305</x:v>
      </x:c>
      <x:c r="K13" s="31" t="n">
        <x:v>0</x:v>
      </x:c>
      <x:c r="L13" s="31" t="n">
        <x:v>0</x:v>
      </x:c>
      <x:c r="M13" s="31" t="n">
        <x:v>2791.5906350305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3132216.209360757</x:v>
      </x:c>
    </x:row>
    <x:row r="14" ht="18" customHeight="1">
      <x:c r="A14" s="24" t="str">
        <x:v>EEZ_966</x:v>
      </x:c>
      <x:c r="B14" s="24" t="str">
        <x:v>Turkey (Marmara Sea)</x:v>
      </x:c>
      <x:c r="C14" s="24" t="str">
        <x:v>EEZ</x:v>
      </x:c>
      <x:c r="D14" s="30" t="n">
        <x:v>2019</x:v>
      </x:c>
      <x:c r="E14" s="24" t="str">
        <x:v>Spicara smaris</x:v>
      </x:c>
      <x:c r="F14" s="24" t="str">
        <x:v>Picarel</x:v>
      </x:c>
      <x:c r="G14" s="24" t="str">
        <x:v>Small demersals (&lt;30 cm)</x:v>
      </x:c>
      <x:c r="H14" s="24" t="str">
        <x:v>Perch-likes</x:v>
      </x:c>
      <x:c r="I14" s="31" t="n">
        <x:v>2335.018005041</x:v>
      </x:c>
      <x:c r="J14" s="31" t="n">
        <x:v>2335.018005041</x:v>
      </x:c>
      <x:c r="K14" s="31" t="n">
        <x:v>0</x:v>
      </x:c>
      <x:c r="L14" s="31" t="n">
        <x:v>0</x:v>
      </x:c>
      <x:c r="M14" s="31" t="n">
        <x:v>2335.018005041</x:v>
      </x:c>
      <x:c r="N14" s="24" t="str">
        <x:v>spicara smaris</x:v>
      </x:c>
      <x:c r="O14" s="32" t="n">
        <x:v>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Spicara smaris</x:v>
      </x:c>
      <x:c r="T14" s="32" t="n">
        <x:f>IF(O14="","",(1/'Metadata'!$B$5)^(O14-1))</x:f>
        <x:v>100</x:v>
      </x:c>
      <x:c r="U14" s="31" t="n">
        <x:f>IF(T14="","",I14*T14)</x:f>
        <x:v>233501.80050409999</x:v>
      </x:c>
    </x:row>
    <x:row r="15" ht="18" customHeight="1">
      <x:c r="A15" s="24" t="str">
        <x:v>EEZ_966</x:v>
      </x:c>
      <x:c r="B15" s="24" t="str">
        <x:v>Turkey (Marmara Sea)</x:v>
      </x:c>
      <x:c r="C15" s="24" t="str">
        <x:v>EEZ</x:v>
      </x:c>
      <x:c r="D15" s="30" t="n">
        <x:v>2019</x:v>
      </x:c>
      <x:c r="E15" s="24" t="str">
        <x:v>Miscellaneous diadromous fishes</x:v>
      </x:c>
      <x:c r="F15" s="24" t="str">
        <x:v>Diadromous fishes nei</x:v>
      </x:c>
      <x:c r="G15" s="24" t="str">
        <x:v>Large demersals (&gt;=90 cm)</x:v>
      </x:c>
      <x:c r="H15" s="24" t="str">
        <x:v>Other fishes &amp; inverts</x:v>
      </x:c>
      <x:c r="I15" s="31" t="n">
        <x:v>1993.9933109071</x:v>
      </x:c>
      <x:c r="J15" s="31" t="n">
        <x:v>1993.9933109071</x:v>
      </x:c>
      <x:c r="K15" s="31" t="n">
        <x:v>0</x:v>
      </x:c>
      <x:c r="L15" s="31" t="n">
        <x:v>0</x:v>
      </x:c>
      <x:c r="M15" s="31" t="n">
        <x:v>1993.9933109071</x:v>
      </x:c>
      <x:c r="N15" s="24" t="str">
        <x:v>miscellaneous diadromous fishes</x:v>
      </x:c>
      <x:c r="O15" s="32" t="n">
        <x:v>3.19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Miscellaneous diadromous fishes</x:v>
      </x:c>
      <x:c r="T15" s="32" t="n">
        <x:f>IF(O15="","",(1/'Metadata'!$B$5)^(O15-1))</x:f>
        <x:v>154.88166189124811</x:v>
      </x:c>
      <x:c r="U15" s="31" t="n">
        <x:f>IF(T15="","",I15*T15)</x:f>
        <x:v>308832.9977933238</x:v>
      </x:c>
    </x:row>
    <x:row r="16" ht="18" customHeight="1">
      <x:c r="A16" s="24" t="str">
        <x:v>EEZ_966</x:v>
      </x:c>
      <x:c r="B16" s="24" t="str">
        <x:v>Turkey (Marmara Sea)</x:v>
      </x:c>
      <x:c r="C16" s="24" t="str">
        <x:v>EEZ</x:v>
      </x:c>
      <x:c r="D16" s="30" t="n">
        <x:v>2019</x:v>
      </x:c>
      <x:c r="E16" s="24" t="str">
        <x:v>Holothuroidea</x:v>
      </x:c>
      <x:c r="F16" s="24" t="str">
        <x:v>Sea cucumbers</x:v>
      </x:c>
      <x:c r="G16" s="24" t="str">
        <x:v>Other demersal invertebrates</x:v>
      </x:c>
      <x:c r="H16" s="24" t="str">
        <x:v>Other fishes &amp; inverts</x:v>
      </x:c>
      <x:c r="I16" s="31" t="n">
        <x:v>1298.5262221678</x:v>
      </x:c>
      <x:c r="J16" s="31" t="n">
        <x:v>1298.5262221678</x:v>
      </x:c>
      <x:c r="K16" s="31" t="n">
        <x:v>0</x:v>
      </x:c>
      <x:c r="L16" s="31" t="n">
        <x:v>0</x:v>
      </x:c>
      <x:c r="M16" s="31" t="n">
        <x:v>1298.5262221678</x:v>
      </x:c>
      <x:c r="N16" s="24" t="str">
        <x:v>holothuroidea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Holothuroidea</x:v>
      </x:c>
      <x:c r="T16" s="32" t="n">
        <x:f>IF(O16="","",(1/'Metadata'!$B$5)^(O16-1))</x:f>
        <x:v>10</x:v>
      </x:c>
      <x:c r="U16" s="31" t="n">
        <x:f>IF(T16="","",I16*T16)</x:f>
        <x:v>12985.262221678</x:v>
      </x:c>
    </x:row>
    <x:row r="17" ht="18" customHeight="1">
      <x:c r="A17" s="24" t="str">
        <x:v>EEZ_966</x:v>
      </x:c>
      <x:c r="B17" s="24" t="str">
        <x:v>Turkey (Marmara Sea)</x:v>
      </x:c>
      <x:c r="C17" s="24" t="str">
        <x:v>EEZ</x:v>
      </x:c>
      <x:c r="D17" s="30" t="n">
        <x:v>2019</x:v>
      </x:c>
      <x:c r="E17" s="24" t="str">
        <x:v>Pagellus acarne</x:v>
      </x:c>
      <x:c r="F17" s="24" t="str">
        <x:v>Axillary seabream</x:v>
      </x:c>
      <x:c r="G17" s="24" t="str">
        <x:v>Medium benthopelagics (30 - 89 cm)</x:v>
      </x:c>
      <x:c r="H17" s="24" t="str">
        <x:v>Perch-likes</x:v>
      </x:c>
      <x:c r="I17" s="31" t="n">
        <x:v>1203.4174256488002</x:v>
      </x:c>
      <x:c r="J17" s="31" t="n">
        <x:v>1203.4174256488002</x:v>
      </x:c>
      <x:c r="K17" s="31" t="n">
        <x:v>0</x:v>
      </x:c>
      <x:c r="L17" s="31" t="n">
        <x:v>0</x:v>
      </x:c>
      <x:c r="M17" s="31" t="n">
        <x:v>1203.4174256488002</x:v>
      </x:c>
      <x:c r="N17" s="24" t="str">
        <x:v>pagellus acarne</x:v>
      </x:c>
      <x:c r="O17" s="32" t="n">
        <x:v>3.81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Pagellus acarne</x:v>
      </x:c>
      <x:c r="T17" s="32" t="n">
        <x:f>IF(O17="","",(1/'Metadata'!$B$5)^(O17-1))</x:f>
        <x:v>645.6542290346556</x:v>
      </x:c>
      <x:c r="U17" s="31" t="n">
        <x:f>IF(T17="","",I17*T17)</x:f>
        <x:v>776991.5501641461</x:v>
      </x:c>
    </x:row>
    <x:row r="18" ht="18" customHeight="1">
      <x:c r="A18" s="24" t="str">
        <x:v>EEZ_966</x:v>
      </x:c>
      <x:c r="B18" s="24" t="str">
        <x:v>Turkey (Marmara Sea)</x:v>
      </x:c>
      <x:c r="C18" s="24" t="str">
        <x:v>EEZ</x:v>
      </x:c>
      <x:c r="D18" s="30" t="n">
        <x:v>2019</x:v>
      </x:c>
      <x:c r="E18" s="24" t="str">
        <x:v>Merlangius merlangus</x:v>
      </x:c>
      <x:c r="F18" s="24" t="str">
        <x:v>Whiting</x:v>
      </x:c>
      <x:c r="G18" s="24" t="str">
        <x:v>Medium benthopelagics (30 - 89 cm)</x:v>
      </x:c>
      <x:c r="H18" s="24" t="str">
        <x:v>Cod-likes</x:v>
      </x:c>
      <x:c r="I18" s="31" t="n">
        <x:v>893.8747138265</x:v>
      </x:c>
      <x:c r="J18" s="31" t="n">
        <x:v>873.2797842847001</x:v>
      </x:c>
      <x:c r="K18" s="31" t="n">
        <x:v>20.594929541800003</x:v>
      </x:c>
      <x:c r="L18" s="31" t="n">
        <x:v>194.1999999999</x:v>
      </x:c>
      <x:c r="M18" s="31" t="n">
        <x:v>699.6747138266</x:v>
      </x:c>
      <x:c r="N18" s="24" t="str">
        <x:v>merlangius merlangus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Merlangius merlangus</x:v>
      </x:c>
      <x:c r="T18" s="32" t="n">
        <x:f>IF(O18="","",(1/'Metadata'!$B$5)^(O18-1))</x:f>
        <x:v>2290.867652767775</x:v>
      </x:c>
      <x:c r="U18" s="31" t="n">
        <x:f>IF(T18="","",I18*T18)</x:f>
        <x:v>2047748.6675321807</x:v>
      </x:c>
    </x:row>
    <x:row r="19" ht="18" customHeight="1">
      <x:c r="A19" s="24" t="str">
        <x:v>EEZ_966</x:v>
      </x:c>
      <x:c r="B19" s="24" t="str">
        <x:v>Turkey (Marmara Sea)</x:v>
      </x:c>
      <x:c r="C19" s="24" t="str">
        <x:v>EEZ</x:v>
      </x:c>
      <x:c r="D19" s="30" t="n">
        <x:v>2019</x:v>
      </x:c>
      <x:c r="E19" s="24" t="str">
        <x:v>Pleuronectoidei</x:v>
      </x:c>
      <x:c r="F19" s="24" t="str">
        <x:v>Flounders, halibuts, soles, turbots</x:v>
      </x:c>
      <x:c r="G19" s="24" t="str">
        <x:v>Large flatfishes (&gt;=90 cm)</x:v>
      </x:c>
      <x:c r="H19" s="24" t="str">
        <x:v>Flatfishes</x:v>
      </x:c>
      <x:c r="I19" s="31" t="n">
        <x:v>797.5973243836</x:v>
      </x:c>
      <x:c r="J19" s="31" t="n">
        <x:v>797.5973243836</x:v>
      </x:c>
      <x:c r="K19" s="31" t="n">
        <x:v>0</x:v>
      </x:c>
      <x:c r="L19" s="31" t="n">
        <x:v>0</x:v>
      </x:c>
      <x:c r="M19" s="31" t="n">
        <x:v>797.5973243836</x:v>
      </x:c>
      <x:c r="N19" s="24" t="str">
        <x:v>pleuronectoidei</x:v>
      </x:c>
      <x:c r="O19" s="32" t="n">
        <x:v>3.4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Pleuronectoidei</x:v>
      </x:c>
      <x:c r="T19" s="32" t="n">
        <x:f>IF(O19="","",(1/'Metadata'!$B$5)^(O19-1))</x:f>
        <x:v>251.18864315095797</x:v>
      </x:c>
      <x:c r="U19" s="31" t="n">
        <x:f>IF(T19="","",I19*T19)</x:f>
        <x:v>200347.389692751</x:v>
      </x:c>
    </x:row>
    <x:row r="20" ht="18" customHeight="1">
      <x:c r="A20" s="24" t="str">
        <x:v>EEZ_966</x:v>
      </x:c>
      <x:c r="B20" s="24" t="str">
        <x:v>Turkey (Marmara Sea)</x:v>
      </x:c>
      <x:c r="C20" s="24" t="str">
        <x:v>EEZ</x:v>
      </x:c>
      <x:c r="D20" s="30" t="n">
        <x:v>2019</x:v>
      </x:c>
      <x:c r="E20" s="24" t="str">
        <x:v>Diplodus vulgaris</x:v>
      </x:c>
      <x:c r="F20" s="24" t="str">
        <x:v>Common two-banded seabream</x:v>
      </x:c>
      <x:c r="G20" s="24" t="str">
        <x:v>Medium benthopelagics (30 - 89 cm)</x:v>
      </x:c>
      <x:c r="H20" s="24" t="str">
        <x:v>Perch-likes</x:v>
      </x:c>
      <x:c r="I20" s="31" t="n">
        <x:v>767.0119939737</x:v>
      </x:c>
      <x:c r="J20" s="31" t="n">
        <x:v>766.4237037398</x:v>
      </x:c>
      <x:c r="K20" s="31" t="n">
        <x:v>0.5882902339</x:v>
      </x:c>
      <x:c r="L20" s="31" t="n">
        <x:v>6.5000000001</x:v>
      </x:c>
      <x:c r="M20" s="31" t="n">
        <x:v>760.5119939736</x:v>
      </x:c>
      <x:c r="N20" s="24" t="str">
        <x:v>diplodus vulgaris</x:v>
      </x:c>
      <x:c r="O20" s="32" t="n">
        <x:v>3.52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Diplodus vulgaris</x:v>
      </x:c>
      <x:c r="T20" s="32" t="n">
        <x:f>IF(O20="","",(1/'Metadata'!$B$5)^(O20-1))</x:f>
        <x:v>331.1311214825911</x:v>
      </x:c>
      <x:c r="U20" s="31" t="n">
        <x:f>IF(T20="","",I20*T20)</x:f>
        <x:v>253981.54175510968</x:v>
      </x:c>
    </x:row>
    <x:row r="21" ht="18" customHeight="1">
      <x:c r="A21" s="24" t="str">
        <x:v>EEZ_966</x:v>
      </x:c>
      <x:c r="B21" s="24" t="str">
        <x:v>Turkey (Marmara Sea)</x:v>
      </x:c>
      <x:c r="C21" s="24" t="str">
        <x:v>EEZ</x:v>
      </x:c>
      <x:c r="D21" s="30" t="n">
        <x:v>2019</x:v>
      </x:c>
      <x:c r="E21" s="24" t="str">
        <x:v>Trachurus</x:v>
      </x:c>
      <x:c r="F21" s="24" t="str">
        <x:v>Jacks, horse mackerels</x:v>
      </x:c>
      <x:c r="G21" s="24" t="str">
        <x:v>Medium pelagics (30 - 89 cm)</x:v>
      </x:c>
      <x:c r="H21" s="24" t="str">
        <x:v>Perch-likes</x:v>
      </x:c>
      <x:c r="I21" s="31" t="n">
        <x:v>698.7585051954</x:v>
      </x:c>
      <x:c r="J21" s="31" t="n">
        <x:v>698.7585051954</x:v>
      </x:c>
      <x:c r="K21" s="31" t="n">
        <x:v>0</x:v>
      </x:c>
      <x:c r="L21" s="31" t="n">
        <x:v>0</x:v>
      </x:c>
      <x:c r="M21" s="31" t="n">
        <x:v>698.7585051954</x:v>
      </x:c>
      <x:c r="N21" s="24" t="str">
        <x:v>trachurus</x:v>
      </x:c>
      <x:c r="O21" s="32" t="n">
        <x:v>3.69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Trachurus</x:v>
      </x:c>
      <x:c r="T21" s="32" t="n">
        <x:f>IF(O21="","",(1/'Metadata'!$B$5)^(O21-1))</x:f>
        <x:v>489.77881936844614</x:v>
      </x:c>
      <x:c r="U21" s="31" t="n">
        <x:f>IF(T21="","",I21*T21)</x:f>
        <x:v>342237.1156982632</x:v>
      </x:c>
    </x:row>
    <x:row r="22" ht="18" customHeight="1">
      <x:c r="A22" s="24" t="str">
        <x:v>EEZ_966</x:v>
      </x:c>
      <x:c r="B22" s="24" t="str">
        <x:v>Turkey (Marmara Sea)</x:v>
      </x:c>
      <x:c r="C22" s="24" t="str">
        <x:v>EEZ</x:v>
      </x:c>
      <x:c r="D22" s="30" t="n">
        <x:v>2019</x:v>
      </x:c>
      <x:c r="E22" s="24" t="str">
        <x:v>Sparus aurata</x:v>
      </x:c>
      <x:c r="F22" s="24" t="str">
        <x:v>Gilthead seabream</x:v>
      </x:c>
      <x:c r="G22" s="24" t="str">
        <x:v>Medium demersals (30 - 89 cm)</x:v>
      </x:c>
      <x:c r="H22" s="24" t="str">
        <x:v>Perch-likes</x:v>
      </x:c>
      <x:c r="I22" s="31" t="n">
        <x:v>652.1993575448</x:v>
      </x:c>
      <x:c r="J22" s="31" t="n">
        <x:v>652.1993575448</x:v>
      </x:c>
      <x:c r="K22" s="31" t="n">
        <x:v>0</x:v>
      </x:c>
      <x:c r="L22" s="31" t="n">
        <x:v>0</x:v>
      </x:c>
      <x:c r="M22" s="31" t="n">
        <x:v>652.1993575448</x:v>
      </x:c>
      <x:c r="N22" s="24" t="str">
        <x:v>sparus aurata</x:v>
      </x:c>
      <x:c r="O22" s="32" t="n">
        <x:v>3.7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Sparus aurata</x:v>
      </x:c>
      <x:c r="T22" s="32" t="n">
        <x:f>IF(O22="","",(1/'Metadata'!$B$5)^(O22-1))</x:f>
        <x:v>501.18723362727246</x:v>
      </x:c>
      <x:c r="U22" s="31" t="n">
        <x:f>IF(T22="","",I22*T22)</x:f>
        <x:v>326873.9917813627</x:v>
      </x:c>
    </x:row>
    <x:row r="23" ht="18" customHeight="1">
      <x:c r="A23" s="24" t="str">
        <x:v>EEZ_966</x:v>
      </x:c>
      <x:c r="B23" s="24" t="str">
        <x:v>Turkey (Marmara Sea)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599.1002238574999</x:v>
      </x:c>
      <x:c r="J23" s="31" t="n">
        <x:v>597.1670818409999</x:v>
      </x:c>
      <x:c r="K23" s="31" t="n">
        <x:v>1.9331420165</x:v>
      </x:c>
      <x:c r="L23" s="31" t="n">
        <x:v>1.5</x:v>
      </x:c>
      <x:c r="M23" s="31" t="n">
        <x:v>597.6002238574999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255563.8852070587</x:v>
      </x:c>
    </x:row>
    <x:row r="24" ht="18" customHeight="1">
      <x:c r="A24" s="24" t="str">
        <x:v>EEZ_966</x:v>
      </x:c>
      <x:c r="B24" s="24" t="str">
        <x:v>Turkey (Marmara Sea)</x:v>
      </x:c>
      <x:c r="C24" s="24" t="str">
        <x:v>EEZ</x:v>
      </x:c>
      <x:c r="D24" s="30" t="n">
        <x:v>2019</x:v>
      </x:c>
      <x:c r="E24" s="24" t="str">
        <x:v>Mustelus</x:v>
      </x:c>
      <x:c r="F24" s="24" t="str">
        <x:v>Smoothhounds</x:v>
      </x:c>
      <x:c r="G24" s="24" t="str">
        <x:v>Large sharks (&gt;=90 cm)</x:v>
      </x:c>
      <x:c r="H24" s="24" t="str">
        <x:v>Sharks &amp; rays</x:v>
      </x:c>
      <x:c r="I24" s="31" t="n">
        <x:v>572.5937751204</x:v>
      </x:c>
      <x:c r="J24" s="31" t="n">
        <x:v>572.5937751204</x:v>
      </x:c>
      <x:c r="K24" s="31" t="n">
        <x:v>0</x:v>
      </x:c>
      <x:c r="L24" s="31" t="n">
        <x:v>0</x:v>
      </x:c>
      <x:c r="M24" s="31" t="n">
        <x:v>572.5937751204</x:v>
      </x:c>
      <x:c r="N24" s="24" t="str">
        <x:v>mustelus</x:v>
      </x:c>
      <x:c r="O24" s="32" t="n">
        <x:v>3.73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Mustelus</x:v>
      </x:c>
      <x:c r="T24" s="32" t="n">
        <x:f>IF(O24="","",(1/'Metadata'!$B$5)^(O24-1))</x:f>
        <x:v>537.0317963702527</x:v>
      </x:c>
      <x:c r="U24" s="31" t="n">
        <x:f>IF(T24="","",I24*T24)</x:f>
        <x:v>307501.06364333286</x:v>
      </x:c>
    </x:row>
    <x:row r="25" ht="18" customHeight="1">
      <x:c r="A25" s="24" t="str">
        <x:v>EEZ_966</x:v>
      </x:c>
      <x:c r="B25" s="24" t="str">
        <x:v>Turkey (Marmara Sea)</x:v>
      </x:c>
      <x:c r="C25" s="24" t="str">
        <x:v>EEZ</x:v>
      </x:c>
      <x:c r="D25" s="30" t="n">
        <x:v>2019</x:v>
      </x:c>
      <x:c r="E25" s="24" t="str">
        <x:v>Portunidae</x:v>
      </x:c>
      <x:c r="F25" s="24" t="str">
        <x:v>Swimming crabs</x:v>
      </x:c>
      <x:c r="G25" s="24" t="str">
        <x:v>Lobsters, crabs</x:v>
      </x:c>
      <x:c r="H25" s="24" t="str">
        <x:v>Crustaceans</x:v>
      </x:c>
      <x:c r="I25" s="31" t="n">
        <x:v>518.6085367683</x:v>
      </x:c>
      <x:c r="J25" s="31" t="n">
        <x:v>0</x:v>
      </x:c>
      <x:c r="K25" s="31" t="n">
        <x:v>518.6085367683</x:v>
      </x:c>
      <x:c r="L25" s="31" t="n">
        <x:v>0</x:v>
      </x:c>
      <x:c r="M25" s="31" t="n">
        <x:v>518.6085367683</x:v>
      </x:c>
      <x:c r="N25" s="24" t="str">
        <x:v>portunidae</x:v>
      </x:c>
      <x:c r="O25" s="32" t="n">
        <x:v>3.56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Portunidae</x:v>
      </x:c>
      <x:c r="T25" s="32" t="n">
        <x:f>IF(O25="","",(1/'Metadata'!$B$5)^(O25-1))</x:f>
        <x:v>363.0780547701014</x:v>
      </x:c>
      <x:c r="U25" s="31" t="n">
        <x:f>IF(T25="","",I25*T25)</x:f>
        <x:v>188295.37871700298</x:v>
      </x:c>
    </x:row>
    <x:row r="26" ht="18" customHeight="1">
      <x:c r="A26" s="24" t="str">
        <x:v>EEZ_966</x:v>
      </x:c>
      <x:c r="B26" s="24" t="str">
        <x:v>Turkey (Marmara Sea)</x:v>
      </x:c>
      <x:c r="C26" s="24" t="str">
        <x:v>EEZ</x:v>
      </x:c>
      <x:c r="D26" s="30" t="n">
        <x:v>2019</x:v>
      </x:c>
      <x:c r="E26" s="24" t="str">
        <x:v>Raja</x:v>
      </x:c>
      <x:c r="F26" s="24" t="str">
        <x:v>Stingrays, skates</x:v>
      </x:c>
      <x:c r="G26" s="24" t="str">
        <x:v>Small to medium rays (&lt;90 cm)</x:v>
      </x:c>
      <x:c r="H26" s="24" t="str">
        <x:v>Sharks &amp; rays</x:v>
      </x:c>
      <x:c r="I26" s="31" t="n">
        <x:v>446.42904502320005</x:v>
      </x:c>
      <x:c r="J26" s="31" t="n">
        <x:v>446.42904502320005</x:v>
      </x:c>
      <x:c r="K26" s="31" t="n">
        <x:v>0</x:v>
      </x:c>
      <x:c r="L26" s="31" t="n">
        <x:v>0</x:v>
      </x:c>
      <x:c r="M26" s="31" t="n">
        <x:v>446.42904502320005</x:v>
      </x:c>
      <x:c r="N26" s="24" t="str">
        <x:v>raja</x:v>
      </x:c>
      <x:c r="O26" s="32" t="n">
        <x:v>3.8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Raja</x:v>
      </x:c>
      <x:c r="T26" s="32" t="n">
        <x:f>IF(O26="","",(1/'Metadata'!$B$5)^(O26-1))</x:f>
        <x:v>630.957344480193</x:v>
      </x:c>
      <x:c r="U26" s="31" t="n">
        <x:f>IF(T26="","",I26*T26)</x:f>
        <x:v>281677.6847466668</x:v>
      </x:c>
    </x:row>
    <x:row r="27" ht="18" customHeight="1">
      <x:c r="A27" s="24" t="str">
        <x:v>EEZ_966</x:v>
      </x:c>
      <x:c r="B27" s="24" t="str">
        <x:v>Turkey (Marmara Sea)</x:v>
      </x:c>
      <x:c r="C27" s="24" t="str">
        <x:v>EEZ</x:v>
      </x:c>
      <x:c r="D27" s="30" t="n">
        <x:v>2019</x:v>
      </x:c>
      <x:c r="E27" s="24" t="str">
        <x:v>Sarpa salpa</x:v>
      </x:c>
      <x:c r="F27" s="24" t="str">
        <x:v>Salema</x:v>
      </x:c>
      <x:c r="G27" s="24" t="str">
        <x:v>Medium benthopelagics (30 - 89 cm)</x:v>
      </x:c>
      <x:c r="H27" s="24" t="str">
        <x:v>Perch-likes</x:v>
      </x:c>
      <x:c r="I27" s="31" t="n">
        <x:v>424.02354368040005</x:v>
      </x:c>
      <x:c r="J27" s="31" t="n">
        <x:v>420.34697359430004</x:v>
      </x:c>
      <x:c r="K27" s="31" t="n">
        <x:v>3.6765700861000004</x:v>
      </x:c>
      <x:c r="L27" s="31" t="n">
        <x:v>11.299999999799999</x:v>
      </x:c>
      <x:c r="M27" s="31" t="n">
        <x:v>412.7235436806</x:v>
      </x:c>
      <x:c r="N27" s="24" t="str">
        <x:v>sarpa salpa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Sarpa salpa</x:v>
      </x:c>
      <x:c r="T27" s="32" t="n">
        <x:f>IF(O27="","",(1/'Metadata'!$B$5)^(O27-1))</x:f>
        <x:v>10</x:v>
      </x:c>
      <x:c r="U27" s="31" t="n">
        <x:f>IF(T27="","",I27*T27)</x:f>
        <x:v>4240.2354368040005</x:v>
      </x:c>
    </x:row>
    <x:row r="28" ht="18" customHeight="1">
      <x:c r="A28" s="24" t="str">
        <x:v>EEZ_966</x:v>
      </x:c>
      <x:c r="B28" s="24" t="str">
        <x:v>Turkey (Marmara Sea)</x:v>
      </x:c>
      <x:c r="C28" s="24" t="str">
        <x:v>EEZ</x:v>
      </x:c>
      <x:c r="D28" s="30" t="n">
        <x:v>2019</x:v>
      </x:c>
      <x:c r="E28" s="24" t="str">
        <x:v>Dendrobranchiata</x:v>
      </x:c>
      <x:c r="F28" s="24" t="str">
        <x:v>Shrimps and prawns</x:v>
      </x:c>
      <x:c r="G28" s="24" t="str">
        <x:v>Shrimps</x:v>
      </x:c>
      <x:c r="H28" s="24" t="str">
        <x:v>Crustaceans</x:v>
      </x:c>
      <x:c r="I28" s="31" t="n">
        <x:v>398.79866216690004</x:v>
      </x:c>
      <x:c r="J28" s="31" t="n">
        <x:v>398.79866216690004</x:v>
      </x:c>
      <x:c r="K28" s="31" t="n">
        <x:v>0</x:v>
      </x:c>
      <x:c r="L28" s="31" t="n">
        <x:v>0</x:v>
      </x:c>
      <x:c r="M28" s="31" t="n">
        <x:v>398.79866216690004</x:v>
      </x:c>
      <x:c r="N28" s="24" t="str">
        <x:v>dendrobranchiata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Dendrobranchiata</x:v>
      </x:c>
      <x:c r="T28" s="32" t="n">
        <x:f>IF(O28="","",(1/'Metadata'!$B$5)^(O28-1))</x:f>
        <x:v>173.78008287493762</x:v>
      </x:c>
      <x:c r="U28" s="31" t="n">
        <x:f>IF(T28="","",I28*T28)</x:f>
        <x:v>69303.26456177814</x:v>
      </x:c>
    </x:row>
    <x:row r="29" ht="18" customHeight="1">
      <x:c r="A29" s="24" t="str">
        <x:v>EEZ_966</x:v>
      </x:c>
      <x:c r="B29" s="24" t="str">
        <x:v>Turkey (Marmara Sea)</x:v>
      </x:c>
      <x:c r="C29" s="24" t="str">
        <x:v>EEZ</x:v>
      </x:c>
      <x:c r="D29" s="30" t="n">
        <x:v>2019</x:v>
      </x:c>
      <x:c r="E29" s="24" t="str">
        <x:v>Dicentrarchus labrax</x:v>
      </x:c>
      <x:c r="F29" s="24" t="str">
        <x:v>European seabass</x:v>
      </x:c>
      <x:c r="G29" s="24" t="str">
        <x:v>Large demersals (&gt;=90 cm)</x:v>
      </x:c>
      <x:c r="H29" s="24" t="str">
        <x:v>Perch-likes</x:v>
      </x:c>
      <x:c r="I29" s="31" t="n">
        <x:v>376.55319445180004</x:v>
      </x:c>
      <x:c r="J29" s="31" t="n">
        <x:v>376.55319445180004</x:v>
      </x:c>
      <x:c r="K29" s="31" t="n">
        <x:v>0</x:v>
      </x:c>
      <x:c r="L29" s="31" t="n">
        <x:v>0</x:v>
      </x:c>
      <x:c r="M29" s="31" t="n">
        <x:v>376.55319445180004</x:v>
      </x:c>
      <x:c r="N29" s="24" t="str">
        <x:v>dicentrarchus labrax</x:v>
      </x:c>
      <x:c r="O29" s="32" t="n">
        <x:v>3.79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Dicentrarchus labrax</x:v>
      </x:c>
      <x:c r="T29" s="32" t="n">
        <x:f>IF(O29="","",(1/'Metadata'!$B$5)^(O29-1))</x:f>
        <x:v>616.5950018614822</x:v>
      </x:c>
      <x:c r="U29" s="31" t="n">
        <x:f>IF(T29="","",I29*T29)</x:f>
        <x:v>232180.8176339547</x:v>
      </x:c>
    </x:row>
    <x:row r="30" ht="18" customHeight="1">
      <x:c r="A30" s="24" t="str">
        <x:v>EEZ_966</x:v>
      </x:c>
      <x:c r="B30" s="24" t="str">
        <x:v>Turkey (Marmara Sea)</x:v>
      </x:c>
      <x:c r="C30" s="24" t="str">
        <x:v>EEZ</x:v>
      </x:c>
      <x:c r="D30" s="30" t="n">
        <x:v>2019</x:v>
      </x:c>
      <x:c r="E30" s="24" t="str">
        <x:v>Raja clavata</x:v>
      </x:c>
      <x:c r="F30" s="24" t="str">
        <x:v>Thornback ray</x:v>
      </x:c>
      <x:c r="G30" s="24" t="str">
        <x:v>Large rays (&gt;=90 cm)</x:v>
      </x:c>
      <x:c r="H30" s="24" t="str">
        <x:v>Sharks &amp; rays</x:v>
      </x:c>
      <x:c r="I30" s="31" t="n">
        <x:v>322.3947373865</x:v>
      </x:c>
      <x:c r="J30" s="31" t="n">
        <x:v>35.5964668279</x:v>
      </x:c>
      <x:c r="K30" s="31" t="n">
        <x:v>286.7982705586</x:v>
      </x:c>
      <x:c r="L30" s="31" t="n">
        <x:v>5.3</x:v>
      </x:c>
      <x:c r="M30" s="31" t="n">
        <x:v>317.0947373865</x:v>
      </x:c>
      <x:c r="N30" s="24" t="str">
        <x:v>raja clavata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Raja clavata</x:v>
      </x:c>
      <x:c r="T30" s="32" t="n">
        <x:f>IF(O30="","",(1/'Metadata'!$B$5)^(O30-1))</x:f>
        <x:v>691.8309709189363</x:v>
      </x:c>
      <x:c r="U30" s="31" t="n">
        <x:f>IF(T30="","",I30*T30)</x:f>
        <x:v>223042.6641852578</x:v>
      </x:c>
    </x:row>
    <x:row r="31" ht="18" customHeight="1">
      <x:c r="A31" s="24" t="str">
        <x:v>EEZ_966</x:v>
      </x:c>
      <x:c r="B31" s="24" t="str">
        <x:v>Turkey (Marmara Sea)</x:v>
      </x:c>
      <x:c r="C31" s="24" t="str">
        <x:v>EEZ</x:v>
      </x:c>
      <x:c r="D31" s="30" t="n">
        <x:v>2019</x:v>
      </x:c>
      <x:c r="E31" s="24" t="str">
        <x:v>Diplodus sargus</x:v>
      </x:c>
      <x:c r="F31" s="24" t="str">
        <x:v>White seabream</x:v>
      </x:c>
      <x:c r="G31" s="24" t="str">
        <x:v>Medium demersals (30 - 89 cm)</x:v>
      </x:c>
      <x:c r="H31" s="24" t="str">
        <x:v>Perch-likes</x:v>
      </x:c>
      <x:c r="I31" s="31" t="n">
        <x:v>291.149377179</x:v>
      </x:c>
      <x:c r="J31" s="31" t="n">
        <x:v>291.149377179</x:v>
      </x:c>
      <x:c r="K31" s="31" t="n">
        <x:v>0</x:v>
      </x:c>
      <x:c r="L31" s="31" t="n">
        <x:v>0</x:v>
      </x:c>
      <x:c r="M31" s="31" t="n">
        <x:v>291.149377179</x:v>
      </x:c>
      <x:c r="N31" s="24" t="str">
        <x:v>diplodus sargus</x:v>
      </x:c>
      <x:c r="O31" s="32" t="n">
        <x:v>3.38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Diplodus sargus</x:v>
      </x:c>
      <x:c r="T31" s="32" t="n">
        <x:f>IF(O31="","",(1/'Metadata'!$B$5)^(O31-1))</x:f>
        <x:v>239.88329190194898</x:v>
      </x:c>
      <x:c r="U31" s="31" t="n">
        <x:f>IF(T31="","",I31*T31)</x:f>
        <x:v>69841.8710329007</x:v>
      </x:c>
    </x:row>
    <x:row r="32" ht="18" customHeight="1">
      <x:c r="A32" s="24" t="str">
        <x:v>EEZ_966</x:v>
      </x:c>
      <x:c r="B32" s="24" t="str">
        <x:v>Turkey (Marmara Sea)</x:v>
      </x:c>
      <x:c r="C32" s="24" t="str">
        <x:v>EEZ</x:v>
      </x:c>
      <x:c r="D32" s="30" t="n">
        <x:v>2019</x:v>
      </x:c>
      <x:c r="E32" s="24" t="str">
        <x:v>Diplodus annularis</x:v>
      </x:c>
      <x:c r="F32" s="24" t="str">
        <x:v>Annular seabream</x:v>
      </x:c>
      <x:c r="G32" s="24" t="str">
        <x:v>Small benthopelagics (&lt;30 cm)</x:v>
      </x:c>
      <x:c r="H32" s="24" t="str">
        <x:v>Perch-likes</x:v>
      </x:c>
      <x:c r="I32" s="31" t="n">
        <x:v>285.6484259075</x:v>
      </x:c>
      <x:c r="J32" s="31" t="n">
        <x:v>16.9846879214</x:v>
      </x:c>
      <x:c r="K32" s="31" t="n">
        <x:v>268.6637379861</x:v>
      </x:c>
      <x:c r="L32" s="31" t="n">
        <x:v>1.0999999997</x:v>
      </x:c>
      <x:c r="M32" s="31" t="n">
        <x:v>284.5484259078</x:v>
      </x:c>
      <x:c r="N32" s="24" t="str">
        <x:v>diplodus annularis</x:v>
      </x:c>
      <x:c r="O32" s="32" t="n">
        <x:v>3.64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Diplodus annularis</x:v>
      </x:c>
      <x:c r="T32" s="32" t="n">
        <x:f>IF(O32="","",(1/'Metadata'!$B$5)^(O32-1))</x:f>
        <x:v>436.5158322401661</x:v>
      </x:c>
      <x:c r="U32" s="31" t="n">
        <x:f>IF(T32="","",I32*T32)</x:f>
        <x:v>124690.06036310577</x:v>
      </x:c>
    </x:row>
    <x:row r="33" ht="18" customHeight="1">
      <x:c r="A33" s="24" t="str">
        <x:v>EEZ_966</x:v>
      </x:c>
      <x:c r="B33" s="24" t="str">
        <x:v>Turkey (Marmara Sea)</x:v>
      </x:c>
      <x:c r="C33" s="24" t="str">
        <x:v>EEZ</x:v>
      </x:c>
      <x:c r="D33" s="30" t="n">
        <x:v>2019</x:v>
      </x:c>
      <x:c r="E33" s="24" t="str">
        <x:v>Goneplax rhomboides</x:v>
      </x:c>
      <x:c r="F33" s="24" t="str">
        <x:v>Goneplax rhomboides</x:v>
      </x:c>
      <x:c r="G33" s="24" t="str">
        <x:v>Lobsters, crabs</x:v>
      </x:c>
      <x:c r="H33" s="24" t="str">
        <x:v>Crustaceans</x:v>
      </x:c>
      <x:c r="I33" s="31" t="n">
        <x:v>268.2457948802</x:v>
      </x:c>
      <x:c r="J33" s="31" t="n">
        <x:v>0</x:v>
      </x:c>
      <x:c r="K33" s="31" t="n">
        <x:v>268.2457948802</x:v>
      </x:c>
      <x:c r="L33" s="31" t="n">
        <x:v>0</x:v>
      </x:c>
      <x:c r="M33" s="31" t="n">
        <x:v>268.2457948802</x:v>
      </x:c>
      <x:c r="N33" s="24" t="str">
        <x:v>goneplax rhomboides</x:v>
      </x:c>
      <x:c r="O33" s="32" t="n">
        <x:v>2.82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Goneplax rhomboides</x:v>
      </x:c>
      <x:c r="T33" s="32" t="n">
        <x:f>IF(O33="","",(1/'Metadata'!$B$5)^(O33-1))</x:f>
        <x:v>66.06934480075958</x:v>
      </x:c>
      <x:c r="U33" s="31" t="n">
        <x:f>IF(T33="","",I33*T33)</x:f>
        <x:v>17722.82391329376</x:v>
      </x:c>
    </x:row>
    <x:row r="34" ht="18" customHeight="1">
      <x:c r="A34" s="24" t="str">
        <x:v>EEZ_966</x:v>
      </x:c>
      <x:c r="B34" s="24" t="str">
        <x:v>Turkey (Marmara Sea)</x:v>
      </x:c>
      <x:c r="C34" s="24" t="str">
        <x:v>EEZ</x:v>
      </x:c>
      <x:c r="D34" s="30" t="n">
        <x:v>2019</x:v>
      </x:c>
      <x:c r="E34" s="24" t="str">
        <x:v>Pagrus pagrus</x:v>
      </x:c>
      <x:c r="F34" s="24" t="str">
        <x:v>Red porgy</x:v>
      </x:c>
      <x:c r="G34" s="24" t="str">
        <x:v>Medium benthopelagics (30 - 89 cm)</x:v>
      </x:c>
      <x:c r="H34" s="24" t="str">
        <x:v>Perch-likes</x:v>
      </x:c>
      <x:c r="I34" s="31" t="n">
        <x:v>248.4926406166</x:v>
      </x:c>
      <x:c r="J34" s="31" t="n">
        <x:v>248.4848804163</x:v>
      </x:c>
      <x:c r="K34" s="31" t="n">
        <x:v>0.007760200300000001</x:v>
      </x:c>
      <x:c r="L34" s="31" t="n">
        <x:v>0</x:v>
      </x:c>
      <x:c r="M34" s="31" t="n">
        <x:v>248.4926406166</x:v>
      </x:c>
      <x:c r="N34" s="24" t="str">
        <x:v>pagrus pagrus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Pagrus pagrus</x:v>
      </x:c>
      <x:c r="T34" s="32" t="n">
        <x:f>IF(O34="","",(1/'Metadata'!$B$5)^(O34-1))</x:f>
        <x:v>724.4359600749899</x:v>
      </x:c>
      <x:c r="U34" s="31" t="n">
        <x:f>IF(T34="","",I34*T34)</x:f>
        <x:v>180017.00467665604</x:v>
      </x:c>
    </x:row>
    <x:row r="35" ht="18" customHeight="1">
      <x:c r="A35" s="24" t="str">
        <x:v>EEZ_966</x:v>
      </x:c>
      <x:c r="B35" s="24" t="str">
        <x:v>Turkey (Marmara Sea)</x:v>
      </x:c>
      <x:c r="C35" s="24" t="str">
        <x:v>EEZ</x:v>
      </x:c>
      <x:c r="D35" s="30" t="n">
        <x:v>2019</x:v>
      </x:c>
      <x:c r="E35" s="24" t="str">
        <x:v>Auxis rochei</x:v>
      </x:c>
      <x:c r="F35" s="24" t="str">
        <x:v>Bullet tuna</x:v>
      </x:c>
      <x:c r="G35" s="24" t="str">
        <x:v>Medium pelagics (30 - 89 cm)</x:v>
      </x:c>
      <x:c r="H35" s="24" t="str">
        <x:v>Tuna &amp; billfishes</x:v>
      </x:c>
      <x:c r="I35" s="31" t="n">
        <x:v>232.91950172589998</x:v>
      </x:c>
      <x:c r="J35" s="31" t="n">
        <x:v>232.91950172589998</x:v>
      </x:c>
      <x:c r="K35" s="31" t="n">
        <x:v>0</x:v>
      </x:c>
      <x:c r="L35" s="31" t="n">
        <x:v>0</x:v>
      </x:c>
      <x:c r="M35" s="31" t="n">
        <x:v>232.91950172589998</x:v>
      </x:c>
      <x:c r="N35" s="24" t="str">
        <x:v>auxis rochei</x:v>
      </x:c>
      <x:c r="O35" s="32" t="n">
        <x:v>4.13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Auxis rochei</x:v>
      </x:c>
      <x:c r="T35" s="32" t="n">
        <x:f>IF(O35="","",(1/'Metadata'!$B$5)^(O35-1))</x:f>
        <x:v>1348.9628825916532</x:v>
      </x:c>
      <x:c r="U35" s="31" t="n">
        <x:f>IF(T35="","",I35*T35)</x:f>
        <x:v>314199.76245998155</x:v>
      </x:c>
    </x:row>
    <x:row r="36" ht="18" customHeight="1">
      <x:c r="A36" s="24" t="str">
        <x:v>EEZ_966</x:v>
      </x:c>
      <x:c r="B36" s="24" t="str">
        <x:v>Turkey (Marmara Sea)</x:v>
      </x:c>
      <x:c r="C36" s="24" t="str">
        <x:v>EEZ</x:v>
      </x:c>
      <x:c r="D36" s="30" t="n">
        <x:v>2019</x:v>
      </x:c>
      <x:c r="E36" s="24" t="str">
        <x:v>Diplodus puntazzo</x:v>
      </x:c>
      <x:c r="F36" s="24" t="str">
        <x:v>Sharpsnout seabream</x:v>
      </x:c>
      <x:c r="G36" s="24" t="str">
        <x:v>Medium benthopelagics (30 - 89 cm)</x:v>
      </x:c>
      <x:c r="H36" s="24" t="str">
        <x:v>Perch-likes</x:v>
      </x:c>
      <x:c r="I36" s="31" t="n">
        <x:v>227.8207200126</x:v>
      </x:c>
      <x:c r="J36" s="31" t="n">
        <x:v>227.7491008561</x:v>
      </x:c>
      <x:c r="K36" s="31" t="n">
        <x:v>0.0716191565</x:v>
      </x:c>
      <x:c r="L36" s="31" t="n">
        <x:v>0.3</x:v>
      </x:c>
      <x:c r="M36" s="31" t="n">
        <x:v>227.5207200126</x:v>
      </x:c>
      <x:c r="N36" s="24" t="str">
        <x:v>diplodus puntazzo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Diplodus puntazzo</x:v>
      </x:c>
      <x:c r="T36" s="32" t="n">
        <x:f>IF(O36="","",(1/'Metadata'!$B$5)^(O36-1))</x:f>
        <x:v>165.95869074375614</x:v>
      </x:c>
      <x:c r="U36" s="31" t="n">
        <x:f>IF(T36="","",I36*T36)</x:f>
        <x:v>37808.828417590936</x:v>
      </x:c>
    </x:row>
    <x:row r="37" ht="18" customHeight="1">
      <x:c r="A37" s="24" t="str">
        <x:v>EEZ_966</x:v>
      </x:c>
      <x:c r="B37" s="24" t="str">
        <x:v>Turkey (Marmara Sea)</x:v>
      </x:c>
      <x:c r="C37" s="24" t="str">
        <x:v>EEZ</x:v>
      </x:c>
      <x:c r="D37" s="30" t="n">
        <x:v>2019</x:v>
      </x:c>
      <x:c r="E37" s="24" t="str">
        <x:v>Belone belone</x:v>
      </x:c>
      <x:c r="F37" s="24" t="str">
        <x:v>Garfish</x:v>
      </x:c>
      <x:c r="G37" s="24" t="str">
        <x:v>Medium pelagics (30 - 89 cm)</x:v>
      </x:c>
      <x:c r="H37" s="24" t="str">
        <x:v>Other fishes &amp; inverts</x:v>
      </x:c>
      <x:c r="I37" s="31" t="n">
        <x:v>221.2391726639</x:v>
      </x:c>
      <x:c r="J37" s="31" t="n">
        <x:v>210.7618840064</x:v>
      </x:c>
      <x:c r="K37" s="31" t="n">
        <x:v>10.4772886575</x:v>
      </x:c>
      <x:c r="L37" s="31" t="n">
        <x:v>91.4000000002</x:v>
      </x:c>
      <x:c r="M37" s="31" t="n">
        <x:v>129.83917266370003</x:v>
      </x:c>
      <x:c r="N37" s="24" t="str">
        <x:v>belone belone</x:v>
      </x:c>
      <x:c r="O37" s="32" t="n">
        <x:v>4.16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Belone belone</x:v>
      </x:c>
      <x:c r="T37" s="32" t="n">
        <x:f>IF(O37="","",(1/'Metadata'!$B$5)^(O37-1))</x:f>
        <x:v>1445.439770745928</x:v>
      </x:c>
      <x:c r="U37" s="31" t="n">
        <x:f>IF(T37="","",I37*T37)</x:f>
        <x:v>319787.8990153264</x:v>
      </x:c>
    </x:row>
    <x:row r="38" ht="18" customHeight="1">
      <x:c r="A38" s="24" t="str">
        <x:v>EEZ_966</x:v>
      </x:c>
      <x:c r="B38" s="24" t="str">
        <x:v>Turkey (Marmara Sea)</x:v>
      </x:c>
      <x:c r="C38" s="24" t="str">
        <x:v>EEZ</x:v>
      </x:c>
      <x:c r="D38" s="30" t="n">
        <x:v>2019</x:v>
      </x:c>
      <x:c r="E38" s="24" t="str">
        <x:v>Squilla mantis</x:v>
      </x:c>
      <x:c r="F38" s="24" t="str">
        <x:v>Spottail mantis squillid</x:v>
      </x:c>
      <x:c r="G38" s="24" t="str">
        <x:v>Shrimps</x:v>
      </x:c>
      <x:c r="H38" s="24" t="str">
        <x:v>Crustaceans</x:v>
      </x:c>
      <x:c r="I38" s="31" t="n">
        <x:v>214.5966359041</x:v>
      </x:c>
      <x:c r="J38" s="31" t="n">
        <x:v>0</x:v>
      </x:c>
      <x:c r="K38" s="31" t="n">
        <x:v>214.5966359041</x:v>
      </x:c>
      <x:c r="L38" s="31" t="n">
        <x:v>0</x:v>
      </x:c>
      <x:c r="M38" s="31" t="n">
        <x:v>214.5966359041</x:v>
      </x:c>
      <x:c r="N38" s="24" t="str">
        <x:v>squilla mantis</x:v>
      </x:c>
      <x:c r="O38" s="32" t="n">
        <x:v>3.62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Squilla mantis</x:v>
      </x:c>
      <x:c r="T38" s="32" t="n">
        <x:f>IF(O38="","",(1/'Metadata'!$B$5)^(O38-1))</x:f>
        <x:v>416.8693834703355</x:v>
      </x:c>
      <x:c r="U38" s="31" t="n">
        <x:f>IF(T38="","",I38*T38)</x:f>
        <x:v>89458.76730415023</x:v>
      </x:c>
    </x:row>
    <x:row r="39" ht="18" customHeight="1">
      <x:c r="A39" s="24" t="str">
        <x:v>EEZ_966</x:v>
      </x:c>
      <x:c r="B39" s="24" t="str">
        <x:v>Turkey (Marmara Sea)</x:v>
      </x:c>
      <x:c r="C39" s="24" t="str">
        <x:v>EEZ</x:v>
      </x:c>
      <x:c r="D39" s="30" t="n">
        <x:v>2019</x:v>
      </x:c>
      <x:c r="E39" s="24" t="str">
        <x:v>Bolinus brandaris</x:v>
      </x:c>
      <x:c r="F39" s="24" t="str">
        <x:v>Purple dye murex</x:v>
      </x:c>
      <x:c r="G39" s="24" t="str">
        <x:v>Other demersal invertebrates</x:v>
      </x:c>
      <x:c r="H39" s="24" t="str">
        <x:v>Molluscs</x:v>
      </x:c>
      <x:c r="I39" s="31" t="n">
        <x:v>214.5966359041</x:v>
      </x:c>
      <x:c r="J39" s="31" t="n">
        <x:v>0</x:v>
      </x:c>
      <x:c r="K39" s="31" t="n">
        <x:v>214.5966359041</x:v>
      </x:c>
      <x:c r="L39" s="31" t="n">
        <x:v>0</x:v>
      </x:c>
      <x:c r="M39" s="31" t="n">
        <x:v>214.5966359041</x:v>
      </x:c>
      <x:c r="N39" s="24" t="str">
        <x:v>bolinus brandaris</x:v>
      </x:c>
      <x:c r="O39" s="32" t="n">
        <x:v>3.23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Bolinus brandaris</x:v>
      </x:c>
      <x:c r="T39" s="32" t="n">
        <x:f>IF(O39="","",(1/'Metadata'!$B$5)^(O39-1))</x:f>
        <x:v>169.82436524617444</x:v>
      </x:c>
      <x:c r="U39" s="31" t="n">
        <x:f>IF(T39="","",I39*T39)</x:f>
        <x:v>36443.73747637819</x:v>
      </x:c>
    </x:row>
    <x:row r="40" ht="18" customHeight="1">
      <x:c r="A40" s="24" t="str">
        <x:v>EEZ_966</x:v>
      </x:c>
      <x:c r="B40" s="24" t="str">
        <x:v>Turkey (Marmara Sea)</x:v>
      </x:c>
      <x:c r="C40" s="24" t="str">
        <x:v>EEZ</x:v>
      </x:c>
      <x:c r="D40" s="30" t="n">
        <x:v>2019</x:v>
      </x:c>
      <x:c r="E40" s="24" t="str">
        <x:v>Lichia amia</x:v>
      </x:c>
      <x:c r="F40" s="24" t="str">
        <x:v>Leerfish</x:v>
      </x:c>
      <x:c r="G40" s="24" t="str">
        <x:v>Large pelagics (&gt;=90 cm)</x:v>
      </x:c>
      <x:c r="H40" s="24" t="str">
        <x:v>Perch-likes</x:v>
      </x:c>
      <x:c r="I40" s="31" t="n">
        <x:v>200.35503645620003</x:v>
      </x:c>
      <x:c r="J40" s="31" t="n">
        <x:v>200.2797818049</x:v>
      </x:c>
      <x:c r="K40" s="31" t="n">
        <x:v>0.0752546513</x:v>
      </x:c>
      <x:c r="L40" s="31" t="n">
        <x:v>0</x:v>
      </x:c>
      <x:c r="M40" s="31" t="n">
        <x:v>200.35503645620003</x:v>
      </x:c>
      <x:c r="N40" s="24" t="str">
        <x:v>lichia amia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Lichia amia</x:v>
      </x:c>
      <x:c r="T40" s="32" t="n">
        <x:f>IF(O40="","",(1/'Metadata'!$B$5)^(O40-1))</x:f>
        <x:v>3162.2776601683795</x:v>
      </x:c>
      <x:c r="U40" s="31" t="n">
        <x:f>IF(T40="","",I40*T40)</x:f>
        <x:v>633578.2558876626</x:v>
      </x:c>
    </x:row>
    <x:row r="41" ht="18" customHeight="1">
      <x:c r="A41" s="24" t="str">
        <x:v>EEZ_966</x:v>
      </x:c>
      <x:c r="B41" s="24" t="str">
        <x:v>Turkey (Marmara Sea)</x:v>
      </x:c>
      <x:c r="C41" s="24" t="str">
        <x:v>EEZ</x:v>
      </x:c>
      <x:c r="D41" s="30" t="n">
        <x:v>2019</x:v>
      </x:c>
      <x:c r="E41" s="24" t="str">
        <x:v>Octopus vulgaris</x:v>
      </x:c>
      <x:c r="F41" s="24" t="str">
        <x:v>Common octopus</x:v>
      </x:c>
      <x:c r="G41" s="24" t="str">
        <x:v>Cephalopods</x:v>
      </x:c>
      <x:c r="H41" s="24" t="str">
        <x:v>Other fishes &amp; inverts</x:v>
      </x:c>
      <x:c r="I41" s="31" t="n">
        <x:v>186.5038071672</x:v>
      </x:c>
      <x:c r="J41" s="31" t="n">
        <x:v>186.46314682</x:v>
      </x:c>
      <x:c r="K41" s="31" t="n">
        <x:v>0.0406603472</x:v>
      </x:c>
      <x:c r="L41" s="31" t="n">
        <x:v>1.905164701</x:v>
      </x:c>
      <x:c r="M41" s="31" t="n">
        <x:v>184.5986424662</x:v>
      </x:c>
      <x:c r="N41" s="24" t="str">
        <x:v>octopus vulgaris</x:v>
      </x:c>
      <x:c r="O41" s="32" t="n">
        <x:v>3.6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Octopus vulgaris</x:v>
      </x:c>
      <x:c r="T41" s="32" t="n">
        <x:f>IF(O41="","",(1/'Metadata'!$B$5)^(O41-1))</x:f>
        <x:v>398.1071705534973</x:v>
      </x:c>
      <x:c r="U41" s="31" t="n">
        <x:f>IF(T41="","",I41*T41)</x:f>
        <x:v>74248.50296878906</x:v>
      </x:c>
    </x:row>
    <x:row r="42" ht="18" customHeight="1">
      <x:c r="A42" s="24" t="str">
        <x:v>EEZ_966</x:v>
      </x:c>
      <x:c r="B42" s="24" t="str">
        <x:v>Turkey (Marmara Sea)</x:v>
      </x:c>
      <x:c r="C42" s="24" t="str">
        <x:v>EEZ</x:v>
      </x:c>
      <x:c r="D42" s="30" t="n">
        <x:v>2019</x:v>
      </x:c>
      <x:c r="E42" s="24" t="str">
        <x:v>Dentex dentex</x:v>
      </x:c>
      <x:c r="F42" s="24" t="str">
        <x:v>Common dentex</x:v>
      </x:c>
      <x:c r="G42" s="24" t="str">
        <x:v>Large benthopelagics (&gt;=90 cm)</x:v>
      </x:c>
      <x:c r="H42" s="24" t="str">
        <x:v>Perch-likes</x:v>
      </x:c>
      <x:c r="I42" s="31" t="n">
        <x:v>183.0344230218</x:v>
      </x:c>
      <x:c r="J42" s="31" t="n">
        <x:v>182.8996622958</x:v>
      </x:c>
      <x:c r="K42" s="31" t="n">
        <x:v>0.134760726</x:v>
      </x:c>
      <x:c r="L42" s="31" t="n">
        <x:v>1.7</x:v>
      </x:c>
      <x:c r="M42" s="31" t="n">
        <x:v>181.3344230218</x:v>
      </x:c>
      <x:c r="N42" s="24" t="str">
        <x:v>dentex dentex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Dentex dentex</x:v>
      </x:c>
      <x:c r="T42" s="32" t="n">
        <x:f>IF(O42="","",(1/'Metadata'!$B$5)^(O42-1))</x:f>
        <x:v>3388.4415613920273</x:v>
      </x:c>
      <x:c r="U42" s="31" t="n">
        <x:f>IF(T42="","",I42*T42)</x:f>
        <x:v>620201.4461324768</x:v>
      </x:c>
    </x:row>
    <x:row r="43" ht="18" customHeight="1">
      <x:c r="A43" s="24" t="str">
        <x:v>EEZ_966</x:v>
      </x:c>
      <x:c r="B43" s="24" t="str">
        <x:v>Turkey (Marmara Sea)</x:v>
      </x:c>
      <x:c r="C43" s="24" t="str">
        <x:v>EEZ</x:v>
      </x:c>
      <x:c r="D43" s="30" t="n">
        <x:v>2019</x:v>
      </x:c>
      <x:c r="E43" s="24" t="str">
        <x:v>Mullus surmuletus</x:v>
      </x:c>
      <x:c r="F43" s="24" t="str">
        <x:v>Surmullet</x:v>
      </x:c>
      <x:c r="G43" s="24" t="str">
        <x:v>Medium demersals (30 - 89 cm)</x:v>
      </x:c>
      <x:c r="H43" s="24" t="str">
        <x:v>Perch-likes</x:v>
      </x:c>
      <x:c r="I43" s="31" t="n">
        <x:v>167.4165584485</x:v>
      </x:c>
      <x:c r="J43" s="31" t="n">
        <x:v>149.0094618682</x:v>
      </x:c>
      <x:c r="K43" s="31" t="n">
        <x:v>18.4070965803</x:v>
      </x:c>
      <x:c r="L43" s="31" t="n">
        <x:v>87.0000000001</x:v>
      </x:c>
      <x:c r="M43" s="31" t="n">
        <x:v>80.4165584484</x:v>
      </x:c>
      <x:c r="N43" s="24" t="str">
        <x:v>mullus surmuletus</x:v>
      </x:c>
      <x:c r="O43" s="32" t="n">
        <x:v>3.45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Mullus surmuletus</x:v>
      </x:c>
      <x:c r="T43" s="32" t="n">
        <x:f>IF(O43="","",(1/'Metadata'!$B$5)^(O43-1))</x:f>
        <x:v>281.8382931264455</x:v>
      </x:c>
      <x:c r="U43" s="31" t="n">
        <x:f>IF(T43="","",I43*T43)</x:f>
        <x:v>47184.39707422904</x:v>
      </x:c>
    </x:row>
    <x:row r="44" ht="18" customHeight="1">
      <x:c r="A44" s="24" t="str">
        <x:v>EEZ_966</x:v>
      </x:c>
      <x:c r="B44" s="24" t="str">
        <x:v>Turkey (Marmara Sea)</x:v>
      </x:c>
      <x:c r="C44" s="24" t="str">
        <x:v>EEZ</x:v>
      </x:c>
      <x:c r="D44" s="30" t="n">
        <x:v>2019</x:v>
      </x:c>
      <x:c r="E44" s="24" t="str">
        <x:v>Mugil</x:v>
      </x:c>
      <x:c r="F44" s="24" t="str">
        <x:v>Grey mullets</x:v>
      </x:c>
      <x:c r="G44" s="24" t="str">
        <x:v>Medium demersals (30 - 89 cm)</x:v>
      </x:c>
      <x:c r="H44" s="24" t="str">
        <x:v>Perch-likes</x:v>
      </x:c>
      <x:c r="I44" s="31" t="n">
        <x:v>112.3696510214</x:v>
      </x:c>
      <x:c r="J44" s="31" t="n">
        <x:v>105.7682534816</x:v>
      </x:c>
      <x:c r="K44" s="31" t="n">
        <x:v>6.6013975398</x:v>
      </x:c>
      <x:c r="L44" s="31" t="n">
        <x:v>77.1000000001</x:v>
      </x:c>
      <x:c r="M44" s="31" t="n">
        <x:v>35.2696510213</x:v>
      </x:c>
      <x:c r="N44" s="24" t="str">
        <x:v>mugil</x:v>
      </x:c>
      <x:c r="O44" s="32" t="n">
        <x:v>2.26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</x:v>
      </x:c>
      <x:c r="T44" s="32" t="n">
        <x:f>IF(O44="","",(1/'Metadata'!$B$5)^(O44-1))</x:f>
        <x:v>18.197008586099827</x:v>
      </x:c>
      <x:c r="U44" s="31" t="n">
        <x:f>IF(T44="","",I44*T44)</x:f>
        <x:v>2044.791504453457</x:v>
      </x:c>
    </x:row>
    <x:row r="45" ht="18" customHeight="1">
      <x:c r="A45" s="24" t="str">
        <x:v>EEZ_966</x:v>
      </x:c>
      <x:c r="B45" s="24" t="str">
        <x:v>Turkey (Marmara Sea)</x:v>
      </x:c>
      <x:c r="C45" s="24" t="str">
        <x:v>EEZ</x:v>
      </x:c>
      <x:c r="D45" s="30" t="n">
        <x:v>2019</x:v>
      </x:c>
      <x:c r="E45" s="24" t="str">
        <x:v>Boops boops</x:v>
      </x:c>
      <x:c r="F45" s="24" t="str">
        <x:v>Bogue</x:v>
      </x:c>
      <x:c r="G45" s="24" t="str">
        <x:v>Medium demersals (30 - 89 cm)</x:v>
      </x:c>
      <x:c r="H45" s="24" t="str">
        <x:v>Perch-likes</x:v>
      </x:c>
      <x:c r="I45" s="31" t="n">
        <x:v>103.6924023091</x:v>
      </x:c>
      <x:c r="J45" s="31" t="n">
        <x:v>101.1395534179</x:v>
      </x:c>
      <x:c r="K45" s="31" t="n">
        <x:v>2.5528488912</x:v>
      </x:c>
      <x:c r="L45" s="31" t="n">
        <x:v>76.1</x:v>
      </x:c>
      <x:c r="M45" s="31" t="n">
        <x:v>27.592402309100002</x:v>
      </x:c>
      <x:c r="N45" s="24" t="str">
        <x:v>boops boops</x:v>
      </x:c>
      <x:c r="O45" s="32" t="n">
        <x:v>2.79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Boops boops</x:v>
      </x:c>
      <x:c r="T45" s="32" t="n">
        <x:f>IF(O45="","",(1/'Metadata'!$B$5)^(O45-1))</x:f>
        <x:v>61.65950018614822</x:v>
      </x:c>
      <x:c r="U45" s="31" t="n">
        <x:f>IF(T45="","",I45*T45)</x:f>
        <x:v>6393.621699480108</x:v>
      </x:c>
    </x:row>
    <x:row r="46" ht="18" customHeight="1">
      <x:c r="A46" s="24" t="str">
        <x:v>EEZ_966</x:v>
      </x:c>
      <x:c r="B46" s="24" t="str">
        <x:v>Turkey (Marmara Sea)</x:v>
      </x:c>
      <x:c r="C46" s="24" t="str">
        <x:v>EEZ</x:v>
      </x:c>
      <x:c r="D46" s="30" t="n">
        <x:v>2019</x:v>
      </x:c>
      <x:c r="E46" s="24" t="str">
        <x:v>Epinephelus marginatus</x:v>
      </x:c>
      <x:c r="F46" s="24" t="str">
        <x:v>Dusky grouper</x:v>
      </x:c>
      <x:c r="G46" s="24" t="str">
        <x:v>Large reef assoc. fish (&gt;=90 cm)</x:v>
      </x:c>
      <x:c r="H46" s="24" t="str">
        <x:v>Perch-likes</x:v>
      </x:c>
      <x:c r="I46" s="31" t="n">
        <x:v>93.1678006977</x:v>
      </x:c>
      <x:c r="J46" s="31" t="n">
        <x:v>93.1678006977</x:v>
      </x:c>
      <x:c r="K46" s="31" t="n">
        <x:v>0</x:v>
      </x:c>
      <x:c r="L46" s="31" t="n">
        <x:v>0</x:v>
      </x:c>
      <x:c r="M46" s="31" t="n">
        <x:v>93.1678006977</x:v>
      </x:c>
      <x:c r="N46" s="24" t="str">
        <x:v>epinephelus marginatus</x:v>
      </x:c>
      <x:c r="O46" s="32" t="n">
        <x:v>4.43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Epinephelus marginatus</x:v>
      </x:c>
      <x:c r="T46" s="32" t="n">
        <x:f>IF(O46="","",(1/'Metadata'!$B$5)^(O46-1))</x:f>
        <x:v>2691.534803926914</x:v>
      </x:c>
      <x:c r="U46" s="31" t="n">
        <x:f>IF(T46="","",I46*T46)</x:f>
        <x:v>250764.37818318576</x:v>
      </x:c>
    </x:row>
    <x:row r="47" ht="18" customHeight="1">
      <x:c r="A47" s="24" t="str">
        <x:v>EEZ_966</x:v>
      </x:c>
      <x:c r="B47" s="24" t="str">
        <x:v>Turkey (Marmara Sea)</x:v>
      </x:c>
      <x:c r="C47" s="24" t="str">
        <x:v>EEZ</x:v>
      </x:c>
      <x:c r="D47" s="30" t="n">
        <x:v>2019</x:v>
      </x:c>
      <x:c r="E47" s="24" t="str">
        <x:v>Merlucciidae</x:v>
      </x:c>
      <x:c r="F47" s="24" t="str">
        <x:v>Merluccid hakes</x:v>
      </x:c>
      <x:c r="G47" s="24" t="str">
        <x:v>Large bathydemersals (&gt;=90 cm)</x:v>
      </x:c>
      <x:c r="H47" s="24" t="str">
        <x:v>Cod-likes</x:v>
      </x:c>
      <x:c r="I47" s="31" t="n">
        <x:v>88.10000000000001</x:v>
      </x:c>
      <x:c r="J47" s="31" t="n">
        <x:v>88.10000000000001</x:v>
      </x:c>
      <x:c r="K47" s="31" t="n">
        <x:v>0</x:v>
      </x:c>
      <x:c r="L47" s="31" t="n">
        <x:v>88.10000000000001</x:v>
      </x:c>
      <x:c r="M47" s="31" t="n">
        <x:v>0</x:v>
      </x:c>
      <x:c r="N47" s="24" t="str">
        <x:v>merlucciidae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Merlucciidae</x:v>
      </x:c>
      <x:c r="T47" s="32" t="n">
        <x:f>IF(O47="","",(1/'Metadata'!$B$5)^(O47-1))</x:f>
        <x:v>2238.7211385683377</x:v>
      </x:c>
      <x:c r="U47" s="31" t="n">
        <x:f>IF(T47="","",I47*T47)</x:f>
        <x:v>197231.33230787056</x:v>
      </x:c>
    </x:row>
    <x:row r="48" ht="18" customHeight="1">
      <x:c r="A48" s="24" t="str">
        <x:v>EEZ_966</x:v>
      </x:c>
      <x:c r="B48" s="24" t="str">
        <x:v>Turkey (Marmara Sea)</x:v>
      </x:c>
      <x:c r="C48" s="24" t="str">
        <x:v>EEZ</x:v>
      </x:c>
      <x:c r="D48" s="30" t="n">
        <x:v>2019</x:v>
      </x:c>
      <x:c r="E48" s="24" t="str">
        <x:v>Sardinella</x:v>
      </x:c>
      <x:c r="F48" s="24" t="str">
        <x:v>Sardinellas</x:v>
      </x:c>
      <x:c r="G48" s="24" t="str">
        <x:v>Small pelagics (&lt;30 cm)</x:v>
      </x:c>
      <x:c r="H48" s="24" t="str">
        <x:v>Herring-likes</x:v>
      </x:c>
      <x:c r="I48" s="31" t="n">
        <x:v>87.34481315320001</x:v>
      </x:c>
      <x:c r="J48" s="31" t="n">
        <x:v>87.34481315320001</x:v>
      </x:c>
      <x:c r="K48" s="31" t="n">
        <x:v>0</x:v>
      </x:c>
      <x:c r="L48" s="31" t="n">
        <x:v>0</x:v>
      </x:c>
      <x:c r="M48" s="31" t="n">
        <x:v>87.34481315320001</x:v>
      </x:c>
      <x:c r="N48" s="24" t="str">
        <x:v>sardinella</x:v>
      </x:c>
      <x:c r="O48" s="32" t="n">
        <x:v>2.77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Sardinella</x:v>
      </x:c>
      <x:c r="T48" s="32" t="n">
        <x:f>IF(O48="","",(1/'Metadata'!$B$5)^(O48-1))</x:f>
        <x:v>58.8843655355589</x:v>
      </x:c>
      <x:c r="U48" s="31" t="n">
        <x:f>IF(T48="","",I48*T48)</x:f>
        <x:v>5143.243905348122</x:v>
      </x:c>
    </x:row>
    <x:row r="49" ht="18" customHeight="1">
      <x:c r="A49" s="24" t="str">
        <x:v>EEZ_966</x:v>
      </x:c>
      <x:c r="B49" s="24" t="str">
        <x:v>Turkey (Marmara Sea)</x:v>
      </x:c>
      <x:c r="C49" s="24" t="str">
        <x:v>EEZ</x:v>
      </x:c>
      <x:c r="D49" s="30" t="n">
        <x:v>2019</x:v>
      </x:c>
      <x:c r="E49" s="24" t="str">
        <x:v>Scorpaena porcus</x:v>
      </x:c>
      <x:c r="F49" s="24" t="str">
        <x:v>Black scorpionfish</x:v>
      </x:c>
      <x:c r="G49" s="24" t="str">
        <x:v>Small demersals (&lt;30 cm)</x:v>
      </x:c>
      <x:c r="H49" s="24" t="str">
        <x:v>Scorpionfishes</x:v>
      </x:c>
      <x:c r="I49" s="31" t="n">
        <x:v>86.7287244787</x:v>
      </x:c>
      <x:c r="J49" s="31" t="n">
        <x:v>26.0925119533</x:v>
      </x:c>
      <x:c r="K49" s="31" t="n">
        <x:v>60.636212525400005</x:v>
      </x:c>
      <x:c r="L49" s="31" t="n">
        <x:v>19.200000000000003</x:v>
      </x:c>
      <x:c r="M49" s="31" t="n">
        <x:v>67.5287244787</x:v>
      </x:c>
      <x:c r="N49" s="24" t="str">
        <x:v>scorpaena porcus</x:v>
      </x:c>
      <x:c r="O49" s="32" t="n">
        <x:v>3.92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Scorpaena porcus</x:v>
      </x:c>
      <x:c r="T49" s="32" t="n">
        <x:f>IF(O49="","",(1/'Metadata'!$B$5)^(O49-1))</x:f>
        <x:v>831.7637711026708</x:v>
      </x:c>
      <x:c r="U49" s="31" t="n">
        <x:f>IF(T49="","",I49*T49)</x:f>
        <x:v>72137.81093532803</x:v>
      </x:c>
    </x:row>
    <x:row r="50" ht="18" customHeight="1">
      <x:c r="A50" s="24" t="str">
        <x:v>EEZ_966</x:v>
      </x:c>
      <x:c r="B50" s="24" t="str">
        <x:v>Turkey (Marmara Sea)</x:v>
      </x:c>
      <x:c r="C50" s="24" t="str">
        <x:v>EEZ</x:v>
      </x:c>
      <x:c r="D50" s="30" t="n">
        <x:v>2019</x:v>
      </x:c>
      <x:c r="E50" s="24" t="str">
        <x:v>Lophius piscatorius</x:v>
      </x:c>
      <x:c r="F50" s="24" t="str">
        <x:v>Angler</x:v>
      </x:c>
      <x:c r="G50" s="24" t="str">
        <x:v>Large bathydemersals (&gt;=90 cm)</x:v>
      </x:c>
      <x:c r="H50" s="24" t="str">
        <x:v>Other fishes &amp; inverts</x:v>
      </x:c>
      <x:c r="I50" s="31" t="n">
        <x:v>72.7064557486</x:v>
      </x:c>
      <x:c r="J50" s="31" t="n">
        <x:v>67.0221832694</x:v>
      </x:c>
      <x:c r="K50" s="31" t="n">
        <x:v>5.6842724792</x:v>
      </x:c>
      <x:c r="L50" s="31" t="n">
        <x:v>43.3999999998</x:v>
      </x:c>
      <x:c r="M50" s="31" t="n">
        <x:v>29.3064557488</x:v>
      </x:c>
      <x:c r="N50" s="24" t="str">
        <x:v>lophius piscatorius</x:v>
      </x:c>
      <x:c r="O50" s="32" t="n">
        <x:v>4.45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Lophius piscatorius</x:v>
      </x:c>
      <x:c r="T50" s="32" t="n">
        <x:f>IF(O50="","",(1/'Metadata'!$B$5)^(O50-1))</x:f>
        <x:v>2818.382931264455</x:v>
      </x:c>
      <x:c r="U50" s="31" t="n">
        <x:f>IF(T50="","",I50*T50)</x:f>
        <x:v>204914.63387458865</x:v>
      </x:c>
    </x:row>
    <x:row r="51" ht="18" customHeight="1">
      <x:c r="A51" s="24" t="str">
        <x:v>EEZ_966</x:v>
      </x:c>
      <x:c r="B51" s="24" t="str">
        <x:v>Turkey (Marmara Sea)</x:v>
      </x:c>
      <x:c r="C51" s="24" t="str">
        <x:v>EEZ</x:v>
      </x:c>
      <x:c r="D51" s="30" t="n">
        <x:v>2019</x:v>
      </x:c>
      <x:c r="E51" s="24" t="str">
        <x:v>Trigla</x:v>
      </x:c>
      <x:c r="F51" s="24" t="str">
        <x:v>Piper gurnards</x:v>
      </x:c>
      <x:c r="G51" s="24" t="str">
        <x:v>Medium bathydemersals (30 - 89 cm)</x:v>
      </x:c>
      <x:c r="H51" s="24" t="str">
        <x:v>Scorpionfishes</x:v>
      </x:c>
      <x:c r="I51" s="31" t="n">
        <x:v>65.78934479910001</x:v>
      </x:c>
      <x:c r="J51" s="31" t="n">
        <x:v>64.6155635158</x:v>
      </x:c>
      <x:c r="K51" s="31" t="n">
        <x:v>1.1737812833</x:v>
      </x:c>
      <x:c r="L51" s="31" t="n">
        <x:v>28.6</x:v>
      </x:c>
      <x:c r="M51" s="31" t="n">
        <x:v>37.1893447991</x:v>
      </x:c>
      <x:c r="N51" s="24" t="str">
        <x:v>trigla</x:v>
      </x:c>
      <x:c r="O51" s="32" t="n">
        <x:v>3.51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Trigla</x:v>
      </x:c>
      <x:c r="T51" s="32" t="n">
        <x:f>IF(O51="","",(1/'Metadata'!$B$5)^(O51-1))</x:f>
        <x:v>323.5936569296281</x:v>
      </x:c>
      <x:c r="U51" s="31" t="n">
        <x:f>IF(T51="","",I51*T51)</x:f>
        <x:v>21289.01467054498</x:v>
      </x:c>
    </x:row>
    <x:row r="52" ht="18" customHeight="1">
      <x:c r="A52" s="24" t="str">
        <x:v>EEZ_966</x:v>
      </x:c>
      <x:c r="B52" s="24" t="str">
        <x:v>Turkey (Marmara Sea)</x:v>
      </x:c>
      <x:c r="C52" s="24" t="str">
        <x:v>EEZ</x:v>
      </x:c>
      <x:c r="D52" s="30" t="n">
        <x:v>2019</x:v>
      </x:c>
      <x:c r="E52" s="24" t="str">
        <x:v>Solea solea</x:v>
      </x:c>
      <x:c r="F52" s="24" t="str">
        <x:v>Common sole</x:v>
      </x:c>
      <x:c r="G52" s="24" t="str">
        <x:v>Small to medium flatfishes (&lt;90 cm)</x:v>
      </x:c>
      <x:c r="H52" s="24" t="str">
        <x:v>Flatfishes</x:v>
      </x:c>
      <x:c r="I52" s="31" t="n">
        <x:v>59.8695991334</x:v>
      </x:c>
      <x:c r="J52" s="31" t="n">
        <x:v>59.7497577419</x:v>
      </x:c>
      <x:c r="K52" s="31" t="n">
        <x:v>0.1198413915</x:v>
      </x:c>
      <x:c r="L52" s="31" t="n">
        <x:v>59.0000000002</x:v>
      </x:c>
      <x:c r="M52" s="31" t="n">
        <x:v>0.8695991332</x:v>
      </x:c>
      <x:c r="N52" s="24" t="str">
        <x:v>solea solea</x:v>
      </x:c>
      <x:c r="O52" s="32" t="n">
        <x:v>3.21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Solea solea</x:v>
      </x:c>
      <x:c r="T52" s="32" t="n">
        <x:f>IF(O52="","",(1/'Metadata'!$B$5)^(O52-1))</x:f>
        <x:v>162.18100973589299</x:v>
      </x:c>
      <x:c r="U52" s="31" t="n">
        <x:f>IF(T52="","",I52*T52)</x:f>
        <x:v>9709.712039937956</x:v>
      </x:c>
    </x:row>
    <x:row r="53" ht="18" customHeight="1">
      <x:c r="A53" s="24" t="str">
        <x:v>EEZ_966</x:v>
      </x:c>
      <x:c r="B53" s="24" t="str">
        <x:v>Turkey (Marmara Sea)</x:v>
      </x:c>
      <x:c r="C53" s="24" t="str">
        <x:v>EEZ</x:v>
      </x:c>
      <x:c r="D53" s="30" t="n">
        <x:v>2019</x:v>
      </x:c>
      <x:c r="E53" s="24" t="str">
        <x:v>Squatinidae</x:v>
      </x:c>
      <x:c r="F53" s="24" t="str">
        <x:v>Angel sharks</x:v>
      </x:c>
      <x:c r="G53" s="24" t="str">
        <x:v>Large sharks (&gt;=90 cm)</x:v>
      </x:c>
      <x:c r="H53" s="24" t="str">
        <x:v>Sharks &amp; rays</x:v>
      </x:c>
      <x:c r="I53" s="31" t="n">
        <x:v>58.2298754381</x:v>
      </x:c>
      <x:c r="J53" s="31" t="n">
        <x:v>58.2298754381</x:v>
      </x:c>
      <x:c r="K53" s="31" t="n">
        <x:v>0</x:v>
      </x:c>
      <x:c r="L53" s="31" t="n">
        <x:v>0</x:v>
      </x:c>
      <x:c r="M53" s="31" t="n">
        <x:v>58.2298754381</x:v>
      </x:c>
      <x:c r="N53" s="24" t="str">
        <x:v>squatinidae</x:v>
      </x:c>
      <x:c r="O53" s="32" t="n">
        <x:v>4.13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Squatinidae</x:v>
      </x:c>
      <x:c r="T53" s="32" t="n">
        <x:f>IF(O53="","",(1/'Metadata'!$B$5)^(O53-1))</x:f>
        <x:v>1348.9628825916532</x:v>
      </x:c>
      <x:c r="U53" s="31" t="n">
        <x:f>IF(T53="","",I53*T53)</x:f>
        <x:v>78549.94062393229</x:v>
      </x:c>
    </x:row>
    <x:row r="54" ht="18" customHeight="1">
      <x:c r="A54" s="24" t="str">
        <x:v>EEZ_966</x:v>
      </x:c>
      <x:c r="B54" s="24" t="str">
        <x:v>Turkey (Marmara Sea)</x:v>
      </x:c>
      <x:c r="C54" s="24" t="str">
        <x:v>EEZ</x:v>
      </x:c>
      <x:c r="D54" s="30" t="n">
        <x:v>2019</x:v>
      </x:c>
      <x:c r="E54" s="24" t="str">
        <x:v>Lithognathus mormyrus</x:v>
      </x:c>
      <x:c r="F54" s="24" t="str">
        <x:v>Sand steenbras</x:v>
      </x:c>
      <x:c r="G54" s="24" t="str">
        <x:v>Medium benthopelagics (30 - 89 cm)</x:v>
      </x:c>
      <x:c r="H54" s="24" t="str">
        <x:v>Perch-likes</x:v>
      </x:c>
      <x:c r="I54" s="31" t="n">
        <x:v>53.5714853976</x:v>
      </x:c>
      <x:c r="J54" s="31" t="n">
        <x:v>53.5714853976</x:v>
      </x:c>
      <x:c r="K54" s="31" t="n">
        <x:v>0</x:v>
      </x:c>
      <x:c r="L54" s="31" t="n">
        <x:v>0</x:v>
      </x:c>
      <x:c r="M54" s="31" t="n">
        <x:v>53.5714853976</x:v>
      </x:c>
      <x:c r="N54" s="24" t="str">
        <x:v>lithognathus mormyrus</x:v>
      </x:c>
      <x:c r="O54" s="32" t="n">
        <x:v>3.42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Lithognathus mormyrus</x:v>
      </x:c>
      <x:c r="T54" s="32" t="n">
        <x:f>IF(O54="","",(1/'Metadata'!$B$5)^(O54-1))</x:f>
        <x:v>263.02679918953817</x:v>
      </x:c>
      <x:c r="U54" s="31" t="n">
        <x:f>IF(T54="","",I54*T54)</x:f>
        <x:v>14090.736331959812</x:v>
      </x:c>
    </x:row>
    <x:row r="55" ht="18" customHeight="1">
      <x:c r="A55" s="24" t="str">
        <x:v>EEZ_966</x:v>
      </x:c>
      <x:c r="B55" s="24" t="str">
        <x:v>Turkey (Marmara Sea)</x:v>
      </x:c>
      <x:c r="C55" s="24" t="str">
        <x:v>EEZ</x:v>
      </x:c>
      <x:c r="D55" s="30" t="n">
        <x:v>2019</x:v>
      </x:c>
      <x:c r="E55" s="24" t="str">
        <x:v>Atherinidae</x:v>
      </x:c>
      <x:c r="F55" s="24" t="str">
        <x:v>Silversides</x:v>
      </x:c>
      <x:c r="G55" s="24" t="str">
        <x:v>Small pelagics (&lt;30 cm)</x:v>
      </x:c>
      <x:c r="H55" s="24" t="str">
        <x:v>Other fishes &amp; inverts</x:v>
      </x:c>
      <x:c r="I55" s="31" t="n">
        <x:v>50.6170882664</x:v>
      </x:c>
      <x:c r="J55" s="31" t="n">
        <x:v>47.0650023872</x:v>
      </x:c>
      <x:c r="K55" s="31" t="n">
        <x:v>3.5520858792</x:v>
      </x:c>
      <x:c r="L55" s="31" t="n">
        <x:v>32.6</x:v>
      </x:c>
      <x:c r="M55" s="31" t="n">
        <x:v>18.017088266400002</x:v>
      </x:c>
      <x:c r="N55" s="24" t="str">
        <x:v>atherinidae</x:v>
      </x:c>
      <x:c r="O55" s="32" t="n">
        <x:v>3.2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Atherinidae</x:v>
      </x:c>
      <x:c r="T55" s="32" t="n">
        <x:f>IF(O55="","",(1/'Metadata'!$B$5)^(O55-1))</x:f>
        <x:v>158.48931924611142</x:v>
      </x:c>
      <x:c r="U55" s="31" t="n">
        <x:f>IF(T55="","",I55*T55)</x:f>
        <x:v>8022.267861562071</x:v>
      </x:c>
    </x:row>
    <x:row r="56" ht="18" customHeight="1">
      <x:c r="A56" s="24" t="str">
        <x:v>EEZ_966</x:v>
      </x:c>
      <x:c r="B56" s="24" t="str">
        <x:v>Turkey (Marmara Sea)</x:v>
      </x:c>
      <x:c r="C56" s="24" t="str">
        <x:v>EEZ</x:v>
      </x:c>
      <x:c r="D56" s="30" t="n">
        <x:v>2019</x:v>
      </x:c>
      <x:c r="E56" s="24" t="str">
        <x:v>Atherina boyeri</x:v>
      </x:c>
      <x:c r="F56" s="24" t="str">
        <x:v>Big-scale sand smelt</x:v>
      </x:c>
      <x:c r="G56" s="24" t="str">
        <x:v>Small demersals (&lt;30 cm)</x:v>
      </x:c>
      <x:c r="H56" s="24" t="str">
        <x:v>Other fishes &amp; inverts</x:v>
      </x:c>
      <x:c r="I56" s="31" t="n">
        <x:v>50.465892039500005</x:v>
      </x:c>
      <x:c r="J56" s="31" t="n">
        <x:v>50.465892039500005</x:v>
      </x:c>
      <x:c r="K56" s="31" t="n">
        <x:v>0</x:v>
      </x:c>
      <x:c r="L56" s="31" t="n">
        <x:v>0</x:v>
      </x:c>
      <x:c r="M56" s="31" t="n">
        <x:v>50.465892039500005</x:v>
      </x:c>
      <x:c r="N56" s="24" t="str">
        <x:v>atherina boyeri</x:v>
      </x:c>
      <x:c r="O56" s="32" t="n">
        <x:v>3.22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Atherina boyeri</x:v>
      </x:c>
      <x:c r="T56" s="32" t="n">
        <x:f>IF(O56="","",(1/'Metadata'!$B$5)^(O56-1))</x:f>
        <x:v>165.95869074375614</x:v>
      </x:c>
      <x:c r="U56" s="31" t="n">
        <x:f>IF(T56="","",I56*T56)</x:f>
        <x:v>8375.253370091166</x:v>
      </x:c>
    </x:row>
    <x:row r="57" ht="18" customHeight="1">
      <x:c r="A57" s="24" t="str">
        <x:v>EEZ_966</x:v>
      </x:c>
      <x:c r="B57" s="24" t="str">
        <x:v>Turkey (Marmara Sea)</x:v>
      </x:c>
      <x:c r="C57" s="24" t="str">
        <x:v>EEZ</x:v>
      </x:c>
      <x:c r="D57" s="30" t="n">
        <x:v>2019</x:v>
      </x:c>
      <x:c r="E57" s="24" t="str">
        <x:v>Oblada melanurus</x:v>
      </x:c>
      <x:c r="F57" s="24" t="str">
        <x:v>Saddled seabream</x:v>
      </x:c>
      <x:c r="G57" s="24" t="str">
        <x:v>Small benthopelagics (&lt;30 cm)</x:v>
      </x:c>
      <x:c r="H57" s="24" t="str">
        <x:v>Perch-likes</x:v>
      </x:c>
      <x:c r="I57" s="31" t="n">
        <x:v>40.3559335627</x:v>
      </x:c>
      <x:c r="J57" s="31" t="n">
        <x:v>40.3559335627</x:v>
      </x:c>
      <x:c r="K57" s="31" t="n">
        <x:v>0</x:v>
      </x:c>
      <x:c r="L57" s="31" t="n">
        <x:v>9.299999999899999</x:v>
      </x:c>
      <x:c r="M57" s="31" t="n">
        <x:v>31.0559335628</x:v>
      </x:c>
      <x:c r="N57" s="24" t="str">
        <x:v>oblada melanurus</x:v>
      </x:c>
      <x:c r="O57" s="32" t="n">
        <x:v>3.38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Oblada melanurus</x:v>
      </x:c>
      <x:c r="T57" s="32" t="n">
        <x:f>IF(O57="","",(1/'Metadata'!$B$5)^(O57-1))</x:f>
        <x:v>239.88329190194898</x:v>
      </x:c>
      <x:c r="U57" s="31" t="n">
        <x:f>IF(T57="","",I57*T57)</x:f>
        <x:v>9680.714190796825</x:v>
      </x:c>
    </x:row>
    <x:row r="58" ht="18" customHeight="1">
      <x:c r="A58" s="24" t="str">
        <x:v>EEZ_966</x:v>
      </x:c>
      <x:c r="B58" s="24" t="str">
        <x:v>Turkey (Marmara Sea)</x:v>
      </x:c>
      <x:c r="C58" s="24" t="str">
        <x:v>EEZ</x:v>
      </x:c>
      <x:c r="D58" s="30" t="n">
        <x:v>2019</x:v>
      </x:c>
      <x:c r="E58" s="24" t="str">
        <x:v>Spondyliosoma cantharus</x:v>
      </x:c>
      <x:c r="F58" s="24" t="str">
        <x:v>Black seabream</x:v>
      </x:c>
      <x:c r="G58" s="24" t="str">
        <x:v>Medium benthopelagics (30 - 89 cm)</x:v>
      </x:c>
      <x:c r="H58" s="24" t="str">
        <x:v>Perch-likes</x:v>
      </x:c>
      <x:c r="I58" s="31" t="n">
        <x:v>37.8256096319</x:v>
      </x:c>
      <x:c r="J58" s="31" t="n">
        <x:v>37.3277537875</x:v>
      </x:c>
      <x:c r="K58" s="31" t="n">
        <x:v>0.49785584439999997</x:v>
      </x:c>
      <x:c r="L58" s="31" t="n">
        <x:v>0</x:v>
      </x:c>
      <x:c r="M58" s="31" t="n">
        <x:v>37.8256096319</x:v>
      </x:c>
      <x:c r="N58" s="24" t="str">
        <x:v>spondyliosoma cantharus</x:v>
      </x:c>
      <x:c r="O58" s="32" t="n">
        <x:v>3.34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Spondyliosoma cantharus</x:v>
      </x:c>
      <x:c r="T58" s="32" t="n">
        <x:f>IF(O58="","",(1/'Metadata'!$B$5)^(O58-1))</x:f>
        <x:v>218.77616239495518</x:v>
      </x:c>
      <x:c r="U58" s="31" t="n">
        <x:f>IF(T58="","",I58*T58)</x:f>
        <x:v>8275.341715516735</x:v>
      </x:c>
    </x:row>
    <x:row r="59" ht="18" customHeight="1">
      <x:c r="A59" s="24" t="str">
        <x:v>EEZ_966</x:v>
      </x:c>
      <x:c r="B59" s="24" t="str">
        <x:v>Turkey (Marmara Sea)</x:v>
      </x:c>
      <x:c r="C59" s="24" t="str">
        <x:v>EEZ</x:v>
      </x:c>
      <x:c r="D59" s="30" t="n">
        <x:v>2019</x:v>
      </x:c>
      <x:c r="E59" s="24" t="str">
        <x:v>Alosa fallax</x:v>
      </x:c>
      <x:c r="F59" s="24" t="str">
        <x:v>Twaite shad</x:v>
      </x:c>
      <x:c r="G59" s="24" t="str">
        <x:v>Medium pelagics (30 - 89 cm)</x:v>
      </x:c>
      <x:c r="H59" s="24" t="str">
        <x:v>Herring-likes</x:v>
      </x:c>
      <x:c r="I59" s="31" t="n">
        <x:v>37.6671609729</x:v>
      </x:c>
      <x:c r="J59" s="31" t="n">
        <x:v>36.5112664155</x:v>
      </x:c>
      <x:c r="K59" s="31" t="n">
        <x:v>1.1558945574</x:v>
      </x:c>
      <x:c r="L59" s="31" t="n">
        <x:v>31.6</x:v>
      </x:c>
      <x:c r="M59" s="31" t="n">
        <x:v>6.0671609729</x:v>
      </x:c>
      <x:c r="N59" s="24" t="str">
        <x:v>alosa fallax</x:v>
      </x:c>
      <x:c r="O59" s="32" t="n">
        <x:v>4.03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Alosa fallax</x:v>
      </x:c>
      <x:c r="T59" s="32" t="n">
        <x:f>IF(O59="","",(1/'Metadata'!$B$5)^(O59-1))</x:f>
        <x:v>1071.519305237607</x:v>
      </x:c>
      <x:c r="U59" s="31" t="n">
        <x:f>IF(T59="","",I59*T59)</x:f>
        <x:v>40361.09015595492</x:v>
      </x:c>
    </x:row>
    <x:row r="60" ht="18" customHeight="1">
      <x:c r="A60" s="24" t="str">
        <x:v>EEZ_966</x:v>
      </x:c>
      <x:c r="B60" s="24" t="str">
        <x:v>Turkey (Marmara Sea)</x:v>
      </x:c>
      <x:c r="C60" s="24" t="str">
        <x:v>EEZ</x:v>
      </x:c>
      <x:c r="D60" s="30" t="n">
        <x:v>2019</x:v>
      </x:c>
      <x:c r="E60" s="24" t="str">
        <x:v>Sprattus sprattus</x:v>
      </x:c>
      <x:c r="F60" s="24" t="str">
        <x:v>European sprat</x:v>
      </x:c>
      <x:c r="G60" s="24" t="str">
        <x:v>Small pelagics (&lt;30 cm)</x:v>
      </x:c>
      <x:c r="H60" s="24" t="str">
        <x:v>Herring-likes</x:v>
      </x:c>
      <x:c r="I60" s="31" t="n">
        <x:v>29.076596790500002</x:v>
      </x:c>
      <x:c r="J60" s="31" t="n">
        <x:v>22.5819236213</x:v>
      </x:c>
      <x:c r="K60" s="31" t="n">
        <x:v>6.4946731692</x:v>
      </x:c>
      <x:c r="L60" s="31" t="n">
        <x:v>5.79855</x:v>
      </x:c>
      <x:c r="M60" s="31" t="n">
        <x:v>23.2780467905</x:v>
      </x:c>
      <x:c r="N60" s="24" t="str">
        <x:v>sprattus sprattus</x:v>
      </x:c>
      <x:c r="O60" s="32" t="n">
        <x:v>3.01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Sprattus sprattus</x:v>
      </x:c>
      <x:c r="T60" s="32" t="n">
        <x:f>IF(O60="","",(1/'Metadata'!$B$5)^(O60-1))</x:f>
        <x:v>102.32929922807536</x:v>
      </x:c>
      <x:c r="U60" s="31" t="n">
        <x:f>IF(T60="","",I60*T60)</x:f>
        <x:v>2975.38777350917</x:v>
      </x:c>
    </x:row>
    <x:row r="61" ht="18" customHeight="1">
      <x:c r="A61" s="24" t="str">
        <x:v>EEZ_966</x:v>
      </x:c>
      <x:c r="B61" s="24" t="str">
        <x:v>Turkey (Marmara Sea)</x:v>
      </x:c>
      <x:c r="C61" s="24" t="str">
        <x:v>EEZ</x:v>
      </x:c>
      <x:c r="D61" s="30" t="n">
        <x:v>2019</x:v>
      </x:c>
      <x:c r="E61" s="24" t="str">
        <x:v>Thunnus thynnus</x:v>
      </x:c>
      <x:c r="F61" s="24" t="str">
        <x:v>Atlantic bluefin tuna</x:v>
      </x:c>
      <x:c r="G61" s="24" t="str">
        <x:v>Large pelagics (&gt;=90 cm)</x:v>
      </x:c>
      <x:c r="H61" s="24" t="str">
        <x:v>Tuna &amp; billfishes</x:v>
      </x:c>
      <x:c r="I61" s="31" t="n">
        <x:v>26.5916431107</x:v>
      </x:c>
      <x:c r="J61" s="31" t="n">
        <x:v>26.5916431107</x:v>
      </x:c>
      <x:c r="K61" s="31" t="n">
        <x:v>0</x:v>
      </x:c>
      <x:c r="L61" s="31" t="n">
        <x:v>0</x:v>
      </x:c>
      <x:c r="M61" s="31" t="n">
        <x:v>26.5916431107</x:v>
      </x:c>
      <x:c r="N61" s="24" t="str">
        <x:v>thunnus thynnus</x:v>
      </x:c>
      <x:c r="O61" s="32" t="n">
        <x:v>4.45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thynnus</x:v>
      </x:c>
      <x:c r="T61" s="32" t="n">
        <x:f>IF(O61="","",(1/'Metadata'!$B$5)^(O61-1))</x:f>
        <x:v>2818.382931264455</x:v>
      </x:c>
      <x:c r="U61" s="31" t="n">
        <x:f>IF(T61="","",I61*T61)</x:f>
        <x:v>74945.43305747291</x:v>
      </x:c>
    </x:row>
    <x:row r="62" ht="18" customHeight="1">
      <x:c r="A62" s="24" t="str">
        <x:v>EEZ_966</x:v>
      </x:c>
      <x:c r="B62" s="24" t="str">
        <x:v>Turkey (Marmara Sea)</x:v>
      </x:c>
      <x:c r="C62" s="24" t="str">
        <x:v>EEZ</x:v>
      </x:c>
      <x:c r="D62" s="30" t="n">
        <x:v>2019</x:v>
      </x:c>
      <x:c r="E62" s="24" t="str">
        <x:v>Spicara</x:v>
      </x:c>
      <x:c r="F62" s="24" t="str">
        <x:v>Picarels</x:v>
      </x:c>
      <x:c r="G62" s="24" t="str">
        <x:v>Small demersals (&lt;30 cm)</x:v>
      </x:c>
      <x:c r="H62" s="24" t="str">
        <x:v>Perch-likes</x:v>
      </x:c>
      <x:c r="I62" s="31" t="n">
        <x:v>18.184589913000003</x:v>
      </x:c>
      <x:c r="J62" s="31" t="n">
        <x:v>18.172063505500002</x:v>
      </x:c>
      <x:c r="K62" s="31" t="n">
        <x:v>0.0125264075</x:v>
      </x:c>
      <x:c r="L62" s="31" t="n">
        <x:v>17.700000000000003</x:v>
      </x:c>
      <x:c r="M62" s="31" t="n">
        <x:v>0.48458991300000004</x:v>
      </x:c>
      <x:c r="N62" s="24" t="str">
        <x:v>spicara</x:v>
      </x:c>
      <x:c r="O62" s="32" t="n">
        <x:v>3.58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Spicara</x:v>
      </x:c>
      <x:c r="T62" s="32" t="n">
        <x:f>IF(O62="","",(1/'Metadata'!$B$5)^(O62-1))</x:f>
        <x:v>380.1893963205613</x:v>
      </x:c>
      <x:c r="U62" s="31" t="n">
        <x:f>IF(T62="","",I62*T62)</x:f>
        <x:v>6913.588261360439</x:v>
      </x:c>
    </x:row>
    <x:row r="63" ht="18" customHeight="1">
      <x:c r="A63" s="24" t="str">
        <x:v>EEZ_966</x:v>
      </x:c>
      <x:c r="B63" s="24" t="str">
        <x:v>Turkey (Marmara Sea)</x:v>
      </x:c>
      <x:c r="C63" s="24" t="str">
        <x:v>EEZ</x:v>
      </x:c>
      <x:c r="D63" s="30" t="n">
        <x:v>2019</x:v>
      </x:c>
      <x:c r="E63" s="24" t="str">
        <x:v>Sepia officinalis</x:v>
      </x:c>
      <x:c r="F63" s="24" t="str">
        <x:v>Common cuttlefish</x:v>
      </x:c>
      <x:c r="G63" s="24" t="str">
        <x:v>Cephalopods</x:v>
      </x:c>
      <x:c r="H63" s="24" t="str">
        <x:v>Other fishes &amp; inverts</x:v>
      </x:c>
      <x:c r="I63" s="31" t="n">
        <x:v>18.1242050861</x:v>
      </x:c>
      <x:c r="J63" s="31" t="n">
        <x:v>16.9609113459</x:v>
      </x:c>
      <x:c r="K63" s="31" t="n">
        <x:v>1.1632937402</x:v>
      </x:c>
      <x:c r="L63" s="31" t="n">
        <x:v>11.4832234352</x:v>
      </x:c>
      <x:c r="M63" s="31" t="n">
        <x:v>6.6409816509</x:v>
      </x:c>
      <x:c r="N63" s="24" t="str">
        <x:v>sepia officinalis</x:v>
      </x:c>
      <x:c r="O63" s="32" t="n">
        <x:v>4.27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Sepia officinalis</x:v>
      </x:c>
      <x:c r="T63" s="32" t="n">
        <x:f>IF(O63="","",(1/'Metadata'!$B$5)^(O63-1))</x:f>
        <x:v>1862.0871366628655</x:v>
      </x:c>
      <x:c r="U63" s="31" t="n">
        <x:f>IF(T63="","",I63*T63)</x:f>
        <x:v>33748.8491530665</x:v>
      </x:c>
    </x:row>
    <x:row r="64" ht="18" customHeight="1">
      <x:c r="A64" s="24" t="str">
        <x:v>EEZ_966</x:v>
      </x:c>
      <x:c r="B64" s="24" t="str">
        <x:v>Turkey (Marmara Sea)</x:v>
      </x:c>
      <x:c r="C64" s="24" t="str">
        <x:v>EEZ</x:v>
      </x:c>
      <x:c r="D64" s="30" t="n">
        <x:v>2019</x:v>
      </x:c>
      <x:c r="E64" s="24" t="str">
        <x:v>Miscellaneous aquatic invertebrates</x:v>
      </x:c>
      <x:c r="F64" s="24" t="str">
        <x:v>Aquatic invertebrates</x:v>
      </x:c>
      <x:c r="G64" s="24" t="str">
        <x:v>Other demersal invertebrates</x:v>
      </x:c>
      <x:c r="H64" s="24" t="str">
        <x:v>Other fishes &amp; inverts</x:v>
      </x:c>
      <x:c r="I64" s="31" t="n">
        <x:v>17.9734360539</x:v>
      </x:c>
      <x:c r="J64" s="31" t="n">
        <x:v>17.2874542429</x:v>
      </x:c>
      <x:c r="K64" s="31" t="n">
        <x:v>0.685981811</x:v>
      </x:c>
      <x:c r="L64" s="31" t="n">
        <x:v>14.2435981618</x:v>
      </x:c>
      <x:c r="M64" s="31" t="n">
        <x:v>3.7298378921</x:v>
      </x:c>
      <x:c r="N64" s="24" t="str">
        <x:v>miscellaneous aquatic invertebrates</x:v>
      </x:c>
      <x:c r="O64" s="32" t="n">
        <x:v>2.43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aquatic invertebrates</x:v>
      </x:c>
      <x:c r="T64" s="32" t="n">
        <x:f>IF(O64="","",(1/'Metadata'!$B$5)^(O64-1))</x:f>
        <x:v>26.915348039269166</x:v>
      </x:c>
      <x:c r="U64" s="31" t="n">
        <x:f>IF(T64="","",I64*T64)</x:f>
        <x:v>483.76128685226706</x:v>
      </x:c>
    </x:row>
    <x:row r="65" ht="18" customHeight="1">
      <x:c r="A65" s="24" t="str">
        <x:v>EEZ_966</x:v>
      </x:c>
      <x:c r="B65" s="24" t="str">
        <x:v>Turkey (Marmara Sea)</x:v>
      </x:c>
      <x:c r="C65" s="24" t="str">
        <x:v>EEZ</x:v>
      </x:c>
      <x:c r="D65" s="30" t="n">
        <x:v>2019</x:v>
      </x:c>
      <x:c r="E65" s="24" t="str">
        <x:v>Diplodus</x:v>
      </x:c>
      <x:c r="F65" s="24" t="str">
        <x:v>Two-toothed seabreams</x:v>
      </x:c>
      <x:c r="G65" s="24" t="str">
        <x:v>Medium benthopelagics (30 - 89 cm)</x:v>
      </x:c>
      <x:c r="H65" s="24" t="str">
        <x:v>Perch-likes</x:v>
      </x:c>
      <x:c r="I65" s="31" t="n">
        <x:v>17.593609187</x:v>
      </x:c>
      <x:c r="J65" s="31" t="n">
        <x:v>16.3341764798</x:v>
      </x:c>
      <x:c r="K65" s="31" t="n">
        <x:v>1.2594327072</x:v>
      </x:c>
      <x:c r="L65" s="31" t="n">
        <x:v>10.0000000002</x:v>
      </x:c>
      <x:c r="M65" s="31" t="n">
        <x:v>7.593609186799999</x:v>
      </x:c>
      <x:c r="N65" s="24" t="str">
        <x:v>diplodus</x:v>
      </x:c>
      <x:c r="O65" s="32" t="n">
        <x:v>2.97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Diplodus</x:v>
      </x:c>
      <x:c r="T65" s="32" t="n">
        <x:f>IF(O65="","",(1/'Metadata'!$B$5)^(O65-1))</x:f>
        <x:v>93.32543007969915</x:v>
      </x:c>
      <x:c r="U65" s="31" t="n">
        <x:f>IF(T65="","",I65*T65)</x:f>
        <x:v>1641.931144030921</x:v>
      </x:c>
    </x:row>
    <x:row r="66" ht="18" customHeight="1">
      <x:c r="A66" s="24" t="str">
        <x:v>EEZ_966</x:v>
      </x:c>
      <x:c r="B66" s="24" t="str">
        <x:v>Turkey (Marmara Sea)</x:v>
      </x:c>
      <x:c r="C66" s="24" t="str">
        <x:v>EEZ</x:v>
      </x:c>
      <x:c r="D66" s="30" t="n">
        <x:v>2019</x:v>
      </x:c>
      <x:c r="E66" s="24" t="str">
        <x:v>Merluccius</x:v>
      </x:c>
      <x:c r="F66" s="24" t="str">
        <x:v>Hakes</x:v>
      </x:c>
      <x:c r="G66" s="24" t="str">
        <x:v>Medium bathydemersals (30 - 89 cm)</x:v>
      </x:c>
      <x:c r="H66" s="24" t="str">
        <x:v>Cod-likes</x:v>
      </x:c>
      <x:c r="I66" s="31" t="n">
        <x:v>16.929340224900002</x:v>
      </x:c>
      <x:c r="J66" s="31" t="n">
        <x:v>13.213790236000001</x:v>
      </x:c>
      <x:c r="K66" s="31" t="n">
        <x:v>3.7155499889000003</x:v>
      </x:c>
      <x:c r="L66" s="31" t="n">
        <x:v>0</x:v>
      </x:c>
      <x:c r="M66" s="31" t="n">
        <x:v>16.929340224900002</x:v>
      </x:c>
      <x:c r="N66" s="24" t="str">
        <x:v>merluccius</x:v>
      </x:c>
      <x:c r="O66" s="32" t="n">
        <x:v>4.27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Merluccius</x:v>
      </x:c>
      <x:c r="T66" s="32" t="n">
        <x:f>IF(O66="","",(1/'Metadata'!$B$5)^(O66-1))</x:f>
        <x:v>1862.0871366628655</x:v>
      </x:c>
      <x:c r="U66" s="31" t="n">
        <x:f>IF(T66="","",I66*T66)</x:f>
        <x:v>31523.90666497552</x:v>
      </x:c>
    </x:row>
    <x:row r="67" ht="18" customHeight="1">
      <x:c r="A67" s="24" t="str">
        <x:v>EEZ_966</x:v>
      </x:c>
      <x:c r="B67" s="24" t="str">
        <x:v>Turkey (Marmara Sea)</x:v>
      </x:c>
      <x:c r="C67" s="24" t="str">
        <x:v>EEZ</x:v>
      </x:c>
      <x:c r="D67" s="30" t="n">
        <x:v>2019</x:v>
      </x:c>
      <x:c r="E67" s="24" t="str">
        <x:v>Mullus barbatus</x:v>
      </x:c>
      <x:c r="F67" s="24" t="str">
        <x:v>Red mullet</x:v>
      </x:c>
      <x:c r="G67" s="24" t="str">
        <x:v>Medium demersals (30 - 89 cm)</x:v>
      </x:c>
      <x:c r="H67" s="24" t="str">
        <x:v>Perch-likes</x:v>
      </x:c>
      <x:c r="I67" s="31" t="n">
        <x:v>16.5</x:v>
      </x:c>
      <x:c r="J67" s="31" t="n">
        <x:v>16.5</x:v>
      </x:c>
      <x:c r="K67" s="31" t="n">
        <x:v>0</x:v>
      </x:c>
      <x:c r="L67" s="31" t="n">
        <x:v>16.5</x:v>
      </x:c>
      <x:c r="M67" s="31" t="n">
        <x:v>0</x:v>
      </x:c>
      <x:c r="N67" s="24" t="str">
        <x:v>mullus barbatus</x:v>
      </x:c>
      <x:c r="O67" s="32" t="n">
        <x:v>3.14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Mullus barbatus</x:v>
      </x:c>
      <x:c r="T67" s="32" t="n">
        <x:f>IF(O67="","",(1/'Metadata'!$B$5)^(O67-1))</x:f>
        <x:v>138.03842646028852</x:v>
      </x:c>
      <x:c r="U67" s="31" t="n">
        <x:f>IF(T67="","",I67*T67)</x:f>
        <x:v>2277.634036594761</x:v>
      </x:c>
    </x:row>
    <x:row r="68" ht="18" customHeight="1">
      <x:c r="A68" s="24" t="str">
        <x:v>EEZ_966</x:v>
      </x:c>
      <x:c r="B68" s="24" t="str">
        <x:v>Turkey (Marmara Sea)</x:v>
      </x:c>
      <x:c r="C68" s="24" t="str">
        <x:v>EEZ</x:v>
      </x:c>
      <x:c r="D68" s="30" t="n">
        <x:v>2019</x:v>
      </x:c>
      <x:c r="E68" s="24" t="str">
        <x:v>Auxis thazard</x:v>
      </x:c>
      <x:c r="F68" s="24" t="str">
        <x:v>Frigate tuna</x:v>
      </x:c>
      <x:c r="G68" s="24" t="str">
        <x:v>Medium pelagics (30 - 89 cm)</x:v>
      </x:c>
      <x:c r="H68" s="24" t="str">
        <x:v>Tuna &amp; billfishes</x:v>
      </x:c>
      <x:c r="I68" s="31" t="n">
        <x:v>16.3238792848</x:v>
      </x:c>
      <x:c r="J68" s="31" t="n">
        <x:v>13.122249637400001</x:v>
      </x:c>
      <x:c r="K68" s="31" t="n">
        <x:v>3.2016296474</x:v>
      </x:c>
      <x:c r="L68" s="31" t="n">
        <x:v>0</x:v>
      </x:c>
      <x:c r="M68" s="31" t="n">
        <x:v>16.3238792848</x:v>
      </x:c>
      <x:c r="N68" s="24" t="str">
        <x:v>auxis thazard</x:v>
      </x:c>
      <x:c r="O68" s="32" t="n">
        <x:v>4.37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Auxis thazard</x:v>
      </x:c>
      <x:c r="T68" s="32" t="n">
        <x:f>IF(O68="","",(1/'Metadata'!$B$5)^(O68-1))</x:f>
        <x:v>2344.228815319923</x:v>
      </x:c>
      <x:c r="U68" s="31" t="n">
        <x:f>IF(T68="","",I68*T68)</x:f>
        <x:v>38266.90819723214</x:v>
      </x:c>
    </x:row>
    <x:row r="69" ht="18" customHeight="1">
      <x:c r="A69" s="24" t="str">
        <x:v>EEZ_966</x:v>
      </x:c>
      <x:c r="B69" s="24" t="str">
        <x:v>Turkey (Marmara Sea)</x:v>
      </x:c>
      <x:c r="C69" s="24" t="str">
        <x:v>EEZ</x:v>
      </x:c>
      <x:c r="D69" s="30" t="n">
        <x:v>2019</x:v>
      </x:c>
      <x:c r="E69" s="24" t="str">
        <x:v>Squalus acanthias</x:v>
      </x:c>
      <x:c r="F69" s="24" t="str">
        <x:v>Picked dogfish</x:v>
      </x:c>
      <x:c r="G69" s="24" t="str">
        <x:v>Large sharks (&gt;=90 cm)</x:v>
      </x:c>
      <x:c r="H69" s="24" t="str">
        <x:v>Sharks &amp; rays</x:v>
      </x:c>
      <x:c r="I69" s="31" t="n">
        <x:v>13.1925767032</x:v>
      </x:c>
      <x:c r="J69" s="31" t="n">
        <x:v>11.5096993752</x:v>
      </x:c>
      <x:c r="K69" s="31" t="n">
        <x:v>1.682877328</x:v>
      </x:c>
      <x:c r="L69" s="31" t="n">
        <x:v>4.800000000000001</x:v>
      </x:c>
      <x:c r="M69" s="31" t="n">
        <x:v>8.3925767032</x:v>
      </x:c>
      <x:c r="N69" s="24" t="str">
        <x:v>squalus acanthias</x:v>
      </x:c>
      <x:c r="O69" s="32" t="n">
        <x:v>4.37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Squalus acanthias</x:v>
      </x:c>
      <x:c r="T69" s="32" t="n">
        <x:f>IF(O69="","",(1/'Metadata'!$B$5)^(O69-1))</x:f>
        <x:v>2344.228815319923</x:v>
      </x:c>
      <x:c r="U69" s="31" t="n">
        <x:f>IF(T69="","",I69*T69)</x:f>
        <x:v>30926.418455959752</x:v>
      </x:c>
    </x:row>
    <x:row r="70" ht="18" customHeight="1">
      <x:c r="A70" s="24" t="str">
        <x:v>EEZ_966</x:v>
      </x:c>
      <x:c r="B70" s="24" t="str">
        <x:v>Turkey (Marmara Sea)</x:v>
      </x:c>
      <x:c r="C70" s="24" t="str">
        <x:v>EEZ</x:v>
      </x:c>
      <x:c r="D70" s="30" t="n">
        <x:v>2019</x:v>
      </x:c>
      <x:c r="E70" s="24" t="str">
        <x:v>Dicentrarchus</x:v>
      </x:c>
      <x:c r="F70" s="24" t="str">
        <x:v>Seabasses</x:v>
      </x:c>
      <x:c r="G70" s="24" t="str">
        <x:v>Large demersals (&gt;=90 cm)</x:v>
      </x:c>
      <x:c r="H70" s="24" t="str">
        <x:v>Perch-likes</x:v>
      </x:c>
      <x:c r="I70" s="31" t="n">
        <x:v>11.9950691917</x:v>
      </x:c>
      <x:c r="J70" s="31" t="n">
        <x:v>11.7493410541</x:v>
      </x:c>
      <x:c r="K70" s="31" t="n">
        <x:v>0.2457281376</x:v>
      </x:c>
      <x:c r="L70" s="31" t="n">
        <x:v>10.4</x:v>
      </x:c>
      <x:c r="M70" s="31" t="n">
        <x:v>1.5950691917</x:v>
      </x:c>
      <x:c r="N70" s="24" t="str">
        <x:v>dicentrarchus</x:v>
      </x:c>
      <x:c r="O70" s="32" t="n">
        <x:v>3.94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Dicentrarchus</x:v>
      </x:c>
      <x:c r="T70" s="32" t="n">
        <x:f>IF(O70="","",(1/'Metadata'!$B$5)^(O70-1))</x:f>
        <x:v>870.9635899560806</x:v>
      </x:c>
      <x:c r="U70" s="31" t="n">
        <x:f>IF(T70="","",I70*T70)</x:f>
        <x:v>10447.268524974614</x:v>
      </x:c>
    </x:row>
    <x:row r="71" ht="18" customHeight="1">
      <x:c r="A71" s="24" t="str">
        <x:v>EEZ_966</x:v>
      </x:c>
      <x:c r="B71" s="24" t="str">
        <x:v>Turkey (Marmara Sea)</x:v>
      </x:c>
      <x:c r="C71" s="24" t="str">
        <x:v>EEZ</x:v>
      </x:c>
      <x:c r="D71" s="30" t="n">
        <x:v>2019</x:v>
      </x:c>
      <x:c r="E71" s="24" t="str">
        <x:v>Penaeus kerathurus</x:v>
      </x:c>
      <x:c r="F71" s="24" t="str">
        <x:v>Caramote prawn</x:v>
      </x:c>
      <x:c r="G71" s="24" t="str">
        <x:v>Shrimps</x:v>
      </x:c>
      <x:c r="H71" s="24" t="str">
        <x:v>Crustaceans</x:v>
      </x:c>
      <x:c r="I71" s="31" t="n">
        <x:v>7.2790164411000005</x:v>
      </x:c>
      <x:c r="J71" s="31" t="n">
        <x:v>7.2790164411000005</x:v>
      </x:c>
      <x:c r="K71" s="31" t="n">
        <x:v>0</x:v>
      </x:c>
      <x:c r="L71" s="31" t="n">
        <x:v>3.9506735341</x:v>
      </x:c>
      <x:c r="M71" s="31" t="n">
        <x:v>3.328342907</x:v>
      </x:c>
      <x:c r="N71" s="24" t="str">
        <x:v>penaeus kerathurus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kerathurus</x:v>
      </x:c>
      <x:c r="T71" s="32" t="n">
        <x:f>IF(O71="","",(1/'Metadata'!$B$5)^(O71-1))</x:f>
        <x:v>50.11872336272725</x:v>
      </x:c>
      <x:c r="U71" s="31" t="n">
        <x:f>IF(T71="","",I71*T71)</x:f>
        <x:v>364.81501136423435</x:v>
      </x:c>
    </x:row>
    <x:row r="72" ht="18" customHeight="1">
      <x:c r="A72" s="24" t="str">
        <x:v>EEZ_966</x:v>
      </x:c>
      <x:c r="B72" s="24" t="str">
        <x:v>Turkey (Marmara Sea)</x:v>
      </x:c>
      <x:c r="C72" s="24" t="str">
        <x:v>EEZ</x:v>
      </x:c>
      <x:c r="D72" s="30" t="n">
        <x:v>2019</x:v>
      </x:c>
      <x:c r="E72" s="24" t="str">
        <x:v>Trigla lyra</x:v>
      </x:c>
      <x:c r="F72" s="24" t="str">
        <x:v>Piper gurnard</x:v>
      </x:c>
      <x:c r="G72" s="24" t="str">
        <x:v>Medium bathydemersals (30 - 89 cm)</x:v>
      </x:c>
      <x:c r="H72" s="24" t="str">
        <x:v>Scorpionfishes</x:v>
      </x:c>
      <x:c r="I72" s="31" t="n">
        <x:v>6.641393695200001</x:v>
      </x:c>
      <x:c r="J72" s="31" t="n">
        <x:v>6.1927677218</x:v>
      </x:c>
      <x:c r="K72" s="31" t="n">
        <x:v>0.4486259734</x:v>
      </x:c>
      <x:c r="L72" s="31" t="n">
        <x:v>4.1000000000000005</x:v>
      </x:c>
      <x:c r="M72" s="31" t="n">
        <x:v>2.5413936952</x:v>
      </x:c>
      <x:c r="N72" s="24" t="str">
        <x:v>trigla lyra</x:v>
      </x:c>
      <x:c r="O72" s="32" t="n">
        <x:v>3.65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Trigla lyra</x:v>
      </x:c>
      <x:c r="T72" s="32" t="n">
        <x:f>IF(O72="","",(1/'Metadata'!$B$5)^(O72-1))</x:f>
        <x:v>446.683592150963</x:v>
      </x:c>
      <x:c r="U72" s="31" t="n">
        <x:f>IF(T72="","",I72*T72)</x:f>
        <x:v>2966.601592660694</x:v>
      </x:c>
    </x:row>
    <x:row r="73" ht="18" customHeight="1">
      <x:c r="A73" s="24" t="str">
        <x:v>EEZ_966</x:v>
      </x:c>
      <x:c r="B73" s="24" t="str">
        <x:v>Turkey (Marmara Sea)</x:v>
      </x:c>
      <x:c r="C73" s="24" t="str">
        <x:v>EEZ</x:v>
      </x:c>
      <x:c r="D73" s="30" t="n">
        <x:v>2019</x:v>
      </x:c>
      <x:c r="E73" s="24" t="str">
        <x:v>Sciaena umbra</x:v>
      </x:c>
      <x:c r="F73" s="24" t="str">
        <x:v>Brown meagre</x:v>
      </x:c>
      <x:c r="G73" s="24" t="str">
        <x:v>Medium demersals (30 - 89 cm)</x:v>
      </x:c>
      <x:c r="H73" s="24" t="str">
        <x:v>Perch-likes</x:v>
      </x:c>
      <x:c r="I73" s="31" t="n">
        <x:v>3.9797922485</x:v>
      </x:c>
      <x:c r="J73" s="31" t="n">
        <x:v>3.6486393536</x:v>
      </x:c>
      <x:c r="K73" s="31" t="n">
        <x:v>0.3311528949</x:v>
      </x:c>
      <x:c r="L73" s="31" t="n">
        <x:v>1.8999999999000001</x:v>
      </x:c>
      <x:c r="M73" s="31" t="n">
        <x:v>2.0797922486</x:v>
      </x:c>
      <x:c r="N73" s="24" t="str">
        <x:v>sciaena umbra</x:v>
      </x:c>
      <x:c r="O73" s="32" t="n">
        <x:v>3.75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Sciaena umbra</x:v>
      </x:c>
      <x:c r="T73" s="32" t="n">
        <x:f>IF(O73="","",(1/'Metadata'!$B$5)^(O73-1))</x:f>
        <x:v>562.341325190349</x:v>
      </x:c>
      <x:c r="U73" s="31" t="n">
        <x:f>IF(T73="","",I73*T73)</x:f>
        <x:v>2238.001647003769</x:v>
      </x:c>
    </x:row>
    <x:row r="74" ht="18" customHeight="1">
      <x:c r="A74" s="24" t="str">
        <x:v>EEZ_966</x:v>
      </x:c>
      <x:c r="B74" s="24" t="str">
        <x:v>Turkey (Marmara Sea)</x:v>
      </x:c>
      <x:c r="C74" s="24" t="str">
        <x:v>EEZ</x:v>
      </x:c>
      <x:c r="D74" s="30" t="n">
        <x:v>2019</x:v>
      </x:c>
      <x:c r="E74" s="24" t="str">
        <x:v>Zeus faber</x:v>
      </x:c>
      <x:c r="F74" s="24" t="str">
        <x:v>John dory</x:v>
      </x:c>
      <x:c r="G74" s="24" t="str">
        <x:v>Medium benthopelagics (30 - 89 cm)</x:v>
      </x:c>
      <x:c r="H74" s="24" t="str">
        <x:v>Other fishes &amp; inverts</x:v>
      </x:c>
      <x:c r="I74" s="31" t="n">
        <x:v>2.9748828241</x:v>
      </x:c>
      <x:c r="J74" s="31" t="n">
        <x:v>2.7939718776999998</x:v>
      </x:c>
      <x:c r="K74" s="31" t="n">
        <x:v>0.1809109464</x:v>
      </x:c>
      <x:c r="L74" s="31" t="n">
        <x:v>2</x:v>
      </x:c>
      <x:c r="M74" s="31" t="n">
        <x:v>0.9748828241</x:v>
      </x:c>
      <x:c r="N74" s="24" t="str">
        <x:v>zeus faber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Zeus faber</x:v>
      </x:c>
      <x:c r="T74" s="32" t="n">
        <x:f>IF(O74="","",(1/'Metadata'!$B$5)^(O74-1))</x:f>
        <x:v>3162.2776601683795</x:v>
      </x:c>
      <x:c r="U74" s="31" t="n">
        <x:f>IF(T74="","",I74*T74)</x:f>
        <x:v>9407.405496270048</x:v>
      </x:c>
    </x:row>
    <x:row r="75" ht="18" customHeight="1">
      <x:c r="A75" s="24" t="str">
        <x:v>EEZ_966</x:v>
      </x:c>
      <x:c r="B75" s="24" t="str">
        <x:v>Turkey (Marmara Sea)</x:v>
      </x:c>
      <x:c r="C75" s="24" t="str">
        <x:v>EEZ</x:v>
      </x:c>
      <x:c r="D75" s="30" t="n">
        <x:v>2019</x:v>
      </x:c>
      <x:c r="E75" s="24" t="str">
        <x:v>Cancer pagurus</x:v>
      </x:c>
      <x:c r="F75" s="24" t="str">
        <x:v>Edible crab</x:v>
      </x:c>
      <x:c r="G75" s="24" t="str">
        <x:v>Lobsters, crabs</x:v>
      </x:c>
      <x:c r="H75" s="24" t="str">
        <x:v>Crustaceans</x:v>
      </x:c>
      <x:c r="I75" s="31" t="n">
        <x:v>2.8393255477</x:v>
      </x:c>
      <x:c r="J75" s="31" t="n">
        <x:v>2.6268207853</x:v>
      </x:c>
      <x:c r="K75" s="31" t="n">
        <x:v>0.2125047624</x:v>
      </x:c>
      <x:c r="L75" s="31" t="n">
        <x:v>1.6500000001</x:v>
      </x:c>
      <x:c r="M75" s="31" t="n">
        <x:v>1.1893255476</x:v>
      </x:c>
      <x:c r="N75" s="24" t="str">
        <x:v>cancer pagurus</x:v>
      </x:c>
      <x:c r="O75" s="32" t="n">
        <x:v>3.1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Cancer pagurus</x:v>
      </x:c>
      <x:c r="T75" s="32" t="n">
        <x:f>IF(O75="","",(1/'Metadata'!$B$5)^(O75-1))</x:f>
        <x:v>125.89254117941675</x:v>
      </x:c>
      <x:c r="U75" s="31" t="n">
        <x:f>IF(T75="","",I75*T75)</x:f>
        <x:v>357.4499084355923</x:v>
      </x:c>
    </x:row>
    <x:row r="76" ht="18" customHeight="1">
      <x:c r="A76" s="24" t="str">
        <x:v>EEZ_966</x:v>
      </x:c>
      <x:c r="B76" s="24" t="str">
        <x:v>Turkey (Marmara Sea)</x:v>
      </x:c>
      <x:c r="C76" s="24" t="str">
        <x:v>EEZ</x:v>
      </x:c>
      <x:c r="D76" s="30" t="n">
        <x:v>2019</x:v>
      </x:c>
      <x:c r="E76" s="24" t="str">
        <x:v>Umbrina cirrosa</x:v>
      </x:c>
      <x:c r="F76" s="24" t="str">
        <x:v>Shi drum</x:v>
      </x:c>
      <x:c r="G76" s="24" t="str">
        <x:v>Medium demersals (30 - 89 cm)</x:v>
      </x:c>
      <x:c r="H76" s="24" t="str">
        <x:v>Perch-likes</x:v>
      </x:c>
      <x:c r="I76" s="31" t="n">
        <x:v>2.5337387318999998</x:v>
      </x:c>
      <x:c r="J76" s="31" t="n">
        <x:v>2.2470702522</x:v>
      </x:c>
      <x:c r="K76" s="31" t="n">
        <x:v>0.2866684797</x:v>
      </x:c>
      <x:c r="L76" s="31" t="n">
        <x:v>0.6999999999</x:v>
      </x:c>
      <x:c r="M76" s="31" t="n">
        <x:v>1.833738732</x:v>
      </x:c>
      <x:c r="N76" s="24" t="str">
        <x:v>umbrina cirrosa</x:v>
      </x:c>
      <x:c r="O76" s="32" t="n">
        <x:v>3.46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Umbrina cirrosa</x:v>
      </x:c>
      <x:c r="T76" s="32" t="n">
        <x:f>IF(O76="","",(1/'Metadata'!$B$5)^(O76-1))</x:f>
        <x:v>288.40315031266056</x:v>
      </x:c>
      <x:c r="U76" s="31" t="n">
        <x:f>IF(T76="","",I76*T76)</x:f>
        <x:v>730.7382323491656</x:v>
      </x:c>
    </x:row>
    <x:row r="77" ht="18" customHeight="1">
      <x:c r="A77" s="24" t="str">
        <x:v>EEZ_966</x:v>
      </x:c>
      <x:c r="B77" s="24" t="str">
        <x:v>Turkey (Marmara Sea)</x:v>
      </x:c>
      <x:c r="C77" s="24" t="str">
        <x:v>EEZ</x:v>
      </x:c>
      <x:c r="D77" s="30" t="n">
        <x:v>2019</x:v>
      </x:c>
      <x:c r="E77" s="24" t="str">
        <x:v>Xiphias gladius</x:v>
      </x:c>
      <x:c r="F77" s="24" t="str">
        <x:v>Swordfish</x:v>
      </x:c>
      <x:c r="G77" s="24" t="str">
        <x:v>Large pelagics (&gt;=90 cm)</x:v>
      </x:c>
      <x:c r="H77" s="24" t="str">
        <x:v>Tuna &amp; billfishes</x:v>
      </x:c>
      <x:c r="I77" s="31" t="n">
        <x:v>2</x:v>
      </x:c>
      <x:c r="J77" s="31" t="n">
        <x:v>2</x:v>
      </x:c>
      <x:c r="K77" s="31" t="n">
        <x:v>0</x:v>
      </x:c>
      <x:c r="L77" s="31" t="n">
        <x:v>2</x:v>
      </x:c>
      <x:c r="M77" s="31" t="n">
        <x:v>0</x:v>
      </x:c>
      <x:c r="N77" s="24" t="str">
        <x:v>xiphias gladius</x:v>
      </x:c>
      <x:c r="O77" s="32" t="n">
        <x:v>4.53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Xiphias gladius</x:v>
      </x:c>
      <x:c r="T77" s="32" t="n">
        <x:f>IF(O77="","",(1/'Metadata'!$B$5)^(O77-1))</x:f>
        <x:v>3388.4415613920273</x:v>
      </x:c>
      <x:c r="U77" s="31" t="n">
        <x:f>IF(T77="","",I77*T77)</x:f>
        <x:v>6776.883122784055</x:v>
      </x:c>
    </x:row>
    <x:row r="78" ht="18" customHeight="1">
      <x:c r="A78" s="24" t="str">
        <x:v>EEZ_966</x:v>
      </x:c>
      <x:c r="B78" s="24" t="str">
        <x:v>Turkey (Marmara Sea)</x:v>
      </x:c>
      <x:c r="C78" s="24" t="str">
        <x:v>EEZ</x:v>
      </x:c>
      <x:c r="D78" s="30" t="n">
        <x:v>2019</x:v>
      </x:c>
      <x:c r="E78" s="24" t="str">
        <x:v>Chelidonichthys lastoviza</x:v>
      </x:c>
      <x:c r="F78" s="24" t="str">
        <x:v>Streaked gurnard</x:v>
      </x:c>
      <x:c r="G78" s="24" t="str">
        <x:v>Medium demersals (30 - 89 cm)</x:v>
      </x:c>
      <x:c r="H78" s="24" t="str">
        <x:v>Scorpionfishes</x:v>
      </x:c>
      <x:c r="I78" s="31" t="n">
        <x:v>1.8</x:v>
      </x:c>
      <x:c r="J78" s="31" t="n">
        <x:v>1.8</x:v>
      </x:c>
      <x:c r="K78" s="31" t="n">
        <x:v>0</x:v>
      </x:c>
      <x:c r="L78" s="31" t="n">
        <x:v>1.8</x:v>
      </x:c>
      <x:c r="M78" s="31" t="n">
        <x:v>0</x:v>
      </x:c>
      <x:c r="N78" s="24" t="str">
        <x:v>chelidonichthys lastoviza</x:v>
      </x:c>
      <x:c r="O78" s="32" t="n">
        <x:v>3.49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Chelidonichthys lastoviza</x:v>
      </x:c>
      <x:c r="T78" s="32" t="n">
        <x:f>IF(O78="","",(1/'Metadata'!$B$5)^(O78-1))</x:f>
        <x:v>309.0295432513592</x:v>
      </x:c>
      <x:c r="U78" s="31" t="n">
        <x:f>IF(T78="","",I78*T78)</x:f>
        <x:v>556.2531778524466</x:v>
      </x:c>
    </x:row>
    <x:row r="79" ht="18" customHeight="1">
      <x:c r="A79" s="24" t="str">
        <x:v>EEZ_966</x:v>
      </x:c>
      <x:c r="B79" s="24" t="str">
        <x:v>Turkey (Marmara Sea)</x:v>
      </x:c>
      <x:c r="C79" s="24" t="str">
        <x:v>EEZ</x:v>
      </x:c>
      <x:c r="D79" s="30" t="n">
        <x:v>2019</x:v>
      </x:c>
      <x:c r="E79" s="24" t="str">
        <x:v>Anguilla anguilla</x:v>
      </x:c>
      <x:c r="F79" s="24" t="str">
        <x:v>European eel</x:v>
      </x:c>
      <x:c r="G79" s="24" t="str">
        <x:v>Large demersals (&gt;=90 cm)</x:v>
      </x:c>
      <x:c r="H79" s="24" t="str">
        <x:v>Other fishes &amp; inverts</x:v>
      </x:c>
      <x:c r="I79" s="31" t="n">
        <x:v>1.28105726</x:v>
      </x:c>
      <x:c r="J79" s="31" t="n">
        <x:v>1.28105726</x:v>
      </x:c>
      <x:c r="K79" s="31" t="n">
        <x:v>0</x:v>
      </x:c>
      <x:c r="L79" s="31" t="n">
        <x:v>0</x:v>
      </x:c>
      <x:c r="M79" s="31" t="n">
        <x:v>1.28105726</x:v>
      </x:c>
      <x:c r="N79" s="24" t="str">
        <x:v>anguilla anguilla</x:v>
      </x:c>
      <x:c r="O79" s="32" t="n">
        <x:v>3.55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Anguilla anguilla</x:v>
      </x:c>
      <x:c r="T79" s="32" t="n">
        <x:f>IF(O79="","",(1/'Metadata'!$B$5)^(O79-1))</x:f>
        <x:v>354.8133892335753</x:v>
      </x:c>
      <x:c r="U79" s="31" t="n">
        <x:f>IF(T79="","",I79*T79)</x:f>
        <x:v>454.53626822287754</x:v>
      </x:c>
    </x:row>
    <x:row r="80" ht="18" customHeight="1">
      <x:c r="A80" s="24" t="str">
        <x:v>EEZ_966</x:v>
      </x:c>
      <x:c r="B80" s="24" t="str">
        <x:v>Turkey (Marmara Sea)</x:v>
      </x:c>
      <x:c r="C80" s="24" t="str">
        <x:v>EEZ</x:v>
      </x:c>
      <x:c r="D80" s="30" t="n">
        <x:v>2019</x:v>
      </x:c>
      <x:c r="E80" s="24" t="str">
        <x:v>Homarus gammarus</x:v>
      </x:c>
      <x:c r="F80" s="24" t="str">
        <x:v>European lobster</x:v>
      </x:c>
      <x:c r="G80" s="24" t="str">
        <x:v>Lobsters, crabs</x:v>
      </x:c>
      <x:c r="H80" s="24" t="str">
        <x:v>Crustaceans</x:v>
      </x:c>
      <x:c r="I80" s="31" t="n">
        <x:v>1.2768543917</x:v>
      </x:c>
      <x:c r="J80" s="31" t="n">
        <x:v>1.1956475185</x:v>
      </x:c>
      <x:c r="K80" s="31" t="n">
        <x:v>0.0812068732</x:v>
      </x:c>
      <x:c r="L80" s="31" t="n">
        <x:v>0.7933333334</x:v>
      </x:c>
      <x:c r="M80" s="31" t="n">
        <x:v>0.48352105830000003</x:v>
      </x:c>
      <x:c r="N80" s="24" t="str">
        <x:v>homarus gammarus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Homarus gammarus</x:v>
      </x:c>
      <x:c r="T80" s="32" t="n">
        <x:f>IF(O80="","",(1/'Metadata'!$B$5)^(O80-1))</x:f>
        <x:v>501.18723362727246</x:v>
      </x:c>
      <x:c r="U80" s="31" t="n">
        <x:f>IF(T80="","",I80*T80)</x:f>
        <x:v>639.9431203209567</x:v>
      </x:c>
    </x:row>
    <x:row r="81" ht="18" customHeight="1">
      <x:c r="A81" s="24" t="str">
        <x:v>EEZ_966</x:v>
      </x:c>
      <x:c r="B81" s="24" t="str">
        <x:v>Turkey (Marmara Sea)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0.705396217</x:v>
      </x:c>
      <x:c r="J81" s="31" t="n">
        <x:v>0.42484736910000004</x:v>
      </x:c>
      <x:c r="K81" s="31" t="n">
        <x:v>0.2805488479</x:v>
      </x:c>
      <x:c r="L81" s="31" t="n">
        <x:v>0.40000000010000003</x:v>
      </x:c>
      <x:c r="M81" s="31" t="n">
        <x:v>0.3053962169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90.87263603162825</x:v>
      </x:c>
    </x:row>
    <x:row r="82" ht="18" customHeight="1">
      <x:c r="A82" s="24" t="str">
        <x:v>EEZ_966</x:v>
      </x:c>
      <x:c r="B82" s="24" t="str">
        <x:v>Turkey (Marmara Sea)</x:v>
      </x:c>
      <x:c r="C82" s="24" t="str">
        <x:v>EEZ</x:v>
      </x:c>
      <x:c r="D82" s="30" t="n">
        <x:v>2019</x:v>
      </x:c>
      <x:c r="E82" s="24" t="str">
        <x:v>Scomberesocidae</x:v>
      </x:c>
      <x:c r="F82" s="24" t="str">
        <x:v>Sauries</x:v>
      </x:c>
      <x:c r="G82" s="24" t="str">
        <x:v>Medium pelagics (30 - 89 cm)</x:v>
      </x:c>
      <x:c r="H82" s="24" t="str">
        <x:v>Other fishes &amp; inverts</x:v>
      </x:c>
      <x:c r="I82" s="31" t="n">
        <x:v>0.6635231168</x:v>
      </x:c>
      <x:c r="J82" s="31" t="n">
        <x:v>0.525062985</x:v>
      </x:c>
      <x:c r="K82" s="31" t="n">
        <x:v>0.1384601318</x:v>
      </x:c>
      <x:c r="L82" s="31" t="n">
        <x:v>0</x:v>
      </x:c>
      <x:c r="M82" s="31" t="n">
        <x:v>0.6635231168</x:v>
      </x:c>
      <x:c r="N82" s="24" t="str">
        <x:v>scomberesocidae</x:v>
      </x:c>
      <x:c r="O82" s="32" t="n">
        <x:v>4.01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Scomberesocidae</x:v>
      </x:c>
      <x:c r="T82" s="32" t="n">
        <x:f>IF(O82="","",(1/'Metadata'!$B$5)^(O82-1))</x:f>
        <x:v>1023.2929922807537</x:v>
      </x:c>
      <x:c r="U82" s="31" t="n">
        <x:f>IF(T82="","",I82*T82)</x:f>
        <x:v>678.978555637724</x:v>
      </x:c>
    </x:row>
    <x:row r="83" ht="18" customHeight="1">
      <x:c r="A83" s="24" t="str">
        <x:v>EEZ_966</x:v>
      </x:c>
      <x:c r="B83" s="24" t="str">
        <x:v>Turkey (Marmara Sea)</x:v>
      </x:c>
      <x:c r="C83" s="24" t="str">
        <x:v>EEZ</x:v>
      </x:c>
      <x:c r="D83" s="30" t="n">
        <x:v>2019</x:v>
      </x:c>
      <x:c r="E83" s="24" t="str">
        <x:v>Squatina squatina</x:v>
      </x:c>
      <x:c r="F83" s="24" t="str">
        <x:v>Angelshark</x:v>
      </x:c>
      <x:c r="G83" s="24" t="str">
        <x:v>Large sharks (&gt;=90 cm)</x:v>
      </x:c>
      <x:c r="H83" s="24" t="str">
        <x:v>Sharks &amp; rays</x:v>
      </x:c>
      <x:c r="I83" s="31" t="n">
        <x:v>0.4973720971</x:v>
      </x:c>
      <x:c r="J83" s="31" t="n">
        <x:v>0.46092507670000005</x:v>
      </x:c>
      <x:c r="K83" s="31" t="n">
        <x:v>0.0364470204</x:v>
      </x:c>
      <x:c r="L83" s="31" t="n">
        <x:v>0.29999999980000003</x:v>
      </x:c>
      <x:c r="M83" s="31" t="n">
        <x:v>0.19737209730000002</x:v>
      </x:c>
      <x:c r="N83" s="24" t="str">
        <x:v>squatina squatina</x:v>
      </x:c>
      <x:c r="O83" s="32" t="n">
        <x:v>4.05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Squatina squatina</x:v>
      </x:c>
      <x:c r="T83" s="32" t="n">
        <x:f>IF(O83="","",(1/'Metadata'!$B$5)^(O83-1))</x:f>
        <x:v>1122.018454301963</x:v>
      </x:c>
      <x:c r="U83" s="31" t="n">
        <x:f>IF(T83="","",I83*T83)</x:f>
        <x:v>558.0606716010678</x:v>
      </x:c>
    </x:row>
    <x:row r="84" ht="18" customHeight="1">
      <x:c r="A84" s="24" t="str">
        <x:v>EEZ_966</x:v>
      </x:c>
      <x:c r="B84" s="24" t="str">
        <x:v>Turkey (Marmara Sea)</x:v>
      </x:c>
      <x:c r="C84" s="24" t="str">
        <x:v>EEZ</x:v>
      </x:c>
      <x:c r="D84" s="30" t="n">
        <x:v>2019</x:v>
      </x:c>
      <x:c r="E84" s="24" t="str">
        <x:v>Serranus scriba</x:v>
      </x:c>
      <x:c r="F84" s="24" t="str">
        <x:v>Painted comber</x:v>
      </x:c>
      <x:c r="G84" s="24" t="str">
        <x:v>Medium demersals (30 - 89 cm)</x:v>
      </x:c>
      <x:c r="H84" s="24" t="str">
        <x:v>Perch-likes</x:v>
      </x:c>
      <x:c r="I84" s="31" t="n">
        <x:v>0.0999999999</x:v>
      </x:c>
      <x:c r="J84" s="31" t="n">
        <x:v>0.0999999999</x:v>
      </x:c>
      <x:c r="K84" s="31" t="n">
        <x:v>0</x:v>
      </x:c>
      <x:c r="L84" s="31" t="n">
        <x:v>0.0999999999</x:v>
      </x:c>
      <x:c r="M84" s="31" t="n">
        <x:v>0</x:v>
      </x:c>
      <x:c r="N84" s="24" t="str">
        <x:v>serranus scriba</x:v>
      </x:c>
      <x:c r="O84" s="32" t="n">
        <x:v>3.82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Serranus scriba</x:v>
      </x:c>
      <x:c r="T84" s="32" t="n">
        <x:f>IF(O84="","",(1/'Metadata'!$B$5)^(O84-1))</x:f>
        <x:v>660.6934480075957</x:v>
      </x:c>
      <x:c r="U84" s="31" t="n">
        <x:f>IF(T84="","",I84*T84)</x:f>
        <x:v>66.06934473469023</x:v>
      </x:c>
    </x:row>
    <x:row r="85" ht="18" customHeight="1">
      <x:c r="A85" s="24" t="str">
        <x:v>EEZ_966</x:v>
      </x:c>
      <x:c r="B85" s="24" t="str">
        <x:v>Turkey (Marmara Sea)</x:v>
      </x:c>
      <x:c r="C85" s="24" t="str">
        <x:v>EEZ</x:v>
      </x:c>
      <x:c r="D85" s="30" t="n">
        <x:v>2019</x:v>
      </x:c>
      <x:c r="E85" s="24" t="str">
        <x:v>Sphyraena</x:v>
      </x:c>
      <x:c r="F85" s="24" t="str">
        <x:v>Barracudas, sennets</x:v>
      </x:c>
      <x:c r="G85" s="24" t="str">
        <x:v>Large pelagics (&gt;=90 cm)</x:v>
      </x:c>
      <x:c r="H85" s="24" t="str">
        <x:v>Perch-likes</x:v>
      </x:c>
      <x:c r="I85" s="31" t="n">
        <x:v>0.09180973170000001</x:v>
      </x:c>
      <x:c r="J85" s="31" t="n">
        <x:v>0.07896258460000001</x:v>
      </x:c>
      <x:c r="K85" s="31" t="n">
        <x:v>0.012847147100000001</x:v>
      </x:c>
      <x:c r="L85" s="31" t="n">
        <x:v>0</x:v>
      </x:c>
      <x:c r="M85" s="31" t="n">
        <x:v>0.09180973170000001</x:v>
      </x:c>
      <x:c r="N85" s="24" t="str">
        <x:v>sphyraena</x:v>
      </x:c>
      <x:c r="O85" s="32" t="n">
        <x:v>4.4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Sphyraena</x:v>
      </x:c>
      <x:c r="T85" s="32" t="n">
        <x:f>IF(O85="","",(1/'Metadata'!$B$5)^(O85-1))</x:f>
        <x:v>2511.886431509582</x:v>
      </x:c>
      <x:c r="U85" s="31" t="n">
        <x:f>IF(T85="","",I85*T85)</x:f>
        <x:v>230.61561933776517</x:v>
      </x:c>
    </x:row>
    <x:row r="86" ht="18" customHeight="1">
      <x:c r="A86" s="24" t="str">
        <x:v>EEZ_966</x:v>
      </x:c>
      <x:c r="B86" s="24" t="str">
        <x:v>Turkey (Marmara Sea)</x:v>
      </x:c>
      <x:c r="C86" s="24" t="str">
        <x:v>EEZ</x:v>
      </x:c>
      <x:c r="D86" s="30" t="n">
        <x:v>2019</x:v>
      </x:c>
      <x:c r="E86" s="24" t="str">
        <x:v>Euthynnus alletteratus</x:v>
      </x:c>
      <x:c r="F86" s="24" t="str">
        <x:v>Little tunny </x:v>
      </x:c>
      <x:c r="G86" s="24" t="str">
        <x:v>Large pelagics (&gt;=90 cm)</x:v>
      </x:c>
      <x:c r="H86" s="24" t="str">
        <x:v>Tuna &amp; billfishes</x:v>
      </x:c>
      <x:c r="I86" s="31" t="n">
        <x:v>0.0761019474</x:v>
      </x:c>
      <x:c r="J86" s="31" t="n">
        <x:v>0.0761019474</x:v>
      </x:c>
      <x:c r="K86" s="31" t="n">
        <x:v>0</x:v>
      </x:c>
      <x:c r="L86" s="31" t="n">
        <x:v>0</x:v>
      </x:c>
      <x:c r="M86" s="31" t="n">
        <x:v>0.0761019474</x:v>
      </x:c>
      <x:c r="N86" s="24" t="str">
        <x:v>euthynnus alletteratus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Euthynnus alletteratus</x:v>
      </x:c>
      <x:c r="T86" s="32" t="n">
        <x:f>IF(O86="","",(1/'Metadata'!$B$5)^(O86-1))</x:f>
        <x:v>3090.295432513592</x:v>
      </x:c>
      <x:c r="U86" s="31" t="n">
        <x:f>IF(T86="","",I86*T86)</x:f>
        <x:v>235.17750045560962</x:v>
      </x:c>
    </x:row>
    <x:row r="87" ht="18" customHeight="1">
      <x:c r="A87" s="24" t="str">
        <x:v>EEZ_966</x:v>
      </x:c>
      <x:c r="B87" s="24" t="str">
        <x:v>Turkey (Marmara Sea)</x:v>
      </x:c>
      <x:c r="C87" s="24" t="str">
        <x:v>EEZ</x:v>
      </x:c>
      <x:c r="D87" s="30" t="n">
        <x:v>2019</x:v>
      </x:c>
      <x:c r="E87" s="24" t="str">
        <x:v>Conger conger</x:v>
      </x:c>
      <x:c r="F87" s="24" t="str">
        <x:v>European conger</x:v>
      </x:c>
      <x:c r="G87" s="24" t="str">
        <x:v>Large demersals (&gt;=90 cm)</x:v>
      </x:c>
      <x:c r="H87" s="24" t="str">
        <x:v>Other fishes &amp; inverts</x:v>
      </x:c>
      <x:c r="I87" s="31" t="n">
        <x:v>0.0335581565</x:v>
      </x:c>
      <x:c r="J87" s="31" t="n">
        <x:v>0.0265209677</x:v>
      </x:c>
      <x:c r="K87" s="31" t="n">
        <x:v>0.0070371888</x:v>
      </x:c>
      <x:c r="L87" s="31" t="n">
        <x:v>0</x:v>
      </x:c>
      <x:c r="M87" s="31" t="n">
        <x:v>0.0335581565</x:v>
      </x:c>
      <x:c r="N87" s="24" t="str">
        <x:v>conger conger</x:v>
      </x:c>
      <x:c r="O87" s="32" t="n">
        <x:v>4.31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Conger conger</x:v>
      </x:c>
      <x:c r="T87" s="32" t="n">
        <x:f>IF(O87="","",(1/'Metadata'!$B$5)^(O87-1))</x:f>
        <x:v>2041.7379446695275</x:v>
      </x:c>
      <x:c r="U87" s="31" t="n">
        <x:f>IF(T87="","",I87*T87)</x:f>
        <x:v>68.51696147920833</x:v>
      </x:c>
    </x:row>
    <x:row r="88" ht="18" customHeight="1">
      <x:c r="A88" s="24" t="str">
        <x:v>EEZ_966</x:v>
      </x:c>
      <x:c r="B88" s="24" t="str">
        <x:v>Turkey (Marmara Sea)</x:v>
      </x:c>
      <x:c r="C88" s="24" t="str">
        <x:v>EEZ</x:v>
      </x:c>
      <x:c r="D88" s="30" t="n">
        <x:v>2019</x:v>
      </x:c>
      <x:c r="E88" s="24" t="str">
        <x:v>Palinurus elephas</x:v>
      </x:c>
      <x:c r="F88" s="24" t="str">
        <x:v>Common spiny lobster</x:v>
      </x:c>
      <x:c r="G88" s="24" t="str">
        <x:v>Lobsters, crabs</x:v>
      </x:c>
      <x:c r="H88" s="24" t="str">
        <x:v>Crustaceans</x:v>
      </x:c>
      <x:c r="I88" s="31" t="n">
        <x:v>0.0251606468</x:v>
      </x:c>
      <x:c r="J88" s="31" t="n">
        <x:v>0.0207185794</x:v>
      </x:c>
      <x:c r="K88" s="31" t="n">
        <x:v>0.004442067399999999</x:v>
      </x:c>
      <x:c r="L88" s="31" t="n">
        <x:v>0</x:v>
      </x:c>
      <x:c r="M88" s="31" t="n">
        <x:v>0.0251606468</x:v>
      </x:c>
      <x:c r="N88" s="24" t="str">
        <x:v>palinurus elephas</x:v>
      </x:c>
      <x:c r="O88" s="32" t="n">
        <x:v>3.34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Palinurus elephas</x:v>
      </x:c>
      <x:c r="T88" s="32" t="n">
        <x:f>IF(O88="","",(1/'Metadata'!$B$5)^(O88-1))</x:f>
        <x:v>218.77616239495518</x:v>
      </x:c>
      <x:c r="U88" s="31" t="n">
        <x:f>IF(T88="","",I88*T88)</x:f>
        <x:v>5.504549750278909</x:v>
      </x:c>
    </x:row>
    <x:row r="89" ht="18" customHeight="1">
      <x:c r="A89" s="24" t="str">
        <x:v>EEZ_966</x:v>
      </x:c>
      <x:c r="B89" s="24" t="str">
        <x:v>Turkey (Marmara Sea)</x:v>
      </x:c>
      <x:c r="C89" s="24" t="str">
        <x:v>EEZ</x:v>
      </x:c>
      <x:c r="D89" s="30" t="n">
        <x:v>2019</x:v>
      </x:c>
      <x:c r="E89" s="24" t="str">
        <x:v>Epinephelus aeneus</x:v>
      </x:c>
      <x:c r="F89" s="24" t="str">
        <x:v>White grouper</x:v>
      </x:c>
      <x:c r="G89" s="24" t="str">
        <x:v>Large demersals (&gt;=90 cm)</x:v>
      </x:c>
      <x:c r="H89" s="24" t="str">
        <x:v>Perch-likes</x:v>
      </x:c>
      <x:c r="I89" s="31" t="n">
        <x:v>0.0235630699</x:v>
      </x:c>
      <x:c r="J89" s="31" t="n">
        <x:v>0.0199607667</x:v>
      </x:c>
      <x:c r="K89" s="31" t="n">
        <x:v>0.0036023032</x:v>
      </x:c>
      <x:c r="L89" s="31" t="n">
        <x:v>0</x:v>
      </x:c>
      <x:c r="M89" s="31" t="n">
        <x:v>0.0235630699</x:v>
      </x:c>
      <x:c r="N89" s="24" t="str">
        <x:v>epinephelus aeneus</x:v>
      </x:c>
      <x:c r="O89" s="32" t="n">
        <x:v>4.02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aeneus</x:v>
      </x:c>
      <x:c r="T89" s="32" t="n">
        <x:f>IF(O89="","",(1/'Metadata'!$B$5)^(O89-1))</x:f>
        <x:v>1047.1285480508984</x:v>
      </x:c>
      <x:c r="U89" s="31" t="n">
        <x:f>IF(T89="","",I89*T89)</x:f>
        <x:v>24.67356317200883</x:v>
      </x:c>
    </x:row>
    <x:row r="90" ht="18" customHeight="1">
      <x:c r="A90" s="24" t="str">
        <x:v>EEZ_966</x:v>
      </x:c>
      <x:c r="B90" s="24" t="str">
        <x:v>Turkey (Marmara Sea)</x:v>
      </x:c>
      <x:c r="C90" s="24" t="str">
        <x:v>EEZ</x:v>
      </x:c>
      <x:c r="D90" s="30" t="n">
        <x:v>2019</x:v>
      </x:c>
      <x:c r="E90" s="24" t="str">
        <x:v>Thunnus alalunga</x:v>
      </x:c>
      <x:c r="F90" s="24" t="str">
        <x:v>Albacore</x:v>
      </x:c>
      <x:c r="G90" s="24" t="str">
        <x:v>Large pelagics (&gt;=90 cm)</x:v>
      </x:c>
      <x:c r="H90" s="24" t="str">
        <x:v>Tuna &amp; billfishes</x:v>
      </x:c>
      <x:c r="I90" s="31" t="n">
        <x:v>0.0039921958</x:v>
      </x:c>
      <x:c r="J90" s="31" t="n">
        <x:v>0.0026658363</x:v>
      </x:c>
      <x:c r="K90" s="31" t="n">
        <x:v>0.0013263595</x:v>
      </x:c>
      <x:c r="L90" s="31" t="n">
        <x:v>0</x:v>
      </x:c>
      <x:c r="M90" s="31" t="n">
        <x:v>0.0039921958</x:v>
      </x:c>
      <x:c r="N90" s="24" t="str">
        <x:v>thunnus alalunga</x:v>
      </x:c>
      <x:c r="O90" s="32" t="n">
        <x:v>4.3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Thunnus alalunga</x:v>
      </x:c>
      <x:c r="T90" s="32" t="n">
        <x:f>IF(O90="","",(1/'Metadata'!$B$5)^(O90-1))</x:f>
        <x:v>1995.2623149688789</x:v>
      </x:c>
      <x:c r="U90" s="31" t="n">
        <x:f>IF(T90="","",I90*T90)</x:f>
        <x:v>7.965477833717035</x:v>
      </x:c>
    </x:row>
  </x:sheetData>
  <x:conditionalFormatting sqref="R2:R9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01443a770b045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25212.7004094679</x:v>
      </x:c>
      <x:c r="E2" s="31" t="n">
        <x:v>25212.7004094679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IF(C2=0,"",SUMIF('Species'!$H$2:$H$90,A2,'Species'!$U$2:$U$90))</x:f>
        <x:v>3248024.999947031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3248024.999947031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998.9040540514001</x:v>
      </x:c>
      <x:c r="E3" s="31" t="n">
        <x:v>998.9040540514001</x:v>
      </x:c>
      <x:c r="F3" s="32" t="n">
        <x:v>0</x:v>
      </x:c>
      <x:c r="G3" s="34" t="n">
        <x:v>1</x:v>
      </x:c>
      <x:c r="H3" s="32" t="n">
        <x:f>IF(E3=0,"",I3/E3)</x:f>
        <x:v>2279.0015690414707</x:v>
      </x:c>
      <x:c r="I3" s="31" t="n">
        <x:f>IF(C3=0,"",SUMIF('Species'!$H$2:$H$90,A3,'Species'!$U$2:$U$90))</x:f>
        <x:v>2276503.906505027</x:v>
      </x:c>
      <x:c r="J3" s="32" t="n">
        <x:v>4.357592721132237</x:v>
      </x:c>
      <x:c r="K3" s="32" t="n">
        <x:f>IF(J3="","",(1/'Metadata'!$B$5)^(J3-1))</x:f>
        <x:v>2278.2045827373913</x:v>
      </x:c>
      <x:c r="L3" s="31" t="n">
        <x:f>IF(E3=0,"",E3*K3)</x:f>
        <x:v>2275707.7936548586</x:v>
      </x:c>
      <x:c r="M3" s="31" t="n">
        <x:f>IF(E3=0,"",I3-L3)</x:f>
        <x:v>796.1128501682542</x:v>
      </x:c>
      <x:c r="N3" s="32" t="n">
        <x:f>IF(L3=0,"",I3/L3)</x:f>
        <x:v>1.0003498308756458</x:v>
      </x:c>
      <x:c r="O3" s="34" t="n">
        <x:f>IF(L3=0,"",M3/L3)</x:f>
        <x:v>0.00034983087564580156</x:v>
      </x:c>
    </x:row>
    <x:row r="4" ht="18" customHeight="1">
      <x:c r="A4" s="24" t="str">
        <x:v>Crustaceans</x:v>
      </x:c>
      <x:c r="B4" s="33" t="n">
        <x:v>9</x:v>
      </x:c>
      <x:c r="C4" s="33" t="n">
        <x:v>9</x:v>
      </x:c>
      <x:c r="D4" s="31" t="n">
        <x:v>4673.1302365579995</x:v>
      </x:c>
      <x:c r="E4" s="31" t="n">
        <x:v>4673.1302365579995</x:v>
      </x:c>
      <x:c r="F4" s="32" t="n">
        <x:v>0</x:v>
      </x:c>
      <x:c r="G4" s="34" t="n">
        <x:v>1</x:v>
      </x:c>
      <x:c r="H4" s="32" t="n">
        <x:f>IF(E4=0,"",I4/E4)</x:f>
        <x:v>217.60463938125096</x:v>
      </x:c>
      <x:c r="I4" s="31" t="n">
        <x:f>IF(C4=0,"",SUMIF('Species'!$H$2:$H$90,A4,'Species'!$U$2:$U$90))</x:f>
        <x:v>1016894.8199078235</x:v>
      </x:c>
      <x:c r="J4" s="32" t="n">
        <x:v>3.309929043839165</x:v>
      </x:c>
      <x:c r="K4" s="32" t="n">
        <x:f>IF(J4="","",(1/'Metadata'!$B$5)^(J4-1))</x:f>
        <x:v>204.140438746876</x:v>
      </x:c>
      <x:c r="L4" s="31" t="n">
        <x:f>IF(E4=0,"",E4*K4)</x:f>
        <x:v>953974.8568122424</x:v>
      </x:c>
      <x:c r="M4" s="31" t="n">
        <x:f>IF(E4=0,"",I4-L4)</x:f>
        <x:v>62919.96309558104</x:v>
      </x:c>
      <x:c r="N4" s="32" t="n">
        <x:f>IF(L4=0,"",I4/L4)</x:f>
        <x:v>1.0659555780178855</x:v>
      </x:c>
      <x:c r="O4" s="34" t="n">
        <x:f>IF(L4=0,"",M4/L4)</x:f>
        <x:v>0.06595557801788554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3675.5270442010997</x:v>
      </x:c>
      <x:c r="E5" s="31" t="n">
        <x:v>3675.5270442010997</x:v>
      </x:c>
      <x:c r="F5" s="32" t="n">
        <x:v>0</x:v>
      </x:c>
      <x:c r="G5" s="34" t="n">
        <x:v>1</x:v>
      </x:c>
      <x:c r="H5" s="32" t="n">
        <x:f>IF(E5=0,"",I5/E5)</x:f>
        <x:v>1813.5793304199763</x:v>
      </x:c>
      <x:c r="I5" s="31" t="n">
        <x:f>IF(C5=0,"",SUMIF('Species'!$H$2:$H$90,A5,'Species'!$U$2:$U$90))</x:f>
        <x:v>6665859.875762745</x:v>
      </x:c>
      <x:c r="J5" s="32" t="n">
        <x:v>4.132945903981762</x:v>
      </x:c>
      <x:c r="K5" s="32" t="n">
        <x:f>IF(J5="","",(1/'Metadata'!$B$5)^(J5-1))</x:f>
        <x:v>1358.1442646704768</x:v>
      </x:c>
      <x:c r="L5" s="31" t="n">
        <x:f>IF(E5=0,"",E5*K5)</x:f>
        <x:v>4991895.9747229535</x:v>
      </x:c>
      <x:c r="M5" s="31" t="n">
        <x:f>IF(E5=0,"",I5-L5)</x:f>
        <x:v>1673963.9010397913</x:v>
      </x:c>
      <x:c r="N5" s="32" t="n">
        <x:f>IF(L5=0,"",I5/L5)</x:f>
        <x:v>1.335336294970108</x:v>
      </x:c>
      <x:c r="O5" s="34" t="n">
        <x:f>IF(L5=0,"",M5/L5)</x:f>
        <x:v>0.33533629497010803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6710.9282293303</x:v>
      </x:c>
      <x:c r="E6" s="31" t="n">
        <x:v>6710.9282293303</x:v>
      </x:c>
      <x:c r="F6" s="32" t="n">
        <x:v>0</x:v>
      </x:c>
      <x:c r="G6" s="34" t="n">
        <x:v>1</x:v>
      </x:c>
      <x:c r="H6" s="32" t="n">
        <x:f>IF(E6=0,"",I6/E6)</x:f>
        <x:v>119.40310108978528</x:v>
      </x:c>
      <x:c r="I6" s="31" t="n">
        <x:f>IF(C6=0,"",SUMIF('Species'!$H$2:$H$90,A6,'Species'!$U$2:$U$90))</x:f>
        <x:v>801305.6417730196</x:v>
      </x:c>
      <x:c r="J6" s="32" t="n">
        <x:v>3.0614533489491267</x:v>
      </x:c>
      <x:c r="K6" s="32" t="n">
        <x:f>IF(J6="","",(1/'Metadata'!$B$5)^(J6-1))</x:f>
        <x:v>115.2002307378962</x:v>
      </x:c>
      <x:c r="L6" s="31" t="n">
        <x:f>IF(E6=0,"",E6*K6)</x:f>
        <x:v>773100.4804843118</x:v>
      </x:c>
      <x:c r="M6" s="31" t="n">
        <x:f>IF(E6=0,"",I6-L6)</x:f>
        <x:v>28205.16128870775</x:v>
      </x:c>
      <x:c r="N6" s="32" t="n">
        <x:f>IF(L6=0,"",I6/L6)</x:f>
        <x:v>1.0364831765090077</x:v>
      </x:c>
      <x:c r="O6" s="34" t="n">
        <x:f>IF(L6=0,"",M6/L6)</x:f>
        <x:v>0.03648317650900762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31761.2186981516</x:v>
      </x:c>
      <x:c r="E7" s="31" t="n">
        <x:v>31761.2186981516</x:v>
      </x:c>
      <x:c r="F7" s="32" t="n">
        <x:v>0</x:v>
      </x:c>
      <x:c r="G7" s="34" t="n">
        <x:v>1</x:v>
      </x:c>
      <x:c r="H7" s="32" t="n">
        <x:f>IF(E7=0,"",I7/E7)</x:f>
        <x:v>49.794388665553114</x:v>
      </x:c>
      <x:c r="I7" s="31" t="n">
        <x:f>IF(C7=0,"",SUMIF('Species'!$H$2:$H$90,A7,'Species'!$U$2:$U$90))</x:f>
        <x:v>1581530.4683473937</x:v>
      </x:c>
      <x:c r="J7" s="32" t="n">
        <x:v>2.693648543353752</x:v>
      </x:c>
      <x:c r="K7" s="32" t="n">
        <x:f>IF(J7="","",(1/'Metadata'!$B$5)^(J7-1))</x:f>
        <x:v>49.39108235147573</x:v>
      </x:c>
      <x:c r="L7" s="31" t="n">
        <x:f>IF(E7=0,"",E7*K7)</x:f>
        <x:v>1568720.9683036364</x:v>
      </x:c>
      <x:c r="M7" s="31" t="n">
        <x:f>IF(E7=0,"",I7-L7)</x:f>
        <x:v>12809.50004375726</x:v>
      </x:c>
      <x:c r="N7" s="32" t="n">
        <x:f>IF(L7=0,"",I7/L7)</x:f>
        <x:v>1.008165569468743</x:v>
      </x:c>
      <x:c r="O7" s="34" t="n">
        <x:f>IF(L7=0,"",M7/L7)</x:f>
        <x:v>0.008165569468743084</x:v>
      </x:c>
    </x:row>
    <x:row r="8" ht="18" customHeight="1">
      <x:c r="A8" s="24" t="str">
        <x:v>Other fishes &amp; inverts</x:v>
      </x:c>
      <x:c r="B8" s="33" t="n">
        <x:v>14</x:v>
      </x:c>
      <x:c r="C8" s="33" t="n">
        <x:v>14</x:v>
      </x:c>
      <x:c r="D8" s="31" t="n">
        <x:v>12642.908345257802</x:v>
      </x:c>
      <x:c r="E8" s="31" t="n">
        <x:v>12642.908345257802</x:v>
      </x:c>
      <x:c r="F8" s="32" t="n">
        <x:v>0</x:v>
      </x:c>
      <x:c r="G8" s="34" t="n">
        <x:v>1</x:v>
      </x:c>
      <x:c r="H8" s="32" t="n">
        <x:f>IF(E8=0,"",I8/E8)</x:f>
        <x:v>209.21277688420687</x:v>
      </x:c>
      <x:c r="I8" s="31" t="n">
        <x:f>IF(C8=0,"",SUMIF('Species'!$H$2:$H$90,A8,'Species'!$U$2:$U$90))</x:f>
        <x:v>2645057.9628038974</x:v>
      </x:c>
      <x:c r="J8" s="32" t="n">
        <x:v>3.1611940831344847</x:v>
      </x:c>
      <x:c r="K8" s="32" t="n">
        <x:f>IF(J8="","",(1/'Metadata'!$B$5)^(J8-1))</x:f>
        <x:v>144.94194441376285</x:v>
      </x:c>
      <x:c r="L8" s="31" t="n">
        <x:f>IF(E8=0,"",E8*K8)</x:f>
        <x:v>1832487.7186066548</x:v>
      </x:c>
      <x:c r="M8" s="31" t="n">
        <x:f>IF(E8=0,"",I8-L8)</x:f>
        <x:v>812570.2441972427</x:v>
      </x:c>
      <x:c r="N8" s="32" t="n">
        <x:f>IF(L8=0,"",I8/L8)</x:f>
        <x:v>1.4434246603382894</x:v>
      </x:c>
      <x:c r="O8" s="34" t="n">
        <x:f>IF(L8=0,"",M8/L8)</x:f>
        <x:v>0.44342466033828937</x:v>
      </x:c>
    </x:row>
    <x:row r="9" ht="18" customHeight="1">
      <x:c r="A9" s="24" t="str">
        <x:v>Perch-likes</x:v>
      </x:c>
      <x:c r="B9" s="33" t="n">
        <x:v>35</x:v>
      </x:c>
      <x:c r="C9" s="33" t="n">
        <x:v>35</x:v>
      </x:c>
      <x:c r="D9" s="31" t="n">
        <x:v>38262.692464995394</x:v>
      </x:c>
      <x:c r="E9" s="31" t="n">
        <x:v>38262.692464995394</x:v>
      </x:c>
      <x:c r="F9" s="32" t="n">
        <x:v>0</x:v>
      </x:c>
      <x:c r="G9" s="34" t="n">
        <x:v>1</x:v>
      </x:c>
      <x:c r="H9" s="32" t="n">
        <x:f>IF(E9=0,"",I9/E9)</x:f>
        <x:v>1290.5072557934948</x:v>
      </x:c>
      <x:c r="I9" s="31" t="n">
        <x:f>IF(C9=0,"",SUMIF('Species'!$H$2:$H$90,A9,'Species'!$U$2:$U$90))</x:f>
        <x:v>49378282.25227164</x:v>
      </x:c>
      <x:c r="J9" s="32" t="n">
        <x:v>3.769770165999227</x:v>
      </x:c>
      <x:c r="K9" s="32" t="n">
        <x:f>IF(J9="","",(1/'Metadata'!$B$5)^(J9-1))</x:f>
        <x:v>588.5321144673763</x:v>
      </x:c>
      <x:c r="L9" s="31" t="n">
        <x:f>IF(E9=0,"",E9*K9)</x:f>
        <x:v>22518823.30163869</x:v>
      </x:c>
      <x:c r="M9" s="31" t="n">
        <x:f>IF(E9=0,"",I9-L9)</x:f>
        <x:v>26859458.95063295</x:v>
      </x:c>
      <x:c r="N9" s="32" t="n">
        <x:f>IF(L9=0,"",I9/L9)</x:f>
        <x:v>2.1927558820836963</x:v>
      </x:c>
      <x:c r="O9" s="34" t="n">
        <x:f>IF(L9=0,"",M9/L9)</x:f>
        <x:v>1.1927558820836963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160.95946297300003</x:v>
      </x:c>
      <x:c r="E10" s="31" t="n">
        <x:v>160.95946297300003</x:v>
      </x:c>
      <x:c r="F10" s="32" t="n">
        <x:v>0</x:v>
      </x:c>
      <x:c r="G10" s="34" t="n">
        <x:v>1</x:v>
      </x:c>
      <x:c r="H10" s="32" t="n">
        <x:f>IF(E10=0,"",I10/E10)</x:f>
        <x:v>602.3235825075341</x:v>
      </x:c>
      <x:c r="I10" s="31" t="n">
        <x:f>IF(C10=0,"",SUMIF('Species'!$H$2:$H$90,A10,'Species'!$U$2:$U$90))</x:f>
        <x:v>96949.68037638615</x:v>
      </x:c>
      <x:c r="J10" s="32" t="n">
        <x:v>3.7364705130117737</x:v>
      </x:c>
      <x:c r="K10" s="32" t="n">
        <x:f>IF(J10="","",(1/'Metadata'!$B$5)^(J10-1))</x:f>
        <x:v>545.0928846427025</x:v>
      </x:c>
      <x:c r="L10" s="31" t="n">
        <x:f>IF(E10=0,"",E10*K10)</x:f>
        <x:v>87737.85798249286</x:v>
      </x:c>
      <x:c r="M10" s="31" t="n">
        <x:f>IF(E10=0,"",I10-L10)</x:f>
        <x:v>9211.822393893293</x:v>
      </x:c>
      <x:c r="N10" s="32" t="n">
        <x:f>IF(L10=0,"",I10/L10)</x:f>
        <x:v>1.1049925608593205</x:v>
      </x:c>
      <x:c r="O10" s="34" t="n">
        <x:f>IF(L10=0,"",M10/L10)</x:f>
        <x:v>0.10499256085932042</x:v>
      </x:c>
    </x:row>
    <x:row r="11" ht="18" customHeight="1">
      <x:c r="A11" s="24" t="str">
        <x:v>Sharks &amp; rays</x:v>
      </x:c>
      <x:c r="B11" s="33" t="n">
        <x:v>7</x:v>
      </x:c>
      <x:c r="C11" s="33" t="n">
        <x:v>7</x:v>
      </x:c>
      <x:c r="D11" s="31" t="n">
        <x:v>4204.928016799</x:v>
      </x:c>
      <x:c r="E11" s="31" t="n">
        <x:v>4204.928016799</x:v>
      </x:c>
      <x:c r="F11" s="32" t="n">
        <x:v>0</x:v>
      </x:c>
      <x:c r="G11" s="34" t="n">
        <x:v>1</x:v>
      </x:c>
      <x:c r="H11" s="32" t="n">
        <x:f>IF(E11=0,"",I11/E11)</x:f>
        <x:v>964.2191318114341</x:v>
      </x:c>
      <x:c r="I11" s="31" t="n">
        <x:f>IF(C11=0,"",SUMIF('Species'!$H$2:$H$90,A11,'Species'!$U$2:$U$90))</x:f>
        <x:v>4054472.041687507</x:v>
      </x:c>
      <x:c r="J11" s="32" t="n">
        <x:v>3.9658938873263643</x:v>
      </x:c>
      <x:c r="K11" s="32" t="n">
        <x:f>IF(J11="","",(1/'Metadata'!$B$5)^(J11-1))</x:f>
        <x:v>924.4722668329305</x:v>
      </x:c>
      <x:c r="L11" s="31" t="n">
        <x:f>IF(E11=0,"",E11*K11)</x:f>
        <x:v>3887339.33555947</x:v>
      </x:c>
      <x:c r="M11" s="31" t="n">
        <x:f>IF(E11=0,"",I11-L11)</x:f>
        <x:v>167132.70612803707</x:v>
      </x:c>
      <x:c r="N11" s="32" t="n">
        <x:f>IF(L11=0,"",I11/L11)</x:f>
        <x:v>1.0429941128625404</x:v>
      </x:c>
      <x:c r="O11" s="34" t="n">
        <x:f>IF(L11=0,"",M11/L11)</x:f>
        <x:v>0.042994112862540505</x:v>
      </x:c>
    </x:row>
    <x:row r="12" ht="18" customHeight="1">
      <x:c r="A12" s="24" t="str">
        <x:v>Tuna &amp; billfishes</x:v>
      </x:c>
      <x:c r="B12" s="33" t="n">
        <x:v>7</x:v>
      </x:c>
      <x:c r="C12" s="33" t="n">
        <x:v>7</x:v>
      </x:c>
      <x:c r="D12" s="31" t="n">
        <x:v>6975.345279598199</x:v>
      </x:c>
      <x:c r="E12" s="31" t="n">
        <x:v>6975.345279598199</x:v>
      </x:c>
      <x:c r="F12" s="32" t="n">
        <x:v>0</x:v>
      </x:c>
      <x:c r="G12" s="34" t="n">
        <x:v>1</x:v>
      </x:c>
      <x:c r="H12" s="32" t="n">
        <x:f>IF(E12=0,"",I12/E12)</x:f>
        <x:v>3098.56574021579</x:v>
      </x:c>
      <x:c r="I12" s="31" t="n">
        <x:f>IF(C12=0,"",SUMIF('Species'!$H$2:$H$90,A12,'Species'!$U$2:$U$90))</x:f>
        <x:v>21613565.90953891</x:v>
      </x:c>
      <x:c r="J12" s="32" t="n">
        <x:v>4.48715856234074</x:v>
      </x:c>
      <x:c r="K12" s="32" t="n">
        <x:f>IF(J12="","",(1/'Metadata'!$B$5)^(J12-1))</x:f>
        <x:v>3070.1427029677875</x:v>
      </x:c>
      <x:c r="L12" s="31" t="n">
        <x:f>IF(E12=0,"",E12*K12)</x:f>
        <x:v>21415305.410839215</x:v>
      </x:c>
      <x:c r="M12" s="31" t="n">
        <x:f>IF(E12=0,"",I12-L12)</x:f>
        <x:v>198260.49869969487</x:v>
      </x:c>
      <x:c r="N12" s="32" t="n">
        <x:f>IF(L12=0,"",I12/L12)</x:f>
        <x:v>1.0092578879869416</x:v>
      </x:c>
      <x:c r="O12" s="34" t="n">
        <x:f>IF(L12=0,"",M12/L12)</x:f>
        <x:v>0.00925788798694165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b304c37c42649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204.6280122533</x:v>
      </x:c>
      <x:c r="E2" s="31" t="n">
        <x:v>204.6280122533</x:v>
      </x:c>
      <x:c r="F2" s="32" t="n">
        <x:v>0</x:v>
      </x:c>
      <x:c r="G2" s="34" t="n">
        <x:v>1</x:v>
      </x:c>
      <x:c r="H2" s="32" t="n">
        <x:f>IF(E2=0,"",I2/E2)</x:f>
        <x:v>527.7740370569128</x:v>
      </x:c>
      <x:c r="I2" s="31" t="n">
        <x:f>IF(C2=0,"",SUMIF('Species'!$G$2:$G$90,A2,'Species'!$U$2:$U$90))</x:f>
        <x:v>107997.35212185557</x:v>
      </x:c>
      <x:c r="J2" s="32" t="n">
        <x:v>3.6593428889523465</x:v>
      </x:c>
      <x:c r="K2" s="32" t="n">
        <x:f>IF(J2="","",(1/'Metadata'!$B$5)^(J2-1))</x:f>
        <x:v>456.3971134039412</x:v>
      </x:c>
      <x:c r="L2" s="31" t="n">
        <x:f>IF(E2=0,"",E2*K2)</x:f>
        <x:v>93391.63411399243</x:v>
      </x:c>
      <x:c r="M2" s="31" t="n">
        <x:f>IF(E2=0,"",I2-L2)</x:f>
        <x:v>14605.718007863135</x:v>
      </x:c>
      <x:c r="N2" s="32" t="n">
        <x:f>IF(L2=0,"",I2/L2)</x:f>
        <x:v>1.1563921452539916</x:v>
      </x:c>
      <x:c r="O2" s="34" t="n">
        <x:f>IF(L2=0,"",M2/L2)</x:f>
        <x:v>0.15639214525399153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160.8064557486</x:v>
      </x:c>
      <x:c r="E3" s="31" t="n">
        <x:v>160.8064557486</x:v>
      </x:c>
      <x:c r="F3" s="32" t="n">
        <x:v>0</x:v>
      </x:c>
      <x:c r="G3" s="34" t="n">
        <x:v>1</x:v>
      </x:c>
      <x:c r="H3" s="32" t="n">
        <x:f>IF(E3=0,"",I3/E3)</x:f>
        <x:v>2500.8073482520017</x:v>
      </x:c>
      <x:c r="I3" s="31" t="n">
        <x:f>IF(C3=0,"",SUMIF('Species'!$G$2:$G$90,A3,'Species'!$U$2:$U$90))</x:f>
        <x:v>402145.9661824592</x:v>
      </x:c>
      <x:c r="J3" s="32" t="n">
        <x:v>4.3952136423317905</x:v>
      </x:c>
      <x:c r="K3" s="32" t="n">
        <x:f>IF(J3="","",(1/'Metadata'!$B$5)^(J3-1))</x:f>
        <x:v>2484.3549325929184</x:v>
      </x:c>
      <x:c r="L3" s="31" t="n">
        <x:f>IF(E3=0,"",E3*K3)</x:f>
        <x:v>399500.3115318193</x:v>
      </x:c>
      <x:c r="M3" s="31" t="n">
        <x:f>IF(E3=0,"",I3-L3)</x:f>
        <x:v>2645.6546506399172</x:v>
      </x:c>
      <x:c r="N3" s="32" t="n">
        <x:f>IF(L3=0,"",I3/L3)</x:f>
        <x:v>1.0066224094807226</x:v>
      </x:c>
      <x:c r="O3" s="34" t="n">
        <x:f>IF(L3=0,"",M3/L3)</x:f>
        <x:v>0.006622409480722512</x:v>
      </x:c>
    </x:row>
    <x:row r="4" ht="18" customHeight="1">
      <x:c r="A4" s="24" t="str">
        <x:v>Large benthopelagics (&gt;=90 cm)</x:v>
      </x:c>
      <x:c r="B4" s="33" t="n">
        <x:v>1</x:v>
      </x:c>
      <x:c r="C4" s="33" t="n">
        <x:v>1</x:v>
      </x:c>
      <x:c r="D4" s="31" t="n">
        <x:v>183.0344230218</x:v>
      </x:c>
      <x:c r="E4" s="31" t="n">
        <x:v>183.0344230218</x:v>
      </x:c>
      <x:c r="F4" s="32" t="n">
        <x:v>0</x:v>
      </x:c>
      <x:c r="G4" s="34" t="n">
        <x:v>1</x:v>
      </x:c>
      <x:c r="H4" s="32" t="n">
        <x:f>IF(E4=0,"",I4/E4)</x:f>
        <x:v>3388.4415613920273</x:v>
      </x:c>
      <x:c r="I4" s="31" t="n">
        <x:f>IF(C4=0,"",SUMIF('Species'!$G$2:$G$90,A4,'Species'!$U$2:$U$90))</x:f>
        <x:v>620201.4461324768</x:v>
      </x:c>
      <x:c r="J4" s="32" t="n">
        <x:v>4.53</x:v>
      </x:c>
      <x:c r="K4" s="32" t="n">
        <x:f>IF(J4="","",(1/'Metadata'!$B$5)^(J4-1))</x:f>
        <x:v>3388.4415613920273</x:v>
      </x:c>
      <x:c r="L4" s="31" t="n">
        <x:f>IF(E4=0,"",E4*K4)</x:f>
        <x:v>620201.4461324768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2383.8797530370002</x:v>
      </x:c>
      <x:c r="E5" s="31" t="n">
        <x:v>2383.8797530370002</x:v>
      </x:c>
      <x:c r="F5" s="32" t="n">
        <x:v>0</x:v>
      </x:c>
      <x:c r="G5" s="34" t="n">
        <x:v>1</x:v>
      </x:c>
      <x:c r="H5" s="32" t="n">
        <x:f>IF(E5=0,"",I5/E5)</x:f>
        <x:v>231.55899958539536</x:v>
      </x:c>
      <x:c r="I5" s="31" t="n">
        <x:f>IF(C5=0,"",SUMIF('Species'!$G$2:$G$90,A5,'Species'!$U$2:$U$90))</x:f>
        <x:v>552008.8107451271</x:v>
      </x:c>
      <x:c r="J5" s="32" t="n">
        <x:v>3.2887661149274825</x:v>
      </x:c>
      <x:c r="K5" s="32" t="n">
        <x:f>IF(J5="","",(1/'Metadata'!$B$5)^(J5-1))</x:f>
        <x:v>194.4312708908291</x:v>
      </x:c>
      <x:c r="L5" s="31" t="n">
        <x:f>IF(E5=0,"",E5*K5)</x:f>
        <x:v>463500.77003389975</x:v>
      </x:c>
      <x:c r="M5" s="31" t="n">
        <x:f>IF(E5=0,"",I5-L5)</x:f>
        <x:v>88508.0407112274</x:v>
      </x:c>
      <x:c r="N5" s="32" t="n">
        <x:f>IF(L5=0,"",I5/L5)</x:f>
        <x:v>1.1909555418964117</x:v>
      </x:c>
      <x:c r="O5" s="34" t="n">
        <x:f>IF(L5=0,"",M5/L5)</x:f>
        <x:v>0.19095554189641162</x:v>
      </x:c>
    </x:row>
    <x:row r="6" ht="18" customHeight="1">
      <x:c r="A6" s="24" t="str">
        <x:v>Large flatfishes (&gt;=90 cm)</x:v>
      </x:c>
      <x:c r="B6" s="33" t="n">
        <x:v>2</x:v>
      </x:c>
      <x:c r="C6" s="33" t="n">
        <x:v>2</x:v>
      </x:c>
      <x:c r="D6" s="31" t="n">
        <x:v>3615.6574450677</x:v>
      </x:c>
      <x:c r="E6" s="31" t="n">
        <x:v>3615.6574450677</x:v>
      </x:c>
      <x:c r="F6" s="32" t="n">
        <x:v>0</x:v>
      </x:c>
      <x:c r="G6" s="34" t="n">
        <x:v>1</x:v>
      </x:c>
      <x:c r="H6" s="32" t="n">
        <x:f>IF(E6=0,"",I6/E6)</x:f>
        <x:v>1840.9238886285523</x:v>
      </x:c>
      <x:c r="I6" s="31" t="n">
        <x:f>IF(C6=0,"",SUMIF('Species'!$G$2:$G$90,A6,'Species'!$U$2:$U$90))</x:f>
        <x:v>6656150.163722807</x:v>
      </x:c>
      <x:c r="J6" s="32" t="n">
        <x:v>4.1482284361720225</x:v>
      </x:c>
      <x:c r="K6" s="32" t="n">
        <x:f>IF(J6="","",(1/'Metadata'!$B$5)^(J6-1))</x:f>
        <x:v>1406.7872908430825</x:v>
      </x:c>
      <x:c r="L6" s="31" t="n">
        <x:f>IF(E6=0,"",E6*K6)</x:f>
        <x:v>5086460.94176341</x:v>
      </x:c>
      <x:c r="M6" s="31" t="n">
        <x:f>IF(E6=0,"",I6-L6)</x:f>
        <x:v>1569689.2219593963</x:v>
      </x:c>
      <x:c r="N6" s="32" t="n">
        <x:f>IF(L6=0,"",I6/L6)</x:f>
        <x:v>1.3086014499926948</x:v>
      </x:c>
      <x:c r="O6" s="34" t="n">
        <x:f>IF(L6=0,"",M6/L6)</x:f>
        <x:v>0.3086014499926948</x:v>
      </x:c>
    </x:row>
    <x:row r="7" ht="18" customHeight="1">
      <x:c r="A7" s="24" t="str">
        <x:v>Large pelagics (&gt;=90 cm)</x:v>
      </x:c>
      <x:c r="B7" s="33" t="n">
        <x:v>7</x:v>
      </x:c>
      <x:c r="C7" s="33" t="n">
        <x:v>7</x:v>
      </x:c>
      <x:c r="D7" s="31" t="n">
        <x:v>11146.764426432399</x:v>
      </x:c>
      <x:c r="E7" s="31" t="n">
        <x:v>11146.764426432399</x:v>
      </x:c>
      <x:c r="F7" s="32" t="n">
        <x:v>0</x:v>
      </x:c>
      <x:c r="G7" s="34" t="n">
        <x:v>1</x:v>
      </x:c>
      <x:c r="H7" s="32" t="n">
        <x:f>IF(E7=0,"",I7/E7)</x:f>
        <x:v>3383.006746620823</x:v>
      </x:c>
      <x:c r="I7" s="31" t="n">
        <x:f>IF(C7=0,"",SUMIF('Species'!$G$2:$G$90,A7,'Species'!$U$2:$U$90))</x:f>
        <x:v>37709579.25761379</x:v>
      </x:c>
      <x:c r="J7" s="32" t="n">
        <x:v>4.529268498034169</x:v>
      </x:c>
      <x:c r="K7" s="32" t="n">
        <x:f>IF(J7="","",(1/'Metadata'!$B$5)^(J7-1))</x:f>
        <x:v>3382.739058861948</x:v>
      </x:c>
      <x:c r="L7" s="31" t="n">
        <x:f>IF(E7=0,"",E7*K7)</x:f>
        <x:v>37706595.405225776</x:v>
      </x:c>
      <x:c r="M7" s="31" t="n">
        <x:f>IF(E7=0,"",I7-L7)</x:f>
        <x:v>2983.8523880168796</x:v>
      </x:c>
      <x:c r="N7" s="32" t="n">
        <x:f>IF(L7=0,"",I7/L7)</x:f>
        <x:v>1.0000791334342427</x:v>
      </x:c>
      <x:c r="O7" s="34" t="n">
        <x:f>IF(L7=0,"",M7/L7)</x:f>
        <x:v>0.00007913343424273585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322.3947373865</x:v>
      </x:c>
      <x:c r="E8" s="31" t="n">
        <x:v>322.3947373865</x:v>
      </x:c>
      <x:c r="F8" s="32" t="n">
        <x:v>0</x:v>
      </x:c>
      <x:c r="G8" s="34" t="n">
        <x:v>1</x:v>
      </x:c>
      <x:c r="H8" s="32" t="n">
        <x:f>IF(E8=0,"",I8/E8)</x:f>
        <x:v>691.8309709189363</x:v>
      </x:c>
      <x:c r="I8" s="31" t="n">
        <x:f>IF(C8=0,"",SUMIF('Species'!$G$2:$G$90,A8,'Species'!$U$2:$U$90))</x:f>
        <x:v>223042.6641852578</x:v>
      </x:c>
      <x:c r="J8" s="32" t="n">
        <x:v>3.84</x:v>
      </x:c>
      <x:c r="K8" s="32" t="n">
        <x:f>IF(J8="","",(1/'Metadata'!$B$5)^(J8-1))</x:f>
        <x:v>691.8309709189363</x:v>
      </x:c>
      <x:c r="L8" s="31" t="n">
        <x:f>IF(E8=0,"",E8*K8)</x:f>
        <x:v>223042.6641852578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1</x:v>
      </x:c>
      <x:c r="C9" s="33" t="n">
        <x:v>1</x:v>
      </x:c>
      <x:c r="D9" s="31" t="n">
        <x:v>93.1678006977</x:v>
      </x:c>
      <x:c r="E9" s="31" t="n">
        <x:v>93.1678006977</x:v>
      </x:c>
      <x:c r="F9" s="32" t="n">
        <x:v>0</x:v>
      </x:c>
      <x:c r="G9" s="34" t="n">
        <x:v>1</x:v>
      </x:c>
      <x:c r="H9" s="32" t="n">
        <x:f>IF(E9=0,"",I9/E9)</x:f>
        <x:v>2691.534803926914</x:v>
      </x:c>
      <x:c r="I9" s="31" t="n">
        <x:f>IF(C9=0,"",SUMIF('Species'!$G$2:$G$90,A9,'Species'!$U$2:$U$90))</x:f>
        <x:v>250764.37818318576</x:v>
      </x:c>
      <x:c r="J9" s="32" t="n">
        <x:v>4.43</x:v>
      </x:c>
      <x:c r="K9" s="32" t="n">
        <x:f>IF(J9="","",(1/'Metadata'!$B$5)^(J9-1))</x:f>
        <x:v>2691.534803926914</x:v>
      </x:c>
      <x:c r="L9" s="31" t="n">
        <x:f>IF(E9=0,"",E9*K9)</x:f>
        <x:v>250764.37818318576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Large sharks (&gt;=90 cm)</x:v>
      </x:c>
      <x:c r="B10" s="33" t="n">
        <x:v>5</x:v>
      </x:c>
      <x:c r="C10" s="33" t="n">
        <x:v>5</x:v>
      </x:c>
      <x:c r="D10" s="31" t="n">
        <x:v>3436.1042343893</x:v>
      </x:c>
      <x:c r="E10" s="31" t="n">
        <x:v>3436.1042343893</x:v>
      </x:c>
      <x:c r="F10" s="32" t="n">
        <x:v>0</x:v>
      </x:c>
      <x:c r="G10" s="34" t="n">
        <x:v>1</x:v>
      </x:c>
      <x:c r="H10" s="32" t="n">
        <x:f>IF(E10=0,"",I10/E10)</x:f>
        <x:v>1033.0745084007854</x:v>
      </x:c>
      <x:c r="I10" s="31" t="n">
        <x:f>IF(C10=0,"",SUMIF('Species'!$G$2:$G$90,A10,'Species'!$U$2:$U$90))</x:f>
        <x:v>3549751.6927555827</x:v>
      </x:c>
      <x:c r="J10" s="32" t="n">
        <x:v>3.9992593991435057</x:v>
      </x:c>
      <x:c r="K10" s="32" t="n">
        <x:f>IF(J10="","",(1/'Metadata'!$B$5)^(J10-1))</x:f>
        <x:v>998.2961566998821</x:v>
      </x:c>
      <x:c r="L10" s="31" t="n">
        <x:f>IF(E10=0,"",E10*K10)</x:f>
        <x:v>3430249.651211029</x:v>
      </x:c>
      <x:c r="M10" s="31" t="n">
        <x:f>IF(E10=0,"",I10-L10)</x:f>
        <x:v>119502.04154455382</x:v>
      </x:c>
      <x:c r="N10" s="32" t="n">
        <x:f>IF(L10=0,"",I10/L10)</x:f>
        <x:v>1.0348377096991657</x:v>
      </x:c>
      <x:c r="O10" s="34" t="n">
        <x:f>IF(L10=0,"",M10/L10)</x:f>
        <x:v>0.03483770969916558</x:v>
      </x:c>
    </x:row>
    <x:row r="11" ht="18" customHeight="1">
      <x:c r="A11" s="24" t="str">
        <x:v>Lobsters, crabs</x:v>
      </x:c>
      <x:c r="B11" s="33" t="n">
        <x:v>5</x:v>
      </x:c>
      <x:c r="C11" s="33" t="n">
        <x:v>5</x:v>
      </x:c>
      <x:c r="D11" s="31" t="n">
        <x:v>790.9956722347</x:v>
      </x:c>
      <x:c r="E11" s="31" t="n">
        <x:v>790.9956722347</x:v>
      </x:c>
      <x:c r="F11" s="32" t="n">
        <x:v>0</x:v>
      </x:c>
      <x:c r="G11" s="34" t="n">
        <x:v>1</x:v>
      </x:c>
      <x:c r="H11" s="32" t="n">
        <x:f>IF(E11=0,"",I11/E11)</x:f>
        <x:v>261.7221654625911</x:v>
      </x:c>
      <x:c r="I11" s="31" t="n">
        <x:f>IF(C11=0,"",SUMIF('Species'!$G$2:$G$90,A11,'Species'!$U$2:$U$90))</x:f>
        <x:v>207021.1002088036</x:v>
      </x:c>
      <x:c r="J11" s="32" t="n">
        <x:v>3.307615871112486</x:v>
      </x:c>
      <x:c r="K11" s="32" t="n">
        <x:f>IF(J11="","",(1/'Metadata'!$B$5)^(J11-1))</x:f>
        <x:v>203.05602073451027</x:v>
      </x:c>
      <x:c r="L11" s="31" t="n">
        <x:f>IF(E11=0,"",E11*K11)</x:f>
        <x:v>160616.43362219713</x:v>
      </x:c>
      <x:c r="M11" s="31" t="n">
        <x:f>IF(E11=0,"",I11-L11)</x:f>
        <x:v>46404.66658660647</x:v>
      </x:c>
      <x:c r="N11" s="32" t="n">
        <x:f>IF(L11=0,"",I11/L11)</x:f>
        <x:v>1.2889160563467608</x:v>
      </x:c>
      <x:c r="O11" s="34" t="n">
        <x:f>IF(L11=0,"",M11/L11)</x:f>
        <x:v>0.2889160563467608</x:v>
      </x:c>
    </x:row>
    <x:row r="12" ht="18" customHeight="1">
      <x:c r="A12" s="24" t="str">
        <x:v>Medium bathydemersals (30 - 89 cm)</x:v>
      </x:c>
      <x:c r="B12" s="33" t="n">
        <x:v>3</x:v>
      </x:c>
      <x:c r="C12" s="33" t="n">
        <x:v>3</x:v>
      </x:c>
      <x:c r="D12" s="31" t="n">
        <x:v>89.3600787192</x:v>
      </x:c>
      <x:c r="E12" s="31" t="n">
        <x:v>89.3600787192</x:v>
      </x:c>
      <x:c r="F12" s="32" t="n">
        <x:v>0</x:v>
      </x:c>
      <x:c r="G12" s="34" t="n">
        <x:v>1</x:v>
      </x:c>
      <x:c r="H12" s="32" t="n">
        <x:f>IF(E12=0,"",I12/E12)</x:f>
        <x:v>624.210763102163</x:v>
      </x:c>
      <x:c r="I12" s="31" t="n">
        <x:f>IF(C12=0,"",SUMIF('Species'!$G$2:$G$90,A12,'Species'!$U$2:$U$90))</x:f>
        <x:v>55779.52292818119</x:v>
      </x:c>
      <x:c r="J12" s="32" t="n">
        <x:v>3.6643876626564316</x:v>
      </x:c>
      <x:c r="K12" s="32" t="n">
        <x:f>IF(J12="","",(1/'Metadata'!$B$5)^(J12-1))</x:f>
        <x:v>461.729542578156</x:v>
      </x:c>
      <x:c r="L12" s="31" t="n">
        <x:f>IF(E12=0,"",E12*K12)</x:f>
        <x:v>41260.18827176423</x:v>
      </x:c>
      <x:c r="M12" s="31" t="n">
        <x:f>IF(E12=0,"",I12-L12)</x:f>
        <x:v>14519.334656416962</x:v>
      </x:c>
      <x:c r="N12" s="32" t="n">
        <x:f>IF(L12=0,"",I12/L12)</x:f>
        <x:v>1.351896955990214</x:v>
      </x:c>
      <x:c r="O12" s="34" t="n">
        <x:f>IF(L12=0,"",M12/L12)</x:f>
        <x:v>0.35189695599021403</x:v>
      </x:c>
    </x:row>
    <x:row r="13" ht="18" customHeight="1">
      <x:c r="A13" s="24" t="str">
        <x:v>Medium benthopelagics (30 - 89 cm)</x:v>
      </x:c>
      <x:c r="B13" s="33" t="n">
        <x:v>10</x:v>
      </x:c>
      <x:c r="C13" s="33" t="n">
        <x:v>10</x:v>
      </x:c>
      <x:c r="D13" s="31" t="n">
        <x:v>3876.6066247992003</x:v>
      </x:c>
      <x:c r="E13" s="31" t="n">
        <x:v>3876.6066247992003</x:v>
      </x:c>
      <x:c r="F13" s="32" t="n">
        <x:v>0</x:v>
      </x:c>
      <x:c r="G13" s="34" t="n">
        <x:v>1</x:v>
      </x:c>
      <x:c r="H13" s="32" t="n">
        <x:f>IF(E13=0,"",I13/E13)</x:f>
        <x:v>860.0829450532574</x:v>
      </x:c>
      <x:c r="I13" s="31" t="n">
        <x:f>IF(C13=0,"",SUMIF('Species'!$G$2:$G$90,A13,'Species'!$U$2:$U$90))</x:f>
        <x:v>3334203.242670264</x:v>
      </x:c>
      <x:c r="J13" s="32" t="n">
        <x:v>3.636737263825105</x:v>
      </x:c>
      <x:c r="K13" s="32" t="n">
        <x:f>IF(J13="","",(1/'Metadata'!$B$5)^(J13-1))</x:f>
        <x:v>433.24869558580895</x:v>
      </x:c>
      <x:c r="L13" s="31" t="n">
        <x:f>IF(E13=0,"",E13*K13)</x:f>
        <x:v>1679534.763493559</x:v>
      </x:c>
      <x:c r="M13" s="31" t="n">
        <x:f>IF(E13=0,"",I13-L13)</x:f>
        <x:v>1654668.479176705</x:v>
      </x:c>
      <x:c r="N13" s="32" t="n">
        <x:f>IF(L13=0,"",I13/L13)</x:f>
        <x:v>1.9851945402635607</x:v>
      </x:c>
      <x:c r="O13" s="34" t="n">
        <x:f>IF(L13=0,"",M13/L13)</x:f>
        <x:v>0.9851945402635607</x:v>
      </x:c>
    </x:row>
    <x:row r="14" ht="18" customHeight="1">
      <x:c r="A14" s="24" t="str">
        <x:v>Medium demersals (30 - 89 cm)</x:v>
      </x:c>
      <x:c r="B14" s="33" t="n">
        <x:v>11</x:v>
      </x:c>
      <x:c r="C14" s="33" t="n">
        <x:v>11</x:v>
      </x:c>
      <x:c r="D14" s="31" t="n">
        <x:v>10079.546611283</x:v>
      </x:c>
      <x:c r="E14" s="31" t="n">
        <x:v>10079.546611283</x:v>
      </x:c>
      <x:c r="F14" s="32" t="n">
        <x:v>0</x:v>
      </x:c>
      <x:c r="G14" s="34" t="n">
        <x:v>1</x:v>
      </x:c>
      <x:c r="H14" s="32" t="n">
        <x:f>IF(E14=0,"",I14/E14)</x:f>
        <x:v>210.45157578153817</x:v>
      </x:c>
      <x:c r="I14" s="31" t="n">
        <x:f>IF(C14=0,"",SUMIF('Species'!$G$2:$G$90,A14,'Species'!$U$2:$U$90))</x:f>
        <x:v>2121256.4675079705</x:v>
      </x:c>
      <x:c r="J14" s="32" t="n">
        <x:v>3.296520756676868</x:v>
      </x:c>
      <x:c r="K14" s="32" t="n">
        <x:f>IF(J14="","",(1/'Metadata'!$B$5)^(J14-1))</x:f>
        <x:v>197.93416196594802</x:v>
      </x:c>
      <x:c r="L14" s="31" t="n">
        <x:f>IF(E14=0,"",E14*K14)</x:f>
        <x:v>1995086.6115010118</x:v>
      </x:c>
      <x:c r="M14" s="31" t="n">
        <x:f>IF(E14=0,"",I14-L14)</x:f>
        <x:v>126169.85600695875</x:v>
      </x:c>
      <x:c r="N14" s="32" t="n">
        <x:f>IF(L14=0,"",I14/L14)</x:f>
        <x:v>1.0632402900604072</x:v>
      </x:c>
      <x:c r="O14" s="34" t="n">
        <x:f>IF(L14=0,"",M14/L14)</x:f>
        <x:v>0.06324029006040711</x:v>
      </x:c>
    </x:row>
    <x:row r="15" ht="18" customHeight="1">
      <x:c r="A15" s="24" t="str">
        <x:v>Medium pelagics (30 - 89 cm)</x:v>
      </x:c>
      <x:c r="B15" s="33" t="n">
        <x:v>10</x:v>
      </x:c>
      <x:c r="C15" s="33" t="n">
        <x:v>10</x:v>
      </x:c>
      <x:c r="D15" s="31" t="n">
        <x:v>23011.4201016468</x:v>
      </x:c>
      <x:c r="E15" s="31" t="n">
        <x:v>23011.4201016468</x:v>
      </x:c>
      <x:c r="F15" s="32" t="n">
        <x:v>0</x:v>
      </x:c>
      <x:c r="G15" s="34" t="n">
        <x:v>1</x:v>
      </x:c>
      <x:c r="H15" s="32" t="n">
        <x:f>IF(E15=0,"",I15/E15)</x:f>
        <x:v>1316.5513095369618</x:v>
      </x:c>
      <x:c r="I15" s="31" t="n">
        <x:f>IF(C15=0,"",SUMIF('Species'!$G$2:$G$90,A15,'Species'!$U$2:$U$90))</x:f>
        <x:v>30295715.26912826</x:v>
      </x:c>
      <x:c r="J15" s="32" t="n">
        <x:v>3.9593498229114643</x:v>
      </x:c>
      <x:c r="K15" s="32" t="n">
        <x:f>IF(J15="","",(1/'Metadata'!$B$5)^(J15-1))</x:f>
        <x:v>910.6465003295576</x:v>
      </x:c>
      <x:c r="L15" s="31" t="n">
        <x:f>IF(E15=0,"",E15*K15)</x:f>
        <x:v>20955269.183177892</x:v>
      </x:c>
      <x:c r="M15" s="31" t="n">
        <x:f>IF(E15=0,"",I15-L15)</x:f>
        <x:v>9340446.085950367</x:v>
      </x:c>
      <x:c r="N15" s="32" t="n">
        <x:f>IF(L15=0,"",I15/L15)</x:f>
        <x:v>1.4457325746714114</x:v>
      </x:c>
      <x:c r="O15" s="34" t="n">
        <x:f>IF(L15=0,"",M15/L15)</x:f>
        <x:v>0.4457325746714115</x:v>
      </x:c>
    </x:row>
    <x:row r="16" ht="18" customHeight="1">
      <x:c r="A16" s="24" t="str">
        <x:v>Medium reef assoc. fish (30 - 89 cm)</x:v>
      </x:c>
      <x:c r="B16" s="33" t="n">
        <x:v>1</x:v>
      </x:c>
      <x:c r="C16" s="33" t="n">
        <x:v>1</x:v>
      </x:c>
      <x:c r="D16" s="31" t="n">
        <x:v>3665.0387665621997</x:v>
      </x:c>
      <x:c r="E16" s="31" t="n">
        <x:v>3665.0387665621997</x:v>
      </x:c>
      <x:c r="F16" s="32" t="n">
        <x:v>0</x:v>
      </x:c>
      <x:c r="G16" s="34" t="n">
        <x:v>1</x:v>
      </x:c>
      <x:c r="H16" s="32" t="n">
        <x:f>IF(E16=0,"",I16/E16)</x:f>
        <x:v>33.88441561392024</x:v>
      </x:c>
      <x:c r="I16" s="31" t="n">
        <x:f>IF(C16=0,"",SUMIF('Species'!$G$2:$G$90,A16,'Species'!$U$2:$U$90))</x:f>
        <x:v>124187.69680732318</x:v>
      </x:c>
      <x:c r="J16" s="32" t="n">
        <x:v>2.53</x:v>
      </x:c>
      <x:c r="K16" s="32" t="n">
        <x:f>IF(J16="","",(1/'Metadata'!$B$5)^(J16-1))</x:f>
        <x:v>33.88441561392024</x:v>
      </x:c>
      <x:c r="L16" s="31" t="n">
        <x:f>IF(E16=0,"",E16*K16)</x:f>
        <x:v>124187.69680732318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Other demersal invertebrates</x:v>
      </x:c>
      <x:c r="B17" s="33" t="n">
        <x:v>4</x:v>
      </x:c>
      <x:c r="C17" s="33" t="n">
        <x:v>4</x:v>
      </x:c>
      <x:c r="D17" s="31" t="n">
        <x:v>33077.7183563733</x:v>
      </x:c>
      <x:c r="E17" s="31" t="n">
        <x:v>33077.7183563733</x:v>
      </x:c>
      <x:c r="F17" s="32" t="n">
        <x:v>0</x:v>
      </x:c>
      <x:c r="G17" s="34" t="n">
        <x:v>1</x:v>
      </x:c>
      <x:c r="H17" s="32" t="n">
        <x:f>IF(E17=0,"",I17/E17)</x:f>
        <x:v>48.219755506461794</x:v>
      </x:c>
      <x:c r="I17" s="31" t="n">
        <x:f>IF(C17=0,"",SUMIF('Species'!$G$2:$G$90,A17,'Species'!$U$2:$U$90))</x:f>
        <x:v>1594999.4918559238</x:v>
      </x:c>
      <x:c r="J17" s="32" t="n">
        <x:v>2.6662748447511833</x:v>
      </x:c>
      <x:c r="K17" s="32" t="n">
        <x:f>IF(J17="","",(1/'Metadata'!$B$5)^(J17-1))</x:f>
        <x:v>46.37403065332863</x:v>
      </x:c>
      <x:c r="L17" s="31" t="n">
        <x:f>IF(E17=0,"",E17*K17)</x:f>
        <x:v>1533947.1250006265</x:v>
      </x:c>
      <x:c r="M17" s="31" t="n">
        <x:f>IF(E17=0,"",I17-L17)</x:f>
        <x:v>61052.36685529724</x:v>
      </x:c>
      <x:c r="N17" s="32" t="n">
        <x:f>IF(L17=0,"",I17/L17)</x:f>
        <x:v>1.0398008287640763</x:v>
      </x:c>
      <x:c r="O17" s="34" t="n">
        <x:f>IF(L17=0,"",M17/L17)</x:f>
        <x:v>0.0398008287640764</x:v>
      </x:c>
    </x:row>
    <x:row r="18" ht="18" customHeight="1">
      <x:c r="A18" s="24" t="str">
        <x:v>Shrimps</x:v>
      </x:c>
      <x:c r="B18" s="33" t="n">
        <x:v>4</x:v>
      </x:c>
      <x:c r="C18" s="33" t="n">
        <x:v>4</x:v>
      </x:c>
      <x:c r="D18" s="31" t="n">
        <x:v>3882.1345643233</x:v>
      </x:c>
      <x:c r="E18" s="31" t="n">
        <x:v>3882.1345643233</x:v>
      </x:c>
      <x:c r="F18" s="32" t="n">
        <x:v>0</x:v>
      </x:c>
      <x:c r="G18" s="34" t="n">
        <x:v>1</x:v>
      </x:c>
      <x:c r="H18" s="32" t="n">
        <x:f>IF(E18=0,"",I18/E18)</x:f>
        <x:v>208.61557122252668</x:v>
      </x:c>
      <x:c r="I18" s="31" t="n">
        <x:f>IF(C18=0,"",SUMIF('Species'!$G$2:$G$90,A18,'Species'!$U$2:$U$90))</x:f>
        <x:v>809873.7196990199</x:v>
      </x:c>
      <x:c r="J18" s="32" t="n">
        <x:v>3.3104003591904534</x:v>
      </x:c>
      <x:c r="K18" s="32" t="n">
        <x:f>IF(J18="","",(1/'Metadata'!$B$5)^(J18-1))</x:f>
        <x:v>204.3621011294416</x:v>
      </x:c>
      <x:c r="L18" s="31" t="n">
        <x:f>IF(E18=0,"",E18*K18)</x:f>
        <x:v>793361.176432339</x:v>
      </x:c>
      <x:c r="M18" s="31" t="n">
        <x:f>IF(E18=0,"",I18-L18)</x:f>
        <x:v>16512.543266680907</x:v>
      </x:c>
      <x:c r="N18" s="32" t="n">
        <x:f>IF(L18=0,"",I18/L18)</x:f>
        <x:v>1.0208133996938646</x:v>
      </x:c>
      <x:c r="O18" s="34" t="n">
        <x:f>IF(L18=0,"",M18/L18)</x:f>
        <x:v>0.020813399693864604</x:v>
      </x:c>
    </x:row>
    <x:row r="19" ht="18" customHeight="1">
      <x:c r="A19" s="24" t="str">
        <x:v>Small benthopelagics (&lt;30 cm)</x:v>
      </x:c>
      <x:c r="B19" s="33" t="n">
        <x:v>2</x:v>
      </x:c>
      <x:c r="C19" s="33" t="n">
        <x:v>2</x:v>
      </x:c>
      <x:c r="D19" s="31" t="n">
        <x:v>326.0043594702</x:v>
      </x:c>
      <x:c r="E19" s="31" t="n">
        <x:v>326.0043594702</x:v>
      </x:c>
      <x:c r="F19" s="32" t="n">
        <x:v>0</x:v>
      </x:c>
      <x:c r="G19" s="34" t="n">
        <x:v>1</x:v>
      </x:c>
      <x:c r="H19" s="32" t="n">
        <x:f>IF(E19=0,"",I19/E19)</x:f>
        <x:v>412.1747781909199</x:v>
      </x:c>
      <x:c r="I19" s="31" t="n">
        <x:f>IF(C19=0,"",SUMIF('Species'!$G$2:$G$90,A19,'Species'!$U$2:$U$90))</x:f>
        <x:v>134370.7745539026</x:v>
      </x:c>
      <x:c r="J19" s="32" t="n">
        <x:v>3.6078147165168164</x:v>
      </x:c>
      <x:c r="K19" s="32" t="n">
        <x:f>IF(J19="","",(1/'Metadata'!$B$5)^(J19-1))</x:f>
        <x:v>405.3355698407969</x:v>
      </x:c>
      <x:c r="L19" s="31" t="n">
        <x:f>IF(E19=0,"",E19*K19)</x:f>
        <x:v>132141.16281643749</x:v>
      </x:c>
      <x:c r="M19" s="31" t="n">
        <x:f>IF(E19=0,"",I19-L19)</x:f>
        <x:v>2229.6117374651076</x:v>
      </x:c>
      <x:c r="N19" s="32" t="n">
        <x:f>IF(L19=0,"",I19/L19)</x:f>
        <x:v>1.016872953816536</x:v>
      </x:c>
      <x:c r="O19" s="34" t="n">
        <x:f>IF(L19=0,"",M19/L19)</x:f>
        <x:v>0.016872953816535953</x:v>
      </x:c>
    </x:row>
    <x:row r="20" ht="18" customHeight="1">
      <x:c r="A20" s="24" t="str">
        <x:v>Small demersals (&lt;30 cm)</x:v>
      </x:c>
      <x:c r="B20" s="33" t="n">
        <x:v>4</x:v>
      </x:c>
      <x:c r="C20" s="33" t="n">
        <x:v>4</x:v>
      </x:c>
      <x:c r="D20" s="31" t="n">
        <x:v>2490.3972114721996</x:v>
      </x:c>
      <x:c r="E20" s="31" t="n">
        <x:v>2490.3972114721996</x:v>
      </x:c>
      <x:c r="F20" s="32" t="n">
        <x:v>0</x:v>
      </x:c>
      <x:c r="G20" s="34" t="n">
        <x:v>1</x:v>
      </x:c>
      <x:c r="H20" s="32" t="n">
        <x:f>IF(E20=0,"",I20/E20)</x:f>
        <x:v>128.8663718351831</x:v>
      </x:c>
      <x:c r="I20" s="31" t="n">
        <x:f>IF(C20=0,"",SUMIF('Species'!$G$2:$G$90,A20,'Species'!$U$2:$U$90))</x:f>
        <x:v>320928.45307087956</x:v>
      </x:c>
      <x:c r="J20" s="32" t="n">
        <x:v>3.040732452016628</x:v>
      </x:c>
      <x:c r="K20" s="32" t="n">
        <x:f>IF(J20="","",(1/'Metadata'!$B$5)^(J20-1))</x:f>
        <x:v>109.83290031936994</x:v>
      </x:c>
      <x:c r="L20" s="31" t="n">
        <x:f>IF(E20=0,"",E20*K20)</x:f>
        <x:v>273527.54868326295</x:v>
      </x:c>
      <x:c r="M20" s="31" t="n">
        <x:f>IF(E20=0,"",I20-L20)</x:f>
        <x:v>47400.90438761661</x:v>
      </x:c>
      <x:c r="N20" s="32" t="n">
        <x:f>IF(L20=0,"",I20/L20)</x:f>
        <x:v>1.173294809300929</x:v>
      </x:c>
      <x:c r="O20" s="34" t="n">
        <x:f>IF(L20=0,"",M20/L20)</x:f>
        <x:v>0.17329480930092894</x:v>
      </x:c>
    </x:row>
    <x:row r="21" ht="18" customHeight="1">
      <x:c r="A21" s="24" t="str">
        <x:v>Small pelagics (&lt;30 cm)</x:v>
      </x:c>
      <x:c r="B21" s="33" t="n">
        <x:v>5</x:v>
      </x:c>
      <x:c r="C21" s="33" t="n">
        <x:v>5</x:v>
      </x:c>
      <x:c r="D21" s="31" t="n">
        <x:v>31936.5785660917</x:v>
      </x:c>
      <x:c r="E21" s="31" t="n">
        <x:v>31936.5785660917</x:v>
      </x:c>
      <x:c r="F21" s="32" t="n">
        <x:v>0</x:v>
      </x:c>
      <x:c r="G21" s="34" t="n">
        <x:v>1</x:v>
      </x:c>
      <x:c r="H21" s="32" t="n">
        <x:f>IF(E21=0,"",I21/E21)</x:f>
        <x:v>125.78028078720534</x:v>
      </x:c>
      <x:c r="I21" s="31" t="n">
        <x:f>IF(C21=0,"",SUMIF('Species'!$G$2:$G$90,A21,'Species'!$U$2:$U$90))</x:f>
        <x:v>4016991.819425658</x:v>
      </x:c>
      <x:c r="J21" s="32" t="n">
        <x:v>3.0988563096891757</x:v>
      </x:c>
      <x:c r="K21" s="32" t="n">
        <x:f>IF(J21="","",(1/'Metadata'!$B$5)^(J21-1))</x:f>
        <x:v>125.56144634062959</x:v>
      </x:c>
      <x:c r="L21" s="31" t="n">
        <x:f>IF(E21=0,"",E21*K21)</x:f>
        <x:v>4010002.995929624</x:v>
      </x:c>
      <x:c r="M21" s="31" t="n">
        <x:f>IF(E21=0,"",I21-L21)</x:f>
        <x:v>6988.823496033903</x:v>
      </x:c>
      <x:c r="N21" s="32" t="n">
        <x:f>IF(L21=0,"",I21/L21)</x:f>
        <x:v>1.0017428474500214</x:v>
      </x:c>
      <x:c r="O21" s="34" t="n">
        <x:f>IF(L21=0,"",M21/L21)</x:f>
        <x:v>0.001742847450021346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0.705396217</x:v>
      </x:c>
      <x:c r="E22" s="31" t="n">
        <x:v>0.705396217</x:v>
      </x:c>
      <x:c r="F22" s="32" t="n">
        <x:v>0</x:v>
      </x:c>
      <x:c r="G22" s="34" t="n">
        <x:v>1</x:v>
      </x:c>
      <x:c r="H22" s="32" t="n">
        <x:f>IF(E22=0,"",I22/E22)</x:f>
        <x:v>128.82495516931337</x:v>
      </x:c>
      <x:c r="I22" s="31" t="n">
        <x:f>IF(C22=0,"",SUMIF('Species'!$G$2:$G$90,A22,'Species'!$U$2:$U$90))</x:f>
        <x:v>90.87263603162825</x:v>
      </x:c>
      <x:c r="J22" s="32" t="n">
        <x:v>3.11</x:v>
      </x:c>
      <x:c r="K22" s="32" t="n">
        <x:f>IF(J22="","",(1/'Metadata'!$B$5)^(J22-1))</x:f>
        <x:v>128.82495516931337</x:v>
      </x:c>
      <x:c r="L22" s="31" t="n">
        <x:f>IF(E22=0,"",E22*K22)</x:f>
        <x:v>90.87263603162825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flatfishes (&lt;90 cm)</x:v>
      </x:c>
      <x:c r="B23" s="33" t="n">
        <x:v>1</x:v>
      </x:c>
      <x:c r="C23" s="33" t="n">
        <x:v>1</x:v>
      </x:c>
      <x:c r="D23" s="31" t="n">
        <x:v>59.8695991334</x:v>
      </x:c>
      <x:c r="E23" s="31" t="n">
        <x:v>59.8695991334</x:v>
      </x:c>
      <x:c r="F23" s="32" t="n">
        <x:v>0</x:v>
      </x:c>
      <x:c r="G23" s="34" t="n">
        <x:v>1</x:v>
      </x:c>
      <x:c r="H23" s="32" t="n">
        <x:f>IF(E23=0,"",I23/E23)</x:f>
        <x:v>162.18100973589299</x:v>
      </x:c>
      <x:c r="I23" s="31" t="n">
        <x:f>IF(C23=0,"",SUMIF('Species'!$G$2:$G$90,A23,'Species'!$U$2:$U$90))</x:f>
        <x:v>9709.712039937956</x:v>
      </x:c>
      <x:c r="J23" s="32" t="n">
        <x:v>3.21</x:v>
      </x:c>
      <x:c r="K23" s="32" t="n">
        <x:f>IF(J23="","",(1/'Metadata'!$B$5)^(J23-1))</x:f>
        <x:v>162.18100973589299</x:v>
      </x:c>
      <x:c r="L23" s="31" t="n">
        <x:f>IF(E23=0,"",E23*K23)</x:f>
        <x:v>9709.712039937956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rays (&lt;90 cm)</x:v>
      </x:c>
      <x:c r="B24" s="33" t="n">
        <x:v>1</x:v>
      </x:c>
      <x:c r="C24" s="33" t="n">
        <x:v>1</x:v>
      </x:c>
      <x:c r="D24" s="31" t="n">
        <x:v>446.42904502320005</x:v>
      </x:c>
      <x:c r="E24" s="31" t="n">
        <x:v>446.42904502320005</x:v>
      </x:c>
      <x:c r="F24" s="32" t="n">
        <x:v>0</x:v>
      </x:c>
      <x:c r="G24" s="34" t="n">
        <x:v>1</x:v>
      </x:c>
      <x:c r="H24" s="32" t="n">
        <x:f>IF(E24=0,"",I24/E24)</x:f>
        <x:v>630.957344480193</x:v>
      </x:c>
      <x:c r="I24" s="31" t="n">
        <x:f>IF(C24=0,"",SUMIF('Species'!$G$2:$G$90,A24,'Species'!$U$2:$U$90))</x:f>
        <x:v>281677.6847466668</x:v>
      </x:c>
      <x:c r="J24" s="32" t="n">
        <x:v>3.8000000000000003</x:v>
      </x:c>
      <x:c r="K24" s="32" t="n">
        <x:f>IF(J24="","",(1/'Metadata'!$B$5)^(J24-1))</x:f>
        <x:v>630.9573444801937</x:v>
      </x:c>
      <x:c r="L24" s="31" t="n">
        <x:f>IF(E24=0,"",E24*K24)</x:f>
        <x:v>281677.6847466671</x:v>
      </x:c>
      <x:c r="M24" s="31" t="n">
        <x:f>IF(E24=0,"",I24-L24)</x:f>
        <x:v>-2.9103830456733704e-10</x:v>
      </x:c>
      <x:c r="N24" s="32" t="n">
        <x:f>IF(L24=0,"",I24/L24)</x:f>
        <x:v>0.999999999999999</x:v>
      </x:c>
      <x:c r="O24" s="34" t="n">
        <x:f>IF(L24=0,"",M24/L24)</x:f>
        <x:v>-1.0332316698395494e-15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5165c3c78e24c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EEZ_966</x:v>
      </x:c>
      <x:c r="B2" s="24" t="str">
        <x:v>raw_filtered_tonnes</x:v>
      </x:c>
      <x:c r="C2" s="24" t="n">
        <x:v>135279.2422413837</x:v>
      </x:c>
      <x:c r="D2" s="24" t="str">
        <x:v>tonnes</x:v>
      </x:c>
    </x:row>
    <x:row r="3" ht="18" customHeight="1">
      <x:c r="A3" s="24" t="str">
        <x:v>EEZ_966</x:v>
      </x:c>
      <x:c r="B3" s="24" t="str">
        <x:v>species_catch_tonnes</x:v>
      </x:c>
      <x:c r="C3" s="24" t="n">
        <x:v>135279.24224138368</x:v>
      </x:c>
      <x:c r="D3" s="24" t="str">
        <x:v>tonnes</x:v>
      </x:c>
    </x:row>
    <x:row r="4" ht="18" customHeight="1">
      <x:c r="A4" s="24" t="str">
        <x:v>EEZ_966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EEZ_966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EEZ_966</x:v>
      </x:c>
      <x:c r="B6" s="24" t="str">
        <x:v>matched_catch_tonnes</x:v>
      </x:c>
      <x:c r="C6" s="24" t="n">
        <x:v>135279.24224138368</x:v>
      </x:c>
      <x:c r="D6" s="24" t="str">
        <x:v>tonnes</x:v>
      </x:c>
    </x:row>
    <x:row r="7" ht="18" customHeight="1">
      <x:c r="A7" s="24" t="str">
        <x:v>EEZ_966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EEZ_966</x:v>
      </x:c>
      <x:c r="B8" s="24" t="str">
        <x:v>taxa_count</x:v>
      </x:c>
      <x:c r="C8" s="24" t="n">
        <x:v>89</x:v>
      </x:c>
      <x:c r="D8" s="24" t="str">
        <x:v>count</x:v>
      </x:c>
    </x:row>
    <x:row r="9" ht="18" customHeight="1">
      <x:c r="A9" s="24" t="str">
        <x:v>EEZ_966</x:v>
      </x:c>
      <x:c r="B9" s="24" t="str">
        <x:v>matched_taxa_count</x:v>
      </x:c>
      <x:c r="C9" s="24" t="n">
        <x:v>89</x:v>
      </x:c>
      <x:c r="D9" s="24" t="str">
        <x:v>count</x:v>
      </x:c>
    </x:row>
    <x:row r="10" ht="18" customHeight="1">
      <x:c r="A10" s="24" t="str">
        <x:v>EEZ_966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EEZ_966</x:v>
      </x:c>
      <x:c r="B11" s="24" t="str">
        <x:v>species_ppr</x:v>
      </x:c>
      <x:c r="C11" s="24" t="n">
        <x:v>93378447.55892137</x:v>
      </x:c>
      <x:c r="D11" s="24" t="str">
        <x:v>tonnes_primary_production_equivalent</x:v>
      </x:c>
    </x:row>
    <x:row r="12" ht="18" customHeight="1">
      <x:c r="A12" s="24" t="str">
        <x:v>EEZ_966</x:v>
      </x:c>
      <x:c r="B12" s="24" t="str">
        <x:v>commercial_ppr</x:v>
      </x:c>
      <x:c r="C12" s="24" t="n">
        <x:v>93378447.55892137</x:v>
      </x:c>
      <x:c r="D12" s="24" t="str">
        <x:v>tonnes_primary_production_equivalent</x:v>
      </x:c>
    </x:row>
    <x:row r="13" ht="18" customHeight="1">
      <x:c r="A13" s="24" t="str">
        <x:v>EEZ_966</x:v>
      </x:c>
      <x:c r="B13" s="24" t="str">
        <x:v>functional_ppr</x:v>
      </x:c>
      <x:c r="C13" s="24" t="n">
        <x:v>93378447.55892137</x:v>
      </x:c>
      <x:c r="D13" s="24" t="str">
        <x:v>tonnes_primary_production_equivalent</x:v>
      </x:c>
    </x:row>
    <x:row r="14" ht="18" customHeight="1">
      <x:c r="A14" s="24" t="str">
        <x:v>EEZ_966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EEZ_966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EEZ_966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de4defd70dc48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EEZ_966 - Turkey (Marmara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