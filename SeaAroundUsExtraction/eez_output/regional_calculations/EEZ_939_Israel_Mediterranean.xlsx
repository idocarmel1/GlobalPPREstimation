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8de16dcc1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432c5c7703145f0"/>
    <x:sheet xmlns:r="http://schemas.openxmlformats.org/officeDocument/2006/relationships" name="Commercial" sheetId="2" r:id="Reb572468452d48d6"/>
    <x:sheet xmlns:r="http://schemas.openxmlformats.org/officeDocument/2006/relationships" name="Functional" sheetId="3" r:id="Rc2d81ac843494f22"/>
    <x:sheet xmlns:r="http://schemas.openxmlformats.org/officeDocument/2006/relationships" name="Missing TL" sheetId="4" r:id="R4eff0abb136a46b9"/>
    <x:sheet xmlns:r="http://schemas.openxmlformats.org/officeDocument/2006/relationships" name="Validation" sheetId="5" r:id="Rae2fab7a6a9644de"/>
    <x:sheet xmlns:r="http://schemas.openxmlformats.org/officeDocument/2006/relationships" name="Metadata" sheetId="6" r:id="Ra9b5a9dc68f3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2bbd6349c408d" /><Relationship Type="http://schemas.openxmlformats.org/officeDocument/2006/relationships/theme" Target="/xl/theme/theme1.xml" Id="R6d3684e10f9e48e2" /><Relationship Type="http://schemas.microsoft.com/office/2022/11/relationships/FeaturePropertyBag" Target="/xl/featurePropertyBag/featurePropertyBag.xml" Id="R4321453be1a94c28" /><Relationship Type="http://schemas.openxmlformats.org/officeDocument/2006/relationships/sharedStrings" Target="/xl/sharedStrings.xml" Id="R4af327b00d984a57" /><Relationship Type="http://schemas.openxmlformats.org/officeDocument/2006/relationships/worksheet" Target="/xl/worksheets/sheet1.xml" Id="R0432c5c7703145f0" /><Relationship Type="http://schemas.openxmlformats.org/officeDocument/2006/relationships/worksheet" Target="/xl/worksheets/sheet2.xml" Id="Reb572468452d48d6" /><Relationship Type="http://schemas.openxmlformats.org/officeDocument/2006/relationships/worksheet" Target="/xl/worksheets/sheet3.xml" Id="Rc2d81ac843494f22" /><Relationship Type="http://schemas.openxmlformats.org/officeDocument/2006/relationships/worksheet" Target="/xl/worksheets/sheet4.xml" Id="R4eff0abb136a46b9" /><Relationship Type="http://schemas.openxmlformats.org/officeDocument/2006/relationships/worksheet" Target="/xl/worksheets/sheet5.xml" Id="Rae2fab7a6a9644de" /><Relationship Type="http://schemas.openxmlformats.org/officeDocument/2006/relationships/worksheet" Target="/xl/worksheets/sheet6.xml" Id="Ra9b5a9dc68f345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9SpeciesTable" displayName="EEZ939SpeciesTable" ref="A1:U51" headerRowCount="1" totalsRowCount="0" totalsRowShown="0">
  <x:autoFilter ref="A1:U5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9CommercialTable" displayName="EEZ939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9FunctionalTable" displayName="EEZ939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9ValidationTable" displayName="EEZ93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17a6ababe94a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4e64e604c642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3f9538648749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c3f7cc0a3542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EEZ_939</x:v>
      </x:c>
      <x:c r="B2" s="24" t="str">
        <x:v>Israel (Mediterranean)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644.572889051</x:v>
      </x:c>
      <x:c r="J2" s="31" t="n">
        <x:v>432.282886518</x:v>
      </x:c>
      <x:c r="K2" s="31" t="n">
        <x:v>212.29000253299998</x:v>
      </x:c>
      <x:c r="L2" s="31" t="n">
        <x:v>158.000000003</x:v>
      </x:c>
      <x:c r="M2" s="31" t="n">
        <x:v>486.572889048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122820.83199507624</x:v>
      </x:c>
    </x:row>
    <x:row r="3" ht="18" customHeight="1">
      <x:c r="A3" s="24" t="str">
        <x:v>EEZ_939</x:v>
      </x:c>
      <x:c r="B3" s="24" t="str">
        <x:v>Israel (Mediterranean)</x:v>
      </x:c>
      <x:c r="C3" s="24" t="str">
        <x:v>EEZ</x:v>
      </x:c>
      <x:c r="D3" s="30" t="n">
        <x:v>2019</x:v>
      </x:c>
      <x:c r="E3" s="24" t="str">
        <x:v>Sparidae</x:v>
      </x:c>
      <x:c r="F3" s="24" t="str">
        <x:v>Porgies, seabreams</x:v>
      </x:c>
      <x:c r="G3" s="24" t="str">
        <x:v>Medium benthopelagics (30 - 89 cm)</x:v>
      </x:c>
      <x:c r="H3" s="24" t="str">
        <x:v>Perch-likes</x:v>
      </x:c>
      <x:c r="I3" s="31" t="n">
        <x:v>239.19798512</x:v>
      </x:c>
      <x:c r="J3" s="31" t="n">
        <x:v>238.10886655899998</x:v>
      </x:c>
      <x:c r="K3" s="31" t="n">
        <x:v>1.089118561</x:v>
      </x:c>
      <x:c r="L3" s="31" t="n">
        <x:v>70.000000001</x:v>
      </x:c>
      <x:c r="M3" s="31" t="n">
        <x:v>169.197985119</x:v>
      </x:c>
      <x:c r="N3" s="24" t="str">
        <x:v>sparidae</x:v>
      </x:c>
      <x:c r="O3" s="32" t="n">
        <x:v>3.31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Sparidae</x:v>
      </x:c>
      <x:c r="T3" s="32" t="n">
        <x:f>IF(O3="","",(1/'Metadata'!$B$5)^(O3-1))</x:f>
        <x:v>204.17379446695296</x:v>
      </x:c>
      <x:c r="U3" s="31" t="n">
        <x:f>IF(T3="","",I3*T3)</x:f>
        <x:v>48837.96025080015</x:v>
      </x:c>
    </x:row>
    <x:row r="4" ht="18" customHeight="1">
      <x:c r="A4" s="24" t="str">
        <x:v>EEZ_939</x:v>
      </x:c>
      <x:c r="B4" s="24" t="str">
        <x:v>Israel (Mediterranean)</x:v>
      </x:c>
      <x:c r="C4" s="24" t="str">
        <x:v>EEZ</x:v>
      </x:c>
      <x:c r="D4" s="30" t="n">
        <x:v>2019</x:v>
      </x:c>
      <x:c r="E4" s="24" t="str">
        <x:v>Loligo</x:v>
      </x:c>
      <x:c r="F4" s="24" t="str">
        <x:v>Common squids</x:v>
      </x:c>
      <x:c r="G4" s="24" t="str">
        <x:v>Cephalopods</x:v>
      </x:c>
      <x:c r="H4" s="24" t="str">
        <x:v>Other fishes &amp; inverts</x:v>
      </x:c>
      <x:c r="I4" s="31" t="n">
        <x:v>135</x:v>
      </x:c>
      <x:c r="J4" s="31" t="n">
        <x:v>135</x:v>
      </x:c>
      <x:c r="K4" s="31" t="n">
        <x:v>0</x:v>
      </x:c>
      <x:c r="L4" s="31" t="n">
        <x:v>135</x:v>
      </x:c>
      <x:c r="M4" s="31" t="n">
        <x:v>0</x:v>
      </x:c>
      <x:c r="N4" s="24" t="str">
        <x:v>loligo</x:v>
      </x:c>
      <x:c r="O4" s="32" t="n">
        <x:v>3.99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Loligo</x:v>
      </x:c>
      <x:c r="T4" s="32" t="n">
        <x:f>IF(O4="","",(1/'Metadata'!$B$5)^(O4-1))</x:f>
        <x:v>977.2372209558112</x:v>
      </x:c>
      <x:c r="U4" s="31" t="n">
        <x:f>IF(T4="","",I4*T4)</x:f>
        <x:v>131927.02482903452</x:v>
      </x:c>
    </x:row>
    <x:row r="5" ht="18" customHeight="1">
      <x:c r="A5" s="24" t="str">
        <x:v>EEZ_939</x:v>
      </x:c>
      <x:c r="B5" s="24" t="str">
        <x:v>Israel (Mediterranean)</x:v>
      </x:c>
      <x:c r="C5" s="24" t="str">
        <x:v>EEZ</x:v>
      </x:c>
      <x:c r="D5" s="30" t="n">
        <x:v>2019</x:v>
      </x:c>
      <x:c r="E5" s="24" t="str">
        <x:v>Mullidae</x:v>
      </x:c>
      <x:c r="F5" s="24" t="str">
        <x:v>Goatfishes</x:v>
      </x:c>
      <x:c r="G5" s="24" t="str">
        <x:v>Medium reef assoc. fish (30 - 89 cm)</x:v>
      </x:c>
      <x:c r="H5" s="24" t="str">
        <x:v>Perch-likes</x:v>
      </x:c>
      <x:c r="I5" s="31" t="n">
        <x:v>131.359137197</x:v>
      </x:c>
      <x:c r="J5" s="31" t="n">
        <x:v>130.000000001</x:v>
      </x:c>
      <x:c r="K5" s="31" t="n">
        <x:v>1.359137196</x:v>
      </x:c>
      <x:c r="L5" s="31" t="n">
        <x:v>130.000000001</x:v>
      </x:c>
      <x:c r="M5" s="31" t="n">
        <x:v>1.359137196</x:v>
      </x:c>
      <x:c r="N5" s="24" t="str">
        <x:v>mullidae</x:v>
      </x:c>
      <x:c r="O5" s="32" t="n">
        <x:v>3.46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Mullidae</x:v>
      </x:c>
      <x:c r="T5" s="32" t="n">
        <x:f>IF(O5="","",(1/'Metadata'!$B$5)^(O5-1))</x:f>
        <x:v>288.40315031266056</x:v>
      </x:c>
      <x:c r="U5" s="31" t="n">
        <x:f>IF(T5="","",I5*T5)</x:f>
        <x:v>37884.38898996779</x:v>
      </x:c>
    </x:row>
    <x:row r="6" ht="18" customHeight="1">
      <x:c r="A6" s="24" t="str">
        <x:v>EEZ_939</x:v>
      </x:c>
      <x:c r="B6" s="24" t="str">
        <x:v>Israel (Mediterranean)</x:v>
      </x:c>
      <x:c r="C6" s="24" t="str">
        <x:v>EEZ</x:v>
      </x:c>
      <x:c r="D6" s="30" t="n">
        <x:v>2019</x:v>
      </x:c>
      <x:c r="E6" s="24" t="str">
        <x:v>Serranidae</x:v>
      </x:c>
      <x:c r="F6" s="24" t="str">
        <x:v>Basses, groupers, hinds</x:v>
      </x:c>
      <x:c r="G6" s="24" t="str">
        <x:v>Medium reef assoc. fish (30 - 89 cm)</x:v>
      </x:c>
      <x:c r="H6" s="24" t="str">
        <x:v>Perch-likes</x:v>
      </x:c>
      <x:c r="I6" s="31" t="n">
        <x:v>115.021855821</x:v>
      </x:c>
      <x:c r="J6" s="31" t="n">
        <x:v>115.021855821</x:v>
      </x:c>
      <x:c r="K6" s="31" t="n">
        <x:v>0</x:v>
      </x:c>
      <x:c r="L6" s="31" t="n">
        <x:v>0</x:v>
      </x:c>
      <x:c r="M6" s="31" t="n">
        <x:v>115.021855821</x:v>
      </x:c>
      <x:c r="N6" s="24" t="str">
        <x:v>serranidae</x:v>
      </x:c>
      <x:c r="O6" s="32" t="n">
        <x:v>3.98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Serranidae</x:v>
      </x:c>
      <x:c r="T6" s="32" t="n">
        <x:f>IF(O6="","",(1/'Metadata'!$B$5)^(O6-1))</x:f>
        <x:v>954.992586021436</x:v>
      </x:c>
      <x:c r="U6" s="31" t="n">
        <x:f>IF(T6="","",I6*T6)</x:f>
        <x:v>109845.01953948155</x:v>
      </x:c>
    </x:row>
    <x:row r="7" ht="18" customHeight="1">
      <x:c r="A7" s="24" t="str">
        <x:v>EEZ_939</x:v>
      </x:c>
      <x:c r="B7" s="24" t="str">
        <x:v>Israel (Mediterranean)</x:v>
      </x:c>
      <x:c r="C7" s="24" t="str">
        <x:v>EEZ</x:v>
      </x:c>
      <x:c r="D7" s="30" t="n">
        <x:v>2019</x:v>
      </x:c>
      <x:c r="E7" s="24" t="str">
        <x:v>Carangidae</x:v>
      </x:c>
      <x:c r="F7" s="24" t="str">
        <x:v>Jacks, pompanos</x:v>
      </x:c>
      <x:c r="G7" s="24" t="str">
        <x:v>Medium pelagics (30 - 89 cm)</x:v>
      </x:c>
      <x:c r="H7" s="24" t="str">
        <x:v>Perch-likes</x:v>
      </x:c>
      <x:c r="I7" s="31" t="n">
        <x:v>111.174020957</x:v>
      </x:c>
      <x:c r="J7" s="31" t="n">
        <x:v>111.174020957</x:v>
      </x:c>
      <x:c r="K7" s="31" t="n">
        <x:v>0</x:v>
      </x:c>
      <x:c r="L7" s="31" t="n">
        <x:v>5</x:v>
      </x:c>
      <x:c r="M7" s="31" t="n">
        <x:v>106.174020957</x:v>
      </x:c>
      <x:c r="N7" s="24" t="str">
        <x:v>carangidae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Carangidae</x:v>
      </x:c>
      <x:c r="T7" s="32" t="n">
        <x:f>IF(O7="","",(1/'Metadata'!$B$5)^(O7-1))</x:f>
        <x:v>1122.018454301963</x:v>
      </x:c>
      <x:c r="U7" s="31" t="n">
        <x:f>IF(T7="","",I7*T7)</x:f>
        <x:v>124739.30315270717</x:v>
      </x:c>
    </x:row>
    <x:row r="8" ht="18" customHeight="1">
      <x:c r="A8" s="24" t="str">
        <x:v>EEZ_939</x:v>
      </x:c>
      <x:c r="B8" s="24" t="str">
        <x:v>Israel (Mediterranean)</x:v>
      </x:c>
      <x:c r="C8" s="24" t="str">
        <x:v>EEZ</x:v>
      </x:c>
      <x:c r="D8" s="30" t="n">
        <x:v>2019</x:v>
      </x:c>
      <x:c r="E8" s="24" t="str">
        <x:v>Pagellus erythrinus</x:v>
      </x:c>
      <x:c r="F8" s="24" t="str">
        <x:v>Common pandora</x:v>
      </x:c>
      <x:c r="G8" s="24" t="str">
        <x:v>Medium benthopelagics (30 - 89 cm)</x:v>
      </x:c>
      <x:c r="H8" s="24" t="str">
        <x:v>Perch-likes</x:v>
      </x:c>
      <x:c r="I8" s="31" t="n">
        <x:v>98.93690937</x:v>
      </x:c>
      <x:c r="J8" s="31" t="n">
        <x:v>80</x:v>
      </x:c>
      <x:c r="K8" s="31" t="n">
        <x:v>18.93690937</x:v>
      </x:c>
      <x:c r="L8" s="31" t="n">
        <x:v>80</x:v>
      </x:c>
      <x:c r="M8" s="31" t="n">
        <x:v>18.93690937</x:v>
      </x:c>
      <x:c r="N8" s="24" t="str">
        <x:v>pagellus erythrinus</x:v>
      </x:c>
      <x:c r="O8" s="32" t="n">
        <x:v>3.48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Pagellus erythrinus</x:v>
      </x:c>
      <x:c r="T8" s="32" t="n">
        <x:f>IF(O8="","",(1/'Metadata'!$B$5)^(O8-1))</x:f>
        <x:v>301.9951720402016</x:v>
      </x:c>
      <x:c r="U8" s="31" t="n">
        <x:f>IF(T8="","",I8*T8)</x:f>
        <x:v>29878.468966318986</x:v>
      </x:c>
    </x:row>
    <x:row r="9" ht="18" customHeight="1">
      <x:c r="A9" s="24" t="str">
        <x:v>EEZ_939</x:v>
      </x:c>
      <x:c r="B9" s="24" t="str">
        <x:v>Israel (Mediterranean)</x:v>
      </x:c>
      <x:c r="C9" s="24" t="str">
        <x:v>EEZ</x:v>
      </x:c>
      <x:c r="D9" s="30" t="n">
        <x:v>2019</x:v>
      </x:c>
      <x:c r="E9" s="24" t="str">
        <x:v>Scombridae</x:v>
      </x:c>
      <x:c r="F9" s="24" t="str">
        <x:v>Mackerels, tunas, bonitos</x:v>
      </x:c>
      <x:c r="G9" s="24" t="str">
        <x:v>Medium pelagics (30 - 89 cm)</x:v>
      </x:c>
      <x:c r="H9" s="24" t="str">
        <x:v>Perch-likes</x:v>
      </x:c>
      <x:c r="I9" s="31" t="n">
        <x:v>88.47835071099999</x:v>
      </x:c>
      <x:c r="J9" s="31" t="n">
        <x:v>88.47835071099999</x:v>
      </x:c>
      <x:c r="K9" s="31" t="n">
        <x:v>0</x:v>
      </x:c>
      <x:c r="L9" s="31" t="n">
        <x:v>0</x:v>
      </x:c>
      <x:c r="M9" s="31" t="n">
        <x:v>88.47835071099999</x:v>
      </x:c>
      <x:c r="N9" s="24" t="str">
        <x:v>scombridae</x:v>
      </x:c>
      <x:c r="O9" s="32" t="n">
        <x:v>4.26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Scombridae</x:v>
      </x:c>
      <x:c r="T9" s="32" t="n">
        <x:f>IF(O9="","",(1/'Metadata'!$B$5)^(O9-1))</x:f>
        <x:v>1819.7008586099826</x:v>
      </x:c>
      <x:c r="U9" s="31" t="n">
        <x:f>IF(T9="","",I9*T9)</x:f>
        <x:v>161004.13075720184</x:v>
      </x:c>
    </x:row>
    <x:row r="10" ht="18" customHeight="1">
      <x:c r="A10" s="24" t="str">
        <x:v>EEZ_939</x:v>
      </x:c>
      <x:c r="B10" s="24" t="str">
        <x:v>Israel (Mediterranean)</x:v>
      </x:c>
      <x:c r="C10" s="24" t="str">
        <x:v>EEZ</x:v>
      </x:c>
      <x:c r="D10" s="30" t="n">
        <x:v>2019</x:v>
      </x:c>
      <x:c r="E10" s="24" t="str">
        <x:v>Tetraodontidae</x:v>
      </x:c>
      <x:c r="F10" s="24" t="str">
        <x:v>Puffers, tobies</x:v>
      </x:c>
      <x:c r="G10" s="24" t="str">
        <x:v>Large reef assoc. fish (&gt;=90 cm)</x:v>
      </x:c>
      <x:c r="H10" s="24" t="str">
        <x:v>Other fishes &amp; inverts</x:v>
      </x:c>
      <x:c r="I10" s="31" t="n">
        <x:v>78.90567286</x:v>
      </x:c>
      <x:c r="J10" s="31" t="n">
        <x:v>0</x:v>
      </x:c>
      <x:c r="K10" s="31" t="n">
        <x:v>78.90567286</x:v>
      </x:c>
      <x:c r="L10" s="31" t="n">
        <x:v>0</x:v>
      </x:c>
      <x:c r="M10" s="31" t="n">
        <x:v>78.90567286</x:v>
      </x:c>
      <x:c r="N10" s="24" t="str">
        <x:v>tetraodontidae</x:v>
      </x:c>
      <x:c r="O10" s="32" t="n">
        <x:v>3.5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Tetraodontidae</x:v>
      </x:c>
      <x:c r="T10" s="32" t="n">
        <x:f>IF(O10="","",(1/'Metadata'!$B$5)^(O10-1))</x:f>
        <x:v>316.22776601683796</x:v>
      </x:c>
      <x:c r="U10" s="31" t="n">
        <x:f>IF(T10="","",I10*T10)</x:f>
        <x:v>24952.16465457324</x:v>
      </x:c>
    </x:row>
    <x:row r="11" ht="18" customHeight="1">
      <x:c r="A11" s="24" t="str">
        <x:v>EEZ_939</x:v>
      </x:c>
      <x:c r="B11" s="24" t="str">
        <x:v>Israel (Mediterranean)</x:v>
      </x:c>
      <x:c r="C11" s="24" t="str">
        <x:v>EEZ</x:v>
      </x:c>
      <x:c r="D11" s="30" t="n">
        <x:v>2019</x:v>
      </x:c>
      <x:c r="E11" s="24" t="str">
        <x:v>Sargocentron</x:v>
      </x:c>
      <x:c r="F11" s="24" t="str">
        <x:v>Squirrelfishes</x:v>
      </x:c>
      <x:c r="G11" s="24" t="str">
        <x:v>Small reef assoc. fish (&lt;30 cm)</x:v>
      </x:c>
      <x:c r="H11" s="24" t="str">
        <x:v>Other fishes &amp; inverts</x:v>
      </x:c>
      <x:c r="I11" s="31" t="n">
        <x:v>76.802141462</x:v>
      </x:c>
      <x:c r="J11" s="31" t="n">
        <x:v>74.999999993</x:v>
      </x:c>
      <x:c r="K11" s="31" t="n">
        <x:v>1.8021414690000002</x:v>
      </x:c>
      <x:c r="L11" s="31" t="n">
        <x:v>74.999999993</x:v>
      </x:c>
      <x:c r="M11" s="31" t="n">
        <x:v>1.8021414690000002</x:v>
      </x:c>
      <x:c r="N11" s="24" t="str">
        <x:v>sargocentron</x:v>
      </x:c>
      <x:c r="O11" s="32" t="n">
        <x:v>3.49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Sargocentron</x:v>
      </x:c>
      <x:c r="T11" s="32" t="n">
        <x:f>IF(O11="","",(1/'Metadata'!$B$5)^(O11-1))</x:f>
        <x:v>309.0295432513592</x:v>
      </x:c>
      <x:c r="U11" s="31" t="n">
        <x:f>IF(T11="","",I11*T11)</x:f>
        <x:v>23734.130696728134</x:v>
      </x:c>
    </x:row>
    <x:row r="12" ht="18" customHeight="1">
      <x:c r="A12" s="24" t="str">
        <x:v>EEZ_939</x:v>
      </x:c>
      <x:c r="B12" s="24" t="str">
        <x:v>Israel (Mediterranean)</x:v>
      </x:c>
      <x:c r="C12" s="24" t="str">
        <x:v>EEZ</x:v>
      </x:c>
      <x:c r="D12" s="30" t="n">
        <x:v>2019</x:v>
      </x:c>
      <x:c r="E12" s="24" t="str">
        <x:v>Parapenaeus longirostris</x:v>
      </x:c>
      <x:c r="F12" s="24" t="str">
        <x:v>Deepwater rose shrimp</x:v>
      </x:c>
      <x:c r="G12" s="24" t="str">
        <x:v>Shrimps</x:v>
      </x:c>
      <x:c r="H12" s="24" t="str">
        <x:v>Crustaceans</x:v>
      </x:c>
      <x:c r="I12" s="31" t="n">
        <x:v>71.18640623</x:v>
      </x:c>
      <x:c r="J12" s="31" t="n">
        <x:v>0</x:v>
      </x:c>
      <x:c r="K12" s="31" t="n">
        <x:v>71.18640623</x:v>
      </x:c>
      <x:c r="L12" s="31" t="n">
        <x:v>0</x:v>
      </x:c>
      <x:c r="M12" s="31" t="n">
        <x:v>71.18640623</x:v>
      </x:c>
      <x:c r="N12" s="24" t="str">
        <x:v>parapenaeus longirostris</x:v>
      </x:c>
      <x:c r="O12" s="32" t="n">
        <x:v>3.3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Parapenaeus longirostris</x:v>
      </x:c>
      <x:c r="T12" s="32" t="n">
        <x:f>IF(O12="","",(1/'Metadata'!$B$5)^(O12-1))</x:f>
        <x:v>199.52623149688787</x:v>
      </x:c>
      <x:c r="U12" s="31" t="n">
        <x:f>IF(T12="","",I12*T12)</x:f>
        <x:v>14203.555368878482</x:v>
      </x:c>
    </x:row>
    <x:row r="13" ht="18" customHeight="1">
      <x:c r="A13" s="24" t="str">
        <x:v>EEZ_939</x:v>
      </x:c>
      <x:c r="B13" s="24" t="str">
        <x:v>Israel (Mediterranean)</x:v>
      </x:c>
      <x:c r="C13" s="24" t="str">
        <x:v>EEZ</x:v>
      </x:c>
      <x:c r="D13" s="30" t="n">
        <x:v>2019</x:v>
      </x:c>
      <x:c r="E13" s="24" t="str">
        <x:v>Boops boops</x:v>
      </x:c>
      <x:c r="F13" s="24" t="str">
        <x:v>Bogue</x:v>
      </x:c>
      <x:c r="G13" s="24" t="str">
        <x:v>Medium demersals (30 - 89 cm)</x:v>
      </x:c>
      <x:c r="H13" s="24" t="str">
        <x:v>Perch-likes</x:v>
      </x:c>
      <x:c r="I13" s="31" t="n">
        <x:v>63.98448983</x:v>
      </x:c>
      <x:c r="J13" s="31" t="n">
        <x:v>40</x:v>
      </x:c>
      <x:c r="K13" s="31" t="n">
        <x:v>23.98448983</x:v>
      </x:c>
      <x:c r="L13" s="31" t="n">
        <x:v>40</x:v>
      </x:c>
      <x:c r="M13" s="31" t="n">
        <x:v>23.98448983</x:v>
      </x:c>
      <x:c r="N13" s="24" t="str">
        <x:v>boops boops</x:v>
      </x:c>
      <x:c r="O13" s="32" t="n">
        <x:v>2.79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Boops boops</x:v>
      </x:c>
      <x:c r="T13" s="32" t="n">
        <x:f>IF(O13="","",(1/'Metadata'!$B$5)^(O13-1))</x:f>
        <x:v>61.65950018614822</x:v>
      </x:c>
      <x:c r="U13" s="31" t="n">
        <x:f>IF(T13="","",I13*T13)</x:f>
        <x:v>3945.251662583484</x:v>
      </x:c>
    </x:row>
    <x:row r="14" ht="18" customHeight="1">
      <x:c r="A14" s="24" t="str">
        <x:v>EEZ_939</x:v>
      </x:c>
      <x:c r="B14" s="24" t="str">
        <x:v>Israel (Mediterranean)</x:v>
      </x:c>
      <x:c r="C14" s="24" t="str">
        <x:v>EEZ</x:v>
      </x:c>
      <x:c r="D14" s="30" t="n">
        <x:v>2019</x:v>
      </x:c>
      <x:c r="E14" s="24" t="str">
        <x:v>Diplodus vulgaris</x:v>
      </x:c>
      <x:c r="F14" s="24" t="str">
        <x:v>Common two-banded seabream</x:v>
      </x:c>
      <x:c r="G14" s="24" t="str">
        <x:v>Medium benthopelagics (30 - 89 cm)</x:v>
      </x:c>
      <x:c r="H14" s="24" t="str">
        <x:v>Perch-likes</x:v>
      </x:c>
      <x:c r="I14" s="31" t="n">
        <x:v>60.392323892</x:v>
      </x:c>
      <x:c r="J14" s="31" t="n">
        <x:v>60.000000005000004</x:v>
      </x:c>
      <x:c r="K14" s="31" t="n">
        <x:v>0.39232388700000004</x:v>
      </x:c>
      <x:c r="L14" s="31" t="n">
        <x:v>60.000000005000004</x:v>
      </x:c>
      <x:c r="M14" s="31" t="n">
        <x:v>0.39232388700000004</x:v>
      </x:c>
      <x:c r="N14" s="24" t="str">
        <x:v>diplodus vulgaris</x:v>
      </x:c>
      <x:c r="O14" s="32" t="n">
        <x:v>3.52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Diplodus vulgaris</x:v>
      </x:c>
      <x:c r="T14" s="32" t="n">
        <x:f>IF(O14="","",(1/'Metadata'!$B$5)^(O14-1))</x:f>
        <x:v>331.1311214825911</x:v>
      </x:c>
      <x:c r="U14" s="31" t="n">
        <x:f>IF(T14="","",I14*T14)</x:f>
        <x:v>19997.77793929784</x:v>
      </x:c>
    </x:row>
    <x:row r="15" ht="18" customHeight="1">
      <x:c r="A15" s="24" t="str">
        <x:v>EEZ_939</x:v>
      </x:c>
      <x:c r="B15" s="24" t="str">
        <x:v>Israel (Mediterranean)</x:v>
      </x:c>
      <x:c r="C15" s="24" t="str">
        <x:v>EEZ</x:v>
      </x:c>
      <x:c r="D15" s="30" t="n">
        <x:v>2019</x:v>
      </x:c>
      <x:c r="E15" s="24" t="str">
        <x:v>Pagrus caeruleostictus</x:v>
      </x:c>
      <x:c r="F15" s="24" t="str">
        <x:v>Bluespotted seabream</x:v>
      </x:c>
      <x:c r="G15" s="24" t="str">
        <x:v>Large benthopelagics (&gt;=90 cm)</x:v>
      </x:c>
      <x:c r="H15" s="24" t="str">
        <x:v>Perch-likes</x:v>
      </x:c>
      <x:c r="I15" s="31" t="n">
        <x:v>46.359802204</x:v>
      </x:c>
      <x:c r="J15" s="31" t="n">
        <x:v>45.000000002</x:v>
      </x:c>
      <x:c r="K15" s="31" t="n">
        <x:v>1.359802202</x:v>
      </x:c>
      <x:c r="L15" s="31" t="n">
        <x:v>45.000000002</x:v>
      </x:c>
      <x:c r="M15" s="31" t="n">
        <x:v>1.359802202</x:v>
      </x:c>
      <x:c r="N15" s="24" t="str">
        <x:v>pagrus caeruleostictus</x:v>
      </x:c>
      <x:c r="O15" s="32" t="n">
        <x:v>3.81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Pagrus caeruleostictus</x:v>
      </x:c>
      <x:c r="T15" s="32" t="n">
        <x:f>IF(O15="","",(1/'Metadata'!$B$5)^(O15-1))</x:f>
        <x:v>645.6542290346556</x:v>
      </x:c>
      <x:c r="U15" s="31" t="n">
        <x:f>IF(T15="","",I15*T15)</x:f>
        <x:v>29932.402350222746</x:v>
      </x:c>
    </x:row>
    <x:row r="16" ht="18" customHeight="1">
      <x:c r="A16" s="24" t="str">
        <x:v>EEZ_939</x:v>
      </x:c>
      <x:c r="B16" s="24" t="str">
        <x:v>Israel (Mediterranean)</x:v>
      </x:c>
      <x:c r="C16" s="24" t="str">
        <x:v>EEZ</x:v>
      </x:c>
      <x:c r="D16" s="30" t="n">
        <x:v>2019</x:v>
      </x:c>
      <x:c r="E16" s="24" t="str">
        <x:v>Spicara</x:v>
      </x:c>
      <x:c r="F16" s="24" t="str">
        <x:v>Picarels</x:v>
      </x:c>
      <x:c r="G16" s="24" t="str">
        <x:v>Small demersals (&lt;30 cm)</x:v>
      </x:c>
      <x:c r="H16" s="24" t="str">
        <x:v>Perch-likes</x:v>
      </x:c>
      <x:c r="I16" s="31" t="n">
        <x:v>46.14751796</x:v>
      </x:c>
      <x:c r="J16" s="31" t="n">
        <x:v>2</x:v>
      </x:c>
      <x:c r="K16" s="31" t="n">
        <x:v>44.14751796</x:v>
      </x:c>
      <x:c r="L16" s="31" t="n">
        <x:v>2</x:v>
      </x:c>
      <x:c r="M16" s="31" t="n">
        <x:v>44.14751796</x:v>
      </x:c>
      <x:c r="N16" s="24" t="str">
        <x:v>spicara</x:v>
      </x:c>
      <x:c r="O16" s="32" t="n">
        <x:v>3.58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Spicara</x:v>
      </x:c>
      <x:c r="T16" s="32" t="n">
        <x:f>IF(O16="","",(1/'Metadata'!$B$5)^(O16-1))</x:f>
        <x:v>380.1893963205613</x:v>
      </x:c>
      <x:c r="U16" s="31" t="n">
        <x:f>IF(T16="","",I16*T16)</x:f>
        <x:v>17544.79699490466</x:v>
      </x:c>
    </x:row>
    <x:row r="17" ht="18" customHeight="1">
      <x:c r="A17" s="24" t="str">
        <x:v>EEZ_939</x:v>
      </x:c>
      <x:c r="B17" s="24" t="str">
        <x:v>Israel (Mediterranean)</x:v>
      </x:c>
      <x:c r="C17" s="24" t="str">
        <x:v>EEZ</x:v>
      </x:c>
      <x:c r="D17" s="30" t="n">
        <x:v>2019</x:v>
      </x:c>
      <x:c r="E17" s="24" t="str">
        <x:v>Seriola dumerili</x:v>
      </x:c>
      <x:c r="F17" s="24" t="str">
        <x:v>Greater amberjack</x:v>
      </x:c>
      <x:c r="G17" s="24" t="str">
        <x:v>Large reef assoc. fish (&gt;=90 cm)</x:v>
      </x:c>
      <x:c r="H17" s="24" t="str">
        <x:v>Perch-likes</x:v>
      </x:c>
      <x:c r="I17" s="31" t="n">
        <x:v>45.905182327</x:v>
      </x:c>
      <x:c r="J17" s="31" t="n">
        <x:v>44.999999997</x:v>
      </x:c>
      <x:c r="K17" s="31" t="n">
        <x:v>0.9051823299999999</x:v>
      </x:c>
      <x:c r="L17" s="31" t="n">
        <x:v>44.999999997</x:v>
      </x:c>
      <x:c r="M17" s="31" t="n">
        <x:v>0.9051823299999999</x:v>
      </x:c>
      <x:c r="N17" s="24" t="str">
        <x:v>seriola dumerili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Seriola dumerili</x:v>
      </x:c>
      <x:c r="T17" s="32" t="n">
        <x:f>IF(O17="","",(1/'Metadata'!$B$5)^(O17-1))</x:f>
        <x:v>3162.2776601683795</x:v>
      </x:c>
      <x:c r="U17" s="31" t="n">
        <x:f>IF(T17="","",I17*T17)</x:f>
        <x:v>145164.9325586284</x:v>
      </x:c>
    </x:row>
    <x:row r="18" ht="18" customHeight="1">
      <x:c r="A18" s="24" t="str">
        <x:v>EEZ_939</x:v>
      </x:c>
      <x:c r="B18" s="24" t="str">
        <x:v>Israel (Mediterranean)</x:v>
      </x:c>
      <x:c r="C18" s="24" t="str">
        <x:v>EEZ</x:v>
      </x:c>
      <x:c r="D18" s="30" t="n">
        <x:v>2019</x:v>
      </x:c>
      <x:c r="E18" s="24" t="str">
        <x:v>Sardinella</x:v>
      </x:c>
      <x:c r="F18" s="24" t="str">
        <x:v>Sardinellas</x:v>
      </x:c>
      <x:c r="G18" s="24" t="str">
        <x:v>Small pelagics (&lt;30 cm)</x:v>
      </x:c>
      <x:c r="H18" s="24" t="str">
        <x:v>Herring-likes</x:v>
      </x:c>
      <x:c r="I18" s="31" t="n">
        <x:v>45.149172794</x:v>
      </x:c>
      <x:c r="J18" s="31" t="n">
        <x:v>44.999999999</x:v>
      </x:c>
      <x:c r="K18" s="31" t="n">
        <x:v>0.149172795</x:v>
      </x:c>
      <x:c r="L18" s="31" t="n">
        <x:v>44.999999999</x:v>
      </x:c>
      <x:c r="M18" s="31" t="n">
        <x:v>0.149172795</x:v>
      </x:c>
      <x:c r="N18" s="24" t="str">
        <x:v>sardinella</x:v>
      </x:c>
      <x:c r="O18" s="32" t="n">
        <x:v>2.77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Sardinella</x:v>
      </x:c>
      <x:c r="T18" s="32" t="n">
        <x:f>IF(O18="","",(1/'Metadata'!$B$5)^(O18-1))</x:f>
        <x:v>58.8843655355589</x:v>
      </x:c>
      <x:c r="U18" s="31" t="n">
        <x:f>IF(T18="","",I18*T18)</x:f>
        <x:v>2658.5803944300073</x:v>
      </x:c>
    </x:row>
    <x:row r="19" ht="18" customHeight="1">
      <x:c r="A19" s="24" t="str">
        <x:v>EEZ_939</x:v>
      </x:c>
      <x:c r="B19" s="24" t="str">
        <x:v>Israel (Mediterranean)</x:v>
      </x:c>
      <x:c r="C19" s="24" t="str">
        <x:v>EEZ</x:v>
      </x:c>
      <x:c r="D19" s="30" t="n">
        <x:v>2019</x:v>
      </x:c>
      <x:c r="E19" s="24" t="str">
        <x:v>Mugilidae</x:v>
      </x:c>
      <x:c r="F19" s="24" t="str">
        <x:v>Mullets, grey mullets</x:v>
      </x:c>
      <x:c r="G19" s="24" t="str">
        <x:v>Medium reef assoc. fish (30 - 89 cm)</x:v>
      </x:c>
      <x:c r="H19" s="24" t="str">
        <x:v>Perch-likes</x:v>
      </x:c>
      <x:c r="I19" s="31" t="n">
        <x:v>44.23917535499999</x:v>
      </x:c>
      <x:c r="J19" s="31" t="n">
        <x:v>44.23917535499999</x:v>
      </x:c>
      <x:c r="K19" s="31" t="n">
        <x:v>0</x:v>
      </x:c>
      <x:c r="L19" s="31" t="n">
        <x:v>0</x:v>
      </x:c>
      <x:c r="M19" s="31" t="n">
        <x:v>44.23917535499999</x:v>
      </x:c>
      <x:c r="N19" s="24" t="str">
        <x:v>mugilidae</x:v>
      </x:c>
      <x:c r="O19" s="32" t="n">
        <x:v>2.53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Mugilidae</x:v>
      </x:c>
      <x:c r="T19" s="32" t="n">
        <x:f>IF(O19="","",(1/'Metadata'!$B$5)^(O19-1))</x:f>
        <x:v>33.88441561392024</x:v>
      </x:c>
      <x:c r="U19" s="31" t="n">
        <x:f>IF(T19="","",I19*T19)</x:f>
        <x:v>1499.0186041459172</x:v>
      </x:c>
    </x:row>
    <x:row r="20" ht="18" customHeight="1">
      <x:c r="A20" s="24" t="str">
        <x:v>EEZ_939</x:v>
      </x:c>
      <x:c r="B20" s="24" t="str">
        <x:v>Israel (Mediterranean)</x:v>
      </x:c>
      <x:c r="C20" s="24" t="str">
        <x:v>EEZ</x:v>
      </x:c>
      <x:c r="D20" s="30" t="n">
        <x:v>2019</x:v>
      </x:c>
      <x:c r="E20" s="24" t="str">
        <x:v>Scomberomorus commerson</x:v>
      </x:c>
      <x:c r="F20" s="24" t="str">
        <x:v>Narrow-barred Spanish mackerel</x:v>
      </x:c>
      <x:c r="G20" s="24" t="str">
        <x:v>Large pelagics (&gt;=90 cm)</x:v>
      </x:c>
      <x:c r="H20" s="24" t="str">
        <x:v>Perch-likes</x:v>
      </x:c>
      <x:c r="I20" s="31" t="n">
        <x:v>42.684820512</x:v>
      </x:c>
      <x:c r="J20" s="31" t="n">
        <x:v>41.999999997</x:v>
      </x:c>
      <x:c r="K20" s="31" t="n">
        <x:v>0.684820515</x:v>
      </x:c>
      <x:c r="L20" s="31" t="n">
        <x:v>41.999999997</x:v>
      </x:c>
      <x:c r="M20" s="31" t="n">
        <x:v>0.684820515</x:v>
      </x:c>
      <x:c r="N20" s="24" t="str">
        <x:v>scomberomorus commerson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Scomberomorus commerson</x:v>
      </x:c>
      <x:c r="T20" s="32" t="n">
        <x:f>IF(O20="","",(1/'Metadata'!$B$5)^(O20-1))</x:f>
        <x:v>3162.2776601683795</x:v>
      </x:c>
      <x:c r="U20" s="31" t="n">
        <x:f>IF(T20="","",I20*T20)</x:f>
        <x:v>134981.2543333946</x:v>
      </x:c>
    </x:row>
    <x:row r="21" ht="18" customHeight="1">
      <x:c r="A21" s="24" t="str">
        <x:v>EEZ_939</x:v>
      </x:c>
      <x:c r="B21" s="24" t="str">
        <x:v>Israel (Mediterranean)</x:v>
      </x:c>
      <x:c r="C21" s="24" t="str">
        <x:v>EEZ</x:v>
      </x:c>
      <x:c r="D21" s="30" t="n">
        <x:v>2019</x:v>
      </x:c>
      <x:c r="E21" s="24" t="str">
        <x:v>Euthynnus alletteratus</x:v>
      </x:c>
      <x:c r="F21" s="24" t="str">
        <x:v>Little tunny </x:v>
      </x:c>
      <x:c r="G21" s="24" t="str">
        <x:v>Large pelagics (&gt;=90 cm)</x:v>
      </x:c>
      <x:c r="H21" s="24" t="str">
        <x:v>Tuna &amp; billfishes</x:v>
      </x:c>
      <x:c r="I21" s="31" t="n">
        <x:v>36.061711188000004</x:v>
      </x:c>
      <x:c r="J21" s="31" t="n">
        <x:v>34.999999997</x:v>
      </x:c>
      <x:c r="K21" s="31" t="n">
        <x:v>1.0617111909999999</x:v>
      </x:c>
      <x:c r="L21" s="31" t="n">
        <x:v>34.999999997</x:v>
      </x:c>
      <x:c r="M21" s="31" t="n">
        <x:v>1.0617111909999999</x:v>
      </x:c>
      <x:c r="N21" s="24" t="str">
        <x:v>euthynnus alletteratus</x:v>
      </x:c>
      <x:c r="O21" s="32" t="n">
        <x:v>4.49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Euthynnus alletteratus</x:v>
      </x:c>
      <x:c r="T21" s="32" t="n">
        <x:f>IF(O21="","",(1/'Metadata'!$B$5)^(O21-1))</x:f>
        <x:v>3090.295432513592</x:v>
      </x:c>
      <x:c r="U21" s="31" t="n">
        <x:f>IF(T21="","",I21*T21)</x:f>
        <x:v>111441.34137290072</x:v>
      </x:c>
    </x:row>
    <x:row r="22" ht="18" customHeight="1">
      <x:c r="A22" s="24" t="str">
        <x:v>EEZ_939</x:v>
      </x:c>
      <x:c r="B22" s="24" t="str">
        <x:v>Israel (Mediterranean)</x:v>
      </x:c>
      <x:c r="C22" s="24" t="str">
        <x:v>EEZ</x:v>
      </x:c>
      <x:c r="D22" s="30" t="n">
        <x:v>2019</x:v>
      </x:c>
      <x:c r="E22" s="24" t="str">
        <x:v>Trachurus trachurus</x:v>
      </x:c>
      <x:c r="F22" s="24" t="str">
        <x:v>Atlantic horse mackerel</x:v>
      </x:c>
      <x:c r="G22" s="24" t="str">
        <x:v>Medium pelagics (30 - 89 cm)</x:v>
      </x:c>
      <x:c r="H22" s="24" t="str">
        <x:v>Perch-likes</x:v>
      </x:c>
      <x:c r="I22" s="31" t="n">
        <x:v>35.950845433</x:v>
      </x:c>
      <x:c r="J22" s="31" t="n">
        <x:v>34.999999996</x:v>
      </x:c>
      <x:c r="K22" s="31" t="n">
        <x:v>0.950845437</x:v>
      </x:c>
      <x:c r="L22" s="31" t="n">
        <x:v>34.999999996</x:v>
      </x:c>
      <x:c r="M22" s="31" t="n">
        <x:v>0.950845437</x:v>
      </x:c>
      <x:c r="N22" s="24" t="str">
        <x:v>trachurus trachurus</x:v>
      </x:c>
      <x:c r="O22" s="32" t="n">
        <x:v>3.71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Trachurus trachurus</x:v>
      </x:c>
      <x:c r="T22" s="32" t="n">
        <x:f>IF(O22="","",(1/'Metadata'!$B$5)^(O22-1))</x:f>
        <x:v>512.8613839913648</x:v>
      </x:c>
      <x:c r="U22" s="31" t="n">
        <x:f>IF(T22="","",I22*T22)</x:f>
        <x:v>18437.80034442802</x:v>
      </x:c>
    </x:row>
    <x:row r="23" ht="18" customHeight="1">
      <x:c r="A23" s="24" t="str">
        <x:v>EEZ_939</x:v>
      </x:c>
      <x:c r="B23" s="24" t="str">
        <x:v>Israel (Mediterranean)</x:v>
      </x:c>
      <x:c r="C23" s="24" t="str">
        <x:v>EEZ</x:v>
      </x:c>
      <x:c r="D23" s="30" t="n">
        <x:v>2019</x:v>
      </x:c>
      <x:c r="E23" s="24" t="str">
        <x:v>Sillaginidae</x:v>
      </x:c>
      <x:c r="F23" s="24" t="str">
        <x:v>Smelt-whitings</x:v>
      </x:c>
      <x:c r="G23" s="24" t="str">
        <x:v>Medium demersals (30 - 89 cm)</x:v>
      </x:c>
      <x:c r="H23" s="24" t="str">
        <x:v>Perch-likes</x:v>
      </x:c>
      <x:c r="I23" s="31" t="n">
        <x:v>26.543505109999998</x:v>
      </x:c>
      <x:c r="J23" s="31" t="n">
        <x:v>26.543505109999998</x:v>
      </x:c>
      <x:c r="K23" s="31" t="n">
        <x:v>0</x:v>
      </x:c>
      <x:c r="L23" s="31" t="n">
        <x:v>0</x:v>
      </x:c>
      <x:c r="M23" s="31" t="n">
        <x:v>26.543505109999998</x:v>
      </x:c>
      <x:c r="N23" s="24" t="str">
        <x:v>sillaginidae</x:v>
      </x:c>
      <x:c r="O23" s="32" t="n">
        <x:v>3.25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Sillaginidae</x:v>
      </x:c>
      <x:c r="T23" s="32" t="n">
        <x:f>IF(O23="","",(1/'Metadata'!$B$5)^(O23-1))</x:f>
        <x:v>177.82794100389228</x:v>
      </x:c>
      <x:c r="U23" s="31" t="n">
        <x:f>IF(T23="","",I23*T23)</x:f>
        <x:v>4720.1768607375925</x:v>
      </x:c>
    </x:row>
    <x:row r="24" ht="18" customHeight="1">
      <x:c r="A24" s="24" t="str">
        <x:v>EEZ_939</x:v>
      </x:c>
      <x:c r="B24" s="24" t="str">
        <x:v>Israel (Mediterranean)</x:v>
      </x:c>
      <x:c r="C24" s="24" t="str">
        <x:v>EEZ</x:v>
      </x:c>
      <x:c r="D24" s="30" t="n">
        <x:v>2019</x:v>
      </x:c>
      <x:c r="E24" s="24" t="str">
        <x:v>Sphyraenidae</x:v>
      </x:c>
      <x:c r="F24" s="24" t="str">
        <x:v>Barracudas</x:v>
      </x:c>
      <x:c r="G24" s="24" t="str">
        <x:v>Medium reef assoc. fish (30 - 89 cm)</x:v>
      </x:c>
      <x:c r="H24" s="24" t="str">
        <x:v>Perch-likes</x:v>
      </x:c>
      <x:c r="I24" s="31" t="n">
        <x:v>26.543505109999998</x:v>
      </x:c>
      <x:c r="J24" s="31" t="n">
        <x:v>26.543505109999998</x:v>
      </x:c>
      <x:c r="K24" s="31" t="n">
        <x:v>0</x:v>
      </x:c>
      <x:c r="L24" s="31" t="n">
        <x:v>0</x:v>
      </x:c>
      <x:c r="M24" s="31" t="n">
        <x:v>26.543505109999998</x:v>
      </x:c>
      <x:c r="N24" s="24" t="str">
        <x:v>sphyraenidae</x:v>
      </x:c>
      <x:c r="O24" s="32" t="n">
        <x:v>4.4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Sphyraenidae</x:v>
      </x:c>
      <x:c r="T24" s="32" t="n">
        <x:f>IF(O24="","",(1/'Metadata'!$B$5)^(O24-1))</x:f>
        <x:v>2511.886431509582</x:v>
      </x:c>
      <x:c r="U24" s="31" t="n">
        <x:f>IF(T24="","",I24*T24)</x:f>
        <x:v>66674.27033051425</x:v>
      </x:c>
    </x:row>
    <x:row r="25" ht="18" customHeight="1">
      <x:c r="A25" s="24" t="str">
        <x:v>EEZ_939</x:v>
      </x:c>
      <x:c r="B25" s="24" t="str">
        <x:v>Israel (Mediterranean)</x:v>
      </x:c>
      <x:c r="C25" s="24" t="str">
        <x:v>EEZ</x:v>
      </x:c>
      <x:c r="D25" s="30" t="n">
        <x:v>2019</x:v>
      </x:c>
      <x:c r="E25" s="24" t="str">
        <x:v>Elasmobranchii</x:v>
      </x:c>
      <x:c r="F25" s="24" t="str">
        <x:v>Sharks, rays, skates</x:v>
      </x:c>
      <x:c r="G25" s="24" t="str">
        <x:v>Large sharks (&gt;=90 cm)</x:v>
      </x:c>
      <x:c r="H25" s="24" t="str">
        <x:v>Sharks &amp; rays</x:v>
      </x:c>
      <x:c r="I25" s="31" t="n">
        <x:v>25.3349482</x:v>
      </x:c>
      <x:c r="J25" s="31" t="n">
        <x:v>0</x:v>
      </x:c>
      <x:c r="K25" s="31" t="n">
        <x:v>25.3349482</x:v>
      </x:c>
      <x:c r="L25" s="31" t="n">
        <x:v>0</x:v>
      </x:c>
      <x:c r="M25" s="31" t="n">
        <x:v>25.3349482</x:v>
      </x:c>
      <x:c r="N25" s="24" t="str">
        <x:v>elasmobranchii</x:v>
      </x:c>
      <x:c r="O25" s="32" t="n">
        <x:v>4.05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Elasmobranchii</x:v>
      </x:c>
      <x:c r="T25" s="32" t="n">
        <x:f>IF(O25="","",(1/'Metadata'!$B$5)^(O25-1))</x:f>
        <x:v>1122.018454301963</x:v>
      </x:c>
      <x:c r="U25" s="31" t="n">
        <x:f>IF(T25="","",I25*T25)</x:f>
        <x:v>28426.2794191843</x:v>
      </x:c>
    </x:row>
    <x:row r="26" ht="18" customHeight="1">
      <x:c r="A26" s="24" t="str">
        <x:v>EEZ_939</x:v>
      </x:c>
      <x:c r="B26" s="24" t="str">
        <x:v>Israel (Mediterranean)</x:v>
      </x:c>
      <x:c r="C26" s="24" t="str">
        <x:v>EEZ</x:v>
      </x:c>
      <x:c r="D26" s="30" t="n">
        <x:v>2019</x:v>
      </x:c>
      <x:c r="E26" s="24" t="str">
        <x:v>Perciformes</x:v>
      </x:c>
      <x:c r="F26" s="24" t="str">
        <x:v>Perch-likes</x:v>
      </x:c>
      <x:c r="G26" s="24" t="str">
        <x:v>Medium demersals (30 - 89 cm)</x:v>
      </x:c>
      <x:c r="H26" s="24" t="str">
        <x:v>Perch-likes</x:v>
      </x:c>
      <x:c r="I26" s="31" t="n">
        <x:v>21.80507672</x:v>
      </x:c>
      <x:c r="J26" s="31" t="n">
        <x:v>0</x:v>
      </x:c>
      <x:c r="K26" s="31" t="n">
        <x:v>21.80507672</x:v>
      </x:c>
      <x:c r="L26" s="31" t="n">
        <x:v>0</x:v>
      </x:c>
      <x:c r="M26" s="31" t="n">
        <x:v>21.80507672</x:v>
      </x:c>
      <x:c r="N26" s="24" t="str">
        <x:v>perciformes</x:v>
      </x:c>
      <x:c r="O26" s="32" t="n">
        <x:v>3.53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Perciformes</x:v>
      </x:c>
      <x:c r="T26" s="32" t="n">
        <x:f>IF(O26="","",(1/'Metadata'!$B$5)^(O26-1))</x:f>
        <x:v>338.84415613920237</x:v>
      </x:c>
      <x:c r="U26" s="31" t="n">
        <x:f>IF(T26="","",I26*T26)</x:f>
        <x:v>7388.522820738966</x:v>
      </x:c>
    </x:row>
    <x:row r="27" ht="18" customHeight="1">
      <x:c r="A27" s="24" t="str">
        <x:v>EEZ_939</x:v>
      </x:c>
      <x:c r="B27" s="24" t="str">
        <x:v>Israel (Mediterranean)</x:v>
      </x:c>
      <x:c r="C27" s="24" t="str">
        <x:v>EEZ</x:v>
      </x:c>
      <x:c r="D27" s="30" t="n">
        <x:v>2019</x:v>
      </x:c>
      <x:c r="E27" s="24" t="str">
        <x:v>Pagellus acarne</x:v>
      </x:c>
      <x:c r="F27" s="24" t="str">
        <x:v>Axillary seabream</x:v>
      </x:c>
      <x:c r="G27" s="24" t="str">
        <x:v>Medium benthopelagics (30 - 89 cm)</x:v>
      </x:c>
      <x:c r="H27" s="24" t="str">
        <x:v>Perch-likes</x:v>
      </x:c>
      <x:c r="I27" s="31" t="n">
        <x:v>14.93018007</x:v>
      </x:c>
      <x:c r="J27" s="31" t="n">
        <x:v>0</x:v>
      </x:c>
      <x:c r="K27" s="31" t="n">
        <x:v>14.93018007</x:v>
      </x:c>
      <x:c r="L27" s="31" t="n">
        <x:v>0</x:v>
      </x:c>
      <x:c r="M27" s="31" t="n">
        <x:v>14.93018007</x:v>
      </x:c>
      <x:c r="N27" s="24" t="str">
        <x:v>pagellus acarne</x:v>
      </x:c>
      <x:c r="O27" s="32" t="n">
        <x:v>3.81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Pagellus acarne</x:v>
      </x:c>
      <x:c r="T27" s="32" t="n">
        <x:f>IF(O27="","",(1/'Metadata'!$B$5)^(O27-1))</x:f>
        <x:v>645.6542290346556</x:v>
      </x:c>
      <x:c r="U27" s="31" t="n">
        <x:f>IF(T27="","",I27*T27)</x:f>
        <x:v>9639.73390244443</x:v>
      </x:c>
    </x:row>
    <x:row r="28" ht="18" customHeight="1">
      <x:c r="A28" s="24" t="str">
        <x:v>EEZ_939</x:v>
      </x:c>
      <x:c r="B28" s="24" t="str">
        <x:v>Israel (Mediterranean)</x:v>
      </x:c>
      <x:c r="C28" s="24" t="str">
        <x:v>EEZ</x:v>
      </x:c>
      <x:c r="D28" s="30" t="n">
        <x:v>2019</x:v>
      </x:c>
      <x:c r="E28" s="24" t="str">
        <x:v>Engraulis encrasicolus</x:v>
      </x:c>
      <x:c r="F28" s="24" t="str">
        <x:v>European anchovy</x:v>
      </x:c>
      <x:c r="G28" s="24" t="str">
        <x:v>Small pelagics (&lt;30 cm)</x:v>
      </x:c>
      <x:c r="H28" s="24" t="str">
        <x:v>Anchovies</x:v>
      </x:c>
      <x:c r="I28" s="31" t="n">
        <x:v>14.40995071</x:v>
      </x:c>
      <x:c r="J28" s="31" t="n">
        <x:v>0</x:v>
      </x:c>
      <x:c r="K28" s="31" t="n">
        <x:v>14.40995071</x:v>
      </x:c>
      <x:c r="L28" s="31" t="n">
        <x:v>0</x:v>
      </x:c>
      <x:c r="M28" s="31" t="n">
        <x:v>14.40995071</x:v>
      </x:c>
      <x:c r="N28" s="24" t="str">
        <x:v>engraulis encrasicolus</x:v>
      </x:c>
      <x:c r="O28" s="32" t="n">
        <x:v>3.11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Engraulis encrasicolus</x:v>
      </x:c>
      <x:c r="T28" s="32" t="n">
        <x:f>IF(O28="","",(1/'Metadata'!$B$5)^(O28-1))</x:f>
        <x:v>128.82495516931337</x:v>
      </x:c>
      <x:c r="U28" s="31" t="n">
        <x:f>IF(T28="","",I28*T28)</x:f>
        <x:v>1856.3612542077653</x:v>
      </x:c>
    </x:row>
    <x:row r="29" ht="18" customHeight="1">
      <x:c r="A29" s="24" t="str">
        <x:v>EEZ_939</x:v>
      </x:c>
      <x:c r="B29" s="24" t="str">
        <x:v>Israel (Mediterranean)</x:v>
      </x:c>
      <x:c r="C29" s="24" t="str">
        <x:v>EEZ</x:v>
      </x:c>
      <x:c r="D29" s="30" t="n">
        <x:v>2019</x:v>
      </x:c>
      <x:c r="E29" s="24" t="str">
        <x:v>Thunnus thynnus</x:v>
      </x:c>
      <x:c r="F29" s="24" t="str">
        <x:v>Atlantic bluefin tuna</x:v>
      </x:c>
      <x:c r="G29" s="24" t="str">
        <x:v>Large pelagics (&gt;=90 cm)</x:v>
      </x:c>
      <x:c r="H29" s="24" t="str">
        <x:v>Tuna &amp; billfishes</x:v>
      </x:c>
      <x:c r="I29" s="31" t="n">
        <x:v>12.659351994</x:v>
      </x:c>
      <x:c r="J29" s="31" t="n">
        <x:v>12.659351994</x:v>
      </x:c>
      <x:c r="K29" s="31" t="n">
        <x:v>0</x:v>
      </x:c>
      <x:c r="L29" s="31" t="n">
        <x:v>10</x:v>
      </x:c>
      <x:c r="M29" s="31" t="n">
        <x:v>2.659351994</x:v>
      </x:c>
      <x:c r="N29" s="24" t="str">
        <x:v>thunnus thynnus</x:v>
      </x:c>
      <x:c r="O29" s="32" t="n">
        <x:v>4.45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Thunnus thynnus</x:v>
      </x:c>
      <x:c r="T29" s="32" t="n">
        <x:f>IF(O29="","",(1/'Metadata'!$B$5)^(O29-1))</x:f>
        <x:v>2818.382931264455</x:v>
      </x:c>
      <x:c r="U29" s="31" t="n">
        <x:f>IF(T29="","",I29*T29)</x:f>
        <x:v>35678.90158075824</x:v>
      </x:c>
    </x:row>
    <x:row r="30" ht="18" customHeight="1">
      <x:c r="A30" s="24" t="str">
        <x:v>EEZ_939</x:v>
      </x:c>
      <x:c r="B30" s="24" t="str">
        <x:v>Israel (Mediterranean)</x:v>
      </x:c>
      <x:c r="C30" s="24" t="str">
        <x:v>EEZ</x:v>
      </x:c>
      <x:c r="D30" s="30" t="n">
        <x:v>2019</x:v>
      </x:c>
      <x:c r="E30" s="24" t="str">
        <x:v>Trachurus</x:v>
      </x:c>
      <x:c r="F30" s="24" t="str">
        <x:v>Jacks, horse mackerels</x:v>
      </x:c>
      <x:c r="G30" s="24" t="str">
        <x:v>Medium pelagics (30 - 89 cm)</x:v>
      </x:c>
      <x:c r="H30" s="24" t="str">
        <x:v>Perch-likes</x:v>
      </x:c>
      <x:c r="I30" s="31" t="n">
        <x:v>12.39049173</x:v>
      </x:c>
      <x:c r="J30" s="31" t="n">
        <x:v>0</x:v>
      </x:c>
      <x:c r="K30" s="31" t="n">
        <x:v>12.39049173</x:v>
      </x:c>
      <x:c r="L30" s="31" t="n">
        <x:v>0</x:v>
      </x:c>
      <x:c r="M30" s="31" t="n">
        <x:v>12.39049173</x:v>
      </x:c>
      <x:c r="N30" s="24" t="str">
        <x:v>trachurus</x:v>
      </x:c>
      <x:c r="O30" s="32" t="n">
        <x:v>3.69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Trachurus</x:v>
      </x:c>
      <x:c r="T30" s="32" t="n">
        <x:f>IF(O30="","",(1/'Metadata'!$B$5)^(O30-1))</x:f>
        <x:v>489.77881936844614</x:v>
      </x:c>
      <x:c r="U30" s="31" t="n">
        <x:f>IF(T30="","",I30*T30)</x:f>
        <x:v>6068.600410913896</x:v>
      </x:c>
    </x:row>
    <x:row r="31" ht="18" customHeight="1">
      <x:c r="A31" s="24" t="str">
        <x:v>EEZ_939</x:v>
      </x:c>
      <x:c r="B31" s="24" t="str">
        <x:v>Israel (Mediterranean)</x:v>
      </x:c>
      <x:c r="C31" s="24" t="str">
        <x:v>EEZ</x:v>
      </x:c>
      <x:c r="D31" s="30" t="n">
        <x:v>2019</x:v>
      </x:c>
      <x:c r="E31" s="24" t="str">
        <x:v>Epinephelus aeneus</x:v>
      </x:c>
      <x:c r="F31" s="24" t="str">
        <x:v>White grouper</x:v>
      </x:c>
      <x:c r="G31" s="24" t="str">
        <x:v>Large demersals (&gt;=90 cm)</x:v>
      </x:c>
      <x:c r="H31" s="24" t="str">
        <x:v>Perch-likes</x:v>
      </x:c>
      <x:c r="I31" s="31" t="n">
        <x:v>10.227842044</x:v>
      </x:c>
      <x:c r="J31" s="31" t="n">
        <x:v>10</x:v>
      </x:c>
      <x:c r="K31" s="31" t="n">
        <x:v>0.227842044</x:v>
      </x:c>
      <x:c r="L31" s="31" t="n">
        <x:v>10</x:v>
      </x:c>
      <x:c r="M31" s="31" t="n">
        <x:v>0.227842044</x:v>
      </x:c>
      <x:c r="N31" s="24" t="str">
        <x:v>epinephelus aeneus</x:v>
      </x:c>
      <x:c r="O31" s="32" t="n">
        <x:v>4.02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Epinephelus aeneus</x:v>
      </x:c>
      <x:c r="T31" s="32" t="n">
        <x:f>IF(O31="","",(1/'Metadata'!$B$5)^(O31-1))</x:f>
        <x:v>1047.1285480508984</x:v>
      </x:c>
      <x:c r="U31" s="31" t="n">
        <x:f>IF(T31="","",I31*T31)</x:f>
        <x:v>10709.865389227654</x:v>
      </x:c>
    </x:row>
    <x:row r="32" ht="18" customHeight="1">
      <x:c r="A32" s="24" t="str">
        <x:v>EEZ_939</x:v>
      </x:c>
      <x:c r="B32" s="24" t="str">
        <x:v>Israel (Mediterranean)</x:v>
      </x:c>
      <x:c r="C32" s="24" t="str">
        <x:v>EEZ</x:v>
      </x:c>
      <x:c r="D32" s="30" t="n">
        <x:v>2019</x:v>
      </x:c>
      <x:c r="E32" s="24" t="str">
        <x:v>Penaeus japonicus</x:v>
      </x:c>
      <x:c r="F32" s="24" t="str">
        <x:v>Kuruma prawn</x:v>
      </x:c>
      <x:c r="G32" s="24" t="str">
        <x:v>Shrimps</x:v>
      </x:c>
      <x:c r="H32" s="24" t="str">
        <x:v>Crustaceans</x:v>
      </x:c>
      <x:c r="I32" s="31" t="n">
        <x:v>10</x:v>
      </x:c>
      <x:c r="J32" s="31" t="n">
        <x:v>10</x:v>
      </x:c>
      <x:c r="K32" s="31" t="n">
        <x:v>0</x:v>
      </x:c>
      <x:c r="L32" s="31" t="n">
        <x:v>10</x:v>
      </x:c>
      <x:c r="M32" s="31" t="n">
        <x:v>0</x:v>
      </x:c>
      <x:c r="N32" s="24" t="str">
        <x:v>penaeus japonicus</x:v>
      </x:c>
      <x:c r="O32" s="32" t="n">
        <x:v>2.7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Penaeus japonicus</x:v>
      </x:c>
      <x:c r="T32" s="32" t="n">
        <x:f>IF(O32="","",(1/'Metadata'!$B$5)^(O32-1))</x:f>
        <x:v>50.11872336272725</x:v>
      </x:c>
      <x:c r="U32" s="31" t="n">
        <x:f>IF(T32="","",I32*T32)</x:f>
        <x:v>501.1872336272725</x:v>
      </x:c>
    </x:row>
    <x:row r="33" ht="18" customHeight="1">
      <x:c r="A33" s="24" t="str">
        <x:v>EEZ_939</x:v>
      </x:c>
      <x:c r="B33" s="24" t="str">
        <x:v>Israel (Mediterranean)</x:v>
      </x:c>
      <x:c r="C33" s="24" t="str">
        <x:v>EEZ</x:v>
      </x:c>
      <x:c r="D33" s="30" t="n">
        <x:v>2019</x:v>
      </x:c>
      <x:c r="E33" s="24" t="str">
        <x:v>Trigla</x:v>
      </x:c>
      <x:c r="F33" s="24" t="str">
        <x:v>Piper gurnards</x:v>
      </x:c>
      <x:c r="G33" s="24" t="str">
        <x:v>Medium bathydemersals (30 - 89 cm)</x:v>
      </x:c>
      <x:c r="H33" s="24" t="str">
        <x:v>Scorpionfishes</x:v>
      </x:c>
      <x:c r="I33" s="31" t="n">
        <x:v>9.276765668</x:v>
      </x:c>
      <x:c r="J33" s="31" t="n">
        <x:v>0</x:v>
      </x:c>
      <x:c r="K33" s="31" t="n">
        <x:v>9.276765668</x:v>
      </x:c>
      <x:c r="L33" s="31" t="n">
        <x:v>0</x:v>
      </x:c>
      <x:c r="M33" s="31" t="n">
        <x:v>9.276765668</x:v>
      </x:c>
      <x:c r="N33" s="24" t="str">
        <x:v>trigla</x:v>
      </x:c>
      <x:c r="O33" s="32" t="n">
        <x:v>3.51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Trigla</x:v>
      </x:c>
      <x:c r="T33" s="32" t="n">
        <x:f>IF(O33="","",(1/'Metadata'!$B$5)^(O33-1))</x:f>
        <x:v>323.5936569296281</x:v>
      </x:c>
      <x:c r="U33" s="31" t="n">
        <x:f>IF(T33="","",I33*T33)</x:f>
        <x:v>3001.902526987344</x:v>
      </x:c>
    </x:row>
    <x:row r="34" ht="18" customHeight="1">
      <x:c r="A34" s="24" t="str">
        <x:v>EEZ_939</x:v>
      </x:c>
      <x:c r="B34" s="24" t="str">
        <x:v>Israel (Mediterranean)</x:v>
      </x:c>
      <x:c r="C34" s="24" t="str">
        <x:v>EEZ</x:v>
      </x:c>
      <x:c r="D34" s="30" t="n">
        <x:v>2019</x:v>
      </x:c>
      <x:c r="E34" s="24" t="str">
        <x:v>Serranus</x:v>
      </x:c>
      <x:c r="F34" s="24" t="str">
        <x:v>Groupers</x:v>
      </x:c>
      <x:c r="G34" s="24" t="str">
        <x:v>Small reef assoc. fish (&lt;30 cm)</x:v>
      </x:c>
      <x:c r="H34" s="24" t="str">
        <x:v>Perch-likes</x:v>
      </x:c>
      <x:c r="I34" s="31" t="n">
        <x:v>9.11318092</x:v>
      </x:c>
      <x:c r="J34" s="31" t="n">
        <x:v>9</x:v>
      </x:c>
      <x:c r="K34" s="31" t="n">
        <x:v>0.11318092</x:v>
      </x:c>
      <x:c r="L34" s="31" t="n">
        <x:v>9</x:v>
      </x:c>
      <x:c r="M34" s="31" t="n">
        <x:v>0.11318092</x:v>
      </x:c>
      <x:c r="N34" s="24" t="str">
        <x:v>serranus</x:v>
      </x:c>
      <x:c r="O34" s="32" t="n">
        <x:v>3.73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Serranus</x:v>
      </x:c>
      <x:c r="T34" s="32" t="n">
        <x:f>IF(O34="","",(1/'Metadata'!$B$5)^(O34-1))</x:f>
        <x:v>537.0317963702527</x:v>
      </x:c>
      <x:c r="U34" s="31" t="n">
        <x:f>IF(T34="","",I34*T34)</x:f>
        <x:v>4894.067920114711</x:v>
      </x:c>
    </x:row>
    <x:row r="35" ht="18" customHeight="1">
      <x:c r="A35" s="24" t="str">
        <x:v>EEZ_939</x:v>
      </x:c>
      <x:c r="B35" s="24" t="str">
        <x:v>Israel (Mediterranean)</x:v>
      </x:c>
      <x:c r="C35" s="24" t="str">
        <x:v>EEZ</x:v>
      </x:c>
      <x:c r="D35" s="30" t="n">
        <x:v>2019</x:v>
      </x:c>
      <x:c r="E35" s="24" t="str">
        <x:v>Sciaenidae</x:v>
      </x:c>
      <x:c r="F35" s="24" t="str">
        <x:v>Drums, croakers</x:v>
      </x:c>
      <x:c r="G35" s="24" t="str">
        <x:v>Medium demersals (30 - 89 cm)</x:v>
      </x:c>
      <x:c r="H35" s="24" t="str">
        <x:v>Perch-likes</x:v>
      </x:c>
      <x:c r="I35" s="31" t="n">
        <x:v>8.847834864000001</x:v>
      </x:c>
      <x:c r="J35" s="31" t="n">
        <x:v>8.847834864000001</x:v>
      </x:c>
      <x:c r="K35" s="31" t="n">
        <x:v>0</x:v>
      </x:c>
      <x:c r="L35" s="31" t="n">
        <x:v>0</x:v>
      </x:c>
      <x:c r="M35" s="31" t="n">
        <x:v>8.847834864000001</x:v>
      </x:c>
      <x:c r="N35" s="24" t="str">
        <x:v>sciaenidae</x:v>
      </x:c>
      <x:c r="O35" s="32" t="n">
        <x:v>3.76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Sciaenidae</x:v>
      </x:c>
      <x:c r="T35" s="32" t="n">
        <x:f>IF(O35="","",(1/'Metadata'!$B$5)^(O35-1))</x:f>
        <x:v>575.4399373371566</x:v>
      </x:c>
      <x:c r="U35" s="31" t="n">
        <x:f>IF(T35="","",I35*T35)</x:f>
        <x:v>5091.39753970967</x:v>
      </x:c>
    </x:row>
    <x:row r="36" ht="18" customHeight="1">
      <x:c r="A36" s="24" t="str">
        <x:v>EEZ_939</x:v>
      </x:c>
      <x:c r="B36" s="24" t="str">
        <x:v>Israel (Mediterranean)</x:v>
      </x:c>
      <x:c r="C36" s="24" t="str">
        <x:v>EEZ</x:v>
      </x:c>
      <x:c r="D36" s="30" t="n">
        <x:v>2019</x:v>
      </x:c>
      <x:c r="E36" s="24" t="str">
        <x:v>Citharus linguatula</x:v>
      </x:c>
      <x:c r="F36" s="24" t="str">
        <x:v>Spotted flounder</x:v>
      </x:c>
      <x:c r="G36" s="24" t="str">
        <x:v>Small to medium flatfishes (&lt;90 cm)</x:v>
      </x:c>
      <x:c r="H36" s="24" t="str">
        <x:v>Flatfishes</x:v>
      </x:c>
      <x:c r="I36" s="31" t="n">
        <x:v>8.65319843</x:v>
      </x:c>
      <x:c r="J36" s="31" t="n">
        <x:v>0</x:v>
      </x:c>
      <x:c r="K36" s="31" t="n">
        <x:v>8.65319843</x:v>
      </x:c>
      <x:c r="L36" s="31" t="n">
        <x:v>0</x:v>
      </x:c>
      <x:c r="M36" s="31" t="n">
        <x:v>8.65319843</x:v>
      </x:c>
      <x:c r="N36" s="24" t="str">
        <x:v>citharus linguatula</x:v>
      </x:c>
      <x:c r="O36" s="32" t="n">
        <x:v>3.97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Citharus linguatula</x:v>
      </x:c>
      <x:c r="T36" s="32" t="n">
        <x:f>IF(O36="","",(1/'Metadata'!$B$5)^(O36-1))</x:f>
        <x:v>933.2543007969915</x:v>
      </x:c>
      <x:c r="U36" s="31" t="n">
        <x:f>IF(T36="","",I36*T36)</x:f>
        <x:v>8075.634650447275</x:v>
      </x:c>
    </x:row>
    <x:row r="37" ht="18" customHeight="1">
      <x:c r="A37" s="24" t="str">
        <x:v>EEZ_939</x:v>
      </x:c>
      <x:c r="B37" s="24" t="str">
        <x:v>Israel (Mediterranean)</x:v>
      </x:c>
      <x:c r="C37" s="24" t="str">
        <x:v>EEZ</x:v>
      </x:c>
      <x:c r="D37" s="30" t="n">
        <x:v>2019</x:v>
      </x:c>
      <x:c r="E37" s="24" t="str">
        <x:v>Dentex macrophthalmus</x:v>
      </x:c>
      <x:c r="F37" s="24" t="str">
        <x:v>Large-eye dentex</x:v>
      </x:c>
      <x:c r="G37" s="24" t="str">
        <x:v>Medium benthopelagics (30 - 89 cm)</x:v>
      </x:c>
      <x:c r="H37" s="24" t="str">
        <x:v>Perch-likes</x:v>
      </x:c>
      <x:c r="I37" s="31" t="n">
        <x:v>8.558487681</x:v>
      </x:c>
      <x:c r="J37" s="31" t="n">
        <x:v>0</x:v>
      </x:c>
      <x:c r="K37" s="31" t="n">
        <x:v>8.558487681</x:v>
      </x:c>
      <x:c r="L37" s="31" t="n">
        <x:v>0</x:v>
      </x:c>
      <x:c r="M37" s="31" t="n">
        <x:v>8.558487681</x:v>
      </x:c>
      <x:c r="N37" s="24" t="str">
        <x:v>dentex macrophthalmus</x:v>
      </x:c>
      <x:c r="O37" s="32" t="n">
        <x:v>3.52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Dentex macrophthalmus</x:v>
      </x:c>
      <x:c r="T37" s="32" t="n">
        <x:f>IF(O37="","",(1/'Metadata'!$B$5)^(O37-1))</x:f>
        <x:v>331.1311214825911</x:v>
      </x:c>
      <x:c r="U37" s="31" t="n">
        <x:f>IF(T37="","",I37*T37)</x:f>
        <x:v>2833.9816240044706</x:v>
      </x:c>
    </x:row>
    <x:row r="38" ht="18" customHeight="1">
      <x:c r="A38" s="24" t="str">
        <x:v>EEZ_939</x:v>
      </x:c>
      <x:c r="B38" s="24" t="str">
        <x:v>Israel (Mediterranean)</x:v>
      </x:c>
      <x:c r="C38" s="24" t="str">
        <x:v>EEZ</x:v>
      </x:c>
      <x:c r="D38" s="30" t="n">
        <x:v>2019</x:v>
      </x:c>
      <x:c r="E38" s="24" t="str">
        <x:v>Bothus podas</x:v>
      </x:c>
      <x:c r="F38" s="24" t="str">
        <x:v>Wide-eyed flounder</x:v>
      </x:c>
      <x:c r="G38" s="24" t="str">
        <x:v>Small to medium flatfishes (&lt;90 cm)</x:v>
      </x:c>
      <x:c r="H38" s="24" t="str">
        <x:v>Flatfishes</x:v>
      </x:c>
      <x:c r="I38" s="31" t="n">
        <x:v>6.440094149</x:v>
      </x:c>
      <x:c r="J38" s="31" t="n">
        <x:v>0</x:v>
      </x:c>
      <x:c r="K38" s="31" t="n">
        <x:v>6.440094149</x:v>
      </x:c>
      <x:c r="L38" s="31" t="n">
        <x:v>0</x:v>
      </x:c>
      <x:c r="M38" s="31" t="n">
        <x:v>6.440094149</x:v>
      </x:c>
      <x:c r="N38" s="24" t="str">
        <x:v>bothus podas</x:v>
      </x:c>
      <x:c r="O38" s="32" t="n">
        <x:v>3.37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Bothus podas</x:v>
      </x:c>
      <x:c r="T38" s="32" t="n">
        <x:f>IF(O38="","",(1/'Metadata'!$B$5)^(O38-1))</x:f>
        <x:v>234.42288153199226</x:v>
      </x:c>
      <x:c r="U38" s="31" t="n">
        <x:f>IF(T38="","",I38*T38)</x:f>
        <x:v>1509.7054277459035</x:v>
      </x:c>
    </x:row>
    <x:row r="39" ht="18" customHeight="1">
      <x:c r="A39" s="24" t="str">
        <x:v>EEZ_939</x:v>
      </x:c>
      <x:c r="B39" s="24" t="str">
        <x:v>Israel (Mediterranean)</x:v>
      </x:c>
      <x:c r="C39" s="24" t="str">
        <x:v>EEZ</x:v>
      </x:c>
      <x:c r="D39" s="30" t="n">
        <x:v>2019</x:v>
      </x:c>
      <x:c r="E39" s="24" t="str">
        <x:v>Conger conger</x:v>
      </x:c>
      <x:c r="F39" s="24" t="str">
        <x:v>European conger</x:v>
      </x:c>
      <x:c r="G39" s="24" t="str">
        <x:v>Large demersals (&gt;=90 cm)</x:v>
      </x:c>
      <x:c r="H39" s="24" t="str">
        <x:v>Other fishes &amp; inverts</x:v>
      </x:c>
      <x:c r="I39" s="31" t="n">
        <x:v>5.552419375</x:v>
      </x:c>
      <x:c r="J39" s="31" t="n">
        <x:v>0</x:v>
      </x:c>
      <x:c r="K39" s="31" t="n">
        <x:v>5.552419375</x:v>
      </x:c>
      <x:c r="L39" s="31" t="n">
        <x:v>0</x:v>
      </x:c>
      <x:c r="M39" s="31" t="n">
        <x:v>5.552419375</x:v>
      </x:c>
      <x:c r="N39" s="24" t="str">
        <x:v>conger conger</x:v>
      </x:c>
      <x:c r="O39" s="32" t="n">
        <x:v>4.31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Conger conger</x:v>
      </x:c>
      <x:c r="T39" s="32" t="n">
        <x:f>IF(O39="","",(1/'Metadata'!$B$5)^(O39-1))</x:f>
        <x:v>2041.7379446695275</x:v>
      </x:c>
      <x:c r="U39" s="31" t="n">
        <x:f>IF(T39="","",I39*T39)</x:f>
        <x:v>11336.585322655763</x:v>
      </x:c>
    </x:row>
    <x:row r="40" ht="18" customHeight="1">
      <x:c r="A40" s="24" t="str">
        <x:v>EEZ_939</x:v>
      </x:c>
      <x:c r="B40" s="24" t="str">
        <x:v>Israel (Mediterranean)</x:v>
      </x:c>
      <x:c r="C40" s="24" t="str">
        <x:v>EEZ</x:v>
      </x:c>
      <x:c r="D40" s="30" t="n">
        <x:v>2019</x:v>
      </x:c>
      <x:c r="E40" s="24" t="str">
        <x:v>Sepia officinalis</x:v>
      </x:c>
      <x:c r="F40" s="24" t="str">
        <x:v>Common cuttlefish</x:v>
      </x:c>
      <x:c r="G40" s="24" t="str">
        <x:v>Cephalopods</x:v>
      </x:c>
      <x:c r="H40" s="24" t="str">
        <x:v>Other fishes &amp; inverts</x:v>
      </x:c>
      <x:c r="I40" s="31" t="n">
        <x:v>5.166963638</x:v>
      </x:c>
      <x:c r="J40" s="31" t="n">
        <x:v>5</x:v>
      </x:c>
      <x:c r="K40" s="31" t="n">
        <x:v>0.166963638</x:v>
      </x:c>
      <x:c r="L40" s="31" t="n">
        <x:v>5</x:v>
      </x:c>
      <x:c r="M40" s="31" t="n">
        <x:v>0.166963638</x:v>
      </x:c>
      <x:c r="N40" s="24" t="str">
        <x:v>sepia officinalis</x:v>
      </x:c>
      <x:c r="O40" s="32" t="n">
        <x:v>4.27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Sepia officinalis</x:v>
      </x:c>
      <x:c r="T40" s="32" t="n">
        <x:f>IF(O40="","",(1/'Metadata'!$B$5)^(O40-1))</x:f>
        <x:v>1862.0871366628655</x:v>
      </x:c>
      <x:c r="U40" s="31" t="n">
        <x:f>IF(T40="","",I40*T40)</x:f>
        <x:v>9621.336525924564</x:v>
      </x:c>
    </x:row>
    <x:row r="41" ht="18" customHeight="1">
      <x:c r="A41" s="24" t="str">
        <x:v>EEZ_939</x:v>
      </x:c>
      <x:c r="B41" s="24" t="str">
        <x:v>Israel (Mediterranean)</x:v>
      </x:c>
      <x:c r="C41" s="24" t="str">
        <x:v>EEZ</x:v>
      </x:c>
      <x:c r="D41" s="30" t="n">
        <x:v>2019</x:v>
      </x:c>
      <x:c r="E41" s="24" t="str">
        <x:v>Balistidae</x:v>
      </x:c>
      <x:c r="F41" s="24" t="str">
        <x:v>Triggerfishes</x:v>
      </x:c>
      <x:c r="G41" s="24" t="str">
        <x:v>Medium reef assoc. fish (30 - 89 cm)</x:v>
      </x:c>
      <x:c r="H41" s="24" t="str">
        <x:v>Other fishes &amp; inverts</x:v>
      </x:c>
      <x:c r="I41" s="31" t="n">
        <x:v>5.122389432</x:v>
      </x:c>
      <x:c r="J41" s="31" t="n">
        <x:v>5.000000001</x:v>
      </x:c>
      <x:c r="K41" s="31" t="n">
        <x:v>0.12238943099999999</x:v>
      </x:c>
      <x:c r="L41" s="31" t="n">
        <x:v>5.000000001</x:v>
      </x:c>
      <x:c r="M41" s="31" t="n">
        <x:v>0.12238943099999999</x:v>
      </x:c>
      <x:c r="N41" s="24" t="str">
        <x:v>balistidae</x:v>
      </x:c>
      <x:c r="O41" s="32" t="n">
        <x:v>3.25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Balistidae</x:v>
      </x:c>
      <x:c r="T41" s="32" t="n">
        <x:f>IF(O41="","",(1/'Metadata'!$B$5)^(O41-1))</x:f>
        <x:v>177.82794100389228</x:v>
      </x:c>
      <x:c r="U41" s="31" t="n">
        <x:f>IF(T41="","",I41*T41)</x:f>
        <x:v>910.9039657126573</x:v>
      </x:c>
    </x:row>
    <x:row r="42" ht="18" customHeight="1">
      <x:c r="A42" s="24" t="str">
        <x:v>EEZ_939</x:v>
      </x:c>
      <x:c r="B42" s="24" t="str">
        <x:v>Israel (Mediterranean)</x:v>
      </x:c>
      <x:c r="C42" s="24" t="str">
        <x:v>EEZ</x:v>
      </x:c>
      <x:c r="D42" s="30" t="n">
        <x:v>2019</x:v>
      </x:c>
      <x:c r="E42" s="24" t="str">
        <x:v>Epinephelus marginatus</x:v>
      </x:c>
      <x:c r="F42" s="24" t="str">
        <x:v>Dusky grouper</x:v>
      </x:c>
      <x:c r="G42" s="24" t="str">
        <x:v>Large reef assoc. fish (&gt;=90 cm)</x:v>
      </x:c>
      <x:c r="H42" s="24" t="str">
        <x:v>Perch-likes</x:v>
      </x:c>
      <x:c r="I42" s="31" t="n">
        <x:v>5.101495167</x:v>
      </x:c>
      <x:c r="J42" s="31" t="n">
        <x:v>5</x:v>
      </x:c>
      <x:c r="K42" s="31" t="n">
        <x:v>0.101495167</x:v>
      </x:c>
      <x:c r="L42" s="31" t="n">
        <x:v>5</x:v>
      </x:c>
      <x:c r="M42" s="31" t="n">
        <x:v>0.101495167</x:v>
      </x:c>
      <x:c r="N42" s="24" t="str">
        <x:v>epinephelus marginatus</x:v>
      </x:c>
      <x:c r="O42" s="32" t="n">
        <x:v>4.43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Epinephelus marginatus</x:v>
      </x:c>
      <x:c r="T42" s="32" t="n">
        <x:f>IF(O42="","",(1/'Metadata'!$B$5)^(O42-1))</x:f>
        <x:v>2691.534803926914</x:v>
      </x:c>
      <x:c r="U42" s="31" t="n">
        <x:f>IF(T42="","",I42*T42)</x:f>
        <x:v>13730.851794045444</x:v>
      </x:c>
    </x:row>
    <x:row r="43" ht="18" customHeight="1">
      <x:c r="A43" s="24" t="str">
        <x:v>EEZ_939</x:v>
      </x:c>
      <x:c r="B43" s="24" t="str">
        <x:v>Israel (Mediterranean)</x:v>
      </x:c>
      <x:c r="C43" s="24" t="str">
        <x:v>EEZ</x:v>
      </x:c>
      <x:c r="D43" s="30" t="n">
        <x:v>2019</x:v>
      </x:c>
      <x:c r="E43" s="24" t="str">
        <x:v>Sphyraena</x:v>
      </x:c>
      <x:c r="F43" s="24" t="str">
        <x:v>Barracudas, sennets</x:v>
      </x:c>
      <x:c r="G43" s="24" t="str">
        <x:v>Large pelagics (&gt;=90 cm)</x:v>
      </x:c>
      <x:c r="H43" s="24" t="str">
        <x:v>Perch-likes</x:v>
      </x:c>
      <x:c r="I43" s="31" t="n">
        <x:v>5.000000001</x:v>
      </x:c>
      <x:c r="J43" s="31" t="n">
        <x:v>5.000000001</x:v>
      </x:c>
      <x:c r="K43" s="31" t="n">
        <x:v>0</x:v>
      </x:c>
      <x:c r="L43" s="31" t="n">
        <x:v>5.000000001</x:v>
      </x:c>
      <x:c r="M43" s="31" t="n">
        <x:v>0</x:v>
      </x:c>
      <x:c r="N43" s="24" t="str">
        <x:v>sphyraena</x:v>
      </x:c>
      <x:c r="O43" s="32" t="n">
        <x:v>4.4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Sphyraena</x:v>
      </x:c>
      <x:c r="T43" s="32" t="n">
        <x:f>IF(O43="","",(1/'Metadata'!$B$5)^(O43-1))</x:f>
        <x:v>2511.886431509582</x:v>
      </x:c>
      <x:c r="U43" s="31" t="n">
        <x:f>IF(T43="","",I43*T43)</x:f>
        <x:v>12559.432160059798</x:v>
      </x:c>
    </x:row>
    <x:row r="44" ht="18" customHeight="1">
      <x:c r="A44" s="24" t="str">
        <x:v>EEZ_939</x:v>
      </x:c>
      <x:c r="B44" s="24" t="str">
        <x:v>Israel (Mediterranean)</x:v>
      </x:c>
      <x:c r="C44" s="24" t="str">
        <x:v>EEZ</x:v>
      </x:c>
      <x:c r="D44" s="30" t="n">
        <x:v>2019</x:v>
      </x:c>
      <x:c r="E44" s="24" t="str">
        <x:v>Octopodidae</x:v>
      </x:c>
      <x:c r="F44" s="24" t="str">
        <x:v>Octopuses</x:v>
      </x:c>
      <x:c r="G44" s="24" t="str">
        <x:v>Cephalopods</x:v>
      </x:c>
      <x:c r="H44" s="24" t="str">
        <x:v>Other fishes &amp; inverts</x:v>
      </x:c>
      <x:c r="I44" s="31" t="n">
        <x:v>5</x:v>
      </x:c>
      <x:c r="J44" s="31" t="n">
        <x:v>5</x:v>
      </x:c>
      <x:c r="K44" s="31" t="n">
        <x:v>0</x:v>
      </x:c>
      <x:c r="L44" s="31" t="n">
        <x:v>5</x:v>
      </x:c>
      <x:c r="M44" s="31" t="n">
        <x:v>0</x:v>
      </x:c>
      <x:c r="N44" s="24" t="str">
        <x:v>octopodidae</x:v>
      </x:c>
      <x:c r="O44" s="32" t="n">
        <x:v>3.59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Octopodidae</x:v>
      </x:c>
      <x:c r="T44" s="32" t="n">
        <x:f>IF(O44="","",(1/'Metadata'!$B$5)^(O44-1))</x:f>
        <x:v>389.04514499428046</x:v>
      </x:c>
      <x:c r="U44" s="31" t="n">
        <x:f>IF(T44="","",I44*T44)</x:f>
        <x:v>1945.2257249714023</x:v>
      </x:c>
    </x:row>
    <x:row r="45" ht="18" customHeight="1">
      <x:c r="A45" s="24" t="str">
        <x:v>EEZ_939</x:v>
      </x:c>
      <x:c r="B45" s="24" t="str">
        <x:v>Israel (Mediterranean)</x:v>
      </x:c>
      <x:c r="C45" s="24" t="str">
        <x:v>EEZ</x:v>
      </x:c>
      <x:c r="D45" s="30" t="n">
        <x:v>2019</x:v>
      </x:c>
      <x:c r="E45" s="24" t="str">
        <x:v>Argyrosomus regius</x:v>
      </x:c>
      <x:c r="F45" s="24" t="str">
        <x:v>Meagre</x:v>
      </x:c>
      <x:c r="G45" s="24" t="str">
        <x:v>Large benthopelagics (&gt;=90 cm)</x:v>
      </x:c>
      <x:c r="H45" s="24" t="str">
        <x:v>Perch-likes</x:v>
      </x:c>
      <x:c r="I45" s="31" t="n">
        <x:v>4</x:v>
      </x:c>
      <x:c r="J45" s="31" t="n">
        <x:v>4</x:v>
      </x:c>
      <x:c r="K45" s="31" t="n">
        <x:v>0</x:v>
      </x:c>
      <x:c r="L45" s="31" t="n">
        <x:v>4</x:v>
      </x:c>
      <x:c r="M45" s="31" t="n">
        <x:v>0</x:v>
      </x:c>
      <x:c r="N45" s="24" t="str">
        <x:v>argyrosomus regius</x:v>
      </x:c>
      <x:c r="O45" s="32" t="n">
        <x:v>4.29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Argyrosomus regius</x:v>
      </x:c>
      <x:c r="T45" s="32" t="n">
        <x:f>IF(O45="","",(1/'Metadata'!$B$5)^(O45-1))</x:f>
        <x:v>1949.8445997580454</x:v>
      </x:c>
      <x:c r="U45" s="31" t="n">
        <x:f>IF(T45="","",I45*T45)</x:f>
        <x:v>7799.378399032182</x:v>
      </x:c>
    </x:row>
    <x:row r="46" ht="18" customHeight="1">
      <x:c r="A46" s="24" t="str">
        <x:v>EEZ_939</x:v>
      </x:c>
      <x:c r="B46" s="24" t="str">
        <x:v>Israel (Mediterranean)</x:v>
      </x:c>
      <x:c r="C46" s="24" t="str">
        <x:v>EEZ</x:v>
      </x:c>
      <x:c r="D46" s="30" t="n">
        <x:v>2019</x:v>
      </x:c>
      <x:c r="E46" s="24" t="str">
        <x:v>Xiphias gladius</x:v>
      </x:c>
      <x:c r="F46" s="24" t="str">
        <x:v>Swordfish</x:v>
      </x:c>
      <x:c r="G46" s="24" t="str">
        <x:v>Large pelagics (&gt;=90 cm)</x:v>
      </x:c>
      <x:c r="H46" s="24" t="str">
        <x:v>Tuna &amp; billfishes</x:v>
      </x:c>
      <x:c r="I46" s="31" t="n">
        <x:v>1.340648005</x:v>
      </x:c>
      <x:c r="J46" s="31" t="n">
        <x:v>1.340648005</x:v>
      </x:c>
      <x:c r="K46" s="31" t="n">
        <x:v>0</x:v>
      </x:c>
      <x:c r="L46" s="31" t="n">
        <x:v>0</x:v>
      </x:c>
      <x:c r="M46" s="31" t="n">
        <x:v>1.340648005</x:v>
      </x:c>
      <x:c r="N46" s="24" t="str">
        <x:v>xiphias gladius</x:v>
      </x:c>
      <x:c r="O46" s="32" t="n">
        <x:v>4.53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Xiphias gladius</x:v>
      </x:c>
      <x:c r="T46" s="32" t="n">
        <x:f>IF(O46="","",(1/'Metadata'!$B$5)^(O46-1))</x:f>
        <x:v>3388.4415613920273</x:v>
      </x:c>
      <x:c r="U46" s="31" t="n">
        <x:f>IF(T46="","",I46*T46)</x:f>
        <x:v>4542.707419339306</x:v>
      </x:c>
    </x:row>
    <x:row r="47" ht="18" customHeight="1">
      <x:c r="A47" s="24" t="str">
        <x:v>EEZ_939</x:v>
      </x:c>
      <x:c r="B47" s="24" t="str">
        <x:v>Israel (Mediterranean)</x:v>
      </x:c>
      <x:c r="C47" s="24" t="str">
        <x:v>EEZ</x:v>
      </x:c>
      <x:c r="D47" s="30" t="n">
        <x:v>2019</x:v>
      </x:c>
      <x:c r="E47" s="24" t="str">
        <x:v>Miscellaneous marine crustaceans</x:v>
      </x:c>
      <x:c r="F47" s="24" t="str">
        <x:v>Marine crabs, shrimps, lobsters nei</x:v>
      </x:c>
      <x:c r="G47" s="24" t="str">
        <x:v>Shrimps</x:v>
      </x:c>
      <x:c r="H47" s="24" t="str">
        <x:v>Crustaceans</x:v>
      </x:c>
      <x:c r="I47" s="31" t="n">
        <x:v>0.970292257</x:v>
      </x:c>
      <x:c r="J47" s="31" t="n">
        <x:v>0</x:v>
      </x:c>
      <x:c r="K47" s="31" t="n">
        <x:v>0.970292257</x:v>
      </x:c>
      <x:c r="L47" s="31" t="n">
        <x:v>0</x:v>
      </x:c>
      <x:c r="M47" s="31" t="n">
        <x:v>0.970292257</x:v>
      </x:c>
      <x:c r="N47" s="24" t="str">
        <x:v>miscellaneous marine crustaceans</x:v>
      </x:c>
      <x:c r="O47" s="32" t="n">
        <x:v>2.7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Miscellaneous marine crustaceans</x:v>
      </x:c>
      <x:c r="T47" s="32" t="n">
        <x:f>IF(O47="","",(1/'Metadata'!$B$5)^(O47-1))</x:f>
        <x:v>50.11872336272725</x:v>
      </x:c>
      <x:c r="U47" s="31" t="n">
        <x:f>IF(T47="","",I47*T47)</x:f>
        <x:v>48.62980920957926</x:v>
      </x:c>
    </x:row>
    <x:row r="48" ht="18" customHeight="1">
      <x:c r="A48" s="24" t="str">
        <x:v>EEZ_939</x:v>
      </x:c>
      <x:c r="B48" s="24" t="str">
        <x:v>Israel (Mediterranean)</x:v>
      </x:c>
      <x:c r="C48" s="24" t="str">
        <x:v>EEZ</x:v>
      </x:c>
      <x:c r="D48" s="30" t="n">
        <x:v>2019</x:v>
      </x:c>
      <x:c r="E48" s="24" t="str">
        <x:v>Portunus pelagicus</x:v>
      </x:c>
      <x:c r="F48" s="24" t="str">
        <x:v>Blue swimming crab</x:v>
      </x:c>
      <x:c r="G48" s="24" t="str">
        <x:v>Lobsters, crabs</x:v>
      </x:c>
      <x:c r="H48" s="24" t="str">
        <x:v>Crustaceans</x:v>
      </x:c>
      <x:c r="I48" s="31" t="n">
        <x:v>0.20168268</x:v>
      </x:c>
      <x:c r="J48" s="31" t="n">
        <x:v>0</x:v>
      </x:c>
      <x:c r="K48" s="31" t="n">
        <x:v>0.20168268</x:v>
      </x:c>
      <x:c r="L48" s="31" t="n">
        <x:v>0</x:v>
      </x:c>
      <x:c r="M48" s="31" t="n">
        <x:v>0.20168268</x:v>
      </x:c>
      <x:c r="N48" s="24" t="str">
        <x:v>portunus pelagicus</x:v>
      </x:c>
      <x:c r="O48" s="32" t="n">
        <x:v>2.48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Portunus pelagicus</x:v>
      </x:c>
      <x:c r="T48" s="32" t="n">
        <x:f>IF(O48="","",(1/'Metadata'!$B$5)^(O48-1))</x:f>
        <x:v>30.19951720402016</x:v>
      </x:c>
      <x:c r="U48" s="31" t="n">
        <x:f>IF(T48="","",I48*T48)</x:f>
        <x:v>6.090719564412893</x:v>
      </x:c>
    </x:row>
    <x:row r="49" ht="18" customHeight="1">
      <x:c r="A49" s="24" t="str">
        <x:v>EEZ_939</x:v>
      </x:c>
      <x:c r="B49" s="24" t="str">
        <x:v>Israel (Mediterranean)</x:v>
      </x:c>
      <x:c r="C49" s="24" t="str">
        <x:v>EEZ</x:v>
      </x:c>
      <x:c r="D49" s="30" t="n">
        <x:v>2019</x:v>
      </x:c>
      <x:c r="E49" s="24" t="str">
        <x:v>Sardinella aurita</x:v>
      </x:c>
      <x:c r="F49" s="24" t="str">
        <x:v>Round sardinella</x:v>
      </x:c>
      <x:c r="G49" s="24" t="str">
        <x:v>Small pelagics (&lt;30 cm)</x:v>
      </x:c>
      <x:c r="H49" s="24" t="str">
        <x:v>Herring-likes</x:v>
      </x:c>
      <x:c r="I49" s="31" t="n">
        <x:v>0.197736924</x:v>
      </x:c>
      <x:c r="J49" s="31" t="n">
        <x:v>0</x:v>
      </x:c>
      <x:c r="K49" s="31" t="n">
        <x:v>0.197736924</x:v>
      </x:c>
      <x:c r="L49" s="31" t="n">
        <x:v>0</x:v>
      </x:c>
      <x:c r="M49" s="31" t="n">
        <x:v>0.197736924</x:v>
      </x:c>
      <x:c r="N49" s="24" t="str">
        <x:v>sardinella aurita</x:v>
      </x:c>
      <x:c r="O49" s="32" t="n">
        <x:v>3.4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Sardinella aurita</x:v>
      </x:c>
      <x:c r="T49" s="32" t="n">
        <x:f>IF(O49="","",(1/'Metadata'!$B$5)^(O49-1))</x:f>
        <x:v>251.18864315095797</x:v>
      </x:c>
      <x:c r="U49" s="31" t="n">
        <x:f>IF(T49="","",I49*T49)</x:f>
        <x:v>49.669269640404096</x:v>
      </x:c>
    </x:row>
    <x:row r="50" ht="18" customHeight="1">
      <x:c r="A50" s="24" t="str">
        <x:v>EEZ_939</x:v>
      </x:c>
      <x:c r="B50" s="24" t="str">
        <x:v>Israel (Mediterranean)</x:v>
      </x:c>
      <x:c r="C50" s="24" t="str">
        <x:v>EEZ</x:v>
      </x:c>
      <x:c r="D50" s="30" t="n">
        <x:v>2019</x:v>
      </x:c>
      <x:c r="E50" s="24" t="str">
        <x:v>Scyllarides latus</x:v>
      </x:c>
      <x:c r="F50" s="24" t="str">
        <x:v>Mediterranean slipper lobster</x:v>
      </x:c>
      <x:c r="G50" s="24" t="str">
        <x:v>Lobsters, crabs</x:v>
      </x:c>
      <x:c r="H50" s="24" t="str">
        <x:v>Crustaceans</x:v>
      </x:c>
      <x:c r="I50" s="31" t="n">
        <x:v>0.007798817</x:v>
      </x:c>
      <x:c r="J50" s="31" t="n">
        <x:v>0</x:v>
      </x:c>
      <x:c r="K50" s="31" t="n">
        <x:v>0.007798817</x:v>
      </x:c>
      <x:c r="L50" s="31" t="n">
        <x:v>0</x:v>
      </x:c>
      <x:c r="M50" s="31" t="n">
        <x:v>0.007798817</x:v>
      </x:c>
      <x:c r="N50" s="24" t="str">
        <x:v>scyllarides latus</x:v>
      </x:c>
      <x:c r="O50" s="32" t="n">
        <x:v>3.37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Scyllarides latus</x:v>
      </x:c>
      <x:c r="T50" s="32" t="n">
        <x:f>IF(O50="","",(1/'Metadata'!$B$5)^(O50-1))</x:f>
        <x:v>234.42288153199226</x:v>
      </x:c>
      <x:c r="U50" s="31" t="n">
        <x:f>IF(T50="","",I50*T50)</x:f>
        <x:v>1.8282211536806874</x:v>
      </x:c>
    </x:row>
    <x:row r="51" ht="18" customHeight="1">
      <x:c r="A51" s="24" t="str">
        <x:v>EEZ_939</x:v>
      </x:c>
      <x:c r="B51" s="24" t="str">
        <x:v>Israel (Mediterranean)</x:v>
      </x:c>
      <x:c r="C51" s="24" t="str">
        <x:v>EEZ</x:v>
      </x:c>
      <x:c r="D51" s="30" t="n">
        <x:v>2019</x:v>
      </x:c>
      <x:c r="E51" s="24" t="str">
        <x:v>Rajidae</x:v>
      </x:c>
      <x:c r="F51" s="24" t="str">
        <x:v>Stingrays</x:v>
      </x:c>
      <x:c r="G51" s="24" t="str">
        <x:v>Large rays (&gt;=90 cm)</x:v>
      </x:c>
      <x:c r="H51" s="24" t="str">
        <x:v>Sharks &amp; rays</x:v>
      </x:c>
      <x:c r="I51" s="31" t="n">
        <x:v>0.0077988169999999996</x:v>
      </x:c>
      <x:c r="J51" s="31" t="n">
        <x:v>0</x:v>
      </x:c>
      <x:c r="K51" s="31" t="n">
        <x:v>0.0077988169999999996</x:v>
      </x:c>
      <x:c r="L51" s="31" t="n">
        <x:v>0</x:v>
      </x:c>
      <x:c r="M51" s="31" t="n">
        <x:v>0.0077988169999999996</x:v>
      </x:c>
      <x:c r="N51" s="24" t="str">
        <x:v>rajidae</x:v>
      </x:c>
      <x:c r="O51" s="32" t="n">
        <x:v>3.82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Rajidae</x:v>
      </x:c>
      <x:c r="T51" s="32" t="n">
        <x:f>IF(O51="","",(1/'Metadata'!$B$5)^(O51-1))</x:f>
        <x:v>660.6934480075957</x:v>
      </x:c>
      <x:c r="U51" s="31" t="n">
        <x:f>IF(T51="","",I51*T51)</x:f>
        <x:v>5.152627294110253</x:v>
      </x:c>
    </x:row>
  </x:sheetData>
  <x:conditionalFormatting sqref="R2:R5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917a6ababe94a9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14.40995071</x:v>
      </x:c>
      <x:c r="E2" s="31" t="n">
        <x:v>14.40995071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IF(C2=0,"",SUMIF('Species'!$H$2:$H$51,A2,'Species'!$U$2:$U$51))</x:f>
        <x:v>1856.3612542077653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1856.3612542077653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5</x:v>
      </x:c>
      <x:c r="C3" s="33" t="n">
        <x:v>5</x:v>
      </x:c>
      <x:c r="D3" s="31" t="n">
        <x:v>82.366179984</x:v>
      </x:c>
      <x:c r="E3" s="31" t="n">
        <x:v>82.366179984</x:v>
      </x:c>
      <x:c r="F3" s="32" t="n">
        <x:v>0</x:v>
      </x:c>
      <x:c r="G3" s="34" t="n">
        <x:v>1</x:v>
      </x:c>
      <x:c r="H3" s="32" t="n">
        <x:f>IF(E3=0,"",I3/E3)</x:f>
        <x:v>179.21544200909733</x:v>
      </x:c>
      <x:c r="I3" s="31" t="n">
        <x:f>IF(C3=0,"",SUMIF('Species'!$H$2:$H$51,A3,'Species'!$U$2:$U$51))</x:f>
        <x:v>14761.291352433425</x:v>
      </x:c>
      <x:c r="J3" s="32" t="n">
        <x:v>3.218085199096029</x:v>
      </x:c>
      <x:c r="K3" s="32" t="n">
        <x:f>IF(J3="","",(1/'Metadata'!$B$5)^(J3-1))</x:f>
        <x:v>165.22859088596206</x:v>
      </x:c>
      <x:c r="L3" s="31" t="n">
        <x:f>IF(E3=0,"",E3*K3)</x:f>
        <x:v>13609.247855415853</x:v>
      </x:c>
      <x:c r="M3" s="31" t="n">
        <x:f>IF(E3=0,"",I3-L3)</x:f>
        <x:v>1152.043497017572</x:v>
      </x:c>
      <x:c r="N3" s="32" t="n">
        <x:f>IF(L3=0,"",I3/L3)</x:f>
        <x:v>1.0846515185304022</x:v>
      </x:c>
      <x:c r="O3" s="34" t="n">
        <x:f>IF(L3=0,"",M3/L3)</x:f>
        <x:v>0.08465151853040223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15.093292579</x:v>
      </x:c>
      <x:c r="E4" s="31" t="n">
        <x:v>15.093292579</x:v>
      </x:c>
      <x:c r="F4" s="32" t="n">
        <x:v>0</x:v>
      </x:c>
      <x:c r="G4" s="34" t="n">
        <x:v>1</x:v>
      </x:c>
      <x:c r="H4" s="32" t="n">
        <x:f>IF(E4=0,"",I4/E4)</x:f>
        <x:v>635.0728330496759</x:v>
      </x:c>
      <x:c r="I4" s="31" t="n">
        <x:f>IF(C4=0,"",SUMIF('Species'!$H$2:$H$51,A4,'Species'!$U$2:$U$51))</x:f>
        <x:v>9585.340078193178</x:v>
      </x:c>
      <x:c r="J4" s="32" t="n">
        <x:v>3.713988498919299</x:v>
      </x:c>
      <x:c r="K4" s="32" t="n">
        <x:f>IF(J4="","",(1/'Metadata'!$B$5)^(J4-1))</x:f>
        <x:v>517.593124755635</x:v>
      </x:c>
      <x:c r="L4" s="31" t="n">
        <x:f>IF(E4=0,"",E4*K4)</x:f>
        <x:v>7812.184468815647</x:v>
      </x:c>
      <x:c r="M4" s="31" t="n">
        <x:f>IF(E4=0,"",I4-L4)</x:f>
        <x:v>1773.1556093775307</x:v>
      </x:c>
      <x:c r="N4" s="32" t="n">
        <x:f>IF(L4=0,"",I4/L4)</x:f>
        <x:v>1.2269730849873732</x:v>
      </x:c>
      <x:c r="O4" s="34" t="n">
        <x:f>IF(L4=0,"",M4/L4)</x:f>
        <x:v>0.22697308498737317</x:v>
      </x:c>
    </x:row>
    <x:row r="5" ht="18" customHeight="1">
      <x:c r="A5" s="24" t="str">
        <x:v>Herring-likes</x:v>
      </x:c>
      <x:c r="B5" s="33" t="n">
        <x:v>2</x:v>
      </x:c>
      <x:c r="C5" s="33" t="n">
        <x:v>2</x:v>
      </x:c>
      <x:c r="D5" s="31" t="n">
        <x:v>45.346909718</x:v>
      </x:c>
      <x:c r="E5" s="31" t="n">
        <x:v>45.346909718</x:v>
      </x:c>
      <x:c r="F5" s="32" t="n">
        <x:v>0</x:v>
      </x:c>
      <x:c r="G5" s="34" t="n">
        <x:v>1</x:v>
      </x:c>
      <x:c r="H5" s="32" t="n">
        <x:f>IF(E5=0,"",I5/E5)</x:f>
        <x:v>59.72291564987061</x:v>
      </x:c>
      <x:c r="I5" s="31" t="n">
        <x:f>IF(C5=0,"",SUMIF('Species'!$H$2:$H$51,A5,'Species'!$U$2:$U$51))</x:f>
        <x:v>2708.2496640704117</x:v>
      </x:c>
      <x:c r="J5" s="32" t="n">
        <x:v>2.772747138953783</x:v>
      </x:c>
      <x:c r="K5" s="32" t="n">
        <x:f>IF(J5="","",(1/'Metadata'!$B$5)^(J5-1))</x:f>
        <x:v>59.25802037320409</x:v>
      </x:c>
      <x:c r="L5" s="31" t="n">
        <x:f>IF(E5=0,"",E5*K5)</x:f>
        <x:v>2687.1680999310906</x:v>
      </x:c>
      <x:c r="M5" s="31" t="n">
        <x:f>IF(E5=0,"",I5-L5)</x:f>
        <x:v>21.081564139321017</x:v>
      </x:c>
      <x:c r="N5" s="32" t="n">
        <x:f>IF(L5=0,"",I5/L5)</x:f>
        <x:v>1.007845271808586</x:v>
      </x:c>
      <x:c r="O5" s="34" t="n">
        <x:f>IF(L5=0,"",M5/L5)</x:f>
        <x:v>0.00784527180858601</x:v>
      </x:c>
    </x:row>
    <x:row r="6" ht="18" customHeight="1">
      <x:c r="A6" s="24" t="str">
        <x:v>Other fishes &amp; inverts</x:v>
      </x:c>
      <x:c r="B6" s="33" t="n">
        <x:v>8</x:v>
      </x:c>
      <x:c r="C6" s="33" t="n">
        <x:v>8</x:v>
      </x:c>
      <x:c r="D6" s="31" t="n">
        <x:v>956.1224758179999</x:v>
      </x:c>
      <x:c r="E6" s="31" t="n">
        <x:v>956.1224758179999</x:v>
      </x:c>
      <x:c r="F6" s="32" t="n">
        <x:v>0</x:v>
      </x:c>
      <x:c r="G6" s="34" t="n">
        <x:v>1</x:v>
      </x:c>
      <x:c r="H6" s="32" t="n">
        <x:f>IF(E6=0,"",I6/E6)</x:f>
        <x:v>342.26598787430754</x:v>
      </x:c>
      <x:c r="I6" s="31" t="n">
        <x:f>IF(C6=0,"",SUMIF('Species'!$H$2:$H$51,A6,'Species'!$U$2:$U$51))</x:f>
        <x:v>327248.20371467643</x:v>
      </x:c>
      <x:c r="J6" s="32" t="n">
        <x:v>3.4280650393559813</x:v>
      </x:c>
      <x:c r="K6" s="32" t="n">
        <x:f>IF(J6="","",(1/'Metadata'!$B$5)^(J6-1))</x:f>
        <x:v>267.9569583499836</x:v>
      </x:c>
      <x:c r="L6" s="31" t="n">
        <x:f>IF(E6=0,"",E6*K6)</x:f>
        <x:v>256199.670430247</x:v>
      </x:c>
      <x:c r="M6" s="31" t="n">
        <x:f>IF(E6=0,"",I6-L6)</x:f>
        <x:v>71048.53328442943</x:v>
      </x:c>
      <x:c r="N6" s="32" t="n">
        <x:f>IF(L6=0,"",I6/L6)</x:f>
        <x:v>1.2773170362206736</x:v>
      </x:c>
      <x:c r="O6" s="34" t="n">
        <x:f>IF(L6=0,"",M6/L6)</x:f>
        <x:v>0.27731703622067355</x:v>
      </x:c>
    </x:row>
    <x:row r="7" ht="18" customHeight="1">
      <x:c r="A7" s="24" t="str">
        <x:v>Perch-likes</x:v>
      </x:c>
      <x:c r="B7" s="33" t="n">
        <x:v>26</x:v>
      </x:c>
      <x:c r="C7" s="33" t="n">
        <x:v>26</x:v>
      </x:c>
      <x:c r="D7" s="31" t="n">
        <x:v>1322.894016106</x:v>
      </x:c>
      <x:c r="E7" s="31" t="n">
        <x:v>1322.894016106</x:v>
      </x:c>
      <x:c r="F7" s="32" t="n">
        <x:v>0</x:v>
      </x:c>
      <x:c r="G7" s="34" t="n">
        <x:v>1</x:v>
      </x:c>
      <x:c r="H7" s="32" t="n">
        <x:f>IF(E7=0,"",I7/E7)</x:f>
        <x:v>782.9824407586028</x:v>
      </x:c>
      <x:c r="I7" s="31" t="n">
        <x:f>IF(C7=0,"",SUMIF('Species'!$H$2:$H$51,A7,'Species'!$U$2:$U$51))</x:f>
        <x:v>1035802.7855956263</x:v>
      </x:c>
      <x:c r="J7" s="32" t="n">
        <x:v>3.655091331044981</x:v>
      </x:c>
      <x:c r="K7" s="32" t="n">
        <x:f>IF(J7="","",(1/'Metadata'!$B$5)^(J7-1))</x:f>
        <x:v>451.95097854397875</x:v>
      </x:c>
      <x:c r="L7" s="31" t="n">
        <x:f>IF(E7=0,"",E7*K7)</x:f>
        <x:v>597883.2450890807</x:v>
      </x:c>
      <x:c r="M7" s="31" t="n">
        <x:f>IF(E7=0,"",I7-L7)</x:f>
        <x:v>437919.5405065457</x:v>
      </x:c>
      <x:c r="N7" s="32" t="n">
        <x:f>IF(L7=0,"",I7/L7)</x:f>
        <x:v>1.7324499291518005</x:v>
      </x:c>
      <x:c r="O7" s="34" t="n">
        <x:f>IF(L7=0,"",M7/L7)</x:f>
        <x:v>0.7324499291518005</x:v>
      </x:c>
    </x:row>
    <x:row r="8" ht="18" customHeight="1">
      <x:c r="A8" s="24" t="str">
        <x:v>Scorpionfishes</x:v>
      </x:c>
      <x:c r="B8" s="33" t="n">
        <x:v>1</x:v>
      </x:c>
      <x:c r="C8" s="33" t="n">
        <x:v>1</x:v>
      </x:c>
      <x:c r="D8" s="31" t="n">
        <x:v>9.276765668</x:v>
      </x:c>
      <x:c r="E8" s="31" t="n">
        <x:v>9.276765668</x:v>
      </x:c>
      <x:c r="F8" s="32" t="n">
        <x:v>0</x:v>
      </x:c>
      <x:c r="G8" s="34" t="n">
        <x:v>1</x:v>
      </x:c>
      <x:c r="H8" s="32" t="n">
        <x:f>IF(E8=0,"",I8/E8)</x:f>
        <x:v>323.5936569296281</x:v>
      </x:c>
      <x:c r="I8" s="31" t="n">
        <x:f>IF(C8=0,"",SUMIF('Species'!$H$2:$H$51,A8,'Species'!$U$2:$U$51))</x:f>
        <x:v>3001.902526987344</x:v>
      </x:c>
      <x:c r="J8" s="32" t="n">
        <x:v>3.51</x:v>
      </x:c>
      <x:c r="K8" s="32" t="n">
        <x:f>IF(J8="","",(1/'Metadata'!$B$5)^(J8-1))</x:f>
        <x:v>323.5936569296281</x:v>
      </x:c>
      <x:c r="L8" s="31" t="n">
        <x:f>IF(E8=0,"",E8*K8)</x:f>
        <x:v>3001.902526987344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Sharks &amp; rays</x:v>
      </x:c>
      <x:c r="B9" s="33" t="n">
        <x:v>2</x:v>
      </x:c>
      <x:c r="C9" s="33" t="n">
        <x:v>2</x:v>
      </x:c>
      <x:c r="D9" s="31" t="n">
        <x:v>25.342747017</x:v>
      </x:c>
      <x:c r="E9" s="31" t="n">
        <x:v>25.342747017</x:v>
      </x:c>
      <x:c r="F9" s="32" t="n">
        <x:v>0</x:v>
      </x:c>
      <x:c r="G9" s="34" t="n">
        <x:v>1</x:v>
      </x:c>
      <x:c r="H9" s="32" t="n">
        <x:f>IF(E9=0,"",I9/E9)</x:f>
        <x:v>1121.8764890564748</x:v>
      </x:c>
      <x:c r="I9" s="31" t="n">
        <x:f>IF(C9=0,"",SUMIF('Species'!$H$2:$H$51,A9,'Species'!$U$2:$U$51))</x:f>
        <x:v>28431.43204647841</x:v>
      </x:c>
      <x:c r="J9" s="32" t="n">
        <x:v>4.0499292212517926</x:v>
      </x:c>
      <x:c r="K9" s="32" t="n">
        <x:f>IF(J9="","",(1/'Metadata'!$B$5)^(J9-1))</x:f>
        <x:v>1121.8356092647298</x:v>
      </x:c>
      <x:c r="L9" s="31" t="n">
        <x:f>IF(E9=0,"",E9*K9)</x:f>
        <x:v>28430.39604025811</x:v>
      </x:c>
      <x:c r="M9" s="31" t="n">
        <x:f>IF(E9=0,"",I9-L9)</x:f>
        <x:v>1.036006220299896</x:v>
      </x:c>
      <x:c r="N9" s="32" t="n">
        <x:f>IF(L9=0,"",I9/L9)</x:f>
        <x:v>1.0000364400910502</x:v>
      </x:c>
      <x:c r="O9" s="34" t="n">
        <x:f>IF(L9=0,"",M9/L9)</x:f>
        <x:v>0.000036440091050187514</x:v>
      </x:c>
    </x:row>
    <x:row r="10" ht="18" customHeight="1">
      <x:c r="A10" s="24" t="str">
        <x:v>Tuna &amp; billfishes</x:v>
      </x:c>
      <x:c r="B10" s="33" t="n">
        <x:v>3</x:v>
      </x:c>
      <x:c r="C10" s="33" t="n">
        <x:v>3</x:v>
      </x:c>
      <x:c r="D10" s="31" t="n">
        <x:v>50.061711187</x:v>
      </x:c>
      <x:c r="E10" s="31" t="n">
        <x:v>50.061711187</x:v>
      </x:c>
      <x:c r="F10" s="32" t="n">
        <x:v>0</x:v>
      </x:c>
      <x:c r="G10" s="34" t="n">
        <x:v>1</x:v>
      </x:c>
      <x:c r="H10" s="32" t="n">
        <x:f>IF(E10=0,"",I10/E10)</x:f>
        <x:v>3029.5199020760206</x:v>
      </x:c>
      <x:c r="I10" s="31" t="n">
        <x:f>IF(C10=0,"",SUMIF('Species'!$H$2:$H$51,A10,'Species'!$U$2:$U$51))</x:f>
        <x:v>151662.95037299825</x:v>
      </x:c>
      <x:c r="J10" s="32" t="n">
        <x:v>4.480956198882838</x:v>
      </x:c>
      <x:c r="K10" s="32" t="n">
        <x:f>IF(J10="","",(1/'Metadata'!$B$5)^(J10-1))</x:f>
        <x:v>3026.6081617218997</x:v>
      </x:c>
      <x:c r="L10" s="31" t="n">
        <x:f>IF(E10=0,"",E10*K10)</x:f>
        <x:v>151517.18366833872</x:v>
      </x:c>
      <x:c r="M10" s="31" t="n">
        <x:f>IF(E10=0,"",I10-L10)</x:f>
        <x:v>145.76670465953066</x:v>
      </x:c>
      <x:c r="N10" s="32" t="n">
        <x:f>IF(L10=0,"",I10/L10)</x:f>
        <x:v>1.0009620473475709</x:v>
      </x:c>
      <x:c r="O10" s="34" t="n">
        <x:f>IF(L10=0,"",M10/L10)</x:f>
        <x:v>0.0009620473475708505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84e64e604c642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145.166963638</x:v>
      </x:c>
      <x:c r="E2" s="31" t="n">
        <x:v>145.166963638</x:v>
      </x:c>
      <x:c r="F2" s="32" t="n">
        <x:v>0</x:v>
      </x:c>
      <x:c r="G2" s="34" t="n">
        <x:v>1</x:v>
      </x:c>
      <x:c r="H2" s="32" t="n">
        <x:f>IF(E2=0,"",I2/E2)</x:f>
        <x:v>988.4727453400322</x:v>
      </x:c>
      <x:c r="I2" s="31" t="n">
        <x:f>IF(C2=0,"",SUMIF('Species'!$G$2:$G$51,A2,'Species'!$U$2:$U$51))</x:f>
        <x:v>143493.5870799305</x:v>
      </x:c>
      <x:c r="J2" s="32" t="n">
        <x:v>3.986188869922639</x:v>
      </x:c>
      <x:c r="K2" s="32" t="n">
        <x:f>IF(J2="","",(1/'Metadata'!$B$5)^(J2-1))</x:f>
        <x:v>968.6990412938402</x:v>
      </x:c>
      <x:c r="L2" s="31" t="n">
        <x:f>IF(E2=0,"",E2*K2)</x:f>
        <x:v>140623.09850366836</x:v>
      </x:c>
      <x:c r="M2" s="31" t="n">
        <x:f>IF(E2=0,"",I2-L2)</x:f>
        <x:v>2870.4885762621416</x:v>
      </x:c>
      <x:c r="N2" s="32" t="n">
        <x:f>IF(L2=0,"",I2/L2)</x:f>
        <x:v>1.0204126392236141</x:v>
      </x:c>
      <x:c r="O2" s="34" t="n">
        <x:f>IF(L2=0,"",M2/L2)</x:f>
        <x:v>0.020412639223614183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50.359802204</x:v>
      </x:c>
      <x:c r="E3" s="31" t="n">
        <x:v>50.359802204</x:v>
      </x:c>
      <x:c r="F3" s="32" t="n">
        <x:v>0</x:v>
      </x:c>
      <x:c r="G3" s="34" t="n">
        <x:v>1</x:v>
      </x:c>
      <x:c r="H3" s="32" t="n">
        <x:f>IF(E3=0,"",I3/E3)</x:f>
        <x:v>749.2440219762807</x:v>
      </x:c>
      <x:c r="I3" s="31" t="n">
        <x:f>IF(C3=0,"",SUMIF('Species'!$G$2:$G$51,A3,'Species'!$U$2:$U$51))</x:f>
        <x:v>37731.780749254925</x:v>
      </x:c>
      <x:c r="J3" s="32" t="n">
        <x:v>3.848125646169585</x:v>
      </x:c>
      <x:c r="K3" s="32" t="n">
        <x:f>IF(J3="","",(1/'Metadata'!$B$5)^(J3-1))</x:f>
        <x:v>704.8969739161137</x:v>
      </x:c>
      <x:c r="L3" s="31" t="n">
        <x:f>IF(E3=0,"",E3*K3)</x:f>
        <x:v>35498.47218061363</x:v>
      </x:c>
      <x:c r="M3" s="31" t="n">
        <x:f>IF(E3=0,"",I3-L3)</x:f>
        <x:v>2233.308568641296</x:v>
      </x:c>
      <x:c r="N3" s="32" t="n">
        <x:f>IF(L3=0,"",I3/L3)</x:f>
        <x:v>1.0629128081140615</x:v>
      </x:c>
      <x:c r="O3" s="34" t="n">
        <x:f>IF(L3=0,"",M3/L3)</x:f>
        <x:v>0.06291280811406151</x:v>
      </x:c>
    </x:row>
    <x:row r="4" ht="18" customHeight="1">
      <x:c r="A4" s="24" t="str">
        <x:v>Large demersals (&gt;=90 cm)</x:v>
      </x:c>
      <x:c r="B4" s="33" t="n">
        <x:v>2</x:v>
      </x:c>
      <x:c r="C4" s="33" t="n">
        <x:v>2</x:v>
      </x:c>
      <x:c r="D4" s="31" t="n">
        <x:v>15.780261419000002</x:v>
      </x:c>
      <x:c r="E4" s="31" t="n">
        <x:v>15.780261419000002</x:v>
      </x:c>
      <x:c r="F4" s="32" t="n">
        <x:v>0</x:v>
      </x:c>
      <x:c r="G4" s="34" t="n">
        <x:v>1</x:v>
      </x:c>
      <x:c r="H4" s="32" t="n">
        <x:f>IF(E4=0,"",I4/E4)</x:f>
        <x:v>1397.090334976244</x:v>
      </x:c>
      <x:c r="I4" s="31" t="n">
        <x:f>IF(C4=0,"",SUMIF('Species'!$G$2:$G$51,A4,'Species'!$U$2:$U$51))</x:f>
        <x:v>22046.450711883415</x:v>
      </x:c>
      <x:c r="J4" s="32" t="n">
        <x:v>4.122038969824115</x:v>
      </x:c>
      <x:c r="K4" s="32" t="n">
        <x:f>IF(J4="","",(1/'Metadata'!$B$5)^(J4-1))</x:f>
        <x:v>1324.4603754618174</x:v>
      </x:c>
      <x:c r="L4" s="31" t="n">
        <x:f>IF(E4=0,"",E4*K4)</x:f>
        <x:v>20900.330963894376</x:v>
      </x:c>
      <x:c r="M4" s="31" t="n">
        <x:f>IF(E4=0,"",I4-L4)</x:f>
        <x:v>1146.1197479890398</x:v>
      </x:c>
      <x:c r="N4" s="32" t="n">
        <x:f>IF(L4=0,"",I4/L4)</x:f>
        <x:v>1.054837397071318</x:v>
      </x:c>
      <x:c r="O4" s="34" t="n">
        <x:f>IF(L4=0,"",M4/L4)</x:f>
        <x:v>0.054837397071318066</x:v>
      </x:c>
    </x:row>
    <x:row r="5" ht="18" customHeight="1">
      <x:c r="A5" s="24" t="str">
        <x:v>Large pelagics (&gt;=90 cm)</x:v>
      </x:c>
      <x:c r="B5" s="33" t="n">
        <x:v>5</x:v>
      </x:c>
      <x:c r="C5" s="33" t="n">
        <x:v>5</x:v>
      </x:c>
      <x:c r="D5" s="31" t="n">
        <x:v>97.74653170000002</x:v>
      </x:c>
      <x:c r="E5" s="31" t="n">
        <x:v>97.74653170000002</x:v>
      </x:c>
      <x:c r="F5" s="32" t="n">
        <x:v>0</x:v>
      </x:c>
      <x:c r="G5" s="34" t="n">
        <x:v>1</x:v>
      </x:c>
      <x:c r="H5" s="32" t="n">
        <x:f>IF(E5=0,"",I5/E5)</x:f>
        <x:v>3061.015379908898</x:v>
      </x:c>
      <x:c r="I5" s="31" t="n">
        <x:f>IF(C5=0,"",SUMIF('Species'!$G$2:$G$51,A5,'Species'!$U$2:$U$51))</x:f>
        <x:v>299203.6368664527</x:v>
      </x:c>
      <x:c r="J5" s="32" t="n">
        <x:v>4.4851312855172125</x:v>
      </x:c>
      <x:c r="K5" s="32" t="n">
        <x:f>IF(J5="","",(1/'Metadata'!$B$5)^(J5-1))</x:f>
        <x:v>3055.8447434749114</x:v>
      </x:c>
      <x:c r="L5" s="31" t="n">
        <x:f>IF(E5=0,"",E5*K5)</x:f>
        <x:v>298698.22508834885</x:v>
      </x:c>
      <x:c r="M5" s="31" t="n">
        <x:f>IF(E5=0,"",I5-L5)</x:f>
        <x:v>505.41177810385125</x:v>
      </x:c>
      <x:c r="N5" s="32" t="n">
        <x:f>IF(L5=0,"",I5/L5)</x:f>
        <x:v>1.001692048146434</x:v>
      </x:c>
      <x:c r="O5" s="34" t="n">
        <x:f>IF(L5=0,"",M5/L5)</x:f>
        <x:v>0.0016920481464339494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0.0077988169999999996</x:v>
      </x:c>
      <x:c r="E6" s="31" t="n">
        <x:v>0.0077988169999999996</x:v>
      </x:c>
      <x:c r="F6" s="32" t="n">
        <x:v>0</x:v>
      </x:c>
      <x:c r="G6" s="34" t="n">
        <x:v>1</x:v>
      </x:c>
      <x:c r="H6" s="32" t="n">
        <x:f>IF(E6=0,"",I6/E6)</x:f>
        <x:v>660.6934480075957</x:v>
      </x:c>
      <x:c r="I6" s="31" t="n">
        <x:f>IF(C6=0,"",SUMIF('Species'!$G$2:$G$51,A6,'Species'!$U$2:$U$51))</x:f>
        <x:v>5.152627294110253</x:v>
      </x:c>
      <x:c r="J6" s="32" t="n">
        <x:v>3.82</x:v>
      </x:c>
      <x:c r="K6" s="32" t="n">
        <x:f>IF(J6="","",(1/'Metadata'!$B$5)^(J6-1))</x:f>
        <x:v>660.6934480075957</x:v>
      </x:c>
      <x:c r="L6" s="31" t="n">
        <x:f>IF(E6=0,"",E6*K6)</x:f>
        <x:v>5.152627294110253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reef assoc. fish (&gt;=90 cm)</x:v>
      </x:c>
      <x:c r="B7" s="33" t="n">
        <x:v>3</x:v>
      </x:c>
      <x:c r="C7" s="33" t="n">
        <x:v>3</x:v>
      </x:c>
      <x:c r="D7" s="31" t="n">
        <x:v>129.91235035399998</x:v>
      </x:c>
      <x:c r="E7" s="31" t="n">
        <x:v>129.91235035399998</x:v>
      </x:c>
      <x:c r="F7" s="32" t="n">
        <x:v>0</x:v>
      </x:c>
      <x:c r="G7" s="34" t="n">
        <x:v>1</x:v>
      </x:c>
      <x:c r="H7" s="32" t="n">
        <x:f>IF(E7=0,"",I7/E7)</x:f>
        <x:v>1415.1691390870633</x:v>
      </x:c>
      <x:c r="I7" s="31" t="n">
        <x:f>IF(C7=0,"",SUMIF('Species'!$G$2:$G$51,A7,'Species'!$U$2:$U$51))</x:f>
        <x:v>183847.9490072471</x:v>
      </x:c>
      <x:c r="J7" s="32" t="n">
        <x:v>3.8898749633448575</x:v>
      </x:c>
      <x:c r="K7" s="32" t="n">
        <x:f>IF(J7="","",(1/'Metadata'!$B$5)^(J7-1))</x:f>
        <x:v>776.0236614010671</x:v>
      </x:c>
      <x:c r="L7" s="31" t="n">
        <x:f>IF(E7=0,"",E7*K7)</x:f>
        <x:v>100815.05778292929</x:v>
      </x:c>
      <x:c r="M7" s="31" t="n">
        <x:f>IF(E7=0,"",I7-L7)</x:f>
        <x:v>83032.89122431782</x:v>
      </x:c>
      <x:c r="N7" s="32" t="n">
        <x:f>IF(L7=0,"",I7/L7)</x:f>
        <x:v>1.8236159662091422</x:v>
      </x:c>
      <x:c r="O7" s="34" t="n">
        <x:f>IF(L7=0,"",M7/L7)</x:f>
        <x:v>0.8236159662091423</x:v>
      </x:c>
    </x:row>
    <x:row r="8" ht="18" customHeight="1">
      <x:c r="A8" s="24" t="str">
        <x:v>Large sharks (&gt;=90 cm)</x:v>
      </x:c>
      <x:c r="B8" s="33" t="n">
        <x:v>1</x:v>
      </x:c>
      <x:c r="C8" s="33" t="n">
        <x:v>1</x:v>
      </x:c>
      <x:c r="D8" s="31" t="n">
        <x:v>25.3349482</x:v>
      </x:c>
      <x:c r="E8" s="31" t="n">
        <x:v>25.3349482</x:v>
      </x:c>
      <x:c r="F8" s="32" t="n">
        <x:v>0</x:v>
      </x:c>
      <x:c r="G8" s="34" t="n">
        <x:v>1</x:v>
      </x:c>
      <x:c r="H8" s="32" t="n">
        <x:f>IF(E8=0,"",I8/E8)</x:f>
        <x:v>1122.018454301963</x:v>
      </x:c>
      <x:c r="I8" s="31" t="n">
        <x:f>IF(C8=0,"",SUMIF('Species'!$G$2:$G$51,A8,'Species'!$U$2:$U$51))</x:f>
        <x:v>28426.2794191843</x:v>
      </x:c>
      <x:c r="J8" s="32" t="n">
        <x:v>4.05</x:v>
      </x:c>
      <x:c r="K8" s="32" t="n">
        <x:f>IF(J8="","",(1/'Metadata'!$B$5)^(J8-1))</x:f>
        <x:v>1122.018454301963</x:v>
      </x:c>
      <x:c r="L8" s="31" t="n">
        <x:f>IF(E8=0,"",E8*K8)</x:f>
        <x:v>28426.2794191843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Lobsters, crabs</x:v>
      </x:c>
      <x:c r="B9" s="33" t="n">
        <x:v>2</x:v>
      </x:c>
      <x:c r="C9" s="33" t="n">
        <x:v>2</x:v>
      </x:c>
      <x:c r="D9" s="31" t="n">
        <x:v>0.20948149700000002</x:v>
      </x:c>
      <x:c r="E9" s="31" t="n">
        <x:v>0.20948149700000002</x:v>
      </x:c>
      <x:c r="F9" s="32" t="n">
        <x:v>0</x:v>
      </x:c>
      <x:c r="G9" s="34" t="n">
        <x:v>1</x:v>
      </x:c>
      <x:c r="H9" s="32" t="n">
        <x:f>IF(E9=0,"",I9/E9)</x:f>
        <x:v>37.80257842101243</x:v>
      </x:c>
      <x:c r="I9" s="31" t="n">
        <x:f>IF(C9=0,"",SUMIF('Species'!$G$2:$G$51,A9,'Species'!$U$2:$U$51))</x:f>
        <x:v>7.91894071809358</x:v>
      </x:c>
      <x:c r="J9" s="32" t="n">
        <x:v>2.51313393893686</x:v>
      </x:c>
      <x:c r="K9" s="32" t="n">
        <x:f>IF(J9="","",(1/'Metadata'!$B$5)^(J9-1))</x:f>
        <x:v>32.59372064276819</x:v>
      </x:c>
      <x:c r="L9" s="31" t="n">
        <x:f>IF(E9=0,"",E9*K9)</x:f>
        <x:v>6.827781393046883</x:v>
      </x:c>
      <x:c r="M9" s="31" t="n">
        <x:f>IF(E9=0,"",I9-L9)</x:f>
        <x:v>1.0911593250466973</x:v>
      </x:c>
      <x:c r="N9" s="32" t="n">
        <x:f>IF(L9=0,"",I9/L9)</x:f>
        <x:v>1.1598116961034937</x:v>
      </x:c>
      <x:c r="O9" s="34" t="n">
        <x:f>IF(L9=0,"",M9/L9)</x:f>
        <x:v>0.1598116961034937</x:v>
      </x:c>
    </x:row>
    <x:row r="10" ht="18" customHeight="1">
      <x:c r="A10" s="24" t="str">
        <x:v>Medium bathydemersals (30 - 89 cm)</x:v>
      </x:c>
      <x:c r="B10" s="33" t="n">
        <x:v>1</x:v>
      </x:c>
      <x:c r="C10" s="33" t="n">
        <x:v>1</x:v>
      </x:c>
      <x:c r="D10" s="31" t="n">
        <x:v>9.276765668</x:v>
      </x:c>
      <x:c r="E10" s="31" t="n">
        <x:v>9.276765668</x:v>
      </x:c>
      <x:c r="F10" s="32" t="n">
        <x:v>0</x:v>
      </x:c>
      <x:c r="G10" s="34" t="n">
        <x:v>1</x:v>
      </x:c>
      <x:c r="H10" s="32" t="n">
        <x:f>IF(E10=0,"",I10/E10)</x:f>
        <x:v>323.5936569296281</x:v>
      </x:c>
      <x:c r="I10" s="31" t="n">
        <x:f>IF(C10=0,"",SUMIF('Species'!$G$2:$G$51,A10,'Species'!$U$2:$U$51))</x:f>
        <x:v>3001.902526987344</x:v>
      </x:c>
      <x:c r="J10" s="32" t="n">
        <x:v>3.51</x:v>
      </x:c>
      <x:c r="K10" s="32" t="n">
        <x:f>IF(J10="","",(1/'Metadata'!$B$5)^(J10-1))</x:f>
        <x:v>323.5936569296281</x:v>
      </x:c>
      <x:c r="L10" s="31" t="n">
        <x:f>IF(E10=0,"",E10*K10)</x:f>
        <x:v>3001.902526987344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benthopelagics (30 - 89 cm)</x:v>
      </x:c>
      <x:c r="B11" s="33" t="n">
        <x:v>5</x:v>
      </x:c>
      <x:c r="C11" s="33" t="n">
        <x:v>5</x:v>
      </x:c>
      <x:c r="D11" s="31" t="n">
        <x:v>422.0158861329999</x:v>
      </x:c>
      <x:c r="E11" s="31" t="n">
        <x:v>422.0158861329999</x:v>
      </x:c>
      <x:c r="F11" s="32" t="n">
        <x:v>0</x:v>
      </x:c>
      <x:c r="G11" s="34" t="n">
        <x:v>1</x:v>
      </x:c>
      <x:c r="H11" s="32" t="n">
        <x:f>IF(E11=0,"",I11/E11)</x:f>
        <x:v>263.4685715310361</x:v>
      </x:c>
      <x:c r="I11" s="31" t="n">
        <x:f>IF(C11=0,"",SUMIF('Species'!$G$2:$G$51,A11,'Species'!$U$2:$U$51))</x:f>
        <x:v>111187.92268286589</x:v>
      </x:c>
      <x:c r="J11" s="32" t="n">
        <x:v>3.401854445133407</x:v>
      </x:c>
      <x:c r="K11" s="32" t="n">
        <x:f>IF(J11="","",(1/'Metadata'!$B$5)^(J11-1))</x:f>
        <x:v>252.26351633886017</x:v>
      </x:c>
      <x:c r="L11" s="31" t="n">
        <x:f>IF(E11=0,"",E11*K11)</x:f>
        <x:v>106459.21138677058</x:v>
      </x:c>
      <x:c r="M11" s="31" t="n">
        <x:f>IF(E11=0,"",I11-L11)</x:f>
        <x:v>4728.711296095309</x:v>
      </x:c>
      <x:c r="N11" s="32" t="n">
        <x:f>IF(L11=0,"",I11/L11)</x:f>
        <x:v>1.044418056779659</x:v>
      </x:c>
      <x:c r="O11" s="34" t="n">
        <x:f>IF(L11=0,"",M11/L11)</x:f>
        <x:v>0.044418056779659126</x:v>
      </x:c>
    </x:row>
    <x:row r="12" ht="18" customHeight="1">
      <x:c r="A12" s="24" t="str">
        <x:v>Medium demersals (30 - 89 cm)</x:v>
      </x:c>
      <x:c r="B12" s="33" t="n">
        <x:v>5</x:v>
      </x:c>
      <x:c r="C12" s="33" t="n">
        <x:v>5</x:v>
      </x:c>
      <x:c r="D12" s="31" t="n">
        <x:v>765.7537955749999</x:v>
      </x:c>
      <x:c r="E12" s="31" t="n">
        <x:v>765.7537955749999</x:v>
      </x:c>
      <x:c r="F12" s="32" t="n">
        <x:v>0</x:v>
      </x:c>
      <x:c r="G12" s="34" t="n">
        <x:v>1</x:v>
      </x:c>
      <x:c r="H12" s="32" t="n">
        <x:f>IF(E12=0,"",I12/E12)</x:f>
        <x:v>188.0058338734614</x:v>
      </x:c>
      <x:c r="I12" s="31" t="n">
        <x:f>IF(C12=0,"",SUMIF('Species'!$G$2:$G$51,A12,'Species'!$U$2:$U$51))</x:f>
        <x:v>143966.18087884595</x:v>
      </x:c>
      <x:c r="J12" s="32" t="n">
        <x:v>3.2506818622578</x:v>
      </x:c>
      <x:c r="K12" s="32" t="n">
        <x:f>IF(J12="","",(1/'Metadata'!$B$5)^(J12-1))</x:f>
        <x:v>178.10735831989035</x:v>
      </x:c>
      <x:c r="L12" s="31" t="n">
        <x:f>IF(E12=0,"",E12*K12)</x:f>
        <x:v>136386.3856532926</x:v>
      </x:c>
      <x:c r="M12" s="31" t="n">
        <x:f>IF(E12=0,"",I12-L12)</x:f>
        <x:v>7579.79522555336</x:v>
      </x:c>
      <x:c r="N12" s="32" t="n">
        <x:f>IF(L12=0,"",I12/L12)</x:f>
        <x:v>1.0555758933653534</x:v>
      </x:c>
      <x:c r="O12" s="34" t="n">
        <x:f>IF(L12=0,"",M12/L12)</x:f>
        <x:v>0.05557589336535345</x:v>
      </x:c>
    </x:row>
    <x:row r="13" ht="18" customHeight="1">
      <x:c r="A13" s="24" t="str">
        <x:v>Medium pelagics (30 - 89 cm)</x:v>
      </x:c>
      <x:c r="B13" s="33" t="n">
        <x:v>4</x:v>
      </x:c>
      <x:c r="C13" s="33" t="n">
        <x:v>4</x:v>
      </x:c>
      <x:c r="D13" s="31" t="n">
        <x:v>247.993708831</x:v>
      </x:c>
      <x:c r="E13" s="31" t="n">
        <x:v>247.993708831</x:v>
      </x:c>
      <x:c r="F13" s="32" t="n">
        <x:v>0</x:v>
      </x:c>
      <x:c r="G13" s="34" t="n">
        <x:v>1</x:v>
      </x:c>
      <x:c r="H13" s="32" t="n">
        <x:f>IF(E13=0,"",I13/E13)</x:f>
        <x:v>1251.0391337252693</x:v>
      </x:c>
      <x:c r="I13" s="31" t="n">
        <x:f>IF(C13=0,"",SUMIF('Species'!$G$2:$G$51,A13,'Species'!$U$2:$U$51))</x:f>
        <x:v>310249.8346652509</x:v>
      </x:c>
      <x:c r="J13" s="32" t="n">
        <x:v>4.057647731017976</x:v>
      </x:c>
      <x:c r="K13" s="32" t="n">
        <x:f>IF(J13="","",(1/'Metadata'!$B$5)^(J13-1))</x:f>
        <x:v>1141.9516885441635</x:v>
      </x:c>
      <x:c r="L13" s="31" t="n">
        <x:f>IF(E13=0,"",E13*K13)</x:f>
        <x:v>283196.83454789006</x:v>
      </x:c>
      <x:c r="M13" s="31" t="n">
        <x:f>IF(E13=0,"",I13-L13)</x:f>
        <x:v>27053.000117360847</x:v>
      </x:c>
      <x:c r="N13" s="32" t="n">
        <x:f>IF(L13=0,"",I13/L13)</x:f>
        <x:v>1.0955271981078094</x:v>
      </x:c>
      <x:c r="O13" s="34" t="n">
        <x:f>IF(L13=0,"",M13/L13)</x:f>
        <x:v>0.09552719810780952</x:v>
      </x:c>
    </x:row>
    <x:row r="14" ht="18" customHeight="1">
      <x:c r="A14" s="24" t="str">
        <x:v>Medium reef assoc. fish (30 - 89 cm)</x:v>
      </x:c>
      <x:c r="B14" s="33" t="n">
        <x:v>5</x:v>
      </x:c>
      <x:c r="C14" s="33" t="n">
        <x:v>5</x:v>
      </x:c>
      <x:c r="D14" s="31" t="n">
        <x:v>322.286062915</x:v>
      </x:c>
      <x:c r="E14" s="31" t="n">
        <x:v>322.286062915</x:v>
      </x:c>
      <x:c r="F14" s="32" t="n">
        <x:v>0</x:v>
      </x:c>
      <x:c r="G14" s="34" t="n">
        <x:v>1</x:v>
      </x:c>
      <x:c r="H14" s="32" t="n">
        <x:f>IF(E14=0,"",I14/E14)</x:f>
        <x:v>672.7365107531963</x:v>
      </x:c>
      <x:c r="I14" s="31" t="n">
        <x:f>IF(C14=0,"",SUMIF('Species'!$G$2:$G$51,A14,'Species'!$U$2:$U$51))</x:f>
        <x:v>216813.60142982219</x:v>
      </x:c>
      <x:c r="J14" s="32" t="n">
        <x:v>3.5920073371608083</x:v>
      </x:c>
      <x:c r="K14" s="32" t="n">
        <x:f>IF(J14="","",(1/'Metadata'!$B$5)^(J14-1))</x:f>
        <x:v>390.84749888511055</x:v>
      </x:c>
      <x:c r="L14" s="31" t="n">
        <x:f>IF(E14=0,"",E14*K14)</x:f>
        <x:v>125964.70161585714</x:v>
      </x:c>
      <x:c r="M14" s="31" t="n">
        <x:f>IF(E14=0,"",I14-L14)</x:f>
        <x:v>90848.89981396505</x:v>
      </x:c>
      <x:c r="N14" s="32" t="n">
        <x:f>IF(L14=0,"",I14/L14)</x:f>
        <x:v>1.7212250626450774</x:v>
      </x:c>
      <x:c r="O14" s="34" t="n">
        <x:f>IF(L14=0,"",M14/L14)</x:f>
        <x:v>0.7212250626450775</x:v>
      </x:c>
    </x:row>
    <x:row r="15" ht="18" customHeight="1">
      <x:c r="A15" s="24" t="str">
        <x:v>Shrimps</x:v>
      </x:c>
      <x:c r="B15" s="33" t="n">
        <x:v>3</x:v>
      </x:c>
      <x:c r="C15" s="33" t="n">
        <x:v>3</x:v>
      </x:c>
      <x:c r="D15" s="31" t="n">
        <x:v>82.156698487</x:v>
      </x:c>
      <x:c r="E15" s="31" t="n">
        <x:v>82.156698487</x:v>
      </x:c>
      <x:c r="F15" s="32" t="n">
        <x:v>0</x:v>
      </x:c>
      <x:c r="G15" s="34" t="n">
        <x:v>1</x:v>
      </x:c>
      <x:c r="H15" s="32" t="n">
        <x:f>IF(E15=0,"",I15/E15)</x:f>
        <x:v>179.57601368377553</x:v>
      </x:c>
      <x:c r="I15" s="31" t="n">
        <x:f>IF(C15=0,"",SUMIF('Species'!$G$2:$G$51,A15,'Species'!$U$2:$U$51))</x:f>
        <x:v>14753.372411715332</x:v>
      </x:c>
      <x:c r="J15" s="32" t="n">
        <x:v>3.219882669637199</x:v>
      </x:c>
      <x:c r="K15" s="32" t="n">
        <x:f>IF(J15="","",(1/'Metadata'!$B$5)^(J15-1))</x:f>
        <x:v>165.91386087799546</x:v>
      </x:c>
      <x:c r="L15" s="31" t="n">
        <x:f>IF(E15=0,"",E15*K15)</x:f>
        <x:v>13630.935042967538</x:v>
      </x:c>
      <x:c r="M15" s="31" t="n">
        <x:f>IF(E15=0,"",I15-L15)</x:f>
        <x:v>1122.4373687477946</x:v>
      </x:c>
      <x:c r="N15" s="32" t="n">
        <x:f>IF(L15=0,"",I15/L15)</x:f>
        <x:v>1.0823448549354566</x:v>
      </x:c>
      <x:c r="O15" s="34" t="n">
        <x:f>IF(L15=0,"",M15/L15)</x:f>
        <x:v>0.08234485493545667</x:v>
      </x:c>
    </x:row>
    <x:row r="16" ht="18" customHeight="1">
      <x:c r="A16" s="24" t="str">
        <x:v>Small demersals (&lt;30 cm)</x:v>
      </x:c>
      <x:c r="B16" s="33" t="n">
        <x:v>1</x:v>
      </x:c>
      <x:c r="C16" s="33" t="n">
        <x:v>1</x:v>
      </x:c>
      <x:c r="D16" s="31" t="n">
        <x:v>46.14751796</x:v>
      </x:c>
      <x:c r="E16" s="31" t="n">
        <x:v>46.14751796</x:v>
      </x:c>
      <x:c r="F16" s="32" t="n">
        <x:v>0</x:v>
      </x:c>
      <x:c r="G16" s="34" t="n">
        <x:v>1</x:v>
      </x:c>
      <x:c r="H16" s="32" t="n">
        <x:f>IF(E16=0,"",I16/E16)</x:f>
        <x:v>380.1893963205613</x:v>
      </x:c>
      <x:c r="I16" s="31" t="n">
        <x:f>IF(C16=0,"",SUMIF('Species'!$G$2:$G$51,A16,'Species'!$U$2:$U$51))</x:f>
        <x:v>17544.79699490466</x:v>
      </x:c>
      <x:c r="J16" s="32" t="n">
        <x:v>3.58</x:v>
      </x:c>
      <x:c r="K16" s="32" t="n">
        <x:f>IF(J16="","",(1/'Metadata'!$B$5)^(J16-1))</x:f>
        <x:v>380.1893963205613</x:v>
      </x:c>
      <x:c r="L16" s="31" t="n">
        <x:f>IF(E16=0,"",E16*K16)</x:f>
        <x:v>17544.79699490466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pelagics (&lt;30 cm)</x:v>
      </x:c>
      <x:c r="B17" s="33" t="n">
        <x:v>3</x:v>
      </x:c>
      <x:c r="C17" s="33" t="n">
        <x:v>3</x:v>
      </x:c>
      <x:c r="D17" s="31" t="n">
        <x:v>59.756860427999996</x:v>
      </x:c>
      <x:c r="E17" s="31" t="n">
        <x:v>59.756860427999996</x:v>
      </x:c>
      <x:c r="F17" s="32" t="n">
        <x:v>0</x:v>
      </x:c>
      <x:c r="G17" s="34" t="n">
        <x:v>1</x:v>
      </x:c>
      <x:c r="H17" s="32" t="n">
        <x:f>IF(E17=0,"",I17/E17)</x:f>
        <x:v>76.38639121240308</x:v>
      </x:c>
      <x:c r="I17" s="31" t="n">
        <x:f>IF(C17=0,"",SUMIF('Species'!$G$2:$G$51,A17,'Species'!$U$2:$U$51))</x:f>
        <x:v>4564.6109182781765</x:v>
      </x:c>
      <x:c r="J17" s="32" t="n">
        <x:v>2.854073317566161</x:v>
      </x:c>
      <x:c r="K17" s="32" t="n">
        <x:f>IF(J17="","",(1/'Metadata'!$B$5)^(J17-1))</x:f>
        <x:v>71.4616957480972</x:v>
      </x:c>
      <x:c r="L17" s="31" t="n">
        <x:f>IF(E17=0,"",E17*K17)</x:f>
        <x:v>4270.326578767245</x:v>
      </x:c>
      <x:c r="M17" s="31" t="n">
        <x:f>IF(E17=0,"",I17-L17)</x:f>
        <x:v>294.2843395109312</x:v>
      </x:c>
      <x:c r="N17" s="32" t="n">
        <x:f>IF(L17=0,"",I17/L17)</x:f>
        <x:v>1.0689137783920697</x:v>
      </x:c>
      <x:c r="O17" s="34" t="n">
        <x:f>IF(L17=0,"",M17/L17)</x:f>
        <x:v>0.06891377839206972</x:v>
      </x:c>
    </x:row>
    <x:row r="18" ht="18" customHeight="1">
      <x:c r="A18" s="24" t="str">
        <x:v>Small reef assoc. fish (&lt;30 cm)</x:v>
      </x:c>
      <x:c r="B18" s="33" t="n">
        <x:v>2</x:v>
      </x:c>
      <x:c r="C18" s="33" t="n">
        <x:v>2</x:v>
      </x:c>
      <x:c r="D18" s="31" t="n">
        <x:v>85.915322382</x:v>
      </x:c>
      <x:c r="E18" s="31" t="n">
        <x:v>85.915322382</x:v>
      </x:c>
      <x:c r="F18" s="32" t="n">
        <x:v>0</x:v>
      </x:c>
      <x:c r="G18" s="34" t="n">
        <x:v>1</x:v>
      </x:c>
      <x:c r="H18" s="32" t="n">
        <x:f>IF(E18=0,"",I18/E18)</x:f>
        <x:v>333.2141208707226</x:v>
      </x:c>
      <x:c r="I18" s="31" t="n">
        <x:f>IF(C18=0,"",SUMIF('Species'!$G$2:$G$51,A18,'Species'!$U$2:$U$51))</x:f>
        <x:v>28628.198616842845</x:v>
      </x:c>
      <x:c r="J18" s="32" t="n">
        <x:v>3.515457198555054</x:v>
      </x:c>
      <x:c r="K18" s="32" t="n">
        <x:f>IF(J18="","",(1/'Metadata'!$B$5)^(J18-1))</x:f>
        <x:v>327.6854805090161</x:v>
      </x:c>
      <x:c r="L18" s="31" t="n">
        <x:f>IF(E18=0,"",E18*K18)</x:f>
        <x:v>28153.203697832694</x:v>
      </x:c>
      <x:c r="M18" s="31" t="n">
        <x:f>IF(E18=0,"",I18-L18)</x:f>
        <x:v>474.9949190101506</x:v>
      </x:c>
      <x:c r="N18" s="32" t="n">
        <x:f>IF(L18=0,"",I18/L18)</x:f>
        <x:v>1.016871789232524</x:v>
      </x:c>
      <x:c r="O18" s="34" t="n">
        <x:f>IF(L18=0,"",M18/L18)</x:f>
        <x:v>0.016871789232524075</x:v>
      </x:c>
    </x:row>
    <x:row r="19" ht="18" customHeight="1">
      <x:c r="A19" s="24" t="str">
        <x:v>Small to medium flatfishes (&lt;90 cm)</x:v>
      </x:c>
      <x:c r="B19" s="33" t="n">
        <x:v>2</x:v>
      </x:c>
      <x:c r="C19" s="33" t="n">
        <x:v>2</x:v>
      </x:c>
      <x:c r="D19" s="31" t="n">
        <x:v>15.093292579</x:v>
      </x:c>
      <x:c r="E19" s="31" t="n">
        <x:v>15.093292579</x:v>
      </x:c>
      <x:c r="F19" s="32" t="n">
        <x:v>0</x:v>
      </x:c>
      <x:c r="G19" s="34" t="n">
        <x:v>1</x:v>
      </x:c>
      <x:c r="H19" s="32" t="n">
        <x:f>IF(E19=0,"",I19/E19)</x:f>
        <x:v>635.0728330496759</x:v>
      </x:c>
      <x:c r="I19" s="31" t="n">
        <x:f>IF(C19=0,"",SUMIF('Species'!$G$2:$G$51,A19,'Species'!$U$2:$U$51))</x:f>
        <x:v>9585.340078193178</x:v>
      </x:c>
      <x:c r="J19" s="32" t="n">
        <x:v>3.713988498919299</x:v>
      </x:c>
      <x:c r="K19" s="32" t="n">
        <x:f>IF(J19="","",(1/'Metadata'!$B$5)^(J19-1))</x:f>
        <x:v>517.593124755635</x:v>
      </x:c>
      <x:c r="L19" s="31" t="n">
        <x:f>IF(E19=0,"",E19*K19)</x:f>
        <x:v>7812.184468815647</x:v>
      </x:c>
      <x:c r="M19" s="31" t="n">
        <x:f>IF(E19=0,"",I19-L19)</x:f>
        <x:v>1773.1556093775307</x:v>
      </x:c>
      <x:c r="N19" s="32" t="n">
        <x:f>IF(L19=0,"",I19/L19)</x:f>
        <x:v>1.2269730849873732</x:v>
      </x:c>
      <x:c r="O19" s="34" t="n">
        <x:f>IF(L19=0,"",M19/L19)</x:f>
        <x:v>0.22697308498737317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a3f9538648749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EEZ_939</x:v>
      </x:c>
      <x:c r="B2" s="24" t="str">
        <x:v>raw_filtered_tonnes</x:v>
      </x:c>
      <x:c r="C2" s="24" t="n">
        <x:v>2520.914048787</x:v>
      </x:c>
      <x:c r="D2" s="24" t="str">
        <x:v>tonnes</x:v>
      </x:c>
    </x:row>
    <x:row r="3" ht="18" customHeight="1">
      <x:c r="A3" s="24" t="str">
        <x:v>EEZ_939</x:v>
      </x:c>
      <x:c r="B3" s="24" t="str">
        <x:v>species_catch_tonnes</x:v>
      </x:c>
      <x:c r="C3" s="24" t="n">
        <x:v>2520.914048787</x:v>
      </x:c>
      <x:c r="D3" s="24" t="str">
        <x:v>tonnes</x:v>
      </x:c>
    </x:row>
    <x:row r="4" ht="18" customHeight="1">
      <x:c r="A4" s="24" t="str">
        <x:v>EEZ_939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EEZ_939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EEZ_939</x:v>
      </x:c>
      <x:c r="B6" s="24" t="str">
        <x:v>matched_catch_tonnes</x:v>
      </x:c>
      <x:c r="C6" s="24" t="n">
        <x:v>2520.914048787</x:v>
      </x:c>
      <x:c r="D6" s="24" t="str">
        <x:v>tonnes</x:v>
      </x:c>
    </x:row>
    <x:row r="7" ht="18" customHeight="1">
      <x:c r="A7" s="24" t="str">
        <x:v>EEZ_939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EEZ_939</x:v>
      </x:c>
      <x:c r="B8" s="24" t="str">
        <x:v>taxa_count</x:v>
      </x:c>
      <x:c r="C8" s="24" t="n">
        <x:v>50</x:v>
      </x:c>
      <x:c r="D8" s="24" t="str">
        <x:v>count</x:v>
      </x:c>
    </x:row>
    <x:row r="9" ht="18" customHeight="1">
      <x:c r="A9" s="24" t="str">
        <x:v>EEZ_939</x:v>
      </x:c>
      <x:c r="B9" s="24" t="str">
        <x:v>matched_taxa_count</x:v>
      </x:c>
      <x:c r="C9" s="24" t="n">
        <x:v>50</x:v>
      </x:c>
      <x:c r="D9" s="24" t="str">
        <x:v>count</x:v>
      </x:c>
    </x:row>
    <x:row r="10" ht="18" customHeight="1">
      <x:c r="A10" s="24" t="str">
        <x:v>EEZ_939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EEZ_939</x:v>
      </x:c>
      <x:c r="B11" s="24" t="str">
        <x:v>species_ppr</x:v>
      </x:c>
      <x:c r="C11" s="24" t="n">
        <x:v>1575058.5166056717</x:v>
      </x:c>
      <x:c r="D11" s="24" t="str">
        <x:v>tonnes_primary_production_equivalent</x:v>
      </x:c>
    </x:row>
    <x:row r="12" ht="18" customHeight="1">
      <x:c r="A12" s="24" t="str">
        <x:v>EEZ_939</x:v>
      </x:c>
      <x:c r="B12" s="24" t="str">
        <x:v>commercial_ppr</x:v>
      </x:c>
      <x:c r="C12" s="24" t="n">
        <x:v>1575058.5166056715</x:v>
      </x:c>
      <x:c r="D12" s="24" t="str">
        <x:v>tonnes_primary_production_equivalent</x:v>
      </x:c>
    </x:row>
    <x:row r="13" ht="18" customHeight="1">
      <x:c r="A13" s="24" t="str">
        <x:v>EEZ_939</x:v>
      </x:c>
      <x:c r="B13" s="24" t="str">
        <x:v>functional_ppr</x:v>
      </x:c>
      <x:c r="C13" s="24" t="n">
        <x:v>1575058.5166056715</x:v>
      </x:c>
      <x:c r="D13" s="24" t="str">
        <x:v>tonnes_primary_production_equivalent</x:v>
      </x:c>
    </x:row>
    <x:row r="14" ht="18" customHeight="1">
      <x:c r="A14" s="24" t="str">
        <x:v>EEZ_939</x:v>
      </x:c>
      <x:c r="B14" s="24" t="str">
        <x:v>commercial_ppr_difference</x:v>
      </x:c>
      <x:c r="C14" s="24" t="n">
        <x:v>-2.3283064365386963e-10</x:v>
      </x:c>
      <x:c r="D14" s="24" t="str">
        <x:v>tonnes_primary_production_equivalent</x:v>
      </x:c>
    </x:row>
    <x:row r="15" ht="18" customHeight="1">
      <x:c r="A15" s="24" t="str">
        <x:v>EEZ_939</x:v>
      </x:c>
      <x:c r="B15" s="24" t="str">
        <x:v>functional_ppr_difference</x:v>
      </x:c>
      <x:c r="C15" s="24" t="n">
        <x:v>-2.3283064365386963e-10</x:v>
      </x:c>
      <x:c r="D15" s="24" t="str">
        <x:v>tonnes_primary_production_equivalent</x:v>
      </x:c>
    </x:row>
    <x:row r="16" ht="18" customHeight="1">
      <x:c r="A16" s="24" t="str">
        <x:v>EEZ_939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EEZ_939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EEZ_939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EEZ_939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6c3f7cc0a3542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EEZ_939 - Israel (Mediterranean)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EEZ_939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