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c108a7d1034d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c343f43fee04f4f"/>
    <x:sheet xmlns:r="http://schemas.openxmlformats.org/officeDocument/2006/relationships" name="Commercial" sheetId="2" r:id="Ra59316f0fc8b4d6f"/>
    <x:sheet xmlns:r="http://schemas.openxmlformats.org/officeDocument/2006/relationships" name="Functional" sheetId="3" r:id="Rf9efd0c451d24988"/>
    <x:sheet xmlns:r="http://schemas.openxmlformats.org/officeDocument/2006/relationships" name="Missing TL" sheetId="4" r:id="Rff46372d52d14d5d"/>
    <x:sheet xmlns:r="http://schemas.openxmlformats.org/officeDocument/2006/relationships" name="Validation" sheetId="5" r:id="R2534a97511cf4046"/>
    <x:sheet xmlns:r="http://schemas.openxmlformats.org/officeDocument/2006/relationships" name="Metadata" sheetId="6" r:id="R6d9285d125d443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42bf19d93d43c6" /><Relationship Type="http://schemas.openxmlformats.org/officeDocument/2006/relationships/theme" Target="/xl/theme/theme1.xml" Id="R9b37363a412a4be4" /><Relationship Type="http://schemas.microsoft.com/office/2022/11/relationships/FeaturePropertyBag" Target="/xl/featurePropertyBag/featurePropertyBag.xml" Id="R92617e268be54a56" /><Relationship Type="http://schemas.openxmlformats.org/officeDocument/2006/relationships/sharedStrings" Target="/xl/sharedStrings.xml" Id="Rf3ef971c6e4b4f06" /><Relationship Type="http://schemas.openxmlformats.org/officeDocument/2006/relationships/worksheet" Target="/xl/worksheets/sheet1.xml" Id="Rcc343f43fee04f4f" /><Relationship Type="http://schemas.openxmlformats.org/officeDocument/2006/relationships/worksheet" Target="/xl/worksheets/sheet2.xml" Id="Ra59316f0fc8b4d6f" /><Relationship Type="http://schemas.openxmlformats.org/officeDocument/2006/relationships/worksheet" Target="/xl/worksheets/sheet3.xml" Id="Rf9efd0c451d24988" /><Relationship Type="http://schemas.openxmlformats.org/officeDocument/2006/relationships/worksheet" Target="/xl/worksheets/sheet4.xml" Id="Rff46372d52d14d5d" /><Relationship Type="http://schemas.openxmlformats.org/officeDocument/2006/relationships/worksheet" Target="/xl/worksheets/sheet5.xml" Id="R2534a97511cf4046" /><Relationship Type="http://schemas.openxmlformats.org/officeDocument/2006/relationships/worksheet" Target="/xl/worksheets/sheet6.xml" Id="R6d9285d125d443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91SpeciesTable" displayName="EEZ891SpeciesTable" ref="A1:U71" headerRowCount="1" totalsRowCount="0" totalsRowShown="0">
  <x:autoFilter ref="A1:U7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91CommercialTable" displayName="EEZ891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91FunctionalTable" displayName="EEZ891FunctionalTable" ref="A1:O21" headerRowCount="1" totalsRowCount="0" totalsRowShown="0">
  <x:autoFilter ref="A1:O2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91ValidationTable" displayName="EEZ89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7a88f26ca049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5b7c6ed61044c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4b05f83e4bc41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c1c7e1d8e544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EEZ_891</x:v>
      </x:c>
      <x:c r="B2" s="24" t="str">
        <x:v>Montenegro</x:v>
      </x:c>
      <x:c r="C2" s="24" t="str">
        <x:v>EEZ</x:v>
      </x:c>
      <x:c r="D2" s="30" t="n">
        <x:v>2019</x:v>
      </x:c>
      <x:c r="E2" s="24" t="str">
        <x:v>Sardina pilchardus</x:v>
      </x:c>
      <x:c r="F2" s="24" t="str">
        <x:v>European pilchard</x:v>
      </x:c>
      <x:c r="G2" s="24" t="str">
        <x:v>Small pelagics (&lt;30 cm)</x:v>
      </x:c>
      <x:c r="H2" s="24" t="str">
        <x:v>Herring-likes</x:v>
      </x:c>
      <x:c r="I2" s="31" t="n">
        <x:v>311.40636463</x:v>
      </x:c>
      <x:c r="J2" s="31" t="n">
        <x:v>303.108731478</x:v>
      </x:c>
      <x:c r="K2" s="31" t="n">
        <x:v>8.297633152</x:v>
      </x:c>
      <x:c r="L2" s="31" t="n">
        <x:v>298.99999997</x:v>
      </x:c>
      <x:c r="M2" s="31" t="n">
        <x:v>12.40636466</x:v>
      </x:c>
      <x:c r="N2" s="24" t="str">
        <x:v>sardina pilchardus</x:v>
      </x:c>
      <x:c r="O2" s="32" t="n">
        <x:v>3.06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Sardina pilchardus</x:v>
      </x:c>
      <x:c r="T2" s="32" t="n">
        <x:f>IF(O2="","",(1/'Metadata'!$B$5)^(O2-1))</x:f>
        <x:v>114.81536214968828</x:v>
      </x:c>
      <x:c r="U2" s="31" t="n">
        <x:f>IF(T2="","",I2*T2)</x:f>
        <x:v>35754.23453071133</x:v>
      </x:c>
    </x:row>
    <x:row r="3" ht="18" customHeight="1">
      <x:c r="A3" s="24" t="str">
        <x:v>EEZ_891</x:v>
      </x:c>
      <x:c r="B3" s="24" t="str">
        <x:v>Montenegro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269.4521698035</x:v>
      </x:c>
      <x:c r="J3" s="31" t="n">
        <x:v>243.00017920599998</x:v>
      </x:c>
      <x:c r="K3" s="31" t="n">
        <x:v>26.4519905975</x:v>
      </x:c>
      <x:c r="L3" s="31" t="n">
        <x:v>116.11069153999999</x:v>
      </x:c>
      <x:c r="M3" s="31" t="n">
        <x:v>153.3414782635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51343.05249305317</x:v>
      </x:c>
    </x:row>
    <x:row r="4" ht="18" customHeight="1">
      <x:c r="A4" s="24" t="str">
        <x:v>EEZ_891</x:v>
      </x:c>
      <x:c r="B4" s="24" t="str">
        <x:v>Montenegro</x:v>
      </x:c>
      <x:c r="C4" s="24" t="str">
        <x:v>EEZ</x:v>
      </x:c>
      <x:c r="D4" s="30" t="n">
        <x:v>2019</x:v>
      </x:c>
      <x:c r="E4" s="24" t="str">
        <x:v>Clupeidae</x:v>
      </x:c>
      <x:c r="F4" s="24" t="str">
        <x:v>Herrings, sardines, menhadens</x:v>
      </x:c>
      <x:c r="G4" s="24" t="str">
        <x:v>Small pelagics (&lt;30 cm)</x:v>
      </x:c>
      <x:c r="H4" s="24" t="str">
        <x:v>Herring-likes</x:v>
      </x:c>
      <x:c r="I4" s="31" t="n">
        <x:v>195.25661191</x:v>
      </x:c>
      <x:c r="J4" s="31" t="n">
        <x:v>195.25661191</x:v>
      </x:c>
      <x:c r="K4" s="31" t="n">
        <x:v>0</x:v>
      </x:c>
      <x:c r="L4" s="31" t="n">
        <x:v>0</x:v>
      </x:c>
      <x:c r="M4" s="31" t="n">
        <x:v>195.25661191</x:v>
      </x:c>
      <x:c r="N4" s="24" t="str">
        <x:v>clupeidae</x:v>
      </x:c>
      <x:c r="O4" s="32" t="n">
        <x:v>3.16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Clupeidae</x:v>
      </x:c>
      <x:c r="T4" s="32" t="n">
        <x:f>IF(O4="","",(1/'Metadata'!$B$5)^(O4-1))</x:f>
        <x:v>144.5439770745928</x:v>
      </x:c>
      <x:c r="U4" s="31" t="n">
        <x:f>IF(T4="","",I4*T4)</x:f>
        <x:v>28223.167235581703</x:v>
      </x:c>
    </x:row>
    <x:row r="5" ht="18" customHeight="1">
      <x:c r="A5" s="24" t="str">
        <x:v>EEZ_891</x:v>
      </x:c>
      <x:c r="B5" s="24" t="str">
        <x:v>Montenegro</x:v>
      </x:c>
      <x:c r="C5" s="24" t="str">
        <x:v>EEZ</x:v>
      </x:c>
      <x:c r="D5" s="30" t="n">
        <x:v>2019</x:v>
      </x:c>
      <x:c r="E5" s="24" t="str">
        <x:v>Engraulis encrasicolus</x:v>
      </x:c>
      <x:c r="F5" s="24" t="str">
        <x:v>European anchovy</x:v>
      </x:c>
      <x:c r="G5" s="24" t="str">
        <x:v>Small pelagics (&lt;30 cm)</x:v>
      </x:c>
      <x:c r="H5" s="24" t="str">
        <x:v>Anchovies</x:v>
      </x:c>
      <x:c r="I5" s="31" t="n">
        <x:v>187.337131773</x:v>
      </x:c>
      <x:c r="J5" s="31" t="n">
        <x:v>182.113356371</x:v>
      </x:c>
      <x:c r="K5" s="31" t="n">
        <x:v>5.223775402</x:v>
      </x:c>
      <x:c r="L5" s="31" t="n">
        <x:v>180.000000034</x:v>
      </x:c>
      <x:c r="M5" s="31" t="n">
        <x:v>7.337131739</x:v>
      </x:c>
      <x:c r="N5" s="24" t="str">
        <x:v>engraulis encrasicolus</x:v>
      </x:c>
      <x:c r="O5" s="32" t="n">
        <x:v>3.11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Engraulis encrasicolus</x:v>
      </x:c>
      <x:c r="T5" s="32" t="n">
        <x:f>IF(O5="","",(1/'Metadata'!$B$5)^(O5-1))</x:f>
        <x:v>128.82495516931337</x:v>
      </x:c>
      <x:c r="U5" s="31" t="n">
        <x:f>IF(T5="","",I5*T5)</x:f>
        <x:v>24133.697602204476</x:v>
      </x:c>
    </x:row>
    <x:row r="6" ht="18" customHeight="1">
      <x:c r="A6" s="24" t="str">
        <x:v>EEZ_891</x:v>
      </x:c>
      <x:c r="B6" s="24" t="str">
        <x:v>Montenegro</x:v>
      </x:c>
      <x:c r="C6" s="24" t="str">
        <x:v>EEZ</x:v>
      </x:c>
      <x:c r="D6" s="30" t="n">
        <x:v>2019</x:v>
      </x:c>
      <x:c r="E6" s="24" t="str">
        <x:v>Engraulidae</x:v>
      </x:c>
      <x:c r="F6" s="24" t="str">
        <x:v>Anchovies, round herrings</x:v>
      </x:c>
      <x:c r="G6" s="24" t="str">
        <x:v>Small pelagics (&lt;30 cm)</x:v>
      </x:c>
      <x:c r="H6" s="24" t="str">
        <x:v>Anchovies</x:v>
      </x:c>
      <x:c r="I6" s="31" t="n">
        <x:v>100.05038708999999</x:v>
      </x:c>
      <x:c r="J6" s="31" t="n">
        <x:v>100.05038708999999</x:v>
      </x:c>
      <x:c r="K6" s="31" t="n">
        <x:v>0</x:v>
      </x:c>
      <x:c r="L6" s="31" t="n">
        <x:v>0</x:v>
      </x:c>
      <x:c r="M6" s="31" t="n">
        <x:v>100.05038708999999</x:v>
      </x:c>
      <x:c r="N6" s="24" t="str">
        <x:v>engraulidae</x:v>
      </x:c>
      <x:c r="O6" s="32" t="n">
        <x:v>3.2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Engraulidae</x:v>
      </x:c>
      <x:c r="T6" s="32" t="n">
        <x:f>IF(O6="","",(1/'Metadata'!$B$5)^(O6-1))</x:f>
        <x:v>158.48931924611142</x:v>
      </x:c>
      <x:c r="U6" s="31" t="n">
        <x:f>IF(T6="","",I6*T6)</x:f>
        <x:v>15856.917740204033</x:v>
      </x:c>
    </x:row>
    <x:row r="7" ht="18" customHeight="1">
      <x:c r="A7" s="24" t="str">
        <x:v>EEZ_891</x:v>
      </x:c>
      <x:c r="B7" s="24" t="str">
        <x:v>Montenegro</x:v>
      </x:c>
      <x:c r="C7" s="24" t="str">
        <x:v>EEZ</x:v>
      </x:c>
      <x:c r="D7" s="30" t="n">
        <x:v>2019</x:v>
      </x:c>
      <x:c r="E7" s="24" t="str">
        <x:v>Trachurus trachurus</x:v>
      </x:c>
      <x:c r="F7" s="24" t="str">
        <x:v>Atlantic horse mackerel</x:v>
      </x:c>
      <x:c r="G7" s="24" t="str">
        <x:v>Medium pelagics (30 - 89 cm)</x:v>
      </x:c>
      <x:c r="H7" s="24" t="str">
        <x:v>Perch-likes</x:v>
      </x:c>
      <x:c r="I7" s="31" t="n">
        <x:v>59.228768624000004</x:v>
      </x:c>
      <x:c r="J7" s="31" t="n">
        <x:v>59.000000001000004</x:v>
      </x:c>
      <x:c r="K7" s="31" t="n">
        <x:v>0.228768623</x:v>
      </x:c>
      <x:c r="L7" s="31" t="n">
        <x:v>59.000000001000004</x:v>
      </x:c>
      <x:c r="M7" s="31" t="n">
        <x:v>0.228768623</x:v>
      </x:c>
      <x:c r="N7" s="24" t="str">
        <x:v>trachurus trachurus</x:v>
      </x:c>
      <x:c r="O7" s="32" t="n">
        <x:v>3.71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Trachurus trachurus</x:v>
      </x:c>
      <x:c r="T7" s="32" t="n">
        <x:f>IF(O7="","",(1/'Metadata'!$B$5)^(O7-1))</x:f>
        <x:v>512.8613839913648</x:v>
      </x:c>
      <x:c r="U7" s="31" t="n">
        <x:f>IF(T7="","",I7*T7)</x:f>
        <x:v>30376.14824860897</x:v>
      </x:c>
    </x:row>
    <x:row r="8" ht="18" customHeight="1">
      <x:c r="A8" s="24" t="str">
        <x:v>EEZ_891</x:v>
      </x:c>
      <x:c r="B8" s="24" t="str">
        <x:v>Montenegro</x:v>
      </x:c>
      <x:c r="C8" s="24" t="str">
        <x:v>EEZ</x:v>
      </x:c>
      <x:c r="D8" s="30" t="n">
        <x:v>2019</x:v>
      </x:c>
      <x:c r="E8" s="24" t="str">
        <x:v>Mullidae</x:v>
      </x:c>
      <x:c r="F8" s="24" t="str">
        <x:v>Goatfishes</x:v>
      </x:c>
      <x:c r="G8" s="24" t="str">
        <x:v>Medium reef assoc. fish (30 - 89 cm)</x:v>
      </x:c>
      <x:c r="H8" s="24" t="str">
        <x:v>Perch-likes</x:v>
      </x:c>
      <x:c r="I8" s="31" t="n">
        <x:v>48.18371775599999</x:v>
      </x:c>
      <x:c r="J8" s="31" t="n">
        <x:v>47.919753959999994</x:v>
      </x:c>
      <x:c r="K8" s="31" t="n">
        <x:v>0.263963796</x:v>
      </x:c>
      <x:c r="L8" s="31" t="n">
        <x:v>42.000000001</x:v>
      </x:c>
      <x:c r="M8" s="31" t="n">
        <x:v>6.183717755</x:v>
      </x:c>
      <x:c r="N8" s="24" t="str">
        <x:v>mullidae</x:v>
      </x:c>
      <x:c r="O8" s="32" t="n">
        <x:v>3.46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Mullidae</x:v>
      </x:c>
      <x:c r="T8" s="32" t="n">
        <x:f>IF(O8="","",(1/'Metadata'!$B$5)^(O8-1))</x:f>
        <x:v>288.40315031266056</x:v>
      </x:c>
      <x:c r="U8" s="31" t="n">
        <x:f>IF(T8="","",I8*T8)</x:f>
        <x:v>13896.335994606477</x:v>
      </x:c>
    </x:row>
    <x:row r="9" ht="18" customHeight="1">
      <x:c r="A9" s="24" t="str">
        <x:v>EEZ_891</x:v>
      </x:c>
      <x:c r="B9" s="24" t="str">
        <x:v>Montenegro</x:v>
      </x:c>
      <x:c r="C9" s="24" t="str">
        <x:v>EEZ</x:v>
      </x:c>
      <x:c r="D9" s="30" t="n">
        <x:v>2019</x:v>
      </x:c>
      <x:c r="E9" s="24" t="str">
        <x:v>Mollusca</x:v>
      </x:c>
      <x:c r="F9" s="24" t="str">
        <x:v>Clams, seasnails, squids, octopuses</x:v>
      </x:c>
      <x:c r="G9" s="24" t="str">
        <x:v>Other demersal invertebrates</x:v>
      </x:c>
      <x:c r="H9" s="24" t="str">
        <x:v>Molluscs</x:v>
      </x:c>
      <x:c r="I9" s="31" t="n">
        <x:v>44.940446936</x:v>
      </x:c>
      <x:c r="J9" s="31" t="n">
        <x:v>7</x:v>
      </x:c>
      <x:c r="K9" s="31" t="n">
        <x:v>37.940446936</x:v>
      </x:c>
      <x:c r="L9" s="31" t="n">
        <x:v>7</x:v>
      </x:c>
      <x:c r="M9" s="31" t="n">
        <x:v>37.940446936</x:v>
      </x:c>
      <x:c r="N9" s="24" t="str">
        <x:v>mollusca</x:v>
      </x:c>
      <x:c r="O9" s="32" t="n">
        <x:v>2.1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Mollusca</x:v>
      </x:c>
      <x:c r="T9" s="32" t="n">
        <x:f>IF(O9="","",(1/'Metadata'!$B$5)^(O9-1))</x:f>
        <x:v>12.589254117941675</x:v>
      </x:c>
      <x:c r="U9" s="31" t="n">
        <x:f>IF(T9="","",I9*T9)</x:f>
        <x:v>565.7667066511773</x:v>
      </x:c>
    </x:row>
    <x:row r="10" ht="18" customHeight="1">
      <x:c r="A10" s="24" t="str">
        <x:v>EEZ_891</x:v>
      </x:c>
      <x:c r="B10" s="24" t="str">
        <x:v>Montenegro</x:v>
      </x:c>
      <x:c r="C10" s="24" t="str">
        <x:v>EEZ</x:v>
      </x:c>
      <x:c r="D10" s="30" t="n">
        <x:v>2019</x:v>
      </x:c>
      <x:c r="E10" s="24" t="str">
        <x:v>Boops boops</x:v>
      </x:c>
      <x:c r="F10" s="24" t="str">
        <x:v>Bogue</x:v>
      </x:c>
      <x:c r="G10" s="24" t="str">
        <x:v>Medium demersals (30 - 89 cm)</x:v>
      </x:c>
      <x:c r="H10" s="24" t="str">
        <x:v>Perch-likes</x:v>
      </x:c>
      <x:c r="I10" s="31" t="n">
        <x:v>44.879457394</x:v>
      </x:c>
      <x:c r="J10" s="31" t="n">
        <x:v>42.022871681</x:v>
      </x:c>
      <x:c r="K10" s="31" t="n">
        <x:v>2.856585713</x:v>
      </x:c>
      <x:c r="L10" s="31" t="n">
        <x:v>41.999999996999996</x:v>
      </x:c>
      <x:c r="M10" s="31" t="n">
        <x:v>2.879457397</x:v>
      </x:c>
      <x:c r="N10" s="24" t="str">
        <x:v>boops boops</x:v>
      </x:c>
      <x:c r="O10" s="32" t="n">
        <x:v>2.79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Boops boops</x:v>
      </x:c>
      <x:c r="T10" s="32" t="n">
        <x:f>IF(O10="","",(1/'Metadata'!$B$5)^(O10-1))</x:f>
        <x:v>61.65950018614822</x:v>
      </x:c>
      <x:c r="U10" s="31" t="n">
        <x:f>IF(T10="","",I10*T10)</x:f>
        <x:v>2767.2449115395743</x:v>
      </x:c>
    </x:row>
    <x:row r="11" ht="18" customHeight="1">
      <x:c r="A11" s="24" t="str">
        <x:v>EEZ_891</x:v>
      </x:c>
      <x:c r="B11" s="24" t="str">
        <x:v>Montenegro</x:v>
      </x:c>
      <x:c r="C11" s="24" t="str">
        <x:v>EEZ</x:v>
      </x:c>
      <x:c r="D11" s="30" t="n">
        <x:v>2019</x:v>
      </x:c>
      <x:c r="E11" s="24" t="str">
        <x:v>Parapenaeus longirostris</x:v>
      </x:c>
      <x:c r="F11" s="24" t="str">
        <x:v>Deepwater rose shrimp</x:v>
      </x:c>
      <x:c r="G11" s="24" t="str">
        <x:v>Shrimps</x:v>
      </x:c>
      <x:c r="H11" s="24" t="str">
        <x:v>Crustaceans</x:v>
      </x:c>
      <x:c r="I11" s="31" t="n">
        <x:v>44</x:v>
      </x:c>
      <x:c r="J11" s="31" t="n">
        <x:v>44</x:v>
      </x:c>
      <x:c r="K11" s="31" t="n">
        <x:v>0</x:v>
      </x:c>
      <x:c r="L11" s="31" t="n">
        <x:v>44</x:v>
      </x:c>
      <x:c r="M11" s="31" t="n">
        <x:v>0</x:v>
      </x:c>
      <x:c r="N11" s="24" t="str">
        <x:v>parapenaeus longirostris</x:v>
      </x:c>
      <x:c r="O11" s="32" t="n">
        <x:v>3.3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Parapenaeus longirostris</x:v>
      </x:c>
      <x:c r="T11" s="32" t="n">
        <x:f>IF(O11="","",(1/'Metadata'!$B$5)^(O11-1))</x:f>
        <x:v>199.52623149688787</x:v>
      </x:c>
      <x:c r="U11" s="31" t="n">
        <x:f>IF(T11="","",I11*T11)</x:f>
        <x:v>8779.154185863066</x:v>
      </x:c>
    </x:row>
    <x:row r="12" ht="18" customHeight="1">
      <x:c r="A12" s="24" t="str">
        <x:v>EEZ_891</x:v>
      </x:c>
      <x:c r="B12" s="24" t="str">
        <x:v>Montenegro</x:v>
      </x:c>
      <x:c r="C12" s="24" t="str">
        <x:v>EEZ</x:v>
      </x:c>
      <x:c r="D12" s="30" t="n">
        <x:v>2019</x:v>
      </x:c>
      <x:c r="E12" s="24" t="str">
        <x:v>Pleuronectiformes</x:v>
      </x:c>
      <x:c r="F12" s="24" t="str">
        <x:v>Flatfishes</x:v>
      </x:c>
      <x:c r="G12" s="24" t="str">
        <x:v>Small to medium flatfishes (&lt;90 cm)</x:v>
      </x:c>
      <x:c r="H12" s="24" t="str">
        <x:v>Flatfishes</x:v>
      </x:c>
      <x:c r="I12" s="31" t="n">
        <x:v>36.488598714000005</x:v>
      </x:c>
      <x:c r="J12" s="31" t="n">
        <x:v>23.375491478</x:v>
      </x:c>
      <x:c r="K12" s="31" t="n">
        <x:v>13.113107236</x:v>
      </x:c>
      <x:c r="L12" s="31" t="n">
        <x:v>23.375491478</x:v>
      </x:c>
      <x:c r="M12" s="31" t="n">
        <x:v>13.113107236</x:v>
      </x:c>
      <x:c r="N12" s="24" t="str">
        <x:v>pleuronectiformes</x:v>
      </x:c>
      <x:c r="O12" s="32" t="n">
        <x:v>3.57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Pleuronectiformes</x:v>
      </x:c>
      <x:c r="T12" s="32" t="n">
        <x:f>IF(O12="","",(1/'Metadata'!$B$5)^(O12-1))</x:f>
        <x:v>371.5352290971724</x:v>
      </x:c>
      <x:c r="U12" s="31" t="n">
        <x:f>IF(T12="","",I12*T12)</x:f>
        <x:v>13556.799882640782</x:v>
      </x:c>
    </x:row>
    <x:row r="13" ht="18" customHeight="1">
      <x:c r="A13" s="24" t="str">
        <x:v>EEZ_891</x:v>
      </x:c>
      <x:c r="B13" s="24" t="str">
        <x:v>Montenegro</x:v>
      </x:c>
      <x:c r="C13" s="24" t="str">
        <x:v>EEZ</x:v>
      </x:c>
      <x:c r="D13" s="30" t="n">
        <x:v>2019</x:v>
      </x:c>
      <x:c r="E13" s="24" t="str">
        <x:v>Sardinella aurita</x:v>
      </x:c>
      <x:c r="F13" s="24" t="str">
        <x:v>Round sardinella</x:v>
      </x:c>
      <x:c r="G13" s="24" t="str">
        <x:v>Small pelagics (&lt;30 cm)</x:v>
      </x:c>
      <x:c r="H13" s="24" t="str">
        <x:v>Herring-likes</x:v>
      </x:c>
      <x:c r="I13" s="31" t="n">
        <x:v>30.240318269000003</x:v>
      </x:c>
      <x:c r="J13" s="31" t="n">
        <x:v>29.756811758</x:v>
      </x:c>
      <x:c r="K13" s="31" t="n">
        <x:v>0.483506511</x:v>
      </x:c>
      <x:c r="L13" s="31" t="n">
        <x:v>29.756811758</x:v>
      </x:c>
      <x:c r="M13" s="31" t="n">
        <x:v>0.483506511</x:v>
      </x:c>
      <x:c r="N13" s="24" t="str">
        <x:v>sardinella aurita</x:v>
      </x:c>
      <x:c r="O13" s="32" t="n">
        <x:v>3.4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Sardinella aurita</x:v>
      </x:c>
      <x:c r="T13" s="32" t="n">
        <x:f>IF(O13="","",(1/'Metadata'!$B$5)^(O13-1))</x:f>
        <x:v>251.18864315095797</x:v>
      </x:c>
      <x:c r="U13" s="31" t="n">
        <x:f>IF(T13="","",I13*T13)</x:f>
        <x:v>7596.0245144432365</x:v>
      </x:c>
    </x:row>
    <x:row r="14" ht="18" customHeight="1">
      <x:c r="A14" s="24" t="str">
        <x:v>EEZ_891</x:v>
      </x:c>
      <x:c r="B14" s="24" t="str">
        <x:v>Montenegro</x:v>
      </x:c>
      <x:c r="C14" s="24" t="str">
        <x:v>EEZ</x:v>
      </x:c>
      <x:c r="D14" s="30" t="n">
        <x:v>2019</x:v>
      </x:c>
      <x:c r="E14" s="24" t="str">
        <x:v>Sarda sarda</x:v>
      </x:c>
      <x:c r="F14" s="24" t="str">
        <x:v>Atlantic bonito</x:v>
      </x:c>
      <x:c r="G14" s="24" t="str">
        <x:v>Medium pelagics (30 - 89 cm)</x:v>
      </x:c>
      <x:c r="H14" s="24" t="str">
        <x:v>Tuna &amp; billfishes</x:v>
      </x:c>
      <x:c r="I14" s="31" t="n">
        <x:v>25.963432077999997</x:v>
      </x:c>
      <x:c r="J14" s="31" t="n">
        <x:v>25.660910203999997</x:v>
      </x:c>
      <x:c r="K14" s="31" t="n">
        <x:v>0.302521874</x:v>
      </x:c>
      <x:c r="L14" s="31" t="n">
        <x:v>25.65189363</x:v>
      </x:c>
      <x:c r="M14" s="31" t="n">
        <x:v>0.311538448</x:v>
      </x:c>
      <x:c r="N14" s="24" t="str">
        <x:v>sarda sarda</x:v>
      </x:c>
      <x:c r="O14" s="32" t="n">
        <x:v>4.5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Sarda sarda</x:v>
      </x:c>
      <x:c r="T14" s="32" t="n">
        <x:f>IF(O14="","",(1/'Metadata'!$B$5)^(O14-1))</x:f>
        <x:v>3162.2776601683795</x:v>
      </x:c>
      <x:c r="U14" s="31" t="n">
        <x:f>IF(T14="","",I14*T14)</x:f>
        <x:v>82103.58124155848</x:v>
      </x:c>
    </x:row>
    <x:row r="15" ht="18" customHeight="1">
      <x:c r="A15" s="24" t="str">
        <x:v>EEZ_891</x:v>
      </x:c>
      <x:c r="B15" s="24" t="str">
        <x:v>Montenegro</x:v>
      </x:c>
      <x:c r="C15" s="24" t="str">
        <x:v>EEZ</x:v>
      </x:c>
      <x:c r="D15" s="30" t="n">
        <x:v>2019</x:v>
      </x:c>
      <x:c r="E15" s="24" t="str">
        <x:v>Mugil cephalus</x:v>
      </x:c>
      <x:c r="F15" s="24" t="str">
        <x:v>Flathead grey mullet</x:v>
      </x:c>
      <x:c r="G15" s="24" t="str">
        <x:v>Large benthopelagics (&gt;=90 cm)</x:v>
      </x:c>
      <x:c r="H15" s="24" t="str">
        <x:v>Perch-likes</x:v>
      </x:c>
      <x:c r="I15" s="31" t="n">
        <x:v>25.4751348322</x:v>
      </x:c>
      <x:c r="J15" s="31" t="n">
        <x:v>25.0000000002</x:v>
      </x:c>
      <x:c r="K15" s="31" t="n">
        <x:v>0.475134832</x:v>
      </x:c>
      <x:c r="L15" s="31" t="n">
        <x:v>25.0000000002</x:v>
      </x:c>
      <x:c r="M15" s="31" t="n">
        <x:v>0.475134832</x:v>
      </x:c>
      <x:c r="N15" s="24" t="str">
        <x:v>mugil cephalus</x:v>
      </x:c>
      <x:c r="O15" s="32" t="n">
        <x:v>2.14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Mugil cephalus</x:v>
      </x:c>
      <x:c r="T15" s="32" t="n">
        <x:f>IF(O15="","",(1/'Metadata'!$B$5)^(O15-1))</x:f>
        <x:v>13.803842646028853</x:v>
      </x:c>
      <x:c r="U15" s="31" t="n">
        <x:f>IF(T15="","",I15*T15)</x:f>
        <x:v>351.6547526100574</x:v>
      </x:c>
    </x:row>
    <x:row r="16" ht="18" customHeight="1">
      <x:c r="A16" s="24" t="str">
        <x:v>EEZ_891</x:v>
      </x:c>
      <x:c r="B16" s="24" t="str">
        <x:v>Montenegro</x:v>
      </x:c>
      <x:c r="C16" s="24" t="str">
        <x:v>EEZ</x:v>
      </x:c>
      <x:c r="D16" s="30" t="n">
        <x:v>2019</x:v>
      </x:c>
      <x:c r="E16" s="24" t="str">
        <x:v>Cephalopoda</x:v>
      </x:c>
      <x:c r="F16" s="24" t="str">
        <x:v>Squids, cuttlefishes, octopuses</x:v>
      </x:c>
      <x:c r="G16" s="24" t="str">
        <x:v>Cephalopods</x:v>
      </x:c>
      <x:c r="H16" s="24" t="str">
        <x:v>Other fishes &amp; inverts</x:v>
      </x:c>
      <x:c r="I16" s="31" t="n">
        <x:v>20.149473619</x:v>
      </x:c>
      <x:c r="J16" s="31" t="n">
        <x:v>19.710902713</x:v>
      </x:c>
      <x:c r="K16" s="31" t="n">
        <x:v>0.438570906</x:v>
      </x:c>
      <x:c r="L16" s="31" t="n">
        <x:v>12.999999996</x:v>
      </x:c>
      <x:c r="M16" s="31" t="n">
        <x:v>7.149473623</x:v>
      </x:c>
      <x:c r="N16" s="24" t="str">
        <x:v>cephalopoda</x:v>
      </x:c>
      <x:c r="O16" s="32" t="n">
        <x:v>3.81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Cephalopoda</x:v>
      </x:c>
      <x:c r="T16" s="32" t="n">
        <x:f>IF(O16="","",(1/'Metadata'!$B$5)^(O16-1))</x:f>
        <x:v>645.6542290346556</x:v>
      </x:c>
      <x:c r="U16" s="31" t="n">
        <x:f>IF(T16="","",I16*T16)</x:f>
        <x:v>13009.592854929575</x:v>
      </x:c>
    </x:row>
    <x:row r="17" ht="18" customHeight="1">
      <x:c r="A17" s="24" t="str">
        <x:v>EEZ_891</x:v>
      </x:c>
      <x:c r="B17" s="24" t="str">
        <x:v>Montenegro</x:v>
      </x:c>
      <x:c r="C17" s="24" t="str">
        <x:v>EEZ</x:v>
      </x:c>
      <x:c r="D17" s="30" t="n">
        <x:v>2019</x:v>
      </x:c>
      <x:c r="E17" s="24" t="str">
        <x:v>Lophius</x:v>
      </x:c>
      <x:c r="F17" s="24" t="str">
        <x:v>Frogfishes</x:v>
      </x:c>
      <x:c r="G17" s="24" t="str">
        <x:v>Medium bathydemersals (30 - 89 cm)</x:v>
      </x:c>
      <x:c r="H17" s="24" t="str">
        <x:v>Other fishes &amp; inverts</x:v>
      </x:c>
      <x:c r="I17" s="31" t="n">
        <x:v>16.999999997</x:v>
      </x:c>
      <x:c r="J17" s="31" t="n">
        <x:v>16.999999997</x:v>
      </x:c>
      <x:c r="K17" s="31" t="n">
        <x:v>0</x:v>
      </x:c>
      <x:c r="L17" s="31" t="n">
        <x:v>16.999999997</x:v>
      </x:c>
      <x:c r="M17" s="31" t="n">
        <x:v>0</x:v>
      </x:c>
      <x:c r="N17" s="24" t="str">
        <x:v>lophius</x:v>
      </x:c>
      <x:c r="O17" s="32" t="n">
        <x:v>4.46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Lophius</x:v>
      </x:c>
      <x:c r="T17" s="32" t="n">
        <x:f>IF(O17="","",(1/'Metadata'!$B$5)^(O17-1))</x:f>
        <x:v>2884.031503126606</x:v>
      </x:c>
      <x:c r="U17" s="31" t="n">
        <x:f>IF(T17="","",I17*T17)</x:f>
        <x:v>49028.535544500206</x:v>
      </x:c>
    </x:row>
    <x:row r="18" ht="18" customHeight="1">
      <x:c r="A18" s="24" t="str">
        <x:v>EEZ_891</x:v>
      </x:c>
      <x:c r="B18" s="24" t="str">
        <x:v>Montenegro</x:v>
      </x:c>
      <x:c r="C18" s="24" t="str">
        <x:v>EEZ</x:v>
      </x:c>
      <x:c r="D18" s="30" t="n">
        <x:v>2019</x:v>
      </x:c>
      <x:c r="E18" s="24" t="str">
        <x:v>Octopus vulgaris</x:v>
      </x:c>
      <x:c r="F18" s="24" t="str">
        <x:v>Common octopus</x:v>
      </x:c>
      <x:c r="G18" s="24" t="str">
        <x:v>Cephalopods</x:v>
      </x:c>
      <x:c r="H18" s="24" t="str">
        <x:v>Other fishes &amp; inverts</x:v>
      </x:c>
      <x:c r="I18" s="31" t="n">
        <x:v>16.649695419999997</x:v>
      </x:c>
      <x:c r="J18" s="31" t="n">
        <x:v>14</x:v>
      </x:c>
      <x:c r="K18" s="31" t="n">
        <x:v>2.64969542</x:v>
      </x:c>
      <x:c r="L18" s="31" t="n">
        <x:v>14</x:v>
      </x:c>
      <x:c r="M18" s="31" t="n">
        <x:v>2.64969542</x:v>
      </x:c>
      <x:c r="N18" s="24" t="str">
        <x:v>octopus vulgaris</x:v>
      </x:c>
      <x:c r="O18" s="32" t="n">
        <x:v>3.6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Octopus vulgaris</x:v>
      </x:c>
      <x:c r="T18" s="32" t="n">
        <x:f>IF(O18="","",(1/'Metadata'!$B$5)^(O18-1))</x:f>
        <x:v>398.1071705534973</x:v>
      </x:c>
      <x:c r="U18" s="31" t="n">
        <x:f>IF(T18="","",I18*T18)</x:f>
        <x:v>6628.363134233722</x:v>
      </x:c>
    </x:row>
    <x:row r="19" ht="18" customHeight="1">
      <x:c r="A19" s="24" t="str">
        <x:v>EEZ_891</x:v>
      </x:c>
      <x:c r="B19" s="24" t="str">
        <x:v>Montenegro</x:v>
      </x:c>
      <x:c r="C19" s="24" t="str">
        <x:v>EEZ</x:v>
      </x:c>
      <x:c r="D19" s="30" t="n">
        <x:v>2019</x:v>
      </x:c>
      <x:c r="E19" s="24" t="str">
        <x:v>Loliginidae</x:v>
      </x:c>
      <x:c r="F19" s="24" t="str">
        <x:v>Common pencil squids</x:v>
      </x:c>
      <x:c r="G19" s="24" t="str">
        <x:v>Cephalopods</x:v>
      </x:c>
      <x:c r="H19" s="24" t="str">
        <x:v>Other fishes &amp; inverts</x:v>
      </x:c>
      <x:c r="I19" s="31" t="n">
        <x:v>15.460431461</x:v>
      </x:c>
      <x:c r="J19" s="31" t="n">
        <x:v>13</x:v>
      </x:c>
      <x:c r="K19" s="31" t="n">
        <x:v>2.460431461</x:v>
      </x:c>
      <x:c r="L19" s="31" t="n">
        <x:v>13</x:v>
      </x:c>
      <x:c r="M19" s="31" t="n">
        <x:v>2.460431461</x:v>
      </x:c>
      <x:c r="N19" s="24" t="str">
        <x:v>loliginidae</x:v>
      </x:c>
      <x:c r="O19" s="32" t="n">
        <x:v>3.9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Loliginidae</x:v>
      </x:c>
      <x:c r="T19" s="32" t="n">
        <x:f>IF(O19="","",(1/'Metadata'!$B$5)^(O19-1))</x:f>
        <x:v>794.3282347242813</x:v>
      </x:c>
      <x:c r="U19" s="31" t="n">
        <x:f>IF(T19="","",I19*T19)</x:f>
        <x:v>12280.657230491872</x:v>
      </x:c>
    </x:row>
    <x:row r="20" ht="18" customHeight="1">
      <x:c r="A20" s="24" t="str">
        <x:v>EEZ_891</x:v>
      </x:c>
      <x:c r="B20" s="24" t="str">
        <x:v>Montenegro</x:v>
      </x:c>
      <x:c r="C20" s="24" t="str">
        <x:v>EEZ</x:v>
      </x:c>
      <x:c r="D20" s="30" t="n">
        <x:v>2019</x:v>
      </x:c>
      <x:c r="E20" s="24" t="str">
        <x:v>Sparus aurata</x:v>
      </x:c>
      <x:c r="F20" s="24" t="str">
        <x:v>Gilthead seabream</x:v>
      </x:c>
      <x:c r="G20" s="24" t="str">
        <x:v>Medium demersals (30 - 89 cm)</x:v>
      </x:c>
      <x:c r="H20" s="24" t="str">
        <x:v>Perch-likes</x:v>
      </x:c>
      <x:c r="I20" s="31" t="n">
        <x:v>13.899153227</x:v>
      </x:c>
      <x:c r="J20" s="31" t="n">
        <x:v>13.339433849999999</x:v>
      </x:c>
      <x:c r="K20" s="31" t="n">
        <x:v>0.559719377</x:v>
      </x:c>
      <x:c r="L20" s="31" t="n">
        <x:v>13.339433849999999</x:v>
      </x:c>
      <x:c r="M20" s="31" t="n">
        <x:v>0.559719377</x:v>
      </x:c>
      <x:c r="N20" s="24" t="str">
        <x:v>sparus aurata</x:v>
      </x:c>
      <x:c r="O20" s="32" t="n">
        <x:v>3.7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Sparus aurata</x:v>
      </x:c>
      <x:c r="T20" s="32" t="n">
        <x:f>IF(O20="","",(1/'Metadata'!$B$5)^(O20-1))</x:f>
        <x:v>501.18723362727246</x:v>
      </x:c>
      <x:c r="U20" s="31" t="n">
        <x:f>IF(T20="","",I20*T20)</x:f>
        <x:v>6966.078155601706</x:v>
      </x:c>
    </x:row>
    <x:row r="21" ht="18" customHeight="1">
      <x:c r="A21" s="24" t="str">
        <x:v>EEZ_891</x:v>
      </x:c>
      <x:c r="B21" s="24" t="str">
        <x:v>Montenegro</x:v>
      </x:c>
      <x:c r="C21" s="24" t="str">
        <x:v>EEZ</x:v>
      </x:c>
      <x:c r="D21" s="30" t="n">
        <x:v>2019</x:v>
      </x:c>
      <x:c r="E21" s="24" t="str">
        <x:v>Ostrea edulis</x:v>
      </x:c>
      <x:c r="F21" s="24" t="str">
        <x:v>European flat oyster</x:v>
      </x:c>
      <x:c r="G21" s="24" t="str">
        <x:v>Other demersal invertebrates</x:v>
      </x:c>
      <x:c r="H21" s="24" t="str">
        <x:v>Molluscs</x:v>
      </x:c>
      <x:c r="I21" s="31" t="n">
        <x:v>13.619596179</x:v>
      </x:c>
      <x:c r="J21" s="31" t="n">
        <x:v>8.109503581</x:v>
      </x:c>
      <x:c r="K21" s="31" t="n">
        <x:v>5.510092598</x:v>
      </x:c>
      <x:c r="L21" s="31" t="n">
        <x:v>0</x:v>
      </x:c>
      <x:c r="M21" s="31" t="n">
        <x:v>13.619596179</x:v>
      </x:c>
      <x:c r="N21" s="24" t="str">
        <x:v>ostrea edulis</x:v>
      </x:c>
      <x:c r="O21" s="32" t="n">
        <x:v>2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Ostrea edulis</x:v>
      </x:c>
      <x:c r="T21" s="32" t="n">
        <x:f>IF(O21="","",(1/'Metadata'!$B$5)^(O21-1))</x:f>
        <x:v>10</x:v>
      </x:c>
      <x:c r="U21" s="31" t="n">
        <x:f>IF(T21="","",I21*T21)</x:f>
        <x:v>136.19596179</x:v>
      </x:c>
    </x:row>
    <x:row r="22" ht="18" customHeight="1">
      <x:c r="A22" s="24" t="str">
        <x:v>EEZ_891</x:v>
      </x:c>
      <x:c r="B22" s="24" t="str">
        <x:v>Montenegro</x:v>
      </x:c>
      <x:c r="C22" s="24" t="str">
        <x:v>EEZ</x:v>
      </x:c>
      <x:c r="D22" s="30" t="n">
        <x:v>2019</x:v>
      </x:c>
      <x:c r="E22" s="24" t="str">
        <x:v>Atherinidae</x:v>
      </x:c>
      <x:c r="F22" s="24" t="str">
        <x:v>Silversides</x:v>
      </x:c>
      <x:c r="G22" s="24" t="str">
        <x:v>Small pelagics (&lt;30 cm)</x:v>
      </x:c>
      <x:c r="H22" s="24" t="str">
        <x:v>Other fishes &amp; inverts</x:v>
      </x:c>
      <x:c r="I22" s="31" t="n">
        <x:v>13.014441718</x:v>
      </x:c>
      <x:c r="J22" s="31" t="n">
        <x:v>8.044101077</x:v>
      </x:c>
      <x:c r="K22" s="31" t="n">
        <x:v>4.970340641</x:v>
      </x:c>
      <x:c r="L22" s="31" t="n">
        <x:v>8.044101077</x:v>
      </x:c>
      <x:c r="M22" s="31" t="n">
        <x:v>4.970340641</x:v>
      </x:c>
      <x:c r="N22" s="24" t="str">
        <x:v>atherinidae</x:v>
      </x:c>
      <x:c r="O22" s="32" t="n">
        <x:v>3.2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Atherinidae</x:v>
      </x:c>
      <x:c r="T22" s="32" t="n">
        <x:f>IF(O22="","",(1/'Metadata'!$B$5)^(O22-1))</x:f>
        <x:v>158.48931924611142</x:v>
      </x:c>
      <x:c r="U22" s="31" t="n">
        <x:f>IF(T22="","",I22*T22)</x:f>
        <x:v>2062.650008254013</x:v>
      </x:c>
    </x:row>
    <x:row r="23" ht="18" customHeight="1">
      <x:c r="A23" s="24" t="str">
        <x:v>EEZ_891</x:v>
      </x:c>
      <x:c r="B23" s="24" t="str">
        <x:v>Montenegro</x:v>
      </x:c>
      <x:c r="C23" s="24" t="str">
        <x:v>EEZ</x:v>
      </x:c>
      <x:c r="D23" s="30" t="n">
        <x:v>2019</x:v>
      </x:c>
      <x:c r="E23" s="24" t="str">
        <x:v>Pagellus erythrinus</x:v>
      </x:c>
      <x:c r="F23" s="24" t="str">
        <x:v>Common pandora</x:v>
      </x:c>
      <x:c r="G23" s="24" t="str">
        <x:v>Medium benthopelagics (30 - 89 cm)</x:v>
      </x:c>
      <x:c r="H23" s="24" t="str">
        <x:v>Perch-likes</x:v>
      </x:c>
      <x:c r="I23" s="31" t="n">
        <x:v>13</x:v>
      </x:c>
      <x:c r="J23" s="31" t="n">
        <x:v>13</x:v>
      </x:c>
      <x:c r="K23" s="31" t="n">
        <x:v>0</x:v>
      </x:c>
      <x:c r="L23" s="31" t="n">
        <x:v>13</x:v>
      </x:c>
      <x:c r="M23" s="31" t="n">
        <x:v>0</x:v>
      </x:c>
      <x:c r="N23" s="24" t="str">
        <x:v>pagellus erythrinus</x:v>
      </x:c>
      <x:c r="O23" s="32" t="n">
        <x:v>3.48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Pagellus erythrinus</x:v>
      </x:c>
      <x:c r="T23" s="32" t="n">
        <x:f>IF(O23="","",(1/'Metadata'!$B$5)^(O23-1))</x:f>
        <x:v>301.9951720402016</x:v>
      </x:c>
      <x:c r="U23" s="31" t="n">
        <x:f>IF(T23="","",I23*T23)</x:f>
        <x:v>3925.937236522621</x:v>
      </x:c>
    </x:row>
    <x:row r="24" ht="18" customHeight="1">
      <x:c r="A24" s="24" t="str">
        <x:v>EEZ_891</x:v>
      </x:c>
      <x:c r="B24" s="24" t="str">
        <x:v>Montenegro</x:v>
      </x:c>
      <x:c r="C24" s="24" t="str">
        <x:v>EEZ</x:v>
      </x:c>
      <x:c r="D24" s="30" t="n">
        <x:v>2019</x:v>
      </x:c>
      <x:c r="E24" s="24" t="str">
        <x:v>Seriola dumerili</x:v>
      </x:c>
      <x:c r="F24" s="24" t="str">
        <x:v>Greater amberjack</x:v>
      </x:c>
      <x:c r="G24" s="24" t="str">
        <x:v>Large reef assoc. fish (&gt;=90 cm)</x:v>
      </x:c>
      <x:c r="H24" s="24" t="str">
        <x:v>Perch-likes</x:v>
      </x:c>
      <x:c r="I24" s="31" t="n">
        <x:v>11.718411919000001</x:v>
      </x:c>
      <x:c r="J24" s="31" t="n">
        <x:v>10.298314594</x:v>
      </x:c>
      <x:c r="K24" s="31" t="n">
        <x:v>1.4200973250000002</x:v>
      </x:c>
      <x:c r="L24" s="31" t="n">
        <x:v>10.298314594</x:v>
      </x:c>
      <x:c r="M24" s="31" t="n">
        <x:v>1.4200973250000002</x:v>
      </x:c>
      <x:c r="N24" s="24" t="str">
        <x:v>seriola dumerili</x:v>
      </x:c>
      <x:c r="O24" s="32" t="n">
        <x:v>4.5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Seriola dumerili</x:v>
      </x:c>
      <x:c r="T24" s="32" t="n">
        <x:f>IF(O24="","",(1/'Metadata'!$B$5)^(O24-1))</x:f>
        <x:v>3162.2776601683795</x:v>
      </x:c>
      <x:c r="U24" s="31" t="n">
        <x:f>IF(T24="","",I24*T24)</x:f>
        <x:v>37056.872224104576</x:v>
      </x:c>
    </x:row>
    <x:row r="25" ht="18" customHeight="1">
      <x:c r="A25" s="24" t="str">
        <x:v>EEZ_891</x:v>
      </x:c>
      <x:c r="B25" s="24" t="str">
        <x:v>Montenegro</x:v>
      </x:c>
      <x:c r="C25" s="24" t="str">
        <x:v>EEZ</x:v>
      </x:c>
      <x:c r="D25" s="30" t="n">
        <x:v>2019</x:v>
      </x:c>
      <x:c r="E25" s="24" t="str">
        <x:v>Raja asterias</x:v>
      </x:c>
      <x:c r="F25" s="24" t="str">
        <x:v>Mediterranean starry ray</x:v>
      </x:c>
      <x:c r="G25" s="24" t="str">
        <x:v>Small to medium rays (&lt;90 cm)</x:v>
      </x:c>
      <x:c r="H25" s="24" t="str">
        <x:v>Sharks &amp; rays</x:v>
      </x:c>
      <x:c r="I25" s="31" t="n">
        <x:v>10</x:v>
      </x:c>
      <x:c r="J25" s="31" t="n">
        <x:v>10</x:v>
      </x:c>
      <x:c r="K25" s="31" t="n">
        <x:v>0</x:v>
      </x:c>
      <x:c r="L25" s="31" t="n">
        <x:v>10</x:v>
      </x:c>
      <x:c r="M25" s="31" t="n">
        <x:v>0</x:v>
      </x:c>
      <x:c r="N25" s="24" t="str">
        <x:v>raja asterias</x:v>
      </x:c>
      <x:c r="O25" s="32" t="n">
        <x:v>3.5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Raja asterias</x:v>
      </x:c>
      <x:c r="T25" s="32" t="n">
        <x:f>IF(O25="","",(1/'Metadata'!$B$5)^(O25-1))</x:f>
        <x:v>316.22776601683796</x:v>
      </x:c>
      <x:c r="U25" s="31" t="n">
        <x:f>IF(T25="","",I25*T25)</x:f>
        <x:v>3162.2776601683795</x:v>
      </x:c>
    </x:row>
    <x:row r="26" ht="18" customHeight="1">
      <x:c r="A26" s="24" t="str">
        <x:v>EEZ_891</x:v>
      </x:c>
      <x:c r="B26" s="24" t="str">
        <x:v>Montenegro</x:v>
      </x:c>
      <x:c r="C26" s="24" t="str">
        <x:v>EEZ</x:v>
      </x:c>
      <x:c r="D26" s="30" t="n">
        <x:v>2019</x:v>
      </x:c>
      <x:c r="E26" s="24" t="str">
        <x:v>Scombridae</x:v>
      </x:c>
      <x:c r="F26" s="24" t="str">
        <x:v>Mackerels, tunas, bonitos</x:v>
      </x:c>
      <x:c r="G26" s="24" t="str">
        <x:v>Medium pelagics (30 - 89 cm)</x:v>
      </x:c>
      <x:c r="H26" s="24" t="str">
        <x:v>Perch-likes</x:v>
      </x:c>
      <x:c r="I26" s="31" t="n">
        <x:v>8.898818366</x:v>
      </x:c>
      <x:c r="J26" s="31" t="n">
        <x:v>8.775635261</x:v>
      </x:c>
      <x:c r="K26" s="31" t="n">
        <x:v>0.123183105</x:v>
      </x:c>
      <x:c r="L26" s="31" t="n">
        <x:v>0</x:v>
      </x:c>
      <x:c r="M26" s="31" t="n">
        <x:v>8.898818366</x:v>
      </x:c>
      <x:c r="N26" s="24" t="str">
        <x:v>scombridae</x:v>
      </x:c>
      <x:c r="O26" s="32" t="n">
        <x:v>4.26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Scombridae</x:v>
      </x:c>
      <x:c r="T26" s="32" t="n">
        <x:f>IF(O26="","",(1/'Metadata'!$B$5)^(O26-1))</x:f>
        <x:v>1819.7008586099826</x:v>
      </x:c>
      <x:c r="U26" s="31" t="n">
        <x:f>IF(T26="","",I26*T26)</x:f>
        <x:v>16193.187421224482</x:v>
      </x:c>
    </x:row>
    <x:row r="27" ht="18" customHeight="1">
      <x:c r="A27" s="24" t="str">
        <x:v>EEZ_891</x:v>
      </x:c>
      <x:c r="B27" s="24" t="str">
        <x:v>Montenegro</x:v>
      </x:c>
      <x:c r="C27" s="24" t="str">
        <x:v>EEZ</x:v>
      </x:c>
      <x:c r="D27" s="30" t="n">
        <x:v>2019</x:v>
      </x:c>
      <x:c r="E27" s="24" t="str">
        <x:v>Scomber scombrus</x:v>
      </x:c>
      <x:c r="F27" s="24" t="str">
        <x:v>Atlantic mackerel</x:v>
      </x:c>
      <x:c r="G27" s="24" t="str">
        <x:v>Medium pelagics (30 - 89 cm)</x:v>
      </x:c>
      <x:c r="H27" s="24" t="str">
        <x:v>Perch-likes</x:v>
      </x:c>
      <x:c r="I27" s="31" t="n">
        <x:v>8.215668582</x:v>
      </x:c>
      <x:c r="J27" s="31" t="n">
        <x:v>8.002012217</x:v>
      </x:c>
      <x:c r="K27" s="31" t="n">
        <x:v>0.213656365</x:v>
      </x:c>
      <x:c r="L27" s="31" t="n">
        <x:v>8</x:v>
      </x:c>
      <x:c r="M27" s="31" t="n">
        <x:v>0.215668582</x:v>
      </x:c>
      <x:c r="N27" s="24" t="str">
        <x:v>scomber scombrus</x:v>
      </x:c>
      <x:c r="O27" s="32" t="n">
        <x:v>3.63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Scomber scombrus</x:v>
      </x:c>
      <x:c r="T27" s="32" t="n">
        <x:f>IF(O27="","",(1/'Metadata'!$B$5)^(O27-1))</x:f>
        <x:v>426.57951880159254</x:v>
      </x:c>
      <x:c r="U27" s="31" t="n">
        <x:f>IF(T27="","",I27*T27)</x:f>
        <x:v>3504.6359503429217</x:v>
      </x:c>
    </x:row>
    <x:row r="28" ht="18" customHeight="1">
      <x:c r="A28" s="24" t="str">
        <x:v>EEZ_891</x:v>
      </x:c>
      <x:c r="B28" s="24" t="str">
        <x:v>Montenegro</x:v>
      </x:c>
      <x:c r="C28" s="24" t="str">
        <x:v>EEZ</x:v>
      </x:c>
      <x:c r="D28" s="30" t="n">
        <x:v>2019</x:v>
      </x:c>
      <x:c r="E28" s="24" t="str">
        <x:v>Zeus faber</x:v>
      </x:c>
      <x:c r="F28" s="24" t="str">
        <x:v>John dory</x:v>
      </x:c>
      <x:c r="G28" s="24" t="str">
        <x:v>Medium benthopelagics (30 - 89 cm)</x:v>
      </x:c>
      <x:c r="H28" s="24" t="str">
        <x:v>Other fishes &amp; inverts</x:v>
      </x:c>
      <x:c r="I28" s="31" t="n">
        <x:v>7</x:v>
      </x:c>
      <x:c r="J28" s="31" t="n">
        <x:v>7</x:v>
      </x:c>
      <x:c r="K28" s="31" t="n">
        <x:v>0</x:v>
      </x:c>
      <x:c r="L28" s="31" t="n">
        <x:v>7</x:v>
      </x:c>
      <x:c r="M28" s="31" t="n">
        <x:v>0</x:v>
      </x:c>
      <x:c r="N28" s="24" t="str">
        <x:v>zeus faber</x:v>
      </x:c>
      <x:c r="O28" s="32" t="n">
        <x:v>4.5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Zeus faber</x:v>
      </x:c>
      <x:c r="T28" s="32" t="n">
        <x:f>IF(O28="","",(1/'Metadata'!$B$5)^(O28-1))</x:f>
        <x:v>3162.2776601683795</x:v>
      </x:c>
      <x:c r="U28" s="31" t="n">
        <x:f>IF(T28="","",I28*T28)</x:f>
        <x:v>22135.943621178656</x:v>
      </x:c>
    </x:row>
    <x:row r="29" ht="18" customHeight="1">
      <x:c r="A29" s="24" t="str">
        <x:v>EEZ_891</x:v>
      </x:c>
      <x:c r="B29" s="24" t="str">
        <x:v>Montenegro</x:v>
      </x:c>
      <x:c r="C29" s="24" t="str">
        <x:v>EEZ</x:v>
      </x:c>
      <x:c r="D29" s="30" t="n">
        <x:v>2019</x:v>
      </x:c>
      <x:c r="E29" s="24" t="str">
        <x:v>Sprattus sprattus</x:v>
      </x:c>
      <x:c r="F29" s="24" t="str">
        <x:v>European sprat</x:v>
      </x:c>
      <x:c r="G29" s="24" t="str">
        <x:v>Small pelagics (&lt;30 cm)</x:v>
      </x:c>
      <x:c r="H29" s="24" t="str">
        <x:v>Herring-likes</x:v>
      </x:c>
      <x:c r="I29" s="31" t="n">
        <x:v>6.720964101</x:v>
      </x:c>
      <x:c r="J29" s="31" t="n">
        <x:v>5.675675675</x:v>
      </x:c>
      <x:c r="K29" s="31" t="n">
        <x:v>1.045288426</x:v>
      </x:c>
      <x:c r="L29" s="31" t="n">
        <x:v>0</x:v>
      </x:c>
      <x:c r="M29" s="31" t="n">
        <x:v>6.720964101</x:v>
      </x:c>
      <x:c r="N29" s="24" t="str">
        <x:v>sprattus sprattus</x:v>
      </x:c>
      <x:c r="O29" s="32" t="n">
        <x:v>3.01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Sprattus sprattus</x:v>
      </x:c>
      <x:c r="T29" s="32" t="n">
        <x:f>IF(O29="","",(1/'Metadata'!$B$5)^(O29-1))</x:f>
        <x:v>102.32929922807536</x:v>
      </x:c>
      <x:c r="U29" s="31" t="n">
        <x:f>IF(T29="","",I29*T29)</x:f>
        <x:v>687.7515465923815</x:v>
      </x:c>
    </x:row>
    <x:row r="30" ht="18" customHeight="1">
      <x:c r="A30" s="24" t="str">
        <x:v>EEZ_891</x:v>
      </x:c>
      <x:c r="B30" s="24" t="str">
        <x:v>Montenegro</x:v>
      </x:c>
      <x:c r="C30" s="24" t="str">
        <x:v>EEZ</x:v>
      </x:c>
      <x:c r="D30" s="30" t="n">
        <x:v>2019</x:v>
      </x:c>
      <x:c r="E30" s="24" t="str">
        <x:v>Conger conger</x:v>
      </x:c>
      <x:c r="F30" s="24" t="str">
        <x:v>European conger</x:v>
      </x:c>
      <x:c r="G30" s="24" t="str">
        <x:v>Large demersals (&gt;=90 cm)</x:v>
      </x:c>
      <x:c r="H30" s="24" t="str">
        <x:v>Other fishes &amp; inverts</x:v>
      </x:c>
      <x:c r="I30" s="31" t="n">
        <x:v>6.718411919</x:v>
      </x:c>
      <x:c r="J30" s="31" t="n">
        <x:v>5.298314594</x:v>
      </x:c>
      <x:c r="K30" s="31" t="n">
        <x:v>1.4200973250000002</x:v>
      </x:c>
      <x:c r="L30" s="31" t="n">
        <x:v>5.298314594</x:v>
      </x:c>
      <x:c r="M30" s="31" t="n">
        <x:v>1.4200973250000002</x:v>
      </x:c>
      <x:c r="N30" s="24" t="str">
        <x:v>conger conger</x:v>
      </x:c>
      <x:c r="O30" s="32" t="n">
        <x:v>4.31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Conger conger</x:v>
      </x:c>
      <x:c r="T30" s="32" t="n">
        <x:f>IF(O30="","",(1/'Metadata'!$B$5)^(O30-1))</x:f>
        <x:v>2041.7379446695275</x:v>
      </x:c>
      <x:c r="U30" s="31" t="n">
        <x:f>IF(T30="","",I30*T30)</x:f>
        <x:v>13717.236542942317</x:v>
      </x:c>
    </x:row>
    <x:row r="31" ht="18" customHeight="1">
      <x:c r="A31" s="24" t="str">
        <x:v>EEZ_891</x:v>
      </x:c>
      <x:c r="B31" s="24" t="str">
        <x:v>Montenegro</x:v>
      </x:c>
      <x:c r="C31" s="24" t="str">
        <x:v>EEZ</x:v>
      </x:c>
      <x:c r="D31" s="30" t="n">
        <x:v>2019</x:v>
      </x:c>
      <x:c r="E31" s="24" t="str">
        <x:v>Sparidae</x:v>
      </x:c>
      <x:c r="F31" s="24" t="str">
        <x:v>Porgies, seabreams</x:v>
      </x:c>
      <x:c r="G31" s="24" t="str">
        <x:v>Medium benthopelagics (30 - 89 cm)</x:v>
      </x:c>
      <x:c r="H31" s="24" t="str">
        <x:v>Perch-likes</x:v>
      </x:c>
      <x:c r="I31" s="31" t="n">
        <x:v>6.551962307</x:v>
      </x:c>
      <x:c r="J31" s="31" t="n">
        <x:v>6.082864084000001</x:v>
      </x:c>
      <x:c r="K31" s="31" t="n">
        <x:v>0.469098223</x:v>
      </x:c>
      <x:c r="L31" s="31" t="n">
        <x:v>5</x:v>
      </x:c>
      <x:c r="M31" s="31" t="n">
        <x:v>1.551962307</x:v>
      </x:c>
      <x:c r="N31" s="24" t="str">
        <x:v>sparidae</x:v>
      </x:c>
      <x:c r="O31" s="32" t="n">
        <x:v>3.31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Sparidae</x:v>
      </x:c>
      <x:c r="T31" s="32" t="n">
        <x:f>IF(O31="","",(1/'Metadata'!$B$5)^(O31-1))</x:f>
        <x:v>204.17379446695296</x:v>
      </x:c>
      <x:c r="U31" s="31" t="n">
        <x:f>IF(T31="","",I31*T31)</x:f>
        <x:v>1337.739005424641</x:v>
      </x:c>
    </x:row>
    <x:row r="32" ht="18" customHeight="1">
      <x:c r="A32" s="24" t="str">
        <x:v>EEZ_891</x:v>
      </x:c>
      <x:c r="B32" s="24" t="str">
        <x:v>Montenegro</x:v>
      </x:c>
      <x:c r="C32" s="24" t="str">
        <x:v>EEZ</x:v>
      </x:c>
      <x:c r="D32" s="30" t="n">
        <x:v>2019</x:v>
      </x:c>
      <x:c r="E32" s="24" t="str">
        <x:v>Scorpaenidae</x:v>
      </x:c>
      <x:c r="F32" s="24" t="str">
        <x:v>Scorpionfishes, rockfishes</x:v>
      </x:c>
      <x:c r="G32" s="24" t="str">
        <x:v>Large reef assoc. fish (&gt;=90 cm)</x:v>
      </x:c>
      <x:c r="H32" s="24" t="str">
        <x:v>Scorpionfishes</x:v>
      </x:c>
      <x:c r="I32" s="31" t="n">
        <x:v>6.245620802</x:v>
      </x:c>
      <x:c r="J32" s="31" t="n">
        <x:v>4.647346946</x:v>
      </x:c>
      <x:c r="K32" s="31" t="n">
        <x:v>1.598273856</x:v>
      </x:c>
      <x:c r="L32" s="31" t="n">
        <x:v>4.436446621</x:v>
      </x:c>
      <x:c r="M32" s="31" t="n">
        <x:v>1.809174181</x:v>
      </x:c>
      <x:c r="N32" s="24" t="str">
        <x:v>scorpaenidae</x:v>
      </x:c>
      <x:c r="O32" s="32" t="n">
        <x:v>3.92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Scorpaenidae</x:v>
      </x:c>
      <x:c r="T32" s="32" t="n">
        <x:f>IF(O32="","",(1/'Metadata'!$B$5)^(O32-1))</x:f>
        <x:v>831.7637711026708</x:v>
      </x:c>
      <x:c r="U32" s="31" t="n">
        <x:f>IF(T32="","",I32*T32)</x:f>
        <x:v>5194.881111148808</x:v>
      </x:c>
    </x:row>
    <x:row r="33" ht="18" customHeight="1">
      <x:c r="A33" s="24" t="str">
        <x:v>EEZ_891</x:v>
      </x:c>
      <x:c r="B33" s="24" t="str">
        <x:v>Montenegro</x:v>
      </x:c>
      <x:c r="C33" s="24" t="str">
        <x:v>EEZ</x:v>
      </x:c>
      <x:c r="D33" s="30" t="n">
        <x:v>2019</x:v>
      </x:c>
      <x:c r="E33" s="24" t="str">
        <x:v>Dentex dentex</x:v>
      </x:c>
      <x:c r="F33" s="24" t="str">
        <x:v>Common dentex</x:v>
      </x:c>
      <x:c r="G33" s="24" t="str">
        <x:v>Large benthopelagics (&gt;=90 cm)</x:v>
      </x:c>
      <x:c r="H33" s="24" t="str">
        <x:v>Perch-likes</x:v>
      </x:c>
      <x:c r="I33" s="31" t="n">
        <x:v>6.081903544</x:v>
      </x:c>
      <x:c r="J33" s="31" t="n">
        <x:v>4</x:v>
      </x:c>
      <x:c r="K33" s="31" t="n">
        <x:v>2.081903544</x:v>
      </x:c>
      <x:c r="L33" s="31" t="n">
        <x:v>4</x:v>
      </x:c>
      <x:c r="M33" s="31" t="n">
        <x:v>2.081903544</x:v>
      </x:c>
      <x:c r="N33" s="24" t="str">
        <x:v>dentex dentex</x:v>
      </x:c>
      <x:c r="O33" s="32" t="n">
        <x:v>4.53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Dentex dentex</x:v>
      </x:c>
      <x:c r="T33" s="32" t="n">
        <x:f>IF(O33="","",(1/'Metadata'!$B$5)^(O33-1))</x:f>
        <x:v>3388.4415613920273</x:v>
      </x:c>
      <x:c r="U33" s="31" t="n">
        <x:f>IF(T33="","",I33*T33)</x:f>
        <x:v>20608.174740867064</x:v>
      </x:c>
    </x:row>
    <x:row r="34" ht="18" customHeight="1">
      <x:c r="A34" s="24" t="str">
        <x:v>EEZ_891</x:v>
      </x:c>
      <x:c r="B34" s="24" t="str">
        <x:v>Montenegro</x:v>
      </x:c>
      <x:c r="C34" s="24" t="str">
        <x:v>EEZ</x:v>
      </x:c>
      <x:c r="D34" s="30" t="n">
        <x:v>2019</x:v>
      </x:c>
      <x:c r="E34" s="24" t="str">
        <x:v>Eledone</x:v>
      </x:c>
      <x:c r="F34" s="24" t="str">
        <x:v>Horned, musky octopuses</x:v>
      </x:c>
      <x:c r="G34" s="24" t="str">
        <x:v>Cephalopods</x:v>
      </x:c>
      <x:c r="H34" s="24" t="str">
        <x:v>Other fishes &amp; inverts</x:v>
      </x:c>
      <x:c r="I34" s="31" t="n">
        <x:v>5.703375627</x:v>
      </x:c>
      <x:c r="J34" s="31" t="n">
        <x:v>4</x:v>
      </x:c>
      <x:c r="K34" s="31" t="n">
        <x:v>1.703375627</x:v>
      </x:c>
      <x:c r="L34" s="31" t="n">
        <x:v>4</x:v>
      </x:c>
      <x:c r="M34" s="31" t="n">
        <x:v>1.703375627</x:v>
      </x:c>
      <x:c r="N34" s="24" t="str">
        <x:v>eledone</x:v>
      </x:c>
      <x:c r="O34" s="32" t="n">
        <x:v>3.67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Eledone</x:v>
      </x:c>
      <x:c r="T34" s="32" t="n">
        <x:f>IF(O34="","",(1/'Metadata'!$B$5)^(O34-1))</x:f>
        <x:v>467.73514128719813</x:v>
      </x:c>
      <x:c r="U34" s="31" t="n">
        <x:f>IF(T34="","",I34*T34)</x:f>
        <x:v>2667.6692047088072</x:v>
      </x:c>
    </x:row>
    <x:row r="35" ht="18" customHeight="1">
      <x:c r="A35" s="24" t="str">
        <x:v>EEZ_891</x:v>
      </x:c>
      <x:c r="B35" s="24" t="str">
        <x:v>Montenegro</x:v>
      </x:c>
      <x:c r="C35" s="24" t="str">
        <x:v>EEZ</x:v>
      </x:c>
      <x:c r="D35" s="30" t="n">
        <x:v>2019</x:v>
      </x:c>
      <x:c r="E35" s="24" t="str">
        <x:v>Nephropidae</x:v>
      </x:c>
      <x:c r="F35" s="24" t="str">
        <x:v>Clawed lobsters</x:v>
      </x:c>
      <x:c r="G35" s="24" t="str">
        <x:v>Lobsters, crabs</x:v>
      </x:c>
      <x:c r="H35" s="24" t="str">
        <x:v>Crustaceans</x:v>
      </x:c>
      <x:c r="I35" s="31" t="n">
        <x:v>5.170069712</x:v>
      </x:c>
      <x:c r="J35" s="31" t="n">
        <x:v>2.156710362</x:v>
      </x:c>
      <x:c r="K35" s="31" t="n">
        <x:v>3.01335935</x:v>
      </x:c>
      <x:c r="L35" s="31" t="n">
        <x:v>0</x:v>
      </x:c>
      <x:c r="M35" s="31" t="n">
        <x:v>5.170069712</x:v>
      </x:c>
      <x:c r="N35" s="24" t="str">
        <x:v>nephropidae</x:v>
      </x:c>
      <x:c r="O35" s="32" t="n">
        <x:v>2.88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Nephropidae</x:v>
      </x:c>
      <x:c r="T35" s="32" t="n">
        <x:f>IF(O35="","",(1/'Metadata'!$B$5)^(O35-1))</x:f>
        <x:v>75.85775750291836</x:v>
      </x:c>
      <x:c r="U35" s="31" t="n">
        <x:f>IF(T35="","",I35*T35)</x:f>
        <x:v>392.18989448607897</x:v>
      </x:c>
    </x:row>
    <x:row r="36" ht="18" customHeight="1">
      <x:c r="A36" s="24" t="str">
        <x:v>EEZ_891</x:v>
      </x:c>
      <x:c r="B36" s="24" t="str">
        <x:v>Montenegro</x:v>
      </x:c>
      <x:c r="C36" s="24" t="str">
        <x:v>EEZ</x:v>
      </x:c>
      <x:c r="D36" s="30" t="n">
        <x:v>2019</x:v>
      </x:c>
      <x:c r="E36" s="24" t="str">
        <x:v>Mustelus</x:v>
      </x:c>
      <x:c r="F36" s="24" t="str">
        <x:v>Smoothhounds</x:v>
      </x:c>
      <x:c r="G36" s="24" t="str">
        <x:v>Large sharks (&gt;=90 cm)</x:v>
      </x:c>
      <x:c r="H36" s="24" t="str">
        <x:v>Sharks &amp; rays</x:v>
      </x:c>
      <x:c r="I36" s="31" t="n">
        <x:v>5.081903544</x:v>
      </x:c>
      <x:c r="J36" s="31" t="n">
        <x:v>3</x:v>
      </x:c>
      <x:c r="K36" s="31" t="n">
        <x:v>2.081903544</x:v>
      </x:c>
      <x:c r="L36" s="31" t="n">
        <x:v>3</x:v>
      </x:c>
      <x:c r="M36" s="31" t="n">
        <x:v>2.081903544</x:v>
      </x:c>
      <x:c r="N36" s="24" t="str">
        <x:v>mustelus</x:v>
      </x:c>
      <x:c r="O36" s="32" t="n">
        <x:v>3.73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Mustelus</x:v>
      </x:c>
      <x:c r="T36" s="32" t="n">
        <x:f>IF(O36="","",(1/'Metadata'!$B$5)^(O36-1))</x:f>
        <x:v>537.0317963702527</x:v>
      </x:c>
      <x:c r="U36" s="31" t="n">
        <x:f>IF(T36="","",I36*T36)</x:f>
        <x:v>2729.1437892146737</x:v>
      </x:c>
    </x:row>
    <x:row r="37" ht="18" customHeight="1">
      <x:c r="A37" s="24" t="str">
        <x:v>EEZ_891</x:v>
      </x:c>
      <x:c r="B37" s="24" t="str">
        <x:v>Montenegro</x:v>
      </x:c>
      <x:c r="C37" s="24" t="str">
        <x:v>EEZ</x:v>
      </x:c>
      <x:c r="D37" s="30" t="n">
        <x:v>2019</x:v>
      </x:c>
      <x:c r="E37" s="24" t="str">
        <x:v>Nephrops norvegicus</x:v>
      </x:c>
      <x:c r="F37" s="24" t="str">
        <x:v>Norway lobster</x:v>
      </x:c>
      <x:c r="G37" s="24" t="str">
        <x:v>Lobsters, crabs</x:v>
      </x:c>
      <x:c r="H37" s="24" t="str">
        <x:v>Crustaceans</x:v>
      </x:c>
      <x:c r="I37" s="31" t="n">
        <x:v>5.074145977</x:v>
      </x:c>
      <x:c r="J37" s="31" t="n">
        <x:v>1.074994745</x:v>
      </x:c>
      <x:c r="K37" s="31" t="n">
        <x:v>3.999151232</x:v>
      </x:c>
      <x:c r="L37" s="31" t="n">
        <x:v>1.029441844</x:v>
      </x:c>
      <x:c r="M37" s="31" t="n">
        <x:v>4.044704133</x:v>
      </x:c>
      <x:c r="N37" s="24" t="str">
        <x:v>nephrops norvegicus</x:v>
      </x:c>
      <x:c r="O37" s="32" t="n">
        <x:v>2.87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Nephrops norvegicus</x:v>
      </x:c>
      <x:c r="T37" s="32" t="n">
        <x:f>IF(O37="","",(1/'Metadata'!$B$5)^(O37-1))</x:f>
        <x:v>74.13102413009177</x:v>
      </x:c>
      <x:c r="U37" s="31" t="n">
        <x:f>IF(T37="","",I37*T37)</x:f>
        <x:v>376.1516378605951</x:v>
      </x:c>
    </x:row>
    <x:row r="38" ht="18" customHeight="1">
      <x:c r="A38" s="24" t="str">
        <x:v>EEZ_891</x:v>
      </x:c>
      <x:c r="B38" s="24" t="str">
        <x:v>Montenegro</x:v>
      </x:c>
      <x:c r="C38" s="24" t="str">
        <x:v>EEZ</x:v>
      </x:c>
      <x:c r="D38" s="30" t="n">
        <x:v>2019</x:v>
      </x:c>
      <x:c r="E38" s="24" t="str">
        <x:v>Malacostraca</x:v>
      </x:c>
      <x:c r="F38" s="24" t="str">
        <x:v>Lobsters, crabs, shrimps, krill</x:v>
      </x:c>
      <x:c r="G38" s="24" t="str">
        <x:v>Shrimps</x:v>
      </x:c>
      <x:c r="H38" s="24" t="str">
        <x:v>Crustaceans</x:v>
      </x:c>
      <x:c r="I38" s="31" t="n">
        <x:v>4.923523157000001</x:v>
      </x:c>
      <x:c r="J38" s="31" t="n">
        <x:v>4.5052330650000005</x:v>
      </x:c>
      <x:c r="K38" s="31" t="n">
        <x:v>0.418290092</x:v>
      </x:c>
      <x:c r="L38" s="31" t="n">
        <x:v>0</x:v>
      </x:c>
      <x:c r="M38" s="31" t="n">
        <x:v>4.923523157000001</x:v>
      </x:c>
      <x:c r="N38" s="24" t="str">
        <x:v>malacostraca</x:v>
      </x:c>
      <x:c r="O38" s="32" t="n">
        <x:v>3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Malacostraca</x:v>
      </x:c>
      <x:c r="T38" s="32" t="n">
        <x:f>IF(O38="","",(1/'Metadata'!$B$5)^(O38-1))</x:f>
        <x:v>100</x:v>
      </x:c>
      <x:c r="U38" s="31" t="n">
        <x:f>IF(T38="","",I38*T38)</x:f>
        <x:v>492.3523157000001</x:v>
      </x:c>
    </x:row>
    <x:row r="39" ht="18" customHeight="1">
      <x:c r="A39" s="24" t="str">
        <x:v>EEZ_891</x:v>
      </x:c>
      <x:c r="B39" s="24" t="str">
        <x:v>Montenegro</x:v>
      </x:c>
      <x:c r="C39" s="24" t="str">
        <x:v>EEZ</x:v>
      </x:c>
      <x:c r="D39" s="30" t="n">
        <x:v>2019</x:v>
      </x:c>
      <x:c r="E39" s="24" t="str">
        <x:v>Myliobatidae</x:v>
      </x:c>
      <x:c r="F39" s="24" t="str">
        <x:v>Eagle/manta rays</x:v>
      </x:c>
      <x:c r="G39" s="24" t="str">
        <x:v>Large rays (&gt;=90 cm)</x:v>
      </x:c>
      <x:c r="H39" s="24" t="str">
        <x:v>Sharks &amp; rays</x:v>
      </x:c>
      <x:c r="I39" s="31" t="n">
        <x:v>3.8389593790000003</x:v>
      </x:c>
      <x:c r="J39" s="31" t="n">
        <x:v>1</x:v>
      </x:c>
      <x:c r="K39" s="31" t="n">
        <x:v>2.8389593790000003</x:v>
      </x:c>
      <x:c r="L39" s="31" t="n">
        <x:v>1</x:v>
      </x:c>
      <x:c r="M39" s="31" t="n">
        <x:v>2.8389593790000003</x:v>
      </x:c>
      <x:c r="N39" s="24" t="str">
        <x:v>myliobatidae</x:v>
      </x:c>
      <x:c r="O39" s="32" t="n">
        <x:v>3.36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Myliobatidae</x:v>
      </x:c>
      <x:c r="T39" s="32" t="n">
        <x:f>IF(O39="","",(1/'Metadata'!$B$5)^(O39-1))</x:f>
        <x:v>229.08676527677724</x:v>
      </x:c>
      <x:c r="U39" s="31" t="n">
        <x:f>IF(T39="","",I39*T39)</x:f>
        <x:v>879.4547861640556</x:v>
      </x:c>
    </x:row>
    <x:row r="40" ht="18" customHeight="1">
      <x:c r="A40" s="24" t="str">
        <x:v>EEZ_891</x:v>
      </x:c>
      <x:c r="B40" s="24" t="str">
        <x:v>Montenegro</x:v>
      </x:c>
      <x:c r="C40" s="24" t="str">
        <x:v>EEZ</x:v>
      </x:c>
      <x:c r="D40" s="30" t="n">
        <x:v>2019</x:v>
      </x:c>
      <x:c r="E40" s="24" t="str">
        <x:v>Homarus gammarus</x:v>
      </x:c>
      <x:c r="F40" s="24" t="str">
        <x:v>European lobster</x:v>
      </x:c>
      <x:c r="G40" s="24" t="str">
        <x:v>Lobsters, crabs</x:v>
      </x:c>
      <x:c r="H40" s="24" t="str">
        <x:v>Crustaceans</x:v>
      </x:c>
      <x:c r="I40" s="31" t="n">
        <x:v>3.353411195</x:v>
      </x:c>
      <x:c r="J40" s="31" t="n">
        <x:v>0.693255826</x:v>
      </x:c>
      <x:c r="K40" s="31" t="n">
        <x:v>2.660155369</x:v>
      </x:c>
      <x:c r="L40" s="31" t="n">
        <x:v>0.693255826</x:v>
      </x:c>
      <x:c r="M40" s="31" t="n">
        <x:v>2.660155369</x:v>
      </x:c>
      <x:c r="N40" s="24" t="str">
        <x:v>homarus gammarus</x:v>
      </x:c>
      <x:c r="O40" s="32" t="n">
        <x:v>3.7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Homarus gammarus</x:v>
      </x:c>
      <x:c r="T40" s="32" t="n">
        <x:f>IF(O40="","",(1/'Metadata'!$B$5)^(O40-1))</x:f>
        <x:v>501.18723362727246</x:v>
      </x:c>
      <x:c r="U40" s="31" t="n">
        <x:f>IF(T40="","",I40*T40)</x:f>
        <x:v>1680.686880036776</x:v>
      </x:c>
    </x:row>
    <x:row r="41" ht="18" customHeight="1">
      <x:c r="A41" s="24" t="str">
        <x:v>EEZ_891</x:v>
      </x:c>
      <x:c r="B41" s="24" t="str">
        <x:v>Montenegro</x:v>
      </x:c>
      <x:c r="C41" s="24" t="str">
        <x:v>EEZ</x:v>
      </x:c>
      <x:c r="D41" s="30" t="n">
        <x:v>2019</x:v>
      </x:c>
      <x:c r="E41" s="24" t="str">
        <x:v>Sphyraena</x:v>
      </x:c>
      <x:c r="F41" s="24" t="str">
        <x:v>Barracudas, sennets</x:v>
      </x:c>
      <x:c r="G41" s="24" t="str">
        <x:v>Large pelagics (&gt;=90 cm)</x:v>
      </x:c>
      <x:c r="H41" s="24" t="str">
        <x:v>Perch-likes</x:v>
      </x:c>
      <x:c r="I41" s="31" t="n">
        <x:v>3</x:v>
      </x:c>
      <x:c r="J41" s="31" t="n">
        <x:v>3</x:v>
      </x:c>
      <x:c r="K41" s="31" t="n">
        <x:v>0</x:v>
      </x:c>
      <x:c r="L41" s="31" t="n">
        <x:v>3</x:v>
      </x:c>
      <x:c r="M41" s="31" t="n">
        <x:v>0</x:v>
      </x:c>
      <x:c r="N41" s="24" t="str">
        <x:v>sphyraena</x:v>
      </x:c>
      <x:c r="O41" s="32" t="n">
        <x:v>4.4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Sphyraena</x:v>
      </x:c>
      <x:c r="T41" s="32" t="n">
        <x:f>IF(O41="","",(1/'Metadata'!$B$5)^(O41-1))</x:f>
        <x:v>2511.886431509582</x:v>
      </x:c>
      <x:c r="U41" s="31" t="n">
        <x:f>IF(T41="","",I41*T41)</x:f>
        <x:v>7535.659294528747</x:v>
      </x:c>
    </x:row>
    <x:row r="42" ht="18" customHeight="1">
      <x:c r="A42" s="24" t="str">
        <x:v>EEZ_891</x:v>
      </x:c>
      <x:c r="B42" s="24" t="str">
        <x:v>Montenegro</x:v>
      </x:c>
      <x:c r="C42" s="24" t="str">
        <x:v>EEZ</x:v>
      </x:c>
      <x:c r="D42" s="30" t="n">
        <x:v>2019</x:v>
      </x:c>
      <x:c r="E42" s="24" t="str">
        <x:v>Carangidae</x:v>
      </x:c>
      <x:c r="F42" s="24" t="str">
        <x:v>Jacks, pompanos</x:v>
      </x:c>
      <x:c r="G42" s="24" t="str">
        <x:v>Medium pelagics (30 - 89 cm)</x:v>
      </x:c>
      <x:c r="H42" s="24" t="str">
        <x:v>Perch-likes</x:v>
      </x:c>
      <x:c r="I42" s="31" t="n">
        <x:v>2.9038793070000004</x:v>
      </x:c>
      <x:c r="J42" s="31" t="n">
        <x:v>2.9038793070000004</x:v>
      </x:c>
      <x:c r="K42" s="31" t="n">
        <x:v>0</x:v>
      </x:c>
      <x:c r="L42" s="31" t="n">
        <x:v>0</x:v>
      </x:c>
      <x:c r="M42" s="31" t="n">
        <x:v>2.9038793070000004</x:v>
      </x:c>
      <x:c r="N42" s="24" t="str">
        <x:v>carangidae</x:v>
      </x:c>
      <x:c r="O42" s="32" t="n">
        <x:v>4.05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Carangidae</x:v>
      </x:c>
      <x:c r="T42" s="32" t="n">
        <x:f>IF(O42="","",(1/'Metadata'!$B$5)^(O42-1))</x:f>
        <x:v>1122.018454301963</x:v>
      </x:c>
      <x:c r="U42" s="31" t="n">
        <x:f>IF(T42="","",I42*T42)</x:f>
        <x:v>3258.206171519596</x:v>
      </x:c>
    </x:row>
    <x:row r="43" ht="18" customHeight="1">
      <x:c r="A43" s="24" t="str">
        <x:v>EEZ_891</x:v>
      </x:c>
      <x:c r="B43" s="24" t="str">
        <x:v>Montenegro</x:v>
      </x:c>
      <x:c r="C43" s="24" t="str">
        <x:v>EEZ</x:v>
      </x:c>
      <x:c r="D43" s="30" t="n">
        <x:v>2019</x:v>
      </x:c>
      <x:c r="E43" s="24" t="str">
        <x:v>Serranidae</x:v>
      </x:c>
      <x:c r="F43" s="24" t="str">
        <x:v>Basses, groupers, hinds</x:v>
      </x:c>
      <x:c r="G43" s="24" t="str">
        <x:v>Medium reef assoc. fish (30 - 89 cm)</x:v>
      </x:c>
      <x:c r="H43" s="24" t="str">
        <x:v>Perch-likes</x:v>
      </x:c>
      <x:c r="I43" s="31" t="n">
        <x:v>2.788808939</x:v>
      </x:c>
      <x:c r="J43" s="31" t="n">
        <x:v>1.7237359449999998</x:v>
      </x:c>
      <x:c r="K43" s="31" t="n">
        <x:v>1.0650729939999999</x:v>
      </x:c>
      <x:c r="L43" s="31" t="n">
        <x:v>1.7237359449999998</x:v>
      </x:c>
      <x:c r="M43" s="31" t="n">
        <x:v>1.0650729939999999</x:v>
      </x:c>
      <x:c r="N43" s="24" t="str">
        <x:v>serranidae</x:v>
      </x:c>
      <x:c r="O43" s="32" t="n">
        <x:v>3.98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Serranidae</x:v>
      </x:c>
      <x:c r="T43" s="32" t="n">
        <x:f>IF(O43="","",(1/'Metadata'!$B$5)^(O43-1))</x:f>
        <x:v>954.992586021436</x:v>
      </x:c>
      <x:c r="U43" s="31" t="n">
        <x:f>IF(T43="","",I43*T43)</x:f>
        <x:v>2663.291860575307</x:v>
      </x:c>
    </x:row>
    <x:row r="44" ht="18" customHeight="1">
      <x:c r="A44" s="24" t="str">
        <x:v>EEZ_891</x:v>
      </x:c>
      <x:c r="B44" s="24" t="str">
        <x:v>Montenegro</x:v>
      </x:c>
      <x:c r="C44" s="24" t="str">
        <x:v>EEZ</x:v>
      </x:c>
      <x:c r="D44" s="30" t="n">
        <x:v>2019</x:v>
      </x:c>
      <x:c r="E44" s="24" t="str">
        <x:v>Auxis</x:v>
      </x:c>
      <x:c r="F44" s="24" t="str">
        <x:v>Bullet and frigate tunas</x:v>
      </x:c>
      <x:c r="G44" s="24" t="str">
        <x:v>Medium pelagics (30 - 89 cm)</x:v>
      </x:c>
      <x:c r="H44" s="24" t="str">
        <x:v>Tuna &amp; billfishes</x:v>
      </x:c>
      <x:c r="I44" s="31" t="n">
        <x:v>2.746772755</x:v>
      </x:c>
      <x:c r="J44" s="31" t="n">
        <x:v>2.585603918</x:v>
      </x:c>
      <x:c r="K44" s="31" t="n">
        <x:v>0.161168837</x:v>
      </x:c>
      <x:c r="L44" s="31" t="n">
        <x:v>2.585603918</x:v>
      </x:c>
      <x:c r="M44" s="31" t="n">
        <x:v>0.161168837</x:v>
      </x:c>
      <x:c r="N44" s="24" t="str">
        <x:v>auxis</x:v>
      </x:c>
      <x:c r="O44" s="32" t="n">
        <x:v>4.24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Auxis</x:v>
      </x:c>
      <x:c r="T44" s="32" t="n">
        <x:f>IF(O44="","",(1/'Metadata'!$B$5)^(O44-1))</x:f>
        <x:v>1737.8008287493763</x:v>
      </x:c>
      <x:c r="U44" s="31" t="n">
        <x:f>IF(T44="","",I44*T44)</x:f>
        <x:v>4773.343970025207</x:v>
      </x:c>
    </x:row>
    <x:row r="45" ht="18" customHeight="1">
      <x:c r="A45" s="24" t="str">
        <x:v>EEZ_891</x:v>
      </x:c>
      <x:c r="B45" s="24" t="str">
        <x:v>Montenegro</x:v>
      </x:c>
      <x:c r="C45" s="24" t="str">
        <x:v>EEZ</x:v>
      </x:c>
      <x:c r="D45" s="30" t="n">
        <x:v>2019</x:v>
      </x:c>
      <x:c r="E45" s="24" t="str">
        <x:v>Perciformes</x:v>
      </x:c>
      <x:c r="F45" s="24" t="str">
        <x:v>Perch-likes</x:v>
      </x:c>
      <x:c r="G45" s="24" t="str">
        <x:v>Medium demersals (30 - 89 cm)</x:v>
      </x:c>
      <x:c r="H45" s="24" t="str">
        <x:v>Perch-likes</x:v>
      </x:c>
      <x:c r="I45" s="31" t="n">
        <x:v>2.540985298</x:v>
      </x:c>
      <x:c r="J45" s="31" t="n">
        <x:v>2.540985298</x:v>
      </x:c>
      <x:c r="K45" s="31" t="n">
        <x:v>0</x:v>
      </x:c>
      <x:c r="L45" s="31" t="n">
        <x:v>0</x:v>
      </x:c>
      <x:c r="M45" s="31" t="n">
        <x:v>2.540985298</x:v>
      </x:c>
      <x:c r="N45" s="24" t="str">
        <x:v>perciformes</x:v>
      </x:c>
      <x:c r="O45" s="32" t="n">
        <x:v>3.53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Perciformes</x:v>
      </x:c>
      <x:c r="T45" s="32" t="n">
        <x:f>IF(O45="","",(1/'Metadata'!$B$5)^(O45-1))</x:f>
        <x:v>338.84415613920237</x:v>
      </x:c>
      <x:c r="U45" s="31" t="n">
        <x:f>IF(T45="","",I45*T45)</x:f>
        <x:v>860.9980190629296</x:v>
      </x:c>
    </x:row>
    <x:row r="46" ht="18" customHeight="1">
      <x:c r="A46" s="24" t="str">
        <x:v>EEZ_891</x:v>
      </x:c>
      <x:c r="B46" s="24" t="str">
        <x:v>Montenegro</x:v>
      </x:c>
      <x:c r="C46" s="24" t="str">
        <x:v>EEZ</x:v>
      </x:c>
      <x:c r="D46" s="30" t="n">
        <x:v>2019</x:v>
      </x:c>
      <x:c r="E46" s="24" t="str">
        <x:v>Sarpa salpa</x:v>
      </x:c>
      <x:c r="F46" s="24" t="str">
        <x:v>Salema</x:v>
      </x:c>
      <x:c r="G46" s="24" t="str">
        <x:v>Medium benthopelagics (30 - 89 cm)</x:v>
      </x:c>
      <x:c r="H46" s="24" t="str">
        <x:v>Perch-likes</x:v>
      </x:c>
      <x:c r="I46" s="31" t="n">
        <x:v>2.514111668</x:v>
      </x:c>
      <x:c r="J46" s="31" t="n">
        <x:v>1</x:v>
      </x:c>
      <x:c r="K46" s="31" t="n">
        <x:v>1.514111668</x:v>
      </x:c>
      <x:c r="L46" s="31" t="n">
        <x:v>1</x:v>
      </x:c>
      <x:c r="M46" s="31" t="n">
        <x:v>1.514111668</x:v>
      </x:c>
      <x:c r="N46" s="24" t="str">
        <x:v>sarpa salpa</x:v>
      </x:c>
      <x:c r="O46" s="32" t="n">
        <x:v>2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Sarpa salpa</x:v>
      </x:c>
      <x:c r="T46" s="32" t="n">
        <x:f>IF(O46="","",(1/'Metadata'!$B$5)^(O46-1))</x:f>
        <x:v>10</x:v>
      </x:c>
      <x:c r="U46" s="31" t="n">
        <x:f>IF(T46="","",I46*T46)</x:f>
        <x:v>25.14111668</x:v>
      </x:c>
    </x:row>
    <x:row r="47" ht="18" customHeight="1">
      <x:c r="A47" s="24" t="str">
        <x:v>EEZ_891</x:v>
      </x:c>
      <x:c r="B47" s="24" t="str">
        <x:v>Montenegro</x:v>
      </x:c>
      <x:c r="C47" s="24" t="str">
        <x:v>EEZ</x:v>
      </x:c>
      <x:c r="D47" s="30" t="n">
        <x:v>2019</x:v>
      </x:c>
      <x:c r="E47" s="24" t="str">
        <x:v>Soleidae</x:v>
      </x:c>
      <x:c r="F47" s="24" t="str">
        <x:v>Soles</x:v>
      </x:c>
      <x:c r="G47" s="24" t="str">
        <x:v>Small to medium flatfishes (&lt;90 cm)</x:v>
      </x:c>
      <x:c r="H47" s="24" t="str">
        <x:v>Flatfishes</x:v>
      </x:c>
      <x:c r="I47" s="31" t="n">
        <x:v>2.086661088</x:v>
      </x:c>
      <x:c r="J47" s="31" t="n">
        <x:v>2.013301779</x:v>
      </x:c>
      <x:c r="K47" s="31" t="n">
        <x:v>0.073359309</x:v>
      </x:c>
      <x:c r="L47" s="31" t="n">
        <x:v>0</x:v>
      </x:c>
      <x:c r="M47" s="31" t="n">
        <x:v>2.086661088</x:v>
      </x:c>
      <x:c r="N47" s="24" t="str">
        <x:v>soleidae</x:v>
      </x:c>
      <x:c r="O47" s="32" t="n">
        <x:v>3.15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Soleidae</x:v>
      </x:c>
      <x:c r="T47" s="32" t="n">
        <x:f>IF(O47="","",(1/'Metadata'!$B$5)^(O47-1))</x:f>
        <x:v>141.2537544622754</x:v>
      </x:c>
      <x:c r="U47" s="31" t="n">
        <x:f>IF(T47="","",I47*T47)</x:f>
        <x:v>294.74871297033644</x:v>
      </x:c>
    </x:row>
    <x:row r="48" ht="18" customHeight="1">
      <x:c r="A48" s="24" t="str">
        <x:v>EEZ_891</x:v>
      </x:c>
      <x:c r="B48" s="24" t="str">
        <x:v>Montenegro</x:v>
      </x:c>
      <x:c r="C48" s="24" t="str">
        <x:v>EEZ</x:v>
      </x:c>
      <x:c r="D48" s="30" t="n">
        <x:v>2019</x:v>
      </x:c>
      <x:c r="E48" s="24" t="str">
        <x:v>Raja clavata</x:v>
      </x:c>
      <x:c r="F48" s="24" t="str">
        <x:v>Thornback ray</x:v>
      </x:c>
      <x:c r="G48" s="24" t="str">
        <x:v>Large rays (&gt;=90 cm)</x:v>
      </x:c>
      <x:c r="H48" s="24" t="str">
        <x:v>Sharks &amp; rays</x:v>
      </x:c>
      <x:c r="I48" s="31" t="n">
        <x:v>2</x:v>
      </x:c>
      <x:c r="J48" s="31" t="n">
        <x:v>2</x:v>
      </x:c>
      <x:c r="K48" s="31" t="n">
        <x:v>0</x:v>
      </x:c>
      <x:c r="L48" s="31" t="n">
        <x:v>2</x:v>
      </x:c>
      <x:c r="M48" s="31" t="n">
        <x:v>0</x:v>
      </x:c>
      <x:c r="N48" s="24" t="str">
        <x:v>raja clavata</x:v>
      </x:c>
      <x:c r="O48" s="32" t="n">
        <x:v>3.84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Raja clavata</x:v>
      </x:c>
      <x:c r="T48" s="32" t="n">
        <x:f>IF(O48="","",(1/'Metadata'!$B$5)^(O48-1))</x:f>
        <x:v>691.8309709189363</x:v>
      </x:c>
      <x:c r="U48" s="31" t="n">
        <x:f>IF(T48="","",I48*T48)</x:f>
        <x:v>1383.6619418378725</x:v>
      </x:c>
    </x:row>
    <x:row r="49" ht="18" customHeight="1">
      <x:c r="A49" s="24" t="str">
        <x:v>EEZ_891</x:v>
      </x:c>
      <x:c r="B49" s="24" t="str">
        <x:v>Montenegro</x:v>
      </x:c>
      <x:c r="C49" s="24" t="str">
        <x:v>EEZ</x:v>
      </x:c>
      <x:c r="D49" s="30" t="n">
        <x:v>2019</x:v>
      </x:c>
      <x:c r="E49" s="24" t="str">
        <x:v>Pagrus pagrus</x:v>
      </x:c>
      <x:c r="F49" s="24" t="str">
        <x:v>Red porgy</x:v>
      </x:c>
      <x:c r="G49" s="24" t="str">
        <x:v>Medium benthopelagics (30 - 89 cm)</x:v>
      </x:c>
      <x:c r="H49" s="24" t="str">
        <x:v>Perch-likes</x:v>
      </x:c>
      <x:c r="I49" s="31" t="n">
        <x:v>2</x:v>
      </x:c>
      <x:c r="J49" s="31" t="n">
        <x:v>2</x:v>
      </x:c>
      <x:c r="K49" s="31" t="n">
        <x:v>0</x:v>
      </x:c>
      <x:c r="L49" s="31" t="n">
        <x:v>2</x:v>
      </x:c>
      <x:c r="M49" s="31" t="n">
        <x:v>0</x:v>
      </x:c>
      <x:c r="N49" s="24" t="str">
        <x:v>pagrus pagrus</x:v>
      </x:c>
      <x:c r="O49" s="32" t="n">
        <x:v>3.86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Pagrus pagrus</x:v>
      </x:c>
      <x:c r="T49" s="32" t="n">
        <x:f>IF(O49="","",(1/'Metadata'!$B$5)^(O49-1))</x:f>
        <x:v>724.4359600749899</x:v>
      </x:c>
      <x:c r="U49" s="31" t="n">
        <x:f>IF(T49="","",I49*T49)</x:f>
        <x:v>1448.8719201499798</x:v>
      </x:c>
    </x:row>
    <x:row r="50" ht="18" customHeight="1">
      <x:c r="A50" s="24" t="str">
        <x:v>EEZ_891</x:v>
      </x:c>
      <x:c r="B50" s="24" t="str">
        <x:v>Montenegro</x:v>
      </x:c>
      <x:c r="C50" s="24" t="str">
        <x:v>EEZ</x:v>
      </x:c>
      <x:c r="D50" s="30" t="n">
        <x:v>2019</x:v>
      </x:c>
      <x:c r="E50" s="24" t="str">
        <x:v>Oblada melanurus</x:v>
      </x:c>
      <x:c r="F50" s="24" t="str">
        <x:v>Saddled seabream</x:v>
      </x:c>
      <x:c r="G50" s="24" t="str">
        <x:v>Small benthopelagics (&lt;30 cm)</x:v>
      </x:c>
      <x:c r="H50" s="24" t="str">
        <x:v>Perch-likes</x:v>
      </x:c>
      <x:c r="I50" s="31" t="n">
        <x:v>1.899153223</x:v>
      </x:c>
      <x:c r="J50" s="31" t="n">
        <x:v>1.339433846</x:v>
      </x:c>
      <x:c r="K50" s="31" t="n">
        <x:v>0.559719377</x:v>
      </x:c>
      <x:c r="L50" s="31" t="n">
        <x:v>1.339433846</x:v>
      </x:c>
      <x:c r="M50" s="31" t="n">
        <x:v>0.559719377</x:v>
      </x:c>
      <x:c r="N50" s="24" t="str">
        <x:v>oblada melanurus</x:v>
      </x:c>
      <x:c r="O50" s="32" t="n">
        <x:v>3.38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Oblada melanurus</x:v>
      </x:c>
      <x:c r="T50" s="32" t="n">
        <x:f>IF(O50="","",(1/'Metadata'!$B$5)^(O50-1))</x:f>
        <x:v>239.88329190194898</x:v>
      </x:c>
      <x:c r="U50" s="31" t="n">
        <x:f>IF(T50="","",I50*T50)</x:f>
        <x:v>455.5751269594362</x:v>
      </x:c>
    </x:row>
    <x:row r="51" ht="18" customHeight="1">
      <x:c r="A51" s="24" t="str">
        <x:v>EEZ_891</x:v>
      </x:c>
      <x:c r="B51" s="24" t="str">
        <x:v>Montenegro</x:v>
      </x:c>
      <x:c r="C51" s="24" t="str">
        <x:v>EEZ</x:v>
      </x:c>
      <x:c r="D51" s="30" t="n">
        <x:v>2019</x:v>
      </x:c>
      <x:c r="E51" s="24" t="str">
        <x:v>Spondyliosoma cantharus</x:v>
      </x:c>
      <x:c r="F51" s="24" t="str">
        <x:v>Black seabream</x:v>
      </x:c>
      <x:c r="G51" s="24" t="str">
        <x:v>Medium benthopelagics (30 - 89 cm)</x:v>
      </x:c>
      <x:c r="H51" s="24" t="str">
        <x:v>Perch-likes</x:v>
      </x:c>
      <x:c r="I51" s="31" t="n">
        <x:v>1.859205959</x:v>
      </x:c>
      <x:c r="J51" s="31" t="n">
        <x:v>1.149157296</x:v>
      </x:c>
      <x:c r="K51" s="31" t="n">
        <x:v>0.710048663</x:v>
      </x:c>
      <x:c r="L51" s="31" t="n">
        <x:v>1.149157296</x:v>
      </x:c>
      <x:c r="M51" s="31" t="n">
        <x:v>0.710048663</x:v>
      </x:c>
      <x:c r="N51" s="24" t="str">
        <x:v>spondyliosoma cantharus</x:v>
      </x:c>
      <x:c r="O51" s="32" t="n">
        <x:v>3.34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Spondyliosoma cantharus</x:v>
      </x:c>
      <x:c r="T51" s="32" t="n">
        <x:f>IF(O51="","",(1/'Metadata'!$B$5)^(O51-1))</x:f>
        <x:v>218.77616239495518</x:v>
      </x:c>
      <x:c r="U51" s="31" t="n">
        <x:f>IF(T51="","",I51*T51)</x:f>
        <x:v>406.7499448118524</x:v>
      </x:c>
    </x:row>
    <x:row r="52" ht="18" customHeight="1">
      <x:c r="A52" s="24" t="str">
        <x:v>EEZ_891</x:v>
      </x:c>
      <x:c r="B52" s="24" t="str">
        <x:v>Montenegro</x:v>
      </x:c>
      <x:c r="C52" s="24" t="str">
        <x:v>EEZ</x:v>
      </x:c>
      <x:c r="D52" s="30" t="n">
        <x:v>2019</x:v>
      </x:c>
      <x:c r="E52" s="24" t="str">
        <x:v>Scyliorhinidae</x:v>
      </x:c>
      <x:c r="F52" s="24" t="str">
        <x:v>Cat/swellsharks</x:v>
      </x:c>
      <x:c r="G52" s="24" t="str">
        <x:v>Large sharks (&gt;=90 cm)</x:v>
      </x:c>
      <x:c r="H52" s="24" t="str">
        <x:v>Sharks &amp; rays</x:v>
      </x:c>
      <x:c r="I52" s="31" t="n">
        <x:v>1.757055835</x:v>
      </x:c>
      <x:c r="J52" s="31" t="n">
        <x:v>1</x:v>
      </x:c>
      <x:c r="K52" s="31" t="n">
        <x:v>0.7570558350000001</x:v>
      </x:c>
      <x:c r="L52" s="31" t="n">
        <x:v>1</x:v>
      </x:c>
      <x:c r="M52" s="31" t="n">
        <x:v>0.7570558350000001</x:v>
      </x:c>
      <x:c r="N52" s="24" t="str">
        <x:v>scyliorhinidae</x:v>
      </x:c>
      <x:c r="O52" s="32" t="n">
        <x:v>3.97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Scyliorhinidae</x:v>
      </x:c>
      <x:c r="T52" s="32" t="n">
        <x:f>IF(O52="","",(1/'Metadata'!$B$5)^(O52-1))</x:f>
        <x:v>933.2543007969915</x:v>
      </x:c>
      <x:c r="U52" s="31" t="n">
        <x:f>IF(T52="","",I52*T52)</x:f>
        <x:v>1639.7799147541991</x:v>
      </x:c>
    </x:row>
    <x:row r="53" ht="18" customHeight="1">
      <x:c r="A53" s="24" t="str">
        <x:v>EEZ_891</x:v>
      </x:c>
      <x:c r="B53" s="24" t="str">
        <x:v>Montenegro</x:v>
      </x:c>
      <x:c r="C53" s="24" t="str">
        <x:v>EEZ</x:v>
      </x:c>
      <x:c r="D53" s="30" t="n">
        <x:v>2019</x:v>
      </x:c>
      <x:c r="E53" s="24" t="str">
        <x:v>Spicara</x:v>
      </x:c>
      <x:c r="F53" s="24" t="str">
        <x:v>Picarels</x:v>
      </x:c>
      <x:c r="G53" s="24" t="str">
        <x:v>Small demersals (&lt;30 cm)</x:v>
      </x:c>
      <x:c r="H53" s="24" t="str">
        <x:v>Perch-likes</x:v>
      </x:c>
      <x:c r="I53" s="31" t="n">
        <x:v>1.7460099960000002</x:v>
      </x:c>
      <x:c r="J53" s="31" t="n">
        <x:v>0.026834676</x:v>
      </x:c>
      <x:c r="K53" s="31" t="n">
        <x:v>1.7191753200000002</x:v>
      </x:c>
      <x:c r="L53" s="31" t="n">
        <x:v>0</x:v>
      </x:c>
      <x:c r="M53" s="31" t="n">
        <x:v>1.7460099960000002</x:v>
      </x:c>
      <x:c r="N53" s="24" t="str">
        <x:v>spicara</x:v>
      </x:c>
      <x:c r="O53" s="32" t="n">
        <x:v>3.58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Spicara</x:v>
      </x:c>
      <x:c r="T53" s="32" t="n">
        <x:f>IF(O53="","",(1/'Metadata'!$B$5)^(O53-1))</x:f>
        <x:v>380.1893963205613</x:v>
      </x:c>
      <x:c r="U53" s="31" t="n">
        <x:f>IF(T53="","",I53*T53)</x:f>
        <x:v>663.8144863489057</x:v>
      </x:c>
    </x:row>
    <x:row r="54" ht="18" customHeight="1">
      <x:c r="A54" s="24" t="str">
        <x:v>EEZ_891</x:v>
      </x:c>
      <x:c r="B54" s="24" t="str">
        <x:v>Montenegro</x:v>
      </x:c>
      <x:c r="C54" s="24" t="str">
        <x:v>EEZ</x:v>
      </x:c>
      <x:c r="D54" s="30" t="n">
        <x:v>2019</x:v>
      </x:c>
      <x:c r="E54" s="24" t="str">
        <x:v>Mullus barbatus</x:v>
      </x:c>
      <x:c r="F54" s="24" t="str">
        <x:v>Red mullet</x:v>
      </x:c>
      <x:c r="G54" s="24" t="str">
        <x:v>Medium demersals (30 - 89 cm)</x:v>
      </x:c>
      <x:c r="H54" s="24" t="str">
        <x:v>Perch-likes</x:v>
      </x:c>
      <x:c r="I54" s="31" t="n">
        <x:v>1.696560326</x:v>
      </x:c>
      <x:c r="J54" s="31" t="n">
        <x:v>0.968235212</x:v>
      </x:c>
      <x:c r="K54" s="31" t="n">
        <x:v>0.728325114</x:v>
      </x:c>
      <x:c r="L54" s="31" t="n">
        <x:v>0</x:v>
      </x:c>
      <x:c r="M54" s="31" t="n">
        <x:v>1.696560326</x:v>
      </x:c>
      <x:c r="N54" s="24" t="str">
        <x:v>mullus barbatus</x:v>
      </x:c>
      <x:c r="O54" s="32" t="n">
        <x:v>3.14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Mullus barbatus</x:v>
      </x:c>
      <x:c r="T54" s="32" t="n">
        <x:f>IF(O54="","",(1/'Metadata'!$B$5)^(O54-1))</x:f>
        <x:v>138.03842646028852</x:v>
      </x:c>
      <x:c r="U54" s="31" t="n">
        <x:f>IF(T54="","",I54*T54)</x:f>
        <x:v>234.1905177959941</x:v>
      </x:c>
    </x:row>
    <x:row r="55" ht="18" customHeight="1">
      <x:c r="A55" s="24" t="str">
        <x:v>EEZ_891</x:v>
      </x:c>
      <x:c r="B55" s="24" t="str">
        <x:v>Montenegro</x:v>
      </x:c>
      <x:c r="C55" s="24" t="str">
        <x:v>EEZ</x:v>
      </x:c>
      <x:c r="D55" s="30" t="n">
        <x:v>2019</x:v>
      </x:c>
      <x:c r="E55" s="24" t="str">
        <x:v>Maja squinado</x:v>
      </x:c>
      <x:c r="F55" s="24" t="str">
        <x:v>Spinous spider crab</x:v>
      </x:c>
      <x:c r="G55" s="24" t="str">
        <x:v>Lobsters, crabs</x:v>
      </x:c>
      <x:c r="H55" s="24" t="str">
        <x:v>Crustaceans</x:v>
      </x:c>
      <x:c r="I55" s="31" t="n">
        <x:v>1.3413644789999999</x:v>
      </x:c>
      <x:c r="J55" s="31" t="n">
        <x:v>0.277302331</x:v>
      </x:c>
      <x:c r="K55" s="31" t="n">
        <x:v>1.0640621479999999</x:v>
      </x:c>
      <x:c r="L55" s="31" t="n">
        <x:v>0.277302331</x:v>
      </x:c>
      <x:c r="M55" s="31" t="n">
        <x:v>1.0640621479999999</x:v>
      </x:c>
      <x:c r="N55" s="24" t="str">
        <x:v>maja squinado</x:v>
      </x:c>
      <x:c r="O55" s="32" t="n">
        <x:v>2.94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Maja squinado</x:v>
      </x:c>
      <x:c r="T55" s="32" t="n">
        <x:f>IF(O55="","",(1/'Metadata'!$B$5)^(O55-1))</x:f>
        <x:v>87.09635899560806</x:v>
      </x:c>
      <x:c r="U55" s="31" t="n">
        <x:f>IF(T55="","",I55*T55)</x:f>
        <x:v>116.82796220694075</x:v>
      </x:c>
    </x:row>
    <x:row r="56" ht="18" customHeight="1">
      <x:c r="A56" s="24" t="str">
        <x:v>EEZ_891</x:v>
      </x:c>
      <x:c r="B56" s="24" t="str">
        <x:v>Montenegro</x:v>
      </x:c>
      <x:c r="C56" s="24" t="str">
        <x:v>EEZ</x:v>
      </x:c>
      <x:c r="D56" s="30" t="n">
        <x:v>2019</x:v>
      </x:c>
      <x:c r="E56" s="24" t="str">
        <x:v>Anguilla anguilla</x:v>
      </x:c>
      <x:c r="F56" s="24" t="str">
        <x:v>European eel</x:v>
      </x:c>
      <x:c r="G56" s="24" t="str">
        <x:v>Large demersals (&gt;=90 cm)</x:v>
      </x:c>
      <x:c r="H56" s="24" t="str">
        <x:v>Other fishes &amp; inverts</x:v>
      </x:c>
      <x:c r="I56" s="31" t="n">
        <x:v>1.122137315</x:v>
      </x:c>
      <x:c r="J56" s="31" t="n">
        <x:v>0.9150911469999999</x:v>
      </x:c>
      <x:c r="K56" s="31" t="n">
        <x:v>0.20704616799999997</x:v>
      </x:c>
      <x:c r="L56" s="31" t="n">
        <x:v>0</x:v>
      </x:c>
      <x:c r="M56" s="31" t="n">
        <x:v>1.122137315</x:v>
      </x:c>
      <x:c r="N56" s="24" t="str">
        <x:v>anguilla anguilla</x:v>
      </x:c>
      <x:c r="O56" s="32" t="n">
        <x:v>3.55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Anguilla anguilla</x:v>
      </x:c>
      <x:c r="T56" s="32" t="n">
        <x:f>IF(O56="","",(1/'Metadata'!$B$5)^(O56-1))</x:f>
        <x:v>354.8133892335753</x:v>
      </x:c>
      <x:c r="U56" s="31" t="n">
        <x:f>IF(T56="","",I56*T56)</x:f>
        <x:v>398.1493439206141</x:v>
      </x:c>
    </x:row>
    <x:row r="57" ht="18" customHeight="1">
      <x:c r="A57" s="24" t="str">
        <x:v>EEZ_891</x:v>
      </x:c>
      <x:c r="B57" s="24" t="str">
        <x:v>Montenegro</x:v>
      </x:c>
      <x:c r="C57" s="24" t="str">
        <x:v>EEZ</x:v>
      </x:c>
      <x:c r="D57" s="30" t="n">
        <x:v>2019</x:v>
      </x:c>
      <x:c r="E57" s="24" t="str">
        <x:v>Mugilidae</x:v>
      </x:c>
      <x:c r="F57" s="24" t="str">
        <x:v>Mullets, grey mullets</x:v>
      </x:c>
      <x:c r="G57" s="24" t="str">
        <x:v>Medium reef assoc. fish (30 - 89 cm)</x:v>
      </x:c>
      <x:c r="H57" s="24" t="str">
        <x:v>Perch-likes</x:v>
      </x:c>
      <x:c r="I57" s="31" t="n">
        <x:v>1.0916678979999999</x:v>
      </x:c>
      <x:c r="J57" s="31" t="n">
        <x:v>1.0757084399999999</x:v>
      </x:c>
      <x:c r="K57" s="31" t="n">
        <x:v>0.015959458</x:v>
      </x:c>
      <x:c r="L57" s="31" t="n">
        <x:v>0</x:v>
      </x:c>
      <x:c r="M57" s="31" t="n">
        <x:v>1.0916678979999999</x:v>
      </x:c>
      <x:c r="N57" s="24" t="str">
        <x:v>mugilidae</x:v>
      </x:c>
      <x:c r="O57" s="32" t="n">
        <x:v>2.53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Mugilidae</x:v>
      </x:c>
      <x:c r="T57" s="32" t="n">
        <x:f>IF(O57="","",(1/'Metadata'!$B$5)^(O57-1))</x:f>
        <x:v>33.88441561392024</x:v>
      </x:c>
      <x:c r="U57" s="31" t="n">
        <x:f>IF(T57="","",I57*T57)</x:f>
        <x:v>36.99052876820668</x:v>
      </x:c>
    </x:row>
    <x:row r="58" ht="18" customHeight="1">
      <x:c r="A58" s="24" t="str">
        <x:v>EEZ_891</x:v>
      </x:c>
      <x:c r="B58" s="24" t="str">
        <x:v>Montenegro</x:v>
      </x:c>
      <x:c r="C58" s="24" t="str">
        <x:v>EEZ</x:v>
      </x:c>
      <x:c r="D58" s="30" t="n">
        <x:v>2019</x:v>
      </x:c>
      <x:c r="E58" s="24" t="str">
        <x:v>Eutrigla gurnardus</x:v>
      </x:c>
      <x:c r="F58" s="24" t="str">
        <x:v>Grey gurnard</x:v>
      </x:c>
      <x:c r="G58" s="24" t="str">
        <x:v>Medium demersals (30 - 89 cm)</x:v>
      </x:c>
      <x:c r="H58" s="24" t="str">
        <x:v>Scorpionfishes</x:v>
      </x:c>
      <x:c r="I58" s="31" t="n">
        <x:v>1</x:v>
      </x:c>
      <x:c r="J58" s="31" t="n">
        <x:v>1</x:v>
      </x:c>
      <x:c r="K58" s="31" t="n">
        <x:v>0</x:v>
      </x:c>
      <x:c r="L58" s="31" t="n">
        <x:v>1</x:v>
      </x:c>
      <x:c r="M58" s="31" t="n">
        <x:v>0</x:v>
      </x:c>
      <x:c r="N58" s="24" t="str">
        <x:v>eutrigla gurnardus</x:v>
      </x:c>
      <x:c r="O58" s="32" t="n">
        <x:v>3.87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Eutrigla gurnardus</x:v>
      </x:c>
      <x:c r="T58" s="32" t="n">
        <x:f>IF(O58="","",(1/'Metadata'!$B$5)^(O58-1))</x:f>
        <x:v>741.3102413009177</x:v>
      </x:c>
      <x:c r="U58" s="31" t="n">
        <x:f>IF(T58="","",I58*T58)</x:f>
        <x:v>741.3102413009177</x:v>
      </x:c>
    </x:row>
    <x:row r="59" ht="18" customHeight="1">
      <x:c r="A59" s="24" t="str">
        <x:v>EEZ_891</x:v>
      </x:c>
      <x:c r="B59" s="24" t="str">
        <x:v>Montenegro</x:v>
      </x:c>
      <x:c r="C59" s="24" t="str">
        <x:v>EEZ</x:v>
      </x:c>
      <x:c r="D59" s="30" t="n">
        <x:v>2019</x:v>
      </x:c>
      <x:c r="E59" s="24" t="str">
        <x:v>Chondrichthyes</x:v>
      </x:c>
      <x:c r="F59" s="24" t="str">
        <x:v>Sharks, rays, chimaeras</x:v>
      </x:c>
      <x:c r="G59" s="24" t="str">
        <x:v>Large sharks (&gt;=90 cm)</x:v>
      </x:c>
      <x:c r="H59" s="24" t="str">
        <x:v>Sharks &amp; rays</x:v>
      </x:c>
      <x:c r="I59" s="31" t="n">
        <x:v>1</x:v>
      </x:c>
      <x:c r="J59" s="31" t="n">
        <x:v>1</x:v>
      </x:c>
      <x:c r="K59" s="31" t="n">
        <x:v>0</x:v>
      </x:c>
      <x:c r="L59" s="31" t="n">
        <x:v>1</x:v>
      </x:c>
      <x:c r="M59" s="31" t="n">
        <x:v>0</x:v>
      </x:c>
      <x:c r="N59" s="24" t="str">
        <x:v>chondrichthyes</x:v>
      </x:c>
      <x:c r="O59" s="32" t="n">
        <x:v>4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Chondrichthyes</x:v>
      </x:c>
      <x:c r="T59" s="32" t="n">
        <x:f>IF(O59="","",(1/'Metadata'!$B$5)^(O59-1))</x:f>
        <x:v>1000</x:v>
      </x:c>
      <x:c r="U59" s="31" t="n">
        <x:f>IF(T59="","",I59*T59)</x:f>
        <x:v>1000</x:v>
      </x:c>
    </x:row>
    <x:row r="60" ht="18" customHeight="1">
      <x:c r="A60" s="24" t="str">
        <x:v>EEZ_891</x:v>
      </x:c>
      <x:c r="B60" s="24" t="str">
        <x:v>Montenegro</x:v>
      </x:c>
      <x:c r="C60" s="24" t="str">
        <x:v>EEZ</x:v>
      </x:c>
      <x:c r="D60" s="30" t="n">
        <x:v>2019</x:v>
      </x:c>
      <x:c r="E60" s="24" t="str">
        <x:v>Myliobatis aquila</x:v>
      </x:c>
      <x:c r="F60" s="24" t="str">
        <x:v>Common eagle ray</x:v>
      </x:c>
      <x:c r="G60" s="24" t="str">
        <x:v>Large rays (&gt;=90 cm)</x:v>
      </x:c>
      <x:c r="H60" s="24" t="str">
        <x:v>Sharks &amp; rays</x:v>
      </x:c>
      <x:c r="I60" s="31" t="n">
        <x:v>1</x:v>
      </x:c>
      <x:c r="J60" s="31" t="n">
        <x:v>1</x:v>
      </x:c>
      <x:c r="K60" s="31" t="n">
        <x:v>0</x:v>
      </x:c>
      <x:c r="L60" s="31" t="n">
        <x:v>1</x:v>
      </x:c>
      <x:c r="M60" s="31" t="n">
        <x:v>0</x:v>
      </x:c>
      <x:c r="N60" s="24" t="str">
        <x:v>myliobatis aquila</x:v>
      </x:c>
      <x:c r="O60" s="32" t="n">
        <x:v>3.61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Myliobatis aquila</x:v>
      </x:c>
      <x:c r="T60" s="32" t="n">
        <x:f>IF(O60="","",(1/'Metadata'!$B$5)^(O60-1))</x:f>
        <x:v>407.3802778041126</x:v>
      </x:c>
      <x:c r="U60" s="31" t="n">
        <x:f>IF(T60="","",I60*T60)</x:f>
        <x:v>407.3802778041126</x:v>
      </x:c>
    </x:row>
    <x:row r="61" ht="18" customHeight="1">
      <x:c r="A61" s="24" t="str">
        <x:v>EEZ_891</x:v>
      </x:c>
      <x:c r="B61" s="24" t="str">
        <x:v>Montenegro</x:v>
      </x:c>
      <x:c r="C61" s="24" t="str">
        <x:v>EEZ</x:v>
      </x:c>
      <x:c r="D61" s="30" t="n">
        <x:v>2019</x:v>
      </x:c>
      <x:c r="E61" s="24" t="str">
        <x:v>Belone belone</x:v>
      </x:c>
      <x:c r="F61" s="24" t="str">
        <x:v>Garfish</x:v>
      </x:c>
      <x:c r="G61" s="24" t="str">
        <x:v>Medium pelagics (30 - 89 cm)</x:v>
      </x:c>
      <x:c r="H61" s="24" t="str">
        <x:v>Other fishes &amp; inverts</x:v>
      </x:c>
      <x:c r="I61" s="31" t="n">
        <x:v>0.6671590851</x:v>
      </x:c>
      <x:c r="J61" s="31" t="n">
        <x:v>0.6291903281</x:v>
      </x:c>
      <x:c r="K61" s="31" t="n">
        <x:v>0.037968757</x:v>
      </x:c>
      <x:c r="L61" s="31" t="n">
        <x:v>0.5820162811</x:v>
      </x:c>
      <x:c r="M61" s="31" t="n">
        <x:v>0.085142804</x:v>
      </x:c>
      <x:c r="N61" s="24" t="str">
        <x:v>belone belone</x:v>
      </x:c>
      <x:c r="O61" s="32" t="n">
        <x:v>4.16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Belone belone</x:v>
      </x:c>
      <x:c r="T61" s="32" t="n">
        <x:f>IF(O61="","",(1/'Metadata'!$B$5)^(O61-1))</x:f>
        <x:v>1445.439770745928</x:v>
      </x:c>
      <x:c r="U61" s="31" t="n">
        <x:f>IF(T61="","",I61*T61)</x:f>
        <x:v>964.338275018007</x:v>
      </x:c>
    </x:row>
    <x:row r="62" ht="18" customHeight="1">
      <x:c r="A62" s="24" t="str">
        <x:v>EEZ_891</x:v>
      </x:c>
      <x:c r="B62" s="24" t="str">
        <x:v>Montenegro</x:v>
      </x:c>
      <x:c r="C62" s="24" t="str">
        <x:v>EEZ</x:v>
      </x:c>
      <x:c r="D62" s="30" t="n">
        <x:v>2019</x:v>
      </x:c>
      <x:c r="E62" s="24" t="str">
        <x:v>Trachurus</x:v>
      </x:c>
      <x:c r="F62" s="24" t="str">
        <x:v>Jacks, horse mackerels</x:v>
      </x:c>
      <x:c r="G62" s="24" t="str">
        <x:v>Medium pelagics (30 - 89 cm)</x:v>
      </x:c>
      <x:c r="H62" s="24" t="str">
        <x:v>Perch-likes</x:v>
      </x:c>
      <x:c r="I62" s="31" t="n">
        <x:v>0.611748426</x:v>
      </x:c>
      <x:c r="J62" s="31" t="n">
        <x:v>0.488151919</x:v>
      </x:c>
      <x:c r="K62" s="31" t="n">
        <x:v>0.123596507</x:v>
      </x:c>
      <x:c r="L62" s="31" t="n">
        <x:v>0</x:v>
      </x:c>
      <x:c r="M62" s="31" t="n">
        <x:v>0.611748426</x:v>
      </x:c>
      <x:c r="N62" s="24" t="str">
        <x:v>trachurus</x:v>
      </x:c>
      <x:c r="O62" s="32" t="n">
        <x:v>3.69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Trachurus</x:v>
      </x:c>
      <x:c r="T62" s="32" t="n">
        <x:f>IF(O62="","",(1/'Metadata'!$B$5)^(O62-1))</x:f>
        <x:v>489.77881936844614</x:v>
      </x:c>
      <x:c r="U62" s="31" t="n">
        <x:f>IF(T62="","",I62*T62)</x:f>
        <x:v>299.62142183678526</x:v>
      </x:c>
    </x:row>
    <x:row r="63" ht="18" customHeight="1">
      <x:c r="A63" s="24" t="str">
        <x:v>EEZ_891</x:v>
      </x:c>
      <x:c r="B63" s="24" t="str">
        <x:v>Montenegro</x:v>
      </x:c>
      <x:c r="C63" s="24" t="str">
        <x:v>EEZ</x:v>
      </x:c>
      <x:c r="D63" s="30" t="n">
        <x:v>2019</x:v>
      </x:c>
      <x:c r="E63" s="24" t="str">
        <x:v>Euthynnus alletteratus</x:v>
      </x:c>
      <x:c r="F63" s="24" t="str">
        <x:v>Little tunny </x:v>
      </x:c>
      <x:c r="G63" s="24" t="str">
        <x:v>Large pelagics (&gt;=90 cm)</x:v>
      </x:c>
      <x:c r="H63" s="24" t="str">
        <x:v>Tuna &amp; billfishes</x:v>
      </x:c>
      <x:c r="I63" s="31" t="n">
        <x:v>0.47202303</x:v>
      </x:c>
      <x:c r="J63" s="31" t="n">
        <x:v>0.166614776</x:v>
      </x:c>
      <x:c r="K63" s="31" t="n">
        <x:v>0.305408254</x:v>
      </x:c>
      <x:c r="L63" s="31" t="n">
        <x:v>0.166529876</x:v>
      </x:c>
      <x:c r="M63" s="31" t="n">
        <x:v>0.305493154</x:v>
      </x:c>
      <x:c r="N63" s="24" t="str">
        <x:v>euthynnus alletteratus</x:v>
      </x:c>
      <x:c r="O63" s="32" t="n">
        <x:v>4.49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Euthynnus alletteratus</x:v>
      </x:c>
      <x:c r="T63" s="32" t="n">
        <x:f>IF(O63="","",(1/'Metadata'!$B$5)^(O63-1))</x:f>
        <x:v>3090.295432513592</x:v>
      </x:c>
      <x:c r="U63" s="31" t="n">
        <x:f>IF(T63="","",I63*T63)</x:f>
        <x:v>1458.6906136502262</x:v>
      </x:c>
    </x:row>
    <x:row r="64" ht="18" customHeight="1">
      <x:c r="A64" s="24" t="str">
        <x:v>EEZ_891</x:v>
      </x:c>
      <x:c r="B64" s="24" t="str">
        <x:v>Montenegro</x:v>
      </x:c>
      <x:c r="C64" s="24" t="str">
        <x:v>EEZ</x:v>
      </x:c>
      <x:c r="D64" s="30" t="n">
        <x:v>2019</x:v>
      </x:c>
      <x:c r="E64" s="24" t="str">
        <x:v>Thunnus thynnus</x:v>
      </x:c>
      <x:c r="F64" s="24" t="str">
        <x:v>Atlantic bluefin tuna</x:v>
      </x:c>
      <x:c r="G64" s="24" t="str">
        <x:v>Large pelagics (&gt;=90 cm)</x:v>
      </x:c>
      <x:c r="H64" s="24" t="str">
        <x:v>Tuna &amp; billfishes</x:v>
      </x:c>
      <x:c r="I64" s="31" t="n">
        <x:v>0.40671417899999995</x:v>
      </x:c>
      <x:c r="J64" s="31" t="n">
        <x:v>0.146249129</x:v>
      </x:c>
      <x:c r="K64" s="31" t="n">
        <x:v>0.26046505</x:v>
      </x:c>
      <x:c r="L64" s="31" t="n">
        <x:v>0.142023708</x:v>
      </x:c>
      <x:c r="M64" s="31" t="n">
        <x:v>0.264690471</x:v>
      </x:c>
      <x:c r="N64" s="24" t="str">
        <x:v>thunnus thynnus</x:v>
      </x:c>
      <x:c r="O64" s="32" t="n">
        <x:v>4.45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Thunnus thynnus</x:v>
      </x:c>
      <x:c r="T64" s="32" t="n">
        <x:f>IF(O64="","",(1/'Metadata'!$B$5)^(O64-1))</x:f>
        <x:v>2818.382931264455</x:v>
      </x:c>
      <x:c r="U64" s="31" t="n">
        <x:f>IF(T64="","",I64*T64)</x:f>
        <x:v>1146.276299996836</x:v>
      </x:c>
    </x:row>
    <x:row r="65" ht="18" customHeight="1">
      <x:c r="A65" s="24" t="str">
        <x:v>EEZ_891</x:v>
      </x:c>
      <x:c r="B65" s="24" t="str">
        <x:v>Montenegro</x:v>
      </x:c>
      <x:c r="C65" s="24" t="str">
        <x:v>EEZ</x:v>
      </x:c>
      <x:c r="D65" s="30" t="n">
        <x:v>2019</x:v>
      </x:c>
      <x:c r="E65" s="24" t="str">
        <x:v>Xiphias gladius</x:v>
      </x:c>
      <x:c r="F65" s="24" t="str">
        <x:v>Swordfish</x:v>
      </x:c>
      <x:c r="G65" s="24" t="str">
        <x:v>Large pelagics (&gt;=90 cm)</x:v>
      </x:c>
      <x:c r="H65" s="24" t="str">
        <x:v>Tuna &amp; billfishes</x:v>
      </x:c>
      <x:c r="I65" s="31" t="n">
        <x:v>0.2863935373</x:v>
      </x:c>
      <x:c r="J65" s="31" t="n">
        <x:v>0.2863935373</x:v>
      </x:c>
      <x:c r="K65" s="31" t="n">
        <x:v>0</x:v>
      </x:c>
      <x:c r="L65" s="31" t="n">
        <x:v>0.2863935373</x:v>
      </x:c>
      <x:c r="M65" s="31" t="n">
        <x:v>0</x:v>
      </x:c>
      <x:c r="N65" s="24" t="str">
        <x:v>xiphias gladius</x:v>
      </x:c>
      <x:c r="O65" s="32" t="n">
        <x:v>4.53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Xiphias gladius</x:v>
      </x:c>
      <x:c r="T65" s="32" t="n">
        <x:f>IF(O65="","",(1/'Metadata'!$B$5)^(O65-1))</x:f>
        <x:v>3388.4415613920273</x:v>
      </x:c>
      <x:c r="U65" s="31" t="n">
        <x:f>IF(T65="","",I65*T65)</x:f>
        <x:v>970.4277647013978</x:v>
      </x:c>
    </x:row>
    <x:row r="66" ht="18" customHeight="1">
      <x:c r="A66" s="24" t="str">
        <x:v>EEZ_891</x:v>
      </x:c>
      <x:c r="B66" s="24" t="str">
        <x:v>Montenegro</x:v>
      </x:c>
      <x:c r="C66" s="24" t="str">
        <x:v>EEZ</x:v>
      </x:c>
      <x:c r="D66" s="30" t="n">
        <x:v>2019</x:v>
      </x:c>
      <x:c r="E66" s="24" t="str">
        <x:v>Palinuridae</x:v>
      </x:c>
      <x:c r="F66" s="24" t="str">
        <x:v>Spiny lobsters</x:v>
      </x:c>
      <x:c r="G66" s="24" t="str">
        <x:v>Lobsters, crabs</x:v>
      </x:c>
      <x:c r="H66" s="24" t="str">
        <x:v>Crustaceans</x:v>
      </x:c>
      <x:c r="I66" s="31" t="n">
        <x:v>0.266270094</x:v>
      </x:c>
      <x:c r="J66" s="31" t="n">
        <x:v>0.122903983</x:v>
      </x:c>
      <x:c r="K66" s="31" t="n">
        <x:v>0.143366111</x:v>
      </x:c>
      <x:c r="L66" s="31" t="n">
        <x:v>0</x:v>
      </x:c>
      <x:c r="M66" s="31" t="n">
        <x:v>0.266270094</x:v>
      </x:c>
      <x:c r="N66" s="24" t="str">
        <x:v>palinuridae</x:v>
      </x:c>
      <x:c r="O66" s="32" t="n">
        <x:v>3.14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Palinuridae</x:v>
      </x:c>
      <x:c r="T66" s="32" t="n">
        <x:f>IF(O66="","",(1/'Metadata'!$B$5)^(O66-1))</x:f>
        <x:v>138.03842646028852</x:v>
      </x:c>
      <x:c r="U66" s="31" t="n">
        <x:f>IF(T66="","",I66*T66)</x:f>
        <x:v>36.75550478919311</x:v>
      </x:c>
    </x:row>
    <x:row r="67" ht="18" customHeight="1">
      <x:c r="A67" s="24" t="str">
        <x:v>EEZ_891</x:v>
      </x:c>
      <x:c r="B67" s="24" t="str">
        <x:v>Montenegro</x:v>
      </x:c>
      <x:c r="C67" s="24" t="str">
        <x:v>EEZ</x:v>
      </x:c>
      <x:c r="D67" s="30" t="n">
        <x:v>2019</x:v>
      </x:c>
      <x:c r="E67" s="24" t="str">
        <x:v>Scorpaena scrofa</x:v>
      </x:c>
      <x:c r="F67" s="24" t="str">
        <x:v>Red scorpionfish</x:v>
      </x:c>
      <x:c r="G67" s="24" t="str">
        <x:v>Medium demersals (30 - 89 cm)</x:v>
      </x:c>
      <x:c r="H67" s="24" t="str">
        <x:v>Scorpionfishes</x:v>
      </x:c>
      <x:c r="I67" s="31" t="n">
        <x:v>0.062121528</x:v>
      </x:c>
      <x:c r="J67" s="31" t="n">
        <x:v>0.035453057</x:v>
      </x:c>
      <x:c r="K67" s="31" t="n">
        <x:v>0.026668471</x:v>
      </x:c>
      <x:c r="L67" s="31" t="n">
        <x:v>0</x:v>
      </x:c>
      <x:c r="M67" s="31" t="n">
        <x:v>0.062121528</x:v>
      </x:c>
      <x:c r="N67" s="24" t="str">
        <x:v>scorpaena scrofa</x:v>
      </x:c>
      <x:c r="O67" s="32" t="n">
        <x:v>4.25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Scorpaena scrofa</x:v>
      </x:c>
      <x:c r="T67" s="32" t="n">
        <x:f>IF(O67="","",(1/'Metadata'!$B$5)^(O67-1))</x:f>
        <x:v>1778.2794100389228</x:v>
      </x:c>
      <x:c r="U67" s="31" t="n">
        <x:f>IF(T67="","",I67*T67)</x:f>
        <x:v>110.46943416255642</x:v>
      </x:c>
    </x:row>
    <x:row r="68" ht="18" customHeight="1">
      <x:c r="A68" s="24" t="str">
        <x:v>EEZ_891</x:v>
      </x:c>
      <x:c r="B68" s="24" t="str">
        <x:v>Montenegro</x:v>
      </x:c>
      <x:c r="C68" s="24" t="str">
        <x:v>EEZ</x:v>
      </x:c>
      <x:c r="D68" s="30" t="n">
        <x:v>2019</x:v>
      </x:c>
      <x:c r="E68" s="24" t="str">
        <x:v>Belonidae</x:v>
      </x:c>
      <x:c r="F68" s="24" t="str">
        <x:v>Needlefishes, garfishes</x:v>
      </x:c>
      <x:c r="G68" s="24" t="str">
        <x:v>Medium pelagics (30 - 89 cm)</x:v>
      </x:c>
      <x:c r="H68" s="24" t="str">
        <x:v>Other fishes &amp; inverts</x:v>
      </x:c>
      <x:c r="I68" s="31" t="n">
        <x:v>0.057452157000000004</x:v>
      </x:c>
      <x:c r="J68" s="31" t="n">
        <x:v>0.057452157000000004</x:v>
      </x:c>
      <x:c r="K68" s="31" t="n">
        <x:v>0</x:v>
      </x:c>
      <x:c r="L68" s="31" t="n">
        <x:v>0</x:v>
      </x:c>
      <x:c r="M68" s="31" t="n">
        <x:v>0.057452157000000004</x:v>
      </x:c>
      <x:c r="N68" s="24" t="str">
        <x:v>belonidae</x:v>
      </x:c>
      <x:c r="O68" s="32" t="n">
        <x:v>4.38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Belonidae</x:v>
      </x:c>
      <x:c r="T68" s="32" t="n">
        <x:f>IF(O68="","",(1/'Metadata'!$B$5)^(O68-1))</x:f>
        <x:v>2398.83291901949</x:v>
      </x:c>
      <x:c r="U68" s="31" t="n">
        <x:f>IF(T68="","",I68*T68)</x:f>
        <x:v>137.81812548027602</x:v>
      </x:c>
    </x:row>
    <x:row r="69" ht="18" customHeight="1">
      <x:c r="A69" s="24" t="str">
        <x:v>EEZ_891</x:v>
      </x:c>
      <x:c r="B69" s="24" t="str">
        <x:v>Montenegro</x:v>
      </x:c>
      <x:c r="C69" s="24" t="str">
        <x:v>EEZ</x:v>
      </x:c>
      <x:c r="D69" s="30" t="n">
        <x:v>2019</x:v>
      </x:c>
      <x:c r="E69" s="24" t="str">
        <x:v>Mullus surmuletus</x:v>
      </x:c>
      <x:c r="F69" s="24" t="str">
        <x:v>Surmullet</x:v>
      </x:c>
      <x:c r="G69" s="24" t="str">
        <x:v>Medium demersals (30 - 89 cm)</x:v>
      </x:c>
      <x:c r="H69" s="24" t="str">
        <x:v>Perch-likes</x:v>
      </x:c>
      <x:c r="I69" s="31" t="n">
        <x:v>0.047126675</x:v>
      </x:c>
      <x:c r="J69" s="31" t="n">
        <x:v>0.026895422</x:v>
      </x:c>
      <x:c r="K69" s="31" t="n">
        <x:v>0.020231253</x:v>
      </x:c>
      <x:c r="L69" s="31" t="n">
        <x:v>0</x:v>
      </x:c>
      <x:c r="M69" s="31" t="n">
        <x:v>0.047126675</x:v>
      </x:c>
      <x:c r="N69" s="24" t="str">
        <x:v>mullus surmuletus</x:v>
      </x:c>
      <x:c r="O69" s="32" t="n">
        <x:v>3.45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Mullus surmuletus</x:v>
      </x:c>
      <x:c r="T69" s="32" t="n">
        <x:f>IF(O69="","",(1/'Metadata'!$B$5)^(O69-1))</x:f>
        <x:v>281.8382931264455</x:v>
      </x:c>
      <x:c r="U69" s="31" t="n">
        <x:f>IF(T69="","",I69*T69)</x:f>
        <x:v>13.28210164272473</x:v>
      </x:c>
    </x:row>
    <x:row r="70" ht="18" customHeight="1">
      <x:c r="A70" s="24" t="str">
        <x:v>EEZ_891</x:v>
      </x:c>
      <x:c r="B70" s="24" t="str">
        <x:v>Montenegro</x:v>
      </x:c>
      <x:c r="C70" s="24" t="str">
        <x:v>EEZ</x:v>
      </x:c>
      <x:c r="D70" s="30" t="n">
        <x:v>2019</x:v>
      </x:c>
      <x:c r="E70" s="24" t="str">
        <x:v>Palinurus elephas</x:v>
      </x:c>
      <x:c r="F70" s="24" t="str">
        <x:v>Common spiny lobster</x:v>
      </x:c>
      <x:c r="G70" s="24" t="str">
        <x:v>Lobsters, crabs</x:v>
      </x:c>
      <x:c r="H70" s="24" t="str">
        <x:v>Crustaceans</x:v>
      </x:c>
      <x:c r="I70" s="31" t="n">
        <x:v>0.036201856</x:v>
      </x:c>
      <x:c r="J70" s="31" t="n">
        <x:v>0.020660575</x:v>
      </x:c>
      <x:c r="K70" s="31" t="n">
        <x:v>0.015541281</x:v>
      </x:c>
      <x:c r="L70" s="31" t="n">
        <x:v>0</x:v>
      </x:c>
      <x:c r="M70" s="31" t="n">
        <x:v>0.036201856</x:v>
      </x:c>
      <x:c r="N70" s="24" t="str">
        <x:v>palinurus elephas</x:v>
      </x:c>
      <x:c r="O70" s="32" t="n">
        <x:v>3.34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Palinurus elephas</x:v>
      </x:c>
      <x:c r="T70" s="32" t="n">
        <x:f>IF(O70="","",(1/'Metadata'!$B$5)^(O70-1))</x:f>
        <x:v>218.77616239495518</x:v>
      </x:c>
      <x:c r="U70" s="31" t="n">
        <x:f>IF(T70="","",I70*T70)</x:f>
        <x:v>7.920103127254782</x:v>
      </x:c>
    </x:row>
    <x:row r="71" ht="18" customHeight="1">
      <x:c r="A71" s="24" t="str">
        <x:v>EEZ_891</x:v>
      </x:c>
      <x:c r="B71" s="24" t="str">
        <x:v>Montenegro</x:v>
      </x:c>
      <x:c r="C71" s="24" t="str">
        <x:v>EEZ</x:v>
      </x:c>
      <x:c r="D71" s="30" t="n">
        <x:v>2019</x:v>
      </x:c>
      <x:c r="E71" s="24" t="str">
        <x:v>Auxis rochei</x:v>
      </x:c>
      <x:c r="F71" s="24" t="str">
        <x:v>Bullet tuna</x:v>
      </x:c>
      <x:c r="G71" s="24" t="str">
        <x:v>Medium pelagics (30 - 89 cm)</x:v>
      </x:c>
      <x:c r="H71" s="24" t="str">
        <x:v>Tuna &amp; billfishes</x:v>
      </x:c>
      <x:c r="I71" s="31" t="n">
        <x:v>0.011796802</x:v>
      </x:c>
      <x:c r="J71" s="31" t="n">
        <x:v>0.009413398</x:v>
      </x:c>
      <x:c r="K71" s="31" t="n">
        <x:v>0.002383404</x:v>
      </x:c>
      <x:c r="L71" s="31" t="n">
        <x:v>0</x:v>
      </x:c>
      <x:c r="M71" s="31" t="n">
        <x:v>0.011796802</x:v>
      </x:c>
      <x:c r="N71" s="24" t="str">
        <x:v>auxis rochei</x:v>
      </x:c>
      <x:c r="O71" s="32" t="n">
        <x:v>4.13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Auxis rochei</x:v>
      </x:c>
      <x:c r="T71" s="32" t="n">
        <x:f>IF(O71="","",(1/'Metadata'!$B$5)^(O71-1))</x:f>
        <x:v>1348.9628825916532</x:v>
      </x:c>
      <x:c r="U71" s="31" t="n">
        <x:f>IF(T71="","",I71*T71)</x:f>
        <x:v>15.91344803128298</x:v>
      </x:c>
    </x:row>
  </x:sheetData>
  <x:conditionalFormatting sqref="R2:R7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07a88f26ca0497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2</x:v>
      </x:c>
      <x:c r="C2" s="33" t="n">
        <x:v>2</x:v>
      </x:c>
      <x:c r="D2" s="31" t="n">
        <x:v>287.38751886299997</x:v>
      </x:c>
      <x:c r="E2" s="31" t="n">
        <x:v>287.38751886299997</x:v>
      </x:c>
      <x:c r="F2" s="32" t="n">
        <x:v>0</x:v>
      </x:c>
      <x:c r="G2" s="34" t="n">
        <x:v>1</x:v>
      </x:c>
      <x:c r="H2" s="32" t="n">
        <x:f>IF(E2=0,"",I2/E2)</x:f>
        <x:v>139.1522342397631</x:v>
      </x:c>
      <x:c r="I2" s="31" t="n">
        <x:f>IF(C2=0,"",SUMIF('Species'!$H$2:$H$71,A2,'Species'!$U$2:$U$71))</x:f>
        <x:v>39990.615342408506</x:v>
      </x:c>
      <x:c r="J2" s="32" t="n">
        <x:v>3.141332379616641</x:v>
      </x:c>
      <x:c r="K2" s="32" t="n">
        <x:f>IF(J2="","",(1/'Metadata'!$B$5)^(J2-1))</x:f>
        <x:v>138.46256723847156</x:v>
      </x:c>
      <x:c r="L2" s="31" t="n">
        <x:f>IF(E2=0,"",E2*K2)</x:f>
        <x:v>39792.41365406565</x:v>
      </x:c>
      <x:c r="M2" s="31" t="n">
        <x:f>IF(E2=0,"",I2-L2)</x:f>
        <x:v>198.2016883428587</x:v>
      </x:c>
      <x:c r="N2" s="32" t="n">
        <x:f>IF(L2=0,"",I2/L2)</x:f>
        <x:v>1.0049808913343614</x:v>
      </x:c>
      <x:c r="O2" s="34" t="n">
        <x:f>IF(L2=0,"",M2/L2)</x:f>
        <x:v>0.004980891334361371</x:v>
      </x:c>
    </x:row>
    <x:row r="3" ht="18" customHeight="1">
      <x:c r="A3" s="24" t="str">
        <x:v>Crustaceans</x:v>
      </x:c>
      <x:c r="B3" s="33" t="n">
        <x:v>8</x:v>
      </x:c>
      <x:c r="C3" s="33" t="n">
        <x:v>8</x:v>
      </x:c>
      <x:c r="D3" s="31" t="n">
        <x:v>64.16498647</x:v>
      </x:c>
      <x:c r="E3" s="31" t="n">
        <x:v>64.16498647</x:v>
      </x:c>
      <x:c r="F3" s="32" t="n">
        <x:v>0</x:v>
      </x:c>
      <x:c r="G3" s="34" t="n">
        <x:v>1</x:v>
      </x:c>
      <x:c r="H3" s="32" t="n">
        <x:f>IF(E3=0,"",I3/E3)</x:f>
        <x:v>185.17947462866354</x:v>
      </x:c>
      <x:c r="I3" s="31" t="n">
        <x:f>IF(C3=0,"",SUMIF('Species'!$H$2:$H$71,A3,'Species'!$U$2:$U$71))</x:f>
        <x:v>11882.038484069904</x:v>
      </x:c>
      <x:c r="J3" s="32" t="n">
        <x:v>3.221872486113063</x:v>
      </x:c>
      <x:c r="K3" s="32" t="n">
        <x:f>IF(J3="","",(1/'Metadata'!$B$5)^(J3-1))</x:f>
        <x:v>166.6757761328508</x:v>
      </x:c>
      <x:c r="L3" s="31" t="n">
        <x:f>IF(E3=0,"",E3*K3)</x:f>
        <x:v>10694.748920441121</x:v>
      </x:c>
      <x:c r="M3" s="31" t="n">
        <x:f>IF(E3=0,"",I3-L3)</x:f>
        <x:v>1187.289563628783</x:v>
      </x:c>
      <x:c r="N3" s="32" t="n">
        <x:f>IF(L3=0,"",I3/L3)</x:f>
        <x:v>1.1110161231891558</x:v>
      </x:c>
      <x:c r="O3" s="34" t="n">
        <x:f>IF(L3=0,"",M3/L3)</x:f>
        <x:v>0.11101612318915585</x:v>
      </x:c>
    </x:row>
    <x:row r="4" ht="18" customHeight="1">
      <x:c r="A4" s="24" t="str">
        <x:v>Flatfishes</x:v>
      </x:c>
      <x:c r="B4" s="33" t="n">
        <x:v>2</x:v>
      </x:c>
      <x:c r="C4" s="33" t="n">
        <x:v>2</x:v>
      </x:c>
      <x:c r="D4" s="31" t="n">
        <x:v>38.575259802000005</x:v>
      </x:c>
      <x:c r="E4" s="31" t="n">
        <x:v>38.575259802000005</x:v>
      </x:c>
      <x:c r="F4" s="32" t="n">
        <x:v>0</x:v>
      </x:c>
      <x:c r="G4" s="34" t="n">
        <x:v>1</x:v>
      </x:c>
      <x:c r="H4" s="32" t="n">
        <x:f>IF(E4=0,"",I4/E4)</x:f>
        <x:v>359.0785562225289</x:v>
      </x:c>
      <x:c r="I4" s="31" t="n">
        <x:f>IF(C4=0,"",SUMIF('Species'!$H$2:$H$71,A4,'Species'!$U$2:$U$71))</x:f>
        <x:v>13851.548595611119</x:v>
      </x:c>
      <x:c r="J4" s="32" t="n">
        <x:v>3.547280835917674</x:v>
      </x:c>
      <x:c r="K4" s="32" t="n">
        <x:f>IF(J4="","",(1/'Metadata'!$B$5)^(J4-1))</x:f>
        <x:v>352.5988048606859</x:v>
      </x:c>
      <x:c r="L4" s="31" t="n">
        <x:f>IF(E4=0,"",E4*K4)</x:f>
        <x:v>13601.59050337566</x:v>
      </x:c>
      <x:c r="M4" s="31" t="n">
        <x:f>IF(E4=0,"",I4-L4)</x:f>
        <x:v>249.95809223545803</x:v>
      </x:c>
      <x:c r="N4" s="32" t="n">
        <x:f>IF(L4=0,"",I4/L4)</x:f>
        <x:v>1.0183771223059115</x:v>
      </x:c>
      <x:c r="O4" s="34" t="n">
        <x:f>IF(L4=0,"",M4/L4)</x:f>
        <x:v>0.018377122305911438</x:v>
      </x:c>
    </x:row>
    <x:row r="5" ht="18" customHeight="1">
      <x:c r="A5" s="24" t="str">
        <x:v>Herring-likes</x:v>
      </x:c>
      <x:c r="B5" s="33" t="n">
        <x:v>4</x:v>
      </x:c>
      <x:c r="C5" s="33" t="n">
        <x:v>4</x:v>
      </x:c>
      <x:c r="D5" s="31" t="n">
        <x:v>543.6242589100001</x:v>
      </x:c>
      <x:c r="E5" s="31" t="n">
        <x:v>543.6242589100001</x:v>
      </x:c>
      <x:c r="F5" s="32" t="n">
        <x:v>0</x:v>
      </x:c>
      <x:c r="G5" s="34" t="n">
        <x:v>1</x:v>
      </x:c>
      <x:c r="H5" s="32" t="n">
        <x:f>IF(E5=0,"",I5/E5)</x:f>
        <x:v>132.92485874750463</x:v>
      </x:c>
      <x:c r="I5" s="31" t="n">
        <x:f>IF(C5=0,"",SUMIF('Species'!$H$2:$H$71,A5,'Species'!$U$2:$U$71))</x:f>
        <x:v>72261.17782732865</x:v>
      </x:c>
      <x:c r="J5" s="32" t="n">
        <x:v>3.114212667507704</x:v>
      </x:c>
      <x:c r="K5" s="32" t="n">
        <x:f>IF(J5="","",(1/'Metadata'!$B$5)^(J5-1))</x:f>
        <x:v>130.08064075262297</x:v>
      </x:c>
      <x:c r="L5" s="31" t="n">
        <x:f>IF(E5=0,"",E5*K5)</x:f>
        <x:v>70714.99192768261</x:v>
      </x:c>
      <x:c r="M5" s="31" t="n">
        <x:f>IF(E5=0,"",I5-L5)</x:f>
        <x:v>1546.185899646036</x:v>
      </x:c>
      <x:c r="N5" s="32" t="n">
        <x:f>IF(L5=0,"",I5/L5)</x:f>
        <x:v>1.0218650367835331</x:v>
      </x:c>
      <x:c r="O5" s="34" t="n">
        <x:f>IF(L5=0,"",M5/L5)</x:f>
        <x:v>0.021865036783533232</x:v>
      </x:c>
    </x:row>
    <x:row r="6" ht="18" customHeight="1">
      <x:c r="A6" s="24" t="str">
        <x:v>Molluscs</x:v>
      </x:c>
      <x:c r="B6" s="33" t="n">
        <x:v>2</x:v>
      </x:c>
      <x:c r="C6" s="33" t="n">
        <x:v>2</x:v>
      </x:c>
      <x:c r="D6" s="31" t="n">
        <x:v>58.560043115</x:v>
      </x:c>
      <x:c r="E6" s="31" t="n">
        <x:v>58.560043115</x:v>
      </x:c>
      <x:c r="F6" s="32" t="n">
        <x:v>0</x:v>
      </x:c>
      <x:c r="G6" s="34" t="n">
        <x:v>1</x:v>
      </x:c>
      <x:c r="H6" s="32" t="n">
        <x:f>IF(E6=0,"",I6/E6)</x:f>
        <x:v>11.98705860005372</x:v>
      </x:c>
      <x:c r="I6" s="31" t="n">
        <x:f>IF(C6=0,"",SUMIF('Species'!$H$2:$H$71,A6,'Species'!$U$2:$U$71))</x:f>
        <x:v>701.9626684411774</x:v>
      </x:c>
      <x:c r="J6" s="32" t="n">
        <x:v>2.076742509987136</x:v>
      </x:c>
      <x:c r="K6" s="32" t="n">
        <x:f>IF(J6="","",(1/'Metadata'!$B$5)^(J6-1))</x:f>
        <x:v>11.932804074896852</x:v>
      </x:c>
      <x:c r="L6" s="31" t="n">
        <x:f>IF(E6=0,"",E6*K6)</x:f>
        <x:v>698.7855211088073</x:v>
      </x:c>
      <x:c r="M6" s="31" t="n">
        <x:f>IF(E6=0,"",I6-L6)</x:f>
        <x:v>3.1771473323700548</x:v>
      </x:c>
      <x:c r="N6" s="32" t="n">
        <x:f>IF(L6=0,"",I6/L6)</x:f>
        <x:v>1.004546670239144</x:v>
      </x:c>
      <x:c r="O6" s="34" t="n">
        <x:f>IF(L6=0,"",M6/L6)</x:f>
        <x:v>0.00454667023914387</x:v>
      </x:c>
    </x:row>
    <x:row r="7" ht="18" customHeight="1">
      <x:c r="A7" s="24" t="str">
        <x:v>Other fishes &amp; inverts</x:v>
      </x:c>
      <x:c r="B7" s="33" t="n">
        <x:v>12</x:v>
      </x:c>
      <x:c r="C7" s="33" t="n">
        <x:v>12</x:v>
      </x:c>
      <x:c r="D7" s="31" t="n">
        <x:v>372.99474812159997</x:v>
      </x:c>
      <x:c r="E7" s="31" t="n">
        <x:v>372.99474812159997</x:v>
      </x:c>
      <x:c r="F7" s="32" t="n">
        <x:v>0</x:v>
      </x:c>
      <x:c r="G7" s="34" t="n">
        <x:v>1</x:v>
      </x:c>
      <x:c r="H7" s="32" t="n">
        <x:f>IF(E7=0,"",I7/E7)</x:f>
        <x:v>467.4972161320179</x:v>
      </x:c>
      <x:c r="I7" s="31" t="n">
        <x:f>IF(C7=0,"",SUMIF('Species'!$H$2:$H$71,A7,'Species'!$U$2:$U$71))</x:f>
        <x:v>174374.0063787112</x:v>
      </x:c>
      <x:c r="J7" s="32" t="n">
        <x:v>3.4495707278710226</x:v>
      </x:c>
      <x:c r="K7" s="32" t="n">
        <x:f>IF(J7="","",(1/'Metadata'!$B$5)^(J7-1))</x:f>
        <x:v>281.5598517560129</x:v>
      </x:c>
      <x:c r="L7" s="31" t="n">
        <x:f>IF(E7=0,"",E7*K7)</x:f>
        <x:v>105020.34598688906</x:v>
      </x:c>
      <x:c r="M7" s="31" t="n">
        <x:f>IF(E7=0,"",I7-L7)</x:f>
        <x:v>69353.66039182214</x:v>
      </x:c>
      <x:c r="N7" s="32" t="n">
        <x:f>IF(L7=0,"",I7/L7)</x:f>
        <x:v>1.6603830880587689</x:v>
      </x:c>
      <x:c r="O7" s="34" t="n">
        <x:f>IF(L7=0,"",M7/L7)</x:f>
        <x:v>0.6603830880587689</x:v>
      </x:c>
    </x:row>
    <x:row r="8" ht="18" customHeight="1">
      <x:c r="A8" s="24" t="str">
        <x:v>Perch-likes</x:v>
      </x:c>
      <x:c r="B8" s="33" t="n">
        <x:v>24</x:v>
      </x:c>
      <x:c r="C8" s="33" t="n">
        <x:v>24</x:v>
      </x:c>
      <x:c r="D8" s="31" t="n">
        <x:v>270.8322542662</x:v>
      </x:c>
      <x:c r="E8" s="31" t="n">
        <x:v>270.8322542662</x:v>
      </x:c>
      <x:c r="F8" s="32" t="n">
        <x:v>0</x:v>
      </x:c>
      <x:c r="G8" s="34" t="n">
        <x:v>1</x:v>
      </x:c>
      <x:c r="H8" s="32" t="n">
        <x:f>IF(E8=0,"",I8/E8)</x:f>
        <x:v>571.8905289615037</x:v>
      </x:c>
      <x:c r="I8" s="31" t="n">
        <x:f>IF(C8=0,"",SUMIF('Species'!$H$2:$H$71,A8,'Species'!$U$2:$U$71))</x:f>
        <x:v>154886.4011521336</x:v>
      </x:c>
      <x:c r="J8" s="32" t="n">
        <x:v>3.3959071306623163</x:v>
      </x:c>
      <x:c r="K8" s="32" t="n">
        <x:f>IF(J8="","",(1/'Metadata'!$B$5)^(J8-1))</x:f>
        <x:v>248.8325159047471</x:v>
      </x:c>
      <x:c r="L8" s="31" t="n">
        <x:f>IF(E8=0,"",E8*K8)</x:f>
        <x:v>67391.87121721273</x:v>
      </x:c>
      <x:c r="M8" s="31" t="n">
        <x:f>IF(E8=0,"",I8-L8)</x:f>
        <x:v>87494.52993492087</x:v>
      </x:c>
      <x:c r="N8" s="32" t="n">
        <x:f>IF(L8=0,"",I8/L8)</x:f>
        <x:v>2.298295007314972</x:v>
      </x:c>
      <x:c r="O8" s="34" t="n">
        <x:f>IF(L8=0,"",M8/L8)</x:f>
        <x:v>1.2982950073149722</x:v>
      </x:c>
    </x:row>
    <x:row r="9" ht="18" customHeight="1">
      <x:c r="A9" s="24" t="str">
        <x:v>Scorpionfishes</x:v>
      </x:c>
      <x:c r="B9" s="33" t="n">
        <x:v>3</x:v>
      </x:c>
      <x:c r="C9" s="33" t="n">
        <x:v>3</x:v>
      </x:c>
      <x:c r="D9" s="31" t="n">
        <x:v>7.30774233</x:v>
      </x:c>
      <x:c r="E9" s="31" t="n">
        <x:v>7.30774233</x:v>
      </x:c>
      <x:c r="F9" s="32" t="n">
        <x:v>0</x:v>
      </x:c>
      <x:c r="G9" s="34" t="n">
        <x:v>1</x:v>
      </x:c>
      <x:c r="H9" s="32" t="n">
        <x:f>IF(E9=0,"",I9/E9)</x:f>
        <x:v>827.4321279486439</x:v>
      </x:c>
      <x:c r="I9" s="31" t="n">
        <x:f>IF(C9=0,"",SUMIF('Species'!$H$2:$H$71,A9,'Species'!$U$2:$U$71))</x:f>
        <x:v>6046.660786612281</x:v>
      </x:c>
      <x:c r="J9" s="32" t="n">
        <x:v>3.915963199791693</x:v>
      </x:c>
      <x:c r="K9" s="32" t="n">
        <x:f>IF(J9="","",(1/'Metadata'!$B$5)^(J9-1))</x:f>
        <x:v>824.0682841248466</x:v>
      </x:c>
      <x:c r="L9" s="31" t="n">
        <x:f>IF(E9=0,"",E9*K9)</x:f>
        <x:v>6022.078682709609</x:v>
      </x:c>
      <x:c r="M9" s="31" t="n">
        <x:f>IF(E9=0,"",I9-L9)</x:f>
        <x:v>24.582103902672316</x:v>
      </x:c>
      <x:c r="N9" s="32" t="n">
        <x:f>IF(L9=0,"",I9/L9)</x:f>
        <x:v>1.004081996466312</x:v>
      </x:c>
      <x:c r="O9" s="34" t="n">
        <x:f>IF(L9=0,"",M9/L9)</x:f>
        <x:v>0.004081996466311812</x:v>
      </x:c>
    </x:row>
    <x:row r="10" ht="18" customHeight="1">
      <x:c r="A10" s="24" t="str">
        <x:v>Sharks &amp; rays</x:v>
      </x:c>
      <x:c r="B10" s="33" t="n">
        <x:v>7</x:v>
      </x:c>
      <x:c r="C10" s="33" t="n">
        <x:v>7</x:v>
      </x:c>
      <x:c r="D10" s="31" t="n">
        <x:v>24.677918758</x:v>
      </x:c>
      <x:c r="E10" s="31" t="n">
        <x:v>24.677918758</x:v>
      </x:c>
      <x:c r="F10" s="32" t="n">
        <x:v>0</x:v>
      </x:c>
      <x:c r="G10" s="34" t="n">
        <x:v>1</x:v>
      </x:c>
      <x:c r="H10" s="32" t="n">
        <x:f>IF(E10=0,"",I10/E10)</x:f>
        <x:v>453.91584597513776</x:v>
      </x:c>
      <x:c r="I10" s="31" t="n">
        <x:f>IF(C10=0,"",SUMIF('Species'!$H$2:$H$71,A10,'Species'!$U$2:$U$71))</x:f>
        <x:v>11201.698369943291</x:v>
      </x:c>
      <x:c r="J10" s="32" t="n">
        <x:v>3.6113221812361886</x:v>
      </x:c>
      <x:c r="K10" s="32" t="n">
        <x:f>IF(J10="","",(1/'Metadata'!$B$5)^(J10-1))</x:f>
        <x:v>408.6224103369585</x:v>
      </x:c>
      <x:c r="L10" s="31" t="n">
        <x:f>IF(E10=0,"",E10*K10)</x:f>
        <x:v>10083.950644993602</x:v>
      </x:c>
      <x:c r="M10" s="31" t="n">
        <x:f>IF(E10=0,"",I10-L10)</x:f>
        <x:v>1117.7477249496897</x:v>
      </x:c>
      <x:c r="N10" s="32" t="n">
        <x:f>IF(L10=0,"",I10/L10)</x:f>
        <x:v>1.1108442280510982</x:v>
      </x:c>
      <x:c r="O10" s="34" t="n">
        <x:f>IF(L10=0,"",M10/L10)</x:f>
        <x:v>0.11084422805109821</x:v>
      </x:c>
    </x:row>
    <x:row r="11" ht="18" customHeight="1">
      <x:c r="A11" s="24" t="str">
        <x:v>Tuna &amp; billfishes</x:v>
      </x:c>
      <x:c r="B11" s="33" t="n">
        <x:v>6</x:v>
      </x:c>
      <x:c r="C11" s="33" t="n">
        <x:v>6</x:v>
      </x:c>
      <x:c r="D11" s="31" t="n">
        <x:v>29.887132381299995</x:v>
      </x:c>
      <x:c r="E11" s="31" t="n">
        <x:v>29.887132381299995</x:v>
      </x:c>
      <x:c r="F11" s="32" t="n">
        <x:v>0</x:v>
      </x:c>
      <x:c r="G11" s="34" t="n">
        <x:v>1</x:v>
      </x:c>
      <x:c r="H11" s="32" t="n">
        <x:f>IF(E11=0,"",I11/E11)</x:f>
        <x:v>3026.9961060087608</x:v>
      </x:c>
      <x:c r="I11" s="31" t="n">
        <x:f>IF(C11=0,"",SUMIF('Species'!$H$2:$H$71,A11,'Species'!$U$2:$U$71))</x:f>
        <x:v>90468.23333796342</x:v>
      </x:c>
      <x:c r="J11" s="32" t="n">
        <x:v>4.475407815751809</x:v>
      </x:c>
      <x:c r="K11" s="32" t="n">
        <x:f>IF(J11="","",(1/'Metadata'!$B$5)^(J11-1))</x:f>
        <x:v>2988.1873007989116</x:v>
      </x:c>
      <x:c r="L11" s="31" t="n">
        <x:f>IF(E11=0,"",E11*K11)</x:f>
        <x:v>89308.34943909658</x:v>
      </x:c>
      <x:c r="M11" s="31" t="n">
        <x:f>IF(E11=0,"",I11-L11)</x:f>
        <x:v>1159.883898866843</x:v>
      </x:c>
      <x:c r="N11" s="32" t="n">
        <x:f>IF(L11=0,"",I11/L11)</x:f>
        <x:v>1.0129874071814284</x:v>
      </x:c>
      <x:c r="O11" s="34" t="n">
        <x:f>IF(L11=0,"",M11/L11)</x:f>
        <x:v>0.012987407181428436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5b7c6ed61044c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4</x:v>
      </x:c>
      <x:c r="C2" s="33" t="n">
        <x:v>4</x:v>
      </x:c>
      <x:c r="D2" s="31" t="n">
        <x:v>57.96297612699999</x:v>
      </x:c>
      <x:c r="E2" s="31" t="n">
        <x:v>57.96297612699999</x:v>
      </x:c>
      <x:c r="F2" s="32" t="n">
        <x:v>0</x:v>
      </x:c>
      <x:c r="G2" s="34" t="n">
        <x:v>1</x:v>
      </x:c>
      <x:c r="H2" s="32" t="n">
        <x:f>IF(E2=0,"",I2/E2)</x:f>
        <x:v>596.6961107825723</x:v>
      </x:c>
      <x:c r="I2" s="31" t="n">
        <x:f>IF(C2=0,"",SUMIF('Species'!$G$2:$G$71,A2,'Species'!$U$2:$U$71))</x:f>
        <x:v>34586.28242436398</x:v>
      </x:c>
      <x:c r="J2" s="32" t="n">
        <x:v>3.7599082002254627</x:v>
      </x:c>
      <x:c r="K2" s="32" t="n">
        <x:f>IF(J2="","",(1/'Metadata'!$B$5)^(J2-1))</x:f>
        <x:v>575.3183155434548</x:v>
      </x:c>
      <x:c r="L2" s="31" t="n">
        <x:f>IF(E2=0,"",E2*K2)</x:f>
        <x:v>33347.161789271115</x:v>
      </x:c>
      <x:c r="M2" s="31" t="n">
        <x:f>IF(E2=0,"",I2-L2)</x:f>
        <x:v>1239.1206350928624</x:v>
      </x:c>
      <x:c r="N2" s="32" t="n">
        <x:f>IF(L2=0,"",I2/L2)</x:f>
        <x:v>1.037158203835252</x:v>
      </x:c>
      <x:c r="O2" s="34" t="n">
        <x:f>IF(L2=0,"",M2/L2)</x:f>
        <x:v>0.037158203835251986</x:v>
      </x:c>
    </x:row>
    <x:row r="3" ht="18" customHeight="1">
      <x:c r="A3" s="24" t="str">
        <x:v>Large benthopelagics (&gt;=90 cm)</x:v>
      </x:c>
      <x:c r="B3" s="33" t="n">
        <x:v>2</x:v>
      </x:c>
      <x:c r="C3" s="33" t="n">
        <x:v>2</x:v>
      </x:c>
      <x:c r="D3" s="31" t="n">
        <x:v>31.557038376199998</x:v>
      </x:c>
      <x:c r="E3" s="31" t="n">
        <x:v>31.557038376199998</x:v>
      </x:c>
      <x:c r="F3" s="32" t="n">
        <x:v>0</x:v>
      </x:c>
      <x:c r="G3" s="34" t="n">
        <x:v>1</x:v>
      </x:c>
      <x:c r="H3" s="32" t="n">
        <x:f>IF(E3=0,"",I3/E3)</x:f>
        <x:v>664.1887379800766</x:v>
      </x:c>
      <x:c r="I3" s="31" t="n">
        <x:f>IF(C3=0,"",SUMIF('Species'!$G$2:$G$71,A3,'Species'!$U$2:$U$71))</x:f>
        <x:v>20959.829493477122</x:v>
      </x:c>
      <x:c r="J3" s="32" t="n">
        <x:v>2.6006183031777383</x:v>
      </x:c>
      <x:c r="K3" s="32" t="n">
        <x:f>IF(J3="","",(1/'Metadata'!$B$5)^(J3-1))</x:f>
        <x:v>39.86743576675146</x:v>
      </x:c>
      <x:c r="L3" s="31" t="n">
        <x:f>IF(E3=0,"",E3*K3)</x:f>
        <x:v>1258.0982004520642</x:v>
      </x:c>
      <x:c r="M3" s="31" t="n">
        <x:f>IF(E3=0,"",I3-L3)</x:f>
        <x:v>19701.73129302506</x:v>
      </x:c>
      <x:c r="N3" s="32" t="n">
        <x:f>IF(L3=0,"",I3/L3)</x:f>
        <x:v>16.65993122472138</x:v>
      </x:c>
      <x:c r="O3" s="34" t="n">
        <x:f>IF(L3=0,"",M3/L3)</x:f>
        <x:v>15.65993122472138</x:v>
      </x:c>
    </x:row>
    <x:row r="4" ht="18" customHeight="1">
      <x:c r="A4" s="24" t="str">
        <x:v>Large demersals (&gt;=90 cm)</x:v>
      </x:c>
      <x:c r="B4" s="33" t="n">
        <x:v>2</x:v>
      </x:c>
      <x:c r="C4" s="33" t="n">
        <x:v>2</x:v>
      </x:c>
      <x:c r="D4" s="31" t="n">
        <x:v>7.840549234</x:v>
      </x:c>
      <x:c r="E4" s="31" t="n">
        <x:v>7.840549234</x:v>
      </x:c>
      <x:c r="F4" s="32" t="n">
        <x:v>0</x:v>
      </x:c>
      <x:c r="G4" s="34" t="n">
        <x:v>1</x:v>
      </x:c>
      <x:c r="H4" s="32" t="n">
        <x:f>IF(E4=0,"",I4/E4)</x:f>
        <x:v>1800.3057522619124</x:v>
      </x:c>
      <x:c r="I4" s="31" t="n">
        <x:f>IF(C4=0,"",SUMIF('Species'!$G$2:$G$71,A4,'Species'!$U$2:$U$71))</x:f>
        <x:v>14115.38588686293</x:v>
      </x:c>
      <x:c r="J4" s="32" t="n">
        <x:v>4.201229002720653</x:v>
      </x:c>
      <x:c r="K4" s="32" t="n">
        <x:f>IF(J4="","",(1/'Metadata'!$B$5)^(J4-1))</x:f>
        <x:v>1589.3846074010032</x:v>
      </x:c>
      <x:c r="L4" s="31" t="n">
        <x:f>IF(E4=0,"",E4*K4)</x:f>
        <x:v>12461.648266089327</x:v>
      </x:c>
      <x:c r="M4" s="31" t="n">
        <x:f>IF(E4=0,"",I4-L4)</x:f>
        <x:v>1653.7376207736033</x:v>
      </x:c>
      <x:c r="N4" s="32" t="n">
        <x:f>IF(L4=0,"",I4/L4)</x:f>
        <x:v>1.1327061706013448</x:v>
      </x:c>
      <x:c r="O4" s="34" t="n">
        <x:f>IF(L4=0,"",M4/L4)</x:f>
        <x:v>0.13270617060134485</x:v>
      </x:c>
    </x:row>
    <x:row r="5" ht="18" customHeight="1">
      <x:c r="A5" s="24" t="str">
        <x:v>Large pelagics (&gt;=90 cm)</x:v>
      </x:c>
      <x:c r="B5" s="33" t="n">
        <x:v>4</x:v>
      </x:c>
      <x:c r="C5" s="33" t="n">
        <x:v>4</x:v>
      </x:c>
      <x:c r="D5" s="31" t="n">
        <x:v>4.1651307463</x:v>
      </x:c>
      <x:c r="E5" s="31" t="n">
        <x:v>4.1651307463</x:v>
      </x:c>
      <x:c r="F5" s="32" t="n">
        <x:v>0</x:v>
      </x:c>
      <x:c r="G5" s="34" t="n">
        <x:v>1</x:v>
      </x:c>
      <x:c r="H5" s="32" t="n">
        <x:f>IF(E5=0,"",I5/E5)</x:f>
        <x:v>2667.636299952279</x:v>
      </x:c>
      <x:c r="I5" s="31" t="n">
        <x:f>IF(C5=0,"",SUMIF('Species'!$G$2:$G$71,A5,'Species'!$U$2:$U$71))</x:f>
        <x:v>11111.053972877206</x:v>
      </x:c>
      <x:c r="J5" s="32" t="n">
        <x:v>4.42402060045483</x:v>
      </x:c>
      <x:c r="K5" s="32" t="n">
        <x:f>IF(J5="","",(1/'Metadata'!$B$5)^(J5-1))</x:f>
        <x:v>2654.7314843191775</x:v>
      </x:c>
      <x:c r="L5" s="31" t="n">
        <x:f>IF(E5=0,"",E5*K5)</x:f>
        <x:v>11057.303728508443</x:v>
      </x:c>
      <x:c r="M5" s="31" t="n">
        <x:f>IF(E5=0,"",I5-L5)</x:f>
        <x:v>53.75024436876265</x:v>
      </x:c>
      <x:c r="N5" s="32" t="n">
        <x:f>IF(L5=0,"",I5/L5)</x:f>
        <x:v>1.00486106248761</x:v>
      </x:c>
      <x:c r="O5" s="34" t="n">
        <x:f>IF(L5=0,"",M5/L5)</x:f>
        <x:v>0.004861062487610006</x:v>
      </x:c>
    </x:row>
    <x:row r="6" ht="18" customHeight="1">
      <x:c r="A6" s="24" t="str">
        <x:v>Large rays (&gt;=90 cm)</x:v>
      </x:c>
      <x:c r="B6" s="33" t="n">
        <x:v>3</x:v>
      </x:c>
      <x:c r="C6" s="33" t="n">
        <x:v>3</x:v>
      </x:c>
      <x:c r="D6" s="31" t="n">
        <x:v>6.838959379</x:v>
      </x:c>
      <x:c r="E6" s="31" t="n">
        <x:v>6.838959379</x:v>
      </x:c>
      <x:c r="F6" s="32" t="n">
        <x:v>0</x:v>
      </x:c>
      <x:c r="G6" s="34" t="n">
        <x:v>1</x:v>
      </x:c>
      <x:c r="H6" s="32" t="n">
        <x:f>IF(E6=0,"",I6/E6)</x:f>
        <x:v>390.48294598827164</x:v>
      </x:c>
      <x:c r="I6" s="31" t="n">
        <x:f>IF(C6=0,"",SUMIF('Species'!$G$2:$G$71,A6,'Species'!$U$2:$U$71))</x:f>
        <x:v>2670.4970058060408</x:v>
      </x:c>
      <x:c r="J6" s="32" t="n">
        <x:v>3.5369275021161077</x:v>
      </x:c>
      <x:c r="K6" s="32" t="n">
        <x:f>IF(J6="","",(1/'Metadata'!$B$5)^(J6-1))</x:f>
        <x:v>344.29245235007437</x:v>
      </x:c>
      <x:c r="L6" s="31" t="n">
        <x:f>IF(E6=0,"",E6*K6)</x:f>
        <x:v>2354.6020961184518</x:v>
      </x:c>
      <x:c r="M6" s="31" t="n">
        <x:f>IF(E6=0,"",I6-L6)</x:f>
        <x:v>315.894909687589</x:v>
      </x:c>
      <x:c r="N6" s="32" t="n">
        <x:f>IF(L6=0,"",I6/L6)</x:f>
        <x:v>1.1341606338533121</x:v>
      </x:c>
      <x:c r="O6" s="34" t="n">
        <x:f>IF(L6=0,"",M6/L6)</x:f>
        <x:v>0.1341606338533122</x:v>
      </x:c>
    </x:row>
    <x:row r="7" ht="18" customHeight="1">
      <x:c r="A7" s="24" t="str">
        <x:v>Large reef assoc. fish (&gt;=90 cm)</x:v>
      </x:c>
      <x:c r="B7" s="33" t="n">
        <x:v>2</x:v>
      </x:c>
      <x:c r="C7" s="33" t="n">
        <x:v>2</x:v>
      </x:c>
      <x:c r="D7" s="31" t="n">
        <x:v>17.964032721000002</x:v>
      </x:c>
      <x:c r="E7" s="31" t="n">
        <x:v>17.964032721000002</x:v>
      </x:c>
      <x:c r="F7" s="32" t="n">
        <x:v>0</x:v>
      </x:c>
      <x:c r="G7" s="34" t="n">
        <x:v>1</x:v>
      </x:c>
      <x:c r="H7" s="32" t="n">
        <x:f>IF(E7=0,"",I7/E7)</x:f>
        <x:v>2352.0193929429315</x:v>
      </x:c>
      <x:c r="I7" s="31" t="n">
        <x:f>IF(C7=0,"",SUMIF('Species'!$G$2:$G$71,A7,'Species'!$U$2:$U$71))</x:f>
        <x:v>42251.75333525339</x:v>
      </x:c>
      <x:c r="J7" s="32" t="n">
        <x:v>4.29834928373709</x:v>
      </x:c>
      <x:c r="K7" s="32" t="n">
        <x:f>IF(J7="","",(1/'Metadata'!$B$5)^(J7-1))</x:f>
        <x:v>1987.6928876724037</x:v>
      </x:c>
      <x:c r="L7" s="31" t="n">
        <x:f>IF(E7=0,"",E7*K7)</x:f>
        <x:v>35706.980073446044</x:v>
      </x:c>
      <x:c r="M7" s="31" t="n">
        <x:f>IF(E7=0,"",I7-L7)</x:f>
        <x:v>6544.773261807342</x:v>
      </x:c>
      <x:c r="N7" s="32" t="n">
        <x:f>IF(L7=0,"",I7/L7)</x:f>
        <x:v>1.1832911449902885</x:v>
      </x:c>
      <x:c r="O7" s="34" t="n">
        <x:f>IF(L7=0,"",M7/L7)</x:f>
        <x:v>0.18329114499028853</x:v>
      </x:c>
    </x:row>
    <x:row r="8" ht="18" customHeight="1">
      <x:c r="A8" s="24" t="str">
        <x:v>Large sharks (&gt;=90 cm)</x:v>
      </x:c>
      <x:c r="B8" s="33" t="n">
        <x:v>3</x:v>
      </x:c>
      <x:c r="C8" s="33" t="n">
        <x:v>3</x:v>
      </x:c>
      <x:c r="D8" s="31" t="n">
        <x:v>7.838959379</x:v>
      </x:c>
      <x:c r="E8" s="31" t="n">
        <x:v>7.838959379</x:v>
      </x:c>
      <x:c r="F8" s="32" t="n">
        <x:v>0</x:v>
      </x:c>
      <x:c r="G8" s="34" t="n">
        <x:v>1</x:v>
      </x:c>
      <x:c r="H8" s="32" t="n">
        <x:f>IF(E8=0,"",I8/E8)</x:f>
        <x:v>684.9026056126565</x:v>
      </x:c>
      <x:c r="I8" s="31" t="n">
        <x:f>IF(C8=0,"",SUMIF('Species'!$G$2:$G$71,A8,'Species'!$U$2:$U$71))</x:f>
        <x:v>5368.923703968872</x:v>
      </x:c>
      <x:c r="J8" s="32" t="n">
        <x:v>3.818237911048882</x:v>
      </x:c>
      <x:c r="K8" s="32" t="n">
        <x:f>IF(J8="","",(1/'Metadata'!$B$5)^(J8-1))</x:f>
        <x:v>658.0182078794842</x:v>
      </x:c>
      <x:c r="L8" s="31" t="n">
        <x:f>IF(E8=0,"",E8*K8)</x:f>
        <x:v>5158.178002209655</x:v>
      </x:c>
      <x:c r="M8" s="31" t="n">
        <x:f>IF(E8=0,"",I8-L8)</x:f>
        <x:v>210.7457017592178</x:v>
      </x:c>
      <x:c r="N8" s="32" t="n">
        <x:f>IF(L8=0,"",I8/L8)</x:f>
        <x:v>1.0408566167489641</x:v>
      </x:c>
      <x:c r="O8" s="34" t="n">
        <x:f>IF(L8=0,"",M8/L8)</x:f>
        <x:v>0.04085661674896423</x:v>
      </x:c>
    </x:row>
    <x:row r="9" ht="18" customHeight="1">
      <x:c r="A9" s="24" t="str">
        <x:v>Lobsters, crabs</x:v>
      </x:c>
      <x:c r="B9" s="33" t="n">
        <x:v>6</x:v>
      </x:c>
      <x:c r="C9" s="33" t="n">
        <x:v>6</x:v>
      </x:c>
      <x:c r="D9" s="31" t="n">
        <x:v>15.241463312999999</x:v>
      </x:c>
      <x:c r="E9" s="31" t="n">
        <x:v>15.241463312999999</x:v>
      </x:c>
      <x:c r="F9" s="32" t="n">
        <x:v>0</x:v>
      </x:c>
      <x:c r="G9" s="34" t="n">
        <x:v>1</x:v>
      </x:c>
      <x:c r="H9" s="32" t="n">
        <x:f>IF(E9=0,"",I9/E9)</x:f>
        <x:v>171.278303722991</x:v>
      </x:c>
      <x:c r="I9" s="31" t="n">
        <x:f>IF(C9=0,"",SUMIF('Species'!$G$2:$G$71,A9,'Species'!$U$2:$U$71))</x:f>
        <x:v>2610.5319825068386</x:v>
      </x:c>
      <x:c r="J9" s="32" t="n">
        <x:v>3.0680016772816017</x:v>
      </x:c>
      <x:c r="K9" s="32" t="n">
        <x:f>IF(J9="","",(1/'Metadata'!$B$5)^(J9-1))</x:f>
        <x:v>116.95039077330262</x:v>
      </x:c>
      <x:c r="L9" s="31" t="n">
        <x:f>IF(E9=0,"",E9*K9)</x:f>
        <x:v>1782.4950904123054</x:v>
      </x:c>
      <x:c r="M9" s="31" t="n">
        <x:f>IF(E9=0,"",I9-L9)</x:f>
        <x:v>828.0368920945332</x:v>
      </x:c>
      <x:c r="N9" s="32" t="n">
        <x:f>IF(L9=0,"",I9/L9)</x:f>
        <x:v>1.464538105349284</x:v>
      </x:c>
      <x:c r="O9" s="34" t="n">
        <x:f>IF(L9=0,"",M9/L9)</x:f>
        <x:v>0.4645381053492841</x:v>
      </x:c>
    </x:row>
    <x:row r="10" ht="18" customHeight="1">
      <x:c r="A10" s="24" t="str">
        <x:v>Medium bathydemersals (30 - 89 cm)</x:v>
      </x:c>
      <x:c r="B10" s="33" t="n">
        <x:v>1</x:v>
      </x:c>
      <x:c r="C10" s="33" t="n">
        <x:v>1</x:v>
      </x:c>
      <x:c r="D10" s="31" t="n">
        <x:v>16.999999997</x:v>
      </x:c>
      <x:c r="E10" s="31" t="n">
        <x:v>16.999999997</x:v>
      </x:c>
      <x:c r="F10" s="32" t="n">
        <x:v>0</x:v>
      </x:c>
      <x:c r="G10" s="34" t="n">
        <x:v>1</x:v>
      </x:c>
      <x:c r="H10" s="32" t="n">
        <x:f>IF(E10=0,"",I10/E10)</x:f>
        <x:v>2884.031503126606</x:v>
      </x:c>
      <x:c r="I10" s="31" t="n">
        <x:f>IF(C10=0,"",SUMIF('Species'!$G$2:$G$71,A10,'Species'!$U$2:$U$71))</x:f>
        <x:v>49028.535544500206</x:v>
      </x:c>
      <x:c r="J10" s="32" t="n">
        <x:v>4.46</x:v>
      </x:c>
      <x:c r="K10" s="32" t="n">
        <x:f>IF(J10="","",(1/'Metadata'!$B$5)^(J10-1))</x:f>
        <x:v>2884.031503126606</x:v>
      </x:c>
      <x:c r="L10" s="31" t="n">
        <x:f>IF(E10=0,"",E10*K10)</x:f>
        <x:v>49028.535544500206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Medium benthopelagics (30 - 89 cm)</x:v>
      </x:c>
      <x:c r="B11" s="33" t="n">
        <x:v>6</x:v>
      </x:c>
      <x:c r="C11" s="33" t="n">
        <x:v>6</x:v>
      </x:c>
      <x:c r="D11" s="31" t="n">
        <x:v>32.925279934</x:v>
      </x:c>
      <x:c r="E11" s="31" t="n">
        <x:v>32.925279934</x:v>
      </x:c>
      <x:c r="F11" s="32" t="n">
        <x:v>0</x:v>
      </x:c>
      <x:c r="G11" s="34" t="n">
        <x:v>1</x:v>
      </x:c>
      <x:c r="H11" s="32" t="n">
        <x:f>IF(E11=0,"",I11/E11)</x:f>
        <x:v>889.297916478202</x:v>
      </x:c>
      <x:c r="I11" s="31" t="n">
        <x:f>IF(C11=0,"",SUMIF('Species'!$G$2:$G$71,A11,'Species'!$U$2:$U$71))</x:f>
        <x:v>29280.38284476775</x:v>
      </x:c>
      <x:c r="J11" s="32" t="n">
        <x:v>3.5651926638295173</x:v>
      </x:c>
      <x:c r="K11" s="32" t="n">
        <x:f>IF(J11="","",(1/'Metadata'!$B$5)^(J11-1))</x:f>
        <x:v>367.44527220436436</x:v>
      </x:c>
      <x:c r="L11" s="31" t="n">
        <x:f>IF(E11=0,"",E11*K11)</x:f>
        <x:v>12098.238447753527</x:v>
      </x:c>
      <x:c r="M11" s="31" t="n">
        <x:f>IF(E11=0,"",I11-L11)</x:f>
        <x:v>17182.144397014225</x:v>
      </x:c>
      <x:c r="N11" s="32" t="n">
        <x:f>IF(L11=0,"",I11/L11)</x:f>
        <x:v>2.4202186930945064</x:v>
      </x:c>
      <x:c r="O11" s="34" t="n">
        <x:f>IF(L11=0,"",M11/L11)</x:f>
        <x:v>1.4202186930945064</x:v>
      </x:c>
    </x:row>
    <x:row r="12" ht="18" customHeight="1">
      <x:c r="A12" s="24" t="str">
        <x:v>Medium demersals (30 - 89 cm)</x:v>
      </x:c>
      <x:c r="B12" s="33" t="n">
        <x:v>8</x:v>
      </x:c>
      <x:c r="C12" s="33" t="n">
        <x:v>8</x:v>
      </x:c>
      <x:c r="D12" s="31" t="n">
        <x:v>333.5775742515</x:v>
      </x:c>
      <x:c r="E12" s="31" t="n">
        <x:v>333.5775742515</x:v>
      </x:c>
      <x:c r="F12" s="32" t="n">
        <x:v>0</x:v>
      </x:c>
      <x:c r="G12" s="34" t="n">
        <x:v>1</x:v>
      </x:c>
      <x:c r="H12" s="32" t="n">
        <x:f>IF(E12=0,"",I12/E12)</x:f>
        <x:v>188.97141396751468</x:v>
      </x:c>
      <x:c r="I12" s="31" t="n">
        <x:f>IF(C12=0,"",SUMIF('Species'!$G$2:$G$71,A12,'Species'!$U$2:$U$71))</x:f>
        <x:v>63036.62587415957</x:v>
      </x:c>
      <x:c r="J12" s="32" t="n">
        <x:v>3.2347412846747083</x:v>
      </x:c>
      <x:c r="K12" s="32" t="n">
        <x:f>IF(J12="","",(1/'Metadata'!$B$5)^(J12-1))</x:f>
        <x:v>171.6885309753482</x:v>
      </x:c>
      <x:c r="L12" s="31" t="n">
        <x:f>IF(E12=0,"",E12*K12)</x:f>
        <x:v>57271.44368956016</x:v>
      </x:c>
      <x:c r="M12" s="31" t="n">
        <x:f>IF(E12=0,"",I12-L12)</x:f>
        <x:v>5765.182184599405</x:v>
      </x:c>
      <x:c r="N12" s="32" t="n">
        <x:f>IF(L12=0,"",I12/L12)</x:f>
        <x:v>1.1006641672217934</x:v>
      </x:c>
      <x:c r="O12" s="34" t="n">
        <x:f>IF(L12=0,"",M12/L12)</x:f>
        <x:v>0.10066416722179335</x:v>
      </x:c>
    </x:row>
    <x:row r="13" ht="18" customHeight="1">
      <x:c r="A13" s="24" t="str">
        <x:v>Medium pelagics (30 - 89 cm)</x:v>
      </x:c>
      <x:c r="B13" s="33" t="n">
        <x:v>10</x:v>
      </x:c>
      <x:c r="C13" s="33" t="n">
        <x:v>10</x:v>
      </x:c>
      <x:c r="D13" s="31" t="n">
        <x:v>109.30549618210001</x:v>
      </x:c>
      <x:c r="E13" s="31" t="n">
        <x:v>109.30549618210001</x:v>
      </x:c>
      <x:c r="F13" s="32" t="n">
        <x:v>0</x:v>
      </x:c>
      <x:c r="G13" s="34" t="n">
        <x:v>1</x:v>
      </x:c>
      <x:c r="H13" s="32" t="n">
        <x:f>IF(E13=0,"",I13/E13)</x:f>
        <x:v>1295.696915713182</x:v>
      </x:c>
      <x:c r="I13" s="31" t="n">
        <x:f>IF(C13=0,"",SUMIF('Species'!$G$2:$G$71,A13,'Species'!$U$2:$U$71))</x:f>
        <x:v>141626.794273646</x:v>
      </x:c>
      <x:c r="J13" s="32" t="n">
        <x:v>3.9617965853870944</x:v>
      </x:c>
      <x:c r="K13" s="32" t="n">
        <x:f>IF(J13="","",(1/'Metadata'!$B$5)^(J13-1))</x:f>
        <x:v>915.7914517520569</x:v>
      </x:c>
      <x:c r="L13" s="31" t="n">
        <x:f>IF(E13=0,"",E13*K13)</x:f>
        <x:v>100101.03903308428</x:v>
      </x:c>
      <x:c r="M13" s="31" t="n">
        <x:f>IF(E13=0,"",I13-L13)</x:f>
        <x:v>41525.75524056172</x:v>
      </x:c>
      <x:c r="N13" s="32" t="n">
        <x:f>IF(L13=0,"",I13/L13)</x:f>
        <x:v>1.4148384036936628</x:v>
      </x:c>
      <x:c r="O13" s="34" t="n">
        <x:f>IF(L13=0,"",M13/L13)</x:f>
        <x:v>0.4148384036936628</x:v>
      </x:c>
    </x:row>
    <x:row r="14" ht="18" customHeight="1">
      <x:c r="A14" s="24" t="str">
        <x:v>Medium reef assoc. fish (30 - 89 cm)</x:v>
      </x:c>
      <x:c r="B14" s="33" t="n">
        <x:v>3</x:v>
      </x:c>
      <x:c r="C14" s="33" t="n">
        <x:v>3</x:v>
      </x:c>
      <x:c r="D14" s="31" t="n">
        <x:v>52.06419459299999</x:v>
      </x:c>
      <x:c r="E14" s="31" t="n">
        <x:v>52.06419459299999</x:v>
      </x:c>
      <x:c r="F14" s="32" t="n">
        <x:v>0</x:v>
      </x:c>
      <x:c r="G14" s="34" t="n">
        <x:v>1</x:v>
      </x:c>
      <x:c r="H14" s="32" t="n">
        <x:f>IF(E14=0,"",I14/E14)</x:f>
        <x:v>318.7722102241336</x:v>
      </x:c>
      <x:c r="I14" s="31" t="n">
        <x:f>IF(C14=0,"",SUMIF('Species'!$G$2:$G$71,A14,'Species'!$U$2:$U$71))</x:f>
        <x:v>16596.61838394999</x:v>
      </x:c>
      <x:c r="J14" s="32" t="n">
        <x:v>3.468353716148689</x:v>
      </x:c>
      <x:c r="K14" s="32" t="n">
        <x:f>IF(J14="","",(1/'Metadata'!$B$5)^(J14-1))</x:f>
        <x:v>294.00432292009447</x:v>
      </x:c>
      <x:c r="L14" s="31" t="n">
        <x:f>IF(E14=0,"",E14*K14)</x:f>
        <x:v>15307.098279695005</x:v>
      </x:c>
      <x:c r="M14" s="31" t="n">
        <x:f>IF(E14=0,"",I14-L14)</x:f>
        <x:v>1289.5201042549852</x:v>
      </x:c>
      <x:c r="N14" s="32" t="n">
        <x:f>IF(L14=0,"",I14/L14)</x:f>
        <x:v>1.0842432759424785</x:v>
      </x:c>
      <x:c r="O14" s="34" t="n">
        <x:f>IF(L14=0,"",M14/L14)</x:f>
        <x:v>0.08424327594247856</x:v>
      </x:c>
    </x:row>
    <x:row r="15" ht="18" customHeight="1">
      <x:c r="A15" s="24" t="str">
        <x:v>Other demersal invertebrates</x:v>
      </x:c>
      <x:c r="B15" s="33" t="n">
        <x:v>2</x:v>
      </x:c>
      <x:c r="C15" s="33" t="n">
        <x:v>2</x:v>
      </x:c>
      <x:c r="D15" s="31" t="n">
        <x:v>58.560043115</x:v>
      </x:c>
      <x:c r="E15" s="31" t="n">
        <x:v>58.560043115</x:v>
      </x:c>
      <x:c r="F15" s="32" t="n">
        <x:v>0</x:v>
      </x:c>
      <x:c r="G15" s="34" t="n">
        <x:v>1</x:v>
      </x:c>
      <x:c r="H15" s="32" t="n">
        <x:f>IF(E15=0,"",I15/E15)</x:f>
        <x:v>11.98705860005372</x:v>
      </x:c>
      <x:c r="I15" s="31" t="n">
        <x:f>IF(C15=0,"",SUMIF('Species'!$G$2:$G$71,A15,'Species'!$U$2:$U$71))</x:f>
        <x:v>701.9626684411774</x:v>
      </x:c>
      <x:c r="J15" s="32" t="n">
        <x:v>2.076742509987136</x:v>
      </x:c>
      <x:c r="K15" s="32" t="n">
        <x:f>IF(J15="","",(1/'Metadata'!$B$5)^(J15-1))</x:f>
        <x:v>11.932804074896852</x:v>
      </x:c>
      <x:c r="L15" s="31" t="n">
        <x:f>IF(E15=0,"",E15*K15)</x:f>
        <x:v>698.7855211088073</x:v>
      </x:c>
      <x:c r="M15" s="31" t="n">
        <x:f>IF(E15=0,"",I15-L15)</x:f>
        <x:v>3.1771473323700548</x:v>
      </x:c>
      <x:c r="N15" s="32" t="n">
        <x:f>IF(L15=0,"",I15/L15)</x:f>
        <x:v>1.004546670239144</x:v>
      </x:c>
      <x:c r="O15" s="34" t="n">
        <x:f>IF(L15=0,"",M15/L15)</x:f>
        <x:v>0.00454667023914387</x:v>
      </x:c>
    </x:row>
    <x:row r="16" ht="18" customHeight="1">
      <x:c r="A16" s="24" t="str">
        <x:v>Shrimps</x:v>
      </x:c>
      <x:c r="B16" s="33" t="n">
        <x:v>2</x:v>
      </x:c>
      <x:c r="C16" s="33" t="n">
        <x:v>2</x:v>
      </x:c>
      <x:c r="D16" s="31" t="n">
        <x:v>48.923523157</x:v>
      </x:c>
      <x:c r="E16" s="31" t="n">
        <x:v>48.923523157</x:v>
      </x:c>
      <x:c r="F16" s="32" t="n">
        <x:v>0</x:v>
      </x:c>
      <x:c r="G16" s="34" t="n">
        <x:v>1</x:v>
      </x:c>
      <x:c r="H16" s="32" t="n">
        <x:f>IF(E16=0,"",I16/E16)</x:f>
        <x:v>189.51019679858226</x:v>
      </x:c>
      <x:c r="I16" s="31" t="n">
        <x:f>IF(C16=0,"",SUMIF('Species'!$G$2:$G$71,A16,'Species'!$U$2:$U$71))</x:f>
        <x:v>9271.506501563066</x:v>
      </x:c>
      <x:c r="J16" s="32" t="n">
        <x:v>3.269808859792047</x:v>
      </x:c>
      <x:c r="K16" s="32" t="n">
        <x:f>IF(J16="","",(1/'Metadata'!$B$5)^(J16-1))</x:f>
        <x:v>186.12677815345916</x:v>
      </x:c>
      <x:c r="L16" s="31" t="n">
        <x:f>IF(E16=0,"",E16*K16)</x:f>
        <x:v>9105.97774112856</x:v>
      </x:c>
      <x:c r="M16" s="31" t="n">
        <x:f>IF(E16=0,"",I16-L16)</x:f>
        <x:v>165.5287604345067</x:v>
      </x:c>
      <x:c r="N16" s="32" t="n">
        <x:f>IF(L16=0,"",I16/L16)</x:f>
        <x:v>1.018178032622117</x:v>
      </x:c>
      <x:c r="O16" s="34" t="n">
        <x:f>IF(L16=0,"",M16/L16)</x:f>
        <x:v>0.018178032622117053</x:v>
      </x:c>
    </x:row>
    <x:row r="17" ht="18" customHeight="1">
      <x:c r="A17" s="24" t="str">
        <x:v>Small benthopelagics (&lt;30 cm)</x:v>
      </x:c>
      <x:c r="B17" s="33" t="n">
        <x:v>1</x:v>
      </x:c>
      <x:c r="C17" s="33" t="n">
        <x:v>1</x:v>
      </x:c>
      <x:c r="D17" s="31" t="n">
        <x:v>1.899153223</x:v>
      </x:c>
      <x:c r="E17" s="31" t="n">
        <x:v>1.899153223</x:v>
      </x:c>
      <x:c r="F17" s="32" t="n">
        <x:v>0</x:v>
      </x:c>
      <x:c r="G17" s="34" t="n">
        <x:v>1</x:v>
      </x:c>
      <x:c r="H17" s="32" t="n">
        <x:f>IF(E17=0,"",I17/E17)</x:f>
        <x:v>239.88329190194898</x:v>
      </x:c>
      <x:c r="I17" s="31" t="n">
        <x:f>IF(C17=0,"",SUMIF('Species'!$G$2:$G$71,A17,'Species'!$U$2:$U$71))</x:f>
        <x:v>455.5751269594362</x:v>
      </x:c>
      <x:c r="J17" s="32" t="n">
        <x:v>3.38</x:v>
      </x:c>
      <x:c r="K17" s="32" t="n">
        <x:f>IF(J17="","",(1/'Metadata'!$B$5)^(J17-1))</x:f>
        <x:v>239.88329190194898</x:v>
      </x:c>
      <x:c r="L17" s="31" t="n">
        <x:f>IF(E17=0,"",E17*K17)</x:f>
        <x:v>455.5751269594362</x:v>
      </x:c>
      <x:c r="M17" s="31" t="n">
        <x:f>IF(E17=0,"",I17-L17)</x:f>
        <x:v>0</x:v>
      </x:c>
      <x:c r="N17" s="32" t="n">
        <x:f>IF(L17=0,"",I17/L17)</x:f>
        <x:v>1</x:v>
      </x:c>
      <x:c r="O17" s="34" t="n">
        <x:f>IF(L17=0,"",M17/L17)</x:f>
        <x:v>0</x:v>
      </x:c>
    </x:row>
    <x:row r="18" ht="18" customHeight="1">
      <x:c r="A18" s="24" t="str">
        <x:v>Small demersals (&lt;30 cm)</x:v>
      </x:c>
      <x:c r="B18" s="33" t="n">
        <x:v>1</x:v>
      </x:c>
      <x:c r="C18" s="33" t="n">
        <x:v>1</x:v>
      </x:c>
      <x:c r="D18" s="31" t="n">
        <x:v>1.7460099960000002</x:v>
      </x:c>
      <x:c r="E18" s="31" t="n">
        <x:v>1.7460099960000002</x:v>
      </x:c>
      <x:c r="F18" s="32" t="n">
        <x:v>0</x:v>
      </x:c>
      <x:c r="G18" s="34" t="n">
        <x:v>1</x:v>
      </x:c>
      <x:c r="H18" s="32" t="n">
        <x:f>IF(E18=0,"",I18/E18)</x:f>
        <x:v>380.1893963205613</x:v>
      </x:c>
      <x:c r="I18" s="31" t="n">
        <x:f>IF(C18=0,"",SUMIF('Species'!$G$2:$G$71,A18,'Species'!$U$2:$U$71))</x:f>
        <x:v>663.8144863489057</x:v>
      </x:c>
      <x:c r="J18" s="32" t="n">
        <x:v>3.58</x:v>
      </x:c>
      <x:c r="K18" s="32" t="n">
        <x:f>IF(J18="","",(1/'Metadata'!$B$5)^(J18-1))</x:f>
        <x:v>380.1893963205613</x:v>
      </x:c>
      <x:c r="L18" s="31" t="n">
        <x:f>IF(E18=0,"",E18*K18)</x:f>
        <x:v>663.8144863489057</x:v>
      </x:c>
      <x:c r="M18" s="31" t="n">
        <x:f>IF(E18=0,"",I18-L18)</x:f>
        <x:v>0</x:v>
      </x:c>
      <x:c r="N18" s="32" t="n">
        <x:f>IF(L18=0,"",I18/L18)</x:f>
        <x:v>1</x:v>
      </x:c>
      <x:c r="O18" s="34" t="n">
        <x:f>IF(L18=0,"",M18/L18)</x:f>
        <x:v>0</x:v>
      </x:c>
    </x:row>
    <x:row r="19" ht="18" customHeight="1">
      <x:c r="A19" s="24" t="str">
        <x:v>Small pelagics (&lt;30 cm)</x:v>
      </x:c>
      <x:c r="B19" s="33" t="n">
        <x:v>7</x:v>
      </x:c>
      <x:c r="C19" s="33" t="n">
        <x:v>7</x:v>
      </x:c>
      <x:c r="D19" s="31" t="n">
        <x:v>844.026219491</x:v>
      </x:c>
      <x:c r="E19" s="31" t="n">
        <x:v>844.026219491</x:v>
      </x:c>
      <x:c r="F19" s="32" t="n">
        <x:v>0</x:v>
      </x:c>
      <x:c r="G19" s="34" t="n">
        <x:v>1</x:v>
      </x:c>
      <x:c r="H19" s="32" t="n">
        <x:f>IF(E19=0,"",I19/E19)</x:f>
        <x:v>135.43944552685798</x:v>
      </x:c>
      <x:c r="I19" s="31" t="n">
        <x:f>IF(C19=0,"",SUMIF('Species'!$G$2:$G$71,A19,'Species'!$U$2:$U$71))</x:f>
        <x:v>114314.44317799117</x:v>
      </x:c>
      <x:c r="J19" s="32" t="n">
        <x:v>3.124769615631311</x:v>
      </x:c>
      <x:c r="K19" s="32" t="n">
        <x:f>IF(J19="","",(1/'Metadata'!$B$5)^(J19-1))</x:f>
        <x:v>133.28142138290988</x:v>
      </x:c>
      <x:c r="L19" s="31" t="n">
        <x:f>IF(E19=0,"",E19*K19)</x:f>
        <x:v>112493.01421820436</x:v>
      </x:c>
      <x:c r="M19" s="31" t="n">
        <x:f>IF(E19=0,"",I19-L19)</x:f>
        <x:v>1821.4289597868046</x:v>
      </x:c>
      <x:c r="N19" s="32" t="n">
        <x:f>IF(L19=0,"",I19/L19)</x:f>
        <x:v>1.016191485066386</x:v>
      </x:c>
      <x:c r="O19" s="34" t="n">
        <x:f>IF(L19=0,"",M19/L19)</x:f>
        <x:v>0.016191485066386006</x:v>
      </x:c>
    </x:row>
    <x:row r="20" ht="18" customHeight="1">
      <x:c r="A20" s="24" t="str">
        <x:v>Small to medium flatfishes (&lt;90 cm)</x:v>
      </x:c>
      <x:c r="B20" s="33" t="n">
        <x:v>2</x:v>
      </x:c>
      <x:c r="C20" s="33" t="n">
        <x:v>2</x:v>
      </x:c>
      <x:c r="D20" s="31" t="n">
        <x:v>38.575259802000005</x:v>
      </x:c>
      <x:c r="E20" s="31" t="n">
        <x:v>38.575259802000005</x:v>
      </x:c>
      <x:c r="F20" s="32" t="n">
        <x:v>0</x:v>
      </x:c>
      <x:c r="G20" s="34" t="n">
        <x:v>1</x:v>
      </x:c>
      <x:c r="H20" s="32" t="n">
        <x:f>IF(E20=0,"",I20/E20)</x:f>
        <x:v>359.0785562225289</x:v>
      </x:c>
      <x:c r="I20" s="31" t="n">
        <x:f>IF(C20=0,"",SUMIF('Species'!$G$2:$G$71,A20,'Species'!$U$2:$U$71))</x:f>
        <x:v>13851.548595611119</x:v>
      </x:c>
      <x:c r="J20" s="32" t="n">
        <x:v>3.547280835917674</x:v>
      </x:c>
      <x:c r="K20" s="32" t="n">
        <x:f>IF(J20="","",(1/'Metadata'!$B$5)^(J20-1))</x:f>
        <x:v>352.5988048606859</x:v>
      </x:c>
      <x:c r="L20" s="31" t="n">
        <x:f>IF(E20=0,"",E20*K20)</x:f>
        <x:v>13601.59050337566</x:v>
      </x:c>
      <x:c r="M20" s="31" t="n">
        <x:f>IF(E20=0,"",I20-L20)</x:f>
        <x:v>249.95809223545803</x:v>
      </x:c>
      <x:c r="N20" s="32" t="n">
        <x:f>IF(L20=0,"",I20/L20)</x:f>
        <x:v>1.0183771223059115</x:v>
      </x:c>
      <x:c r="O20" s="34" t="n">
        <x:f>IF(L20=0,"",M20/L20)</x:f>
        <x:v>0.018377122305911438</x:v>
      </x:c>
    </x:row>
    <x:row r="21" ht="18" customHeight="1">
      <x:c r="A21" s="24" t="str">
        <x:v>Small to medium rays (&lt;90 cm)</x:v>
      </x:c>
      <x:c r="B21" s="33" t="n">
        <x:v>1</x:v>
      </x:c>
      <x:c r="C21" s="33" t="n">
        <x:v>1</x:v>
      </x:c>
      <x:c r="D21" s="31" t="n">
        <x:v>10</x:v>
      </x:c>
      <x:c r="E21" s="31" t="n">
        <x:v>10</x:v>
      </x:c>
      <x:c r="F21" s="32" t="n">
        <x:v>0</x:v>
      </x:c>
      <x:c r="G21" s="34" t="n">
        <x:v>1</x:v>
      </x:c>
      <x:c r="H21" s="32" t="n">
        <x:f>IF(E21=0,"",I21/E21)</x:f>
        <x:v>316.22776601683796</x:v>
      </x:c>
      <x:c r="I21" s="31" t="n">
        <x:f>IF(C21=0,"",SUMIF('Species'!$G$2:$G$71,A21,'Species'!$U$2:$U$71))</x:f>
        <x:v>3162.2776601683795</x:v>
      </x:c>
      <x:c r="J21" s="32" t="n">
        <x:v>3.5</x:v>
      </x:c>
      <x:c r="K21" s="32" t="n">
        <x:f>IF(J21="","",(1/'Metadata'!$B$5)^(J21-1))</x:f>
        <x:v>316.22776601683796</x:v>
      </x:c>
      <x:c r="L21" s="31" t="n">
        <x:f>IF(E21=0,"",E21*K21)</x:f>
        <x:v>3162.2776601683795</x:v>
      </x:c>
      <x:c r="M21" s="31" t="n">
        <x:f>IF(E21=0,"",I21-L21)</x:f>
        <x:v>0</x:v>
      </x:c>
      <x:c r="N21" s="32" t="n">
        <x:f>IF(L21=0,"",I21/L21)</x:f>
        <x:v>1</x:v>
      </x:c>
      <x:c r="O21" s="34" t="n">
        <x:f>IF(L21=0,"",M21/L21)</x:f>
        <x:v>0</x:v>
      </x:c>
    </x:row>
  </x:sheetData>
  <x:conditionalFormatting sqref="G2:G21">
    <x:cfRule type="cellIs" dxfId="2" priority="1" operator="lessThan">
      <x:formula>0.9</x:formula>
    </x:cfRule>
  </x:conditionalFormatting>
  <x:conditionalFormatting sqref="O2:O2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4b05f83e4bc41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EEZ_891</x:v>
      </x:c>
      <x:c r="B2" s="24" t="str">
        <x:v>raw_filtered_tonnes</x:v>
      </x:c>
      <x:c r="C2" s="24" t="n">
        <x:v>1698.0118630171</x:v>
      </x:c>
      <x:c r="D2" s="24" t="str">
        <x:v>tonnes</x:v>
      </x:c>
    </x:row>
    <x:row r="3" ht="18" customHeight="1">
      <x:c r="A3" s="24" t="str">
        <x:v>EEZ_891</x:v>
      </x:c>
      <x:c r="B3" s="24" t="str">
        <x:v>species_catch_tonnes</x:v>
      </x:c>
      <x:c r="C3" s="24" t="n">
        <x:v>1698.0118630171</x:v>
      </x:c>
      <x:c r="D3" s="24" t="str">
        <x:v>tonnes</x:v>
      </x:c>
    </x:row>
    <x:row r="4" ht="18" customHeight="1">
      <x:c r="A4" s="24" t="str">
        <x:v>EEZ_891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EEZ_891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EEZ_891</x:v>
      </x:c>
      <x:c r="B6" s="24" t="str">
        <x:v>matched_catch_tonnes</x:v>
      </x:c>
      <x:c r="C6" s="24" t="n">
        <x:v>1698.0118630171</x:v>
      </x:c>
      <x:c r="D6" s="24" t="str">
        <x:v>tonnes</x:v>
      </x:c>
    </x:row>
    <x:row r="7" ht="18" customHeight="1">
      <x:c r="A7" s="24" t="str">
        <x:v>EEZ_891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EEZ_891</x:v>
      </x:c>
      <x:c r="B8" s="24" t="str">
        <x:v>taxa_count</x:v>
      </x:c>
      <x:c r="C8" s="24" t="n">
        <x:v>70</x:v>
      </x:c>
      <x:c r="D8" s="24" t="str">
        <x:v>count</x:v>
      </x:c>
    </x:row>
    <x:row r="9" ht="18" customHeight="1">
      <x:c r="A9" s="24" t="str">
        <x:v>EEZ_891</x:v>
      </x:c>
      <x:c r="B9" s="24" t="str">
        <x:v>matched_taxa_count</x:v>
      </x:c>
      <x:c r="C9" s="24" t="n">
        <x:v>70</x:v>
      </x:c>
      <x:c r="D9" s="24" t="str">
        <x:v>count</x:v>
      </x:c>
    </x:row>
    <x:row r="10" ht="18" customHeight="1">
      <x:c r="A10" s="24" t="str">
        <x:v>EEZ_891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EEZ_891</x:v>
      </x:c>
      <x:c r="B11" s="24" t="str">
        <x:v>species_ppr</x:v>
      </x:c>
      <x:c r="C11" s="24" t="n">
        <x:v>575664.3429432232</x:v>
      </x:c>
      <x:c r="D11" s="24" t="str">
        <x:v>tonnes_primary_production_equivalent</x:v>
      </x:c>
    </x:row>
    <x:row r="12" ht="18" customHeight="1">
      <x:c r="A12" s="24" t="str">
        <x:v>EEZ_891</x:v>
      </x:c>
      <x:c r="B12" s="24" t="str">
        <x:v>commercial_ppr</x:v>
      </x:c>
      <x:c r="C12" s="24" t="n">
        <x:v>575664.3429432232</x:v>
      </x:c>
      <x:c r="D12" s="24" t="str">
        <x:v>tonnes_primary_production_equivalent</x:v>
      </x:c>
    </x:row>
    <x:row r="13" ht="18" customHeight="1">
      <x:c r="A13" s="24" t="str">
        <x:v>EEZ_891</x:v>
      </x:c>
      <x:c r="B13" s="24" t="str">
        <x:v>functional_ppr</x:v>
      </x:c>
      <x:c r="C13" s="24" t="n">
        <x:v>575664.3429432232</x:v>
      </x:c>
      <x:c r="D13" s="24" t="str">
        <x:v>tonnes_primary_production_equivalent</x:v>
      </x:c>
    </x:row>
    <x:row r="14" ht="18" customHeight="1">
      <x:c r="A14" s="24" t="str">
        <x:v>EEZ_891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EEZ_891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EEZ_891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EEZ_891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EEZ_891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EEZ_891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86c1c7e1d8e544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EEZ_891 - Montenegro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EEZ_891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raw_data/SAU_downloads/EEZ_891-catch.zip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