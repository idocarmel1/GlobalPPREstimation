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43646b5e2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802479775fb424e"/>
    <x:sheet xmlns:r="http://schemas.openxmlformats.org/officeDocument/2006/relationships" name="Commercial" sheetId="2" r:id="R67674d3f8e774d05"/>
    <x:sheet xmlns:r="http://schemas.openxmlformats.org/officeDocument/2006/relationships" name="Functional" sheetId="3" r:id="Re57d162f83f34d7c"/>
    <x:sheet xmlns:r="http://schemas.openxmlformats.org/officeDocument/2006/relationships" name="Missing TL" sheetId="4" r:id="R4efd2be90cf84381"/>
    <x:sheet xmlns:r="http://schemas.openxmlformats.org/officeDocument/2006/relationships" name="Validation" sheetId="5" r:id="R2fe4df74bfbf47b4"/>
    <x:sheet xmlns:r="http://schemas.openxmlformats.org/officeDocument/2006/relationships" name="Metadata" sheetId="6" r:id="Rfe6824431748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2c8fdf81a458c" /><Relationship Type="http://schemas.openxmlformats.org/officeDocument/2006/relationships/theme" Target="/xl/theme/theme1.xml" Id="R58fd51b4477842d4" /><Relationship Type="http://schemas.microsoft.com/office/2022/11/relationships/FeaturePropertyBag" Target="/xl/featurePropertyBag/featurePropertyBag.xml" Id="R9b68f3fcfd1248aa" /><Relationship Type="http://schemas.openxmlformats.org/officeDocument/2006/relationships/sharedStrings" Target="/xl/sharedStrings.xml" Id="Rcea11b2af10d438b" /><Relationship Type="http://schemas.openxmlformats.org/officeDocument/2006/relationships/worksheet" Target="/xl/worksheets/sheet1.xml" Id="R2802479775fb424e" /><Relationship Type="http://schemas.openxmlformats.org/officeDocument/2006/relationships/worksheet" Target="/xl/worksheets/sheet2.xml" Id="R67674d3f8e774d05" /><Relationship Type="http://schemas.openxmlformats.org/officeDocument/2006/relationships/worksheet" Target="/xl/worksheets/sheet3.xml" Id="Re57d162f83f34d7c" /><Relationship Type="http://schemas.openxmlformats.org/officeDocument/2006/relationships/worksheet" Target="/xl/worksheets/sheet4.xml" Id="R4efd2be90cf84381" /><Relationship Type="http://schemas.openxmlformats.org/officeDocument/2006/relationships/worksheet" Target="/xl/worksheets/sheet5.xml" Id="R2fe4df74bfbf47b4" /><Relationship Type="http://schemas.openxmlformats.org/officeDocument/2006/relationships/worksheet" Target="/xl/worksheets/sheet6.xml" Id="Rfe682443174844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70SpeciesTable" displayName="EEZ570SpeciesTable" ref="A1:U71" headerRowCount="1" totalsRowCount="0" totalsRowShown="0">
  <x:autoFilter ref="A1:U7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70CommercialTable" displayName="EEZ570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70FunctionalTable" displayName="EEZ570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70ValidationTable" displayName="EEZ57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ed862489e44c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5b7506699f40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ae82a417c442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e4d726650e43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EEZ_570</x:v>
      </x:c>
      <x:c r="B2" s="24" t="str">
        <x:v>Niue (New Zealand)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394.1763794733</x:v>
      </x:c>
      <x:c r="J2" s="31" t="n">
        <x:v>394.1763794733</x:v>
      </x:c>
      <x:c r="K2" s="31" t="n">
        <x:v>0</x:v>
      </x:c>
      <x:c r="L2" s="31" t="n">
        <x:v>394.1763794733</x:v>
      </x:c>
      <x:c r="M2" s="31" t="n">
        <x:v>0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786485.2754139479</x:v>
      </x:c>
    </x:row>
    <x:row r="3" ht="18" customHeight="1">
      <x:c r="A3" s="24" t="str">
        <x:v>EEZ_570</x:v>
      </x:c>
      <x:c r="B3" s="24" t="str">
        <x:v>Niue (New Zealand)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133.7806629183</x:v>
      </x:c>
      <x:c r="J3" s="31" t="n">
        <x:v>132.7747196904</x:v>
      </x:c>
      <x:c r="K3" s="31" t="n">
        <x:v>1.0059432279</x:v>
      </x:c>
      <x:c r="L3" s="31" t="n">
        <x:v>122.0027732608</x:v>
      </x:c>
      <x:c r="M3" s="31" t="n">
        <x:v>11.7778896575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343869.25178122136</x:v>
      </x:c>
    </x:row>
    <x:row r="4" ht="18" customHeight="1">
      <x:c r="A4" s="24" t="str">
        <x:v>EEZ_570</x:v>
      </x:c>
      <x:c r="B4" s="24" t="str">
        <x:v>Niue (New Zealand)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124.5419591773</x:v>
      </x:c>
      <x:c r="J4" s="31" t="n">
        <x:v>28.6327174785</x:v>
      </x:c>
      <x:c r="K4" s="31" t="n">
        <x:v>95.9092416988</x:v>
      </x:c>
      <x:c r="L4" s="31" t="n">
        <x:v>28.6327174785</x:v>
      </x:c>
      <x:c r="M4" s="31" t="n">
        <x:v>95.9092416988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278814.7166489365</x:v>
      </x:c>
    </x:row>
    <x:row r="5" ht="18" customHeight="1">
      <x:c r="A5" s="24" t="str">
        <x:v>EEZ_570</x:v>
      </x:c>
      <x:c r="B5" s="24" t="str">
        <x:v>Niue (New Zealand)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83.08814552609999</x:v>
      </x:c>
      <x:c r="J5" s="31" t="n">
        <x:v>53.28435191209999</x:v>
      </x:c>
      <x:c r="K5" s="31" t="n">
        <x:v>29.803793614</x:v>
      </x:c>
      <x:c r="L5" s="31" t="n">
        <x:v>8.9550049719</x:v>
      </x:c>
      <x:c r="M5" s="31" t="n">
        <x:v>74.1331405542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15832.119742839719</x:v>
      </x:c>
    </x:row>
    <x:row r="6" ht="18" customHeight="1">
      <x:c r="A6" s="24" t="str">
        <x:v>EEZ_570</x:v>
      </x:c>
      <x:c r="B6" s="24" t="str">
        <x:v>Niue (New Zealand)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25.0770658907</x:v>
      </x:c>
      <x:c r="J6" s="31" t="n">
        <x:v>25.0019995552</x:v>
      </x:c>
      <x:c r="K6" s="31" t="n">
        <x:v>0.0750663355</x:v>
      </x:c>
      <x:c r="L6" s="31" t="n">
        <x:v>19.7995410943</x:v>
      </x:c>
      <x:c r="M6" s="31" t="n">
        <x:v>5.2775247964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67495.79562518751</x:v>
      </x:c>
    </x:row>
    <x:row r="7" ht="18" customHeight="1">
      <x:c r="A7" s="24" t="str">
        <x:v>EEZ_570</x:v>
      </x:c>
      <x:c r="B7" s="24" t="str">
        <x:v>Niue (New Zealand)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22.9395396525</x:v>
      </x:c>
      <x:c r="J7" s="31" t="n">
        <x:v>9.0576085374</x:v>
      </x:c>
      <x:c r="K7" s="31" t="n">
        <x:v>13.8819311151</x:v>
      </x:c>
      <x:c r="L7" s="31" t="n">
        <x:v>8.8694135437</x:v>
      </x:c>
      <x:c r="M7" s="31" t="n">
        <x:v>14.0701261088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77729.28955773142</x:v>
      </x:c>
    </x:row>
    <x:row r="8" ht="18" customHeight="1">
      <x:c r="A8" s="24" t="str">
        <x:v>EEZ_570</x:v>
      </x:c>
      <x:c r="B8" s="24" t="str">
        <x:v>Niue (New Zealand)</x:v>
      </x:c>
      <x:c r="C8" s="24" t="str">
        <x:v>EEZ</x:v>
      </x:c>
      <x:c r="D8" s="30" t="n">
        <x:v>2019</x:v>
      </x:c>
      <x:c r="E8" s="24" t="str">
        <x:v>Turbo setosus</x:v>
      </x:c>
      <x:c r="F8" s="24" t="str">
        <x:v>Rough turban</x:v>
      </x:c>
      <x:c r="G8" s="24" t="str">
        <x:v>Other demersal invertebrates</x:v>
      </x:c>
      <x:c r="H8" s="24" t="str">
        <x:v>Molluscs</x:v>
      </x:c>
      <x:c r="I8" s="31" t="n">
        <x:v>19.3026601915</x:v>
      </x:c>
      <x:c r="J8" s="31" t="n">
        <x:v>19.3026601915</x:v>
      </x:c>
      <x:c r="K8" s="31" t="n">
        <x:v>0</x:v>
      </x:c>
      <x:c r="L8" s="31" t="n">
        <x:v>0</x:v>
      </x:c>
      <x:c r="M8" s="31" t="n">
        <x:v>19.3026601915</x:v>
      </x:c>
      <x:c r="N8" s="24" t="str">
        <x:v>turbo setosus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Turbo setosus</x:v>
      </x:c>
      <x:c r="T8" s="32" t="n">
        <x:f>IF(O8="","",(1/'Metadata'!$B$5)^(O8-1))</x:f>
        <x:v>10</x:v>
      </x:c>
      <x:c r="U8" s="31" t="n">
        <x:f>IF(T8="","",I8*T8)</x:f>
        <x:v>193.026601915</x:v>
      </x:c>
    </x:row>
    <x:row r="9" ht="18" customHeight="1">
      <x:c r="A9" s="24" t="str">
        <x:v>EEZ_570</x:v>
      </x:c>
      <x:c r="B9" s="24" t="str">
        <x:v>Niue (New Zealand)</x:v>
      </x:c>
      <x:c r="C9" s="24" t="str">
        <x:v>EEZ</x:v>
      </x:c>
      <x:c r="D9" s="30" t="n">
        <x:v>2019</x:v>
      </x:c>
      <x:c r="E9" s="24" t="str">
        <x:v>Isurus</x:v>
      </x:c>
      <x:c r="F9" s="24" t="str">
        <x:v>Mako sharks</x:v>
      </x:c>
      <x:c r="G9" s="24" t="str">
        <x:v>Large sharks (&gt;=90 cm)</x:v>
      </x:c>
      <x:c r="H9" s="24" t="str">
        <x:v>Sharks &amp; rays</x:v>
      </x:c>
      <x:c r="I9" s="31" t="n">
        <x:v>18.2455304026</x:v>
      </x:c>
      <x:c r="J9" s="31" t="n">
        <x:v>4.3591153421</x:v>
      </x:c>
      <x:c r="K9" s="31" t="n">
        <x:v>13.8864150605</x:v>
      </x:c>
      <x:c r="L9" s="31" t="n">
        <x:v>4.3591153421</x:v>
      </x:c>
      <x:c r="M9" s="31" t="n">
        <x:v>13.8864150605</x:v>
      </x:c>
      <x:c r="N9" s="24" t="str">
        <x:v>isurus</x:v>
      </x:c>
      <x:c r="O9" s="32" t="n">
        <x:v>4.5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Isurus</x:v>
      </x:c>
      <x:c r="T9" s="32" t="n">
        <x:f>IF(O9="","",(1/'Metadata'!$B$5)^(O9-1))</x:f>
        <x:v>3162.2776601683795</x:v>
      </x:c>
      <x:c r="U9" s="31" t="n">
        <x:f>IF(T9="","",I9*T9)</x:f>
        <x:v>57697.433190064956</x:v>
      </x:c>
    </x:row>
    <x:row r="10" ht="18" customHeight="1">
      <x:c r="A10" s="24" t="str">
        <x:v>EEZ_570</x:v>
      </x:c>
      <x:c r="B10" s="24" t="str">
        <x:v>Niue (New Zealand)</x:v>
      </x:c>
      <x:c r="C10" s="24" t="str">
        <x:v>EEZ</x:v>
      </x:c>
      <x:c r="D10" s="30" t="n">
        <x:v>2019</x:v>
      </x:c>
      <x:c r="E10" s="24" t="str">
        <x:v>Thunnus obesus</x:v>
      </x:c>
      <x:c r="F10" s="24" t="str">
        <x:v>Bigeye tuna</x:v>
      </x:c>
      <x:c r="G10" s="24" t="str">
        <x:v>Large pelagics (&gt;=90 cm)</x:v>
      </x:c>
      <x:c r="H10" s="24" t="str">
        <x:v>Tuna &amp; billfishes</x:v>
      </x:c>
      <x:c r="I10" s="31" t="n">
        <x:v>17.2833566698</x:v>
      </x:c>
      <x:c r="J10" s="31" t="n">
        <x:v>15.877344299499999</x:v>
      </x:c>
      <x:c r="K10" s="31" t="n">
        <x:v>1.4060123703</x:v>
      </x:c>
      <x:c r="L10" s="31" t="n">
        <x:v>15.877344299499999</x:v>
      </x:c>
      <x:c r="M10" s="31" t="n">
        <x:v>1.4060123703</x:v>
      </x:c>
      <x:c r="N10" s="24" t="str">
        <x:v>thunnus obesus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obesus</x:v>
      </x:c>
      <x:c r="T10" s="32" t="n">
        <x:f>IF(O10="","",(1/'Metadata'!$B$5)^(O10-1))</x:f>
        <x:v>3090.295432513592</x:v>
      </x:c>
      <x:c r="U10" s="31" t="n">
        <x:f>IF(T10="","",I10*T10)</x:f>
        <x:v>53410.678175186265</x:v>
      </x:c>
    </x:row>
    <x:row r="11" ht="18" customHeight="1">
      <x:c r="A11" s="24" t="str">
        <x:v>EEZ_570</x:v>
      </x:c>
      <x:c r="B11" s="24" t="str">
        <x:v>Niue (New Zealand)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10.2565938117</x:v>
      </x:c>
      <x:c r="J11" s="31" t="n">
        <x:v>0</x:v>
      </x:c>
      <x:c r="K11" s="31" t="n">
        <x:v>10.2565938117</x:v>
      </x:c>
      <x:c r="L11" s="31" t="n">
        <x:v>0</x:v>
      </x:c>
      <x:c r="M11" s="31" t="n">
        <x:v>10.2565938117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18663.932565564322</x:v>
      </x:c>
    </x:row>
    <x:row r="12" ht="18" customHeight="1">
      <x:c r="A12" s="24" t="str">
        <x:v>EEZ_570</x:v>
      </x:c>
      <x:c r="B12" s="24" t="str">
        <x:v>Niue (New Zealand)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8.1746421012</x:v>
      </x:c>
      <x:c r="J12" s="31" t="n">
        <x:v>5.5975817105</x:v>
      </x:c>
      <x:c r="K12" s="31" t="n">
        <x:v>2.5770603907</x:v>
      </x:c>
      <x:c r="L12" s="31" t="n">
        <x:v>5.5975817105</x:v>
      </x:c>
      <x:c r="M12" s="31" t="n">
        <x:v>2.5770603907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1830.0744072187151</x:v>
      </x:c>
    </x:row>
    <x:row r="13" ht="18" customHeight="1">
      <x:c r="A13" s="24" t="str">
        <x:v>EEZ_570</x:v>
      </x:c>
      <x:c r="B13" s="24" t="str">
        <x:v>Niue (New Zealand)</x:v>
      </x:c>
      <x:c r="C13" s="24" t="str">
        <x:v>EEZ</x:v>
      </x:c>
      <x:c r="D13" s="30" t="n">
        <x:v>2019</x:v>
      </x:c>
      <x:c r="E13" s="24" t="str">
        <x:v>Kajikia audax</x:v>
      </x:c>
      <x:c r="F13" s="24" t="str">
        <x:v>Striped marlin</x:v>
      </x:c>
      <x:c r="G13" s="24" t="str">
        <x:v>Large pelagics (&gt;=90 cm)</x:v>
      </x:c>
      <x:c r="H13" s="24" t="str">
        <x:v>Tuna &amp; billfishes</x:v>
      </x:c>
      <x:c r="I13" s="31" t="n">
        <x:v>7.9773539849</x:v>
      </x:c>
      <x:c r="J13" s="31" t="n">
        <x:v>7.9773539849</x:v>
      </x:c>
      <x:c r="K13" s="31" t="n">
        <x:v>0</x:v>
      </x:c>
      <x:c r="L13" s="31" t="n">
        <x:v>7.9773539849</x:v>
      </x:c>
      <x:c r="M13" s="31" t="n">
        <x:v>0</x:v>
      </x:c>
      <x:c r="N13" s="24" t="str">
        <x:v>kajikia audax</x:v>
      </x:c>
      <x:c r="O13" s="32" t="n">
        <x:v>4.58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audax</x:v>
      </x:c>
      <x:c r="T13" s="32" t="n">
        <x:f>IF(O13="","",(1/'Metadata'!$B$5)^(O13-1))</x:f>
        <x:v>3801.8939632056126</x:v>
      </x:c>
      <x:c r="U13" s="31" t="n">
        <x:f>IF(T13="","",I13*T13)</x:f>
        <x:v>30329.053957545548</x:v>
      </x:c>
    </x:row>
    <x:row r="14" ht="18" customHeight="1">
      <x:c r="A14" s="24" t="str">
        <x:v>EEZ_570</x:v>
      </x:c>
      <x:c r="B14" s="24" t="str">
        <x:v>Niue (New Zealand)</x:v>
      </x:c>
      <x:c r="C14" s="24" t="str">
        <x:v>EEZ</x:v>
      </x:c>
      <x:c r="D14" s="30" t="n">
        <x:v>2019</x:v>
      </x:c>
      <x:c r="E14" s="24" t="str">
        <x:v>Decapterus macarellus</x:v>
      </x:c>
      <x:c r="F14" s="24" t="str">
        <x:v>Mackerel scad</x:v>
      </x:c>
      <x:c r="G14" s="24" t="str">
        <x:v>Medium pelagics (30 - 89 cm)</x:v>
      </x:c>
      <x:c r="H14" s="24" t="str">
        <x:v>Perch-likes</x:v>
      </x:c>
      <x:c r="I14" s="31" t="n">
        <x:v>6.8696331669</x:v>
      </x:c>
      <x:c r="J14" s="31" t="n">
        <x:v>6.8696331669</x:v>
      </x:c>
      <x:c r="K14" s="31" t="n">
        <x:v>0</x:v>
      </x:c>
      <x:c r="L14" s="31" t="n">
        <x:v>0.6913482961</x:v>
      </x:c>
      <x:c r="M14" s="31" t="n">
        <x:v>6.1782848708</x:v>
      </x:c>
      <x:c r="N14" s="24" t="str">
        <x:v>decapterus macarellus</x:v>
      </x:c>
      <x:c r="O14" s="32" t="n">
        <x:v>3.96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Decapterus macarellus</x:v>
      </x:c>
      <x:c r="T14" s="32" t="n">
        <x:f>IF(O14="","",(1/'Metadata'!$B$5)^(O14-1))</x:f>
        <x:v>912.0108393559096</x:v>
      </x:c>
      <x:c r="U14" s="31" t="n">
        <x:f>IF(T14="","",I14*T14)</x:f>
        <x:v>6265.179910611665</x:v>
      </x:c>
    </x:row>
    <x:row r="15" ht="18" customHeight="1">
      <x:c r="A15" s="24" t="str">
        <x:v>EEZ_570</x:v>
      </x:c>
      <x:c r="B15" s="24" t="str">
        <x:v>Niue (New Zealand)</x:v>
      </x:c>
      <x:c r="C15" s="24" t="str">
        <x:v>EEZ</x:v>
      </x:c>
      <x:c r="D15" s="30" t="n">
        <x:v>2019</x:v>
      </x:c>
      <x:c r="E15" s="24" t="str">
        <x:v>Myripristis</x:v>
      </x:c>
      <x:c r="F15" s="24" t="str">
        <x:v>Soldierfishes</x:v>
      </x:c>
      <x:c r="G15" s="24" t="str">
        <x:v>Small reef assoc. fish (&lt;30 cm)</x:v>
      </x:c>
      <x:c r="H15" s="24" t="str">
        <x:v>Other fishes &amp; inverts</x:v>
      </x:c>
      <x:c r="I15" s="31" t="n">
        <x:v>5.278042332099999</x:v>
      </x:c>
      <x:c r="J15" s="31" t="n">
        <x:v>5.278042332099999</x:v>
      </x:c>
      <x:c r="K15" s="31" t="n">
        <x:v>0</x:v>
      </x:c>
      <x:c r="L15" s="31" t="n">
        <x:v>0.5311732791</x:v>
      </x:c>
      <x:c r="M15" s="31" t="n">
        <x:v>4.746869052999999</x:v>
      </x:c>
      <x:c r="N15" s="24" t="str">
        <x:v>myripristis</x:v>
      </x:c>
      <x:c r="O15" s="32" t="n">
        <x:v>3.42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Myripristis</x:v>
      </x:c>
      <x:c r="T15" s="32" t="n">
        <x:f>IF(O15="","",(1/'Metadata'!$B$5)^(O15-1))</x:f>
        <x:v>263.02679918953817</x:v>
      </x:c>
      <x:c r="U15" s="31" t="n">
        <x:f>IF(T15="","",I15*T15)</x:f>
        <x:v>1388.2665805991483</x:v>
      </x:c>
    </x:row>
    <x:row r="16" ht="18" customHeight="1">
      <x:c r="A16" s="24" t="str">
        <x:v>EEZ_570</x:v>
      </x:c>
      <x:c r="B16" s="24" t="str">
        <x:v>Niue (New Zealand)</x:v>
      </x:c>
      <x:c r="C16" s="24" t="str">
        <x:v>EEZ</x:v>
      </x:c>
      <x:c r="D16" s="30" t="n">
        <x:v>2019</x:v>
      </x:c>
      <x:c r="E16" s="24" t="str">
        <x:v>Myripristis violacea</x:v>
      </x:c>
      <x:c r="F16" s="24" t="str">
        <x:v>Lattice soldierfish</x:v>
      </x:c>
      <x:c r="G16" s="24" t="str">
        <x:v>Small reef assoc. fish (&lt;30 cm)</x:v>
      </x:c>
      <x:c r="H16" s="24" t="str">
        <x:v>Other fishes &amp; inverts</x:v>
      </x:c>
      <x:c r="I16" s="31" t="n">
        <x:v>5.278042332099999</x:v>
      </x:c>
      <x:c r="J16" s="31" t="n">
        <x:v>5.278042332099999</x:v>
      </x:c>
      <x:c r="K16" s="31" t="n">
        <x:v>0</x:v>
      </x:c>
      <x:c r="L16" s="31" t="n">
        <x:v>0.5311732791</x:v>
      </x:c>
      <x:c r="M16" s="31" t="n">
        <x:v>4.746869052999999</x:v>
      </x:c>
      <x:c r="N16" s="24" t="str">
        <x:v>myripristis violacea</x:v>
      </x:c>
      <x:c r="O16" s="32" t="n">
        <x:v>3.45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Myripristis violacea</x:v>
      </x:c>
      <x:c r="T16" s="32" t="n">
        <x:f>IF(O16="","",(1/'Metadata'!$B$5)^(O16-1))</x:f>
        <x:v>281.8382931264455</x:v>
      </x:c>
      <x:c r="U16" s="31" t="n">
        <x:f>IF(T16="","",I16*T16)</x:f>
        <x:v>1487.5544419281875</x:v>
      </x:c>
    </x:row>
    <x:row r="17" ht="18" customHeight="1">
      <x:c r="A17" s="24" t="str">
        <x:v>EEZ_570</x:v>
      </x:c>
      <x:c r="B17" s="24" t="str">
        <x:v>Niue (New Zealand)</x:v>
      </x:c>
      <x:c r="C17" s="24" t="str">
        <x:v>EEZ</x:v>
      </x:c>
      <x:c r="D17" s="30" t="n">
        <x:v>2019</x:v>
      </x:c>
      <x:c r="E17" s="24" t="str">
        <x:v>Coryphaena hippurus</x:v>
      </x:c>
      <x:c r="F17" s="24" t="str">
        <x:v>Common dolphinfish</x:v>
      </x:c>
      <x:c r="G17" s="24" t="str">
        <x:v>Large pelagics (&gt;=90 cm)</x:v>
      </x:c>
      <x:c r="H17" s="24" t="str">
        <x:v>Perch-likes</x:v>
      </x:c>
      <x:c r="I17" s="31" t="n">
        <x:v>4.7255522222</x:v>
      </x:c>
      <x:c r="J17" s="31" t="n">
        <x:v>1.696119685</x:v>
      </x:c>
      <x:c r="K17" s="31" t="n">
        <x:v>3.0294325372</x:v>
      </x:c>
      <x:c r="L17" s="31" t="n">
        <x:v>0.316679942</x:v>
      </x:c>
      <x:c r="M17" s="31" t="n">
        <x:v>4.4088722802</x:v>
      </x:c>
      <x:c r="N17" s="24" t="str">
        <x:v>coryphaena hippurus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Coryphaena hippurus</x:v>
      </x:c>
      <x:c r="T17" s="32" t="n">
        <x:f>IF(O17="","",(1/'Metadata'!$B$5)^(O17-1))</x:f>
        <x:v>2344.228815319923</x:v>
      </x:c>
      <x:c r="U17" s="31" t="n">
        <x:f>IF(T17="","",I17*T17)</x:f>
        <x:v>11077.775687580335</x:v>
      </x:c>
    </x:row>
    <x:row r="18" ht="18" customHeight="1">
      <x:c r="A18" s="24" t="str">
        <x:v>EEZ_570</x:v>
      </x:c>
      <x:c r="B18" s="24" t="str">
        <x:v>Niue (New Zealand)</x:v>
      </x:c>
      <x:c r="C18" s="24" t="str">
        <x:v>EEZ</x:v>
      </x:c>
      <x:c r="D18" s="30" t="n">
        <x:v>2019</x:v>
      </x:c>
      <x:c r="E18" s="24" t="str">
        <x:v>Carcharhinus longimanus</x:v>
      </x:c>
      <x:c r="F18" s="24" t="str">
        <x:v>Oceanic whitetip shark</x:v>
      </x:c>
      <x:c r="G18" s="24" t="str">
        <x:v>Large sharks (&gt;=90 cm)</x:v>
      </x:c>
      <x:c r="H18" s="24" t="str">
        <x:v>Sharks &amp; rays</x:v>
      </x:c>
      <x:c r="I18" s="31" t="n">
        <x:v>4.5773653262</x:v>
      </x:c>
      <x:c r="J18" s="31" t="n">
        <x:v>0.8450750962</x:v>
      </x:c>
      <x:c r="K18" s="31" t="n">
        <x:v>3.7322902300000003</x:v>
      </x:c>
      <x:c r="L18" s="31" t="n">
        <x:v>0.8450750962</x:v>
      </x:c>
      <x:c r="M18" s="31" t="n">
        <x:v>3.7322902300000003</x:v>
      </x:c>
      <x:c r="N18" s="24" t="str">
        <x:v>carcharhinus longimanus</x:v>
      </x:c>
      <x:c r="O18" s="32" t="n">
        <x:v>4.16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longimanus</x:v>
      </x:c>
      <x:c r="T18" s="32" t="n">
        <x:f>IF(O18="","",(1/'Metadata'!$B$5)^(O18-1))</x:f>
        <x:v>1445.439770745928</x:v>
      </x:c>
      <x:c r="U18" s="31" t="n">
        <x:f>IF(T18="","",I18*T18)</x:f>
        <x:v>6616.305887722888</x:v>
      </x:c>
    </x:row>
    <x:row r="19" ht="18" customHeight="1">
      <x:c r="A19" s="24" t="str">
        <x:v>EEZ_570</x:v>
      </x:c>
      <x:c r="B19" s="24" t="str">
        <x:v>Niue (New Zealand)</x:v>
      </x:c>
      <x:c r="C19" s="24" t="str">
        <x:v>EEZ</x:v>
      </x:c>
      <x:c r="D19" s="30" t="n">
        <x:v>2019</x:v>
      </x:c>
      <x:c r="E19" s="24" t="str">
        <x:v>Istiophoridae</x:v>
      </x:c>
      <x:c r="F19" s="24" t="str">
        <x:v>Billfishes</x:v>
      </x:c>
      <x:c r="G19" s="24" t="str">
        <x:v>Large pelagics (&gt;=90 cm)</x:v>
      </x:c>
      <x:c r="H19" s="24" t="str">
        <x:v>Tuna &amp; billfishes</x:v>
      </x:c>
      <x:c r="I19" s="31" t="n">
        <x:v>4.4425898888</x:v>
      </x:c>
      <x:c r="J19" s="31" t="n">
        <x:v>2.0825926717</x:v>
      </x:c>
      <x:c r="K19" s="31" t="n">
        <x:v>2.3599972171</x:v>
      </x:c>
      <x:c r="L19" s="31" t="n">
        <x:v>0.388837729</x:v>
      </x:c>
      <x:c r="M19" s="31" t="n">
        <x:v>4.0537521598</x:v>
      </x:c>
      <x:c r="N19" s="24" t="str">
        <x:v>istiophoridae</x:v>
      </x:c>
      <x:c r="O19" s="32" t="n">
        <x:v>4.48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Istiophoridae</x:v>
      </x:c>
      <x:c r="T19" s="32" t="n">
        <x:f>IF(O19="","",(1/'Metadata'!$B$5)^(O19-1))</x:f>
        <x:v>3019.951720402019</x:v>
      </x:c>
      <x:c r="U19" s="31" t="n">
        <x:f>IF(T19="","",I19*T19)</x:f>
        <x:v>13416.406977722174</x:v>
      </x:c>
    </x:row>
    <x:row r="20" ht="18" customHeight="1">
      <x:c r="A20" s="24" t="str">
        <x:v>EEZ_570</x:v>
      </x:c>
      <x:c r="B20" s="24" t="str">
        <x:v>Niue (New Zealand)</x:v>
      </x:c>
      <x:c r="C20" s="24" t="str">
        <x:v>EEZ</x:v>
      </x:c>
      <x:c r="D20" s="30" t="n">
        <x:v>2019</x:v>
      </x:c>
      <x:c r="E20" s="24" t="str">
        <x:v>Kyphosus vaigiensis</x:v>
      </x:c>
      <x:c r="F20" s="24" t="str">
        <x:v>Brassy chub</x:v>
      </x:c>
      <x:c r="G20" s="24" t="str">
        <x:v>Medium reef assoc. fish (30 - 89 cm)</x:v>
      </x:c>
      <x:c r="H20" s="24" t="str">
        <x:v>Perch-likes</x:v>
      </x:c>
      <x:c r="I20" s="31" t="n">
        <x:v>4.160363919</x:v>
      </x:c>
      <x:c r="J20" s="31" t="n">
        <x:v>4.160363919</x:v>
      </x:c>
      <x:c r="K20" s="31" t="n">
        <x:v>0</x:v>
      </x:c>
      <x:c r="L20" s="31" t="n">
        <x:v>0.418692008</x:v>
      </x:c>
      <x:c r="M20" s="31" t="n">
        <x:v>3.7416719109999996</x:v>
      </x:c>
      <x:c r="N20" s="24" t="str">
        <x:v>kyphosus vaigiensis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Kyphosus vaigiensis</x:v>
      </x:c>
      <x:c r="T20" s="32" t="n">
        <x:f>IF(O20="","",(1/'Metadata'!$B$5)^(O20-1))</x:f>
        <x:v>10</x:v>
      </x:c>
      <x:c r="U20" s="31" t="n">
        <x:f>IF(T20="","",I20*T20)</x:f>
        <x:v>41.603639189999996</x:v>
      </x:c>
    </x:row>
    <x:row r="21" ht="18" customHeight="1">
      <x:c r="A21" s="24" t="str">
        <x:v>EEZ_570</x:v>
      </x:c>
      <x:c r="B21" s="24" t="str">
        <x:v>Niue (New Zealand)</x:v>
      </x:c>
      <x:c r="C21" s="24" t="str">
        <x:v>EEZ</x:v>
      </x:c>
      <x:c r="D21" s="30" t="n">
        <x:v>2019</x:v>
      </x:c>
      <x:c r="E21" s="24" t="str">
        <x:v>Kyphosus bigibbus</x:v>
      </x:c>
      <x:c r="F21" s="24" t="str">
        <x:v>Brown chub</x:v>
      </x:c>
      <x:c r="G21" s="24" t="str">
        <x:v>Medium reef assoc. fish (30 - 89 cm)</x:v>
      </x:c>
      <x:c r="H21" s="24" t="str">
        <x:v>Perch-likes</x:v>
      </x:c>
      <x:c r="I21" s="31" t="n">
        <x:v>4.160363919</x:v>
      </x:c>
      <x:c r="J21" s="31" t="n">
        <x:v>4.160363919</x:v>
      </x:c>
      <x:c r="K21" s="31" t="n">
        <x:v>0</x:v>
      </x:c>
      <x:c r="L21" s="31" t="n">
        <x:v>0.418692008</x:v>
      </x:c>
      <x:c r="M21" s="31" t="n">
        <x:v>3.7416719109999996</x:v>
      </x:c>
      <x:c r="N21" s="24" t="str">
        <x:v>kyphosus bigibbus</x:v>
      </x:c>
      <x:c r="O21" s="32" t="n">
        <x:v>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Kyphosus bigibbus</x:v>
      </x:c>
      <x:c r="T21" s="32" t="n">
        <x:f>IF(O21="","",(1/'Metadata'!$B$5)^(O21-1))</x:f>
        <x:v>10</x:v>
      </x:c>
      <x:c r="U21" s="31" t="n">
        <x:f>IF(T21="","",I21*T21)</x:f>
        <x:v>41.603639189999996</x:v>
      </x:c>
    </x:row>
    <x:row r="22" ht="18" customHeight="1">
      <x:c r="A22" s="24" t="str">
        <x:v>EEZ_570</x:v>
      </x:c>
      <x:c r="B22" s="24" t="str">
        <x:v>Niue (New Zealand)</x:v>
      </x:c>
      <x:c r="C22" s="24" t="str">
        <x:v>EEZ</x:v>
      </x:c>
      <x:c r="D22" s="30" t="n">
        <x:v>2019</x:v>
      </x:c>
      <x:c r="E22" s="24" t="str">
        <x:v>Kyphosus cinerascens</x:v>
      </x:c>
      <x:c r="F22" s="24" t="str">
        <x:v>Blue sea chub</x:v>
      </x:c>
      <x:c r="G22" s="24" t="str">
        <x:v>Medium reef assoc. fish (30 - 89 cm)</x:v>
      </x:c>
      <x:c r="H22" s="24" t="str">
        <x:v>Perch-likes</x:v>
      </x:c>
      <x:c r="I22" s="31" t="n">
        <x:v>4.160363919</x:v>
      </x:c>
      <x:c r="J22" s="31" t="n">
        <x:v>4.160363919</x:v>
      </x:c>
      <x:c r="K22" s="31" t="n">
        <x:v>0</x:v>
      </x:c>
      <x:c r="L22" s="31" t="n">
        <x:v>0.418692008</x:v>
      </x:c>
      <x:c r="M22" s="31" t="n">
        <x:v>3.7416719109999996</x:v>
      </x:c>
      <x:c r="N22" s="24" t="str">
        <x:v>kyphosus cinerascens</x:v>
      </x:c>
      <x:c r="O22" s="32" t="n">
        <x:v>2.85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Kyphosus cinerascens</x:v>
      </x:c>
      <x:c r="T22" s="32" t="n">
        <x:f>IF(O22="","",(1/'Metadata'!$B$5)^(O22-1))</x:f>
        <x:v>70.79457843841381</x:v>
      </x:c>
      <x:c r="U22" s="31" t="n">
        <x:f>IF(T22="","",I22*T22)</x:f>
        <x:v>294.53120979599214</x:v>
      </x:c>
    </x:row>
    <x:row r="23" ht="18" customHeight="1">
      <x:c r="A23" s="24" t="str">
        <x:v>EEZ_570</x:v>
      </x:c>
      <x:c r="B23" s="24" t="str">
        <x:v>Niue (New Zealand)</x:v>
      </x:c>
      <x:c r="C23" s="24" t="str">
        <x:v>EEZ</x:v>
      </x:c>
      <x:c r="D23" s="30" t="n">
        <x:v>2019</x:v>
      </x:c>
      <x:c r="E23" s="24" t="str">
        <x:v>Istiompax indica</x:v>
      </x:c>
      <x:c r="F23" s="24" t="str">
        <x:v>Black marlin</x:v>
      </x:c>
      <x:c r="G23" s="24" t="str">
        <x:v>Large pelagics (&gt;=90 cm)</x:v>
      </x:c>
      <x:c r="H23" s="24" t="str">
        <x:v>Tuna &amp; billfishes</x:v>
      </x:c>
      <x:c r="I23" s="31" t="n">
        <x:v>3.8429323107</x:v>
      </x:c>
      <x:c r="J23" s="31" t="n">
        <x:v>3.8429323107</x:v>
      </x:c>
      <x:c r="K23" s="31" t="n">
        <x:v>0</x:v>
      </x:c>
      <x:c r="L23" s="31" t="n">
        <x:v>3.8429323107</x:v>
      </x:c>
      <x:c r="M23" s="31" t="n">
        <x:v>0</x:v>
      </x:c>
      <x:c r="N23" s="24" t="str">
        <x:v>istiompax indica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Istiompax indica</x:v>
      </x:c>
      <x:c r="T23" s="32" t="n">
        <x:f>IF(O23="","",(1/'Metadata'!$B$5)^(O23-1))</x:f>
        <x:v>3162.2776601683795</x:v>
      </x:c>
      <x:c r="U23" s="31" t="n">
        <x:f>IF(T23="","",I23*T23)</x:f>
        <x:v>12152.418995665861</x:v>
      </x:c>
    </x:row>
    <x:row r="24" ht="18" customHeight="1">
      <x:c r="A24" s="24" t="str">
        <x:v>EEZ_570</x:v>
      </x:c>
      <x:c r="B24" s="24" t="str">
        <x:v>Niue (New Zealand)</x:v>
      </x:c>
      <x:c r="C24" s="24" t="str">
        <x:v>EEZ</x:v>
      </x:c>
      <x:c r="D24" s="30" t="n">
        <x:v>2019</x:v>
      </x:c>
      <x:c r="E24" s="24" t="str">
        <x:v>Carcharhinus falciformis</x:v>
      </x:c>
      <x:c r="F24" s="24" t="str">
        <x:v>Silky shark</x:v>
      </x:c>
      <x:c r="G24" s="24" t="str">
        <x:v>Large sharks (&gt;=90 cm)</x:v>
      </x:c>
      <x:c r="H24" s="24" t="str">
        <x:v>Sharks &amp; rays</x:v>
      </x:c>
      <x:c r="I24" s="31" t="n">
        <x:v>3.1101030218</x:v>
      </x:c>
      <x:c r="J24" s="31" t="n">
        <x:v>0.1100507503</x:v>
      </x:c>
      <x:c r="K24" s="31" t="n">
        <x:v>3.0000522715</x:v>
      </x:c>
      <x:c r="L24" s="31" t="n">
        <x:v>0.1100507503</x:v>
      </x:c>
      <x:c r="M24" s="31" t="n">
        <x:v>3.0000522715</x:v>
      </x:c>
      <x:c r="N24" s="24" t="str">
        <x:v>carcharhinus falciformis</x:v>
      </x:c>
      <x:c r="O24" s="32" t="n">
        <x:v>4.51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Carcharhinus falciformis</x:v>
      </x:c>
      <x:c r="T24" s="32" t="n">
        <x:f>IF(O24="","",(1/'Metadata'!$B$5)^(O24-1))</x:f>
        <x:v>3235.936569296281</x:v>
      </x:c>
      <x:c r="U24" s="31" t="n">
        <x:f>IF(T24="","",I24*T24)</x:f>
        <x:v>10064.09610252149</x:v>
      </x:c>
    </x:row>
    <x:row r="25" ht="18" customHeight="1">
      <x:c r="A25" s="24" t="str">
        <x:v>EEZ_570</x:v>
      </x:c>
      <x:c r="B25" s="24" t="str">
        <x:v>Niue (New Zealand)</x:v>
      </x:c>
      <x:c r="C25" s="24" t="str">
        <x:v>EEZ</x:v>
      </x:c>
      <x:c r="D25" s="30" t="n">
        <x:v>2019</x:v>
      </x:c>
      <x:c r="E25" s="24" t="str">
        <x:v>Gastropoda</x:v>
      </x:c>
      <x:c r="F25" s="24" t="str">
        <x:v>Sea snails</x:v>
      </x:c>
      <x:c r="G25" s="24" t="str">
        <x:v>Other demersal invertebrates</x:v>
      </x:c>
      <x:c r="H25" s="24" t="str">
        <x:v>Molluscs</x:v>
      </x:c>
      <x:c r="I25" s="31" t="n">
        <x:v>2.7484924856</x:v>
      </x:c>
      <x:c r="J25" s="31" t="n">
        <x:v>2.7484924856</x:v>
      </x:c>
      <x:c r="K25" s="31" t="n">
        <x:v>0</x:v>
      </x:c>
      <x:c r="L25" s="31" t="n">
        <x:v>0</x:v>
      </x:c>
      <x:c r="M25" s="31" t="n">
        <x:v>2.7484924856</x:v>
      </x:c>
      <x:c r="N25" s="24" t="str">
        <x:v>gastropoda</x:v>
      </x:c>
      <x:c r="O25" s="32" t="n">
        <x:v>3.06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Gastropoda</x:v>
      </x:c>
      <x:c r="T25" s="32" t="n">
        <x:f>IF(O25="","",(1/'Metadata'!$B$5)^(O25-1))</x:f>
        <x:v>114.81536214968828</x:v>
      </x:c>
      <x:c r="U25" s="31" t="n">
        <x:f>IF(T25="","",I25*T25)</x:f>
        <x:v>315.5691600998609</x:v>
      </x:c>
    </x:row>
    <x:row r="26" ht="18" customHeight="1">
      <x:c r="A26" s="24" t="str">
        <x:v>EEZ_570</x:v>
      </x:c>
      <x:c r="B26" s="24" t="str">
        <x:v>Niue (New Zealand)</x:v>
      </x:c>
      <x:c r="C26" s="24" t="str">
        <x:v>EEZ</x:v>
      </x:c>
      <x:c r="D26" s="30" t="n">
        <x:v>2019</x:v>
      </x:c>
      <x:c r="E26" s="24" t="str">
        <x:v>Labridae</x:v>
      </x:c>
      <x:c r="F26" s="24" t="str">
        <x:v>Wrasses, gropers, tuskfishes</x:v>
      </x:c>
      <x:c r="G26" s="24" t="str">
        <x:v>Medium reef assoc. fish (30 - 89 cm)</x:v>
      </x:c>
      <x:c r="H26" s="24" t="str">
        <x:v>Perch-likes</x:v>
      </x:c>
      <x:c r="I26" s="31" t="n">
        <x:v>2.4565858531</x:v>
      </x:c>
      <x:c r="J26" s="31" t="n">
        <x:v>2.4565858531</x:v>
      </x:c>
      <x:c r="K26" s="31" t="n">
        <x:v>0</x:v>
      </x:c>
      <x:c r="L26" s="31" t="n">
        <x:v>0.247226657</x:v>
      </x:c>
      <x:c r="M26" s="31" t="n">
        <x:v>2.2093591961</x:v>
      </x:c>
      <x:c r="N26" s="24" t="str">
        <x:v>labridae</x:v>
      </x:c>
      <x:c r="O26" s="32" t="n">
        <x:v>3.46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Labridae</x:v>
      </x:c>
      <x:c r="T26" s="32" t="n">
        <x:f>IF(O26="","",(1/'Metadata'!$B$5)^(O26-1))</x:f>
        <x:v>288.40315031266056</x:v>
      </x:c>
      <x:c r="U26" s="31" t="n">
        <x:f>IF(T26="","",I26*T26)</x:f>
        <x:v>708.4870990475548</x:v>
      </x:c>
    </x:row>
    <x:row r="27" ht="18" customHeight="1">
      <x:c r="A27" s="24" t="str">
        <x:v>EEZ_570</x:v>
      </x:c>
      <x:c r="B27" s="24" t="str">
        <x:v>Niue (New Zealand)</x:v>
      </x:c>
      <x:c r="C27" s="24" t="str">
        <x:v>EEZ</x:v>
      </x:c>
      <x:c r="D27" s="30" t="n">
        <x:v>2019</x:v>
      </x:c>
      <x:c r="E27" s="24" t="str">
        <x:v>Paracirrhites hemistictus</x:v>
      </x:c>
      <x:c r="F27" s="24" t="str">
        <x:v>Whitespot hawkfish</x:v>
      </x:c>
      <x:c r="G27" s="24" t="str">
        <x:v>Small reef assoc. fish (&lt;30 cm)</x:v>
      </x:c>
      <x:c r="H27" s="24" t="str">
        <x:v>Perch-likes</x:v>
      </x:c>
      <x:c r="I27" s="31" t="n">
        <x:v>2.2961685941</x:v>
      </x:c>
      <x:c r="J27" s="31" t="n">
        <x:v>2.2961685941</x:v>
      </x:c>
      <x:c r="K27" s="31" t="n">
        <x:v>0</x:v>
      </x:c>
      <x:c r="L27" s="31" t="n">
        <x:v>0.231082535</x:v>
      </x:c>
      <x:c r="M27" s="31" t="n">
        <x:v>2.0650860591</x:v>
      </x:c>
      <x:c r="N27" s="24" t="str">
        <x:v>paracirrhites hemistictus</x:v>
      </x:c>
      <x:c r="O27" s="32" t="n">
        <x:v>3.83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Paracirrhites hemistictus</x:v>
      </x:c>
      <x:c r="T27" s="32" t="n">
        <x:f>IF(O27="","",(1/'Metadata'!$B$5)^(O27-1))</x:f>
        <x:v>676.0829753919819</x:v>
      </x:c>
      <x:c r="U27" s="31" t="n">
        <x:f>IF(T27="","",I27*T27)</x:f>
        <x:v>1552.400495100752</x:v>
      </x:c>
    </x:row>
    <x:row r="28" ht="18" customHeight="1">
      <x:c r="A28" s="24" t="str">
        <x:v>EEZ_570</x:v>
      </x:c>
      <x:c r="B28" s="24" t="str">
        <x:v>Niue (New Zealand)</x:v>
      </x:c>
      <x:c r="C28" s="24" t="str">
        <x:v>EEZ</x:v>
      </x:c>
      <x:c r="D28" s="30" t="n">
        <x:v>2019</x:v>
      </x:c>
      <x:c r="E28" s="24" t="str">
        <x:v>Panulirus</x:v>
      </x:c>
      <x:c r="F28" s="24" t="str">
        <x:v>Spiny lobsters</x:v>
      </x:c>
      <x:c r="G28" s="24" t="str">
        <x:v>Lobsters, crabs</x:v>
      </x:c>
      <x:c r="H28" s="24" t="str">
        <x:v>Crustaceans</x:v>
      </x:c>
      <x:c r="I28" s="31" t="n">
        <x:v>2.2529041433</x:v>
      </x:c>
      <x:c r="J28" s="31" t="n">
        <x:v>2.2529041433</x:v>
      </x:c>
      <x:c r="K28" s="31" t="n">
        <x:v>0</x:v>
      </x:c>
      <x:c r="L28" s="31" t="n">
        <x:v>0</x:v>
      </x:c>
      <x:c r="M28" s="31" t="n">
        <x:v>2.2529041433</x:v>
      </x:c>
      <x:c r="N28" s="24" t="str">
        <x:v>panulirus</x:v>
      </x:c>
      <x:c r="O28" s="32" t="n">
        <x:v>2.6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Panulirus</x:v>
      </x:c>
      <x:c r="T28" s="32" t="n">
        <x:f>IF(O28="","",(1/'Metadata'!$B$5)^(O28-1))</x:f>
        <x:v>39.810717055349734</x:v>
      </x:c>
      <x:c r="U28" s="31" t="n">
        <x:f>IF(T28="","",I28*T28)</x:f>
        <x:v>89.68972940174139</x:v>
      </x:c>
    </x:row>
    <x:row r="29" ht="18" customHeight="1">
      <x:c r="A29" s="24" t="str">
        <x:v>EEZ_570</x:v>
      </x:c>
      <x:c r="B29" s="24" t="str">
        <x:v>Niue (New Zealand)</x:v>
      </x:c>
      <x:c r="C29" s="24" t="str">
        <x:v>EEZ</x:v>
      </x:c>
      <x:c r="D29" s="30" t="n">
        <x:v>2019</x:v>
      </x:c>
      <x:c r="E29" s="24" t="str">
        <x:v>Cirrhitus pinnulatus</x:v>
      </x:c>
      <x:c r="F29" s="24" t="str">
        <x:v>Stocky hawkfish</x:v>
      </x:c>
      <x:c r="G29" s="24" t="str">
        <x:v>Small reef assoc. fish (&lt;30 cm)</x:v>
      </x:c>
      <x:c r="H29" s="24" t="str">
        <x:v>Perch-likes</x:v>
      </x:c>
      <x:c r="I29" s="31" t="n">
        <x:v>2.1546239541000003</x:v>
      </x:c>
      <x:c r="J29" s="31" t="n">
        <x:v>2.1546239541000003</x:v>
      </x:c>
      <x:c r="K29" s="31" t="n">
        <x:v>0</x:v>
      </x:c>
      <x:c r="L29" s="31" t="n">
        <x:v>0.21683772</x:v>
      </x:c>
      <x:c r="M29" s="31" t="n">
        <x:v>1.9377862341</x:v>
      </x:c>
      <x:c r="N29" s="24" t="str">
        <x:v>cirrhitus pinnulatus</x:v>
      </x:c>
      <x:c r="O29" s="32" t="n">
        <x:v>3.68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Cirrhitus pinnulatus</x:v>
      </x:c>
      <x:c r="T29" s="32" t="n">
        <x:f>IF(O29="","",(1/'Metadata'!$B$5)^(O29-1))</x:f>
        <x:v>478.6300923226385</x:v>
      </x:c>
      <x:c r="U29" s="31" t="n">
        <x:f>IF(T29="","",I29*T29)</x:f>
        <x:v>1031.2678620714516</x:v>
      </x:c>
    </x:row>
    <x:row r="30" ht="18" customHeight="1">
      <x:c r="A30" s="24" t="str">
        <x:v>EEZ_570</x:v>
      </x:c>
      <x:c r="B30" s="24" t="str">
        <x:v>Niue (New Zealand)</x:v>
      </x:c>
      <x:c r="C30" s="24" t="str">
        <x:v>EEZ</x:v>
      </x:c>
      <x:c r="D30" s="30" t="n">
        <x:v>2019</x:v>
      </x:c>
      <x:c r="E30" s="24" t="str">
        <x:v>Alopias</x:v>
      </x:c>
      <x:c r="F30" s="24" t="str">
        <x:v>Thresher sharks</x:v>
      </x:c>
      <x:c r="G30" s="24" t="str">
        <x:v>Large sharks (&gt;=90 cm)</x:v>
      </x:c>
      <x:c r="H30" s="24" t="str">
        <x:v>Sharks &amp; rays</x:v>
      </x:c>
      <x:c r="I30" s="31" t="n">
        <x:v>2.1146196351</x:v>
      </x:c>
      <x:c r="J30" s="31" t="n">
        <x:v>0.3365653065</x:v>
      </x:c>
      <x:c r="K30" s="31" t="n">
        <x:v>1.7780543286000001</x:v>
      </x:c>
      <x:c r="L30" s="31" t="n">
        <x:v>0.3365653065</x:v>
      </x:c>
      <x:c r="M30" s="31" t="n">
        <x:v>1.7780543286000001</x:v>
      </x:c>
      <x:c r="N30" s="24" t="str">
        <x:v>alopias</x:v>
      </x:c>
      <x:c r="O30" s="32" t="n">
        <x:v>4.5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Alopias</x:v>
      </x:c>
      <x:c r="T30" s="32" t="n">
        <x:f>IF(O30="","",(1/'Metadata'!$B$5)^(O30-1))</x:f>
        <x:v>3162.2776601683795</x:v>
      </x:c>
      <x:c r="U30" s="31" t="n">
        <x:f>IF(T30="","",I30*T30)</x:f>
        <x:v>6687.01443183014</x:v>
      </x:c>
    </x:row>
    <x:row r="31" ht="18" customHeight="1">
      <x:c r="A31" s="24" t="str">
        <x:v>EEZ_570</x:v>
      </x:c>
      <x:c r="B31" s="24" t="str">
        <x:v>Niue (New Zealand)</x:v>
      </x:c>
      <x:c r="C31" s="24" t="str">
        <x:v>EEZ</x:v>
      </x:c>
      <x:c r="D31" s="30" t="n">
        <x:v>2019</x:v>
      </x:c>
      <x:c r="E31" s="24" t="str">
        <x:v>Seriola rivoliana</x:v>
      </x:c>
      <x:c r="F31" s="24" t="str">
        <x:v>Longfin yellowtail</x:v>
      </x:c>
      <x:c r="G31" s="24" t="str">
        <x:v>Large benthopelagics (&gt;=90 cm)</x:v>
      </x:c>
      <x:c r="H31" s="24" t="str">
        <x:v>Perch-likes</x:v>
      </x:c>
      <x:c r="I31" s="31" t="n">
        <x:v>1.6953902362000002</x:v>
      </x:c>
      <x:c r="J31" s="31" t="n">
        <x:v>1.6953902362000002</x:v>
      </x:c>
      <x:c r="K31" s="31" t="n">
        <x:v>0</x:v>
      </x:c>
      <x:c r="L31" s="31" t="n">
        <x:v>0.170621214</x:v>
      </x:c>
      <x:c r="M31" s="31" t="n">
        <x:v>1.5247690222</x:v>
      </x:c>
      <x:c r="N31" s="24" t="str">
        <x:v>seriola rivoliana</x:v>
      </x:c>
      <x:c r="O31" s="32" t="n">
        <x:v>4.45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Seriola rivoliana</x:v>
      </x:c>
      <x:c r="T31" s="32" t="n">
        <x:f>IF(O31="","",(1/'Metadata'!$B$5)^(O31-1))</x:f>
        <x:v>2818.382931264455</x:v>
      </x:c>
      <x:c r="U31" s="31" t="n">
        <x:f>IF(T31="","",I31*T31)</x:f>
        <x:v>4778.258903538493</x:v>
      </x:c>
    </x:row>
    <x:row r="32" ht="18" customHeight="1">
      <x:c r="A32" s="24" t="str">
        <x:v>EEZ_570</x:v>
      </x:c>
      <x:c r="B32" s="24" t="str">
        <x:v>Niue (New Zealand)</x:v>
      </x:c>
      <x:c r="C32" s="24" t="str">
        <x:v>EEZ</x:v>
      </x:c>
      <x:c r="D32" s="30" t="n">
        <x:v>2019</x:v>
      </x:c>
      <x:c r="E32" s="24" t="str">
        <x:v>Caranx melampygus</x:v>
      </x:c>
      <x:c r="F32" s="24" t="str">
        <x:v>Bluefin trevally</x:v>
      </x:c>
      <x:c r="G32" s="24" t="str">
        <x:v>Large reef assoc. fish (&gt;=90 cm)</x:v>
      </x:c>
      <x:c r="H32" s="24" t="str">
        <x:v>Perch-likes</x:v>
      </x:c>
      <x:c r="I32" s="31" t="n">
        <x:v>1.6859539272000001</x:v>
      </x:c>
      <x:c r="J32" s="31" t="n">
        <x:v>1.6859539272000001</x:v>
      </x:c>
      <x:c r="K32" s="31" t="n">
        <x:v>0</x:v>
      </x:c>
      <x:c r="L32" s="31" t="n">
        <x:v>0.16967156</x:v>
      </x:c>
      <x:c r="M32" s="31" t="n">
        <x:v>1.5162823672</x:v>
      </x:c>
      <x:c r="N32" s="24" t="str">
        <x:v>caranx melampygus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Caranx melampygus</x:v>
      </x:c>
      <x:c r="T32" s="32" t="n">
        <x:f>IF(O32="","",(1/'Metadata'!$B$5)^(O32-1))</x:f>
        <x:v>3090.295432513592</x:v>
      </x:c>
      <x:c r="U32" s="31" t="n">
        <x:f>IF(T32="","",I32*T32)</x:f>
        <x:v>5210.095720654514</x:v>
      </x:c>
    </x:row>
    <x:row r="33" ht="18" customHeight="1">
      <x:c r="A33" s="24" t="str">
        <x:v>EEZ_570</x:v>
      </x:c>
      <x:c r="B33" s="24" t="str">
        <x:v>Niue (New Zealand)</x:v>
      </x:c>
      <x:c r="C33" s="24" t="str">
        <x:v>EEZ</x:v>
      </x:c>
      <x:c r="D33" s="30" t="n">
        <x:v>2019</x:v>
      </x:c>
      <x:c r="E33" s="24" t="str">
        <x:v>Epinephelus merra</x:v>
      </x:c>
      <x:c r="F33" s="24" t="str">
        <x:v>Honeycomb grouper</x:v>
      </x:c>
      <x:c r="G33" s="24" t="str">
        <x:v>Small reef assoc. fish (&lt;30 cm)</x:v>
      </x:c>
      <x:c r="H33" s="24" t="str">
        <x:v>Perch-likes</x:v>
      </x:c>
      <x:c r="I33" s="31" t="n">
        <x:v>1.4531916319</x:v>
      </x:c>
      <x:c r="J33" s="31" t="n">
        <x:v>1.4531916319</x:v>
      </x:c>
      <x:c r="K33" s="31" t="n">
        <x:v>0</x:v>
      </x:c>
      <x:c r="L33" s="31" t="n">
        <x:v>0.146246755</x:v>
      </x:c>
      <x:c r="M33" s="31" t="n">
        <x:v>1.3069448769</x:v>
      </x:c>
      <x:c r="N33" s="24" t="str">
        <x:v>epinephelus merra</x:v>
      </x:c>
      <x:c r="O33" s="32" t="n">
        <x:v>3.82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merra</x:v>
      </x:c>
      <x:c r="T33" s="32" t="n">
        <x:f>IF(O33="","",(1/'Metadata'!$B$5)^(O33-1))</x:f>
        <x:v>660.6934480075957</x:v>
      </x:c>
      <x:c r="U33" s="31" t="n">
        <x:f>IF(T33="","",I33*T33)</x:f>
        <x:v>960.1141898957959</x:v>
      </x:c>
    </x:row>
    <x:row r="34" ht="18" customHeight="1">
      <x:c r="A34" s="24" t="str">
        <x:v>EEZ_570</x:v>
      </x:c>
      <x:c r="B34" s="24" t="str">
        <x:v>Niue (New Zealand)</x:v>
      </x:c>
      <x:c r="C34" s="24" t="str">
        <x:v>EEZ</x:v>
      </x:c>
      <x:c r="D34" s="30" t="n">
        <x:v>2019</x:v>
      </x:c>
      <x:c r="E34" s="24" t="str">
        <x:v>Cephalopholis miniata</x:v>
      </x:c>
      <x:c r="F34" s="24" t="str">
        <x:v>Coral hind</x:v>
      </x:c>
      <x:c r="G34" s="24" t="str">
        <x:v>Medium reef assoc. fish (30 - 89 cm)</x:v>
      </x:c>
      <x:c r="H34" s="24" t="str">
        <x:v>Perch-likes</x:v>
      </x:c>
      <x:c r="I34" s="31" t="n">
        <x:v>1.3305196109000001</x:v>
      </x:c>
      <x:c r="J34" s="31" t="n">
        <x:v>1.3305196109000001</x:v>
      </x:c>
      <x:c r="K34" s="31" t="n">
        <x:v>0</x:v>
      </x:c>
      <x:c r="L34" s="31" t="n">
        <x:v>0.13390125</x:v>
      </x:c>
      <x:c r="M34" s="31" t="n">
        <x:v>1.1966183609</x:v>
      </x:c>
      <x:c r="N34" s="24" t="str">
        <x:v>cephalopholis miniata</x:v>
      </x:c>
      <x:c r="O34" s="32" t="n">
        <x:v>4.29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Cephalopholis miniata</x:v>
      </x:c>
      <x:c r="T34" s="32" t="n">
        <x:f>IF(O34="","",(1/'Metadata'!$B$5)^(O34-1))</x:f>
        <x:v>1949.8445997580454</x:v>
      </x:c>
      <x:c r="U34" s="31" t="n">
        <x:f>IF(T34="","",I34*T34)</x:f>
        <x:v>2594.306478185541</x:v>
      </x:c>
    </x:row>
    <x:row r="35" ht="18" customHeight="1">
      <x:c r="A35" s="24" t="str">
        <x:v>EEZ_570</x:v>
      </x:c>
      <x:c r="B35" s="24" t="str">
        <x:v>Niue (New Zealand)</x:v>
      </x:c>
      <x:c r="C35" s="24" t="str">
        <x:v>EEZ</x:v>
      </x:c>
      <x:c r="D35" s="30" t="n">
        <x:v>2019</x:v>
      </x:c>
      <x:c r="E35" s="24" t="str">
        <x:v>Caranx lugubris</x:v>
      </x:c>
      <x:c r="F35" s="24" t="str">
        <x:v>Black jack</x:v>
      </x:c>
      <x:c r="G35" s="24" t="str">
        <x:v>Large benthopelagics (&gt;=90 cm)</x:v>
      </x:c>
      <x:c r="H35" s="24" t="str">
        <x:v>Perch-likes</x:v>
      </x:c>
      <x:c r="I35" s="31" t="n">
        <x:v>1.2267202083</x:v>
      </x:c>
      <x:c r="J35" s="31" t="n">
        <x:v>1.2267202083</x:v>
      </x:c>
      <x:c r="K35" s="31" t="n">
        <x:v>0</x:v>
      </x:c>
      <x:c r="L35" s="31" t="n">
        <x:v>0.123455053</x:v>
      </x:c>
      <x:c r="M35" s="31" t="n">
        <x:v>1.1032651553</x:v>
      </x:c>
      <x:c r="N35" s="24" t="str">
        <x:v>caranx lugubris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Caranx lugubris</x:v>
      </x:c>
      <x:c r="T35" s="32" t="n">
        <x:f>IF(O35="","",(1/'Metadata'!$B$5)^(O35-1))</x:f>
        <x:v>3162.2776601683795</x:v>
      </x:c>
      <x:c r="U35" s="31" t="n">
        <x:f>IF(T35="","",I35*T35)</x:f>
        <x:v>3879.2299099841907</x:v>
      </x:c>
    </x:row>
    <x:row r="36" ht="18" customHeight="1">
      <x:c r="A36" s="24" t="str">
        <x:v>EEZ_570</x:v>
      </x:c>
      <x:c r="B36" s="24" t="str">
        <x:v>Niue (New Zealand)</x:v>
      </x:c>
      <x:c r="C36" s="24" t="str">
        <x:v>EEZ</x:v>
      </x:c>
      <x:c r="D36" s="30" t="n">
        <x:v>2019</x:v>
      </x:c>
      <x:c r="E36" s="24" t="str">
        <x:v>Scombroidei</x:v>
      </x:c>
      <x:c r="F36" s="24" t="str">
        <x:v>Tunas, bonitos, billfishes</x:v>
      </x:c>
      <x:c r="G36" s="24" t="str">
        <x:v>Large pelagics (&gt;=90 cm)</x:v>
      </x:c>
      <x:c r="H36" s="24" t="str">
        <x:v>Tuna &amp; billfishes</x:v>
      </x:c>
      <x:c r="I36" s="31" t="n">
        <x:v>1.0617092191</x:v>
      </x:c>
      <x:c r="J36" s="31" t="n">
        <x:v>1.0617092191</x:v>
      </x:c>
      <x:c r="K36" s="31" t="n">
        <x:v>0</x:v>
      </x:c>
      <x:c r="L36" s="31" t="n">
        <x:v>1.0617092191</x:v>
      </x:c>
      <x:c r="M36" s="31" t="n">
        <x:v>0</x:v>
      </x:c>
      <x:c r="N36" s="24" t="str">
        <x:v>scombroidei</x:v>
      </x:c>
      <x:c r="O36" s="32" t="n">
        <x:v>4.2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Scombroidei</x:v>
      </x:c>
      <x:c r="T36" s="32" t="n">
        <x:f>IF(O36="","",(1/'Metadata'!$B$5)^(O36-1))</x:f>
        <x:v>1584.893192461114</x:v>
      </x:c>
      <x:c r="U36" s="31" t="n">
        <x:f>IF(T36="","",I36*T36)</x:f>
        <x:v>1682.6957137247953</x:v>
      </x:c>
    </x:row>
    <x:row r="37" ht="18" customHeight="1">
      <x:c r="A37" s="24" t="str">
        <x:v>EEZ_570</x:v>
      </x:c>
      <x:c r="B37" s="24" t="str">
        <x:v>Niue (New Zealand)</x:v>
      </x:c>
      <x:c r="C37" s="24" t="str">
        <x:v>EEZ</x:v>
      </x:c>
      <x:c r="D37" s="30" t="n">
        <x:v>2019</x:v>
      </x:c>
      <x:c r="E37" s="24" t="str">
        <x:v>Scylla serrata</x:v>
      </x:c>
      <x:c r="F37" s="24" t="str">
        <x:v>Indo-Pacific swamp crab</x:v>
      </x:c>
      <x:c r="G37" s="24" t="str">
        <x:v>Lobsters, crabs</x:v>
      </x:c>
      <x:c r="H37" s="24" t="str">
        <x:v>Crustaceans</x:v>
      </x:c>
      <x:c r="I37" s="31" t="n">
        <x:v>1.0594465048</x:v>
      </x:c>
      <x:c r="J37" s="31" t="n">
        <x:v>1.0594465048</x:v>
      </x:c>
      <x:c r="K37" s="31" t="n">
        <x:v>0</x:v>
      </x:c>
      <x:c r="L37" s="31" t="n">
        <x:v>0</x:v>
      </x:c>
      <x:c r="M37" s="31" t="n">
        <x:v>1.0594465048</x:v>
      </x:c>
      <x:c r="N37" s="24" t="str">
        <x:v>scylla serrata</x:v>
      </x:c>
      <x:c r="O37" s="32" t="n">
        <x:v>3.17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Scylla serrata</x:v>
      </x:c>
      <x:c r="T37" s="32" t="n">
        <x:f>IF(O37="","",(1/'Metadata'!$B$5)^(O37-1))</x:f>
        <x:v>147.91083881682073</x:v>
      </x:c>
      <x:c r="U37" s="31" t="n">
        <x:f>IF(T37="","",I37*T37)</x:f>
        <x:v>156.70362120651689</x:v>
      </x:c>
    </x:row>
    <x:row r="38" ht="18" customHeight="1">
      <x:c r="A38" s="24" t="str">
        <x:v>EEZ_570</x:v>
      </x:c>
      <x:c r="B38" s="24" t="str">
        <x:v>Niue (New Zealand)</x:v>
      </x:c>
      <x:c r="C38" s="24" t="str">
        <x:v>EEZ</x:v>
      </x:c>
      <x:c r="D38" s="30" t="n">
        <x:v>2019</x:v>
      </x:c>
      <x:c r="E38" s="24" t="str">
        <x:v>Mugil</x:v>
      </x:c>
      <x:c r="F38" s="24" t="str">
        <x:v>Grey mullets</x:v>
      </x:c>
      <x:c r="G38" s="24" t="str">
        <x:v>Medium demersals (30 - 89 cm)</x:v>
      </x:c>
      <x:c r="H38" s="24" t="str">
        <x:v>Perch-likes</x:v>
      </x:c>
      <x:c r="I38" s="31" t="n">
        <x:v>1.0096850949</x:v>
      </x:c>
      <x:c r="J38" s="31" t="n">
        <x:v>1.0096850949</x:v>
      </x:c>
      <x:c r="K38" s="31" t="n">
        <x:v>0</x:v>
      </x:c>
      <x:c r="L38" s="31" t="n">
        <x:v>0.101613005</x:v>
      </x:c>
      <x:c r="M38" s="31" t="n">
        <x:v>0.9080720899</x:v>
      </x:c>
      <x:c r="N38" s="24" t="str">
        <x:v>mugil</x:v>
      </x:c>
      <x:c r="O38" s="32" t="n">
        <x:v>2.26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Mugil</x:v>
      </x:c>
      <x:c r="T38" s="32" t="n">
        <x:f>IF(O38="","",(1/'Metadata'!$B$5)^(O38-1))</x:f>
        <x:v>18.197008586099827</x:v>
      </x:c>
      <x:c r="U38" s="31" t="n">
        <x:f>IF(T38="","",I38*T38)</x:f>
        <x:v>18.37324834115232</x:v>
      </x:c>
    </x:row>
    <x:row r="39" ht="18" customHeight="1">
      <x:c r="A39" s="24" t="str">
        <x:v>EEZ_570</x:v>
      </x:c>
      <x:c r="B39" s="24" t="str">
        <x:v>Niue (New Zealand)</x:v>
      </x:c>
      <x:c r="C39" s="24" t="str">
        <x:v>EEZ</x:v>
      </x:c>
      <x:c r="D39" s="30" t="n">
        <x:v>2019</x:v>
      </x:c>
      <x:c r="E39" s="24" t="str">
        <x:v>Tridacna maxima</x:v>
      </x:c>
      <x:c r="F39" s="24" t="str">
        <x:v>Maxima clam</x:v>
      </x:c>
      <x:c r="G39" s="24" t="str">
        <x:v>Other demersal invertebrates</x:v>
      </x:c>
      <x:c r="H39" s="24" t="str">
        <x:v>Molluscs</x:v>
      </x:c>
      <x:c r="I39" s="31" t="n">
        <x:v>0.7749889112</x:v>
      </x:c>
      <x:c r="J39" s="31" t="n">
        <x:v>0.7749889112</x:v>
      </x:c>
      <x:c r="K39" s="31" t="n">
        <x:v>0</x:v>
      </x:c>
      <x:c r="L39" s="31" t="n">
        <x:v>0</x:v>
      </x:c>
      <x:c r="M39" s="31" t="n">
        <x:v>0.7749889112</x:v>
      </x:c>
      <x:c r="N39" s="24" t="str">
        <x:v>tridacna maxima</x:v>
      </x:c>
      <x:c r="O39" s="32" t="n">
        <x:v>2.15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Tridacna maxima</x:v>
      </x:c>
      <x:c r="T39" s="32" t="n">
        <x:f>IF(O39="","",(1/'Metadata'!$B$5)^(O39-1))</x:f>
        <x:v>14.12537544622754</x:v>
      </x:c>
      <x:c r="U39" s="31" t="n">
        <x:f>IF(T39="","",I39*T39)</x:f>
        <x:v>10.947009337363095</x:v>
      </x:c>
    </x:row>
    <x:row r="40" ht="18" customHeight="1">
      <x:c r="A40" s="24" t="str">
        <x:v>EEZ_570</x:v>
      </x:c>
      <x:c r="B40" s="24" t="str">
        <x:v>Niue (New Zealand)</x:v>
      </x:c>
      <x:c r="C40" s="24" t="str">
        <x:v>EEZ</x:v>
      </x:c>
      <x:c r="D40" s="30" t="n">
        <x:v>2019</x:v>
      </x:c>
      <x:c r="E40" s="24" t="str">
        <x:v>Tridacna squamosa</x:v>
      </x:c>
      <x:c r="F40" s="24" t="str">
        <x:v>Fluted giant clam</x:v>
      </x:c>
      <x:c r="G40" s="24" t="str">
        <x:v>Other demersal invertebrates</x:v>
      </x:c>
      <x:c r="H40" s="24" t="str">
        <x:v>Molluscs</x:v>
      </x:c>
      <x:c r="I40" s="31" t="n">
        <x:v>0.7749889112</x:v>
      </x:c>
      <x:c r="J40" s="31" t="n">
        <x:v>0.7749889112</x:v>
      </x:c>
      <x:c r="K40" s="31" t="n">
        <x:v>0</x:v>
      </x:c>
      <x:c r="L40" s="31" t="n">
        <x:v>0</x:v>
      </x:c>
      <x:c r="M40" s="31" t="n">
        <x:v>0.7749889112</x:v>
      </x:c>
      <x:c r="N40" s="24" t="str">
        <x:v>tridacna squamosa</x:v>
      </x:c>
      <x:c r="O40" s="32" t="n">
        <x:v>2.1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Tridacna squamosa</x:v>
      </x:c>
      <x:c r="T40" s="32" t="n">
        <x:f>IF(O40="","",(1/'Metadata'!$B$5)^(O40-1))</x:f>
        <x:v>12.589254117941675</x:v>
      </x:c>
      <x:c r="U40" s="31" t="n">
        <x:f>IF(T40="","",I40*T40)</x:f>
        <x:v>9.756532341683736</x:v>
      </x:c>
    </x:row>
    <x:row r="41" ht="18" customHeight="1">
      <x:c r="A41" s="24" t="str">
        <x:v>EEZ_570</x:v>
      </x:c>
      <x:c r="B41" s="24" t="str">
        <x:v>Niue (New Zealand)</x:v>
      </x:c>
      <x:c r="C41" s="24" t="str">
        <x:v>EEZ</x:v>
      </x:c>
      <x:c r="D41" s="30" t="n">
        <x:v>2019</x:v>
      </x:c>
      <x:c r="E41" s="24" t="str">
        <x:v>Scarus</x:v>
      </x:c>
      <x:c r="F41" s="24" t="str">
        <x:v>Parrots</x:v>
      </x:c>
      <x:c r="G41" s="24" t="str">
        <x:v>Medium reef assoc. fish (30 - 89 cm)</x:v>
      </x:c>
      <x:c r="H41" s="24" t="str">
        <x:v>Perch-likes</x:v>
      </x:c>
      <x:c r="I41" s="31" t="n">
        <x:v>0.7737773620999999</x:v>
      </x:c>
      <x:c r="J41" s="31" t="n">
        <x:v>0.7737773620999999</x:v>
      </x:c>
      <x:c r="K41" s="31" t="n">
        <x:v>0</x:v>
      </x:c>
      <x:c r="L41" s="31" t="n">
        <x:v>0.077871649</x:v>
      </x:c>
      <x:c r="M41" s="31" t="n">
        <x:v>0.6959057130999999</x:v>
      </x:c>
      <x:c r="N41" s="24" t="str">
        <x:v>scarus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Scarus</x:v>
      </x:c>
      <x:c r="T41" s="32" t="n">
        <x:f>IF(O41="","",(1/'Metadata'!$B$5)^(O41-1))</x:f>
        <x:v>10</x:v>
      </x:c>
      <x:c r="U41" s="31" t="n">
        <x:f>IF(T41="","",I41*T41)</x:f>
        <x:v>7.737773620999999</x:v>
      </x:c>
    </x:row>
    <x:row r="42" ht="18" customHeight="1">
      <x:c r="A42" s="24" t="str">
        <x:v>EEZ_570</x:v>
      </x:c>
      <x:c r="B42" s="24" t="str">
        <x:v>Niue (New Zealand)</x:v>
      </x:c>
      <x:c r="C42" s="24" t="str">
        <x:v>EEZ</x:v>
      </x:c>
      <x:c r="D42" s="30" t="n">
        <x:v>2019</x:v>
      </x:c>
      <x:c r="E42" s="24" t="str">
        <x:v>Decapoda</x:v>
      </x:c>
      <x:c r="F42" s="24" t="str">
        <x:v>Crabs, lobsters, shrimps</x:v>
      </x:c>
      <x:c r="G42" s="24" t="str">
        <x:v>Lobsters, crabs</x:v>
      </x:c>
      <x:c r="H42" s="24" t="str">
        <x:v>Crustaceans</x:v>
      </x:c>
      <x:c r="I42" s="31" t="n">
        <x:v>0.7105118574</x:v>
      </x:c>
      <x:c r="J42" s="31" t="n">
        <x:v>0.7105118574</x:v>
      </x:c>
      <x:c r="K42" s="31" t="n">
        <x:v>0</x:v>
      </x:c>
      <x:c r="L42" s="31" t="n">
        <x:v>0</x:v>
      </x:c>
      <x:c r="M42" s="31" t="n">
        <x:v>0.7105118574</x:v>
      </x:c>
      <x:c r="N42" s="24" t="str">
        <x:v>decapoda</x:v>
      </x:c>
      <x:c r="O42" s="32" t="n">
        <x:v>3.43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Decapoda</x:v>
      </x:c>
      <x:c r="T42" s="32" t="n">
        <x:f>IF(O42="","",(1/'Metadata'!$B$5)^(O42-1))</x:f>
        <x:v>269.1534803926917</x:v>
      </x:c>
      <x:c r="U42" s="31" t="n">
        <x:f>IF(T42="","",I42*T42)</x:f>
        <x:v>191.23673927948585</x:v>
      </x:c>
    </x:row>
    <x:row r="43" ht="18" customHeight="1">
      <x:c r="A43" s="24" t="str">
        <x:v>EEZ_570</x:v>
      </x:c>
      <x:c r="B43" s="24" t="str">
        <x:v>Niue (New Zealand)</x:v>
      </x:c>
      <x:c r="C43" s="24" t="str">
        <x:v>EEZ</x:v>
      </x:c>
      <x:c r="D43" s="30" t="n">
        <x:v>2019</x:v>
      </x:c>
      <x:c r="E43" s="24" t="str">
        <x:v>Acanthurus xanthopterus</x:v>
      </x:c>
      <x:c r="F43" s="24" t="str">
        <x:v>Yellowfin surgeonfish</x:v>
      </x:c>
      <x:c r="G43" s="24" t="str">
        <x:v>Medium reef assoc. fish (30 - 89 cm)</x:v>
      </x:c>
      <x:c r="H43" s="24" t="str">
        <x:v>Perch-likes</x:v>
      </x:c>
      <x:c r="I43" s="31" t="n">
        <x:v>0.6951414516</x:v>
      </x:c>
      <x:c r="J43" s="31" t="n">
        <x:v>0.6951414516</x:v>
      </x:c>
      <x:c r="K43" s="31" t="n">
        <x:v>0</x:v>
      </x:c>
      <x:c r="L43" s="31" t="n">
        <x:v>0.069957863</x:v>
      </x:c>
      <x:c r="M43" s="31" t="n">
        <x:v>0.6251835886</x:v>
      </x:c>
      <x:c r="N43" s="24" t="str">
        <x:v>acanthurus xanthopterus</x:v>
      </x:c>
      <x:c r="O43" s="32" t="n">
        <x:v>2.87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Acanthurus xanthopterus</x:v>
      </x:c>
      <x:c r="T43" s="32" t="n">
        <x:f>IF(O43="","",(1/'Metadata'!$B$5)^(O43-1))</x:f>
        <x:v>74.13102413009177</x:v>
      </x:c>
      <x:c r="U43" s="31" t="n">
        <x:f>IF(T43="","",I43*T43)</x:f>
        <x:v>51.53154772238662</x:v>
      </x:c>
    </x:row>
    <x:row r="44" ht="18" customHeight="1">
      <x:c r="A44" s="24" t="str">
        <x:v>EEZ_570</x:v>
      </x:c>
      <x:c r="B44" s="24" t="str">
        <x:v>Niue (New Zealand)</x:v>
      </x:c>
      <x:c r="C44" s="24" t="str">
        <x:v>EEZ</x:v>
      </x:c>
      <x:c r="D44" s="30" t="n">
        <x:v>2019</x:v>
      </x:c>
      <x:c r="E44" s="24" t="str">
        <x:v>Balistidae</x:v>
      </x:c>
      <x:c r="F44" s="24" t="str">
        <x:v>Triggerfishes</x:v>
      </x:c>
      <x:c r="G44" s="24" t="str">
        <x:v>Medium reef assoc. fish (30 - 89 cm)</x:v>
      </x:c>
      <x:c r="H44" s="24" t="str">
        <x:v>Other fishes &amp; inverts</x:v>
      </x:c>
      <x:c r="I44" s="31" t="n">
        <x:v>0.6511053401</x:v>
      </x:c>
      <x:c r="J44" s="31" t="n">
        <x:v>0.6511053401</x:v>
      </x:c>
      <x:c r="K44" s="31" t="n">
        <x:v>0</x:v>
      </x:c>
      <x:c r="L44" s="31" t="n">
        <x:v>0.065526143</x:v>
      </x:c>
      <x:c r="M44" s="31" t="n">
        <x:v>0.5855791971</x:v>
      </x:c>
      <x:c r="N44" s="24" t="str">
        <x:v>balistidae</x:v>
      </x:c>
      <x:c r="O44" s="32" t="n">
        <x:v>3.25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Balistidae</x:v>
      </x:c>
      <x:c r="T44" s="32" t="n">
        <x:f>IF(O44="","",(1/'Metadata'!$B$5)^(O44-1))</x:f>
        <x:v>177.82794100389228</x:v>
      </x:c>
      <x:c r="U44" s="31" t="n">
        <x:f>IF(T44="","",I44*T44)</x:f>
        <x:v>115.78472200662202</x:v>
      </x:c>
    </x:row>
    <x:row r="45" ht="18" customHeight="1">
      <x:c r="A45" s="24" t="str">
        <x:v>EEZ_570</x:v>
      </x:c>
      <x:c r="B45" s="24" t="str">
        <x:v>Niue (New Zealand)</x:v>
      </x:c>
      <x:c r="C45" s="24" t="str">
        <x:v>EEZ</x:v>
      </x:c>
      <x:c r="D45" s="30" t="n">
        <x:v>2019</x:v>
      </x:c>
      <x:c r="E45" s="24" t="str">
        <x:v>Parupeneus multifasciatus</x:v>
      </x:c>
      <x:c r="F45" s="24" t="str">
        <x:v>Manybar goatfish</x:v>
      </x:c>
      <x:c r="G45" s="24" t="str">
        <x:v>Medium reef assoc. fish (30 - 89 cm)</x:v>
      </x:c>
      <x:c r="H45" s="24" t="str">
        <x:v>Perch-likes</x:v>
      </x:c>
      <x:c r="I45" s="31" t="n">
        <x:v>0.5976329217999999</x:v>
      </x:c>
      <x:c r="J45" s="31" t="n">
        <x:v>0.5976329217999999</x:v>
      </x:c>
      <x:c r="K45" s="31" t="n">
        <x:v>0</x:v>
      </x:c>
      <x:c r="L45" s="31" t="n">
        <x:v>0.060144769</x:v>
      </x:c>
      <x:c r="M45" s="31" t="n">
        <x:v>0.5374881528</x:v>
      </x:c>
      <x:c r="N45" s="24" t="str">
        <x:v>parupeneus multifasciatus</x:v>
      </x:c>
      <x:c r="O45" s="32" t="n">
        <x:v>3.5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Parupeneus multifasciatus</x:v>
      </x:c>
      <x:c r="T45" s="32" t="n">
        <x:f>IF(O45="","",(1/'Metadata'!$B$5)^(O45-1))</x:f>
        <x:v>316.22776601683796</x:v>
      </x:c>
      <x:c r="U45" s="31" t="n">
        <x:f>IF(T45="","",I45*T45)</x:f>
        <x:v>188.9881237589296</x:v>
      </x:c>
    </x:row>
    <x:row r="46" ht="18" customHeight="1">
      <x:c r="A46" s="24" t="str">
        <x:v>EEZ_570</x:v>
      </x:c>
      <x:c r="B46" s="24" t="str">
        <x:v>Niue (New Zealand)</x:v>
      </x:c>
      <x:c r="C46" s="24" t="str">
        <x:v>EEZ</x:v>
      </x:c>
      <x:c r="D46" s="30" t="n">
        <x:v>2019</x:v>
      </x:c>
      <x:c r="E46" s="24" t="str">
        <x:v>Acanthurus</x:v>
      </x:c>
      <x:c r="F46" s="24" t="str">
        <x:v>Surgeonfishes</x:v>
      </x:c>
      <x:c r="G46" s="24" t="str">
        <x:v>Small reef assoc. fish (&lt;30 cm)</x:v>
      </x:c>
      <x:c r="H46" s="24" t="str">
        <x:v>Perch-likes</x:v>
      </x:c>
      <x:c r="I46" s="31" t="n">
        <x:v>0.5724694305999999</x:v>
      </x:c>
      <x:c r="J46" s="31" t="n">
        <x:v>0.5724694305999999</x:v>
      </x:c>
      <x:c r="K46" s="31" t="n">
        <x:v>0</x:v>
      </x:c>
      <x:c r="L46" s="31" t="n">
        <x:v>0.057612358</x:v>
      </x:c>
      <x:c r="M46" s="31" t="n">
        <x:v>0.5148570725999999</x:v>
      </x:c>
      <x:c r="N46" s="24" t="str">
        <x:v>acanthurus</x:v>
      </x:c>
      <x:c r="O46" s="32" t="n">
        <x:v>2.03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Acanthurus</x:v>
      </x:c>
      <x:c r="T46" s="32" t="n">
        <x:f>IF(O46="","",(1/'Metadata'!$B$5)^(O46-1))</x:f>
        <x:v>10.71519305237606</x:v>
      </x:c>
      <x:c r="U46" s="31" t="n">
        <x:f>IF(T46="","",I46*T46)</x:f>
        <x:v>6.134120465462798</x:v>
      </x:c>
    </x:row>
    <x:row r="47" ht="18" customHeight="1">
      <x:c r="A47" s="24" t="str">
        <x:v>EEZ_570</x:v>
      </x:c>
      <x:c r="B47" s="24" t="str">
        <x:v>Niue (New Zealand)</x:v>
      </x:c>
      <x:c r="C47" s="24" t="str">
        <x:v>EEZ</x:v>
      </x:c>
      <x:c r="D47" s="30" t="n">
        <x:v>2019</x:v>
      </x:c>
      <x:c r="E47" s="24" t="str">
        <x:v>Chlorurus microrhinos</x:v>
      </x:c>
      <x:c r="F47" s="24" t="str">
        <x:v>Steephead parrotfish</x:v>
      </x:c>
      <x:c r="G47" s="24" t="str">
        <x:v>Medium reef assoc. fish (30 - 89 cm)</x:v>
      </x:c>
      <x:c r="H47" s="24" t="str">
        <x:v>Perch-likes</x:v>
      </x:c>
      <x:c r="I47" s="31" t="n">
        <x:v>0.42463391770000003</x:v>
      </x:c>
      <x:c r="J47" s="31" t="n">
        <x:v>0.42463391770000003</x:v>
      </x:c>
      <x:c r="K47" s="31" t="n">
        <x:v>0</x:v>
      </x:c>
      <x:c r="L47" s="31" t="n">
        <x:v>0.042734441</x:v>
      </x:c>
      <x:c r="M47" s="31" t="n">
        <x:v>0.3818994767</x:v>
      </x:c>
      <x:c r="N47" s="24" t="str">
        <x:v>chlorurus microrhinos</x:v>
      </x:c>
      <x:c r="O47" s="32" t="n">
        <x:v>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Chlorurus microrhinos</x:v>
      </x:c>
      <x:c r="T47" s="32" t="n">
        <x:f>IF(O47="","",(1/'Metadata'!$B$5)^(O47-1))</x:f>
        <x:v>10</x:v>
      </x:c>
      <x:c r="U47" s="31" t="n">
        <x:f>IF(T47="","",I47*T47)</x:f>
        <x:v>4.246339177</x:v>
      </x:c>
    </x:row>
    <x:row r="48" ht="18" customHeight="1">
      <x:c r="A48" s="24" t="str">
        <x:v>EEZ_570</x:v>
      </x:c>
      <x:c r="B48" s="24" t="str">
        <x:v>Niue (New Zealand)</x:v>
      </x:c>
      <x:c r="C48" s="24" t="str">
        <x:v>EEZ</x:v>
      </x:c>
      <x:c r="D48" s="30" t="n">
        <x:v>2019</x:v>
      </x:c>
      <x:c r="E48" s="24" t="str">
        <x:v>Bivalvia</x:v>
      </x:c>
      <x:c r="F48" s="24" t="str">
        <x:v>Clams</x:v>
      </x:c>
      <x:c r="G48" s="24" t="str">
        <x:v>Other demersal invertebrates</x:v>
      </x:c>
      <x:c r="H48" s="24" t="str">
        <x:v>Molluscs</x:v>
      </x:c>
      <x:c r="I48" s="31" t="n">
        <x:v>0.39444786379999996</x:v>
      </x:c>
      <x:c r="J48" s="31" t="n">
        <x:v>0.39444786379999996</x:v>
      </x:c>
      <x:c r="K48" s="31" t="n">
        <x:v>0</x:v>
      </x:c>
      <x:c r="L48" s="31" t="n">
        <x:v>0</x:v>
      </x:c>
      <x:c r="M48" s="31" t="n">
        <x:v>0.39444786379999996</x:v>
      </x:c>
      <x:c r="N48" s="24" t="str">
        <x:v>bivalvia</x:v>
      </x:c>
      <x:c r="O48" s="32" t="n">
        <x:v>2.23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Bivalvia</x:v>
      </x:c>
      <x:c r="T48" s="32" t="n">
        <x:f>IF(O48="","",(1/'Metadata'!$B$5)^(O48-1))</x:f>
        <x:v>16.982436524617444</x:v>
      </x:c>
      <x:c r="U48" s="31" t="n">
        <x:f>IF(T48="","",I48*T48)</x:f>
        <x:v>6.698685809254447</x:v>
      </x:c>
    </x:row>
    <x:row r="49" ht="18" customHeight="1">
      <x:c r="A49" s="24" t="str">
        <x:v>EEZ_570</x:v>
      </x:c>
      <x:c r="B49" s="24" t="str">
        <x:v>Niue (New Zealand)</x:v>
      </x:c>
      <x:c r="C49" s="24" t="str">
        <x:v>EEZ</x:v>
      </x:c>
      <x:c r="D49" s="30" t="n">
        <x:v>2019</x:v>
      </x:c>
      <x:c r="E49" s="24" t="str">
        <x:v>Aphareus rutilans</x:v>
      </x:c>
      <x:c r="F49" s="24" t="str">
        <x:v>Rusty jobfish</x:v>
      </x:c>
      <x:c r="G49" s="24" t="str">
        <x:v>Medium reef assoc. fish (30 - 89 cm)</x:v>
      </x:c>
      <x:c r="H49" s="24" t="str">
        <x:v>Perch-likes</x:v>
      </x:c>
      <x:c r="I49" s="31" t="n">
        <x:v>0.3648706253</x:v>
      </x:c>
      <x:c r="J49" s="31" t="n">
        <x:v>0.3648706253</x:v>
      </x:c>
      <x:c r="K49" s="31" t="n">
        <x:v>0</x:v>
      </x:c>
      <x:c r="L49" s="31" t="n">
        <x:v>0.036719964</x:v>
      </x:c>
      <x:c r="M49" s="31" t="n">
        <x:v>0.3281506613</x:v>
      </x:c>
      <x:c r="N49" s="24" t="str">
        <x:v>aphareus rutilans</x:v>
      </x:c>
      <x:c r="O49" s="32" t="n">
        <x:v>4.11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Aphareus rutilans</x:v>
      </x:c>
      <x:c r="T49" s="32" t="n">
        <x:f>IF(O49="","",(1/'Metadata'!$B$5)^(O49-1))</x:f>
        <x:v>1288.249551693135</x:v>
      </x:c>
      <x:c r="U49" s="31" t="n">
        <x:f>IF(T49="","",I49*T49)</x:f>
        <x:v>470.0444194687188</x:v>
      </x:c>
    </x:row>
    <x:row r="50" ht="18" customHeight="1">
      <x:c r="A50" s="24" t="str">
        <x:v>EEZ_570</x:v>
      </x:c>
      <x:c r="B50" s="24" t="str">
        <x:v>Niue (New Zealand)</x:v>
      </x:c>
      <x:c r="C50" s="24" t="str">
        <x:v>EEZ</x:v>
      </x:c>
      <x:c r="D50" s="30" t="n">
        <x:v>2019</x:v>
      </x:c>
      <x:c r="E50" s="24" t="str">
        <x:v>Lutjanus bohar</x:v>
      </x:c>
      <x:c r="F50" s="24" t="str">
        <x:v>Two-spot red snapper</x:v>
      </x:c>
      <x:c r="G50" s="24" t="str">
        <x:v>Medium reef assoc. fish (30 - 89 cm)</x:v>
      </x:c>
      <x:c r="H50" s="24" t="str">
        <x:v>Perch-likes</x:v>
      </x:c>
      <x:c r="I50" s="31" t="n">
        <x:v>0.36172519</x:v>
      </x:c>
      <x:c r="J50" s="31" t="n">
        <x:v>0.36172519</x:v>
      </x:c>
      <x:c r="K50" s="31" t="n">
        <x:v>0</x:v>
      </x:c>
      <x:c r="L50" s="31" t="n">
        <x:v>0.036403413</x:v>
      </x:c>
      <x:c r="M50" s="31" t="n">
        <x:v>0.325321777</x:v>
      </x:c>
      <x:c r="N50" s="24" t="str">
        <x:v>lutjanus bohar</x:v>
      </x:c>
      <x:c r="O50" s="32" t="n">
        <x:v>4.27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Lutjanus bohar</x:v>
      </x:c>
      <x:c r="T50" s="32" t="n">
        <x:f>IF(O50="","",(1/'Metadata'!$B$5)^(O50-1))</x:f>
        <x:v>1862.0871366628655</x:v>
      </x:c>
      <x:c r="U50" s="31" t="n">
        <x:f>IF(T50="","",I50*T50)</x:f>
        <x:v>673.5638233059309</x:v>
      </x:c>
    </x:row>
    <x:row r="51" ht="18" customHeight="1">
      <x:c r="A51" s="24" t="str">
        <x:v>EEZ_570</x:v>
      </x:c>
      <x:c r="B51" s="24" t="str">
        <x:v>Niue (New Zealand)</x:v>
      </x:c>
      <x:c r="C51" s="24" t="str">
        <x:v>EEZ</x:v>
      </x:c>
      <x:c r="D51" s="30" t="n">
        <x:v>2019</x:v>
      </x:c>
      <x:c r="E51" s="24" t="str">
        <x:v>Octopus</x:v>
      </x:c>
      <x:c r="F51" s="24" t="str">
        <x:v>Octopuses, pikas</x:v>
      </x:c>
      <x:c r="G51" s="24" t="str">
        <x:v>Cephalopods</x:v>
      </x:c>
      <x:c r="H51" s="24" t="str">
        <x:v>Other fishes &amp; inverts</x:v>
      </x:c>
      <x:c r="I51" s="31" t="n">
        <x:v>0.36157720860000003</x:v>
      </x:c>
      <x:c r="J51" s="31" t="n">
        <x:v>0.36157720860000003</x:v>
      </x:c>
      <x:c r="K51" s="31" t="n">
        <x:v>0</x:v>
      </x:c>
      <x:c r="L51" s="31" t="n">
        <x:v>0</x:v>
      </x:c>
      <x:c r="M51" s="31" t="n">
        <x:v>0.36157720860000003</x:v>
      </x:c>
      <x:c r="N51" s="24" t="str">
        <x:v>octopus</x:v>
      </x:c>
      <x:c r="O51" s="32" t="n">
        <x:v>3.8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Octopus</x:v>
      </x:c>
      <x:c r="T51" s="32" t="n">
        <x:f>IF(O51="","",(1/'Metadata'!$B$5)^(O51-1))</x:f>
        <x:v>630.957344480193</x:v>
      </x:c>
      <x:c r="U51" s="31" t="n">
        <x:f>IF(T51="","",I51*T51)</x:f>
        <x:v>228.1397953628168</x:v>
      </x:c>
    </x:row>
    <x:row r="52" ht="18" customHeight="1">
      <x:c r="A52" s="24" t="str">
        <x:v>EEZ_570</x:v>
      </x:c>
      <x:c r="B52" s="24" t="str">
        <x:v>Niue (New Zealand)</x:v>
      </x:c>
      <x:c r="C52" s="24" t="str">
        <x:v>EEZ</x:v>
      </x:c>
      <x:c r="D52" s="30" t="n">
        <x:v>2019</x:v>
      </x:c>
      <x:c r="E52" s="24" t="str">
        <x:v>Holocentridae</x:v>
      </x:c>
      <x:c r="F52" s="24" t="str">
        <x:v>Squirrel-, soldierfishes</x:v>
      </x:c>
      <x:c r="G52" s="24" t="str">
        <x:v>Small reef assoc. fish (&lt;30 cm)</x:v>
      </x:c>
      <x:c r="H52" s="24" t="str">
        <x:v>Other fishes &amp; inverts</x:v>
      </x:c>
      <x:c r="I52" s="31" t="n">
        <x:v>0.3585797525</x:v>
      </x:c>
      <x:c r="J52" s="31" t="n">
        <x:v>0.3585797525</x:v>
      </x:c>
      <x:c r="K52" s="31" t="n">
        <x:v>0</x:v>
      </x:c>
      <x:c r="L52" s="31" t="n">
        <x:v>0.036086862</x:v>
      </x:c>
      <x:c r="M52" s="31" t="n">
        <x:v>0.3224928905</x:v>
      </x:c>
      <x:c r="N52" s="24" t="str">
        <x:v>holocentridae</x:v>
      </x:c>
      <x:c r="O52" s="32" t="n">
        <x:v>3.49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Holocentridae</x:v>
      </x:c>
      <x:c r="T52" s="32" t="n">
        <x:f>IF(O52="","",(1/'Metadata'!$B$5)^(O52-1))</x:f>
        <x:v>309.0295432513592</x:v>
      </x:c>
      <x:c r="U52" s="31" t="n">
        <x:f>IF(T52="","",I52*T52)</x:f>
        <x:v>110.81173713426043</x:v>
      </x:c>
    </x:row>
    <x:row r="53" ht="18" customHeight="1">
      <x:c r="A53" s="24" t="str">
        <x:v>EEZ_570</x:v>
      </x:c>
      <x:c r="B53" s="24" t="str">
        <x:v>Niue (New Zealand)</x:v>
      </x:c>
      <x:c r="C53" s="24" t="str">
        <x:v>EEZ</x:v>
      </x:c>
      <x:c r="D53" s="30" t="n">
        <x:v>2019</x:v>
      </x:c>
      <x:c r="E53" s="24" t="str">
        <x:v>Epinephelus fasciatus</x:v>
      </x:c>
      <x:c r="F53" s="24" t="str">
        <x:v>Blacktip grouper</x:v>
      </x:c>
      <x:c r="G53" s="24" t="str">
        <x:v>Medium reef assoc. fish (30 - 89 cm)</x:v>
      </x:c>
      <x:c r="H53" s="24" t="str">
        <x:v>Perch-likes</x:v>
      </x:c>
      <x:c r="I53" s="31" t="n">
        <x:v>0.3585797525</x:v>
      </x:c>
      <x:c r="J53" s="31" t="n">
        <x:v>0.3585797525</x:v>
      </x:c>
      <x:c r="K53" s="31" t="n">
        <x:v>0</x:v>
      </x:c>
      <x:c r="L53" s="31" t="n">
        <x:v>0.036086862</x:v>
      </x:c>
      <x:c r="M53" s="31" t="n">
        <x:v>0.3224928905</x:v>
      </x:c>
      <x:c r="N53" s="24" t="str">
        <x:v>epinephelus fasciatus</x:v>
      </x:c>
      <x:c r="O53" s="32" t="n">
        <x:v>3.72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Epinephelus fasciatus</x:v>
      </x:c>
      <x:c r="T53" s="32" t="n">
        <x:f>IF(O53="","",(1/'Metadata'!$B$5)^(O53-1))</x:f>
        <x:v>524.8074602497728</x:v>
      </x:c>
      <x:c r="U53" s="31" t="n">
        <x:f>IF(T53="","",I53*T53)</x:f>
        <x:v>188.18532920651714</x:v>
      </x:c>
    </x:row>
    <x:row r="54" ht="18" customHeight="1">
      <x:c r="A54" s="24" t="str">
        <x:v>EEZ_570</x:v>
      </x:c>
      <x:c r="B54" s="24" t="str">
        <x:v>Niue (New Zealand)</x:v>
      </x:c>
      <x:c r="C54" s="24" t="str">
        <x:v>EEZ</x:v>
      </x:c>
      <x:c r="D54" s="30" t="n">
        <x:v>2019</x:v>
      </x:c>
      <x:c r="E54" s="24" t="str">
        <x:v>Holothuria atra</x:v>
      </x:c>
      <x:c r="F54" s="24" t="str">
        <x:v>Lollyfish</x:v>
      </x:c>
      <x:c r="G54" s="24" t="str">
        <x:v>Other demersal invertebrates</x:v>
      </x:c>
      <x:c r="H54" s="24" t="str">
        <x:v>Other fishes &amp; inverts</x:v>
      </x:c>
      <x:c r="I54" s="31" t="n">
        <x:v>0.1845813721</x:v>
      </x:c>
      <x:c r="J54" s="31" t="n">
        <x:v>0.1845813721</x:v>
      </x:c>
      <x:c r="K54" s="31" t="n">
        <x:v>0</x:v>
      </x:c>
      <x:c r="L54" s="31" t="n">
        <x:v>0</x:v>
      </x:c>
      <x:c r="M54" s="31" t="n">
        <x:v>0.1845813721</x:v>
      </x:c>
      <x:c r="N54" s="24" t="str">
        <x:v>holothuria atra</x:v>
      </x:c>
      <x:c r="O54" s="32" t="n">
        <x:v>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Holothuria atra</x:v>
      </x:c>
      <x:c r="T54" s="32" t="n">
        <x:f>IF(O54="","",(1/'Metadata'!$B$5)^(O54-1))</x:f>
        <x:v>10</x:v>
      </x:c>
      <x:c r="U54" s="31" t="n">
        <x:f>IF(T54="","",I54*T54)</x:f>
        <x:v>1.845813721</x:v>
      </x:c>
    </x:row>
    <x:row r="55" ht="18" customHeight="1">
      <x:c r="A55" s="24" t="str">
        <x:v>EEZ_570</x:v>
      </x:c>
      <x:c r="B55" s="24" t="str">
        <x:v>Niue (New Zealand)</x:v>
      </x:c>
      <x:c r="C55" s="24" t="str">
        <x:v>EEZ</x:v>
      </x:c>
      <x:c r="D55" s="30" t="n">
        <x:v>2019</x:v>
      </x:c>
      <x:c r="E55" s="24" t="str">
        <x:v>Elasmobranchii</x:v>
      </x:c>
      <x:c r="F55" s="24" t="str">
        <x:v>Sharks, rays, skates</x:v>
      </x:c>
      <x:c r="G55" s="24" t="str">
        <x:v>Large sharks (&gt;=90 cm)</x:v>
      </x:c>
      <x:c r="H55" s="24" t="str">
        <x:v>Sharks &amp; rays</x:v>
      </x:c>
      <x:c r="I55" s="31" t="n">
        <x:v>0.1756918718</x:v>
      </x:c>
      <x:c r="J55" s="31" t="n">
        <x:v>0</x:v>
      </x:c>
      <x:c r="K55" s="31" t="n">
        <x:v>0.1756918718</x:v>
      </x:c>
      <x:c r="L55" s="31" t="n">
        <x:v>0</x:v>
      </x:c>
      <x:c r="M55" s="31" t="n">
        <x:v>0.1756918718</x:v>
      </x:c>
      <x:c r="N55" s="24" t="str">
        <x:v>elasmobranchii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Elasmobranchii</x:v>
      </x:c>
      <x:c r="T55" s="32" t="n">
        <x:f>IF(O55="","",(1/'Metadata'!$B$5)^(O55-1))</x:f>
        <x:v>1122.018454301963</x:v>
      </x:c>
      <x:c r="U55" s="31" t="n">
        <x:f>IF(T55="","",I55*T55)</x:f>
        <x:v>197.12952243045464</x:v>
      </x:c>
    </x:row>
    <x:row r="56" ht="18" customHeight="1">
      <x:c r="A56" s="24" t="str">
        <x:v>EEZ_570</x:v>
      </x:c>
      <x:c r="B56" s="24" t="str">
        <x:v>Niue (New Zealand)</x:v>
      </x:c>
      <x:c r="C56" s="24" t="str">
        <x:v>EEZ</x:v>
      </x:c>
      <x:c r="D56" s="30" t="n">
        <x:v>2019</x:v>
      </x:c>
      <x:c r="E56" s="24" t="str">
        <x:v>Monotaxis grandoculis</x:v>
      </x:c>
      <x:c r="F56" s="24" t="str">
        <x:v>Humpnose big-eye bream</x:v>
      </x:c>
      <x:c r="G56" s="24" t="str">
        <x:v>Medium reef assoc. fish (30 - 89 cm)</x:v>
      </x:c>
      <x:c r="H56" s="24" t="str">
        <x:v>Perch-likes</x:v>
      </x:c>
      <x:c r="I56" s="31" t="n">
        <x:v>0.1478355119</x:v>
      </x:c>
      <x:c r="J56" s="31" t="n">
        <x:v>0.1478355119</x:v>
      </x:c>
      <x:c r="K56" s="31" t="n">
        <x:v>0</x:v>
      </x:c>
      <x:c r="L56" s="31" t="n">
        <x:v>0.014877917</x:v>
      </x:c>
      <x:c r="M56" s="31" t="n">
        <x:v>0.1329575949</x:v>
      </x:c>
      <x:c r="N56" s="24" t="str">
        <x:v>monotaxis grandoculis</x:v>
      </x:c>
      <x:c r="O56" s="32" t="n">
        <x:v>3.37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Monotaxis grandoculis</x:v>
      </x:c>
      <x:c r="T56" s="32" t="n">
        <x:f>IF(O56="","",(1/'Metadata'!$B$5)^(O56-1))</x:f>
        <x:v>234.42288153199226</x:v>
      </x:c>
      <x:c r="U56" s="31" t="n">
        <x:f>IF(T56="","",I56*T56)</x:f>
        <x:v>34.656026692355134</x:v>
      </x:c>
    </x:row>
    <x:row r="57" ht="18" customHeight="1">
      <x:c r="A57" s="24" t="str">
        <x:v>EEZ_570</x:v>
      </x:c>
      <x:c r="B57" s="24" t="str">
        <x:v>Niue (New Zealand)</x:v>
      </x:c>
      <x:c r="C57" s="24" t="str">
        <x:v>EEZ</x:v>
      </x:c>
      <x:c r="D57" s="30" t="n">
        <x:v>2019</x:v>
      </x:c>
      <x:c r="E57" s="24" t="str">
        <x:v>Cephalopholis urodeta</x:v>
      </x:c>
      <x:c r="F57" s="24" t="str">
        <x:v>Darkfin hind</x:v>
      </x:c>
      <x:c r="G57" s="24" t="str">
        <x:v>Small reef assoc. fish (&lt;30 cm)</x:v>
      </x:c>
      <x:c r="H57" s="24" t="str">
        <x:v>Perch-likes</x:v>
      </x:c>
      <x:c r="I57" s="31" t="n">
        <x:v>0.13210833</x:v>
      </x:c>
      <x:c r="J57" s="31" t="n">
        <x:v>0.13210833</x:v>
      </x:c>
      <x:c r="K57" s="31" t="n">
        <x:v>0</x:v>
      </x:c>
      <x:c r="L57" s="31" t="n">
        <x:v>0.013295159</x:v>
      </x:c>
      <x:c r="M57" s="31" t="n">
        <x:v>0.118813171</x:v>
      </x:c>
      <x:c r="N57" s="24" t="str">
        <x:v>cephalopholis urodeta</x:v>
      </x:c>
      <x:c r="O57" s="32" t="n">
        <x:v>4.02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Cephalopholis urodeta</x:v>
      </x:c>
      <x:c r="T57" s="32" t="n">
        <x:f>IF(O57="","",(1/'Metadata'!$B$5)^(O57-1))</x:f>
        <x:v>1047.1285480508984</x:v>
      </x:c>
      <x:c r="U57" s="31" t="n">
        <x:f>IF(T57="","",I57*T57)</x:f>
        <x:v>138.33440377832895</x:v>
      </x:c>
    </x:row>
    <x:row r="58" ht="18" customHeight="1">
      <x:c r="A58" s="24" t="str">
        <x:v>EEZ_570</x:v>
      </x:c>
      <x:c r="B58" s="24" t="str">
        <x:v>Niue (New Zealand)</x:v>
      </x:c>
      <x:c r="C58" s="24" t="str">
        <x:v>EEZ</x:v>
      </x:c>
      <x:c r="D58" s="30" t="n">
        <x:v>2019</x:v>
      </x:c>
      <x:c r="E58" s="24" t="str">
        <x:v>Variola louti</x:v>
      </x:c>
      <x:c r="F58" s="24" t="str">
        <x:v>Yellow-edged lyretail</x:v>
      </x:c>
      <x:c r="G58" s="24" t="str">
        <x:v>Medium reef assoc. fish (30 - 89 cm)</x:v>
      </x:c>
      <x:c r="H58" s="24" t="str">
        <x:v>Perch-likes</x:v>
      </x:c>
      <x:c r="I58" s="31" t="n">
        <x:v>0.100653965</x:v>
      </x:c>
      <x:c r="J58" s="31" t="n">
        <x:v>0.100653965</x:v>
      </x:c>
      <x:c r="K58" s="31" t="n">
        <x:v>0</x:v>
      </x:c>
      <x:c r="L58" s="31" t="n">
        <x:v>0.010129645</x:v>
      </x:c>
      <x:c r="M58" s="31" t="n">
        <x:v>0.09052432</x:v>
      </x:c>
      <x:c r="N58" s="24" t="str">
        <x:v>variola louti</x:v>
      </x:c>
      <x:c r="O58" s="32" t="n">
        <x:v>4.33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Variola louti</x:v>
      </x:c>
      <x:c r="T58" s="32" t="n">
        <x:f>IF(O58="","",(1/'Metadata'!$B$5)^(O58-1))</x:f>
        <x:v>2137.9620895022326</x:v>
      </x:c>
      <x:c r="U58" s="31" t="n">
        <x:f>IF(T58="","",I58*T58)</x:f>
        <x:v>215.1943613280846</x:v>
      </x:c>
    </x:row>
    <x:row r="59" ht="18" customHeight="1">
      <x:c r="A59" s="24" t="str">
        <x:v>EEZ_570</x:v>
      </x:c>
      <x:c r="B59" s="24" t="str">
        <x:v>Niue (New Zealand)</x:v>
      </x:c>
      <x:c r="C59" s="24" t="str">
        <x:v>EEZ</x:v>
      </x:c>
      <x:c r="D59" s="30" t="n">
        <x:v>2019</x:v>
      </x:c>
      <x:c r="E59" s="24" t="str">
        <x:v>Thunnus orientalis</x:v>
      </x:c>
      <x:c r="F59" s="24" t="str">
        <x:v>Pacific bluefin tuna</x:v>
      </x:c>
      <x:c r="G59" s="24" t="str">
        <x:v>Large pelagics (&gt;=90 cm)</x:v>
      </x:c>
      <x:c r="H59" s="24" t="str">
        <x:v>Tuna &amp; billfishes</x:v>
      </x:c>
      <x:c r="I59" s="31" t="n">
        <x:v>0.0869947073</x:v>
      </x:c>
      <x:c r="J59" s="31" t="n">
        <x:v>0.0869947073</x:v>
      </x:c>
      <x:c r="K59" s="31" t="n">
        <x:v>0</x:v>
      </x:c>
      <x:c r="L59" s="31" t="n">
        <x:v>0.0869947073</x:v>
      </x:c>
      <x:c r="M59" s="31" t="n">
        <x:v>0</x:v>
      </x:c>
      <x:c r="N59" s="24" t="str">
        <x:v>thunnus orientalis</x:v>
      </x:c>
      <x:c r="O59" s="32" t="n">
        <x:v>4.05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Thunnus orientalis</x:v>
      </x:c>
      <x:c r="T59" s="32" t="n">
        <x:f>IF(O59="","",(1/'Metadata'!$B$5)^(O59-1))</x:f>
        <x:v>1122.018454301963</x:v>
      </x:c>
      <x:c r="U59" s="31" t="n">
        <x:f>IF(T59="","",I59*T59)</x:f>
        <x:v>97.6096670171977</x:v>
      </x:c>
    </x:row>
    <x:row r="60" ht="18" customHeight="1">
      <x:c r="A60" s="24" t="str">
        <x:v>EEZ_570</x:v>
      </x:c>
      <x:c r="B60" s="24" t="str">
        <x:v>Niue (New Zealand)</x:v>
      </x:c>
      <x:c r="C60" s="24" t="str">
        <x:v>EEZ</x:v>
      </x:c>
      <x:c r="D60" s="30" t="n">
        <x:v>2019</x:v>
      </x:c>
      <x:c r="E60" s="24" t="str">
        <x:v>Cephalopholis sonnerati</x:v>
      </x:c>
      <x:c r="F60" s="24" t="str">
        <x:v>Tomato hind</x:v>
      </x:c>
      <x:c r="G60" s="24" t="str">
        <x:v>Medium reef assoc. fish (30 - 89 cm)</x:v>
      </x:c>
      <x:c r="H60" s="24" t="str">
        <x:v>Perch-likes</x:v>
      </x:c>
      <x:c r="I60" s="31" t="n">
        <x:v>0.0754904743</x:v>
      </x:c>
      <x:c r="J60" s="31" t="n">
        <x:v>0.0754904743</x:v>
      </x:c>
      <x:c r="K60" s="31" t="n">
        <x:v>0</x:v>
      </x:c>
      <x:c r="L60" s="31" t="n">
        <x:v>0.007597234</x:v>
      </x:c>
      <x:c r="M60" s="31" t="n">
        <x:v>0.0678932403</x:v>
      </x:c>
      <x:c r="N60" s="24" t="str">
        <x:v>cephalopholis sonnerati</x:v>
      </x:c>
      <x:c r="O60" s="32" t="n">
        <x:v>3.81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Cephalopholis sonnerati</x:v>
      </x:c>
      <x:c r="T60" s="32" t="n">
        <x:f>IF(O60="","",(1/'Metadata'!$B$5)^(O60-1))</x:f>
        <x:v>645.6542290346556</x:v>
      </x:c>
      <x:c r="U60" s="31" t="n">
        <x:f>IF(T60="","",I60*T60)</x:f>
        <x:v>48.740743983626984</x:v>
      </x:c>
    </x:row>
    <x:row r="61" ht="18" customHeight="1">
      <x:c r="A61" s="24" t="str">
        <x:v>EEZ_570</x:v>
      </x:c>
      <x:c r="B61" s="24" t="str">
        <x:v>Niue (New Zealand)</x:v>
      </x:c>
      <x:c r="C61" s="24" t="str">
        <x:v>EEZ</x:v>
      </x:c>
      <x:c r="D61" s="30" t="n">
        <x:v>2019</x:v>
      </x:c>
      <x:c r="E61" s="24" t="str">
        <x:v>Scomberoides lysan</x:v>
      </x:c>
      <x:c r="F61" s="24" t="str">
        <x:v>Doublespotted queenfish</x:v>
      </x:c>
      <x:c r="G61" s="24" t="str">
        <x:v>Medium reef assoc. fish (30 - 89 cm)</x:v>
      </x:c>
      <x:c r="H61" s="24" t="str">
        <x:v>Perch-likes</x:v>
      </x:c>
      <x:c r="I61" s="31" t="n">
        <x:v>0.0754904743</x:v>
      </x:c>
      <x:c r="J61" s="31" t="n">
        <x:v>0.0754904743</x:v>
      </x:c>
      <x:c r="K61" s="31" t="n">
        <x:v>0</x:v>
      </x:c>
      <x:c r="L61" s="31" t="n">
        <x:v>0.007597234</x:v>
      </x:c>
      <x:c r="M61" s="31" t="n">
        <x:v>0.0678932403</x:v>
      </x:c>
      <x:c r="N61" s="24" t="str">
        <x:v>scomberoides lysan</x:v>
      </x:c>
      <x:c r="O61" s="32" t="n">
        <x:v>4.38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Scomberoides lysan</x:v>
      </x:c>
      <x:c r="T61" s="32" t="n">
        <x:f>IF(O61="","",(1/'Metadata'!$B$5)^(O61-1))</x:f>
        <x:v>2398.83291901949</x:v>
      </x:c>
      <x:c r="U61" s="31" t="n">
        <x:f>IF(T61="","",I61*T61)</x:f>
        <x:v>181.08903482323478</x:v>
      </x:c>
    </x:row>
    <x:row r="62" ht="18" customHeight="1">
      <x:c r="A62" s="24" t="str">
        <x:v>EEZ_570</x:v>
      </x:c>
      <x:c r="B62" s="24" t="str">
        <x:v>Niue (New Zealand)</x:v>
      </x:c>
      <x:c r="C62" s="24" t="str">
        <x:v>EEZ</x:v>
      </x:c>
      <x:c r="D62" s="30" t="n">
        <x:v>2019</x:v>
      </x:c>
      <x:c r="E62" s="24" t="str">
        <x:v>Sphyrna</x:v>
      </x:c>
      <x:c r="F62" s="24" t="str">
        <x:v>Hammerhead sharks</x:v>
      </x:c>
      <x:c r="G62" s="24" t="str">
        <x:v>Large sharks (&gt;=90 cm)</x:v>
      </x:c>
      <x:c r="H62" s="24" t="str">
        <x:v>Sharks &amp; rays</x:v>
      </x:c>
      <x:c r="I62" s="31" t="n">
        <x:v>0.0710099038</x:v>
      </x:c>
      <x:c r="J62" s="31" t="n">
        <x:v>0.0710099038</x:v>
      </x:c>
      <x:c r="K62" s="31" t="n">
        <x:v>0</x:v>
      </x:c>
      <x:c r="L62" s="31" t="n">
        <x:v>0.0710099038</x:v>
      </x:c>
      <x:c r="M62" s="31" t="n">
        <x:v>0</x:v>
      </x:c>
      <x:c r="N62" s="24" t="str">
        <x:v>sphyrna</x:v>
      </x:c>
      <x:c r="O62" s="32" t="n">
        <x:v>4.2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Sphyrna</x:v>
      </x:c>
      <x:c r="T62" s="32" t="n">
        <x:f>IF(O62="","",(1/'Metadata'!$B$5)^(O62-1))</x:f>
        <x:v>1584.893192461114</x:v>
      </x:c>
      <x:c r="U62" s="31" t="n">
        <x:f>IF(T62="","",I62*T62)</x:f>
        <x:v>112.54311312993859</x:v>
      </x:c>
    </x:row>
    <x:row r="63" ht="18" customHeight="1">
      <x:c r="A63" s="24" t="str">
        <x:v>EEZ_570</x:v>
      </x:c>
      <x:c r="B63" s="24" t="str">
        <x:v>Niue (New Zealand)</x:v>
      </x:c>
      <x:c r="C63" s="24" t="str">
        <x:v>EEZ</x:v>
      </x:c>
      <x:c r="D63" s="30" t="n">
        <x:v>2019</x:v>
      </x:c>
      <x:c r="E63" s="24" t="str">
        <x:v>Sphyraena barracuda</x:v>
      </x:c>
      <x:c r="F63" s="24" t="str">
        <x:v>Great barracuda</x:v>
      </x:c>
      <x:c r="G63" s="24" t="str">
        <x:v>Large pelagics (&gt;=90 cm)</x:v>
      </x:c>
      <x:c r="H63" s="24" t="str">
        <x:v>Perch-likes</x:v>
      </x:c>
      <x:c r="I63" s="31" t="n">
        <x:v>0.06500568600000001</x:v>
      </x:c>
      <x:c r="J63" s="31" t="n">
        <x:v>0.06500568600000001</x:v>
      </x:c>
      <x:c r="K63" s="31" t="n">
        <x:v>0</x:v>
      </x:c>
      <x:c r="L63" s="31" t="n">
        <x:v>0.006542062</x:v>
      </x:c>
      <x:c r="M63" s="31" t="n">
        <x:v>0.058463624000000006</x:v>
      </x:c>
      <x:c r="N63" s="24" t="str">
        <x:v>sphyraena barracuda</x:v>
      </x:c>
      <x:c r="O63" s="32" t="n">
        <x:v>4.49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Sphyraena barracuda</x:v>
      </x:c>
      <x:c r="T63" s="32" t="n">
        <x:f>IF(O63="","",(1/'Metadata'!$B$5)^(O63-1))</x:f>
        <x:v>3090.295432513592</x:v>
      </x:c>
      <x:c r="U63" s="31" t="n">
        <x:f>IF(T63="","",I63*T63)</x:f>
        <x:v>200.8867745332128</x:v>
      </x:c>
    </x:row>
    <x:row r="64" ht="18" customHeight="1">
      <x:c r="A64" s="24" t="str">
        <x:v>EEZ_570</x:v>
      </x:c>
      <x:c r="B64" s="24" t="str">
        <x:v>Niue (New Zealand)</x:v>
      </x:c>
      <x:c r="C64" s="24" t="str">
        <x:v>EEZ</x:v>
      </x:c>
      <x:c r="D64" s="30" t="n">
        <x:v>2019</x:v>
      </x:c>
      <x:c r="E64" s="24" t="str">
        <x:v>Echinoidea</x:v>
      </x:c>
      <x:c r="F64" s="24" t="str">
        <x:v>Sea urchins, sea hedgehogs</x:v>
      </x:c>
      <x:c r="G64" s="24" t="str">
        <x:v>Other demersal invertebrates</x:v>
      </x:c>
      <x:c r="H64" s="24" t="str">
        <x:v>Other fishes &amp; inverts</x:v>
      </x:c>
      <x:c r="I64" s="31" t="n">
        <x:v>0.0556272634</x:v>
      </x:c>
      <x:c r="J64" s="31" t="n">
        <x:v>0.0556272634</x:v>
      </x:c>
      <x:c r="K64" s="31" t="n">
        <x:v>0</x:v>
      </x:c>
      <x:c r="L64" s="31" t="n">
        <x:v>0</x:v>
      </x:c>
      <x:c r="M64" s="31" t="n">
        <x:v>0.0556272634</x:v>
      </x:c>
      <x:c r="N64" s="24" t="str">
        <x:v>echinoidea</x:v>
      </x:c>
      <x:c r="O64" s="32" t="n">
        <x:v>2.51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Echinoidea</x:v>
      </x:c>
      <x:c r="T64" s="32" t="n">
        <x:f>IF(O64="","",(1/'Metadata'!$B$5)^(O64-1))</x:f>
        <x:v>32.35936569296281</x:v>
      </x:c>
      <x:c r="U64" s="31" t="n">
        <x:f>IF(T64="","",I64*T64)</x:f>
        <x:v>1.800062958859366</x:v>
      </x:c>
    </x:row>
    <x:row r="65" ht="18" customHeight="1">
      <x:c r="A65" s="24" t="str">
        <x:v>EEZ_570</x:v>
      </x:c>
      <x:c r="B65" s="24" t="str">
        <x:v>Niue (New Zealand)</x:v>
      </x:c>
      <x:c r="C65" s="24" t="str">
        <x:v>EEZ</x:v>
      </x:c>
      <x:c r="D65" s="30" t="n">
        <x:v>2019</x:v>
      </x:c>
      <x:c r="E65" s="24" t="str">
        <x:v>Mulloidichthys flavolineatus</x:v>
      </x:c>
      <x:c r="F65" s="24" t="str">
        <x:v>Yellowstripe goatfish</x:v>
      </x:c>
      <x:c r="G65" s="24" t="str">
        <x:v>Medium reef assoc. fish (30 - 89 cm)</x:v>
      </x:c>
      <x:c r="H65" s="24" t="str">
        <x:v>Perch-likes</x:v>
      </x:c>
      <x:c r="I65" s="31" t="n">
        <x:v>0.0534724196</x:v>
      </x:c>
      <x:c r="J65" s="31" t="n">
        <x:v>0.0534724196</x:v>
      </x:c>
      <x:c r="K65" s="31" t="n">
        <x:v>0</x:v>
      </x:c>
      <x:c r="L65" s="31" t="n">
        <x:v>0.005381374</x:v>
      </x:c>
      <x:c r="M65" s="31" t="n">
        <x:v>0.0480910456</x:v>
      </x:c>
      <x:c r="N65" s="24" t="str">
        <x:v>mulloidichthys flavolineatus</x:v>
      </x:c>
      <x:c r="O65" s="32" t="n">
        <x:v>3.84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Mulloidichthys flavolineatus</x:v>
      </x:c>
      <x:c r="T65" s="32" t="n">
        <x:f>IF(O65="","",(1/'Metadata'!$B$5)^(O65-1))</x:f>
        <x:v>691.8309709189363</x:v>
      </x:c>
      <x:c r="U65" s="31" t="n">
        <x:f>IF(T65="","",I65*T65)</x:f>
        <x:v>36.993875969252755</x:v>
      </x:c>
    </x:row>
    <x:row r="66" ht="18" customHeight="1">
      <x:c r="A66" s="24" t="str">
        <x:v>EEZ_570</x:v>
      </x:c>
      <x:c r="B66" s="24" t="str">
        <x:v>Niue (New Zealand)</x:v>
      </x:c>
      <x:c r="C66" s="24" t="str">
        <x:v>EEZ</x:v>
      </x:c>
      <x:c r="D66" s="30" t="n">
        <x:v>2019</x:v>
      </x:c>
      <x:c r="E66" s="24" t="str">
        <x:v>Miscellaneous aquatic invertebrates</x:v>
      </x:c>
      <x:c r="F66" s="24" t="str">
        <x:v>Aquatic invertebrates</x:v>
      </x:c>
      <x:c r="G66" s="24" t="str">
        <x:v>Other demersal invertebrates</x:v>
      </x:c>
      <x:c r="H66" s="24" t="str">
        <x:v>Other fishes &amp; inverts</x:v>
      </x:c>
      <x:c r="I66" s="31" t="n">
        <x:v>0.0480417274</x:v>
      </x:c>
      <x:c r="J66" s="31" t="n">
        <x:v>0.0480417274</x:v>
      </x:c>
      <x:c r="K66" s="31" t="n">
        <x:v>0</x:v>
      </x:c>
      <x:c r="L66" s="31" t="n">
        <x:v>0</x:v>
      </x:c>
      <x:c r="M66" s="31" t="n">
        <x:v>0.0480417274</x:v>
      </x:c>
      <x:c r="N66" s="24" t="str">
        <x:v>miscellaneous aquatic invertebrates</x:v>
      </x:c>
      <x:c r="O66" s="32" t="n">
        <x:v>2.43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Miscellaneous aquatic invertebrates</x:v>
      </x:c>
      <x:c r="T66" s="32" t="n">
        <x:f>IF(O66="","",(1/'Metadata'!$B$5)^(O66-1))</x:f>
        <x:v>26.915348039269166</x:v>
      </x:c>
      <x:c r="U66" s="31" t="n">
        <x:f>IF(T66="","",I66*T66)</x:f>
        <x:v>1.2930598133786937</x:v>
      </x:c>
    </x:row>
    <x:row r="67" ht="18" customHeight="1">
      <x:c r="A67" s="24" t="str">
        <x:v>EEZ_570</x:v>
      </x:c>
      <x:c r="B67" s="24" t="str">
        <x:v>Niue (New Zealand)</x:v>
      </x:c>
      <x:c r="C67" s="24" t="str">
        <x:v>EEZ</x:v>
      </x:c>
      <x:c r="D67" s="30" t="n">
        <x:v>2019</x:v>
      </x:c>
      <x:c r="E67" s="24" t="str">
        <x:v>Acanthurus triostegus</x:v>
      </x:c>
      <x:c r="F67" s="24" t="str">
        <x:v>Convict surgeonfish</x:v>
      </x:c>
      <x:c r="G67" s="24" t="str">
        <x:v>Small reef assoc. fish (&lt;30 cm)</x:v>
      </x:c>
      <x:c r="H67" s="24" t="str">
        <x:v>Perch-likes</x:v>
      </x:c>
      <x:c r="I67" s="31" t="n">
        <x:v>0.0345998012</x:v>
      </x:c>
      <x:c r="J67" s="31" t="n">
        <x:v>0.0345998012</x:v>
      </x:c>
      <x:c r="K67" s="31" t="n">
        <x:v>0</x:v>
      </x:c>
      <x:c r="L67" s="31" t="n">
        <x:v>0.003482066</x:v>
      </x:c>
      <x:c r="M67" s="31" t="n">
        <x:v>0.0311177352</x:v>
      </x:c>
      <x:c r="N67" s="24" t="str">
        <x:v>acanthurus triostegus</x:v>
      </x:c>
      <x:c r="O67" s="32" t="n">
        <x:v>2.78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Acanthurus triostegus</x:v>
      </x:c>
      <x:c r="T67" s="32" t="n">
        <x:f>IF(O67="","",(1/'Metadata'!$B$5)^(O67-1))</x:f>
        <x:v>60.255958607435744</x:v>
      </x:c>
      <x:c r="U67" s="31" t="n">
        <x:f>IF(T67="","",I67*T67)</x:f>
        <x:v>2.084844188932706</x:v>
      </x:c>
    </x:row>
    <x:row r="68" ht="18" customHeight="1">
      <x:c r="A68" s="24" t="str">
        <x:v>EEZ_570</x:v>
      </x:c>
      <x:c r="B68" s="24" t="str">
        <x:v>Niue (New Zealand)</x:v>
      </x:c>
      <x:c r="C68" s="24" t="str">
        <x:v>EEZ</x:v>
      </x:c>
      <x:c r="D68" s="30" t="n">
        <x:v>2019</x:v>
      </x:c>
      <x:c r="E68" s="24" t="str">
        <x:v>Sargocentron spiniferum</x:v>
      </x:c>
      <x:c r="F68" s="24" t="str">
        <x:v>Sabre squirrelfish</x:v>
      </x:c>
      <x:c r="G68" s="24" t="str">
        <x:v>Medium reef assoc. fish (30 - 89 cm)</x:v>
      </x:c>
      <x:c r="H68" s="24" t="str">
        <x:v>Other fishes &amp; inverts</x:v>
      </x:c>
      <x:c r="I68" s="31" t="n">
        <x:v>0.0220180546</x:v>
      </x:c>
      <x:c r="J68" s="31" t="n">
        <x:v>0.0220180546</x:v>
      </x:c>
      <x:c r="K68" s="31" t="n">
        <x:v>0</x:v>
      </x:c>
      <x:c r="L68" s="31" t="n">
        <x:v>0.00221586</x:v>
      </x:c>
      <x:c r="M68" s="31" t="n">
        <x:v>0.0198021946</x:v>
      </x:c>
      <x:c r="N68" s="24" t="str">
        <x:v>sargocentron spiniferum</x:v>
      </x:c>
      <x:c r="O68" s="32" t="n">
        <x:v>3.6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Sargocentron spiniferum</x:v>
      </x:c>
      <x:c r="T68" s="32" t="n">
        <x:f>IF(O68="","",(1/'Metadata'!$B$5)^(O68-1))</x:f>
        <x:v>398.1071705534973</x:v>
      </x:c>
      <x:c r="U68" s="31" t="n">
        <x:f>IF(T68="","",I68*T68)</x:f>
        <x:v>8.765545417898416</x:v>
      </x:c>
    </x:row>
    <x:row r="69" ht="18" customHeight="1">
      <x:c r="A69" s="24" t="str">
        <x:v>EEZ_570</x:v>
      </x:c>
      <x:c r="B69" s="24" t="str">
        <x:v>Niue (New Zealand)</x:v>
      </x:c>
      <x:c r="C69" s="24" t="str">
        <x:v>EEZ</x:v>
      </x:c>
      <x:c r="D69" s="30" t="n">
        <x:v>2019</x:v>
      </x:c>
      <x:c r="E69" s="24" t="str">
        <x:v>Sphyraena forsteri</x:v>
      </x:c>
      <x:c r="F69" s="24" t="str">
        <x:v>Bigeye barracuda</x:v>
      </x:c>
      <x:c r="G69" s="24" t="str">
        <x:v>Medium reef assoc. fish (30 - 89 cm)</x:v>
      </x:c>
      <x:c r="H69" s="24" t="str">
        <x:v>Perch-likes</x:v>
      </x:c>
      <x:c r="I69" s="31" t="n">
        <x:v>0.0178241392</x:v>
      </x:c>
      <x:c r="J69" s="31" t="n">
        <x:v>0.0178241392</x:v>
      </x:c>
      <x:c r="K69" s="31" t="n">
        <x:v>0</x:v>
      </x:c>
      <x:c r="L69" s="31" t="n">
        <x:v>0.001793791</x:v>
      </x:c>
      <x:c r="M69" s="31" t="n">
        <x:v>0.0160303482</x:v>
      </x:c>
      <x:c r="N69" s="24" t="str">
        <x:v>sphyraena forsteri</x:v>
      </x:c>
      <x:c r="O69" s="32" t="n">
        <x:v>4.42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Sphyraena forsteri</x:v>
      </x:c>
      <x:c r="T69" s="32" t="n">
        <x:f>IF(O69="","",(1/'Metadata'!$B$5)^(O69-1))</x:f>
        <x:v>2630.2679918953813</x:v>
      </x:c>
      <x:c r="U69" s="31" t="n">
        <x:f>IF(T69="","",I69*T69)</x:f>
        <x:v>46.88226282084774</x:v>
      </x:c>
    </x:row>
    <x:row r="70" ht="18" customHeight="1">
      <x:c r="A70" s="24" t="str">
        <x:v>EEZ_570</x:v>
      </x:c>
      <x:c r="B70" s="24" t="str">
        <x:v>Niue (New Zealand)</x:v>
      </x:c>
      <x:c r="C70" s="24" t="str">
        <x:v>EEZ</x:v>
      </x:c>
      <x:c r="D70" s="30" t="n">
        <x:v>2019</x:v>
      </x:c>
      <x:c r="E70" s="24" t="str">
        <x:v>Exocoetidae</x:v>
      </x:c>
      <x:c r="F70" s="24" t="str">
        <x:v>Flyingfishes</x:v>
      </x:c>
      <x:c r="G70" s="24" t="str">
        <x:v>Small pelagics (&lt;30 cm)</x:v>
      </x:c>
      <x:c r="H70" s="24" t="str">
        <x:v>Other fishes &amp; inverts</x:v>
      </x:c>
      <x:c r="I70" s="31" t="n">
        <x:v>0.009436309</x:v>
      </x:c>
      <x:c r="J70" s="31" t="n">
        <x:v>0.009436309</x:v>
      </x:c>
      <x:c r="K70" s="31" t="n">
        <x:v>0</x:v>
      </x:c>
      <x:c r="L70" s="31" t="n">
        <x:v>0.000949654</x:v>
      </x:c>
      <x:c r="M70" s="31" t="n">
        <x:v>0.008486655000000001</x:v>
      </x:c>
      <x:c r="N70" s="24" t="str">
        <x:v>exocoetidae</x:v>
      </x:c>
      <x:c r="O70" s="32" t="n">
        <x:v>3.57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Exocoetidae</x:v>
      </x:c>
      <x:c r="T70" s="32" t="n">
        <x:f>IF(O70="","",(1/'Metadata'!$B$5)^(O70-1))</x:f>
        <x:v>371.5352290971724</x:v>
      </x:c>
      <x:c r="U70" s="31" t="n">
        <x:f>IF(T70="","",I70*T70)</x:f>
        <x:v>3.50592122614671</x:v>
      </x:c>
    </x:row>
    <x:row r="71" ht="18" customHeight="1">
      <x:c r="A71" s="24" t="str">
        <x:v>EEZ_570</x:v>
      </x:c>
      <x:c r="B71" s="24" t="str">
        <x:v>Niue (New Zealand)</x:v>
      </x:c>
      <x:c r="C71" s="24" t="str">
        <x:v>EEZ</x:v>
      </x:c>
      <x:c r="D71" s="30" t="n">
        <x:v>2019</x:v>
      </x:c>
      <x:c r="E71" s="24" t="str">
        <x:v>Cephalopholis</x:v>
      </x:c>
      <x:c r="F71" s="24" t="str">
        <x:v>Hinds</x:v>
      </x:c>
      <x:c r="G71" s="24" t="str">
        <x:v>Medium reef assoc. fish (30 - 89 cm)</x:v>
      </x:c>
      <x:c r="H71" s="24" t="str">
        <x:v>Perch-likes</x:v>
      </x:c>
      <x:c r="I71" s="31" t="n">
        <x:v>0.0011759432</x:v>
      </x:c>
      <x:c r="J71" s="31" t="n">
        <x:v>0.0011759432</x:v>
      </x:c>
      <x:c r="K71" s="31" t="n">
        <x:v>0</x:v>
      </x:c>
      <x:c r="L71" s="31" t="n">
        <x:v>0</x:v>
      </x:c>
      <x:c r="M71" s="31" t="n">
        <x:v>0.0011759432</x:v>
      </x:c>
      <x:c r="N71" s="24" t="str">
        <x:v>cephalopholis</x:v>
      </x:c>
      <x:c r="O71" s="32" t="n">
        <x:v>4.13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Cephalopholis</x:v>
      </x:c>
      <x:c r="T71" s="32" t="n">
        <x:f>IF(O71="","",(1/'Metadata'!$B$5)^(O71-1))</x:f>
        <x:v>1348.9628825916532</x:v>
      </x:c>
      <x:c r="U71" s="31" t="n">
        <x:f>IF(T71="","",I71*T71)</x:f>
        <x:v>1.5863037288360529</x:v>
      </x:c>
    </x:row>
  </x:sheetData>
  <x:conditionalFormatting sqref="R2:R7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9ed862489e44c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4.0228625055</x:v>
      </x:c>
      <x:c r="E2" s="31" t="n">
        <x:v>4.0228625055</x:v>
      </x:c>
      <x:c r="F2" s="32" t="n">
        <x:v>0</x:v>
      </x:c>
      <x:c r="G2" s="34" t="n">
        <x:v>1</x:v>
      </x:c>
      <x:c r="H2" s="32" t="n">
        <x:f>IF(E2=0,"",I2/E2)</x:f>
        <x:v>108.7857438054178</x:v>
      </x:c>
      <x:c r="I2" s="31" t="n">
        <x:f>IF(C2=0,"",SUMIF('Species'!$H$2:$H$71,A2,'Species'!$U$2:$U$71))</x:f>
        <x:v>437.63008988774413</x:v>
      </x:c>
      <x:c r="J2" s="32" t="n">
        <x:v>2.8967064739960944</x:v>
      </x:c>
      <x:c r="K2" s="32" t="n">
        <x:f>IF(J2="","",(1/'Metadata'!$B$5)^(J2-1))</x:f>
        <x:v>78.83271319688971</x:v>
      </x:c>
      <x:c r="L2" s="31" t="n">
        <x:f>IF(E2=0,"",E2*K2)</x:f>
        <x:v>317.13316612660265</x:v>
      </x:c>
      <x:c r="M2" s="31" t="n">
        <x:f>IF(E2=0,"",I2-L2)</x:f>
        <x:v>120.49692376114149</x:v>
      </x:c>
      <x:c r="N2" s="32" t="n">
        <x:f>IF(L2=0,"",I2/L2)</x:f>
        <x:v>1.3799568655428425</x:v>
      </x:c>
      <x:c r="O2" s="34" t="n">
        <x:f>IF(L2=0,"",M2/L2)</x:f>
        <x:v>0.37995686554284247</x:v>
      </x:c>
    </x:row>
    <x:row r="3" ht="18" customHeight="1">
      <x:c r="A3" s="24" t="str">
        <x:v>Molluscs</x:v>
      </x:c>
      <x:c r="B3" s="33" t="n">
        <x:v>5</x:v>
      </x:c>
      <x:c r="C3" s="33" t="n">
        <x:v>5</x:v>
      </x:c>
      <x:c r="D3" s="31" t="n">
        <x:v>23.9955783633</x:v>
      </x:c>
      <x:c r="E3" s="31" t="n">
        <x:v>23.9955783633</x:v>
      </x:c>
      <x:c r="F3" s="32" t="n">
        <x:v>0</x:v>
      </x:c>
      <x:c r="G3" s="34" t="n">
        <x:v>1</x:v>
      </x:c>
      <x:c r="H3" s="32" t="n">
        <x:f>IF(E3=0,"",I3/E3)</x:f>
        <x:v>22.337364883979767</x:v>
      </x:c>
      <x:c r="I3" s="31" t="n">
        <x:f>IF(C3=0,"",SUMIF('Species'!$H$2:$H$71,A3,'Species'!$U$2:$U$71))</x:f>
        <x:v>535.9979895031621</x:v>
      </x:c>
      <x:c r="J3" s="32" t="n">
        <x:v>2.133269230805496</x:v>
      </x:c>
      <x:c r="K3" s="32" t="n">
        <x:f>IF(J3="","",(1/'Metadata'!$B$5)^(J3-1))</x:f>
        <x:v>13.591557626090674</x:v>
      </x:c>
      <x:c r="L3" s="31" t="n">
        <x:f>IF(E3=0,"",E3*K3)</x:f>
        <x:v>326.1372860961665</x:v>
      </x:c>
      <x:c r="M3" s="31" t="n">
        <x:f>IF(E3=0,"",I3-L3)</x:f>
        <x:v>209.86070340699558</x:v>
      </x:c>
      <x:c r="N3" s="32" t="n">
        <x:f>IF(L3=0,"",I3/L3)</x:f>
        <x:v>1.6434735074882392</x:v>
      </x:c>
      <x:c r="O3" s="34" t="n">
        <x:f>IF(L3=0,"",M3/L3)</x:f>
        <x:v>0.6434735074882391</x:v>
      </x:c>
    </x:row>
    <x:row r="4" ht="18" customHeight="1">
      <x:c r="A4" s="24" t="str">
        <x:v>Other fishes &amp; inverts</x:v>
      </x:c>
      <x:c r="B4" s="33" t="n">
        <x:v>12</x:v>
      </x:c>
      <x:c r="C4" s="33" t="n">
        <x:v>12</x:v>
      </x:c>
      <x:c r="D4" s="31" t="n">
        <x:v>103.50983931919998</x:v>
      </x:c>
      <x:c r="E4" s="31" t="n">
        <x:v>103.50983931919998</x:v>
      </x:c>
      <x:c r="F4" s="32" t="n">
        <x:v>0</x:v>
      </x:c>
      <x:c r="G4" s="34" t="n">
        <x:v>1</x:v>
      </x:c>
      <x:c r="H4" s="32" t="n">
        <x:f>IF(E4=0,"",I4/E4)</x:f>
        <x:v>202.97550424590048</x:v>
      </x:c>
      <x:c r="I4" s="31" t="n">
        <x:f>IF(C4=0,"",SUMIF('Species'!$H$2:$H$71,A4,'Species'!$U$2:$U$71))</x:f>
        <x:v>21009.96183022675</x:v>
      </x:c>
      <x:c r="J4" s="32" t="n">
        <x:v>3.3006942307137535</x:v>
      </x:c>
      <x:c r="K4" s="32" t="n">
        <x:f>IF(J4="","",(1/'Metadata'!$B$5)^(J4-1))</x:f>
        <x:v>199.84543428336306</x:v>
      </x:c>
      <x:c r="L4" s="31" t="n">
        <x:f>IF(E4=0,"",E4*K4)</x:f>
        <x:v>20685.96879134665</x:v>
      </x:c>
      <x:c r="M4" s="31" t="n">
        <x:f>IF(E4=0,"",I4-L4)</x:f>
        <x:v>323.99303888010036</x:v>
      </x:c>
      <x:c r="N4" s="32" t="n">
        <x:f>IF(L4=0,"",I4/L4)</x:f>
        <x:v>1.0156624542049795</x:v>
      </x:c>
      <x:c r="O4" s="34" t="n">
        <x:f>IF(L4=0,"",M4/L4)</x:f>
        <x:v>0.015662454204979418</x:v>
      </x:c>
    </x:row>
    <x:row r="5" ht="18" customHeight="1">
      <x:c r="A5" s="24" t="str">
        <x:v>Perch-likes</x:v>
      </x:c>
      <x:c r="B5" s="33" t="n">
        <x:v>33</x:v>
      </x:c>
      <x:c r="C5" s="33" t="n">
        <x:v>33</x:v>
      </x:c>
      <x:c r="D5" s="31" t="n">
        <x:v>54.4941974648</x:v>
      </x:c>
      <x:c r="E5" s="31" t="n">
        <x:v>54.4941974648</x:v>
      </x:c>
      <x:c r="F5" s="32" t="n">
        <x:v>0</x:v>
      </x:c>
      <x:c r="G5" s="34" t="n">
        <x:v>1</x:v>
      </x:c>
      <x:c r="H5" s="32" t="n">
        <x:f>IF(E5=0,"",I5/E5)</x:f>
        <x:v>1093.9520800509358</x:v>
      </x:c>
      <x:c r="I5" s="31" t="n">
        <x:f>IF(C5=0,"",SUMIF('Species'!$H$2:$H$71,A5,'Species'!$U$2:$U$71))</x:f>
        <x:v>59614.04066732439</x:v>
      </x:c>
      <x:c r="J5" s="32" t="n">
        <x:v>3.5642146415689733</x:v>
      </x:c>
      <x:c r="K5" s="32" t="n">
        <x:f>IF(J5="","",(1/'Metadata'!$B$5)^(J5-1))</x:f>
        <x:v>366.61872402624675</x:v>
      </x:c>
      <x:c r="L5" s="31" t="n">
        <x:f>IF(E5=0,"",E5*K5)</x:f>
        <x:v>19978.593141379308</x:v>
      </x:c>
      <x:c r="M5" s="31" t="n">
        <x:f>IF(E5=0,"",I5-L5)</x:f>
        <x:v>39635.447525945085</x:v>
      </x:c>
      <x:c r="N5" s="32" t="n">
        <x:f>IF(L5=0,"",I5/L5)</x:f>
        <x:v>2.9838958251696335</x:v>
      </x:c>
      <x:c r="O5" s="34" t="n">
        <x:f>IF(L5=0,"",M5/L5)</x:f>
        <x:v>1.9838958251696337</x:v>
      </x:c>
    </x:row>
    <x:row r="6" ht="18" customHeight="1">
      <x:c r="A6" s="24" t="str">
        <x:v>Sharks &amp; rays</x:v>
      </x:c>
      <x:c r="B6" s="33" t="n">
        <x:v>7</x:v>
      </x:c>
      <x:c r="C6" s="33" t="n">
        <x:v>7</x:v>
      </x:c>
      <x:c r="D6" s="31" t="n">
        <x:v>152.83627933860004</x:v>
      </x:c>
      <x:c r="E6" s="31" t="n">
        <x:v>152.83627933860004</x:v>
      </x:c>
      <x:c r="F6" s="32" t="n">
        <x:v>0</x:v>
      </x:c>
      <x:c r="G6" s="34" t="n">
        <x:v>1</x:v>
      </x:c>
      <x:c r="H6" s="32" t="n">
        <x:f>IF(E6=0,"",I6/E6)</x:f>
        <x:v>2356.699865080186</x:v>
      </x:c>
      <x:c r="I6" s="31" t="n">
        <x:f>IF(C6=0,"",SUMIF('Species'!$H$2:$H$71,A6,'Species'!$U$2:$U$71))</x:f>
        <x:v>360189.23889663635</x:v>
      </x:c>
      <x:c r="J6" s="32" t="n">
        <x:v>4.367133239185007</x:v>
      </x:c>
      <x:c r="K6" s="32" t="n">
        <x:f>IF(J6="","",(1/'Metadata'!$B$5)^(J6-1))</x:f>
        <x:v>2328.8056129753945</x:v>
      </x:c>
      <x:c r="L6" s="31" t="n">
        <x:f>IF(E6=0,"",E6*K6)</x:f>
        <x:v>355925.9851900071</x:v>
      </x:c>
      <x:c r="M6" s="31" t="n">
        <x:f>IF(E6=0,"",I6-L6)</x:f>
        <x:v>4263.253706629272</x:v>
      </x:c>
      <x:c r="N6" s="32" t="n">
        <x:f>IF(L6=0,"",I6/L6)</x:f>
        <x:v>1.0119779220512752</x:v>
      </x:c>
      <x:c r="O6" s="34" t="n">
        <x:f>IF(L6=0,"",M6/L6)</x:f>
        <x:v>0.0119779220512753</x:v>
      </x:c>
    </x:row>
    <x:row r="7" ht="18" customHeight="1">
      <x:c r="A7" s="24" t="str">
        <x:v>Tuna &amp; billfishes</x:v>
      </x:c>
      <x:c r="B7" s="33" t="n">
        <x:v>10</x:v>
      </x:c>
      <x:c r="C7" s="33" t="n">
        <x:v>10</x:v>
      </x:c>
      <x:c r="D7" s="31" t="n">
        <x:v>610.6685847154</x:v>
      </x:c>
      <x:c r="E7" s="31" t="n">
        <x:v>610.6685847154</x:v>
      </x:c>
      <x:c r="F7" s="32" t="n">
        <x:v>0</x:v>
      </x:c>
      <x:c r="G7" s="34" t="n">
        <x:v>1</x:v>
      </x:c>
      <x:c r="H7" s="32" t="n">
        <x:f>IF(E7=0,"",I7/E7)</x:f>
        <x:v>2270.7381885564027</x:v>
      </x:c>
      <x:c r="I7" s="31" t="n">
        <x:f>IF(C7=0,"",SUMIF('Species'!$H$2:$H$71,A7,'Species'!$U$2:$U$71))</x:f>
        <x:v>1386668.4758649496</x:v>
      </x:c>
      <x:c r="J7" s="32" t="n">
        <x:v>4.349470066562178</x:v>
      </x:c>
      <x:c r="K7" s="32" t="n">
        <x:f>IF(J7="","",(1/'Metadata'!$B$5)^(J7-1))</x:f>
        <x:v>2235.991079318828</x:v>
      </x:c>
      <x:c r="L7" s="31" t="n">
        <x:f>IF(E7=0,"",E7*K7)</x:f>
        <x:v>1365449.5078438884</x:v>
      </x:c>
      <x:c r="M7" s="31" t="n">
        <x:f>IF(E7=0,"",I7-L7)</x:f>
        <x:v>21218.96802106127</x:v>
      </x:c>
      <x:c r="N7" s="32" t="n">
        <x:f>IF(L7=0,"",I7/L7)</x:f>
        <x:v>1.015539914071643</x:v>
      </x:c>
      <x:c r="O7" s="34" t="n">
        <x:f>IF(L7=0,"",M7/L7)</x:f>
        <x:v>0.015539914071643016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b5b7506699f40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0.36157720860000003</x:v>
      </x:c>
      <x:c r="E2" s="31" t="n">
        <x:v>0.36157720860000003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IF(C2=0,"",SUMIF('Species'!$G$2:$G$71,A2,'Species'!$U$2:$U$71))</x:f>
        <x:v>228.1397953628168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228.1397953628168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2.9221104445000003</x:v>
      </x:c>
      <x:c r="E3" s="31" t="n">
        <x:v>2.9221104445000003</x:v>
      </x:c>
      <x:c r="F3" s="32" t="n">
        <x:v>0</x:v>
      </x:c>
      <x:c r="G3" s="34" t="n">
        <x:v>1</x:v>
      </x:c>
      <x:c r="H3" s="32" t="n">
        <x:f>IF(E3=0,"",I3/E3)</x:f>
        <x:v>2962.7520855064936</x:v>
      </x:c>
      <x:c r="I3" s="31" t="n">
        <x:f>IF(C3=0,"",SUMIF('Species'!$G$2:$G$71,A3,'Species'!$U$2:$U$71))</x:f>
        <x:v>8657.488813522683</x:v>
      </x:c>
      <x:c r="J3" s="32" t="n">
        <x:v>4.470990312166484</x:v>
      </x:c>
      <x:c r="K3" s="32" t="n">
        <x:f>IF(J3="","",(1/'Metadata'!$B$5)^(J3-1))</x:f>
        <x:v>2957.946482722862</x:v>
      </x:c>
      <x:c r="L3" s="31" t="n">
        <x:f>IF(E3=0,"",E3*K3)</x:f>
        <x:v>8643.446311436515</x:v>
      </x:c>
      <x:c r="M3" s="31" t="n">
        <x:f>IF(E3=0,"",I3-L3)</x:f>
        <x:v>14.042502086167588</x:v>
      </x:c>
      <x:c r="N3" s="32" t="n">
        <x:f>IF(L3=0,"",I3/L3)</x:f>
        <x:v>1.0016246415584935</x:v>
      </x:c>
      <x:c r="O3" s="34" t="n">
        <x:f>IF(L3=0,"",M3/L3)</x:f>
        <x:v>0.0016246415584935548</x:v>
      </x:c>
    </x:row>
    <x:row r="4" ht="18" customHeight="1">
      <x:c r="A4" s="24" t="str">
        <x:v>Large pelagics (&gt;=90 cm)</x:v>
      </x:c>
      <x:c r="B4" s="33" t="n">
        <x:v>12</x:v>
      </x:c>
      <x:c r="C4" s="33" t="n">
        <x:v>12</x:v>
      </x:c>
      <x:c r="D4" s="31" t="n">
        <x:v>615.4591426236</x:v>
      </x:c>
      <x:c r="E4" s="31" t="n">
        <x:v>615.4591426236</x:v>
      </x:c>
      <x:c r="F4" s="32" t="n">
        <x:v>0</x:v>
      </x:c>
      <x:c r="G4" s="34" t="n">
        <x:v>1</x:v>
      </x:c>
      <x:c r="H4" s="32" t="n">
        <x:f>IF(E4=0,"",I4/E4)</x:f>
        <x:v>2271.3890192090525</x:v>
      </x:c>
      <x:c r="I4" s="31" t="n">
        <x:f>IF(C4=0,"",SUMIF('Species'!$G$2:$G$71,A4,'Species'!$U$2:$U$71))</x:f>
        <x:v>1397947.138327063</x:v>
      </x:c>
      <x:c r="J4" s="32" t="n">
        <x:v>4.349642540265068</x:v>
      </x:c>
      <x:c r="K4" s="32" t="n">
        <x:f>IF(J4="","",(1/'Metadata'!$B$5)^(J4-1))</x:f>
        <x:v>2236.8792468292404</x:v>
      </x:c>
      <x:c r="L4" s="31" t="n">
        <x:f>IF(E4=0,"",E4*K4)</x:f>
        <x:v>1376707.7834060483</x:v>
      </x:c>
      <x:c r="M4" s="31" t="n">
        <x:f>IF(E4=0,"",I4-L4)</x:f>
        <x:v>21239.354921014747</x:v>
      </x:c>
      <x:c r="N4" s="32" t="n">
        <x:f>IF(L4=0,"",I4/L4)</x:f>
        <x:v>1.0154276420726462</x:v>
      </x:c>
      <x:c r="O4" s="34" t="n">
        <x:f>IF(L4=0,"",M4/L4)</x:f>
        <x:v>0.015427642072646275</x:v>
      </x:c>
    </x:row>
    <x:row r="5" ht="18" customHeight="1">
      <x:c r="A5" s="24" t="str">
        <x:v>Large reef assoc. fish (&gt;=90 cm)</x:v>
      </x:c>
      <x:c r="B5" s="33" t="n">
        <x:v>1</x:v>
      </x:c>
      <x:c r="C5" s="33" t="n">
        <x:v>1</x:v>
      </x:c>
      <x:c r="D5" s="31" t="n">
        <x:v>1.6859539272000001</x:v>
      </x:c>
      <x:c r="E5" s="31" t="n">
        <x:v>1.6859539272000001</x:v>
      </x:c>
      <x:c r="F5" s="32" t="n">
        <x:v>0</x:v>
      </x:c>
      <x:c r="G5" s="34" t="n">
        <x:v>1</x:v>
      </x:c>
      <x:c r="H5" s="32" t="n">
        <x:f>IF(E5=0,"",I5/E5)</x:f>
        <x:v>3090.295432513592</x:v>
      </x:c>
      <x:c r="I5" s="31" t="n">
        <x:f>IF(C5=0,"",SUMIF('Species'!$G$2:$G$71,A5,'Species'!$U$2:$U$71))</x:f>
        <x:v>5210.095720654514</x:v>
      </x:c>
      <x:c r="J5" s="32" t="n">
        <x:v>4.49</x:v>
      </x:c>
      <x:c r="K5" s="32" t="n">
        <x:f>IF(J5="","",(1/'Metadata'!$B$5)^(J5-1))</x:f>
        <x:v>3090.295432513592</x:v>
      </x:c>
      <x:c r="L5" s="31" t="n">
        <x:f>IF(E5=0,"",E5*K5)</x:f>
        <x:v>5210.095720654514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sharks (&gt;=90 cm)</x:v>
      </x:c>
      <x:c r="B6" s="33" t="n">
        <x:v>7</x:v>
      </x:c>
      <x:c r="C6" s="33" t="n">
        <x:v>7</x:v>
      </x:c>
      <x:c r="D6" s="31" t="n">
        <x:v>152.83627933860004</x:v>
      </x:c>
      <x:c r="E6" s="31" t="n">
        <x:v>152.83627933860004</x:v>
      </x:c>
      <x:c r="F6" s="32" t="n">
        <x:v>0</x:v>
      </x:c>
      <x:c r="G6" s="34" t="n">
        <x:v>1</x:v>
      </x:c>
      <x:c r="H6" s="32" t="n">
        <x:f>IF(E6=0,"",I6/E6)</x:f>
        <x:v>2356.699865080186</x:v>
      </x:c>
      <x:c r="I6" s="31" t="n">
        <x:f>IF(C6=0,"",SUMIF('Species'!$G$2:$G$71,A6,'Species'!$U$2:$U$71))</x:f>
        <x:v>360189.23889663635</x:v>
      </x:c>
      <x:c r="J6" s="32" t="n">
        <x:v>4.367133239185007</x:v>
      </x:c>
      <x:c r="K6" s="32" t="n">
        <x:f>IF(J6="","",(1/'Metadata'!$B$5)^(J6-1))</x:f>
        <x:v>2328.8056129753945</x:v>
      </x:c>
      <x:c r="L6" s="31" t="n">
        <x:f>IF(E6=0,"",E6*K6)</x:f>
        <x:v>355925.9851900071</x:v>
      </x:c>
      <x:c r="M6" s="31" t="n">
        <x:f>IF(E6=0,"",I6-L6)</x:f>
        <x:v>4263.253706629272</x:v>
      </x:c>
      <x:c r="N6" s="32" t="n">
        <x:f>IF(L6=0,"",I6/L6)</x:f>
        <x:v>1.0119779220512752</x:v>
      </x:c>
      <x:c r="O6" s="34" t="n">
        <x:f>IF(L6=0,"",M6/L6)</x:f>
        <x:v>0.0119779220512753</x:v>
      </x:c>
    </x:row>
    <x:row r="7" ht="18" customHeight="1">
      <x:c r="A7" s="24" t="str">
        <x:v>Lobsters, crabs</x:v>
      </x:c>
      <x:c r="B7" s="33" t="n">
        <x:v>3</x:v>
      </x:c>
      <x:c r="C7" s="33" t="n">
        <x:v>3</x:v>
      </x:c>
      <x:c r="D7" s="31" t="n">
        <x:v>4.0228625055</x:v>
      </x:c>
      <x:c r="E7" s="31" t="n">
        <x:v>4.0228625055</x:v>
      </x:c>
      <x:c r="F7" s="32" t="n">
        <x:v>0</x:v>
      </x:c>
      <x:c r="G7" s="34" t="n">
        <x:v>1</x:v>
      </x:c>
      <x:c r="H7" s="32" t="n">
        <x:f>IF(E7=0,"",I7/E7)</x:f>
        <x:v>108.7857438054178</x:v>
      </x:c>
      <x:c r="I7" s="31" t="n">
        <x:f>IF(C7=0,"",SUMIF('Species'!$G$2:$G$71,A7,'Species'!$U$2:$U$71))</x:f>
        <x:v>437.63008988774413</x:v>
      </x:c>
      <x:c r="J7" s="32" t="n">
        <x:v>2.8967064739960944</x:v>
      </x:c>
      <x:c r="K7" s="32" t="n">
        <x:f>IF(J7="","",(1/'Metadata'!$B$5)^(J7-1))</x:f>
        <x:v>78.83271319688971</x:v>
      </x:c>
      <x:c r="L7" s="31" t="n">
        <x:f>IF(E7=0,"",E7*K7)</x:f>
        <x:v>317.13316612660265</x:v>
      </x:c>
      <x:c r="M7" s="31" t="n">
        <x:f>IF(E7=0,"",I7-L7)</x:f>
        <x:v>120.49692376114149</x:v>
      </x:c>
      <x:c r="N7" s="32" t="n">
        <x:f>IF(L7=0,"",I7/L7)</x:f>
        <x:v>1.3799568655428425</x:v>
      </x:c>
      <x:c r="O7" s="34" t="n">
        <x:f>IF(L7=0,"",M7/L7)</x:f>
        <x:v>0.37995686554284247</x:v>
      </x:c>
    </x:row>
    <x:row r="8" ht="18" customHeight="1">
      <x:c r="A8" s="24" t="str">
        <x:v>Medium demersals (30 - 89 cm)</x:v>
      </x:c>
      <x:c r="B8" s="33" t="n">
        <x:v>2</x:v>
      </x:c>
      <x:c r="C8" s="33" t="n">
        <x:v>2</x:v>
      </x:c>
      <x:c r="D8" s="31" t="n">
        <x:v>84.09783062099999</x:v>
      </x:c>
      <x:c r="E8" s="31" t="n">
        <x:v>84.09783062099999</x:v>
      </x:c>
      <x:c r="F8" s="32" t="n">
        <x:v>0</x:v>
      </x:c>
      <x:c r="G8" s="34" t="n">
        <x:v>1</x:v>
      </x:c>
      <x:c r="H8" s="32" t="n">
        <x:f>IF(E8=0,"",I8/E8)</x:f>
        <x:v>188.4768355394754</x:v>
      </x:c>
      <x:c r="I8" s="31" t="n">
        <x:f>IF(C8=0,"",SUMIF('Species'!$G$2:$G$71,A8,'Species'!$U$2:$U$71))</x:f>
        <x:v>15850.492991180872</x:v>
      </x:c>
      <x:c r="J8" s="32" t="n">
        <x:v>3.267753800672465</x:v>
      </x:c>
      <x:c r="K8" s="32" t="n">
        <x:f>IF(J8="","",(1/'Metadata'!$B$5)^(J8-1))</x:f>
        <x:v>185.24811635660512</x:v>
      </x:c>
      <x:c r="L8" s="31" t="n">
        <x:f>IF(E8=0,"",E8*K8)</x:f>
        <x:v>15578.964712217075</x:v>
      </x:c>
      <x:c r="M8" s="31" t="n">
        <x:f>IF(E8=0,"",I8-L8)</x:f>
        <x:v>271.52827896379677</x:v>
      </x:c>
      <x:c r="N8" s="32" t="n">
        <x:f>IF(L8=0,"",I8/L8)</x:f>
        <x:v>1.0174291606650128</x:v>
      </x:c>
      <x:c r="O8" s="34" t="n">
        <x:f>IF(L8=0,"",M8/L8)</x:f>
        <x:v>0.01742916066501283</x:v>
      </x:c>
    </x:row>
    <x:row r="9" ht="18" customHeight="1">
      <x:c r="A9" s="24" t="str">
        <x:v>Medium pelagics (30 - 89 cm)</x:v>
      </x:c>
      <x:c r="B9" s="33" t="n">
        <x:v>3</x:v>
      </x:c>
      <x:c r="C9" s="33" t="n">
        <x:v>3</x:v>
      </x:c>
      <x:c r="D9" s="31" t="n">
        <x:v>25.3008690798</x:v>
      </x:c>
      <x:c r="E9" s="31" t="n">
        <x:v>25.3008690798</x:v>
      </x:c>
      <x:c r="F9" s="32" t="n">
        <x:v>0</x:v>
      </x:c>
      <x:c r="G9" s="34" t="n">
        <x:v>1</x:v>
      </x:c>
      <x:c r="H9" s="32" t="n">
        <x:f>IF(E9=0,"",I9/E9)</x:f>
        <x:v>1057.6390399474067</x:v>
      </x:c>
      <x:c r="I9" s="31" t="n">
        <x:f>IF(C9=0,"",SUMIF('Species'!$G$2:$G$71,A9,'Species'!$U$2:$U$71))</x:f>
        <x:v>26759.1868833947</x:v>
      </x:c>
      <x:c r="J9" s="32" t="n">
        <x:v>3.8845261681644536</x:v>
      </x:c>
      <x:c r="K9" s="32" t="n">
        <x:f>IF(J9="","",(1/'Metadata'!$B$5)^(J9-1))</x:f>
        <x:v>766.5247252780109</x:v>
      </x:c>
      <x:c r="L9" s="31" t="n">
        <x:f>IF(E9=0,"",E9*K9)</x:f>
        <x:v>19393.741720688617</x:v>
      </x:c>
      <x:c r="M9" s="31" t="n">
        <x:f>IF(E9=0,"",I9-L9)</x:f>
        <x:v>7365.445162706084</x:v>
      </x:c>
      <x:c r="N9" s="32" t="n">
        <x:f>IF(L9=0,"",I9/L9)</x:f>
        <x:v>1.3797846371671985</x:v>
      </x:c>
      <x:c r="O9" s="34" t="n">
        <x:f>IF(L9=0,"",M9/L9)</x:f>
        <x:v>0.3797846371671984</x:v>
      </x:c>
    </x:row>
    <x:row r="10" ht="18" customHeight="1">
      <x:c r="A10" s="24" t="str">
        <x:v>Medium reef assoc. fish (30 - 89 cm)</x:v>
      </x:c>
      <x:c r="B10" s="33" t="n">
        <x:v>21</x:v>
      </x:c>
      <x:c r="C10" s="33" t="n">
        <x:v>21</x:v>
      </x:c>
      <x:c r="D10" s="31" t="n">
        <x:v>20.989624764199995</x:v>
      </x:c>
      <x:c r="E10" s="31" t="n">
        <x:v>20.989624764199995</x:v>
      </x:c>
      <x:c r="F10" s="32" t="n">
        <x:v>0</x:v>
      </x:c>
      <x:c r="G10" s="34" t="n">
        <x:v>1</x:v>
      </x:c>
      <x:c r="H10" s="32" t="n">
        <x:f>IF(E10=0,"",I10/E10)</x:f>
        <x:v>283.6888398594144</x:v>
      </x:c>
      <x:c r="I10" s="31" t="n">
        <x:f>IF(C10=0,"",SUMIF('Species'!$G$2:$G$71,A10,'Species'!$U$2:$U$71))</x:f>
        <x:v>5954.522298440331</x:v>
      </x:c>
      <x:c r="J10" s="32" t="n">
        <x:v>2.7444292143974667</x:v>
      </x:c>
      <x:c r="K10" s="32" t="n">
        <x:f>IF(J10="","",(1/'Metadata'!$B$5)^(J10-1))</x:f>
        <x:v>55.51741219851268</x:v>
      </x:c>
      <x:c r="L10" s="31" t="n">
        <x:f>IF(E10=0,"",E10*K10)</x:f>
        <x:v>1165.2896499262006</x:v>
      </x:c>
      <x:c r="M10" s="31" t="n">
        <x:f>IF(E10=0,"",I10-L10)</x:f>
        <x:v>4789.23264851413</x:v>
      </x:c>
      <x:c r="N10" s="32" t="n">
        <x:f>IF(L10=0,"",I10/L10)</x:f>
        <x:v>5.109907479927792</x:v>
      </x:c>
      <x:c r="O10" s="34" t="n">
        <x:f>IF(L10=0,"",M10/L10)</x:f>
        <x:v>4.109907479927792</x:v>
      </x:c>
    </x:row>
    <x:row r="11" ht="18" customHeight="1">
      <x:c r="A11" s="24" t="str">
        <x:v>Other demersal invertebrates</x:v>
      </x:c>
      <x:c r="B11" s="33" t="n">
        <x:v>8</x:v>
      </x:c>
      <x:c r="C11" s="33" t="n">
        <x:v>8</x:v>
      </x:c>
      <x:c r="D11" s="31" t="n">
        <x:v>24.2838287262</x:v>
      </x:c>
      <x:c r="E11" s="31" t="n">
        <x:v>24.2838287262</x:v>
      </x:c>
      <x:c r="F11" s="32" t="n">
        <x:v>0</x:v>
      </x:c>
      <x:c r="G11" s="34" t="n">
        <x:v>1</x:v>
      </x:c>
      <x:c r="H11" s="32" t="n">
        <x:f>IF(E11=0,"",I11/E11)</x:f>
        <x:v>22.275602916470064</x:v>
      </x:c>
      <x:c r="I11" s="31" t="n">
        <x:f>IF(C11=0,"",SUMIF('Species'!$G$2:$G$71,A11,'Species'!$U$2:$U$71))</x:f>
        <x:v>540.9369259964002</x:v>
      </x:c>
      <x:c r="J11" s="32" t="n">
        <x:v>2.1337062682715637</x:v>
      </x:c>
      <x:c r="K11" s="32" t="n">
        <x:f>IF(J11="","",(1/'Metadata'!$B$5)^(J11-1))</x:f>
        <x:v>13.605241911578203</x:v>
      </x:c>
      <x:c r="L11" s="31" t="n">
        <x:f>IF(E11=0,"",E11*K11)</x:f>
        <x:v>330.38736435928297</x:v>
      </x:c>
      <x:c r="M11" s="31" t="n">
        <x:f>IF(E11=0,"",I11-L11)</x:f>
        <x:v>210.54956163711722</x:v>
      </x:c>
      <x:c r="N11" s="32" t="n">
        <x:f>IF(L11=0,"",I11/L11)</x:f>
        <x:v>1.637280914315334</x:v>
      </x:c>
      <x:c r="O11" s="34" t="n">
        <x:f>IF(L11=0,"",M11/L11)</x:f>
        <x:v>0.637280914315334</x:v>
      </x:c>
    </x:row>
    <x:row r="12" ht="18" customHeight="1">
      <x:c r="A12" s="24" t="str">
        <x:v>Small pelagics (&lt;30 cm)</x:v>
      </x:c>
      <x:c r="B12" s="33" t="n">
        <x:v>1</x:v>
      </x:c>
      <x:c r="C12" s="33" t="n">
        <x:v>1</x:v>
      </x:c>
      <x:c r="D12" s="31" t="n">
        <x:v>0.009436309</x:v>
      </x:c>
      <x:c r="E12" s="31" t="n">
        <x:v>0.009436309</x:v>
      </x:c>
      <x:c r="F12" s="32" t="n">
        <x:v>0</x:v>
      </x:c>
      <x:c r="G12" s="34" t="n">
        <x:v>1</x:v>
      </x:c>
      <x:c r="H12" s="32" t="n">
        <x:f>IF(E12=0,"",I12/E12)</x:f>
        <x:v>371.5352290971724</x:v>
      </x:c>
      <x:c r="I12" s="31" t="n">
        <x:f>IF(C12=0,"",SUMIF('Species'!$G$2:$G$71,A12,'Species'!$U$2:$U$71))</x:f>
        <x:v>3.50592122614671</x:v>
      </x:c>
      <x:c r="J12" s="32" t="n">
        <x:v>3.5699999999999994</x:v>
      </x:c>
      <x:c r="K12" s="32" t="n">
        <x:f>IF(J12="","",(1/'Metadata'!$B$5)^(J12-1))</x:f>
        <x:v>371.535229097172</x:v>
      </x:c>
      <x:c r="L12" s="31" t="n">
        <x:f>IF(E12=0,"",E12*K12)</x:f>
        <x:v>3.5059212261467065</x:v>
      </x:c>
      <x:c r="M12" s="31" t="n">
        <x:f>IF(E12=0,"",I12-L12)</x:f>
        <x:v>3.552713678800501e-15</x:v>
      </x:c>
      <x:c r="N12" s="32" t="n">
        <x:f>IF(L12=0,"",I12/L12)</x:f>
        <x:v>1.000000000000001</x:v>
      </x:c>
      <x:c r="O12" s="34" t="n">
        <x:f>IF(L12=0,"",M12/L12)</x:f>
        <x:v>1.0133466925339971e-15</x:v>
      </x:c>
    </x:row>
    <x:row r="13" ht="18" customHeight="1">
      <x:c r="A13" s="24" t="str">
        <x:v>Small reef assoc. fish (&lt;30 cm)</x:v>
      </x:c>
      <x:c r="B13" s="33" t="n">
        <x:v>9</x:v>
      </x:c>
      <x:c r="C13" s="33" t="n">
        <x:v>9</x:v>
      </x:c>
      <x:c r="D13" s="31" t="n">
        <x:v>17.557826158599998</x:v>
      </x:c>
      <x:c r="E13" s="31" t="n">
        <x:v>17.557826158599998</x:v>
      </x:c>
      <x:c r="F13" s="32" t="n">
        <x:v>0</x:v>
      </x:c>
      <x:c r="G13" s="34" t="n">
        <x:v>1</x:v>
      </x:c>
      <x:c r="H13" s="32" t="n">
        <x:f>IF(E13=0,"",I13/E13)</x:f>
        <x:v>380.2844734222337</x:v>
      </x:c>
      <x:c r="I13" s="31" t="n">
        <x:f>IF(C13=0,"",SUMIF('Species'!$G$2:$G$71,A13,'Species'!$U$2:$U$71))</x:f>
        <x:v>6676.96867516232</x:v>
      </x:c>
      <x:c r="J13" s="32" t="n">
        <x:v>3.5070118236701355</x:v>
      </x:c>
      <x:c r="K13" s="32" t="n">
        <x:f>IF(J13="","",(1/'Metadata'!$B$5)^(J13-1))</x:f>
        <x:v>321.3748031760682</x:v>
      </x:c>
      <x:c r="L13" s="31" t="n">
        <x:f>IF(E13=0,"",E13*K13)</x:f>
        <x:v>5642.642925919696</x:v>
      </x:c>
      <x:c r="M13" s="31" t="n">
        <x:f>IF(E13=0,"",I13-L13)</x:f>
        <x:v>1034.3257492426246</x:v>
      </x:c>
      <x:c r="N13" s="32" t="n">
        <x:f>IF(L13=0,"",I13/L13)</x:f>
        <x:v>1.1833051927655054</x:v>
      </x:c>
      <x:c r="O13" s="34" t="n">
        <x:f>IF(L13=0,"",M13/L13)</x:f>
        <x:v>0.1833051927655053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bae82a417c442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EEZ_570</x:v>
      </x:c>
      <x:c r="B2" s="24" t="str">
        <x:v>raw_filtered_tonnes</x:v>
      </x:c>
      <x:c r="C2" s="24" t="n">
        <x:v>949.5273417067999</x:v>
      </x:c>
      <x:c r="D2" s="24" t="str">
        <x:v>tonnes</x:v>
      </x:c>
    </x:row>
    <x:row r="3" ht="18" customHeight="1">
      <x:c r="A3" s="24" t="str">
        <x:v>EEZ_570</x:v>
      </x:c>
      <x:c r="B3" s="24" t="str">
        <x:v>species_catch_tonnes</x:v>
      </x:c>
      <x:c r="C3" s="24" t="n">
        <x:v>949.5273417068</x:v>
      </x:c>
      <x:c r="D3" s="24" t="str">
        <x:v>tonnes</x:v>
      </x:c>
    </x:row>
    <x:row r="4" ht="18" customHeight="1">
      <x:c r="A4" s="24" t="str">
        <x:v>EEZ_570</x:v>
      </x:c>
      <x:c r="B4" s="24" t="str">
        <x:v>catch_difference_tonnes</x:v>
      </x:c>
      <x:c r="C4" s="24" t="n">
        <x:v>1.1368683772161603e-13</x:v>
      </x:c>
      <x:c r="D4" s="24" t="str">
        <x:v>tonnes</x:v>
      </x:c>
    </x:row>
    <x:row r="5" ht="18" customHeight="1">
      <x:c r="A5" s="24" t="str">
        <x:v>EEZ_570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EEZ_570</x:v>
      </x:c>
      <x:c r="B6" s="24" t="str">
        <x:v>matched_catch_tonnes</x:v>
      </x:c>
      <x:c r="C6" s="24" t="n">
        <x:v>949.5273417068</x:v>
      </x:c>
      <x:c r="D6" s="24" t="str">
        <x:v>tonnes</x:v>
      </x:c>
    </x:row>
    <x:row r="7" ht="18" customHeight="1">
      <x:c r="A7" s="24" t="str">
        <x:v>EEZ_570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EEZ_570</x:v>
      </x:c>
      <x:c r="B8" s="24" t="str">
        <x:v>taxa_count</x:v>
      </x:c>
      <x:c r="C8" s="24" t="n">
        <x:v>70</x:v>
      </x:c>
      <x:c r="D8" s="24" t="str">
        <x:v>count</x:v>
      </x:c>
    </x:row>
    <x:row r="9" ht="18" customHeight="1">
      <x:c r="A9" s="24" t="str">
        <x:v>EEZ_570</x:v>
      </x:c>
      <x:c r="B9" s="24" t="str">
        <x:v>matched_taxa_count</x:v>
      </x:c>
      <x:c r="C9" s="24" t="n">
        <x:v>70</x:v>
      </x:c>
      <x:c r="D9" s="24" t="str">
        <x:v>count</x:v>
      </x:c>
    </x:row>
    <x:row r="10" ht="18" customHeight="1">
      <x:c r="A10" s="24" t="str">
        <x:v>EEZ_570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EEZ_570</x:v>
      </x:c>
      <x:c r="B11" s="24" t="str">
        <x:v>species_ppr</x:v>
      </x:c>
      <x:c r="C11" s="24" t="n">
        <x:v>1828455.3453385285</x:v>
      </x:c>
      <x:c r="D11" s="24" t="str">
        <x:v>tonnes_primary_production_equivalent</x:v>
      </x:c>
    </x:row>
    <x:row r="12" ht="18" customHeight="1">
      <x:c r="A12" s="24" t="str">
        <x:v>EEZ_570</x:v>
      </x:c>
      <x:c r="B12" s="24" t="str">
        <x:v>commercial_ppr</x:v>
      </x:c>
      <x:c r="C12" s="24" t="n">
        <x:v>1828455.3453385283</x:v>
      </x:c>
      <x:c r="D12" s="24" t="str">
        <x:v>tonnes_primary_production_equivalent</x:v>
      </x:c>
    </x:row>
    <x:row r="13" ht="18" customHeight="1">
      <x:c r="A13" s="24" t="str">
        <x:v>EEZ_570</x:v>
      </x:c>
      <x:c r="B13" s="24" t="str">
        <x:v>functional_ppr</x:v>
      </x:c>
      <x:c r="C13" s="24" t="n">
        <x:v>1828455.3453385283</x:v>
      </x:c>
      <x:c r="D13" s="24" t="str">
        <x:v>tonnes_primary_production_equivalent</x:v>
      </x:c>
    </x:row>
    <x:row r="14" ht="18" customHeight="1">
      <x:c r="A14" s="24" t="str">
        <x:v>EEZ_570</x:v>
      </x:c>
      <x:c r="B14" s="24" t="str">
        <x:v>commercial_ppr_difference</x:v>
      </x:c>
      <x:c r="C14" s="24" t="n">
        <x:v>-2.3283064365386963e-10</x:v>
      </x:c>
      <x:c r="D14" s="24" t="str">
        <x:v>tonnes_primary_production_equivalent</x:v>
      </x:c>
    </x:row>
    <x:row r="15" ht="18" customHeight="1">
      <x:c r="A15" s="24" t="str">
        <x:v>EEZ_570</x:v>
      </x:c>
      <x:c r="B15" s="24" t="str">
        <x:v>functional_ppr_difference</x:v>
      </x:c>
      <x:c r="C15" s="24" t="n">
        <x:v>-2.3283064365386963e-10</x:v>
      </x:c>
      <x:c r="D15" s="24" t="str">
        <x:v>tonnes_primary_production_equivalent</x:v>
      </x:c>
    </x:row>
    <x:row r="16" ht="18" customHeight="1">
      <x:c r="A16" s="24" t="str">
        <x:v>EEZ_570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EEZ_570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EEZ_570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EEZ_570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3e4d726650e43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EEZ_570 - Niue (New Zealand)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EEZ_570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