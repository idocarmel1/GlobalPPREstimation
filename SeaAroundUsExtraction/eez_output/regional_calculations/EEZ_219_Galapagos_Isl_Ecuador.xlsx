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12a5386b1a4c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97d4bf3f39f4dc2"/>
    <x:sheet xmlns:r="http://schemas.openxmlformats.org/officeDocument/2006/relationships" name="Commercial" sheetId="2" r:id="Rd6fd18ef396a46bd"/>
    <x:sheet xmlns:r="http://schemas.openxmlformats.org/officeDocument/2006/relationships" name="Functional" sheetId="3" r:id="Re28e421cc445405b"/>
    <x:sheet xmlns:r="http://schemas.openxmlformats.org/officeDocument/2006/relationships" name="Missing TL" sheetId="4" r:id="R0a4c5e4416d64728"/>
    <x:sheet xmlns:r="http://schemas.openxmlformats.org/officeDocument/2006/relationships" name="Validation" sheetId="5" r:id="R3f32a1e2d34c459e"/>
    <x:sheet xmlns:r="http://schemas.openxmlformats.org/officeDocument/2006/relationships" name="Metadata" sheetId="6" r:id="R54062340fb4941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45e5b9877b465b" /><Relationship Type="http://schemas.openxmlformats.org/officeDocument/2006/relationships/theme" Target="/xl/theme/theme1.xml" Id="R22142a360ac3489a" /><Relationship Type="http://schemas.microsoft.com/office/2022/11/relationships/FeaturePropertyBag" Target="/xl/featurePropertyBag/featurePropertyBag.xml" Id="Rf05ad67bc1ae4f30" /><Relationship Type="http://schemas.openxmlformats.org/officeDocument/2006/relationships/sharedStrings" Target="/xl/sharedStrings.xml" Id="Rdf612fcf48004acb" /><Relationship Type="http://schemas.openxmlformats.org/officeDocument/2006/relationships/worksheet" Target="/xl/worksheets/sheet1.xml" Id="R697d4bf3f39f4dc2" /><Relationship Type="http://schemas.openxmlformats.org/officeDocument/2006/relationships/worksheet" Target="/xl/worksheets/sheet2.xml" Id="Rd6fd18ef396a46bd" /><Relationship Type="http://schemas.openxmlformats.org/officeDocument/2006/relationships/worksheet" Target="/xl/worksheets/sheet3.xml" Id="Re28e421cc445405b" /><Relationship Type="http://schemas.openxmlformats.org/officeDocument/2006/relationships/worksheet" Target="/xl/worksheets/sheet4.xml" Id="R0a4c5e4416d64728" /><Relationship Type="http://schemas.openxmlformats.org/officeDocument/2006/relationships/worksheet" Target="/xl/worksheets/sheet5.xml" Id="R3f32a1e2d34c459e" /><Relationship Type="http://schemas.openxmlformats.org/officeDocument/2006/relationships/worksheet" Target="/xl/worksheets/sheet6.xml" Id="R54062340fb4941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19SpeciesTable" displayName="EEZ219SpeciesTable" ref="A1:U48" headerRowCount="1" totalsRowCount="0" totalsRowShown="0">
  <x:autoFilter ref="A1:U4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19CommercialTable" displayName="EEZ219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19FunctionalTable" displayName="EEZ219FunctionalTable" ref="A1:O11" headerRowCount="1" totalsRowCount="0" totalsRowShown="0">
  <x:autoFilter ref="A1:O1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19ValidationTable" displayName="EEZ219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08d3fc377d44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be52a84cabb4a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991e44663cb40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f646fd34d745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EEZ_219</x:v>
      </x:c>
      <x:c r="B2" s="24" t="str">
        <x:v>Galapagos Isl. (Ecuador)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43080.9107103083</x:v>
      </x:c>
      <x:c r="J2" s="31" t="n">
        <x:v>43073.4906443688</x:v>
      </x:c>
      <x:c r="K2" s="31" t="n">
        <x:v>7.4200659395</x:v>
      </x:c>
      <x:c r="L2" s="31" t="n">
        <x:v>43073.4906443688</x:v>
      </x:c>
      <x:c r="M2" s="31" t="n">
        <x:v>7.4200659395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115953770.56166254</x:v>
      </x:c>
    </x:row>
    <x:row r="3" ht="18" customHeight="1">
      <x:c r="A3" s="24" t="str">
        <x:v>EEZ_219</x:v>
      </x:c>
      <x:c r="B3" s="24" t="str">
        <x:v>Galapagos Isl. (Ecuador)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16462.7310776179</x:v>
      </x:c>
      <x:c r="J3" s="31" t="n">
        <x:v>16163.0266107114</x:v>
      </x:c>
      <x:c r="K3" s="31" t="n">
        <x:v>299.7044669065</x:v>
      </x:c>
      <x:c r="L3" s="31" t="n">
        <x:v>16163.0266107114</x:v>
      </x:c>
      <x:c r="M3" s="31" t="n">
        <x:v>299.7044669065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42315734.53476698</x:v>
      </x:c>
    </x:row>
    <x:row r="4" ht="18" customHeight="1">
      <x:c r="A4" s="24" t="str">
        <x:v>EEZ_219</x:v>
      </x:c>
      <x:c r="B4" s="24" t="str">
        <x:v>Galapagos Isl. (Ecuador)</x:v>
      </x:c>
      <x:c r="C4" s="24" t="str">
        <x:v>EEZ</x:v>
      </x:c>
      <x:c r="D4" s="30" t="n">
        <x:v>2019</x:v>
      </x:c>
      <x:c r="E4" s="24" t="str">
        <x:v>Prionace glauca</x:v>
      </x:c>
      <x:c r="F4" s="24" t="str">
        <x:v>Blue shark</x:v>
      </x:c>
      <x:c r="G4" s="24" t="str">
        <x:v>Large sharks (&gt;=90 cm)</x:v>
      </x:c>
      <x:c r="H4" s="24" t="str">
        <x:v>Sharks &amp; rays</x:v>
      </x:c>
      <x:c r="I4" s="31" t="n">
        <x:v>2768.1444848635</x:v>
      </x:c>
      <x:c r="J4" s="31" t="n">
        <x:v>2676.4416</x:v>
      </x:c>
      <x:c r="K4" s="31" t="n">
        <x:v>91.7028848635</x:v>
      </x:c>
      <x:c r="L4" s="31" t="n">
        <x:v>0</x:v>
      </x:c>
      <x:c r="M4" s="31" t="n">
        <x:v>2768.1444848635</x:v>
      </x:c>
      <x:c r="N4" s="24" t="str">
        <x:v>prionace glauca</x:v>
      </x:c>
      <x:c r="O4" s="32" t="n">
        <x:v>4.35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Prionace glauca</x:v>
      </x:c>
      <x:c r="T4" s="32" t="n">
        <x:f>IF(O4="","",(1/'Metadata'!$B$5)^(O4-1))</x:f>
        <x:v>2238.7211385683377</x:v>
      </x:c>
      <x:c r="U4" s="31" t="n">
        <x:f>IF(T4="","",I4*T4)</x:f>
        <x:v>6197103.57287528</x:v>
      </x:c>
    </x:row>
    <x:row r="5" ht="18" customHeight="1">
      <x:c r="A5" s="24" t="str">
        <x:v>EEZ_219</x:v>
      </x:c>
      <x:c r="B5" s="24" t="str">
        <x:v>Galapagos Isl. (Ecuador)</x:v>
      </x:c>
      <x:c r="C5" s="24" t="str">
        <x:v>EEZ</x:v>
      </x:c>
      <x:c r="D5" s="30" t="n">
        <x:v>2019</x:v>
      </x:c>
      <x:c r="E5" s="24" t="str">
        <x:v>Thunnus obesus</x:v>
      </x:c>
      <x:c r="F5" s="24" t="str">
        <x:v>Bigeye tuna</x:v>
      </x:c>
      <x:c r="G5" s="24" t="str">
        <x:v>Large pelagics (&gt;=90 cm)</x:v>
      </x:c>
      <x:c r="H5" s="24" t="str">
        <x:v>Tuna &amp; billfishes</x:v>
      </x:c>
      <x:c r="I5" s="31" t="n">
        <x:v>1589.7429580042</x:v>
      </x:c>
      <x:c r="J5" s="31" t="n">
        <x:v>1578.7414173716</x:v>
      </x:c>
      <x:c r="K5" s="31" t="n">
        <x:v>11.001540632600001</x:v>
      </x:c>
      <x:c r="L5" s="31" t="n">
        <x:v>1578.7414173716</x:v>
      </x:c>
      <x:c r="M5" s="31" t="n">
        <x:v>11.001540632600001</x:v>
      </x:c>
      <x:c r="N5" s="24" t="str">
        <x:v>thunnus obesus</x:v>
      </x:c>
      <x:c r="O5" s="32" t="n">
        <x:v>4.49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obesus</x:v>
      </x:c>
      <x:c r="T5" s="32" t="n">
        <x:f>IF(O5="","",(1/'Metadata'!$B$5)^(O5-1))</x:f>
        <x:v>3090.295432513592</x:v>
      </x:c>
      <x:c r="U5" s="31" t="n">
        <x:f>IF(T5="","",I5*T5)</x:f>
        <x:v>4912775.4019910265</x:v>
      </x:c>
    </x:row>
    <x:row r="6" ht="18" customHeight="1">
      <x:c r="A6" s="24" t="str">
        <x:v>EEZ_219</x:v>
      </x:c>
      <x:c r="B6" s="24" t="str">
        <x:v>Galapagos Isl. (Ecuador)</x:v>
      </x:c>
      <x:c r="C6" s="24" t="str">
        <x:v>EEZ</x:v>
      </x:c>
      <x:c r="D6" s="30" t="n">
        <x:v>2019</x:v>
      </x:c>
      <x:c r="E6" s="24" t="str">
        <x:v>Carcharhinus falciformis</x:v>
      </x:c>
      <x:c r="F6" s="24" t="str">
        <x:v>Silky shark</x:v>
      </x:c>
      <x:c r="G6" s="24" t="str">
        <x:v>Large sharks (&gt;=90 cm)</x:v>
      </x:c>
      <x:c r="H6" s="24" t="str">
        <x:v>Sharks &amp; rays</x:v>
      </x:c>
      <x:c r="I6" s="31" t="n">
        <x:v>621.7639896989</x:v>
      </x:c>
      <x:c r="J6" s="31" t="n">
        <x:v>621.3168000000001</x:v>
      </x:c>
      <x:c r="K6" s="31" t="n">
        <x:v>0.4471896989</x:v>
      </x:c>
      <x:c r="L6" s="31" t="n">
        <x:v>0</x:v>
      </x:c>
      <x:c r="M6" s="31" t="n">
        <x:v>621.7639896989</x:v>
      </x:c>
      <x:c r="N6" s="24" t="str">
        <x:v>carcharhinus falciformis</x:v>
      </x:c>
      <x:c r="O6" s="32" t="n">
        <x:v>4.51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Carcharhinus falciformis</x:v>
      </x:c>
      <x:c r="T6" s="32" t="n">
        <x:f>IF(O6="","",(1/'Metadata'!$B$5)^(O6-1))</x:f>
        <x:v>3235.936569296281</x:v>
      </x:c>
      <x:c r="U6" s="31" t="n">
        <x:f>IF(T6="","",I6*T6)</x:f>
        <x:v>2011988.8317382266</x:v>
      </x:c>
    </x:row>
    <x:row r="7" ht="18" customHeight="1">
      <x:c r="A7" s="24" t="str">
        <x:v>EEZ_219</x:v>
      </x:c>
      <x:c r="B7" s="24" t="str">
        <x:v>Galapagos Isl. (Ecuador)</x:v>
      </x:c>
      <x:c r="C7" s="24" t="str">
        <x:v>EEZ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547.7126042673</x:v>
      </x:c>
      <x:c r="J7" s="31" t="n">
        <x:v>43.7610211966</x:v>
      </x:c>
      <x:c r="K7" s="31" t="n">
        <x:v>503.9515830707</x:v>
      </x:c>
      <x:c r="L7" s="31" t="n">
        <x:v>16.7046839064</x:v>
      </x:c>
      <x:c r="M7" s="31" t="n">
        <x:v>531.0079203609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104364.4852164689</x:v>
      </x:c>
    </x:row>
    <x:row r="8" ht="18" customHeight="1">
      <x:c r="A8" s="24" t="str">
        <x:v>EEZ_219</x:v>
      </x:c>
      <x:c r="B8" s="24" t="str">
        <x:v>Galapagos Isl. (Ecuador)</x:v>
      </x:c>
      <x:c r="C8" s="24" t="str">
        <x:v>EEZ</x:v>
      </x:c>
      <x:c r="D8" s="30" t="n">
        <x:v>2019</x:v>
      </x:c>
      <x:c r="E8" s="24" t="str">
        <x:v>Alopias</x:v>
      </x:c>
      <x:c r="F8" s="24" t="str">
        <x:v>Thresher sharks</x:v>
      </x:c>
      <x:c r="G8" s="24" t="str">
        <x:v>Large sharks (&gt;=90 cm)</x:v>
      </x:c>
      <x:c r="H8" s="24" t="str">
        <x:v>Sharks &amp; rays</x:v>
      </x:c>
      <x:c r="I8" s="31" t="n">
        <x:v>525.7296473712</x:v>
      </x:c>
      <x:c r="J8" s="31" t="n">
        <x:v>525.7296</x:v>
      </x:c>
      <x:c r="K8" s="31" t="n">
        <x:v>0.0000473712</x:v>
      </x:c>
      <x:c r="L8" s="31" t="n">
        <x:v>0</x:v>
      </x:c>
      <x:c r="M8" s="31" t="n">
        <x:v>525.7296473712</x:v>
      </x:c>
      <x:c r="N8" s="24" t="str">
        <x:v>alopias</x:v>
      </x:c>
      <x:c r="O8" s="32" t="n">
        <x:v>4.5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Alopias</x:v>
      </x:c>
      <x:c r="T8" s="32" t="n">
        <x:f>IF(O8="","",(1/'Metadata'!$B$5)^(O8-1))</x:f>
        <x:v>3162.2776601683795</x:v>
      </x:c>
      <x:c r="U8" s="31" t="n">
        <x:f>IF(T8="","",I8*T8)</x:f>
        <x:v>1662503.1191701456</x:v>
      </x:c>
    </x:row>
    <x:row r="9" ht="18" customHeight="1">
      <x:c r="A9" s="24" t="str">
        <x:v>EEZ_219</x:v>
      </x:c>
      <x:c r="B9" s="24" t="str">
        <x:v>Galapagos Isl. (Ecuador)</x:v>
      </x:c>
      <x:c r="C9" s="24" t="str">
        <x:v>EEZ</x:v>
      </x:c>
      <x:c r="D9" s="30" t="n">
        <x:v>2019</x:v>
      </x:c>
      <x:c r="E9" s="24" t="str">
        <x:v>Elasmobranchii</x:v>
      </x:c>
      <x:c r="F9" s="24" t="str">
        <x:v>Sharks, rays, skates</x:v>
      </x:c>
      <x:c r="G9" s="24" t="str">
        <x:v>Large sharks (&gt;=90 cm)</x:v>
      </x:c>
      <x:c r="H9" s="24" t="str">
        <x:v>Sharks &amp; rays</x:v>
      </x:c>
      <x:c r="I9" s="31" t="n">
        <x:v>351.9860973282</x:v>
      </x:c>
      <x:c r="J9" s="31" t="n">
        <x:v>59.924328372800005</x:v>
      </x:c>
      <x:c r="K9" s="31" t="n">
        <x:v>292.0617689554</x:v>
      </x:c>
      <x:c r="L9" s="31" t="n">
        <x:v>59.924328372800005</x:v>
      </x:c>
      <x:c r="M9" s="31" t="n">
        <x:v>292.0617689554</x:v>
      </x:c>
      <x:c r="N9" s="24" t="str">
        <x:v>elasmobranchii</x:v>
      </x:c>
      <x:c r="O9" s="32" t="n">
        <x:v>4.05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Elasmobranchii</x:v>
      </x:c>
      <x:c r="T9" s="32" t="n">
        <x:f>IF(O9="","",(1/'Metadata'!$B$5)^(O9-1))</x:f>
        <x:v>1122.018454301963</x:v>
      </x:c>
      <x:c r="U9" s="31" t="n">
        <x:f>IF(T9="","",I9*T9)</x:f>
        <x:v>394934.89685996727</x:v>
      </x:c>
    </x:row>
    <x:row r="10" ht="18" customHeight="1">
      <x:c r="A10" s="24" t="str">
        <x:v>EEZ_219</x:v>
      </x:c>
      <x:c r="B10" s="24" t="str">
        <x:v>Galapagos Isl. (Ecuador)</x:v>
      </x:c>
      <x:c r="C10" s="24" t="str">
        <x:v>EEZ</x:v>
      </x:c>
      <x:c r="D10" s="30" t="n">
        <x:v>2019</x:v>
      </x:c>
      <x:c r="E10" s="24" t="str">
        <x:v>Scombridae</x:v>
      </x:c>
      <x:c r="F10" s="24" t="str">
        <x:v>Mackerels, tunas, bonitos</x:v>
      </x:c>
      <x:c r="G10" s="24" t="str">
        <x:v>Medium pelagics (30 - 89 cm)</x:v>
      </x:c>
      <x:c r="H10" s="24" t="str">
        <x:v>Perch-likes</x:v>
      </x:c>
      <x:c r="I10" s="31" t="n">
        <x:v>350.6827879068</x:v>
      </x:c>
      <x:c r="J10" s="31" t="n">
        <x:v>0</x:v>
      </x:c>
      <x:c r="K10" s="31" t="n">
        <x:v>350.6827879068</x:v>
      </x:c>
      <x:c r="L10" s="31" t="n">
        <x:v>0</x:v>
      </x:c>
      <x:c r="M10" s="31" t="n">
        <x:v>350.6827879068</x:v>
      </x:c>
      <x:c r="N10" s="24" t="str">
        <x:v>scombridae</x:v>
      </x:c>
      <x:c r="O10" s="32" t="n">
        <x:v>4.26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Scombridae</x:v>
      </x:c>
      <x:c r="T10" s="32" t="n">
        <x:f>IF(O10="","",(1/'Metadata'!$B$5)^(O10-1))</x:f>
        <x:v>1819.7008586099826</x:v>
      </x:c>
      <x:c r="U10" s="31" t="n">
        <x:f>IF(T10="","",I10*T10)</x:f>
        <x:v>638137.7702537464</x:v>
      </x:c>
    </x:row>
    <x:row r="11" ht="18" customHeight="1">
      <x:c r="A11" s="24" t="str">
        <x:v>EEZ_219</x:v>
      </x:c>
      <x:c r="B11" s="24" t="str">
        <x:v>Galapagos Isl. (Ecuador)</x:v>
      </x:c>
      <x:c r="C11" s="24" t="str">
        <x:v>EEZ</x:v>
      </x:c>
      <x:c r="D11" s="30" t="n">
        <x:v>2019</x:v>
      </x:c>
      <x:c r="E11" s="24" t="str">
        <x:v>Coryphaena hippurus</x:v>
      </x:c>
      <x:c r="F11" s="24" t="str">
        <x:v>Common dolphinfish</x:v>
      </x:c>
      <x:c r="G11" s="24" t="str">
        <x:v>Large pelagics (&gt;=90 cm)</x:v>
      </x:c>
      <x:c r="H11" s="24" t="str">
        <x:v>Perch-likes</x:v>
      </x:c>
      <x:c r="I11" s="31" t="n">
        <x:v>348.9137280892</x:v>
      </x:c>
      <x:c r="J11" s="31" t="n">
        <x:v>0</x:v>
      </x:c>
      <x:c r="K11" s="31" t="n">
        <x:v>348.9137280892</x:v>
      </x:c>
      <x:c r="L11" s="31" t="n">
        <x:v>0</x:v>
      </x:c>
      <x:c r="M11" s="31" t="n">
        <x:v>348.9137280892</x:v>
      </x:c>
      <x:c r="N11" s="24" t="str">
        <x:v>coryphaena hippurus</x:v>
      </x:c>
      <x:c r="O11" s="32" t="n">
        <x:v>4.37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Coryphaena hippurus</x:v>
      </x:c>
      <x:c r="T11" s="32" t="n">
        <x:f>IF(O11="","",(1/'Metadata'!$B$5)^(O11-1))</x:f>
        <x:v>2344.228815319923</x:v>
      </x:c>
      <x:c r="U11" s="31" t="n">
        <x:f>IF(T11="","",I11*T11)</x:f>
        <x:v>817933.615447403</x:v>
      </x:c>
    </x:row>
    <x:row r="12" ht="18" customHeight="1">
      <x:c r="A12" s="24" t="str">
        <x:v>EEZ_219</x:v>
      </x:c>
      <x:c r="B12" s="24" t="str">
        <x:v>Galapagos Isl. (Ecuador)</x:v>
      </x:c>
      <x:c r="C12" s="24" t="str">
        <x:v>EEZ</x:v>
      </x:c>
      <x:c r="D12" s="30" t="n">
        <x:v>2019</x:v>
      </x:c>
      <x:c r="E12" s="24" t="str">
        <x:v>Mugilidae</x:v>
      </x:c>
      <x:c r="F12" s="24" t="str">
        <x:v>Mullets, grey mullets</x:v>
      </x:c>
      <x:c r="G12" s="24" t="str">
        <x:v>Medium reef assoc. fish (30 - 89 cm)</x:v>
      </x:c>
      <x:c r="H12" s="24" t="str">
        <x:v>Perch-likes</x:v>
      </x:c>
      <x:c r="I12" s="31" t="n">
        <x:v>315.4901382718</x:v>
      </x:c>
      <x:c r="J12" s="31" t="n">
        <x:v>315.4901382718</x:v>
      </x:c>
      <x:c r="K12" s="31" t="n">
        <x:v>0</x:v>
      </x:c>
      <x:c r="L12" s="31" t="n">
        <x:v>0</x:v>
      </x:c>
      <x:c r="M12" s="31" t="n">
        <x:v>315.4901382718</x:v>
      </x:c>
      <x:c r="N12" s="24" t="str">
        <x:v>mugilidae</x:v>
      </x:c>
      <x:c r="O12" s="32" t="n">
        <x:v>2.53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Mugilidae</x:v>
      </x:c>
      <x:c r="T12" s="32" t="n">
        <x:f>IF(O12="","",(1/'Metadata'!$B$5)^(O12-1))</x:f>
        <x:v>33.88441561392024</x:v>
      </x:c>
      <x:c r="U12" s="31" t="n">
        <x:f>IF(T12="","",I12*T12)</x:f>
        <x:v>10690.198967294835</x:v>
      </x:c>
    </x:row>
    <x:row r="13" ht="18" customHeight="1">
      <x:c r="A13" s="24" t="str">
        <x:v>EEZ_219</x:v>
      </x:c>
      <x:c r="B13" s="24" t="str">
        <x:v>Galapagos Isl. (Ecuador)</x:v>
      </x:c>
      <x:c r="C13" s="24" t="str">
        <x:v>EEZ</x:v>
      </x:c>
      <x:c r="D13" s="30" t="n">
        <x:v>2019</x:v>
      </x:c>
      <x:c r="E13" s="24" t="str">
        <x:v>Marine pelagic fishes not identified</x:v>
      </x:c>
      <x:c r="F13" s="24" t="str">
        <x:v>Pelagic fishes</x:v>
      </x:c>
      <x:c r="G13" s="24" t="str">
        <x:v>Medium pelagics (30 - 89 cm)</x:v>
      </x:c>
      <x:c r="H13" s="24" t="str">
        <x:v>Other fishes &amp; inverts</x:v>
      </x:c>
      <x:c r="I13" s="31" t="n">
        <x:v>276.2484808814</x:v>
      </x:c>
      <x:c r="J13" s="31" t="n">
        <x:v>276.2484667351</x:v>
      </x:c>
      <x:c r="K13" s="31" t="n">
        <x:v>0.0000141463</x:v>
      </x:c>
      <x:c r="L13" s="31" t="n">
        <x:v>276.2484667351</x:v>
      </x:c>
      <x:c r="M13" s="31" t="n">
        <x:v>0.0000141463</x:v>
      </x:c>
      <x:c r="N13" s="24" t="str">
        <x:v>marine pelagic fishes not identified</x:v>
      </x:c>
      <x:c r="O13" s="32" t="n">
        <x:v>3.35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Marine pelagic fishes not identified</x:v>
      </x:c>
      <x:c r="T13" s="32" t="n">
        <x:f>IF(O13="","",(1/'Metadata'!$B$5)^(O13-1))</x:f>
        <x:v>223.872113856834</x:v>
      </x:c>
      <x:c r="U13" s="31" t="n">
        <x:f>IF(T13="","",I13*T13)</x:f>
        <x:v>61844.33136465821</x:v>
      </x:c>
    </x:row>
    <x:row r="14" ht="18" customHeight="1">
      <x:c r="A14" s="24" t="str">
        <x:v>EEZ_219</x:v>
      </x:c>
      <x:c r="B14" s="24" t="str">
        <x:v>Galapagos Isl. (Ecuador)</x:v>
      </x:c>
      <x:c r="C14" s="24" t="str">
        <x:v>EEZ</x:v>
      </x:c>
      <x:c r="D14" s="30" t="n">
        <x:v>2019</x:v>
      </x:c>
      <x:c r="E14" s="24" t="str">
        <x:v>Coryphaena</x:v>
      </x:c>
      <x:c r="F14" s="24" t="str">
        <x:v>Dolphinfishes</x:v>
      </x:c>
      <x:c r="G14" s="24" t="str">
        <x:v>Large pelagics (&gt;=90 cm)</x:v>
      </x:c>
      <x:c r="H14" s="24" t="str">
        <x:v>Perch-likes</x:v>
      </x:c>
      <x:c r="I14" s="31" t="n">
        <x:v>263.3959752375</x:v>
      </x:c>
      <x:c r="J14" s="31" t="n">
        <x:v>263.3959752375</x:v>
      </x:c>
      <x:c r="K14" s="31" t="n">
        <x:v>0</x:v>
      </x:c>
      <x:c r="L14" s="31" t="n">
        <x:v>263.3959752375</x:v>
      </x:c>
      <x:c r="M14" s="31" t="n">
        <x:v>0</x:v>
      </x:c>
      <x:c r="N14" s="24" t="str">
        <x:v>coryphaena</x:v>
      </x:c>
      <x:c r="O14" s="32" t="n">
        <x:v>4.49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Coryphaena</x:v>
      </x:c>
      <x:c r="T14" s="32" t="n">
        <x:f>IF(O14="","",(1/'Metadata'!$B$5)^(O14-1))</x:f>
        <x:v>3090.295432513592</x:v>
      </x:c>
      <x:c r="U14" s="31" t="n">
        <x:f>IF(T14="","",I14*T14)</x:f>
        <x:v>813971.3792189094</x:v>
      </x:c>
    </x:row>
    <x:row r="15" ht="18" customHeight="1">
      <x:c r="A15" s="24" t="str">
        <x:v>EEZ_219</x:v>
      </x:c>
      <x:c r="B15" s="24" t="str">
        <x:v>Galapagos Isl. (Ecuador)</x:v>
      </x:c>
      <x:c r="C15" s="24" t="str">
        <x:v>EEZ</x:v>
      </x:c>
      <x:c r="D15" s="30" t="n">
        <x:v>2019</x:v>
      </x:c>
      <x:c r="E15" s="24" t="str">
        <x:v>Xiphias gladius</x:v>
      </x:c>
      <x:c r="F15" s="24" t="str">
        <x:v>Swordfish</x:v>
      </x:c>
      <x:c r="G15" s="24" t="str">
        <x:v>Large pelagics (&gt;=90 cm)</x:v>
      </x:c>
      <x:c r="H15" s="24" t="str">
        <x:v>Tuna &amp; billfishes</x:v>
      </x:c>
      <x:c r="I15" s="31" t="n">
        <x:v>148.7379737087</x:v>
      </x:c>
      <x:c r="J15" s="31" t="n">
        <x:v>146.5636464744</x:v>
      </x:c>
      <x:c r="K15" s="31" t="n">
        <x:v>2.1743272342999997</x:v>
      </x:c>
      <x:c r="L15" s="31" t="n">
        <x:v>126.3276139685</x:v>
      </x:c>
      <x:c r="M15" s="31" t="n">
        <x:v>22.4103597402</x:v>
      </x:c>
      <x:c r="N15" s="24" t="str">
        <x:v>xiphias gladius</x:v>
      </x:c>
      <x:c r="O15" s="32" t="n">
        <x:v>4.53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Xiphias gladius</x:v>
      </x:c>
      <x:c r="T15" s="32" t="n">
        <x:f>IF(O15="","",(1/'Metadata'!$B$5)^(O15-1))</x:f>
        <x:v>3388.4415613920273</x:v>
      </x:c>
      <x:c r="U15" s="31" t="n">
        <x:f>IF(T15="","",I15*T15)</x:f>
        <x:v>503989.9318717937</x:v>
      </x:c>
    </x:row>
    <x:row r="16" ht="18" customHeight="1">
      <x:c r="A16" s="24" t="str">
        <x:v>EEZ_219</x:v>
      </x:c>
      <x:c r="B16" s="24" t="str">
        <x:v>Galapagos Isl. (Ecuador)</x:v>
      </x:c>
      <x:c r="C16" s="24" t="str">
        <x:v>EEZ</x:v>
      </x:c>
      <x:c r="D16" s="30" t="n">
        <x:v>2019</x:v>
      </x:c>
      <x:c r="E16" s="24" t="str">
        <x:v>Mugil</x:v>
      </x:c>
      <x:c r="F16" s="24" t="str">
        <x:v>Grey mullets</x:v>
      </x:c>
      <x:c r="G16" s="24" t="str">
        <x:v>Medium demersals (30 - 89 cm)</x:v>
      </x:c>
      <x:c r="H16" s="24" t="str">
        <x:v>Perch-likes</x:v>
      </x:c>
      <x:c r="I16" s="31" t="n">
        <x:v>122.34526405080001</x:v>
      </x:c>
      <x:c r="J16" s="31" t="n">
        <x:v>122.34526405080001</x:v>
      </x:c>
      <x:c r="K16" s="31" t="n">
        <x:v>0</x:v>
      </x:c>
      <x:c r="L16" s="31" t="n">
        <x:v>0</x:v>
      </x:c>
      <x:c r="M16" s="31" t="n">
        <x:v>122.34526405080001</x:v>
      </x:c>
      <x:c r="N16" s="24" t="str">
        <x:v>mugil</x:v>
      </x:c>
      <x:c r="O16" s="32" t="n">
        <x:v>2.26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Mugil</x:v>
      </x:c>
      <x:c r="T16" s="32" t="n">
        <x:f>IF(O16="","",(1/'Metadata'!$B$5)^(O16-1))</x:f>
        <x:v>18.197008586099827</x:v>
      </x:c>
      <x:c r="U16" s="31" t="n">
        <x:f>IF(T16="","",I16*T16)</x:f>
        <x:v>2226.3178204010583</x:v>
      </x:c>
    </x:row>
    <x:row r="17" ht="18" customHeight="1">
      <x:c r="A17" s="24" t="str">
        <x:v>EEZ_219</x:v>
      </x:c>
      <x:c r="B17" s="24" t="str">
        <x:v>Galapagos Isl. (Ecuador)</x:v>
      </x:c>
      <x:c r="C17" s="24" t="str">
        <x:v>EEZ</x:v>
      </x:c>
      <x:c r="D17" s="30" t="n">
        <x:v>2019</x:v>
      </x:c>
      <x:c r="E17" s="24" t="str">
        <x:v>Trachurus murphyi</x:v>
      </x:c>
      <x:c r="F17" s="24" t="str">
        <x:v>Chilean jack mackerel</x:v>
      </x:c>
      <x:c r="G17" s="24" t="str">
        <x:v>Medium pelagics (30 - 89 cm)</x:v>
      </x:c>
      <x:c r="H17" s="24" t="str">
        <x:v>Perch-likes</x:v>
      </x:c>
      <x:c r="I17" s="31" t="n">
        <x:v>110.8484738811</x:v>
      </x:c>
      <x:c r="J17" s="31" t="n">
        <x:v>110.8484738811</x:v>
      </x:c>
      <x:c r="K17" s="31" t="n">
        <x:v>0</x:v>
      </x:c>
      <x:c r="L17" s="31" t="n">
        <x:v>110.8484738811</x:v>
      </x:c>
      <x:c r="M17" s="31" t="n">
        <x:v>0</x:v>
      </x:c>
      <x:c r="N17" s="24" t="str">
        <x:v>trachurus murphyi</x:v>
      </x:c>
      <x:c r="O17" s="32" t="n">
        <x:v>3.33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Trachurus murphyi</x:v>
      </x:c>
      <x:c r="T17" s="32" t="n">
        <x:f>IF(O17="","",(1/'Metadata'!$B$5)^(O17-1))</x:f>
        <x:v>213.79620895022325</x:v>
      </x:c>
      <x:c r="U17" s="31" t="n">
        <x:f>IF(T17="","",I17*T17)</x:f>
        <x:v>23698.983483697022</x:v>
      </x:c>
    </x:row>
    <x:row r="18" ht="18" customHeight="1">
      <x:c r="A18" s="24" t="str">
        <x:v>EEZ_219</x:v>
      </x:c>
      <x:c r="B18" s="24" t="str">
        <x:v>Galapagos Isl. (Ecuador)</x:v>
      </x:c>
      <x:c r="C18" s="24" t="str">
        <x:v>EEZ</x:v>
      </x:c>
      <x:c r="D18" s="30" t="n">
        <x:v>2019</x:v>
      </x:c>
      <x:c r="E18" s="24" t="str">
        <x:v>Carangidae</x:v>
      </x:c>
      <x:c r="F18" s="24" t="str">
        <x:v>Jacks, pompanos</x:v>
      </x:c>
      <x:c r="G18" s="24" t="str">
        <x:v>Medium pelagics (30 - 89 cm)</x:v>
      </x:c>
      <x:c r="H18" s="24" t="str">
        <x:v>Perch-likes</x:v>
      </x:c>
      <x:c r="I18" s="31" t="n">
        <x:v>107.2132043192</x:v>
      </x:c>
      <x:c r="J18" s="31" t="n">
        <x:v>1.9819853342999998</x:v>
      </x:c>
      <x:c r="K18" s="31" t="n">
        <x:v>105.2312189849</x:v>
      </x:c>
      <x:c r="L18" s="31" t="n">
        <x:v>1.9819853342999998</x:v>
      </x:c>
      <x:c r="M18" s="31" t="n">
        <x:v>105.2312189849</x:v>
      </x:c>
      <x:c r="N18" s="24" t="str">
        <x:v>carangidae</x:v>
      </x:c>
      <x:c r="O18" s="32" t="n">
        <x:v>4.05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Carangidae</x:v>
      </x:c>
      <x:c r="T18" s="32" t="n">
        <x:f>IF(O18="","",(1/'Metadata'!$B$5)^(O18-1))</x:f>
        <x:v>1122.018454301963</x:v>
      </x:c>
      <x:c r="U18" s="31" t="n">
        <x:f>IF(T18="","",I18*T18)</x:f>
        <x:v>120295.19379098933</x:v>
      </x:c>
    </x:row>
    <x:row r="19" ht="18" customHeight="1">
      <x:c r="A19" s="24" t="str">
        <x:v>EEZ_219</x:v>
      </x:c>
      <x:c r="B19" s="24" t="str">
        <x:v>Galapagos Isl. (Ecuador)</x:v>
      </x:c>
      <x:c r="C19" s="24" t="str">
        <x:v>EEZ</x:v>
      </x:c>
      <x:c r="D19" s="30" t="n">
        <x:v>2019</x:v>
      </x:c>
      <x:c r="E19" s="24" t="str">
        <x:v>Sphyrna</x:v>
      </x:c>
      <x:c r="F19" s="24" t="str">
        <x:v>Hammerhead sharks</x:v>
      </x:c>
      <x:c r="G19" s="24" t="str">
        <x:v>Large sharks (&gt;=90 cm)</x:v>
      </x:c>
      <x:c r="H19" s="24" t="str">
        <x:v>Sharks &amp; rays</x:v>
      </x:c>
      <x:c r="I19" s="31" t="n">
        <x:v>91.6044</x:v>
      </x:c>
      <x:c r="J19" s="31" t="n">
        <x:v>91.6044</x:v>
      </x:c>
      <x:c r="K19" s="31" t="n">
        <x:v>0</x:v>
      </x:c>
      <x:c r="L19" s="31" t="n">
        <x:v>0</x:v>
      </x:c>
      <x:c r="M19" s="31" t="n">
        <x:v>91.6044</x:v>
      </x:c>
      <x:c r="N19" s="24" t="str">
        <x:v>sphyrna</x:v>
      </x:c>
      <x:c r="O19" s="32" t="n">
        <x:v>4.2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Sphyrna</x:v>
      </x:c>
      <x:c r="T19" s="32" t="n">
        <x:f>IF(O19="","",(1/'Metadata'!$B$5)^(O19-1))</x:f>
        <x:v>1584.893192461114</x:v>
      </x:c>
      <x:c r="U19" s="31" t="n">
        <x:f>IF(T19="","",I19*T19)</x:f>
        <x:v>145183.18995948488</x:v>
      </x:c>
    </x:row>
    <x:row r="20" ht="18" customHeight="1">
      <x:c r="A20" s="24" t="str">
        <x:v>EEZ_219</x:v>
      </x:c>
      <x:c r="B20" s="24" t="str">
        <x:v>Galapagos Isl. (Ecuador)</x:v>
      </x:c>
      <x:c r="C20" s="24" t="str">
        <x:v>EEZ</x:v>
      </x:c>
      <x:c r="D20" s="30" t="n">
        <x:v>2019</x:v>
      </x:c>
      <x:c r="E20" s="24" t="str">
        <x:v>Istiophoridae</x:v>
      </x:c>
      <x:c r="F20" s="24" t="str">
        <x:v>Billfishes</x:v>
      </x:c>
      <x:c r="G20" s="24" t="str">
        <x:v>Large pelagics (&gt;=90 cm)</x:v>
      </x:c>
      <x:c r="H20" s="24" t="str">
        <x:v>Tuna &amp; billfishes</x:v>
      </x:c>
      <x:c r="I20" s="31" t="n">
        <x:v>86.2935078381</x:v>
      </x:c>
      <x:c r="J20" s="31" t="n">
        <x:v>39.657773479599996</x:v>
      </x:c>
      <x:c r="K20" s="31" t="n">
        <x:v>46.6357343585</x:v>
      </x:c>
      <x:c r="L20" s="31" t="n">
        <x:v>39.657773479599996</x:v>
      </x:c>
      <x:c r="M20" s="31" t="n">
        <x:v>46.6357343585</x:v>
      </x:c>
      <x:c r="N20" s="24" t="str">
        <x:v>istiophoridae</x:v>
      </x:c>
      <x:c r="O20" s="32" t="n">
        <x:v>4.48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Istiophoridae</x:v>
      </x:c>
      <x:c r="T20" s="32" t="n">
        <x:f>IF(O20="","",(1/'Metadata'!$B$5)^(O20-1))</x:f>
        <x:v>3019.951720402019</x:v>
      </x:c>
      <x:c r="U20" s="31" t="n">
        <x:f>IF(T20="","",I20*T20)</x:f>
        <x:v>260602.22745519519</x:v>
      </x:c>
    </x:row>
    <x:row r="21" ht="18" customHeight="1">
      <x:c r="A21" s="24" t="str">
        <x:v>EEZ_219</x:v>
      </x:c>
      <x:c r="B21" s="24" t="str">
        <x:v>Galapagos Isl. (Ecuador)</x:v>
      </x:c>
      <x:c r="C21" s="24" t="str">
        <x:v>EEZ</x:v>
      </x:c>
      <x:c r="D21" s="30" t="n">
        <x:v>2019</x:v>
      </x:c>
      <x:c r="E21" s="24" t="str">
        <x:v>Labridae</x:v>
      </x:c>
      <x:c r="F21" s="24" t="str">
        <x:v>Wrasses, gropers, tuskfishes</x:v>
      </x:c>
      <x:c r="G21" s="24" t="str">
        <x:v>Medium reef assoc. fish (30 - 89 cm)</x:v>
      </x:c>
      <x:c r="H21" s="24" t="str">
        <x:v>Perch-likes</x:v>
      </x:c>
      <x:c r="I21" s="31" t="n">
        <x:v>74.9974970779</x:v>
      </x:c>
      <x:c r="J21" s="31" t="n">
        <x:v>74.9974970779</x:v>
      </x:c>
      <x:c r="K21" s="31" t="n">
        <x:v>0</x:v>
      </x:c>
      <x:c r="L21" s="31" t="n">
        <x:v>0</x:v>
      </x:c>
      <x:c r="M21" s="31" t="n">
        <x:v>74.9974970779</x:v>
      </x:c>
      <x:c r="N21" s="24" t="str">
        <x:v>labridae</x:v>
      </x:c>
      <x:c r="O21" s="32" t="n">
        <x:v>3.46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Labridae</x:v>
      </x:c>
      <x:c r="T21" s="32" t="n">
        <x:f>IF(O21="","",(1/'Metadata'!$B$5)^(O21-1))</x:f>
        <x:v>288.40315031266056</x:v>
      </x:c>
      <x:c r="U21" s="31" t="n">
        <x:f>IF(T21="","",I21*T21)</x:f>
        <x:v>21629.51442283091</x:v>
      </x:c>
    </x:row>
    <x:row r="22" ht="18" customHeight="1">
      <x:c r="A22" s="24" t="str">
        <x:v>EEZ_219</x:v>
      </x:c>
      <x:c r="B22" s="24" t="str">
        <x:v>Galapagos Isl. (Ecuador)</x:v>
      </x:c>
      <x:c r="C22" s="24" t="str">
        <x:v>EEZ</x:v>
      </x:c>
      <x:c r="D22" s="30" t="n">
        <x:v>2019</x:v>
      </x:c>
      <x:c r="E22" s="24" t="str">
        <x:v>Caulolatilus princeps</x:v>
      </x:c>
      <x:c r="F22" s="24" t="str">
        <x:v>Ocean whitefish</x:v>
      </x:c>
      <x:c r="G22" s="24" t="str">
        <x:v>Medium reef assoc. fish (30 - 89 cm)</x:v>
      </x:c>
      <x:c r="H22" s="24" t="str">
        <x:v>Perch-likes</x:v>
      </x:c>
      <x:c r="I22" s="31" t="n">
        <x:v>72.8260638</x:v>
      </x:c>
      <x:c r="J22" s="31" t="n">
        <x:v>72.8260638</x:v>
      </x:c>
      <x:c r="K22" s="31" t="n">
        <x:v>0</x:v>
      </x:c>
      <x:c r="L22" s="31" t="n">
        <x:v>0</x:v>
      </x:c>
      <x:c r="M22" s="31" t="n">
        <x:v>72.8260638</x:v>
      </x:c>
      <x:c r="N22" s="24" t="str">
        <x:v>caulolatilus princeps</x:v>
      </x:c>
      <x:c r="O22" s="32" t="n">
        <x:v>3.7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Caulolatilus princeps</x:v>
      </x:c>
      <x:c r="T22" s="32" t="n">
        <x:f>IF(O22="","",(1/'Metadata'!$B$5)^(O22-1))</x:f>
        <x:v>501.18723362727246</x:v>
      </x:c>
      <x:c r="U22" s="31" t="n">
        <x:f>IF(T22="","",I22*T22)</x:f>
        <x:v>36499.49345188525</x:v>
      </x:c>
    </x:row>
    <x:row r="23" ht="18" customHeight="1">
      <x:c r="A23" s="24" t="str">
        <x:v>EEZ_219</x:v>
      </x:c>
      <x:c r="B23" s="24" t="str">
        <x:v>Galapagos Isl. (Ecuador)</x:v>
      </x:c>
      <x:c r="C23" s="24" t="str">
        <x:v>EEZ</x:v>
      </x:c>
      <x:c r="D23" s="30" t="n">
        <x:v>2019</x:v>
      </x:c>
      <x:c r="E23" s="24" t="str">
        <x:v>Scorpaenidae</x:v>
      </x:c>
      <x:c r="F23" s="24" t="str">
        <x:v>Scorpionfishes, rockfishes</x:v>
      </x:c>
      <x:c r="G23" s="24" t="str">
        <x:v>Large reef assoc. fish (&gt;=90 cm)</x:v>
      </x:c>
      <x:c r="H23" s="24" t="str">
        <x:v>Scorpionfishes</x:v>
      </x:c>
      <x:c r="I23" s="31" t="n">
        <x:v>70.638199811</x:v>
      </x:c>
      <x:c r="J23" s="31" t="n">
        <x:v>70.638199811</x:v>
      </x:c>
      <x:c r="K23" s="31" t="n">
        <x:v>0</x:v>
      </x:c>
      <x:c r="L23" s="31" t="n">
        <x:v>0</x:v>
      </x:c>
      <x:c r="M23" s="31" t="n">
        <x:v>70.638199811</x:v>
      </x:c>
      <x:c r="N23" s="24" t="str">
        <x:v>scorpaenidae</x:v>
      </x:c>
      <x:c r="O23" s="32" t="n">
        <x:v>3.92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Scorpaenidae</x:v>
      </x:c>
      <x:c r="T23" s="32" t="n">
        <x:f>IF(O23="","",(1/'Metadata'!$B$5)^(O23-1))</x:f>
        <x:v>831.7637711026708</x:v>
      </x:c>
      <x:c r="U23" s="31" t="n">
        <x:f>IF(T23="","",I23*T23)</x:f>
        <x:v>58754.29545870134</x:v>
      </x:c>
    </x:row>
    <x:row r="24" ht="18" customHeight="1">
      <x:c r="A24" s="24" t="str">
        <x:v>EEZ_219</x:v>
      </x:c>
      <x:c r="B24" s="24" t="str">
        <x:v>Galapagos Isl. (Ecuador)</x:v>
      </x:c>
      <x:c r="C24" s="24" t="str">
        <x:v>EEZ</x:v>
      </x:c>
      <x:c r="D24" s="30" t="n">
        <x:v>2019</x:v>
      </x:c>
      <x:c r="E24" s="24" t="str">
        <x:v>Chondrichthyes</x:v>
      </x:c>
      <x:c r="F24" s="24" t="str">
        <x:v>Sharks, rays, chimaeras</x:v>
      </x:c>
      <x:c r="G24" s="24" t="str">
        <x:v>Large sharks (&gt;=90 cm)</x:v>
      </x:c>
      <x:c r="H24" s="24" t="str">
        <x:v>Sharks &amp; rays</x:v>
      </x:c>
      <x:c r="I24" s="31" t="n">
        <x:v>67.7764</x:v>
      </x:c>
      <x:c r="J24" s="31" t="n">
        <x:v>67.7764</x:v>
      </x:c>
      <x:c r="K24" s="31" t="n">
        <x:v>0</x:v>
      </x:c>
      <x:c r="L24" s="31" t="n">
        <x:v>16</x:v>
      </x:c>
      <x:c r="M24" s="31" t="n">
        <x:v>51.7764</x:v>
      </x:c>
      <x:c r="N24" s="24" t="str">
        <x:v>chondrichthyes</x:v>
      </x:c>
      <x:c r="O24" s="32" t="n">
        <x:v>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Chondrichthyes</x:v>
      </x:c>
      <x:c r="T24" s="32" t="n">
        <x:f>IF(O24="","",(1/'Metadata'!$B$5)^(O24-1))</x:f>
        <x:v>1000</x:v>
      </x:c>
      <x:c r="U24" s="31" t="n">
        <x:f>IF(T24="","",I24*T24)</x:f>
        <x:v>67776.4</x:v>
      </x:c>
    </x:row>
    <x:row r="25" ht="18" customHeight="1">
      <x:c r="A25" s="24" t="str">
        <x:v>EEZ_219</x:v>
      </x:c>
      <x:c r="B25" s="24" t="str">
        <x:v>Galapagos Isl. (Ecuador)</x:v>
      </x:c>
      <x:c r="C25" s="24" t="str">
        <x:v>EEZ</x:v>
      </x:c>
      <x:c r="D25" s="30" t="n">
        <x:v>2019</x:v>
      </x:c>
      <x:c r="E25" s="24" t="str">
        <x:v>Mycteroperca</x:v>
      </x:c>
      <x:c r="F25" s="24" t="str">
        <x:v>Scamps, gags</x:v>
      </x:c>
      <x:c r="G25" s="24" t="str">
        <x:v>Medium reef assoc. fish (30 - 89 cm)</x:v>
      </x:c>
      <x:c r="H25" s="24" t="str">
        <x:v>Perch-likes</x:v>
      </x:c>
      <x:c r="I25" s="31" t="n">
        <x:v>66.9605557222</x:v>
      </x:c>
      <x:c r="J25" s="31" t="n">
        <x:v>66.9605557222</x:v>
      </x:c>
      <x:c r="K25" s="31" t="n">
        <x:v>0</x:v>
      </x:c>
      <x:c r="L25" s="31" t="n">
        <x:v>0</x:v>
      </x:c>
      <x:c r="M25" s="31" t="n">
        <x:v>66.9605557222</x:v>
      </x:c>
      <x:c r="N25" s="24" t="str">
        <x:v>mycteroperca</x:v>
      </x:c>
      <x:c r="O25" s="32" t="n">
        <x:v>4.35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Mycteroperca</x:v>
      </x:c>
      <x:c r="T25" s="32" t="n">
        <x:f>IF(O25="","",(1/'Metadata'!$B$5)^(O25-1))</x:f>
        <x:v>2238.7211385683377</x:v>
      </x:c>
      <x:c r="U25" s="31" t="n">
        <x:f>IF(T25="","",I25*T25)</x:f>
        <x:v>149906.0115455722</x:v>
      </x:c>
    </x:row>
    <x:row r="26" ht="18" customHeight="1">
      <x:c r="A26" s="24" t="str">
        <x:v>EEZ_219</x:v>
      </x:c>
      <x:c r="B26" s="24" t="str">
        <x:v>Galapagos Isl. (Ecuador)</x:v>
      </x:c>
      <x:c r="C26" s="24" t="str">
        <x:v>EEZ</x:v>
      </x:c>
      <x:c r="D26" s="30" t="n">
        <x:v>2019</x:v>
      </x:c>
      <x:c r="E26" s="24" t="str">
        <x:v>Hyporthodus mystacinus</x:v>
      </x:c>
      <x:c r="F26" s="24" t="str">
        <x:v>Misty grouper</x:v>
      </x:c>
      <x:c r="G26" s="24" t="str">
        <x:v>Large bathydemersals (&gt;=90 cm)</x:v>
      </x:c>
      <x:c r="H26" s="24" t="str">
        <x:v>Perch-likes</x:v>
      </x:c>
      <x:c r="I26" s="31" t="n">
        <x:v>59.05037069709999</x:v>
      </x:c>
      <x:c r="J26" s="31" t="n">
        <x:v>59.05037069709999</x:v>
      </x:c>
      <x:c r="K26" s="31" t="n">
        <x:v>0</x:v>
      </x:c>
      <x:c r="L26" s="31" t="n">
        <x:v>0</x:v>
      </x:c>
      <x:c r="M26" s="31" t="n">
        <x:v>59.05037069709999</x:v>
      </x:c>
      <x:c r="N26" s="24" t="str">
        <x:v>hyporthodus mystacinus</x:v>
      </x:c>
      <x:c r="O26" s="32" t="n">
        <x:v>4.58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Hyporthodus mystacinus</x:v>
      </x:c>
      <x:c r="T26" s="32" t="n">
        <x:f>IF(O26="","",(1/'Metadata'!$B$5)^(O26-1))</x:f>
        <x:v>3801.8939632056126</x:v>
      </x:c>
      <x:c r="U26" s="31" t="n">
        <x:f>IF(T26="","",I26*T26)</x:f>
        <x:v>224503.24787835806</x:v>
      </x:c>
    </x:row>
    <x:row r="27" ht="18" customHeight="1">
      <x:c r="A27" s="24" t="str">
        <x:v>EEZ_219</x:v>
      </x:c>
      <x:c r="B27" s="24" t="str">
        <x:v>Galapagos Isl. (Ecuador)</x:v>
      </x:c>
      <x:c r="C27" s="24" t="str">
        <x:v>EEZ</x:v>
      </x:c>
      <x:c r="D27" s="30" t="n">
        <x:v>2019</x:v>
      </x:c>
      <x:c r="E27" s="24" t="str">
        <x:v>Euthynnus lineatus</x:v>
      </x:c>
      <x:c r="F27" s="24" t="str">
        <x:v>Black skipjack</x:v>
      </x:c>
      <x:c r="G27" s="24" t="str">
        <x:v>Medium pelagics (30 - 89 cm)</x:v>
      </x:c>
      <x:c r="H27" s="24" t="str">
        <x:v>Tuna &amp; billfishes</x:v>
      </x:c>
      <x:c r="I27" s="31" t="n">
        <x:v>51.875</x:v>
      </x:c>
      <x:c r="J27" s="31" t="n">
        <x:v>51.875</x:v>
      </x:c>
      <x:c r="K27" s="31" t="n">
        <x:v>0</x:v>
      </x:c>
      <x:c r="L27" s="31" t="n">
        <x:v>51.875</x:v>
      </x:c>
      <x:c r="M27" s="31" t="n">
        <x:v>0</x:v>
      </x:c>
      <x:c r="N27" s="24" t="str">
        <x:v>euthynnus lineatus</x:v>
      </x:c>
      <x:c r="O27" s="32" t="n">
        <x:v>3.83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Euthynnus lineatus</x:v>
      </x:c>
      <x:c r="T27" s="32" t="n">
        <x:f>IF(O27="","",(1/'Metadata'!$B$5)^(O27-1))</x:f>
        <x:v>676.0829753919819</x:v>
      </x:c>
      <x:c r="U27" s="31" t="n">
        <x:f>IF(T27="","",I27*T27)</x:f>
        <x:v>35071.80434845906</x:v>
      </x:c>
    </x:row>
    <x:row r="28" ht="18" customHeight="1">
      <x:c r="A28" s="24" t="str">
        <x:v>EEZ_219</x:v>
      </x:c>
      <x:c r="B28" s="24" t="str">
        <x:v>Galapagos Isl. (Ecuador)</x:v>
      </x:c>
      <x:c r="C28" s="24" t="str">
        <x:v>EEZ</x:v>
      </x:c>
      <x:c r="D28" s="30" t="n">
        <x:v>2019</x:v>
      </x:c>
      <x:c r="E28" s="24" t="str">
        <x:v>Thunnus</x:v>
      </x:c>
      <x:c r="F28" s="24" t="str">
        <x:v>Tunas</x:v>
      </x:c>
      <x:c r="G28" s="24" t="str">
        <x:v>Large pelagics (&gt;=90 cm)</x:v>
      </x:c>
      <x:c r="H28" s="24" t="str">
        <x:v>Tuna &amp; billfishes</x:v>
      </x:c>
      <x:c r="I28" s="31" t="n">
        <x:v>47.299145292</x:v>
      </x:c>
      <x:c r="J28" s="31" t="n">
        <x:v>47.299145292</x:v>
      </x:c>
      <x:c r="K28" s="31" t="n">
        <x:v>0</x:v>
      </x:c>
      <x:c r="L28" s="31" t="n">
        <x:v>0</x:v>
      </x:c>
      <x:c r="M28" s="31" t="n">
        <x:v>47.299145292</x:v>
      </x:c>
      <x:c r="N28" s="24" t="str">
        <x:v>thunnus</x:v>
      </x:c>
      <x:c r="O28" s="32" t="n">
        <x:v>4.34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Thunnus</x:v>
      </x:c>
      <x:c r="T28" s="32" t="n">
        <x:f>IF(O28="","",(1/'Metadata'!$B$5)^(O28-1))</x:f>
        <x:v>2187.761623949552</x:v>
      </x:c>
      <x:c r="U28" s="31" t="n">
        <x:f>IF(T28="","",I28*T28)</x:f>
        <x:v>103479.25491545172</x:v>
      </x:c>
    </x:row>
    <x:row r="29" ht="18" customHeight="1">
      <x:c r="A29" s="24" t="str">
        <x:v>EEZ_219</x:v>
      </x:c>
      <x:c r="B29" s="24" t="str">
        <x:v>Galapagos Isl. (Ecuador)</x:v>
      </x:c>
      <x:c r="C29" s="24" t="str">
        <x:v>EEZ</x:v>
      </x:c>
      <x:c r="D29" s="30" t="n">
        <x:v>2019</x:v>
      </x:c>
      <x:c r="E29" s="24" t="str">
        <x:v>Panulirus</x:v>
      </x:c>
      <x:c r="F29" s="24" t="str">
        <x:v>Spiny lobsters</x:v>
      </x:c>
      <x:c r="G29" s="24" t="str">
        <x:v>Lobsters, crabs</x:v>
      </x:c>
      <x:c r="H29" s="24" t="str">
        <x:v>Crustaceans</x:v>
      </x:c>
      <x:c r="I29" s="31" t="n">
        <x:v>45.519794459900005</x:v>
      </x:c>
      <x:c r="J29" s="31" t="n">
        <x:v>45.519794459900005</x:v>
      </x:c>
      <x:c r="K29" s="31" t="n">
        <x:v>0</x:v>
      </x:c>
      <x:c r="L29" s="31" t="n">
        <x:v>0</x:v>
      </x:c>
      <x:c r="M29" s="31" t="n">
        <x:v>45.519794459900005</x:v>
      </x:c>
      <x:c r="N29" s="24" t="str">
        <x:v>panulirus</x:v>
      </x:c>
      <x:c r="O29" s="32" t="n">
        <x:v>2.6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Panulirus</x:v>
      </x:c>
      <x:c r="T29" s="32" t="n">
        <x:f>IF(O29="","",(1/'Metadata'!$B$5)^(O29-1))</x:f>
        <x:v>39.810717055349734</x:v>
      </x:c>
      <x:c r="U29" s="31" t="n">
        <x:f>IF(T29="","",I29*T29)</x:f>
        <x:v>1812.1756576607554</x:v>
      </x:c>
    </x:row>
    <x:row r="30" ht="18" customHeight="1">
      <x:c r="A30" s="24" t="str">
        <x:v>EEZ_219</x:v>
      </x:c>
      <x:c r="B30" s="24" t="str">
        <x:v>Galapagos Isl. (Ecuador)</x:v>
      </x:c>
      <x:c r="C30" s="24" t="str">
        <x:v>EEZ</x:v>
      </x:c>
      <x:c r="D30" s="30" t="n">
        <x:v>2019</x:v>
      </x:c>
      <x:c r="E30" s="24" t="str">
        <x:v>Kajikia audax</x:v>
      </x:c>
      <x:c r="F30" s="24" t="str">
        <x:v>Striped marlin</x:v>
      </x:c>
      <x:c r="G30" s="24" t="str">
        <x:v>Large pelagics (&gt;=90 cm)</x:v>
      </x:c>
      <x:c r="H30" s="24" t="str">
        <x:v>Tuna &amp; billfishes</x:v>
      </x:c>
      <x:c r="I30" s="31" t="n">
        <x:v>33.8128987336</x:v>
      </x:c>
      <x:c r="J30" s="31" t="n">
        <x:v>33.8128987336</x:v>
      </x:c>
      <x:c r="K30" s="31" t="n">
        <x:v>0</x:v>
      </x:c>
      <x:c r="L30" s="31" t="n">
        <x:v>33.8128987336</x:v>
      </x:c>
      <x:c r="M30" s="31" t="n">
        <x:v>0</x:v>
      </x:c>
      <x:c r="N30" s="24" t="str">
        <x:v>kajikia audax</x:v>
      </x:c>
      <x:c r="O30" s="32" t="n">
        <x:v>4.58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Kajikia audax</x:v>
      </x:c>
      <x:c r="T30" s="32" t="n">
        <x:f>IF(O30="","",(1/'Metadata'!$B$5)^(O30-1))</x:f>
        <x:v>3801.8939632056126</x:v>
      </x:c>
      <x:c r="U30" s="31" t="n">
        <x:f>IF(T30="","",I30*T30)</x:f>
        <x:v>128553.05557375654</x:v>
      </x:c>
    </x:row>
    <x:row r="31" ht="18" customHeight="1">
      <x:c r="A31" s="24" t="str">
        <x:v>EEZ_219</x:v>
      </x:c>
      <x:c r="B31" s="24" t="str">
        <x:v>Galapagos Isl. (Ecuador)</x:v>
      </x:c>
      <x:c r="C31" s="24" t="str">
        <x:v>EEZ</x:v>
      </x:c>
      <x:c r="D31" s="30" t="n">
        <x:v>2019</x:v>
      </x:c>
      <x:c r="E31" s="24" t="str">
        <x:v>Tetrapturus angustirostris</x:v>
      </x:c>
      <x:c r="F31" s="24" t="str">
        <x:v>Shortbill spearfish</x:v>
      </x:c>
      <x:c r="G31" s="24" t="str">
        <x:v>Large pelagics (&gt;=90 cm)</x:v>
      </x:c>
      <x:c r="H31" s="24" t="str">
        <x:v>Tuna &amp; billfishes</x:v>
      </x:c>
      <x:c r="I31" s="31" t="n">
        <x:v>29.765867319799998</x:v>
      </x:c>
      <x:c r="J31" s="31" t="n">
        <x:v>29.765867319799998</x:v>
      </x:c>
      <x:c r="K31" s="31" t="n">
        <x:v>0</x:v>
      </x:c>
      <x:c r="L31" s="31" t="n">
        <x:v>29.765867319799998</x:v>
      </x:c>
      <x:c r="M31" s="31" t="n">
        <x:v>0</x:v>
      </x:c>
      <x:c r="N31" s="24" t="str">
        <x:v>tetrapturus angustirostris</x:v>
      </x:c>
      <x:c r="O31" s="32" t="n">
        <x:v>4.5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Tetrapturus angustirostris</x:v>
      </x:c>
      <x:c r="T31" s="32" t="n">
        <x:f>IF(O31="","",(1/'Metadata'!$B$5)^(O31-1))</x:f>
        <x:v>3162.2776601683795</x:v>
      </x:c>
      <x:c r="U31" s="31" t="n">
        <x:f>IF(T31="","",I31*T31)</x:f>
        <x:v>94127.93726093957</x:v>
      </x:c>
    </x:row>
    <x:row r="32" ht="18" customHeight="1">
      <x:c r="A32" s="24" t="str">
        <x:v>EEZ_219</x:v>
      </x:c>
      <x:c r="B32" s="24" t="str">
        <x:v>Galapagos Isl. (Ecuador)</x:v>
      </x:c>
      <x:c r="C32" s="24" t="str">
        <x:v>EEZ</x:v>
      </x:c>
      <x:c r="D32" s="30" t="n">
        <x:v>2019</x:v>
      </x:c>
      <x:c r="E32" s="24" t="str">
        <x:v>Paralabrax albomaculatus</x:v>
      </x:c>
      <x:c r="F32" s="24" t="str">
        <x:v>Camotillo</x:v>
      </x:c>
      <x:c r="G32" s="24" t="str">
        <x:v>Small pelagics (&lt;30 cm)</x:v>
      </x:c>
      <x:c r="H32" s="24" t="str">
        <x:v>Perch-likes</x:v>
      </x:c>
      <x:c r="I32" s="31" t="n">
        <x:v>29.200966149</x:v>
      </x:c>
      <x:c r="J32" s="31" t="n">
        <x:v>29.200966149</x:v>
      </x:c>
      <x:c r="K32" s="31" t="n">
        <x:v>0</x:v>
      </x:c>
      <x:c r="L32" s="31" t="n">
        <x:v>0</x:v>
      </x:c>
      <x:c r="M32" s="31" t="n">
        <x:v>29.200966149</x:v>
      </x:c>
      <x:c r="N32" s="24" t="str">
        <x:v>paralabrax albomaculatus</x:v>
      </x:c>
      <x:c r="O32" s="32" t="n">
        <x:v>4.5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Paralabrax albomaculatus</x:v>
      </x:c>
      <x:c r="T32" s="32" t="n">
        <x:f>IF(O32="","",(1/'Metadata'!$B$5)^(O32-1))</x:f>
        <x:v>3162.2776601683795</x:v>
      </x:c>
      <x:c r="U32" s="31" t="n">
        <x:f>IF(T32="","",I32*T32)</x:f>
        <x:v>92341.56290831577</x:v>
      </x:c>
    </x:row>
    <x:row r="33" ht="18" customHeight="1">
      <x:c r="A33" s="24" t="str">
        <x:v>EEZ_219</x:v>
      </x:c>
      <x:c r="B33" s="24" t="str">
        <x:v>Galapagos Isl. (Ecuador)</x:v>
      </x:c>
      <x:c r="C33" s="24" t="str">
        <x:v>EEZ</x:v>
      </x:c>
      <x:c r="D33" s="30" t="n">
        <x:v>2019</x:v>
      </x:c>
      <x:c r="E33" s="24" t="str">
        <x:v>Thunnus alalunga</x:v>
      </x:c>
      <x:c r="F33" s="24" t="str">
        <x:v>Albacore</x:v>
      </x:c>
      <x:c r="G33" s="24" t="str">
        <x:v>Large pelagics (&gt;=90 cm)</x:v>
      </x:c>
      <x:c r="H33" s="24" t="str">
        <x:v>Tuna &amp; billfishes</x:v>
      </x:c>
      <x:c r="I33" s="31" t="n">
        <x:v>24.9535299425</x:v>
      </x:c>
      <x:c r="J33" s="31" t="n">
        <x:v>24.7149626675</x:v>
      </x:c>
      <x:c r="K33" s="31" t="n">
        <x:v>0.238567275</x:v>
      </x:c>
      <x:c r="L33" s="31" t="n">
        <x:v>24.7149626675</x:v>
      </x:c>
      <x:c r="M33" s="31" t="n">
        <x:v>0.238567275</x:v>
      </x:c>
      <x:c r="N33" s="24" t="str">
        <x:v>thunnus alalunga</x:v>
      </x:c>
      <x:c r="O33" s="32" t="n">
        <x:v>4.3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Thunnus alalunga</x:v>
      </x:c>
      <x:c r="T33" s="32" t="n">
        <x:f>IF(O33="","",(1/'Metadata'!$B$5)^(O33-1))</x:f>
        <x:v>1995.2623149688789</x:v>
      </x:c>
      <x:c r="U33" s="31" t="n">
        <x:f>IF(T33="","",I33*T33)</x:f>
        <x:v>49788.837919717786</x:v>
      </x:c>
    </x:row>
    <x:row r="34" ht="18" customHeight="1">
      <x:c r="A34" s="24" t="str">
        <x:v>EEZ_219</x:v>
      </x:c>
      <x:c r="B34" s="24" t="str">
        <x:v>Galapagos Isl. (Ecuador)</x:v>
      </x:c>
      <x:c r="C34" s="24" t="str">
        <x:v>EEZ</x:v>
      </x:c>
      <x:c r="D34" s="30" t="n">
        <x:v>2019</x:v>
      </x:c>
      <x:c r="E34" s="24" t="str">
        <x:v>Istiophorus platypterus</x:v>
      </x:c>
      <x:c r="F34" s="24" t="str">
        <x:v>Indo-Pacific sailfish</x:v>
      </x:c>
      <x:c r="G34" s="24" t="str">
        <x:v>Large pelagics (&gt;=90 cm)</x:v>
      </x:c>
      <x:c r="H34" s="24" t="str">
        <x:v>Tuna &amp; billfishes</x:v>
      </x:c>
      <x:c r="I34" s="31" t="n">
        <x:v>21.0590060152</x:v>
      </x:c>
      <x:c r="J34" s="31" t="n">
        <x:v>21.0590060152</x:v>
      </x:c>
      <x:c r="K34" s="31" t="n">
        <x:v>0</x:v>
      </x:c>
      <x:c r="L34" s="31" t="n">
        <x:v>21.0590060152</x:v>
      </x:c>
      <x:c r="M34" s="31" t="n">
        <x:v>0</x:v>
      </x:c>
      <x:c r="N34" s="24" t="str">
        <x:v>istiophorus platypterus</x:v>
      </x:c>
      <x:c r="O34" s="32" t="n">
        <x:v>4.5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Istiophorus platypterus</x:v>
      </x:c>
      <x:c r="T34" s="32" t="n">
        <x:f>IF(O34="","",(1/'Metadata'!$B$5)^(O34-1))</x:f>
        <x:v>3162.2776601683795</x:v>
      </x:c>
      <x:c r="U34" s="31" t="n">
        <x:f>IF(T34="","",I34*T34)</x:f>
        <x:v>66594.42426721849</x:v>
      </x:c>
    </x:row>
    <x:row r="35" ht="18" customHeight="1">
      <x:c r="A35" s="24" t="str">
        <x:v>EEZ_219</x:v>
      </x:c>
      <x:c r="B35" s="24" t="str">
        <x:v>Galapagos Isl. (Ecuador)</x:v>
      </x:c>
      <x:c r="C35" s="24" t="str">
        <x:v>EEZ</x:v>
      </x:c>
      <x:c r="D35" s="30" t="n">
        <x:v>2019</x:v>
      </x:c>
      <x:c r="E35" s="24" t="str">
        <x:v>Panulirus gracilis</x:v>
      </x:c>
      <x:c r="F35" s="24" t="str">
        <x:v>Blue spiny lobster</x:v>
      </x:c>
      <x:c r="G35" s="24" t="str">
        <x:v>Lobsters, crabs</x:v>
      </x:c>
      <x:c r="H35" s="24" t="str">
        <x:v>Crustaceans</x:v>
      </x:c>
      <x:c r="I35" s="31" t="n">
        <x:v>20.49273817</x:v>
      </x:c>
      <x:c r="J35" s="31" t="n">
        <x:v>20.49273817</x:v>
      </x:c>
      <x:c r="K35" s="31" t="n">
        <x:v>0</x:v>
      </x:c>
      <x:c r="L35" s="31" t="n">
        <x:v>0</x:v>
      </x:c>
      <x:c r="M35" s="31" t="n">
        <x:v>20.49273817</x:v>
      </x:c>
      <x:c r="N35" s="24" t="str">
        <x:v>panulirus gracilis</x:v>
      </x:c>
      <x:c r="O35" s="32" t="n">
        <x:v>2.6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Panulirus gracilis</x:v>
      </x:c>
      <x:c r="T35" s="32" t="n">
        <x:f>IF(O35="","",(1/'Metadata'!$B$5)^(O35-1))</x:f>
        <x:v>39.810717055349734</x:v>
      </x:c>
      <x:c r="U35" s="31" t="n">
        <x:f>IF(T35="","",I35*T35)</x:f>
        <x:v>815.8306009752355</x:v>
      </x:c>
    </x:row>
    <x:row r="36" ht="18" customHeight="1">
      <x:c r="A36" s="24" t="str">
        <x:v>EEZ_219</x:v>
      </x:c>
      <x:c r="B36" s="24" t="str">
        <x:v>Galapagos Isl. (Ecuador)</x:v>
      </x:c>
      <x:c r="C36" s="24" t="str">
        <x:v>EEZ</x:v>
      </x:c>
      <x:c r="D36" s="30" t="n">
        <x:v>2019</x:v>
      </x:c>
      <x:c r="E36" s="24" t="str">
        <x:v>Lutjanus</x:v>
      </x:c>
      <x:c r="F36" s="24" t="str">
        <x:v>Snappers</x:v>
      </x:c>
      <x:c r="G36" s="24" t="str">
        <x:v>Medium reef assoc. fish (30 - 89 cm)</x:v>
      </x:c>
      <x:c r="H36" s="24" t="str">
        <x:v>Perch-likes</x:v>
      </x:c>
      <x:c r="I36" s="31" t="n">
        <x:v>15.004254370000002</x:v>
      </x:c>
      <x:c r="J36" s="31" t="n">
        <x:v>15.004254370000002</x:v>
      </x:c>
      <x:c r="K36" s="31" t="n">
        <x:v>0</x:v>
      </x:c>
      <x:c r="L36" s="31" t="n">
        <x:v>0</x:v>
      </x:c>
      <x:c r="M36" s="31" t="n">
        <x:v>15.004254370000002</x:v>
      </x:c>
      <x:c r="N36" s="24" t="str">
        <x:v>lutjanus</x:v>
      </x:c>
      <x:c r="O36" s="32" t="n">
        <x:v>4.02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Lutjanus</x:v>
      </x:c>
      <x:c r="T36" s="32" t="n">
        <x:f>IF(O36="","",(1/'Metadata'!$B$5)^(O36-1))</x:f>
        <x:v>1047.1285480508984</x:v>
      </x:c>
      <x:c r="U36" s="31" t="n">
        <x:f>IF(T36="","",I36*T36)</x:f>
        <x:v>15711.38309304445</x:v>
      </x:c>
    </x:row>
    <x:row r="37" ht="18" customHeight="1">
      <x:c r="A37" s="24" t="str">
        <x:v>EEZ_219</x:v>
      </x:c>
      <x:c r="B37" s="24" t="str">
        <x:v>Galapagos Isl. (Ecuador)</x:v>
      </x:c>
      <x:c r="C37" s="24" t="str">
        <x:v>EEZ</x:v>
      </x:c>
      <x:c r="D37" s="30" t="n">
        <x:v>2019</x:v>
      </x:c>
      <x:c r="E37" s="24" t="str">
        <x:v>Scomber japonicus</x:v>
      </x:c>
      <x:c r="F37" s="24" t="str">
        <x:v>Pacific chub mackerel</x:v>
      </x:c>
      <x:c r="G37" s="24" t="str">
        <x:v>Medium pelagics (30 - 89 cm)</x:v>
      </x:c>
      <x:c r="H37" s="24" t="str">
        <x:v>Perch-likes</x:v>
      </x:c>
      <x:c r="I37" s="31" t="n">
        <x:v>11.7405955219</x:v>
      </x:c>
      <x:c r="J37" s="31" t="n">
        <x:v>11.7405955219</x:v>
      </x:c>
      <x:c r="K37" s="31" t="n">
        <x:v>0</x:v>
      </x:c>
      <x:c r="L37" s="31" t="n">
        <x:v>11.7405955219</x:v>
      </x:c>
      <x:c r="M37" s="31" t="n">
        <x:v>0</x:v>
      </x:c>
      <x:c r="N37" s="24" t="str">
        <x:v>scomber japonicus</x:v>
      </x:c>
      <x:c r="O37" s="32" t="n">
        <x:v>3.38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Scomber japonicus</x:v>
      </x:c>
      <x:c r="T37" s="32" t="n">
        <x:f>IF(O37="","",(1/'Metadata'!$B$5)^(O37-1))</x:f>
        <x:v>239.88329190194898</x:v>
      </x:c>
      <x:c r="U37" s="31" t="n">
        <x:f>IF(T37="","",I37*T37)</x:f>
        <x:v>2816.3727026826527</x:v>
      </x:c>
    </x:row>
    <x:row r="38" ht="18" customHeight="1">
      <x:c r="A38" s="24" t="str">
        <x:v>EEZ_219</x:v>
      </x:c>
      <x:c r="B38" s="24" t="str">
        <x:v>Galapagos Isl. (Ecuador)</x:v>
      </x:c>
      <x:c r="C38" s="24" t="str">
        <x:v>EEZ</x:v>
      </x:c>
      <x:c r="D38" s="30" t="n">
        <x:v>2019</x:v>
      </x:c>
      <x:c r="E38" s="24" t="str">
        <x:v>Epinephelus</x:v>
      </x:c>
      <x:c r="F38" s="24" t="str">
        <x:v>Seabasses, hinds</x:v>
      </x:c>
      <x:c r="G38" s="24" t="str">
        <x:v>Medium reef assoc. fish (30 - 89 cm)</x:v>
      </x:c>
      <x:c r="H38" s="24" t="str">
        <x:v>Perch-likes</x:v>
      </x:c>
      <x:c r="I38" s="31" t="n">
        <x:v>11.348215597900001</x:v>
      </x:c>
      <x:c r="J38" s="31" t="n">
        <x:v>11.348215597900001</x:v>
      </x:c>
      <x:c r="K38" s="31" t="n">
        <x:v>0</x:v>
      </x:c>
      <x:c r="L38" s="31" t="n">
        <x:v>0</x:v>
      </x:c>
      <x:c r="M38" s="31" t="n">
        <x:v>11.348215597900001</x:v>
      </x:c>
      <x:c r="N38" s="24" t="str">
        <x:v>epinephelus</x:v>
      </x:c>
      <x:c r="O38" s="32" t="n">
        <x:v>3.84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Epinephelus</x:v>
      </x:c>
      <x:c r="T38" s="32" t="n">
        <x:f>IF(O38="","",(1/'Metadata'!$B$5)^(O38-1))</x:f>
        <x:v>691.8309709189363</x:v>
      </x:c>
      <x:c r="U38" s="31" t="n">
        <x:f>IF(T38="","",I38*T38)</x:f>
        <x:v>7851.0470152925745</x:v>
      </x:c>
    </x:row>
    <x:row r="39" ht="18" customHeight="1">
      <x:c r="A39" s="24" t="str">
        <x:v>EEZ_219</x:v>
      </x:c>
      <x:c r="B39" s="24" t="str">
        <x:v>Galapagos Isl. (Ecuador)</x:v>
      </x:c>
      <x:c r="C39" s="24" t="str">
        <x:v>EEZ</x:v>
      </x:c>
      <x:c r="D39" s="30" t="n">
        <x:v>2019</x:v>
      </x:c>
      <x:c r="E39" s="24" t="str">
        <x:v>Seriola</x:v>
      </x:c>
      <x:c r="F39" s="24" t="str">
        <x:v>Amberjacks</x:v>
      </x:c>
      <x:c r="G39" s="24" t="str">
        <x:v>Large benthopelagics (&gt;=90 cm)</x:v>
      </x:c>
      <x:c r="H39" s="24" t="str">
        <x:v>Perch-likes</x:v>
      </x:c>
      <x:c r="I39" s="31" t="n">
        <x:v>7.8515225071</x:v>
      </x:c>
      <x:c r="J39" s="31" t="n">
        <x:v>7.8515225071</x:v>
      </x:c>
      <x:c r="K39" s="31" t="n">
        <x:v>0</x:v>
      </x:c>
      <x:c r="L39" s="31" t="n">
        <x:v>0</x:v>
      </x:c>
      <x:c r="M39" s="31" t="n">
        <x:v>7.8515225071</x:v>
      </x:c>
      <x:c r="N39" s="24" t="str">
        <x:v>seriola</x:v>
      </x:c>
      <x:c r="O39" s="32" t="n">
        <x:v>4.39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Seriola</x:v>
      </x:c>
      <x:c r="T39" s="32" t="n">
        <x:f>IF(O39="","",(1/'Metadata'!$B$5)^(O39-1))</x:f>
        <x:v>2454.7089156850284</x:v>
      </x:c>
      <x:c r="U39" s="31" t="n">
        <x:f>IF(T39="","",I39*T39)</x:f>
        <x:v>19273.20229988004</x:v>
      </x:c>
    </x:row>
    <x:row r="40" ht="18" customHeight="1">
      <x:c r="A40" s="24" t="str">
        <x:v>EEZ_219</x:v>
      </x:c>
      <x:c r="B40" s="24" t="str">
        <x:v>Galapagos Isl. (Ecuador)</x:v>
      </x:c>
      <x:c r="C40" s="24" t="str">
        <x:v>EEZ</x:v>
      </x:c>
      <x:c r="D40" s="30" t="n">
        <x:v>2019</x:v>
      </x:c>
      <x:c r="E40" s="24" t="str">
        <x:v>Scomberomorus sierra</x:v>
      </x:c>
      <x:c r="F40" s="24" t="str">
        <x:v>Pacific sierra</x:v>
      </x:c>
      <x:c r="G40" s="24" t="str">
        <x:v>Large pelagics (&gt;=90 cm)</x:v>
      </x:c>
      <x:c r="H40" s="24" t="str">
        <x:v>Perch-likes</x:v>
      </x:c>
      <x:c r="I40" s="31" t="n">
        <x:v>6.6709248859</x:v>
      </x:c>
      <x:c r="J40" s="31" t="n">
        <x:v>6.6709248859</x:v>
      </x:c>
      <x:c r="K40" s="31" t="n">
        <x:v>0</x:v>
      </x:c>
      <x:c r="L40" s="31" t="n">
        <x:v>0</x:v>
      </x:c>
      <x:c r="M40" s="31" t="n">
        <x:v>6.6709248859</x:v>
      </x:c>
      <x:c r="N40" s="24" t="str">
        <x:v>scomberomorus sierra</x:v>
      </x:c>
      <x:c r="O40" s="32" t="n">
        <x:v>4.49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Scomberomorus sierra</x:v>
      </x:c>
      <x:c r="T40" s="32" t="n">
        <x:f>IF(O40="","",(1/'Metadata'!$B$5)^(O40-1))</x:f>
        <x:v>3090.295432513592</x:v>
      </x:c>
      <x:c r="U40" s="31" t="n">
        <x:f>IF(T40="","",I40*T40)</x:f>
        <x:v>20615.128705538023</x:v>
      </x:c>
    </x:row>
    <x:row r="41" ht="18" customHeight="1">
      <x:c r="A41" s="24" t="str">
        <x:v>EEZ_219</x:v>
      </x:c>
      <x:c r="B41" s="24" t="str">
        <x:v>Galapagos Isl. (Ecuador)</x:v>
      </x:c>
      <x:c r="C41" s="24" t="str">
        <x:v>EEZ</x:v>
      </x:c>
      <x:c r="D41" s="30" t="n">
        <x:v>2019</x:v>
      </x:c>
      <x:c r="E41" s="24" t="str">
        <x:v>Dermatolepis dermatolepis</x:v>
      </x:c>
      <x:c r="F41" s="24" t="str">
        <x:v>Leather bass</x:v>
      </x:c>
      <x:c r="G41" s="24" t="str">
        <x:v>Small pelagics (&lt;30 cm)</x:v>
      </x:c>
      <x:c r="H41" s="24" t="str">
        <x:v>Perch-likes</x:v>
      </x:c>
      <x:c r="I41" s="31" t="n">
        <x:v>2.5593944829</x:v>
      </x:c>
      <x:c r="J41" s="31" t="n">
        <x:v>2.5593944829</x:v>
      </x:c>
      <x:c r="K41" s="31" t="n">
        <x:v>0</x:v>
      </x:c>
      <x:c r="L41" s="31" t="n">
        <x:v>0</x:v>
      </x:c>
      <x:c r="M41" s="31" t="n">
        <x:v>2.5593944829</x:v>
      </x:c>
      <x:c r="N41" s="24" t="str">
        <x:v>dermatolepis dermatolepis</x:v>
      </x:c>
      <x:c r="O41" s="32" t="n">
        <x:v>4.5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Dermatolepis dermatolepis</x:v>
      </x:c>
      <x:c r="T41" s="32" t="n">
        <x:f>IF(O41="","",(1/'Metadata'!$B$5)^(O41-1))</x:f>
        <x:v>3162.2776601683795</x:v>
      </x:c>
      <x:c r="U41" s="31" t="n">
        <x:f>IF(T41="","",I41*T41)</x:f>
        <x:v>8093.515996832872</x:v>
      </x:c>
    </x:row>
    <x:row r="42" ht="18" customHeight="1">
      <x:c r="A42" s="24" t="str">
        <x:v>EEZ_219</x:v>
      </x:c>
      <x:c r="B42" s="24" t="str">
        <x:v>Galapagos Isl. (Ecuador)</x:v>
      </x:c>
      <x:c r="C42" s="24" t="str">
        <x:v>EEZ</x:v>
      </x:c>
      <x:c r="D42" s="30" t="n">
        <x:v>2019</x:v>
      </x:c>
      <x:c r="E42" s="24" t="str">
        <x:v>Istiompax indica</x:v>
      </x:c>
      <x:c r="F42" s="24" t="str">
        <x:v>Black marlin</x:v>
      </x:c>
      <x:c r="G42" s="24" t="str">
        <x:v>Large pelagics (&gt;=90 cm)</x:v>
      </x:c>
      <x:c r="H42" s="24" t="str">
        <x:v>Tuna &amp; billfishes</x:v>
      </x:c>
      <x:c r="I42" s="31" t="n">
        <x:v>1.810997147</x:v>
      </x:c>
      <x:c r="J42" s="31" t="n">
        <x:v>1.810997147</x:v>
      </x:c>
      <x:c r="K42" s="31" t="n">
        <x:v>0</x:v>
      </x:c>
      <x:c r="L42" s="31" t="n">
        <x:v>1.810997147</x:v>
      </x:c>
      <x:c r="M42" s="31" t="n">
        <x:v>0</x:v>
      </x:c>
      <x:c r="N42" s="24" t="str">
        <x:v>istiompax indica</x:v>
      </x:c>
      <x:c r="O42" s="32" t="n">
        <x:v>4.5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Istiompax indica</x:v>
      </x:c>
      <x:c r="T42" s="32" t="n">
        <x:f>IF(O42="","",(1/'Metadata'!$B$5)^(O42-1))</x:f>
        <x:v>3162.2776601683795</x:v>
      </x:c>
      <x:c r="U42" s="31" t="n">
        <x:f>IF(T42="","",I42*T42)</x:f>
        <x:v>5726.875820586771</x:v>
      </x:c>
    </x:row>
    <x:row r="43" ht="18" customHeight="1">
      <x:c r="A43" s="24" t="str">
        <x:v>EEZ_219</x:v>
      </x:c>
      <x:c r="B43" s="24" t="str">
        <x:v>Galapagos Isl. (Ecuador)</x:v>
      </x:c>
      <x:c r="C43" s="24" t="str">
        <x:v>EEZ</x:v>
      </x:c>
      <x:c r="D43" s="30" t="n">
        <x:v>2019</x:v>
      </x:c>
      <x:c r="E43" s="24" t="str">
        <x:v>Serranidae</x:v>
      </x:c>
      <x:c r="F43" s="24" t="str">
        <x:v>Basses, groupers, hinds</x:v>
      </x:c>
      <x:c r="G43" s="24" t="str">
        <x:v>Medium reef assoc. fish (30 - 89 cm)</x:v>
      </x:c>
      <x:c r="H43" s="24" t="str">
        <x:v>Perch-likes</x:v>
      </x:c>
      <x:c r="I43" s="31" t="n">
        <x:v>1.405815607</x:v>
      </x:c>
      <x:c r="J43" s="31" t="n">
        <x:v>1.405815607</x:v>
      </x:c>
      <x:c r="K43" s="31" t="n">
        <x:v>0</x:v>
      </x:c>
      <x:c r="L43" s="31" t="n">
        <x:v>0</x:v>
      </x:c>
      <x:c r="M43" s="31" t="n">
        <x:v>1.405815607</x:v>
      </x:c>
      <x:c r="N43" s="24" t="str">
        <x:v>serranidae</x:v>
      </x:c>
      <x:c r="O43" s="32" t="n">
        <x:v>3.98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Serranidae</x:v>
      </x:c>
      <x:c r="T43" s="32" t="n">
        <x:f>IF(O43="","",(1/'Metadata'!$B$5)^(O43-1))</x:f>
        <x:v>954.992586021436</x:v>
      </x:c>
      <x:c r="U43" s="31" t="n">
        <x:f>IF(T43="","",I43*T43)</x:f>
        <x:v>1342.5434819982247</x:v>
      </x:c>
    </x:row>
    <x:row r="44" ht="18" customHeight="1">
      <x:c r="A44" s="24" t="str">
        <x:v>EEZ_219</x:v>
      </x:c>
      <x:c r="B44" s="24" t="str">
        <x:v>Galapagos Isl. (Ecuador)</x:v>
      </x:c>
      <x:c r="C44" s="24" t="str">
        <x:v>EEZ</x:v>
      </x:c>
      <x:c r="D44" s="30" t="n">
        <x:v>2019</x:v>
      </x:c>
      <x:c r="E44" s="24" t="str">
        <x:v>Isurus</x:v>
      </x:c>
      <x:c r="F44" s="24" t="str">
        <x:v>Mako sharks</x:v>
      </x:c>
      <x:c r="G44" s="24" t="str">
        <x:v>Large sharks (&gt;=90 cm)</x:v>
      </x:c>
      <x:c r="H44" s="24" t="str">
        <x:v>Sharks &amp; rays</x:v>
      </x:c>
      <x:c r="I44" s="31" t="n">
        <x:v>1.3658226706</x:v>
      </x:c>
      <x:c r="J44" s="31" t="n">
        <x:v>0</x:v>
      </x:c>
      <x:c r="K44" s="31" t="n">
        <x:v>1.3658226706</x:v>
      </x:c>
      <x:c r="L44" s="31" t="n">
        <x:v>0</x:v>
      </x:c>
      <x:c r="M44" s="31" t="n">
        <x:v>1.3658226706</x:v>
      </x:c>
      <x:c r="N44" s="24" t="str">
        <x:v>isurus</x:v>
      </x:c>
      <x:c r="O44" s="32" t="n">
        <x:v>4.5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Isurus</x:v>
      </x:c>
      <x:c r="T44" s="32" t="n">
        <x:f>IF(O44="","",(1/'Metadata'!$B$5)^(O44-1))</x:f>
        <x:v>3162.2776601683795</x:v>
      </x:c>
      <x:c r="U44" s="31" t="n">
        <x:f>IF(T44="","",I44*T44)</x:f>
        <x:v>4319.110518989895</x:v>
      </x:c>
    </x:row>
    <x:row r="45" ht="18" customHeight="1">
      <x:c r="A45" s="24" t="str">
        <x:v>EEZ_219</x:v>
      </x:c>
      <x:c r="B45" s="24" t="str">
        <x:v>Galapagos Isl. (Ecuador)</x:v>
      </x:c>
      <x:c r="C45" s="24" t="str">
        <x:v>EEZ</x:v>
      </x:c>
      <x:c r="D45" s="30" t="n">
        <x:v>2019</x:v>
      </x:c>
      <x:c r="E45" s="24" t="str">
        <x:v>Acanthocybium solandri</x:v>
      </x:c>
      <x:c r="F45" s="24" t="str">
        <x:v>Wahoo</x:v>
      </x:c>
      <x:c r="G45" s="24" t="str">
        <x:v>Large pelagics (&gt;=90 cm)</x:v>
      </x:c>
      <x:c r="H45" s="24" t="str">
        <x:v>Perch-likes</x:v>
      </x:c>
      <x:c r="I45" s="31" t="n">
        <x:v>1.0890379113000002</x:v>
      </x:c>
      <x:c r="J45" s="31" t="n">
        <x:v>1.0887474609</x:v>
      </x:c>
      <x:c r="K45" s="31" t="n">
        <x:v>0.0002904504</x:v>
      </x:c>
      <x:c r="L45" s="31" t="n">
        <x:v>0</x:v>
      </x:c>
      <x:c r="M45" s="31" t="n">
        <x:v>1.0890379113000002</x:v>
      </x:c>
      <x:c r="N45" s="24" t="str">
        <x:v>acanthocybium solandri</x:v>
      </x:c>
      <x:c r="O45" s="32" t="n">
        <x:v>4.26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Acanthocybium solandri</x:v>
      </x:c>
      <x:c r="T45" s="32" t="n">
        <x:f>IF(O45="","",(1/'Metadata'!$B$5)^(O45-1))</x:f>
        <x:v>1819.7008586099826</x:v>
      </x:c>
      <x:c r="U45" s="31" t="n">
        <x:f>IF(T45="","",I45*T45)</x:f>
        <x:v>1981.7232222514324</x:v>
      </x:c>
    </x:row>
    <x:row r="46" ht="18" customHeight="1">
      <x:c r="A46" s="24" t="str">
        <x:v>EEZ_219</x:v>
      </x:c>
      <x:c r="B46" s="24" t="str">
        <x:v>Galapagos Isl. (Ecuador)</x:v>
      </x:c>
      <x:c r="C46" s="24" t="str">
        <x:v>EEZ</x:v>
      </x:c>
      <x:c r="D46" s="30" t="n">
        <x:v>2019</x:v>
      </x:c>
      <x:c r="E46" s="24" t="str">
        <x:v>Epinephelus labriformis</x:v>
      </x:c>
      <x:c r="F46" s="24" t="str">
        <x:v>Starry grouper</x:v>
      </x:c>
      <x:c r="G46" s="24" t="str">
        <x:v>Small pelagics (&lt;30 cm)</x:v>
      </x:c>
      <x:c r="H46" s="24" t="str">
        <x:v>Perch-likes</x:v>
      </x:c>
      <x:c r="I46" s="31" t="n">
        <x:v>0.19305653309999998</x:v>
      </x:c>
      <x:c r="J46" s="31" t="n">
        <x:v>0.19305653309999998</x:v>
      </x:c>
      <x:c r="K46" s="31" t="n">
        <x:v>0</x:v>
      </x:c>
      <x:c r="L46" s="31" t="n">
        <x:v>0</x:v>
      </x:c>
      <x:c r="M46" s="31" t="n">
        <x:v>0.19305653309999998</x:v>
      </x:c>
      <x:c r="N46" s="24" t="str">
        <x:v>epinephelus labriformis</x:v>
      </x:c>
      <x:c r="O46" s="32" t="n">
        <x:v>4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Epinephelus labriformis</x:v>
      </x:c>
      <x:c r="T46" s="32" t="n">
        <x:f>IF(O46="","",(1/'Metadata'!$B$5)^(O46-1))</x:f>
        <x:v>1000</x:v>
      </x:c>
      <x:c r="U46" s="31" t="n">
        <x:f>IF(T46="","",I46*T46)</x:f>
        <x:v>193.0565331</x:v>
      </x:c>
    </x:row>
    <x:row r="47" ht="18" customHeight="1">
      <x:c r="A47" s="24" t="str">
        <x:v>EEZ_219</x:v>
      </x:c>
      <x:c r="B47" s="24" t="str">
        <x:v>Galapagos Isl. (Ecuador)</x:v>
      </x:c>
      <x:c r="C47" s="24" t="str">
        <x:v>EEZ</x:v>
      </x:c>
      <x:c r="D47" s="30" t="n">
        <x:v>2019</x:v>
      </x:c>
      <x:c r="E47" s="24" t="str">
        <x:v>Carcharhinus longimanus</x:v>
      </x:c>
      <x:c r="F47" s="24" t="str">
        <x:v>Oceanic whitetip shark</x:v>
      </x:c>
      <x:c r="G47" s="24" t="str">
        <x:v>Large sharks (&gt;=90 cm)</x:v>
      </x:c>
      <x:c r="H47" s="24" t="str">
        <x:v>Sharks &amp; rays</x:v>
      </x:c>
      <x:c r="I47" s="31" t="n">
        <x:v>0.0701756235</x:v>
      </x:c>
      <x:c r="J47" s="31" t="n">
        <x:v>0</x:v>
      </x:c>
      <x:c r="K47" s="31" t="n">
        <x:v>0.0701756235</x:v>
      </x:c>
      <x:c r="L47" s="31" t="n">
        <x:v>0</x:v>
      </x:c>
      <x:c r="M47" s="31" t="n">
        <x:v>0.0701756235</x:v>
      </x:c>
      <x:c r="N47" s="24" t="str">
        <x:v>carcharhinus longimanus</x:v>
      </x:c>
      <x:c r="O47" s="32" t="n">
        <x:v>4.16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Carcharhinus longimanus</x:v>
      </x:c>
      <x:c r="T47" s="32" t="n">
        <x:f>IF(O47="","",(1/'Metadata'!$B$5)^(O47-1))</x:f>
        <x:v>1445.439770745928</x:v>
      </x:c>
      <x:c r="U47" s="31" t="n">
        <x:f>IF(T47="","",I47*T47)</x:f>
        <x:v>101.43463714379256</x:v>
      </x:c>
    </x:row>
    <x:row r="48" ht="18" customHeight="1">
      <x:c r="A48" s="24" t="str">
        <x:v>EEZ_219</x:v>
      </x:c>
      <x:c r="B48" s="24" t="str">
        <x:v>Galapagos Isl. (Ecuador)</x:v>
      </x:c>
      <x:c r="C48" s="24" t="str">
        <x:v>EEZ</x:v>
      </x:c>
      <x:c r="D48" s="30" t="n">
        <x:v>2019</x:v>
      </x:c>
      <x:c r="E48" s="24" t="str">
        <x:v>Thunnus orientalis</x:v>
      </x:c>
      <x:c r="F48" s="24" t="str">
        <x:v>Pacific bluefin tuna</x:v>
      </x:c>
      <x:c r="G48" s="24" t="str">
        <x:v>Large pelagics (&gt;=90 cm)</x:v>
      </x:c>
      <x:c r="H48" s="24" t="str">
        <x:v>Tuna &amp; billfishes</x:v>
      </x:c>
      <x:c r="I48" s="31" t="n">
        <x:v>0.0000097955</x:v>
      </x:c>
      <x:c r="J48" s="31" t="n">
        <x:v>0</x:v>
      </x:c>
      <x:c r="K48" s="31" t="n">
        <x:v>0.0000097955</x:v>
      </x:c>
      <x:c r="L48" s="31" t="n">
        <x:v>0</x:v>
      </x:c>
      <x:c r="M48" s="31" t="n">
        <x:v>0.0000097955</x:v>
      </x:c>
      <x:c r="N48" s="24" t="str">
        <x:v>thunnus orientalis</x:v>
      </x:c>
      <x:c r="O48" s="32" t="n">
        <x:v>4.05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Thunnus orientalis</x:v>
      </x:c>
      <x:c r="T48" s="32" t="n">
        <x:f>IF(O48="","",(1/'Metadata'!$B$5)^(O48-1))</x:f>
        <x:v>1122.018454301963</x:v>
      </x:c>
      <x:c r="U48" s="31" t="n">
        <x:f>IF(T48="","",I48*T48)</x:f>
        <x:v>0.010990731769114878</x:v>
      </x:c>
    </x:row>
  </x:sheetData>
  <x:conditionalFormatting sqref="R2:R4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108d3fc377d44a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2</x:v>
      </x:c>
      <x:c r="C2" s="33" t="n">
        <x:v>2</x:v>
      </x:c>
      <x:c r="D2" s="31" t="n">
        <x:v>66.01253262990001</x:v>
      </x:c>
      <x:c r="E2" s="31" t="n">
        <x:v>66.01253262990001</x:v>
      </x:c>
      <x:c r="F2" s="32" t="n">
        <x:v>0</x:v>
      </x:c>
      <x:c r="G2" s="34" t="n">
        <x:v>1</x:v>
      </x:c>
      <x:c r="H2" s="32" t="n">
        <x:f>IF(E2=0,"",I2/E2)</x:f>
        <x:v>39.810717055349734</x:v>
      </x:c>
      <x:c r="I2" s="31" t="n">
        <x:f>IF(C2=0,"",SUMIF('Species'!$H$2:$H$48,A2,'Species'!$U$2:$U$48))</x:f>
        <x:v>2628.006258635991</x:v>
      </x:c>
      <x:c r="J2" s="32" t="n">
        <x:v>2.6</x:v>
      </x:c>
      <x:c r="K2" s="32" t="n">
        <x:f>IF(J2="","",(1/'Metadata'!$B$5)^(J2-1))</x:f>
        <x:v>39.810717055349734</x:v>
      </x:c>
      <x:c r="L2" s="31" t="n">
        <x:f>IF(E2=0,"",E2*K2)</x:f>
        <x:v>2628.006258635991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Other fishes &amp; inverts</x:v>
      </x:c>
      <x:c r="B3" s="33" t="n">
        <x:v>2</x:v>
      </x:c>
      <x:c r="C3" s="33" t="n">
        <x:v>2</x:v>
      </x:c>
      <x:c r="D3" s="31" t="n">
        <x:v>823.9610851487</x:v>
      </x:c>
      <x:c r="E3" s="31" t="n">
        <x:v>823.9610851487</x:v>
      </x:c>
      <x:c r="F3" s="32" t="n">
        <x:v>0</x:v>
      </x:c>
      <x:c r="G3" s="34" t="n">
        <x:v>1</x:v>
      </x:c>
      <x:c r="H3" s="32" t="n">
        <x:f>IF(E3=0,"",I3/E3)</x:f>
        <x:v>201.71925540771318</x:v>
      </x:c>
      <x:c r="I3" s="31" t="n">
        <x:f>IF(C3=0,"",SUMIF('Species'!$H$2:$H$48,A3,'Species'!$U$2:$U$48))</x:f>
        <x:v>166208.81658112712</x:v>
      </x:c>
      <x:c r="J3" s="32" t="n">
        <x:v>3.3034688191108055</x:v>
      </x:c>
      <x:c r="K3" s="32" t="n">
        <x:f>IF(J3="","",(1/'Metadata'!$B$5)^(J3-1))</x:f>
        <x:v>201.12627910850284</x:v>
      </x:c>
      <x:c r="L3" s="31" t="n">
        <x:f>IF(E3=0,"",E3*K3)</x:f>
        <x:v>165720.22718616232</x:v>
      </x:c>
      <x:c r="M3" s="31" t="n">
        <x:f>IF(E3=0,"",I3-L3)</x:f>
        <x:v>488.5893949648016</x:v>
      </x:c>
      <x:c r="N3" s="32" t="n">
        <x:f>IF(L3=0,"",I3/L3)</x:f>
        <x:v>1.0029482785732362</x:v>
      </x:c>
      <x:c r="O3" s="34" t="n">
        <x:f>IF(L3=0,"",M3/L3)</x:f>
        <x:v>0.0029482785732362245</x:v>
      </x:c>
    </x:row>
    <x:row r="4" ht="18" customHeight="1">
      <x:c r="A4" s="24" t="str">
        <x:v>Perch-likes</x:v>
      </x:c>
      <x:c r="B4" s="33" t="n">
        <x:v>21</x:v>
      </x:c>
      <x:c r="C4" s="33" t="n">
        <x:v>21</x:v>
      </x:c>
      <x:c r="D4" s="31" t="n">
        <x:v>1979.7878426196999</x:v>
      </x:c>
      <x:c r="E4" s="31" t="n">
        <x:v>1979.7878426196999</x:v>
      </x:c>
      <x:c r="F4" s="32" t="n">
        <x:v>0</x:v>
      </x:c>
      <x:c r="G4" s="34" t="n">
        <x:v>1</x:v>
      </x:c>
      <x:c r="H4" s="32" t="n">
        <x:f>IF(E4=0,"",I4/E4)</x:f>
        <x:v>1530.321177359611</x:v>
      </x:c>
      <x:c r="I4" s="31" t="n">
        <x:f>IF(C4=0,"",SUMIF('Species'!$H$2:$H$48,A4,'Species'!$U$2:$U$48))</x:f>
        <x:v>3029711.2622400234</x:v>
      </x:c>
      <x:c r="J4" s="32" t="n">
        <x:v>3.804418819332168</x:v>
      </x:c>
      <x:c r="K4" s="32" t="n">
        <x:f>IF(J4="","",(1/'Metadata'!$B$5)^(J4-1))</x:f>
        <x:v>637.4099217965255</x:v>
      </x:c>
      <x:c r="L4" s="31" t="n">
        <x:f>IF(E4=0,"",E4*K4)</x:f>
        <x:v>1261936.413937935</x:v>
      </x:c>
      <x:c r="M4" s="31" t="n">
        <x:f>IF(E4=0,"",I4-L4)</x:f>
        <x:v>1767774.8483020884</x:v>
      </x:c>
      <x:c r="N4" s="32" t="n">
        <x:f>IF(L4=0,"",I4/L4)</x:f>
        <x:v>2.4008430446869027</x:v>
      </x:c>
      <x:c r="O4" s="34" t="n">
        <x:f>IF(L4=0,"",M4/L4)</x:f>
        <x:v>1.400843044686903</x:v>
      </x:c>
    </x:row>
    <x:row r="5" ht="18" customHeight="1">
      <x:c r="A5" s="24" t="str">
        <x:v>Scorpionfishes</x:v>
      </x:c>
      <x:c r="B5" s="33" t="n">
        <x:v>1</x:v>
      </x:c>
      <x:c r="C5" s="33" t="n">
        <x:v>1</x:v>
      </x:c>
      <x:c r="D5" s="31" t="n">
        <x:v>70.638199811</x:v>
      </x:c>
      <x:c r="E5" s="31" t="n">
        <x:v>70.638199811</x:v>
      </x:c>
      <x:c r="F5" s="32" t="n">
        <x:v>0</x:v>
      </x:c>
      <x:c r="G5" s="34" t="n">
        <x:v>1</x:v>
      </x:c>
      <x:c r="H5" s="32" t="n">
        <x:f>IF(E5=0,"",I5/E5)</x:f>
        <x:v>831.7637711026708</x:v>
      </x:c>
      <x:c r="I5" s="31" t="n">
        <x:f>IF(C5=0,"",SUMIF('Species'!$H$2:$H$48,A5,'Species'!$U$2:$U$48))</x:f>
        <x:v>58754.29545870134</x:v>
      </x:c>
      <x:c r="J5" s="32" t="n">
        <x:v>3.9199999999999995</x:v>
      </x:c>
      <x:c r="K5" s="32" t="n">
        <x:f>IF(J5="","",(1/'Metadata'!$B$5)^(J5-1))</x:f>
        <x:v>831.76377110267</x:v>
      </x:c>
      <x:c r="L5" s="31" t="n">
        <x:f>IF(E5=0,"",E5*K5)</x:f>
        <x:v>58754.29545870128</x:v>
      </x:c>
      <x:c r="M5" s="31" t="n">
        <x:f>IF(E5=0,"",I5-L5)</x:f>
        <x:v>5.820766091346741e-11</x:v>
      </x:c>
      <x:c r="N5" s="32" t="n">
        <x:f>IF(L5=0,"",I5/L5)</x:f>
        <x:v>1.0000000000000009</x:v>
      </x:c>
      <x:c r="O5" s="34" t="n">
        <x:f>IF(L5=0,"",M5/L5)</x:f>
        <x:v>9.906962624440268e-16</x:v>
      </x:c>
    </x:row>
    <x:row r="6" ht="18" customHeight="1">
      <x:c r="A6" s="24" t="str">
        <x:v>Sharks &amp; rays</x:v>
      </x:c>
      <x:c r="B6" s="33" t="n">
        <x:v>8</x:v>
      </x:c>
      <x:c r="C6" s="33" t="n">
        <x:v>8</x:v>
      </x:c>
      <x:c r="D6" s="31" t="n">
        <x:v>4428.4410175559005</x:v>
      </x:c>
      <x:c r="E6" s="31" t="n">
        <x:v>4428.4410175559005</x:v>
      </x:c>
      <x:c r="F6" s="32" t="n">
        <x:v>0</x:v>
      </x:c>
      <x:c r="G6" s="34" t="n">
        <x:v>1</x:v>
      </x:c>
      <x:c r="H6" s="32" t="n">
        <x:f>IF(E6=0,"",I6/E6)</x:f>
        <x:v>2367.4043561147873</x:v>
      </x:c>
      <x:c r="I6" s="31" t="n">
        <x:f>IF(C6=0,"",SUMIF('Species'!$H$2:$H$48,A6,'Species'!$U$2:$U$48))</x:f>
        <x:v>10483910.55575924</x:v>
      </x:c>
      <x:c r="J6" s="32" t="n">
        <x:v>4.358010718930325</x:v>
      </x:c>
      <x:c r="K6" s="32" t="n">
        <x:f>IF(J6="","",(1/'Metadata'!$B$5)^(J6-1))</x:f>
        <x:v>2280.398354385869</x:v>
      </x:c>
      <x:c r="L6" s="31" t="n">
        <x:f>IF(E6=0,"",E6*K6)</x:f>
        <x:v>10098609.608929358</x:v>
      </x:c>
      <x:c r="M6" s="31" t="n">
        <x:f>IF(E6=0,"",I6-L6)</x:f>
        <x:v>385300.9468298815</x:v>
      </x:c>
      <x:c r="N6" s="32" t="n">
        <x:f>IF(L6=0,"",I6/L6)</x:f>
        <x:v>1.0381538609522238</x:v>
      </x:c>
      <x:c r="O6" s="34" t="n">
        <x:f>IF(L6=0,"",M6/L6)</x:f>
        <x:v>0.03815386095222376</x:v>
      </x:c>
    </x:row>
    <x:row r="7" ht="18" customHeight="1">
      <x:c r="A7" s="24" t="str">
        <x:v>Tuna &amp; billfishes</x:v>
      </x:c>
      <x:c r="B7" s="33" t="n">
        <x:v>13</x:v>
      </x:c>
      <x:c r="C7" s="33" t="n">
        <x:v>13</x:v>
      </x:c>
      <x:c r="D7" s="31" t="n">
        <x:v>61578.9926817228</x:v>
      </x:c>
      <x:c r="E7" s="31" t="n">
        <x:v>61578.9926817228</x:v>
      </x:c>
      <x:c r="F7" s="32" t="n">
        <x:v>0</x:v>
      </x:c>
      <x:c r="G7" s="34" t="n">
        <x:v>1</x:v>
      </x:c>
      <x:c r="H7" s="32" t="n">
        <x:f>IF(E7=0,"",I7/E7)</x:f>
        <x:v>2670.2322934822673</x:v>
      </x:c>
      <x:c r="I7" s="31" t="n">
        <x:f>IF(C7=0,"",SUMIF('Species'!$H$2:$H$48,A7,'Species'!$U$2:$U$48))</x:f>
        <x:v>164430214.85884443</x:v>
      </x:c>
      <x:c r="J7" s="32" t="n">
        <x:v>4.426028661713896</x:v>
      </x:c>
      <x:c r="K7" s="32" t="n">
        <x:f>IF(J7="","",(1/'Metadata'!$B$5)^(J7-1))</x:f>
        <x:v>2667.0346724275078</x:v>
      </x:c>
      <x:c r="L7" s="31" t="n">
        <x:f>IF(E7=0,"",E7*K7)</x:f>
        <x:v>164233308.57531446</x:v>
      </x:c>
      <x:c r="M7" s="31" t="n">
        <x:f>IF(E7=0,"",I7-L7)</x:f>
        <x:v>196906.28352996707</x:v>
      </x:c>
      <x:c r="N7" s="32" t="n">
        <x:f>IF(L7=0,"",I7/L7)</x:f>
        <x:v>1.0011989424388883</x:v>
      </x:c>
      <x:c r="O7" s="34" t="n">
        <x:f>IF(L7=0,"",M7/L7)</x:f>
        <x:v>0.0011989424388882074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be52a84cabb4a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bathydemersals (&gt;=90 cm)</x:v>
      </x:c>
      <x:c r="B2" s="33" t="n">
        <x:v>1</x:v>
      </x:c>
      <x:c r="C2" s="33" t="n">
        <x:v>1</x:v>
      </x:c>
      <x:c r="D2" s="31" t="n">
        <x:v>59.05037069709999</x:v>
      </x:c>
      <x:c r="E2" s="31" t="n">
        <x:v>59.05037069709999</x:v>
      </x:c>
      <x:c r="F2" s="32" t="n">
        <x:v>0</x:v>
      </x:c>
      <x:c r="G2" s="34" t="n">
        <x:v>1</x:v>
      </x:c>
      <x:c r="H2" s="32" t="n">
        <x:f>IF(E2=0,"",I2/E2)</x:f>
        <x:v>3801.8939632056126</x:v>
      </x:c>
      <x:c r="I2" s="31" t="n">
        <x:f>IF(C2=0,"",SUMIF('Species'!$G$2:$G$48,A2,'Species'!$U$2:$U$48))</x:f>
        <x:v>224503.24787835806</x:v>
      </x:c>
      <x:c r="J2" s="32" t="n">
        <x:v>4.58</x:v>
      </x:c>
      <x:c r="K2" s="32" t="n">
        <x:f>IF(J2="","",(1/'Metadata'!$B$5)^(J2-1))</x:f>
        <x:v>3801.8939632056126</x:v>
      </x:c>
      <x:c r="L2" s="31" t="n">
        <x:f>IF(E2=0,"",E2*K2)</x:f>
        <x:v>224503.24787835806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benthopelagics (&gt;=90 cm)</x:v>
      </x:c>
      <x:c r="B3" s="33" t="n">
        <x:v>1</x:v>
      </x:c>
      <x:c r="C3" s="33" t="n">
        <x:v>1</x:v>
      </x:c>
      <x:c r="D3" s="31" t="n">
        <x:v>7.8515225071</x:v>
      </x:c>
      <x:c r="E3" s="31" t="n">
        <x:v>7.8515225071</x:v>
      </x:c>
      <x:c r="F3" s="32" t="n">
        <x:v>0</x:v>
      </x:c>
      <x:c r="G3" s="34" t="n">
        <x:v>1</x:v>
      </x:c>
      <x:c r="H3" s="32" t="n">
        <x:f>IF(E3=0,"",I3/E3)</x:f>
        <x:v>2454.7089156850284</x:v>
      </x:c>
      <x:c r="I3" s="31" t="n">
        <x:f>IF(C3=0,"",SUMIF('Species'!$G$2:$G$48,A3,'Species'!$U$2:$U$48))</x:f>
        <x:v>19273.20229988004</x:v>
      </x:c>
      <x:c r="J3" s="32" t="n">
        <x:v>4.39</x:v>
      </x:c>
      <x:c r="K3" s="32" t="n">
        <x:f>IF(J3="","",(1/'Metadata'!$B$5)^(J3-1))</x:f>
        <x:v>2454.7089156850284</x:v>
      </x:c>
      <x:c r="L3" s="31" t="n">
        <x:f>IF(E3=0,"",E3*K3)</x:f>
        <x:v>19273.20229988004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pelagics (&gt;=90 cm)</x:v>
      </x:c>
      <x:c r="B4" s="33" t="n">
        <x:v>16</x:v>
      </x:c>
      <x:c r="C4" s="33" t="n">
        <x:v>16</x:v>
      </x:c>
      <x:c r="D4" s="31" t="n">
        <x:v>62147.1873478467</x:v>
      </x:c>
      <x:c r="E4" s="31" t="n">
        <x:v>62147.1873478467</x:v>
      </x:c>
      <x:c r="F4" s="32" t="n">
        <x:v>0</x:v>
      </x:c>
      <x:c r="G4" s="34" t="n">
        <x:v>1</x:v>
      </x:c>
      <x:c r="H4" s="32" t="n">
        <x:f>IF(E4=0,"",I4/E4)</x:f>
        <x:v>2671.877070987725</x:v>
      </x:c>
      <x:c r="I4" s="31" t="n">
        <x:f>IF(C4=0,"",SUMIF('Species'!$G$2:$G$48,A4,'Species'!$U$2:$U$48))</x:f>
        <x:v>166049644.90109006</x:v>
      </x:c>
      <x:c r="J4" s="32" t="n">
        <x:v>4.426486696072705</x:v>
      </x:c>
      <x:c r="K4" s="32" t="n">
        <x:f>IF(J4="","",(1/'Metadata'!$B$5)^(J4-1))</x:f>
        <x:v>2669.848979259293</x:v>
      </x:c>
      <x:c r="L4" s="31" t="n">
        <x:f>IF(E4=0,"",E4*K4)</x:f>
        <x:v>165923604.70448458</x:v>
      </x:c>
      <x:c r="M4" s="31" t="n">
        <x:f>IF(E4=0,"",I4-L4)</x:f>
        <x:v>126040.19660547376</x:v>
      </x:c>
      <x:c r="N4" s="32" t="n">
        <x:f>IF(L4=0,"",I4/L4)</x:f>
        <x:v>1.0007596278831452</x:v>
      </x:c>
      <x:c r="O4" s="34" t="n">
        <x:f>IF(L4=0,"",M4/L4)</x:f>
        <x:v>0.0007596278831451107</x:v>
      </x:c>
    </x:row>
    <x:row r="5" ht="18" customHeight="1">
      <x:c r="A5" s="24" t="str">
        <x:v>Large reef assoc. fish (&gt;=90 cm)</x:v>
      </x:c>
      <x:c r="B5" s="33" t="n">
        <x:v>1</x:v>
      </x:c>
      <x:c r="C5" s="33" t="n">
        <x:v>1</x:v>
      </x:c>
      <x:c r="D5" s="31" t="n">
        <x:v>70.638199811</x:v>
      </x:c>
      <x:c r="E5" s="31" t="n">
        <x:v>70.638199811</x:v>
      </x:c>
      <x:c r="F5" s="32" t="n">
        <x:v>0</x:v>
      </x:c>
      <x:c r="G5" s="34" t="n">
        <x:v>1</x:v>
      </x:c>
      <x:c r="H5" s="32" t="n">
        <x:f>IF(E5=0,"",I5/E5)</x:f>
        <x:v>831.7637711026708</x:v>
      </x:c>
      <x:c r="I5" s="31" t="n">
        <x:f>IF(C5=0,"",SUMIF('Species'!$G$2:$G$48,A5,'Species'!$U$2:$U$48))</x:f>
        <x:v>58754.29545870134</x:v>
      </x:c>
      <x:c r="J5" s="32" t="n">
        <x:v>3.9199999999999995</x:v>
      </x:c>
      <x:c r="K5" s="32" t="n">
        <x:f>IF(J5="","",(1/'Metadata'!$B$5)^(J5-1))</x:f>
        <x:v>831.76377110267</x:v>
      </x:c>
      <x:c r="L5" s="31" t="n">
        <x:f>IF(E5=0,"",E5*K5)</x:f>
        <x:v>58754.29545870128</x:v>
      </x:c>
      <x:c r="M5" s="31" t="n">
        <x:f>IF(E5=0,"",I5-L5)</x:f>
        <x:v>5.820766091346741e-11</x:v>
      </x:c>
      <x:c r="N5" s="32" t="n">
        <x:f>IF(L5=0,"",I5/L5)</x:f>
        <x:v>1.0000000000000009</x:v>
      </x:c>
      <x:c r="O5" s="34" t="n">
        <x:f>IF(L5=0,"",M5/L5)</x:f>
        <x:v>9.906962624440268e-16</x:v>
      </x:c>
    </x:row>
    <x:row r="6" ht="18" customHeight="1">
      <x:c r="A6" s="24" t="str">
        <x:v>Large sharks (&gt;=90 cm)</x:v>
      </x:c>
      <x:c r="B6" s="33" t="n">
        <x:v>8</x:v>
      </x:c>
      <x:c r="C6" s="33" t="n">
        <x:v>8</x:v>
      </x:c>
      <x:c r="D6" s="31" t="n">
        <x:v>4428.4410175559005</x:v>
      </x:c>
      <x:c r="E6" s="31" t="n">
        <x:v>4428.4410175559005</x:v>
      </x:c>
      <x:c r="F6" s="32" t="n">
        <x:v>0</x:v>
      </x:c>
      <x:c r="G6" s="34" t="n">
        <x:v>1</x:v>
      </x:c>
      <x:c r="H6" s="32" t="n">
        <x:f>IF(E6=0,"",I6/E6)</x:f>
        <x:v>2367.4043561147873</x:v>
      </x:c>
      <x:c r="I6" s="31" t="n">
        <x:f>IF(C6=0,"",SUMIF('Species'!$G$2:$G$48,A6,'Species'!$U$2:$U$48))</x:f>
        <x:v>10483910.55575924</x:v>
      </x:c>
      <x:c r="J6" s="32" t="n">
        <x:v>4.358010718930325</x:v>
      </x:c>
      <x:c r="K6" s="32" t="n">
        <x:f>IF(J6="","",(1/'Metadata'!$B$5)^(J6-1))</x:f>
        <x:v>2280.398354385869</x:v>
      </x:c>
      <x:c r="L6" s="31" t="n">
        <x:f>IF(E6=0,"",E6*K6)</x:f>
        <x:v>10098609.608929358</x:v>
      </x:c>
      <x:c r="M6" s="31" t="n">
        <x:f>IF(E6=0,"",I6-L6)</x:f>
        <x:v>385300.9468298815</x:v>
      </x:c>
      <x:c r="N6" s="32" t="n">
        <x:f>IF(L6=0,"",I6/L6)</x:f>
        <x:v>1.0381538609522238</x:v>
      </x:c>
      <x:c r="O6" s="34" t="n">
        <x:f>IF(L6=0,"",M6/L6)</x:f>
        <x:v>0.03815386095222376</x:v>
      </x:c>
    </x:row>
    <x:row r="7" ht="18" customHeight="1">
      <x:c r="A7" s="24" t="str">
        <x:v>Lobsters, crabs</x:v>
      </x:c>
      <x:c r="B7" s="33" t="n">
        <x:v>2</x:v>
      </x:c>
      <x:c r="C7" s="33" t="n">
        <x:v>2</x:v>
      </x:c>
      <x:c r="D7" s="31" t="n">
        <x:v>66.01253262990001</x:v>
      </x:c>
      <x:c r="E7" s="31" t="n">
        <x:v>66.01253262990001</x:v>
      </x:c>
      <x:c r="F7" s="32" t="n">
        <x:v>0</x:v>
      </x:c>
      <x:c r="G7" s="34" t="n">
        <x:v>1</x:v>
      </x:c>
      <x:c r="H7" s="32" t="n">
        <x:f>IF(E7=0,"",I7/E7)</x:f>
        <x:v>39.810717055349734</x:v>
      </x:c>
      <x:c r="I7" s="31" t="n">
        <x:f>IF(C7=0,"",SUMIF('Species'!$G$2:$G$48,A7,'Species'!$U$2:$U$48))</x:f>
        <x:v>2628.006258635991</x:v>
      </x:c>
      <x:c r="J7" s="32" t="n">
        <x:v>2.6</x:v>
      </x:c>
      <x:c r="K7" s="32" t="n">
        <x:f>IF(J7="","",(1/'Metadata'!$B$5)^(J7-1))</x:f>
        <x:v>39.810717055349734</x:v>
      </x:c>
      <x:c r="L7" s="31" t="n">
        <x:f>IF(E7=0,"",E7*K7)</x:f>
        <x:v>2628.006258635991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Medium demersals (30 - 89 cm)</x:v>
      </x:c>
      <x:c r="B8" s="33" t="n">
        <x:v>2</x:v>
      </x:c>
      <x:c r="C8" s="33" t="n">
        <x:v>2</x:v>
      </x:c>
      <x:c r="D8" s="31" t="n">
        <x:v>670.0578683181</x:v>
      </x:c>
      <x:c r="E8" s="31" t="n">
        <x:v>670.0578683181</x:v>
      </x:c>
      <x:c r="F8" s="32" t="n">
        <x:v>0</x:v>
      </x:c>
      <x:c r="G8" s="34" t="n">
        <x:v>1</x:v>
      </x:c>
      <x:c r="H8" s="32" t="n">
        <x:f>IF(E8=0,"",I8/E8)</x:f>
        <x:v>159.0770112205705</x:v>
      </x:c>
      <x:c r="I8" s="31" t="n">
        <x:f>IF(C8=0,"",SUMIF('Species'!$G$2:$G$48,A8,'Species'!$U$2:$U$48))</x:f>
        <x:v>106590.80303686995</x:v>
      </x:c>
      <x:c r="J8" s="32" t="n">
        <x:v>3.0937591165893554</x:v>
      </x:c>
      <x:c r="K8" s="32" t="n">
        <x:f>IF(J8="","",(1/'Metadata'!$B$5)^(J8-1))</x:f>
        <x:v>124.09638104465547</x:v>
      </x:c>
      <x:c r="L8" s="31" t="n">
        <x:f>IF(E8=0,"",E8*K8)</x:f>
        <x:v>83151.75654877251</x:v>
      </x:c>
      <x:c r="M8" s="31" t="n">
        <x:f>IF(E8=0,"",I8-L8)</x:f>
        <x:v>23439.046488097447</x:v>
      </x:c>
      <x:c r="N8" s="32" t="n">
        <x:f>IF(L8=0,"",I8/L8)</x:f>
        <x:v>1.2818827582355319</x:v>
      </x:c>
      <x:c r="O8" s="34" t="n">
        <x:f>IF(L8=0,"",M8/L8)</x:f>
        <x:v>0.2818827582355319</x:v>
      </x:c>
    </x:row>
    <x:row r="9" ht="18" customHeight="1">
      <x:c r="A9" s="24" t="str">
        <x:v>Medium pelagics (30 - 89 cm)</x:v>
      </x:c>
      <x:c r="B9" s="33" t="n">
        <x:v>6</x:v>
      </x:c>
      <x:c r="C9" s="33" t="n">
        <x:v>6</x:v>
      </x:c>
      <x:c r="D9" s="31" t="n">
        <x:v>908.6085425104001</x:v>
      </x:c>
      <x:c r="E9" s="31" t="n">
        <x:v>908.6085425104001</x:v>
      </x:c>
      <x:c r="F9" s="32" t="n">
        <x:v>0</x:v>
      </x:c>
      <x:c r="G9" s="34" t="n">
        <x:v>1</x:v>
      </x:c>
      <x:c r="H9" s="32" t="n">
        <x:f>IF(E9=0,"",I9/E9)</x:f>
        <x:v>970.5658869415029</x:v>
      </x:c>
      <x:c r="I9" s="31" t="n">
        <x:f>IF(C9=0,"",SUMIF('Species'!$G$2:$G$48,A9,'Species'!$U$2:$U$48))</x:f>
        <x:v>881864.4559442326</x:v>
      </x:c>
      <x:c r="J9" s="32" t="n">
        <x:v>3.8091700483620397</x:v>
      </x:c>
      <x:c r="K9" s="32" t="n">
        <x:f>IF(J9="","",(1/'Metadata'!$B$5)^(J9-1))</x:f>
        <x:v>644.4215399074764</x:v>
      </x:c>
      <x:c r="L9" s="31" t="n">
        <x:f>IF(E9=0,"",E9*K9)</x:f>
        <x:v>585526.9161376397</x:v>
      </x:c>
      <x:c r="M9" s="31" t="n">
        <x:f>IF(E9=0,"",I9-L9)</x:f>
        <x:v>296337.539806593</x:v>
      </x:c>
      <x:c r="N9" s="32" t="n">
        <x:f>IF(L9=0,"",I9/L9)</x:f>
        <x:v>1.5061040434508957</x:v>
      </x:c>
      <x:c r="O9" s="34" t="n">
        <x:f>IF(L9=0,"",M9/L9)</x:f>
        <x:v>0.5061040434508958</x:v>
      </x:c>
    </x:row>
    <x:row r="10" ht="18" customHeight="1">
      <x:c r="A10" s="24" t="str">
        <x:v>Medium reef assoc. fish (30 - 89 cm)</x:v>
      </x:c>
      <x:c r="B10" s="33" t="n">
        <x:v>7</x:v>
      </x:c>
      <x:c r="C10" s="33" t="n">
        <x:v>7</x:v>
      </x:c>
      <x:c r="D10" s="31" t="n">
        <x:v>558.0325404468</x:v>
      </x:c>
      <x:c r="E10" s="31" t="n">
        <x:v>558.0325404468</x:v>
      </x:c>
      <x:c r="F10" s="32" t="n">
        <x:v>0</x:v>
      </x:c>
      <x:c r="G10" s="34" t="n">
        <x:v>1</x:v>
      </x:c>
      <x:c r="H10" s="32" t="n">
        <x:f>IF(E10=0,"",I10/E10)</x:f>
        <x:v>436.5877871259103</x:v>
      </x:c>
      <x:c r="I10" s="31" t="n">
        <x:f>IF(C10=0,"",SUMIF('Species'!$G$2:$G$48,A10,'Species'!$U$2:$U$48))</x:f>
        <x:v>243630.19197791847</x:v>
      </x:c>
      <x:c r="J10" s="32" t="n">
        <x:v>3.0964245174026432</x:v>
      </x:c>
      <x:c r="K10" s="32" t="n">
        <x:f>IF(J10="","",(1/'Metadata'!$B$5)^(J10-1))</x:f>
        <x:v>124.86034120850529</x:v>
      </x:c>
      <x:c r="L10" s="31" t="n">
        <x:f>IF(E10=0,"",E10*K10)</x:f>
        <x:v>69676.13340563647</x:v>
      </x:c>
      <x:c r="M10" s="31" t="n">
        <x:f>IF(E10=0,"",I10-L10)</x:f>
        <x:v>173954.058572282</x:v>
      </x:c>
      <x:c r="N10" s="32" t="n">
        <x:f>IF(L10=0,"",I10/L10)</x:f>
        <x:v>3.4966089544545524</x:v>
      </x:c>
      <x:c r="O10" s="34" t="n">
        <x:f>IF(L10=0,"",M10/L10)</x:f>
        <x:v>2.4966089544545524</x:v>
      </x:c>
    </x:row>
    <x:row r="11" ht="18" customHeight="1">
      <x:c r="A11" s="24" t="str">
        <x:v>Small pelagics (&lt;30 cm)</x:v>
      </x:c>
      <x:c r="B11" s="33" t="n">
        <x:v>3</x:v>
      </x:c>
      <x:c r="C11" s="33" t="n">
        <x:v>3</x:v>
      </x:c>
      <x:c r="D11" s="31" t="n">
        <x:v>31.953417164999998</x:v>
      </x:c>
      <x:c r="E11" s="31" t="n">
        <x:v>31.953417164999998</x:v>
      </x:c>
      <x:c r="F11" s="32" t="n">
        <x:v>0</x:v>
      </x:c>
      <x:c r="G11" s="34" t="n">
        <x:v>1</x:v>
      </x:c>
      <x:c r="H11" s="32" t="n">
        <x:f>IF(E11=0,"",I11/E11)</x:f>
        <x:v>3149.213585471263</x:v>
      </x:c>
      <x:c r="I11" s="31" t="n">
        <x:f>IF(C11=0,"",SUMIF('Species'!$G$2:$G$48,A11,'Species'!$U$2:$U$48))</x:f>
        <x:v>100628.13543824863</x:v>
      </x:c>
      <x:c r="J11" s="32" t="n">
        <x:v>4.496979094096523</x:v>
      </x:c>
      <x:c r="K11" s="32" t="n">
        <x:f>IF(J11="","",(1/'Metadata'!$B$5)^(J11-1))</x:f>
        <x:v>3140.3575208953444</x:v>
      </x:c>
      <x:c r="L11" s="31" t="n">
        <x:f>IF(E11=0,"",E11*K11)</x:f>
        <x:v>100345.15391241414</x:v>
      </x:c>
      <x:c r="M11" s="31" t="n">
        <x:f>IF(E11=0,"",I11-L11)</x:f>
        <x:v>282.98152583448973</x:v>
      </x:c>
      <x:c r="N11" s="32" t="n">
        <x:f>IF(L11=0,"",I11/L11)</x:f>
        <x:v>1.002820081636244</x:v>
      </x:c>
      <x:c r="O11" s="34" t="n">
        <x:f>IF(L11=0,"",M11/L11)</x:f>
        <x:v>0.002820081636244128</x:v>
      </x:c>
    </x:row>
  </x:sheetData>
  <x:conditionalFormatting sqref="G2:G11">
    <x:cfRule type="cellIs" dxfId="2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991e44663cb40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EEZ_219</x:v>
      </x:c>
      <x:c r="B2" s="24" t="str">
        <x:v>raw_filtered_tonnes</x:v>
      </x:c>
      <x:c r="C2" s="24" t="n">
        <x:v>68947.833359488</x:v>
      </x:c>
      <x:c r="D2" s="24" t="str">
        <x:v>tonnes</x:v>
      </x:c>
    </x:row>
    <x:row r="3" ht="18" customHeight="1">
      <x:c r="A3" s="24" t="str">
        <x:v>EEZ_219</x:v>
      </x:c>
      <x:c r="B3" s="24" t="str">
        <x:v>species_catch_tonnes</x:v>
      </x:c>
      <x:c r="C3" s="24" t="n">
        <x:v>68947.83335948801</x:v>
      </x:c>
      <x:c r="D3" s="24" t="str">
        <x:v>tonnes</x:v>
      </x:c>
    </x:row>
    <x:row r="4" ht="18" customHeight="1">
      <x:c r="A4" s="24" t="str">
        <x:v>EEZ_219</x:v>
      </x:c>
      <x:c r="B4" s="24" t="str">
        <x:v>catch_difference_tonnes</x:v>
      </x:c>
      <x:c r="C4" s="24" t="n">
        <x:v>1.4551915228366852e-11</x:v>
      </x:c>
      <x:c r="D4" s="24" t="str">
        <x:v>tonnes</x:v>
      </x:c>
    </x:row>
    <x:row r="5" ht="18" customHeight="1">
      <x:c r="A5" s="24" t="str">
        <x:v>EEZ_219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EEZ_219</x:v>
      </x:c>
      <x:c r="B6" s="24" t="str">
        <x:v>matched_catch_tonnes</x:v>
      </x:c>
      <x:c r="C6" s="24" t="n">
        <x:v>68947.83335948801</x:v>
      </x:c>
      <x:c r="D6" s="24" t="str">
        <x:v>tonnes</x:v>
      </x:c>
    </x:row>
    <x:row r="7" ht="18" customHeight="1">
      <x:c r="A7" s="24" t="str">
        <x:v>EEZ_219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EEZ_219</x:v>
      </x:c>
      <x:c r="B8" s="24" t="str">
        <x:v>taxa_count</x:v>
      </x:c>
      <x:c r="C8" s="24" t="n">
        <x:v>47</x:v>
      </x:c>
      <x:c r="D8" s="24" t="str">
        <x:v>count</x:v>
      </x:c>
    </x:row>
    <x:row r="9" ht="18" customHeight="1">
      <x:c r="A9" s="24" t="str">
        <x:v>EEZ_219</x:v>
      </x:c>
      <x:c r="B9" s="24" t="str">
        <x:v>matched_taxa_count</x:v>
      </x:c>
      <x:c r="C9" s="24" t="n">
        <x:v>47</x:v>
      </x:c>
      <x:c r="D9" s="24" t="str">
        <x:v>count</x:v>
      </x:c>
    </x:row>
    <x:row r="10" ht="18" customHeight="1">
      <x:c r="A10" s="24" t="str">
        <x:v>EEZ_219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EEZ_219</x:v>
      </x:c>
      <x:c r="B11" s="24" t="str">
        <x:v>species_ppr</x:v>
      </x:c>
      <x:c r="C11" s="24" t="n">
        <x:v>178171427.7951421</x:v>
      </x:c>
      <x:c r="D11" s="24" t="str">
        <x:v>tonnes_primary_production_equivalent</x:v>
      </x:c>
    </x:row>
    <x:row r="12" ht="18" customHeight="1">
      <x:c r="A12" s="24" t="str">
        <x:v>EEZ_219</x:v>
      </x:c>
      <x:c r="B12" s="24" t="str">
        <x:v>commercial_ppr</x:v>
      </x:c>
      <x:c r="C12" s="24" t="n">
        <x:v>178171427.7951421</x:v>
      </x:c>
      <x:c r="D12" s="24" t="str">
        <x:v>tonnes_primary_production_equivalent</x:v>
      </x:c>
    </x:row>
    <x:row r="13" ht="18" customHeight="1">
      <x:c r="A13" s="24" t="str">
        <x:v>EEZ_219</x:v>
      </x:c>
      <x:c r="B13" s="24" t="str">
        <x:v>functional_ppr</x:v>
      </x:c>
      <x:c r="C13" s="24" t="n">
        <x:v>178171427.7951421</x:v>
      </x:c>
      <x:c r="D13" s="24" t="str">
        <x:v>tonnes_primary_production_equivalent</x:v>
      </x:c>
    </x:row>
    <x:row r="14" ht="18" customHeight="1">
      <x:c r="A14" s="24" t="str">
        <x:v>EEZ_219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EEZ_219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EEZ_219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EEZ_219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EEZ_219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EEZ_219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0ef646fd34d7459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EEZ_219 - Galapagos Isl. (Ecuador)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EEZ_219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raw_data/SAU_downloads/EEZ_219-catch.zip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