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df79c6472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98435d601e432b"/>
    <x:sheet xmlns:r="http://schemas.openxmlformats.org/officeDocument/2006/relationships" name="Commercial" sheetId="2" r:id="R8c671696bde44a17"/>
    <x:sheet xmlns:r="http://schemas.openxmlformats.org/officeDocument/2006/relationships" name="Functional" sheetId="3" r:id="Rd8faef2f05174062"/>
    <x:sheet xmlns:r="http://schemas.openxmlformats.org/officeDocument/2006/relationships" name="Missing TL" sheetId="4" r:id="R79a27af7e2b84f80"/>
    <x:sheet xmlns:r="http://schemas.openxmlformats.org/officeDocument/2006/relationships" name="Validation" sheetId="5" r:id="Rb02d27543e7c416a"/>
    <x:sheet xmlns:r="http://schemas.openxmlformats.org/officeDocument/2006/relationships" name="Metadata" sheetId="6" r:id="R9fbd78c55802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1195f2e0f4abf" /><Relationship Type="http://schemas.openxmlformats.org/officeDocument/2006/relationships/theme" Target="/xl/theme/theme1.xml" Id="R6e5dc2c287b241ab" /><Relationship Type="http://schemas.microsoft.com/office/2022/11/relationships/FeaturePropertyBag" Target="/xl/featurePropertyBag/featurePropertyBag.xml" Id="R211de62e9cdf42c8" /><Relationship Type="http://schemas.openxmlformats.org/officeDocument/2006/relationships/sharedStrings" Target="/xl/sharedStrings.xml" Id="Rc50a5cdd076d48be" /><Relationship Type="http://schemas.openxmlformats.org/officeDocument/2006/relationships/worksheet" Target="/xl/worksheets/sheet1.xml" Id="R1198435d601e432b" /><Relationship Type="http://schemas.openxmlformats.org/officeDocument/2006/relationships/worksheet" Target="/xl/worksheets/sheet2.xml" Id="R8c671696bde44a17" /><Relationship Type="http://schemas.openxmlformats.org/officeDocument/2006/relationships/worksheet" Target="/xl/worksheets/sheet3.xml" Id="Rd8faef2f05174062" /><Relationship Type="http://schemas.openxmlformats.org/officeDocument/2006/relationships/worksheet" Target="/xl/worksheets/sheet4.xml" Id="R79a27af7e2b84f80" /><Relationship Type="http://schemas.openxmlformats.org/officeDocument/2006/relationships/worksheet" Target="/xl/worksheets/sheet5.xml" Id="Rb02d27543e7c416a" /><Relationship Type="http://schemas.openxmlformats.org/officeDocument/2006/relationships/worksheet" Target="/xl/worksheets/sheet6.xml" Id="R9fbd78c5580242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62SpeciesTable" displayName="EEZ162SpeciesTable" ref="A1:U14" headerRowCount="1" totalsRowCount="0" totalsRowShown="0">
  <x:autoFilter ref="A1:U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62CommercialTable" displayName="EEZ162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62FunctionalTable" displayName="EEZ162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62ValidationTable" displayName="EEZ1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3a13fd41ae48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fb485e2701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4dde27813e4e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6d7d22c50c49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EEZ_162</x:v>
      </x:c>
      <x:c r="B2" s="24" t="str">
        <x:v>Christmas Isl. (Australia)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5.264</x:v>
      </x:c>
      <x:c r="J2" s="31" t="n">
        <x:v>5.264</x:v>
      </x:c>
      <x:c r="K2" s="31" t="n">
        <x:v>0</x:v>
      </x:c>
      <x:c r="L2" s="31" t="n">
        <x:v>0</x:v>
      </x:c>
      <x:c r="M2" s="31" t="n">
        <x:v>5.264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9578.905319722948</x:v>
      </x:c>
    </x:row>
    <x:row r="3" ht="18" customHeight="1">
      <x:c r="A3" s="24" t="str">
        <x:v>EEZ_162</x:v>
      </x:c>
      <x:c r="B3" s="24" t="str">
        <x:v>Christmas Isl. (Australia)</x:v>
      </x:c>
      <x:c r="C3" s="24" t="str">
        <x:v>EEZ</x:v>
      </x:c>
      <x:c r="D3" s="30" t="n">
        <x:v>2019</x:v>
      </x:c>
      <x:c r="E3" s="24" t="str">
        <x:v>Miscellaneous marine crustaceans</x:v>
      </x:c>
      <x:c r="F3" s="24" t="str">
        <x:v>Marine crabs, shrimps, lobsters nei</x:v>
      </x:c>
      <x:c r="G3" s="24" t="str">
        <x:v>Shrimps</x:v>
      </x:c>
      <x:c r="H3" s="24" t="str">
        <x:v>Crustaceans</x:v>
      </x:c>
      <x:c r="I3" s="31" t="n">
        <x:v>4.821975983</x:v>
      </x:c>
      <x:c r="J3" s="31" t="n">
        <x:v>4.821975983</x:v>
      </x:c>
      <x:c r="K3" s="31" t="n">
        <x:v>0</x:v>
      </x:c>
      <x:c r="L3" s="31" t="n">
        <x:v>0</x:v>
      </x:c>
      <x:c r="M3" s="31" t="n">
        <x:v>4.821975983</x:v>
      </x:c>
      <x:c r="N3" s="24" t="str">
        <x:v>miscellaneous marine crustaceans</x:v>
      </x:c>
      <x:c r="O3" s="32" t="n">
        <x:v>2.7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Miscellaneous marine crustaceans</x:v>
      </x:c>
      <x:c r="T3" s="32" t="n">
        <x:f>IF(O3="","",(1/'Metadata'!$B$5)^(O3-1))</x:f>
        <x:v>50.11872336272725</x:v>
      </x:c>
      <x:c r="U3" s="31" t="n">
        <x:f>IF(T3="","",I3*T3)</x:f>
        <x:v>241.6712803536918</x:v>
      </x:c>
    </x:row>
    <x:row r="4" ht="18" customHeight="1">
      <x:c r="A4" s="24" t="str">
        <x:v>EEZ_162</x:v>
      </x:c>
      <x:c r="B4" s="24" t="str">
        <x:v>Christmas Isl. (Australia)</x:v>
      </x:c>
      <x:c r="C4" s="24" t="str">
        <x:v>EEZ</x:v>
      </x:c>
      <x:c r="D4" s="30" t="n">
        <x:v>2019</x:v>
      </x:c>
      <x:c r="E4" s="24" t="str">
        <x:v>Miscellaneous aquatic invertebrates</x:v>
      </x:c>
      <x:c r="F4" s="24" t="str">
        <x:v>Aquatic invertebrates</x:v>
      </x:c>
      <x:c r="G4" s="24" t="str">
        <x:v>Other demersal invertebrates</x:v>
      </x:c>
      <x:c r="H4" s="24" t="str">
        <x:v>Other fishes &amp; inverts</x:v>
      </x:c>
      <x:c r="I4" s="31" t="n">
        <x:v>2.8931855890000002</x:v>
      </x:c>
      <x:c r="J4" s="31" t="n">
        <x:v>2.8931855890000002</x:v>
      </x:c>
      <x:c r="K4" s="31" t="n">
        <x:v>0</x:v>
      </x:c>
      <x:c r="L4" s="31" t="n">
        <x:v>0</x:v>
      </x:c>
      <x:c r="M4" s="31" t="n">
        <x:v>2.8931855890000002</x:v>
      </x:c>
      <x:c r="N4" s="24" t="str">
        <x:v>miscellaneous aquatic invertebrates</x:v>
      </x:c>
      <x:c r="O4" s="32" t="n">
        <x:v>2.43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Miscellaneous aquatic invertebrates</x:v>
      </x:c>
      <x:c r="T4" s="32" t="n">
        <x:f>IF(O4="","",(1/'Metadata'!$B$5)^(O4-1))</x:f>
        <x:v>26.915348039269166</x:v>
      </x:c>
      <x:c r="U4" s="31" t="n">
        <x:f>IF(T4="","",I4*T4)</x:f>
        <x:v>77.87109707013296</x:v>
      </x:c>
    </x:row>
    <x:row r="5" ht="18" customHeight="1">
      <x:c r="A5" s="24" t="str">
        <x:v>EEZ_162</x:v>
      </x:c>
      <x:c r="B5" s="24" t="str">
        <x:v>Christmas Isl. (Australia)</x:v>
      </x:c>
      <x:c r="C5" s="24" t="str">
        <x:v>EEZ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1.653248909</x:v>
      </x:c>
      <x:c r="J5" s="31" t="n">
        <x:v>1.653248909</x:v>
      </x:c>
      <x:c r="K5" s="31" t="n">
        <x:v>0</x:v>
      </x:c>
      <x:c r="L5" s="31" t="n">
        <x:v>0</x:v>
      </x:c>
      <x:c r="M5" s="31" t="n">
        <x:v>1.653248909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1854.9757854525865</x:v>
      </x:c>
    </x:row>
    <x:row r="6" ht="18" customHeight="1">
      <x:c r="A6" s="24" t="str">
        <x:v>EEZ_162</x:v>
      </x:c>
      <x:c r="B6" s="24" t="str">
        <x:v>Christmas Isl. (Australia)</x:v>
      </x:c>
      <x:c r="C6" s="24" t="str">
        <x:v>EEZ</x:v>
      </x:c>
      <x:c r="D6" s="30" t="n">
        <x:v>2019</x:v>
      </x:c>
      <x:c r="E6" s="24" t="str">
        <x:v>Latidae</x:v>
      </x:c>
      <x:c r="F6" s="24" t="str">
        <x:v>Lates perches</x:v>
      </x:c>
      <x:c r="G6" s="24" t="str">
        <x:v>Large demersals (&gt;=90 cm)</x:v>
      </x:c>
      <x:c r="H6" s="24" t="str">
        <x:v>Perch-likes</x:v>
      </x:c>
      <x:c r="I6" s="31" t="n">
        <x:v>1.653248909</x:v>
      </x:c>
      <x:c r="J6" s="31" t="n">
        <x:v>1.653248909</x:v>
      </x:c>
      <x:c r="K6" s="31" t="n">
        <x:v>0</x:v>
      </x:c>
      <x:c r="L6" s="31" t="n">
        <x:v>0</x:v>
      </x:c>
      <x:c r="M6" s="31" t="n">
        <x:v>1.653248909</x:v>
      </x:c>
      <x:c r="N6" s="24" t="str">
        <x:v>latidae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Latidae</x:v>
      </x:c>
      <x:c r="T6" s="32" t="n">
        <x:f>IF(O6="","",(1/'Metadata'!$B$5)^(O6-1))</x:f>
        <x:v>2238.7211385683377</x:v>
      </x:c>
      <x:c r="U6" s="31" t="n">
        <x:f>IF(T6="","",I6*T6)</x:f>
        <x:v>3701.163279893342</x:v>
      </x:c>
    </x:row>
    <x:row r="7" ht="18" customHeight="1">
      <x:c r="A7" s="24" t="str">
        <x:v>EEZ_162</x:v>
      </x:c>
      <x:c r="B7" s="24" t="str">
        <x:v>Christmas Isl. (Australia)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1.653248909</x:v>
      </x:c>
      <x:c r="J7" s="31" t="n">
        <x:v>1.653248909</x:v>
      </x:c>
      <x:c r="K7" s="31" t="n">
        <x:v>0</x:v>
      </x:c>
      <x:c r="L7" s="31" t="n">
        <x:v>0</x:v>
      </x:c>
      <x:c r="M7" s="31" t="n">
        <x:v>1.653248909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1578.8404509430277</x:v>
      </x:c>
    </x:row>
    <x:row r="8" ht="18" customHeight="1">
      <x:c r="A8" s="24" t="str">
        <x:v>EEZ_162</x:v>
      </x:c>
      <x:c r="B8" s="24" t="str">
        <x:v>Christmas Isl. (Australia)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1.6532489080000001</x:v>
      </x:c>
      <x:c r="J8" s="31" t="n">
        <x:v>1.6532489080000001</x:v>
      </x:c>
      <x:c r="K8" s="31" t="n">
        <x:v>0</x:v>
      </x:c>
      <x:c r="L8" s="31" t="n">
        <x:v>0</x:v>
      </x:c>
      <x:c r="M8" s="31" t="n">
        <x:v>1.6532489080000001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1731.1641286007734</x:v>
      </x:c>
    </x:row>
    <x:row r="9" ht="18" customHeight="1">
      <x:c r="A9" s="24" t="str">
        <x:v>EEZ_162</x:v>
      </x:c>
      <x:c r="B9" s="24" t="str">
        <x:v>Christmas Isl. (Australia)</x:v>
      </x:c>
      <x:c r="C9" s="24" t="str">
        <x:v>EEZ</x:v>
      </x:c>
      <x:c r="D9" s="30" t="n">
        <x:v>2019</x:v>
      </x:c>
      <x:c r="E9" s="24" t="str">
        <x:v>Gerreidae</x:v>
      </x:c>
      <x:c r="F9" s="24" t="str">
        <x:v>Mojarras, silverbellies</x:v>
      </x:c>
      <x:c r="G9" s="24" t="str">
        <x:v>Small benthopelagics (&lt;30 cm)</x:v>
      </x:c>
      <x:c r="H9" s="24" t="str">
        <x:v>Perch-likes</x:v>
      </x:c>
      <x:c r="I9" s="31" t="n">
        <x:v>1.653248908</x:v>
      </x:c>
      <x:c r="J9" s="31" t="n">
        <x:v>1.653248908</x:v>
      </x:c>
      <x:c r="K9" s="31" t="n">
        <x:v>0</x:v>
      </x:c>
      <x:c r="L9" s="31" t="n">
        <x:v>0</x:v>
      </x:c>
      <x:c r="M9" s="31" t="n">
        <x:v>1.653248908</x:v>
      </x:c>
      <x:c r="N9" s="24" t="str">
        <x:v>gerreidae</x:v>
      </x:c>
      <x:c r="O9" s="32" t="n">
        <x:v>3.03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Gerreidae</x:v>
      </x:c>
      <x:c r="T9" s="32" t="n">
        <x:f>IF(O9="","",(1/'Metadata'!$B$5)^(O9-1))</x:f>
        <x:v>107.1519305237606</x:v>
      </x:c>
      <x:c r="U9" s="31" t="n">
        <x:f>IF(T9="","",I9*T9)</x:f>
        <x:v>177.14881212849906</x:v>
      </x:c>
    </x:row>
    <x:row r="10" ht="18" customHeight="1">
      <x:c r="A10" s="24" t="str">
        <x:v>EEZ_162</x:v>
      </x:c>
      <x:c r="B10" s="24" t="str">
        <x:v>Christmas Isl. (Australia)</x:v>
      </x:c>
      <x:c r="C10" s="24" t="str">
        <x:v>EEZ</x:v>
      </x:c>
      <x:c r="D10" s="30" t="n">
        <x:v>2019</x:v>
      </x:c>
      <x:c r="E10" s="24" t="str">
        <x:v>Labridae</x:v>
      </x:c>
      <x:c r="F10" s="24" t="str">
        <x:v>Wrasses, gropers, tuskfishes</x:v>
      </x:c>
      <x:c r="G10" s="24" t="str">
        <x:v>Medium reef assoc. fish (30 - 89 cm)</x:v>
      </x:c>
      <x:c r="H10" s="24" t="str">
        <x:v>Perch-likes</x:v>
      </x:c>
      <x:c r="I10" s="31" t="n">
        <x:v>1.653248908</x:v>
      </x:c>
      <x:c r="J10" s="31" t="n">
        <x:v>1.653248908</x:v>
      </x:c>
      <x:c r="K10" s="31" t="n">
        <x:v>0</x:v>
      </x:c>
      <x:c r="L10" s="31" t="n">
        <x:v>0</x:v>
      </x:c>
      <x:c r="M10" s="31" t="n">
        <x:v>1.653248908</x:v>
      </x:c>
      <x:c r="N10" s="24" t="str">
        <x:v>labridae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Labridae</x:v>
      </x:c>
      <x:c r="T10" s="32" t="n">
        <x:f>IF(O10="","",(1/'Metadata'!$B$5)^(O10-1))</x:f>
        <x:v>288.40315031266056</x:v>
      </x:c>
      <x:c r="U10" s="31" t="n">
        <x:f>IF(T10="","",I10*T10)</x:f>
        <x:v>476.8021933181659</x:v>
      </x:c>
    </x:row>
    <x:row r="11" ht="18" customHeight="1">
      <x:c r="A11" s="24" t="str">
        <x:v>EEZ_162</x:v>
      </x:c>
      <x:c r="B11" s="24" t="str">
        <x:v>Christmas Isl. (Australia)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1.653248908</x:v>
      </x:c>
      <x:c r="J11" s="31" t="n">
        <x:v>1.653248908</x:v>
      </x:c>
      <x:c r="K11" s="31" t="n">
        <x:v>0</x:v>
      </x:c>
      <x:c r="L11" s="31" t="n">
        <x:v>0</x:v>
      </x:c>
      <x:c r="M11" s="31" t="n">
        <x:v>1.653248908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643.1884611244958</x:v>
      </x:c>
    </x:row>
    <x:row r="12" ht="18" customHeight="1">
      <x:c r="A12" s="24" t="str">
        <x:v>EEZ_162</x:v>
      </x:c>
      <x:c r="B12" s="24" t="str">
        <x:v>Christmas Isl. (Australia)</x:v>
      </x:c>
      <x:c r="C12" s="24" t="str">
        <x:v>EEZ</x:v>
      </x:c>
      <x:c r="D12" s="30" t="n">
        <x:v>2019</x:v>
      </x:c>
      <x:c r="E12" s="24" t="str">
        <x:v>Etelis coruscans</x:v>
      </x:c>
      <x:c r="F12" s="24" t="str">
        <x:v>Deepwater longtail red snapper</x:v>
      </x:c>
      <x:c r="G12" s="24" t="str">
        <x:v>Large bathydemersals (&gt;=90 cm)</x:v>
      </x:c>
      <x:c r="H12" s="24" t="str">
        <x:v>Perch-likes</x:v>
      </x:c>
      <x:c r="I12" s="31" t="n">
        <x:v>0.42</x:v>
      </x:c>
      <x:c r="J12" s="31" t="n">
        <x:v>0.42</x:v>
      </x:c>
      <x:c r="K12" s="31" t="n">
        <x:v>0</x:v>
      </x:c>
      <x:c r="L12" s="31" t="n">
        <x:v>0</x:v>
      </x:c>
      <x:c r="M12" s="31" t="n">
        <x:v>0.42</x:v>
      </x:c>
      <x:c r="N12" s="24" t="str">
        <x:v>etelis coruscans</x:v>
      </x:c>
      <x:c r="O12" s="32" t="n">
        <x:v>4.42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Etelis coruscans</x:v>
      </x:c>
      <x:c r="T12" s="32" t="n">
        <x:f>IF(O12="","",(1/'Metadata'!$B$5)^(O12-1))</x:f>
        <x:v>2630.2679918953813</x:v>
      </x:c>
      <x:c r="U12" s="31" t="n">
        <x:f>IF(T12="","",I12*T12)</x:f>
        <x:v>1104.71255659606</x:v>
      </x:c>
    </x:row>
    <x:row r="13" ht="18" customHeight="1">
      <x:c r="A13" s="24" t="str">
        <x:v>EEZ_162</x:v>
      </x:c>
      <x:c r="B13" s="24" t="str">
        <x:v>Christmas Isl. (Australia)</x:v>
      </x:c>
      <x:c r="C13" s="24" t="str">
        <x:v>EEZ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0.329</x:v>
      </x:c>
      <x:c r="J13" s="31" t="n">
        <x:v>0.329</x:v>
      </x:c>
      <x:c r="K13" s="31" t="n">
        <x:v>0</x:v>
      </x:c>
      <x:c r="L13" s="31" t="n">
        <x:v>0</x:v>
      </x:c>
      <x:c r="M13" s="31" t="n">
        <x:v>0.329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771.2512802402547</x:v>
      </x:c>
    </x:row>
    <x:row r="14" ht="18" customHeight="1">
      <x:c r="A14" s="24" t="str">
        <x:v>EEZ_162</x:v>
      </x:c>
      <x:c r="B14" s="24" t="str">
        <x:v>Christmas Isl. (Australia)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0.329</x:v>
      </x:c>
      <x:c r="J14" s="31" t="n">
        <x:v>0.329</x:v>
      </x:c>
      <x:c r="K14" s="31" t="n">
        <x:v>0</x:v>
      </x:c>
      <x:c r="L14" s="31" t="n">
        <x:v>0</x:v>
      </x:c>
      <x:c r="M14" s="31" t="n">
        <x:v>0.329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598.6815824826842</x:v>
      </x:c>
    </x:row>
  </x:sheetData>
  <x:conditionalFormatting sqref="R2:R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03a13fd41ae48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4.821975983</x:v>
      </x:c>
      <x:c r="E2" s="31" t="n">
        <x:v>4.821975983</x:v>
      </x:c>
      <x:c r="F2" s="32" t="n">
        <x:v>0</x:v>
      </x:c>
      <x:c r="G2" s="34" t="n">
        <x:v>1</x:v>
      </x:c>
      <x:c r="H2" s="32" t="n">
        <x:f>IF(E2=0,"",I2/E2)</x:f>
        <x:v>50.11872336272725</x:v>
      </x:c>
      <x:c r="I2" s="31" t="n">
        <x:f>IF(C2=0,"",SUMIF('Species'!$H$2:$H$14,A2,'Species'!$U$2:$U$14))</x:f>
        <x:v>241.6712803536918</x:v>
      </x:c>
      <x:c r="J2" s="32" t="n">
        <x:v>2.7</x:v>
      </x:c>
      <x:c r="K2" s="32" t="n">
        <x:f>IF(J2="","",(1/'Metadata'!$B$5)^(J2-1))</x:f>
        <x:v>50.11872336272725</x:v>
      </x:c>
      <x:c r="L2" s="31" t="n">
        <x:f>IF(E2=0,"",E2*K2)</x:f>
        <x:v>241.6712803536918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1</x:v>
      </x:c>
      <x:c r="C3" s="33" t="n">
        <x:v>1</x:v>
      </x:c>
      <x:c r="D3" s="31" t="n">
        <x:v>2.8931855890000002</x:v>
      </x:c>
      <x:c r="E3" s="31" t="n">
        <x:v>2.8931855890000002</x:v>
      </x:c>
      <x:c r="F3" s="32" t="n">
        <x:v>0</x:v>
      </x:c>
      <x:c r="G3" s="34" t="n">
        <x:v>1</x:v>
      </x:c>
      <x:c r="H3" s="32" t="n">
        <x:f>IF(E3=0,"",I3/E3)</x:f>
        <x:v>26.915348039269166</x:v>
      </x:c>
      <x:c r="I3" s="31" t="n">
        <x:f>IF(C3=0,"",SUMIF('Species'!$H$2:$H$14,A3,'Species'!$U$2:$U$14))</x:f>
        <x:v>77.87109707013296</x:v>
      </x:c>
      <x:c r="J3" s="32" t="n">
        <x:v>2.43</x:v>
      </x:c>
      <x:c r="K3" s="32" t="n">
        <x:f>IF(J3="","",(1/'Metadata'!$B$5)^(J3-1))</x:f>
        <x:v>26.915348039269166</x:v>
      </x:c>
      <x:c r="L3" s="31" t="n">
        <x:f>IF(E3=0,"",E3*K3)</x:f>
        <x:v>77.87109707013296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Perch-likes</x:v>
      </x:c>
      <x:c r="B4" s="33" t="n">
        <x:v>11</x:v>
      </x:c>
      <x:c r="C4" s="33" t="n">
        <x:v>11</x:v>
      </x:c>
      <x:c r="D4" s="31" t="n">
        <x:v>17.914742359</x:v>
      </x:c>
      <x:c r="E4" s="31" t="n">
        <x:v>17.914742359</x:v>
      </x:c>
      <x:c r="F4" s="32" t="n">
        <x:v>0</x:v>
      </x:c>
      <x:c r="G4" s="34" t="n">
        <x:v>1</x:v>
      </x:c>
      <x:c r="H4" s="32" t="n">
        <x:f>IF(E4=0,"",I4/E4)</x:f>
        <x:v>1240.1425264897296</x:v>
      </x:c>
      <x:c r="I4" s="31" t="n">
        <x:f>IF(C4=0,"",SUMIF('Species'!$H$2:$H$14,A4,'Species'!$U$2:$U$14))</x:f>
        <x:v>22216.83385050284</x:v>
      </x:c>
      <x:c r="J4" s="32" t="n">
        <x:v>3.957541765070493</x:v>
      </x:c>
      <x:c r="K4" s="32" t="n">
        <x:f>IF(J4="","",(1/'Metadata'!$B$5)^(J4-1))</x:f>
        <x:v>906.863171271367</x:v>
      </x:c>
      <x:c r="L4" s="31" t="n">
        <x:f>IF(E4=0,"",E4*K4)</x:f>
        <x:v>16246.220068192233</x:v>
      </x:c>
      <x:c r="M4" s="31" t="n">
        <x:f>IF(E4=0,"",I4-L4)</x:f>
        <x:v>5970.613782310607</x:v>
      </x:c>
      <x:c r="N4" s="32" t="n">
        <x:f>IF(L4=0,"",I4/L4)</x:f>
        <x:v>1.367507873046741</x:v>
      </x:c>
      <x:c r="O4" s="34" t="n">
        <x:f>IF(L4=0,"",M4/L4)</x:f>
        <x:v>0.36750787304674104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5fb485e2701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0.42</x:v>
      </x:c>
      <x:c r="E2" s="31" t="n">
        <x:v>0.42</x:v>
      </x:c>
      <x:c r="F2" s="32" t="n">
        <x:v>0</x:v>
      </x:c>
      <x:c r="G2" s="34" t="n">
        <x:v>1</x:v>
      </x:c>
      <x:c r="H2" s="32" t="n">
        <x:f>IF(E2=0,"",I2/E2)</x:f>
        <x:v>2630.2679918953813</x:v>
      </x:c>
      <x:c r="I2" s="31" t="n">
        <x:f>IF(C2=0,"",SUMIF('Species'!$G$2:$G$14,A2,'Species'!$U$2:$U$14))</x:f>
        <x:v>1104.71255659606</x:v>
      </x:c>
      <x:c r="J2" s="32" t="n">
        <x:v>4.42</x:v>
      </x:c>
      <x:c r="K2" s="32" t="n">
        <x:f>IF(J2="","",(1/'Metadata'!$B$5)^(J2-1))</x:f>
        <x:v>2630.2679918953813</x:v>
      </x:c>
      <x:c r="L2" s="31" t="n">
        <x:f>IF(E2=0,"",E2*K2)</x:f>
        <x:v>1104.71255659606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1.653248909</x:v>
      </x:c>
      <x:c r="E3" s="31" t="n">
        <x:v>1.653248909</x:v>
      </x:c>
      <x:c r="F3" s="32" t="n">
        <x:v>0</x:v>
      </x:c>
      <x:c r="G3" s="34" t="n">
        <x:v>1</x:v>
      </x:c>
      <x:c r="H3" s="32" t="n">
        <x:f>IF(E3=0,"",I3/E3)</x:f>
        <x:v>2238.7211385683377</x:v>
      </x:c>
      <x:c r="I3" s="31" t="n">
        <x:f>IF(C3=0,"",SUMIF('Species'!$G$2:$G$14,A3,'Species'!$U$2:$U$14))</x:f>
        <x:v>3701.163279893342</x:v>
      </x:c>
      <x:c r="J3" s="32" t="n">
        <x:v>4.35</x:v>
      </x:c>
      <x:c r="K3" s="32" t="n">
        <x:f>IF(J3="","",(1/'Metadata'!$B$5)^(J3-1))</x:f>
        <x:v>2238.7211385683377</x:v>
      </x:c>
      <x:c r="L3" s="31" t="n">
        <x:f>IF(E3=0,"",E3*K3)</x:f>
        <x:v>3701.163279893342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2</x:v>
      </x:c>
      <x:c r="C4" s="33" t="n">
        <x:v>2</x:v>
      </x:c>
      <x:c r="D4" s="31" t="n">
        <x:v>5.593</x:v>
      </x:c>
      <x:c r="E4" s="31" t="n">
        <x:v>5.593</x:v>
      </x:c>
      <x:c r="F4" s="32" t="n">
        <x:v>0</x:v>
      </x:c>
      <x:c r="G4" s="34" t="n">
        <x:v>1</x:v>
      </x:c>
      <x:c r="H4" s="32" t="n">
        <x:f>IF(E4=0,"",I4/E4)</x:f>
        <x:v>1850.5554442988025</x:v>
      </x:c>
      <x:c r="I4" s="31" t="n">
        <x:f>IF(C4=0,"",SUMIF('Species'!$G$2:$G$14,A4,'Species'!$U$2:$U$14))</x:f>
        <x:v>10350.156599963202</x:v>
      </x:c>
      <x:c r="J4" s="32" t="n">
        <x:v>4.266470588235294</x:v>
      </x:c>
      <x:c r="K4" s="32" t="n">
        <x:f>IF(J4="","",(1/'Metadata'!$B$5)^(J4-1))</x:f>
        <x:v>1847.0157050612995</x:v>
      </x:c>
      <x:c r="L4" s="31" t="n">
        <x:f>IF(E4=0,"",E4*K4)</x:f>
        <x:v>10330.358838407848</x:v>
      </x:c>
      <x:c r="M4" s="31" t="n">
        <x:f>IF(E4=0,"",I4-L4)</x:f>
        <x:v>19.797761555353645</x:v>
      </x:c>
      <x:c r="N4" s="32" t="n">
        <x:f>IF(L4=0,"",I4/L4)</x:f>
        <x:v>1.0019164640710976</x:v>
      </x:c>
      <x:c r="O4" s="34" t="n">
        <x:f>IF(L4=0,"",M4/L4)</x:f>
        <x:v>0.0019164640710975483</x:v>
      </x:c>
    </x:row>
    <x:row r="5" ht="18" customHeight="1">
      <x:c r="A5" s="24" t="str">
        <x:v>Medium pelagics (30 - 89 cm)</x:v>
      </x:c>
      <x:c r="B5" s="33" t="n">
        <x:v>2</x:v>
      </x:c>
      <x:c r="C5" s="33" t="n">
        <x:v>2</x:v>
      </x:c>
      <x:c r="D5" s="31" t="n">
        <x:v>1.982248909</x:v>
      </x:c>
      <x:c r="E5" s="31" t="n">
        <x:v>1.982248909</x:v>
      </x:c>
      <x:c r="F5" s="32" t="n">
        <x:v>0</x:v>
      </x:c>
      <x:c r="G5" s="34" t="n">
        <x:v>1</x:v>
      </x:c>
      <x:c r="H5" s="32" t="n">
        <x:f>IF(E5=0,"",I5/E5)</x:f>
        <x:v>1237.8149670280739</x:v>
      </x:c>
      <x:c r="I5" s="31" t="n">
        <x:f>IF(C5=0,"",SUMIF('Species'!$G$2:$G$14,A5,'Species'!$U$2:$U$14))</x:f>
        <x:v>2453.6573679352705</x:v>
      </x:c>
      <x:c r="J5" s="32" t="n">
        <x:v>4.084854351381559</x:v>
      </x:c>
      <x:c r="K5" s="32" t="n">
        <x:f>IF(J5="","",(1/'Metadata'!$B$5)^(J5-1))</x:f>
        <x:v>1215.7781987548178</x:v>
      </x:c>
      <x:c r="L5" s="31" t="n">
        <x:f>IF(E5=0,"",E5*K5)</x:f>
        <x:v>2409.9750080677227</x:v>
      </x:c>
      <x:c r="M5" s="31" t="n">
        <x:f>IF(E5=0,"",I5-L5)</x:f>
        <x:v>43.6823598675478</x:v>
      </x:c>
      <x:c r="N5" s="32" t="n">
        <x:f>IF(L5=0,"",I5/L5)</x:f>
        <x:v>1.0181256484906753</x:v>
      </x:c>
      <x:c r="O5" s="34" t="n">
        <x:f>IF(L5=0,"",M5/L5)</x:f>
        <x:v>0.018125648490675255</x:v>
      </x:c>
    </x:row>
    <x:row r="6" ht="18" customHeight="1">
      <x:c r="A6" s="24" t="str">
        <x:v>Medium reef assoc. fish (30 - 89 cm)</x:v>
      </x:c>
      <x:c r="B6" s="33" t="n">
        <x:v>4</x:v>
      </x:c>
      <x:c r="C6" s="33" t="n">
        <x:v>4</x:v>
      </x:c>
      <x:c r="D6" s="31" t="n">
        <x:v>6.612995633000001</x:v>
      </x:c>
      <x:c r="E6" s="31" t="n">
        <x:v>6.612995633000001</x:v>
      </x:c>
      <x:c r="F6" s="32" t="n">
        <x:v>0</x:v>
      </x:c>
      <x:c r="G6" s="34" t="n">
        <x:v>1</x:v>
      </x:c>
      <x:c r="H6" s="32" t="n">
        <x:f>IF(E6=0,"",I6/E6)</x:f>
        <x:v>669.8923573879308</x:v>
      </x:c>
      <x:c r="I6" s="31" t="n">
        <x:f>IF(C6=0,"",SUMIF('Species'!$G$2:$G$14,A6,'Species'!$U$2:$U$14))</x:f>
        <x:v>4429.995233986462</x:v>
      </x:c>
      <x:c r="J6" s="32" t="n">
        <x:v>3.762500000032889</x:v>
      </x:c>
      <x:c r="K6" s="32" t="n">
        <x:f>IF(J6="","",(1/'Metadata'!$B$5)^(J6-1))</x:f>
        <x:v>578.7619883929501</x:v>
      </x:c>
      <x:c r="L6" s="31" t="n">
        <x:f>IF(E6=0,"",E6*K6)</x:f>
        <x:v>3827.350501788976</x:v>
      </x:c>
      <x:c r="M6" s="31" t="n">
        <x:f>IF(E6=0,"",I6-L6)</x:f>
        <x:v>602.6447321974861</x:v>
      </x:c>
      <x:c r="N6" s="32" t="n">
        <x:f>IF(L6=0,"",I6/L6)</x:f>
        <x:v>1.1574574191508717</x:v>
      </x:c>
      <x:c r="O6" s="34" t="n">
        <x:f>IF(L6=0,"",M6/L6)</x:f>
        <x:v>0.15745741915087175</x:v>
      </x:c>
    </x:row>
    <x:row r="7" ht="18" customHeight="1">
      <x:c r="A7" s="24" t="str">
        <x:v>Other demersal invertebrates</x:v>
      </x:c>
      <x:c r="B7" s="33" t="n">
        <x:v>1</x:v>
      </x:c>
      <x:c r="C7" s="33" t="n">
        <x:v>1</x:v>
      </x:c>
      <x:c r="D7" s="31" t="n">
        <x:v>2.8931855890000002</x:v>
      </x:c>
      <x:c r="E7" s="31" t="n">
        <x:v>2.8931855890000002</x:v>
      </x:c>
      <x:c r="F7" s="32" t="n">
        <x:v>0</x:v>
      </x:c>
      <x:c r="G7" s="34" t="n">
        <x:v>1</x:v>
      </x:c>
      <x:c r="H7" s="32" t="n">
        <x:f>IF(E7=0,"",I7/E7)</x:f>
        <x:v>26.915348039269166</x:v>
      </x:c>
      <x:c r="I7" s="31" t="n">
        <x:f>IF(C7=0,"",SUMIF('Species'!$G$2:$G$14,A7,'Species'!$U$2:$U$14))</x:f>
        <x:v>77.87109707013296</x:v>
      </x:c>
      <x:c r="J7" s="32" t="n">
        <x:v>2.43</x:v>
      </x:c>
      <x:c r="K7" s="32" t="n">
        <x:f>IF(J7="","",(1/'Metadata'!$B$5)^(J7-1))</x:f>
        <x:v>26.915348039269166</x:v>
      </x:c>
      <x:c r="L7" s="31" t="n">
        <x:f>IF(E7=0,"",E7*K7)</x:f>
        <x:v>77.87109707013296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Shrimps</x:v>
      </x:c>
      <x:c r="B8" s="33" t="n">
        <x:v>1</x:v>
      </x:c>
      <x:c r="C8" s="33" t="n">
        <x:v>1</x:v>
      </x:c>
      <x:c r="D8" s="31" t="n">
        <x:v>4.821975983</x:v>
      </x:c>
      <x:c r="E8" s="31" t="n">
        <x:v>4.821975983</x:v>
      </x:c>
      <x:c r="F8" s="32" t="n">
        <x:v>0</x:v>
      </x:c>
      <x:c r="G8" s="34" t="n">
        <x:v>1</x:v>
      </x:c>
      <x:c r="H8" s="32" t="n">
        <x:f>IF(E8=0,"",I8/E8)</x:f>
        <x:v>50.11872336272725</x:v>
      </x:c>
      <x:c r="I8" s="31" t="n">
        <x:f>IF(C8=0,"",SUMIF('Species'!$G$2:$G$14,A8,'Species'!$U$2:$U$14))</x:f>
        <x:v>241.6712803536918</x:v>
      </x:c>
      <x:c r="J8" s="32" t="n">
        <x:v>2.7</x:v>
      </x:c>
      <x:c r="K8" s="32" t="n">
        <x:f>IF(J8="","",(1/'Metadata'!$B$5)^(J8-1))</x:f>
        <x:v>50.11872336272725</x:v>
      </x:c>
      <x:c r="L8" s="31" t="n">
        <x:f>IF(E8=0,"",E8*K8)</x:f>
        <x:v>241.6712803536918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benthopelagics (&lt;30 cm)</x:v>
      </x:c>
      <x:c r="B9" s="33" t="n">
        <x:v>1</x:v>
      </x:c>
      <x:c r="C9" s="33" t="n">
        <x:v>1</x:v>
      </x:c>
      <x:c r="D9" s="31" t="n">
        <x:v>1.653248908</x:v>
      </x:c>
      <x:c r="E9" s="31" t="n">
        <x:v>1.653248908</x:v>
      </x:c>
      <x:c r="F9" s="32" t="n">
        <x:v>0</x:v>
      </x:c>
      <x:c r="G9" s="34" t="n">
        <x:v>1</x:v>
      </x:c>
      <x:c r="H9" s="32" t="n">
        <x:f>IF(E9=0,"",I9/E9)</x:f>
        <x:v>107.1519305237606</x:v>
      </x:c>
      <x:c r="I9" s="31" t="n">
        <x:f>IF(C9=0,"",SUMIF('Species'!$G$2:$G$14,A9,'Species'!$U$2:$U$14))</x:f>
        <x:v>177.14881212849906</x:v>
      </x:c>
      <x:c r="J9" s="32" t="n">
        <x:v>3.03</x:v>
      </x:c>
      <x:c r="K9" s="32" t="n">
        <x:f>IF(J9="","",(1/'Metadata'!$B$5)^(J9-1))</x:f>
        <x:v>107.1519305237606</x:v>
      </x:c>
      <x:c r="L9" s="31" t="n">
        <x:f>IF(E9=0,"",E9*K9)</x:f>
        <x:v>177.14881212849906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4dde27813e4e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EEZ_162</x:v>
      </x:c>
      <x:c r="B2" s="24" t="str">
        <x:v>raw_filtered_tonnes</x:v>
      </x:c>
      <x:c r="C2" s="24" t="n">
        <x:v>25.629903931000005</x:v>
      </x:c>
      <x:c r="D2" s="24" t="str">
        <x:v>tonnes</x:v>
      </x:c>
    </x:row>
    <x:row r="3" ht="18" customHeight="1">
      <x:c r="A3" s="24" t="str">
        <x:v>EEZ_162</x:v>
      </x:c>
      <x:c r="B3" s="24" t="str">
        <x:v>species_catch_tonnes</x:v>
      </x:c>
      <x:c r="C3" s="24" t="n">
        <x:v>25.629903931</x:v>
      </x:c>
      <x:c r="D3" s="24" t="str">
        <x:v>tonnes</x:v>
      </x:c>
    </x:row>
    <x:row r="4" ht="18" customHeight="1">
      <x:c r="A4" s="24" t="str">
        <x:v>EEZ_162</x:v>
      </x:c>
      <x:c r="B4" s="24" t="str">
        <x:v>catch_difference_tonnes</x:v>
      </x:c>
      <x:c r="C4" s="24" t="n">
        <x:v>-3.552713678800501e-15</x:v>
      </x:c>
      <x:c r="D4" s="24" t="str">
        <x:v>tonnes</x:v>
      </x:c>
    </x:row>
    <x:row r="5" ht="18" customHeight="1">
      <x:c r="A5" s="24" t="str">
        <x:v>EEZ_162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EEZ_162</x:v>
      </x:c>
      <x:c r="B6" s="24" t="str">
        <x:v>matched_catch_tonnes</x:v>
      </x:c>
      <x:c r="C6" s="24" t="n">
        <x:v>25.629903931</x:v>
      </x:c>
      <x:c r="D6" s="24" t="str">
        <x:v>tonnes</x:v>
      </x:c>
    </x:row>
    <x:row r="7" ht="18" customHeight="1">
      <x:c r="A7" s="24" t="str">
        <x:v>EEZ_162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EEZ_162</x:v>
      </x:c>
      <x:c r="B8" s="24" t="str">
        <x:v>taxa_count</x:v>
      </x:c>
      <x:c r="C8" s="24" t="n">
        <x:v>13</x:v>
      </x:c>
      <x:c r="D8" s="24" t="str">
        <x:v>count</x:v>
      </x:c>
    </x:row>
    <x:row r="9" ht="18" customHeight="1">
      <x:c r="A9" s="24" t="str">
        <x:v>EEZ_162</x:v>
      </x:c>
      <x:c r="B9" s="24" t="str">
        <x:v>matched_taxa_count</x:v>
      </x:c>
      <x:c r="C9" s="24" t="n">
        <x:v>13</x:v>
      </x:c>
      <x:c r="D9" s="24" t="str">
        <x:v>count</x:v>
      </x:c>
    </x:row>
    <x:row r="10" ht="18" customHeight="1">
      <x:c r="A10" s="24" t="str">
        <x:v>EEZ_162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EEZ_162</x:v>
      </x:c>
      <x:c r="B11" s="24" t="str">
        <x:v>species_ppr</x:v>
      </x:c>
      <x:c r="C11" s="24" t="n">
        <x:v>22536.376227926667</x:v>
      </x:c>
      <x:c r="D11" s="24" t="str">
        <x:v>tonnes_primary_production_equivalent</x:v>
      </x:c>
    </x:row>
    <x:row r="12" ht="18" customHeight="1">
      <x:c r="A12" s="24" t="str">
        <x:v>EEZ_162</x:v>
      </x:c>
      <x:c r="B12" s="24" t="str">
        <x:v>commercial_ppr</x:v>
      </x:c>
      <x:c r="C12" s="24" t="n">
        <x:v>22536.376227926663</x:v>
      </x:c>
      <x:c r="D12" s="24" t="str">
        <x:v>tonnes_primary_production_equivalent</x:v>
      </x:c>
    </x:row>
    <x:row r="13" ht="18" customHeight="1">
      <x:c r="A13" s="24" t="str">
        <x:v>EEZ_162</x:v>
      </x:c>
      <x:c r="B13" s="24" t="str">
        <x:v>functional_ppr</x:v>
      </x:c>
      <x:c r="C13" s="24" t="n">
        <x:v>22536.37622792666</x:v>
      </x:c>
      <x:c r="D13" s="24" t="str">
        <x:v>tonnes_primary_production_equivalent</x:v>
      </x:c>
    </x:row>
    <x:row r="14" ht="18" customHeight="1">
      <x:c r="A14" s="24" t="str">
        <x:v>EEZ_162</x:v>
      </x:c>
      <x:c r="B14" s="24" t="str">
        <x:v>commercial_ppr_difference</x:v>
      </x:c>
      <x:c r="C14" s="24" t="n">
        <x:v>-3.637978807091713e-12</x:v>
      </x:c>
      <x:c r="D14" s="24" t="str">
        <x:v>tonnes_primary_production_equivalent</x:v>
      </x:c>
    </x:row>
    <x:row r="15" ht="18" customHeight="1">
      <x:c r="A15" s="24" t="str">
        <x:v>EEZ_162</x:v>
      </x:c>
      <x:c r="B15" s="24" t="str">
        <x:v>functional_ppr_difference</x:v>
      </x:c>
      <x:c r="C15" s="24" t="n">
        <x:v>-7.275957614183426e-12</x:v>
      </x:c>
      <x:c r="D15" s="24" t="str">
        <x:v>tonnes_primary_production_equivalent</x:v>
      </x:c>
    </x:row>
    <x:row r="16" ht="18" customHeight="1">
      <x:c r="A16" s="24" t="str">
        <x:v>EEZ_162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EEZ_162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EEZ_162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EEZ_162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96d7d22c50c49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EEZ_162 - Christmas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EEZ_162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