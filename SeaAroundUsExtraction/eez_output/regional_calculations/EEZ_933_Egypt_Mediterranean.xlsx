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f0f07bf43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082aab943134101"/>
    <x:sheet xmlns:r="http://schemas.openxmlformats.org/officeDocument/2006/relationships" name="Commercial" sheetId="2" r:id="R4e9ecf4473ae49fe"/>
    <x:sheet xmlns:r="http://schemas.openxmlformats.org/officeDocument/2006/relationships" name="Functional" sheetId="3" r:id="Rda9362dbc7c04c67"/>
    <x:sheet xmlns:r="http://schemas.openxmlformats.org/officeDocument/2006/relationships" name="Missing TL" sheetId="4" r:id="R5ef10ec08f8e497e"/>
    <x:sheet xmlns:r="http://schemas.openxmlformats.org/officeDocument/2006/relationships" name="Validation" sheetId="5" r:id="R056ef3997c874a63"/>
    <x:sheet xmlns:r="http://schemas.openxmlformats.org/officeDocument/2006/relationships" name="Metadata" sheetId="6" r:id="R8b361e2b1d74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3c151bea8453b" /><Relationship Type="http://schemas.openxmlformats.org/officeDocument/2006/relationships/theme" Target="/xl/theme/theme1.xml" Id="R9be7c1bd64a94eb5" /><Relationship Type="http://schemas.microsoft.com/office/2022/11/relationships/FeaturePropertyBag" Target="/xl/featurePropertyBag/featurePropertyBag.xml" Id="R07f51e786ce04f86" /><Relationship Type="http://schemas.openxmlformats.org/officeDocument/2006/relationships/sharedStrings" Target="/xl/sharedStrings.xml" Id="Rab674122cf024e06" /><Relationship Type="http://schemas.openxmlformats.org/officeDocument/2006/relationships/worksheet" Target="/xl/worksheets/sheet1.xml" Id="Re082aab943134101" /><Relationship Type="http://schemas.openxmlformats.org/officeDocument/2006/relationships/worksheet" Target="/xl/worksheets/sheet2.xml" Id="R4e9ecf4473ae49fe" /><Relationship Type="http://schemas.openxmlformats.org/officeDocument/2006/relationships/worksheet" Target="/xl/worksheets/sheet3.xml" Id="Rda9362dbc7c04c67" /><Relationship Type="http://schemas.openxmlformats.org/officeDocument/2006/relationships/worksheet" Target="/xl/worksheets/sheet4.xml" Id="R5ef10ec08f8e497e" /><Relationship Type="http://schemas.openxmlformats.org/officeDocument/2006/relationships/worksheet" Target="/xl/worksheets/sheet5.xml" Id="R056ef3997c874a63" /><Relationship Type="http://schemas.openxmlformats.org/officeDocument/2006/relationships/worksheet" Target="/xl/worksheets/sheet6.xml" Id="R8b361e2b1d7449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3SpeciesTable" displayName="EEZ933SpeciesTable" ref="A1:U89" headerRowCount="1" totalsRowCount="0" totalsRowShown="0">
  <x:autoFilter ref="A1:U8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3CommercialTable" displayName="EEZ93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3FunctionalTable" displayName="EEZ933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3ValidationTable" displayName="EEZ93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d89c20aa3d42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46bac7f073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ab2ab33eea49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8a37224ccc49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EEZ_933</x:v>
      </x:c>
      <x:c r="B2" s="24" t="str">
        <x:v>Egypt (Mediterranean)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12579.631560861799</x:v>
      </x:c>
      <x:c r="J2" s="31" t="n">
        <x:v>9513.2851537226</x:v>
      </x:c>
      <x:c r="K2" s="31" t="n">
        <x:v>3066.3464071392</x:v>
      </x:c>
      <x:c r="L2" s="31" t="n">
        <x:v>8970</x:v>
      </x:c>
      <x:c r="M2" s="31" t="n">
        <x:v>3609.6315608618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2396999.3785672835</x:v>
      </x:c>
    </x:row>
    <x:row r="3" ht="18" customHeight="1">
      <x:c r="A3" s="24" t="str">
        <x:v>EEZ_933</x:v>
      </x:c>
      <x:c r="B3" s="24" t="str">
        <x:v>Egypt (Mediterranean)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6937.967896937</x:v>
      </x:c>
      <x:c r="J3" s="31" t="n">
        <x:v>6937.967896937</x:v>
      </x:c>
      <x:c r="K3" s="31" t="n">
        <x:v>0</x:v>
      </x:c>
      <x:c r="L3" s="31" t="n">
        <x:v>6557</x:v>
      </x:c>
      <x:c r="M3" s="31" t="n">
        <x:v>380.96789693700003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408537.8377172111</x:v>
      </x:c>
    </x:row>
    <x:row r="4" ht="18" customHeight="1">
      <x:c r="A4" s="24" t="str">
        <x:v>EEZ_933</x:v>
      </x:c>
      <x:c r="B4" s="24" t="str">
        <x:v>Egypt (Mediterranean)</x:v>
      </x:c>
      <x:c r="C4" s="24" t="str">
        <x:v>EEZ</x:v>
      </x:c>
      <x:c r="D4" s="30" t="n">
        <x:v>2019</x:v>
      </x:c>
      <x:c r="E4" s="24" t="str">
        <x:v>Penaeidae</x:v>
      </x:c>
      <x:c r="F4" s="24" t="str">
        <x:v>Commercial shrimps and prawns</x:v>
      </x:c>
      <x:c r="G4" s="24" t="str">
        <x:v>Shrimps</x:v>
      </x:c>
      <x:c r="H4" s="24" t="str">
        <x:v>Crustaceans</x:v>
      </x:c>
      <x:c r="I4" s="31" t="n">
        <x:v>5010.9415740535005</x:v>
      </x:c>
      <x:c r="J4" s="31" t="n">
        <x:v>5010.9415740535005</x:v>
      </x:c>
      <x:c r="K4" s="31" t="n">
        <x:v>0</x:v>
      </x:c>
      <x:c r="L4" s="31" t="n">
        <x:v>4666</x:v>
      </x:c>
      <x:c r="M4" s="31" t="n">
        <x:v>344.9415740535</x:v>
      </x:c>
      <x:c r="N4" s="24" t="str">
        <x:v>penaeidae</x:v>
      </x:c>
      <x:c r="O4" s="32" t="n">
        <x:v>3.31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Penaeidae</x:v>
      </x:c>
      <x:c r="T4" s="32" t="n">
        <x:f>IF(O4="","",(1/'Metadata'!$B$5)^(O4-1))</x:f>
        <x:v>204.17379446695296</x:v>
      </x:c>
      <x:c r="U4" s="31" t="n">
        <x:f>IF(T4="","",I4*T4)</x:f>
        <x:v>1023102.9550267091</x:v>
      </x:c>
    </x:row>
    <x:row r="5" ht="18" customHeight="1">
      <x:c r="A5" s="24" t="str">
        <x:v>EEZ_933</x:v>
      </x:c>
      <x:c r="B5" s="24" t="str">
        <x:v>Egypt (Mediterranean)</x:v>
      </x:c>
      <x:c r="C5" s="24" t="str">
        <x:v>EEZ</x:v>
      </x:c>
      <x:c r="D5" s="30" t="n">
        <x:v>2019</x:v>
      </x:c>
      <x:c r="E5" s="24" t="str">
        <x:v>Clupeiformes</x:v>
      </x:c>
      <x:c r="F5" s="24" t="str">
        <x:v>Herrings, shads, anchovies</x:v>
      </x:c>
      <x:c r="G5" s="24" t="str">
        <x:v>Small pelagics (&lt;30 cm)</x:v>
      </x:c>
      <x:c r="H5" s="24" t="str">
        <x:v>Other fishes &amp; inverts</x:v>
      </x:c>
      <x:c r="I5" s="31" t="n">
        <x:v>4714.285767623</x:v>
      </x:c>
      <x:c r="J5" s="31" t="n">
        <x:v>4714.285767623</x:v>
      </x:c>
      <x:c r="K5" s="31" t="n">
        <x:v>0</x:v>
      </x:c>
      <x:c r="L5" s="31" t="n">
        <x:v>4491</x:v>
      </x:c>
      <x:c r="M5" s="31" t="n">
        <x:v>223.28576762300003</x:v>
      </x:c>
      <x:c r="N5" s="24" t="str">
        <x:v>clupeiformes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Clupeiformes</x:v>
      </x:c>
      <x:c r="T5" s="32" t="n">
        <x:f>IF(O5="","",(1/'Metadata'!$B$5)^(O5-1))</x:f>
        <x:v>173.78008287493762</x:v>
      </x:c>
      <x:c r="U5" s="31" t="n">
        <x:f>IF(T5="","",I5*T5)</x:f>
        <x:v>819248.9713936638</x:v>
      </x:c>
    </x:row>
    <x:row r="6" ht="18" customHeight="1">
      <x:c r="A6" s="24" t="str">
        <x:v>EEZ_933</x:v>
      </x:c>
      <x:c r="B6" s="24" t="str">
        <x:v>Egypt (Mediterranean)</x:v>
      </x:c>
      <x:c r="C6" s="24" t="str">
        <x:v>EEZ</x:v>
      </x:c>
      <x:c r="D6" s="30" t="n">
        <x:v>2019</x:v>
      </x:c>
      <x:c r="E6" s="24" t="str">
        <x:v>Mollusca</x:v>
      </x:c>
      <x:c r="F6" s="24" t="str">
        <x:v>Clams, seasnails, squids, octopuses</x:v>
      </x:c>
      <x:c r="G6" s="24" t="str">
        <x:v>Other demersal invertebrates</x:v>
      </x:c>
      <x:c r="H6" s="24" t="str">
        <x:v>Molluscs</x:v>
      </x:c>
      <x:c r="I6" s="31" t="n">
        <x:v>3700.5447993996</x:v>
      </x:c>
      <x:c r="J6" s="31" t="n">
        <x:v>3700.5447993996</x:v>
      </x:c>
      <x:c r="K6" s="31" t="n">
        <x:v>0</x:v>
      </x:c>
      <x:c r="L6" s="31" t="n">
        <x:v>3570</x:v>
      </x:c>
      <x:c r="M6" s="31" t="n">
        <x:v>130.54479939959998</x:v>
      </x:c>
      <x:c r="N6" s="24" t="str">
        <x:v>mollusca</x:v>
      </x:c>
      <x:c r="O6" s="32" t="n">
        <x:v>2.1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Mollusca</x:v>
      </x:c>
      <x:c r="T6" s="32" t="n">
        <x:f>IF(O6="","",(1/'Metadata'!$B$5)^(O6-1))</x:f>
        <x:v>12.589254117941675</x:v>
      </x:c>
      <x:c r="U6" s="31" t="n">
        <x:f>IF(T6="","",I6*T6)</x:f>
        <x:v>46587.09885446906</x:v>
      </x:c>
    </x:row>
    <x:row r="7" ht="18" customHeight="1">
      <x:c r="A7" s="24" t="str">
        <x:v>EEZ_933</x:v>
      </x:c>
      <x:c r="B7" s="24" t="str">
        <x:v>Egypt (Mediterranean)</x:v>
      </x:c>
      <x:c r="C7" s="24" t="str">
        <x:v>EEZ</x:v>
      </x:c>
      <x:c r="D7" s="30" t="n">
        <x:v>2019</x:v>
      </x:c>
      <x:c r="E7" s="24" t="str">
        <x:v>Trichiurus lepturus</x:v>
      </x:c>
      <x:c r="F7" s="24" t="str">
        <x:v>Largehead hairtail</x:v>
      </x:c>
      <x:c r="G7" s="24" t="str">
        <x:v>Large benthopelagics (&gt;=90 cm)</x:v>
      </x:c>
      <x:c r="H7" s="24" t="str">
        <x:v>Perch-likes</x:v>
      </x:c>
      <x:c r="I7" s="31" t="n">
        <x:v>2208.3593320015</x:v>
      </x:c>
      <x:c r="J7" s="31" t="n">
        <x:v>2077.6492741937</x:v>
      </x:c>
      <x:c r="K7" s="31" t="n">
        <x:v>130.7100578078</x:v>
      </x:c>
      <x:c r="L7" s="31" t="n">
        <x:v>2005</x:v>
      </x:c>
      <x:c r="M7" s="31" t="n">
        <x:v>203.3593320015</x:v>
      </x:c>
      <x:c r="N7" s="24" t="str">
        <x:v>trichiurus lepturus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Trichiurus lepturus</x:v>
      </x:c>
      <x:c r="T7" s="32" t="n">
        <x:f>IF(O7="","",(1/'Metadata'!$B$5)^(O7-1))</x:f>
        <x:v>2630.2679918953813</x:v>
      </x:c>
      <x:c r="U7" s="31" t="n">
        <x:f>IF(T7="","",I7*T7)</x:f>
        <x:v>5808576.865567012</x:v>
      </x:c>
    </x:row>
    <x:row r="8" ht="18" customHeight="1">
      <x:c r="A8" s="24" t="str">
        <x:v>EEZ_933</x:v>
      </x:c>
      <x:c r="B8" s="24" t="str">
        <x:v>Egypt (Mediterranean)</x:v>
      </x:c>
      <x:c r="C8" s="24" t="str">
        <x:v>EEZ</x:v>
      </x:c>
      <x:c r="D8" s="30" t="n">
        <x:v>2019</x:v>
      </x:c>
      <x:c r="E8" s="24" t="str">
        <x:v>Sepiida</x:v>
      </x:c>
      <x:c r="F8" s="24" t="str">
        <x:v>Cuttlefishes, bobtail squids</x:v>
      </x:c>
      <x:c r="G8" s="24" t="str">
        <x:v>Cephalopods</x:v>
      </x:c>
      <x:c r="H8" s="24" t="str">
        <x:v>Other fishes &amp; inverts</x:v>
      </x:c>
      <x:c r="I8" s="31" t="n">
        <x:v>1661.7424796038</x:v>
      </x:c>
      <x:c r="J8" s="31" t="n">
        <x:v>1661.7424796038</x:v>
      </x:c>
      <x:c r="K8" s="31" t="n">
        <x:v>0</x:v>
      </x:c>
      <x:c r="L8" s="31" t="n">
        <x:v>1593</x:v>
      </x:c>
      <x:c r="M8" s="31" t="n">
        <x:v>68.7424796038</x:v>
      </x:c>
      <x:c r="N8" s="24" t="str">
        <x:v>sepiida</x:v>
      </x:c>
      <x:c r="O8" s="32" t="n">
        <x:v>3.7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Sepiida</x:v>
      </x:c>
      <x:c r="T8" s="32" t="n">
        <x:f>IF(O8="","",(1/'Metadata'!$B$5)^(O8-1))</x:f>
        <x:v>501.18723362727246</x:v>
      </x:c>
      <x:c r="U8" s="31" t="n">
        <x:f>IF(T8="","",I8*T8)</x:f>
        <x:v>832844.1163535527</x:v>
      </x:c>
    </x:row>
    <x:row r="9" ht="18" customHeight="1">
      <x:c r="A9" s="24" t="str">
        <x:v>EEZ_933</x:v>
      </x:c>
      <x:c r="B9" s="24" t="str">
        <x:v>Egypt (Mediterranean)</x:v>
      </x:c>
      <x:c r="C9" s="24" t="str">
        <x:v>EEZ</x:v>
      </x:c>
      <x:c r="D9" s="30" t="n">
        <x:v>2019</x:v>
      </x:c>
      <x:c r="E9" s="24" t="str">
        <x:v>Boops boops</x:v>
      </x:c>
      <x:c r="F9" s="24" t="str">
        <x:v>Bogue</x:v>
      </x:c>
      <x:c r="G9" s="24" t="str">
        <x:v>Medium demersals (30 - 89 cm)</x:v>
      </x:c>
      <x:c r="H9" s="24" t="str">
        <x:v>Perch-likes</x:v>
      </x:c>
      <x:c r="I9" s="31" t="n">
        <x:v>1544.8532739719</x:v>
      </x:c>
      <x:c r="J9" s="31" t="n">
        <x:v>1544.8532739719</x:v>
      </x:c>
      <x:c r="K9" s="31" t="n">
        <x:v>0</x:v>
      </x:c>
      <x:c r="L9" s="31" t="n">
        <x:v>1471</x:v>
      </x:c>
      <x:c r="M9" s="31" t="n">
        <x:v>73.8532739719</x:v>
      </x:c>
      <x:c r="N9" s="24" t="str">
        <x:v>boops boops</x:v>
      </x:c>
      <x:c r="O9" s="32" t="n">
        <x:v>2.79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Boops boops</x:v>
      </x:c>
      <x:c r="T9" s="32" t="n">
        <x:f>IF(O9="","",(1/'Metadata'!$B$5)^(O9-1))</x:f>
        <x:v>61.65950018614822</x:v>
      </x:c>
      <x:c r="U9" s="31" t="n">
        <x:f>IF(T9="","",I9*T9)</x:f>
        <x:v>95254.88073404206</x:v>
      </x:c>
    </x:row>
    <x:row r="10" ht="18" customHeight="1">
      <x:c r="A10" s="24" t="str">
        <x:v>EEZ_933</x:v>
      </x:c>
      <x:c r="B10" s="24" t="str">
        <x:v>Egypt (Mediterranean)</x:v>
      </x:c>
      <x:c r="C10" s="24" t="str">
        <x:v>EEZ</x:v>
      </x:c>
      <x:c r="D10" s="30" t="n">
        <x:v>2019</x:v>
      </x:c>
      <x:c r="E10" s="24" t="str">
        <x:v>Mugilidae</x:v>
      </x:c>
      <x:c r="F10" s="24" t="str">
        <x:v>Mullets, grey mullets</x:v>
      </x:c>
      <x:c r="G10" s="24" t="str">
        <x:v>Medium reef assoc. fish (30 - 89 cm)</x:v>
      </x:c>
      <x:c r="H10" s="24" t="str">
        <x:v>Perch-likes</x:v>
      </x:c>
      <x:c r="I10" s="31" t="n">
        <x:v>1282.3617166591998</x:v>
      </x:c>
      <x:c r="J10" s="31" t="n">
        <x:v>1282.3617166591998</x:v>
      </x:c>
      <x:c r="K10" s="31" t="n">
        <x:v>0</x:v>
      </x:c>
      <x:c r="L10" s="31" t="n">
        <x:v>1183</x:v>
      </x:c>
      <x:c r="M10" s="31" t="n">
        <x:v>99.3617166592</x:v>
      </x:c>
      <x:c r="N10" s="24" t="str">
        <x:v>mugilidae</x:v>
      </x:c>
      <x:c r="O10" s="32" t="n">
        <x:v>2.53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Mugilidae</x:v>
      </x:c>
      <x:c r="T10" s="32" t="n">
        <x:f>IF(O10="","",(1/'Metadata'!$B$5)^(O10-1))</x:f>
        <x:v>33.88441561392024</x:v>
      </x:c>
      <x:c r="U10" s="31" t="n">
        <x:f>IF(T10="","",I10*T10)</x:f>
        <x:v>43452.077374660556</x:v>
      </x:c>
    </x:row>
    <x:row r="11" ht="18" customHeight="1">
      <x:c r="A11" s="24" t="str">
        <x:v>EEZ_933</x:v>
      </x:c>
      <x:c r="B11" s="24" t="str">
        <x:v>Egypt (Mediterranean)</x:v>
      </x:c>
      <x:c r="C11" s="24" t="str">
        <x:v>EEZ</x:v>
      </x:c>
      <x:c r="D11" s="30" t="n">
        <x:v>2019</x:v>
      </x:c>
      <x:c r="E11" s="24" t="str">
        <x:v>Argyrosomus regius</x:v>
      </x:c>
      <x:c r="F11" s="24" t="str">
        <x:v>Meagre</x:v>
      </x:c>
      <x:c r="G11" s="24" t="str">
        <x:v>Large benthopelagics (&gt;=90 cm)</x:v>
      </x:c>
      <x:c r="H11" s="24" t="str">
        <x:v>Perch-likes</x:v>
      </x:c>
      <x:c r="I11" s="31" t="n">
        <x:v>1156.9434056704001</x:v>
      </x:c>
      <x:c r="J11" s="31" t="n">
        <x:v>848.0273692212</x:v>
      </x:c>
      <x:c r="K11" s="31" t="n">
        <x:v>308.9160364492</x:v>
      </x:c>
      <x:c r="L11" s="31" t="n">
        <x:v>823</x:v>
      </x:c>
      <x:c r="M11" s="31" t="n">
        <x:v>333.9434056704</x:v>
      </x:c>
      <x:c r="N11" s="24" t="str">
        <x:v>argyrosomus regius</x:v>
      </x:c>
      <x:c r="O11" s="32" t="n">
        <x:v>4.29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Argyrosomus regius</x:v>
      </x:c>
      <x:c r="T11" s="32" t="n">
        <x:f>IF(O11="","",(1/'Metadata'!$B$5)^(O11-1))</x:f>
        <x:v>1949.8445997580454</x:v>
      </x:c>
      <x:c r="U11" s="31" t="n">
        <x:f>IF(T11="","",I11*T11)</x:f>
        <x:v>2255859.8517721114</x:v>
      </x:c>
    </x:row>
    <x:row r="12" ht="18" customHeight="1">
      <x:c r="A12" s="24" t="str">
        <x:v>EEZ_933</x:v>
      </x:c>
      <x:c r="B12" s="24" t="str">
        <x:v>Egypt (Mediterranean)</x:v>
      </x:c>
      <x:c r="C12" s="24" t="str">
        <x:v>EEZ</x:v>
      </x:c>
      <x:c r="D12" s="30" t="n">
        <x:v>2019</x:v>
      </x:c>
      <x:c r="E12" s="24" t="str">
        <x:v>Euthynnus alletteratus</x:v>
      </x:c>
      <x:c r="F12" s="24" t="str">
        <x:v>Little tunny </x:v>
      </x:c>
      <x:c r="G12" s="24" t="str">
        <x:v>Large pelagics (&gt;=90 cm)</x:v>
      </x:c>
      <x:c r="H12" s="24" t="str">
        <x:v>Tuna &amp; billfishes</x:v>
      </x:c>
      <x:c r="I12" s="31" t="n">
        <x:v>1055.0390128073</x:v>
      </x:c>
      <x:c r="J12" s="31" t="n">
        <x:v>1055.0390128073</x:v>
      </x:c>
      <x:c r="K12" s="31" t="n">
        <x:v>0</x:v>
      </x:c>
      <x:c r="L12" s="31" t="n">
        <x:v>1006</x:v>
      </x:c>
      <x:c r="M12" s="31" t="n">
        <x:v>49.0390128073</x:v>
      </x:c>
      <x:c r="N12" s="24" t="str">
        <x:v>euthynnus alletteratus</x:v>
      </x:c>
      <x:c r="O12" s="32" t="n">
        <x:v>4.49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alletteratus</x:v>
      </x:c>
      <x:c r="T12" s="32" t="n">
        <x:f>IF(O12="","",(1/'Metadata'!$B$5)^(O12-1))</x:f>
        <x:v>3090.295432513592</x:v>
      </x:c>
      <x:c r="U12" s="31" t="n">
        <x:f>IF(T12="","",I12*T12)</x:f>
        <x:v>3260382.2424020483</x:v>
      </x:c>
    </x:row>
    <x:row r="13" ht="18" customHeight="1">
      <x:c r="A13" s="24" t="str">
        <x:v>EEZ_933</x:v>
      </x:c>
      <x:c r="B13" s="24" t="str">
        <x:v>Egypt (Mediterranean)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1037</x:v>
      </x:c>
      <x:c r="J13" s="31" t="n">
        <x:v>1037</x:v>
      </x:c>
      <x:c r="K13" s="31" t="n">
        <x:v>0</x:v>
      </x:c>
      <x:c r="L13" s="31" t="n">
        <x:v>1037</x:v>
      </x:c>
      <x:c r="M13" s="31" t="n">
        <x:v>0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1163533.1371111355</x:v>
      </x:c>
    </x:row>
    <x:row r="14" ht="18" customHeight="1">
      <x:c r="A14" s="24" t="str">
        <x:v>EEZ_933</x:v>
      </x:c>
      <x:c r="B14" s="24" t="str">
        <x:v>Egypt (Mediterranean)</x:v>
      </x:c>
      <x:c r="C14" s="24" t="str">
        <x:v>EEZ</x:v>
      </x:c>
      <x:c r="D14" s="30" t="n">
        <x:v>2019</x:v>
      </x:c>
      <x:c r="E14" s="24" t="str">
        <x:v>Caranx crysos</x:v>
      </x:c>
      <x:c r="F14" s="24" t="str">
        <x:v>Blue runner</x:v>
      </x:c>
      <x:c r="G14" s="24" t="str">
        <x:v>Medium reef assoc. fish (30 - 89 cm)</x:v>
      </x:c>
      <x:c r="H14" s="24" t="str">
        <x:v>Perch-likes</x:v>
      </x:c>
      <x:c r="I14" s="31" t="n">
        <x:v>849.9630344638</x:v>
      </x:c>
      <x:c r="J14" s="31" t="n">
        <x:v>746.2743045898</x:v>
      </x:c>
      <x:c r="K14" s="31" t="n">
        <x:v>103.688729874</x:v>
      </x:c>
      <x:c r="L14" s="31" t="n">
        <x:v>714</x:v>
      </x:c>
      <x:c r="M14" s="31" t="n">
        <x:v>135.9630344638</x:v>
      </x:c>
      <x:c r="N14" s="24" t="str">
        <x:v>caranx crysos</x:v>
      </x:c>
      <x:c r="O14" s="32" t="n">
        <x:v>4.13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Caranx crysos</x:v>
      </x:c>
      <x:c r="T14" s="32" t="n">
        <x:f>IF(O14="","",(1/'Metadata'!$B$5)^(O14-1))</x:f>
        <x:v>1348.9628825916532</x:v>
      </x:c>
      <x:c r="U14" s="31" t="n">
        <x:f>IF(T14="","",I14*T14)</x:f>
        <x:v>1146568.5850666363</x:v>
      </x:c>
    </x:row>
    <x:row r="15" ht="18" customHeight="1">
      <x:c r="A15" s="24" t="str">
        <x:v>EEZ_933</x:v>
      </x:c>
      <x:c r="B15" s="24" t="str">
        <x:v>Egypt (Mediterranean)</x:v>
      </x:c>
      <x:c r="C15" s="24" t="str">
        <x:v>EEZ</x:v>
      </x:c>
      <x:c r="D15" s="30" t="n">
        <x:v>2019</x:v>
      </x:c>
      <x:c r="E15" s="24" t="str">
        <x:v>Scomberomorus commerson</x:v>
      </x:c>
      <x:c r="F15" s="24" t="str">
        <x:v>Narrow-barred Spanish mackerel</x:v>
      </x:c>
      <x:c r="G15" s="24" t="str">
        <x:v>Large pelagics (&gt;=90 cm)</x:v>
      </x:c>
      <x:c r="H15" s="24" t="str">
        <x:v>Perch-likes</x:v>
      </x:c>
      <x:c r="I15" s="31" t="n">
        <x:v>739.5157710712999</x:v>
      </x:c>
      <x:c r="J15" s="31" t="n">
        <x:v>739.5157710712999</x:v>
      </x:c>
      <x:c r="K15" s="31" t="n">
        <x:v>0</x:v>
      </x:c>
      <x:c r="L15" s="31" t="n">
        <x:v>696</x:v>
      </x:c>
      <x:c r="M15" s="31" t="n">
        <x:v>43.515771071299994</x:v>
      </x:c>
      <x:c r="N15" s="24" t="str">
        <x:v>scomberomorus commerson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commerson</x:v>
      </x:c>
      <x:c r="T15" s="32" t="n">
        <x:f>IF(O15="","",(1/'Metadata'!$B$5)^(O15-1))</x:f>
        <x:v>3162.2776601683795</x:v>
      </x:c>
      <x:c r="U15" s="31" t="n">
        <x:f>IF(T15="","",I15*T15)</x:f>
        <x:v>2338554.2022009655</x:v>
      </x:c>
    </x:row>
    <x:row r="16" ht="18" customHeight="1">
      <x:c r="A16" s="24" t="str">
        <x:v>EEZ_933</x:v>
      </x:c>
      <x:c r="B16" s="24" t="str">
        <x:v>Egypt (Mediterranean)</x:v>
      </x:c>
      <x:c r="C16" s="24" t="str">
        <x:v>EEZ</x:v>
      </x:c>
      <x:c r="D16" s="30" t="n">
        <x:v>2019</x:v>
      </x:c>
      <x:c r="E16" s="24" t="str">
        <x:v>Triglidae</x:v>
      </x:c>
      <x:c r="F16" s="24" t="str">
        <x:v>Searobins, gurnards</x:v>
      </x:c>
      <x:c r="G16" s="24" t="str">
        <x:v>Medium demersals (30 - 89 cm)</x:v>
      </x:c>
      <x:c r="H16" s="24" t="str">
        <x:v>Scorpionfishes</x:v>
      </x:c>
      <x:c r="I16" s="31" t="n">
        <x:v>714.4505138522</x:v>
      </x:c>
      <x:c r="J16" s="31" t="n">
        <x:v>714.4505138522</x:v>
      </x:c>
      <x:c r="K16" s="31" t="n">
        <x:v>0</x:v>
      </x:c>
      <x:c r="L16" s="31" t="n">
        <x:v>695</x:v>
      </x:c>
      <x:c r="M16" s="31" t="n">
        <x:v>19.4505138522</x:v>
      </x:c>
      <x:c r="N16" s="24" t="str">
        <x:v>triglidae</x:v>
      </x:c>
      <x:c r="O16" s="32" t="n">
        <x:v>3.74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Triglidae</x:v>
      </x:c>
      <x:c r="T16" s="32" t="n">
        <x:f>IF(O16="","",(1/'Metadata'!$B$5)^(O16-1))</x:f>
        <x:v>549.5408738576248</x:v>
      </x:c>
      <x:c r="U16" s="31" t="n">
        <x:f>IF(T16="","",I16*T16)</x:f>
        <x:v>392619.759710367</x:v>
      </x:c>
    </x:row>
    <x:row r="17" ht="18" customHeight="1">
      <x:c r="A17" s="24" t="str">
        <x:v>EEZ_933</x:v>
      </x:c>
      <x:c r="B17" s="24" t="str">
        <x:v>Egypt (Mediterranean)</x:v>
      </x:c>
      <x:c r="C17" s="24" t="str">
        <x:v>EEZ</x:v>
      </x:c>
      <x:c r="D17" s="30" t="n">
        <x:v>2019</x:v>
      </x:c>
      <x:c r="E17" s="24" t="str">
        <x:v>Synodontidae</x:v>
      </x:c>
      <x:c r="F17" s="24" t="str">
        <x:v>Lizardfishes, sauries</x:v>
      </x:c>
      <x:c r="G17" s="24" t="str">
        <x:v>Medium demersals (30 - 89 cm)</x:v>
      </x:c>
      <x:c r="H17" s="24" t="str">
        <x:v>Other fishes &amp; inverts</x:v>
      </x:c>
      <x:c r="I17" s="31" t="n">
        <x:v>709.5108245284999</x:v>
      </x:c>
      <x:c r="J17" s="31" t="n">
        <x:v>709.5108245284999</x:v>
      </x:c>
      <x:c r="K17" s="31" t="n">
        <x:v>0</x:v>
      </x:c>
      <x:c r="L17" s="31" t="n">
        <x:v>653</x:v>
      </x:c>
      <x:c r="M17" s="31" t="n">
        <x:v>56.5108245285</x:v>
      </x:c>
      <x:c r="N17" s="24" t="str">
        <x:v>synodontidae</x:v>
      </x:c>
      <x:c r="O17" s="32" t="n">
        <x:v>4.3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Synodontidae</x:v>
      </x:c>
      <x:c r="T17" s="32" t="n">
        <x:f>IF(O17="","",(1/'Metadata'!$B$5)^(O17-1))</x:f>
        <x:v>1995.2623149688789</x:v>
      </x:c>
      <x:c r="U17" s="31" t="n">
        <x:f>IF(T17="","",I17*T17)</x:f>
        <x:v>1415660.2102442128</x:v>
      </x:c>
    </x:row>
    <x:row r="18" ht="18" customHeight="1">
      <x:c r="A18" s="24" t="str">
        <x:v>EEZ_933</x:v>
      </x:c>
      <x:c r="B18" s="24" t="str">
        <x:v>Egypt (Mediterranean)</x:v>
      </x:c>
      <x:c r="C18" s="24" t="str">
        <x:v>EEZ</x:v>
      </x:c>
      <x:c r="D18" s="30" t="n">
        <x:v>2019</x:v>
      </x:c>
      <x:c r="E18" s="24" t="str">
        <x:v>Mullus</x:v>
      </x:c>
      <x:c r="F18" s="24" t="str">
        <x:v>Atlantic goatfishes</x:v>
      </x:c>
      <x:c r="G18" s="24" t="str">
        <x:v>Medium demersals (30 - 89 cm)</x:v>
      </x:c>
      <x:c r="H18" s="24" t="str">
        <x:v>Perch-likes</x:v>
      </x:c>
      <x:c r="I18" s="31" t="n">
        <x:v>671.6253100283</x:v>
      </x:c>
      <x:c r="J18" s="31" t="n">
        <x:v>671.6253100283</x:v>
      </x:c>
      <x:c r="K18" s="31" t="n">
        <x:v>0</x:v>
      </x:c>
      <x:c r="L18" s="31" t="n">
        <x:v>642</x:v>
      </x:c>
      <x:c r="M18" s="31" t="n">
        <x:v>29.6253100283</x:v>
      </x:c>
      <x:c r="N18" s="24" t="str">
        <x:v>mullus</x:v>
      </x:c>
      <x:c r="O18" s="32" t="n">
        <x:v>3.29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Mullus</x:v>
      </x:c>
      <x:c r="T18" s="32" t="n">
        <x:f>IF(O18="","",(1/'Metadata'!$B$5)^(O18-1))</x:f>
        <x:v>194.98445997580455</x:v>
      </x:c>
      <x:c r="U18" s="31" t="n">
        <x:f>IF(T18="","",I18*T18)</x:f>
        <x:v>130956.49838195038</x:v>
      </x:c>
    </x:row>
    <x:row r="19" ht="18" customHeight="1">
      <x:c r="A19" s="24" t="str">
        <x:v>EEZ_933</x:v>
      </x:c>
      <x:c r="B19" s="24" t="str">
        <x:v>Egypt (Mediterranean)</x:v>
      </x:c>
      <x:c r="C19" s="24" t="str">
        <x:v>EEZ</x:v>
      </x:c>
      <x:c r="D19" s="30" t="n">
        <x:v>2019</x:v>
      </x:c>
      <x:c r="E19" s="24" t="str">
        <x:v>Scomber colias</x:v>
      </x:c>
      <x:c r="F19" s="24" t="str">
        <x:v>Atlantic chub mackerel</x:v>
      </x:c>
      <x:c r="G19" s="24" t="str">
        <x:v>Medium pelagics (30 - 89 cm)</x:v>
      </x:c>
      <x:c r="H19" s="24" t="str">
        <x:v>Perch-likes</x:v>
      </x:c>
      <x:c r="I19" s="31" t="n">
        <x:v>668.5096475660999</x:v>
      </x:c>
      <x:c r="J19" s="31" t="n">
        <x:v>668.5096475660999</x:v>
      </x:c>
      <x:c r="K19" s="31" t="n">
        <x:v>0</x:v>
      </x:c>
      <x:c r="L19" s="31" t="n">
        <x:v>634</x:v>
      </x:c>
      <x:c r="M19" s="31" t="n">
        <x:v>34.5096475661</x:v>
      </x:c>
      <x:c r="N19" s="24" t="str">
        <x:v>scomber colias</x:v>
      </x:c>
      <x:c r="O19" s="32" t="n">
        <x:v>3.91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 colias</x:v>
      </x:c>
      <x:c r="T19" s="32" t="n">
        <x:f>IF(O19="","",(1/'Metadata'!$B$5)^(O19-1))</x:f>
        <x:v>812.8305161640995</x:v>
      </x:c>
      <x:c r="U19" s="31" t="n">
        <x:f>IF(T19="","",I19*T19)</x:f>
        <x:v>543385.0418918333</x:v>
      </x:c>
    </x:row>
    <x:row r="20" ht="18" customHeight="1">
      <x:c r="A20" s="24" t="str">
        <x:v>EEZ_933</x:v>
      </x:c>
      <x:c r="B20" s="24" t="str">
        <x:v>Egypt (Mediterranean)</x:v>
      </x:c>
      <x:c r="C20" s="24" t="str">
        <x:v>EEZ</x:v>
      </x:c>
      <x:c r="D20" s="30" t="n">
        <x:v>2019</x:v>
      </x:c>
      <x:c r="E20" s="24" t="str">
        <x:v>Sphyraena</x:v>
      </x:c>
      <x:c r="F20" s="24" t="str">
        <x:v>Barracudas, sennets</x:v>
      </x:c>
      <x:c r="G20" s="24" t="str">
        <x:v>Large pelagics (&gt;=90 cm)</x:v>
      </x:c>
      <x:c r="H20" s="24" t="str">
        <x:v>Perch-likes</x:v>
      </x:c>
      <x:c r="I20" s="31" t="n">
        <x:v>637.7997329932</x:v>
      </x:c>
      <x:c r="J20" s="31" t="n">
        <x:v>637.7997329932</x:v>
      </x:c>
      <x:c r="K20" s="31" t="n">
        <x:v>0</x:v>
      </x:c>
      <x:c r="L20" s="31" t="n">
        <x:v>615</x:v>
      </x:c>
      <x:c r="M20" s="31" t="n">
        <x:v>22.799732993200003</x:v>
      </x:c>
      <x:c r="N20" s="24" t="str">
        <x:v>sphyraena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Sphyraena</x:v>
      </x:c>
      <x:c r="T20" s="32" t="n">
        <x:f>IF(O20="","",(1/'Metadata'!$B$5)^(O20-1))</x:f>
        <x:v>2511.886431509582</x:v>
      </x:c>
      <x:c r="U20" s="31" t="n">
        <x:f>IF(T20="","",I20*T20)</x:f>
        <x:v>1602080.4953260534</x:v>
      </x:c>
    </x:row>
    <x:row r="21" ht="18" customHeight="1">
      <x:c r="A21" s="24" t="str">
        <x:v>EEZ_933</x:v>
      </x:c>
      <x:c r="B21" s="24" t="str">
        <x:v>Egypt (Mediterranean)</x:v>
      </x:c>
      <x:c r="C21" s="24" t="str">
        <x:v>EEZ</x:v>
      </x:c>
      <x:c r="D21" s="30" t="n">
        <x:v>2019</x:v>
      </x:c>
      <x:c r="E21" s="24" t="str">
        <x:v>Solea</x:v>
      </x:c>
      <x:c r="F21" s="24" t="str">
        <x:v>Soles</x:v>
      </x:c>
      <x:c r="G21" s="24" t="str">
        <x:v>Small to medium flatfishes (&lt;90 cm)</x:v>
      </x:c>
      <x:c r="H21" s="24" t="str">
        <x:v>Flatfishes</x:v>
      </x:c>
      <x:c r="I21" s="31" t="n">
        <x:v>571.9634578156999</x:v>
      </x:c>
      <x:c r="J21" s="31" t="n">
        <x:v>571.9634578156999</x:v>
      </x:c>
      <x:c r="K21" s="31" t="n">
        <x:v>0</x:v>
      </x:c>
      <x:c r="L21" s="31" t="n">
        <x:v>544</x:v>
      </x:c>
      <x:c r="M21" s="31" t="n">
        <x:v>27.9634578157</x:v>
      </x:c>
      <x:c r="N21" s="24" t="str">
        <x:v>solea</x:v>
      </x:c>
      <x:c r="O21" s="32" t="n">
        <x:v>3.13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Solea</x:v>
      </x:c>
      <x:c r="T21" s="32" t="n">
        <x:f>IF(O21="","",(1/'Metadata'!$B$5)^(O21-1))</x:f>
        <x:v>134.89628825916532</x:v>
      </x:c>
      <x:c r="U21" s="31" t="n">
        <x:f>IF(T21="","",I21*T21)</x:f>
        <x:v>77155.7474792156</x:v>
      </x:c>
    </x:row>
    <x:row r="22" ht="18" customHeight="1">
      <x:c r="A22" s="24" t="str">
        <x:v>EEZ_933</x:v>
      </x:c>
      <x:c r="B22" s="24" t="str">
        <x:v>Egypt (Mediterranean)</x:v>
      </x:c>
      <x:c r="C22" s="24" t="str">
        <x:v>EEZ</x:v>
      </x:c>
      <x:c r="D22" s="30" t="n">
        <x:v>2019</x:v>
      </x:c>
      <x:c r="E22" s="24" t="str">
        <x:v>Pagrus pagrus</x:v>
      </x:c>
      <x:c r="F22" s="24" t="str">
        <x:v>Red porgy</x:v>
      </x:c>
      <x:c r="G22" s="24" t="str">
        <x:v>Medium benthopelagics (30 - 89 cm)</x:v>
      </x:c>
      <x:c r="H22" s="24" t="str">
        <x:v>Perch-likes</x:v>
      </x:c>
      <x:c r="I22" s="31" t="n">
        <x:v>509.0994620319</x:v>
      </x:c>
      <x:c r="J22" s="31" t="n">
        <x:v>509.0994620319</x:v>
      </x:c>
      <x:c r="K22" s="31" t="n">
        <x:v>0</x:v>
      </x:c>
      <x:c r="L22" s="31" t="n">
        <x:v>486</x:v>
      </x:c>
      <x:c r="M22" s="31" t="n">
        <x:v>23.0994620319</x:v>
      </x:c>
      <x:c r="N22" s="24" t="str">
        <x:v>pagrus pagrus</x:v>
      </x:c>
      <x:c r="O22" s="32" t="n">
        <x:v>3.86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Pagrus pagrus</x:v>
      </x:c>
      <x:c r="T22" s="32" t="n">
        <x:f>IF(O22="","",(1/'Metadata'!$B$5)^(O22-1))</x:f>
        <x:v>724.4359600749899</x:v>
      </x:c>
      <x:c r="U22" s="31" t="n">
        <x:f>IF(T22="","",I22*T22)</x:f>
        <x:v>368809.95755074034</x:v>
      </x:c>
    </x:row>
    <x:row r="23" ht="18" customHeight="1">
      <x:c r="A23" s="24" t="str">
        <x:v>EEZ_933</x:v>
      </x:c>
      <x:c r="B23" s="24" t="str">
        <x:v>Egypt (Mediterranean)</x:v>
      </x:c>
      <x:c r="C23" s="24" t="str">
        <x:v>EEZ</x:v>
      </x:c>
      <x:c r="D23" s="30" t="n">
        <x:v>2019</x:v>
      </x:c>
      <x:c r="E23" s="24" t="str">
        <x:v>Parapenaeus longirostris</x:v>
      </x:c>
      <x:c r="F23" s="24" t="str">
        <x:v>Deepwater rose shrimp</x:v>
      </x:c>
      <x:c r="G23" s="24" t="str">
        <x:v>Shrimps</x:v>
      </x:c>
      <x:c r="H23" s="24" t="str">
        <x:v>Crustaceans</x:v>
      </x:c>
      <x:c r="I23" s="31" t="n">
        <x:v>475</x:v>
      </x:c>
      <x:c r="J23" s="31" t="n">
        <x:v>475</x:v>
      </x:c>
      <x:c r="K23" s="31" t="n">
        <x:v>0</x:v>
      </x:c>
      <x:c r="L23" s="31" t="n">
        <x:v>475</x:v>
      </x:c>
      <x:c r="M23" s="31" t="n">
        <x:v>0</x:v>
      </x:c>
      <x:c r="N23" s="24" t="str">
        <x:v>parapenaeus longirostris</x:v>
      </x:c>
      <x:c r="O23" s="32" t="n">
        <x:v>3.3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Parapenaeus longirostris</x:v>
      </x:c>
      <x:c r="T23" s="32" t="n">
        <x:f>IF(O23="","",(1/'Metadata'!$B$5)^(O23-1))</x:f>
        <x:v>199.52623149688787</x:v>
      </x:c>
      <x:c r="U23" s="31" t="n">
        <x:f>IF(T23="","",I23*T23)</x:f>
        <x:v>94774.95996102174</x:v>
      </x:c>
    </x:row>
    <x:row r="24" ht="18" customHeight="1">
      <x:c r="A24" s="24" t="str">
        <x:v>EEZ_933</x:v>
      </x:c>
      <x:c r="B24" s="24" t="str">
        <x:v>Egypt (Mediterranean)</x:v>
      </x:c>
      <x:c r="C24" s="24" t="str">
        <x:v>EEZ</x:v>
      </x:c>
      <x:c r="D24" s="30" t="n">
        <x:v>2019</x:v>
      </x:c>
      <x:c r="E24" s="24" t="str">
        <x:v>Sparus aurata</x:v>
      </x:c>
      <x:c r="F24" s="24" t="str">
        <x:v>Gilthead seabream</x:v>
      </x:c>
      <x:c r="G24" s="24" t="str">
        <x:v>Medium demersals (30 - 89 cm)</x:v>
      </x:c>
      <x:c r="H24" s="24" t="str">
        <x:v>Perch-likes</x:v>
      </x:c>
      <x:c r="I24" s="31" t="n">
        <x:v>461.7301537391</x:v>
      </x:c>
      <x:c r="J24" s="31" t="n">
        <x:v>461.7301537391</x:v>
      </x:c>
      <x:c r="K24" s="31" t="n">
        <x:v>0</x:v>
      </x:c>
      <x:c r="L24" s="31" t="n">
        <x:v>440</x:v>
      </x:c>
      <x:c r="M24" s="31" t="n">
        <x:v>21.7301537391</x:v>
      </x:c>
      <x:c r="N24" s="24" t="str">
        <x:v>sparus aurata</x:v>
      </x:c>
      <x:c r="O24" s="32" t="n">
        <x:v>3.7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Sparus aurata</x:v>
      </x:c>
      <x:c r="T24" s="32" t="n">
        <x:f>IF(O24="","",(1/'Metadata'!$B$5)^(O24-1))</x:f>
        <x:v>501.18723362727246</x:v>
      </x:c>
      <x:c r="U24" s="31" t="n">
        <x:f>IF(T24="","",I24*T24)</x:f>
        <x:v>231413.25843479473</x:v>
      </x:c>
    </x:row>
    <x:row r="25" ht="18" customHeight="1">
      <x:c r="A25" s="24" t="str">
        <x:v>EEZ_933</x:v>
      </x:c>
      <x:c r="B25" s="24" t="str">
        <x:v>Egypt (Mediterranean)</x:v>
      </x:c>
      <x:c r="C25" s="24" t="str">
        <x:v>EEZ</x:v>
      </x:c>
      <x:c r="D25" s="30" t="n">
        <x:v>2019</x:v>
      </x:c>
      <x:c r="E25" s="24" t="str">
        <x:v>Squillidae</x:v>
      </x:c>
      <x:c r="F25" s="24" t="str">
        <x:v>Squilla mantis shrimps</x:v>
      </x:c>
      <x:c r="G25" s="24" t="str">
        <x:v>Shrimps</x:v>
      </x:c>
      <x:c r="H25" s="24" t="str">
        <x:v>Crustaceans</x:v>
      </x:c>
      <x:c r="I25" s="31" t="n">
        <x:v>445.8108666594</x:v>
      </x:c>
      <x:c r="J25" s="31" t="n">
        <x:v>445.8108666594</x:v>
      </x:c>
      <x:c r="K25" s="31" t="n">
        <x:v>0</x:v>
      </x:c>
      <x:c r="L25" s="31" t="n">
        <x:v>427</x:v>
      </x:c>
      <x:c r="M25" s="31" t="n">
        <x:v>18.8108666594</x:v>
      </x:c>
      <x:c r="N25" s="24" t="str">
        <x:v>squillidae</x:v>
      </x:c>
      <x:c r="O25" s="32" t="n">
        <x:v>3.5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Squillidae</x:v>
      </x:c>
      <x:c r="T25" s="32" t="n">
        <x:f>IF(O25="","",(1/'Metadata'!$B$5)^(O25-1))</x:f>
        <x:v>316.22776601683796</x:v>
      </x:c>
      <x:c r="U25" s="31" t="n">
        <x:f>IF(T25="","",I25*T25)</x:f>
        <x:v>140977.7744297325</x:v>
      </x:c>
    </x:row>
    <x:row r="26" ht="18" customHeight="1">
      <x:c r="A26" s="24" t="str">
        <x:v>EEZ_933</x:v>
      </x:c>
      <x:c r="B26" s="24" t="str">
        <x:v>Egypt (Mediterranean)</x:v>
      </x:c>
      <x:c r="C26" s="24" t="str">
        <x:v>EEZ</x:v>
      </x:c>
      <x:c r="D26" s="30" t="n">
        <x:v>2019</x:v>
      </x:c>
      <x:c r="E26" s="24" t="str">
        <x:v>Trachurus</x:v>
      </x:c>
      <x:c r="F26" s="24" t="str">
        <x:v>Jacks, horse mackerels</x:v>
      </x:c>
      <x:c r="G26" s="24" t="str">
        <x:v>Medium pelagics (30 - 89 cm)</x:v>
      </x:c>
      <x:c r="H26" s="24" t="str">
        <x:v>Perch-likes</x:v>
      </x:c>
      <x:c r="I26" s="31" t="n">
        <x:v>425.2329178864</x:v>
      </x:c>
      <x:c r="J26" s="31" t="n">
        <x:v>425.2329178864</x:v>
      </x:c>
      <x:c r="K26" s="31" t="n">
        <x:v>0</x:v>
      </x:c>
      <x:c r="L26" s="31" t="n">
        <x:v>400</x:v>
      </x:c>
      <x:c r="M26" s="31" t="n">
        <x:v>25.232917886400003</x:v>
      </x:c>
      <x:c r="N26" s="24" t="str">
        <x:v>trachurus</x:v>
      </x:c>
      <x:c r="O26" s="32" t="n">
        <x:v>3.69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Trachurus</x:v>
      </x:c>
      <x:c r="T26" s="32" t="n">
        <x:f>IF(O26="","",(1/'Metadata'!$B$5)^(O26-1))</x:f>
        <x:v>489.77881936844614</x:v>
      </x:c>
      <x:c r="U26" s="31" t="n">
        <x:f>IF(T26="","",I26*T26)</x:f>
        <x:v>208270.0764790004</x:v>
      </x:c>
    </x:row>
    <x:row r="27" ht="18" customHeight="1">
      <x:c r="A27" s="24" t="str">
        <x:v>EEZ_933</x:v>
      </x:c>
      <x:c r="B27" s="24" t="str">
        <x:v>Egypt (Mediterranean)</x:v>
      </x:c>
      <x:c r="C27" s="24" t="str">
        <x:v>EEZ</x:v>
      </x:c>
      <x:c r="D27" s="30" t="n">
        <x:v>2019</x:v>
      </x:c>
      <x:c r="E27" s="24" t="str">
        <x:v>Pomatomus saltatrix</x:v>
      </x:c>
      <x:c r="F27" s="24" t="str">
        <x:v>Bluefish</x:v>
      </x:c>
      <x:c r="G27" s="24" t="str">
        <x:v>Large pelagics (&gt;=90 cm)</x:v>
      </x:c>
      <x:c r="H27" s="24" t="str">
        <x:v>Perch-likes</x:v>
      </x:c>
      <x:c r="I27" s="31" t="n">
        <x:v>421.0076298412</x:v>
      </x:c>
      <x:c r="J27" s="31" t="n">
        <x:v>418.1193643851</x:v>
      </x:c>
      <x:c r="K27" s="31" t="n">
        <x:v>2.8882654561</x:v>
      </x:c>
      <x:c r="L27" s="31" t="n">
        <x:v>391</x:v>
      </x:c>
      <x:c r="M27" s="31" t="n">
        <x:v>30.0076298412</x:v>
      </x:c>
      <x:c r="N27" s="24" t="str">
        <x:v>pomatomus saltatrix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Pomatomus saltatrix</x:v>
      </x:c>
      <x:c r="T27" s="32" t="n">
        <x:f>IF(O27="","",(1/'Metadata'!$B$5)^(O27-1))</x:f>
        <x:v>3388.4415613920273</x:v>
      </x:c>
      <x:c r="U27" s="31" t="n">
        <x:f>IF(T27="","",I27*T27)</x:f>
        <x:v>1426559.7506170725</x:v>
      </x:c>
    </x:row>
    <x:row r="28" ht="18" customHeight="1">
      <x:c r="A28" s="24" t="str">
        <x:v>EEZ_933</x:v>
      </x:c>
      <x:c r="B28" s="24" t="str">
        <x:v>Egypt (Mediterranean)</x:v>
      </x:c>
      <x:c r="C28" s="24" t="str">
        <x:v>EEZ</x:v>
      </x:c>
      <x:c r="D28" s="30" t="n">
        <x:v>2019</x:v>
      </x:c>
      <x:c r="E28" s="24" t="str">
        <x:v>Serranidae</x:v>
      </x:c>
      <x:c r="F28" s="24" t="str">
        <x:v>Basses, groupers, hinds</x:v>
      </x:c>
      <x:c r="G28" s="24" t="str">
        <x:v>Medium reef assoc. fish (30 - 89 cm)</x:v>
      </x:c>
      <x:c r="H28" s="24" t="str">
        <x:v>Perch-likes</x:v>
      </x:c>
      <x:c r="I28" s="31" t="n">
        <x:v>412.01583034839996</x:v>
      </x:c>
      <x:c r="J28" s="31" t="n">
        <x:v>412.01583034839996</x:v>
      </x:c>
      <x:c r="K28" s="31" t="n">
        <x:v>0</x:v>
      </x:c>
      <x:c r="L28" s="31" t="n">
        <x:v>390</x:v>
      </x:c>
      <x:c r="M28" s="31" t="n">
        <x:v>22.0158303484</x:v>
      </x:c>
      <x:c r="N28" s="24" t="str">
        <x:v>serranidae</x:v>
      </x:c>
      <x:c r="O28" s="32" t="n">
        <x:v>3.98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Serranidae</x:v>
      </x:c>
      <x:c r="T28" s="32" t="n">
        <x:f>IF(O28="","",(1/'Metadata'!$B$5)^(O28-1))</x:f>
        <x:v>954.992586021436</x:v>
      </x:c>
      <x:c r="U28" s="31" t="n">
        <x:f>IF(T28="","",I28*T28)</x:f>
        <x:v>393472.0633061877</x:v>
      </x:c>
    </x:row>
    <x:row r="29" ht="18" customHeight="1">
      <x:c r="A29" s="24" t="str">
        <x:v>EEZ_933</x:v>
      </x:c>
      <x:c r="B29" s="24" t="str">
        <x:v>Egypt (Mediterranean)</x:v>
      </x:c>
      <x:c r="C29" s="24" t="str">
        <x:v>EEZ</x:v>
      </x:c>
      <x:c r="D29" s="30" t="n">
        <x:v>2019</x:v>
      </x:c>
      <x:c r="E29" s="24" t="str">
        <x:v>Octopoda</x:v>
      </x:c>
      <x:c r="F29" s="24" t="str">
        <x:v>Octopuses, argonauts</x:v>
      </x:c>
      <x:c r="G29" s="24" t="str">
        <x:v>Cephalopods</x:v>
      </x:c>
      <x:c r="H29" s="24" t="str">
        <x:v>Other fishes &amp; inverts</x:v>
      </x:c>
      <x:c r="I29" s="31" t="n">
        <x:v>404.9592707284</x:v>
      </x:c>
      <x:c r="J29" s="31" t="n">
        <x:v>404.9592707284</x:v>
      </x:c>
      <x:c r="K29" s="31" t="n">
        <x:v>0</x:v>
      </x:c>
      <x:c r="L29" s="31" t="n">
        <x:v>389</x:v>
      </x:c>
      <x:c r="M29" s="31" t="n">
        <x:v>15.9592707284</x:v>
      </x:c>
      <x:c r="N29" s="24" t="str">
        <x:v>octopoda</x:v>
      </x:c>
      <x:c r="O29" s="32" t="n">
        <x:v>3.58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Octopoda</x:v>
      </x:c>
      <x:c r="T29" s="32" t="n">
        <x:f>IF(O29="","",(1/'Metadata'!$B$5)^(O29-1))</x:f>
        <x:v>380.1893963205613</x:v>
      </x:c>
      <x:c r="U29" s="31" t="n">
        <x:f>IF(T29="","",I29*T29)</x:f>
        <x:v>153961.22067264514</x:v>
      </x:c>
    </x:row>
    <x:row r="30" ht="18" customHeight="1">
      <x:c r="A30" s="24" t="str">
        <x:v>EEZ_933</x:v>
      </x:c>
      <x:c r="B30" s="24" t="str">
        <x:v>Egypt (Mediterranean)</x:v>
      </x:c>
      <x:c r="C30" s="24" t="str">
        <x:v>EEZ</x:v>
      </x:c>
      <x:c r="D30" s="30" t="n">
        <x:v>2019</x:v>
      </x:c>
      <x:c r="E30" s="24" t="str">
        <x:v>Engraulis encrasicolus</x:v>
      </x:c>
      <x:c r="F30" s="24" t="str">
        <x:v>European anchovy</x:v>
      </x:c>
      <x:c r="G30" s="24" t="str">
        <x:v>Small pelagics (&lt;30 cm)</x:v>
      </x:c>
      <x:c r="H30" s="24" t="str">
        <x:v>Anchovies</x:v>
      </x:c>
      <x:c r="I30" s="31" t="n">
        <x:v>370.2435396338</x:v>
      </x:c>
      <x:c r="J30" s="31" t="n">
        <x:v>0</x:v>
      </x:c>
      <x:c r="K30" s="31" t="n">
        <x:v>370.2435396338</x:v>
      </x:c>
      <x:c r="L30" s="31" t="n">
        <x:v>0</x:v>
      </x:c>
      <x:c r="M30" s="31" t="n">
        <x:v>370.2435396338</x:v>
      </x:c>
      <x:c r="N30" s="24" t="str">
        <x:v>engraulis encrasicolus</x:v>
      </x:c>
      <x:c r="O30" s="32" t="n">
        <x:v>3.11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Engraulis encrasicolus</x:v>
      </x:c>
      <x:c r="T30" s="32" t="n">
        <x:f>IF(O30="","",(1/'Metadata'!$B$5)^(O30-1))</x:f>
        <x:v>128.82495516931337</x:v>
      </x:c>
      <x:c r="U30" s="31" t="n">
        <x:f>IF(T30="","",I30*T30)</x:f>
        <x:v>47696.60739505219</x:v>
      </x:c>
    </x:row>
    <x:row r="31" ht="18" customHeight="1">
      <x:c r="A31" s="24" t="str">
        <x:v>EEZ_933</x:v>
      </x:c>
      <x:c r="B31" s="24" t="str">
        <x:v>Egypt (Mediterranean)</x:v>
      </x:c>
      <x:c r="C31" s="24" t="str">
        <x:v>EEZ</x:v>
      </x:c>
      <x:c r="D31" s="30" t="n">
        <x:v>2019</x:v>
      </x:c>
      <x:c r="E31" s="24" t="str">
        <x:v>Diplodus annularis</x:v>
      </x:c>
      <x:c r="F31" s="24" t="str">
        <x:v>Annular seabream</x:v>
      </x:c>
      <x:c r="G31" s="24" t="str">
        <x:v>Small benthopelagics (&lt;30 cm)</x:v>
      </x:c>
      <x:c r="H31" s="24" t="str">
        <x:v>Perch-likes</x:v>
      </x:c>
      <x:c r="I31" s="31" t="n">
        <x:v>369.99385036459995</x:v>
      </x:c>
      <x:c r="J31" s="31" t="n">
        <x:v>332.1896647281</x:v>
      </x:c>
      <x:c r="K31" s="31" t="n">
        <x:v>37.8041856365</x:v>
      </x:c>
      <x:c r="L31" s="31" t="n">
        <x:v>311</x:v>
      </x:c>
      <x:c r="M31" s="31" t="n">
        <x:v>58.99385036460001</x:v>
      </x:c>
      <x:c r="N31" s="24" t="str">
        <x:v>diplodus annularis</x:v>
      </x:c>
      <x:c r="O31" s="32" t="n">
        <x:v>3.64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Diplodus annularis</x:v>
      </x:c>
      <x:c r="T31" s="32" t="n">
        <x:f>IF(O31="","",(1/'Metadata'!$B$5)^(O31-1))</x:f>
        <x:v>436.5158322401661</x:v>
      </x:c>
      <x:c r="U31" s="31" t="n">
        <x:f>IF(T31="","",I31*T31)</x:f>
        <x:v>161508.17351564683</x:v>
      </x:c>
    </x:row>
    <x:row r="32" ht="18" customHeight="1">
      <x:c r="A32" s="24" t="str">
        <x:v>EEZ_933</x:v>
      </x:c>
      <x:c r="B32" s="24" t="str">
        <x:v>Egypt (Mediterranean)</x:v>
      </x:c>
      <x:c r="C32" s="24" t="str">
        <x:v>EEZ</x:v>
      </x:c>
      <x:c r="D32" s="30" t="n">
        <x:v>2019</x:v>
      </x:c>
      <x:c r="E32" s="24" t="str">
        <x:v>Diplodus sargus</x:v>
      </x:c>
      <x:c r="F32" s="24" t="str">
        <x:v>White seabream</x:v>
      </x:c>
      <x:c r="G32" s="24" t="str">
        <x:v>Medium demersals (30 - 89 cm)</x:v>
      </x:c>
      <x:c r="H32" s="24" t="str">
        <x:v>Perch-likes</x:v>
      </x:c>
      <x:c r="I32" s="31" t="n">
        <x:v>360.3464782028</x:v>
      </x:c>
      <x:c r="J32" s="31" t="n">
        <x:v>360.3464782028</x:v>
      </x:c>
      <x:c r="K32" s="31" t="n">
        <x:v>0</x:v>
      </x:c>
      <x:c r="L32" s="31" t="n">
        <x:v>343</x:v>
      </x:c>
      <x:c r="M32" s="31" t="n">
        <x:v>17.3464782028</x:v>
      </x:c>
      <x:c r="N32" s="24" t="str">
        <x:v>diplodus sargus</x:v>
      </x:c>
      <x:c r="O32" s="32" t="n">
        <x:v>3.38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Diplodus sargus</x:v>
      </x:c>
      <x:c r="T32" s="32" t="n">
        <x:f>IF(O32="","",(1/'Metadata'!$B$5)^(O32-1))</x:f>
        <x:v>239.88329190194898</x:v>
      </x:c>
      <x:c r="U32" s="31" t="n">
        <x:f>IF(T32="","",I32*T32)</x:f>
        <x:v>86441.09941656156</x:v>
      </x:c>
    </x:row>
    <x:row r="33" ht="18" customHeight="1">
      <x:c r="A33" s="24" t="str">
        <x:v>EEZ_933</x:v>
      </x:c>
      <x:c r="B33" s="24" t="str">
        <x:v>Egypt (Mediterranean)</x:v>
      </x:c>
      <x:c r="C33" s="24" t="str">
        <x:v>EEZ</x:v>
      </x:c>
      <x:c r="D33" s="30" t="n">
        <x:v>2019</x:v>
      </x:c>
      <x:c r="E33" s="24" t="str">
        <x:v>Pagellus erythrinus</x:v>
      </x:c>
      <x:c r="F33" s="24" t="str">
        <x:v>Common pandora</x:v>
      </x:c>
      <x:c r="G33" s="24" t="str">
        <x:v>Medium benthopelagics (30 - 89 cm)</x:v>
      </x:c>
      <x:c r="H33" s="24" t="str">
        <x:v>Perch-likes</x:v>
      </x:c>
      <x:c r="I33" s="31" t="n">
        <x:v>351.0940623284</x:v>
      </x:c>
      <x:c r="J33" s="31" t="n">
        <x:v>351.0940623284</x:v>
      </x:c>
      <x:c r="K33" s="31" t="n">
        <x:v>0</x:v>
      </x:c>
      <x:c r="L33" s="31" t="n">
        <x:v>327</x:v>
      </x:c>
      <x:c r="M33" s="31" t="n">
        <x:v>24.0940623284</x:v>
      </x:c>
      <x:c r="N33" s="24" t="str">
        <x:v>pagellus erythrinus</x:v>
      </x:c>
      <x:c r="O33" s="32" t="n">
        <x:v>3.48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Pagellus erythrinus</x:v>
      </x:c>
      <x:c r="T33" s="32" t="n">
        <x:f>IF(O33="","",(1/'Metadata'!$B$5)^(O33-1))</x:f>
        <x:v>301.9951720402016</x:v>
      </x:c>
      <x:c r="U33" s="31" t="n">
        <x:f>IF(T33="","",I33*T33)</x:f>
        <x:v>106028.71175515844</x:v>
      </x:c>
    </x:row>
    <x:row r="34" ht="18" customHeight="1">
      <x:c r="A34" s="24" t="str">
        <x:v>EEZ_933</x:v>
      </x:c>
      <x:c r="B34" s="24" t="str">
        <x:v>Egypt (Mediterranean)</x:v>
      </x:c>
      <x:c r="C34" s="24" t="str">
        <x:v>EEZ</x:v>
      </x:c>
      <x:c r="D34" s="30" t="n">
        <x:v>2019</x:v>
      </x:c>
      <x:c r="E34" s="24" t="str">
        <x:v>Dicentrarchus punctatus</x:v>
      </x:c>
      <x:c r="F34" s="24" t="str">
        <x:v>Spotted seabass</x:v>
      </x:c>
      <x:c r="G34" s="24" t="str">
        <x:v>Medium pelagics (30 - 89 cm)</x:v>
      </x:c>
      <x:c r="H34" s="24" t="str">
        <x:v>Perch-likes</x:v>
      </x:c>
      <x:c r="I34" s="31" t="n">
        <x:v>308.4415425811</x:v>
      </x:c>
      <x:c r="J34" s="31" t="n">
        <x:v>307.3183282371</x:v>
      </x:c>
      <x:c r="K34" s="31" t="n">
        <x:v>1.123214344</x:v>
      </x:c>
      <x:c r="L34" s="31" t="n">
        <x:v>294</x:v>
      </x:c>
      <x:c r="M34" s="31" t="n">
        <x:v>14.4415425811</x:v>
      </x:c>
      <x:c r="N34" s="24" t="str">
        <x:v>dicentrarchus punctatus</x:v>
      </x:c>
      <x:c r="O34" s="32" t="n">
        <x:v>3.94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Dicentrarchus punctatus</x:v>
      </x:c>
      <x:c r="T34" s="32" t="n">
        <x:f>IF(O34="","",(1/'Metadata'!$B$5)^(O34-1))</x:f>
        <x:v>870.9635899560806</x:v>
      </x:c>
      <x:c r="U34" s="31" t="n">
        <x:f>IF(T34="","",I34*T34)</x:f>
        <x:v>268641.35321802617</x:v>
      </x:c>
    </x:row>
    <x:row r="35" ht="18" customHeight="1">
      <x:c r="A35" s="24" t="str">
        <x:v>EEZ_933</x:v>
      </x:c>
      <x:c r="B35" s="24" t="str">
        <x:v>Egypt (Mediterranean)</x:v>
      </x:c>
      <x:c r="C35" s="24" t="str">
        <x:v>EEZ</x:v>
      </x:c>
      <x:c r="D35" s="30" t="n">
        <x:v>2019</x:v>
      </x:c>
      <x:c r="E35" s="24" t="str">
        <x:v>Thunnus alalunga</x:v>
      </x:c>
      <x:c r="F35" s="24" t="str">
        <x:v>Albacore</x:v>
      </x:c>
      <x:c r="G35" s="24" t="str">
        <x:v>Large pelagics (&gt;=90 cm)</x:v>
      </x:c>
      <x:c r="H35" s="24" t="str">
        <x:v>Tuna &amp; billfishes</x:v>
      </x:c>
      <x:c r="I35" s="31" t="n">
        <x:v>278</x:v>
      </x:c>
      <x:c r="J35" s="31" t="n">
        <x:v>278</x:v>
      </x:c>
      <x:c r="K35" s="31" t="n">
        <x:v>0</x:v>
      </x:c>
      <x:c r="L35" s="31" t="n">
        <x:v>278</x:v>
      </x:c>
      <x:c r="M35" s="31" t="n">
        <x:v>0</x:v>
      </x:c>
      <x:c r="N35" s="24" t="str">
        <x:v>thunnus alalunga</x:v>
      </x:c>
      <x:c r="O35" s="32" t="n">
        <x:v>4.3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alalunga</x:v>
      </x:c>
      <x:c r="T35" s="32" t="n">
        <x:f>IF(O35="","",(1/'Metadata'!$B$5)^(O35-1))</x:f>
        <x:v>1995.2623149688789</x:v>
      </x:c>
      <x:c r="U35" s="31" t="n">
        <x:f>IF(T35="","",I35*T35)</x:f>
        <x:v>554682.9235613483</x:v>
      </x:c>
    </x:row>
    <x:row r="36" ht="18" customHeight="1">
      <x:c r="A36" s="24" t="str">
        <x:v>EEZ_933</x:v>
      </x:c>
      <x:c r="B36" s="24" t="str">
        <x:v>Egypt (Mediterranean)</x:v>
      </x:c>
      <x:c r="C36" s="24" t="str">
        <x:v>EEZ</x:v>
      </x:c>
      <x:c r="D36" s="30" t="n">
        <x:v>2019</x:v>
      </x:c>
      <x:c r="E36" s="24" t="str">
        <x:v>Dicentrarchus labrax</x:v>
      </x:c>
      <x:c r="F36" s="24" t="str">
        <x:v>European seabass</x:v>
      </x:c>
      <x:c r="G36" s="24" t="str">
        <x:v>Large demersals (&gt;=90 cm)</x:v>
      </x:c>
      <x:c r="H36" s="24" t="str">
        <x:v>Perch-likes</x:v>
      </x:c>
      <x:c r="I36" s="31" t="n">
        <x:v>254.61024533699998</x:v>
      </x:c>
      <x:c r="J36" s="31" t="n">
        <x:v>254.61024533699998</x:v>
      </x:c>
      <x:c r="K36" s="31" t="n">
        <x:v>0</x:v>
      </x:c>
      <x:c r="L36" s="31" t="n">
        <x:v>243</x:v>
      </x:c>
      <x:c r="M36" s="31" t="n">
        <x:v>11.610245337</x:v>
      </x:c>
      <x:c r="N36" s="24" t="str">
        <x:v>dicentrarchus labrax</x:v>
      </x:c>
      <x:c r="O36" s="32" t="n">
        <x:v>3.79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Dicentrarchus labrax</x:v>
      </x:c>
      <x:c r="T36" s="32" t="n">
        <x:f>IF(O36="","",(1/'Metadata'!$B$5)^(O36-1))</x:f>
        <x:v>616.5950018614822</x:v>
      </x:c>
      <x:c r="U36" s="31" t="n">
        <x:f>IF(T36="","",I36*T36)</x:f>
        <x:v>156991.40469751993</x:v>
      </x:c>
    </x:row>
    <x:row r="37" ht="18" customHeight="1">
      <x:c r="A37" s="24" t="str">
        <x:v>EEZ_933</x:v>
      </x:c>
      <x:c r="B37" s="24" t="str">
        <x:v>Egypt (Mediterranean)</x:v>
      </x:c>
      <x:c r="C37" s="24" t="str">
        <x:v>EEZ</x:v>
      </x:c>
      <x:c r="D37" s="30" t="n">
        <x:v>2019</x:v>
      </x:c>
      <x:c r="E37" s="24" t="str">
        <x:v>Clupeidae</x:v>
      </x:c>
      <x:c r="F37" s="24" t="str">
        <x:v>Herrings, sardines, menhadens</x:v>
      </x:c>
      <x:c r="G37" s="24" t="str">
        <x:v>Small pelagics (&lt;30 cm)</x:v>
      </x:c>
      <x:c r="H37" s="24" t="str">
        <x:v>Herring-likes</x:v>
      </x:c>
      <x:c r="I37" s="31" t="n">
        <x:v>174.663288513</x:v>
      </x:c>
      <x:c r="J37" s="31" t="n">
        <x:v>174.663288513</x:v>
      </x:c>
      <x:c r="K37" s="31" t="n">
        <x:v>0</x:v>
      </x:c>
      <x:c r="L37" s="31" t="n">
        <x:v>0</x:v>
      </x:c>
      <x:c r="M37" s="31" t="n">
        <x:v>174.663288513</x:v>
      </x:c>
      <x:c r="N37" s="24" t="str">
        <x:v>clupeidae</x:v>
      </x:c>
      <x:c r="O37" s="32" t="n">
        <x:v>3.16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Clupeidae</x:v>
      </x:c>
      <x:c r="T37" s="32" t="n">
        <x:f>IF(O37="","",(1/'Metadata'!$B$5)^(O37-1))</x:f>
        <x:v>144.5439770745928</x:v>
      </x:c>
      <x:c r="U37" s="31" t="n">
        <x:f>IF(T37="","",I37*T37)</x:f>
        <x:v>25246.526370596057</x:v>
      </x:c>
    </x:row>
    <x:row r="38" ht="18" customHeight="1">
      <x:c r="A38" s="24" t="str">
        <x:v>EEZ_933</x:v>
      </x:c>
      <x:c r="B38" s="24" t="str">
        <x:v>Egypt (Mediterranean)</x:v>
      </x:c>
      <x:c r="C38" s="24" t="str">
        <x:v>EEZ</x:v>
      </x:c>
      <x:c r="D38" s="30" t="n">
        <x:v>2019</x:v>
      </x:c>
      <x:c r="E38" s="24" t="str">
        <x:v>Gobius niger</x:v>
      </x:c>
      <x:c r="F38" s="24" t="str">
        <x:v>Black goby</x:v>
      </x:c>
      <x:c r="G38" s="24" t="str">
        <x:v>Small demersals (&lt;30 cm)</x:v>
      </x:c>
      <x:c r="H38" s="24" t="str">
        <x:v>Perch-likes</x:v>
      </x:c>
      <x:c r="I38" s="31" t="n">
        <x:v>132.0258231822</x:v>
      </x:c>
      <x:c r="J38" s="31" t="n">
        <x:v>0</x:v>
      </x:c>
      <x:c r="K38" s="31" t="n">
        <x:v>132.0258231822</x:v>
      </x:c>
      <x:c r="L38" s="31" t="n">
        <x:v>0</x:v>
      </x:c>
      <x:c r="M38" s="31" t="n">
        <x:v>132.0258231822</x:v>
      </x:c>
      <x:c r="N38" s="24" t="str">
        <x:v>gobius niger</x:v>
      </x:c>
      <x:c r="O38" s="32" t="n">
        <x:v>3.31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Gobius niger</x:v>
      </x:c>
      <x:c r="T38" s="32" t="n">
        <x:f>IF(O38="","",(1/'Metadata'!$B$5)^(O38-1))</x:f>
        <x:v>204.17379446695296</x:v>
      </x:c>
      <x:c r="U38" s="31" t="n">
        <x:f>IF(T38="","",I38*T38)</x:f>
        <x:v>26956.21328673278</x:v>
      </x:c>
    </x:row>
    <x:row r="39" ht="18" customHeight="1">
      <x:c r="A39" s="24" t="str">
        <x:v>EEZ_933</x:v>
      </x:c>
      <x:c r="B39" s="24" t="str">
        <x:v>Egypt (Mediterranean)</x:v>
      </x:c>
      <x:c r="C39" s="24" t="str">
        <x:v>EEZ</x:v>
      </x:c>
      <x:c r="D39" s="30" t="n">
        <x:v>2019</x:v>
      </x:c>
      <x:c r="E39" s="24" t="str">
        <x:v>Sardinella aurita</x:v>
      </x:c>
      <x:c r="F39" s="24" t="str">
        <x:v>Round sardinella</x:v>
      </x:c>
      <x:c r="G39" s="24" t="str">
        <x:v>Small pelagics (&lt;30 cm)</x:v>
      </x:c>
      <x:c r="H39" s="24" t="str">
        <x:v>Herring-likes</x:v>
      </x:c>
      <x:c r="I39" s="31" t="n">
        <x:v>124.9977105724</x:v>
      </x:c>
      <x:c r="J39" s="31" t="n">
        <x:v>0</x:v>
      </x:c>
      <x:c r="K39" s="31" t="n">
        <x:v>124.9977105724</x:v>
      </x:c>
      <x:c r="L39" s="31" t="n">
        <x:v>0</x:v>
      </x:c>
      <x:c r="M39" s="31" t="n">
        <x:v>124.9977105724</x:v>
      </x:c>
      <x:c r="N39" s="24" t="str">
        <x:v>sardinella aurita</x:v>
      </x:c>
      <x:c r="O39" s="32" t="n">
        <x:v>3.4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Sardinella aurita</x:v>
      </x:c>
      <x:c r="T39" s="32" t="n">
        <x:f>IF(O39="","",(1/'Metadata'!$B$5)^(O39-1))</x:f>
        <x:v>251.18864315095797</x:v>
      </x:c>
      <x:c r="U39" s="31" t="n">
        <x:f>IF(T39="","",I39*T39)</x:f>
        <x:v>31398.00531565731</x:v>
      </x:c>
    </x:row>
    <x:row r="40" ht="18" customHeight="1">
      <x:c r="A40" s="24" t="str">
        <x:v>EEZ_933</x:v>
      </x:c>
      <x:c r="B40" s="24" t="str">
        <x:v>Egypt (Mediterranean)</x:v>
      </x:c>
      <x:c r="C40" s="24" t="str">
        <x:v>EEZ</x:v>
      </x:c>
      <x:c r="D40" s="30" t="n">
        <x:v>2019</x:v>
      </x:c>
      <x:c r="E40" s="24" t="str">
        <x:v>Gobius paganellus</x:v>
      </x:c>
      <x:c r="F40" s="24" t="str">
        <x:v>Rock goby</x:v>
      </x:c>
      <x:c r="G40" s="24" t="str">
        <x:v>Small demersals (&lt;30 cm)</x:v>
      </x:c>
      <x:c r="H40" s="24" t="str">
        <x:v>Perch-likes</x:v>
      </x:c>
      <x:c r="I40" s="31" t="n">
        <x:v>102.0520461156</x:v>
      </x:c>
      <x:c r="J40" s="31" t="n">
        <x:v>0</x:v>
      </x:c>
      <x:c r="K40" s="31" t="n">
        <x:v>102.0520461156</x:v>
      </x:c>
      <x:c r="L40" s="31" t="n">
        <x:v>0</x:v>
      </x:c>
      <x:c r="M40" s="31" t="n">
        <x:v>102.0520461156</x:v>
      </x:c>
      <x:c r="N40" s="24" t="str">
        <x:v>gobius paganellus</x:v>
      </x:c>
      <x:c r="O40" s="32" t="n">
        <x:v>3.3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Gobius paganellus</x:v>
      </x:c>
      <x:c r="T40" s="32" t="n">
        <x:f>IF(O40="","",(1/'Metadata'!$B$5)^(O40-1))</x:f>
        <x:v>199.52623149688787</x:v>
      </x:c>
      <x:c r="U40" s="31" t="n">
        <x:f>IF(T40="","",I40*T40)</x:f>
        <x:v>20362.060177992284</x:v>
      </x:c>
    </x:row>
    <x:row r="41" ht="18" customHeight="1">
      <x:c r="A41" s="24" t="str">
        <x:v>EEZ_933</x:v>
      </x:c>
      <x:c r="B41" s="24" t="str">
        <x:v>Egypt (Mediterranean)</x:v>
      </x:c>
      <x:c r="C41" s="24" t="str">
        <x:v>EEZ</x:v>
      </x:c>
      <x:c r="D41" s="30" t="n">
        <x:v>2019</x:v>
      </x:c>
      <x:c r="E41" s="24" t="str">
        <x:v>Pomadasys stridens</x:v>
      </x:c>
      <x:c r="F41" s="24" t="str">
        <x:v>Striped piggy</x:v>
      </x:c>
      <x:c r="G41" s="24" t="str">
        <x:v>Small reef assoc. fish (&lt;30 cm)</x:v>
      </x:c>
      <x:c r="H41" s="24" t="str">
        <x:v>Perch-likes</x:v>
      </x:c>
      <x:c r="I41" s="31" t="n">
        <x:v>88.0890235281</x:v>
      </x:c>
      <x:c r="J41" s="31" t="n">
        <x:v>88.0890235281</x:v>
      </x:c>
      <x:c r="K41" s="31" t="n">
        <x:v>0</x:v>
      </x:c>
      <x:c r="L41" s="31" t="n">
        <x:v>75</x:v>
      </x:c>
      <x:c r="M41" s="31" t="n">
        <x:v>13.0890235281</x:v>
      </x:c>
      <x:c r="N41" s="24" t="str">
        <x:v>pomadasys stridens</x:v>
      </x:c>
      <x:c r="O41" s="32" t="n">
        <x:v>4.02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Pomadasys stridens</x:v>
      </x:c>
      <x:c r="T41" s="32" t="n">
        <x:f>IF(O41="","",(1/'Metadata'!$B$5)^(O41-1))</x:f>
        <x:v>1047.1285480508984</x:v>
      </x:c>
      <x:c r="U41" s="31" t="n">
        <x:f>IF(T41="","",I41*T41)</x:f>
        <x:v>92240.53130620078</x:v>
      </x:c>
    </x:row>
    <x:row r="42" ht="18" customHeight="1">
      <x:c r="A42" s="24" t="str">
        <x:v>EEZ_933</x:v>
      </x:c>
      <x:c r="B42" s="24" t="str">
        <x:v>Egypt (Mediterranean)</x:v>
      </x:c>
      <x:c r="C42" s="24" t="str">
        <x:v>EEZ</x:v>
      </x:c>
      <x:c r="D42" s="30" t="n">
        <x:v>2019</x:v>
      </x:c>
      <x:c r="E42" s="24" t="str">
        <x:v>Congridae</x:v>
      </x:c>
      <x:c r="F42" s="24" t="str">
        <x:v>Conger, garden eels</x:v>
      </x:c>
      <x:c r="G42" s="24" t="str">
        <x:v>Large demersals (&gt;=90 cm)</x:v>
      </x:c>
      <x:c r="H42" s="24" t="str">
        <x:v>Other fishes &amp; inverts</x:v>
      </x:c>
      <x:c r="I42" s="31" t="n">
        <x:v>85.3001064702</x:v>
      </x:c>
      <x:c r="J42" s="31" t="n">
        <x:v>0</x:v>
      </x:c>
      <x:c r="K42" s="31" t="n">
        <x:v>85.3001064702</x:v>
      </x:c>
      <x:c r="L42" s="31" t="n">
        <x:v>0</x:v>
      </x:c>
      <x:c r="M42" s="31" t="n">
        <x:v>85.3001064702</x:v>
      </x:c>
      <x:c r="N42" s="24" t="str">
        <x:v>congridae</x:v>
      </x:c>
      <x:c r="O42" s="32" t="n">
        <x:v>4.18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Congridae</x:v>
      </x:c>
      <x:c r="T42" s="32" t="n">
        <x:f>IF(O42="","",(1/'Metadata'!$B$5)^(O42-1))</x:f>
        <x:v>1513.5612484362073</x:v>
      </x:c>
      <x:c r="U42" s="31" t="n">
        <x:f>IF(T42="","",I42*T42)</x:f>
        <x:v>129106.93564077733</x:v>
      </x:c>
    </x:row>
    <x:row r="43" ht="18" customHeight="1">
      <x:c r="A43" s="24" t="str">
        <x:v>EEZ_933</x:v>
      </x:c>
      <x:c r="B43" s="24" t="str">
        <x:v>Egypt (Mediterranean)</x:v>
      </x:c>
      <x:c r="C43" s="24" t="str">
        <x:v>EEZ</x:v>
      </x:c>
      <x:c r="D43" s="30" t="n">
        <x:v>2019</x:v>
      </x:c>
      <x:c r="E43" s="24" t="str">
        <x:v>Labridae</x:v>
      </x:c>
      <x:c r="F43" s="24" t="str">
        <x:v>Wrasses, gropers, tuskfishes</x:v>
      </x:c>
      <x:c r="G43" s="24" t="str">
        <x:v>Medium reef assoc. fish (30 - 89 cm)</x:v>
      </x:c>
      <x:c r="H43" s="24" t="str">
        <x:v>Perch-likes</x:v>
      </x:c>
      <x:c r="I43" s="31" t="n">
        <x:v>74</x:v>
      </x:c>
      <x:c r="J43" s="31" t="n">
        <x:v>74</x:v>
      </x:c>
      <x:c r="K43" s="31" t="n">
        <x:v>0</x:v>
      </x:c>
      <x:c r="L43" s="31" t="n">
        <x:v>74</x:v>
      </x:c>
      <x:c r="M43" s="31" t="n">
        <x:v>0</x:v>
      </x:c>
      <x:c r="N43" s="24" t="str">
        <x:v>labridae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Labridae</x:v>
      </x:c>
      <x:c r="T43" s="32" t="n">
        <x:f>IF(O43="","",(1/'Metadata'!$B$5)^(O43-1))</x:f>
        <x:v>288.40315031266056</x:v>
      </x:c>
      <x:c r="U43" s="31" t="n">
        <x:f>IF(T43="","",I43*T43)</x:f>
        <x:v>21341.833123136883</x:v>
      </x:c>
    </x:row>
    <x:row r="44" ht="18" customHeight="1">
      <x:c r="A44" s="24" t="str">
        <x:v>EEZ_933</x:v>
      </x:c>
      <x:c r="B44" s="24" t="str">
        <x:v>Egypt (Mediterranean)</x:v>
      </x:c>
      <x:c r="C44" s="24" t="str">
        <x:v>EEZ</x:v>
      </x:c>
      <x:c r="D44" s="30" t="n">
        <x:v>2019</x:v>
      </x:c>
      <x:c r="E44" s="24" t="str">
        <x:v>Soleidae</x:v>
      </x:c>
      <x:c r="F44" s="24" t="str">
        <x:v>Soles</x:v>
      </x:c>
      <x:c r="G44" s="24" t="str">
        <x:v>Small to medium flatfishes (&lt;90 cm)</x:v>
      </x:c>
      <x:c r="H44" s="24" t="str">
        <x:v>Flatfishes</x:v>
      </x:c>
      <x:c r="I44" s="31" t="n">
        <x:v>71.4278053524</x:v>
      </x:c>
      <x:c r="J44" s="31" t="n">
        <x:v>71.4278053524</x:v>
      </x:c>
      <x:c r="K44" s="31" t="n">
        <x:v>0</x:v>
      </x:c>
      <x:c r="L44" s="31" t="n">
        <x:v>0</x:v>
      </x:c>
      <x:c r="M44" s="31" t="n">
        <x:v>71.4278053524</x:v>
      </x:c>
      <x:c r="N44" s="24" t="str">
        <x:v>soleidae</x:v>
      </x:c>
      <x:c r="O44" s="32" t="n">
        <x:v>3.15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Soleidae</x:v>
      </x:c>
      <x:c r="T44" s="32" t="n">
        <x:f>IF(O44="","",(1/'Metadata'!$B$5)^(O44-1))</x:f>
        <x:v>141.2537544622754</x:v>
      </x:c>
      <x:c r="U44" s="31" t="n">
        <x:f>IF(T44="","",I44*T44)</x:f>
        <x:v>10089.44567902711</x:v>
      </x:c>
    </x:row>
    <x:row r="45" ht="18" customHeight="1">
      <x:c r="A45" s="24" t="str">
        <x:v>EEZ_933</x:v>
      </x:c>
      <x:c r="B45" s="24" t="str">
        <x:v>Egypt (Mediterranean)</x:v>
      </x:c>
      <x:c r="C45" s="24" t="str">
        <x:v>EEZ</x:v>
      </x:c>
      <x:c r="D45" s="30" t="n">
        <x:v>2019</x:v>
      </x:c>
      <x:c r="E45" s="24" t="str">
        <x:v>Chondrichthyes</x:v>
      </x:c>
      <x:c r="F45" s="24" t="str">
        <x:v>Sharks, rays, chimaeras</x:v>
      </x:c>
      <x:c r="G45" s="24" t="str">
        <x:v>Large sharks (&gt;=90 cm)</x:v>
      </x:c>
      <x:c r="H45" s="24" t="str">
        <x:v>Sharks &amp; rays</x:v>
      </x:c>
      <x:c r="I45" s="31" t="n">
        <x:v>71.20252912699999</x:v>
      </x:c>
      <x:c r="J45" s="31" t="n">
        <x:v>71.20252912699999</x:v>
      </x:c>
      <x:c r="K45" s="31" t="n">
        <x:v>0</x:v>
      </x:c>
      <x:c r="L45" s="31" t="n">
        <x:v>0</x:v>
      </x:c>
      <x:c r="M45" s="31" t="n">
        <x:v>71.20252912699999</x:v>
      </x:c>
      <x:c r="N45" s="24" t="str">
        <x:v>chondrichthyes</x:v>
      </x:c>
      <x:c r="O45" s="32" t="n">
        <x:v>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Chondrichthyes</x:v>
      </x:c>
      <x:c r="T45" s="32" t="n">
        <x:f>IF(O45="","",(1/'Metadata'!$B$5)^(O45-1))</x:f>
        <x:v>1000</x:v>
      </x:c>
      <x:c r="U45" s="31" t="n">
        <x:f>IF(T45="","",I45*T45)</x:f>
        <x:v>71202.52912699999</x:v>
      </x:c>
    </x:row>
    <x:row r="46" ht="18" customHeight="1">
      <x:c r="A46" s="24" t="str">
        <x:v>EEZ_933</x:v>
      </x:c>
      <x:c r="B46" s="24" t="str">
        <x:v>Egypt (Mediterranean)</x:v>
      </x:c>
      <x:c r="C46" s="24" t="str">
        <x:v>EEZ</x:v>
      </x:c>
      <x:c r="D46" s="30" t="n">
        <x:v>2019</x:v>
      </x:c>
      <x:c r="E46" s="24" t="str">
        <x:v>Sciaenidae</x:v>
      </x:c>
      <x:c r="F46" s="24" t="str">
        <x:v>Drums, croakers</x:v>
      </x:c>
      <x:c r="G46" s="24" t="str">
        <x:v>Medium demersals (30 - 89 cm)</x:v>
      </x:c>
      <x:c r="H46" s="24" t="str">
        <x:v>Perch-likes</x:v>
      </x:c>
      <x:c r="I46" s="31" t="n">
        <x:v>66.4140719095</x:v>
      </x:c>
      <x:c r="J46" s="31" t="n">
        <x:v>66.4140719095</x:v>
      </x:c>
      <x:c r="K46" s="31" t="n">
        <x:v>0</x:v>
      </x:c>
      <x:c r="L46" s="31" t="n">
        <x:v>0</x:v>
      </x:c>
      <x:c r="M46" s="31" t="n">
        <x:v>66.4140719095</x:v>
      </x:c>
      <x:c r="N46" s="24" t="str">
        <x:v>sciaenidae</x:v>
      </x:c>
      <x:c r="O46" s="32" t="n">
        <x:v>3.76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Sciaenidae</x:v>
      </x:c>
      <x:c r="T46" s="32" t="n">
        <x:f>IF(O46="","",(1/'Metadata'!$B$5)^(O46-1))</x:f>
        <x:v>575.4399373371566</x:v>
      </x:c>
      <x:c r="U46" s="31" t="n">
        <x:f>IF(T46="","",I46*T46)</x:f>
        <x:v>38217.30937790809</x:v>
      </x:c>
    </x:row>
    <x:row r="47" ht="18" customHeight="1">
      <x:c r="A47" s="24" t="str">
        <x:v>EEZ_933</x:v>
      </x:c>
      <x:c r="B47" s="24" t="str">
        <x:v>Egypt (Mediterranean)</x:v>
      </x:c>
      <x:c r="C47" s="24" t="str">
        <x:v>EEZ</x:v>
      </x:c>
      <x:c r="D47" s="30" t="n">
        <x:v>2019</x:v>
      </x:c>
      <x:c r="E47" s="24" t="str">
        <x:v>Solea solea</x:v>
      </x:c>
      <x:c r="F47" s="24" t="str">
        <x:v>Common sole</x:v>
      </x:c>
      <x:c r="G47" s="24" t="str">
        <x:v>Small to medium flatfishes (&lt;90 cm)</x:v>
      </x:c>
      <x:c r="H47" s="24" t="str">
        <x:v>Flatfishes</x:v>
      </x:c>
      <x:c r="I47" s="31" t="n">
        <x:v>54.2993905747</x:v>
      </x:c>
      <x:c r="J47" s="31" t="n">
        <x:v>0</x:v>
      </x:c>
      <x:c r="K47" s="31" t="n">
        <x:v>54.2993905747</x:v>
      </x:c>
      <x:c r="L47" s="31" t="n">
        <x:v>0</x:v>
      </x:c>
      <x:c r="M47" s="31" t="n">
        <x:v>54.2993905747</x:v>
      </x:c>
      <x:c r="N47" s="24" t="str">
        <x:v>solea solea</x:v>
      </x:c>
      <x:c r="O47" s="32" t="n">
        <x:v>3.21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Solea solea</x:v>
      </x:c>
      <x:c r="T47" s="32" t="n">
        <x:f>IF(O47="","",(1/'Metadata'!$B$5)^(O47-1))</x:f>
        <x:v>162.18100973589299</x:v>
      </x:c>
      <x:c r="U47" s="31" t="n">
        <x:f>IF(T47="","",I47*T47)</x:f>
        <x:v>8806.329991448476</x:v>
      </x:c>
    </x:row>
    <x:row r="48" ht="18" customHeight="1">
      <x:c r="A48" s="24" t="str">
        <x:v>EEZ_933</x:v>
      </x:c>
      <x:c r="B48" s="24" t="str">
        <x:v>Egypt (Mediterranean)</x:v>
      </x:c>
      <x:c r="C48" s="24" t="str">
        <x:v>EEZ</x:v>
      </x:c>
      <x:c r="D48" s="30" t="n">
        <x:v>2019</x:v>
      </x:c>
      <x:c r="E48" s="24" t="str">
        <x:v>Priacanthus</x:v>
      </x:c>
      <x:c r="F48" s="24" t="str">
        <x:v>Bigeyes</x:v>
      </x:c>
      <x:c r="G48" s="24" t="str">
        <x:v>Medium reef assoc. fish (30 - 89 cm)</x:v>
      </x:c>
      <x:c r="H48" s="24" t="str">
        <x:v>Perch-likes</x:v>
      </x:c>
      <x:c r="I48" s="31" t="n">
        <x:v>48</x:v>
      </x:c>
      <x:c r="J48" s="31" t="n">
        <x:v>48</x:v>
      </x:c>
      <x:c r="K48" s="31" t="n">
        <x:v>0</x:v>
      </x:c>
      <x:c r="L48" s="31" t="n">
        <x:v>48</x:v>
      </x:c>
      <x:c r="M48" s="31" t="n">
        <x:v>0</x:v>
      </x:c>
      <x:c r="N48" s="24" t="str">
        <x:v>priacanthus</x:v>
      </x:c>
      <x:c r="O48" s="32" t="n">
        <x:v>3.81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Priacanthus</x:v>
      </x:c>
      <x:c r="T48" s="32" t="n">
        <x:f>IF(O48="","",(1/'Metadata'!$B$5)^(O48-1))</x:f>
        <x:v>645.6542290346556</x:v>
      </x:c>
      <x:c r="U48" s="31" t="n">
        <x:f>IF(T48="","",I48*T48)</x:f>
        <x:v>30991.40299366347</x:v>
      </x:c>
    </x:row>
    <x:row r="49" ht="18" customHeight="1">
      <x:c r="A49" s="24" t="str">
        <x:v>EEZ_933</x:v>
      </x:c>
      <x:c r="B49" s="24" t="str">
        <x:v>Egypt (Mediterranean)</x:v>
      </x:c>
      <x:c r="C49" s="24" t="str">
        <x:v>EEZ</x:v>
      </x:c>
      <x:c r="D49" s="30" t="n">
        <x:v>2019</x:v>
      </x:c>
      <x:c r="E49" s="24" t="str">
        <x:v>Sardinella maderensis</x:v>
      </x:c>
      <x:c r="F49" s="24" t="str">
        <x:v>Madeiran sardinella</x:v>
      </x:c>
      <x:c r="G49" s="24" t="str">
        <x:v>Medium pelagics (30 - 89 cm)</x:v>
      </x:c>
      <x:c r="H49" s="24" t="str">
        <x:v>Herring-likes</x:v>
      </x:c>
      <x:c r="I49" s="31" t="n">
        <x:v>39.7938796174</x:v>
      </x:c>
      <x:c r="J49" s="31" t="n">
        <x:v>0</x:v>
      </x:c>
      <x:c r="K49" s="31" t="n">
        <x:v>39.7938796174</x:v>
      </x:c>
      <x:c r="L49" s="31" t="n">
        <x:v>0</x:v>
      </x:c>
      <x:c r="M49" s="31" t="n">
        <x:v>39.7938796174</x:v>
      </x:c>
      <x:c r="N49" s="24" t="str">
        <x:v>sardinella maderensis</x:v>
      </x:c>
      <x:c r="O49" s="32" t="n">
        <x:v>3.2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Sardinella maderensis</x:v>
      </x:c>
      <x:c r="T49" s="32" t="n">
        <x:f>IF(O49="","",(1/'Metadata'!$B$5)^(O49-1))</x:f>
        <x:v>158.48931924611142</x:v>
      </x:c>
      <x:c r="U49" s="31" t="n">
        <x:f>IF(T49="","",I49*T49)</x:f>
        <x:v>6306.9048907234355</x:v>
      </x:c>
    </x:row>
    <x:row r="50" ht="18" customHeight="1">
      <x:c r="A50" s="24" t="str">
        <x:v>EEZ_933</x:v>
      </x:c>
      <x:c r="B50" s="24" t="str">
        <x:v>Egypt (Mediterranean)</x:v>
      </x:c>
      <x:c r="C50" s="24" t="str">
        <x:v>EEZ</x:v>
      </x:c>
      <x:c r="D50" s="30" t="n">
        <x:v>2019</x:v>
      </x:c>
      <x:c r="E50" s="24" t="str">
        <x:v>Chelon auratus</x:v>
      </x:c>
      <x:c r="F50" s="24" t="str">
        <x:v>Golden grey mullet</x:v>
      </x:c>
      <x:c r="G50" s="24" t="str">
        <x:v>Medium pelagics (30 - 89 cm)</x:v>
      </x:c>
      <x:c r="H50" s="24" t="str">
        <x:v>Other fishes &amp; inverts</x:v>
      </x:c>
      <x:c r="I50" s="31" t="n">
        <x:v>32.6053078155</x:v>
      </x:c>
      <x:c r="J50" s="31" t="n">
        <x:v>0</x:v>
      </x:c>
      <x:c r="K50" s="31" t="n">
        <x:v>32.6053078155</x:v>
      </x:c>
      <x:c r="L50" s="31" t="n">
        <x:v>0</x:v>
      </x:c>
      <x:c r="M50" s="31" t="n">
        <x:v>32.6053078155</x:v>
      </x:c>
      <x:c r="N50" s="24" t="str">
        <x:v>chelon auratus</x:v>
      </x:c>
      <x:c r="O50" s="32" t="n">
        <x:v>2.8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Chelon auratus</x:v>
      </x:c>
      <x:c r="T50" s="32" t="n">
        <x:f>IF(O50="","",(1/'Metadata'!$B$5)^(O50-1))</x:f>
        <x:v>63.0957344480193</x:v>
      </x:c>
      <x:c r="U50" s="31" t="n">
        <x:f>IF(T50="","",I50*T50)</x:f>
        <x:v>2057.255843522716</x:v>
      </x:c>
    </x:row>
    <x:row r="51" ht="18" customHeight="1">
      <x:c r="A51" s="24" t="str">
        <x:v>EEZ_933</x:v>
      </x:c>
      <x:c r="B51" s="24" t="str">
        <x:v>Egypt (Mediterranean)</x:v>
      </x:c>
      <x:c r="C51" s="24" t="str">
        <x:v>EEZ</x:v>
      </x:c>
      <x:c r="D51" s="30" t="n">
        <x:v>2019</x:v>
      </x:c>
      <x:c r="E51" s="24" t="str">
        <x:v>Platycephalus indicus</x:v>
      </x:c>
      <x:c r="F51" s="24" t="str">
        <x:v>Bartail flathead</x:v>
      </x:c>
      <x:c r="G51" s="24" t="str">
        <x:v>Medium demersals (30 - 89 cm)</x:v>
      </x:c>
      <x:c r="H51" s="24" t="str">
        <x:v>Scorpionfishes</x:v>
      </x:c>
      <x:c r="I51" s="31" t="n">
        <x:v>31.0007158955</x:v>
      </x:c>
      <x:c r="J51" s="31" t="n">
        <x:v>0</x:v>
      </x:c>
      <x:c r="K51" s="31" t="n">
        <x:v>31.0007158955</x:v>
      </x:c>
      <x:c r="L51" s="31" t="n">
        <x:v>0</x:v>
      </x:c>
      <x:c r="M51" s="31" t="n">
        <x:v>31.0007158955</x:v>
      </x:c>
      <x:c r="N51" s="24" t="str">
        <x:v>platycephalus indicus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Platycephalus indicus</x:v>
      </x:c>
      <x:c r="T51" s="32" t="n">
        <x:f>IF(O51="","",(1/'Metadata'!$B$5)^(O51-1))</x:f>
        <x:v>398.1071705534973</x:v>
      </x:c>
      <x:c r="U51" s="31" t="n">
        <x:f>IF(T51="","",I51*T51)</x:f>
        <x:v>12341.607290290334</x:v>
      </x:c>
    </x:row>
    <x:row r="52" ht="18" customHeight="1">
      <x:c r="A52" s="24" t="str">
        <x:v>EEZ_933</x:v>
      </x:c>
      <x:c r="B52" s="24" t="str">
        <x:v>Egypt (Mediterranean)</x:v>
      </x:c>
      <x:c r="C52" s="24" t="str">
        <x:v>EEZ</x:v>
      </x:c>
      <x:c r="D52" s="30" t="n">
        <x:v>2019</x:v>
      </x:c>
      <x:c r="E52" s="24" t="str">
        <x:v>Loligo</x:v>
      </x:c>
      <x:c r="F52" s="24" t="str">
        <x:v>Common squids</x:v>
      </x:c>
      <x:c r="G52" s="24" t="str">
        <x:v>Cephalopods</x:v>
      </x:c>
      <x:c r="H52" s="24" t="str">
        <x:v>Other fishes &amp; inverts</x:v>
      </x:c>
      <x:c r="I52" s="31" t="n">
        <x:v>29</x:v>
      </x:c>
      <x:c r="J52" s="31" t="n">
        <x:v>29</x:v>
      </x:c>
      <x:c r="K52" s="31" t="n">
        <x:v>0</x:v>
      </x:c>
      <x:c r="L52" s="31" t="n">
        <x:v>29</x:v>
      </x:c>
      <x:c r="M52" s="31" t="n">
        <x:v>0</x:v>
      </x:c>
      <x:c r="N52" s="24" t="str">
        <x:v>loligo</x:v>
      </x:c>
      <x:c r="O52" s="32" t="n">
        <x:v>3.99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Loligo</x:v>
      </x:c>
      <x:c r="T52" s="32" t="n">
        <x:f>IF(O52="","",(1/'Metadata'!$B$5)^(O52-1))</x:f>
        <x:v>977.2372209558112</x:v>
      </x:c>
      <x:c r="U52" s="31" t="n">
        <x:f>IF(T52="","",I52*T52)</x:f>
        <x:v>28339.879407718523</x:v>
      </x:c>
    </x:row>
    <x:row r="53" ht="18" customHeight="1">
      <x:c r="A53" s="24" t="str">
        <x:v>EEZ_933</x:v>
      </x:c>
      <x:c r="B53" s="24" t="str">
        <x:v>Egypt (Mediterranean)</x:v>
      </x:c>
      <x:c r="C53" s="24" t="str">
        <x:v>EEZ</x:v>
      </x:c>
      <x:c r="D53" s="30" t="n">
        <x:v>2019</x:v>
      </x:c>
      <x:c r="E53" s="24" t="str">
        <x:v>Solea aegyptiaca</x:v>
      </x:c>
      <x:c r="F53" s="24" t="str">
        <x:v>Egyptian sole</x:v>
      </x:c>
      <x:c r="G53" s="24" t="str">
        <x:v>Small to medium flatfishes (&lt;90 cm)</x:v>
      </x:c>
      <x:c r="H53" s="24" t="str">
        <x:v>Flatfishes</x:v>
      </x:c>
      <x:c r="I53" s="31" t="n">
        <x:v>26.3794911657</x:v>
      </x:c>
      <x:c r="J53" s="31" t="n">
        <x:v>0</x:v>
      </x:c>
      <x:c r="K53" s="31" t="n">
        <x:v>26.3794911657</x:v>
      </x:c>
      <x:c r="L53" s="31" t="n">
        <x:v>0</x:v>
      </x:c>
      <x:c r="M53" s="31" t="n">
        <x:v>26.3794911657</x:v>
      </x:c>
      <x:c r="N53" s="24" t="str">
        <x:v>solea aegyptiaca</x:v>
      </x:c>
      <x:c r="O53" s="32" t="n">
        <x:v>3.17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Solea aegyptiaca</x:v>
      </x:c>
      <x:c r="T53" s="32" t="n">
        <x:f>IF(O53="","",(1/'Metadata'!$B$5)^(O53-1))</x:f>
        <x:v>147.91083881682073</x:v>
      </x:c>
      <x:c r="U53" s="31" t="n">
        <x:f>IF(T53="","",I53*T53)</x:f>
        <x:v>3901.812665879599</x:v>
      </x:c>
    </x:row>
    <x:row r="54" ht="18" customHeight="1">
      <x:c r="A54" s="24" t="str">
        <x:v>EEZ_933</x:v>
      </x:c>
      <x:c r="B54" s="24" t="str">
        <x:v>Egypt (Mediterranean)</x:v>
      </x:c>
      <x:c r="C54" s="24" t="str">
        <x:v>EEZ</x:v>
      </x:c>
      <x:c r="D54" s="30" t="n">
        <x:v>2019</x:v>
      </x:c>
      <x:c r="E54" s="24" t="str">
        <x:v>Carangidae</x:v>
      </x:c>
      <x:c r="F54" s="24" t="str">
        <x:v>Jacks, pompanos</x:v>
      </x:c>
      <x:c r="G54" s="24" t="str">
        <x:v>Medium pelagics (30 - 89 cm)</x:v>
      </x:c>
      <x:c r="H54" s="24" t="str">
        <x:v>Perch-likes</x:v>
      </x:c>
      <x:c r="I54" s="31" t="n">
        <x:v>26.2934633868</x:v>
      </x:c>
      <x:c r="J54" s="31" t="n">
        <x:v>26.2934633868</x:v>
      </x:c>
      <x:c r="K54" s="31" t="n">
        <x:v>0</x:v>
      </x:c>
      <x:c r="L54" s="31" t="n">
        <x:v>0</x:v>
      </x:c>
      <x:c r="M54" s="31" t="n">
        <x:v>26.2934633868</x:v>
      </x:c>
      <x:c r="N54" s="24" t="str">
        <x:v>carangidae</x:v>
      </x:c>
      <x:c r="O54" s="32" t="n">
        <x:v>4.05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Carangidae</x:v>
      </x:c>
      <x:c r="T54" s="32" t="n">
        <x:f>IF(O54="","",(1/'Metadata'!$B$5)^(O54-1))</x:f>
        <x:v>1122.018454301963</x:v>
      </x:c>
      <x:c r="U54" s="31" t="n">
        <x:f>IF(T54="","",I54*T54)</x:f>
        <x:v>29501.75114750259</x:v>
      </x:c>
    </x:row>
    <x:row r="55" ht="18" customHeight="1">
      <x:c r="A55" s="24" t="str">
        <x:v>EEZ_933</x:v>
      </x:c>
      <x:c r="B55" s="24" t="str">
        <x:v>Egypt (Mediterranean)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23.3092199816</x:v>
      </x:c>
      <x:c r="J55" s="31" t="n">
        <x:v>23.3092199816</x:v>
      </x:c>
      <x:c r="K55" s="31" t="n">
        <x:v>0</x:v>
      </x:c>
      <x:c r="L55" s="31" t="n">
        <x:v>0</x:v>
      </x:c>
      <x:c r="M55" s="31" t="n">
        <x:v>23.3092199816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65694.3077372298</x:v>
      </x:c>
    </x:row>
    <x:row r="56" ht="18" customHeight="1">
      <x:c r="A56" s="24" t="str">
        <x:v>EEZ_933</x:v>
      </x:c>
      <x:c r="B56" s="24" t="str">
        <x:v>Egypt (Mediterranean)</x:v>
      </x:c>
      <x:c r="C56" s="24" t="str">
        <x:v>EEZ</x:v>
      </x:c>
      <x:c r="D56" s="30" t="n">
        <x:v>2019</x:v>
      </x:c>
      <x:c r="E56" s="24" t="str">
        <x:v>Sparidae</x:v>
      </x:c>
      <x:c r="F56" s="24" t="str">
        <x:v>Porgies, seabreams</x:v>
      </x:c>
      <x:c r="G56" s="24" t="str">
        <x:v>Medium benthopelagics (30 - 89 cm)</x:v>
      </x:c>
      <x:c r="H56" s="24" t="str">
        <x:v>Perch-likes</x:v>
      </x:c>
      <x:c r="I56" s="31" t="n">
        <x:v>21.539110289299998</x:v>
      </x:c>
      <x:c r="J56" s="31" t="n">
        <x:v>21.539110289299998</x:v>
      </x:c>
      <x:c r="K56" s="31" t="n">
        <x:v>0</x:v>
      </x:c>
      <x:c r="L56" s="31" t="n">
        <x:v>0</x:v>
      </x:c>
      <x:c r="M56" s="31" t="n">
        <x:v>21.539110289299998</x:v>
      </x:c>
      <x:c r="N56" s="24" t="str">
        <x:v>sparidae</x:v>
      </x:c>
      <x:c r="O56" s="32" t="n">
        <x:v>3.31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Sparidae</x:v>
      </x:c>
      <x:c r="T56" s="32" t="n">
        <x:f>IF(O56="","",(1/'Metadata'!$B$5)^(O56-1))</x:f>
        <x:v>204.17379446695296</x:v>
      </x:c>
      <x:c r="U56" s="31" t="n">
        <x:f>IF(T56="","",I56*T56)</x:f>
        <x:v>4397.72187720857</x:v>
      </x:c>
    </x:row>
    <x:row r="57" ht="18" customHeight="1">
      <x:c r="A57" s="24" t="str">
        <x:v>EEZ_933</x:v>
      </x:c>
      <x:c r="B57" s="24" t="str">
        <x:v>Egypt (Mediterranean)</x:v>
      </x:c>
      <x:c r="C57" s="24" t="str">
        <x:v>EEZ</x:v>
      </x:c>
      <x:c r="D57" s="30" t="n">
        <x:v>2019</x:v>
      </x:c>
      <x:c r="E57" s="24" t="str">
        <x:v>Sepiidae</x:v>
      </x:c>
      <x:c r="F57" s="24" t="str">
        <x:v>Cuttlefishes</x:v>
      </x:c>
      <x:c r="G57" s="24" t="str">
        <x:v>Cephalopods</x:v>
      </x:c>
      <x:c r="H57" s="24" t="str">
        <x:v>Other fishes &amp; inverts</x:v>
      </x:c>
      <x:c r="I57" s="31" t="n">
        <x:v>18.7392213929</x:v>
      </x:c>
      <x:c r="J57" s="31" t="n">
        <x:v>18.7392213929</x:v>
      </x:c>
      <x:c r="K57" s="31" t="n">
        <x:v>0</x:v>
      </x:c>
      <x:c r="L57" s="31" t="n">
        <x:v>0</x:v>
      </x:c>
      <x:c r="M57" s="31" t="n">
        <x:v>18.7392213929</x:v>
      </x:c>
      <x:c r="N57" s="24" t="str">
        <x:v>sepiidae</x:v>
      </x:c>
      <x:c r="O57" s="32" t="n">
        <x:v>3.6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Sepiidae</x:v>
      </x:c>
      <x:c r="T57" s="32" t="n">
        <x:f>IF(O57="","",(1/'Metadata'!$B$5)^(O57-1))</x:f>
        <x:v>398.1071705534973</x:v>
      </x:c>
      <x:c r="U57" s="31" t="n">
        <x:f>IF(T57="","",I57*T57)</x:f>
        <x:v>7460.218407102986</x:v>
      </x:c>
    </x:row>
    <x:row r="58" ht="18" customHeight="1">
      <x:c r="A58" s="24" t="str">
        <x:v>EEZ_933</x:v>
      </x:c>
      <x:c r="B58" s="24" t="str">
        <x:v>Egypt (Mediterranean)</x:v>
      </x:c>
      <x:c r="C58" s="24" t="str">
        <x:v>EEZ</x:v>
      </x:c>
      <x:c r="D58" s="30" t="n">
        <x:v>2019</x:v>
      </x:c>
      <x:c r="E58" s="24" t="str">
        <x:v>Moronidae</x:v>
      </x:c>
      <x:c r="F58" s="24" t="str">
        <x:v>Temperate basses</x:v>
      </x:c>
      <x:c r="G58" s="24" t="str">
        <x:v>Medium demersals (30 - 89 cm)</x:v>
      </x:c>
      <x:c r="H58" s="24" t="str">
        <x:v>Perch-likes</x:v>
      </x:c>
      <x:c r="I58" s="31" t="n">
        <x:v>17.3368143215</x:v>
      </x:c>
      <x:c r="J58" s="31" t="n">
        <x:v>17.3368143215</x:v>
      </x:c>
      <x:c r="K58" s="31" t="n">
        <x:v>0</x:v>
      </x:c>
      <x:c r="L58" s="31" t="n">
        <x:v>0</x:v>
      </x:c>
      <x:c r="M58" s="31" t="n">
        <x:v>17.3368143215</x:v>
      </x:c>
      <x:c r="N58" s="24" t="str">
        <x:v>moronidae</x:v>
      </x:c>
      <x:c r="O58" s="32" t="n">
        <x:v>3.87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Moronidae</x:v>
      </x:c>
      <x:c r="T58" s="32" t="n">
        <x:f>IF(O58="","",(1/'Metadata'!$B$5)^(O58-1))</x:f>
        <x:v>741.3102413009177</x:v>
      </x:c>
      <x:c r="U58" s="31" t="n">
        <x:f>IF(T58="","",I58*T58)</x:f>
        <x:v>12851.958008060372</x:v>
      </x:c>
    </x:row>
    <x:row r="59" ht="18" customHeight="1">
      <x:c r="A59" s="24" t="str">
        <x:v>EEZ_933</x:v>
      </x:c>
      <x:c r="B59" s="24" t="str">
        <x:v>Egypt (Mediterranean)</x:v>
      </x:c>
      <x:c r="C59" s="24" t="str">
        <x:v>EEZ</x:v>
      </x:c>
      <x:c r="D59" s="30" t="n">
        <x:v>2019</x:v>
      </x:c>
      <x:c r="E59" s="24" t="str">
        <x:v>Cepola macrophthalma</x:v>
      </x:c>
      <x:c r="F59" s="24" t="str">
        <x:v>Red bandfish</x:v>
      </x:c>
      <x:c r="G59" s="24" t="str">
        <x:v>Medium demersals (30 - 89 cm)</x:v>
      </x:c>
      <x:c r="H59" s="24" t="str">
        <x:v>Perch-likes</x:v>
      </x:c>
      <x:c r="I59" s="31" t="n">
        <x:v>15.4040824325</x:v>
      </x:c>
      <x:c r="J59" s="31" t="n">
        <x:v>0</x:v>
      </x:c>
      <x:c r="K59" s="31" t="n">
        <x:v>15.4040824325</x:v>
      </x:c>
      <x:c r="L59" s="31" t="n">
        <x:v>0</x:v>
      </x:c>
      <x:c r="M59" s="31" t="n">
        <x:v>15.4040824325</x:v>
      </x:c>
      <x:c r="N59" s="24" t="str">
        <x:v>cepola macrophthalma</x:v>
      </x:c>
      <x:c r="O59" s="32" t="n">
        <x:v>3.13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Cepola macrophthalma</x:v>
      </x:c>
      <x:c r="T59" s="32" t="n">
        <x:f>IF(O59="","",(1/'Metadata'!$B$5)^(O59-1))</x:f>
        <x:v>134.89628825916532</x:v>
      </x:c>
      <x:c r="U59" s="31" t="n">
        <x:f>IF(T59="","",I59*T59)</x:f>
        <x:v>2077.953544182464</x:v>
      </x:c>
    </x:row>
    <x:row r="60" ht="18" customHeight="1">
      <x:c r="A60" s="24" t="str">
        <x:v>EEZ_933</x:v>
      </x:c>
      <x:c r="B60" s="24" t="str">
        <x:v>Egypt (Mediterranean)</x:v>
      </x:c>
      <x:c r="C60" s="24" t="str">
        <x:v>EEZ</x:v>
      </x:c>
      <x:c r="D60" s="30" t="n">
        <x:v>2019</x:v>
      </x:c>
      <x:c r="E60" s="24" t="str">
        <x:v>Oblada melanurus</x:v>
      </x:c>
      <x:c r="F60" s="24" t="str">
        <x:v>Saddled seabream</x:v>
      </x:c>
      <x:c r="G60" s="24" t="str">
        <x:v>Small benthopelagics (&lt;30 cm)</x:v>
      </x:c>
      <x:c r="H60" s="24" t="str">
        <x:v>Perch-likes</x:v>
      </x:c>
      <x:c r="I60" s="31" t="n">
        <x:v>13.7353068357</x:v>
      </x:c>
      <x:c r="J60" s="31" t="n">
        <x:v>0</x:v>
      </x:c>
      <x:c r="K60" s="31" t="n">
        <x:v>13.7353068357</x:v>
      </x:c>
      <x:c r="L60" s="31" t="n">
        <x:v>0</x:v>
      </x:c>
      <x:c r="M60" s="31" t="n">
        <x:v>13.7353068357</x:v>
      </x:c>
      <x:c r="N60" s="24" t="str">
        <x:v>oblada melanurus</x:v>
      </x:c>
      <x:c r="O60" s="32" t="n">
        <x:v>3.38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Oblada melanurus</x:v>
      </x:c>
      <x:c r="T60" s="32" t="n">
        <x:f>IF(O60="","",(1/'Metadata'!$B$5)^(O60-1))</x:f>
        <x:v>239.88329190194898</x:v>
      </x:c>
      <x:c r="U60" s="31" t="n">
        <x:f>IF(T60="","",I60*T60)</x:f>
        <x:v>3294.870619031058</x:v>
      </x:c>
    </x:row>
    <x:row r="61" ht="18" customHeight="1">
      <x:c r="A61" s="24" t="str">
        <x:v>EEZ_933</x:v>
      </x:c>
      <x:c r="B61" s="24" t="str">
        <x:v>Egypt (Mediterranean)</x:v>
      </x:c>
      <x:c r="C61" s="24" t="str">
        <x:v>EEZ</x:v>
      </x:c>
      <x:c r="D61" s="30" t="n">
        <x:v>2019</x:v>
      </x:c>
      <x:c r="E61" s="24" t="str">
        <x:v>Muraena helena</x:v>
      </x:c>
      <x:c r="F61" s="24" t="str">
        <x:v>Mediterranean moray</x:v>
      </x:c>
      <x:c r="G61" s="24" t="str">
        <x:v>Large reef assoc. fish (&gt;=90 cm)</x:v>
      </x:c>
      <x:c r="H61" s="24" t="str">
        <x:v>Other fishes &amp; inverts</x:v>
      </x:c>
      <x:c r="I61" s="31" t="n">
        <x:v>11.8097965316</x:v>
      </x:c>
      <x:c r="J61" s="31" t="n">
        <x:v>0</x:v>
      </x:c>
      <x:c r="K61" s="31" t="n">
        <x:v>11.8097965316</x:v>
      </x:c>
      <x:c r="L61" s="31" t="n">
        <x:v>0</x:v>
      </x:c>
      <x:c r="M61" s="31" t="n">
        <x:v>11.8097965316</x:v>
      </x:c>
      <x:c r="N61" s="24" t="str">
        <x:v>muraena helena</x:v>
      </x:c>
      <x:c r="O61" s="32" t="n">
        <x:v>4.18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Muraena helena</x:v>
      </x:c>
      <x:c r="T61" s="32" t="n">
        <x:f>IF(O61="","",(1/'Metadata'!$B$5)^(O61-1))</x:f>
        <x:v>1513.5612484362073</x:v>
      </x:c>
      <x:c r="U61" s="31" t="n">
        <x:f>IF(T61="","",I61*T61)</x:f>
        <x:v>17874.850382146087</x:v>
      </x:c>
    </x:row>
    <x:row r="62" ht="18" customHeight="1">
      <x:c r="A62" s="24" t="str">
        <x:v>EEZ_933</x:v>
      </x:c>
      <x:c r="B62" s="24" t="str">
        <x:v>Egypt (Mediterranean)</x:v>
      </x:c>
      <x:c r="C62" s="24" t="str">
        <x:v>EEZ</x:v>
      </x:c>
      <x:c r="D62" s="30" t="n">
        <x:v>2019</x:v>
      </x:c>
      <x:c r="E62" s="24" t="str">
        <x:v>Mullidae</x:v>
      </x:c>
      <x:c r="F62" s="24" t="str">
        <x:v>Goatfishes</x:v>
      </x:c>
      <x:c r="G62" s="24" t="str">
        <x:v>Medium reef assoc. fish (30 - 89 cm)</x:v>
      </x:c>
      <x:c r="H62" s="24" t="str">
        <x:v>Perch-likes</x:v>
      </x:c>
      <x:c r="I62" s="31" t="n">
        <x:v>11.4515918069</x:v>
      </x:c>
      <x:c r="J62" s="31" t="n">
        <x:v>11.4515918069</x:v>
      </x:c>
      <x:c r="K62" s="31" t="n">
        <x:v>0</x:v>
      </x:c>
      <x:c r="L62" s="31" t="n">
        <x:v>0</x:v>
      </x:c>
      <x:c r="M62" s="31" t="n">
        <x:v>11.4515918069</x:v>
      </x:c>
      <x:c r="N62" s="24" t="str">
        <x:v>mullidae</x:v>
      </x:c>
      <x:c r="O62" s="32" t="n">
        <x:v>3.46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Mullidae</x:v>
      </x:c>
      <x:c r="T62" s="32" t="n">
        <x:f>IF(O62="","",(1/'Metadata'!$B$5)^(O62-1))</x:f>
        <x:v>288.40315031266056</x:v>
      </x:c>
      <x:c r="U62" s="31" t="n">
        <x:f>IF(T62="","",I62*T62)</x:f>
        <x:v>3302.675153204613</x:v>
      </x:c>
    </x:row>
    <x:row r="63" ht="18" customHeight="1">
      <x:c r="A63" s="24" t="str">
        <x:v>EEZ_933</x:v>
      </x:c>
      <x:c r="B63" s="24" t="str">
        <x:v>Egypt (Mediterranean)</x:v>
      </x:c>
      <x:c r="C63" s="24" t="str">
        <x:v>EEZ</x:v>
      </x:c>
      <x:c r="D63" s="30" t="n">
        <x:v>2019</x:v>
      </x:c>
      <x:c r="E63" s="24" t="str">
        <x:v>Trachinotus ovatus</x:v>
      </x:c>
      <x:c r="F63" s="24" t="str">
        <x:v>Pompano</x:v>
      </x:c>
      <x:c r="G63" s="24" t="str">
        <x:v>Medium pelagics (30 - 89 cm)</x:v>
      </x:c>
      <x:c r="H63" s="24" t="str">
        <x:v>Perch-likes</x:v>
      </x:c>
      <x:c r="I63" s="31" t="n">
        <x:v>11.0911225056</x:v>
      </x:c>
      <x:c r="J63" s="31" t="n">
        <x:v>10</x:v>
      </x:c>
      <x:c r="K63" s="31" t="n">
        <x:v>1.0911225056</x:v>
      </x:c>
      <x:c r="L63" s="31" t="n">
        <x:v>10</x:v>
      </x:c>
      <x:c r="M63" s="31" t="n">
        <x:v>1.0911225056</x:v>
      </x:c>
      <x:c r="N63" s="24" t="str">
        <x:v>trachinotus ovatus</x:v>
      </x:c>
      <x:c r="O63" s="32" t="n">
        <x:v>3.73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Trachinotus ovatus</x:v>
      </x:c>
      <x:c r="T63" s="32" t="n">
        <x:f>IF(O63="","",(1/'Metadata'!$B$5)^(O63-1))</x:f>
        <x:v>537.0317963702527</x:v>
      </x:c>
      <x:c r="U63" s="31" t="n">
        <x:f>IF(T63="","",I63*T63)</x:f>
        <x:v>5956.285442944905</x:v>
      </x:c>
    </x:row>
    <x:row r="64" ht="18" customHeight="1">
      <x:c r="A64" s="24" t="str">
        <x:v>EEZ_933</x:v>
      </x:c>
      <x:c r="B64" s="24" t="str">
        <x:v>Egypt (Mediterranean)</x:v>
      </x:c>
      <x:c r="C64" s="24" t="str">
        <x:v>EEZ</x:v>
      </x:c>
      <x:c r="D64" s="30" t="n">
        <x:v>2019</x:v>
      </x:c>
      <x:c r="E64" s="24" t="str">
        <x:v>Seriola dumerili</x:v>
      </x:c>
      <x:c r="F64" s="24" t="str">
        <x:v>Greater amberjack</x:v>
      </x:c>
      <x:c r="G64" s="24" t="str">
        <x:v>Large reef assoc. fish (&gt;=90 cm)</x:v>
      </x:c>
      <x:c r="H64" s="24" t="str">
        <x:v>Perch-likes</x:v>
      </x:c>
      <x:c r="I64" s="31" t="n">
        <x:v>11</x:v>
      </x:c>
      <x:c r="J64" s="31" t="n">
        <x:v>11</x:v>
      </x:c>
      <x:c r="K64" s="31" t="n">
        <x:v>0</x:v>
      </x:c>
      <x:c r="L64" s="31" t="n">
        <x:v>11</x:v>
      </x:c>
      <x:c r="M64" s="31" t="n">
        <x:v>0</x:v>
      </x:c>
      <x:c r="N64" s="24" t="str">
        <x:v>seriola dumerili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Seriola dumerili</x:v>
      </x:c>
      <x:c r="T64" s="32" t="n">
        <x:f>IF(O64="","",(1/'Metadata'!$B$5)^(O64-1))</x:f>
        <x:v>3162.2776601683795</x:v>
      </x:c>
      <x:c r="U64" s="31" t="n">
        <x:f>IF(T64="","",I64*T64)</x:f>
        <x:v>34785.05426185217</x:v>
      </x:c>
    </x:row>
    <x:row r="65" ht="18" customHeight="1">
      <x:c r="A65" s="24" t="str">
        <x:v>EEZ_933</x:v>
      </x:c>
      <x:c r="B65" s="24" t="str">
        <x:v>Egypt (Mediterranean)</x:v>
      </x:c>
      <x:c r="C65" s="24" t="str">
        <x:v>EEZ</x:v>
      </x:c>
      <x:c r="D65" s="30" t="n">
        <x:v>2019</x:v>
      </x:c>
      <x:c r="E65" s="24" t="str">
        <x:v>Ophichthus rufus</x:v>
      </x:c>
      <x:c r="F65" s="24" t="str">
        <x:v>Rufus snake-eel</x:v>
      </x:c>
      <x:c r="G65" s="24" t="str">
        <x:v>Medium demersals (30 - 89 cm)</x:v>
      </x:c>
      <x:c r="H65" s="24" t="str">
        <x:v>Other fishes &amp; inverts</x:v>
      </x:c>
      <x:c r="I65" s="31" t="n">
        <x:v>9.9163780659</x:v>
      </x:c>
      <x:c r="J65" s="31" t="n">
        <x:v>0</x:v>
      </x:c>
      <x:c r="K65" s="31" t="n">
        <x:v>9.9163780659</x:v>
      </x:c>
      <x:c r="L65" s="31" t="n">
        <x:v>0</x:v>
      </x:c>
      <x:c r="M65" s="31" t="n">
        <x:v>9.9163780659</x:v>
      </x:c>
      <x:c r="N65" s="24" t="str">
        <x:v>ophichthus rufus</x:v>
      </x:c>
      <x:c r="O65" s="32" t="n">
        <x:v>4.31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Ophichthus rufus</x:v>
      </x:c>
      <x:c r="T65" s="32" t="n">
        <x:f>IF(O65="","",(1/'Metadata'!$B$5)^(O65-1))</x:f>
        <x:v>2041.7379446695275</x:v>
      </x:c>
      <x:c r="U65" s="31" t="n">
        <x:f>IF(T65="","",I65*T65)</x:f>
        <x:v>20246.64537083665</x:v>
      </x:c>
    </x:row>
    <x:row r="66" ht="18" customHeight="1">
      <x:c r="A66" s="24" t="str">
        <x:v>EEZ_933</x:v>
      </x:c>
      <x:c r="B66" s="24" t="str">
        <x:v>Egypt (Mediterranean)</x:v>
      </x:c>
      <x:c r="C66" s="24" t="str">
        <x:v>EEZ</x:v>
      </x:c>
      <x:c r="D66" s="30" t="n">
        <x:v>2019</x:v>
      </x:c>
      <x:c r="E66" s="24" t="str">
        <x:v>Pomatomidae</x:v>
      </x:c>
      <x:c r="F66" s="24" t="str">
        <x:v>Bluefishes</x:v>
      </x:c>
      <x:c r="G66" s="24" t="str">
        <x:v>Large pelagics (&gt;=90 cm)</x:v>
      </x:c>
      <x:c r="H66" s="24" t="str">
        <x:v>Perch-likes</x:v>
      </x:c>
      <x:c r="I66" s="31" t="n">
        <x:v>9.6891463748</x:v>
      </x:c>
      <x:c r="J66" s="31" t="n">
        <x:v>9.6891463748</x:v>
      </x:c>
      <x:c r="K66" s="31" t="n">
        <x:v>0</x:v>
      </x:c>
      <x:c r="L66" s="31" t="n">
        <x:v>0</x:v>
      </x:c>
      <x:c r="M66" s="31" t="n">
        <x:v>9.6891463748</x:v>
      </x:c>
      <x:c r="N66" s="24" t="str">
        <x:v>pomatomidae</x:v>
      </x:c>
      <x:c r="O66" s="32" t="n">
        <x:v>4.53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Pomatomidae</x:v>
      </x:c>
      <x:c r="T66" s="32" t="n">
        <x:f>IF(O66="","",(1/'Metadata'!$B$5)^(O66-1))</x:f>
        <x:v>3388.4415613920273</x:v>
      </x:c>
      <x:c r="U66" s="31" t="n">
        <x:f>IF(T66="","",I66*T66)</x:f>
        <x:v>32831.10627078321</x:v>
      </x:c>
    </x:row>
    <x:row r="67" ht="18" customHeight="1">
      <x:c r="A67" s="24" t="str">
        <x:v>EEZ_933</x:v>
      </x:c>
      <x:c r="B67" s="24" t="str">
        <x:v>Egypt (Mediterranean)</x:v>
      </x:c>
      <x:c r="C67" s="24" t="str">
        <x:v>EEZ</x:v>
      </x:c>
      <x:c r="D67" s="30" t="n">
        <x:v>2019</x:v>
      </x:c>
      <x:c r="E67" s="24" t="str">
        <x:v>Rajidae</x:v>
      </x:c>
      <x:c r="F67" s="24" t="str">
        <x:v>Stingrays</x:v>
      </x:c>
      <x:c r="G67" s="24" t="str">
        <x:v>Large rays (&gt;=90 cm)</x:v>
      </x:c>
      <x:c r="H67" s="24" t="str">
        <x:v>Sharks &amp; rays</x:v>
      </x:c>
      <x:c r="I67" s="31" t="n">
        <x:v>9.3943489425</x:v>
      </x:c>
      <x:c r="J67" s="31" t="n">
        <x:v>9.3943489425</x:v>
      </x:c>
      <x:c r="K67" s="31" t="n">
        <x:v>0</x:v>
      </x:c>
      <x:c r="L67" s="31" t="n">
        <x:v>0</x:v>
      </x:c>
      <x:c r="M67" s="31" t="n">
        <x:v>9.3943489425</x:v>
      </x:c>
      <x:c r="N67" s="24" t="str">
        <x:v>rajidae</x:v>
      </x:c>
      <x:c r="O67" s="32" t="n">
        <x:v>3.82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Rajidae</x:v>
      </x:c>
      <x:c r="T67" s="32" t="n">
        <x:f>IF(O67="","",(1/'Metadata'!$B$5)^(O67-1))</x:f>
        <x:v>660.6934480075957</x:v>
      </x:c>
      <x:c r="U67" s="31" t="n">
        <x:f>IF(T67="","",I67*T67)</x:f>
        <x:v>6206.784794606836</x:v>
      </x:c>
    </x:row>
    <x:row r="68" ht="18" customHeight="1">
      <x:c r="A68" s="24" t="str">
        <x:v>EEZ_933</x:v>
      </x:c>
      <x:c r="B68" s="24" t="str">
        <x:v>Egypt (Mediterranean)</x:v>
      </x:c>
      <x:c r="C68" s="24" t="str">
        <x:v>EEZ</x:v>
      </x:c>
      <x:c r="D68" s="30" t="n">
        <x:v>2019</x:v>
      </x:c>
      <x:c r="E68" s="24" t="str">
        <x:v>Serranus cabrilla</x:v>
      </x:c>
      <x:c r="F68" s="24" t="str">
        <x:v>Comber</x:v>
      </x:c>
      <x:c r="G68" s="24" t="str">
        <x:v>Medium bathydemersals (30 - 89 cm)</x:v>
      </x:c>
      <x:c r="H68" s="24" t="str">
        <x:v>Perch-likes</x:v>
      </x:c>
      <x:c r="I68" s="31" t="n">
        <x:v>6.0514155556</x:v>
      </x:c>
      <x:c r="J68" s="31" t="n">
        <x:v>6.0514155556</x:v>
      </x:c>
      <x:c r="K68" s="31" t="n">
        <x:v>0</x:v>
      </x:c>
      <x:c r="L68" s="31" t="n">
        <x:v>0</x:v>
      </x:c>
      <x:c r="M68" s="31" t="n">
        <x:v>6.0514155556</x:v>
      </x:c>
      <x:c r="N68" s="24" t="str">
        <x:v>serranus cabrilla</x:v>
      </x:c>
      <x:c r="O68" s="32" t="n">
        <x:v>3.35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Serranus cabrilla</x:v>
      </x:c>
      <x:c r="T68" s="32" t="n">
        <x:f>IF(O68="","",(1/'Metadata'!$B$5)^(O68-1))</x:f>
        <x:v>223.872113856834</x:v>
      </x:c>
      <x:c r="U68" s="31" t="n">
        <x:f>IF(T68="","",I68*T68)</x:f>
        <x:v>1354.7431922582996</x:v>
      </x:c>
    </x:row>
    <x:row r="69" ht="18" customHeight="1">
      <x:c r="A69" s="24" t="str">
        <x:v>EEZ_933</x:v>
      </x:c>
      <x:c r="B69" s="24" t="str">
        <x:v>Egypt (Mediterranean)</x:v>
      </x:c>
      <x:c r="C69" s="24" t="str">
        <x:v>EEZ</x:v>
      </x:c>
      <x:c r="D69" s="30" t="n">
        <x:v>2019</x:v>
      </x:c>
      <x:c r="E69" s="24" t="str">
        <x:v>Haemulidae</x:v>
      </x:c>
      <x:c r="F69" s="24" t="str">
        <x:v>Grunts, sweetlips, bonnetmouths</x:v>
      </x:c>
      <x:c r="G69" s="24" t="str">
        <x:v>Medium demersals (30 - 89 cm)</x:v>
      </x:c>
      <x:c r="H69" s="24" t="str">
        <x:v>Perch-likes</x:v>
      </x:c>
      <x:c r="I69" s="31" t="n">
        <x:v>6.0196398754</x:v>
      </x:c>
      <x:c r="J69" s="31" t="n">
        <x:v>6.0196398754</x:v>
      </x:c>
      <x:c r="K69" s="31" t="n">
        <x:v>0</x:v>
      </x:c>
      <x:c r="L69" s="31" t="n">
        <x:v>0</x:v>
      </x:c>
      <x:c r="M69" s="31" t="n">
        <x:v>6.0196398754</x:v>
      </x:c>
      <x:c r="N69" s="24" t="str">
        <x:v>haemulidae</x:v>
      </x:c>
      <x:c r="O69" s="32" t="n">
        <x:v>3.36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Haemulidae</x:v>
      </x:c>
      <x:c r="T69" s="32" t="n">
        <x:f>IF(O69="","",(1/'Metadata'!$B$5)^(O69-1))</x:f>
        <x:v>229.08676527677724</x:v>
      </x:c>
      <x:c r="U69" s="31" t="n">
        <x:f>IF(T69="","",I69*T69)</x:f>
        <x:v>1379.0198271864886</x:v>
      </x:c>
    </x:row>
    <x:row r="70" ht="18" customHeight="1">
      <x:c r="A70" s="24" t="str">
        <x:v>EEZ_933</x:v>
      </x:c>
      <x:c r="B70" s="24" t="str">
        <x:v>Egypt (Mediterranean)</x:v>
      </x:c>
      <x:c r="C70" s="24" t="str">
        <x:v>EEZ</x:v>
      </x:c>
      <x:c r="D70" s="30" t="n">
        <x:v>2019</x:v>
      </x:c>
      <x:c r="E70" s="24" t="str">
        <x:v>Trichiuridae</x:v>
      </x:c>
      <x:c r="F70" s="24" t="str">
        <x:v>Cutlassfishes</x:v>
      </x:c>
      <x:c r="G70" s="24" t="str">
        <x:v>Large benthopelagics (&gt;=90 cm)</x:v>
      </x:c>
      <x:c r="H70" s="24" t="str">
        <x:v>Perch-likes</x:v>
      </x:c>
      <x:c r="I70" s="31" t="n">
        <x:v>5.5958174086</x:v>
      </x:c>
      <x:c r="J70" s="31" t="n">
        <x:v>5.5958174086</x:v>
      </x:c>
      <x:c r="K70" s="31" t="n">
        <x:v>0</x:v>
      </x:c>
      <x:c r="L70" s="31" t="n">
        <x:v>0</x:v>
      </x:c>
      <x:c r="M70" s="31" t="n">
        <x:v>5.5958174086</x:v>
      </x:c>
      <x:c r="N70" s="24" t="str">
        <x:v>trichiuridae</x:v>
      </x:c>
      <x:c r="O70" s="32" t="n">
        <x:v>4.15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Trichiuridae</x:v>
      </x:c>
      <x:c r="T70" s="32" t="n">
        <x:f>IF(O70="","",(1/'Metadata'!$B$5)^(O70-1))</x:f>
        <x:v>1412.5375446227554</x:v>
      </x:c>
      <x:c r="U70" s="31" t="n">
        <x:f>IF(T70="","",I70*T70)</x:f>
        <x:v>7904.302182501115</x:v>
      </x:c>
    </x:row>
    <x:row r="71" ht="18" customHeight="1">
      <x:c r="A71" s="24" t="str">
        <x:v>EEZ_933</x:v>
      </x:c>
      <x:c r="B71" s="24" t="str">
        <x:v>Egypt (Mediterranean)</x:v>
      </x:c>
      <x:c r="C71" s="24" t="str">
        <x:v>EEZ</x:v>
      </x:c>
      <x:c r="D71" s="30" t="n">
        <x:v>2019</x:v>
      </x:c>
      <x:c r="E71" s="24" t="str">
        <x:v>Synodus saurus</x:v>
      </x:c>
      <x:c r="F71" s="24" t="str">
        <x:v>Atlantic lizardfish</x:v>
      </x:c>
      <x:c r="G71" s="24" t="str">
        <x:v>Medium demersals (30 - 89 cm)</x:v>
      </x:c>
      <x:c r="H71" s="24" t="str">
        <x:v>Other fishes &amp; inverts</x:v>
      </x:c>
      <x:c r="I71" s="31" t="n">
        <x:v>4.717500245</x:v>
      </x:c>
      <x:c r="J71" s="31" t="n">
        <x:v>0</x:v>
      </x:c>
      <x:c r="K71" s="31" t="n">
        <x:v>4.717500245</x:v>
      </x:c>
      <x:c r="L71" s="31" t="n">
        <x:v>0</x:v>
      </x:c>
      <x:c r="M71" s="31" t="n">
        <x:v>4.717500245</x:v>
      </x:c>
      <x:c r="N71" s="24" t="str">
        <x:v>synodus saurus</x:v>
      </x:c>
      <x:c r="O71" s="32" t="n">
        <x:v>4.49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Synodus saurus</x:v>
      </x:c>
      <x:c r="T71" s="32" t="n">
        <x:f>IF(O71="","",(1/'Metadata'!$B$5)^(O71-1))</x:f>
        <x:v>3090.295432513592</x:v>
      </x:c>
      <x:c r="U71" s="31" t="n">
        <x:f>IF(T71="","",I71*T71)</x:f>
        <x:v>14578.469460005252</x:v>
      </x:c>
    </x:row>
    <x:row r="72" ht="18" customHeight="1">
      <x:c r="A72" s="24" t="str">
        <x:v>EEZ_933</x:v>
      </x:c>
      <x:c r="B72" s="24" t="str">
        <x:v>Egypt (Mediterranean)</x:v>
      </x:c>
      <x:c r="C72" s="24" t="str">
        <x:v>EEZ</x:v>
      </x:c>
      <x:c r="D72" s="30" t="n">
        <x:v>2019</x:v>
      </x:c>
      <x:c r="E72" s="24" t="str">
        <x:v>Atherina boyeri</x:v>
      </x:c>
      <x:c r="F72" s="24" t="str">
        <x:v>Big-scale sand smelt</x:v>
      </x:c>
      <x:c r="G72" s="24" t="str">
        <x:v>Small demersals (&lt;30 cm)</x:v>
      </x:c>
      <x:c r="H72" s="24" t="str">
        <x:v>Other fishes &amp; inverts</x:v>
      </x:c>
      <x:c r="I72" s="31" t="n">
        <x:v>3.5621940625</x:v>
      </x:c>
      <x:c r="J72" s="31" t="n">
        <x:v>0</x:v>
      </x:c>
      <x:c r="K72" s="31" t="n">
        <x:v>3.5621940625</x:v>
      </x:c>
      <x:c r="L72" s="31" t="n">
        <x:v>0</x:v>
      </x:c>
      <x:c r="M72" s="31" t="n">
        <x:v>3.5621940625</x:v>
      </x:c>
      <x:c r="N72" s="24" t="str">
        <x:v>atherina boyeri</x:v>
      </x:c>
      <x:c r="O72" s="32" t="n">
        <x:v>3.22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Atherina boyeri</x:v>
      </x:c>
      <x:c r="T72" s="32" t="n">
        <x:f>IF(O72="","",(1/'Metadata'!$B$5)^(O72-1))</x:f>
        <x:v>165.95869074375614</x:v>
      </x:c>
      <x:c r="U72" s="31" t="n">
        <x:f>IF(T72="","",I72*T72)</x:f>
        <x:v>591.1770627876818</x:v>
      </x:c>
    </x:row>
    <x:row r="73" ht="18" customHeight="1">
      <x:c r="A73" s="24" t="str">
        <x:v>EEZ_933</x:v>
      </x:c>
      <x:c r="B73" s="24" t="str">
        <x:v>Egypt (Mediterranean)</x:v>
      </x:c>
      <x:c r="C73" s="24" t="str">
        <x:v>EEZ</x:v>
      </x:c>
      <x:c r="D73" s="30" t="n">
        <x:v>2019</x:v>
      </x:c>
      <x:c r="E73" s="24" t="str">
        <x:v>Scombroidei</x:v>
      </x:c>
      <x:c r="F73" s="24" t="str">
        <x:v>Tunas, bonitos, billfishes</x:v>
      </x:c>
      <x:c r="G73" s="24" t="str">
        <x:v>Large pelagics (&gt;=90 cm)</x:v>
      </x:c>
      <x:c r="H73" s="24" t="str">
        <x:v>Tuna &amp; billfishes</x:v>
      </x:c>
      <x:c r="I73" s="31" t="n">
        <x:v>3</x:v>
      </x:c>
      <x:c r="J73" s="31" t="n">
        <x:v>3</x:v>
      </x:c>
      <x:c r="K73" s="31" t="n">
        <x:v>0</x:v>
      </x:c>
      <x:c r="L73" s="31" t="n">
        <x:v>3</x:v>
      </x:c>
      <x:c r="M73" s="31" t="n">
        <x:v>0</x:v>
      </x:c>
      <x:c r="N73" s="24" t="str">
        <x:v>scombroidei</x:v>
      </x:c>
      <x:c r="O73" s="32" t="n">
        <x:v>4.2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Scombroidei</x:v>
      </x:c>
      <x:c r="T73" s="32" t="n">
        <x:f>IF(O73="","",(1/'Metadata'!$B$5)^(O73-1))</x:f>
        <x:v>1584.893192461114</x:v>
      </x:c>
      <x:c r="U73" s="31" t="n">
        <x:f>IF(T73="","",I73*T73)</x:f>
        <x:v>4754.679577383342</x:v>
      </x:c>
    </x:row>
    <x:row r="74" ht="18" customHeight="1">
      <x:c r="A74" s="24" t="str">
        <x:v>EEZ_933</x:v>
      </x:c>
      <x:c r="B74" s="24" t="str">
        <x:v>Egypt (Mediterranean)</x:v>
      </x:c>
      <x:c r="C74" s="24" t="str">
        <x:v>EEZ</x:v>
      </x:c>
      <x:c r="D74" s="30" t="n">
        <x:v>2019</x:v>
      </x:c>
      <x:c r="E74" s="24" t="str">
        <x:v>Pegusa impar</x:v>
      </x:c>
      <x:c r="F74" s="24" t="str">
        <x:v>Adriatic sole</x:v>
      </x:c>
      <x:c r="G74" s="24" t="str">
        <x:v>Small to medium flatfishes (&lt;90 cm)</x:v>
      </x:c>
      <x:c r="H74" s="24" t="str">
        <x:v>Flatfishes</x:v>
      </x:c>
      <x:c r="I74" s="31" t="n">
        <x:v>2.7919899409</x:v>
      </x:c>
      <x:c r="J74" s="31" t="n">
        <x:v>0</x:v>
      </x:c>
      <x:c r="K74" s="31" t="n">
        <x:v>2.7919899409</x:v>
      </x:c>
      <x:c r="L74" s="31" t="n">
        <x:v>0</x:v>
      </x:c>
      <x:c r="M74" s="31" t="n">
        <x:v>2.7919899409</x:v>
      </x:c>
      <x:c r="N74" s="24" t="str">
        <x:v>pegusa impar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Pegusa impar</x:v>
      </x:c>
      <x:c r="T74" s="32" t="n">
        <x:f>IF(O74="","",(1/'Metadata'!$B$5)^(O74-1))</x:f>
        <x:v>213.79620895022325</x:v>
      </x:c>
      <x:c r="U74" s="31" t="n">
        <x:f>IF(T74="","",I74*T74)</x:f>
        <x:v>596.9168647915778</x:v>
      </x:c>
    </x:row>
    <x:row r="75" ht="18" customHeight="1">
      <x:c r="A75" s="24" t="str">
        <x:v>EEZ_933</x:v>
      </x:c>
      <x:c r="B75" s="24" t="str">
        <x:v>Egypt (Mediterranean)</x:v>
      </x:c>
      <x:c r="C75" s="24" t="str">
        <x:v>EEZ</x:v>
      </x:c>
      <x:c r="D75" s="30" t="n">
        <x:v>2019</x:v>
      </x:c>
      <x:c r="E75" s="24" t="str">
        <x:v>Sphoeroides pachygaster</x:v>
      </x:c>
      <x:c r="F75" s="24" t="str">
        <x:v>Blunthead puffer</x:v>
      </x:c>
      <x:c r="G75" s="24" t="str">
        <x:v>Medium benthopelagics (30 - 89 cm)</x:v>
      </x:c>
      <x:c r="H75" s="24" t="str">
        <x:v>Other fishes &amp; inverts</x:v>
      </x:c>
      <x:c r="I75" s="31" t="n">
        <x:v>2.6636225873</x:v>
      </x:c>
      <x:c r="J75" s="31" t="n">
        <x:v>0</x:v>
      </x:c>
      <x:c r="K75" s="31" t="n">
        <x:v>2.6636225873</x:v>
      </x:c>
      <x:c r="L75" s="31" t="n">
        <x:v>0</x:v>
      </x:c>
      <x:c r="M75" s="31" t="n">
        <x:v>2.6636225873</x:v>
      </x:c>
      <x:c r="N75" s="24" t="str">
        <x:v>sphoeroides pachygaster</x:v>
      </x:c>
      <x:c r="O75" s="32" t="n">
        <x:v>4.2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Sphoeroides pachygaster</x:v>
      </x:c>
      <x:c r="T75" s="32" t="n">
        <x:f>IF(O75="","",(1/'Metadata'!$B$5)^(O75-1))</x:f>
        <x:v>1584.893192461114</x:v>
      </x:c>
      <x:c r="U75" s="31" t="n">
        <x:f>IF(T75="","",I75*T75)</x:f>
        <x:v>4221.55730589743</x:v>
      </x:c>
    </x:row>
    <x:row r="76" ht="18" customHeight="1">
      <x:c r="A76" s="24" t="str">
        <x:v>EEZ_933</x:v>
      </x:c>
      <x:c r="B76" s="24" t="str">
        <x:v>Egypt (Mediterranean)</x:v>
      </x:c>
      <x:c r="C76" s="24" t="str">
        <x:v>EEZ</x:v>
      </x:c>
      <x:c r="D76" s="30" t="n">
        <x:v>2019</x:v>
      </x:c>
      <x:c r="E76" s="24" t="str">
        <x:v>Dussumieria elopsoides</x:v>
      </x:c>
      <x:c r="F76" s="24" t="str">
        <x:v>Slender rainbow sardine</x:v>
      </x:c>
      <x:c r="G76" s="24" t="str">
        <x:v>Small pelagics (&lt;30 cm)</x:v>
      </x:c>
      <x:c r="H76" s="24" t="str">
        <x:v>Herring-likes</x:v>
      </x:c>
      <x:c r="I76" s="31" t="n">
        <x:v>2.2464286881</x:v>
      </x:c>
      <x:c r="J76" s="31" t="n">
        <x:v>0</x:v>
      </x:c>
      <x:c r="K76" s="31" t="n">
        <x:v>2.2464286881</x:v>
      </x:c>
      <x:c r="L76" s="31" t="n">
        <x:v>0</x:v>
      </x:c>
      <x:c r="M76" s="31" t="n">
        <x:v>2.2464286881</x:v>
      </x:c>
      <x:c r="N76" s="24" t="str">
        <x:v>dussumieria elopsoides</x:v>
      </x:c>
      <x:c r="O76" s="32" t="n">
        <x:v>3.4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Dussumieria elopsoides</x:v>
      </x:c>
      <x:c r="T76" s="32" t="n">
        <x:f>IF(O76="","",(1/'Metadata'!$B$5)^(O76-1))</x:f>
        <x:v>251.18864315095797</x:v>
      </x:c>
      <x:c r="U76" s="31" t="n">
        <x:f>IF(T76="","",I76*T76)</x:f>
        <x:v>564.2773740992255</x:v>
      </x:c>
    </x:row>
    <x:row r="77" ht="18" customHeight="1">
      <x:c r="A77" s="24" t="str">
        <x:v>EEZ_933</x:v>
      </x:c>
      <x:c r="B77" s="24" t="str">
        <x:v>Egypt (Mediterranean)</x:v>
      </x:c>
      <x:c r="C77" s="24" t="str">
        <x:v>EEZ</x:v>
      </x:c>
      <x:c r="D77" s="30" t="n">
        <x:v>2019</x:v>
      </x:c>
      <x:c r="E77" s="24" t="str">
        <x:v>Merlucciidae</x:v>
      </x:c>
      <x:c r="F77" s="24" t="str">
        <x:v>Merluccid hakes</x:v>
      </x:c>
      <x:c r="G77" s="24" t="str">
        <x:v>Large bathydemersals (&gt;=90 cm)</x:v>
      </x:c>
      <x:c r="H77" s="24" t="str">
        <x:v>Cod-likes</x:v>
      </x:c>
      <x:c r="I77" s="31" t="n">
        <x:v>2.0806967013</x:v>
      </x:c>
      <x:c r="J77" s="31" t="n">
        <x:v>2.0806967013</x:v>
      </x:c>
      <x:c r="K77" s="31" t="n">
        <x:v>0</x:v>
      </x:c>
      <x:c r="L77" s="31" t="n">
        <x:v>0</x:v>
      </x:c>
      <x:c r="M77" s="31" t="n">
        <x:v>2.0806967013</x:v>
      </x:c>
      <x:c r="N77" s="24" t="str">
        <x:v>merlucciidae</x:v>
      </x:c>
      <x:c r="O77" s="32" t="n">
        <x:v>4.35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Merlucciidae</x:v>
      </x:c>
      <x:c r="T77" s="32" t="n">
        <x:f>IF(O77="","",(1/'Metadata'!$B$5)^(O77-1))</x:f>
        <x:v>2238.7211385683377</x:v>
      </x:c>
      <x:c r="U77" s="31" t="n">
        <x:f>IF(T77="","",I77*T77)</x:f>
        <x:v>4658.09968814972</x:v>
      </x:c>
    </x:row>
    <x:row r="78" ht="18" customHeight="1">
      <x:c r="A78" s="24" t="str">
        <x:v>EEZ_933</x:v>
      </x:c>
      <x:c r="B78" s="24" t="str">
        <x:v>Egypt (Mediterranean)</x:v>
      </x:c>
      <x:c r="C78" s="24" t="str">
        <x:v>EEZ</x:v>
      </x:c>
      <x:c r="D78" s="30" t="n">
        <x:v>2019</x:v>
      </x:c>
      <x:c r="E78" s="24" t="str">
        <x:v>Scorpaeniformes</x:v>
      </x:c>
      <x:c r="F78" s="24" t="str">
        <x:v>Scorpionfishes, flatheads</x:v>
      </x:c>
      <x:c r="G78" s="24" t="str">
        <x:v>Medium demersals (30 - 89 cm)</x:v>
      </x:c>
      <x:c r="H78" s="24" t="str">
        <x:v>Scorpionfishes</x:v>
      </x:c>
      <x:c r="I78" s="31" t="n">
        <x:v>2.0538776577</x:v>
      </x:c>
      <x:c r="J78" s="31" t="n">
        <x:v>0</x:v>
      </x:c>
      <x:c r="K78" s="31" t="n">
        <x:v>2.0538776577</x:v>
      </x:c>
      <x:c r="L78" s="31" t="n">
        <x:v>0</x:v>
      </x:c>
      <x:c r="M78" s="31" t="n">
        <x:v>2.0538776577</x:v>
      </x:c>
      <x:c r="N78" s="24" t="str">
        <x:v>scorpaeniformes</x:v>
      </x:c>
      <x:c r="O78" s="32" t="n">
        <x:v>3.78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Scorpaeniformes</x:v>
      </x:c>
      <x:c r="T78" s="32" t="n">
        <x:f>IF(O78="","",(1/'Metadata'!$B$5)^(O78-1))</x:f>
        <x:v>602.5595860743575</x:v>
      </x:c>
      <x:c r="U78" s="31" t="n">
        <x:f>IF(T78="","",I78*T78)</x:f>
        <x:v>1237.5836712710832</x:v>
      </x:c>
    </x:row>
    <x:row r="79" ht="18" customHeight="1">
      <x:c r="A79" s="24" t="str">
        <x:v>EEZ_933</x:v>
      </x:c>
      <x:c r="B79" s="24" t="str">
        <x:v>Egypt (Mediterranean)</x:v>
      </x:c>
      <x:c r="C79" s="24" t="str">
        <x:v>EEZ</x:v>
      </x:c>
      <x:c r="D79" s="30" t="n">
        <x:v>2019</x:v>
      </x:c>
      <x:c r="E79" s="24" t="str">
        <x:v>Holocentridae</x:v>
      </x:c>
      <x:c r="F79" s="24" t="str">
        <x:v>Squirrel-, soldierfishes</x:v>
      </x:c>
      <x:c r="G79" s="24" t="str">
        <x:v>Small reef assoc. fish (&lt;30 cm)</x:v>
      </x:c>
      <x:c r="H79" s="24" t="str">
        <x:v>Other fishes &amp; inverts</x:v>
      </x:c>
      <x:c r="I79" s="31" t="n">
        <x:v>2</x:v>
      </x:c>
      <x:c r="J79" s="31" t="n">
        <x:v>2</x:v>
      </x:c>
      <x:c r="K79" s="31" t="n">
        <x:v>0</x:v>
      </x:c>
      <x:c r="L79" s="31" t="n">
        <x:v>2</x:v>
      </x:c>
      <x:c r="M79" s="31" t="n">
        <x:v>0</x:v>
      </x:c>
      <x:c r="N79" s="24" t="str">
        <x:v>holocentridae</x:v>
      </x:c>
      <x:c r="O79" s="32" t="n">
        <x:v>3.49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Holocentridae</x:v>
      </x:c>
      <x:c r="T79" s="32" t="n">
        <x:f>IF(O79="","",(1/'Metadata'!$B$5)^(O79-1))</x:f>
        <x:v>309.0295432513592</x:v>
      </x:c>
      <x:c r="U79" s="31" t="n">
        <x:f>IF(T79="","",I79*T79)</x:f>
        <x:v>618.0590865027184</x:v>
      </x:c>
    </x:row>
    <x:row r="80" ht="18" customHeight="1">
      <x:c r="A80" s="24" t="str">
        <x:v>EEZ_933</x:v>
      </x:c>
      <x:c r="B80" s="24" t="str">
        <x:v>Egypt (Mediterranean)</x:v>
      </x:c>
      <x:c r="C80" s="24" t="str">
        <x:v>EEZ</x:v>
      </x:c>
      <x:c r="D80" s="30" t="n">
        <x:v>2019</x:v>
      </x:c>
      <x:c r="E80" s="24" t="str">
        <x:v>Sargocentron</x:v>
      </x:c>
      <x:c r="F80" s="24" t="str">
        <x:v>Squirrelfishes</x:v>
      </x:c>
      <x:c r="G80" s="24" t="str">
        <x:v>Small reef assoc. fish (&lt;30 cm)</x:v>
      </x:c>
      <x:c r="H80" s="24" t="str">
        <x:v>Other fishes &amp; inverts</x:v>
      </x:c>
      <x:c r="I80" s="31" t="n">
        <x:v>2</x:v>
      </x:c>
      <x:c r="J80" s="31" t="n">
        <x:v>2</x:v>
      </x:c>
      <x:c r="K80" s="31" t="n">
        <x:v>0</x:v>
      </x:c>
      <x:c r="L80" s="31" t="n">
        <x:v>2</x:v>
      </x:c>
      <x:c r="M80" s="31" t="n">
        <x:v>0</x:v>
      </x:c>
      <x:c r="N80" s="24" t="str">
        <x:v>sargocentron</x:v>
      </x:c>
      <x:c r="O80" s="32" t="n">
        <x:v>3.49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Sargocentron</x:v>
      </x:c>
      <x:c r="T80" s="32" t="n">
        <x:f>IF(O80="","",(1/'Metadata'!$B$5)^(O80-1))</x:f>
        <x:v>309.0295432513592</x:v>
      </x:c>
      <x:c r="U80" s="31" t="n">
        <x:f>IF(T80="","",I80*T80)</x:f>
        <x:v>618.0590865027184</x:v>
      </x:c>
    </x:row>
    <x:row r="81" ht="18" customHeight="1">
      <x:c r="A81" s="24" t="str">
        <x:v>EEZ_933</x:v>
      </x:c>
      <x:c r="B81" s="24" t="str">
        <x:v>Egypt (Mediterranean)</x:v>
      </x:c>
      <x:c r="C81" s="24" t="str">
        <x:v>EEZ</x:v>
      </x:c>
      <x:c r="D81" s="30" t="n">
        <x:v>2019</x:v>
      </x:c>
      <x:c r="E81" s="24" t="str">
        <x:v>Sphyraenidae</x:v>
      </x:c>
      <x:c r="F81" s="24" t="str">
        <x:v>Barracudas</x:v>
      </x:c>
      <x:c r="G81" s="24" t="str">
        <x:v>Medium reef assoc. fish (30 - 89 cm)</x:v>
      </x:c>
      <x:c r="H81" s="24" t="str">
        <x:v>Perch-likes</x:v>
      </x:c>
      <x:c r="I81" s="31" t="n">
        <x:v>1.2108937478</x:v>
      </x:c>
      <x:c r="J81" s="31" t="n">
        <x:v>1.2108937478</x:v>
      </x:c>
      <x:c r="K81" s="31" t="n">
        <x:v>0</x:v>
      </x:c>
      <x:c r="L81" s="31" t="n">
        <x:v>0</x:v>
      </x:c>
      <x:c r="M81" s="31" t="n">
        <x:v>1.2108937478</x:v>
      </x:c>
      <x:c r="N81" s="24" t="str">
        <x:v>sphyraenidae</x:v>
      </x:c>
      <x:c r="O81" s="32" t="n">
        <x:v>4.4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Sphyraenidae</x:v>
      </x:c>
      <x:c r="T81" s="32" t="n">
        <x:f>IF(O81="","",(1/'Metadata'!$B$5)^(O81-1))</x:f>
        <x:v>2511.886431509582</x:v>
      </x:c>
      <x:c r="U81" s="31" t="n">
        <x:f>IF(T81="","",I81*T81)</x:f>
        <x:v>3041.6275750986056</x:v>
      </x:c>
    </x:row>
    <x:row r="82" ht="18" customHeight="1">
      <x:c r="A82" s="24" t="str">
        <x:v>EEZ_933</x:v>
      </x:c>
      <x:c r="B82" s="24" t="str">
        <x:v>Egypt (Mediterranean)</x:v>
      </x:c>
      <x:c r="C82" s="24" t="str">
        <x:v>EEZ</x:v>
      </x:c>
      <x:c r="D82" s="30" t="n">
        <x:v>2019</x:v>
      </x:c>
      <x:c r="E82" s="24" t="str">
        <x:v>Scombridae</x:v>
      </x:c>
      <x:c r="F82" s="24" t="str">
        <x:v>Mackerels, tunas, bonitos</x:v>
      </x:c>
      <x:c r="G82" s="24" t="str">
        <x:v>Medium pelagics (30 - 89 cm)</x:v>
      </x:c>
      <x:c r="H82" s="24" t="str">
        <x:v>Perch-likes</x:v>
      </x:c>
      <x:c r="I82" s="31" t="n">
        <x:v>1.0973748528</x:v>
      </x:c>
      <x:c r="J82" s="31" t="n">
        <x:v>1.0973748528</x:v>
      </x:c>
      <x:c r="K82" s="31" t="n">
        <x:v>0</x:v>
      </x:c>
      <x:c r="L82" s="31" t="n">
        <x:v>0</x:v>
      </x:c>
      <x:c r="M82" s="31" t="n">
        <x:v>1.0973748528</x:v>
      </x:c>
      <x:c r="N82" s="24" t="str">
        <x:v>scombridae</x:v>
      </x:c>
      <x:c r="O82" s="32" t="n">
        <x:v>4.26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Scombridae</x:v>
      </x:c>
      <x:c r="T82" s="32" t="n">
        <x:f>IF(O82="","",(1/'Metadata'!$B$5)^(O82-1))</x:f>
        <x:v>1819.7008586099826</x:v>
      </x:c>
      <x:c r="U82" s="31" t="n">
        <x:f>IF(T82="","",I82*T82)</x:f>
        <x:v>1996.8939618571633</x:v>
      </x:c>
    </x:row>
    <x:row r="83" ht="18" customHeight="1">
      <x:c r="A83" s="24" t="str">
        <x:v>EEZ_933</x:v>
      </x:c>
      <x:c r="B83" s="24" t="str">
        <x:v>Egypt (Mediterranean)</x:v>
      </x:c>
      <x:c r="C83" s="24" t="str">
        <x:v>EEZ</x:v>
      </x:c>
      <x:c r="D83" s="30" t="n">
        <x:v>2019</x:v>
      </x:c>
      <x:c r="E83" s="24" t="str">
        <x:v>Mullus surmuletus</x:v>
      </x:c>
      <x:c r="F83" s="24" t="str">
        <x:v>Surmullet</x:v>
      </x:c>
      <x:c r="G83" s="24" t="str">
        <x:v>Medium demersals (30 - 89 cm)</x:v>
      </x:c>
      <x:c r="H83" s="24" t="str">
        <x:v>Perch-likes</x:v>
      </x:c>
      <x:c r="I83" s="31" t="n">
        <x:v>0.8664796368</x:v>
      </x:c>
      <x:c r="J83" s="31" t="n">
        <x:v>0</x:v>
      </x:c>
      <x:c r="K83" s="31" t="n">
        <x:v>0.8664796368</x:v>
      </x:c>
      <x:c r="L83" s="31" t="n">
        <x:v>0</x:v>
      </x:c>
      <x:c r="M83" s="31" t="n">
        <x:v>0.8664796368</x:v>
      </x:c>
      <x:c r="N83" s="24" t="str">
        <x:v>mullus surmuletus</x:v>
      </x:c>
      <x:c r="O83" s="32" t="n">
        <x:v>3.45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Mullus surmuletus</x:v>
      </x:c>
      <x:c r="T83" s="32" t="n">
        <x:f>IF(O83="","",(1/'Metadata'!$B$5)^(O83-1))</x:f>
        <x:v>281.8382931264455</x:v>
      </x:c>
      <x:c r="U83" s="31" t="n">
        <x:f>IF(T83="","",I83*T83)</x:f>
        <x:v>244.2071418645344</x:v>
      </x:c>
    </x:row>
    <x:row r="84" ht="18" customHeight="1">
      <x:c r="A84" s="24" t="str">
        <x:v>EEZ_933</x:v>
      </x:c>
      <x:c r="B84" s="24" t="str">
        <x:v>Egypt (Mediterranean)</x:v>
      </x:c>
      <x:c r="C84" s="24" t="str">
        <x:v>EEZ</x:v>
      </x:c>
      <x:c r="D84" s="30" t="n">
        <x:v>2019</x:v>
      </x:c>
      <x:c r="E84" s="24" t="str">
        <x:v>Pelates quadrilineatus</x:v>
      </x:c>
      <x:c r="F84" s="24" t="str">
        <x:v>Fourlined terapon</x:v>
      </x:c>
      <x:c r="G84" s="24" t="str">
        <x:v>Small pelagics (&lt;30 cm)</x:v>
      </x:c>
      <x:c r="H84" s="24" t="str">
        <x:v>Perch-likes</x:v>
      </x:c>
      <x:c r="I84" s="31" t="n">
        <x:v>0.8343877984</x:v>
      </x:c>
      <x:c r="J84" s="31" t="n">
        <x:v>0</x:v>
      </x:c>
      <x:c r="K84" s="31" t="n">
        <x:v>0.8343877984</x:v>
      </x:c>
      <x:c r="L84" s="31" t="n">
        <x:v>0</x:v>
      </x:c>
      <x:c r="M84" s="31" t="n">
        <x:v>0.8343877984</x:v>
      </x:c>
      <x:c r="N84" s="24" t="str">
        <x:v>pelates quadrilineatus</x:v>
      </x:c>
      <x:c r="O84" s="32" t="n">
        <x:v>3.5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Pelates quadrilineatus</x:v>
      </x:c>
      <x:c r="T84" s="32" t="n">
        <x:f>IF(O84="","",(1/'Metadata'!$B$5)^(O84-1))</x:f>
        <x:v>316.22776601683796</x:v>
      </x:c>
      <x:c r="U84" s="31" t="n">
        <x:f>IF(T84="","",I84*T84)</x:f>
        <x:v>263.85658947973974</x:v>
      </x:c>
    </x:row>
    <x:row r="85" ht="18" customHeight="1">
      <x:c r="A85" s="24" t="str">
        <x:v>EEZ_933</x:v>
      </x:c>
      <x:c r="B85" s="24" t="str">
        <x:v>Egypt (Mediterranean)</x:v>
      </x:c>
      <x:c r="C85" s="24" t="str">
        <x:v>EEZ</x:v>
      </x:c>
      <x:c r="D85" s="30" t="n">
        <x:v>2019</x:v>
      </x:c>
      <x:c r="E85" s="24" t="str">
        <x:v>Balistes capriscus</x:v>
      </x:c>
      <x:c r="F85" s="24" t="str">
        <x:v>Grey triggerfish</x:v>
      </x:c>
      <x:c r="G85" s="24" t="str">
        <x:v>Medium benthopelagics (30 - 89 cm)</x:v>
      </x:c>
      <x:c r="H85" s="24" t="str">
        <x:v>Other fishes &amp; inverts</x:v>
      </x:c>
      <x:c r="I85" s="31" t="n">
        <x:v>0.8343877984</x:v>
      </x:c>
      <x:c r="J85" s="31" t="n">
        <x:v>0</x:v>
      </x:c>
      <x:c r="K85" s="31" t="n">
        <x:v>0.8343877984</x:v>
      </x:c>
      <x:c r="L85" s="31" t="n">
        <x:v>0</x:v>
      </x:c>
      <x:c r="M85" s="31" t="n">
        <x:v>0.8343877984</x:v>
      </x:c>
      <x:c r="N85" s="24" t="str">
        <x:v>balistes capriscus</x:v>
      </x:c>
      <x:c r="O85" s="32" t="n">
        <x:v>4.06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Balistes capriscus</x:v>
      </x:c>
      <x:c r="T85" s="32" t="n">
        <x:f>IF(O85="","",(1/'Metadata'!$B$5)^(O85-1))</x:f>
        <x:v>1148.1536214968817</x:v>
      </x:c>
      <x:c r="U85" s="31" t="n">
        <x:f>IF(T85="","",I85*T85)</x:f>
        <x:v>958.00537246577</x:v>
      </x:c>
    </x:row>
    <x:row r="86" ht="18" customHeight="1">
      <x:c r="A86" s="24" t="str">
        <x:v>EEZ_933</x:v>
      </x:c>
      <x:c r="B86" s="24" t="str">
        <x:v>Egypt (Mediterranean)</x:v>
      </x:c>
      <x:c r="C86" s="24" t="str">
        <x:v>EEZ</x:v>
      </x:c>
      <x:c r="D86" s="30" t="n">
        <x:v>2019</x:v>
      </x:c>
      <x:c r="E86" s="24" t="str">
        <x:v>Conger conger</x:v>
      </x:c>
      <x:c r="F86" s="24" t="str">
        <x:v>European conger</x:v>
      </x:c>
      <x:c r="G86" s="24" t="str">
        <x:v>Large demersals (&gt;=90 cm)</x:v>
      </x:c>
      <x:c r="H86" s="24" t="str">
        <x:v>Other fishes &amp; inverts</x:v>
      </x:c>
      <x:c r="I86" s="31" t="n">
        <x:v>0.4171938992</x:v>
      </x:c>
      <x:c r="J86" s="31" t="n">
        <x:v>0</x:v>
      </x:c>
      <x:c r="K86" s="31" t="n">
        <x:v>0.4171938992</x:v>
      </x:c>
      <x:c r="L86" s="31" t="n">
        <x:v>0</x:v>
      </x:c>
      <x:c r="M86" s="31" t="n">
        <x:v>0.4171938992</x:v>
      </x:c>
      <x:c r="N86" s="24" t="str">
        <x:v>conger conger</x:v>
      </x:c>
      <x:c r="O86" s="32" t="n">
        <x:v>4.31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Conger conger</x:v>
      </x:c>
      <x:c r="T86" s="32" t="n">
        <x:f>IF(O86="","",(1/'Metadata'!$B$5)^(O86-1))</x:f>
        <x:v>2041.7379446695275</x:v>
      </x:c>
      <x:c r="U86" s="31" t="n">
        <x:f>IF(T86="","",I86*T86)</x:f>
        <x:v>851.800614281274</x:v>
      </x:c>
    </x:row>
    <x:row r="87" ht="18" customHeight="1">
      <x:c r="A87" s="24" t="str">
        <x:v>EEZ_933</x:v>
      </x:c>
      <x:c r="B87" s="24" t="str">
        <x:v>Egypt (Mediterranean)</x:v>
      </x:c>
      <x:c r="C87" s="24" t="str">
        <x:v>EEZ</x:v>
      </x:c>
      <x:c r="D87" s="30" t="n">
        <x:v>2019</x:v>
      </x:c>
      <x:c r="E87" s="24" t="str">
        <x:v>Hemiramphus</x:v>
      </x:c>
      <x:c r="F87" s="24" t="str">
        <x:v>Halfbeaks</x:v>
      </x:c>
      <x:c r="G87" s="24" t="str">
        <x:v>Medium pelagics (30 - 89 cm)</x:v>
      </x:c>
      <x:c r="H87" s="24" t="str">
        <x:v>Other fishes &amp; inverts</x:v>
      </x:c>
      <x:c r="I87" s="31" t="n">
        <x:v>0.0460046291</x:v>
      </x:c>
      <x:c r="J87" s="31" t="n">
        <x:v>0.0460046291</x:v>
      </x:c>
      <x:c r="K87" s="31" t="n">
        <x:v>0</x:v>
      </x:c>
      <x:c r="L87" s="31" t="n">
        <x:v>0</x:v>
      </x:c>
      <x:c r="M87" s="31" t="n">
        <x:v>0.0460046291</x:v>
      </x:c>
      <x:c r="N87" s="24" t="str">
        <x:v>hemiramphus</x:v>
      </x:c>
      <x:c r="O87" s="32" t="n">
        <x:v>3.05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Hemiramphus</x:v>
      </x:c>
      <x:c r="T87" s="32" t="n">
        <x:f>IF(O87="","",(1/'Metadata'!$B$5)^(O87-1))</x:f>
        <x:v>112.2018454301963</x:v>
      </x:c>
      <x:c r="U87" s="31" t="n">
        <x:f>IF(T87="","",I87*T87)</x:f>
        <x:v>5.161804283351711</x:v>
      </x:c>
    </x:row>
    <x:row r="88" ht="18" customHeight="1">
      <x:c r="A88" s="24" t="str">
        <x:v>EEZ_933</x:v>
      </x:c>
      <x:c r="B88" s="24" t="str">
        <x:v>Egypt (Mediterranean)</x:v>
      </x:c>
      <x:c r="C88" s="24" t="str">
        <x:v>EEZ</x:v>
      </x:c>
      <x:c r="D88" s="30" t="n">
        <x:v>2019</x:v>
      </x:c>
      <x:c r="E88" s="24" t="str">
        <x:v>Xiphiidae</x:v>
      </x:c>
      <x:c r="F88" s="24" t="str">
        <x:v>Swordfishes</x:v>
      </x:c>
      <x:c r="G88" s="24" t="str">
        <x:v>Large pelagics (&gt;=90 cm)</x:v>
      </x:c>
      <x:c r="H88" s="24" t="str">
        <x:v>Tuna &amp; billfishes</x:v>
      </x:c>
      <x:c r="I88" s="31" t="n">
        <x:v>0.0308251363</x:v>
      </x:c>
      <x:c r="J88" s="31" t="n">
        <x:v>0.0308251363</x:v>
      </x:c>
      <x:c r="K88" s="31" t="n">
        <x:v>0</x:v>
      </x:c>
      <x:c r="L88" s="31" t="n">
        <x:v>0</x:v>
      </x:c>
      <x:c r="M88" s="31" t="n">
        <x:v>0.0308251363</x:v>
      </x:c>
      <x:c r="N88" s="24" t="str">
        <x:v>xiphiidae</x:v>
      </x:c>
      <x:c r="O88" s="32" t="n">
        <x:v>4.5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Xiphiidae</x:v>
      </x:c>
      <x:c r="T88" s="32" t="n">
        <x:f>IF(O88="","",(1/'Metadata'!$B$5)^(O88-1))</x:f>
        <x:v>3162.2776601683795</x:v>
      </x:c>
      <x:c r="U88" s="31" t="n">
        <x:f>IF(T88="","",I88*T88)</x:f>
        <x:v>97.47763989313538</x:v>
      </x:c>
    </x:row>
    <x:row r="89" ht="18" customHeight="1">
      <x:c r="A89" s="24" t="str">
        <x:v>EEZ_933</x:v>
      </x:c>
      <x:c r="B89" s="24" t="str">
        <x:v>Egypt (Mediterranean)</x:v>
      </x:c>
      <x:c r="C89" s="24" t="str">
        <x:v>EEZ</x:v>
      </x:c>
      <x:c r="D89" s="30" t="n">
        <x:v>2019</x:v>
      </x:c>
      <x:c r="E89" s="24" t="str">
        <x:v>Hemiramphidae</x:v>
      </x:c>
      <x:c r="F89" s="24" t="str">
        <x:v>Halfbeaks, garfishes</x:v>
      </x:c>
      <x:c r="G89" s="24" t="str">
        <x:v>Medium pelagics (30 - 89 cm)</x:v>
      </x:c>
      <x:c r="H89" s="24" t="str">
        <x:v>Other fishes &amp; inverts</x:v>
      </x:c>
      <x:c r="I89" s="31" t="n">
        <x:v>0.0141607446</x:v>
      </x:c>
      <x:c r="J89" s="31" t="n">
        <x:v>0.0141607446</x:v>
      </x:c>
      <x:c r="K89" s="31" t="n">
        <x:v>0</x:v>
      </x:c>
      <x:c r="L89" s="31" t="n">
        <x:v>0</x:v>
      </x:c>
      <x:c r="M89" s="31" t="n">
        <x:v>0.0141607446</x:v>
      </x:c>
      <x:c r="N89" s="24" t="str">
        <x:v>hemiramphidae</x:v>
      </x:c>
      <x:c r="O89" s="32" t="n">
        <x:v>2.82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Hemiramphidae</x:v>
      </x:c>
      <x:c r="T89" s="32" t="n">
        <x:f>IF(O89="","",(1/'Metadata'!$B$5)^(O89-1))</x:f>
        <x:v>66.06934480075958</x:v>
      </x:c>
      <x:c r="U89" s="31" t="n">
        <x:f>IF(T89="","",I89*T89)</x:f>
        <x:v>0.9355911176128944</x:v>
      </x:c>
    </x:row>
  </x:sheetData>
  <x:conditionalFormatting sqref="R2:R8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2d89c20aa3d42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370.2435396338</x:v>
      </x:c>
      <x:c r="E2" s="31" t="n">
        <x:v>370.2435396338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IF(C2=0,"",SUMIF('Species'!$H$2:$H$89,A2,'Species'!$U$2:$U$89))</x:f>
        <x:v>47696.60739505219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47696.60739505219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2.0806967013</x:v>
      </x:c>
      <x:c r="E3" s="31" t="n">
        <x:v>2.0806967013</x:v>
      </x:c>
      <x:c r="F3" s="32" t="n">
        <x:v>0</x:v>
      </x:c>
      <x:c r="G3" s="34" t="n">
        <x:v>1</x:v>
      </x:c>
      <x:c r="H3" s="32" t="n">
        <x:f>IF(E3=0,"",I3/E3)</x:f>
        <x:v>2238.7211385683377</x:v>
      </x:c>
      <x:c r="I3" s="31" t="n">
        <x:f>IF(C3=0,"",SUMIF('Species'!$H$2:$H$89,A3,'Species'!$U$2:$U$89))</x:f>
        <x:v>4658.09968814972</x:v>
      </x:c>
      <x:c r="J3" s="32" t="n">
        <x:v>4.35</x:v>
      </x:c>
      <x:c r="K3" s="32" t="n">
        <x:f>IF(J3="","",(1/'Metadata'!$B$5)^(J3-1))</x:f>
        <x:v>2238.7211385683377</x:v>
      </x:c>
      <x:c r="L3" s="31" t="n">
        <x:f>IF(E3=0,"",E3*K3)</x:f>
        <x:v>4658.09968814972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3</x:v>
      </x:c>
      <x:c r="C4" s="33" t="n">
        <x:v>3</x:v>
      </x:c>
      <x:c r="D4" s="31" t="n">
        <x:v>5931.7524407129</x:v>
      </x:c>
      <x:c r="E4" s="31" t="n">
        <x:v>5931.7524407129</x:v>
      </x:c>
      <x:c r="F4" s="32" t="n">
        <x:v>0</x:v>
      </x:c>
      <x:c r="G4" s="34" t="n">
        <x:v>1</x:v>
      </x:c>
      <x:c r="H4" s="32" t="n">
        <x:f>IF(E4=0,"",I4/E4)</x:f>
        <x:v>212.22323453305972</x:v>
      </x:c>
      <x:c r="I4" s="31" t="n">
        <x:f>IF(C4=0,"",SUMIF('Species'!$H$2:$H$89,A4,'Species'!$U$2:$U$89))</x:f>
        <x:v>1258855.6894174633</x:v>
      </x:c>
      <x:c r="J4" s="32" t="n">
        <x:v>3.32347899553537</x:v>
      </x:c>
      <x:c r="K4" s="32" t="n">
        <x:f>IF(J4="","",(1/'Metadata'!$B$5)^(J4-1))</x:f>
        <x:v>210.61000359113845</x:v>
      </x:c>
      <x:c r="L4" s="31" t="n">
        <x:f>IF(E4=0,"",E4*K4)</x:f>
        <x:v>1249286.4028402881</x:v>
      </x:c>
      <x:c r="M4" s="31" t="n">
        <x:f>IF(E4=0,"",I4-L4)</x:f>
        <x:v>9569.286577175139</x:v>
      </x:c>
      <x:c r="N4" s="32" t="n">
        <x:f>IF(L4=0,"",I4/L4)</x:f>
        <x:v>1.0076598020721421</x:v>
      </x:c>
      <x:c r="O4" s="34" t="n">
        <x:f>IF(L4=0,"",M4/L4)</x:f>
        <x:v>0.0076598020721422196</x:v>
      </x:c>
    </x:row>
    <x:row r="5" ht="18" customHeight="1">
      <x:c r="A5" s="24" t="str">
        <x:v>Flatfishes</x:v>
      </x:c>
      <x:c r="B5" s="33" t="n">
        <x:v>5</x:v>
      </x:c>
      <x:c r="C5" s="33" t="n">
        <x:v>5</x:v>
      </x:c>
      <x:c r="D5" s="31" t="n">
        <x:v>726.8621348493998</x:v>
      </x:c>
      <x:c r="E5" s="31" t="n">
        <x:v>726.8621348493998</x:v>
      </x:c>
      <x:c r="F5" s="32" t="n">
        <x:v>0</x:v>
      </x:c>
      <x:c r="G5" s="34" t="n">
        <x:v>1</x:v>
      </x:c>
      <x:c r="H5" s="32" t="n">
        <x:f>IF(E5=0,"",I5/E5)</x:f>
        <x:v>138.33469630550448</x:v>
      </x:c>
      <x:c r="I5" s="31" t="n">
        <x:f>IF(C5=0,"",SUMIF('Species'!$H$2:$H$89,A5,'Species'!$U$2:$U$89))</x:f>
        <x:v>100550.25268036236</x:v>
      </x:c>
      <x:c r="J5" s="32" t="n">
        <x:v>3.1401616037398377</x:v>
      </x:c>
      <x:c r="K5" s="32" t="n">
        <x:f>IF(J5="","",(1/'Metadata'!$B$5)^(J5-1))</x:f>
        <x:v>138.0898009948221</x:v>
      </x:c>
      <x:c r="L5" s="31" t="n">
        <x:f>IF(E5=0,"",E5*K5)</x:f>
        <x:v>100372.24755202516</x:v>
      </x:c>
      <x:c r="M5" s="31" t="n">
        <x:f>IF(E5=0,"",I5-L5)</x:f>
        <x:v>178.0051283372013</x:v>
      </x:c>
      <x:c r="N5" s="32" t="n">
        <x:f>IF(L5=0,"",I5/L5)</x:f>
        <x:v>1.0017734496604247</x:v>
      </x:c>
      <x:c r="O5" s="34" t="n">
        <x:f>IF(L5=0,"",M5/L5)</x:f>
        <x:v>0.0017734496604246838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7279.669204327901</x:v>
      </x:c>
      <x:c r="E6" s="31" t="n">
        <x:v>7279.669204327901</x:v>
      </x:c>
      <x:c r="F6" s="32" t="n">
        <x:v>0</x:v>
      </x:c>
      <x:c r="G6" s="34" t="n">
        <x:v>1</x:v>
      </x:c>
      <x:c r="H6" s="32" t="n">
        <x:f>IF(E6=0,"",I6/E6)</x:f>
        <x:v>64.84546734453846</x:v>
      </x:c>
      <x:c r="I6" s="31" t="n">
        <x:f>IF(C6=0,"",SUMIF('Species'!$H$2:$H$89,A6,'Species'!$U$2:$U$89))</x:f>
        <x:v>472053.55166828714</x:v>
      </x:c>
      <x:c r="J6" s="32" t="n">
        <x:v>2.79271996897762</x:v>
      </x:c>
      <x:c r="K6" s="32" t="n">
        <x:f>IF(J6="","",(1/'Metadata'!$B$5)^(J6-1))</x:f>
        <x:v>62.046882985993975</x:v>
      </x:c>
      <x:c r="L6" s="31" t="n">
        <x:f>IF(E6=0,"",E6*K6)</x:f>
        <x:v>451680.7832976771</x:v>
      </x:c>
      <x:c r="M6" s="31" t="n">
        <x:f>IF(E6=0,"",I6-L6)</x:f>
        <x:v>20372.76837061002</x:v>
      </x:c>
      <x:c r="N6" s="32" t="n">
        <x:f>IF(L6=0,"",I6/L6)</x:f>
        <x:v>1.0451043505146942</x:v>
      </x:c>
      <x:c r="O6" s="34" t="n">
        <x:f>IF(L6=0,"",M6/L6)</x:f>
        <x:v>0.04510435051469411</x:v>
      </x:c>
    </x:row>
    <x:row r="7" ht="18" customHeight="1">
      <x:c r="A7" s="24" t="str">
        <x:v>Molluscs</x:v>
      </x:c>
      <x:c r="B7" s="33" t="n">
        <x:v>1</x:v>
      </x:c>
      <x:c r="C7" s="33" t="n">
        <x:v>1</x:v>
      </x:c>
      <x:c r="D7" s="31" t="n">
        <x:v>3700.5447993996</x:v>
      </x:c>
      <x:c r="E7" s="31" t="n">
        <x:v>3700.5447993996</x:v>
      </x:c>
      <x:c r="F7" s="32" t="n">
        <x:v>0</x:v>
      </x:c>
      <x:c r="G7" s="34" t="n">
        <x:v>1</x:v>
      </x:c>
      <x:c r="H7" s="32" t="n">
        <x:f>IF(E7=0,"",I7/E7)</x:f>
        <x:v>12.589254117941675</x:v>
      </x:c>
      <x:c r="I7" s="31" t="n">
        <x:f>IF(C7=0,"",SUMIF('Species'!$H$2:$H$89,A7,'Species'!$U$2:$U$89))</x:f>
        <x:v>46587.09885446906</x:v>
      </x:c>
      <x:c r="J7" s="32" t="n">
        <x:v>2.1</x:v>
      </x:c>
      <x:c r="K7" s="32" t="n">
        <x:f>IF(J7="","",(1/'Metadata'!$B$5)^(J7-1))</x:f>
        <x:v>12.589254117941675</x:v>
      </x:c>
      <x:c r="L7" s="31" t="n">
        <x:f>IF(E7=0,"",E7*K7)</x:f>
        <x:v>46587.09885446906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Other fishes &amp; inverts</x:v>
      </x:c>
      <x:c r="B8" s="33" t="n">
        <x:v>20</x:v>
      </x:c>
      <x:c r="C8" s="33" t="n">
        <x:v>20</x:v>
      </x:c>
      <x:c r="D8" s="31" t="n">
        <x:v>20273.7557775877</x:v>
      </x:c>
      <x:c r="E8" s="31" t="n">
        <x:v>20273.7557775877</x:v>
      </x:c>
      <x:c r="F8" s="32" t="n">
        <x:v>0</x:v>
      </x:c>
      <x:c r="G8" s="34" t="n">
        <x:v>1</x:v>
      </x:c>
      <x:c r="H8" s="32" t="n">
        <x:f>IF(E8=0,"",I8/E8)</x:f>
        <x:v>288.3650652500327</x:v>
      </x:c>
      <x:c r="I8" s="31" t="n">
        <x:f>IF(C8=0,"",SUMIF('Species'!$H$2:$H$89,A8,'Species'!$U$2:$U$89))</x:f>
        <x:v>5846242.907667305</x:v>
      </x:c>
      <x:c r="J8" s="32" t="n">
        <x:v>3.352652864518725</x:v>
      </x:c>
      <x:c r="K8" s="32" t="n">
        <x:f>IF(J8="","",(1/'Metadata'!$B$5)^(J8-1))</x:f>
        <x:v>225.24380984161837</x:v>
      </x:c>
      <x:c r="L8" s="31" t="n">
        <x:f>IF(E8=0,"",E8*K8)</x:f>
        <x:v>4566537.991142375</x:v>
      </x:c>
      <x:c r="M8" s="31" t="n">
        <x:f>IF(E8=0,"",I8-L8)</x:f>
        <x:v>1279704.91652493</x:v>
      </x:c>
      <x:c r="N8" s="32" t="n">
        <x:f>IF(L8=0,"",I8/L8)</x:f>
        <x:v>1.2802352502064251</x:v>
      </x:c>
      <x:c r="O8" s="34" t="n">
        <x:f>IF(L8=0,"",M8/L8)</x:f>
        <x:v>0.2802352502064252</x:v>
      </x:c>
    </x:row>
    <x:row r="9" ht="18" customHeight="1">
      <x:c r="A9" s="24" t="str">
        <x:v>Perch-likes</x:v>
      </x:c>
      <x:c r="B9" s="33" t="n">
        <x:v>41</x:v>
      </x:c>
      <x:c r="C9" s="33" t="n">
        <x:v>41</x:v>
      </x:c>
      <x:c r="D9" s="31" t="n">
        <x:v>14303.3010086505</x:v>
      </x:c>
      <x:c r="E9" s="31" t="n">
        <x:v>14303.3010086505</x:v>
      </x:c>
      <x:c r="F9" s="32" t="n">
        <x:v>0</x:v>
      </x:c>
      <x:c r="G9" s="34" t="n">
        <x:v>1</x:v>
      </x:c>
      <x:c r="H9" s="32" t="n">
        <x:f>IF(E9=0,"",I9/E9)</x:f>
        <x:v>1240.8406782205545</x:v>
      </x:c>
      <x:c r="I9" s="31" t="n">
        <x:f>IF(C9=0,"",SUMIF('Species'!$H$2:$H$89,A9,'Species'!$U$2:$U$89))</x:f>
        <x:v>17748117.724366628</x:v>
      </x:c>
      <x:c r="J9" s="32" t="n">
        <x:v>3.769286233227516</x:v>
      </x:c>
      <x:c r="K9" s="32" t="n">
        <x:f>IF(J9="","",(1/'Metadata'!$B$5)^(J9-1))</x:f>
        <x:v>587.8766805007591</x:v>
      </x:c>
      <x:c r="L9" s="31" t="n">
        <x:f>IF(E9=0,"",E9*K9)</x:f>
        <x:v>8408577.117168615</x:v>
      </x:c>
      <x:c r="M9" s="31" t="n">
        <x:f>IF(E9=0,"",I9-L9)</x:f>
        <x:v>9339540.607198013</x:v>
      </x:c>
      <x:c r="N9" s="32" t="n">
        <x:f>IF(L9=0,"",I9/L9)</x:f>
        <x:v>2.1107159364844925</x:v>
      </x:c>
      <x:c r="O9" s="34" t="n">
        <x:f>IF(L9=0,"",M9/L9)</x:f>
        <x:v>1.1107159364844925</x:v>
      </x:c>
    </x:row>
    <x:row r="10" ht="18" customHeight="1">
      <x:c r="A10" s="24" t="str">
        <x:v>Scorpionfishes</x:v>
      </x:c>
      <x:c r="B10" s="33" t="n">
        <x:v>3</x:v>
      </x:c>
      <x:c r="C10" s="33" t="n">
        <x:v>3</x:v>
      </x:c>
      <x:c r="D10" s="31" t="n">
        <x:v>747.5051074053999</x:v>
      </x:c>
      <x:c r="E10" s="31" t="n">
        <x:v>747.5051074053999</x:v>
      </x:c>
      <x:c r="F10" s="32" t="n">
        <x:v>0</x:v>
      </x:c>
      <x:c r="G10" s="34" t="n">
        <x:v>1</x:v>
      </x:c>
      <x:c r="H10" s="32" t="n">
        <x:f>IF(E10=0,"",I10/E10)</x:f>
        <x:v>543.4062545496851</x:v>
      </x:c>
      <x:c r="I10" s="31" t="n">
        <x:f>IF(C10=0,"",SUMIF('Species'!$H$2:$H$89,A10,'Species'!$U$2:$U$89))</x:f>
        <x:v>406198.95067192847</x:v>
      </x:c>
      <x:c r="J10" s="32" t="n">
        <x:v>3.7343037912692782</x:v>
      </x:c>
      <x:c r="K10" s="32" t="n">
        <x:f>IF(J10="","",(1/'Metadata'!$B$5)^(J10-1))</x:f>
        <x:v>542.3801555023917</x:v>
      </x:c>
      <x:c r="L10" s="31" t="n">
        <x:f>IF(E10=0,"",E10*K10)</x:f>
        <x:v>405431.9363933729</x:v>
      </x:c>
      <x:c r="M10" s="31" t="n">
        <x:f>IF(E10=0,"",I10-L10)</x:f>
        <x:v>767.01427855558</x:v>
      </x:c>
      <x:c r="N10" s="32" t="n">
        <x:f>IF(L10=0,"",I10/L10)</x:f>
        <x:v>1.0018918447455787</x:v>
      </x:c>
      <x:c r="O10" s="34" t="n">
        <x:f>IF(L10=0,"",M10/L10)</x:f>
        <x:v>0.00189184474557865</x:v>
      </x:c>
    </x:row>
    <x:row r="11" ht="18" customHeight="1">
      <x:c r="A11" s="24" t="str">
        <x:v>Sharks &amp; rays</x:v>
      </x:c>
      <x:c r="B11" s="33" t="n">
        <x:v>3</x:v>
      </x:c>
      <x:c r="C11" s="33" t="n">
        <x:v>3</x:v>
      </x:c>
      <x:c r="D11" s="31" t="n">
        <x:v>1117.5968780695</x:v>
      </x:c>
      <x:c r="E11" s="31" t="n">
        <x:v>1117.5968780695</x:v>
      </x:c>
      <x:c r="F11" s="32" t="n">
        <x:v>0</x:v>
      </x:c>
      <x:c r="G11" s="34" t="n">
        <x:v>1</x:v>
      </x:c>
      <x:c r="H11" s="32" t="n">
        <x:f>IF(E11=0,"",I11/E11)</x:f>
        <x:v>1110.3667837514947</x:v>
      </x:c>
      <x:c r="I11" s="31" t="n">
        <x:f>IF(C11=0,"",SUMIF('Species'!$H$2:$H$89,A11,'Species'!$U$2:$U$89))</x:f>
        <x:v>1240942.4510327422</x:v>
      </x:c>
      <x:c r="J11" s="32" t="n">
        <x:v>4.044881135742784</x:v>
      </x:c>
      <x:c r="K11" s="32" t="n">
        <x:f>IF(J11="","",(1/'Metadata'!$B$5)^(J11-1))</x:f>
        <x:v>1108.8712811270877</x:v>
      </x:c>
      <x:c r="L11" s="31" t="n">
        <x:f>IF(E11=0,"",E11*K11)</x:f>
        <x:v>1239271.08196856</x:v>
      </x:c>
      <x:c r="M11" s="31" t="n">
        <x:f>IF(E11=0,"",I11-L11)</x:f>
        <x:v>1671.369064182043</x:v>
      </x:c>
      <x:c r="N11" s="32" t="n">
        <x:f>IF(L11=0,"",I11/L11)</x:f>
        <x:v>1.0013486710764905</x:v>
      </x:c>
      <x:c r="O11" s="34" t="n">
        <x:f>IF(L11=0,"",M11/L11)</x:f>
        <x:v>0.0013486710764904664</x:v>
      </x:c>
    </x:row>
    <x:row r="12" ht="18" customHeight="1">
      <x:c r="A12" s="24" t="str">
        <x:v>Tuna &amp; billfishes</x:v>
      </x:c>
      <x:c r="B12" s="33" t="n">
        <x:v>5</x:v>
      </x:c>
      <x:c r="C12" s="33" t="n">
        <x:v>5</x:v>
      </x:c>
      <x:c r="D12" s="31" t="n">
        <x:v>1359.3790579252002</x:v>
      </x:c>
      <x:c r="E12" s="31" t="n">
        <x:v>1359.3790579252002</x:v>
      </x:c>
      <x:c r="F12" s="32" t="n">
        <x:v>0</x:v>
      </x:c>
      <x:c r="G12" s="34" t="n">
        <x:v>1</x:v>
      </x:c>
      <x:c r="H12" s="32" t="n">
        <x:f>IF(E12=0,"",I12/E12)</x:f>
        <x:v>2858.3724372276656</x:v>
      </x:c>
      <x:c r="I12" s="31" t="n">
        <x:f>IF(C12=0,"",SUMIF('Species'!$H$2:$H$89,A12,'Species'!$U$2:$U$89))</x:f>
        <x:v>3885611.6309179026</x:v>
      </x:c>
      <x:c r="J12" s="32" t="n">
        <x:v>4.449818374257383</x:v>
      </x:c>
      <x:c r="K12" s="32" t="n">
        <x:f>IF(J12="","",(1/'Metadata'!$B$5)^(J12-1))</x:f>
        <x:v>2817.2045053564666</x:v>
      </x:c>
      <x:c r="L12" s="31" t="n">
        <x:f>IF(E12=0,"",E12*K12)</x:f>
        <x:v>3829648.806474103</x:v>
      </x:c>
      <x:c r="M12" s="31" t="n">
        <x:f>IF(E12=0,"",I12-L12)</x:f>
        <x:v>55962.82444379944</x:v>
      </x:c>
      <x:c r="N12" s="32" t="n">
        <x:f>IF(L12=0,"",I12/L12)</x:f>
        <x:v>1.0146130434595446</x:v>
      </x:c>
      <x:c r="O12" s="34" t="n">
        <x:f>IF(L12=0,"",M12/L12)</x:f>
        <x:v>0.01461304345954467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246bac7f07347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2114.4409717251</x:v>
      </x:c>
      <x:c r="E2" s="31" t="n">
        <x:v>2114.4409717251</x:v>
      </x:c>
      <x:c r="F2" s="32" t="n">
        <x:v>0</x:v>
      </x:c>
      <x:c r="G2" s="34" t="n">
        <x:v>1</x:v>
      </x:c>
      <x:c r="H2" s="32" t="n">
        <x:f>IF(E2=0,"",I2/E2)</x:f>
        <x:v>483.6292185573336</x:v>
      </x:c>
      <x:c r="I2" s="31" t="n">
        <x:f>IF(C2=0,"",SUMIF('Species'!$G$2:$G$89,A2,'Species'!$U$2:$U$89))</x:f>
        <x:v>1022605.4348410193</x:v>
      </x:c>
      <x:c r="J2" s="32" t="n">
        <x:v>3.680108674023477</x:v>
      </x:c>
      <x:c r="K2" s="32" t="n">
        <x:f>IF(J2="","",(1/'Metadata'!$B$5)^(J2-1))</x:f>
        <x:v>478.7498754846293</x:v>
      </x:c>
      <x:c r="L2" s="31" t="n">
        <x:f>IF(E2=0,"",E2*K2)</x:f>
        <x:v>1012288.3519329902</x:v>
      </x:c>
      <x:c r="M2" s="31" t="n">
        <x:f>IF(E2=0,"",I2-L2)</x:f>
        <x:v>10317.082908029086</x:v>
      </x:c>
      <x:c r="N2" s="32" t="n">
        <x:f>IF(L2=0,"",I2/L2)</x:f>
        <x:v>1.010191841967092</x:v>
      </x:c>
      <x:c r="O2" s="34" t="n">
        <x:f>IF(L2=0,"",M2/L2)</x:f>
        <x:v>0.01019184196709204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2.0806967013</x:v>
      </x:c>
      <x:c r="E3" s="31" t="n">
        <x:v>2.0806967013</x:v>
      </x:c>
      <x:c r="F3" s="32" t="n">
        <x:v>0</x:v>
      </x:c>
      <x:c r="G3" s="34" t="n">
        <x:v>1</x:v>
      </x:c>
      <x:c r="H3" s="32" t="n">
        <x:f>IF(E3=0,"",I3/E3)</x:f>
        <x:v>2238.7211385683377</x:v>
      </x:c>
      <x:c r="I3" s="31" t="n">
        <x:f>IF(C3=0,"",SUMIF('Species'!$G$2:$G$89,A3,'Species'!$U$2:$U$89))</x:f>
        <x:v>4658.09968814972</x:v>
      </x:c>
      <x:c r="J3" s="32" t="n">
        <x:v>4.35</x:v>
      </x:c>
      <x:c r="K3" s="32" t="n">
        <x:f>IF(J3="","",(1/'Metadata'!$B$5)^(J3-1))</x:f>
        <x:v>2238.7211385683377</x:v>
      </x:c>
      <x:c r="L3" s="31" t="n">
        <x:f>IF(E3=0,"",E3*K3)</x:f>
        <x:v>4658.09968814972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3370.8985550805</x:v>
      </x:c>
      <x:c r="E4" s="31" t="n">
        <x:v>3370.8985550805</x:v>
      </x:c>
      <x:c r="F4" s="32" t="n">
        <x:v>0</x:v>
      </x:c>
      <x:c r="G4" s="34" t="n">
        <x:v>1</x:v>
      </x:c>
      <x:c r="H4" s="32" t="n">
        <x:f>IF(E4=0,"",I4/E4)</x:f>
        <x:v>2394.714906906728</x:v>
      </x:c>
      <x:c r="I4" s="31" t="n">
        <x:f>IF(C4=0,"",SUMIF('Species'!$G$2:$G$89,A4,'Species'!$U$2:$U$89))</x:f>
        <x:v>8072341.019521624</x:v>
      </x:c>
      <x:c r="J4" s="32" t="n">
        <x:v>4.374933822256824</x:v>
      </x:c>
      <x:c r="K4" s="32" t="n">
        <x:f>IF(J4="","",(1/'Metadata'!$B$5)^(J4-1))</x:f>
        <x:v>2371.0123835390827</x:v>
      </x:c>
      <x:c r="L4" s="31" t="n">
        <x:f>IF(E4=0,"",E4*K4)</x:f>
        <x:v>7992442.217749867</x:v>
      </x:c>
      <x:c r="M4" s="31" t="n">
        <x:f>IF(E4=0,"",I4-L4)</x:f>
        <x:v>79898.8017717572</x:v>
      </x:c>
      <x:c r="N4" s="32" t="n">
        <x:f>IF(L4=0,"",I4/L4)</x:f>
        <x:v>1.0099967944208987</x:v>
      </x:c>
      <x:c r="O4" s="34" t="n">
        <x:f>IF(L4=0,"",M4/L4)</x:f>
        <x:v>0.009996794420898712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340.3275457064</x:v>
      </x:c>
      <x:c r="E5" s="31" t="n">
        <x:v>340.3275457064</x:v>
      </x:c>
      <x:c r="F5" s="32" t="n">
        <x:v>0</x:v>
      </x:c>
      <x:c r="G5" s="34" t="n">
        <x:v>1</x:v>
      </x:c>
      <x:c r="H5" s="32" t="n">
        <x:f>IF(E5=0,"",I5/E5)</x:f>
        <x:v>843.1587292088602</x:v>
      </x:c>
      <x:c r="I5" s="31" t="n">
        <x:f>IF(C5=0,"",SUMIF('Species'!$G$2:$G$89,A5,'Species'!$U$2:$U$89))</x:f>
        <x:v>286950.1409525785</x:v>
      </x:c>
      <x:c r="J5" s="32" t="n">
        <x:v>3.888387517476615</x:v>
      </x:c>
      <x:c r="K5" s="32" t="n">
        <x:f>IF(J5="","",(1/'Metadata'!$B$5)^(J5-1))</x:f>
        <x:v>773.370349463076</x:v>
      </x:c>
      <x:c r="L5" s="31" t="n">
        <x:f>IF(E5=0,"",E5*K5)</x:f>
        <x:v>263199.2329548695</x:v>
      </x:c>
      <x:c r="M5" s="31" t="n">
        <x:f>IF(E5=0,"",I5-L5)</x:f>
        <x:v>23750.907997709</x:v>
      </x:c>
      <x:c r="N5" s="32" t="n">
        <x:f>IF(L5=0,"",I5/L5)</x:f>
        <x:v>1.0902392751341397</x:v>
      </x:c>
      <x:c r="O5" s="34" t="n">
        <x:f>IF(L5=0,"",M5/L5)</x:f>
        <x:v>0.09023927513413971</x:v>
      </x:c>
    </x:row>
    <x:row r="6" ht="18" customHeight="1">
      <x:c r="A6" s="24" t="str">
        <x:v>Large pelagics (&gt;=90 cm)</x:v>
      </x:c>
      <x:c r="B6" s="33" t="n">
        <x:v>9</x:v>
      </x:c>
      <x:c r="C6" s="33" t="n">
        <x:v>9</x:v>
      </x:c>
      <x:c r="D6" s="31" t="n">
        <x:v>3167.3913382056994</x:v>
      </x:c>
      <x:c r="E6" s="31" t="n">
        <x:v>3167.3913382056994</x:v>
      </x:c>
      <x:c r="F6" s="32" t="n">
        <x:v>0</x:v>
      </x:c>
      <x:c r="G6" s="34" t="n">
        <x:v>1</x:v>
      </x:c>
      <x:c r="H6" s="32" t="n">
        <x:f>IF(E6=0,"",I6/E6)</x:f>
        <x:v>2931.6355934069747</x:v>
      </x:c>
      <x:c r="I6" s="31" t="n">
        <x:f>IF(C6=0,"",SUMIF('Species'!$G$2:$G$89,A6,'Species'!$U$2:$U$89))</x:f>
        <x:v>9285637.185332777</x:v>
      </x:c>
      <x:c r="J6" s="32" t="n">
        <x:v>4.46240599647297</x:v>
      </x:c>
      <x:c r="K6" s="32" t="n">
        <x:f>IF(J6="","",(1/'Metadata'!$B$5)^(J6-1))</x:f>
        <x:v>2900.053410943986</x:v>
      </x:c>
      <x:c r="L6" s="31" t="n">
        <x:f>IF(E6=0,"",E6*K6)</x:f>
        <x:v>9185604.054157875</x:v>
      </x:c>
      <x:c r="M6" s="31" t="n">
        <x:f>IF(E6=0,"",I6-L6)</x:f>
        <x:v>100033.1311749015</x:v>
      </x:c>
      <x:c r="N6" s="32" t="n">
        <x:f>IF(L6=0,"",I6/L6)</x:f>
        <x:v>1.010890207174739</x:v>
      </x:c>
      <x:c r="O6" s="34" t="n">
        <x:f>IF(L6=0,"",M6/L6)</x:f>
        <x:v>0.010890207174738974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9.3943489425</x:v>
      </x:c>
      <x:c r="E7" s="31" t="n">
        <x:v>9.3943489425</x:v>
      </x:c>
      <x:c r="F7" s="32" t="n">
        <x:v>0</x:v>
      </x:c>
      <x:c r="G7" s="34" t="n">
        <x:v>1</x:v>
      </x:c>
      <x:c r="H7" s="32" t="n">
        <x:f>IF(E7=0,"",I7/E7)</x:f>
        <x:v>660.6934480075957</x:v>
      </x:c>
      <x:c r="I7" s="31" t="n">
        <x:f>IF(C7=0,"",SUMIF('Species'!$G$2:$G$89,A7,'Species'!$U$2:$U$89))</x:f>
        <x:v>6206.784794606836</x:v>
      </x:c>
      <x:c r="J7" s="32" t="n">
        <x:v>3.82</x:v>
      </x:c>
      <x:c r="K7" s="32" t="n">
        <x:f>IF(J7="","",(1/'Metadata'!$B$5)^(J7-1))</x:f>
        <x:v>660.6934480075957</x:v>
      </x:c>
      <x:c r="L7" s="31" t="n">
        <x:f>IF(E7=0,"",E7*K7)</x:f>
        <x:v>6206.784794606836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reef assoc. fish (&gt;=90 cm)</x:v>
      </x:c>
      <x:c r="B8" s="33" t="n">
        <x:v>2</x:v>
      </x:c>
      <x:c r="C8" s="33" t="n">
        <x:v>2</x:v>
      </x:c>
      <x:c r="D8" s="31" t="n">
        <x:v>22.8097965316</x:v>
      </x:c>
      <x:c r="E8" s="31" t="n">
        <x:v>22.8097965316</x:v>
      </x:c>
      <x:c r="F8" s="32" t="n">
        <x:v>0</x:v>
      </x:c>
      <x:c r="G8" s="34" t="n">
        <x:v>1</x:v>
      </x:c>
      <x:c r="H8" s="32" t="n">
        <x:f>IF(E8=0,"",I8/E8)</x:f>
        <x:v>2308.6529759721807</x:v>
      </x:c>
      <x:c r="I8" s="31" t="n">
        <x:f>IF(C8=0,"",SUMIF('Species'!$G$2:$G$89,A8,'Species'!$U$2:$U$89))</x:f>
        <x:v>52659.90464399826</x:v>
      </x:c>
      <x:c r="J8" s="32" t="n">
        <x:v>4.334319658008501</x:v>
      </x:c>
      <x:c r="K8" s="32" t="n">
        <x:f>IF(J8="","",(1/'Metadata'!$B$5)^(J8-1))</x:f>
        <x:v>2159.333179468344</x:v>
      </x:c>
      <x:c r="L8" s="31" t="n">
        <x:f>IF(E8=0,"",E8*K8)</x:f>
        <x:v>49253.950467605835</x:v>
      </x:c>
      <x:c r="M8" s="31" t="n">
        <x:f>IF(E8=0,"",I8-L8)</x:f>
        <x:v>3405.954176392428</x:v>
      </x:c>
      <x:c r="N8" s="32" t="n">
        <x:f>IF(L8=0,"",I8/L8)</x:f>
        <x:v>1.0691508832095105</x:v>
      </x:c>
      <x:c r="O8" s="34" t="n">
        <x:f>IF(L8=0,"",M8/L8)</x:f>
        <x:v>0.06915088320951054</x:v>
      </x:c>
    </x:row>
    <x:row r="9" ht="18" customHeight="1">
      <x:c r="A9" s="24" t="str">
        <x:v>Large sharks (&gt;=90 cm)</x:v>
      </x:c>
      <x:c r="B9" s="33" t="n">
        <x:v>2</x:v>
      </x:c>
      <x:c r="C9" s="33" t="n">
        <x:v>2</x:v>
      </x:c>
      <x:c r="D9" s="31" t="n">
        <x:v>1108.202529127</x:v>
      </x:c>
      <x:c r="E9" s="31" t="n">
        <x:v>1108.202529127</x:v>
      </x:c>
      <x:c r="F9" s="32" t="n">
        <x:v>0</x:v>
      </x:c>
      <x:c r="G9" s="34" t="n">
        <x:v>1</x:v>
      </x:c>
      <x:c r="H9" s="32" t="n">
        <x:f>IF(E9=0,"",I9/E9)</x:f>
        <x:v>1114.1787117295369</x:v>
      </x:c>
      <x:c r="I9" s="31" t="n">
        <x:f>IF(C9=0,"",SUMIF('Species'!$G$2:$G$89,A9,'Species'!$U$2:$U$89))</x:f>
        <x:v>1234735.6662381354</x:v>
      </x:c>
      <x:c r="J9" s="32" t="n">
        <x:v>4.046787476690605</x:v>
      </x:c>
      <x:c r="K9" s="32" t="n">
        <x:f>IF(J9="","",(1/'Metadata'!$B$5)^(J9-1))</x:f>
        <x:v>1113.749383610505</x:v>
      </x:c>
      <x:c r="L9" s="31" t="n">
        <x:f>IF(E9=0,"",E9*K9)</x:f>
        <x:v>1234259.883730799</x:v>
      </x:c>
      <x:c r="M9" s="31" t="n">
        <x:f>IF(E9=0,"",I9-L9)</x:f>
        <x:v>475.78250733646564</x:v>
      </x:c>
      <x:c r="N9" s="32" t="n">
        <x:f>IF(L9=0,"",I9/L9)</x:f>
        <x:v>1.0003854800059597</x:v>
      </x:c>
      <x:c r="O9" s="34" t="n">
        <x:f>IF(L9=0,"",M9/L9)</x:f>
        <x:v>0.0003854800059597799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6.0514155556</x:v>
      </x:c>
      <x:c r="E10" s="31" t="n">
        <x:v>6.0514155556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IF(C10=0,"",SUMIF('Species'!$G$2:$G$89,A10,'Species'!$U$2:$U$89))</x:f>
        <x:v>1354.7431922582996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1354.7431922582996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5</x:v>
      </x:c>
      <x:c r="C11" s="33" t="n">
        <x:v>5</x:v>
      </x:c>
      <x:c r="D11" s="31" t="n">
        <x:v>885.2306450353</x:v>
      </x:c>
      <x:c r="E11" s="31" t="n">
        <x:v>885.2306450353</x:v>
      </x:c>
      <x:c r="F11" s="32" t="n">
        <x:v>0</x:v>
      </x:c>
      <x:c r="G11" s="34" t="n">
        <x:v>1</x:v>
      </x:c>
      <x:c r="H11" s="32" t="n">
        <x:f>IF(E11=0,"",I11/E11)</x:f>
        <x:v>547.2200455082004</x:v>
      </x:c>
      <x:c r="I11" s="31" t="n">
        <x:f>IF(C11=0,"",SUMIF('Species'!$G$2:$G$89,A11,'Species'!$U$2:$U$89))</x:f>
        <x:v>484415.9538614705</x:v>
      </x:c>
      <x:c r="J11" s="32" t="n">
        <x:v>3.697116184450669</x:v>
      </x:c>
      <x:c r="K11" s="32" t="n">
        <x:f>IF(J11="","",(1/'Metadata'!$B$5)^(J11-1))</x:f>
        <x:v>497.8702596985713</x:v>
      </x:c>
      <x:c r="L11" s="31" t="n">
        <x:f>IF(E11=0,"",E11*K11)</x:f>
        <x:v>440730.0111368586</x:v>
      </x:c>
      <x:c r="M11" s="31" t="n">
        <x:f>IF(E11=0,"",I11-L11)</x:f>
        <x:v>43685.9427246119</x:v>
      </x:c>
      <x:c r="N11" s="32" t="n">
        <x:f>IF(L11=0,"",I11/L11)</x:f>
        <x:v>1.0991217789138625</x:v>
      </x:c>
      <x:c r="O11" s="34" t="n">
        <x:f>IF(L11=0,"",M11/L11)</x:f>
        <x:v>0.0991217789138626</x:v>
      </x:c>
    </x:row>
    <x:row r="12" ht="18" customHeight="1">
      <x:c r="A12" s="24" t="str">
        <x:v>Medium demersals (30 - 89 cm)</x:v>
      </x:c>
      <x:c r="B12" s="33" t="n">
        <x:v>16</x:v>
      </x:c>
      <x:c r="C12" s="33" t="n">
        <x:v>16</x:v>
      </x:c>
      <x:c r="D12" s="31" t="n">
        <x:v>17195.877675224398</x:v>
      </x:c>
      <x:c r="E12" s="31" t="n">
        <x:v>17195.877675224398</x:v>
      </x:c>
      <x:c r="F12" s="32" t="n">
        <x:v>0</x:v>
      </x:c>
      <x:c r="G12" s="34" t="n">
        <x:v>1</x:v>
      </x:c>
      <x:c r="H12" s="32" t="n">
        <x:f>IF(E12=0,"",I12/E12)</x:f>
        <x:v>282.1908791647352</x:v>
      </x:c>
      <x:c r="I12" s="31" t="n">
        <x:f>IF(C12=0,"",SUMIF('Species'!$G$2:$G$89,A12,'Species'!$U$2:$U$89))</x:f>
        <x:v>4852519.839180815</x:v>
      </x:c>
      <x:c r="J12" s="32" t="n">
        <x:v>3.314853858459854</x:v>
      </x:c>
      <x:c r="K12" s="32" t="n">
        <x:f>IF(J12="","",(1/'Metadata'!$B$5)^(J12-1))</x:f>
        <x:v>206.46852654296723</x:v>
      </x:c>
      <x:c r="L12" s="31" t="n">
        <x:f>IF(E12=0,"",E12*K12)</x:f>
        <x:v>3550407.5262166862</x:v>
      </x:c>
      <x:c r="M12" s="31" t="n">
        <x:f>IF(E12=0,"",I12-L12)</x:f>
        <x:v>1302112.3129641288</x:v>
      </x:c>
      <x:c r="N12" s="32" t="n">
        <x:f>IF(L12=0,"",I12/L12)</x:f>
        <x:v>1.3667500993475135</x:v>
      </x:c>
      <x:c r="O12" s="34" t="n">
        <x:f>IF(L12=0,"",M12/L12)</x:f>
        <x:v>0.36675009934751335</x:v>
      </x:c>
    </x:row>
    <x:row r="13" ht="18" customHeight="1">
      <x:c r="A13" s="24" t="str">
        <x:v>Medium pelagics (30 - 89 cm)</x:v>
      </x:c>
      <x:c r="B13" s="33" t="n">
        <x:v>10</x:v>
      </x:c>
      <x:c r="C13" s="33" t="n">
        <x:v>10</x:v>
      </x:c>
      <x:c r="D13" s="31" t="n">
        <x:v>1513.1254215854003</x:v>
      </x:c>
      <x:c r="E13" s="31" t="n">
        <x:v>1513.1254215854003</x:v>
      </x:c>
      <x:c r="F13" s="32" t="n">
        <x:v>0</x:v>
      </x:c>
      <x:c r="G13" s="34" t="n">
        <x:v>1</x:v>
      </x:c>
      <x:c r="H13" s="32" t="n">
        <x:f>IF(E13=0,"",I13/E13)</x:f>
        <x:v>704.582478796613</x:v>
      </x:c>
      <x:c r="I13" s="31" t="n">
        <x:f>IF(C13=0,"",SUMIF('Species'!$G$2:$G$89,A13,'Species'!$U$2:$U$89))</x:f>
        <x:v>1066121.6602708115</x:v>
      </x:c>
      <x:c r="J13" s="32" t="n">
        <x:v>3.8130286749935025</x:v>
      </x:c>
      <x:c r="K13" s="32" t="n">
        <x:f>IF(J13="","",(1/'Metadata'!$B$5)^(J13-1))</x:f>
        <x:v>650.1726176214379</x:v>
      </x:c>
      <x:c r="L13" s="31" t="n">
        <x:f>IF(E13=0,"",E13*K13)</x:f>
        <x:v>983792.7161417215</x:v>
      </x:c>
      <x:c r="M13" s="31" t="n">
        <x:f>IF(E13=0,"",I13-L13)</x:f>
        <x:v>82328.94412909006</x:v>
      </x:c>
      <x:c r="N13" s="32" t="n">
        <x:f>IF(L13=0,"",I13/L13)</x:f>
        <x:v>1.083685254808524</x:v>
      </x:c>
      <x:c r="O13" s="34" t="n">
        <x:f>IF(L13=0,"",M13/L13)</x:f>
        <x:v>0.08368525480852418</x:v>
      </x:c>
    </x:row>
    <x:row r="14" ht="18" customHeight="1">
      <x:c r="A14" s="24" t="str">
        <x:v>Medium reef assoc. fish (30 - 89 cm)</x:v>
      </x:c>
      <x:c r="B14" s="33" t="n">
        <x:v>7</x:v>
      </x:c>
      <x:c r="C14" s="33" t="n">
        <x:v>7</x:v>
      </x:c>
      <x:c r="D14" s="31" t="n">
        <x:v>2679.0030670261</x:v>
      </x:c>
      <x:c r="E14" s="31" t="n">
        <x:v>2679.0030670261</x:v>
      </x:c>
      <x:c r="F14" s="32" t="n">
        <x:v>0</x:v>
      </x:c>
      <x:c r="G14" s="34" t="n">
        <x:v>1</x:v>
      </x:c>
      <x:c r="H14" s="32" t="n">
        <x:f>IF(E14=0,"",I14/E14)</x:f>
        <x:v>612.9781204078739</x:v>
      </x:c>
      <x:c r="I14" s="31" t="n">
        <x:f>IF(C14=0,"",SUMIF('Species'!$G$2:$G$89,A14,'Species'!$U$2:$U$89))</x:f>
        <x:v>1642170.2645925882</x:v>
      </x:c>
      <x:c r="J14" s="32" t="n">
        <x:v>3.3140745636651405</x:v>
      </x:c>
      <x:c r="K14" s="32" t="n">
        <x:f>IF(J14="","",(1/'Metadata'!$B$5)^(J14-1))</x:f>
        <x:v>206.0983731510502</x:v>
      </x:c>
      <x:c r="L14" s="31" t="n">
        <x:f>IF(E14=0,"",E14*K14)</x:f>
        <x:v>552138.173780753</x:v>
      </x:c>
      <x:c r="M14" s="31" t="n">
        <x:f>IF(E14=0,"",I14-L14)</x:f>
        <x:v>1090032.0908118351</x:v>
      </x:c>
      <x:c r="N14" s="32" t="n">
        <x:f>IF(L14=0,"",I14/L14)</x:f>
        <x:v>2.9742016447583515</x:v>
      </x:c>
      <x:c r="O14" s="34" t="n">
        <x:f>IF(L14=0,"",M14/L14)</x:f>
        <x:v>1.9742016447583515</x:v>
      </x:c>
    </x:row>
    <x:row r="15" ht="18" customHeight="1">
      <x:c r="A15" s="24" t="str">
        <x:v>Other demersal invertebrates</x:v>
      </x:c>
      <x:c r="B15" s="33" t="n">
        <x:v>1</x:v>
      </x:c>
      <x:c r="C15" s="33" t="n">
        <x:v>1</x:v>
      </x:c>
      <x:c r="D15" s="31" t="n">
        <x:v>3700.5447993996</x:v>
      </x:c>
      <x:c r="E15" s="31" t="n">
        <x:v>3700.5447993996</x:v>
      </x:c>
      <x:c r="F15" s="32" t="n">
        <x:v>0</x:v>
      </x:c>
      <x:c r="G15" s="34" t="n">
        <x:v>1</x:v>
      </x:c>
      <x:c r="H15" s="32" t="n">
        <x:f>IF(E15=0,"",I15/E15)</x:f>
        <x:v>12.589254117941675</x:v>
      </x:c>
      <x:c r="I15" s="31" t="n">
        <x:f>IF(C15=0,"",SUMIF('Species'!$G$2:$G$89,A15,'Species'!$U$2:$U$89))</x:f>
        <x:v>46587.09885446906</x:v>
      </x:c>
      <x:c r="J15" s="32" t="n">
        <x:v>2.1</x:v>
      </x:c>
      <x:c r="K15" s="32" t="n">
        <x:f>IF(J15="","",(1/'Metadata'!$B$5)^(J15-1))</x:f>
        <x:v>12.589254117941675</x:v>
      </x:c>
      <x:c r="L15" s="31" t="n">
        <x:f>IF(E15=0,"",E15*K15)</x:f>
        <x:v>46587.09885446906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Shrimps</x:v>
      </x:c>
      <x:c r="B16" s="33" t="n">
        <x:v>3</x:v>
      </x:c>
      <x:c r="C16" s="33" t="n">
        <x:v>3</x:v>
      </x:c>
      <x:c r="D16" s="31" t="n">
        <x:v>5931.7524407129</x:v>
      </x:c>
      <x:c r="E16" s="31" t="n">
        <x:v>5931.7524407129</x:v>
      </x:c>
      <x:c r="F16" s="32" t="n">
        <x:v>0</x:v>
      </x:c>
      <x:c r="G16" s="34" t="n">
        <x:v>1</x:v>
      </x:c>
      <x:c r="H16" s="32" t="n">
        <x:f>IF(E16=0,"",I16/E16)</x:f>
        <x:v>212.22323453305972</x:v>
      </x:c>
      <x:c r="I16" s="31" t="n">
        <x:f>IF(C16=0,"",SUMIF('Species'!$G$2:$G$89,A16,'Species'!$U$2:$U$89))</x:f>
        <x:v>1258855.6894174633</x:v>
      </x:c>
      <x:c r="J16" s="32" t="n">
        <x:v>3.32347899553537</x:v>
      </x:c>
      <x:c r="K16" s="32" t="n">
        <x:f>IF(J16="","",(1/'Metadata'!$B$5)^(J16-1))</x:f>
        <x:v>210.61000359113845</x:v>
      </x:c>
      <x:c r="L16" s="31" t="n">
        <x:f>IF(E16=0,"",E16*K16)</x:f>
        <x:v>1249286.4028402881</x:v>
      </x:c>
      <x:c r="M16" s="31" t="n">
        <x:f>IF(E16=0,"",I16-L16)</x:f>
        <x:v>9569.286577175139</x:v>
      </x:c>
      <x:c r="N16" s="32" t="n">
        <x:f>IF(L16=0,"",I16/L16)</x:f>
        <x:v>1.0076598020721421</x:v>
      </x:c>
      <x:c r="O16" s="34" t="n">
        <x:f>IF(L16=0,"",M16/L16)</x:f>
        <x:v>0.0076598020721422196</x:v>
      </x:c>
    </x:row>
    <x:row r="17" ht="18" customHeight="1">
      <x:c r="A17" s="24" t="str">
        <x:v>Small benthopelagics (&lt;30 cm)</x:v>
      </x:c>
      <x:c r="B17" s="33" t="n">
        <x:v>2</x:v>
      </x:c>
      <x:c r="C17" s="33" t="n">
        <x:v>2</x:v>
      </x:c>
      <x:c r="D17" s="31" t="n">
        <x:v>383.72915720029994</x:v>
      </x:c>
      <x:c r="E17" s="31" t="n">
        <x:v>383.72915720029994</x:v>
      </x:c>
      <x:c r="F17" s="32" t="n">
        <x:v>0</x:v>
      </x:c>
      <x:c r="G17" s="34" t="n">
        <x:v>1</x:v>
      </x:c>
      <x:c r="H17" s="32" t="n">
        <x:f>IF(E17=0,"",I17/E17)</x:f>
        <x:v>429.4775130904467</x:v>
      </x:c>
      <x:c r="I17" s="31" t="n">
        <x:f>IF(C17=0,"",SUMIF('Species'!$G$2:$G$89,A17,'Species'!$U$2:$U$89))</x:f>
        <x:v>164803.04413467788</x:v>
      </x:c>
      <x:c r="J17" s="32" t="n">
        <x:v>3.630693488596651</x:v>
      </x:c>
      <x:c r="K17" s="32" t="n">
        <x:f>IF(J17="","",(1/'Metadata'!$B$5)^(J17-1))</x:f>
        <x:v>427.26123215854494</x:v>
      </x:c>
      <x:c r="L17" s="31" t="n">
        <x:f>IF(E17=0,"",E17*K17)</x:f>
        <x:v>163952.59252056014</x:v>
      </x:c>
      <x:c r="M17" s="31" t="n">
        <x:f>IF(E17=0,"",I17-L17)</x:f>
        <x:v>850.4516141177446</x:v>
      </x:c>
      <x:c r="N17" s="32" t="n">
        <x:f>IF(L17=0,"",I17/L17)</x:f>
        <x:v>1.005187180032003</x:v>
      </x:c>
      <x:c r="O17" s="34" t="n">
        <x:f>IF(L17=0,"",M17/L17)</x:f>
        <x:v>0.005187180032002821</x:v>
      </x:c>
    </x:row>
    <x:row r="18" ht="18" customHeight="1">
      <x:c r="A18" s="24" t="str">
        <x:v>Small demersals (&lt;30 cm)</x:v>
      </x:c>
      <x:c r="B18" s="33" t="n">
        <x:v>3</x:v>
      </x:c>
      <x:c r="C18" s="33" t="n">
        <x:v>3</x:v>
      </x:c>
      <x:c r="D18" s="31" t="n">
        <x:v>237.64006336030002</x:v>
      </x:c>
      <x:c r="E18" s="31" t="n">
        <x:v>237.64006336030002</x:v>
      </x:c>
      <x:c r="F18" s="32" t="n">
        <x:v>0</x:v>
      </x:c>
      <x:c r="G18" s="34" t="n">
        <x:v>1</x:v>
      </x:c>
      <x:c r="H18" s="32" t="n">
        <x:f>IF(E18=0,"",I18/E18)</x:f>
        <x:v>201.60510753136109</x:v>
      </x:c>
      <x:c r="I18" s="31" t="n">
        <x:f>IF(C18=0,"",SUMIF('Species'!$G$2:$G$89,A18,'Species'!$U$2:$U$89))</x:f>
        <x:v>47909.450527512745</x:v>
      </x:c>
      <x:c r="J18" s="32" t="n">
        <x:v>3.3043565158676653</x:v>
      </x:c>
      <x:c r="K18" s="32" t="n">
        <x:f>IF(J18="","",(1/'Metadata'!$B$5)^(J18-1))</x:f>
        <x:v>201.53780111553445</x:v>
      </x:c>
      <x:c r="L18" s="31" t="n">
        <x:f>IF(E18=0,"",E18*K18)</x:f>
        <x:v>47893.45582659115</x:v>
      </x:c>
      <x:c r="M18" s="31" t="n">
        <x:f>IF(E18=0,"",I18-L18)</x:f>
        <x:v>15.994700921597541</x:v>
      </x:c>
      <x:c r="N18" s="32" t="n">
        <x:f>IF(L18=0,"",I18/L18)</x:f>
        <x:v>1.0003339642263342</x:v>
      </x:c>
      <x:c r="O18" s="34" t="n">
        <x:f>IF(L18=0,"",M18/L18)</x:f>
        <x:v>0.0003339642263341759</x:v>
      </x:c>
    </x:row>
    <x:row r="19" ht="18" customHeight="1">
      <x:c r="A19" s="24" t="str">
        <x:v>Small pelagics (&lt;30 cm)</x:v>
      </x:c>
      <x:c r="B19" s="33" t="n">
        <x:v>7</x:v>
      </x:c>
      <x:c r="C19" s="33" t="n">
        <x:v>7</x:v>
      </x:c>
      <x:c r="D19" s="31" t="n">
        <x:v>12325.2390197657</x:v>
      </x:c>
      <x:c r="E19" s="31" t="n">
        <x:v>12325.2390197657</x:v>
      </x:c>
      <x:c r="F19" s="32" t="n">
        <x:v>0</x:v>
      </x:c>
      <x:c r="G19" s="34" t="n">
        <x:v>1</x:v>
      </x:c>
      <x:c r="H19" s="32" t="n">
        <x:f>IF(E19=0,"",I19/E19)</x:f>
        <x:v>108.14849756813062</x:v>
      </x:c>
      <x:c r="I19" s="31" t="n">
        <x:f>IF(C19=0,"",SUMIF('Species'!$G$2:$G$89,A19,'Species'!$U$2:$U$89))</x:f>
        <x:v>1332956.0821557594</x:v>
      </x:c>
      <x:c r="J19" s="32" t="n">
        <x:v>2.9720641306518587</x:v>
      </x:c>
      <x:c r="K19" s="32" t="n">
        <x:f>IF(J19="","",(1/'Metadata'!$B$5)^(J19-1))</x:f>
        <x:v>93.77004634449287</x:v>
      </x:c>
      <x:c r="L19" s="31" t="n">
        <x:f>IF(E19=0,"",E19*K19)</x:f>
        <x:v>1155738.2340903815</x:v>
      </x:c>
      <x:c r="M19" s="31" t="n">
        <x:f>IF(E19=0,"",I19-L19)</x:f>
        <x:v>177217.8480653779</x:v>
      </x:c>
      <x:c r="N19" s="32" t="n">
        <x:f>IF(L19=0,"",I19/L19)</x:f>
        <x:v>1.153337358614649</x:v>
      </x:c>
      <x:c r="O19" s="34" t="n">
        <x:f>IF(L19=0,"",M19/L19)</x:f>
        <x:v>0.15333735861464892</x:v>
      </x:c>
    </x:row>
    <x:row r="20" ht="18" customHeight="1">
      <x:c r="A20" s="24" t="str">
        <x:v>Small reef assoc. fish (&lt;30 cm)</x:v>
      </x:c>
      <x:c r="B20" s="33" t="n">
        <x:v>3</x:v>
      </x:c>
      <x:c r="C20" s="33" t="n">
        <x:v>3</x:v>
      </x:c>
      <x:c r="D20" s="31" t="n">
        <x:v>92.0890235281</x:v>
      </x:c>
      <x:c r="E20" s="31" t="n">
        <x:v>92.0890235281</x:v>
      </x:c>
      <x:c r="F20" s="32" t="n">
        <x:v>0</x:v>
      </x:c>
      <x:c r="G20" s="34" t="n">
        <x:v>1</x:v>
      </x:c>
      <x:c r="H20" s="32" t="n">
        <x:f>IF(E20=0,"",I20/E20)</x:f>
        <x:v>1015.0683099672872</x:v>
      </x:c>
      <x:c r="I20" s="31" t="n">
        <x:f>IF(C20=0,"",SUMIF('Species'!$G$2:$G$89,A20,'Species'!$U$2:$U$89))</x:f>
        <x:v>93476.64947920621</x:v>
      </x:c>
      <x:c r="J20" s="32" t="n">
        <x:v>3.9969787981370755</x:v>
      </x:c>
      <x:c r="K20" s="32" t="n">
        <x:f>IF(J20="","",(1/'Metadata'!$B$5)^(J20-1))</x:f>
        <x:v>993.0675665791254</x:v>
      </x:c>
      <x:c r="L20" s="31" t="n">
        <x:f>IF(E20=0,"",E20*K20)</x:f>
        <x:v>91450.62250369809</x:v>
      </x:c>
      <x:c r="M20" s="31" t="n">
        <x:f>IF(E20=0,"",I20-L20)</x:f>
        <x:v>2026.0269755081245</x:v>
      </x:c>
      <x:c r="N20" s="32" t="n">
        <x:f>IF(L20=0,"",I20/L20)</x:f>
        <x:v>1.0221543267835733</x:v>
      </x:c>
      <x:c r="O20" s="34" t="n">
        <x:f>IF(L20=0,"",M20/L20)</x:f>
        <x:v>0.022154326783573243</x:v>
      </x:c>
    </x:row>
    <x:row r="21" ht="18" customHeight="1">
      <x:c r="A21" s="24" t="str">
        <x:v>Small to medium flatfishes (&lt;90 cm)</x:v>
      </x:c>
      <x:c r="B21" s="33" t="n">
        <x:v>5</x:v>
      </x:c>
      <x:c r="C21" s="33" t="n">
        <x:v>5</x:v>
      </x:c>
      <x:c r="D21" s="31" t="n">
        <x:v>726.8621348493998</x:v>
      </x:c>
      <x:c r="E21" s="31" t="n">
        <x:v>726.8621348493998</x:v>
      </x:c>
      <x:c r="F21" s="32" t="n">
        <x:v>0</x:v>
      </x:c>
      <x:c r="G21" s="34" t="n">
        <x:v>1</x:v>
      </x:c>
      <x:c r="H21" s="32" t="n">
        <x:f>IF(E21=0,"",I21/E21)</x:f>
        <x:v>138.33469630550448</x:v>
      </x:c>
      <x:c r="I21" s="31" t="n">
        <x:f>IF(C21=0,"",SUMIF('Species'!$G$2:$G$89,A21,'Species'!$U$2:$U$89))</x:f>
        <x:v>100550.25268036236</x:v>
      </x:c>
      <x:c r="J21" s="32" t="n">
        <x:v>3.1401616037398377</x:v>
      </x:c>
      <x:c r="K21" s="32" t="n">
        <x:f>IF(J21="","",(1/'Metadata'!$B$5)^(J21-1))</x:f>
        <x:v>138.0898009948221</x:v>
      </x:c>
      <x:c r="L21" s="31" t="n">
        <x:f>IF(E21=0,"",E21*K21)</x:f>
        <x:v>100372.24755202516</x:v>
      </x:c>
      <x:c r="M21" s="31" t="n">
        <x:f>IF(E21=0,"",I21-L21)</x:f>
        <x:v>178.0051283372013</x:v>
      </x:c>
      <x:c r="N21" s="32" t="n">
        <x:f>IF(L21=0,"",I21/L21)</x:f>
        <x:v>1.0017734496604247</x:v>
      </x:c>
      <x:c r="O21" s="34" t="n">
        <x:f>IF(L21=0,"",M21/L21)</x:f>
        <x:v>0.0017734496604246838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0ab2ab33eea49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EEZ_933</x:v>
      </x:c>
      <x:c r="B2" s="24" t="str">
        <x:v>raw_filtered_tonnes</x:v>
      </x:c>
      <x:c r="C2" s="24" t="n">
        <x:v>55812.690645263196</x:v>
      </x:c>
      <x:c r="D2" s="24" t="str">
        <x:v>tonnes</x:v>
      </x:c>
    </x:row>
    <x:row r="3" ht="18" customHeight="1">
      <x:c r="A3" s="24" t="str">
        <x:v>EEZ_933</x:v>
      </x:c>
      <x:c r="B3" s="24" t="str">
        <x:v>species_catch_tonnes</x:v>
      </x:c>
      <x:c r="C3" s="24" t="n">
        <x:v>55812.690645263196</x:v>
      </x:c>
      <x:c r="D3" s="24" t="str">
        <x:v>tonnes</x:v>
      </x:c>
    </x:row>
    <x:row r="4" ht="18" customHeight="1">
      <x:c r="A4" s="24" t="str">
        <x:v>EEZ_933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EEZ_933</x:v>
      </x:c>
      <x:c r="B6" s="24" t="str">
        <x:v>matched_catch_tonnes</x:v>
      </x:c>
      <x:c r="C6" s="24" t="n">
        <x:v>55812.690645263196</x:v>
      </x:c>
      <x:c r="D6" s="24" t="str">
        <x:v>tonnes</x:v>
      </x:c>
    </x:row>
    <x:row r="7" ht="18" customHeight="1">
      <x:c r="A7" s="24" t="str">
        <x:v>EEZ_933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EEZ_933</x:v>
      </x:c>
      <x:c r="B8" s="24" t="str">
        <x:v>taxa_count</x:v>
      </x:c>
      <x:c r="C8" s="24" t="n">
        <x:v>88</x:v>
      </x:c>
      <x:c r="D8" s="24" t="str">
        <x:v>count</x:v>
      </x:c>
    </x:row>
    <x:row r="9" ht="18" customHeight="1">
      <x:c r="A9" s="24" t="str">
        <x:v>EEZ_933</x:v>
      </x:c>
      <x:c r="B9" s="24" t="str">
        <x:v>matched_taxa_count</x:v>
      </x:c>
      <x:c r="C9" s="24" t="n">
        <x:v>88</x:v>
      </x:c>
      <x:c r="D9" s="24" t="str">
        <x:v>count</x:v>
      </x:c>
    </x:row>
    <x:row r="10" ht="18" customHeight="1">
      <x:c r="A10" s="24" t="str">
        <x:v>EEZ_933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EEZ_933</x:v>
      </x:c>
      <x:c r="B11" s="24" t="str">
        <x:v>species_ppr</x:v>
      </x:c>
      <x:c r="C11" s="24" t="n">
        <x:v>31057514.964360286</x:v>
      </x:c>
      <x:c r="D11" s="24" t="str">
        <x:v>tonnes_primary_production_equivalent</x:v>
      </x:c>
    </x:row>
    <x:row r="12" ht="18" customHeight="1">
      <x:c r="A12" s="24" t="str">
        <x:v>EEZ_933</x:v>
      </x:c>
      <x:c r="B12" s="24" t="str">
        <x:v>commercial_ppr</x:v>
      </x:c>
      <x:c r="C12" s="24" t="n">
        <x:v>31057514.96436029</x:v>
      </x:c>
      <x:c r="D12" s="24" t="str">
        <x:v>tonnes_primary_production_equivalent</x:v>
      </x:c>
    </x:row>
    <x:row r="13" ht="18" customHeight="1">
      <x:c r="A13" s="24" t="str">
        <x:v>EEZ_933</x:v>
      </x:c>
      <x:c r="B13" s="24" t="str">
        <x:v>functional_ppr</x:v>
      </x:c>
      <x:c r="C13" s="24" t="n">
        <x:v>31057514.96436028</x:v>
      </x:c>
      <x:c r="D13" s="24" t="str">
        <x:v>tonnes_primary_production_equivalent</x:v>
      </x:c>
    </x:row>
    <x:row r="14" ht="18" customHeight="1">
      <x:c r="A14" s="24" t="str">
        <x:v>EEZ_933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EEZ_933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EEZ_933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58a37224ccc49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EEZ_933 - Egypt (Mediterranean)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