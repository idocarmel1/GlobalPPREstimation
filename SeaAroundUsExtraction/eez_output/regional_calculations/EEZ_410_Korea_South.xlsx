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7a3492a31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23847b95fb84701"/>
    <x:sheet xmlns:r="http://schemas.openxmlformats.org/officeDocument/2006/relationships" name="Commercial" sheetId="2" r:id="R137192fc292642d2"/>
    <x:sheet xmlns:r="http://schemas.openxmlformats.org/officeDocument/2006/relationships" name="Functional" sheetId="3" r:id="Ra5534c8c009a4d15"/>
    <x:sheet xmlns:r="http://schemas.openxmlformats.org/officeDocument/2006/relationships" name="Missing TL" sheetId="4" r:id="R7e23ae7112394982"/>
    <x:sheet xmlns:r="http://schemas.openxmlformats.org/officeDocument/2006/relationships" name="Validation" sheetId="5" r:id="R608065ee575c445e"/>
    <x:sheet xmlns:r="http://schemas.openxmlformats.org/officeDocument/2006/relationships" name="Metadata" sheetId="6" r:id="Rcadd6cb5a01b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0a23b39e242a9" /><Relationship Type="http://schemas.openxmlformats.org/officeDocument/2006/relationships/theme" Target="/xl/theme/theme1.xml" Id="R135e1360e01a40e0" /><Relationship Type="http://schemas.microsoft.com/office/2022/11/relationships/FeaturePropertyBag" Target="/xl/featurePropertyBag/featurePropertyBag.xml" Id="R9b5f688473c44720" /><Relationship Type="http://schemas.openxmlformats.org/officeDocument/2006/relationships/sharedStrings" Target="/xl/sharedStrings.xml" Id="Rc0a7aa9afe5f4e02" /><Relationship Type="http://schemas.openxmlformats.org/officeDocument/2006/relationships/worksheet" Target="/xl/worksheets/sheet1.xml" Id="Rc23847b95fb84701" /><Relationship Type="http://schemas.openxmlformats.org/officeDocument/2006/relationships/worksheet" Target="/xl/worksheets/sheet2.xml" Id="R137192fc292642d2" /><Relationship Type="http://schemas.openxmlformats.org/officeDocument/2006/relationships/worksheet" Target="/xl/worksheets/sheet3.xml" Id="Ra5534c8c009a4d15" /><Relationship Type="http://schemas.openxmlformats.org/officeDocument/2006/relationships/worksheet" Target="/xl/worksheets/sheet4.xml" Id="R7e23ae7112394982" /><Relationship Type="http://schemas.openxmlformats.org/officeDocument/2006/relationships/worksheet" Target="/xl/worksheets/sheet5.xml" Id="R608065ee575c445e" /><Relationship Type="http://schemas.openxmlformats.org/officeDocument/2006/relationships/worksheet" Target="/xl/worksheets/sheet6.xml" Id="Rcadd6cb5a01b42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10SpeciesTable" displayName="EEZ410SpeciesTable" ref="A1:U119" headerRowCount="1" totalsRowCount="0" totalsRowShown="0">
  <x:autoFilter ref="A1:U1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10CommercialTable" displayName="EEZ410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10FunctionalTable" displayName="EEZ410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10ValidationTable" displayName="EEZ41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7f7e110d1c44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e3375d216440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9bd919f3b942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c6e37a74504e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EEZ_410</x:v>
      </x:c>
      <x:c r="B2" s="24" t="str">
        <x:v>Korea (South)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308317.9074241956</x:v>
      </x:c>
      <x:c r="J2" s="31" t="n">
        <x:v>190198.4206024716</x:v>
      </x:c>
      <x:c r="K2" s="31" t="n">
        <x:v>118119.486821724</x:v>
      </x:c>
      <x:c r="L2" s="31" t="n">
        <x:v>164134.9102457715</x:v>
      </x:c>
      <x:c r="M2" s="31" t="n">
        <x:v>144182.9971784241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58748766.12414335</x:v>
      </x:c>
    </x:row>
    <x:row r="3" ht="18" customHeight="1">
      <x:c r="A3" s="24" t="str">
        <x:v>EEZ_410</x:v>
      </x:c>
      <x:c r="B3" s="24" t="str">
        <x:v>Korea (South)</x:v>
      </x:c>
      <x:c r="C3" s="24" t="str">
        <x:v>EEZ</x:v>
      </x:c>
      <x:c r="D3" s="30" t="n">
        <x:v>2019</x:v>
      </x:c>
      <x:c r="E3" s="24" t="str">
        <x:v>Engraulis japonicus</x:v>
      </x:c>
      <x:c r="F3" s="24" t="str">
        <x:v>Japanese anchovy</x:v>
      </x:c>
      <x:c r="G3" s="24" t="str">
        <x:v>Small pelagics (&lt;30 cm)</x:v>
      </x:c>
      <x:c r="H3" s="24" t="str">
        <x:v>Anchovies</x:v>
      </x:c>
      <x:c r="I3" s="31" t="n">
        <x:v>215956.05414310598</x:v>
      </x:c>
      <x:c r="J3" s="31" t="n">
        <x:v>215956.05414310598</x:v>
      </x:c>
      <x:c r="K3" s="31" t="n">
        <x:v>0</x:v>
      </x:c>
      <x:c r="L3" s="31" t="n">
        <x:v>215956.05414310598</x:v>
      </x:c>
      <x:c r="M3" s="31" t="n">
        <x:v>0</x:v>
      </x:c>
      <x:c r="N3" s="24" t="str">
        <x:v>engraulis japonicus</x:v>
      </x:c>
      <x:c r="O3" s="32" t="n">
        <x:v>3.14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japonicus</x:v>
      </x:c>
      <x:c r="T3" s="32" t="n">
        <x:f>IF(O3="","",(1/'Metadata'!$B$5)^(O3-1))</x:f>
        <x:v>138.03842646028852</x:v>
      </x:c>
      <x:c r="U3" s="31" t="n">
        <x:f>IF(T3="","",I3*T3)</x:f>
        <x:v>29810233.89848722</x:v>
      </x:c>
    </x:row>
    <x:row r="4" ht="18" customHeight="1">
      <x:c r="A4" s="24" t="str">
        <x:v>EEZ_410</x:v>
      </x:c>
      <x:c r="B4" s="24" t="str">
        <x:v>Korea (South)</x:v>
      </x:c>
      <x:c r="C4" s="24" t="str">
        <x:v>EEZ</x:v>
      </x:c>
      <x:c r="D4" s="30" t="n">
        <x:v>2019</x:v>
      </x:c>
      <x:c r="E4" s="24" t="str">
        <x:v>Scomber japonicus</x:v>
      </x:c>
      <x:c r="F4" s="24" t="str">
        <x:v>Pacific chub mackerel</x:v>
      </x:c>
      <x:c r="G4" s="24" t="str">
        <x:v>Medium pelagics (30 - 89 cm)</x:v>
      </x:c>
      <x:c r="H4" s="24" t="str">
        <x:v>Perch-likes</x:v>
      </x:c>
      <x:c r="I4" s="31" t="n">
        <x:v>154112.3375290948</x:v>
      </x:c>
      <x:c r="J4" s="31" t="n">
        <x:v>154112.3375290948</x:v>
      </x:c>
      <x:c r="K4" s="31" t="n">
        <x:v>0</x:v>
      </x:c>
      <x:c r="L4" s="31" t="n">
        <x:v>154112.3375290948</x:v>
      </x:c>
      <x:c r="M4" s="31" t="n">
        <x:v>0</x:v>
      </x:c>
      <x:c r="N4" s="24" t="str">
        <x:v>scomber japonicus</x:v>
      </x:c>
      <x:c r="O4" s="32" t="n">
        <x:v>3.38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japonicus</x:v>
      </x:c>
      <x:c r="T4" s="32" t="n">
        <x:f>IF(O4="","",(1/'Metadata'!$B$5)^(O4-1))</x:f>
        <x:v>239.88329190194898</x:v>
      </x:c>
      <x:c r="U4" s="31" t="n">
        <x:f>IF(T4="","",I4*T4)</x:f>
        <x:v>36968974.84918354</x:v>
      </x:c>
    </x:row>
    <x:row r="5" ht="18" customHeight="1">
      <x:c r="A5" s="24" t="str">
        <x:v>EEZ_410</x:v>
      </x:c>
      <x:c r="B5" s="24" t="str">
        <x:v>Korea (South)</x:v>
      </x:c>
      <x:c r="C5" s="24" t="str">
        <x:v>EEZ</x:v>
      </x:c>
      <x:c r="D5" s="30" t="n">
        <x:v>2019</x:v>
      </x:c>
      <x:c r="E5" s="24" t="str">
        <x:v>Trichiurus lepturus</x:v>
      </x:c>
      <x:c r="F5" s="24" t="str">
        <x:v>Largehead hairtail</x:v>
      </x:c>
      <x:c r="G5" s="24" t="str">
        <x:v>Large benthopelagics (&gt;=90 cm)</x:v>
      </x:c>
      <x:c r="H5" s="24" t="str">
        <x:v>Perch-likes</x:v>
      </x:c>
      <x:c r="I5" s="31" t="n">
        <x:v>106873.4810397169</x:v>
      </x:c>
      <x:c r="J5" s="31" t="n">
        <x:v>106873.4810397169</x:v>
      </x:c>
      <x:c r="K5" s="31" t="n">
        <x:v>0</x:v>
      </x:c>
      <x:c r="L5" s="31" t="n">
        <x:v>106873.4810397169</x:v>
      </x:c>
      <x:c r="M5" s="31" t="n">
        <x:v>0</x:v>
      </x:c>
      <x:c r="N5" s="24" t="str">
        <x:v>trichiurus lepturus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Trichiurus lepturus</x:v>
      </x:c>
      <x:c r="T5" s="32" t="n">
        <x:f>IF(O5="","",(1/'Metadata'!$B$5)^(O5-1))</x:f>
        <x:v>2630.2679918953813</x:v>
      </x:c>
      <x:c r="U5" s="31" t="n">
        <x:f>IF(T5="","",I5*T5)</x:f>
        <x:v>281105896.3612053</x:v>
      </x:c>
    </x:row>
    <x:row r="6" ht="18" customHeight="1">
      <x:c r="A6" s="24" t="str">
        <x:v>EEZ_410</x:v>
      </x:c>
      <x:c r="B6" s="24" t="str">
        <x:v>Korea (South)</x:v>
      </x:c>
      <x:c r="C6" s="24" t="str">
        <x:v>EEZ</x:v>
      </x:c>
      <x:c r="D6" s="30" t="n">
        <x:v>2019</x:v>
      </x:c>
      <x:c r="E6" s="24" t="str">
        <x:v>Larimichthys polyactis</x:v>
      </x:c>
      <x:c r="F6" s="24" t="str">
        <x:v>Yellow croaker</x:v>
      </x:c>
      <x:c r="G6" s="24" t="str">
        <x:v>Medium benthopelagics (30 - 89 cm)</x:v>
      </x:c>
      <x:c r="H6" s="24" t="str">
        <x:v>Perch-likes</x:v>
      </x:c>
      <x:c r="I6" s="31" t="n">
        <x:v>57705.028702513</x:v>
      </x:c>
      <x:c r="J6" s="31" t="n">
        <x:v>57705.028702513</x:v>
      </x:c>
      <x:c r="K6" s="31" t="n">
        <x:v>0</x:v>
      </x:c>
      <x:c r="L6" s="31" t="n">
        <x:v>57705.028702513</x:v>
      </x:c>
      <x:c r="M6" s="31" t="n">
        <x:v>0</x:v>
      </x:c>
      <x:c r="N6" s="24" t="str">
        <x:v>larimichthys polyactis</x:v>
      </x:c>
      <x:c r="O6" s="32" t="n">
        <x:v>3.64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Larimichthys polyactis</x:v>
      </x:c>
      <x:c r="T6" s="32" t="n">
        <x:f>IF(O6="","",(1/'Metadata'!$B$5)^(O6-1))</x:f>
        <x:v>436.5158322401661</x:v>
      </x:c>
      <x:c r="U6" s="31" t="n">
        <x:f>IF(T6="","",I6*T6)</x:f>
        <x:v>25189158.628520135</x:v>
      </x:c>
    </x:row>
    <x:row r="7" ht="18" customHeight="1">
      <x:c r="A7" s="24" t="str">
        <x:v>EEZ_410</x:v>
      </x:c>
      <x:c r="B7" s="24" t="str">
        <x:v>Korea (South)</x:v>
      </x:c>
      <x:c r="C7" s="24" t="str">
        <x:v>EEZ</x:v>
      </x:c>
      <x:c r="D7" s="30" t="n">
        <x:v>2019</x:v>
      </x:c>
      <x:c r="E7" s="24" t="str">
        <x:v>Todarodes pacificus</x:v>
      </x:c>
      <x:c r="F7" s="24" t="str">
        <x:v>Japanese flying squid</x:v>
      </x:c>
      <x:c r="G7" s="24" t="str">
        <x:v>Cephalopods</x:v>
      </x:c>
      <x:c r="H7" s="24" t="str">
        <x:v>Other fishes &amp; inverts</x:v>
      </x:c>
      <x:c r="I7" s="31" t="n">
        <x:v>51817.0000000002</x:v>
      </x:c>
      <x:c r="J7" s="31" t="n">
        <x:v>51817.0000000002</x:v>
      </x:c>
      <x:c r="K7" s="31" t="n">
        <x:v>0</x:v>
      </x:c>
      <x:c r="L7" s="31" t="n">
        <x:v>51817.0000000002</x:v>
      </x:c>
      <x:c r="M7" s="31" t="n">
        <x:v>0</x:v>
      </x:c>
      <x:c r="N7" s="24" t="str">
        <x:v>todarodes pacificus</x:v>
      </x:c>
      <x:c r="O7" s="32" t="n">
        <x:v>4.28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Todarodes pacificus</x:v>
      </x:c>
      <x:c r="T7" s="32" t="n">
        <x:f>IF(O7="","",(1/'Metadata'!$B$5)^(O7-1))</x:f>
        <x:v>1905.4607179632483</x:v>
      </x:c>
      <x:c r="U7" s="31" t="n">
        <x:f>IF(T7="","",I7*T7)</x:f>
        <x:v>98735258.02270201</x:v>
      </x:c>
    </x:row>
    <x:row r="8" ht="18" customHeight="1">
      <x:c r="A8" s="24" t="str">
        <x:v>EEZ_410</x:v>
      </x:c>
      <x:c r="B8" s="24" t="str">
        <x:v>Korea (South)</x:v>
      </x:c>
      <x:c r="C8" s="24" t="str">
        <x:v>EEZ</x:v>
      </x:c>
      <x:c r="D8" s="30" t="n">
        <x:v>2019</x:v>
      </x:c>
      <x:c r="E8" s="24" t="str">
        <x:v>Trachurus japonicus</x:v>
      </x:c>
      <x:c r="F8" s="24" t="str">
        <x:v>Japanese jack mackerel</x:v>
      </x:c>
      <x:c r="G8" s="24" t="str">
        <x:v>Medium demersals (30 - 89 cm)</x:v>
      </x:c>
      <x:c r="H8" s="24" t="str">
        <x:v>Perch-likes</x:v>
      </x:c>
      <x:c r="I8" s="31" t="n">
        <x:v>46157.6179478439</x:v>
      </x:c>
      <x:c r="J8" s="31" t="n">
        <x:v>46157.6179478439</x:v>
      </x:c>
      <x:c r="K8" s="31" t="n">
        <x:v>0</x:v>
      </x:c>
      <x:c r="L8" s="31" t="n">
        <x:v>46157.6179478439</x:v>
      </x:c>
      <x:c r="M8" s="31" t="n">
        <x:v>0</x:v>
      </x:c>
      <x:c r="N8" s="24" t="str">
        <x:v>trachurus japonicus</x:v>
      </x:c>
      <x:c r="O8" s="32" t="n">
        <x:v>3.4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Trachurus japonicus</x:v>
      </x:c>
      <x:c r="T8" s="32" t="n">
        <x:f>IF(O8="","",(1/'Metadata'!$B$5)^(O8-1))</x:f>
        <x:v>251.18864315095797</x:v>
      </x:c>
      <x:c r="U8" s="31" t="n">
        <x:f>IF(T8="","",I8*T8)</x:f>
        <x:v>11594269.423399214</x:v>
      </x:c>
    </x:row>
    <x:row r="9" ht="18" customHeight="1">
      <x:c r="A9" s="24" t="str">
        <x:v>EEZ_410</x:v>
      </x:c>
      <x:c r="B9" s="24" t="str">
        <x:v>Korea (South)</x:v>
      </x:c>
      <x:c r="C9" s="24" t="str">
        <x:v>EEZ</x:v>
      </x:c>
      <x:c r="D9" s="30" t="n">
        <x:v>2019</x:v>
      </x:c>
      <x:c r="E9" s="24" t="str">
        <x:v>Scomberomorus niphonius</x:v>
      </x:c>
      <x:c r="F9" s="24" t="str">
        <x:v>Japanese Spanish mackerel</x:v>
      </x:c>
      <x:c r="G9" s="24" t="str">
        <x:v>Large pelagics (&gt;=90 cm)</x:v>
      </x:c>
      <x:c r="H9" s="24" t="str">
        <x:v>Perch-likes</x:v>
      </x:c>
      <x:c r="I9" s="31" t="n">
        <x:v>37841</x:v>
      </x:c>
      <x:c r="J9" s="31" t="n">
        <x:v>37841</x:v>
      </x:c>
      <x:c r="K9" s="31" t="n">
        <x:v>0</x:v>
      </x:c>
      <x:c r="L9" s="31" t="n">
        <x:v>37841</x:v>
      </x:c>
      <x:c r="M9" s="31" t="n">
        <x:v>0</x:v>
      </x:c>
      <x:c r="N9" s="24" t="str">
        <x:v>scomberomorus niphonius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Scomberomorus niphonius</x:v>
      </x:c>
      <x:c r="T9" s="32" t="n">
        <x:f>IF(O9="","",(1/'Metadata'!$B$5)^(O9-1))</x:f>
        <x:v>3162.2776601683795</x:v>
      </x:c>
      <x:c r="U9" s="31" t="n">
        <x:f>IF(T9="","",I9*T9)</x:f>
        <x:v>119663748.93843165</x:v>
      </x:c>
    </x:row>
    <x:row r="10" ht="18" customHeight="1">
      <x:c r="A10" s="24" t="str">
        <x:v>EEZ_410</x:v>
      </x:c>
      <x:c r="B10" s="24" t="str">
        <x:v>Korea (South)</x:v>
      </x:c>
      <x:c r="C10" s="24" t="str">
        <x:v>EEZ</x:v>
      </x:c>
      <x:c r="D10" s="30" t="n">
        <x:v>2019</x:v>
      </x:c>
      <x:c r="E10" s="24" t="str">
        <x:v>Pampus</x:v>
      </x:c>
      <x:c r="F10" s="24" t="str">
        <x:v>Silver pomfrets</x:v>
      </x:c>
      <x:c r="G10" s="24" t="str">
        <x:v>Medium benthopelagics (30 - 89 cm)</x:v>
      </x:c>
      <x:c r="H10" s="24" t="str">
        <x:v>Perch-likes</x:v>
      </x:c>
      <x:c r="I10" s="31" t="n">
        <x:v>33070.999900708506</x:v>
      </x:c>
      <x:c r="J10" s="31" t="n">
        <x:v>33070.999900708506</x:v>
      </x:c>
      <x:c r="K10" s="31" t="n">
        <x:v>0</x:v>
      </x:c>
      <x:c r="L10" s="31" t="n">
        <x:v>33070.999900708506</x:v>
      </x:c>
      <x:c r="M10" s="31" t="n">
        <x:v>0</x:v>
      </x:c>
      <x:c r="N10" s="24" t="str">
        <x:v>pampus</x:v>
      </x:c>
      <x:c r="O10" s="32" t="n">
        <x:v>3.41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Pampus</x:v>
      </x:c>
      <x:c r="T10" s="32" t="n">
        <x:f>IF(O10="","",(1/'Metadata'!$B$5)^(O10-1))</x:f>
        <x:v>257.03957827688646</x:v>
      </x:c>
      <x:c r="U10" s="31" t="n">
        <x:f>IF(T10="","",I10*T10)</x:f>
        <x:v>8500555.86767307</x:v>
      </x:c>
    </x:row>
    <x:row r="11" ht="18" customHeight="1">
      <x:c r="A11" s="24" t="str">
        <x:v>EEZ_410</x:v>
      </x:c>
      <x:c r="B11" s="24" t="str">
        <x:v>Korea (South)</x:v>
      </x:c>
      <x:c r="C11" s="24" t="str">
        <x:v>EEZ</x:v>
      </x:c>
      <x:c r="D11" s="30" t="n">
        <x:v>2019</x:v>
      </x:c>
      <x:c r="E11" s="24" t="str">
        <x:v>Magallana gigas</x:v>
      </x:c>
      <x:c r="F11" s="24" t="str">
        <x:v>Pacific cupped oyster</x:v>
      </x:c>
      <x:c r="G11" s="24" t="str">
        <x:v>Other demersal invertebrates</x:v>
      </x:c>
      <x:c r="H11" s="24" t="str">
        <x:v>Molluscs</x:v>
      </x:c>
      <x:c r="I11" s="31" t="n">
        <x:v>31092.000000000102</x:v>
      </x:c>
      <x:c r="J11" s="31" t="n">
        <x:v>31092.000000000102</x:v>
      </x:c>
      <x:c r="K11" s="31" t="n">
        <x:v>0</x:v>
      </x:c>
      <x:c r="L11" s="31" t="n">
        <x:v>31092.000000000102</x:v>
      </x:c>
      <x:c r="M11" s="31" t="n">
        <x:v>0</x:v>
      </x:c>
      <x:c r="N11" s="24" t="str">
        <x:v>magallana gigas</x:v>
      </x:c>
      <x:c r="O11" s="32" t="n">
        <x:v>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Magallana gigas</x:v>
      </x:c>
      <x:c r="T11" s="32" t="n">
        <x:f>IF(O11="","",(1/'Metadata'!$B$5)^(O11-1))</x:f>
        <x:v>10</x:v>
      </x:c>
      <x:c r="U11" s="31" t="n">
        <x:f>IF(T11="","",I11*T11)</x:f>
        <x:v>310920.00000000105</x:v>
      </x:c>
    </x:row>
    <x:row r="12" ht="18" customHeight="1">
      <x:c r="A12" s="24" t="str">
        <x:v>EEZ_410</x:v>
      </x:c>
      <x:c r="B12" s="24" t="str">
        <x:v>Korea (South)</x:v>
      </x:c>
      <x:c r="C12" s="24" t="str">
        <x:v>EEZ</x:v>
      </x:c>
      <x:c r="D12" s="30" t="n">
        <x:v>2019</x:v>
      </x:c>
      <x:c r="E12" s="24" t="str">
        <x:v>Sciaenidae</x:v>
      </x:c>
      <x:c r="F12" s="24" t="str">
        <x:v>Drums, croakers</x:v>
      </x:c>
      <x:c r="G12" s="24" t="str">
        <x:v>Medium demersals (30 - 89 cm)</x:v>
      </x:c>
      <x:c r="H12" s="24" t="str">
        <x:v>Perch-likes</x:v>
      </x:c>
      <x:c r="I12" s="31" t="n">
        <x:v>30712.7347687036</x:v>
      </x:c>
      <x:c r="J12" s="31" t="n">
        <x:v>29700.6649507854</x:v>
      </x:c>
      <x:c r="K12" s="31" t="n">
        <x:v>1012.0698179182</x:v>
      </x:c>
      <x:c r="L12" s="31" t="n">
        <x:v>29277.8263001814</x:v>
      </x:c>
      <x:c r="M12" s="31" t="n">
        <x:v>1434.9084685222</x:v>
      </x:c>
      <x:c r="N12" s="24" t="str">
        <x:v>sciaenidae</x:v>
      </x:c>
      <x:c r="O12" s="32" t="n">
        <x:v>3.76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Sciaenidae</x:v>
      </x:c>
      <x:c r="T12" s="32" t="n">
        <x:f>IF(O12="","",(1/'Metadata'!$B$5)^(O12-1))</x:f>
        <x:v>575.4399373371566</x:v>
      </x:c>
      <x:c r="U12" s="31" t="n">
        <x:f>IF(T12="","",I12*T12)</x:f>
        <x:v>17673334.170755513</x:v>
      </x:c>
    </x:row>
    <x:row r="13" ht="18" customHeight="1">
      <x:c r="A13" s="24" t="str">
        <x:v>EEZ_410</x:v>
      </x:c>
      <x:c r="B13" s="24" t="str">
        <x:v>Korea (South)</x:v>
      </x:c>
      <x:c r="C13" s="24" t="str">
        <x:v>EEZ</x:v>
      </x:c>
      <x:c r="D13" s="30" t="n">
        <x:v>2019</x:v>
      </x:c>
      <x:c r="E13" s="24" t="str">
        <x:v>Octopoda</x:v>
      </x:c>
      <x:c r="F13" s="24" t="str">
        <x:v>Octopuses, argonauts</x:v>
      </x:c>
      <x:c r="G13" s="24" t="str">
        <x:v>Cephalopods</x:v>
      </x:c>
      <x:c r="H13" s="24" t="str">
        <x:v>Other fishes &amp; inverts</x:v>
      </x:c>
      <x:c r="I13" s="31" t="n">
        <x:v>27843.884694335302</x:v>
      </x:c>
      <x:c r="J13" s="31" t="n">
        <x:v>26807.736450047003</x:v>
      </x:c>
      <x:c r="K13" s="31" t="n">
        <x:v>1036.1482442883</x:v>
      </x:c>
      <x:c r="L13" s="31" t="n">
        <x:v>26308.9945710753</x:v>
      </x:c>
      <x:c r="M13" s="31" t="n">
        <x:v>1534.89012326</x:v>
      </x:c>
      <x:c r="N13" s="24" t="str">
        <x:v>octopoda</x:v>
      </x:c>
      <x:c r="O13" s="32" t="n">
        <x:v>3.58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Octopoda</x:v>
      </x:c>
      <x:c r="T13" s="32" t="n">
        <x:f>IF(O13="","",(1/'Metadata'!$B$5)^(O13-1))</x:f>
        <x:v>380.1893963205613</x:v>
      </x:c>
      <x:c r="U13" s="31" t="n">
        <x:f>IF(T13="","",I13*T13)</x:f>
        <x:v>10585949.713158654</x:v>
      </x:c>
    </x:row>
    <x:row r="14" ht="18" customHeight="1">
      <x:c r="A14" s="24" t="str">
        <x:v>EEZ_410</x:v>
      </x:c>
      <x:c r="B14" s="24" t="str">
        <x:v>Korea (South)</x:v>
      </x:c>
      <x:c r="C14" s="24" t="str">
        <x:v>EEZ</x:v>
      </x:c>
      <x:c r="D14" s="30" t="n">
        <x:v>2019</x:v>
      </x:c>
      <x:c r="E14" s="24" t="str">
        <x:v>Miscellaneous marine crustaceans</x:v>
      </x:c>
      <x:c r="F14" s="24" t="str">
        <x:v>Marine crabs, shrimps, lobsters nei</x:v>
      </x:c>
      <x:c r="G14" s="24" t="str">
        <x:v>Shrimps</x:v>
      </x:c>
      <x:c r="H14" s="24" t="str">
        <x:v>Crustaceans</x:v>
      </x:c>
      <x:c r="I14" s="31" t="n">
        <x:v>27684.9073063532</x:v>
      </x:c>
      <x:c r="J14" s="31" t="n">
        <x:v>25613.1198930512</x:v>
      </x:c>
      <x:c r="K14" s="31" t="n">
        <x:v>2071.787413302</x:v>
      </x:c>
      <x:c r="L14" s="31" t="n">
        <x:v>25112.1952237385</x:v>
      </x:c>
      <x:c r="M14" s="31" t="n">
        <x:v>2572.7120826147</x:v>
      </x:c>
      <x:c r="N14" s="24" t="str">
        <x:v>miscellaneous marine crustaceans</x:v>
      </x:c>
      <x:c r="O14" s="32" t="n">
        <x:v>2.7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Miscellaneous marine crustaceans</x:v>
      </x:c>
      <x:c r="T14" s="32" t="n">
        <x:f>IF(O14="","",(1/'Metadata'!$B$5)^(O14-1))</x:f>
        <x:v>50.11872336272725</x:v>
      </x:c>
      <x:c r="U14" s="31" t="n">
        <x:f>IF(T14="","",I14*T14)</x:f>
        <x:v>1387532.2106098626</x:v>
      </x:c>
    </x:row>
    <x:row r="15" ht="18" customHeight="1">
      <x:c r="A15" s="24" t="str">
        <x:v>EEZ_410</x:v>
      </x:c>
      <x:c r="B15" s="24" t="str">
        <x:v>Korea (South)</x:v>
      </x:c>
      <x:c r="C15" s="24" t="str">
        <x:v>EEZ</x:v>
      </x:c>
      <x:c r="D15" s="30" t="n">
        <x:v>2019</x:v>
      </x:c>
      <x:c r="E15" s="24" t="str">
        <x:v>Clupea pallasii</x:v>
      </x:c>
      <x:c r="F15" s="24" t="str">
        <x:v>Pacific herring</x:v>
      </x:c>
      <x:c r="G15" s="24" t="str">
        <x:v>Medium pelagics (30 - 89 cm)</x:v>
      </x:c>
      <x:c r="H15" s="24" t="str">
        <x:v>Herring-likes</x:v>
      </x:c>
      <x:c r="I15" s="31" t="n">
        <x:v>26019.8875168068</x:v>
      </x:c>
      <x:c r="J15" s="31" t="n">
        <x:v>26019.8875168068</x:v>
      </x:c>
      <x:c r="K15" s="31" t="n">
        <x:v>0</x:v>
      </x:c>
      <x:c r="L15" s="31" t="n">
        <x:v>26019.8875168068</x:v>
      </x:c>
      <x:c r="M15" s="31" t="n">
        <x:v>0</x:v>
      </x:c>
      <x:c r="N15" s="24" t="str">
        <x:v>clupea pallasii</x:v>
      </x:c>
      <x:c r="O15" s="32" t="n">
        <x:v>3.16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Clupea pallasii</x:v>
      </x:c>
      <x:c r="T15" s="32" t="n">
        <x:f>IF(O15="","",(1/'Metadata'!$B$5)^(O15-1))</x:f>
        <x:v>144.5439770745928</x:v>
      </x:c>
      <x:c r="U15" s="31" t="n">
        <x:f>IF(T15="","",I15*T15)</x:f>
        <x:v>3761018.024712805</x:v>
      </x:c>
    </x:row>
    <x:row r="16" ht="18" customHeight="1">
      <x:c r="A16" s="24" t="str">
        <x:v>EEZ_410</x:v>
      </x:c>
      <x:c r="B16" s="24" t="str">
        <x:v>Korea (South)</x:v>
      </x:c>
      <x:c r="C16" s="24" t="str">
        <x:v>EEZ</x:v>
      </x:c>
      <x:c r="D16" s="30" t="n">
        <x:v>2019</x:v>
      </x:c>
      <x:c r="E16" s="24" t="str">
        <x:v>Muraenesox cinereus</x:v>
      </x:c>
      <x:c r="F16" s="24" t="str">
        <x:v>Daggertooth pike conger</x:v>
      </x:c>
      <x:c r="G16" s="24" t="str">
        <x:v>Large demersals (&gt;=90 cm)</x:v>
      </x:c>
      <x:c r="H16" s="24" t="str">
        <x:v>Other fishes &amp; inverts</x:v>
      </x:c>
      <x:c r="I16" s="31" t="n">
        <x:v>25768.236476445</x:v>
      </x:c>
      <x:c r="J16" s="31" t="n">
        <x:v>25768.236476445</x:v>
      </x:c>
      <x:c r="K16" s="31" t="n">
        <x:v>0</x:v>
      </x:c>
      <x:c r="L16" s="31" t="n">
        <x:v>25768.236476445</x:v>
      </x:c>
      <x:c r="M16" s="31" t="n">
        <x:v>0</x:v>
      </x:c>
      <x:c r="N16" s="24" t="str">
        <x:v>muraenesox cinereus</x:v>
      </x:c>
      <x:c r="O16" s="32" t="n">
        <x:v>4.38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Muraenesox cinereus</x:v>
      </x:c>
      <x:c r="T16" s="32" t="n">
        <x:f>IF(O16="","",(1/'Metadata'!$B$5)^(O16-1))</x:f>
        <x:v>2398.83291901949</x:v>
      </x:c>
      <x:c r="U16" s="31" t="n">
        <x:f>IF(T16="","",I16*T16)</x:f>
        <x:v>61813693.92477506</x:v>
      </x:c>
    </x:row>
    <x:row r="17" ht="18" customHeight="1">
      <x:c r="A17" s="24" t="str">
        <x:v>EEZ_410</x:v>
      </x:c>
      <x:c r="B17" s="24" t="str">
        <x:v>Korea (South)</x:v>
      </x:c>
      <x:c r="C17" s="24" t="str">
        <x:v>EEZ</x:v>
      </x:c>
      <x:c r="D17" s="30" t="n">
        <x:v>2019</x:v>
      </x:c>
      <x:c r="E17" s="24" t="str">
        <x:v>Clupeiformes</x:v>
      </x:c>
      <x:c r="F17" s="24" t="str">
        <x:v>Herrings, shads, anchovies</x:v>
      </x:c>
      <x:c r="G17" s="24" t="str">
        <x:v>Small pelagics (&lt;30 cm)</x:v>
      </x:c>
      <x:c r="H17" s="24" t="str">
        <x:v>Other fishes &amp; inverts</x:v>
      </x:c>
      <x:c r="I17" s="31" t="n">
        <x:v>25196.0000000002</x:v>
      </x:c>
      <x:c r="J17" s="31" t="n">
        <x:v>25196.0000000002</x:v>
      </x:c>
      <x:c r="K17" s="31" t="n">
        <x:v>0</x:v>
      </x:c>
      <x:c r="L17" s="31" t="n">
        <x:v>25196.0000000002</x:v>
      </x:c>
      <x:c r="M17" s="31" t="n">
        <x:v>0</x:v>
      </x:c>
      <x:c r="N17" s="24" t="str">
        <x:v>clupeiformes</x:v>
      </x:c>
      <x:c r="O17" s="32" t="n">
        <x:v>3.24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Clupeiformes</x:v>
      </x:c>
      <x:c r="T17" s="32" t="n">
        <x:f>IF(O17="","",(1/'Metadata'!$B$5)^(O17-1))</x:f>
        <x:v>173.78008287493762</x:v>
      </x:c>
      <x:c r="U17" s="31" t="n">
        <x:f>IF(T17="","",I17*T17)</x:f>
        <x:v>4378562.968116963</x:v>
      </x:c>
    </x:row>
    <x:row r="18" ht="18" customHeight="1">
      <x:c r="A18" s="24" t="str">
        <x:v>EEZ_410</x:v>
      </x:c>
      <x:c r="B18" s="24" t="str">
        <x:v>Korea (South)</x:v>
      </x:c>
      <x:c r="C18" s="24" t="str">
        <x:v>EEZ</x:v>
      </x:c>
      <x:c r="D18" s="30" t="n">
        <x:v>2019</x:v>
      </x:c>
      <x:c r="E18" s="24" t="str">
        <x:v>Ruditapes philippinarum</x:v>
      </x:c>
      <x:c r="F18" s="24" t="str">
        <x:v>Japanese carpet shell</x:v>
      </x:c>
      <x:c r="G18" s="24" t="str">
        <x:v>Other demersal invertebrates</x:v>
      </x:c>
      <x:c r="H18" s="24" t="str">
        <x:v>Molluscs</x:v>
      </x:c>
      <x:c r="I18" s="31" t="n">
        <x:v>23773.0000000001</x:v>
      </x:c>
      <x:c r="J18" s="31" t="n">
        <x:v>23773.0000000001</x:v>
      </x:c>
      <x:c r="K18" s="31" t="n">
        <x:v>0</x:v>
      </x:c>
      <x:c r="L18" s="31" t="n">
        <x:v>23773.0000000001</x:v>
      </x:c>
      <x:c r="M18" s="31" t="n">
        <x:v>0</x:v>
      </x:c>
      <x:c r="N18" s="24" t="str">
        <x:v>ruditapes philippinarum</x:v>
      </x:c>
      <x:c r="O18" s="32" t="n">
        <x:v>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Ruditapes philippinarum</x:v>
      </x:c>
      <x:c r="T18" s="32" t="n">
        <x:f>IF(O18="","",(1/'Metadata'!$B$5)^(O18-1))</x:f>
        <x:v>10</x:v>
      </x:c>
      <x:c r="U18" s="31" t="n">
        <x:f>IF(T18="","",I18*T18)</x:f>
        <x:v>237730.000000001</x:v>
      </x:c>
    </x:row>
    <x:row r="19" ht="18" customHeight="1">
      <x:c r="A19" s="24" t="str">
        <x:v>EEZ_410</x:v>
      </x:c>
      <x:c r="B19" s="24" t="str">
        <x:v>Korea (South)</x:v>
      </x:c>
      <x:c r="C19" s="24" t="str">
        <x:v>EEZ</x:v>
      </x:c>
      <x:c r="D19" s="30" t="n">
        <x:v>2019</x:v>
      </x:c>
      <x:c r="E19" s="24" t="str">
        <x:v>Portunus trituberculatus</x:v>
      </x:c>
      <x:c r="F19" s="24" t="str">
        <x:v>Gazami crab</x:v>
      </x:c>
      <x:c r="G19" s="24" t="str">
        <x:v>Lobsters, crabs</x:v>
      </x:c>
      <x:c r="H19" s="24" t="str">
        <x:v>Crustaceans</x:v>
      </x:c>
      <x:c r="I19" s="31" t="n">
        <x:v>21496.9065989162</x:v>
      </x:c>
      <x:c r="J19" s="31" t="n">
        <x:v>20168.7586569751</x:v>
      </x:c>
      <x:c r="K19" s="31" t="n">
        <x:v>1328.1479419411</x:v>
      </x:c>
      <x:c r="L19" s="31" t="n">
        <x:v>20168.7586569751</x:v>
      </x:c>
      <x:c r="M19" s="31" t="n">
        <x:v>1328.1479419411</x:v>
      </x:c>
      <x:c r="N19" s="24" t="str">
        <x:v>portunus trituberculatus</x:v>
      </x:c>
      <x:c r="O19" s="32" t="n">
        <x:v>3.73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Portunus trituberculatus</x:v>
      </x:c>
      <x:c r="T19" s="32" t="n">
        <x:f>IF(O19="","",(1/'Metadata'!$B$5)^(O19-1))</x:f>
        <x:v>537.0317963702527</x:v>
      </x:c>
      <x:c r="U19" s="31" t="n">
        <x:f>IF(T19="","",I19*T19)</x:f>
        <x:v>11544522.367219506</x:v>
      </x:c>
    </x:row>
    <x:row r="20" ht="18" customHeight="1">
      <x:c r="A20" s="24" t="str">
        <x:v>EEZ_410</x:v>
      </x:c>
      <x:c r="B20" s="24" t="str">
        <x:v>Korea (South)</x:v>
      </x:c>
      <x:c r="C20" s="24" t="str">
        <x:v>EEZ</x:v>
      </x:c>
      <x:c r="D20" s="30" t="n">
        <x:v>2019</x:v>
      </x:c>
      <x:c r="E20" s="24" t="str">
        <x:v>Ammodytes personatus</x:v>
      </x:c>
      <x:c r="F20" s="24" t="str">
        <x:v>Pacific sandlance</x:v>
      </x:c>
      <x:c r="G20" s="24" t="str">
        <x:v>Small demersals (&lt;30 cm)</x:v>
      </x:c>
      <x:c r="H20" s="24" t="str">
        <x:v>Perch-likes</x:v>
      </x:c>
      <x:c r="I20" s="31" t="n">
        <x:v>21076.7913722882</x:v>
      </x:c>
      <x:c r="J20" s="31" t="n">
        <x:v>21076.7913722882</x:v>
      </x:c>
      <x:c r="K20" s="31" t="n">
        <x:v>0</x:v>
      </x:c>
      <x:c r="L20" s="31" t="n">
        <x:v>21076.7913722882</x:v>
      </x:c>
      <x:c r="M20" s="31" t="n">
        <x:v>0</x:v>
      </x:c>
      <x:c r="N20" s="24" t="str">
        <x:v>ammodytes personatus</x:v>
      </x:c>
      <x:c r="O20" s="32" t="n">
        <x:v>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Ammodytes personatus</x:v>
      </x:c>
      <x:c r="T20" s="32" t="n">
        <x:f>IF(O20="","",(1/'Metadata'!$B$5)^(O20-1))</x:f>
        <x:v>100</x:v>
      </x:c>
      <x:c r="U20" s="31" t="n">
        <x:f>IF(T20="","",I20*T20)</x:f>
        <x:v>2107679.13722882</x:v>
      </x:c>
    </x:row>
    <x:row r="21" ht="18" customHeight="1">
      <x:c r="A21" s="24" t="str">
        <x:v>EEZ_410</x:v>
      </x:c>
      <x:c r="B21" s="24" t="str">
        <x:v>Korea (South)</x:v>
      </x:c>
      <x:c r="C21" s="24" t="str">
        <x:v>EEZ</x:v>
      </x:c>
      <x:c r="D21" s="30" t="n">
        <x:v>2019</x:v>
      </x:c>
      <x:c r="E21" s="24" t="str">
        <x:v>Trachysalambria curvirostris</x:v>
      </x:c>
      <x:c r="F21" s="24" t="str">
        <x:v>Southern rough shrimp</x:v>
      </x:c>
      <x:c r="G21" s="24" t="str">
        <x:v>Shrimps</x:v>
      </x:c>
      <x:c r="H21" s="24" t="str">
        <x:v>Crustaceans</x:v>
      </x:c>
      <x:c r="I21" s="31" t="n">
        <x:v>19254.1055871888</x:v>
      </x:c>
      <x:c r="J21" s="31" t="n">
        <x:v>17704.5996549241</x:v>
      </x:c>
      <x:c r="K21" s="31" t="n">
        <x:v>1549.5059322647</x:v>
      </x:c>
      <x:c r="L21" s="31" t="n">
        <x:v>17704.5996549241</x:v>
      </x:c>
      <x:c r="M21" s="31" t="n">
        <x:v>1549.5059322647</x:v>
      </x:c>
      <x:c r="N21" s="24" t="str">
        <x:v>trachysalambria curvirostris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Trachysalambria curvirostris</x:v>
      </x:c>
      <x:c r="T21" s="32" t="n">
        <x:f>IF(O21="","",(1/'Metadata'!$B$5)^(O21-1))</x:f>
        <x:v>50.11872336272725</x:v>
      </x:c>
      <x:c r="U21" s="31" t="n">
        <x:f>IF(T21="","",I21*T21)</x:f>
        <x:v>964991.1915210566</x:v>
      </x:c>
    </x:row>
    <x:row r="22" ht="18" customHeight="1">
      <x:c r="A22" s="24" t="str">
        <x:v>EEZ_410</x:v>
      </x:c>
      <x:c r="B22" s="24" t="str">
        <x:v>Korea (South)</x:v>
      </x:c>
      <x:c r="C22" s="24" t="str">
        <x:v>EEZ</x:v>
      </x:c>
      <x:c r="D22" s="30" t="n">
        <x:v>2019</x:v>
      </x:c>
      <x:c r="E22" s="24" t="str">
        <x:v>Squillidae</x:v>
      </x:c>
      <x:c r="F22" s="24" t="str">
        <x:v>Squilla mantis shrimps</x:v>
      </x:c>
      <x:c r="G22" s="24" t="str">
        <x:v>Shrimps</x:v>
      </x:c>
      <x:c r="H22" s="24" t="str">
        <x:v>Crustaceans</x:v>
      </x:c>
      <x:c r="I22" s="31" t="n">
        <x:v>18716.127285167102</x:v>
      </x:c>
      <x:c r="J22" s="31" t="n">
        <x:v>18716.127285167102</x:v>
      </x:c>
      <x:c r="K22" s="31" t="n">
        <x:v>0</x:v>
      </x:c>
      <x:c r="L22" s="31" t="n">
        <x:v>18716.127285167102</x:v>
      </x:c>
      <x:c r="M22" s="31" t="n">
        <x:v>0</x:v>
      </x:c>
      <x:c r="N22" s="24" t="str">
        <x:v>squillidae</x:v>
      </x:c>
      <x:c r="O22" s="32" t="n">
        <x:v>3.5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Squillidae</x:v>
      </x:c>
      <x:c r="T22" s="32" t="n">
        <x:f>IF(O22="","",(1/'Metadata'!$B$5)^(O22-1))</x:f>
        <x:v>316.22776601683796</x:v>
      </x:c>
      <x:c r="U22" s="31" t="n">
        <x:f>IF(T22="","",I22*T22)</x:f>
        <x:v>5918559.119875179</x:v>
      </x:c>
    </x:row>
    <x:row r="23" ht="18" customHeight="1">
      <x:c r="A23" s="24" t="str">
        <x:v>EEZ_410</x:v>
      </x:c>
      <x:c r="B23" s="24" t="str">
        <x:v>Korea (South)</x:v>
      </x:c>
      <x:c r="C23" s="24" t="str">
        <x:v>EEZ</x:v>
      </x:c>
      <x:c r="D23" s="30" t="n">
        <x:v>2019</x:v>
      </x:c>
      <x:c r="E23" s="24" t="str">
        <x:v>Pseudopleuronectes herzensteini</x:v>
      </x:c>
      <x:c r="F23" s="24" t="str">
        <x:v>Yellow striped flounder</x:v>
      </x:c>
      <x:c r="G23" s="24" t="str">
        <x:v>Small to medium flatfishes (&lt;90 cm)</x:v>
      </x:c>
      <x:c r="H23" s="24" t="str">
        <x:v>Flatfishes</x:v>
      </x:c>
      <x:c r="I23" s="31" t="n">
        <x:v>18171.0000000002</x:v>
      </x:c>
      <x:c r="J23" s="31" t="n">
        <x:v>18171.0000000002</x:v>
      </x:c>
      <x:c r="K23" s="31" t="n">
        <x:v>0</x:v>
      </x:c>
      <x:c r="L23" s="31" t="n">
        <x:v>18171.0000000002</x:v>
      </x:c>
      <x:c r="M23" s="31" t="n">
        <x:v>0</x:v>
      </x:c>
      <x:c r="N23" s="24" t="str">
        <x:v>pseudopleuronectes herzensteini</x:v>
      </x:c>
      <x:c r="O23" s="32" t="n">
        <x:v>3.15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Pseudopleuronectes herzensteini</x:v>
      </x:c>
      <x:c r="T23" s="32" t="n">
        <x:f>IF(O23="","",(1/'Metadata'!$B$5)^(O23-1))</x:f>
        <x:v>141.2537544622754</x:v>
      </x:c>
      <x:c r="U23" s="31" t="n">
        <x:f>IF(T23="","",I23*T23)</x:f>
        <x:v>2566721.9723340343</x:v>
      </x:c>
    </x:row>
    <x:row r="24" ht="18" customHeight="1">
      <x:c r="A24" s="24" t="str">
        <x:v>EEZ_410</x:v>
      </x:c>
      <x:c r="B24" s="24" t="str">
        <x:v>Korea (South)</x:v>
      </x:c>
      <x:c r="C24" s="24" t="str">
        <x:v>EEZ</x:v>
      </x:c>
      <x:c r="D24" s="30" t="n">
        <x:v>2019</x:v>
      </x:c>
      <x:c r="E24" s="24" t="str">
        <x:v>Seriola</x:v>
      </x:c>
      <x:c r="F24" s="24" t="str">
        <x:v>Amberjacks</x:v>
      </x:c>
      <x:c r="G24" s="24" t="str">
        <x:v>Large benthopelagics (&gt;=90 cm)</x:v>
      </x:c>
      <x:c r="H24" s="24" t="str">
        <x:v>Perch-likes</x:v>
      </x:c>
      <x:c r="I24" s="31" t="n">
        <x:v>15934.000000000002</x:v>
      </x:c>
      <x:c r="J24" s="31" t="n">
        <x:v>15934.000000000002</x:v>
      </x:c>
      <x:c r="K24" s="31" t="n">
        <x:v>0</x:v>
      </x:c>
      <x:c r="L24" s="31" t="n">
        <x:v>15934.000000000002</x:v>
      </x:c>
      <x:c r="M24" s="31" t="n">
        <x:v>0</x:v>
      </x:c>
      <x:c r="N24" s="24" t="str">
        <x:v>seriola</x:v>
      </x:c>
      <x:c r="O24" s="32" t="n">
        <x:v>4.39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Seriola</x:v>
      </x:c>
      <x:c r="T24" s="32" t="n">
        <x:f>IF(O24="","",(1/'Metadata'!$B$5)^(O24-1))</x:f>
        <x:v>2454.7089156850284</x:v>
      </x:c>
      <x:c r="U24" s="31" t="n">
        <x:f>IF(T24="","",I24*T24)</x:f>
        <x:v>39113331.86252525</x:v>
      </x:c>
    </x:row>
    <x:row r="25" ht="18" customHeight="1">
      <x:c r="A25" s="24" t="str">
        <x:v>EEZ_410</x:v>
      </x:c>
      <x:c r="B25" s="24" t="str">
        <x:v>Korea (South)</x:v>
      </x:c>
      <x:c r="C25" s="24" t="str">
        <x:v>EEZ</x:v>
      </x:c>
      <x:c r="D25" s="30" t="n">
        <x:v>2019</x:v>
      </x:c>
      <x:c r="E25" s="24" t="str">
        <x:v>Sepiida</x:v>
      </x:c>
      <x:c r="F25" s="24" t="str">
        <x:v>Cuttlefishes, bobtail squids</x:v>
      </x:c>
      <x:c r="G25" s="24" t="str">
        <x:v>Cephalopods</x:v>
      </x:c>
      <x:c r="H25" s="24" t="str">
        <x:v>Other fishes &amp; inverts</x:v>
      </x:c>
      <x:c r="I25" s="31" t="n">
        <x:v>14854.4783571352</x:v>
      </x:c>
      <x:c r="J25" s="31" t="n">
        <x:v>14854.4783571352</x:v>
      </x:c>
      <x:c r="K25" s="31" t="n">
        <x:v>0</x:v>
      </x:c>
      <x:c r="L25" s="31" t="n">
        <x:v>14854.4783571352</x:v>
      </x:c>
      <x:c r="M25" s="31" t="n">
        <x:v>0</x:v>
      </x:c>
      <x:c r="N25" s="24" t="str">
        <x:v>sepiida</x:v>
      </x:c>
      <x:c r="O25" s="32" t="n">
        <x:v>3.7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Sepiida</x:v>
      </x:c>
      <x:c r="T25" s="32" t="n">
        <x:f>IF(O25="","",(1/'Metadata'!$B$5)^(O25-1))</x:f>
        <x:v>501.18723362727246</x:v>
      </x:c>
      <x:c r="U25" s="31" t="n">
        <x:f>IF(T25="","",I25*T25)</x:f>
        <x:v>7444874.914788782</x:v>
      </x:c>
    </x:row>
    <x:row r="26" ht="18" customHeight="1">
      <x:c r="A26" s="24" t="str">
        <x:v>EEZ_410</x:v>
      </x:c>
      <x:c r="B26" s="24" t="str">
        <x:v>Korea (South)</x:v>
      </x:c>
      <x:c r="C26" s="24" t="str">
        <x:v>EEZ</x:v>
      </x:c>
      <x:c r="D26" s="30" t="n">
        <x:v>2019</x:v>
      </x:c>
      <x:c r="E26" s="24" t="str">
        <x:v>Nemipterus</x:v>
      </x:c>
      <x:c r="F26" s="24" t="str">
        <x:v>Threadfin breams</x:v>
      </x:c>
      <x:c r="G26" s="24" t="str">
        <x:v>Small demersals (&lt;30 cm)</x:v>
      </x:c>
      <x:c r="H26" s="24" t="str">
        <x:v>Perch-likes</x:v>
      </x:c>
      <x:c r="I26" s="31" t="n">
        <x:v>14841.1904111055</x:v>
      </x:c>
      <x:c r="J26" s="31" t="n">
        <x:v>14841.1904111055</x:v>
      </x:c>
      <x:c r="K26" s="31" t="n">
        <x:v>0</x:v>
      </x:c>
      <x:c r="L26" s="31" t="n">
        <x:v>14841.1904111055</x:v>
      </x:c>
      <x:c r="M26" s="31" t="n">
        <x:v>0</x:v>
      </x:c>
      <x:c r="N26" s="24" t="str">
        <x:v>nemipterus</x:v>
      </x:c>
      <x:c r="O26" s="32" t="n">
        <x:v>3.72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Nemipterus</x:v>
      </x:c>
      <x:c r="T26" s="32" t="n">
        <x:f>IF(O26="","",(1/'Metadata'!$B$5)^(O26-1))</x:f>
        <x:v>524.8074602497728</x:v>
      </x:c>
      <x:c r="U26" s="31" t="n">
        <x:f>IF(T26="","",I26*T26)</x:f>
        <x:v>7788767.446735559</x:v>
      </x:c>
    </x:row>
    <x:row r="27" ht="18" customHeight="1">
      <x:c r="A27" s="24" t="str">
        <x:v>EEZ_410</x:v>
      </x:c>
      <x:c r="B27" s="24" t="str">
        <x:v>Korea (South)</x:v>
      </x:c>
      <x:c r="C27" s="24" t="str">
        <x:v>EEZ</x:v>
      </x:c>
      <x:c r="D27" s="30" t="n">
        <x:v>2019</x:v>
      </x:c>
      <x:c r="E27" s="24" t="str">
        <x:v>Penaeus chinensis</x:v>
      </x:c>
      <x:c r="F27" s="24" t="str">
        <x:v>Fleshy prawn</x:v>
      </x:c>
      <x:c r="G27" s="24" t="str">
        <x:v>Shrimps</x:v>
      </x:c>
      <x:c r="H27" s="24" t="str">
        <x:v>Crustaceans</x:v>
      </x:c>
      <x:c r="I27" s="31" t="n">
        <x:v>14303.842693812101</x:v>
      </x:c>
      <x:c r="J27" s="31" t="n">
        <x:v>14303.842693812101</x:v>
      </x:c>
      <x:c r="K27" s="31" t="n">
        <x:v>0</x:v>
      </x:c>
      <x:c r="L27" s="31" t="n">
        <x:v>14303.842693812101</x:v>
      </x:c>
      <x:c r="M27" s="31" t="n">
        <x:v>0</x:v>
      </x:c>
      <x:c r="N27" s="24" t="str">
        <x:v>penaeus chinensis</x:v>
      </x:c>
      <x:c r="O27" s="32" t="n">
        <x:v>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Penaeus chinensis</x:v>
      </x:c>
      <x:c r="T27" s="32" t="n">
        <x:f>IF(O27="","",(1/'Metadata'!$B$5)^(O27-1))</x:f>
        <x:v>10</x:v>
      </x:c>
      <x:c r="U27" s="31" t="n">
        <x:f>IF(T27="","",I27*T27)</x:f>
        <x:v>143038.426938121</x:v>
      </x:c>
    </x:row>
    <x:row r="28" ht="18" customHeight="1">
      <x:c r="A28" s="24" t="str">
        <x:v>EEZ_410</x:v>
      </x:c>
      <x:c r="B28" s="24" t="str">
        <x:v>Korea (South)</x:v>
      </x:c>
      <x:c r="C28" s="24" t="str">
        <x:v>EEZ</x:v>
      </x:c>
      <x:c r="D28" s="30" t="n">
        <x:v>2019</x:v>
      </x:c>
      <x:c r="E28" s="24" t="str">
        <x:v>Acetes japonicus</x:v>
      </x:c>
      <x:c r="F28" s="24" t="str">
        <x:v>Akiami paste shrimp</x:v>
      </x:c>
      <x:c r="G28" s="24" t="str">
        <x:v>Shrimps</x:v>
      </x:c>
      <x:c r="H28" s="24" t="str">
        <x:v>Crustaceans</x:v>
      </x:c>
      <x:c r="I28" s="31" t="n">
        <x:v>12843.9999999999</x:v>
      </x:c>
      <x:c r="J28" s="31" t="n">
        <x:v>12843.9999999999</x:v>
      </x:c>
      <x:c r="K28" s="31" t="n">
        <x:v>0</x:v>
      </x:c>
      <x:c r="L28" s="31" t="n">
        <x:v>12843.9999999999</x:v>
      </x:c>
      <x:c r="M28" s="31" t="n">
        <x:v>0</x:v>
      </x:c>
      <x:c r="N28" s="24" t="str">
        <x:v>acetes japonicus</x:v>
      </x:c>
      <x:c r="O28" s="32" t="n">
        <x:v>2.54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Acetes japonicus</x:v>
      </x:c>
      <x:c r="T28" s="32" t="n">
        <x:f>IF(O28="","",(1/'Metadata'!$B$5)^(O28-1))</x:f>
        <x:v>34.673685045253166</x:v>
      </x:c>
      <x:c r="U28" s="31" t="n">
        <x:f>IF(T28="","",I28*T28)</x:f>
        <x:v>445348.8107212282</x:v>
      </x:c>
    </x:row>
    <x:row r="29" ht="18" customHeight="1">
      <x:c r="A29" s="24" t="str">
        <x:v>EEZ_410</x:v>
      </x:c>
      <x:c r="B29" s="24" t="str">
        <x:v>Korea (South)</x:v>
      </x:c>
      <x:c r="C29" s="24" t="str">
        <x:v>EEZ</x:v>
      </x:c>
      <x:c r="D29" s="30" t="n">
        <x:v>2019</x:v>
      </x:c>
      <x:c r="E29" s="24" t="str">
        <x:v>Miscellaneous aquatic invertebrates</x:v>
      </x:c>
      <x:c r="F29" s="24" t="str">
        <x:v>Aquatic invertebrates</x:v>
      </x:c>
      <x:c r="G29" s="24" t="str">
        <x:v>Other demersal invertebrates</x:v>
      </x:c>
      <x:c r="H29" s="24" t="str">
        <x:v>Other fishes &amp; inverts</x:v>
      </x:c>
      <x:c r="I29" s="31" t="n">
        <x:v>12622.8431711112</x:v>
      </x:c>
      <x:c r="J29" s="31" t="n">
        <x:v>11745.3168523286</x:v>
      </x:c>
      <x:c r="K29" s="31" t="n">
        <x:v>877.5263187826</x:v>
      </x:c>
      <x:c r="L29" s="31" t="n">
        <x:v>11745.3168523286</x:v>
      </x:c>
      <x:c r="M29" s="31" t="n">
        <x:v>877.5263187826</x:v>
      </x:c>
      <x:c r="N29" s="24" t="str">
        <x:v>miscellaneous aquatic invertebrates</x:v>
      </x:c>
      <x:c r="O29" s="32" t="n">
        <x:v>2.43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Miscellaneous aquatic invertebrates</x:v>
      </x:c>
      <x:c r="T29" s="32" t="n">
        <x:f>IF(O29="","",(1/'Metadata'!$B$5)^(O29-1))</x:f>
        <x:v>26.915348039269166</x:v>
      </x:c>
      <x:c r="U29" s="31" t="n">
        <x:f>IF(T29="","",I29*T29)</x:f>
        <x:v>339748.21719557</x:v>
      </x:c>
    </x:row>
    <x:row r="30" ht="18" customHeight="1">
      <x:c r="A30" s="24" t="str">
        <x:v>EEZ_410</x:v>
      </x:c>
      <x:c r="B30" s="24" t="str">
        <x:v>Korea (South)</x:v>
      </x:c>
      <x:c r="C30" s="24" t="str">
        <x:v>EEZ</x:v>
      </x:c>
      <x:c r="D30" s="30" t="n">
        <x:v>2019</x:v>
      </x:c>
      <x:c r="E30" s="24" t="str">
        <x:v>Conger myriaster</x:v>
      </x:c>
      <x:c r="F30" s="24" t="str">
        <x:v>Whitespotted conger</x:v>
      </x:c>
      <x:c r="G30" s="24" t="str">
        <x:v>Medium demersals (30 - 89 cm)</x:v>
      </x:c>
      <x:c r="H30" s="24" t="str">
        <x:v>Other fishes &amp; inverts</x:v>
      </x:c>
      <x:c r="I30" s="31" t="n">
        <x:v>12447</x:v>
      </x:c>
      <x:c r="J30" s="31" t="n">
        <x:v>12447</x:v>
      </x:c>
      <x:c r="K30" s="31" t="n">
        <x:v>0</x:v>
      </x:c>
      <x:c r="L30" s="31" t="n">
        <x:v>12447</x:v>
      </x:c>
      <x:c r="M30" s="31" t="n">
        <x:v>0</x:v>
      </x:c>
      <x:c r="N30" s="24" t="str">
        <x:v>conger myriaster</x:v>
      </x:c>
      <x:c r="O30" s="32" t="n">
        <x:v>3.98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Conger myriaster</x:v>
      </x:c>
      <x:c r="T30" s="32" t="n">
        <x:f>IF(O30="","",(1/'Metadata'!$B$5)^(O30-1))</x:f>
        <x:v>954.992586021436</x:v>
      </x:c>
      <x:c r="U30" s="31" t="n">
        <x:f>IF(T30="","",I30*T30)</x:f>
        <x:v>11886792.718208814</x:v>
      </x:c>
    </x:row>
    <x:row r="31" ht="18" customHeight="1">
      <x:c r="A31" s="24" t="str">
        <x:v>EEZ_410</x:v>
      </x:c>
      <x:c r="B31" s="24" t="str">
        <x:v>Korea (South)</x:v>
      </x:c>
      <x:c r="C31" s="24" t="str">
        <x:v>EEZ</x:v>
      </x:c>
      <x:c r="D31" s="30" t="n">
        <x:v>2019</x:v>
      </x:c>
      <x:c r="E31" s="24" t="str">
        <x:v>Sardinops sagax</x:v>
      </x:c>
      <x:c r="F31" s="24" t="str">
        <x:v>South American pilchard</x:v>
      </x:c>
      <x:c r="G31" s="24" t="str">
        <x:v>Medium pelagics (30 - 89 cm)</x:v>
      </x:c>
      <x:c r="H31" s="24" t="str">
        <x:v>Herring-likes</x:v>
      </x:c>
      <x:c r="I31" s="31" t="n">
        <x:v>12186.0194309622</x:v>
      </x:c>
      <x:c r="J31" s="31" t="n">
        <x:v>12186.0194309622</x:v>
      </x:c>
      <x:c r="K31" s="31" t="n">
        <x:v>0</x:v>
      </x:c>
      <x:c r="L31" s="31" t="n">
        <x:v>12186.0194309622</x:v>
      </x:c>
      <x:c r="M31" s="31" t="n">
        <x:v>0</x:v>
      </x:c>
      <x:c r="N31" s="24" t="str">
        <x:v>sardinops sagax</x:v>
      </x:c>
      <x:c r="O31" s="32" t="n">
        <x:v>2.84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Sardinops sagax</x:v>
      </x:c>
      <x:c r="T31" s="32" t="n">
        <x:f>IF(O31="","",(1/'Metadata'!$B$5)^(O31-1))</x:f>
        <x:v>69.18309709189363</x:v>
      </x:c>
      <x:c r="U31" s="31" t="n">
        <x:f>IF(T31="","",I31*T31)</x:f>
        <x:v>843066.5654559602</x:v>
      </x:c>
    </x:row>
    <x:row r="32" ht="18" customHeight="1">
      <x:c r="A32" s="24" t="str">
        <x:v>EEZ_410</x:v>
      </x:c>
      <x:c r="B32" s="24" t="str">
        <x:v>Korea (South)</x:v>
      </x:c>
      <x:c r="C32" s="24" t="str">
        <x:v>EEZ</x:v>
      </x:c>
      <x:c r="D32" s="30" t="n">
        <x:v>2019</x:v>
      </x:c>
      <x:c r="E32" s="24" t="str">
        <x:v>Monacanthidae</x:v>
      </x:c>
      <x:c r="F32" s="24" t="str">
        <x:v>Filefishes</x:v>
      </x:c>
      <x:c r="G32" s="24" t="str">
        <x:v>Medium reef assoc. fish (30 - 89 cm)</x:v>
      </x:c>
      <x:c r="H32" s="24" t="str">
        <x:v>Other fishes &amp; inverts</x:v>
      </x:c>
      <x:c r="I32" s="31" t="n">
        <x:v>8960.088417975801</x:v>
      </x:c>
      <x:c r="J32" s="31" t="n">
        <x:v>8960.088417975801</x:v>
      </x:c>
      <x:c r="K32" s="31" t="n">
        <x:v>0</x:v>
      </x:c>
      <x:c r="L32" s="31" t="n">
        <x:v>8960.088417975801</x:v>
      </x:c>
      <x:c r="M32" s="31" t="n">
        <x:v>0</x:v>
      </x:c>
      <x:c r="N32" s="24" t="str">
        <x:v>monacanthidae</x:v>
      </x:c>
      <x:c r="O32" s="32" t="n">
        <x:v>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Monacanthidae</x:v>
      </x:c>
      <x:c r="T32" s="32" t="n">
        <x:f>IF(O32="","",(1/'Metadata'!$B$5)^(O32-1))</x:f>
        <x:v>100</x:v>
      </x:c>
      <x:c r="U32" s="31" t="n">
        <x:f>IF(T32="","",I32*T32)</x:f>
        <x:v>896008.8417975801</x:v>
      </x:c>
    </x:row>
    <x:row r="33" ht="18" customHeight="1">
      <x:c r="A33" s="24" t="str">
        <x:v>EEZ_410</x:v>
      </x:c>
      <x:c r="B33" s="24" t="str">
        <x:v>Korea (South)</x:v>
      </x:c>
      <x:c r="C33" s="24" t="str">
        <x:v>EEZ</x:v>
      </x:c>
      <x:c r="D33" s="30" t="n">
        <x:v>2019</x:v>
      </x:c>
      <x:c r="E33" s="24" t="str">
        <x:v>Sepiidae</x:v>
      </x:c>
      <x:c r="F33" s="24" t="str">
        <x:v>Cuttlefishes</x:v>
      </x:c>
      <x:c r="G33" s="24" t="str">
        <x:v>Cephalopods</x:v>
      </x:c>
      <x:c r="H33" s="24" t="str">
        <x:v>Other fishes &amp; inverts</x:v>
      </x:c>
      <x:c r="I33" s="31" t="n">
        <x:v>8802.356017315</x:v>
      </x:c>
      <x:c r="J33" s="31" t="n">
        <x:v>8802.356017315</x:v>
      </x:c>
      <x:c r="K33" s="31" t="n">
        <x:v>0</x:v>
      </x:c>
      <x:c r="L33" s="31" t="n">
        <x:v>8762.0000000001</x:v>
      </x:c>
      <x:c r="M33" s="31" t="n">
        <x:v>40.3560173149</x:v>
      </x:c>
      <x:c r="N33" s="24" t="str">
        <x:v>sepiidae</x:v>
      </x:c>
      <x:c r="O33" s="32" t="n">
        <x:v>3.6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Sepiidae</x:v>
      </x:c>
      <x:c r="T33" s="32" t="n">
        <x:f>IF(O33="","",(1/'Metadata'!$B$5)^(O33-1))</x:f>
        <x:v>398.1071705534973</x:v>
      </x:c>
      <x:c r="U33" s="31" t="n">
        <x:f>IF(T33="","",I33*T33)</x:f>
        <x:v>3504281.0482578264</x:v>
      </x:c>
    </x:row>
    <x:row r="34" ht="18" customHeight="1">
      <x:c r="A34" s="24" t="str">
        <x:v>EEZ_410</x:v>
      </x:c>
      <x:c r="B34" s="24" t="str">
        <x:v>Korea (South)</x:v>
      </x:c>
      <x:c r="C34" s="24" t="str">
        <x:v>EEZ</x:v>
      </x:c>
      <x:c r="D34" s="30" t="n">
        <x:v>2019</x:v>
      </x:c>
      <x:c r="E34" s="24" t="str">
        <x:v>Sparidae</x:v>
      </x:c>
      <x:c r="F34" s="24" t="str">
        <x:v>Porgies, seabreams</x:v>
      </x:c>
      <x:c r="G34" s="24" t="str">
        <x:v>Medium benthopelagics (30 - 89 cm)</x:v>
      </x:c>
      <x:c r="H34" s="24" t="str">
        <x:v>Perch-likes</x:v>
      </x:c>
      <x:c r="I34" s="31" t="n">
        <x:v>8737.682904854699</x:v>
      </x:c>
      <x:c r="J34" s="31" t="n">
        <x:v>8737.682904854699</x:v>
      </x:c>
      <x:c r="K34" s="31" t="n">
        <x:v>0</x:v>
      </x:c>
      <x:c r="L34" s="31" t="n">
        <x:v>8642.3129355559</x:v>
      </x:c>
      <x:c r="M34" s="31" t="n">
        <x:v>95.3699692988</x:v>
      </x:c>
      <x:c r="N34" s="24" t="str">
        <x:v>sparidae</x:v>
      </x:c>
      <x:c r="O34" s="32" t="n">
        <x:v>3.31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Sparidae</x:v>
      </x:c>
      <x:c r="T34" s="32" t="n">
        <x:f>IF(O34="","",(1/'Metadata'!$B$5)^(O34-1))</x:f>
        <x:v>204.17379446695296</x:v>
      </x:c>
      <x:c r="U34" s="31" t="n">
        <x:f>IF(T34="","",I34*T34)</x:f>
        <x:v>1784005.8735332116</x:v>
      </x:c>
    </x:row>
    <x:row r="35" ht="18" customHeight="1">
      <x:c r="A35" s="24" t="str">
        <x:v>EEZ_410</x:v>
      </x:c>
      <x:c r="B35" s="24" t="str">
        <x:v>Korea (South)</x:v>
      </x:c>
      <x:c r="C35" s="24" t="str">
        <x:v>EEZ</x:v>
      </x:c>
      <x:c r="D35" s="30" t="n">
        <x:v>2019</x:v>
      </x:c>
      <x:c r="E35" s="24" t="str">
        <x:v>Stromateidae</x:v>
      </x:c>
      <x:c r="F35" s="24" t="str">
        <x:v>Butterfishes</x:v>
      </x:c>
      <x:c r="G35" s="24" t="str">
        <x:v>Small benthopelagics (&lt;30 cm)</x:v>
      </x:c>
      <x:c r="H35" s="24" t="str">
        <x:v>Perch-likes</x:v>
      </x:c>
      <x:c r="I35" s="31" t="n">
        <x:v>8678.0000000002</x:v>
      </x:c>
      <x:c r="J35" s="31" t="n">
        <x:v>8678.0000000002</x:v>
      </x:c>
      <x:c r="K35" s="31" t="n">
        <x:v>0</x:v>
      </x:c>
      <x:c r="L35" s="31" t="n">
        <x:v>8678.0000000002</x:v>
      </x:c>
      <x:c r="M35" s="31" t="n">
        <x:v>0</x:v>
      </x:c>
      <x:c r="N35" s="24" t="str">
        <x:v>stromateidae</x:v>
      </x:c>
      <x:c r="O35" s="32" t="n">
        <x:v>3.62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Stromateidae</x:v>
      </x:c>
      <x:c r="T35" s="32" t="n">
        <x:f>IF(O35="","",(1/'Metadata'!$B$5)^(O35-1))</x:f>
        <x:v>416.8693834703355</x:v>
      </x:c>
      <x:c r="U35" s="31" t="n">
        <x:f>IF(T35="","",I35*T35)</x:f>
        <x:v>3617592.5097556547</x:v>
      </x:c>
    </x:row>
    <x:row r="36" ht="18" customHeight="1">
      <x:c r="A36" s="24" t="str">
        <x:v>EEZ_410</x:v>
      </x:c>
      <x:c r="B36" s="24" t="str">
        <x:v>Korea (South)</x:v>
      </x:c>
      <x:c r="C36" s="24" t="str">
        <x:v>EEZ</x:v>
      </x:c>
      <x:c r="D36" s="30" t="n">
        <x:v>2019</x:v>
      </x:c>
      <x:c r="E36" s="24" t="str">
        <x:v>Gadus macrocephalus</x:v>
      </x:c>
      <x:c r="F36" s="24" t="str">
        <x:v>Pacific cod</x:v>
      </x:c>
      <x:c r="G36" s="24" t="str">
        <x:v>Large demersals (&gt;=90 cm)</x:v>
      </x:c>
      <x:c r="H36" s="24" t="str">
        <x:v>Cod-likes</x:v>
      </x:c>
      <x:c r="I36" s="31" t="n">
        <x:v>8657.7595278937</x:v>
      </x:c>
      <x:c r="J36" s="31" t="n">
        <x:v>8657.7595278937</x:v>
      </x:c>
      <x:c r="K36" s="31" t="n">
        <x:v>0</x:v>
      </x:c>
      <x:c r="L36" s="31" t="n">
        <x:v>8621.9306594153</x:v>
      </x:c>
      <x:c r="M36" s="31" t="n">
        <x:v>35.8288684784</x:v>
      </x:c>
      <x:c r="N36" s="24" t="str">
        <x:v>gadus macrocephalus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Gadus macrocephalus</x:v>
      </x:c>
      <x:c r="T36" s="32" t="n">
        <x:f>IF(O36="","",(1/'Metadata'!$B$5)^(O36-1))</x:f>
        <x:v>1445.439770745928</x:v>
      </x:c>
      <x:c r="U36" s="31" t="n">
        <x:f>IF(T36="","",I36*T36)</x:f>
        <x:v>12514269.947172044</x:v>
      </x:c>
    </x:row>
    <x:row r="37" ht="18" customHeight="1">
      <x:c r="A37" s="24" t="str">
        <x:v>EEZ_410</x:v>
      </x:c>
      <x:c r="B37" s="24" t="str">
        <x:v>Korea (South)</x:v>
      </x:c>
      <x:c r="C37" s="24" t="str">
        <x:v>EEZ</x:v>
      </x:c>
      <x:c r="D37" s="30" t="n">
        <x:v>2019</x:v>
      </x:c>
      <x:c r="E37" s="24" t="str">
        <x:v>Kyphosidae</x:v>
      </x:c>
      <x:c r="F37" s="24" t="str">
        <x:v>Sea chubs, knifefishes, niblers</x:v>
      </x:c>
      <x:c r="G37" s="24" t="str">
        <x:v>Medium reef assoc. fish (30 - 89 cm)</x:v>
      </x:c>
      <x:c r="H37" s="24" t="str">
        <x:v>Perch-likes</x:v>
      </x:c>
      <x:c r="I37" s="31" t="n">
        <x:v>8600.8180602625</x:v>
      </x:c>
      <x:c r="J37" s="31" t="n">
        <x:v>8600.8180602625</x:v>
      </x:c>
      <x:c r="K37" s="31" t="n">
        <x:v>0</x:v>
      </x:c>
      <x:c r="L37" s="31" t="n">
        <x:v>0</x:v>
      </x:c>
      <x:c r="M37" s="31" t="n">
        <x:v>8600.8180602625</x:v>
      </x:c>
      <x:c r="N37" s="24" t="str">
        <x:v>kyphosidae</x:v>
      </x:c>
      <x:c r="O37" s="32" t="n">
        <x:v>2.19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Kyphosidae</x:v>
      </x:c>
      <x:c r="T37" s="32" t="n">
        <x:f>IF(O37="","",(1/'Metadata'!$B$5)^(O37-1))</x:f>
        <x:v>15.488166189124811</x:v>
      </x:c>
      <x:c r="U37" s="31" t="n">
        <x:f>IF(T37="","",I37*T37)</x:f>
        <x:v>133210.8994797717</x:v>
      </x:c>
    </x:row>
    <x:row r="38" ht="18" customHeight="1">
      <x:c r="A38" s="24" t="str">
        <x:v>EEZ_410</x:v>
      </x:c>
      <x:c r="B38" s="24" t="str">
        <x:v>Korea (South)</x:v>
      </x:c>
      <x:c r="C38" s="24" t="str">
        <x:v>EEZ</x:v>
      </x:c>
      <x:c r="D38" s="30" t="n">
        <x:v>2019</x:v>
      </x:c>
      <x:c r="E38" s="24" t="str">
        <x:v>Oplegnathus fasciatus</x:v>
      </x:c>
      <x:c r="F38" s="24" t="str">
        <x:v>Barred knifejaw</x:v>
      </x:c>
      <x:c r="G38" s="24" t="str">
        <x:v>Medium reef assoc. fish (30 - 89 cm)</x:v>
      </x:c>
      <x:c r="H38" s="24" t="str">
        <x:v>Perch-likes</x:v>
      </x:c>
      <x:c r="I38" s="31" t="n">
        <x:v>8600.8180602625</x:v>
      </x:c>
      <x:c r="J38" s="31" t="n">
        <x:v>8600.8180602625</x:v>
      </x:c>
      <x:c r="K38" s="31" t="n">
        <x:v>0</x:v>
      </x:c>
      <x:c r="L38" s="31" t="n">
        <x:v>0</x:v>
      </x:c>
      <x:c r="M38" s="31" t="n">
        <x:v>8600.8180602625</x:v>
      </x:c>
      <x:c r="N38" s="24" t="str">
        <x:v>oplegnathus fasciatus</x:v>
      </x:c>
      <x:c r="O38" s="32" t="n">
        <x:v>3.55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Oplegnathus fasciatus</x:v>
      </x:c>
      <x:c r="T38" s="32" t="n">
        <x:f>IF(O38="","",(1/'Metadata'!$B$5)^(O38-1))</x:f>
        <x:v>354.8133892335753</x:v>
      </x:c>
      <x:c r="U38" s="31" t="n">
        <x:f>IF(T38="","",I38*T38)</x:f>
        <x:v>3051685.406143083</x:v>
      </x:c>
    </x:row>
    <x:row r="39" ht="18" customHeight="1">
      <x:c r="A39" s="24" t="str">
        <x:v>EEZ_410</x:v>
      </x:c>
      <x:c r="B39" s="24" t="str">
        <x:v>Korea (South)</x:v>
      </x:c>
      <x:c r="C39" s="24" t="str">
        <x:v>EEZ</x:v>
      </x:c>
      <x:c r="D39" s="30" t="n">
        <x:v>2019</x:v>
      </x:c>
      <x:c r="E39" s="24" t="str">
        <x:v>Pagrus major</x:v>
      </x:c>
      <x:c r="F39" s="24" t="str">
        <x:v>Japanese seabream</x:v>
      </x:c>
      <x:c r="G39" s="24" t="str">
        <x:v>Large demersals (&gt;=90 cm)</x:v>
      </x:c>
      <x:c r="H39" s="24" t="str">
        <x:v>Perch-likes</x:v>
      </x:c>
      <x:c r="I39" s="31" t="n">
        <x:v>8600.8180602625</x:v>
      </x:c>
      <x:c r="J39" s="31" t="n">
        <x:v>8600.8180602625</x:v>
      </x:c>
      <x:c r="K39" s="31" t="n">
        <x:v>0</x:v>
      </x:c>
      <x:c r="L39" s="31" t="n">
        <x:v>0</x:v>
      </x:c>
      <x:c r="M39" s="31" t="n">
        <x:v>8600.8180602625</x:v>
      </x:c>
      <x:c r="N39" s="24" t="str">
        <x:v>pagrus major</x:v>
      </x:c>
      <x:c r="O39" s="32" t="n">
        <x:v>3.7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Pagrus major</x:v>
      </x:c>
      <x:c r="T39" s="32" t="n">
        <x:f>IF(O39="","",(1/'Metadata'!$B$5)^(O39-1))</x:f>
        <x:v>501.18723362727246</x:v>
      </x:c>
      <x:c r="U39" s="31" t="n">
        <x:f>IF(T39="","",I39*T39)</x:f>
        <x:v>4310620.210554446</x:v>
      </x:c>
    </x:row>
    <x:row r="40" ht="18" customHeight="1">
      <x:c r="A40" s="24" t="str">
        <x:v>EEZ_410</x:v>
      </x:c>
      <x:c r="B40" s="24" t="str">
        <x:v>Korea (South)</x:v>
      </x:c>
      <x:c r="C40" s="24" t="str">
        <x:v>EEZ</x:v>
      </x:c>
      <x:c r="D40" s="30" t="n">
        <x:v>2019</x:v>
      </x:c>
      <x:c r="E40" s="24" t="str">
        <x:v>Acanthopagrus schlegelii</x:v>
      </x:c>
      <x:c r="F40" s="24" t="str">
        <x:v>Blackhead seabream</x:v>
      </x:c>
      <x:c r="G40" s="24" t="str">
        <x:v>Medium demersals (30 - 89 cm)</x:v>
      </x:c>
      <x:c r="H40" s="24" t="str">
        <x:v>Perch-likes</x:v>
      </x:c>
      <x:c r="I40" s="31" t="n">
        <x:v>8600.8180602625</x:v>
      </x:c>
      <x:c r="J40" s="31" t="n">
        <x:v>8600.8180602625</x:v>
      </x:c>
      <x:c r="K40" s="31" t="n">
        <x:v>0</x:v>
      </x:c>
      <x:c r="L40" s="31" t="n">
        <x:v>0</x:v>
      </x:c>
      <x:c r="M40" s="31" t="n">
        <x:v>8600.8180602625</x:v>
      </x:c>
      <x:c r="N40" s="24" t="str">
        <x:v>acanthopagrus schlegelii</x:v>
      </x:c>
      <x:c r="O40" s="32" t="n">
        <x:v>3.24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Acanthopagrus schlegelii</x:v>
      </x:c>
      <x:c r="T40" s="32" t="n">
        <x:f>IF(O40="","",(1/'Metadata'!$B$5)^(O40-1))</x:f>
        <x:v>173.78008287493762</x:v>
      </x:c>
      <x:c r="U40" s="31" t="n">
        <x:f>IF(T40="","",I40*T40)</x:f>
        <x:v>1494650.8753046775</x:v>
      </x:c>
    </x:row>
    <x:row r="41" ht="18" customHeight="1">
      <x:c r="A41" s="24" t="str">
        <x:v>EEZ_410</x:v>
      </x:c>
      <x:c r="B41" s="24" t="str">
        <x:v>Korea (South)</x:v>
      </x:c>
      <x:c r="C41" s="24" t="str">
        <x:v>EEZ</x:v>
      </x:c>
      <x:c r="D41" s="30" t="n">
        <x:v>2019</x:v>
      </x:c>
      <x:c r="E41" s="24" t="str">
        <x:v>Mugil cephalus</x:v>
      </x:c>
      <x:c r="F41" s="24" t="str">
        <x:v>Flathead grey mullet</x:v>
      </x:c>
      <x:c r="G41" s="24" t="str">
        <x:v>Large benthopelagics (&gt;=90 cm)</x:v>
      </x:c>
      <x:c r="H41" s="24" t="str">
        <x:v>Perch-likes</x:v>
      </x:c>
      <x:c r="I41" s="31" t="n">
        <x:v>8546.725824470699</x:v>
      </x:c>
      <x:c r="J41" s="31" t="n">
        <x:v>8546.725824470699</x:v>
      </x:c>
      <x:c r="K41" s="31" t="n">
        <x:v>0</x:v>
      </x:c>
      <x:c r="L41" s="31" t="n">
        <x:v>8546.725824470699</x:v>
      </x:c>
      <x:c r="M41" s="31" t="n">
        <x:v>0</x:v>
      </x:c>
      <x:c r="N41" s="24" t="str">
        <x:v>mugil cephalus</x:v>
      </x:c>
      <x:c r="O41" s="32" t="n">
        <x:v>2.14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Mugil cephalus</x:v>
      </x:c>
      <x:c r="T41" s="32" t="n">
        <x:f>IF(O41="","",(1/'Metadata'!$B$5)^(O41-1))</x:f>
        <x:v>13.803842646028853</x:v>
      </x:c>
      <x:c r="U41" s="31" t="n">
        <x:f>IF(T41="","",I41*T41)</x:f>
        <x:v>117977.65841974475</x:v>
      </x:c>
    </x:row>
    <x:row r="42" ht="18" customHeight="1">
      <x:c r="A42" s="24" t="str">
        <x:v>EEZ_410</x:v>
      </x:c>
      <x:c r="B42" s="24" t="str">
        <x:v>Korea (South)</x:v>
      </x:c>
      <x:c r="C42" s="24" t="str">
        <x:v>EEZ</x:v>
      </x:c>
      <x:c r="D42" s="30" t="n">
        <x:v>2019</x:v>
      </x:c>
      <x:c r="E42" s="24" t="str">
        <x:v>Mollusca</x:v>
      </x:c>
      <x:c r="F42" s="24" t="str">
        <x:v>Clams, seasnails, squids, octopuses</x:v>
      </x:c>
      <x:c r="G42" s="24" t="str">
        <x:v>Other demersal invertebrates</x:v>
      </x:c>
      <x:c r="H42" s="24" t="str">
        <x:v>Molluscs</x:v>
      </x:c>
      <x:c r="I42" s="31" t="n">
        <x:v>8378.5312494172</x:v>
      </x:c>
      <x:c r="J42" s="31" t="n">
        <x:v>457.0774528394</x:v>
      </x:c>
      <x:c r="K42" s="31" t="n">
        <x:v>7921.4537965778</x:v>
      </x:c>
      <x:c r="L42" s="31" t="n">
        <x:v>443.00000000020003</x:v>
      </x:c>
      <x:c r="M42" s="31" t="n">
        <x:v>7935.531249417</x:v>
      </x:c>
      <x:c r="N42" s="24" t="str">
        <x:v>mollusca</x:v>
      </x:c>
      <x:c r="O42" s="32" t="n">
        <x:v>2.1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Mollusca</x:v>
      </x:c>
      <x:c r="T42" s="32" t="n">
        <x:f>IF(O42="","",(1/'Metadata'!$B$5)^(O42-1))</x:f>
        <x:v>12.589254117941675</x:v>
      </x:c>
      <x:c r="U42" s="31" t="n">
        <x:f>IF(T42="","",I42*T42)</x:f>
        <x:v>105479.45903402848</x:v>
      </x:c>
    </x:row>
    <x:row r="43" ht="18" customHeight="1">
      <x:c r="A43" s="24" t="str">
        <x:v>EEZ_410</x:v>
      </x:c>
      <x:c r="B43" s="24" t="str">
        <x:v>Korea (South)</x:v>
      </x:c>
      <x:c r="C43" s="24" t="str">
        <x:v>EEZ</x:v>
      </x:c>
      <x:c r="D43" s="30" t="n">
        <x:v>2019</x:v>
      </x:c>
      <x:c r="E43" s="24" t="str">
        <x:v>Teuthida</x:v>
      </x:c>
      <x:c r="F43" s="24" t="str">
        <x:v>Squids</x:v>
      </x:c>
      <x:c r="G43" s="24" t="str">
        <x:v>Cephalopods</x:v>
      </x:c>
      <x:c r="H43" s="24" t="str">
        <x:v>Other fishes &amp; inverts</x:v>
      </x:c>
      <x:c r="I43" s="31" t="n">
        <x:v>7811.313796051701</x:v>
      </x:c>
      <x:c r="J43" s="31" t="n">
        <x:v>7811.313796051701</x:v>
      </x:c>
      <x:c r="K43" s="31" t="n">
        <x:v>0</x:v>
      </x:c>
      <x:c r="L43" s="31" t="n">
        <x:v>7811.313796051701</x:v>
      </x:c>
      <x:c r="M43" s="31" t="n">
        <x:v>0</x:v>
      </x:c>
      <x:c r="N43" s="24" t="str">
        <x:v>teuthida</x:v>
      </x:c>
      <x:c r="O43" s="32" t="n">
        <x:v>4.13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Teuthida</x:v>
      </x:c>
      <x:c r="T43" s="32" t="n">
        <x:f>IF(O43="","",(1/'Metadata'!$B$5)^(O43-1))</x:f>
        <x:v>1348.9628825916532</x:v>
      </x:c>
      <x:c r="U43" s="31" t="n">
        <x:f>IF(T43="","",I43*T43)</x:f>
        <x:v>10537172.375149852</x:v>
      </x:c>
    </x:row>
    <x:row r="44" ht="18" customHeight="1">
      <x:c r="A44" s="24" t="str">
        <x:v>EEZ_410</x:v>
      </x:c>
      <x:c r="B44" s="24" t="str">
        <x:v>Korea (South)</x:v>
      </x:c>
      <x:c r="C44" s="24" t="str">
        <x:v>EEZ</x:v>
      </x:c>
      <x:c r="D44" s="30" t="n">
        <x:v>2019</x:v>
      </x:c>
      <x:c r="E44" s="24" t="str">
        <x:v>Epinephelus</x:v>
      </x:c>
      <x:c r="F44" s="24" t="str">
        <x:v>Seabasses, hinds</x:v>
      </x:c>
      <x:c r="G44" s="24" t="str">
        <x:v>Medium reef assoc. fish (30 - 89 cm)</x:v>
      </x:c>
      <x:c r="H44" s="24" t="str">
        <x:v>Perch-likes</x:v>
      </x:c>
      <x:c r="I44" s="31" t="n">
        <x:v>7702.5820034899</x:v>
      </x:c>
      <x:c r="J44" s="31" t="n">
        <x:v>7702.5820034899</x:v>
      </x:c>
      <x:c r="K44" s="31" t="n">
        <x:v>0</x:v>
      </x:c>
      <x:c r="L44" s="31" t="n">
        <x:v>7702.5820034899</x:v>
      </x:c>
      <x:c r="M44" s="31" t="n">
        <x:v>0</x:v>
      </x:c>
      <x:c r="N44" s="24" t="str">
        <x:v>epinephelus</x:v>
      </x:c>
      <x:c r="O44" s="32" t="n">
        <x:v>3.84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Epinephelus</x:v>
      </x:c>
      <x:c r="T44" s="32" t="n">
        <x:f>IF(O44="","",(1/'Metadata'!$B$5)^(O44-1))</x:f>
        <x:v>691.8309709189363</x:v>
      </x:c>
      <x:c r="U44" s="31" t="n">
        <x:f>IF(T44="","",I44*T44)</x:f>
        <x:v>5328884.786057143</x:v>
      </x:c>
    </x:row>
    <x:row r="45" ht="18" customHeight="1">
      <x:c r="A45" s="24" t="str">
        <x:v>EEZ_410</x:v>
      </x:c>
      <x:c r="B45" s="24" t="str">
        <x:v>Korea (South)</x:v>
      </x:c>
      <x:c r="C45" s="24" t="str">
        <x:v>EEZ</x:v>
      </x:c>
      <x:c r="D45" s="30" t="n">
        <x:v>2019</x:v>
      </x:c>
      <x:c r="E45" s="24" t="str">
        <x:v>Mytilidae</x:v>
      </x:c>
      <x:c r="F45" s="24" t="str">
        <x:v>Sea mussels</x:v>
      </x:c>
      <x:c r="G45" s="24" t="str">
        <x:v>Other demersal invertebrates</x:v>
      </x:c>
      <x:c r="H45" s="24" t="str">
        <x:v>Molluscs</x:v>
      </x:c>
      <x:c r="I45" s="31" t="n">
        <x:v>7295.9999999999</x:v>
      </x:c>
      <x:c r="J45" s="31" t="n">
        <x:v>7295.9999999999</x:v>
      </x:c>
      <x:c r="K45" s="31" t="n">
        <x:v>0</x:v>
      </x:c>
      <x:c r="L45" s="31" t="n">
        <x:v>7295.9999999999</x:v>
      </x:c>
      <x:c r="M45" s="31" t="n">
        <x:v>0</x:v>
      </x:c>
      <x:c r="N45" s="24" t="str">
        <x:v>mytilidae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Mytilidae</x:v>
      </x:c>
      <x:c r="T45" s="32" t="n">
        <x:f>IF(O45="","",(1/'Metadata'!$B$5)^(O45-1))</x:f>
        <x:v>10</x:v>
      </x:c>
      <x:c r="U45" s="31" t="n">
        <x:f>IF(T45="","",I45*T45)</x:f>
        <x:v>72959.999999999</x:v>
      </x:c>
    </x:row>
    <x:row r="46" ht="18" customHeight="1">
      <x:c r="A46" s="24" t="str">
        <x:v>EEZ_410</x:v>
      </x:c>
      <x:c r="B46" s="24" t="str">
        <x:v>Korea (South)</x:v>
      </x:c>
      <x:c r="C46" s="24" t="str">
        <x:v>EEZ</x:v>
      </x:c>
      <x:c r="D46" s="30" t="n">
        <x:v>2019</x:v>
      </x:c>
      <x:c r="E46" s="24" t="str">
        <x:v>Scomberomorus</x:v>
      </x:c>
      <x:c r="F46" s="24" t="str">
        <x:v>Spanish mackerels</x:v>
      </x:c>
      <x:c r="G46" s="24" t="str">
        <x:v>Large pelagics (&gt;=90 cm)</x:v>
      </x:c>
      <x:c r="H46" s="24" t="str">
        <x:v>Perch-likes</x:v>
      </x:c>
      <x:c r="I46" s="31" t="n">
        <x:v>6647.4391249153</x:v>
      </x:c>
      <x:c r="J46" s="31" t="n">
        <x:v>6647.4391249153</x:v>
      </x:c>
      <x:c r="K46" s="31" t="n">
        <x:v>0</x:v>
      </x:c>
      <x:c r="L46" s="31" t="n">
        <x:v>6647.4391249153</x:v>
      </x:c>
      <x:c r="M46" s="31" t="n">
        <x:v>0</x:v>
      </x:c>
      <x:c r="N46" s="24" t="str">
        <x:v>scomberomorus</x:v>
      </x:c>
      <x:c r="O46" s="32" t="n">
        <x:v>4.35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Scomberomorus</x:v>
      </x:c>
      <x:c r="T46" s="32" t="n">
        <x:f>IF(O46="","",(1/'Metadata'!$B$5)^(O46-1))</x:f>
        <x:v>2238.7211385683377</x:v>
      </x:c>
      <x:c r="U46" s="31" t="n">
        <x:f>IF(T46="","",I46*T46)</x:f>
        <x:v>14881762.486294096</x:v>
      </x:c>
    </x:row>
    <x:row r="47" ht="18" customHeight="1">
      <x:c r="A47" s="24" t="str">
        <x:v>EEZ_410</x:v>
      </x:c>
      <x:c r="B47" s="24" t="str">
        <x:v>Korea (South)</x:v>
      </x:c>
      <x:c r="C47" s="24" t="str">
        <x:v>EEZ</x:v>
      </x:c>
      <x:c r="D47" s="30" t="n">
        <x:v>2019</x:v>
      </x:c>
      <x:c r="E47" s="24" t="str">
        <x:v>Paralichthyidae</x:v>
      </x:c>
      <x:c r="F47" s="24" t="str">
        <x:v>Largetooth flounders</x:v>
      </x:c>
      <x:c r="G47" s="24" t="str">
        <x:v>Small to medium flatfishes (&lt;90 cm)</x:v>
      </x:c>
      <x:c r="H47" s="24" t="str">
        <x:v>Flatfishes</x:v>
      </x:c>
      <x:c r="I47" s="31" t="n">
        <x:v>5849.819454871</x:v>
      </x:c>
      <x:c r="J47" s="31" t="n">
        <x:v>4813.6712105827</x:v>
      </x:c>
      <x:c r="K47" s="31" t="n">
        <x:v>1036.1482442883</x:v>
      </x:c>
      <x:c r="L47" s="31" t="n">
        <x:v>0</x:v>
      </x:c>
      <x:c r="M47" s="31" t="n">
        <x:v>5849.819454871</x:v>
      </x:c>
      <x:c r="N47" s="24" t="str">
        <x:v>paralichthyidae</x:v>
      </x:c>
      <x:c r="O47" s="32" t="n">
        <x:v>4.06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Paralichthyidae</x:v>
      </x:c>
      <x:c r="T47" s="32" t="n">
        <x:f>IF(O47="","",(1/'Metadata'!$B$5)^(O47-1))</x:f>
        <x:v>1148.1536214968817</x:v>
      </x:c>
      <x:c r="U47" s="31" t="n">
        <x:f>IF(T47="","",I47*T47)</x:f>
        <x:v>6716491.392213052</x:v>
      </x:c>
    </x:row>
    <x:row r="48" ht="18" customHeight="1">
      <x:c r="A48" s="24" t="str">
        <x:v>EEZ_410</x:v>
      </x:c>
      <x:c r="B48" s="24" t="str">
        <x:v>Korea (South)</x:v>
      </x:c>
      <x:c r="C48" s="24" t="str">
        <x:v>EEZ</x:v>
      </x:c>
      <x:c r="D48" s="30" t="n">
        <x:v>2019</x:v>
      </x:c>
      <x:c r="E48" s="24" t="str">
        <x:v>Thunnus albacares</x:v>
      </x:c>
      <x:c r="F48" s="24" t="str">
        <x:v>Yellowfin tuna</x:v>
      </x:c>
      <x:c r="G48" s="24" t="str">
        <x:v>Large pelagics (&gt;=90 cm)</x:v>
      </x:c>
      <x:c r="H48" s="24" t="str">
        <x:v>Tuna &amp; billfishes</x:v>
      </x:c>
      <x:c r="I48" s="31" t="n">
        <x:v>5684.443243718</x:v>
      </x:c>
      <x:c r="J48" s="31" t="n">
        <x:v>5677.912719001901</x:v>
      </x:c>
      <x:c r="K48" s="31" t="n">
        <x:v>6.5305247160999995</x:v>
      </x:c>
      <x:c r="L48" s="31" t="n">
        <x:v>5677.912719001901</x:v>
      </x:c>
      <x:c r="M48" s="31" t="n">
        <x:v>6.5305247160999995</x:v>
      </x:c>
      <x:c r="N48" s="24" t="str">
        <x:v>thunnus albacares</x:v>
      </x:c>
      <x:c r="O48" s="32" t="n">
        <x:v>4.41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albacares</x:v>
      </x:c>
      <x:c r="T48" s="32" t="n">
        <x:f>IF(O48="","",(1/'Metadata'!$B$5)^(O48-1))</x:f>
        <x:v>2570.3957827688646</x:v>
      </x:c>
      <x:c r="U48" s="31" t="n">
        <x:f>IF(T48="","",I48*T48)</x:f>
        <x:v>14611268.941041714</x:v>
      </x:c>
    </x:row>
    <x:row r="49" ht="18" customHeight="1">
      <x:c r="A49" s="24" t="str">
        <x:v>EEZ_410</x:v>
      </x:c>
      <x:c r="B49" s="24" t="str">
        <x:v>Korea (South)</x:v>
      </x:c>
      <x:c r="C49" s="24" t="str">
        <x:v>EEZ</x:v>
      </x:c>
      <x:c r="D49" s="30" t="n">
        <x:v>2019</x:v>
      </x:c>
      <x:c r="E49" s="24" t="str">
        <x:v>Pleuronectidae</x:v>
      </x:c>
      <x:c r="F49" s="24" t="str">
        <x:v>Righteye flounders</x:v>
      </x:c>
      <x:c r="G49" s="24" t="str">
        <x:v>Small to medium flatfishes (&lt;90 cm)</x:v>
      </x:c>
      <x:c r="H49" s="24" t="str">
        <x:v>Flatfishes</x:v>
      </x:c>
      <x:c r="I49" s="31" t="n">
        <x:v>5633.4746379523995</x:v>
      </x:c>
      <x:c r="J49" s="31" t="n">
        <x:v>3190.1220266073997</x:v>
      </x:c>
      <x:c r="K49" s="31" t="n">
        <x:v>2443.352611345</x:v>
      </x:c>
      <x:c r="L49" s="31" t="n">
        <x:v>0</x:v>
      </x:c>
      <x:c r="M49" s="31" t="n">
        <x:v>5633.4746379523995</x:v>
      </x:c>
      <x:c r="N49" s="24" t="str">
        <x:v>pleuronectidae</x:v>
      </x:c>
      <x:c r="O49" s="32" t="n">
        <x:v>3.49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Pleuronectidae</x:v>
      </x:c>
      <x:c r="T49" s="32" t="n">
        <x:f>IF(O49="","",(1/'Metadata'!$B$5)^(O49-1))</x:f>
        <x:v>309.0295432513592</x:v>
      </x:c>
      <x:c r="U49" s="31" t="n">
        <x:f>IF(T49="","",I49*T49)</x:f>
        <x:v>1740910.094284546</x:v>
      </x:c>
    </x:row>
    <x:row r="50" ht="18" customHeight="1">
      <x:c r="A50" s="24" t="str">
        <x:v>EEZ_410</x:v>
      </x:c>
      <x:c r="B50" s="24" t="str">
        <x:v>Korea (South)</x:v>
      </x:c>
      <x:c r="C50" s="24" t="str">
        <x:v>EEZ</x:v>
      </x:c>
      <x:c r="D50" s="30" t="n">
        <x:v>2019</x:v>
      </x:c>
      <x:c r="E50" s="24" t="str">
        <x:v>Decapoda</x:v>
      </x:c>
      <x:c r="F50" s="24" t="str">
        <x:v>Crabs, lobsters, shrimps</x:v>
      </x:c>
      <x:c r="G50" s="24" t="str">
        <x:v>Lobsters, crabs</x:v>
      </x:c>
      <x:c r="H50" s="24" t="str">
        <x:v>Crustaceans</x:v>
      </x:c>
      <x:c r="I50" s="31" t="n">
        <x:v>5469.8477460188</x:v>
      </x:c>
      <x:c r="J50" s="31" t="n">
        <x:v>5469.8477460188</x:v>
      </x:c>
      <x:c r="K50" s="31" t="n">
        <x:v>0</x:v>
      </x:c>
      <x:c r="L50" s="31" t="n">
        <x:v>5469.8477460188</x:v>
      </x:c>
      <x:c r="M50" s="31" t="n">
        <x:v>0</x:v>
      </x:c>
      <x:c r="N50" s="24" t="str">
        <x:v>decapoda</x:v>
      </x:c>
      <x:c r="O50" s="32" t="n">
        <x:v>3.43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Decapoda</x:v>
      </x:c>
      <x:c r="T50" s="32" t="n">
        <x:f>IF(O50="","",(1/'Metadata'!$B$5)^(O50-1))</x:f>
        <x:v>269.1534803926917</x:v>
      </x:c>
      <x:c r="U50" s="31" t="n">
        <x:f>IF(T50="","",I50*T50)</x:f>
        <x:v>1472228.5580590798</x:v>
      </x:c>
    </x:row>
    <x:row r="51" ht="18" customHeight="1">
      <x:c r="A51" s="24" t="str">
        <x:v>EEZ_410</x:v>
      </x:c>
      <x:c r="B51" s="24" t="str">
        <x:v>Korea (South)</x:v>
      </x:c>
      <x:c r="C51" s="24" t="str">
        <x:v>EEZ</x:v>
      </x:c>
      <x:c r="D51" s="30" t="n">
        <x:v>2019</x:v>
      </x:c>
      <x:c r="E51" s="24" t="str">
        <x:v>Tetraodontidae</x:v>
      </x:c>
      <x:c r="F51" s="24" t="str">
        <x:v>Puffers, tobies</x:v>
      </x:c>
      <x:c r="G51" s="24" t="str">
        <x:v>Large reef assoc. fish (&gt;=90 cm)</x:v>
      </x:c>
      <x:c r="H51" s="24" t="str">
        <x:v>Other fishes &amp; inverts</x:v>
      </x:c>
      <x:c r="I51" s="31" t="n">
        <x:v>5006.0175458552</x:v>
      </x:c>
      <x:c r="J51" s="31" t="n">
        <x:v>4421.0000000001</x:v>
      </x:c>
      <x:c r="K51" s="31" t="n">
        <x:v>585.0175458551</x:v>
      </x:c>
      <x:c r="L51" s="31" t="n">
        <x:v>4421.0000000001</x:v>
      </x:c>
      <x:c r="M51" s="31" t="n">
        <x:v>585.0175458551</x:v>
      </x:c>
      <x:c r="N51" s="24" t="str">
        <x:v>tetraodontidae</x:v>
      </x:c>
      <x:c r="O51" s="32" t="n">
        <x:v>3.5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Tetraodontidae</x:v>
      </x:c>
      <x:c r="T51" s="32" t="n">
        <x:f>IF(O51="","",(1/'Metadata'!$B$5)^(O51-1))</x:f>
        <x:v>316.22776601683796</x:v>
      </x:c>
      <x:c r="U51" s="31" t="n">
        <x:f>IF(T51="","",I51*T51)</x:f>
        <x:v>1583041.7451668836</x:v>
      </x:c>
    </x:row>
    <x:row r="52" ht="18" customHeight="1">
      <x:c r="A52" s="24" t="str">
        <x:v>EEZ_410</x:v>
      </x:c>
      <x:c r="B52" s="24" t="str">
        <x:v>Korea (South)</x:v>
      </x:c>
      <x:c r="C52" s="24" t="str">
        <x:v>EEZ</x:v>
      </x:c>
      <x:c r="D52" s="30" t="n">
        <x:v>2019</x:v>
      </x:c>
      <x:c r="E52" s="24" t="str">
        <x:v>Cololabis saira</x:v>
      </x:c>
      <x:c r="F52" s="24" t="str">
        <x:v>Pacific saury</x:v>
      </x:c>
      <x:c r="G52" s="24" t="str">
        <x:v>Medium pelagics (30 - 89 cm)</x:v>
      </x:c>
      <x:c r="H52" s="24" t="str">
        <x:v>Other fishes &amp; inverts</x:v>
      </x:c>
      <x:c r="I52" s="31" t="n">
        <x:v>4618.3897512385</x:v>
      </x:c>
      <x:c r="J52" s="31" t="n">
        <x:v>4618.3897512385</x:v>
      </x:c>
      <x:c r="K52" s="31" t="n">
        <x:v>0</x:v>
      </x:c>
      <x:c r="L52" s="31" t="n">
        <x:v>4618.3897512385</x:v>
      </x:c>
      <x:c r="M52" s="31" t="n">
        <x:v>0</x:v>
      </x:c>
      <x:c r="N52" s="24" t="str">
        <x:v>cololabis saira</x:v>
      </x:c>
      <x:c r="O52" s="32" t="n">
        <x:v>3.71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Cololabis saira</x:v>
      </x:c>
      <x:c r="T52" s="32" t="n">
        <x:f>IF(O52="","",(1/'Metadata'!$B$5)^(O52-1))</x:f>
        <x:v>512.8613839913648</x:v>
      </x:c>
      <x:c r="U52" s="31" t="n">
        <x:f>IF(T52="","",I52*T52)</x:f>
        <x:v>2368593.7596317125</x:v>
      </x:c>
    </x:row>
    <x:row r="53" ht="18" customHeight="1">
      <x:c r="A53" s="24" t="str">
        <x:v>EEZ_410</x:v>
      </x:c>
      <x:c r="B53" s="24" t="str">
        <x:v>Korea (South)</x:v>
      </x:c>
      <x:c r="C53" s="24" t="str">
        <x:v>EEZ</x:v>
      </x:c>
      <x:c r="D53" s="30" t="n">
        <x:v>2019</x:v>
      </x:c>
      <x:c r="E53" s="24" t="str">
        <x:v>Planiliza haematocheilus</x:v>
      </x:c>
      <x:c r="F53" s="24" t="str">
        <x:v>So-iny mullet</x:v>
      </x:c>
      <x:c r="G53" s="24" t="str">
        <x:v>Medium demersals (30 - 89 cm)</x:v>
      </x:c>
      <x:c r="H53" s="24" t="str">
        <x:v>Perch-likes</x:v>
      </x:c>
      <x:c r="I53" s="31" t="n">
        <x:v>4487.5113836288</x:v>
      </x:c>
      <x:c r="J53" s="31" t="n">
        <x:v>4487.5113836288</x:v>
      </x:c>
      <x:c r="K53" s="31" t="n">
        <x:v>0</x:v>
      </x:c>
      <x:c r="L53" s="31" t="n">
        <x:v>4487.5113836288</x:v>
      </x:c>
      <x:c r="M53" s="31" t="n">
        <x:v>0</x:v>
      </x:c>
      <x:c r="N53" s="24" t="str">
        <x:v>planiliza haematocheilus</x:v>
      </x:c>
      <x:c r="O53" s="32" t="n">
        <x:v>2.5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Planiliza haematocheilus</x:v>
      </x:c>
      <x:c r="T53" s="32" t="n">
        <x:f>IF(O53="","",(1/'Metadata'!$B$5)^(O53-1))</x:f>
        <x:v>31.622776601683793</x:v>
      </x:c>
      <x:c r="U53" s="31" t="n">
        <x:f>IF(T53="","",I53*T53)</x:f>
        <x:v>141907.56998200648</x:v>
      </x:c>
    </x:row>
    <x:row r="54" ht="18" customHeight="1">
      <x:c r="A54" s="24" t="str">
        <x:v>EEZ_410</x:v>
      </x:c>
      <x:c r="B54" s="24" t="str">
        <x:v>Korea (South)</x:v>
      </x:c>
      <x:c r="C54" s="24" t="str">
        <x:v>EEZ</x:v>
      </x:c>
      <x:c r="D54" s="30" t="n">
        <x:v>2019</x:v>
      </x:c>
      <x:c r="E54" s="24" t="str">
        <x:v>Clupeidae</x:v>
      </x:c>
      <x:c r="F54" s="24" t="str">
        <x:v>Herrings, sardines, menhadens</x:v>
      </x:c>
      <x:c r="G54" s="24" t="str">
        <x:v>Small pelagics (&lt;30 cm)</x:v>
      </x:c>
      <x:c r="H54" s="24" t="str">
        <x:v>Herring-likes</x:v>
      </x:c>
      <x:c r="I54" s="31" t="n">
        <x:v>4381.8288925921</x:v>
      </x:c>
      <x:c r="J54" s="31" t="n">
        <x:v>4381.8288925921</x:v>
      </x:c>
      <x:c r="K54" s="31" t="n">
        <x:v>0</x:v>
      </x:c>
      <x:c r="L54" s="31" t="n">
        <x:v>0</x:v>
      </x:c>
      <x:c r="M54" s="31" t="n">
        <x:v>4381.8288925921</x:v>
      </x:c>
      <x:c r="N54" s="24" t="str">
        <x:v>clupeidae</x:v>
      </x:c>
      <x:c r="O54" s="32" t="n">
        <x:v>3.16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Clupeidae</x:v>
      </x:c>
      <x:c r="T54" s="32" t="n">
        <x:f>IF(O54="","",(1/'Metadata'!$B$5)^(O54-1))</x:f>
        <x:v>144.5439770745928</x:v>
      </x:c>
      <x:c r="U54" s="31" t="n">
        <x:f>IF(T54="","",I54*T54)</x:f>
        <x:v>633366.9749956208</x:v>
      </x:c>
    </x:row>
    <x:row r="55" ht="18" customHeight="1">
      <x:c r="A55" s="24" t="str">
        <x:v>EEZ_410</x:v>
      </x:c>
      <x:c r="B55" s="24" t="str">
        <x:v>Korea (South)</x:v>
      </x:c>
      <x:c r="C55" s="24" t="str">
        <x:v>EEZ</x:v>
      </x:c>
      <x:c r="D55" s="30" t="n">
        <x:v>2019</x:v>
      </x:c>
      <x:c r="E55" s="24" t="str">
        <x:v>Mugilidae</x:v>
      </x:c>
      <x:c r="F55" s="24" t="str">
        <x:v>Mullets, grey mullets</x:v>
      </x:c>
      <x:c r="G55" s="24" t="str">
        <x:v>Medium reef assoc. fish (30 - 89 cm)</x:v>
      </x:c>
      <x:c r="H55" s="24" t="str">
        <x:v>Perch-likes</x:v>
      </x:c>
      <x:c r="I55" s="31" t="n">
        <x:v>4365.1654457349</x:v>
      </x:c>
      <x:c r="J55" s="31" t="n">
        <x:v>4365.1654457349</x:v>
      </x:c>
      <x:c r="K55" s="31" t="n">
        <x:v>0</x:v>
      </x:c>
      <x:c r="L55" s="31" t="n">
        <x:v>0</x:v>
      </x:c>
      <x:c r="M55" s="31" t="n">
        <x:v>4365.1654457349</x:v>
      </x:c>
      <x:c r="N55" s="24" t="str">
        <x:v>mugilidae</x:v>
      </x:c>
      <x:c r="O55" s="32" t="n">
        <x:v>2.53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Mugilidae</x:v>
      </x:c>
      <x:c r="T55" s="32" t="n">
        <x:f>IF(O55="","",(1/'Metadata'!$B$5)^(O55-1))</x:f>
        <x:v>33.88441561392024</x:v>
      </x:c>
      <x:c r="U55" s="31" t="n">
        <x:f>IF(T55="","",I55*T55)</x:f>
        <x:v>147911.08018680473</x:v>
      </x:c>
    </x:row>
    <x:row r="56" ht="18" customHeight="1">
      <x:c r="A56" s="24" t="str">
        <x:v>EEZ_410</x:v>
      </x:c>
      <x:c r="B56" s="24" t="str">
        <x:v>Korea (South)</x:v>
      </x:c>
      <x:c r="C56" s="24" t="str">
        <x:v>EEZ</x:v>
      </x:c>
      <x:c r="D56" s="30" t="n">
        <x:v>2019</x:v>
      </x:c>
      <x:c r="E56" s="24" t="str">
        <x:v>Serranidae</x:v>
      </x:c>
      <x:c r="F56" s="24" t="str">
        <x:v>Basses, groupers, hinds</x:v>
      </x:c>
      <x:c r="G56" s="24" t="str">
        <x:v>Medium reef assoc. fish (30 - 89 cm)</x:v>
      </x:c>
      <x:c r="H56" s="24" t="str">
        <x:v>Perch-likes</x:v>
      </x:c>
      <x:c r="I56" s="31" t="n">
        <x:v>4350.7924368728</x:v>
      </x:c>
      <x:c r="J56" s="31" t="n">
        <x:v>4350.7924368728</x:v>
      </x:c>
      <x:c r="K56" s="31" t="n">
        <x:v>0</x:v>
      </x:c>
      <x:c r="L56" s="31" t="n">
        <x:v>49.9999999997</x:v>
      </x:c>
      <x:c r="M56" s="31" t="n">
        <x:v>4300.7924368731</x:v>
      </x:c>
      <x:c r="N56" s="24" t="str">
        <x:v>serranidae</x:v>
      </x:c>
      <x:c r="O56" s="32" t="n">
        <x:v>3.98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Serranidae</x:v>
      </x:c>
      <x:c r="T56" s="32" t="n">
        <x:f>IF(O56="","",(1/'Metadata'!$B$5)^(O56-1))</x:f>
        <x:v>954.992586021436</x:v>
      </x:c>
      <x:c r="U56" s="31" t="n">
        <x:f>IF(T56="","",I56*T56)</x:f>
        <x:v>4154974.5205316604</x:v>
      </x:c>
    </x:row>
    <x:row r="57" ht="18" customHeight="1">
      <x:c r="A57" s="24" t="str">
        <x:v>EEZ_410</x:v>
      </x:c>
      <x:c r="B57" s="24" t="str">
        <x:v>Korea (South)</x:v>
      </x:c>
      <x:c r="C57" s="24" t="str">
        <x:v>EEZ</x:v>
      </x:c>
      <x:c r="D57" s="30" t="n">
        <x:v>2019</x:v>
      </x:c>
      <x:c r="E57" s="24" t="str">
        <x:v>Sebastidae</x:v>
      </x:c>
      <x:c r="F57" s="24" t="str">
        <x:v>Rockfishes, rockcods, thornyheads</x:v>
      </x:c>
      <x:c r="G57" s="24" t="str">
        <x:v>Medium demersals (30 - 89 cm)</x:v>
      </x:c>
      <x:c r="H57" s="24" t="str">
        <x:v>Scorpionfishes</x:v>
      </x:c>
      <x:c r="I57" s="31" t="n">
        <x:v>4337.8255957586</x:v>
      </x:c>
      <x:c r="J57" s="31" t="n">
        <x:v>4337.8255957586</x:v>
      </x:c>
      <x:c r="K57" s="31" t="n">
        <x:v>0</x:v>
      </x:c>
      <x:c r="L57" s="31" t="n">
        <x:v>0</x:v>
      </x:c>
      <x:c r="M57" s="31" t="n">
        <x:v>4337.8255957586</x:v>
      </x:c>
      <x:c r="N57" s="24" t="str">
        <x:v>sebastidae</x:v>
      </x:c>
      <x:c r="O57" s="32" t="n">
        <x:v>3.74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Sebastidae</x:v>
      </x:c>
      <x:c r="T57" s="32" t="n">
        <x:f>IF(O57="","",(1/'Metadata'!$B$5)^(O57-1))</x:f>
        <x:v>549.5408738576248</x:v>
      </x:c>
      <x:c r="U57" s="31" t="n">
        <x:f>IF(T57="","",I57*T57)</x:f>
        <x:v>2383812.4685351527</x:v>
      </x:c>
    </x:row>
    <x:row r="58" ht="18" customHeight="1">
      <x:c r="A58" s="24" t="str">
        <x:v>EEZ_410</x:v>
      </x:c>
      <x:c r="B58" s="24" t="str">
        <x:v>Korea (South)</x:v>
      </x:c>
      <x:c r="C58" s="24" t="str">
        <x:v>EEZ</x:v>
      </x:c>
      <x:c r="D58" s="30" t="n">
        <x:v>2019</x:v>
      </x:c>
      <x:c r="E58" s="24" t="str">
        <x:v>Scorpaenidae</x:v>
      </x:c>
      <x:c r="F58" s="24" t="str">
        <x:v>Scorpionfishes, rockfishes</x:v>
      </x:c>
      <x:c r="G58" s="24" t="str">
        <x:v>Large reef assoc. fish (&gt;=90 cm)</x:v>
      </x:c>
      <x:c r="H58" s="24" t="str">
        <x:v>Scorpionfishes</x:v>
      </x:c>
      <x:c r="I58" s="31" t="n">
        <x:v>4164.0000000003</x:v>
      </x:c>
      <x:c r="J58" s="31" t="n">
        <x:v>4164.0000000003</x:v>
      </x:c>
      <x:c r="K58" s="31" t="n">
        <x:v>0</x:v>
      </x:c>
      <x:c r="L58" s="31" t="n">
        <x:v>4164.0000000003</x:v>
      </x:c>
      <x:c r="M58" s="31" t="n">
        <x:v>0</x:v>
      </x:c>
      <x:c r="N58" s="24" t="str">
        <x:v>scorpaenidae</x:v>
      </x:c>
      <x:c r="O58" s="32" t="n">
        <x:v>3.92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Scorpaenidae</x:v>
      </x:c>
      <x:c r="T58" s="32" t="n">
        <x:f>IF(O58="","",(1/'Metadata'!$B$5)^(O58-1))</x:f>
        <x:v>831.7637711026708</x:v>
      </x:c>
      <x:c r="U58" s="31" t="n">
        <x:f>IF(T58="","",I58*T58)</x:f>
        <x:v>3463464.342871771</x:v>
      </x:c>
    </x:row>
    <x:row r="59" ht="18" customHeight="1">
      <x:c r="A59" s="24" t="str">
        <x:v>EEZ_410</x:v>
      </x:c>
      <x:c r="B59" s="24" t="str">
        <x:v>Korea (South)</x:v>
      </x:c>
      <x:c r="C59" s="24" t="str">
        <x:v>EEZ</x:v>
      </x:c>
      <x:c r="D59" s="30" t="n">
        <x:v>2019</x:v>
      </x:c>
      <x:c r="E59" s="24" t="str">
        <x:v>Paralichthys olivaceus</x:v>
      </x:c>
      <x:c r="F59" s="24" t="str">
        <x:v>Bastard halibut</x:v>
      </x:c>
      <x:c r="G59" s="24" t="str">
        <x:v>Large flatfishes (&gt;=90 cm)</x:v>
      </x:c>
      <x:c r="H59" s="24" t="str">
        <x:v>Flatfishes</x:v>
      </x:c>
      <x:c r="I59" s="31" t="n">
        <x:v>4106.9999999999</x:v>
      </x:c>
      <x:c r="J59" s="31" t="n">
        <x:v>4106.9999999999</x:v>
      </x:c>
      <x:c r="K59" s="31" t="n">
        <x:v>0</x:v>
      </x:c>
      <x:c r="L59" s="31" t="n">
        <x:v>4106.9999999999</x:v>
      </x:c>
      <x:c r="M59" s="31" t="n">
        <x:v>0</x:v>
      </x:c>
      <x:c r="N59" s="24" t="str">
        <x:v>paralichthys olivaceus</x:v>
      </x:c>
      <x:c r="O59" s="32" t="n">
        <x:v>4.25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Paralichthys olivaceus</x:v>
      </x:c>
      <x:c r="T59" s="32" t="n">
        <x:f>IF(O59="","",(1/'Metadata'!$B$5)^(O59-1))</x:f>
        <x:v>1778.2794100389228</x:v>
      </x:c>
      <x:c r="U59" s="31" t="n">
        <x:f>IF(T59="","",I59*T59)</x:f>
        <x:v>7303393.537029678</x:v>
      </x:c>
    </x:row>
    <x:row r="60" ht="18" customHeight="1">
      <x:c r="A60" s="24" t="str">
        <x:v>EEZ_410</x:v>
      </x:c>
      <x:c r="B60" s="24" t="str">
        <x:v>Korea (South)</x:v>
      </x:c>
      <x:c r="C60" s="24" t="str">
        <x:v>EEZ</x:v>
      </x:c>
      <x:c r="D60" s="30" t="n">
        <x:v>2019</x:v>
      </x:c>
      <x:c r="E60" s="24" t="str">
        <x:v>Brachyura</x:v>
      </x:c>
      <x:c r="F60" s="24" t="str">
        <x:v>Marine crabs</x:v>
      </x:c>
      <x:c r="G60" s="24" t="str">
        <x:v>Lobsters, crabs</x:v>
      </x:c>
      <x:c r="H60" s="24" t="str">
        <x:v>Crustaceans</x:v>
      </x:c>
      <x:c r="I60" s="31" t="n">
        <x:v>3166.528877809</x:v>
      </x:c>
      <x:c r="J60" s="31" t="n">
        <x:v>3166.528877809</x:v>
      </x:c>
      <x:c r="K60" s="31" t="n">
        <x:v>0</x:v>
      </x:c>
      <x:c r="L60" s="31" t="n">
        <x:v>3166.528877809</x:v>
      </x:c>
      <x:c r="M60" s="31" t="n">
        <x:v>0</x:v>
      </x:c>
      <x:c r="N60" s="24" t="str">
        <x:v>brachyura</x:v>
      </x:c>
      <x:c r="O60" s="32" t="n">
        <x:v>2.6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Brachyura</x:v>
      </x:c>
      <x:c r="T60" s="32" t="n">
        <x:f>IF(O60="","",(1/'Metadata'!$B$5)^(O60-1))</x:f>
        <x:v>39.810717055349734</x:v>
      </x:c>
      <x:c r="U60" s="31" t="n">
        <x:f>IF(T60="","",I60*T60)</x:f>
        <x:v>126061.78520204821</x:v>
      </x:c>
    </x:row>
    <x:row r="61" ht="18" customHeight="1">
      <x:c r="A61" s="24" t="str">
        <x:v>EEZ_410</x:v>
      </x:c>
      <x:c r="B61" s="24" t="str">
        <x:v>Korea (South)</x:v>
      </x:c>
      <x:c r="C61" s="24" t="str">
        <x:v>EEZ</x:v>
      </x:c>
      <x:c r="D61" s="30" t="n">
        <x:v>2019</x:v>
      </x:c>
      <x:c r="E61" s="24" t="str">
        <x:v>Arctoscopus japonicus</x:v>
      </x:c>
      <x:c r="F61" s="24" t="str">
        <x:v>Japanese sandfish</x:v>
      </x:c>
      <x:c r="G61" s="24" t="str">
        <x:v>Small bathydemersals (&lt;30 cm)</x:v>
      </x:c>
      <x:c r="H61" s="24" t="str">
        <x:v>Perch-likes</x:v>
      </x:c>
      <x:c r="I61" s="31" t="n">
        <x:v>3066.0000000002997</x:v>
      </x:c>
      <x:c r="J61" s="31" t="n">
        <x:v>3066.0000000002997</x:v>
      </x:c>
      <x:c r="K61" s="31" t="n">
        <x:v>0</x:v>
      </x:c>
      <x:c r="L61" s="31" t="n">
        <x:v>3066.0000000002997</x:v>
      </x:c>
      <x:c r="M61" s="31" t="n">
        <x:v>0</x:v>
      </x:c>
      <x:c r="N61" s="24" t="str">
        <x:v>arctoscopus japonicus</x:v>
      </x:c>
      <x:c r="O61" s="32" t="n">
        <x:v>3.51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Arctoscopus japonicus</x:v>
      </x:c>
      <x:c r="T61" s="32" t="n">
        <x:f>IF(O61="","",(1/'Metadata'!$B$5)^(O61-1))</x:f>
        <x:v>323.5936569296281</x:v>
      </x:c>
      <x:c r="U61" s="31" t="n">
        <x:f>IF(T61="","",I61*T61)</x:f>
        <x:v>992138.1521463366</x:v>
      </x:c>
    </x:row>
    <x:row r="62" ht="18" customHeight="1">
      <x:c r="A62" s="24" t="str">
        <x:v>EEZ_410</x:v>
      </x:c>
      <x:c r="B62" s="24" t="str">
        <x:v>Korea (South)</x:v>
      </x:c>
      <x:c r="C62" s="24" t="str">
        <x:v>EEZ</x:v>
      </x:c>
      <x:c r="D62" s="30" t="n">
        <x:v>2019</x:v>
      </x:c>
      <x:c r="E62" s="24" t="str">
        <x:v>Portunus pelagicus</x:v>
      </x:c>
      <x:c r="F62" s="24" t="str">
        <x:v>Blue swimming crab</x:v>
      </x:c>
      <x:c r="G62" s="24" t="str">
        <x:v>Lobsters, crabs</x:v>
      </x:c>
      <x:c r="H62" s="24" t="str">
        <x:v>Crustaceans</x:v>
      </x:c>
      <x:c r="I62" s="31" t="n">
        <x:v>2791.1974068059003</x:v>
      </x:c>
      <x:c r="J62" s="31" t="n">
        <x:v>2791.1974068059003</x:v>
      </x:c>
      <x:c r="K62" s="31" t="n">
        <x:v>0</x:v>
      </x:c>
      <x:c r="L62" s="31" t="n">
        <x:v>2791.1974068059003</x:v>
      </x:c>
      <x:c r="M62" s="31" t="n">
        <x:v>0</x:v>
      </x:c>
      <x:c r="N62" s="24" t="str">
        <x:v>portunus pelagicus</x:v>
      </x:c>
      <x:c r="O62" s="32" t="n">
        <x:v>2.48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Portunus pelagicus</x:v>
      </x:c>
      <x:c r="T62" s="32" t="n">
        <x:f>IF(O62="","",(1/'Metadata'!$B$5)^(O62-1))</x:f>
        <x:v>30.19951720402016</x:v>
      </x:c>
      <x:c r="U62" s="31" t="n">
        <x:f>IF(T62="","",I62*T62)</x:f>
        <x:v>84292.81410665125</x:v>
      </x:c>
    </x:row>
    <x:row r="63" ht="18" customHeight="1">
      <x:c r="A63" s="24" t="str">
        <x:v>EEZ_410</x:v>
      </x:c>
      <x:c r="B63" s="24" t="str">
        <x:v>Korea (South)</x:v>
      </x:c>
      <x:c r="C63" s="24" t="str">
        <x:v>EEZ</x:v>
      </x:c>
      <x:c r="D63" s="30" t="n">
        <x:v>2019</x:v>
      </x:c>
      <x:c r="E63" s="24" t="str">
        <x:v>Ilisha elongata</x:v>
      </x:c>
      <x:c r="F63" s="24" t="str">
        <x:v>Elongate ilisha</x:v>
      </x:c>
      <x:c r="G63" s="24" t="str">
        <x:v>Medium pelagics (30 - 89 cm)</x:v>
      </x:c>
      <x:c r="H63" s="24" t="str">
        <x:v>Herring-likes</x:v>
      </x:c>
      <x:c r="I63" s="31" t="n">
        <x:v>2509.4923471661</x:v>
      </x:c>
      <x:c r="J63" s="31" t="n">
        <x:v>2509.4923471661</x:v>
      </x:c>
      <x:c r="K63" s="31" t="n">
        <x:v>0</x:v>
      </x:c>
      <x:c r="L63" s="31" t="n">
        <x:v>2509.4923471661</x:v>
      </x:c>
      <x:c r="M63" s="31" t="n">
        <x:v>0</x:v>
      </x:c>
      <x:c r="N63" s="24" t="str">
        <x:v>ilisha elongata</x:v>
      </x:c>
      <x:c r="O63" s="32" t="n">
        <x:v>3.79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Ilisha elongata</x:v>
      </x:c>
      <x:c r="T63" s="32" t="n">
        <x:f>IF(O63="","",(1/'Metadata'!$B$5)^(O63-1))</x:f>
        <x:v>616.5950018614822</x:v>
      </x:c>
      <x:c r="U63" s="31" t="n">
        <x:f>IF(T63="","",I63*T63)</x:f>
        <x:v>1547340.4384722568</x:v>
      </x:c>
    </x:row>
    <x:row r="64" ht="18" customHeight="1">
      <x:c r="A64" s="24" t="str">
        <x:v>EEZ_410</x:v>
      </x:c>
      <x:c r="B64" s="24" t="str">
        <x:v>Korea (South)</x:v>
      </x:c>
      <x:c r="C64" s="24" t="str">
        <x:v>EEZ</x:v>
      </x:c>
      <x:c r="D64" s="30" t="n">
        <x:v>2019</x:v>
      </x:c>
      <x:c r="E64" s="24" t="str">
        <x:v>Marine finfishes not identified</x:v>
      </x:c>
      <x:c r="F64" s="24" t="str">
        <x:v>Finfishes</x:v>
      </x:c>
      <x:c r="G64" s="24" t="str">
        <x:v>Medium demersals (30 - 89 cm)</x:v>
      </x:c>
      <x:c r="H64" s="24" t="str">
        <x:v>Other fishes &amp; inverts</x:v>
      </x:c>
      <x:c r="I64" s="31" t="n">
        <x:v>2477</x:v>
      </x:c>
      <x:c r="J64" s="31" t="n">
        <x:v>2477</x:v>
      </x:c>
      <x:c r="K64" s="31" t="n">
        <x:v>0</x:v>
      </x:c>
      <x:c r="L64" s="31" t="n">
        <x:v>2477</x:v>
      </x:c>
      <x:c r="M64" s="31" t="n">
        <x:v>0</x:v>
      </x:c>
      <x:c r="N64" s="24" t="str">
        <x:v>marine finfishes not identified</x:v>
      </x:c>
      <x:c r="O64" s="32" t="n">
        <x:v>3.23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Marine finfishes not identified</x:v>
      </x:c>
      <x:c r="T64" s="32" t="n">
        <x:f>IF(O64="","",(1/'Metadata'!$B$5)^(O64-1))</x:f>
        <x:v>169.82436524617444</x:v>
      </x:c>
      <x:c r="U64" s="31" t="n">
        <x:f>IF(T64="","",I64*T64)</x:f>
        <x:v>420654.95271477406</x:v>
      </x:c>
    </x:row>
    <x:row r="65" ht="18" customHeight="1">
      <x:c r="A65" s="24" t="str">
        <x:v>EEZ_410</x:v>
      </x:c>
      <x:c r="B65" s="24" t="str">
        <x:v>Korea (South)</x:v>
      </x:c>
      <x:c r="C65" s="24" t="str">
        <x:v>EEZ</x:v>
      </x:c>
      <x:c r="D65" s="30" t="n">
        <x:v>2019</x:v>
      </x:c>
      <x:c r="E65" s="24" t="str">
        <x:v>Apostichopus japonicus</x:v>
      </x:c>
      <x:c r="F65" s="24" t="str">
        <x:v>Japanese sea cucumber</x:v>
      </x:c>
      <x:c r="G65" s="24" t="str">
        <x:v>Other demersal invertebrates</x:v>
      </x:c>
      <x:c r="H65" s="24" t="str">
        <x:v>Other fishes &amp; inverts</x:v>
      </x:c>
      <x:c r="I65" s="31" t="n">
        <x:v>2361.9999999998</x:v>
      </x:c>
      <x:c r="J65" s="31" t="n">
        <x:v>2361.9999999998</x:v>
      </x:c>
      <x:c r="K65" s="31" t="n">
        <x:v>0</x:v>
      </x:c>
      <x:c r="L65" s="31" t="n">
        <x:v>2361.9999999998</x:v>
      </x:c>
      <x:c r="M65" s="31" t="n">
        <x:v>0</x:v>
      </x:c>
      <x:c r="N65" s="24" t="str">
        <x:v>apostichopus japonicus</x:v>
      </x:c>
      <x:c r="O65" s="32" t="n">
        <x:v>2.3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Apostichopus japonicus</x:v>
      </x:c>
      <x:c r="T65" s="32" t="n">
        <x:f>IF(O65="","",(1/'Metadata'!$B$5)^(O65-1))</x:f>
        <x:v>19.952623149688787</x:v>
      </x:c>
      <x:c r="U65" s="31" t="n">
        <x:f>IF(T65="","",I65*T65)</x:f>
        <x:v>47128.09587956092</x:v>
      </x:c>
    </x:row>
    <x:row r="66" ht="18" customHeight="1">
      <x:c r="A66" s="24" t="str">
        <x:v>EEZ_410</x:v>
      </x:c>
      <x:c r="B66" s="24" t="str">
        <x:v>Korea (South)</x:v>
      </x:c>
      <x:c r="C66" s="24" t="str">
        <x:v>EEZ</x:v>
      </x:c>
      <x:c r="D66" s="30" t="n">
        <x:v>2019</x:v>
      </x:c>
      <x:c r="E66" s="24" t="str">
        <x:v>Turbo cornutus</x:v>
      </x:c>
      <x:c r="F66" s="24" t="str">
        <x:v>Horned turban</x:v>
      </x:c>
      <x:c r="G66" s="24" t="str">
        <x:v>Other demersal invertebrates</x:v>
      </x:c>
      <x:c r="H66" s="24" t="str">
        <x:v>Molluscs</x:v>
      </x:c>
      <x:c r="I66" s="31" t="n">
        <x:v>2298.0000000001</x:v>
      </x:c>
      <x:c r="J66" s="31" t="n">
        <x:v>2298.0000000001</x:v>
      </x:c>
      <x:c r="K66" s="31" t="n">
        <x:v>0</x:v>
      </x:c>
      <x:c r="L66" s="31" t="n">
        <x:v>2298.0000000001</x:v>
      </x:c>
      <x:c r="M66" s="31" t="n">
        <x:v>0</x:v>
      </x:c>
      <x:c r="N66" s="24" t="str">
        <x:v>turbo cornutus</x:v>
      </x:c>
      <x:c r="O66" s="32" t="n">
        <x:v>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Turbo cornutus</x:v>
      </x:c>
      <x:c r="T66" s="32" t="n">
        <x:f>IF(O66="","",(1/'Metadata'!$B$5)^(O66-1))</x:f>
        <x:v>10</x:v>
      </x:c>
      <x:c r="U66" s="31" t="n">
        <x:f>IF(T66="","",I66*T66)</x:f>
        <x:v>22980.000000001</x:v>
      </x:c>
    </x:row>
    <x:row r="67" ht="18" customHeight="1">
      <x:c r="A67" s="24" t="str">
        <x:v>EEZ_410</x:v>
      </x:c>
      <x:c r="B67" s="24" t="str">
        <x:v>Korea (South)</x:v>
      </x:c>
      <x:c r="C67" s="24" t="str">
        <x:v>EEZ</x:v>
      </x:c>
      <x:c r="D67" s="30" t="n">
        <x:v>2019</x:v>
      </x:c>
      <x:c r="E67" s="24" t="str">
        <x:v>Pleurogrammus azonus</x:v>
      </x:c>
      <x:c r="F67" s="24" t="str">
        <x:v>Okhotsk atka mackerel</x:v>
      </x:c>
      <x:c r="G67" s="24" t="str">
        <x:v>Medium demersals (30 - 89 cm)</x:v>
      </x:c>
      <x:c r="H67" s="24" t="str">
        <x:v>Scorpionfishes</x:v>
      </x:c>
      <x:c r="I67" s="31" t="n">
        <x:v>2225.9999999998</x:v>
      </x:c>
      <x:c r="J67" s="31" t="n">
        <x:v>2225.9999999998</x:v>
      </x:c>
      <x:c r="K67" s="31" t="n">
        <x:v>0</x:v>
      </x:c>
      <x:c r="L67" s="31" t="n">
        <x:v>2225.9999999998</x:v>
      </x:c>
      <x:c r="M67" s="31" t="n">
        <x:v>0</x:v>
      </x:c>
      <x:c r="N67" s="24" t="str">
        <x:v>pleurogrammus azonus</x:v>
      </x:c>
      <x:c r="O67" s="32" t="n">
        <x:v>3.6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Pleurogrammus azonus</x:v>
      </x:c>
      <x:c r="T67" s="32" t="n">
        <x:f>IF(O67="","",(1/'Metadata'!$B$5)^(O67-1))</x:f>
        <x:v>398.1071705534973</x:v>
      </x:c>
      <x:c r="U67" s="31" t="n">
        <x:f>IF(T67="","",I67*T67)</x:f>
        <x:v>886186.5616520054</x:v>
      </x:c>
    </x:row>
    <x:row r="68" ht="18" customHeight="1">
      <x:c r="A68" s="24" t="str">
        <x:v>EEZ_410</x:v>
      </x:c>
      <x:c r="B68" s="24" t="str">
        <x:v>Korea (South)</x:v>
      </x:c>
      <x:c r="C68" s="24" t="str">
        <x:v>EEZ</x:v>
      </x:c>
      <x:c r="D68" s="30" t="n">
        <x:v>2019</x:v>
      </x:c>
      <x:c r="E68" s="24" t="str">
        <x:v>Metapenaeus joyneri</x:v>
      </x:c>
      <x:c r="F68" s="24" t="str">
        <x:v>Shiba shrimp</x:v>
      </x:c>
      <x:c r="G68" s="24" t="str">
        <x:v>Shrimps</x:v>
      </x:c>
      <x:c r="H68" s="24" t="str">
        <x:v>Crustaceans</x:v>
      </x:c>
      <x:c r="I68" s="31" t="n">
        <x:v>2175.9999999998</x:v>
      </x:c>
      <x:c r="J68" s="31" t="n">
        <x:v>2175.9999999998</x:v>
      </x:c>
      <x:c r="K68" s="31" t="n">
        <x:v>0</x:v>
      </x:c>
      <x:c r="L68" s="31" t="n">
        <x:v>2175.9999999998</x:v>
      </x:c>
      <x:c r="M68" s="31" t="n">
        <x:v>0</x:v>
      </x:c>
      <x:c r="N68" s="24" t="str">
        <x:v>metapenaeus joyneri</x:v>
      </x:c>
      <x:c r="O68" s="32" t="n">
        <x:v>3.2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Metapenaeus joyneri</x:v>
      </x:c>
      <x:c r="T68" s="32" t="n">
        <x:f>IF(O68="","",(1/'Metadata'!$B$5)^(O68-1))</x:f>
        <x:v>158.48931924611142</x:v>
      </x:c>
      <x:c r="U68" s="31" t="n">
        <x:f>IF(T68="","",I68*T68)</x:f>
        <x:v>344872.7586795067</x:v>
      </x:c>
    </x:row>
    <x:row r="69" ht="18" customHeight="1">
      <x:c r="A69" s="24" t="str">
        <x:v>EEZ_410</x:v>
      </x:c>
      <x:c r="B69" s="24" t="str">
        <x:v>Korea (South)</x:v>
      </x:c>
      <x:c r="C69" s="24" t="str">
        <x:v>EEZ</x:v>
      </x:c>
      <x:c r="D69" s="30" t="n">
        <x:v>2019</x:v>
      </x:c>
      <x:c r="E69" s="24" t="str">
        <x:v>Sardinella zunasi</x:v>
      </x:c>
      <x:c r="F69" s="24" t="str">
        <x:v>Japanese sardinella</x:v>
      </x:c>
      <x:c r="G69" s="24" t="str">
        <x:v>Small pelagics (&lt;30 cm)</x:v>
      </x:c>
      <x:c r="H69" s="24" t="str">
        <x:v>Herring-likes</x:v>
      </x:c>
      <x:c r="I69" s="31" t="n">
        <x:v>2168.7448914618003</x:v>
      </x:c>
      <x:c r="J69" s="31" t="n">
        <x:v>2168.7448914618003</x:v>
      </x:c>
      <x:c r="K69" s="31" t="n">
        <x:v>0</x:v>
      </x:c>
      <x:c r="L69" s="31" t="n">
        <x:v>2168.7448914618003</x:v>
      </x:c>
      <x:c r="M69" s="31" t="n">
        <x:v>0</x:v>
      </x:c>
      <x:c r="N69" s="24" t="str">
        <x:v>sardinella zunasi</x:v>
      </x:c>
      <x:c r="O69" s="32" t="n">
        <x:v>3.12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Sardinella zunasi</x:v>
      </x:c>
      <x:c r="T69" s="32" t="n">
        <x:f>IF(O69="","",(1/'Metadata'!$B$5)^(O69-1))</x:f>
        <x:v>131.82567385564073</x:v>
      </x:c>
      <x:c r="U69" s="31" t="n">
        <x:f>IF(T69="","",I69*T69)</x:f>
        <x:v>285896.25673793023</x:v>
      </x:c>
    </x:row>
    <x:row r="70" ht="18" customHeight="1">
      <x:c r="A70" s="24" t="str">
        <x:v>EEZ_410</x:v>
      </x:c>
      <x:c r="B70" s="24" t="str">
        <x:v>Korea (South)</x:v>
      </x:c>
      <x:c r="C70" s="24" t="str">
        <x:v>EEZ</x:v>
      </x:c>
      <x:c r="D70" s="30" t="n">
        <x:v>2019</x:v>
      </x:c>
      <x:c r="E70" s="24" t="str">
        <x:v>Lateolabracidae</x:v>
      </x:c>
      <x:c r="F70" s="24" t="str">
        <x:v>Asian seaperches</x:v>
      </x:c>
      <x:c r="G70" s="24" t="str">
        <x:v>Large demersals (&gt;=90 cm)</x:v>
      </x:c>
      <x:c r="H70" s="24" t="str">
        <x:v>Perch-likes</x:v>
      </x:c>
      <x:c r="I70" s="31" t="n">
        <x:v>2155.8769686565</x:v>
      </x:c>
      <x:c r="J70" s="31" t="n">
        <x:v>2155.8769686565</x:v>
      </x:c>
      <x:c r="K70" s="31" t="n">
        <x:v>0</x:v>
      </x:c>
      <x:c r="L70" s="31" t="n">
        <x:v>0</x:v>
      </x:c>
      <x:c r="M70" s="31" t="n">
        <x:v>2155.8769686565</x:v>
      </x:c>
      <x:c r="N70" s="24" t="str">
        <x:v>lateolabracidae</x:v>
      </x:c>
      <x:c r="O70" s="32" t="n">
        <x:v>3.78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Lateolabracidae</x:v>
      </x:c>
      <x:c r="T70" s="32" t="n">
        <x:f>IF(O70="","",(1/'Metadata'!$B$5)^(O70-1))</x:f>
        <x:v>602.5595860743575</x:v>
      </x:c>
      <x:c r="U70" s="31" t="n">
        <x:f>IF(T70="","",I70*T70)</x:f>
        <x:v>1299044.3338609014</x:v>
      </x:c>
    </x:row>
    <x:row r="71" ht="18" customHeight="1">
      <x:c r="A71" s="24" t="str">
        <x:v>EEZ_410</x:v>
      </x:c>
      <x:c r="B71" s="24" t="str">
        <x:v>Korea (South)</x:v>
      </x:c>
      <x:c r="C71" s="24" t="str">
        <x:v>EEZ</x:v>
      </x:c>
      <x:c r="D71" s="30" t="n">
        <x:v>2019</x:v>
      </x:c>
      <x:c r="E71" s="24" t="str">
        <x:v>Chanos chanos</x:v>
      </x:c>
      <x:c r="F71" s="24" t="str">
        <x:v>Milkfish</x:v>
      </x:c>
      <x:c r="G71" s="24" t="str">
        <x:v>Large benthopelagics (&gt;=90 cm)</x:v>
      </x:c>
      <x:c r="H71" s="24" t="str">
        <x:v>Other fishes &amp; inverts</x:v>
      </x:c>
      <x:c r="I71" s="31" t="n">
        <x:v>2155.8769686565</x:v>
      </x:c>
      <x:c r="J71" s="31" t="n">
        <x:v>2155.8769686565</x:v>
      </x:c>
      <x:c r="K71" s="31" t="n">
        <x:v>0</x:v>
      </x:c>
      <x:c r="L71" s="31" t="n">
        <x:v>0</x:v>
      </x:c>
      <x:c r="M71" s="31" t="n">
        <x:v>2155.8769686565</x:v>
      </x:c>
      <x:c r="N71" s="24" t="str">
        <x:v>chanos chanos</x:v>
      </x:c>
      <x:c r="O71" s="32" t="n">
        <x:v>2.03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Chanos chanos</x:v>
      </x:c>
      <x:c r="T71" s="32" t="n">
        <x:f>IF(O71="","",(1/'Metadata'!$B$5)^(O71-1))</x:f>
        <x:v>10.71519305237606</x:v>
      </x:c>
      <x:c r="U71" s="31" t="n">
        <x:f>IF(T71="","",I71*T71)</x:f>
        <x:v>23100.63791632569</x:v>
      </x:c>
    </x:row>
    <x:row r="72" ht="18" customHeight="1">
      <x:c r="A72" s="24" t="str">
        <x:v>EEZ_410</x:v>
      </x:c>
      <x:c r="B72" s="24" t="str">
        <x:v>Korea (South)</x:v>
      </x:c>
      <x:c r="C72" s="24" t="str">
        <x:v>EEZ</x:v>
      </x:c>
      <x:c r="D72" s="30" t="n">
        <x:v>2019</x:v>
      </x:c>
      <x:c r="E72" s="24" t="str">
        <x:v>Hemiramphidae</x:v>
      </x:c>
      <x:c r="F72" s="24" t="str">
        <x:v>Halfbeaks, garfishes</x:v>
      </x:c>
      <x:c r="G72" s="24" t="str">
        <x:v>Medium pelagics (30 - 89 cm)</x:v>
      </x:c>
      <x:c r="H72" s="24" t="str">
        <x:v>Other fishes &amp; inverts</x:v>
      </x:c>
      <x:c r="I72" s="31" t="n">
        <x:v>2150.2045150656</x:v>
      </x:c>
      <x:c r="J72" s="31" t="n">
        <x:v>2150.2045150656</x:v>
      </x:c>
      <x:c r="K72" s="31" t="n">
        <x:v>0</x:v>
      </x:c>
      <x:c r="L72" s="31" t="n">
        <x:v>0</x:v>
      </x:c>
      <x:c r="M72" s="31" t="n">
        <x:v>2150.2045150656</x:v>
      </x:c>
      <x:c r="N72" s="24" t="str">
        <x:v>hemiramphidae</x:v>
      </x:c>
      <x:c r="O72" s="32" t="n">
        <x:v>2.82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Hemiramphidae</x:v>
      </x:c>
      <x:c r="T72" s="32" t="n">
        <x:f>IF(O72="","",(1/'Metadata'!$B$5)^(O72-1))</x:f>
        <x:v>66.06934480075958</x:v>
      </x:c>
      <x:c r="U72" s="31" t="n">
        <x:f>IF(T72="","",I72*T72)</x:f>
        <x:v>142062.60349801916</x:v>
      </x:c>
    </x:row>
    <x:row r="73" ht="18" customHeight="1">
      <x:c r="A73" s="24" t="str">
        <x:v>EEZ_410</x:v>
      </x:c>
      <x:c r="B73" s="24" t="str">
        <x:v>Korea (South)</x:v>
      </x:c>
      <x:c r="C73" s="24" t="str">
        <x:v>EEZ</x:v>
      </x:c>
      <x:c r="D73" s="30" t="n">
        <x:v>2019</x:v>
      </x:c>
      <x:c r="E73" s="24" t="str">
        <x:v>Niphon spinosus</x:v>
      </x:c>
      <x:c r="F73" s="24" t="str">
        <x:v>Ara</x:v>
      </x:c>
      <x:c r="G73" s="24" t="str">
        <x:v>Medium demersals (30 - 89 cm)</x:v>
      </x:c>
      <x:c r="H73" s="24" t="str">
        <x:v>Perch-likes</x:v>
      </x:c>
      <x:c r="I73" s="31" t="n">
        <x:v>2150.2045150656</x:v>
      </x:c>
      <x:c r="J73" s="31" t="n">
        <x:v>2150.2045150656</x:v>
      </x:c>
      <x:c r="K73" s="31" t="n">
        <x:v>0</x:v>
      </x:c>
      <x:c r="L73" s="31" t="n">
        <x:v>0</x:v>
      </x:c>
      <x:c r="M73" s="31" t="n">
        <x:v>2150.2045150656</x:v>
      </x:c>
      <x:c r="N73" s="24" t="str">
        <x:v>niphon spinosus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Niphon spinosus</x:v>
      </x:c>
      <x:c r="T73" s="32" t="n">
        <x:f>IF(O73="","",(1/'Metadata'!$B$5)^(O73-1))</x:f>
        <x:v>3162.2776601683795</x:v>
      </x:c>
      <x:c r="U73" s="31" t="n">
        <x:f>IF(T73="","",I73*T73)</x:f>
        <x:v>6799543.702785131</x:v>
      </x:c>
    </x:row>
    <x:row r="74" ht="18" customHeight="1">
      <x:c r="A74" s="24" t="str">
        <x:v>EEZ_410</x:v>
      </x:c>
      <x:c r="B74" s="24" t="str">
        <x:v>Korea (South)</x:v>
      </x:c>
      <x:c r="C74" s="24" t="str">
        <x:v>EEZ</x:v>
      </x:c>
      <x:c r="D74" s="30" t="n">
        <x:v>2019</x:v>
      </x:c>
      <x:c r="E74" s="24" t="str">
        <x:v>Platycephalus indicus</x:v>
      </x:c>
      <x:c r="F74" s="24" t="str">
        <x:v>Bartail flathead</x:v>
      </x:c>
      <x:c r="G74" s="24" t="str">
        <x:v>Medium demersals (30 - 89 cm)</x:v>
      </x:c>
      <x:c r="H74" s="24" t="str">
        <x:v>Scorpionfishes</x:v>
      </x:c>
      <x:c r="I74" s="31" t="n">
        <x:v>2081.0617016462</x:v>
      </x:c>
      <x:c r="J74" s="31" t="n">
        <x:v>1306.3087355138</x:v>
      </x:c>
      <x:c r="K74" s="31" t="n">
        <x:v>774.7529661324</x:v>
      </x:c>
      <x:c r="L74" s="31" t="n">
        <x:v>1306.3087355138</x:v>
      </x:c>
      <x:c r="M74" s="31" t="n">
        <x:v>774.7529661324</x:v>
      </x:c>
      <x:c r="N74" s="24" t="str">
        <x:v>platycephalus indicus</x:v>
      </x:c>
      <x:c r="O74" s="32" t="n">
        <x:v>3.6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Platycephalus indicus</x:v>
      </x:c>
      <x:c r="T74" s="32" t="n">
        <x:f>IF(O74="","",(1/'Metadata'!$B$5)^(O74-1))</x:f>
        <x:v>398.1071705534973</x:v>
      </x:c>
      <x:c r="U74" s="31" t="n">
        <x:f>IF(T74="","",I74*T74)</x:f>
        <x:v>828485.5857896152</x:v>
      </x:c>
    </x:row>
    <x:row r="75" ht="18" customHeight="1">
      <x:c r="A75" s="24" t="str">
        <x:v>EEZ_410</x:v>
      </x:c>
      <x:c r="B75" s="24" t="str">
        <x:v>Korea (South)</x:v>
      </x:c>
      <x:c r="C75" s="24" t="str">
        <x:v>EEZ</x:v>
      </x:c>
      <x:c r="D75" s="30" t="n">
        <x:v>2019</x:v>
      </x:c>
      <x:c r="E75" s="24" t="str">
        <x:v>Congridae</x:v>
      </x:c>
      <x:c r="F75" s="24" t="str">
        <x:v>Conger, garden eels</x:v>
      </x:c>
      <x:c r="G75" s="24" t="str">
        <x:v>Large demersals (&gt;=90 cm)</x:v>
      </x:c>
      <x:c r="H75" s="24" t="str">
        <x:v>Other fishes &amp; inverts</x:v>
      </x:c>
      <x:c r="I75" s="31" t="n">
        <x:v>2033.6320022318</x:v>
      </x:c>
      <x:c r="J75" s="31" t="n">
        <x:v>997.4837579435</x:v>
      </x:c>
      <x:c r="K75" s="31" t="n">
        <x:v>1036.1482442883</x:v>
      </x:c>
      <x:c r="L75" s="31" t="n">
        <x:v>0</x:v>
      </x:c>
      <x:c r="M75" s="31" t="n">
        <x:v>2033.6320022318</x:v>
      </x:c>
      <x:c r="N75" s="24" t="str">
        <x:v>congridae</x:v>
      </x:c>
      <x:c r="O75" s="32" t="n">
        <x:v>4.18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Congridae</x:v>
      </x:c>
      <x:c r="T75" s="32" t="n">
        <x:f>IF(O75="","",(1/'Metadata'!$B$5)^(O75-1))</x:f>
        <x:v>1513.5612484362073</x:v>
      </x:c>
      <x:c r="U75" s="31" t="n">
        <x:f>IF(T75="","",I75*T75)</x:f>
        <x:v>3078026.592157787</x:v>
      </x:c>
    </x:row>
    <x:row r="76" ht="18" customHeight="1">
      <x:c r="A76" s="24" t="str">
        <x:v>EEZ_410</x:v>
      </x:c>
      <x:c r="B76" s="24" t="str">
        <x:v>Korea (South)</x:v>
      </x:c>
      <x:c r="C76" s="24" t="str">
        <x:v>EEZ</x:v>
      </x:c>
      <x:c r="D76" s="30" t="n">
        <x:v>2019</x:v>
      </x:c>
      <x:c r="E76" s="24" t="str">
        <x:v>Lateolabrax japonicus</x:v>
      </x:c>
      <x:c r="F76" s="24" t="str">
        <x:v>Japanese seabass</x:v>
      </x:c>
      <x:c r="G76" s="24" t="str">
        <x:v>Medium reef assoc. fish (30 - 89 cm)</x:v>
      </x:c>
      <x:c r="H76" s="24" t="str">
        <x:v>Perch-likes</x:v>
      </x:c>
      <x:c r="I76" s="31" t="n">
        <x:v>1940.9999999999</x:v>
      </x:c>
      <x:c r="J76" s="31" t="n">
        <x:v>1940.9999999999</x:v>
      </x:c>
      <x:c r="K76" s="31" t="n">
        <x:v>0</x:v>
      </x:c>
      <x:c r="L76" s="31" t="n">
        <x:v>1940.9999999999</x:v>
      </x:c>
      <x:c r="M76" s="31" t="n">
        <x:v>0</x:v>
      </x:c>
      <x:c r="N76" s="24" t="str">
        <x:v>lateolabrax japonicus</x:v>
      </x:c>
      <x:c r="O76" s="32" t="n">
        <x:v>3.36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Lateolabrax japonicus</x:v>
      </x:c>
      <x:c r="T76" s="32" t="n">
        <x:f>IF(O76="","",(1/'Metadata'!$B$5)^(O76-1))</x:f>
        <x:v>229.08676527677724</x:v>
      </x:c>
      <x:c r="U76" s="31" t="n">
        <x:f>IF(T76="","",I76*T76)</x:f>
        <x:v>444657.4114022017</x:v>
      </x:c>
    </x:row>
    <x:row r="77" ht="18" customHeight="1">
      <x:c r="A77" s="24" t="str">
        <x:v>EEZ_410</x:v>
      </x:c>
      <x:c r="B77" s="24" t="str">
        <x:v>Korea (South)</x:v>
      </x:c>
      <x:c r="C77" s="24" t="str">
        <x:v>EEZ</x:v>
      </x:c>
      <x:c r="D77" s="30" t="n">
        <x:v>2019</x:v>
      </x:c>
      <x:c r="E77" s="24" t="str">
        <x:v>Charybdis</x:v>
      </x:c>
      <x:c r="F77" s="24" t="str">
        <x:v>Whirlpool swimming crabs</x:v>
      </x:c>
      <x:c r="G77" s="24" t="str">
        <x:v>Lobsters, crabs</x:v>
      </x:c>
      <x:c r="H77" s="24" t="str">
        <x:v>Crustaceans</x:v>
      </x:c>
      <x:c r="I77" s="31" t="n">
        <x:v>1934.8698636436</x:v>
      </x:c>
      <x:c r="J77" s="31" t="n">
        <x:v>1175.817500205</x:v>
      </x:c>
      <x:c r="K77" s="31" t="n">
        <x:v>759.0523634386</x:v>
      </x:c>
      <x:c r="L77" s="31" t="n">
        <x:v>1175.817500205</x:v>
      </x:c>
      <x:c r="M77" s="31" t="n">
        <x:v>759.0523634386</x:v>
      </x:c>
      <x:c r="N77" s="24" t="str">
        <x:v>charybdis</x:v>
      </x:c>
      <x:c r="O77" s="32" t="n">
        <x:v>2.7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Charybdis</x:v>
      </x:c>
      <x:c r="T77" s="32" t="n">
        <x:f>IF(O77="","",(1/'Metadata'!$B$5)^(O77-1))</x:f>
        <x:v>50.11872336272725</x:v>
      </x:c>
      <x:c r="U77" s="31" t="n">
        <x:f>IF(T77="","",I77*T77)</x:f>
        <x:v>96973.20743883139</x:v>
      </x:c>
    </x:row>
    <x:row r="78" ht="18" customHeight="1">
      <x:c r="A78" s="24" t="str">
        <x:v>EEZ_410</x:v>
      </x:c>
      <x:c r="B78" s="24" t="str">
        <x:v>Korea (South)</x:v>
      </x:c>
      <x:c r="C78" s="24" t="str">
        <x:v>EEZ</x:v>
      </x:c>
      <x:c r="D78" s="30" t="n">
        <x:v>2019</x:v>
      </x:c>
      <x:c r="E78" s="24" t="str">
        <x:v>Stephanolepis cirrhifer</x:v>
      </x:c>
      <x:c r="F78" s="24" t="str">
        <x:v>Threadsail filefish</x:v>
      </x:c>
      <x:c r="G78" s="24" t="str">
        <x:v>Small demersals (&lt;30 cm)</x:v>
      </x:c>
      <x:c r="H78" s="24" t="str">
        <x:v>Other fishes &amp; inverts</x:v>
      </x:c>
      <x:c r="I78" s="31" t="n">
        <x:v>1820.9985003214001</x:v>
      </x:c>
      <x:c r="J78" s="31" t="n">
        <x:v>1820.9985003214001</x:v>
      </x:c>
      <x:c r="K78" s="31" t="n">
        <x:v>0</x:v>
      </x:c>
      <x:c r="L78" s="31" t="n">
        <x:v>1820.9985003214001</x:v>
      </x:c>
      <x:c r="M78" s="31" t="n">
        <x:v>0</x:v>
      </x:c>
      <x:c r="N78" s="24" t="str">
        <x:v>stephanolepis cirrhifer</x:v>
      </x:c>
      <x:c r="O78" s="32" t="n">
        <x:v>2.84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Stephanolepis cirrhifer</x:v>
      </x:c>
      <x:c r="T78" s="32" t="n">
        <x:f>IF(O78="","",(1/'Metadata'!$B$5)^(O78-1))</x:f>
        <x:v>69.18309709189363</x:v>
      </x:c>
      <x:c r="U78" s="31" t="n">
        <x:f>IF(T78="","",I78*T78)</x:f>
        <x:v>125982.31605192812</x:v>
      </x:c>
    </x:row>
    <x:row r="79" ht="18" customHeight="1">
      <x:c r="A79" s="24" t="str">
        <x:v>EEZ_410</x:v>
      </x:c>
      <x:c r="B79" s="24" t="str">
        <x:v>Korea (South)</x:v>
      </x:c>
      <x:c r="C79" s="24" t="str">
        <x:v>EEZ</x:v>
      </x:c>
      <x:c r="D79" s="30" t="n">
        <x:v>2019</x:v>
      </x:c>
      <x:c r="E79" s="24" t="str">
        <x:v>Katsuwonus pelamis</x:v>
      </x:c>
      <x:c r="F79" s="24" t="str">
        <x:v>Skipjack tuna</x:v>
      </x:c>
      <x:c r="G79" s="24" t="str">
        <x:v>Large pelagics (&gt;=90 cm)</x:v>
      </x:c>
      <x:c r="H79" s="24" t="str">
        <x:v>Tuna &amp; billfishes</x:v>
      </x:c>
      <x:c r="I79" s="31" t="n">
        <x:v>1809.3815506029</x:v>
      </x:c>
      <x:c r="J79" s="31" t="n">
        <x:v>1784.7524095214</x:v>
      </x:c>
      <x:c r="K79" s="31" t="n">
        <x:v>24.6291410815</x:v>
      </x:c>
      <x:c r="L79" s="31" t="n">
        <x:v>1784.7524095214</x:v>
      </x:c>
      <x:c r="M79" s="31" t="n">
        <x:v>24.6291410815</x:v>
      </x:c>
      <x:c r="N79" s="24" t="str">
        <x:v>katsuwonus pelamis</x:v>
      </x:c>
      <x:c r="O79" s="32" t="n">
        <x:v>4.43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Katsuwonus pelamis</x:v>
      </x:c>
      <x:c r="T79" s="32" t="n">
        <x:f>IF(O79="","",(1/'Metadata'!$B$5)^(O79-1))</x:f>
        <x:v>2691.534803926914</x:v>
      </x:c>
      <x:c r="U79" s="31" t="n">
        <x:f>IF(T79="","",I79*T79)</x:f>
        <x:v>4870013.417030952</x:v>
      </x:c>
    </x:row>
    <x:row r="80" ht="18" customHeight="1">
      <x:c r="A80" s="24" t="str">
        <x:v>EEZ_410</x:v>
      </x:c>
      <x:c r="B80" s="24" t="str">
        <x:v>Korea (South)</x:v>
      </x:c>
      <x:c r="C80" s="24" t="str">
        <x:v>EEZ</x:v>
      </x:c>
      <x:c r="D80" s="30" t="n">
        <x:v>2019</x:v>
      </x:c>
      <x:c r="E80" s="24" t="str">
        <x:v>Chelidonichthys kumu</x:v>
      </x:c>
      <x:c r="F80" s="24" t="str">
        <x:v>Bluefin gurnard</x:v>
      </x:c>
      <x:c r="G80" s="24" t="str">
        <x:v>Medium demersals (30 - 89 cm)</x:v>
      </x:c>
      <x:c r="H80" s="24" t="str">
        <x:v>Scorpionfishes</x:v>
      </x:c>
      <x:c r="I80" s="31" t="n">
        <x:v>1659.9999999999</x:v>
      </x:c>
      <x:c r="J80" s="31" t="n">
        <x:v>1659.9999999999</x:v>
      </x:c>
      <x:c r="K80" s="31" t="n">
        <x:v>0</x:v>
      </x:c>
      <x:c r="L80" s="31" t="n">
        <x:v>1659.9999999999</x:v>
      </x:c>
      <x:c r="M80" s="31" t="n">
        <x:v>0</x:v>
      </x:c>
      <x:c r="N80" s="24" t="str">
        <x:v>chelidonichthys kumu</x:v>
      </x:c>
      <x:c r="O80" s="32" t="n">
        <x:v>3.68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Chelidonichthys kumu</x:v>
      </x:c>
      <x:c r="T80" s="32" t="n">
        <x:f>IF(O80="","",(1/'Metadata'!$B$5)^(O80-1))</x:f>
        <x:v>478.6300923226385</x:v>
      </x:c>
      <x:c r="U80" s="31" t="n">
        <x:f>IF(T80="","",I80*T80)</x:f>
        <x:v>794525.9532555321</x:v>
      </x:c>
    </x:row>
    <x:row r="81" ht="18" customHeight="1">
      <x:c r="A81" s="24" t="str">
        <x:v>EEZ_410</x:v>
      </x:c>
      <x:c r="B81" s="24" t="str">
        <x:v>Korea (South)</x:v>
      </x:c>
      <x:c r="C81" s="24" t="str">
        <x:v>EEZ</x:v>
      </x:c>
      <x:c r="D81" s="30" t="n">
        <x:v>2019</x:v>
      </x:c>
      <x:c r="E81" s="24" t="str">
        <x:v>Portunidae</x:v>
      </x:c>
      <x:c r="F81" s="24" t="str">
        <x:v>Swimming crabs</x:v>
      </x:c>
      <x:c r="G81" s="24" t="str">
        <x:v>Lobsters, crabs</x:v>
      </x:c>
      <x:c r="H81" s="24" t="str">
        <x:v>Crustaceans</x:v>
      </x:c>
      <x:c r="I81" s="31" t="n">
        <x:v>1515.6459188601</x:v>
      </x:c>
      <x:c r="J81" s="31" t="n">
        <x:v>329.7995421267</x:v>
      </x:c>
      <x:c r="K81" s="31" t="n">
        <x:v>1185.8463767334</x:v>
      </x:c>
      <x:c r="L81" s="31" t="n">
        <x:v>0</x:v>
      </x:c>
      <x:c r="M81" s="31" t="n">
        <x:v>1515.6459188601</x:v>
      </x:c>
      <x:c r="N81" s="24" t="str">
        <x:v>portunidae</x:v>
      </x:c>
      <x:c r="O81" s="32" t="n">
        <x:v>3.56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Portunidae</x:v>
      </x:c>
      <x:c r="T81" s="32" t="n">
        <x:f>IF(O81="","",(1/'Metadata'!$B$5)^(O81-1))</x:f>
        <x:v>363.0780547701014</x:v>
      </x:c>
      <x:c r="U81" s="31" t="n">
        <x:f>IF(T81="","",I81*T81)</x:f>
        <x:v>550297.771939968</x:v>
      </x:c>
    </x:row>
    <x:row r="82" ht="18" customHeight="1">
      <x:c r="A82" s="24" t="str">
        <x:v>EEZ_410</x:v>
      </x:c>
      <x:c r="B82" s="24" t="str">
        <x:v>Korea (South)</x:v>
      </x:c>
      <x:c r="C82" s="24" t="str">
        <x:v>EEZ</x:v>
      </x:c>
      <x:c r="D82" s="30" t="n">
        <x:v>2019</x:v>
      </x:c>
      <x:c r="E82" s="24" t="str">
        <x:v>Rhopilema esculentum</x:v>
      </x:c>
      <x:c r="F82" s="24" t="str">
        <x:v>Flame jellyfish</x:v>
      </x:c>
      <x:c r="G82" s="24" t="str">
        <x:v>Jellyfish</x:v>
      </x:c>
      <x:c r="H82" s="24" t="str">
        <x:v>Other fishes &amp; inverts</x:v>
      </x:c>
      <x:c r="I82" s="31" t="n">
        <x:v>1499.1624205657</x:v>
      </x:c>
      <x:c r="J82" s="31" t="n">
        <x:v>1499.1624205657</x:v>
      </x:c>
      <x:c r="K82" s="31" t="n">
        <x:v>0</x:v>
      </x:c>
      <x:c r="L82" s="31" t="n">
        <x:v>0</x:v>
      </x:c>
      <x:c r="M82" s="31" t="n">
        <x:v>1499.1624205657</x:v>
      </x:c>
      <x:c r="N82" s="24" t="str">
        <x:v>rhopilema esculentum</x:v>
      </x:c>
      <x:c r="O82" s="32" t="n">
        <x:v>3.01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Rhopilema esculentum</x:v>
      </x:c>
      <x:c r="T82" s="32" t="n">
        <x:f>IF(O82="","",(1/'Metadata'!$B$5)^(O82-1))</x:f>
        <x:v>102.32929922807536</x:v>
      </x:c>
      <x:c r="U82" s="31" t="n">
        <x:f>IF(T82="","",I82*T82)</x:f>
        <x:v>153408.23992555327</x:v>
      </x:c>
    </x:row>
    <x:row r="83" ht="18" customHeight="1">
      <x:c r="A83" s="24" t="str">
        <x:v>EEZ_410</x:v>
      </x:c>
      <x:c r="B83" s="24" t="str">
        <x:v>Korea (South)</x:v>
      </x:c>
      <x:c r="C83" s="24" t="str">
        <x:v>EEZ</x:v>
      </x:c>
      <x:c r="D83" s="30" t="n">
        <x:v>2019</x:v>
      </x:c>
      <x:c r="E83" s="24" t="str">
        <x:v>Penaeidae</x:v>
      </x:c>
      <x:c r="F83" s="24" t="str">
        <x:v>Commercial shrimps and prawns</x:v>
      </x:c>
      <x:c r="G83" s="24" t="str">
        <x:v>Shrimps</x:v>
      </x:c>
      <x:c r="H83" s="24" t="str">
        <x:v>Crustaceans</x:v>
      </x:c>
      <x:c r="I83" s="31" t="n">
        <x:v>1454.9104099738</x:v>
      </x:c>
      <x:c r="J83" s="31" t="n">
        <x:v>300.6866032869</x:v>
      </x:c>
      <x:c r="K83" s="31" t="n">
        <x:v>1154.2238066869</x:v>
      </x:c>
      <x:c r="L83" s="31" t="n">
        <x:v>296.9999999999</x:v>
      </x:c>
      <x:c r="M83" s="31" t="n">
        <x:v>1157.9104099739</x:v>
      </x:c>
      <x:c r="N83" s="24" t="str">
        <x:v>penaeidae</x:v>
      </x:c>
      <x:c r="O83" s="32" t="n">
        <x:v>3.31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Penaeidae</x:v>
      </x:c>
      <x:c r="T83" s="32" t="n">
        <x:f>IF(O83="","",(1/'Metadata'!$B$5)^(O83-1))</x:f>
        <x:v>204.17379446695296</x:v>
      </x:c>
      <x:c r="U83" s="31" t="n">
        <x:f>IF(T83="","",I83*T83)</x:f>
        <x:v>297054.5790138209</x:v>
      </x:c>
    </x:row>
    <x:row r="84" ht="18" customHeight="1">
      <x:c r="A84" s="24" t="str">
        <x:v>EEZ_410</x:v>
      </x:c>
      <x:c r="B84" s="24" t="str">
        <x:v>Korea (South)</x:v>
      </x:c>
      <x:c r="C84" s="24" t="str">
        <x:v>EEZ</x:v>
      </x:c>
      <x:c r="D84" s="30" t="n">
        <x:v>2019</x:v>
      </x:c>
      <x:c r="E84" s="24" t="str">
        <x:v>Pennahia argentata</x:v>
      </x:c>
      <x:c r="F84" s="24" t="str">
        <x:v>Silver croaker</x:v>
      </x:c>
      <x:c r="G84" s="24" t="str">
        <x:v>Medium benthopelagics (30 - 89 cm)</x:v>
      </x:c>
      <x:c r="H84" s="24" t="str">
        <x:v>Perch-likes</x:v>
      </x:c>
      <x:c r="I84" s="31" t="n">
        <x:v>1407.5878062742</x:v>
      </x:c>
      <x:c r="J84" s="31" t="n">
        <x:v>1407.5878062742</x:v>
      </x:c>
      <x:c r="K84" s="31" t="n">
        <x:v>0</x:v>
      </x:c>
      <x:c r="L84" s="31" t="n">
        <x:v>1407.5878062742</x:v>
      </x:c>
      <x:c r="M84" s="31" t="n">
        <x:v>0</x:v>
      </x:c>
      <x:c r="N84" s="24" t="str">
        <x:v>pennahia argentata</x:v>
      </x:c>
      <x:c r="O84" s="32" t="n">
        <x:v>3.47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Pennahia argentata</x:v>
      </x:c>
      <x:c r="T84" s="32" t="n">
        <x:f>IF(O84="","",(1/'Metadata'!$B$5)^(O84-1))</x:f>
        <x:v>295.1209226666387</x:v>
      </x:c>
      <x:c r="U84" s="31" t="n">
        <x:f>IF(T84="","",I84*T84)</x:f>
        <x:v>415408.61212195177</x:v>
      </x:c>
    </x:row>
    <x:row r="85" ht="18" customHeight="1">
      <x:c r="A85" s="24" t="str">
        <x:v>EEZ_410</x:v>
      </x:c>
      <x:c r="B85" s="24" t="str">
        <x:v>Korea (South)</x:v>
      </x:c>
      <x:c r="C85" s="24" t="str">
        <x:v>EEZ</x:v>
      </x:c>
      <x:c r="D85" s="30" t="n">
        <x:v>2019</x:v>
      </x:c>
      <x:c r="E85" s="24" t="str">
        <x:v>Pampus argenteus</x:v>
      </x:c>
      <x:c r="F85" s="24" t="str">
        <x:v>Silver pomfret</x:v>
      </x:c>
      <x:c r="G85" s="24" t="str">
        <x:v>Medium benthopelagics (30 - 89 cm)</x:v>
      </x:c>
      <x:c r="H85" s="24" t="str">
        <x:v>Perch-likes</x:v>
      </x:c>
      <x:c r="I85" s="31" t="n">
        <x:v>1328.1479419411</x:v>
      </x:c>
      <x:c r="J85" s="31" t="n">
        <x:v>0</x:v>
      </x:c>
      <x:c r="K85" s="31" t="n">
        <x:v>1328.1479419411</x:v>
      </x:c>
      <x:c r="L85" s="31" t="n">
        <x:v>0</x:v>
      </x:c>
      <x:c r="M85" s="31" t="n">
        <x:v>1328.1479419411</x:v>
      </x:c>
      <x:c r="N85" s="24" t="str">
        <x:v>pampus argenteus</x:v>
      </x:c>
      <x:c r="O85" s="32" t="n">
        <x:v>3.3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Pampus argenteus</x:v>
      </x:c>
      <x:c r="T85" s="32" t="n">
        <x:f>IF(O85="","",(1/'Metadata'!$B$5)^(O85-1))</x:f>
        <x:v>199.52623149688787</x:v>
      </x:c>
      <x:c r="U85" s="31" t="n">
        <x:f>IF(T85="","",I85*T85)</x:f>
        <x:v>265000.3537258551</x:v>
      </x:c>
    </x:row>
    <x:row r="86" ht="18" customHeight="1">
      <x:c r="A86" s="24" t="str">
        <x:v>EEZ_410</x:v>
      </x:c>
      <x:c r="B86" s="24" t="str">
        <x:v>Korea (South)</x:v>
      </x:c>
      <x:c r="C86" s="24" t="str">
        <x:v>EEZ</x:v>
      </x:c>
      <x:c r="D86" s="30" t="n">
        <x:v>2019</x:v>
      </x:c>
      <x:c r="E86" s="24" t="str">
        <x:v>Liparis tanakae</x:v>
      </x:c>
      <x:c r="F86" s="24" t="str">
        <x:v>Tanaka's snailfish</x:v>
      </x:c>
      <x:c r="G86" s="24" t="str">
        <x:v>Medium demersals (30 - 89 cm)</x:v>
      </x:c>
      <x:c r="H86" s="24" t="str">
        <x:v>Scorpionfishes</x:v>
      </x:c>
      <x:c r="I86" s="31" t="n">
        <x:v>1217.4689467794</x:v>
      </x:c>
      <x:c r="J86" s="31" t="n">
        <x:v>0</x:v>
      </x:c>
      <x:c r="K86" s="31" t="n">
        <x:v>1217.4689467794</x:v>
      </x:c>
      <x:c r="L86" s="31" t="n">
        <x:v>0</x:v>
      </x:c>
      <x:c r="M86" s="31" t="n">
        <x:v>1217.4689467794</x:v>
      </x:c>
      <x:c r="N86" s="24" t="str">
        <x:v>liparis tanakae</x:v>
      </x:c>
      <x:c r="O86" s="32" t="n">
        <x:v>3.42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Liparis tanakae</x:v>
      </x:c>
      <x:c r="T86" s="32" t="n">
        <x:f>IF(O86="","",(1/'Metadata'!$B$5)^(O86-1))</x:f>
        <x:v>263.02679918953817</x:v>
      </x:c>
      <x:c r="U86" s="31" t="n">
        <x:f>IF(T86="","",I86*T86)</x:f>
        <x:v>320226.9601840438</x:v>
      </x:c>
    </x:row>
    <x:row r="87" ht="18" customHeight="1">
      <x:c r="A87" s="24" t="str">
        <x:v>EEZ_410</x:v>
      </x:c>
      <x:c r="B87" s="24" t="str">
        <x:v>Korea (South)</x:v>
      </x:c>
      <x:c r="C87" s="24" t="str">
        <x:v>EEZ</x:v>
      </x:c>
      <x:c r="D87" s="30" t="n">
        <x:v>2019</x:v>
      </x:c>
      <x:c r="E87" s="24" t="str">
        <x:v>Cephalopoda</x:v>
      </x:c>
      <x:c r="F87" s="24" t="str">
        <x:v>Squids, cuttlefishes, octopuses</x:v>
      </x:c>
      <x:c r="G87" s="24" t="str">
        <x:v>Cephalopods</x:v>
      </x:c>
      <x:c r="H87" s="24" t="str">
        <x:v>Other fishes &amp; inverts</x:v>
      </x:c>
      <x:c r="I87" s="31" t="n">
        <x:v>952.7287613809</x:v>
      </x:c>
      <x:c r="J87" s="31" t="n">
        <x:v>952.7287613809</x:v>
      </x:c>
      <x:c r="K87" s="31" t="n">
        <x:v>0</x:v>
      </x:c>
      <x:c r="L87" s="31" t="n">
        <x:v>952.7287613809</x:v>
      </x:c>
      <x:c r="M87" s="31" t="n">
        <x:v>0</x:v>
      </x:c>
      <x:c r="N87" s="24" t="str">
        <x:v>cephalopoda</x:v>
      </x:c>
      <x:c r="O87" s="32" t="n">
        <x:v>3.81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Cephalopoda</x:v>
      </x:c>
      <x:c r="T87" s="32" t="n">
        <x:f>IF(O87="","",(1/'Metadata'!$B$5)^(O87-1))</x:f>
        <x:v>645.6542290346556</x:v>
      </x:c>
      <x:c r="U87" s="31" t="n">
        <x:f>IF(T87="","",I87*T87)</x:f>
        <x:v>615133.3539085273</x:v>
      </x:c>
    </x:row>
    <x:row r="88" ht="18" customHeight="1">
      <x:c r="A88" s="24" t="str">
        <x:v>EEZ_410</x:v>
      </x:c>
      <x:c r="B88" s="24" t="str">
        <x:v>Korea (South)</x:v>
      </x:c>
      <x:c r="C88" s="24" t="str">
        <x:v>EEZ</x:v>
      </x:c>
      <x:c r="D88" s="30" t="n">
        <x:v>2019</x:v>
      </x:c>
      <x:c r="E88" s="24" t="str">
        <x:v>Scombridae</x:v>
      </x:c>
      <x:c r="F88" s="24" t="str">
        <x:v>Mackerels, tunas, bonitos</x:v>
      </x:c>
      <x:c r="G88" s="24" t="str">
        <x:v>Medium pelagics (30 - 89 cm)</x:v>
      </x:c>
      <x:c r="H88" s="24" t="str">
        <x:v>Perch-likes</x:v>
      </x:c>
      <x:c r="I88" s="31" t="n">
        <x:v>937.678336323</x:v>
      </x:c>
      <x:c r="J88" s="31" t="n">
        <x:v>936.0770566892</x:v>
      </x:c>
      <x:c r="K88" s="31" t="n">
        <x:v>1.6012796338</x:v>
      </x:c>
      <x:c r="L88" s="31" t="n">
        <x:v>936.0770566892</x:v>
      </x:c>
      <x:c r="M88" s="31" t="n">
        <x:v>1.6012796338</x:v>
      </x:c>
      <x:c r="N88" s="24" t="str">
        <x:v>scombridae</x:v>
      </x:c>
      <x:c r="O88" s="32" t="n">
        <x:v>4.26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Scombridae</x:v>
      </x:c>
      <x:c r="T88" s="32" t="n">
        <x:f>IF(O88="","",(1/'Metadata'!$B$5)^(O88-1))</x:f>
        <x:v>1819.7008586099826</x:v>
      </x:c>
      <x:c r="U88" s="31" t="n">
        <x:f>IF(T88="","",I88*T88)</x:f>
        <x:v>1706294.0737069433</x:v>
      </x:c>
    </x:row>
    <x:row r="89" ht="18" customHeight="1">
      <x:c r="A89" s="24" t="str">
        <x:v>EEZ_410</x:v>
      </x:c>
      <x:c r="B89" s="24" t="str">
        <x:v>Korea (South)</x:v>
      </x:c>
      <x:c r="C89" s="24" t="str">
        <x:v>EEZ</x:v>
      </x:c>
      <x:c r="D89" s="30" t="n">
        <x:v>2019</x:v>
      </x:c>
      <x:c r="E89" s="24" t="str">
        <x:v>Gobiidae</x:v>
      </x:c>
      <x:c r="F89" s="24" t="str">
        <x:v>Gobies</x:v>
      </x:c>
      <x:c r="G89" s="24" t="str">
        <x:v>Small reef assoc. fish (&lt;30 cm)</x:v>
      </x:c>
      <x:c r="H89" s="24" t="str">
        <x:v>Perch-likes</x:v>
      </x:c>
      <x:c r="I89" s="31" t="n">
        <x:v>920.0349089593</x:v>
      </x:c>
      <x:c r="J89" s="31" t="n">
        <x:v>414.00000000020003</x:v>
      </x:c>
      <x:c r="K89" s="31" t="n">
        <x:v>506.0349089591</x:v>
      </x:c>
      <x:c r="L89" s="31" t="n">
        <x:v>414.00000000020003</x:v>
      </x:c>
      <x:c r="M89" s="31" t="n">
        <x:v>506.0349089591</x:v>
      </x:c>
      <x:c r="N89" s="24" t="str">
        <x:v>gobiidae</x:v>
      </x:c>
      <x:c r="O89" s="32" t="n">
        <x:v>3.11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Gobiidae</x:v>
      </x:c>
      <x:c r="T89" s="32" t="n">
        <x:f>IF(O89="","",(1/'Metadata'!$B$5)^(O89-1))</x:f>
        <x:v>128.82495516931337</x:v>
      </x:c>
      <x:c r="U89" s="31" t="n">
        <x:f>IF(T89="","",I89*T89)</x:f>
        <x:v>118523.45590088512</x:v>
      </x:c>
    </x:row>
    <x:row r="90" ht="18" customHeight="1">
      <x:c r="A90" s="24" t="str">
        <x:v>EEZ_410</x:v>
      </x:c>
      <x:c r="B90" s="24" t="str">
        <x:v>Korea (South)</x:v>
      </x:c>
      <x:c r="C90" s="24" t="str">
        <x:v>EEZ</x:v>
      </x:c>
      <x:c r="D90" s="30" t="n">
        <x:v>2019</x:v>
      </x:c>
      <x:c r="E90" s="24" t="str">
        <x:v>Engraulidae</x:v>
      </x:c>
      <x:c r="F90" s="24" t="str">
        <x:v>Anchovies, round herrings</x:v>
      </x:c>
      <x:c r="G90" s="24" t="str">
        <x:v>Small pelagics (&lt;30 cm)</x:v>
      </x:c>
      <x:c r="H90" s="24" t="str">
        <x:v>Anchovies</x:v>
      </x:c>
      <x:c r="I90" s="31" t="n">
        <x:v>917.0545313405</x:v>
      </x:c>
      <x:c r="J90" s="31" t="n">
        <x:v>0</x:v>
      </x:c>
      <x:c r="K90" s="31" t="n">
        <x:v>917.0545313405</x:v>
      </x:c>
      <x:c r="L90" s="31" t="n">
        <x:v>0</x:v>
      </x:c>
      <x:c r="M90" s="31" t="n">
        <x:v>917.0545313405</x:v>
      </x:c>
      <x:c r="N90" s="24" t="str">
        <x:v>engraulidae</x:v>
      </x:c>
      <x:c r="O90" s="32" t="n">
        <x:v>3.2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Engraulidae</x:v>
      </x:c>
      <x:c r="T90" s="32" t="n">
        <x:f>IF(O90="","",(1/'Metadata'!$B$5)^(O90-1))</x:f>
        <x:v>158.48931924611142</x:v>
      </x:c>
      <x:c r="U90" s="31" t="n">
        <x:f>IF(T90="","",I90*T90)</x:f>
        <x:v>145343.3483837176</x:v>
      </x:c>
    </x:row>
    <x:row r="91" ht="18" customHeight="1">
      <x:c r="A91" s="24" t="str">
        <x:v>EEZ_410</x:v>
      </x:c>
      <x:c r="B91" s="24" t="str">
        <x:v>Korea (South)</x:v>
      </x:c>
      <x:c r="C91" s="24" t="str">
        <x:v>EEZ</x:v>
      </x:c>
      <x:c r="D91" s="30" t="n">
        <x:v>2019</x:v>
      </x:c>
      <x:c r="E91" s="24" t="str">
        <x:v>Mytilus coruscus</x:v>
      </x:c>
      <x:c r="F91" s="24" t="str">
        <x:v>Korean mussel</x:v>
      </x:c>
      <x:c r="G91" s="24" t="str">
        <x:v>Other demersal invertebrates</x:v>
      </x:c>
      <x:c r="H91" s="24" t="str">
        <x:v>Molluscs</x:v>
      </x:c>
      <x:c r="I91" s="31" t="n">
        <x:v>803.0000000000999</x:v>
      </x:c>
      <x:c r="J91" s="31" t="n">
        <x:v>803.0000000000999</x:v>
      </x:c>
      <x:c r="K91" s="31" t="n">
        <x:v>0</x:v>
      </x:c>
      <x:c r="L91" s="31" t="n">
        <x:v>803.0000000000999</x:v>
      </x:c>
      <x:c r="M91" s="31" t="n">
        <x:v>0</x:v>
      </x:c>
      <x:c r="N91" s="24" t="str">
        <x:v>mytilus coruscus</x:v>
      </x:c>
      <x:c r="O91" s="32" t="n">
        <x:v>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Mytilus coruscus</x:v>
      </x:c>
      <x:c r="T91" s="32" t="n">
        <x:f>IF(O91="","",(1/'Metadata'!$B$5)^(O91-1))</x:f>
        <x:v>10</x:v>
      </x:c>
      <x:c r="U91" s="31" t="n">
        <x:f>IF(T91="","",I91*T91)</x:f>
        <x:v>8030.0000000009995</x:v>
      </x:c>
    </x:row>
    <x:row r="92" ht="18" customHeight="1">
      <x:c r="A92" s="24" t="str">
        <x:v>EEZ_410</x:v>
      </x:c>
      <x:c r="B92" s="24" t="str">
        <x:v>Korea (South)</x:v>
      </x:c>
      <x:c r="C92" s="24" t="str">
        <x:v>EEZ</x:v>
      </x:c>
      <x:c r="D92" s="30" t="n">
        <x:v>2019</x:v>
      </x:c>
      <x:c r="E92" s="24" t="str">
        <x:v>Ommastrephidae</x:v>
      </x:c>
      <x:c r="F92" s="24" t="str">
        <x:v>Arrow squids</x:v>
      </x:c>
      <x:c r="G92" s="24" t="str">
        <x:v>Cephalopods</x:v>
      </x:c>
      <x:c r="H92" s="24" t="str">
        <x:v>Other fishes &amp; inverts</x:v>
      </x:c>
      <x:c r="I92" s="31" t="n">
        <x:v>782.1989080772</x:v>
      </x:c>
      <x:c r="J92" s="31" t="n">
        <x:v>782.1989080772</x:v>
      </x:c>
      <x:c r="K92" s="31" t="n">
        <x:v>0</x:v>
      </x:c>
      <x:c r="L92" s="31" t="n">
        <x:v>0</x:v>
      </x:c>
      <x:c r="M92" s="31" t="n">
        <x:v>782.1989080772</x:v>
      </x:c>
      <x:c r="N92" s="24" t="str">
        <x:v>ommastrephidae</x:v>
      </x:c>
      <x:c r="O92" s="32" t="n">
        <x:v>4.09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Ommastrephidae</x:v>
      </x:c>
      <x:c r="T92" s="32" t="n">
        <x:f>IF(O92="","",(1/'Metadata'!$B$5)^(O92-1))</x:f>
        <x:v>1230.268770812381</x:v>
      </x:c>
      <x:c r="U92" s="31" t="n">
        <x:f>IF(T92="","",I92*T92)</x:f>
        <x:v>962314.8891709235</x:v>
      </x:c>
    </x:row>
    <x:row r="93" ht="18" customHeight="1">
      <x:c r="A93" s="24" t="str">
        <x:v>EEZ_410</x:v>
      </x:c>
      <x:c r="B93" s="24" t="str">
        <x:v>Korea (South)</x:v>
      </x:c>
      <x:c r="C93" s="24" t="str">
        <x:v>EEZ</x:v>
      </x:c>
      <x:c r="D93" s="30" t="n">
        <x:v>2019</x:v>
      </x:c>
      <x:c r="E93" s="24" t="str">
        <x:v>Octopodidae</x:v>
      </x:c>
      <x:c r="F93" s="24" t="str">
        <x:v>Octopuses</x:v>
      </x:c>
      <x:c r="G93" s="24" t="str">
        <x:v>Cephalopods</x:v>
      </x:c>
      <x:c r="H93" s="24" t="str">
        <x:v>Other fishes &amp; inverts</x:v>
      </x:c>
      <x:c r="I93" s="31" t="n">
        <x:v>782.1989080772</x:v>
      </x:c>
      <x:c r="J93" s="31" t="n">
        <x:v>782.1989080772</x:v>
      </x:c>
      <x:c r="K93" s="31" t="n">
        <x:v>0</x:v>
      </x:c>
      <x:c r="L93" s="31" t="n">
        <x:v>0</x:v>
      </x:c>
      <x:c r="M93" s="31" t="n">
        <x:v>782.1989080772</x:v>
      </x:c>
      <x:c r="N93" s="24" t="str">
        <x:v>octopodidae</x:v>
      </x:c>
      <x:c r="O93" s="32" t="n">
        <x:v>3.59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Octopodidae</x:v>
      </x:c>
      <x:c r="T93" s="32" t="n">
        <x:f>IF(O93="","",(1/'Metadata'!$B$5)^(O93-1))</x:f>
        <x:v>389.04514499428046</x:v>
      </x:c>
      <x:c r="U93" s="31" t="n">
        <x:f>IF(T93="","",I93*T93)</x:f>
        <x:v>304310.68760726217</x:v>
      </x:c>
    </x:row>
    <x:row r="94" ht="18" customHeight="1">
      <x:c r="A94" s="24" t="str">
        <x:v>EEZ_410</x:v>
      </x:c>
      <x:c r="B94" s="24" t="str">
        <x:v>Korea (South)</x:v>
      </x:c>
      <x:c r="C94" s="24" t="str">
        <x:v>EEZ</x:v>
      </x:c>
      <x:c r="D94" s="30" t="n">
        <x:v>2019</x:v>
      </x:c>
      <x:c r="E94" s="24" t="str">
        <x:v>Pectinidae</x:v>
      </x:c>
      <x:c r="F94" s="24" t="str">
        <x:v>Scallops</x:v>
      </x:c>
      <x:c r="G94" s="24" t="str">
        <x:v>Other demersal invertebrates</x:v>
      </x:c>
      <x:c r="H94" s="24" t="str">
        <x:v>Molluscs</x:v>
      </x:c>
      <x:c r="I94" s="31" t="n">
        <x:v>711.0349089589</x:v>
      </x:c>
      <x:c r="J94" s="31" t="n">
        <x:v>204.9999999998</x:v>
      </x:c>
      <x:c r="K94" s="31" t="n">
        <x:v>506.0349089591</x:v>
      </x:c>
      <x:c r="L94" s="31" t="n">
        <x:v>204.9999999998</x:v>
      </x:c>
      <x:c r="M94" s="31" t="n">
        <x:v>506.0349089591</x:v>
      </x:c>
      <x:c r="N94" s="24" t="str">
        <x:v>pectinidae</x:v>
      </x:c>
      <x:c r="O94" s="32" t="n">
        <x:v>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Pectinidae</x:v>
      </x:c>
      <x:c r="T94" s="32" t="n">
        <x:f>IF(O94="","",(1/'Metadata'!$B$5)^(O94-1))</x:f>
        <x:v>10</x:v>
      </x:c>
      <x:c r="U94" s="31" t="n">
        <x:f>IF(T94="","",I94*T94)</x:f>
        <x:v>7110.349089589</x:v>
      </x:c>
    </x:row>
    <x:row r="95" ht="18" customHeight="1">
      <x:c r="A95" s="24" t="str">
        <x:v>EEZ_410</x:v>
      </x:c>
      <x:c r="B95" s="24" t="str">
        <x:v>Korea (South)</x:v>
      </x:c>
      <x:c r="C95" s="24" t="str">
        <x:v>EEZ</x:v>
      </x:c>
      <x:c r="D95" s="30" t="n">
        <x:v>2019</x:v>
      </x:c>
      <x:c r="E95" s="24" t="str">
        <x:v>Hyporhamphus sajori</x:v>
      </x:c>
      <x:c r="F95" s="24" t="str">
        <x:v>Japanese halfbeak</x:v>
      </x:c>
      <x:c r="G95" s="24" t="str">
        <x:v>Medium pelagics (30 - 89 cm)</x:v>
      </x:c>
      <x:c r="H95" s="24" t="str">
        <x:v>Other fishes &amp; inverts</x:v>
      </x:c>
      <x:c r="I95" s="31" t="n">
        <x:v>649.9999999999</x:v>
      </x:c>
      <x:c r="J95" s="31" t="n">
        <x:v>649.9999999999</x:v>
      </x:c>
      <x:c r="K95" s="31" t="n">
        <x:v>0</x:v>
      </x:c>
      <x:c r="L95" s="31" t="n">
        <x:v>649.9999999999</x:v>
      </x:c>
      <x:c r="M95" s="31" t="n">
        <x:v>0</x:v>
      </x:c>
      <x:c r="N95" s="24" t="str">
        <x:v>hyporhamphus sajori</x:v>
      </x:c>
      <x:c r="O95" s="32" t="n">
        <x:v>3.4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Hyporhamphus sajori</x:v>
      </x:c>
      <x:c r="T95" s="32" t="n">
        <x:f>IF(O95="","",(1/'Metadata'!$B$5)^(O95-1))</x:f>
        <x:v>251.18864315095797</x:v>
      </x:c>
      <x:c r="U95" s="31" t="n">
        <x:f>IF(T95="","",I95*T95)</x:f>
        <x:v>163272.61804809756</x:v>
      </x:c>
    </x:row>
    <x:row r="96" ht="18" customHeight="1">
      <x:c r="A96" s="24" t="str">
        <x:v>EEZ_410</x:v>
      </x:c>
      <x:c r="B96" s="24" t="str">
        <x:v>Korea (South)</x:v>
      </x:c>
      <x:c r="C96" s="24" t="str">
        <x:v>EEZ</x:v>
      </x:c>
      <x:c r="D96" s="30" t="n">
        <x:v>2019</x:v>
      </x:c>
      <x:c r="E96" s="24" t="str">
        <x:v>Echinoidea</x:v>
      </x:c>
      <x:c r="F96" s="24" t="str">
        <x:v>Sea urchins, sea hedgehogs</x:v>
      </x:c>
      <x:c r="G96" s="24" t="str">
        <x:v>Other demersal invertebrates</x:v>
      </x:c>
      <x:c r="H96" s="24" t="str">
        <x:v>Other fishes &amp; inverts</x:v>
      </x:c>
      <x:c r="I96" s="31" t="n">
        <x:v>512.5964065776</x:v>
      </x:c>
      <x:c r="J96" s="31" t="n">
        <x:v>6.5614976185</x:v>
      </x:c>
      <x:c r="K96" s="31" t="n">
        <x:v>506.0349089591</x:v>
      </x:c>
      <x:c r="L96" s="31" t="n">
        <x:v>6.5614976185</x:v>
      </x:c>
      <x:c r="M96" s="31" t="n">
        <x:v>506.0349089591</x:v>
      </x:c>
      <x:c r="N96" s="24" t="str">
        <x:v>echinoidea</x:v>
      </x:c>
      <x:c r="O96" s="32" t="n">
        <x:v>2.51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Echinoidea</x:v>
      </x:c>
      <x:c r="T96" s="32" t="n">
        <x:f>IF(O96="","",(1/'Metadata'!$B$5)^(O96-1))</x:f>
        <x:v>32.35936569296281</x:v>
      </x:c>
      <x:c r="U96" s="31" t="n">
        <x:f>IF(T96="","",I96*T96)</x:f>
        <x:v>16587.294573343206</x:v>
      </x:c>
    </x:row>
    <x:row r="97" ht="18" customHeight="1">
      <x:c r="A97" s="24" t="str">
        <x:v>EEZ_410</x:v>
      </x:c>
      <x:c r="B97" s="24" t="str">
        <x:v>Korea (South)</x:v>
      </x:c>
      <x:c r="C97" s="24" t="str">
        <x:v>EEZ</x:v>
      </x:c>
      <x:c r="D97" s="30" t="n">
        <x:v>2019</x:v>
      </x:c>
      <x:c r="E97" s="24" t="str">
        <x:v>Oratosquilla oratoria</x:v>
      </x:c>
      <x:c r="F97" s="24" t="str">
        <x:v>Japanese squillid mantis shrimp</x:v>
      </x:c>
      <x:c r="G97" s="24" t="str">
        <x:v>Shrimps</x:v>
      </x:c>
      <x:c r="H97" s="24" t="str">
        <x:v>Crustaceans</x:v>
      </x:c>
      <x:c r="I97" s="31" t="n">
        <x:v>506.0349089591</x:v>
      </x:c>
      <x:c r="J97" s="31" t="n">
        <x:v>0</x:v>
      </x:c>
      <x:c r="K97" s="31" t="n">
        <x:v>506.0349089591</x:v>
      </x:c>
      <x:c r="L97" s="31" t="n">
        <x:v>0</x:v>
      </x:c>
      <x:c r="M97" s="31" t="n">
        <x:v>506.0349089591</x:v>
      </x:c>
      <x:c r="N97" s="24" t="str">
        <x:v>oratosquilla oratoria</x:v>
      </x:c>
      <x:c r="O97" s="32" t="n">
        <x:v>3.27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Oratosquilla oratoria</x:v>
      </x:c>
      <x:c r="T97" s="32" t="n">
        <x:f>IF(O97="","",(1/'Metadata'!$B$5)^(O97-1))</x:f>
        <x:v>186.20871366628674</x:v>
      </x:c>
      <x:c r="U97" s="31" t="n">
        <x:f>IF(T97="","",I97*T97)</x:f>
        <x:v>94228.10946751053</x:v>
      </x:c>
    </x:row>
    <x:row r="98" ht="18" customHeight="1">
      <x:c r="A98" s="24" t="str">
        <x:v>EEZ_410</x:v>
      </x:c>
      <x:c r="B98" s="24" t="str">
        <x:v>Korea (South)</x:v>
      </x:c>
      <x:c r="C98" s="24" t="str">
        <x:v>EEZ</x:v>
      </x:c>
      <x:c r="D98" s="30" t="n">
        <x:v>2019</x:v>
      </x:c>
      <x:c r="E98" s="24" t="str">
        <x:v>Larimichthys crocea</x:v>
      </x:c>
      <x:c r="F98" s="24" t="str">
        <x:v>Large yellow croaker</x:v>
      </x:c>
      <x:c r="G98" s="24" t="str">
        <x:v>Medium benthopelagics (30 - 89 cm)</x:v>
      </x:c>
      <x:c r="H98" s="24" t="str">
        <x:v>Perch-likes</x:v>
      </x:c>
      <x:c r="I98" s="31" t="n">
        <x:v>412.6399682824</x:v>
      </x:c>
      <x:c r="J98" s="31" t="n">
        <x:v>412.6399682824</x:v>
      </x:c>
      <x:c r="K98" s="31" t="n">
        <x:v>0</x:v>
      </x:c>
      <x:c r="L98" s="31" t="n">
        <x:v>412.6399682824</x:v>
      </x:c>
      <x:c r="M98" s="31" t="n">
        <x:v>0</x:v>
      </x:c>
      <x:c r="N98" s="24" t="str">
        <x:v>larimichthys crocea</x:v>
      </x:c>
      <x:c r="O98" s="32" t="n">
        <x:v>3.72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Larimichthys crocea</x:v>
      </x:c>
      <x:c r="T98" s="32" t="n">
        <x:f>IF(O98="","",(1/'Metadata'!$B$5)^(O98-1))</x:f>
        <x:v>524.8074602497728</x:v>
      </x:c>
      <x:c r="U98" s="31" t="n">
        <x:f>IF(T98="","",I98*T98)</x:f>
        <x:v>216556.53375183314</x:v>
      </x:c>
    </x:row>
    <x:row r="99" ht="18" customHeight="1">
      <x:c r="A99" s="24" t="str">
        <x:v>EEZ_410</x:v>
      </x:c>
      <x:c r="B99" s="24" t="str">
        <x:v>Korea (South)</x:v>
      </x:c>
      <x:c r="C99" s="24" t="str">
        <x:v>EEZ</x:v>
      </x:c>
      <x:c r="D99" s="30" t="n">
        <x:v>2019</x:v>
      </x:c>
      <x:c r="E99" s="24" t="str">
        <x:v>Carangidae</x:v>
      </x:c>
      <x:c r="F99" s="24" t="str">
        <x:v>Jacks, pompanos</x:v>
      </x:c>
      <x:c r="G99" s="24" t="str">
        <x:v>Medium pelagics (30 - 89 cm)</x:v>
      </x:c>
      <x:c r="H99" s="24" t="str">
        <x:v>Perch-likes</x:v>
      </x:c>
      <x:c r="I99" s="31" t="n">
        <x:v>381.1751179901</x:v>
      </x:c>
      <x:c r="J99" s="31" t="n">
        <x:v>381.1751179901</x:v>
      </x:c>
      <x:c r="K99" s="31" t="n">
        <x:v>0</x:v>
      </x:c>
      <x:c r="L99" s="31" t="n">
        <x:v>0</x:v>
      </x:c>
      <x:c r="M99" s="31" t="n">
        <x:v>381.1751179901</x:v>
      </x:c>
      <x:c r="N99" s="24" t="str">
        <x:v>carangidae</x:v>
      </x:c>
      <x:c r="O99" s="32" t="n">
        <x:v>4.05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Carangidae</x:v>
      </x:c>
      <x:c r="T99" s="32" t="n">
        <x:f>IF(O99="","",(1/'Metadata'!$B$5)^(O99-1))</x:f>
        <x:v>1122.018454301963</x:v>
      </x:c>
      <x:c r="U99" s="31" t="n">
        <x:f>IF(T99="","",I99*T99)</x:f>
        <x:v>427685.51670562034</x:v>
      </x:c>
    </x:row>
    <x:row r="100" ht="18" customHeight="1">
      <x:c r="A100" s="24" t="str">
        <x:v>EEZ_410</x:v>
      </x:c>
      <x:c r="B100" s="24" t="str">
        <x:v>Korea (South)</x:v>
      </x:c>
      <x:c r="C100" s="24" t="str">
        <x:v>EEZ</x:v>
      </x:c>
      <x:c r="D100" s="30" t="n">
        <x:v>2019</x:v>
      </x:c>
      <x:c r="E100" s="24" t="str">
        <x:v>Rapana</x:v>
      </x:c>
      <x:c r="F100" s="24" t="str">
        <x:v>Rapa whelks</x:v>
      </x:c>
      <x:c r="G100" s="24" t="str">
        <x:v>Other demersal invertebrates</x:v>
      </x:c>
      <x:c r="H100" s="24" t="str">
        <x:v>Molluscs</x:v>
      </x:c>
      <x:c r="I100" s="31" t="n">
        <x:v>253.0174544795</x:v>
      </x:c>
      <x:c r="J100" s="31" t="n">
        <x:v>0</x:v>
      </x:c>
      <x:c r="K100" s="31" t="n">
        <x:v>253.0174544795</x:v>
      </x:c>
      <x:c r="L100" s="31" t="n">
        <x:v>0</x:v>
      </x:c>
      <x:c r="M100" s="31" t="n">
        <x:v>253.0174544795</x:v>
      </x:c>
      <x:c r="N100" s="24" t="str">
        <x:v>rapana</x:v>
      </x:c>
      <x:c r="O100" s="32" t="n">
        <x:v>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Rapana</x:v>
      </x:c>
      <x:c r="T100" s="32" t="n">
        <x:f>IF(O100="","",(1/'Metadata'!$B$5)^(O100-1))</x:f>
        <x:v>100</x:v>
      </x:c>
      <x:c r="U100" s="31" t="n">
        <x:f>IF(T100="","",I100*T100)</x:f>
        <x:v>25301.74544795</x:v>
      </x:c>
    </x:row>
    <x:row r="101" ht="18" customHeight="1">
      <x:c r="A101" s="24" t="str">
        <x:v>EEZ_410</x:v>
      </x:c>
      <x:c r="B101" s="24" t="str">
        <x:v>Korea (South)</x:v>
      </x:c>
      <x:c r="C101" s="24" t="str">
        <x:v>EEZ</x:v>
      </x:c>
      <x:c r="D101" s="30" t="n">
        <x:v>2019</x:v>
      </x:c>
      <x:c r="E101" s="24" t="str">
        <x:v>Ostreidae</x:v>
      </x:c>
      <x:c r="F101" s="24" t="str">
        <x:v>True oysters</x:v>
      </x:c>
      <x:c r="G101" s="24" t="str">
        <x:v>Other demersal invertebrates</x:v>
      </x:c>
      <x:c r="H101" s="24" t="str">
        <x:v>Molluscs</x:v>
      </x:c>
      <x:c r="I101" s="31" t="n">
        <x:v>223.0247524494</x:v>
      </x:c>
      <x:c r="J101" s="31" t="n">
        <x:v>223.0247524494</x:v>
      </x:c>
      <x:c r="K101" s="31" t="n">
        <x:v>0</x:v>
      </x:c>
      <x:c r="L101" s="31" t="n">
        <x:v>0</x:v>
      </x:c>
      <x:c r="M101" s="31" t="n">
        <x:v>223.0247524494</x:v>
      </x:c>
      <x:c r="N101" s="24" t="str">
        <x:v>ostreidae</x:v>
      </x:c>
      <x:c r="O101" s="32" t="n">
        <x:v>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Ostreidae</x:v>
      </x:c>
      <x:c r="T101" s="32" t="n">
        <x:f>IF(O101="","",(1/'Metadata'!$B$5)^(O101-1))</x:f>
        <x:v>10</x:v>
      </x:c>
      <x:c r="U101" s="31" t="n">
        <x:f>IF(T101="","",I101*T101)</x:f>
        <x:v>2230.247524494</x:v>
      </x:c>
    </x:row>
    <x:row r="102" ht="18" customHeight="1">
      <x:c r="A102" s="24" t="str">
        <x:v>EEZ_410</x:v>
      </x:c>
      <x:c r="B102" s="24" t="str">
        <x:v>Korea (South)</x:v>
      </x:c>
      <x:c r="C102" s="24" t="str">
        <x:v>EEZ</x:v>
      </x:c>
      <x:c r="D102" s="30" t="n">
        <x:v>2019</x:v>
      </x:c>
      <x:c r="E102" s="24" t="str">
        <x:v>Thunnus alalunga</x:v>
      </x:c>
      <x:c r="F102" s="24" t="str">
        <x:v>Albacore</x:v>
      </x:c>
      <x:c r="G102" s="24" t="str">
        <x:v>Large pelagics (&gt;=90 cm)</x:v>
      </x:c>
      <x:c r="H102" s="24" t="str">
        <x:v>Tuna &amp; billfishes</x:v>
      </x:c>
      <x:c r="I102" s="31" t="n">
        <x:v>200.5470844222</x:v>
      </x:c>
      <x:c r="J102" s="31" t="n">
        <x:v>197.9075871501</x:v>
      </x:c>
      <x:c r="K102" s="31" t="n">
        <x:v>2.6394972721</x:v>
      </x:c>
      <x:c r="L102" s="31" t="n">
        <x:v>197.9075871501</x:v>
      </x:c>
      <x:c r="M102" s="31" t="n">
        <x:v>2.6394972721</x:v>
      </x:c>
      <x:c r="N102" s="24" t="str">
        <x:v>thunnus alalunga</x:v>
      </x:c>
      <x:c r="O102" s="32" t="n">
        <x:v>4.3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Thunnus alalunga</x:v>
      </x:c>
      <x:c r="T102" s="32" t="n">
        <x:f>IF(O102="","",(1/'Metadata'!$B$5)^(O102-1))</x:f>
        <x:v>1995.2623149688789</x:v>
      </x:c>
      <x:c r="U102" s="31" t="n">
        <x:f>IF(T102="","",I102*T102)</x:f>
        <x:v>400144.03992449795</x:v>
      </x:c>
    </x:row>
    <x:row r="103" ht="18" customHeight="1">
      <x:c r="A103" s="24" t="str">
        <x:v>EEZ_410</x:v>
      </x:c>
      <x:c r="B103" s="24" t="str">
        <x:v>Korea (South)</x:v>
      </x:c>
      <x:c r="C103" s="24" t="str">
        <x:v>EEZ</x:v>
      </x:c>
      <x:c r="D103" s="30" t="n">
        <x:v>2019</x:v>
      </x:c>
      <x:c r="E103" s="24" t="str">
        <x:v>Elasmobranchii</x:v>
      </x:c>
      <x:c r="F103" s="24" t="str">
        <x:v>Sharks, rays, skates</x:v>
      </x:c>
      <x:c r="G103" s="24" t="str">
        <x:v>Large sharks (&gt;=90 cm)</x:v>
      </x:c>
      <x:c r="H103" s="24" t="str">
        <x:v>Sharks &amp; rays</x:v>
      </x:c>
      <x:c r="I103" s="31" t="n">
        <x:v>197.0016902758</x:v>
      </x:c>
      <x:c r="J103" s="31" t="n">
        <x:v>197.0000000001</x:v>
      </x:c>
      <x:c r="K103" s="31" t="n">
        <x:v>0.0016902757</x:v>
      </x:c>
      <x:c r="L103" s="31" t="n">
        <x:v>197.0000000001</x:v>
      </x:c>
      <x:c r="M103" s="31" t="n">
        <x:v>0.0016902757</x:v>
      </x:c>
      <x:c r="N103" s="24" t="str">
        <x:v>elasmobranchii</x:v>
      </x:c>
      <x:c r="O103" s="32" t="n">
        <x:v>4.05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Elasmobranchii</x:v>
      </x:c>
      <x:c r="T103" s="32" t="n">
        <x:f>IF(O103="","",(1/'Metadata'!$B$5)^(O103-1))</x:f>
        <x:v>1122.018454301963</x:v>
      </x:c>
      <x:c r="U103" s="31" t="n">
        <x:f>IF(T103="","",I103*T103)</x:f>
        <x:v>221039.53201812715</x:v>
      </x:c>
    </x:row>
    <x:row r="104" ht="18" customHeight="1">
      <x:c r="A104" s="24" t="str">
        <x:v>EEZ_410</x:v>
      </x:c>
      <x:c r="B104" s="24" t="str">
        <x:v>Korea (South)</x:v>
      </x:c>
      <x:c r="C104" s="24" t="str">
        <x:v>EEZ</x:v>
      </x:c>
      <x:c r="D104" s="30" t="n">
        <x:v>2019</x:v>
      </x:c>
      <x:c r="E104" s="24" t="str">
        <x:v>Tegillarca granosa</x:v>
      </x:c>
      <x:c r="F104" s="24" t="str">
        <x:v>Granular ark</x:v>
      </x:c>
      <x:c r="G104" s="24" t="str">
        <x:v>Other demersal invertebrates</x:v>
      </x:c>
      <x:c r="H104" s="24" t="str">
        <x:v>Molluscs</x:v>
      </x:c>
      <x:c r="I104" s="31" t="n">
        <x:v>154</x:v>
      </x:c>
      <x:c r="J104" s="31" t="n">
        <x:v>154</x:v>
      </x:c>
      <x:c r="K104" s="31" t="n">
        <x:v>0</x:v>
      </x:c>
      <x:c r="L104" s="31" t="n">
        <x:v>154</x:v>
      </x:c>
      <x:c r="M104" s="31" t="n">
        <x:v>0</x:v>
      </x:c>
      <x:c r="N104" s="24" t="str">
        <x:v>tegillarca granosa</x:v>
      </x:c>
      <x:c r="O104" s="32" t="n">
        <x:v>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Tegillarca granosa</x:v>
      </x:c>
      <x:c r="T104" s="32" t="n">
        <x:f>IF(O104="","",(1/'Metadata'!$B$5)^(O104-1))</x:f>
        <x:v>10</x:v>
      </x:c>
      <x:c r="U104" s="31" t="n">
        <x:f>IF(T104="","",I104*T104)</x:f>
        <x:v>1540</x:v>
      </x:c>
    </x:row>
    <x:row r="105" ht="18" customHeight="1">
      <x:c r="A105" s="24" t="str">
        <x:v>EEZ_410</x:v>
      </x:c>
      <x:c r="B105" s="24" t="str">
        <x:v>Korea (South)</x:v>
      </x:c>
      <x:c r="C105" s="24" t="str">
        <x:v>EEZ</x:v>
      </x:c>
      <x:c r="D105" s="30" t="n">
        <x:v>2019</x:v>
      </x:c>
      <x:c r="E105" s="24" t="str">
        <x:v>Veneridae</x:v>
      </x:c>
      <x:c r="F105" s="24" t="str">
        <x:v>Venus clams</x:v>
      </x:c>
      <x:c r="G105" s="24" t="str">
        <x:v>Other demersal invertebrates</x:v>
      </x:c>
      <x:c r="H105" s="24" t="str">
        <x:v>Molluscs</x:v>
      </x:c>
      <x:c r="I105" s="31" t="n">
        <x:v>126.0130158202</x:v>
      </x:c>
      <x:c r="J105" s="31" t="n">
        <x:v>126.0130158202</x:v>
      </x:c>
      <x:c r="K105" s="31" t="n">
        <x:v>0</x:v>
      </x:c>
      <x:c r="L105" s="31" t="n">
        <x:v>0</x:v>
      </x:c>
      <x:c r="M105" s="31" t="n">
        <x:v>126.0130158202</x:v>
      </x:c>
      <x:c r="N105" s="24" t="str">
        <x:v>veneridae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Veneridae</x:v>
      </x:c>
      <x:c r="T105" s="32" t="n">
        <x:f>IF(O105="","",(1/'Metadata'!$B$5)^(O105-1))</x:f>
        <x:v>10</x:v>
      </x:c>
      <x:c r="U105" s="31" t="n">
        <x:f>IF(T105="","",I105*T105)</x:f>
        <x:v>1260.130158202</x:v>
      </x:c>
    </x:row>
    <x:row r="106" ht="18" customHeight="1">
      <x:c r="A106" s="24" t="str">
        <x:v>EEZ_410</x:v>
      </x:c>
      <x:c r="B106" s="24" t="str">
        <x:v>Korea (South)</x:v>
      </x:c>
      <x:c r="C106" s="24" t="str">
        <x:v>EEZ</x:v>
      </x:c>
      <x:c r="D106" s="30" t="n">
        <x:v>2019</x:v>
      </x:c>
      <x:c r="E106" s="24" t="str">
        <x:v>Haliotis</x:v>
      </x:c>
      <x:c r="F106" s="24" t="str">
        <x:v>Abalones</x:v>
      </x:c>
      <x:c r="G106" s="24" t="str">
        <x:v>Other demersal invertebrates</x:v>
      </x:c>
      <x:c r="H106" s="24" t="str">
        <x:v>Molluscs</x:v>
      </x:c>
      <x:c r="I106" s="31" t="n">
        <x:v>117.99999999999999</x:v>
      </x:c>
      <x:c r="J106" s="31" t="n">
        <x:v>117.99999999999999</x:v>
      </x:c>
      <x:c r="K106" s="31" t="n">
        <x:v>0</x:v>
      </x:c>
      <x:c r="L106" s="31" t="n">
        <x:v>117.99999999999999</x:v>
      </x:c>
      <x:c r="M106" s="31" t="n">
        <x:v>0</x:v>
      </x:c>
      <x:c r="N106" s="24" t="str">
        <x:v>haliotis</x:v>
      </x:c>
      <x:c r="O106" s="32" t="n">
        <x:v>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Haliotis</x:v>
      </x:c>
      <x:c r="T106" s="32" t="n">
        <x:f>IF(O106="","",(1/'Metadata'!$B$5)^(O106-1))</x:f>
        <x:v>10</x:v>
      </x:c>
      <x:c r="U106" s="31" t="n">
        <x:f>IF(T106="","",I106*T106)</x:f>
        <x:v>1179.9999999999998</x:v>
      </x:c>
    </x:row>
    <x:row r="107" ht="18" customHeight="1">
      <x:c r="A107" s="24" t="str">
        <x:v>EEZ_410</x:v>
      </x:c>
      <x:c r="B107" s="24" t="str">
        <x:v>Korea (South)</x:v>
      </x:c>
      <x:c r="C107" s="24" t="str">
        <x:v>EEZ</x:v>
      </x:c>
      <x:c r="D107" s="30" t="n">
        <x:v>2019</x:v>
      </x:c>
      <x:c r="E107" s="24" t="str">
        <x:v>Salmonidae</x:v>
      </x:c>
      <x:c r="F107" s="24" t="str">
        <x:v>Salmonids</x:v>
      </x:c>
      <x:c r="G107" s="24" t="str">
        <x:v>Large benthopelagics (&gt;=90 cm)</x:v>
      </x:c>
      <x:c r="H107" s="24" t="str">
        <x:v>Salmon, smelts, etc</x:v>
      </x:c>
      <x:c r="I107" s="31" t="n">
        <x:v>100</x:v>
      </x:c>
      <x:c r="J107" s="31" t="n">
        <x:v>100</x:v>
      </x:c>
      <x:c r="K107" s="31" t="n">
        <x:v>0</x:v>
      </x:c>
      <x:c r="L107" s="31" t="n">
        <x:v>100</x:v>
      </x:c>
      <x:c r="M107" s="31" t="n">
        <x:v>0</x:v>
      </x:c>
      <x:c r="N107" s="24" t="str">
        <x:v>salmonidae</x:v>
      </x:c>
      <x:c r="O107" s="32" t="n">
        <x:v>3.3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Salmonidae</x:v>
      </x:c>
      <x:c r="T107" s="32" t="n">
        <x:f>IF(O107="","",(1/'Metadata'!$B$5)^(O107-1))</x:f>
        <x:v>199.52623149688787</x:v>
      </x:c>
      <x:c r="U107" s="31" t="n">
        <x:f>IF(T107="","",I107*T107)</x:f>
        <x:v>19952.62314968879</x:v>
      </x:c>
    </x:row>
    <x:row r="108" ht="18" customHeight="1">
      <x:c r="A108" s="24" t="str">
        <x:v>EEZ_410</x:v>
      </x:c>
      <x:c r="B108" s="24" t="str">
        <x:v>Korea (South)</x:v>
      </x:c>
      <x:c r="C108" s="24" t="str">
        <x:v>EEZ</x:v>
      </x:c>
      <x:c r="D108" s="30" t="n">
        <x:v>2019</x:v>
      </x:c>
      <x:c r="E108" s="24" t="str">
        <x:v>Cardiidae</x:v>
      </x:c>
      <x:c r="F108" s="24" t="str">
        <x:v>Cockles</x:v>
      </x:c>
      <x:c r="G108" s="24" t="str">
        <x:v>Other demersal invertebrates</x:v>
      </x:c>
      <x:c r="H108" s="24" t="str">
        <x:v>Molluscs</x:v>
      </x:c>
      <x:c r="I108" s="31" t="n">
        <x:v>49</x:v>
      </x:c>
      <x:c r="J108" s="31" t="n">
        <x:v>49</x:v>
      </x:c>
      <x:c r="K108" s="31" t="n">
        <x:v>0</x:v>
      </x:c>
      <x:c r="L108" s="31" t="n">
        <x:v>49</x:v>
      </x:c>
      <x:c r="M108" s="31" t="n">
        <x:v>0</x:v>
      </x:c>
      <x:c r="N108" s="24" t="str">
        <x:v>cardiidae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Cardiidae</x:v>
      </x:c>
      <x:c r="T108" s="32" t="n">
        <x:f>IF(O108="","",(1/'Metadata'!$B$5)^(O108-1))</x:f>
        <x:v>10</x:v>
      </x:c>
      <x:c r="U108" s="31" t="n">
        <x:f>IF(T108="","",I108*T108)</x:f>
        <x:v>490</x:v>
      </x:c>
    </x:row>
    <x:row r="109" ht="18" customHeight="1">
      <x:c r="A109" s="24" t="str">
        <x:v>EEZ_410</x:v>
      </x:c>
      <x:c r="B109" s="24" t="str">
        <x:v>Korea (South)</x:v>
      </x:c>
      <x:c r="C109" s="24" t="str">
        <x:v>EEZ</x:v>
      </x:c>
      <x:c r="D109" s="30" t="n">
        <x:v>2019</x:v>
      </x:c>
      <x:c r="E109" s="24" t="str">
        <x:v>Mactridae</x:v>
      </x:c>
      <x:c r="F109" s="24" t="str">
        <x:v>Mactra surf clams</x:v>
      </x:c>
      <x:c r="G109" s="24" t="str">
        <x:v>Other demersal invertebrates</x:v>
      </x:c>
      <x:c r="H109" s="24" t="str">
        <x:v>Molluscs</x:v>
      </x:c>
      <x:c r="I109" s="31" t="n">
        <x:v>46.0000000001</x:v>
      </x:c>
      <x:c r="J109" s="31" t="n">
        <x:v>46.0000000001</x:v>
      </x:c>
      <x:c r="K109" s="31" t="n">
        <x:v>0</x:v>
      </x:c>
      <x:c r="L109" s="31" t="n">
        <x:v>46.0000000001</x:v>
      </x:c>
      <x:c r="M109" s="31" t="n">
        <x:v>0</x:v>
      </x:c>
      <x:c r="N109" s="24" t="str">
        <x:v>mactridae</x:v>
      </x:c>
      <x:c r="O109" s="32" t="n">
        <x:v>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Mactridae</x:v>
      </x:c>
      <x:c r="T109" s="32" t="n">
        <x:f>IF(O109="","",(1/'Metadata'!$B$5)^(O109-1))</x:f>
        <x:v>10</x:v>
      </x:c>
      <x:c r="U109" s="31" t="n">
        <x:f>IF(T109="","",I109*T109)</x:f>
        <x:v>460.000000001</x:v>
      </x:c>
    </x:row>
    <x:row r="110" ht="18" customHeight="1">
      <x:c r="A110" s="24" t="str">
        <x:v>EEZ_410</x:v>
      </x:c>
      <x:c r="B110" s="24" t="str">
        <x:v>Korea (South)</x:v>
      </x:c>
      <x:c r="C110" s="24" t="str">
        <x:v>EEZ</x:v>
      </x:c>
      <x:c r="D110" s="30" t="n">
        <x:v>2019</x:v>
      </x:c>
      <x:c r="E110" s="24" t="str">
        <x:v>Gadidae</x:v>
      </x:c>
      <x:c r="F110" s="24" t="str">
        <x:v>Cods, haddocks</x:v>
      </x:c>
      <x:c r="G110" s="24" t="str">
        <x:v>Medium demersals (30 - 89 cm)</x:v>
      </x:c>
      <x:c r="H110" s="24" t="str">
        <x:v>Cod-likes</x:v>
      </x:c>
      <x:c r="I110" s="31" t="n">
        <x:v>35.8288684784</x:v>
      </x:c>
      <x:c r="J110" s="31" t="n">
        <x:v>35.8288684784</x:v>
      </x:c>
      <x:c r="K110" s="31" t="n">
        <x:v>0</x:v>
      </x:c>
      <x:c r="L110" s="31" t="n">
        <x:v>0</x:v>
      </x:c>
      <x:c r="M110" s="31" t="n">
        <x:v>35.8288684784</x:v>
      </x:c>
      <x:c r="N110" s="24" t="str">
        <x:v>gadidae</x:v>
      </x:c>
      <x:c r="O110" s="32" t="n">
        <x:v>3.84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Gadidae</x:v>
      </x:c>
      <x:c r="T110" s="32" t="n">
        <x:f>IF(O110="","",(1/'Metadata'!$B$5)^(O110-1))</x:f>
        <x:v>691.8309709189363</x:v>
      </x:c>
      <x:c r="U110" s="31" t="n">
        <x:f>IF(T110="","",I110*T110)</x:f>
        <x:v>24787.520866338342</x:v>
      </x:c>
    </x:row>
    <x:row r="111" ht="18" customHeight="1">
      <x:c r="A111" s="24" t="str">
        <x:v>EEZ_410</x:v>
      </x:c>
      <x:c r="B111" s="24" t="str">
        <x:v>Korea (South)</x:v>
      </x:c>
      <x:c r="C111" s="24" t="str">
        <x:v>EEZ</x:v>
      </x:c>
      <x:c r="D111" s="30" t="n">
        <x:v>2019</x:v>
      </x:c>
      <x:c r="E111" s="24" t="str">
        <x:v>Meretrix lusoria</x:v>
      </x:c>
      <x:c r="F111" s="24" t="str">
        <x:v>Japanese hard clam</x:v>
      </x:c>
      <x:c r="G111" s="24" t="str">
        <x:v>Other demersal invertebrates</x:v>
      </x:c>
      <x:c r="H111" s="24" t="str">
        <x:v>Molluscs</x:v>
      </x:c>
      <x:c r="I111" s="31" t="n">
        <x:v>18.0000000001</x:v>
      </x:c>
      <x:c r="J111" s="31" t="n">
        <x:v>18.0000000001</x:v>
      </x:c>
      <x:c r="K111" s="31" t="n">
        <x:v>0</x:v>
      </x:c>
      <x:c r="L111" s="31" t="n">
        <x:v>18.0000000001</x:v>
      </x:c>
      <x:c r="M111" s="31" t="n">
        <x:v>0</x:v>
      </x:c>
      <x:c r="N111" s="24" t="str">
        <x:v>meretrix lusoria</x:v>
      </x:c>
      <x:c r="O111" s="32" t="n">
        <x:v>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Meretrix lusoria</x:v>
      </x:c>
      <x:c r="T111" s="32" t="n">
        <x:f>IF(O111="","",(1/'Metadata'!$B$5)^(O111-1))</x:f>
        <x:v>10</x:v>
      </x:c>
      <x:c r="U111" s="31" t="n">
        <x:f>IF(T111="","",I111*T111)</x:f>
        <x:v>180.000000001</x:v>
      </x:c>
    </x:row>
    <x:row r="112" ht="18" customHeight="1">
      <x:c r="A112" s="24" t="str">
        <x:v>EEZ_410</x:v>
      </x:c>
      <x:c r="B112" s="24" t="str">
        <x:v>Korea (South)</x:v>
      </x:c>
      <x:c r="C112" s="24" t="str">
        <x:v>EEZ</x:v>
      </x:c>
      <x:c r="D112" s="30" t="n">
        <x:v>2019</x:v>
      </x:c>
      <x:c r="E112" s="24" t="str">
        <x:v>Berycidae</x:v>
      </x:c>
      <x:c r="F112" s="24" t="str">
        <x:v>Alfonsinos, redfishes</x:v>
      </x:c>
      <x:c r="G112" s="24" t="str">
        <x:v>Medium benthopelagics (30 - 89 cm)</x:v>
      </x:c>
      <x:c r="H112" s="24" t="str">
        <x:v>Other fishes &amp; inverts</x:v>
      </x:c>
      <x:c r="I112" s="31" t="n">
        <x:v>13</x:v>
      </x:c>
      <x:c r="J112" s="31" t="n">
        <x:v>13</x:v>
      </x:c>
      <x:c r="K112" s="31" t="n">
        <x:v>0</x:v>
      </x:c>
      <x:c r="L112" s="31" t="n">
        <x:v>13</x:v>
      </x:c>
      <x:c r="M112" s="31" t="n">
        <x:v>0</x:v>
      </x:c>
      <x:c r="N112" s="24" t="str">
        <x:v>berycidae</x:v>
      </x:c>
      <x:c r="O112" s="32" t="n">
        <x:v>3.99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Berycidae</x:v>
      </x:c>
      <x:c r="T112" s="32" t="n">
        <x:f>IF(O112="","",(1/'Metadata'!$B$5)^(O112-1))</x:f>
        <x:v>977.2372209558112</x:v>
      </x:c>
      <x:c r="U112" s="31" t="n">
        <x:f>IF(T112="","",I112*T112)</x:f>
        <x:v>12704.083872425545</x:v>
      </x:c>
    </x:row>
    <x:row r="113" ht="18" customHeight="1">
      <x:c r="A113" s="24" t="str">
        <x:v>EEZ_410</x:v>
      </x:c>
      <x:c r="B113" s="24" t="str">
        <x:v>Korea (South)</x:v>
      </x:c>
      <x:c r="C113" s="24" t="str">
        <x:v>EEZ</x:v>
      </x:c>
      <x:c r="D113" s="30" t="n">
        <x:v>2019</x:v>
      </x:c>
      <x:c r="E113" s="24" t="str">
        <x:v>Thunnus obesus</x:v>
      </x:c>
      <x:c r="F113" s="24" t="str">
        <x:v>Bigeye tuna</x:v>
      </x:c>
      <x:c r="G113" s="24" t="str">
        <x:v>Large pelagics (&gt;=90 cm)</x:v>
      </x:c>
      <x:c r="H113" s="24" t="str">
        <x:v>Tuna &amp; billfishes</x:v>
      </x:c>
      <x:c r="I113" s="31" t="n">
        <x:v>6.053346015200001</x:v>
      </x:c>
      <x:c r="J113" s="31" t="n">
        <x:v>5.981837296</x:v>
      </x:c>
      <x:c r="K113" s="31" t="n">
        <x:v>0.0715087192</x:v>
      </x:c>
      <x:c r="L113" s="31" t="n">
        <x:v>5.981837296</x:v>
      </x:c>
      <x:c r="M113" s="31" t="n">
        <x:v>0.0715087192</x:v>
      </x:c>
      <x:c r="N113" s="24" t="str">
        <x:v>thunnus obesus</x:v>
      </x:c>
      <x:c r="O113" s="32" t="n">
        <x:v>4.49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Thunnus obesus</x:v>
      </x:c>
      <x:c r="T113" s="32" t="n">
        <x:f>IF(O113="","",(1/'Metadata'!$B$5)^(O113-1))</x:f>
        <x:v>3090.295432513592</x:v>
      </x:c>
      <x:c r="U113" s="31" t="n">
        <x:f>IF(T113="","",I113*T113)</x:f>
        <x:v>18706.627542196915</x:v>
      </x:c>
    </x:row>
    <x:row r="114" ht="18" customHeight="1">
      <x:c r="A114" s="24" t="str">
        <x:v>EEZ_410</x:v>
      </x:c>
      <x:c r="B114" s="24" t="str">
        <x:v>Korea (South)</x:v>
      </x:c>
      <x:c r="C114" s="24" t="str">
        <x:v>EEZ</x:v>
      </x:c>
      <x:c r="D114" s="30" t="n">
        <x:v>2019</x:v>
      </x:c>
      <x:c r="E114" s="24" t="str">
        <x:v>Octopus</x:v>
      </x:c>
      <x:c r="F114" s="24" t="str">
        <x:v>Octopuses, pikas</x:v>
      </x:c>
      <x:c r="G114" s="24" t="str">
        <x:v>Cephalopods</x:v>
      </x:c>
      <x:c r="H114" s="24" t="str">
        <x:v>Other fishes &amp; inverts</x:v>
      </x:c>
      <x:c r="I114" s="31" t="n">
        <x:v>3.481081047</x:v>
      </x:c>
      <x:c r="J114" s="31" t="n">
        <x:v>3.481081047</x:v>
      </x:c>
      <x:c r="K114" s="31" t="n">
        <x:v>0</x:v>
      </x:c>
      <x:c r="L114" s="31" t="n">
        <x:v>0</x:v>
      </x:c>
      <x:c r="M114" s="31" t="n">
        <x:v>3.481081047</x:v>
      </x:c>
      <x:c r="N114" s="24" t="str">
        <x:v>octopus</x:v>
      </x:c>
      <x:c r="O114" s="32" t="n">
        <x:v>3.8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Octopus</x:v>
      </x:c>
      <x:c r="T114" s="32" t="n">
        <x:f>IF(O114="","",(1/'Metadata'!$B$5)^(O114-1))</x:f>
        <x:v>630.957344480193</x:v>
      </x:c>
      <x:c r="U114" s="31" t="n">
        <x:f>IF(T114="","",I114*T114)</x:f>
        <x:v>2196.41365333545</x:v>
      </x:c>
    </x:row>
    <x:row r="115" ht="18" customHeight="1">
      <x:c r="A115" s="24" t="str">
        <x:v>EEZ_410</x:v>
      </x:c>
      <x:c r="B115" s="24" t="str">
        <x:v>Korea (South)</x:v>
      </x:c>
      <x:c r="C115" s="24" t="str">
        <x:v>EEZ</x:v>
      </x:c>
      <x:c r="D115" s="30" t="n">
        <x:v>2019</x:v>
      </x:c>
      <x:c r="E115" s="24" t="str">
        <x:v>Holothuriidae</x:v>
      </x:c>
      <x:c r="F115" s="24" t="str">
        <x:v>Fleshy sea cucumbers</x:v>
      </x:c>
      <x:c r="G115" s="24" t="str">
        <x:v>Other demersal invertebrates</x:v>
      </x:c>
      <x:c r="H115" s="24" t="str">
        <x:v>Other fishes &amp; inverts</x:v>
      </x:c>
      <x:c r="I115" s="31" t="n">
        <x:v>1.7405405235</x:v>
      </x:c>
      <x:c r="J115" s="31" t="n">
        <x:v>1.7405405235</x:v>
      </x:c>
      <x:c r="K115" s="31" t="n">
        <x:v>0</x:v>
      </x:c>
      <x:c r="L115" s="31" t="n">
        <x:v>0</x:v>
      </x:c>
      <x:c r="M115" s="31" t="n">
        <x:v>1.7405405235</x:v>
      </x:c>
      <x:c r="N115" s="24" t="str">
        <x:v>holothuriidae</x:v>
      </x:c>
      <x:c r="O115" s="32" t="n">
        <x:v>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Holothuriidae</x:v>
      </x:c>
      <x:c r="T115" s="32" t="n">
        <x:f>IF(O115="","",(1/'Metadata'!$B$5)^(O115-1))</x:f>
        <x:v>10</x:v>
      </x:c>
      <x:c r="U115" s="31" t="n">
        <x:f>IF(T115="","",I115*T115)</x:f>
        <x:v>17.405405235</x:v>
      </x:c>
    </x:row>
    <x:row r="116" ht="18" customHeight="1">
      <x:c r="A116" s="24" t="str">
        <x:v>EEZ_410</x:v>
      </x:c>
      <x:c r="B116" s="24" t="str">
        <x:v>Korea (South)</x:v>
      </x:c>
      <x:c r="C116" s="24" t="str">
        <x:v>EEZ</x:v>
      </x:c>
      <x:c r="D116" s="30" t="n">
        <x:v>2019</x:v>
      </x:c>
      <x:c r="E116" s="24" t="str">
        <x:v>Gadus chalcogrammus</x:v>
      </x:c>
      <x:c r="F116" s="24" t="str">
        <x:v>Alaska pollock</x:v>
      </x:c>
      <x:c r="G116" s="24" t="str">
        <x:v>Medium benthopelagics (30 - 89 cm)</x:v>
      </x:c>
      <x:c r="H116" s="24" t="str">
        <x:v>Cod-likes</x:v>
      </x:c>
      <x:c r="I116" s="31" t="n">
        <x:v>0.581295879</x:v>
      </x:c>
      <x:c r="J116" s="31" t="n">
        <x:v>0.581295879</x:v>
      </x:c>
      <x:c r="K116" s="31" t="n">
        <x:v>0</x:v>
      </x:c>
      <x:c r="L116" s="31" t="n">
        <x:v>0.581295879</x:v>
      </x:c>
      <x:c r="M116" s="31" t="n">
        <x:v>0</x:v>
      </x:c>
      <x:c r="N116" s="24" t="str">
        <x:v>gadus chalcogrammus</x:v>
      </x:c>
      <x:c r="O116" s="32" t="n">
        <x:v>3.57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Gadus chalcogrammus</x:v>
      </x:c>
      <x:c r="T116" s="32" t="n">
        <x:f>IF(O116="","",(1/'Metadata'!$B$5)^(O116-1))</x:f>
        <x:v>371.5352290971724</x:v>
      </x:c>
      <x:c r="U116" s="31" t="n">
        <x:f>IF(T116="","",I116*T116)</x:f>
        <x:v>215.97189757750724</x:v>
      </x:c>
    </x:row>
    <x:row r="117" ht="18" customHeight="1">
      <x:c r="A117" s="24" t="str">
        <x:v>EEZ_410</x:v>
      </x:c>
      <x:c r="B117" s="24" t="str">
        <x:v>Korea (South)</x:v>
      </x:c>
      <x:c r="C117" s="24" t="str">
        <x:v>EEZ</x:v>
      </x:c>
      <x:c r="D117" s="30" t="n">
        <x:v>2019</x:v>
      </x:c>
      <x:c r="E117" s="24" t="str">
        <x:v>Prionace glauca</x:v>
      </x:c>
      <x:c r="F117" s="24" t="str">
        <x:v>Blue shark</x:v>
      </x:c>
      <x:c r="G117" s="24" t="str">
        <x:v>Large sharks (&gt;=90 cm)</x:v>
      </x:c>
      <x:c r="H117" s="24" t="str">
        <x:v>Sharks &amp; rays</x:v>
      </x:c>
      <x:c r="I117" s="31" t="n">
        <x:v>0.0051694879</x:v>
      </x:c>
      <x:c r="J117" s="31" t="n">
        <x:v>0.0051694879</x:v>
      </x:c>
      <x:c r="K117" s="31" t="n">
        <x:v>0</x:v>
      </x:c>
      <x:c r="L117" s="31" t="n">
        <x:v>0.0051694879</x:v>
      </x:c>
      <x:c r="M117" s="31" t="n">
        <x:v>0</x:v>
      </x:c>
      <x:c r="N117" s="24" t="str">
        <x:v>prionace glauca</x:v>
      </x:c>
      <x:c r="O117" s="32" t="n">
        <x:v>4.35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Prionace glauca</x:v>
      </x:c>
      <x:c r="T117" s="32" t="n">
        <x:f>IF(O117="","",(1/'Metadata'!$B$5)^(O117-1))</x:f>
        <x:v>2238.7211385683377</x:v>
      </x:c>
      <x:c r="U117" s="31" t="n">
        <x:f>IF(T117="","",I117*T117)</x:f>
        <x:v>11.573041837303245</x:v>
      </x:c>
    </x:row>
    <x:row r="118" ht="18" customHeight="1">
      <x:c r="A118" s="24" t="str">
        <x:v>EEZ_410</x:v>
      </x:c>
      <x:c r="B118" s="24" t="str">
        <x:v>Korea (South)</x:v>
      </x:c>
      <x:c r="C118" s="24" t="str">
        <x:v>EEZ</x:v>
      </x:c>
      <x:c r="D118" s="30" t="n">
        <x:v>2019</x:v>
      </x:c>
      <x:c r="E118" s="24" t="str">
        <x:v>Thunnus orientalis</x:v>
      </x:c>
      <x:c r="F118" s="24" t="str">
        <x:v>Pacific bluefin tuna</x:v>
      </x:c>
      <x:c r="G118" s="24" t="str">
        <x:v>Large pelagics (&gt;=90 cm)</x:v>
      </x:c>
      <x:c r="H118" s="24" t="str">
        <x:v>Tuna &amp; billfishes</x:v>
      </x:c>
      <x:c r="I118" s="31" t="n">
        <x:v>0.0015054124</x:v>
      </x:c>
      <x:c r="J118" s="31" t="n">
        <x:v>0</x:v>
      </x:c>
      <x:c r="K118" s="31" t="n">
        <x:v>0.0015054124</x:v>
      </x:c>
      <x:c r="L118" s="31" t="n">
        <x:v>0</x:v>
      </x:c>
      <x:c r="M118" s="31" t="n">
        <x:v>0.0015054124</x:v>
      </x:c>
      <x:c r="N118" s="24" t="str">
        <x:v>thunnus orientalis</x:v>
      </x:c>
      <x:c r="O118" s="32" t="n">
        <x:v>4.05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Thunnus orientalis</x:v>
      </x:c>
      <x:c r="T118" s="32" t="n">
        <x:f>IF(O118="","",(1/'Metadata'!$B$5)^(O118-1))</x:f>
        <x:v>1122.018454301963</x:v>
      </x:c>
      <x:c r="U118" s="31" t="n">
        <x:f>IF(T118="","",I118*T118)</x:f>
        <x:v>1.6891004941350083</x:v>
      </x:c>
    </x:row>
    <x:row r="119" ht="18" customHeight="1">
      <x:c r="A119" s="24" t="str">
        <x:v>EEZ_410</x:v>
      </x:c>
      <x:c r="B119" s="24" t="str">
        <x:v>Korea (South)</x:v>
      </x:c>
      <x:c r="C119" s="24" t="str">
        <x:v>EEZ</x:v>
      </x:c>
      <x:c r="D119" s="30" t="n">
        <x:v>2019</x:v>
      </x:c>
      <x:c r="E119" s="24" t="str">
        <x:v>Xiphias gladius</x:v>
      </x:c>
      <x:c r="F119" s="24" t="str">
        <x:v>Swordfish</x:v>
      </x:c>
      <x:c r="G119" s="24" t="str">
        <x:v>Large pelagics (&gt;=90 cm)</x:v>
      </x:c>
      <x:c r="H119" s="24" t="str">
        <x:v>Tuna &amp; billfishes</x:v>
      </x:c>
      <x:c r="I119" s="31" t="n">
        <x:v>0.0001629711</x:v>
      </x:c>
      <x:c r="J119" s="31" t="n">
        <x:v>0</x:v>
      </x:c>
      <x:c r="K119" s="31" t="n">
        <x:v>0.0001629711</x:v>
      </x:c>
      <x:c r="L119" s="31" t="n">
        <x:v>0</x:v>
      </x:c>
      <x:c r="M119" s="31" t="n">
        <x:v>0.0001629711</x:v>
      </x:c>
      <x:c r="N119" s="24" t="str">
        <x:v>xiphias gladius</x:v>
      </x:c>
      <x:c r="O119" s="32" t="n">
        <x:v>4.53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Xiphias gladius</x:v>
      </x:c>
      <x:c r="T119" s="32" t="n">
        <x:f>IF(O119="","",(1/'Metadata'!$B$5)^(O119-1))</x:f>
        <x:v>3388.4415613920273</x:v>
      </x:c>
      <x:c r="U119" s="31" t="n">
        <x:f>IF(T119="","",I119*T119)</x:f>
        <x:v>0.5522180485457762</x:v>
      </x:c>
    </x:row>
  </x:sheetData>
  <x:conditionalFormatting sqref="R2:R1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e7f7e110d1c44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216873.10867444647</x:v>
      </x:c>
      <x:c r="E2" s="31" t="n">
        <x:v>216873.10867444647</x:v>
      </x:c>
      <x:c r="F2" s="32" t="n">
        <x:v>0</x:v>
      </x:c>
      <x:c r="G2" s="34" t="n">
        <x:v>1</x:v>
      </x:c>
      <x:c r="H2" s="32" t="n">
        <x:f>IF(E2=0,"",I2/E2)</x:f>
        <x:v>138.12490368198664</x:v>
      </x:c>
      <x:c r="I2" s="31" t="n">
        <x:f>IF(C2=0,"",SUMIF('Species'!$H$2:$H$119,A2,'Species'!$U$2:$U$119))</x:f>
        <x:v>29955577.24687094</x:v>
      </x:c>
      <x:c r="J2" s="32" t="n">
        <x:v>3.140253711823549</x:v>
      </x:c>
      <x:c r="K2" s="32" t="n">
        <x:f>IF(J2="","",(1/'Metadata'!$B$5)^(J2-1))</x:f>
        <x:v>138.11909111099976</x:v>
      </x:c>
      <x:c r="L2" s="31" t="n">
        <x:f>IF(E2=0,"",E2*K2)</x:f>
        <x:v>29954316.656531624</x:v>
      </x:c>
      <x:c r="M2" s="31" t="n">
        <x:f>IF(E2=0,"",I2-L2)</x:f>
        <x:v>1260.5903393141925</x:v>
      </x:c>
      <x:c r="N2" s="32" t="n">
        <x:f>IF(L2=0,"",I2/L2)</x:f>
        <x:v>1.0000420837622093</x:v>
      </x:c>
      <x:c r="O2" s="34" t="n">
        <x:f>IF(L2=0,"",M2/L2)</x:f>
        <x:v>0.000042083762209254646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8694.1696922511</x:v>
      </x:c>
      <x:c r="E3" s="31" t="n">
        <x:v>8694.1696922511</x:v>
      </x:c>
      <x:c r="F3" s="32" t="n">
        <x:v>0</x:v>
      </x:c>
      <x:c r="G3" s="34" t="n">
        <x:v>1</x:v>
      </x:c>
      <x:c r="H3" s="32" t="n">
        <x:f>IF(E3=0,"",I3/E3)</x:f>
        <x:v>1442.2623302501108</x:v>
      </x:c>
      <x:c r="I3" s="31" t="n">
        <x:f>IF(C3=0,"",SUMIF('Species'!$H$2:$H$119,A3,'Species'!$U$2:$U$119))</x:f>
        <x:v>12539273.43993596</x:v>
      </x:c>
      <x:c r="J3" s="32" t="n">
        <x:v>4.158641825165637</x:v>
      </x:c>
      <x:c r="K3" s="32" t="n">
        <x:f>IF(J3="","",(1/'Metadata'!$B$5)^(J3-1))</x:f>
        <x:v>1440.9264888773512</x:v>
      </x:c>
      <x:c r="L3" s="31" t="n">
        <x:f>IF(E3=0,"",E3*K3)</x:f>
        <x:v>12527659.408359258</x:v>
      </x:c>
      <x:c r="M3" s="31" t="n">
        <x:f>IF(E3=0,"",I3-L3)</x:f>
        <x:v>11614.031576702371</x:v>
      </x:c>
      <x:c r="N3" s="32" t="n">
        <x:f>IF(L3=0,"",I3/L3)</x:f>
        <x:v>1.0009270711469815</x:v>
      </x:c>
      <x:c r="O3" s="34" t="n">
        <x:f>IF(L3=0,"",M3/L3)</x:f>
        <x:v>0.0009270711469815938</x:v>
      </x:c>
    </x:row>
    <x:row r="4" ht="18" customHeight="1">
      <x:c r="A4" s="24" t="str">
        <x:v>Crustaceans</x:v>
      </x:c>
      <x:c r="B4" s="33" t="n">
        <x:v>14</x:v>
      </x:c>
      <x:c r="C4" s="33" t="n">
        <x:v>14</x:v>
      </x:c>
      <x:c r="D4" s="31" t="n">
        <x:v>133314.9246035074</x:v>
      </x:c>
      <x:c r="E4" s="31" t="n">
        <x:v>133314.9246035074</x:v>
      </x:c>
      <x:c r="F4" s="32" t="n">
        <x:v>0</x:v>
      </x:c>
      <x:c r="G4" s="34" t="n">
        <x:v>1</x:v>
      </x:c>
      <x:c r="H4" s="32" t="n">
        <x:f>IF(E4=0,"",I4/E4)</x:f>
        <x:v>176.0493191635867</x:v>
      </x:c>
      <x:c r="I4" s="31" t="n">
        <x:f>IF(C4=0,"",SUMIF('Species'!$H$2:$H$119,A4,'Species'!$U$2:$U$119))</x:f>
        <x:v>23470001.710792366</x:v>
      </x:c>
      <x:c r="J4" s="32" t="n">
        <x:v>2.9376076730289915</x:v>
      </x:c>
      <x:c r="K4" s="32" t="n">
        <x:f>IF(J4="","",(1/'Metadata'!$B$5)^(J4-1))</x:f>
        <x:v>86.6179045317135</x:v>
      </x:c>
      <x:c r="L4" s="31" t="n">
        <x:f>IF(E4=0,"",E4*K4)</x:f>
        <x:v>11547459.411959186</x:v>
      </x:c>
      <x:c r="M4" s="31" t="n">
        <x:f>IF(E4=0,"",I4-L4)</x:f>
        <x:v>11922542.29883318</x:v>
      </x:c>
      <x:c r="N4" s="32" t="n">
        <x:f>IF(L4=0,"",I4/L4)</x:f>
        <x:v>2.032481853669521</x:v>
      </x:c>
      <x:c r="O4" s="34" t="n">
        <x:f>IF(L4=0,"",M4/L4)</x:f>
        <x:v>1.0324818536695213</x:v>
      </x:c>
    </x:row>
    <x:row r="5" ht="18" customHeight="1">
      <x:c r="A5" s="24" t="str">
        <x:v>Flatfishes</x:v>
      </x:c>
      <x:c r="B5" s="33" t="n">
        <x:v>4</x:v>
      </x:c>
      <x:c r="C5" s="33" t="n">
        <x:v>4</x:v>
      </x:c>
      <x:c r="D5" s="31" t="n">
        <x:v>33761.2940928235</x:v>
      </x:c>
      <x:c r="E5" s="31" t="n">
        <x:v>33761.2940928235</x:v>
      </x:c>
      <x:c r="F5" s="32" t="n">
        <x:v>0</x:v>
      </x:c>
      <x:c r="G5" s="34" t="n">
        <x:v>1</x:v>
      </x:c>
      <x:c r="H5" s="32" t="n">
        <x:f>IF(E5=0,"",I5/E5)</x:f>
        <x:v>542.8558794420477</x:v>
      </x:c>
      <x:c r="I5" s="31" t="n">
        <x:f>IF(C5=0,"",SUMIF('Species'!$H$2:$H$119,A5,'Species'!$U$2:$U$119))</x:f>
        <x:v>18327516.99586131</x:v>
      </x:c>
      <x:c r="J5" s="32" t="n">
        <x:v>3.498221755022576</x:v>
      </x:c>
      <x:c r="K5" s="32" t="n">
        <x:f>IF(J5="","",(1/'Metadata'!$B$5)^(J5-1))</x:f>
        <x:v>314.93559956817035</x:v>
      </x:c>
      <x:c r="L5" s="31" t="n">
        <x:f>IF(E5=0,"",E5*K5)</x:f>
        <x:v>10632633.397320695</x:v>
      </x:c>
      <x:c r="M5" s="31" t="n">
        <x:f>IF(E5=0,"",I5-L5)</x:f>
        <x:v>7694883.598540615</x:v>
      </x:c>
      <x:c r="N5" s="32" t="n">
        <x:f>IF(L5=0,"",I5/L5)</x:f>
        <x:v>1.7237044023806596</x:v>
      </x:c>
      <x:c r="O5" s="34" t="n">
        <x:f>IF(L5=0,"",M5/L5)</x:f>
        <x:v>0.7237044023806595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47265.973078989</x:v>
      </x:c>
      <x:c r="E6" s="31" t="n">
        <x:v>47265.973078989</x:v>
      </x:c>
      <x:c r="F6" s="32" t="n">
        <x:v>0</x:v>
      </x:c>
      <x:c r="G6" s="34" t="n">
        <x:v>1</x:v>
      </x:c>
      <x:c r="H6" s="32" t="n">
        <x:f>IF(E6=0,"",I6/E6)</x:f>
        <x:v>149.59362517636785</x:v>
      </x:c>
      <x:c r="I6" s="31" t="n">
        <x:f>IF(C6=0,"",SUMIF('Species'!$H$2:$H$119,A6,'Species'!$U$2:$U$119))</x:f>
        <x:v>7070688.260374574</x:v>
      </x:c>
      <x:c r="J6" s="32" t="n">
        <x:v>3.109111471145805</x:v>
      </x:c>
      <x:c r="K6" s="32" t="n">
        <x:f>IF(J6="","",(1/'Metadata'!$B$5)^(J6-1))</x:f>
        <x:v>128.56165991236077</x:v>
      </x:c>
      <x:c r="L6" s="31" t="n">
        <x:f>IF(E6=0,"",E6*K6)</x:f>
        <x:v>6076591.956407784</x:v>
      </x:c>
      <x:c r="M6" s="31" t="n">
        <x:f>IF(E6=0,"",I6-L6)</x:f>
        <x:v>994096.3039667904</x:v>
      </x:c>
      <x:c r="N6" s="32" t="n">
        <x:f>IF(L6=0,"",I6/L6)</x:f>
        <x:v>1.1635943817024792</x:v>
      </x:c>
      <x:c r="O6" s="34" t="n">
        <x:f>IF(L6=0,"",M6/L6)</x:f>
        <x:v>0.1635943817024793</x:v>
      </x:c>
    </x:row>
    <x:row r="7" ht="18" customHeight="1">
      <x:c r="A7" s="24" t="str">
        <x:v>Molluscs</x:v>
      </x:c>
      <x:c r="B7" s="33" t="n">
        <x:v>15</x:v>
      </x:c>
      <x:c r="C7" s="33" t="n">
        <x:v>15</x:v>
      </x:c>
      <x:c r="D7" s="31" t="n">
        <x:v>75338.6213811257</x:v>
      </x:c>
      <x:c r="E7" s="31" t="n">
        <x:v>75338.6213811257</x:v>
      </x:c>
      <x:c r="F7" s="32" t="n">
        <x:v>0</x:v>
      </x:c>
      <x:c r="G7" s="34" t="n">
        <x:v>1</x:v>
      </x:c>
      <x:c r="H7" s="32" t="n">
        <x:f>IF(E7=0,"",I7/E7)</x:f>
        <x:v>10.590211456326854</x:v>
      </x:c>
      <x:c r="I7" s="31" t="n">
        <x:f>IF(C7=0,"",SUMIF('Species'!$H$2:$H$119,A7,'Species'!$U$2:$U$119))</x:f>
        <x:v>797851.9312542686</x:v>
      </x:c>
      <x:c r="J7" s="32" t="n">
        <x:v>2.0144795665147983</x:v>
      </x:c>
      <x:c r="K7" s="32" t="n">
        <x:f>IF(J7="","",(1/'Metadata'!$B$5)^(J7-1))</x:f>
        <x:v>10.339024548945368</x:v>
      </x:c>
      <x:c r="L7" s="31" t="n">
        <x:f>IF(E7=0,"",E7*K7)</x:f>
        <x:v>778927.855943159</x:v>
      </x:c>
      <x:c r="M7" s="31" t="n">
        <x:f>IF(E7=0,"",I7-L7)</x:f>
        <x:v>18924.075311109656</x:v>
      </x:c>
      <x:c r="N7" s="32" t="n">
        <x:f>IF(L7=0,"",I7/L7)</x:f>
        <x:v>1.0242950295932036</x:v>
      </x:c>
      <x:c r="O7" s="34" t="n">
        <x:f>IF(L7=0,"",M7/L7)</x:f>
        <x:v>0.024295029593203572</x:v>
      </x:c>
    </x:row>
    <x:row r="8" ht="18" customHeight="1">
      <x:c r="A8" s="24" t="str">
        <x:v>Other fishes &amp; inverts</x:v>
      </x:c>
      <x:c r="B8" s="33" t="n">
        <x:v>28</x:v>
      </x:c>
      <x:c r="C8" s="33" t="n">
        <x:v>28</x:v>
      </x:c>
      <x:c r="D8" s="31" t="n">
        <x:v>532262.3346641831</x:v>
      </x:c>
      <x:c r="E8" s="31" t="n">
        <x:v>532262.3346641831</x:v>
      </x:c>
      <x:c r="F8" s="32" t="n">
        <x:v>0</x:v>
      </x:c>
      <x:c r="G8" s="34" t="n">
        <x:v>1</x:v>
      </x:c>
      <x:c r="H8" s="32" t="n">
        <x:f>IF(E8=0,"",I8/E8)</x:f>
        <x:v>523.9702800564205</x:v>
      </x:c>
      <x:c r="I8" s="31" t="n">
        <x:f>IF(C8=0,"",SUMIF('Species'!$H$2:$H$119,A8,'Species'!$U$2:$U$119))</x:f>
        <x:v>278889644.5574762</x:v>
      </x:c>
      <x:c r="J8" s="32" t="n">
        <x:v>3.4628785321339337</x:v>
      </x:c>
      <x:c r="K8" s="32" t="n">
        <x:f>IF(J8="","",(1/'Metadata'!$B$5)^(J8-1))</x:f>
        <x:v>290.3210541659802</x:v>
      </x:c>
      <x:c r="L8" s="31" t="n">
        <x:f>IF(E8=0,"",E8*K8)</x:f>
        <x:v>154526962.09255135</x:v>
      </x:c>
      <x:c r="M8" s="31" t="n">
        <x:f>IF(E8=0,"",I8-L8)</x:f>
        <x:v>124362682.46492487</x:v>
      </x:c>
      <x:c r="N8" s="32" t="n">
        <x:f>IF(L8=0,"",I8/L8)</x:f>
        <x:v>1.8047960095820683</x:v>
      </x:c>
      <x:c r="O8" s="34" t="n">
        <x:f>IF(L8=0,"",M8/L8)</x:f>
        <x:v>0.8047960095820683</x:v>
      </x:c>
    </x:row>
    <x:row r="9" ht="18" customHeight="1">
      <x:c r="A9" s="24" t="str">
        <x:v>Perch-likes</x:v>
      </x:c>
      <x:c r="B9" s="33" t="n">
        <x:v>32</x:v>
      </x:c>
      <x:c r="C9" s="33" t="n">
        <x:v>32</x:v>
      </x:c>
      <x:c r="D9" s="31" t="n">
        <x:v>620944.6986004841</x:v>
      </x:c>
      <x:c r="E9" s="31" t="n">
        <x:v>620944.6986004841</x:v>
      </x:c>
      <x:c r="F9" s="32" t="n">
        <x:v>0</x:v>
      </x:c>
      <x:c r="G9" s="34" t="n">
        <x:v>1</x:v>
      </x:c>
      <x:c r="H9" s="32" t="n">
        <x:f>IF(E9=0,"",I9/E9)</x:f>
        <x:v>968.7750842608438</x:v>
      </x:c>
      <x:c r="I9" s="31" t="n">
        <x:f>IF(C9=0,"",SUMIF('Species'!$H$2:$H$119,A9,'Species'!$U$2:$U$119))</x:f>
        <x:v>601555752.7080082</x:v>
      </x:c>
      <x:c r="J9" s="32" t="n">
        <x:v>3.6835115213763885</x:v>
      </x:c>
      <x:c r="K9" s="32" t="n">
        <x:f>IF(J9="","",(1/'Metadata'!$B$5)^(J9-1))</x:f>
        <x:v>482.5157805267033</x:v>
      </x:c>
      <x:c r="L9" s="31" t="n">
        <x:f>IF(E9=0,"",E9*K9)</x:f>
        <x:v>299615615.9091311</x:v>
      </x:c>
      <x:c r="M9" s="31" t="n">
        <x:f>IF(E9=0,"",I9-L9)</x:f>
        <x:v>301940136.79887706</x:v>
      </x:c>
      <x:c r="N9" s="32" t="n">
        <x:f>IF(L9=0,"",I9/L9)</x:f>
        <x:v>2.0077583435786304</x:v>
      </x:c>
      <x:c r="O9" s="34" t="n">
        <x:f>IF(L9=0,"",M9/L9)</x:f>
        <x:v>1.0077583435786301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100</x:v>
      </x:c>
      <x:c r="E10" s="31" t="n">
        <x:v>100</x:v>
      </x:c>
      <x:c r="F10" s="32" t="n">
        <x:v>0</x:v>
      </x:c>
      <x:c r="G10" s="34" t="n">
        <x:v>1</x:v>
      </x:c>
      <x:c r="H10" s="32" t="n">
        <x:f>IF(E10=0,"",I10/E10)</x:f>
        <x:v>199.52623149688787</x:v>
      </x:c>
      <x:c r="I10" s="31" t="n">
        <x:f>IF(C10=0,"",SUMIF('Species'!$H$2:$H$119,A10,'Species'!$U$2:$U$119))</x:f>
        <x:v>19952.62314968879</x:v>
      </x:c>
      <x:c r="J10" s="32" t="n">
        <x:v>3.3</x:v>
      </x:c>
      <x:c r="K10" s="32" t="n">
        <x:f>IF(J10="","",(1/'Metadata'!$B$5)^(J10-1))</x:f>
        <x:v>199.52623149688787</x:v>
      </x:c>
      <x:c r="L10" s="31" t="n">
        <x:f>IF(E10=0,"",E10*K10)</x:f>
        <x:v>19952.62314968879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6</x:v>
      </x:c>
      <x:c r="C11" s="33" t="n">
        <x:v>6</x:v>
      </x:c>
      <x:c r="D11" s="31" t="n">
        <x:v>15686.356244184199</x:v>
      </x:c>
      <x:c r="E11" s="31" t="n">
        <x:v>15686.356244184199</x:v>
      </x:c>
      <x:c r="F11" s="32" t="n">
        <x:v>0</x:v>
      </x:c>
      <x:c r="G11" s="34" t="n">
        <x:v>1</x:v>
      </x:c>
      <x:c r="H11" s="32" t="n">
        <x:f>IF(E11=0,"",I11/E11)</x:f>
        <x:v>553.1368622018293</x:v>
      </x:c>
      <x:c r="I11" s="31" t="n">
        <x:f>IF(C11=0,"",SUMIF('Species'!$H$2:$H$119,A11,'Species'!$U$2:$U$119))</x:f>
        <x:v>8676701.87228812</x:v>
      </x:c>
      <x:c r="J11" s="32" t="n">
        <x:v>3.718155621620105</x:v>
      </x:c>
      <x:c r="K11" s="32" t="n">
        <x:f>IF(J11="","",(1/'Metadata'!$B$5)^(J11-1))</x:f>
        <x:v>522.583413824445</x:v>
      </x:c>
      <x:c r="L11" s="31" t="n">
        <x:f>IF(E11=0,"",E11*K11)</x:f>
        <x:v>8197429.596552177</x:v>
      </x:c>
      <x:c r="M11" s="31" t="n">
        <x:f>IF(E11=0,"",I11-L11)</x:f>
        <x:v>479272.2757359436</x:v>
      </x:c>
      <x:c r="N11" s="32" t="n">
        <x:f>IF(L11=0,"",I11/L11)</x:f>
        <x:v>1.0584661655328549</x:v>
      </x:c>
      <x:c r="O11" s="34" t="n">
        <x:f>IF(L11=0,"",M11/L11)</x:f>
        <x:v>0.0584661655328549</x:v>
      </x:c>
    </x:row>
    <x:row r="12" ht="18" customHeight="1">
      <x:c r="A12" s="24" t="str">
        <x:v>Sharks &amp; rays</x:v>
      </x:c>
      <x:c r="B12" s="33" t="n">
        <x:v>2</x:v>
      </x:c>
      <x:c r="C12" s="33" t="n">
        <x:v>2</x:v>
      </x:c>
      <x:c r="D12" s="31" t="n">
        <x:v>197.0068597637</x:v>
      </x:c>
      <x:c r="E12" s="31" t="n">
        <x:v>197.0068597637</x:v>
      </x:c>
      <x:c r="F12" s="32" t="n">
        <x:v>0</x:v>
      </x:c>
      <x:c r="G12" s="34" t="n">
        <x:v>1</x:v>
      </x:c>
      <x:c r="H12" s="32" t="n">
        <x:f>IF(E12=0,"",I12/E12)</x:f>
        <x:v>1122.0477567385437</x:v>
      </x:c>
      <x:c r="I12" s="31" t="n">
        <x:f>IF(C12=0,"",SUMIF('Species'!$H$2:$H$119,A12,'Species'!$U$2:$U$119))</x:f>
        <x:v>221051.10505996447</x:v>
      </x:c>
      <x:c r="J12" s="32" t="n">
        <x:v>4.050007872042485</x:v>
      </x:c>
      <x:c r="K12" s="32" t="n">
        <x:f>IF(J12="","",(1/'Metadata'!$B$5)^(J12-1))</x:f>
        <x:v>1122.0387922462844</x:v>
      </x:c>
      <x:c r="L12" s="31" t="n">
        <x:f>IF(E12=0,"",E12*K12)</x:f>
        <x:v>221049.33899349507</x:v>
      </x:c>
      <x:c r="M12" s="31" t="n">
        <x:f>IF(E12=0,"",I12-L12)</x:f>
        <x:v>1.7660664693976287</x:v>
      </x:c>
      <x:c r="N12" s="32" t="n">
        <x:f>IF(L12=0,"",I12/L12)</x:f>
        <x:v>1.0000079894673173</x:v>
      </x:c>
      <x:c r="O12" s="34" t="n">
        <x:f>IF(L12=0,"",M12/L12)</x:f>
        <x:v>0.000007989467317292452</x:v>
      </x:c>
    </x:row>
    <x:row r="13" ht="18" customHeight="1">
      <x:c r="A13" s="24" t="str">
        <x:v>Tuna &amp; billfishes</x:v>
      </x:c>
      <x:c r="B13" s="33" t="n">
        <x:v>6</x:v>
      </x:c>
      <x:c r="C13" s="33" t="n">
        <x:v>6</x:v>
      </x:c>
      <x:c r="D13" s="31" t="n">
        <x:v>7700.4268931418</x:v>
      </x:c>
      <x:c r="E13" s="31" t="n">
        <x:v>7700.4268931418</x:v>
      </x:c>
      <x:c r="F13" s="32" t="n">
        <x:v>0</x:v>
      </x:c>
      <x:c r="G13" s="34" t="n">
        <x:v>1</x:v>
      </x:c>
      <x:c r="H13" s="32" t="n">
        <x:f>IF(E13=0,"",I13/E13)</x:f>
        <x:v>2584.2898767835172</x:v>
      </x:c>
      <x:c r="I13" s="31" t="n">
        <x:f>IF(C13=0,"",SUMIF('Species'!$H$2:$H$119,A13,'Species'!$U$2:$U$119))</x:f>
        <x:v>19900135.266857903</x:v>
      </x:c>
      <x:c r="J13" s="32" t="n">
        <x:v>4.411897452857829</x:v>
      </x:c>
      <x:c r="K13" s="32" t="n">
        <x:f>IF(J13="","",(1/'Metadata'!$B$5)^(J13-1))</x:f>
        <x:v>2581.6505302469363</x:v>
      </x:c>
      <x:c r="L13" s="31" t="n">
        <x:f>IF(E13=0,"",E13*K13)</x:f>
        <x:v>19879811.171807297</x:v>
      </x:c>
      <x:c r="M13" s="31" t="n">
        <x:f>IF(E13=0,"",I13-L13)</x:f>
        <x:v>20324.095050606877</x:v>
      </x:c>
      <x:c r="N13" s="32" t="n">
        <x:f>IF(L13=0,"",I13/L13)</x:f>
        <x:v>1.0010223484959169</x:v>
      </x:c>
      <x:c r="O13" s="34" t="n">
        <x:f>IF(L13=0,"",M13/L13)</x:f>
        <x:v>0.0010223484959167844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6e3375d216440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9</x:v>
      </x:c>
      <x:c r="C2" s="33" t="n">
        <x:v>9</x:v>
      </x:c>
      <x:c r="D2" s="31" t="n">
        <x:v>113649.64052341969</x:v>
      </x:c>
      <x:c r="E2" s="31" t="n">
        <x:v>113649.64052341969</x:v>
      </x:c>
      <x:c r="F2" s="32" t="n">
        <x:v>0</x:v>
      </x:c>
      <x:c r="G2" s="34" t="n">
        <x:v>1</x:v>
      </x:c>
      <x:c r="H2" s="32" t="n">
        <x:f>IF(E2=0,"",I2/E2)</x:f>
        <x:v>1167.5487120529301</x:v>
      </x:c>
      <x:c r="I2" s="31" t="n">
        <x:f>IF(C2=0,"",SUMIF('Species'!$G$2:$G$119,A2,'Species'!$U$2:$U$119))</x:f>
        <x:v>132691491.41839716</x:v>
      </x:c>
      <x:c r="J2" s="32" t="n">
        <x:v>3.959705063715416</x:v>
      </x:c>
      <x:c r="K2" s="32" t="n">
        <x:f>IF(J2="","",(1/'Metadata'!$B$5)^(J2-1))</x:f>
        <x:v>911.3916885623521</x:v>
      </x:c>
      <x:c r="L2" s="31" t="n">
        <x:f>IF(E2=0,"",E2*K2)</x:f>
        <x:v>103579337.78114378</x:v>
      </x:c>
      <x:c r="M2" s="31" t="n">
        <x:f>IF(E2=0,"",I2-L2)</x:f>
        <x:v>29112153.637253374</x:v>
      </x:c>
      <x:c r="N2" s="32" t="n">
        <x:f>IF(L2=0,"",I2/L2)</x:f>
        <x:v>1.2810613995116034</x:v>
      </x:c>
      <x:c r="O2" s="34" t="n">
        <x:f>IF(L2=0,"",M2/L2)</x:f>
        <x:v>0.28106139951160347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1499.1624205657</x:v>
      </x:c>
      <x:c r="E3" s="31" t="n">
        <x:v>1499.1624205657</x:v>
      </x:c>
      <x:c r="F3" s="32" t="n">
        <x:v>0</x:v>
      </x:c>
      <x:c r="G3" s="34" t="n">
        <x:v>1</x:v>
      </x:c>
      <x:c r="H3" s="32" t="n">
        <x:f>IF(E3=0,"",I3/E3)</x:f>
        <x:v>102.32929922807536</x:v>
      </x:c>
      <x:c r="I3" s="31" t="n">
        <x:f>IF(C3=0,"",SUMIF('Species'!$G$2:$G$119,A3,'Species'!$U$2:$U$119))</x:f>
        <x:v>153408.23992555327</x:v>
      </x:c>
      <x:c r="J3" s="32" t="n">
        <x:v>3.01</x:v>
      </x:c>
      <x:c r="K3" s="32" t="n">
        <x:f>IF(J3="","",(1/'Metadata'!$B$5)^(J3-1))</x:f>
        <x:v>102.32929922807536</x:v>
      </x:c>
      <x:c r="L3" s="31" t="n">
        <x:f>IF(E3=0,"",E3*K3)</x:f>
        <x:v>153408.23992555327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5</x:v>
      </x:c>
      <x:c r="C4" s="33" t="n">
        <x:v>5</x:v>
      </x:c>
      <x:c r="D4" s="31" t="n">
        <x:v>133610.0838328441</x:v>
      </x:c>
      <x:c r="E4" s="31" t="n">
        <x:v>133610.0838328441</x:v>
      </x:c>
      <x:c r="F4" s="32" t="n">
        <x:v>0</x:v>
      </x:c>
      <x:c r="G4" s="34" t="n">
        <x:v>1</x:v>
      </x:c>
      <x:c r="H4" s="32" t="n">
        <x:f>IF(E4=0,"",I4/E4)</x:f>
        <x:v>2397.8748456144613</x:v>
      </x:c>
      <x:c r="I4" s="31" t="n">
        <x:f>IF(C4=0,"",SUMIF('Species'!$G$2:$G$119,A4,'Species'!$U$2:$U$119))</x:f>
        <x:v>320380259.14321625</x:v>
      </x:c>
      <x:c r="J4" s="32" t="n">
        <x:v>4.231173677082296</x:v>
      </x:c>
      <x:c r="K4" s="32" t="n">
        <x:f>IF(J4="","",(1/'Metadata'!$B$5)^(J4-1))</x:f>
        <x:v>1702.8393483661537</x:v>
      </x:c>
      <x:c r="L4" s="31" t="n">
        <x:f>IF(E4=0,"",E4*K4)</x:f>
        <x:v>227516508.08906743</x:v>
      </x:c>
      <x:c r="M4" s="31" t="n">
        <x:f>IF(E4=0,"",I4-L4)</x:f>
        <x:v>92863751.05414882</x:v>
      </x:c>
      <x:c r="N4" s="32" t="n">
        <x:f>IF(L4=0,"",I4/L4)</x:f>
        <x:v>1.408162694804523</x:v>
      </x:c>
      <x:c r="O4" s="34" t="n">
        <x:f>IF(L4=0,"",M4/L4)</x:f>
        <x:v>0.40816269480452305</x:v>
      </x:c>
    </x:row>
    <x:row r="5" ht="18" customHeight="1">
      <x:c r="A5" s="24" t="str">
        <x:v>Large demersals (&gt;=90 cm)</x:v>
      </x:c>
      <x:c r="B5" s="33" t="n">
        <x:v>5</x:v>
      </x:c>
      <x:c r="C5" s="33" t="n">
        <x:v>5</x:v>
      </x:c>
      <x:c r="D5" s="31" t="n">
        <x:v>47216.3230354895</x:v>
      </x:c>
      <x:c r="E5" s="31" t="n">
        <x:v>47216.3230354895</x:v>
      </x:c>
      <x:c r="F5" s="32" t="n">
        <x:v>0</x:v>
      </x:c>
      <x:c r="G5" s="34" t="n">
        <x:v>1</x:v>
      </x:c>
      <x:c r="H5" s="32" t="n">
        <x:f>IF(E5=0,"",I5/E5)</x:f>
        <x:v>1758.1982177248885</x:v>
      </x:c>
      <x:c r="I5" s="31" t="n">
        <x:f>IF(C5=0,"",SUMIF('Species'!$G$2:$G$119,A5,'Species'!$U$2:$U$119))</x:f>
        <x:v>83015655.00852023</x:v>
      </x:c>
      <x:c r="J5" s="32" t="n">
        <x:v>4.179782885430325</x:v>
      </x:c>
      <x:c r="K5" s="32" t="n">
        <x:f>IF(J5="","",(1/'Metadata'!$B$5)^(J5-1))</x:f>
        <x:v>1512.8047707814872</x:v>
      </x:c>
      <x:c r="L5" s="31" t="n">
        <x:f>IF(E5=0,"",E5*K5)</x:f>
        <x:v>71429078.74684834</x:v>
      </x:c>
      <x:c r="M5" s="31" t="n">
        <x:f>IF(E5=0,"",I5-L5)</x:f>
        <x:v>11586576.261671886</x:v>
      </x:c>
      <x:c r="N5" s="32" t="n">
        <x:f>IF(L5=0,"",I5/L5)</x:f>
        <x:v>1.1622109155675358</x:v>
      </x:c>
      <x:c r="O5" s="34" t="n">
        <x:f>IF(L5=0,"",M5/L5)</x:f>
        <x:v>0.16221091556753583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4106.9999999999</x:v>
      </x:c>
      <x:c r="E6" s="31" t="n">
        <x:v>4106.9999999999</x:v>
      </x:c>
      <x:c r="F6" s="32" t="n">
        <x:v>0</x:v>
      </x:c>
      <x:c r="G6" s="34" t="n">
        <x:v>1</x:v>
      </x:c>
      <x:c r="H6" s="32" t="n">
        <x:f>IF(E6=0,"",I6/E6)</x:f>
        <x:v>1778.2794100389228</x:v>
      </x:c>
      <x:c r="I6" s="31" t="n">
        <x:f>IF(C6=0,"",SUMIF('Species'!$G$2:$G$119,A6,'Species'!$U$2:$U$119))</x:f>
        <x:v>7303393.537029678</x:v>
      </x:c>
      <x:c r="J6" s="32" t="n">
        <x:v>4.25</x:v>
      </x:c>
      <x:c r="K6" s="32" t="n">
        <x:f>IF(J6="","",(1/'Metadata'!$B$5)^(J6-1))</x:f>
        <x:v>1778.2794100389228</x:v>
      </x:c>
      <x:c r="L6" s="31" t="n">
        <x:f>IF(E6=0,"",E6*K6)</x:f>
        <x:v>7303393.537029678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8</x:v>
      </x:c>
      <x:c r="C7" s="33" t="n">
        <x:v>8</x:v>
      </x:c>
      <x:c r="D7" s="31" t="n">
        <x:v>52188.866018057095</x:v>
      </x:c>
      <x:c r="E7" s="31" t="n">
        <x:v>52188.866018057095</x:v>
      </x:c>
      <x:c r="F7" s="32" t="n">
        <x:v>0</x:v>
      </x:c>
      <x:c r="G7" s="34" t="n">
        <x:v>1</x:v>
      </x:c>
      <x:c r="H7" s="32" t="n">
        <x:f>IF(E7=0,"",I7/E7)</x:f>
        <x:v>2959.3600795645993</x:v>
      </x:c>
      <x:c r="I7" s="31" t="n">
        <x:f>IF(C7=0,"",SUMIF('Species'!$G$2:$G$119,A7,'Species'!$U$2:$U$119))</x:f>
        <x:v>154445646.69158366</x:v>
      </x:c>
      <x:c r="J7" s="32" t="n">
        <x:v>4.46789462542594</x:v>
      </x:c>
      <x:c r="K7" s="32" t="n">
        <x:f>IF(J7="","",(1/'Metadata'!$B$5)^(J7-1))</x:f>
        <x:v>2936.9369649653836</x:v>
      </x:c>
      <x:c r="L7" s="31" t="n">
        <x:f>IF(E7=0,"",E7*K7)</x:f>
        <x:v>153275409.76805764</x:v>
      </x:c>
      <x:c r="M7" s="31" t="n">
        <x:f>IF(E7=0,"",I7-L7)</x:f>
        <x:v>1170236.9235260189</x:v>
      </x:c>
      <x:c r="N7" s="32" t="n">
        <x:f>IF(L7=0,"",I7/L7)</x:f>
        <x:v>1.00763486410049</x:v>
      </x:c>
      <x:c r="O7" s="34" t="n">
        <x:f>IF(L7=0,"",M7/L7)</x:f>
        <x:v>0.007634864100489878</x:v>
      </x:c>
    </x:row>
    <x:row r="8" ht="18" customHeight="1">
      <x:c r="A8" s="24" t="str">
        <x:v>Large reef assoc. fish (&gt;=90 cm)</x:v>
      </x:c>
      <x:c r="B8" s="33" t="n">
        <x:v>2</x:v>
      </x:c>
      <x:c r="C8" s="33" t="n">
        <x:v>2</x:v>
      </x:c>
      <x:c r="D8" s="31" t="n">
        <x:v>9170.0175458555</x:v>
      </x:c>
      <x:c r="E8" s="31" t="n">
        <x:v>9170.0175458555</x:v>
      </x:c>
      <x:c r="F8" s="32" t="n">
        <x:v>0</x:v>
      </x:c>
      <x:c r="G8" s="34" t="n">
        <x:v>1</x:v>
      </x:c>
      <x:c r="H8" s="32" t="n">
        <x:f>IF(E8=0,"",I8/E8)</x:f>
        <x:v>550.3267646766373</x:v>
      </x:c>
      <x:c r="I8" s="31" t="n">
        <x:f>IF(C8=0,"",SUMIF('Species'!$G$2:$G$119,A8,'Species'!$U$2:$U$119))</x:f>
        <x:v>5046506.088038655</x:v>
      </x:c>
      <x:c r="J8" s="32" t="n">
        <x:v>3.690717192334114</x:v>
      </x:c>
      <x:c r="K8" s="32" t="n">
        <x:f>IF(J8="","",(1/'Metadata'!$B$5)^(J8-1))</x:f>
        <x:v>490.5883065445813</x:v>
      </x:c>
      <x:c r="L8" s="31" t="n">
        <x:f>IF(E8=0,"",E8*K8)</x:f>
        <x:v>4498703.378805348</x:v>
      </x:c>
      <x:c r="M8" s="31" t="n">
        <x:f>IF(E8=0,"",I8-L8)</x:f>
        <x:v>547802.7092333073</x:v>
      </x:c>
      <x:c r="N8" s="32" t="n">
        <x:f>IF(L8=0,"",I8/L8)</x:f>
        <x:v>1.1217690216728133</x:v>
      </x:c>
      <x:c r="O8" s="34" t="n">
        <x:f>IF(L8=0,"",M8/L8)</x:f>
        <x:v>0.12176902167281341</x:v>
      </x:c>
    </x:row>
    <x:row r="9" ht="18" customHeight="1">
      <x:c r="A9" s="24" t="str">
        <x:v>Large sharks (&gt;=90 cm)</x:v>
      </x:c>
      <x:c r="B9" s="33" t="n">
        <x:v>2</x:v>
      </x:c>
      <x:c r="C9" s="33" t="n">
        <x:v>2</x:v>
      </x:c>
      <x:c r="D9" s="31" t="n">
        <x:v>197.0068597637</x:v>
      </x:c>
      <x:c r="E9" s="31" t="n">
        <x:v>197.0068597637</x:v>
      </x:c>
      <x:c r="F9" s="32" t="n">
        <x:v>0</x:v>
      </x:c>
      <x:c r="G9" s="34" t="n">
        <x:v>1</x:v>
      </x:c>
      <x:c r="H9" s="32" t="n">
        <x:f>IF(E9=0,"",I9/E9)</x:f>
        <x:v>1122.0477567385437</x:v>
      </x:c>
      <x:c r="I9" s="31" t="n">
        <x:f>IF(C9=0,"",SUMIF('Species'!$G$2:$G$119,A9,'Species'!$U$2:$U$119))</x:f>
        <x:v>221051.10505996447</x:v>
      </x:c>
      <x:c r="J9" s="32" t="n">
        <x:v>4.050007872042485</x:v>
      </x:c>
      <x:c r="K9" s="32" t="n">
        <x:f>IF(J9="","",(1/'Metadata'!$B$5)^(J9-1))</x:f>
        <x:v>1122.0387922462844</x:v>
      </x:c>
      <x:c r="L9" s="31" t="n">
        <x:f>IF(E9=0,"",E9*K9)</x:f>
        <x:v>221049.33899349507</x:v>
      </x:c>
      <x:c r="M9" s="31" t="n">
        <x:f>IF(E9=0,"",I9-L9)</x:f>
        <x:v>1.7660664693976287</x:v>
      </x:c>
      <x:c r="N9" s="32" t="n">
        <x:f>IF(L9=0,"",I9/L9)</x:f>
        <x:v>1.0000079894673173</x:v>
      </x:c>
      <x:c r="O9" s="34" t="n">
        <x:f>IF(L9=0,"",M9/L9)</x:f>
        <x:v>0.000007989467317292452</x:v>
      </x:c>
    </x:row>
    <x:row r="10" ht="18" customHeight="1">
      <x:c r="A10" s="24" t="str">
        <x:v>Lobsters, crabs</x:v>
      </x:c>
      <x:c r="B10" s="33" t="n">
        <x:v>6</x:v>
      </x:c>
      <x:c r="C10" s="33" t="n">
        <x:v>6</x:v>
      </x:c>
      <x:c r="D10" s="31" t="n">
        <x:v>36374.9964120536</x:v>
      </x:c>
      <x:c r="E10" s="31" t="n">
        <x:v>36374.9964120536</x:v>
      </x:c>
      <x:c r="F10" s="32" t="n">
        <x:v>0</x:v>
      </x:c>
      <x:c r="G10" s="34" t="n">
        <x:v>1</x:v>
      </x:c>
      <x:c r="H10" s="32" t="n">
        <x:f>IF(E10=0,"",I10/E10)</x:f>
        <x:v>381.42619580763795</x:v>
      </x:c>
      <x:c r="I10" s="31" t="n">
        <x:f>IF(C10=0,"",SUMIF('Species'!$G$2:$G$119,A10,'Species'!$U$2:$U$119))</x:f>
        <x:v>13874376.503966086</x:v>
      </x:c>
      <x:c r="J10" s="32" t="n">
        <x:v>3.4287297440291997</x:v>
      </x:c>
      <x:c r="K10" s="32" t="n">
        <x:f>IF(J10="","",(1/'Metadata'!$B$5)^(J10-1))</x:f>
        <x:v>268.3673909557461</x:v>
      </x:c>
      <x:c r="L10" s="31" t="n">
        <x:f>IF(E10=0,"",E10*K10)</x:f>
        <x:v>9761862.883127451</x:v>
      </x:c>
      <x:c r="M10" s="31" t="n">
        <x:f>IF(E10=0,"",I10-L10)</x:f>
        <x:v>4112513.6208386347</x:v>
      </x:c>
      <x:c r="N10" s="32" t="n">
        <x:f>IF(L10=0,"",I10/L10)</x:f>
        <x:v>1.421283690426216</x:v>
      </x:c>
      <x:c r="O10" s="34" t="n">
        <x:f>IF(L10=0,"",M10/L10)</x:f>
        <x:v>0.4212836904262161</x:v>
      </x:c>
    </x:row>
    <x:row r="11" ht="18" customHeight="1">
      <x:c r="A11" s="24" t="str">
        <x:v>Medium benthopelagics (30 - 89 cm)</x:v>
      </x:c>
      <x:c r="B11" s="33" t="n">
        <x:v>8</x:v>
      </x:c>
      <x:c r="C11" s="33" t="n">
        <x:v>8</x:v>
      </x:c>
      <x:c r="D11" s="31" t="n">
        <x:v>102675.66852045292</x:v>
      </x:c>
      <x:c r="E11" s="31" t="n">
        <x:v>102675.66852045292</x:v>
      </x:c>
      <x:c r="F11" s="32" t="n">
        <x:v>0</x:v>
      </x:c>
      <x:c r="G11" s="34" t="n">
        <x:v>1</x:v>
      </x:c>
      <x:c r="H11" s="32" t="n">
        <x:f>IF(E11=0,"",I11/E11)</x:f>
        <x:v>354.3547020377907</x:v>
      </x:c>
      <x:c r="I11" s="31" t="n">
        <x:f>IF(C11=0,"",SUMIF('Species'!$G$2:$G$119,A11,'Species'!$U$2:$U$119))</x:f>
        <x:v>36383605.92509606</x:v>
      </x:c>
      <x:c r="J11" s="32" t="n">
        <x:v>3.5314727781478155</x:v>
      </x:c>
      <x:c r="K11" s="32" t="n">
        <x:f>IF(J11="","",(1/'Metadata'!$B$5)^(J11-1))</x:f>
        <x:v>339.9951940228469</x:v>
      </x:c>
      <x:c r="L11" s="31" t="n">
        <x:f>IF(E11=0,"",E11*K11)</x:f>
        <x:v>34909233.8400369</x:v>
      </x:c>
      <x:c r="M11" s="31" t="n">
        <x:f>IF(E11=0,"",I11-L11)</x:f>
        <x:v>1474372.0850591585</x:v>
      </x:c>
      <x:c r="N11" s="32" t="n">
        <x:f>IF(L11=0,"",I11/L11)</x:f>
        <x:v>1.0422344440962272</x:v>
      </x:c>
      <x:c r="O11" s="34" t="n">
        <x:f>IF(L11=0,"",M11/L11)</x:f>
        <x:v>0.042234444096227126</x:v>
      </x:c>
    </x:row>
    <x:row r="12" ht="18" customHeight="1">
      <x:c r="A12" s="24" t="str">
        <x:v>Medium demersals (30 - 89 cm)</x:v>
      </x:c>
      <x:c r="B12" s="33" t="n">
        <x:v>14</x:v>
      </x:c>
      <x:c r="C12" s="33" t="n">
        <x:v>14</x:v>
      </x:c>
      <x:c r="D12" s="31" t="n">
        <x:v>426908.9792123623</x:v>
      </x:c>
      <x:c r="E12" s="31" t="n">
        <x:v>426908.9792123623</x:v>
      </x:c>
      <x:c r="F12" s="32" t="n">
        <x:v>0</x:v>
      </x:c>
      <x:c r="G12" s="34" t="n">
        <x:v>1</x:v>
      </x:c>
      <x:c r="H12" s="32" t="n">
        <x:f>IF(E12=0,"",I12/E12)</x:f>
        <x:v>267.0310303566345</x:v>
      </x:c>
      <x:c r="I12" s="31" t="n">
        <x:f>IF(C12=0,"",SUMIF('Species'!$G$2:$G$119,A12,'Species'!$U$2:$U$119))</x:f>
        <x:v>113997944.58757618</x:v>
      </x:c>
      <x:c r="J12" s="32" t="n">
        <x:v>3.3546697906090976</x:v>
      </x:c>
      <x:c r="K12" s="32" t="n">
        <x:f>IF(J12="","",(1/'Metadata'!$B$5)^(J12-1))</x:f>
        <x:v>226.29230732033142</x:v>
      </x:c>
      <x:c r="L12" s="31" t="n">
        <x:f>IF(E12=0,"",E12*K12)</x:f>
        <x:v>96606217.92173287</x:v>
      </x:c>
      <x:c r="M12" s="31" t="n">
        <x:f>IF(E12=0,"",I12-L12)</x:f>
        <x:v>17391726.665843308</x:v>
      </x:c>
      <x:c r="N12" s="32" t="n">
        <x:f>IF(L12=0,"",I12/L12)</x:f>
        <x:v>1.1800269903944849</x:v>
      </x:c>
      <x:c r="O12" s="34" t="n">
        <x:f>IF(L12=0,"",M12/L12)</x:f>
        <x:v>0.18002699039448478</x:v>
      </x:c>
    </x:row>
    <x:row r="13" ht="18" customHeight="1">
      <x:c r="A13" s="24" t="str">
        <x:v>Medium pelagics (30 - 89 cm)</x:v>
      </x:c>
      <x:c r="B13" s="33" t="n">
        <x:v>9</x:v>
      </x:c>
      <x:c r="C13" s="33" t="n">
        <x:v>9</x:v>
      </x:c>
      <x:c r="D13" s="31" t="n">
        <x:v>203565.184544647</x:v>
      </x:c>
      <x:c r="E13" s="31" t="n">
        <x:v>203565.184544647</x:v>
      </x:c>
      <x:c r="F13" s="32" t="n">
        <x:v>0</x:v>
      </x:c>
      <x:c r="G13" s="34" t="n">
        <x:v>1</x:v>
      </x:c>
      <x:c r="H13" s="32" t="n">
        <x:f>IF(E13=0,"",I13/E13)</x:f>
        <x:v>235.4445263153683</x:v>
      </x:c>
      <x:c r="I13" s="31" t="n">
        <x:f>IF(C13=0,"",SUMIF('Species'!$G$2:$G$119,A13,'Species'!$U$2:$U$119))</x:f>
        <x:v>47928308.449414946</x:v>
      </x:c>
      <x:c r="J13" s="32" t="n">
        <x:v>3.3315514622421776</x:v>
      </x:c>
      <x:c r="K13" s="32" t="n">
        <x:f>IF(J13="","",(1/'Metadata'!$B$5)^(J13-1))</x:f>
        <x:v>214.5613347763202</x:v>
      </x:c>
      <x:c r="L13" s="31" t="n">
        <x:f>IF(E13=0,"",E13*K13)</x:f>
        <x:v>43677217.70988741</x:v>
      </x:c>
      <x:c r="M13" s="31" t="n">
        <x:f>IF(E13=0,"",I13-L13)</x:f>
        <x:v>4251090.739527538</x:v>
      </x:c>
      <x:c r="N13" s="32" t="n">
        <x:f>IF(L13=0,"",I13/L13)</x:f>
        <x:v>1.0973297055633011</x:v>
      </x:c>
      <x:c r="O13" s="34" t="n">
        <x:f>IF(L13=0,"",M13/L13)</x:f>
        <x:v>0.09732970556330102</x:v>
      </x:c>
    </x:row>
    <x:row r="14" ht="18" customHeight="1">
      <x:c r="A14" s="24" t="str">
        <x:v>Medium reef assoc. fish (30 - 89 cm)</x:v>
      </x:c>
      <x:c r="B14" s="33" t="n">
        <x:v>7</x:v>
      </x:c>
      <x:c r="C14" s="33" t="n">
        <x:v>7</x:v>
      </x:c>
      <x:c r="D14" s="31" t="n">
        <x:v>44521.264424598296</x:v>
      </x:c>
      <x:c r="E14" s="31" t="n">
        <x:v>44521.264424598296</x:v>
      </x:c>
      <x:c r="F14" s="32" t="n">
        <x:v>0</x:v>
      </x:c>
      <x:c r="G14" s="34" t="n">
        <x:v>1</x:v>
      </x:c>
      <x:c r="H14" s="32" t="n">
        <x:f>IF(E14=0,"",I14/E14)</x:f>
        <x:v>317.990360978522</x:v>
      </x:c>
      <x:c r="I14" s="31" t="n">
        <x:f>IF(C14=0,"",SUMIF('Species'!$G$2:$G$119,A14,'Species'!$U$2:$U$119))</x:f>
        <x:v>14157332.945598243</x:v>
      </x:c>
      <x:c r="J14" s="32" t="n">
        <x:v>3.160482077682313</x:v>
      </x:c>
      <x:c r="K14" s="32" t="n">
        <x:f>IF(J14="","",(1/'Metadata'!$B$5)^(J14-1))</x:f>
        <x:v>144.70451356938477</x:v>
      </x:c>
      <x:c r="L14" s="31" t="n">
        <x:f>IF(E14=0,"",E14*K14)</x:f>
        <x:v>6442427.912055451</x:v>
      </x:c>
      <x:c r="M14" s="31" t="n">
        <x:f>IF(E14=0,"",I14-L14)</x:f>
        <x:v>7714905.033542791</x:v>
      </x:c>
      <x:c r="N14" s="32" t="n">
        <x:f>IF(L14=0,"",I14/L14)</x:f>
        <x:v>2.197515150942738</x:v>
      </x:c>
      <x:c r="O14" s="34" t="n">
        <x:f>IF(L14=0,"",M14/L14)</x:f>
        <x:v>1.1975151509427377</x:v>
      </x:c>
    </x:row>
    <x:row r="15" ht="18" customHeight="1">
      <x:c r="A15" s="24" t="str">
        <x:v>Other demersal invertebrates</x:v>
      </x:c>
      <x:c r="B15" s="33" t="n">
        <x:v>19</x:v>
      </x:c>
      <x:c r="C15" s="33" t="n">
        <x:v>19</x:v>
      </x:c>
      <x:c r="D15" s="31" t="n">
        <x:v>90837.80149933779</x:v>
      </x:c>
      <x:c r="E15" s="31" t="n">
        <x:v>90837.80149933779</x:v>
      </x:c>
      <x:c r="F15" s="32" t="n">
        <x:v>0</x:v>
      </x:c>
      <x:c r="G15" s="34" t="n">
        <x:v>1</x:v>
      </x:c>
      <x:c r="H15" s="32" t="n">
        <x:f>IF(E15=0,"",I15/E15)</x:f>
        <x:v>13.225033240338114</x:v>
      </x:c>
      <x:c r="I15" s="31" t="n">
        <x:f>IF(C15=0,"",SUMIF('Species'!$G$2:$G$119,A15,'Species'!$U$2:$U$119))</x:f>
        <x:v>1201332.9443079776</x:v>
      </x:c>
      <x:c r="J15" s="32" t="n">
        <x:v>2.082440538924846</x:v>
      </x:c>
      <x:c r="K15" s="32" t="n">
        <x:f>IF(J15="","",(1/'Metadata'!$B$5)^(J15-1))</x:f>
        <x:v>12.090396369338276</x:v>
      </x:c>
      <x:c r="L15" s="31" t="n">
        <x:f>IF(E15=0,"",E15*K15)</x:f>
        <x:v>1098265.0254462645</x:v>
      </x:c>
      <x:c r="M15" s="31" t="n">
        <x:f>IF(E15=0,"",I15-L15)</x:f>
        <x:v>103067.91886171303</x:v>
      </x:c>
      <x:c r="N15" s="32" t="n">
        <x:f>IF(L15=0,"",I15/L15)</x:f>
        <x:v>1.0938461268215591</x:v>
      </x:c>
      <x:c r="O15" s="34" t="n">
        <x:f>IF(L15=0,"",M15/L15)</x:f>
        <x:v>0.09384612682155914</x:v>
      </x:c>
    </x:row>
    <x:row r="16" ht="18" customHeight="1">
      <x:c r="A16" s="24" t="str">
        <x:v>Shrimps</x:v>
      </x:c>
      <x:c r="B16" s="33" t="n">
        <x:v>8</x:v>
      </x:c>
      <x:c r="C16" s="33" t="n">
        <x:v>8</x:v>
      </x:c>
      <x:c r="D16" s="31" t="n">
        <x:v>96939.92819145382</x:v>
      </x:c>
      <x:c r="E16" s="31" t="n">
        <x:v>96939.92819145382</x:v>
      </x:c>
      <x:c r="F16" s="32" t="n">
        <x:v>0</x:v>
      </x:c>
      <x:c r="G16" s="34" t="n">
        <x:v>1</x:v>
      </x:c>
      <x:c r="H16" s="32" t="n">
        <x:f>IF(E16=0,"",I16/E16)</x:f>
        <x:v>98.98527248622649</x:v>
      </x:c>
      <x:c r="I16" s="31" t="n">
        <x:f>IF(C16=0,"",SUMIF('Species'!$G$2:$G$119,A16,'Species'!$U$2:$U$119))</x:f>
        <x:v>9595625.206826285</x:v>
      </x:c>
      <x:c r="J16" s="32" t="n">
        <x:v>2.753322787494199</x:v>
      </x:c>
      <x:c r="K16" s="32" t="n">
        <x:f>IF(J16="","",(1/'Metadata'!$B$5)^(J16-1))</x:f>
        <x:v>56.6660300377391</x:v>
      </x:c>
      <x:c r="L16" s="31" t="n">
        <x:f>IF(E16=0,"",E16*K16)</x:f>
        <x:v>5493200.882753193</x:v>
      </x:c>
      <x:c r="M16" s="31" t="n">
        <x:f>IF(E16=0,"",I16-L16)</x:f>
        <x:v>4102424.324073091</x:v>
      </x:c>
      <x:c r="N16" s="32" t="n">
        <x:f>IF(L16=0,"",I16/L16)</x:f>
        <x:v>1.7468185510843643</x:v>
      </x:c>
      <x:c r="O16" s="34" t="n">
        <x:f>IF(L16=0,"",M16/L16)</x:f>
        <x:v>0.7468185510843643</x:v>
      </x:c>
    </x:row>
    <x:row r="17" ht="18" customHeight="1">
      <x:c r="A17" s="24" t="str">
        <x:v>Small bathydemersals (&lt;30 cm)</x:v>
      </x:c>
      <x:c r="B17" s="33" t="n">
        <x:v>1</x:v>
      </x:c>
      <x:c r="C17" s="33" t="n">
        <x:v>1</x:v>
      </x:c>
      <x:c r="D17" s="31" t="n">
        <x:v>3066.0000000002997</x:v>
      </x:c>
      <x:c r="E17" s="31" t="n">
        <x:v>3066.0000000002997</x:v>
      </x:c>
      <x:c r="F17" s="32" t="n">
        <x:v>0</x:v>
      </x:c>
      <x:c r="G17" s="34" t="n">
        <x:v>1</x:v>
      </x:c>
      <x:c r="H17" s="32" t="n">
        <x:f>IF(E17=0,"",I17/E17)</x:f>
        <x:v>323.5936569296281</x:v>
      </x:c>
      <x:c r="I17" s="31" t="n">
        <x:f>IF(C17=0,"",SUMIF('Species'!$G$2:$G$119,A17,'Species'!$U$2:$U$119))</x:f>
        <x:v>992138.1521463366</x:v>
      </x:c>
      <x:c r="J17" s="32" t="n">
        <x:v>3.51</x:v>
      </x:c>
      <x:c r="K17" s="32" t="n">
        <x:f>IF(J17="","",(1/'Metadata'!$B$5)^(J17-1))</x:f>
        <x:v>323.5936569296281</x:v>
      </x:c>
      <x:c r="L17" s="31" t="n">
        <x:f>IF(E17=0,"",E17*K17)</x:f>
        <x:v>992138.1521463366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benthopelagics (&lt;30 cm)</x:v>
      </x:c>
      <x:c r="B18" s="33" t="n">
        <x:v>1</x:v>
      </x:c>
      <x:c r="C18" s="33" t="n">
        <x:v>1</x:v>
      </x:c>
      <x:c r="D18" s="31" t="n">
        <x:v>8678.0000000002</x:v>
      </x:c>
      <x:c r="E18" s="31" t="n">
        <x:v>8678.0000000002</x:v>
      </x:c>
      <x:c r="F18" s="32" t="n">
        <x:v>0</x:v>
      </x:c>
      <x:c r="G18" s="34" t="n">
        <x:v>1</x:v>
      </x:c>
      <x:c r="H18" s="32" t="n">
        <x:f>IF(E18=0,"",I18/E18)</x:f>
        <x:v>416.8693834703355</x:v>
      </x:c>
      <x:c r="I18" s="31" t="n">
        <x:f>IF(C18=0,"",SUMIF('Species'!$G$2:$G$119,A18,'Species'!$U$2:$U$119))</x:f>
        <x:v>3617592.5097556547</x:v>
      </x:c>
      <x:c r="J18" s="32" t="n">
        <x:v>3.62</x:v>
      </x:c>
      <x:c r="K18" s="32" t="n">
        <x:f>IF(J18="","",(1/'Metadata'!$B$5)^(J18-1))</x:f>
        <x:v>416.8693834703355</x:v>
      </x:c>
      <x:c r="L18" s="31" t="n">
        <x:f>IF(E18=0,"",E18*K18)</x:f>
        <x:v>3617592.5097556547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demersals (&lt;30 cm)</x:v>
      </x:c>
      <x:c r="B19" s="33" t="n">
        <x:v>3</x:v>
      </x:c>
      <x:c r="C19" s="33" t="n">
        <x:v>3</x:v>
      </x:c>
      <x:c r="D19" s="31" t="n">
        <x:v>37738.9802837151</x:v>
      </x:c>
      <x:c r="E19" s="31" t="n">
        <x:v>37738.9802837151</x:v>
      </x:c>
      <x:c r="F19" s="32" t="n">
        <x:v>0</x:v>
      </x:c>
      <x:c r="G19" s="34" t="n">
        <x:v>1</x:v>
      </x:c>
      <x:c r="H19" s="32" t="n">
        <x:f>IF(E19=0,"",I19/E19)</x:f>
        <x:v>265.57232931757636</x:v>
      </x:c>
      <x:c r="I19" s="31" t="n">
        <x:f>IF(C19=0,"",SUMIF('Species'!$G$2:$G$119,A19,'Species'!$U$2:$U$119))</x:f>
        <x:v>10022428.900016308</x:v>
      </x:c>
      <x:c r="J19" s="32" t="n">
        <x:v>3.27542602523444</x:v>
      </x:c>
      <x:c r="K19" s="32" t="n">
        <x:f>IF(J19="","",(1/'Metadata'!$B$5)^(J19-1))</x:f>
        <x:v>188.54977792804277</x:v>
      </x:c>
      <x:c r="L19" s="31" t="n">
        <x:f>IF(E19=0,"",E19*K19)</x:f>
        <x:v>7115676.351725266</x:v>
      </x:c>
      <x:c r="M19" s="31" t="n">
        <x:f>IF(E19=0,"",I19-L19)</x:f>
        <x:v>2906752.5482910415</x:v>
      </x:c>
      <x:c r="N19" s="32" t="n">
        <x:f>IF(L19=0,"",I19/L19)</x:f>
        <x:v>1.4084998255417098</x:v>
      </x:c>
      <x:c r="O19" s="34" t="n">
        <x:f>IF(L19=0,"",M19/L19)</x:f>
        <x:v>0.4084998255417098</x:v>
      </x:c>
    </x:row>
    <x:row r="20" ht="18" customHeight="1">
      <x:c r="A20" s="24" t="str">
        <x:v>Small pelagics (&lt;30 cm)</x:v>
      </x:c>
      <x:c r="B20" s="33" t="n">
        <x:v>5</x:v>
      </x:c>
      <x:c r="C20" s="33" t="n">
        <x:v>5</x:v>
      </x:c>
      <x:c r="D20" s="31" t="n">
        <x:v>248619.68245850058</x:v>
      </x:c>
      <x:c r="E20" s="31" t="n">
        <x:v>248619.68245850058</x:v>
      </x:c>
      <x:c r="F20" s="32" t="n">
        <x:v>0</x:v>
      </x:c>
      <x:c r="G20" s="34" t="n">
        <x:v>1</x:v>
      </x:c>
      <x:c r="H20" s="32" t="n">
        <x:f>IF(E20=0,"",I20/E20)</x:f>
        <x:v>141.79651063067354</x:v>
      </x:c>
      <x:c r="I20" s="31" t="n">
        <x:f>IF(C20=0,"",SUMIF('Species'!$G$2:$G$119,A20,'Species'!$U$2:$U$119))</x:f>
        <x:v>35253403.44672146</x:v>
      </x:c>
      <x:c r="J20" s="32" t="n">
        <x:v>3.1505336992067803</x:v>
      </x:c>
      <x:c r="K20" s="32" t="n">
        <x:f>IF(J20="","",(1/'Metadata'!$B$5)^(J20-1))</x:f>
        <x:v>141.4274461851243</x:v>
      </x:c>
      <x:c r="L20" s="31" t="n">
        <x:f>IF(E20=0,"",E20*K20)</x:f>
        <x:v>35161646.76146228</x:v>
      </x:c>
      <x:c r="M20" s="31" t="n">
        <x:f>IF(E20=0,"",I20-L20)</x:f>
        <x:v>91756.68525917828</x:v>
      </x:c>
      <x:c r="N20" s="32" t="n">
        <x:f>IF(L20=0,"",I20/L20)</x:f>
        <x:v>1.0026095673471058</x:v>
      </x:c>
      <x:c r="O20" s="34" t="n">
        <x:f>IF(L20=0,"",M20/L20)</x:f>
        <x:v>0.002609567347105741</x:v>
      </x:c>
    </x:row>
    <x:row r="21" ht="18" customHeight="1">
      <x:c r="A21" s="24" t="str">
        <x:v>Small reef assoc. fish (&lt;30 cm)</x:v>
      </x:c>
      <x:c r="B21" s="33" t="n">
        <x:v>1</x:v>
      </x:c>
      <x:c r="C21" s="33" t="n">
        <x:v>1</x:v>
      </x:c>
      <x:c r="D21" s="31" t="n">
        <x:v>920.0349089593</x:v>
      </x:c>
      <x:c r="E21" s="31" t="n">
        <x:v>920.0349089593</x:v>
      </x:c>
      <x:c r="F21" s="32" t="n">
        <x:v>0</x:v>
      </x:c>
      <x:c r="G21" s="34" t="n">
        <x:v>1</x:v>
      </x:c>
      <x:c r="H21" s="32" t="n">
        <x:f>IF(E21=0,"",I21/E21)</x:f>
        <x:v>128.82495516931337</x:v>
      </x:c>
      <x:c r="I21" s="31" t="n">
        <x:f>IF(C21=0,"",SUMIF('Species'!$G$2:$G$119,A21,'Species'!$U$2:$U$119))</x:f>
        <x:v>118523.45590088512</x:v>
      </x:c>
      <x:c r="J21" s="32" t="n">
        <x:v>3.1099999999999994</x:v>
      </x:c>
      <x:c r="K21" s="32" t="n">
        <x:f>IF(J21="","",(1/'Metadata'!$B$5)^(J21-1))</x:f>
        <x:v>128.82495516931323</x:v>
      </x:c>
      <x:c r="L21" s="31" t="n">
        <x:f>IF(E21=0,"",E21*K21)</x:f>
        <x:v>118523.45590088499</x:v>
      </x:c>
      <x:c r="M21" s="31" t="n">
        <x:f>IF(E21=0,"",I21-L21)</x:f>
        <x:v>1.3096723705530167e-10</x:v>
      </x:c>
      <x:c r="N21" s="32" t="n">
        <x:f>IF(L21=0,"",I21/L21)</x:f>
        <x:v>1.000000000000001</x:v>
      </x:c>
      <x:c r="O21" s="34" t="n">
        <x:f>IF(L21=0,"",M21/L21)</x:f>
        <x:v>1.104990029693555e-15</x:v>
      </x:c>
    </x:row>
    <x:row r="22" ht="18" customHeight="1">
      <x:c r="A22" s="24" t="str">
        <x:v>Small to medium flatfishes (&lt;90 cm)</x:v>
      </x:c>
      <x:c r="B22" s="33" t="n">
        <x:v>3</x:v>
      </x:c>
      <x:c r="C22" s="33" t="n">
        <x:v>3</x:v>
      </x:c>
      <x:c r="D22" s="31" t="n">
        <x:v>29654.2940928236</x:v>
      </x:c>
      <x:c r="E22" s="31" t="n">
        <x:v>29654.2940928236</x:v>
      </x:c>
      <x:c r="F22" s="32" t="n">
        <x:v>0</x:v>
      </x:c>
      <x:c r="G22" s="34" t="n">
        <x:v>1</x:v>
      </x:c>
      <x:c r="H22" s="32" t="n">
        <x:f>IF(E22=0,"",I22/E22)</x:f>
        <x:v>371.754708587027</x:v>
      </x:c>
      <x:c r="I22" s="31" t="n">
        <x:f>IF(C22=0,"",SUMIF('Species'!$G$2:$G$119,A22,'Species'!$U$2:$U$119))</x:f>
        <x:v>11024123.458831633</x:v>
      </x:c>
      <x:c r="J22" s="32" t="n">
        <x:v>3.3941035034648896</x:v>
      </x:c>
      <x:c r="K22" s="32" t="n">
        <x:f>IF(J22="","",(1/'Metadata'!$B$5)^(J22-1))</x:f>
        <x:v>247.80125609346175</x:v>
      </x:c>
      <x:c r="L22" s="31" t="n">
        <x:f>IF(E22=0,"",E22*K22)</x:f>
        <x:v>7348371.324766611</x:v>
      </x:c>
      <x:c r="M22" s="31" t="n">
        <x:f>IF(E22=0,"",I22-L22)</x:f>
        <x:v>3675752.1340650218</x:v>
      </x:c>
      <x:c r="N22" s="32" t="n">
        <x:f>IF(L22=0,"",I22/L22)</x:f>
        <x:v>1.5002131726354706</x:v>
      </x:c>
      <x:c r="O22" s="34" t="n">
        <x:f>IF(L22=0,"",M22/L22)</x:f>
        <x:v>0.5002131726354705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19bd919f3b942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EEZ_410</x:v>
      </x:c>
      <x:c r="B2" s="24" t="str">
        <x:v>raw_filtered_tonnes</x:v>
      </x:c>
      <x:c r="C2" s="24" t="n">
        <x:v>1692138.9147849001</x:v>
      </x:c>
      <x:c r="D2" s="24" t="str">
        <x:v>tonnes</x:v>
      </x:c>
    </x:row>
    <x:row r="3" ht="18" customHeight="1">
      <x:c r="A3" s="24" t="str">
        <x:v>EEZ_410</x:v>
      </x:c>
      <x:c r="B3" s="24" t="str">
        <x:v>species_catch_tonnes</x:v>
      </x:c>
      <x:c r="C3" s="24" t="n">
        <x:v>1692138.9147849004</x:v>
      </x:c>
      <x:c r="D3" s="24" t="str">
        <x:v>tonnes</x:v>
      </x:c>
    </x:row>
    <x:row r="4" ht="18" customHeight="1">
      <x:c r="A4" s="24" t="str">
        <x:v>EEZ_410</x:v>
      </x:c>
      <x:c r="B4" s="24" t="str">
        <x:v>catch_difference_tonnes</x:v>
      </x:c>
      <x:c r="C4" s="24" t="n">
        <x:v>2.3283064365386963e-10</x:v>
      </x:c>
      <x:c r="D4" s="24" t="str">
        <x:v>tonnes</x:v>
      </x:c>
    </x:row>
    <x:row r="5" ht="18" customHeight="1">
      <x:c r="A5" s="24" t="str">
        <x:v>EEZ_410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EEZ_410</x:v>
      </x:c>
      <x:c r="B6" s="24" t="str">
        <x:v>matched_catch_tonnes</x:v>
      </x:c>
      <x:c r="C6" s="24" t="n">
        <x:v>1692138.9147849004</x:v>
      </x:c>
      <x:c r="D6" s="24" t="str">
        <x:v>tonnes</x:v>
      </x:c>
    </x:row>
    <x:row r="7" ht="18" customHeight="1">
      <x:c r="A7" s="24" t="str">
        <x:v>EEZ_410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EEZ_410</x:v>
      </x:c>
      <x:c r="B8" s="24" t="str">
        <x:v>taxa_count</x:v>
      </x:c>
      <x:c r="C8" s="24" t="n">
        <x:v>118</x:v>
      </x:c>
      <x:c r="D8" s="24" t="str">
        <x:v>count</x:v>
      </x:c>
    </x:row>
    <x:row r="9" ht="18" customHeight="1">
      <x:c r="A9" s="24" t="str">
        <x:v>EEZ_410</x:v>
      </x:c>
      <x:c r="B9" s="24" t="str">
        <x:v>matched_taxa_count</x:v>
      </x:c>
      <x:c r="C9" s="24" t="n">
        <x:v>118</x:v>
      </x:c>
      <x:c r="D9" s="24" t="str">
        <x:v>count</x:v>
      </x:c>
    </x:row>
    <x:row r="10" ht="18" customHeight="1">
      <x:c r="A10" s="24" t="str">
        <x:v>EEZ_410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EEZ_410</x:v>
      </x:c>
      <x:c r="B11" s="24" t="str">
        <x:v>species_ppr</x:v>
      </x:c>
      <x:c r="C11" s="24" t="n">
        <x:v>1001424147.7179294</x:v>
      </x:c>
      <x:c r="D11" s="24" t="str">
        <x:v>tonnes_primary_production_equivalent</x:v>
      </x:c>
    </x:row>
    <x:row r="12" ht="18" customHeight="1">
      <x:c r="A12" s="24" t="str">
        <x:v>EEZ_410</x:v>
      </x:c>
      <x:c r="B12" s="24" t="str">
        <x:v>commercial_ppr</x:v>
      </x:c>
      <x:c r="C12" s="24" t="n">
        <x:v>1001424147.7179291</x:v>
      </x:c>
      <x:c r="D12" s="24" t="str">
        <x:v>tonnes_primary_production_equivalent</x:v>
      </x:c>
    </x:row>
    <x:row r="13" ht="18" customHeight="1">
      <x:c r="A13" s="24" t="str">
        <x:v>EEZ_410</x:v>
      </x:c>
      <x:c r="B13" s="24" t="str">
        <x:v>functional_ppr</x:v>
      </x:c>
      <x:c r="C13" s="24" t="n">
        <x:v>1001424147.7179292</x:v>
      </x:c>
      <x:c r="D13" s="24" t="str">
        <x:v>tonnes_primary_production_equivalent</x:v>
      </x:c>
    </x:row>
    <x:row r="14" ht="18" customHeight="1">
      <x:c r="A14" s="24" t="str">
        <x:v>EEZ_410</x:v>
      </x:c>
      <x:c r="B14" s="24" t="str">
        <x:v>commercial_ppr_difference</x:v>
      </x:c>
      <x:c r="C14" s="24" t="n">
        <x:v>-2.384185791015625e-7</x:v>
      </x:c>
      <x:c r="D14" s="24" t="str">
        <x:v>tonnes_primary_production_equivalent</x:v>
      </x:c>
    </x:row>
    <x:row r="15" ht="18" customHeight="1">
      <x:c r="A15" s="24" t="str">
        <x:v>EEZ_410</x:v>
      </x:c>
      <x:c r="B15" s="24" t="str">
        <x:v>functional_ppr_difference</x:v>
      </x:c>
      <x:c r="C15" s="24" t="n">
        <x:v>-1.1920928955078125e-7</x:v>
      </x:c>
      <x:c r="D15" s="24" t="str">
        <x:v>tonnes_primary_production_equivalent</x:v>
      </x:c>
    </x:row>
    <x:row r="16" ht="18" customHeight="1">
      <x:c r="A16" s="24" t="str">
        <x:v>EEZ_410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EEZ_410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EEZ_410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EEZ_410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7c6e37a74504e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EEZ_410 - Korea (South)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EEZ_410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raw_data/SAU_downloads/EEZ_410-catch.zip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