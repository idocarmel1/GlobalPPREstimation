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17a591bc1b94c5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b718327696f24358"/>
    <x:sheet xmlns:r="http://schemas.openxmlformats.org/officeDocument/2006/relationships" name="Commercial" sheetId="2" r:id="R072a271151604286"/>
    <x:sheet xmlns:r="http://schemas.openxmlformats.org/officeDocument/2006/relationships" name="Functional" sheetId="3" r:id="R6e09fc330ddb4715"/>
    <x:sheet xmlns:r="http://schemas.openxmlformats.org/officeDocument/2006/relationships" name="Missing TL" sheetId="4" r:id="R0016c71c348a464e"/>
    <x:sheet xmlns:r="http://schemas.openxmlformats.org/officeDocument/2006/relationships" name="Validation" sheetId="5" r:id="Re4cd9b2a65a9438d"/>
    <x:sheet xmlns:r="http://schemas.openxmlformats.org/officeDocument/2006/relationships" name="Metadata" sheetId="6" r:id="Rad4894a446c64b6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"/>
    <x:numFmt numFmtId="201" formatCode="#,##0.00"/>
    <x:numFmt numFmtId="202" formatCode="0.0000"/>
    <x:numFmt numFmtId="203" formatCode="#,##0"/>
    <x:numFmt numFmtId="204" formatCode="0.00%"/>
    <x:numFmt numFmtId="205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7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203" fontId="5" fillId="0" borderId="0" xfId="0" applyNumberFormat="1" applyFont="1" applyFill="1" applyBorder="1"/>
    <x:xf numFmtId="204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5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color rgb="FF9A3412"/>
      </x:font>
      <x:fill>
        <x:patternFill patternType="solid">
          <x:bgColor rgb="FFFCEAD8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e78eaa08f1647d5" /><Relationship Type="http://schemas.openxmlformats.org/officeDocument/2006/relationships/theme" Target="/xl/theme/theme1.xml" Id="R8494ea09d0f34458" /><Relationship Type="http://schemas.microsoft.com/office/2022/11/relationships/FeaturePropertyBag" Target="/xl/featurePropertyBag/featurePropertyBag.xml" Id="R049fef8429964d1a" /><Relationship Type="http://schemas.openxmlformats.org/officeDocument/2006/relationships/sharedStrings" Target="/xl/sharedStrings.xml" Id="R18c4a781a3cc4b28" /><Relationship Type="http://schemas.openxmlformats.org/officeDocument/2006/relationships/worksheet" Target="/xl/worksheets/sheet1.xml" Id="Rb718327696f24358" /><Relationship Type="http://schemas.openxmlformats.org/officeDocument/2006/relationships/worksheet" Target="/xl/worksheets/sheet2.xml" Id="R072a271151604286" /><Relationship Type="http://schemas.openxmlformats.org/officeDocument/2006/relationships/worksheet" Target="/xl/worksheets/sheet3.xml" Id="R6e09fc330ddb4715" /><Relationship Type="http://schemas.openxmlformats.org/officeDocument/2006/relationships/worksheet" Target="/xl/worksheets/sheet4.xml" Id="R0016c71c348a464e" /><Relationship Type="http://schemas.openxmlformats.org/officeDocument/2006/relationships/worksheet" Target="/xl/worksheets/sheet5.xml" Id="Re4cd9b2a65a9438d" /><Relationship Type="http://schemas.openxmlformats.org/officeDocument/2006/relationships/worksheet" Target="/xl/worksheets/sheet6.xml" Id="Rad4894a446c64b6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EZ132SpeciesTable" displayName="EEZ132SpeciesTable" ref="A1:U92" headerRowCount="1" totalsRowCount="0" totalsRowShown="0">
  <x:autoFilter ref="A1:U92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EZ132CommercialTable" displayName="EEZ132CommercialTable" ref="A1:O8" headerRowCount="1" totalsRowCount="0" totalsRowShown="0">
  <x:autoFilter ref="A1:O8"/>
  <x:tableColumns count="15">
    <x:tableColumn id="1" name="commerci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EZ132FunctionalTable" displayName="EEZ132FunctionalTable" ref="A1:O19" headerRowCount="1" totalsRowCount="0" totalsRowShown="0">
  <x:autoFilter ref="A1:O19"/>
  <x:tableColumns count="15">
    <x:tableColumn id="1" name="function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EZ132ValidationTable" displayName="EEZ132ValidationTable" ref="A1:D19" headerRowCount="1" totalsRowCount="0" totalsRowShown="0">
  <x:autoFilter ref="A1:D19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91302930fd2406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cb3aa35c39dc45a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02c54ae0af9a4a4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80ea4c6f08c41b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EEZ_132</x:v>
      </x:c>
      <x:c r="B2" s="24" t="str">
        <x:v>Cape Verde</x:v>
      </x:c>
      <x:c r="C2" s="24" t="str">
        <x:v>EEZ</x:v>
      </x:c>
      <x:c r="D2" s="30" t="n">
        <x:v>2019</x:v>
      </x:c>
      <x:c r="E2" s="24" t="str">
        <x:v>Katsuwonus pelamis</x:v>
      </x:c>
      <x:c r="F2" s="24" t="str">
        <x:v>Skipjack tuna</x:v>
      </x:c>
      <x:c r="G2" s="24" t="str">
        <x:v>Large pelagics (&gt;=90 cm)</x:v>
      </x:c>
      <x:c r="H2" s="24" t="str">
        <x:v>Tuna &amp; billfishes</x:v>
      </x:c>
      <x:c r="I2" s="31" t="n">
        <x:v>13948.5573397755</x:v>
      </x:c>
      <x:c r="J2" s="31" t="n">
        <x:v>13948.5573397755</x:v>
      </x:c>
      <x:c r="K2" s="31" t="n">
        <x:v>0</x:v>
      </x:c>
      <x:c r="L2" s="31" t="n">
        <x:v>13948.5573397755</x:v>
      </x:c>
      <x:c r="M2" s="31" t="n">
        <x:v>0</x:v>
      </x:c>
      <x:c r="N2" s="24" t="str">
        <x:v>katsuwonus pelamis</x:v>
      </x:c>
      <x:c r="O2" s="32" t="n">
        <x:v>4.43</x:v>
      </x:c>
      <x:c r="P2" s="24" t="str">
        <x:v>exact_2020_supplement</x:v>
      </x:c>
      <x:c r="Q2" s="32" t="str">
        <x:v>2020 supplement MeanTL</x:v>
      </x:c>
      <x:c r="R2" s="24" t="str">
        <x:v>high</x:v>
      </x:c>
      <x:c r="S2" s="24" t="str">
        <x:v>Katsuwonus pelamis</x:v>
      </x:c>
      <x:c r="T2" s="32" t="n">
        <x:f>IF(O2="","",(1/'Metadata'!$B$5)^(O2-1))</x:f>
        <x:v>2691.534803926914</x:v>
      </x:c>
      <x:c r="U2" s="31" t="n">
        <x:f>IF(T2="","",I2*T2)</x:f>
        <x:v>37543027.54457597</x:v>
      </x:c>
    </x:row>
    <x:row r="3" ht="18" customHeight="1">
      <x:c r="A3" s="24" t="str">
        <x:v>EEZ_132</x:v>
      </x:c>
      <x:c r="B3" s="24" t="str">
        <x:v>Cape Verde</x:v>
      </x:c>
      <x:c r="C3" s="24" t="str">
        <x:v>EEZ</x:v>
      </x:c>
      <x:c r="D3" s="30" t="n">
        <x:v>2019</x:v>
      </x:c>
      <x:c r="E3" s="24" t="str">
        <x:v>Marine fishes not identified</x:v>
      </x:c>
      <x:c r="F3" s="24" t="str">
        <x:v>Marine fishes nei</x:v>
      </x:c>
      <x:c r="G3" s="24" t="str">
        <x:v>Medium demersals (30 - 89 cm)</x:v>
      </x:c>
      <x:c r="H3" s="24" t="str">
        <x:v>Other fishes &amp; inverts</x:v>
      </x:c>
      <x:c r="I3" s="31" t="n">
        <x:v>4870.2360157457</x:v>
      </x:c>
      <x:c r="J3" s="31" t="n">
        <x:v>3737.4836847306997</x:v>
      </x:c>
      <x:c r="K3" s="31" t="n">
        <x:v>1132.752331015</x:v>
      </x:c>
      <x:c r="L3" s="31" t="n">
        <x:v>357.0374970853</x:v>
      </x:c>
      <x:c r="M3" s="31" t="n">
        <x:v>4513.1985186604</x:v>
      </x:c>
      <x:c r="N3" s="24" t="str">
        <x:v>marine fishes not identified</x:v>
      </x:c>
      <x:c r="O3" s="32" t="n">
        <x:v>3.28</x:v>
      </x:c>
      <x:c r="P3" s="24" t="str">
        <x:v>exact_sea_around_us</x:v>
      </x:c>
      <x:c r="Q3" s="32" t="str">
        <x:v>Sea Around Us exploited organisms</x:v>
      </x:c>
      <x:c r="R3" s="24" t="str">
        <x:v>high</x:v>
      </x:c>
      <x:c r="S3" s="24" t="str">
        <x:v>Marine fishes not identified</x:v>
      </x:c>
      <x:c r="T3" s="32" t="n">
        <x:f>IF(O3="","",(1/'Metadata'!$B$5)^(O3-1))</x:f>
        <x:v>190.54607179632464</x:v>
      </x:c>
      <x:c r="U3" s="31" t="n">
        <x:f>IF(T3="","",I3*T3)</x:f>
        <x:v>928004.3415213261</x:v>
      </x:c>
    </x:row>
    <x:row r="4" ht="18" customHeight="1">
      <x:c r="A4" s="24" t="str">
        <x:v>EEZ_132</x:v>
      </x:c>
      <x:c r="B4" s="24" t="str">
        <x:v>Cape Verde</x:v>
      </x:c>
      <x:c r="C4" s="24" t="str">
        <x:v>EEZ</x:v>
      </x:c>
      <x:c r="D4" s="30" t="n">
        <x:v>2019</x:v>
      </x:c>
      <x:c r="E4" s="24" t="str">
        <x:v>Thunnus albacares</x:v>
      </x:c>
      <x:c r="F4" s="24" t="str">
        <x:v>Yellowfin tuna</x:v>
      </x:c>
      <x:c r="G4" s="24" t="str">
        <x:v>Large pelagics (&gt;=90 cm)</x:v>
      </x:c>
      <x:c r="H4" s="24" t="str">
        <x:v>Tuna &amp; billfishes</x:v>
      </x:c>
      <x:c r="I4" s="31" t="n">
        <x:v>2899.091687808</x:v>
      </x:c>
      <x:c r="J4" s="31" t="n">
        <x:v>2899.091687808</x:v>
      </x:c>
      <x:c r="K4" s="31" t="n">
        <x:v>0</x:v>
      </x:c>
      <x:c r="L4" s="31" t="n">
        <x:v>2787.6863386875</x:v>
      </x:c>
      <x:c r="M4" s="31" t="n">
        <x:v>111.4053491205</x:v>
      </x:c>
      <x:c r="N4" s="24" t="str">
        <x:v>thunnus albacares</x:v>
      </x:c>
      <x:c r="O4" s="32" t="n">
        <x:v>4.41</x:v>
      </x:c>
      <x:c r="P4" s="24" t="str">
        <x:v>exact_2020_supplement</x:v>
      </x:c>
      <x:c r="Q4" s="32" t="str">
        <x:v>2020 supplement MeanTL</x:v>
      </x:c>
      <x:c r="R4" s="24" t="str">
        <x:v>high</x:v>
      </x:c>
      <x:c r="S4" s="24" t="str">
        <x:v>Thunnus albacares</x:v>
      </x:c>
      <x:c r="T4" s="32" t="n">
        <x:f>IF(O4="","",(1/'Metadata'!$B$5)^(O4-1))</x:f>
        <x:v>2570.3957827688646</x:v>
      </x:c>
      <x:c r="U4" s="31" t="n">
        <x:f>IF(T4="","",I4*T4)</x:f>
        <x:v>7451813.048201953</x:v>
      </x:c>
    </x:row>
    <x:row r="5" ht="18" customHeight="1">
      <x:c r="A5" s="24" t="str">
        <x:v>EEZ_132</x:v>
      </x:c>
      <x:c r="B5" s="24" t="str">
        <x:v>Cape Verde</x:v>
      </x:c>
      <x:c r="C5" s="24" t="str">
        <x:v>EEZ</x:v>
      </x:c>
      <x:c r="D5" s="30" t="n">
        <x:v>2019</x:v>
      </x:c>
      <x:c r="E5" s="24" t="str">
        <x:v>Trachurus</x:v>
      </x:c>
      <x:c r="F5" s="24" t="str">
        <x:v>Jacks, horse mackerels</x:v>
      </x:c>
      <x:c r="G5" s="24" t="str">
        <x:v>Medium pelagics (30 - 89 cm)</x:v>
      </x:c>
      <x:c r="H5" s="24" t="str">
        <x:v>Perch-likes</x:v>
      </x:c>
      <x:c r="I5" s="31" t="n">
        <x:v>2348.27270125</x:v>
      </x:c>
      <x:c r="J5" s="31" t="n">
        <x:v>2348.27270125</x:v>
      </x:c>
      <x:c r="K5" s="31" t="n">
        <x:v>0</x:v>
      </x:c>
      <x:c r="L5" s="31" t="n">
        <x:v>2348.27270125</x:v>
      </x:c>
      <x:c r="M5" s="31" t="n">
        <x:v>0</x:v>
      </x:c>
      <x:c r="N5" s="24" t="str">
        <x:v>trachurus</x:v>
      </x:c>
      <x:c r="O5" s="32" t="n">
        <x:v>3.69</x:v>
      </x:c>
      <x:c r="P5" s="24" t="str">
        <x:v>exact_sea_around_us</x:v>
      </x:c>
      <x:c r="Q5" s="32" t="str">
        <x:v>Sea Around Us exploited organisms</x:v>
      </x:c>
      <x:c r="R5" s="24" t="str">
        <x:v>high</x:v>
      </x:c>
      <x:c r="S5" s="24" t="str">
        <x:v>Trachurus</x:v>
      </x:c>
      <x:c r="T5" s="32" t="n">
        <x:f>IF(O5="","",(1/'Metadata'!$B$5)^(O5-1))</x:f>
        <x:v>489.77881936844614</x:v>
      </x:c>
      <x:c r="U5" s="31" t="n">
        <x:f>IF(T5="","",I5*T5)</x:f>
        <x:v>1150134.2311733768</x:v>
      </x:c>
    </x:row>
    <x:row r="6" ht="18" customHeight="1">
      <x:c r="A6" s="24" t="str">
        <x:v>EEZ_132</x:v>
      </x:c>
      <x:c r="B6" s="24" t="str">
        <x:v>Cape Verde</x:v>
      </x:c>
      <x:c r="C6" s="24" t="str">
        <x:v>EEZ</x:v>
      </x:c>
      <x:c r="D6" s="30" t="n">
        <x:v>2019</x:v>
      </x:c>
      <x:c r="E6" s="24" t="str">
        <x:v>Auxis thazard</x:v>
      </x:c>
      <x:c r="F6" s="24" t="str">
        <x:v>Frigate tuna</x:v>
      </x:c>
      <x:c r="G6" s="24" t="str">
        <x:v>Medium pelagics (30 - 89 cm)</x:v>
      </x:c>
      <x:c r="H6" s="24" t="str">
        <x:v>Tuna &amp; billfishes</x:v>
      </x:c>
      <x:c r="I6" s="31" t="n">
        <x:v>2340.0306150618</x:v>
      </x:c>
      <x:c r="J6" s="31" t="n">
        <x:v>2340.0306150618</x:v>
      </x:c>
      <x:c r="K6" s="31" t="n">
        <x:v>0</x:v>
      </x:c>
      <x:c r="L6" s="31" t="n">
        <x:v>2340.0306150618</x:v>
      </x:c>
      <x:c r="M6" s="31" t="n">
        <x:v>0</x:v>
      </x:c>
      <x:c r="N6" s="24" t="str">
        <x:v>auxis thazard</x:v>
      </x:c>
      <x:c r="O6" s="32" t="n">
        <x:v>4.37</x:v>
      </x:c>
      <x:c r="P6" s="24" t="str">
        <x:v>exact_2020_supplement</x:v>
      </x:c>
      <x:c r="Q6" s="32" t="str">
        <x:v>2020 supplement MeanTL</x:v>
      </x:c>
      <x:c r="R6" s="24" t="str">
        <x:v>high</x:v>
      </x:c>
      <x:c r="S6" s="24" t="str">
        <x:v>Auxis thazard</x:v>
      </x:c>
      <x:c r="T6" s="32" t="n">
        <x:f>IF(O6="","",(1/'Metadata'!$B$5)^(O6-1))</x:f>
        <x:v>2344.228815319923</x:v>
      </x:c>
      <x:c r="U6" s="31" t="n">
        <x:f>IF(T6="","",I6*T6)</x:f>
        <x:v>5485567.196558674</x:v>
      </x:c>
    </x:row>
    <x:row r="7" ht="18" customHeight="1">
      <x:c r="A7" s="24" t="str">
        <x:v>EEZ_132</x:v>
      </x:c>
      <x:c r="B7" s="24" t="str">
        <x:v>Cape Verde</x:v>
      </x:c>
      <x:c r="C7" s="24" t="str">
        <x:v>EEZ</x:v>
      </x:c>
      <x:c r="D7" s="30" t="n">
        <x:v>2019</x:v>
      </x:c>
      <x:c r="E7" s="24" t="str">
        <x:v>Cephalopoda</x:v>
      </x:c>
      <x:c r="F7" s="24" t="str">
        <x:v>Squids, cuttlefishes, octopuses</x:v>
      </x:c>
      <x:c r="G7" s="24" t="str">
        <x:v>Cephalopods</x:v>
      </x:c>
      <x:c r="H7" s="24" t="str">
        <x:v>Other fishes &amp; inverts</x:v>
      </x:c>
      <x:c r="I7" s="31" t="n">
        <x:v>1900.2323103148</x:v>
      </x:c>
      <x:c r="J7" s="31" t="n">
        <x:v>0</x:v>
      </x:c>
      <x:c r="K7" s="31" t="n">
        <x:v>1900.2323103148</x:v>
      </x:c>
      <x:c r="L7" s="31" t="n">
        <x:v>0</x:v>
      </x:c>
      <x:c r="M7" s="31" t="n">
        <x:v>1900.2323103148</x:v>
      </x:c>
      <x:c r="N7" s="24" t="str">
        <x:v>cephalopoda</x:v>
      </x:c>
      <x:c r="O7" s="32" t="n">
        <x:v>3.81</x:v>
      </x:c>
      <x:c r="P7" s="24" t="str">
        <x:v>exact_sea_around_us</x:v>
      </x:c>
      <x:c r="Q7" s="32" t="str">
        <x:v>Sea Around Us exploited organisms</x:v>
      </x:c>
      <x:c r="R7" s="24" t="str">
        <x:v>high</x:v>
      </x:c>
      <x:c r="S7" s="24" t="str">
        <x:v>Cephalopoda</x:v>
      </x:c>
      <x:c r="T7" s="32" t="n">
        <x:f>IF(O7="","",(1/'Metadata'!$B$5)^(O7-1))</x:f>
        <x:v>645.6542290346556</x:v>
      </x:c>
      <x:c r="U7" s="31" t="n">
        <x:f>IF(T7="","",I7*T7)</x:f>
        <x:v>1226893.0273030447</x:v>
      </x:c>
    </x:row>
    <x:row r="8" ht="18" customHeight="1">
      <x:c r="A8" s="24" t="str">
        <x:v>EEZ_132</x:v>
      </x:c>
      <x:c r="B8" s="24" t="str">
        <x:v>Cape Verde</x:v>
      </x:c>
      <x:c r="C8" s="24" t="str">
        <x:v>EEZ</x:v>
      </x:c>
      <x:c r="D8" s="30" t="n">
        <x:v>2019</x:v>
      </x:c>
      <x:c r="E8" s="24" t="str">
        <x:v>Decapterus macarellus</x:v>
      </x:c>
      <x:c r="F8" s="24" t="str">
        <x:v>Mackerel scad</x:v>
      </x:c>
      <x:c r="G8" s="24" t="str">
        <x:v>Medium pelagics (30 - 89 cm)</x:v>
      </x:c>
      <x:c r="H8" s="24" t="str">
        <x:v>Perch-likes</x:v>
      </x:c>
      <x:c r="I8" s="31" t="n">
        <x:v>1694.9167632309</x:v>
      </x:c>
      <x:c r="J8" s="31" t="n">
        <x:v>1560.4704397039</x:v>
      </x:c>
      <x:c r="K8" s="31" t="n">
        <x:v>134.446323527</x:v>
      </x:c>
      <x:c r="L8" s="31" t="n">
        <x:v>826.4335822501</x:v>
      </x:c>
      <x:c r="M8" s="31" t="n">
        <x:v>868.4831809808001</x:v>
      </x:c>
      <x:c r="N8" s="24" t="str">
        <x:v>decapterus macarellus</x:v>
      </x:c>
      <x:c r="O8" s="32" t="n">
        <x:v>3.96</x:v>
      </x:c>
      <x:c r="P8" s="24" t="str">
        <x:v>exact_2020_supplement</x:v>
      </x:c>
      <x:c r="Q8" s="32" t="str">
        <x:v>2020 supplement MeanTL</x:v>
      </x:c>
      <x:c r="R8" s="24" t="str">
        <x:v>high</x:v>
      </x:c>
      <x:c r="S8" s="24" t="str">
        <x:v>Decapterus macarellus</x:v>
      </x:c>
      <x:c r="T8" s="32" t="n">
        <x:f>IF(O8="","",(1/'Metadata'!$B$5)^(O8-1))</x:f>
        <x:v>912.0108393559096</x:v>
      </x:c>
      <x:c r="U8" s="31" t="n">
        <x:f>IF(T8="","",I8*T8)</x:f>
        <x:v>1545782.4598726146</x:v>
      </x:c>
    </x:row>
    <x:row r="9" ht="18" customHeight="1">
      <x:c r="A9" s="24" t="str">
        <x:v>EEZ_132</x:v>
      </x:c>
      <x:c r="B9" s="24" t="str">
        <x:v>Cape Verde</x:v>
      </x:c>
      <x:c r="C9" s="24" t="str">
        <x:v>EEZ</x:v>
      </x:c>
      <x:c r="D9" s="30" t="n">
        <x:v>2019</x:v>
      </x:c>
      <x:c r="E9" s="24" t="str">
        <x:v>Selar crumenophthalmus</x:v>
      </x:c>
      <x:c r="F9" s="24" t="str">
        <x:v>Bigeye scad</x:v>
      </x:c>
      <x:c r="G9" s="24" t="str">
        <x:v>Medium pelagics (30 - 89 cm)</x:v>
      </x:c>
      <x:c r="H9" s="24" t="str">
        <x:v>Perch-likes</x:v>
      </x:c>
      <x:c r="I9" s="31" t="n">
        <x:v>1193.9760403935</x:v>
      </x:c>
      <x:c r="J9" s="31" t="n">
        <x:v>1075.9801386175</x:v>
      </x:c>
      <x:c r="K9" s="31" t="n">
        <x:v>117.99590177600001</x:v>
      </x:c>
      <x:c r="L9" s="31" t="n">
        <x:v>431.75768121010003</x:v>
      </x:c>
      <x:c r="M9" s="31" t="n">
        <x:v>762.2183591834</x:v>
      </x:c>
      <x:c r="N9" s="24" t="str">
        <x:v>selar crumenophthalmus</x:v>
      </x:c>
      <x:c r="O9" s="32" t="n">
        <x:v>3.81</x:v>
      </x:c>
      <x:c r="P9" s="24" t="str">
        <x:v>exact_2020_supplement</x:v>
      </x:c>
      <x:c r="Q9" s="32" t="str">
        <x:v>2020 supplement MeanTL</x:v>
      </x:c>
      <x:c r="R9" s="24" t="str">
        <x:v>high</x:v>
      </x:c>
      <x:c r="S9" s="24" t="str">
        <x:v>Selar crumenophthalmus</x:v>
      </x:c>
      <x:c r="T9" s="32" t="n">
        <x:f>IF(O9="","",(1/'Metadata'!$B$5)^(O9-1))</x:f>
        <x:v>645.6542290346556</x:v>
      </x:c>
      <x:c r="U9" s="31" t="n">
        <x:f>IF(T9="","",I9*T9)</x:f>
        <x:v>770895.679846116</x:v>
      </x:c>
    </x:row>
    <x:row r="10" ht="18" customHeight="1">
      <x:c r="A10" s="24" t="str">
        <x:v>EEZ_132</x:v>
      </x:c>
      <x:c r="B10" s="24" t="str">
        <x:v>Cape Verde</x:v>
      </x:c>
      <x:c r="C10" s="24" t="str">
        <x:v>EEZ</x:v>
      </x:c>
      <x:c r="D10" s="30" t="n">
        <x:v>2019</x:v>
      </x:c>
      <x:c r="E10" s="24" t="str">
        <x:v>Trachurus trecae</x:v>
      </x:c>
      <x:c r="F10" s="24" t="str">
        <x:v>Cunene horse mackerel</x:v>
      </x:c>
      <x:c r="G10" s="24" t="str">
        <x:v>Medium benthopelagics (30 - 89 cm)</x:v>
      </x:c>
      <x:c r="H10" s="24" t="str">
        <x:v>Perch-likes</x:v>
      </x:c>
      <x:c r="I10" s="31" t="n">
        <x:v>1180.1177599853</x:v>
      </x:c>
      <x:c r="J10" s="31" t="n">
        <x:v>1180.1177599853</x:v>
      </x:c>
      <x:c r="K10" s="31" t="n">
        <x:v>0</x:v>
      </x:c>
      <x:c r="L10" s="31" t="n">
        <x:v>1180.1177599853</x:v>
      </x:c>
      <x:c r="M10" s="31" t="n">
        <x:v>0</x:v>
      </x:c>
      <x:c r="N10" s="24" t="str">
        <x:v>trachurus trecae</x:v>
      </x:c>
      <x:c r="O10" s="32" t="n">
        <x:v>3.49</x:v>
      </x:c>
      <x:c r="P10" s="24" t="str">
        <x:v>exact_2020_supplement</x:v>
      </x:c>
      <x:c r="Q10" s="32" t="str">
        <x:v>2020 supplement MeanTL</x:v>
      </x:c>
      <x:c r="R10" s="24" t="str">
        <x:v>high</x:v>
      </x:c>
      <x:c r="S10" s="24" t="str">
        <x:v>Trachurus trecae</x:v>
      </x:c>
      <x:c r="T10" s="32" t="n">
        <x:f>IF(O10="","",(1/'Metadata'!$B$5)^(O10-1))</x:f>
        <x:v>309.0295432513592</x:v>
      </x:c>
      <x:c r="U10" s="31" t="n">
        <x:f>IF(T10="","",I10*T10)</x:f>
        <x:v>364691.25235107436</x:v>
      </x:c>
    </x:row>
    <x:row r="11" ht="18" customHeight="1">
      <x:c r="A11" s="24" t="str">
        <x:v>EEZ_132</x:v>
      </x:c>
      <x:c r="B11" s="24" t="str">
        <x:v>Cape Verde</x:v>
      </x:c>
      <x:c r="C11" s="24" t="str">
        <x:v>EEZ</x:v>
      </x:c>
      <x:c r="D11" s="30" t="n">
        <x:v>2019</x:v>
      </x:c>
      <x:c r="E11" s="24" t="str">
        <x:v>Spicara melanurus</x:v>
      </x:c>
      <x:c r="F11" s="24" t="str">
        <x:v>Blackspot picarel</x:v>
      </x:c>
      <x:c r="G11" s="24" t="str">
        <x:v>Small pelagics (&lt;30 cm)</x:v>
      </x:c>
      <x:c r="H11" s="24" t="str">
        <x:v>Perch-likes</x:v>
      </x:c>
      <x:c r="I11" s="31" t="n">
        <x:v>954.3751270333</x:v>
      </x:c>
      <x:c r="J11" s="31" t="n">
        <x:v>806.5338043710999</x:v>
      </x:c>
      <x:c r="K11" s="31" t="n">
        <x:v>147.84132266219999</x:v>
      </x:c>
      <x:c r="L11" s="31" t="n">
        <x:v>244.3906297628</x:v>
      </x:c>
      <x:c r="M11" s="31" t="n">
        <x:v>709.9844972705</x:v>
      </x:c>
      <x:c r="N11" s="24" t="str">
        <x:v>spicara melanurus</x:v>
      </x:c>
      <x:c r="O11" s="32" t="n">
        <x:v>3.5</x:v>
      </x:c>
      <x:c r="P11" s="24" t="str">
        <x:v>exact_2020_supplement</x:v>
      </x:c>
      <x:c r="Q11" s="32" t="str">
        <x:v>2020 supplement MeanTL</x:v>
      </x:c>
      <x:c r="R11" s="24" t="str">
        <x:v>high</x:v>
      </x:c>
      <x:c r="S11" s="24" t="str">
        <x:v>Spicara melanurus</x:v>
      </x:c>
      <x:c r="T11" s="32" t="n">
        <x:f>IF(O11="","",(1/'Metadata'!$B$5)^(O11-1))</x:f>
        <x:v>316.22776601683796</x:v>
      </x:c>
      <x:c r="U11" s="31" t="n">
        <x:f>IF(T11="","",I11*T11)</x:f>
        <x:v>301799.9143637764</x:v>
      </x:c>
    </x:row>
    <x:row r="12" ht="18" customHeight="1">
      <x:c r="A12" s="24" t="str">
        <x:v>EEZ_132</x:v>
      </x:c>
      <x:c r="B12" s="24" t="str">
        <x:v>Cape Verde</x:v>
      </x:c>
      <x:c r="C12" s="24" t="str">
        <x:v>EEZ</x:v>
      </x:c>
      <x:c r="D12" s="30" t="n">
        <x:v>2019</x:v>
      </x:c>
      <x:c r="E12" s="24" t="str">
        <x:v>Acanthocybium solandri</x:v>
      </x:c>
      <x:c r="F12" s="24" t="str">
        <x:v>Wahoo</x:v>
      </x:c>
      <x:c r="G12" s="24" t="str">
        <x:v>Large pelagics (&gt;=90 cm)</x:v>
      </x:c>
      <x:c r="H12" s="24" t="str">
        <x:v>Perch-likes</x:v>
      </x:c>
      <x:c r="I12" s="31" t="n">
        <x:v>892.1466889021</x:v>
      </x:c>
      <x:c r="J12" s="31" t="n">
        <x:v>892.1466889021</x:v>
      </x:c>
      <x:c r="K12" s="31" t="n">
        <x:v>0</x:v>
      </x:c>
      <x:c r="L12" s="31" t="n">
        <x:v>814.1629445178</x:v>
      </x:c>
      <x:c r="M12" s="31" t="n">
        <x:v>77.9837443843</x:v>
      </x:c>
      <x:c r="N12" s="24" t="str">
        <x:v>acanthocybium solandri</x:v>
      </x:c>
      <x:c r="O12" s="32" t="n">
        <x:v>4.26</x:v>
      </x:c>
      <x:c r="P12" s="24" t="str">
        <x:v>exact_2020_supplement</x:v>
      </x:c>
      <x:c r="Q12" s="32" t="str">
        <x:v>2020 supplement MeanTL</x:v>
      </x:c>
      <x:c r="R12" s="24" t="str">
        <x:v>high</x:v>
      </x:c>
      <x:c r="S12" s="24" t="str">
        <x:v>Acanthocybium solandri</x:v>
      </x:c>
      <x:c r="T12" s="32" t="n">
        <x:f>IF(O12="","",(1/'Metadata'!$B$5)^(O12-1))</x:f>
        <x:v>1819.7008586099826</x:v>
      </x:c>
      <x:c r="U12" s="31" t="n">
        <x:f>IF(T12="","",I12*T12)</x:f>
        <x:v>1623440.0958012044</x:v>
      </x:c>
    </x:row>
    <x:row r="13" ht="18" customHeight="1">
      <x:c r="A13" s="24" t="str">
        <x:v>EEZ_132</x:v>
      </x:c>
      <x:c r="B13" s="24" t="str">
        <x:v>Cape Verde</x:v>
      </x:c>
      <x:c r="C13" s="24" t="str">
        <x:v>EEZ</x:v>
      </x:c>
      <x:c r="D13" s="30" t="n">
        <x:v>2019</x:v>
      </x:c>
      <x:c r="E13" s="24" t="str">
        <x:v>Makaira</x:v>
      </x:c>
      <x:c r="F13" s="24" t="str">
        <x:v>Blue marlins</x:v>
      </x:c>
      <x:c r="G13" s="24" t="str">
        <x:v>Large pelagics (&gt;=90 cm)</x:v>
      </x:c>
      <x:c r="H13" s="24" t="str">
        <x:v>Tuna &amp; billfishes</x:v>
      </x:c>
      <x:c r="I13" s="31" t="n">
        <x:v>779.8374438428</x:v>
      </x:c>
      <x:c r="J13" s="31" t="n">
        <x:v>779.8374438428</x:v>
      </x:c>
      <x:c r="K13" s="31" t="n">
        <x:v>0</x:v>
      </x:c>
      <x:c r="L13" s="31" t="n">
        <x:v>0</x:v>
      </x:c>
      <x:c r="M13" s="31" t="n">
        <x:v>779.8374438428</x:v>
      </x:c>
      <x:c r="N13" s="24" t="str">
        <x:v>makaira</x:v>
      </x:c>
      <x:c r="O13" s="32" t="n">
        <x:v>4.47</x:v>
      </x:c>
      <x:c r="P13" s="24" t="str">
        <x:v>exact_sea_around_us</x:v>
      </x:c>
      <x:c r="Q13" s="32" t="str">
        <x:v>Sea Around Us exploited organisms</x:v>
      </x:c>
      <x:c r="R13" s="24" t="str">
        <x:v>high</x:v>
      </x:c>
      <x:c r="S13" s="24" t="str">
        <x:v>Makaira</x:v>
      </x:c>
      <x:c r="T13" s="32" t="n">
        <x:f>IF(O13="","",(1/'Metadata'!$B$5)^(O13-1))</x:f>
        <x:v>2951.209226666384</x:v>
      </x:c>
      <x:c r="U13" s="31" t="n">
        <x:f>IF(T13="","",I13*T13)</x:f>
        <x:v>2301463.4595687995</x:v>
      </x:c>
    </x:row>
    <x:row r="14" ht="18" customHeight="1">
      <x:c r="A14" s="24" t="str">
        <x:v>EEZ_132</x:v>
      </x:c>
      <x:c r="B14" s="24" t="str">
        <x:v>Cape Verde</x:v>
      </x:c>
      <x:c r="C14" s="24" t="str">
        <x:v>EEZ</x:v>
      </x:c>
      <x:c r="D14" s="30" t="n">
        <x:v>2019</x:v>
      </x:c>
      <x:c r="E14" s="24" t="str">
        <x:v>Thunnus obesus</x:v>
      </x:c>
      <x:c r="F14" s="24" t="str">
        <x:v>Bigeye tuna</x:v>
      </x:c>
      <x:c r="G14" s="24" t="str">
        <x:v>Large pelagics (&gt;=90 cm)</x:v>
      </x:c>
      <x:c r="H14" s="24" t="str">
        <x:v>Tuna &amp; billfishes</x:v>
      </x:c>
      <x:c r="I14" s="31" t="n">
        <x:v>756.4277554775</x:v>
      </x:c>
      <x:c r="J14" s="31" t="n">
        <x:v>756.4277554775</x:v>
      </x:c>
      <x:c r="K14" s="31" t="n">
        <x:v>0</x:v>
      </x:c>
      <x:c r="L14" s="31" t="n">
        <x:v>756.4277554775</x:v>
      </x:c>
      <x:c r="M14" s="31" t="n">
        <x:v>0</x:v>
      </x:c>
      <x:c r="N14" s="24" t="str">
        <x:v>thunnus obesus</x:v>
      </x:c>
      <x:c r="O14" s="32" t="n">
        <x:v>4.49</x:v>
      </x:c>
      <x:c r="P14" s="24" t="str">
        <x:v>exact_2020_supplement</x:v>
      </x:c>
      <x:c r="Q14" s="32" t="str">
        <x:v>2020 supplement MeanTL</x:v>
      </x:c>
      <x:c r="R14" s="24" t="str">
        <x:v>high</x:v>
      </x:c>
      <x:c r="S14" s="24" t="str">
        <x:v>Thunnus obesus</x:v>
      </x:c>
      <x:c r="T14" s="32" t="n">
        <x:f>IF(O14="","",(1/'Metadata'!$B$5)^(O14-1))</x:f>
        <x:v>3090.295432513592</x:v>
      </x:c>
      <x:c r="U14" s="31" t="n">
        <x:f>IF(T14="","",I14*T14)</x:f>
        <x:v>2337585.2377786264</x:v>
      </x:c>
    </x:row>
    <x:row r="15" ht="18" customHeight="1">
      <x:c r="A15" s="24" t="str">
        <x:v>EEZ_132</x:v>
      </x:c>
      <x:c r="B15" s="24" t="str">
        <x:v>Cape Verde</x:v>
      </x:c>
      <x:c r="C15" s="24" t="str">
        <x:v>EEZ</x:v>
      </x:c>
      <x:c r="D15" s="30" t="n">
        <x:v>2019</x:v>
      </x:c>
      <x:c r="E15" s="24" t="str">
        <x:v>Octopus vulgaris</x:v>
      </x:c>
      <x:c r="F15" s="24" t="str">
        <x:v>Common octopus</x:v>
      </x:c>
      <x:c r="G15" s="24" t="str">
        <x:v>Cephalopods</x:v>
      </x:c>
      <x:c r="H15" s="24" t="str">
        <x:v>Other fishes &amp; inverts</x:v>
      </x:c>
      <x:c r="I15" s="31" t="n">
        <x:v>715.7202189891</x:v>
      </x:c>
      <x:c r="J15" s="31" t="n">
        <x:v>715.7202189891</x:v>
      </x:c>
      <x:c r="K15" s="31" t="n">
        <x:v>0</x:v>
      </x:c>
      <x:c r="L15" s="31" t="n">
        <x:v>715.7202189891</x:v>
      </x:c>
      <x:c r="M15" s="31" t="n">
        <x:v>0</x:v>
      </x:c>
      <x:c r="N15" s="24" t="str">
        <x:v>octopus vulgaris</x:v>
      </x:c>
      <x:c r="O15" s="32" t="n">
        <x:v>3.6</x:v>
      </x:c>
      <x:c r="P15" s="24" t="str">
        <x:v>exact_2020_supplement</x:v>
      </x:c>
      <x:c r="Q15" s="32" t="str">
        <x:v>2020 supplement MeanTL</x:v>
      </x:c>
      <x:c r="R15" s="24" t="str">
        <x:v>high</x:v>
      </x:c>
      <x:c r="S15" s="24" t="str">
        <x:v>Octopus vulgaris</x:v>
      </x:c>
      <x:c r="T15" s="32" t="n">
        <x:f>IF(O15="","",(1/'Metadata'!$B$5)^(O15-1))</x:f>
        <x:v>398.1071705534973</x:v>
      </x:c>
      <x:c r="U15" s="31" t="n">
        <x:f>IF(T15="","",I15*T15)</x:f>
        <x:v>284933.35128968005</x:v>
      </x:c>
    </x:row>
    <x:row r="16" ht="18" customHeight="1">
      <x:c r="A16" s="24" t="str">
        <x:v>EEZ_132</x:v>
      </x:c>
      <x:c r="B16" s="24" t="str">
        <x:v>Cape Verde</x:v>
      </x:c>
      <x:c r="C16" s="24" t="str">
        <x:v>EEZ</x:v>
      </x:c>
      <x:c r="D16" s="30" t="n">
        <x:v>2019</x:v>
      </x:c>
      <x:c r="E16" s="24" t="str">
        <x:v>Clupeiformes</x:v>
      </x:c>
      <x:c r="F16" s="24" t="str">
        <x:v>Herrings, shads, anchovies</x:v>
      </x:c>
      <x:c r="G16" s="24" t="str">
        <x:v>Small pelagics (&lt;30 cm)</x:v>
      </x:c>
      <x:c r="H16" s="24" t="str">
        <x:v>Other fishes &amp; inverts</x:v>
      </x:c>
      <x:c r="I16" s="31" t="n">
        <x:v>544.8495205342999</x:v>
      </x:c>
      <x:c r="J16" s="31" t="n">
        <x:v>544.8495205342999</x:v>
      </x:c>
      <x:c r="K16" s="31" t="n">
        <x:v>0</x:v>
      </x:c>
      <x:c r="L16" s="31" t="n">
        <x:v>544.8495205342999</x:v>
      </x:c>
      <x:c r="M16" s="31" t="n">
        <x:v>0</x:v>
      </x:c>
      <x:c r="N16" s="24" t="str">
        <x:v>clupeiformes</x:v>
      </x:c>
      <x:c r="O16" s="32" t="n">
        <x:v>3.24</x:v>
      </x:c>
      <x:c r="P16" s="24" t="str">
        <x:v>exact_sea_around_us</x:v>
      </x:c>
      <x:c r="Q16" s="32" t="str">
        <x:v>Sea Around Us exploited organisms</x:v>
      </x:c>
      <x:c r="R16" s="24" t="str">
        <x:v>high</x:v>
      </x:c>
      <x:c r="S16" s="24" t="str">
        <x:v>Clupeiformes</x:v>
      </x:c>
      <x:c r="T16" s="32" t="n">
        <x:f>IF(O16="","",(1/'Metadata'!$B$5)^(O16-1))</x:f>
        <x:v>173.78008287493762</x:v>
      </x:c>
      <x:c r="U16" s="31" t="n">
        <x:f>IF(T16="","",I16*T16)</x:f>
        <x:v>94683.99483282067</x:v>
      </x:c>
    </x:row>
    <x:row r="17" ht="18" customHeight="1">
      <x:c r="A17" s="24" t="str">
        <x:v>EEZ_132</x:v>
      </x:c>
      <x:c r="B17" s="24" t="str">
        <x:v>Cape Verde</x:v>
      </x:c>
      <x:c r="C17" s="24" t="str">
        <x:v>EEZ</x:v>
      </x:c>
      <x:c r="D17" s="30" t="n">
        <x:v>2019</x:v>
      </x:c>
      <x:c r="E17" s="24" t="str">
        <x:v>Cymbium</x:v>
      </x:c>
      <x:c r="F17" s="24" t="str">
        <x:v>Volutes</x:v>
      </x:c>
      <x:c r="G17" s="24" t="str">
        <x:v>Other demersal invertebrates</x:v>
      </x:c>
      <x:c r="H17" s="24" t="str">
        <x:v>Molluscs</x:v>
      </x:c>
      <x:c r="I17" s="31" t="n">
        <x:v>477.5385119835</x:v>
      </x:c>
      <x:c r="J17" s="31" t="n">
        <x:v>477.5385119835</x:v>
      </x:c>
      <x:c r="K17" s="31" t="n">
        <x:v>0</x:v>
      </x:c>
      <x:c r="L17" s="31" t="n">
        <x:v>477.5385119835</x:v>
      </x:c>
      <x:c r="M17" s="31" t="n">
        <x:v>0</x:v>
      </x:c>
      <x:c r="N17" s="24" t="str">
        <x:v>cymbium</x:v>
      </x:c>
      <x:c r="O17" s="32" t="n">
        <x:v>2</x:v>
      </x:c>
      <x:c r="P17" s="24" t="str">
        <x:v>exact_sea_around_us</x:v>
      </x:c>
      <x:c r="Q17" s="32" t="str">
        <x:v>Sea Around Us exploited organisms</x:v>
      </x:c>
      <x:c r="R17" s="24" t="str">
        <x:v>high</x:v>
      </x:c>
      <x:c r="S17" s="24" t="str">
        <x:v>Cymbium</x:v>
      </x:c>
      <x:c r="T17" s="32" t="n">
        <x:f>IF(O17="","",(1/'Metadata'!$B$5)^(O17-1))</x:f>
        <x:v>10</x:v>
      </x:c>
      <x:c r="U17" s="31" t="n">
        <x:f>IF(T17="","",I17*T17)</x:f>
        <x:v>4775.385119834999</x:v>
      </x:c>
    </x:row>
    <x:row r="18" ht="18" customHeight="1">
      <x:c r="A18" s="24" t="str">
        <x:v>EEZ_132</x:v>
      </x:c>
      <x:c r="B18" s="24" t="str">
        <x:v>Cape Verde</x:v>
      </x:c>
      <x:c r="C18" s="24" t="str">
        <x:v>EEZ</x:v>
      </x:c>
      <x:c r="D18" s="30" t="n">
        <x:v>2019</x:v>
      </x:c>
      <x:c r="E18" s="24" t="str">
        <x:v>Soleidae</x:v>
      </x:c>
      <x:c r="F18" s="24" t="str">
        <x:v>Soles</x:v>
      </x:c>
      <x:c r="G18" s="24" t="str">
        <x:v>Small to medium flatfishes (&lt;90 cm)</x:v>
      </x:c>
      <x:c r="H18" s="24" t="str">
        <x:v>Flatfishes</x:v>
      </x:c>
      <x:c r="I18" s="31" t="n">
        <x:v>435.9650325393</x:v>
      </x:c>
      <x:c r="J18" s="31" t="n">
        <x:v>435.9650325393</x:v>
      </x:c>
      <x:c r="K18" s="31" t="n">
        <x:v>0</x:v>
      </x:c>
      <x:c r="L18" s="31" t="n">
        <x:v>435.9650325393</x:v>
      </x:c>
      <x:c r="M18" s="31" t="n">
        <x:v>0</x:v>
      </x:c>
      <x:c r="N18" s="24" t="str">
        <x:v>soleidae</x:v>
      </x:c>
      <x:c r="O18" s="32" t="n">
        <x:v>3.15</x:v>
      </x:c>
      <x:c r="P18" s="24" t="str">
        <x:v>exact_sea_around_us</x:v>
      </x:c>
      <x:c r="Q18" s="32" t="str">
        <x:v>Sea Around Us exploited organisms</x:v>
      </x:c>
      <x:c r="R18" s="24" t="str">
        <x:v>high</x:v>
      </x:c>
      <x:c r="S18" s="24" t="str">
        <x:v>Soleidae</x:v>
      </x:c>
      <x:c r="T18" s="32" t="n">
        <x:f>IF(O18="","",(1/'Metadata'!$B$5)^(O18-1))</x:f>
        <x:v>141.2537544622754</x:v>
      </x:c>
      <x:c r="U18" s="31" t="n">
        <x:f>IF(T18="","",I18*T18)</x:f>
        <x:v>61581.69766044419</x:v>
      </x:c>
    </x:row>
    <x:row r="19" ht="18" customHeight="1">
      <x:c r="A19" s="24" t="str">
        <x:v>EEZ_132</x:v>
      </x:c>
      <x:c r="B19" s="24" t="str">
        <x:v>Cape Verde</x:v>
      </x:c>
      <x:c r="C19" s="24" t="str">
        <x:v>EEZ</x:v>
      </x:c>
      <x:c r="D19" s="30" t="n">
        <x:v>2019</x:v>
      </x:c>
      <x:c r="E19" s="24" t="str">
        <x:v>Cephalopholis taeniops</x:v>
      </x:c>
      <x:c r="F19" s="24" t="str">
        <x:v>Bluespotted seabass</x:v>
      </x:c>
      <x:c r="G19" s="24" t="str">
        <x:v>Large reef assoc. fish (&gt;=90 cm)</x:v>
      </x:c>
      <x:c r="H19" s="24" t="str">
        <x:v>Perch-likes</x:v>
      </x:c>
      <x:c r="I19" s="31" t="n">
        <x:v>328.3713179654</x:v>
      </x:c>
      <x:c r="J19" s="31" t="n">
        <x:v>328.3713179654</x:v>
      </x:c>
      <x:c r="K19" s="31" t="n">
        <x:v>0</x:v>
      </x:c>
      <x:c r="L19" s="31" t="n">
        <x:v>133.4445300757</x:v>
      </x:c>
      <x:c r="M19" s="31" t="n">
        <x:v>194.9267878897</x:v>
      </x:c>
      <x:c r="N19" s="24" t="str">
        <x:v>cephalopholis taeniops</x:v>
      </x:c>
      <x:c r="O19" s="32" t="n">
        <x:v>4.4</x:v>
      </x:c>
      <x:c r="P19" s="24" t="str">
        <x:v>exact_sea_around_us</x:v>
      </x:c>
      <x:c r="Q19" s="32" t="str">
        <x:v>Sea Around Us exploited organisms</x:v>
      </x:c>
      <x:c r="R19" s="24" t="str">
        <x:v>high</x:v>
      </x:c>
      <x:c r="S19" s="24" t="str">
        <x:v>Cephalopholis taeniops</x:v>
      </x:c>
      <x:c r="T19" s="32" t="n">
        <x:f>IF(O19="","",(1/'Metadata'!$B$5)^(O19-1))</x:f>
        <x:v>2511.886431509582</x:v>
      </x:c>
      <x:c r="U19" s="31" t="n">
        <x:f>IF(T19="","",I19*T19)</x:f>
        <x:v>824831.458094207</x:v>
      </x:c>
    </x:row>
    <x:row r="20" ht="18" customHeight="1">
      <x:c r="A20" s="24" t="str">
        <x:v>EEZ_132</x:v>
      </x:c>
      <x:c r="B20" s="24" t="str">
        <x:v>Cape Verde</x:v>
      </x:c>
      <x:c r="C20" s="24" t="str">
        <x:v>EEZ</x:v>
      </x:c>
      <x:c r="D20" s="30" t="n">
        <x:v>2019</x:v>
      </x:c>
      <x:c r="E20" s="24" t="str">
        <x:v>Epinephelus</x:v>
      </x:c>
      <x:c r="F20" s="24" t="str">
        <x:v>Seabasses, hinds</x:v>
      </x:c>
      <x:c r="G20" s="24" t="str">
        <x:v>Medium reef assoc. fish (30 - 89 cm)</x:v>
      </x:c>
      <x:c r="H20" s="24" t="str">
        <x:v>Perch-likes</x:v>
      </x:c>
      <x:c r="I20" s="31" t="n">
        <x:v>200.16510827739998</x:v>
      </x:c>
      <x:c r="J20" s="31" t="n">
        <x:v>200.16510827739998</x:v>
      </x:c>
      <x:c r="K20" s="31" t="n">
        <x:v>0</x:v>
      </x:c>
      <x:c r="L20" s="31" t="n">
        <x:v>162.52179362639998</x:v>
      </x:c>
      <x:c r="M20" s="31" t="n">
        <x:v>37.643314651</x:v>
      </x:c>
      <x:c r="N20" s="24" t="str">
        <x:v>epinephelus</x:v>
      </x:c>
      <x:c r="O20" s="32" t="n">
        <x:v>3.84</x:v>
      </x:c>
      <x:c r="P20" s="24" t="str">
        <x:v>exact_sea_around_us</x:v>
      </x:c>
      <x:c r="Q20" s="32" t="str">
        <x:v>Sea Around Us exploited organisms</x:v>
      </x:c>
      <x:c r="R20" s="24" t="str">
        <x:v>high</x:v>
      </x:c>
      <x:c r="S20" s="24" t="str">
        <x:v>Epinephelus</x:v>
      </x:c>
      <x:c r="T20" s="32" t="n">
        <x:f>IF(O20="","",(1/'Metadata'!$B$5)^(O20-1))</x:f>
        <x:v>691.8309709189363</x:v>
      </x:c>
      <x:c r="U20" s="31" t="n">
        <x:f>IF(T20="","",I20*T20)</x:f>
        <x:v>138480.42120364762</x:v>
      </x:c>
    </x:row>
    <x:row r="21" ht="18" customHeight="1">
      <x:c r="A21" s="24" t="str">
        <x:v>EEZ_132</x:v>
      </x:c>
      <x:c r="B21" s="24" t="str">
        <x:v>Cape Verde</x:v>
      </x:c>
      <x:c r="C21" s="24" t="str">
        <x:v>EEZ</x:v>
      </x:c>
      <x:c r="D21" s="30" t="n">
        <x:v>2019</x:v>
      </x:c>
      <x:c r="E21" s="24" t="str">
        <x:v>Caranx crysos</x:v>
      </x:c>
      <x:c r="F21" s="24" t="str">
        <x:v>Blue runner</x:v>
      </x:c>
      <x:c r="G21" s="24" t="str">
        <x:v>Medium reef assoc. fish (30 - 89 cm)</x:v>
      </x:c>
      <x:c r="H21" s="24" t="str">
        <x:v>Perch-likes</x:v>
      </x:c>
      <x:c r="I21" s="31" t="n">
        <x:v>199.5827928552</x:v>
      </x:c>
      <x:c r="J21" s="31" t="n">
        <x:v>199.5827928552</x:v>
      </x:c>
      <x:c r="K21" s="31" t="n">
        <x:v>0</x:v>
      </x:c>
      <x:c r="L21" s="31" t="n">
        <x:v>125.39373487949999</x:v>
      </x:c>
      <x:c r="M21" s="31" t="n">
        <x:v>74.1890579757</x:v>
      </x:c>
      <x:c r="N21" s="24" t="str">
        <x:v>caranx crysos</x:v>
      </x:c>
      <x:c r="O21" s="32" t="n">
        <x:v>4.13</x:v>
      </x:c>
      <x:c r="P21" s="24" t="str">
        <x:v>exact_2020_supplement</x:v>
      </x:c>
      <x:c r="Q21" s="32" t="str">
        <x:v>2020 supplement MeanTL</x:v>
      </x:c>
      <x:c r="R21" s="24" t="str">
        <x:v>high</x:v>
      </x:c>
      <x:c r="S21" s="24" t="str">
        <x:v>Caranx crysos</x:v>
      </x:c>
      <x:c r="T21" s="32" t="n">
        <x:f>IF(O21="","",(1/'Metadata'!$B$5)^(O21-1))</x:f>
        <x:v>1348.9628825916532</x:v>
      </x:c>
      <x:c r="U21" s="31" t="n">
        <x:f>IF(T21="","",I21*T21)</x:f>
        <x:v>269229.7795656434</x:v>
      </x:c>
    </x:row>
    <x:row r="22" ht="18" customHeight="1">
      <x:c r="A22" s="24" t="str">
        <x:v>EEZ_132</x:v>
      </x:c>
      <x:c r="B22" s="24" t="str">
        <x:v>Cape Verde</x:v>
      </x:c>
      <x:c r="C22" s="24" t="str">
        <x:v>EEZ</x:v>
      </x:c>
      <x:c r="D22" s="30" t="n">
        <x:v>2019</x:v>
      </x:c>
      <x:c r="E22" s="24" t="str">
        <x:v>Muraena helena</x:v>
      </x:c>
      <x:c r="F22" s="24" t="str">
        <x:v>Mediterranean moray</x:v>
      </x:c>
      <x:c r="G22" s="24" t="str">
        <x:v>Large reef assoc. fish (&gt;=90 cm)</x:v>
      </x:c>
      <x:c r="H22" s="24" t="str">
        <x:v>Other fishes &amp; inverts</x:v>
      </x:c>
      <x:c r="I22" s="31" t="n">
        <x:v>188.0754201016</x:v>
      </x:c>
      <x:c r="J22" s="31" t="n">
        <x:v>188.0754201016</x:v>
      </x:c>
      <x:c r="K22" s="31" t="n">
        <x:v>0</x:v>
      </x:c>
      <x:c r="L22" s="31" t="n">
        <x:v>76.6213107386</x:v>
      </x:c>
      <x:c r="M22" s="31" t="n">
        <x:v>111.45410936299999</x:v>
      </x:c>
      <x:c r="N22" s="24" t="str">
        <x:v>muraena helena</x:v>
      </x:c>
      <x:c r="O22" s="32" t="n">
        <x:v>4.18</x:v>
      </x:c>
      <x:c r="P22" s="24" t="str">
        <x:v>exact_2020_supplement</x:v>
      </x:c>
      <x:c r="Q22" s="32" t="str">
        <x:v>2020 supplement MeanTL</x:v>
      </x:c>
      <x:c r="R22" s="24" t="str">
        <x:v>high</x:v>
      </x:c>
      <x:c r="S22" s="24" t="str">
        <x:v>Muraena helena</x:v>
      </x:c>
      <x:c r="T22" s="32" t="n">
        <x:f>IF(O22="","",(1/'Metadata'!$B$5)^(O22-1))</x:f>
        <x:v>1513.5612484362073</x:v>
      </x:c>
      <x:c r="U22" s="31" t="n">
        <x:f>IF(T22="","",I22*T22)</x:f>
        <x:v>284663.66764914186</x:v>
      </x:c>
    </x:row>
    <x:row r="23" ht="18" customHeight="1">
      <x:c r="A23" s="24" t="str">
        <x:v>EEZ_132</x:v>
      </x:c>
      <x:c r="B23" s="24" t="str">
        <x:v>Cape Verde</x:v>
      </x:c>
      <x:c r="C23" s="24" t="str">
        <x:v>EEZ</x:v>
      </x:c>
      <x:c r="D23" s="30" t="n">
        <x:v>2019</x:v>
      </x:c>
      <x:c r="E23" s="24" t="str">
        <x:v>Trachinotus</x:v>
      </x:c>
      <x:c r="F23" s="24" t="str">
        <x:v>Pompanos</x:v>
      </x:c>
      <x:c r="G23" s="24" t="str">
        <x:v>Medium pelagics (30 - 89 cm)</x:v>
      </x:c>
      <x:c r="H23" s="24" t="str">
        <x:v>Perch-likes</x:v>
      </x:c>
      <x:c r="I23" s="31" t="n">
        <x:v>181.1299780999</x:v>
      </x:c>
      <x:c r="J23" s="31" t="n">
        <x:v>160.0625129018</x:v>
      </x:c>
      <x:c r="K23" s="31" t="n">
        <x:v>21.0674651981</x:v>
      </x:c>
      <x:c r="L23" s="31" t="n">
        <x:v>45.0404316506</x:v>
      </x:c>
      <x:c r="M23" s="31" t="n">
        <x:v>136.0895464493</x:v>
      </x:c>
      <x:c r="N23" s="24" t="str">
        <x:v>trachinotus</x:v>
      </x:c>
      <x:c r="O23" s="32" t="n">
        <x:v>3.69</x:v>
      </x:c>
      <x:c r="P23" s="24" t="str">
        <x:v>exact_sea_around_us</x:v>
      </x:c>
      <x:c r="Q23" s="32" t="str">
        <x:v>Sea Around Us exploited organisms</x:v>
      </x:c>
      <x:c r="R23" s="24" t="str">
        <x:v>high</x:v>
      </x:c>
      <x:c r="S23" s="24" t="str">
        <x:v>Trachinotus</x:v>
      </x:c>
      <x:c r="T23" s="32" t="n">
        <x:f>IF(O23="","",(1/'Metadata'!$B$5)^(O23-1))</x:f>
        <x:v>489.77881936844614</x:v>
      </x:c>
      <x:c r="U23" s="31" t="n">
        <x:f>IF(T23="","",I23*T23)</x:f>
        <x:v>88713.62682600152</x:v>
      </x:c>
    </x:row>
    <x:row r="24" ht="18" customHeight="1">
      <x:c r="A24" s="24" t="str">
        <x:v>EEZ_132</x:v>
      </x:c>
      <x:c r="B24" s="24" t="str">
        <x:v>Cape Verde</x:v>
      </x:c>
      <x:c r="C24" s="24" t="str">
        <x:v>EEZ</x:v>
      </x:c>
      <x:c r="D24" s="30" t="n">
        <x:v>2019</x:v>
      </x:c>
      <x:c r="E24" s="24" t="str">
        <x:v>Umbrina canariensis</x:v>
      </x:c>
      <x:c r="F24" s="24" t="str">
        <x:v>Canary drum</x:v>
      </x:c>
      <x:c r="G24" s="24" t="str">
        <x:v>Medium demersals (30 - 89 cm)</x:v>
      </x:c>
      <x:c r="H24" s="24" t="str">
        <x:v>Perch-likes</x:v>
      </x:c>
      <x:c r="I24" s="31" t="n">
        <x:v>176.6304555668</x:v>
      </x:c>
      <x:c r="J24" s="31" t="n">
        <x:v>176.6304555668</x:v>
      </x:c>
      <x:c r="K24" s="31" t="n">
        <x:v>0</x:v>
      </x:c>
      <x:c r="L24" s="31" t="n">
        <x:v>176.6304555668</x:v>
      </x:c>
      <x:c r="M24" s="31" t="n">
        <x:v>0</x:v>
      </x:c>
      <x:c r="N24" s="24" t="str">
        <x:v>umbrina canariensis</x:v>
      </x:c>
      <x:c r="O24" s="32" t="n">
        <x:v>3.37</x:v>
      </x:c>
      <x:c r="P24" s="24" t="str">
        <x:v>exact_2020_supplement</x:v>
      </x:c>
      <x:c r="Q24" s="32" t="str">
        <x:v>2020 supplement MeanTL</x:v>
      </x:c>
      <x:c r="R24" s="24" t="str">
        <x:v>high</x:v>
      </x:c>
      <x:c r="S24" s="24" t="str">
        <x:v>Umbrina canariensis</x:v>
      </x:c>
      <x:c r="T24" s="32" t="n">
        <x:f>IF(O24="","",(1/'Metadata'!$B$5)^(O24-1))</x:f>
        <x:v>234.42288153199226</x:v>
      </x:c>
      <x:c r="U24" s="31" t="n">
        <x:f>IF(T24="","",I24*T24)</x:f>
        <x:v>41406.22036027778</x:v>
      </x:c>
    </x:row>
    <x:row r="25" ht="18" customHeight="1">
      <x:c r="A25" s="24" t="str">
        <x:v>EEZ_132</x:v>
      </x:c>
      <x:c r="B25" s="24" t="str">
        <x:v>Cape Verde</x:v>
      </x:c>
      <x:c r="C25" s="24" t="str">
        <x:v>EEZ</x:v>
      </x:c>
      <x:c r="D25" s="30" t="n">
        <x:v>2019</x:v>
      </x:c>
      <x:c r="E25" s="24" t="str">
        <x:v>Seriola dumerili</x:v>
      </x:c>
      <x:c r="F25" s="24" t="str">
        <x:v>Greater amberjack</x:v>
      </x:c>
      <x:c r="G25" s="24" t="str">
        <x:v>Large reef assoc. fish (&gt;=90 cm)</x:v>
      </x:c>
      <x:c r="H25" s="24" t="str">
        <x:v>Perch-likes</x:v>
      </x:c>
      <x:c r="I25" s="31" t="n">
        <x:v>136.6878597301</x:v>
      </x:c>
      <x:c r="J25" s="31" t="n">
        <x:v>136.6878597301</x:v>
      </x:c>
      <x:c r="K25" s="31" t="n">
        <x:v>0</x:v>
      </x:c>
      <x:c r="L25" s="31" t="n">
        <x:v>56.3181143137</x:v>
      </x:c>
      <x:c r="M25" s="31" t="n">
        <x:v>80.36974541640001</x:v>
      </x:c>
      <x:c r="N25" s="24" t="str">
        <x:v>seriola dumerili</x:v>
      </x:c>
      <x:c r="O25" s="32" t="n">
        <x:v>4.5</x:v>
      </x:c>
      <x:c r="P25" s="24" t="str">
        <x:v>exact_2020_supplement</x:v>
      </x:c>
      <x:c r="Q25" s="32" t="str">
        <x:v>2020 supplement MeanTL</x:v>
      </x:c>
      <x:c r="R25" s="24" t="str">
        <x:v>high</x:v>
      </x:c>
      <x:c r="S25" s="24" t="str">
        <x:v>Seriola dumerili</x:v>
      </x:c>
      <x:c r="T25" s="32" t="n">
        <x:f>IF(O25="","",(1/'Metadata'!$B$5)^(O25-1))</x:f>
        <x:v>3162.2776601683795</x:v>
      </x:c>
      <x:c r="U25" s="31" t="n">
        <x:f>IF(T25="","",I25*T25)</x:f>
        <x:v>432244.96524072427</x:v>
      </x:c>
    </x:row>
    <x:row r="26" ht="18" customHeight="1">
      <x:c r="A26" s="24" t="str">
        <x:v>EEZ_132</x:v>
      </x:c>
      <x:c r="B26" s="24" t="str">
        <x:v>Cape Verde</x:v>
      </x:c>
      <x:c r="C26" s="24" t="str">
        <x:v>EEZ</x:v>
      </x:c>
      <x:c r="D26" s="30" t="n">
        <x:v>2019</x:v>
      </x:c>
      <x:c r="E26" s="24" t="str">
        <x:v>Carcharhinus signatus</x:v>
      </x:c>
      <x:c r="F26" s="24" t="str">
        <x:v>Night shark</x:v>
      </x:c>
      <x:c r="G26" s="24" t="str">
        <x:v>Large sharks (&gt;=90 cm)</x:v>
      </x:c>
      <x:c r="H26" s="24" t="str">
        <x:v>Sharks &amp; rays</x:v>
      </x:c>
      <x:c r="I26" s="31" t="n">
        <x:v>135.2310756786</x:v>
      </x:c>
      <x:c r="J26" s="31" t="n">
        <x:v>135.2310756786</x:v>
      </x:c>
      <x:c r="K26" s="31" t="n">
        <x:v>0</x:v>
      </x:c>
      <x:c r="L26" s="31" t="n">
        <x:v>135.2310756786</x:v>
      </x:c>
      <x:c r="M26" s="31" t="n">
        <x:v>0</x:v>
      </x:c>
      <x:c r="N26" s="24" t="str">
        <x:v>carcharhinus signatus</x:v>
      </x:c>
      <x:c r="O26" s="32" t="n">
        <x:v>4.63</x:v>
      </x:c>
      <x:c r="P26" s="24" t="str">
        <x:v>exact_2020_supplement</x:v>
      </x:c>
      <x:c r="Q26" s="32" t="str">
        <x:v>2020 supplement MeanTL</x:v>
      </x:c>
      <x:c r="R26" s="24" t="str">
        <x:v>high</x:v>
      </x:c>
      <x:c r="S26" s="24" t="str">
        <x:v>Carcharhinus signatus</x:v>
      </x:c>
      <x:c r="T26" s="32" t="n">
        <x:f>IF(O26="","",(1/'Metadata'!$B$5)^(O26-1))</x:f>
        <x:v>4265.795188015925</x:v>
      </x:c>
      <x:c r="U26" s="31" t="n">
        <x:f>IF(T26="","",I26*T26)</x:f>
        <x:v>576868.0718999894</x:v>
      </x:c>
    </x:row>
    <x:row r="27" ht="18" customHeight="1">
      <x:c r="A27" s="24" t="str">
        <x:v>EEZ_132</x:v>
      </x:c>
      <x:c r="B27" s="24" t="str">
        <x:v>Cape Verde</x:v>
      </x:c>
      <x:c r="C27" s="24" t="str">
        <x:v>EEZ</x:v>
      </x:c>
      <x:c r="D27" s="30" t="n">
        <x:v>2019</x:v>
      </x:c>
      <x:c r="E27" s="24" t="str">
        <x:v>Prionace glauca</x:v>
      </x:c>
      <x:c r="F27" s="24" t="str">
        <x:v>Blue shark</x:v>
      </x:c>
      <x:c r="G27" s="24" t="str">
        <x:v>Large sharks (&gt;=90 cm)</x:v>
      </x:c>
      <x:c r="H27" s="24" t="str">
        <x:v>Sharks &amp; rays</x:v>
      </x:c>
      <x:c r="I27" s="31" t="n">
        <x:v>120.9865492418</x:v>
      </x:c>
      <x:c r="J27" s="31" t="n">
        <x:v>120.9865492418</x:v>
      </x:c>
      <x:c r="K27" s="31" t="n">
        <x:v>0</x:v>
      </x:c>
      <x:c r="L27" s="31" t="n">
        <x:v>120.9865492418</x:v>
      </x:c>
      <x:c r="M27" s="31" t="n">
        <x:v>0</x:v>
      </x:c>
      <x:c r="N27" s="24" t="str">
        <x:v>prionace glauca</x:v>
      </x:c>
      <x:c r="O27" s="32" t="n">
        <x:v>4.35</x:v>
      </x:c>
      <x:c r="P27" s="24" t="str">
        <x:v>exact_2020_supplement</x:v>
      </x:c>
      <x:c r="Q27" s="32" t="str">
        <x:v>2020 supplement MeanTL</x:v>
      </x:c>
      <x:c r="R27" s="24" t="str">
        <x:v>high</x:v>
      </x:c>
      <x:c r="S27" s="24" t="str">
        <x:v>Prionace glauca</x:v>
      </x:c>
      <x:c r="T27" s="32" t="n">
        <x:f>IF(O27="","",(1/'Metadata'!$B$5)^(O27-1))</x:f>
        <x:v>2238.7211385683377</x:v>
      </x:c>
      <x:c r="U27" s="31" t="n">
        <x:f>IF(T27="","",I27*T27)</x:f>
        <x:v>270855.14527005673</x:v>
      </x:c>
    </x:row>
    <x:row r="28" ht="18" customHeight="1">
      <x:c r="A28" s="24" t="str">
        <x:v>EEZ_132</x:v>
      </x:c>
      <x:c r="B28" s="24" t="str">
        <x:v>Cape Verde</x:v>
      </x:c>
      <x:c r="C28" s="24" t="str">
        <x:v>EEZ</x:v>
      </x:c>
      <x:c r="D28" s="30" t="n">
        <x:v>2019</x:v>
      </x:c>
      <x:c r="E28" s="24" t="str">
        <x:v>Xiphias gladius</x:v>
      </x:c>
      <x:c r="F28" s="24" t="str">
        <x:v>Swordfish</x:v>
      </x:c>
      <x:c r="G28" s="24" t="str">
        <x:v>Large pelagics (&gt;=90 cm)</x:v>
      </x:c>
      <x:c r="H28" s="24" t="str">
        <x:v>Tuna &amp; billfishes</x:v>
      </x:c>
      <x:c r="I28" s="31" t="n">
        <x:v>118.54694907230001</x:v>
      </x:c>
      <x:c r="J28" s="31" t="n">
        <x:v>118.54694907230001</x:v>
      </x:c>
      <x:c r="K28" s="31" t="n">
        <x:v>0</x:v>
      </x:c>
      <x:c r="L28" s="31" t="n">
        <x:v>118.54694907230001</x:v>
      </x:c>
      <x:c r="M28" s="31" t="n">
        <x:v>0</x:v>
      </x:c>
      <x:c r="N28" s="24" t="str">
        <x:v>xiphias gladius</x:v>
      </x:c>
      <x:c r="O28" s="32" t="n">
        <x:v>4.53</x:v>
      </x:c>
      <x:c r="P28" s="24" t="str">
        <x:v>exact_2020_supplement</x:v>
      </x:c>
      <x:c r="Q28" s="32" t="str">
        <x:v>2020 supplement MeanTL</x:v>
      </x:c>
      <x:c r="R28" s="24" t="str">
        <x:v>high</x:v>
      </x:c>
      <x:c r="S28" s="24" t="str">
        <x:v>Xiphias gladius</x:v>
      </x:c>
      <x:c r="T28" s="32" t="n">
        <x:f>IF(O28="","",(1/'Metadata'!$B$5)^(O28-1))</x:f>
        <x:v>3388.4415613920273</x:v>
      </x:c>
      <x:c r="U28" s="31" t="n">
        <x:f>IF(T28="","",I28*T28)</x:f>
        <x:v>401689.4092128054</x:v>
      </x:c>
    </x:row>
    <x:row r="29" ht="18" customHeight="1">
      <x:c r="A29" s="24" t="str">
        <x:v>EEZ_132</x:v>
      </x:c>
      <x:c r="B29" s="24" t="str">
        <x:v>Cape Verde</x:v>
      </x:c>
      <x:c r="C29" s="24" t="str">
        <x:v>EEZ</x:v>
      </x:c>
      <x:c r="D29" s="30" t="n">
        <x:v>2019</x:v>
      </x:c>
      <x:c r="E29" s="24" t="str">
        <x:v>Acanthurus monroviae</x:v>
      </x:c>
      <x:c r="F29" s="24" t="str">
        <x:v>Monrovia doctorfish</x:v>
      </x:c>
      <x:c r="G29" s="24" t="str">
        <x:v>Medium demersals (30 - 89 cm)</x:v>
      </x:c>
      <x:c r="H29" s="24" t="str">
        <x:v>Perch-likes</x:v>
      </x:c>
      <x:c r="I29" s="31" t="n">
        <x:v>102.6050559439</x:v>
      </x:c>
      <x:c r="J29" s="31" t="n">
        <x:v>102.6050559439</x:v>
      </x:c>
      <x:c r="K29" s="31" t="n">
        <x:v>0</x:v>
      </x:c>
      <x:c r="L29" s="31" t="n">
        <x:v>44.7366482915</x:v>
      </x:c>
      <x:c r="M29" s="31" t="n">
        <x:v>57.8684076524</x:v>
      </x:c>
      <x:c r="N29" s="24" t="str">
        <x:v>acanthurus monroviae</x:v>
      </x:c>
      <x:c r="O29" s="32" t="n">
        <x:v>2.5</x:v>
      </x:c>
      <x:c r="P29" s="24" t="str">
        <x:v>exact_2020_supplement</x:v>
      </x:c>
      <x:c r="Q29" s="32" t="str">
        <x:v>2020 supplement MeanTL</x:v>
      </x:c>
      <x:c r="R29" s="24" t="str">
        <x:v>high</x:v>
      </x:c>
      <x:c r="S29" s="24" t="str">
        <x:v>Acanthurus monroviae</x:v>
      </x:c>
      <x:c r="T29" s="32" t="n">
        <x:f>IF(O29="","",(1/'Metadata'!$B$5)^(O29-1))</x:f>
        <x:v>31.622776601683793</x:v>
      </x:c>
      <x:c r="U29" s="31" t="n">
        <x:f>IF(T29="","",I29*T29)</x:f>
        <x:v>3244.6567623172173</x:v>
      </x:c>
    </x:row>
    <x:row r="30" ht="18" customHeight="1">
      <x:c r="A30" s="24" t="str">
        <x:v>EEZ_132</x:v>
      </x:c>
      <x:c r="B30" s="24" t="str">
        <x:v>Cape Verde</x:v>
      </x:c>
      <x:c r="C30" s="24" t="str">
        <x:v>EEZ</x:v>
      </x:c>
      <x:c r="D30" s="30" t="n">
        <x:v>2019</x:v>
      </x:c>
      <x:c r="E30" s="24" t="str">
        <x:v>Decapterus punctatus</x:v>
      </x:c>
      <x:c r="F30" s="24" t="str">
        <x:v>Round scad</x:v>
      </x:c>
      <x:c r="G30" s="24" t="str">
        <x:v>Medium benthopelagics (30 - 89 cm)</x:v>
      </x:c>
      <x:c r="H30" s="24" t="str">
        <x:v>Perch-likes</x:v>
      </x:c>
      <x:c r="I30" s="31" t="n">
        <x:v>101.8866056787</x:v>
      </x:c>
      <x:c r="J30" s="31" t="n">
        <x:v>100.7099901699</x:v>
      </x:c>
      <x:c r="K30" s="31" t="n">
        <x:v>1.1766155087999999</x:v>
      </x:c>
      <x:c r="L30" s="31" t="n">
        <x:v>94.28602015749999</x:v>
      </x:c>
      <x:c r="M30" s="31" t="n">
        <x:v>7.6005855212</x:v>
      </x:c>
      <x:c r="N30" s="24" t="str">
        <x:v>decapterus punctatus</x:v>
      </x:c>
      <x:c r="O30" s="32" t="n">
        <x:v>4.43</x:v>
      </x:c>
      <x:c r="P30" s="24" t="str">
        <x:v>exact_2020_supplement</x:v>
      </x:c>
      <x:c r="Q30" s="32" t="str">
        <x:v>2020 supplement MeanTL</x:v>
      </x:c>
      <x:c r="R30" s="24" t="str">
        <x:v>high</x:v>
      </x:c>
      <x:c r="S30" s="24" t="str">
        <x:v>Decapterus punctatus</x:v>
      </x:c>
      <x:c r="T30" s="32" t="n">
        <x:f>IF(O30="","",(1/'Metadata'!$B$5)^(O30-1))</x:f>
        <x:v>2691.534803926914</x:v>
      </x:c>
      <x:c r="U30" s="31" t="n">
        <x:f>IF(T30="","",I30*T30)</x:f>
        <x:v>274231.3452381986</x:v>
      </x:c>
    </x:row>
    <x:row r="31" ht="18" customHeight="1">
      <x:c r="A31" s="24" t="str">
        <x:v>EEZ_132</x:v>
      </x:c>
      <x:c r="B31" s="24" t="str">
        <x:v>Cape Verde</x:v>
      </x:c>
      <x:c r="C31" s="24" t="str">
        <x:v>EEZ</x:v>
      </x:c>
      <x:c r="D31" s="30" t="n">
        <x:v>2019</x:v>
      </x:c>
      <x:c r="E31" s="24" t="str">
        <x:v>Euthynnus alletteratus</x:v>
      </x:c>
      <x:c r="F31" s="24" t="str">
        <x:v>Little tunny </x:v>
      </x:c>
      <x:c r="G31" s="24" t="str">
        <x:v>Large pelagics (&gt;=90 cm)</x:v>
      </x:c>
      <x:c r="H31" s="24" t="str">
        <x:v>Tuna &amp; billfishes</x:v>
      </x:c>
      <x:c r="I31" s="31" t="n">
        <x:v>65.6834391865</x:v>
      </x:c>
      <x:c r="J31" s="31" t="n">
        <x:v>65.6834391865</x:v>
      </x:c>
      <x:c r="K31" s="31" t="n">
        <x:v>0</x:v>
      </x:c>
      <x:c r="L31" s="31" t="n">
        <x:v>65.6834391865</x:v>
      </x:c>
      <x:c r="M31" s="31" t="n">
        <x:v>0</x:v>
      </x:c>
      <x:c r="N31" s="24" t="str">
        <x:v>euthynnus alletteratus</x:v>
      </x:c>
      <x:c r="O31" s="32" t="n">
        <x:v>4.49</x:v>
      </x:c>
      <x:c r="P31" s="24" t="str">
        <x:v>exact_2020_supplement</x:v>
      </x:c>
      <x:c r="Q31" s="32" t="str">
        <x:v>2020 supplement MeanTL</x:v>
      </x:c>
      <x:c r="R31" s="24" t="str">
        <x:v>high</x:v>
      </x:c>
      <x:c r="S31" s="24" t="str">
        <x:v>Euthynnus alletteratus</x:v>
      </x:c>
      <x:c r="T31" s="32" t="n">
        <x:f>IF(O31="","",(1/'Metadata'!$B$5)^(O31-1))</x:f>
        <x:v>3090.295432513592</x:v>
      </x:c>
      <x:c r="U31" s="31" t="n">
        <x:f>IF(T31="","",I31*T31)</x:f>
        <x:v>202981.2321098252</x:v>
      </x:c>
    </x:row>
    <x:row r="32" ht="18" customHeight="1">
      <x:c r="A32" s="24" t="str">
        <x:v>EEZ_132</x:v>
      </x:c>
      <x:c r="B32" s="24" t="str">
        <x:v>Cape Verde</x:v>
      </x:c>
      <x:c r="C32" s="24" t="str">
        <x:v>EEZ</x:v>
      </x:c>
      <x:c r="D32" s="30" t="n">
        <x:v>2019</x:v>
      </x:c>
      <x:c r="E32" s="24" t="str">
        <x:v>Lutjanus</x:v>
      </x:c>
      <x:c r="F32" s="24" t="str">
        <x:v>Snappers</x:v>
      </x:c>
      <x:c r="G32" s="24" t="str">
        <x:v>Medium reef assoc. fish (30 - 89 cm)</x:v>
      </x:c>
      <x:c r="H32" s="24" t="str">
        <x:v>Perch-likes</x:v>
      </x:c>
      <x:c r="I32" s="31" t="n">
        <x:v>62.257930470699996</x:v>
      </x:c>
      <x:c r="J32" s="31" t="n">
        <x:v>62.257930470699996</x:v>
      </x:c>
      <x:c r="K32" s="31" t="n">
        <x:v>0</x:v>
      </x:c>
      <x:c r="L32" s="31" t="n">
        <x:v>26.713799284500002</x:v>
      </x:c>
      <x:c r="M32" s="31" t="n">
        <x:v>35.5441311862</x:v>
      </x:c>
      <x:c r="N32" s="24" t="str">
        <x:v>lutjanus</x:v>
      </x:c>
      <x:c r="O32" s="32" t="n">
        <x:v>4.02</x:v>
      </x:c>
      <x:c r="P32" s="24" t="str">
        <x:v>exact_sea_around_us</x:v>
      </x:c>
      <x:c r="Q32" s="32" t="str">
        <x:v>Sea Around Us exploited organisms</x:v>
      </x:c>
      <x:c r="R32" s="24" t="str">
        <x:v>high</x:v>
      </x:c>
      <x:c r="S32" s="24" t="str">
        <x:v>Lutjanus</x:v>
      </x:c>
      <x:c r="T32" s="32" t="n">
        <x:f>IF(O32="","",(1/'Metadata'!$B$5)^(O32-1))</x:f>
        <x:v>1047.1285480508984</x:v>
      </x:c>
      <x:c r="U32" s="31" t="n">
        <x:f>IF(T32="","",I32*T32)</x:f>
        <x:v>65192.05633843788</x:v>
      </x:c>
    </x:row>
    <x:row r="33" ht="18" customHeight="1">
      <x:c r="A33" s="24" t="str">
        <x:v>EEZ_132</x:v>
      </x:c>
      <x:c r="B33" s="24" t="str">
        <x:v>Cape Verde</x:v>
      </x:c>
      <x:c r="C33" s="24" t="str">
        <x:v>EEZ</x:v>
      </x:c>
      <x:c r="D33" s="30" t="n">
        <x:v>2019</x:v>
      </x:c>
      <x:c r="E33" s="24" t="str">
        <x:v>Diplodus</x:v>
      </x:c>
      <x:c r="F33" s="24" t="str">
        <x:v>Two-toothed seabreams</x:v>
      </x:c>
      <x:c r="G33" s="24" t="str">
        <x:v>Medium benthopelagics (30 - 89 cm)</x:v>
      </x:c>
      <x:c r="H33" s="24" t="str">
        <x:v>Perch-likes</x:v>
      </x:c>
      <x:c r="I33" s="31" t="n">
        <x:v>61.29642850930001</x:v>
      </x:c>
      <x:c r="J33" s="31" t="n">
        <x:v>61.29642850930001</x:v>
      </x:c>
      <x:c r="K33" s="31" t="n">
        <x:v>0</x:v>
      </x:c>
      <x:c r="L33" s="31" t="n">
        <x:v>26.749985182000003</x:v>
      </x:c>
      <x:c r="M33" s="31" t="n">
        <x:v>34.546443327300004</x:v>
      </x:c>
      <x:c r="N33" s="24" t="str">
        <x:v>diplodus</x:v>
      </x:c>
      <x:c r="O33" s="32" t="n">
        <x:v>2.97</x:v>
      </x:c>
      <x:c r="P33" s="24" t="str">
        <x:v>exact_sea_around_us</x:v>
      </x:c>
      <x:c r="Q33" s="32" t="str">
        <x:v>Sea Around Us exploited organisms</x:v>
      </x:c>
      <x:c r="R33" s="24" t="str">
        <x:v>high</x:v>
      </x:c>
      <x:c r="S33" s="24" t="str">
        <x:v>Diplodus</x:v>
      </x:c>
      <x:c r="T33" s="32" t="n">
        <x:f>IF(O33="","",(1/'Metadata'!$B$5)^(O33-1))</x:f>
        <x:v>93.32543007969915</x:v>
      </x:c>
      <x:c r="U33" s="31" t="n">
        <x:f>IF(T33="","",I33*T33)</x:f>
        <x:v>5720.515552979955</x:v>
      </x:c>
    </x:row>
    <x:row r="34" ht="18" customHeight="1">
      <x:c r="A34" s="24" t="str">
        <x:v>EEZ_132</x:v>
      </x:c>
      <x:c r="B34" s="24" t="str">
        <x:v>Cape Verde</x:v>
      </x:c>
      <x:c r="C34" s="24" t="str">
        <x:v>EEZ</x:v>
      </x:c>
      <x:c r="D34" s="30" t="n">
        <x:v>2019</x:v>
      </x:c>
      <x:c r="E34" s="24" t="str">
        <x:v>Pomadasys jubelini</x:v>
      </x:c>
      <x:c r="F34" s="24" t="str">
        <x:v>Sompat grunt</x:v>
      </x:c>
      <x:c r="G34" s="24" t="str">
        <x:v>Medium demersals (30 - 89 cm)</x:v>
      </x:c>
      <x:c r="H34" s="24" t="str">
        <x:v>Perch-likes</x:v>
      </x:c>
      <x:c r="I34" s="31" t="n">
        <x:v>60.8607342717</x:v>
      </x:c>
      <x:c r="J34" s="31" t="n">
        <x:v>60.8607342717</x:v>
      </x:c>
      <x:c r="K34" s="31" t="n">
        <x:v>0</x:v>
      </x:c>
      <x:c r="L34" s="31" t="n">
        <x:v>60.8607342717</x:v>
      </x:c>
      <x:c r="M34" s="31" t="n">
        <x:v>0</x:v>
      </x:c>
      <x:c r="N34" s="24" t="str">
        <x:v>pomadasys jubelini</x:v>
      </x:c>
      <x:c r="O34" s="32" t="n">
        <x:v>3.33</x:v>
      </x:c>
      <x:c r="P34" s="24" t="str">
        <x:v>exact_2020_supplement</x:v>
      </x:c>
      <x:c r="Q34" s="32" t="str">
        <x:v>2020 supplement MeanTL</x:v>
      </x:c>
      <x:c r="R34" s="24" t="str">
        <x:v>high</x:v>
      </x:c>
      <x:c r="S34" s="24" t="str">
        <x:v>Pomadasys jubelini</x:v>
      </x:c>
      <x:c r="T34" s="32" t="n">
        <x:f>IF(O34="","",(1/'Metadata'!$B$5)^(O34-1))</x:f>
        <x:v>213.79620895022325</x:v>
      </x:c>
      <x:c r="U34" s="31" t="n">
        <x:f>IF(T34="","",I34*T34)</x:f>
        <x:v>13011.794261216386</x:v>
      </x:c>
    </x:row>
    <x:row r="35" ht="18" customHeight="1">
      <x:c r="A35" s="24" t="str">
        <x:v>EEZ_132</x:v>
      </x:c>
      <x:c r="B35" s="24" t="str">
        <x:v>Cape Verde</x:v>
      </x:c>
      <x:c r="C35" s="24" t="str">
        <x:v>EEZ</x:v>
      </x:c>
      <x:c r="D35" s="30" t="n">
        <x:v>2019</x:v>
      </x:c>
      <x:c r="E35" s="24" t="str">
        <x:v>Sparus aurata</x:v>
      </x:c>
      <x:c r="F35" s="24" t="str">
        <x:v>Gilthead seabream</x:v>
      </x:c>
      <x:c r="G35" s="24" t="str">
        <x:v>Medium demersals (30 - 89 cm)</x:v>
      </x:c>
      <x:c r="H35" s="24" t="str">
        <x:v>Perch-likes</x:v>
      </x:c>
      <x:c r="I35" s="31" t="n">
        <x:v>57.7498222112</x:v>
      </x:c>
      <x:c r="J35" s="31" t="n">
        <x:v>57.7498222112</x:v>
      </x:c>
      <x:c r="K35" s="31" t="n">
        <x:v>0</x:v>
      </x:c>
      <x:c r="L35" s="31" t="n">
        <x:v>20.6147058377</x:v>
      </x:c>
      <x:c r="M35" s="31" t="n">
        <x:v>37.1351163735</x:v>
      </x:c>
      <x:c r="N35" s="24" t="str">
        <x:v>sparus aurata</x:v>
      </x:c>
      <x:c r="O35" s="32" t="n">
        <x:v>3.7</x:v>
      </x:c>
      <x:c r="P35" s="24" t="str">
        <x:v>exact_2020_supplement</x:v>
      </x:c>
      <x:c r="Q35" s="32" t="str">
        <x:v>2020 supplement MeanTL</x:v>
      </x:c>
      <x:c r="R35" s="24" t="str">
        <x:v>high</x:v>
      </x:c>
      <x:c r="S35" s="24" t="str">
        <x:v>Sparus aurata</x:v>
      </x:c>
      <x:c r="T35" s="32" t="n">
        <x:f>IF(O35="","",(1/'Metadata'!$B$5)^(O35-1))</x:f>
        <x:v>501.18723362727246</x:v>
      </x:c>
      <x:c r="U35" s="31" t="n">
        <x:f>IF(T35="","",I35*T35)</x:f>
        <x:v>28943.47363649814</x:v>
      </x:c>
    </x:row>
    <x:row r="36" ht="18" customHeight="1">
      <x:c r="A36" s="24" t="str">
        <x:v>EEZ_132</x:v>
      </x:c>
      <x:c r="B36" s="24" t="str">
        <x:v>Cape Verde</x:v>
      </x:c>
      <x:c r="C36" s="24" t="str">
        <x:v>EEZ</x:v>
      </x:c>
      <x:c r="D36" s="30" t="n">
        <x:v>2019</x:v>
      </x:c>
      <x:c r="E36" s="24" t="str">
        <x:v>Caranx senegallus</x:v>
      </x:c>
      <x:c r="F36" s="24" t="str">
        <x:v>Senegal jack</x:v>
      </x:c>
      <x:c r="G36" s="24" t="str">
        <x:v>Medium benthopelagics (30 - 89 cm)</x:v>
      </x:c>
      <x:c r="H36" s="24" t="str">
        <x:v>Perch-likes</x:v>
      </x:c>
      <x:c r="I36" s="31" t="n">
        <x:v>55.5271872619</x:v>
      </x:c>
      <x:c r="J36" s="31" t="n">
        <x:v>55.5271872619</x:v>
      </x:c>
      <x:c r="K36" s="31" t="n">
        <x:v>0</x:v>
      </x:c>
      <x:c r="L36" s="31" t="n">
        <x:v>55.5271872619</x:v>
      </x:c>
      <x:c r="M36" s="31" t="n">
        <x:v>0</x:v>
      </x:c>
      <x:c r="N36" s="24" t="str">
        <x:v>caranx senegallus</x:v>
      </x:c>
      <x:c r="O36" s="32" t="n">
        <x:v>3.86</x:v>
      </x:c>
      <x:c r="P36" s="24" t="str">
        <x:v>exact_2020_supplement</x:v>
      </x:c>
      <x:c r="Q36" s="32" t="str">
        <x:v>2020 supplement MeanTL</x:v>
      </x:c>
      <x:c r="R36" s="24" t="str">
        <x:v>high</x:v>
      </x:c>
      <x:c r="S36" s="24" t="str">
        <x:v>Caranx senegallus</x:v>
      </x:c>
      <x:c r="T36" s="32" t="n">
        <x:f>IF(O36="","",(1/'Metadata'!$B$5)^(O36-1))</x:f>
        <x:v>724.4359600749899</x:v>
      </x:c>
      <x:c r="U36" s="31" t="n">
        <x:f>IF(T36="","",I36*T36)</x:f>
        <x:v>40225.89121433828</x:v>
      </x:c>
    </x:row>
    <x:row r="37" ht="18" customHeight="1">
      <x:c r="A37" s="24" t="str">
        <x:v>EEZ_132</x:v>
      </x:c>
      <x:c r="B37" s="24" t="str">
        <x:v>Cape Verde</x:v>
      </x:c>
      <x:c r="C37" s="24" t="str">
        <x:v>EEZ</x:v>
      </x:c>
      <x:c r="D37" s="30" t="n">
        <x:v>2019</x:v>
      </x:c>
      <x:c r="E37" s="24" t="str">
        <x:v>Apsilus fuscus</x:v>
      </x:c>
      <x:c r="F37" s="24" t="str">
        <x:v>African forktail snapper</x:v>
      </x:c>
      <x:c r="G37" s="24" t="str">
        <x:v>Medium demersals (30 - 89 cm)</x:v>
      </x:c>
      <x:c r="H37" s="24" t="str">
        <x:v>Perch-likes</x:v>
      </x:c>
      <x:c r="I37" s="31" t="n">
        <x:v>50.8803807537</x:v>
      </x:c>
      <x:c r="J37" s="31" t="n">
        <x:v>50.8803807537</x:v>
      </x:c>
      <x:c r="K37" s="31" t="n">
        <x:v>0</x:v>
      </x:c>
      <x:c r="L37" s="31" t="n">
        <x:v>24.143229994200002</x:v>
      </x:c>
      <x:c r="M37" s="31" t="n">
        <x:v>26.7371507595</x:v>
      </x:c>
      <x:c r="N37" s="24" t="str">
        <x:v>apsilus fuscus</x:v>
      </x:c>
      <x:c r="O37" s="32" t="n">
        <x:v>3.99</x:v>
      </x:c>
      <x:c r="P37" s="24" t="str">
        <x:v>exact_2020_supplement</x:v>
      </x:c>
      <x:c r="Q37" s="32" t="str">
        <x:v>2020 supplement MeanTL</x:v>
      </x:c>
      <x:c r="R37" s="24" t="str">
        <x:v>high</x:v>
      </x:c>
      <x:c r="S37" s="24" t="str">
        <x:v>Apsilus fuscus</x:v>
      </x:c>
      <x:c r="T37" s="32" t="n">
        <x:f>IF(O37="","",(1/'Metadata'!$B$5)^(O37-1))</x:f>
        <x:v>977.2372209558112</x:v>
      </x:c>
      <x:c r="U37" s="31" t="n">
        <x:f>IF(T37="","",I37*T37)</x:f>
        <x:v>49722.20188891933</x:v>
      </x:c>
    </x:row>
    <x:row r="38" ht="18" customHeight="1">
      <x:c r="A38" s="24" t="str">
        <x:v>EEZ_132</x:v>
      </x:c>
      <x:c r="B38" s="24" t="str">
        <x:v>Cape Verde</x:v>
      </x:c>
      <x:c r="C38" s="24" t="str">
        <x:v>EEZ</x:v>
      </x:c>
      <x:c r="D38" s="30" t="n">
        <x:v>2019</x:v>
      </x:c>
      <x:c r="E38" s="24" t="str">
        <x:v>Auxis</x:v>
      </x:c>
      <x:c r="F38" s="24" t="str">
        <x:v>Bullet and frigate tunas</x:v>
      </x:c>
      <x:c r="G38" s="24" t="str">
        <x:v>Medium pelagics (30 - 89 cm)</x:v>
      </x:c>
      <x:c r="H38" s="24" t="str">
        <x:v>Tuna &amp; billfishes</x:v>
      </x:c>
      <x:c r="I38" s="31" t="n">
        <x:v>50.649175835499996</x:v>
      </x:c>
      <x:c r="J38" s="31" t="n">
        <x:v>50.649175835499996</x:v>
      </x:c>
      <x:c r="K38" s="31" t="n">
        <x:v>0</x:v>
      </x:c>
      <x:c r="L38" s="31" t="n">
        <x:v>50.649175835499996</x:v>
      </x:c>
      <x:c r="M38" s="31" t="n">
        <x:v>0</x:v>
      </x:c>
      <x:c r="N38" s="24" t="str">
        <x:v>auxis</x:v>
      </x:c>
      <x:c r="O38" s="32" t="n">
        <x:v>4.24</x:v>
      </x:c>
      <x:c r="P38" s="24" t="str">
        <x:v>exact_sea_around_us</x:v>
      </x:c>
      <x:c r="Q38" s="32" t="str">
        <x:v>Sea Around Us exploited organisms</x:v>
      </x:c>
      <x:c r="R38" s="24" t="str">
        <x:v>high</x:v>
      </x:c>
      <x:c r="S38" s="24" t="str">
        <x:v>Auxis</x:v>
      </x:c>
      <x:c r="T38" s="32" t="n">
        <x:f>IF(O38="","",(1/'Metadata'!$B$5)^(O38-1))</x:f>
        <x:v>1737.8008287493763</x:v>
      </x:c>
      <x:c r="U38" s="31" t="n">
        <x:f>IF(T38="","",I38*T38)</x:f>
        <x:v>88018.17974240477</x:v>
      </x:c>
    </x:row>
    <x:row r="39" ht="18" customHeight="1">
      <x:c r="A39" s="24" t="str">
        <x:v>EEZ_132</x:v>
      </x:c>
      <x:c r="B39" s="24" t="str">
        <x:v>Cape Verde</x:v>
      </x:c>
      <x:c r="C39" s="24" t="str">
        <x:v>EEZ</x:v>
      </x:c>
      <x:c r="D39" s="30" t="n">
        <x:v>2019</x:v>
      </x:c>
      <x:c r="E39" s="24" t="str">
        <x:v>Scorpaenidae</x:v>
      </x:c>
      <x:c r="F39" s="24" t="str">
        <x:v>Scorpionfishes, rockfishes</x:v>
      </x:c>
      <x:c r="G39" s="24" t="str">
        <x:v>Large reef assoc. fish (&gt;=90 cm)</x:v>
      </x:c>
      <x:c r="H39" s="24" t="str">
        <x:v>Scorpionfishes</x:v>
      </x:c>
      <x:c r="I39" s="31" t="n">
        <x:v>49.948187367</x:v>
      </x:c>
      <x:c r="J39" s="31" t="n">
        <x:v>49.948187367</x:v>
      </x:c>
      <x:c r="K39" s="31" t="n">
        <x:v>0</x:v>
      </x:c>
      <x:c r="L39" s="31" t="n">
        <x:v>49.948187367</x:v>
      </x:c>
      <x:c r="M39" s="31" t="n">
        <x:v>0</x:v>
      </x:c>
      <x:c r="N39" s="24" t="str">
        <x:v>scorpaenidae</x:v>
      </x:c>
      <x:c r="O39" s="32" t="n">
        <x:v>3.92</x:v>
      </x:c>
      <x:c r="P39" s="24" t="str">
        <x:v>exact_sea_around_us</x:v>
      </x:c>
      <x:c r="Q39" s="32" t="str">
        <x:v>Sea Around Us exploited organisms</x:v>
      </x:c>
      <x:c r="R39" s="24" t="str">
        <x:v>high</x:v>
      </x:c>
      <x:c r="S39" s="24" t="str">
        <x:v>Scorpaenidae</x:v>
      </x:c>
      <x:c r="T39" s="32" t="n">
        <x:f>IF(O39="","",(1/'Metadata'!$B$5)^(O39-1))</x:f>
        <x:v>831.7637711026708</x:v>
      </x:c>
      <x:c r="U39" s="31" t="n">
        <x:f>IF(T39="","",I39*T39)</x:f>
        <x:v>41545.0926841187</x:v>
      </x:c>
    </x:row>
    <x:row r="40" ht="18" customHeight="1">
      <x:c r="A40" s="24" t="str">
        <x:v>EEZ_132</x:v>
      </x:c>
      <x:c r="B40" s="24" t="str">
        <x:v>Cape Verde</x:v>
      </x:c>
      <x:c r="C40" s="24" t="str">
        <x:v>EEZ</x:v>
      </x:c>
      <x:c r="D40" s="30" t="n">
        <x:v>2019</x:v>
      </x:c>
      <x:c r="E40" s="24" t="str">
        <x:v>Myliobatidae</x:v>
      </x:c>
      <x:c r="F40" s="24" t="str">
        <x:v>Eagle/manta rays</x:v>
      </x:c>
      <x:c r="G40" s="24" t="str">
        <x:v>Large rays (&gt;=90 cm)</x:v>
      </x:c>
      <x:c r="H40" s="24" t="str">
        <x:v>Sharks &amp; rays</x:v>
      </x:c>
      <x:c r="I40" s="31" t="n">
        <x:v>43.5931075766</x:v>
      </x:c>
      <x:c r="J40" s="31" t="n">
        <x:v>43.5931075766</x:v>
      </x:c>
      <x:c r="K40" s="31" t="n">
        <x:v>0</x:v>
      </x:c>
      <x:c r="L40" s="31" t="n">
        <x:v>43.5931075766</x:v>
      </x:c>
      <x:c r="M40" s="31" t="n">
        <x:v>0</x:v>
      </x:c>
      <x:c r="N40" s="24" t="str">
        <x:v>myliobatidae</x:v>
      </x:c>
      <x:c r="O40" s="32" t="n">
        <x:v>3.36</x:v>
      </x:c>
      <x:c r="P40" s="24" t="str">
        <x:v>exact_sea_around_us</x:v>
      </x:c>
      <x:c r="Q40" s="32" t="str">
        <x:v>Sea Around Us exploited organisms</x:v>
      </x:c>
      <x:c r="R40" s="24" t="str">
        <x:v>high</x:v>
      </x:c>
      <x:c r="S40" s="24" t="str">
        <x:v>Myliobatidae</x:v>
      </x:c>
      <x:c r="T40" s="32" t="n">
        <x:f>IF(O40="","",(1/'Metadata'!$B$5)^(O40-1))</x:f>
        <x:v>229.08676527677724</x:v>
      </x:c>
      <x:c r="U40" s="31" t="n">
        <x:f>IF(T40="","",I40*T40)</x:f>
        <x:v>9986.604003085864</x:v>
      </x:c>
    </x:row>
    <x:row r="41" ht="18" customHeight="1">
      <x:c r="A41" s="24" t="str">
        <x:v>EEZ_132</x:v>
      </x:c>
      <x:c r="B41" s="24" t="str">
        <x:v>Cape Verde</x:v>
      </x:c>
      <x:c r="C41" s="24" t="str">
        <x:v>EEZ</x:v>
      </x:c>
      <x:c r="D41" s="30" t="n">
        <x:v>2019</x:v>
      </x:c>
      <x:c r="E41" s="24" t="str">
        <x:v>Berycidae</x:v>
      </x:c>
      <x:c r="F41" s="24" t="str">
        <x:v>Alfonsinos, redfishes</x:v>
      </x:c>
      <x:c r="G41" s="24" t="str">
        <x:v>Medium benthopelagics (30 - 89 cm)</x:v>
      </x:c>
      <x:c r="H41" s="24" t="str">
        <x:v>Other fishes &amp; inverts</x:v>
      </x:c>
      <x:c r="I41" s="31" t="n">
        <x:v>42.1942780331</x:v>
      </x:c>
      <x:c r="J41" s="31" t="n">
        <x:v>42.1942780331</x:v>
      </x:c>
      <x:c r="K41" s="31" t="n">
        <x:v>0</x:v>
      </x:c>
      <x:c r="L41" s="31" t="n">
        <x:v>42.1942780331</x:v>
      </x:c>
      <x:c r="M41" s="31" t="n">
        <x:v>0</x:v>
      </x:c>
      <x:c r="N41" s="24" t="str">
        <x:v>berycidae</x:v>
      </x:c>
      <x:c r="O41" s="32" t="n">
        <x:v>3.99</x:v>
      </x:c>
      <x:c r="P41" s="24" t="str">
        <x:v>exact_sea_around_us</x:v>
      </x:c>
      <x:c r="Q41" s="32" t="str">
        <x:v>Sea Around Us exploited organisms</x:v>
      </x:c>
      <x:c r="R41" s="24" t="str">
        <x:v>high</x:v>
      </x:c>
      <x:c r="S41" s="24" t="str">
        <x:v>Berycidae</x:v>
      </x:c>
      <x:c r="T41" s="32" t="n">
        <x:f>IF(O41="","",(1/'Metadata'!$B$5)^(O41-1))</x:f>
        <x:v>977.2372209558112</x:v>
      </x:c>
      <x:c r="U41" s="31" t="n">
        <x:f>IF(T41="","",I41*T41)</x:f>
        <x:v>41233.81900530347</x:v>
      </x:c>
    </x:row>
    <x:row r="42" ht="18" customHeight="1">
      <x:c r="A42" s="24" t="str">
        <x:v>EEZ_132</x:v>
      </x:c>
      <x:c r="B42" s="24" t="str">
        <x:v>Cape Verde</x:v>
      </x:c>
      <x:c r="C42" s="24" t="str">
        <x:v>EEZ</x:v>
      </x:c>
      <x:c r="D42" s="30" t="n">
        <x:v>2019</x:v>
      </x:c>
      <x:c r="E42" s="24" t="str">
        <x:v>Chloroscombrus chrysurus</x:v>
      </x:c>
      <x:c r="F42" s="24" t="str">
        <x:v>Atlantic bumper</x:v>
      </x:c>
      <x:c r="G42" s="24" t="str">
        <x:v>Medium pelagics (30 - 89 cm)</x:v>
      </x:c>
      <x:c r="H42" s="24" t="str">
        <x:v>Perch-likes</x:v>
      </x:c>
      <x:c r="I42" s="31" t="n">
        <x:v>41.2899977421</x:v>
      </x:c>
      <x:c r="J42" s="31" t="n">
        <x:v>0</x:v>
      </x:c>
      <x:c r="K42" s="31" t="n">
        <x:v>41.2899977421</x:v>
      </x:c>
      <x:c r="L42" s="31" t="n">
        <x:v>0</x:v>
      </x:c>
      <x:c r="M42" s="31" t="n">
        <x:v>41.2899977421</x:v>
      </x:c>
      <x:c r="N42" s="24" t="str">
        <x:v>chloroscombrus chrysurus</x:v>
      </x:c>
      <x:c r="O42" s="32" t="n">
        <x:v>3.54</x:v>
      </x:c>
      <x:c r="P42" s="24" t="str">
        <x:v>exact_2020_supplement</x:v>
      </x:c>
      <x:c r="Q42" s="32" t="str">
        <x:v>2020 supplement MeanTL</x:v>
      </x:c>
      <x:c r="R42" s="24" t="str">
        <x:v>high</x:v>
      </x:c>
      <x:c r="S42" s="24" t="str">
        <x:v>Chloroscombrus chrysurus</x:v>
      </x:c>
      <x:c r="T42" s="32" t="n">
        <x:f>IF(O42="","",(1/'Metadata'!$B$5)^(O42-1))</x:f>
        <x:v>346.73685045253166</x:v>
      </x:c>
      <x:c r="U42" s="31" t="n">
        <x:f>IF(T42="","",I42*T42)</x:f>
        <x:v>14316.763772287897</x:v>
      </x:c>
    </x:row>
    <x:row r="43" ht="18" customHeight="1">
      <x:c r="A43" s="24" t="str">
        <x:v>EEZ_132</x:v>
      </x:c>
      <x:c r="B43" s="24" t="str">
        <x:v>Cape Verde</x:v>
      </x:c>
      <x:c r="C43" s="24" t="str">
        <x:v>EEZ</x:v>
      </x:c>
      <x:c r="D43" s="30" t="n">
        <x:v>2019</x:v>
      </x:c>
      <x:c r="E43" s="24" t="str">
        <x:v>Pseudupeneus prayensis</x:v>
      </x:c>
      <x:c r="F43" s="24" t="str">
        <x:v>West African goatfish</x:v>
      </x:c>
      <x:c r="G43" s="24" t="str">
        <x:v>Medium demersals (30 - 89 cm)</x:v>
      </x:c>
      <x:c r="H43" s="24" t="str">
        <x:v>Perch-likes</x:v>
      </x:c>
      <x:c r="I43" s="31" t="n">
        <x:v>41.077073868199996</x:v>
      </x:c>
      <x:c r="J43" s="31" t="n">
        <x:v>41.077073868199996</x:v>
      </x:c>
      <x:c r="K43" s="31" t="n">
        <x:v>0</x:v>
      </x:c>
      <x:c r="L43" s="31" t="n">
        <x:v>16.7500588521</x:v>
      </x:c>
      <x:c r="M43" s="31" t="n">
        <x:v>24.3270150161</x:v>
      </x:c>
      <x:c r="N43" s="24" t="str">
        <x:v>pseudupeneus prayensis</x:v>
      </x:c>
      <x:c r="O43" s="32" t="n">
        <x:v>3.24</x:v>
      </x:c>
      <x:c r="P43" s="24" t="str">
        <x:v>exact_2020_supplement</x:v>
      </x:c>
      <x:c r="Q43" s="32" t="str">
        <x:v>2020 supplement MeanTL</x:v>
      </x:c>
      <x:c r="R43" s="24" t="str">
        <x:v>high</x:v>
      </x:c>
      <x:c r="S43" s="24" t="str">
        <x:v>Pseudupeneus prayensis</x:v>
      </x:c>
      <x:c r="T43" s="32" t="n">
        <x:f>IF(O43="","",(1/'Metadata'!$B$5)^(O43-1))</x:f>
        <x:v>173.78008287493762</x:v>
      </x:c>
      <x:c r="U43" s="31" t="n">
        <x:f>IF(T43="","",I43*T43)</x:f>
        <x:v>7138.3773010757295</x:v>
      </x:c>
    </x:row>
    <x:row r="44" ht="18" customHeight="1">
      <x:c r="A44" s="24" t="str">
        <x:v>EEZ_132</x:v>
      </x:c>
      <x:c r="B44" s="24" t="str">
        <x:v>Cape Verde</x:v>
      </x:c>
      <x:c r="C44" s="24" t="str">
        <x:v>EEZ</x:v>
      </x:c>
      <x:c r="D44" s="30" t="n">
        <x:v>2019</x:v>
      </x:c>
      <x:c r="E44" s="24" t="str">
        <x:v>Lethrinus atlanticus</x:v>
      </x:c>
      <x:c r="F44" s="24" t="str">
        <x:v>Atlantic emperor</x:v>
      </x:c>
      <x:c r="G44" s="24" t="str">
        <x:v>Medium reef assoc. fish (30 - 89 cm)</x:v>
      </x:c>
      <x:c r="H44" s="24" t="str">
        <x:v>Perch-likes</x:v>
      </x:c>
      <x:c r="I44" s="31" t="n">
        <x:v>36.4427156423</x:v>
      </x:c>
      <x:c r="J44" s="31" t="n">
        <x:v>36.4427156423</x:v>
      </x:c>
      <x:c r="K44" s="31" t="n">
        <x:v>0</x:v>
      </x:c>
      <x:c r="L44" s="31" t="n">
        <x:v>15.580119163900001</x:v>
      </x:c>
      <x:c r="M44" s="31" t="n">
        <x:v>20.8625964784</x:v>
      </x:c>
      <x:c r="N44" s="24" t="str">
        <x:v>lethrinus atlanticus</x:v>
      </x:c>
      <x:c r="O44" s="32" t="n">
        <x:v>3.54</x:v>
      </x:c>
      <x:c r="P44" s="24" t="str">
        <x:v>exact_2020_supplement</x:v>
      </x:c>
      <x:c r="Q44" s="32" t="str">
        <x:v>2020 supplement MeanTL</x:v>
      </x:c>
      <x:c r="R44" s="24" t="str">
        <x:v>high</x:v>
      </x:c>
      <x:c r="S44" s="24" t="str">
        <x:v>Lethrinus atlanticus</x:v>
      </x:c>
      <x:c r="T44" s="32" t="n">
        <x:f>IF(O44="","",(1/'Metadata'!$B$5)^(O44-1))</x:f>
        <x:v>346.73685045253166</x:v>
      </x:c>
      <x:c r="U44" s="31" t="n">
        <x:f>IF(T44="","",I44*T44)</x:f>
        <x:v>12636.032443748312</x:v>
      </x:c>
    </x:row>
    <x:row r="45" ht="18" customHeight="1">
      <x:c r="A45" s="24" t="str">
        <x:v>EEZ_132</x:v>
      </x:c>
      <x:c r="B45" s="24" t="str">
        <x:v>Cape Verde</x:v>
      </x:c>
      <x:c r="C45" s="24" t="str">
        <x:v>EEZ</x:v>
      </x:c>
      <x:c r="D45" s="30" t="n">
        <x:v>2019</x:v>
      </x:c>
      <x:c r="E45" s="24" t="str">
        <x:v>Epinephelus goreensis</x:v>
      </x:c>
      <x:c r="F45" s="24" t="str">
        <x:v>Dungat grouper</x:v>
      </x:c>
      <x:c r="G45" s="24" t="str">
        <x:v>Large demersals (&gt;=90 cm)</x:v>
      </x:c>
      <x:c r="H45" s="24" t="str">
        <x:v>Perch-likes</x:v>
      </x:c>
      <x:c r="I45" s="31" t="n">
        <x:v>35.8435938629</x:v>
      </x:c>
      <x:c r="J45" s="31" t="n">
        <x:v>35.8435938629</x:v>
      </x:c>
      <x:c r="K45" s="31" t="n">
        <x:v>0</x:v>
      </x:c>
      <x:c r="L45" s="31" t="n">
        <x:v>35.8435938629</x:v>
      </x:c>
      <x:c r="M45" s="31" t="n">
        <x:v>0</x:v>
      </x:c>
      <x:c r="N45" s="24" t="str">
        <x:v>epinephelus goreensis</x:v>
      </x:c>
      <x:c r="O45" s="32" t="n">
        <x:v>3.94</x:v>
      </x:c>
      <x:c r="P45" s="24" t="str">
        <x:v>exact_2020_supplement</x:v>
      </x:c>
      <x:c r="Q45" s="32" t="str">
        <x:v>2020 supplement MeanTL</x:v>
      </x:c>
      <x:c r="R45" s="24" t="str">
        <x:v>high</x:v>
      </x:c>
      <x:c r="S45" s="24" t="str">
        <x:v>Epinephelus goreensis</x:v>
      </x:c>
      <x:c r="T45" s="32" t="n">
        <x:f>IF(O45="","",(1/'Metadata'!$B$5)^(O45-1))</x:f>
        <x:v>870.9635899560806</x:v>
      </x:c>
      <x:c r="U45" s="31" t="n">
        <x:f>IF(T45="","",I45*T45)</x:f>
        <x:v>31218.46518775912</x:v>
      </x:c>
    </x:row>
    <x:row r="46" ht="18" customHeight="1">
      <x:c r="A46" s="24" t="str">
        <x:v>EEZ_132</x:v>
      </x:c>
      <x:c r="B46" s="24" t="str">
        <x:v>Cape Verde</x:v>
      </x:c>
      <x:c r="C46" s="24" t="str">
        <x:v>EEZ</x:v>
      </x:c>
      <x:c r="D46" s="30" t="n">
        <x:v>2019</x:v>
      </x:c>
      <x:c r="E46" s="24" t="str">
        <x:v>Murex</x:v>
      </x:c>
      <x:c r="F46" s="24" t="str">
        <x:v>Murex shells</x:v>
      </x:c>
      <x:c r="G46" s="24" t="str">
        <x:v>Other demersal invertebrates</x:v>
      </x:c>
      <x:c r="H46" s="24" t="str">
        <x:v>Molluscs</x:v>
      </x:c>
      <x:c r="I46" s="31" t="n">
        <x:v>33.9973082041</x:v>
      </x:c>
      <x:c r="J46" s="31" t="n">
        <x:v>33.9973082041</x:v>
      </x:c>
      <x:c r="K46" s="31" t="n">
        <x:v>0</x:v>
      </x:c>
      <x:c r="L46" s="31" t="n">
        <x:v>33.9973082041</x:v>
      </x:c>
      <x:c r="M46" s="31" t="n">
        <x:v>0</x:v>
      </x:c>
      <x:c r="N46" s="24" t="str">
        <x:v>murex</x:v>
      </x:c>
      <x:c r="O46" s="32" t="n">
        <x:v>2</x:v>
      </x:c>
      <x:c r="P46" s="24" t="str">
        <x:v>exact_sea_around_us</x:v>
      </x:c>
      <x:c r="Q46" s="32" t="str">
        <x:v>Sea Around Us exploited organisms</x:v>
      </x:c>
      <x:c r="R46" s="24" t="str">
        <x:v>high</x:v>
      </x:c>
      <x:c r="S46" s="24" t="str">
        <x:v>Murex</x:v>
      </x:c>
      <x:c r="T46" s="32" t="n">
        <x:f>IF(O46="","",(1/'Metadata'!$B$5)^(O46-1))</x:f>
        <x:v>10</x:v>
      </x:c>
      <x:c r="U46" s="31" t="n">
        <x:f>IF(T46="","",I46*T46)</x:f>
        <x:v>339.973082041</x:v>
      </x:c>
    </x:row>
    <x:row r="47" ht="18" customHeight="1">
      <x:c r="A47" s="24" t="str">
        <x:v>EEZ_132</x:v>
      </x:c>
      <x:c r="B47" s="24" t="str">
        <x:v>Cape Verde</x:v>
      </x:c>
      <x:c r="C47" s="24" t="str">
        <x:v>EEZ</x:v>
      </x:c>
      <x:c r="D47" s="30" t="n">
        <x:v>2019</x:v>
      </x:c>
      <x:c r="E47" s="24" t="str">
        <x:v>Coryphaena hippurus</x:v>
      </x:c>
      <x:c r="F47" s="24" t="str">
        <x:v>Common dolphinfish</x:v>
      </x:c>
      <x:c r="G47" s="24" t="str">
        <x:v>Large pelagics (&gt;=90 cm)</x:v>
      </x:c>
      <x:c r="H47" s="24" t="str">
        <x:v>Perch-likes</x:v>
      </x:c>
      <x:c r="I47" s="31" t="n">
        <x:v>33.971190007</x:v>
      </x:c>
      <x:c r="J47" s="31" t="n">
        <x:v>33.971190007</x:v>
      </x:c>
      <x:c r="K47" s="31" t="n">
        <x:v>0</x:v>
      </x:c>
      <x:c r="L47" s="31" t="n">
        <x:v>33.971190007</x:v>
      </x:c>
      <x:c r="M47" s="31" t="n">
        <x:v>0</x:v>
      </x:c>
      <x:c r="N47" s="24" t="str">
        <x:v>coryphaena hippurus</x:v>
      </x:c>
      <x:c r="O47" s="32" t="n">
        <x:v>4.37</x:v>
      </x:c>
      <x:c r="P47" s="24" t="str">
        <x:v>exact_2020_supplement</x:v>
      </x:c>
      <x:c r="Q47" s="32" t="str">
        <x:v>2020 supplement MeanTL</x:v>
      </x:c>
      <x:c r="R47" s="24" t="str">
        <x:v>high</x:v>
      </x:c>
      <x:c r="S47" s="24" t="str">
        <x:v>Coryphaena hippurus</x:v>
      </x:c>
      <x:c r="T47" s="32" t="n">
        <x:f>IF(O47="","",(1/'Metadata'!$B$5)^(O47-1))</x:f>
        <x:v>2344.228815319923</x:v>
      </x:c>
      <x:c r="U47" s="31" t="n">
        <x:f>IF(T47="","",I47*T47)</x:f>
        <x:v>79636.24250511761</x:v>
      </x:c>
    </x:row>
    <x:row r="48" ht="18" customHeight="1">
      <x:c r="A48" s="24" t="str">
        <x:v>EEZ_132</x:v>
      </x:c>
      <x:c r="B48" s="24" t="str">
        <x:v>Cape Verde</x:v>
      </x:c>
      <x:c r="C48" s="24" t="str">
        <x:v>EEZ</x:v>
      </x:c>
      <x:c r="D48" s="30" t="n">
        <x:v>2019</x:v>
      </x:c>
      <x:c r="E48" s="24" t="str">
        <x:v>Marine pelagic fishes not identified</x:v>
      </x:c>
      <x:c r="F48" s="24" t="str">
        <x:v>Pelagic fishes</x:v>
      </x:c>
      <x:c r="G48" s="24" t="str">
        <x:v>Medium pelagics (30 - 89 cm)</x:v>
      </x:c>
      <x:c r="H48" s="24" t="str">
        <x:v>Other fishes &amp; inverts</x:v>
      </x:c>
      <x:c r="I48" s="31" t="n">
        <x:v>32.1052273094</x:v>
      </x:c>
      <x:c r="J48" s="31" t="n">
        <x:v>32.1052273094</x:v>
      </x:c>
      <x:c r="K48" s="31" t="n">
        <x:v>0</x:v>
      </x:c>
      <x:c r="L48" s="31" t="n">
        <x:v>32.1052273094</x:v>
      </x:c>
      <x:c r="M48" s="31" t="n">
        <x:v>0</x:v>
      </x:c>
      <x:c r="N48" s="24" t="str">
        <x:v>marine pelagic fishes not identified</x:v>
      </x:c>
      <x:c r="O48" s="32" t="n">
        <x:v>3.35</x:v>
      </x:c>
      <x:c r="P48" s="24" t="str">
        <x:v>exact_sea_around_us</x:v>
      </x:c>
      <x:c r="Q48" s="32" t="str">
        <x:v>Sea Around Us exploited organisms</x:v>
      </x:c>
      <x:c r="R48" s="24" t="str">
        <x:v>high</x:v>
      </x:c>
      <x:c r="S48" s="24" t="str">
        <x:v>Marine pelagic fishes not identified</x:v>
      </x:c>
      <x:c r="T48" s="32" t="n">
        <x:f>IF(O48="","",(1/'Metadata'!$B$5)^(O48-1))</x:f>
        <x:v>223.872113856834</x:v>
      </x:c>
      <x:c r="U48" s="31" t="n">
        <x:f>IF(T48="","",I48*T48)</x:f>
        <x:v>7187.465103609533</x:v>
      </x:c>
    </x:row>
    <x:row r="49" ht="18" customHeight="1">
      <x:c r="A49" s="24" t="str">
        <x:v>EEZ_132</x:v>
      </x:c>
      <x:c r="B49" s="24" t="str">
        <x:v>Cape Verde</x:v>
      </x:c>
      <x:c r="C49" s="24" t="str">
        <x:v>EEZ</x:v>
      </x:c>
      <x:c r="D49" s="30" t="n">
        <x:v>2019</x:v>
      </x:c>
      <x:c r="E49" s="24" t="str">
        <x:v>Caranx lugubris</x:v>
      </x:c>
      <x:c r="F49" s="24" t="str">
        <x:v>Black jack</x:v>
      </x:c>
      <x:c r="G49" s="24" t="str">
        <x:v>Large benthopelagics (&gt;=90 cm)</x:v>
      </x:c>
      <x:c r="H49" s="24" t="str">
        <x:v>Perch-likes</x:v>
      </x:c>
      <x:c r="I49" s="31" t="n">
        <x:v>31.9442652744</x:v>
      </x:c>
      <x:c r="J49" s="31" t="n">
        <x:v>31.9442652744</x:v>
      </x:c>
      <x:c r="K49" s="31" t="n">
        <x:v>0</x:v>
      </x:c>
      <x:c r="L49" s="31" t="n">
        <x:v>12.9473751007</x:v>
      </x:c>
      <x:c r="M49" s="31" t="n">
        <x:v>18.9968901737</x:v>
      </x:c>
      <x:c r="N49" s="24" t="str">
        <x:v>caranx lugubris</x:v>
      </x:c>
      <x:c r="O49" s="32" t="n">
        <x:v>4.5</x:v>
      </x:c>
      <x:c r="P49" s="24" t="str">
        <x:v>exact_2020_supplement</x:v>
      </x:c>
      <x:c r="Q49" s="32" t="str">
        <x:v>2020 supplement MeanTL</x:v>
      </x:c>
      <x:c r="R49" s="24" t="str">
        <x:v>high</x:v>
      </x:c>
      <x:c r="S49" s="24" t="str">
        <x:v>Caranx lugubris</x:v>
      </x:c>
      <x:c r="T49" s="32" t="n">
        <x:f>IF(O49="","",(1/'Metadata'!$B$5)^(O49-1))</x:f>
        <x:v>3162.2776601683795</x:v>
      </x:c>
      <x:c r="U49" s="31" t="n">
        <x:f>IF(T49="","",I49*T49)</x:f>
        <x:v>101016.63644772765</x:v>
      </x:c>
    </x:row>
    <x:row r="50" ht="18" customHeight="1">
      <x:c r="A50" s="24" t="str">
        <x:v>EEZ_132</x:v>
      </x:c>
      <x:c r="B50" s="24" t="str">
        <x:v>Cape Verde</x:v>
      </x:c>
      <x:c r="C50" s="24" t="str">
        <x:v>EEZ</x:v>
      </x:c>
      <x:c r="D50" s="30" t="n">
        <x:v>2019</x:v>
      </x:c>
      <x:c r="E50" s="24" t="str">
        <x:v>Selene dorsalis</x:v>
      </x:c>
      <x:c r="F50" s="24" t="str">
        <x:v>African moonfish</x:v>
      </x:c>
      <x:c r="G50" s="24" t="str">
        <x:v>Small demersals (&lt;30 cm)</x:v>
      </x:c>
      <x:c r="H50" s="24" t="str">
        <x:v>Perch-likes</x:v>
      </x:c>
      <x:c r="I50" s="31" t="n">
        <x:v>31.3583545466</x:v>
      </x:c>
      <x:c r="J50" s="31" t="n">
        <x:v>27.9011216996</x:v>
      </x:c>
      <x:c r="K50" s="31" t="n">
        <x:v>3.457232847</x:v>
      </x:c>
      <x:c r="L50" s="31" t="n">
        <x:v>9.0256607133</x:v>
      </x:c>
      <x:c r="M50" s="31" t="n">
        <x:v>22.3326938333</x:v>
      </x:c>
      <x:c r="N50" s="24" t="str">
        <x:v>selene dorsalis</x:v>
      </x:c>
      <x:c r="O50" s="32" t="n">
        <x:v>4.08</x:v>
      </x:c>
      <x:c r="P50" s="24" t="str">
        <x:v>exact_2020_supplement</x:v>
      </x:c>
      <x:c r="Q50" s="32" t="str">
        <x:v>2020 supplement MeanTL</x:v>
      </x:c>
      <x:c r="R50" s="24" t="str">
        <x:v>high</x:v>
      </x:c>
      <x:c r="S50" s="24" t="str">
        <x:v>Selene dorsalis</x:v>
      </x:c>
      <x:c r="T50" s="32" t="n">
        <x:f>IF(O50="","",(1/'Metadata'!$B$5)^(O50-1))</x:f>
        <x:v>1202.2644346174131</x:v>
      </x:c>
      <x:c r="U50" s="31" t="n">
        <x:f>IF(T50="","",I50*T50)</x:f>
        <x:v>37701.03439950044</x:v>
      </x:c>
    </x:row>
    <x:row r="51" ht="18" customHeight="1">
      <x:c r="A51" s="24" t="str">
        <x:v>EEZ_132</x:v>
      </x:c>
      <x:c r="B51" s="24" t="str">
        <x:v>Cape Verde</x:v>
      </x:c>
      <x:c r="C51" s="24" t="str">
        <x:v>EEZ</x:v>
      </x:c>
      <x:c r="D51" s="30" t="n">
        <x:v>2019</x:v>
      </x:c>
      <x:c r="E51" s="24" t="str">
        <x:v>Crassostrea</x:v>
      </x:c>
      <x:c r="F51" s="24" t="str">
        <x:v>Cupped oysters</x:v>
      </x:c>
      <x:c r="G51" s="24" t="str">
        <x:v>Other demersal invertebrates</x:v>
      </x:c>
      <x:c r="H51" s="24" t="str">
        <x:v>Molluscs</x:v>
      </x:c>
      <x:c r="I51" s="31" t="n">
        <x:v>31.322744129</x:v>
      </x:c>
      <x:c r="J51" s="31" t="n">
        <x:v>31.322744129</x:v>
      </x:c>
      <x:c r="K51" s="31" t="n">
        <x:v>0</x:v>
      </x:c>
      <x:c r="L51" s="31" t="n">
        <x:v>31.322744129</x:v>
      </x:c>
      <x:c r="M51" s="31" t="n">
        <x:v>0</x:v>
      </x:c>
      <x:c r="N51" s="24" t="str">
        <x:v>crassostrea</x:v>
      </x:c>
      <x:c r="O51" s="32" t="n">
        <x:v>2</x:v>
      </x:c>
      <x:c r="P51" s="24" t="str">
        <x:v>exact_sea_around_us</x:v>
      </x:c>
      <x:c r="Q51" s="32" t="str">
        <x:v>Sea Around Us exploited organisms</x:v>
      </x:c>
      <x:c r="R51" s="24" t="str">
        <x:v>high</x:v>
      </x:c>
      <x:c r="S51" s="24" t="str">
        <x:v>Crassostrea</x:v>
      </x:c>
      <x:c r="T51" s="32" t="n">
        <x:f>IF(O51="","",(1/'Metadata'!$B$5)^(O51-1))</x:f>
        <x:v>10</x:v>
      </x:c>
      <x:c r="U51" s="31" t="n">
        <x:f>IF(T51="","",I51*T51)</x:f>
        <x:v>313.22744129</x:v>
      </x:c>
    </x:row>
    <x:row r="52" ht="18" customHeight="1">
      <x:c r="A52" s="24" t="str">
        <x:v>EEZ_132</x:v>
      </x:c>
      <x:c r="B52" s="24" t="str">
        <x:v>Cape Verde</x:v>
      </x:c>
      <x:c r="C52" s="24" t="str">
        <x:v>EEZ</x:v>
      </x:c>
      <x:c r="D52" s="30" t="n">
        <x:v>2019</x:v>
      </x:c>
      <x:c r="E52" s="24" t="str">
        <x:v>Pseudotolithus</x:v>
      </x:c>
      <x:c r="F52" s="24" t="str">
        <x:v>African croakers</x:v>
      </x:c>
      <x:c r="G52" s="24" t="str">
        <x:v>Large demersals (&gt;=90 cm)</x:v>
      </x:c>
      <x:c r="H52" s="24" t="str">
        <x:v>Perch-likes</x:v>
      </x:c>
      <x:c r="I52" s="31" t="n">
        <x:v>24.2761422676</x:v>
      </x:c>
      <x:c r="J52" s="31" t="n">
        <x:v>0</x:v>
      </x:c>
      <x:c r="K52" s="31" t="n">
        <x:v>24.2761422676</x:v>
      </x:c>
      <x:c r="L52" s="31" t="n">
        <x:v>0</x:v>
      </x:c>
      <x:c r="M52" s="31" t="n">
        <x:v>24.2761422676</x:v>
      </x:c>
      <x:c r="N52" s="24" t="str">
        <x:v>pseudotolithus</x:v>
      </x:c>
      <x:c r="O52" s="32" t="n">
        <x:v>3.79</x:v>
      </x:c>
      <x:c r="P52" s="24" t="str">
        <x:v>exact_sea_around_us</x:v>
      </x:c>
      <x:c r="Q52" s="32" t="str">
        <x:v>Sea Around Us exploited organisms</x:v>
      </x:c>
      <x:c r="R52" s="24" t="str">
        <x:v>high</x:v>
      </x:c>
      <x:c r="S52" s="24" t="str">
        <x:v>Pseudotolithus</x:v>
      </x:c>
      <x:c r="T52" s="32" t="n">
        <x:f>IF(O52="","",(1/'Metadata'!$B$5)^(O52-1))</x:f>
        <x:v>616.5950018614822</x:v>
      </x:c>
      <x:c r="U52" s="31" t="n">
        <x:f>IF(T52="","",I52*T52)</x:f>
        <x:v>14968.547986680429</x:v>
      </x:c>
    </x:row>
    <x:row r="53" ht="18" customHeight="1">
      <x:c r="A53" s="24" t="str">
        <x:v>EEZ_132</x:v>
      </x:c>
      <x:c r="B53" s="24" t="str">
        <x:v>Cape Verde</x:v>
      </x:c>
      <x:c r="C53" s="24" t="str">
        <x:v>EEZ</x:v>
      </x:c>
      <x:c r="D53" s="30" t="n">
        <x:v>2019</x:v>
      </x:c>
      <x:c r="E53" s="24" t="str">
        <x:v>Trichiurus lepturus</x:v>
      </x:c>
      <x:c r="F53" s="24" t="str">
        <x:v>Largehead hairtail</x:v>
      </x:c>
      <x:c r="G53" s="24" t="str">
        <x:v>Large benthopelagics (&gt;=90 cm)</x:v>
      </x:c>
      <x:c r="H53" s="24" t="str">
        <x:v>Perch-likes</x:v>
      </x:c>
      <x:c r="I53" s="31" t="n">
        <x:v>21.8342136769</x:v>
      </x:c>
      <x:c r="J53" s="31" t="n">
        <x:v>0</x:v>
      </x:c>
      <x:c r="K53" s="31" t="n">
        <x:v>21.8342136769</x:v>
      </x:c>
      <x:c r="L53" s="31" t="n">
        <x:v>0</x:v>
      </x:c>
      <x:c r="M53" s="31" t="n">
        <x:v>21.8342136769</x:v>
      </x:c>
      <x:c r="N53" s="24" t="str">
        <x:v>trichiurus lepturus</x:v>
      </x:c>
      <x:c r="O53" s="32" t="n">
        <x:v>4.42</x:v>
      </x:c>
      <x:c r="P53" s="24" t="str">
        <x:v>exact_2020_supplement</x:v>
      </x:c>
      <x:c r="Q53" s="32" t="str">
        <x:v>2020 supplement MeanTL</x:v>
      </x:c>
      <x:c r="R53" s="24" t="str">
        <x:v>high</x:v>
      </x:c>
      <x:c r="S53" s="24" t="str">
        <x:v>Trichiurus lepturus</x:v>
      </x:c>
      <x:c r="T53" s="32" t="n">
        <x:f>IF(O53="","",(1/'Metadata'!$B$5)^(O53-1))</x:f>
        <x:v>2630.2679918953813</x:v>
      </x:c>
      <x:c r="U53" s="31" t="n">
        <x:f>IF(T53="","",I53*T53)</x:f>
        <x:v>57429.83336255443</x:v>
      </x:c>
    </x:row>
    <x:row r="54" ht="18" customHeight="1">
      <x:c r="A54" s="24" t="str">
        <x:v>EEZ_132</x:v>
      </x:c>
      <x:c r="B54" s="24" t="str">
        <x:v>Cape Verde</x:v>
      </x:c>
      <x:c r="C54" s="24" t="str">
        <x:v>EEZ</x:v>
      </x:c>
      <x:c r="D54" s="30" t="n">
        <x:v>2019</x:v>
      </x:c>
      <x:c r="E54" s="24" t="str">
        <x:v>Scorpaena</x:v>
      </x:c>
      <x:c r="F54" s="24" t="str">
        <x:v>Scorpionfishes</x:v>
      </x:c>
      <x:c r="G54" s="24" t="str">
        <x:v>Large reef assoc. fish (&gt;=90 cm)</x:v>
      </x:c>
      <x:c r="H54" s="24" t="str">
        <x:v>Scorpionfishes</x:v>
      </x:c>
      <x:c r="I54" s="31" t="n">
        <x:v>21.6598847995</x:v>
      </x:c>
      <x:c r="J54" s="31" t="n">
        <x:v>21.6598847995</x:v>
      </x:c>
      <x:c r="K54" s="31" t="n">
        <x:v>0</x:v>
      </x:c>
      <x:c r="L54" s="31" t="n">
        <x:v>9.2574226446</x:v>
      </x:c>
      <x:c r="M54" s="31" t="n">
        <x:v>12.4024621549</x:v>
      </x:c>
      <x:c r="N54" s="24" t="str">
        <x:v>scorpaena</x:v>
      </x:c>
      <x:c r="O54" s="32" t="n">
        <x:v>3.87</x:v>
      </x:c>
      <x:c r="P54" s="24" t="str">
        <x:v>exact_sea_around_us</x:v>
      </x:c>
      <x:c r="Q54" s="32" t="str">
        <x:v>Sea Around Us exploited organisms</x:v>
      </x:c>
      <x:c r="R54" s="24" t="str">
        <x:v>high</x:v>
      </x:c>
      <x:c r="S54" s="24" t="str">
        <x:v>Scorpaena</x:v>
      </x:c>
      <x:c r="T54" s="32" t="n">
        <x:f>IF(O54="","",(1/'Metadata'!$B$5)^(O54-1))</x:f>
        <x:v>741.3102413009177</x:v>
      </x:c>
      <x:c r="U54" s="31" t="n">
        <x:f>IF(T54="","",I54*T54)</x:f>
        <x:v>16056.694427267423</x:v>
      </x:c>
    </x:row>
    <x:row r="55" ht="18" customHeight="1">
      <x:c r="A55" s="24" t="str">
        <x:v>EEZ_132</x:v>
      </x:c>
      <x:c r="B55" s="24" t="str">
        <x:v>Cape Verde</x:v>
      </x:c>
      <x:c r="C55" s="24" t="str">
        <x:v>EEZ</x:v>
      </x:c>
      <x:c r="D55" s="30" t="n">
        <x:v>2019</x:v>
      </x:c>
      <x:c r="E55" s="24" t="str">
        <x:v>Orcynopsis unicolor</x:v>
      </x:c>
      <x:c r="F55" s="24" t="str">
        <x:v>Plain bonito</x:v>
      </x:c>
      <x:c r="G55" s="24" t="str">
        <x:v>Large pelagics (&gt;=90 cm)</x:v>
      </x:c>
      <x:c r="H55" s="24" t="str">
        <x:v>Tuna &amp; billfishes</x:v>
      </x:c>
      <x:c r="I55" s="31" t="n">
        <x:v>21.0799936453</x:v>
      </x:c>
      <x:c r="J55" s="31" t="n">
        <x:v>21.0799936453</x:v>
      </x:c>
      <x:c r="K55" s="31" t="n">
        <x:v>0</x:v>
      </x:c>
      <x:c r="L55" s="31" t="n">
        <x:v>21.0799936453</x:v>
      </x:c>
      <x:c r="M55" s="31" t="n">
        <x:v>0</x:v>
      </x:c>
      <x:c r="N55" s="24" t="str">
        <x:v>orcynopsis unicolor</x:v>
      </x:c>
      <x:c r="O55" s="32" t="n">
        <x:v>4.5</x:v>
      </x:c>
      <x:c r="P55" s="24" t="str">
        <x:v>exact_2020_supplement</x:v>
      </x:c>
      <x:c r="Q55" s="32" t="str">
        <x:v>2020 supplement MeanTL</x:v>
      </x:c>
      <x:c r="R55" s="24" t="str">
        <x:v>high</x:v>
      </x:c>
      <x:c r="S55" s="24" t="str">
        <x:v>Orcynopsis unicolor</x:v>
      </x:c>
      <x:c r="T55" s="32" t="n">
        <x:f>IF(O55="","",(1/'Metadata'!$B$5)^(O55-1))</x:f>
        <x:v>3162.2776601683795</x:v>
      </x:c>
      <x:c r="U55" s="31" t="n">
        <x:f>IF(T55="","",I55*T55)</x:f>
        <x:v>66660.7929810236</x:v>
      </x:c>
    </x:row>
    <x:row r="56" ht="18" customHeight="1">
      <x:c r="A56" s="24" t="str">
        <x:v>EEZ_132</x:v>
      </x:c>
      <x:c r="B56" s="24" t="str">
        <x:v>Cape Verde</x:v>
      </x:c>
      <x:c r="C56" s="24" t="str">
        <x:v>EEZ</x:v>
      </x:c>
      <x:c r="D56" s="30" t="n">
        <x:v>2019</x:v>
      </x:c>
      <x:c r="E56" s="24" t="str">
        <x:v>Elagatis bipinnulata</x:v>
      </x:c>
      <x:c r="F56" s="24" t="str">
        <x:v>Rainbow runner</x:v>
      </x:c>
      <x:c r="G56" s="24" t="str">
        <x:v>Large pelagics (&gt;=90 cm)</x:v>
      </x:c>
      <x:c r="H56" s="24" t="str">
        <x:v>Perch-likes</x:v>
      </x:c>
      <x:c r="I56" s="31" t="n">
        <x:v>16.0153868641</x:v>
      </x:c>
      <x:c r="J56" s="31" t="n">
        <x:v>16.0153868641</x:v>
      </x:c>
      <x:c r="K56" s="31" t="n">
        <x:v>0</x:v>
      </x:c>
      <x:c r="L56" s="31" t="n">
        <x:v>16.0153868641</x:v>
      </x:c>
      <x:c r="M56" s="31" t="n">
        <x:v>0</x:v>
      </x:c>
      <x:c r="N56" s="24" t="str">
        <x:v>elagatis bipinnulata</x:v>
      </x:c>
      <x:c r="O56" s="32" t="n">
        <x:v>4.27</x:v>
      </x:c>
      <x:c r="P56" s="24" t="str">
        <x:v>exact_2020_supplement</x:v>
      </x:c>
      <x:c r="Q56" s="32" t="str">
        <x:v>2020 supplement MeanTL</x:v>
      </x:c>
      <x:c r="R56" s="24" t="str">
        <x:v>high</x:v>
      </x:c>
      <x:c r="S56" s="24" t="str">
        <x:v>Elagatis bipinnulata</x:v>
      </x:c>
      <x:c r="T56" s="32" t="n">
        <x:f>IF(O56="","",(1/'Metadata'!$B$5)^(O56-1))</x:f>
        <x:v>1862.0871366628655</x:v>
      </x:c>
      <x:c r="U56" s="31" t="n">
        <x:f>IF(T56="","",I56*T56)</x:f>
        <x:v>29822.04586832004</x:v>
      </x:c>
    </x:row>
    <x:row r="57" ht="18" customHeight="1">
      <x:c r="A57" s="24" t="str">
        <x:v>EEZ_132</x:v>
      </x:c>
      <x:c r="B57" s="24" t="str">
        <x:v>Cape Verde</x:v>
      </x:c>
      <x:c r="C57" s="24" t="str">
        <x:v>EEZ</x:v>
      </x:c>
      <x:c r="D57" s="30" t="n">
        <x:v>2019</x:v>
      </x:c>
      <x:c r="E57" s="24" t="str">
        <x:v>Mycteroperca rubra</x:v>
      </x:c>
      <x:c r="F57" s="24" t="str">
        <x:v>Mottled grouper</x:v>
      </x:c>
      <x:c r="G57" s="24" t="str">
        <x:v>Large demersals (&gt;=90 cm)</x:v>
      </x:c>
      <x:c r="H57" s="24" t="str">
        <x:v>Perch-likes</x:v>
      </x:c>
      <x:c r="I57" s="31" t="n">
        <x:v>15.1679716857</x:v>
      </x:c>
      <x:c r="J57" s="31" t="n">
        <x:v>15.1679716857</x:v>
      </x:c>
      <x:c r="K57" s="31" t="n">
        <x:v>0</x:v>
      </x:c>
      <x:c r="L57" s="31" t="n">
        <x:v>6.226694072</x:v>
      </x:c>
      <x:c r="M57" s="31" t="n">
        <x:v>8.941277613699999</x:v>
      </x:c>
      <x:c r="N57" s="24" t="str">
        <x:v>mycteroperca rubra</x:v>
      </x:c>
      <x:c r="O57" s="32" t="n">
        <x:v>4.13</x:v>
      </x:c>
      <x:c r="P57" s="24" t="str">
        <x:v>exact_2020_supplement</x:v>
      </x:c>
      <x:c r="Q57" s="32" t="str">
        <x:v>2020 supplement MeanTL</x:v>
      </x:c>
      <x:c r="R57" s="24" t="str">
        <x:v>high</x:v>
      </x:c>
      <x:c r="S57" s="24" t="str">
        <x:v>Mycteroperca rubra</x:v>
      </x:c>
      <x:c r="T57" s="32" t="n">
        <x:f>IF(O57="","",(1/'Metadata'!$B$5)^(O57-1))</x:f>
        <x:v>1348.9628825916532</x:v>
      </x:c>
      <x:c r="U57" s="31" t="n">
        <x:f>IF(T57="","",I57*T57)</x:f>
        <x:v>20461.03080821045</x:v>
      </x:c>
    </x:row>
    <x:row r="58" ht="18" customHeight="1">
      <x:c r="A58" s="24" t="str">
        <x:v>EEZ_132</x:v>
      </x:c>
      <x:c r="B58" s="24" t="str">
        <x:v>Cape Verde</x:v>
      </x:c>
      <x:c r="C58" s="24" t="str">
        <x:v>EEZ</x:v>
      </x:c>
      <x:c r="D58" s="30" t="n">
        <x:v>2019</x:v>
      </x:c>
      <x:c r="E58" s="24" t="str">
        <x:v>Priacanthus arenatus</x:v>
      </x:c>
      <x:c r="F58" s="24" t="str">
        <x:v>Atlantic bigeye</x:v>
      </x:c>
      <x:c r="G58" s="24" t="str">
        <x:v>Medium reef assoc. fish (30 - 89 cm)</x:v>
      </x:c>
      <x:c r="H58" s="24" t="str">
        <x:v>Perch-likes</x:v>
      </x:c>
      <x:c r="I58" s="31" t="n">
        <x:v>14.7749235439</x:v>
      </x:c>
      <x:c r="J58" s="31" t="n">
        <x:v>14.7749235439</x:v>
      </x:c>
      <x:c r="K58" s="31" t="n">
        <x:v>0</x:v>
      </x:c>
      <x:c r="L58" s="31" t="n">
        <x:v>7.4999625244</x:v>
      </x:c>
      <x:c r="M58" s="31" t="n">
        <x:v>7.2749610195</x:v>
      </x:c>
      <x:c r="N58" s="24" t="str">
        <x:v>priacanthus arenatus</x:v>
      </x:c>
      <x:c r="O58" s="32" t="n">
        <x:v>4.04</x:v>
      </x:c>
      <x:c r="P58" s="24" t="str">
        <x:v>exact_2020_supplement</x:v>
      </x:c>
      <x:c r="Q58" s="32" t="str">
        <x:v>2020 supplement MeanTL</x:v>
      </x:c>
      <x:c r="R58" s="24" t="str">
        <x:v>high</x:v>
      </x:c>
      <x:c r="S58" s="24" t="str">
        <x:v>Priacanthus arenatus</x:v>
      </x:c>
      <x:c r="T58" s="32" t="n">
        <x:f>IF(O58="","",(1/'Metadata'!$B$5)^(O58-1))</x:f>
        <x:v>1096.4781961431852</x:v>
      </x:c>
      <x:c r="U58" s="31" t="n">
        <x:f>IF(T58="","",I58*T58)</x:f>
        <x:v>16200.381515568948</x:v>
      </x:c>
    </x:row>
    <x:row r="59" ht="18" customHeight="1">
      <x:c r="A59" s="24" t="str">
        <x:v>EEZ_132</x:v>
      </x:c>
      <x:c r="B59" s="24" t="str">
        <x:v>Cape Verde</x:v>
      </x:c>
      <x:c r="C59" s="24" t="str">
        <x:v>EEZ</x:v>
      </x:c>
      <x:c r="D59" s="30" t="n">
        <x:v>2019</x:v>
      </x:c>
      <x:c r="E59" s="24" t="str">
        <x:v>Sparidae</x:v>
      </x:c>
      <x:c r="F59" s="24" t="str">
        <x:v>Porgies, seabreams</x:v>
      </x:c>
      <x:c r="G59" s="24" t="str">
        <x:v>Medium benthopelagics (30 - 89 cm)</x:v>
      </x:c>
      <x:c r="H59" s="24" t="str">
        <x:v>Perch-likes</x:v>
      </x:c>
      <x:c r="I59" s="31" t="n">
        <x:v>11.942237478800001</x:v>
      </x:c>
      <x:c r="J59" s="31" t="n">
        <x:v>11.942237478800001</x:v>
      </x:c>
      <x:c r="K59" s="31" t="n">
        <x:v>0</x:v>
      </x:c>
      <x:c r="L59" s="31" t="n">
        <x:v>4.9583361264</x:v>
      </x:c>
      <x:c r="M59" s="31" t="n">
        <x:v>6.9839013524</x:v>
      </x:c>
      <x:c r="N59" s="24" t="str">
        <x:v>sparidae</x:v>
      </x:c>
      <x:c r="O59" s="32" t="n">
        <x:v>3.31</x:v>
      </x:c>
      <x:c r="P59" s="24" t="str">
        <x:v>exact_sea_around_us</x:v>
      </x:c>
      <x:c r="Q59" s="32" t="str">
        <x:v>Sea Around Us exploited organisms</x:v>
      </x:c>
      <x:c r="R59" s="24" t="str">
        <x:v>high</x:v>
      </x:c>
      <x:c r="S59" s="24" t="str">
        <x:v>Sparidae</x:v>
      </x:c>
      <x:c r="T59" s="32" t="n">
        <x:f>IF(O59="","",(1/'Metadata'!$B$5)^(O59-1))</x:f>
        <x:v>204.17379446695296</x:v>
      </x:c>
      <x:c r="U59" s="31" t="n">
        <x:f>IF(T59="","",I59*T59)</x:f>
        <x:v>2438.2919404720537</x:v>
      </x:c>
    </x:row>
    <x:row r="60" ht="18" customHeight="1">
      <x:c r="A60" s="24" t="str">
        <x:v>EEZ_132</x:v>
      </x:c>
      <x:c r="B60" s="24" t="str">
        <x:v>Cape Verde</x:v>
      </x:c>
      <x:c r="C60" s="24" t="str">
        <x:v>EEZ</x:v>
      </x:c>
      <x:c r="D60" s="30" t="n">
        <x:v>2019</x:v>
      </x:c>
      <x:c r="E60" s="24" t="str">
        <x:v>Balistidae</x:v>
      </x:c>
      <x:c r="F60" s="24" t="str">
        <x:v>Triggerfishes</x:v>
      </x:c>
      <x:c r="G60" s="24" t="str">
        <x:v>Medium reef assoc. fish (30 - 89 cm)</x:v>
      </x:c>
      <x:c r="H60" s="24" t="str">
        <x:v>Other fishes &amp; inverts</x:v>
      </x:c>
      <x:c r="I60" s="31" t="n">
        <x:v>10.7077101667</x:v>
      </x:c>
      <x:c r="J60" s="31" t="n">
        <x:v>10.7077101667</x:v>
      </x:c>
      <x:c r="K60" s="31" t="n">
        <x:v>0</x:v>
      </x:c>
      <x:c r="L60" s="31" t="n">
        <x:v>10.7077101667</x:v>
      </x:c>
      <x:c r="M60" s="31" t="n">
        <x:v>0</x:v>
      </x:c>
      <x:c r="N60" s="24" t="str">
        <x:v>balistidae</x:v>
      </x:c>
      <x:c r="O60" s="32" t="n">
        <x:v>3.25</x:v>
      </x:c>
      <x:c r="P60" s="24" t="str">
        <x:v>exact_sea_around_us</x:v>
      </x:c>
      <x:c r="Q60" s="32" t="str">
        <x:v>Sea Around Us exploited organisms</x:v>
      </x:c>
      <x:c r="R60" s="24" t="str">
        <x:v>high</x:v>
      </x:c>
      <x:c r="S60" s="24" t="str">
        <x:v>Balistidae</x:v>
      </x:c>
      <x:c r="T60" s="32" t="n">
        <x:f>IF(O60="","",(1/'Metadata'!$B$5)^(O60-1))</x:f>
        <x:v>177.82794100389228</x:v>
      </x:c>
      <x:c r="U60" s="31" t="n">
        <x:f>IF(T60="","",I60*T60)</x:f>
        <x:v>1904.1300518107053</x:v>
      </x:c>
    </x:row>
    <x:row r="61" ht="18" customHeight="1">
      <x:c r="A61" s="24" t="str">
        <x:v>EEZ_132</x:v>
      </x:c>
      <x:c r="B61" s="24" t="str">
        <x:v>Cape Verde</x:v>
      </x:c>
      <x:c r="C61" s="24" t="str">
        <x:v>EEZ</x:v>
      </x:c>
      <x:c r="D61" s="30" t="n">
        <x:v>2019</x:v>
      </x:c>
      <x:c r="E61" s="24" t="str">
        <x:v>Labridae</x:v>
      </x:c>
      <x:c r="F61" s="24" t="str">
        <x:v>Wrasses, gropers, tuskfishes</x:v>
      </x:c>
      <x:c r="G61" s="24" t="str">
        <x:v>Medium reef assoc. fish (30 - 89 cm)</x:v>
      </x:c>
      <x:c r="H61" s="24" t="str">
        <x:v>Perch-likes</x:v>
      </x:c>
      <x:c r="I61" s="31" t="n">
        <x:v>8.5206762994</x:v>
      </x:c>
      <x:c r="J61" s="31" t="n">
        <x:v>8.5206762994</x:v>
      </x:c>
      <x:c r="K61" s="31" t="n">
        <x:v>0</x:v>
      </x:c>
      <x:c r="L61" s="31" t="n">
        <x:v>3.5847031047</x:v>
      </x:c>
      <x:c r="M61" s="31" t="n">
        <x:v>4.9359731947</x:v>
      </x:c>
      <x:c r="N61" s="24" t="str">
        <x:v>labridae</x:v>
      </x:c>
      <x:c r="O61" s="32" t="n">
        <x:v>3.46</x:v>
      </x:c>
      <x:c r="P61" s="24" t="str">
        <x:v>exact_sea_around_us</x:v>
      </x:c>
      <x:c r="Q61" s="32" t="str">
        <x:v>Sea Around Us exploited organisms</x:v>
      </x:c>
      <x:c r="R61" s="24" t="str">
        <x:v>high</x:v>
      </x:c>
      <x:c r="S61" s="24" t="str">
        <x:v>Labridae</x:v>
      </x:c>
      <x:c r="T61" s="32" t="n">
        <x:f>IF(O61="","",(1/'Metadata'!$B$5)^(O61-1))</x:f>
        <x:v>288.40315031266056</x:v>
      </x:c>
      <x:c r="U61" s="31" t="n">
        <x:f>IF(T61="","",I61*T61)</x:f>
        <x:v>2457.3898875413824</x:v>
      </x:c>
    </x:row>
    <x:row r="62" ht="18" customHeight="1">
      <x:c r="A62" s="24" t="str">
        <x:v>EEZ_132</x:v>
      </x:c>
      <x:c r="B62" s="24" t="str">
        <x:v>Cape Verde</x:v>
      </x:c>
      <x:c r="C62" s="24" t="str">
        <x:v>EEZ</x:v>
      </x:c>
      <x:c r="D62" s="30" t="n">
        <x:v>2019</x:v>
      </x:c>
      <x:c r="E62" s="24" t="str">
        <x:v>Caranx hippos</x:v>
      </x:c>
      <x:c r="F62" s="24" t="str">
        <x:v>Crevalle jack</x:v>
      </x:c>
      <x:c r="G62" s="24" t="str">
        <x:v>Large reef assoc. fish (&gt;=90 cm)</x:v>
      </x:c>
      <x:c r="H62" s="24" t="str">
        <x:v>Perch-likes</x:v>
      </x:c>
      <x:c r="I62" s="31" t="n">
        <x:v>8.4171231919</x:v>
      </x:c>
      <x:c r="J62" s="31" t="n">
        <x:v>8.4171231919</x:v>
      </x:c>
      <x:c r="K62" s="31" t="n">
        <x:v>0</x:v>
      </x:c>
      <x:c r="L62" s="31" t="n">
        <x:v>8.4171231919</x:v>
      </x:c>
      <x:c r="M62" s="31" t="n">
        <x:v>0</x:v>
      </x:c>
      <x:c r="N62" s="24" t="str">
        <x:v>caranx hippos</x:v>
      </x:c>
      <x:c r="O62" s="32" t="n">
        <x:v>3.56</x:v>
      </x:c>
      <x:c r="P62" s="24" t="str">
        <x:v>exact_2020_supplement</x:v>
      </x:c>
      <x:c r="Q62" s="32" t="str">
        <x:v>2020 supplement MeanTL</x:v>
      </x:c>
      <x:c r="R62" s="24" t="str">
        <x:v>high</x:v>
      </x:c>
      <x:c r="S62" s="24" t="str">
        <x:v>Caranx hippos</x:v>
      </x:c>
      <x:c r="T62" s="32" t="n">
        <x:f>IF(O62="","",(1/'Metadata'!$B$5)^(O62-1))</x:f>
        <x:v>363.0780547701014</x:v>
      </x:c>
      <x:c r="U62" s="31" t="n">
        <x:f>IF(T62="","",I62*T62)</x:f>
        <x:v>3056.072715275359</x:v>
      </x:c>
    </x:row>
    <x:row r="63" ht="18" customHeight="1">
      <x:c r="A63" s="24" t="str">
        <x:v>EEZ_132</x:v>
      </x:c>
      <x:c r="B63" s="24" t="str">
        <x:v>Cape Verde</x:v>
      </x:c>
      <x:c r="C63" s="24" t="str">
        <x:v>EEZ</x:v>
      </x:c>
      <x:c r="D63" s="30" t="n">
        <x:v>2019</x:v>
      </x:c>
      <x:c r="E63" s="24" t="str">
        <x:v>Elasmobranchii</x:v>
      </x:c>
      <x:c r="F63" s="24" t="str">
        <x:v>Sharks, rays, skates</x:v>
      </x:c>
      <x:c r="G63" s="24" t="str">
        <x:v>Large sharks (&gt;=90 cm)</x:v>
      </x:c>
      <x:c r="H63" s="24" t="str">
        <x:v>Sharks &amp; rays</x:v>
      </x:c>
      <x:c r="I63" s="31" t="n">
        <x:v>7.0398568892</x:v>
      </x:c>
      <x:c r="J63" s="31" t="n">
        <x:v>7.0398568892</x:v>
      </x:c>
      <x:c r="K63" s="31" t="n">
        <x:v>0</x:v>
      </x:c>
      <x:c r="L63" s="31" t="n">
        <x:v>7.0398568892</x:v>
      </x:c>
      <x:c r="M63" s="31" t="n">
        <x:v>0</x:v>
      </x:c>
      <x:c r="N63" s="24" t="str">
        <x:v>elasmobranchii</x:v>
      </x:c>
      <x:c r="O63" s="32" t="n">
        <x:v>4.05</x:v>
      </x:c>
      <x:c r="P63" s="24" t="str">
        <x:v>exact_sea_around_us</x:v>
      </x:c>
      <x:c r="Q63" s="32" t="str">
        <x:v>Sea Around Us exploited organisms</x:v>
      </x:c>
      <x:c r="R63" s="24" t="str">
        <x:v>high</x:v>
      </x:c>
      <x:c r="S63" s="24" t="str">
        <x:v>Elasmobranchii</x:v>
      </x:c>
      <x:c r="T63" s="32" t="n">
        <x:f>IF(O63="","",(1/'Metadata'!$B$5)^(O63-1))</x:f>
        <x:v>1122.018454301963</x:v>
      </x:c>
      <x:c r="U63" s="31" t="n">
        <x:f>IF(T63="","",I63*T63)</x:f>
        <x:v>7898.849345327209</x:v>
      </x:c>
    </x:row>
    <x:row r="64" ht="18" customHeight="1">
      <x:c r="A64" s="24" t="str">
        <x:v>EEZ_132</x:v>
      </x:c>
      <x:c r="B64" s="24" t="str">
        <x:v>Cape Verde</x:v>
      </x:c>
      <x:c r="C64" s="24" t="str">
        <x:v>EEZ</x:v>
      </x:c>
      <x:c r="D64" s="30" t="n">
        <x:v>2019</x:v>
      </x:c>
      <x:c r="E64" s="24" t="str">
        <x:v>Istiophorus albicans</x:v>
      </x:c>
      <x:c r="F64" s="24" t="str">
        <x:v>Atlantic sailfish</x:v>
      </x:c>
      <x:c r="G64" s="24" t="str">
        <x:v>Large pelagics (&gt;=90 cm)</x:v>
      </x:c>
      <x:c r="H64" s="24" t="str">
        <x:v>Tuna &amp; billfishes</x:v>
      </x:c>
      <x:c r="I64" s="31" t="n">
        <x:v>6.369263656</x:v>
      </x:c>
      <x:c r="J64" s="31" t="n">
        <x:v>6.369263656</x:v>
      </x:c>
      <x:c r="K64" s="31" t="n">
        <x:v>0</x:v>
      </x:c>
      <x:c r="L64" s="31" t="n">
        <x:v>6.369263656</x:v>
      </x:c>
      <x:c r="M64" s="31" t="n">
        <x:v>0</x:v>
      </x:c>
      <x:c r="N64" s="24" t="str">
        <x:v>istiophorus albicans</x:v>
      </x:c>
      <x:c r="O64" s="32" t="n">
        <x:v>4.5</x:v>
      </x:c>
      <x:c r="P64" s="24" t="str">
        <x:v>exact_2020_supplement</x:v>
      </x:c>
      <x:c r="Q64" s="32" t="str">
        <x:v>2020 supplement MeanTL</x:v>
      </x:c>
      <x:c r="R64" s="24" t="str">
        <x:v>high</x:v>
      </x:c>
      <x:c r="S64" s="24" t="str">
        <x:v>Istiophorus albicans</x:v>
      </x:c>
      <x:c r="T64" s="32" t="n">
        <x:f>IF(O64="","",(1/'Metadata'!$B$5)^(O64-1))</x:f>
        <x:v>3162.2776601683795</x:v>
      </x:c>
      <x:c r="U64" s="31" t="n">
        <x:f>IF(T64="","",I64*T64)</x:f>
        <x:v>20141.38017109118</x:v>
      </x:c>
    </x:row>
    <x:row r="65" ht="18" customHeight="1">
      <x:c r="A65" s="24" t="str">
        <x:v>EEZ_132</x:v>
      </x:c>
      <x:c r="B65" s="24" t="str">
        <x:v>Cape Verde</x:v>
      </x:c>
      <x:c r="C65" s="24" t="str">
        <x:v>EEZ</x:v>
      </x:c>
      <x:c r="D65" s="30" t="n">
        <x:v>2019</x:v>
      </x:c>
      <x:c r="E65" s="24" t="str">
        <x:v>Scaridae</x:v>
      </x:c>
      <x:c r="F65" s="24" t="str">
        <x:v>Parrotfishes</x:v>
      </x:c>
      <x:c r="G65" s="24" t="str">
        <x:v>Medium reef assoc. fish (30 - 89 cm)</x:v>
      </x:c>
      <x:c r="H65" s="24" t="str">
        <x:v>Perch-likes</x:v>
      </x:c>
      <x:c r="I65" s="31" t="n">
        <x:v>6.075184385399999</x:v>
      </x:c>
      <x:c r="J65" s="31" t="n">
        <x:v>6.075184385399999</x:v>
      </x:c>
      <x:c r="K65" s="31" t="n">
        <x:v>0</x:v>
      </x:c>
      <x:c r="L65" s="31" t="n">
        <x:v>2.659892442</x:v>
      </x:c>
      <x:c r="M65" s="31" t="n">
        <x:v>3.4152919433999998</x:v>
      </x:c>
      <x:c r="N65" s="24" t="str">
        <x:v>scaridae</x:v>
      </x:c>
      <x:c r="O65" s="32" t="n">
        <x:v>2</x:v>
      </x:c>
      <x:c r="P65" s="24" t="str">
        <x:v>exact_sea_around_us</x:v>
      </x:c>
      <x:c r="Q65" s="32" t="str">
        <x:v>Sea Around Us exploited organisms</x:v>
      </x:c>
      <x:c r="R65" s="24" t="str">
        <x:v>high</x:v>
      </x:c>
      <x:c r="S65" s="24" t="str">
        <x:v>Scaridae</x:v>
      </x:c>
      <x:c r="T65" s="32" t="n">
        <x:f>IF(O65="","",(1/'Metadata'!$B$5)^(O65-1))</x:f>
        <x:v>10</x:v>
      </x:c>
      <x:c r="U65" s="31" t="n">
        <x:f>IF(T65="","",I65*T65)</x:f>
        <x:v>60.75184385399999</x:v>
      </x:c>
    </x:row>
    <x:row r="66" ht="18" customHeight="1">
      <x:c r="A66" s="24" t="str">
        <x:v>EEZ_132</x:v>
      </x:c>
      <x:c r="B66" s="24" t="str">
        <x:v>Cape Verde</x:v>
      </x:c>
      <x:c r="C66" s="24" t="str">
        <x:v>EEZ</x:v>
      </x:c>
      <x:c r="D66" s="30" t="n">
        <x:v>2019</x:v>
      </x:c>
      <x:c r="E66" s="24" t="str">
        <x:v>Serranus cabrilla</x:v>
      </x:c>
      <x:c r="F66" s="24" t="str">
        <x:v>Comber</x:v>
      </x:c>
      <x:c r="G66" s="24" t="str">
        <x:v>Medium bathydemersals (30 - 89 cm)</x:v>
      </x:c>
      <x:c r="H66" s="24" t="str">
        <x:v>Perch-likes</x:v>
      </x:c>
      <x:c r="I66" s="31" t="n">
        <x:v>5.4482047933</x:v>
      </x:c>
      <x:c r="J66" s="31" t="n">
        <x:v>5.4482047933</x:v>
      </x:c>
      <x:c r="K66" s="31" t="n">
        <x:v>0</x:v>
      </x:c>
      <x:c r="L66" s="31" t="n">
        <x:v>2.2610150982</x:v>
      </x:c>
      <x:c r="M66" s="31" t="n">
        <x:v>3.1871896951</x:v>
      </x:c>
      <x:c r="N66" s="24" t="str">
        <x:v>serranus cabrilla</x:v>
      </x:c>
      <x:c r="O66" s="32" t="n">
        <x:v>3.35</x:v>
      </x:c>
      <x:c r="P66" s="24" t="str">
        <x:v>exact_2020_supplement</x:v>
      </x:c>
      <x:c r="Q66" s="32" t="str">
        <x:v>2020 supplement MeanTL</x:v>
      </x:c>
      <x:c r="R66" s="24" t="str">
        <x:v>high</x:v>
      </x:c>
      <x:c r="S66" s="24" t="str">
        <x:v>Serranus cabrilla</x:v>
      </x:c>
      <x:c r="T66" s="32" t="n">
        <x:f>IF(O66="","",(1/'Metadata'!$B$5)^(O66-1))</x:f>
        <x:v>223.872113856834</x:v>
      </x:c>
      <x:c r="U66" s="31" t="n">
        <x:f>IF(T66="","",I66*T66)</x:f>
        <x:v>1219.7011238010064</x:v>
      </x:c>
    </x:row>
    <x:row r="67" ht="18" customHeight="1">
      <x:c r="A67" s="24" t="str">
        <x:v>EEZ_132</x:v>
      </x:c>
      <x:c r="B67" s="24" t="str">
        <x:v>Cape Verde</x:v>
      </x:c>
      <x:c r="C67" s="24" t="str">
        <x:v>EEZ</x:v>
      </x:c>
      <x:c r="D67" s="30" t="n">
        <x:v>2019</x:v>
      </x:c>
      <x:c r="E67" s="24" t="str">
        <x:v>Sepia</x:v>
      </x:c>
      <x:c r="F67" s="24" t="str">
        <x:v>Sepia cuttlefishes</x:v>
      </x:c>
      <x:c r="G67" s="24" t="str">
        <x:v>Cephalopods</x:v>
      </x:c>
      <x:c r="H67" s="24" t="str">
        <x:v>Other fishes &amp; inverts</x:v>
      </x:c>
      <x:c r="I67" s="31" t="n">
        <x:v>5.0489244025</x:v>
      </x:c>
      <x:c r="J67" s="31" t="n">
        <x:v>0</x:v>
      </x:c>
      <x:c r="K67" s="31" t="n">
        <x:v>5.0489244025</x:v>
      </x:c>
      <x:c r="L67" s="31" t="n">
        <x:v>0</x:v>
      </x:c>
      <x:c r="M67" s="31" t="n">
        <x:v>5.0489244025</x:v>
      </x:c>
      <x:c r="N67" s="24" t="str">
        <x:v>sepia</x:v>
      </x:c>
      <x:c r="O67" s="32" t="n">
        <x:v>3.69</x:v>
      </x:c>
      <x:c r="P67" s="24" t="str">
        <x:v>exact_sea_around_us</x:v>
      </x:c>
      <x:c r="Q67" s="32" t="str">
        <x:v>Sea Around Us exploited organisms</x:v>
      </x:c>
      <x:c r="R67" s="24" t="str">
        <x:v>high</x:v>
      </x:c>
      <x:c r="S67" s="24" t="str">
        <x:v>Sepia</x:v>
      </x:c>
      <x:c r="T67" s="32" t="n">
        <x:f>IF(O67="","",(1/'Metadata'!$B$5)^(O67-1))</x:f>
        <x:v>489.77881936844614</x:v>
      </x:c>
      <x:c r="U67" s="31" t="n">
        <x:f>IF(T67="","",I67*T67)</x:f>
        <x:v>2472.8562329369875</x:v>
      </x:c>
    </x:row>
    <x:row r="68" ht="18" customHeight="1">
      <x:c r="A68" s="24" t="str">
        <x:v>EEZ_132</x:v>
      </x:c>
      <x:c r="B68" s="24" t="str">
        <x:v>Cape Verde</x:v>
      </x:c>
      <x:c r="C68" s="24" t="str">
        <x:v>EEZ</x:v>
      </x:c>
      <x:c r="D68" s="30" t="n">
        <x:v>2019</x:v>
      </x:c>
      <x:c r="E68" s="24" t="str">
        <x:v>Isurus oxyrinchus</x:v>
      </x:c>
      <x:c r="F68" s="24" t="str">
        <x:v>Shortfin mako</x:v>
      </x:c>
      <x:c r="G68" s="24" t="str">
        <x:v>Large sharks (&gt;=90 cm)</x:v>
      </x:c>
      <x:c r="H68" s="24" t="str">
        <x:v>Sharks &amp; rays</x:v>
      </x:c>
      <x:c r="I68" s="31" t="n">
        <x:v>4.242008061200001</x:v>
      </x:c>
      <x:c r="J68" s="31" t="n">
        <x:v>4.242008061200001</x:v>
      </x:c>
      <x:c r="K68" s="31" t="n">
        <x:v>0</x:v>
      </x:c>
      <x:c r="L68" s="31" t="n">
        <x:v>4.242008061200001</x:v>
      </x:c>
      <x:c r="M68" s="31" t="n">
        <x:v>0</x:v>
      </x:c>
      <x:c r="N68" s="24" t="str">
        <x:v>isurus oxyrinchus</x:v>
      </x:c>
      <x:c r="O68" s="32" t="n">
        <x:v>4.5</x:v>
      </x:c>
      <x:c r="P68" s="24" t="str">
        <x:v>exact_2020_supplement</x:v>
      </x:c>
      <x:c r="Q68" s="32" t="str">
        <x:v>2020 supplement MeanTL</x:v>
      </x:c>
      <x:c r="R68" s="24" t="str">
        <x:v>high</x:v>
      </x:c>
      <x:c r="S68" s="24" t="str">
        <x:v>Isurus oxyrinchus</x:v>
      </x:c>
      <x:c r="T68" s="32" t="n">
        <x:f>IF(O68="","",(1/'Metadata'!$B$5)^(O68-1))</x:f>
        <x:v>3162.2776601683795</x:v>
      </x:c>
      <x:c r="U68" s="31" t="n">
        <x:f>IF(T68="","",I68*T68)</x:f>
        <x:v>13414.407326186943</x:v>
      </x:c>
    </x:row>
    <x:row r="69" ht="18" customHeight="1">
      <x:c r="A69" s="24" t="str">
        <x:v>EEZ_132</x:v>
      </x:c>
      <x:c r="B69" s="24" t="str">
        <x:v>Cape Verde</x:v>
      </x:c>
      <x:c r="C69" s="24" t="str">
        <x:v>EEZ</x:v>
      </x:c>
      <x:c r="D69" s="30" t="n">
        <x:v>2019</x:v>
      </x:c>
      <x:c r="E69" s="24" t="str">
        <x:v>Pseudotolithus senegallus</x:v>
      </x:c>
      <x:c r="F69" s="24" t="str">
        <x:v>Law croaker</x:v>
      </x:c>
      <x:c r="G69" s="24" t="str">
        <x:v>Large demersals (&gt;=90 cm)</x:v>
      </x:c>
      <x:c r="H69" s="24" t="str">
        <x:v>Perch-likes</x:v>
      </x:c>
      <x:c r="I69" s="31" t="n">
        <x:v>4.1952224236</x:v>
      </x:c>
      <x:c r="J69" s="31" t="n">
        <x:v>4.1952224236</x:v>
      </x:c>
      <x:c r="K69" s="31" t="n">
        <x:v>0</x:v>
      </x:c>
      <x:c r="L69" s="31" t="n">
        <x:v>4.1952224236</x:v>
      </x:c>
      <x:c r="M69" s="31" t="n">
        <x:v>0</x:v>
      </x:c>
      <x:c r="N69" s="24" t="str">
        <x:v>pseudotolithus senegallus</x:v>
      </x:c>
      <x:c r="O69" s="32" t="n">
        <x:v>3.89</x:v>
      </x:c>
      <x:c r="P69" s="24" t="str">
        <x:v>exact_2020_supplement</x:v>
      </x:c>
      <x:c r="Q69" s="32" t="str">
        <x:v>2020 supplement MeanTL</x:v>
      </x:c>
      <x:c r="R69" s="24" t="str">
        <x:v>high</x:v>
      </x:c>
      <x:c r="S69" s="24" t="str">
        <x:v>Pseudotolithus senegallus</x:v>
      </x:c>
      <x:c r="T69" s="32" t="n">
        <x:f>IF(O69="","",(1/'Metadata'!$B$5)^(O69-1))</x:f>
        <x:v>776.247116628692</x:v>
      </x:c>
      <x:c r="U69" s="31" t="n">
        <x:f>IF(T69="","",I69*T69)</x:f>
        <x:v>3256.5293099355326</x:v>
      </x:c>
    </x:row>
    <x:row r="70" ht="18" customHeight="1">
      <x:c r="A70" s="24" t="str">
        <x:v>EEZ_132</x:v>
      </x:c>
      <x:c r="B70" s="24" t="str">
        <x:v>Cape Verde</x:v>
      </x:c>
      <x:c r="C70" s="24" t="str">
        <x:v>EEZ</x:v>
      </x:c>
      <x:c r="D70" s="30" t="n">
        <x:v>2019</x:v>
      </x:c>
      <x:c r="E70" s="24" t="str">
        <x:v>Lepidocybium flavobrunneum</x:v>
      </x:c>
      <x:c r="F70" s="24" t="str">
        <x:v>Escolar</x:v>
      </x:c>
      <x:c r="G70" s="24" t="str">
        <x:v>Large bathypelagics (&gt;=90 cm)</x:v>
      </x:c>
      <x:c r="H70" s="24" t="str">
        <x:v>Perch-likes</x:v>
      </x:c>
      <x:c r="I70" s="31" t="n">
        <x:v>4.1127440414</x:v>
      </x:c>
      <x:c r="J70" s="31" t="n">
        <x:v>4.1127440414</x:v>
      </x:c>
      <x:c r="K70" s="31" t="n">
        <x:v>0</x:v>
      </x:c>
      <x:c r="L70" s="31" t="n">
        <x:v>4.1127440414</x:v>
      </x:c>
      <x:c r="M70" s="31" t="n">
        <x:v>0</x:v>
      </x:c>
      <x:c r="N70" s="24" t="str">
        <x:v>lepidocybium flavobrunneum</x:v>
      </x:c>
      <x:c r="O70" s="32" t="n">
        <x:v>4.34</x:v>
      </x:c>
      <x:c r="P70" s="24" t="str">
        <x:v>exact_2020_supplement</x:v>
      </x:c>
      <x:c r="Q70" s="32" t="str">
        <x:v>2020 supplement MeanTL</x:v>
      </x:c>
      <x:c r="R70" s="24" t="str">
        <x:v>high</x:v>
      </x:c>
      <x:c r="S70" s="24" t="str">
        <x:v>Lepidocybium flavobrunneum</x:v>
      </x:c>
      <x:c r="T70" s="32" t="n">
        <x:f>IF(O70="","",(1/'Metadata'!$B$5)^(O70-1))</x:f>
        <x:v>2187.761623949552</x:v>
      </x:c>
      <x:c r="U70" s="31" t="n">
        <x:f>IF(T70="","",I70*T70)</x:f>
        <x:v>8997.703582902108</x:v>
      </x:c>
    </x:row>
    <x:row r="71" ht="18" customHeight="1">
      <x:c r="A71" s="24" t="str">
        <x:v>EEZ_132</x:v>
      </x:c>
      <x:c r="B71" s="24" t="str">
        <x:v>Cape Verde</x:v>
      </x:c>
      <x:c r="C71" s="24" t="str">
        <x:v>EEZ</x:v>
      </x:c>
      <x:c r="D71" s="30" t="n">
        <x:v>2019</x:v>
      </x:c>
      <x:c r="E71" s="24" t="str">
        <x:v>Muraenidae</x:v>
      </x:c>
      <x:c r="F71" s="24" t="str">
        <x:v>Moray eels</x:v>
      </x:c>
      <x:c r="G71" s="24" t="str">
        <x:v>Large reef assoc. fish (&gt;=90 cm)</x:v>
      </x:c>
      <x:c r="H71" s="24" t="str">
        <x:v>Other fishes &amp; inverts</x:v>
      </x:c>
      <x:c r="I71" s="31" t="n">
        <x:v>3.8834785574</x:v>
      </x:c>
      <x:c r="J71" s="31" t="n">
        <x:v>3.8834785574</x:v>
      </x:c>
      <x:c r="K71" s="31" t="n">
        <x:v>0</x:v>
      </x:c>
      <x:c r="L71" s="31" t="n">
        <x:v>3.8834785574</x:v>
      </x:c>
      <x:c r="M71" s="31" t="n">
        <x:v>0</x:v>
      </x:c>
      <x:c r="N71" s="24" t="str">
        <x:v>muraenidae</x:v>
      </x:c>
      <x:c r="O71" s="32" t="n">
        <x:v>4.07</x:v>
      </x:c>
      <x:c r="P71" s="24" t="str">
        <x:v>exact_sea_around_us</x:v>
      </x:c>
      <x:c r="Q71" s="32" t="str">
        <x:v>Sea Around Us exploited organisms</x:v>
      </x:c>
      <x:c r="R71" s="24" t="str">
        <x:v>high</x:v>
      </x:c>
      <x:c r="S71" s="24" t="str">
        <x:v>Muraenidae</x:v>
      </x:c>
      <x:c r="T71" s="32" t="n">
        <x:f>IF(O71="","",(1/'Metadata'!$B$5)^(O71-1))</x:f>
        <x:v>1174.8975549395302</x:v>
      </x:c>
      <x:c r="U71" s="31" t="n">
        <x:f>IF(T71="","",I71*T71)</x:f>
        <x:v>4562.689461749354</x:v>
      </x:c>
    </x:row>
    <x:row r="72" ht="18" customHeight="1">
      <x:c r="A72" s="24" t="str">
        <x:v>EEZ_132</x:v>
      </x:c>
      <x:c r="B72" s="24" t="str">
        <x:v>Cape Verde</x:v>
      </x:c>
      <x:c r="C72" s="24" t="str">
        <x:v>EEZ</x:v>
      </x:c>
      <x:c r="D72" s="30" t="n">
        <x:v>2019</x:v>
      </x:c>
      <x:c r="E72" s="24" t="str">
        <x:v>Sarda</x:v>
      </x:c>
      <x:c r="F72" s="24" t="str">
        <x:v>Bonitos</x:v>
      </x:c>
      <x:c r="G72" s="24" t="str">
        <x:v>Large pelagics (&gt;=90 cm)</x:v>
      </x:c>
      <x:c r="H72" s="24" t="str">
        <x:v>Tuna &amp; billfishes</x:v>
      </x:c>
      <x:c r="I72" s="31" t="n">
        <x:v>3.3730124328</x:v>
      </x:c>
      <x:c r="J72" s="31" t="n">
        <x:v>3.3730124328</x:v>
      </x:c>
      <x:c r="K72" s="31" t="n">
        <x:v>0</x:v>
      </x:c>
      <x:c r="L72" s="31" t="n">
        <x:v>3.3730124328</x:v>
      </x:c>
      <x:c r="M72" s="31" t="n">
        <x:v>0</x:v>
      </x:c>
      <x:c r="N72" s="24" t="str">
        <x:v>sarda</x:v>
      </x:c>
      <x:c r="O72" s="32" t="n">
        <x:v>4.37</x:v>
      </x:c>
      <x:c r="P72" s="24" t="str">
        <x:v>exact_sea_around_us</x:v>
      </x:c>
      <x:c r="Q72" s="32" t="str">
        <x:v>Sea Around Us exploited organisms</x:v>
      </x:c>
      <x:c r="R72" s="24" t="str">
        <x:v>high</x:v>
      </x:c>
      <x:c r="S72" s="24" t="str">
        <x:v>Sarda</x:v>
      </x:c>
      <x:c r="T72" s="32" t="n">
        <x:f>IF(O72="","",(1/'Metadata'!$B$5)^(O72-1))</x:f>
        <x:v>2344.228815319923</x:v>
      </x:c>
      <x:c r="U72" s="31" t="n">
        <x:f>IF(T72="","",I72*T72)</x:f>
        <x:v>7907.1129394021145</x:v>
      </x:c>
    </x:row>
    <x:row r="73" ht="18" customHeight="1">
      <x:c r="A73" s="24" t="str">
        <x:v>EEZ_132</x:v>
      </x:c>
      <x:c r="B73" s="24" t="str">
        <x:v>Cape Verde</x:v>
      </x:c>
      <x:c r="C73" s="24" t="str">
        <x:v>EEZ</x:v>
      </x:c>
      <x:c r="D73" s="30" t="n">
        <x:v>2019</x:v>
      </x:c>
      <x:c r="E73" s="24" t="str">
        <x:v>Dicentrarchus punctatus</x:v>
      </x:c>
      <x:c r="F73" s="24" t="str">
        <x:v>Spotted seabass</x:v>
      </x:c>
      <x:c r="G73" s="24" t="str">
        <x:v>Medium pelagics (30 - 89 cm)</x:v>
      </x:c>
      <x:c r="H73" s="24" t="str">
        <x:v>Perch-likes</x:v>
      </x:c>
      <x:c r="I73" s="31" t="n">
        <x:v>3.0412579454</x:v>
      </x:c>
      <x:c r="J73" s="31" t="n">
        <x:v>3.0412579454</x:v>
      </x:c>
      <x:c r="K73" s="31" t="n">
        <x:v>0</x:v>
      </x:c>
      <x:c r="L73" s="31" t="n">
        <x:v>3.0412579454</x:v>
      </x:c>
      <x:c r="M73" s="31" t="n">
        <x:v>0</x:v>
      </x:c>
      <x:c r="N73" s="24" t="str">
        <x:v>dicentrarchus punctatus</x:v>
      </x:c>
      <x:c r="O73" s="32" t="n">
        <x:v>3.94</x:v>
      </x:c>
      <x:c r="P73" s="24" t="str">
        <x:v>exact_2020_supplement</x:v>
      </x:c>
      <x:c r="Q73" s="32" t="str">
        <x:v>2020 supplement MeanTL</x:v>
      </x:c>
      <x:c r="R73" s="24" t="str">
        <x:v>high</x:v>
      </x:c>
      <x:c r="S73" s="24" t="str">
        <x:v>Dicentrarchus punctatus</x:v>
      </x:c>
      <x:c r="T73" s="32" t="n">
        <x:f>IF(O73="","",(1/'Metadata'!$B$5)^(O73-1))</x:f>
        <x:v>870.9635899560806</x:v>
      </x:c>
      <x:c r="U73" s="31" t="n">
        <x:f>IF(T73="","",I73*T73)</x:f>
        <x:v>2648.8249381080377</x:v>
      </x:c>
    </x:row>
    <x:row r="74" ht="18" customHeight="1">
      <x:c r="A74" s="24" t="str">
        <x:v>EEZ_132</x:v>
      </x:c>
      <x:c r="B74" s="24" t="str">
        <x:v>Cape Verde</x:v>
      </x:c>
      <x:c r="C74" s="24" t="str">
        <x:v>EEZ</x:v>
      </x:c>
      <x:c r="D74" s="30" t="n">
        <x:v>2019</x:v>
      </x:c>
      <x:c r="E74" s="24" t="str">
        <x:v>Trachurus picturatus</x:v>
      </x:c>
      <x:c r="F74" s="24" t="str">
        <x:v>Blue jack mackerel</x:v>
      </x:c>
      <x:c r="G74" s="24" t="str">
        <x:v>Medium benthopelagics (30 - 89 cm)</x:v>
      </x:c>
      <x:c r="H74" s="24" t="str">
        <x:v>Perch-likes</x:v>
      </x:c>
      <x:c r="I74" s="31" t="n">
        <x:v>2.3979480503</x:v>
      </x:c>
      <x:c r="J74" s="31" t="n">
        <x:v>2.3979480503</x:v>
      </x:c>
      <x:c r="K74" s="31" t="n">
        <x:v>0</x:v>
      </x:c>
      <x:c r="L74" s="31" t="n">
        <x:v>2.3979480503</x:v>
      </x:c>
      <x:c r="M74" s="31" t="n">
        <x:v>0</x:v>
      </x:c>
      <x:c r="N74" s="24" t="str">
        <x:v>trachurus picturatus</x:v>
      </x:c>
      <x:c r="O74" s="32" t="n">
        <x:v>3.32</x:v>
      </x:c>
      <x:c r="P74" s="24" t="str">
        <x:v>exact_2020_supplement</x:v>
      </x:c>
      <x:c r="Q74" s="32" t="str">
        <x:v>2020 supplement MeanTL</x:v>
      </x:c>
      <x:c r="R74" s="24" t="str">
        <x:v>high</x:v>
      </x:c>
      <x:c r="S74" s="24" t="str">
        <x:v>Trachurus picturatus</x:v>
      </x:c>
      <x:c r="T74" s="32" t="n">
        <x:f>IF(O74="","",(1/'Metadata'!$B$5)^(O74-1))</x:f>
        <x:v>208.92961308540387</x:v>
      </x:c>
      <x:c r="U74" s="31" t="n">
        <x:f>IF(T74="","",I74*T74)</x:f>
        <x:v>501.0023583480776</x:v>
      </x:c>
    </x:row>
    <x:row r="75" ht="18" customHeight="1">
      <x:c r="A75" s="24" t="str">
        <x:v>EEZ_132</x:v>
      </x:c>
      <x:c r="B75" s="24" t="str">
        <x:v>Cape Verde</x:v>
      </x:c>
      <x:c r="C75" s="24" t="str">
        <x:v>EEZ</x:v>
      </x:c>
      <x:c r="D75" s="30" t="n">
        <x:v>2019</x:v>
      </x:c>
      <x:c r="E75" s="24" t="str">
        <x:v>Sphyraena barracuda</x:v>
      </x:c>
      <x:c r="F75" s="24" t="str">
        <x:v>Great barracuda</x:v>
      </x:c>
      <x:c r="G75" s="24" t="str">
        <x:v>Large pelagics (&gt;=90 cm)</x:v>
      </x:c>
      <x:c r="H75" s="24" t="str">
        <x:v>Perch-likes</x:v>
      </x:c>
      <x:c r="I75" s="31" t="n">
        <x:v>2.1269597619000002</x:v>
      </x:c>
      <x:c r="J75" s="31" t="n">
        <x:v>2.1269597619000002</x:v>
      </x:c>
      <x:c r="K75" s="31" t="n">
        <x:v>0</x:v>
      </x:c>
      <x:c r="L75" s="31" t="n">
        <x:v>2.1269597619000002</x:v>
      </x:c>
      <x:c r="M75" s="31" t="n">
        <x:v>0</x:v>
      </x:c>
      <x:c r="N75" s="24" t="str">
        <x:v>sphyraena barracuda</x:v>
      </x:c>
      <x:c r="O75" s="32" t="n">
        <x:v>4.49</x:v>
      </x:c>
      <x:c r="P75" s="24" t="str">
        <x:v>exact_2020_supplement</x:v>
      </x:c>
      <x:c r="Q75" s="32" t="str">
        <x:v>2020 supplement MeanTL</x:v>
      </x:c>
      <x:c r="R75" s="24" t="str">
        <x:v>high</x:v>
      </x:c>
      <x:c r="S75" s="24" t="str">
        <x:v>Sphyraena barracuda</x:v>
      </x:c>
      <x:c r="T75" s="32" t="n">
        <x:f>IF(O75="","",(1/'Metadata'!$B$5)^(O75-1))</x:f>
        <x:v>3090.295432513592</x:v>
      </x:c>
      <x:c r="U75" s="31" t="n">
        <x:f>IF(T75="","",I75*T75)</x:f>
        <x:v>6572.934037339768</x:v>
      </x:c>
    </x:row>
    <x:row r="76" ht="18" customHeight="1">
      <x:c r="A76" s="24" t="str">
        <x:v>EEZ_132</x:v>
      </x:c>
      <x:c r="B76" s="24" t="str">
        <x:v>Cape Verde</x:v>
      </x:c>
      <x:c r="C76" s="24" t="str">
        <x:v>EEZ</x:v>
      </x:c>
      <x:c r="D76" s="30" t="n">
        <x:v>2019</x:v>
      </x:c>
      <x:c r="E76" s="24" t="str">
        <x:v>Makaira nigricans</x:v>
      </x:c>
      <x:c r="F76" s="24" t="str">
        <x:v>Blue marlin</x:v>
      </x:c>
      <x:c r="G76" s="24" t="str">
        <x:v>Large pelagics (&gt;=90 cm)</x:v>
      </x:c>
      <x:c r="H76" s="24" t="str">
        <x:v>Tuna &amp; billfishes</x:v>
      </x:c>
      <x:c r="I76" s="31" t="n">
        <x:v>1.6759625019</x:v>
      </x:c>
      <x:c r="J76" s="31" t="n">
        <x:v>1.6759625019</x:v>
      </x:c>
      <x:c r="K76" s="31" t="n">
        <x:v>0</x:v>
      </x:c>
      <x:c r="L76" s="31" t="n">
        <x:v>1.6759625019</x:v>
      </x:c>
      <x:c r="M76" s="31" t="n">
        <x:v>0</x:v>
      </x:c>
      <x:c r="N76" s="24" t="str">
        <x:v>makaira nigricans</x:v>
      </x:c>
      <x:c r="O76" s="32" t="n">
        <x:v>4.49</x:v>
      </x:c>
      <x:c r="P76" s="24" t="str">
        <x:v>exact_2020_supplement</x:v>
      </x:c>
      <x:c r="Q76" s="32" t="str">
        <x:v>2020 supplement MeanTL</x:v>
      </x:c>
      <x:c r="R76" s="24" t="str">
        <x:v>high</x:v>
      </x:c>
      <x:c r="S76" s="24" t="str">
        <x:v>Makaira nigricans</x:v>
      </x:c>
      <x:c r="T76" s="32" t="n">
        <x:f>IF(O76="","",(1/'Metadata'!$B$5)^(O76-1))</x:f>
        <x:v>3090.295432513592</x:v>
      </x:c>
      <x:c r="U76" s="31" t="n">
        <x:f>IF(T76="","",I76*T76)</x:f>
        <x:v>5179.219264685622</x:v>
      </x:c>
    </x:row>
    <x:row r="77" ht="18" customHeight="1">
      <x:c r="A77" s="24" t="str">
        <x:v>EEZ_132</x:v>
      </x:c>
      <x:c r="B77" s="24" t="str">
        <x:v>Cape Verde</x:v>
      </x:c>
      <x:c r="C77" s="24" t="str">
        <x:v>EEZ</x:v>
      </x:c>
      <x:c r="D77" s="30" t="n">
        <x:v>2019</x:v>
      </x:c>
      <x:c r="E77" s="24" t="str">
        <x:v>Thunnus alalunga</x:v>
      </x:c>
      <x:c r="F77" s="24" t="str">
        <x:v>Albacore</x:v>
      </x:c>
      <x:c r="G77" s="24" t="str">
        <x:v>Large pelagics (&gt;=90 cm)</x:v>
      </x:c>
      <x:c r="H77" s="24" t="str">
        <x:v>Tuna &amp; billfishes</x:v>
      </x:c>
      <x:c r="I77" s="31" t="n">
        <x:v>1.667548134</x:v>
      </x:c>
      <x:c r="J77" s="31" t="n">
        <x:v>1.667548134</x:v>
      </x:c>
      <x:c r="K77" s="31" t="n">
        <x:v>0</x:v>
      </x:c>
      <x:c r="L77" s="31" t="n">
        <x:v>1.667548134</x:v>
      </x:c>
      <x:c r="M77" s="31" t="n">
        <x:v>0</x:v>
      </x:c>
      <x:c r="N77" s="24" t="str">
        <x:v>thunnus alalunga</x:v>
      </x:c>
      <x:c r="O77" s="32" t="n">
        <x:v>4.3</x:v>
      </x:c>
      <x:c r="P77" s="24" t="str">
        <x:v>exact_2020_supplement</x:v>
      </x:c>
      <x:c r="Q77" s="32" t="str">
        <x:v>2020 supplement MeanTL</x:v>
      </x:c>
      <x:c r="R77" s="24" t="str">
        <x:v>high</x:v>
      </x:c>
      <x:c r="S77" s="24" t="str">
        <x:v>Thunnus alalunga</x:v>
      </x:c>
      <x:c r="T77" s="32" t="n">
        <x:f>IF(O77="","",(1/'Metadata'!$B$5)^(O77-1))</x:f>
        <x:v>1995.2623149688789</x:v>
      </x:c>
      <x:c r="U77" s="31" t="n">
        <x:f>IF(T77="","",I77*T77)</x:f>
        <x:v>3327.1959501668744</x:v>
      </x:c>
    </x:row>
    <x:row r="78" ht="18" customHeight="1">
      <x:c r="A78" s="24" t="str">
        <x:v>EEZ_132</x:v>
      </x:c>
      <x:c r="B78" s="24" t="str">
        <x:v>Cape Verde</x:v>
      </x:c>
      <x:c r="C78" s="24" t="str">
        <x:v>EEZ</x:v>
      </x:c>
      <x:c r="D78" s="30" t="n">
        <x:v>2019</x:v>
      </x:c>
      <x:c r="E78" s="24" t="str">
        <x:v>Sphyraena guachancho</x:v>
      </x:c>
      <x:c r="F78" s="24" t="str">
        <x:v>Guachanche barracuda</x:v>
      </x:c>
      <x:c r="G78" s="24" t="str">
        <x:v>Large pelagics (&gt;=90 cm)</x:v>
      </x:c>
      <x:c r="H78" s="24" t="str">
        <x:v>Perch-likes</x:v>
      </x:c>
      <x:c r="I78" s="31" t="n">
        <x:v>1.2186712266</x:v>
      </x:c>
      <x:c r="J78" s="31" t="n">
        <x:v>1.2186712266</x:v>
      </x:c>
      <x:c r="K78" s="31" t="n">
        <x:v>0</x:v>
      </x:c>
      <x:c r="L78" s="31" t="n">
        <x:v>1.2186712266</x:v>
      </x:c>
      <x:c r="M78" s="31" t="n">
        <x:v>0</x:v>
      </x:c>
      <x:c r="N78" s="24" t="str">
        <x:v>sphyraena guachancho</x:v>
      </x:c>
      <x:c r="O78" s="32" t="n">
        <x:v>4.35</x:v>
      </x:c>
      <x:c r="P78" s="24" t="str">
        <x:v>exact_2020_supplement</x:v>
      </x:c>
      <x:c r="Q78" s="32" t="str">
        <x:v>2020 supplement MeanTL</x:v>
      </x:c>
      <x:c r="R78" s="24" t="str">
        <x:v>high</x:v>
      </x:c>
      <x:c r="S78" s="24" t="str">
        <x:v>Sphyraena guachancho</x:v>
      </x:c>
      <x:c r="T78" s="32" t="n">
        <x:f>IF(O78="","",(1/'Metadata'!$B$5)^(O78-1))</x:f>
        <x:v>2238.7211385683377</x:v>
      </x:c>
      <x:c r="U78" s="31" t="n">
        <x:f>IF(T78="","",I78*T78)</x:f>
        <x:v>2728.2650359544245</x:v>
      </x:c>
    </x:row>
    <x:row r="79" ht="18" customHeight="1">
      <x:c r="A79" s="24" t="str">
        <x:v>EEZ_132</x:v>
      </x:c>
      <x:c r="B79" s="24" t="str">
        <x:v>Cape Verde</x:v>
      </x:c>
      <x:c r="C79" s="24" t="str">
        <x:v>EEZ</x:v>
      </x:c>
      <x:c r="D79" s="30" t="n">
        <x:v>2019</x:v>
      </x:c>
      <x:c r="E79" s="24" t="str">
        <x:v>Mollusca</x:v>
      </x:c>
      <x:c r="F79" s="24" t="str">
        <x:v>Clams, seasnails, squids, octopuses</x:v>
      </x:c>
      <x:c r="G79" s="24" t="str">
        <x:v>Other demersal invertebrates</x:v>
      </x:c>
      <x:c r="H79" s="24" t="str">
        <x:v>Molluscs</x:v>
      </x:c>
      <x:c r="I79" s="31" t="n">
        <x:v>1.2043568748</x:v>
      </x:c>
      <x:c r="J79" s="31" t="n">
        <x:v>1.2043568748</x:v>
      </x:c>
      <x:c r="K79" s="31" t="n">
        <x:v>0</x:v>
      </x:c>
      <x:c r="L79" s="31" t="n">
        <x:v>1.2043568748</x:v>
      </x:c>
      <x:c r="M79" s="31" t="n">
        <x:v>0</x:v>
      </x:c>
      <x:c r="N79" s="24" t="str">
        <x:v>mollusca</x:v>
      </x:c>
      <x:c r="O79" s="32" t="n">
        <x:v>2.1</x:v>
      </x:c>
      <x:c r="P79" s="24" t="str">
        <x:v>exact_sea_around_us</x:v>
      </x:c>
      <x:c r="Q79" s="32" t="str">
        <x:v>Sea Around Us exploited organisms</x:v>
      </x:c>
      <x:c r="R79" s="24" t="str">
        <x:v>high</x:v>
      </x:c>
      <x:c r="S79" s="24" t="str">
        <x:v>Mollusca</x:v>
      </x:c>
      <x:c r="T79" s="32" t="n">
        <x:f>IF(O79="","",(1/'Metadata'!$B$5)^(O79-1))</x:f>
        <x:v>12.589254117941675</x:v>
      </x:c>
      <x:c r="U79" s="31" t="n">
        <x:f>IF(T79="","",I79*T79)</x:f>
        <x:v>15.161954745547266</x:v>
      </x:c>
    </x:row>
    <x:row r="80" ht="18" customHeight="1">
      <x:c r="A80" s="24" t="str">
        <x:v>EEZ_132</x:v>
      </x:c>
      <x:c r="B80" s="24" t="str">
        <x:v>Cape Verde</x:v>
      </x:c>
      <x:c r="C80" s="24" t="str">
        <x:v>EEZ</x:v>
      </x:c>
      <x:c r="D80" s="30" t="n">
        <x:v>2019</x:v>
      </x:c>
      <x:c r="E80" s="24" t="str">
        <x:v>Pomadasys incisus</x:v>
      </x:c>
      <x:c r="F80" s="24" t="str">
        <x:v>Bastard grunt</x:v>
      </x:c>
      <x:c r="G80" s="24" t="str">
        <x:v>Medium demersals (30 - 89 cm)</x:v>
      </x:c>
      <x:c r="H80" s="24" t="str">
        <x:v>Perch-likes</x:v>
      </x:c>
      <x:c r="I80" s="31" t="n">
        <x:v>1.0177346406</x:v>
      </x:c>
      <x:c r="J80" s="31" t="n">
        <x:v>1.0177346406</x:v>
      </x:c>
      <x:c r="K80" s="31" t="n">
        <x:v>0</x:v>
      </x:c>
      <x:c r="L80" s="31" t="n">
        <x:v>0.45439201419999997</x:v>
      </x:c>
      <x:c r="M80" s="31" t="n">
        <x:v>0.5633426264</x:v>
      </x:c>
      <x:c r="N80" s="24" t="str">
        <x:v>pomadasys incisus</x:v>
      </x:c>
      <x:c r="O80" s="32" t="n">
        <x:v>3.8</x:v>
      </x:c>
      <x:c r="P80" s="24" t="str">
        <x:v>exact_2020_supplement</x:v>
      </x:c>
      <x:c r="Q80" s="32" t="str">
        <x:v>2020 supplement MeanTL</x:v>
      </x:c>
      <x:c r="R80" s="24" t="str">
        <x:v>high</x:v>
      </x:c>
      <x:c r="S80" s="24" t="str">
        <x:v>Pomadasys incisus</x:v>
      </x:c>
      <x:c r="T80" s="32" t="n">
        <x:f>IF(O80="","",(1/'Metadata'!$B$5)^(O80-1))</x:f>
        <x:v>630.957344480193</x:v>
      </x:c>
      <x:c r="U80" s="31" t="n">
        <x:f>IF(T80="","",I80*T80)</x:f>
        <x:v>642.1471462184796</x:v>
      </x:c>
    </x:row>
    <x:row r="81" ht="18" customHeight="1">
      <x:c r="A81" s="24" t="str">
        <x:v>EEZ_132</x:v>
      </x:c>
      <x:c r="B81" s="24" t="str">
        <x:v>Cape Verde</x:v>
      </x:c>
      <x:c r="C81" s="24" t="str">
        <x:v>EEZ</x:v>
      </x:c>
      <x:c r="D81" s="30" t="n">
        <x:v>2019</x:v>
      </x:c>
      <x:c r="E81" s="24" t="str">
        <x:v>Isurus paucus</x:v>
      </x:c>
      <x:c r="F81" s="24" t="str">
        <x:v>Longfin mako</x:v>
      </x:c>
      <x:c r="G81" s="24" t="str">
        <x:v>Large sharks (&gt;=90 cm)</x:v>
      </x:c>
      <x:c r="H81" s="24" t="str">
        <x:v>Sharks &amp; rays</x:v>
      </x:c>
      <x:c r="I81" s="31" t="n">
        <x:v>0.9539710125</x:v>
      </x:c>
      <x:c r="J81" s="31" t="n">
        <x:v>0.9539710125</x:v>
      </x:c>
      <x:c r="K81" s="31" t="n">
        <x:v>0</x:v>
      </x:c>
      <x:c r="L81" s="31" t="n">
        <x:v>0.9539710125</x:v>
      </x:c>
      <x:c r="M81" s="31" t="n">
        <x:v>0</x:v>
      </x:c>
      <x:c r="N81" s="24" t="str">
        <x:v>isurus paucus</x:v>
      </x:c>
      <x:c r="O81" s="32" t="n">
        <x:v>4.51</x:v>
      </x:c>
      <x:c r="P81" s="24" t="str">
        <x:v>exact_2020_supplement</x:v>
      </x:c>
      <x:c r="Q81" s="32" t="str">
        <x:v>2020 supplement MeanTL</x:v>
      </x:c>
      <x:c r="R81" s="24" t="str">
        <x:v>high</x:v>
      </x:c>
      <x:c r="S81" s="24" t="str">
        <x:v>Isurus paucus</x:v>
      </x:c>
      <x:c r="T81" s="32" t="n">
        <x:f>IF(O81="","",(1/'Metadata'!$B$5)^(O81-1))</x:f>
        <x:v>3235.936569296281</x:v>
      </x:c>
      <x:c r="U81" s="31" t="n">
        <x:f>IF(T81="","",I81*T81)</x:f>
        <x:v>3086.9896853973496</x:v>
      </x:c>
    </x:row>
    <x:row r="82" ht="18" customHeight="1">
      <x:c r="A82" s="24" t="str">
        <x:v>EEZ_132</x:v>
      </x:c>
      <x:c r="B82" s="24" t="str">
        <x:v>Cape Verde</x:v>
      </x:c>
      <x:c r="C82" s="24" t="str">
        <x:v>EEZ</x:v>
      </x:c>
      <x:c r="D82" s="30" t="n">
        <x:v>2019</x:v>
      </x:c>
      <x:c r="E82" s="24" t="str">
        <x:v>Rhinobatidae</x:v>
      </x:c>
      <x:c r="F82" s="24" t="str">
        <x:v>Guitarfishes, fanrays</x:v>
      </x:c>
      <x:c r="G82" s="24" t="str">
        <x:v>Large rays (&gt;=90 cm)</x:v>
      </x:c>
      <x:c r="H82" s="24" t="str">
        <x:v>Sharks &amp; rays</x:v>
      </x:c>
      <x:c r="I82" s="31" t="n">
        <x:v>0.5492428511</x:v>
      </x:c>
      <x:c r="J82" s="31" t="n">
        <x:v>0.5492428511</x:v>
      </x:c>
      <x:c r="K82" s="31" t="n">
        <x:v>0</x:v>
      </x:c>
      <x:c r="L82" s="31" t="n">
        <x:v>0.5492428511</x:v>
      </x:c>
      <x:c r="M82" s="31" t="n">
        <x:v>0</x:v>
      </x:c>
      <x:c r="N82" s="24" t="str">
        <x:v>rhinobatidae</x:v>
      </x:c>
      <x:c r="O82" s="32" t="n">
        <x:v>3.7</x:v>
      </x:c>
      <x:c r="P82" s="24" t="str">
        <x:v>exact_sea_around_us</x:v>
      </x:c>
      <x:c r="Q82" s="32" t="str">
        <x:v>Sea Around Us exploited organisms</x:v>
      </x:c>
      <x:c r="R82" s="24" t="str">
        <x:v>high</x:v>
      </x:c>
      <x:c r="S82" s="24" t="str">
        <x:v>Rhinobatidae</x:v>
      </x:c>
      <x:c r="T82" s="32" t="n">
        <x:f>IF(O82="","",(1/'Metadata'!$B$5)^(O82-1))</x:f>
        <x:v>501.18723362727246</x:v>
      </x:c>
      <x:c r="U82" s="31" t="n">
        <x:f>IF(T82="","",I82*T82)</x:f>
        <x:v>275.27350513236496</x:v>
      </x:c>
    </x:row>
    <x:row r="83" ht="18" customHeight="1">
      <x:c r="A83" s="24" t="str">
        <x:v>EEZ_132</x:v>
      </x:c>
      <x:c r="B83" s="24" t="str">
        <x:v>Cape Verde</x:v>
      </x:c>
      <x:c r="C83" s="24" t="str">
        <x:v>EEZ</x:v>
      </x:c>
      <x:c r="D83" s="30" t="n">
        <x:v>2019</x:v>
      </x:c>
      <x:c r="E83" s="24" t="str">
        <x:v>Carcharhinidae</x:v>
      </x:c>
      <x:c r="F83" s="24" t="str">
        <x:v>Requiem sharks</x:v>
      </x:c>
      <x:c r="G83" s="24" t="str">
        <x:v>Large sharks (&gt;=90 cm)</x:v>
      </x:c>
      <x:c r="H83" s="24" t="str">
        <x:v>Sharks &amp; rays</x:v>
      </x:c>
      <x:c r="I83" s="31" t="n">
        <x:v>0.4633339345</x:v>
      </x:c>
      <x:c r="J83" s="31" t="n">
        <x:v>0.4633339345</x:v>
      </x:c>
      <x:c r="K83" s="31" t="n">
        <x:v>0</x:v>
      </x:c>
      <x:c r="L83" s="31" t="n">
        <x:v>0.4633339345</x:v>
      </x:c>
      <x:c r="M83" s="31" t="n">
        <x:v>0</x:v>
      </x:c>
      <x:c r="N83" s="24" t="str">
        <x:v>carcharhinidae</x:v>
      </x:c>
      <x:c r="O83" s="32" t="n">
        <x:v>4.24</x:v>
      </x:c>
      <x:c r="P83" s="24" t="str">
        <x:v>exact_sea_around_us</x:v>
      </x:c>
      <x:c r="Q83" s="32" t="str">
        <x:v>Sea Around Us exploited organisms</x:v>
      </x:c>
      <x:c r="R83" s="24" t="str">
        <x:v>high</x:v>
      </x:c>
      <x:c r="S83" s="24" t="str">
        <x:v>Carcharhinidae</x:v>
      </x:c>
      <x:c r="T83" s="32" t="n">
        <x:f>IF(O83="","",(1/'Metadata'!$B$5)^(O83-1))</x:f>
        <x:v>1737.8008287493763</x:v>
      </x:c>
      <x:c r="U83" s="31" t="n">
        <x:f>IF(T83="","",I83*T83)</x:f>
        <x:v>805.1820953618092</x:v>
      </x:c>
    </x:row>
    <x:row r="84" ht="18" customHeight="1">
      <x:c r="A84" s="24" t="str">
        <x:v>EEZ_132</x:v>
      </x:c>
      <x:c r="B84" s="24" t="str">
        <x:v>Cape Verde</x:v>
      </x:c>
      <x:c r="C84" s="24" t="str">
        <x:v>EEZ</x:v>
      </x:c>
      <x:c r="D84" s="30" t="n">
        <x:v>2019</x:v>
      </x:c>
      <x:c r="E84" s="24" t="str">
        <x:v>Tetrapturus pfluegeri</x:v>
      </x:c>
      <x:c r="F84" s="24" t="str">
        <x:v>Longbill spearfish</x:v>
      </x:c>
      <x:c r="G84" s="24" t="str">
        <x:v>Large pelagics (&gt;=90 cm)</x:v>
      </x:c>
      <x:c r="H84" s="24" t="str">
        <x:v>Tuna &amp; billfishes</x:v>
      </x:c>
      <x:c r="I84" s="31" t="n">
        <x:v>0.3560377348</x:v>
      </x:c>
      <x:c r="J84" s="31" t="n">
        <x:v>0.3560377348</x:v>
      </x:c>
      <x:c r="K84" s="31" t="n">
        <x:v>0</x:v>
      </x:c>
      <x:c r="L84" s="31" t="n">
        <x:v>0.3560377348</x:v>
      </x:c>
      <x:c r="M84" s="31" t="n">
        <x:v>0</x:v>
      </x:c>
      <x:c r="N84" s="24" t="str">
        <x:v>tetrapturus pfluegeri</x:v>
      </x:c>
      <x:c r="O84" s="32" t="n">
        <x:v>4.4</x:v>
      </x:c>
      <x:c r="P84" s="24" t="str">
        <x:v>exact_2020_supplement</x:v>
      </x:c>
      <x:c r="Q84" s="32" t="str">
        <x:v>2020 supplement MeanTL</x:v>
      </x:c>
      <x:c r="R84" s="24" t="str">
        <x:v>high</x:v>
      </x:c>
      <x:c r="S84" s="24" t="str">
        <x:v>Tetrapturus pfluegeri</x:v>
      </x:c>
      <x:c r="T84" s="32" t="n">
        <x:f>IF(O84="","",(1/'Metadata'!$B$5)^(O84-1))</x:f>
        <x:v>2511.886431509582</x:v>
      </x:c>
      <x:c r="U84" s="31" t="n">
        <x:f>IF(T84="","",I84*T84)</x:f>
        <x:v>894.326355149527</x:v>
      </x:c>
    </x:row>
    <x:row r="85" ht="18" customHeight="1">
      <x:c r="A85" s="24" t="str">
        <x:v>EEZ_132</x:v>
      </x:c>
      <x:c r="B85" s="24" t="str">
        <x:v>Cape Verde</x:v>
      </x:c>
      <x:c r="C85" s="24" t="str">
        <x:v>EEZ</x:v>
      </x:c>
      <x:c r="D85" s="30" t="n">
        <x:v>2019</x:v>
      </x:c>
      <x:c r="E85" s="24" t="str">
        <x:v>Auxis rochei</x:v>
      </x:c>
      <x:c r="F85" s="24" t="str">
        <x:v>Bullet tuna</x:v>
      </x:c>
      <x:c r="G85" s="24" t="str">
        <x:v>Medium pelagics (30 - 89 cm)</x:v>
      </x:c>
      <x:c r="H85" s="24" t="str">
        <x:v>Tuna &amp; billfishes</x:v>
      </x:c>
      <x:c r="I85" s="31" t="n">
        <x:v>0.20365553609999998</x:v>
      </x:c>
      <x:c r="J85" s="31" t="n">
        <x:v>0.20365553609999998</x:v>
      </x:c>
      <x:c r="K85" s="31" t="n">
        <x:v>0</x:v>
      </x:c>
      <x:c r="L85" s="31" t="n">
        <x:v>0.20365553609999998</x:v>
      </x:c>
      <x:c r="M85" s="31" t="n">
        <x:v>0</x:v>
      </x:c>
      <x:c r="N85" s="24" t="str">
        <x:v>auxis rochei</x:v>
      </x:c>
      <x:c r="O85" s="32" t="n">
        <x:v>4.13</x:v>
      </x:c>
      <x:c r="P85" s="24" t="str">
        <x:v>exact_2020_supplement</x:v>
      </x:c>
      <x:c r="Q85" s="32" t="str">
        <x:v>2020 supplement MeanTL</x:v>
      </x:c>
      <x:c r="R85" s="24" t="str">
        <x:v>high</x:v>
      </x:c>
      <x:c r="S85" s="24" t="str">
        <x:v>Auxis rochei</x:v>
      </x:c>
      <x:c r="T85" s="32" t="n">
        <x:f>IF(O85="","",(1/'Metadata'!$B$5)^(O85-1))</x:f>
        <x:v>1348.9628825916532</x:v>
      </x:c>
      <x:c r="U85" s="31" t="n">
        <x:f>IF(T85="","",I85*T85)</x:f>
        <x:v>274.72375903320443</x:v>
      </x:c>
    </x:row>
    <x:row r="86" ht="18" customHeight="1">
      <x:c r="A86" s="24" t="str">
        <x:v>EEZ_132</x:v>
      </x:c>
      <x:c r="B86" s="24" t="str">
        <x:v>Cape Verde</x:v>
      </x:c>
      <x:c r="C86" s="24" t="str">
        <x:v>EEZ</x:v>
      </x:c>
      <x:c r="D86" s="30" t="n">
        <x:v>2019</x:v>
      </x:c>
      <x:c r="E86" s="24" t="str">
        <x:v>Ruvettus pretiosus</x:v>
      </x:c>
      <x:c r="F86" s="24" t="str">
        <x:v>Oilfish</x:v>
      </x:c>
      <x:c r="G86" s="24" t="str">
        <x:v>Large benthopelagics (&gt;=90 cm)</x:v>
      </x:c>
      <x:c r="H86" s="24" t="str">
        <x:v>Perch-likes</x:v>
      </x:c>
      <x:c r="I86" s="31" t="n">
        <x:v>0.1710753722</x:v>
      </x:c>
      <x:c r="J86" s="31" t="n">
        <x:v>0.1710753722</x:v>
      </x:c>
      <x:c r="K86" s="31" t="n">
        <x:v>0</x:v>
      </x:c>
      <x:c r="L86" s="31" t="n">
        <x:v>0.1710753722</x:v>
      </x:c>
      <x:c r="M86" s="31" t="n">
        <x:v>0</x:v>
      </x:c>
      <x:c r="N86" s="24" t="str">
        <x:v>ruvettus pretiosus</x:v>
      </x:c>
      <x:c r="O86" s="32" t="n">
        <x:v>4.18</x:v>
      </x:c>
      <x:c r="P86" s="24" t="str">
        <x:v>exact_2020_supplement</x:v>
      </x:c>
      <x:c r="Q86" s="32" t="str">
        <x:v>2020 supplement MeanTL</x:v>
      </x:c>
      <x:c r="R86" s="24" t="str">
        <x:v>high</x:v>
      </x:c>
      <x:c r="S86" s="24" t="str">
        <x:v>Ruvettus pretiosus</x:v>
      </x:c>
      <x:c r="T86" s="32" t="n">
        <x:f>IF(O86="","",(1/'Metadata'!$B$5)^(O86-1))</x:f>
        <x:v>1513.5612484362073</x:v>
      </x:c>
      <x:c r="U86" s="31" t="n">
        <x:f>IF(T86="","",I86*T86)</x:f>
        <x:v>258.9330539237208</x:v>
      </x:c>
    </x:row>
    <x:row r="87" ht="18" customHeight="1">
      <x:c r="A87" s="24" t="str">
        <x:v>EEZ_132</x:v>
      </x:c>
      <x:c r="B87" s="24" t="str">
        <x:v>Cape Verde</x:v>
      </x:c>
      <x:c r="C87" s="24" t="str">
        <x:v>EEZ</x:v>
      </x:c>
      <x:c r="D87" s="30" t="n">
        <x:v>2019</x:v>
      </x:c>
      <x:c r="E87" s="24" t="str">
        <x:v>Sphyrnidae</x:v>
      </x:c>
      <x:c r="F87" s="24" t="str">
        <x:v>Hammer, bonnet, scoophead sharks</x:v>
      </x:c>
      <x:c r="G87" s="24" t="str">
        <x:v>Large sharks (&gt;=90 cm)</x:v>
      </x:c>
      <x:c r="H87" s="24" t="str">
        <x:v>Sharks &amp; rays</x:v>
      </x:c>
      <x:c r="I87" s="31" t="n">
        <x:v>0.1438761901</x:v>
      </x:c>
      <x:c r="J87" s="31" t="n">
        <x:v>0.1438761901</x:v>
      </x:c>
      <x:c r="K87" s="31" t="n">
        <x:v>0</x:v>
      </x:c>
      <x:c r="L87" s="31" t="n">
        <x:v>0.1438761901</x:v>
      </x:c>
      <x:c r="M87" s="31" t="n">
        <x:v>0</x:v>
      </x:c>
      <x:c r="N87" s="24" t="str">
        <x:v>sphyrnidae</x:v>
      </x:c>
      <x:c r="O87" s="32" t="n">
        <x:v>4.19</x:v>
      </x:c>
      <x:c r="P87" s="24" t="str">
        <x:v>exact_sea_around_us</x:v>
      </x:c>
      <x:c r="Q87" s="32" t="str">
        <x:v>Sea Around Us exploited organisms</x:v>
      </x:c>
      <x:c r="R87" s="24" t="str">
        <x:v>high</x:v>
      </x:c>
      <x:c r="S87" s="24" t="str">
        <x:v>Sphyrnidae</x:v>
      </x:c>
      <x:c r="T87" s="32" t="n">
        <x:f>IF(O87="","",(1/'Metadata'!$B$5)^(O87-1))</x:f>
        <x:v>1548.8166189124827</x:v>
      </x:c>
      <x:c r="U87" s="31" t="n">
        <x:f>IF(T87="","",I87*T87)</x:f>
        <x:v>222.8378342926916</x:v>
      </x:c>
    </x:row>
    <x:row r="88" ht="18" customHeight="1">
      <x:c r="A88" s="24" t="str">
        <x:v>EEZ_132</x:v>
      </x:c>
      <x:c r="B88" s="24" t="str">
        <x:v>Cape Verde</x:v>
      </x:c>
      <x:c r="C88" s="24" t="str">
        <x:v>EEZ</x:v>
      </x:c>
      <x:c r="D88" s="30" t="n">
        <x:v>2019</x:v>
      </x:c>
      <x:c r="E88" s="24" t="str">
        <x:v>Istiophoridae</x:v>
      </x:c>
      <x:c r="F88" s="24" t="str">
        <x:v>Billfishes</x:v>
      </x:c>
      <x:c r="G88" s="24" t="str">
        <x:v>Large pelagics (&gt;=90 cm)</x:v>
      </x:c>
      <x:c r="H88" s="24" t="str">
        <x:v>Tuna &amp; billfishes</x:v>
      </x:c>
      <x:c r="I88" s="31" t="n">
        <x:v>0.0965676898</x:v>
      </x:c>
      <x:c r="J88" s="31" t="n">
        <x:v>0.0965676898</x:v>
      </x:c>
      <x:c r="K88" s="31" t="n">
        <x:v>0</x:v>
      </x:c>
      <x:c r="L88" s="31" t="n">
        <x:v>0.0965676898</x:v>
      </x:c>
      <x:c r="M88" s="31" t="n">
        <x:v>0</x:v>
      </x:c>
      <x:c r="N88" s="24" t="str">
        <x:v>istiophoridae</x:v>
      </x:c>
      <x:c r="O88" s="32" t="n">
        <x:v>4.48</x:v>
      </x:c>
      <x:c r="P88" s="24" t="str">
        <x:v>exact_sea_around_us</x:v>
      </x:c>
      <x:c r="Q88" s="32" t="str">
        <x:v>Sea Around Us exploited organisms</x:v>
      </x:c>
      <x:c r="R88" s="24" t="str">
        <x:v>high</x:v>
      </x:c>
      <x:c r="S88" s="24" t="str">
        <x:v>Istiophoridae</x:v>
      </x:c>
      <x:c r="T88" s="32" t="n">
        <x:f>IF(O88="","",(1/'Metadata'!$B$5)^(O88-1))</x:f>
        <x:v>3019.951720402019</x:v>
      </x:c>
      <x:c r="U88" s="31" t="n">
        <x:f>IF(T88="","",I88*T88)</x:f>
        <x:v>291.6297609467585</x:v>
      </x:c>
    </x:row>
    <x:row r="89" ht="18" customHeight="1">
      <x:c r="A89" s="24" t="str">
        <x:v>EEZ_132</x:v>
      </x:c>
      <x:c r="B89" s="24" t="str">
        <x:v>Cape Verde</x:v>
      </x:c>
      <x:c r="C89" s="24" t="str">
        <x:v>EEZ</x:v>
      </x:c>
      <x:c r="D89" s="30" t="n">
        <x:v>2019</x:v>
      </x:c>
      <x:c r="E89" s="24" t="str">
        <x:v>Scombridae</x:v>
      </x:c>
      <x:c r="F89" s="24" t="str">
        <x:v>Mackerels, tunas, bonitos</x:v>
      </x:c>
      <x:c r="G89" s="24" t="str">
        <x:v>Medium pelagics (30 - 89 cm)</x:v>
      </x:c>
      <x:c r="H89" s="24" t="str">
        <x:v>Perch-likes</x:v>
      </x:c>
      <x:c r="I89" s="31" t="n">
        <x:v>0.0362772158</x:v>
      </x:c>
      <x:c r="J89" s="31" t="n">
        <x:v>0.0362772158</x:v>
      </x:c>
      <x:c r="K89" s="31" t="n">
        <x:v>0</x:v>
      </x:c>
      <x:c r="L89" s="31" t="n">
        <x:v>0.0362772158</x:v>
      </x:c>
      <x:c r="M89" s="31" t="n">
        <x:v>0</x:v>
      </x:c>
      <x:c r="N89" s="24" t="str">
        <x:v>scombridae</x:v>
      </x:c>
      <x:c r="O89" s="32" t="n">
        <x:v>4.26</x:v>
      </x:c>
      <x:c r="P89" s="24" t="str">
        <x:v>exact_sea_around_us</x:v>
      </x:c>
      <x:c r="Q89" s="32" t="str">
        <x:v>Sea Around Us exploited organisms</x:v>
      </x:c>
      <x:c r="R89" s="24" t="str">
        <x:v>high</x:v>
      </x:c>
      <x:c r="S89" s="24" t="str">
        <x:v>Scombridae</x:v>
      </x:c>
      <x:c r="T89" s="32" t="n">
        <x:f>IF(O89="","",(1/'Metadata'!$B$5)^(O89-1))</x:f>
        <x:v>1819.7008586099826</x:v>
      </x:c>
      <x:c r="U89" s="31" t="n">
        <x:f>IF(T89="","",I89*T89)</x:f>
        <x:v>66.01368073923962</x:v>
      </x:c>
    </x:row>
    <x:row r="90" ht="18" customHeight="1">
      <x:c r="A90" s="24" t="str">
        <x:v>EEZ_132</x:v>
      </x:c>
      <x:c r="B90" s="24" t="str">
        <x:v>Cape Verde</x:v>
      </x:c>
      <x:c r="C90" s="24" t="str">
        <x:v>EEZ</x:v>
      </x:c>
      <x:c r="D90" s="30" t="n">
        <x:v>2019</x:v>
      </x:c>
      <x:c r="E90" s="24" t="str">
        <x:v>Brama brama</x:v>
      </x:c>
      <x:c r="F90" s="24" t="str">
        <x:v>Atlantic pomfret</x:v>
      </x:c>
      <x:c r="G90" s="24" t="str">
        <x:v>Medium bathypelagics (30 - 89 cm)</x:v>
      </x:c>
      <x:c r="H90" s="24" t="str">
        <x:v>Perch-likes</x:v>
      </x:c>
      <x:c r="I90" s="31" t="n">
        <x:v>0.0061752514</x:v>
      </x:c>
      <x:c r="J90" s="31" t="n">
        <x:v>0.0061752514</x:v>
      </x:c>
      <x:c r="K90" s="31" t="n">
        <x:v>0</x:v>
      </x:c>
      <x:c r="L90" s="31" t="n">
        <x:v>0.0061752514</x:v>
      </x:c>
      <x:c r="M90" s="31" t="n">
        <x:v>0</x:v>
      </x:c>
      <x:c r="N90" s="24" t="str">
        <x:v>brama brama</x:v>
      </x:c>
      <x:c r="O90" s="32" t="n">
        <x:v>4.08</x:v>
      </x:c>
      <x:c r="P90" s="24" t="str">
        <x:v>exact_2020_supplement</x:v>
      </x:c>
      <x:c r="Q90" s="32" t="str">
        <x:v>2020 supplement MeanTL</x:v>
      </x:c>
      <x:c r="R90" s="24" t="str">
        <x:v>high</x:v>
      </x:c>
      <x:c r="S90" s="24" t="str">
        <x:v>Brama brama</x:v>
      </x:c>
      <x:c r="T90" s="32" t="n">
        <x:f>IF(O90="","",(1/'Metadata'!$B$5)^(O90-1))</x:f>
        <x:v>1202.2644346174131</x:v>
      </x:c>
      <x:c r="U90" s="31" t="n">
        <x:f>IF(T90="","",I90*T90)</x:f>
        <x:v>7.424285133041389</x:v>
      </x:c>
    </x:row>
    <x:row r="91" ht="18" customHeight="1">
      <x:c r="A91" s="24" t="str">
        <x:v>EEZ_132</x:v>
      </x:c>
      <x:c r="B91" s="24" t="str">
        <x:v>Cape Verde</x:v>
      </x:c>
      <x:c r="C91" s="24" t="str">
        <x:v>EEZ</x:v>
      </x:c>
      <x:c r="D91" s="30" t="n">
        <x:v>2019</x:v>
      </x:c>
      <x:c r="E91" s="24" t="str">
        <x:v>Scomberomorus tritor</x:v>
      </x:c>
      <x:c r="F91" s="24" t="str">
        <x:v>West African Spanish mackerel</x:v>
      </x:c>
      <x:c r="G91" s="24" t="str">
        <x:v>Medium pelagics (30 - 89 cm)</x:v>
      </x:c>
      <x:c r="H91" s="24" t="str">
        <x:v>Perch-likes</x:v>
      </x:c>
      <x:c r="I91" s="31" t="n">
        <x:v>0.0002326835</x:v>
      </x:c>
      <x:c r="J91" s="31" t="n">
        <x:v>0.0002326835</x:v>
      </x:c>
      <x:c r="K91" s="31" t="n">
        <x:v>0</x:v>
      </x:c>
      <x:c r="L91" s="31" t="n">
        <x:v>0.0002326835</x:v>
      </x:c>
      <x:c r="M91" s="31" t="n">
        <x:v>0</x:v>
      </x:c>
      <x:c r="N91" s="24" t="str">
        <x:v>scomberomorus tritor</x:v>
      </x:c>
      <x:c r="O91" s="32" t="n">
        <x:v>4.26</x:v>
      </x:c>
      <x:c r="P91" s="24" t="str">
        <x:v>exact_2020_supplement</x:v>
      </x:c>
      <x:c r="Q91" s="32" t="str">
        <x:v>2020 supplement MeanTL</x:v>
      </x:c>
      <x:c r="R91" s="24" t="str">
        <x:v>high</x:v>
      </x:c>
      <x:c r="S91" s="24" t="str">
        <x:v>Scomberomorus tritor</x:v>
      </x:c>
      <x:c r="T91" s="32" t="n">
        <x:f>IF(O91="","",(1/'Metadata'!$B$5)^(O91-1))</x:f>
        <x:v>1819.7008586099826</x:v>
      </x:c>
      <x:c r="U91" s="31" t="n">
        <x:f>IF(T91="","",I91*T91)</x:f>
        <x:v>0.4234143647343759</x:v>
      </x:c>
    </x:row>
    <x:row r="92" ht="18" customHeight="1">
      <x:c r="A92" s="24" t="str">
        <x:v>EEZ_132</x:v>
      </x:c>
      <x:c r="B92" s="24" t="str">
        <x:v>Cape Verde</x:v>
      </x:c>
      <x:c r="C92" s="24" t="str">
        <x:v>EEZ</x:v>
      </x:c>
      <x:c r="D92" s="30" t="n">
        <x:v>2019</x:v>
      </x:c>
      <x:c r="E92" s="24" t="str">
        <x:v>Sarda sarda</x:v>
      </x:c>
      <x:c r="F92" s="24" t="str">
        <x:v>Atlantic bonito</x:v>
      </x:c>
      <x:c r="G92" s="24" t="str">
        <x:v>Medium pelagics (30 - 89 cm)</x:v>
      </x:c>
      <x:c r="H92" s="24" t="str">
        <x:v>Tuna &amp; billfishes</x:v>
      </x:c>
      <x:c r="I92" s="31" t="n">
        <x:v>0.00009156130000000001</x:v>
      </x:c>
      <x:c r="J92" s="31" t="n">
        <x:v>0.00009156130000000001</x:v>
      </x:c>
      <x:c r="K92" s="31" t="n">
        <x:v>0</x:v>
      </x:c>
      <x:c r="L92" s="31" t="n">
        <x:v>0.00009156130000000001</x:v>
      </x:c>
      <x:c r="M92" s="31" t="n">
        <x:v>0</x:v>
      </x:c>
      <x:c r="N92" s="24" t="str">
        <x:v>sarda sarda</x:v>
      </x:c>
      <x:c r="O92" s="32" t="n">
        <x:v>4.5</x:v>
      </x:c>
      <x:c r="P92" s="24" t="str">
        <x:v>exact_2020_supplement</x:v>
      </x:c>
      <x:c r="Q92" s="32" t="str">
        <x:v>2020 supplement MeanTL</x:v>
      </x:c>
      <x:c r="R92" s="24" t="str">
        <x:v>high</x:v>
      </x:c>
      <x:c r="S92" s="24" t="str">
        <x:v>Sarda sarda</x:v>
      </x:c>
      <x:c r="T92" s="32" t="n">
        <x:f>IF(O92="","",(1/'Metadata'!$B$5)^(O92-1))</x:f>
        <x:v>3162.2776601683795</x:v>
      </x:c>
      <x:c r="U92" s="31" t="n">
        <x:f>IF(T92="","",I92*T92)</x:f>
        <x:v>0.28954225352597507</x:v>
      </x:c>
    </x:row>
  </x:sheetData>
  <x:conditionalFormatting sqref="R2:R92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c91302930fd2406b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commercial_group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Flatfishes</x:v>
      </x:c>
      <x:c r="B2" s="33" t="n">
        <x:v>1</x:v>
      </x:c>
      <x:c r="C2" s="33" t="n">
        <x:v>1</x:v>
      </x:c>
      <x:c r="D2" s="31" t="n">
        <x:v>435.9650325393</x:v>
      </x:c>
      <x:c r="E2" s="31" t="n">
        <x:v>435.9650325393</x:v>
      </x:c>
      <x:c r="F2" s="32" t="n">
        <x:v>0</x:v>
      </x:c>
      <x:c r="G2" s="34" t="n">
        <x:v>1</x:v>
      </x:c>
      <x:c r="H2" s="32" t="n">
        <x:f>IF(E2=0,"",I2/E2)</x:f>
        <x:v>141.2537544622754</x:v>
      </x:c>
      <x:c r="I2" s="31" t="n">
        <x:f>IF(C2=0,"",SUMIF('Species'!$H$2:$H$92,A2,'Species'!$U$2:$U$92))</x:f>
        <x:v>61581.69766044419</x:v>
      </x:c>
      <x:c r="J2" s="32" t="n">
        <x:v>3.15</x:v>
      </x:c>
      <x:c r="K2" s="32" t="n">
        <x:f>IF(J2="","",(1/'Metadata'!$B$5)^(J2-1))</x:f>
        <x:v>141.2537544622754</x:v>
      </x:c>
      <x:c r="L2" s="31" t="n">
        <x:f>IF(E2=0,"",E2*K2)</x:f>
        <x:v>61581.69766044419</x:v>
      </x:c>
      <x:c r="M2" s="31" t="n">
        <x:f>IF(E2=0,"",I2-L2)</x:f>
        <x:v>0</x:v>
      </x:c>
      <x:c r="N2" s="32" t="n">
        <x:f>IF(L2=0,"",I2/L2)</x:f>
        <x:v>1</x:v>
      </x:c>
      <x:c r="O2" s="34" t="n">
        <x:f>IF(L2=0,"",M2/L2)</x:f>
        <x:v>0</x:v>
      </x:c>
    </x:row>
    <x:row r="3" ht="18" customHeight="1">
      <x:c r="A3" s="24" t="str">
        <x:v>Molluscs</x:v>
      </x:c>
      <x:c r="B3" s="33" t="n">
        <x:v>4</x:v>
      </x:c>
      <x:c r="C3" s="33" t="n">
        <x:v>4</x:v>
      </x:c>
      <x:c r="D3" s="31" t="n">
        <x:v>544.0629211914</x:v>
      </x:c>
      <x:c r="E3" s="31" t="n">
        <x:v>544.0629211914</x:v>
      </x:c>
      <x:c r="F3" s="32" t="n">
        <x:v>0</x:v>
      </x:c>
      <x:c r="G3" s="34" t="n">
        <x:v>1</x:v>
      </x:c>
      <x:c r="H3" s="32" t="n">
        <x:f>IF(E3=0,"",I3/E3)</x:f>
        <x:v>10.005731664254416</x:v>
      </x:c>
      <x:c r="I3" s="31" t="n">
        <x:f>IF(C3=0,"",SUMIF('Species'!$H$2:$H$92,A3,'Species'!$U$2:$U$92))</x:f>
        <x:v>5443.747597911546</x:v>
      </x:c>
      <x:c r="J3" s="32" t="n">
        <x:v>2.000221363527616</x:v>
      </x:c>
      <x:c r="K3" s="32" t="n">
        <x:f>IF(J3="","",(1/'Metadata'!$B$5)^(J3-1))</x:f>
        <x:v>10.005098382821997</x:v>
      </x:c>
      <x:c r="L3" s="31" t="n">
        <x:f>IF(E3=0,"",E3*K3)</x:f>
        <x:v>5443.403052965488</x:v>
      </x:c>
      <x:c r="M3" s="31" t="n">
        <x:f>IF(E3=0,"",I3-L3)</x:f>
        <x:v>0.34454494605779473</x:v>
      </x:c>
      <x:c r="N3" s="32" t="n">
        <x:f>IF(L3=0,"",I3/L3)</x:f>
        <x:v>1.0000632958725828</x:v>
      </x:c>
      <x:c r="O3" s="34" t="n">
        <x:f>IF(L3=0,"",M3/L3)</x:f>
        <x:v>0.00006329587258288573</x:v>
      </x:c>
    </x:row>
    <x:row r="4" ht="18" customHeight="1">
      <x:c r="A4" s="24" t="str">
        <x:v>Other fishes &amp; inverts</x:v>
      </x:c>
      <x:c r="B4" s="33" t="n">
        <x:v>10</x:v>
      </x:c>
      <x:c r="C4" s="33" t="n">
        <x:v>10</x:v>
      </x:c>
      <x:c r="D4" s="31" t="n">
        <x:v>8313.0531041546</x:v>
      </x:c>
      <x:c r="E4" s="31" t="n">
        <x:v>8313.0531041546</x:v>
      </x:c>
      <x:c r="F4" s="32" t="n">
        <x:v>0</x:v>
      </x:c>
      <x:c r="G4" s="34" t="n">
        <x:v>1</x:v>
      </x:c>
      <x:c r="H4" s="32" t="n">
        <x:f>IF(E4=0,"",I4/E4)</x:f>
        <x:v>346.0268214831709</x:v>
      </x:c>
      <x:c r="I4" s="31" t="n">
        <x:f>IF(C4=0,"",SUMIF('Species'!$H$2:$H$92,A4,'Species'!$U$2:$U$92))</x:f>
        <x:v>2876539.342451424</x:v>
      </x:c>
      <x:c r="J4" s="32" t="n">
        <x:v>3.4508938404566374</x:v>
      </x:c>
      <x:c r="K4" s="32" t="n">
        <x:f>IF(J4="","",(1/'Metadata'!$B$5)^(J4-1))</x:f>
        <x:v>282.41895417392396</x:v>
      </x:c>
      <x:c r="L4" s="31" t="n">
        <x:f>IF(E4=0,"",E4*K4)</x:f>
        <x:v>2347763.763667634</x:v>
      </x:c>
      <x:c r="M4" s="31" t="n">
        <x:f>IF(E4=0,"",I4-L4)</x:f>
        <x:v>528775.5787837896</x:v>
      </x:c>
      <x:c r="N4" s="32" t="n">
        <x:f>IF(L4=0,"",I4/L4)</x:f>
        <x:v>1.225225206627155</x:v>
      </x:c>
      <x:c r="O4" s="34" t="n">
        <x:f>IF(L4=0,"",M4/L4)</x:f>
        <x:v>0.22522520662715484</x:v>
      </x:c>
    </x:row>
    <x:row r="5" ht="18" customHeight="1">
      <x:c r="A5" s="24" t="str">
        <x:v>Perch-likes</x:v>
      </x:c>
      <x:c r="B5" s="33" t="n">
        <x:v>48</x:v>
      </x:c>
      <x:c r="C5" s="33" t="n">
        <x:v>48</x:v>
      </x:c>
      <x:c r="D5" s="31" t="n">
        <x:v>10442.1602921342</x:v>
      </x:c>
      <x:c r="E5" s="31" t="n">
        <x:v>10442.1602921342</x:v>
      </x:c>
      <x:c r="F5" s="32" t="n">
        <x:v>0</x:v>
      </x:c>
      <x:c r="G5" s="34" t="n">
        <x:v>1</x:v>
      </x:c>
      <x:c r="H5" s="32" t="n">
        <x:f>IF(E5=0,"",I5/E5)</x:f>
        <x:v>812.9926760403079</x:v>
      </x:c>
      <x:c r="I5" s="31" t="n">
        <x:f>IF(C5=0,"",SUMIF('Species'!$H$2:$H$92,A5,'Species'!$U$2:$U$92))</x:f>
        <x:v>8489399.839544026</x:v>
      </x:c>
      <x:c r="J5" s="32" t="n">
        <x:v>3.794983410579218</x:v>
      </x:c>
      <x:c r="K5" s="32" t="n">
        <x:f>IF(J5="","",(1/'Metadata'!$B$5)^(J5-1))</x:f>
        <x:v>623.711010169301</x:v>
      </x:c>
      <x:c r="L5" s="31" t="n">
        <x:f>IF(E5=0,"",E5*K5)</x:f>
        <x:v>6512890.344156785</x:v>
      </x:c>
      <x:c r="M5" s="31" t="n">
        <x:f>IF(E5=0,"",I5-L5)</x:f>
        <x:v>1976509.4953872412</x:v>
      </x:c>
      <x:c r="N5" s="32" t="n">
        <x:f>IF(L5=0,"",I5/L5)</x:f>
        <x:v>1.3034765504935177</x:v>
      </x:c>
      <x:c r="O5" s="34" t="n">
        <x:f>IF(L5=0,"",M5/L5)</x:f>
        <x:v>0.30347655049351785</x:v>
      </x:c>
    </x:row>
    <x:row r="6" ht="18" customHeight="1">
      <x:c r="A6" s="24" t="str">
        <x:v>Scorpionfishes</x:v>
      </x:c>
      <x:c r="B6" s="33" t="n">
        <x:v>2</x:v>
      </x:c>
      <x:c r="C6" s="33" t="n">
        <x:v>2</x:v>
      </x:c>
      <x:c r="D6" s="31" t="n">
        <x:v>71.6080721665</x:v>
      </x:c>
      <x:c r="E6" s="31" t="n">
        <x:v>71.6080721665</x:v>
      </x:c>
      <x:c r="F6" s="32" t="n">
        <x:v>0</x:v>
      </x:c>
      <x:c r="G6" s="34" t="n">
        <x:v>1</x:v>
      </x:c>
      <x:c r="H6" s="32" t="n">
        <x:f>IF(E6=0,"",I6/E6)</x:f>
        <x:v>804.4035451401755</x:v>
      </x:c>
      <x:c r="I6" s="31" t="n">
        <x:f>IF(C6=0,"",SUMIF('Species'!$H$2:$H$92,A6,'Species'!$U$2:$U$92))</x:f>
        <x:v>57601.787111386126</x:v>
      </x:c>
      <x:c r="J6" s="32" t="n">
        <x:v>3.9048760871894888</x:v>
      </x:c>
      <x:c r="K6" s="32" t="n">
        <x:f>IF(J6="","",(1/'Metadata'!$B$5)^(J6-1))</x:f>
        <x:v>803.2968929842922</x:v>
      </x:c>
      <x:c r="L6" s="31" t="n">
        <x:f>IF(E6=0,"",E6*K6)</x:f>
        <x:v>57522.54188394442</x:v>
      </x:c>
      <x:c r="M6" s="31" t="n">
        <x:f>IF(E6=0,"",I6-L6)</x:f>
        <x:v>79.24522744170827</x:v>
      </x:c>
      <x:c r="N6" s="32" t="n">
        <x:f>IF(L6=0,"",I6/L6)</x:f>
        <x:v>1.0013776377894008</x:v>
      </x:c>
      <x:c r="O6" s="34" t="n">
        <x:f>IF(L6=0,"",M6/L6)</x:f>
        <x:v>0.001377637789400733</x:v>
      </x:c>
    </x:row>
    <x:row r="7" ht="18" customHeight="1">
      <x:c r="A7" s="24" t="str">
        <x:v>Sharks &amp; rays</x:v>
      </x:c>
      <x:c r="B7" s="33" t="n">
        <x:v>9</x:v>
      </x:c>
      <x:c r="C7" s="33" t="n">
        <x:v>9</x:v>
      </x:c>
      <x:c r="D7" s="31" t="n">
        <x:v>313.2030214356</x:v>
      </x:c>
      <x:c r="E7" s="31" t="n">
        <x:v>313.2030214356</x:v>
      </x:c>
      <x:c r="F7" s="32" t="n">
        <x:v>0</x:v>
      </x:c>
      <x:c r="G7" s="34" t="n">
        <x:v>1</x:v>
      </x:c>
      <x:c r="H7" s="32" t="n">
        <x:f>IF(E7=0,"",I7/E7)</x:f>
        <x:v>2820.577390714845</x:v>
      </x:c>
      <x:c r="I7" s="31" t="n">
        <x:f>IF(C7=0,"",SUMIF('Species'!$H$2:$H$92,A7,'Species'!$U$2:$U$92))</x:f>
        <x:v>883413.3609648304</x:v>
      </x:c>
      <x:c r="J7" s="32" t="n">
        <x:v>4.327501843530968</x:v>
      </x:c>
      <x:c r="K7" s="32" t="n">
        <x:f>IF(J7="","",(1/'Metadata'!$B$5)^(J7-1))</x:f>
        <x:v>2125.6993685514103</x:v>
      </x:c>
      <x:c r="L7" s="31" t="n">
        <x:f>IF(E7=0,"",E7*K7)</x:f>
        <x:v>665775.4648940488</x:v>
      </x:c>
      <x:c r="M7" s="31" t="n">
        <x:f>IF(E7=0,"",I7-L7)</x:f>
        <x:v>217637.89607078163</x:v>
      </x:c>
      <x:c r="N7" s="32" t="n">
        <x:f>IF(L7=0,"",I7/L7)</x:f>
        <x:v>1.3268938366562013</x:v>
      </x:c>
      <x:c r="O7" s="34" t="n">
        <x:f>IF(L7=0,"",M7/L7)</x:f>
        <x:v>0.32689383665620125</x:v>
      </x:c>
    </x:row>
    <x:row r="8" ht="18" customHeight="1">
      <x:c r="A8" s="24" t="str">
        <x:v>Tuna &amp; billfishes</x:v>
      </x:c>
      <x:c r="B8" s="33" t="n">
        <x:v>17</x:v>
      </x:c>
      <x:c r="C8" s="33" t="n">
        <x:v>17</x:v>
      </x:c>
      <x:c r="D8" s="31" t="n">
        <x:v>20993.646538951903</x:v>
      </x:c>
      <x:c r="E8" s="31" t="n">
        <x:v>20993.646538951903</x:v>
      </x:c>
      <x:c r="F8" s="32" t="n">
        <x:v>0</x:v>
      </x:c>
      <x:c r="G8" s="34" t="n">
        <x:v>1</x:v>
      </x:c>
      <x:c r="H8" s="32" t="n">
        <x:f>IF(E8=0,"",I8/E8)</x:f>
        <x:v>2663.511642664077</x:v>
      </x:c>
      <x:c r="I8" s="31" t="n">
        <x:f>IF(C8=0,"",SUMIF('Species'!$H$2:$H$92,A8,'Species'!$U$2:$U$92))</x:f>
        <x:v>55916821.9784728</x:v>
      </x:c>
      <x:c r="J8" s="32" t="n">
        <x:v>4.424565201011772</x:v>
      </x:c>
      <x:c r="K8" s="32" t="n">
        <x:f>IF(J8="","",(1/'Metadata'!$B$5)^(J8-1))</x:f>
        <x:v>2658.062576868192</x:v>
      </x:c>
      <x:c r="L8" s="31" t="n">
        <x:f>IF(E8=0,"",E8*K8)</x:f>
        <x:v>55802426.217186496</x:v>
      </x:c>
      <x:c r="M8" s="31" t="n">
        <x:f>IF(E8=0,"",I8-L8)</x:f>
        <x:v>114395.7612863034</x:v>
      </x:c>
      <x:c r="N8" s="32" t="n">
        <x:f>IF(L8=0,"",I8/L8)</x:f>
        <x:v>1.0020500141130255</x:v>
      </x:c>
      <x:c r="O8" s="34" t="n">
        <x:f>IF(L8=0,"",M8/L8)</x:f>
        <x:v>0.002050014113025624</x:v>
      </x:c>
    </x:row>
  </x:sheetData>
  <x:conditionalFormatting sqref="G2:G8">
    <x:cfRule type="cellIs" dxfId="1" priority="1" operator="lessThan">
      <x:formula>0.9</x:formula>
    </x:cfRule>
  </x:conditionalFormatting>
  <x:conditionalFormatting sqref="O2:O8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cb3aa35c39dc45a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functional_group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Cephalopods</x:v>
      </x:c>
      <x:c r="B2" s="33" t="n">
        <x:v>3</x:v>
      </x:c>
      <x:c r="C2" s="33" t="n">
        <x:v>3</x:v>
      </x:c>
      <x:c r="D2" s="31" t="n">
        <x:v>2621.0014537064</x:v>
      </x:c>
      <x:c r="E2" s="31" t="n">
        <x:v>2621.0014537064</x:v>
      </x:c>
      <x:c r="F2" s="32" t="n">
        <x:v>0</x:v>
      </x:c>
      <x:c r="G2" s="34" t="n">
        <x:v>1</x:v>
      </x:c>
      <x:c r="H2" s="32" t="n">
        <x:f>IF(E2=0,"",I2/E2)</x:f>
        <x:v>577.7559690721525</x:v>
      </x:c>
      <x:c r="I2" s="31" t="n">
        <x:f>IF(C2=0,"",SUMIF('Species'!$G$2:$G$92,A2,'Species'!$U$2:$U$92))</x:f>
        <x:v>1514299.2348256616</x:v>
      </x:c>
      <x:c r="J2" s="32" t="n">
        <x:v>3.7524238713402434</x:v>
      </x:c>
      <x:c r="K2" s="32" t="n">
        <x:f>IF(J2="","",(1/'Metadata'!$B$5)^(J2-1))</x:f>
        <x:v>565.4886223635039</x:v>
      </x:c>
      <x:c r="L2" s="31" t="n">
        <x:f>IF(E2=0,"",E2*K2)</x:f>
        <x:v>1482146.5012691729</x:v>
      </x:c>
      <x:c r="M2" s="31" t="n">
        <x:f>IF(E2=0,"",I2-L2)</x:f>
        <x:v>32152.73355648876</x:v>
      </x:c>
      <x:c r="N2" s="32" t="n">
        <x:f>IF(L2=0,"",I2/L2)</x:f>
        <x:v>1.0216933572551405</x:v>
      </x:c>
      <x:c r="O2" s="34" t="n">
        <x:f>IF(L2=0,"",M2/L2)</x:f>
        <x:v>0.021693357255140527</x:v>
      </x:c>
    </x:row>
    <x:row r="3" ht="18" customHeight="1">
      <x:c r="A3" s="24" t="str">
        <x:v>Large bathypelagics (&gt;=90 cm)</x:v>
      </x:c>
      <x:c r="B3" s="33" t="n">
        <x:v>1</x:v>
      </x:c>
      <x:c r="C3" s="33" t="n">
        <x:v>1</x:v>
      </x:c>
      <x:c r="D3" s="31" t="n">
        <x:v>4.1127440414</x:v>
      </x:c>
      <x:c r="E3" s="31" t="n">
        <x:v>4.1127440414</x:v>
      </x:c>
      <x:c r="F3" s="32" t="n">
        <x:v>0</x:v>
      </x:c>
      <x:c r="G3" s="34" t="n">
        <x:v>1</x:v>
      </x:c>
      <x:c r="H3" s="32" t="n">
        <x:f>IF(E3=0,"",I3/E3)</x:f>
        <x:v>2187.761623949552</x:v>
      </x:c>
      <x:c r="I3" s="31" t="n">
        <x:f>IF(C3=0,"",SUMIF('Species'!$G$2:$G$92,A3,'Species'!$U$2:$U$92))</x:f>
        <x:v>8997.703582902108</x:v>
      </x:c>
      <x:c r="J3" s="32" t="n">
        <x:v>4.34</x:v>
      </x:c>
      <x:c r="K3" s="32" t="n">
        <x:f>IF(J3="","",(1/'Metadata'!$B$5)^(J3-1))</x:f>
        <x:v>2187.761623949552</x:v>
      </x:c>
      <x:c r="L3" s="31" t="n">
        <x:f>IF(E3=0,"",E3*K3)</x:f>
        <x:v>8997.703582902108</x:v>
      </x:c>
      <x:c r="M3" s="31" t="n">
        <x:f>IF(E3=0,"",I3-L3)</x:f>
        <x:v>0</x:v>
      </x:c>
      <x:c r="N3" s="32" t="n">
        <x:f>IF(L3=0,"",I3/L3)</x:f>
        <x:v>1</x:v>
      </x:c>
      <x:c r="O3" s="34" t="n">
        <x:f>IF(L3=0,"",M3/L3)</x:f>
        <x:v>0</x:v>
      </x:c>
    </x:row>
    <x:row r="4" ht="18" customHeight="1">
      <x:c r="A4" s="24" t="str">
        <x:v>Large benthopelagics (&gt;=90 cm)</x:v>
      </x:c>
      <x:c r="B4" s="33" t="n">
        <x:v>3</x:v>
      </x:c>
      <x:c r="C4" s="33" t="n">
        <x:v>3</x:v>
      </x:c>
      <x:c r="D4" s="31" t="n">
        <x:v>53.9495543235</x:v>
      </x:c>
      <x:c r="E4" s="31" t="n">
        <x:v>53.9495543235</x:v>
      </x:c>
      <x:c r="F4" s="32" t="n">
        <x:v>0</x:v>
      </x:c>
      <x:c r="G4" s="34" t="n">
        <x:v>1</x:v>
      </x:c>
      <x:c r="H4" s="32" t="n">
        <x:f>IF(E4=0,"",I4/E4)</x:f>
        <x:v>2941.7370514787544</x:v>
      </x:c>
      <x:c r="I4" s="31" t="n">
        <x:f>IF(C4=0,"",SUMIF('Species'!$G$2:$G$92,A4,'Species'!$U$2:$U$92))</x:f>
        <x:v>158705.4028642058</x:v>
      </x:c>
      <x:c r="J4" s="32" t="n">
        <x:v>4.466608042719803</x:v>
      </x:c>
      <x:c r="K4" s="32" t="n">
        <x:f>IF(J4="","",(1/'Metadata'!$B$5)^(J4-1))</x:f>
        <x:v>2928.2492634570763</x:v>
      </x:c>
      <x:c r="L4" s="31" t="n">
        <x:f>IF(E4=0,"",E4*K4)</x:f>
        <x:v>157977.7427116264</x:v>
      </x:c>
      <x:c r="M4" s="31" t="n">
        <x:f>IF(E4=0,"",I4-L4)</x:f>
        <x:v>727.6601525793958</x:v>
      </x:c>
      <x:c r="N4" s="32" t="n">
        <x:f>IF(L4=0,"",I4/L4)</x:f>
        <x:v>1.0046060928589648</x:v>
      </x:c>
      <x:c r="O4" s="34" t="n">
        <x:f>IF(L4=0,"",M4/L4)</x:f>
        <x:v>0.004606092858964768</x:v>
      </x:c>
    </x:row>
    <x:row r="5" ht="18" customHeight="1">
      <x:c r="A5" s="24" t="str">
        <x:v>Large demersals (&gt;=90 cm)</x:v>
      </x:c>
      <x:c r="B5" s="33" t="n">
        <x:v>4</x:v>
      </x:c>
      <x:c r="C5" s="33" t="n">
        <x:v>4</x:v>
      </x:c>
      <x:c r="D5" s="31" t="n">
        <x:v>79.4829302398</x:v>
      </x:c>
      <x:c r="E5" s="31" t="n">
        <x:v>79.4829302398</x:v>
      </x:c>
      <x:c r="F5" s="32" t="n">
        <x:v>0</x:v>
      </x:c>
      <x:c r="G5" s="34" t="n">
        <x:v>1</x:v>
      </x:c>
      <x:c r="H5" s="32" t="n">
        <x:f>IF(E5=0,"",I5/E5)</x:f>
        <x:v>879.4916478504684</x:v>
      </x:c>
      <x:c r="I5" s="31" t="n">
        <x:f>IF(C5=0,"",SUMIF('Species'!$G$2:$G$92,A5,'Species'!$U$2:$U$92))</x:f>
        <x:v>69904.57329258553</x:v>
      </x:c>
      <x:c r="J5" s="32" t="n">
        <x:v>3.9278053333198373</x:v>
      </x:c>
      <x:c r="K5" s="32" t="n">
        <x:f>IF(J5="","",(1/'Metadata'!$B$5)^(J5-1))</x:f>
        <x:v>846.8477409066511</x:v>
      </x:c>
      <x:c r="L5" s="31" t="n">
        <x:f>IF(E5=0,"",E5*K5)</x:f>
        <x:v>67309.93991421557</x:v>
      </x:c>
      <x:c r="M5" s="31" t="n">
        <x:f>IF(E5=0,"",I5-L5)</x:f>
        <x:v>2594.633378369952</x:v>
      </x:c>
      <x:c r="N5" s="32" t="n">
        <x:f>IF(L5=0,"",I5/L5)</x:f>
        <x:v>1.038547551545533</x:v>
      </x:c>
      <x:c r="O5" s="34" t="n">
        <x:f>IF(L5=0,"",M5/L5)</x:f>
        <x:v>0.03854755154553297</x:v>
      </x:c>
    </x:row>
    <x:row r="6" ht="18" customHeight="1">
      <x:c r="A6" s="24" t="str">
        <x:v>Large pelagics (&gt;=90 cm)</x:v>
      </x:c>
      <x:c r="B6" s="33" t="n">
        <x:v>18</x:v>
      </x:c>
      <x:c r="C6" s="33" t="n">
        <x:v>18</x:v>
      </x:c>
      <x:c r="D6" s="31" t="n">
        <x:v>19548.241897718905</x:v>
      </x:c>
      <x:c r="E6" s="31" t="n">
        <x:v>19548.241897718905</x:v>
      </x:c>
      <x:c r="F6" s="32" t="n">
        <x:v>0</x:v>
      </x:c>
      <x:c r="G6" s="34" t="n">
        <x:v>1</x:v>
      </x:c>
      <x:c r="H6" s="32" t="n">
        <x:f>IF(E6=0,"",I6/E6)</x:f>
        <x:v>2664.4422268069143</x:v>
      </x:c>
      <x:c r="I6" s="31" t="n">
        <x:f>IF(C6=0,"",SUMIF('Species'!$G$2:$G$92,A6,'Species'!$U$2:$U$92))</x:f>
        <x:v>52085161.17211838</x:v>
      </x:c>
      <x:c r="J6" s="32" t="n">
        <x:v>4.423848780593224</x:v>
      </x:c>
      <x:c r="K6" s="32" t="n">
        <x:f>IF(J6="","",(1/'Metadata'!$B$5)^(J6-1))</x:f>
        <x:v>2653.681401030743</x:v>
      </x:c>
      <x:c r="L6" s="31" t="n">
        <x:f>IF(E6=0,"",E6*K6)</x:f>
        <x:v>51874805.94682657</x:v>
      </x:c>
      <x:c r="M6" s="31" t="n">
        <x:f>IF(E6=0,"",I6-L6)</x:f>
        <x:v>210355.22529181093</x:v>
      </x:c>
      <x:c r="N6" s="32" t="n">
        <x:f>IF(L6=0,"",I6/L6)</x:f>
        <x:v>1.0040550556566405</x:v>
      </x:c>
      <x:c r="O6" s="34" t="n">
        <x:f>IF(L6=0,"",M6/L6)</x:f>
        <x:v>0.004055055656640569</x:v>
      </x:c>
    </x:row>
    <x:row r="7" ht="18" customHeight="1">
      <x:c r="A7" s="24" t="str">
        <x:v>Large rays (&gt;=90 cm)</x:v>
      </x:c>
      <x:c r="B7" s="33" t="n">
        <x:v>2</x:v>
      </x:c>
      <x:c r="C7" s="33" t="n">
        <x:v>2</x:v>
      </x:c>
      <x:c r="D7" s="31" t="n">
        <x:v>44.142350427699995</x:v>
      </x:c>
      <x:c r="E7" s="31" t="n">
        <x:v>44.142350427699995</x:v>
      </x:c>
      <x:c r="F7" s="32" t="n">
        <x:v>0</x:v>
      </x:c>
      <x:c r="G7" s="34" t="n">
        <x:v>1</x:v>
      </x:c>
      <x:c r="H7" s="32" t="n">
        <x:f>IF(E7=0,"",I7/E7)</x:f>
        <x:v>232.47238556147988</x:v>
      </x:c>
      <x:c r="I7" s="31" t="n">
        <x:f>IF(C7=0,"",SUMIF('Species'!$G$2:$G$92,A7,'Species'!$U$2:$U$92))</x:f>
        <x:v>10261.87750821823</x:v>
      </x:c>
      <x:c r="J7" s="32" t="n">
        <x:v>3.364230462754353</x:v>
      </x:c>
      <x:c r="K7" s="32" t="n">
        <x:f>IF(J7="","",(1/'Metadata'!$B$5)^(J7-1))</x:f>
        <x:v>231.32920363109955</x:v>
      </x:c>
      <x:c r="L7" s="31" t="n">
        <x:f>IF(E7=0,"",E7*K7)</x:f>
        <x:v>10211.414770844765</x:v>
      </x:c>
      <x:c r="M7" s="31" t="n">
        <x:f>IF(E7=0,"",I7-L7)</x:f>
        <x:v>50.462737373463824</x:v>
      </x:c>
      <x:c r="N7" s="32" t="n">
        <x:f>IF(L7=0,"",I7/L7)</x:f>
        <x:v>1.0049417968524346</x:v>
      </x:c>
      <x:c r="O7" s="34" t="n">
        <x:f>IF(L7=0,"",M7/L7)</x:f>
        <x:v>0.0049417968524345</x:v>
      </x:c>
    </x:row>
    <x:row r="8" ht="18" customHeight="1">
      <x:c r="A8" s="24" t="str">
        <x:v>Large reef assoc. fish (&gt;=90 cm)</x:v>
      </x:c>
      <x:c r="B8" s="33" t="n">
        <x:v>7</x:v>
      </x:c>
      <x:c r="C8" s="33" t="n">
        <x:v>7</x:v>
      </x:c>
      <x:c r="D8" s="31" t="n">
        <x:v>737.0432717129</x:v>
      </x:c>
      <x:c r="E8" s="31" t="n">
        <x:v>737.0432717129</x:v>
      </x:c>
      <x:c r="F8" s="32" t="n">
        <x:v>0</x:v>
      </x:c>
      <x:c r="G8" s="34" t="n">
        <x:v>1</x:v>
      </x:c>
      <x:c r="H8" s="32" t="n">
        <x:f>IF(E8=0,"",I8/E8)</x:f>
        <x:v>2180.2799129254413</x:v>
      </x:c>
      <x:c r="I8" s="31" t="n">
        <x:f>IF(C8=0,"",SUMIF('Species'!$G$2:$G$92,A8,'Species'!$U$2:$U$92))</x:f>
        <x:v>1606960.640272484</x:v>
      </x:c>
      <x:c r="J8" s="32" t="n">
        <x:v>4.302970952345615</x:v>
      </x:c>
      <x:c r="K8" s="32" t="n">
        <x:f>IF(J8="","",(1/'Metadata'!$B$5)^(J8-1))</x:f>
        <x:v>2008.9584395405755</x:v>
      </x:c>
      <x:c r="L8" s="31" t="n">
        <x:f>IF(E8=0,"",E8*K8)</x:f>
        <x:v>1480689.301014228</x:v>
      </x:c>
      <x:c r="M8" s="31" t="n">
        <x:f>IF(E8=0,"",I8-L8)</x:f>
        <x:v>126271.3392582559</x:v>
      </x:c>
      <x:c r="N8" s="32" t="n">
        <x:f>IF(L8=0,"",I8/L8)</x:f>
        <x:v>1.0852787544096953</x:v>
      </x:c>
      <x:c r="O8" s="34" t="n">
        <x:f>IF(L8=0,"",M8/L8)</x:f>
        <x:v>0.0852787544096954</x:v>
      </x:c>
    </x:row>
    <x:row r="9" ht="18" customHeight="1">
      <x:c r="A9" s="24" t="str">
        <x:v>Large sharks (&gt;=90 cm)</x:v>
      </x:c>
      <x:c r="B9" s="33" t="n">
        <x:v>7</x:v>
      </x:c>
      <x:c r="C9" s="33" t="n">
        <x:v>7</x:v>
      </x:c>
      <x:c r="D9" s="31" t="n">
        <x:v>269.0606710079</x:v>
      </x:c>
      <x:c r="E9" s="31" t="n">
        <x:v>269.0606710079</x:v>
      </x:c>
      <x:c r="F9" s="32" t="n">
        <x:v>0</x:v>
      </x:c>
      <x:c r="G9" s="34" t="n">
        <x:v>1</x:v>
      </x:c>
      <x:c r="H9" s="32" t="n">
        <x:f>IF(E9=0,"",I9/E9)</x:f>
        <x:v>3245.1843674729225</x:v>
      </x:c>
      <x:c r="I9" s="31" t="n">
        <x:f>IF(C9=0,"",SUMIF('Species'!$G$2:$G$92,A9,'Species'!$U$2:$U$92))</x:f>
        <x:v>873151.4834566121</x:v>
      </x:c>
      <x:c r="J9" s="32" t="n">
        <x:v>4.485537065430668</x:v>
      </x:c>
      <x:c r="K9" s="32" t="n">
        <x:f>IF(J9="","",(1/'Metadata'!$B$5)^(J9-1))</x:f>
        <x:v>3058.7012842333447</x:v>
      </x:c>
      <x:c r="L9" s="31" t="n">
        <x:f>IF(E9=0,"",E9*K9)</x:f>
        <x:v>822976.2199485492</x:v>
      </x:c>
      <x:c r="M9" s="31" t="n">
        <x:f>IF(E9=0,"",I9-L9)</x:f>
        <x:v>50175.263508062926</x:v>
      </x:c>
      <x:c r="N9" s="32" t="n">
        <x:f>IF(L9=0,"",I9/L9)</x:f>
        <x:v>1.06096805994127</x:v>
      </x:c>
      <x:c r="O9" s="34" t="n">
        <x:f>IF(L9=0,"",M9/L9)</x:f>
        <x:v>0.06096805994126997</x:v>
      </x:c>
    </x:row>
    <x:row r="10" ht="18" customHeight="1">
      <x:c r="A10" s="24" t="str">
        <x:v>Medium bathydemersals (30 - 89 cm)</x:v>
      </x:c>
      <x:c r="B10" s="33" t="n">
        <x:v>1</x:v>
      </x:c>
      <x:c r="C10" s="33" t="n">
        <x:v>1</x:v>
      </x:c>
      <x:c r="D10" s="31" t="n">
        <x:v>5.4482047933</x:v>
      </x:c>
      <x:c r="E10" s="31" t="n">
        <x:v>5.4482047933</x:v>
      </x:c>
      <x:c r="F10" s="32" t="n">
        <x:v>0</x:v>
      </x:c>
      <x:c r="G10" s="34" t="n">
        <x:v>1</x:v>
      </x:c>
      <x:c r="H10" s="32" t="n">
        <x:f>IF(E10=0,"",I10/E10)</x:f>
        <x:v>223.87211385683398</x:v>
      </x:c>
      <x:c r="I10" s="31" t="n">
        <x:f>IF(C10=0,"",SUMIF('Species'!$G$2:$G$92,A10,'Species'!$U$2:$U$92))</x:f>
        <x:v>1219.7011238010064</x:v>
      </x:c>
      <x:c r="J10" s="32" t="n">
        <x:v>3.35</x:v>
      </x:c>
      <x:c r="K10" s="32" t="n">
        <x:f>IF(J10="","",(1/'Metadata'!$B$5)^(J10-1))</x:f>
        <x:v>223.872113856834</x:v>
      </x:c>
      <x:c r="L10" s="31" t="n">
        <x:f>IF(E10=0,"",E10*K10)</x:f>
        <x:v>1219.7011238010064</x:v>
      </x:c>
      <x:c r="M10" s="31" t="n">
        <x:f>IF(E10=0,"",I10-L10)</x:f>
        <x:v>0</x:v>
      </x:c>
      <x:c r="N10" s="32" t="n">
        <x:f>IF(L10=0,"",I10/L10)</x:f>
        <x:v>1</x:v>
      </x:c>
      <x:c r="O10" s="34" t="n">
        <x:f>IF(L10=0,"",M10/L10)</x:f>
        <x:v>0</x:v>
      </x:c>
    </x:row>
    <x:row r="11" ht="18" customHeight="1">
      <x:c r="A11" s="24" t="str">
        <x:v>Medium bathypelagics (30 - 89 cm)</x:v>
      </x:c>
      <x:c r="B11" s="33" t="n">
        <x:v>1</x:v>
      </x:c>
      <x:c r="C11" s="33" t="n">
        <x:v>1</x:v>
      </x:c>
      <x:c r="D11" s="31" t="n">
        <x:v>0.0061752514</x:v>
      </x:c>
      <x:c r="E11" s="31" t="n">
        <x:v>0.0061752514</x:v>
      </x:c>
      <x:c r="F11" s="32" t="n">
        <x:v>0</x:v>
      </x:c>
      <x:c r="G11" s="34" t="n">
        <x:v>1</x:v>
      </x:c>
      <x:c r="H11" s="32" t="n">
        <x:f>IF(E11=0,"",I11/E11)</x:f>
        <x:v>1202.2644346174131</x:v>
      </x:c>
      <x:c r="I11" s="31" t="n">
        <x:f>IF(C11=0,"",SUMIF('Species'!$G$2:$G$92,A11,'Species'!$U$2:$U$92))</x:f>
        <x:v>7.424285133041389</x:v>
      </x:c>
      <x:c r="J11" s="32" t="n">
        <x:v>4.08</x:v>
      </x:c>
      <x:c r="K11" s="32" t="n">
        <x:f>IF(J11="","",(1/'Metadata'!$B$5)^(J11-1))</x:f>
        <x:v>1202.2644346174131</x:v>
      </x:c>
      <x:c r="L11" s="31" t="n">
        <x:f>IF(E11=0,"",E11*K11)</x:f>
        <x:v>7.424285133041389</x:v>
      </x:c>
      <x:c r="M11" s="31" t="n">
        <x:f>IF(E11=0,"",I11-L11)</x:f>
        <x:v>0</x:v>
      </x:c>
      <x:c r="N11" s="32" t="n">
        <x:f>IF(L11=0,"",I11/L11)</x:f>
        <x:v>1</x:v>
      </x:c>
      <x:c r="O11" s="34" t="n">
        <x:f>IF(L11=0,"",M11/L11)</x:f>
        <x:v>0</x:v>
      </x:c>
    </x:row>
    <x:row r="12" ht="18" customHeight="1">
      <x:c r="A12" s="24" t="str">
        <x:v>Medium benthopelagics (30 - 89 cm)</x:v>
      </x:c>
      <x:c r="B12" s="33" t="n">
        <x:v>7</x:v>
      </x:c>
      <x:c r="C12" s="33" t="n">
        <x:v>7</x:v>
      </x:c>
      <x:c r="D12" s="31" t="n">
        <x:v>1455.3624449974004</x:v>
      </x:c>
      <x:c r="E12" s="31" t="n">
        <x:v>1455.3624449974004</x:v>
      </x:c>
      <x:c r="F12" s="32" t="n">
        <x:v>0</x:v>
      </x:c>
      <x:c r="G12" s="34" t="n">
        <x:v>1</x:v>
      </x:c>
      <x:c r="H12" s="32" t="n">
        <x:f>IF(E12=0,"",I12/E12)</x:f>
        <x:v>500.93509020154573</x:v>
      </x:c>
      <x:c r="I12" s="31" t="n">
        <x:f>IF(C12=0,"",SUMIF('Species'!$G$2:$G$92,A12,'Species'!$U$2:$U$92))</x:f>
        <x:v>729042.1176607149</x:v>
      </x:c>
      <x:c r="J12" s="32" t="n">
        <x:v>3.560761899385169</x:v>
      </x:c>
      <x:c r="K12" s="32" t="n">
        <x:f>IF(J12="","",(1/'Metadata'!$B$5)^(J12-1))</x:f>
        <x:v>363.7155755090319</x:v>
      </x:c>
      <x:c r="L12" s="31" t="n">
        <x:f>IF(E12=0,"",E12*K12)</x:f>
        <x:v>529337.9892564613</x:v>
      </x:c>
      <x:c r="M12" s="31" t="n">
        <x:f>IF(E12=0,"",I12-L12)</x:f>
        <x:v>199704.12840425363</x:v>
      </x:c>
      <x:c r="N12" s="32" t="n">
        <x:f>IF(L12=0,"",I12/L12)</x:f>
        <x:v>1.377271483357485</x:v>
      </x:c>
      <x:c r="O12" s="34" t="n">
        <x:f>IF(L12=0,"",M12/L12)</x:f>
        <x:v>0.37727148335748506</x:v>
      </x:c>
    </x:row>
    <x:row r="13" ht="18" customHeight="1">
      <x:c r="A13" s="24" t="str">
        <x:v>Medium demersals (30 - 89 cm)</x:v>
      </x:c>
      <x:c r="B13" s="33" t="n">
        <x:v>8</x:v>
      </x:c>
      <x:c r="C13" s="33" t="n">
        <x:v>8</x:v>
      </x:c>
      <x:c r="D13" s="31" t="n">
        <x:v>5361.057273001799</x:v>
      </x:c>
      <x:c r="E13" s="31" t="n">
        <x:v>5361.057273001799</x:v>
      </x:c>
      <x:c r="F13" s="32" t="n">
        <x:v>0</x:v>
      </x:c>
      <x:c r="G13" s="34" t="n">
        <x:v>1</x:v>
      </x:c>
      <x:c r="H13" s="32" t="n">
        <x:f>IF(E13=0,"",I13/E13)</x:f>
        <x:v>199.9816749350906</x:v>
      </x:c>
      <x:c r="I13" s="31" t="n">
        <x:f>IF(C13=0,"",SUMIF('Species'!$G$2:$G$92,A13,'Species'!$U$2:$U$92))</x:f>
        <x:v>1072113.2128778491</x:v>
      </x:c>
      <x:c r="J13" s="32" t="n">
        <x:v>3.279659389723623</x:v>
      </x:c>
      <x:c r="K13" s="32" t="n">
        <x:f>IF(J13="","",(1/'Metadata'!$B$5)^(J13-1))</x:f>
        <x:v>190.39668812062197</x:v>
      </x:c>
      <x:c r="L13" s="31" t="n">
        <x:f>IF(E13=0,"",E13*K13)</x:f>
        <x:v>1020727.5496045158</x:v>
      </x:c>
      <x:c r="M13" s="31" t="n">
        <x:f>IF(E13=0,"",I13-L13)</x:f>
        <x:v>51385.66327333334</x:v>
      </x:c>
      <x:c r="N13" s="32" t="n">
        <x:f>IF(L13=0,"",I13/L13)</x:f>
        <x:v>1.0503421929713201</x:v>
      </x:c>
      <x:c r="O13" s="34" t="n">
        <x:f>IF(L13=0,"",M13/L13)</x:f>
        <x:v>0.05034219297132019</x:v>
      </x:c>
    </x:row>
    <x:row r="14" ht="18" customHeight="1">
      <x:c r="A14" s="24" t="str">
        <x:v>Medium pelagics (30 - 89 cm)</x:v>
      </x:c>
      <x:c r="B14" s="33" t="n">
        <x:v>13</x:v>
      </x:c>
      <x:c r="C14" s="33" t="n">
        <x:v>13</x:v>
      </x:c>
      <x:c r="D14" s="31" t="n">
        <x:v>7885.652013865199</x:v>
      </x:c>
      <x:c r="E14" s="31" t="n">
        <x:v>7885.652013865199</x:v>
      </x:c>
      <x:c r="F14" s="32" t="n">
        <x:v>0</x:v>
      </x:c>
      <x:c r="G14" s="34" t="n">
        <x:v>1</x:v>
      </x:c>
      <x:c r="H14" s="32" t="n">
        <x:f>IF(E14=0,"",I14/E14)</x:f>
        <x:v>1160.7925206609375</x:v>
      </x:c>
      <x:c r="I14" s="31" t="n">
        <x:f>IF(C14=0,"",SUMIF('Species'!$G$2:$G$92,A14,'Species'!$U$2:$U$92))</x:f>
        <x:v>9153605.878229583</x:v>
      </x:c>
      <x:c r="J14" s="32" t="n">
        <x:v>3.9694625026287347</x:v>
      </x:c>
      <x:c r="K14" s="32" t="n">
        <x:f>IF(J14="","",(1/'Metadata'!$B$5)^(J14-1))</x:f>
        <x:v>932.0999885264132</x:v>
      </x:c>
      <x:c r="L14" s="31" t="n">
        <x:f>IF(E14=0,"",E14*K14)</x:f>
        <x:v>7350216.151647039</x:v>
      </x:c>
      <x:c r="M14" s="31" t="n">
        <x:f>IF(E14=0,"",I14-L14)</x:f>
        <x:v>1803389.726582544</x:v>
      </x:c>
      <x:c r="N14" s="32" t="n">
        <x:f>IF(L14=0,"",I14/L14)</x:f>
        <x:v>1.245351931069189</x:v>
      </x:c>
      <x:c r="O14" s="34" t="n">
        <x:f>IF(L14=0,"",M14/L14)</x:f>
        <x:v>0.245351931069189</x:v>
      </x:c>
    </x:row>
    <x:row r="15" ht="18" customHeight="1">
      <x:c r="A15" s="24" t="str">
        <x:v>Medium reef assoc. fish (30 - 89 cm)</x:v>
      </x:c>
      <x:c r="B15" s="33" t="n">
        <x:v>8</x:v>
      </x:c>
      <x:c r="C15" s="33" t="n">
        <x:v>8</x:v>
      </x:c>
      <x:c r="D15" s="31" t="n">
        <x:v>538.527041641</x:v>
      </x:c>
      <x:c r="E15" s="31" t="n">
        <x:v>538.527041641</x:v>
      </x:c>
      <x:c r="F15" s="32" t="n">
        <x:v>0</x:v>
      </x:c>
      <x:c r="G15" s="34" t="n">
        <x:v>1</x:v>
      </x:c>
      <x:c r="H15" s="32" t="n">
        <x:f>IF(E15=0,"",I15/E15)</x:f>
        <x:v>939.8988420486338</x:v>
      </x:c>
      <x:c r="I15" s="31" t="n">
        <x:f>IF(C15=0,"",SUMIF('Species'!$G$2:$G$92,A15,'Species'!$U$2:$U$92))</x:f>
        <x:v>506160.94285025226</x:v>
      </x:c>
      <x:c r="J15" s="32" t="n">
        <x:v>3.9149709096214287</x:v>
      </x:c>
      <x:c r="K15" s="32" t="n">
        <x:f>IF(J15="","",(1/'Metadata'!$B$5)^(J15-1))</x:f>
        <x:v>822.1875754529589</x:v>
      </x:c>
      <x:c r="L15" s="31" t="n">
        <x:f>IF(E15=0,"",E15*K15)</x:f>
        <x:v>442770.2426826684</x:v>
      </x:c>
      <x:c r="M15" s="31" t="n">
        <x:f>IF(E15=0,"",I15-L15)</x:f>
        <x:v>63390.700167583884</x:v>
      </x:c>
      <x:c r="N15" s="32" t="n">
        <x:f>IF(L15=0,"",I15/L15)</x:f>
        <x:v>1.1431683840890268</x:v>
      </x:c>
      <x:c r="O15" s="34" t="n">
        <x:f>IF(L15=0,"",M15/L15)</x:f>
        <x:v>0.14316838408902682</x:v>
      </x:c>
    </x:row>
    <x:row r="16" ht="18" customHeight="1">
      <x:c r="A16" s="24" t="str">
        <x:v>Other demersal invertebrates</x:v>
      </x:c>
      <x:c r="B16" s="33" t="n">
        <x:v>4</x:v>
      </x:c>
      <x:c r="C16" s="33" t="n">
        <x:v>4</x:v>
      </x:c>
      <x:c r="D16" s="31" t="n">
        <x:v>544.0629211914</x:v>
      </x:c>
      <x:c r="E16" s="31" t="n">
        <x:v>544.0629211914</x:v>
      </x:c>
      <x:c r="F16" s="32" t="n">
        <x:v>0</x:v>
      </x:c>
      <x:c r="G16" s="34" t="n">
        <x:v>1</x:v>
      </x:c>
      <x:c r="H16" s="32" t="n">
        <x:f>IF(E16=0,"",I16/E16)</x:f>
        <x:v>10.005731664254416</x:v>
      </x:c>
      <x:c r="I16" s="31" t="n">
        <x:f>IF(C16=0,"",SUMIF('Species'!$G$2:$G$92,A16,'Species'!$U$2:$U$92))</x:f>
        <x:v>5443.747597911546</x:v>
      </x:c>
      <x:c r="J16" s="32" t="n">
        <x:v>2.000221363527616</x:v>
      </x:c>
      <x:c r="K16" s="32" t="n">
        <x:f>IF(J16="","",(1/'Metadata'!$B$5)^(J16-1))</x:f>
        <x:v>10.005098382821997</x:v>
      </x:c>
      <x:c r="L16" s="31" t="n">
        <x:f>IF(E16=0,"",E16*K16)</x:f>
        <x:v>5443.403052965488</x:v>
      </x:c>
      <x:c r="M16" s="31" t="n">
        <x:f>IF(E16=0,"",I16-L16)</x:f>
        <x:v>0.34454494605779473</x:v>
      </x:c>
      <x:c r="N16" s="32" t="n">
        <x:f>IF(L16=0,"",I16/L16)</x:f>
        <x:v>1.0000632958725828</x:v>
      </x:c>
      <x:c r="O16" s="34" t="n">
        <x:f>IF(L16=0,"",M16/L16)</x:f>
        <x:v>0.00006329587258288573</x:v>
      </x:c>
    </x:row>
    <x:row r="17" ht="18" customHeight="1">
      <x:c r="A17" s="24" t="str">
        <x:v>Small demersals (&lt;30 cm)</x:v>
      </x:c>
      <x:c r="B17" s="33" t="n">
        <x:v>1</x:v>
      </x:c>
      <x:c r="C17" s="33" t="n">
        <x:v>1</x:v>
      </x:c>
      <x:c r="D17" s="31" t="n">
        <x:v>31.3583545466</x:v>
      </x:c>
      <x:c r="E17" s="31" t="n">
        <x:v>31.3583545466</x:v>
      </x:c>
      <x:c r="F17" s="32" t="n">
        <x:v>0</x:v>
      </x:c>
      <x:c r="G17" s="34" t="n">
        <x:v>1</x:v>
      </x:c>
      <x:c r="H17" s="32" t="n">
        <x:f>IF(E17=0,"",I17/E17)</x:f>
        <x:v>1202.2644346174131</x:v>
      </x:c>
      <x:c r="I17" s="31" t="n">
        <x:f>IF(C17=0,"",SUMIF('Species'!$G$2:$G$92,A17,'Species'!$U$2:$U$92))</x:f>
        <x:v>37701.03439950044</x:v>
      </x:c>
      <x:c r="J17" s="32" t="n">
        <x:v>4.08</x:v>
      </x:c>
      <x:c r="K17" s="32" t="n">
        <x:f>IF(J17="","",(1/'Metadata'!$B$5)^(J17-1))</x:f>
        <x:v>1202.2644346174131</x:v>
      </x:c>
      <x:c r="L17" s="31" t="n">
        <x:f>IF(E17=0,"",E17*K17)</x:f>
        <x:v>37701.03439950044</x:v>
      </x:c>
      <x:c r="M17" s="31" t="n">
        <x:f>IF(E17=0,"",I17-L17)</x:f>
        <x:v>0</x:v>
      </x:c>
      <x:c r="N17" s="32" t="n">
        <x:f>IF(L17=0,"",I17/L17)</x:f>
        <x:v>1</x:v>
      </x:c>
      <x:c r="O17" s="34" t="n">
        <x:f>IF(L17=0,"",M17/L17)</x:f>
        <x:v>0</x:v>
      </x:c>
    </x:row>
    <x:row r="18" ht="18" customHeight="1">
      <x:c r="A18" s="24" t="str">
        <x:v>Small pelagics (&lt;30 cm)</x:v>
      </x:c>
      <x:c r="B18" s="33" t="n">
        <x:v>2</x:v>
      </x:c>
      <x:c r="C18" s="33" t="n">
        <x:v>2</x:v>
      </x:c>
      <x:c r="D18" s="31" t="n">
        <x:v>1499.2246475676</x:v>
      </x:c>
      <x:c r="E18" s="31" t="n">
        <x:v>1499.2246475676</x:v>
      </x:c>
      <x:c r="F18" s="32" t="n">
        <x:v>0</x:v>
      </x:c>
      <x:c r="G18" s="34" t="n">
        <x:v>1</x:v>
      </x:c>
      <x:c r="H18" s="32" t="n">
        <x:f>IF(E18=0,"",I18/E18)</x:f>
        <x:v>264.4593055749636</x:v>
      </x:c>
      <x:c r="I18" s="31" t="n">
        <x:f>IF(C18=0,"",SUMIF('Species'!$G$2:$G$92,A18,'Species'!$U$2:$U$92))</x:f>
        <x:v>396483.90919659706</x:v>
      </x:c>
      <x:c r="J18" s="32" t="n">
        <x:v>3.405510574703562</x:v>
      </x:c>
      <x:c r="K18" s="32" t="n">
        <x:f>IF(J18="","",(1/'Metadata'!$B$5)^(J18-1))</x:f>
        <x:v>254.39617356937404</x:v>
      </x:c>
      <x:c r="L18" s="31" t="n">
        <x:f>IF(E18=0,"",E18*K18)</x:f>
        <x:v>381397.01366209076</x:v>
      </x:c>
      <x:c r="M18" s="31" t="n">
        <x:f>IF(E18=0,"",I18-L18)</x:f>
        <x:v>15086.8955345063</x:v>
      </x:c>
      <x:c r="N18" s="32" t="n">
        <x:f>IF(L18=0,"",I18/L18)</x:f>
        <x:v>1.0395569314758006</x:v>
      </x:c>
      <x:c r="O18" s="34" t="n">
        <x:f>IF(L18=0,"",M18/L18)</x:f>
        <x:v>0.039556931475800576</x:v>
      </x:c>
    </x:row>
    <x:row r="19" ht="18" customHeight="1">
      <x:c r="A19" s="24" t="str">
        <x:v>Small to medium flatfishes (&lt;90 cm)</x:v>
      </x:c>
      <x:c r="B19" s="33" t="n">
        <x:v>1</x:v>
      </x:c>
      <x:c r="C19" s="33" t="n">
        <x:v>1</x:v>
      </x:c>
      <x:c r="D19" s="31" t="n">
        <x:v>435.9650325393</x:v>
      </x:c>
      <x:c r="E19" s="31" t="n">
        <x:v>435.9650325393</x:v>
      </x:c>
      <x:c r="F19" s="32" t="n">
        <x:v>0</x:v>
      </x:c>
      <x:c r="G19" s="34" t="n">
        <x:v>1</x:v>
      </x:c>
      <x:c r="H19" s="32" t="n">
        <x:f>IF(E19=0,"",I19/E19)</x:f>
        <x:v>141.2537544622754</x:v>
      </x:c>
      <x:c r="I19" s="31" t="n">
        <x:f>IF(C19=0,"",SUMIF('Species'!$G$2:$G$92,A19,'Species'!$U$2:$U$92))</x:f>
        <x:v>61581.69766044419</x:v>
      </x:c>
      <x:c r="J19" s="32" t="n">
        <x:v>3.15</x:v>
      </x:c>
      <x:c r="K19" s="32" t="n">
        <x:f>IF(J19="","",(1/'Metadata'!$B$5)^(J19-1))</x:f>
        <x:v>141.2537544622754</x:v>
      </x:c>
      <x:c r="L19" s="31" t="n">
        <x:f>IF(E19=0,"",E19*K19)</x:f>
        <x:v>61581.69766044419</x:v>
      </x:c>
      <x:c r="M19" s="31" t="n">
        <x:f>IF(E19=0,"",I19-L19)</x:f>
        <x:v>0</x:v>
      </x:c>
      <x:c r="N19" s="32" t="n">
        <x:f>IF(L19=0,"",I19/L19)</x:f>
        <x:v>1</x:v>
      </x:c>
      <x:c r="O19" s="34" t="n">
        <x:f>IF(L19=0,"",M19/L19)</x:f>
        <x:v>0</x:v>
      </x:c>
    </x:row>
  </x:sheetData>
  <x:conditionalFormatting sqref="G2:G19">
    <x:cfRule type="cellIs" dxfId="2" priority="1" operator="lessThan">
      <x:formula>0.9</x:formula>
    </x:cfRule>
  </x:conditionalFormatting>
  <x:conditionalFormatting sqref="O2:O19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02c54ae0af9a4a4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EEZ_132</x:v>
      </x:c>
      <x:c r="B2" s="24" t="str">
        <x:v>raw_filtered_tonnes</x:v>
      </x:c>
      <x:c r="C2" s="24" t="n">
        <x:v>41113.69898257351</x:v>
      </x:c>
      <x:c r="D2" s="24" t="str">
        <x:v>tonnes</x:v>
      </x:c>
    </x:row>
    <x:row r="3" ht="18" customHeight="1">
      <x:c r="A3" s="24" t="str">
        <x:v>EEZ_132</x:v>
      </x:c>
      <x:c r="B3" s="24" t="str">
        <x:v>species_catch_tonnes</x:v>
      </x:c>
      <x:c r="C3" s="24" t="n">
        <x:v>41113.6989825735</x:v>
      </x:c>
      <x:c r="D3" s="24" t="str">
        <x:v>tonnes</x:v>
      </x:c>
    </x:row>
    <x:row r="4" ht="18" customHeight="1">
      <x:c r="A4" s="24" t="str">
        <x:v>EEZ_132</x:v>
      </x:c>
      <x:c r="B4" s="24" t="str">
        <x:v>catch_difference_tonnes</x:v>
      </x:c>
      <x:c r="C4" s="24" t="n">
        <x:v>-7.275957614183426e-12</x:v>
      </x:c>
      <x:c r="D4" s="24" t="str">
        <x:v>tonnes</x:v>
      </x:c>
    </x:row>
    <x:row r="5" ht="18" customHeight="1">
      <x:c r="A5" s="24" t="str">
        <x:v>EEZ_132</x:v>
      </x:c>
      <x:c r="B5" s="24" t="str">
        <x:v>catch_reconciled</x:v>
      </x:c>
      <x:c r="C5" s="35" t="b">
        <x:v>1</x:v>
      </x:c>
      <x:c r="D5" s="24" t="str">
        <x:v>boolean</x:v>
      </x:c>
    </x:row>
    <x:row r="6" ht="18" customHeight="1">
      <x:c r="A6" s="24" t="str">
        <x:v>EEZ_132</x:v>
      </x:c>
      <x:c r="B6" s="24" t="str">
        <x:v>matched_catch_tonnes</x:v>
      </x:c>
      <x:c r="C6" s="24" t="n">
        <x:v>41113.6989825735</x:v>
      </x:c>
      <x:c r="D6" s="24" t="str">
        <x:v>tonnes</x:v>
      </x:c>
    </x:row>
    <x:row r="7" ht="18" customHeight="1">
      <x:c r="A7" s="24" t="str">
        <x:v>EEZ_132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EEZ_132</x:v>
      </x:c>
      <x:c r="B8" s="24" t="str">
        <x:v>taxa_count</x:v>
      </x:c>
      <x:c r="C8" s="24" t="n">
        <x:v>91</x:v>
      </x:c>
      <x:c r="D8" s="24" t="str">
        <x:v>count</x:v>
      </x:c>
    </x:row>
    <x:row r="9" ht="18" customHeight="1">
      <x:c r="A9" s="24" t="str">
        <x:v>EEZ_132</x:v>
      </x:c>
      <x:c r="B9" s="24" t="str">
        <x:v>matched_taxa_count</x:v>
      </x:c>
      <x:c r="C9" s="24" t="n">
        <x:v>91</x:v>
      </x:c>
      <x:c r="D9" s="24" t="str">
        <x:v>count</x:v>
      </x:c>
    </x:row>
    <x:row r="10" ht="18" customHeight="1">
      <x:c r="A10" s="24" t="str">
        <x:v>EEZ_132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EEZ_132</x:v>
      </x:c>
      <x:c r="B11" s="24" t="str">
        <x:v>species_ppr</x:v>
      </x:c>
      <x:c r="C11" s="24" t="n">
        <x:v>68290801.75380284</x:v>
      </x:c>
      <x:c r="D11" s="24" t="str">
        <x:v>tonnes_primary_production_equivalent</x:v>
      </x:c>
    </x:row>
    <x:row r="12" ht="18" customHeight="1">
      <x:c r="A12" s="24" t="str">
        <x:v>EEZ_132</x:v>
      </x:c>
      <x:c r="B12" s="24" t="str">
        <x:v>commercial_ppr</x:v>
      </x:c>
      <x:c r="C12" s="24" t="n">
        <x:v>68290801.75380284</x:v>
      </x:c>
      <x:c r="D12" s="24" t="str">
        <x:v>tonnes_primary_production_equivalent</x:v>
      </x:c>
    </x:row>
    <x:row r="13" ht="18" customHeight="1">
      <x:c r="A13" s="24" t="str">
        <x:v>EEZ_132</x:v>
      </x:c>
      <x:c r="B13" s="24" t="str">
        <x:v>functional_ppr</x:v>
      </x:c>
      <x:c r="C13" s="24" t="n">
        <x:v>68290801.75380284</x:v>
      </x:c>
      <x:c r="D13" s="24" t="str">
        <x:v>tonnes_primary_production_equivalent</x:v>
      </x:c>
    </x:row>
    <x:row r="14" ht="18" customHeight="1">
      <x:c r="A14" s="24" t="str">
        <x:v>EEZ_132</x:v>
      </x:c>
      <x:c r="B14" s="24" t="str">
        <x:v>commercial_ppr_difference</x:v>
      </x:c>
      <x:c r="C14" s="24" t="n">
        <x:v>0</x:v>
      </x:c>
      <x:c r="D14" s="24" t="str">
        <x:v>tonnes_primary_production_equivalent</x:v>
      </x:c>
    </x:row>
    <x:row r="15" ht="18" customHeight="1">
      <x:c r="A15" s="24" t="str">
        <x:v>EEZ_132</x:v>
      </x:c>
      <x:c r="B15" s="24" t="str">
        <x:v>functional_ppr_difference</x:v>
      </x:c>
      <x:c r="C15" s="24" t="n">
        <x:v>0</x:v>
      </x:c>
      <x:c r="D15" s="24" t="str">
        <x:v>tonnes_primary_production_equivalent</x:v>
      </x:c>
    </x:row>
    <x:row r="16" ht="18" customHeight="1">
      <x:c r="A16" s="24" t="str">
        <x:v>EEZ_132</x:v>
      </x:c>
      <x:c r="B16" s="24" t="str">
        <x:v>commercial_ppr_reconciled</x:v>
      </x:c>
      <x:c r="C16" s="35" t="b">
        <x:v>1</x:v>
      </x:c>
      <x:c r="D16" s="24" t="str">
        <x:v>boolean</x:v>
      </x:c>
    </x:row>
    <x:row r="17" ht="18" customHeight="1">
      <x:c r="A17" s="24" t="str">
        <x:v>EEZ_132</x:v>
      </x:c>
      <x:c r="B17" s="24" t="str">
        <x:v>functional_ppr_reconciled</x:v>
      </x:c>
      <x:c r="C17" s="35" t="b">
        <x:v>1</x:v>
      </x:c>
      <x:c r="D17" s="24" t="str">
        <x:v>boolean</x:v>
      </x:c>
    </x:row>
    <x:row r="18" ht="18" customHeight="1">
      <x:c r="A18" s="24" t="str">
        <x:v>EEZ_132</x:v>
      </x:c>
      <x:c r="B18" s="24" t="str">
        <x:v>commercial_jensen_violations</x:v>
      </x:c>
      <x:c r="C18" s="24" t="n">
        <x:v>0</x:v>
      </x:c>
      <x:c r="D18" s="24" t="str">
        <x:v>count</x:v>
      </x:c>
    </x:row>
    <x:row r="19" ht="18" customHeight="1">
      <x:c r="A19" s="24" t="str">
        <x:v>EEZ_132</x:v>
      </x:c>
      <x:c r="B19" s="24" t="str">
        <x:v>functional_jensen_violations</x:v>
      </x:c>
      <x:c r="C19" s="24" t="n">
        <x:v>0</x:v>
      </x:c>
      <x:c r="D19" s="24" t="str">
        <x:v>count</x:v>
      </x:c>
    </x:row>
  </x:sheetData>
  <x:pageMargins left="0.7" right="0.7" top="0.75" bottom="0.75" header="0.3" footer="0.3"/>
  <x:tableParts count="1">
    <x:tablePart xmlns:r="http://schemas.openxmlformats.org/officeDocument/2006/relationships" r:id="R980ea4c6f08c41b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EEZ_132 - Cape Verde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EEZ_132</x:v>
      </x:c>
      <x:c r="C4" s="18" t="str">
        <x:v>Sea Around Us region identifier</x:v>
      </x:c>
    </x:row>
    <x:row r="5">
      <x:c r="A5" s="22" t="str">
        <x:v>Transfer efficiency</x:v>
      </x:c>
      <x:c r="B5" s="36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282 datasets</x:v>
      </x:c>
    </x:row>
    <x:row r="7">
      <x:c r="A7" s="22" t="str">
        <x:v>Region type</x:v>
      </x:c>
      <x:c r="B7" s="17" t="str">
        <x:v>EEZ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raw_data/SAU_downloads/EEZ_132-catch.zip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