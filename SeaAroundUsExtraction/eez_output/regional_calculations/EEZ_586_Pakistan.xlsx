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6edf8d9ed04b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19338f978c3b4e82"/>
    <x:sheet xmlns:r="http://schemas.openxmlformats.org/officeDocument/2006/relationships" name="Commercial" sheetId="2" r:id="Rbd6f75c8e6a74f06"/>
    <x:sheet xmlns:r="http://schemas.openxmlformats.org/officeDocument/2006/relationships" name="Functional" sheetId="3" r:id="R8d2f3a7809274c1f"/>
    <x:sheet xmlns:r="http://schemas.openxmlformats.org/officeDocument/2006/relationships" name="Missing TL" sheetId="4" r:id="R8b2259f4ddd64514"/>
    <x:sheet xmlns:r="http://schemas.openxmlformats.org/officeDocument/2006/relationships" name="Validation" sheetId="5" r:id="R71c83baf2b944d18"/>
    <x:sheet xmlns:r="http://schemas.openxmlformats.org/officeDocument/2006/relationships" name="Metadata" sheetId="6" r:id="R7ee44671995248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730507476c4603" /><Relationship Type="http://schemas.openxmlformats.org/officeDocument/2006/relationships/theme" Target="/xl/theme/theme1.xml" Id="Rbd9f808edaba4c56" /><Relationship Type="http://schemas.microsoft.com/office/2022/11/relationships/FeaturePropertyBag" Target="/xl/featurePropertyBag/featurePropertyBag.xml" Id="R007c0e3c9a034b5b" /><Relationship Type="http://schemas.openxmlformats.org/officeDocument/2006/relationships/sharedStrings" Target="/xl/sharedStrings.xml" Id="R602b802c87764b5f" /><Relationship Type="http://schemas.openxmlformats.org/officeDocument/2006/relationships/worksheet" Target="/xl/worksheets/sheet1.xml" Id="R19338f978c3b4e82" /><Relationship Type="http://schemas.openxmlformats.org/officeDocument/2006/relationships/worksheet" Target="/xl/worksheets/sheet2.xml" Id="Rbd6f75c8e6a74f06" /><Relationship Type="http://schemas.openxmlformats.org/officeDocument/2006/relationships/worksheet" Target="/xl/worksheets/sheet3.xml" Id="R8d2f3a7809274c1f" /><Relationship Type="http://schemas.openxmlformats.org/officeDocument/2006/relationships/worksheet" Target="/xl/worksheets/sheet4.xml" Id="R8b2259f4ddd64514" /><Relationship Type="http://schemas.openxmlformats.org/officeDocument/2006/relationships/worksheet" Target="/xl/worksheets/sheet5.xml" Id="R71c83baf2b944d18" /><Relationship Type="http://schemas.openxmlformats.org/officeDocument/2006/relationships/worksheet" Target="/xl/worksheets/sheet6.xml" Id="R7ee446719952484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586SpeciesTable" displayName="EEZ586SpeciesTable" ref="A1:U127" headerRowCount="1" totalsRowCount="0" totalsRowShown="0">
  <x:autoFilter ref="A1:U127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586CommercialTable" displayName="EEZ586CommercialTable" ref="A1:O10" headerRowCount="1" totalsRowCount="0" totalsRowShown="0">
  <x:autoFilter ref="A1:O10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586FunctionalTable" displayName="EEZ586FunctionalTable" ref="A1:O22" headerRowCount="1" totalsRowCount="0" totalsRowShown="0">
  <x:autoFilter ref="A1:O22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586ValidationTable" displayName="EEZ586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bba54c14a12441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38f51449d3149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c7e50ae69ff47b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8655cccfa994a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EEZ_586</x:v>
      </x:c>
      <x:c r="B2" s="24" t="str">
        <x:v>Pakistan</x:v>
      </x:c>
      <x:c r="C2" s="24" t="str">
        <x:v>EEZ</x:v>
      </x:c>
      <x:c r="D2" s="30" t="n">
        <x:v>2019</x:v>
      </x:c>
      <x:c r="E2" s="24" t="str">
        <x:v>Sardinella longiceps</x:v>
      </x:c>
      <x:c r="F2" s="24" t="str">
        <x:v>Indian oil sardine</x:v>
      </x:c>
      <x:c r="G2" s="24" t="str">
        <x:v>Small pelagics (&lt;30 cm)</x:v>
      </x:c>
      <x:c r="H2" s="24" t="str">
        <x:v>Herring-likes</x:v>
      </x:c>
      <x:c r="I2" s="31" t="n">
        <x:v>168169.85785131718</x:v>
      </x:c>
      <x:c r="J2" s="31" t="n">
        <x:v>168125.8118382677</x:v>
      </x:c>
      <x:c r="K2" s="31" t="n">
        <x:v>44.0460130495</x:v>
      </x:c>
      <x:c r="L2" s="31" t="n">
        <x:v>79156.20600000011</x:v>
      </x:c>
      <x:c r="M2" s="31" t="n">
        <x:v>89013.6518513171</x:v>
      </x:c>
      <x:c r="N2" s="24" t="str">
        <x:v>sardinella longiceps</x:v>
      </x:c>
      <x:c r="O2" s="32" t="n">
        <x:v>2.41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Sardinella longiceps</x:v>
      </x:c>
      <x:c r="T2" s="32" t="n">
        <x:f>IF(O2="","",(1/'Metadata'!$B$5)^(O2-1))</x:f>
        <x:v>25.703957827688647</x:v>
      </x:c>
      <x:c r="U2" s="31" t="n">
        <x:f>IF(T2="","",I2*T2)</x:f>
        <x:v>4322630.934098652</x:v>
      </x:c>
    </x:row>
    <x:row r="3" ht="18" customHeight="1">
      <x:c r="A3" s="24" t="str">
        <x:v>EEZ_586</x:v>
      </x:c>
      <x:c r="B3" s="24" t="str">
        <x:v>Pakistan</x:v>
      </x:c>
      <x:c r="C3" s="24" t="str">
        <x:v>EEZ</x:v>
      </x:c>
      <x:c r="D3" s="30" t="n">
        <x:v>2019</x:v>
      </x:c>
      <x:c r="E3" s="24" t="str">
        <x:v>Rastrelliger kanagurta</x:v>
      </x:c>
      <x:c r="F3" s="24" t="str">
        <x:v>Indian mackerel</x:v>
      </x:c>
      <x:c r="G3" s="24" t="str">
        <x:v>Medium pelagics (30 - 89 cm)</x:v>
      </x:c>
      <x:c r="H3" s="24" t="str">
        <x:v>Perch-likes</x:v>
      </x:c>
      <x:c r="I3" s="31" t="n">
        <x:v>78439.534058073</x:v>
      </x:c>
      <x:c r="J3" s="31" t="n">
        <x:v>78229.5758730698</x:v>
      </x:c>
      <x:c r="K3" s="31" t="n">
        <x:v>209.95818500320001</x:v>
      </x:c>
      <x:c r="L3" s="31" t="n">
        <x:v>37426.029685881804</x:v>
      </x:c>
      <x:c r="M3" s="31" t="n">
        <x:v>41013.5043721912</x:v>
      </x:c>
      <x:c r="N3" s="24" t="str">
        <x:v>rastrelliger kanagurta</x:v>
      </x:c>
      <x:c r="O3" s="32" t="n">
        <x:v>3.19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Rastrelliger kanagurta</x:v>
      </x:c>
      <x:c r="T3" s="32" t="n">
        <x:f>IF(O3="","",(1/'Metadata'!$B$5)^(O3-1))</x:f>
        <x:v>154.88166189124811</x:v>
      </x:c>
      <x:c r="U3" s="31" t="n">
        <x:f>IF(T3="","",I3*T3)</x:f>
        <x:v>12148845.392889503</x:v>
      </x:c>
    </x:row>
    <x:row r="4" ht="18" customHeight="1">
      <x:c r="A4" s="24" t="str">
        <x:v>EEZ_586</x:v>
      </x:c>
      <x:c r="B4" s="24" t="str">
        <x:v>Pakistan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42112.1483977645</x:v>
      </x:c>
      <x:c r="J4" s="31" t="n">
        <x:v>41784.7120867594</x:v>
      </x:c>
      <x:c r="K4" s="31" t="n">
        <x:v>327.4363110051</x:v>
      </x:c>
      <x:c r="L4" s="31" t="n">
        <x:v>10603.2040079433</x:v>
      </x:c>
      <x:c r="M4" s="31" t="n">
        <x:v>31508.944389821198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8024304.452097911</x:v>
      </x:c>
    </x:row>
    <x:row r="5" ht="18" customHeight="1">
      <x:c r="A5" s="24" t="str">
        <x:v>EEZ_586</x:v>
      </x:c>
      <x:c r="B5" s="24" t="str">
        <x:v>Pakistan</x:v>
      </x:c>
      <x:c r="C5" s="24" t="str">
        <x:v>EEZ</x:v>
      </x:c>
      <x:c r="D5" s="30" t="n">
        <x:v>2019</x:v>
      </x:c>
      <x:c r="E5" s="24" t="str">
        <x:v>Carcharhinidae</x:v>
      </x:c>
      <x:c r="F5" s="24" t="str">
        <x:v>Requiem sharks</x:v>
      </x:c>
      <x:c r="G5" s="24" t="str">
        <x:v>Large sharks (&gt;=90 cm)</x:v>
      </x:c>
      <x:c r="H5" s="24" t="str">
        <x:v>Sharks &amp; rays</x:v>
      </x:c>
      <x:c r="I5" s="31" t="n">
        <x:v>41312.7164931705</x:v>
      </x:c>
      <x:c r="J5" s="31" t="n">
        <x:v>38522.8595266636</x:v>
      </x:c>
      <x:c r="K5" s="31" t="n">
        <x:v>2789.8569665069</x:v>
      </x:c>
      <x:c r="L5" s="31" t="n">
        <x:v>3934.2532526819</x:v>
      </x:c>
      <x:c r="M5" s="31" t="n">
        <x:v>37378.4632404886</x:v>
      </x:c>
      <x:c r="N5" s="24" t="str">
        <x:v>carcharhinidae</x:v>
      </x:c>
      <x:c r="O5" s="32" t="n">
        <x:v>4.24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Carcharhinidae</x:v>
      </x:c>
      <x:c r="T5" s="32" t="n">
        <x:f>IF(O5="","",(1/'Metadata'!$B$5)^(O5-1))</x:f>
        <x:v>1737.8008287493763</x:v>
      </x:c>
      <x:c r="U5" s="31" t="n">
        <x:f>IF(T5="","",I5*T5)</x:f>
        <x:v>71793272.95971972</x:v>
      </x:c>
    </x:row>
    <x:row r="6" ht="18" customHeight="1">
      <x:c r="A6" s="24" t="str">
        <x:v>EEZ_586</x:v>
      </x:c>
      <x:c r="B6" s="24" t="str">
        <x:v>Pakistan</x:v>
      </x:c>
      <x:c r="C6" s="24" t="str">
        <x:v>EEZ</x:v>
      </x:c>
      <x:c r="D6" s="30" t="n">
        <x:v>2019</x:v>
      </x:c>
      <x:c r="E6" s="24" t="str">
        <x:v>Sciaenidae</x:v>
      </x:c>
      <x:c r="F6" s="24" t="str">
        <x:v>Drums, croakers</x:v>
      </x:c>
      <x:c r="G6" s="24" t="str">
        <x:v>Medium demersals (30 - 89 cm)</x:v>
      </x:c>
      <x:c r="H6" s="24" t="str">
        <x:v>Perch-likes</x:v>
      </x:c>
      <x:c r="I6" s="31" t="n">
        <x:v>33891.2621044439</x:v>
      </x:c>
      <x:c r="J6" s="31" t="n">
        <x:v>33891.2621044439</x:v>
      </x:c>
      <x:c r="K6" s="31" t="n">
        <x:v>0</x:v>
      </x:c>
      <x:c r="L6" s="31" t="n">
        <x:v>16079.148109956799</x:v>
      </x:c>
      <x:c r="M6" s="31" t="n">
        <x:v>17812.1139944871</x:v>
      </x:c>
      <x:c r="N6" s="24" t="str">
        <x:v>sciaenidae</x:v>
      </x:c>
      <x:c r="O6" s="32" t="n">
        <x:v>3.76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Sciaenidae</x:v>
      </x:c>
      <x:c r="T6" s="32" t="n">
        <x:f>IF(O6="","",(1/'Metadata'!$B$5)^(O6-1))</x:f>
        <x:v>575.4399373371566</x:v>
      </x:c>
      <x:c r="U6" s="31" t="n">
        <x:f>IF(T6="","",I6*T6)</x:f>
        <x:v>19502385.74165835</x:v>
      </x:c>
    </x:row>
    <x:row r="7" ht="18" customHeight="1">
      <x:c r="A7" s="24" t="str">
        <x:v>EEZ_586</x:v>
      </x:c>
      <x:c r="B7" s="24" t="str">
        <x:v>Pakistan</x:v>
      </x:c>
      <x:c r="C7" s="24" t="str">
        <x:v>EEZ</x:v>
      </x:c>
      <x:c r="D7" s="30" t="n">
        <x:v>2019</x:v>
      </x:c>
      <x:c r="E7" s="24" t="str">
        <x:v>Clupeidae</x:v>
      </x:c>
      <x:c r="F7" s="24" t="str">
        <x:v>Herrings, sardines, menhadens</x:v>
      </x:c>
      <x:c r="G7" s="24" t="str">
        <x:v>Small pelagics (&lt;30 cm)</x:v>
      </x:c>
      <x:c r="H7" s="24" t="str">
        <x:v>Herring-likes</x:v>
      </x:c>
      <x:c r="I7" s="31" t="n">
        <x:v>33858.9210000001</x:v>
      </x:c>
      <x:c r="J7" s="31" t="n">
        <x:v>33858.9210000001</x:v>
      </x:c>
      <x:c r="K7" s="31" t="n">
        <x:v>0</x:v>
      </x:c>
      <x:c r="L7" s="31" t="n">
        <x:v>33858.9210000001</x:v>
      </x:c>
      <x:c r="M7" s="31" t="n">
        <x:v>0</x:v>
      </x:c>
      <x:c r="N7" s="24" t="str">
        <x:v>clupeidae</x:v>
      </x:c>
      <x:c r="O7" s="32" t="n">
        <x:v>3.16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Clupeidae</x:v>
      </x:c>
      <x:c r="T7" s="32" t="n">
        <x:f>IF(O7="","",(1/'Metadata'!$B$5)^(O7-1))</x:f>
        <x:v>144.5439770745928</x:v>
      </x:c>
      <x:c r="U7" s="31" t="n">
        <x:f>IF(T7="","",I7*T7)</x:f>
        <x:v>4894103.1007944625</x:v>
      </x:c>
    </x:row>
    <x:row r="8" ht="18" customHeight="1">
      <x:c r="A8" s="24" t="str">
        <x:v>EEZ_586</x:v>
      </x:c>
      <x:c r="B8" s="24" t="str">
        <x:v>Pakistan</x:v>
      </x:c>
      <x:c r="C8" s="24" t="str">
        <x:v>EEZ</x:v>
      </x:c>
      <x:c r="D8" s="30" t="n">
        <x:v>2019</x:v>
      </x:c>
      <x:c r="E8" s="24" t="str">
        <x:v>Coryphaena hippurus</x:v>
      </x:c>
      <x:c r="F8" s="24" t="str">
        <x:v>Common dolphinfish</x:v>
      </x:c>
      <x:c r="G8" s="24" t="str">
        <x:v>Large pelagics (&gt;=90 cm)</x:v>
      </x:c>
      <x:c r="H8" s="24" t="str">
        <x:v>Perch-likes</x:v>
      </x:c>
      <x:c r="I8" s="31" t="n">
        <x:v>29020.862607308096</x:v>
      </x:c>
      <x:c r="J8" s="31" t="n">
        <x:v>28686.0797713273</x:v>
      </x:c>
      <x:c r="K8" s="31" t="n">
        <x:v>334.7828359808</x:v>
      </x:c>
      <x:c r="L8" s="31" t="n">
        <x:v>3463.2248878150003</x:v>
      </x:c>
      <x:c r="M8" s="31" t="n">
        <x:v>25557.637719493097</x:v>
      </x:c>
      <x:c r="N8" s="24" t="str">
        <x:v>coryphaena hippurus</x:v>
      </x:c>
      <x:c r="O8" s="32" t="n">
        <x:v>4.37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Coryphaena hippurus</x:v>
      </x:c>
      <x:c r="T8" s="32" t="n">
        <x:f>IF(O8="","",(1/'Metadata'!$B$5)^(O8-1))</x:f>
        <x:v>2344.228815319923</x:v>
      </x:c>
      <x:c r="U8" s="31" t="n">
        <x:f>IF(T8="","",I8*T8)</x:f>
        <x:v>68031542.36949211</x:v>
      </x:c>
    </x:row>
    <x:row r="9" ht="18" customHeight="1">
      <x:c r="A9" s="24" t="str">
        <x:v>EEZ_586</x:v>
      </x:c>
      <x:c r="B9" s="24" t="str">
        <x:v>Pakistan</x:v>
      </x:c>
      <x:c r="C9" s="24" t="str">
        <x:v>EEZ</x:v>
      </x:c>
      <x:c r="D9" s="30" t="n">
        <x:v>2019</x:v>
      </x:c>
      <x:c r="E9" s="24" t="str">
        <x:v>Alopias superciliosus</x:v>
      </x:c>
      <x:c r="F9" s="24" t="str">
        <x:v>Bigeye thresher</x:v>
      </x:c>
      <x:c r="G9" s="24" t="str">
        <x:v>Large sharks (&gt;=90 cm)</x:v>
      </x:c>
      <x:c r="H9" s="24" t="str">
        <x:v>Sharks &amp; rays</x:v>
      </x:c>
      <x:c r="I9" s="31" t="n">
        <x:v>25711.204156352804</x:v>
      </x:c>
      <x:c r="J9" s="31" t="n">
        <x:v>25711.204156352804</x:v>
      </x:c>
      <x:c r="K9" s="31" t="n">
        <x:v>0</x:v>
      </x:c>
      <x:c r="L9" s="31" t="n">
        <x:v>359.2574214706</x:v>
      </x:c>
      <x:c r="M9" s="31" t="n">
        <x:v>25351.9467348822</x:v>
      </x:c>
      <x:c r="N9" s="24" t="str">
        <x:v>alopias superciliosus</x:v>
      </x:c>
      <x:c r="O9" s="32" t="n">
        <x:v>4.51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Alopias superciliosus</x:v>
      </x:c>
      <x:c r="T9" s="32" t="n">
        <x:f>IF(O9="","",(1/'Metadata'!$B$5)^(O9-1))</x:f>
        <x:v>3235.936569296281</x:v>
      </x:c>
      <x:c r="U9" s="31" t="n">
        <x:f>IF(T9="","",I9*T9)</x:f>
        <x:v>83199825.77018458</x:v>
      </x:c>
    </x:row>
    <x:row r="10" ht="18" customHeight="1">
      <x:c r="A10" s="24" t="str">
        <x:v>EEZ_586</x:v>
      </x:c>
      <x:c r="B10" s="24" t="str">
        <x:v>Pakistan</x:v>
      </x:c>
      <x:c r="C10" s="24" t="str">
        <x:v>EEZ</x:v>
      </x:c>
      <x:c r="D10" s="30" t="n">
        <x:v>2019</x:v>
      </x:c>
      <x:c r="E10" s="24" t="str">
        <x:v>Isurus oxyrinchus</x:v>
      </x:c>
      <x:c r="F10" s="24" t="str">
        <x:v>Shortfin mako</x:v>
      </x:c>
      <x:c r="G10" s="24" t="str">
        <x:v>Large sharks (&gt;=90 cm)</x:v>
      </x:c>
      <x:c r="H10" s="24" t="str">
        <x:v>Sharks &amp; rays</x:v>
      </x:c>
      <x:c r="I10" s="31" t="n">
        <x:v>25240.325666102897</x:v>
      </x:c>
      <x:c r="J10" s="31" t="n">
        <x:v>25240.325666102897</x:v>
      </x:c>
      <x:c r="K10" s="31" t="n">
        <x:v>0</x:v>
      </x:c>
      <x:c r="L10" s="31" t="n">
        <x:v>761.0701578571</x:v>
      </x:c>
      <x:c r="M10" s="31" t="n">
        <x:v>24479.2555082458</x:v>
      </x:c>
      <x:c r="N10" s="24" t="str">
        <x:v>isurus oxyrinchus</x:v>
      </x:c>
      <x:c r="O10" s="32" t="n">
        <x:v>4.5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Isurus oxyrinchus</x:v>
      </x:c>
      <x:c r="T10" s="32" t="n">
        <x:f>IF(O10="","",(1/'Metadata'!$B$5)^(O10-1))</x:f>
        <x:v>3162.2776601683795</x:v>
      </x:c>
      <x:c r="U10" s="31" t="n">
        <x:f>IF(T10="","",I10*T10)</x:f>
        <x:v>79816917.98929176</x:v>
      </x:c>
    </x:row>
    <x:row r="11" ht="18" customHeight="1">
      <x:c r="A11" s="24" t="str">
        <x:v>EEZ_586</x:v>
      </x:c>
      <x:c r="B11" s="24" t="str">
        <x:v>Pakistan</x:v>
      </x:c>
      <x:c r="C11" s="24" t="str">
        <x:v>EEZ</x:v>
      </x:c>
      <x:c r="D11" s="30" t="n">
        <x:v>2019</x:v>
      </x:c>
      <x:c r="E11" s="24" t="str">
        <x:v>Netuma thalassina</x:v>
      </x:c>
      <x:c r="F11" s="24" t="str">
        <x:v>Giant catfish</x:v>
      </x:c>
      <x:c r="G11" s="24" t="str">
        <x:v>Large demersals (&gt;=90 cm)</x:v>
      </x:c>
      <x:c r="H11" s="24" t="str">
        <x:v>Other fishes &amp; inverts</x:v>
      </x:c>
      <x:c r="I11" s="31" t="n">
        <x:v>21270.497494218198</x:v>
      </x:c>
      <x:c r="J11" s="31" t="n">
        <x:v>21138.3594550698</x:v>
      </x:c>
      <x:c r="K11" s="31" t="n">
        <x:v>132.1380391484</x:v>
      </x:c>
      <x:c r="L11" s="31" t="n">
        <x:v>0</x:v>
      </x:c>
      <x:c r="M11" s="31" t="n">
        <x:v>21270.497494218198</x:v>
      </x:c>
      <x:c r="N11" s="24" t="str">
        <x:v>netuma thalassina</x:v>
      </x:c>
      <x:c r="O11" s="32" t="n">
        <x:v>3.54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Netuma thalassina</x:v>
      </x:c>
      <x:c r="T11" s="32" t="n">
        <x:f>IF(O11="","",(1/'Metadata'!$B$5)^(O11-1))</x:f>
        <x:v>346.73685045253166</x:v>
      </x:c>
      <x:c r="U11" s="31" t="n">
        <x:f>IF(T11="","",I11*T11)</x:f>
        <x:v>7375265.308703684</x:v>
      </x:c>
    </x:row>
    <x:row r="12" ht="18" customHeight="1">
      <x:c r="A12" s="24" t="str">
        <x:v>EEZ_586</x:v>
      </x:c>
      <x:c r="B12" s="24" t="str">
        <x:v>Pakistan</x:v>
      </x:c>
      <x:c r="C12" s="24" t="str">
        <x:v>EEZ</x:v>
      </x:c>
      <x:c r="D12" s="30" t="n">
        <x:v>2019</x:v>
      </x:c>
      <x:c r="E12" s="24" t="str">
        <x:v>Penaeidae</x:v>
      </x:c>
      <x:c r="F12" s="24" t="str">
        <x:v>Commercial shrimps and prawns</x:v>
      </x:c>
      <x:c r="G12" s="24" t="str">
        <x:v>Shrimps</x:v>
      </x:c>
      <x:c r="H12" s="24" t="str">
        <x:v>Crustaceans</x:v>
      </x:c>
      <x:c r="I12" s="31" t="n">
        <x:v>20720.968358273498</x:v>
      </x:c>
      <x:c r="J12" s="31" t="n">
        <x:v>20720.968358273498</x:v>
      </x:c>
      <x:c r="K12" s="31" t="n">
        <x:v>0</x:v>
      </x:c>
      <x:c r="L12" s="31" t="n">
        <x:v>18917</x:v>
      </x:c>
      <x:c r="M12" s="31" t="n">
        <x:v>1803.9683582735</x:v>
      </x:c>
      <x:c r="N12" s="24" t="str">
        <x:v>penaeidae</x:v>
      </x:c>
      <x:c r="O12" s="32" t="n">
        <x:v>3.31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Penaeidae</x:v>
      </x:c>
      <x:c r="T12" s="32" t="n">
        <x:f>IF(O12="","",(1/'Metadata'!$B$5)^(O12-1))</x:f>
        <x:v>204.17379446695296</x:v>
      </x:c>
      <x:c r="U12" s="31" t="n">
        <x:f>IF(T12="","",I12*T12)</x:f>
        <x:v>4230678.734738369</x:v>
      </x:c>
    </x:row>
    <x:row r="13" ht="18" customHeight="1">
      <x:c r="A13" s="24" t="str">
        <x:v>EEZ_586</x:v>
      </x:c>
      <x:c r="B13" s="24" t="str">
        <x:v>Pakistan</x:v>
      </x:c>
      <x:c r="C13" s="24" t="str">
        <x:v>EEZ</x:v>
      </x:c>
      <x:c r="D13" s="30" t="n">
        <x:v>2019</x:v>
      </x:c>
      <x:c r="E13" s="24" t="str">
        <x:v>Trichiurus lepturus</x:v>
      </x:c>
      <x:c r="F13" s="24" t="str">
        <x:v>Largehead hairtail</x:v>
      </x:c>
      <x:c r="G13" s="24" t="str">
        <x:v>Large benthopelagics (&gt;=90 cm)</x:v>
      </x:c>
      <x:c r="H13" s="24" t="str">
        <x:v>Perch-likes</x:v>
      </x:c>
      <x:c r="I13" s="31" t="n">
        <x:v>19735.421571852898</x:v>
      </x:c>
      <x:c r="J13" s="31" t="n">
        <x:v>19735.421571852898</x:v>
      </x:c>
      <x:c r="K13" s="31" t="n">
        <x:v>0</x:v>
      </x:c>
      <x:c r="L13" s="31" t="n">
        <x:v>12813.128857765</x:v>
      </x:c>
      <x:c r="M13" s="31" t="n">
        <x:v>6922.2927140879</x:v>
      </x:c>
      <x:c r="N13" s="24" t="str">
        <x:v>trichiurus lepturus</x:v>
      </x:c>
      <x:c r="O13" s="32" t="n">
        <x:v>4.42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Trichiurus lepturus</x:v>
      </x:c>
      <x:c r="T13" s="32" t="n">
        <x:f>IF(O13="","",(1/'Metadata'!$B$5)^(O13-1))</x:f>
        <x:v>2630.2679918953813</x:v>
      </x:c>
      <x:c r="U13" s="31" t="n">
        <x:f>IF(T13="","",I13*T13)</x:f>
        <x:v>51909447.667006314</x:v>
      </x:c>
    </x:row>
    <x:row r="14" ht="18" customHeight="1">
      <x:c r="A14" s="24" t="str">
        <x:v>EEZ_586</x:v>
      </x:c>
      <x:c r="B14" s="24" t="str">
        <x:v>Pakistan</x:v>
      </x:c>
      <x:c r="C14" s="24" t="str">
        <x:v>EEZ</x:v>
      </x:c>
      <x:c r="D14" s="30" t="n">
        <x:v>2019</x:v>
      </x:c>
      <x:c r="E14" s="24" t="str">
        <x:v>Ariidae</x:v>
      </x:c>
      <x:c r="F14" s="24" t="str">
        <x:v>Sea catfishes, coblers</x:v>
      </x:c>
      <x:c r="G14" s="24" t="str">
        <x:v>Medium demersals (30 - 89 cm)</x:v>
      </x:c>
      <x:c r="H14" s="24" t="str">
        <x:v>Other fishes &amp; inverts</x:v>
      </x:c>
      <x:c r="I14" s="31" t="n">
        <x:v>17517.0840267305</x:v>
      </x:c>
      <x:c r="J14" s="31" t="n">
        <x:v>17517.0840267305</x:v>
      </x:c>
      <x:c r="K14" s="31" t="n">
        <x:v>0</x:v>
      </x:c>
      <x:c r="L14" s="31" t="n">
        <x:v>5518.2763116948</x:v>
      </x:c>
      <x:c r="M14" s="31" t="n">
        <x:v>11998.807715035698</x:v>
      </x:c>
      <x:c r="N14" s="24" t="str">
        <x:v>ariidae</x:v>
      </x:c>
      <x:c r="O14" s="32" t="n">
        <x:v>3.48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Ariidae</x:v>
      </x:c>
      <x:c r="T14" s="32" t="n">
        <x:f>IF(O14="","",(1/'Metadata'!$B$5)^(O14-1))</x:f>
        <x:v>301.9951720402016</x:v>
      </x:c>
      <x:c r="U14" s="31" t="n">
        <x:f>IF(T14="","",I14*T14)</x:f>
        <x:v>5290074.804295145</x:v>
      </x:c>
    </x:row>
    <x:row r="15" ht="18" customHeight="1">
      <x:c r="A15" s="24" t="str">
        <x:v>EEZ_586</x:v>
      </x:c>
      <x:c r="B15" s="24" t="str">
        <x:v>Pakistan</x:v>
      </x:c>
      <x:c r="C15" s="24" t="str">
        <x:v>EEZ</x:v>
      </x:c>
      <x:c r="D15" s="30" t="n">
        <x:v>2019</x:v>
      </x:c>
      <x:c r="E15" s="24" t="str">
        <x:v>Sphyraena barracuda</x:v>
      </x:c>
      <x:c r="F15" s="24" t="str">
        <x:v>Great barracuda</x:v>
      </x:c>
      <x:c r="G15" s="24" t="str">
        <x:v>Large pelagics (&gt;=90 cm)</x:v>
      </x:c>
      <x:c r="H15" s="24" t="str">
        <x:v>Perch-likes</x:v>
      </x:c>
      <x:c r="I15" s="31" t="n">
        <x:v>14694.6479688475</x:v>
      </x:c>
      <x:c r="J15" s="31" t="n">
        <x:v>14402.448468282</x:v>
      </x:c>
      <x:c r="K15" s="31" t="n">
        <x:v>292.1995005655</x:v>
      </x:c>
      <x:c r="L15" s="31" t="n">
        <x:v>5892.0912088575</x:v>
      </x:c>
      <x:c r="M15" s="31" t="n">
        <x:v>8802.55675999</x:v>
      </x:c>
      <x:c r="N15" s="24" t="str">
        <x:v>sphyraena barracuda</x:v>
      </x:c>
      <x:c r="O15" s="32" t="n">
        <x:v>4.49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Sphyraena barracuda</x:v>
      </x:c>
      <x:c r="T15" s="32" t="n">
        <x:f>IF(O15="","",(1/'Metadata'!$B$5)^(O15-1))</x:f>
        <x:v>3090.295432513592</x:v>
      </x:c>
      <x:c r="U15" s="31" t="n">
        <x:f>IF(T15="","",I15*T15)</x:f>
        <x:v>45410803.50052456</x:v>
      </x:c>
    </x:row>
    <x:row r="16" ht="18" customHeight="1">
      <x:c r="A16" s="24" t="str">
        <x:v>EEZ_586</x:v>
      </x:c>
      <x:c r="B16" s="24" t="str">
        <x:v>Pakistan</x:v>
      </x:c>
      <x:c r="C16" s="24" t="str">
        <x:v>EEZ</x:v>
      </x:c>
      <x:c r="D16" s="30" t="n">
        <x:v>2019</x:v>
      </x:c>
      <x:c r="E16" s="24" t="str">
        <x:v>Mugilidae</x:v>
      </x:c>
      <x:c r="F16" s="24" t="str">
        <x:v>Mullets, grey mullets</x:v>
      </x:c>
      <x:c r="G16" s="24" t="str">
        <x:v>Medium reef assoc. fish (30 - 89 cm)</x:v>
      </x:c>
      <x:c r="H16" s="24" t="str">
        <x:v>Perch-likes</x:v>
      </x:c>
      <x:c r="I16" s="31" t="n">
        <x:v>14309.782390580101</x:v>
      </x:c>
      <x:c r="J16" s="31" t="n">
        <x:v>14226.0949657861</x:v>
      </x:c>
      <x:c r="K16" s="31" t="n">
        <x:v>83.687424794</x:v>
      </x:c>
      <x:c r="L16" s="31" t="n">
        <x:v>11786.4497756298</x:v>
      </x:c>
      <x:c r="M16" s="31" t="n">
        <x:v>2523.3326149503</x:v>
      </x:c>
      <x:c r="N16" s="24" t="str">
        <x:v>mugilidae</x:v>
      </x:c>
      <x:c r="O16" s="32" t="n">
        <x:v>2.53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Mugilidae</x:v>
      </x:c>
      <x:c r="T16" s="32" t="n">
        <x:f>IF(O16="","",(1/'Metadata'!$B$5)^(O16-1))</x:f>
        <x:v>33.88441561392024</x:v>
      </x:c>
      <x:c r="U16" s="31" t="n">
        <x:f>IF(T16="","",I16*T16)</x:f>
        <x:v>484878.61386717326</x:v>
      </x:c>
    </x:row>
    <x:row r="17" ht="18" customHeight="1">
      <x:c r="A17" s="24" t="str">
        <x:v>EEZ_586</x:v>
      </x:c>
      <x:c r="B17" s="24" t="str">
        <x:v>Pakistan</x:v>
      </x:c>
      <x:c r="C17" s="24" t="str">
        <x:v>EEZ</x:v>
      </x:c>
      <x:c r="D17" s="30" t="n">
        <x:v>2019</x:v>
      </x:c>
      <x:c r="E17" s="24" t="str">
        <x:v>Sardinella sindensis</x:v>
      </x:c>
      <x:c r="F17" s="24" t="str">
        <x:v>Sind sardinella</x:v>
      </x:c>
      <x:c r="G17" s="24" t="str">
        <x:v>Small pelagics (&lt;30 cm)</x:v>
      </x:c>
      <x:c r="H17" s="24" t="str">
        <x:v>Herring-likes</x:v>
      </x:c>
      <x:c r="I17" s="31" t="n">
        <x:v>12926.1177724029</x:v>
      </x:c>
      <x:c r="J17" s="31" t="n">
        <x:v>12864.4533541337</x:v>
      </x:c>
      <x:c r="K17" s="31" t="n">
        <x:v>61.6644182692</x:v>
      </x:c>
      <x:c r="L17" s="31" t="n">
        <x:v>0</x:v>
      </x:c>
      <x:c r="M17" s="31" t="n">
        <x:v>12926.1177724029</x:v>
      </x:c>
      <x:c r="N17" s="24" t="str">
        <x:v>sardinella sindensis</x:v>
      </x:c>
      <x:c r="O17" s="32" t="n">
        <x:v>2.9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Sardinella sindensis</x:v>
      </x:c>
      <x:c r="T17" s="32" t="n">
        <x:f>IF(O17="","",(1/'Metadata'!$B$5)^(O17-1))</x:f>
        <x:v>79.43282347242814</x:v>
      </x:c>
      <x:c r="U17" s="31" t="n">
        <x:f>IF(T17="","",I17*T17)</x:f>
        <x:v>1026758.0311990957</x:v>
      </x:c>
    </x:row>
    <x:row r="18" ht="18" customHeight="1">
      <x:c r="A18" s="24" t="str">
        <x:v>EEZ_586</x:v>
      </x:c>
      <x:c r="B18" s="24" t="str">
        <x:v>Pakistan</x:v>
      </x:c>
      <x:c r="C18" s="24" t="str">
        <x:v>EEZ</x:v>
      </x:c>
      <x:c r="D18" s="30" t="n">
        <x:v>2019</x:v>
      </x:c>
      <x:c r="E18" s="24" t="str">
        <x:v>Sepia</x:v>
      </x:c>
      <x:c r="F18" s="24" t="str">
        <x:v>Sepia cuttlefishes</x:v>
      </x:c>
      <x:c r="G18" s="24" t="str">
        <x:v>Cephalopods</x:v>
      </x:c>
      <x:c r="H18" s="24" t="str">
        <x:v>Other fishes &amp; inverts</x:v>
      </x:c>
      <x:c r="I18" s="31" t="n">
        <x:v>12750.3282591104</x:v>
      </x:c>
      <x:c r="J18" s="31" t="n">
        <x:v>12750.3282591104</x:v>
      </x:c>
      <x:c r="K18" s="31" t="n">
        <x:v>0</x:v>
      </x:c>
      <x:c r="L18" s="31" t="n">
        <x:v>5948.9314675858</x:v>
      </x:c>
      <x:c r="M18" s="31" t="n">
        <x:v>6801.396791524599</x:v>
      </x:c>
      <x:c r="N18" s="24" t="str">
        <x:v>sepia</x:v>
      </x:c>
      <x:c r="O18" s="32" t="n">
        <x:v>3.69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Sepia</x:v>
      </x:c>
      <x:c r="T18" s="32" t="n">
        <x:f>IF(O18="","",(1/'Metadata'!$B$5)^(O18-1))</x:f>
        <x:v>489.77881936844614</x:v>
      </x:c>
      <x:c r="U18" s="31" t="n">
        <x:f>IF(T18="","",I18*T18)</x:f>
        <x:v>6244840.721307226</x:v>
      </x:c>
    </x:row>
    <x:row r="19" ht="18" customHeight="1">
      <x:c r="A19" s="24" t="str">
        <x:v>EEZ_586</x:v>
      </x:c>
      <x:c r="B19" s="24" t="str">
        <x:v>Pakistan</x:v>
      </x:c>
      <x:c r="C19" s="24" t="str">
        <x:v>EEZ</x:v>
      </x:c>
      <x:c r="D19" s="30" t="n">
        <x:v>2019</x:v>
      </x:c>
      <x:c r="E19" s="24" t="str">
        <x:v>Scomberomorus commerson</x:v>
      </x:c>
      <x:c r="F19" s="24" t="str">
        <x:v>Narrow-barred Spanish mackerel</x:v>
      </x:c>
      <x:c r="G19" s="24" t="str">
        <x:v>Large pelagics (&gt;=90 cm)</x:v>
      </x:c>
      <x:c r="H19" s="24" t="str">
        <x:v>Perch-likes</x:v>
      </x:c>
      <x:c r="I19" s="31" t="n">
        <x:v>12508.7569392284</x:v>
      </x:c>
      <x:c r="J19" s="31" t="n">
        <x:v>12508.7569392284</x:v>
      </x:c>
      <x:c r="K19" s="31" t="n">
        <x:v>0</x:v>
      </x:c>
      <x:c r="L19" s="31" t="n">
        <x:v>12151</x:v>
      </x:c>
      <x:c r="M19" s="31" t="n">
        <x:v>357.7569392284</x:v>
      </x:c>
      <x:c r="N19" s="24" t="str">
        <x:v>scomberomorus commerson</x:v>
      </x:c>
      <x:c r="O19" s="32" t="n">
        <x:v>4.5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Scomberomorus commerson</x:v>
      </x:c>
      <x:c r="T19" s="32" t="n">
        <x:f>IF(O19="","",(1/'Metadata'!$B$5)^(O19-1))</x:f>
        <x:v>3162.2776601683795</x:v>
      </x:c>
      <x:c r="U19" s="31" t="n">
        <x:f>IF(T19="","",I19*T19)</x:f>
        <x:v>39556162.62539817</x:v>
      </x:c>
    </x:row>
    <x:row r="20" ht="18" customHeight="1">
      <x:c r="A20" s="24" t="str">
        <x:v>EEZ_586</x:v>
      </x:c>
      <x:c r="B20" s="24" t="str">
        <x:v>Pakistan</x:v>
      </x:c>
      <x:c r="C20" s="24" t="str">
        <x:v>EEZ</x:v>
      </x:c>
      <x:c r="D20" s="30" t="n">
        <x:v>2019</x:v>
      </x:c>
      <x:c r="E20" s="24" t="str">
        <x:v>Thryssa</x:v>
      </x:c>
      <x:c r="F20" s="24" t="str">
        <x:v>Thryssas</x:v>
      </x:c>
      <x:c r="G20" s="24" t="str">
        <x:v>Small pelagics (&lt;30 cm)</x:v>
      </x:c>
      <x:c r="H20" s="24" t="str">
        <x:v>Anchovies</x:v>
      </x:c>
      <x:c r="I20" s="31" t="n">
        <x:v>12327.0315260987</x:v>
      </x:c>
      <x:c r="J20" s="31" t="n">
        <x:v>12238.9394999998</x:v>
      </x:c>
      <x:c r="K20" s="31" t="n">
        <x:v>88.0920260989</x:v>
      </x:c>
      <x:c r="L20" s="31" t="n">
        <x:v>12238.9394999998</x:v>
      </x:c>
      <x:c r="M20" s="31" t="n">
        <x:v>88.0920260989</x:v>
      </x:c>
      <x:c r="N20" s="24" t="str">
        <x:v>thryssa</x:v>
      </x:c>
      <x:c r="O20" s="32" t="n">
        <x:v>3.34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Thryssa</x:v>
      </x:c>
      <x:c r="T20" s="32" t="n">
        <x:f>IF(O20="","",(1/'Metadata'!$B$5)^(O20-1))</x:f>
        <x:v>218.77616239495518</x:v>
      </x:c>
      <x:c r="U20" s="31" t="n">
        <x:f>IF(T20="","",I20*T20)</x:f>
        <x:v>2696860.6510015014</x:v>
      </x:c>
    </x:row>
    <x:row r="21" ht="18" customHeight="1">
      <x:c r="A21" s="24" t="str">
        <x:v>EEZ_586</x:v>
      </x:c>
      <x:c r="B21" s="24" t="str">
        <x:v>Pakistan</x:v>
      </x:c>
      <x:c r="C21" s="24" t="str">
        <x:v>EEZ</x:v>
      </x:c>
      <x:c r="D21" s="30" t="n">
        <x:v>2019</x:v>
      </x:c>
      <x:c r="E21" s="24" t="str">
        <x:v>Epinephelus</x:v>
      </x:c>
      <x:c r="F21" s="24" t="str">
        <x:v>Seabasses, hinds</x:v>
      </x:c>
      <x:c r="G21" s="24" t="str">
        <x:v>Medium reef assoc. fish (30 - 89 cm)</x:v>
      </x:c>
      <x:c r="H21" s="24" t="str">
        <x:v>Perch-likes</x:v>
      </x:c>
      <x:c r="I21" s="31" t="n">
        <x:v>11600.995616994</x:v>
      </x:c>
      <x:c r="J21" s="31" t="n">
        <x:v>11600.995616994</x:v>
      </x:c>
      <x:c r="K21" s="31" t="n">
        <x:v>0</x:v>
      </x:c>
      <x:c r="L21" s="31" t="n">
        <x:v>9585.6778336216</x:v>
      </x:c>
      <x:c r="M21" s="31" t="n">
        <x:v>2015.3177833724</x:v>
      </x:c>
      <x:c r="N21" s="24" t="str">
        <x:v>epinephelus</x:v>
      </x:c>
      <x:c r="O21" s="32" t="n">
        <x:v>3.84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Epinephelus</x:v>
      </x:c>
      <x:c r="T21" s="32" t="n">
        <x:f>IF(O21="","",(1/'Metadata'!$B$5)^(O21-1))</x:f>
        <x:v>691.8309709189363</x:v>
      </x:c>
      <x:c r="U21" s="31" t="n">
        <x:f>IF(T21="","",I21*T21)</x:f>
        <x:v>8025928.061331282</x:v>
      </x:c>
    </x:row>
    <x:row r="22" ht="18" customHeight="1">
      <x:c r="A22" s="24" t="str">
        <x:v>EEZ_586</x:v>
      </x:c>
      <x:c r="B22" s="24" t="str">
        <x:v>Pakistan</x:v>
      </x:c>
      <x:c r="C22" s="24" t="str">
        <x:v>EEZ</x:v>
      </x:c>
      <x:c r="D22" s="30" t="n">
        <x:v>2019</x:v>
      </x:c>
      <x:c r="E22" s="24" t="str">
        <x:v>Rachycentron canadum</x:v>
      </x:c>
      <x:c r="F22" s="24" t="str">
        <x:v>Cobia</x:v>
      </x:c>
      <x:c r="G22" s="24" t="str">
        <x:v>Large pelagics (&gt;=90 cm)</x:v>
      </x:c>
      <x:c r="H22" s="24" t="str">
        <x:v>Perch-likes</x:v>
      </x:c>
      <x:c r="I22" s="31" t="n">
        <x:v>10973.3779240046</x:v>
      </x:c>
      <x:c r="J22" s="31" t="n">
        <x:v>10973.3779240046</x:v>
      </x:c>
      <x:c r="K22" s="31" t="n">
        <x:v>0</x:v>
      </x:c>
      <x:c r="L22" s="31" t="n">
        <x:v>10803.9999999998</x:v>
      </x:c>
      <x:c r="M22" s="31" t="n">
        <x:v>169.3779240048</x:v>
      </x:c>
      <x:c r="N22" s="24" t="str">
        <x:v>rachycentron canadum</x:v>
      </x:c>
      <x:c r="O22" s="32" t="n">
        <x:v>3.96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Rachycentron canadum</x:v>
      </x:c>
      <x:c r="T22" s="32" t="n">
        <x:f>IF(O22="","",(1/'Metadata'!$B$5)^(O22-1))</x:f>
        <x:v>912.0108393559096</x:v>
      </x:c>
      <x:c r="U22" s="31" t="n">
        <x:f>IF(T22="","",I22*T22)</x:f>
        <x:v>10007839.611041045</x:v>
      </x:c>
    </x:row>
    <x:row r="23" ht="18" customHeight="1">
      <x:c r="A23" s="24" t="str">
        <x:v>EEZ_586</x:v>
      </x:c>
      <x:c r="B23" s="24" t="str">
        <x:v>Pakistan</x:v>
      </x:c>
      <x:c r="C23" s="24" t="str">
        <x:v>EEZ</x:v>
      </x:c>
      <x:c r="D23" s="30" t="n">
        <x:v>2019</x:v>
      </x:c>
      <x:c r="E23" s="24" t="str">
        <x:v>Nemipteridae</x:v>
      </x:c>
      <x:c r="F23" s="24" t="str">
        <x:v>Threadfins, whiptail breams</x:v>
      </x:c>
      <x:c r="G23" s="24" t="str">
        <x:v>Small demersals (&lt;30 cm)</x:v>
      </x:c>
      <x:c r="H23" s="24" t="str">
        <x:v>Perch-likes</x:v>
      </x:c>
      <x:c r="I23" s="31" t="n">
        <x:v>10347.4554059738</x:v>
      </x:c>
      <x:c r="J23" s="31" t="n">
        <x:v>10347.4554059738</x:v>
      </x:c>
      <x:c r="K23" s="31" t="n">
        <x:v>0</x:v>
      </x:c>
      <x:c r="L23" s="31" t="n">
        <x:v>10347.4554059738</x:v>
      </x:c>
      <x:c r="M23" s="31" t="n">
        <x:v>0</x:v>
      </x:c>
      <x:c r="N23" s="24" t="str">
        <x:v>nemipteridae</x:v>
      </x:c>
      <x:c r="O23" s="32" t="n">
        <x:v>3.51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Nemipteridae</x:v>
      </x:c>
      <x:c r="T23" s="32" t="n">
        <x:f>IF(O23="","",(1/'Metadata'!$B$5)^(O23-1))</x:f>
        <x:v>323.5936569296281</x:v>
      </x:c>
      <x:c r="U23" s="31" t="n">
        <x:f>IF(T23="","",I23*T23)</x:f>
        <x:v>3348370.934735311</x:v>
      </x:c>
    </x:row>
    <x:row r="24" ht="18" customHeight="1">
      <x:c r="A24" s="24" t="str">
        <x:v>EEZ_586</x:v>
      </x:c>
      <x:c r="B24" s="24" t="str">
        <x:v>Pakistan</x:v>
      </x:c>
      <x:c r="C24" s="24" t="str">
        <x:v>EEZ</x:v>
      </x:c>
      <x:c r="D24" s="30" t="n">
        <x:v>2019</x:v>
      </x:c>
      <x:c r="E24" s="24" t="str">
        <x:v>Nematalosa nasus</x:v>
      </x:c>
      <x:c r="F24" s="24" t="str">
        <x:v>Bloch's gizzard shad</x:v>
      </x:c>
      <x:c r="G24" s="24" t="str">
        <x:v>Small pelagics (&lt;30 cm)</x:v>
      </x:c>
      <x:c r="H24" s="24" t="str">
        <x:v>Herring-likes</x:v>
      </x:c>
      <x:c r="I24" s="31" t="n">
        <x:v>9908.8831330061</x:v>
      </x:c>
      <x:c r="J24" s="31" t="n">
        <x:v>9292.2389503137</x:v>
      </x:c>
      <x:c r="K24" s="31" t="n">
        <x:v>616.6441826924</x:v>
      </x:c>
      <x:c r="L24" s="31" t="n">
        <x:v>0</x:v>
      </x:c>
      <x:c r="M24" s="31" t="n">
        <x:v>9908.8831330061</x:v>
      </x:c>
      <x:c r="N24" s="24" t="str">
        <x:v>nematalosa nasus</x:v>
      </x:c>
      <x:c r="O24" s="32" t="n">
        <x:v>2.67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Nematalosa nasus</x:v>
      </x:c>
      <x:c r="T24" s="32" t="n">
        <x:f>IF(O24="","",(1/'Metadata'!$B$5)^(O24-1))</x:f>
        <x:v>46.77351412871981</x:v>
      </x:c>
      <x:c r="U24" s="31" t="n">
        <x:f>IF(T24="","",I24*T24)</x:f>
        <x:v>463473.28522149427</x:v>
      </x:c>
    </x:row>
    <x:row r="25" ht="18" customHeight="1">
      <x:c r="A25" s="24" t="str">
        <x:v>EEZ_586</x:v>
      </x:c>
      <x:c r="B25" s="24" t="str">
        <x:v>Pakistan</x:v>
      </x:c>
      <x:c r="C25" s="24" t="str">
        <x:v>EEZ</x:v>
      </x:c>
      <x:c r="D25" s="30" t="n">
        <x:v>2019</x:v>
      </x:c>
      <x:c r="E25" s="24" t="str">
        <x:v>Platycaranx chrysophrys</x:v>
      </x:c>
      <x:c r="F25" s="24" t="str">
        <x:v>Longnose trevally</x:v>
      </x:c>
      <x:c r="G25" s="24" t="str">
        <x:v>Small pelagics (&lt;30 cm)</x:v>
      </x:c>
      <x:c r="H25" s="24" t="str">
        <x:v>Perch-likes</x:v>
      </x:c>
      <x:c r="I25" s="31" t="n">
        <x:v>9583.5760192296</x:v>
      </x:c>
      <x:c r="J25" s="31" t="n">
        <x:v>9169.5434965647</x:v>
      </x:c>
      <x:c r="K25" s="31" t="n">
        <x:v>414.0325226649</x:v>
      </x:c>
      <x:c r="L25" s="31" t="n">
        <x:v>4784.9999999999</x:v>
      </x:c>
      <x:c r="M25" s="31" t="n">
        <x:v>4798.5760192297</x:v>
      </x:c>
      <x:c r="N25" s="24" t="str">
        <x:v>platycaranx chrysophrys</x:v>
      </x:c>
      <x:c r="O25" s="32" t="n">
        <x:v>4.3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Platycaranx chrysophrys</x:v>
      </x:c>
      <x:c r="T25" s="32" t="n">
        <x:f>IF(O25="","",(1/'Metadata'!$B$5)^(O25-1))</x:f>
        <x:v>1995.2623149688789</x:v>
      </x:c>
      <x:c r="U25" s="31" t="n">
        <x:f>IF(T25="","",I25*T25)</x:f>
        <x:v>19121748.073808286</x:v>
      </x:c>
    </x:row>
    <x:row r="26" ht="18" customHeight="1">
      <x:c r="A26" s="24" t="str">
        <x:v>EEZ_586</x:v>
      </x:c>
      <x:c r="B26" s="24" t="str">
        <x:v>Pakistan</x:v>
      </x:c>
      <x:c r="C26" s="24" t="str">
        <x:v>EEZ</x:v>
      </x:c>
      <x:c r="D26" s="30" t="n">
        <x:v>2019</x:v>
      </x:c>
      <x:c r="E26" s="24" t="str">
        <x:v>Sardinella gibbosa</x:v>
      </x:c>
      <x:c r="F26" s="24" t="str">
        <x:v>Goldstripe sardinella</x:v>
      </x:c>
      <x:c r="G26" s="24" t="str">
        <x:v>Small pelagics (&lt;30 cm)</x:v>
      </x:c>
      <x:c r="H26" s="24" t="str">
        <x:v>Herring-likes</x:v>
      </x:c>
      <x:c r="I26" s="31" t="n">
        <x:v>9464.3918505227</x:v>
      </x:c>
      <x:c r="J26" s="31" t="n">
        <x:v>9433.5596413881</x:v>
      </x:c>
      <x:c r="K26" s="31" t="n">
        <x:v>30.8322091346</x:v>
      </x:c>
      <x:c r="L26" s="31" t="n">
        <x:v>0</x:v>
      </x:c>
      <x:c r="M26" s="31" t="n">
        <x:v>9464.3918505227</x:v>
      </x:c>
      <x:c r="N26" s="24" t="str">
        <x:v>sardinella gibbosa</x:v>
      </x:c>
      <x:c r="O26" s="32" t="n">
        <x:v>2.85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Sardinella gibbosa</x:v>
      </x:c>
      <x:c r="T26" s="32" t="n">
        <x:f>IF(O26="","",(1/'Metadata'!$B$5)^(O26-1))</x:f>
        <x:v>70.79457843841381</x:v>
      </x:c>
      <x:c r="U26" s="31" t="n">
        <x:f>IF(T26="","",I26*T26)</x:f>
        <x:v>670027.6312337137</x:v>
      </x:c>
    </x:row>
    <x:row r="27" ht="18" customHeight="1">
      <x:c r="A27" s="24" t="str">
        <x:v>EEZ_586</x:v>
      </x:c>
      <x:c r="B27" s="24" t="str">
        <x:v>Pakistan</x:v>
      </x:c>
      <x:c r="C27" s="24" t="str">
        <x:v>EEZ</x:v>
      </x:c>
      <x:c r="D27" s="30" t="n">
        <x:v>2019</x:v>
      </x:c>
      <x:c r="E27" s="24" t="str">
        <x:v>Sardinella albella</x:v>
      </x:c>
      <x:c r="F27" s="24" t="str">
        <x:v>White sardinella</x:v>
      </x:c>
      <x:c r="G27" s="24" t="str">
        <x:v>Small reef assoc. fish (&lt;30 cm)</x:v>
      </x:c>
      <x:c r="H27" s="24" t="str">
        <x:v>Herring-likes</x:v>
      </x:c>
      <x:c r="I27" s="31" t="n">
        <x:v>9428.8452187787</x:v>
      </x:c>
      <x:c r="J27" s="31" t="n">
        <x:v>9428.8452187787</x:v>
      </x:c>
      <x:c r="K27" s="31" t="n">
        <x:v>0</x:v>
      </x:c>
      <x:c r="L27" s="31" t="n">
        <x:v>0</x:v>
      </x:c>
      <x:c r="M27" s="31" t="n">
        <x:v>9428.8452187787</x:v>
      </x:c>
      <x:c r="N27" s="24" t="str">
        <x:v>sardinella albella</x:v>
      </x:c>
      <x:c r="O27" s="32" t="n">
        <x:v>2.68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Sardinella albella</x:v>
      </x:c>
      <x:c r="T27" s="32" t="n">
        <x:f>IF(O27="","",(1/'Metadata'!$B$5)^(O27-1))</x:f>
        <x:v>47.86300923226385</x:v>
      </x:c>
      <x:c r="U27" s="31" t="n">
        <x:f>IF(T27="","",I27*T27)</x:f>
        <x:v>451292.9057559918</x:v>
      </x:c>
    </x:row>
    <x:row r="28" ht="18" customHeight="1">
      <x:c r="A28" s="24" t="str">
        <x:v>EEZ_586</x:v>
      </x:c>
      <x:c r="B28" s="24" t="str">
        <x:v>Pakistan</x:v>
      </x:c>
      <x:c r="C28" s="24" t="str">
        <x:v>EEZ</x:v>
      </x:c>
      <x:c r="D28" s="30" t="n">
        <x:v>2019</x:v>
      </x:c>
      <x:c r="E28" s="24" t="str">
        <x:v>Anodontostoma chacunda</x:v>
      </x:c>
      <x:c r="F28" s="24" t="str">
        <x:v>Chacunda gizzard shad</x:v>
      </x:c>
      <x:c r="G28" s="24" t="str">
        <x:v>Small pelagics (&lt;30 cm)</x:v>
      </x:c>
      <x:c r="H28" s="24" t="str">
        <x:v>Herring-likes</x:v>
      </x:c>
      <x:c r="I28" s="31" t="n">
        <x:v>9292.2389503138</x:v>
      </x:c>
      <x:c r="J28" s="31" t="n">
        <x:v>9292.2389503138</x:v>
      </x:c>
      <x:c r="K28" s="31" t="n">
        <x:v>0</x:v>
      </x:c>
      <x:c r="L28" s="31" t="n">
        <x:v>0</x:v>
      </x:c>
      <x:c r="M28" s="31" t="n">
        <x:v>9292.2389503138</x:v>
      </x:c>
      <x:c r="N28" s="24" t="str">
        <x:v>anodontostoma chacunda</x:v>
      </x:c>
      <x:c r="O28" s="32" t="n">
        <x:v>2.84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Anodontostoma chacunda</x:v>
      </x:c>
      <x:c r="T28" s="32" t="n">
        <x:f>IF(O28="","",(1/'Metadata'!$B$5)^(O28-1))</x:f>
        <x:v>69.18309709189363</x:v>
      </x:c>
      <x:c r="U28" s="31" t="n">
        <x:f>IF(T28="","",I28*T28)</x:f>
        <x:v>642865.8695006354</x:v>
      </x:c>
    </x:row>
    <x:row r="29" ht="18" customHeight="1">
      <x:c r="A29" s="24" t="str">
        <x:v>EEZ_586</x:v>
      </x:c>
      <x:c r="B29" s="24" t="str">
        <x:v>Pakistan</x:v>
      </x:c>
      <x:c r="C29" s="24" t="str">
        <x:v>EEZ</x:v>
      </x:c>
      <x:c r="D29" s="30" t="n">
        <x:v>2019</x:v>
      </x:c>
      <x:c r="E29" s="24" t="str">
        <x:v>Scomberoides lysan</x:v>
      </x:c>
      <x:c r="F29" s="24" t="str">
        <x:v>Doublespotted queenfish</x:v>
      </x:c>
      <x:c r="G29" s="24" t="str">
        <x:v>Medium reef assoc. fish (30 - 89 cm)</x:v>
      </x:c>
      <x:c r="H29" s="24" t="str">
        <x:v>Perch-likes</x:v>
      </x:c>
      <x:c r="I29" s="31" t="n">
        <x:v>9190.3122957747</x:v>
      </x:c>
      <x:c r="J29" s="31" t="n">
        <x:v>9031.7466487967</x:v>
      </x:c>
      <x:c r="K29" s="31" t="n">
        <x:v>158.565646978</x:v>
      </x:c>
      <x:c r="L29" s="31" t="n">
        <x:v>769.8373317226</x:v>
      </x:c>
      <x:c r="M29" s="31" t="n">
        <x:v>8420.4749640521</x:v>
      </x:c>
      <x:c r="N29" s="24" t="str">
        <x:v>scomberoides lysan</x:v>
      </x:c>
      <x:c r="O29" s="32" t="n">
        <x:v>4.38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Scomberoides lysan</x:v>
      </x:c>
      <x:c r="T29" s="32" t="n">
        <x:f>IF(O29="","",(1/'Metadata'!$B$5)^(O29-1))</x:f>
        <x:v>2398.83291901949</x:v>
      </x:c>
      <x:c r="U29" s="31" t="n">
        <x:f>IF(T29="","",I29*T29)</x:f>
        <x:v>22046023.671173934</x:v>
      </x:c>
    </x:row>
    <x:row r="30" ht="18" customHeight="1">
      <x:c r="A30" s="24" t="str">
        <x:v>EEZ_586</x:v>
      </x:c>
      <x:c r="B30" s="24" t="str">
        <x:v>Pakistan</x:v>
      </x:c>
      <x:c r="C30" s="24" t="str">
        <x:v>EEZ</x:v>
      </x:c>
      <x:c r="D30" s="30" t="n">
        <x:v>2019</x:v>
      </x:c>
      <x:c r="E30" s="24" t="str">
        <x:v>Dussumieria acuta</x:v>
      </x:c>
      <x:c r="F30" s="24" t="str">
        <x:v>Rainbow sardine</x:v>
      </x:c>
      <x:c r="G30" s="24" t="str">
        <x:v>Small pelagics (&lt;30 cm)</x:v>
      </x:c>
      <x:c r="H30" s="24" t="str">
        <x:v>Herring-likes</x:v>
      </x:c>
      <x:c r="I30" s="31" t="n">
        <x:v>8835.3776033953</x:v>
      </x:c>
      <x:c r="J30" s="31" t="n">
        <x:v>8835.3776033953</x:v>
      </x:c>
      <x:c r="K30" s="31" t="n">
        <x:v>0</x:v>
      </x:c>
      <x:c r="L30" s="31" t="n">
        <x:v>0</x:v>
      </x:c>
      <x:c r="M30" s="31" t="n">
        <x:v>8835.3776033953</x:v>
      </x:c>
      <x:c r="N30" s="24" t="str">
        <x:v>dussumieria acuta</x:v>
      </x:c>
      <x:c r="O30" s="32" t="n">
        <x:v>3.4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Dussumieria acuta</x:v>
      </x:c>
      <x:c r="T30" s="32" t="n">
        <x:f>IF(O30="","",(1/'Metadata'!$B$5)^(O30-1))</x:f>
        <x:v>251.18864315095797</x:v>
      </x:c>
      <x:c r="U30" s="31" t="n">
        <x:f>IF(T30="","",I30*T30)</x:f>
        <x:v>2219346.5119232284</x:v>
      </x:c>
    </x:row>
    <x:row r="31" ht="18" customHeight="1">
      <x:c r="A31" s="24" t="str">
        <x:v>EEZ_586</x:v>
      </x:c>
      <x:c r="B31" s="24" t="str">
        <x:v>Pakistan</x:v>
      </x:c>
      <x:c r="C31" s="24" t="str">
        <x:v>EEZ</x:v>
      </x:c>
      <x:c r="D31" s="30" t="n">
        <x:v>2019</x:v>
      </x:c>
      <x:c r="E31" s="24" t="str">
        <x:v>Scombridae</x:v>
      </x:c>
      <x:c r="F31" s="24" t="str">
        <x:v>Mackerels, tunas, bonitos</x:v>
      </x:c>
      <x:c r="G31" s="24" t="str">
        <x:v>Medium pelagics (30 - 89 cm)</x:v>
      </x:c>
      <x:c r="H31" s="24" t="str">
        <x:v>Perch-likes</x:v>
      </x:c>
      <x:c r="I31" s="31" t="n">
        <x:v>7715.4747508107</x:v>
      </x:c>
      <x:c r="J31" s="31" t="n">
        <x:v>7603.8804721504</x:v>
      </x:c>
      <x:c r="K31" s="31" t="n">
        <x:v>111.5942786603</x:v>
      </x:c>
      <x:c r="L31" s="31" t="n">
        <x:v>5010.2278561426</x:v>
      </x:c>
      <x:c r="M31" s="31" t="n">
        <x:v>2705.2468946681</x:v>
      </x:c>
      <x:c r="N31" s="24" t="str">
        <x:v>scombridae</x:v>
      </x:c>
      <x:c r="O31" s="32" t="n">
        <x:v>4.26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Scombridae</x:v>
      </x:c>
      <x:c r="T31" s="32" t="n">
        <x:f>IF(O31="","",(1/'Metadata'!$B$5)^(O31-1))</x:f>
        <x:v>1819.7008586099826</x:v>
      </x:c>
      <x:c r="U31" s="31" t="n">
        <x:f>IF(T31="","",I31*T31)</x:f>
        <x:v>14039856.028633872</x:v>
      </x:c>
    </x:row>
    <x:row r="32" ht="18" customHeight="1">
      <x:c r="A32" s="24" t="str">
        <x:v>EEZ_586</x:v>
      </x:c>
      <x:c r="B32" s="24" t="str">
        <x:v>Pakistan</x:v>
      </x:c>
      <x:c r="C32" s="24" t="str">
        <x:v>EEZ</x:v>
      </x:c>
      <x:c r="D32" s="30" t="n">
        <x:v>2019</x:v>
      </x:c>
      <x:c r="E32" s="24" t="str">
        <x:v>Bivalvia</x:v>
      </x:c>
      <x:c r="F32" s="24" t="str">
        <x:v>Clams</x:v>
      </x:c>
      <x:c r="G32" s="24" t="str">
        <x:v>Other demersal invertebrates</x:v>
      </x:c>
      <x:c r="H32" s="24" t="str">
        <x:v>Molluscs</x:v>
      </x:c>
      <x:c r="I32" s="31" t="n">
        <x:v>7696.8719948362</x:v>
      </x:c>
      <x:c r="J32" s="31" t="n">
        <x:v>7696.8719948362</x:v>
      </x:c>
      <x:c r="K32" s="31" t="n">
        <x:v>0</x:v>
      </x:c>
      <x:c r="L32" s="31" t="n">
        <x:v>399.00000000029996</x:v>
      </x:c>
      <x:c r="M32" s="31" t="n">
        <x:v>7297.8719948359</x:v>
      </x:c>
      <x:c r="N32" s="24" t="str">
        <x:v>bivalvia</x:v>
      </x:c>
      <x:c r="O32" s="32" t="n">
        <x:v>2.23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Bivalvia</x:v>
      </x:c>
      <x:c r="T32" s="32" t="n">
        <x:f>IF(O32="","",(1/'Metadata'!$B$5)^(O32-1))</x:f>
        <x:v>16.982436524617444</x:v>
      </x:c>
      <x:c r="U32" s="31" t="n">
        <x:f>IF(T32="","",I32*T32)</x:f>
        <x:v>130711.64009041143</x:v>
      </x:c>
    </x:row>
    <x:row r="33" ht="18" customHeight="1">
      <x:c r="A33" s="24" t="str">
        <x:v>EEZ_586</x:v>
      </x:c>
      <x:c r="B33" s="24" t="str">
        <x:v>Pakistan</x:v>
      </x:c>
      <x:c r="C33" s="24" t="str">
        <x:v>EEZ</x:v>
      </x:c>
      <x:c r="D33" s="30" t="n">
        <x:v>2019</x:v>
      </x:c>
      <x:c r="E33" s="24" t="str">
        <x:v>Lethrinus</x:v>
      </x:c>
      <x:c r="F33" s="24" t="str">
        <x:v>Emperors</x:v>
      </x:c>
      <x:c r="G33" s="24" t="str">
        <x:v>Medium reef assoc. fish (30 - 89 cm)</x:v>
      </x:c>
      <x:c r="H33" s="24" t="str">
        <x:v>Perch-likes</x:v>
      </x:c>
      <x:c r="I33" s="31" t="n">
        <x:v>7205.2275118779</x:v>
      </x:c>
      <x:c r="J33" s="31" t="n">
        <x:v>7205.2275118779</x:v>
      </x:c>
      <x:c r="K33" s="31" t="n">
        <x:v>0</x:v>
      </x:c>
      <x:c r="L33" s="31" t="n">
        <x:v>3053.2248878149</x:v>
      </x:c>
      <x:c r="M33" s="31" t="n">
        <x:v>4152.002624063</x:v>
      </x:c>
      <x:c r="N33" s="24" t="str">
        <x:v>lethrinus</x:v>
      </x:c>
      <x:c r="O33" s="32" t="n">
        <x:v>3.75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Lethrinus</x:v>
      </x:c>
      <x:c r="T33" s="32" t="n">
        <x:f>IF(O33="","",(1/'Metadata'!$B$5)^(O33-1))</x:f>
        <x:v>562.341325190349</x:v>
      </x:c>
      <x:c r="U33" s="31" t="n">
        <x:f>IF(T33="","",I33*T33)</x:f>
        <x:v>4051797.1873273794</x:v>
      </x:c>
    </x:row>
    <x:row r="34" ht="18" customHeight="1">
      <x:c r="A34" s="24" t="str">
        <x:v>EEZ_586</x:v>
      </x:c>
      <x:c r="B34" s="24" t="str">
        <x:v>Pakistan</x:v>
      </x:c>
      <x:c r="C34" s="24" t="str">
        <x:v>EEZ</x:v>
      </x:c>
      <x:c r="D34" s="30" t="n">
        <x:v>2019</x:v>
      </x:c>
      <x:c r="E34" s="24" t="str">
        <x:v>Parastromateus niger</x:v>
      </x:c>
      <x:c r="F34" s="24" t="str">
        <x:v>Black pomfret</x:v>
      </x:c>
      <x:c r="G34" s="24" t="str">
        <x:v>Medium benthopelagics (30 - 89 cm)</x:v>
      </x:c>
      <x:c r="H34" s="24" t="str">
        <x:v>Perch-likes</x:v>
      </x:c>
      <x:c r="I34" s="31" t="n">
        <x:v>6603.9137773798</x:v>
      </x:c>
      <x:c r="J34" s="31" t="n">
        <x:v>6603.9137773798</x:v>
      </x:c>
      <x:c r="K34" s="31" t="n">
        <x:v>0</x:v>
      </x:c>
      <x:c r="L34" s="31" t="n">
        <x:v>2227</x:v>
      </x:c>
      <x:c r="M34" s="31" t="n">
        <x:v>4376.9137773798</x:v>
      </x:c>
      <x:c r="N34" s="24" t="str">
        <x:v>parastromateus niger</x:v>
      </x:c>
      <x:c r="O34" s="32" t="n">
        <x:v>2.93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Parastromateus niger</x:v>
      </x:c>
      <x:c r="T34" s="32" t="n">
        <x:f>IF(O34="","",(1/'Metadata'!$B$5)^(O34-1))</x:f>
        <x:v>85.11380382023768</x:v>
      </x:c>
      <x:c r="U34" s="31" t="n">
        <x:f>IF(T34="","",I34*T34)</x:f>
        <x:v>562084.2216936691</x:v>
      </x:c>
    </x:row>
    <x:row r="35" ht="18" customHeight="1">
      <x:c r="A35" s="24" t="str">
        <x:v>EEZ_586</x:v>
      </x:c>
      <x:c r="B35" s="24" t="str">
        <x:v>Pakistan</x:v>
      </x:c>
      <x:c r="C35" s="24" t="str">
        <x:v>EEZ</x:v>
      </x:c>
      <x:c r="D35" s="30" t="n">
        <x:v>2019</x:v>
      </x:c>
      <x:c r="E35" s="24" t="str">
        <x:v>Portunidae</x:v>
      </x:c>
      <x:c r="F35" s="24" t="str">
        <x:v>Swimming crabs</x:v>
      </x:c>
      <x:c r="G35" s="24" t="str">
        <x:v>Lobsters, crabs</x:v>
      </x:c>
      <x:c r="H35" s="24" t="str">
        <x:v>Crustaceans</x:v>
      </x:c>
      <x:c r="I35" s="31" t="n">
        <x:v>6498.0000000001</x:v>
      </x:c>
      <x:c r="J35" s="31" t="n">
        <x:v>6498.0000000001</x:v>
      </x:c>
      <x:c r="K35" s="31" t="n">
        <x:v>0</x:v>
      </x:c>
      <x:c r="L35" s="31" t="n">
        <x:v>6498.0000000001</x:v>
      </x:c>
      <x:c r="M35" s="31" t="n">
        <x:v>0</x:v>
      </x:c>
      <x:c r="N35" s="24" t="str">
        <x:v>portunidae</x:v>
      </x:c>
      <x:c r="O35" s="32" t="n">
        <x:v>3.56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Portunidae</x:v>
      </x:c>
      <x:c r="T35" s="32" t="n">
        <x:f>IF(O35="","",(1/'Metadata'!$B$5)^(O35-1))</x:f>
        <x:v>363.0780547701014</x:v>
      </x:c>
      <x:c r="U35" s="31" t="n">
        <x:f>IF(T35="","",I35*T35)</x:f>
        <x:v>2359281.1998961554</x:v>
      </x:c>
    </x:row>
    <x:row r="36" ht="18" customHeight="1">
      <x:c r="A36" s="24" t="str">
        <x:v>EEZ_586</x:v>
      </x:c>
      <x:c r="B36" s="24" t="str">
        <x:v>Pakistan</x:v>
      </x:c>
      <x:c r="C36" s="24" t="str">
        <x:v>EEZ</x:v>
      </x:c>
      <x:c r="D36" s="30" t="n">
        <x:v>2019</x:v>
      </x:c>
      <x:c r="E36" s="24" t="str">
        <x:v>Scomberoides commersonnianus</x:v>
      </x:c>
      <x:c r="F36" s="24" t="str">
        <x:v>Talang queenfish</x:v>
      </x:c>
      <x:c r="G36" s="24" t="str">
        <x:v>Large reef assoc. fish (&gt;=90 cm)</x:v>
      </x:c>
      <x:c r="H36" s="24" t="str">
        <x:v>Perch-likes</x:v>
      </x:c>
      <x:c r="I36" s="31" t="n">
        <x:v>5871.4989971569</x:v>
      </x:c>
      <x:c r="J36" s="31" t="n">
        <x:v>5871.4989971569</x:v>
      </x:c>
      <x:c r="K36" s="31" t="n">
        <x:v>0</x:v>
      </x:c>
      <x:c r="L36" s="31" t="n">
        <x:v>769.8373317226</x:v>
      </x:c>
      <x:c r="M36" s="31" t="n">
        <x:v>5101.6616654343</x:v>
      </x:c>
      <x:c r="N36" s="24" t="str">
        <x:v>scomberoides commersonnianus</x:v>
      </x:c>
      <x:c r="O36" s="32" t="n">
        <x:v>4.48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Scomberoides commersonnianus</x:v>
      </x:c>
      <x:c r="T36" s="32" t="n">
        <x:f>IF(O36="","",(1/'Metadata'!$B$5)^(O36-1))</x:f>
        <x:v>3019.951720402019</x:v>
      </x:c>
      <x:c r="U36" s="31" t="n">
        <x:f>IF(T36="","",I36*T36)</x:f>
        <x:v>17731643.49780271</x:v>
      </x:c>
    </x:row>
    <x:row r="37" ht="18" customHeight="1">
      <x:c r="A37" s="24" t="str">
        <x:v>EEZ_586</x:v>
      </x:c>
      <x:c r="B37" s="24" t="str">
        <x:v>Pakistan</x:v>
      </x:c>
      <x:c r="C37" s="24" t="str">
        <x:v>EEZ</x:v>
      </x:c>
      <x:c r="D37" s="30" t="n">
        <x:v>2019</x:v>
      </x:c>
      <x:c r="E37" s="24" t="str">
        <x:v>Trichiuridae</x:v>
      </x:c>
      <x:c r="F37" s="24" t="str">
        <x:v>Cutlassfishes</x:v>
      </x:c>
      <x:c r="G37" s="24" t="str">
        <x:v>Large benthopelagics (&gt;=90 cm)</x:v>
      </x:c>
      <x:c r="H37" s="24" t="str">
        <x:v>Perch-likes</x:v>
      </x:c>
      <x:c r="I37" s="31" t="n">
        <x:v>5657.9007600413</x:v>
      </x:c>
      <x:c r="J37" s="31" t="n">
        <x:v>5657.9007600413</x:v>
      </x:c>
      <x:c r="K37" s="31" t="n">
        <x:v>0</x:v>
      </x:c>
      <x:c r="L37" s="31" t="n">
        <x:v>0</x:v>
      </x:c>
      <x:c r="M37" s="31" t="n">
        <x:v>5657.9007600413</x:v>
      </x:c>
      <x:c r="N37" s="24" t="str">
        <x:v>trichiuridae</x:v>
      </x:c>
      <x:c r="O37" s="32" t="n">
        <x:v>4.15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Trichiuridae</x:v>
      </x:c>
      <x:c r="T37" s="32" t="n">
        <x:f>IF(O37="","",(1/'Metadata'!$B$5)^(O37-1))</x:f>
        <x:v>1412.5375446227554</x:v>
      </x:c>
      <x:c r="U37" s="31" t="n">
        <x:f>IF(T37="","",I37*T37)</x:f>
        <x:v>7991997.247307959</x:v>
      </x:c>
    </x:row>
    <x:row r="38" ht="18" customHeight="1">
      <x:c r="A38" s="24" t="str">
        <x:v>EEZ_586</x:v>
      </x:c>
      <x:c r="B38" s="24" t="str">
        <x:v>Pakistan</x:v>
      </x:c>
      <x:c r="C38" s="24" t="str">
        <x:v>EEZ</x:v>
      </x:c>
      <x:c r="D38" s="30" t="n">
        <x:v>2019</x:v>
      </x:c>
      <x:c r="E38" s="24" t="str">
        <x:v>Scomberoides</x:v>
      </x:c>
      <x:c r="F38" s="24" t="str">
        <x:v>Queenfishes</x:v>
      </x:c>
      <x:c r="G38" s="24" t="str">
        <x:v>Medium pelagics (30 - 89 cm)</x:v>
      </x:c>
      <x:c r="H38" s="24" t="str">
        <x:v>Perch-likes</x:v>
      </x:c>
      <x:c r="I38" s="31" t="n">
        <x:v>5056.7873466445</x:v>
      </x:c>
      <x:c r="J38" s="31" t="n">
        <x:v>5056.7873466445</x:v>
      </x:c>
      <x:c r="K38" s="31" t="n">
        <x:v>0</x:v>
      </x:c>
      <x:c r="L38" s="31" t="n">
        <x:v>5056.7873466445</x:v>
      </x:c>
      <x:c r="M38" s="31" t="n">
        <x:v>0</x:v>
      </x:c>
      <x:c r="N38" s="24" t="str">
        <x:v>scomberoides</x:v>
      </x:c>
      <x:c r="O38" s="32" t="n">
        <x:v>4.47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Scomberoides</x:v>
      </x:c>
      <x:c r="T38" s="32" t="n">
        <x:f>IF(O38="","",(1/'Metadata'!$B$5)^(O38-1))</x:f>
        <x:v>2951.209226666384</x:v>
      </x:c>
      <x:c r="U38" s="31" t="n">
        <x:f>IF(T38="","",I38*T38)</x:f>
        <x:v>14923637.47470707</x:v>
      </x:c>
    </x:row>
    <x:row r="39" ht="18" customHeight="1">
      <x:c r="A39" s="24" t="str">
        <x:v>EEZ_586</x:v>
      </x:c>
      <x:c r="B39" s="24" t="str">
        <x:v>Pakistan</x:v>
      </x:c>
      <x:c r="C39" s="24" t="str">
        <x:v>EEZ</x:v>
      </x:c>
      <x:c r="D39" s="30" t="n">
        <x:v>2019</x:v>
      </x:c>
      <x:c r="E39" s="24" t="str">
        <x:v>Catostylus perezi</x:v>
      </x:c>
      <x:c r="F39" s="24" t="str">
        <x:v>Banana jellyfish</x:v>
      </x:c>
      <x:c r="G39" s="24" t="str">
        <x:v>Jellyfish</x:v>
      </x:c>
      <x:c r="H39" s="24" t="str">
        <x:v>Other fishes &amp; inverts</x:v>
      </x:c>
      <x:c r="I39" s="31" t="n">
        <x:v>5017</x:v>
      </x:c>
      <x:c r="J39" s="31" t="n">
        <x:v>5017</x:v>
      </x:c>
      <x:c r="K39" s="31" t="n">
        <x:v>0</x:v>
      </x:c>
      <x:c r="L39" s="31" t="n">
        <x:v>0</x:v>
      </x:c>
      <x:c r="M39" s="31" t="n">
        <x:v>5017</x:v>
      </x:c>
      <x:c r="N39" s="24" t="str">
        <x:v>catostylus perezi</x:v>
      </x:c>
      <x:c r="O39" s="32" t="n">
        <x:v>3.46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Catostylus perezi</x:v>
      </x:c>
      <x:c r="T39" s="32" t="n">
        <x:f>IF(O39="","",(1/'Metadata'!$B$5)^(O39-1))</x:f>
        <x:v>288.40315031266056</x:v>
      </x:c>
      <x:c r="U39" s="31" t="n">
        <x:f>IF(T39="","",I39*T39)</x:f>
        <x:v>1446918.605118618</x:v>
      </x:c>
    </x:row>
    <x:row r="40" ht="18" customHeight="1">
      <x:c r="A40" s="24" t="str">
        <x:v>EEZ_586</x:v>
      </x:c>
      <x:c r="B40" s="24" t="str">
        <x:v>Pakistan</x:v>
      </x:c>
      <x:c r="C40" s="24" t="str">
        <x:v>EEZ</x:v>
      </x:c>
      <x:c r="D40" s="30" t="n">
        <x:v>2019</x:v>
      </x:c>
      <x:c r="E40" s="24" t="str">
        <x:v>Otolithes ruber</x:v>
      </x:c>
      <x:c r="F40" s="24" t="str">
        <x:v>Tigertooth croaker</x:v>
      </x:c>
      <x:c r="G40" s="24" t="str">
        <x:v>Medium benthopelagics (30 - 89 cm)</x:v>
      </x:c>
      <x:c r="H40" s="24" t="str">
        <x:v>Perch-likes</x:v>
      </x:c>
      <x:c r="I40" s="31" t="n">
        <x:v>5002.7707434523</x:v>
      </x:c>
      <x:c r="J40" s="31" t="n">
        <x:v>4571.1198155676</x:v>
      </x:c>
      <x:c r="K40" s="31" t="n">
        <x:v>431.6509278847</x:v>
      </x:c>
      <x:c r="L40" s="31" t="n">
        <x:v>0</x:v>
      </x:c>
      <x:c r="M40" s="31" t="n">
        <x:v>5002.7707434523</x:v>
      </x:c>
      <x:c r="N40" s="24" t="str">
        <x:v>otolithes ruber</x:v>
      </x:c>
      <x:c r="O40" s="32" t="n">
        <x:v>3.6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Otolithes ruber</x:v>
      </x:c>
      <x:c r="T40" s="32" t="n">
        <x:f>IF(O40="","",(1/'Metadata'!$B$5)^(O40-1))</x:f>
        <x:v>398.1071705534973</x:v>
      </x:c>
      <x:c r="U40" s="31" t="n">
        <x:f>IF(T40="","",I40*T40)</x:f>
        <x:v>1991638.9056036114</x:v>
      </x:c>
    </x:row>
    <x:row r="41" ht="18" customHeight="1">
      <x:c r="A41" s="24" t="str">
        <x:v>EEZ_586</x:v>
      </x:c>
      <x:c r="B41" s="24" t="str">
        <x:v>Pakistan</x:v>
      </x:c>
      <x:c r="C41" s="24" t="str">
        <x:v>EEZ</x:v>
      </x:c>
      <x:c r="D41" s="30" t="n">
        <x:v>2019</x:v>
      </x:c>
      <x:c r="E41" s="24" t="str">
        <x:v>Lutjanus argentimaculatus</x:v>
      </x:c>
      <x:c r="F41" s="24" t="str">
        <x:v>Mangrove red snapper</x:v>
      </x:c>
      <x:c r="G41" s="24" t="str">
        <x:v>Large reef assoc. fish (&gt;=90 cm)</x:v>
      </x:c>
      <x:c r="H41" s="24" t="str">
        <x:v>Perch-likes</x:v>
      </x:c>
      <x:c r="I41" s="31" t="n">
        <x:v>4890.3500897732</x:v>
      </x:c>
      <x:c r="J41" s="31" t="n">
        <x:v>4890.3500897732</x:v>
      </x:c>
      <x:c r="K41" s="31" t="n">
        <x:v>0</x:v>
      </x:c>
      <x:c r="L41" s="31" t="n">
        <x:v>1218.0000000001</x:v>
      </x:c>
      <x:c r="M41" s="31" t="n">
        <x:v>3672.3500897731</x:v>
      </x:c>
      <x:c r="N41" s="24" t="str">
        <x:v>lutjanus argentimaculatus</x:v>
      </x:c>
      <x:c r="O41" s="32" t="n">
        <x:v>3.58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Lutjanus argentimaculatus</x:v>
      </x:c>
      <x:c r="T41" s="32" t="n">
        <x:f>IF(O41="","",(1/'Metadata'!$B$5)^(O41-1))</x:f>
        <x:v>380.1893963205613</x:v>
      </x:c>
      <x:c r="U41" s="31" t="n">
        <x:f>IF(T41="","",I41*T41)</x:f>
        <x:v>1859259.2484270756</x:v>
      </x:c>
    </x:row>
    <x:row r="42" ht="18" customHeight="1">
      <x:c r="A42" s="24" t="str">
        <x:v>EEZ_586</x:v>
      </x:c>
      <x:c r="B42" s="24" t="str">
        <x:v>Pakistan</x:v>
      </x:c>
      <x:c r="C42" s="24" t="str">
        <x:v>EEZ</x:v>
      </x:c>
      <x:c r="D42" s="30" t="n">
        <x:v>2019</x:v>
      </x:c>
      <x:c r="E42" s="24" t="str">
        <x:v>Lutjanus</x:v>
      </x:c>
      <x:c r="F42" s="24" t="str">
        <x:v>Snappers</x:v>
      </x:c>
      <x:c r="G42" s="24" t="str">
        <x:v>Medium reef assoc. fish (30 - 89 cm)</x:v>
      </x:c>
      <x:c r="H42" s="24" t="str">
        <x:v>Perch-likes</x:v>
      </x:c>
      <x:c r="I42" s="31" t="n">
        <x:v>4817.5608551769</x:v>
      </x:c>
      <x:c r="J42" s="31" t="n">
        <x:v>4817.5608551769</x:v>
      </x:c>
      <x:c r="K42" s="31" t="n">
        <x:v>0</x:v>
      </x:c>
      <x:c r="L42" s="31" t="n">
        <x:v>769.8373317224999</x:v>
      </x:c>
      <x:c r="M42" s="31" t="n">
        <x:v>4047.7235234544</x:v>
      </x:c>
      <x:c r="N42" s="24" t="str">
        <x:v>lutjanus</x:v>
      </x:c>
      <x:c r="O42" s="32" t="n">
        <x:v>4.02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Lutjanus</x:v>
      </x:c>
      <x:c r="T42" s="32" t="n">
        <x:f>IF(O42="","",(1/'Metadata'!$B$5)^(O42-1))</x:f>
        <x:v>1047.1285480508984</x:v>
      </x:c>
      <x:c r="U42" s="31" t="n">
        <x:f>IF(T42="","",I42*T42)</x:f>
        <x:v>5044605.503428232</x:v>
      </x:c>
    </x:row>
    <x:row r="43" ht="18" customHeight="1">
      <x:c r="A43" s="24" t="str">
        <x:v>EEZ_586</x:v>
      </x:c>
      <x:c r="B43" s="24" t="str">
        <x:v>Pakistan</x:v>
      </x:c>
      <x:c r="C43" s="24" t="str">
        <x:v>EEZ</x:v>
      </x:c>
      <x:c r="D43" s="30" t="n">
        <x:v>2019</x:v>
      </x:c>
      <x:c r="E43" s="24" t="str">
        <x:v>Megalaspis cordyla</x:v>
      </x:c>
      <x:c r="F43" s="24" t="str">
        <x:v>Torpedo scad</x:v>
      </x:c>
      <x:c r="G43" s="24" t="str">
        <x:v>Medium pelagics (30 - 89 cm)</x:v>
      </x:c>
      <x:c r="H43" s="24" t="str">
        <x:v>Perch-likes</x:v>
      </x:c>
      <x:c r="I43" s="31" t="n">
        <x:v>4613.1598205038</x:v>
      </x:c>
      <x:c r="J43" s="31" t="n">
        <x:v>4613.1598205038</x:v>
      </x:c>
      <x:c r="K43" s="31" t="n">
        <x:v>0</x:v>
      </x:c>
      <x:c r="L43" s="31" t="n">
        <x:v>4613.1598205038</x:v>
      </x:c>
      <x:c r="M43" s="31" t="n">
        <x:v>0</x:v>
      </x:c>
      <x:c r="N43" s="24" t="str">
        <x:v>megalaspis cordyla</x:v>
      </x:c>
      <x:c r="O43" s="32" t="n">
        <x:v>4.24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Megalaspis cordyla</x:v>
      </x:c>
      <x:c r="T43" s="32" t="n">
        <x:f>IF(O43="","",(1/'Metadata'!$B$5)^(O43-1))</x:f>
        <x:v>1737.8008287493763</x:v>
      </x:c>
      <x:c r="U43" s="31" t="n">
        <x:f>IF(T43="","",I43*T43)</x:f>
        <x:v>8016752.959224828</x:v>
      </x:c>
    </x:row>
    <x:row r="44" ht="18" customHeight="1">
      <x:c r="A44" s="24" t="str">
        <x:v>EEZ_586</x:v>
      </x:c>
      <x:c r="B44" s="24" t="str">
        <x:v>Pakistan</x:v>
      </x:c>
      <x:c r="C44" s="24" t="str">
        <x:v>EEZ</x:v>
      </x:c>
      <x:c r="D44" s="30" t="n">
        <x:v>2019</x:v>
      </x:c>
      <x:c r="E44" s="24" t="str">
        <x:v>Carangidae</x:v>
      </x:c>
      <x:c r="F44" s="24" t="str">
        <x:v>Jacks, pompanos</x:v>
      </x:c>
      <x:c r="G44" s="24" t="str">
        <x:v>Medium pelagics (30 - 89 cm)</x:v>
      </x:c>
      <x:c r="H44" s="24" t="str">
        <x:v>Perch-likes</x:v>
      </x:c>
      <x:c r="I44" s="31" t="n">
        <x:v>4486.2375729588</x:v>
      </x:c>
      <x:c r="J44" s="31" t="n">
        <x:v>4486.2375729588</x:v>
      </x:c>
      <x:c r="K44" s="31" t="n">
        <x:v>0</x:v>
      </x:c>
      <x:c r="L44" s="31" t="n">
        <x:v>0</x:v>
      </x:c>
      <x:c r="M44" s="31" t="n">
        <x:v>4486.2375729588</x:v>
      </x:c>
      <x:c r="N44" s="24" t="str">
        <x:v>carangidae</x:v>
      </x:c>
      <x:c r="O44" s="32" t="n">
        <x:v>4.05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Carangidae</x:v>
      </x:c>
      <x:c r="T44" s="32" t="n">
        <x:f>IF(O44="","",(1/'Metadata'!$B$5)^(O44-1))</x:f>
        <x:v>1122.018454301963</x:v>
      </x:c>
      <x:c r="U44" s="31" t="n">
        <x:f>IF(T44="","",I44*T44)</x:f>
        <x:v>5033641.347242623</x:v>
      </x:c>
    </x:row>
    <x:row r="45" ht="18" customHeight="1">
      <x:c r="A45" s="24" t="str">
        <x:v>EEZ_586</x:v>
      </x:c>
      <x:c r="B45" s="24" t="str">
        <x:v>Pakistan</x:v>
      </x:c>
      <x:c r="C45" s="24" t="str">
        <x:v>EEZ</x:v>
      </x:c>
      <x:c r="D45" s="30" t="n">
        <x:v>2019</x:v>
      </x:c>
      <x:c r="E45" s="24" t="str">
        <x:v>Lutjanus johnii</x:v>
      </x:c>
      <x:c r="F45" s="24" t="str">
        <x:v>John's snapper</x:v>
      </x:c>
      <x:c r="G45" s="24" t="str">
        <x:v>Medium reef assoc. fish (30 - 89 cm)</x:v>
      </x:c>
      <x:c r="H45" s="24" t="str">
        <x:v>Perch-likes</x:v>
      </x:c>
      <x:c r="I45" s="31" t="n">
        <x:v>4478.3613255554</x:v>
      </x:c>
      <x:c r="J45" s="31" t="n">
        <x:v>4478.3613255554</x:v>
      </x:c>
      <x:c r="K45" s="31" t="n">
        <x:v>0</x:v>
      </x:c>
      <x:c r="L45" s="31" t="n">
        <x:v>769.8373317224999</x:v>
      </x:c>
      <x:c r="M45" s="31" t="n">
        <x:v>3708.5239938329</x:v>
      </x:c>
      <x:c r="N45" s="24" t="str">
        <x:v>lutjanus johnii</x:v>
      </x:c>
      <x:c r="O45" s="32" t="n">
        <x:v>4.2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Lutjanus johnii</x:v>
      </x:c>
      <x:c r="T45" s="32" t="n">
        <x:f>IF(O45="","",(1/'Metadata'!$B$5)^(O45-1))</x:f>
        <x:v>1584.893192461114</x:v>
      </x:c>
      <x:c r="U45" s="31" t="n">
        <x:f>IF(T45="","",I45*T45)</x:f>
        <x:v>7097724.378253885</x:v>
      </x:c>
    </x:row>
    <x:row r="46" ht="18" customHeight="1">
      <x:c r="A46" s="24" t="str">
        <x:v>EEZ_586</x:v>
      </x:c>
      <x:c r="B46" s="24" t="str">
        <x:v>Pakistan</x:v>
      </x:c>
      <x:c r="C46" s="24" t="str">
        <x:v>EEZ</x:v>
      </x:c>
      <x:c r="D46" s="30" t="n">
        <x:v>2019</x:v>
      </x:c>
      <x:c r="E46" s="24" t="str">
        <x:v>Lutjanus malabaricus</x:v>
      </x:c>
      <x:c r="F46" s="24" t="str">
        <x:v>Malabar blood snapper</x:v>
      </x:c>
      <x:c r="G46" s="24" t="str">
        <x:v>Medium reef assoc. fish (30 - 89 cm)</x:v>
      </x:c>
      <x:c r="H46" s="24" t="str">
        <x:v>Perch-likes</x:v>
      </x:c>
      <x:c r="I46" s="31" t="n">
        <x:v>4478.3613255554</x:v>
      </x:c>
      <x:c r="J46" s="31" t="n">
        <x:v>4478.3613255554</x:v>
      </x:c>
      <x:c r="K46" s="31" t="n">
        <x:v>0</x:v>
      </x:c>
      <x:c r="L46" s="31" t="n">
        <x:v>769.8373317224999</x:v>
      </x:c>
      <x:c r="M46" s="31" t="n">
        <x:v>3708.5239938329</x:v>
      </x:c>
      <x:c r="N46" s="24" t="str">
        <x:v>lutjanus malabaricus</x:v>
      </x:c>
      <x:c r="O46" s="32" t="n">
        <x:v>4.48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Lutjanus malabaricus</x:v>
      </x:c>
      <x:c r="T46" s="32" t="n">
        <x:f>IF(O46="","",(1/'Metadata'!$B$5)^(O46-1))</x:f>
        <x:v>3019.951720402019</x:v>
      </x:c>
      <x:c r="U46" s="31" t="n">
        <x:f>IF(T46="","",I46*T46)</x:f>
        <x:v>13524434.989692897</x:v>
      </x:c>
    </x:row>
    <x:row r="47" ht="18" customHeight="1">
      <x:c r="A47" s="24" t="str">
        <x:v>EEZ_586</x:v>
      </x:c>
      <x:c r="B47" s="24" t="str">
        <x:v>Pakistan</x:v>
      </x:c>
      <x:c r="C47" s="24" t="str">
        <x:v>EEZ</x:v>
      </x:c>
      <x:c r="D47" s="30" t="n">
        <x:v>2019</x:v>
      </x:c>
      <x:c r="E47" s="24" t="str">
        <x:v>Nemipterus japonicus</x:v>
      </x:c>
      <x:c r="F47" s="24" t="str">
        <x:v>Japanese threadfin bream</x:v>
      </x:c>
      <x:c r="G47" s="24" t="str">
        <x:v>Small demersals (&lt;30 cm)</x:v>
      </x:c>
      <x:c r="H47" s="24" t="str">
        <x:v>Perch-likes</x:v>
      </x:c>
      <x:c r="I47" s="31" t="n">
        <x:v>4414.167025288</x:v>
      </x:c>
      <x:c r="J47" s="31" t="n">
        <x:v>4330.479600494</x:v>
      </x:c>
      <x:c r="K47" s="31" t="n">
        <x:v>83.687424794</x:v>
      </x:c>
      <x:c r="L47" s="31" t="n">
        <x:v>307.9349326889</x:v>
      </x:c>
      <x:c r="M47" s="31" t="n">
        <x:v>4106.2320925991</x:v>
      </x:c>
      <x:c r="N47" s="24" t="str">
        <x:v>nemipterus japonicus</x:v>
      </x:c>
      <x:c r="O47" s="32" t="n">
        <x:v>3.77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Nemipterus japonicus</x:v>
      </x:c>
      <x:c r="T47" s="32" t="n">
        <x:f>IF(O47="","",(1/'Metadata'!$B$5)^(O47-1))</x:f>
        <x:v>588.843655355589</x:v>
      </x:c>
      <x:c r="U47" s="31" t="n">
        <x:f>IF(T47="","",I47*T47)</x:f>
        <x:v>2599254.246520693</x:v>
      </x:c>
    </x:row>
    <x:row r="48" ht="18" customHeight="1">
      <x:c r="A48" s="24" t="str">
        <x:v>EEZ_586</x:v>
      </x:c>
      <x:c r="B48" s="24" t="str">
        <x:v>Pakistan</x:v>
      </x:c>
      <x:c r="C48" s="24" t="str">
        <x:v>EEZ</x:v>
      </x:c>
      <x:c r="D48" s="30" t="n">
        <x:v>2019</x:v>
      </x:c>
      <x:c r="E48" s="24" t="str">
        <x:v>Bramidae</x:v>
      </x:c>
      <x:c r="F48" s="24" t="str">
        <x:v>Pomfrets</x:v>
      </x:c>
      <x:c r="G48" s="24" t="str">
        <x:v>Medium pelagics (30 - 89 cm)</x:v>
      </x:c>
      <x:c r="H48" s="24" t="str">
        <x:v>Perch-likes</x:v>
      </x:c>
      <x:c r="I48" s="31" t="n">
        <x:v>4113</x:v>
      </x:c>
      <x:c r="J48" s="31" t="n">
        <x:v>4113</x:v>
      </x:c>
      <x:c r="K48" s="31" t="n">
        <x:v>0</x:v>
      </x:c>
      <x:c r="L48" s="31" t="n">
        <x:v>4113</x:v>
      </x:c>
      <x:c r="M48" s="31" t="n">
        <x:v>0</x:v>
      </x:c>
      <x:c r="N48" s="24" t="str">
        <x:v>bramidae</x:v>
      </x:c>
      <x:c r="O48" s="32" t="n">
        <x:v>4.14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Bramidae</x:v>
      </x:c>
      <x:c r="T48" s="32" t="n">
        <x:f>IF(O48="","",(1/'Metadata'!$B$5)^(O48-1))</x:f>
        <x:v>1380.3842646028838</x:v>
      </x:c>
      <x:c r="U48" s="31" t="n">
        <x:f>IF(T48="","",I48*T48)</x:f>
        <x:v>5677520.480311661</x:v>
      </x:c>
    </x:row>
    <x:row r="49" ht="18" customHeight="1">
      <x:c r="A49" s="24" t="str">
        <x:v>EEZ_586</x:v>
      </x:c>
      <x:c r="B49" s="24" t="str">
        <x:v>Pakistan</x:v>
      </x:c>
      <x:c r="C49" s="24" t="str">
        <x:v>EEZ</x:v>
      </x:c>
      <x:c r="D49" s="30" t="n">
        <x:v>2019</x:v>
      </x:c>
      <x:c r="E49" s="24" t="str">
        <x:v>Pampus argenteus</x:v>
      </x:c>
      <x:c r="F49" s="24" t="str">
        <x:v>Silver pomfret</x:v>
      </x:c>
      <x:c r="G49" s="24" t="str">
        <x:v>Medium benthopelagics (30 - 89 cm)</x:v>
      </x:c>
      <x:c r="H49" s="24" t="str">
        <x:v>Perch-likes</x:v>
      </x:c>
      <x:c r="I49" s="31" t="n">
        <x:v>3888.4004534432006</x:v>
      </x:c>
      <x:c r="J49" s="31" t="n">
        <x:v>3888.4004534432006</x:v>
      </x:c>
      <x:c r="K49" s="31" t="n">
        <x:v>0</x:v>
      </x:c>
      <x:c r="L49" s="31" t="n">
        <x:v>256.6124439074</x:v>
      </x:c>
      <x:c r="M49" s="31" t="n">
        <x:v>3631.7880095358</x:v>
      </x:c>
      <x:c r="N49" s="24" t="str">
        <x:v>pampus argenteus</x:v>
      </x:c>
      <x:c r="O49" s="32" t="n">
        <x:v>3.3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Pampus argenteus</x:v>
      </x:c>
      <x:c r="T49" s="32" t="n">
        <x:f>IF(O49="","",(1/'Metadata'!$B$5)^(O49-1))</x:f>
        <x:v>199.52623149688787</x:v>
      </x:c>
      <x:c r="U49" s="31" t="n">
        <x:f>IF(T49="","",I49*T49)</x:f>
        <x:v>775837.8890263118</x:v>
      </x:c>
    </x:row>
    <x:row r="50" ht="18" customHeight="1">
      <x:c r="A50" s="24" t="str">
        <x:v>EEZ_586</x:v>
      </x:c>
      <x:c r="B50" s="24" t="str">
        <x:v>Pakistan</x:v>
      </x:c>
      <x:c r="C50" s="24" t="str">
        <x:v>EEZ</x:v>
      </x:c>
      <x:c r="D50" s="30" t="n">
        <x:v>2019</x:v>
      </x:c>
      <x:c r="E50" s="24" t="str">
        <x:v>Loliginidae</x:v>
      </x:c>
      <x:c r="F50" s="24" t="str">
        <x:v>Common pencil squids</x:v>
      </x:c>
      <x:c r="G50" s="24" t="str">
        <x:v>Cephalopods</x:v>
      </x:c>
      <x:c r="H50" s="24" t="str">
        <x:v>Other fishes &amp; inverts</x:v>
      </x:c>
      <x:c r="I50" s="31" t="n">
        <x:v>3799.9999999999995</x:v>
      </x:c>
      <x:c r="J50" s="31" t="n">
        <x:v>3799.9999999999995</x:v>
      </x:c>
      <x:c r="K50" s="31" t="n">
        <x:v>0</x:v>
      </x:c>
      <x:c r="L50" s="31" t="n">
        <x:v>3799.9999999999995</x:v>
      </x:c>
      <x:c r="M50" s="31" t="n">
        <x:v>0</x:v>
      </x:c>
      <x:c r="N50" s="24" t="str">
        <x:v>loliginidae</x:v>
      </x:c>
      <x:c r="O50" s="32" t="n">
        <x:v>3.9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Loliginidae</x:v>
      </x:c>
      <x:c r="T50" s="32" t="n">
        <x:f>IF(O50="","",(1/'Metadata'!$B$5)^(O50-1))</x:f>
        <x:v>794.3282347242813</x:v>
      </x:c>
      <x:c r="U50" s="31" t="n">
        <x:f>IF(T50="","",I50*T50)</x:f>
        <x:v>3018447.2919522687</x:v>
      </x:c>
    </x:row>
    <x:row r="51" ht="18" customHeight="1">
      <x:c r="A51" s="24" t="str">
        <x:v>EEZ_586</x:v>
      </x:c>
      <x:c r="B51" s="24" t="str">
        <x:v>Pakistan</x:v>
      </x:c>
      <x:c r="C51" s="24" t="str">
        <x:v>EEZ</x:v>
      </x:c>
      <x:c r="D51" s="30" t="n">
        <x:v>2019</x:v>
      </x:c>
      <x:c r="E51" s="24" t="str">
        <x:v>Congresox talabonoides</x:v>
      </x:c>
      <x:c r="F51" s="24" t="str">
        <x:v>Indian pike conger</x:v>
      </x:c>
      <x:c r="G51" s="24" t="str">
        <x:v>Large demersals (&gt;=90 cm)</x:v>
      </x:c>
      <x:c r="H51" s="24" t="str">
        <x:v>Other fishes &amp; inverts</x:v>
      </x:c>
      <x:c r="I51" s="31" t="n">
        <x:v>3766.7022096278</x:v>
      </x:c>
      <x:c r="J51" s="31" t="n">
        <x:v>3766.7022096278</x:v>
      </x:c>
      <x:c r="K51" s="31" t="n">
        <x:v>0</x:v>
      </x:c>
      <x:c r="L51" s="31" t="n">
        <x:v>282.2736882983</x:v>
      </x:c>
      <x:c r="M51" s="31" t="n">
        <x:v>3484.4285213295</x:v>
      </x:c>
      <x:c r="N51" s="24" t="str">
        <x:v>congresox talabonoides</x:v>
      </x:c>
      <x:c r="O51" s="32" t="n">
        <x:v>4.3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Congresox talabonoides</x:v>
      </x:c>
      <x:c r="T51" s="32" t="n">
        <x:f>IF(O51="","",(1/'Metadata'!$B$5)^(O51-1))</x:f>
        <x:v>1995.2623149688789</x:v>
      </x:c>
      <x:c r="U51" s="31" t="n">
        <x:f>IF(T51="","",I51*T51)</x:f>
        <x:v>7515558.970580355</x:v>
      </x:c>
    </x:row>
    <x:row r="52" ht="18" customHeight="1">
      <x:c r="A52" s="24" t="str">
        <x:v>EEZ_586</x:v>
      </x:c>
      <x:c r="B52" s="24" t="str">
        <x:v>Pakistan</x:v>
      </x:c>
      <x:c r="C52" s="24" t="str">
        <x:v>EEZ</x:v>
      </x:c>
      <x:c r="D52" s="30" t="n">
        <x:v>2019</x:v>
      </x:c>
      <x:c r="E52" s="24" t="str">
        <x:v>Muraenesox cinereus</x:v>
      </x:c>
      <x:c r="F52" s="24" t="str">
        <x:v>Daggertooth pike conger</x:v>
      </x:c>
      <x:c r="G52" s="24" t="str">
        <x:v>Large demersals (&gt;=90 cm)</x:v>
      </x:c>
      <x:c r="H52" s="24" t="str">
        <x:v>Other fishes &amp; inverts</x:v>
      </x:c>
      <x:c r="I52" s="31" t="n">
        <x:v>3766.7022096278</x:v>
      </x:c>
      <x:c r="J52" s="31" t="n">
        <x:v>3766.7022096278</x:v>
      </x:c>
      <x:c r="K52" s="31" t="n">
        <x:v>0</x:v>
      </x:c>
      <x:c r="L52" s="31" t="n">
        <x:v>282.2736882983</x:v>
      </x:c>
      <x:c r="M52" s="31" t="n">
        <x:v>3484.4285213295</x:v>
      </x:c>
      <x:c r="N52" s="24" t="str">
        <x:v>muraenesox cinereus</x:v>
      </x:c>
      <x:c r="O52" s="32" t="n">
        <x:v>4.38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Muraenesox cinereus</x:v>
      </x:c>
      <x:c r="T52" s="32" t="n">
        <x:f>IF(O52="","",(1/'Metadata'!$B$5)^(O52-1))</x:f>
        <x:v>2398.83291901949</x:v>
      </x:c>
      <x:c r="U52" s="31" t="n">
        <x:f>IF(T52="","",I52*T52)</x:f>
        <x:v>9035689.256598618</x:v>
      </x:c>
    </x:row>
    <x:row r="53" ht="18" customHeight="1">
      <x:c r="A53" s="24" t="str">
        <x:v>EEZ_586</x:v>
      </x:c>
      <x:c r="B53" s="24" t="str">
        <x:v>Pakistan</x:v>
      </x:c>
      <x:c r="C53" s="24" t="str">
        <x:v>EEZ</x:v>
      </x:c>
      <x:c r="D53" s="30" t="n">
        <x:v>2019</x:v>
      </x:c>
      <x:c r="E53" s="24" t="str">
        <x:v>Chirocentrus dorab</x:v>
      </x:c>
      <x:c r="F53" s="24" t="str">
        <x:v>Dorab wolf-herring</x:v>
      </x:c>
      <x:c r="G53" s="24" t="str">
        <x:v>Large benthopelagics (&gt;=90 cm)</x:v>
      </x:c>
      <x:c r="H53" s="24" t="str">
        <x:v>Herring-likes</x:v>
      </x:c>
      <x:c r="I53" s="31" t="n">
        <x:v>3738.0621251977</x:v>
      </x:c>
      <x:c r="J53" s="31" t="n">
        <x:v>3738.0621251977</x:v>
      </x:c>
      <x:c r="K53" s="31" t="n">
        <x:v>0</x:v>
      </x:c>
      <x:c r="L53" s="31" t="n">
        <x:v>2894.0000000002</x:v>
      </x:c>
      <x:c r="M53" s="31" t="n">
        <x:v>844.0621251975</x:v>
      </x:c>
      <x:c r="N53" s="24" t="str">
        <x:v>chirocentrus dorab</x:v>
      </x:c>
      <x:c r="O53" s="32" t="n">
        <x:v>4.2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Chirocentrus dorab</x:v>
      </x:c>
      <x:c r="T53" s="32" t="n">
        <x:f>IF(O53="","",(1/'Metadata'!$B$5)^(O53-1))</x:f>
        <x:v>1584.893192461114</x:v>
      </x:c>
      <x:c r="U53" s="31" t="n">
        <x:f>IF(T53="","",I53*T53)</x:f>
        <x:v>5924429.215222559</x:v>
      </x:c>
    </x:row>
    <x:row r="54" ht="18" customHeight="1">
      <x:c r="A54" s="24" t="str">
        <x:v>EEZ_586</x:v>
      </x:c>
      <x:c r="B54" s="24" t="str">
        <x:v>Pakistan</x:v>
      </x:c>
      <x:c r="C54" s="24" t="str">
        <x:v>EEZ</x:v>
      </x:c>
      <x:c r="D54" s="30" t="n">
        <x:v>2019</x:v>
      </x:c>
      <x:c r="E54" s="24" t="str">
        <x:v>Leiognathidae</x:v>
      </x:c>
      <x:c r="F54" s="24" t="str">
        <x:v>Slipmouths, ponyfishes</x:v>
      </x:c>
      <x:c r="G54" s="24" t="str">
        <x:v>Small benthopelagics (&lt;30 cm)</x:v>
      </x:c>
      <x:c r="H54" s="24" t="str">
        <x:v>Perch-likes</x:v>
      </x:c>
      <x:c r="I54" s="31" t="n">
        <x:v>3529.3616608437997</x:v>
      </x:c>
      <x:c r="J54" s="31" t="n">
        <x:v>3265.0855825471</x:v>
      </x:c>
      <x:c r="K54" s="31" t="n">
        <x:v>264.2760782967</x:v>
      </x:c>
      <x:c r="L54" s="31" t="n">
        <x:v>0</x:v>
      </x:c>
      <x:c r="M54" s="31" t="n">
        <x:v>3529.3616608437997</x:v>
      </x:c>
      <x:c r="N54" s="24" t="str">
        <x:v>leiognathidae</x:v>
      </x:c>
      <x:c r="O54" s="32" t="n">
        <x:v>3.24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Leiognathidae</x:v>
      </x:c>
      <x:c r="T54" s="32" t="n">
        <x:f>IF(O54="","",(1/'Metadata'!$B$5)^(O54-1))</x:f>
        <x:v>173.78008287493762</x:v>
      </x:c>
      <x:c r="U54" s="31" t="n">
        <x:f>IF(T54="","",I54*T54)</x:f>
        <x:v>613332.761917063</x:v>
      </x:c>
    </x:row>
    <x:row r="55" ht="18" customHeight="1">
      <x:c r="A55" s="24" t="str">
        <x:v>EEZ_586</x:v>
      </x:c>
      <x:c r="B55" s="24" t="str">
        <x:v>Pakistan</x:v>
      </x:c>
      <x:c r="C55" s="24" t="str">
        <x:v>EEZ</x:v>
      </x:c>
      <x:c r="D55" s="30" t="n">
        <x:v>2019</x:v>
      </x:c>
      <x:c r="E55" s="24" t="str">
        <x:v>Saurida tumbil</x:v>
      </x:c>
      <x:c r="F55" s="24" t="str">
        <x:v>Greater lizardfish</x:v>
      </x:c>
      <x:c r="G55" s="24" t="str">
        <x:v>Medium demersals (30 - 89 cm)</x:v>
      </x:c>
      <x:c r="H55" s="24" t="str">
        <x:v>Other fishes &amp; inverts</x:v>
      </x:c>
      <x:c r="I55" s="31" t="n">
        <x:v>3479.5015843395004</x:v>
      </x:c>
      <x:c r="J55" s="31" t="n">
        <x:v>3422.2417673752</x:v>
      </x:c>
      <x:c r="K55" s="31" t="n">
        <x:v>57.2598169643</x:v>
      </x:c>
      <x:c r="L55" s="31" t="n">
        <x:v>256.6124439075</x:v>
      </x:c>
      <x:c r="M55" s="31" t="n">
        <x:v>3222.889140432</x:v>
      </x:c>
      <x:c r="N55" s="24" t="str">
        <x:v>saurida tumbil</x:v>
      </x:c>
      <x:c r="O55" s="32" t="n">
        <x:v>4.4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Saurida tumbil</x:v>
      </x:c>
      <x:c r="T55" s="32" t="n">
        <x:f>IF(O55="","",(1/'Metadata'!$B$5)^(O55-1))</x:f>
        <x:v>2511.886431509582</x:v>
      </x:c>
      <x:c r="U55" s="31" t="n">
        <x:f>IF(T55="","",I55*T55)</x:f>
        <x:v>8740112.818118485</x:v>
      </x:c>
    </x:row>
    <x:row r="56" ht="18" customHeight="1">
      <x:c r="A56" s="24" t="str">
        <x:v>EEZ_586</x:v>
      </x:c>
      <x:c r="B56" s="24" t="str">
        <x:v>Pakistan</x:v>
      </x:c>
      <x:c r="C56" s="24" t="str">
        <x:v>EEZ</x:v>
      </x:c>
      <x:c r="D56" s="30" t="n">
        <x:v>2019</x:v>
      </x:c>
      <x:c r="E56" s="24" t="str">
        <x:v>Pomadasys</x:v>
      </x:c>
      <x:c r="F56" s="24" t="str">
        <x:v>Grunters</x:v>
      </x:c>
      <x:c r="G56" s="24" t="str">
        <x:v>Medium demersals (30 - 89 cm)</x:v>
      </x:c>
      <x:c r="H56" s="24" t="str">
        <x:v>Perch-likes</x:v>
      </x:c>
      <x:c r="I56" s="31" t="n">
        <x:v>3310.2448040959</x:v>
      </x:c>
      <x:c r="J56" s="31" t="n">
        <x:v>3310.2448040959</x:v>
      </x:c>
      <x:c r="K56" s="31" t="n">
        <x:v>0</x:v>
      </x:c>
      <x:c r="L56" s="31" t="n">
        <x:v>3310.2448040959</x:v>
      </x:c>
      <x:c r="M56" s="31" t="n">
        <x:v>0</x:v>
      </x:c>
      <x:c r="N56" s="24" t="str">
        <x:v>pomadasys</x:v>
      </x:c>
      <x:c r="O56" s="32" t="n">
        <x:v>3.59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Pomadasys</x:v>
      </x:c>
      <x:c r="T56" s="32" t="n">
        <x:f>IF(O56="","",(1/'Metadata'!$B$5)^(O56-1))</x:f>
        <x:v>389.04514499428046</x:v>
      </x:c>
      <x:c r="U56" s="31" t="n">
        <x:f>IF(T56="","",I56*T56)</x:f>
        <x:v>1287834.669776053</x:v>
      </x:c>
    </x:row>
    <x:row r="57" ht="18" customHeight="1">
      <x:c r="A57" s="24" t="str">
        <x:v>EEZ_586</x:v>
      </x:c>
      <x:c r="B57" s="24" t="str">
        <x:v>Pakistan</x:v>
      </x:c>
      <x:c r="C57" s="24" t="str">
        <x:v>EEZ</x:v>
      </x:c>
      <x:c r="D57" s="30" t="n">
        <x:v>2019</x:v>
      </x:c>
      <x:c r="E57" s="24" t="str">
        <x:v>Myliobatidae</x:v>
      </x:c>
      <x:c r="F57" s="24" t="str">
        <x:v>Eagle/manta rays</x:v>
      </x:c>
      <x:c r="G57" s="24" t="str">
        <x:v>Large rays (&gt;=90 cm)</x:v>
      </x:c>
      <x:c r="H57" s="24" t="str">
        <x:v>Sharks &amp; rays</x:v>
      </x:c>
      <x:c r="I57" s="31" t="n">
        <x:v>2902.9404191983</x:v>
      </x:c>
      <x:c r="J57" s="31" t="n">
        <x:v>2902.9404191983</x:v>
      </x:c>
      <x:c r="K57" s="31" t="n">
        <x:v>0</x:v>
      </x:c>
      <x:c r="L57" s="31" t="n">
        <x:v>3.1999999998</x:v>
      </x:c>
      <x:c r="M57" s="31" t="n">
        <x:v>2899.7404191985</x:v>
      </x:c>
      <x:c r="N57" s="24" t="str">
        <x:v>myliobatidae</x:v>
      </x:c>
      <x:c r="O57" s="32" t="n">
        <x:v>3.36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Myliobatidae</x:v>
      </x:c>
      <x:c r="T57" s="32" t="n">
        <x:f>IF(O57="","",(1/'Metadata'!$B$5)^(O57-1))</x:f>
        <x:v>229.08676527677724</x:v>
      </x:c>
      <x:c r="U57" s="31" t="n">
        <x:f>IF(T57="","",I57*T57)</x:f>
        <x:v>665025.2304253503</x:v>
      </x:c>
    </x:row>
    <x:row r="58" ht="18" customHeight="1">
      <x:c r="A58" s="24" t="str">
        <x:v>EEZ_586</x:v>
      </x:c>
      <x:c r="B58" s="24" t="str">
        <x:v>Pakistan</x:v>
      </x:c>
      <x:c r="C58" s="24" t="str">
        <x:v>EEZ</x:v>
      </x:c>
      <x:c r="D58" s="30" t="n">
        <x:v>2019</x:v>
      </x:c>
      <x:c r="E58" s="24" t="str">
        <x:v>Mugil cephalus</x:v>
      </x:c>
      <x:c r="F58" s="24" t="str">
        <x:v>Flathead grey mullet</x:v>
      </x:c>
      <x:c r="G58" s="24" t="str">
        <x:v>Large benthopelagics (&gt;=90 cm)</x:v>
      </x:c>
      <x:c r="H58" s="24" t="str">
        <x:v>Perch-likes</x:v>
      </x:c>
      <x:c r="I58" s="31" t="n">
        <x:v>2756.6287770044</x:v>
      </x:c>
      <x:c r="J58" s="31" t="n">
        <x:v>2518.7803065373</x:v>
      </x:c>
      <x:c r="K58" s="31" t="n">
        <x:v>237.8484704671</x:v>
      </x:c>
      <x:c r="L58" s="31" t="n">
        <x:v>0</x:v>
      </x:c>
      <x:c r="M58" s="31" t="n">
        <x:v>2756.6287770044</x:v>
      </x:c>
      <x:c r="N58" s="24" t="str">
        <x:v>mugil cephalus</x:v>
      </x:c>
      <x:c r="O58" s="32" t="n">
        <x:v>2.14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Mugil cephalus</x:v>
      </x:c>
      <x:c r="T58" s="32" t="n">
        <x:f>IF(O58="","",(1/'Metadata'!$B$5)^(O58-1))</x:f>
        <x:v>13.803842646028853</x:v>
      </x:c>
      <x:c r="U58" s="31" t="n">
        <x:f>IF(T58="","",I58*T58)</x:f>
        <x:v>38052.0698712837</x:v>
      </x:c>
    </x:row>
    <x:row r="59" ht="18" customHeight="1">
      <x:c r="A59" s="24" t="str">
        <x:v>EEZ_586</x:v>
      </x:c>
      <x:c r="B59" s="24" t="str">
        <x:v>Pakistan</x:v>
      </x:c>
      <x:c r="C59" s="24" t="str">
        <x:v>EEZ</x:v>
      </x:c>
      <x:c r="D59" s="30" t="n">
        <x:v>2019</x:v>
      </x:c>
      <x:c r="E59" s="24" t="str">
        <x:v>Epinephelus malabaricus</x:v>
      </x:c>
      <x:c r="F59" s="24" t="str">
        <x:v>Malabar grouper</x:v>
      </x:c>
      <x:c r="G59" s="24" t="str">
        <x:v>Large reef assoc. fish (&gt;=90 cm)</x:v>
      </x:c>
      <x:c r="H59" s="24" t="str">
        <x:v>Perch-likes</x:v>
      </x:c>
      <x:c r="I59" s="31" t="n">
        <x:v>2713.5761623095</x:v>
      </x:c>
      <x:c r="J59" s="31" t="n">
        <x:v>2713.5761623095</x:v>
      </x:c>
      <x:c r="K59" s="31" t="n">
        <x:v>0</x:v>
      </x:c>
      <x:c r="L59" s="31" t="n">
        <x:v>0</x:v>
      </x:c>
      <x:c r="M59" s="31" t="n">
        <x:v>2713.5761623095</x:v>
      </x:c>
      <x:c r="N59" s="24" t="str">
        <x:v>epinephelus malabaricus</x:v>
      </x:c>
      <x:c r="O59" s="32" t="n">
        <x:v>4.16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Epinephelus malabaricus</x:v>
      </x:c>
      <x:c r="T59" s="32" t="n">
        <x:f>IF(O59="","",(1/'Metadata'!$B$5)^(O59-1))</x:f>
        <x:v>1445.439770745928</x:v>
      </x:c>
      <x:c r="U59" s="31" t="n">
        <x:f>IF(T59="","",I59*T59)</x:f>
        <x:v>3922310.9059502585</x:v>
      </x:c>
    </x:row>
    <x:row r="60" ht="18" customHeight="1">
      <x:c r="A60" s="24" t="str">
        <x:v>EEZ_586</x:v>
      </x:c>
      <x:c r="B60" s="24" t="str">
        <x:v>Pakistan</x:v>
      </x:c>
      <x:c r="C60" s="24" t="str">
        <x:v>EEZ</x:v>
      </x:c>
      <x:c r="D60" s="30" t="n">
        <x:v>2019</x:v>
      </x:c>
      <x:c r="E60" s="24" t="str">
        <x:v>Haemulidae</x:v>
      </x:c>
      <x:c r="F60" s="24" t="str">
        <x:v>Grunts, sweetlips, bonnetmouths</x:v>
      </x:c>
      <x:c r="G60" s="24" t="str">
        <x:v>Medium demersals (30 - 89 cm)</x:v>
      </x:c>
      <x:c r="H60" s="24" t="str">
        <x:v>Perch-likes</x:v>
      </x:c>
      <x:c r="I60" s="31" t="n">
        <x:v>2628.7877806999004</x:v>
      </x:c>
      <x:c r="J60" s="31" t="n">
        <x:v>2628.7877806999004</x:v>
      </x:c>
      <x:c r="K60" s="31" t="n">
        <x:v>0</x:v>
      </x:c>
      <x:c r="L60" s="31" t="n">
        <x:v>513.2248878152001</x:v>
      </x:c>
      <x:c r="M60" s="31" t="n">
        <x:v>2115.5628928847</x:v>
      </x:c>
      <x:c r="N60" s="24" t="str">
        <x:v>haemulidae</x:v>
      </x:c>
      <x:c r="O60" s="32" t="n">
        <x:v>3.36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Haemulidae</x:v>
      </x:c>
      <x:c r="T60" s="32" t="n">
        <x:f>IF(O60="","",(1/'Metadata'!$B$5)^(O60-1))</x:f>
        <x:v>229.08676527677724</x:v>
      </x:c>
      <x:c r="U60" s="31" t="n">
        <x:f>IF(T60="","",I60*T60)</x:f>
        <x:v>602220.4892796583</x:v>
      </x:c>
    </x:row>
    <x:row r="61" ht="18" customHeight="1">
      <x:c r="A61" s="24" t="str">
        <x:v>EEZ_586</x:v>
      </x:c>
      <x:c r="B61" s="24" t="str">
        <x:v>Pakistan</x:v>
      </x:c>
      <x:c r="C61" s="24" t="str">
        <x:v>EEZ</x:v>
      </x:c>
      <x:c r="D61" s="30" t="n">
        <x:v>2019</x:v>
      </x:c>
      <x:c r="E61" s="24" t="str">
        <x:v>Lactarius lactarius</x:v>
      </x:c>
      <x:c r="F61" s="24" t="str">
        <x:v>False trevally</x:v>
      </x:c>
      <x:c r="G61" s="24" t="str">
        <x:v>Medium pelagics (30 - 89 cm)</x:v>
      </x:c>
      <x:c r="H61" s="24" t="str">
        <x:v>Perch-likes</x:v>
      </x:c>
      <x:c r="I61" s="31" t="n">
        <x:v>2567.8307994162</x:v>
      </x:c>
      <x:c r="J61" s="31" t="n">
        <x:v>2347.6007341689</x:v>
      </x:c>
      <x:c r="K61" s="31" t="n">
        <x:v>220.2300652473</x:v>
      </x:c>
      <x:c r="L61" s="31" t="n">
        <x:v>15.396746634400001</x:v>
      </x:c>
      <x:c r="M61" s="31" t="n">
        <x:v>2552.4340527818003</x:v>
      </x:c>
      <x:c r="N61" s="24" t="str">
        <x:v>lactarius lactarius</x:v>
      </x:c>
      <x:c r="O61" s="32" t="n">
        <x:v>3.97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Lactarius lactarius</x:v>
      </x:c>
      <x:c r="T61" s="32" t="n">
        <x:f>IF(O61="","",(1/'Metadata'!$B$5)^(O61-1))</x:f>
        <x:v>933.2543007969915</x:v>
      </x:c>
      <x:c r="U61" s="31" t="n">
        <x:f>IF(T61="","",I61*T61)</x:f>
        <x:v>2396439.1372741456</x:v>
      </x:c>
    </x:row>
    <x:row r="62" ht="18" customHeight="1">
      <x:c r="A62" s="24" t="str">
        <x:v>EEZ_586</x:v>
      </x:c>
      <x:c r="B62" s="24" t="str">
        <x:v>Pakistan</x:v>
      </x:c>
      <x:c r="C62" s="24" t="str">
        <x:v>EEZ</x:v>
      </x:c>
      <x:c r="D62" s="30" t="n">
        <x:v>2019</x:v>
      </x:c>
      <x:c r="E62" s="24" t="str">
        <x:v>Pampus chinensis</x:v>
      </x:c>
      <x:c r="F62" s="24" t="str">
        <x:v>Chinese silver pomfret</x:v>
      </x:c>
      <x:c r="G62" s="24" t="str">
        <x:v>Medium benthopelagics (30 - 89 cm)</x:v>
      </x:c>
      <x:c r="H62" s="24" t="str">
        <x:v>Perch-likes</x:v>
      </x:c>
      <x:c r="I62" s="31" t="n">
        <x:v>2487.709356114</x:v>
      </x:c>
      <x:c r="J62" s="31" t="n">
        <x:v>2487.709356114</x:v>
      </x:c>
      <x:c r="K62" s="31" t="n">
        <x:v>0</x:v>
      </x:c>
      <x:c r="L62" s="31" t="n">
        <x:v>256.6124439077</x:v>
      </x:c>
      <x:c r="M62" s="31" t="n">
        <x:v>2231.0969122063</x:v>
      </x:c>
      <x:c r="N62" s="24" t="str">
        <x:v>pampus chinensis</x:v>
      </x:c>
      <x:c r="O62" s="32" t="n">
        <x:v>3.6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Pampus chinensis</x:v>
      </x:c>
      <x:c r="T62" s="32" t="n">
        <x:f>IF(O62="","",(1/'Metadata'!$B$5)^(O62-1))</x:f>
        <x:v>398.1071705534973</x:v>
      </x:c>
      <x:c r="U62" s="31" t="n">
        <x:f>IF(T62="","",I62*T62)</x:f>
        <x:v>990374.9329220072</x:v>
      </x:c>
    </x:row>
    <x:row r="63" ht="18" customHeight="1">
      <x:c r="A63" s="24" t="str">
        <x:v>EEZ_586</x:v>
      </x:c>
      <x:c r="B63" s="24" t="str">
        <x:v>Pakistan</x:v>
      </x:c>
      <x:c r="C63" s="24" t="str">
        <x:v>EEZ</x:v>
      </x:c>
      <x:c r="D63" s="30" t="n">
        <x:v>2019</x:v>
      </x:c>
      <x:c r="E63" s="24" t="str">
        <x:v>Cnidaria</x:v>
      </x:c>
      <x:c r="F63" s="24" t="str">
        <x:v>Cnidarians, coelenterates</x:v>
      </x:c>
      <x:c r="G63" s="24" t="str">
        <x:v>Jellyfish</x:v>
      </x:c>
      <x:c r="H63" s="24" t="str">
        <x:v>Other fishes &amp; inverts</x:v>
      </x:c>
      <x:c r="I63" s="31" t="n">
        <x:v>2482.9527773285004</x:v>
      </x:c>
      <x:c r="J63" s="31" t="n">
        <x:v>2482.9527773285004</x:v>
      </x:c>
      <x:c r="K63" s="31" t="n">
        <x:v>0</x:v>
      </x:c>
      <x:c r="L63" s="31" t="n">
        <x:v>2482.9527773285004</x:v>
      </x:c>
      <x:c r="M63" s="31" t="n">
        <x:v>0</x:v>
      </x:c>
      <x:c r="N63" s="24" t="str">
        <x:v>cnidaria</x:v>
      </x:c>
      <x:c r="O63" s="32" t="n">
        <x:v>2.5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Cnidaria</x:v>
      </x:c>
      <x:c r="T63" s="32" t="n">
        <x:f>IF(O63="","",(1/'Metadata'!$B$5)^(O63-1))</x:f>
        <x:v>31.622776601683793</x:v>
      </x:c>
      <x:c r="U63" s="31" t="n">
        <x:f>IF(T63="","",I63*T63)</x:f>
        <x:v>78517.8609899895</x:v>
      </x:c>
    </x:row>
    <x:row r="64" ht="18" customHeight="1">
      <x:c r="A64" s="24" t="str">
        <x:v>EEZ_586</x:v>
      </x:c>
      <x:c r="B64" s="24" t="str">
        <x:v>Pakistan</x:v>
      </x:c>
      <x:c r="C64" s="24" t="str">
        <x:v>EEZ</x:v>
      </x:c>
      <x:c r="D64" s="30" t="n">
        <x:v>2019</x:v>
      </x:c>
      <x:c r="E64" s="24" t="str">
        <x:v>Upeneus vittatus</x:v>
      </x:c>
      <x:c r="F64" s="24" t="str">
        <x:v>Yellowstriped goatfish</x:v>
      </x:c>
      <x:c r="G64" s="24" t="str">
        <x:v>Small reef assoc. fish (&lt;30 cm)</x:v>
      </x:c>
      <x:c r="H64" s="24" t="str">
        <x:v>Perch-likes</x:v>
      </x:c>
      <x:c r="I64" s="31" t="n">
        <x:v>2288.3814448931</x:v>
      </x:c>
      <x:c r="J64" s="31" t="n">
        <x:v>2098.9835887803997</x:v>
      </x:c>
      <x:c r="K64" s="31" t="n">
        <x:v>189.3978561127</x:v>
      </x:c>
      <x:c r="L64" s="31" t="n">
        <x:v>0</x:v>
      </x:c>
      <x:c r="M64" s="31" t="n">
        <x:v>2288.3814448931</x:v>
      </x:c>
      <x:c r="N64" s="24" t="str">
        <x:v>upeneus vittatus</x:v>
      </x:c>
      <x:c r="O64" s="32" t="n">
        <x:v>3.62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Upeneus vittatus</x:v>
      </x:c>
      <x:c r="T64" s="32" t="n">
        <x:f>IF(O64="","",(1/'Metadata'!$B$5)^(O64-1))</x:f>
        <x:v>416.8693834703355</x:v>
      </x:c>
      <x:c r="U64" s="31" t="n">
        <x:f>IF(T64="","",I64*T64)</x:f>
        <x:v>953956.162077542</x:v>
      </x:c>
    </x:row>
    <x:row r="65" ht="18" customHeight="1">
      <x:c r="A65" s="24" t="str">
        <x:v>EEZ_586</x:v>
      </x:c>
      <x:c r="B65" s="24" t="str">
        <x:v>Pakistan</x:v>
      </x:c>
      <x:c r="C65" s="24" t="str">
        <x:v>EEZ</x:v>
      </x:c>
      <x:c r="D65" s="30" t="n">
        <x:v>2019</x:v>
      </x:c>
      <x:c r="E65" s="24" t="str">
        <x:v>Soleidae</x:v>
      </x:c>
      <x:c r="F65" s="24" t="str">
        <x:v>Soles</x:v>
      </x:c>
      <x:c r="G65" s="24" t="str">
        <x:v>Small to medium flatfishes (&lt;90 cm)</x:v>
      </x:c>
      <x:c r="H65" s="24" t="str">
        <x:v>Flatfishes</x:v>
      </x:c>
      <x:c r="I65" s="31" t="n">
        <x:v>2275.897201167</x:v>
      </x:c>
      <x:c r="J65" s="31" t="n">
        <x:v>2143.7591620186</x:v>
      </x:c>
      <x:c r="K65" s="31" t="n">
        <x:v>132.1380391484</x:v>
      </x:c>
      <x:c r="L65" s="31" t="n">
        <x:v>0</x:v>
      </x:c>
      <x:c r="M65" s="31" t="n">
        <x:v>2275.897201167</x:v>
      </x:c>
      <x:c r="N65" s="24" t="str">
        <x:v>soleidae</x:v>
      </x:c>
      <x:c r="O65" s="32" t="n">
        <x:v>3.15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Soleidae</x:v>
      </x:c>
      <x:c r="T65" s="32" t="n">
        <x:f>IF(O65="","",(1/'Metadata'!$B$5)^(O65-1))</x:f>
        <x:v>141.2537544622754</x:v>
      </x:c>
      <x:c r="U65" s="31" t="n">
        <x:f>IF(T65="","",I65*T65)</x:f>
        <x:v>321479.0244350232</x:v>
      </x:c>
    </x:row>
    <x:row r="66" ht="18" customHeight="1">
      <x:c r="A66" s="24" t="str">
        <x:v>EEZ_586</x:v>
      </x:c>
      <x:c r="B66" s="24" t="str">
        <x:v>Pakistan</x:v>
      </x:c>
      <x:c r="C66" s="24" t="str">
        <x:v>EEZ</x:v>
      </x:c>
      <x:c r="D66" s="30" t="n">
        <x:v>2019</x:v>
      </x:c>
      <x:c r="E66" s="24" t="str">
        <x:v>Mullidae</x:v>
      </x:c>
      <x:c r="F66" s="24" t="str">
        <x:v>Goatfishes</x:v>
      </x:c>
      <x:c r="G66" s="24" t="str">
        <x:v>Medium reef assoc. fish (30 - 89 cm)</x:v>
      </x:c>
      <x:c r="H66" s="24" t="str">
        <x:v>Perch-likes</x:v>
      </x:c>
      <x:c r="I66" s="31" t="n">
        <x:v>2175.7439564528</x:v>
      </x:c>
      <x:c r="J66" s="31" t="n">
        <x:v>2175.7439564528</x:v>
      </x:c>
      <x:c r="K66" s="31" t="n">
        <x:v>0</x:v>
      </x:c>
      <x:c r="L66" s="31" t="n">
        <x:v>513.2248878149001</x:v>
      </x:c>
      <x:c r="M66" s="31" t="n">
        <x:v>1662.5190686378999</x:v>
      </x:c>
      <x:c r="N66" s="24" t="str">
        <x:v>mullidae</x:v>
      </x:c>
      <x:c r="O66" s="32" t="n">
        <x:v>3.46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Mullidae</x:v>
      </x:c>
      <x:c r="T66" s="32" t="n">
        <x:f>IF(O66="","",(1/'Metadata'!$B$5)^(O66-1))</x:f>
        <x:v>288.40315031266056</x:v>
      </x:c>
      <x:c r="U66" s="31" t="n">
        <x:f>IF(T66="","",I66*T66)</x:f>
        <x:v>627491.4113147196</x:v>
      </x:c>
    </x:row>
    <x:row r="67" ht="18" customHeight="1">
      <x:c r="A67" s="24" t="str">
        <x:v>EEZ_586</x:v>
      </x:c>
      <x:c r="B67" s="24" t="str">
        <x:v>Pakistan</x:v>
      </x:c>
      <x:c r="C67" s="24" t="str">
        <x:v>EEZ</x:v>
      </x:c>
      <x:c r="D67" s="30" t="n">
        <x:v>2019</x:v>
      </x:c>
      <x:c r="E67" s="24" t="str">
        <x:v>Sillago sihama</x:v>
      </x:c>
      <x:c r="F67" s="24" t="str">
        <x:v>Silver sillago</x:v>
      </x:c>
      <x:c r="G67" s="24" t="str">
        <x:v>Medium demersals (30 - 89 cm)</x:v>
      </x:c>
      <x:c r="H67" s="24" t="str">
        <x:v>Perch-likes</x:v>
      </x:c>
      <x:c r="I67" s="31" t="n">
        <x:v>2150.7472493284</x:v>
      </x:c>
      <x:c r="J67" s="31" t="n">
        <x:v>2009.8000075701</x:v>
      </x:c>
      <x:c r="K67" s="31" t="n">
        <x:v>140.9472417583</x:v>
      </x:c>
      <x:c r="L67" s="31" t="n">
        <x:v>434</x:v>
      </x:c>
      <x:c r="M67" s="31" t="n">
        <x:v>1716.7472493284</x:v>
      </x:c>
      <x:c r="N67" s="24" t="str">
        <x:v>sillago sihama</x:v>
      </x:c>
      <x:c r="O67" s="32" t="n">
        <x:v>3.33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Sillago sihama</x:v>
      </x:c>
      <x:c r="T67" s="32" t="n">
        <x:f>IF(O67="","",(1/'Metadata'!$B$5)^(O67-1))</x:f>
        <x:v>213.79620895022325</x:v>
      </x:c>
      <x:c r="U67" s="31" t="n">
        <x:f>IF(T67="","",I67*T67)</x:f>
        <x:v>459821.60831653245</x:v>
      </x:c>
    </x:row>
    <x:row r="68" ht="18" customHeight="1">
      <x:c r="A68" s="24" t="str">
        <x:v>EEZ_586</x:v>
      </x:c>
      <x:c r="B68" s="24" t="str">
        <x:v>Pakistan</x:v>
      </x:c>
      <x:c r="C68" s="24" t="str">
        <x:v>EEZ</x:v>
      </x:c>
      <x:c r="D68" s="30" t="n">
        <x:v>2019</x:v>
      </x:c>
      <x:c r="E68" s="24" t="str">
        <x:v>Muraenesocidae</x:v>
      </x:c>
      <x:c r="F68" s="24" t="str">
        <x:v>Pike congers</x:v>
      </x:c>
      <x:c r="G68" s="24" t="str">
        <x:v>Large demersals (&gt;=90 cm)</x:v>
      </x:c>
      <x:c r="H68" s="24" t="str">
        <x:v>Other fishes &amp; inverts</x:v>
      </x:c>
      <x:c r="I68" s="31" t="n">
        <x:v>2020.5660114318</x:v>
      </x:c>
      <x:c r="J68" s="31" t="n">
        <x:v>2020.5660114318</x:v>
      </x:c>
      <x:c r="K68" s="31" t="n">
        <x:v>0</x:v>
      </x:c>
      <x:c r="L68" s="31" t="n">
        <x:v>2020.5660114318</x:v>
      </x:c>
      <x:c r="M68" s="31" t="n">
        <x:v>0</x:v>
      </x:c>
      <x:c r="N68" s="24" t="str">
        <x:v>muraenesocidae</x:v>
      </x:c>
      <x:c r="O68" s="32" t="n">
        <x:v>3.9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Muraenesocidae</x:v>
      </x:c>
      <x:c r="T68" s="32" t="n">
        <x:f>IF(O68="","",(1/'Metadata'!$B$5)^(O68-1))</x:f>
        <x:v>794.3282347242813</x:v>
      </x:c>
      <x:c r="U68" s="31" t="n">
        <x:f>IF(T68="","",I68*T68)</x:f>
        <x:v>1604992.6330045036</x:v>
      </x:c>
    </x:row>
    <x:row r="69" ht="18" customHeight="1">
      <x:c r="A69" s="24" t="str">
        <x:v>EEZ_586</x:v>
      </x:c>
      <x:c r="B69" s="24" t="str">
        <x:v>Pakistan</x:v>
      </x:c>
      <x:c r="C69" s="24" t="str">
        <x:v>EEZ</x:v>
      </x:c>
      <x:c r="D69" s="30" t="n">
        <x:v>2019</x:v>
      </x:c>
      <x:c r="E69" s="24" t="str">
        <x:v>Sparidae</x:v>
      </x:c>
      <x:c r="F69" s="24" t="str">
        <x:v>Porgies, seabreams</x:v>
      </x:c>
      <x:c r="G69" s="24" t="str">
        <x:v>Medium benthopelagics (30 - 89 cm)</x:v>
      </x:c>
      <x:c r="H69" s="24" t="str">
        <x:v>Perch-likes</x:v>
      </x:c>
      <x:c r="I69" s="31" t="n">
        <x:v>1985.5103428417</x:v>
      </x:c>
      <x:c r="J69" s="31" t="n">
        <x:v>1985.5103428417</x:v>
      </x:c>
      <x:c r="K69" s="31" t="n">
        <x:v>0</x:v>
      </x:c>
      <x:c r="L69" s="31" t="n">
        <x:v>1889.9999999999</x:v>
      </x:c>
      <x:c r="M69" s="31" t="n">
        <x:v>95.5103428418</x:v>
      </x:c>
      <x:c r="N69" s="24" t="str">
        <x:v>sparidae</x:v>
      </x:c>
      <x:c r="O69" s="32" t="n">
        <x:v>3.31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Sparidae</x:v>
      </x:c>
      <x:c r="T69" s="32" t="n">
        <x:f>IF(O69="","",(1/'Metadata'!$B$5)^(O69-1))</x:f>
        <x:v>204.17379446695296</x:v>
      </x:c>
      <x:c r="U69" s="31" t="n">
        <x:f>IF(T69="","",I69*T69)</x:f>
        <x:v>405389.18065137055</x:v>
      </x:c>
    </x:row>
    <x:row r="70" ht="18" customHeight="1">
      <x:c r="A70" s="24" t="str">
        <x:v>EEZ_586</x:v>
      </x:c>
      <x:c r="B70" s="24" t="str">
        <x:v>Pakistan</x:v>
      </x:c>
      <x:c r="C70" s="24" t="str">
        <x:v>EEZ</x:v>
      </x:c>
      <x:c r="D70" s="30" t="n">
        <x:v>2019</x:v>
      </x:c>
      <x:c r="E70" s="24" t="str">
        <x:v>Terapon jarbua</x:v>
      </x:c>
      <x:c r="F70" s="24" t="str">
        <x:v>Jarbua terapon</x:v>
      </x:c>
      <x:c r="G70" s="24" t="str">
        <x:v>Medium demersals (30 - 89 cm)</x:v>
      </x:c>
      <x:c r="H70" s="24" t="str">
        <x:v>Perch-likes</x:v>
      </x:c>
      <x:c r="I70" s="31" t="n">
        <x:v>1939.8498801138999</x:v>
      </x:c>
      <x:c r="J70" s="31" t="n">
        <x:v>1772.475030526</x:v>
      </x:c>
      <x:c r="K70" s="31" t="n">
        <x:v>167.3748495879</x:v>
      </x:c>
      <x:c r="L70" s="31" t="n">
        <x:v>0</x:v>
      </x:c>
      <x:c r="M70" s="31" t="n">
        <x:v>1939.8498801138999</x:v>
      </x:c>
      <x:c r="N70" s="24" t="str">
        <x:v>terapon jarbua</x:v>
      </x:c>
      <x:c r="O70" s="32" t="n">
        <x:v>3.93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Terapon jarbua</x:v>
      </x:c>
      <x:c r="T70" s="32" t="n">
        <x:f>IF(O70="","",(1/'Metadata'!$B$5)^(O70-1))</x:f>
        <x:v>851.1380382023768</x:v>
      </x:c>
      <x:c r="U70" s="31" t="n">
        <x:f>IF(T70="","",I70*T70)</x:f>
        <x:v>1651080.0213672607</x:v>
      </x:c>
    </x:row>
    <x:row r="71" ht="18" customHeight="1">
      <x:c r="A71" s="24" t="str">
        <x:v>EEZ_586</x:v>
      </x:c>
      <x:c r="B71" s="24" t="str">
        <x:v>Pakistan</x:v>
      </x:c>
      <x:c r="C71" s="24" t="str">
        <x:v>EEZ</x:v>
      </x:c>
      <x:c r="D71" s="30" t="n">
        <x:v>2019</x:v>
      </x:c>
      <x:c r="E71" s="24" t="str">
        <x:v>Tenualosa ilisha</x:v>
      </x:c>
      <x:c r="F71" s="24" t="str">
        <x:v>Hilsa shad</x:v>
      </x:c>
      <x:c r="G71" s="24" t="str">
        <x:v>Medium pelagics (30 - 89 cm)</x:v>
      </x:c>
      <x:c r="H71" s="24" t="str">
        <x:v>Herring-likes</x:v>
      </x:c>
      <x:c r="I71" s="31" t="n">
        <x:v>1862.6385195804</x:v>
      </x:c>
      <x:c r="J71" s="31" t="n">
        <x:v>1862.6385195804</x:v>
      </x:c>
      <x:c r="K71" s="31" t="n">
        <x:v>0</x:v>
      </x:c>
      <x:c r="L71" s="31" t="n">
        <x:v>1559.0000000001</x:v>
      </x:c>
      <x:c r="M71" s="31" t="n">
        <x:v>303.63851958029994</x:v>
      </x:c>
      <x:c r="N71" s="24" t="str">
        <x:v>tenualosa ilisha</x:v>
      </x:c>
      <x:c r="O71" s="32" t="n">
        <x:v>2.2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Tenualosa ilisha</x:v>
      </x:c>
      <x:c r="T71" s="32" t="n">
        <x:f>IF(O71="","",(1/'Metadata'!$B$5)^(O71-1))</x:f>
        <x:v>15.848931924611142</x:v>
      </x:c>
      <x:c r="U71" s="31" t="n">
        <x:f>IF(T71="","",I71*T71)</x:f>
        <x:v>29520.831096988237</x:v>
      </x:c>
    </x:row>
    <x:row r="72" ht="18" customHeight="1">
      <x:c r="A72" s="24" t="str">
        <x:v>EEZ_586</x:v>
      </x:c>
      <x:c r="B72" s="24" t="str">
        <x:v>Pakistan</x:v>
      </x:c>
      <x:c r="C72" s="24" t="str">
        <x:v>EEZ</x:v>
      </x:c>
      <x:c r="D72" s="30" t="n">
        <x:v>2019</x:v>
      </x:c>
      <x:c r="E72" s="24" t="str">
        <x:v>Rhabdosargus sarba</x:v>
      </x:c>
      <x:c r="F72" s="24" t="str">
        <x:v>Goldlined seabream</x:v>
      </x:c>
      <x:c r="G72" s="24" t="str">
        <x:v>Medium demersals (30 - 89 cm)</x:v>
      </x:c>
      <x:c r="H72" s="24" t="str">
        <x:v>Perch-likes</x:v>
      </x:c>
      <x:c r="I72" s="31" t="n">
        <x:v>1640.1345691672</x:v>
      </x:c>
      <x:c r="J72" s="31" t="n">
        <x:v>1640.1345691672</x:v>
      </x:c>
      <x:c r="K72" s="31" t="n">
        <x:v>0</x:v>
      </x:c>
      <x:c r="L72" s="31" t="n">
        <x:v>0</x:v>
      </x:c>
      <x:c r="M72" s="31" t="n">
        <x:v>1640.1345691672</x:v>
      </x:c>
      <x:c r="N72" s="24" t="str">
        <x:v>rhabdosargus sarba</x:v>
      </x:c>
      <x:c r="O72" s="32" t="n">
        <x:v>3.37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Rhabdosargus sarba</x:v>
      </x:c>
      <x:c r="T72" s="32" t="n">
        <x:f>IF(O72="","",(1/'Metadata'!$B$5)^(O72-1))</x:f>
        <x:v>234.42288153199226</x:v>
      </x:c>
      <x:c r="U72" s="31" t="n">
        <x:f>IF(T72="","",I72*T72)</x:f>
        <x:v>384485.0718044077</x:v>
      </x:c>
    </x:row>
    <x:row r="73" ht="18" customHeight="1">
      <x:c r="A73" s="24" t="str">
        <x:v>EEZ_586</x:v>
      </x:c>
      <x:c r="B73" s="24" t="str">
        <x:v>Pakistan</x:v>
      </x:c>
      <x:c r="C73" s="24" t="str">
        <x:v>EEZ</x:v>
      </x:c>
      <x:c r="D73" s="30" t="n">
        <x:v>2019</x:v>
      </x:c>
      <x:c r="E73" s="24" t="str">
        <x:v>Sparidentex hasta</x:v>
      </x:c>
      <x:c r="F73" s="24" t="str">
        <x:v>Sobaity seabream</x:v>
      </x:c>
      <x:c r="G73" s="24" t="str">
        <x:v>Medium demersals (30 - 89 cm)</x:v>
      </x:c>
      <x:c r="H73" s="24" t="str">
        <x:v>Perch-likes</x:v>
      </x:c>
      <x:c r="I73" s="31" t="n">
        <x:v>1639.9712347947</x:v>
      </x:c>
      <x:c r="J73" s="31" t="n">
        <x:v>1639.9712347947</x:v>
      </x:c>
      <x:c r="K73" s="31" t="n">
        <x:v>0</x:v>
      </x:c>
      <x:c r="L73" s="31" t="n">
        <x:v>0</x:v>
      </x:c>
      <x:c r="M73" s="31" t="n">
        <x:v>1639.9712347947</x:v>
      </x:c>
      <x:c r="N73" s="24" t="str">
        <x:v>sparidentex hasta</x:v>
      </x:c>
      <x:c r="O73" s="32" t="n">
        <x:v>3.38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Sparidentex hasta</x:v>
      </x:c>
      <x:c r="T73" s="32" t="n">
        <x:f>IF(O73="","",(1/'Metadata'!$B$5)^(O73-1))</x:f>
        <x:v>239.88329190194898</x:v>
      </x:c>
      <x:c r="U73" s="31" t="n">
        <x:f>IF(T73="","",I73*T73)</x:f>
        <x:v>393401.6984270567</x:v>
      </x:c>
    </x:row>
    <x:row r="74" ht="18" customHeight="1">
      <x:c r="A74" s="24" t="str">
        <x:v>EEZ_586</x:v>
      </x:c>
      <x:c r="B74" s="24" t="str">
        <x:v>Pakistan</x:v>
      </x:c>
      <x:c r="C74" s="24" t="str">
        <x:v>EEZ</x:v>
      </x:c>
      <x:c r="D74" s="30" t="n">
        <x:v>2019</x:v>
      </x:c>
      <x:c r="E74" s="24" t="str">
        <x:v>Glaucostegus granulatus</x:v>
      </x:c>
      <x:c r="F74" s="24" t="str">
        <x:v>Granulated guitarfish</x:v>
      </x:c>
      <x:c r="G74" s="24" t="str">
        <x:v>Large rays (&gt;=90 cm)</x:v>
      </x:c>
      <x:c r="H74" s="24" t="str">
        <x:v>Sharks &amp; rays</x:v>
      </x:c>
      <x:c r="I74" s="31" t="n">
        <x:v>1633.5577937797</x:v>
      </x:c>
      <x:c r="J74" s="31" t="n">
        <x:v>1492.6105520214</x:v>
      </x:c>
      <x:c r="K74" s="31" t="n">
        <x:v>140.9472417583</x:v>
      </x:c>
      <x:c r="L74" s="31" t="n">
        <x:v>0</x:v>
      </x:c>
      <x:c r="M74" s="31" t="n">
        <x:v>1633.5577937797</x:v>
      </x:c>
      <x:c r="N74" s="24" t="str">
        <x:v>glaucostegus granulatus</x:v>
      </x:c>
      <x:c r="O74" s="32" t="n">
        <x:v>3.5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Glaucostegus granulatus</x:v>
      </x:c>
      <x:c r="T74" s="32" t="n">
        <x:f>IF(O74="","",(1/'Metadata'!$B$5)^(O74-1))</x:f>
        <x:v>316.22776601683796</x:v>
      </x:c>
      <x:c r="U74" s="31" t="n">
        <x:f>IF(T74="","",I74*T74)</x:f>
        <x:v>516576.331786349</x:v>
      </x:c>
    </x:row>
    <x:row r="75" ht="18" customHeight="1">
      <x:c r="A75" s="24" t="str">
        <x:v>EEZ_586</x:v>
      </x:c>
      <x:c r="B75" s="24" t="str">
        <x:v>Pakistan</x:v>
      </x:c>
      <x:c r="C75" s="24" t="str">
        <x:v>EEZ</x:v>
      </x:c>
      <x:c r="D75" s="30" t="n">
        <x:v>2019</x:v>
      </x:c>
      <x:c r="E75" s="24" t="str">
        <x:v>Katsuwonus pelamis</x:v>
      </x:c>
      <x:c r="F75" s="24" t="str">
        <x:v>Skipjack tuna</x:v>
      </x:c>
      <x:c r="G75" s="24" t="str">
        <x:v>Large pelagics (&gt;=90 cm)</x:v>
      </x:c>
      <x:c r="H75" s="24" t="str">
        <x:v>Tuna &amp; billfishes</x:v>
      </x:c>
      <x:c r="I75" s="31" t="n">
        <x:v>1602.7381705294</x:v>
      </x:c>
      <x:c r="J75" s="31" t="n">
        <x:v>1602.7381705294</x:v>
      </x:c>
      <x:c r="K75" s="31" t="n">
        <x:v>0</x:v>
      </x:c>
      <x:c r="L75" s="31" t="n">
        <x:v>789</x:v>
      </x:c>
      <x:c r="M75" s="31" t="n">
        <x:v>813.7381705294</x:v>
      </x:c>
      <x:c r="N75" s="24" t="str">
        <x:v>katsuwonus pelamis</x:v>
      </x:c>
      <x:c r="O75" s="32" t="n">
        <x:v>4.43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Katsuwonus pelamis</x:v>
      </x:c>
      <x:c r="T75" s="32" t="n">
        <x:f>IF(O75="","",(1/'Metadata'!$B$5)^(O75-1))</x:f>
        <x:v>2691.534803926914</x:v>
      </x:c>
      <x:c r="U75" s="31" t="n">
        <x:f>IF(T75="","",I75*T75)</x:f>
        <x:v>4313825.567562029</x:v>
      </x:c>
    </x:row>
    <x:row r="76" ht="18" customHeight="1">
      <x:c r="A76" s="24" t="str">
        <x:v>EEZ_586</x:v>
      </x:c>
      <x:c r="B76" s="24" t="str">
        <x:v>Pakistan</x:v>
      </x:c>
      <x:c r="C76" s="24" t="str">
        <x:v>EEZ</x:v>
      </x:c>
      <x:c r="D76" s="30" t="n">
        <x:v>2019</x:v>
      </x:c>
      <x:c r="E76" s="24" t="str">
        <x:v>Panulirus</x:v>
      </x:c>
      <x:c r="F76" s="24" t="str">
        <x:v>Spiny lobsters</x:v>
      </x:c>
      <x:c r="G76" s="24" t="str">
        <x:v>Lobsters, crabs</x:v>
      </x:c>
      <x:c r="H76" s="24" t="str">
        <x:v>Crustaceans</x:v>
      </x:c>
      <x:c r="I76" s="31" t="n">
        <x:v>1495</x:v>
      </x:c>
      <x:c r="J76" s="31" t="n">
        <x:v>1495</x:v>
      </x:c>
      <x:c r="K76" s="31" t="n">
        <x:v>0</x:v>
      </x:c>
      <x:c r="L76" s="31" t="n">
        <x:v>1495</x:v>
      </x:c>
      <x:c r="M76" s="31" t="n">
        <x:v>0</x:v>
      </x:c>
      <x:c r="N76" s="24" t="str">
        <x:v>panulirus</x:v>
      </x:c>
      <x:c r="O76" s="32" t="n">
        <x:v>2.6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Panulirus</x:v>
      </x:c>
      <x:c r="T76" s="32" t="n">
        <x:f>IF(O76="","",(1/'Metadata'!$B$5)^(O76-1))</x:f>
        <x:v>39.810717055349734</x:v>
      </x:c>
      <x:c r="U76" s="31" t="n">
        <x:f>IF(T76="","",I76*T76)</x:f>
        <x:v>59517.021997747855</x:v>
      </x:c>
    </x:row>
    <x:row r="77" ht="18" customHeight="1">
      <x:c r="A77" s="24" t="str">
        <x:v>EEZ_586</x:v>
      </x:c>
      <x:c r="B77" s="24" t="str">
        <x:v>Pakistan</x:v>
      </x:c>
      <x:c r="C77" s="24" t="str">
        <x:v>EEZ</x:v>
      </x:c>
      <x:c r="D77" s="30" t="n">
        <x:v>2019</x:v>
      </x:c>
      <x:c r="E77" s="24" t="str">
        <x:v>Panulirus polyphagus</x:v>
      </x:c>
      <x:c r="F77" s="24" t="str">
        <x:v>Mud spiny lobster</x:v>
      </x:c>
      <x:c r="G77" s="24" t="str">
        <x:v>Lobsters, crabs</x:v>
      </x:c>
      <x:c r="H77" s="24" t="str">
        <x:v>Crustaceans</x:v>
      </x:c>
      <x:c r="I77" s="31" t="n">
        <x:v>1481.7563517498</x:v>
      </x:c>
      <x:c r="J77" s="31" t="n">
        <x:v>1481.7563517498</x:v>
      </x:c>
      <x:c r="K77" s="31" t="n">
        <x:v>0</x:v>
      </x:c>
      <x:c r="L77" s="31" t="n">
        <x:v>282.2736882982</x:v>
      </x:c>
      <x:c r="M77" s="31" t="n">
        <x:v>1199.4826634516</x:v>
      </x:c>
      <x:c r="N77" s="24" t="str">
        <x:v>panulirus polyphagus</x:v>
      </x:c>
      <x:c r="O77" s="32" t="n">
        <x:v>2.94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Panulirus polyphagus</x:v>
      </x:c>
      <x:c r="T77" s="32" t="n">
        <x:f>IF(O77="","",(1/'Metadata'!$B$5)^(O77-1))</x:f>
        <x:v>87.09635899560806</x:v>
      </x:c>
      <x:c r="U77" s="31" t="n">
        <x:f>IF(T77="","",I77*T77)</x:f>
        <x:v>129055.58315602306</x:v>
      </x:c>
    </x:row>
    <x:row r="78" ht="18" customHeight="1">
      <x:c r="A78" s="24" t="str">
        <x:v>EEZ_586</x:v>
      </x:c>
      <x:c r="B78" s="24" t="str">
        <x:v>Pakistan</x:v>
      </x:c>
      <x:c r="C78" s="24" t="str">
        <x:v>EEZ</x:v>
      </x:c>
      <x:c r="D78" s="30" t="n">
        <x:v>2019</x:v>
      </x:c>
      <x:c r="E78" s="24" t="str">
        <x:v>Thunnus albacares</x:v>
      </x:c>
      <x:c r="F78" s="24" t="str">
        <x:v>Yellowfin tuna</x:v>
      </x:c>
      <x:c r="G78" s="24" t="str">
        <x:v>Large pelagics (&gt;=90 cm)</x:v>
      </x:c>
      <x:c r="H78" s="24" t="str">
        <x:v>Tuna &amp; billfishes</x:v>
      </x:c>
      <x:c r="I78" s="31" t="n">
        <x:v>1138.6171794312002</x:v>
      </x:c>
      <x:c r="J78" s="31" t="n">
        <x:v>1138.6171794312002</x:v>
      </x:c>
      <x:c r="K78" s="31" t="n">
        <x:v>0</x:v>
      </x:c>
      <x:c r="L78" s="31" t="n">
        <x:v>784.7532040044</x:v>
      </x:c>
      <x:c r="M78" s="31" t="n">
        <x:v>353.8639754268</x:v>
      </x:c>
      <x:c r="N78" s="24" t="str">
        <x:v>thunnus albacares</x:v>
      </x:c>
      <x:c r="O78" s="32" t="n">
        <x:v>4.41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Thunnus albacares</x:v>
      </x:c>
      <x:c r="T78" s="32" t="n">
        <x:f>IF(O78="","",(1/'Metadata'!$B$5)^(O78-1))</x:f>
        <x:v>2570.3957827688646</x:v>
      </x:c>
      <x:c r="U78" s="31" t="n">
        <x:f>IF(T78="","",I78*T78)</x:f>
        <x:v>2926696.7961981366</x:v>
      </x:c>
    </x:row>
    <x:row r="79" ht="18" customHeight="1">
      <x:c r="A79" s="24" t="str">
        <x:v>EEZ_586</x:v>
      </x:c>
      <x:c r="B79" s="24" t="str">
        <x:v>Pakistan</x:v>
      </x:c>
      <x:c r="C79" s="24" t="str">
        <x:v>EEZ</x:v>
      </x:c>
      <x:c r="D79" s="30" t="n">
        <x:v>2019</x:v>
      </x:c>
      <x:c r="E79" s="24" t="str">
        <x:v>Thunnus tonggol</x:v>
      </x:c>
      <x:c r="F79" s="24" t="str">
        <x:v>Longtail tuna</x:v>
      </x:c>
      <x:c r="G79" s="24" t="str">
        <x:v>Large pelagics (&gt;=90 cm)</x:v>
      </x:c>
      <x:c r="H79" s="24" t="str">
        <x:v>Tuna &amp; billfishes</x:v>
      </x:c>
      <x:c r="I79" s="31" t="n">
        <x:v>1125.9212746284</x:v>
      </x:c>
      <x:c r="J79" s="31" t="n">
        <x:v>1125.9212746284</x:v>
      </x:c>
      <x:c r="K79" s="31" t="n">
        <x:v>0</x:v>
      </x:c>
      <x:c r="L79" s="31" t="n">
        <x:v>246.1328299148</x:v>
      </x:c>
      <x:c r="M79" s="31" t="n">
        <x:v>879.7884447136</x:v>
      </x:c>
      <x:c r="N79" s="24" t="str">
        <x:v>thunnus tonggol</x:v>
      </x:c>
      <x:c r="O79" s="32" t="n">
        <x:v>4.5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Thunnus tonggol</x:v>
      </x:c>
      <x:c r="T79" s="32" t="n">
        <x:f>IF(O79="","",(1/'Metadata'!$B$5)^(O79-1))</x:f>
        <x:v>3162.2776601683795</x:v>
      </x:c>
      <x:c r="U79" s="31" t="n">
        <x:f>IF(T79="","",I79*T79)</x:f>
        <x:v>3560475.693865696</x:v>
      </x:c>
    </x:row>
    <x:row r="80" ht="18" customHeight="1">
      <x:c r="A80" s="24" t="str">
        <x:v>EEZ_586</x:v>
      </x:c>
      <x:c r="B80" s="24" t="str">
        <x:v>Pakistan</x:v>
      </x:c>
      <x:c r="C80" s="24" t="str">
        <x:v>EEZ</x:v>
      </x:c>
      <x:c r="D80" s="30" t="n">
        <x:v>2019</x:v>
      </x:c>
      <x:c r="E80" s="24" t="str">
        <x:v>Scomberomorus guttatus</x:v>
      </x:c>
      <x:c r="F80" s="24" t="str">
        <x:v>Indo-Pacific king mackerel</x:v>
      </x:c>
      <x:c r="G80" s="24" t="str">
        <x:v>Medium pelagics (30 - 89 cm)</x:v>
      </x:c>
      <x:c r="H80" s="24" t="str">
        <x:v>Perch-likes</x:v>
      </x:c>
      <x:c r="I80" s="31" t="n">
        <x:v>1124.5443735694</x:v>
      </x:c>
      <x:c r="J80" s="31" t="n">
        <x:v>1124.5443735694</x:v>
      </x:c>
      <x:c r="K80" s="31" t="n">
        <x:v>0</x:v>
      </x:c>
      <x:c r="L80" s="31" t="n">
        <x:v>703.1180963064</x:v>
      </x:c>
      <x:c r="M80" s="31" t="n">
        <x:v>421.42627726300003</x:v>
      </x:c>
      <x:c r="N80" s="24" t="str">
        <x:v>scomberomorus guttatus</x:v>
      </x:c>
      <x:c r="O80" s="32" t="n">
        <x:v>4.28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Scomberomorus guttatus</x:v>
      </x:c>
      <x:c r="T80" s="32" t="n">
        <x:f>IF(O80="","",(1/'Metadata'!$B$5)^(O80-1))</x:f>
        <x:v>1905.4607179632483</x:v>
      </x:c>
      <x:c r="U80" s="31" t="n">
        <x:f>IF(T80="","",I80*T80)</x:f>
        <x:v>2142775.12944308</x:v>
      </x:c>
    </x:row>
    <x:row r="81" ht="18" customHeight="1">
      <x:c r="A81" s="24" t="str">
        <x:v>EEZ_586</x:v>
      </x:c>
      <x:c r="B81" s="24" t="str">
        <x:v>Pakistan</x:v>
      </x:c>
      <x:c r="C81" s="24" t="str">
        <x:v>EEZ</x:v>
      </x:c>
      <x:c r="D81" s="30" t="n">
        <x:v>2019</x:v>
      </x:c>
      <x:c r="E81" s="24" t="str">
        <x:v>Brama brama</x:v>
      </x:c>
      <x:c r="F81" s="24" t="str">
        <x:v>Atlantic pomfret</x:v>
      </x:c>
      <x:c r="G81" s="24" t="str">
        <x:v>Medium bathypelagics (30 - 89 cm)</x:v>
      </x:c>
      <x:c r="H81" s="24" t="str">
        <x:v>Perch-likes</x:v>
      </x:c>
      <x:c r="I81" s="31" t="n">
        <x:v>1115.9427866028</x:v>
      </x:c>
      <x:c r="J81" s="31" t="n">
        <x:v>0</x:v>
      </x:c>
      <x:c r="K81" s="31" t="n">
        <x:v>1115.9427866028</x:v>
      </x:c>
      <x:c r="L81" s="31" t="n">
        <x:v>0</x:v>
      </x:c>
      <x:c r="M81" s="31" t="n">
        <x:v>1115.9427866028</x:v>
      </x:c>
      <x:c r="N81" s="24" t="str">
        <x:v>brama brama</x:v>
      </x:c>
      <x:c r="O81" s="32" t="n">
        <x:v>4.08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Brama brama</x:v>
      </x:c>
      <x:c r="T81" s="32" t="n">
        <x:f>IF(O81="","",(1/'Metadata'!$B$5)^(O81-1))</x:f>
        <x:v>1202.2644346174131</x:v>
      </x:c>
      <x:c r="U81" s="31" t="n">
        <x:f>IF(T81="","",I81*T81)</x:f>
        <x:v>1341658.323400396</x:v>
      </x:c>
    </x:row>
    <x:row r="82" ht="18" customHeight="1">
      <x:c r="A82" s="24" t="str">
        <x:v>EEZ_586</x:v>
      </x:c>
      <x:c r="B82" s="24" t="str">
        <x:v>Pakistan</x:v>
      </x:c>
      <x:c r="C82" s="24" t="str">
        <x:v>EEZ</x:v>
      </x:c>
      <x:c r="D82" s="30" t="n">
        <x:v>2019</x:v>
      </x:c>
      <x:c r="E82" s="24" t="str">
        <x:v>Rhinobatidae</x:v>
      </x:c>
      <x:c r="F82" s="24" t="str">
        <x:v>Guitarfishes, fanrays</x:v>
      </x:c>
      <x:c r="G82" s="24" t="str">
        <x:v>Large rays (&gt;=90 cm)</x:v>
      </x:c>
      <x:c r="H82" s="24" t="str">
        <x:v>Sharks &amp; rays</x:v>
      </x:c>
      <x:c r="I82" s="31" t="n">
        <x:v>1115.897317768</x:v>
      </x:c>
      <x:c r="J82" s="31" t="n">
        <x:v>1115.897317768</x:v>
      </x:c>
      <x:c r="K82" s="31" t="n">
        <x:v>0</x:v>
      </x:c>
      <x:c r="L82" s="31" t="n">
        <x:v>3.1999999999</x:v>
      </x:c>
      <x:c r="M82" s="31" t="n">
        <x:v>1112.6973177681</x:v>
      </x:c>
      <x:c r="N82" s="24" t="str">
        <x:v>rhinobatidae</x:v>
      </x:c>
      <x:c r="O82" s="32" t="n">
        <x:v>3.7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Rhinobatidae</x:v>
      </x:c>
      <x:c r="T82" s="32" t="n">
        <x:f>IF(O82="","",(1/'Metadata'!$B$5)^(O82-1))</x:f>
        <x:v>501.18723362727246</x:v>
      </x:c>
      <x:c r="U82" s="31" t="n">
        <x:f>IF(T82="","",I82*T82)</x:f>
        <x:v>559273.4897042373</x:v>
      </x:c>
    </x:row>
    <x:row r="83" ht="18" customHeight="1">
      <x:c r="A83" s="24" t="str">
        <x:v>EEZ_586</x:v>
      </x:c>
      <x:c r="B83" s="24" t="str">
        <x:v>Pakistan</x:v>
      </x:c>
      <x:c r="C83" s="24" t="str">
        <x:v>EEZ</x:v>
      </x:c>
      <x:c r="D83" s="30" t="n">
        <x:v>2019</x:v>
      </x:c>
      <x:c r="E83" s="24" t="str">
        <x:v>Pomadasys kaakan</x:v>
      </x:c>
      <x:c r="F83" s="24" t="str">
        <x:v>Javelin grunter</x:v>
      </x:c>
      <x:c r="G83" s="24" t="str">
        <x:v>Medium reef assoc. fish (30 - 89 cm)</x:v>
      </x:c>
      <x:c r="H83" s="24" t="str">
        <x:v>Perch-likes</x:v>
      </x:c>
      <x:c r="I83" s="31" t="n">
        <x:v>1057.7814464423</x:v>
      </x:c>
      <x:c r="J83" s="31" t="n">
        <x:v>1057.7814464423</x:v>
      </x:c>
      <x:c r="K83" s="31" t="n">
        <x:v>0</x:v>
      </x:c>
      <x:c r="L83" s="31" t="n">
        <x:v>0</x:v>
      </x:c>
      <x:c r="M83" s="31" t="n">
        <x:v>1057.7814464423</x:v>
      </x:c>
      <x:c r="N83" s="24" t="str">
        <x:v>pomadasys kaakan</x:v>
      </x:c>
      <x:c r="O83" s="32" t="n">
        <x:v>3.46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Pomadasys kaakan</x:v>
      </x:c>
      <x:c r="T83" s="32" t="n">
        <x:f>IF(O83="","",(1/'Metadata'!$B$5)^(O83-1))</x:f>
        <x:v>288.40315031266056</x:v>
      </x:c>
      <x:c r="U83" s="31" t="n">
        <x:f>IF(T83="","",I83*T83)</x:f>
        <x:v>305067.5014962421</x:v>
      </x:c>
    </x:row>
    <x:row r="84" ht="18" customHeight="1">
      <x:c r="A84" s="24" t="str">
        <x:v>EEZ_586</x:v>
      </x:c>
      <x:c r="B84" s="24" t="str">
        <x:v>Pakistan</x:v>
      </x:c>
      <x:c r="C84" s="24" t="str">
        <x:v>EEZ</x:v>
      </x:c>
      <x:c r="D84" s="30" t="n">
        <x:v>2019</x:v>
      </x:c>
      <x:c r="E84" s="24" t="str">
        <x:v>Harpadon nehereus</x:v>
      </x:c>
      <x:c r="F84" s="24" t="str">
        <x:v>Bombay-duck</x:v>
      </x:c>
      <x:c r="G84" s="24" t="str">
        <x:v>Medium benthopelagics (30 - 89 cm)</x:v>
      </x:c>
      <x:c r="H84" s="24" t="str">
        <x:v>Other fishes &amp; inverts</x:v>
      </x:c>
      <x:c r="I84" s="31" t="n">
        <x:v>1001.1987477831001</x:v>
      </x:c>
      <x:c r="J84" s="31" t="n">
        <x:v>921.9159242941</x:v>
      </x:c>
      <x:c r="K84" s="31" t="n">
        <x:v>79.282823489</x:v>
      </x:c>
      <x:c r="L84" s="31" t="n">
        <x:v>82.32248878200001</x:v>
      </x:c>
      <x:c r="M84" s="31" t="n">
        <x:v>918.8762590011</x:v>
      </x:c>
      <x:c r="N84" s="24" t="str">
        <x:v>harpadon nehereus</x:v>
      </x:c>
      <x:c r="O84" s="32" t="n">
        <x:v>4.2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Harpadon nehereus</x:v>
      </x:c>
      <x:c r="T84" s="32" t="n">
        <x:f>IF(O84="","",(1/'Metadata'!$B$5)^(O84-1))</x:f>
        <x:v>1584.893192461114</x:v>
      </x:c>
      <x:c r="U84" s="31" t="n">
        <x:f>IF(T84="","",I84*T84)</x:f>
        <x:v>1586793.0796620273</x:v>
      </x:c>
    </x:row>
    <x:row r="85" ht="18" customHeight="1">
      <x:c r="A85" s="24" t="str">
        <x:v>EEZ_586</x:v>
      </x:c>
      <x:c r="B85" s="24" t="str">
        <x:v>Pakistan</x:v>
      </x:c>
      <x:c r="C85" s="24" t="str">
        <x:v>EEZ</x:v>
      </x:c>
      <x:c r="D85" s="30" t="n">
        <x:v>2019</x:v>
      </x:c>
      <x:c r="E85" s="24" t="str">
        <x:v>Lates calcarifer</x:v>
      </x:c>
      <x:c r="F85" s="24" t="str">
        <x:v>Barramundi</x:v>
      </x:c>
      <x:c r="G85" s="24" t="str">
        <x:v>Large demersals (&gt;=90 cm)</x:v>
      </x:c>
      <x:c r="H85" s="24" t="str">
        <x:v>Perch-likes</x:v>
      </x:c>
      <x:c r="I85" s="31" t="n">
        <x:v>995.8949036976</x:v>
      </x:c>
      <x:c r="J85" s="31" t="n">
        <x:v>995.8949036976</x:v>
      </x:c>
      <x:c r="K85" s="31" t="n">
        <x:v>0</x:v>
      </x:c>
      <x:c r="L85" s="31" t="n">
        <x:v>0</x:v>
      </x:c>
      <x:c r="M85" s="31" t="n">
        <x:v>995.8949036976</x:v>
      </x:c>
      <x:c r="N85" s="24" t="str">
        <x:v>lates calcarifer</x:v>
      </x:c>
      <x:c r="O85" s="32" t="n">
        <x:v>4.35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Lates calcarifer</x:v>
      </x:c>
      <x:c r="T85" s="32" t="n">
        <x:f>IF(O85="","",(1/'Metadata'!$B$5)^(O85-1))</x:f>
        <x:v>2238.7211385683377</x:v>
      </x:c>
      <x:c r="U85" s="31" t="n">
        <x:f>IF(T85="","",I85*T85)</x:f>
        <x:v>2229530.972700296</x:v>
      </x:c>
    </x:row>
    <x:row r="86" ht="18" customHeight="1">
      <x:c r="A86" s="24" t="str">
        <x:v>EEZ_586</x:v>
      </x:c>
      <x:c r="B86" s="24" t="str">
        <x:v>Pakistan</x:v>
      </x:c>
      <x:c r="C86" s="24" t="str">
        <x:v>EEZ</x:v>
      </x:c>
      <x:c r="D86" s="30" t="n">
        <x:v>2019</x:v>
      </x:c>
      <x:c r="E86" s="24" t="str">
        <x:v>Thryssa dussumieri</x:v>
      </x:c>
      <x:c r="F86" s="24" t="str">
        <x:v>Dussumier's thryssa</x:v>
      </x:c>
      <x:c r="G86" s="24" t="str">
        <x:v>Small pelagics (&lt;30 cm)</x:v>
      </x:c>
      <x:c r="H86" s="24" t="str">
        <x:v>Anchovies</x:v>
      </x:c>
      <x:c r="I86" s="31" t="n">
        <x:v>992.8193814738</x:v>
      </x:c>
      <x:c r="J86" s="31" t="n">
        <x:v>992.8193814738</x:v>
      </x:c>
      <x:c r="K86" s="31" t="n">
        <x:v>0</x:v>
      </x:c>
      <x:c r="L86" s="31" t="n">
        <x:v>0</x:v>
      </x:c>
      <x:c r="M86" s="31" t="n">
        <x:v>992.8193814738</x:v>
      </x:c>
      <x:c r="N86" s="24" t="str">
        <x:v>thryssa dussumieri</x:v>
      </x:c>
      <x:c r="O86" s="32" t="n">
        <x:v>2.82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Thryssa dussumieri</x:v>
      </x:c>
      <x:c r="T86" s="32" t="n">
        <x:f>IF(O86="","",(1/'Metadata'!$B$5)^(O86-1))</x:f>
        <x:v>66.06934480075958</x:v>
      </x:c>
      <x:c r="U86" s="31" t="n">
        <x:f>IF(T86="","",I86*T86)</x:f>
        <x:v>65594.92603946936</x:v>
      </x:c>
    </x:row>
    <x:row r="87" ht="18" customHeight="1">
      <x:c r="A87" s="24" t="str">
        <x:v>EEZ_586</x:v>
      </x:c>
      <x:c r="B87" s="24" t="str">
        <x:v>Pakistan</x:v>
      </x:c>
      <x:c r="C87" s="24" t="str">
        <x:v>EEZ</x:v>
      </x:c>
      <x:c r="D87" s="30" t="n">
        <x:v>2019</x:v>
      </x:c>
      <x:c r="E87" s="24" t="str">
        <x:v>Psettodes erumei</x:v>
      </x:c>
      <x:c r="F87" s="24" t="str">
        <x:v>Indian halibut</x:v>
      </x:c>
      <x:c r="G87" s="24" t="str">
        <x:v>Small to medium flatfishes (&lt;90 cm)</x:v>
      </x:c>
      <x:c r="H87" s="24" t="str">
        <x:v>Flatfishes</x:v>
      </x:c>
      <x:c r="I87" s="31" t="n">
        <x:v>838.2682096566</x:v>
      </x:c>
      <x:c r="J87" s="31" t="n">
        <x:v>838.2682096566</x:v>
      </x:c>
      <x:c r="K87" s="31" t="n">
        <x:v>0</x:v>
      </x:c>
      <x:c r="L87" s="31" t="n">
        <x:v>513.2248878152001</x:v>
      </x:c>
      <x:c r="M87" s="31" t="n">
        <x:v>325.0433218414</x:v>
      </x:c>
      <x:c r="N87" s="24" t="str">
        <x:v>psettodes erumei</x:v>
      </x:c>
      <x:c r="O87" s="32" t="n">
        <x:v>4.39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Psettodes erumei</x:v>
      </x:c>
      <x:c r="T87" s="32" t="n">
        <x:f>IF(O87="","",(1/'Metadata'!$B$5)^(O87-1))</x:f>
        <x:v>2454.7089156850284</x:v>
      </x:c>
      <x:c r="U87" s="31" t="n">
        <x:f>IF(T87="","",I87*T87)</x:f>
        <x:v>2057704.4479793827</x:v>
      </x:c>
    </x:row>
    <x:row r="88" ht="18" customHeight="1">
      <x:c r="A88" s="24" t="str">
        <x:v>EEZ_586</x:v>
      </x:c>
      <x:c r="B88" s="24" t="str">
        <x:v>Pakistan</x:v>
      </x:c>
      <x:c r="C88" s="24" t="str">
        <x:v>EEZ</x:v>
      </x:c>
      <x:c r="D88" s="30" t="n">
        <x:v>2019</x:v>
      </x:c>
      <x:c r="E88" s="24" t="str">
        <x:v>Argyrops spinifer</x:v>
      </x:c>
      <x:c r="F88" s="24" t="str">
        <x:v>King soldier bream</x:v>
      </x:c>
      <x:c r="G88" s="24" t="str">
        <x:v>Medium demersals (30 - 89 cm)</x:v>
      </x:c>
      <x:c r="H88" s="24" t="str">
        <x:v>Perch-likes</x:v>
      </x:c>
      <x:c r="I88" s="31" t="n">
        <x:v>741.2772291767</x:v>
      </x:c>
      <x:c r="J88" s="31" t="n">
        <x:v>741.2772291767</x:v>
      </x:c>
      <x:c r="K88" s="31" t="n">
        <x:v>0</x:v>
      </x:c>
      <x:c r="L88" s="31" t="n">
        <x:v>0</x:v>
      </x:c>
      <x:c r="M88" s="31" t="n">
        <x:v>741.2772291767</x:v>
      </x:c>
      <x:c r="N88" s="24" t="str">
        <x:v>argyrops spinifer</x:v>
      </x:c>
      <x:c r="O88" s="32" t="n">
        <x:v>4.49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Argyrops spinifer</x:v>
      </x:c>
      <x:c r="T88" s="32" t="n">
        <x:f>IF(O88="","",(1/'Metadata'!$B$5)^(O88-1))</x:f>
        <x:v>3090.295432513592</x:v>
      </x:c>
      <x:c r="U88" s="31" t="n">
        <x:f>IF(T88="","",I88*T88)</x:f>
        <x:v>2290765.635551087</x:v>
      </x:c>
    </x:row>
    <x:row r="89" ht="18" customHeight="1">
      <x:c r="A89" s="24" t="str">
        <x:v>EEZ_586</x:v>
      </x:c>
      <x:c r="B89" s="24" t="str">
        <x:v>Pakistan</x:v>
      </x:c>
      <x:c r="C89" s="24" t="str">
        <x:v>EEZ</x:v>
      </x:c>
      <x:c r="D89" s="30" t="n">
        <x:v>2019</x:v>
      </x:c>
      <x:c r="E89" s="24" t="str">
        <x:v>Argyrosomus japonicus</x:v>
      </x:c>
      <x:c r="F89" s="24" t="str">
        <x:v>Japanese meagre</x:v>
      </x:c>
      <x:c r="G89" s="24" t="str">
        <x:v>Large benthopelagics (&gt;=90 cm)</x:v>
      </x:c>
      <x:c r="H89" s="24" t="str">
        <x:v>Perch-likes</x:v>
      </x:c>
      <x:c r="I89" s="31" t="n">
        <x:v>674.4145908840001</x:v>
      </x:c>
      <x:c r="J89" s="31" t="n">
        <x:v>674.4145908840001</x:v>
      </x:c>
      <x:c r="K89" s="31" t="n">
        <x:v>0</x:v>
      </x:c>
      <x:c r="L89" s="31" t="n">
        <x:v>0</x:v>
      </x:c>
      <x:c r="M89" s="31" t="n">
        <x:v>674.4145908840001</x:v>
      </x:c>
      <x:c r="N89" s="24" t="str">
        <x:v>argyrosomus japonicus</x:v>
      </x:c>
      <x:c r="O89" s="32" t="n">
        <x:v>4.48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Argyrosomus japonicus</x:v>
      </x:c>
      <x:c r="T89" s="32" t="n">
        <x:f>IF(O89="","",(1/'Metadata'!$B$5)^(O89-1))</x:f>
        <x:v>3019.951720402019</x:v>
      </x:c>
      <x:c r="U89" s="31" t="n">
        <x:f>IF(T89="","",I89*T89)</x:f>
        <x:v>2036699.5040043597</x:v>
      </x:c>
    </x:row>
    <x:row r="90" ht="18" customHeight="1">
      <x:c r="A90" s="24" t="str">
        <x:v>EEZ_586</x:v>
      </x:c>
      <x:c r="B90" s="24" t="str">
        <x:v>Pakistan</x:v>
      </x:c>
      <x:c r="C90" s="24" t="str">
        <x:v>EEZ</x:v>
      </x:c>
      <x:c r="D90" s="30" t="n">
        <x:v>2019</x:v>
      </x:c>
      <x:c r="E90" s="24" t="str">
        <x:v>Epinephelus diacanthus</x:v>
      </x:c>
      <x:c r="F90" s="24" t="str">
        <x:v>Spinycheek grouper</x:v>
      </x:c>
      <x:c r="G90" s="24" t="str">
        <x:v>Large reef assoc. fish (&gt;=90 cm)</x:v>
      </x:c>
      <x:c r="H90" s="24" t="str">
        <x:v>Perch-likes</x:v>
      </x:c>
      <x:c r="I90" s="31" t="n">
        <x:v>638.1814175328999</x:v>
      </x:c>
      <x:c r="J90" s="31" t="n">
        <x:v>638.1814175328999</x:v>
      </x:c>
      <x:c r="K90" s="31" t="n">
        <x:v>0</x:v>
      </x:c>
      <x:c r="L90" s="31" t="n">
        <x:v>0</x:v>
      </x:c>
      <x:c r="M90" s="31" t="n">
        <x:v>638.1814175328999</x:v>
      </x:c>
      <x:c r="N90" s="24" t="str">
        <x:v>epinephelus diacanthus</x:v>
      </x:c>
      <x:c r="O90" s="32" t="n">
        <x:v>3.8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Epinephelus diacanthus</x:v>
      </x:c>
      <x:c r="T90" s="32" t="n">
        <x:f>IF(O90="","",(1/'Metadata'!$B$5)^(O90-1))</x:f>
        <x:v>630.957344480193</x:v>
      </x:c>
      <x:c r="U90" s="31" t="n">
        <x:f>IF(T90="","",I90*T90)</x:f>
        <x:v>402665.2525031638</x:v>
      </x:c>
    </x:row>
    <x:row r="91" ht="18" customHeight="1">
      <x:c r="A91" s="24" t="str">
        <x:v>EEZ_586</x:v>
      </x:c>
      <x:c r="B91" s="24" t="str">
        <x:v>Pakistan</x:v>
      </x:c>
      <x:c r="C91" s="24" t="str">
        <x:v>EEZ</x:v>
      </x:c>
      <x:c r="D91" s="30" t="n">
        <x:v>2019</x:v>
      </x:c>
      <x:c r="E91" s="24" t="str">
        <x:v>Epinephelus polylepis</x:v>
      </x:c>
      <x:c r="F91" s="24" t="str">
        <x:v>Smallscaled grouper</x:v>
      </x:c>
      <x:c r="G91" s="24" t="str">
        <x:v>Medium demersals (30 - 89 cm)</x:v>
      </x:c>
      <x:c r="H91" s="24" t="str">
        <x:v>Perch-likes</x:v>
      </x:c>
      <x:c r="I91" s="31" t="n">
        <x:v>638.1814175328999</x:v>
      </x:c>
      <x:c r="J91" s="31" t="n">
        <x:v>638.1814175328999</x:v>
      </x:c>
      <x:c r="K91" s="31" t="n">
        <x:v>0</x:v>
      </x:c>
      <x:c r="L91" s="31" t="n">
        <x:v>0</x:v>
      </x:c>
      <x:c r="M91" s="31" t="n">
        <x:v>638.1814175328999</x:v>
      </x:c>
      <x:c r="N91" s="24" t="str">
        <x:v>epinephelus polylepis</x:v>
      </x:c>
      <x:c r="O91" s="32" t="n">
        <x:v>3.8</x:v>
      </x:c>
      <x:c r="P91" s="24" t="str">
        <x:v>exact_sea_around_us</x:v>
      </x:c>
      <x:c r="Q91" s="32" t="str">
        <x:v>Sea Around Us exploited organisms</x:v>
      </x:c>
      <x:c r="R91" s="24" t="str">
        <x:v>high</x:v>
      </x:c>
      <x:c r="S91" s="24" t="str">
        <x:v>Epinephelus polylepis</x:v>
      </x:c>
      <x:c r="T91" s="32" t="n">
        <x:f>IF(O91="","",(1/'Metadata'!$B$5)^(O91-1))</x:f>
        <x:v>630.957344480193</x:v>
      </x:c>
      <x:c r="U91" s="31" t="n">
        <x:f>IF(T91="","",I91*T91)</x:f>
        <x:v>402665.2525031638</x:v>
      </x:c>
    </x:row>
    <x:row r="92" ht="18" customHeight="1">
      <x:c r="A92" s="24" t="str">
        <x:v>EEZ_586</x:v>
      </x:c>
      <x:c r="B92" s="24" t="str">
        <x:v>Pakistan</x:v>
      </x:c>
      <x:c r="C92" s="24" t="str">
        <x:v>EEZ</x:v>
      </x:c>
      <x:c r="D92" s="30" t="n">
        <x:v>2019</x:v>
      </x:c>
      <x:c r="E92" s="24" t="str">
        <x:v>Euthynnus affinis</x:v>
      </x:c>
      <x:c r="F92" s="24" t="str">
        <x:v>Kawakawa</x:v>
      </x:c>
      <x:c r="G92" s="24" t="str">
        <x:v>Large pelagics (&gt;=90 cm)</x:v>
      </x:c>
      <x:c r="H92" s="24" t="str">
        <x:v>Tuna &amp; billfishes</x:v>
      </x:c>
      <x:c r="I92" s="31" t="n">
        <x:v>637.8651376865</x:v>
      </x:c>
      <x:c r="J92" s="31" t="n">
        <x:v>637.8651376865</x:v>
      </x:c>
      <x:c r="K92" s="31" t="n">
        <x:v>0</x:v>
      </x:c>
      <x:c r="L92" s="31" t="n">
        <x:v>132.8998082037</x:v>
      </x:c>
      <x:c r="M92" s="31" t="n">
        <x:v>504.96532948280003</x:v>
      </x:c>
      <x:c r="N92" s="24" t="str">
        <x:v>euthynnus affinis</x:v>
      </x:c>
      <x:c r="O92" s="32" t="n">
        <x:v>4.5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Euthynnus affinis</x:v>
      </x:c>
      <x:c r="T92" s="32" t="n">
        <x:f>IF(O92="","",(1/'Metadata'!$B$5)^(O92-1))</x:f>
        <x:v>3162.2776601683795</x:v>
      </x:c>
      <x:c r="U92" s="31" t="n">
        <x:f>IF(T92="","",I92*T92)</x:f>
        <x:v>2017106.6751062465</x:v>
      </x:c>
    </x:row>
    <x:row r="93" ht="18" customHeight="1">
      <x:c r="A93" s="24" t="str">
        <x:v>EEZ_586</x:v>
      </x:c>
      <x:c r="B93" s="24" t="str">
        <x:v>Pakistan</x:v>
      </x:c>
      <x:c r="C93" s="24" t="str">
        <x:v>EEZ</x:v>
      </x:c>
      <x:c r="D93" s="30" t="n">
        <x:v>2019</x:v>
      </x:c>
      <x:c r="E93" s="24" t="str">
        <x:v>Pterotolithus maculatus</x:v>
      </x:c>
      <x:c r="F93" s="24" t="str">
        <x:v>Blotched tiger-toothed croaker</x:v>
      </x:c>
      <x:c r="G93" s="24" t="str">
        <x:v>Small pelagics (&lt;30 cm)</x:v>
      </x:c>
      <x:c r="H93" s="24" t="str">
        <x:v>Perch-likes</x:v>
      </x:c>
      <x:c r="I93" s="31" t="n">
        <x:v>575.5615165989</x:v>
      </x:c>
      <x:c r="J93" s="31" t="n">
        <x:v>575.5615165989</x:v>
      </x:c>
      <x:c r="K93" s="31" t="n">
        <x:v>0</x:v>
      </x:c>
      <x:c r="L93" s="31" t="n">
        <x:v>0</x:v>
      </x:c>
      <x:c r="M93" s="31" t="n">
        <x:v>575.5615165989</x:v>
      </x:c>
      <x:c r="N93" s="24" t="str">
        <x:v>pterotolithus maculatus</x:v>
      </x:c>
      <x:c r="O93" s="32" t="n">
        <x:v>3.7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Pterotolithus maculatus</x:v>
      </x:c>
      <x:c r="T93" s="32" t="n">
        <x:f>IF(O93="","",(1/'Metadata'!$B$5)^(O93-1))</x:f>
        <x:v>501.18723362727246</x:v>
      </x:c>
      <x:c r="U93" s="31" t="n">
        <x:f>IF(T93="","",I93*T93)</x:f>
        <x:v>288464.08428652014</x:v>
      </x:c>
    </x:row>
    <x:row r="94" ht="18" customHeight="1">
      <x:c r="A94" s="24" t="str">
        <x:v>EEZ_586</x:v>
      </x:c>
      <x:c r="B94" s="24" t="str">
        <x:v>Pakistan</x:v>
      </x:c>
      <x:c r="C94" s="24" t="str">
        <x:v>EEZ</x:v>
      </x:c>
      <x:c r="D94" s="30" t="n">
        <x:v>2019</x:v>
      </x:c>
      <x:c r="E94" s="24" t="str">
        <x:v>Eleutheronema tetradactylum</x:v>
      </x:c>
      <x:c r="F94" s="24" t="str">
        <x:v>Fourfinger threadfin</x:v>
      </x:c>
      <x:c r="G94" s="24" t="str">
        <x:v>Large demersals (&gt;=90 cm)</x:v>
      </x:c>
      <x:c r="H94" s="24" t="str">
        <x:v>Perch-likes</x:v>
      </x:c>
      <x:c r="I94" s="31" t="n">
        <x:v>543.5325792822</x:v>
      </x:c>
      <x:c r="J94" s="31" t="n">
        <x:v>543.5325792822</x:v>
      </x:c>
      <x:c r="K94" s="31" t="n">
        <x:v>0</x:v>
      </x:c>
      <x:c r="L94" s="31" t="n">
        <x:v>415.3967466344</x:v>
      </x:c>
      <x:c r="M94" s="31" t="n">
        <x:v>128.1358326478</x:v>
      </x:c>
      <x:c r="N94" s="24" t="str">
        <x:v>eleutheronema tetradactylum</x:v>
      </x:c>
      <x:c r="O94" s="32" t="n">
        <x:v>4.06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Eleutheronema tetradactylum</x:v>
      </x:c>
      <x:c r="T94" s="32" t="n">
        <x:f>IF(O94="","",(1/'Metadata'!$B$5)^(O94-1))</x:f>
        <x:v>1148.1536214968817</x:v>
      </x:c>
      <x:c r="U94" s="31" t="n">
        <x:f>IF(T94="","",I94*T94)</x:f>
        <x:v>624058.8993043989</x:v>
      </x:c>
    </x:row>
    <x:row r="95" ht="18" customHeight="1">
      <x:c r="A95" s="24" t="str">
        <x:v>EEZ_586</x:v>
      </x:c>
      <x:c r="B95" s="24" t="str">
        <x:v>Pakistan</x:v>
      </x:c>
      <x:c r="C95" s="24" t="str">
        <x:v>EEZ</x:v>
      </x:c>
      <x:c r="D95" s="30" t="n">
        <x:v>2019</x:v>
      </x:c>
      <x:c r="E95" s="24" t="str">
        <x:v>Isurus paucus</x:v>
      </x:c>
      <x:c r="F95" s="24" t="str">
        <x:v>Longfin mako</x:v>
      </x:c>
      <x:c r="G95" s="24" t="str">
        <x:v>Large sharks (&gt;=90 cm)</x:v>
      </x:c>
      <x:c r="H95" s="24" t="str">
        <x:v>Sharks &amp; rays</x:v>
      </x:c>
      <x:c r="I95" s="31" t="n">
        <x:v>538.8861322057</x:v>
      </x:c>
      <x:c r="J95" s="31" t="n">
        <x:v>538.8861322057</x:v>
      </x:c>
      <x:c r="K95" s="31" t="n">
        <x:v>0</x:v>
      </x:c>
      <x:c r="L95" s="31" t="n">
        <x:v>538.8861322057</x:v>
      </x:c>
      <x:c r="M95" s="31" t="n">
        <x:v>0</x:v>
      </x:c>
      <x:c r="N95" s="24" t="str">
        <x:v>isurus paucus</x:v>
      </x:c>
      <x:c r="O95" s="32" t="n">
        <x:v>4.51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Isurus paucus</x:v>
      </x:c>
      <x:c r="T95" s="32" t="n">
        <x:f>IF(O95="","",(1/'Metadata'!$B$5)^(O95-1))</x:f>
        <x:v>3235.936569296281</x:v>
      </x:c>
      <x:c r="U95" s="31" t="n">
        <x:f>IF(T95="","",I95*T95)</x:f>
        <x:v>1743801.3418910552</x:v>
      </x:c>
    </x:row>
    <x:row r="96" ht="18" customHeight="1">
      <x:c r="A96" s="24" t="str">
        <x:v>EEZ_586</x:v>
      </x:c>
      <x:c r="B96" s="24" t="str">
        <x:v>Pakistan</x:v>
      </x:c>
      <x:c r="C96" s="24" t="str">
        <x:v>EEZ</x:v>
      </x:c>
      <x:c r="D96" s="30" t="n">
        <x:v>2019</x:v>
      </x:c>
      <x:c r="E96" s="24" t="str">
        <x:v>Acanthocybium solandri</x:v>
      </x:c>
      <x:c r="F96" s="24" t="str">
        <x:v>Wahoo</x:v>
      </x:c>
      <x:c r="G96" s="24" t="str">
        <x:v>Large pelagics (&gt;=90 cm)</x:v>
      </x:c>
      <x:c r="H96" s="24" t="str">
        <x:v>Perch-likes</x:v>
      </x:c>
      <x:c r="I96" s="31" t="n">
        <x:v>513.2248878149001</x:v>
      </x:c>
      <x:c r="J96" s="31" t="n">
        <x:v>513.2248878149001</x:v>
      </x:c>
      <x:c r="K96" s="31" t="n">
        <x:v>0</x:v>
      </x:c>
      <x:c r="L96" s="31" t="n">
        <x:v>513.2248878149001</x:v>
      </x:c>
      <x:c r="M96" s="31" t="n">
        <x:v>0</x:v>
      </x:c>
      <x:c r="N96" s="24" t="str">
        <x:v>acanthocybium solandri</x:v>
      </x:c>
      <x:c r="O96" s="32" t="n">
        <x:v>4.26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Acanthocybium solandri</x:v>
      </x:c>
      <x:c r="T96" s="32" t="n">
        <x:f>IF(O96="","",(1/'Metadata'!$B$5)^(O96-1))</x:f>
        <x:v>1819.7008586099826</x:v>
      </x:c>
      <x:c r="U96" s="31" t="n">
        <x:f>IF(T96="","",I96*T96)</x:f>
        <x:v>933915.7690167857</x:v>
      </x:c>
    </x:row>
    <x:row r="97" ht="18" customHeight="1">
      <x:c r="A97" s="24" t="str">
        <x:v>EEZ_586</x:v>
      </x:c>
      <x:c r="B97" s="24" t="str">
        <x:v>Pakistan</x:v>
      </x:c>
      <x:c r="C97" s="24" t="str">
        <x:v>EEZ</x:v>
      </x:c>
      <x:c r="D97" s="30" t="n">
        <x:v>2019</x:v>
      </x:c>
      <x:c r="E97" s="24" t="str">
        <x:v>Solenidae</x:v>
      </x:c>
      <x:c r="F97" s="24" t="str">
        <x:v>Razor, knife clams</x:v>
      </x:c>
      <x:c r="G97" s="24" t="str">
        <x:v>Other demersal invertebrates</x:v>
      </x:c>
      <x:c r="H97" s="24" t="str">
        <x:v>Molluscs</x:v>
      </x:c>
      <x:c r="I97" s="31" t="n">
        <x:v>471.00000000020003</x:v>
      </x:c>
      <x:c r="J97" s="31" t="n">
        <x:v>471.00000000020003</x:v>
      </x:c>
      <x:c r="K97" s="31" t="n">
        <x:v>0</x:v>
      </x:c>
      <x:c r="L97" s="31" t="n">
        <x:v>471.00000000020003</x:v>
      </x:c>
      <x:c r="M97" s="31" t="n">
        <x:v>0</x:v>
      </x:c>
      <x:c r="N97" s="24" t="str">
        <x:v>solenidae</x:v>
      </x:c>
      <x:c r="O97" s="32" t="n">
        <x:v>2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Solenidae</x:v>
      </x:c>
      <x:c r="T97" s="32" t="n">
        <x:f>IF(O97="","",(1/'Metadata'!$B$5)^(O97-1))</x:f>
        <x:v>10</x:v>
      </x:c>
      <x:c r="U97" s="31" t="n">
        <x:f>IF(T97="","",I97*T97)</x:f>
        <x:v>4710.000000002</x:v>
      </x:c>
    </x:row>
    <x:row r="98" ht="18" customHeight="1">
      <x:c r="A98" s="24" t="str">
        <x:v>EEZ_586</x:v>
      </x:c>
      <x:c r="B98" s="24" t="str">
        <x:v>Pakistan</x:v>
      </x:c>
      <x:c r="C98" s="24" t="str">
        <x:v>EEZ</x:v>
      </x:c>
      <x:c r="D98" s="30" t="n">
        <x:v>2019</x:v>
      </x:c>
      <x:c r="E98" s="24" t="str">
        <x:v>Alopias pelagicus</x:v>
      </x:c>
      <x:c r="F98" s="24" t="str">
        <x:v>Pelagic thresher</x:v>
      </x:c>
      <x:c r="G98" s="24" t="str">
        <x:v>Large sharks (&gt;=90 cm)</x:v>
      </x:c>
      <x:c r="H98" s="24" t="str">
        <x:v>Sharks &amp; rays</x:v>
      </x:c>
      <x:c r="I98" s="31" t="n">
        <x:v>465.6124439074</x:v>
      </x:c>
      <x:c r="J98" s="31" t="n">
        <x:v>465.6124439074</x:v>
      </x:c>
      <x:c r="K98" s="31" t="n">
        <x:v>0</x:v>
      </x:c>
      <x:c r="L98" s="31" t="n">
        <x:v>465.6124439074</x:v>
      </x:c>
      <x:c r="M98" s="31" t="n">
        <x:v>0</x:v>
      </x:c>
      <x:c r="N98" s="24" t="str">
        <x:v>alopias pelagicus</x:v>
      </x:c>
      <x:c r="O98" s="32" t="n">
        <x:v>4.5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Alopias pelagicus</x:v>
      </x:c>
      <x:c r="T98" s="32" t="n">
        <x:f>IF(O98="","",(1/'Metadata'!$B$5)^(O98-1))</x:f>
        <x:v>3162.2776601683795</x:v>
      </x:c>
      <x:c r="U98" s="31" t="n">
        <x:f>IF(T98="","",I98*T98)</x:f>
        <x:v>1472395.8296647738</x:v>
      </x:c>
    </x:row>
    <x:row r="99" ht="18" customHeight="1">
      <x:c r="A99" s="24" t="str">
        <x:v>EEZ_586</x:v>
      </x:c>
      <x:c r="B99" s="24" t="str">
        <x:v>Pakistan</x:v>
      </x:c>
      <x:c r="C99" s="24" t="str">
        <x:v>EEZ</x:v>
      </x:c>
      <x:c r="D99" s="30" t="n">
        <x:v>2019</x:v>
      </x:c>
      <x:c r="E99" s="24" t="str">
        <x:v>Sepiidae</x:v>
      </x:c>
      <x:c r="F99" s="24" t="str">
        <x:v>Cuttlefishes</x:v>
      </x:c>
      <x:c r="G99" s="24" t="str">
        <x:v>Cephalopods</x:v>
      </x:c>
      <x:c r="H99" s="24" t="str">
        <x:v>Other fishes &amp; inverts</x:v>
      </x:c>
      <x:c r="I99" s="31" t="n">
        <x:v>461.9023990335</x:v>
      </x:c>
      <x:c r="J99" s="31" t="n">
        <x:v>461.9023990335</x:v>
      </x:c>
      <x:c r="K99" s="31" t="n">
        <x:v>0</x:v>
      </x:c>
      <x:c r="L99" s="31" t="n">
        <x:v>461.9023990335</x:v>
      </x:c>
      <x:c r="M99" s="31" t="n">
        <x:v>0</x:v>
      </x:c>
      <x:c r="N99" s="24" t="str">
        <x:v>sepiidae</x:v>
      </x:c>
      <x:c r="O99" s="32" t="n">
        <x:v>3.6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Sepiidae</x:v>
      </x:c>
      <x:c r="T99" s="32" t="n">
        <x:f>IF(O99="","",(1/'Metadata'!$B$5)^(O99-1))</x:f>
        <x:v>398.1071705534973</x:v>
      </x:c>
      <x:c r="U99" s="31" t="n">
        <x:f>IF(T99="","",I99*T99)</x:f>
        <x:v>183886.65715109915</x:v>
      </x:c>
    </x:row>
    <x:row r="100" ht="18" customHeight="1">
      <x:c r="A100" s="24" t="str">
        <x:v>EEZ_586</x:v>
      </x:c>
      <x:c r="B100" s="24" t="str">
        <x:v>Pakistan</x:v>
      </x:c>
      <x:c r="C100" s="24" t="str">
        <x:v>EEZ</x:v>
      </x:c>
      <x:c r="D100" s="30" t="n">
        <x:v>2019</x:v>
      </x:c>
      <x:c r="E100" s="24" t="str">
        <x:v>Epinephelus tauvina</x:v>
      </x:c>
      <x:c r="F100" s="24" t="str">
        <x:v>Greasy grouper</x:v>
      </x:c>
      <x:c r="G100" s="24" t="str">
        <x:v>Medium reef assoc. fish (30 - 89 cm)</x:v>
      </x:c>
      <x:c r="H100" s="24" t="str">
        <x:v>Perch-likes</x:v>
      </x:c>
      <x:c r="I100" s="31" t="n">
        <x:v>406.9209557528</x:v>
      </x:c>
      <x:c r="J100" s="31" t="n">
        <x:v>406.9209557528</x:v>
      </x:c>
      <x:c r="K100" s="31" t="n">
        <x:v>0</x:v>
      </x:c>
      <x:c r="L100" s="31" t="n">
        <x:v>0</x:v>
      </x:c>
      <x:c r="M100" s="31" t="n">
        <x:v>406.9209557528</x:v>
      </x:c>
      <x:c r="N100" s="24" t="str">
        <x:v>epinephelus tauvina</x:v>
      </x:c>
      <x:c r="O100" s="32" t="n">
        <x:v>4.13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Epinephelus tauvina</x:v>
      </x:c>
      <x:c r="T100" s="32" t="n">
        <x:f>IF(O100="","",(1/'Metadata'!$B$5)^(O100-1))</x:f>
        <x:v>1348.9628825916532</x:v>
      </x:c>
      <x:c r="U100" s="31" t="n">
        <x:f>IF(T100="","",I100*T100)</x:f>
        <x:v>548921.2654592476</x:v>
      </x:c>
    </x:row>
    <x:row r="101" ht="18" customHeight="1">
      <x:c r="A101" s="24" t="str">
        <x:v>EEZ_586</x:v>
      </x:c>
      <x:c r="B101" s="24" t="str">
        <x:v>Pakistan</x:v>
      </x:c>
      <x:c r="C101" s="24" t="str">
        <x:v>EEZ</x:v>
      </x:c>
      <x:c r="D101" s="30" t="n">
        <x:v>2019</x:v>
      </x:c>
      <x:c r="E101" s="24" t="str">
        <x:v>Istiophorus platypterus</x:v>
      </x:c>
      <x:c r="F101" s="24" t="str">
        <x:v>Indo-Pacific sailfish</x:v>
      </x:c>
      <x:c r="G101" s="24" t="str">
        <x:v>Large pelagics (&gt;=90 cm)</x:v>
      </x:c>
      <x:c r="H101" s="24" t="str">
        <x:v>Tuna &amp; billfishes</x:v>
      </x:c>
      <x:c r="I101" s="31" t="n">
        <x:v>404.07160430019997</x:v>
      </x:c>
      <x:c r="J101" s="31" t="n">
        <x:v>404.07160430019997</x:v>
      </x:c>
      <x:c r="K101" s="31" t="n">
        <x:v>0</x:v>
      </x:c>
      <x:c r="L101" s="31" t="n">
        <x:v>0</x:v>
      </x:c>
      <x:c r="M101" s="31" t="n">
        <x:v>404.07160430019997</x:v>
      </x:c>
      <x:c r="N101" s="24" t="str">
        <x:v>istiophorus platypterus</x:v>
      </x:c>
      <x:c r="O101" s="32" t="n">
        <x:v>4.5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Istiophorus platypterus</x:v>
      </x:c>
      <x:c r="T101" s="32" t="n">
        <x:f>IF(O101="","",(1/'Metadata'!$B$5)^(O101-1))</x:f>
        <x:v>3162.2776601683795</x:v>
      </x:c>
      <x:c r="U101" s="31" t="n">
        <x:f>IF(T101="","",I101*T101)</x:f>
        <x:v>1277786.6073869197</x:v>
      </x:c>
    </x:row>
    <x:row r="102" ht="18" customHeight="1">
      <x:c r="A102" s="24" t="str">
        <x:v>EEZ_586</x:v>
      </x:c>
      <x:c r="B102" s="24" t="str">
        <x:v>Pakistan</x:v>
      </x:c>
      <x:c r="C102" s="24" t="str">
        <x:v>EEZ</x:v>
      </x:c>
      <x:c r="D102" s="30" t="n">
        <x:v>2019</x:v>
      </x:c>
      <x:c r="E102" s="24" t="str">
        <x:v>Auxis thazard</x:v>
      </x:c>
      <x:c r="F102" s="24" t="str">
        <x:v>Frigate tuna</x:v>
      </x:c>
      <x:c r="G102" s="24" t="str">
        <x:v>Medium pelagics (30 - 89 cm)</x:v>
      </x:c>
      <x:c r="H102" s="24" t="str">
        <x:v>Tuna &amp; billfishes</x:v>
      </x:c>
      <x:c r="I102" s="31" t="n">
        <x:v>386.0102917872</x:v>
      </x:c>
      <x:c r="J102" s="31" t="n">
        <x:v>386.0102917872</x:v>
      </x:c>
      <x:c r="K102" s="31" t="n">
        <x:v>0</x:v>
      </x:c>
      <x:c r="L102" s="31" t="n">
        <x:v>0</x:v>
      </x:c>
      <x:c r="M102" s="31" t="n">
        <x:v>386.0102917872</x:v>
      </x:c>
      <x:c r="N102" s="24" t="str">
        <x:v>auxis thazard</x:v>
      </x:c>
      <x:c r="O102" s="32" t="n">
        <x:v>4.37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Auxis thazard</x:v>
      </x:c>
      <x:c r="T102" s="32" t="n">
        <x:f>IF(O102="","",(1/'Metadata'!$B$5)^(O102-1))</x:f>
        <x:v>2344.228815319923</x:v>
      </x:c>
      <x:c r="U102" s="31" t="n">
        <x:f>IF(T102="","",I102*T102)</x:f>
        <x:v>904896.4490176056</x:v>
      </x:c>
    </x:row>
    <x:row r="103" ht="18" customHeight="1">
      <x:c r="A103" s="24" t="str">
        <x:v>EEZ_586</x:v>
      </x:c>
      <x:c r="B103" s="24" t="str">
        <x:v>Pakistan</x:v>
      </x:c>
      <x:c r="C103" s="24" t="str">
        <x:v>EEZ</x:v>
      </x:c>
      <x:c r="D103" s="30" t="n">
        <x:v>2019</x:v>
      </x:c>
      <x:c r="E103" s="24" t="str">
        <x:v>Sphyraena</x:v>
      </x:c>
      <x:c r="F103" s="24" t="str">
        <x:v>Barracudas, sennets</x:v>
      </x:c>
      <x:c r="G103" s="24" t="str">
        <x:v>Large pelagics (&gt;=90 cm)</x:v>
      </x:c>
      <x:c r="H103" s="24" t="str">
        <x:v>Perch-likes</x:v>
      </x:c>
      <x:c r="I103" s="31" t="n">
        <x:v>367.9252823644</x:v>
      </x:c>
      <x:c r="J103" s="31" t="n">
        <x:v>367.9252823644</x:v>
      </x:c>
      <x:c r="K103" s="31" t="n">
        <x:v>0</x:v>
      </x:c>
      <x:c r="L103" s="31" t="n">
        <x:v>0</x:v>
      </x:c>
      <x:c r="M103" s="31" t="n">
        <x:v>367.9252823644</x:v>
      </x:c>
      <x:c r="N103" s="24" t="str">
        <x:v>sphyraena</x:v>
      </x:c>
      <x:c r="O103" s="32" t="n">
        <x:v>4.4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Sphyraena</x:v>
      </x:c>
      <x:c r="T103" s="32" t="n">
        <x:f>IF(O103="","",(1/'Metadata'!$B$5)^(O103-1))</x:f>
        <x:v>2511.886431509582</x:v>
      </x:c>
      <x:c r="U103" s="31" t="n">
        <x:f>IF(T103="","",I103*T103)</x:f>
        <x:v>924186.5245804681</x:v>
      </x:c>
    </x:row>
    <x:row r="104" ht="18" customHeight="1">
      <x:c r="A104" s="24" t="str">
        <x:v>EEZ_586</x:v>
      </x:c>
      <x:c r="B104" s="24" t="str">
        <x:v>Pakistan</x:v>
      </x:c>
      <x:c r="C104" s="24" t="str">
        <x:v>EEZ</x:v>
      </x:c>
      <x:c r="D104" s="30" t="n">
        <x:v>2019</x:v>
      </x:c>
      <x:c r="E104" s="24" t="str">
        <x:v>Protonibea diacanthus</x:v>
      </x:c>
      <x:c r="F104" s="24" t="str">
        <x:v>Blackspotted croaker</x:v>
      </x:c>
      <x:c r="G104" s="24" t="str">
        <x:v>Small pelagics (&lt;30 cm)</x:v>
      </x:c>
      <x:c r="H104" s="24" t="str">
        <x:v>Perch-likes</x:v>
      </x:c>
      <x:c r="I104" s="31" t="n">
        <x:v>330.2169114201</x:v>
      </x:c>
      <x:c r="J104" s="31" t="n">
        <x:v>330.2169114201</x:v>
      </x:c>
      <x:c r="K104" s="31" t="n">
        <x:v>0</x:v>
      </x:c>
      <x:c r="L104" s="31" t="n">
        <x:v>0</x:v>
      </x:c>
      <x:c r="M104" s="31" t="n">
        <x:v>330.2169114201</x:v>
      </x:c>
      <x:c r="N104" s="24" t="str">
        <x:v>protonibea diacanthus</x:v>
      </x:c>
      <x:c r="O104" s="32" t="n">
        <x:v>3.5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Protonibea diacanthus</x:v>
      </x:c>
      <x:c r="T104" s="32" t="n">
        <x:f>IF(O104="","",(1/'Metadata'!$B$5)^(O104-1))</x:f>
        <x:v>316.22776601683796</x:v>
      </x:c>
      <x:c r="U104" s="31" t="n">
        <x:f>IF(T104="","",I104*T104)</x:f>
        <x:v>104423.7561993583</x:v>
      </x:c>
    </x:row>
    <x:row r="105" ht="18" customHeight="1">
      <x:c r="A105" s="24" t="str">
        <x:v>EEZ_586</x:v>
      </x:c>
      <x:c r="B105" s="24" t="str">
        <x:v>Pakistan</x:v>
      </x:c>
      <x:c r="C105" s="24" t="str">
        <x:v>EEZ</x:v>
      </x:c>
      <x:c r="D105" s="30" t="n">
        <x:v>2019</x:v>
      </x:c>
      <x:c r="E105" s="24" t="str">
        <x:v>Acanthopagrus berda</x:v>
      </x:c>
      <x:c r="F105" s="24" t="str">
        <x:v>Goldsilk seabream</x:v>
      </x:c>
      <x:c r="G105" s="24" t="str">
        <x:v>Medium demersals (30 - 89 cm)</x:v>
      </x:c>
      <x:c r="H105" s="24" t="str">
        <x:v>Perch-likes</x:v>
      </x:c>
      <x:c r="I105" s="31" t="n">
        <x:v>319.8692380247</x:v>
      </x:c>
      <x:c r="J105" s="31" t="n">
        <x:v>319.8692380247</x:v>
      </x:c>
      <x:c r="K105" s="31" t="n">
        <x:v>0</x:v>
      </x:c>
      <x:c r="L105" s="31" t="n">
        <x:v>0</x:v>
      </x:c>
      <x:c r="M105" s="31" t="n">
        <x:v>319.8692380247</x:v>
      </x:c>
      <x:c r="N105" s="24" t="str">
        <x:v>acanthopagrus berda</x:v>
      </x:c>
      <x:c r="O105" s="32" t="n">
        <x:v>3.48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Acanthopagrus berda</x:v>
      </x:c>
      <x:c r="T105" s="32" t="n">
        <x:f>IF(O105="","",(1/'Metadata'!$B$5)^(O105-1))</x:f>
        <x:v>301.9951720402016</x:v>
      </x:c>
      <x:c r="U105" s="31" t="n">
        <x:f>IF(T105="","",I105*T105)</x:f>
        <x:v>96598.96556763748</x:v>
      </x:c>
    </x:row>
    <x:row r="106" ht="18" customHeight="1">
      <x:c r="A106" s="24" t="str">
        <x:v>EEZ_586</x:v>
      </x:c>
      <x:c r="B106" s="24" t="str">
        <x:v>Pakistan</x:v>
      </x:c>
      <x:c r="C106" s="24" t="str">
        <x:v>EEZ</x:v>
      </x:c>
      <x:c r="D106" s="30" t="n">
        <x:v>2019</x:v>
      </x:c>
      <x:c r="E106" s="24" t="str">
        <x:v>Polynemidae</x:v>
      </x:c>
      <x:c r="F106" s="24" t="str">
        <x:v>Threadfins</x:v>
      </x:c>
      <x:c r="G106" s="24" t="str">
        <x:v>Small demersals (&lt;30 cm)</x:v>
      </x:c>
      <x:c r="H106" s="24" t="str">
        <x:v>Perch-likes</x:v>
      </x:c>
      <x:c r="I106" s="31" t="n">
        <x:v>319.4332059283</x:v>
      </x:c>
      <x:c r="J106" s="31" t="n">
        <x:v>319.4332059283</x:v>
      </x:c>
      <x:c r="K106" s="31" t="n">
        <x:v>0</x:v>
      </x:c>
      <x:c r="L106" s="31" t="n">
        <x:v>51.3224887817</x:v>
      </x:c>
      <x:c r="M106" s="31" t="n">
        <x:v>268.1107171466</x:v>
      </x:c>
      <x:c r="N106" s="24" t="str">
        <x:v>polynemidae</x:v>
      </x:c>
      <x:c r="O106" s="32" t="n">
        <x:v>3.62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Polynemidae</x:v>
      </x:c>
      <x:c r="T106" s="32" t="n">
        <x:f>IF(O106="","",(1/'Metadata'!$B$5)^(O106-1))</x:f>
        <x:v>416.8693834703355</x:v>
      </x:c>
      <x:c r="U106" s="31" t="n">
        <x:f>IF(T106="","",I106*T106)</x:f>
        <x:v>133161.92361528316</x:v>
      </x:c>
    </x:row>
    <x:row r="107" ht="18" customHeight="1">
      <x:c r="A107" s="24" t="str">
        <x:v>EEZ_586</x:v>
      </x:c>
      <x:c r="B107" s="24" t="str">
        <x:v>Pakistan</x:v>
      </x:c>
      <x:c r="C107" s="24" t="str">
        <x:v>EEZ</x:v>
      </x:c>
      <x:c r="D107" s="30" t="n">
        <x:v>2019</x:v>
      </x:c>
      <x:c r="E107" s="24" t="str">
        <x:v>Carcharhinus falciformis</x:v>
      </x:c>
      <x:c r="F107" s="24" t="str">
        <x:v>Silky shark</x:v>
      </x:c>
      <x:c r="G107" s="24" t="str">
        <x:v>Large sharks (&gt;=90 cm)</x:v>
      </x:c>
      <x:c r="H107" s="24" t="str">
        <x:v>Sharks &amp; rays</x:v>
      </x:c>
      <x:c r="I107" s="31" t="n">
        <x:v>319.01369210080003</x:v>
      </x:c>
      <x:c r="J107" s="31" t="n">
        <x:v>319.01369210080003</x:v>
      </x:c>
      <x:c r="K107" s="31" t="n">
        <x:v>0</x:v>
      </x:c>
      <x:c r="L107" s="31" t="n">
        <x:v>319.01369210080003</x:v>
      </x:c>
      <x:c r="M107" s="31" t="n">
        <x:v>0</x:v>
      </x:c>
      <x:c r="N107" s="24" t="str">
        <x:v>carcharhinus falciformis</x:v>
      </x:c>
      <x:c r="O107" s="32" t="n">
        <x:v>4.51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Carcharhinus falciformis</x:v>
      </x:c>
      <x:c r="T107" s="32" t="n">
        <x:f>IF(O107="","",(1/'Metadata'!$B$5)^(O107-1))</x:f>
        <x:v>3235.936569296281</x:v>
      </x:c>
      <x:c r="U107" s="31" t="n">
        <x:f>IF(T107="","",I107*T107)</x:f>
        <x:v>1032308.0723752029</x:v>
      </x:c>
    </x:row>
    <x:row r="108" ht="18" customHeight="1">
      <x:c r="A108" s="24" t="str">
        <x:v>EEZ_586</x:v>
      </x:c>
      <x:c r="B108" s="24" t="str">
        <x:v>Pakistan</x:v>
      </x:c>
      <x:c r="C108" s="24" t="str">
        <x:v>EEZ</x:v>
      </x:c>
      <x:c r="D108" s="30" t="n">
        <x:v>2019</x:v>
      </x:c>
      <x:c r="E108" s="24" t="str">
        <x:v>Triakidae</x:v>
      </x:c>
      <x:c r="F108" s="24" t="str">
        <x:v>Houndsharks</x:v>
      </x:c>
      <x:c r="G108" s="24" t="str">
        <x:v>Large sharks (&gt;=90 cm)</x:v>
      </x:c>
      <x:c r="H108" s="24" t="str">
        <x:v>Sharks &amp; rays</x:v>
      </x:c>
      <x:c r="I108" s="31" t="n">
        <x:v>282.2736882982</x:v>
      </x:c>
      <x:c r="J108" s="31" t="n">
        <x:v>282.2736882982</x:v>
      </x:c>
      <x:c r="K108" s="31" t="n">
        <x:v>0</x:v>
      </x:c>
      <x:c r="L108" s="31" t="n">
        <x:v>282.2736882982</x:v>
      </x:c>
      <x:c r="M108" s="31" t="n">
        <x:v>0</x:v>
      </x:c>
      <x:c r="N108" s="24" t="str">
        <x:v>triakidae</x:v>
      </x:c>
      <x:c r="O108" s="32" t="n">
        <x:v>3.82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Triakidae</x:v>
      </x:c>
      <x:c r="T108" s="32" t="n">
        <x:f>IF(O108="","",(1/'Metadata'!$B$5)^(O108-1))</x:f>
        <x:v>660.6934480075957</x:v>
      </x:c>
      <x:c r="U108" s="31" t="n">
        <x:f>IF(T108="","",I108*T108)</x:f>
        <x:v>186496.3764035591</x:v>
      </x:c>
    </x:row>
    <x:row r="109" ht="18" customHeight="1">
      <x:c r="A109" s="24" t="str">
        <x:v>EEZ_586</x:v>
      </x:c>
      <x:c r="B109" s="24" t="str">
        <x:v>Pakistan</x:v>
      </x:c>
      <x:c r="C109" s="24" t="str">
        <x:v>EEZ</x:v>
      </x:c>
      <x:c r="D109" s="30" t="n">
        <x:v>2019</x:v>
      </x:c>
      <x:c r="E109" s="24" t="str">
        <x:v>Penaeus monodon</x:v>
      </x:c>
      <x:c r="F109" s="24" t="str">
        <x:v>Giant tiger prawn</x:v>
      </x:c>
      <x:c r="G109" s="24" t="str">
        <x:v>Shrimps</x:v>
      </x:c>
      <x:c r="H109" s="24" t="str">
        <x:v>Crustaceans</x:v>
      </x:c>
      <x:c r="I109" s="31" t="n">
        <x:v>276</x:v>
      </x:c>
      <x:c r="J109" s="31" t="n">
        <x:v>276</x:v>
      </x:c>
      <x:c r="K109" s="31" t="n">
        <x:v>0</x:v>
      </x:c>
      <x:c r="L109" s="31" t="n">
        <x:v>276</x:v>
      </x:c>
      <x:c r="M109" s="31" t="n">
        <x:v>0</x:v>
      </x:c>
      <x:c r="N109" s="24" t="str">
        <x:v>penaeus monodon</x:v>
      </x:c>
      <x:c r="O109" s="32" t="n">
        <x:v>2.6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Penaeus monodon</x:v>
      </x:c>
      <x:c r="T109" s="32" t="n">
        <x:f>IF(O109="","",(1/'Metadata'!$B$5)^(O109-1))</x:f>
        <x:v>39.810717055349734</x:v>
      </x:c>
      <x:c r="U109" s="31" t="n">
        <x:f>IF(T109="","",I109*T109)</x:f>
        <x:v>10987.757907276527</x:v>
      </x:c>
    </x:row>
    <x:row r="110" ht="18" customHeight="1">
      <x:c r="A110" s="24" t="str">
        <x:v>EEZ_586</x:v>
      </x:c>
      <x:c r="B110" s="24" t="str">
        <x:v>Pakistan</x:v>
      </x:c>
      <x:c r="C110" s="24" t="str">
        <x:v>EEZ</x:v>
      </x:c>
      <x:c r="D110" s="30" t="n">
        <x:v>2019</x:v>
      </x:c>
      <x:c r="E110" s="24" t="str">
        <x:v>Elasmobranchii</x:v>
      </x:c>
      <x:c r="F110" s="24" t="str">
        <x:v>Sharks, rays, skates</x:v>
      </x:c>
      <x:c r="G110" s="24" t="str">
        <x:v>Large sharks (&gt;=90 cm)</x:v>
      </x:c>
      <x:c r="H110" s="24" t="str">
        <x:v>Sharks &amp; rays</x:v>
      </x:c>
      <x:c r="I110" s="31" t="n">
        <x:v>269.3224887815</x:v>
      </x:c>
      <x:c r="J110" s="31" t="n">
        <x:v>269.3224887815</x:v>
      </x:c>
      <x:c r="K110" s="31" t="n">
        <x:v>0</x:v>
      </x:c>
      <x:c r="L110" s="31" t="n">
        <x:v>269.3224887815</x:v>
      </x:c>
      <x:c r="M110" s="31" t="n">
        <x:v>0</x:v>
      </x:c>
      <x:c r="N110" s="24" t="str">
        <x:v>elasmobranchii</x:v>
      </x:c>
      <x:c r="O110" s="32" t="n">
        <x:v>4.05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Elasmobranchii</x:v>
      </x:c>
      <x:c r="T110" s="32" t="n">
        <x:f>IF(O110="","",(1/'Metadata'!$B$5)^(O110-1))</x:f>
        <x:v>1122.018454301963</x:v>
      </x:c>
      <x:c r="U110" s="31" t="n">
        <x:f>IF(T110="","",I110*T110)</x:f>
        <x:v>302184.8025713764</x:v>
      </x:c>
    </x:row>
    <x:row r="111" ht="18" customHeight="1">
      <x:c r="A111" s="24" t="str">
        <x:v>EEZ_586</x:v>
      </x:c>
      <x:c r="B111" s="24" t="str">
        <x:v>Pakistan</x:v>
      </x:c>
      <x:c r="C111" s="24" t="str">
        <x:v>EEZ</x:v>
      </x:c>
      <x:c r="D111" s="30" t="n">
        <x:v>2019</x:v>
      </x:c>
      <x:c r="E111" s="24" t="str">
        <x:v>Gobiidae</x:v>
      </x:c>
      <x:c r="F111" s="24" t="str">
        <x:v>Gobies</x:v>
      </x:c>
      <x:c r="G111" s="24" t="str">
        <x:v>Small reef assoc. fish (&lt;30 cm)</x:v>
      </x:c>
      <x:c r="H111" s="24" t="str">
        <x:v>Perch-likes</x:v>
      </x:c>
      <x:c r="I111" s="31" t="n">
        <x:v>256.6124439077</x:v>
      </x:c>
      <x:c r="J111" s="31" t="n">
        <x:v>256.6124439077</x:v>
      </x:c>
      <x:c r="K111" s="31" t="n">
        <x:v>0</x:v>
      </x:c>
      <x:c r="L111" s="31" t="n">
        <x:v>256.6124439077</x:v>
      </x:c>
      <x:c r="M111" s="31" t="n">
        <x:v>0</x:v>
      </x:c>
      <x:c r="N111" s="24" t="str">
        <x:v>gobiidae</x:v>
      </x:c>
      <x:c r="O111" s="32" t="n">
        <x:v>3.11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Gobiidae</x:v>
      </x:c>
      <x:c r="T111" s="32" t="n">
        <x:f>IF(O111="","",(1/'Metadata'!$B$5)^(O111-1))</x:f>
        <x:v>128.82495516931337</x:v>
      </x:c>
      <x:c r="U111" s="31" t="n">
        <x:f>IF(T111="","",I111*T111)</x:f>
        <x:v>33058.0865822974</x:v>
      </x:c>
    </x:row>
    <x:row r="112" ht="18" customHeight="1">
      <x:c r="A112" s="24" t="str">
        <x:v>EEZ_586</x:v>
      </x:c>
      <x:c r="B112" s="24" t="str">
        <x:v>Pakistan</x:v>
      </x:c>
      <x:c r="C112" s="24" t="str">
        <x:v>EEZ</x:v>
      </x:c>
      <x:c r="D112" s="30" t="n">
        <x:v>2019</x:v>
      </x:c>
      <x:c r="E112" s="24" t="str">
        <x:v>Leptomelanosoma indicum</x:v>
      </x:c>
      <x:c r="F112" s="24" t="str">
        <x:v>Indian threadfin</x:v>
      </x:c>
      <x:c r="G112" s="24" t="str">
        <x:v>Large demersals (&gt;=90 cm)</x:v>
      </x:c>
      <x:c r="H112" s="24" t="str">
        <x:v>Perch-likes</x:v>
      </x:c>
      <x:c r="I112" s="31" t="n">
        <x:v>256.6124439075</x:v>
      </x:c>
      <x:c r="J112" s="31" t="n">
        <x:v>256.6124439075</x:v>
      </x:c>
      <x:c r="K112" s="31" t="n">
        <x:v>0</x:v>
      </x:c>
      <x:c r="L112" s="31" t="n">
        <x:v>256.6124439075</x:v>
      </x:c>
      <x:c r="M112" s="31" t="n">
        <x:v>0</x:v>
      </x:c>
      <x:c r="N112" s="24" t="str">
        <x:v>leptomelanosoma indicum</x:v>
      </x:c>
      <x:c r="O112" s="32" t="n">
        <x:v>3.86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Leptomelanosoma indicum</x:v>
      </x:c>
      <x:c r="T112" s="32" t="n">
        <x:f>IF(O112="","",(1/'Metadata'!$B$5)^(O112-1))</x:f>
        <x:v>724.4359600749899</x:v>
      </x:c>
      <x:c r="U112" s="31" t="n">
        <x:f>IF(T112="","",I112*T112)</x:f>
        <x:v>185899.28216931925</x:v>
      </x:c>
    </x:row>
    <x:row r="113" ht="18" customHeight="1">
      <x:c r="A113" s="24" t="str">
        <x:v>EEZ_586</x:v>
      </x:c>
      <x:c r="B113" s="24" t="str">
        <x:v>Pakistan</x:v>
      </x:c>
      <x:c r="C113" s="24" t="str">
        <x:v>EEZ</x:v>
      </x:c>
      <x:c r="D113" s="30" t="n">
        <x:v>2019</x:v>
      </x:c>
      <x:c r="E113" s="24" t="str">
        <x:v>Tetraodontidae</x:v>
      </x:c>
      <x:c r="F113" s="24" t="str">
        <x:v>Puffers, tobies</x:v>
      </x:c>
      <x:c r="G113" s="24" t="str">
        <x:v>Large reef assoc. fish (&gt;=90 cm)</x:v>
      </x:c>
      <x:c r="H113" s="24" t="str">
        <x:v>Other fishes &amp; inverts</x:v>
      </x:c>
      <x:c r="I113" s="31" t="n">
        <x:v>256.6124439074</x:v>
      </x:c>
      <x:c r="J113" s="31" t="n">
        <x:v>256.6124439074</x:v>
      </x:c>
      <x:c r="K113" s="31" t="n">
        <x:v>0</x:v>
      </x:c>
      <x:c r="L113" s="31" t="n">
        <x:v>256.6124439074</x:v>
      </x:c>
      <x:c r="M113" s="31" t="n">
        <x:v>0</x:v>
      </x:c>
      <x:c r="N113" s="24" t="str">
        <x:v>tetraodontidae</x:v>
      </x:c>
      <x:c r="O113" s="32" t="n">
        <x:v>3.5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Tetraodontidae</x:v>
      </x:c>
      <x:c r="T113" s="32" t="n">
        <x:f>IF(O113="","",(1/'Metadata'!$B$5)^(O113-1))</x:f>
        <x:v>316.22776601683796</x:v>
      </x:c>
      <x:c r="U113" s="31" t="n">
        <x:f>IF(T113="","",I113*T113)</x:f>
        <x:v>81147.97986895824</x:v>
      </x:c>
    </x:row>
    <x:row r="114" ht="18" customHeight="1">
      <x:c r="A114" s="24" t="str">
        <x:v>EEZ_586</x:v>
      </x:c>
      <x:c r="B114" s="24" t="str">
        <x:v>Pakistan</x:v>
      </x:c>
      <x:c r="C114" s="24" t="str">
        <x:v>EEZ</x:v>
      </x:c>
      <x:c r="D114" s="30" t="n">
        <x:v>2019</x:v>
      </x:c>
      <x:c r="E114" s="24" t="str">
        <x:v>Himantura uarnak</x:v>
      </x:c>
      <x:c r="F114" s="24" t="str">
        <x:v>Honeycomb stingray</x:v>
      </x:c>
      <x:c r="G114" s="24" t="str">
        <x:v>Large rays (&gt;=90 cm)</x:v>
      </x:c>
      <x:c r="H114" s="24" t="str">
        <x:v>Sharks &amp; rays</x:v>
      </x:c>
      <x:c r="I114" s="31" t="n">
        <x:v>180.5886535028</x:v>
      </x:c>
      <x:c r="J114" s="31" t="n">
        <x:v>0</x:v>
      </x:c>
      <x:c r="K114" s="31" t="n">
        <x:v>180.5886535028</x:v>
      </x:c>
      <x:c r="L114" s="31" t="n">
        <x:v>0</x:v>
      </x:c>
      <x:c r="M114" s="31" t="n">
        <x:v>180.5886535028</x:v>
      </x:c>
      <x:c r="N114" s="24" t="str">
        <x:v>himantura uarnak</x:v>
      </x:c>
      <x:c r="O114" s="32" t="n">
        <x:v>3.6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Himantura uarnak</x:v>
      </x:c>
      <x:c r="T114" s="32" t="n">
        <x:f>IF(O114="","",(1/'Metadata'!$B$5)^(O114-1))</x:f>
        <x:v>398.1071705534973</x:v>
      </x:c>
      <x:c r="U114" s="31" t="n">
        <x:f>IF(T114="","",I114*T114)</x:f>
        <x:v>71893.63788006564</x:v>
      </x:c>
    </x:row>
    <x:row r="115" ht="18" customHeight="1">
      <x:c r="A115" s="24" t="str">
        <x:v>EEZ_586</x:v>
      </x:c>
      <x:c r="B115" s="24" t="str">
        <x:v>Pakistan</x:v>
      </x:c>
      <x:c r="C115" s="24" t="str">
        <x:v>EEZ</x:v>
      </x:c>
      <x:c r="D115" s="30" t="n">
        <x:v>2019</x:v>
      </x:c>
      <x:c r="E115" s="24" t="str">
        <x:v>Sphyrna</x:v>
      </x:c>
      <x:c r="F115" s="24" t="str">
        <x:v>Hammerhead sharks</x:v>
      </x:c>
      <x:c r="G115" s="24" t="str">
        <x:v>Large sharks (&gt;=90 cm)</x:v>
      </x:c>
      <x:c r="H115" s="24" t="str">
        <x:v>Sharks &amp; rays</x:v>
      </x:c>
      <x:c r="I115" s="31" t="n">
        <x:v>164.4885765448</x:v>
      </x:c>
      <x:c r="J115" s="31" t="n">
        <x:v>164.4885765448</x:v>
      </x:c>
      <x:c r="K115" s="31" t="n">
        <x:v>0</x:v>
      </x:c>
      <x:c r="L115" s="31" t="n">
        <x:v>164.4885765448</x:v>
      </x:c>
      <x:c r="M115" s="31" t="n">
        <x:v>0</x:v>
      </x:c>
      <x:c r="N115" s="24" t="str">
        <x:v>sphyrna</x:v>
      </x:c>
      <x:c r="O115" s="32" t="n">
        <x:v>4.2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Sphyrna</x:v>
      </x:c>
      <x:c r="T115" s="32" t="n">
        <x:f>IF(O115="","",(1/'Metadata'!$B$5)^(O115-1))</x:f>
        <x:v>1584.893192461114</x:v>
      </x:c>
      <x:c r="U115" s="31" t="n">
        <x:f>IF(T115="","",I115*T115)</x:f>
        <x:v>260696.8252034724</x:v>
      </x:c>
    </x:row>
    <x:row r="116" ht="18" customHeight="1">
      <x:c r="A116" s="24" t="str">
        <x:v>EEZ_586</x:v>
      </x:c>
      <x:c r="B116" s="24" t="str">
        <x:v>Pakistan</x:v>
      </x:c>
      <x:c r="C116" s="24" t="str">
        <x:v>EEZ</x:v>
      </x:c>
      <x:c r="D116" s="30" t="n">
        <x:v>2019</x:v>
      </x:c>
      <x:c r="E116" s="24" t="str">
        <x:v>Hilsa kelee</x:v>
      </x:c>
      <x:c r="F116" s="24" t="str">
        <x:v>Kelee shad</x:v>
      </x:c>
      <x:c r="G116" s="24" t="str">
        <x:v>Small pelagics (&lt;30 cm)</x:v>
      </x:c>
      <x:c r="H116" s="24" t="str">
        <x:v>Herring-likes</x:v>
      </x:c>
      <x:c r="I116" s="31" t="n">
        <x:v>79.282823489</x:v>
      </x:c>
      <x:c r="J116" s="31" t="n">
        <x:v>0</x:v>
      </x:c>
      <x:c r="K116" s="31" t="n">
        <x:v>79.282823489</x:v>
      </x:c>
      <x:c r="L116" s="31" t="n">
        <x:v>0</x:v>
      </x:c>
      <x:c r="M116" s="31" t="n">
        <x:v>79.282823489</x:v>
      </x:c>
      <x:c r="N116" s="24" t="str">
        <x:v>hilsa kelee</x:v>
      </x:c>
      <x:c r="O116" s="32" t="n">
        <x:v>3.25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Hilsa kelee</x:v>
      </x:c>
      <x:c r="T116" s="32" t="n">
        <x:f>IF(O116="","",(1/'Metadata'!$B$5)^(O116-1))</x:f>
        <x:v>177.82794100389228</x:v>
      </x:c>
      <x:c r="U116" s="31" t="n">
        <x:f>IF(T116="","",I116*T116)</x:f>
        <x:v>14098.701258023895</x:v>
      </x:c>
    </x:row>
    <x:row r="117" ht="18" customHeight="1">
      <x:c r="A117" s="24" t="str">
        <x:v>EEZ_586</x:v>
      </x:c>
      <x:c r="B117" s="24" t="str">
        <x:v>Pakistan</x:v>
      </x:c>
      <x:c r="C117" s="24" t="str">
        <x:v>EEZ</x:v>
      </x:c>
      <x:c r="D117" s="30" t="n">
        <x:v>2019</x:v>
      </x:c>
      <x:c r="E117" s="24" t="str">
        <x:v>Prionace glauca</x:v>
      </x:c>
      <x:c r="F117" s="24" t="str">
        <x:v>Blue shark</x:v>
      </x:c>
      <x:c r="G117" s="24" t="str">
        <x:v>Large sharks (&gt;=90 cm)</x:v>
      </x:c>
      <x:c r="H117" s="24" t="str">
        <x:v>Sharks &amp; rays</x:v>
      </x:c>
      <x:c r="I117" s="31" t="n">
        <x:v>63.2640327797</x:v>
      </x:c>
      <x:c r="J117" s="31" t="n">
        <x:v>63.2640327797</x:v>
      </x:c>
      <x:c r="K117" s="31" t="n">
        <x:v>0</x:v>
      </x:c>
      <x:c r="L117" s="31" t="n">
        <x:v>63.2640327797</x:v>
      </x:c>
      <x:c r="M117" s="31" t="n">
        <x:v>0</x:v>
      </x:c>
      <x:c r="N117" s="24" t="str">
        <x:v>prionace glauca</x:v>
      </x:c>
      <x:c r="O117" s="32" t="n">
        <x:v>4.35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Prionace glauca</x:v>
      </x:c>
      <x:c r="T117" s="32" t="n">
        <x:f>IF(O117="","",(1/'Metadata'!$B$5)^(O117-1))</x:f>
        <x:v>2238.7211385683377</x:v>
      </x:c>
      <x:c r="U117" s="31" t="n">
        <x:f>IF(T117="","",I117*T117)</x:f>
        <x:v>141630.52749499463</x:v>
      </x:c>
    </x:row>
    <x:row r="118" ht="18" customHeight="1">
      <x:c r="A118" s="24" t="str">
        <x:v>EEZ_586</x:v>
      </x:c>
      <x:c r="B118" s="24" t="str">
        <x:v>Pakistan</x:v>
      </x:c>
      <x:c r="C118" s="24" t="str">
        <x:v>EEZ</x:v>
      </x:c>
      <x:c r="D118" s="30" t="n">
        <x:v>2019</x:v>
      </x:c>
      <x:c r="E118" s="24" t="str">
        <x:v>Nebrius ferrugineus</x:v>
      </x:c>
      <x:c r="F118" s="24" t="str">
        <x:v>Tawny nurse shark</x:v>
      </x:c>
      <x:c r="G118" s="24" t="str">
        <x:v>Large sharks (&gt;=90 cm)</x:v>
      </x:c>
      <x:c r="H118" s="24" t="str">
        <x:v>Sharks &amp; rays</x:v>
      </x:c>
      <x:c r="I118" s="31" t="n">
        <x:v>53.8886132206</x:v>
      </x:c>
      <x:c r="J118" s="31" t="n">
        <x:v>53.8886132206</x:v>
      </x:c>
      <x:c r="K118" s="31" t="n">
        <x:v>0</x:v>
      </x:c>
      <x:c r="L118" s="31" t="n">
        <x:v>53.8886132206</x:v>
      </x:c>
      <x:c r="M118" s="31" t="n">
        <x:v>0</x:v>
      </x:c>
      <x:c r="N118" s="24" t="str">
        <x:v>nebrius ferrugineus</x:v>
      </x:c>
      <x:c r="O118" s="32" t="n">
        <x:v>4.1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Nebrius ferrugineus</x:v>
      </x:c>
      <x:c r="T118" s="32" t="n">
        <x:f>IF(O118="","",(1/'Metadata'!$B$5)^(O118-1))</x:f>
        <x:v>1258.9254117941662</x:v>
      </x:c>
      <x:c r="U118" s="31" t="n">
        <x:f>IF(T118="","",I118*T118)</x:f>
        <x:v>67841.7445897604</x:v>
      </x:c>
    </x:row>
    <x:row r="119" ht="18" customHeight="1">
      <x:c r="A119" s="24" t="str">
        <x:v>EEZ_586</x:v>
      </x:c>
      <x:c r="B119" s="24" t="str">
        <x:v>Pakistan</x:v>
      </x:c>
      <x:c r="C119" s="24" t="str">
        <x:v>EEZ</x:v>
      </x:c>
      <x:c r="D119" s="30" t="n">
        <x:v>2019</x:v>
      </x:c>
      <x:c r="E119" s="24" t="str">
        <x:v>Carcharhiniformes</x:v>
      </x:c>
      <x:c r="F119" s="24" t="str">
        <x:v>Ground sharks</x:v>
      </x:c>
      <x:c r="G119" s="24" t="str">
        <x:v>Large sharks (&gt;=90 cm)</x:v>
      </x:c>
      <x:c r="H119" s="24" t="str">
        <x:v>Sharks &amp; rays</x:v>
      </x:c>
      <x:c r="I119" s="31" t="n">
        <x:v>51.3224887815</x:v>
      </x:c>
      <x:c r="J119" s="31" t="n">
        <x:v>51.3224887815</x:v>
      </x:c>
      <x:c r="K119" s="31" t="n">
        <x:v>0</x:v>
      </x:c>
      <x:c r="L119" s="31" t="n">
        <x:v>51.3224887815</x:v>
      </x:c>
      <x:c r="M119" s="31" t="n">
        <x:v>0</x:v>
      </x:c>
      <x:c r="N119" s="24" t="str">
        <x:v>carcharhiniformes</x:v>
      </x:c>
      <x:c r="O119" s="32" t="n">
        <x:v>4.08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Carcharhiniformes</x:v>
      </x:c>
      <x:c r="T119" s="32" t="n">
        <x:f>IF(O119="","",(1/'Metadata'!$B$5)^(O119-1))</x:f>
        <x:v>1202.2644346174131</x:v>
      </x:c>
      <x:c r="U119" s="31" t="n">
        <x:f>IF(T119="","",I119*T119)</x:f>
        <x:v>61703.20295804863</x:v>
      </x:c>
    </x:row>
    <x:row r="120" ht="18" customHeight="1">
      <x:c r="A120" s="24" t="str">
        <x:v>EEZ_586</x:v>
      </x:c>
      <x:c r="B120" s="24" t="str">
        <x:v>Pakistan</x:v>
      </x:c>
      <x:c r="C120" s="24" t="str">
        <x:v>EEZ</x:v>
      </x:c>
      <x:c r="D120" s="30" t="n">
        <x:v>2019</x:v>
      </x:c>
      <x:c r="E120" s="24" t="str">
        <x:v>Rajiformes</x:v>
      </x:c>
      <x:c r="F120" s="24" t="str">
        <x:v>Skates and rays</x:v>
      </x:c>
      <x:c r="G120" s="24" t="str">
        <x:v>Large rays (&gt;=90 cm)</x:v>
      </x:c>
      <x:c r="H120" s="24" t="str">
        <x:v>Sharks &amp; rays</x:v>
      </x:c>
      <x:c r="I120" s="31" t="n">
        <x:v>40</x:v>
      </x:c>
      <x:c r="J120" s="31" t="n">
        <x:v>40</x:v>
      </x:c>
      <x:c r="K120" s="31" t="n">
        <x:v>0</x:v>
      </x:c>
      <x:c r="L120" s="31" t="n">
        <x:v>40</x:v>
      </x:c>
      <x:c r="M120" s="31" t="n">
        <x:v>0</x:v>
      </x:c>
      <x:c r="N120" s="24" t="str">
        <x:v>rajiformes</x:v>
      </x:c>
      <x:c r="O120" s="32" t="n">
        <x:v>3.61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Rajiformes</x:v>
      </x:c>
      <x:c r="T120" s="32" t="n">
        <x:f>IF(O120="","",(1/'Metadata'!$B$5)^(O120-1))</x:f>
        <x:v>407.3802778041126</x:v>
      </x:c>
      <x:c r="U120" s="31" t="n">
        <x:f>IF(T120="","",I120*T120)</x:f>
        <x:v>16295.211112164505</x:v>
      </x:c>
    </x:row>
    <x:row r="121" ht="18" customHeight="1">
      <x:c r="A121" s="24" t="str">
        <x:v>EEZ_586</x:v>
      </x:c>
      <x:c r="B121" s="24" t="str">
        <x:v>Pakistan</x:v>
      </x:c>
      <x:c r="C121" s="24" t="str">
        <x:v>EEZ</x:v>
      </x:c>
      <x:c r="D121" s="30" t="n">
        <x:v>2019</x:v>
      </x:c>
      <x:c r="E121" s="24" t="str">
        <x:v>Sphyraenidae</x:v>
      </x:c>
      <x:c r="F121" s="24" t="str">
        <x:v>Barracudas</x:v>
      </x:c>
      <x:c r="G121" s="24" t="str">
        <x:v>Medium reef assoc. fish (30 - 89 cm)</x:v>
      </x:c>
      <x:c r="H121" s="24" t="str">
        <x:v>Perch-likes</x:v>
      </x:c>
      <x:c r="I121" s="31" t="n">
        <x:v>29.2205242338</x:v>
      </x:c>
      <x:c r="J121" s="31" t="n">
        <x:v>29.2205242338</x:v>
      </x:c>
      <x:c r="K121" s="31" t="n">
        <x:v>0</x:v>
      </x:c>
      <x:c r="L121" s="31" t="n">
        <x:v>0</x:v>
      </x:c>
      <x:c r="M121" s="31" t="n">
        <x:v>29.2205242338</x:v>
      </x:c>
      <x:c r="N121" s="24" t="str">
        <x:v>sphyraenidae</x:v>
      </x:c>
      <x:c r="O121" s="32" t="n">
        <x:v>4.4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Sphyraenidae</x:v>
      </x:c>
      <x:c r="T121" s="32" t="n">
        <x:f>IF(O121="","",(1/'Metadata'!$B$5)^(O121-1))</x:f>
        <x:v>2511.886431509582</x:v>
      </x:c>
      <x:c r="U121" s="31" t="n">
        <x:f>IF(T121="","",I121*T121)</x:f>
        <x:v>73398.63834447914</x:v>
      </x:c>
    </x:row>
    <x:row r="122" ht="18" customHeight="1">
      <x:c r="A122" s="24" t="str">
        <x:v>EEZ_586</x:v>
      </x:c>
      <x:c r="B122" s="24" t="str">
        <x:v>Pakistan</x:v>
      </x:c>
      <x:c r="C122" s="24" t="str">
        <x:v>EEZ</x:v>
      </x:c>
      <x:c r="D122" s="30" t="n">
        <x:v>2019</x:v>
      </x:c>
      <x:c r="E122" s="24" t="str">
        <x:v>Pristidae</x:v>
      </x:c>
      <x:c r="F122" s="24" t="str">
        <x:v>Sawfishes</x:v>
      </x:c>
      <x:c r="G122" s="24" t="str">
        <x:v>Large rays (&gt;=90 cm)</x:v>
      </x:c>
      <x:c r="H122" s="24" t="str">
        <x:v>Sharks &amp; rays</x:v>
      </x:c>
      <x:c r="I122" s="31" t="n">
        <x:v>14.8246250986</x:v>
      </x:c>
      <x:c r="J122" s="31" t="n">
        <x:v>14.8246250986</x:v>
      </x:c>
      <x:c r="K122" s="31" t="n">
        <x:v>0</x:v>
      </x:c>
      <x:c r="L122" s="31" t="n">
        <x:v>0.5132248879</x:v>
      </x:c>
      <x:c r="M122" s="31" t="n">
        <x:v>14.3114002107</x:v>
      </x:c>
      <x:c r="N122" s="24" t="str">
        <x:v>pristidae</x:v>
      </x:c>
      <x:c r="O122" s="32" t="n">
        <x:v>4.24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Pristidae</x:v>
      </x:c>
      <x:c r="T122" s="32" t="n">
        <x:f>IF(O122="","",(1/'Metadata'!$B$5)^(O122-1))</x:f>
        <x:v>1737.8008287493763</x:v>
      </x:c>
      <x:c r="U122" s="31" t="n">
        <x:f>IF(T122="","",I122*T122)</x:f>
        <x:v>25762.245782245885</x:v>
      </x:c>
    </x:row>
    <x:row r="123" ht="18" customHeight="1">
      <x:c r="A123" s="24" t="str">
        <x:v>EEZ_586</x:v>
      </x:c>
      <x:c r="B123" s="24" t="str">
        <x:v>Pakistan</x:v>
      </x:c>
      <x:c r="C123" s="24" t="str">
        <x:v>EEZ</x:v>
      </x:c>
      <x:c r="D123" s="30" t="n">
        <x:v>2019</x:v>
      </x:c>
      <x:c r="E123" s="24" t="str">
        <x:v>Serranidae</x:v>
      </x:c>
      <x:c r="F123" s="24" t="str">
        <x:v>Basses, groupers, hinds</x:v>
      </x:c>
      <x:c r="G123" s="24" t="str">
        <x:v>Medium reef assoc. fish (30 - 89 cm)</x:v>
      </x:c>
      <x:c r="H123" s="24" t="str">
        <x:v>Perch-likes</x:v>
      </x:c>
      <x:c r="I123" s="31" t="n">
        <x:v>13.1534547</x:v>
      </x:c>
      <x:c r="J123" s="31" t="n">
        <x:v>13.1534547</x:v>
      </x:c>
      <x:c r="K123" s="31" t="n">
        <x:v>0</x:v>
      </x:c>
      <x:c r="L123" s="31" t="n">
        <x:v>0</x:v>
      </x:c>
      <x:c r="M123" s="31" t="n">
        <x:v>13.1534547</x:v>
      </x:c>
      <x:c r="N123" s="24" t="str">
        <x:v>serranidae</x:v>
      </x:c>
      <x:c r="O123" s="32" t="n">
        <x:v>3.98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Serranidae</x:v>
      </x:c>
      <x:c r="T123" s="32" t="n">
        <x:f>IF(O123="","",(1/'Metadata'!$B$5)^(O123-1))</x:f>
        <x:v>954.992586021436</x:v>
      </x:c>
      <x:c r="U123" s="31" t="n">
        <x:f>IF(T123="","",I123*T123)</x:f>
        <x:v>12561.451719068811</x:v>
      </x:c>
    </x:row>
    <x:row r="124" ht="18" customHeight="1">
      <x:c r="A124" s="24" t="str">
        <x:v>EEZ_586</x:v>
      </x:c>
      <x:c r="B124" s="24" t="str">
        <x:v>Pakistan</x:v>
      </x:c>
      <x:c r="C124" s="24" t="str">
        <x:v>EEZ</x:v>
      </x:c>
      <x:c r="D124" s="30" t="n">
        <x:v>2019</x:v>
      </x:c>
      <x:c r="E124" s="24" t="str">
        <x:v>Chondrichthyes</x:v>
      </x:c>
      <x:c r="F124" s="24" t="str">
        <x:v>Sharks, rays, chimaeras</x:v>
      </x:c>
      <x:c r="G124" s="24" t="str">
        <x:v>Large sharks (&gt;=90 cm)</x:v>
      </x:c>
      <x:c r="H124" s="24" t="str">
        <x:v>Sharks &amp; rays</x:v>
      </x:c>
      <x:c r="I124" s="31" t="n">
        <x:v>10.7863263694</x:v>
      </x:c>
      <x:c r="J124" s="31" t="n">
        <x:v>10.7863263694</x:v>
      </x:c>
      <x:c r="K124" s="31" t="n">
        <x:v>0</x:v>
      </x:c>
      <x:c r="L124" s="31" t="n">
        <x:v>10.7863263694</x:v>
      </x:c>
      <x:c r="M124" s="31" t="n">
        <x:v>0</x:v>
      </x:c>
      <x:c r="N124" s="24" t="str">
        <x:v>chondrichthyes</x:v>
      </x:c>
      <x:c r="O124" s="32" t="n">
        <x:v>4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Chondrichthyes</x:v>
      </x:c>
      <x:c r="T124" s="32" t="n">
        <x:f>IF(O124="","",(1/'Metadata'!$B$5)^(O124-1))</x:f>
        <x:v>1000</x:v>
      </x:c>
      <x:c r="U124" s="31" t="n">
        <x:f>IF(T124="","",I124*T124)</x:f>
        <x:v>10786.3263694</x:v>
      </x:c>
    </x:row>
    <x:row r="125" ht="18" customHeight="1">
      <x:c r="A125" s="24" t="str">
        <x:v>EEZ_586</x:v>
      </x:c>
      <x:c r="B125" s="24" t="str">
        <x:v>Pakistan</x:v>
      </x:c>
      <x:c r="C125" s="24" t="str">
        <x:v>EEZ</x:v>
      </x:c>
      <x:c r="D125" s="30" t="n">
        <x:v>2019</x:v>
      </x:c>
      <x:c r="E125" s="24" t="str">
        <x:v>Sarda orientalis</x:v>
      </x:c>
      <x:c r="F125" s="24" t="str">
        <x:v>Striped bonito</x:v>
      </x:c>
      <x:c r="G125" s="24" t="str">
        <x:v>Large pelagics (&gt;=90 cm)</x:v>
      </x:c>
      <x:c r="H125" s="24" t="str">
        <x:v>Tuna &amp; billfishes</x:v>
      </x:c>
      <x:c r="I125" s="31" t="n">
        <x:v>4</x:v>
      </x:c>
      <x:c r="J125" s="31" t="n">
        <x:v>4</x:v>
      </x:c>
      <x:c r="K125" s="31" t="n">
        <x:v>0</x:v>
      </x:c>
      <x:c r="L125" s="31" t="n">
        <x:v>4</x:v>
      </x:c>
      <x:c r="M125" s="31" t="n">
        <x:v>0</x:v>
      </x:c>
      <x:c r="N125" s="24" t="str">
        <x:v>sarda orientalis</x:v>
      </x:c>
      <x:c r="O125" s="32" t="n">
        <x:v>4.21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Sarda orientalis</x:v>
      </x:c>
      <x:c r="T125" s="32" t="n">
        <x:f>IF(O125="","",(1/'Metadata'!$B$5)^(O125-1))</x:f>
        <x:v>1621.8100973589299</x:v>
      </x:c>
      <x:c r="U125" s="31" t="n">
        <x:f>IF(T125="","",I125*T125)</x:f>
        <x:v>6487.240389435719</x:v>
      </x:c>
    </x:row>
    <x:row r="126" ht="18" customHeight="1">
      <x:c r="A126" s="24" t="str">
        <x:v>EEZ_586</x:v>
      </x:c>
      <x:c r="B126" s="24" t="str">
        <x:v>Pakistan</x:v>
      </x:c>
      <x:c r="C126" s="24" t="str">
        <x:v>EEZ</x:v>
      </x:c>
      <x:c r="D126" s="30" t="n">
        <x:v>2019</x:v>
      </x:c>
      <x:c r="E126" s="24" t="str">
        <x:v>Rhincodon typus</x:v>
      </x:c>
      <x:c r="F126" s="24" t="str">
        <x:v>Whale shark</x:v>
      </x:c>
      <x:c r="G126" s="24" t="str">
        <x:v>Large sharks (&gt;=90 cm)</x:v>
      </x:c>
      <x:c r="H126" s="24" t="str">
        <x:v>Sharks &amp; rays</x:v>
      </x:c>
      <x:c r="I126" s="31" t="n">
        <x:v>3.5925742149</x:v>
      </x:c>
      <x:c r="J126" s="31" t="n">
        <x:v>3.5925742149</x:v>
      </x:c>
      <x:c r="K126" s="31" t="n">
        <x:v>0</x:v>
      </x:c>
      <x:c r="L126" s="31" t="n">
        <x:v>3.5925742149</x:v>
      </x:c>
      <x:c r="M126" s="31" t="n">
        <x:v>0</x:v>
      </x:c>
      <x:c r="N126" s="24" t="str">
        <x:v>rhincodon typus</x:v>
      </x:c>
      <x:c r="O126" s="32" t="n">
        <x:v>3.55</x:v>
      </x:c>
      <x:c r="P126" s="24" t="str">
        <x:v>exact_2020_supplement</x:v>
      </x:c>
      <x:c r="Q126" s="32" t="str">
        <x:v>2020 supplement MeanTL</x:v>
      </x:c>
      <x:c r="R126" s="24" t="str">
        <x:v>high</x:v>
      </x:c>
      <x:c r="S126" s="24" t="str">
        <x:v>Rhincodon typus</x:v>
      </x:c>
      <x:c r="T126" s="32" t="n">
        <x:f>IF(O126="","",(1/'Metadata'!$B$5)^(O126-1))</x:f>
        <x:v>354.8133892335753</x:v>
      </x:c>
      <x:c r="U126" s="31" t="n">
        <x:f>IF(T126="","",I126*T126)</x:f>
        <x:v>1274.69343326182</x:v>
      </x:c>
    </x:row>
    <x:row r="127" ht="18" customHeight="1">
      <x:c r="A127" s="24" t="str">
        <x:v>EEZ_586</x:v>
      </x:c>
      <x:c r="B127" s="24" t="str">
        <x:v>Pakistan</x:v>
      </x:c>
      <x:c r="C127" s="24" t="str">
        <x:v>EEZ</x:v>
      </x:c>
      <x:c r="D127" s="30" t="n">
        <x:v>2019</x:v>
      </x:c>
      <x:c r="E127" s="24" t="str">
        <x:v>Auxis rochei</x:v>
      </x:c>
      <x:c r="F127" s="24" t="str">
        <x:v>Bullet tuna</x:v>
      </x:c>
      <x:c r="G127" s="24" t="str">
        <x:v>Medium pelagics (30 - 89 cm)</x:v>
      </x:c>
      <x:c r="H127" s="24" t="str">
        <x:v>Tuna &amp; billfishes</x:v>
      </x:c>
      <x:c r="I127" s="31" t="n">
        <x:v>3</x:v>
      </x:c>
      <x:c r="J127" s="31" t="n">
        <x:v>3</x:v>
      </x:c>
      <x:c r="K127" s="31" t="n">
        <x:v>0</x:v>
      </x:c>
      <x:c r="L127" s="31" t="n">
        <x:v>3</x:v>
      </x:c>
      <x:c r="M127" s="31" t="n">
        <x:v>0</x:v>
      </x:c>
      <x:c r="N127" s="24" t="str">
        <x:v>auxis rochei</x:v>
      </x:c>
      <x:c r="O127" s="32" t="n">
        <x:v>4.13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Auxis rochei</x:v>
      </x:c>
      <x:c r="T127" s="32" t="n">
        <x:f>IF(O127="","",(1/'Metadata'!$B$5)^(O127-1))</x:f>
        <x:v>1348.9628825916532</x:v>
      </x:c>
      <x:c r="U127" s="31" t="n">
        <x:f>IF(T127="","",I127*T127)</x:f>
        <x:v>4046.8886477749593</x:v>
      </x:c>
    </x:row>
  </x:sheetData>
  <x:conditionalFormatting sqref="R2:R127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7bba54c14a12441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Anchovies</x:v>
      </x:c>
      <x:c r="B2" s="33" t="n">
        <x:v>2</x:v>
      </x:c>
      <x:c r="C2" s="33" t="n">
        <x:v>2</x:v>
      </x:c>
      <x:c r="D2" s="31" t="n">
        <x:v>13319.850907572501</x:v>
      </x:c>
      <x:c r="E2" s="31" t="n">
        <x:v>13319.850907572501</x:v>
      </x:c>
      <x:c r="F2" s="32" t="n">
        <x:v>0</x:v>
      </x:c>
      <x:c r="G2" s="34" t="n">
        <x:v>1</x:v>
      </x:c>
      <x:c r="H2" s="32" t="n">
        <x:f>IF(E2=0,"",I2/E2)</x:f>
        <x:v>207.3938812235864</x:v>
      </x:c>
      <x:c r="I2" s="31" t="n">
        <x:f>IF(C2=0,"",SUMIF('Species'!$H$2:$H$127,A2,'Species'!$U$2:$U$127))</x:f>
        <x:v>2762455.577040971</x:v>
      </x:c>
      <x:c r="J2" s="32" t="n">
        <x:v>3.3012408515719285</x:v>
      </x:c>
      <x:c r="K2" s="32" t="n">
        <x:f>IF(J2="","",(1/'Metadata'!$B$5)^(J2-1))</x:f>
        <x:v>200.09712631024962</x:v>
      </x:c>
      <x:c r="L2" s="31" t="n">
        <x:f>IF(E2=0,"",E2*K2)</x:f>
        <x:v>2665263.8894862277</x:v>
      </x:c>
      <x:c r="M2" s="31" t="n">
        <x:f>IF(E2=0,"",I2-L2)</x:f>
        <x:v>97191.68755474314</x:v>
      </x:c>
      <x:c r="N2" s="32" t="n">
        <x:f>IF(L2=0,"",I2/L2)</x:f>
        <x:v>1.0364660654947297</x:v>
      </x:c>
      <x:c r="O2" s="34" t="n">
        <x:f>IF(L2=0,"",M2/L2)</x:f>
        <x:v>0.036466065494729825</x:v>
      </x:c>
    </x:row>
    <x:row r="3" ht="18" customHeight="1">
      <x:c r="A3" s="24" t="str">
        <x:v>Crustaceans</x:v>
      </x:c>
      <x:c r="B3" s="33" t="n">
        <x:v>5</x:v>
      </x:c>
      <x:c r="C3" s="33" t="n">
        <x:v>5</x:v>
      </x:c>
      <x:c r="D3" s="31" t="n">
        <x:v>30471.724710023394</x:v>
      </x:c>
      <x:c r="E3" s="31" t="n">
        <x:v>30471.724710023394</x:v>
      </x:c>
      <x:c r="F3" s="32" t="n">
        <x:v>0</x:v>
      </x:c>
      <x:c r="G3" s="34" t="n">
        <x:v>1</x:v>
      </x:c>
      <x:c r="H3" s="32" t="n">
        <x:f>IF(E3=0,"",I3/E3)</x:f>
        <x:v>222.8137843297797</x:v>
      </x:c>
      <x:c r="I3" s="31" t="n">
        <x:f>IF(C3=0,"",SUMIF('Species'!$H$2:$H$127,A3,'Species'!$U$2:$U$127))</x:f>
        <x:v>6789520.297695572</x:v>
      </x:c>
      <x:c r="J3" s="32" t="n">
        <x:v>3.3040548212524445</x:v>
      </x:c>
      <x:c r="K3" s="32" t="n">
        <x:f>IF(J3="","",(1/'Metadata'!$B$5)^(J3-1))</x:f>
        <x:v>201.3978459524162</x:v>
      </x:c>
      <x:c r="L3" s="31" t="n">
        <x:f>IF(E3=0,"",E3*K3)</x:f>
        <x:v>6136939.719053726</x:v>
      </x:c>
      <x:c r="M3" s="31" t="n">
        <x:f>IF(E3=0,"",I3-L3)</x:f>
        <x:v>652580.5786418458</x:v>
      </x:c>
      <x:c r="N3" s="32" t="n">
        <x:f>IF(L3=0,"",I3/L3)</x:f>
        <x:v>1.106336481783541</x:v>
      </x:c>
      <x:c r="O3" s="34" t="n">
        <x:f>IF(L3=0,"",M3/L3)</x:f>
        <x:v>0.10633648178354102</x:v>
      </x:c>
    </x:row>
    <x:row r="4" ht="18" customHeight="1">
      <x:c r="A4" s="24" t="str">
        <x:v>Flatfishes</x:v>
      </x:c>
      <x:c r="B4" s="33" t="n">
        <x:v>2</x:v>
      </x:c>
      <x:c r="C4" s="33" t="n">
        <x:v>2</x:v>
      </x:c>
      <x:c r="D4" s="31" t="n">
        <x:v>3114.1654108236</x:v>
      </x:c>
      <x:c r="E4" s="31" t="n">
        <x:v>3114.1654108236</x:v>
      </x:c>
      <x:c r="F4" s="32" t="n">
        <x:v>0</x:v>
      </x:c>
      <x:c r="G4" s="34" t="n">
        <x:v>1</x:v>
      </x:c>
      <x:c r="H4" s="32" t="n">
        <x:f>IF(E4=0,"",I4/E4)</x:f>
        <x:v>763.9875082246149</x:v>
      </x:c>
      <x:c r="I4" s="31" t="n">
        <x:f>IF(C4=0,"",SUMIF('Species'!$H$2:$H$127,A4,'Species'!$U$2:$U$127))</x:f>
        <x:v>2379183.472414406</x:v>
      </x:c>
      <x:c r="J4" s="32" t="n">
        <x:v>3.483782070907814</x:v>
      </x:c>
      <x:c r="K4" s="32" t="n">
        <x:f>IF(J4="","",(1/'Metadata'!$B$5)^(J4-1))</x:f>
        <x:v>304.6365938742999</x:v>
      </x:c>
      <x:c r="L4" s="31" t="n">
        <x:f>IF(E4=0,"",E4*K4)</x:f>
        <x:v>948688.7435144612</x:v>
      </x:c>
      <x:c r="M4" s="31" t="n">
        <x:f>IF(E4=0,"",I4-L4)</x:f>
        <x:v>1430494.7288999448</x:v>
      </x:c>
      <x:c r="N4" s="32" t="n">
        <x:f>IF(L4=0,"",I4/L4)</x:f>
        <x:v>2.507865186215461</x:v>
      </x:c>
      <x:c r="O4" s="34" t="n">
        <x:f>IF(L4=0,"",M4/L4)</x:f>
        <x:v>1.507865186215461</x:v>
      </x:c>
    </x:row>
    <x:row r="5" ht="18" customHeight="1">
      <x:c r="A5" s="24" t="str">
        <x:v>Herring-likes</x:v>
      </x:c>
      <x:c r="B5" s="33" t="n">
        <x:v>11</x:v>
      </x:c>
      <x:c r="C5" s="33" t="n">
        <x:v>11</x:v>
      </x:c>
      <x:c r="D5" s="31" t="n">
        <x:v>267564.6168480039</x:v>
      </x:c>
      <x:c r="E5" s="31" t="n">
        <x:v>267564.6168480039</x:v>
      </x:c>
      <x:c r="F5" s="32" t="n">
        <x:v>0</x:v>
      </x:c>
      <x:c r="G5" s="34" t="n">
        <x:v>1</x:v>
      </x:c>
      <x:c r="H5" s="32" t="n">
        <x:f>IF(E5=0,"",I5/E5)</x:f>
        <x:v>77.20956253733803</x:v>
      </x:c>
      <x:c r="I5" s="31" t="n">
        <x:f>IF(C5=0,"",SUMIF('Species'!$H$2:$H$127,A5,'Species'!$U$2:$U$127))</x:f>
        <x:v>20658547.017304845</x:v>
      </x:c>
      <x:c r="J5" s="32" t="n">
        <x:v>2.634707140530592</x:v>
      </x:c>
      <x:c r="K5" s="32" t="n">
        <x:f>IF(J5="","",(1/'Metadata'!$B$5)^(J5-1))</x:f>
        <x:v>43.122818699739575</x:v>
      </x:c>
      <x:c r="L5" s="31" t="n">
        <x:f>IF(E5=0,"",E5*K5)</x:f>
        <x:v>11538140.462801756</x:v>
      </x:c>
      <x:c r="M5" s="31" t="n">
        <x:f>IF(E5=0,"",I5-L5)</x:f>
        <x:v>9120406.554503089</x:v>
      </x:c>
      <x:c r="N5" s="32" t="n">
        <x:f>IF(L5=0,"",I5/L5)</x:f>
        <x:v>1.7904572304269228</x:v>
      </x:c>
      <x:c r="O5" s="34" t="n">
        <x:f>IF(L5=0,"",M5/L5)</x:f>
        <x:v>0.7904572304269227</x:v>
      </x:c>
    </x:row>
    <x:row r="6" ht="18" customHeight="1">
      <x:c r="A6" s="24" t="str">
        <x:v>Molluscs</x:v>
      </x:c>
      <x:c r="B6" s="33" t="n">
        <x:v>2</x:v>
      </x:c>
      <x:c r="C6" s="33" t="n">
        <x:v>2</x:v>
      </x:c>
      <x:c r="D6" s="31" t="n">
        <x:v>8167.8719948364005</x:v>
      </x:c>
      <x:c r="E6" s="31" t="n">
        <x:v>8167.8719948364005</x:v>
      </x:c>
      <x:c r="F6" s="32" t="n">
        <x:v>0</x:v>
      </x:c>
      <x:c r="G6" s="34" t="n">
        <x:v>1</x:v>
      </x:c>
      <x:c r="H6" s="32" t="n">
        <x:f>IF(E6=0,"",I6/E6)</x:f>
        <x:v>16.579794611867673</x:v>
      </x:c>
      <x:c r="I6" s="31" t="n">
        <x:f>IF(C6=0,"",SUMIF('Species'!$H$2:$H$127,A6,'Species'!$U$2:$U$127))</x:f>
        <x:v>135421.64009041342</x:v>
      </x:c>
      <x:c r="J6" s="32" t="n">
        <x:v>2.2167370595341684</x:v>
      </x:c>
      <x:c r="K6" s="32" t="n">
        <x:f>IF(J6="","",(1/'Metadata'!$B$5)^(J6-1))</x:f>
        <x:v>16.471648254923814</x:v>
      </x:c>
      <x:c r="L6" s="31" t="n">
        <x:f>IF(E6=0,"",E6*K6)</x:f>
        <x:v>134538.3144901881</x:v>
      </x:c>
      <x:c r="M6" s="31" t="n">
        <x:f>IF(E6=0,"",I6-L6)</x:f>
        <x:v>883.3256002253329</x:v>
      </x:c>
      <x:c r="N6" s="32" t="n">
        <x:f>IF(L6=0,"",I6/L6)</x:f>
        <x:v>1.0065656062629635</x:v>
      </x:c>
      <x:c r="O6" s="34" t="n">
        <x:f>IF(L6=0,"",M6/L6)</x:f>
        <x:v>0.006565606262963508</x:v>
      </x:c>
    </x:row>
    <x:row r="7" ht="18" customHeight="1">
      <x:c r="A7" s="24" t="str">
        <x:v>Other fishes &amp; inverts</x:v>
      </x:c>
      <x:c r="B7" s="33" t="n">
        <x:v>14</x:v>
      </x:c>
      <x:c r="C7" s="33" t="n">
        <x:v>14</x:v>
      </x:c>
      <x:c r="D7" s="31" t="n">
        <x:v>119703.19656090299</x:v>
      </x:c>
      <x:c r="E7" s="31" t="n">
        <x:v>119703.19656090299</x:v>
      </x:c>
      <x:c r="F7" s="32" t="n">
        <x:v>0</x:v>
      </x:c>
      <x:c r="G7" s="34" t="n">
        <x:v>1</x:v>
      </x:c>
      <x:c r="H7" s="32" t="n">
        <x:f>IF(E7=0,"",I7/E7)</x:f>
        <x:v>503.1323487573418</x:v>
      </x:c>
      <x:c r="I7" s="31" t="n">
        <x:f>IF(C7=0,"",SUMIF('Species'!$H$2:$H$127,A7,'Species'!$U$2:$U$127))</x:f>
        <x:v>60226550.43944888</x:v>
      </x:c>
      <x:c r="J7" s="32" t="n">
        <x:v>3.529319200910791</x:v>
      </x:c>
      <x:c r="K7" s="32" t="n">
        <x:f>IF(J7="","",(1/'Metadata'!$B$5)^(J7-1))</x:f>
        <x:v>338.31340088800835</x:v>
      </x:c>
      <x:c r="L7" s="31" t="n">
        <x:f>IF(E7=0,"",E7*K7)</x:f>
        <x:v>40497195.52568483</x:v>
      </x:c>
      <x:c r="M7" s="31" t="n">
        <x:f>IF(E7=0,"",I7-L7)</x:f>
        <x:v>19729354.913764045</x:v>
      </x:c>
      <x:c r="N7" s="32" t="n">
        <x:f>IF(L7=0,"",I7/L7)</x:f>
        <x:v>1.487178301056698</x:v>
      </x:c>
      <x:c r="O7" s="34" t="n">
        <x:f>IF(L7=0,"",M7/L7)</x:f>
        <x:v>0.4871783010566979</x:v>
      </x:c>
    </x:row>
    <x:row r="8" ht="18" customHeight="1">
      <x:c r="A8" s="24" t="str">
        <x:v>Perch-likes</x:v>
      </x:c>
      <x:c r="B8" s="33" t="n">
        <x:v>62</x:v>
      </x:c>
      <x:c r="C8" s="33" t="n">
        <x:v>62</x:v>
      </x:c>
      <x:c r="D8" s="31" t="n">
        <x:v>382322.1368853781</x:v>
      </x:c>
      <x:c r="E8" s="31" t="n">
        <x:v>382322.1368853781</x:v>
      </x:c>
      <x:c r="F8" s="32" t="n">
        <x:v>0</x:v>
      </x:c>
      <x:c r="G8" s="34" t="n">
        <x:v>1</x:v>
      </x:c>
      <x:c r="H8" s="32" t="n">
        <x:f>IF(E8=0,"",I8/E8)</x:f>
        <x:v>1151.7834980597686</x:v>
      </x:c>
      <x:c r="I8" s="31" t="n">
        <x:f>IF(C8=0,"",SUMIF('Species'!$H$2:$H$127,A8,'Species'!$U$2:$U$127))</x:f>
        <x:v>440352328.2075265</x:v>
      </x:c>
      <x:c r="J8" s="32" t="n">
        <x:v>3.7823547637035126</x:v>
      </x:c>
      <x:c r="K8" s="32" t="n">
        <x:f>IF(J8="","",(1/'Metadata'!$B$5)^(J8-1))</x:f>
        <x:v>605.8355637644206</x:v>
      </x:c>
      <x:c r="L8" s="31" t="n">
        <x:f>IF(E8=0,"",E8*K8)</x:f>
        <x:v>231624347.33957103</x:v>
      </x:c>
      <x:c r="M8" s="31" t="n">
        <x:f>IF(E8=0,"",I8-L8)</x:f>
        <x:v>208727980.86795548</x:v>
      </x:c>
      <x:c r="N8" s="32" t="n">
        <x:f>IF(L8=0,"",I8/L8)</x:f>
        <x:v>1.9011487059344045</x:v>
      </x:c>
      <x:c r="O8" s="34" t="n">
        <x:f>IF(L8=0,"",M8/L8)</x:f>
        <x:v>0.9011487059344045</x:v>
      </x:c>
    </x:row>
    <x:row r="9" ht="18" customHeight="1">
      <x:c r="A9" s="24" t="str">
        <x:v>Sharks &amp; rays</x:v>
      </x:c>
      <x:c r="B9" s="33" t="n">
        <x:v>20</x:v>
      </x:c>
      <x:c r="C9" s="33" t="n">
        <x:v>20</x:v>
      </x:c>
      <x:c r="D9" s="31" t="n">
        <x:v>100374.50618217808</x:v>
      </x:c>
      <x:c r="E9" s="31" t="n">
        <x:v>100374.50618217808</x:v>
      </x:c>
      <x:c r="F9" s="32" t="n">
        <x:v>0</x:v>
      </x:c>
      <x:c r="G9" s="34" t="n">
        <x:v>1</x:v>
      </x:c>
      <x:c r="H9" s="32" t="n">
        <x:f>IF(E9=0,"",I9/E9)</x:f>
        <x:v>2410.432407704337</x:v>
      </x:c>
      <x:c r="I9" s="31" t="n">
        <x:f>IF(C9=0,"",SUMIF('Species'!$H$2:$H$127,A9,'Species'!$U$2:$U$127))</x:f>
        <x:v>241945962.6088414</x:v>
      </x:c>
      <x:c r="J9" s="32" t="n">
        <x:v>4.331260723321762</x:v>
      </x:c>
      <x:c r="K9" s="32" t="n">
        <x:f>IF(J9="","",(1/'Metadata'!$B$5)^(J9-1))</x:f>
        <x:v>2144.1774452254617</x:v>
      </x:c>
      <x:c r="L9" s="31" t="n">
        <x:f>IF(E9=0,"",E9*K9)</x:f>
        <x:v>215220752.23146993</x:v>
      </x:c>
      <x:c r="M9" s="31" t="n">
        <x:f>IF(E9=0,"",I9-L9)</x:f>
        <x:v>26725210.37737146</x:v>
      </x:c>
      <x:c r="N9" s="32" t="n">
        <x:f>IF(L9=0,"",I9/L9)</x:f>
        <x:v>1.1241758060051221</x:v>
      </x:c>
      <x:c r="O9" s="34" t="n">
        <x:f>IF(L9=0,"",M9/L9)</x:f>
        <x:v>0.12417580600512211</x:v>
      </x:c>
    </x:row>
    <x:row r="10" ht="18" customHeight="1">
      <x:c r="A10" s="24" t="str">
        <x:v>Tuna &amp; billfishes</x:v>
      </x:c>
      <x:c r="B10" s="33" t="n">
        <x:v>8</x:v>
      </x:c>
      <x:c r="C10" s="33" t="n">
        <x:v>8</x:v>
      </x:c>
      <x:c r="D10" s="31" t="n">
        <x:v>5302.2236583629</x:v>
      </x:c>
      <x:c r="E10" s="31" t="n">
        <x:v>5302.2236583629</x:v>
      </x:c>
      <x:c r="F10" s="32" t="n">
        <x:v>0</x:v>
      </x:c>
      <x:c r="G10" s="34" t="n">
        <x:v>1</x:v>
      </x:c>
      <x:c r="H10" s="32" t="n">
        <x:f>IF(E10=0,"",I10/E10)</x:f>
        <x:v>2831.1370635030316</x:v>
      </x:c>
      <x:c r="I10" s="31" t="n">
        <x:f>IF(C10=0,"",SUMIF('Species'!$H$2:$H$127,A10,'Species'!$U$2:$U$127))</x:f>
        <x:v>15011321.918173842</x:v>
      </x:c>
      <x:c r="J10" s="32" t="n">
        <x:v>4.449621409199347</x:v>
      </x:c>
      <x:c r="K10" s="32" t="n">
        <x:f>IF(J10="","",(1/'Metadata'!$B$5)^(J10-1))</x:f>
        <x:v>2815.927111648875</x:v>
      </x:c>
      <x:c r="L10" s="31" t="n">
        <x:f>IF(E10=0,"",E10*K10)</x:f>
        <x:v>14930675.351610173</x:v>
      </x:c>
      <x:c r="M10" s="31" t="n">
        <x:f>IF(E10=0,"",I10-L10)</x:f>
        <x:v>80646.56656366959</x:v>
      </x:c>
      <x:c r="N10" s="32" t="n">
        <x:f>IF(L10=0,"",I10/L10)</x:f>
        <x:v>1.0054014011198076</x:v>
      </x:c>
      <x:c r="O10" s="34" t="n">
        <x:f>IF(L10=0,"",M10/L10)</x:f>
        <x:v>0.005401401119807511</x:v>
      </x:c>
    </x:row>
  </x:sheetData>
  <x:conditionalFormatting sqref="G2:G10">
    <x:cfRule type="cellIs" dxfId="1" priority="1" operator="lessThan">
      <x:formula>0.9</x:formula>
    </x:cfRule>
  </x:conditionalFormatting>
  <x:conditionalFormatting sqref="O2:O10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38f51449d3149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Cephalopods</x:v>
      </x:c>
      <x:c r="B2" s="33" t="n">
        <x:v>3</x:v>
      </x:c>
      <x:c r="C2" s="33" t="n">
        <x:v>3</x:v>
      </x:c>
      <x:c r="D2" s="31" t="n">
        <x:v>17012.2306581439</x:v>
      </x:c>
      <x:c r="E2" s="31" t="n">
        <x:v>17012.2306581439</x:v>
      </x:c>
      <x:c r="F2" s="32" t="n">
        <x:v>0</x:v>
      </x:c>
      <x:c r="G2" s="34" t="n">
        <x:v>1</x:v>
      </x:c>
      <x:c r="H2" s="32" t="n">
        <x:f>IF(E2=0,"",I2/E2)</x:f>
        <x:v>555.3166342644284</x:v>
      </x:c>
      <x:c r="I2" s="31" t="n">
        <x:f>IF(C2=0,"",SUMIF('Species'!$G$2:$G$127,A2,'Species'!$U$2:$U$127))</x:f>
        <x:v>9447174.670410594</x:v>
      </x:c>
      <x:c r="J2" s="32" t="n">
        <x:v>3.734463821311103</x:v>
      </x:c>
      <x:c r="K2" s="32" t="n">
        <x:f>IF(J2="","",(1/'Metadata'!$B$5)^(J2-1))</x:f>
        <x:v>542.5800500812409</x:v>
      </x:c>
      <x:c r="L2" s="31" t="n">
        <x:f>IF(E2=0,"",E2*K2)</x:f>
        <x:v>9230496.962489339</x:v>
      </x:c>
      <x:c r="M2" s="31" t="n">
        <x:f>IF(E2=0,"",I2-L2)</x:f>
        <x:v>216677.70792125538</x:v>
      </x:c>
      <x:c r="N2" s="32" t="n">
        <x:f>IF(L2=0,"",I2/L2)</x:f>
        <x:v>1.023474110744176</x:v>
      </x:c>
      <x:c r="O2" s="34" t="n">
        <x:f>IF(L2=0,"",M2/L2)</x:f>
        <x:v>0.02347411074417605</x:v>
      </x:c>
    </x:row>
    <x:row r="3" ht="18" customHeight="1">
      <x:c r="A3" s="24" t="str">
        <x:v>Jellyfish</x:v>
      </x:c>
      <x:c r="B3" s="33" t="n">
        <x:v>2</x:v>
      </x:c>
      <x:c r="C3" s="33" t="n">
        <x:v>2</x:v>
      </x:c>
      <x:c r="D3" s="31" t="n">
        <x:v>7499.952777328501</x:v>
      </x:c>
      <x:c r="E3" s="31" t="n">
        <x:v>7499.952777328501</x:v>
      </x:c>
      <x:c r="F3" s="32" t="n">
        <x:v>0</x:v>
      </x:c>
      <x:c r="G3" s="34" t="n">
        <x:v>1</x:v>
      </x:c>
      <x:c r="H3" s="32" t="n">
        <x:f>IF(E3=0,"",I3/E3)</x:f>
        <x:v>203.3928094480578</x:v>
      </x:c>
      <x:c r="I3" s="31" t="n">
        <x:f>IF(C3=0,"",SUMIF('Species'!$G$2:$G$127,A3,'Species'!$U$2:$U$127))</x:f>
        <x:v>1525436.4661086076</x:v>
      </x:c>
      <x:c r="J3" s="32" t="n">
        <x:v>3.1421800433942977</x:v>
      </x:c>
      <x:c r="K3" s="32" t="n">
        <x:f>IF(J3="","",(1/'Metadata'!$B$5)^(J3-1))</x:f>
        <x:v>138.73308488124874</x:v>
      </x:c>
      <x:c r="L3" s="31" t="n">
        <x:f>IF(E3=0,"",E3*K3)</x:f>
        <x:v>1040491.5852624722</x:v>
      </x:c>
      <x:c r="M3" s="31" t="n">
        <x:f>IF(E3=0,"",I3-L3)</x:f>
        <x:v>484944.88084613543</x:v>
      </x:c>
      <x:c r="N3" s="32" t="n">
        <x:f>IF(L3=0,"",I3/L3)</x:f>
        <x:v>1.4660728522122592</x:v>
      </x:c>
      <x:c r="O3" s="34" t="n">
        <x:f>IF(L3=0,"",M3/L3)</x:f>
        <x:v>0.46607285221225914</x:v>
      </x:c>
    </x:row>
    <x:row r="4" ht="18" customHeight="1">
      <x:c r="A4" s="24" t="str">
        <x:v>Large benthopelagics (&gt;=90 cm)</x:v>
      </x:c>
      <x:c r="B4" s="33" t="n">
        <x:v>5</x:v>
      </x:c>
      <x:c r="C4" s="33" t="n">
        <x:v>5</x:v>
      </x:c>
      <x:c r="D4" s="31" t="n">
        <x:v>32562.427824980296</x:v>
      </x:c>
      <x:c r="E4" s="31" t="n">
        <x:v>32562.427824980296</x:v>
      </x:c>
      <x:c r="F4" s="32" t="n">
        <x:v>0</x:v>
      </x:c>
      <x:c r="G4" s="34" t="n">
        <x:v>1</x:v>
      </x:c>
      <x:c r="H4" s="32" t="n">
        <x:f>IF(E4=0,"",I4/E4)</x:f>
        <x:v>2085.244566786339</x:v>
      </x:c>
      <x:c r="I4" s="31" t="n">
        <x:f>IF(C4=0,"",SUMIF('Species'!$G$2:$G$127,A4,'Species'!$U$2:$U$127))</x:f>
        <x:v>67900625.70341247</x:v>
      </x:c>
      <x:c r="J4" s="32" t="n">
        <x:v>4.156056056536478</x:v>
      </x:c>
      <x:c r="K4" s="32" t="n">
        <x:f>IF(J4="","",(1/'Metadata'!$B$5)^(J4-1))</x:f>
        <x:v>1432.3727707791265</x:v>
      </x:c>
      <x:c r="L4" s="31" t="n">
        <x:f>IF(E4=0,"",E4*K4)</x:f>
        <x:v>46641534.96696235</x:v>
      </x:c>
      <x:c r="M4" s="31" t="n">
        <x:f>IF(E4=0,"",I4-L4)</x:f>
        <x:v>21259090.73645012</x:v>
      </x:c>
      <x:c r="N4" s="32" t="n">
        <x:f>IF(L4=0,"",I4/L4)</x:f>
        <x:v>1.4557974078577944</x:v>
      </x:c>
      <x:c r="O4" s="34" t="n">
        <x:f>IF(L4=0,"",M4/L4)</x:f>
        <x:v>0.45579740785779443</x:v>
      </x:c>
    </x:row>
    <x:row r="5" ht="18" customHeight="1">
      <x:c r="A5" s="24" t="str">
        <x:v>Large demersals (&gt;=90 cm)</x:v>
      </x:c>
      <x:c r="B5" s="33" t="n">
        <x:v>7</x:v>
      </x:c>
      <x:c r="C5" s="33" t="n">
        <x:v>7</x:v>
      </x:c>
      <x:c r="D5" s="31" t="n">
        <x:v>32620.507851792903</x:v>
      </x:c>
      <x:c r="E5" s="31" t="n">
        <x:v>32620.507851792903</x:v>
      </x:c>
      <x:c r="F5" s="32" t="n">
        <x:v>0</x:v>
      </x:c>
      <x:c r="G5" s="34" t="n">
        <x:v>1</x:v>
      </x:c>
      <x:c r="H5" s="32" t="n">
        <x:f>IF(E5=0,"",I5/E5)</x:f>
        <x:v>875.8599177201603</x:v>
      </x:c>
      <x:c r="I5" s="31" t="n">
        <x:f>IF(C5=0,"",SUMIF('Species'!$G$2:$G$127,A5,'Species'!$U$2:$U$127))</x:f>
        <x:v>28570995.323061176</x:v>
      </x:c>
      <x:c r="J5" s="32" t="n">
        <x:v>3.7829623453687744</x:v>
      </x:c>
      <x:c r="K5" s="32" t="n">
        <x:f>IF(J5="","",(1/'Metadata'!$B$5)^(J5-1))</x:f>
        <x:v>606.6837260135226</x:v>
      </x:c>
      <x:c r="L5" s="31" t="n">
        <x:f>IF(E5=0,"",E5*K5)</x:f>
        <x:v>19790331.247979086</x:v>
      </x:c>
      <x:c r="M5" s="31" t="n">
        <x:f>IF(E5=0,"",I5-L5)</x:f>
        <x:v>8780664.07508209</x:v>
      </x:c>
      <x:c r="N5" s="32" t="n">
        <x:f>IF(L5=0,"",I5/L5)</x:f>
        <x:v>1.4436845429749308</x:v>
      </x:c>
      <x:c r="O5" s="34" t="n">
        <x:f>IF(L5=0,"",M5/L5)</x:f>
        <x:v>0.44368454297493065</x:v>
      </x:c>
    </x:row>
    <x:row r="6" ht="18" customHeight="1">
      <x:c r="A6" s="24" t="str">
        <x:v>Large pelagics (&gt;=90 cm)</x:v>
      </x:c>
      <x:c r="B6" s="33" t="n">
        <x:v>12</x:v>
      </x:c>
      <x:c r="C6" s="33" t="n">
        <x:v>12</x:v>
      </x:c>
      <x:c r="D6" s="31" t="n">
        <x:v>72992.0089761436</x:v>
      </x:c>
      <x:c r="E6" s="31" t="n">
        <x:v>72992.0089761436</x:v>
      </x:c>
      <x:c r="F6" s="32" t="n">
        <x:v>0</x:v>
      </x:c>
      <x:c r="G6" s="34" t="n">
        <x:v>1</x:v>
      </x:c>
      <x:c r="H6" s="32" t="n">
        <x:f>IF(E6=0,"",I6/E6)</x:f>
        <x:v>2451.86879346004</x:v>
      </x:c>
      <x:c r="I6" s="31" t="n">
        <x:f>IF(C6=0,"",SUMIF('Species'!$G$2:$G$127,A6,'Species'!$U$2:$U$127))</x:f>
        <x:v>178966828.98056158</x:v>
      </x:c>
      <x:c r="J6" s="32" t="n">
        <x:v>4.359969926018347</x:v>
      </x:c>
      <x:c r="K6" s="32" t="n">
        <x:f>IF(J6="","",(1/'Metadata'!$B$5)^(J6-1))</x:f>
        <x:v>2290.7090204819624</x:v>
      </x:c>
      <x:c r="L6" s="31" t="n">
        <x:f>IF(E6=0,"",E6*K6)</x:f>
        <x:v>167203453.3847525</x:v>
      </x:c>
      <x:c r="M6" s="31" t="n">
        <x:f>IF(E6=0,"",I6-L6)</x:f>
        <x:v>11763375.595809072</x:v>
      </x:c>
      <x:c r="N6" s="32" t="n">
        <x:f>IF(L6=0,"",I6/L6)</x:f>
        <x:v>1.0703536641001088</x:v>
      </x:c>
      <x:c r="O6" s="34" t="n">
        <x:f>IF(L6=0,"",M6/L6)</x:f>
        <x:v>0.07035366410010876</x:v>
      </x:c>
    </x:row>
    <x:row r="7" ht="18" customHeight="1">
      <x:c r="A7" s="24" t="str">
        <x:v>Large rays (&gt;=90 cm)</x:v>
      </x:c>
      <x:c r="B7" s="33" t="n">
        <x:v>6</x:v>
      </x:c>
      <x:c r="C7" s="33" t="n">
        <x:v>6</x:v>
      </x:c>
      <x:c r="D7" s="31" t="n">
        <x:v>5887.808809347401</x:v>
      </x:c>
      <x:c r="E7" s="31" t="n">
        <x:v>5887.808809347401</x:v>
      </x:c>
      <x:c r="F7" s="32" t="n">
        <x:v>0</x:v>
      </x:c>
      <x:c r="G7" s="34" t="n">
        <x:v>1</x:v>
      </x:c>
      <x:c r="H7" s="32" t="n">
        <x:f>IF(E7=0,"",I7/E7)</x:f>
        <x:v>315.0282569885281</x:v>
      </x:c>
      <x:c r="I7" s="31" t="n">
        <x:f>IF(C7=0,"",SUMIF('Species'!$G$2:$G$127,A7,'Species'!$U$2:$U$127))</x:f>
        <x:v>1854826.1466904127</x:v>
      </x:c>
      <x:c r="J7" s="32" t="n">
        <x:v>3.4745570700303485</x:v>
      </x:c>
      <x:c r="K7" s="32" t="n">
        <x:f>IF(J7="","",(1/'Metadata'!$B$5)^(J7-1))</x:f>
        <x:v>298.2339427229127</x:v>
      </x:c>
      <x:c r="L7" s="31" t="n">
        <x:f>IF(E7=0,"",E7*K7)</x:f>
        <x:v>1755944.4352103733</x:v>
      </x:c>
      <x:c r="M7" s="31" t="n">
        <x:f>IF(E7=0,"",I7-L7)</x:f>
        <x:v>98881.7114800394</x:v>
      </x:c>
      <x:c r="N7" s="32" t="n">
        <x:f>IF(L7=0,"",I7/L7)</x:f>
        <x:v>1.0563125515234157</x:v>
      </x:c>
      <x:c r="O7" s="34" t="n">
        <x:f>IF(L7=0,"",M7/L7)</x:f>
        <x:v>0.0563125515234158</x:v>
      </x:c>
    </x:row>
    <x:row r="8" ht="18" customHeight="1">
      <x:c r="A8" s="24" t="str">
        <x:v>Large reef assoc. fish (&gt;=90 cm)</x:v>
      </x:c>
      <x:c r="B8" s="33" t="n">
        <x:v>5</x:v>
      </x:c>
      <x:c r="C8" s="33" t="n">
        <x:v>5</x:v>
      </x:c>
      <x:c r="D8" s="31" t="n">
        <x:v>14370.2191106799</x:v>
      </x:c>
      <x:c r="E8" s="31" t="n">
        <x:v>14370.2191106799</x:v>
      </x:c>
      <x:c r="F8" s="32" t="n">
        <x:v>0</x:v>
      </x:c>
      <x:c r="G8" s="34" t="n">
        <x:v>1</x:v>
      </x:c>
      <x:c r="H8" s="32" t="n">
        <x:f>IF(E8=0,"",I8/E8)</x:f>
        <x:v>1669.9137779129376</x:v>
      </x:c>
      <x:c r="I8" s="31" t="n">
        <x:f>IF(C8=0,"",SUMIF('Species'!$G$2:$G$127,A8,'Species'!$U$2:$U$127))</x:f>
        <x:v>23997026.884552166</x:v>
      </x:c>
      <x:c r="J8" s="32" t="n">
        <x:v>4.0655941398095505</x:v>
      </x:c>
      <x:c r="K8" s="32" t="n">
        <x:f>IF(J8="","",(1/'Metadata'!$B$5)^(J8-1))</x:f>
        <x:v>1163.038629659453</x:v>
      </x:c>
      <x:c r="L8" s="31" t="n">
        <x:f>IF(E8=0,"",E8*K8)</x:f>
        <x:v>16713119.942391234</x:v>
      </x:c>
      <x:c r="M8" s="31" t="n">
        <x:f>IF(E8=0,"",I8-L8)</x:f>
        <x:v>7283906.942160932</x:v>
      </x:c>
      <x:c r="N8" s="32" t="n">
        <x:f>IF(L8=0,"",I8/L8)</x:f>
        <x:v>1.4358197013644352</x:v>
      </x:c>
      <x:c r="O8" s="34" t="n">
        <x:f>IF(L8=0,"",M8/L8)</x:f>
        <x:v>0.4358197013644351</x:v>
      </x:c>
    </x:row>
    <x:row r="9" ht="18" customHeight="1">
      <x:c r="A9" s="24" t="str">
        <x:v>Large sharks (&gt;=90 cm)</x:v>
      </x:c>
      <x:c r="B9" s="33" t="n">
        <x:v>14</x:v>
      </x:c>
      <x:c r="C9" s="33" t="n">
        <x:v>14</x:v>
      </x:c>
      <x:c r="D9" s="31" t="n">
        <x:v>94486.69737283068</x:v>
      </x:c>
      <x:c r="E9" s="31" t="n">
        <x:v>94486.69737283068</x:v>
      </x:c>
      <x:c r="F9" s="32" t="n">
        <x:v>0</x:v>
      </x:c>
      <x:c r="G9" s="34" t="n">
        <x:v>1</x:v>
      </x:c>
      <x:c r="H9" s="32" t="n">
        <x:f>IF(E9=0,"",I9/E9)</x:f>
        <x:v>2541.0046402065095</x:v>
      </x:c>
      <x:c r="I9" s="31" t="n">
        <x:f>IF(C9=0,"",SUMIF('Species'!$G$2:$G$127,A9,'Species'!$U$2:$U$127))</x:f>
        <x:v>240091136.46215096</x:v>
      </x:c>
      <x:c r="J9" s="32" t="n">
        <x:v>4.384645035157173</x:v>
      </x:c>
      <x:c r="K9" s="32" t="n">
        <x:f>IF(J9="","",(1/'Metadata'!$B$5)^(J9-1))</x:f>
        <x:v>2424.627547774882</x:v>
      </x:c>
      <x:c r="L9" s="31" t="n">
        <x:f>IF(E9=0,"",E9*K9)</x:f>
        <x:v>229095049.34843382</x:v>
      </x:c>
      <x:c r="M9" s="31" t="n">
        <x:f>IF(E9=0,"",I9-L9)</x:f>
        <x:v>10996087.113717139</x:v>
      </x:c>
      <x:c r="N9" s="32" t="n">
        <x:f>IF(L9=0,"",I9/L9)</x:f>
        <x:v>1.047997925511664</x:v>
      </x:c>
      <x:c r="O9" s="34" t="n">
        <x:f>IF(L9=0,"",M9/L9)</x:f>
        <x:v>0.047997925511664104</x:v>
      </x:c>
    </x:row>
    <x:row r="10" ht="18" customHeight="1">
      <x:c r="A10" s="24" t="str">
        <x:v>Lobsters, crabs</x:v>
      </x:c>
      <x:c r="B10" s="33" t="n">
        <x:v>3</x:v>
      </x:c>
      <x:c r="C10" s="33" t="n">
        <x:v>3</x:v>
      </x:c>
      <x:c r="D10" s="31" t="n">
        <x:v>9474.7563517499</x:v>
      </x:c>
      <x:c r="E10" s="31" t="n">
        <x:v>9474.7563517499</x:v>
      </x:c>
      <x:c r="F10" s="32" t="n">
        <x:v>0</x:v>
      </x:c>
      <x:c r="G10" s="34" t="n">
        <x:v>1</x:v>
      </x:c>
      <x:c r="H10" s="32" t="n">
        <x:f>IF(E10=0,"",I10/E10)</x:f>
        <x:v>268.9096912322565</x:v>
      </x:c>
      <x:c r="I10" s="31" t="n">
        <x:f>IF(C10=0,"",SUMIF('Species'!$G$2:$G$127,A10,'Species'!$U$2:$U$127))</x:f>
        <x:v>2547853.8050499265</x:v>
      </x:c>
      <x:c r="J10" s="32" t="n">
        <x:v>3.311562061260801</x:v>
      </x:c>
      <x:c r="K10" s="32" t="n">
        <x:f>IF(J10="","",(1/'Metadata'!$B$5)^(J10-1))</x:f>
        <x:v>204.90948474235674</x:v>
      </x:c>
      <x:c r="L10" s="31" t="n">
        <x:f>IF(E10=0,"",E10*K10)</x:f>
        <x:v>1941467.4420964438</x:v>
      </x:c>
      <x:c r="M10" s="31" t="n">
        <x:f>IF(E10=0,"",I10-L10)</x:f>
        <x:v>606386.3629534827</x:v>
      </x:c>
      <x:c r="N10" s="32" t="n">
        <x:f>IF(L10=0,"",I10/L10)</x:f>
        <x:v>1.31233403651554</x:v>
      </x:c>
      <x:c r="O10" s="34" t="n">
        <x:f>IF(L10=0,"",M10/L10)</x:f>
        <x:v>0.31233403651554</x:v>
      </x:c>
    </x:row>
    <x:row r="11" ht="18" customHeight="1">
      <x:c r="A11" s="24" t="str">
        <x:v>Medium bathypelagics (30 - 89 cm)</x:v>
      </x:c>
      <x:c r="B11" s="33" t="n">
        <x:v>1</x:v>
      </x:c>
      <x:c r="C11" s="33" t="n">
        <x:v>1</x:v>
      </x:c>
      <x:c r="D11" s="31" t="n">
        <x:v>1115.9427866028</x:v>
      </x:c>
      <x:c r="E11" s="31" t="n">
        <x:v>1115.9427866028</x:v>
      </x:c>
      <x:c r="F11" s="32" t="n">
        <x:v>0</x:v>
      </x:c>
      <x:c r="G11" s="34" t="n">
        <x:v>1</x:v>
      </x:c>
      <x:c r="H11" s="32" t="n">
        <x:f>IF(E11=0,"",I11/E11)</x:f>
        <x:v>1202.2644346174131</x:v>
      </x:c>
      <x:c r="I11" s="31" t="n">
        <x:f>IF(C11=0,"",SUMIF('Species'!$G$2:$G$127,A11,'Species'!$U$2:$U$127))</x:f>
        <x:v>1341658.323400396</x:v>
      </x:c>
      <x:c r="J11" s="32" t="n">
        <x:v>4.08</x:v>
      </x:c>
      <x:c r="K11" s="32" t="n">
        <x:f>IF(J11="","",(1/'Metadata'!$B$5)^(J11-1))</x:f>
        <x:v>1202.2644346174131</x:v>
      </x:c>
      <x:c r="L11" s="31" t="n">
        <x:f>IF(E11=0,"",E11*K11)</x:f>
        <x:v>1341658.323400396</x:v>
      </x:c>
      <x:c r="M11" s="31" t="n">
        <x:f>IF(E11=0,"",I11-L11)</x:f>
        <x:v>0</x:v>
      </x:c>
      <x:c r="N11" s="32" t="n">
        <x:f>IF(L11=0,"",I11/L11)</x:f>
        <x:v>1</x:v>
      </x:c>
      <x:c r="O11" s="34" t="n">
        <x:f>IF(L11=0,"",M11/L11)</x:f>
        <x:v>0</x:v>
      </x:c>
    </x:row>
    <x:row r="12" ht="18" customHeight="1">
      <x:c r="A12" s="24" t="str">
        <x:v>Medium benthopelagics (30 - 89 cm)</x:v>
      </x:c>
      <x:c r="B12" s="33" t="n">
        <x:v>6</x:v>
      </x:c>
      <x:c r="C12" s="33" t="n">
        <x:v>6</x:v>
      </x:c>
      <x:c r="D12" s="31" t="n">
        <x:v>20969.5034210141</x:v>
      </x:c>
      <x:c r="E12" s="31" t="n">
        <x:v>20969.5034210141</x:v>
      </x:c>
      <x:c r="F12" s="32" t="n">
        <x:v>0</x:v>
      </x:c>
      <x:c r="G12" s="34" t="n">
        <x:v>1</x:v>
      </x:c>
      <x:c r="H12" s="32" t="n">
        <x:f>IF(E12=0,"",I12/E12)</x:f>
        <x:v>301.014195845642</x:v>
      </x:c>
      <x:c r="I12" s="31" t="n">
        <x:f>IF(C12=0,"",SUMIF('Species'!$G$2:$G$127,A12,'Species'!$U$2:$U$127))</x:f>
        <x:v>6312118.209558997</x:v>
      </x:c>
      <x:c r="J12" s="32" t="n">
        <x:v>3.3345563695107066</x:v>
      </x:c>
      <x:c r="K12" s="32" t="n">
        <x:f>IF(J12="","",(1/'Metadata'!$B$5)^(J12-1))</x:f>
        <x:v>216.05104413149294</x:v>
      </x:c>
      <x:c r="L12" s="31" t="n">
        <x:f>IF(E12=0,"",E12*K12)</x:f>
        <x:v>4530483.109029009</x:v>
      </x:c>
      <x:c r="M12" s="31" t="n">
        <x:f>IF(E12=0,"",I12-L12)</x:f>
        <x:v>1781635.1005299883</x:v>
      </x:c>
      <x:c r="N12" s="32" t="n">
        <x:f>IF(L12=0,"",I12/L12)</x:f>
        <x:v>1.3932549923824427</x:v>
      </x:c>
      <x:c r="O12" s="34" t="n">
        <x:f>IF(L12=0,"",M12/L12)</x:f>
        <x:v>0.3932549923824427</x:v>
      </x:c>
    </x:row>
    <x:row r="13" ht="18" customHeight="1">
      <x:c r="A13" s="24" t="str">
        <x:v>Medium demersals (30 - 89 cm)</x:v>
      </x:c>
      <x:c r="B13" s="33" t="n">
        <x:v>13</x:v>
      </x:c>
      <x:c r="C13" s="33" t="n">
        <x:v>13</x:v>
      </x:c>
      <x:c r="D13" s="31" t="n">
        <x:v>112009.0595162127</x:v>
      </x:c>
      <x:c r="E13" s="31" t="n">
        <x:v>112009.0595162127</x:v>
      </x:c>
      <x:c r="F13" s="32" t="n">
        <x:v>0</x:v>
      </x:c>
      <x:c r="G13" s="34" t="n">
        <x:v>1</x:v>
      </x:c>
      <x:c r="H13" s="32" t="n">
        <x:f>IF(E13=0,"",I13/E13)</x:f>
        <x:v>438.58730214275266</x:v>
      </x:c>
      <x:c r="I13" s="31" t="n">
        <x:f>IF(C13=0,"",SUMIF('Species'!$G$2:$G$127,A13,'Species'!$U$2:$U$127))</x:f>
        <x:v>49125751.228762746</x:v>
      </x:c>
      <x:c r="J13" s="32" t="n">
        <x:v>3.528886706783756</x:v>
      </x:c>
      <x:c r="K13" s="32" t="n">
        <x:f>IF(J13="","",(1/'Metadata'!$B$5)^(J13-1))</x:f>
        <x:v>337.9766576567353</x:v>
      </x:c>
      <x:c r="L13" s="31" t="n">
        <x:f>IF(E13=0,"",E13*K13)</x:f>
        <x:v>37856447.56256391</x:v>
      </x:c>
      <x:c r="M13" s="31" t="n">
        <x:f>IF(E13=0,"",I13-L13)</x:f>
        <x:v>11269303.666198835</x:v>
      </x:c>
      <x:c r="N13" s="32" t="n">
        <x:f>IF(L13=0,"",I13/L13)</x:f>
        <x:v>1.2976851868515789</x:v>
      </x:c>
      <x:c r="O13" s="34" t="n">
        <x:f>IF(L13=0,"",M13/L13)</x:f>
        <x:v>0.29768518685157885</x:v>
      </x:c>
    </x:row>
    <x:row r="14" ht="18" customHeight="1">
      <x:c r="A14" s="24" t="str">
        <x:v>Medium pelagics (30 - 89 cm)</x:v>
      </x:c>
      <x:c r="B14" s="33" t="n">
        <x:v>11</x:v>
      </x:c>
      <x:c r="C14" s="33" t="n">
        <x:v>11</x:v>
      </x:c>
      <x:c r="D14" s="31" t="n">
        <x:v>110368.217533344</x:v>
      </x:c>
      <x:c r="E14" s="31" t="n">
        <x:v>110368.217533344</x:v>
      </x:c>
      <x:c r="F14" s="32" t="n">
        <x:v>0</x:v>
      </x:c>
      <x:c r="G14" s="34" t="n">
        <x:v>1</x:v>
      </x:c>
      <x:c r="H14" s="32" t="n">
        <x:f>IF(E14=0,"",I14/E14)</x:f>
        <x:v>591.8183112702311</x:v>
      </x:c>
      <x:c r="I14" s="31" t="n">
        <x:f>IF(C14=0,"",SUMIF('Species'!$G$2:$G$127,A14,'Species'!$U$2:$U$127))</x:f>
        <x:v>65317932.11848915</x:v>
      </x:c>
      <x:c r="J14" s="32" t="n">
        <x:v>3.4543925938478584</x:v>
      </x:c>
      <x:c r="K14" s="32" t="n">
        <x:f>IF(J14="","",(1/'Metadata'!$B$5)^(J14-1))</x:f>
        <x:v>284.7033608079837</x:v>
      </x:c>
      <x:c r="L14" s="31" t="n">
        <x:f>IF(E14=0,"",E14*K14)</x:f>
        <x:v>31422202.458129667</x:v>
      </x:c>
      <x:c r="M14" s="31" t="n">
        <x:f>IF(E14=0,"",I14-L14)</x:f>
        <x:v>33895729.66035949</x:v>
      </x:c>
      <x:c r="N14" s="32" t="n">
        <x:f>IF(L14=0,"",I14/L14)</x:f>
        <x:v>2.0787190906024433</x:v>
      </x:c>
      <x:c r="O14" s="34" t="n">
        <x:f>IF(L14=0,"",M14/L14)</x:f>
        <x:v>1.078719090602443</x:v>
      </x:c>
    </x:row>
    <x:row r="15" ht="18" customHeight="1">
      <x:c r="A15" s="24" t="str">
        <x:v>Medium reef assoc. fish (30 - 89 cm)</x:v>
      </x:c>
      <x:c r="B15" s="33" t="n">
        <x:v>12</x:v>
      </x:c>
      <x:c r="C15" s="33" t="n">
        <x:v>12</x:v>
      </x:c>
      <x:c r="D15" s="31" t="n">
        <x:v>59763.42165909611</x:v>
      </x:c>
      <x:c r="E15" s="31" t="n">
        <x:v>59763.42165909611</x:v>
      </x:c>
      <x:c r="F15" s="32" t="n">
        <x:v>0</x:v>
      </x:c>
      <x:c r="G15" s="34" t="n">
        <x:v>1</x:v>
      </x:c>
      <x:c r="H15" s="32" t="n">
        <x:f>IF(E15=0,"",I15/E15)</x:f>
        <x:v>1034.794042184764</x:v>
      </x:c>
      <x:c r="I15" s="31" t="n">
        <x:f>IF(C15=0,"",SUMIF('Species'!$G$2:$G$127,A15,'Species'!$U$2:$U$127))</x:f>
        <x:v>61842832.67340854</x:v>
      </x:c>
      <x:c r="J15" s="32" t="n">
        <x:v>3.6696864234901603</x:v>
      </x:c>
      <x:c r="K15" s="32" t="n">
        <x:f>IF(J15="","",(1/'Metadata'!$B$5)^(J15-1))</x:f>
        <x:v>467.39754129189595</x:v>
      </x:c>
      <x:c r="L15" s="31" t="n">
        <x:f>IF(E15=0,"",E15*K15)</x:f>
        <x:v>27933276.34265236</x:v>
      </x:c>
      <x:c r="M15" s="31" t="n">
        <x:f>IF(E15=0,"",I15-L15)</x:f>
        <x:v>33909556.33075617</x:v>
      </x:c>
      <x:c r="N15" s="32" t="n">
        <x:f>IF(L15=0,"",I15/L15)</x:f>
        <x:v>2.2139484074404265</x:v>
      </x:c>
      <x:c r="O15" s="34" t="n">
        <x:f>IF(L15=0,"",M15/L15)</x:f>
        <x:v>1.2139484074404263</x:v>
      </x:c>
    </x:row>
    <x:row r="16" ht="18" customHeight="1">
      <x:c r="A16" s="24" t="str">
        <x:v>Other demersal invertebrates</x:v>
      </x:c>
      <x:c r="B16" s="33" t="n">
        <x:v>2</x:v>
      </x:c>
      <x:c r="C16" s="33" t="n">
        <x:v>2</x:v>
      </x:c>
      <x:c r="D16" s="31" t="n">
        <x:v>8167.8719948364005</x:v>
      </x:c>
      <x:c r="E16" s="31" t="n">
        <x:v>8167.8719948364005</x:v>
      </x:c>
      <x:c r="F16" s="32" t="n">
        <x:v>0</x:v>
      </x:c>
      <x:c r="G16" s="34" t="n">
        <x:v>1</x:v>
      </x:c>
      <x:c r="H16" s="32" t="n">
        <x:f>IF(E16=0,"",I16/E16)</x:f>
        <x:v>16.579794611867673</x:v>
      </x:c>
      <x:c r="I16" s="31" t="n">
        <x:f>IF(C16=0,"",SUMIF('Species'!$G$2:$G$127,A16,'Species'!$U$2:$U$127))</x:f>
        <x:v>135421.64009041342</x:v>
      </x:c>
      <x:c r="J16" s="32" t="n">
        <x:v>2.2167370595341684</x:v>
      </x:c>
      <x:c r="K16" s="32" t="n">
        <x:f>IF(J16="","",(1/'Metadata'!$B$5)^(J16-1))</x:f>
        <x:v>16.471648254923814</x:v>
      </x:c>
      <x:c r="L16" s="31" t="n">
        <x:f>IF(E16=0,"",E16*K16)</x:f>
        <x:v>134538.3144901881</x:v>
      </x:c>
      <x:c r="M16" s="31" t="n">
        <x:f>IF(E16=0,"",I16-L16)</x:f>
        <x:v>883.3256002253329</x:v>
      </x:c>
      <x:c r="N16" s="32" t="n">
        <x:f>IF(L16=0,"",I16/L16)</x:f>
        <x:v>1.0065656062629635</x:v>
      </x:c>
      <x:c r="O16" s="34" t="n">
        <x:f>IF(L16=0,"",M16/L16)</x:f>
        <x:v>0.006565606262963508</x:v>
      </x:c>
    </x:row>
    <x:row r="17" ht="18" customHeight="1">
      <x:c r="A17" s="24" t="str">
        <x:v>Shrimps</x:v>
      </x:c>
      <x:c r="B17" s="33" t="n">
        <x:v>2</x:v>
      </x:c>
      <x:c r="C17" s="33" t="n">
        <x:v>2</x:v>
      </x:c>
      <x:c r="D17" s="31" t="n">
        <x:v>20996.968358273498</x:v>
      </x:c>
      <x:c r="E17" s="31" t="n">
        <x:v>20996.968358273498</x:v>
      </x:c>
      <x:c r="F17" s="32" t="n">
        <x:v>0</x:v>
      </x:c>
      <x:c r="G17" s="34" t="n">
        <x:v>1</x:v>
      </x:c>
      <x:c r="H17" s="32" t="n">
        <x:f>IF(E17=0,"",I17/E17)</x:f>
        <x:v>202.01328212100148</x:v>
      </x:c>
      <x:c r="I17" s="31" t="n">
        <x:f>IF(C17=0,"",SUMIF('Species'!$G$2:$G$127,A17,'Species'!$U$2:$U$127))</x:f>
        <x:v>4241666.4926456455</x:v>
      </x:c>
      <x:c r="J17" s="32" t="n">
        <x:v>3.3006672241127237</x:v>
      </x:c>
      <x:c r="K17" s="32" t="n">
        <x:f>IF(J17="","",(1/'Metadata'!$B$5)^(J17-1))</x:f>
        <x:v>199.83300728203352</x:v>
      </x:c>
      <x:c r="L17" s="31" t="n">
        <x:f>IF(E17=0,"",E17*K17)</x:f>
        <x:v>4195887.330839495</x:v>
      </x:c>
      <x:c r="M17" s="31" t="n">
        <x:f>IF(E17=0,"",I17-L17)</x:f>
        <x:v>45779.16180615034</x:v>
      </x:c>
      <x:c r="N17" s="32" t="n">
        <x:f>IF(L17=0,"",I17/L17)</x:f>
        <x:v>1.0109104840517706</x:v>
      </x:c>
      <x:c r="O17" s="34" t="n">
        <x:f>IF(L17=0,"",M17/L17)</x:f>
        <x:v>0.010910484051770532</x:v>
      </x:c>
    </x:row>
    <x:row r="18" ht="18" customHeight="1">
      <x:c r="A18" s="24" t="str">
        <x:v>Small benthopelagics (&lt;30 cm)</x:v>
      </x:c>
      <x:c r="B18" s="33" t="n">
        <x:v>1</x:v>
      </x:c>
      <x:c r="C18" s="33" t="n">
        <x:v>1</x:v>
      </x:c>
      <x:c r="D18" s="31" t="n">
        <x:v>3529.3616608437997</x:v>
      </x:c>
      <x:c r="E18" s="31" t="n">
        <x:v>3529.3616608437997</x:v>
      </x:c>
      <x:c r="F18" s="32" t="n">
        <x:v>0</x:v>
      </x:c>
      <x:c r="G18" s="34" t="n">
        <x:v>1</x:v>
      </x:c>
      <x:c r="H18" s="32" t="n">
        <x:f>IF(E18=0,"",I18/E18)</x:f>
        <x:v>173.78008287493765</x:v>
      </x:c>
      <x:c r="I18" s="31" t="n">
        <x:f>IF(C18=0,"",SUMIF('Species'!$G$2:$G$127,A18,'Species'!$U$2:$U$127))</x:f>
        <x:v>613332.761917063</x:v>
      </x:c>
      <x:c r="J18" s="32" t="n">
        <x:v>3.24</x:v>
      </x:c>
      <x:c r="K18" s="32" t="n">
        <x:f>IF(J18="","",(1/'Metadata'!$B$5)^(J18-1))</x:f>
        <x:v>173.78008287493762</x:v>
      </x:c>
      <x:c r="L18" s="31" t="n">
        <x:f>IF(E18=0,"",E18*K18)</x:f>
        <x:v>613332.761917063</x:v>
      </x:c>
      <x:c r="M18" s="31" t="n">
        <x:f>IF(E18=0,"",I18-L18)</x:f>
        <x:v>0</x:v>
      </x:c>
      <x:c r="N18" s="32" t="n">
        <x:f>IF(L18=0,"",I18/L18)</x:f>
        <x:v>1</x:v>
      </x:c>
      <x:c r="O18" s="34" t="n">
        <x:f>IF(L18=0,"",M18/L18)</x:f>
        <x:v>0</x:v>
      </x:c>
    </x:row>
    <x:row r="19" ht="18" customHeight="1">
      <x:c r="A19" s="24" t="str">
        <x:v>Small demersals (&lt;30 cm)</x:v>
      </x:c>
      <x:c r="B19" s="33" t="n">
        <x:v>3</x:v>
      </x:c>
      <x:c r="C19" s="33" t="n">
        <x:v>3</x:v>
      </x:c>
      <x:c r="D19" s="31" t="n">
        <x:v>15081.0556371901</x:v>
      </x:c>
      <x:c r="E19" s="31" t="n">
        <x:v>15081.0556371901</x:v>
      </x:c>
      <x:c r="F19" s="32" t="n">
        <x:v>0</x:v>
      </x:c>
      <x:c r="G19" s="34" t="n">
        <x:v>1</x:v>
      </x:c>
      <x:c r="H19" s="32" t="n">
        <x:f>IF(E19=0,"",I19/E19)</x:f>
        <x:v>403.20699367198</x:v>
      </x:c>
      <x:c r="I19" s="31" t="n">
        <x:f>IF(C19=0,"",SUMIF('Species'!$G$2:$G$127,A19,'Species'!$U$2:$U$127))</x:f>
        <x:v>6080787.104871287</x:v>
      </x:c>
      <x:c r="J19" s="32" t="n">
        <x:v>3.588430920731447</x:v>
      </x:c>
      <x:c r="K19" s="32" t="n">
        <x:f>IF(J19="","",(1/'Metadata'!$B$5)^(J19-1))</x:f>
        <x:v>387.64208490979934</x:v>
      </x:c>
      <x:c r="L19" s="31" t="n">
        <x:f>IF(E19=0,"",E19*K19)</x:f>
        <x:v>5846051.849841053</x:v>
      </x:c>
      <x:c r="M19" s="31" t="n">
        <x:f>IF(E19=0,"",I19-L19)</x:f>
        <x:v>234735.25503023434</x:v>
      </x:c>
      <x:c r="N19" s="32" t="n">
        <x:f>IF(L19=0,"",I19/L19)</x:f>
        <x:v>1.0401527836323614</x:v>
      </x:c>
      <x:c r="O19" s="34" t="n">
        <x:f>IF(L19=0,"",M19/L19)</x:f>
        <x:v>0.04015278363236147</x:v>
      </x:c>
    </x:row>
    <x:row r="20" ht="18" customHeight="1">
      <x:c r="A20" s="24" t="str">
        <x:v>Small pelagics (&lt;30 cm)</x:v>
      </x:c>
      <x:c r="B20" s="33" t="n">
        <x:v>13</x:v>
      </x:c>
      <x:c r="C20" s="33" t="n">
        <x:v>13</x:v>
      </x:c>
      <x:c r="D20" s="31" t="n">
        <x:v>276344.27633926825</x:v>
      </x:c>
      <x:c r="E20" s="31" t="n">
        <x:v>276344.27633926825</x:v>
      </x:c>
      <x:c r="F20" s="32" t="n">
        <x:v>0</x:v>
      </x:c>
      <x:c r="G20" s="34" t="n">
        <x:v>1</x:v>
      </x:c>
      <x:c r="H20" s="32" t="n">
        <x:f>IF(E20=0,"",I20/E20)</x:f>
        <x:v>132.1916127248318</x:v>
      </x:c>
      <x:c r="I20" s="31" t="n">
        <x:f>IF(C20=0,"",SUMIF('Species'!$G$2:$G$127,A20,'Species'!$U$2:$U$127))</x:f>
        <x:v>36530395.55656445</x:v>
      </x:c>
      <x:c r="J20" s="32" t="n">
        <x:v>2.7080502453605275</x:v>
      </x:c>
      <x:c r="K20" s="32" t="n">
        <x:f>IF(J20="","",(1/'Metadata'!$B$5)^(J20-1))</x:f>
        <x:v>51.05640658689617</x:v>
      </x:c>
      <x:c r="L20" s="31" t="n">
        <x:f>IF(E20=0,"",E20*K20)</x:f>
        <x:v>14109145.730739271</x:v>
      </x:c>
      <x:c r="M20" s="31" t="n">
        <x:f>IF(E20=0,"",I20-L20)</x:f>
        <x:v>22421249.825825177</x:v>
      </x:c>
      <x:c r="N20" s="32" t="n">
        <x:f>IF(L20=0,"",I20/L20)</x:f>
        <x:v>2.589128800121223</x:v>
      </x:c>
      <x:c r="O20" s="34" t="n">
        <x:f>IF(L20=0,"",M20/L20)</x:f>
        <x:v>1.5891288001212232</x:v>
      </x:c>
    </x:row>
    <x:row r="21" ht="18" customHeight="1">
      <x:c r="A21" s="24" t="str">
        <x:v>Small reef assoc. fish (&lt;30 cm)</x:v>
      </x:c>
      <x:c r="B21" s="33" t="n">
        <x:v>3</x:v>
      </x:c>
      <x:c r="C21" s="33" t="n">
        <x:v>3</x:v>
      </x:c>
      <x:c r="D21" s="31" t="n">
        <x:v>11973.8391075795</x:v>
      </x:c>
      <x:c r="E21" s="31" t="n">
        <x:v>11973.8391075795</x:v>
      </x:c>
      <x:c r="F21" s="32" t="n">
        <x:v>0</x:v>
      </x:c>
      <x:c r="G21" s="34" t="n">
        <x:v>1</x:v>
      </x:c>
      <x:c r="H21" s="32" t="n">
        <x:f>IF(E21=0,"",I21/E21)</x:f>
        <x:v>120.1208018157999</x:v>
      </x:c>
      <x:c r="I21" s="31" t="n">
        <x:f>IF(C21=0,"",SUMIF('Species'!$G$2:$G$127,A21,'Species'!$U$2:$U$127))</x:f>
        <x:v>1438307.1544158314</x:v>
      </x:c>
      <x:c r="J21" s="32" t="n">
        <x:v>2.868863562368091</x:v>
      </x:c>
      <x:c r="K21" s="32" t="n">
        <x:f>IF(J21="","",(1/'Metadata'!$B$5)^(J21-1))</x:f>
        <x:v>73.93729577085217</x:v>
      </x:c>
      <x:c r="L21" s="31" t="n">
        <x:f>IF(E21=0,"",E21*K21)</x:f>
        <x:v>885313.2836097021</x:v>
      </x:c>
      <x:c r="M21" s="31" t="n">
        <x:f>IF(E21=0,"",I21-L21)</x:f>
        <x:v>552993.8708061293</x:v>
      </x:c>
      <x:c r="N21" s="32" t="n">
        <x:f>IF(L21=0,"",I21/L21)</x:f>
        <x:v>1.6246307166559146</x:v>
      </x:c>
      <x:c r="O21" s="34" t="n">
        <x:f>IF(L21=0,"",M21/L21)</x:f>
        <x:v>0.6246307166559147</x:v>
      </x:c>
    </x:row>
    <x:row r="22" ht="18" customHeight="1">
      <x:c r="A22" s="24" t="str">
        <x:v>Small to medium flatfishes (&lt;90 cm)</x:v>
      </x:c>
      <x:c r="B22" s="33" t="n">
        <x:v>2</x:v>
      </x:c>
      <x:c r="C22" s="33" t="n">
        <x:v>2</x:v>
      </x:c>
      <x:c r="D22" s="31" t="n">
        <x:v>3114.1654108236</x:v>
      </x:c>
      <x:c r="E22" s="31" t="n">
        <x:v>3114.1654108236</x:v>
      </x:c>
      <x:c r="F22" s="32" t="n">
        <x:v>0</x:v>
      </x:c>
      <x:c r="G22" s="34" t="n">
        <x:v>1</x:v>
      </x:c>
      <x:c r="H22" s="32" t="n">
        <x:f>IF(E22=0,"",I22/E22)</x:f>
        <x:v>763.9875082246149</x:v>
      </x:c>
      <x:c r="I22" s="31" t="n">
        <x:f>IF(C22=0,"",SUMIF('Species'!$G$2:$G$127,A22,'Species'!$U$2:$U$127))</x:f>
        <x:v>2379183.472414406</x:v>
      </x:c>
      <x:c r="J22" s="32" t="n">
        <x:v>3.483782070907814</x:v>
      </x:c>
      <x:c r="K22" s="32" t="n">
        <x:f>IF(J22="","",(1/'Metadata'!$B$5)^(J22-1))</x:f>
        <x:v>304.6365938742999</x:v>
      </x:c>
      <x:c r="L22" s="31" t="n">
        <x:f>IF(E22=0,"",E22*K22)</x:f>
        <x:v>948688.7435144612</x:v>
      </x:c>
      <x:c r="M22" s="31" t="n">
        <x:f>IF(E22=0,"",I22-L22)</x:f>
        <x:v>1430494.7288999448</x:v>
      </x:c>
      <x:c r="N22" s="32" t="n">
        <x:f>IF(L22=0,"",I22/L22)</x:f>
        <x:v>2.507865186215461</x:v>
      </x:c>
      <x:c r="O22" s="34" t="n">
        <x:f>IF(L22=0,"",M22/L22)</x:f>
        <x:v>1.507865186215461</x:v>
      </x:c>
    </x:row>
  </x:sheetData>
  <x:conditionalFormatting sqref="G2:G22">
    <x:cfRule type="cellIs" dxfId="2" priority="1" operator="lessThan">
      <x:formula>0.9</x:formula>
    </x:cfRule>
  </x:conditionalFormatting>
  <x:conditionalFormatting sqref="O2:O2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0c7e50ae69ff47b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EEZ_586</x:v>
      </x:c>
      <x:c r="B2" s="24" t="str">
        <x:v>raw_filtered_tonnes</x:v>
      </x:c>
      <x:c r="C2" s="24" t="n">
        <x:v>930340.293158082</x:v>
      </x:c>
      <x:c r="D2" s="24" t="str">
        <x:v>tonnes</x:v>
      </x:c>
    </x:row>
    <x:row r="3" ht="18" customHeight="1">
      <x:c r="A3" s="24" t="str">
        <x:v>EEZ_586</x:v>
      </x:c>
      <x:c r="B3" s="24" t="str">
        <x:v>species_catch_tonnes</x:v>
      </x:c>
      <x:c r="C3" s="24" t="n">
        <x:v>930340.2931580818</x:v>
      </x:c>
      <x:c r="D3" s="24" t="str">
        <x:v>tonnes</x:v>
      </x:c>
    </x:row>
    <x:row r="4" ht="18" customHeight="1">
      <x:c r="A4" s="24" t="str">
        <x:v>EEZ_586</x:v>
      </x:c>
      <x:c r="B4" s="24" t="str">
        <x:v>catch_difference_tonnes</x:v>
      </x:c>
      <x:c r="C4" s="24" t="n">
        <x:v>-1.1641532182693481e-10</x:v>
      </x:c>
      <x:c r="D4" s="24" t="str">
        <x:v>tonnes</x:v>
      </x:c>
    </x:row>
    <x:row r="5" ht="18" customHeight="1">
      <x:c r="A5" s="24" t="str">
        <x:v>EEZ_586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EEZ_586</x:v>
      </x:c>
      <x:c r="B6" s="24" t="str">
        <x:v>matched_catch_tonnes</x:v>
      </x:c>
      <x:c r="C6" s="24" t="n">
        <x:v>930340.2931580818</x:v>
      </x:c>
      <x:c r="D6" s="24" t="str">
        <x:v>tonnes</x:v>
      </x:c>
    </x:row>
    <x:row r="7" ht="18" customHeight="1">
      <x:c r="A7" s="24" t="str">
        <x:v>EEZ_586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EEZ_586</x:v>
      </x:c>
      <x:c r="B8" s="24" t="str">
        <x:v>taxa_count</x:v>
      </x:c>
      <x:c r="C8" s="24" t="n">
        <x:v>126</x:v>
      </x:c>
      <x:c r="D8" s="24" t="str">
        <x:v>count</x:v>
      </x:c>
    </x:row>
    <x:row r="9" ht="18" customHeight="1">
      <x:c r="A9" s="24" t="str">
        <x:v>EEZ_586</x:v>
      </x:c>
      <x:c r="B9" s="24" t="str">
        <x:v>matched_taxa_count</x:v>
      </x:c>
      <x:c r="C9" s="24" t="n">
        <x:v>126</x:v>
      </x:c>
      <x:c r="D9" s="24" t="str">
        <x:v>count</x:v>
      </x:c>
    </x:row>
    <x:row r="10" ht="18" customHeight="1">
      <x:c r="A10" s="24" t="str">
        <x:v>EEZ_586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EEZ_586</x:v>
      </x:c>
      <x:c r="B11" s="24" t="str">
        <x:v>species_ppr</x:v>
      </x:c>
      <x:c r="C11" s="24" t="n">
        <x:v>790261291.1785368</x:v>
      </x:c>
      <x:c r="D11" s="24" t="str">
        <x:v>tonnes_primary_production_equivalent</x:v>
      </x:c>
    </x:row>
    <x:row r="12" ht="18" customHeight="1">
      <x:c r="A12" s="24" t="str">
        <x:v>EEZ_586</x:v>
      </x:c>
      <x:c r="B12" s="24" t="str">
        <x:v>commercial_ppr</x:v>
      </x:c>
      <x:c r="C12" s="24" t="n">
        <x:v>790261291.1785368</x:v>
      </x:c>
      <x:c r="D12" s="24" t="str">
        <x:v>tonnes_primary_production_equivalent</x:v>
      </x:c>
    </x:row>
    <x:row r="13" ht="18" customHeight="1">
      <x:c r="A13" s="24" t="str">
        <x:v>EEZ_586</x:v>
      </x:c>
      <x:c r="B13" s="24" t="str">
        <x:v>functional_ppr</x:v>
      </x:c>
      <x:c r="C13" s="24" t="n">
        <x:v>790261291.1785369</x:v>
      </x:c>
      <x:c r="D13" s="24" t="str">
        <x:v>tonnes_primary_production_equivalent</x:v>
      </x:c>
    </x:row>
    <x:row r="14" ht="18" customHeight="1">
      <x:c r="A14" s="24" t="str">
        <x:v>EEZ_586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EEZ_586</x:v>
      </x:c>
      <x:c r="B15" s="24" t="str">
        <x:v>functional_ppr_difference</x:v>
      </x:c>
      <x:c r="C15" s="24" t="n">
        <x:v>1.1920928955078125e-7</x:v>
      </x:c>
      <x:c r="D15" s="24" t="str">
        <x:v>tonnes_primary_production_equivalent</x:v>
      </x:c>
    </x:row>
    <x:row r="16" ht="18" customHeight="1">
      <x:c r="A16" s="24" t="str">
        <x:v>EEZ_586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EEZ_586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EEZ_586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EEZ_586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c8655cccfa994a4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EEZ_586 - Pakistan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EEZ_586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raw_data/SAU_downloads/EEZ_586-catch.zip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