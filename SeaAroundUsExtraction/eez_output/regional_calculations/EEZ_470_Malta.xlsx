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ce80291d454d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c17f2692688b4219"/>
    <x:sheet xmlns:r="http://schemas.openxmlformats.org/officeDocument/2006/relationships" name="Commercial" sheetId="2" r:id="Rddd67cff88fd401b"/>
    <x:sheet xmlns:r="http://schemas.openxmlformats.org/officeDocument/2006/relationships" name="Functional" sheetId="3" r:id="Rf06223b3a1e0438b"/>
    <x:sheet xmlns:r="http://schemas.openxmlformats.org/officeDocument/2006/relationships" name="Missing TL" sheetId="4" r:id="R064bda9267ed4526"/>
    <x:sheet xmlns:r="http://schemas.openxmlformats.org/officeDocument/2006/relationships" name="Validation" sheetId="5" r:id="R686899aeba1c4d98"/>
    <x:sheet xmlns:r="http://schemas.openxmlformats.org/officeDocument/2006/relationships" name="Metadata" sheetId="6" r:id="R6a77b02ed2a54f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9a493a9d524b8e" /><Relationship Type="http://schemas.openxmlformats.org/officeDocument/2006/relationships/theme" Target="/xl/theme/theme1.xml" Id="Rd02f9367538141ff" /><Relationship Type="http://schemas.microsoft.com/office/2022/11/relationships/FeaturePropertyBag" Target="/xl/featurePropertyBag/featurePropertyBag.xml" Id="R35ef0347dc464a53" /><Relationship Type="http://schemas.openxmlformats.org/officeDocument/2006/relationships/sharedStrings" Target="/xl/sharedStrings.xml" Id="R45b7dc650464433d" /><Relationship Type="http://schemas.openxmlformats.org/officeDocument/2006/relationships/worksheet" Target="/xl/worksheets/sheet1.xml" Id="Rc17f2692688b4219" /><Relationship Type="http://schemas.openxmlformats.org/officeDocument/2006/relationships/worksheet" Target="/xl/worksheets/sheet2.xml" Id="Rddd67cff88fd401b" /><Relationship Type="http://schemas.openxmlformats.org/officeDocument/2006/relationships/worksheet" Target="/xl/worksheets/sheet3.xml" Id="Rf06223b3a1e0438b" /><Relationship Type="http://schemas.openxmlformats.org/officeDocument/2006/relationships/worksheet" Target="/xl/worksheets/sheet4.xml" Id="R064bda9267ed4526" /><Relationship Type="http://schemas.openxmlformats.org/officeDocument/2006/relationships/worksheet" Target="/xl/worksheets/sheet5.xml" Id="R686899aeba1c4d98" /><Relationship Type="http://schemas.openxmlformats.org/officeDocument/2006/relationships/worksheet" Target="/xl/worksheets/sheet6.xml" Id="R6a77b02ed2a54fb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470SpeciesTable" displayName="EEZ470SpeciesTable" ref="A1:U214" headerRowCount="1" totalsRowCount="0" totalsRowShown="0">
  <x:autoFilter ref="A1:U21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470CommercialTable" displayName="EEZ470CommercialTable" ref="A1:O13" headerRowCount="1" totalsRowCount="0" totalsRowShown="0">
  <x:autoFilter ref="A1:O13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470FunctionalTable" displayName="EEZ470FunctionalTable" ref="A1:O26" headerRowCount="1" totalsRowCount="0" totalsRowShown="0">
  <x:autoFilter ref="A1:O26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470ValidationTable" displayName="EEZ470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a5409826ecb4c0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7990d35dd4b45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743cd56873346c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5b2471cc8aa454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EEZ_470</x:v>
      </x:c>
      <x:c r="B2" s="24" t="str">
        <x:v>Malta</x:v>
      </x:c>
      <x:c r="C2" s="24" t="str">
        <x:v>EEZ</x:v>
      </x:c>
      <x:c r="D2" s="30" t="n">
        <x:v>2019</x:v>
      </x:c>
      <x:c r="E2" s="24" t="str">
        <x:v>Thunnus thynnus</x:v>
      </x:c>
      <x:c r="F2" s="24" t="str">
        <x:v>Atlantic bluefin tuna</x:v>
      </x:c>
      <x:c r="G2" s="24" t="str">
        <x:v>Large pelagics (&gt;=90 cm)</x:v>
      </x:c>
      <x:c r="H2" s="24" t="str">
        <x:v>Tuna &amp; billfishes</x:v>
      </x:c>
      <x:c r="I2" s="31" t="n">
        <x:v>1959.1142189067</x:v>
      </x:c>
      <x:c r="J2" s="31" t="n">
        <x:v>1959.1142189067</x:v>
      </x:c>
      <x:c r="K2" s="31" t="n">
        <x:v>0</x:v>
      </x:c>
      <x:c r="L2" s="31" t="n">
        <x:v>1957.8054101909001</x:v>
      </x:c>
      <x:c r="M2" s="31" t="n">
        <x:v>1.3088087158</x:v>
      </x:c>
      <x:c r="N2" s="24" t="str">
        <x:v>thunnus thynnus</x:v>
      </x:c>
      <x:c r="O2" s="32" t="n">
        <x:v>4.45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Thunnus thynnus</x:v>
      </x:c>
      <x:c r="T2" s="32" t="n">
        <x:f>IF(O2="","",(1/'Metadata'!$B$5)^(O2-1))</x:f>
        <x:v>2818.382931264455</x:v>
      </x:c>
      <x:c r="U2" s="31" t="n">
        <x:f>IF(T2="","",I2*T2)</x:f>
        <x:v>5521534.074964138</x:v>
      </x:c>
    </x:row>
    <x:row r="3" ht="18" customHeight="1">
      <x:c r="A3" s="24" t="str">
        <x:v>EEZ_470</x:v>
      </x:c>
      <x:c r="B3" s="24" t="str">
        <x:v>Malta</x:v>
      </x:c>
      <x:c r="C3" s="24" t="str">
        <x:v>EEZ</x:v>
      </x:c>
      <x:c r="D3" s="30" t="n">
        <x:v>2019</x:v>
      </x:c>
      <x:c r="E3" s="24" t="str">
        <x:v>Sarda sarda</x:v>
      </x:c>
      <x:c r="F3" s="24" t="str">
        <x:v>Atlantic bonito</x:v>
      </x:c>
      <x:c r="G3" s="24" t="str">
        <x:v>Medium pelagics (30 - 89 cm)</x:v>
      </x:c>
      <x:c r="H3" s="24" t="str">
        <x:v>Tuna &amp; billfishes</x:v>
      </x:c>
      <x:c r="I3" s="31" t="n">
        <x:v>1084.1188271452002</x:v>
      </x:c>
      <x:c r="J3" s="31" t="n">
        <x:v>1084.1188271452002</x:v>
      </x:c>
      <x:c r="K3" s="31" t="n">
        <x:v>0</x:v>
      </x:c>
      <x:c r="L3" s="31" t="n">
        <x:v>1082.3851092302</x:v>
      </x:c>
      <x:c r="M3" s="31" t="n">
        <x:v>1.733717915</x:v>
      </x:c>
      <x:c r="N3" s="24" t="str">
        <x:v>sarda sarda</x:v>
      </x:c>
      <x:c r="O3" s="32" t="n">
        <x:v>4.5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Sarda sarda</x:v>
      </x:c>
      <x:c r="T3" s="32" t="n">
        <x:f>IF(O3="","",(1/'Metadata'!$B$5)^(O3-1))</x:f>
        <x:v>3162.2776601683795</x:v>
      </x:c>
      <x:c r="U3" s="31" t="n">
        <x:f>IF(T3="","",I3*T3)</x:f>
        <x:v>3428284.748049211</x:v>
      </x:c>
    </x:row>
    <x:row r="4" ht="18" customHeight="1">
      <x:c r="A4" s="24" t="str">
        <x:v>EEZ_470</x:v>
      </x:c>
      <x:c r="B4" s="24" t="str">
        <x:v>Malta</x:v>
      </x:c>
      <x:c r="C4" s="24" t="str">
        <x:v>EEZ</x:v>
      </x:c>
      <x:c r="D4" s="30" t="n">
        <x:v>2019</x:v>
      </x:c>
      <x:c r="E4" s="24" t="str">
        <x:v>Scomberomorus commerson</x:v>
      </x:c>
      <x:c r="F4" s="24" t="str">
        <x:v>Narrow-barred Spanish mackerel</x:v>
      </x:c>
      <x:c r="G4" s="24" t="str">
        <x:v>Large pelagics (&gt;=90 cm)</x:v>
      </x:c>
      <x:c r="H4" s="24" t="str">
        <x:v>Perch-likes</x:v>
      </x:c>
      <x:c r="I4" s="31" t="n">
        <x:v>696</x:v>
      </x:c>
      <x:c r="J4" s="31" t="n">
        <x:v>696</x:v>
      </x:c>
      <x:c r="K4" s="31" t="n">
        <x:v>0</x:v>
      </x:c>
      <x:c r="L4" s="31" t="n">
        <x:v>696</x:v>
      </x:c>
      <x:c r="M4" s="31" t="n">
        <x:v>0</x:v>
      </x:c>
      <x:c r="N4" s="24" t="str">
        <x:v>scomberomorus commerson</x:v>
      </x:c>
      <x:c r="O4" s="32" t="n">
        <x:v>4.5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Scomberomorus commerson</x:v>
      </x:c>
      <x:c r="T4" s="32" t="n">
        <x:f>IF(O4="","",(1/'Metadata'!$B$5)^(O4-1))</x:f>
        <x:v>3162.2776601683795</x:v>
      </x:c>
      <x:c r="U4" s="31" t="n">
        <x:f>IF(T4="","",I4*T4)</x:f>
        <x:v>2200945.251477192</x:v>
      </x:c>
    </x:row>
    <x:row r="5" ht="18" customHeight="1">
      <x:c r="A5" s="24" t="str">
        <x:v>EEZ_470</x:v>
      </x:c>
      <x:c r="B5" s="24" t="str">
        <x:v>Malta</x:v>
      </x:c>
      <x:c r="C5" s="24" t="str">
        <x:v>EEZ</x:v>
      </x:c>
      <x:c r="D5" s="30" t="n">
        <x:v>2019</x:v>
      </x:c>
      <x:c r="E5" s="24" t="str">
        <x:v>Coryphaena hippurus</x:v>
      </x:c>
      <x:c r="F5" s="24" t="str">
        <x:v>Common dolphinfish</x:v>
      </x:c>
      <x:c r="G5" s="24" t="str">
        <x:v>Large pelagics (&gt;=90 cm)</x:v>
      </x:c>
      <x:c r="H5" s="24" t="str">
        <x:v>Perch-likes</x:v>
      </x:c>
      <x:c r="I5" s="31" t="n">
        <x:v>525.3466375783</x:v>
      </x:c>
      <x:c r="J5" s="31" t="n">
        <x:v>525.3466375783</x:v>
      </x:c>
      <x:c r="K5" s="31" t="n">
        <x:v>0</x:v>
      </x:c>
      <x:c r="L5" s="31" t="n">
        <x:v>464.7891522484</x:v>
      </x:c>
      <x:c r="M5" s="31" t="n">
        <x:v>60.5574853299</x:v>
      </x:c>
      <x:c r="N5" s="24" t="str">
        <x:v>coryphaena hippurus</x:v>
      </x:c>
      <x:c r="O5" s="32" t="n">
        <x:v>4.37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Coryphaena hippurus</x:v>
      </x:c>
      <x:c r="T5" s="32" t="n">
        <x:f>IF(O5="","",(1/'Metadata'!$B$5)^(O5-1))</x:f>
        <x:v>2344.228815319923</x:v>
      </x:c>
      <x:c r="U5" s="31" t="n">
        <x:f>IF(T5="","",I5*T5)</x:f>
        <x:v>1231532.725842483</x:v>
      </x:c>
    </x:row>
    <x:row r="6" ht="18" customHeight="1">
      <x:c r="A6" s="24" t="str">
        <x:v>EEZ_470</x:v>
      </x:c>
      <x:c r="B6" s="24" t="str">
        <x:v>Malta</x:v>
      </x:c>
      <x:c r="C6" s="24" t="str">
        <x:v>EEZ</x:v>
      </x:c>
      <x:c r="D6" s="30" t="n">
        <x:v>2019</x:v>
      </x:c>
      <x:c r="E6" s="24" t="str">
        <x:v>Scomber colias</x:v>
      </x:c>
      <x:c r="F6" s="24" t="str">
        <x:v>Atlantic chub mackerel</x:v>
      </x:c>
      <x:c r="G6" s="24" t="str">
        <x:v>Medium pelagics (30 - 89 cm)</x:v>
      </x:c>
      <x:c r="H6" s="24" t="str">
        <x:v>Perch-likes</x:v>
      </x:c>
      <x:c r="I6" s="31" t="n">
        <x:v>503.88000000000005</x:v>
      </x:c>
      <x:c r="J6" s="31" t="n">
        <x:v>503.88000000000005</x:v>
      </x:c>
      <x:c r="K6" s="31" t="n">
        <x:v>0</x:v>
      </x:c>
      <x:c r="L6" s="31" t="n">
        <x:v>503.88000000000005</x:v>
      </x:c>
      <x:c r="M6" s="31" t="n">
        <x:v>0</x:v>
      </x:c>
      <x:c r="N6" s="24" t="str">
        <x:v>scomber colias</x:v>
      </x:c>
      <x:c r="O6" s="32" t="n">
        <x:v>3.91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Scomber colias</x:v>
      </x:c>
      <x:c r="T6" s="32" t="n">
        <x:f>IF(O6="","",(1/'Metadata'!$B$5)^(O6-1))</x:f>
        <x:v>812.8305161640995</x:v>
      </x:c>
      <x:c r="U6" s="31" t="n">
        <x:f>IF(T6="","",I6*T6)</x:f>
        <x:v>409569.04048476653</x:v>
      </x:c>
    </x:row>
    <x:row r="7" ht="18" customHeight="1">
      <x:c r="A7" s="24" t="str">
        <x:v>EEZ_470</x:v>
      </x:c>
      <x:c r="B7" s="24" t="str">
        <x:v>Malta</x:v>
      </x:c>
      <x:c r="C7" s="24" t="str">
        <x:v>EEZ</x:v>
      </x:c>
      <x:c r="D7" s="30" t="n">
        <x:v>2019</x:v>
      </x:c>
      <x:c r="E7" s="24" t="str">
        <x:v>Marine fishes not identified</x:v>
      </x:c>
      <x:c r="F7" s="24" t="str">
        <x:v>Marine fishes nei</x:v>
      </x:c>
      <x:c r="G7" s="24" t="str">
        <x:v>Medium demersals (30 - 89 cm)</x:v>
      </x:c>
      <x:c r="H7" s="24" t="str">
        <x:v>Other fishes &amp; inverts</x:v>
      </x:c>
      <x:c r="I7" s="31" t="n">
        <x:v>306.7467754021</x:v>
      </x:c>
      <x:c r="J7" s="31" t="n">
        <x:v>219.3031850655</x:v>
      </x:c>
      <x:c r="K7" s="31" t="n">
        <x:v>87.4435903366</x:v>
      </x:c>
      <x:c r="L7" s="31" t="n">
        <x:v>143.9993120903</x:v>
      </x:c>
      <x:c r="M7" s="31" t="n">
        <x:v>162.7474633118</x:v>
      </x:c>
      <x:c r="N7" s="24" t="str">
        <x:v>marine fishes not identified</x:v>
      </x:c>
      <x:c r="O7" s="32" t="n">
        <x:v>3.28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Marine fishes not identified</x:v>
      </x:c>
      <x:c r="T7" s="32" t="n">
        <x:f>IF(O7="","",(1/'Metadata'!$B$5)^(O7-1))</x:f>
        <x:v>190.54607179632464</x:v>
      </x:c>
      <x:c r="U7" s="31" t="n">
        <x:f>IF(T7="","",I7*T7)</x:f>
        <x:v>58449.39308905962</x:v>
      </x:c>
    </x:row>
    <x:row r="8" ht="18" customHeight="1">
      <x:c r="A8" s="24" t="str">
        <x:v>EEZ_470</x:v>
      </x:c>
      <x:c r="B8" s="24" t="str">
        <x:v>Malta</x:v>
      </x:c>
      <x:c r="C8" s="24" t="str">
        <x:v>EEZ</x:v>
      </x:c>
      <x:c r="D8" s="30" t="n">
        <x:v>2019</x:v>
      </x:c>
      <x:c r="E8" s="24" t="str">
        <x:v>Xiphias gladius</x:v>
      </x:c>
      <x:c r="F8" s="24" t="str">
        <x:v>Swordfish</x:v>
      </x:c>
      <x:c r="G8" s="24" t="str">
        <x:v>Large pelagics (&gt;=90 cm)</x:v>
      </x:c>
      <x:c r="H8" s="24" t="str">
        <x:v>Tuna &amp; billfishes</x:v>
      </x:c>
      <x:c r="I8" s="31" t="n">
        <x:v>292.2072766887</x:v>
      </x:c>
      <x:c r="J8" s="31" t="n">
        <x:v>292.2072766887</x:v>
      </x:c>
      <x:c r="K8" s="31" t="n">
        <x:v>0</x:v>
      </x:c>
      <x:c r="L8" s="31" t="n">
        <x:v>289.9171283005</x:v>
      </x:c>
      <x:c r="M8" s="31" t="n">
        <x:v>2.2901483882</x:v>
      </x:c>
      <x:c r="N8" s="24" t="str">
        <x:v>xiphias gladius</x:v>
      </x:c>
      <x:c r="O8" s="32" t="n">
        <x:v>4.53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Xiphias gladius</x:v>
      </x:c>
      <x:c r="T8" s="32" t="n">
        <x:f>IF(O8="","",(1/'Metadata'!$B$5)^(O8-1))</x:f>
        <x:v>3388.4415613920273</x:v>
      </x:c>
      <x:c r="U8" s="31" t="n">
        <x:f>IF(T8="","",I8*T8)</x:f>
        <x:v>990127.2808731708</x:v>
      </x:c>
    </x:row>
    <x:row r="9" ht="18" customHeight="1">
      <x:c r="A9" s="24" t="str">
        <x:v>EEZ_470</x:v>
      </x:c>
      <x:c r="B9" s="24" t="str">
        <x:v>Malta</x:v>
      </x:c>
      <x:c r="C9" s="24" t="str">
        <x:v>EEZ</x:v>
      </x:c>
      <x:c r="D9" s="30" t="n">
        <x:v>2019</x:v>
      </x:c>
      <x:c r="E9" s="24" t="str">
        <x:v>Euthynnus alletteratus</x:v>
      </x:c>
      <x:c r="F9" s="24" t="str">
        <x:v>Little tunny </x:v>
      </x:c>
      <x:c r="G9" s="24" t="str">
        <x:v>Large pelagics (&gt;=90 cm)</x:v>
      </x:c>
      <x:c r="H9" s="24" t="str">
        <x:v>Tuna &amp; billfishes</x:v>
      </x:c>
      <x:c r="I9" s="31" t="n">
        <x:v>238.1773703944</x:v>
      </x:c>
      <x:c r="J9" s="31" t="n">
        <x:v>238.1773703944</x:v>
      </x:c>
      <x:c r="K9" s="31" t="n">
        <x:v>0</x:v>
      </x:c>
      <x:c r="L9" s="31" t="n">
        <x:v>237.4305459909</x:v>
      </x:c>
      <x:c r="M9" s="31" t="n">
        <x:v>0.7468244035</x:v>
      </x:c>
      <x:c r="N9" s="24" t="str">
        <x:v>euthynnus alletteratus</x:v>
      </x:c>
      <x:c r="O9" s="32" t="n">
        <x:v>4.49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Euthynnus alletteratus</x:v>
      </x:c>
      <x:c r="T9" s="32" t="n">
        <x:f>IF(O9="","",(1/'Metadata'!$B$5)^(O9-1))</x:f>
        <x:v>3090.295432513592</x:v>
      </x:c>
      <x:c r="U9" s="31" t="n">
        <x:f>IF(T9="","",I9*T9)</x:f>
        <x:v>736038.4398579124</x:v>
      </x:c>
    </x:row>
    <x:row r="10" ht="18" customHeight="1">
      <x:c r="A10" s="24" t="str">
        <x:v>EEZ_470</x:v>
      </x:c>
      <x:c r="B10" s="24" t="str">
        <x:v>Malta</x:v>
      </x:c>
      <x:c r="C10" s="24" t="str">
        <x:v>EEZ</x:v>
      </x:c>
      <x:c r="D10" s="30" t="n">
        <x:v>2019</x:v>
      </x:c>
      <x:c r="E10" s="24" t="str">
        <x:v>Parapenaeus longirostris</x:v>
      </x:c>
      <x:c r="F10" s="24" t="str">
        <x:v>Deepwater rose shrimp</x:v>
      </x:c>
      <x:c r="G10" s="24" t="str">
        <x:v>Shrimps</x:v>
      </x:c>
      <x:c r="H10" s="24" t="str">
        <x:v>Crustaceans</x:v>
      </x:c>
      <x:c r="I10" s="31" t="n">
        <x:v>233.6581446334</x:v>
      </x:c>
      <x:c r="J10" s="31" t="n">
        <x:v>233.6581446334</x:v>
      </x:c>
      <x:c r="K10" s="31" t="n">
        <x:v>0</x:v>
      </x:c>
      <x:c r="L10" s="31" t="n">
        <x:v>195.416027507</x:v>
      </x:c>
      <x:c r="M10" s="31" t="n">
        <x:v>38.242117126400004</x:v>
      </x:c>
      <x:c r="N10" s="24" t="str">
        <x:v>parapenaeus longirostris</x:v>
      </x:c>
      <x:c r="O10" s="32" t="n">
        <x:v>3.3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Parapenaeus longirostris</x:v>
      </x:c>
      <x:c r="T10" s="32" t="n">
        <x:f>IF(O10="","",(1/'Metadata'!$B$5)^(O10-1))</x:f>
        <x:v>199.52623149688787</x:v>
      </x:c>
      <x:c r="U10" s="31" t="n">
        <x:f>IF(T10="","",I10*T10)</x:f>
        <x:v>46620.92905725708</x:v>
      </x:c>
    </x:row>
    <x:row r="11" ht="18" customHeight="1">
      <x:c r="A11" s="24" t="str">
        <x:v>EEZ_470</x:v>
      </x:c>
      <x:c r="B11" s="24" t="str">
        <x:v>Malta</x:v>
      </x:c>
      <x:c r="C11" s="24" t="str">
        <x:v>EEZ</x:v>
      </x:c>
      <x:c r="D11" s="30" t="n">
        <x:v>2019</x:v>
      </x:c>
      <x:c r="E11" s="24" t="str">
        <x:v>Lepidopus caudatus</x:v>
      </x:c>
      <x:c r="F11" s="24" t="str">
        <x:v>Silver scabbardfish</x:v>
      </x:c>
      <x:c r="G11" s="24" t="str">
        <x:v>Large bathydemersals (&gt;=90 cm)</x:v>
      </x:c>
      <x:c r="H11" s="24" t="str">
        <x:v>Perch-likes</x:v>
      </x:c>
      <x:c r="I11" s="31" t="n">
        <x:v>142.1076121401</x:v>
      </x:c>
      <x:c r="J11" s="31" t="n">
        <x:v>141.9416536874</x:v>
      </x:c>
      <x:c r="K11" s="31" t="n">
        <x:v>0.1659584527</x:v>
      </x:c>
      <x:c r="L11" s="31" t="n">
        <x:v>136.01</x:v>
      </x:c>
      <x:c r="M11" s="31" t="n">
        <x:v>6.0976121401</x:v>
      </x:c>
      <x:c r="N11" s="24" t="str">
        <x:v>lepidopus caudatus</x:v>
      </x:c>
      <x:c r="O11" s="32" t="n">
        <x:v>3.82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Lepidopus caudatus</x:v>
      </x:c>
      <x:c r="T11" s="32" t="n">
        <x:f>IF(O11="","",(1/'Metadata'!$B$5)^(O11-1))</x:f>
        <x:v>660.6934480075957</x:v>
      </x:c>
      <x:c r="U11" s="31" t="n">
        <x:f>IF(T11="","",I11*T11)</x:f>
        <x:v>93889.56825296875</x:v>
      </x:c>
    </x:row>
    <x:row r="12" ht="18" customHeight="1">
      <x:c r="A12" s="24" t="str">
        <x:v>EEZ_470</x:v>
      </x:c>
      <x:c r="B12" s="24" t="str">
        <x:v>Malta</x:v>
      </x:c>
      <x:c r="C12" s="24" t="str">
        <x:v>EEZ</x:v>
      </x:c>
      <x:c r="D12" s="30" t="n">
        <x:v>2019</x:v>
      </x:c>
      <x:c r="E12" s="24" t="str">
        <x:v>Chlorophthalmidae</x:v>
      </x:c>
      <x:c r="F12" s="24" t="str">
        <x:v>Greeneyes</x:v>
      </x:c>
      <x:c r="G12" s="24" t="str">
        <x:v>Small demersals (&lt;30 cm)</x:v>
      </x:c>
      <x:c r="H12" s="24" t="str">
        <x:v>Other fishes &amp; inverts</x:v>
      </x:c>
      <x:c r="I12" s="31" t="n">
        <x:v>123.030532721</x:v>
      </x:c>
      <x:c r="J12" s="31" t="n">
        <x:v>0</x:v>
      </x:c>
      <x:c r="K12" s="31" t="n">
        <x:v>123.030532721</x:v>
      </x:c>
      <x:c r="L12" s="31" t="n">
        <x:v>0</x:v>
      </x:c>
      <x:c r="M12" s="31" t="n">
        <x:v>123.030532721</x:v>
      </x:c>
      <x:c r="N12" s="24" t="str">
        <x:v>chlorophthalmidae</x:v>
      </x:c>
      <x:c r="O12" s="32" t="n">
        <x:v>3.62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Chlorophthalmidae</x:v>
      </x:c>
      <x:c r="T12" s="32" t="n">
        <x:f>IF(O12="","",(1/'Metadata'!$B$5)^(O12-1))</x:f>
        <x:v>416.8693834703355</x:v>
      </x:c>
      <x:c r="U12" s="31" t="n">
        <x:f>IF(T12="","",I12*T12)</x:f>
        <x:v>51287.66232343021</x:v>
      </x:c>
    </x:row>
    <x:row r="13" ht="18" customHeight="1">
      <x:c r="A13" s="24" t="str">
        <x:v>EEZ_470</x:v>
      </x:c>
      <x:c r="B13" s="24" t="str">
        <x:v>Malta</x:v>
      </x:c>
      <x:c r="C13" s="24" t="str">
        <x:v>EEZ</x:v>
      </x:c>
      <x:c r="D13" s="30" t="n">
        <x:v>2019</x:v>
      </x:c>
      <x:c r="E13" s="24" t="str">
        <x:v>Macrouridae</x:v>
      </x:c>
      <x:c r="F13" s="24" t="str">
        <x:v>Grenadiers, rattails</x:v>
      </x:c>
      <x:c r="G13" s="24" t="str">
        <x:v>Medium benthopelagics (30 - 89 cm)</x:v>
      </x:c>
      <x:c r="H13" s="24" t="str">
        <x:v>Cod-likes</x:v>
      </x:c>
      <x:c r="I13" s="31" t="n">
        <x:v>121.647545659</x:v>
      </x:c>
      <x:c r="J13" s="31" t="n">
        <x:v>0</x:v>
      </x:c>
      <x:c r="K13" s="31" t="n">
        <x:v>121.647545659</x:v>
      </x:c>
      <x:c r="L13" s="31" t="n">
        <x:v>0</x:v>
      </x:c>
      <x:c r="M13" s="31" t="n">
        <x:v>121.647545659</x:v>
      </x:c>
      <x:c r="N13" s="24" t="str">
        <x:v>macrouridae</x:v>
      </x:c>
      <x:c r="O13" s="32" t="n">
        <x:v>3.88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Macrouridae</x:v>
      </x:c>
      <x:c r="T13" s="32" t="n">
        <x:f>IF(O13="","",(1/'Metadata'!$B$5)^(O13-1))</x:f>
        <x:v>758.5775750291835</x:v>
      </x:c>
      <x:c r="U13" s="31" t="n">
        <x:f>IF(T13="","",I13*T13)</x:f>
        <x:v>92279.10019425611</x:v>
      </x:c>
    </x:row>
    <x:row r="14" ht="18" customHeight="1">
      <x:c r="A14" s="24" t="str">
        <x:v>EEZ_470</x:v>
      </x:c>
      <x:c r="B14" s="24" t="str">
        <x:v>Malta</x:v>
      </x:c>
      <x:c r="C14" s="24" t="str">
        <x:v>EEZ</x:v>
      </x:c>
      <x:c r="D14" s="30" t="n">
        <x:v>2019</x:v>
      </x:c>
      <x:c r="E14" s="24" t="str">
        <x:v>Galeus melastomus</x:v>
      </x:c>
      <x:c r="F14" s="24" t="str">
        <x:v>Blackmouth catshark</x:v>
      </x:c>
      <x:c r="G14" s="24" t="str">
        <x:v>Small to medium sharks (&lt;90 cm)</x:v>
      </x:c>
      <x:c r="H14" s="24" t="str">
        <x:v>Sharks &amp; rays</x:v>
      </x:c>
      <x:c r="I14" s="31" t="n">
        <x:v>116.1691825896</x:v>
      </x:c>
      <x:c r="J14" s="31" t="n">
        <x:v>0.053585414</x:v>
      </x:c>
      <x:c r="K14" s="31" t="n">
        <x:v>116.1155971756</x:v>
      </x:c>
      <x:c r="L14" s="31" t="n">
        <x:v>0.046549476</x:v>
      </x:c>
      <x:c r="M14" s="31" t="n">
        <x:v>116.1226331136</x:v>
      </x:c>
      <x:c r="N14" s="24" t="str">
        <x:v>galeus melastomus</x:v>
      </x:c>
      <x:c r="O14" s="32" t="n">
        <x:v>4.17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Galeus melastomus</x:v>
      </x:c>
      <x:c r="T14" s="32" t="n">
        <x:f>IF(O14="","",(1/'Metadata'!$B$5)^(O14-1))</x:f>
        <x:v>1479.1083881682073</x:v>
      </x:c>
      <x:c r="U14" s="31" t="n">
        <x:f>IF(T14="","",I14*T14)</x:f>
        <x:v>171826.8124149214</x:v>
      </x:c>
    </x:row>
    <x:row r="15" ht="18" customHeight="1">
      <x:c r="A15" s="24" t="str">
        <x:v>EEZ_470</x:v>
      </x:c>
      <x:c r="B15" s="24" t="str">
        <x:v>Malta</x:v>
      </x:c>
      <x:c r="C15" s="24" t="str">
        <x:v>EEZ</x:v>
      </x:c>
      <x:c r="D15" s="30" t="n">
        <x:v>2019</x:v>
      </x:c>
      <x:c r="E15" s="24" t="str">
        <x:v>Scombridae</x:v>
      </x:c>
      <x:c r="F15" s="24" t="str">
        <x:v>Mackerels, tunas, bonitos</x:v>
      </x:c>
      <x:c r="G15" s="24" t="str">
        <x:v>Medium pelagics (30 - 89 cm)</x:v>
      </x:c>
      <x:c r="H15" s="24" t="str">
        <x:v>Perch-likes</x:v>
      </x:c>
      <x:c r="I15" s="31" t="n">
        <x:v>82.0367840796</x:v>
      </x:c>
      <x:c r="J15" s="31" t="n">
        <x:v>82.0367840796</x:v>
      </x:c>
      <x:c r="K15" s="31" t="n">
        <x:v>0</x:v>
      </x:c>
      <x:c r="L15" s="31" t="n">
        <x:v>0</x:v>
      </x:c>
      <x:c r="M15" s="31" t="n">
        <x:v>82.0367840796</x:v>
      </x:c>
      <x:c r="N15" s="24" t="str">
        <x:v>scombridae</x:v>
      </x:c>
      <x:c r="O15" s="32" t="n">
        <x:v>4.26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Scombridae</x:v>
      </x:c>
      <x:c r="T15" s="32" t="n">
        <x:f>IF(O15="","",(1/'Metadata'!$B$5)^(O15-1))</x:f>
        <x:v>1819.7008586099826</x:v>
      </x:c>
      <x:c r="U15" s="31" t="n">
        <x:f>IF(T15="","",I15*T15)</x:f>
        <x:v>149282.40642724987</x:v>
      </x:c>
    </x:row>
    <x:row r="16" ht="18" customHeight="1">
      <x:c r="A16" s="24" t="str">
        <x:v>EEZ_470</x:v>
      </x:c>
      <x:c r="B16" s="24" t="str">
        <x:v>Malta</x:v>
      </x:c>
      <x:c r="C16" s="24" t="str">
        <x:v>EEZ</x:v>
      </x:c>
      <x:c r="D16" s="30" t="n">
        <x:v>2019</x:v>
      </x:c>
      <x:c r="E16" s="24" t="str">
        <x:v>Aristaeomorpha foliacea</x:v>
      </x:c>
      <x:c r="F16" s="24" t="str">
        <x:v>Giant red shrimp</x:v>
      </x:c>
      <x:c r="G16" s="24" t="str">
        <x:v>Shrimps</x:v>
      </x:c>
      <x:c r="H16" s="24" t="str">
        <x:v>Crustaceans</x:v>
      </x:c>
      <x:c r="I16" s="31" t="n">
        <x:v>81.4905709054</x:v>
      </x:c>
      <x:c r="J16" s="31" t="n">
        <x:v>81.4905709054</x:v>
      </x:c>
      <x:c r="K16" s="31" t="n">
        <x:v>0</x:v>
      </x:c>
      <x:c r="L16" s="31" t="n">
        <x:v>72.5459598403</x:v>
      </x:c>
      <x:c r="M16" s="31" t="n">
        <x:v>8.9446110651</x:v>
      </x:c>
      <x:c r="N16" s="24" t="str">
        <x:v>aristaeomorpha foliacea</x:v>
      </x:c>
      <x:c r="O16" s="32" t="n">
        <x:v>3.71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Aristaeomorpha foliacea</x:v>
      </x:c>
      <x:c r="T16" s="32" t="n">
        <x:f>IF(O16="","",(1/'Metadata'!$B$5)^(O16-1))</x:f>
        <x:v>512.8613839913648</x:v>
      </x:c>
      <x:c r="U16" s="31" t="n">
        <x:f>IF(T16="","",I16*T16)</x:f>
        <x:v>41793.3669767899</x:v>
      </x:c>
    </x:row>
    <x:row r="17" ht="18" customHeight="1">
      <x:c r="A17" s="24" t="str">
        <x:v>EEZ_470</x:v>
      </x:c>
      <x:c r="B17" s="24" t="str">
        <x:v>Malta</x:v>
      </x:c>
      <x:c r="C17" s="24" t="str">
        <x:v>EEZ</x:v>
      </x:c>
      <x:c r="D17" s="30" t="n">
        <x:v>2019</x:v>
      </x:c>
      <x:c r="E17" s="24" t="str">
        <x:v>Mullus surmuletus</x:v>
      </x:c>
      <x:c r="F17" s="24" t="str">
        <x:v>Surmullet</x:v>
      </x:c>
      <x:c r="G17" s="24" t="str">
        <x:v>Medium demersals (30 - 89 cm)</x:v>
      </x:c>
      <x:c r="H17" s="24" t="str">
        <x:v>Perch-likes</x:v>
      </x:c>
      <x:c r="I17" s="31" t="n">
        <x:v>66.760663384</x:v>
      </x:c>
      <x:c r="J17" s="31" t="n">
        <x:v>66.760663384</x:v>
      </x:c>
      <x:c r="K17" s="31" t="n">
        <x:v>0</x:v>
      </x:c>
      <x:c r="L17" s="31" t="n">
        <x:v>62.44465746</x:v>
      </x:c>
      <x:c r="M17" s="31" t="n">
        <x:v>4.316005924000001</x:v>
      </x:c>
      <x:c r="N17" s="24" t="str">
        <x:v>mullus surmuletus</x:v>
      </x:c>
      <x:c r="O17" s="32" t="n">
        <x:v>3.45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Mullus surmuletus</x:v>
      </x:c>
      <x:c r="T17" s="32" t="n">
        <x:f>IF(O17="","",(1/'Metadata'!$B$5)^(O17-1))</x:f>
        <x:v>281.8382931264455</x:v>
      </x:c>
      <x:c r="U17" s="31" t="n">
        <x:f>IF(T17="","",I17*T17)</x:f>
        <x:v>18815.711416135746</x:v>
      </x:c>
    </x:row>
    <x:row r="18" ht="18" customHeight="1">
      <x:c r="A18" s="24" t="str">
        <x:v>EEZ_470</x:v>
      </x:c>
      <x:c r="B18" s="24" t="str">
        <x:v>Malta</x:v>
      </x:c>
      <x:c r="C18" s="24" t="str">
        <x:v>EEZ</x:v>
      </x:c>
      <x:c r="D18" s="30" t="n">
        <x:v>2019</x:v>
      </x:c>
      <x:c r="E18" s="24" t="str">
        <x:v>Xiphiidae</x:v>
      </x:c>
      <x:c r="F18" s="24" t="str">
        <x:v>Swordfishes</x:v>
      </x:c>
      <x:c r="G18" s="24" t="str">
        <x:v>Large pelagics (&gt;=90 cm)</x:v>
      </x:c>
      <x:c r="H18" s="24" t="str">
        <x:v>Tuna &amp; billfishes</x:v>
      </x:c>
      <x:c r="I18" s="31" t="n">
        <x:v>64.219996969</x:v>
      </x:c>
      <x:c r="J18" s="31" t="n">
        <x:v>64.219996969</x:v>
      </x:c>
      <x:c r="K18" s="31" t="n">
        <x:v>0</x:v>
      </x:c>
      <x:c r="L18" s="31" t="n">
        <x:v>0</x:v>
      </x:c>
      <x:c r="M18" s="31" t="n">
        <x:v>64.219996969</x:v>
      </x:c>
      <x:c r="N18" s="24" t="str">
        <x:v>xiphiidae</x:v>
      </x:c>
      <x:c r="O18" s="32" t="n">
        <x:v>4.5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Xiphiidae</x:v>
      </x:c>
      <x:c r="T18" s="32" t="n">
        <x:f>IF(O18="","",(1/'Metadata'!$B$5)^(O18-1))</x:f>
        <x:v>3162.2776601683795</x:v>
      </x:c>
      <x:c r="U18" s="31" t="n">
        <x:f>IF(T18="","",I18*T18)</x:f>
        <x:v>203081.46175114973</x:v>
      </x:c>
    </x:row>
    <x:row r="19" ht="18" customHeight="1">
      <x:c r="A19" s="24" t="str">
        <x:v>EEZ_470</x:v>
      </x:c>
      <x:c r="B19" s="24" t="str">
        <x:v>Malta</x:v>
      </x:c>
      <x:c r="C19" s="24" t="str">
        <x:v>EEZ</x:v>
      </x:c>
      <x:c r="D19" s="30" t="n">
        <x:v>2019</x:v>
      </x:c>
      <x:c r="E19" s="24" t="str">
        <x:v>Boops boops</x:v>
      </x:c>
      <x:c r="F19" s="24" t="str">
        <x:v>Bogue</x:v>
      </x:c>
      <x:c r="G19" s="24" t="str">
        <x:v>Medium demersals (30 - 89 cm)</x:v>
      </x:c>
      <x:c r="H19" s="24" t="str">
        <x:v>Perch-likes</x:v>
      </x:c>
      <x:c r="I19" s="31" t="n">
        <x:v>56.2885854038</x:v>
      </x:c>
      <x:c r="J19" s="31" t="n">
        <x:v>53.567760443800005</x:v>
      </x:c>
      <x:c r="K19" s="31" t="n">
        <x:v>2.72082496</x:v>
      </x:c>
      <x:c r="L19" s="31" t="n">
        <x:v>54.9318662351</x:v>
      </x:c>
      <x:c r="M19" s="31" t="n">
        <x:v>1.3567191687</x:v>
      </x:c>
      <x:c r="N19" s="24" t="str">
        <x:v>boops boops</x:v>
      </x:c>
      <x:c r="O19" s="32" t="n">
        <x:v>2.79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Boops boops</x:v>
      </x:c>
      <x:c r="T19" s="32" t="n">
        <x:f>IF(O19="","",(1/'Metadata'!$B$5)^(O19-1))</x:f>
        <x:v>61.65950018614822</x:v>
      </x:c>
      <x:c r="U19" s="31" t="n">
        <x:f>IF(T19="","",I19*T19)</x:f>
        <x:v>3470.7260421836263</x:v>
      </x:c>
    </x:row>
    <x:row r="20" ht="18" customHeight="1">
      <x:c r="A20" s="24" t="str">
        <x:v>EEZ_470</x:v>
      </x:c>
      <x:c r="B20" s="24" t="str">
        <x:v>Malta</x:v>
      </x:c>
      <x:c r="C20" s="24" t="str">
        <x:v>EEZ</x:v>
      </x:c>
      <x:c r="D20" s="30" t="n">
        <x:v>2019</x:v>
      </x:c>
      <x:c r="E20" s="24" t="str">
        <x:v>Gadidae</x:v>
      </x:c>
      <x:c r="F20" s="24" t="str">
        <x:v>Cods, haddocks</x:v>
      </x:c>
      <x:c r="G20" s="24" t="str">
        <x:v>Medium demersals (30 - 89 cm)</x:v>
      </x:c>
      <x:c r="H20" s="24" t="str">
        <x:v>Cod-likes</x:v>
      </x:c>
      <x:c r="I20" s="31" t="n">
        <x:v>54.6495172754</x:v>
      </x:c>
      <x:c r="J20" s="31" t="n">
        <x:v>0.7683397033</x:v>
      </x:c>
      <x:c r="K20" s="31" t="n">
        <x:v>53.8811775721</x:v>
      </x:c>
      <x:c r="L20" s="31" t="n">
        <x:v>0</x:v>
      </x:c>
      <x:c r="M20" s="31" t="n">
        <x:v>54.6495172754</x:v>
      </x:c>
      <x:c r="N20" s="24" t="str">
        <x:v>gadidae</x:v>
      </x:c>
      <x:c r="O20" s="32" t="n">
        <x:v>3.84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Gadidae</x:v>
      </x:c>
      <x:c r="T20" s="32" t="n">
        <x:f>IF(O20="","",(1/'Metadata'!$B$5)^(O20-1))</x:f>
        <x:v>691.8309709189363</x:v>
      </x:c>
      <x:c r="U20" s="31" t="n">
        <x:f>IF(T20="","",I20*T20)</x:f>
        <x:v>37808.22859689116</x:v>
      </x:c>
    </x:row>
    <x:row r="21" ht="18" customHeight="1">
      <x:c r="A21" s="24" t="str">
        <x:v>EEZ_470</x:v>
      </x:c>
      <x:c r="B21" s="24" t="str">
        <x:v>Malta</x:v>
      </x:c>
      <x:c r="C21" s="24" t="str">
        <x:v>EEZ</x:v>
      </x:c>
      <x:c r="D21" s="30" t="n">
        <x:v>2019</x:v>
      </x:c>
      <x:c r="E21" s="24" t="str">
        <x:v>Auxis rochei</x:v>
      </x:c>
      <x:c r="F21" s="24" t="str">
        <x:v>Bullet tuna</x:v>
      </x:c>
      <x:c r="G21" s="24" t="str">
        <x:v>Medium pelagics (30 - 89 cm)</x:v>
      </x:c>
      <x:c r="H21" s="24" t="str">
        <x:v>Tuna &amp; billfishes</x:v>
      </x:c>
      <x:c r="I21" s="31" t="n">
        <x:v>33.815762221199996</x:v>
      </x:c>
      <x:c r="J21" s="31" t="n">
        <x:v>33.815762221199996</x:v>
      </x:c>
      <x:c r="K21" s="31" t="n">
        <x:v>0</x:v>
      </x:c>
      <x:c r="L21" s="31" t="n">
        <x:v>33.815762221199996</x:v>
      </x:c>
      <x:c r="M21" s="31" t="n">
        <x:v>0</x:v>
      </x:c>
      <x:c r="N21" s="24" t="str">
        <x:v>auxis rochei</x:v>
      </x:c>
      <x:c r="O21" s="32" t="n">
        <x:v>4.13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Auxis rochei</x:v>
      </x:c>
      <x:c r="T21" s="32" t="n">
        <x:f>IF(O21="","",(1/'Metadata'!$B$5)^(O21-1))</x:f>
        <x:v>1348.9628825916532</x:v>
      </x:c>
      <x:c r="U21" s="31" t="n">
        <x:f>IF(T21="","",I21*T21)</x:f>
        <x:v>45616.20808294387</x:v>
      </x:c>
    </x:row>
    <x:row r="22" ht="18" customHeight="1">
      <x:c r="A22" s="24" t="str">
        <x:v>EEZ_470</x:v>
      </x:c>
      <x:c r="B22" s="24" t="str">
        <x:v>Malta</x:v>
      </x:c>
      <x:c r="C22" s="24" t="str">
        <x:v>EEZ</x:v>
      </x:c>
      <x:c r="D22" s="30" t="n">
        <x:v>2019</x:v>
      </x:c>
      <x:c r="E22" s="24" t="str">
        <x:v>Scorpaena scrofa</x:v>
      </x:c>
      <x:c r="F22" s="24" t="str">
        <x:v>Red scorpionfish</x:v>
      </x:c>
      <x:c r="G22" s="24" t="str">
        <x:v>Medium demersals (30 - 89 cm)</x:v>
      </x:c>
      <x:c r="H22" s="24" t="str">
        <x:v>Scorpionfishes</x:v>
      </x:c>
      <x:c r="I22" s="31" t="n">
        <x:v>33.7729563966</x:v>
      </x:c>
      <x:c r="J22" s="31" t="n">
        <x:v>33.7729563966</x:v>
      </x:c>
      <x:c r="K22" s="31" t="n">
        <x:v>0</x:v>
      </x:c>
      <x:c r="L22" s="31" t="n">
        <x:v>32.915787576</x:v>
      </x:c>
      <x:c r="M22" s="31" t="n">
        <x:v>0.8571688206000001</x:v>
      </x:c>
      <x:c r="N22" s="24" t="str">
        <x:v>scorpaena scrofa</x:v>
      </x:c>
      <x:c r="O22" s="32" t="n">
        <x:v>4.25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Scorpaena scrofa</x:v>
      </x:c>
      <x:c r="T22" s="32" t="n">
        <x:f>IF(O22="","",(1/'Metadata'!$B$5)^(O22-1))</x:f>
        <x:v>1778.2794100389228</x:v>
      </x:c>
      <x:c r="U22" s="31" t="n">
        <x:f>IF(T22="","",I22*T22)</x:f>
        <x:v>60057.752976216114</x:v>
      </x:c>
    </x:row>
    <x:row r="23" ht="18" customHeight="1">
      <x:c r="A23" s="24" t="str">
        <x:v>EEZ_470</x:v>
      </x:c>
      <x:c r="B23" s="24" t="str">
        <x:v>Malta</x:v>
      </x:c>
      <x:c r="C23" s="24" t="str">
        <x:v>EEZ</x:v>
      </x:c>
      <x:c r="D23" s="30" t="n">
        <x:v>2019</x:v>
      </x:c>
      <x:c r="E23" s="24" t="str">
        <x:v>Octopus vulgaris</x:v>
      </x:c>
      <x:c r="F23" s="24" t="str">
        <x:v>Common octopus</x:v>
      </x:c>
      <x:c r="G23" s="24" t="str">
        <x:v>Cephalopods</x:v>
      </x:c>
      <x:c r="H23" s="24" t="str">
        <x:v>Other fishes &amp; inverts</x:v>
      </x:c>
      <x:c r="I23" s="31" t="n">
        <x:v>33.029429986000004</x:v>
      </x:c>
      <x:c r="J23" s="31" t="n">
        <x:v>33.029429986000004</x:v>
      </x:c>
      <x:c r="K23" s="31" t="n">
        <x:v>0</x:v>
      </x:c>
      <x:c r="L23" s="31" t="n">
        <x:v>32.075020888000005</x:v>
      </x:c>
      <x:c r="M23" s="31" t="n">
        <x:v>0.954409098</x:v>
      </x:c>
      <x:c r="N23" s="24" t="str">
        <x:v>octopus vulgaris</x:v>
      </x:c>
      <x:c r="O23" s="32" t="n">
        <x:v>3.6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Octopus vulgaris</x:v>
      </x:c>
      <x:c r="T23" s="32" t="n">
        <x:f>IF(O23="","",(1/'Metadata'!$B$5)^(O23-1))</x:f>
        <x:v>398.1071705534973</x:v>
      </x:c>
      <x:c r="U23" s="31" t="n">
        <x:f>IF(T23="","",I23*T23)</x:f>
        <x:v>13149.252916721302</x:v>
      </x:c>
    </x:row>
    <x:row r="24" ht="18" customHeight="1">
      <x:c r="A24" s="24" t="str">
        <x:v>EEZ_470</x:v>
      </x:c>
      <x:c r="B24" s="24" t="str">
        <x:v>Malta</x:v>
      </x:c>
      <x:c r="C24" s="24" t="str">
        <x:v>EEZ</x:v>
      </x:c>
      <x:c r="D24" s="30" t="n">
        <x:v>2019</x:v>
      </x:c>
      <x:c r="E24" s="24" t="str">
        <x:v>Thunnus alalunga</x:v>
      </x:c>
      <x:c r="F24" s="24" t="str">
        <x:v>Albacore</x:v>
      </x:c>
      <x:c r="G24" s="24" t="str">
        <x:v>Large pelagics (&gt;=90 cm)</x:v>
      </x:c>
      <x:c r="H24" s="24" t="str">
        <x:v>Tuna &amp; billfishes</x:v>
      </x:c>
      <x:c r="I24" s="31" t="n">
        <x:v>32.2791619724</x:v>
      </x:c>
      <x:c r="J24" s="31" t="n">
        <x:v>32.2791619724</x:v>
      </x:c>
      <x:c r="K24" s="31" t="n">
        <x:v>0</x:v>
      </x:c>
      <x:c r="L24" s="31" t="n">
        <x:v>30.9930072093</x:v>
      </x:c>
      <x:c r="M24" s="31" t="n">
        <x:v>1.2861547631</x:v>
      </x:c>
      <x:c r="N24" s="24" t="str">
        <x:v>thunnus alalunga</x:v>
      </x:c>
      <x:c r="O24" s="32" t="n">
        <x:v>4.3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Thunnus alalunga</x:v>
      </x:c>
      <x:c r="T24" s="32" t="n">
        <x:f>IF(O24="","",(1/'Metadata'!$B$5)^(O24-1))</x:f>
        <x:v>1995.2623149688789</x:v>
      </x:c>
      <x:c r="U24" s="31" t="n">
        <x:f>IF(T24="","",I24*T24)</x:f>
        <x:v>64405.39544230622</x:v>
      </x:c>
    </x:row>
    <x:row r="25" ht="18" customHeight="1">
      <x:c r="A25" s="24" t="str">
        <x:v>EEZ_470</x:v>
      </x:c>
      <x:c r="B25" s="24" t="str">
        <x:v>Malta</x:v>
      </x:c>
      <x:c r="C25" s="24" t="str">
        <x:v>EEZ</x:v>
      </x:c>
      <x:c r="D25" s="30" t="n">
        <x:v>2019</x:v>
      </x:c>
      <x:c r="E25" s="24" t="str">
        <x:v>Sparidae</x:v>
      </x:c>
      <x:c r="F25" s="24" t="str">
        <x:v>Porgies, seabreams</x:v>
      </x:c>
      <x:c r="G25" s="24" t="str">
        <x:v>Medium benthopelagics (30 - 89 cm)</x:v>
      </x:c>
      <x:c r="H25" s="24" t="str">
        <x:v>Perch-likes</x:v>
      </x:c>
      <x:c r="I25" s="31" t="n">
        <x:v>29.0598210013</x:v>
      </x:c>
      <x:c r="J25" s="31" t="n">
        <x:v>26.8506663385</x:v>
      </x:c>
      <x:c r="K25" s="31" t="n">
        <x:v>2.2091546628</x:v>
      </x:c>
      <x:c r="L25" s="31" t="n">
        <x:v>7.51</x:v>
      </x:c>
      <x:c r="M25" s="31" t="n">
        <x:v>21.5498210013</x:v>
      </x:c>
      <x:c r="N25" s="24" t="str">
        <x:v>sparidae</x:v>
      </x:c>
      <x:c r="O25" s="32" t="n">
        <x:v>3.31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Sparidae</x:v>
      </x:c>
      <x:c r="T25" s="32" t="n">
        <x:f>IF(O25="","",(1/'Metadata'!$B$5)^(O25-1))</x:f>
        <x:v>204.17379446695296</x:v>
      </x:c>
      <x:c r="U25" s="31" t="n">
        <x:f>IF(T25="","",I25*T25)</x:f>
        <x:v>5933.25392036587</x:v>
      </x:c>
    </x:row>
    <x:row r="26" ht="18" customHeight="1">
      <x:c r="A26" s="24" t="str">
        <x:v>EEZ_470</x:v>
      </x:c>
      <x:c r="B26" s="24" t="str">
        <x:v>Malta</x:v>
      </x:c>
      <x:c r="C26" s="24" t="str">
        <x:v>EEZ</x:v>
      </x:c>
      <x:c r="D26" s="30" t="n">
        <x:v>2019</x:v>
      </x:c>
      <x:c r="E26" s="24" t="str">
        <x:v>Sprattus sprattus</x:v>
      </x:c>
      <x:c r="F26" s="24" t="str">
        <x:v>European sprat</x:v>
      </x:c>
      <x:c r="G26" s="24" t="str">
        <x:v>Small pelagics (&lt;30 cm)</x:v>
      </x:c>
      <x:c r="H26" s="24" t="str">
        <x:v>Herring-likes</x:v>
      </x:c>
      <x:c r="I26" s="31" t="n">
        <x:v>28.83</x:v>
      </x:c>
      <x:c r="J26" s="31" t="n">
        <x:v>28.83</x:v>
      </x:c>
      <x:c r="K26" s="31" t="n">
        <x:v>0</x:v>
      </x:c>
      <x:c r="L26" s="31" t="n">
        <x:v>28.83</x:v>
      </x:c>
      <x:c r="M26" s="31" t="n">
        <x:v>0</x:v>
      </x:c>
      <x:c r="N26" s="24" t="str">
        <x:v>sprattus sprattus</x:v>
      </x:c>
      <x:c r="O26" s="32" t="n">
        <x:v>3.01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Sprattus sprattus</x:v>
      </x:c>
      <x:c r="T26" s="32" t="n">
        <x:f>IF(O26="","",(1/'Metadata'!$B$5)^(O26-1))</x:f>
        <x:v>102.32929922807536</x:v>
      </x:c>
      <x:c r="U26" s="31" t="n">
        <x:f>IF(T26="","",I26*T26)</x:f>
        <x:v>2950.153696745412</x:v>
      </x:c>
    </x:row>
    <x:row r="27" ht="18" customHeight="1">
      <x:c r="A27" s="24" t="str">
        <x:v>EEZ_470</x:v>
      </x:c>
      <x:c r="B27" s="24" t="str">
        <x:v>Malta</x:v>
      </x:c>
      <x:c r="C27" s="24" t="str">
        <x:v>EEZ</x:v>
      </x:c>
      <x:c r="D27" s="30" t="n">
        <x:v>2019</x:v>
      </x:c>
      <x:c r="E27" s="24" t="str">
        <x:v>Hoplostethus mediterraneus</x:v>
      </x:c>
      <x:c r="F27" s="24" t="str">
        <x:v>Mediterranean slimehead</x:v>
      </x:c>
      <x:c r="G27" s="24" t="str">
        <x:v>Medium benthopelagics (30 - 89 cm)</x:v>
      </x:c>
      <x:c r="H27" s="24" t="str">
        <x:v>Other fishes &amp; inverts</x:v>
      </x:c>
      <x:c r="I27" s="31" t="n">
        <x:v>26.2214354901</x:v>
      </x:c>
      <x:c r="J27" s="31" t="n">
        <x:v>0</x:v>
      </x:c>
      <x:c r="K27" s="31" t="n">
        <x:v>26.2214354901</x:v>
      </x:c>
      <x:c r="L27" s="31" t="n">
        <x:v>0</x:v>
      </x:c>
      <x:c r="M27" s="31" t="n">
        <x:v>26.2214354901</x:v>
      </x:c>
      <x:c r="N27" s="24" t="str">
        <x:v>hoplostethus mediterraneus</x:v>
      </x:c>
      <x:c r="O27" s="32" t="n">
        <x:v>3.49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Hoplostethus mediterraneus</x:v>
      </x:c>
      <x:c r="T27" s="32" t="n">
        <x:f>IF(O27="","",(1/'Metadata'!$B$5)^(O27-1))</x:f>
        <x:v>309.0295432513592</x:v>
      </x:c>
      <x:c r="U27" s="31" t="n">
        <x:f>IF(T27="","",I27*T27)</x:f>
        <x:v>8103.198232900583</x:v>
      </x:c>
    </x:row>
    <x:row r="28" ht="18" customHeight="1">
      <x:c r="A28" s="24" t="str">
        <x:v>EEZ_470</x:v>
      </x:c>
      <x:c r="B28" s="24" t="str">
        <x:v>Malta</x:v>
      </x:c>
      <x:c r="C28" s="24" t="str">
        <x:v>EEZ</x:v>
      </x:c>
      <x:c r="D28" s="30" t="n">
        <x:v>2019</x:v>
      </x:c>
      <x:c r="E28" s="24" t="str">
        <x:v>Aristeus antennatus</x:v>
      </x:c>
      <x:c r="F28" s="24" t="str">
        <x:v>Blue and red shrimp</x:v>
      </x:c>
      <x:c r="G28" s="24" t="str">
        <x:v>Shrimps</x:v>
      </x:c>
      <x:c r="H28" s="24" t="str">
        <x:v>Crustaceans</x:v>
      </x:c>
      <x:c r="I28" s="31" t="n">
        <x:v>25.665564072000002</x:v>
      </x:c>
      <x:c r="J28" s="31" t="n">
        <x:v>25.665564072000002</x:v>
      </x:c>
      <x:c r="K28" s="31" t="n">
        <x:v>0</x:v>
      </x:c>
      <x:c r="L28" s="31" t="n">
        <x:v>21.619358899999998</x:v>
      </x:c>
      <x:c r="M28" s="31" t="n">
        <x:v>4.046205172</x:v>
      </x:c>
      <x:c r="N28" s="24" t="str">
        <x:v>aristeus antennatus</x:v>
      </x:c>
      <x:c r="O28" s="32" t="n">
        <x:v>3.3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Aristeus antennatus</x:v>
      </x:c>
      <x:c r="T28" s="32" t="n">
        <x:f>IF(O28="","",(1/'Metadata'!$B$5)^(O28-1))</x:f>
        <x:v>199.52623149688787</x:v>
      </x:c>
      <x:c r="U28" s="31" t="n">
        <x:f>IF(T28="","",I28*T28)</x:f>
        <x:v>5120.953278528081</x:v>
      </x:c>
    </x:row>
    <x:row r="29" ht="18" customHeight="1">
      <x:c r="A29" s="24" t="str">
        <x:v>EEZ_470</x:v>
      </x:c>
      <x:c r="B29" s="24" t="str">
        <x:v>Malta</x:v>
      </x:c>
      <x:c r="C29" s="24" t="str">
        <x:v>EEZ</x:v>
      </x:c>
      <x:c r="D29" s="30" t="n">
        <x:v>2019</x:v>
      </x:c>
      <x:c r="E29" s="24" t="str">
        <x:v>Auxis thazard</x:v>
      </x:c>
      <x:c r="F29" s="24" t="str">
        <x:v>Frigate tuna</x:v>
      </x:c>
      <x:c r="G29" s="24" t="str">
        <x:v>Medium pelagics (30 - 89 cm)</x:v>
      </x:c>
      <x:c r="H29" s="24" t="str">
        <x:v>Tuna &amp; billfishes</x:v>
      </x:c>
      <x:c r="I29" s="31" t="n">
        <x:v>23.9423763404</x:v>
      </x:c>
      <x:c r="J29" s="31" t="n">
        <x:v>23.9423763404</x:v>
      </x:c>
      <x:c r="K29" s="31" t="n">
        <x:v>0</x:v>
      </x:c>
      <x:c r="L29" s="31" t="n">
        <x:v>15.158999882</x:v>
      </x:c>
      <x:c r="M29" s="31" t="n">
        <x:v>8.7833764584</x:v>
      </x:c>
      <x:c r="N29" s="24" t="str">
        <x:v>auxis thazard</x:v>
      </x:c>
      <x:c r="O29" s="32" t="n">
        <x:v>4.37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Auxis thazard</x:v>
      </x:c>
      <x:c r="T29" s="32" t="n">
        <x:f>IF(O29="","",(1/'Metadata'!$B$5)^(O29-1))</x:f>
        <x:v>2344.228815319923</x:v>
      </x:c>
      <x:c r="U29" s="31" t="n">
        <x:f>IF(T29="","",I29*T29)</x:f>
        <x:v>56126.40852439964</x:v>
      </x:c>
    </x:row>
    <x:row r="30" ht="18" customHeight="1">
      <x:c r="A30" s="24" t="str">
        <x:v>EEZ_470</x:v>
      </x:c>
      <x:c r="B30" s="24" t="str">
        <x:v>Malta</x:v>
      </x:c>
      <x:c r="C30" s="24" t="str">
        <x:v>EEZ</x:v>
      </x:c>
      <x:c r="D30" s="30" t="n">
        <x:v>2019</x:v>
      </x:c>
      <x:c r="E30" s="24" t="str">
        <x:v>Mullidae</x:v>
      </x:c>
      <x:c r="F30" s="24" t="str">
        <x:v>Goatfishes</x:v>
      </x:c>
      <x:c r="G30" s="24" t="str">
        <x:v>Medium reef assoc. fish (30 - 89 cm)</x:v>
      </x:c>
      <x:c r="H30" s="24" t="str">
        <x:v>Perch-likes</x:v>
      </x:c>
      <x:c r="I30" s="31" t="n">
        <x:v>23.9381096518</x:v>
      </x:c>
      <x:c r="J30" s="31" t="n">
        <x:v>23.9381096518</x:v>
      </x:c>
      <x:c r="K30" s="31" t="n">
        <x:v>0</x:v>
      </x:c>
      <x:c r="L30" s="31" t="n">
        <x:v>12.25</x:v>
      </x:c>
      <x:c r="M30" s="31" t="n">
        <x:v>11.6881096518</x:v>
      </x:c>
      <x:c r="N30" s="24" t="str">
        <x:v>mullidae</x:v>
      </x:c>
      <x:c r="O30" s="32" t="n">
        <x:v>3.46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Mullidae</x:v>
      </x:c>
      <x:c r="T30" s="32" t="n">
        <x:f>IF(O30="","",(1/'Metadata'!$B$5)^(O30-1))</x:f>
        <x:v>288.40315031266056</x:v>
      </x:c>
      <x:c r="U30" s="31" t="n">
        <x:f>IF(T30="","",I30*T30)</x:f>
        <x:v>6903.8262361090265</x:v>
      </x:c>
    </x:row>
    <x:row r="31" ht="18" customHeight="1">
      <x:c r="A31" s="24" t="str">
        <x:v>EEZ_470</x:v>
      </x:c>
      <x:c r="B31" s="24" t="str">
        <x:v>Malta</x:v>
      </x:c>
      <x:c r="C31" s="24" t="str">
        <x:v>EEZ</x:v>
      </x:c>
      <x:c r="D31" s="30" t="n">
        <x:v>2019</x:v>
      </x:c>
      <x:c r="E31" s="24" t="str">
        <x:v>Raja clavata</x:v>
      </x:c>
      <x:c r="F31" s="24" t="str">
        <x:v>Thornback ray</x:v>
      </x:c>
      <x:c r="G31" s="24" t="str">
        <x:v>Large rays (&gt;=90 cm)</x:v>
      </x:c>
      <x:c r="H31" s="24" t="str">
        <x:v>Sharks &amp; rays</x:v>
      </x:c>
      <x:c r="I31" s="31" t="n">
        <x:v>23.7521773721</x:v>
      </x:c>
      <x:c r="J31" s="31" t="n">
        <x:v>23.5862189194</x:v>
      </x:c>
      <x:c r="K31" s="31" t="n">
        <x:v>0.1659584527</x:v>
      </x:c>
      <x:c r="L31" s="31" t="n">
        <x:v>21.763956734</x:v>
      </x:c>
      <x:c r="M31" s="31" t="n">
        <x:v>1.9882206381</x:v>
      </x:c>
      <x:c r="N31" s="24" t="str">
        <x:v>raja clavata</x:v>
      </x:c>
      <x:c r="O31" s="32" t="n">
        <x:v>3.84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Raja clavata</x:v>
      </x:c>
      <x:c r="T31" s="32" t="n">
        <x:f>IF(O31="","",(1/'Metadata'!$B$5)^(O31-1))</x:f>
        <x:v>691.8309709189363</x:v>
      </x:c>
      <x:c r="U31" s="31" t="n">
        <x:f>IF(T31="","",I31*T31)</x:f>
        <x:v>16432.491932778732</x:v>
      </x:c>
    </x:row>
    <x:row r="32" ht="18" customHeight="1">
      <x:c r="A32" s="24" t="str">
        <x:v>EEZ_470</x:v>
      </x:c>
      <x:c r="B32" s="24" t="str">
        <x:v>Malta</x:v>
      </x:c>
      <x:c r="C32" s="24" t="str">
        <x:v>EEZ</x:v>
      </x:c>
      <x:c r="D32" s="30" t="n">
        <x:v>2019</x:v>
      </x:c>
      <x:c r="E32" s="24" t="str">
        <x:v>Pagrus pagrus</x:v>
      </x:c>
      <x:c r="F32" s="24" t="str">
        <x:v>Red porgy</x:v>
      </x:c>
      <x:c r="G32" s="24" t="str">
        <x:v>Medium benthopelagics (30 - 89 cm)</x:v>
      </x:c>
      <x:c r="H32" s="24" t="str">
        <x:v>Perch-likes</x:v>
      </x:c>
      <x:c r="I32" s="31" t="n">
        <x:v>23.5375090092</x:v>
      </x:c>
      <x:c r="J32" s="31" t="n">
        <x:v>23.5375090092</x:v>
      </x:c>
      <x:c r="K32" s="31" t="n">
        <x:v>0</x:v>
      </x:c>
      <x:c r="L32" s="31" t="n">
        <x:v>22.990000000000002</x:v>
      </x:c>
      <x:c r="M32" s="31" t="n">
        <x:v>0.5475090092</x:v>
      </x:c>
      <x:c r="N32" s="24" t="str">
        <x:v>pagrus pagrus</x:v>
      </x:c>
      <x:c r="O32" s="32" t="n">
        <x:v>3.86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Pagrus pagrus</x:v>
      </x:c>
      <x:c r="T32" s="32" t="n">
        <x:f>IF(O32="","",(1/'Metadata'!$B$5)^(O32-1))</x:f>
        <x:v>724.4359600749899</x:v>
      </x:c>
      <x:c r="U32" s="31" t="n">
        <x:f>IF(T32="","",I32*T32)</x:f>
        <x:v>17051.417936853526</x:v>
      </x:c>
    </x:row>
    <x:row r="33" ht="18" customHeight="1">
      <x:c r="A33" s="24" t="str">
        <x:v>EEZ_470</x:v>
      </x:c>
      <x:c r="B33" s="24" t="str">
        <x:v>Malta</x:v>
      </x:c>
      <x:c r="C33" s="24" t="str">
        <x:v>EEZ</x:v>
      </x:c>
      <x:c r="D33" s="30" t="n">
        <x:v>2019</x:v>
      </x:c>
      <x:c r="E33" s="24" t="str">
        <x:v>Sepia officinalis</x:v>
      </x:c>
      <x:c r="F33" s="24" t="str">
        <x:v>Common cuttlefish</x:v>
      </x:c>
      <x:c r="G33" s="24" t="str">
        <x:v>Cephalopods</x:v>
      </x:c>
      <x:c r="H33" s="24" t="str">
        <x:v>Other fishes &amp; inverts</x:v>
      </x:c>
      <x:c r="I33" s="31" t="n">
        <x:v>22.035100953100002</x:v>
      </x:c>
      <x:c r="J33" s="31" t="n">
        <x:v>22.035100953100002</x:v>
      </x:c>
      <x:c r="K33" s="31" t="n">
        <x:v>0</x:v>
      </x:c>
      <x:c r="L33" s="31" t="n">
        <x:v>21.580000000000002</x:v>
      </x:c>
      <x:c r="M33" s="31" t="n">
        <x:v>0.4551009531</x:v>
      </x:c>
      <x:c r="N33" s="24" t="str">
        <x:v>sepia officinalis</x:v>
      </x:c>
      <x:c r="O33" s="32" t="n">
        <x:v>4.27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Sepia officinalis</x:v>
      </x:c>
      <x:c r="T33" s="32" t="n">
        <x:f>IF(O33="","",(1/'Metadata'!$B$5)^(O33-1))</x:f>
        <x:v>1862.0871366628655</x:v>
      </x:c>
      <x:c r="U33" s="31" t="n">
        <x:f>IF(T33="","",I33*T33)</x:f>
        <x:v>41031.27803983516</x:v>
      </x:c>
    </x:row>
    <x:row r="34" ht="18" customHeight="1">
      <x:c r="A34" s="24" t="str">
        <x:v>EEZ_470</x:v>
      </x:c>
      <x:c r="B34" s="24" t="str">
        <x:v>Malta</x:v>
      </x:c>
      <x:c r="C34" s="24" t="str">
        <x:v>EEZ</x:v>
      </x:c>
      <x:c r="D34" s="30" t="n">
        <x:v>2019</x:v>
      </x:c>
      <x:c r="E34" s="24" t="str">
        <x:v>Serranidae</x:v>
      </x:c>
      <x:c r="F34" s="24" t="str">
        <x:v>Basses, groupers, hinds</x:v>
      </x:c>
      <x:c r="G34" s="24" t="str">
        <x:v>Medium reef assoc. fish (30 - 89 cm)</x:v>
      </x:c>
      <x:c r="H34" s="24" t="str">
        <x:v>Perch-likes</x:v>
      </x:c>
      <x:c r="I34" s="31" t="n">
        <x:v>21.2924773797</x:v>
      </x:c>
      <x:c r="J34" s="31" t="n">
        <x:v>21.2924773797</x:v>
      </x:c>
      <x:c r="K34" s="31" t="n">
        <x:v>0</x:v>
      </x:c>
      <x:c r="L34" s="31" t="n">
        <x:v>18</x:v>
      </x:c>
      <x:c r="M34" s="31" t="n">
        <x:v>3.2924773797</x:v>
      </x:c>
      <x:c r="N34" s="24" t="str">
        <x:v>serranidae</x:v>
      </x:c>
      <x:c r="O34" s="32" t="n">
        <x:v>3.98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Serranidae</x:v>
      </x:c>
      <x:c r="T34" s="32" t="n">
        <x:f>IF(O34="","",(1/'Metadata'!$B$5)^(O34-1))</x:f>
        <x:v>954.992586021436</x:v>
      </x:c>
      <x:c r="U34" s="31" t="n">
        <x:f>IF(T34="","",I34*T34)</x:f>
        <x:v>20334.15803564263</x:v>
      </x:c>
    </x:row>
    <x:row r="35" ht="18" customHeight="1">
      <x:c r="A35" s="24" t="str">
        <x:v>EEZ_470</x:v>
      </x:c>
      <x:c r="B35" s="24" t="str">
        <x:v>Malta</x:v>
      </x:c>
      <x:c r="C35" s="24" t="str">
        <x:v>EEZ</x:v>
      </x:c>
      <x:c r="D35" s="30" t="n">
        <x:v>2019</x:v>
      </x:c>
      <x:c r="E35" s="24" t="str">
        <x:v>Etmopterus spinax</x:v>
      </x:c>
      <x:c r="F35" s="24" t="str">
        <x:v>Velvet belly</x:v>
      </x:c>
      <x:c r="G35" s="24" t="str">
        <x:v>Small to medium sharks (&lt;90 cm)</x:v>
      </x:c>
      <x:c r="H35" s="24" t="str">
        <x:v>Sharks &amp; rays</x:v>
      </x:c>
      <x:c r="I35" s="31" t="n">
        <x:v>19.5277779075</x:v>
      </x:c>
      <x:c r="J35" s="31" t="n">
        <x:v>0</x:v>
      </x:c>
      <x:c r="K35" s="31" t="n">
        <x:v>19.5277779075</x:v>
      </x:c>
      <x:c r="L35" s="31" t="n">
        <x:v>0</x:v>
      </x:c>
      <x:c r="M35" s="31" t="n">
        <x:v>19.5277779075</x:v>
      </x:c>
      <x:c r="N35" s="24" t="str">
        <x:v>etmopterus spinax</x:v>
      </x:c>
      <x:c r="O35" s="32" t="n">
        <x:v>4.14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Etmopterus spinax</x:v>
      </x:c>
      <x:c r="T35" s="32" t="n">
        <x:f>IF(O35="","",(1/'Metadata'!$B$5)^(O35-1))</x:f>
        <x:v>1380.3842646028838</x:v>
      </x:c>
      <x:c r="U35" s="31" t="n">
        <x:f>IF(T35="","",I35*T35)</x:f>
        <x:v>26955.837346172826</x:v>
      </x:c>
    </x:row>
    <x:row r="36" ht="18" customHeight="1">
      <x:c r="A36" s="24" t="str">
        <x:v>EEZ_470</x:v>
      </x:c>
      <x:c r="B36" s="24" t="str">
        <x:v>Malta</x:v>
      </x:c>
      <x:c r="C36" s="24" t="str">
        <x:v>EEZ</x:v>
      </x:c>
      <x:c r="D36" s="30" t="n">
        <x:v>2019</x:v>
      </x:c>
      <x:c r="E36" s="24" t="str">
        <x:v>Todarodes sagittatus</x:v>
      </x:c>
      <x:c r="F36" s="24" t="str">
        <x:v>European flying squid</x:v>
      </x:c>
      <x:c r="G36" s="24" t="str">
        <x:v>Cephalopods</x:v>
      </x:c>
      <x:c r="H36" s="24" t="str">
        <x:v>Other fishes &amp; inverts</x:v>
      </x:c>
      <x:c r="I36" s="31" t="n">
        <x:v>19.2700862539</x:v>
      </x:c>
      <x:c r="J36" s="31" t="n">
        <x:v>19.2700862539</x:v>
      </x:c>
      <x:c r="K36" s="31" t="n">
        <x:v>0</x:v>
      </x:c>
      <x:c r="L36" s="31" t="n">
        <x:v>16.785537438</x:v>
      </x:c>
      <x:c r="M36" s="31" t="n">
        <x:v>2.4845488158999998</x:v>
      </x:c>
      <x:c r="N36" s="24" t="str">
        <x:v>todarodes sagittatus</x:v>
      </x:c>
      <x:c r="O36" s="32" t="n">
        <x:v>4.01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Todarodes sagittatus</x:v>
      </x:c>
      <x:c r="T36" s="32" t="n">
        <x:f>IF(O36="","",(1/'Metadata'!$B$5)^(O36-1))</x:f>
        <x:v>1023.2929922807537</x:v>
      </x:c>
      <x:c r="U36" s="31" t="n">
        <x:f>IF(T36="","",I36*T36)</x:f>
        <x:v>19718.94422426155</x:v>
      </x:c>
    </x:row>
    <x:row r="37" ht="18" customHeight="1">
      <x:c r="A37" s="24" t="str">
        <x:v>EEZ_470</x:v>
      </x:c>
      <x:c r="B37" s="24" t="str">
        <x:v>Malta</x:v>
      </x:c>
      <x:c r="C37" s="24" t="str">
        <x:v>EEZ</x:v>
      </x:c>
      <x:c r="D37" s="30" t="n">
        <x:v>2019</x:v>
      </x:c>
      <x:c r="E37" s="24" t="str">
        <x:v>Sparus aurata</x:v>
      </x:c>
      <x:c r="F37" s="24" t="str">
        <x:v>Gilthead seabream</x:v>
      </x:c>
      <x:c r="G37" s="24" t="str">
        <x:v>Medium demersals (30 - 89 cm)</x:v>
      </x:c>
      <x:c r="H37" s="24" t="str">
        <x:v>Perch-likes</x:v>
      </x:c>
      <x:c r="I37" s="31" t="n">
        <x:v>18.9830827127</x:v>
      </x:c>
      <x:c r="J37" s="31" t="n">
        <x:v>18.9830827127</x:v>
      </x:c>
      <x:c r="K37" s="31" t="n">
        <x:v>0</x:v>
      </x:c>
      <x:c r="L37" s="31" t="n">
        <x:v>18.88</x:v>
      </x:c>
      <x:c r="M37" s="31" t="n">
        <x:v>0.10308271270000001</x:v>
      </x:c>
      <x:c r="N37" s="24" t="str">
        <x:v>sparus aurata</x:v>
      </x:c>
      <x:c r="O37" s="32" t="n">
        <x:v>3.7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Sparus aurata</x:v>
      </x:c>
      <x:c r="T37" s="32" t="n">
        <x:f>IF(O37="","",(1/'Metadata'!$B$5)^(O37-1))</x:f>
        <x:v>501.18723362727246</x:v>
      </x:c>
      <x:c r="U37" s="31" t="n">
        <x:f>IF(T37="","",I37*T37)</x:f>
        <x:v>9514.078710495813</x:v>
      </x:c>
    </x:row>
    <x:row r="38" ht="18" customHeight="1">
      <x:c r="A38" s="24" t="str">
        <x:v>EEZ_470</x:v>
      </x:c>
      <x:c r="B38" s="24" t="str">
        <x:v>Malta</x:v>
      </x:c>
      <x:c r="C38" s="24" t="str">
        <x:v>EEZ</x:v>
      </x:c>
      <x:c r="D38" s="30" t="n">
        <x:v>2019</x:v>
      </x:c>
      <x:c r="E38" s="24" t="str">
        <x:v>Acanthocybium solandri</x:v>
      </x:c>
      <x:c r="F38" s="24" t="str">
        <x:v>Wahoo</x:v>
      </x:c>
      <x:c r="G38" s="24" t="str">
        <x:v>Large pelagics (&gt;=90 cm)</x:v>
      </x:c>
      <x:c r="H38" s="24" t="str">
        <x:v>Perch-likes</x:v>
      </x:c>
      <x:c r="I38" s="31" t="n">
        <x:v>18.0243044996</x:v>
      </x:c>
      <x:c r="J38" s="31" t="n">
        <x:v>18.0243044996</x:v>
      </x:c>
      <x:c r="K38" s="31" t="n">
        <x:v>0</x:v>
      </x:c>
      <x:c r="L38" s="31" t="n">
        <x:v>18.0243044996</x:v>
      </x:c>
      <x:c r="M38" s="31" t="n">
        <x:v>0</x:v>
      </x:c>
      <x:c r="N38" s="24" t="str">
        <x:v>acanthocybium solandri</x:v>
      </x:c>
      <x:c r="O38" s="32" t="n">
        <x:v>4.26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Acanthocybium solandri</x:v>
      </x:c>
      <x:c r="T38" s="32" t="n">
        <x:f>IF(O38="","",(1/'Metadata'!$B$5)^(O38-1))</x:f>
        <x:v>1819.7008586099826</x:v>
      </x:c>
      <x:c r="U38" s="31" t="n">
        <x:f>IF(T38="","",I38*T38)</x:f>
        <x:v>32798.84237376989</x:v>
      </x:c>
    </x:row>
    <x:row r="39" ht="18" customHeight="1">
      <x:c r="A39" s="24" t="str">
        <x:v>EEZ_470</x:v>
      </x:c>
      <x:c r="B39" s="24" t="str">
        <x:v>Malta</x:v>
      </x:c>
      <x:c r="C39" s="24" t="str">
        <x:v>EEZ</x:v>
      </x:c>
      <x:c r="D39" s="30" t="n">
        <x:v>2019</x:v>
      </x:c>
      <x:c r="E39" s="24" t="str">
        <x:v>Trachurus trachurus</x:v>
      </x:c>
      <x:c r="F39" s="24" t="str">
        <x:v>Atlantic horse mackerel</x:v>
      </x:c>
      <x:c r="G39" s="24" t="str">
        <x:v>Medium pelagics (30 - 89 cm)</x:v>
      </x:c>
      <x:c r="H39" s="24" t="str">
        <x:v>Perch-likes</x:v>
      </x:c>
      <x:c r="I39" s="31" t="n">
        <x:v>17.7975279474</x:v>
      </x:c>
      <x:c r="J39" s="31" t="n">
        <x:v>13.7628704754</x:v>
      </x:c>
      <x:c r="K39" s="31" t="n">
        <x:v>4.034657472</x:v>
      </x:c>
      <x:c r="L39" s="31" t="n">
        <x:v>14.3634186139</x:v>
      </x:c>
      <x:c r="M39" s="31" t="n">
        <x:v>3.4341093335</x:v>
      </x:c>
      <x:c r="N39" s="24" t="str">
        <x:v>trachurus trachurus</x:v>
      </x:c>
      <x:c r="O39" s="32" t="n">
        <x:v>3.71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Trachurus trachurus</x:v>
      </x:c>
      <x:c r="T39" s="32" t="n">
        <x:f>IF(O39="","",(1/'Metadata'!$B$5)^(O39-1))</x:f>
        <x:v>512.8613839913648</x:v>
      </x:c>
      <x:c r="U39" s="31" t="n">
        <x:f>IF(T39="","",I39*T39)</x:f>
        <x:v>9127.664814728558</x:v>
      </x:c>
    </x:row>
    <x:row r="40" ht="18" customHeight="1">
      <x:c r="A40" s="24" t="str">
        <x:v>EEZ_470</x:v>
      </x:c>
      <x:c r="B40" s="24" t="str">
        <x:v>Malta</x:v>
      </x:c>
      <x:c r="C40" s="24" t="str">
        <x:v>EEZ</x:v>
      </x:c>
      <x:c r="D40" s="30" t="n">
        <x:v>2019</x:v>
      </x:c>
      <x:c r="E40" s="24" t="str">
        <x:v>Sepiida</x:v>
      </x:c>
      <x:c r="F40" s="24" t="str">
        <x:v>Cuttlefishes, bobtail squids</x:v>
      </x:c>
      <x:c r="G40" s="24" t="str">
        <x:v>Cephalopods</x:v>
      </x:c>
      <x:c r="H40" s="24" t="str">
        <x:v>Other fishes &amp; inverts</x:v>
      </x:c>
      <x:c r="I40" s="31" t="n">
        <x:v>17.47117515</x:v>
      </x:c>
      <x:c r="J40" s="31" t="n">
        <x:v>17.47117515</x:v>
      </x:c>
      <x:c r="K40" s="31" t="n">
        <x:v>0</x:v>
      </x:c>
      <x:c r="L40" s="31" t="n">
        <x:v>14.689116958</x:v>
      </x:c>
      <x:c r="M40" s="31" t="n">
        <x:v>2.7820581919999996</x:v>
      </x:c>
      <x:c r="N40" s="24" t="str">
        <x:v>sepiida</x:v>
      </x:c>
      <x:c r="O40" s="32" t="n">
        <x:v>3.7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Sepiida</x:v>
      </x:c>
      <x:c r="T40" s="32" t="n">
        <x:f>IF(O40="","",(1/'Metadata'!$B$5)^(O40-1))</x:f>
        <x:v>501.18723362727246</x:v>
      </x:c>
      <x:c r="U40" s="31" t="n">
        <x:f>IF(T40="","",I40*T40)</x:f>
        <x:v>8756.329941646047</x:v>
      </x:c>
    </x:row>
    <x:row r="41" ht="18" customHeight="1">
      <x:c r="A41" s="24" t="str">
        <x:v>EEZ_470</x:v>
      </x:c>
      <x:c r="B41" s="24" t="str">
        <x:v>Malta</x:v>
      </x:c>
      <x:c r="C41" s="24" t="str">
        <x:v>EEZ</x:v>
      </x:c>
      <x:c r="D41" s="30" t="n">
        <x:v>2019</x:v>
      </x:c>
      <x:c r="E41" s="24" t="str">
        <x:v>Squalus acanthias</x:v>
      </x:c>
      <x:c r="F41" s="24" t="str">
        <x:v>Picked dogfish</x:v>
      </x:c>
      <x:c r="G41" s="24" t="str">
        <x:v>Large sharks (&gt;=90 cm)</x:v>
      </x:c>
      <x:c r="H41" s="24" t="str">
        <x:v>Sharks &amp; rays</x:v>
      </x:c>
      <x:c r="I41" s="31" t="n">
        <x:v>17.0906217717</x:v>
      </x:c>
      <x:c r="J41" s="31" t="n">
        <x:v>17.0906217717</x:v>
      </x:c>
      <x:c r="K41" s="31" t="n">
        <x:v>0</x:v>
      </x:c>
      <x:c r="L41" s="31" t="n">
        <x:v>16.55</x:v>
      </x:c>
      <x:c r="M41" s="31" t="n">
        <x:v>0.5406217717</x:v>
      </x:c>
      <x:c r="N41" s="24" t="str">
        <x:v>squalus acanthias</x:v>
      </x:c>
      <x:c r="O41" s="32" t="n">
        <x:v>4.37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Squalus acanthias</x:v>
      </x:c>
      <x:c r="T41" s="32" t="n">
        <x:f>IF(O41="","",(1/'Metadata'!$B$5)^(O41-1))</x:f>
        <x:v>2344.228815319923</x:v>
      </x:c>
      <x:c r="U41" s="31" t="n">
        <x:f>IF(T41="","",I41*T41)</x:f>
        <x:v>40064.328028953176</x:v>
      </x:c>
    </x:row>
    <x:row r="42" ht="18" customHeight="1">
      <x:c r="A42" s="24" t="str">
        <x:v>EEZ_470</x:v>
      </x:c>
      <x:c r="B42" s="24" t="str">
        <x:v>Malta</x:v>
      </x:c>
      <x:c r="C42" s="24" t="str">
        <x:v>EEZ</x:v>
      </x:c>
      <x:c r="D42" s="30" t="n">
        <x:v>2019</x:v>
      </x:c>
      <x:c r="E42" s="24" t="str">
        <x:v>Loligo</x:v>
      </x:c>
      <x:c r="F42" s="24" t="str">
        <x:v>Common squids</x:v>
      </x:c>
      <x:c r="G42" s="24" t="str">
        <x:v>Cephalopods</x:v>
      </x:c>
      <x:c r="H42" s="24" t="str">
        <x:v>Other fishes &amp; inverts</x:v>
      </x:c>
      <x:c r="I42" s="31" t="n">
        <x:v>16.765253153</x:v>
      </x:c>
      <x:c r="J42" s="31" t="n">
        <x:v>16.765253153</x:v>
      </x:c>
      <x:c r="K42" s="31" t="n">
        <x:v>0</x:v>
      </x:c>
      <x:c r="L42" s="31" t="n">
        <x:v>14.336392943</x:v>
      </x:c>
      <x:c r="M42" s="31" t="n">
        <x:v>2.4288602100000003</x:v>
      </x:c>
      <x:c r="N42" s="24" t="str">
        <x:v>loligo</x:v>
      </x:c>
      <x:c r="O42" s="32" t="n">
        <x:v>3.99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Loligo</x:v>
      </x:c>
      <x:c r="T42" s="32" t="n">
        <x:f>IF(O42="","",(1/'Metadata'!$B$5)^(O42-1))</x:f>
        <x:v>977.2372209558112</x:v>
      </x:c>
      <x:c r="U42" s="31" t="n">
        <x:f>IF(T42="","",I42*T42)</x:f>
        <x:v>16383.62939985837</x:v>
      </x:c>
    </x:row>
    <x:row r="43" ht="18" customHeight="1">
      <x:c r="A43" s="24" t="str">
        <x:v>EEZ_470</x:v>
      </x:c>
      <x:c r="B43" s="24" t="str">
        <x:v>Malta</x:v>
      </x:c>
      <x:c r="C43" s="24" t="str">
        <x:v>EEZ</x:v>
      </x:c>
      <x:c r="D43" s="30" t="n">
        <x:v>2019</x:v>
      </x:c>
      <x:c r="E43" s="24" t="str">
        <x:v>Clupeidae</x:v>
      </x:c>
      <x:c r="F43" s="24" t="str">
        <x:v>Herrings, sardines, menhadens</x:v>
      </x:c>
      <x:c r="G43" s="24" t="str">
        <x:v>Small pelagics (&lt;30 cm)</x:v>
      </x:c>
      <x:c r="H43" s="24" t="str">
        <x:v>Herring-likes</x:v>
      </x:c>
      <x:c r="I43" s="31" t="n">
        <x:v>15.6450860016</x:v>
      </x:c>
      <x:c r="J43" s="31" t="n">
        <x:v>15.6450860016</x:v>
      </x:c>
      <x:c r="K43" s="31" t="n">
        <x:v>0</x:v>
      </x:c>
      <x:c r="L43" s="31" t="n">
        <x:v>0</x:v>
      </x:c>
      <x:c r="M43" s="31" t="n">
        <x:v>15.6450860016</x:v>
      </x:c>
      <x:c r="N43" s="24" t="str">
        <x:v>clupeidae</x:v>
      </x:c>
      <x:c r="O43" s="32" t="n">
        <x:v>3.16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Clupeidae</x:v>
      </x:c>
      <x:c r="T43" s="32" t="n">
        <x:f>IF(O43="","",(1/'Metadata'!$B$5)^(O43-1))</x:f>
        <x:v>144.5439770745928</x:v>
      </x:c>
      <x:c r="U43" s="31" t="n">
        <x:f>IF(T43="","",I43*T43)</x:f>
        <x:v>2261.4029523453028</x:v>
      </x:c>
    </x:row>
    <x:row r="44" ht="18" customHeight="1">
      <x:c r="A44" s="24" t="str">
        <x:v>EEZ_470</x:v>
      </x:c>
      <x:c r="B44" s="24" t="str">
        <x:v>Malta</x:v>
      </x:c>
      <x:c r="C44" s="24" t="str">
        <x:v>EEZ</x:v>
      </x:c>
      <x:c r="D44" s="30" t="n">
        <x:v>2019</x:v>
      </x:c>
      <x:c r="E44" s="24" t="str">
        <x:v>Nephrops norvegicus</x:v>
      </x:c>
      <x:c r="F44" s="24" t="str">
        <x:v>Norway lobster</x:v>
      </x:c>
      <x:c r="G44" s="24" t="str">
        <x:v>Lobsters, crabs</x:v>
      </x:c>
      <x:c r="H44" s="24" t="str">
        <x:v>Crustaceans</x:v>
      </x:c>
      <x:c r="I44" s="31" t="n">
        <x:v>14.9702321879</x:v>
      </x:c>
      <x:c r="J44" s="31" t="n">
        <x:v>14.361717862</x:v>
      </x:c>
      <x:c r="K44" s="31" t="n">
        <x:v>0.6085143259</x:v>
      </x:c>
      <x:c r="L44" s="31" t="n">
        <x:v>13.27186994</x:v>
      </x:c>
      <x:c r="M44" s="31" t="n">
        <x:v>1.6983622479</x:v>
      </x:c>
      <x:c r="N44" s="24" t="str">
        <x:v>nephrops norvegicus</x:v>
      </x:c>
      <x:c r="O44" s="32" t="n">
        <x:v>2.87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Nephrops norvegicus</x:v>
      </x:c>
      <x:c r="T44" s="32" t="n">
        <x:f>IF(O44="","",(1/'Metadata'!$B$5)^(O44-1))</x:f>
        <x:v>74.13102413009177</x:v>
      </x:c>
      <x:c r="U44" s="31" t="n">
        <x:f>IF(T44="","",I44*T44)</x:f>
        <x:v>1109.7586435542914</x:v>
      </x:c>
    </x:row>
    <x:row r="45" ht="18" customHeight="1">
      <x:c r="A45" s="24" t="str">
        <x:v>EEZ_470</x:v>
      </x:c>
      <x:c r="B45" s="24" t="str">
        <x:v>Malta</x:v>
      </x:c>
      <x:c r="C45" s="24" t="str">
        <x:v>EEZ</x:v>
      </x:c>
      <x:c r="D45" s="30" t="n">
        <x:v>2019</x:v>
      </x:c>
      <x:c r="E45" s="24" t="str">
        <x:v>Marine pelagic fishes not identified</x:v>
      </x:c>
      <x:c r="F45" s="24" t="str">
        <x:v>Pelagic fishes</x:v>
      </x:c>
      <x:c r="G45" s="24" t="str">
        <x:v>Medium pelagics (30 - 89 cm)</x:v>
      </x:c>
      <x:c r="H45" s="24" t="str">
        <x:v>Other fishes &amp; inverts</x:v>
      </x:c>
      <x:c r="I45" s="31" t="n">
        <x:v>14.282268633600001</x:v>
      </x:c>
      <x:c r="J45" s="31" t="n">
        <x:v>14.282268633600001</x:v>
      </x:c>
      <x:c r="K45" s="31" t="n">
        <x:v>0</x:v>
      </x:c>
      <x:c r="L45" s="31" t="n">
        <x:v>14.282268633600001</x:v>
      </x:c>
      <x:c r="M45" s="31" t="n">
        <x:v>0</x:v>
      </x:c>
      <x:c r="N45" s="24" t="str">
        <x:v>marine pelagic fishes not identified</x:v>
      </x:c>
      <x:c r="O45" s="32" t="n">
        <x:v>3.35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Marine pelagic fishes not identified</x:v>
      </x:c>
      <x:c r="T45" s="32" t="n">
        <x:f>IF(O45="","",(1/'Metadata'!$B$5)^(O45-1))</x:f>
        <x:v>223.872113856834</x:v>
      </x:c>
      <x:c r="U45" s="31" t="n">
        <x:f>IF(T45="","",I45*T45)</x:f>
        <x:v>3197.4016696751883</x:v>
      </x:c>
    </x:row>
    <x:row r="46" ht="18" customHeight="1">
      <x:c r="A46" s="24" t="str">
        <x:v>EEZ_470</x:v>
      </x:c>
      <x:c r="B46" s="24" t="str">
        <x:v>Malta</x:v>
      </x:c>
      <x:c r="C46" s="24" t="str">
        <x:v>EEZ</x:v>
      </x:c>
      <x:c r="D46" s="30" t="n">
        <x:v>2019</x:v>
      </x:c>
      <x:c r="E46" s="24" t="str">
        <x:v>Lepidorhombus boscii</x:v>
      </x:c>
      <x:c r="F46" s="24" t="str">
        <x:v>Four-spot megrim</x:v>
      </x:c>
      <x:c r="G46" s="24" t="str">
        <x:v>Small to medium flatfishes (&lt;90 cm)</x:v>
      </x:c>
      <x:c r="H46" s="24" t="str">
        <x:v>Flatfishes</x:v>
      </x:c>
      <x:c r="I46" s="31" t="n">
        <x:v>13.4426346635</x:v>
      </x:c>
      <x:c r="J46" s="31" t="n">
        <x:v>0</x:v>
      </x:c>
      <x:c r="K46" s="31" t="n">
        <x:v>13.4426346635</x:v>
      </x:c>
      <x:c r="L46" s="31" t="n">
        <x:v>0</x:v>
      </x:c>
      <x:c r="M46" s="31" t="n">
        <x:v>13.4426346635</x:v>
      </x:c>
      <x:c r="N46" s="24" t="str">
        <x:v>lepidorhombus boscii</x:v>
      </x:c>
      <x:c r="O46" s="32" t="n">
        <x:v>3.74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Lepidorhombus boscii</x:v>
      </x:c>
      <x:c r="T46" s="32" t="n">
        <x:f>IF(O46="","",(1/'Metadata'!$B$5)^(O46-1))</x:f>
        <x:v>549.5408738576248</x:v>
      </x:c>
      <x:c r="U46" s="31" t="n">
        <x:f>IF(T46="","",I46*T46)</x:f>
        <x:v>7387.277199928588</x:v>
      </x:c>
    </x:row>
    <x:row r="47" ht="18" customHeight="1">
      <x:c r="A47" s="24" t="str">
        <x:v>EEZ_470</x:v>
      </x:c>
      <x:c r="B47" s="24" t="str">
        <x:v>Malta</x:v>
      </x:c>
      <x:c r="C47" s="24" t="str">
        <x:v>EEZ</x:v>
      </x:c>
      <x:c r="D47" s="30" t="n">
        <x:v>2019</x:v>
      </x:c>
      <x:c r="E47" s="24" t="str">
        <x:v>Conger conger</x:v>
      </x:c>
      <x:c r="F47" s="24" t="str">
        <x:v>European conger</x:v>
      </x:c>
      <x:c r="G47" s="24" t="str">
        <x:v>Large demersals (&gt;=90 cm)</x:v>
      </x:c>
      <x:c r="H47" s="24" t="str">
        <x:v>Other fishes &amp; inverts</x:v>
      </x:c>
      <x:c r="I47" s="31" t="n">
        <x:v>13.3572631076</x:v>
      </x:c>
      <x:c r="J47" s="31" t="n">
        <x:v>4.6167846105</x:v>
      </x:c>
      <x:c r="K47" s="31" t="n">
        <x:v>8.7404784971</x:v>
      </x:c>
      <x:c r="L47" s="31" t="n">
        <x:v>4.07</x:v>
      </x:c>
      <x:c r="M47" s="31" t="n">
        <x:v>9.2872631076</x:v>
      </x:c>
      <x:c r="N47" s="24" t="str">
        <x:v>conger conger</x:v>
      </x:c>
      <x:c r="O47" s="32" t="n">
        <x:v>4.31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Conger conger</x:v>
      </x:c>
      <x:c r="T47" s="32" t="n">
        <x:f>IF(O47="","",(1/'Metadata'!$B$5)^(O47-1))</x:f>
        <x:v>2041.7379446695275</x:v>
      </x:c>
      <x:c r="U47" s="31" t="n">
        <x:f>IF(T47="","",I47*T47)</x:f>
        <x:v>27272.03092372133</x:v>
      </x:c>
    </x:row>
    <x:row r="48" ht="18" customHeight="1">
      <x:c r="A48" s="24" t="str">
        <x:v>EEZ_470</x:v>
      </x:c>
      <x:c r="B48" s="24" t="str">
        <x:v>Malta</x:v>
      </x:c>
      <x:c r="C48" s="24" t="str">
        <x:v>EEZ</x:v>
      </x:c>
      <x:c r="D48" s="30" t="n">
        <x:v>2019</x:v>
      </x:c>
      <x:c r="E48" s="24" t="str">
        <x:v>Illex coindetii</x:v>
      </x:c>
      <x:c r="F48" s="24" t="str">
        <x:v>Broadtail shortfin squid</x:v>
      </x:c>
      <x:c r="G48" s="24" t="str">
        <x:v>Cephalopods</x:v>
      </x:c>
      <x:c r="H48" s="24" t="str">
        <x:v>Other fishes &amp; inverts</x:v>
      </x:c>
      <x:c r="I48" s="31" t="n">
        <x:v>13.2651660404</x:v>
      </x:c>
      <x:c r="J48" s="31" t="n">
        <x:v>5.8393778248</x:v>
      </x:c>
      <x:c r="K48" s="31" t="n">
        <x:v>7.4257882156</x:v>
      </x:c>
      <x:c r="L48" s="31" t="n">
        <x:v>12.631370998</x:v>
      </x:c>
      <x:c r="M48" s="31" t="n">
        <x:v>0.6337950424</x:v>
      </x:c>
      <x:c r="N48" s="24" t="str">
        <x:v>illex coindetii</x:v>
      </x:c>
      <x:c r="O48" s="32" t="n">
        <x:v>4.11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Illex coindetii</x:v>
      </x:c>
      <x:c r="T48" s="32" t="n">
        <x:f>IF(O48="","",(1/'Metadata'!$B$5)^(O48-1))</x:f>
        <x:v>1288.249551693135</x:v>
      </x:c>
      <x:c r="U48" s="31" t="n">
        <x:f>IF(T48="","",I48*T48)</x:f>
        <x:v>17088.8442046803</x:v>
      </x:c>
    </x:row>
    <x:row r="49" ht="18" customHeight="1">
      <x:c r="A49" s="24" t="str">
        <x:v>EEZ_470</x:v>
      </x:c>
      <x:c r="B49" s="24" t="str">
        <x:v>Malta</x:v>
      </x:c>
      <x:c r="C49" s="24" t="str">
        <x:v>EEZ</x:v>
      </x:c>
      <x:c r="D49" s="30" t="n">
        <x:v>2019</x:v>
      </x:c>
      <x:c r="E49" s="24" t="str">
        <x:v>Seriola dumerili</x:v>
      </x:c>
      <x:c r="F49" s="24" t="str">
        <x:v>Greater amberjack</x:v>
      </x:c>
      <x:c r="G49" s="24" t="str">
        <x:v>Large reef assoc. fish (&gt;=90 cm)</x:v>
      </x:c>
      <x:c r="H49" s="24" t="str">
        <x:v>Perch-likes</x:v>
      </x:c>
      <x:c r="I49" s="31" t="n">
        <x:v>12.2112477153</x:v>
      </x:c>
      <x:c r="J49" s="31" t="n">
        <x:v>12.2112477153</x:v>
      </x:c>
      <x:c r="K49" s="31" t="n">
        <x:v>0</x:v>
      </x:c>
      <x:c r="L49" s="31" t="n">
        <x:v>11.27</x:v>
      </x:c>
      <x:c r="M49" s="31" t="n">
        <x:v>0.9412477153</x:v>
      </x:c>
      <x:c r="N49" s="24" t="str">
        <x:v>seriola dumerili</x:v>
      </x:c>
      <x:c r="O49" s="32" t="n">
        <x:v>4.5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Seriola dumerili</x:v>
      </x:c>
      <x:c r="T49" s="32" t="n">
        <x:f>IF(O49="","",(1/'Metadata'!$B$5)^(O49-1))</x:f>
        <x:v>3162.2776601683795</x:v>
      </x:c>
      <x:c r="U49" s="31" t="n">
        <x:f>IF(T49="","",I49*T49)</x:f>
        <x:v>38615.35585287536</x:v>
      </x:c>
    </x:row>
    <x:row r="50" ht="18" customHeight="1">
      <x:c r="A50" s="24" t="str">
        <x:v>EEZ_470</x:v>
      </x:c>
      <x:c r="B50" s="24" t="str">
        <x:v>Malta</x:v>
      </x:c>
      <x:c r="C50" s="24" t="str">
        <x:v>EEZ</x:v>
      </x:c>
      <x:c r="D50" s="30" t="n">
        <x:v>2019</x:v>
      </x:c>
      <x:c r="E50" s="24" t="str">
        <x:v>Eledone</x:v>
      </x:c>
      <x:c r="F50" s="24" t="str">
        <x:v>Horned, musky octopuses</x:v>
      </x:c>
      <x:c r="G50" s="24" t="str">
        <x:v>Cephalopods</x:v>
      </x:c>
      <x:c r="H50" s="24" t="str">
        <x:v>Other fishes &amp; inverts</x:v>
      </x:c>
      <x:c r="I50" s="31" t="n">
        <x:v>11.6365768882</x:v>
      </x:c>
      <x:c r="J50" s="31" t="n">
        <x:v>11.6365768882</x:v>
      </x:c>
      <x:c r="K50" s="31" t="n">
        <x:v>0</x:v>
      </x:c>
      <x:c r="L50" s="31" t="n">
        <x:v>11.6275031281</x:v>
      </x:c>
      <x:c r="M50" s="31" t="n">
        <x:v>0.0090737601</x:v>
      </x:c>
      <x:c r="N50" s="24" t="str">
        <x:v>eledone</x:v>
      </x:c>
      <x:c r="O50" s="32" t="n">
        <x:v>3.67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Eledone</x:v>
      </x:c>
      <x:c r="T50" s="32" t="n">
        <x:f>IF(O50="","",(1/'Metadata'!$B$5)^(O50-1))</x:f>
        <x:v>467.73514128719813</x:v>
      </x:c>
      <x:c r="U50" s="31" t="n">
        <x:f>IF(T50="","",I50*T50)</x:f>
        <x:v>5442.835934901572</x:v>
      </x:c>
    </x:row>
    <x:row r="51" ht="18" customHeight="1">
      <x:c r="A51" s="24" t="str">
        <x:v>EEZ_470</x:v>
      </x:c>
      <x:c r="B51" s="24" t="str">
        <x:v>Malta</x:v>
      </x:c>
      <x:c r="C51" s="24" t="str">
        <x:v>EEZ</x:v>
      </x:c>
      <x:c r="D51" s="30" t="n">
        <x:v>2019</x:v>
      </x:c>
      <x:c r="E51" s="24" t="str">
        <x:v>Pagellus erythrinus</x:v>
      </x:c>
      <x:c r="F51" s="24" t="str">
        <x:v>Common pandora</x:v>
      </x:c>
      <x:c r="G51" s="24" t="str">
        <x:v>Medium benthopelagics (30 - 89 cm)</x:v>
      </x:c>
      <x:c r="H51" s="24" t="str">
        <x:v>Perch-likes</x:v>
      </x:c>
      <x:c r="I51" s="31" t="n">
        <x:v>11.623601546</x:v>
      </x:c>
      <x:c r="J51" s="31" t="n">
        <x:v>7.855058919999999</x:v>
      </x:c>
      <x:c r="K51" s="31" t="n">
        <x:v>3.768542626</x:v>
      </x:c>
      <x:c r="L51" s="31" t="n">
        <x:v>10.91008141</x:v>
      </x:c>
      <x:c r="M51" s="31" t="n">
        <x:v>0.713520136</x:v>
      </x:c>
      <x:c r="N51" s="24" t="str">
        <x:v>pagellus erythrinus</x:v>
      </x:c>
      <x:c r="O51" s="32" t="n">
        <x:v>3.48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Pagellus erythrinus</x:v>
      </x:c>
      <x:c r="T51" s="32" t="n">
        <x:f>IF(O51="","",(1/'Metadata'!$B$5)^(O51-1))</x:f>
        <x:v>301.9951720402016</x:v>
      </x:c>
      <x:c r="U51" s="31" t="n">
        <x:f>IF(T51="","",I51*T51)</x:f>
        <x:v>3510.2715486110233</x:v>
      </x:c>
    </x:row>
    <x:row r="52" ht="18" customHeight="1">
      <x:c r="A52" s="24" t="str">
        <x:v>EEZ_470</x:v>
      </x:c>
      <x:c r="B52" s="24" t="str">
        <x:v>Malta</x:v>
      </x:c>
      <x:c r="C52" s="24" t="str">
        <x:v>EEZ</x:v>
      </x:c>
      <x:c r="D52" s="30" t="n">
        <x:v>2019</x:v>
      </x:c>
      <x:c r="E52" s="24" t="str">
        <x:v>Squilla mantis</x:v>
      </x:c>
      <x:c r="F52" s="24" t="str">
        <x:v>Spottail mantis squillid</x:v>
      </x:c>
      <x:c r="G52" s="24" t="str">
        <x:v>Shrimps</x:v>
      </x:c>
      <x:c r="H52" s="24" t="str">
        <x:v>Crustaceans</x:v>
      </x:c>
      <x:c r="I52" s="31" t="n">
        <x:v>11.0884379147</x:v>
      </x:c>
      <x:c r="J52" s="31" t="n">
        <x:v>7.288751142</x:v>
      </x:c>
      <x:c r="K52" s="31" t="n">
        <x:v>3.7996867727</x:v>
      </x:c>
      <x:c r="L52" s="31" t="n">
        <x:v>9.714480173</x:v>
      </x:c>
      <x:c r="M52" s="31" t="n">
        <x:v>1.3739577417</x:v>
      </x:c>
      <x:c r="N52" s="24" t="str">
        <x:v>squilla mantis</x:v>
      </x:c>
      <x:c r="O52" s="32" t="n">
        <x:v>3.62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Squilla mantis</x:v>
      </x:c>
      <x:c r="T52" s="32" t="n">
        <x:f>IF(O52="","",(1/'Metadata'!$B$5)^(O52-1))</x:f>
        <x:v>416.8693834703355</x:v>
      </x:c>
      <x:c r="U52" s="31" t="n">
        <x:f>IF(T52="","",I52*T52)</x:f>
        <x:v>4622.430277150082</x:v>
      </x:c>
    </x:row>
    <x:row r="53" ht="18" customHeight="1">
      <x:c r="A53" s="24" t="str">
        <x:v>EEZ_470</x:v>
      </x:c>
      <x:c r="B53" s="24" t="str">
        <x:v>Malta</x:v>
      </x:c>
      <x:c r="C53" s="24" t="str">
        <x:v>EEZ</x:v>
      </x:c>
      <x:c r="D53" s="30" t="n">
        <x:v>2019</x:v>
      </x:c>
      <x:c r="E53" s="24" t="str">
        <x:v>Mustelus mustelus</x:v>
      </x:c>
      <x:c r="F53" s="24" t="str">
        <x:v>Smooth-hound</x:v>
      </x:c>
      <x:c r="G53" s="24" t="str">
        <x:v>Large sharks (&gt;=90 cm)</x:v>
      </x:c>
      <x:c r="H53" s="24" t="str">
        <x:v>Sharks &amp; rays</x:v>
      </x:c>
      <x:c r="I53" s="31" t="n">
        <x:v>11</x:v>
      </x:c>
      <x:c r="J53" s="31" t="n">
        <x:v>11</x:v>
      </x:c>
      <x:c r="K53" s="31" t="n">
        <x:v>0</x:v>
      </x:c>
      <x:c r="L53" s="31" t="n">
        <x:v>11</x:v>
      </x:c>
      <x:c r="M53" s="31" t="n">
        <x:v>0</x:v>
      </x:c>
      <x:c r="N53" s="24" t="str">
        <x:v>mustelus mustelus</x:v>
      </x:c>
      <x:c r="O53" s="32" t="n">
        <x:v>3.75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Mustelus mustelus</x:v>
      </x:c>
      <x:c r="T53" s="32" t="n">
        <x:f>IF(O53="","",(1/'Metadata'!$B$5)^(O53-1))</x:f>
        <x:v>562.341325190349</x:v>
      </x:c>
      <x:c r="U53" s="31" t="n">
        <x:f>IF(T53="","",I53*T53)</x:f>
        <x:v>6185.7545770938395</x:v>
      </x:c>
    </x:row>
    <x:row r="54" ht="18" customHeight="1">
      <x:c r="A54" s="24" t="str">
        <x:v>EEZ_470</x:v>
      </x:c>
      <x:c r="B54" s="24" t="str">
        <x:v>Malta</x:v>
      </x:c>
      <x:c r="C54" s="24" t="str">
        <x:v>EEZ</x:v>
      </x:c>
      <x:c r="D54" s="30" t="n">
        <x:v>2019</x:v>
      </x:c>
      <x:c r="E54" s="24" t="str">
        <x:v>Perciformes</x:v>
      </x:c>
      <x:c r="F54" s="24" t="str">
        <x:v>Perch-likes</x:v>
      </x:c>
      <x:c r="G54" s="24" t="str">
        <x:v>Medium demersals (30 - 89 cm)</x:v>
      </x:c>
      <x:c r="H54" s="24" t="str">
        <x:v>Perch-likes</x:v>
      </x:c>
      <x:c r="I54" s="31" t="n">
        <x:v>10.2968355028</x:v>
      </x:c>
      <x:c r="J54" s="31" t="n">
        <x:v>10.2968355028</x:v>
      </x:c>
      <x:c r="K54" s="31" t="n">
        <x:v>0</x:v>
      </x:c>
      <x:c r="L54" s="31" t="n">
        <x:v>9.48</x:v>
      </x:c>
      <x:c r="M54" s="31" t="n">
        <x:v>0.8168355028</x:v>
      </x:c>
      <x:c r="N54" s="24" t="str">
        <x:v>perciformes</x:v>
      </x:c>
      <x:c r="O54" s="32" t="n">
        <x:v>3.53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Perciformes</x:v>
      </x:c>
      <x:c r="T54" s="32" t="n">
        <x:f>IF(O54="","",(1/'Metadata'!$B$5)^(O54-1))</x:f>
        <x:v>338.84415613920237</x:v>
      </x:c>
      <x:c r="U54" s="31" t="n">
        <x:f>IF(T54="","",I54*T54)</x:f>
        <x:v>3489.0225368504457</x:v>
      </x:c>
    </x:row>
    <x:row r="55" ht="18" customHeight="1">
      <x:c r="A55" s="24" t="str">
        <x:v>EEZ_470</x:v>
      </x:c>
      <x:c r="B55" s="24" t="str">
        <x:v>Malta</x:v>
      </x:c>
      <x:c r="C55" s="24" t="str">
        <x:v>EEZ</x:v>
      </x:c>
      <x:c r="D55" s="30" t="n">
        <x:v>2019</x:v>
      </x:c>
      <x:c r="E55" s="24" t="str">
        <x:v>Squalus blainville</x:v>
      </x:c>
      <x:c r="F55" s="24" t="str">
        <x:v>Longnose spurdog</x:v>
      </x:c>
      <x:c r="G55" s="24" t="str">
        <x:v>Small to medium sharks (&lt;90 cm)</x:v>
      </x:c>
      <x:c r="H55" s="24" t="str">
        <x:v>Sharks &amp; rays</x:v>
      </x:c>
      <x:c r="I55" s="31" t="n">
        <x:v>9.7061969723</x:v>
      </x:c>
      <x:c r="J55" s="31" t="n">
        <x:v>9.7061969723</x:v>
      </x:c>
      <x:c r="K55" s="31" t="n">
        <x:v>0</x:v>
      </x:c>
      <x:c r="L55" s="31" t="n">
        <x:v>9.64</x:v>
      </x:c>
      <x:c r="M55" s="31" t="n">
        <x:v>0.0661969723</x:v>
      </x:c>
      <x:c r="N55" s="24" t="str">
        <x:v>squalus blainville</x:v>
      </x:c>
      <x:c r="O55" s="32" t="n">
        <x:v>3.97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Squalus blainville</x:v>
      </x:c>
      <x:c r="T55" s="32" t="n">
        <x:f>IF(O55="","",(1/'Metadata'!$B$5)^(O55-1))</x:f>
        <x:v>933.2543007969915</x:v>
      </x:c>
      <x:c r="U55" s="31" t="n">
        <x:f>IF(T55="","",I55*T55)</x:f>
        <x:v>9058.350068781714</x:v>
      </x:c>
    </x:row>
    <x:row r="56" ht="18" customHeight="1">
      <x:c r="A56" s="24" t="str">
        <x:v>EEZ_470</x:v>
      </x:c>
      <x:c r="B56" s="24" t="str">
        <x:v>Malta</x:v>
      </x:c>
      <x:c r="C56" s="24" t="str">
        <x:v>EEZ</x:v>
      </x:c>
      <x:c r="D56" s="30" t="n">
        <x:v>2019</x:v>
      </x:c>
      <x:c r="E56" s="24" t="str">
        <x:v>Trachurus mediterraneus</x:v>
      </x:c>
      <x:c r="F56" s="24" t="str">
        <x:v>Mediterranean horse mackerel</x:v>
      </x:c>
      <x:c r="G56" s="24" t="str">
        <x:v>Medium pelagics (30 - 89 cm)</x:v>
      </x:c>
      <x:c r="H56" s="24" t="str">
        <x:v>Perch-likes</x:v>
      </x:c>
      <x:c r="I56" s="31" t="n">
        <x:v>9.4820293334</x:v>
      </x:c>
      <x:c r="J56" s="31" t="n">
        <x:v>9.350248390399999</x:v>
      </x:c>
      <x:c r="K56" s="31" t="n">
        <x:v>0.131780943</x:v>
      </x:c>
      <x:c r="L56" s="31" t="n">
        <x:v>8.951780943</x:v>
      </x:c>
      <x:c r="M56" s="31" t="n">
        <x:v>0.5302483903999999</x:v>
      </x:c>
      <x:c r="N56" s="24" t="str">
        <x:v>trachurus mediterraneus</x:v>
      </x:c>
      <x:c r="O56" s="32" t="n">
        <x:v>3.77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Trachurus mediterraneus</x:v>
      </x:c>
      <x:c r="T56" s="32" t="n">
        <x:f>IF(O56="","",(1/'Metadata'!$B$5)^(O56-1))</x:f>
        <x:v>588.843655355589</x:v>
      </x:c>
      <x:c r="U56" s="31" t="n">
        <x:f>IF(T56="","",I56*T56)</x:f>
        <x:v>5583.4328128681755</x:v>
      </x:c>
    </x:row>
    <x:row r="57" ht="18" customHeight="1">
      <x:c r="A57" s="24" t="str">
        <x:v>EEZ_470</x:v>
      </x:c>
      <x:c r="B57" s="24" t="str">
        <x:v>Malta</x:v>
      </x:c>
      <x:c r="C57" s="24" t="str">
        <x:v>EEZ</x:v>
      </x:c>
      <x:c r="D57" s="30" t="n">
        <x:v>2019</x:v>
      </x:c>
      <x:c r="E57" s="24" t="str">
        <x:v>Pagellus acarne</x:v>
      </x:c>
      <x:c r="F57" s="24" t="str">
        <x:v>Axillary seabream</x:v>
      </x:c>
      <x:c r="G57" s="24" t="str">
        <x:v>Medium benthopelagics (30 - 89 cm)</x:v>
      </x:c>
      <x:c r="H57" s="24" t="str">
        <x:v>Perch-likes</x:v>
      </x:c>
      <x:c r="I57" s="31" t="n">
        <x:v>9.1114539785</x:v>
      </x:c>
      <x:c r="J57" s="31" t="n">
        <x:v>9.1114539785</x:v>
      </x:c>
      <x:c r="K57" s="31" t="n">
        <x:v>0</x:v>
      </x:c>
      <x:c r="L57" s="31" t="n">
        <x:v>9.03</x:v>
      </x:c>
      <x:c r="M57" s="31" t="n">
        <x:v>0.0814539785</x:v>
      </x:c>
      <x:c r="N57" s="24" t="str">
        <x:v>pagellus acarne</x:v>
      </x:c>
      <x:c r="O57" s="32" t="n">
        <x:v>3.81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Pagellus acarne</x:v>
      </x:c>
      <x:c r="T57" s="32" t="n">
        <x:f>IF(O57="","",(1/'Metadata'!$B$5)^(O57-1))</x:f>
        <x:v>645.6542290346556</x:v>
      </x:c>
      <x:c r="U57" s="31" t="n">
        <x:f>IF(T57="","",I57*T57)</x:f>
        <x:v>5882.848793873163</x:v>
      </x:c>
    </x:row>
    <x:row r="58" ht="18" customHeight="1">
      <x:c r="A58" s="24" t="str">
        <x:v>EEZ_470</x:v>
      </x:c>
      <x:c r="B58" s="24" t="str">
        <x:v>Malta</x:v>
      </x:c>
      <x:c r="C58" s="24" t="str">
        <x:v>EEZ</x:v>
      </x:c>
      <x:c r="D58" s="30" t="n">
        <x:v>2019</x:v>
      </x:c>
      <x:c r="E58" s="24" t="str">
        <x:v>Scorpaena porcus</x:v>
      </x:c>
      <x:c r="F58" s="24" t="str">
        <x:v>Black scorpionfish</x:v>
      </x:c>
      <x:c r="G58" s="24" t="str">
        <x:v>Small demersals (&lt;30 cm)</x:v>
      </x:c>
      <x:c r="H58" s="24" t="str">
        <x:v>Scorpionfishes</x:v>
      </x:c>
      <x:c r="I58" s="31" t="n">
        <x:v>8.4831022027</x:v>
      </x:c>
      <x:c r="J58" s="31" t="n">
        <x:v>8.4831022027</x:v>
      </x:c>
      <x:c r="K58" s="31" t="n">
        <x:v>0</x:v>
      </x:c>
      <x:c r="L58" s="31" t="n">
        <x:v>7.7534622220000005</x:v>
      </x:c>
      <x:c r="M58" s="31" t="n">
        <x:v>0.7296399806999999</x:v>
      </x:c>
      <x:c r="N58" s="24" t="str">
        <x:v>scorpaena porcus</x:v>
      </x:c>
      <x:c r="O58" s="32" t="n">
        <x:v>3.92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Scorpaena porcus</x:v>
      </x:c>
      <x:c r="T58" s="32" t="n">
        <x:f>IF(O58="","",(1/'Metadata'!$B$5)^(O58-1))</x:f>
        <x:v>831.7637711026708</x:v>
      </x:c>
      <x:c r="U58" s="31" t="n">
        <x:f>IF(T58="","",I58*T58)</x:f>
        <x:v>7055.937078767125</x:v>
      </x:c>
    </x:row>
    <x:row r="59" ht="18" customHeight="1">
      <x:c r="A59" s="24" t="str">
        <x:v>EEZ_470</x:v>
      </x:c>
      <x:c r="B59" s="24" t="str">
        <x:v>Malta</x:v>
      </x:c>
      <x:c r="C59" s="24" t="str">
        <x:v>EEZ</x:v>
      </x:c>
      <x:c r="D59" s="30" t="n">
        <x:v>2019</x:v>
      </x:c>
      <x:c r="E59" s="24" t="str">
        <x:v>Diplodus sargus</x:v>
      </x:c>
      <x:c r="F59" s="24" t="str">
        <x:v>White seabream</x:v>
      </x:c>
      <x:c r="G59" s="24" t="str">
        <x:v>Medium demersals (30 - 89 cm)</x:v>
      </x:c>
      <x:c r="H59" s="24" t="str">
        <x:v>Perch-likes</x:v>
      </x:c>
      <x:c r="I59" s="31" t="n">
        <x:v>7.4806803931</x:v>
      </x:c>
      <x:c r="J59" s="31" t="n">
        <x:v>7.4806803931</x:v>
      </x:c>
      <x:c r="K59" s="31" t="n">
        <x:v>0</x:v>
      </x:c>
      <x:c r="L59" s="31" t="n">
        <x:v>7.25</x:v>
      </x:c>
      <x:c r="M59" s="31" t="n">
        <x:v>0.2306803931</x:v>
      </x:c>
      <x:c r="N59" s="24" t="str">
        <x:v>diplodus sargus</x:v>
      </x:c>
      <x:c r="O59" s="32" t="n">
        <x:v>3.38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Diplodus sargus</x:v>
      </x:c>
      <x:c r="T59" s="32" t="n">
        <x:f>IF(O59="","",(1/'Metadata'!$B$5)^(O59-1))</x:f>
        <x:v>239.88329190194898</x:v>
      </x:c>
      <x:c r="U59" s="31" t="n">
        <x:f>IF(T59="","",I59*T59)</x:f>
        <x:v>1794.4902383631938</x:v>
      </x:c>
    </x:row>
    <x:row r="60" ht="18" customHeight="1">
      <x:c r="A60" s="24" t="str">
        <x:v>EEZ_470</x:v>
      </x:c>
      <x:c r="B60" s="24" t="str">
        <x:v>Malta</x:v>
      </x:c>
      <x:c r="C60" s="24" t="str">
        <x:v>EEZ</x:v>
      </x:c>
      <x:c r="D60" s="30" t="n">
        <x:v>2019</x:v>
      </x:c>
      <x:c r="E60" s="24" t="str">
        <x:v>Lophius</x:v>
      </x:c>
      <x:c r="F60" s="24" t="str">
        <x:v>Frogfishes</x:v>
      </x:c>
      <x:c r="G60" s="24" t="str">
        <x:v>Medium bathydemersals (30 - 89 cm)</x:v>
      </x:c>
      <x:c r="H60" s="24" t="str">
        <x:v>Other fishes &amp; inverts</x:v>
      </x:c>
      <x:c r="I60" s="31" t="n">
        <x:v>7.4532773616</x:v>
      </x:c>
      <x:c r="J60" s="31" t="n">
        <x:v>7.397957878</x:v>
      </x:c>
      <x:c r="K60" s="31" t="n">
        <x:v>0.0553194836</x:v>
      </x:c>
      <x:c r="L60" s="31" t="n">
        <x:v>6.438083407</x:v>
      </x:c>
      <x:c r="M60" s="31" t="n">
        <x:v>1.0151939546</x:v>
      </x:c>
      <x:c r="N60" s="24" t="str">
        <x:v>lophius</x:v>
      </x:c>
      <x:c r="O60" s="32" t="n">
        <x:v>4.46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Lophius</x:v>
      </x:c>
      <x:c r="T60" s="32" t="n">
        <x:f>IF(O60="","",(1/'Metadata'!$B$5)^(O60-1))</x:f>
        <x:v>2884.031503126606</x:v>
      </x:c>
      <x:c r="U60" s="31" t="n">
        <x:f>IF(T60="","",I60*T60)</x:f>
        <x:v>21495.48671239475</x:v>
      </x:c>
    </x:row>
    <x:row r="61" ht="18" customHeight="1">
      <x:c r="A61" s="24" t="str">
        <x:v>EEZ_470</x:v>
      </x:c>
      <x:c r="B61" s="24" t="str">
        <x:v>Malta</x:v>
      </x:c>
      <x:c r="C61" s="24" t="str">
        <x:v>EEZ</x:v>
      </x:c>
      <x:c r="D61" s="30" t="n">
        <x:v>2019</x:v>
      </x:c>
      <x:c r="E61" s="24" t="str">
        <x:v>Scorpaeniformes</x:v>
      </x:c>
      <x:c r="F61" s="24" t="str">
        <x:v>Scorpionfishes, flatheads</x:v>
      </x:c>
      <x:c r="G61" s="24" t="str">
        <x:v>Medium demersals (30 - 89 cm)</x:v>
      </x:c>
      <x:c r="H61" s="24" t="str">
        <x:v>Scorpionfishes</x:v>
      </x:c>
      <x:c r="I61" s="31" t="n">
        <x:v>6.7634085495</x:v>
      </x:c>
      <x:c r="J61" s="31" t="n">
        <x:v>6.7634085495</x:v>
      </x:c>
      <x:c r="K61" s="31" t="n">
        <x:v>0</x:v>
      </x:c>
      <x:c r="L61" s="31" t="n">
        <x:v>0.03</x:v>
      </x:c>
      <x:c r="M61" s="31" t="n">
        <x:v>6.733408549500001</x:v>
      </x:c>
      <x:c r="N61" s="24" t="str">
        <x:v>scorpaeniformes</x:v>
      </x:c>
      <x:c r="O61" s="32" t="n">
        <x:v>3.78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Scorpaeniformes</x:v>
      </x:c>
      <x:c r="T61" s="32" t="n">
        <x:f>IF(O61="","",(1/'Metadata'!$B$5)^(O61-1))</x:f>
        <x:v>602.5595860743575</x:v>
      </x:c>
      <x:c r="U61" s="31" t="n">
        <x:f>IF(T61="","",I61*T61)</x:f>
        <x:v>4075.356656038491</x:v>
      </x:c>
    </x:row>
    <x:row r="62" ht="18" customHeight="1">
      <x:c r="A62" s="24" t="str">
        <x:v>EEZ_470</x:v>
      </x:c>
      <x:c r="B62" s="24" t="str">
        <x:v>Malta</x:v>
      </x:c>
      <x:c r="C62" s="24" t="str">
        <x:v>EEZ</x:v>
      </x:c>
      <x:c r="D62" s="30" t="n">
        <x:v>2019</x:v>
      </x:c>
      <x:c r="E62" s="24" t="str">
        <x:v>Octopoda</x:v>
      </x:c>
      <x:c r="F62" s="24" t="str">
        <x:v>Octopuses, argonauts</x:v>
      </x:c>
      <x:c r="G62" s="24" t="str">
        <x:v>Cephalopods</x:v>
      </x:c>
      <x:c r="H62" s="24" t="str">
        <x:v>Other fishes &amp; inverts</x:v>
      </x:c>
      <x:c r="I62" s="31" t="n">
        <x:v>6.6138932949</x:v>
      </x:c>
      <x:c r="J62" s="31" t="n">
        <x:v>6.6138932949</x:v>
      </x:c>
      <x:c r="K62" s="31" t="n">
        <x:v>0</x:v>
      </x:c>
      <x:c r="L62" s="31" t="n">
        <x:v>0</x:v>
      </x:c>
      <x:c r="M62" s="31" t="n">
        <x:v>6.6138932949</x:v>
      </x:c>
      <x:c r="N62" s="24" t="str">
        <x:v>octopoda</x:v>
      </x:c>
      <x:c r="O62" s="32" t="n">
        <x:v>3.58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Octopoda</x:v>
      </x:c>
      <x:c r="T62" s="32" t="n">
        <x:f>IF(O62="","",(1/'Metadata'!$B$5)^(O62-1))</x:f>
        <x:v>380.1893963205613</x:v>
      </x:c>
      <x:c r="U62" s="31" t="n">
        <x:f>IF(T62="","",I62*T62)</x:f>
        <x:v>2514.532099116639</x:v>
      </x:c>
    </x:row>
    <x:row r="63" ht="18" customHeight="1">
      <x:c r="A63" s="24" t="str">
        <x:v>EEZ_470</x:v>
      </x:c>
      <x:c r="B63" s="24" t="str">
        <x:v>Malta</x:v>
      </x:c>
      <x:c r="C63" s="24" t="str">
        <x:v>EEZ</x:v>
      </x:c>
      <x:c r="D63" s="30" t="n">
        <x:v>2019</x:v>
      </x:c>
      <x:c r="E63" s="24" t="str">
        <x:v>Carangidae</x:v>
      </x:c>
      <x:c r="F63" s="24" t="str">
        <x:v>Jacks, pompanos</x:v>
      </x:c>
      <x:c r="G63" s="24" t="str">
        <x:v>Medium pelagics (30 - 89 cm)</x:v>
      </x:c>
      <x:c r="H63" s="24" t="str">
        <x:v>Perch-likes</x:v>
      </x:c>
      <x:c r="I63" s="31" t="n">
        <x:v>6.5949113562</x:v>
      </x:c>
      <x:c r="J63" s="31" t="n">
        <x:v>6.5949113562</x:v>
      </x:c>
      <x:c r="K63" s="31" t="n">
        <x:v>0</x:v>
      </x:c>
      <x:c r="L63" s="31" t="n">
        <x:v>0</x:v>
      </x:c>
      <x:c r="M63" s="31" t="n">
        <x:v>6.5949113562</x:v>
      </x:c>
      <x:c r="N63" s="24" t="str">
        <x:v>carangidae</x:v>
      </x:c>
      <x:c r="O63" s="32" t="n">
        <x:v>4.05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Carangidae</x:v>
      </x:c>
      <x:c r="T63" s="32" t="n">
        <x:f>IF(O63="","",(1/'Metadata'!$B$5)^(O63-1))</x:f>
        <x:v>1122.018454301963</x:v>
      </x:c>
      <x:c r="U63" s="31" t="n">
        <x:f>IF(T63="","",I63*T63)</x:f>
        <x:v>7399.612246141986</x:v>
      </x:c>
    </x:row>
    <x:row r="64" ht="18" customHeight="1">
      <x:c r="A64" s="24" t="str">
        <x:v>EEZ_470</x:v>
      </x:c>
      <x:c r="B64" s="24" t="str">
        <x:v>Malta</x:v>
      </x:c>
      <x:c r="C64" s="24" t="str">
        <x:v>EEZ</x:v>
      </x:c>
      <x:c r="D64" s="30" t="n">
        <x:v>2019</x:v>
      </x:c>
      <x:c r="E64" s="24" t="str">
        <x:v>Zeus faber</x:v>
      </x:c>
      <x:c r="F64" s="24" t="str">
        <x:v>John dory</x:v>
      </x:c>
      <x:c r="G64" s="24" t="str">
        <x:v>Medium benthopelagics (30 - 89 cm)</x:v>
      </x:c>
      <x:c r="H64" s="24" t="str">
        <x:v>Other fishes &amp; inverts</x:v>
      </x:c>
      <x:c r="I64" s="31" t="n">
        <x:v>6.3293766981</x:v>
      </x:c>
      <x:c r="J64" s="31" t="n">
        <x:v>6.3293766981</x:v>
      </x:c>
      <x:c r="K64" s="31" t="n">
        <x:v>0</x:v>
      </x:c>
      <x:c r="L64" s="31" t="n">
        <x:v>6.13</x:v>
      </x:c>
      <x:c r="M64" s="31" t="n">
        <x:v>0.1993766981</x:v>
      </x:c>
      <x:c r="N64" s="24" t="str">
        <x:v>zeus faber</x:v>
      </x:c>
      <x:c r="O64" s="32" t="n">
        <x:v>4.5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Zeus faber</x:v>
      </x:c>
      <x:c r="T64" s="32" t="n">
        <x:f>IF(O64="","",(1/'Metadata'!$B$5)^(O64-1))</x:f>
        <x:v>3162.2776601683795</x:v>
      </x:c>
      <x:c r="U64" s="31" t="n">
        <x:f>IF(T64="","",I64*T64)</x:f>
        <x:v>20015.24653519193</x:v>
      </x:c>
    </x:row>
    <x:row r="65" ht="18" customHeight="1">
      <x:c r="A65" s="24" t="str">
        <x:v>EEZ_470</x:v>
      </x:c>
      <x:c r="B65" s="24" t="str">
        <x:v>Malta</x:v>
      </x:c>
      <x:c r="C65" s="24" t="str">
        <x:v>EEZ</x:v>
      </x:c>
      <x:c r="D65" s="30" t="n">
        <x:v>2019</x:v>
      </x:c>
      <x:c r="E65" s="24" t="str">
        <x:v>Octopus</x:v>
      </x:c>
      <x:c r="F65" s="24" t="str">
        <x:v>Octopuses, pikas</x:v>
      </x:c>
      <x:c r="G65" s="24" t="str">
        <x:v>Cephalopods</x:v>
      </x:c>
      <x:c r="H65" s="24" t="str">
        <x:v>Other fishes &amp; inverts</x:v>
      </x:c>
      <x:c r="I65" s="31" t="n">
        <x:v>6.2738917053</x:v>
      </x:c>
      <x:c r="J65" s="31" t="n">
        <x:v>6.2738917053</x:v>
      </x:c>
      <x:c r="K65" s="31" t="n">
        <x:v>0</x:v>
      </x:c>
      <x:c r="L65" s="31" t="n">
        <x:v>0</x:v>
      </x:c>
      <x:c r="M65" s="31" t="n">
        <x:v>6.2738917053</x:v>
      </x:c>
      <x:c r="N65" s="24" t="str">
        <x:v>octopus</x:v>
      </x:c>
      <x:c r="O65" s="32" t="n">
        <x:v>3.8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Octopus</x:v>
      </x:c>
      <x:c r="T65" s="32" t="n">
        <x:f>IF(O65="","",(1/'Metadata'!$B$5)^(O65-1))</x:f>
        <x:v>630.957344480193</x:v>
      </x:c>
      <x:c r="U65" s="31" t="n">
        <x:f>IF(T65="","",I65*T65)</x:f>
        <x:v>3958.5580499323974</x:v>
      </x:c>
    </x:row>
    <x:row r="66" ht="18" customHeight="1">
      <x:c r="A66" s="24" t="str">
        <x:v>EEZ_470</x:v>
      </x:c>
      <x:c r="B66" s="24" t="str">
        <x:v>Malta</x:v>
      </x:c>
      <x:c r="C66" s="24" t="str">
        <x:v>EEZ</x:v>
      </x:c>
      <x:c r="D66" s="30" t="n">
        <x:v>2019</x:v>
      </x:c>
      <x:c r="E66" s="24" t="str">
        <x:v>Helicolenus dactylopterus</x:v>
      </x:c>
      <x:c r="F66" s="24" t="str">
        <x:v>Blackbelly rosefish</x:v>
      </x:c>
      <x:c r="G66" s="24" t="str">
        <x:v>Medium bathydemersals (30 - 89 cm)</x:v>
      </x:c>
      <x:c r="H66" s="24" t="str">
        <x:v>Scorpionfishes</x:v>
      </x:c>
      <x:c r="I66" s="31" t="n">
        <x:v>5.7341722413</x:v>
      </x:c>
      <x:c r="J66" s="31" t="n">
        <x:v>3.1341564857999997</x:v>
      </x:c>
      <x:c r="K66" s="31" t="n">
        <x:v>2.6000157555</x:v>
      </x:c>
      <x:c r="L66" s="31" t="n">
        <x:v>3.09</x:v>
      </x:c>
      <x:c r="M66" s="31" t="n">
        <x:v>2.6441722412999997</x:v>
      </x:c>
      <x:c r="N66" s="24" t="str">
        <x:v>helicolenus dactylopterus</x:v>
      </x:c>
      <x:c r="O66" s="32" t="n">
        <x:v>3.54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Helicolenus dactylopterus</x:v>
      </x:c>
      <x:c r="T66" s="32" t="n">
        <x:f>IF(O66="","",(1/'Metadata'!$B$5)^(O66-1))</x:f>
        <x:v>346.73685045253166</x:v>
      </x:c>
      <x:c r="U66" s="31" t="n">
        <x:f>IF(T66="","",I66*T66)</x:f>
        <x:v>1988.2488229006963</x:v>
      </x:c>
    </x:row>
    <x:row r="67" ht="18" customHeight="1">
      <x:c r="A67" s="24" t="str">
        <x:v>EEZ_470</x:v>
      </x:c>
      <x:c r="B67" s="24" t="str">
        <x:v>Malta</x:v>
      </x:c>
      <x:c r="C67" s="24" t="str">
        <x:v>EEZ</x:v>
      </x:c>
      <x:c r="D67" s="30" t="n">
        <x:v>2019</x:v>
      </x:c>
      <x:c r="E67" s="24" t="str">
        <x:v>Muraena helena</x:v>
      </x:c>
      <x:c r="F67" s="24" t="str">
        <x:v>Mediterranean moray</x:v>
      </x:c>
      <x:c r="G67" s="24" t="str">
        <x:v>Large reef assoc. fish (&gt;=90 cm)</x:v>
      </x:c>
      <x:c r="H67" s="24" t="str">
        <x:v>Other fishes &amp; inverts</x:v>
      </x:c>
      <x:c r="I67" s="31" t="n">
        <x:v>5.554197927800001</x:v>
      </x:c>
      <x:c r="J67" s="31" t="n">
        <x:v>3.345043265</x:v>
      </x:c>
      <x:c r="K67" s="31" t="n">
        <x:v>2.2091546628</x:v>
      </x:c>
      <x:c r="L67" s="31" t="n">
        <x:v>3.15</x:v>
      </x:c>
      <x:c r="M67" s="31" t="n">
        <x:v>2.4041979278</x:v>
      </x:c>
      <x:c r="N67" s="24" t="str">
        <x:v>muraena helena</x:v>
      </x:c>
      <x:c r="O67" s="32" t="n">
        <x:v>4.18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Muraena helena</x:v>
      </x:c>
      <x:c r="T67" s="32" t="n">
        <x:f>IF(O67="","",(1/'Metadata'!$B$5)^(O67-1))</x:f>
        <x:v>1513.5612484362073</x:v>
      </x:c>
      <x:c r="U67" s="31" t="n">
        <x:f>IF(T67="","",I67*T67)</x:f>
        <x:v>8406.618749662764</x:v>
      </x:c>
    </x:row>
    <x:row r="68" ht="18" customHeight="1">
      <x:c r="A68" s="24" t="str">
        <x:v>EEZ_470</x:v>
      </x:c>
      <x:c r="B68" s="24" t="str">
        <x:v>Malta</x:v>
      </x:c>
      <x:c r="C68" s="24" t="str">
        <x:v>EEZ</x:v>
      </x:c>
      <x:c r="D68" s="30" t="n">
        <x:v>2019</x:v>
      </x:c>
      <x:c r="E68" s="24" t="str">
        <x:v>Aristeidae</x:v>
      </x:c>
      <x:c r="F68" s="24" t="str">
        <x:v>Aristeid shrimps</x:v>
      </x:c>
      <x:c r="G68" s="24" t="str">
        <x:v>Shrimps</x:v>
      </x:c>
      <x:c r="H68" s="24" t="str">
        <x:v>Crustaceans</x:v>
      </x:c>
      <x:c r="I68" s="31" t="n">
        <x:v>5.4478268112</x:v>
      </x:c>
      <x:c r="J68" s="31" t="n">
        <x:v>5.4478268112</x:v>
      </x:c>
      <x:c r="K68" s="31" t="n">
        <x:v>0</x:v>
      </x:c>
      <x:c r="L68" s="31" t="n">
        <x:v>0</x:v>
      </x:c>
      <x:c r="M68" s="31" t="n">
        <x:v>5.4478268112</x:v>
      </x:c>
      <x:c r="N68" s="24" t="str">
        <x:v>aristeidae</x:v>
      </x:c>
      <x:c r="O68" s="32" t="n">
        <x:v>3.47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Aristeidae</x:v>
      </x:c>
      <x:c r="T68" s="32" t="n">
        <x:f>IF(O68="","",(1/'Metadata'!$B$5)^(O68-1))</x:f>
        <x:v>295.1209226666387</x:v>
      </x:c>
      <x:c r="U68" s="31" t="n">
        <x:f>IF(T68="","",I68*T68)</x:f>
        <x:v>1607.767675049396</x:v>
      </x:c>
    </x:row>
    <x:row r="69" ht="18" customHeight="1">
      <x:c r="A69" s="24" t="str">
        <x:v>EEZ_470</x:v>
      </x:c>
      <x:c r="B69" s="24" t="str">
        <x:v>Malta</x:v>
      </x:c>
      <x:c r="C69" s="24" t="str">
        <x:v>EEZ</x:v>
      </x:c>
      <x:c r="D69" s="30" t="n">
        <x:v>2019</x:v>
      </x:c>
      <x:c r="E69" s="24" t="str">
        <x:v>Spicara smaris</x:v>
      </x:c>
      <x:c r="F69" s="24" t="str">
        <x:v>Picarel</x:v>
      </x:c>
      <x:c r="G69" s="24" t="str">
        <x:v>Small demersals (&lt;30 cm)</x:v>
      </x:c>
      <x:c r="H69" s="24" t="str">
        <x:v>Perch-likes</x:v>
      </x:c>
      <x:c r="I69" s="31" t="n">
        <x:v>5.383807567</x:v>
      </x:c>
      <x:c r="J69" s="31" t="n">
        <x:v>5.383807567</x:v>
      </x:c>
      <x:c r="K69" s="31" t="n">
        <x:v>0</x:v>
      </x:c>
      <x:c r="L69" s="31" t="n">
        <x:v>4.355054005</x:v>
      </x:c>
      <x:c r="M69" s="31" t="n">
        <x:v>1.028753562</x:v>
      </x:c>
      <x:c r="N69" s="24" t="str">
        <x:v>spicara smaris</x:v>
      </x:c>
      <x:c r="O69" s="32" t="n">
        <x:v>3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Spicara smaris</x:v>
      </x:c>
      <x:c r="T69" s="32" t="n">
        <x:f>IF(O69="","",(1/'Metadata'!$B$5)^(O69-1))</x:f>
        <x:v>100</x:v>
      </x:c>
      <x:c r="U69" s="31" t="n">
        <x:f>IF(T69="","",I69*T69)</x:f>
        <x:v>538.3807567</x:v>
      </x:c>
    </x:row>
    <x:row r="70" ht="18" customHeight="1">
      <x:c r="A70" s="24" t="str">
        <x:v>EEZ_470</x:v>
      </x:c>
      <x:c r="B70" s="24" t="str">
        <x:v>Malta</x:v>
      </x:c>
      <x:c r="C70" s="24" t="str">
        <x:v>EEZ</x:v>
      </x:c>
      <x:c r="D70" s="30" t="n">
        <x:v>2019</x:v>
      </x:c>
      <x:c r="E70" s="24" t="str">
        <x:v>Oblada melanurus</x:v>
      </x:c>
      <x:c r="F70" s="24" t="str">
        <x:v>Saddled seabream</x:v>
      </x:c>
      <x:c r="G70" s="24" t="str">
        <x:v>Small benthopelagics (&lt;30 cm)</x:v>
      </x:c>
      <x:c r="H70" s="24" t="str">
        <x:v>Perch-likes</x:v>
      </x:c>
      <x:c r="I70" s="31" t="n">
        <x:v>5.220000000000001</x:v>
      </x:c>
      <x:c r="J70" s="31" t="n">
        <x:v>5.220000000000001</x:v>
      </x:c>
      <x:c r="K70" s="31" t="n">
        <x:v>0</x:v>
      </x:c>
      <x:c r="L70" s="31" t="n">
        <x:v>5.220000000000001</x:v>
      </x:c>
      <x:c r="M70" s="31" t="n">
        <x:v>0</x:v>
      </x:c>
      <x:c r="N70" s="24" t="str">
        <x:v>oblada melanurus</x:v>
      </x:c>
      <x:c r="O70" s="32" t="n">
        <x:v>3.38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Oblada melanurus</x:v>
      </x:c>
      <x:c r="T70" s="32" t="n">
        <x:f>IF(O70="","",(1/'Metadata'!$B$5)^(O70-1))</x:f>
        <x:v>239.88329190194898</x:v>
      </x:c>
      <x:c r="U70" s="31" t="n">
        <x:f>IF(T70="","",I70*T70)</x:f>
        <x:v>1252.1907837281738</x:v>
      </x:c>
    </x:row>
    <x:row r="71" ht="18" customHeight="1">
      <x:c r="A71" s="24" t="str">
        <x:v>EEZ_470</x:v>
      </x:c>
      <x:c r="B71" s="24" t="str">
        <x:v>Malta</x:v>
      </x:c>
      <x:c r="C71" s="24" t="str">
        <x:v>EEZ</x:v>
      </x:c>
      <x:c r="D71" s="30" t="n">
        <x:v>2019</x:v>
      </x:c>
      <x:c r="E71" s="24" t="str">
        <x:v>Sphyraena</x:v>
      </x:c>
      <x:c r="F71" s="24" t="str">
        <x:v>Barracudas, sennets</x:v>
      </x:c>
      <x:c r="G71" s="24" t="str">
        <x:v>Large pelagics (&gt;=90 cm)</x:v>
      </x:c>
      <x:c r="H71" s="24" t="str">
        <x:v>Perch-likes</x:v>
      </x:c>
      <x:c r="I71" s="31" t="n">
        <x:v>5.15</x:v>
      </x:c>
      <x:c r="J71" s="31" t="n">
        <x:v>5.15</x:v>
      </x:c>
      <x:c r="K71" s="31" t="n">
        <x:v>0</x:v>
      </x:c>
      <x:c r="L71" s="31" t="n">
        <x:v>5.15</x:v>
      </x:c>
      <x:c r="M71" s="31" t="n">
        <x:v>0</x:v>
      </x:c>
      <x:c r="N71" s="24" t="str">
        <x:v>sphyraena</x:v>
      </x:c>
      <x:c r="O71" s="32" t="n">
        <x:v>4.4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Sphyraena</x:v>
      </x:c>
      <x:c r="T71" s="32" t="n">
        <x:f>IF(O71="","",(1/'Metadata'!$B$5)^(O71-1))</x:f>
        <x:v>2511.886431509582</x:v>
      </x:c>
      <x:c r="U71" s="31" t="n">
        <x:f>IF(T71="","",I71*T71)</x:f>
        <x:v>12936.215122274349</x:v>
      </x:c>
    </x:row>
    <x:row r="72" ht="18" customHeight="1">
      <x:c r="A72" s="24" t="str">
        <x:v>EEZ_470</x:v>
      </x:c>
      <x:c r="B72" s="24" t="str">
        <x:v>Malta</x:v>
      </x:c>
      <x:c r="C72" s="24" t="str">
        <x:v>EEZ</x:v>
      </x:c>
      <x:c r="D72" s="30" t="n">
        <x:v>2019</x:v>
      </x:c>
      <x:c r="E72" s="24" t="str">
        <x:v>Trachurus</x:v>
      </x:c>
      <x:c r="F72" s="24" t="str">
        <x:v>Jacks, horse mackerels</x:v>
      </x:c>
      <x:c r="G72" s="24" t="str">
        <x:v>Medium pelagics (30 - 89 cm)</x:v>
      </x:c>
      <x:c r="H72" s="24" t="str">
        <x:v>Perch-likes</x:v>
      </x:c>
      <x:c r="I72" s="31" t="n">
        <x:v>5.1171169131</x:v>
      </x:c>
      <x:c r="J72" s="31" t="n">
        <x:v>5.1171169131</x:v>
      </x:c>
      <x:c r="K72" s="31" t="n">
        <x:v>0</x:v>
      </x:c>
      <x:c r="L72" s="31" t="n">
        <x:v>0</x:v>
      </x:c>
      <x:c r="M72" s="31" t="n">
        <x:v>5.1171169131</x:v>
      </x:c>
      <x:c r="N72" s="24" t="str">
        <x:v>trachurus</x:v>
      </x:c>
      <x:c r="O72" s="32" t="n">
        <x:v>3.69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Trachurus</x:v>
      </x:c>
      <x:c r="T72" s="32" t="n">
        <x:f>IF(O72="","",(1/'Metadata'!$B$5)^(O72-1))</x:f>
        <x:v>489.77881936844614</x:v>
      </x:c>
      <x:c r="U72" s="31" t="n">
        <x:f>IF(T72="","",I72*T72)</x:f>
        <x:v>2506.255480268426</x:v>
      </x:c>
    </x:row>
    <x:row r="73" ht="18" customHeight="1">
      <x:c r="A73" s="24" t="str">
        <x:v>EEZ_470</x:v>
      </x:c>
      <x:c r="B73" s="24" t="str">
        <x:v>Malta</x:v>
      </x:c>
      <x:c r="C73" s="24" t="str">
        <x:v>EEZ</x:v>
      </x:c>
      <x:c r="D73" s="30" t="n">
        <x:v>2019</x:v>
      </x:c>
      <x:c r="E73" s="24" t="str">
        <x:v>Molva macrophthalma</x:v>
      </x:c>
      <x:c r="F73" s="24" t="str">
        <x:v>Spanish ling</x:v>
      </x:c>
      <x:c r="G73" s="24" t="str">
        <x:v>Medium demersals (30 - 89 cm)</x:v>
      </x:c>
      <x:c r="H73" s="24" t="str">
        <x:v>Cod-likes</x:v>
      </x:c>
      <x:c r="I73" s="31" t="n">
        <x:v>4.9787535726</x:v>
      </x:c>
      <x:c r="J73" s="31" t="n">
        <x:v>0</x:v>
      </x:c>
      <x:c r="K73" s="31" t="n">
        <x:v>4.9787535726</x:v>
      </x:c>
      <x:c r="L73" s="31" t="n">
        <x:v>0</x:v>
      </x:c>
      <x:c r="M73" s="31" t="n">
        <x:v>4.9787535726</x:v>
      </x:c>
      <x:c r="N73" s="24" t="str">
        <x:v>molva macrophthalma</x:v>
      </x:c>
      <x:c r="O73" s="32" t="n">
        <x:v>4.5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Molva macrophthalma</x:v>
      </x:c>
      <x:c r="T73" s="32" t="n">
        <x:f>IF(O73="","",(1/'Metadata'!$B$5)^(O73-1))</x:f>
        <x:v>3162.2776601683795</x:v>
      </x:c>
      <x:c r="U73" s="31" t="n">
        <x:f>IF(T73="","",I73*T73)</x:f>
        <x:v>15744.201198116487</x:v>
      </x:c>
    </x:row>
    <x:row r="74" ht="18" customHeight="1">
      <x:c r="A74" s="24" t="str">
        <x:v>EEZ_470</x:v>
      </x:c>
      <x:c r="B74" s="24" t="str">
        <x:v>Malta</x:v>
      </x:c>
      <x:c r="C74" s="24" t="str">
        <x:v>EEZ</x:v>
      </x:c>
      <x:c r="D74" s="30" t="n">
        <x:v>2019</x:v>
      </x:c>
      <x:c r="E74" s="24" t="str">
        <x:v>Scomber scombrus</x:v>
      </x:c>
      <x:c r="F74" s="24" t="str">
        <x:v>Atlantic mackerel</x:v>
      </x:c>
      <x:c r="G74" s="24" t="str">
        <x:v>Medium pelagics (30 - 89 cm)</x:v>
      </x:c>
      <x:c r="H74" s="24" t="str">
        <x:v>Perch-likes</x:v>
      </x:c>
      <x:c r="I74" s="31" t="n">
        <x:v>4.8445434303</x:v>
      </x:c>
      <x:c r="J74" s="31" t="n">
        <x:v>4.8445434303</x:v>
      </x:c>
      <x:c r="K74" s="31" t="n">
        <x:v>0</x:v>
      </x:c>
      <x:c r="L74" s="31" t="n">
        <x:v>2.802693359</x:v>
      </x:c>
      <x:c r="M74" s="31" t="n">
        <x:v>2.0418500713</x:v>
      </x:c>
      <x:c r="N74" s="24" t="str">
        <x:v>scomber scombrus</x:v>
      </x:c>
      <x:c r="O74" s="32" t="n">
        <x:v>3.63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Scomber scombrus</x:v>
      </x:c>
      <x:c r="T74" s="32" t="n">
        <x:f>IF(O74="","",(1/'Metadata'!$B$5)^(O74-1))</x:f>
        <x:v>426.57951880159254</x:v>
      </x:c>
      <x:c r="U74" s="31" t="n">
        <x:f>IF(T74="","",I74*T74)</x:f>
        <x:v>2066.58300531079</x:v>
      </x:c>
    </x:row>
    <x:row r="75" ht="18" customHeight="1">
      <x:c r="A75" s="24" t="str">
        <x:v>EEZ_470</x:v>
      </x:c>
      <x:c r="B75" s="24" t="str">
        <x:v>Malta</x:v>
      </x:c>
      <x:c r="C75" s="24" t="str">
        <x:v>EEZ</x:v>
      </x:c>
      <x:c r="D75" s="30" t="n">
        <x:v>2019</x:v>
      </x:c>
      <x:c r="E75" s="24" t="str">
        <x:v>Squalidae</x:v>
      </x:c>
      <x:c r="F75" s="24" t="str">
        <x:v>Dogfish sharks</x:v>
      </x:c>
      <x:c r="G75" s="24" t="str">
        <x:v>Large sharks (&gt;=90 cm)</x:v>
      </x:c>
      <x:c r="H75" s="24" t="str">
        <x:v>Sharks &amp; rays</x:v>
      </x:c>
      <x:c r="I75" s="31" t="n">
        <x:v>4.5597145088</x:v>
      </x:c>
      <x:c r="J75" s="31" t="n">
        <x:v>4.5597145088</x:v>
      </x:c>
      <x:c r="K75" s="31" t="n">
        <x:v>0</x:v>
      </x:c>
      <x:c r="L75" s="31" t="n">
        <x:v>0.161292676</x:v>
      </x:c>
      <x:c r="M75" s="31" t="n">
        <x:v>4.3984218328</x:v>
      </x:c>
      <x:c r="N75" s="24" t="str">
        <x:v>squalidae</x:v>
      </x:c>
      <x:c r="O75" s="32" t="n">
        <x:v>4.23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Squalidae</x:v>
      </x:c>
      <x:c r="T75" s="32" t="n">
        <x:f>IF(O75="","",(1/'Metadata'!$B$5)^(O75-1))</x:f>
        <x:v>1698.243652461746</x:v>
      </x:c>
      <x:c r="U75" s="31" t="n">
        <x:f>IF(T75="","",I75*T75)</x:f>
        <x:v>7743.506221607328</x:v>
      </x:c>
    </x:row>
    <x:row r="76" ht="18" customHeight="1">
      <x:c r="A76" s="24" t="str">
        <x:v>EEZ_470</x:v>
      </x:c>
      <x:c r="B76" s="24" t="str">
        <x:v>Malta</x:v>
      </x:c>
      <x:c r="C76" s="24" t="str">
        <x:v>EEZ</x:v>
      </x:c>
      <x:c r="D76" s="30" t="n">
        <x:v>2019</x:v>
      </x:c>
      <x:c r="E76" s="24" t="str">
        <x:v>Eledone cirrhosa</x:v>
      </x:c>
      <x:c r="F76" s="24" t="str">
        <x:v>Horned octopus</x:v>
      </x:c>
      <x:c r="G76" s="24" t="str">
        <x:v>Cephalopods</x:v>
      </x:c>
      <x:c r="H76" s="24" t="str">
        <x:v>Other fishes &amp; inverts</x:v>
      </x:c>
      <x:c r="I76" s="31" t="n">
        <x:v>4.423912165</x:v>
      </x:c>
      <x:c r="J76" s="31" t="n">
        <x:v>4.423912165</x:v>
      </x:c>
      <x:c r="K76" s="31" t="n">
        <x:v>0</x:v>
      </x:c>
      <x:c r="L76" s="31" t="n">
        <x:v>3.8083089</x:v>
      </x:c>
      <x:c r="M76" s="31" t="n">
        <x:v>0.615603265</x:v>
      </x:c>
      <x:c r="N76" s="24" t="str">
        <x:v>eledone cirrhosa</x:v>
      </x:c>
      <x:c r="O76" s="32" t="n">
        <x:v>3.7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Eledone cirrhosa</x:v>
      </x:c>
      <x:c r="T76" s="32" t="n">
        <x:f>IF(O76="","",(1/'Metadata'!$B$5)^(O76-1))</x:f>
        <x:v>501.18723362727246</x:v>
      </x:c>
      <x:c r="U76" s="31" t="n">
        <x:f>IF(T76="","",I76*T76)</x:f>
        <x:v>2217.2082997863877</x:v>
      </x:c>
    </x:row>
    <x:row r="77" ht="18" customHeight="1">
      <x:c r="A77" s="24" t="str">
        <x:v>EEZ_470</x:v>
      </x:c>
      <x:c r="B77" s="24" t="str">
        <x:v>Malta</x:v>
      </x:c>
      <x:c r="C77" s="24" t="str">
        <x:v>EEZ</x:v>
      </x:c>
      <x:c r="D77" s="30" t="n">
        <x:v>2019</x:v>
      </x:c>
      <x:c r="E77" s="24" t="str">
        <x:v>Dasyatis</x:v>
      </x:c>
      <x:c r="F77" s="24" t="str">
        <x:v>Rough whip stingrays</x:v>
      </x:c>
      <x:c r="G77" s="24" t="str">
        <x:v>Large rays (&gt;=90 cm)</x:v>
      </x:c>
      <x:c r="H77" s="24" t="str">
        <x:v>Sharks &amp; rays</x:v>
      </x:c>
      <x:c r="I77" s="31" t="n">
        <x:v>4.4138858771</x:v>
      </x:c>
      <x:c r="J77" s="31" t="n">
        <x:v>0</x:v>
      </x:c>
      <x:c r="K77" s="31" t="n">
        <x:v>4.4138858771</x:v>
      </x:c>
      <x:c r="L77" s="31" t="n">
        <x:v>0</x:v>
      </x:c>
      <x:c r="M77" s="31" t="n">
        <x:v>4.4138858771</x:v>
      </x:c>
      <x:c r="N77" s="24" t="str">
        <x:v>dasyatis</x:v>
      </x:c>
      <x:c r="O77" s="32" t="n">
        <x:v>3.28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Dasyatis</x:v>
      </x:c>
      <x:c r="T77" s="32" t="n">
        <x:f>IF(O77="","",(1/'Metadata'!$B$5)^(O77-1))</x:f>
        <x:v>190.54607179632464</x:v>
      </x:c>
      <x:c r="U77" s="31" t="n">
        <x:f>IF(T77="","",I77*T77)</x:f>
        <x:v>841.04861523868</x:v>
      </x:c>
    </x:row>
    <x:row r="78" ht="18" customHeight="1">
      <x:c r="A78" s="24" t="str">
        <x:v>EEZ_470</x:v>
      </x:c>
      <x:c r="B78" s="24" t="str">
        <x:v>Malta</x:v>
      </x:c>
      <x:c r="C78" s="24" t="str">
        <x:v>EEZ</x:v>
      </x:c>
      <x:c r="D78" s="30" t="n">
        <x:v>2019</x:v>
      </x:c>
      <x:c r="E78" s="24" t="str">
        <x:v>Scorpaena notata</x:v>
      </x:c>
      <x:c r="F78" s="24" t="str">
        <x:v>Small red scorpionfish</x:v>
      </x:c>
      <x:c r="G78" s="24" t="str">
        <x:v>Large reef assoc. fish (&gt;=90 cm)</x:v>
      </x:c>
      <x:c r="H78" s="24" t="str">
        <x:v>Scorpionfishes</x:v>
      </x:c>
      <x:c r="I78" s="31" t="n">
        <x:v>4.332810727</x:v>
      </x:c>
      <x:c r="J78" s="31" t="n">
        <x:v>4.332810727</x:v>
      </x:c>
      <x:c r="K78" s="31" t="n">
        <x:v>0</x:v>
      </x:c>
      <x:c r="L78" s="31" t="n">
        <x:v>4.298874699</x:v>
      </x:c>
      <x:c r="M78" s="31" t="n">
        <x:v>0.033936028</x:v>
      </x:c>
      <x:c r="N78" s="24" t="str">
        <x:v>scorpaena notata</x:v>
      </x:c>
      <x:c r="O78" s="32" t="n">
        <x:v>3.7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Scorpaena notata</x:v>
      </x:c>
      <x:c r="T78" s="32" t="n">
        <x:f>IF(O78="","",(1/'Metadata'!$B$5)^(O78-1))</x:f>
        <x:v>501.18723362727246</x:v>
      </x:c>
      <x:c r="U78" s="31" t="n">
        <x:f>IF(T78="","",I78*T78)</x:f>
        <x:v>2171.549422095701</x:v>
      </x:c>
    </x:row>
    <x:row r="79" ht="18" customHeight="1">
      <x:c r="A79" s="24" t="str">
        <x:v>EEZ_470</x:v>
      </x:c>
      <x:c r="B79" s="24" t="str">
        <x:v>Malta</x:v>
      </x:c>
      <x:c r="C79" s="24" t="str">
        <x:v>EEZ</x:v>
      </x:c>
      <x:c r="D79" s="30" t="n">
        <x:v>2019</x:v>
      </x:c>
      <x:c r="E79" s="24" t="str">
        <x:v>Mustelus</x:v>
      </x:c>
      <x:c r="F79" s="24" t="str">
        <x:v>Smoothhounds</x:v>
      </x:c>
      <x:c r="G79" s="24" t="str">
        <x:v>Large sharks (&gt;=90 cm)</x:v>
      </x:c>
      <x:c r="H79" s="24" t="str">
        <x:v>Sharks &amp; rays</x:v>
      </x:c>
      <x:c r="I79" s="31" t="n">
        <x:v>4.2471221777</x:v>
      </x:c>
      <x:c r="J79" s="31" t="n">
        <x:v>4.2471221777</x:v>
      </x:c>
      <x:c r="K79" s="31" t="n">
        <x:v>0</x:v>
      </x:c>
      <x:c r="L79" s="31" t="n">
        <x:v>3.454514307</x:v>
      </x:c>
      <x:c r="M79" s="31" t="n">
        <x:v>0.7926078706999999</x:v>
      </x:c>
      <x:c r="N79" s="24" t="str">
        <x:v>mustelus</x:v>
      </x:c>
      <x:c r="O79" s="32" t="n">
        <x:v>3.73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Mustelus</x:v>
      </x:c>
      <x:c r="T79" s="32" t="n">
        <x:f>IF(O79="","",(1/'Metadata'!$B$5)^(O79-1))</x:f>
        <x:v>537.0317963702527</x:v>
      </x:c>
      <x:c r="U79" s="31" t="n">
        <x:f>IF(T79="","",I79*T79)</x:f>
        <x:v>2280.8396524941704</x:v>
      </x:c>
    </x:row>
    <x:row r="80" ht="18" customHeight="1">
      <x:c r="A80" s="24" t="str">
        <x:v>EEZ_470</x:v>
      </x:c>
      <x:c r="B80" s="24" t="str">
        <x:v>Malta</x:v>
      </x:c>
      <x:c r="C80" s="24" t="str">
        <x:v>EEZ</x:v>
      </x:c>
      <x:c r="D80" s="30" t="n">
        <x:v>2019</x:v>
      </x:c>
      <x:c r="E80" s="24" t="str">
        <x:v>Epinephelus aeneus</x:v>
      </x:c>
      <x:c r="F80" s="24" t="str">
        <x:v>White grouper</x:v>
      </x:c>
      <x:c r="G80" s="24" t="str">
        <x:v>Large demersals (&gt;=90 cm)</x:v>
      </x:c>
      <x:c r="H80" s="24" t="str">
        <x:v>Perch-likes</x:v>
      </x:c>
      <x:c r="I80" s="31" t="n">
        <x:v>4.2</x:v>
      </x:c>
      <x:c r="J80" s="31" t="n">
        <x:v>4.2</x:v>
      </x:c>
      <x:c r="K80" s="31" t="n">
        <x:v>0</x:v>
      </x:c>
      <x:c r="L80" s="31" t="n">
        <x:v>4.2</x:v>
      </x:c>
      <x:c r="M80" s="31" t="n">
        <x:v>0</x:v>
      </x:c>
      <x:c r="N80" s="24" t="str">
        <x:v>epinephelus aeneus</x:v>
      </x:c>
      <x:c r="O80" s="32" t="n">
        <x:v>4.02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Epinephelus aeneus</x:v>
      </x:c>
      <x:c r="T80" s="32" t="n">
        <x:f>IF(O80="","",(1/'Metadata'!$B$5)^(O80-1))</x:f>
        <x:v>1047.1285480508984</x:v>
      </x:c>
      <x:c r="U80" s="31" t="n">
        <x:f>IF(T80="","",I80*T80)</x:f>
        <x:v>4397.939901813774</x:v>
      </x:c>
    </x:row>
    <x:row r="81" ht="18" customHeight="1">
      <x:c r="A81" s="24" t="str">
        <x:v>EEZ_470</x:v>
      </x:c>
      <x:c r="B81" s="24" t="str">
        <x:v>Malta</x:v>
      </x:c>
      <x:c r="C81" s="24" t="str">
        <x:v>EEZ</x:v>
      </x:c>
      <x:c r="D81" s="30" t="n">
        <x:v>2019</x:v>
      </x:c>
      <x:c r="E81" s="24" t="str">
        <x:v>Scaridae</x:v>
      </x:c>
      <x:c r="F81" s="24" t="str">
        <x:v>Parrotfishes</x:v>
      </x:c>
      <x:c r="G81" s="24" t="str">
        <x:v>Medium reef assoc. fish (30 - 89 cm)</x:v>
      </x:c>
      <x:c r="H81" s="24" t="str">
        <x:v>Perch-likes</x:v>
      </x:c>
      <x:c r="I81" s="31" t="n">
        <x:v>4.1721693990999995</x:v>
      </x:c>
      <x:c r="J81" s="31" t="n">
        <x:v>4.1721693990999995</x:v>
      </x:c>
      <x:c r="K81" s="31" t="n">
        <x:v>0</x:v>
      </x:c>
      <x:c r="L81" s="31" t="n">
        <x:v>3.3</x:v>
      </x:c>
      <x:c r="M81" s="31" t="n">
        <x:v>0.8721693991</x:v>
      </x:c>
      <x:c r="N81" s="24" t="str">
        <x:v>scaridae</x:v>
      </x:c>
      <x:c r="O81" s="32" t="n">
        <x:v>2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Scaridae</x:v>
      </x:c>
      <x:c r="T81" s="32" t="n">
        <x:f>IF(O81="","",(1/'Metadata'!$B$5)^(O81-1))</x:f>
        <x:v>10</x:v>
      </x:c>
      <x:c r="U81" s="31" t="n">
        <x:f>IF(T81="","",I81*T81)</x:f>
        <x:v>41.721693990999995</x:v>
      </x:c>
    </x:row>
    <x:row r="82" ht="18" customHeight="1">
      <x:c r="A82" s="24" t="str">
        <x:v>EEZ_470</x:v>
      </x:c>
      <x:c r="B82" s="24" t="str">
        <x:v>Malta</x:v>
      </x:c>
      <x:c r="C82" s="24" t="str">
        <x:v>EEZ</x:v>
      </x:c>
      <x:c r="D82" s="30" t="n">
        <x:v>2019</x:v>
      </x:c>
      <x:c r="E82" s="24" t="str">
        <x:v>Lophius piscatorius</x:v>
      </x:c>
      <x:c r="F82" s="24" t="str">
        <x:v>Angler</x:v>
      </x:c>
      <x:c r="G82" s="24" t="str">
        <x:v>Large bathydemersals (&gt;=90 cm)</x:v>
      </x:c>
      <x:c r="H82" s="24" t="str">
        <x:v>Other fishes &amp; inverts</x:v>
      </x:c>
      <x:c r="I82" s="31" t="n">
        <x:v>4.09281085</x:v>
      </x:c>
      <x:c r="J82" s="31" t="n">
        <x:v>4</x:v>
      </x:c>
      <x:c r="K82" s="31" t="n">
        <x:v>0.09281085</x:v>
      </x:c>
      <x:c r="L82" s="31" t="n">
        <x:v>4.09281085</x:v>
      </x:c>
      <x:c r="M82" s="31" t="n">
        <x:v>0</x:v>
      </x:c>
      <x:c r="N82" s="24" t="str">
        <x:v>lophius piscatorius</x:v>
      </x:c>
      <x:c r="O82" s="32" t="n">
        <x:v>4.45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Lophius piscatorius</x:v>
      </x:c>
      <x:c r="T82" s="32" t="n">
        <x:f>IF(O82="","",(1/'Metadata'!$B$5)^(O82-1))</x:f>
        <x:v>2818.382931264455</x:v>
      </x:c>
      <x:c r="U82" s="31" t="n">
        <x:f>IF(T82="","",I82*T82)</x:f>
        <x:v>11535.108240533966</x:v>
      </x:c>
    </x:row>
    <x:row r="83" ht="18" customHeight="1">
      <x:c r="A83" s="24" t="str">
        <x:v>EEZ_470</x:v>
      </x:c>
      <x:c r="B83" s="24" t="str">
        <x:v>Malta</x:v>
      </x:c>
      <x:c r="C83" s="24" t="str">
        <x:v>EEZ</x:v>
      </x:c>
      <x:c r="D83" s="30" t="n">
        <x:v>2019</x:v>
      </x:c>
      <x:c r="E83" s="24" t="str">
        <x:v>Molva molva</x:v>
      </x:c>
      <x:c r="F83" s="24" t="str">
        <x:v>Ling</x:v>
      </x:c>
      <x:c r="G83" s="24" t="str">
        <x:v>Large demersals (&gt;=90 cm)</x:v>
      </x:c>
      <x:c r="H83" s="24" t="str">
        <x:v>Cod-likes</x:v>
      </x:c>
      <x:c r="I83" s="31" t="n">
        <x:v>4</x:v>
      </x:c>
      <x:c r="J83" s="31" t="n">
        <x:v>4</x:v>
      </x:c>
      <x:c r="K83" s="31" t="n">
        <x:v>0</x:v>
      </x:c>
      <x:c r="L83" s="31" t="n">
        <x:v>4</x:v>
      </x:c>
      <x:c r="M83" s="31" t="n">
        <x:v>0</x:v>
      </x:c>
      <x:c r="N83" s="24" t="str">
        <x:v>molva molva</x:v>
      </x:c>
      <x:c r="O83" s="32" t="n">
        <x:v>4.4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Molva molva</x:v>
      </x:c>
      <x:c r="T83" s="32" t="n">
        <x:f>IF(O83="","",(1/'Metadata'!$B$5)^(O83-1))</x:f>
        <x:v>2511.886431509582</x:v>
      </x:c>
      <x:c r="U83" s="31" t="n">
        <x:f>IF(T83="","",I83*T83)</x:f>
        <x:v>10047.545726038328</x:v>
      </x:c>
    </x:row>
    <x:row r="84" ht="18" customHeight="1">
      <x:c r="A84" s="24" t="str">
        <x:v>EEZ_470</x:v>
      </x:c>
      <x:c r="B84" s="24" t="str">
        <x:v>Malta</x:v>
      </x:c>
      <x:c r="C84" s="24" t="str">
        <x:v>EEZ</x:v>
      </x:c>
      <x:c r="D84" s="30" t="n">
        <x:v>2019</x:v>
      </x:c>
      <x:c r="E84" s="24" t="str">
        <x:v>Trichiuridae</x:v>
      </x:c>
      <x:c r="F84" s="24" t="str">
        <x:v>Cutlassfishes</x:v>
      </x:c>
      <x:c r="G84" s="24" t="str">
        <x:v>Large benthopelagics (&gt;=90 cm)</x:v>
      </x:c>
      <x:c r="H84" s="24" t="str">
        <x:v>Perch-likes</x:v>
      </x:c>
      <x:c r="I84" s="31" t="n">
        <x:v>3.9148147746</x:v>
      </x:c>
      <x:c r="J84" s="31" t="n">
        <x:v>3.9148147746</x:v>
      </x:c>
      <x:c r="K84" s="31" t="n">
        <x:v>0</x:v>
      </x:c>
      <x:c r="L84" s="31" t="n">
        <x:v>0</x:v>
      </x:c>
      <x:c r="M84" s="31" t="n">
        <x:v>3.9148147746</x:v>
      </x:c>
      <x:c r="N84" s="24" t="str">
        <x:v>trichiuridae</x:v>
      </x:c>
      <x:c r="O84" s="32" t="n">
        <x:v>4.15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Trichiuridae</x:v>
      </x:c>
      <x:c r="T84" s="32" t="n">
        <x:f>IF(O84="","",(1/'Metadata'!$B$5)^(O84-1))</x:f>
        <x:v>1412.5375446227554</x:v>
      </x:c>
      <x:c r="U84" s="31" t="n">
        <x:f>IF(T84="","",I84*T84)</x:f>
        <x:v>5529.822849366369</x:v>
      </x:c>
    </x:row>
    <x:row r="85" ht="18" customHeight="1">
      <x:c r="A85" s="24" t="str">
        <x:v>EEZ_470</x:v>
      </x:c>
      <x:c r="B85" s="24" t="str">
        <x:v>Malta</x:v>
      </x:c>
      <x:c r="C85" s="24" t="str">
        <x:v>EEZ</x:v>
      </x:c>
      <x:c r="D85" s="30" t="n">
        <x:v>2019</x:v>
      </x:c>
      <x:c r="E85" s="24" t="str">
        <x:v>Pagellus bogaraveo</x:v>
      </x:c>
      <x:c r="F85" s="24" t="str">
        <x:v>Blackspot seabream</x:v>
      </x:c>
      <x:c r="G85" s="24" t="str">
        <x:v>Medium benthopelagics (30 - 89 cm)</x:v>
      </x:c>
      <x:c r="H85" s="24" t="str">
        <x:v>Perch-likes</x:v>
      </x:c>
      <x:c r="I85" s="31" t="n">
        <x:v>3.8175118597999997</x:v>
      </x:c>
      <x:c r="J85" s="31" t="n">
        <x:v>3.8175118597999997</x:v>
      </x:c>
      <x:c r="K85" s="31" t="n">
        <x:v>0</x:v>
      </x:c>
      <x:c r="L85" s="31" t="n">
        <x:v>3.76</x:v>
      </x:c>
      <x:c r="M85" s="31" t="n">
        <x:v>0.057511859799999995</x:v>
      </x:c>
      <x:c r="N85" s="24" t="str">
        <x:v>pagellus bogaraveo</x:v>
      </x:c>
      <x:c r="O85" s="32" t="n">
        <x:v>4.21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Pagellus bogaraveo</x:v>
      </x:c>
      <x:c r="T85" s="32" t="n">
        <x:f>IF(O85="","",(1/'Metadata'!$B$5)^(O85-1))</x:f>
        <x:v>1621.8100973589299</x:v>
      </x:c>
      <x:c r="U85" s="31" t="n">
        <x:f>IF(T85="","",I85*T85)</x:f>
        <x:v>6191.279281011107</x:v>
      </x:c>
    </x:row>
    <x:row r="86" ht="18" customHeight="1">
      <x:c r="A86" s="24" t="str">
        <x:v>EEZ_470</x:v>
      </x:c>
      <x:c r="B86" s="24" t="str">
        <x:v>Malta</x:v>
      </x:c>
      <x:c r="C86" s="24" t="str">
        <x:v>EEZ</x:v>
      </x:c>
      <x:c r="D86" s="30" t="n">
        <x:v>2019</x:v>
      </x:c>
      <x:c r="E86" s="24" t="str">
        <x:v>Chelidonichthys cuculus</x:v>
      </x:c>
      <x:c r="F86" s="24" t="str">
        <x:v>Red gurnard</x:v>
      </x:c>
      <x:c r="G86" s="24" t="str">
        <x:v>Medium demersals (30 - 89 cm)</x:v>
      </x:c>
      <x:c r="H86" s="24" t="str">
        <x:v>Scorpionfishes</x:v>
      </x:c>
      <x:c r="I86" s="31" t="n">
        <x:v>3.78</x:v>
      </x:c>
      <x:c r="J86" s="31" t="n">
        <x:v>3.78</x:v>
      </x:c>
      <x:c r="K86" s="31" t="n">
        <x:v>0</x:v>
      </x:c>
      <x:c r="L86" s="31" t="n">
        <x:v>3.78</x:v>
      </x:c>
      <x:c r="M86" s="31" t="n">
        <x:v>0</x:v>
      </x:c>
      <x:c r="N86" s="24" t="str">
        <x:v>chelidonichthys cuculus</x:v>
      </x:c>
      <x:c r="O86" s="32" t="n">
        <x:v>3.81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Chelidonichthys cuculus</x:v>
      </x:c>
      <x:c r="T86" s="32" t="n">
        <x:f>IF(O86="","",(1/'Metadata'!$B$5)^(O86-1))</x:f>
        <x:v>645.6542290346556</x:v>
      </x:c>
      <x:c r="U86" s="31" t="n">
        <x:f>IF(T86="","",I86*T86)</x:f>
        <x:v>2440.572985750998</x:v>
      </x:c>
    </x:row>
    <x:row r="87" ht="18" customHeight="1">
      <x:c r="A87" s="24" t="str">
        <x:v>EEZ_470</x:v>
      </x:c>
      <x:c r="B87" s="24" t="str">
        <x:v>Malta</x:v>
      </x:c>
      <x:c r="C87" s="24" t="str">
        <x:v>EEZ</x:v>
      </x:c>
      <x:c r="D87" s="30" t="n">
        <x:v>2019</x:v>
      </x:c>
      <x:c r="E87" s="24" t="str">
        <x:v>Spicara maena</x:v>
      </x:c>
      <x:c r="F87" s="24" t="str">
        <x:v>Blotched picarel</x:v>
      </x:c>
      <x:c r="G87" s="24" t="str">
        <x:v>Small demersals (&lt;30 cm)</x:v>
      </x:c>
      <x:c r="H87" s="24" t="str">
        <x:v>Perch-likes</x:v>
      </x:c>
      <x:c r="I87" s="31" t="n">
        <x:v>3.69523264</x:v>
      </x:c>
      <x:c r="J87" s="31" t="n">
        <x:v>3.69523264</x:v>
      </x:c>
      <x:c r="K87" s="31" t="n">
        <x:v>0</x:v>
      </x:c>
      <x:c r="L87" s="31" t="n">
        <x:v>1.9893402119999999</x:v>
      </x:c>
      <x:c r="M87" s="31" t="n">
        <x:v>1.7058924279999998</x:v>
      </x:c>
      <x:c r="N87" s="24" t="str">
        <x:v>spicara maena</x:v>
      </x:c>
      <x:c r="O87" s="32" t="n">
        <x:v>4.15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Spicara maena</x:v>
      </x:c>
      <x:c r="T87" s="32" t="n">
        <x:f>IF(O87="","",(1/'Metadata'!$B$5)^(O87-1))</x:f>
        <x:v>1412.5375446227554</x:v>
      </x:c>
      <x:c r="U87" s="31" t="n">
        <x:f>IF(T87="","",I87*T87)</x:f>
        <x:v>5219.654840115462</x:v>
      </x:c>
    </x:row>
    <x:row r="88" ht="18" customHeight="1">
      <x:c r="A88" s="24" t="str">
        <x:v>EEZ_470</x:v>
      </x:c>
      <x:c r="B88" s="24" t="str">
        <x:v>Malta</x:v>
      </x:c>
      <x:c r="C88" s="24" t="str">
        <x:v>EEZ</x:v>
      </x:c>
      <x:c r="D88" s="30" t="n">
        <x:v>2019</x:v>
      </x:c>
      <x:c r="E88" s="24" t="str">
        <x:v>Hexanchus griseus</x:v>
      </x:c>
      <x:c r="F88" s="24" t="str">
        <x:v>Bluntnose sixgill shark</x:v>
      </x:c>
      <x:c r="G88" s="24" t="str">
        <x:v>Large sharks (&gt;=90 cm)</x:v>
      </x:c>
      <x:c r="H88" s="24" t="str">
        <x:v>Sharks &amp; rays</x:v>
      </x:c>
      <x:c r="I88" s="31" t="n">
        <x:v>3.6879920867</x:v>
      </x:c>
      <x:c r="J88" s="31" t="n">
        <x:v>3.6879920867</x:v>
      </x:c>
      <x:c r="K88" s="31" t="n">
        <x:v>0</x:v>
      </x:c>
      <x:c r="L88" s="31" t="n">
        <x:v>3.19</x:v>
      </x:c>
      <x:c r="M88" s="31" t="n">
        <x:v>0.4979920867</x:v>
      </x:c>
      <x:c r="N88" s="24" t="str">
        <x:v>hexanchus griseus</x:v>
      </x:c>
      <x:c r="O88" s="32" t="n">
        <x:v>4.48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Hexanchus griseus</x:v>
      </x:c>
      <x:c r="T88" s="32" t="n">
        <x:f>IF(O88="","",(1/'Metadata'!$B$5)^(O88-1))</x:f>
        <x:v>3019.951720402019</x:v>
      </x:c>
      <x:c r="U88" s="31" t="n">
        <x:f>IF(T88="","",I88*T88)</x:f>
        <x:v>11137.558047058697</x:v>
      </x:c>
    </x:row>
    <x:row r="89" ht="18" customHeight="1">
      <x:c r="A89" s="24" t="str">
        <x:v>EEZ_470</x:v>
      </x:c>
      <x:c r="B89" s="24" t="str">
        <x:v>Malta</x:v>
      </x:c>
      <x:c r="C89" s="24" t="str">
        <x:v>EEZ</x:v>
      </x:c>
      <x:c r="D89" s="30" t="n">
        <x:v>2019</x:v>
      </x:c>
      <x:c r="E89" s="24" t="str">
        <x:v>Prionace glauca</x:v>
      </x:c>
      <x:c r="F89" s="24" t="str">
        <x:v>Blue shark</x:v>
      </x:c>
      <x:c r="G89" s="24" t="str">
        <x:v>Large sharks (&gt;=90 cm)</x:v>
      </x:c>
      <x:c r="H89" s="24" t="str">
        <x:v>Sharks &amp; rays</x:v>
      </x:c>
      <x:c r="I89" s="31" t="n">
        <x:v>3.686733494</x:v>
      </x:c>
      <x:c r="J89" s="31" t="n">
        <x:v>3.686733494</x:v>
      </x:c>
      <x:c r="K89" s="31" t="n">
        <x:v>0</x:v>
      </x:c>
      <x:c r="L89" s="31" t="n">
        <x:v>3.3932702598</x:v>
      </x:c>
      <x:c r="M89" s="31" t="n">
        <x:v>0.29346323420000003</x:v>
      </x:c>
      <x:c r="N89" s="24" t="str">
        <x:v>prionace glauca</x:v>
      </x:c>
      <x:c r="O89" s="32" t="n">
        <x:v>4.35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Prionace glauca</x:v>
      </x:c>
      <x:c r="T89" s="32" t="n">
        <x:f>IF(O89="","",(1/'Metadata'!$B$5)^(O89-1))</x:f>
        <x:v>2238.7211385683377</x:v>
      </x:c>
      <x:c r="U89" s="31" t="n">
        <x:f>IF(T89="","",I89*T89)</x:f>
        <x:v>8253.568205285705</x:v>
      </x:c>
    </x:row>
    <x:row r="90" ht="18" customHeight="1">
      <x:c r="A90" s="24" t="str">
        <x:v>EEZ_470</x:v>
      </x:c>
      <x:c r="B90" s="24" t="str">
        <x:v>Malta</x:v>
      </x:c>
      <x:c r="C90" s="24" t="str">
        <x:v>EEZ</x:v>
      </x:c>
      <x:c r="D90" s="30" t="n">
        <x:v>2019</x:v>
      </x:c>
      <x:c r="E90" s="24" t="str">
        <x:v>Serranus cabrilla</x:v>
      </x:c>
      <x:c r="F90" s="24" t="str">
        <x:v>Comber</x:v>
      </x:c>
      <x:c r="G90" s="24" t="str">
        <x:v>Medium bathydemersals (30 - 89 cm)</x:v>
      </x:c>
      <x:c r="H90" s="24" t="str">
        <x:v>Perch-likes</x:v>
      </x:c>
      <x:c r="I90" s="31" t="n">
        <x:v>3.647665851</x:v>
      </x:c>
      <x:c r="J90" s="31" t="n">
        <x:v>3.647665851</x:v>
      </x:c>
      <x:c r="K90" s="31" t="n">
        <x:v>0</x:v>
      </x:c>
      <x:c r="L90" s="31" t="n">
        <x:v>2.9000000000000004</x:v>
      </x:c>
      <x:c r="M90" s="31" t="n">
        <x:v>0.747665851</x:v>
      </x:c>
      <x:c r="N90" s="24" t="str">
        <x:v>serranus cabrilla</x:v>
      </x:c>
      <x:c r="O90" s="32" t="n">
        <x:v>3.35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Serranus cabrilla</x:v>
      </x:c>
      <x:c r="T90" s="32" t="n">
        <x:f>IF(O90="","",(1/'Metadata'!$B$5)^(O90-1))</x:f>
        <x:v>223.872113856834</x:v>
      </x:c>
      <x:c r="U90" s="31" t="n">
        <x:f>IF(T90="","",I90*T90)</x:f>
        <x:v>816.6106647067573</x:v>
      </x:c>
    </x:row>
    <x:row r="91" ht="18" customHeight="1">
      <x:c r="A91" s="24" t="str">
        <x:v>EEZ_470</x:v>
      </x:c>
      <x:c r="B91" s="24" t="str">
        <x:v>Malta</x:v>
      </x:c>
      <x:c r="C91" s="24" t="str">
        <x:v>EEZ</x:v>
      </x:c>
      <x:c r="D91" s="30" t="n">
        <x:v>2019</x:v>
      </x:c>
      <x:c r="E91" s="24" t="str">
        <x:v>Sepiidae</x:v>
      </x:c>
      <x:c r="F91" s="24" t="str">
        <x:v>Cuttlefishes</x:v>
      </x:c>
      <x:c r="G91" s="24" t="str">
        <x:v>Cephalopods</x:v>
      </x:c>
      <x:c r="H91" s="24" t="str">
        <x:v>Other fishes &amp; inverts</x:v>
      </x:c>
      <x:c r="I91" s="31" t="n">
        <x:v>3.6438642004</x:v>
      </x:c>
      <x:c r="J91" s="31" t="n">
        <x:v>3.6438642004</x:v>
      </x:c>
      <x:c r="K91" s="31" t="n">
        <x:v>0</x:v>
      </x:c>
      <x:c r="L91" s="31" t="n">
        <x:v>0</x:v>
      </x:c>
      <x:c r="M91" s="31" t="n">
        <x:v>3.6438642004</x:v>
      </x:c>
      <x:c r="N91" s="24" t="str">
        <x:v>sepiidae</x:v>
      </x:c>
      <x:c r="O91" s="32" t="n">
        <x:v>3.6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Sepiidae</x:v>
      </x:c>
      <x:c r="T91" s="32" t="n">
        <x:f>IF(O91="","",(1/'Metadata'!$B$5)^(O91-1))</x:f>
        <x:v>398.1071705534973</x:v>
      </x:c>
      <x:c r="U91" s="31" t="n">
        <x:f>IF(T91="","",I91*T91)</x:f>
        <x:v>1450.6484667024258</x:v>
      </x:c>
    </x:row>
    <x:row r="92" ht="18" customHeight="1">
      <x:c r="A92" s="24" t="str">
        <x:v>EEZ_470</x:v>
      </x:c>
      <x:c r="B92" s="24" t="str">
        <x:v>Malta</x:v>
      </x:c>
      <x:c r="C92" s="24" t="str">
        <x:v>EEZ</x:v>
      </x:c>
      <x:c r="D92" s="30" t="n">
        <x:v>2019</x:v>
      </x:c>
      <x:c r="E92" s="24" t="str">
        <x:v>Penaeidae</x:v>
      </x:c>
      <x:c r="F92" s="24" t="str">
        <x:v>Commercial shrimps and prawns</x:v>
      </x:c>
      <x:c r="G92" s="24" t="str">
        <x:v>Shrimps</x:v>
      </x:c>
      <x:c r="H92" s="24" t="str">
        <x:v>Crustaceans</x:v>
      </x:c>
      <x:c r="I92" s="31" t="n">
        <x:v>3.2664711596</x:v>
      </x:c>
      <x:c r="J92" s="31" t="n">
        <x:v>3.2664711596</x:v>
      </x:c>
      <x:c r="K92" s="31" t="n">
        <x:v>0</x:v>
      </x:c>
      <x:c r="L92" s="31" t="n">
        <x:v>0</x:v>
      </x:c>
      <x:c r="M92" s="31" t="n">
        <x:v>3.2664711596</x:v>
      </x:c>
      <x:c r="N92" s="24" t="str">
        <x:v>penaeidae</x:v>
      </x:c>
      <x:c r="O92" s="32" t="n">
        <x:v>3.31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Penaeidae</x:v>
      </x:c>
      <x:c r="T92" s="32" t="n">
        <x:f>IF(O92="","",(1/'Metadata'!$B$5)^(O92-1))</x:f>
        <x:v>204.17379446695296</x:v>
      </x:c>
      <x:c r="U92" s="31" t="n">
        <x:f>IF(T92="","",I92*T92)</x:f>
        <x:v>666.9278111723999</x:v>
      </x:c>
    </x:row>
    <x:row r="93" ht="18" customHeight="1">
      <x:c r="A93" s="24" t="str">
        <x:v>EEZ_470</x:v>
      </x:c>
      <x:c r="B93" s="24" t="str">
        <x:v>Malta</x:v>
      </x:c>
      <x:c r="C93" s="24" t="str">
        <x:v>EEZ</x:v>
      </x:c>
      <x:c r="D93" s="30" t="n">
        <x:v>2019</x:v>
      </x:c>
      <x:c r="E93" s="24" t="str">
        <x:v>Dentex dentex</x:v>
      </x:c>
      <x:c r="F93" s="24" t="str">
        <x:v>Common dentex</x:v>
      </x:c>
      <x:c r="G93" s="24" t="str">
        <x:v>Large benthopelagics (&gt;=90 cm)</x:v>
      </x:c>
      <x:c r="H93" s="24" t="str">
        <x:v>Perch-likes</x:v>
      </x:c>
      <x:c r="I93" s="31" t="n">
        <x:v>3.1</x:v>
      </x:c>
      <x:c r="J93" s="31" t="n">
        <x:v>3.1</x:v>
      </x:c>
      <x:c r="K93" s="31" t="n">
        <x:v>0</x:v>
      </x:c>
      <x:c r="L93" s="31" t="n">
        <x:v>3.1</x:v>
      </x:c>
      <x:c r="M93" s="31" t="n">
        <x:v>0</x:v>
      </x:c>
      <x:c r="N93" s="24" t="str">
        <x:v>dentex dentex</x:v>
      </x:c>
      <x:c r="O93" s="32" t="n">
        <x:v>4.53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Dentex dentex</x:v>
      </x:c>
      <x:c r="T93" s="32" t="n">
        <x:f>IF(O93="","",(1/'Metadata'!$B$5)^(O93-1))</x:f>
        <x:v>3388.4415613920273</x:v>
      </x:c>
      <x:c r="U93" s="31" t="n">
        <x:f>IF(T93="","",I93*T93)</x:f>
        <x:v>10504.168840315286</x:v>
      </x:c>
    </x:row>
    <x:row r="94" ht="18" customHeight="1">
      <x:c r="A94" s="24" t="str">
        <x:v>EEZ_470</x:v>
      </x:c>
      <x:c r="B94" s="24" t="str">
        <x:v>Malta</x:v>
      </x:c>
      <x:c r="C94" s="24" t="str">
        <x:v>EEZ</x:v>
      </x:c>
      <x:c r="D94" s="30" t="n">
        <x:v>2019</x:v>
      </x:c>
      <x:c r="E94" s="24" t="str">
        <x:v>Sarpa salpa</x:v>
      </x:c>
      <x:c r="F94" s="24" t="str">
        <x:v>Salema</x:v>
      </x:c>
      <x:c r="G94" s="24" t="str">
        <x:v>Medium benthopelagics (30 - 89 cm)</x:v>
      </x:c>
      <x:c r="H94" s="24" t="str">
        <x:v>Perch-likes</x:v>
      </x:c>
      <x:c r="I94" s="31" t="n">
        <x:v>3.049044769</x:v>
      </x:c>
      <x:c r="J94" s="31" t="n">
        <x:v>3.049044769</x:v>
      </x:c>
      <x:c r="K94" s="31" t="n">
        <x:v>0</x:v>
      </x:c>
      <x:c r="L94" s="31" t="n">
        <x:v>2.41</x:v>
      </x:c>
      <x:c r="M94" s="31" t="n">
        <x:v>0.6390447690000001</x:v>
      </x:c>
      <x:c r="N94" s="24" t="str">
        <x:v>sarpa salpa</x:v>
      </x:c>
      <x:c r="O94" s="32" t="n">
        <x:v>2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Sarpa salpa</x:v>
      </x:c>
      <x:c r="T94" s="32" t="n">
        <x:f>IF(O94="","",(1/'Metadata'!$B$5)^(O94-1))</x:f>
        <x:v>10</x:v>
      </x:c>
      <x:c r="U94" s="31" t="n">
        <x:f>IF(T94="","",I94*T94)</x:f>
        <x:v>30.49044769</x:v>
      </x:c>
    </x:row>
    <x:row r="95" ht="18" customHeight="1">
      <x:c r="A95" s="24" t="str">
        <x:v>EEZ_470</x:v>
      </x:c>
      <x:c r="B95" s="24" t="str">
        <x:v>Malta</x:v>
      </x:c>
      <x:c r="C95" s="24" t="str">
        <x:v>EEZ</x:v>
      </x:c>
      <x:c r="D95" s="30" t="n">
        <x:v>2019</x:v>
      </x:c>
      <x:c r="E95" s="24" t="str">
        <x:v>Eledone moschata</x:v>
      </x:c>
      <x:c r="F95" s="24" t="str">
        <x:v>Musky octopus</x:v>
      </x:c>
      <x:c r="G95" s="24" t="str">
        <x:v>Cephalopods</x:v>
      </x:c>
      <x:c r="H95" s="24" t="str">
        <x:v>Other fishes &amp; inverts</x:v>
      </x:c>
      <x:c r="I95" s="31" t="n">
        <x:v>2.923311434</x:v>
      </x:c>
      <x:c r="J95" s="31" t="n">
        <x:v>2.923311434</x:v>
      </x:c>
      <x:c r="K95" s="31" t="n">
        <x:v>0</x:v>
      </x:c>
      <x:c r="L95" s="31" t="n">
        <x:v>0</x:v>
      </x:c>
      <x:c r="M95" s="31" t="n">
        <x:v>2.923311434</x:v>
      </x:c>
      <x:c r="N95" s="24" t="str">
        <x:v>eledone moschata</x:v>
      </x:c>
      <x:c r="O95" s="32" t="n">
        <x:v>3.65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Eledone moschata</x:v>
      </x:c>
      <x:c r="T95" s="32" t="n">
        <x:f>IF(O95="","",(1/'Metadata'!$B$5)^(O95-1))</x:f>
        <x:v>446.683592150963</x:v>
      </x:c>
      <x:c r="U95" s="31" t="n">
        <x:f>IF(T95="","",I95*T95)</x:f>
        <x:v>1305.7952523151027</x:v>
      </x:c>
    </x:row>
    <x:row r="96" ht="18" customHeight="1">
      <x:c r="A96" s="24" t="str">
        <x:v>EEZ_470</x:v>
      </x:c>
      <x:c r="B96" s="24" t="str">
        <x:v>Malta</x:v>
      </x:c>
      <x:c r="C96" s="24" t="str">
        <x:v>EEZ</x:v>
      </x:c>
      <x:c r="D96" s="30" t="n">
        <x:v>2019</x:v>
      </x:c>
      <x:c r="E96" s="24" t="str">
        <x:v>Decapoda</x:v>
      </x:c>
      <x:c r="F96" s="24" t="str">
        <x:v>Crabs, lobsters, shrimps</x:v>
      </x:c>
      <x:c r="G96" s="24" t="str">
        <x:v>Lobsters, crabs</x:v>
      </x:c>
      <x:c r="H96" s="24" t="str">
        <x:v>Crustaceans</x:v>
      </x:c>
      <x:c r="I96" s="31" t="n">
        <x:v>2.8381017809999998</x:v>
      </x:c>
      <x:c r="J96" s="31" t="n">
        <x:v>1.1231977729</x:v>
      </x:c>
      <x:c r="K96" s="31" t="n">
        <x:v>1.7149040081</x:v>
      </x:c>
      <x:c r="L96" s="31" t="n">
        <x:v>0</x:v>
      </x:c>
      <x:c r="M96" s="31" t="n">
        <x:v>2.8381017809999998</x:v>
      </x:c>
      <x:c r="N96" s="24" t="str">
        <x:v>decapoda</x:v>
      </x:c>
      <x:c r="O96" s="32" t="n">
        <x:v>3.43</x:v>
      </x:c>
      <x:c r="P96" s="24" t="str">
        <x:v>exact_sea_around_us</x:v>
      </x:c>
      <x:c r="Q96" s="32" t="str">
        <x:v>Sea Around Us exploited organisms</x:v>
      </x:c>
      <x:c r="R96" s="24" t="str">
        <x:v>high</x:v>
      </x:c>
      <x:c r="S96" s="24" t="str">
        <x:v>Decapoda</x:v>
      </x:c>
      <x:c r="T96" s="32" t="n">
        <x:f>IF(O96="","",(1/'Metadata'!$B$5)^(O96-1))</x:f>
        <x:v>269.1534803926917</x:v>
      </x:c>
      <x:c r="U96" s="31" t="n">
        <x:f>IF(T96="","",I96*T96)</x:f>
        <x:v>763.8849720648468</x:v>
      </x:c>
    </x:row>
    <x:row r="97" ht="18" customHeight="1">
      <x:c r="A97" s="24" t="str">
        <x:v>EEZ_470</x:v>
      </x:c>
      <x:c r="B97" s="24" t="str">
        <x:v>Malta</x:v>
      </x:c>
      <x:c r="C97" s="24" t="str">
        <x:v>EEZ</x:v>
      </x:c>
      <x:c r="D97" s="30" t="n">
        <x:v>2019</x:v>
      </x:c>
      <x:c r="E97" s="24" t="str">
        <x:v>Labridae</x:v>
      </x:c>
      <x:c r="F97" s="24" t="str">
        <x:v>Wrasses, gropers, tuskfishes</x:v>
      </x:c>
      <x:c r="G97" s="24" t="str">
        <x:v>Medium reef assoc. fish (30 - 89 cm)</x:v>
      </x:c>
      <x:c r="H97" s="24" t="str">
        <x:v>Perch-likes</x:v>
      </x:c>
      <x:c r="I97" s="31" t="n">
        <x:v>2.8167712326</x:v>
      </x:c>
      <x:c r="J97" s="31" t="n">
        <x:v>0.6076165698</x:v>
      </x:c>
      <x:c r="K97" s="31" t="n">
        <x:v>2.2091546628</x:v>
      </x:c>
      <x:c r="L97" s="31" t="n">
        <x:v>0.13</x:v>
      </x:c>
      <x:c r="M97" s="31" t="n">
        <x:v>2.6867712326</x:v>
      </x:c>
      <x:c r="N97" s="24" t="str">
        <x:v>labridae</x:v>
      </x:c>
      <x:c r="O97" s="32" t="n">
        <x:v>3.46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Labridae</x:v>
      </x:c>
      <x:c r="T97" s="32" t="n">
        <x:f>IF(O97="","",(1/'Metadata'!$B$5)^(O97-1))</x:f>
        <x:v>288.40315031266056</x:v>
      </x:c>
      <x:c r="U97" s="31" t="n">
        <x:f>IF(T97="","",I97*T97)</x:f>
        <x:v>812.365697191916</x:v>
      </x:c>
    </x:row>
    <x:row r="98" ht="18" customHeight="1">
      <x:c r="A98" s="24" t="str">
        <x:v>EEZ_470</x:v>
      </x:c>
      <x:c r="B98" s="24" t="str">
        <x:v>Malta</x:v>
      </x:c>
      <x:c r="C98" s="24" t="str">
        <x:v>EEZ</x:v>
      </x:c>
      <x:c r="D98" s="30" t="n">
        <x:v>2019</x:v>
      </x:c>
      <x:c r="E98" s="24" t="str">
        <x:v>Triglidae</x:v>
      </x:c>
      <x:c r="F98" s="24" t="str">
        <x:v>Searobins, gurnards</x:v>
      </x:c>
      <x:c r="G98" s="24" t="str">
        <x:v>Medium demersals (30 - 89 cm)</x:v>
      </x:c>
      <x:c r="H98" s="24" t="str">
        <x:v>Scorpionfishes</x:v>
      </x:c>
      <x:c r="I98" s="31" t="n">
        <x:v>2.7038092590000002</x:v>
      </x:c>
      <x:c r="J98" s="31" t="n">
        <x:v>1.9846559658</x:v>
      </x:c>
      <x:c r="K98" s="31" t="n">
        <x:v>0.7191532932</x:v>
      </x:c>
      <x:c r="L98" s="31" t="n">
        <x:v>0.48000000000000004</x:v>
      </x:c>
      <x:c r="M98" s="31" t="n">
        <x:v>2.2238092590000003</x:v>
      </x:c>
      <x:c r="N98" s="24" t="str">
        <x:v>triglidae</x:v>
      </x:c>
      <x:c r="O98" s="32" t="n">
        <x:v>3.74</x:v>
      </x:c>
      <x:c r="P98" s="24" t="str">
        <x:v>exact_sea_around_us</x:v>
      </x:c>
      <x:c r="Q98" s="32" t="str">
        <x:v>Sea Around Us exploited organisms</x:v>
      </x:c>
      <x:c r="R98" s="24" t="str">
        <x:v>high</x:v>
      </x:c>
      <x:c r="S98" s="24" t="str">
        <x:v>Triglidae</x:v>
      </x:c>
      <x:c r="T98" s="32" t="n">
        <x:f>IF(O98="","",(1/'Metadata'!$B$5)^(O98-1))</x:f>
        <x:v>549.5408738576248</x:v>
      </x:c>
      <x:c r="U98" s="31" t="n">
        <x:f>IF(T98="","",I98*T98)</x:f>
        <x:v>1485.8537029351971</x:v>
      </x:c>
    </x:row>
    <x:row r="99" ht="18" customHeight="1">
      <x:c r="A99" s="24" t="str">
        <x:v>EEZ_470</x:v>
      </x:c>
      <x:c r="B99" s="24" t="str">
        <x:v>Malta</x:v>
      </x:c>
      <x:c r="C99" s="24" t="str">
        <x:v>EEZ</x:v>
      </x:c>
      <x:c r="D99" s="30" t="n">
        <x:v>2019</x:v>
      </x:c>
      <x:c r="E99" s="24" t="str">
        <x:v>Epinephelus</x:v>
      </x:c>
      <x:c r="F99" s="24" t="str">
        <x:v>Seabasses, hinds</x:v>
      </x:c>
      <x:c r="G99" s="24" t="str">
        <x:v>Medium reef assoc. fish (30 - 89 cm)</x:v>
      </x:c>
      <x:c r="H99" s="24" t="str">
        <x:v>Perch-likes</x:v>
      </x:c>
      <x:c r="I99" s="31" t="n">
        <x:v>2.6750913526</x:v>
      </x:c>
      <x:c r="J99" s="31" t="n">
        <x:v>0.4659366898</x:v>
      </x:c>
      <x:c r="K99" s="31" t="n">
        <x:v>2.2091546628</x:v>
      </x:c>
      <x:c r="L99" s="31" t="n">
        <x:v>0</x:v>
      </x:c>
      <x:c r="M99" s="31" t="n">
        <x:v>2.6750913526</x:v>
      </x:c>
      <x:c r="N99" s="24" t="str">
        <x:v>epinephelus</x:v>
      </x:c>
      <x:c r="O99" s="32" t="n">
        <x:v>3.84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Epinephelus</x:v>
      </x:c>
      <x:c r="T99" s="32" t="n">
        <x:f>IF(O99="","",(1/'Metadata'!$B$5)^(O99-1))</x:f>
        <x:v>691.8309709189363</x:v>
      </x:c>
      <x:c r="U99" s="31" t="n">
        <x:f>IF(T99="","",I99*T99)</x:f>
        <x:v>1850.7110477661085</x:v>
      </x:c>
    </x:row>
    <x:row r="100" ht="18" customHeight="1">
      <x:c r="A100" s="24" t="str">
        <x:v>EEZ_470</x:v>
      </x:c>
      <x:c r="B100" s="24" t="str">
        <x:v>Malta</x:v>
      </x:c>
      <x:c r="C100" s="24" t="str">
        <x:v>EEZ</x:v>
      </x:c>
      <x:c r="D100" s="30" t="n">
        <x:v>2019</x:v>
      </x:c>
      <x:c r="E100" s="24" t="str">
        <x:v>Rajidae</x:v>
      </x:c>
      <x:c r="F100" s="24" t="str">
        <x:v>Stingrays</x:v>
      </x:c>
      <x:c r="G100" s="24" t="str">
        <x:v>Large rays (&gt;=90 cm)</x:v>
      </x:c>
      <x:c r="H100" s="24" t="str">
        <x:v>Sharks &amp; rays</x:v>
      </x:c>
      <x:c r="I100" s="31" t="n">
        <x:v>2.4711466157</x:v>
      </x:c>
      <x:c r="J100" s="31" t="n">
        <x:v>2.4711466157</x:v>
      </x:c>
      <x:c r="K100" s="31" t="n">
        <x:v>0</x:v>
      </x:c>
      <x:c r="L100" s="31" t="n">
        <x:v>0</x:v>
      </x:c>
      <x:c r="M100" s="31" t="n">
        <x:v>2.4711466157</x:v>
      </x:c>
      <x:c r="N100" s="24" t="str">
        <x:v>rajidae</x:v>
      </x:c>
      <x:c r="O100" s="32" t="n">
        <x:v>3.82</x:v>
      </x:c>
      <x:c r="P100" s="24" t="str">
        <x:v>exact_sea_around_us</x:v>
      </x:c>
      <x:c r="Q100" s="32" t="str">
        <x:v>Sea Around Us exploited organisms</x:v>
      </x:c>
      <x:c r="R100" s="24" t="str">
        <x:v>high</x:v>
      </x:c>
      <x:c r="S100" s="24" t="str">
        <x:v>Rajidae</x:v>
      </x:c>
      <x:c r="T100" s="32" t="n">
        <x:f>IF(O100="","",(1/'Metadata'!$B$5)^(O100-1))</x:f>
        <x:v>660.6934480075957</x:v>
      </x:c>
      <x:c r="U100" s="31" t="n">
        <x:f>IF(T100="","",I100*T100)</x:f>
        <x:v>1632.670378059134</x:v>
      </x:c>
    </x:row>
    <x:row r="101" ht="18" customHeight="1">
      <x:c r="A101" s="24" t="str">
        <x:v>EEZ_470</x:v>
      </x:c>
      <x:c r="B101" s="24" t="str">
        <x:v>Malta</x:v>
      </x:c>
      <x:c r="C101" s="24" t="str">
        <x:v>EEZ</x:v>
      </x:c>
      <x:c r="D101" s="30" t="n">
        <x:v>2019</x:v>
      </x:c>
      <x:c r="E101" s="24" t="str">
        <x:v>Scyliorhinus canicula</x:v>
      </x:c>
      <x:c r="F101" s="24" t="str">
        <x:v>Small-spotted catshark</x:v>
      </x:c>
      <x:c r="G101" s="24" t="str">
        <x:v>Small to medium sharks (&lt;90 cm)</x:v>
      </x:c>
      <x:c r="H101" s="24" t="str">
        <x:v>Sharks &amp; rays</x:v>
      </x:c>
      <x:c r="I101" s="31" t="n">
        <x:v>2.3725743907</x:v>
      </x:c>
      <x:c r="J101" s="31" t="n">
        <x:v>1.4224514855000001</x:v>
      </x:c>
      <x:c r="K101" s="31" t="n">
        <x:v>0.9501229052</x:v>
      </x:c>
      <x:c r="L101" s="31" t="n">
        <x:v>1.5631000210000001</x:v>
      </x:c>
      <x:c r="M101" s="31" t="n">
        <x:v>0.8094743697</x:v>
      </x:c>
      <x:c r="N101" s="24" t="str">
        <x:v>scyliorhinus canicula</x:v>
      </x:c>
      <x:c r="O101" s="32" t="n">
        <x:v>3.82</x:v>
      </x:c>
      <x:c r="P101" s="24" t="str">
        <x:v>exact_2020_supplement</x:v>
      </x:c>
      <x:c r="Q101" s="32" t="str">
        <x:v>2020 supplement MeanTL</x:v>
      </x:c>
      <x:c r="R101" s="24" t="str">
        <x:v>high</x:v>
      </x:c>
      <x:c r="S101" s="24" t="str">
        <x:v>Scyliorhinus canicula</x:v>
      </x:c>
      <x:c r="T101" s="32" t="n">
        <x:f>IF(O101="","",(1/'Metadata'!$B$5)^(O101-1))</x:f>
        <x:v>660.6934480075957</x:v>
      </x:c>
      <x:c r="U101" s="31" t="n">
        <x:f>IF(T101="","",I101*T101)</x:f>
        <x:v>1567.5443548461037</x:v>
      </x:c>
    </x:row>
    <x:row r="102" ht="18" customHeight="1">
      <x:c r="A102" s="24" t="str">
        <x:v>EEZ_470</x:v>
      </x:c>
      <x:c r="B102" s="24" t="str">
        <x:v>Malta</x:v>
      </x:c>
      <x:c r="C102" s="24" t="str">
        <x:v>EEZ</x:v>
      </x:c>
      <x:c r="D102" s="30" t="n">
        <x:v>2019</x:v>
      </x:c>
      <x:c r="E102" s="24" t="str">
        <x:v>Caranx crysos</x:v>
      </x:c>
      <x:c r="F102" s="24" t="str">
        <x:v>Blue runner</x:v>
      </x:c>
      <x:c r="G102" s="24" t="str">
        <x:v>Medium reef assoc. fish (30 - 89 cm)</x:v>
      </x:c>
      <x:c r="H102" s="24" t="str">
        <x:v>Perch-likes</x:v>
      </x:c>
      <x:c r="I102" s="31" t="n">
        <x:v>2.3663796633</x:v>
      </x:c>
      <x:c r="J102" s="31" t="n">
        <x:v>2.3663796633</x:v>
      </x:c>
      <x:c r="K102" s="31" t="n">
        <x:v>0</x:v>
      </x:c>
      <x:c r="L102" s="31" t="n">
        <x:v>2.3663796633</x:v>
      </x:c>
      <x:c r="M102" s="31" t="n">
        <x:v>0</x:v>
      </x:c>
      <x:c r="N102" s="24" t="str">
        <x:v>caranx crysos</x:v>
      </x:c>
      <x:c r="O102" s="32" t="n">
        <x:v>4.13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Caranx crysos</x:v>
      </x:c>
      <x:c r="T102" s="32" t="n">
        <x:f>IF(O102="","",(1/'Metadata'!$B$5)^(O102-1))</x:f>
        <x:v>1348.9628825916532</x:v>
      </x:c>
      <x:c r="U102" s="31" t="n">
        <x:f>IF(T102="","",I102*T102)</x:f>
        <x:v>3192.158331911434</x:v>
      </x:c>
    </x:row>
    <x:row r="103" ht="18" customHeight="1">
      <x:c r="A103" s="24" t="str">
        <x:v>EEZ_470</x:v>
      </x:c>
      <x:c r="B103" s="24" t="str">
        <x:v>Malta</x:v>
      </x:c>
      <x:c r="C103" s="24" t="str">
        <x:v>EEZ</x:v>
      </x:c>
      <x:c r="D103" s="30" t="n">
        <x:v>2019</x:v>
      </x:c>
      <x:c r="E103" s="24" t="str">
        <x:v>Serranus scriba</x:v>
      </x:c>
      <x:c r="F103" s="24" t="str">
        <x:v>Painted comber</x:v>
      </x:c>
      <x:c r="G103" s="24" t="str">
        <x:v>Medium demersals (30 - 89 cm)</x:v>
      </x:c>
      <x:c r="H103" s="24" t="str">
        <x:v>Perch-likes</x:v>
      </x:c>
      <x:c r="I103" s="31" t="n">
        <x:v>2.3334343956</x:v>
      </x:c>
      <x:c r="J103" s="31" t="n">
        <x:v>0.1242797328</x:v>
      </x:c>
      <x:c r="K103" s="31" t="n">
        <x:v>2.2091546628</x:v>
      </x:c>
      <x:c r="L103" s="31" t="n">
        <x:v>0.08</x:v>
      </x:c>
      <x:c r="M103" s="31" t="n">
        <x:v>2.2534343956000003</x:v>
      </x:c>
      <x:c r="N103" s="24" t="str">
        <x:v>serranus scriba</x:v>
      </x:c>
      <x:c r="O103" s="32" t="n">
        <x:v>3.82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Serranus scriba</x:v>
      </x:c>
      <x:c r="T103" s="32" t="n">
        <x:f>IF(O103="","",(1/'Metadata'!$B$5)^(O103-1))</x:f>
        <x:v>660.6934480075957</x:v>
      </x:c>
      <x:c r="U103" s="31" t="n">
        <x:f>IF(T103="","",I103*T103)</x:f>
        <x:v>1541.6848165284841</x:v>
      </x:c>
    </x:row>
    <x:row r="104" ht="18" customHeight="1">
      <x:c r="A104" s="24" t="str">
        <x:v>EEZ_470</x:v>
      </x:c>
      <x:c r="B104" s="24" t="str">
        <x:v>Malta</x:v>
      </x:c>
      <x:c r="C104" s="24" t="str">
        <x:v>EEZ</x:v>
      </x:c>
      <x:c r="D104" s="30" t="n">
        <x:v>2019</x:v>
      </x:c>
      <x:c r="E104" s="24" t="str">
        <x:v>Gadiformes</x:v>
      </x:c>
      <x:c r="F104" s="24" t="str">
        <x:v>Cods</x:v>
      </x:c>
      <x:c r="G104" s="24" t="str">
        <x:v>Medium benthopelagics (30 - 89 cm)</x:v>
      </x:c>
      <x:c r="H104" s="24" t="str">
        <x:v>Cod-likes</x:v>
      </x:c>
      <x:c r="I104" s="31" t="n">
        <x:v>2.3238347265</x:v>
      </x:c>
      <x:c r="J104" s="31" t="n">
        <x:v>2.3238347265</x:v>
      </x:c>
      <x:c r="K104" s="31" t="n">
        <x:v>0</x:v>
      </x:c>
      <x:c r="L104" s="31" t="n">
        <x:v>0</x:v>
      </x:c>
      <x:c r="M104" s="31" t="n">
        <x:v>2.3238347265</x:v>
      </x:c>
      <x:c r="N104" s="24" t="str">
        <x:v>gadiformes</x:v>
      </x:c>
      <x:c r="O104" s="32" t="n">
        <x:v>3.91</x:v>
      </x:c>
      <x:c r="P104" s="24" t="str">
        <x:v>exact_sea_around_us</x:v>
      </x:c>
      <x:c r="Q104" s="32" t="str">
        <x:v>Sea Around Us exploited organisms</x:v>
      </x:c>
      <x:c r="R104" s="24" t="str">
        <x:v>high</x:v>
      </x:c>
      <x:c r="S104" s="24" t="str">
        <x:v>Gadiformes</x:v>
      </x:c>
      <x:c r="T104" s="32" t="n">
        <x:f>IF(O104="","",(1/'Metadata'!$B$5)^(O104-1))</x:f>
        <x:v>812.8305161640995</x:v>
      </x:c>
      <x:c r="U104" s="31" t="n">
        <x:f>IF(T104="","",I104*T104)</x:f>
        <x:v>1888.883780221054</x:v>
      </x:c>
    </x:row>
    <x:row r="105" ht="18" customHeight="1">
      <x:c r="A105" s="24" t="str">
        <x:v>EEZ_470</x:v>
      </x:c>
      <x:c r="B105" s="24" t="str">
        <x:v>Malta</x:v>
      </x:c>
      <x:c r="C105" s="24" t="str">
        <x:v>EEZ</x:v>
      </x:c>
      <x:c r="D105" s="30" t="n">
        <x:v>2019</x:v>
      </x:c>
      <x:c r="E105" s="24" t="str">
        <x:v>Glossanodon leioglossus</x:v>
      </x:c>
      <x:c r="F105" s="24" t="str">
        <x:v>Smalltoothed argentine</x:v>
      </x:c>
      <x:c r="G105" s="24" t="str">
        <x:v>Small bathydemersals (&lt;30 cm)</x:v>
      </x:c>
      <x:c r="H105" s="24" t="str">
        <x:v>Salmon, smelts, etc</x:v>
      </x:c>
      <x:c r="I105" s="31" t="n">
        <x:v>2.2680988514</x:v>
      </x:c>
      <x:c r="J105" s="31" t="n">
        <x:v>0</x:v>
      </x:c>
      <x:c r="K105" s="31" t="n">
        <x:v>2.2680988514</x:v>
      </x:c>
      <x:c r="L105" s="31" t="n">
        <x:v>0</x:v>
      </x:c>
      <x:c r="M105" s="31" t="n">
        <x:v>2.2680988514</x:v>
      </x:c>
      <x:c r="N105" s="24" t="str">
        <x:v>glossanodon leioglossus</x:v>
      </x:c>
      <x:c r="O105" s="32" t="n">
        <x:v>3.5</x:v>
      </x:c>
      <x:c r="P105" s="24" t="str">
        <x:v>exact_2020_supplement</x:v>
      </x:c>
      <x:c r="Q105" s="32" t="str">
        <x:v>2020 supplement MeanTL</x:v>
      </x:c>
      <x:c r="R105" s="24" t="str">
        <x:v>high</x:v>
      </x:c>
      <x:c r="S105" s="24" t="str">
        <x:v>Glossanodon leioglossus</x:v>
      </x:c>
      <x:c r="T105" s="32" t="n">
        <x:f>IF(O105="","",(1/'Metadata'!$B$5)^(O105-1))</x:f>
        <x:v>316.22776601683796</x:v>
      </x:c>
      <x:c r="U105" s="31" t="n">
        <x:f>IF(T105="","",I105*T105)</x:f>
        <x:v>717.2358328835782</x:v>
      </x:c>
    </x:row>
    <x:row r="106" ht="18" customHeight="1">
      <x:c r="A106" s="24" t="str">
        <x:v>EEZ_470</x:v>
      </x:c>
      <x:c r="B106" s="24" t="str">
        <x:v>Malta</x:v>
      </x:c>
      <x:c r="C106" s="24" t="str">
        <x:v>EEZ</x:v>
      </x:c>
      <x:c r="D106" s="30" t="n">
        <x:v>2019</x:v>
      </x:c>
      <x:c r="E106" s="24" t="str">
        <x:v>Octopodidae</x:v>
      </x:c>
      <x:c r="F106" s="24" t="str">
        <x:v>Octopuses</x:v>
      </x:c>
      <x:c r="G106" s="24" t="str">
        <x:v>Cephalopods</x:v>
      </x:c>
      <x:c r="H106" s="24" t="str">
        <x:v>Other fishes &amp; inverts</x:v>
      </x:c>
      <x:c r="I106" s="31" t="n">
        <x:v>2.2212779372</x:v>
      </x:c>
      <x:c r="J106" s="31" t="n">
        <x:v>2</x:v>
      </x:c>
      <x:c r="K106" s="31" t="n">
        <x:v>0.2212779372</x:v>
      </x:c>
      <x:c r="L106" s="31" t="n">
        <x:v>2</x:v>
      </x:c>
      <x:c r="M106" s="31" t="n">
        <x:v>0.2212779372</x:v>
      </x:c>
      <x:c r="N106" s="24" t="str">
        <x:v>octopodidae</x:v>
      </x:c>
      <x:c r="O106" s="32" t="n">
        <x:v>3.59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Octopodidae</x:v>
      </x:c>
      <x:c r="T106" s="32" t="n">
        <x:f>IF(O106="","",(1/'Metadata'!$B$5)^(O106-1))</x:f>
        <x:v>389.04514499428046</x:v>
      </x:c>
      <x:c r="U106" s="31" t="n">
        <x:f>IF(T106="","",I106*T106)</x:f>
        <x:v>864.1773971505702</x:v>
      </x:c>
    </x:row>
    <x:row r="107" ht="18" customHeight="1">
      <x:c r="A107" s="24" t="str">
        <x:v>EEZ_470</x:v>
      </x:c>
      <x:c r="B107" s="24" t="str">
        <x:v>Malta</x:v>
      </x:c>
      <x:c r="C107" s="24" t="str">
        <x:v>EEZ</x:v>
      </x:c>
      <x:c r="D107" s="30" t="n">
        <x:v>2019</x:v>
      </x:c>
      <x:c r="E107" s="24" t="str">
        <x:v>Loliginidae</x:v>
      </x:c>
      <x:c r="F107" s="24" t="str">
        <x:v>Common pencil squids</x:v>
      </x:c>
      <x:c r="G107" s="24" t="str">
        <x:v>Cephalopods</x:v>
      </x:c>
      <x:c r="H107" s="24" t="str">
        <x:v>Other fishes &amp; inverts</x:v>
      </x:c>
      <x:c r="I107" s="31" t="n">
        <x:v>2.0729264182</x:v>
      </x:c>
      <x:c r="J107" s="31" t="n">
        <x:v>2.0729264182</x:v>
      </x:c>
      <x:c r="K107" s="31" t="n">
        <x:v>0</x:v>
      </x:c>
      <x:c r="L107" s="31" t="n">
        <x:v>0</x:v>
      </x:c>
      <x:c r="M107" s="31" t="n">
        <x:v>2.0729264182</x:v>
      </x:c>
      <x:c r="N107" s="24" t="str">
        <x:v>loliginidae</x:v>
      </x:c>
      <x:c r="O107" s="32" t="n">
        <x:v>3.9</x:v>
      </x:c>
      <x:c r="P107" s="24" t="str">
        <x:v>exact_sea_around_us</x:v>
      </x:c>
      <x:c r="Q107" s="32" t="str">
        <x:v>Sea Around Us exploited organisms</x:v>
      </x:c>
      <x:c r="R107" s="24" t="str">
        <x:v>high</x:v>
      </x:c>
      <x:c r="S107" s="24" t="str">
        <x:v>Loliginidae</x:v>
      </x:c>
      <x:c r="T107" s="32" t="n">
        <x:f>IF(O107="","",(1/'Metadata'!$B$5)^(O107-1))</x:f>
        <x:v>794.3282347242813</x:v>
      </x:c>
      <x:c r="U107" s="31" t="n">
        <x:f>IF(T107="","",I107*T107)</x:f>
        <x:v>1646.583982482133</x:v>
      </x:c>
    </x:row>
    <x:row r="108" ht="18" customHeight="1">
      <x:c r="A108" s="24" t="str">
        <x:v>EEZ_470</x:v>
      </x:c>
      <x:c r="B108" s="24" t="str">
        <x:v>Malta</x:v>
      </x:c>
      <x:c r="C108" s="24" t="str">
        <x:v>EEZ</x:v>
      </x:c>
      <x:c r="D108" s="30" t="n">
        <x:v>2019</x:v>
      </x:c>
      <x:c r="E108" s="24" t="str">
        <x:v>Penaeus kerathurus</x:v>
      </x:c>
      <x:c r="F108" s="24" t="str">
        <x:v>Caramote prawn</x:v>
      </x:c>
      <x:c r="G108" s="24" t="str">
        <x:v>Shrimps</x:v>
      </x:c>
      <x:c r="H108" s="24" t="str">
        <x:v>Crustaceans</x:v>
      </x:c>
      <x:c r="I108" s="31" t="n">
        <x:v>2.01908534</x:v>
      </x:c>
      <x:c r="J108" s="31" t="n">
        <x:v>2.01908534</x:v>
      </x:c>
      <x:c r="K108" s="31" t="n">
        <x:v>0</x:v>
      </x:c>
      <x:c r="L108" s="31" t="n">
        <x:v>1.6586685970000001</x:v>
      </x:c>
      <x:c r="M108" s="31" t="n">
        <x:v>0.360416743</x:v>
      </x:c>
      <x:c r="N108" s="24" t="str">
        <x:v>penaeus kerathurus</x:v>
      </x:c>
      <x:c r="O108" s="32" t="n">
        <x:v>2.7</x:v>
      </x:c>
      <x:c r="P108" s="24" t="str">
        <x:v>exact_sea_around_us</x:v>
      </x:c>
      <x:c r="Q108" s="32" t="str">
        <x:v>Sea Around Us exploited organisms</x:v>
      </x:c>
      <x:c r="R108" s="24" t="str">
        <x:v>high</x:v>
      </x:c>
      <x:c r="S108" s="24" t="str">
        <x:v>Penaeus kerathurus</x:v>
      </x:c>
      <x:c r="T108" s="32" t="n">
        <x:f>IF(O108="","",(1/'Metadata'!$B$5)^(O108-1))</x:f>
        <x:v>50.11872336272725</x:v>
      </x:c>
      <x:c r="U108" s="31" t="n">
        <x:f>IF(T108="","",I108*T108)</x:f>
        <x:v>101.19397960119811</x:v>
      </x:c>
    </x:row>
    <x:row r="109" ht="18" customHeight="1">
      <x:c r="A109" s="24" t="str">
        <x:v>EEZ_470</x:v>
      </x:c>
      <x:c r="B109" s="24" t="str">
        <x:v>Malta</x:v>
      </x:c>
      <x:c r="C109" s="24" t="str">
        <x:v>EEZ</x:v>
      </x:c>
      <x:c r="D109" s="30" t="n">
        <x:v>2019</x:v>
      </x:c>
      <x:c r="E109" s="24" t="str">
        <x:v>Chelidonichthys lucerna</x:v>
      </x:c>
      <x:c r="F109" s="24" t="str">
        <x:v>Tub gurnard</x:v>
      </x:c>
      <x:c r="G109" s="24" t="str">
        <x:v>Medium demersals (30 - 89 cm)</x:v>
      </x:c>
      <x:c r="H109" s="24" t="str">
        <x:v>Scorpionfishes</x:v>
      </x:c>
      <x:c r="I109" s="31" t="n">
        <x:v>2</x:v>
      </x:c>
      <x:c r="J109" s="31" t="n">
        <x:v>2</x:v>
      </x:c>
      <x:c r="K109" s="31" t="n">
        <x:v>0</x:v>
      </x:c>
      <x:c r="L109" s="31" t="n">
        <x:v>2</x:v>
      </x:c>
      <x:c r="M109" s="31" t="n">
        <x:v>0</x:v>
      </x:c>
      <x:c r="N109" s="24" t="str">
        <x:v>chelidonichthys lucerna</x:v>
      </x:c>
      <x:c r="O109" s="32" t="n">
        <x:v>3.98</x:v>
      </x:c>
      <x:c r="P109" s="24" t="str">
        <x:v>exact_2020_supplement</x:v>
      </x:c>
      <x:c r="Q109" s="32" t="str">
        <x:v>2020 supplement MeanTL</x:v>
      </x:c>
      <x:c r="R109" s="24" t="str">
        <x:v>high</x:v>
      </x:c>
      <x:c r="S109" s="24" t="str">
        <x:v>Chelidonichthys lucerna</x:v>
      </x:c>
      <x:c r="T109" s="32" t="n">
        <x:f>IF(O109="","",(1/'Metadata'!$B$5)^(O109-1))</x:f>
        <x:v>954.992586021436</x:v>
      </x:c>
      <x:c r="U109" s="31" t="n">
        <x:f>IF(T109="","",I109*T109)</x:f>
        <x:v>1909.985172042872</x:v>
      </x:c>
    </x:row>
    <x:row r="110" ht="18" customHeight="1">
      <x:c r="A110" s="24" t="str">
        <x:v>EEZ_470</x:v>
      </x:c>
      <x:c r="B110" s="24" t="str">
        <x:v>Malta</x:v>
      </x:c>
      <x:c r="C110" s="24" t="str">
        <x:v>EEZ</x:v>
      </x:c>
      <x:c r="D110" s="30" t="n">
        <x:v>2019</x:v>
      </x:c>
      <x:c r="E110" s="24" t="str">
        <x:v>Trigla lyra</x:v>
      </x:c>
      <x:c r="F110" s="24" t="str">
        <x:v>Piper gurnard</x:v>
      </x:c>
      <x:c r="G110" s="24" t="str">
        <x:v>Medium bathydemersals (30 - 89 cm)</x:v>
      </x:c>
      <x:c r="H110" s="24" t="str">
        <x:v>Scorpionfishes</x:v>
      </x:c>
      <x:c r="I110" s="31" t="n">
        <x:v>2</x:v>
      </x:c>
      <x:c r="J110" s="31" t="n">
        <x:v>2</x:v>
      </x:c>
      <x:c r="K110" s="31" t="n">
        <x:v>0</x:v>
      </x:c>
      <x:c r="L110" s="31" t="n">
        <x:v>2</x:v>
      </x:c>
      <x:c r="M110" s="31" t="n">
        <x:v>0</x:v>
      </x:c>
      <x:c r="N110" s="24" t="str">
        <x:v>trigla lyra</x:v>
      </x:c>
      <x:c r="O110" s="32" t="n">
        <x:v>3.65</x:v>
      </x:c>
      <x:c r="P110" s="24" t="str">
        <x:v>exact_2020_supplement</x:v>
      </x:c>
      <x:c r="Q110" s="32" t="str">
        <x:v>2020 supplement MeanTL</x:v>
      </x:c>
      <x:c r="R110" s="24" t="str">
        <x:v>high</x:v>
      </x:c>
      <x:c r="S110" s="24" t="str">
        <x:v>Trigla lyra</x:v>
      </x:c>
      <x:c r="T110" s="32" t="n">
        <x:f>IF(O110="","",(1/'Metadata'!$B$5)^(O110-1))</x:f>
        <x:v>446.683592150963</x:v>
      </x:c>
      <x:c r="U110" s="31" t="n">
        <x:f>IF(T110="","",I110*T110)</x:f>
        <x:v>893.367184301926</x:v>
      </x:c>
    </x:row>
    <x:row r="111" ht="18" customHeight="1">
      <x:c r="A111" s="24" t="str">
        <x:v>EEZ_470</x:v>
      </x:c>
      <x:c r="B111" s="24" t="str">
        <x:v>Malta</x:v>
      </x:c>
      <x:c r="C111" s="24" t="str">
        <x:v>EEZ</x:v>
      </x:c>
      <x:c r="D111" s="30" t="n">
        <x:v>2019</x:v>
      </x:c>
      <x:c r="E111" s="24" t="str">
        <x:v>Alosa alosa</x:v>
      </x:c>
      <x:c r="F111" s="24" t="str">
        <x:v>Allis shad</x:v>
      </x:c>
      <x:c r="G111" s="24" t="str">
        <x:v>Medium pelagics (30 - 89 cm)</x:v>
      </x:c>
      <x:c r="H111" s="24" t="str">
        <x:v>Herring-likes</x:v>
      </x:c>
      <x:c r="I111" s="31" t="n">
        <x:v>2</x:v>
      </x:c>
      <x:c r="J111" s="31" t="n">
        <x:v>2</x:v>
      </x:c>
      <x:c r="K111" s="31" t="n">
        <x:v>0</x:v>
      </x:c>
      <x:c r="L111" s="31" t="n">
        <x:v>2</x:v>
      </x:c>
      <x:c r="M111" s="31" t="n">
        <x:v>0</x:v>
      </x:c>
      <x:c r="N111" s="24" t="str">
        <x:v>alosa alosa</x:v>
      </x:c>
      <x:c r="O111" s="32" t="n">
        <x:v>2.95</x:v>
      </x:c>
      <x:c r="P111" s="24" t="str">
        <x:v>exact_2020_supplement</x:v>
      </x:c>
      <x:c r="Q111" s="32" t="str">
        <x:v>2020 supplement MeanTL</x:v>
      </x:c>
      <x:c r="R111" s="24" t="str">
        <x:v>high</x:v>
      </x:c>
      <x:c r="S111" s="24" t="str">
        <x:v>Alosa alosa</x:v>
      </x:c>
      <x:c r="T111" s="32" t="n">
        <x:f>IF(O111="","",(1/'Metadata'!$B$5)^(O111-1))</x:f>
        <x:v>89.12509381337459</x:v>
      </x:c>
      <x:c r="U111" s="31" t="n">
        <x:f>IF(T111="","",I111*T111)</x:f>
        <x:v>178.25018762674918</x:v>
      </x:c>
    </x:row>
    <x:row r="112" ht="18" customHeight="1">
      <x:c r="A112" s="24" t="str">
        <x:v>EEZ_470</x:v>
      </x:c>
      <x:c r="B112" s="24" t="str">
        <x:v>Malta</x:v>
      </x:c>
      <x:c r="C112" s="24" t="str">
        <x:v>EEZ</x:v>
      </x:c>
      <x:c r="D112" s="30" t="n">
        <x:v>2019</x:v>
      </x:c>
      <x:c r="E112" s="24" t="str">
        <x:v>Phycis blennoides</x:v>
      </x:c>
      <x:c r="F112" s="24" t="str">
        <x:v>Greater forkbeard</x:v>
      </x:c>
      <x:c r="G112" s="24" t="str">
        <x:v>Large benthopelagics (&gt;=90 cm)</x:v>
      </x:c>
      <x:c r="H112" s="24" t="str">
        <x:v>Cod-likes</x:v>
      </x:c>
      <x:c r="I112" s="31" t="n">
        <x:v>1.8485143258999999</x:v>
      </x:c>
      <x:c r="J112" s="31" t="n">
        <x:v>1.24</x:v>
      </x:c>
      <x:c r="K112" s="31" t="n">
        <x:v>0.6085143259</x:v>
      </x:c>
      <x:c r="L112" s="31" t="n">
        <x:v>1.24</x:v>
      </x:c>
      <x:c r="M112" s="31" t="n">
        <x:v>0.6085143259</x:v>
      </x:c>
      <x:c r="N112" s="24" t="str">
        <x:v>phycis blennoides</x:v>
      </x:c>
      <x:c r="O112" s="32" t="n">
        <x:v>3.87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Phycis blennoides</x:v>
      </x:c>
      <x:c r="T112" s="32" t="n">
        <x:f>IF(O112="","",(1/'Metadata'!$B$5)^(O112-1))</x:f>
        <x:v>741.3102413009177</x:v>
      </x:c>
      <x:c r="U112" s="31" t="n">
        <x:f>IF(T112="","",I112*T112)</x:f>
        <x:v>1370.3226009811322</x:v>
      </x:c>
    </x:row>
    <x:row r="113" ht="18" customHeight="1">
      <x:c r="A113" s="24" t="str">
        <x:v>EEZ_470</x:v>
      </x:c>
      <x:c r="B113" s="24" t="str">
        <x:v>Malta</x:v>
      </x:c>
      <x:c r="C113" s="24" t="str">
        <x:v>EEZ</x:v>
      </x:c>
      <x:c r="D113" s="30" t="n">
        <x:v>2019</x:v>
      </x:c>
      <x:c r="E113" s="24" t="str">
        <x:v>Solea solea</x:v>
      </x:c>
      <x:c r="F113" s="24" t="str">
        <x:v>Common sole</x:v>
      </x:c>
      <x:c r="G113" s="24" t="str">
        <x:v>Small to medium flatfishes (&lt;90 cm)</x:v>
      </x:c>
      <x:c r="H113" s="24" t="str">
        <x:v>Flatfishes</x:v>
      </x:c>
      <x:c r="I113" s="31" t="n">
        <x:v>1.8166649610999999</x:v>
      </x:c>
      <x:c r="J113" s="31" t="n">
        <x:v>1.8166649610999999</x:v>
      </x:c>
      <x:c r="K113" s="31" t="n">
        <x:v>0</x:v>
      </x:c>
      <x:c r="L113" s="31" t="n">
        <x:v>1.5336846650000002</x:v>
      </x:c>
      <x:c r="M113" s="31" t="n">
        <x:v>0.2829802961</x:v>
      </x:c>
      <x:c r="N113" s="24" t="str">
        <x:v>solea solea</x:v>
      </x:c>
      <x:c r="O113" s="32" t="n">
        <x:v>3.21</x:v>
      </x:c>
      <x:c r="P113" s="24" t="str">
        <x:v>exact_2020_supplement</x:v>
      </x:c>
      <x:c r="Q113" s="32" t="str">
        <x:v>2020 supplement MeanTL</x:v>
      </x:c>
      <x:c r="R113" s="24" t="str">
        <x:v>high</x:v>
      </x:c>
      <x:c r="S113" s="24" t="str">
        <x:v>Solea solea</x:v>
      </x:c>
      <x:c r="T113" s="32" t="n">
        <x:f>IF(O113="","",(1/'Metadata'!$B$5)^(O113-1))</x:f>
        <x:v>162.18100973589299</x:v>
      </x:c>
      <x:c r="U113" s="31" t="n">
        <x:f>IF(T113="","",I113*T113)</x:f>
        <x:v>294.6285577430147</x:v>
      </x:c>
    </x:row>
    <x:row r="114" ht="18" customHeight="1">
      <x:c r="A114" s="24" t="str">
        <x:v>EEZ_470</x:v>
      </x:c>
      <x:c r="B114" s="24" t="str">
        <x:v>Malta</x:v>
      </x:c>
      <x:c r="C114" s="24" t="str">
        <x:v>EEZ</x:v>
      </x:c>
      <x:c r="D114" s="30" t="n">
        <x:v>2019</x:v>
      </x:c>
      <x:c r="E114" s="24" t="str">
        <x:v>Orcynopsis unicolor</x:v>
      </x:c>
      <x:c r="F114" s="24" t="str">
        <x:v>Plain bonito</x:v>
      </x:c>
      <x:c r="G114" s="24" t="str">
        <x:v>Large pelagics (&gt;=90 cm)</x:v>
      </x:c>
      <x:c r="H114" s="24" t="str">
        <x:v>Tuna &amp; billfishes</x:v>
      </x:c>
      <x:c r="I114" s="31" t="n">
        <x:v>1.7373625997</x:v>
      </x:c>
      <x:c r="J114" s="31" t="n">
        <x:v>1.7373625997</x:v>
      </x:c>
      <x:c r="K114" s="31" t="n">
        <x:v>0</x:v>
      </x:c>
      <x:c r="L114" s="31" t="n">
        <x:v>1.7373625997</x:v>
      </x:c>
      <x:c r="M114" s="31" t="n">
        <x:v>0</x:v>
      </x:c>
      <x:c r="N114" s="24" t="str">
        <x:v>orcynopsis unicolor</x:v>
      </x:c>
      <x:c r="O114" s="32" t="n">
        <x:v>4.5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Orcynopsis unicolor</x:v>
      </x:c>
      <x:c r="T114" s="32" t="n">
        <x:f>IF(O114="","",(1/'Metadata'!$B$5)^(O114-1))</x:f>
        <x:v>3162.2776601683795</x:v>
      </x:c>
      <x:c r="U114" s="31" t="n">
        <x:f>IF(T114="","",I114*T114)</x:f>
        <x:v>5494.022936643369</x:v>
      </x:c>
    </x:row>
    <x:row r="115" ht="18" customHeight="1">
      <x:c r="A115" s="24" t="str">
        <x:v>EEZ_470</x:v>
      </x:c>
      <x:c r="B115" s="24" t="str">
        <x:v>Malta</x:v>
      </x:c>
      <x:c r="C115" s="24" t="str">
        <x:v>EEZ</x:v>
      </x:c>
      <x:c r="D115" s="30" t="n">
        <x:v>2019</x:v>
      </x:c>
      <x:c r="E115" s="24" t="str">
        <x:v>Rossia macrosoma</x:v>
      </x:c>
      <x:c r="F115" s="24" t="str">
        <x:v>Stout bobtail</x:v>
      </x:c>
      <x:c r="G115" s="24" t="str">
        <x:v>Cephalopods</x:v>
      </x:c>
      <x:c r="H115" s="24" t="str">
        <x:v>Other fishes &amp; inverts</x:v>
      </x:c>
      <x:c r="I115" s="31" t="n">
        <x:v>1.7149040097</x:v>
      </x:c>
      <x:c r="J115" s="31" t="n">
        <x:v>0</x:v>
      </x:c>
      <x:c r="K115" s="31" t="n">
        <x:v>1.7149040097</x:v>
      </x:c>
      <x:c r="L115" s="31" t="n">
        <x:v>0</x:v>
      </x:c>
      <x:c r="M115" s="31" t="n">
        <x:v>1.7149040097</x:v>
      </x:c>
      <x:c r="N115" s="24" t="str">
        <x:v>rossia macrosoma</x:v>
      </x:c>
      <x:c r="O115" s="32" t="n">
        <x:v>4.04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Rossia macrosoma</x:v>
      </x:c>
      <x:c r="T115" s="32" t="n">
        <x:f>IF(O115="","",(1/'Metadata'!$B$5)^(O115-1))</x:f>
        <x:v>1096.4781961431852</x:v>
      </x:c>
      <x:c r="U115" s="31" t="n">
        <x:f>IF(T115="","",I115*T115)</x:f>
        <x:v>1880.3548551145711</x:v>
      </x:c>
    </x:row>
    <x:row r="116" ht="18" customHeight="1">
      <x:c r="A116" s="24" t="str">
        <x:v>EEZ_470</x:v>
      </x:c>
      <x:c r="B116" s="24" t="str">
        <x:v>Malta</x:v>
      </x:c>
      <x:c r="C116" s="24" t="str">
        <x:v>EEZ</x:v>
      </x:c>
      <x:c r="D116" s="30" t="n">
        <x:v>2019</x:v>
      </x:c>
      <x:c r="E116" s="24" t="str">
        <x:v>Rajiformes</x:v>
      </x:c>
      <x:c r="F116" s="24" t="str">
        <x:v>Skates and rays</x:v>
      </x:c>
      <x:c r="G116" s="24" t="str">
        <x:v>Large rays (&gt;=90 cm)</x:v>
      </x:c>
      <x:c r="H116" s="24" t="str">
        <x:v>Sharks &amp; rays</x:v>
      </x:c>
      <x:c r="I116" s="31" t="n">
        <x:v>1.6600189492</x:v>
      </x:c>
      <x:c r="J116" s="31" t="n">
        <x:v>1.6600189492</x:v>
      </x:c>
      <x:c r="K116" s="31" t="n">
        <x:v>0</x:v>
      </x:c>
      <x:c r="L116" s="31" t="n">
        <x:v>0.136426691</x:v>
      </x:c>
      <x:c r="M116" s="31" t="n">
        <x:v>1.5235922581999999</x:v>
      </x:c>
      <x:c r="N116" s="24" t="str">
        <x:v>rajiformes</x:v>
      </x:c>
      <x:c r="O116" s="32" t="n">
        <x:v>3.61</x:v>
      </x:c>
      <x:c r="P116" s="24" t="str">
        <x:v>exact_sea_around_us</x:v>
      </x:c>
      <x:c r="Q116" s="32" t="str">
        <x:v>Sea Around Us exploited organisms</x:v>
      </x:c>
      <x:c r="R116" s="24" t="str">
        <x:v>high</x:v>
      </x:c>
      <x:c r="S116" s="24" t="str">
        <x:v>Rajiformes</x:v>
      </x:c>
      <x:c r="T116" s="32" t="n">
        <x:f>IF(O116="","",(1/'Metadata'!$B$5)^(O116-1))</x:f>
        <x:v>407.3802778041126</x:v>
      </x:c>
      <x:c r="U116" s="31" t="n">
        <x:f>IF(T116="","",I116*T116)</x:f>
        <x:v>676.2589806851871</x:v>
      </x:c>
    </x:row>
    <x:row r="117" ht="18" customHeight="1">
      <x:c r="A117" s="24" t="str">
        <x:v>EEZ_470</x:v>
      </x:c>
      <x:c r="B117" s="24" t="str">
        <x:v>Malta</x:v>
      </x:c>
      <x:c r="C117" s="24" t="str">
        <x:v>EEZ</x:v>
      </x:c>
      <x:c r="D117" s="30" t="n">
        <x:v>2019</x:v>
      </x:c>
      <x:c r="E117" s="24" t="str">
        <x:v>Mullus barbatus</x:v>
      </x:c>
      <x:c r="F117" s="24" t="str">
        <x:v>Red mullet</x:v>
      </x:c>
      <x:c r="G117" s="24" t="str">
        <x:v>Medium demersals (30 - 89 cm)</x:v>
      </x:c>
      <x:c r="H117" s="24" t="str">
        <x:v>Perch-likes</x:v>
      </x:c>
      <x:c r="I117" s="31" t="n">
        <x:v>1.576001223</x:v>
      </x:c>
      <x:c r="J117" s="31" t="n">
        <x:v>0.12963914399999998</x:v>
      </x:c>
      <x:c r="K117" s="31" t="n">
        <x:v>1.446362079</x:v>
      </x:c>
      <x:c r="L117" s="31" t="n">
        <x:v>1.446362079</x:v>
      </x:c>
      <x:c r="M117" s="31" t="n">
        <x:v>0.12963914399999998</x:v>
      </x:c>
      <x:c r="N117" s="24" t="str">
        <x:v>mullus barbatus</x:v>
      </x:c>
      <x:c r="O117" s="32" t="n">
        <x:v>3.14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Mullus barbatus</x:v>
      </x:c>
      <x:c r="T117" s="32" t="n">
        <x:f>IF(O117="","",(1/'Metadata'!$B$5)^(O117-1))</x:f>
        <x:v>138.03842646028852</x:v>
      </x:c>
      <x:c r="U117" s="31" t="n">
        <x:f>IF(T117="","",I117*T117)</x:f>
        <x:v>217.54872892241028</x:v>
      </x:c>
    </x:row>
    <x:row r="118" ht="18" customHeight="1">
      <x:c r="A118" s="24" t="str">
        <x:v>EEZ_470</x:v>
      </x:c>
      <x:c r="B118" s="24" t="str">
        <x:v>Malta</x:v>
      </x:c>
      <x:c r="C118" s="24" t="str">
        <x:v>EEZ</x:v>
      </x:c>
      <x:c r="D118" s="30" t="n">
        <x:v>2019</x:v>
      </x:c>
      <x:c r="E118" s="24" t="str">
        <x:v>Dicentrarchus labrax</x:v>
      </x:c>
      <x:c r="F118" s="24" t="str">
        <x:v>European seabass</x:v>
      </x:c>
      <x:c r="G118" s="24" t="str">
        <x:v>Large demersals (&gt;=90 cm)</x:v>
      </x:c>
      <x:c r="H118" s="24" t="str">
        <x:v>Perch-likes</x:v>
      </x:c>
      <x:c r="I118" s="31" t="n">
        <x:v>1.5699999999999998</x:v>
      </x:c>
      <x:c r="J118" s="31" t="n">
        <x:v>1.5699999999999998</x:v>
      </x:c>
      <x:c r="K118" s="31" t="n">
        <x:v>0</x:v>
      </x:c>
      <x:c r="L118" s="31" t="n">
        <x:v>1.5699999999999998</x:v>
      </x:c>
      <x:c r="M118" s="31" t="n">
        <x:v>0</x:v>
      </x:c>
      <x:c r="N118" s="24" t="str">
        <x:v>dicentrarchus labrax</x:v>
      </x:c>
      <x:c r="O118" s="32" t="n">
        <x:v>3.79</x:v>
      </x:c>
      <x:c r="P118" s="24" t="str">
        <x:v>exact_2020_supplement</x:v>
      </x:c>
      <x:c r="Q118" s="32" t="str">
        <x:v>2020 supplement MeanTL</x:v>
      </x:c>
      <x:c r="R118" s="24" t="str">
        <x:v>high</x:v>
      </x:c>
      <x:c r="S118" s="24" t="str">
        <x:v>Dicentrarchus labrax</x:v>
      </x:c>
      <x:c r="T118" s="32" t="n">
        <x:f>IF(O118="","",(1/'Metadata'!$B$5)^(O118-1))</x:f>
        <x:v>616.5950018614822</x:v>
      </x:c>
      <x:c r="U118" s="31" t="n">
        <x:f>IF(T118="","",I118*T118)</x:f>
        <x:v>968.0541529225269</x:v>
      </x:c>
    </x:row>
    <x:row r="119" ht="18" customHeight="1">
      <x:c r="A119" s="24" t="str">
        <x:v>EEZ_470</x:v>
      </x:c>
      <x:c r="B119" s="24" t="str">
        <x:v>Malta</x:v>
      </x:c>
      <x:c r="C119" s="24" t="str">
        <x:v>EEZ</x:v>
      </x:c>
      <x:c r="D119" s="30" t="n">
        <x:v>2019</x:v>
      </x:c>
      <x:c r="E119" s="24" t="str">
        <x:v>Chromis chromis</x:v>
      </x:c>
      <x:c r="F119" s="24" t="str">
        <x:v>Damselfish</x:v>
      </x:c>
      <x:c r="G119" s="24" t="str">
        <x:v>Small reef assoc. fish (&lt;30 cm)</x:v>
      </x:c>
      <x:c r="H119" s="24" t="str">
        <x:v>Perch-likes</x:v>
      </x:c>
      <x:c r="I119" s="31" t="n">
        <x:v>1.5146744660000002</x:v>
      </x:c>
      <x:c r="J119" s="31" t="n">
        <x:v>0.1083573706</x:v>
      </x:c>
      <x:c r="K119" s="31" t="n">
        <x:v>1.4063170954000002</x:v>
      </x:c>
      <x:c r="L119" s="31" t="n">
        <x:v>0</x:v>
      </x:c>
      <x:c r="M119" s="31" t="n">
        <x:v>1.5146744660000002</x:v>
      </x:c>
      <x:c r="N119" s="24" t="str">
        <x:v>chromis chromis</x:v>
      </x:c>
      <x:c r="O119" s="32" t="n">
        <x:v>3.77</x:v>
      </x:c>
      <x:c r="P119" s="24" t="str">
        <x:v>exact_2020_supplement</x:v>
      </x:c>
      <x:c r="Q119" s="32" t="str">
        <x:v>2020 supplement MeanTL</x:v>
      </x:c>
      <x:c r="R119" s="24" t="str">
        <x:v>high</x:v>
      </x:c>
      <x:c r="S119" s="24" t="str">
        <x:v>Chromis chromis</x:v>
      </x:c>
      <x:c r="T119" s="32" t="n">
        <x:f>IF(O119="","",(1/'Metadata'!$B$5)^(O119-1))</x:f>
        <x:v>588.843655355589</x:v>
      </x:c>
      <x:c r="U119" s="31" t="n">
        <x:f>IF(T119="","",I119*T119)</x:f>
        <x:v>891.906449233215</x:v>
      </x:c>
    </x:row>
    <x:row r="120" ht="18" customHeight="1">
      <x:c r="A120" s="24" t="str">
        <x:v>EEZ_470</x:v>
      </x:c>
      <x:c r="B120" s="24" t="str">
        <x:v>Malta</x:v>
      </x:c>
      <x:c r="C120" s="24" t="str">
        <x:v>EEZ</x:v>
      </x:c>
      <x:c r="D120" s="30" t="n">
        <x:v>2019</x:v>
      </x:c>
      <x:c r="E120" s="24" t="str">
        <x:v>Sphyraenidae</x:v>
      </x:c>
      <x:c r="F120" s="24" t="str">
        <x:v>Barracudas</x:v>
      </x:c>
      <x:c r="G120" s="24" t="str">
        <x:v>Medium reef assoc. fish (30 - 89 cm)</x:v>
      </x:c>
      <x:c r="H120" s="24" t="str">
        <x:v>Perch-likes</x:v>
      </x:c>
      <x:c r="I120" s="31" t="n">
        <x:v>1.4815326597</x:v>
      </x:c>
      <x:c r="J120" s="31" t="n">
        <x:v>1.4815326597</x:v>
      </x:c>
      <x:c r="K120" s="31" t="n">
        <x:v>0</x:v>
      </x:c>
      <x:c r="L120" s="31" t="n">
        <x:v>0</x:v>
      </x:c>
      <x:c r="M120" s="31" t="n">
        <x:v>1.4815326597</x:v>
      </x:c>
      <x:c r="N120" s="24" t="str">
        <x:v>sphyraenidae</x:v>
      </x:c>
      <x:c r="O120" s="32" t="n">
        <x:v>4.4</x:v>
      </x:c>
      <x:c r="P120" s="24" t="str">
        <x:v>exact_sea_around_us</x:v>
      </x:c>
      <x:c r="Q120" s="32" t="str">
        <x:v>Sea Around Us exploited organisms</x:v>
      </x:c>
      <x:c r="R120" s="24" t="str">
        <x:v>high</x:v>
      </x:c>
      <x:c r="S120" s="24" t="str">
        <x:v>Sphyraenidae</x:v>
      </x:c>
      <x:c r="T120" s="32" t="n">
        <x:f>IF(O120="","",(1/'Metadata'!$B$5)^(O120-1))</x:f>
        <x:v>2511.886431509582</x:v>
      </x:c>
      <x:c r="U120" s="31" t="n">
        <x:f>IF(T120="","",I120*T120)</x:f>
        <x:v>3721.441785738733</x:v>
      </x:c>
    </x:row>
    <x:row r="121" ht="18" customHeight="1">
      <x:c r="A121" s="24" t="str">
        <x:v>EEZ_470</x:v>
      </x:c>
      <x:c r="B121" s="24" t="str">
        <x:v>Malta</x:v>
      </x:c>
      <x:c r="C121" s="24" t="str">
        <x:v>EEZ</x:v>
      </x:c>
      <x:c r="D121" s="30" t="n">
        <x:v>2019</x:v>
      </x:c>
      <x:c r="E121" s="24" t="str">
        <x:v>Gobiidae</x:v>
      </x:c>
      <x:c r="F121" s="24" t="str">
        <x:v>Gobies</x:v>
      </x:c>
      <x:c r="G121" s="24" t="str">
        <x:v>Small reef assoc. fish (&lt;30 cm)</x:v>
      </x:c>
      <x:c r="H121" s="24" t="str">
        <x:v>Perch-likes</x:v>
      </x:c>
      <x:c r="I121" s="31" t="n">
        <x:v>1.4697044836</x:v>
      </x:c>
      <x:c r="J121" s="31" t="n">
        <x:v>0.1442116857</x:v>
      </x:c>
      <x:c r="K121" s="31" t="n">
        <x:v>1.3254927979</x:v>
      </x:c>
      <x:c r="L121" s="31" t="n">
        <x:v>0</x:v>
      </x:c>
      <x:c r="M121" s="31" t="n">
        <x:v>1.4697044836</x:v>
      </x:c>
      <x:c r="N121" s="24" t="str">
        <x:v>gobiidae</x:v>
      </x:c>
      <x:c r="O121" s="32" t="n">
        <x:v>3.11</x:v>
      </x:c>
      <x:c r="P121" s="24" t="str">
        <x:v>exact_sea_around_us</x:v>
      </x:c>
      <x:c r="Q121" s="32" t="str">
        <x:v>Sea Around Us exploited organisms</x:v>
      </x:c>
      <x:c r="R121" s="24" t="str">
        <x:v>high</x:v>
      </x:c>
      <x:c r="S121" s="24" t="str">
        <x:v>Gobiidae</x:v>
      </x:c>
      <x:c r="T121" s="32" t="n">
        <x:f>IF(O121="","",(1/'Metadata'!$B$5)^(O121-1))</x:f>
        <x:v>128.82495516931337</x:v>
      </x:c>
      <x:c r="U121" s="31" t="n">
        <x:f>IF(T121="","",I121*T121)</x:f>
        <x:v>189.33461421190884</x:v>
      </x:c>
    </x:row>
    <x:row r="122" ht="18" customHeight="1">
      <x:c r="A122" s="24" t="str">
        <x:v>EEZ_470</x:v>
      </x:c>
      <x:c r="B122" s="24" t="str">
        <x:v>Malta</x:v>
      </x:c>
      <x:c r="C122" s="24" t="str">
        <x:v>EEZ</x:v>
      </x:c>
      <x:c r="D122" s="30" t="n">
        <x:v>2019</x:v>
      </x:c>
      <x:c r="E122" s="24" t="str">
        <x:v>Lophius budegassa</x:v>
      </x:c>
      <x:c r="F122" s="24" t="str">
        <x:v>Blackbellied angler</x:v>
      </x:c>
      <x:c r="G122" s="24" t="str">
        <x:v>Large bathydemersals (&gt;=90 cm)</x:v>
      </x:c>
      <x:c r="H122" s="24" t="str">
        <x:v>Other fishes &amp; inverts</x:v>
      </x:c>
      <x:c r="I122" s="31" t="n">
        <x:v>1.361184078</x:v>
      </x:c>
      <x:c r="J122" s="31" t="n">
        <x:v>1</x:v>
      </x:c>
      <x:c r="K122" s="31" t="n">
        <x:v>0.361184078</x:v>
      </x:c>
      <x:c r="L122" s="31" t="n">
        <x:v>1.361184078</x:v>
      </x:c>
      <x:c r="M122" s="31" t="n">
        <x:v>0</x:v>
      </x:c>
      <x:c r="N122" s="24" t="str">
        <x:v>lophius budegassa</x:v>
      </x:c>
      <x:c r="O122" s="32" t="n">
        <x:v>4.41</x:v>
      </x:c>
      <x:c r="P122" s="24" t="str">
        <x:v>exact_2020_supplement</x:v>
      </x:c>
      <x:c r="Q122" s="32" t="str">
        <x:v>2020 supplement MeanTL</x:v>
      </x:c>
      <x:c r="R122" s="24" t="str">
        <x:v>high</x:v>
      </x:c>
      <x:c r="S122" s="24" t="str">
        <x:v>Lophius budegassa</x:v>
      </x:c>
      <x:c r="T122" s="32" t="n">
        <x:f>IF(O122="","",(1/'Metadata'!$B$5)^(O122-1))</x:f>
        <x:v>2570.3957827688646</x:v>
      </x:c>
      <x:c r="U122" s="31" t="n">
        <x:f>IF(T122="","",I122*T122)</x:f>
        <x:v>3498.781813663325</x:v>
      </x:c>
    </x:row>
    <x:row r="123" ht="18" customHeight="1">
      <x:c r="A123" s="24" t="str">
        <x:v>EEZ_470</x:v>
      </x:c>
      <x:c r="B123" s="24" t="str">
        <x:v>Malta</x:v>
      </x:c>
      <x:c r="C123" s="24" t="str">
        <x:v>EEZ</x:v>
      </x:c>
      <x:c r="D123" s="30" t="n">
        <x:v>2019</x:v>
      </x:c>
      <x:c r="E123" s="24" t="str">
        <x:v>Mola mola</x:v>
      </x:c>
      <x:c r="F123" s="24" t="str">
        <x:v>Ocean sunfish</x:v>
      </x:c>
      <x:c r="G123" s="24" t="str">
        <x:v>Large pelagics (&gt;=90 cm)</x:v>
      </x:c>
      <x:c r="H123" s="24" t="str">
        <x:v>Other fishes &amp; inverts</x:v>
      </x:c>
      <x:c r="I123" s="31" t="n">
        <x:v>1.3254927995999999</x:v>
      </x:c>
      <x:c r="J123" s="31" t="n">
        <x:v>0</x:v>
      </x:c>
      <x:c r="K123" s="31" t="n">
        <x:v>1.3254927995999999</x:v>
      </x:c>
      <x:c r="L123" s="31" t="n">
        <x:v>0</x:v>
      </x:c>
      <x:c r="M123" s="31" t="n">
        <x:v>1.3254927995999999</x:v>
      </x:c>
      <x:c r="N123" s="24" t="str">
        <x:v>mola mola</x:v>
      </x:c>
      <x:c r="O123" s="32" t="n">
        <x:v>3.68</x:v>
      </x:c>
      <x:c r="P123" s="24" t="str">
        <x:v>exact_2020_supplement</x:v>
      </x:c>
      <x:c r="Q123" s="32" t="str">
        <x:v>2020 supplement MeanTL</x:v>
      </x:c>
      <x:c r="R123" s="24" t="str">
        <x:v>high</x:v>
      </x:c>
      <x:c r="S123" s="24" t="str">
        <x:v>Mola mola</x:v>
      </x:c>
      <x:c r="T123" s="32" t="n">
        <x:f>IF(O123="","",(1/'Metadata'!$B$5)^(O123-1))</x:f>
        <x:v>478.6300923226385</x:v>
      </x:c>
      <x:c r="U123" s="31" t="n">
        <x:f>IF(T123="","",I123*T123)</x:f>
        <x:v>634.4207410455406</x:v>
      </x:c>
    </x:row>
    <x:row r="124" ht="18" customHeight="1">
      <x:c r="A124" s="24" t="str">
        <x:v>EEZ_470</x:v>
      </x:c>
      <x:c r="B124" s="24" t="str">
        <x:v>Malta</x:v>
      </x:c>
      <x:c r="C124" s="24" t="str">
        <x:v>EEZ</x:v>
      </x:c>
      <x:c r="D124" s="30" t="n">
        <x:v>2019</x:v>
      </x:c>
      <x:c r="E124" s="24" t="str">
        <x:v>Pteroplatytrygon violacea</x:v>
      </x:c>
      <x:c r="F124" s="24" t="str">
        <x:v>Pelagic stingray</x:v>
      </x:c>
      <x:c r="G124" s="24" t="str">
        <x:v>Large rays (&gt;=90 cm)</x:v>
      </x:c>
      <x:c r="H124" s="24" t="str">
        <x:v>Sharks &amp; rays</x:v>
      </x:c>
      <x:c r="I124" s="31" t="n">
        <x:v>1.3254927979</x:v>
      </x:c>
      <x:c r="J124" s="31" t="n">
        <x:v>0</x:v>
      </x:c>
      <x:c r="K124" s="31" t="n">
        <x:v>1.3254927979</x:v>
      </x:c>
      <x:c r="L124" s="31" t="n">
        <x:v>0</x:v>
      </x:c>
      <x:c r="M124" s="31" t="n">
        <x:v>1.3254927979</x:v>
      </x:c>
      <x:c r="N124" s="24" t="str">
        <x:v>pteroplatytrygon violacea</x:v>
      </x:c>
      <x:c r="O124" s="32" t="n">
        <x:v>4.36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Pteroplatytrygon violacea</x:v>
      </x:c>
      <x:c r="T124" s="32" t="n">
        <x:f>IF(O124="","",(1/'Metadata'!$B$5)^(O124-1))</x:f>
        <x:v>2290.867652767775</x:v>
      </x:c>
      <x:c r="U124" s="31" t="n">
        <x:f>IF(T124="","",I124*T124)</x:f>
        <x:v>3036.5285746857635</x:v>
      </x:c>
    </x:row>
    <x:row r="125" ht="18" customHeight="1">
      <x:c r="A125" s="24" t="str">
        <x:v>EEZ_470</x:v>
      </x:c>
      <x:c r="B125" s="24" t="str">
        <x:v>Malta</x:v>
      </x:c>
      <x:c r="C125" s="24" t="str">
        <x:v>EEZ</x:v>
      </x:c>
      <x:c r="D125" s="30" t="n">
        <x:v>2019</x:v>
      </x:c>
      <x:c r="E125" s="24" t="str">
        <x:v>Mobula mobular</x:v>
      </x:c>
      <x:c r="F125" s="24" t="str">
        <x:v>Devil fish</x:v>
      </x:c>
      <x:c r="G125" s="24" t="str">
        <x:v>Large rays (&gt;=90 cm)</x:v>
      </x:c>
      <x:c r="H125" s="24" t="str">
        <x:v>Sharks &amp; rays</x:v>
      </x:c>
      <x:c r="I125" s="31" t="n">
        <x:v>1.3241657629</x:v>
      </x:c>
      <x:c r="J125" s="31" t="n">
        <x:v>0</x:v>
      </x:c>
      <x:c r="K125" s="31" t="n">
        <x:v>1.3241657629</x:v>
      </x:c>
      <x:c r="L125" s="31" t="n">
        <x:v>0</x:v>
      </x:c>
      <x:c r="M125" s="31" t="n">
        <x:v>1.3241657629</x:v>
      </x:c>
      <x:c r="N125" s="24" t="str">
        <x:v>mobula mobular</x:v>
      </x:c>
      <x:c r="O125" s="32" t="n">
        <x:v>3.71</x:v>
      </x:c>
      <x:c r="P125" s="24" t="str">
        <x:v>exact_2020_supplement</x:v>
      </x:c>
      <x:c r="Q125" s="32" t="str">
        <x:v>2020 supplement MeanTL</x:v>
      </x:c>
      <x:c r="R125" s="24" t="str">
        <x:v>high</x:v>
      </x:c>
      <x:c r="S125" s="24" t="str">
        <x:v>Mobula mobular</x:v>
      </x:c>
      <x:c r="T125" s="32" t="n">
        <x:f>IF(O125="","",(1/'Metadata'!$B$5)^(O125-1))</x:f>
        <x:v>512.8613839913648</x:v>
      </x:c>
      <x:c r="U125" s="31" t="n">
        <x:f>IF(T125="","",I125*T125)</x:f>
        <x:v>679.1134857948755</x:v>
      </x:c>
    </x:row>
    <x:row r="126" ht="18" customHeight="1">
      <x:c r="A126" s="24" t="str">
        <x:v>EEZ_470</x:v>
      </x:c>
      <x:c r="B126" s="24" t="str">
        <x:v>Malta</x:v>
      </x:c>
      <x:c r="C126" s="24" t="str">
        <x:v>EEZ</x:v>
      </x:c>
      <x:c r="D126" s="30" t="n">
        <x:v>2019</x:v>
      </x:c>
      <x:c r="E126" s="24" t="str">
        <x:v>Palinurus elephas</x:v>
      </x:c>
      <x:c r="F126" s="24" t="str">
        <x:v>Common spiny lobster</x:v>
      </x:c>
      <x:c r="G126" s="24" t="str">
        <x:v>Lobsters, crabs</x:v>
      </x:c>
      <x:c r="H126" s="24" t="str">
        <x:v>Crustaceans</x:v>
      </x:c>
      <x:c r="I126" s="31" t="n">
        <x:v>1.309109209</x:v>
      </x:c>
      <x:c r="J126" s="31" t="n">
        <x:v>1.309109209</x:v>
      </x:c>
      <x:c r="K126" s="31" t="n">
        <x:v>0</x:v>
      </x:c>
      <x:c r="L126" s="31" t="n">
        <x:v>1.145052719</x:v>
      </x:c>
      <x:c r="M126" s="31" t="n">
        <x:v>0.16405649</x:v>
      </x:c>
      <x:c r="N126" s="24" t="str">
        <x:v>palinurus elephas</x:v>
      </x:c>
      <x:c r="O126" s="32" t="n">
        <x:v>3.34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Palinurus elephas</x:v>
      </x:c>
      <x:c r="T126" s="32" t="n">
        <x:f>IF(O126="","",(1/'Metadata'!$B$5)^(O126-1))</x:f>
        <x:v>218.77616239495518</x:v>
      </x:c>
      <x:c r="U126" s="31" t="n">
        <x:f>IF(T126="","",I126*T126)</x:f>
        <x:v>286.4018889009153</x:v>
      </x:c>
    </x:row>
    <x:row r="127" ht="18" customHeight="1">
      <x:c r="A127" s="24" t="str">
        <x:v>EEZ_470</x:v>
      </x:c>
      <x:c r="B127" s="24" t="str">
        <x:v>Malta</x:v>
      </x:c>
      <x:c r="C127" s="24" t="str">
        <x:v>EEZ</x:v>
      </x:c>
      <x:c r="D127" s="30" t="n">
        <x:v>2019</x:v>
      </x:c>
      <x:c r="E127" s="24" t="str">
        <x:v>Lophiidae</x:v>
      </x:c>
      <x:c r="F127" s="24" t="str">
        <x:v>Goosefishes</x:v>
      </x:c>
      <x:c r="G127" s="24" t="str">
        <x:v>Medium bathydemersals (30 - 89 cm)</x:v>
      </x:c>
      <x:c r="H127" s="24" t="str">
        <x:v>Other fishes &amp; inverts</x:v>
      </x:c>
      <x:c r="I127" s="31" t="n">
        <x:v>1.1118720187</x:v>
      </x:c>
      <x:c r="J127" s="31" t="n">
        <x:v>1.1118720187</x:v>
      </x:c>
      <x:c r="K127" s="31" t="n">
        <x:v>0</x:v>
      </x:c>
      <x:c r="L127" s="31" t="n">
        <x:v>0</x:v>
      </x:c>
      <x:c r="M127" s="31" t="n">
        <x:v>1.1118720187</x:v>
      </x:c>
      <x:c r="N127" s="24" t="str">
        <x:v>lophiidae</x:v>
      </x:c>
      <x:c r="O127" s="32" t="n">
        <x:v>4.46</x:v>
      </x:c>
      <x:c r="P127" s="24" t="str">
        <x:v>exact_sea_around_us</x:v>
      </x:c>
      <x:c r="Q127" s="32" t="str">
        <x:v>Sea Around Us exploited organisms</x:v>
      </x:c>
      <x:c r="R127" s="24" t="str">
        <x:v>high</x:v>
      </x:c>
      <x:c r="S127" s="24" t="str">
        <x:v>Lophiidae</x:v>
      </x:c>
      <x:c r="T127" s="32" t="n">
        <x:f>IF(O127="","",(1/'Metadata'!$B$5)^(O127-1))</x:f>
        <x:v>2884.031503126606</x:v>
      </x:c>
      <x:c r="U127" s="31" t="n">
        <x:f>IF(T127="","",I127*T127)</x:f>
        <x:v>3206.6739293757746</x:v>
      </x:c>
    </x:row>
    <x:row r="128" ht="18" customHeight="1">
      <x:c r="A128" s="24" t="str">
        <x:v>EEZ_470</x:v>
      </x:c>
      <x:c r="B128" s="24" t="str">
        <x:v>Malta</x:v>
      </x:c>
      <x:c r="C128" s="24" t="str">
        <x:v>EEZ</x:v>
      </x:c>
      <x:c r="D128" s="30" t="n">
        <x:v>2019</x:v>
      </x:c>
      <x:c r="E128" s="24" t="str">
        <x:v>Epinephelus caninus</x:v>
      </x:c>
      <x:c r="F128" s="24" t="str">
        <x:v>Dogtooth grouper</x:v>
      </x:c>
      <x:c r="G128" s="24" t="str">
        <x:v>Large demersals (&gt;=90 cm)</x:v>
      </x:c>
      <x:c r="H128" s="24" t="str">
        <x:v>Perch-likes</x:v>
      </x:c>
      <x:c r="I128" s="31" t="n">
        <x:v>1.1</x:v>
      </x:c>
      <x:c r="J128" s="31" t="n">
        <x:v>1.1</x:v>
      </x:c>
      <x:c r="K128" s="31" t="n">
        <x:v>0</x:v>
      </x:c>
      <x:c r="L128" s="31" t="n">
        <x:v>1.1</x:v>
      </x:c>
      <x:c r="M128" s="31" t="n">
        <x:v>0</x:v>
      </x:c>
      <x:c r="N128" s="24" t="str">
        <x:v>epinephelus caninus</x:v>
      </x:c>
      <x:c r="O128" s="32" t="n">
        <x:v>3.77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Epinephelus caninus</x:v>
      </x:c>
      <x:c r="T128" s="32" t="n">
        <x:f>IF(O128="","",(1/'Metadata'!$B$5)^(O128-1))</x:f>
        <x:v>588.843655355589</x:v>
      </x:c>
      <x:c r="U128" s="31" t="n">
        <x:f>IF(T128="","",I128*T128)</x:f>
        <x:v>647.7280208911479</x:v>
      </x:c>
    </x:row>
    <x:row r="129" ht="18" customHeight="1">
      <x:c r="A129" s="24" t="str">
        <x:v>EEZ_470</x:v>
      </x:c>
      <x:c r="B129" s="24" t="str">
        <x:v>Malta</x:v>
      </x:c>
      <x:c r="C129" s="24" t="str">
        <x:v>EEZ</x:v>
      </x:c>
      <x:c r="D129" s="30" t="n">
        <x:v>2019</x:v>
      </x:c>
      <x:c r="E129" s="24" t="str">
        <x:v>Micromesistius poutassou</x:v>
      </x:c>
      <x:c r="F129" s="24" t="str">
        <x:v>Blue whiting</x:v>
      </x:c>
      <x:c r="G129" s="24" t="str">
        <x:v>Medium benthopelagics (30 - 89 cm)</x:v>
      </x:c>
      <x:c r="H129" s="24" t="str">
        <x:v>Cod-likes</x:v>
      </x:c>
      <x:c r="I129" s="31" t="n">
        <x:v>1.083151265</x:v>
      </x:c>
      <x:c r="J129" s="31" t="n">
        <x:v>1.083151265</x:v>
      </x:c>
      <x:c r="K129" s="31" t="n">
        <x:v>0</x:v>
      </x:c>
      <x:c r="L129" s="31" t="n">
        <x:v>1.035336647</x:v>
      </x:c>
      <x:c r="M129" s="31" t="n">
        <x:v>0.047814618</x:v>
      </x:c>
      <x:c r="N129" s="24" t="str">
        <x:v>micromesistius poutassou</x:v>
      </x:c>
      <x:c r="O129" s="32" t="n">
        <x:v>4.13</x:v>
      </x:c>
      <x:c r="P129" s="24" t="str">
        <x:v>exact_2020_supplement</x:v>
      </x:c>
      <x:c r="Q129" s="32" t="str">
        <x:v>2020 supplement MeanTL</x:v>
      </x:c>
      <x:c r="R129" s="24" t="str">
        <x:v>high</x:v>
      </x:c>
      <x:c r="S129" s="24" t="str">
        <x:v>Micromesistius poutassou</x:v>
      </x:c>
      <x:c r="T129" s="32" t="n">
        <x:f>IF(O129="","",(1/'Metadata'!$B$5)^(O129-1))</x:f>
        <x:v>1348.9628825916532</x:v>
      </x:c>
      <x:c r="U129" s="31" t="n">
        <x:f>IF(T129="","",I129*T129)</x:f>
        <x:v>1461.1308527171955</x:v>
      </x:c>
    </x:row>
    <x:row r="130" ht="18" customHeight="1">
      <x:c r="A130" s="24" t="str">
        <x:v>EEZ_470</x:v>
      </x:c>
      <x:c r="B130" s="24" t="str">
        <x:v>Malta</x:v>
      </x:c>
      <x:c r="C130" s="24" t="str">
        <x:v>EEZ</x:v>
      </x:c>
      <x:c r="D130" s="30" t="n">
        <x:v>2019</x:v>
      </x:c>
      <x:c r="E130" s="24" t="str">
        <x:v>Phycis phycis</x:v>
      </x:c>
      <x:c r="F130" s="24" t="str">
        <x:v>Forkbeard</x:v>
      </x:c>
      <x:c r="G130" s="24" t="str">
        <x:v>Medium benthopelagics (30 - 89 cm)</x:v>
      </x:c>
      <x:c r="H130" s="24" t="str">
        <x:v>Cod-likes</x:v>
      </x:c>
      <x:c r="I130" s="31" t="n">
        <x:v>1.0447811992</x:v>
      </x:c>
      <x:c r="J130" s="31" t="n">
        <x:v>1.0447811992</x:v>
      </x:c>
      <x:c r="K130" s="31" t="n">
        <x:v>0</x:v>
      </x:c>
      <x:c r="L130" s="31" t="n">
        <x:v>1</x:v>
      </x:c>
      <x:c r="M130" s="31" t="n">
        <x:v>0.0447811992</x:v>
      </x:c>
      <x:c r="N130" s="24" t="str">
        <x:v>phycis phycis</x:v>
      </x:c>
      <x:c r="O130" s="32" t="n">
        <x:v>4.25</x:v>
      </x:c>
      <x:c r="P130" s="24" t="str">
        <x:v>exact_2020_supplement</x:v>
      </x:c>
      <x:c r="Q130" s="32" t="str">
        <x:v>2020 supplement MeanTL</x:v>
      </x:c>
      <x:c r="R130" s="24" t="str">
        <x:v>high</x:v>
      </x:c>
      <x:c r="S130" s="24" t="str">
        <x:v>Phycis phycis</x:v>
      </x:c>
      <x:c r="T130" s="32" t="n">
        <x:f>IF(O130="","",(1/'Metadata'!$B$5)^(O130-1))</x:f>
        <x:v>1778.2794100389228</x:v>
      </x:c>
      <x:c r="U130" s="31" t="n">
        <x:f>IF(T130="","",I130*T130)</x:f>
        <x:v>1857.9128945331342</x:v>
      </x:c>
    </x:row>
    <x:row r="131" ht="18" customHeight="1">
      <x:c r="A131" s="24" t="str">
        <x:v>EEZ_470</x:v>
      </x:c>
      <x:c r="B131" s="24" t="str">
        <x:v>Malta</x:v>
      </x:c>
      <x:c r="C131" s="24" t="str">
        <x:v>EEZ</x:v>
      </x:c>
      <x:c r="D131" s="30" t="n">
        <x:v>2019</x:v>
      </x:c>
      <x:c r="E131" s="24" t="str">
        <x:v>Sepia orbignyana</x:v>
      </x:c>
      <x:c r="F131" s="24" t="str">
        <x:v>Pink cuttlefish</x:v>
      </x:c>
      <x:c r="G131" s="24" t="str">
        <x:v>Cephalopods</x:v>
      </x:c>
      <x:c r="H131" s="24" t="str">
        <x:v>Other fishes &amp; inverts</x:v>
      </x:c>
      <x:c r="I131" s="31" t="n">
        <x:v>1</x:v>
      </x:c>
      <x:c r="J131" s="31" t="n">
        <x:v>1</x:v>
      </x:c>
      <x:c r="K131" s="31" t="n">
        <x:v>0</x:v>
      </x:c>
      <x:c r="L131" s="31" t="n">
        <x:v>1</x:v>
      </x:c>
      <x:c r="M131" s="31" t="n">
        <x:v>0</x:v>
      </x:c>
      <x:c r="N131" s="24" t="str">
        <x:v>sepia orbignyana</x:v>
      </x:c>
      <x:c r="O131" s="32" t="n">
        <x:v>4.16</x:v>
      </x:c>
      <x:c r="P131" s="24" t="str">
        <x:v>exact_sea_around_us</x:v>
      </x:c>
      <x:c r="Q131" s="32" t="str">
        <x:v>Sea Around Us exploited organisms</x:v>
      </x:c>
      <x:c r="R131" s="24" t="str">
        <x:v>high</x:v>
      </x:c>
      <x:c r="S131" s="24" t="str">
        <x:v>Sepia orbignyana</x:v>
      </x:c>
      <x:c r="T131" s="32" t="n">
        <x:f>IF(O131="","",(1/'Metadata'!$B$5)^(O131-1))</x:f>
        <x:v>1445.439770745928</x:v>
      </x:c>
      <x:c r="U131" s="31" t="n">
        <x:f>IF(T131="","",I131*T131)</x:f>
        <x:v>1445.439770745928</x:v>
      </x:c>
    </x:row>
    <x:row r="132" ht="18" customHeight="1">
      <x:c r="A132" s="24" t="str">
        <x:v>EEZ_470</x:v>
      </x:c>
      <x:c r="B132" s="24" t="str">
        <x:v>Malta</x:v>
      </x:c>
      <x:c r="C132" s="24" t="str">
        <x:v>EEZ</x:v>
      </x:c>
      <x:c r="D132" s="30" t="n">
        <x:v>2019</x:v>
      </x:c>
      <x:c r="E132" s="24" t="str">
        <x:v>Stromateus fiatola</x:v>
      </x:c>
      <x:c r="F132" s="24" t="str">
        <x:v>Blue butterfish</x:v>
      </x:c>
      <x:c r="G132" s="24" t="str">
        <x:v>Medium benthopelagics (30 - 89 cm)</x:v>
      </x:c>
      <x:c r="H132" s="24" t="str">
        <x:v>Perch-likes</x:v>
      </x:c>
      <x:c r="I132" s="31" t="n">
        <x:v>1</x:v>
      </x:c>
      <x:c r="J132" s="31" t="n">
        <x:v>1</x:v>
      </x:c>
      <x:c r="K132" s="31" t="n">
        <x:v>0</x:v>
      </x:c>
      <x:c r="L132" s="31" t="n">
        <x:v>1</x:v>
      </x:c>
      <x:c r="M132" s="31" t="n">
        <x:v>0</x:v>
      </x:c>
      <x:c r="N132" s="24" t="str">
        <x:v>stromateus fiatola</x:v>
      </x:c>
      <x:c r="O132" s="32" t="n">
        <x:v>4.03</x:v>
      </x:c>
      <x:c r="P132" s="24" t="str">
        <x:v>exact_2020_supplement</x:v>
      </x:c>
      <x:c r="Q132" s="32" t="str">
        <x:v>2020 supplement MeanTL</x:v>
      </x:c>
      <x:c r="R132" s="24" t="str">
        <x:v>high</x:v>
      </x:c>
      <x:c r="S132" s="24" t="str">
        <x:v>Stromateus fiatola</x:v>
      </x:c>
      <x:c r="T132" s="32" t="n">
        <x:f>IF(O132="","",(1/'Metadata'!$B$5)^(O132-1))</x:f>
        <x:v>1071.519305237607</x:v>
      </x:c>
      <x:c r="U132" s="31" t="n">
        <x:f>IF(T132="","",I132*T132)</x:f>
        <x:v>1071.519305237607</x:v>
      </x:c>
    </x:row>
    <x:row r="133" ht="18" customHeight="1">
      <x:c r="A133" s="24" t="str">
        <x:v>EEZ_470</x:v>
      </x:c>
      <x:c r="B133" s="24" t="str">
        <x:v>Malta</x:v>
      </x:c>
      <x:c r="C133" s="24" t="str">
        <x:v>EEZ</x:v>
      </x:c>
      <x:c r="D133" s="30" t="n">
        <x:v>2019</x:v>
      </x:c>
      <x:c r="E133" s="24" t="str">
        <x:v>Dentex gibbosus</x:v>
      </x:c>
      <x:c r="F133" s="24" t="str">
        <x:v>Pink dentex</x:v>
      </x:c>
      <x:c r="G133" s="24" t="str">
        <x:v>Large benthopelagics (&gt;=90 cm)</x:v>
      </x:c>
      <x:c r="H133" s="24" t="str">
        <x:v>Perch-likes</x:v>
      </x:c>
      <x:c r="I133" s="31" t="n">
        <x:v>1</x:v>
      </x:c>
      <x:c r="J133" s="31" t="n">
        <x:v>1</x:v>
      </x:c>
      <x:c r="K133" s="31" t="n">
        <x:v>0</x:v>
      </x:c>
      <x:c r="L133" s="31" t="n">
        <x:v>1</x:v>
      </x:c>
      <x:c r="M133" s="31" t="n">
        <x:v>0</x:v>
      </x:c>
      <x:c r="N133" s="24" t="str">
        <x:v>dentex gibbosus</x:v>
      </x:c>
      <x:c r="O133" s="32" t="n">
        <x:v>4.14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Dentex gibbosus</x:v>
      </x:c>
      <x:c r="T133" s="32" t="n">
        <x:f>IF(O133="","",(1/'Metadata'!$B$5)^(O133-1))</x:f>
        <x:v>1380.3842646028838</x:v>
      </x:c>
      <x:c r="U133" s="31" t="n">
        <x:f>IF(T133="","",I133*T133)</x:f>
        <x:v>1380.3842646028838</x:v>
      </x:c>
    </x:row>
    <x:row r="134" ht="18" customHeight="1">
      <x:c r="A134" s="24" t="str">
        <x:v>EEZ_470</x:v>
      </x:c>
      <x:c r="B134" s="24" t="str">
        <x:v>Malta</x:v>
      </x:c>
      <x:c r="C134" s="24" t="str">
        <x:v>EEZ</x:v>
      </x:c>
      <x:c r="D134" s="30" t="n">
        <x:v>2019</x:v>
      </x:c>
      <x:c r="E134" s="24" t="str">
        <x:v>Caranx rhonchus</x:v>
      </x:c>
      <x:c r="F134" s="24" t="str">
        <x:v>False scad</x:v>
      </x:c>
      <x:c r="G134" s="24" t="str">
        <x:v>Medium benthopelagics (30 - 89 cm)</x:v>
      </x:c>
      <x:c r="H134" s="24" t="str">
        <x:v>Perch-likes</x:v>
      </x:c>
      <x:c r="I134" s="31" t="n">
        <x:v>1</x:v>
      </x:c>
      <x:c r="J134" s="31" t="n">
        <x:v>1</x:v>
      </x:c>
      <x:c r="K134" s="31" t="n">
        <x:v>0</x:v>
      </x:c>
      <x:c r="L134" s="31" t="n">
        <x:v>1</x:v>
      </x:c>
      <x:c r="M134" s="31" t="n">
        <x:v>0</x:v>
      </x:c>
      <x:c r="N134" s="24" t="str">
        <x:v>caranx rhonchus</x:v>
      </x:c>
      <x:c r="O134" s="32" t="n">
        <x:v>3.6</x:v>
      </x:c>
      <x:c r="P134" s="24" t="str">
        <x:v>exact_2020_supplement</x:v>
      </x:c>
      <x:c r="Q134" s="32" t="str">
        <x:v>2020 supplement MeanTL</x:v>
      </x:c>
      <x:c r="R134" s="24" t="str">
        <x:v>high</x:v>
      </x:c>
      <x:c r="S134" s="24" t="str">
        <x:v>Caranx rhonchus</x:v>
      </x:c>
      <x:c r="T134" s="32" t="n">
        <x:f>IF(O134="","",(1/'Metadata'!$B$5)^(O134-1))</x:f>
        <x:v>398.1071705534973</x:v>
      </x:c>
      <x:c r="U134" s="31" t="n">
        <x:f>IF(T134="","",I134*T134)</x:f>
        <x:v>398.1071705534973</x:v>
      </x:c>
    </x:row>
    <x:row r="135" ht="18" customHeight="1">
      <x:c r="A135" s="24" t="str">
        <x:v>EEZ_470</x:v>
      </x:c>
      <x:c r="B135" s="24" t="str">
        <x:v>Malta</x:v>
      </x:c>
      <x:c r="C135" s="24" t="str">
        <x:v>EEZ</x:v>
      </x:c>
      <x:c r="D135" s="30" t="n">
        <x:v>2019</x:v>
      </x:c>
      <x:c r="E135" s="24" t="str">
        <x:v>Dasyatis pastinaca</x:v>
      </x:c>
      <x:c r="F135" s="24" t="str">
        <x:v>Common stingray</x:v>
      </x:c>
      <x:c r="G135" s="24" t="str">
        <x:v>Large rays (&gt;=90 cm)</x:v>
      </x:c>
      <x:c r="H135" s="24" t="str">
        <x:v>Sharks &amp; rays</x:v>
      </x:c>
      <x:c r="I135" s="31" t="n">
        <x:v>0.9717003175</x:v>
      </x:c>
      <x:c r="J135" s="31" t="n">
        <x:v>0.9717003175</x:v>
      </x:c>
      <x:c r="K135" s="31" t="n">
        <x:v>0</x:v>
      </x:c>
      <x:c r="L135" s="31" t="n">
        <x:v>0.8200000000000001</x:v>
      </x:c>
      <x:c r="M135" s="31" t="n">
        <x:v>0.1517003175</x:v>
      </x:c>
      <x:c r="N135" s="24" t="str">
        <x:v>dasyatis pastinaca</x:v>
      </x:c>
      <x:c r="O135" s="32" t="n">
        <x:v>4.05</x:v>
      </x:c>
      <x:c r="P135" s="24" t="str">
        <x:v>exact_2020_supplement</x:v>
      </x:c>
      <x:c r="Q135" s="32" t="str">
        <x:v>2020 supplement MeanTL</x:v>
      </x:c>
      <x:c r="R135" s="24" t="str">
        <x:v>high</x:v>
      </x:c>
      <x:c r="S135" s="24" t="str">
        <x:v>Dasyatis pastinaca</x:v>
      </x:c>
      <x:c r="T135" s="32" t="n">
        <x:f>IF(O135="","",(1/'Metadata'!$B$5)^(O135-1))</x:f>
        <x:v>1122.018454301963</x:v>
      </x:c>
      <x:c r="U135" s="31" t="n">
        <x:f>IF(T135="","",I135*T135)</x:f>
        <x:v>1090.2656882860765</x:v>
      </x:c>
    </x:row>
    <x:row r="136" ht="18" customHeight="1">
      <x:c r="A136" s="24" t="str">
        <x:v>EEZ_470</x:v>
      </x:c>
      <x:c r="B136" s="24" t="str">
        <x:v>Malta</x:v>
      </x:c>
      <x:c r="C136" s="24" t="str">
        <x:v>EEZ</x:v>
      </x:c>
      <x:c r="D136" s="30" t="n">
        <x:v>2019</x:v>
      </x:c>
      <x:c r="E136" s="24" t="str">
        <x:v>Elasmobranchii</x:v>
      </x:c>
      <x:c r="F136" s="24" t="str">
        <x:v>Sharks, rays, skates</x:v>
      </x:c>
      <x:c r="G136" s="24" t="str">
        <x:v>Large sharks (&gt;=90 cm)</x:v>
      </x:c>
      <x:c r="H136" s="24" t="str">
        <x:v>Sharks &amp; rays</x:v>
      </x:c>
      <x:c r="I136" s="31" t="n">
        <x:v>0.9701607152</x:v>
      </x:c>
      <x:c r="J136" s="31" t="n">
        <x:v>0.9701607152</x:v>
      </x:c>
      <x:c r="K136" s="31" t="n">
        <x:v>0</x:v>
      </x:c>
      <x:c r="L136" s="31" t="n">
        <x:v>0.007200587</x:v>
      </x:c>
      <x:c r="M136" s="31" t="n">
        <x:v>0.9629601282</x:v>
      </x:c>
      <x:c r="N136" s="24" t="str">
        <x:v>elasmobranchii</x:v>
      </x:c>
      <x:c r="O136" s="32" t="n">
        <x:v>4.05</x:v>
      </x:c>
      <x:c r="P136" s="24" t="str">
        <x:v>exact_sea_around_us</x:v>
      </x:c>
      <x:c r="Q136" s="32" t="str">
        <x:v>Sea Around Us exploited organisms</x:v>
      </x:c>
      <x:c r="R136" s="24" t="str">
        <x:v>high</x:v>
      </x:c>
      <x:c r="S136" s="24" t="str">
        <x:v>Elasmobranchii</x:v>
      </x:c>
      <x:c r="T136" s="32" t="n">
        <x:f>IF(O136="","",(1/'Metadata'!$B$5)^(O136-1))</x:f>
        <x:v>1122.018454301963</x:v>
      </x:c>
      <x:c r="U136" s="31" t="n">
        <x:f>IF(T136="","",I136*T136)</x:f>
        <x:v>1088.5382260931908</x:v>
      </x:c>
    </x:row>
    <x:row r="137" ht="18" customHeight="1">
      <x:c r="A137" s="24" t="str">
        <x:v>EEZ_470</x:v>
      </x:c>
      <x:c r="B137" s="24" t="str">
        <x:v>Malta</x:v>
      </x:c>
      <x:c r="C137" s="24" t="str">
        <x:v>EEZ</x:v>
      </x:c>
      <x:c r="D137" s="30" t="n">
        <x:v>2019</x:v>
      </x:c>
      <x:c r="E137" s="24" t="str">
        <x:v>Capros aper</x:v>
      </x:c>
      <x:c r="F137" s="24" t="str">
        <x:v>Boarfish</x:v>
      </x:c>
      <x:c r="G137" s="24" t="str">
        <x:v>Small demersals (&lt;30 cm)</x:v>
      </x:c>
      <x:c r="H137" s="24" t="str">
        <x:v>Perch-likes</x:v>
      </x:c>
      <x:c r="I137" s="31" t="n">
        <x:v>0.8851117459</x:v>
      </x:c>
      <x:c r="J137" s="31" t="n">
        <x:v>0</x:v>
      </x:c>
      <x:c r="K137" s="31" t="n">
        <x:v>0.8851117459</x:v>
      </x:c>
      <x:c r="L137" s="31" t="n">
        <x:v>0</x:v>
      </x:c>
      <x:c r="M137" s="31" t="n">
        <x:v>0.8851117459</x:v>
      </x:c>
      <x:c r="N137" s="24" t="str">
        <x:v>capros aper</x:v>
      </x:c>
      <x:c r="O137" s="32" t="n">
        <x:v>3.14</x:v>
      </x:c>
      <x:c r="P137" s="24" t="str">
        <x:v>exact_2020_supplement</x:v>
      </x:c>
      <x:c r="Q137" s="32" t="str">
        <x:v>2020 supplement MeanTL</x:v>
      </x:c>
      <x:c r="R137" s="24" t="str">
        <x:v>high</x:v>
      </x:c>
      <x:c r="S137" s="24" t="str">
        <x:v>Capros aper</x:v>
      </x:c>
      <x:c r="T137" s="32" t="n">
        <x:f>IF(O137="","",(1/'Metadata'!$B$5)^(O137-1))</x:f>
        <x:v>138.03842646028852</x:v>
      </x:c>
      <x:c r="U137" s="31" t="n">
        <x:f>IF(T137="","",I137*T137)</x:f>
        <x:v>122.17943264555473</x:v>
      </x:c>
    </x:row>
    <x:row r="138" ht="18" customHeight="1">
      <x:c r="A138" s="24" t="str">
        <x:v>EEZ_470</x:v>
      </x:c>
      <x:c r="B138" s="24" t="str">
        <x:v>Malta</x:v>
      </x:c>
      <x:c r="C138" s="24" t="str">
        <x:v>EEZ</x:v>
      </x:c>
      <x:c r="D138" s="30" t="n">
        <x:v>2019</x:v>
      </x:c>
      <x:c r="E138" s="24" t="str">
        <x:v>Trachinus draco</x:v>
      </x:c>
      <x:c r="F138" s="24" t="str">
        <x:v>Greater weever</x:v>
      </x:c>
      <x:c r="G138" s="24" t="str">
        <x:v>Medium demersals (30 - 89 cm)</x:v>
      </x:c>
      <x:c r="H138" s="24" t="str">
        <x:v>Perch-likes</x:v>
      </x:c>
      <x:c r="I138" s="31" t="n">
        <x:v>0.8498067194</x:v>
      </x:c>
      <x:c r="J138" s="31" t="n">
        <x:v>0.8498067194</x:v>
      </x:c>
      <x:c r="K138" s="31" t="n">
        <x:v>0</x:v>
      </x:c>
      <x:c r="L138" s="31" t="n">
        <x:v>0.7000000000000001</x:v>
      </x:c>
      <x:c r="M138" s="31" t="n">
        <x:v>0.1498067194</x:v>
      </x:c>
      <x:c r="N138" s="24" t="str">
        <x:v>trachinus draco</x:v>
      </x:c>
      <x:c r="O138" s="32" t="n">
        <x:v>4.18</x:v>
      </x:c>
      <x:c r="P138" s="24" t="str">
        <x:v>exact_2020_supplement</x:v>
      </x:c>
      <x:c r="Q138" s="32" t="str">
        <x:v>2020 supplement MeanTL</x:v>
      </x:c>
      <x:c r="R138" s="24" t="str">
        <x:v>high</x:v>
      </x:c>
      <x:c r="S138" s="24" t="str">
        <x:v>Trachinus draco</x:v>
      </x:c>
      <x:c r="T138" s="32" t="n">
        <x:f>IF(O138="","",(1/'Metadata'!$B$5)^(O138-1))</x:f>
        <x:v>1513.5612484362073</x:v>
      </x:c>
      <x:c r="U138" s="31" t="n">
        <x:f>IF(T138="","",I138*T138)</x:f>
        <x:v>1286.2345191445415</x:v>
      </x:c>
    </x:row>
    <x:row r="139" ht="18" customHeight="1">
      <x:c r="A139" s="24" t="str">
        <x:v>EEZ_470</x:v>
      </x:c>
      <x:c r="B139" s="24" t="str">
        <x:v>Malta</x:v>
      </x:c>
      <x:c r="C139" s="24" t="str">
        <x:v>EEZ</x:v>
      </x:c>
      <x:c r="D139" s="30" t="n">
        <x:v>2019</x:v>
      </x:c>
      <x:c r="E139" s="24" t="str">
        <x:v>Diplodus annularis</x:v>
      </x:c>
      <x:c r="F139" s="24" t="str">
        <x:v>Annular seabream</x:v>
      </x:c>
      <x:c r="G139" s="24" t="str">
        <x:v>Small benthopelagics (&lt;30 cm)</x:v>
      </x:c>
      <x:c r="H139" s="24" t="str">
        <x:v>Perch-likes</x:v>
      </x:c>
      <x:c r="I139" s="31" t="n">
        <x:v>0.8438794821</x:v>
      </x:c>
      <x:c r="J139" s="31" t="n">
        <x:v>0.8438794821</x:v>
      </x:c>
      <x:c r="K139" s="31" t="n">
        <x:v>0</x:v>
      </x:c>
      <x:c r="L139" s="31" t="n">
        <x:v>0.54</x:v>
      </x:c>
      <x:c r="M139" s="31" t="n">
        <x:v>0.3038794821</x:v>
      </x:c>
      <x:c r="N139" s="24" t="str">
        <x:v>diplodus annularis</x:v>
      </x:c>
      <x:c r="O139" s="32" t="n">
        <x:v>3.64</x:v>
      </x:c>
      <x:c r="P139" s="24" t="str">
        <x:v>exact_2020_supplement</x:v>
      </x:c>
      <x:c r="Q139" s="32" t="str">
        <x:v>2020 supplement MeanTL</x:v>
      </x:c>
      <x:c r="R139" s="24" t="str">
        <x:v>high</x:v>
      </x:c>
      <x:c r="S139" s="24" t="str">
        <x:v>Diplodus annularis</x:v>
      </x:c>
      <x:c r="T139" s="32" t="n">
        <x:f>IF(O139="","",(1/'Metadata'!$B$5)^(O139-1))</x:f>
        <x:v>436.5158322401661</x:v>
      </x:c>
      <x:c r="U139" s="31" t="n">
        <x:f>IF(T139="","",I139*T139)</x:f>
        <x:v>368.36675443928186</x:v>
      </x:c>
    </x:row>
    <x:row r="140" ht="18" customHeight="1">
      <x:c r="A140" s="24" t="str">
        <x:v>EEZ_470</x:v>
      </x:c>
      <x:c r="B140" s="24" t="str">
        <x:v>Malta</x:v>
      </x:c>
      <x:c r="C140" s="24" t="str">
        <x:v>EEZ</x:v>
      </x:c>
      <x:c r="D140" s="30" t="n">
        <x:v>2019</x:v>
      </x:c>
      <x:c r="E140" s="24" t="str">
        <x:v>Phycis</x:v>
      </x:c>
      <x:c r="F140" s="24" t="str">
        <x:v>Gunnels, forkbeards</x:v>
      </x:c>
      <x:c r="G140" s="24" t="str">
        <x:v>Medium benthopelagics (30 - 89 cm)</x:v>
      </x:c>
      <x:c r="H140" s="24" t="str">
        <x:v>Cod-likes</x:v>
      </x:c>
      <x:c r="I140" s="31" t="n">
        <x:v>0.8306375185</x:v>
      </x:c>
      <x:c r="J140" s="31" t="n">
        <x:v>0.8306375185</x:v>
      </x:c>
      <x:c r="K140" s="31" t="n">
        <x:v>0</x:v>
      </x:c>
      <x:c r="L140" s="31" t="n">
        <x:v>0</x:v>
      </x:c>
      <x:c r="M140" s="31" t="n">
        <x:v>0.8306375185</x:v>
      </x:c>
      <x:c r="N140" s="24" t="str">
        <x:v>phycis</x:v>
      </x:c>
      <x:c r="O140" s="32" t="n">
        <x:v>3.99</x:v>
      </x:c>
      <x:c r="P140" s="24" t="str">
        <x:v>exact_sea_around_us</x:v>
      </x:c>
      <x:c r="Q140" s="32" t="str">
        <x:v>Sea Around Us exploited organisms</x:v>
      </x:c>
      <x:c r="R140" s="24" t="str">
        <x:v>high</x:v>
      </x:c>
      <x:c r="S140" s="24" t="str">
        <x:v>Phycis</x:v>
      </x:c>
      <x:c r="T140" s="32" t="n">
        <x:f>IF(O140="","",(1/'Metadata'!$B$5)^(O140-1))</x:f>
        <x:v>977.2372209558112</x:v>
      </x:c>
      <x:c r="U140" s="31" t="n">
        <x:f>IF(T140="","",I140*T140)</x:f>
        <x:v>811.7299002005711</x:v>
      </x:c>
    </x:row>
    <x:row r="141" ht="18" customHeight="1">
      <x:c r="A141" s="24" t="str">
        <x:v>EEZ_470</x:v>
      </x:c>
      <x:c r="B141" s="24" t="str">
        <x:v>Malta</x:v>
      </x:c>
      <x:c r="C141" s="24" t="str">
        <x:v>EEZ</x:v>
      </x:c>
      <x:c r="D141" s="30" t="n">
        <x:v>2019</x:v>
      </x:c>
      <x:c r="E141" s="24" t="str">
        <x:v>Aphia minuta</x:v>
      </x:c>
      <x:c r="F141" s="24" t="str">
        <x:v>Transparent goby</x:v>
      </x:c>
      <x:c r="G141" s="24" t="str">
        <x:v>Small demersals (&lt;30 cm)</x:v>
      </x:c>
      <x:c r="H141" s="24" t="str">
        <x:v>Perch-likes</x:v>
      </x:c>
      <x:c r="I141" s="31" t="n">
        <x:v>0.8216875925</x:v>
      </x:c>
      <x:c r="J141" s="31" t="n">
        <x:v>0.8216875925</x:v>
      </x:c>
      <x:c r="K141" s="31" t="n">
        <x:v>0</x:v>
      </x:c>
      <x:c r="L141" s="31" t="n">
        <x:v>0.8099999999999999</x:v>
      </x:c>
      <x:c r="M141" s="31" t="n">
        <x:v>0.0116875925</x:v>
      </x:c>
      <x:c r="N141" s="24" t="str">
        <x:v>aphia minuta</x:v>
      </x:c>
      <x:c r="O141" s="32" t="n">
        <x:v>3.1</x:v>
      </x:c>
      <x:c r="P141" s="24" t="str">
        <x:v>exact_2020_supplement</x:v>
      </x:c>
      <x:c r="Q141" s="32" t="str">
        <x:v>2020 supplement MeanTL</x:v>
      </x:c>
      <x:c r="R141" s="24" t="str">
        <x:v>high</x:v>
      </x:c>
      <x:c r="S141" s="24" t="str">
        <x:v>Aphia minuta</x:v>
      </x:c>
      <x:c r="T141" s="32" t="n">
        <x:f>IF(O141="","",(1/'Metadata'!$B$5)^(O141-1))</x:f>
        <x:v>125.89254117941675</x:v>
      </x:c>
      <x:c r="U141" s="31" t="n">
        <x:f>IF(T141="","",I141*T141)</x:f>
        <x:v>103.44433907542206</x:v>
      </x:c>
    </x:row>
    <x:row r="142" ht="18" customHeight="1">
      <x:c r="A142" s="24" t="str">
        <x:v>EEZ_470</x:v>
      </x:c>
      <x:c r="B142" s="24" t="str">
        <x:v>Malta</x:v>
      </x:c>
      <x:c r="C142" s="24" t="str">
        <x:v>EEZ</x:v>
      </x:c>
      <x:c r="D142" s="30" t="n">
        <x:v>2019</x:v>
      </x:c>
      <x:c r="E142" s="24" t="str">
        <x:v>Dipturus oxyrinchus</x:v>
      </x:c>
      <x:c r="F142" s="24" t="str">
        <x:v>Longnosed skate</x:v>
      </x:c>
      <x:c r="G142" s="24" t="str">
        <x:v>Large rays (&gt;=90 cm)</x:v>
      </x:c>
      <x:c r="H142" s="24" t="str">
        <x:v>Sharks &amp; rays</x:v>
      </x:c>
      <x:c r="I142" s="31" t="n">
        <x:v>0.7953194835999999</x:v>
      </x:c>
      <x:c r="J142" s="31" t="n">
        <x:v>0.74</x:v>
      </x:c>
      <x:c r="K142" s="31" t="n">
        <x:v>0.0553194836</x:v>
      </x:c>
      <x:c r="L142" s="31" t="n">
        <x:v>0.74</x:v>
      </x:c>
      <x:c r="M142" s="31" t="n">
        <x:v>0.0553194836</x:v>
      </x:c>
      <x:c r="N142" s="24" t="str">
        <x:v>dipturus oxyrinchus</x:v>
      </x:c>
      <x:c r="O142" s="32" t="n">
        <x:v>3.5</x:v>
      </x:c>
      <x:c r="P142" s="24" t="str">
        <x:v>exact_2020_supplement</x:v>
      </x:c>
      <x:c r="Q142" s="32" t="str">
        <x:v>2020 supplement MeanTL</x:v>
      </x:c>
      <x:c r="R142" s="24" t="str">
        <x:v>high</x:v>
      </x:c>
      <x:c r="S142" s="24" t="str">
        <x:v>Dipturus oxyrinchus</x:v>
      </x:c>
      <x:c r="T142" s="32" t="n">
        <x:f>IF(O142="","",(1/'Metadata'!$B$5)^(O142-1))</x:f>
        <x:v>316.22776601683796</x:v>
      </x:c>
      <x:c r="U142" s="31" t="n">
        <x:f>IF(T142="","",I142*T142)</x:f>
        <x:v>251.50210356849317</x:v>
      </x:c>
    </x:row>
    <x:row r="143" ht="18" customHeight="1">
      <x:c r="A143" s="24" t="str">
        <x:v>EEZ_470</x:v>
      </x:c>
      <x:c r="B143" s="24" t="str">
        <x:v>Malta</x:v>
      </x:c>
      <x:c r="C143" s="24" t="str">
        <x:v>EEZ</x:v>
      </x:c>
      <x:c r="D143" s="30" t="n">
        <x:v>2019</x:v>
      </x:c>
      <x:c r="E143" s="24" t="str">
        <x:v>Rostroraja alba</x:v>
      </x:c>
      <x:c r="F143" s="24" t="str">
        <x:v>White skate</x:v>
      </x:c>
      <x:c r="G143" s="24" t="str">
        <x:v>Large rays (&gt;=90 cm)</x:v>
      </x:c>
      <x:c r="H143" s="24" t="str">
        <x:v>Sharks &amp; rays</x:v>
      </x:c>
      <x:c r="I143" s="31" t="n">
        <x:v>0.7276096281</x:v>
      </x:c>
      <x:c r="J143" s="31" t="n">
        <x:v>0.7276096281</x:v>
      </x:c>
      <x:c r="K143" s="31" t="n">
        <x:v>0</x:v>
      </x:c>
      <x:c r="L143" s="31" t="n">
        <x:v>0.20304344700000002</x:v>
      </x:c>
      <x:c r="M143" s="31" t="n">
        <x:v>0.5245661811</x:v>
      </x:c>
      <x:c r="N143" s="24" t="str">
        <x:v>rostroraja alba</x:v>
      </x:c>
      <x:c r="O143" s="32" t="n">
        <x:v>4.41</x:v>
      </x:c>
      <x:c r="P143" s="24" t="str">
        <x:v>exact_2020_supplement</x:v>
      </x:c>
      <x:c r="Q143" s="32" t="str">
        <x:v>2020 supplement MeanTL</x:v>
      </x:c>
      <x:c r="R143" s="24" t="str">
        <x:v>high</x:v>
      </x:c>
      <x:c r="S143" s="24" t="str">
        <x:v>Rostroraja alba</x:v>
      </x:c>
      <x:c r="T143" s="32" t="n">
        <x:f>IF(O143="","",(1/'Metadata'!$B$5)^(O143-1))</x:f>
        <x:v>2570.3957827688646</x:v>
      </x:c>
      <x:c r="U143" s="31" t="n">
        <x:f>IF(T143="","",I143*T143)</x:f>
        <x:v>1870.2447195702619</x:v>
      </x:c>
    </x:row>
    <x:row r="144" ht="18" customHeight="1">
      <x:c r="A144" s="24" t="str">
        <x:v>EEZ_470</x:v>
      </x:c>
      <x:c r="B144" s="24" t="str">
        <x:v>Malta</x:v>
      </x:c>
      <x:c r="C144" s="24" t="str">
        <x:v>EEZ</x:v>
      </x:c>
      <x:c r="D144" s="30" t="n">
        <x:v>2019</x:v>
      </x:c>
      <x:c r="E144" s="24" t="str">
        <x:v>Citharus linguatula</x:v>
      </x:c>
      <x:c r="F144" s="24" t="str">
        <x:v>Spotted flounder</x:v>
      </x:c>
      <x:c r="G144" s="24" t="str">
        <x:v>Small to medium flatfishes (&lt;90 cm)</x:v>
      </x:c>
      <x:c r="H144" s="24" t="str">
        <x:v>Flatfishes</x:v>
      </x:c>
      <x:c r="I144" s="31" t="n">
        <x:v>0.7191532932</x:v>
      </x:c>
      <x:c r="J144" s="31" t="n">
        <x:v>0</x:v>
      </x:c>
      <x:c r="K144" s="31" t="n">
        <x:v>0.7191532932</x:v>
      </x:c>
      <x:c r="L144" s="31" t="n">
        <x:v>0</x:v>
      </x:c>
      <x:c r="M144" s="31" t="n">
        <x:v>0.7191532932</x:v>
      </x:c>
      <x:c r="N144" s="24" t="str">
        <x:v>citharus linguatula</x:v>
      </x:c>
      <x:c r="O144" s="32" t="n">
        <x:v>3.97</x:v>
      </x:c>
      <x:c r="P144" s="24" t="str">
        <x:v>exact_2020_supplement</x:v>
      </x:c>
      <x:c r="Q144" s="32" t="str">
        <x:v>2020 supplement MeanTL</x:v>
      </x:c>
      <x:c r="R144" s="24" t="str">
        <x:v>high</x:v>
      </x:c>
      <x:c r="S144" s="24" t="str">
        <x:v>Citharus linguatula</x:v>
      </x:c>
      <x:c r="T144" s="32" t="n">
        <x:f>IF(O144="","",(1/'Metadata'!$B$5)^(O144-1))</x:f>
        <x:v>933.2543007969915</x:v>
      </x:c>
      <x:c r="U144" s="31" t="n">
        <x:f>IF(T144="","",I144*T144)</x:f>
        <x:v>671.1529038112199</x:v>
      </x:c>
    </x:row>
    <x:row r="145" ht="18" customHeight="1">
      <x:c r="A145" s="24" t="str">
        <x:v>EEZ_470</x:v>
      </x:c>
      <x:c r="B145" s="24" t="str">
        <x:v>Malta</x:v>
      </x:c>
      <x:c r="C145" s="24" t="str">
        <x:v>EEZ</x:v>
      </x:c>
      <x:c r="D145" s="30" t="n">
        <x:v>2019</x:v>
      </x:c>
      <x:c r="E145" s="24" t="str">
        <x:v>Zeidae</x:v>
      </x:c>
      <x:c r="F145" s="24" t="str">
        <x:v>Dories</x:v>
      </x:c>
      <x:c r="G145" s="24" t="str">
        <x:v>Medium bathydemersals (30 - 89 cm)</x:v>
      </x:c>
      <x:c r="H145" s="24" t="str">
        <x:v>Other fishes &amp; inverts</x:v>
      </x:c>
      <x:c r="I145" s="31" t="n">
        <x:v>0.718663397</x:v>
      </x:c>
      <x:c r="J145" s="31" t="n">
        <x:v>0.718663397</x:v>
      </x:c>
      <x:c r="K145" s="31" t="n">
        <x:v>0</x:v>
      </x:c>
      <x:c r="L145" s="31" t="n">
        <x:v>0</x:v>
      </x:c>
      <x:c r="M145" s="31" t="n">
        <x:v>0.718663397</x:v>
      </x:c>
      <x:c r="N145" s="24" t="str">
        <x:v>zeidae</x:v>
      </x:c>
      <x:c r="O145" s="32" t="n">
        <x:v>4.49</x:v>
      </x:c>
      <x:c r="P145" s="24" t="str">
        <x:v>exact_sea_around_us</x:v>
      </x:c>
      <x:c r="Q145" s="32" t="str">
        <x:v>Sea Around Us exploited organisms</x:v>
      </x:c>
      <x:c r="R145" s="24" t="str">
        <x:v>high</x:v>
      </x:c>
      <x:c r="S145" s="24" t="str">
        <x:v>Zeidae</x:v>
      </x:c>
      <x:c r="T145" s="32" t="n">
        <x:f>IF(O145="","",(1/'Metadata'!$B$5)^(O145-1))</x:f>
        <x:v>3090.295432513592</x:v>
      </x:c>
      <x:c r="U145" s="31" t="n">
        <x:f>IF(T145="","",I145*T145)</x:f>
        <x:v>2220.8822132638024</x:v>
      </x:c>
    </x:row>
    <x:row r="146" ht="18" customHeight="1">
      <x:c r="A146" s="24" t="str">
        <x:v>EEZ_470</x:v>
      </x:c>
      <x:c r="B146" s="24" t="str">
        <x:v>Malta</x:v>
      </x:c>
      <x:c r="C146" s="24" t="str">
        <x:v>EEZ</x:v>
      </x:c>
      <x:c r="D146" s="30" t="n">
        <x:v>2019</x:v>
      </x:c>
      <x:c r="E146" s="24" t="str">
        <x:v>Congridae</x:v>
      </x:c>
      <x:c r="F146" s="24" t="str">
        <x:v>Conger, garden eels</x:v>
      </x:c>
      <x:c r="G146" s="24" t="str">
        <x:v>Large demersals (&gt;=90 cm)</x:v>
      </x:c>
      <x:c r="H146" s="24" t="str">
        <x:v>Other fishes &amp; inverts</x:v>
      </x:c>
      <x:c r="I146" s="31" t="n">
        <x:v>0.6960943804</x:v>
      </x:c>
      <x:c r="J146" s="31" t="n">
        <x:v>0.6960943804</x:v>
      </x:c>
      <x:c r="K146" s="31" t="n">
        <x:v>0</x:v>
      </x:c>
      <x:c r="L146" s="31" t="n">
        <x:v>0</x:v>
      </x:c>
      <x:c r="M146" s="31" t="n">
        <x:v>0.6960943804</x:v>
      </x:c>
      <x:c r="N146" s="24" t="str">
        <x:v>congridae</x:v>
      </x:c>
      <x:c r="O146" s="32" t="n">
        <x:v>4.18</x:v>
      </x:c>
      <x:c r="P146" s="24" t="str">
        <x:v>exact_sea_around_us</x:v>
      </x:c>
      <x:c r="Q146" s="32" t="str">
        <x:v>Sea Around Us exploited organisms</x:v>
      </x:c>
      <x:c r="R146" s="24" t="str">
        <x:v>high</x:v>
      </x:c>
      <x:c r="S146" s="24" t="str">
        <x:v>Congridae</x:v>
      </x:c>
      <x:c r="T146" s="32" t="n">
        <x:f>IF(O146="","",(1/'Metadata'!$B$5)^(O146-1))</x:f>
        <x:v>1513.5612484362073</x:v>
      </x:c>
      <x:c r="U146" s="31" t="n">
        <x:f>IF(T146="","",I146*T146)</x:f>
        <x:v>1053.5814794276523</x:v>
      </x:c>
    </x:row>
    <x:row r="147" ht="18" customHeight="1">
      <x:c r="A147" s="24" t="str">
        <x:v>EEZ_470</x:v>
      </x:c>
      <x:c r="B147" s="24" t="str">
        <x:v>Malta</x:v>
      </x:c>
      <x:c r="C147" s="24" t="str">
        <x:v>EEZ</x:v>
      </x:c>
      <x:c r="D147" s="30" t="n">
        <x:v>2019</x:v>
      </x:c>
      <x:c r="E147" s="24" t="str">
        <x:v>Diplodus vulgaris</x:v>
      </x:c>
      <x:c r="F147" s="24" t="str">
        <x:v>Common two-banded seabream</x:v>
      </x:c>
      <x:c r="G147" s="24" t="str">
        <x:v>Medium benthopelagics (30 - 89 cm)</x:v>
      </x:c>
      <x:c r="H147" s="24" t="str">
        <x:v>Perch-likes</x:v>
      </x:c>
      <x:c r="I147" s="31" t="n">
        <x:v>0.6946242665</x:v>
      </x:c>
      <x:c r="J147" s="31" t="n">
        <x:v>0.6946242665</x:v>
      </x:c>
      <x:c r="K147" s="31" t="n">
        <x:v>0</x:v>
      </x:c>
      <x:c r="L147" s="31" t="n">
        <x:v>0.65</x:v>
      </x:c>
      <x:c r="M147" s="31" t="n">
        <x:v>0.0446242665</x:v>
      </x:c>
      <x:c r="N147" s="24" t="str">
        <x:v>diplodus vulgaris</x:v>
      </x:c>
      <x:c r="O147" s="32" t="n">
        <x:v>3.52</x:v>
      </x:c>
      <x:c r="P147" s="24" t="str">
        <x:v>exact_2020_supplement</x:v>
      </x:c>
      <x:c r="Q147" s="32" t="str">
        <x:v>2020 supplement MeanTL</x:v>
      </x:c>
      <x:c r="R147" s="24" t="str">
        <x:v>high</x:v>
      </x:c>
      <x:c r="S147" s="24" t="str">
        <x:v>Diplodus vulgaris</x:v>
      </x:c>
      <x:c r="T147" s="32" t="n">
        <x:f>IF(O147="","",(1/'Metadata'!$B$5)^(O147-1))</x:f>
        <x:v>331.1311214825911</x:v>
      </x:c>
      <x:c r="U147" s="31" t="n">
        <x:f>IF(T147="","",I147*T147)</x:f>
        <x:v>230.0117123751672</x:v>
      </x:c>
    </x:row>
    <x:row r="148" ht="18" customHeight="1">
      <x:c r="A148" s="24" t="str">
        <x:v>EEZ_470</x:v>
      </x:c>
      <x:c r="B148" s="24" t="str">
        <x:v>Malta</x:v>
      </x:c>
      <x:c r="C148" s="24" t="str">
        <x:v>EEZ</x:v>
      </x:c>
      <x:c r="D148" s="30" t="n">
        <x:v>2019</x:v>
      </x:c>
      <x:c r="E148" s="24" t="str">
        <x:v>Tetrapturus belone</x:v>
      </x:c>
      <x:c r="F148" s="24" t="str">
        <x:v>Mediterranean spearfish</x:v>
      </x:c>
      <x:c r="G148" s="24" t="str">
        <x:v>Large pelagics (&gt;=90 cm)</x:v>
      </x:c>
      <x:c r="H148" s="24" t="str">
        <x:v>Tuna &amp; billfishes</x:v>
      </x:c>
      <x:c r="I148" s="31" t="n">
        <x:v>0.6799446317</x:v>
      </x:c>
      <x:c r="J148" s="31" t="n">
        <x:v>0.6799446317</x:v>
      </x:c>
      <x:c r="K148" s="31" t="n">
        <x:v>0</x:v>
      </x:c>
      <x:c r="L148" s="31" t="n">
        <x:v>0.5985155115</x:v>
      </x:c>
      <x:c r="M148" s="31" t="n">
        <x:v>0.0814291202</x:v>
      </x:c>
      <x:c r="N148" s="24" t="str">
        <x:v>tetrapturus belone</x:v>
      </x:c>
      <x:c r="O148" s="32" t="n">
        <x:v>4.5</x:v>
      </x:c>
      <x:c r="P148" s="24" t="str">
        <x:v>exact_2020_supplement</x:v>
      </x:c>
      <x:c r="Q148" s="32" t="str">
        <x:v>2020 supplement MeanTL</x:v>
      </x:c>
      <x:c r="R148" s="24" t="str">
        <x:v>high</x:v>
      </x:c>
      <x:c r="S148" s="24" t="str">
        <x:v>Tetrapturus belone</x:v>
      </x:c>
      <x:c r="T148" s="32" t="n">
        <x:f>IF(O148="","",(1/'Metadata'!$B$5)^(O148-1))</x:f>
        <x:v>3162.2776601683795</x:v>
      </x:c>
      <x:c r="U148" s="31" t="n">
        <x:f>IF(T148="","",I148*T148)</x:f>
        <x:v>2150.1737189763267</x:v>
      </x:c>
    </x:row>
    <x:row r="149" ht="18" customHeight="1">
      <x:c r="A149" s="24" t="str">
        <x:v>EEZ_470</x:v>
      </x:c>
      <x:c r="B149" s="24" t="str">
        <x:v>Malta</x:v>
      </x:c>
      <x:c r="C149" s="24" t="str">
        <x:v>EEZ</x:v>
      </x:c>
      <x:c r="D149" s="30" t="n">
        <x:v>2019</x:v>
      </x:c>
      <x:c r="E149" s="24" t="str">
        <x:v>Ommastrephidae</x:v>
      </x:c>
      <x:c r="F149" s="24" t="str">
        <x:v>Arrow squids</x:v>
      </x:c>
      <x:c r="G149" s="24" t="str">
        <x:v>Cephalopods</x:v>
      </x:c>
      <x:c r="H149" s="24" t="str">
        <x:v>Other fishes &amp; inverts</x:v>
      </x:c>
      <x:c r="I149" s="31" t="n">
        <x:v>0.6667793519</x:v>
      </x:c>
      <x:c r="J149" s="31" t="n">
        <x:v>0.6667793519</x:v>
      </x:c>
      <x:c r="K149" s="31" t="n">
        <x:v>0</x:v>
      </x:c>
      <x:c r="L149" s="31" t="n">
        <x:v>0.043801211</x:v>
      </x:c>
      <x:c r="M149" s="31" t="n">
        <x:v>0.6229781409</x:v>
      </x:c>
      <x:c r="N149" s="24" t="str">
        <x:v>ommastrephidae</x:v>
      </x:c>
      <x:c r="O149" s="32" t="n">
        <x:v>4.09</x:v>
      </x:c>
      <x:c r="P149" s="24" t="str">
        <x:v>exact_sea_around_us</x:v>
      </x:c>
      <x:c r="Q149" s="32" t="str">
        <x:v>Sea Around Us exploited organisms</x:v>
      </x:c>
      <x:c r="R149" s="24" t="str">
        <x:v>high</x:v>
      </x:c>
      <x:c r="S149" s="24" t="str">
        <x:v>Ommastrephidae</x:v>
      </x:c>
      <x:c r="T149" s="32" t="n">
        <x:f>IF(O149="","",(1/'Metadata'!$B$5)^(O149-1))</x:f>
        <x:v>1230.268770812381</x:v>
      </x:c>
      <x:c r="U149" s="31" t="n">
        <x:f>IF(T149="","",I149*T149)</x:f>
        <x:v>820.3178136650891</x:v>
      </x:c>
    </x:row>
    <x:row r="150" ht="18" customHeight="1">
      <x:c r="A150" s="24" t="str">
        <x:v>EEZ_470</x:v>
      </x:c>
      <x:c r="B150" s="24" t="str">
        <x:v>Malta</x:v>
      </x:c>
      <x:c r="C150" s="24" t="str">
        <x:v>EEZ</x:v>
      </x:c>
      <x:c r="D150" s="30" t="n">
        <x:v>2019</x:v>
      </x:c>
      <x:c r="E150" s="24" t="str">
        <x:v>Epinephelus marginatus</x:v>
      </x:c>
      <x:c r="F150" s="24" t="str">
        <x:v>Dusky grouper</x:v>
      </x:c>
      <x:c r="G150" s="24" t="str">
        <x:v>Large reef assoc. fish (&gt;=90 cm)</x:v>
      </x:c>
      <x:c r="H150" s="24" t="str">
        <x:v>Perch-likes</x:v>
      </x:c>
      <x:c r="I150" s="31" t="n">
        <x:v>0.66</x:v>
      </x:c>
      <x:c r="J150" s="31" t="n">
        <x:v>0.66</x:v>
      </x:c>
      <x:c r="K150" s="31" t="n">
        <x:v>0</x:v>
      </x:c>
      <x:c r="L150" s="31" t="n">
        <x:v>0.66</x:v>
      </x:c>
      <x:c r="M150" s="31" t="n">
        <x:v>0</x:v>
      </x:c>
      <x:c r="N150" s="24" t="str">
        <x:v>epinephelus marginatus</x:v>
      </x:c>
      <x:c r="O150" s="32" t="n">
        <x:v>4.43</x:v>
      </x:c>
      <x:c r="P150" s="24" t="str">
        <x:v>exact_2020_supplement</x:v>
      </x:c>
      <x:c r="Q150" s="32" t="str">
        <x:v>2020 supplement MeanTL</x:v>
      </x:c>
      <x:c r="R150" s="24" t="str">
        <x:v>high</x:v>
      </x:c>
      <x:c r="S150" s="24" t="str">
        <x:v>Epinephelus marginatus</x:v>
      </x:c>
      <x:c r="T150" s="32" t="n">
        <x:f>IF(O150="","",(1/'Metadata'!$B$5)^(O150-1))</x:f>
        <x:v>2691.534803926914</x:v>
      </x:c>
      <x:c r="U150" s="31" t="n">
        <x:f>IF(T150="","",I150*T150)</x:f>
        <x:v>1776.4129705917633</x:v>
      </x:c>
    </x:row>
    <x:row r="151" ht="18" customHeight="1">
      <x:c r="A151" s="24" t="str">
        <x:v>EEZ_470</x:v>
      </x:c>
      <x:c r="B151" s="24" t="str">
        <x:v>Malta</x:v>
      </x:c>
      <x:c r="C151" s="24" t="str">
        <x:v>EEZ</x:v>
      </x:c>
      <x:c r="D151" s="30" t="n">
        <x:v>2019</x:v>
      </x:c>
      <x:c r="E151" s="24" t="str">
        <x:v>Mugilidae</x:v>
      </x:c>
      <x:c r="F151" s="24" t="str">
        <x:v>Mullets, grey mullets</x:v>
      </x:c>
      <x:c r="G151" s="24" t="str">
        <x:v>Medium reef assoc. fish (30 - 89 cm)</x:v>
      </x:c>
      <x:c r="H151" s="24" t="str">
        <x:v>Perch-likes</x:v>
      </x:c>
      <x:c r="I151" s="31" t="n">
        <x:v>0.6503044139</x:v>
      </x:c>
      <x:c r="J151" s="31" t="n">
        <x:v>0.6503044139</x:v>
      </x:c>
      <x:c r="K151" s="31" t="n">
        <x:v>0</x:v>
      </x:c>
      <x:c r="L151" s="31" t="n">
        <x:v>0.47</x:v>
      </x:c>
      <x:c r="M151" s="31" t="n">
        <x:v>0.18030441390000002</x:v>
      </x:c>
      <x:c r="N151" s="24" t="str">
        <x:v>mugilidae</x:v>
      </x:c>
      <x:c r="O151" s="32" t="n">
        <x:v>2.53</x:v>
      </x:c>
      <x:c r="P151" s="24" t="str">
        <x:v>exact_sea_around_us</x:v>
      </x:c>
      <x:c r="Q151" s="32" t="str">
        <x:v>Sea Around Us exploited organisms</x:v>
      </x:c>
      <x:c r="R151" s="24" t="str">
        <x:v>high</x:v>
      </x:c>
      <x:c r="S151" s="24" t="str">
        <x:v>Mugilidae</x:v>
      </x:c>
      <x:c r="T151" s="32" t="n">
        <x:f>IF(O151="","",(1/'Metadata'!$B$5)^(O151-1))</x:f>
        <x:v>33.88441561392024</x:v>
      </x:c>
      <x:c r="U151" s="31" t="n">
        <x:f>IF(T151="","",I151*T151)</x:f>
        <x:v>22.035185036154413</x:v>
      </x:c>
    </x:row>
    <x:row r="152" ht="18" customHeight="1">
      <x:c r="A152" s="24" t="str">
        <x:v>EEZ_470</x:v>
      </x:c>
      <x:c r="B152" s="24" t="str">
        <x:v>Malta</x:v>
      </x:c>
      <x:c r="C152" s="24" t="str">
        <x:v>EEZ</x:v>
      </x:c>
      <x:c r="D152" s="30" t="n">
        <x:v>2019</x:v>
      </x:c>
      <x:c r="E152" s="24" t="str">
        <x:v>Muraenidae</x:v>
      </x:c>
      <x:c r="F152" s="24" t="str">
        <x:v>Moray eels</x:v>
      </x:c>
      <x:c r="G152" s="24" t="str">
        <x:v>Large reef assoc. fish (&gt;=90 cm)</x:v>
      </x:c>
      <x:c r="H152" s="24" t="str">
        <x:v>Other fishes &amp; inverts</x:v>
      </x:c>
      <x:c r="I152" s="31" t="n">
        <x:v>0.6437440861</x:v>
      </x:c>
      <x:c r="J152" s="31" t="n">
        <x:v>0.6437440861</x:v>
      </x:c>
      <x:c r="K152" s="31" t="n">
        <x:v>0</x:v>
      </x:c>
      <x:c r="L152" s="31" t="n">
        <x:v>0</x:v>
      </x:c>
      <x:c r="M152" s="31" t="n">
        <x:v>0.6437440861</x:v>
      </x:c>
      <x:c r="N152" s="24" t="str">
        <x:v>muraenidae</x:v>
      </x:c>
      <x:c r="O152" s="32" t="n">
        <x:v>4.07</x:v>
      </x:c>
      <x:c r="P152" s="24" t="str">
        <x:v>exact_sea_around_us</x:v>
      </x:c>
      <x:c r="Q152" s="32" t="str">
        <x:v>Sea Around Us exploited organisms</x:v>
      </x:c>
      <x:c r="R152" s="24" t="str">
        <x:v>high</x:v>
      </x:c>
      <x:c r="S152" s="24" t="str">
        <x:v>Muraenidae</x:v>
      </x:c>
      <x:c r="T152" s="32" t="n">
        <x:f>IF(O152="","",(1/'Metadata'!$B$5)^(O152-1))</x:f>
        <x:v>1174.8975549395302</x:v>
      </x:c>
      <x:c r="U152" s="31" t="n">
        <x:f>IF(T152="","",I152*T152)</x:f>
        <x:v>756.3333527656724</x:v>
      </x:c>
    </x:row>
    <x:row r="153" ht="18" customHeight="1">
      <x:c r="A153" s="24" t="str">
        <x:v>EEZ_470</x:v>
      </x:c>
      <x:c r="B153" s="24" t="str">
        <x:v>Malta</x:v>
      </x:c>
      <x:c r="C153" s="24" t="str">
        <x:v>EEZ</x:v>
      </x:c>
      <x:c r="D153" s="30" t="n">
        <x:v>2019</x:v>
      </x:c>
      <x:c r="E153" s="24" t="str">
        <x:v>Triakidae</x:v>
      </x:c>
      <x:c r="F153" s="24" t="str">
        <x:v>Houndsharks</x:v>
      </x:c>
      <x:c r="G153" s="24" t="str">
        <x:v>Large sharks (&gt;=90 cm)</x:v>
      </x:c>
      <x:c r="H153" s="24" t="str">
        <x:v>Sharks &amp; rays</x:v>
      </x:c>
      <x:c r="I153" s="31" t="n">
        <x:v>0.6306370708999999</x:v>
      </x:c>
      <x:c r="J153" s="31" t="n">
        <x:v>0.6306370708999999</x:v>
      </x:c>
      <x:c r="K153" s="31" t="n">
        <x:v>0</x:v>
      </x:c>
      <x:c r="L153" s="31" t="n">
        <x:v>0</x:v>
      </x:c>
      <x:c r="M153" s="31" t="n">
        <x:v>0.6306370708999999</x:v>
      </x:c>
      <x:c r="N153" s="24" t="str">
        <x:v>triakidae</x:v>
      </x:c>
      <x:c r="O153" s="32" t="n">
        <x:v>3.82</x:v>
      </x:c>
      <x:c r="P153" s="24" t="str">
        <x:v>exact_sea_around_us</x:v>
      </x:c>
      <x:c r="Q153" s="32" t="str">
        <x:v>Sea Around Us exploited organisms</x:v>
      </x:c>
      <x:c r="R153" s="24" t="str">
        <x:v>high</x:v>
      </x:c>
      <x:c r="S153" s="24" t="str">
        <x:v>Triakidae</x:v>
      </x:c>
      <x:c r="T153" s="32" t="n">
        <x:f>IF(O153="","",(1/'Metadata'!$B$5)^(O153-1))</x:f>
        <x:v>660.6934480075957</x:v>
      </x:c>
      <x:c r="U153" s="31" t="n">
        <x:f>IF(T153="","",I153*T153)</x:f>
        <x:v>416.65778081433155</x:v>
      </x:c>
    </x:row>
    <x:row r="154" ht="18" customHeight="1">
      <x:c r="A154" s="24" t="str">
        <x:v>EEZ_470</x:v>
      </x:c>
      <x:c r="B154" s="24" t="str">
        <x:v>Malta</x:v>
      </x:c>
      <x:c r="C154" s="24" t="str">
        <x:v>EEZ</x:v>
      </x:c>
      <x:c r="D154" s="30" t="n">
        <x:v>2019</x:v>
      </x:c>
      <x:c r="E154" s="24" t="str">
        <x:v>Centrophorus granulosus</x:v>
      </x:c>
      <x:c r="F154" s="24" t="str">
        <x:v>Gulper shark</x:v>
      </x:c>
      <x:c r="G154" s="24" t="str">
        <x:v>Large sharks (&gt;=90 cm)</x:v>
      </x:c>
      <x:c r="H154" s="24" t="str">
        <x:v>Sharks &amp; rays</x:v>
      </x:c>
      <x:c r="I154" s="31" t="n">
        <x:v>0.603516086</x:v>
      </x:c>
      <x:c r="J154" s="31" t="n">
        <x:v>0.603516086</x:v>
      </x:c>
      <x:c r="K154" s="31" t="n">
        <x:v>0</x:v>
      </x:c>
      <x:c r="L154" s="31" t="n">
        <x:v>0.6</x:v>
      </x:c>
      <x:c r="M154" s="31" t="n">
        <x:v>0.0035160860000000003</x:v>
      </x:c>
      <x:c r="N154" s="24" t="str">
        <x:v>centrophorus granulosus</x:v>
      </x:c>
      <x:c r="O154" s="32" t="n">
        <x:v>4.11</x:v>
      </x:c>
      <x:c r="P154" s="24" t="str">
        <x:v>exact_2020_supplement</x:v>
      </x:c>
      <x:c r="Q154" s="32" t="str">
        <x:v>2020 supplement MeanTL</x:v>
      </x:c>
      <x:c r="R154" s="24" t="str">
        <x:v>high</x:v>
      </x:c>
      <x:c r="S154" s="24" t="str">
        <x:v>Centrophorus granulosus</x:v>
      </x:c>
      <x:c r="T154" s="32" t="n">
        <x:f>IF(O154="","",(1/'Metadata'!$B$5)^(O154-1))</x:f>
        <x:v>1288.249551693135</x:v>
      </x:c>
      <x:c r="U154" s="31" t="n">
        <x:f>IF(T154="","",I154*T154)</x:f>
        <x:v>777.4793272290954</x:v>
      </x:c>
    </x:row>
    <x:row r="155" ht="18" customHeight="1">
      <x:c r="A155" s="24" t="str">
        <x:v>EEZ_470</x:v>
      </x:c>
      <x:c r="B155" s="24" t="str">
        <x:v>Malta</x:v>
      </x:c>
      <x:c r="C155" s="24" t="str">
        <x:v>EEZ</x:v>
      </x:c>
      <x:c r="D155" s="30" t="n">
        <x:v>2019</x:v>
      </x:c>
      <x:c r="E155" s="24" t="str">
        <x:v>Ruvettus pretiosus</x:v>
      </x:c>
      <x:c r="F155" s="24" t="str">
        <x:v>Oilfish</x:v>
      </x:c>
      <x:c r="G155" s="24" t="str">
        <x:v>Large benthopelagics (&gt;=90 cm)</x:v>
      </x:c>
      <x:c r="H155" s="24" t="str">
        <x:v>Perch-likes</x:v>
      </x:c>
      <x:c r="I155" s="31" t="n">
        <x:v>0.5759705794</x:v>
      </x:c>
      <x:c r="J155" s="31" t="n">
        <x:v>0.5759705794</x:v>
      </x:c>
      <x:c r="K155" s="31" t="n">
        <x:v>0</x:v>
      </x:c>
      <x:c r="L155" s="31" t="n">
        <x:v>0.5759705794</x:v>
      </x:c>
      <x:c r="M155" s="31" t="n">
        <x:v>0</x:v>
      </x:c>
      <x:c r="N155" s="24" t="str">
        <x:v>ruvettus pretiosus</x:v>
      </x:c>
      <x:c r="O155" s="32" t="n">
        <x:v>4.18</x:v>
      </x:c>
      <x:c r="P155" s="24" t="str">
        <x:v>exact_2020_supplement</x:v>
      </x:c>
      <x:c r="Q155" s="32" t="str">
        <x:v>2020 supplement MeanTL</x:v>
      </x:c>
      <x:c r="R155" s="24" t="str">
        <x:v>high</x:v>
      </x:c>
      <x:c r="S155" s="24" t="str">
        <x:v>Ruvettus pretiosus</x:v>
      </x:c>
      <x:c r="T155" s="32" t="n">
        <x:f>IF(O155="","",(1/'Metadata'!$B$5)^(O155-1))</x:f>
        <x:v>1513.5612484362073</x:v>
      </x:c>
      <x:c r="U155" s="31" t="n">
        <x:f>IF(T155="","",I155*T155)</x:f>
        <x:v>871.7667492191896</x:v>
      </x:c>
    </x:row>
    <x:row r="156" ht="18" customHeight="1">
      <x:c r="A156" s="24" t="str">
        <x:v>EEZ_470</x:v>
      </x:c>
      <x:c r="B156" s="24" t="str">
        <x:v>Malta</x:v>
      </x:c>
      <x:c r="C156" s="24" t="str">
        <x:v>EEZ</x:v>
      </x:c>
      <x:c r="D156" s="30" t="n">
        <x:v>2019</x:v>
      </x:c>
      <x:c r="E156" s="24" t="str">
        <x:v>Mollusca</x:v>
      </x:c>
      <x:c r="F156" s="24" t="str">
        <x:v>Clams, seasnails, squids, octopuses</x:v>
      </x:c>
      <x:c r="G156" s="24" t="str">
        <x:v>Other demersal invertebrates</x:v>
      </x:c>
      <x:c r="H156" s="24" t="str">
        <x:v>Molluscs</x:v>
      </x:c>
      <x:c r="I156" s="31" t="n">
        <x:v>0.52842655</x:v>
      </x:c>
      <x:c r="J156" s="31" t="n">
        <x:v>0.52842655</x:v>
      </x:c>
      <x:c r="K156" s="31" t="n">
        <x:v>0</x:v>
      </x:c>
      <x:c r="L156" s="31" t="n">
        <x:v>0.500432917</x:v>
      </x:c>
      <x:c r="M156" s="31" t="n">
        <x:v>0.027993633</x:v>
      </x:c>
      <x:c r="N156" s="24" t="str">
        <x:v>mollusca</x:v>
      </x:c>
      <x:c r="O156" s="32" t="n">
        <x:v>2.1</x:v>
      </x:c>
      <x:c r="P156" s="24" t="str">
        <x:v>exact_sea_around_us</x:v>
      </x:c>
      <x:c r="Q156" s="32" t="str">
        <x:v>Sea Around Us exploited organisms</x:v>
      </x:c>
      <x:c r="R156" s="24" t="str">
        <x:v>high</x:v>
      </x:c>
      <x:c r="S156" s="24" t="str">
        <x:v>Mollusca</x:v>
      </x:c>
      <x:c r="T156" s="32" t="n">
        <x:f>IF(O156="","",(1/'Metadata'!$B$5)^(O156-1))</x:f>
        <x:v>12.589254117941675</x:v>
      </x:c>
      <x:c r="U156" s="31" t="n">
        <x:f>IF(T156="","",I156*T156)</x:f>
        <x:v>6.652496120617212</x:v>
      </x:c>
    </x:row>
    <x:row r="157" ht="18" customHeight="1">
      <x:c r="A157" s="24" t="str">
        <x:v>EEZ_470</x:v>
      </x:c>
      <x:c r="B157" s="24" t="str">
        <x:v>Malta</x:v>
      </x:c>
      <x:c r="C157" s="24" t="str">
        <x:v>EEZ</x:v>
      </x:c>
      <x:c r="D157" s="30" t="n">
        <x:v>2019</x:v>
      </x:c>
      <x:c r="E157" s="24" t="str">
        <x:v>Istiophoridae</x:v>
      </x:c>
      <x:c r="F157" s="24" t="str">
        <x:v>Billfishes</x:v>
      </x:c>
      <x:c r="G157" s="24" t="str">
        <x:v>Large pelagics (&gt;=90 cm)</x:v>
      </x:c>
      <x:c r="H157" s="24" t="str">
        <x:v>Tuna &amp; billfishes</x:v>
      </x:c>
      <x:c r="I157" s="31" t="n">
        <x:v>0.476684427</x:v>
      </x:c>
      <x:c r="J157" s="31" t="n">
        <x:v>0.476684427</x:v>
      </x:c>
      <x:c r="K157" s="31" t="n">
        <x:v>0</x:v>
      </x:c>
      <x:c r="L157" s="31" t="n">
        <x:v>0</x:v>
      </x:c>
      <x:c r="M157" s="31" t="n">
        <x:v>0.476684427</x:v>
      </x:c>
      <x:c r="N157" s="24" t="str">
        <x:v>istiophoridae</x:v>
      </x:c>
      <x:c r="O157" s="32" t="n">
        <x:v>4.48</x:v>
      </x:c>
      <x:c r="P157" s="24" t="str">
        <x:v>exact_sea_around_us</x:v>
      </x:c>
      <x:c r="Q157" s="32" t="str">
        <x:v>Sea Around Us exploited organisms</x:v>
      </x:c>
      <x:c r="R157" s="24" t="str">
        <x:v>high</x:v>
      </x:c>
      <x:c r="S157" s="24" t="str">
        <x:v>Istiophoridae</x:v>
      </x:c>
      <x:c r="T157" s="32" t="n">
        <x:f>IF(O157="","",(1/'Metadata'!$B$5)^(O157-1))</x:f>
        <x:v>3019.951720402019</x:v>
      </x:c>
      <x:c r="U157" s="31" t="n">
        <x:f>IF(T157="","",I157*T157)</x:f>
        <x:v>1439.5639554075008</x:v>
      </x:c>
    </x:row>
    <x:row r="158" ht="18" customHeight="1">
      <x:c r="A158" s="24" t="str">
        <x:v>EEZ_470</x:v>
      </x:c>
      <x:c r="B158" s="24" t="str">
        <x:v>Malta</x:v>
      </x:c>
      <x:c r="C158" s="24" t="str">
        <x:v>EEZ</x:v>
      </x:c>
      <x:c r="D158" s="30" t="n">
        <x:v>2019</x:v>
      </x:c>
      <x:c r="E158" s="24" t="str">
        <x:v>Engraulidae</x:v>
      </x:c>
      <x:c r="F158" s="24" t="str">
        <x:v>Anchovies, round herrings</x:v>
      </x:c>
      <x:c r="G158" s="24" t="str">
        <x:v>Small pelagics (&lt;30 cm)</x:v>
      </x:c>
      <x:c r="H158" s="24" t="str">
        <x:v>Anchovies</x:v>
      </x:c>
      <x:c r="I158" s="31" t="n">
        <x:v>0.4620421222</x:v>
      </x:c>
      <x:c r="J158" s="31" t="n">
        <x:v>0.4620421222</x:v>
      </x:c>
      <x:c r="K158" s="31" t="n">
        <x:v>0</x:v>
      </x:c>
      <x:c r="L158" s="31" t="n">
        <x:v>0</x:v>
      </x:c>
      <x:c r="M158" s="31" t="n">
        <x:v>0.4620421222</x:v>
      </x:c>
      <x:c r="N158" s="24" t="str">
        <x:v>engraulidae</x:v>
      </x:c>
      <x:c r="O158" s="32" t="n">
        <x:v>3.2</x:v>
      </x:c>
      <x:c r="P158" s="24" t="str">
        <x:v>exact_sea_around_us</x:v>
      </x:c>
      <x:c r="Q158" s="32" t="str">
        <x:v>Sea Around Us exploited organisms</x:v>
      </x:c>
      <x:c r="R158" s="24" t="str">
        <x:v>high</x:v>
      </x:c>
      <x:c r="S158" s="24" t="str">
        <x:v>Engraulidae</x:v>
      </x:c>
      <x:c r="T158" s="32" t="n">
        <x:f>IF(O158="","",(1/'Metadata'!$B$5)^(O158-1))</x:f>
        <x:v>158.48931924611142</x:v>
      </x:c>
      <x:c r="U158" s="31" t="n">
        <x:f>IF(T158="","",I158*T158)</x:f>
        <x:v>73.22874141050663</x:v>
      </x:c>
    </x:row>
    <x:row r="159" ht="18" customHeight="1">
      <x:c r="A159" s="24" t="str">
        <x:v>EEZ_470</x:v>
      </x:c>
      <x:c r="B159" s="24" t="str">
        <x:v>Malta</x:v>
      </x:c>
      <x:c r="C159" s="24" t="str">
        <x:v>EEZ</x:v>
      </x:c>
      <x:c r="D159" s="30" t="n">
        <x:v>2019</x:v>
      </x:c>
      <x:c r="E159" s="24" t="str">
        <x:v>Palaemon serratus</x:v>
      </x:c>
      <x:c r="F159" s="24" t="str">
        <x:v>Common prawn</x:v>
      </x:c>
      <x:c r="G159" s="24" t="str">
        <x:v>Shrimps</x:v>
      </x:c>
      <x:c r="H159" s="24" t="str">
        <x:v>Crustaceans</x:v>
      </x:c>
      <x:c r="I159" s="31" t="n">
        <x:v>0.42953984380000004</x:v>
      </x:c>
      <x:c r="J159" s="31" t="n">
        <x:v>0.42953984380000004</x:v>
      </x:c>
      <x:c r="K159" s="31" t="n">
        <x:v>0</x:v>
      </x:c>
      <x:c r="L159" s="31" t="n">
        <x:v>0.1</x:v>
      </x:c>
      <x:c r="M159" s="31" t="n">
        <x:v>0.3295398438</x:v>
      </x:c>
      <x:c r="N159" s="24" t="str">
        <x:v>palaemon serratus</x:v>
      </x:c>
      <x:c r="O159" s="32" t="n">
        <x:v>2.69</x:v>
      </x:c>
      <x:c r="P159" s="24" t="str">
        <x:v>exact_2020_supplement</x:v>
      </x:c>
      <x:c r="Q159" s="32" t="str">
        <x:v>2020 supplement MeanTL</x:v>
      </x:c>
      <x:c r="R159" s="24" t="str">
        <x:v>high</x:v>
      </x:c>
      <x:c r="S159" s="24" t="str">
        <x:v>Palaemon serratus</x:v>
      </x:c>
      <x:c r="T159" s="32" t="n">
        <x:f>IF(O159="","",(1/'Metadata'!$B$5)^(O159-1))</x:f>
        <x:v>48.97788193684461</x:v>
      </x:c>
      <x:c r="U159" s="31" t="n">
        <x:f>IF(T159="","",I159*T159)</x:f>
        <x:v>21.03795175680708</x:v>
      </x:c>
    </x:row>
    <x:row r="160" ht="18" customHeight="1">
      <x:c r="A160" s="24" t="str">
        <x:v>EEZ_470</x:v>
      </x:c>
      <x:c r="B160" s="24" t="str">
        <x:v>Malta</x:v>
      </x:c>
      <x:c r="C160" s="24" t="str">
        <x:v>EEZ</x:v>
      </x:c>
      <x:c r="D160" s="30" t="n">
        <x:v>2019</x:v>
      </x:c>
      <x:c r="E160" s="24" t="str">
        <x:v>Teuthida</x:v>
      </x:c>
      <x:c r="F160" s="24" t="str">
        <x:v>Squids</x:v>
      </x:c>
      <x:c r="G160" s="24" t="str">
        <x:v>Cephalopods</x:v>
      </x:c>
      <x:c r="H160" s="24" t="str">
        <x:v>Other fishes &amp; inverts</x:v>
      </x:c>
      <x:c r="I160" s="31" t="n">
        <x:v>0.422743072</x:v>
      </x:c>
      <x:c r="J160" s="31" t="n">
        <x:v>0.422743072</x:v>
      </x:c>
      <x:c r="K160" s="31" t="n">
        <x:v>0</x:v>
      </x:c>
      <x:c r="L160" s="31" t="n">
        <x:v>0.422743072</x:v>
      </x:c>
      <x:c r="M160" s="31" t="n">
        <x:v>0</x:v>
      </x:c>
      <x:c r="N160" s="24" t="str">
        <x:v>teuthida</x:v>
      </x:c>
      <x:c r="O160" s="32" t="n">
        <x:v>4.13</x:v>
      </x:c>
      <x:c r="P160" s="24" t="str">
        <x:v>exact_sea_around_us</x:v>
      </x:c>
      <x:c r="Q160" s="32" t="str">
        <x:v>Sea Around Us exploited organisms</x:v>
      </x:c>
      <x:c r="R160" s="24" t="str">
        <x:v>high</x:v>
      </x:c>
      <x:c r="S160" s="24" t="str">
        <x:v>Teuthida</x:v>
      </x:c>
      <x:c r="T160" s="32" t="n">
        <x:f>IF(O160="","",(1/'Metadata'!$B$5)^(O160-1))</x:f>
        <x:v>1348.9628825916532</x:v>
      </x:c>
      <x:c r="U160" s="31" t="n">
        <x:f>IF(T160="","",I160*T160)</x:f>
        <x:v>570.2647130007708</x:v>
      </x:c>
    </x:row>
    <x:row r="161" ht="18" customHeight="1">
      <x:c r="A161" s="24" t="str">
        <x:v>EEZ_470</x:v>
      </x:c>
      <x:c r="B161" s="24" t="str">
        <x:v>Malta</x:v>
      </x:c>
      <x:c r="C161" s="24" t="str">
        <x:v>EEZ</x:v>
      </x:c>
      <x:c r="D161" s="30" t="n">
        <x:v>2019</x:v>
      </x:c>
      <x:c r="E161" s="24" t="str">
        <x:v>Scyliorhinidae</x:v>
      </x:c>
      <x:c r="F161" s="24" t="str">
        <x:v>Cat/swellsharks</x:v>
      </x:c>
      <x:c r="G161" s="24" t="str">
        <x:v>Large sharks (&gt;=90 cm)</x:v>
      </x:c>
      <x:c r="H161" s="24" t="str">
        <x:v>Sharks &amp; rays</x:v>
      </x:c>
      <x:c r="I161" s="31" t="n">
        <x:v>0.4161896875</x:v>
      </x:c>
      <x:c r="J161" s="31" t="n">
        <x:v>0.4161896875</x:v>
      </x:c>
      <x:c r="K161" s="31" t="n">
        <x:v>0</x:v>
      </x:c>
      <x:c r="L161" s="31" t="n">
        <x:v>0</x:v>
      </x:c>
      <x:c r="M161" s="31" t="n">
        <x:v>0.4161896875</x:v>
      </x:c>
      <x:c r="N161" s="24" t="str">
        <x:v>scyliorhinidae</x:v>
      </x:c>
      <x:c r="O161" s="32" t="n">
        <x:v>3.97</x:v>
      </x:c>
      <x:c r="P161" s="24" t="str">
        <x:v>exact_sea_around_us</x:v>
      </x:c>
      <x:c r="Q161" s="32" t="str">
        <x:v>Sea Around Us exploited organisms</x:v>
      </x:c>
      <x:c r="R161" s="24" t="str">
        <x:v>high</x:v>
      </x:c>
      <x:c r="S161" s="24" t="str">
        <x:v>Scyliorhinidae</x:v>
      </x:c>
      <x:c r="T161" s="32" t="n">
        <x:f>IF(O161="","",(1/'Metadata'!$B$5)^(O161-1))</x:f>
        <x:v>933.2543007969915</x:v>
      </x:c>
      <x:c r="U161" s="31" t="n">
        <x:f>IF(T161="","",I161*T161)</x:f>
        <x:v>388.4108158067309</x:v>
      </x:c>
    </x:row>
    <x:row r="162" ht="18" customHeight="1">
      <x:c r="A162" s="24" t="str">
        <x:v>EEZ_470</x:v>
      </x:c>
      <x:c r="B162" s="24" t="str">
        <x:v>Malta</x:v>
      </x:c>
      <x:c r="C162" s="24" t="str">
        <x:v>EEZ</x:v>
      </x:c>
      <x:c r="D162" s="30" t="n">
        <x:v>2019</x:v>
      </x:c>
      <x:c r="E162" s="24" t="str">
        <x:v>Sebastidae</x:v>
      </x:c>
      <x:c r="F162" s="24" t="str">
        <x:v>Rockfishes, rockcods, thornyheads</x:v>
      </x:c>
      <x:c r="G162" s="24" t="str">
        <x:v>Medium demersals (30 - 89 cm)</x:v>
      </x:c>
      <x:c r="H162" s="24" t="str">
        <x:v>Scorpionfishes</x:v>
      </x:c>
      <x:c r="I162" s="31" t="n">
        <x:v>0.3737868933</x:v>
      </x:c>
      <x:c r="J162" s="31" t="n">
        <x:v>0.3737868933</x:v>
      </x:c>
      <x:c r="K162" s="31" t="n">
        <x:v>0</x:v>
      </x:c>
      <x:c r="L162" s="31" t="n">
        <x:v>0</x:v>
      </x:c>
      <x:c r="M162" s="31" t="n">
        <x:v>0.3737868933</x:v>
      </x:c>
      <x:c r="N162" s="24" t="str">
        <x:v>sebastidae</x:v>
      </x:c>
      <x:c r="O162" s="32" t="n">
        <x:v>3.74</x:v>
      </x:c>
      <x:c r="P162" s="24" t="str">
        <x:v>exact_sea_around_us</x:v>
      </x:c>
      <x:c r="Q162" s="32" t="str">
        <x:v>Sea Around Us exploited organisms</x:v>
      </x:c>
      <x:c r="R162" s="24" t="str">
        <x:v>high</x:v>
      </x:c>
      <x:c r="S162" s="24" t="str">
        <x:v>Sebastidae</x:v>
      </x:c>
      <x:c r="T162" s="32" t="n">
        <x:f>IF(O162="","",(1/'Metadata'!$B$5)^(O162-1))</x:f>
        <x:v>549.5408738576248</x:v>
      </x:c>
      <x:c r="U162" s="31" t="n">
        <x:f>IF(T162="","",I162*T162)</x:f>
        <x:v>205.41117598060873</x:v>
      </x:c>
    </x:row>
    <x:row r="163" ht="18" customHeight="1">
      <x:c r="A163" s="24" t="str">
        <x:v>EEZ_470</x:v>
      </x:c>
      <x:c r="B163" s="24" t="str">
        <x:v>Malta</x:v>
      </x:c>
      <x:c r="C163" s="24" t="str">
        <x:v>EEZ</x:v>
      </x:c>
      <x:c r="D163" s="30" t="n">
        <x:v>2019</x:v>
      </x:c>
      <x:c r="E163" s="24" t="str">
        <x:v>Carcharhinidae</x:v>
      </x:c>
      <x:c r="F163" s="24" t="str">
        <x:v>Requiem sharks</x:v>
      </x:c>
      <x:c r="G163" s="24" t="str">
        <x:v>Large sharks (&gt;=90 cm)</x:v>
      </x:c>
      <x:c r="H163" s="24" t="str">
        <x:v>Sharks &amp; rays</x:v>
      </x:c>
      <x:c r="I163" s="31" t="n">
        <x:v>0.3638393647</x:v>
      </x:c>
      <x:c r="J163" s="31" t="n">
        <x:v>0.3638393647</x:v>
      </x:c>
      <x:c r="K163" s="31" t="n">
        <x:v>0</x:v>
      </x:c>
      <x:c r="L163" s="31" t="n">
        <x:v>0</x:v>
      </x:c>
      <x:c r="M163" s="31" t="n">
        <x:v>0.3638393647</x:v>
      </x:c>
      <x:c r="N163" s="24" t="str">
        <x:v>carcharhinidae</x:v>
      </x:c>
      <x:c r="O163" s="32" t="n">
        <x:v>4.24</x:v>
      </x:c>
      <x:c r="P163" s="24" t="str">
        <x:v>exact_sea_around_us</x:v>
      </x:c>
      <x:c r="Q163" s="32" t="str">
        <x:v>Sea Around Us exploited organisms</x:v>
      </x:c>
      <x:c r="R163" s="24" t="str">
        <x:v>high</x:v>
      </x:c>
      <x:c r="S163" s="24" t="str">
        <x:v>Carcharhinidae</x:v>
      </x:c>
      <x:c r="T163" s="32" t="n">
        <x:f>IF(O163="","",(1/'Metadata'!$B$5)^(O163-1))</x:f>
        <x:v>1737.8008287493763</x:v>
      </x:c>
      <x:c r="U163" s="31" t="n">
        <x:f>IF(T163="","",I163*T163)</x:f>
        <x:v>632.2803495073066</x:v>
      </x:c>
    </x:row>
    <x:row r="164" ht="18" customHeight="1">
      <x:c r="A164" s="24" t="str">
        <x:v>EEZ_470</x:v>
      </x:c>
      <x:c r="B164" s="24" t="str">
        <x:v>Malta</x:v>
      </x:c>
      <x:c r="C164" s="24" t="str">
        <x:v>EEZ</x:v>
      </x:c>
      <x:c r="D164" s="30" t="n">
        <x:v>2019</x:v>
      </x:c>
      <x:c r="E164" s="24" t="str">
        <x:v>Raja asterias</x:v>
      </x:c>
      <x:c r="F164" s="24" t="str">
        <x:v>Mediterranean starry ray</x:v>
      </x:c>
      <x:c r="G164" s="24" t="str">
        <x:v>Small to medium rays (&lt;90 cm)</x:v>
      </x:c>
      <x:c r="H164" s="24" t="str">
        <x:v>Sharks &amp; rays</x:v>
      </x:c>
      <x:c r="I164" s="31" t="n">
        <x:v>0.35923972899999995</x:v>
      </x:c>
      <x:c r="J164" s="31" t="n">
        <x:v>0.35923972899999995</x:v>
      </x:c>
      <x:c r="K164" s="31" t="n">
        <x:v>0</x:v>
      </x:c>
      <x:c r="L164" s="31" t="n">
        <x:v>0.26766587399999997</x:v>
      </x:c>
      <x:c r="M164" s="31" t="n">
        <x:v>0.091573855</x:v>
      </x:c>
      <x:c r="N164" s="24" t="str">
        <x:v>raja asterias</x:v>
      </x:c>
      <x:c r="O164" s="32" t="n">
        <x:v>3.5</x:v>
      </x:c>
      <x:c r="P164" s="24" t="str">
        <x:v>exact_2020_supplement</x:v>
      </x:c>
      <x:c r="Q164" s="32" t="str">
        <x:v>2020 supplement MeanTL</x:v>
      </x:c>
      <x:c r="R164" s="24" t="str">
        <x:v>high</x:v>
      </x:c>
      <x:c r="S164" s="24" t="str">
        <x:v>Raja asterias</x:v>
      </x:c>
      <x:c r="T164" s="32" t="n">
        <x:f>IF(O164="","",(1/'Metadata'!$B$5)^(O164-1))</x:f>
        <x:v>316.22776601683796</x:v>
      </x:c>
      <x:c r="U164" s="31" t="n">
        <x:f>IF(T164="","",I164*T164)</x:f>
        <x:v>113.60157696616426</x:v>
      </x:c>
    </x:row>
    <x:row r="165" ht="18" customHeight="1">
      <x:c r="A165" s="24" t="str">
        <x:v>EEZ_470</x:v>
      </x:c>
      <x:c r="B165" s="24" t="str">
        <x:v>Malta</x:v>
      </x:c>
      <x:c r="C165" s="24" t="str">
        <x:v>EEZ</x:v>
      </x:c>
      <x:c r="D165" s="30" t="n">
        <x:v>2019</x:v>
      </x:c>
      <x:c r="E165" s="24" t="str">
        <x:v>Mugil cephalus</x:v>
      </x:c>
      <x:c r="F165" s="24" t="str">
        <x:v>Flathead grey mullet</x:v>
      </x:c>
      <x:c r="G165" s="24" t="str">
        <x:v>Large benthopelagics (&gt;=90 cm)</x:v>
      </x:c>
      <x:c r="H165" s="24" t="str">
        <x:v>Perch-likes</x:v>
      </x:c>
      <x:c r="I165" s="31" t="n">
        <x:v>0.327905086</x:v>
      </x:c>
      <x:c r="J165" s="31" t="n">
        <x:v>0.327905086</x:v>
      </x:c>
      <x:c r="K165" s="31" t="n">
        <x:v>0</x:v>
      </x:c>
      <x:c r="L165" s="31" t="n">
        <x:v>0.296704154</x:v>
      </x:c>
      <x:c r="M165" s="31" t="n">
        <x:v>0.031200931999999997</x:v>
      </x:c>
      <x:c r="N165" s="24" t="str">
        <x:v>mugil cephalus</x:v>
      </x:c>
      <x:c r="O165" s="32" t="n">
        <x:v>2.14</x:v>
      </x:c>
      <x:c r="P165" s="24" t="str">
        <x:v>exact_2020_supplement</x:v>
      </x:c>
      <x:c r="Q165" s="32" t="str">
        <x:v>2020 supplement MeanTL</x:v>
      </x:c>
      <x:c r="R165" s="24" t="str">
        <x:v>high</x:v>
      </x:c>
      <x:c r="S165" s="24" t="str">
        <x:v>Mugil cephalus</x:v>
      </x:c>
      <x:c r="T165" s="32" t="n">
        <x:f>IF(O165="","",(1/'Metadata'!$B$5)^(O165-1))</x:f>
        <x:v>13.803842646028853</x:v>
      </x:c>
      <x:c r="U165" s="31" t="n">
        <x:f>IF(T165="","",I165*T165)</x:f>
        <x:v>4.526350209976559</x:v>
      </x:c>
    </x:row>
    <x:row r="166" ht="18" customHeight="1">
      <x:c r="A166" s="24" t="str">
        <x:v>EEZ_470</x:v>
      </x:c>
      <x:c r="B166" s="24" t="str">
        <x:v>Malta</x:v>
      </x:c>
      <x:c r="C166" s="24" t="str">
        <x:v>EEZ</x:v>
      </x:c>
      <x:c r="D166" s="30" t="n">
        <x:v>2019</x:v>
      </x:c>
      <x:c r="E166" s="24" t="str">
        <x:v>Scorpaena</x:v>
      </x:c>
      <x:c r="F166" s="24" t="str">
        <x:v>Scorpionfishes</x:v>
      </x:c>
      <x:c r="G166" s="24" t="str">
        <x:v>Large reef assoc. fish (&gt;=90 cm)</x:v>
      </x:c>
      <x:c r="H166" s="24" t="str">
        <x:v>Scorpionfishes</x:v>
      </x:c>
      <x:c r="I166" s="31" t="n">
        <x:v>0.286030805</x:v>
      </x:c>
      <x:c r="J166" s="31" t="n">
        <x:v>0.286030805</x:v>
      </x:c>
      <x:c r="K166" s="31" t="n">
        <x:v>0</x:v>
      </x:c>
      <x:c r="L166" s="31" t="n">
        <x:v>0.247525402</x:v>
      </x:c>
      <x:c r="M166" s="31" t="n">
        <x:v>0.038505402999999994</x:v>
      </x:c>
      <x:c r="N166" s="24" t="str">
        <x:v>scorpaena</x:v>
      </x:c>
      <x:c r="O166" s="32" t="n">
        <x:v>3.87</x:v>
      </x:c>
      <x:c r="P166" s="24" t="str">
        <x:v>exact_sea_around_us</x:v>
      </x:c>
      <x:c r="Q166" s="32" t="str">
        <x:v>Sea Around Us exploited organisms</x:v>
      </x:c>
      <x:c r="R166" s="24" t="str">
        <x:v>high</x:v>
      </x:c>
      <x:c r="S166" s="24" t="str">
        <x:v>Scorpaena</x:v>
      </x:c>
      <x:c r="T166" s="32" t="n">
        <x:f>IF(O166="","",(1/'Metadata'!$B$5)^(O166-1))</x:f>
        <x:v>741.3102413009177</x:v>
      </x:c>
      <x:c r="U166" s="31" t="n">
        <x:f>IF(T166="","",I166*T166)</x:f>
        <x:v>212.03756507404574</x:v>
      </x:c>
    </x:row>
    <x:row r="167" ht="18" customHeight="1">
      <x:c r="A167" s="24" t="str">
        <x:v>EEZ_470</x:v>
      </x:c>
      <x:c r="B167" s="24" t="str">
        <x:v>Malta</x:v>
      </x:c>
      <x:c r="C167" s="24" t="str">
        <x:v>EEZ</x:v>
      </x:c>
      <x:c r="D167" s="30" t="n">
        <x:v>2019</x:v>
      </x:c>
      <x:c r="E167" s="24" t="str">
        <x:v>Chimaeriformes</x:v>
      </x:c>
      <x:c r="F167" s="24" t="str">
        <x:v>Chimaeras</x:v>
      </x:c>
      <x:c r="G167" s="24" t="str">
        <x:v>Large rays (&gt;=90 cm)</x:v>
      </x:c>
      <x:c r="H167" s="24" t="str">
        <x:v>Sharks &amp; rays</x:v>
      </x:c>
      <x:c r="I167" s="31" t="n">
        <x:v>0.2765974208</x:v>
      </x:c>
      <x:c r="J167" s="31" t="n">
        <x:v>0</x:v>
      </x:c>
      <x:c r="K167" s="31" t="n">
        <x:v>0.2765974208</x:v>
      </x:c>
      <x:c r="L167" s="31" t="n">
        <x:v>0</x:v>
      </x:c>
      <x:c r="M167" s="31" t="n">
        <x:v>0.2765974208</x:v>
      </x:c>
      <x:c r="N167" s="24" t="str">
        <x:v>chimaeriformes</x:v>
      </x:c>
      <x:c r="O167" s="32" t="n">
        <x:v>3.37</x:v>
      </x:c>
      <x:c r="P167" s="24" t="str">
        <x:v>exact_sea_around_us</x:v>
      </x:c>
      <x:c r="Q167" s="32" t="str">
        <x:v>Sea Around Us exploited organisms</x:v>
      </x:c>
      <x:c r="R167" s="24" t="str">
        <x:v>high</x:v>
      </x:c>
      <x:c r="S167" s="24" t="str">
        <x:v>Chimaeriformes</x:v>
      </x:c>
      <x:c r="T167" s="32" t="n">
        <x:f>IF(O167="","",(1/'Metadata'!$B$5)^(O167-1))</x:f>
        <x:v>234.42288153199226</x:v>
      </x:c>
      <x:c r="U167" s="31" t="n">
        <x:f>IF(T167="","",I167*T167)</x:f>
        <x:v>64.84076440825301</x:v>
      </x:c>
    </x:row>
    <x:row r="168" ht="18" customHeight="1">
      <x:c r="A168" s="24" t="str">
        <x:v>EEZ_470</x:v>
      </x:c>
      <x:c r="B168" s="24" t="str">
        <x:v>Malta</x:v>
      </x:c>
      <x:c r="C168" s="24" t="str">
        <x:v>EEZ</x:v>
      </x:c>
      <x:c r="D168" s="30" t="n">
        <x:v>2019</x:v>
      </x:c>
      <x:c r="E168" s="24" t="str">
        <x:v>Nephropidae</x:v>
      </x:c>
      <x:c r="F168" s="24" t="str">
        <x:v>Clawed lobsters</x:v>
      </x:c>
      <x:c r="G168" s="24" t="str">
        <x:v>Lobsters, crabs</x:v>
      </x:c>
      <x:c r="H168" s="24" t="str">
        <x:v>Crustaceans</x:v>
      </x:c>
      <x:c r="I168" s="31" t="n">
        <x:v>0.2753664227</x:v>
      </x:c>
      <x:c r="J168" s="31" t="n">
        <x:v>0.2753664227</x:v>
      </x:c>
      <x:c r="K168" s="31" t="n">
        <x:v>0</x:v>
      </x:c>
      <x:c r="L168" s="31" t="n">
        <x:v>0</x:v>
      </x:c>
      <x:c r="M168" s="31" t="n">
        <x:v>0.2753664227</x:v>
      </x:c>
      <x:c r="N168" s="24" t="str">
        <x:v>nephropidae</x:v>
      </x:c>
      <x:c r="O168" s="32" t="n">
        <x:v>2.88</x:v>
      </x:c>
      <x:c r="P168" s="24" t="str">
        <x:v>exact_sea_around_us</x:v>
      </x:c>
      <x:c r="Q168" s="32" t="str">
        <x:v>Sea Around Us exploited organisms</x:v>
      </x:c>
      <x:c r="R168" s="24" t="str">
        <x:v>high</x:v>
      </x:c>
      <x:c r="S168" s="24" t="str">
        <x:v>Nephropidae</x:v>
      </x:c>
      <x:c r="T168" s="32" t="n">
        <x:f>IF(O168="","",(1/'Metadata'!$B$5)^(O168-1))</x:f>
        <x:v>75.85775750291836</x:v>
      </x:c>
      <x:c r="U168" s="31" t="n">
        <x:f>IF(T168="","",I168*T168)</x:f>
        <x:v>20.888679317622714</x:v>
      </x:c>
    </x:row>
    <x:row r="169" ht="18" customHeight="1">
      <x:c r="A169" s="24" t="str">
        <x:v>EEZ_470</x:v>
      </x:c>
      <x:c r="B169" s="24" t="str">
        <x:v>Malta</x:v>
      </x:c>
      <x:c r="C169" s="24" t="str">
        <x:v>EEZ</x:v>
      </x:c>
      <x:c r="D169" s="30" t="n">
        <x:v>2019</x:v>
      </x:c>
      <x:c r="E169" s="24" t="str">
        <x:v>Spondyliosoma cantharus</x:v>
      </x:c>
      <x:c r="F169" s="24" t="str">
        <x:v>Black seabream</x:v>
      </x:c>
      <x:c r="G169" s="24" t="str">
        <x:v>Medium benthopelagics (30 - 89 cm)</x:v>
      </x:c>
      <x:c r="H169" s="24" t="str">
        <x:v>Perch-likes</x:v>
      </x:c>
      <x:c r="I169" s="31" t="n">
        <x:v>0.27</x:v>
      </x:c>
      <x:c r="J169" s="31" t="n">
        <x:v>0.27</x:v>
      </x:c>
      <x:c r="K169" s="31" t="n">
        <x:v>0</x:v>
      </x:c>
      <x:c r="L169" s="31" t="n">
        <x:v>0.27</x:v>
      </x:c>
      <x:c r="M169" s="31" t="n">
        <x:v>0</x:v>
      </x:c>
      <x:c r="N169" s="24" t="str">
        <x:v>spondyliosoma cantharus</x:v>
      </x:c>
      <x:c r="O169" s="32" t="n">
        <x:v>3.34</x:v>
      </x:c>
      <x:c r="P169" s="24" t="str">
        <x:v>exact_2020_supplement</x:v>
      </x:c>
      <x:c r="Q169" s="32" t="str">
        <x:v>2020 supplement MeanTL</x:v>
      </x:c>
      <x:c r="R169" s="24" t="str">
        <x:v>high</x:v>
      </x:c>
      <x:c r="S169" s="24" t="str">
        <x:v>Spondyliosoma cantharus</x:v>
      </x:c>
      <x:c r="T169" s="32" t="n">
        <x:f>IF(O169="","",(1/'Metadata'!$B$5)^(O169-1))</x:f>
        <x:v>218.77616239495518</x:v>
      </x:c>
      <x:c r="U169" s="31" t="n">
        <x:f>IF(T169="","",I169*T169)</x:f>
        <x:v>59.069563846637905</x:v>
      </x:c>
    </x:row>
    <x:row r="170" ht="18" customHeight="1">
      <x:c r="A170" s="24" t="str">
        <x:v>EEZ_470</x:v>
      </x:c>
      <x:c r="B170" s="24" t="str">
        <x:v>Malta</x:v>
      </x:c>
      <x:c r="C170" s="24" t="str">
        <x:v>EEZ</x:v>
      </x:c>
      <x:c r="D170" s="30" t="n">
        <x:v>2019</x:v>
      </x:c>
      <x:c r="E170" s="24" t="str">
        <x:v>Engraulis encrasicolus</x:v>
      </x:c>
      <x:c r="F170" s="24" t="str">
        <x:v>European anchovy</x:v>
      </x:c>
      <x:c r="G170" s="24" t="str">
        <x:v>Small pelagics (&lt;30 cm)</x:v>
      </x:c>
      <x:c r="H170" s="24" t="str">
        <x:v>Anchovies</x:v>
      </x:c>
      <x:c r="I170" s="31" t="n">
        <x:v>0.268691545</x:v>
      </x:c>
      <x:c r="J170" s="31" t="n">
        <x:v>0.268691545</x:v>
      </x:c>
      <x:c r="K170" s="31" t="n">
        <x:v>0</x:v>
      </x:c>
      <x:c r="L170" s="31" t="n">
        <x:v>0.01</x:v>
      </x:c>
      <x:c r="M170" s="31" t="n">
        <x:v>0.25869154499999997</x:v>
      </x:c>
      <x:c r="N170" s="24" t="str">
        <x:v>engraulis encrasicolus</x:v>
      </x:c>
      <x:c r="O170" s="32" t="n">
        <x:v>3.11</x:v>
      </x:c>
      <x:c r="P170" s="24" t="str">
        <x:v>exact_2020_supplement</x:v>
      </x:c>
      <x:c r="Q170" s="32" t="str">
        <x:v>2020 supplement MeanTL</x:v>
      </x:c>
      <x:c r="R170" s="24" t="str">
        <x:v>high</x:v>
      </x:c>
      <x:c r="S170" s="24" t="str">
        <x:v>Engraulis encrasicolus</x:v>
      </x:c>
      <x:c r="T170" s="32" t="n">
        <x:f>IF(O170="","",(1/'Metadata'!$B$5)^(O170-1))</x:f>
        <x:v>128.82495516931337</x:v>
      </x:c>
      <x:c r="U170" s="31" t="n">
        <x:f>IF(T170="","",I170*T170)</x:f>
        <x:v>34.614176238998546</x:v>
      </x:c>
    </x:row>
    <x:row r="171" ht="18" customHeight="1">
      <x:c r="A171" s="24" t="str">
        <x:v>EEZ_470</x:v>
      </x:c>
      <x:c r="B171" s="24" t="str">
        <x:v>Malta</x:v>
      </x:c>
      <x:c r="C171" s="24" t="str">
        <x:v>EEZ</x:v>
      </x:c>
      <x:c r="D171" s="30" t="n">
        <x:v>2019</x:v>
      </x:c>
      <x:c r="E171" s="24" t="str">
        <x:v>Palinuridae</x:v>
      </x:c>
      <x:c r="F171" s="24" t="str">
        <x:v>Spiny lobsters</x:v>
      </x:c>
      <x:c r="G171" s="24" t="str">
        <x:v>Lobsters, crabs</x:v>
      </x:c>
      <x:c r="H171" s="24" t="str">
        <x:v>Crustaceans</x:v>
      </x:c>
      <x:c r="I171" s="31" t="n">
        <x:v>0.2597919593</x:v>
      </x:c>
      <x:c r="J171" s="31" t="n">
        <x:v>0.2597919593</x:v>
      </x:c>
      <x:c r="K171" s="31" t="n">
        <x:v>0</x:v>
      </x:c>
      <x:c r="L171" s="31" t="n">
        <x:v>0</x:v>
      </x:c>
      <x:c r="M171" s="31" t="n">
        <x:v>0.2597919593</x:v>
      </x:c>
      <x:c r="N171" s="24" t="str">
        <x:v>palinuridae</x:v>
      </x:c>
      <x:c r="O171" s="32" t="n">
        <x:v>3.14</x:v>
      </x:c>
      <x:c r="P171" s="24" t="str">
        <x:v>exact_sea_around_us</x:v>
      </x:c>
      <x:c r="Q171" s="32" t="str">
        <x:v>Sea Around Us exploited organisms</x:v>
      </x:c>
      <x:c r="R171" s="24" t="str">
        <x:v>high</x:v>
      </x:c>
      <x:c r="S171" s="24" t="str">
        <x:v>Palinuridae</x:v>
      </x:c>
      <x:c r="T171" s="32" t="n">
        <x:f>IF(O171="","",(1/'Metadata'!$B$5)^(O171-1))</x:f>
        <x:v>138.03842646028852</x:v>
      </x:c>
      <x:c r="U171" s="31" t="n">
        <x:f>IF(T171="","",I171*T171)</x:f>
        <x:v>35.86127326880732</x:v>
      </x:c>
    </x:row>
    <x:row r="172" ht="18" customHeight="1">
      <x:c r="A172" s="24" t="str">
        <x:v>EEZ_470</x:v>
      </x:c>
      <x:c r="B172" s="24" t="str">
        <x:v>Malta</x:v>
      </x:c>
      <x:c r="C172" s="24" t="str">
        <x:v>EEZ</x:v>
      </x:c>
      <x:c r="D172" s="30" t="n">
        <x:v>2019</x:v>
      </x:c>
      <x:c r="E172" s="24" t="str">
        <x:v>Soleidae</x:v>
      </x:c>
      <x:c r="F172" s="24" t="str">
        <x:v>Soles</x:v>
      </x:c>
      <x:c r="G172" s="24" t="str">
        <x:v>Small to medium flatfishes (&lt;90 cm)</x:v>
      </x:c>
      <x:c r="H172" s="24" t="str">
        <x:v>Flatfishes</x:v>
      </x:c>
      <x:c r="I172" s="31" t="n">
        <x:v>0.224135368</x:v>
      </x:c>
      <x:c r="J172" s="31" t="n">
        <x:v>0.224135368</x:v>
      </x:c>
      <x:c r="K172" s="31" t="n">
        <x:v>0</x:v>
      </x:c>
      <x:c r="L172" s="31" t="n">
        <x:v>0</x:v>
      </x:c>
      <x:c r="M172" s="31" t="n">
        <x:v>0.224135368</x:v>
      </x:c>
      <x:c r="N172" s="24" t="str">
        <x:v>soleidae</x:v>
      </x:c>
      <x:c r="O172" s="32" t="n">
        <x:v>3.15</x:v>
      </x:c>
      <x:c r="P172" s="24" t="str">
        <x:v>exact_sea_around_us</x:v>
      </x:c>
      <x:c r="Q172" s="32" t="str">
        <x:v>Sea Around Us exploited organisms</x:v>
      </x:c>
      <x:c r="R172" s="24" t="str">
        <x:v>high</x:v>
      </x:c>
      <x:c r="S172" s="24" t="str">
        <x:v>Soleidae</x:v>
      </x:c>
      <x:c r="T172" s="32" t="n">
        <x:f>IF(O172="","",(1/'Metadata'!$B$5)^(O172-1))</x:f>
        <x:v>141.2537544622754</x:v>
      </x:c>
      <x:c r="U172" s="31" t="n">
        <x:f>IF(T172="","",I172*T172)</x:f>
        <x:v>31.659962237783738</x:v>
      </x:c>
    </x:row>
    <x:row r="173" ht="18" customHeight="1">
      <x:c r="A173" s="24" t="str">
        <x:v>EEZ_470</x:v>
      </x:c>
      <x:c r="B173" s="24" t="str">
        <x:v>Malta</x:v>
      </x:c>
      <x:c r="C173" s="24" t="str">
        <x:v>EEZ</x:v>
      </x:c>
      <x:c r="D173" s="30" t="n">
        <x:v>2019</x:v>
      </x:c>
      <x:c r="E173" s="24" t="str">
        <x:v>Peristedion cataphractum</x:v>
      </x:c>
      <x:c r="F173" s="24" t="str">
        <x:v>African armoured searobin</x:v>
      </x:c>
      <x:c r="G173" s="24" t="str">
        <x:v>Medium demersals (30 - 89 cm)</x:v>
      </x:c>
      <x:c r="H173" s="24" t="str">
        <x:v>Scorpionfishes</x:v>
      </x:c>
      <x:c r="I173" s="31" t="n">
        <x:v>0.2212779372</x:v>
      </x:c>
      <x:c r="J173" s="31" t="n">
        <x:v>0</x:v>
      </x:c>
      <x:c r="K173" s="31" t="n">
        <x:v>0.2212779372</x:v>
      </x:c>
      <x:c r="L173" s="31" t="n">
        <x:v>0</x:v>
      </x:c>
      <x:c r="M173" s="31" t="n">
        <x:v>0.2212779372</x:v>
      </x:c>
      <x:c r="N173" s="24" t="str">
        <x:v>peristedion cataphractum</x:v>
      </x:c>
      <x:c r="O173" s="32" t="n">
        <x:v>3.6</x:v>
      </x:c>
      <x:c r="P173" s="24" t="str">
        <x:v>exact_sea_around_us</x:v>
      </x:c>
      <x:c r="Q173" s="32" t="str">
        <x:v>Sea Around Us exploited organisms</x:v>
      </x:c>
      <x:c r="R173" s="24" t="str">
        <x:v>high</x:v>
      </x:c>
      <x:c r="S173" s="24" t="str">
        <x:v>Peristedion cataphractum</x:v>
      </x:c>
      <x:c r="T173" s="32" t="n">
        <x:f>IF(O173="","",(1/'Metadata'!$B$5)^(O173-1))</x:f>
        <x:v>398.1071705534973</x:v>
      </x:c>
      <x:c r="U173" s="31" t="n">
        <x:f>IF(T173="","",I173*T173)</x:f>
        <x:v>88.09233348460647</x:v>
      </x:c>
    </x:row>
    <x:row r="174" ht="18" customHeight="1">
      <x:c r="A174" s="24" t="str">
        <x:v>EEZ_470</x:v>
      </x:c>
      <x:c r="B174" s="24" t="str">
        <x:v>Malta</x:v>
      </x:c>
      <x:c r="C174" s="24" t="str">
        <x:v>EEZ</x:v>
      </x:c>
      <x:c r="D174" s="30" t="n">
        <x:v>2019</x:v>
      </x:c>
      <x:c r="E174" s="24" t="str">
        <x:v>Lepidotrigla cavillone</x:v>
      </x:c>
      <x:c r="F174" s="24" t="str">
        <x:v>Large-scaled gurnard</x:v>
      </x:c>
      <x:c r="G174" s="24" t="str">
        <x:v>Small demersals (&lt;30 cm)</x:v>
      </x:c>
      <x:c r="H174" s="24" t="str">
        <x:v>Scorpionfishes</x:v>
      </x:c>
      <x:c r="I174" s="31" t="n">
        <x:v>0.2212779372</x:v>
      </x:c>
      <x:c r="J174" s="31" t="n">
        <x:v>0</x:v>
      </x:c>
      <x:c r="K174" s="31" t="n">
        <x:v>0.2212779372</x:v>
      </x:c>
      <x:c r="L174" s="31" t="n">
        <x:v>0</x:v>
      </x:c>
      <x:c r="M174" s="31" t="n">
        <x:v>0.2212779372</x:v>
      </x:c>
      <x:c r="N174" s="24" t="str">
        <x:v>lepidotrigla cavillone</x:v>
      </x:c>
      <x:c r="O174" s="32" t="n">
        <x:v>3.33</x:v>
      </x:c>
      <x:c r="P174" s="24" t="str">
        <x:v>exact_2020_supplement</x:v>
      </x:c>
      <x:c r="Q174" s="32" t="str">
        <x:v>2020 supplement MeanTL</x:v>
      </x:c>
      <x:c r="R174" s="24" t="str">
        <x:v>high</x:v>
      </x:c>
      <x:c r="S174" s="24" t="str">
        <x:v>Lepidotrigla cavillone</x:v>
      </x:c>
      <x:c r="T174" s="32" t="n">
        <x:f>IF(O174="","",(1/'Metadata'!$B$5)^(O174-1))</x:f>
        <x:v>213.79620895022325</x:v>
      </x:c>
      <x:c r="U174" s="31" t="n">
        <x:f>IF(T174="","",I174*T174)</x:f>
        <x:v>47.308384097685575</x:v>
      </x:c>
    </x:row>
    <x:row r="175" ht="18" customHeight="1">
      <x:c r="A175" s="24" t="str">
        <x:v>EEZ_470</x:v>
      </x:c>
      <x:c r="B175" s="24" t="str">
        <x:v>Malta</x:v>
      </x:c>
      <x:c r="C175" s="24" t="str">
        <x:v>EEZ</x:v>
      </x:c>
      <x:c r="D175" s="30" t="n">
        <x:v>2019</x:v>
      </x:c>
      <x:c r="E175" s="24" t="str">
        <x:v>Sciaenidae</x:v>
      </x:c>
      <x:c r="F175" s="24" t="str">
        <x:v>Drums, croakers</x:v>
      </x:c>
      <x:c r="G175" s="24" t="str">
        <x:v>Medium demersals (30 - 89 cm)</x:v>
      </x:c>
      <x:c r="H175" s="24" t="str">
        <x:v>Perch-likes</x:v>
      </x:c>
      <x:c r="I175" s="31" t="n">
        <x:v>0.2105455185</x:v>
      </x:c>
      <x:c r="J175" s="31" t="n">
        <x:v>0.2105455185</x:v>
      </x:c>
      <x:c r="K175" s="31" t="n">
        <x:v>0</x:v>
      </x:c>
      <x:c r="L175" s="31" t="n">
        <x:v>0.08</x:v>
      </x:c>
      <x:c r="M175" s="31" t="n">
        <x:v>0.13054551849999999</x:v>
      </x:c>
      <x:c r="N175" s="24" t="str">
        <x:v>sciaenidae</x:v>
      </x:c>
      <x:c r="O175" s="32" t="n">
        <x:v>3.76</x:v>
      </x:c>
      <x:c r="P175" s="24" t="str">
        <x:v>exact_sea_around_us</x:v>
      </x:c>
      <x:c r="Q175" s="32" t="str">
        <x:v>Sea Around Us exploited organisms</x:v>
      </x:c>
      <x:c r="R175" s="24" t="str">
        <x:v>high</x:v>
      </x:c>
      <x:c r="S175" s="24" t="str">
        <x:v>Sciaenidae</x:v>
      </x:c>
      <x:c r="T175" s="32" t="n">
        <x:f>IF(O175="","",(1/'Metadata'!$B$5)^(O175-1))</x:f>
        <x:v>575.4399373371566</x:v>
      </x:c>
      <x:c r="U175" s="31" t="n">
        <x:f>IF(T175="","",I175*T175)</x:f>
        <x:v>121.15629997225915</x:v>
      </x:c>
    </x:row>
    <x:row r="176" ht="18" customHeight="1">
      <x:c r="A176" s="24" t="str">
        <x:v>EEZ_470</x:v>
      </x:c>
      <x:c r="B176" s="24" t="str">
        <x:v>Malta</x:v>
      </x:c>
      <x:c r="C176" s="24" t="str">
        <x:v>EEZ</x:v>
      </x:c>
      <x:c r="D176" s="30" t="n">
        <x:v>2019</x:v>
      </x:c>
      <x:c r="E176" s="24" t="str">
        <x:v>Katsuwonus pelamis</x:v>
      </x:c>
      <x:c r="F176" s="24" t="str">
        <x:v>Skipjack tuna</x:v>
      </x:c>
      <x:c r="G176" s="24" t="str">
        <x:v>Large pelagics (&gt;=90 cm)</x:v>
      </x:c>
      <x:c r="H176" s="24" t="str">
        <x:v>Tuna &amp; billfishes</x:v>
      </x:c>
      <x:c r="I176" s="31" t="n">
        <x:v>0.1861449487</x:v>
      </x:c>
      <x:c r="J176" s="31" t="n">
        <x:v>0.1861449487</x:v>
      </x:c>
      <x:c r="K176" s="31" t="n">
        <x:v>0</x:v>
      </x:c>
      <x:c r="L176" s="31" t="n">
        <x:v>0.1861449487</x:v>
      </x:c>
      <x:c r="M176" s="31" t="n">
        <x:v>0</x:v>
      </x:c>
      <x:c r="N176" s="24" t="str">
        <x:v>katsuwonus pelamis</x:v>
      </x:c>
      <x:c r="O176" s="32" t="n">
        <x:v>4.43</x:v>
      </x:c>
      <x:c r="P176" s="24" t="str">
        <x:v>exact_2020_supplement</x:v>
      </x:c>
      <x:c r="Q176" s="32" t="str">
        <x:v>2020 supplement MeanTL</x:v>
      </x:c>
      <x:c r="R176" s="24" t="str">
        <x:v>high</x:v>
      </x:c>
      <x:c r="S176" s="24" t="str">
        <x:v>Katsuwonus pelamis</x:v>
      </x:c>
      <x:c r="T176" s="32" t="n">
        <x:f>IF(O176="","",(1/'Metadata'!$B$5)^(O176-1))</x:f>
        <x:v>2691.534803926914</x:v>
      </x:c>
      <x:c r="U176" s="31" t="n">
        <x:f>IF(T176="","",I176*T176)</x:f>
        <x:v>501.01560800123997</x:v>
      </x:c>
    </x:row>
    <x:row r="177" ht="18" customHeight="1">
      <x:c r="A177" s="24" t="str">
        <x:v>EEZ_470</x:v>
      </x:c>
      <x:c r="B177" s="24" t="str">
        <x:v>Malta</x:v>
      </x:c>
      <x:c r="C177" s="24" t="str">
        <x:v>EEZ</x:v>
      </x:c>
      <x:c r="D177" s="30" t="n">
        <x:v>2019</x:v>
      </x:c>
      <x:c r="E177" s="24" t="str">
        <x:v>Myliobatidae</x:v>
      </x:c>
      <x:c r="F177" s="24" t="str">
        <x:v>Eagle/manta rays</x:v>
      </x:c>
      <x:c r="G177" s="24" t="str">
        <x:v>Large rays (&gt;=90 cm)</x:v>
      </x:c>
      <x:c r="H177" s="24" t="str">
        <x:v>Sharks &amp; rays</x:v>
      </x:c>
      <x:c r="I177" s="31" t="n">
        <x:v>0.1765104743</x:v>
      </x:c>
      <x:c r="J177" s="31" t="n">
        <x:v>0.1765104743</x:v>
      </x:c>
      <x:c r="K177" s="31" t="n">
        <x:v>0</x:v>
      </x:c>
      <x:c r="L177" s="31" t="n">
        <x:v>0</x:v>
      </x:c>
      <x:c r="M177" s="31" t="n">
        <x:v>0.1765104743</x:v>
      </x:c>
      <x:c r="N177" s="24" t="str">
        <x:v>myliobatidae</x:v>
      </x:c>
      <x:c r="O177" s="32" t="n">
        <x:v>3.36</x:v>
      </x:c>
      <x:c r="P177" s="24" t="str">
        <x:v>exact_sea_around_us</x:v>
      </x:c>
      <x:c r="Q177" s="32" t="str">
        <x:v>Sea Around Us exploited organisms</x:v>
      </x:c>
      <x:c r="R177" s="24" t="str">
        <x:v>high</x:v>
      </x:c>
      <x:c r="S177" s="24" t="str">
        <x:v>Myliobatidae</x:v>
      </x:c>
      <x:c r="T177" s="32" t="n">
        <x:f>IF(O177="","",(1/'Metadata'!$B$5)^(O177-1))</x:f>
        <x:v>229.08676527677724</x:v>
      </x:c>
      <x:c r="U177" s="31" t="n">
        <x:f>IF(T177="","",I177*T177)</x:f>
        <x:v>40.436213594856724</x:v>
      </x:c>
    </x:row>
    <x:row r="178" ht="18" customHeight="1">
      <x:c r="A178" s="24" t="str">
        <x:v>EEZ_470</x:v>
      </x:c>
      <x:c r="B178" s="24" t="str">
        <x:v>Malta</x:v>
      </x:c>
      <x:c r="C178" s="24" t="str">
        <x:v>EEZ</x:v>
      </x:c>
      <x:c r="D178" s="30" t="n">
        <x:v>2019</x:v>
      </x:c>
      <x:c r="E178" s="24" t="str">
        <x:v>Trachinidae</x:v>
      </x:c>
      <x:c r="F178" s="24" t="str">
        <x:v>Weeverfishes</x:v>
      </x:c>
      <x:c r="G178" s="24" t="str">
        <x:v>Medium demersals (30 - 89 cm)</x:v>
      </x:c>
      <x:c r="H178" s="24" t="str">
        <x:v>Perch-likes</x:v>
      </x:c>
      <x:c r="I178" s="31" t="n">
        <x:v>0.1713189759</x:v>
      </x:c>
      <x:c r="J178" s="31" t="n">
        <x:v>0.1713189759</x:v>
      </x:c>
      <x:c r="K178" s="31" t="n">
        <x:v>0</x:v>
      </x:c>
      <x:c r="L178" s="31" t="n">
        <x:v>0</x:v>
      </x:c>
      <x:c r="M178" s="31" t="n">
        <x:v>0.1713189759</x:v>
      </x:c>
      <x:c r="N178" s="24" t="str">
        <x:v>trachinidae</x:v>
      </x:c>
      <x:c r="O178" s="32" t="n">
        <x:v>3.95</x:v>
      </x:c>
      <x:c r="P178" s="24" t="str">
        <x:v>exact_sea_around_us</x:v>
      </x:c>
      <x:c r="Q178" s="32" t="str">
        <x:v>Sea Around Us exploited organisms</x:v>
      </x:c>
      <x:c r="R178" s="24" t="str">
        <x:v>high</x:v>
      </x:c>
      <x:c r="S178" s="24" t="str">
        <x:v>Trachinidae</x:v>
      </x:c>
      <x:c r="T178" s="32" t="n">
        <x:f>IF(O178="","",(1/'Metadata'!$B$5)^(O178-1))</x:f>
        <x:v>891.2509381337459</x:v>
      </x:c>
      <x:c r="U178" s="31" t="n">
        <x:f>IF(T178="","",I178*T178)</x:f>
        <x:v>152.68819799098762</x:v>
      </x:c>
    </x:row>
    <x:row r="179" ht="18" customHeight="1">
      <x:c r="A179" s="24" t="str">
        <x:v>EEZ_470</x:v>
      </x:c>
      <x:c r="B179" s="24" t="str">
        <x:v>Malta</x:v>
      </x:c>
      <x:c r="C179" s="24" t="str">
        <x:v>EEZ</x:v>
      </x:c>
      <x:c r="D179" s="30" t="n">
        <x:v>2019</x:v>
      </x:c>
      <x:c r="E179" s="24" t="str">
        <x:v>Anguilliformes</x:v>
      </x:c>
      <x:c r="F179" s="24" t="str">
        <x:v>Eels, morays</x:v>
      </x:c>
      <x:c r="G179" s="24" t="str">
        <x:v>Large demersals (&gt;=90 cm)</x:v>
      </x:c>
      <x:c r="H179" s="24" t="str">
        <x:v>Other fishes &amp; inverts</x:v>
      </x:c>
      <x:c r="I179" s="31" t="n">
        <x:v>0.1659584527</x:v>
      </x:c>
      <x:c r="J179" s="31" t="n">
        <x:v>0</x:v>
      </x:c>
      <x:c r="K179" s="31" t="n">
        <x:v>0.1659584527</x:v>
      </x:c>
      <x:c r="L179" s="31" t="n">
        <x:v>0</x:v>
      </x:c>
      <x:c r="M179" s="31" t="n">
        <x:v>0.1659584527</x:v>
      </x:c>
      <x:c r="N179" s="24" t="str">
        <x:v>anguilliformes</x:v>
      </x:c>
      <x:c r="O179" s="32" t="n">
        <x:v>3.89</x:v>
      </x:c>
      <x:c r="P179" s="24" t="str">
        <x:v>exact_sea_around_us</x:v>
      </x:c>
      <x:c r="Q179" s="32" t="str">
        <x:v>Sea Around Us exploited organisms</x:v>
      </x:c>
      <x:c r="R179" s="24" t="str">
        <x:v>high</x:v>
      </x:c>
      <x:c r="S179" s="24" t="str">
        <x:v>Anguilliformes</x:v>
      </x:c>
      <x:c r="T179" s="32" t="n">
        <x:f>IF(O179="","",(1/'Metadata'!$B$5)^(O179-1))</x:f>
        <x:v>776.247116628692</x:v>
      </x:c>
      <x:c r="U179" s="31" t="n">
        <x:f>IF(T179="","",I179*T179)</x:f>
        <x:v>128.82477038853418</x:v>
      </x:c>
    </x:row>
    <x:row r="180" ht="18" customHeight="1">
      <x:c r="A180" s="24" t="str">
        <x:v>EEZ_470</x:v>
      </x:c>
      <x:c r="B180" s="24" t="str">
        <x:v>Malta</x:v>
      </x:c>
      <x:c r="C180" s="24" t="str">
        <x:v>EEZ</x:v>
      </x:c>
      <x:c r="D180" s="30" t="n">
        <x:v>2019</x:v>
      </x:c>
      <x:c r="E180" s="24" t="str">
        <x:v>Goneplax rhomboides</x:v>
      </x:c>
      <x:c r="F180" s="24" t="str">
        <x:v>Goneplax rhomboides</x:v>
      </x:c>
      <x:c r="G180" s="24" t="str">
        <x:v>Lobsters, crabs</x:v>
      </x:c>
      <x:c r="H180" s="24" t="str">
        <x:v>Crustaceans</x:v>
      </x:c>
      <x:c r="I180" s="31" t="n">
        <x:v>0.1659584527</x:v>
      </x:c>
      <x:c r="J180" s="31" t="n">
        <x:v>0</x:v>
      </x:c>
      <x:c r="K180" s="31" t="n">
        <x:v>0.1659584527</x:v>
      </x:c>
      <x:c r="L180" s="31" t="n">
        <x:v>0</x:v>
      </x:c>
      <x:c r="M180" s="31" t="n">
        <x:v>0.1659584527</x:v>
      </x:c>
      <x:c r="N180" s="24" t="str">
        <x:v>goneplax rhomboides</x:v>
      </x:c>
      <x:c r="O180" s="32" t="n">
        <x:v>2.82</x:v>
      </x:c>
      <x:c r="P180" s="24" t="str">
        <x:v>exact_sea_around_us</x:v>
      </x:c>
      <x:c r="Q180" s="32" t="str">
        <x:v>Sea Around Us exploited organisms</x:v>
      </x:c>
      <x:c r="R180" s="24" t="str">
        <x:v>high</x:v>
      </x:c>
      <x:c r="S180" s="24" t="str">
        <x:v>Goneplax rhomboides</x:v>
      </x:c>
      <x:c r="T180" s="32" t="n">
        <x:f>IF(O180="","",(1/'Metadata'!$B$5)^(O180-1))</x:f>
        <x:v>66.06934480075958</x:v>
      </x:c>
      <x:c r="U180" s="31" t="n">
        <x:f>IF(T180="","",I180*T180)</x:f>
        <x:v>10.96476623403685</x:v>
      </x:c>
    </x:row>
    <x:row r="181" ht="18" customHeight="1">
      <x:c r="A181" s="24" t="str">
        <x:v>EEZ_470</x:v>
      </x:c>
      <x:c r="B181" s="24" t="str">
        <x:v>Malta</x:v>
      </x:c>
      <x:c r="C181" s="24" t="str">
        <x:v>EEZ</x:v>
      </x:c>
      <x:c r="D181" s="30" t="n">
        <x:v>2019</x:v>
      </x:c>
      <x:c r="E181" s="24" t="str">
        <x:v>Trachinus</x:v>
      </x:c>
      <x:c r="F181" s="24" t="str">
        <x:v>Weevers</x:v>
      </x:c>
      <x:c r="G181" s="24" t="str">
        <x:v>Medium demersals (30 - 89 cm)</x:v>
      </x:c>
      <x:c r="H181" s="24" t="str">
        <x:v>Perch-likes</x:v>
      </x:c>
      <x:c r="I181" s="31" t="n">
        <x:v>0.1625360555</x:v>
      </x:c>
      <x:c r="J181" s="31" t="n">
        <x:v>0.1625360555</x:v>
      </x:c>
      <x:c r="K181" s="31" t="n">
        <x:v>0</x:v>
      </x:c>
      <x:c r="L181" s="31" t="n">
        <x:v>0</x:v>
      </x:c>
      <x:c r="M181" s="31" t="n">
        <x:v>0.1625360555</x:v>
      </x:c>
      <x:c r="N181" s="24" t="str">
        <x:v>trachinus</x:v>
      </x:c>
      <x:c r="O181" s="32" t="n">
        <x:v>3.95</x:v>
      </x:c>
      <x:c r="P181" s="24" t="str">
        <x:v>exact_sea_around_us</x:v>
      </x:c>
      <x:c r="Q181" s="32" t="str">
        <x:v>Sea Around Us exploited organisms</x:v>
      </x:c>
      <x:c r="R181" s="24" t="str">
        <x:v>high</x:v>
      </x:c>
      <x:c r="S181" s="24" t="str">
        <x:v>Trachinus</x:v>
      </x:c>
      <x:c r="T181" s="32" t="n">
        <x:f>IF(O181="","",(1/'Metadata'!$B$5)^(O181-1))</x:f>
        <x:v>891.2509381337459</x:v>
      </x:c>
      <x:c r="U181" s="31" t="n">
        <x:f>IF(T181="","",I181*T181)</x:f>
        <x:v>144.8604119449336</x:v>
      </x:c>
    </x:row>
    <x:row r="182" ht="18" customHeight="1">
      <x:c r="A182" s="24" t="str">
        <x:v>EEZ_470</x:v>
      </x:c>
      <x:c r="B182" s="24" t="str">
        <x:v>Malta</x:v>
      </x:c>
      <x:c r="C182" s="24" t="str">
        <x:v>EEZ</x:v>
      </x:c>
      <x:c r="D182" s="30" t="n">
        <x:v>2019</x:v>
      </x:c>
      <x:c r="E182" s="24" t="str">
        <x:v>Dasyatidae</x:v>
      </x:c>
      <x:c r="F182" s="24" t="str">
        <x:v>Whiptail stingrays</x:v>
      </x:c>
      <x:c r="G182" s="24" t="str">
        <x:v>Large rays (&gt;=90 cm)</x:v>
      </x:c>
      <x:c r="H182" s="24" t="str">
        <x:v>Sharks &amp; rays</x:v>
      </x:c>
      <x:c r="I182" s="31" t="n">
        <x:v>0.145361567</x:v>
      </x:c>
      <x:c r="J182" s="31" t="n">
        <x:v>0.145361567</x:v>
      </x:c>
      <x:c r="K182" s="31" t="n">
        <x:v>0</x:v>
      </x:c>
      <x:c r="L182" s="31" t="n">
        <x:v>0</x:v>
      </x:c>
      <x:c r="M182" s="31" t="n">
        <x:v>0.145361567</x:v>
      </x:c>
      <x:c r="N182" s="24" t="str">
        <x:v>dasyatidae</x:v>
      </x:c>
      <x:c r="O182" s="32" t="n">
        <x:v>3.38</x:v>
      </x:c>
      <x:c r="P182" s="24" t="str">
        <x:v>exact_sea_around_us</x:v>
      </x:c>
      <x:c r="Q182" s="32" t="str">
        <x:v>Sea Around Us exploited organisms</x:v>
      </x:c>
      <x:c r="R182" s="24" t="str">
        <x:v>high</x:v>
      </x:c>
      <x:c r="S182" s="24" t="str">
        <x:v>Dasyatidae</x:v>
      </x:c>
      <x:c r="T182" s="32" t="n">
        <x:f>IF(O182="","",(1/'Metadata'!$B$5)^(O182-1))</x:f>
        <x:v>239.88329190194898</x:v>
      </x:c>
      <x:c r="U182" s="31" t="n">
        <x:f>IF(T182="","",I182*T182)</x:f>
        <x:v>34.86981120798571</x:v>
      </x:c>
    </x:row>
    <x:row r="183" ht="18" customHeight="1">
      <x:c r="A183" s="24" t="str">
        <x:v>EEZ_470</x:v>
      </x:c>
      <x:c r="B183" s="24" t="str">
        <x:v>Malta</x:v>
      </x:c>
      <x:c r="C183" s="24" t="str">
        <x:v>EEZ</x:v>
      </x:c>
      <x:c r="D183" s="30" t="n">
        <x:v>2019</x:v>
      </x:c>
      <x:c r="E183" s="24" t="str">
        <x:v>Liza</x:v>
      </x:c>
      <x:c r="F183" s="24" t="str">
        <x:v>Mullets</x:v>
      </x:c>
      <x:c r="G183" s="24" t="str">
        <x:v>Medium pelagics (30 - 89 cm)</x:v>
      </x:c>
      <x:c r="H183" s="24" t="str">
        <x:v>Perch-likes</x:v>
      </x:c>
      <x:c r="I183" s="31" t="n">
        <x:v>0.130028844</x:v>
      </x:c>
      <x:c r="J183" s="31" t="n">
        <x:v>0.130028844</x:v>
      </x:c>
      <x:c r="K183" s="31" t="n">
        <x:v>0</x:v>
      </x:c>
      <x:c r="L183" s="31" t="n">
        <x:v>0</x:v>
      </x:c>
      <x:c r="M183" s="31" t="n">
        <x:v>0.130028844</x:v>
      </x:c>
      <x:c r="N183" s="24" t="str">
        <x:v>liza</x:v>
      </x:c>
      <x:c r="O183" s="32" t="n">
        <x:v>2.57</x:v>
      </x:c>
      <x:c r="P183" s="24" t="str">
        <x:v>exact_sea_around_us</x:v>
      </x:c>
      <x:c r="Q183" s="32" t="str">
        <x:v>Sea Around Us exploited organisms</x:v>
      </x:c>
      <x:c r="R183" s="24" t="str">
        <x:v>high</x:v>
      </x:c>
      <x:c r="S183" s="24" t="str">
        <x:v>Liza</x:v>
      </x:c>
      <x:c r="T183" s="32" t="n">
        <x:f>IF(O183="","",(1/'Metadata'!$B$5)^(O183-1))</x:f>
        <x:v>37.15352290971724</x:v>
      </x:c>
      <x:c r="U183" s="31" t="n">
        <x:f>IF(T183="","",I183*T183)</x:f>
        <x:v>4.831029634478049</x:v>
      </x:c>
    </x:row>
    <x:row r="184" ht="18" customHeight="1">
      <x:c r="A184" s="24" t="str">
        <x:v>EEZ_470</x:v>
      </x:c>
      <x:c r="B184" s="24" t="str">
        <x:v>Malta</x:v>
      </x:c>
      <x:c r="C184" s="24" t="str">
        <x:v>EEZ</x:v>
      </x:c>
      <x:c r="D184" s="30" t="n">
        <x:v>2019</x:v>
      </x:c>
      <x:c r="E184" s="24" t="str">
        <x:v>Sphyrna zygaena</x:v>
      </x:c>
      <x:c r="F184" s="24" t="str">
        <x:v>Smooth hammerhead</x:v>
      </x:c>
      <x:c r="G184" s="24" t="str">
        <x:v>Large sharks (&gt;=90 cm)</x:v>
      </x:c>
      <x:c r="H184" s="24" t="str">
        <x:v>Sharks &amp; rays</x:v>
      </x:c>
      <x:c r="I184" s="31" t="n">
        <x:v>0.130028844</x:v>
      </x:c>
      <x:c r="J184" s="31" t="n">
        <x:v>0.130028844</x:v>
      </x:c>
      <x:c r="K184" s="31" t="n">
        <x:v>0</x:v>
      </x:c>
      <x:c r="L184" s="31" t="n">
        <x:v>0</x:v>
      </x:c>
      <x:c r="M184" s="31" t="n">
        <x:v>0.130028844</x:v>
      </x:c>
      <x:c r="N184" s="24" t="str">
        <x:v>sphyrna zygaena</x:v>
      </x:c>
      <x:c r="O184" s="32" t="n">
        <x:v>4.94</x:v>
      </x:c>
      <x:c r="P184" s="24" t="str">
        <x:v>exact_2020_supplement</x:v>
      </x:c>
      <x:c r="Q184" s="32" t="str">
        <x:v>2020 supplement MeanTL</x:v>
      </x:c>
      <x:c r="R184" s="24" t="str">
        <x:v>high</x:v>
      </x:c>
      <x:c r="S184" s="24" t="str">
        <x:v>Sphyrna zygaena</x:v>
      </x:c>
      <x:c r="T184" s="32" t="n">
        <x:f>IF(O184="","",(1/'Metadata'!$B$5)^(O184-1))</x:f>
        <x:v>8709.635899560813</x:v>
      </x:c>
      <x:c r="U184" s="31" t="n">
        <x:f>IF(T184="","",I184*T184)</x:f>
        <x:v>1132.5038876807928</x:v>
      </x:c>
    </x:row>
    <x:row r="185" ht="18" customHeight="1">
      <x:c r="A185" s="24" t="str">
        <x:v>EEZ_470</x:v>
      </x:c>
      <x:c r="B185" s="24" t="str">
        <x:v>Malta</x:v>
      </x:c>
      <x:c r="C185" s="24" t="str">
        <x:v>EEZ</x:v>
      </x:c>
      <x:c r="D185" s="30" t="n">
        <x:v>2019</x:v>
      </x:c>
      <x:c r="E185" s="24" t="str">
        <x:v>Scyliorhinus</x:v>
      </x:c>
      <x:c r="F185" s="24" t="str">
        <x:v>Catsharks</x:v>
      </x:c>
      <x:c r="G185" s="24" t="str">
        <x:v>Small to medium sharks (&lt;90 cm)</x:v>
      </x:c>
      <x:c r="H185" s="24" t="str">
        <x:v>Sharks &amp; rays</x:v>
      </x:c>
      <x:c r="I185" s="31" t="n">
        <x:v>0.130028844</x:v>
      </x:c>
      <x:c r="J185" s="31" t="n">
        <x:v>0.130028844</x:v>
      </x:c>
      <x:c r="K185" s="31" t="n">
        <x:v>0</x:v>
      </x:c>
      <x:c r="L185" s="31" t="n">
        <x:v>0</x:v>
      </x:c>
      <x:c r="M185" s="31" t="n">
        <x:v>0.130028844</x:v>
      </x:c>
      <x:c r="N185" s="24" t="str">
        <x:v>scyliorhinus</x:v>
      </x:c>
      <x:c r="O185" s="32" t="n">
        <x:v>3.86</x:v>
      </x:c>
      <x:c r="P185" s="24" t="str">
        <x:v>exact_sea_around_us</x:v>
      </x:c>
      <x:c r="Q185" s="32" t="str">
        <x:v>Sea Around Us exploited organisms</x:v>
      </x:c>
      <x:c r="R185" s="24" t="str">
        <x:v>high</x:v>
      </x:c>
      <x:c r="S185" s="24" t="str">
        <x:v>Scyliorhinus</x:v>
      </x:c>
      <x:c r="T185" s="32" t="n">
        <x:f>IF(O185="","",(1/'Metadata'!$B$5)^(O185-1))</x:f>
        <x:v>724.4359600749899</x:v>
      </x:c>
      <x:c r="U185" s="31" t="n">
        <x:f>IF(T185="","",I185*T185)</x:f>
        <x:v>94.19757044058109</x:v>
      </x:c>
    </x:row>
    <x:row r="186" ht="18" customHeight="1">
      <x:c r="A186" s="24" t="str">
        <x:v>EEZ_470</x:v>
      </x:c>
      <x:c r="B186" s="24" t="str">
        <x:v>Malta</x:v>
      </x:c>
      <x:c r="C186" s="24" t="str">
        <x:v>EEZ</x:v>
      </x:c>
      <x:c r="D186" s="30" t="n">
        <x:v>2019</x:v>
      </x:c>
      <x:c r="E186" s="24" t="str">
        <x:v>Gempylidae</x:v>
      </x:c>
      <x:c r="F186" s="24" t="str">
        <x:v>Snake mackerels</x:v>
      </x:c>
      <x:c r="G186" s="24" t="str">
        <x:v>Large benthopelagics (&gt;=90 cm)</x:v>
      </x:c>
      <x:c r="H186" s="24" t="str">
        <x:v>Perch-likes</x:v>
      </x:c>
      <x:c r="I186" s="31" t="n">
        <x:v>0.124595637</x:v>
      </x:c>
      <x:c r="J186" s="31" t="n">
        <x:v>0.124595637</x:v>
      </x:c>
      <x:c r="K186" s="31" t="n">
        <x:v>0</x:v>
      </x:c>
      <x:c r="L186" s="31" t="n">
        <x:v>0</x:v>
      </x:c>
      <x:c r="M186" s="31" t="n">
        <x:v>0.124595637</x:v>
      </x:c>
      <x:c r="N186" s="24" t="str">
        <x:v>gempylidae</x:v>
      </x:c>
      <x:c r="O186" s="32" t="n">
        <x:v>4.21</x:v>
      </x:c>
      <x:c r="P186" s="24" t="str">
        <x:v>exact_sea_around_us</x:v>
      </x:c>
      <x:c r="Q186" s="32" t="str">
        <x:v>Sea Around Us exploited organisms</x:v>
      </x:c>
      <x:c r="R186" s="24" t="str">
        <x:v>high</x:v>
      </x:c>
      <x:c r="S186" s="24" t="str">
        <x:v>Gempylidae</x:v>
      </x:c>
      <x:c r="T186" s="32" t="n">
        <x:f>IF(O186="","",(1/'Metadata'!$B$5)^(O186-1))</x:f>
        <x:v>1621.8100973589299</x:v>
      </x:c>
      <x:c r="U186" s="31" t="n">
        <x:f>IF(T186="","",I186*T186)</x:f>
        <x:v>202.0704621734679</x:v>
      </x:c>
    </x:row>
    <x:row r="187" ht="18" customHeight="1">
      <x:c r="A187" s="24" t="str">
        <x:v>EEZ_470</x:v>
      </x:c>
      <x:c r="B187" s="24" t="str">
        <x:v>Malta</x:v>
      </x:c>
      <x:c r="C187" s="24" t="str">
        <x:v>EEZ</x:v>
      </x:c>
      <x:c r="D187" s="30" t="n">
        <x:v>2019</x:v>
      </x:c>
      <x:c r="E187" s="24" t="str">
        <x:v>Labrus merula</x:v>
      </x:c>
      <x:c r="F187" s="24" t="str">
        <x:v>Brown wrasse</x:v>
      </x:c>
      <x:c r="G187" s="24" t="str">
        <x:v>Medium reef assoc. fish (30 - 89 cm)</x:v>
      </x:c>
      <x:c r="H187" s="24" t="str">
        <x:v>Perch-likes</x:v>
      </x:c>
      <x:c r="I187" s="31" t="n">
        <x:v>0.1083573706</x:v>
      </x:c>
      <x:c r="J187" s="31" t="n">
        <x:v>0.1083573706</x:v>
      </x:c>
      <x:c r="K187" s="31" t="n">
        <x:v>0</x:v>
      </x:c>
      <x:c r="L187" s="31" t="n">
        <x:v>0</x:v>
      </x:c>
      <x:c r="M187" s="31" t="n">
        <x:v>0.1083573706</x:v>
      </x:c>
      <x:c r="N187" s="24" t="str">
        <x:v>labrus merula</x:v>
      </x:c>
      <x:c r="O187" s="32" t="n">
        <x:v>3.55</x:v>
      </x:c>
      <x:c r="P187" s="24" t="str">
        <x:v>exact_2020_supplement</x:v>
      </x:c>
      <x:c r="Q187" s="32" t="str">
        <x:v>2020 supplement MeanTL</x:v>
      </x:c>
      <x:c r="R187" s="24" t="str">
        <x:v>high</x:v>
      </x:c>
      <x:c r="S187" s="24" t="str">
        <x:v>Labrus merula</x:v>
      </x:c>
      <x:c r="T187" s="32" t="n">
        <x:f>IF(O187="","",(1/'Metadata'!$B$5)^(O187-1))</x:f>
        <x:v>354.8133892335753</x:v>
      </x:c>
      <x:c r="U187" s="31" t="n">
        <x:f>IF(T187="","",I187*T187)</x:f>
        <x:v>38.446645911024575</x:v>
      </x:c>
    </x:row>
    <x:row r="188" ht="18" customHeight="1">
      <x:c r="A188" s="24" t="str">
        <x:v>EEZ_470</x:v>
      </x:c>
      <x:c r="B188" s="24" t="str">
        <x:v>Malta</x:v>
      </x:c>
      <x:c r="C188" s="24" t="str">
        <x:v>EEZ</x:v>
      </x:c>
      <x:c r="D188" s="30" t="n">
        <x:v>2019</x:v>
      </x:c>
      <x:c r="E188" s="24" t="str">
        <x:v>Lamnidae</x:v>
      </x:c>
      <x:c r="F188" s="24" t="str">
        <x:v>Mackerel/white sharks</x:v>
      </x:c>
      <x:c r="G188" s="24" t="str">
        <x:v>Large sharks (&gt;=90 cm)</x:v>
      </x:c>
      <x:c r="H188" s="24" t="str">
        <x:v>Sharks &amp; rays</x:v>
      </x:c>
      <x:c r="I188" s="31" t="n">
        <x:v>0.1007169374</x:v>
      </x:c>
      <x:c r="J188" s="31" t="n">
        <x:v>0.1007169374</x:v>
      </x:c>
      <x:c r="K188" s="31" t="n">
        <x:v>0</x:v>
      </x:c>
      <x:c r="L188" s="31" t="n">
        <x:v>0</x:v>
      </x:c>
      <x:c r="M188" s="31" t="n">
        <x:v>0.1007169374</x:v>
      </x:c>
      <x:c r="N188" s="24" t="str">
        <x:v>lamnidae</x:v>
      </x:c>
      <x:c r="O188" s="32" t="n">
        <x:v>4.5</x:v>
      </x:c>
      <x:c r="P188" s="24" t="str">
        <x:v>exact_sea_around_us</x:v>
      </x:c>
      <x:c r="Q188" s="32" t="str">
        <x:v>Sea Around Us exploited organisms</x:v>
      </x:c>
      <x:c r="R188" s="24" t="str">
        <x:v>high</x:v>
      </x:c>
      <x:c r="S188" s="24" t="str">
        <x:v>Lamnidae</x:v>
      </x:c>
      <x:c r="T188" s="32" t="n">
        <x:f>IF(O188="","",(1/'Metadata'!$B$5)^(O188-1))</x:f>
        <x:v>3162.2776601683795</x:v>
      </x:c>
      <x:c r="U188" s="31" t="n">
        <x:f>IF(T188="","",I188*T188)</x:f>
        <x:v>318.49492114059717</x:v>
      </x:c>
    </x:row>
    <x:row r="189" ht="18" customHeight="1">
      <x:c r="A189" s="24" t="str">
        <x:v>EEZ_470</x:v>
      </x:c>
      <x:c r="B189" s="24" t="str">
        <x:v>Malta</x:v>
      </x:c>
      <x:c r="C189" s="24" t="str">
        <x:v>EEZ</x:v>
      </x:c>
      <x:c r="D189" s="30" t="n">
        <x:v>2019</x:v>
      </x:c>
      <x:c r="E189" s="24" t="str">
        <x:v>Raja montagui</x:v>
      </x:c>
      <x:c r="F189" s="24" t="str">
        <x:v>Spotted ray</x:v>
      </x:c>
      <x:c r="G189" s="24" t="str">
        <x:v>Small to medium rays (&lt;90 cm)</x:v>
      </x:c>
      <x:c r="H189" s="24" t="str">
        <x:v>Sharks &amp; rays</x:v>
      </x:c>
      <x:c r="I189" s="31" t="n">
        <x:v>0.084376227</x:v>
      </x:c>
      <x:c r="J189" s="31" t="n">
        <x:v>0.084376227</x:v>
      </x:c>
      <x:c r="K189" s="31" t="n">
        <x:v>0</x:v>
      </x:c>
      <x:c r="L189" s="31" t="n">
        <x:v>0.06286786999999999</x:v>
      </x:c>
      <x:c r="M189" s="31" t="n">
        <x:v>0.021508357000000002</x:v>
      </x:c>
      <x:c r="N189" s="24" t="str">
        <x:v>raja montagui</x:v>
      </x:c>
      <x:c r="O189" s="32" t="n">
        <x:v>3.88</x:v>
      </x:c>
      <x:c r="P189" s="24" t="str">
        <x:v>exact_2020_supplement</x:v>
      </x:c>
      <x:c r="Q189" s="32" t="str">
        <x:v>2020 supplement MeanTL</x:v>
      </x:c>
      <x:c r="R189" s="24" t="str">
        <x:v>high</x:v>
      </x:c>
      <x:c r="S189" s="24" t="str">
        <x:v>Raja montagui</x:v>
      </x:c>
      <x:c r="T189" s="32" t="n">
        <x:f>IF(O189="","",(1/'Metadata'!$B$5)^(O189-1))</x:f>
        <x:v>758.5775750291835</x:v>
      </x:c>
      <x:c r="U189" s="31" t="n">
        <x:f>IF(T189="","",I189*T189)</x:f>
        <x:v>64.00591366777192</x:v>
      </x:c>
    </x:row>
    <x:row r="190" ht="18" customHeight="1">
      <x:c r="A190" s="24" t="str">
        <x:v>EEZ_470</x:v>
      </x:c>
      <x:c r="B190" s="24" t="str">
        <x:v>Malta</x:v>
      </x:c>
      <x:c r="C190" s="24" t="str">
        <x:v>EEZ</x:v>
      </x:c>
      <x:c r="D190" s="30" t="n">
        <x:v>2019</x:v>
      </x:c>
      <x:c r="E190" s="24" t="str">
        <x:v>Sciaena umbra</x:v>
      </x:c>
      <x:c r="F190" s="24" t="str">
        <x:v>Brown meagre</x:v>
      </x:c>
      <x:c r="G190" s="24" t="str">
        <x:v>Medium demersals (30 - 89 cm)</x:v>
      </x:c>
      <x:c r="H190" s="24" t="str">
        <x:v>Perch-likes</x:v>
      </x:c>
      <x:c r="I190" s="31" t="n">
        <x:v>0.08</x:v>
      </x:c>
      <x:c r="J190" s="31" t="n">
        <x:v>0.08</x:v>
      </x:c>
      <x:c r="K190" s="31" t="n">
        <x:v>0</x:v>
      </x:c>
      <x:c r="L190" s="31" t="n">
        <x:v>0.08</x:v>
      </x:c>
      <x:c r="M190" s="31" t="n">
        <x:v>0</x:v>
      </x:c>
      <x:c r="N190" s="24" t="str">
        <x:v>sciaena umbra</x:v>
      </x:c>
      <x:c r="O190" s="32" t="n">
        <x:v>3.75</x:v>
      </x:c>
      <x:c r="P190" s="24" t="str">
        <x:v>exact_2020_supplement</x:v>
      </x:c>
      <x:c r="Q190" s="32" t="str">
        <x:v>2020 supplement MeanTL</x:v>
      </x:c>
      <x:c r="R190" s="24" t="str">
        <x:v>high</x:v>
      </x:c>
      <x:c r="S190" s="24" t="str">
        <x:v>Sciaena umbra</x:v>
      </x:c>
      <x:c r="T190" s="32" t="n">
        <x:f>IF(O190="","",(1/'Metadata'!$B$5)^(O190-1))</x:f>
        <x:v>562.341325190349</x:v>
      </x:c>
      <x:c r="U190" s="31" t="n">
        <x:f>IF(T190="","",I190*T190)</x:f>
        <x:v>44.98730601522792</x:v>
      </x:c>
    </x:row>
    <x:row r="191" ht="18" customHeight="1">
      <x:c r="A191" s="24" t="str">
        <x:v>EEZ_470</x:v>
      </x:c>
      <x:c r="B191" s="24" t="str">
        <x:v>Malta</x:v>
      </x:c>
      <x:c r="C191" s="24" t="str">
        <x:v>EEZ</x:v>
      </x:c>
      <x:c r="D191" s="30" t="n">
        <x:v>2019</x:v>
      </x:c>
      <x:c r="E191" s="24" t="str">
        <x:v>Gastropoda</x:v>
      </x:c>
      <x:c r="F191" s="24" t="str">
        <x:v>Sea snails</x:v>
      </x:c>
      <x:c r="G191" s="24" t="str">
        <x:v>Other demersal invertebrates</x:v>
      </x:c>
      <x:c r="H191" s="24" t="str">
        <x:v>Molluscs</x:v>
      </x:c>
      <x:c r="I191" s="31" t="n">
        <x:v>0.076748543</x:v>
      </x:c>
      <x:c r="J191" s="31" t="n">
        <x:v>0.076748543</x:v>
      </x:c>
      <x:c r="K191" s="31" t="n">
        <x:v>0</x:v>
      </x:c>
      <x:c r="L191" s="31" t="n">
        <x:v>0</x:v>
      </x:c>
      <x:c r="M191" s="31" t="n">
        <x:v>0.076748543</x:v>
      </x:c>
      <x:c r="N191" s="24" t="str">
        <x:v>gastropoda</x:v>
      </x:c>
      <x:c r="O191" s="32" t="n">
        <x:v>3.06</x:v>
      </x:c>
      <x:c r="P191" s="24" t="str">
        <x:v>exact_sea_around_us</x:v>
      </x:c>
      <x:c r="Q191" s="32" t="str">
        <x:v>Sea Around Us exploited organisms</x:v>
      </x:c>
      <x:c r="R191" s="24" t="str">
        <x:v>high</x:v>
      </x:c>
      <x:c r="S191" s="24" t="str">
        <x:v>Gastropoda</x:v>
      </x:c>
      <x:c r="T191" s="32" t="n">
        <x:f>IF(O191="","",(1/'Metadata'!$B$5)^(O191-1))</x:f>
        <x:v>114.81536214968828</x:v>
      </x:c>
      <x:c r="U191" s="31" t="n">
        <x:f>IF(T191="","",I191*T191)</x:f>
        <x:v>8.811911759005923</x:v>
      </x:c>
    </x:row>
    <x:row r="192" ht="18" customHeight="1">
      <x:c r="A192" s="24" t="str">
        <x:v>EEZ_470</x:v>
      </x:c>
      <x:c r="B192" s="24" t="str">
        <x:v>Malta</x:v>
      </x:c>
      <x:c r="C192" s="24" t="str">
        <x:v>EEZ</x:v>
      </x:c>
      <x:c r="D192" s="30" t="n">
        <x:v>2019</x:v>
      </x:c>
      <x:c r="E192" s="24" t="str">
        <x:v>Squaliformes</x:v>
      </x:c>
      <x:c r="F192" s="24" t="str">
        <x:v>Bramble, sleeper, dogfish sharks</x:v>
      </x:c>
      <x:c r="G192" s="24" t="str">
        <x:v>Large sharks (&gt;=90 cm)</x:v>
      </x:c>
      <x:c r="H192" s="24" t="str">
        <x:v>Sharks &amp; rays</x:v>
      </x:c>
      <x:c r="I192" s="31" t="n">
        <x:v>0.0767376943</x:v>
      </x:c>
      <x:c r="J192" s="31" t="n">
        <x:v>0.0767376943</x:v>
      </x:c>
      <x:c r="K192" s="31" t="n">
        <x:v>0</x:v>
      </x:c>
      <x:c r="L192" s="31" t="n">
        <x:v>0</x:v>
      </x:c>
      <x:c r="M192" s="31" t="n">
        <x:v>0.0767376943</x:v>
      </x:c>
      <x:c r="N192" s="24" t="str">
        <x:v>squaliformes</x:v>
      </x:c>
      <x:c r="O192" s="32" t="n">
        <x:v>4.19</x:v>
      </x:c>
      <x:c r="P192" s="24" t="str">
        <x:v>exact_sea_around_us</x:v>
      </x:c>
      <x:c r="Q192" s="32" t="str">
        <x:v>Sea Around Us exploited organisms</x:v>
      </x:c>
      <x:c r="R192" s="24" t="str">
        <x:v>high</x:v>
      </x:c>
      <x:c r="S192" s="24" t="str">
        <x:v>Squaliformes</x:v>
      </x:c>
      <x:c r="T192" s="32" t="n">
        <x:f>IF(O192="","",(1/'Metadata'!$B$5)^(O192-1))</x:f>
        <x:v>1548.8166189124827</x:v>
      </x:c>
      <x:c r="U192" s="31" t="n">
        <x:f>IF(T192="","",I192*T192)</x:f>
        <x:v>118.8526162288657</x:v>
      </x:c>
    </x:row>
    <x:row r="193" ht="18" customHeight="1">
      <x:c r="A193" s="24" t="str">
        <x:v>EEZ_470</x:v>
      </x:c>
      <x:c r="B193" s="24" t="str">
        <x:v>Malta</x:v>
      </x:c>
      <x:c r="C193" s="24" t="str">
        <x:v>EEZ</x:v>
      </x:c>
      <x:c r="D193" s="30" t="n">
        <x:v>2019</x:v>
      </x:c>
      <x:c r="E193" s="24" t="str">
        <x:v>Dentex</x:v>
      </x:c>
      <x:c r="F193" s="24" t="str">
        <x:v>Toothed seabreams</x:v>
      </x:c>
      <x:c r="G193" s="24" t="str">
        <x:v>Large benthopelagics (&gt;=90 cm)</x:v>
      </x:c>
      <x:c r="H193" s="24" t="str">
        <x:v>Perch-likes</x:v>
      </x:c>
      <x:c r="I193" s="31" t="n">
        <x:v>0.0650144226</x:v>
      </x:c>
      <x:c r="J193" s="31" t="n">
        <x:v>0.0650144226</x:v>
      </x:c>
      <x:c r="K193" s="31" t="n">
        <x:v>0</x:v>
      </x:c>
      <x:c r="L193" s="31" t="n">
        <x:v>0</x:v>
      </x:c>
      <x:c r="M193" s="31" t="n">
        <x:v>0.0650144226</x:v>
      </x:c>
      <x:c r="N193" s="24" t="str">
        <x:v>dentex</x:v>
      </x:c>
      <x:c r="O193" s="32" t="n">
        <x:v>3.96</x:v>
      </x:c>
      <x:c r="P193" s="24" t="str">
        <x:v>exact_sea_around_us</x:v>
      </x:c>
      <x:c r="Q193" s="32" t="str">
        <x:v>Sea Around Us exploited organisms</x:v>
      </x:c>
      <x:c r="R193" s="24" t="str">
        <x:v>high</x:v>
      </x:c>
      <x:c r="S193" s="24" t="str">
        <x:v>Dentex</x:v>
      </x:c>
      <x:c r="T193" s="32" t="n">
        <x:f>IF(O193="","",(1/'Metadata'!$B$5)^(O193-1))</x:f>
        <x:v>912.0108393559096</x:v>
      </x:c>
      <x:c r="U193" s="31" t="n">
        <x:f>IF(T193="","",I193*T193)</x:f>
        <x:v>59.29385812566582</x:v>
      </x:c>
    </x:row>
    <x:row r="194" ht="18" customHeight="1">
      <x:c r="A194" s="24" t="str">
        <x:v>EEZ_470</x:v>
      </x:c>
      <x:c r="B194" s="24" t="str">
        <x:v>Malta</x:v>
      </x:c>
      <x:c r="C194" s="24" t="str">
        <x:v>EEZ</x:v>
      </x:c>
      <x:c r="D194" s="30" t="n">
        <x:v>2019</x:v>
      </x:c>
      <x:c r="E194" s="24" t="str">
        <x:v>Cephalopoda</x:v>
      </x:c>
      <x:c r="F194" s="24" t="str">
        <x:v>Squids, cuttlefishes, octopuses</x:v>
      </x:c>
      <x:c r="G194" s="24" t="str">
        <x:v>Cephalopods</x:v>
      </x:c>
      <x:c r="H194" s="24" t="str">
        <x:v>Other fishes &amp; inverts</x:v>
      </x:c>
      <x:c r="I194" s="31" t="n">
        <x:v>0.0622978148</x:v>
      </x:c>
      <x:c r="J194" s="31" t="n">
        <x:v>0.0622978148</x:v>
      </x:c>
      <x:c r="K194" s="31" t="n">
        <x:v>0</x:v>
      </x:c>
      <x:c r="L194" s="31" t="n">
        <x:v>0</x:v>
      </x:c>
      <x:c r="M194" s="31" t="n">
        <x:v>0.0622978148</x:v>
      </x:c>
      <x:c r="N194" s="24" t="str">
        <x:v>cephalopoda</x:v>
      </x:c>
      <x:c r="O194" s="32" t="n">
        <x:v>3.81</x:v>
      </x:c>
      <x:c r="P194" s="24" t="str">
        <x:v>exact_sea_around_us</x:v>
      </x:c>
      <x:c r="Q194" s="32" t="str">
        <x:v>Sea Around Us exploited organisms</x:v>
      </x:c>
      <x:c r="R194" s="24" t="str">
        <x:v>high</x:v>
      </x:c>
      <x:c r="S194" s="24" t="str">
        <x:v>Cephalopoda</x:v>
      </x:c>
      <x:c r="T194" s="32" t="n">
        <x:f>IF(O194="","",(1/'Metadata'!$B$5)^(O194-1))</x:f>
        <x:v>645.6542290346556</x:v>
      </x:c>
      <x:c r="U194" s="31" t="n">
        <x:f>IF(T194="","",I194*T194)</x:f>
        <x:v>40.22284758523776</x:v>
      </x:c>
    </x:row>
    <x:row r="195" ht="18" customHeight="1">
      <x:c r="A195" s="24" t="str">
        <x:v>EEZ_470</x:v>
      </x:c>
      <x:c r="B195" s="24" t="str">
        <x:v>Malta</x:v>
      </x:c>
      <x:c r="C195" s="24" t="str">
        <x:v>EEZ</x:v>
      </x:c>
      <x:c r="D195" s="30" t="n">
        <x:v>2019</x:v>
      </x:c>
      <x:c r="E195" s="24" t="str">
        <x:v>Argentina sphyraena</x:v>
      </x:c>
      <x:c r="F195" s="24" t="str">
        <x:v>European argentine</x:v>
      </x:c>
      <x:c r="G195" s="24" t="str">
        <x:v>Medium pelagics (30 - 89 cm)</x:v>
      </x:c>
      <x:c r="H195" s="24" t="str">
        <x:v>Salmon, smelts, etc</x:v>
      </x:c>
      <x:c r="I195" s="31" t="n">
        <x:v>0.0553194836</x:v>
      </x:c>
      <x:c r="J195" s="31" t="n">
        <x:v>0</x:v>
      </x:c>
      <x:c r="K195" s="31" t="n">
        <x:v>0.0553194836</x:v>
      </x:c>
      <x:c r="L195" s="31" t="n">
        <x:v>0</x:v>
      </x:c>
      <x:c r="M195" s="31" t="n">
        <x:v>0.0553194836</x:v>
      </x:c>
      <x:c r="N195" s="24" t="str">
        <x:v>argentina sphyraena</x:v>
      </x:c>
      <x:c r="O195" s="32" t="n">
        <x:v>3.62</x:v>
      </x:c>
      <x:c r="P195" s="24" t="str">
        <x:v>exact_2020_supplement</x:v>
      </x:c>
      <x:c r="Q195" s="32" t="str">
        <x:v>2020 supplement MeanTL</x:v>
      </x:c>
      <x:c r="R195" s="24" t="str">
        <x:v>high</x:v>
      </x:c>
      <x:c r="S195" s="24" t="str">
        <x:v>Argentina sphyraena</x:v>
      </x:c>
      <x:c r="T195" s="32" t="n">
        <x:f>IF(O195="","",(1/'Metadata'!$B$5)^(O195-1))</x:f>
        <x:v>416.8693834703355</x:v>
      </x:c>
      <x:c r="U195" s="31" t="n">
        <x:f>IF(T195="","",I195*T195)</x:f>
        <x:v>23.060999022229336</x:v>
      </x:c>
    </x:row>
    <x:row r="196" ht="18" customHeight="1">
      <x:c r="A196" s="24" t="str">
        <x:v>EEZ_470</x:v>
      </x:c>
      <x:c r="B196" s="24" t="str">
        <x:v>Malta</x:v>
      </x:c>
      <x:c r="C196" s="24" t="str">
        <x:v>EEZ</x:v>
      </x:c>
      <x:c r="D196" s="30" t="n">
        <x:v>2019</x:v>
      </x:c>
      <x:c r="E196" s="24" t="str">
        <x:v>Bothidae</x:v>
      </x:c>
      <x:c r="F196" s="24" t="str">
        <x:v>Lefteye flounders</x:v>
      </x:c>
      <x:c r="G196" s="24" t="str">
        <x:v>Small to medium flatfishes (&lt;90 cm)</x:v>
      </x:c>
      <x:c r="H196" s="24" t="str">
        <x:v>Flatfishes</x:v>
      </x:c>
      <x:c r="I196" s="31" t="n">
        <x:v>0.0553194836</x:v>
      </x:c>
      <x:c r="J196" s="31" t="n">
        <x:v>0</x:v>
      </x:c>
      <x:c r="K196" s="31" t="n">
        <x:v>0.0553194836</x:v>
      </x:c>
      <x:c r="L196" s="31" t="n">
        <x:v>0</x:v>
      </x:c>
      <x:c r="M196" s="31" t="n">
        <x:v>0.0553194836</x:v>
      </x:c>
      <x:c r="N196" s="24" t="str">
        <x:v>bothidae</x:v>
      </x:c>
      <x:c r="O196" s="32" t="n">
        <x:v>3.77</x:v>
      </x:c>
      <x:c r="P196" s="24" t="str">
        <x:v>exact_sea_around_us</x:v>
      </x:c>
      <x:c r="Q196" s="32" t="str">
        <x:v>Sea Around Us exploited organisms</x:v>
      </x:c>
      <x:c r="R196" s="24" t="str">
        <x:v>high</x:v>
      </x:c>
      <x:c r="S196" s="24" t="str">
        <x:v>Bothidae</x:v>
      </x:c>
      <x:c r="T196" s="32" t="n">
        <x:f>IF(O196="","",(1/'Metadata'!$B$5)^(O196-1))</x:f>
        <x:v>588.843655355589</x:v>
      </x:c>
      <x:c r="U196" s="31" t="n">
        <x:f>IF(T196="","",I196*T196)</x:f>
        <x:v>32.574526935407555</x:v>
      </x:c>
    </x:row>
    <x:row r="197" ht="18" customHeight="1">
      <x:c r="A197" s="24" t="str">
        <x:v>EEZ_470</x:v>
      </x:c>
      <x:c r="B197" s="24" t="str">
        <x:v>Malta</x:v>
      </x:c>
      <x:c r="C197" s="24" t="str">
        <x:v>EEZ</x:v>
      </x:c>
      <x:c r="D197" s="30" t="n">
        <x:v>2019</x:v>
      </x:c>
      <x:c r="E197" s="24" t="str">
        <x:v>Echinoidea</x:v>
      </x:c>
      <x:c r="F197" s="24" t="str">
        <x:v>Sea urchins, sea hedgehogs</x:v>
      </x:c>
      <x:c r="G197" s="24" t="str">
        <x:v>Other demersal invertebrates</x:v>
      </x:c>
      <x:c r="H197" s="24" t="str">
        <x:v>Other fishes &amp; inverts</x:v>
      </x:c>
      <x:c r="I197" s="31" t="n">
        <x:v>0.0553194836</x:v>
      </x:c>
      <x:c r="J197" s="31" t="n">
        <x:v>0</x:v>
      </x:c>
      <x:c r="K197" s="31" t="n">
        <x:v>0.0553194836</x:v>
      </x:c>
      <x:c r="L197" s="31" t="n">
        <x:v>0</x:v>
      </x:c>
      <x:c r="M197" s="31" t="n">
        <x:v>0.0553194836</x:v>
      </x:c>
      <x:c r="N197" s="24" t="str">
        <x:v>echinoidea</x:v>
      </x:c>
      <x:c r="O197" s="32" t="n">
        <x:v>2.51</x:v>
      </x:c>
      <x:c r="P197" s="24" t="str">
        <x:v>exact_sea_around_us</x:v>
      </x:c>
      <x:c r="Q197" s="32" t="str">
        <x:v>Sea Around Us exploited organisms</x:v>
      </x:c>
      <x:c r="R197" s="24" t="str">
        <x:v>high</x:v>
      </x:c>
      <x:c r="S197" s="24" t="str">
        <x:v>Echinoidea</x:v>
      </x:c>
      <x:c r="T197" s="32" t="n">
        <x:f>IF(O197="","",(1/'Metadata'!$B$5)^(O197-1))</x:f>
        <x:v>32.35936569296281</x:v>
      </x:c>
      <x:c r="U197" s="31" t="n">
        <x:f>IF(T197="","",I197*T197)</x:f>
        <x:v>1.7901033997582587</x:v>
      </x:c>
    </x:row>
    <x:row r="198" ht="18" customHeight="1">
      <x:c r="A198" s="24" t="str">
        <x:v>EEZ_470</x:v>
      </x:c>
      <x:c r="B198" s="24" t="str">
        <x:v>Malta</x:v>
      </x:c>
      <x:c r="C198" s="24" t="str">
        <x:v>EEZ</x:v>
      </x:c>
      <x:c r="D198" s="30" t="n">
        <x:v>2019</x:v>
      </x:c>
      <x:c r="E198" s="24" t="str">
        <x:v>Lichia amia</x:v>
      </x:c>
      <x:c r="F198" s="24" t="str">
        <x:v>Leerfish</x:v>
      </x:c>
      <x:c r="G198" s="24" t="str">
        <x:v>Large pelagics (&gt;=90 cm)</x:v>
      </x:c>
      <x:c r="H198" s="24" t="str">
        <x:v>Perch-likes</x:v>
      </x:c>
      <x:c r="I198" s="31" t="n">
        <x:v>0.050030569</x:v>
      </x:c>
      <x:c r="J198" s="31" t="n">
        <x:v>0.050030569</x:v>
      </x:c>
      <x:c r="K198" s="31" t="n">
        <x:v>0</x:v>
      </x:c>
      <x:c r="L198" s="31" t="n">
        <x:v>0</x:v>
      </x:c>
      <x:c r="M198" s="31" t="n">
        <x:v>0.050030569</x:v>
      </x:c>
      <x:c r="N198" s="24" t="str">
        <x:v>lichia amia</x:v>
      </x:c>
      <x:c r="O198" s="32" t="n">
        <x:v>4.5</x:v>
      </x:c>
      <x:c r="P198" s="24" t="str">
        <x:v>exact_2020_supplement</x:v>
      </x:c>
      <x:c r="Q198" s="32" t="str">
        <x:v>2020 supplement MeanTL</x:v>
      </x:c>
      <x:c r="R198" s="24" t="str">
        <x:v>high</x:v>
      </x:c>
      <x:c r="S198" s="24" t="str">
        <x:v>Lichia amia</x:v>
      </x:c>
      <x:c r="T198" s="32" t="n">
        <x:f>IF(O198="","",(1/'Metadata'!$B$5)^(O198-1))</x:f>
        <x:v>3162.2776601683795</x:v>
      </x:c>
      <x:c r="U198" s="31" t="n">
        <x:f>IF(T198="","",I198*T198)</x:f>
        <x:v>158.21055067421264</x:v>
      </x:c>
    </x:row>
    <x:row r="199" ht="18" customHeight="1">
      <x:c r="A199" s="24" t="str">
        <x:v>EEZ_470</x:v>
      </x:c>
      <x:c r="B199" s="24" t="str">
        <x:v>Malta</x:v>
      </x:c>
      <x:c r="C199" s="24" t="str">
        <x:v>EEZ</x:v>
      </x:c>
      <x:c r="D199" s="30" t="n">
        <x:v>2019</x:v>
      </x:c>
      <x:c r="E199" s="24" t="str">
        <x:v>Pleuronectiformes</x:v>
      </x:c>
      <x:c r="F199" s="24" t="str">
        <x:v>Flatfishes</x:v>
      </x:c>
      <x:c r="G199" s="24" t="str">
        <x:v>Small to medium flatfishes (&lt;90 cm)</x:v>
      </x:c>
      <x:c r="H199" s="24" t="str">
        <x:v>Flatfishes</x:v>
      </x:c>
      <x:c r="I199" s="31" t="n">
        <x:v>0.0467233612</x:v>
      </x:c>
      <x:c r="J199" s="31" t="n">
        <x:v>0.0467233612</x:v>
      </x:c>
      <x:c r="K199" s="31" t="n">
        <x:v>0</x:v>
      </x:c>
      <x:c r="L199" s="31" t="n">
        <x:v>0</x:v>
      </x:c>
      <x:c r="M199" s="31" t="n">
        <x:v>0.0467233612</x:v>
      </x:c>
      <x:c r="N199" s="24" t="str">
        <x:v>pleuronectiformes</x:v>
      </x:c>
      <x:c r="O199" s="32" t="n">
        <x:v>3.57</x:v>
      </x:c>
      <x:c r="P199" s="24" t="str">
        <x:v>exact_sea_around_us</x:v>
      </x:c>
      <x:c r="Q199" s="32" t="str">
        <x:v>Sea Around Us exploited organisms</x:v>
      </x:c>
      <x:c r="R199" s="24" t="str">
        <x:v>high</x:v>
      </x:c>
      <x:c r="S199" s="24" t="str">
        <x:v>Pleuronectiformes</x:v>
      </x:c>
      <x:c r="T199" s="32" t="n">
        <x:f>IF(O199="","",(1/'Metadata'!$B$5)^(O199-1))</x:f>
        <x:v>371.5352290971724</x:v>
      </x:c>
      <x:c r="U199" s="31" t="n">
        <x:f>IF(T199="","",I199*T199)</x:f>
        <x:v>17.359374707631936</x:v>
      </x:c>
    </x:row>
    <x:row r="200" ht="18" customHeight="1">
      <x:c r="A200" s="24" t="str">
        <x:v>EEZ_470</x:v>
      </x:c>
      <x:c r="B200" s="24" t="str">
        <x:v>Malta</x:v>
      </x:c>
      <x:c r="C200" s="24" t="str">
        <x:v>EEZ</x:v>
      </x:c>
      <x:c r="D200" s="30" t="n">
        <x:v>2019</x:v>
      </x:c>
      <x:c r="E200" s="24" t="str">
        <x:v>Alloteuthis</x:v>
      </x:c>
      <x:c r="F200" s="24" t="str">
        <x:v>Atlantic common squids</x:v>
      </x:c>
      <x:c r="G200" s="24" t="str">
        <x:v>Cephalopods</x:v>
      </x:c>
      <x:c r="H200" s="24" t="str">
        <x:v>Other fishes &amp; inverts</x:v>
      </x:c>
      <x:c r="I200" s="31" t="n">
        <x:v>0.045813972</x:v>
      </x:c>
      <x:c r="J200" s="31" t="n">
        <x:v>0.045813972</x:v>
      </x:c>
      <x:c r="K200" s="31" t="n">
        <x:v>0</x:v>
      </x:c>
      <x:c r="L200" s="31" t="n">
        <x:v>0</x:v>
      </x:c>
      <x:c r="M200" s="31" t="n">
        <x:v>0.045813972</x:v>
      </x:c>
      <x:c r="N200" s="24" t="str">
        <x:v>alloteuthis</x:v>
      </x:c>
      <x:c r="O200" s="32" t="n">
        <x:v>3.98</x:v>
      </x:c>
      <x:c r="P200" s="24" t="str">
        <x:v>exact_sea_around_us</x:v>
      </x:c>
      <x:c r="Q200" s="32" t="str">
        <x:v>Sea Around Us exploited organisms</x:v>
      </x:c>
      <x:c r="R200" s="24" t="str">
        <x:v>high</x:v>
      </x:c>
      <x:c r="S200" s="24" t="str">
        <x:v>Alloteuthis</x:v>
      </x:c>
      <x:c r="T200" s="32" t="n">
        <x:f>IF(O200="","",(1/'Metadata'!$B$5)^(O200-1))</x:f>
        <x:v>954.992586021436</x:v>
      </x:c>
      <x:c r="U200" s="31" t="n">
        <x:f>IF(T200="","",I200*T200)</x:f>
        <x:v>43.75200359619366</x:v>
      </x:c>
    </x:row>
    <x:row r="201" ht="18" customHeight="1">
      <x:c r="A201" s="24" t="str">
        <x:v>EEZ_470</x:v>
      </x:c>
      <x:c r="B201" s="24" t="str">
        <x:v>Malta</x:v>
      </x:c>
      <x:c r="C201" s="24" t="str">
        <x:v>EEZ</x:v>
      </x:c>
      <x:c r="D201" s="30" t="n">
        <x:v>2019</x:v>
      </x:c>
      <x:c r="E201" s="24" t="str">
        <x:v>Scophthalmus maximus</x:v>
      </x:c>
      <x:c r="F201" s="24" t="str">
        <x:v>Turbot</x:v>
      </x:c>
      <x:c r="G201" s="24" t="str">
        <x:v>Large flatfishes (&gt;=90 cm)</x:v>
      </x:c>
      <x:c r="H201" s="24" t="str">
        <x:v>Flatfishes</x:v>
      </x:c>
      <x:c r="I201" s="31" t="n">
        <x:v>0.043431715</x:v>
      </x:c>
      <x:c r="J201" s="31" t="n">
        <x:v>0.043431715</x:v>
      </x:c>
      <x:c r="K201" s="31" t="n">
        <x:v>0</x:v>
      </x:c>
      <x:c r="L201" s="31" t="n">
        <x:v>0.011456510999999999</x:v>
      </x:c>
      <x:c r="M201" s="31" t="n">
        <x:v>0.031975204</x:v>
      </x:c>
      <x:c r="N201" s="24" t="str">
        <x:v>scophthalmus maximus</x:v>
      </x:c>
      <x:c r="O201" s="32" t="n">
        <x:v>4.36</x:v>
      </x:c>
      <x:c r="P201" s="24" t="str">
        <x:v>exact_2020_supplement</x:v>
      </x:c>
      <x:c r="Q201" s="32" t="str">
        <x:v>2020 supplement MeanTL</x:v>
      </x:c>
      <x:c r="R201" s="24" t="str">
        <x:v>high</x:v>
      </x:c>
      <x:c r="S201" s="24" t="str">
        <x:v>Scophthalmus maximus</x:v>
      </x:c>
      <x:c r="T201" s="32" t="n">
        <x:f>IF(O201="","",(1/'Metadata'!$B$5)^(O201-1))</x:f>
        <x:v>2290.867652767775</x:v>
      </x:c>
      <x:c r="U201" s="31" t="n">
        <x:f>IF(T201="","",I201*T201)</x:f>
        <x:v>99.49631099772897</x:v>
      </x:c>
    </x:row>
    <x:row r="202" ht="18" customHeight="1">
      <x:c r="A202" s="24" t="str">
        <x:v>EEZ_470</x:v>
      </x:c>
      <x:c r="B202" s="24" t="str">
        <x:v>Malta</x:v>
      </x:c>
      <x:c r="C202" s="24" t="str">
        <x:v>EEZ</x:v>
      </x:c>
      <x:c r="D202" s="30" t="n">
        <x:v>2019</x:v>
      </x:c>
      <x:c r="E202" s="24" t="str">
        <x:v>Mullus</x:v>
      </x:c>
      <x:c r="F202" s="24" t="str">
        <x:v>Atlantic goatfishes</x:v>
      </x:c>
      <x:c r="G202" s="24" t="str">
        <x:v>Medium demersals (30 - 89 cm)</x:v>
      </x:c>
      <x:c r="H202" s="24" t="str">
        <x:v>Perch-likes</x:v>
      </x:c>
      <x:c r="I202" s="31" t="n">
        <x:v>0.043342948</x:v>
      </x:c>
      <x:c r="J202" s="31" t="n">
        <x:v>0.043342948</x:v>
      </x:c>
      <x:c r="K202" s="31" t="n">
        <x:v>0</x:v>
      </x:c>
      <x:c r="L202" s="31" t="n">
        <x:v>0</x:v>
      </x:c>
      <x:c r="M202" s="31" t="n">
        <x:v>0.043342948</x:v>
      </x:c>
      <x:c r="N202" s="24" t="str">
        <x:v>mullus</x:v>
      </x:c>
      <x:c r="O202" s="32" t="n">
        <x:v>3.29</x:v>
      </x:c>
      <x:c r="P202" s="24" t="str">
        <x:v>exact_sea_around_us</x:v>
      </x:c>
      <x:c r="Q202" s="32" t="str">
        <x:v>Sea Around Us exploited organisms</x:v>
      </x:c>
      <x:c r="R202" s="24" t="str">
        <x:v>high</x:v>
      </x:c>
      <x:c r="S202" s="24" t="str">
        <x:v>Mullus</x:v>
      </x:c>
      <x:c r="T202" s="32" t="n">
        <x:f>IF(O202="","",(1/'Metadata'!$B$5)^(O202-1))</x:f>
        <x:v>194.98445997580455</x:v>
      </x:c>
      <x:c r="U202" s="31" t="n">
        <x:f>IF(T202="","",I202*T202)</x:f>
        <x:v>8.451201309539378</x:v>
      </x:c>
    </x:row>
    <x:row r="203" ht="18" customHeight="1">
      <x:c r="A203" s="24" t="str">
        <x:v>EEZ_470</x:v>
      </x:c>
      <x:c r="B203" s="24" t="str">
        <x:v>Malta</x:v>
      </x:c>
      <x:c r="C203" s="24" t="str">
        <x:v>EEZ</x:v>
      </x:c>
      <x:c r="D203" s="30" t="n">
        <x:v>2019</x:v>
      </x:c>
      <x:c r="E203" s="24" t="str">
        <x:v>Paracentrotus lividus</x:v>
      </x:c>
      <x:c r="F203" s="24" t="str">
        <x:v>Stony sea urchin</x:v>
      </x:c>
      <x:c r="G203" s="24" t="str">
        <x:v>Other demersal invertebrates</x:v>
      </x:c>
      <x:c r="H203" s="24" t="str">
        <x:v>Other fishes &amp; inverts</x:v>
      </x:c>
      <x:c r="I203" s="31" t="n">
        <x:v>0.042089932</x:v>
      </x:c>
      <x:c r="J203" s="31" t="n">
        <x:v>0.042089932</x:v>
      </x:c>
      <x:c r="K203" s="31" t="n">
        <x:v>0</x:v>
      </x:c>
      <x:c r="L203" s="31" t="n">
        <x:v>0.03</x:v>
      </x:c>
      <x:c r="M203" s="31" t="n">
        <x:v>0.012089932000000001</x:v>
      </x:c>
      <x:c r="N203" s="24" t="str">
        <x:v>paracentrotus lividus</x:v>
      </x:c>
      <x:c r="O203" s="32" t="n">
        <x:v>2.3</x:v>
      </x:c>
      <x:c r="P203" s="24" t="str">
        <x:v>exact_sea_around_us</x:v>
      </x:c>
      <x:c r="Q203" s="32" t="str">
        <x:v>Sea Around Us exploited organisms</x:v>
      </x:c>
      <x:c r="R203" s="24" t="str">
        <x:v>high</x:v>
      </x:c>
      <x:c r="S203" s="24" t="str">
        <x:v>Paracentrotus lividus</x:v>
      </x:c>
      <x:c r="T203" s="32" t="n">
        <x:f>IF(O203="","",(1/'Metadata'!$B$5)^(O203-1))</x:f>
        <x:v>19.952623149688787</x:v>
      </x:c>
      <x:c r="U203" s="31" t="n">
        <x:f>IF(T203="","",I203*T203)</x:f>
        <x:v>0.8398045515920268</x:v>
      </x:c>
    </x:row>
    <x:row r="204" ht="18" customHeight="1">
      <x:c r="A204" s="24" t="str">
        <x:v>EEZ_470</x:v>
      </x:c>
      <x:c r="B204" s="24" t="str">
        <x:v>Malta</x:v>
      </x:c>
      <x:c r="C204" s="24" t="str">
        <x:v>EEZ</x:v>
      </x:c>
      <x:c r="D204" s="30" t="n">
        <x:v>2019</x:v>
      </x:c>
      <x:c r="E204" s="24" t="str">
        <x:v>Heptranchias perlo</x:v>
      </x:c>
      <x:c r="F204" s="24" t="str">
        <x:v>Sharpnose sevengill shark</x:v>
      </x:c>
      <x:c r="G204" s="24" t="str">
        <x:v>Large sharks (&gt;=90 cm)</x:v>
      </x:c>
      <x:c r="H204" s="24" t="str">
        <x:v>Sharks &amp; rays</x:v>
      </x:c>
      <x:c r="I204" s="31" t="n">
        <x:v>0.027079919299999998</x:v>
      </x:c>
      <x:c r="J204" s="31" t="n">
        <x:v>0.027079919299999998</x:v>
      </x:c>
      <x:c r="K204" s="31" t="n">
        <x:v>0</x:v>
      </x:c>
      <x:c r="L204" s="31" t="n">
        <x:v>0.02</x:v>
      </x:c>
      <x:c r="M204" s="31" t="n">
        <x:v>0.007079919299999999</x:v>
      </x:c>
      <x:c r="N204" s="24" t="str">
        <x:v>heptranchias perlo</x:v>
      </x:c>
      <x:c r="O204" s="32" t="n">
        <x:v>4.16</x:v>
      </x:c>
      <x:c r="P204" s="24" t="str">
        <x:v>exact_2020_supplement</x:v>
      </x:c>
      <x:c r="Q204" s="32" t="str">
        <x:v>2020 supplement MeanTL</x:v>
      </x:c>
      <x:c r="R204" s="24" t="str">
        <x:v>high</x:v>
      </x:c>
      <x:c r="S204" s="24" t="str">
        <x:v>Heptranchias perlo</x:v>
      </x:c>
      <x:c r="T204" s="32" t="n">
        <x:f>IF(O204="","",(1/'Metadata'!$B$5)^(O204-1))</x:f>
        <x:v>1445.439770745928</x:v>
      </x:c>
      <x:c r="U204" s="31" t="n">
        <x:f>IF(T204="","",I204*T204)</x:f>
        <x:v>39.142392344810226</x:v>
      </x:c>
    </x:row>
    <x:row r="205" ht="18" customHeight="1">
      <x:c r="A205" s="24" t="str">
        <x:v>EEZ_470</x:v>
      </x:c>
      <x:c r="B205" s="24" t="str">
        <x:v>Malta</x:v>
      </x:c>
      <x:c r="C205" s="24" t="str">
        <x:v>EEZ</x:v>
      </x:c>
      <x:c r="D205" s="30" t="n">
        <x:v>2019</x:v>
      </x:c>
      <x:c r="E205" s="24" t="str">
        <x:v>Palaemonidae</x:v>
      </x:c>
      <x:c r="F205" s="24" t="str">
        <x:v>Clawed shrimps</x:v>
      </x:c>
      <x:c r="G205" s="24" t="str">
        <x:v>Shrimps</x:v>
      </x:c>
      <x:c r="H205" s="24" t="str">
        <x:v>Crustaceans</x:v>
      </x:c>
      <x:c r="I205" s="31" t="n">
        <x:v>0.0259574325</x:v>
      </x:c>
      <x:c r="J205" s="31" t="n">
        <x:v>0.0259574325</x:v>
      </x:c>
      <x:c r="K205" s="31" t="n">
        <x:v>0</x:v>
      </x:c>
      <x:c r="L205" s="31" t="n">
        <x:v>0</x:v>
      </x:c>
      <x:c r="M205" s="31" t="n">
        <x:v>0.0259574325</x:v>
      </x:c>
      <x:c r="N205" s="24" t="str">
        <x:v>palaemonidae</x:v>
      </x:c>
      <x:c r="O205" s="32" t="n">
        <x:v>3.14</x:v>
      </x:c>
      <x:c r="P205" s="24" t="str">
        <x:v>exact_sea_around_us</x:v>
      </x:c>
      <x:c r="Q205" s="32" t="str">
        <x:v>Sea Around Us exploited organisms</x:v>
      </x:c>
      <x:c r="R205" s="24" t="str">
        <x:v>high</x:v>
      </x:c>
      <x:c r="S205" s="24" t="str">
        <x:v>Palaemonidae</x:v>
      </x:c>
      <x:c r="T205" s="32" t="n">
        <x:f>IF(O205="","",(1/'Metadata'!$B$5)^(O205-1))</x:f>
        <x:v>138.03842646028852</x:v>
      </x:c>
      <x:c r="U205" s="31" t="n">
        <x:f>IF(T205="","",I205*T205)</x:f>
        <x:v>3.583123137249153</x:v>
      </x:c>
    </x:row>
    <x:row r="206" ht="18" customHeight="1">
      <x:c r="A206" s="24" t="str">
        <x:v>EEZ_470</x:v>
      </x:c>
      <x:c r="B206" s="24" t="str">
        <x:v>Malta</x:v>
      </x:c>
      <x:c r="C206" s="24" t="str">
        <x:v>EEZ</x:v>
      </x:c>
      <x:c r="D206" s="30" t="n">
        <x:v>2019</x:v>
      </x:c>
      <x:c r="E206" s="24" t="str">
        <x:v>Uranoscopus scaber</x:v>
      </x:c>
      <x:c r="F206" s="24" t="str">
        <x:v>Stargazer</x:v>
      </x:c>
      <x:c r="G206" s="24" t="str">
        <x:v>Medium demersals (30 - 89 cm)</x:v>
      </x:c>
      <x:c r="H206" s="24" t="str">
        <x:v>Perch-likes</x:v>
      </x:c>
      <x:c r="I206" s="31" t="n">
        <x:v>0.0216714735</x:v>
      </x:c>
      <x:c r="J206" s="31" t="n">
        <x:v>0.0216714735</x:v>
      </x:c>
      <x:c r="K206" s="31" t="n">
        <x:v>0</x:v>
      </x:c>
      <x:c r="L206" s="31" t="n">
        <x:v>0</x:v>
      </x:c>
      <x:c r="M206" s="31" t="n">
        <x:v>0.0216714735</x:v>
      </x:c>
      <x:c r="N206" s="24" t="str">
        <x:v>uranoscopus scaber</x:v>
      </x:c>
      <x:c r="O206" s="32" t="n">
        <x:v>4.38</x:v>
      </x:c>
      <x:c r="P206" s="24" t="str">
        <x:v>exact_2020_supplement</x:v>
      </x:c>
      <x:c r="Q206" s="32" t="str">
        <x:v>2020 supplement MeanTL</x:v>
      </x:c>
      <x:c r="R206" s="24" t="str">
        <x:v>high</x:v>
      </x:c>
      <x:c r="S206" s="24" t="str">
        <x:v>Uranoscopus scaber</x:v>
      </x:c>
      <x:c r="T206" s="32" t="n">
        <x:f>IF(O206="","",(1/'Metadata'!$B$5)^(O206-1))</x:f>
        <x:v>2398.83291901949</x:v>
      </x:c>
      <x:c r="U206" s="31" t="n">
        <x:f>IF(T206="","",I206*T206)</x:f>
        <x:v>51.98624403545852</x:v>
      </x:c>
    </x:row>
    <x:row r="207" ht="18" customHeight="1">
      <x:c r="A207" s="24" t="str">
        <x:v>EEZ_470</x:v>
      </x:c>
      <x:c r="B207" s="24" t="str">
        <x:v>Malta</x:v>
      </x:c>
      <x:c r="C207" s="24" t="str">
        <x:v>EEZ</x:v>
      </x:c>
      <x:c r="D207" s="30" t="n">
        <x:v>2019</x:v>
      </x:c>
      <x:c r="E207" s="24" t="str">
        <x:v>Alopias vulpinus</x:v>
      </x:c>
      <x:c r="F207" s="24" t="str">
        <x:v>Thresher</x:v>
      </x:c>
      <x:c r="G207" s="24" t="str">
        <x:v>Large sharks (&gt;=90 cm)</x:v>
      </x:c>
      <x:c r="H207" s="24" t="str">
        <x:v>Sharks &amp; rays</x:v>
      </x:c>
      <x:c r="I207" s="31" t="n">
        <x:v>0.011393315999999999</x:v>
      </x:c>
      <x:c r="J207" s="31" t="n">
        <x:v>0.011393315999999999</x:v>
      </x:c>
      <x:c r="K207" s="31" t="n">
        <x:v>0</x:v>
      </x:c>
      <x:c r="L207" s="31" t="n">
        <x:v>0.009360712</x:v>
      </x:c>
      <x:c r="M207" s="31" t="n">
        <x:v>0.002032604</x:v>
      </x:c>
      <x:c r="N207" s="24" t="str">
        <x:v>alopias vulpinus</x:v>
      </x:c>
      <x:c r="O207" s="32" t="n">
        <x:v>4.5</x:v>
      </x:c>
      <x:c r="P207" s="24" t="str">
        <x:v>exact_2020_supplement</x:v>
      </x:c>
      <x:c r="Q207" s="32" t="str">
        <x:v>2020 supplement MeanTL</x:v>
      </x:c>
      <x:c r="R207" s="24" t="str">
        <x:v>high</x:v>
      </x:c>
      <x:c r="S207" s="24" t="str">
        <x:v>Alopias vulpinus</x:v>
      </x:c>
      <x:c r="T207" s="32" t="n">
        <x:f>IF(O207="","",(1/'Metadata'!$B$5)^(O207-1))</x:f>
        <x:v>3162.2776601683795</x:v>
      </x:c>
      <x:c r="U207" s="31" t="n">
        <x:f>IF(T207="","",I207*T207)</x:f>
        <x:v>36.028828662038954</x:v>
      </x:c>
    </x:row>
    <x:row r="208" ht="18" customHeight="1">
      <x:c r="A208" s="24" t="str">
        <x:v>EEZ_470</x:v>
      </x:c>
      <x:c r="B208" s="24" t="str">
        <x:v>Malta</x:v>
      </x:c>
      <x:c r="C208" s="24" t="str">
        <x:v>EEZ</x:v>
      </x:c>
      <x:c r="D208" s="30" t="n">
        <x:v>2019</x:v>
      </x:c>
      <x:c r="E208" s="24" t="str">
        <x:v>Maja squinado</x:v>
      </x:c>
      <x:c r="F208" s="24" t="str">
        <x:v>Spinous spider crab</x:v>
      </x:c>
      <x:c r="G208" s="24" t="str">
        <x:v>Lobsters, crabs</x:v>
      </x:c>
      <x:c r="H208" s="24" t="str">
        <x:v>Crustaceans</x:v>
      </x:c>
      <x:c r="I208" s="31" t="n">
        <x:v>0.008490694</x:v>
      </x:c>
      <x:c r="J208" s="31" t="n">
        <x:v>0.008490694</x:v>
      </x:c>
      <x:c r="K208" s="31" t="n">
        <x:v>0</x:v>
      </x:c>
      <x:c r="L208" s="31" t="n">
        <x:v>0</x:v>
      </x:c>
      <x:c r="M208" s="31" t="n">
        <x:v>0.008490694</x:v>
      </x:c>
      <x:c r="N208" s="24" t="str">
        <x:v>maja squinado</x:v>
      </x:c>
      <x:c r="O208" s="32" t="n">
        <x:v>2.94</x:v>
      </x:c>
      <x:c r="P208" s="24" t="str">
        <x:v>exact_2020_supplement</x:v>
      </x:c>
      <x:c r="Q208" s="32" t="str">
        <x:v>2020 supplement MeanTL</x:v>
      </x:c>
      <x:c r="R208" s="24" t="str">
        <x:v>high</x:v>
      </x:c>
      <x:c r="S208" s="24" t="str">
        <x:v>Maja squinado</x:v>
      </x:c>
      <x:c r="T208" s="32" t="n">
        <x:f>IF(O208="","",(1/'Metadata'!$B$5)^(O208-1))</x:f>
        <x:v>87.09635899560806</x:v>
      </x:c>
      <x:c r="U208" s="31" t="n">
        <x:f>IF(T208="","",I208*T208)</x:f>
        <x:v>0.7395085327458554</x:v>
      </x:c>
    </x:row>
    <x:row r="209" ht="18" customHeight="1">
      <x:c r="A209" s="24" t="str">
        <x:v>EEZ_470</x:v>
      </x:c>
      <x:c r="B209" s="24" t="str">
        <x:v>Malta</x:v>
      </x:c>
      <x:c r="C209" s="24" t="str">
        <x:v>EEZ</x:v>
      </x:c>
      <x:c r="D209" s="30" t="n">
        <x:v>2019</x:v>
      </x:c>
      <x:c r="E209" s="24" t="str">
        <x:v>Homarus gammarus</x:v>
      </x:c>
      <x:c r="F209" s="24" t="str">
        <x:v>European lobster</x:v>
      </x:c>
      <x:c r="G209" s="24" t="str">
        <x:v>Lobsters, crabs</x:v>
      </x:c>
      <x:c r="H209" s="24" t="str">
        <x:v>Crustaceans</x:v>
      </x:c>
      <x:c r="I209" s="31" t="n">
        <x:v>0.0033295770000000002</x:v>
      </x:c>
      <x:c r="J209" s="31" t="n">
        <x:v>0.0033295770000000002</x:v>
      </x:c>
      <x:c r="K209" s="31" t="n">
        <x:v>0</x:v>
      </x:c>
      <x:c r="L209" s="31" t="n">
        <x:v>0.002180574</x:v>
      </x:c>
      <x:c r="M209" s="31" t="n">
        <x:v>0.001149003</x:v>
      </x:c>
      <x:c r="N209" s="24" t="str">
        <x:v>homarus gammarus</x:v>
      </x:c>
      <x:c r="O209" s="32" t="n">
        <x:v>3.7</x:v>
      </x:c>
      <x:c r="P209" s="24" t="str">
        <x:v>exact_2020_supplement</x:v>
      </x:c>
      <x:c r="Q209" s="32" t="str">
        <x:v>2020 supplement MeanTL</x:v>
      </x:c>
      <x:c r="R209" s="24" t="str">
        <x:v>high</x:v>
      </x:c>
      <x:c r="S209" s="24" t="str">
        <x:v>Homarus gammarus</x:v>
      </x:c>
      <x:c r="T209" s="32" t="n">
        <x:f>IF(O209="","",(1/'Metadata'!$B$5)^(O209-1))</x:f>
        <x:v>501.18723362727246</x:v>
      </x:c>
      <x:c r="U209" s="31" t="n">
        <x:f>IF(T209="","",I209*T209)</x:f>
        <x:v>1.668741485778993</x:v>
      </x:c>
    </x:row>
    <x:row r="210" ht="18" customHeight="1">
      <x:c r="A210" s="24" t="str">
        <x:v>EEZ_470</x:v>
      </x:c>
      <x:c r="B210" s="24" t="str">
        <x:v>Malta</x:v>
      </x:c>
      <x:c r="C210" s="24" t="str">
        <x:v>EEZ</x:v>
      </x:c>
      <x:c r="D210" s="30" t="n">
        <x:v>2019</x:v>
      </x:c>
      <x:c r="E210" s="24" t="str">
        <x:v>Lamna nasus</x:v>
      </x:c>
      <x:c r="F210" s="24" t="str">
        <x:v>Porbeagle</x:v>
      </x:c>
      <x:c r="G210" s="24" t="str">
        <x:v>Large sharks (&gt;=90 cm)</x:v>
      </x:c>
      <x:c r="H210" s="24" t="str">
        <x:v>Sharks &amp; rays</x:v>
      </x:c>
      <x:c r="I210" s="31" t="n">
        <x:v>0.002629189</x:v>
      </x:c>
      <x:c r="J210" s="31" t="n">
        <x:v>0.002629189</x:v>
      </x:c>
      <x:c r="K210" s="31" t="n">
        <x:v>0</x:v>
      </x:c>
      <x:c r="L210" s="31" t="n">
        <x:v>0.002160126</x:v>
      </x:c>
      <x:c r="M210" s="31" t="n">
        <x:v>0.000469063</x:v>
      </x:c>
      <x:c r="N210" s="24" t="str">
        <x:v>lamna nasus</x:v>
      </x:c>
      <x:c r="O210" s="32" t="n">
        <x:v>4.57</x:v>
      </x:c>
      <x:c r="P210" s="24" t="str">
        <x:v>exact_2020_supplement</x:v>
      </x:c>
      <x:c r="Q210" s="32" t="str">
        <x:v>2020 supplement MeanTL</x:v>
      </x:c>
      <x:c r="R210" s="24" t="str">
        <x:v>high</x:v>
      </x:c>
      <x:c r="S210" s="24" t="str">
        <x:v>Lamna nasus</x:v>
      </x:c>
      <x:c r="T210" s="32" t="n">
        <x:f>IF(O210="","",(1/'Metadata'!$B$5)^(O210-1))</x:f>
        <x:v>3715.3522909717276</x:v>
      </x:c>
      <x:c r="U210" s="31" t="n">
        <x:f>IF(T210="","",I210*T210)</x:f>
        <x:v>9.768363374547667</x:v>
      </x:c>
    </x:row>
    <x:row r="211" ht="18" customHeight="1">
      <x:c r="A211" s="24" t="str">
        <x:v>EEZ_470</x:v>
      </x:c>
      <x:c r="B211" s="24" t="str">
        <x:v>Malta</x:v>
      </x:c>
      <x:c r="C211" s="24" t="str">
        <x:v>EEZ</x:v>
      </x:c>
      <x:c r="D211" s="30" t="n">
        <x:v>2019</x:v>
      </x:c>
      <x:c r="E211" s="24" t="str">
        <x:v>Todaropsis eblanae</x:v>
      </x:c>
      <x:c r="F211" s="24" t="str">
        <x:v>Lesser flying squid</x:v>
      </x:c>
      <x:c r="G211" s="24" t="str">
        <x:v>Cephalopods</x:v>
      </x:c>
      <x:c r="H211" s="24" t="str">
        <x:v>Other fishes &amp; inverts</x:v>
      </x:c>
      <x:c r="I211" s="31" t="n">
        <x:v>0.0011640259999999999</x:v>
      </x:c>
      <x:c r="J211" s="31" t="n">
        <x:v>0.0011640259999999999</x:v>
      </x:c>
      <x:c r="K211" s="31" t="n">
        <x:v>0</x:v>
      </x:c>
      <x:c r="L211" s="31" t="n">
        <x:v>0</x:v>
      </x:c>
      <x:c r="M211" s="31" t="n">
        <x:v>0.0011640259999999999</x:v>
      </x:c>
      <x:c r="N211" s="24" t="str">
        <x:v>todaropsis eblanae</x:v>
      </x:c>
      <x:c r="O211" s="32" t="n">
        <x:v>4.25</x:v>
      </x:c>
      <x:c r="P211" s="24" t="str">
        <x:v>exact_sea_around_us</x:v>
      </x:c>
      <x:c r="Q211" s="32" t="str">
        <x:v>Sea Around Us exploited organisms</x:v>
      </x:c>
      <x:c r="R211" s="24" t="str">
        <x:v>high</x:v>
      </x:c>
      <x:c r="S211" s="24" t="str">
        <x:v>Todaropsis eblanae</x:v>
      </x:c>
      <x:c r="T211" s="32" t="n">
        <x:f>IF(O211="","",(1/'Metadata'!$B$5)^(O211-1))</x:f>
        <x:v>1778.2794100389228</x:v>
      </x:c>
      <x:c r="U211" s="31" t="n">
        <x:f>IF(T211="","",I211*T211)</x:f>
        <x:v>2.069963468549967</x:v>
      </x:c>
    </x:row>
    <x:row r="212" ht="18" customHeight="1">
      <x:c r="A212" s="24" t="str">
        <x:v>EEZ_470</x:v>
      </x:c>
      <x:c r="B212" s="24" t="str">
        <x:v>Malta</x:v>
      </x:c>
      <x:c r="C212" s="24" t="str">
        <x:v>EEZ</x:v>
      </x:c>
      <x:c r="D212" s="30" t="n">
        <x:v>2019</x:v>
      </x:c>
      <x:c r="E212" s="24" t="str">
        <x:v>Plesionika martia</x:v>
      </x:c>
      <x:c r="F212" s="24" t="str">
        <x:v>Golden shrimp</x:v>
      </x:c>
      <x:c r="G212" s="24" t="str">
        <x:v>Shrimps</x:v>
      </x:c>
      <x:c r="H212" s="24" t="str">
        <x:v>Crustaceans</x:v>
      </x:c>
      <x:c r="I212" s="31" t="n">
        <x:v>0.0005340896000000001</x:v>
      </x:c>
      <x:c r="J212" s="31" t="n">
        <x:v>0.0005340896000000001</x:v>
      </x:c>
      <x:c r="K212" s="31" t="n">
        <x:v>0</x:v>
      </x:c>
      <x:c r="L212" s="31" t="n">
        <x:v>0</x:v>
      </x:c>
      <x:c r="M212" s="31" t="n">
        <x:v>0.0005340896000000001</x:v>
      </x:c>
      <x:c r="N212" s="24" t="str">
        <x:v>plesionika martia</x:v>
      </x:c>
      <x:c r="O212" s="32" t="n">
        <x:v>3.13</x:v>
      </x:c>
      <x:c r="P212" s="24" t="str">
        <x:v>exact_2020_supplement</x:v>
      </x:c>
      <x:c r="Q212" s="32" t="str">
        <x:v>2020 supplement MeanTL</x:v>
      </x:c>
      <x:c r="R212" s="24" t="str">
        <x:v>high</x:v>
      </x:c>
      <x:c r="S212" s="24" t="str">
        <x:v>Plesionika martia</x:v>
      </x:c>
      <x:c r="T212" s="32" t="n">
        <x:f>IF(O212="","",(1/'Metadata'!$B$5)^(O212-1))</x:f>
        <x:v>134.89628825916532</x:v>
      </x:c>
      <x:c r="U212" s="31" t="n">
        <x:f>IF(T212="","",I212*T212)</x:f>
        <x:v>0.07204670463782231</x:v>
      </x:c>
    </x:row>
    <x:row r="213" ht="18" customHeight="1">
      <x:c r="A213" s="24" t="str">
        <x:v>EEZ_470</x:v>
      </x:c>
      <x:c r="B213" s="24" t="str">
        <x:v>Malta</x:v>
      </x:c>
      <x:c r="C213" s="24" t="str">
        <x:v>EEZ</x:v>
      </x:c>
      <x:c r="D213" s="30" t="n">
        <x:v>2019</x:v>
      </x:c>
      <x:c r="E213" s="24" t="str">
        <x:v>Miscellaneous marine crustaceans</x:v>
      </x:c>
      <x:c r="F213" s="24" t="str">
        <x:v>Marine crabs, shrimps, lobsters nei</x:v>
      </x:c>
      <x:c r="G213" s="24" t="str">
        <x:v>Shrimps</x:v>
      </x:c>
      <x:c r="H213" s="24" t="str">
        <x:v>Crustaceans</x:v>
      </x:c>
      <x:c r="I213" s="31" t="n">
        <x:v>0.0000974</x:v>
      </x:c>
      <x:c r="J213" s="31" t="n">
        <x:v>0.0000974</x:v>
      </x:c>
      <x:c r="K213" s="31" t="n">
        <x:v>0</x:v>
      </x:c>
      <x:c r="L213" s="31" t="n">
        <x:v>0</x:v>
      </x:c>
      <x:c r="M213" s="31" t="n">
        <x:v>0.0000974</x:v>
      </x:c>
      <x:c r="N213" s="24" t="str">
        <x:v>miscellaneous marine crustaceans</x:v>
      </x:c>
      <x:c r="O213" s="32" t="n">
        <x:v>2.7</x:v>
      </x:c>
      <x:c r="P213" s="24" t="str">
        <x:v>exact_sea_around_us</x:v>
      </x:c>
      <x:c r="Q213" s="32" t="str">
        <x:v>Sea Around Us exploited organisms</x:v>
      </x:c>
      <x:c r="R213" s="24" t="str">
        <x:v>high</x:v>
      </x:c>
      <x:c r="S213" s="24" t="str">
        <x:v>Miscellaneous marine crustaceans</x:v>
      </x:c>
      <x:c r="T213" s="32" t="n">
        <x:f>IF(O213="","",(1/'Metadata'!$B$5)^(O213-1))</x:f>
        <x:v>50.11872336272725</x:v>
      </x:c>
      <x:c r="U213" s="31" t="n">
        <x:f>IF(T213="","",I213*T213)</x:f>
        <x:v>0.004881563655529634</x:v>
      </x:c>
    </x:row>
    <x:row r="214" ht="18" customHeight="1">
      <x:c r="A214" s="24" t="str">
        <x:v>EEZ_470</x:v>
      </x:c>
      <x:c r="B214" s="24" t="str">
        <x:v>Malta</x:v>
      </x:c>
      <x:c r="C214" s="24" t="str">
        <x:v>EEZ</x:v>
      </x:c>
      <x:c r="D214" s="30" t="n">
        <x:v>2019</x:v>
      </x:c>
      <x:c r="E214" s="24" t="str">
        <x:v>Crangon crangon</x:v>
      </x:c>
      <x:c r="F214" s="24" t="str">
        <x:v>Common shrimp</x:v>
      </x:c>
      <x:c r="G214" s="24" t="str">
        <x:v>Shrimps</x:v>
      </x:c>
      <x:c r="H214" s="24" t="str">
        <x:v>Crustaceans</x:v>
      </x:c>
      <x:c r="I214" s="31" t="n">
        <x:v>0.00000349</x:v>
      </x:c>
      <x:c r="J214" s="31" t="n">
        <x:v>0.00000349</x:v>
      </x:c>
      <x:c r="K214" s="31" t="n">
        <x:v>0</x:v>
      </x:c>
      <x:c r="L214" s="31" t="n">
        <x:v>0</x:v>
      </x:c>
      <x:c r="M214" s="31" t="n">
        <x:v>0.00000349</x:v>
      </x:c>
      <x:c r="N214" s="24" t="str">
        <x:v>crangon crangon</x:v>
      </x:c>
      <x:c r="O214" s="32" t="n">
        <x:v>3.19</x:v>
      </x:c>
      <x:c r="P214" s="24" t="str">
        <x:v>exact_2020_supplement</x:v>
      </x:c>
      <x:c r="Q214" s="32" t="str">
        <x:v>2020 supplement MeanTL</x:v>
      </x:c>
      <x:c r="R214" s="24" t="str">
        <x:v>high</x:v>
      </x:c>
      <x:c r="S214" s="24" t="str">
        <x:v>Crangon crangon</x:v>
      </x:c>
      <x:c r="T214" s="32" t="n">
        <x:f>IF(O214="","",(1/'Metadata'!$B$5)^(O214-1))</x:f>
        <x:v>154.88166189124811</x:v>
      </x:c>
      <x:c r="U214" s="31" t="n">
        <x:f>IF(T214="","",I214*T214)</x:f>
        <x:v>0.0005405370000004559</x:v>
      </x:c>
    </x:row>
  </x:sheetData>
  <x:conditionalFormatting sqref="R2:R21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6a5409826ecb4c0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Anchovies</x:v>
      </x:c>
      <x:c r="B2" s="33" t="n">
        <x:v>2</x:v>
      </x:c>
      <x:c r="C2" s="33" t="n">
        <x:v>2</x:v>
      </x:c>
      <x:c r="D2" s="31" t="n">
        <x:v>0.7307336672</x:v>
      </x:c>
      <x:c r="E2" s="31" t="n">
        <x:v>0.7307336672</x:v>
      </x:c>
      <x:c r="F2" s="32" t="n">
        <x:v>0</x:v>
      </x:c>
      <x:c r="G2" s="34" t="n">
        <x:v>1</x:v>
      </x:c>
      <x:c r="H2" s="32" t="n">
        <x:f>IF(E2=0,"",I2/E2)</x:f>
        <x:v>147.5817010905409</x:v>
      </x:c>
      <x:c r="I2" s="31" t="n">
        <x:f>IF(C2=0,"",SUMIF('Species'!$H$2:$H$214,A2,'Species'!$U$2:$U$214))</x:f>
        <x:v>107.84291764950518</x:v>
      </x:c>
      <x:c r="J2" s="32" t="n">
        <x:v>3.166906904477714</x:v>
      </x:c>
      <x:c r="K2" s="32" t="n">
        <x:f>IF(J2="","",(1/'Metadata'!$B$5)^(J2-1))</x:f>
        <x:v>146.86114318219123</x:v>
      </x:c>
      <x:c r="L2" s="31" t="n">
        <x:f>IF(E2=0,"",E2*K2)</x:f>
        <x:v>107.31638172670688</x:v>
      </x:c>
      <x:c r="M2" s="31" t="n">
        <x:f>IF(E2=0,"",I2-L2)</x:f>
        <x:v>0.5265359227983026</x:v>
      </x:c>
      <x:c r="N2" s="32" t="n">
        <x:f>IF(L2=0,"",I2/L2)</x:f>
        <x:v>1.004906389074309</x:v>
      </x:c>
      <x:c r="O2" s="34" t="n">
        <x:f>IF(L2=0,"",M2/L2)</x:f>
        <x:v>0.004906389074309131</x:v>
      </x:c>
    </x:row>
    <x:row r="3" ht="18" customHeight="1">
      <x:c r="A3" s="24" t="str">
        <x:v>Cod-likes</x:v>
      </x:c>
      <x:c r="B3" s="33" t="n">
        <x:v>9</x:v>
      </x:c>
      <x:c r="C3" s="33" t="n">
        <x:v>9</x:v>
      </x:c>
      <x:c r="D3" s="31" t="n">
        <x:v>192.4067355421</x:v>
      </x:c>
      <x:c r="E3" s="31" t="n">
        <x:v>192.4067355421</x:v>
      </x:c>
      <x:c r="F3" s="32" t="n">
        <x:v>0</x:v>
      </x:c>
      <x:c r="G3" s="34" t="n">
        <x:v>1</x:v>
      </x:c>
      <x:c r="H3" s="32" t="n">
        <x:f>IF(E3=0,"",I3/E3)</x:f>
        <x:v>848.5620593476092</x:v>
      </x:c>
      <x:c r="I3" s="31" t="n">
        <x:f>IF(C3=0,"",SUMIF('Species'!$H$2:$H$214,A3,'Species'!$U$2:$U$214))</x:f>
        <x:v>163269.0557439552</x:v>
      </x:c>
      <x:c r="J3" s="32" t="n">
        <x:v>3.8996500574622233</x:v>
      </x:c>
      <x:c r="K3" s="32" t="n">
        <x:f>IF(J3="","",(1/'Metadata'!$B$5)^(J3-1))</x:f>
        <x:v>793.6884446971025</x:v>
      </x:c>
      <x:c r="L3" s="31" t="n">
        <x:f>IF(E3=0,"",E3*K3)</x:f>
        <x:v>152711.00268165604</x:v>
      </x:c>
      <x:c r="M3" s="31" t="n">
        <x:f>IF(E3=0,"",I3-L3)</x:f>
        <x:v>10558.05306229915</x:v>
      </x:c>
      <x:c r="N3" s="32" t="n">
        <x:f>IF(L3=0,"",I3/L3)</x:f>
        <x:v>1.0691374745558357</x:v>
      </x:c>
      <x:c r="O3" s="34" t="n">
        <x:f>IF(L3=0,"",M3/L3)</x:f>
        <x:v>0.06913747455583569</x:v>
      </x:c>
    </x:row>
    <x:row r="4" ht="18" customHeight="1">
      <x:c r="A4" s="24" t="str">
        <x:v>Crustaceans</x:v>
      </x:c>
      <x:c r="B4" s="33" t="n">
        <x:v>20</x:v>
      </x:c>
      <x:c r="C4" s="33" t="n">
        <x:v>20</x:v>
      </x:c>
      <x:c r="D4" s="31" t="n">
        <x:v>382.92261337580004</x:v>
      </x:c>
      <x:c r="E4" s="31" t="n">
        <x:v>382.92261337580004</x:v>
      </x:c>
      <x:c r="F4" s="32" t="n">
        <x:v>0</x:v>
      </x:c>
      <x:c r="G4" s="34" t="n">
        <x:v>1</x:v>
      </x:c>
      <x:c r="H4" s="32" t="n">
        <x:f>IF(E4=0,"",I4/E4)</x:f>
        <x:v>268.4313552715937</x:v>
      </x:c>
      <x:c r="I4" s="31" t="n">
        <x:f>IF(C4=0,"",SUMIF('Species'!$H$2:$H$214,A4,'Species'!$U$2:$U$214))</x:f>
        <x:v>102788.4360726065</x:v>
      </x:c>
      <x:c r="J4" s="32" t="n">
        <x:v>3.378830466976048</x:v>
      </x:c>
      <x:c r="K4" s="32" t="n">
        <x:f>IF(J4="","",(1/'Metadata'!$B$5)^(J4-1))</x:f>
        <x:v>239.238167391</x:v>
      </x:c>
      <x:c r="L4" s="31" t="n">
        <x:f>IF(E4=0,"",E4*K4)</x:f>
        <x:v>91609.70427659882</x:v>
      </x:c>
      <x:c r="M4" s="31" t="n">
        <x:f>IF(E4=0,"",I4-L4)</x:f>
        <x:v>11178.73179600769</x:v>
      </x:c>
      <x:c r="N4" s="32" t="n">
        <x:f>IF(L4=0,"",I4/L4)</x:f>
        <x:v>1.1220256290998991</x:v>
      </x:c>
      <x:c r="O4" s="34" t="n">
        <x:f>IF(L4=0,"",M4/L4)</x:f>
        <x:v>0.12202562909989914</x:v>
      </x:c>
    </x:row>
    <x:row r="5" ht="18" customHeight="1">
      <x:c r="A5" s="24" t="str">
        <x:v>Flatfishes</x:v>
      </x:c>
      <x:c r="B5" s="33" t="n">
        <x:v>7</x:v>
      </x:c>
      <x:c r="C5" s="33" t="n">
        <x:v>7</x:v>
      </x:c>
      <x:c r="D5" s="31" t="n">
        <x:v>16.348062845600005</x:v>
      </x:c>
      <x:c r="E5" s="31" t="n">
        <x:v>16.348062845600005</x:v>
      </x:c>
      <x:c r="F5" s="32" t="n">
        <x:v>0</x:v>
      </x:c>
      <x:c r="G5" s="34" t="n">
        <x:v>1</x:v>
      </x:c>
      <x:c r="H5" s="32" t="n">
        <x:f>IF(E5=0,"",I5/E5)</x:f>
        <x:v>522.0281397840538</x:v>
      </x:c>
      <x:c r="I5" s="31" t="n">
        <x:f>IF(C5=0,"",SUMIF('Species'!$H$2:$H$214,A5,'Species'!$U$2:$U$214))</x:f>
        <x:v>8534.148836361375</x:v>
      </x:c>
      <x:c r="J5" s="32" t="n">
        <x:v>3.6843956894924905</x:v>
      </x:c>
      <x:c r="K5" s="32" t="n">
        <x:f>IF(J5="","",(1/'Metadata'!$B$5)^(J5-1))</x:f>
        <x:v>483.4991216889768</x:v>
      </x:c>
      <x:c r="L5" s="31" t="n">
        <x:f>IF(E5=0,"",E5*K5)</x:f>
        <x:v>7904.274027163797</x:v>
      </x:c>
      <x:c r="M5" s="31" t="n">
        <x:f>IF(E5=0,"",I5-L5)</x:f>
        <x:v>629.8748091975785</x:v>
      </x:c>
      <x:c r="N5" s="32" t="n">
        <x:f>IF(L5=0,"",I5/L5)</x:f>
        <x:v>1.0796878760823516</x:v>
      </x:c>
      <x:c r="O5" s="34" t="n">
        <x:f>IF(L5=0,"",M5/L5)</x:f>
        <x:v>0.07968787608235156</x:v>
      </x:c>
    </x:row>
    <x:row r="6" ht="18" customHeight="1">
      <x:c r="A6" s="24" t="str">
        <x:v>Herring-likes</x:v>
      </x:c>
      <x:c r="B6" s="33" t="n">
        <x:v>3</x:v>
      </x:c>
      <x:c r="C6" s="33" t="n">
        <x:v>3</x:v>
      </x:c>
      <x:c r="D6" s="31" t="n">
        <x:v>46.4750860016</x:v>
      </x:c>
      <x:c r="E6" s="31" t="n">
        <x:v>46.4750860016</x:v>
      </x:c>
      <x:c r="F6" s="32" t="n">
        <x:v>0</x:v>
      </x:c>
      <x:c r="G6" s="34" t="n">
        <x:v>1</x:v>
      </x:c>
      <x:c r="H6" s="32" t="n">
        <x:f>IF(E6=0,"",I6/E6)</x:f>
        <x:v>115.97196047215294</x:v>
      </x:c>
      <x:c r="I6" s="31" t="n">
        <x:f>IF(C6=0,"",SUMIF('Species'!$H$2:$H$214,A6,'Species'!$U$2:$U$214))</x:f>
        <x:v>5389.806836717464</x:v>
      </x:c>
      <x:c r="J6" s="32" t="n">
        <x:v>3.0579130452854537</x:v>
      </x:c>
      <x:c r="K6" s="32" t="n">
        <x:f>IF(J6="","",(1/'Metadata'!$B$5)^(J6-1))</x:f>
        <x:v>114.26495298766575</x:v>
      </x:c>
      <x:c r="L6" s="31" t="n">
        <x:f>IF(E6=0,"",E6*K6)</x:f>
        <x:v>5310.473517070546</x:v>
      </x:c>
      <x:c r="M6" s="31" t="n">
        <x:f>IF(E6=0,"",I6-L6)</x:f>
        <x:v>79.33331964691752</x:v>
      </x:c>
      <x:c r="N6" s="32" t="n">
        <x:f>IF(L6=0,"",I6/L6)</x:f>
        <x:v>1.0149390293336178</x:v>
      </x:c>
      <x:c r="O6" s="34" t="n">
        <x:f>IF(L6=0,"",M6/L6)</x:f>
        <x:v>0.014939029333617826</x:v>
      </x:c>
    </x:row>
    <x:row r="7" ht="18" customHeight="1">
      <x:c r="A7" s="24" t="str">
        <x:v>Molluscs</x:v>
      </x:c>
      <x:c r="B7" s="33" t="n">
        <x:v>2</x:v>
      </x:c>
      <x:c r="C7" s="33" t="n">
        <x:v>2</x:v>
      </x:c>
      <x:c r="D7" s="31" t="n">
        <x:v>0.605175093</x:v>
      </x:c>
      <x:c r="E7" s="31" t="n">
        <x:v>0.605175093</x:v>
      </x:c>
      <x:c r="F7" s="32" t="n">
        <x:v>0</x:v>
      </x:c>
      <x:c r="G7" s="34" t="n">
        <x:v>1</x:v>
      </x:c>
      <x:c r="H7" s="32" t="n">
        <x:f>IF(E7=0,"",I7/E7)</x:f>
        <x:v>25.5536092917544</x:v>
      </x:c>
      <x:c r="I7" s="31" t="n">
        <x:f>IF(C7=0,"",SUMIF('Species'!$H$2:$H$214,A7,'Species'!$U$2:$U$214))</x:f>
        <x:v>15.464407879623135</x:v>
      </x:c>
      <x:c r="J7" s="32" t="n">
        <x:v>2.221747577076838</x:v>
      </x:c>
      <x:c r="K7" s="32" t="n">
        <x:f>IF(J7="","",(1/'Metadata'!$B$5)^(J7-1))</x:f>
        <x:v>16.66278447918969</x:v>
      </x:c>
      <x:c r="L7" s="31" t="n">
        <x:f>IF(E7=0,"",E7*K7)</x:f>
        <x:v>10.083902146832578</x:v>
      </x:c>
      <x:c r="M7" s="31" t="n">
        <x:f>IF(E7=0,"",I7-L7)</x:f>
        <x:v>5.3805057327905566</x:v>
      </x:c>
      <x:c r="N7" s="32" t="n">
        <x:f>IF(L7=0,"",I7/L7)</x:f>
        <x:v>1.5335737747594675</x:v>
      </x:c>
      <x:c r="O7" s="34" t="n">
        <x:f>IF(L7=0,"",M7/L7)</x:f>
        <x:v>0.5335737747594674</x:v>
      </x:c>
    </x:row>
    <x:row r="8" ht="18" customHeight="1">
      <x:c r="A8" s="24" t="str">
        <x:v>Other fishes &amp; inverts</x:v>
      </x:c>
      <x:c r="B8" s="33" t="n">
        <x:v>39</x:v>
      </x:c>
      <x:c r="C8" s="33" t="n">
        <x:v>39</x:v>
      </x:c>
      <x:c r="D8" s="31" t="n">
        <x:v>678.7479246459998</x:v>
      </x:c>
      <x:c r="E8" s="31" t="n">
        <x:v>678.7479246459998</x:v>
      </x:c>
      <x:c r="F8" s="32" t="n">
        <x:v>0</x:v>
      </x:c>
      <x:c r="G8" s="34" t="n">
        <x:v>1</x:v>
      </x:c>
      <x:c r="H8" s="32" t="n">
        <x:f>IF(E8=0,"",I8/E8)</x:f>
        <x:v>532.738741042351</x:v>
      </x:c>
      <x:c r="I8" s="31" t="n">
        <x:f>IF(C8=0,"",SUMIF('Species'!$H$2:$H$214,A8,'Species'!$U$2:$U$214))</x:f>
        <x:v>361595.3148610184</x:v>
      </x:c>
      <x:c r="J8" s="32" t="n">
        <x:v>3.5592156405447652</x:v>
      </x:c>
      <x:c r="K8" s="32" t="n">
        <x:f>IF(J8="","",(1/'Metadata'!$B$5)^(J8-1))</x:f>
        <x:v>362.4229078492392</x:v>
      </x:c>
      <x:c r="L8" s="31" t="n">
        <x:f>IF(E8=0,"",E8*K8)</x:f>
        <x:v>245993.79654683953</x:v>
      </x:c>
      <x:c r="M8" s="31" t="n">
        <x:f>IF(E8=0,"",I8-L8)</x:f>
        <x:v>115601.51831417886</x:v>
      </x:c>
      <x:c r="N8" s="32" t="n">
        <x:f>IF(L8=0,"",I8/L8)</x:f>
        <x:v>1.4699367217260995</x:v>
      </x:c>
      <x:c r="O8" s="34" t="n">
        <x:f>IF(L8=0,"",M8/L8)</x:f>
        <x:v>0.46993672172609946</x:v>
      </x:c>
    </x:row>
    <x:row r="9" ht="18" customHeight="1">
      <x:c r="A9" s="24" t="str">
        <x:v>Perch-likes</x:v>
      </x:c>
      <x:c r="B9" s="33" t="n">
        <x:v>68</x:v>
      </x:c>
      <x:c r="C9" s="33" t="n">
        <x:v>68</x:v>
      </x:c>
      <x:c r="D9" s="31" t="n">
        <x:v>2376.8161029934</x:v>
      </x:c>
      <x:c r="E9" s="31" t="n">
        <x:v>2376.8161029934</x:v>
      </x:c>
      <x:c r="F9" s="32" t="n">
        <x:v>0</x:v>
      </x:c>
      <x:c r="G9" s="34" t="n">
        <x:v>1</x:v>
      </x:c>
      <x:c r="H9" s="32" t="n">
        <x:f>IF(E9=0,"",I9/E9)</x:f>
        <x:v>1830.2589705443372</x:v>
      </x:c>
      <x:c r="I9" s="31" t="n">
        <x:f>IF(C9=0,"",SUMIF('Species'!$H$2:$H$214,A9,'Species'!$U$2:$U$214))</x:f>
        <x:v>4350188.993837903</x:v>
      </x:c>
      <x:c r="J9" s="32" t="n">
        <x:v>4.126249313894996</x:v>
      </x:c>
      <x:c r="K9" s="32" t="n">
        <x:f>IF(J9="","",(1/'Metadata'!$B$5)^(J9-1))</x:f>
        <x:v>1337.3630314817422</x:v>
      </x:c>
      <x:c r="L9" s="31" t="n">
        <x:f>IF(E9=0,"",E9*K9)</x:f>
        <x:v>3178665.988773874</x:v>
      </x:c>
      <x:c r="M9" s="31" t="n">
        <x:f>IF(E9=0,"",I9-L9)</x:f>
        <x:v>1171523.0050640292</x:v>
      </x:c>
      <x:c r="N9" s="32" t="n">
        <x:f>IF(L9=0,"",I9/L9)</x:f>
        <x:v>1.368558070964835</x:v>
      </x:c>
      <x:c r="O9" s="34" t="n">
        <x:f>IF(L9=0,"",M9/L9)</x:f>
        <x:v>0.3685580709648351</x:v>
      </x:c>
    </x:row>
    <x:row r="10" ht="18" customHeight="1">
      <x:c r="A10" s="24" t="str">
        <x:v>Salmon, smelts, etc</x:v>
      </x:c>
      <x:c r="B10" s="33" t="n">
        <x:v>2</x:v>
      </x:c>
      <x:c r="C10" s="33" t="n">
        <x:v>2</x:v>
      </x:c>
      <x:c r="D10" s="31" t="n">
        <x:v>2.323418335</x:v>
      </x:c>
      <x:c r="E10" s="31" t="n">
        <x:v>2.323418335</x:v>
      </x:c>
      <x:c r="F10" s="32" t="n">
        <x:v>0</x:v>
      </x:c>
      <x:c r="G10" s="34" t="n">
        <x:v>1</x:v>
      </x:c>
      <x:c r="H10" s="32" t="n">
        <x:f>IF(E10=0,"",I10/E10)</x:f>
        <x:v>318.62399497928016</x:v>
      </x:c>
      <x:c r="I10" s="31" t="n">
        <x:f>IF(C10=0,"",SUMIF('Species'!$H$2:$H$214,A10,'Species'!$U$2:$U$214))</x:f>
        <x:v>740.2968319058075</x:v>
      </x:c>
      <x:c r="J10" s="32" t="n">
        <x:v>3.5028571428278754</x:v>
      </x:c>
      <x:c r="K10" s="32" t="n">
        <x:f>IF(J10="","",(1/'Metadata'!$B$5)^(J10-1))</x:f>
        <x:v>318.31502815114715</x:v>
      </x:c>
      <x:c r="L10" s="31" t="n">
        <x:f>IF(E10=0,"",E10*K10)</x:f>
        <x:v>739.5789727124164</x:v>
      </x:c>
      <x:c r="M10" s="31" t="n">
        <x:f>IF(E10=0,"",I10-L10)</x:f>
        <x:v>0.7178591933910639</x:v>
      </x:c>
      <x:c r="N10" s="32" t="n">
        <x:f>IF(L10=0,"",I10/L10)</x:f>
        <x:v>1.0009706322379046</x:v>
      </x:c>
      <x:c r="O10" s="34" t="n">
        <x:f>IF(L10=0,"",M10/L10)</x:f>
        <x:v>0.0009706322379046351</x:v>
      </x:c>
    </x:row>
    <x:row r="11" ht="18" customHeight="1">
      <x:c r="A11" s="24" t="str">
        <x:v>Scorpionfishes</x:v>
      </x:c>
      <x:c r="B11" s="33" t="n">
        <x:v>13</x:v>
      </x:c>
      <x:c r="C11" s="33" t="n">
        <x:v>13</x:v>
      </x:c>
      <x:c r="D11" s="31" t="n">
        <x:v>70.6726329488</x:v>
      </x:c>
      <x:c r="E11" s="31" t="n">
        <x:v>70.6726329488</x:v>
      </x:c>
      <x:c r="F11" s="32" t="n">
        <x:v>0</x:v>
      </x:c>
      <x:c r="G11" s="34" t="n">
        <x:v>1</x:v>
      </x:c>
      <x:c r="H11" s="32" t="n">
        <x:f>IF(E11=0,"",I11/E11)</x:f>
        <x:v>1169.2145886166413</x:v>
      </x:c>
      <x:c r="I11" s="31" t="n">
        <x:f>IF(C11=0,"",SUMIF('Species'!$H$2:$H$214,A11,'Species'!$U$2:$U$214))</x:f>
        <x:v>82631.47345968608</x:v>
      </x:c>
      <x:c r="J11" s="32" t="n">
        <x:v>3.9972655921246636</x:v>
      </x:c>
      <x:c r="K11" s="32" t="n">
        <x:f>IF(J11="","",(1/'Metadata'!$B$5)^(J11-1))</x:f>
        <x:v>993.7235727643216</x:v>
      </x:c>
      <x:c r="L11" s="31" t="n">
        <x:f>IF(E11=0,"",E11*K11)</x:f>
        <x:v>70229.06131054305</x:v>
      </x:c>
      <x:c r="M11" s="31" t="n">
        <x:f>IF(E11=0,"",I11-L11)</x:f>
        <x:v>12402.412149143027</x:v>
      </x:c>
      <x:c r="N11" s="32" t="n">
        <x:f>IF(L11=0,"",I11/L11)</x:f>
        <x:v>1.1765994293203108</x:v>
      </x:c>
      <x:c r="O11" s="34" t="n">
        <x:f>IF(L11=0,"",M11/L11)</x:f>
        <x:v>0.17659942932031086</x:v>
      </x:c>
    </x:row>
    <x:row r="12" ht="18" customHeight="1">
      <x:c r="A12" s="24" t="str">
        <x:v>Sharks &amp; rays</x:v>
      </x:c>
      <x:c r="B12" s="33" t="n">
        <x:v>36</x:v>
      </x:c>
      <x:c r="C12" s="33" t="n">
        <x:v>36</x:v>
      </x:c>
      <x:c r="D12" s="31" t="n">
        <x:v>233.99447578950003</x:v>
      </x:c>
      <x:c r="E12" s="31" t="n">
        <x:v>233.99447578950003</x:v>
      </x:c>
      <x:c r="F12" s="32" t="n">
        <x:v>0</x:v>
      </x:c>
      <x:c r="G12" s="34" t="n">
        <x:v>1</x:v>
      </x:c>
      <x:c r="H12" s="32" t="n">
        <x:f>IF(E12=0,"",I12/E12)</x:f>
        <x:v>1354.5376731037888</x:v>
      </x:c>
      <x:c r="I12" s="31" t="n">
        <x:f>IF(C12=0,"",SUMIF('Species'!$H$2:$H$214,A12,'Species'!$U$2:$U$214))</x:f>
        <x:v>316954.3327550502</x:v>
      </x:c>
      <x:c r="J12" s="32" t="n">
        <x:v>4.085309718920166</x:v>
      </x:c>
      <x:c r="K12" s="32" t="n">
        <x:f>IF(J12="","",(1/'Metadata'!$B$5)^(J12-1))</x:f>
        <x:v>1217.0536381053746</x:v>
      </x:c>
      <x:c r="L12" s="31" t="n">
        <x:f>IF(E12=0,"",E12*K12)</x:f>
        <x:v>284783.828056171</x:v>
      </x:c>
      <x:c r="M12" s="31" t="n">
        <x:f>IF(E12=0,"",I12-L12)</x:f>
        <x:v>32170.504698879202</x:v>
      </x:c>
      <x:c r="N12" s="32" t="n">
        <x:f>IF(L12=0,"",I12/L12)</x:f>
        <x:v>1.112964647320261</x:v>
      </x:c>
      <x:c r="O12" s="34" t="n">
        <x:f>IF(L12=0,"",M12/L12)</x:f>
        <x:v>0.11296464732026097</x:v>
      </x:c>
    </x:row>
    <x:row r="13" ht="18" customHeight="1">
      <x:c r="A13" s="24" t="str">
        <x:v>Tuna &amp; billfishes</x:v>
      </x:c>
      <x:c r="B13" s="33" t="n">
        <x:v>12</x:v>
      </x:c>
      <x:c r="C13" s="33" t="n">
        <x:v>12</x:v>
      </x:c>
      <x:c r="D13" s="31" t="n">
        <x:v>3730.9551272451</x:v>
      </x:c>
      <x:c r="E13" s="31" t="n">
        <x:v>3730.9551272451</x:v>
      </x:c>
      <x:c r="F13" s="32" t="n">
        <x:v>0</x:v>
      </x:c>
      <x:c r="G13" s="34" t="n">
        <x:v>1</x:v>
      </x:c>
      <x:c r="H13" s="32" t="n">
        <x:f>IF(E13=0,"",I13/E13)</x:f>
        <x:v>2962.9943048730834</x:v>
      </x:c>
      <x:c r="I13" s="31" t="n">
        <x:f>IF(C13=0,"",SUMIF('Species'!$H$2:$H$214,A13,'Species'!$U$2:$U$214))</x:f>
        <x:v>11054798.793764262</x:v>
      </x:c>
      <x:c r="J13" s="32" t="n">
        <x:v>4.469532197615017</x:v>
      </x:c>
      <x:c r="K13" s="32" t="n">
        <x:f>IF(J13="","",(1/'Metadata'!$B$5)^(J13-1))</x:f>
        <x:v>2948.0320289616734</x:v>
      </x:c>
      <x:c r="L13" s="31" t="n">
        <x:f>IF(E13=0,"",E13*K13)</x:f>
        <x:v>10998975.21373733</x:v>
      </x:c>
      <x:c r="M13" s="31" t="n">
        <x:f>IF(E13=0,"",I13-L13)</x:f>
        <x:v>55823.58002693206</x:v>
      </x:c>
      <x:c r="N13" s="32" t="n">
        <x:f>IF(L13=0,"",I13/L13)</x:f>
        <x:v>1.0050753437426798</x:v>
      </x:c>
      <x:c r="O13" s="34" t="n">
        <x:f>IF(L13=0,"",M13/L13)</x:f>
        <x:v>0.005075343742679808</x:v>
      </x:c>
    </x:row>
  </x:sheetData>
  <x:conditionalFormatting sqref="G2:G13">
    <x:cfRule type="cellIs" dxfId="1" priority="1" operator="lessThan">
      <x:formula>0.9</x:formula>
    </x:cfRule>
  </x:conditionalFormatting>
  <x:conditionalFormatting sqref="O2:O13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17990d35dd4b455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21</x:v>
      </x:c>
      <x:c r="C2" s="33" t="n">
        <x:v>21</x:v>
      </x:c>
      <x:c r="D2" s="31" t="n">
        <x:v>165.559567826</x:v>
      </x:c>
      <x:c r="E2" s="31" t="n">
        <x:v>165.559567826</x:v>
      </x:c>
      <x:c r="F2" s="32" t="n">
        <x:v>0</x:v>
      </x:c>
      <x:c r="G2" s="34" t="n">
        <x:v>1</x:v>
      </x:c>
      <x:c r="H2" s="32" t="n">
        <x:f>IF(E2=0,"",I2/E2)</x:f>
        <x:v>847.6166132787421</x:v>
      </x:c>
      <x:c r="I2" s="31" t="n">
        <x:f>IF(C2=0,"",SUMIF('Species'!$G$2:$G$214,A2,'Species'!$U$2:$U$214))</x:f>
        <x:v>140331.0401765663</x:v>
      </x:c>
      <x:c r="J2" s="32" t="n">
        <x:v>3.858136205735429</x:v>
      </x:c>
      <x:c r="K2" s="32" t="n">
        <x:f>IF(J2="","",(1/'Metadata'!$B$5)^(J2-1))</x:f>
        <x:v>721.3336721975629</x:v>
      </x:c>
      <x:c r="L2" s="31" t="n">
        <x:f>IF(E2=0,"",E2*K2)</x:f>
        <x:v>119423.69102737008</x:v>
      </x:c>
      <x:c r="M2" s="31" t="n">
        <x:f>IF(E2=0,"",I2-L2)</x:f>
        <x:v>20907.349149196234</x:v>
      </x:c>
      <x:c r="N2" s="32" t="n">
        <x:f>IF(L2=0,"",I2/L2)</x:f>
        <x:v>1.1750686900508258</x:v>
      </x:c>
      <x:c r="O2" s="34" t="n">
        <x:f>IF(L2=0,"",M2/L2)</x:f>
        <x:v>0.17506869005082576</x:v>
      </x:c>
    </x:row>
    <x:row r="3" ht="18" customHeight="1">
      <x:c r="A3" s="24" t="str">
        <x:v>Large bathydemersals (&gt;=90 cm)</x:v>
      </x:c>
      <x:c r="B3" s="33" t="n">
        <x:v>3</x:v>
      </x:c>
      <x:c r="C3" s="33" t="n">
        <x:v>3</x:v>
      </x:c>
      <x:c r="D3" s="31" t="n">
        <x:v>147.56160706810002</x:v>
      </x:c>
      <x:c r="E3" s="31" t="n">
        <x:v>147.56160706810002</x:v>
      </x:c>
      <x:c r="F3" s="32" t="n">
        <x:v>0</x:v>
      </x:c>
      <x:c r="G3" s="34" t="n">
        <x:v>1</x:v>
      </x:c>
      <x:c r="H3" s="32" t="n">
        <x:f>IF(E3=0,"",I3/E3)</x:f>
        <x:v>738.155814858384</x:v>
      </x:c>
      <x:c r="I3" s="31" t="n">
        <x:f>IF(C3=0,"",SUMIF('Species'!$G$2:$G$214,A3,'Species'!$U$2:$U$214))</x:f>
        <x:v>108923.45830716605</x:v>
      </x:c>
      <x:c r="J3" s="32" t="n">
        <x:v>3.8429163229427243</x:v>
      </x:c>
      <x:c r="K3" s="32" t="n">
        <x:f>IF(J3="","",(1/'Metadata'!$B$5)^(J3-1))</x:f>
        <x:v>696.4923055405927</x:v>
      </x:c>
      <x:c r="L3" s="31" t="n">
        <x:f>IF(E3=0,"",E3*K3)</x:f>
        <x:v>102775.52391613601</x:v>
      </x:c>
      <x:c r="M3" s="31" t="n">
        <x:f>IF(E3=0,"",I3-L3)</x:f>
        <x:v>6147.934391030038</x:v>
      </x:c>
      <x:c r="N3" s="32" t="n">
        <x:f>IF(L3=0,"",I3/L3)</x:f>
        <x:v>1.0598190518206134</x:v>
      </x:c>
      <x:c r="O3" s="34" t="n">
        <x:f>IF(L3=0,"",M3/L3)</x:f>
        <x:v>0.05981905182061346</x:v>
      </x:c>
    </x:row>
    <x:row r="4" ht="18" customHeight="1">
      <x:c r="A4" s="24" t="str">
        <x:v>Large benthopelagics (&gt;=90 cm)</x:v>
      </x:c>
      <x:c r="B4" s="33" t="n">
        <x:v>8</x:v>
      </x:c>
      <x:c r="C4" s="33" t="n">
        <x:v>8</x:v>
      </x:c>
      <x:c r="D4" s="31" t="n">
        <x:v>10.9568148255</x:v>
      </x:c>
      <x:c r="E4" s="31" t="n">
        <x:v>10.9568148255</x:v>
      </x:c>
      <x:c r="F4" s="32" t="n">
        <x:v>0</x:v>
      </x:c>
      <x:c r="G4" s="34" t="n">
        <x:v>1</x:v>
      </x:c>
      <x:c r="H4" s="32" t="n">
        <x:f>IF(E4=0,"",I4/E4)</x:f>
        <x:v>1818.2616291578006</x:v>
      </x:c>
      <x:c r="I4" s="31" t="n">
        <x:f>IF(C4=0,"",SUMIF('Species'!$G$2:$G$214,A4,'Species'!$U$2:$U$214))</x:f>
        <x:v>19922.355974993974</x:v>
      </x:c>
      <x:c r="J4" s="32" t="n">
        <x:v>4.1503403252911895</x:v>
      </x:c>
      <x:c r="K4" s="32" t="n">
        <x:f>IF(J4="","",(1/'Metadata'!$B$5)^(J4-1))</x:f>
        <x:v>1413.6448823259318</x:v>
      </x:c>
      <x:c r="L4" s="31" t="n">
        <x:f>IF(E4=0,"",E4*K4)</x:f>
        <x:v>15489.045204660973</x:v>
      </x:c>
      <x:c r="M4" s="31" t="n">
        <x:f>IF(E4=0,"",I4-L4)</x:f>
        <x:v>4433.310770333001</x:v>
      </x:c>
      <x:c r="N4" s="32" t="n">
        <x:f>IF(L4=0,"",I4/L4)</x:f>
        <x:v>1.2862223404835131</x:v>
      </x:c>
      <x:c r="O4" s="34" t="n">
        <x:f>IF(L4=0,"",M4/L4)</x:f>
        <x:v>0.2862223404835132</x:v>
      </x:c>
    </x:row>
    <x:row r="5" ht="18" customHeight="1">
      <x:c r="A5" s="24" t="str">
        <x:v>Large demersals (&gt;=90 cm)</x:v>
      </x:c>
      <x:c r="B5" s="33" t="n">
        <x:v>7</x:v>
      </x:c>
      <x:c r="C5" s="33" t="n">
        <x:v>7</x:v>
      </x:c>
      <x:c r="D5" s="31" t="n">
        <x:v>25.089315940700004</x:v>
      </x:c>
      <x:c r="E5" s="31" t="n">
        <x:v>25.089315940700004</x:v>
      </x:c>
      <x:c r="F5" s="32" t="n">
        <x:v>0</x:v>
      </x:c>
      <x:c r="G5" s="34" t="n">
        <x:v>1</x:v>
      </x:c>
      <x:c r="H5" s="32" t="n">
        <x:f>IF(E5=0,"",I5/E5)</x:f>
        <x:v>1774.2893062695948</x:v>
      </x:c>
      <x:c r="I5" s="31" t="n">
        <x:f>IF(C5=0,"",SUMIF('Species'!$G$2:$G$214,A5,'Species'!$U$2:$U$214))</x:f>
        <x:v>44515.7049752033</x:v>
      </x:c>
      <x:c r="J5" s="32" t="n">
        <x:v>4.213202031281916</x:v>
      </x:c>
      <x:c r="K5" s="32" t="n">
        <x:f>IF(J5="","",(1/'Metadata'!$B$5)^(J5-1))</x:f>
        <x:v>1633.811810946528</x:v>
      </x:c>
      <x:c r="L5" s="31" t="n">
        <x:f>IF(E5=0,"",E5*K5)</x:f>
        <x:v>40991.22071248467</x:v>
      </x:c>
      <x:c r="M5" s="31" t="n">
        <x:f>IF(E5=0,"",I5-L5)</x:f>
        <x:v>3524.48426271863</x:v>
      </x:c>
      <x:c r="N5" s="32" t="n">
        <x:f>IF(L5=0,"",I5/L5)</x:f>
        <x:v>1.0859814419150777</x:v>
      </x:c>
      <x:c r="O5" s="34" t="n">
        <x:f>IF(L5=0,"",M5/L5)</x:f>
        <x:v>0.08598144191507769</x:v>
      </x:c>
    </x:row>
    <x:row r="6" ht="18" customHeight="1">
      <x:c r="A6" s="24" t="str">
        <x:v>Large flatfishes (&gt;=90 cm)</x:v>
      </x:c>
      <x:c r="B6" s="33" t="n">
        <x:v>1</x:v>
      </x:c>
      <x:c r="C6" s="33" t="n">
        <x:v>1</x:v>
      </x:c>
      <x:c r="D6" s="31" t="n">
        <x:v>0.043431715</x:v>
      </x:c>
      <x:c r="E6" s="31" t="n">
        <x:v>0.043431715</x:v>
      </x:c>
      <x:c r="F6" s="32" t="n">
        <x:v>0</x:v>
      </x:c>
      <x:c r="G6" s="34" t="n">
        <x:v>1</x:v>
      </x:c>
      <x:c r="H6" s="32" t="n">
        <x:f>IF(E6=0,"",I6/E6)</x:f>
        <x:v>2290.867652767775</x:v>
      </x:c>
      <x:c r="I6" s="31" t="n">
        <x:f>IF(C6=0,"",SUMIF('Species'!$G$2:$G$214,A6,'Species'!$U$2:$U$214))</x:f>
        <x:v>99.49631099772897</x:v>
      </x:c>
      <x:c r="J6" s="32" t="n">
        <x:v>4.36</x:v>
      </x:c>
      <x:c r="K6" s="32" t="n">
        <x:f>IF(J6="","",(1/'Metadata'!$B$5)^(J6-1))</x:f>
        <x:v>2290.867652767775</x:v>
      </x:c>
      <x:c r="L6" s="31" t="n">
        <x:f>IF(E6=0,"",E6*K6)</x:f>
        <x:v>99.49631099772897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Large pelagics (&gt;=90 cm)</x:v>
      </x:c>
      <x:c r="B7" s="33" t="n">
        <x:v>15</x:v>
      </x:c>
      <x:c r="C7" s="33" t="n">
        <x:v>15</x:v>
      </x:c>
      <x:c r="D7" s="31" t="n">
        <x:v>3834.9746269847997</x:v>
      </x:c>
      <x:c r="E7" s="31" t="n">
        <x:v>3834.9746269847997</x:v>
      </x:c>
      <x:c r="F7" s="32" t="n">
        <x:v>0</x:v>
      </x:c>
      <x:c r="G7" s="34" t="n">
        <x:v>1</x:v>
      </x:c>
      <x:c r="H7" s="32" t="n">
        <x:f>IF(E7=0,"",I7/E7)</x:f>
        <x:v>2869.322007448776</x:v>
      </x:c>
      <x:c r="I7" s="31" t="n">
        <x:f>IF(C7=0,"",SUMIF('Species'!$G$2:$G$214,A7,'Species'!$U$2:$U$214))</x:f>
        <x:v>11003777.095215145</x:v>
      </x:c>
      <x:c r="J7" s="32" t="n">
        <x:v>4.4550785912828195</x:v>
      </x:c>
      <x:c r="K7" s="32" t="n">
        <x:f>IF(J7="","",(1/'Metadata'!$B$5)^(J7-1))</x:f>
        <x:v>2851.5342433389987</x:v>
      </x:c>
      <x:c r="L7" s="31" t="n">
        <x:f>IF(E7=0,"",E7*K7)</x:f>
        <x:v>10935561.47118336</x:v>
      </x:c>
      <x:c r="M7" s="31" t="n">
        <x:f>IF(E7=0,"",I7-L7)</x:f>
        <x:v>68215.62403178588</x:v>
      </x:c>
      <x:c r="N7" s="32" t="n">
        <x:f>IF(L7=0,"",I7/L7)</x:f>
        <x:v>1.0062379626516245</x:v>
      </x:c>
      <x:c r="O7" s="34" t="n">
        <x:f>IF(L7=0,"",M7/L7)</x:f>
        <x:v>0.006237962651624519</x:v>
      </x:c>
    </x:row>
    <x:row r="8" ht="18" customHeight="1">
      <x:c r="A8" s="24" t="str">
        <x:v>Large rays (&gt;=90 cm)</x:v>
      </x:c>
      <x:c r="B8" s="33" t="n">
        <x:v>12</x:v>
      </x:c>
      <x:c r="C8" s="33" t="n">
        <x:v>12</x:v>
      </x:c>
      <x:c r="D8" s="31" t="n">
        <x:v>38.0399862662</x:v>
      </x:c>
      <x:c r="E8" s="31" t="n">
        <x:v>38.0399862662</x:v>
      </x:c>
      <x:c r="F8" s="32" t="n">
        <x:v>0</x:v>
      </x:c>
      <x:c r="G8" s="34" t="n">
        <x:v>1</x:v>
      </x:c>
      <x:c r="H8" s="32" t="n">
        <x:f>IF(E8=0,"",I8/E8)</x:f>
        <x:v>700.5857226493822</x:v>
      </x:c>
      <x:c r="I8" s="31" t="n">
        <x:f>IF(C8=0,"",SUMIF('Species'!$G$2:$G$214,A8,'Species'!$U$2:$U$214))</x:f>
        <x:v>26650.271267878303</x:v>
      </x:c>
      <x:c r="J8" s="32" t="n">
        <x:v>3.7790353386082156</x:v>
      </x:c>
      <x:c r="K8" s="32" t="n">
        <x:f>IF(J8="","",(1/'Metadata'!$B$5)^(J8-1))</x:f>
        <x:v>601.2226570722369</x:v>
      </x:c>
      <x:c r="L8" s="31" t="n">
        <x:f>IF(E8=0,"",E8*K8)</x:f>
        <x:v>22870.501617956164</x:v>
      </x:c>
      <x:c r="M8" s="31" t="n">
        <x:f>IF(E8=0,"",I8-L8)</x:f>
        <x:v>3779.7696499221383</x:v>
      </x:c>
      <x:c r="N8" s="32" t="n">
        <x:f>IF(L8=0,"",I8/L8)</x:f>
        <x:v>1.1652683318040804</x:v>
      </x:c>
      <x:c r="O8" s="34" t="n">
        <x:f>IF(L8=0,"",M8/L8)</x:f>
        <x:v>0.16526833180408046</x:v>
      </x:c>
    </x:row>
    <x:row r="9" ht="18" customHeight="1">
      <x:c r="A9" s="24" t="str">
        <x:v>Large reef assoc. fish (&gt;=90 cm)</x:v>
      </x:c>
      <x:c r="B9" s="33" t="n">
        <x:v>6</x:v>
      </x:c>
      <x:c r="C9" s="33" t="n">
        <x:v>6</x:v>
      </x:c>
      <x:c r="D9" s="31" t="n">
        <x:v>23.688031261200003</x:v>
      </x:c>
      <x:c r="E9" s="31" t="n">
        <x:v>23.688031261200003</x:v>
      </x:c>
      <x:c r="F9" s="32" t="n">
        <x:v>0</x:v>
      </x:c>
      <x:c r="G9" s="34" t="n">
        <x:v>1</x:v>
      </x:c>
      <x:c r="H9" s="32" t="n">
        <x:f>IF(E9=0,"",I9/E9)</x:f>
        <x:v>2192.5970689737337</x:v>
      </x:c>
      <x:c r="I9" s="31" t="n">
        <x:f>IF(C9=0,"",SUMIF('Species'!$G$2:$G$214,A9,'Species'!$U$2:$U$214))</x:f>
        <x:v>51938.307913065306</x:v>
      </x:c>
      <x:c r="J9" s="32" t="n">
        <x:v>4.257396415966319</x:v>
      </x:c>
      <x:c r="K9" s="32" t="n">
        <x:f>IF(J9="","",(1/'Metadata'!$B$5)^(J9-1))</x:f>
        <x:v>1808.8244341815955</x:v>
      </x:c>
      <x:c r="L9" s="31" t="n">
        <x:f>IF(E9=0,"",E9*K9)</x:f>
        <x:v>42847.48974291604</x:v>
      </x:c>
      <x:c r="M9" s="31" t="n">
        <x:f>IF(E9=0,"",I9-L9)</x:f>
        <x:v>9090.818170149265</x:v>
      </x:c>
      <x:c r="N9" s="32" t="n">
        <x:f>IF(L9=0,"",I9/L9)</x:f>
        <x:v>1.2121668789628977</x:v>
      </x:c>
      <x:c r="O9" s="34" t="n">
        <x:f>IF(L9=0,"",M9/L9)</x:f>
        <x:v>0.21216687896289763</x:v>
      </x:c>
    </x:row>
    <x:row r="10" ht="18" customHeight="1">
      <x:c r="A10" s="24" t="str">
        <x:v>Large sharks (&gt;=90 cm)</x:v>
      </x:c>
      <x:c r="B10" s="33" t="n">
        <x:v>17</x:v>
      </x:c>
      <x:c r="C10" s="33" t="n">
        <x:v>17</x:v>
      </x:c>
      <x:c r="D10" s="31" t="n">
        <x:v>47.6051128632</x:v>
      </x:c>
      <x:c r="E10" s="31" t="n">
        <x:v>47.6051128632</x:v>
      </x:c>
      <x:c r="F10" s="32" t="n">
        <x:v>0</x:v>
      </x:c>
      <x:c r="G10" s="34" t="n">
        <x:v>1</x:v>
      </x:c>
      <x:c r="H10" s="32" t="n">
        <x:f>IF(E10=0,"",I10/E10)</x:f>
        <x:v>1693.5935531349082</x:v>
      </x:c>
      <x:c r="I10" s="31" t="n">
        <x:f>IF(C10=0,"",SUMIF('Species'!$G$2:$G$214,A10,'Species'!$U$2:$U$214))</x:f>
        <x:v>80623.71224137521</x:v>
      </x:c>
      <x:c r="J10" s="32" t="n">
        <x:v>4.1430737926159</x:v>
      </x:c>
      <x:c r="K10" s="32" t="n">
        <x:f>IF(J10="","",(1/'Metadata'!$B$5)^(J10-1))</x:f>
        <x:v>1390.1888233808368</x:v>
      </x:c>
      <x:c r="L10" s="31" t="n">
        <x:f>IF(E10=0,"",E10*K10)</x:f>
        <x:v>66180.09583820394</x:v>
      </x:c>
      <x:c r="M10" s="31" t="n">
        <x:f>IF(E10=0,"",I10-L10)</x:f>
        <x:v>14443.616403171269</x:v>
      </x:c>
      <x:c r="N10" s="32" t="n">
        <x:f>IF(L10=0,"",I10/L10)</x:f>
        <x:v>1.2182471363970642</x:v>
      </x:c>
      <x:c r="O10" s="34" t="n">
        <x:f>IF(L10=0,"",M10/L10)</x:f>
        <x:v>0.21824713639706408</x:v>
      </x:c>
    </x:row>
    <x:row r="11" ht="18" customHeight="1">
      <x:c r="A11" s="24" t="str">
        <x:v>Lobsters, crabs</x:v>
      </x:c>
      <x:c r="B11" s="33" t="n">
        <x:v>8</x:v>
      </x:c>
      <x:c r="C11" s="33" t="n">
        <x:v>8</x:v>
      </x:c>
      <x:c r="D11" s="31" t="n">
        <x:v>19.830380283600004</x:v>
      </x:c>
      <x:c r="E11" s="31" t="n">
        <x:v>19.830380283600004</x:v>
      </x:c>
      <x:c r="F11" s="32" t="n">
        <x:v>0</x:v>
      </x:c>
      <x:c r="G11" s="34" t="n">
        <x:v>1</x:v>
      </x:c>
      <x:c r="H11" s="32" t="n">
        <x:f>IF(E11=0,"",I11/E11)</x:f>
        <x:v>112.46221411111438</x:v>
      </x:c>
      <x:c r="I11" s="31" t="n">
        <x:f>IF(C11=0,"",SUMIF('Species'!$G$2:$G$214,A11,'Species'!$U$2:$U$214))</x:f>
        <x:v>2230.1684733590446</x:v>
      </x:c>
      <x:c r="J11" s="32" t="n">
        <x:v>2.9846007167377646</x:v>
      </x:c>
      <x:c r="K11" s="32" t="n">
        <x:f>IF(J11="","",(1/'Metadata'!$B$5)^(J11-1))</x:f>
        <x:v>96.51631157304325</x:v>
      </x:c>
      <x:c r="L11" s="31" t="n">
        <x:f>IF(E11=0,"",E11*K11)</x:f>
        <x:v>1913.9551620638717</x:v>
      </x:c>
      <x:c r="M11" s="31" t="n">
        <x:f>IF(E11=0,"",I11-L11)</x:f>
        <x:v>316.21331129517284</x:v>
      </x:c>
      <x:c r="N11" s="32" t="n">
        <x:f>IF(L11=0,"",I11/L11)</x:f>
        <x:v>1.1652145868214547</x:v>
      </x:c>
      <x:c r="O11" s="34" t="n">
        <x:f>IF(L11=0,"",M11/L11)</x:f>
        <x:v>0.16521458682145465</x:v>
      </x:c>
    </x:row>
    <x:row r="12" ht="18" customHeight="1">
      <x:c r="A12" s="24" t="str">
        <x:v>Medium bathydemersals (30 - 89 cm)</x:v>
      </x:c>
      <x:c r="B12" s="33" t="n">
        <x:v>6</x:v>
      </x:c>
      <x:c r="C12" s="33" t="n">
        <x:v>6</x:v>
      </x:c>
      <x:c r="D12" s="31" t="n">
        <x:v>20.6656508696</x:v>
      </x:c>
      <x:c r="E12" s="31" t="n">
        <x:v>20.6656508696</x:v>
      </x:c>
      <x:c r="F12" s="32" t="n">
        <x:v>0</x:v>
      </x:c>
      <x:c r="G12" s="34" t="n">
        <x:v>1</x:v>
      </x:c>
      <x:c r="H12" s="32" t="n">
        <x:f>IF(E12=0,"",I12/E12)</x:f>
        <x:v>1481.7471620015037</x:v>
      </x:c>
      <x:c r="I12" s="31" t="n">
        <x:f>IF(C12=0,"",SUMIF('Species'!$G$2:$G$214,A12,'Species'!$U$2:$U$214))</x:f>
        <x:v>30621.269526943706</x:v>
      </x:c>
      <x:c r="J12" s="32" t="n">
        <x:v>3.931452037798438</x:v>
      </x:c>
      <x:c r="K12" s="32" t="n">
        <x:f>IF(J12="","",(1/'Metadata'!$B$5)^(J12-1))</x:f>
        <x:v>853.9885302362776</x:v>
      </x:c>
      <x:c r="L12" s="31" t="n">
        <x:f>IF(E12=0,"",E12*K12)</x:f>
        <x:v>17648.228812505757</x:v>
      </x:c>
      <x:c r="M12" s="31" t="n">
        <x:f>IF(E12=0,"",I12-L12)</x:f>
        <x:v>12973.04071443795</x:v>
      </x:c>
      <x:c r="N12" s="32" t="n">
        <x:f>IF(L12=0,"",I12/L12)</x:f>
        <x:v>1.7350902377945763</x:v>
      </x:c>
      <x:c r="O12" s="34" t="n">
        <x:f>IF(L12=0,"",M12/L12)</x:f>
        <x:v>0.7350902377945763</x:v>
      </x:c>
    </x:row>
    <x:row r="13" ht="18" customHeight="1">
      <x:c r="A13" s="24" t="str">
        <x:v>Medium benthopelagics (30 - 89 cm)</x:v>
      </x:c>
      <x:c r="B13" s="33" t="n">
        <x:v>17</x:v>
      </x:c>
      <x:c r="C13" s="33" t="n">
        <x:v>17</x:v>
      </x:c>
      <x:c r="D13" s="31" t="n">
        <x:v>242.64432898670003</x:v>
      </x:c>
      <x:c r="E13" s="31" t="n">
        <x:v>242.64432898670003</x:v>
      </x:c>
      <x:c r="F13" s="32" t="n">
        <x:v>0</x:v>
      </x:c>
      <x:c r="G13" s="34" t="n">
        <x:v>1</x:v>
      </x:c>
      <x:c r="H13" s="32" t="n">
        <x:f>IF(E13=0,"",I13/E13)</x:f>
        <x:v>687.3248295845378</x:v>
      </x:c>
      <x:c r="I13" s="31" t="n">
        <x:f>IF(C13=0,"",SUMIF('Species'!$G$2:$G$214,A13,'Species'!$U$2:$U$214))</x:f>
        <x:v>166775.47207043815</x:v>
      </x:c>
      <x:c r="J13" s="32" t="n">
        <x:v>3.744805887150665</x:v>
      </x:c>
      <x:c r="K13" s="32" t="n">
        <x:f>IF(J13="","",(1/'Metadata'!$B$5)^(J13-1))</x:f>
        <x:v>555.6558450707654</x:v>
      </x:c>
      <x:c r="L13" s="31" t="n">
        <x:f>IF(E13=0,"",E13*K13)</x:f>
        <x:v>134826.73967473363</x:v>
      </x:c>
      <x:c r="M13" s="31" t="n">
        <x:f>IF(E13=0,"",I13-L13)</x:f>
        <x:v>31948.732395704516</x:v>
      </x:c>
      <x:c r="N13" s="32" t="n">
        <x:f>IF(L13=0,"",I13/L13)</x:f>
        <x:v>1.2369613955865142</x:v>
      </x:c>
      <x:c r="O13" s="34" t="n">
        <x:f>IF(L13=0,"",M13/L13)</x:f>
        <x:v>0.23696139558651413</x:v>
      </x:c>
    </x:row>
    <x:row r="14" ht="18" customHeight="1">
      <x:c r="A14" s="24" t="str">
        <x:v>Medium demersals (30 - 89 cm)</x:v>
      </x:c>
      <x:c r="B14" s="33" t="n">
        <x:v>24</x:v>
      </x:c>
      <x:c r="C14" s="33" t="n">
        <x:v>24</x:v>
      </x:c>
      <x:c r="D14" s="31" t="n">
        <x:v>581.2487899915</x:v>
      </x:c>
      <x:c r="E14" s="31" t="n">
        <x:v>581.2487899915</x:v>
      </x:c>
      <x:c r="F14" s="32" t="n">
        <x:v>0</x:v>
      </x:c>
      <x:c r="G14" s="34" t="n">
        <x:v>1</x:v>
      </x:c>
      <x:c r="H14" s="32" t="n">
        <x:f>IF(E14=0,"",I14/E14)</x:f>
        <x:v>383.51645353045603</x:v>
      </x:c>
      <x:c r="I14" s="31" t="n">
        <x:f>IF(C14=0,"",SUMIF('Species'!$G$2:$G$214,A14,'Species'!$U$2:$U$214))</x:f>
        <x:v>222918.47455640888</x:v>
      </x:c>
      <x:c r="J14" s="32" t="n">
        <x:v>3.408969075333783</x:v>
      </x:c>
      <x:c r="K14" s="32" t="n">
        <x:f>IF(J14="","",(1/'Metadata'!$B$5)^(J14-1))</x:f>
        <x:v>256.430143463658</x:v>
      </x:c>
      <x:c r="L14" s="31" t="n">
        <x:f>IF(E14=0,"",E14*K14)</x:f>
        <x:v>149049.71060559797</x:v>
      </x:c>
      <x:c r="M14" s="31" t="n">
        <x:f>IF(E14=0,"",I14-L14)</x:f>
        <x:v>73868.76395081091</x:v>
      </x:c>
      <x:c r="N14" s="32" t="n">
        <x:f>IF(L14=0,"",I14/L14)</x:f>
        <x:v>1.4955981709100787</x:v>
      </x:c>
      <x:c r="O14" s="34" t="n">
        <x:f>IF(L14=0,"",M14/L14)</x:f>
        <x:v>0.49559817091007874</x:v>
      </x:c>
    </x:row>
    <x:row r="15" ht="18" customHeight="1">
      <x:c r="A15" s="24" t="str">
        <x:v>Medium pelagics (30 - 89 cm)</x:v>
      </x:c>
      <x:c r="B15" s="33" t="n">
        <x:v>14</x:v>
      </x:c>
      <x:c r="C15" s="33" t="n">
        <x:v>14</x:v>
      </x:c>
      <x:c r="D15" s="31" t="n">
        <x:v>1788.0974957280005</x:v>
      </x:c>
      <x:c r="E15" s="31" t="n">
        <x:v>1788.0974957280005</x:v>
      </x:c>
      <x:c r="F15" s="32" t="n">
        <x:v>0</x:v>
      </x:c>
      <x:c r="G15" s="34" t="n">
        <x:v>1</x:v>
      </x:c>
      <x:c r="H15" s="32" t="n">
        <x:f>IF(E15=0,"",I15/E15)</x:f>
        <x:v>2303.546598356408</x:v>
      </x:c>
      <x:c r="I15" s="31" t="n">
        <x:f>IF(C15=0,"",SUMIF('Species'!$G$2:$G$214,A15,'Species'!$U$2:$U$214))</x:f>
        <x:v>4118965.9038138473</x:v>
      </x:c>
      <x:c r="J15" s="32" t="n">
        <x:v>4.2848350708652045</x:v>
      </x:c>
      <x:c r="K15" s="32" t="n">
        <x:f>IF(J15="","",(1/'Metadata'!$B$5)^(J15-1))</x:f>
        <x:v>1926.7930488160139</x:v>
      </x:c>
      <x:c r="L15" s="31" t="n">
        <x:f>IF(E15=0,"",E15*K15)</x:f>
        <x:v>3445293.8253740333</x:v>
      </x:c>
      <x:c r="M15" s="31" t="n">
        <x:f>IF(E15=0,"",I15-L15)</x:f>
        <x:v>673672.078439814</x:v>
      </x:c>
      <x:c r="N15" s="32" t="n">
        <x:f>IF(L15=0,"",I15/L15)</x:f>
        <x:v>1.19553399871974</x:v>
      </x:c>
      <x:c r="O15" s="34" t="n">
        <x:f>IF(L15=0,"",M15/L15)</x:f>
        <x:v>0.19553399871973992</x:v>
      </x:c>
    </x:row>
    <x:row r="16" ht="18" customHeight="1">
      <x:c r="A16" s="24" t="str">
        <x:v>Medium reef assoc. fish (30 - 89 cm)</x:v>
      </x:c>
      <x:c r="B16" s="33" t="n">
        <x:v>9</x:v>
      </x:c>
      <x:c r="C16" s="33" t="n">
        <x:v>9</x:v>
      </x:c>
      <x:c r="D16" s="31" t="n">
        <x:v>59.50119312329999</x:v>
      </x:c>
      <x:c r="E16" s="31" t="n">
        <x:v>59.50119312329999</x:v>
      </x:c>
      <x:c r="F16" s="32" t="n">
        <x:v>0</x:v>
      </x:c>
      <x:c r="G16" s="34" t="n">
        <x:v>1</x:v>
      </x:c>
      <x:c r="H16" s="32" t="n">
        <x:f>IF(E16=0,"",I16/E16)</x:f>
        <x:v>620.4390655292895</x:v>
      </x:c>
      <x:c r="I16" s="31" t="n">
        <x:f>IF(C16=0,"",SUMIF('Species'!$G$2:$G$214,A16,'Species'!$U$2:$U$214))</x:f>
        <x:v>36916.86465929803</x:v>
      </x:c>
      <x:c r="J16" s="32" t="n">
        <x:v>3.600843222157513</x:v>
      </x:c>
      <x:c r="K16" s="32" t="n">
        <x:f>IF(J16="","",(1/'Metadata'!$B$5)^(J16-1))</x:f>
        <x:v>398.88088263436094</x:v>
      </x:c>
      <x:c r="L16" s="31" t="n">
        <x:f>IF(E16=0,"",E16*K16)</x:f>
        <x:v>23733.88843081947</x:v>
      </x:c>
      <x:c r="M16" s="31" t="n">
        <x:f>IF(E16=0,"",I16-L16)</x:f>
        <x:v>13182.976228478561</x:v>
      </x:c>
      <x:c r="N16" s="32" t="n">
        <x:f>IF(L16=0,"",I16/L16)</x:f>
        <x:v>1.5554494901627625</x:v>
      </x:c>
      <x:c r="O16" s="34" t="n">
        <x:f>IF(L16=0,"",M16/L16)</x:f>
        <x:v>0.5554494901627625</x:v>
      </x:c>
    </x:row>
    <x:row r="17" ht="18" customHeight="1">
      <x:c r="A17" s="24" t="str">
        <x:v>Other demersal invertebrates</x:v>
      </x:c>
      <x:c r="B17" s="33" t="n">
        <x:v>4</x:v>
      </x:c>
      <x:c r="C17" s="33" t="n">
        <x:v>4</x:v>
      </x:c>
      <x:c r="D17" s="31" t="n">
        <x:v>0.7025845086000001</x:v>
      </x:c>
      <x:c r="E17" s="31" t="n">
        <x:v>0.7025845086000001</x:v>
      </x:c>
      <x:c r="F17" s="32" t="n">
        <x:v>0</x:v>
      </x:c>
      <x:c r="G17" s="34" t="n">
        <x:v>1</x:v>
      </x:c>
      <x:c r="H17" s="32" t="n">
        <x:f>IF(E17=0,"",I17/E17)</x:f>
        <x:v>25.753935091778395</x:v>
      </x:c>
      <x:c r="I17" s="31" t="n">
        <x:f>IF(C17=0,"",SUMIF('Species'!$G$2:$G$214,A17,'Species'!$U$2:$U$214))</x:f>
        <x:v>18.09431583097342</x:v>
      </x:c>
      <x:c r="J17" s="32" t="n">
        <x:v>2.249131634235409</x:v>
      </x:c>
      <x:c r="K17" s="32" t="n">
        <x:f>IF(J17="","",(1/'Metadata'!$B$5)^(J17-1))</x:f>
        <x:v>17.747273175023906</x:v>
      </x:c>
      <x:c r="L17" s="31" t="n">
        <x:f>IF(E17=0,"",E17*K17)</x:f>
        <x:v>12.468959202664134</x:v>
      </x:c>
      <x:c r="M17" s="31" t="n">
        <x:f>IF(E17=0,"",I17-L17)</x:f>
        <x:v>5.625356628309287</x:v>
      </x:c>
      <x:c r="N17" s="32" t="n">
        <x:f>IF(L17=0,"",I17/L17)</x:f>
        <x:v>1.451148851871082</x:v>
      </x:c>
      <x:c r="O17" s="34" t="n">
        <x:f>IF(L17=0,"",M17/L17)</x:f>
        <x:v>0.45114885187108206</x:v>
      </x:c>
    </x:row>
    <x:row r="18" ht="18" customHeight="1">
      <x:c r="A18" s="24" t="str">
        <x:v>Shrimps</x:v>
      </x:c>
      <x:c r="B18" s="33" t="n">
        <x:v>12</x:v>
      </x:c>
      <x:c r="C18" s="33" t="n">
        <x:v>12</x:v>
      </x:c>
      <x:c r="D18" s="31" t="n">
        <x:v>363.09223309220005</x:v>
      </x:c>
      <x:c r="E18" s="31" t="n">
        <x:v>363.09223309220005</x:v>
      </x:c>
      <x:c r="F18" s="32" t="n">
        <x:v>0</x:v>
      </x:c>
      <x:c r="G18" s="34" t="n">
        <x:v>1</x:v>
      </x:c>
      <x:c r="H18" s="32" t="n">
        <x:f>IF(E18=0,"",I18/E18)</x:f>
        <x:v>276.9496520012663</x:v>
      </x:c>
      <x:c r="I18" s="31" t="n">
        <x:f>IF(C18=0,"",SUMIF('Species'!$G$2:$G$214,A18,'Species'!$U$2:$U$214))</x:f>
        <x:v>100558.26759924747</x:v>
      </x:c>
      <x:c r="J18" s="32" t="n">
        <x:v>3.400361431160426</x:v>
      </x:c>
      <x:c r="K18" s="32" t="n">
        <x:f>IF(J18="","",(1/'Metadata'!$B$5)^(J18-1))</x:f>
        <x:v>251.39777588200863</x:v>
      </x:c>
      <x:c r="L18" s="31" t="n">
        <x:f>IF(E18=0,"",E18*K18)</x:f>
        <x:v>91280.57983941094</x:v>
      </x:c>
      <x:c r="M18" s="31" t="n">
        <x:f>IF(E18=0,"",I18-L18)</x:f>
        <x:v>9277.687759836524</x:v>
      </x:c>
      <x:c r="N18" s="32" t="n">
        <x:f>IF(L18=0,"",I18/L18)</x:f>
        <x:v>1.101639229025042</x:v>
      </x:c>
      <x:c r="O18" s="34" t="n">
        <x:f>IF(L18=0,"",M18/L18)</x:f>
        <x:v>0.10163922902504205</x:v>
      </x:c>
    </x:row>
    <x:row r="19" ht="18" customHeight="1">
      <x:c r="A19" s="24" t="str">
        <x:v>Small bathydemersals (&lt;30 cm)</x:v>
      </x:c>
      <x:c r="B19" s="33" t="n">
        <x:v>1</x:v>
      </x:c>
      <x:c r="C19" s="33" t="n">
        <x:v>1</x:v>
      </x:c>
      <x:c r="D19" s="31" t="n">
        <x:v>2.2680988514</x:v>
      </x:c>
      <x:c r="E19" s="31" t="n">
        <x:v>2.2680988514</x:v>
      </x:c>
      <x:c r="F19" s="32" t="n">
        <x:v>0</x:v>
      </x:c>
      <x:c r="G19" s="34" t="n">
        <x:v>1</x:v>
      </x:c>
      <x:c r="H19" s="32" t="n">
        <x:f>IF(E19=0,"",I19/E19)</x:f>
        <x:v>316.22776601683796</x:v>
      </x:c>
      <x:c r="I19" s="31" t="n">
        <x:f>IF(C19=0,"",SUMIF('Species'!$G$2:$G$214,A19,'Species'!$U$2:$U$214))</x:f>
        <x:v>717.2358328835782</x:v>
      </x:c>
      <x:c r="J19" s="32" t="n">
        <x:v>3.5</x:v>
      </x:c>
      <x:c r="K19" s="32" t="n">
        <x:f>IF(J19="","",(1/'Metadata'!$B$5)^(J19-1))</x:f>
        <x:v>316.22776601683796</x:v>
      </x:c>
      <x:c r="L19" s="31" t="n">
        <x:f>IF(E19=0,"",E19*K19)</x:f>
        <x:v>717.2358328835782</x:v>
      </x:c>
      <x:c r="M19" s="31" t="n">
        <x:f>IF(E19=0,"",I19-L19)</x:f>
        <x:v>0</x:v>
      </x:c>
      <x:c r="N19" s="32" t="n">
        <x:f>IF(L19=0,"",I19/L19)</x:f>
        <x:v>1</x:v>
      </x:c>
      <x:c r="O19" s="34" t="n">
        <x:f>IF(L19=0,"",M19/L19)</x:f>
        <x:v>0</x:v>
      </x:c>
    </x:row>
    <x:row r="20" ht="18" customHeight="1">
      <x:c r="A20" s="24" t="str">
        <x:v>Small benthopelagics (&lt;30 cm)</x:v>
      </x:c>
      <x:c r="B20" s="33" t="n">
        <x:v>2</x:v>
      </x:c>
      <x:c r="C20" s="33" t="n">
        <x:v>2</x:v>
      </x:c>
      <x:c r="D20" s="31" t="n">
        <x:v>6.063879482100001</x:v>
      </x:c>
      <x:c r="E20" s="31" t="n">
        <x:v>6.063879482100001</x:v>
      </x:c>
      <x:c r="F20" s="32" t="n">
        <x:v>0</x:v>
      </x:c>
      <x:c r="G20" s="34" t="n">
        <x:v>1</x:v>
      </x:c>
      <x:c r="H20" s="32" t="n">
        <x:f>IF(E20=0,"",I20/E20)</x:f>
        <x:v>267.24764945464176</x:v>
      </x:c>
      <x:c r="I20" s="31" t="n">
        <x:f>IF(C20=0,"",SUMIF('Species'!$G$2:$G$214,A20,'Species'!$U$2:$U$214))</x:f>
        <x:v>1620.5575381674557</x:v>
      </x:c>
      <x:c r="J20" s="32" t="n">
        <x:v>3.416182886878553</x:v>
      </x:c>
      <x:c r="K20" s="32" t="n">
        <x:f>IF(J20="","",(1/'Metadata'!$B$5)^(J20-1))</x:f>
        <x:v>260.72512652116444</x:v>
      </x:c>
      <x:c r="L20" s="31" t="n">
        <x:f>IF(E20=0,"",E20*K20)</x:f>
        <x:v>1581.0057451796158</x:v>
      </x:c>
      <x:c r="M20" s="31" t="n">
        <x:f>IF(E20=0,"",I20-L20)</x:f>
        <x:v>39.55179298783992</x:v>
      </x:c>
      <x:c r="N20" s="32" t="n">
        <x:f>IF(L20=0,"",I20/L20)</x:f>
        <x:v>1.0250168559528836</x:v>
      </x:c>
      <x:c r="O20" s="34" t="n">
        <x:f>IF(L20=0,"",M20/L20)</x:f>
        <x:v>0.025016855952883648</x:v>
      </x:c>
    </x:row>
    <x:row r="21" ht="18" customHeight="1">
      <x:c r="A21" s="24" t="str">
        <x:v>Small demersals (&lt;30 cm)</x:v>
      </x:c>
      <x:c r="B21" s="33" t="n">
        <x:v>7</x:v>
      </x:c>
      <x:c r="C21" s="33" t="n">
        <x:v>7</x:v>
      </x:c>
      <x:c r="D21" s="31" t="n">
        <x:v>142.5207524063</x:v>
      </x:c>
      <x:c r="E21" s="31" t="n">
        <x:v>142.5207524063</x:v>
      </x:c>
      <x:c r="F21" s="32" t="n">
        <x:v>0</x:v>
      </x:c>
      <x:c r="G21" s="34" t="n">
        <x:v>1</x:v>
      </x:c>
      <x:c r="H21" s="32" t="n">
        <x:f>IF(E21=0,"",I21/E21)</x:f>
        <x:v>451.68556906934936</x:v>
      </x:c>
      <x:c r="I21" s="31" t="n">
        <x:f>IF(C21=0,"",SUMIF('Species'!$G$2:$G$214,A21,'Species'!$U$2:$U$214))</x:f>
        <x:v>64374.56715483146</x:v>
      </x:c>
      <x:c r="J21" s="32" t="n">
        <x:v>3.62174810668863</x:v>
      </x:c>
      <x:c r="K21" s="32" t="n">
        <x:f>IF(J21="","",(1/'Metadata'!$B$5)^(J21-1))</x:f>
        <x:v>418.55073285680345</x:v>
      </x:c>
      <x:c r="L21" s="31" t="n">
        <x:f>IF(E21=0,"",E21*K21)</x:f>
        <x:v>59652.1653669599</x:v>
      </x:c>
      <x:c r="M21" s="31" t="n">
        <x:f>IF(E21=0,"",I21-L21)</x:f>
        <x:v>4722.401787871553</x:v>
      </x:c>
      <x:c r="N21" s="32" t="n">
        <x:f>IF(L21=0,"",I21/L21)</x:f>
        <x:v>1.0791656389809312</x:v>
      </x:c>
      <x:c r="O21" s="34" t="n">
        <x:f>IF(L21=0,"",M21/L21)</x:f>
        <x:v>0.07916563898093117</x:v>
      </x:c>
    </x:row>
    <x:row r="22" ht="18" customHeight="1">
      <x:c r="A22" s="24" t="str">
        <x:v>Small pelagics (&lt;30 cm)</x:v>
      </x:c>
      <x:c r="B22" s="33" t="n">
        <x:v>4</x:v>
      </x:c>
      <x:c r="C22" s="33" t="n">
        <x:v>4</x:v>
      </x:c>
      <x:c r="D22" s="31" t="n">
        <x:v>45.205819668800004</x:v>
      </x:c>
      <x:c r="E22" s="31" t="n">
        <x:v>45.205819668800004</x:v>
      </x:c>
      <x:c r="F22" s="32" t="n">
        <x:v>0</x:v>
      </x:c>
      <x:c r="G22" s="34" t="n">
        <x:v>1</x:v>
      </x:c>
      <x:c r="H22" s="32" t="n">
        <x:f>IF(E22=0,"",I22/E22)</x:f>
        <x:v>117.67068058300346</x:v>
      </x:c>
      <x:c r="I22" s="31" t="n">
        <x:f>IF(C22=0,"",SUMIF('Species'!$G$2:$G$214,A22,'Species'!$U$2:$U$214))</x:f>
        <x:v>5319.3995667402205</x:v>
      </x:c>
      <x:c r="J22" s="32" t="n">
        <x:v>3.0644491854365556</x:v>
      </x:c>
      <x:c r="K22" s="32" t="n">
        <x:f>IF(J22="","",(1/'Metadata'!$B$5)^(J22-1))</x:f>
        <x:v>115.99764853256559</x:v>
      </x:c>
      <x:c r="L22" s="31" t="n">
        <x:f>IF(E22=0,"",E22*K22)</x:f>
        <x:v>5243.768781568004</x:v>
      </x:c>
      <x:c r="M22" s="31" t="n">
        <x:f>IF(E22=0,"",I22-L22)</x:f>
        <x:v>75.63078517221675</x:v>
      </x:c>
      <x:c r="N22" s="32" t="n">
        <x:f>IF(L22=0,"",I22/L22)</x:f>
        <x:v>1.0144229824621676</x:v>
      </x:c>
      <x:c r="O22" s="34" t="n">
        <x:f>IF(L22=0,"",M22/L22)</x:f>
        <x:v>0.014422982462167498</x:v>
      </x:c>
    </x:row>
    <x:row r="23" ht="18" customHeight="1">
      <x:c r="A23" s="24" t="str">
        <x:v>Small reef assoc. fish (&lt;30 cm)</x:v>
      </x:c>
      <x:c r="B23" s="33" t="n">
        <x:v>2</x:v>
      </x:c>
      <x:c r="C23" s="33" t="n">
        <x:v>2</x:v>
      </x:c>
      <x:c r="D23" s="31" t="n">
        <x:v>2.9843789496</x:v>
      </x:c>
      <x:c r="E23" s="31" t="n">
        <x:v>2.9843789496</x:v>
      </x:c>
      <x:c r="F23" s="32" t="n">
        <x:v>0</x:v>
      </x:c>
      <x:c r="G23" s="34" t="n">
        <x:v>1</x:v>
      </x:c>
      <x:c r="H23" s="32" t="n">
        <x:f>IF(E23=0,"",I23/E23)</x:f>
        <x:v>362.30019099620176</x:v>
      </x:c>
      <x:c r="I23" s="31" t="n">
        <x:f>IF(C23=0,"",SUMIF('Species'!$G$2:$G$214,A23,'Species'!$U$2:$U$214))</x:f>
        <x:v>1081.241063445124</x:v>
      </x:c>
      <x:c r="J23" s="32" t="n">
        <x:v>3.4449725904258877</x:v>
      </x:c>
      <x:c r="K23" s="32" t="n">
        <x:f>IF(J23="","",(1/'Metadata'!$B$5)^(J23-1))</x:f>
        <x:v>278.5945334056598</x:v>
      </x:c>
      <x:c r="L23" s="31" t="n">
        <x:f>IF(E23=0,"",E23*K23)</x:f>
        <x:v>831.431660969485</x:v>
      </x:c>
      <x:c r="M23" s="31" t="n">
        <x:f>IF(E23=0,"",I23-L23)</x:f>
        <x:v>249.80940247563888</x:v>
      </x:c>
      <x:c r="N23" s="32" t="n">
        <x:f>IF(L23=0,"",I23/L23)</x:f>
        <x:v>1.3004569277339648</x:v>
      </x:c>
      <x:c r="O23" s="34" t="n">
        <x:f>IF(L23=0,"",M23/L23)</x:f>
        <x:v>0.30045692773396476</x:v>
      </x:c>
    </x:row>
    <x:row r="24" ht="18" customHeight="1">
      <x:c r="A24" s="24" t="str">
        <x:v>Small to medium flatfishes (&lt;90 cm)</x:v>
      </x:c>
      <x:c r="B24" s="33" t="n">
        <x:v>6</x:v>
      </x:c>
      <x:c r="C24" s="33" t="n">
        <x:v>6</x:v>
      </x:c>
      <x:c r="D24" s="31" t="n">
        <x:v>16.304631130600004</x:v>
      </x:c>
      <x:c r="E24" s="31" t="n">
        <x:v>16.304631130600004</x:v>
      </x:c>
      <x:c r="F24" s="32" t="n">
        <x:v>0</x:v>
      </x:c>
      <x:c r="G24" s="34" t="n">
        <x:v>1</x:v>
      </x:c>
      <x:c r="H24" s="32" t="n">
        <x:f>IF(E24=0,"",I24/E24)</x:f>
        <x:v>517.3163659945525</x:v>
      </x:c>
      <x:c r="I24" s="31" t="n">
        <x:f>IF(C24=0,"",SUMIF('Species'!$G$2:$G$214,A24,'Species'!$U$2:$U$214))</x:f>
        <x:v>8434.652525363646</x:v>
      </x:c>
      <x:c r="J24" s="32" t="n">
        <x:v>3.6825960379927603</x:v>
      </x:c>
      <x:c r="K24" s="32" t="n">
        <x:f>IF(J24="","",(1/'Metadata'!$B$5)^(J24-1))</x:f>
        <x:v>481.4997189816776</x:v>
      </x:c>
      <x:c r="L24" s="31" t="n">
        <x:f>IF(E24=0,"",E24*K24)</x:f>
        <x:v>7850.675307483814</x:v>
      </x:c>
      <x:c r="M24" s="31" t="n">
        <x:f>IF(E24=0,"",I24-L24)</x:f>
        <x:v>583.9772178798321</x:v>
      </x:c>
      <x:c r="N24" s="32" t="n">
        <x:f>IF(L24=0,"",I24/L24)</x:f>
        <x:v>1.0743856031497245</x:v>
      </x:c>
      <x:c r="O24" s="34" t="n">
        <x:f>IF(L24=0,"",M24/L24)</x:f>
        <x:v>0.07438560314972446</x:v>
      </x:c>
    </x:row>
    <x:row r="25" ht="18" customHeight="1">
      <x:c r="A25" s="24" t="str">
        <x:v>Small to medium rays (&lt;90 cm)</x:v>
      </x:c>
      <x:c r="B25" s="33" t="n">
        <x:v>2</x:v>
      </x:c>
      <x:c r="C25" s="33" t="n">
        <x:v>2</x:v>
      </x:c>
      <x:c r="D25" s="31" t="n">
        <x:v>0.4436159559999999</x:v>
      </x:c>
      <x:c r="E25" s="31" t="n">
        <x:v>0.4436159559999999</x:v>
      </x:c>
      <x:c r="F25" s="32" t="n">
        <x:v>0</x:v>
      </x:c>
      <x:c r="G25" s="34" t="n">
        <x:v>1</x:v>
      </x:c>
      <x:c r="H25" s="32" t="n">
        <x:f>IF(E25=0,"",I25/E25)</x:f>
        <x:v>400.363170512145</x:v>
      </x:c>
      <x:c r="I25" s="31" t="n">
        <x:f>IF(C25=0,"",SUMIF('Species'!$G$2:$G$214,A25,'Species'!$U$2:$U$214))</x:f>
        <x:v>177.60749063393618</x:v>
      </x:c>
      <x:c r="J25" s="32" t="n">
        <x:v>3.5722764044582744</x:v>
      </x:c>
      <x:c r="K25" s="32" t="n">
        <x:f>IF(J25="","",(1/'Metadata'!$B$5)^(J25-1))</x:f>
        <x:v>373.487786523008</x:v>
      </x:c>
      <x:c r="L25" s="31" t="n">
        <x:f>IF(E25=0,"",E25*K25)</x:f>
        <x:v>165.6851414727281</x:v>
      </x:c>
      <x:c r="M25" s="31" t="n">
        <x:f>IF(E25=0,"",I25-L25)</x:f>
        <x:v>11.922349161208075</x:v>
      </x:c>
      <x:c r="N25" s="32" t="n">
        <x:f>IF(L25=0,"",I25/L25)</x:f>
        <x:v>1.0719578657158615</x:v>
      </x:c>
      <x:c r="O25" s="34" t="n">
        <x:f>IF(L25=0,"",M25/L25)</x:f>
        <x:v>0.07195786571586145</x:v>
      </x:c>
    </x:row>
    <x:row r="26" ht="18" customHeight="1">
      <x:c r="A26" s="24" t="str">
        <x:v>Small to medium sharks (&lt;90 cm)</x:v>
      </x:c>
      <x:c r="B26" s="33" t="n">
        <x:v>5</x:v>
      </x:c>
      <x:c r="C26" s="33" t="n">
        <x:v>5</x:v>
      </x:c>
      <x:c r="D26" s="31" t="n">
        <x:v>147.90576070410003</x:v>
      </x:c>
      <x:c r="E26" s="31" t="n">
        <x:v>147.90576070410003</x:v>
      </x:c>
      <x:c r="F26" s="32" t="n">
        <x:v>0</x:v>
      </x:c>
      <x:c r="G26" s="34" t="n">
        <x:v>1</x:v>
      </x:c>
      <x:c r="H26" s="32" t="n">
        <x:f>IF(E26=0,"",I26/E26)</x:f>
        <x:v>1416.4610002871584</x:v>
      </x:c>
      <x:c r="I26" s="31" t="n">
        <x:f>IF(C26=0,"",SUMIF('Species'!$G$2:$G$214,A26,'Species'!$U$2:$U$214))</x:f>
        <x:v>209502.74175516263</x:v>
      </x:c>
      <x:c r="J26" s="32" t="n">
        <x:v>4.147027380854572</x:v>
      </x:c>
      <x:c r="K26" s="32" t="n">
        <x:f>IF(J26="","",(1/'Metadata'!$B$5)^(J26-1))</x:f>
        <x:v>1402.9021501915552</x:v>
      </x:c>
      <x:c r="L26" s="31" t="n">
        <x:f>IF(E26=0,"",E26*K26)</x:f>
        <x:v>207497.30971749956</x:v>
      </x:c>
      <x:c r="M26" s="31" t="n">
        <x:f>IF(E26=0,"",I26-L26)</x:f>
        <x:v>2005.432037663064</x:v>
      </x:c>
      <x:c r="N26" s="32" t="n">
        <x:f>IF(L26=0,"",I26/L26)</x:f>
        <x:v>1.0096648580186094</x:v>
      </x:c>
      <x:c r="O26" s="34" t="n">
        <x:f>IF(L26=0,"",M26/L26)</x:f>
        <x:v>0.00966485801860945</x:v>
      </x:c>
    </x:row>
  </x:sheetData>
  <x:conditionalFormatting sqref="G2:G26">
    <x:cfRule type="cellIs" dxfId="2" priority="1" operator="lessThan">
      <x:formula>0.9</x:formula>
    </x:cfRule>
  </x:conditionalFormatting>
  <x:conditionalFormatting sqref="O2:O26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f743cd56873346c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EEZ_470</x:v>
      </x:c>
      <x:c r="B2" s="24" t="str">
        <x:v>raw_filtered_tonnes</x:v>
      </x:c>
      <x:c r="C2" s="24" t="n">
        <x:v>7732.9980884831</x:v>
      </x:c>
      <x:c r="D2" s="24" t="str">
        <x:v>tonnes</x:v>
      </x:c>
    </x:row>
    <x:row r="3" ht="18" customHeight="1">
      <x:c r="A3" s="24" t="str">
        <x:v>EEZ_470</x:v>
      </x:c>
      <x:c r="B3" s="24" t="str">
        <x:v>species_catch_tonnes</x:v>
      </x:c>
      <x:c r="C3" s="24" t="n">
        <x:v>7732.9980884831</x:v>
      </x:c>
      <x:c r="D3" s="24" t="str">
        <x:v>tonnes</x:v>
      </x:c>
    </x:row>
    <x:row r="4" ht="18" customHeight="1">
      <x:c r="A4" s="24" t="str">
        <x:v>EEZ_470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EEZ_470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EEZ_470</x:v>
      </x:c>
      <x:c r="B6" s="24" t="str">
        <x:v>matched_catch_tonnes</x:v>
      </x:c>
      <x:c r="C6" s="24" t="n">
        <x:v>7732.9980884831</x:v>
      </x:c>
      <x:c r="D6" s="24" t="str">
        <x:v>tonnes</x:v>
      </x:c>
    </x:row>
    <x:row r="7" ht="18" customHeight="1">
      <x:c r="A7" s="24" t="str">
        <x:v>EEZ_470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EEZ_470</x:v>
      </x:c>
      <x:c r="B8" s="24" t="str">
        <x:v>taxa_count</x:v>
      </x:c>
      <x:c r="C8" s="24" t="n">
        <x:v>213</x:v>
      </x:c>
      <x:c r="D8" s="24" t="str">
        <x:v>count</x:v>
      </x:c>
    </x:row>
    <x:row r="9" ht="18" customHeight="1">
      <x:c r="A9" s="24" t="str">
        <x:v>EEZ_470</x:v>
      </x:c>
      <x:c r="B9" s="24" t="str">
        <x:v>matched_taxa_count</x:v>
      </x:c>
      <x:c r="C9" s="24" t="n">
        <x:v>213</x:v>
      </x:c>
      <x:c r="D9" s="24" t="str">
        <x:v>count</x:v>
      </x:c>
    </x:row>
    <x:row r="10" ht="18" customHeight="1">
      <x:c r="A10" s="24" t="str">
        <x:v>EEZ_470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EEZ_470</x:v>
      </x:c>
      <x:c r="B11" s="24" t="str">
        <x:v>species_ppr</x:v>
      </x:c>
      <x:c r="C11" s="24" t="n">
        <x:v>16447013.960324993</x:v>
      </x:c>
      <x:c r="D11" s="24" t="str">
        <x:v>tonnes_primary_production_equivalent</x:v>
      </x:c>
    </x:row>
    <x:row r="12" ht="18" customHeight="1">
      <x:c r="A12" s="24" t="str">
        <x:v>EEZ_470</x:v>
      </x:c>
      <x:c r="B12" s="24" t="str">
        <x:v>commercial_ppr</x:v>
      </x:c>
      <x:c r="C12" s="24" t="n">
        <x:v>16447013.960324993</x:v>
      </x:c>
      <x:c r="D12" s="24" t="str">
        <x:v>tonnes_primary_production_equivalent</x:v>
      </x:c>
    </x:row>
    <x:row r="13" ht="18" customHeight="1">
      <x:c r="A13" s="24" t="str">
        <x:v>EEZ_470</x:v>
      </x:c>
      <x:c r="B13" s="24" t="str">
        <x:v>functional_ppr</x:v>
      </x:c>
      <x:c r="C13" s="24" t="n">
        <x:v>16447013.960324995</x:v>
      </x:c>
      <x:c r="D13" s="24" t="str">
        <x:v>tonnes_primary_production_equivalent</x:v>
      </x:c>
    </x:row>
    <x:row r="14" ht="18" customHeight="1">
      <x:c r="A14" s="24" t="str">
        <x:v>EEZ_470</x:v>
      </x:c>
      <x:c r="B14" s="24" t="str">
        <x:v>commercial_ppr_difference</x:v>
      </x:c>
      <x:c r="C14" s="24" t="n">
        <x:v>0</x:v>
      </x:c>
      <x:c r="D14" s="24" t="str">
        <x:v>tonnes_primary_production_equivalent</x:v>
      </x:c>
    </x:row>
    <x:row r="15" ht="18" customHeight="1">
      <x:c r="A15" s="24" t="str">
        <x:v>EEZ_470</x:v>
      </x:c>
      <x:c r="B15" s="24" t="str">
        <x:v>functional_ppr_difference</x:v>
      </x:c>
      <x:c r="C15" s="24" t="n">
        <x:v>1.862645149230957e-9</x:v>
      </x:c>
      <x:c r="D15" s="24" t="str">
        <x:v>tonnes_primary_production_equivalent</x:v>
      </x:c>
    </x:row>
    <x:row r="16" ht="18" customHeight="1">
      <x:c r="A16" s="24" t="str">
        <x:v>EEZ_470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EEZ_470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EEZ_470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EEZ_470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a5b2471cc8aa454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EEZ_470 - Malta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EEZ_470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raw_data/SAU_downloads/EEZ_470-catch.zip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