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04215e85a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673812a74304d58"/>
    <x:sheet xmlns:r="http://schemas.openxmlformats.org/officeDocument/2006/relationships" name="Commercial" sheetId="2" r:id="R6b472a05a8064c50"/>
    <x:sheet xmlns:r="http://schemas.openxmlformats.org/officeDocument/2006/relationships" name="Functional" sheetId="3" r:id="R89c3b41d4312406a"/>
    <x:sheet xmlns:r="http://schemas.openxmlformats.org/officeDocument/2006/relationships" name="Missing TL" sheetId="4" r:id="R11e4d0e347514eee"/>
    <x:sheet xmlns:r="http://schemas.openxmlformats.org/officeDocument/2006/relationships" name="Validation" sheetId="5" r:id="R9e13d826972e4dd1"/>
    <x:sheet xmlns:r="http://schemas.openxmlformats.org/officeDocument/2006/relationships" name="Metadata" sheetId="6" r:id="R3741e2c3a820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0ab947cb34419" /><Relationship Type="http://schemas.openxmlformats.org/officeDocument/2006/relationships/theme" Target="/xl/theme/theme1.xml" Id="Ra4610aef0ec84f91" /><Relationship Type="http://schemas.microsoft.com/office/2022/11/relationships/FeaturePropertyBag" Target="/xl/featurePropertyBag/featurePropertyBag.xml" Id="Rb2d739e56d7c49c1" /><Relationship Type="http://schemas.openxmlformats.org/officeDocument/2006/relationships/sharedStrings" Target="/xl/sharedStrings.xml" Id="Rc86b29ecbf60424f" /><Relationship Type="http://schemas.openxmlformats.org/officeDocument/2006/relationships/worksheet" Target="/xl/worksheets/sheet1.xml" Id="Rc673812a74304d58" /><Relationship Type="http://schemas.openxmlformats.org/officeDocument/2006/relationships/worksheet" Target="/xl/worksheets/sheet2.xml" Id="R6b472a05a8064c50" /><Relationship Type="http://schemas.openxmlformats.org/officeDocument/2006/relationships/worksheet" Target="/xl/worksheets/sheet3.xml" Id="R89c3b41d4312406a" /><Relationship Type="http://schemas.openxmlformats.org/officeDocument/2006/relationships/worksheet" Target="/xl/worksheets/sheet4.xml" Id="R11e4d0e347514eee" /><Relationship Type="http://schemas.openxmlformats.org/officeDocument/2006/relationships/worksheet" Target="/xl/worksheets/sheet5.xml" Id="R9e13d826972e4dd1" /><Relationship Type="http://schemas.openxmlformats.org/officeDocument/2006/relationships/worksheet" Target="/xl/worksheets/sheet6.xml" Id="R3741e2c3a82043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4SpeciesTable" displayName="EEZ914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4CommercialTable" displayName="EEZ914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4FunctionalTable" displayName="EEZ914FunctionalTable" ref="A1:O16" headerRowCount="1" totalsRowCount="0" totalsRowShown="0">
  <x:autoFilter ref="A1:O1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4ValidationTable" displayName="EEZ91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b8f31a9bdc41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2e6248d3c54b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7a1be975264b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8e6cde7e8342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EEZ_914</x:v>
      </x:c>
      <x:c r="B2" s="24" t="str">
        <x:v>Sweden (Baltic)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138877.25853807</x:v>
      </x:c>
      <x:c r="J2" s="31" t="n">
        <x:v>133241.8687477741</x:v>
      </x:c>
      <x:c r="K2" s="31" t="n">
        <x:v>5635.3897902959</x:v>
      </x:c>
      <x:c r="L2" s="31" t="n">
        <x:v>113916.0029931807</x:v>
      </x:c>
      <x:c r="M2" s="31" t="n">
        <x:v>24961.2555448893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33314333.94843028</x:v>
      </x:c>
    </x:row>
    <x:row r="3" ht="18" customHeight="1">
      <x:c r="A3" s="24" t="str">
        <x:v>EEZ_914</x:v>
      </x:c>
      <x:c r="B3" s="24" t="str">
        <x:v>Sweden (Baltic)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92133.1039552355</x:v>
      </x:c>
      <x:c r="J3" s="31" t="n">
        <x:v>87184.4627649831</x:v>
      </x:c>
      <x:c r="K3" s="31" t="n">
        <x:v>4948.6411902524</x:v>
      </x:c>
      <x:c r="L3" s="31" t="n">
        <x:v>80120.2716778025</x:v>
      </x:c>
      <x:c r="M3" s="31" t="n">
        <x:v>12012.832277433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9427915.963446667</x:v>
      </x:c>
    </x:row>
    <x:row r="4" ht="18" customHeight="1">
      <x:c r="A4" s="24" t="str">
        <x:v>EEZ_914</x:v>
      </x:c>
      <x:c r="B4" s="24" t="str">
        <x:v>Sweden (Baltic)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9494.9606621661</x:v>
      </x:c>
      <x:c r="J4" s="31" t="n">
        <x:v>8063.5163661008</x:v>
      </x:c>
      <x:c r="K4" s="31" t="n">
        <x:v>1431.4442960653</x:v>
      </x:c>
      <x:c r="L4" s="31" t="n">
        <x:v>3050.6193610972</x:v>
      </x:c>
      <x:c r="M4" s="31" t="n">
        <x:v>6444.3413010689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11681353.582755</x:v>
      </x:c>
    </x:row>
    <x:row r="5" ht="18" customHeight="1">
      <x:c r="A5" s="24" t="str">
        <x:v>EEZ_914</x:v>
      </x:c>
      <x:c r="B5" s="24" t="str">
        <x:v>Sweden (Baltic)</x:v>
      </x:c>
      <x:c r="C5" s="24" t="str">
        <x:v>EEZ</x:v>
      </x:c>
      <x:c r="D5" s="30" t="n">
        <x:v>2019</x:v>
      </x:c>
      <x:c r="E5" s="24" t="str">
        <x:v>Platichthys flesus</x:v>
      </x:c>
      <x:c r="F5" s="24" t="str">
        <x:v>European flounder</x:v>
      </x:c>
      <x:c r="G5" s="24" t="str">
        <x:v>Small to medium flatfishes (&lt;90 cm)</x:v>
      </x:c>
      <x:c r="H5" s="24" t="str">
        <x:v>Flatfishes</x:v>
      </x:c>
      <x:c r="I5" s="31" t="n">
        <x:v>7192.1084862057</x:v>
      </x:c>
      <x:c r="J5" s="31" t="n">
        <x:v>6776.3852835244</x:v>
      </x:c>
      <x:c r="K5" s="31" t="n">
        <x:v>415.7232026813</x:v>
      </x:c>
      <x:c r="L5" s="31" t="n">
        <x:v>6388.3300586922005</x:v>
      </x:c>
      <x:c r="M5" s="31" t="n">
        <x:v>803.7784275135</x:v>
      </x:c>
      <x:c r="N5" s="24" t="str">
        <x:v>platichthys flesus</x:v>
      </x:c>
      <x:c r="O5" s="32" t="n">
        <x:v>3.32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Platichthys flesus</x:v>
      </x:c>
      <x:c r="T5" s="32" t="n">
        <x:f>IF(O5="","",(1/'Metadata'!$B$5)^(O5-1))</x:f>
        <x:v>208.92961308540387</x:v>
      </x:c>
      <x:c r="U5" s="31" t="n">
        <x:f>IF(T5="","",I5*T5)</x:f>
        <x:v>1502644.4432912066</x:v>
      </x:c>
    </x:row>
    <x:row r="6" ht="18" customHeight="1">
      <x:c r="A6" s="24" t="str">
        <x:v>EEZ_914</x:v>
      </x:c>
      <x:c r="B6" s="24" t="str">
        <x:v>Sweden (Baltic)</x:v>
      </x:c>
      <x:c r="C6" s="24" t="str">
        <x:v>EEZ</x:v>
      </x:c>
      <x:c r="D6" s="30" t="n">
        <x:v>2019</x:v>
      </x:c>
      <x:c r="E6" s="24" t="str">
        <x:v>Scophthalmidae</x:v>
      </x:c>
      <x:c r="F6" s="24" t="str">
        <x:v>Turbots</x:v>
      </x:c>
      <x:c r="G6" s="24" t="str">
        <x:v>Small to medium flatfishes (&lt;90 cm)</x:v>
      </x:c>
      <x:c r="H6" s="24" t="str">
        <x:v>Flatfishes</x:v>
      </x:c>
      <x:c r="I6" s="31" t="n">
        <x:v>1292.2727725549</x:v>
      </x:c>
      <x:c r="J6" s="31" t="n">
        <x:v>1290.8383658438</x:v>
      </x:c>
      <x:c r="K6" s="31" t="n">
        <x:v>1.4344067111</x:v>
      </x:c>
      <x:c r="L6" s="31" t="n">
        <x:v>0</x:v>
      </x:c>
      <x:c r="M6" s="31" t="n">
        <x:v>1292.2727725549</x:v>
      </x:c>
      <x:c r="N6" s="24" t="str">
        <x:v>scophthalmidae</x:v>
      </x:c>
      <x:c r="O6" s="32" t="n">
        <x:v>3.71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Scophthalmidae</x:v>
      </x:c>
      <x:c r="T6" s="32" t="n">
        <x:f>IF(O6="","",(1/'Metadata'!$B$5)^(O6-1))</x:f>
        <x:v>512.8613839913648</x:v>
      </x:c>
      <x:c r="U6" s="31" t="n">
        <x:f>IF(T6="","",I6*T6)</x:f>
        <x:v>662756.8026268643</x:v>
      </x:c>
    </x:row>
    <x:row r="7" ht="18" customHeight="1">
      <x:c r="A7" s="24" t="str">
        <x:v>EEZ_914</x:v>
      </x:c>
      <x:c r="B7" s="24" t="str">
        <x:v>Sweden (Baltic)</x:v>
      </x:c>
      <x:c r="C7" s="24" t="str">
        <x:v>EEZ</x:v>
      </x:c>
      <x:c r="D7" s="30" t="n">
        <x:v>2019</x:v>
      </x:c>
      <x:c r="E7" s="24" t="str">
        <x:v>Osmerus eperlanus</x:v>
      </x:c>
      <x:c r="F7" s="24" t="str">
        <x:v>European smelt</x:v>
      </x:c>
      <x:c r="G7" s="24" t="str">
        <x:v>Medium pelagics (30 - 89 cm)</x:v>
      </x:c>
      <x:c r="H7" s="24" t="str">
        <x:v>Salmon, smelts, etc</x:v>
      </x:c>
      <x:c r="I7" s="31" t="n">
        <x:v>1181.0564808902</x:v>
      </x:c>
      <x:c r="J7" s="31" t="n">
        <x:v>1147.6486663847002</x:v>
      </x:c>
      <x:c r="K7" s="31" t="n">
        <x:v>33.4078145055</x:v>
      </x:c>
      <x:c r="L7" s="31" t="n">
        <x:v>1113.8822498383001</x:v>
      </x:c>
      <x:c r="M7" s="31" t="n">
        <x:v>67.1742310519</x:v>
      </x:c>
      <x:c r="N7" s="24" t="str">
        <x:v>osmerus eperlanus</x:v>
      </x:c>
      <x:c r="O7" s="32" t="n">
        <x:v>3.46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Osmerus eperlanus</x:v>
      </x:c>
      <x:c r="T7" s="32" t="n">
        <x:f>IF(O7="","",(1/'Metadata'!$B$5)^(O7-1))</x:f>
        <x:v>288.40315031266056</x:v>
      </x:c>
      <x:c r="U7" s="31" t="n">
        <x:f>IF(T7="","",I7*T7)</x:f>
        <x:v>340620.40978591825</x:v>
      </x:c>
    </x:row>
    <x:row r="8" ht="18" customHeight="1">
      <x:c r="A8" s="24" t="str">
        <x:v>EEZ_914</x:v>
      </x:c>
      <x:c r="B8" s="24" t="str">
        <x:v>Sweden (Baltic)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1078.5795545966</x:v>
      </x:c>
      <x:c r="J8" s="31" t="n">
        <x:v>601.5928315115</x:v>
      </x:c>
      <x:c r="K8" s="31" t="n">
        <x:v>476.9867230851</x:v>
      </x:c>
      <x:c r="L8" s="31" t="n">
        <x:v>369.9488650825</x:v>
      </x:c>
      <x:c r="M8" s="31" t="n">
        <x:v>708.6306895141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205519.0972482116</x:v>
      </x:c>
    </x:row>
    <x:row r="9" ht="18" customHeight="1">
      <x:c r="A9" s="24" t="str">
        <x:v>EEZ_914</x:v>
      </x:c>
      <x:c r="B9" s="24" t="str">
        <x:v>Sweden (Baltic)</x:v>
      </x:c>
      <x:c r="C9" s="24" t="str">
        <x:v>EEZ</x:v>
      </x:c>
      <x:c r="D9" s="30" t="n">
        <x:v>2019</x:v>
      </x:c>
      <x:c r="E9" s="24" t="str">
        <x:v>Perca fluviatilis</x:v>
      </x:c>
      <x:c r="F9" s="24" t="str">
        <x:v>European perch</x:v>
      </x:c>
      <x:c r="G9" s="24" t="str">
        <x:v>Medium demersals (30 - 89 cm)</x:v>
      </x:c>
      <x:c r="H9" s="24" t="str">
        <x:v>Perch-likes</x:v>
      </x:c>
      <x:c r="I9" s="31" t="n">
        <x:v>1044.2735812488</x:v>
      </x:c>
      <x:c r="J9" s="31" t="n">
        <x:v>1007.0962926923</x:v>
      </x:c>
      <x:c r="K9" s="31" t="n">
        <x:v>37.1772885565</x:v>
      </x:c>
      <x:c r="L9" s="31" t="n">
        <x:v>973.1274171869001</x:v>
      </x:c>
      <x:c r="M9" s="31" t="n">
        <x:v>71.1461640619</x:v>
      </x:c>
      <x:c r="N9" s="24" t="str">
        <x:v>perca fluviatilis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Perca fluviatilis</x:v>
      </x:c>
      <x:c r="T9" s="32" t="n">
        <x:f>IF(O9="","",(1/'Metadata'!$B$5)^(O9-1))</x:f>
        <x:v>2238.7211385683377</x:v>
      </x:c>
      <x:c r="U9" s="31" t="n">
        <x:f>IF(T9="","",I9*T9)</x:f>
        <x:v>2337837.340790149</x:v>
      </x:c>
    </x:row>
    <x:row r="10" ht="18" customHeight="1">
      <x:c r="A10" s="24" t="str">
        <x:v>EEZ_914</x:v>
      </x:c>
      <x:c r="B10" s="24" t="str">
        <x:v>Sweden (Baltic)</x:v>
      </x:c>
      <x:c r="C10" s="24" t="str">
        <x:v>EEZ</x:v>
      </x:c>
      <x:c r="D10" s="30" t="n">
        <x:v>2019</x:v>
      </x:c>
      <x:c r="E10" s="24" t="str">
        <x:v>Scophthalmus maximus</x:v>
      </x:c>
      <x:c r="F10" s="24" t="str">
        <x:v>Turbot</x:v>
      </x:c>
      <x:c r="G10" s="24" t="str">
        <x:v>Large flatfishes (&gt;=90 cm)</x:v>
      </x:c>
      <x:c r="H10" s="24" t="str">
        <x:v>Flatfishes</x:v>
      </x:c>
      <x:c r="I10" s="31" t="n">
        <x:v>939.0193101609</x:v>
      </x:c>
      <x:c r="J10" s="31" t="n">
        <x:v>429.5933500135</x:v>
      </x:c>
      <x:c r="K10" s="31" t="n">
        <x:v>509.4259601474</x:v>
      </x:c>
      <x:c r="L10" s="31" t="n">
        <x:v>32.3418504435</x:v>
      </x:c>
      <x:c r="M10" s="31" t="n">
        <x:v>906.6774597174</x:v>
      </x:c>
      <x:c r="N10" s="24" t="str">
        <x:v>scophthalmus maximus</x:v>
      </x:c>
      <x:c r="O10" s="32" t="n">
        <x:v>4.36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Scophthalmus maximus</x:v>
      </x:c>
      <x:c r="T10" s="32" t="n">
        <x:f>IF(O10="","",(1/'Metadata'!$B$5)^(O10-1))</x:f>
        <x:v>2290.867652767775</x:v>
      </x:c>
      <x:c r="U10" s="31" t="n">
        <x:f>IF(T10="","",I10*T10)</x:f>
        <x:v>2151168.962971916</x:v>
      </x:c>
    </x:row>
    <x:row r="11" ht="18" customHeight="1">
      <x:c r="A11" s="24" t="str">
        <x:v>EEZ_914</x:v>
      </x:c>
      <x:c r="B11" s="24" t="str">
        <x:v>Sweden (Baltic)</x:v>
      </x:c>
      <x:c r="C11" s="24" t="str">
        <x:v>EEZ</x:v>
      </x:c>
      <x:c r="D11" s="30" t="n">
        <x:v>2019</x:v>
      </x:c>
      <x:c r="E11" s="24" t="str">
        <x:v>Coregonus albula</x:v>
      </x:c>
      <x:c r="F11" s="24" t="str">
        <x:v>Vendace</x:v>
      </x:c>
      <x:c r="G11" s="24" t="str">
        <x:v>Medium pelagics (30 - 89 cm)</x:v>
      </x:c>
      <x:c r="H11" s="24" t="str">
        <x:v>Salmon, smelts, etc</x:v>
      </x:c>
      <x:c r="I11" s="31" t="n">
        <x:v>901.0890828899</x:v>
      </x:c>
      <x:c r="J11" s="31" t="n">
        <x:v>677.6185233927</x:v>
      </x:c>
      <x:c r="K11" s="31" t="n">
        <x:v>223.47055949720001</x:v>
      </x:c>
      <x:c r="L11" s="31" t="n">
        <x:v>625.1740820749001</x:v>
      </x:c>
      <x:c r="M11" s="31" t="n">
        <x:v>275.91500081500004</x:v>
      </x:c>
      <x:c r="N11" s="24" t="str">
        <x:v>coregonus albula</x:v>
      </x:c>
      <x:c r="O11" s="32" t="n">
        <x:v>3.06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Coregonus albula</x:v>
      </x:c>
      <x:c r="T11" s="32" t="n">
        <x:f>IF(O11="","",(1/'Metadata'!$B$5)^(O11-1))</x:f>
        <x:v>114.81536214968828</x:v>
      </x:c>
      <x:c r="U11" s="31" t="n">
        <x:f>IF(T11="","",I11*T11)</x:f>
        <x:v>103458.86938113435</x:v>
      </x:c>
    </x:row>
    <x:row r="12" ht="18" customHeight="1">
      <x:c r="A12" s="24" t="str">
        <x:v>EEZ_914</x:v>
      </x:c>
      <x:c r="B12" s="24" t="str">
        <x:v>Sweden (Baltic)</x:v>
      </x:c>
      <x:c r="C12" s="24" t="str">
        <x:v>EEZ</x:v>
      </x:c>
      <x:c r="D12" s="30" t="n">
        <x:v>2019</x:v>
      </x:c>
      <x:c r="E12" s="24" t="str">
        <x:v>Merlangius merlangus</x:v>
      </x:c>
      <x:c r="F12" s="24" t="str">
        <x:v>Whiting</x:v>
      </x:c>
      <x:c r="G12" s="24" t="str">
        <x:v>Medium benthopelagics (30 - 89 cm)</x:v>
      </x:c>
      <x:c r="H12" s="24" t="str">
        <x:v>Cod-likes</x:v>
      </x:c>
      <x:c r="I12" s="31" t="n">
        <x:v>686.1465262248</x:v>
      </x:c>
      <x:c r="J12" s="31" t="n">
        <x:v>674.4373204261</x:v>
      </x:c>
      <x:c r="K12" s="31" t="n">
        <x:v>11.7092057987</x:v>
      </x:c>
      <x:c r="L12" s="31" t="n">
        <x:v>664.2980356972</x:v>
      </x:c>
      <x:c r="M12" s="31" t="n">
        <x:v>21.8484905276</x:v>
      </x:c>
      <x:c r="N12" s="24" t="str">
        <x:v>merlangius merlangus</x:v>
      </x:c>
      <x:c r="O12" s="32" t="n">
        <x:v>4.36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Merlangius merlangus</x:v>
      </x:c>
      <x:c r="T12" s="32" t="n">
        <x:f>IF(O12="","",(1/'Metadata'!$B$5)^(O12-1))</x:f>
        <x:v>2290.867652767775</x:v>
      </x:c>
      <x:c r="U12" s="31" t="n">
        <x:f>IF(T12="","",I12*T12)</x:f>
        <x:v>1571870.88198737</x:v>
      </x:c>
    </x:row>
    <x:row r="13" ht="18" customHeight="1">
      <x:c r="A13" s="24" t="str">
        <x:v>EEZ_914</x:v>
      </x:c>
      <x:c r="B13" s="24" t="str">
        <x:v>Sweden (Baltic)</x:v>
      </x:c>
      <x:c r="C13" s="24" t="str">
        <x:v>EEZ</x:v>
      </x:c>
      <x:c r="D13" s="30" t="n">
        <x:v>2019</x:v>
      </x:c>
      <x:c r="E13" s="24" t="str">
        <x:v>Rutilus rutilus</x:v>
      </x:c>
      <x:c r="F13" s="24" t="str">
        <x:v>Roach</x:v>
      </x:c>
      <x:c r="G13" s="24" t="str">
        <x:v>Medium benthopelagics (30 - 89 cm)</x:v>
      </x:c>
      <x:c r="H13" s="24" t="str">
        <x:v>Other fishes &amp; inverts</x:v>
      </x:c>
      <x:c r="I13" s="31" t="n">
        <x:v>422.61487685230003</x:v>
      </x:c>
      <x:c r="J13" s="31" t="n">
        <x:v>407.2073308272</x:v>
      </x:c>
      <x:c r="K13" s="31" t="n">
        <x:v>15.4075460251</x:v>
      </x:c>
      <x:c r="L13" s="31" t="n">
        <x:v>387.392485783</x:v>
      </x:c>
      <x:c r="M13" s="31" t="n">
        <x:v>35.222391069299995</x:v>
      </x:c>
      <x:c r="N13" s="24" t="str">
        <x:v>rutilus rutilus</x:v>
      </x:c>
      <x:c r="O13" s="32" t="n">
        <x:v>2.96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Rutilus rutilus</x:v>
      </x:c>
      <x:c r="T13" s="32" t="n">
        <x:f>IF(O13="","",(1/'Metadata'!$B$5)^(O13-1))</x:f>
        <x:v>91.20108393559097</x:v>
      </x:c>
      <x:c r="U13" s="31" t="n">
        <x:f>IF(T13="","",I13*T13)</x:f>
        <x:v>38542.934856236054</x:v>
      </x:c>
    </x:row>
    <x:row r="14" ht="18" customHeight="1">
      <x:c r="A14" s="24" t="str">
        <x:v>EEZ_914</x:v>
      </x:c>
      <x:c r="B14" s="24" t="str">
        <x:v>Sweden (Baltic)</x:v>
      </x:c>
      <x:c r="C14" s="24" t="str">
        <x:v>EEZ</x:v>
      </x:c>
      <x:c r="D14" s="30" t="n">
        <x:v>2019</x:v>
      </x:c>
      <x:c r="E14" s="24" t="str">
        <x:v>Coregonus</x:v>
      </x:c>
      <x:c r="F14" s="24" t="str">
        <x:v>Whitefishes</x:v>
      </x:c>
      <x:c r="G14" s="24" t="str">
        <x:v>Medium pelagics (30 - 89 cm)</x:v>
      </x:c>
      <x:c r="H14" s="24" t="str">
        <x:v>Salmon, smelts, etc</x:v>
      </x:c>
      <x:c r="I14" s="31" t="n">
        <x:v>387.4303956636</x:v>
      </x:c>
      <x:c r="J14" s="31" t="n">
        <x:v>359.4709543654</x:v>
      </x:c>
      <x:c r="K14" s="31" t="n">
        <x:v>27.959441298199998</x:v>
      </x:c>
      <x:c r="L14" s="31" t="n">
        <x:v>355.5601472011</x:v>
      </x:c>
      <x:c r="M14" s="31" t="n">
        <x:v>31.870248462499998</x:v>
      </x:c>
      <x:c r="N14" s="24" t="str">
        <x:v>coregonus</x:v>
      </x:c>
      <x:c r="O14" s="32" t="n">
        <x:v>3.3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Coregonus</x:v>
      </x:c>
      <x:c r="T14" s="32" t="n">
        <x:f>IF(O14="","",(1/'Metadata'!$B$5)^(O14-1))</x:f>
        <x:v>199.52623149688787</x:v>
      </x:c>
      <x:c r="U14" s="31" t="n">
        <x:f>IF(T14="","",I14*T14)</x:f>
        <x:v>77302.52681410631</x:v>
      </x:c>
    </x:row>
    <x:row r="15" ht="18" customHeight="1">
      <x:c r="A15" s="24" t="str">
        <x:v>EEZ_914</x:v>
      </x:c>
      <x:c r="B15" s="24" t="str">
        <x:v>Sweden (Baltic)</x:v>
      </x:c>
      <x:c r="C15" s="24" t="str">
        <x:v>EEZ</x:v>
      </x:c>
      <x:c r="D15" s="30" t="n">
        <x:v>2019</x:v>
      </x:c>
      <x:c r="E15" s="24" t="str">
        <x:v>Esox lucius</x:v>
      </x:c>
      <x:c r="F15" s="24" t="str">
        <x:v>Northern pike</x:v>
      </x:c>
      <x:c r="G15" s="24" t="str">
        <x:v>Large demersals (&gt;=90 cm)</x:v>
      </x:c>
      <x:c r="H15" s="24" t="str">
        <x:v>Salmon, smelts, etc</x:v>
      </x:c>
      <x:c r="I15" s="31" t="n">
        <x:v>383.6249675713</x:v>
      </x:c>
      <x:c r="J15" s="31" t="n">
        <x:v>372.75186598470003</x:v>
      </x:c>
      <x:c r="K15" s="31" t="n">
        <x:v>10.873101586599999</x:v>
      </x:c>
      <x:c r="L15" s="31" t="n">
        <x:v>364.72456966460004</x:v>
      </x:c>
      <x:c r="M15" s="31" t="n">
        <x:v>18.9003979067</x:v>
      </x:c>
      <x:c r="N15" s="24" t="str">
        <x:v>esox lucius</x:v>
      </x:c>
      <x:c r="O15" s="32" t="n">
        <x:v>4.07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Esox lucius</x:v>
      </x:c>
      <x:c r="T15" s="32" t="n">
        <x:f>IF(O15="","",(1/'Metadata'!$B$5)^(O15-1))</x:f>
        <x:v>1174.8975549395302</x:v>
      </x:c>
      <x:c r="U15" s="31" t="n">
        <x:f>IF(T15="","",I15*T15)</x:f>
        <x:v>450720.0364132769</x:v>
      </x:c>
    </x:row>
    <x:row r="16" ht="18" customHeight="1">
      <x:c r="A16" s="24" t="str">
        <x:v>EEZ_914</x:v>
      </x:c>
      <x:c r="B16" s="24" t="str">
        <x:v>Sweden (Baltic)</x:v>
      </x:c>
      <x:c r="C16" s="24" t="str">
        <x:v>EEZ</x:v>
      </x:c>
      <x:c r="D16" s="30" t="n">
        <x:v>2019</x:v>
      </x:c>
      <x:c r="E16" s="24" t="str">
        <x:v>Salmo salar</x:v>
      </x:c>
      <x:c r="F16" s="24" t="str">
        <x:v>Atlantic salmon</x:v>
      </x:c>
      <x:c r="G16" s="24" t="str">
        <x:v>Large benthopelagics (&gt;=90 cm)</x:v>
      </x:c>
      <x:c r="H16" s="24" t="str">
        <x:v>Salmon, smelts, etc</x:v>
      </x:c>
      <x:c r="I16" s="31" t="n">
        <x:v>345.1642254103</x:v>
      </x:c>
      <x:c r="J16" s="31" t="n">
        <x:v>290.665380831</x:v>
      </x:c>
      <x:c r="K16" s="31" t="n">
        <x:v>54.4988445793</x:v>
      </x:c>
      <x:c r="L16" s="31" t="n">
        <x:v>182.11775462</x:v>
      </x:c>
      <x:c r="M16" s="31" t="n">
        <x:v>163.0464707903</x:v>
      </x:c>
      <x:c r="N16" s="24" t="str">
        <x:v>salmo salar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Salmo salar</x:v>
      </x:c>
      <x:c r="T16" s="32" t="n">
        <x:f>IF(O16="","",(1/'Metadata'!$B$5)^(O16-1))</x:f>
        <x:v>3162.2776601683795</x:v>
      </x:c>
      <x:c r="U16" s="31" t="n">
        <x:f>IF(T16="","",I16*T16)</x:f>
        <x:v>1091505.1191043146</x:v>
      </x:c>
    </x:row>
    <x:row r="17" ht="18" customHeight="1">
      <x:c r="A17" s="24" t="str">
        <x:v>EEZ_914</x:v>
      </x:c>
      <x:c r="B17" s="24" t="str">
        <x:v>Sweden (Baltic)</x:v>
      </x:c>
      <x:c r="C17" s="24" t="str">
        <x:v>EEZ</x:v>
      </x:c>
      <x:c r="D17" s="30" t="n">
        <x:v>2019</x:v>
      </x:c>
      <x:c r="E17" s="24" t="str">
        <x:v>Pleuronectes platessa</x:v>
      </x:c>
      <x:c r="F17" s="24" t="str">
        <x:v>European plaice</x:v>
      </x:c>
      <x:c r="G17" s="24" t="str">
        <x:v>Large flatfishes (&gt;=90 cm)</x:v>
      </x:c>
      <x:c r="H17" s="24" t="str">
        <x:v>Flatfishes</x:v>
      </x:c>
      <x:c r="I17" s="31" t="n">
        <x:v>303.5349030737</x:v>
      </x:c>
      <x:c r="J17" s="31" t="n">
        <x:v>292.1178025066</x:v>
      </x:c>
      <x:c r="K17" s="31" t="n">
        <x:v>11.4171005671</x:v>
      </x:c>
      <x:c r="L17" s="31" t="n">
        <x:v>279.2044990257</x:v>
      </x:c>
      <x:c r="M17" s="31" t="n">
        <x:v>24.330404048000002</x:v>
      </x:c>
      <x:c r="N17" s="24" t="str">
        <x:v>pleuronectes platessa</x:v>
      </x:c>
      <x:c r="O17" s="32" t="n">
        <x:v>3.26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Pleuronectes platessa</x:v>
      </x:c>
      <x:c r="T17" s="32" t="n">
        <x:f>IF(O17="","",(1/'Metadata'!$B$5)^(O17-1))</x:f>
        <x:v>181.97008586099827</x:v>
      </x:c>
      <x:c r="U17" s="31" t="n">
        <x:f>IF(T17="","",I17*T17)</x:f>
        <x:v>55234.272374130975</x:v>
      </x:c>
    </x:row>
    <x:row r="18" ht="18" customHeight="1">
      <x:c r="A18" s="24" t="str">
        <x:v>EEZ_914</x:v>
      </x:c>
      <x:c r="B18" s="24" t="str">
        <x:v>Sweden (Baltic)</x:v>
      </x:c>
      <x:c r="C18" s="24" t="str">
        <x:v>EEZ</x:v>
      </x:c>
      <x:c r="D18" s="30" t="n">
        <x:v>2019</x:v>
      </x:c>
      <x:c r="E18" s="24" t="str">
        <x:v>Cyprinidae</x:v>
      </x:c>
      <x:c r="F18" s="24" t="str">
        <x:v>Carps, barbels, other cyprinids</x:v>
      </x:c>
      <x:c r="G18" s="24" t="str">
        <x:v>Medium demersals (30 - 89 cm)</x:v>
      </x:c>
      <x:c r="H18" s="24" t="str">
        <x:v>Other fishes &amp; inverts</x:v>
      </x:c>
      <x:c r="I18" s="31" t="n">
        <x:v>233.87187119040001</x:v>
      </x:c>
      <x:c r="J18" s="31" t="n">
        <x:v>218.8900966373</x:v>
      </x:c>
      <x:c r="K18" s="31" t="n">
        <x:v>14.9817745531</x:v>
      </x:c>
      <x:c r="L18" s="31" t="n">
        <x:v>210.47298831020004</x:v>
      </x:c>
      <x:c r="M18" s="31" t="n">
        <x:v>23.398882880200002</x:v>
      </x:c>
      <x:c r="N18" s="24" t="str">
        <x:v>cyprinidae</x:v>
      </x:c>
      <x:c r="O18" s="32" t="n">
        <x:v>2.8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Cyprinidae</x:v>
      </x:c>
      <x:c r="T18" s="32" t="n">
        <x:f>IF(O18="","",(1/'Metadata'!$B$5)^(O18-1))</x:f>
        <x:v>63.0957344480193</x:v>
      </x:c>
      <x:c r="U18" s="31" t="n">
        <x:f>IF(T18="","",I18*T18)</x:f>
        <x:v>14756.317479490855</x:v>
      </x:c>
    </x:row>
    <x:row r="19" ht="18" customHeight="1">
      <x:c r="A19" s="24" t="str">
        <x:v>EEZ_914</x:v>
      </x:c>
      <x:c r="B19" s="24" t="str">
        <x:v>Sweden (Baltic)</x:v>
      </x:c>
      <x:c r="C19" s="24" t="str">
        <x:v>EEZ</x:v>
      </x:c>
      <x:c r="D19" s="30" t="n">
        <x:v>2019</x:v>
      </x:c>
      <x:c r="E19" s="24" t="str">
        <x:v>Sander lucioperca</x:v>
      </x:c>
      <x:c r="F19" s="24" t="str">
        <x:v>Pike-perch</x:v>
      </x:c>
      <x:c r="G19" s="24" t="str">
        <x:v>Large pelagics (&gt;=90 cm)</x:v>
      </x:c>
      <x:c r="H19" s="24" t="str">
        <x:v>Perch-likes</x:v>
      </x:c>
      <x:c r="I19" s="31" t="n">
        <x:v>232.56554295080002</x:v>
      </x:c>
      <x:c r="J19" s="31" t="n">
        <x:v>224.44784343310002</x:v>
      </x:c>
      <x:c r="K19" s="31" t="n">
        <x:v>8.1176995177</x:v>
      </x:c>
      <x:c r="L19" s="31" t="n">
        <x:v>219.074112774</x:v>
      </x:c>
      <x:c r="M19" s="31" t="n">
        <x:v>13.4914301768</x:v>
      </x:c>
      <x:c r="N19" s="24" t="str">
        <x:v>sander lucioperca</x:v>
      </x:c>
      <x:c r="O19" s="32" t="n">
        <x:v>4.04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Sander lucioperca</x:v>
      </x:c>
      <x:c r="T19" s="32" t="n">
        <x:f>IF(O19="","",(1/'Metadata'!$B$5)^(O19-1))</x:f>
        <x:v>1096.4781961431852</x:v>
      </x:c>
      <x:c r="U19" s="31" t="n">
        <x:f>IF(T19="","",I19*T19)</x:f>
        <x:v>255003.04701975366</x:v>
      </x:c>
    </x:row>
    <x:row r="20" ht="18" customHeight="1">
      <x:c r="A20" s="24" t="str">
        <x:v>EEZ_914</x:v>
      </x:c>
      <x:c r="B20" s="24" t="str">
        <x:v>Sweden (Baltic)</x:v>
      </x:c>
      <x:c r="C20" s="24" t="str">
        <x:v>EEZ</x:v>
      </x:c>
      <x:c r="D20" s="30" t="n">
        <x:v>2019</x:v>
      </x:c>
      <x:c r="E20" s="24" t="str">
        <x:v>Scomber scombrus</x:v>
      </x:c>
      <x:c r="F20" s="24" t="str">
        <x:v>Atlantic mackerel</x:v>
      </x:c>
      <x:c r="G20" s="24" t="str">
        <x:v>Medium pelagics (30 - 89 cm)</x:v>
      </x:c>
      <x:c r="H20" s="24" t="str">
        <x:v>Perch-likes</x:v>
      </x:c>
      <x:c r="I20" s="31" t="n">
        <x:v>203.61080908649998</x:v>
      </x:c>
      <x:c r="J20" s="31" t="n">
        <x:v>203.5698855542</x:v>
      </x:c>
      <x:c r="K20" s="31" t="n">
        <x:v>0.040923532299999996</x:v>
      </x:c>
      <x:c r="L20" s="31" t="n">
        <x:v>203.5005633148</x:v>
      </x:c>
      <x:c r="M20" s="31" t="n">
        <x:v>0.1102457717</x:v>
      </x:c>
      <x:c r="N20" s="24" t="str">
        <x:v>scomber scombrus</x:v>
      </x:c>
      <x:c r="O20" s="32" t="n">
        <x:v>3.63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 scombrus</x:v>
      </x:c>
      <x:c r="T20" s="32" t="n">
        <x:f>IF(O20="","",(1/'Metadata'!$B$5)^(O20-1))</x:f>
        <x:v>426.57951880159254</x:v>
      </x:c>
      <x:c r="U20" s="31" t="n">
        <x:f>IF(T20="","",I20*T20)</x:f>
        <x:v>86856.20096292208</x:v>
      </x:c>
    </x:row>
    <x:row r="21" ht="18" customHeight="1">
      <x:c r="A21" s="24" t="str">
        <x:v>EEZ_914</x:v>
      </x:c>
      <x:c r="B21" s="24" t="str">
        <x:v>Sweden (Baltic)</x:v>
      </x:c>
      <x:c r="C21" s="24" t="str">
        <x:v>EEZ</x:v>
      </x:c>
      <x:c r="D21" s="30" t="n">
        <x:v>2019</x:v>
      </x:c>
      <x:c r="E21" s="24" t="str">
        <x:v>Gasterosteus aculeatus</x:v>
      </x:c>
      <x:c r="F21" s="24" t="str">
        <x:v>Three-spined stickleback</x:v>
      </x:c>
      <x:c r="G21" s="24" t="str">
        <x:v>Small benthopelagics (&lt;30 cm)</x:v>
      </x:c>
      <x:c r="H21" s="24" t="str">
        <x:v>Other fishes &amp; inverts</x:v>
      </x:c>
      <x:c r="I21" s="31" t="n">
        <x:v>177.1203752114</x:v>
      </x:c>
      <x:c r="J21" s="31" t="n">
        <x:v>174.74225004230001</x:v>
      </x:c>
      <x:c r="K21" s="31" t="n">
        <x:v>2.3781251691</x:v>
      </x:c>
      <x:c r="L21" s="31" t="n">
        <x:v>172.9604994642</x:v>
      </x:c>
      <x:c r="M21" s="31" t="n">
        <x:v>4.1598757472</x:v>
      </x:c>
      <x:c r="N21" s="24" t="str">
        <x:v>gasterosteus aculeatus</x:v>
      </x:c>
      <x:c r="O21" s="32" t="n">
        <x:v>3.31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Gasterosteus aculeatus</x:v>
      </x:c>
      <x:c r="T21" s="32" t="n">
        <x:f>IF(O21="","",(1/'Metadata'!$B$5)^(O21-1))</x:f>
        <x:v>204.17379446695296</x:v>
      </x:c>
      <x:c r="U21" s="31" t="n">
        <x:f>IF(T21="","",I21*T21)</x:f>
        <x:v>36163.33908432197</x:v>
      </x:c>
    </x:row>
    <x:row r="22" ht="18" customHeight="1">
      <x:c r="A22" s="24" t="str">
        <x:v>EEZ_914</x:v>
      </x:c>
      <x:c r="B22" s="24" t="str">
        <x:v>Sweden (Baltic)</x:v>
      </x:c>
      <x:c r="C22" s="24" t="str">
        <x:v>EEZ</x:v>
      </x:c>
      <x:c r="D22" s="30" t="n">
        <x:v>2019</x:v>
      </x:c>
      <x:c r="E22" s="24" t="str">
        <x:v>Anguilla anguilla</x:v>
      </x:c>
      <x:c r="F22" s="24" t="str">
        <x:v>European eel</x:v>
      </x:c>
      <x:c r="G22" s="24" t="str">
        <x:v>Large demersals (&gt;=90 cm)</x:v>
      </x:c>
      <x:c r="H22" s="24" t="str">
        <x:v>Other fishes &amp; inverts</x:v>
      </x:c>
      <x:c r="I22" s="31" t="n">
        <x:v>93.1956976577</x:v>
      </x:c>
      <x:c r="J22" s="31" t="n">
        <x:v>70.71198775079999</x:v>
      </x:c>
      <x:c r="K22" s="31" t="n">
        <x:v>22.4837099069</x:v>
      </x:c>
      <x:c r="L22" s="31" t="n">
        <x:v>65.9578095545</x:v>
      </x:c>
      <x:c r="M22" s="31" t="n">
        <x:v>27.2378881032</x:v>
      </x:c>
      <x:c r="N22" s="24" t="str">
        <x:v>anguilla anguilla</x:v>
      </x:c>
      <x:c r="O22" s="32" t="n">
        <x:v>3.55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Anguilla anguilla</x:v>
      </x:c>
      <x:c r="T22" s="32" t="n">
        <x:f>IF(O22="","",(1/'Metadata'!$B$5)^(O22-1))</x:f>
        <x:v>354.8133892335753</x:v>
      </x:c>
      <x:c r="U22" s="31" t="n">
        <x:f>IF(T22="","",I22*T22)</x:f>
        <x:v>33067.081347916115</x:v>
      </x:c>
    </x:row>
    <x:row r="23" ht="18" customHeight="1">
      <x:c r="A23" s="24" t="str">
        <x:v>EEZ_914</x:v>
      </x:c>
      <x:c r="B23" s="24" t="str">
        <x:v>Sweden (Baltic)</x:v>
      </x:c>
      <x:c r="C23" s="24" t="str">
        <x:v>EEZ</x:v>
      </x:c>
      <x:c r="D23" s="30" t="n">
        <x:v>2019</x:v>
      </x:c>
      <x:c r="E23" s="24" t="str">
        <x:v>Salmo trutta</x:v>
      </x:c>
      <x:c r="F23" s="24" t="str">
        <x:v>Sea trout</x:v>
      </x:c>
      <x:c r="G23" s="24" t="str">
        <x:v>Large pelagics (&gt;=90 cm)</x:v>
      </x:c>
      <x:c r="H23" s="24" t="str">
        <x:v>Salmon, smelts, etc</x:v>
      </x:c>
      <x:c r="I23" s="31" t="n">
        <x:v>86.1751318217</x:v>
      </x:c>
      <x:c r="J23" s="31" t="n">
        <x:v>84.5840433422</x:v>
      </x:c>
      <x:c r="K23" s="31" t="n">
        <x:v>1.5910884795</x:v>
      </x:c>
      <x:c r="L23" s="31" t="n">
        <x:v>82.22102197939999</x:v>
      </x:c>
      <x:c r="M23" s="31" t="n">
        <x:v>3.9541098423</x:v>
      </x:c>
      <x:c r="N23" s="24" t="str">
        <x:v>salmo trutta</x:v>
      </x:c>
      <x:c r="O23" s="32" t="n">
        <x:v>3.36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Salmo trutta</x:v>
      </x:c>
      <x:c r="T23" s="32" t="n">
        <x:f>IF(O23="","",(1/'Metadata'!$B$5)^(O23-1))</x:f>
        <x:v>229.08676527677724</x:v>
      </x:c>
      <x:c r="U23" s="31" t="n">
        <x:f>IF(T23="","",I23*T23)</x:f>
        <x:v>19741.582196333125</x:v>
      </x:c>
    </x:row>
    <x:row r="24" ht="18" customHeight="1">
      <x:c r="A24" s="24" t="str">
        <x:v>EEZ_914</x:v>
      </x:c>
      <x:c r="B24" s="24" t="str">
        <x:v>Sweden (Baltic)</x:v>
      </x:c>
      <x:c r="C24" s="24" t="str">
        <x:v>EEZ</x:v>
      </x:c>
      <x:c r="D24" s="30" t="n">
        <x:v>2019</x:v>
      </x:c>
      <x:c r="E24" s="24" t="str">
        <x:v>Gobiidae</x:v>
      </x:c>
      <x:c r="F24" s="24" t="str">
        <x:v>Gobies</x:v>
      </x:c>
      <x:c r="G24" s="24" t="str">
        <x:v>Small reef assoc. fish (&lt;30 cm)</x:v>
      </x:c>
      <x:c r="H24" s="24" t="str">
        <x:v>Perch-likes</x:v>
      </x:c>
      <x:c r="I24" s="31" t="n">
        <x:v>78.5638375684</x:v>
      </x:c>
      <x:c r="J24" s="31" t="n">
        <x:v>68.5936603437</x:v>
      </x:c>
      <x:c r="K24" s="31" t="n">
        <x:v>9.9701772247</x:v>
      </x:c>
      <x:c r="L24" s="31" t="n">
        <x:v>57.84913801049999</x:v>
      </x:c>
      <x:c r="M24" s="31" t="n">
        <x:v>20.7146995579</x:v>
      </x:c>
      <x:c r="N24" s="24" t="str">
        <x:v>gobiidae</x:v>
      </x:c>
      <x:c r="O24" s="32" t="n">
        <x:v>3.11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Gobiidae</x:v>
      </x:c>
      <x:c r="T24" s="32" t="n">
        <x:f>IF(O24="","",(1/'Metadata'!$B$5)^(O24-1))</x:f>
        <x:v>128.82495516931337</x:v>
      </x:c>
      <x:c r="U24" s="31" t="n">
        <x:f>IF(T24="","",I24*T24)</x:f>
        <x:v>10120.982852678348</x:v>
      </x:c>
    </x:row>
    <x:row r="25" ht="18" customHeight="1">
      <x:c r="A25" s="24" t="str">
        <x:v>EEZ_914</x:v>
      </x:c>
      <x:c r="B25" s="24" t="str">
        <x:v>Sweden (Baltic)</x:v>
      </x:c>
      <x:c r="C25" s="24" t="str">
        <x:v>EEZ</x:v>
      </x:c>
      <x:c r="D25" s="30" t="n">
        <x:v>2019</x:v>
      </x:c>
      <x:c r="E25" s="24" t="str">
        <x:v>Belone belone</x:v>
      </x:c>
      <x:c r="F25" s="24" t="str">
        <x:v>Garfish</x:v>
      </x:c>
      <x:c r="G25" s="24" t="str">
        <x:v>Medium pelagics (30 - 89 cm)</x:v>
      </x:c>
      <x:c r="H25" s="24" t="str">
        <x:v>Other fishes &amp; inverts</x:v>
      </x:c>
      <x:c r="I25" s="31" t="n">
        <x:v>45.0623649511</x:v>
      </x:c>
      <x:c r="J25" s="31" t="n">
        <x:v>41.9954728187</x:v>
      </x:c>
      <x:c r="K25" s="31" t="n">
        <x:v>3.0668921324</x:v>
      </x:c>
      <x:c r="L25" s="31" t="n">
        <x:v>37.4225704125</x:v>
      </x:c>
      <x:c r="M25" s="31" t="n">
        <x:v>7.6397945386</x:v>
      </x:c>
      <x:c r="N25" s="24" t="str">
        <x:v>belone belone</x:v>
      </x:c>
      <x:c r="O25" s="32" t="n">
        <x:v>4.16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Belone belone</x:v>
      </x:c>
      <x:c r="T25" s="32" t="n">
        <x:f>IF(O25="","",(1/'Metadata'!$B$5)^(O25-1))</x:f>
        <x:v>1445.439770745928</x:v>
      </x:c>
      <x:c r="U25" s="31" t="n">
        <x:f>IF(T25="","",I25*T25)</x:f>
        <x:v>65134.934464187325</x:v>
      </x:c>
    </x:row>
    <x:row r="26" ht="18" customHeight="1">
      <x:c r="A26" s="24" t="str">
        <x:v>EEZ_914</x:v>
      </x:c>
      <x:c r="B26" s="24" t="str">
        <x:v>Sweden (Baltic)</x:v>
      </x:c>
      <x:c r="C26" s="24" t="str">
        <x:v>EEZ</x:v>
      </x:c>
      <x:c r="D26" s="30" t="n">
        <x:v>2019</x:v>
      </x:c>
      <x:c r="E26" s="24" t="str">
        <x:v>Leuciscus idus</x:v>
      </x:c>
      <x:c r="F26" s="24" t="str">
        <x:v>Ide</x:v>
      </x:c>
      <x:c r="G26" s="24" t="str">
        <x:v>Medium benthopelagics (30 - 89 cm)</x:v>
      </x:c>
      <x:c r="H26" s="24" t="str">
        <x:v>Other fishes &amp; inverts</x:v>
      </x:c>
      <x:c r="I26" s="31" t="n">
        <x:v>33.1552141886</x:v>
      </x:c>
      <x:c r="J26" s="31" t="n">
        <x:v>31.358520325</x:v>
      </x:c>
      <x:c r="K26" s="31" t="n">
        <x:v>1.7966938636</x:v>
      </x:c>
      <x:c r="L26" s="31" t="n">
        <x:v>29.3335693739</x:v>
      </x:c>
      <x:c r="M26" s="31" t="n">
        <x:v>3.8216448147</x:v>
      </x:c>
      <x:c r="N26" s="24" t="str">
        <x:v>leuciscus idus</x:v>
      </x:c>
      <x:c r="O26" s="32" t="n">
        <x:v>3.79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Leuciscus idus</x:v>
      </x:c>
      <x:c r="T26" s="32" t="n">
        <x:f>IF(O26="","",(1/'Metadata'!$B$5)^(O26-1))</x:f>
        <x:v>616.5950018614822</x:v>
      </x:c>
      <x:c r="U26" s="31" t="n">
        <x:f>IF(T26="","",I26*T26)</x:f>
        <x:v>20443.339354337655</x:v>
      </x:c>
    </x:row>
    <x:row r="27" ht="18" customHeight="1">
      <x:c r="A27" s="24" t="str">
        <x:v>EEZ_914</x:v>
      </x:c>
      <x:c r="B27" s="24" t="str">
        <x:v>Sweden (Baltic)</x:v>
      </x:c>
      <x:c r="C27" s="24" t="str">
        <x:v>EEZ</x:v>
      </x:c>
      <x:c r="D27" s="30" t="n">
        <x:v>2019</x:v>
      </x:c>
      <x:c r="E27" s="24" t="str">
        <x:v>Ammodytes tobianus</x:v>
      </x:c>
      <x:c r="F27" s="24" t="str">
        <x:v>Small sandeel</x:v>
      </x:c>
      <x:c r="G27" s="24" t="str">
        <x:v>Small demersals (&lt;30 cm)</x:v>
      </x:c>
      <x:c r="H27" s="24" t="str">
        <x:v>Perch-likes</x:v>
      </x:c>
      <x:c r="I27" s="31" t="n">
        <x:v>31.657462695299998</x:v>
      </x:c>
      <x:c r="J27" s="31" t="n">
        <x:v>31.6463278731</x:v>
      </x:c>
      <x:c r="K27" s="31" t="n">
        <x:v>0.0111348222</x:v>
      </x:c>
      <x:c r="L27" s="31" t="n">
        <x:v>21.625625704399997</x:v>
      </x:c>
      <x:c r="M27" s="31" t="n">
        <x:v>10.0318369909</x:v>
      </x:c>
      <x:c r="N27" s="24" t="str">
        <x:v>ammodytes tobianus</x:v>
      </x:c>
      <x:c r="O27" s="32" t="n">
        <x:v>3.08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Ammodytes tobianus</x:v>
      </x:c>
      <x:c r="T27" s="32" t="n">
        <x:f>IF(O27="","",(1/'Metadata'!$B$5)^(O27-1))</x:f>
        <x:v>120.22644346174131</x:v>
      </x:c>
      <x:c r="U27" s="31" t="n">
        <x:f>IF(T27="","",I27*T27)</x:f>
        <x:v>3806.06414887867</x:v>
      </x:c>
    </x:row>
    <x:row r="28" ht="18" customHeight="1">
      <x:c r="A28" s="24" t="str">
        <x:v>EEZ_914</x:v>
      </x:c>
      <x:c r="B28" s="24" t="str">
        <x:v>Sweden (Baltic)</x:v>
      </x:c>
      <x:c r="C28" s="24" t="str">
        <x:v>EEZ</x:v>
      </x:c>
      <x:c r="D28" s="30" t="n">
        <x:v>2019</x:v>
      </x:c>
      <x:c r="E28" s="24" t="str">
        <x:v>Myoxocephalus quadricornis</x:v>
      </x:c>
      <x:c r="F28" s="24" t="str">
        <x:v>Fourhorn sculpin</x:v>
      </x:c>
      <x:c r="G28" s="24" t="str">
        <x:v>Medium demersals (30 - 89 cm)</x:v>
      </x:c>
      <x:c r="H28" s="24" t="str">
        <x:v>Scorpionfishes</x:v>
      </x:c>
      <x:c r="I28" s="31" t="n">
        <x:v>31.3172871776</x:v>
      </x:c>
      <x:c r="J28" s="31" t="n">
        <x:v>31.3172871776</x:v>
      </x:c>
      <x:c r="K28" s="31" t="n">
        <x:v>0</x:v>
      </x:c>
      <x:c r="L28" s="31" t="n">
        <x:v>31.3172871776</x:v>
      </x:c>
      <x:c r="M28" s="31" t="n">
        <x:v>0</x:v>
      </x:c>
      <x:c r="N28" s="24" t="str">
        <x:v>myoxocephalus quadricornis</x:v>
      </x:c>
      <x:c r="O28" s="32" t="n">
        <x:v>3.69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Myoxocephalus quadricornis</x:v>
      </x:c>
      <x:c r="T28" s="32" t="n">
        <x:f>IF(O28="","",(1/'Metadata'!$B$5)^(O28-1))</x:f>
        <x:v>489.77881936844614</x:v>
      </x:c>
      <x:c r="U28" s="31" t="n">
        <x:f>IF(T28="","",I28*T28)</x:f>
        <x:v>15338.543939667505</x:v>
      </x:c>
    </x:row>
    <x:row r="29" ht="18" customHeight="1">
      <x:c r="A29" s="24" t="str">
        <x:v>EEZ_914</x:v>
      </x:c>
      <x:c r="B29" s="24" t="str">
        <x:v>Sweden (Baltic)</x:v>
      </x:c>
      <x:c r="C29" s="24" t="str">
        <x:v>EEZ</x:v>
      </x:c>
      <x:c r="D29" s="30" t="n">
        <x:v>2019</x:v>
      </x:c>
      <x:c r="E29" s="24" t="str">
        <x:v>Vimba</x:v>
      </x:c>
      <x:c r="F29" s="24" t="str">
        <x:v>Vimba breams</x:v>
      </x:c>
      <x:c r="G29" s="24" t="str">
        <x:v>Medium demersals (30 - 89 cm)</x:v>
      </x:c>
      <x:c r="H29" s="24" t="str">
        <x:v>Other fishes &amp; inverts</x:v>
      </x:c>
      <x:c r="I29" s="31" t="n">
        <x:v>26.890045390000004</x:v>
      </x:c>
      <x:c r="J29" s="31" t="n">
        <x:v>25.7790856374</x:v>
      </x:c>
      <x:c r="K29" s="31" t="n">
        <x:v>1.1109597526000001</x:v>
      </x:c>
      <x:c r="L29" s="31" t="n">
        <x:v>24.322767560000003</x:v>
      </x:c>
      <x:c r="M29" s="31" t="n">
        <x:v>2.56727783</x:v>
      </x:c>
      <x:c r="N29" s="24" t="str">
        <x:v>vimba</x:v>
      </x:c>
      <x:c r="O29" s="32" t="n">
        <x:v>3.05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Vimba</x:v>
      </x:c>
      <x:c r="T29" s="32" t="n">
        <x:f>IF(O29="","",(1/'Metadata'!$B$5)^(O29-1))</x:f>
        <x:v>112.2018454301963</x:v>
      </x:c>
      <x:c r="U29" s="31" t="n">
        <x:f>IF(T29="","",I29*T29)</x:f>
        <x:v>3017.1127164597433</x:v>
      </x:c>
    </x:row>
    <x:row r="30" ht="18" customHeight="1">
      <x:c r="A30" s="24" t="str">
        <x:v>EEZ_914</x:v>
      </x:c>
      <x:c r="B30" s="24" t="str">
        <x:v>Sweden (Baltic)</x:v>
      </x:c>
      <x:c r="C30" s="24" t="str">
        <x:v>EEZ</x:v>
      </x:c>
      <x:c r="D30" s="30" t="n">
        <x:v>2019</x:v>
      </x:c>
      <x:c r="E30" s="24" t="str">
        <x:v>Limanda limanda</x:v>
      </x:c>
      <x:c r="F30" s="24" t="str">
        <x:v>Common dab</x:v>
      </x:c>
      <x:c r="G30" s="24" t="str">
        <x:v>Small to medium flatfishes (&lt;90 cm)</x:v>
      </x:c>
      <x:c r="H30" s="24" t="str">
        <x:v>Flatfishes</x:v>
      </x:c>
      <x:c r="I30" s="31" t="n">
        <x:v>23.3523456156</x:v>
      </x:c>
      <x:c r="J30" s="31" t="n">
        <x:v>19.570654545900002</x:v>
      </x:c>
      <x:c r="K30" s="31" t="n">
        <x:v>3.7816910697</x:v>
      </x:c>
      <x:c r="L30" s="31" t="n">
        <x:v>18.5556053024</x:v>
      </x:c>
      <x:c r="M30" s="31" t="n">
        <x:v>4.7967403132</x:v>
      </x:c>
      <x:c r="N30" s="24" t="str">
        <x:v>limanda limanda</x:v>
      </x:c>
      <x:c r="O30" s="32" t="n">
        <x:v>3.29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Limanda limanda</x:v>
      </x:c>
      <x:c r="T30" s="32" t="n">
        <x:f>IF(O30="","",(1/'Metadata'!$B$5)^(O30-1))</x:f>
        <x:v>194.98445997580455</x:v>
      </x:c>
      <x:c r="U30" s="31" t="n">
        <x:f>IF(T30="","",I30*T30)</x:f>
        <x:v>4553.344499026113</x:v>
      </x:c>
    </x:row>
    <x:row r="31" ht="18" customHeight="1">
      <x:c r="A31" s="24" t="str">
        <x:v>EEZ_914</x:v>
      </x:c>
      <x:c r="B31" s="24" t="str">
        <x:v>Sweden (Baltic)</x:v>
      </x:c>
      <x:c r="C31" s="24" t="str">
        <x:v>EEZ</x:v>
      </x:c>
      <x:c r="D31" s="30" t="n">
        <x:v>2019</x:v>
      </x:c>
      <x:c r="E31" s="24" t="str">
        <x:v>Perciformes</x:v>
      </x:c>
      <x:c r="F31" s="24" t="str">
        <x:v>Perch-likes</x:v>
      </x:c>
      <x:c r="G31" s="24" t="str">
        <x:v>Medium demersals (30 - 89 cm)</x:v>
      </x:c>
      <x:c r="H31" s="24" t="str">
        <x:v>Perch-likes</x:v>
      </x:c>
      <x:c r="I31" s="31" t="n">
        <x:v>10.527329398000001</x:v>
      </x:c>
      <x:c r="J31" s="31" t="n">
        <x:v>6.4999430398</x:v>
      </x:c>
      <x:c r="K31" s="31" t="n">
        <x:v>4.0273863582</x:v>
      </x:c>
      <x:c r="L31" s="31" t="n">
        <x:v>0</x:v>
      </x:c>
      <x:c r="M31" s="31" t="n">
        <x:v>10.527329398000001</x:v>
      </x:c>
      <x:c r="N31" s="24" t="str">
        <x:v>perciformes</x:v>
      </x:c>
      <x:c r="O31" s="32" t="n">
        <x:v>3.53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Perciformes</x:v>
      </x:c>
      <x:c r="T31" s="32" t="n">
        <x:f>IF(O31="","",(1/'Metadata'!$B$5)^(O31-1))</x:f>
        <x:v>338.84415613920237</x:v>
      </x:c>
      <x:c r="U31" s="31" t="n">
        <x:f>IF(T31="","",I31*T31)</x:f>
        <x:v>3567.1240462647274</x:v>
      </x:c>
    </x:row>
    <x:row r="32" ht="18" customHeight="1">
      <x:c r="A32" s="24" t="str">
        <x:v>EEZ_914</x:v>
      </x:c>
      <x:c r="B32" s="24" t="str">
        <x:v>Sweden (Baltic)</x:v>
      </x:c>
      <x:c r="C32" s="24" t="str">
        <x:v>EEZ</x:v>
      </x:c>
      <x:c r="D32" s="30" t="n">
        <x:v>2019</x:v>
      </x:c>
      <x:c r="E32" s="24" t="str">
        <x:v>Lota lota</x:v>
      </x:c>
      <x:c r="F32" s="24" t="str">
        <x:v>Burbot</x:v>
      </x:c>
      <x:c r="G32" s="24" t="str">
        <x:v>Large demersals (&gt;=90 cm)</x:v>
      </x:c>
      <x:c r="H32" s="24" t="str">
        <x:v>Cod-likes</x:v>
      </x:c>
      <x:c r="I32" s="31" t="n">
        <x:v>9.3204089107</x:v>
      </x:c>
      <x:c r="J32" s="31" t="n">
        <x:v>7.7050584309</x:v>
      </x:c>
      <x:c r="K32" s="31" t="n">
        <x:v>1.6153504798</x:v>
      </x:c>
      <x:c r="L32" s="31" t="n">
        <x:v>6.0884183794</x:v>
      </x:c>
      <x:c r="M32" s="31" t="n">
        <x:v>3.2319905313</x:v>
      </x:c>
      <x:c r="N32" s="24" t="str">
        <x:v>lota lota</x:v>
      </x:c>
      <x:c r="O32" s="32" t="n">
        <x:v>3.84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Lota lota</x:v>
      </x:c>
      <x:c r="T32" s="32" t="n">
        <x:f>IF(O32="","",(1/'Metadata'!$B$5)^(O32-1))</x:f>
        <x:v>691.8309709189363</x:v>
      </x:c>
      <x:c r="U32" s="31" t="n">
        <x:f>IF(T32="","",I32*T32)</x:f>
        <x:v>6448.147546051086</x:v>
      </x:c>
    </x:row>
    <x:row r="33" ht="18" customHeight="1">
      <x:c r="A33" s="24" t="str">
        <x:v>EEZ_914</x:v>
      </x:c>
      <x:c r="B33" s="24" t="str">
        <x:v>Sweden (Baltic)</x:v>
      </x:c>
      <x:c r="C33" s="24" t="str">
        <x:v>EEZ</x:v>
      </x:c>
      <x:c r="D33" s="30" t="n">
        <x:v>2019</x:v>
      </x:c>
      <x:c r="E33" s="24" t="str">
        <x:v>Alosa fallax</x:v>
      </x:c>
      <x:c r="F33" s="24" t="str">
        <x:v>Twaite shad</x:v>
      </x:c>
      <x:c r="G33" s="24" t="str">
        <x:v>Medium pelagics (30 - 89 cm)</x:v>
      </x:c>
      <x:c r="H33" s="24" t="str">
        <x:v>Herring-likes</x:v>
      </x:c>
      <x:c r="I33" s="31" t="n">
        <x:v>6.8627575359</x:v>
      </x:c>
      <x:c r="J33" s="31" t="n">
        <x:v>6.5837547134</x:v>
      </x:c>
      <x:c r="K33" s="31" t="n">
        <x:v>0.27900282249999997</x:v>
      </x:c>
      <x:c r="L33" s="31" t="n">
        <x:v>6.1335368819</x:v>
      </x:c>
      <x:c r="M33" s="31" t="n">
        <x:v>0.7292206539999999</x:v>
      </x:c>
      <x:c r="N33" s="24" t="str">
        <x:v>alosa fallax</x:v>
      </x:c>
      <x:c r="O33" s="32" t="n">
        <x:v>4.03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Alosa fallax</x:v>
      </x:c>
      <x:c r="T33" s="32" t="n">
        <x:f>IF(O33="","",(1/'Metadata'!$B$5)^(O33-1))</x:f>
        <x:v>1071.519305237607</x:v>
      </x:c>
      <x:c r="U33" s="31" t="n">
        <x:f>IF(T33="","",I33*T33)</x:f>
        <x:v>7353.577186881721</x:v>
      </x:c>
    </x:row>
    <x:row r="34" ht="18" customHeight="1">
      <x:c r="A34" s="24" t="str">
        <x:v>EEZ_914</x:v>
      </x:c>
      <x:c r="B34" s="24" t="str">
        <x:v>Sweden (Baltic)</x:v>
      </x:c>
      <x:c r="C34" s="24" t="str">
        <x:v>EEZ</x:v>
      </x:c>
      <x:c r="D34" s="30" t="n">
        <x:v>2019</x:v>
      </x:c>
      <x:c r="E34" s="24" t="str">
        <x:v>Gymnocephalus cernua</x:v>
      </x:c>
      <x:c r="F34" s="24" t="str">
        <x:v>Ruffe</x:v>
      </x:c>
      <x:c r="G34" s="24" t="str">
        <x:v>Small demersals (&lt;30 cm)</x:v>
      </x:c>
      <x:c r="H34" s="24" t="str">
        <x:v>Perch-likes</x:v>
      </x:c>
      <x:c r="I34" s="31" t="n">
        <x:v>6.589627200200001</x:v>
      </x:c>
      <x:c r="J34" s="31" t="n">
        <x:v>6.4300766817</x:v>
      </x:c>
      <x:c r="K34" s="31" t="n">
        <x:v>0.1595505185</x:v>
      </x:c>
      <x:c r="L34" s="31" t="n">
        <x:v>6.2501557949</x:v>
      </x:c>
      <x:c r="M34" s="31" t="n">
        <x:v>0.3394714053</x:v>
      </x:c>
      <x:c r="N34" s="24" t="str">
        <x:v>gymnocephalus cernua</x:v>
      </x:c>
      <x:c r="O34" s="32" t="n">
        <x:v>3.32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Gymnocephalus cernua</x:v>
      </x:c>
      <x:c r="T34" s="32" t="n">
        <x:f>IF(O34="","",(1/'Metadata'!$B$5)^(O34-1))</x:f>
        <x:v>208.92961308540387</x:v>
      </x:c>
      <x:c r="U34" s="31" t="n">
        <x:f>IF(T34="","",I34*T34)</x:f>
        <x:v>1376.7682613148393</x:v>
      </x:c>
    </x:row>
    <x:row r="35" ht="18" customHeight="1">
      <x:c r="A35" s="24" t="str">
        <x:v>EEZ_914</x:v>
      </x:c>
      <x:c r="B35" s="24" t="str">
        <x:v>Sweden (Baltic)</x:v>
      </x:c>
      <x:c r="C35" s="24" t="str">
        <x:v>EEZ</x:v>
      </x:c>
      <x:c r="D35" s="30" t="n">
        <x:v>2019</x:v>
      </x:c>
      <x:c r="E35" s="24" t="str">
        <x:v>Osteichthyes</x:v>
      </x:c>
      <x:c r="F35" s="24" t="str">
        <x:v>Bony fishes</x:v>
      </x:c>
      <x:c r="G35" s="24" t="str">
        <x:v>Medium demersals (30 - 89 cm)</x:v>
      </x:c>
      <x:c r="H35" s="24" t="str">
        <x:v>Other fishes &amp; inverts</x:v>
      </x:c>
      <x:c r="I35" s="31" t="n">
        <x:v>3.8889302608</x:v>
      </x:c>
      <x:c r="J35" s="31" t="n">
        <x:v>3.8871565976</x:v>
      </x:c>
      <x:c r="K35" s="31" t="n">
        <x:v>0.0017736632</x:v>
      </x:c>
      <x:c r="L35" s="31" t="n">
        <x:v>3.8863615221</x:v>
      </x:c>
      <x:c r="M35" s="31" t="n">
        <x:v>0.0025687387</x:v>
      </x:c>
      <x:c r="N35" s="24" t="str">
        <x:v>osteichthyes</x:v>
      </x:c>
      <x:c r="O35" s="32" t="n">
        <x:v>3.79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Osteichthyes</x:v>
      </x:c>
      <x:c r="T35" s="32" t="n">
        <x:f>IF(O35="","",(1/'Metadata'!$B$5)^(O35-1))</x:f>
        <x:v>616.5950018614822</x:v>
      </x:c>
      <x:c r="U35" s="31" t="n">
        <x:f>IF(T35="","",I35*T35)</x:f>
        <x:v>2397.8949613971504</x:v>
      </x:c>
    </x:row>
    <x:row r="36" ht="18" customHeight="1">
      <x:c r="A36" s="24" t="str">
        <x:v>EEZ_914</x:v>
      </x:c>
      <x:c r="B36" s="24" t="str">
        <x:v>Sweden (Baltic)</x:v>
      </x:c>
      <x:c r="C36" s="24" t="str">
        <x:v>EEZ</x:v>
      </x:c>
      <x:c r="D36" s="30" t="n">
        <x:v>2019</x:v>
      </x:c>
      <x:c r="E36" s="24" t="str">
        <x:v>Carassius carassius</x:v>
      </x:c>
      <x:c r="F36" s="24" t="str">
        <x:v>Crucian carp</x:v>
      </x:c>
      <x:c r="G36" s="24" t="str">
        <x:v>Medium demersals (30 - 89 cm)</x:v>
      </x:c>
      <x:c r="H36" s="24" t="str">
        <x:v>Other fishes &amp; inverts</x:v>
      </x:c>
      <x:c r="I36" s="31" t="n">
        <x:v>3.5315098409</x:v>
      </x:c>
      <x:c r="J36" s="31" t="n">
        <x:v>3.4885841276</x:v>
      </x:c>
      <x:c r="K36" s="31" t="n">
        <x:v>0.0429257133</x:v>
      </x:c>
      <x:c r="L36" s="31" t="n">
        <x:v>3.4309466605999996</x:v>
      </x:c>
      <x:c r="M36" s="31" t="n">
        <x:v>0.1005631803</x:v>
      </x:c>
      <x:c r="N36" s="24" t="str">
        <x:v>carassius carassius</x:v>
      </x:c>
      <x:c r="O36" s="32" t="n">
        <x:v>3.11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Carassius carassius</x:v>
      </x:c>
      <x:c r="T36" s="32" t="n">
        <x:f>IF(O36="","",(1/'Metadata'!$B$5)^(O36-1))</x:f>
        <x:v>128.82495516931337</x:v>
      </x:c>
      <x:c r="U36" s="31" t="n">
        <x:f>IF(T36="","",I36*T36)</x:f>
        <x:v>454.9465969339315</x:v>
      </x:c>
    </x:row>
    <x:row r="37" ht="18" customHeight="1">
      <x:c r="A37" s="24" t="str">
        <x:v>EEZ_914</x:v>
      </x:c>
      <x:c r="B37" s="24" t="str">
        <x:v>Sweden (Baltic)</x:v>
      </x:c>
      <x:c r="C37" s="24" t="str">
        <x:v>EEZ</x:v>
      </x:c>
      <x:c r="D37" s="30" t="n">
        <x:v>2019</x:v>
      </x:c>
      <x:c r="E37" s="24" t="str">
        <x:v>Tinca tinca</x:v>
      </x:c>
      <x:c r="F37" s="24" t="str">
        <x:v>Tench</x:v>
      </x:c>
      <x:c r="G37" s="24" t="str">
        <x:v>Medium demersals (30 - 89 cm)</x:v>
      </x:c>
      <x:c r="H37" s="24" t="str">
        <x:v>Other fishes &amp; inverts</x:v>
      </x:c>
      <x:c r="I37" s="31" t="n">
        <x:v>1.8739965341000002</x:v>
      </x:c>
      <x:c r="J37" s="31" t="n">
        <x:v>1.8600660849000001</x:v>
      </x:c>
      <x:c r="K37" s="31" t="n">
        <x:v>0.0139304492</x:v>
      </x:c>
      <x:c r="L37" s="31" t="n">
        <x:v>1.6745376023000003</x:v>
      </x:c>
      <x:c r="M37" s="31" t="n">
        <x:v>0.1994589318</x:v>
      </x:c>
      <x:c r="N37" s="24" t="str">
        <x:v>tinca tinca</x:v>
      </x:c>
      <x:c r="O37" s="32" t="n">
        <x:v>3.69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Tinca tinca</x:v>
      </x:c>
      <x:c r="T37" s="32" t="n">
        <x:f>IF(O37="","",(1/'Metadata'!$B$5)^(O37-1))</x:f>
        <x:v>489.77881936844614</x:v>
      </x:c>
      <x:c r="U37" s="31" t="n">
        <x:f>IF(T37="","",I37*T37)</x:f>
        <x:v>917.8438099720581</x:v>
      </x:c>
    </x:row>
    <x:row r="38" ht="18" customHeight="1">
      <x:c r="A38" s="24" t="str">
        <x:v>EEZ_914</x:v>
      </x:c>
      <x:c r="B38" s="24" t="str">
        <x:v>Sweden (Baltic)</x:v>
      </x:c>
      <x:c r="C38" s="24" t="str">
        <x:v>EEZ</x:v>
      </x:c>
      <x:c r="D38" s="30" t="n">
        <x:v>2019</x:v>
      </x:c>
      <x:c r="E38" s="24" t="str">
        <x:v>Leuciscus aspius</x:v>
      </x:c>
      <x:c r="F38" s="24" t="str">
        <x:v>Asp</x:v>
      </x:c>
      <x:c r="G38" s="24" t="str">
        <x:v>Large benthopelagics (&gt;=90 cm)</x:v>
      </x:c>
      <x:c r="H38" s="24" t="str">
        <x:v>Other fishes &amp; inverts</x:v>
      </x:c>
      <x:c r="I38" s="31" t="n">
        <x:v>1.8204166088999998</x:v>
      </x:c>
      <x:c r="J38" s="31" t="n">
        <x:v>1.8191811967999998</x:v>
      </x:c>
      <x:c r="K38" s="31" t="n">
        <x:v>0.0012354121</x:v>
      </x:c>
      <x:c r="L38" s="31" t="n">
        <x:v>1.7476732145999998</x:v>
      </x:c>
      <x:c r="M38" s="31" t="n">
        <x:v>0.0727433943</x:v>
      </x:c>
      <x:c r="N38" s="24" t="str">
        <x:v>leuciscus aspius</x:v>
      </x:c>
      <x:c r="O38" s="32" t="n">
        <x:v>4.47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Leuciscus aspius</x:v>
      </x:c>
      <x:c r="T38" s="32" t="n">
        <x:f>IF(O38="","",(1/'Metadata'!$B$5)^(O38-1))</x:f>
        <x:v>2951.209226666384</x:v>
      </x:c>
      <x:c r="U38" s="31" t="n">
        <x:f>IF(T38="","",I38*T38)</x:f>
        <x:v>5372.43029256241</x:v>
      </x:c>
    </x:row>
    <x:row r="39" ht="18" customHeight="1">
      <x:c r="A39" s="24" t="str">
        <x:v>EEZ_914</x:v>
      </x:c>
      <x:c r="B39" s="24" t="str">
        <x:v>Sweden (Baltic)</x:v>
      </x:c>
      <x:c r="C39" s="24" t="str">
        <x:v>EEZ</x:v>
      </x:c>
      <x:c r="D39" s="30" t="n">
        <x:v>2019</x:v>
      </x:c>
      <x:c r="E39" s="24" t="str">
        <x:v>Pollachius virens</x:v>
      </x:c>
      <x:c r="F39" s="24" t="str">
        <x:v>Saithe</x:v>
      </x:c>
      <x:c r="G39" s="24" t="str">
        <x:v>Large demersals (&gt;=90 cm)</x:v>
      </x:c>
      <x:c r="H39" s="24" t="str">
        <x:v>Cod-likes</x:v>
      </x:c>
      <x:c r="I39" s="31" t="n">
        <x:v>1.6604238855</x:v>
      </x:c>
      <x:c r="J39" s="31" t="n">
        <x:v>0.9467451275000001</x:v>
      </x:c>
      <x:c r="K39" s="31" t="n">
        <x:v>0.713678758</x:v>
      </x:c>
      <x:c r="L39" s="31" t="n">
        <x:v>0.9133290931</x:v>
      </x:c>
      <x:c r="M39" s="31" t="n">
        <x:v>0.7470947924</x:v>
      </x:c>
      <x:c r="N39" s="24" t="str">
        <x:v>pollachius virens</x:v>
      </x:c>
      <x:c r="O39" s="32" t="n">
        <x:v>4.31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Pollachius virens</x:v>
      </x:c>
      <x:c r="T39" s="32" t="n">
        <x:f>IF(O39="","",(1/'Metadata'!$B$5)^(O39-1))</x:f>
        <x:v>2041.7379446695275</x:v>
      </x:c>
      <x:c r="U39" s="31" t="n">
        <x:f>IF(T39="","",I39*T39)</x:f>
        <x:v>3390.150451260961</x:v>
      </x:c>
    </x:row>
    <x:row r="40" ht="18" customHeight="1">
      <x:c r="A40" s="24" t="str">
        <x:v>EEZ_914</x:v>
      </x:c>
      <x:c r="B40" s="24" t="str">
        <x:v>Sweden (Baltic)</x:v>
      </x:c>
      <x:c r="C40" s="24" t="str">
        <x:v>EEZ</x:v>
      </x:c>
      <x:c r="D40" s="30" t="n">
        <x:v>2019</x:v>
      </x:c>
      <x:c r="E40" s="24" t="str">
        <x:v>Symphodus melops</x:v>
      </x:c>
      <x:c r="F40" s="24" t="str">
        <x:v>Corkwing wrasse</x:v>
      </x:c>
      <x:c r="G40" s="24" t="str">
        <x:v>Small reef assoc. fish (&lt;30 cm)</x:v>
      </x:c>
      <x:c r="H40" s="24" t="str">
        <x:v>Perch-likes</x:v>
      </x:c>
      <x:c r="I40" s="31" t="n">
        <x:v>1.080442723</x:v>
      </x:c>
      <x:c r="J40" s="31" t="n">
        <x:v>0.7151699693</x:v>
      </x:c>
      <x:c r="K40" s="31" t="n">
        <x:v>0.3652727537</x:v>
      </x:c>
      <x:c r="L40" s="31" t="n">
        <x:v>0</x:v>
      </x:c>
      <x:c r="M40" s="31" t="n">
        <x:v>1.080442723</x:v>
      </x:c>
      <x:c r="N40" s="24" t="str">
        <x:v>symphodus melops</x:v>
      </x:c>
      <x:c r="O40" s="32" t="n">
        <x:v>3.38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Symphodus melops</x:v>
      </x:c>
      <x:c r="T40" s="32" t="n">
        <x:f>IF(O40="","",(1/'Metadata'!$B$5)^(O40-1))</x:f>
        <x:v>239.88329190194898</x:v>
      </x:c>
      <x:c r="U40" s="31" t="n">
        <x:f>IF(T40="","",I40*T40)</x:f>
        <x:v>259.1801571047456</x:v>
      </x:c>
    </x:row>
    <x:row r="41" ht="18" customHeight="1">
      <x:c r="A41" s="24" t="str">
        <x:v>EEZ_914</x:v>
      </x:c>
      <x:c r="B41" s="24" t="str">
        <x:v>Sweden (Baltic)</x:v>
      </x:c>
      <x:c r="C41" s="24" t="str">
        <x:v>EEZ</x:v>
      </x:c>
      <x:c r="D41" s="30" t="n">
        <x:v>2019</x:v>
      </x:c>
      <x:c r="E41" s="24" t="str">
        <x:v>Salmo</x:v>
      </x:c>
      <x:c r="F41" s="24" t="str">
        <x:v>Trouts</x:v>
      </x:c>
      <x:c r="G41" s="24" t="str">
        <x:v>Large benthopelagics (&gt;=90 cm)</x:v>
      </x:c>
      <x:c r="H41" s="24" t="str">
        <x:v>Salmon, smelts, etc</x:v>
      </x:c>
      <x:c r="I41" s="31" t="n">
        <x:v>0.7038899684</x:v>
      </x:c>
      <x:c r="J41" s="31" t="n">
        <x:v>0.3212037872</x:v>
      </x:c>
      <x:c r="K41" s="31" t="n">
        <x:v>0.38268618120000003</x:v>
      </x:c>
      <x:c r="L41" s="31" t="n">
        <x:v>0.2835744588</x:v>
      </x:c>
      <x:c r="M41" s="31" t="n">
        <x:v>0.4203155096</x:v>
      </x:c>
      <x:c r="N41" s="24" t="str">
        <x:v>salmo</x:v>
      </x:c>
      <x:c r="O41" s="32" t="n">
        <x:v>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Salmo</x:v>
      </x:c>
      <x:c r="T41" s="32" t="n">
        <x:f>IF(O41="","",(1/'Metadata'!$B$5)^(O41-1))</x:f>
        <x:v>1000</x:v>
      </x:c>
      <x:c r="U41" s="31" t="n">
        <x:f>IF(T41="","",I41*T41)</x:f>
        <x:v>703.8899683999999</x:v>
      </x:c>
    </x:row>
    <x:row r="42" ht="18" customHeight="1">
      <x:c r="A42" s="24" t="str">
        <x:v>EEZ_914</x:v>
      </x:c>
      <x:c r="B42" s="24" t="str">
        <x:v>Sweden (Baltic)</x:v>
      </x:c>
      <x:c r="C42" s="24" t="str">
        <x:v>EEZ</x:v>
      </x:c>
      <x:c r="D42" s="30" t="n">
        <x:v>2019</x:v>
      </x:c>
      <x:c r="E42" s="24" t="str">
        <x:v>Brachyura</x:v>
      </x:c>
      <x:c r="F42" s="24" t="str">
        <x:v>Marine crabs</x:v>
      </x:c>
      <x:c r="G42" s="24" t="str">
        <x:v>Lobsters, crabs</x:v>
      </x:c>
      <x:c r="H42" s="24" t="str">
        <x:v>Crustaceans</x:v>
      </x:c>
      <x:c r="I42" s="31" t="n">
        <x:v>0.5997398398</x:v>
      </x:c>
      <x:c r="J42" s="31" t="n">
        <x:v>0.5997398398</x:v>
      </x:c>
      <x:c r="K42" s="31" t="n">
        <x:v>0</x:v>
      </x:c>
      <x:c r="L42" s="31" t="n">
        <x:v>0.5997398398</x:v>
      </x:c>
      <x:c r="M42" s="31" t="n">
        <x:v>0</x:v>
      </x:c>
      <x:c r="N42" s="24" t="str">
        <x:v>brachyura</x:v>
      </x:c>
      <x:c r="O42" s="32" t="n">
        <x:v>2.6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Brachyura</x:v>
      </x:c>
      <x:c r="T42" s="32" t="n">
        <x:f>IF(O42="","",(1/'Metadata'!$B$5)^(O42-1))</x:f>
        <x:v>39.810717055349734</x:v>
      </x:c>
      <x:c r="U42" s="31" t="n">
        <x:f>IF(T42="","",I42*T42)</x:f>
        <x:v>23.876073069098577</x:v>
      </x:c>
    </x:row>
    <x:row r="43" ht="18" customHeight="1">
      <x:c r="A43" s="24" t="str">
        <x:v>EEZ_914</x:v>
      </x:c>
      <x:c r="B43" s="24" t="str">
        <x:v>Sweden (Baltic)</x:v>
      </x:c>
      <x:c r="C43" s="24" t="str">
        <x:v>EEZ</x:v>
      </x:c>
      <x:c r="D43" s="30" t="n">
        <x:v>2019</x:v>
      </x:c>
      <x:c r="E43" s="24" t="str">
        <x:v>Cyclopterus lumpus</x:v>
      </x:c>
      <x:c r="F43" s="24" t="str">
        <x:v>Lumpfish</x:v>
      </x:c>
      <x:c r="G43" s="24" t="str">
        <x:v>Medium benthopelagics (30 - 89 cm)</x:v>
      </x:c>
      <x:c r="H43" s="24" t="str">
        <x:v>Scorpionfishes</x:v>
      </x:c>
      <x:c r="I43" s="31" t="n">
        <x:v>0.4546886485</x:v>
      </x:c>
      <x:c r="J43" s="31" t="n">
        <x:v>0.340230949</x:v>
      </x:c>
      <x:c r="K43" s="31" t="n">
        <x:v>0.1144576995</x:v>
      </x:c>
      <x:c r="L43" s="31" t="n">
        <x:v>0.2705771331</x:v>
      </x:c>
      <x:c r="M43" s="31" t="n">
        <x:v>0.18411151539999998</x:v>
      </x:c>
      <x:c r="N43" s="24" t="str">
        <x:v>cyclopterus lumpus</x:v>
      </x:c>
      <x:c r="O43" s="32" t="n">
        <x:v>3.89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Cyclopterus lumpus</x:v>
      </x:c>
      <x:c r="T43" s="32" t="n">
        <x:f>IF(O43="","",(1/'Metadata'!$B$5)^(O43-1))</x:f>
        <x:v>776.247116628692</x:v>
      </x:c>
      <x:c r="U43" s="31" t="n">
        <x:f>IF(T43="","",I43*T43)</x:f>
        <x:v>352.95075236192184</x:v>
      </x:c>
    </x:row>
    <x:row r="44" ht="18" customHeight="1">
      <x:c r="A44" s="24" t="str">
        <x:v>EEZ_914</x:v>
      </x:c>
      <x:c r="B44" s="24" t="str">
        <x:v>Sweden (Baltic)</x:v>
      </x:c>
      <x:c r="C44" s="24" t="str">
        <x:v>EEZ</x:v>
      </x:c>
      <x:c r="D44" s="30" t="n">
        <x:v>2019</x:v>
      </x:c>
      <x:c r="E44" s="24" t="str">
        <x:v>Marine finfishes not identified</x:v>
      </x:c>
      <x:c r="F44" s="24" t="str">
        <x:v>Finfishes</x:v>
      </x:c>
      <x:c r="G44" s="24" t="str">
        <x:v>Medium demersals (30 - 89 cm)</x:v>
      </x:c>
      <x:c r="H44" s="24" t="str">
        <x:v>Other fishes &amp; inverts</x:v>
      </x:c>
      <x:c r="I44" s="31" t="n">
        <x:v>0.37651746820000004</x:v>
      </x:c>
      <x:c r="J44" s="31" t="n">
        <x:v>0.2407986664</x:v>
      </x:c>
      <x:c r="K44" s="31" t="n">
        <x:v>0.1357188018</x:v>
      </x:c>
      <x:c r="L44" s="31" t="n">
        <x:v>0</x:v>
      </x:c>
      <x:c r="M44" s="31" t="n">
        <x:v>0.37651746820000004</x:v>
      </x:c>
      <x:c r="N44" s="24" t="str">
        <x:v>marine finfishes not identified</x:v>
      </x:c>
      <x:c r="O44" s="32" t="n">
        <x:v>3.23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Marine finfishes not identified</x:v>
      </x:c>
      <x:c r="T44" s="32" t="n">
        <x:f>IF(O44="","",(1/'Metadata'!$B$5)^(O44-1))</x:f>
        <x:v>169.82436524617444</x:v>
      </x:c>
      <x:c r="U44" s="31" t="n">
        <x:f>IF(T44="","",I44*T44)</x:f>
        <x:v>63.941840041161676</x:v>
      </x:c>
    </x:row>
    <x:row r="45" ht="18" customHeight="1">
      <x:c r="A45" s="24" t="str">
        <x:v>EEZ_914</x:v>
      </x:c>
      <x:c r="B45" s="24" t="str">
        <x:v>Sweden (Baltic)</x:v>
      </x:c>
      <x:c r="C45" s="24" t="str">
        <x:v>EEZ</x:v>
      </x:c>
      <x:c r="D45" s="30" t="n">
        <x:v>2019</x:v>
      </x:c>
      <x:c r="E45" s="24" t="str">
        <x:v>Zoarces viviparus</x:v>
      </x:c>
      <x:c r="F45" s="24" t="str">
        <x:v>Eelpout</x:v>
      </x:c>
      <x:c r="G45" s="24" t="str">
        <x:v>Medium demersals (30 - 89 cm)</x:v>
      </x:c>
      <x:c r="H45" s="24" t="str">
        <x:v>Perch-likes</x:v>
      </x:c>
      <x:c r="I45" s="31" t="n">
        <x:v>0.359436101</x:v>
      </x:c>
      <x:c r="J45" s="31" t="n">
        <x:v>0.23604437500000003</x:v>
      </x:c>
      <x:c r="K45" s="31" t="n">
        <x:v>0.12339172600000001</x:v>
      </x:c>
      <x:c r="L45" s="31" t="n">
        <x:v>0.1249255338</x:v>
      </x:c>
      <x:c r="M45" s="31" t="n">
        <x:v>0.23451056720000002</x:v>
      </x:c>
      <x:c r="N45" s="24" t="str">
        <x:v>zoarces viviparus</x:v>
      </x:c>
      <x:c r="O45" s="32" t="n">
        <x:v>3.47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Zoarces viviparus</x:v>
      </x:c>
      <x:c r="T45" s="32" t="n">
        <x:f>IF(O45="","",(1/'Metadata'!$B$5)^(O45-1))</x:f>
        <x:v>295.1209226666387</x:v>
      </x:c>
      <x:c r="U45" s="31" t="n">
        <x:f>IF(T45="","",I45*T45)</x:f>
        <x:v>106.07711376681914</x:v>
      </x:c>
    </x:row>
    <x:row r="46" ht="18" customHeight="1">
      <x:c r="A46" s="24" t="str">
        <x:v>EEZ_914</x:v>
      </x:c>
      <x:c r="B46" s="24" t="str">
        <x:v>Sweden (Baltic)</x:v>
      </x:c>
      <x:c r="C46" s="24" t="str">
        <x:v>EEZ</x:v>
      </x:c>
      <x:c r="D46" s="30" t="n">
        <x:v>2019</x:v>
      </x:c>
      <x:c r="E46" s="24" t="str">
        <x:v>Scardinius erythrophthalmus</x:v>
      </x:c>
      <x:c r="F46" s="24" t="str">
        <x:v>Rudd</x:v>
      </x:c>
      <x:c r="G46" s="24" t="str">
        <x:v>Medium benthopelagics (30 - 89 cm)</x:v>
      </x:c>
      <x:c r="H46" s="24" t="str">
        <x:v>Other fishes &amp; inverts</x:v>
      </x:c>
      <x:c r="I46" s="31" t="n">
        <x:v>0.3475644531</x:v>
      </x:c>
      <x:c r="J46" s="31" t="n">
        <x:v>0.3364080489</x:v>
      </x:c>
      <x:c r="K46" s="31" t="n">
        <x:v>0.0111564042</x:v>
      </x:c>
      <x:c r="L46" s="31" t="n">
        <x:v>0.3276919758</x:v>
      </x:c>
      <x:c r="M46" s="31" t="n">
        <x:v>0.0198724773</x:v>
      </x:c>
      <x:c r="N46" s="24" t="str">
        <x:v>scardinius erythrophthalmus</x:v>
      </x:c>
      <x:c r="O46" s="32" t="n">
        <x:v>2.89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Scardinius erythrophthalmus</x:v>
      </x:c>
      <x:c r="T46" s="32" t="n">
        <x:f>IF(O46="","",(1/'Metadata'!$B$5)^(O46-1))</x:f>
        <x:v>77.6247116628692</x:v>
      </x:c>
      <x:c r="U46" s="31" t="n">
        <x:f>IF(T46="","",I46*T46)</x:f>
        <x:v>26.979590456150326</x:v>
      </x:c>
    </x:row>
    <x:row r="47" ht="18" customHeight="1">
      <x:c r="A47" s="24" t="str">
        <x:v>EEZ_914</x:v>
      </x:c>
      <x:c r="B47" s="24" t="str">
        <x:v>Sweden (Baltic)</x:v>
      </x:c>
      <x:c r="C47" s="24" t="str">
        <x:v>EEZ</x:v>
      </x:c>
      <x:c r="D47" s="30" t="n">
        <x:v>2019</x:v>
      </x:c>
      <x:c r="E47" s="24" t="str">
        <x:v>Scombridae</x:v>
      </x:c>
      <x:c r="F47" s="24" t="str">
        <x:v>Mackerels, tunas, bonitos</x:v>
      </x:c>
      <x:c r="G47" s="24" t="str">
        <x:v>Medium pelagics (30 - 89 cm)</x:v>
      </x:c>
      <x:c r="H47" s="24" t="str">
        <x:v>Perch-likes</x:v>
      </x:c>
      <x:c r="I47" s="31" t="n">
        <x:v>0.2279799022</x:v>
      </x:c>
      <x:c r="J47" s="31" t="n">
        <x:v>0.14929166359999999</x:v>
      </x:c>
      <x:c r="K47" s="31" t="n">
        <x:v>0.0786882386</x:v>
      </x:c>
      <x:c r="L47" s="31" t="n">
        <x:v>0</x:v>
      </x:c>
      <x:c r="M47" s="31" t="n">
        <x:v>0.2279799022</x:v>
      </x:c>
      <x:c r="N47" s="24" t="str">
        <x:v>scombridae</x:v>
      </x:c>
      <x:c r="O47" s="32" t="n">
        <x:v>4.26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Scombridae</x:v>
      </x:c>
      <x:c r="T47" s="32" t="n">
        <x:f>IF(O47="","",(1/'Metadata'!$B$5)^(O47-1))</x:f>
        <x:v>1819.7008586099826</x:v>
      </x:c>
      <x:c r="U47" s="31" t="n">
        <x:f>IF(T47="","",I47*T47)</x:f>
        <x:v>414.85522377915987</x:v>
      </x:c>
    </x:row>
    <x:row r="48" ht="18" customHeight="1">
      <x:c r="A48" s="24" t="str">
        <x:v>EEZ_914</x:v>
      </x:c>
      <x:c r="B48" s="24" t="str">
        <x:v>Sweden (Baltic)</x:v>
      </x:c>
      <x:c r="C48" s="24" t="str">
        <x:v>EEZ</x:v>
      </x:c>
      <x:c r="D48" s="30" t="n">
        <x:v>2019</x:v>
      </x:c>
      <x:c r="E48" s="24" t="str">
        <x:v>Scophthalmus rhombus</x:v>
      </x:c>
      <x:c r="F48" s="24" t="str">
        <x:v>Brill</x:v>
      </x:c>
      <x:c r="G48" s="24" t="str">
        <x:v>Small to medium flatfishes (&lt;90 cm)</x:v>
      </x:c>
      <x:c r="H48" s="24" t="str">
        <x:v>Flatfishes</x:v>
      </x:c>
      <x:c r="I48" s="31" t="n">
        <x:v>0.1699728795</x:v>
      </x:c>
      <x:c r="J48" s="31" t="n">
        <x:v>0.15495874520000003</x:v>
      </x:c>
      <x:c r="K48" s="31" t="n">
        <x:v>0.015014134299999999</x:v>
      </x:c>
      <x:c r="L48" s="31" t="n">
        <x:v>0.150661007</x:v>
      </x:c>
      <x:c r="M48" s="31" t="n">
        <x:v>0.0193118725</x:v>
      </x:c>
      <x:c r="N48" s="24" t="str">
        <x:v>scophthalmus rhombus</x:v>
      </x:c>
      <x:c r="O48" s="32" t="n">
        <x:v>4.42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Scophthalmus rhombus</x:v>
      </x:c>
      <x:c r="T48" s="32" t="n">
        <x:f>IF(O48="","",(1/'Metadata'!$B$5)^(O48-1))</x:f>
        <x:v>2630.2679918953813</x:v>
      </x:c>
      <x:c r="U48" s="31" t="n">
        <x:f>IF(T48="","",I48*T48)</x:f>
        <x:v>447.07422443914066</x:v>
      </x:c>
    </x:row>
    <x:row r="49" ht="18" customHeight="1">
      <x:c r="A49" s="24" t="str">
        <x:v>EEZ_914</x:v>
      </x:c>
      <x:c r="B49" s="24" t="str">
        <x:v>Sweden (Baltic)</x:v>
      </x:c>
      <x:c r="C49" s="24" t="str">
        <x:v>EEZ</x:v>
      </x:c>
      <x:c r="D49" s="30" t="n">
        <x:v>2019</x:v>
      </x:c>
      <x:c r="E49" s="24" t="str">
        <x:v>Hippoglossoides platessoides</x:v>
      </x:c>
      <x:c r="F49" s="24" t="str">
        <x:v>American plaice</x:v>
      </x:c>
      <x:c r="G49" s="24" t="str">
        <x:v>Small to medium flatfishes (&lt;90 cm)</x:v>
      </x:c>
      <x:c r="H49" s="24" t="str">
        <x:v>Flatfishes</x:v>
      </x:c>
      <x:c r="I49" s="31" t="n">
        <x:v>0.0589823249</x:v>
      </x:c>
      <x:c r="J49" s="31" t="n">
        <x:v>0.038622570200000005</x:v>
      </x:c>
      <x:c r="K49" s="31" t="n">
        <x:v>0.0203597547</x:v>
      </x:c>
      <x:c r="L49" s="31" t="n">
        <x:v>0</x:v>
      </x:c>
      <x:c r="M49" s="31" t="n">
        <x:v>0.0589823249</x:v>
      </x:c>
      <x:c r="N49" s="24" t="str">
        <x:v>hippoglossoides platessoides</x:v>
      </x:c>
      <x:c r="O49" s="32" t="n">
        <x:v>4.08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Hippoglossoides platessoides</x:v>
      </x:c>
      <x:c r="T49" s="32" t="n">
        <x:f>IF(O49="","",(1/'Metadata'!$B$5)^(O49-1))</x:f>
        <x:v>1202.2644346174131</x:v>
      </x:c>
      <x:c r="U49" s="31" t="n">
        <x:f>IF(T49="","",I49*T49)</x:f>
        <x:v>70.91235149831907</x:v>
      </x:c>
    </x:row>
    <x:row r="50" ht="18" customHeight="1">
      <x:c r="A50" s="24" t="str">
        <x:v>EEZ_914</x:v>
      </x:c>
      <x:c r="B50" s="24" t="str">
        <x:v>Sweden (Baltic)</x:v>
      </x:c>
      <x:c r="C50" s="24" t="str">
        <x:v>EEZ</x:v>
      </x:c>
      <x:c r="D50" s="30" t="n">
        <x:v>2019</x:v>
      </x:c>
      <x:c r="E50" s="24" t="str">
        <x:v>Silurus glanis</x:v>
      </x:c>
      <x:c r="F50" s="24" t="str">
        <x:v>Wels catfish</x:v>
      </x:c>
      <x:c r="G50" s="24" t="str">
        <x:v>Large demersals (&gt;=90 cm)</x:v>
      </x:c>
      <x:c r="H50" s="24" t="str">
        <x:v>Other fishes &amp; inverts</x:v>
      </x:c>
      <x:c r="I50" s="31" t="n">
        <x:v>0.0470437164</x:v>
      </x:c>
      <x:c r="J50" s="31" t="n">
        <x:v>0.0470437164</x:v>
      </x:c>
      <x:c r="K50" s="31" t="n">
        <x:v>0</x:v>
      </x:c>
      <x:c r="L50" s="31" t="n">
        <x:v>0.0121861698</x:v>
      </x:c>
      <x:c r="M50" s="31" t="n">
        <x:v>0.0348575466</x:v>
      </x:c>
      <x:c r="N50" s="24" t="str">
        <x:v>silurus glanis</x:v>
      </x:c>
      <x:c r="O50" s="32" t="n">
        <x:v>4.36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Silurus glanis</x:v>
      </x:c>
      <x:c r="T50" s="32" t="n">
        <x:f>IF(O50="","",(1/'Metadata'!$B$5)^(O50-1))</x:f>
        <x:v>2290.867652767775</x:v>
      </x:c>
      <x:c r="U50" s="31" t="n">
        <x:f>IF(T50="","",I50*T50)</x:f>
        <x:v>107.77092816674087</x:v>
      </x:c>
    </x:row>
    <x:row r="51" ht="18" customHeight="1">
      <x:c r="A51" s="24" t="str">
        <x:v>EEZ_914</x:v>
      </x:c>
      <x:c r="B51" s="24" t="str">
        <x:v>Sweden (Baltic)</x:v>
      </x:c>
      <x:c r="C51" s="24" t="str">
        <x:v>EEZ</x:v>
      </x:c>
      <x:c r="D51" s="30" t="n">
        <x:v>2019</x:v>
      </x:c>
      <x:c r="E51" s="24" t="str">
        <x:v>Petromyzontidae</x:v>
      </x:c>
      <x:c r="F51" s="24" t="str">
        <x:v>Lampreys</x:v>
      </x:c>
      <x:c r="G51" s="24" t="str">
        <x:v>Large demersals (&gt;=90 cm)</x:v>
      </x:c>
      <x:c r="H51" s="24" t="str">
        <x:v>Other fishes &amp; inverts</x:v>
      </x:c>
      <x:c r="I51" s="31" t="n">
        <x:v>0.0405843949</x:v>
      </x:c>
      <x:c r="J51" s="31" t="n">
        <x:v>0.0404496783</x:v>
      </x:c>
      <x:c r="K51" s="31" t="n">
        <x:v>0.0001347166</x:v>
      </x:c>
      <x:c r="L51" s="31" t="n">
        <x:v>0.0403149617</x:v>
      </x:c>
      <x:c r="M51" s="31" t="n">
        <x:v>0.0002694332</x:v>
      </x:c>
      <x:c r="N51" s="24" t="str">
        <x:v>petromyzontidae</x:v>
      </x:c>
      <x:c r="O51" s="32" t="n">
        <x:v>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Petromyzontidae</x:v>
      </x:c>
      <x:c r="T51" s="32" t="n">
        <x:f>IF(O51="","",(1/'Metadata'!$B$5)^(O51-1))</x:f>
        <x:v>1000</x:v>
      </x:c>
      <x:c r="U51" s="31" t="n">
        <x:f>IF(T51="","",I51*T51)</x:f>
        <x:v>40.5843949</x:v>
      </x:c>
    </x:row>
    <x:row r="52" ht="18" customHeight="1">
      <x:c r="A52" s="24" t="str">
        <x:v>EEZ_914</x:v>
      </x:c>
      <x:c r="B52" s="24" t="str">
        <x:v>Sweden (Baltic)</x:v>
      </x:c>
      <x:c r="C52" s="24" t="str">
        <x:v>EEZ</x:v>
      </x:c>
      <x:c r="D52" s="30" t="n">
        <x:v>2019</x:v>
      </x:c>
      <x:c r="E52" s="24" t="str">
        <x:v>Buccinum undatum</x:v>
      </x:c>
      <x:c r="F52" s="24" t="str">
        <x:v>Whelk</x:v>
      </x:c>
      <x:c r="G52" s="24" t="str">
        <x:v>Other demersal invertebrates</x:v>
      </x:c>
      <x:c r="H52" s="24" t="str">
        <x:v>Molluscs</x:v>
      </x:c>
      <x:c r="I52" s="31" t="n">
        <x:v>0.036196954600000004</x:v>
      </x:c>
      <x:c r="J52" s="31" t="n">
        <x:v>0.023913582300000003</x:v>
      </x:c>
      <x:c r="K52" s="31" t="n">
        <x:v>0.0122833723</x:v>
      </x:c>
      <x:c r="L52" s="31" t="n">
        <x:v>0</x:v>
      </x:c>
      <x:c r="M52" s="31" t="n">
        <x:v>0.036196954600000004</x:v>
      </x:c>
      <x:c r="N52" s="24" t="str">
        <x:v>buccinum undatum</x:v>
      </x:c>
      <x:c r="O52" s="32" t="n">
        <x:v>3.75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Buccinum undatum</x:v>
      </x:c>
      <x:c r="T52" s="32" t="n">
        <x:f>IF(O52="","",(1/'Metadata'!$B$5)^(O52-1))</x:f>
        <x:v>562.341325190349</x:v>
      </x:c>
      <x:c r="U52" s="31" t="n">
        <x:f>IF(T52="","",I52*T52)</x:f>
        <x:v>20.3550434176189</x:v>
      </x:c>
    </x:row>
    <x:row r="53" ht="18" customHeight="1">
      <x:c r="A53" s="24" t="str">
        <x:v>EEZ_914</x:v>
      </x:c>
      <x:c r="B53" s="24" t="str">
        <x:v>Sweden (Baltic)</x:v>
      </x:c>
      <x:c r="C53" s="24" t="str">
        <x:v>EEZ</x:v>
      </x:c>
      <x:c r="D53" s="30" t="n">
        <x:v>2019</x:v>
      </x:c>
      <x:c r="E53" s="24" t="str">
        <x:v>Merluccius merluccius</x:v>
      </x:c>
      <x:c r="F53" s="24" t="str">
        <x:v>European hake</x:v>
      </x:c>
      <x:c r="G53" s="24" t="str">
        <x:v>Large demersals (&gt;=90 cm)</x:v>
      </x:c>
      <x:c r="H53" s="24" t="str">
        <x:v>Cod-likes</x:v>
      </x:c>
      <x:c r="I53" s="31" t="n">
        <x:v>0.0220057645</x:v>
      </x:c>
      <x:c r="J53" s="31" t="n">
        <x:v>0.0135989829</x:v>
      </x:c>
      <x:c r="K53" s="31" t="n">
        <x:v>0.0084067816</x:v>
      </x:c>
      <x:c r="L53" s="31" t="n">
        <x:v>0</x:v>
      </x:c>
      <x:c r="M53" s="31" t="n">
        <x:v>0.0220057645</x:v>
      </x:c>
      <x:c r="N53" s="24" t="str">
        <x:v>merluccius merluccius</x:v>
      </x:c>
      <x:c r="O53" s="32" t="n">
        <x:v>4.42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Merluccius merluccius</x:v>
      </x:c>
      <x:c r="T53" s="32" t="n">
        <x:f>IF(O53="","",(1/'Metadata'!$B$5)^(O53-1))</x:f>
        <x:v>2630.2679918953813</x:v>
      </x:c>
      <x:c r="U53" s="31" t="n">
        <x:f>IF(T53="","",I53*T53)</x:f>
        <x:v>57.881058001537674</x:v>
      </x:c>
    </x:row>
    <x:row r="54" ht="18" customHeight="1">
      <x:c r="A54" s="24" t="str">
        <x:v>EEZ_914</x:v>
      </x:c>
      <x:c r="B54" s="24" t="str">
        <x:v>Sweden (Baltic)</x:v>
      </x:c>
      <x:c r="C54" s="24" t="str">
        <x:v>EEZ</x:v>
      </x:c>
      <x:c r="D54" s="30" t="n">
        <x:v>2019</x:v>
      </x:c>
      <x:c r="E54" s="24" t="str">
        <x:v>Solea solea</x:v>
      </x:c>
      <x:c r="F54" s="24" t="str">
        <x:v>Common sole</x:v>
      </x:c>
      <x:c r="G54" s="24" t="str">
        <x:v>Small to medium flatfishes (&lt;90 cm)</x:v>
      </x:c>
      <x:c r="H54" s="24" t="str">
        <x:v>Flatfishes</x:v>
      </x:c>
      <x:c r="I54" s="31" t="n">
        <x:v>0.0111672926</x:v>
      </x:c>
      <x:c r="J54" s="31" t="n">
        <x:v>0.0075500893</x:v>
      </x:c>
      <x:c r="K54" s="31" t="n">
        <x:v>0.0036172033</x:v>
      </x:c>
      <x:c r="L54" s="31" t="n">
        <x:v>0.0041304647</x:v>
      </x:c>
      <x:c r="M54" s="31" t="n">
        <x:v>0.0070368279</x:v>
      </x:c>
      <x:c r="N54" s="24" t="str">
        <x:v>solea solea</x:v>
      </x:c>
      <x:c r="O54" s="32" t="n">
        <x:v>3.21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Solea solea</x:v>
      </x:c>
      <x:c r="T54" s="32" t="n">
        <x:f>IF(O54="","",(1/'Metadata'!$B$5)^(O54-1))</x:f>
        <x:v>162.18100973589299</x:v>
      </x:c>
      <x:c r="U54" s="31" t="n">
        <x:f>IF(T54="","",I54*T54)</x:f>
        <x:v>1.8111227898841658</x:v>
      </x:c>
    </x:row>
    <x:row r="55" ht="18" customHeight="1">
      <x:c r="A55" s="24" t="str">
        <x:v>EEZ_914</x:v>
      </x:c>
      <x:c r="B55" s="24" t="str">
        <x:v>Sweden (Baltic)</x:v>
      </x:c>
      <x:c r="C55" s="24" t="str">
        <x:v>EEZ</x:v>
      </x:c>
      <x:c r="D55" s="30" t="n">
        <x:v>2019</x:v>
      </x:c>
      <x:c r="E55" s="24" t="str">
        <x:v>Melanogrammus aeglefinus</x:v>
      </x:c>
      <x:c r="F55" s="24" t="str">
        <x:v>Haddock</x:v>
      </x:c>
      <x:c r="G55" s="24" t="str">
        <x:v>Medium demersals (30 - 89 cm)</x:v>
      </x:c>
      <x:c r="H55" s="24" t="str">
        <x:v>Cod-likes</x:v>
      </x:c>
      <x:c r="I55" s="31" t="n">
        <x:v>0.009208280999999999</x:v>
      </x:c>
      <x:c r="J55" s="31" t="n">
        <x:v>0.005881378299999999</x:v>
      </x:c>
      <x:c r="K55" s="31" t="n">
        <x:v>0.0033269027</x:v>
      </x:c>
      <x:c r="L55" s="31" t="n">
        <x:v>0.000354792</x:v>
      </x:c>
      <x:c r="M55" s="31" t="n">
        <x:v>0.008853488999999999</x:v>
      </x:c>
      <x:c r="N55" s="24" t="str">
        <x:v>melanogrammus aeglefinus</x:v>
      </x:c>
      <x:c r="O55" s="32" t="n">
        <x:v>4.03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Melanogrammus aeglefinus</x:v>
      </x:c>
      <x:c r="T55" s="32" t="n">
        <x:f>IF(O55="","",(1/'Metadata'!$B$5)^(O55-1))</x:f>
        <x:v>1071.519305237607</x:v>
      </x:c>
      <x:c r="U55" s="31" t="n">
        <x:f>IF(T55="","",I55*T55)</x:f>
        <x:v>9.866850859552656</x:v>
      </x:c>
    </x:row>
    <x:row r="56" ht="18" customHeight="1">
      <x:c r="A56" s="24" t="str">
        <x:v>EEZ_914</x:v>
      </x:c>
      <x:c r="B56" s="24" t="str">
        <x:v>Sweden (Baltic)</x:v>
      </x:c>
      <x:c r="C56" s="24" t="str">
        <x:v>EEZ</x:v>
      </x:c>
      <x:c r="D56" s="30" t="n">
        <x:v>2019</x:v>
      </x:c>
      <x:c r="E56" s="24" t="str">
        <x:v>Salmonidae</x:v>
      </x:c>
      <x:c r="F56" s="24" t="str">
        <x:v>Salmonids</x:v>
      </x:c>
      <x:c r="G56" s="24" t="str">
        <x:v>Large benthopelagics (&gt;=90 cm)</x:v>
      </x:c>
      <x:c r="H56" s="24" t="str">
        <x:v>Salmon, smelts, etc</x:v>
      </x:c>
      <x:c r="I56" s="31" t="n">
        <x:v>0.0090855169</x:v>
      </x:c>
      <x:c r="J56" s="31" t="n">
        <x:v>0.008995610099999999</x:v>
      </x:c>
      <x:c r="K56" s="31" t="n">
        <x:v>0.0000899068</x:v>
      </x:c>
      <x:c r="L56" s="31" t="n">
        <x:v>0.008820648</x:v>
      </x:c>
      <x:c r="M56" s="31" t="n">
        <x:v>0.0002648689</x:v>
      </x:c>
      <x:c r="N56" s="24" t="str">
        <x:v>salmonidae</x:v>
      </x:c>
      <x:c r="O56" s="32" t="n">
        <x:v>3.3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Salmonidae</x:v>
      </x:c>
      <x:c r="T56" s="32" t="n">
        <x:f>IF(O56="","",(1/'Metadata'!$B$5)^(O56-1))</x:f>
        <x:v>199.52623149688787</x:v>
      </x:c>
      <x:c r="U56" s="31" t="n">
        <x:f>IF(T56="","",I56*T56)</x:f>
        <x:v>1.8127989482582871</x:v>
      </x:c>
    </x:row>
    <x:row r="57" ht="18" customHeight="1">
      <x:c r="A57" s="24" t="str">
        <x:v>EEZ_914</x:v>
      </x:c>
      <x:c r="B57" s="24" t="str">
        <x:v>Sweden (Baltic)</x:v>
      </x:c>
      <x:c r="C57" s="24" t="str">
        <x:v>EEZ</x:v>
      </x:c>
      <x:c r="D57" s="30" t="n">
        <x:v>2019</x:v>
      </x:c>
      <x:c r="E57" s="24" t="str">
        <x:v>Anarhichas lupus</x:v>
      </x:c>
      <x:c r="F57" s="24" t="str">
        <x:v>Atlantic wolffish</x:v>
      </x:c>
      <x:c r="G57" s="24" t="str">
        <x:v>Large demersals (&gt;=90 cm)</x:v>
      </x:c>
      <x:c r="H57" s="24" t="str">
        <x:v>Perch-likes</x:v>
      </x:c>
      <x:c r="I57" s="31" t="n">
        <x:v>0.0058268489</x:v>
      </x:c>
      <x:c r="J57" s="31" t="n">
        <x:v>0.0039502621</x:v>
      </x:c>
      <x:c r="K57" s="31" t="n">
        <x:v>0.0018765868</x:v>
      </x:c>
      <x:c r="L57" s="31" t="n">
        <x:v>0</x:v>
      </x:c>
      <x:c r="M57" s="31" t="n">
        <x:v>0.0058268489</x:v>
      </x:c>
      <x:c r="N57" s="24" t="str">
        <x:v>anarhichas lupus</x:v>
      </x:c>
      <x:c r="O57" s="32" t="n">
        <x:v>3.55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Anarhichas lupus</x:v>
      </x:c>
      <x:c r="T57" s="32" t="n">
        <x:f>IF(O57="","",(1/'Metadata'!$B$5)^(O57-1))</x:f>
        <x:v>354.8133892335753</x:v>
      </x:c>
      <x:c r="U57" s="31" t="n">
        <x:f>IF(T57="","",I57*T57)</x:f>
        <x:v>2.06744400676093</x:v>
      </x:c>
    </x:row>
    <x:row r="58" ht="18" customHeight="1">
      <x:c r="A58" s="24" t="str">
        <x:v>EEZ_914</x:v>
      </x:c>
      <x:c r="B58" s="24" t="str">
        <x:v>Sweden (Baltic)</x:v>
      </x:c>
      <x:c r="C58" s="24" t="str">
        <x:v>EEZ</x:v>
      </x:c>
      <x:c r="D58" s="30" t="n">
        <x:v>2019</x:v>
      </x:c>
      <x:c r="E58" s="24" t="str">
        <x:v>Mugilidae</x:v>
      </x:c>
      <x:c r="F58" s="24" t="str">
        <x:v>Mullets, grey mullets</x:v>
      </x:c>
      <x:c r="G58" s="24" t="str">
        <x:v>Medium reef assoc. fish (30 - 89 cm)</x:v>
      </x:c>
      <x:c r="H58" s="24" t="str">
        <x:v>Perch-likes</x:v>
      </x:c>
      <x:c r="I58" s="31" t="n">
        <x:v>0.0039374486</x:v>
      </x:c>
      <x:c r="J58" s="31" t="n">
        <x:v>0.0014737186</x:v>
      </x:c>
      <x:c r="K58" s="31" t="n">
        <x:v>0.00246373</x:v>
      </x:c>
      <x:c r="L58" s="31" t="n">
        <x:v>0</x:v>
      </x:c>
      <x:c r="M58" s="31" t="n">
        <x:v>0.0039374486</x:v>
      </x:c>
      <x:c r="N58" s="24" t="str">
        <x:v>mugilidae</x:v>
      </x:c>
      <x:c r="O58" s="32" t="n">
        <x:v>2.53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Mugilidae</x:v>
      </x:c>
      <x:c r="T58" s="32" t="n">
        <x:f>IF(O58="","",(1/'Metadata'!$B$5)^(O58-1))</x:f>
        <x:v>33.88441561392024</x:v>
      </x:c>
      <x:c r="U58" s="31" t="n">
        <x:f>IF(T58="","",I58*T58)</x:f>
        <x:v>0.13341814482084838</x:v>
      </x:c>
    </x:row>
    <x:row r="59" ht="18" customHeight="1">
      <x:c r="A59" s="24" t="str">
        <x:v>EEZ_914</x:v>
      </x:c>
      <x:c r="B59" s="24" t="str">
        <x:v>Sweden (Baltic)</x:v>
      </x:c>
      <x:c r="C59" s="24" t="str">
        <x:v>EEZ</x:v>
      </x:c>
      <x:c r="D59" s="30" t="n">
        <x:v>2019</x:v>
      </x:c>
      <x:c r="E59" s="24" t="str">
        <x:v>Pollachius pollachius</x:v>
      </x:c>
      <x:c r="F59" s="24" t="str">
        <x:v>Pollack</x:v>
      </x:c>
      <x:c r="G59" s="24" t="str">
        <x:v>Large benthopelagics (&gt;=90 cm)</x:v>
      </x:c>
      <x:c r="H59" s="24" t="str">
        <x:v>Cod-likes</x:v>
      </x:c>
      <x:c r="I59" s="31" t="n">
        <x:v>0.00331417</x:v>
      </x:c>
      <x:c r="J59" s="31" t="n">
        <x:v>0.002046285</x:v>
      </x:c>
      <x:c r="K59" s="31" t="n">
        <x:v>0.001267885</x:v>
      </x:c>
      <x:c r="L59" s="31" t="n">
        <x:v>0</x:v>
      </x:c>
      <x:c r="M59" s="31" t="n">
        <x:v>0.00331417</x:v>
      </x:c>
      <x:c r="N59" s="24" t="str">
        <x:v>pollachius pollachius</x:v>
      </x:c>
      <x:c r="O59" s="32" t="n">
        <x:v>4.32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Pollachius pollachius</x:v>
      </x:c>
      <x:c r="T59" s="32" t="n">
        <x:f>IF(O59="","",(1/'Metadata'!$B$5)^(O59-1))</x:f>
        <x:v>2089.2961308540407</x:v>
      </x:c>
      <x:c r="U59" s="31" t="n">
        <x:f>IF(T59="","",I59*T59)</x:f>
        <x:v>6.9242825579925364</x:v>
      </x:c>
    </x:row>
    <x:row r="60" ht="18" customHeight="1">
      <x:c r="A60" s="24" t="str">
        <x:v>EEZ_914</x:v>
      </x:c>
      <x:c r="B60" s="24" t="str">
        <x:v>Sweden (Baltic)</x:v>
      </x:c>
      <x:c r="C60" s="24" t="str">
        <x:v>EEZ</x:v>
      </x:c>
      <x:c r="D60" s="30" t="n">
        <x:v>2019</x:v>
      </x:c>
      <x:c r="E60" s="24" t="str">
        <x:v>Acipenseridae</x:v>
      </x:c>
      <x:c r="F60" s="24" t="str">
        <x:v>Sturgeons</x:v>
      </x:c>
      <x:c r="G60" s="24" t="str">
        <x:v>Large demersals (&gt;=90 cm)</x:v>
      </x:c>
      <x:c r="H60" s="24" t="str">
        <x:v>Other fishes &amp; inverts</x:v>
      </x:c>
      <x:c r="I60" s="31" t="n">
        <x:v>0.0014820407</x:v>
      </x:c>
      <x:c r="J60" s="31" t="n">
        <x:v>0.0014803957</x:v>
      </x:c>
      <x:c r="K60" s="31" t="n">
        <x:v>0.000001645</x:v>
      </x:c>
      <x:c r="L60" s="31" t="n">
        <x:v>0</x:v>
      </x:c>
      <x:c r="M60" s="31" t="n">
        <x:v>0.0014820407</x:v>
      </x:c>
      <x:c r="N60" s="24" t="str">
        <x:v>acipenseridae</x:v>
      </x:c>
      <x:c r="O60" s="32" t="n">
        <x:v>3.6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Acipenseridae</x:v>
      </x:c>
      <x:c r="T60" s="32" t="n">
        <x:f>IF(O60="","",(1/'Metadata'!$B$5)^(O60-1))</x:f>
        <x:v>398.1071705534973</x:v>
      </x:c>
      <x:c r="U60" s="31" t="n">
        <x:f>IF(T60="","",I60*T60)</x:f>
        <x:v>0.5900110297221246</x:v>
      </x:c>
    </x:row>
    <x:row r="61" ht="18" customHeight="1">
      <x:c r="A61" s="24" t="str">
        <x:v>EEZ_914</x:v>
      </x:c>
      <x:c r="B61" s="24" t="str">
        <x:v>Sweden (Baltic)</x:v>
      </x:c>
      <x:c r="C61" s="24" t="str">
        <x:v>EEZ</x:v>
      </x:c>
      <x:c r="D61" s="30" t="n">
        <x:v>2019</x:v>
      </x:c>
      <x:c r="E61" s="24" t="str">
        <x:v>Salvelinus</x:v>
      </x:c>
      <x:c r="F61" s="24" t="str">
        <x:v>Chars</x:v>
      </x:c>
      <x:c r="G61" s="24" t="str">
        <x:v>Large benthopelagics (&gt;=90 cm)</x:v>
      </x:c>
      <x:c r="H61" s="24" t="str">
        <x:v>Salmon, smelts, etc</x:v>
      </x:c>
      <x:c r="I61" s="31" t="n">
        <x:v>0.0005359</x:v>
      </x:c>
      <x:c r="J61" s="31" t="n">
        <x:v>0.0005359</x:v>
      </x:c>
      <x:c r="K61" s="31" t="n">
        <x:v>0</x:v>
      </x:c>
      <x:c r="L61" s="31" t="n">
        <x:v>0.0005359</x:v>
      </x:c>
      <x:c r="M61" s="31" t="n">
        <x:v>0</x:v>
      </x:c>
      <x:c r="N61" s="24" t="str">
        <x:v>salvelinus</x:v>
      </x:c>
      <x:c r="O61" s="32" t="n">
        <x:v>4.1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Salvelinus</x:v>
      </x:c>
      <x:c r="T61" s="32" t="n">
        <x:f>IF(O61="","",(1/'Metadata'!$B$5)^(O61-1))</x:f>
        <x:v>1258.9254117941662</x:v>
      </x:c>
      <x:c r="U61" s="31" t="n">
        <x:f>IF(T61="","",I61*T61)</x:f>
        <x:v>0.6746581281804936</x:v>
      </x:c>
    </x:row>
    <x:row r="62" ht="18" customHeight="1">
      <x:c r="A62" s="24" t="str">
        <x:v>EEZ_914</x:v>
      </x:c>
      <x:c r="B62" s="24" t="str">
        <x:v>Sweden (Baltic)</x:v>
      </x:c>
      <x:c r="C62" s="24" t="str">
        <x:v>EEZ</x:v>
      </x:c>
      <x:c r="D62" s="30" t="n">
        <x:v>2019</x:v>
      </x:c>
      <x:c r="E62" s="24" t="str">
        <x:v>Cyprinus carpio</x:v>
      </x:c>
      <x:c r="F62" s="24" t="str">
        <x:v>Common carp</x:v>
      </x:c>
      <x:c r="G62" s="24" t="str">
        <x:v>Large benthopelagics (&gt;=90 cm)</x:v>
      </x:c>
      <x:c r="H62" s="24" t="str">
        <x:v>Other fishes &amp; inverts</x:v>
      </x:c>
      <x:c r="I62" s="31" t="n">
        <x:v>0.0004919645</x:v>
      </x:c>
      <x:c r="J62" s="31" t="n">
        <x:v>0.0004199326</x:v>
      </x:c>
      <x:c r="K62" s="31" t="n">
        <x:v>0.00007203190000000001</x:v>
      </x:c>
      <x:c r="L62" s="31" t="n">
        <x:v>0.0002770793</x:v>
      </x:c>
      <x:c r="M62" s="31" t="n">
        <x:v>0.00021488520000000001</x:v>
      </x:c>
      <x:c r="N62" s="24" t="str">
        <x:v>cyprinus carpio</x:v>
      </x:c>
      <x:c r="O62" s="32" t="n">
        <x:v>3.06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Cyprinus carpio</x:v>
      </x:c>
      <x:c r="T62" s="32" t="n">
        <x:f>IF(O62="","",(1/'Metadata'!$B$5)^(O62-1))</x:f>
        <x:v>114.81536214968828</x:v>
      </x:c>
      <x:c r="U62" s="31" t="n">
        <x:f>IF(T62="","",I62*T62)</x:f>
        <x:v>0.05648508223229032</x:v>
      </x:c>
    </x:row>
    <x:row r="63" ht="18" customHeight="1">
      <x:c r="A63" s="24" t="str">
        <x:v>EEZ_914</x:v>
      </x:c>
      <x:c r="B63" s="24" t="str">
        <x:v>Sweden (Baltic)</x:v>
      </x:c>
      <x:c r="C63" s="24" t="str">
        <x:v>EEZ</x:v>
      </x:c>
      <x:c r="D63" s="30" t="n">
        <x:v>2019</x:v>
      </x:c>
      <x:c r="E63" s="24" t="str">
        <x:v>Microstomus kitt</x:v>
      </x:c>
      <x:c r="F63" s="24" t="str">
        <x:v>Lemon sole</x:v>
      </x:c>
      <x:c r="G63" s="24" t="str">
        <x:v>Small to medium flatfishes (&lt;90 cm)</x:v>
      </x:c>
      <x:c r="H63" s="24" t="str">
        <x:v>Flatfishes</x:v>
      </x:c>
      <x:c r="I63" s="31" t="n">
        <x:v>0.00037128300000000003</x:v>
      </x:c>
      <x:c r="J63" s="31" t="n">
        <x:v>0.0002292431</x:v>
      </x:c>
      <x:c r="K63" s="31" t="n">
        <x:v>0.0001420399</x:v>
      </x:c>
      <x:c r="L63" s="31" t="n">
        <x:v>0</x:v>
      </x:c>
      <x:c r="M63" s="31" t="n">
        <x:v>0.00037128300000000003</x:v>
      </x:c>
      <x:c r="N63" s="24" t="str">
        <x:v>microstomus kitt</x:v>
      </x:c>
      <x:c r="O63" s="32" t="n">
        <x:v>3.22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Microstomus kitt</x:v>
      </x:c>
      <x:c r="T63" s="32" t="n">
        <x:f>IF(O63="","",(1/'Metadata'!$B$5)^(O63-1))</x:f>
        <x:v>165.95869074375614</x:v>
      </x:c>
      <x:c r="U63" s="31" t="n">
        <x:f>IF(T63="","",I63*T63)</x:f>
        <x:v>0.061617640575414016</x:v>
      </x:c>
    </x:row>
    <x:row r="64" ht="18" customHeight="1">
      <x:c r="A64" s="24" t="str">
        <x:v>EEZ_914</x:v>
      </x:c>
      <x:c r="B64" s="24" t="str">
        <x:v>Sweden (Baltic)</x:v>
      </x:c>
      <x:c r="C64" s="24" t="str">
        <x:v>EEZ</x:v>
      </x:c>
      <x:c r="D64" s="30" t="n">
        <x:v>2019</x:v>
      </x:c>
      <x:c r="E64" s="24" t="str">
        <x:v>Belonidae</x:v>
      </x:c>
      <x:c r="F64" s="24" t="str">
        <x:v>Needlefishes, garfishes</x:v>
      </x:c>
      <x:c r="G64" s="24" t="str">
        <x:v>Medium pelagics (30 - 89 cm)</x:v>
      </x:c>
      <x:c r="H64" s="24" t="str">
        <x:v>Other fishes &amp; inverts</x:v>
      </x:c>
      <x:c r="I64" s="31" t="n">
        <x:v>0.00027421950000000003</x:v>
      </x:c>
      <x:c r="J64" s="31" t="n">
        <x:v>0.0001811636</x:v>
      </x:c>
      <x:c r="K64" s="31" t="n">
        <x:v>0.00009305589999999999</x:v>
      </x:c>
      <x:c r="L64" s="31" t="n">
        <x:v>0</x:v>
      </x:c>
      <x:c r="M64" s="31" t="n">
        <x:v>0.00027421950000000003</x:v>
      </x:c>
      <x:c r="N64" s="24" t="str">
        <x:v>belonidae</x:v>
      </x:c>
      <x:c r="O64" s="32" t="n">
        <x:v>4.38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Belonidae</x:v>
      </x:c>
      <x:c r="T64" s="32" t="n">
        <x:f>IF(O64="","",(1/'Metadata'!$B$5)^(O64-1))</x:f>
        <x:v>2398.83291901949</x:v>
      </x:c>
      <x:c r="U64" s="31" t="n">
        <x:f>IF(T64="","",I64*T64)</x:f>
        <x:v>0.6578067636370651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fb8f31a9bdc41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7</x:v>
      </x:c>
      <x:c r="C2" s="33" t="n">
        <x:v>7</x:v>
      </x:c>
      <x:c r="D2" s="31" t="n">
        <x:v>10192.122549402602</x:v>
      </x:c>
      <x:c r="E2" s="31" t="n">
        <x:v>10192.122549402602</x:v>
      </x:c>
      <x:c r="F2" s="32" t="n">
        <x:v>0</x:v>
      </x:c>
      <x:c r="G2" s="34" t="n">
        <x:v>1</x:v>
      </x:c>
      <x:c r="H2" s="32" t="n">
        <x:f>IF(E2=0,"",I2/E2)</x:f>
        <x:v>1301.312594176814</x:v>
      </x:c>
      <x:c r="I2" s="31" t="n">
        <x:f>IF(C2=0,"",SUMIF('Species'!$H$2:$H$64,A2,'Species'!$U$2:$U$64))</x:f>
        <x:v>13263137.434931103</x:v>
      </x:c>
      <x:c r="J2" s="32" t="n">
        <x:v>4.107984695914306</x:v>
      </x:c>
      <x:c r="K2" s="32" t="n">
        <x:f>IF(J2="","",(1/'Metadata'!$B$5)^(J2-1))</x:f>
        <x:v>1282.285395456629</x:v>
      </x:c>
      <x:c r="L2" s="31" t="n">
        <x:f>IF(E2=0,"",E2*K2)</x:f>
        <x:v>13069209.893803142</x:v>
      </x:c>
      <x:c r="M2" s="31" t="n">
        <x:f>IF(E2=0,"",I2-L2)</x:f>
        <x:v>193927.54112796113</x:v>
      </x:c>
      <x:c r="N2" s="32" t="n">
        <x:f>IF(L2=0,"",I2/L2)</x:f>
        <x:v>1.0148385053651876</x:v>
      </x:c>
      <x:c r="O2" s="34" t="n">
        <x:f>IF(L2=0,"",M2/L2)</x:f>
        <x:v>0.014838505365187627</x:v>
      </x:c>
    </x:row>
    <x:row r="3" ht="18" customHeight="1">
      <x:c r="A3" s="24" t="str">
        <x:v>Crustaceans</x:v>
      </x:c>
      <x:c r="B3" s="33" t="n">
        <x:v>1</x:v>
      </x:c>
      <x:c r="C3" s="33" t="n">
        <x:v>1</x:v>
      </x:c>
      <x:c r="D3" s="31" t="n">
        <x:v>0.5997398398</x:v>
      </x:c>
      <x:c r="E3" s="31" t="n">
        <x:v>0.5997398398</x:v>
      </x:c>
      <x:c r="F3" s="32" t="n">
        <x:v>0</x:v>
      </x:c>
      <x:c r="G3" s="34" t="n">
        <x:v>1</x:v>
      </x:c>
      <x:c r="H3" s="32" t="n">
        <x:f>IF(E3=0,"",I3/E3)</x:f>
        <x:v>39.810717055349734</x:v>
      </x:c>
      <x:c r="I3" s="31" t="n">
        <x:f>IF(C3=0,"",SUMIF('Species'!$H$2:$H$64,A3,'Species'!$U$2:$U$64))</x:f>
        <x:v>23.876073069098577</x:v>
      </x:c>
      <x:c r="J3" s="32" t="n">
        <x:v>2.6</x:v>
      </x:c>
      <x:c r="K3" s="32" t="n">
        <x:f>IF(J3="","",(1/'Metadata'!$B$5)^(J3-1))</x:f>
        <x:v>39.810717055349734</x:v>
      </x:c>
      <x:c r="L3" s="31" t="n">
        <x:f>IF(E3=0,"",E3*K3)</x:f>
        <x:v>23.876073069098577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Flatfishes</x:v>
      </x:c>
      <x:c r="B4" s="33" t="n">
        <x:v>9</x:v>
      </x:c>
      <x:c r="C4" s="33" t="n">
        <x:v>9</x:v>
      </x:c>
      <x:c r="D4" s="31" t="n">
        <x:v>9750.528311390799</x:v>
      </x:c>
      <x:c r="E4" s="31" t="n">
        <x:v>9750.528311390799</x:v>
      </x:c>
      <x:c r="F4" s="32" t="n">
        <x:v>0</x:v>
      </x:c>
      <x:c r="G4" s="34" t="n">
        <x:v>1</x:v>
      </x:c>
      <x:c r="H4" s="32" t="n">
        <x:f>IF(E4=0,"",I4/E4)</x:f>
        <x:v>448.8862085520372</x:v>
      </x:c>
      <x:c r="I4" s="31" t="n">
        <x:f>IF(C4=0,"",SUMIF('Species'!$H$2:$H$64,A4,'Species'!$U$2:$U$64))</x:f>
        <x:v>4376877.685079513</x:v>
      </x:c>
      <x:c r="J4" s="32" t="n">
        <x:v>3.469928730406017</x:v>
      </x:c>
      <x:c r="K4" s="32" t="n">
        <x:f>IF(J4="","",(1/'Metadata'!$B$5)^(J4-1))</x:f>
        <x:v>295.07249602644384</x:v>
      </x:c>
      <x:c r="L4" s="31" t="n">
        <x:f>IF(E4=0,"",E4*K4)</x:f>
        <x:v>2877112.7264185897</x:v>
      </x:c>
      <x:c r="M4" s="31" t="n">
        <x:f>IF(E4=0,"",I4-L4)</x:f>
        <x:v>1499764.9586609234</x:v>
      </x:c>
      <x:c r="N4" s="32" t="n">
        <x:f>IF(L4=0,"",I4/L4)</x:f>
        <x:v>1.5212743125737103</x:v>
      </x:c>
      <x:c r="O4" s="34" t="n">
        <x:f>IF(L4=0,"",M4/L4)</x:f>
        <x:v>0.5212743125737102</x:v>
      </x:c>
    </x:row>
    <x:row r="5" ht="18" customHeight="1">
      <x:c r="A5" s="24" t="str">
        <x:v>Herring-likes</x:v>
      </x:c>
      <x:c r="B5" s="33" t="n">
        <x:v>3</x:v>
      </x:c>
      <x:c r="C5" s="33" t="n">
        <x:v>3</x:v>
      </x:c>
      <x:c r="D5" s="31" t="n">
        <x:v>231017.2252508414</x:v>
      </x:c>
      <x:c r="E5" s="31" t="n">
        <x:v>231017.2252508414</x:v>
      </x:c>
      <x:c r="F5" s="32" t="n">
        <x:v>0</x:v>
      </x:c>
      <x:c r="G5" s="34" t="n">
        <x:v>1</x:v>
      </x:c>
      <x:c r="H5" s="32" t="n">
        <x:f>IF(E5=0,"",I5/E5)</x:f>
        <x:v>185.04941976792324</x:v>
      </x:c>
      <x:c r="I5" s="31" t="n">
        <x:f>IF(C5=0,"",SUMIF('Species'!$H$2:$H$64,A5,'Species'!$U$2:$U$64))</x:f>
        <x:v>42749603.48906383</x:v>
      </x:c>
      <x:c r="J5" s="32" t="n">
        <x:v>3.2324578085723727</x:v>
      </x:c>
      <x:c r="K5" s="32" t="n">
        <x:f>IF(J5="","",(1/'Metadata'!$B$5)^(J5-1))</x:f>
        <x:v>170.78817923900087</x:v>
      </x:c>
      <x:c r="L5" s="31" t="n">
        <x:f>IF(E5=0,"",E5*K5)</x:f>
        <x:v>39455011.27343734</x:v>
      </x:c>
      <x:c r="M5" s="31" t="n">
        <x:f>IF(E5=0,"",I5-L5)</x:f>
        <x:v>3294592.2156264856</x:v>
      </x:c>
      <x:c r="N5" s="32" t="n">
        <x:f>IF(L5=0,"",I5/L5)</x:f>
        <x:v>1.0835025034663857</x:v>
      </x:c>
      <x:c r="O5" s="34" t="n">
        <x:f>IF(L5=0,"",M5/L5)</x:f>
        <x:v>0.08350250346638563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0.036196954600000004</x:v>
      </x:c>
      <x:c r="E6" s="31" t="n">
        <x:v>0.036196954600000004</x:v>
      </x:c>
      <x:c r="F6" s="32" t="n">
        <x:v>0</x:v>
      </x:c>
      <x:c r="G6" s="34" t="n">
        <x:v>1</x:v>
      </x:c>
      <x:c r="H6" s="32" t="n">
        <x:f>IF(E6=0,"",I6/E6)</x:f>
        <x:v>562.341325190349</x:v>
      </x:c>
      <x:c r="I6" s="31" t="n">
        <x:f>IF(C6=0,"",SUMIF('Species'!$H$2:$H$64,A6,'Species'!$U$2:$U$64))</x:f>
        <x:v>20.3550434176189</x:v>
      </x:c>
      <x:c r="J6" s="32" t="n">
        <x:v>3.7499999999999996</x:v>
      </x:c>
      <x:c r="K6" s="32" t="n">
        <x:f>IF(J6="","",(1/'Metadata'!$B$5)^(J6-1))</x:f>
        <x:v>562.3413251903485</x:v>
      </x:c>
      <x:c r="L6" s="31" t="n">
        <x:f>IF(E6=0,"",E6*K6)</x:f>
        <x:v>20.355043417618884</x:v>
      </x:c>
      <x:c r="M6" s="31" t="n">
        <x:f>IF(E6=0,"",I6-L6)</x:f>
        <x:v>1.7763568394002505e-14</x:v>
      </x:c>
      <x:c r="N6" s="32" t="n">
        <x:f>IF(L6=0,"",I6/L6)</x:f>
        <x:v>1.0000000000000009</x:v>
      </x:c>
      <x:c r="O6" s="34" t="n">
        <x:f>IF(L6=0,"",M6/L6)</x:f>
        <x:v>8.726863426204606e-16</x:v>
      </x:c>
    </x:row>
    <x:row r="7" ht="18" customHeight="1">
      <x:c r="A7" s="24" t="str">
        <x:v>Other fishes &amp; inverts</x:v>
      </x:c>
      <x:c r="B7" s="33" t="n">
        <x:v>19</x:v>
      </x:c>
      <x:c r="C7" s="33" t="n">
        <x:v>19</x:v>
      </x:c>
      <x:c r="D7" s="31" t="n">
        <x:v>2122.4188115401003</x:v>
      </x:c>
      <x:c r="E7" s="31" t="n">
        <x:v>2122.4188115401003</x:v>
      </x:c>
      <x:c r="F7" s="32" t="n">
        <x:v>0</x:v>
      </x:c>
      <x:c r="G7" s="34" t="n">
        <x:v>1</x:v>
      </x:c>
      <x:c r="H7" s="32" t="n">
        <x:f>IF(E7=0,"",I7/E7)</x:f>
        <x:v>200.72751473557005</x:v>
      </x:c>
      <x:c r="I7" s="31" t="n">
        <x:f>IF(C7=0,"",SUMIF('Species'!$H$2:$H$64,A7,'Species'!$U$2:$U$64))</x:f>
        <x:v>426027.85326846654</x:v>
      </x:c>
      <x:c r="J7" s="32" t="n">
        <x:v>3.2034856350829823</x:v>
      </x:c>
      <x:c r="K7" s="32" t="n">
        <x:f>IF(J7="","",(1/'Metadata'!$B$5)^(J7-1))</x:f>
        <x:v>159.76646831185855</x:v>
      </x:c>
      <x:c r="L7" s="31" t="n">
        <x:f>IF(E7=0,"",E7*K7)</x:f>
        <x:v>339091.3577984139</x:v>
      </x:c>
      <x:c r="M7" s="31" t="n">
        <x:f>IF(E7=0,"",I7-L7)</x:f>
        <x:v>86936.49547005264</x:v>
      </x:c>
      <x:c r="N7" s="32" t="n">
        <x:f>IF(L7=0,"",I7/L7)</x:f>
        <x:v>1.2563807465766657</x:v>
      </x:c>
      <x:c r="O7" s="34" t="n">
        <x:f>IF(L7=0,"",M7/L7)</x:f>
        <x:v>0.25638074657666576</x:v>
      </x:c>
    </x:row>
    <x:row r="8" ht="18" customHeight="1">
      <x:c r="A8" s="24" t="str">
        <x:v>Perch-likes</x:v>
      </x:c>
      <x:c r="B8" s="33" t="n">
        <x:v>12</x:v>
      </x:c>
      <x:c r="C8" s="33" t="n">
        <x:v>12</x:v>
      </x:c>
      <x:c r="D8" s="31" t="n">
        <x:v>1609.4658131717001</x:v>
      </x:c>
      <x:c r="E8" s="31" t="n">
        <x:v>1609.4658131717001</x:v>
      </x:c>
      <x:c r="F8" s="32" t="n">
        <x:v>0</x:v>
      </x:c>
      <x:c r="G8" s="34" t="n">
        <x:v>1</x:v>
      </x:c>
      <x:c r="H8" s="32" t="n">
        <x:f>IF(E8=0,"",I8/E8)</x:f>
        <x:v>1677.1712821406743</x:v>
      </x:c>
      <x:c r="I8" s="31" t="n">
        <x:f>IF(C8=0,"",SUMIF('Species'!$H$2:$H$64,A8,'Species'!$U$2:$U$64))</x:f>
        <x:v>2699349.8414387633</x:v>
      </x:c>
      <x:c r="J8" s="32" t="n">
        <x:v>4.118161809234655</x:v>
      </x:c>
      <x:c r="K8" s="32" t="n">
        <x:f>IF(J8="","",(1/'Metadata'!$B$5)^(J8-1))</x:f>
        <x:v>1312.6888889311383</x:v>
      </x:c>
      <x:c r="L8" s="31" t="n">
        <x:f>IF(E8=0,"",E8*K8)</x:f>
        <x:v>2112727.89006501</x:v>
      </x:c>
      <x:c r="M8" s="31" t="n">
        <x:f>IF(E8=0,"",I8-L8)</x:f>
        <x:v>586621.9513737531</x:v>
      </x:c>
      <x:c r="N8" s="32" t="n">
        <x:f>IF(L8=0,"",I8/L8)</x:f>
        <x:v>1.2776609113423036</x:v>
      </x:c>
      <x:c r="O8" s="34" t="n">
        <x:f>IF(L8=0,"",M8/L8)</x:f>
        <x:v>0.2776609113423037</x:v>
      </x:c>
    </x:row>
    <x:row r="9" ht="18" customHeight="1">
      <x:c r="A9" s="24" t="str">
        <x:v>Salmon, smelts, etc</x:v>
      </x:c>
      <x:c r="B9" s="33" t="n">
        <x:v>9</x:v>
      </x:c>
      <x:c r="C9" s="33" t="n">
        <x:v>9</x:v>
      </x:c>
      <x:c r="D9" s="31" t="n">
        <x:v>3285.2537956323004</x:v>
      </x:c>
      <x:c r="E9" s="31" t="n">
        <x:v>3285.2537956323004</x:v>
      </x:c>
      <x:c r="F9" s="32" t="n">
        <x:v>0</x:v>
      </x:c>
      <x:c r="G9" s="34" t="n">
        <x:v>1</x:v>
      </x:c>
      <x:c r="H9" s="32" t="n">
        <x:f>IF(E9=0,"",I9/E9)</x:f>
        <x:v>634.3664906167318</x:v>
      </x:c>
      <x:c r="I9" s="31" t="n">
        <x:f>IF(C9=0,"",SUMIF('Species'!$H$2:$H$64,A9,'Species'!$U$2:$U$64))</x:f>
        <x:v>2084054.92112056</x:v>
      </x:c>
      <x:c r="J9" s="32" t="n">
        <x:v>3.5094083608069884</x:v>
      </x:c>
      <x:c r="K9" s="32" t="n">
        <x:f>IF(J9="","",(1/'Metadata'!$B$5)^(J9-1))</x:f>
        <x:v>323.153125560658</x:v>
      </x:c>
      <x:c r="L9" s="31" t="n">
        <x:f>IF(E9=0,"",E9*K9)</x:f>
        <x:v>1061640.032318593</x:v>
      </x:c>
      <x:c r="M9" s="31" t="n">
        <x:f>IF(E9=0,"",I9-L9)</x:f>
        <x:v>1022414.888801967</x:v>
      </x:c>
      <x:c r="N9" s="32" t="n">
        <x:f>IF(L9=0,"",I9/L9)</x:f>
        <x:v>1.9630523130981041</x:v>
      </x:c>
      <x:c r="O9" s="34" t="n">
        <x:f>IF(L9=0,"",M9/L9)</x:f>
        <x:v>0.9630523130981041</x:v>
      </x:c>
    </x:row>
    <x:row r="10" ht="18" customHeight="1">
      <x:c r="A10" s="24" t="str">
        <x:v>Scorpionfishes</x:v>
      </x:c>
      <x:c r="B10" s="33" t="n">
        <x:v>2</x:v>
      </x:c>
      <x:c r="C10" s="33" t="n">
        <x:v>2</x:v>
      </x:c>
      <x:c r="D10" s="31" t="n">
        <x:v>31.7719758261</x:v>
      </x:c>
      <x:c r="E10" s="31" t="n">
        <x:v>31.7719758261</x:v>
      </x:c>
      <x:c r="F10" s="32" t="n">
        <x:v>0</x:v>
      </x:c>
      <x:c r="G10" s="34" t="n">
        <x:v>1</x:v>
      </x:c>
      <x:c r="H10" s="32" t="n">
        <x:f>IF(E10=0,"",I10/E10)</x:f>
        <x:v>493.8784662910135</x:v>
      </x:c>
      <x:c r="I10" s="31" t="n">
        <x:f>IF(C10=0,"",SUMIF('Species'!$H$2:$H$64,A10,'Species'!$U$2:$U$64))</x:f>
        <x:v>15691.494692029426</x:v>
      </x:c>
      <x:c r="J10" s="32" t="n">
        <x:v>3.692862199385954</x:v>
      </x:c>
      <x:c r="K10" s="32" t="n">
        <x:f>IF(J10="","",(1/'Metadata'!$B$5)^(J10-1))</x:f>
        <x:v>493.01734589417447</x:v>
      </x:c>
      <x:c r="L10" s="31" t="n">
        <x:f>IF(E10=0,"",E10*K10)</x:f>
        <x:v>15664.135195597693</x:v>
      </x:c>
      <x:c r="M10" s="31" t="n">
        <x:f>IF(E10=0,"",I10-L10)</x:f>
        <x:v>27.359496431732623</x:v>
      </x:c>
      <x:c r="N10" s="32" t="n">
        <x:f>IF(L10=0,"",I10/L10)</x:f>
        <x:v>1.0017466330627318</x:v>
      </x:c>
      <x:c r="O10" s="34" t="n">
        <x:f>IF(L10=0,"",M10/L10)</x:f>
        <x:v>0.0017466330627318536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52e6248d3c54b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8</x:v>
      </x:c>
      <x:c r="C2" s="33" t="n">
        <x:v>8</x:v>
      </x:c>
      <x:c r="D2" s="31" t="n">
        <x:v>9842.6626217051</x:v>
      </x:c>
      <x:c r="E2" s="31" t="n">
        <x:v>9842.6626217051</x:v>
      </x:c>
      <x:c r="F2" s="32" t="n">
        <x:v>0</x:v>
      </x:c>
      <x:c r="G2" s="34" t="n">
        <x:v>1</x:v>
      </x:c>
      <x:c r="H2" s="32" t="n">
        <x:f>IF(E2=0,"",I2/E2)</x:f>
        <x:v>1298.321905514143</x:v>
      </x:c>
      <x:c r="I2" s="31" t="n">
        <x:f>IF(C2=0,"",SUMIF('Species'!$G$2:$G$64,A2,'Species'!$U$2:$U$64))</x:f>
        <x:v>12778944.490344996</x:v>
      </x:c>
      <x:c r="J2" s="32" t="n">
        <x:v>4.104441094796373</x:v>
      </x:c>
      <x:c r="K2" s="32" t="n">
        <x:f>IF(J2="","",(1/'Metadata'!$B$5)^(J2-1))</x:f>
        <x:v>1271.8652299074956</x:v>
      </x:c>
      <x:c r="L2" s="31" t="n">
        <x:f>IF(E2=0,"",E2*K2)</x:f>
        <x:v>12518540.35825687</x:v>
      </x:c>
      <x:c r="M2" s="31" t="n">
        <x:f>IF(E2=0,"",I2-L2)</x:f>
        <x:v>260404.13208812475</x:v>
      </x:c>
      <x:c r="N2" s="32" t="n">
        <x:f>IF(L2=0,"",I2/L2)</x:f>
        <x:v>1.0208014772198557</x:v>
      </x:c>
      <x:c r="O2" s="34" t="n">
        <x:f>IF(L2=0,"",M2/L2)</x:f>
        <x:v>0.02080147721985572</x:v>
      </x:c>
    </x:row>
    <x:row r="3" ht="18" customHeight="1">
      <x:c r="A3" s="24" t="str">
        <x:v>Large demersals (&gt;=90 cm)</x:v>
      </x:c>
      <x:c r="B3" s="33" t="n">
        <x:v>9</x:v>
      </x:c>
      <x:c r="C3" s="33" t="n">
        <x:v>9</x:v>
      </x:c>
      <x:c r="D3" s="31" t="n">
        <x:v>487.91844079059996</x:v>
      </x:c>
      <x:c r="E3" s="31" t="n">
        <x:v>487.91844079059996</x:v>
      </x:c>
      <x:c r="F3" s="32" t="n">
        <x:v>0</x:v>
      </x:c>
      <x:c r="G3" s="34" t="n">
        <x:v>1</x:v>
      </x:c>
      <x:c r="H3" s="32" t="n">
        <x:f>IF(E3=0,"",I3/E3)</x:f>
        <x:v>1012.1247083722109</x:v>
      </x:c>
      <x:c r="I3" s="31" t="n">
        <x:f>IF(C3=0,"",SUMIF('Species'!$G$2:$G$64,A3,'Species'!$U$2:$U$64))</x:f>
        <x:v>493834.30959460983</x:v>
      </x:c>
      <x:c r="J3" s="32" t="n">
        <x:v>3.9671299839569807</x:v>
      </x:c>
      <x:c r="K3" s="32" t="n">
        <x:f>IF(J3="","",(1/'Metadata'!$B$5)^(J3-1))</x:f>
        <x:v>927.1072642482593</x:v>
      </x:c>
      <x:c r="L3" s="31" t="n">
        <x:f>IF(E3=0,"",E3*K3)</x:f>
        <x:v>452352.7308176494</x:v>
      </x:c>
      <x:c r="M3" s="31" t="n">
        <x:f>IF(E3=0,"",I3-L3)</x:f>
        <x:v>41481.578776960436</x:v>
      </x:c>
      <x:c r="N3" s="32" t="n">
        <x:f>IF(L3=0,"",I3/L3)</x:f>
        <x:v>1.091701842281311</x:v>
      </x:c>
      <x:c r="O3" s="34" t="n">
        <x:f>IF(L3=0,"",M3/L3)</x:f>
        <x:v>0.09170184228131105</x:v>
      </x:c>
    </x:row>
    <x:row r="4" ht="18" customHeight="1">
      <x:c r="A4" s="24" t="str">
        <x:v>Large flatfishes (&gt;=90 cm)</x:v>
      </x:c>
      <x:c r="B4" s="33" t="n">
        <x:v>2</x:v>
      </x:c>
      <x:c r="C4" s="33" t="n">
        <x:v>2</x:v>
      </x:c>
      <x:c r="D4" s="31" t="n">
        <x:v>1242.5542132346</x:v>
      </x:c>
      <x:c r="E4" s="31" t="n">
        <x:v>1242.5542132346</x:v>
      </x:c>
      <x:c r="F4" s="32" t="n">
        <x:v>0</x:v>
      </x:c>
      <x:c r="G4" s="34" t="n">
        <x:v>1</x:v>
      </x:c>
      <x:c r="H4" s="32" t="n">
        <x:f>IF(E4=0,"",I4/E4)</x:f>
        <x:v>1775.699773776766</x:v>
      </x:c>
      <x:c r="I4" s="31" t="n">
        <x:f>IF(C4=0,"",SUMIF('Species'!$G$2:$G$64,A4,'Species'!$U$2:$U$64))</x:f>
        <x:v>2206403.2353460467</x:v>
      </x:c>
      <x:c r="J4" s="32" t="n">
        <x:v>4.0912886714923316</x:v>
      </x:c>
      <x:c r="K4" s="32" t="n">
        <x:f>IF(J4="","",(1/'Metadata'!$B$5)^(J4-1))</x:f>
        <x:v>1233.924738974537</x:v>
      </x:c>
      <x:c r="L4" s="31" t="n">
        <x:f>IF(E4=0,"",E4*K4)</x:f>
        <x:v>1533218.383227215</x:v>
      </x:c>
      <x:c r="M4" s="31" t="n">
        <x:f>IF(E4=0,"",I4-L4)</x:f>
        <x:v>673184.8521188318</x:v>
      </x:c>
      <x:c r="N4" s="32" t="n">
        <x:f>IF(L4=0,"",I4/L4)</x:f>
        <x:v>1.4390665149095525</x:v>
      </x:c>
      <x:c r="O4" s="34" t="n">
        <x:f>IF(L4=0,"",M4/L4)</x:f>
        <x:v>0.43906651490955245</x:v>
      </x:c>
    </x:row>
    <x:row r="5" ht="18" customHeight="1">
      <x:c r="A5" s="24" t="str">
        <x:v>Large pelagics (&gt;=90 cm)</x:v>
      </x:c>
      <x:c r="B5" s="33" t="n">
        <x:v>2</x:v>
      </x:c>
      <x:c r="C5" s="33" t="n">
        <x:v>2</x:v>
      </x:c>
      <x:c r="D5" s="31" t="n">
        <x:v>318.74067477250003</x:v>
      </x:c>
      <x:c r="E5" s="31" t="n">
        <x:v>318.74067477250003</x:v>
      </x:c>
      <x:c r="F5" s="32" t="n">
        <x:v>0</x:v>
      </x:c>
      <x:c r="G5" s="34" t="n">
        <x:v>1</x:v>
      </x:c>
      <x:c r="H5" s="32" t="n">
        <x:f>IF(E5=0,"",I5/E5)</x:f>
        <x:v>861.9691522338176</x:v>
      </x:c>
      <x:c r="I5" s="31" t="n">
        <x:f>IF(C5=0,"",SUMIF('Species'!$G$2:$G$64,A5,'Species'!$U$2:$U$64))</x:f>
        <x:v>274744.6292160868</x:v>
      </x:c>
      <x:c r="J5" s="32" t="n">
        <x:v>3.8561543402624068</x:v>
      </x:c>
      <x:c r="K5" s="32" t="n">
        <x:f>IF(J5="","",(1/'Metadata'!$B$5)^(J5-1))</x:f>
        <x:v>718.0494274787382</x:v>
      </x:c>
      <x:c r="L5" s="31" t="n">
        <x:f>IF(E5=0,"",E5*K5)</x:f>
        <x:v>228871.55903458034</x:v>
      </x:c>
      <x:c r="M5" s="31" t="n">
        <x:f>IF(E5=0,"",I5-L5)</x:f>
        <x:v>45873.07018150648</x:v>
      </x:c>
      <x:c r="N5" s="32" t="n">
        <x:f>IF(L5=0,"",I5/L5)</x:f>
        <x:v>1.2004315012970899</x:v>
      </x:c>
      <x:c r="O5" s="34" t="n">
        <x:f>IF(L5=0,"",M5/L5)</x:f>
        <x:v>0.20043150129708992</x:v>
      </x:c>
    </x:row>
    <x:row r="6" ht="18" customHeight="1">
      <x:c r="A6" s="24" t="str">
        <x:v>Lobsters, crabs</x:v>
      </x:c>
      <x:c r="B6" s="33" t="n">
        <x:v>1</x:v>
      </x:c>
      <x:c r="C6" s="33" t="n">
        <x:v>1</x:v>
      </x:c>
      <x:c r="D6" s="31" t="n">
        <x:v>0.5997398398</x:v>
      </x:c>
      <x:c r="E6" s="31" t="n">
        <x:v>0.5997398398</x:v>
      </x:c>
      <x:c r="F6" s="32" t="n">
        <x:v>0</x:v>
      </x:c>
      <x:c r="G6" s="34" t="n">
        <x:v>1</x:v>
      </x:c>
      <x:c r="H6" s="32" t="n">
        <x:f>IF(E6=0,"",I6/E6)</x:f>
        <x:v>39.810717055349734</x:v>
      </x:c>
      <x:c r="I6" s="31" t="n">
        <x:f>IF(C6=0,"",SUMIF('Species'!$G$2:$G$64,A6,'Species'!$U$2:$U$64))</x:f>
        <x:v>23.876073069098577</x:v>
      </x:c>
      <x:c r="J6" s="32" t="n">
        <x:v>2.6</x:v>
      </x:c>
      <x:c r="K6" s="32" t="n">
        <x:f>IF(J6="","",(1/'Metadata'!$B$5)^(J6-1))</x:f>
        <x:v>39.810717055349734</x:v>
      </x:c>
      <x:c r="L6" s="31" t="n">
        <x:f>IF(E6=0,"",E6*K6)</x:f>
        <x:v>23.876073069098577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benthopelagics (30 - 89 cm)</x:v>
      </x:c>
      <x:c r="B7" s="33" t="n">
        <x:v>5</x:v>
      </x:c>
      <x:c r="C7" s="33" t="n">
        <x:v>5</x:v>
      </x:c>
      <x:c r="D7" s="31" t="n">
        <x:v>1142.7188703673</x:v>
      </x:c>
      <x:c r="E7" s="31" t="n">
        <x:v>1142.7188703673</x:v>
      </x:c>
      <x:c r="F7" s="32" t="n">
        <x:v>0</x:v>
      </x:c>
      <x:c r="G7" s="34" t="n">
        <x:v>1</x:v>
      </x:c>
      <x:c r="H7" s="32" t="n">
        <x:f>IF(E7=0,"",I7/E7)</x:f>
        <x:v>1427.505162329593</x:v>
      </x:c>
      <x:c r="I7" s="31" t="n">
        <x:f>IF(C7=0,"",SUMIF('Species'!$G$2:$G$64,A7,'Species'!$U$2:$U$64))</x:f>
        <x:v>1631237.0865407619</x:v>
      </x:c>
      <x:c r="J7" s="32" t="n">
        <x:v>3.825061845968211</x:v>
      </x:c>
      <x:c r="K7" s="32" t="n">
        <x:f>IF(J7="","",(1/'Metadata'!$B$5)^(J7-1))</x:f>
        <x:v>668.4391002652998</x:v>
      </x:c>
      <x:c r="L7" s="31" t="n">
        <x:f>IF(E7=0,"",E7*K7)</x:f>
        <x:v>763837.9735644978</x:v>
      </x:c>
      <x:c r="M7" s="31" t="n">
        <x:f>IF(E7=0,"",I7-L7)</x:f>
        <x:v>867399.1129762641</x:v>
      </x:c>
      <x:c r="N7" s="32" t="n">
        <x:f>IF(L7=0,"",I7/L7)</x:f>
        <x:v>2.135579982922938</x:v>
      </x:c>
      <x:c r="O7" s="34" t="n">
        <x:f>IF(L7=0,"",M7/L7)</x:f>
        <x:v>1.1355799829229383</x:v>
      </x:c>
    </x:row>
    <x:row r="8" ht="18" customHeight="1">
      <x:c r="A8" s="24" t="str">
        <x:v>Medium demersals (30 - 89 cm)</x:v>
      </x:c>
      <x:c r="B8" s="33" t="n">
        <x:v>12</x:v>
      </x:c>
      <x:c r="C8" s="33" t="n">
        <x:v>12</x:v>
      </x:c>
      <x:c r="D8" s="31" t="n">
        <x:v>2435.4992674874</x:v>
      </x:c>
      <x:c r="E8" s="31" t="n">
        <x:v>2435.4992674874</x:v>
      </x:c>
      <x:c r="F8" s="32" t="n">
        <x:v>0</x:v>
      </x:c>
      <x:c r="G8" s="34" t="n">
        <x:v>1</x:v>
      </x:c>
      <x:c r="H8" s="32" t="n">
        <x:f>IF(E8=0,"",I8/E8)</x:f>
        <x:v>1060.9677210287155</x:v>
      </x:c>
      <x:c r="I8" s="31" t="n">
        <x:f>IF(C8=0,"",SUMIF('Species'!$G$2:$G$64,A8,'Species'!$U$2:$U$64))</x:f>
        <x:v>2583986.107393213</x:v>
      </x:c>
      <x:c r="J8" s="32" t="n">
        <x:v>3.697413039915137</x:v>
      </x:c>
      <x:c r="K8" s="32" t="n">
        <x:f>IF(J8="","",(1/'Metadata'!$B$5)^(J8-1))</x:f>
        <x:v>498.2106877642221</x:v>
      </x:c>
      <x:c r="L8" s="31" t="n">
        <x:f>IF(E8=0,"",E8*K8)</x:f>
        <x:v>1213391.7651041567</x:v>
      </x:c>
      <x:c r="M8" s="31" t="n">
        <x:f>IF(E8=0,"",I8-L8)</x:f>
        <x:v>1370594.3422890564</x:v>
      </x:c>
      <x:c r="N8" s="32" t="n">
        <x:f>IF(L8=0,"",I8/L8)</x:f>
        <x:v>2.1295563244336058</x:v>
      </x:c>
      <x:c r="O8" s="34" t="n">
        <x:f>IF(L8=0,"",M8/L8)</x:f>
        <x:v>1.1295563244336058</x:v>
      </x:c>
    </x:row>
    <x:row r="9" ht="18" customHeight="1">
      <x:c r="A9" s="24" t="str">
        <x:v>Medium pelagics (30 - 89 cm)</x:v>
      </x:c>
      <x:c r="B9" s="33" t="n">
        <x:v>9</x:v>
      </x:c>
      <x:c r="C9" s="33" t="n">
        <x:v>9</x:v>
      </x:c>
      <x:c r="D9" s="31" t="n">
        <x:v>141602.59868320887</x:v>
      </x:c>
      <x:c r="E9" s="31" t="n">
        <x:v>141602.59868320887</x:v>
      </x:c>
      <x:c r="F9" s="32" t="n">
        <x:v>0</x:v>
      </x:c>
      <x:c r="G9" s="34" t="n">
        <x:v>1</x:v>
      </x:c>
      <x:c r="H9" s="32" t="n">
        <x:f>IF(E9=0,"",I9/E9)</x:f>
        <x:v>240.07663910257835</x:v>
      </x:c>
      <x:c r="I9" s="31" t="n">
        <x:f>IF(C9=0,"",SUMIF('Species'!$G$2:$G$64,A9,'Species'!$U$2:$U$64))</x:f>
        <x:v>33995475.98005597</x:v>
      </x:c>
      <x:c r="J9" s="32" t="n">
        <x:v>3.3790526629801376</x:v>
      </x:c>
      <x:c r="K9" s="32" t="n">
        <x:f>IF(J9="","",(1/'Metadata'!$B$5)^(J9-1))</x:f>
        <x:v>239.36059898472558</x:v>
      </x:c>
      <x:c r="L9" s="31" t="n">
        <x:f>IF(E9=0,"",E9*K9)</x:f>
        <x:v>33894082.83860659</x:v>
      </x:c>
      <x:c r="M9" s="31" t="n">
        <x:f>IF(E9=0,"",I9-L9)</x:f>
        <x:v>101393.14144938439</x:v>
      </x:c>
      <x:c r="N9" s="32" t="n">
        <x:f>IF(L9=0,"",I9/L9)</x:f>
        <x:v>1.00299147027911</x:v>
      </x:c>
      <x:c r="O9" s="34" t="n">
        <x:f>IF(L9=0,"",M9/L9)</x:f>
        <x:v>0.002991470279110014</x:v>
      </x:c>
    </x:row>
    <x:row r="10" ht="18" customHeight="1">
      <x:c r="A10" s="24" t="str">
        <x:v>Medium reef assoc. fish (30 - 89 cm)</x:v>
      </x:c>
      <x:c r="B10" s="33" t="n">
        <x:v>1</x:v>
      </x:c>
      <x:c r="C10" s="33" t="n">
        <x:v>1</x:v>
      </x:c>
      <x:c r="D10" s="31" t="n">
        <x:v>0.0039374486</x:v>
      </x:c>
      <x:c r="E10" s="31" t="n">
        <x:v>0.0039374486</x:v>
      </x:c>
      <x:c r="F10" s="32" t="n">
        <x:v>0</x:v>
      </x:c>
      <x:c r="G10" s="34" t="n">
        <x:v>1</x:v>
      </x:c>
      <x:c r="H10" s="32" t="n">
        <x:f>IF(E10=0,"",I10/E10)</x:f>
        <x:v>33.88441561392024</x:v>
      </x:c>
      <x:c r="I10" s="31" t="n">
        <x:f>IF(C10=0,"",SUMIF('Species'!$G$2:$G$64,A10,'Species'!$U$2:$U$64))</x:f>
        <x:v>0.13341814482084838</x:v>
      </x:c>
      <x:c r="J10" s="32" t="n">
        <x:v>2.53</x:v>
      </x:c>
      <x:c r="K10" s="32" t="n">
        <x:f>IF(J10="","",(1/'Metadata'!$B$5)^(J10-1))</x:f>
        <x:v>33.88441561392024</x:v>
      </x:c>
      <x:c r="L10" s="31" t="n">
        <x:f>IF(E10=0,"",E10*K10)</x:f>
        <x:v>0.13341814482084838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Other demersal invertebrates</x:v>
      </x:c>
      <x:c r="B11" s="33" t="n">
        <x:v>1</x:v>
      </x:c>
      <x:c r="C11" s="33" t="n">
        <x:v>1</x:v>
      </x:c>
      <x:c r="D11" s="31" t="n">
        <x:v>0.036196954600000004</x:v>
      </x:c>
      <x:c r="E11" s="31" t="n">
        <x:v>0.036196954600000004</x:v>
      </x:c>
      <x:c r="F11" s="32" t="n">
        <x:v>0</x:v>
      </x:c>
      <x:c r="G11" s="34" t="n">
        <x:v>1</x:v>
      </x:c>
      <x:c r="H11" s="32" t="n">
        <x:f>IF(E11=0,"",I11/E11)</x:f>
        <x:v>562.341325190349</x:v>
      </x:c>
      <x:c r="I11" s="31" t="n">
        <x:f>IF(C11=0,"",SUMIF('Species'!$G$2:$G$64,A11,'Species'!$U$2:$U$64))</x:f>
        <x:v>20.3550434176189</x:v>
      </x:c>
      <x:c r="J11" s="32" t="n">
        <x:v>3.7499999999999996</x:v>
      </x:c>
      <x:c r="K11" s="32" t="n">
        <x:f>IF(J11="","",(1/'Metadata'!$B$5)^(J11-1))</x:f>
        <x:v>562.3413251903485</x:v>
      </x:c>
      <x:c r="L11" s="31" t="n">
        <x:f>IF(E11=0,"",E11*K11)</x:f>
        <x:v>20.355043417618884</x:v>
      </x:c>
      <x:c r="M11" s="31" t="n">
        <x:f>IF(E11=0,"",I11-L11)</x:f>
        <x:v>1.7763568394002505e-14</x:v>
      </x:c>
      <x:c r="N11" s="32" t="n">
        <x:f>IF(L11=0,"",I11/L11)</x:f>
        <x:v>1.0000000000000009</x:v>
      </x:c>
      <x:c r="O11" s="34" t="n">
        <x:f>IF(L11=0,"",M11/L11)</x:f>
        <x:v>8.726863426204606e-16</x:v>
      </x:c>
    </x:row>
    <x:row r="12" ht="18" customHeight="1">
      <x:c r="A12" s="24" t="str">
        <x:v>Small benthopelagics (&lt;30 cm)</x:v>
      </x:c>
      <x:c r="B12" s="33" t="n">
        <x:v>1</x:v>
      </x:c>
      <x:c r="C12" s="33" t="n">
        <x:v>1</x:v>
      </x:c>
      <x:c r="D12" s="31" t="n">
        <x:v>177.1203752114</x:v>
      </x:c>
      <x:c r="E12" s="31" t="n">
        <x:v>177.1203752114</x:v>
      </x:c>
      <x:c r="F12" s="32" t="n">
        <x:v>0</x:v>
      </x:c>
      <x:c r="G12" s="34" t="n">
        <x:v>1</x:v>
      </x:c>
      <x:c r="H12" s="32" t="n">
        <x:f>IF(E12=0,"",I12/E12)</x:f>
        <x:v>204.17379446695293</x:v>
      </x:c>
      <x:c r="I12" s="31" t="n">
        <x:f>IF(C12=0,"",SUMIF('Species'!$G$2:$G$64,A12,'Species'!$U$2:$U$64))</x:f>
        <x:v>36163.33908432197</x:v>
      </x:c>
      <x:c r="J12" s="32" t="n">
        <x:v>3.31</x:v>
      </x:c>
      <x:c r="K12" s="32" t="n">
        <x:f>IF(J12="","",(1/'Metadata'!$B$5)^(J12-1))</x:f>
        <x:v>204.17379446695296</x:v>
      </x:c>
      <x:c r="L12" s="31" t="n">
        <x:f>IF(E12=0,"",E12*K12)</x:f>
        <x:v>36163.33908432197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demersals (&lt;30 cm)</x:v>
      </x:c>
      <x:c r="B13" s="33" t="n">
        <x:v>2</x:v>
      </x:c>
      <x:c r="C13" s="33" t="n">
        <x:v>2</x:v>
      </x:c>
      <x:c r="D13" s="31" t="n">
        <x:v>38.2470898955</x:v>
      </x:c>
      <x:c r="E13" s="31" t="n">
        <x:v>38.2470898955</x:v>
      </x:c>
      <x:c r="F13" s="32" t="n">
        <x:v>0</x:v>
      </x:c>
      <x:c r="G13" s="34" t="n">
        <x:v>1</x:v>
      </x:c>
      <x:c r="H13" s="32" t="n">
        <x:f>IF(E13=0,"",I13/E13)</x:f>
        <x:v>135.50919623830782</x:v>
      </x:c>
      <x:c r="I13" s="31" t="n">
        <x:f>IF(C13=0,"",SUMIF('Species'!$G$2:$G$64,A13,'Species'!$U$2:$U$64))</x:f>
        <x:v>5182.8324101935095</x:v>
      </x:c>
      <x:c r="J13" s="32" t="n">
        <x:v>3.1213498264147432</x:v>
      </x:c>
      <x:c r="K13" s="32" t="n">
        <x:f>IF(J13="","",(1/'Metadata'!$B$5)^(J13-1))</x:f>
        <x:v>132.23603733111196</x:v>
      </x:c>
      <x:c r="L13" s="31" t="n">
        <x:f>IF(E13=0,"",E13*K13)</x:f>
        <x:v>5057.643607227733</x:v>
      </x:c>
      <x:c r="M13" s="31" t="n">
        <x:f>IF(E13=0,"",I13-L13)</x:f>
        <x:v>125.18880296577663</x:v>
      </x:c>
      <x:c r="N13" s="32" t="n">
        <x:f>IF(L13=0,"",I13/L13)</x:f>
        <x:v>1.0247523971018584</x:v>
      </x:c>
      <x:c r="O13" s="34" t="n">
        <x:f>IF(L13=0,"",M13/L13)</x:f>
        <x:v>0.024752397101858444</x:v>
      </x:c>
    </x:row>
    <x:row r="14" ht="18" customHeight="1">
      <x:c r="A14" s="24" t="str">
        <x:v>Small pelagics (&lt;30 cm)</x:v>
      </x:c>
      <x:c r="B14" s="33" t="n">
        <x:v>1</x:v>
      </x:c>
      <x:c r="C14" s="33" t="n">
        <x:v>1</x:v>
      </x:c>
      <x:c r="D14" s="31" t="n">
        <x:v>92133.1039552355</x:v>
      </x:c>
      <x:c r="E14" s="31" t="n">
        <x:v>92133.1039552355</x:v>
      </x:c>
      <x:c r="F14" s="32" t="n">
        <x:v>0</x:v>
      </x:c>
      <x:c r="G14" s="34" t="n">
        <x:v>1</x:v>
      </x:c>
      <x:c r="H14" s="32" t="n">
        <x:f>IF(E14=0,"",I14/E14)</x:f>
        <x:v>102.32929922807536</x:v>
      </x:c>
      <x:c r="I14" s="31" t="n">
        <x:f>IF(C14=0,"",SUMIF('Species'!$G$2:$G$64,A14,'Species'!$U$2:$U$64))</x:f>
        <x:v>9427915.963446667</x:v>
      </x:c>
      <x:c r="J14" s="32" t="n">
        <x:v>3.01</x:v>
      </x:c>
      <x:c r="K14" s="32" t="n">
        <x:f>IF(J14="","",(1/'Metadata'!$B$5)^(J14-1))</x:f>
        <x:v>102.32929922807536</x:v>
      </x:c>
      <x:c r="L14" s="31" t="n">
        <x:f>IF(E14=0,"",E14*K14)</x:f>
        <x:v>9427915.963446667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reef assoc. fish (&lt;30 cm)</x:v>
      </x:c>
      <x:c r="B15" s="33" t="n">
        <x:v>2</x:v>
      </x:c>
      <x:c r="C15" s="33" t="n">
        <x:v>2</x:v>
      </x:c>
      <x:c r="D15" s="31" t="n">
        <x:v>79.64428029140001</x:v>
      </x:c>
      <x:c r="E15" s="31" t="n">
        <x:v>79.64428029140001</x:v>
      </x:c>
      <x:c r="F15" s="32" t="n">
        <x:v>0</x:v>
      </x:c>
      <x:c r="G15" s="34" t="n">
        <x:v>1</x:v>
      </x:c>
      <x:c r="H15" s="32" t="n">
        <x:f>IF(E15=0,"",I15/E15)</x:f>
        <x:v>130.331556413147</x:v>
      </x:c>
      <x:c r="I15" s="31" t="n">
        <x:f>IF(C15=0,"",SUMIF('Species'!$G$2:$G$64,A15,'Species'!$U$2:$U$64))</x:f>
        <x:v>10380.163009783093</x:v>
      </x:c>
      <x:c r="J15" s="32" t="n">
        <x:v>3.1136627807313046</x:v>
      </x:c>
      <x:c r="K15" s="32" t="n">
        <x:f>IF(J15="","",(1/'Metadata'!$B$5)^(J15-1))</x:f>
        <x:v>129.91604193249808</x:v>
      </x:c>
      <x:c r="L15" s="31" t="n">
        <x:f>IF(E15=0,"",E15*K15)</x:f>
        <x:v>10347.069658021153</x:v>
      </x:c>
      <x:c r="M15" s="31" t="n">
        <x:f>IF(E15=0,"",I15-L15)</x:f>
        <x:v>33.09335176193963</x:v>
      </x:c>
      <x:c r="N15" s="32" t="n">
        <x:f>IF(L15=0,"",I15/L15)</x:f>
        <x:v>1.0031983308178742</x:v>
      </x:c>
      <x:c r="O15" s="34" t="n">
        <x:f>IF(L15=0,"",M15/L15)</x:f>
        <x:v>0.003198330817874153</x:v>
      </x:c>
    </x:row>
    <x:row r="16" ht="18" customHeight="1">
      <x:c r="A16" s="24" t="str">
        <x:v>Small to medium flatfishes (&lt;90 cm)</x:v>
      </x:c>
      <x:c r="B16" s="33" t="n">
        <x:v>7</x:v>
      </x:c>
      <x:c r="C16" s="33" t="n">
        <x:v>7</x:v>
      </x:c>
      <x:c r="D16" s="31" t="n">
        <x:v>8507.974098156197</x:v>
      </x:c>
      <x:c r="E16" s="31" t="n">
        <x:v>8507.974098156197</x:v>
      </x:c>
      <x:c r="F16" s="32" t="n">
        <x:v>0</x:v>
      </x:c>
      <x:c r="G16" s="34" t="n">
        <x:v>1</x:v>
      </x:c>
      <x:c r="H16" s="32" t="n">
        <x:f>IF(E16=0,"",I16/E16)</x:f>
        <x:v>255.11060855296193</x:v>
      </x:c>
      <x:c r="I16" s="31" t="n">
        <x:f>IF(C16=0,"",SUMIF('Species'!$G$2:$G$64,A16,'Species'!$U$2:$U$64))</x:f>
        <x:v>2170474.449733465</x:v>
      </x:c>
      <x:c r="J16" s="32" t="n">
        <x:v>3.3791816966439705</x:v>
      </x:c>
      <x:c r="K16" s="32" t="n">
        <x:f>IF(J16="","",(1/'Metadata'!$B$5)^(J16-1))</x:f>
        <x:v>239.43172621527478</x:v>
      </x:c>
      <x:c r="L16" s="31" t="n">
        <x:f>IF(E16=0,"",E16*K16)</x:f>
        <x:v>2037078.924916384</x:v>
      </x:c>
      <x:c r="M16" s="31" t="n">
        <x:f>IF(E16=0,"",I16-L16)</x:f>
        <x:v>133395.52481708094</x:v>
      </x:c>
      <x:c r="N16" s="32" t="n">
        <x:f>IF(L16=0,"",I16/L16)</x:f>
        <x:v>1.0654837292681512</x:v>
      </x:c>
      <x:c r="O16" s="34" t="n">
        <x:f>IF(L16=0,"",M16/L16)</x:f>
        <x:v>0.06548372926815117</x:v>
      </x:c>
    </x:row>
  </x:sheetData>
  <x:conditionalFormatting sqref="G2:G16">
    <x:cfRule type="cellIs" dxfId="2" priority="1" operator="lessThan">
      <x:formula>0.9</x:formula>
    </x:cfRule>
  </x:conditionalFormatting>
  <x:conditionalFormatting sqref="O2:O1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e7a1be975264b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EEZ_914</x:v>
      </x:c>
      <x:c r="B2" s="24" t="str">
        <x:v>raw_filtered_tonnes</x:v>
      </x:c>
      <x:c r="C2" s="24" t="n">
        <x:v>258009.4224445994</x:v>
      </x:c>
      <x:c r="D2" s="24" t="str">
        <x:v>tonnes</x:v>
      </x:c>
    </x:row>
    <x:row r="3" ht="18" customHeight="1">
      <x:c r="A3" s="24" t="str">
        <x:v>EEZ_914</x:v>
      </x:c>
      <x:c r="B3" s="24" t="str">
        <x:v>species_catch_tonnes</x:v>
      </x:c>
      <x:c r="C3" s="24" t="n">
        <x:v>258009.42244459942</x:v>
      </x:c>
      <x:c r="D3" s="24" t="str">
        <x:v>tonnes</x:v>
      </x:c>
    </x:row>
    <x:row r="4" ht="18" customHeight="1">
      <x:c r="A4" s="24" t="str">
        <x:v>EEZ_914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EEZ_914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EEZ_914</x:v>
      </x:c>
      <x:c r="B6" s="24" t="str">
        <x:v>matched_catch_tonnes</x:v>
      </x:c>
      <x:c r="C6" s="24" t="n">
        <x:v>258009.42244459942</x:v>
      </x:c>
      <x:c r="D6" s="24" t="str">
        <x:v>tonnes</x:v>
      </x:c>
    </x:row>
    <x:row r="7" ht="18" customHeight="1">
      <x:c r="A7" s="24" t="str">
        <x:v>EEZ_914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EEZ_914</x:v>
      </x:c>
      <x:c r="B8" s="24" t="str">
        <x:v>taxa_count</x:v>
      </x:c>
      <x:c r="C8" s="24" t="n">
        <x:v>63</x:v>
      </x:c>
      <x:c r="D8" s="24" t="str">
        <x:v>count</x:v>
      </x:c>
    </x:row>
    <x:row r="9" ht="18" customHeight="1">
      <x:c r="A9" s="24" t="str">
        <x:v>EEZ_914</x:v>
      </x:c>
      <x:c r="B9" s="24" t="str">
        <x:v>matched_taxa_count</x:v>
      </x:c>
      <x:c r="C9" s="24" t="n">
        <x:v>63</x:v>
      </x:c>
      <x:c r="D9" s="24" t="str">
        <x:v>count</x:v>
      </x:c>
    </x:row>
    <x:row r="10" ht="18" customHeight="1">
      <x:c r="A10" s="24" t="str">
        <x:v>EEZ_914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EEZ_914</x:v>
      </x:c>
      <x:c r="B11" s="24" t="str">
        <x:v>species_ppr</x:v>
      </x:c>
      <x:c r="C11" s="24" t="n">
        <x:v>65614786.95071074</x:v>
      </x:c>
      <x:c r="D11" s="24" t="str">
        <x:v>tonnes_primary_production_equivalent</x:v>
      </x:c>
    </x:row>
    <x:row r="12" ht="18" customHeight="1">
      <x:c r="A12" s="24" t="str">
        <x:v>EEZ_914</x:v>
      </x:c>
      <x:c r="B12" s="24" t="str">
        <x:v>commercial_ppr</x:v>
      </x:c>
      <x:c r="C12" s="24" t="n">
        <x:v>65614786.95071076</x:v>
      </x:c>
      <x:c r="D12" s="24" t="str">
        <x:v>tonnes_primary_production_equivalent</x:v>
      </x:c>
    </x:row>
    <x:row r="13" ht="18" customHeight="1">
      <x:c r="A13" s="24" t="str">
        <x:v>EEZ_914</x:v>
      </x:c>
      <x:c r="B13" s="24" t="str">
        <x:v>functional_ppr</x:v>
      </x:c>
      <x:c r="C13" s="24" t="n">
        <x:v>65614786.950710736</x:v>
      </x:c>
      <x:c r="D13" s="24" t="str">
        <x:v>tonnes_primary_production_equivalent</x:v>
      </x:c>
    </x:row>
    <x:row r="14" ht="18" customHeight="1">
      <x:c r="A14" s="24" t="str">
        <x:v>EEZ_914</x:v>
      </x:c>
      <x:c r="B14" s="24" t="str">
        <x:v>commercial_ppr_difference</x:v>
      </x:c>
      <x:c r="C14" s="24" t="n">
        <x:v>1.4901161193847656e-8</x:v>
      </x:c>
      <x:c r="D14" s="24" t="str">
        <x:v>tonnes_primary_production_equivalent</x:v>
      </x:c>
    </x:row>
    <x:row r="15" ht="18" customHeight="1">
      <x:c r="A15" s="24" t="str">
        <x:v>EEZ_914</x:v>
      </x:c>
      <x:c r="B15" s="24" t="str">
        <x:v>functional_ppr_difference</x:v>
      </x:c>
      <x:c r="C15" s="24" t="n">
        <x:v>-7.450580596923828e-9</x:v>
      </x:c>
      <x:c r="D15" s="24" t="str">
        <x:v>tonnes_primary_production_equivalent</x:v>
      </x:c>
    </x:row>
    <x:row r="16" ht="18" customHeight="1">
      <x:c r="A16" s="24" t="str">
        <x:v>EEZ_914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EEZ_914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EEZ_914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EEZ_914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98e6cde7e8342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EEZ_914 - Sweden (Baltic)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