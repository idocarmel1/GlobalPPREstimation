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c34f49dc8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f62ede3057e4959"/>
    <x:sheet xmlns:r="http://schemas.openxmlformats.org/officeDocument/2006/relationships" name="Commercial" sheetId="2" r:id="R85deb025d88942fc"/>
    <x:sheet xmlns:r="http://schemas.openxmlformats.org/officeDocument/2006/relationships" name="Functional" sheetId="3" r:id="R99de4395d97d473f"/>
    <x:sheet xmlns:r="http://schemas.openxmlformats.org/officeDocument/2006/relationships" name="Missing TL" sheetId="4" r:id="R0bbd5b4b8c8c4156"/>
    <x:sheet xmlns:r="http://schemas.openxmlformats.org/officeDocument/2006/relationships" name="Validation" sheetId="5" r:id="Rb6868b455afa4a29"/>
    <x:sheet xmlns:r="http://schemas.openxmlformats.org/officeDocument/2006/relationships" name="Metadata" sheetId="6" r:id="R23a9de3a7913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8de2f76994746" /><Relationship Type="http://schemas.openxmlformats.org/officeDocument/2006/relationships/theme" Target="/xl/theme/theme1.xml" Id="R50b5464c2f64471a" /><Relationship Type="http://schemas.microsoft.com/office/2022/11/relationships/FeaturePropertyBag" Target="/xl/featurePropertyBag/featurePropertyBag.xml" Id="Rac1a746937804d7d" /><Relationship Type="http://schemas.openxmlformats.org/officeDocument/2006/relationships/sharedStrings" Target="/xl/sharedStrings.xml" Id="R781f2077ba1d41cf" /><Relationship Type="http://schemas.openxmlformats.org/officeDocument/2006/relationships/worksheet" Target="/xl/worksheets/sheet1.xml" Id="R0f62ede3057e4959" /><Relationship Type="http://schemas.openxmlformats.org/officeDocument/2006/relationships/worksheet" Target="/xl/worksheets/sheet2.xml" Id="R85deb025d88942fc" /><Relationship Type="http://schemas.openxmlformats.org/officeDocument/2006/relationships/worksheet" Target="/xl/worksheets/sheet3.xml" Id="R99de4395d97d473f" /><Relationship Type="http://schemas.openxmlformats.org/officeDocument/2006/relationships/worksheet" Target="/xl/worksheets/sheet4.xml" Id="R0bbd5b4b8c8c4156" /><Relationship Type="http://schemas.openxmlformats.org/officeDocument/2006/relationships/worksheet" Target="/xl/worksheets/sheet5.xml" Id="Rb6868b455afa4a29" /><Relationship Type="http://schemas.openxmlformats.org/officeDocument/2006/relationships/worksheet" Target="/xl/worksheets/sheet6.xml" Id="R23a9de3a791343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11SpeciesTable" displayName="EEZ711SpeciesTable" ref="A1:U19" headerRowCount="1" totalsRowCount="0" totalsRowShown="0">
  <x:autoFilter ref="A1:U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11CommercialTable" displayName="EEZ711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11FunctionalTable" displayName="EEZ711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11ValidationTable" displayName="EEZ71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9623b0acd84e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d8697477e04d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83615d93144d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2eb706f12c45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EEZ_711</x:v>
      </x:c>
      <x:c r="B2" s="24" t="str">
        <x:v>Prince Edward Isl. (South Africa)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385.07185320779996</x:v>
      </x:c>
      <x:c r="J2" s="31" t="n">
        <x:v>385.07185320779996</x:v>
      </x:c>
      <x:c r="K2" s="31" t="n">
        <x:v>0</x:v>
      </x:c>
      <x:c r="L2" s="31" t="n">
        <x:v>385.07185320779996</x:v>
      </x:c>
      <x:c r="M2" s="31" t="n">
        <x:v>0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862068.4976439857</x:v>
      </x:c>
    </x:row>
    <x:row r="3" ht="18" customHeight="1">
      <x:c r="A3" s="24" t="str">
        <x:v>EEZ_711</x:v>
      </x:c>
      <x:c r="B3" s="24" t="str">
        <x:v>Prince Edward Isl. (South Africa)</x:v>
      </x:c>
      <x:c r="C3" s="24" t="str">
        <x:v>EEZ</x:v>
      </x:c>
      <x:c r="D3" s="30" t="n">
        <x:v>2019</x:v>
      </x:c>
      <x:c r="E3" s="24" t="str">
        <x:v>Dissostichus eleginoides</x:v>
      </x:c>
      <x:c r="F3" s="24" t="str">
        <x:v>Patagonian toothfish</x:v>
      </x:c>
      <x:c r="G3" s="24" t="str">
        <x:v>Large bathydemersals (&gt;=90 cm)</x:v>
      </x:c>
      <x:c r="H3" s="24" t="str">
        <x:v>Perch-likes</x:v>
      </x:c>
      <x:c r="I3" s="31" t="n">
        <x:v>289.6753</x:v>
      </x:c>
      <x:c r="J3" s="31" t="n">
        <x:v>289.6753</x:v>
      </x:c>
      <x:c r="K3" s="31" t="n">
        <x:v>0</x:v>
      </x:c>
      <x:c r="L3" s="31" t="n">
        <x:v>267.2253</x:v>
      </x:c>
      <x:c r="M3" s="31" t="n">
        <x:v>22.45</x:v>
      </x:c>
      <x:c r="N3" s="24" t="str">
        <x:v>dissostichus eleginoides</x:v>
      </x:c>
      <x:c r="O3" s="32" t="n">
        <x:v>3.96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Dissostichus eleginoides</x:v>
      </x:c>
      <x:c r="T3" s="32" t="n">
        <x:f>IF(O3="","",(1/'Metadata'!$B$5)^(O3-1))</x:f>
        <x:v>912.0108393559096</x:v>
      </x:c>
      <x:c r="U3" s="31" t="n">
        <x:f>IF(T3="","",I3*T3)</x:f>
        <x:v>264187.0134936749</x:v>
      </x:c>
    </x:row>
    <x:row r="4" ht="18" customHeight="1">
      <x:c r="A4" s="24" t="str">
        <x:v>EEZ_711</x:v>
      </x:c>
      <x:c r="B4" s="24" t="str">
        <x:v>Prince Edward Isl. (South Africa)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173.08356799799998</x:v>
      </x:c>
      <x:c r="J4" s="31" t="n">
        <x:v>168.0109322248</x:v>
      </x:c>
      <x:c r="K4" s="31" t="n">
        <x:v>5.0726357732</x:v>
      </x:c>
      <x:c r="L4" s="31" t="n">
        <x:v>168.0109322248</x:v>
      </x:c>
      <x:c r="M4" s="31" t="n">
        <x:v>5.0726357732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32980.39397451094</x:v>
      </x:c>
    </x:row>
    <x:row r="5" ht="18" customHeight="1">
      <x:c r="A5" s="24" t="str">
        <x:v>EEZ_711</x:v>
      </x:c>
      <x:c r="B5" s="24" t="str">
        <x:v>Prince Edward Isl. (South Africa)</x:v>
      </x:c>
      <x:c r="C5" s="24" t="str">
        <x:v>EEZ</x:v>
      </x:c>
      <x:c r="D5" s="30" t="n">
        <x:v>2019</x:v>
      </x:c>
      <x:c r="E5" s="24" t="str">
        <x:v>Perciformes</x:v>
      </x:c>
      <x:c r="F5" s="24" t="str">
        <x:v>Perch-likes</x:v>
      </x:c>
      <x:c r="G5" s="24" t="str">
        <x:v>Medium demersals (30 - 89 cm)</x:v>
      </x:c>
      <x:c r="H5" s="24" t="str">
        <x:v>Perch-likes</x:v>
      </x:c>
      <x:c r="I5" s="31" t="n">
        <x:v>84.01</x:v>
      </x:c>
      <x:c r="J5" s="31" t="n">
        <x:v>84.01</x:v>
      </x:c>
      <x:c r="K5" s="31" t="n">
        <x:v>0</x:v>
      </x:c>
      <x:c r="L5" s="31" t="n">
        <x:v>84.01</x:v>
      </x:c>
      <x:c r="M5" s="31" t="n">
        <x:v>0</x:v>
      </x:c>
      <x:c r="N5" s="24" t="str">
        <x:v>perciformes</x:v>
      </x:c>
      <x:c r="O5" s="32" t="n">
        <x:v>3.53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Perciformes</x:v>
      </x:c>
      <x:c r="T5" s="32" t="n">
        <x:f>IF(O5="","",(1/'Metadata'!$B$5)^(O5-1))</x:f>
        <x:v>338.84415613920237</x:v>
      </x:c>
      <x:c r="U5" s="31" t="n">
        <x:f>IF(T5="","",I5*T5)</x:f>
        <x:v>28466.29755725439</x:v>
      </x:c>
    </x:row>
    <x:row r="6" ht="18" customHeight="1">
      <x:c r="A6" s="24" t="str">
        <x:v>EEZ_711</x:v>
      </x:c>
      <x:c r="B6" s="24" t="str">
        <x:v>Prince Edward Isl. (South Africa)</x:v>
      </x:c>
      <x:c r="C6" s="24" t="str">
        <x:v>EEZ</x:v>
      </x:c>
      <x:c r="D6" s="30" t="n">
        <x:v>2019</x:v>
      </x:c>
      <x:c r="E6" s="24" t="str">
        <x:v>Gadiformes</x:v>
      </x:c>
      <x:c r="F6" s="24" t="str">
        <x:v>Cods</x:v>
      </x:c>
      <x:c r="G6" s="24" t="str">
        <x:v>Medium benthopelagics (30 - 89 cm)</x:v>
      </x:c>
      <x:c r="H6" s="24" t="str">
        <x:v>Cod-likes</x:v>
      </x:c>
      <x:c r="I6" s="31" t="n">
        <x:v>9.24</x:v>
      </x:c>
      <x:c r="J6" s="31" t="n">
        <x:v>9.24</x:v>
      </x:c>
      <x:c r="K6" s="31" t="n">
        <x:v>0</x:v>
      </x:c>
      <x:c r="L6" s="31" t="n">
        <x:v>9.24</x:v>
      </x:c>
      <x:c r="M6" s="31" t="n">
        <x:v>0</x:v>
      </x:c>
      <x:c r="N6" s="24" t="str">
        <x:v>gadiformes</x:v>
      </x:c>
      <x:c r="O6" s="32" t="n">
        <x:v>3.91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Gadiformes</x:v>
      </x:c>
      <x:c r="T6" s="32" t="n">
        <x:f>IF(O6="","",(1/'Metadata'!$B$5)^(O6-1))</x:f>
        <x:v>812.8305161640995</x:v>
      </x:c>
      <x:c r="U6" s="31" t="n">
        <x:f>IF(T6="","",I6*T6)</x:f>
        <x:v>7510.55396935628</x:v>
      </x:c>
    </x:row>
    <x:row r="7" ht="18" customHeight="1">
      <x:c r="A7" s="24" t="str">
        <x:v>EEZ_711</x:v>
      </x:c>
      <x:c r="B7" s="24" t="str">
        <x:v>Prince Edward Isl. (South Africa)</x:v>
      </x:c>
      <x:c r="C7" s="24" t="str">
        <x:v>EEZ</x:v>
      </x:c>
      <x:c r="D7" s="30" t="n">
        <x:v>2019</x:v>
      </x:c>
      <x:c r="E7" s="24" t="str">
        <x:v>Thunnus maccoyii</x:v>
      </x:c>
      <x:c r="F7" s="24" t="str">
        <x:v>Southern bluefin tuna</x:v>
      </x:c>
      <x:c r="G7" s="24" t="str">
        <x:v>Large pelagics (&gt;=90 cm)</x:v>
      </x:c>
      <x:c r="H7" s="24" t="str">
        <x:v>Tuna &amp; billfishes</x:v>
      </x:c>
      <x:c r="I7" s="31" t="n">
        <x:v>8.5187180679</x:v>
      </x:c>
      <x:c r="J7" s="31" t="n">
        <x:v>8.5187180679</x:v>
      </x:c>
      <x:c r="K7" s="31" t="n">
        <x:v>0</x:v>
      </x:c>
      <x:c r="L7" s="31" t="n">
        <x:v>8.5187180679</x:v>
      </x:c>
      <x:c r="M7" s="31" t="n">
        <x:v>0</x:v>
      </x:c>
      <x:c r="N7" s="24" t="str">
        <x:v>thunnus maccoyii</x:v>
      </x:c>
      <x:c r="O7" s="32" t="n">
        <x:v>3.93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maccoyii</x:v>
      </x:c>
      <x:c r="T7" s="32" t="n">
        <x:f>IF(O7="","",(1/'Metadata'!$B$5)^(O7-1))</x:f>
        <x:v>851.1380382023768</x:v>
      </x:c>
      <x:c r="U7" s="31" t="n">
        <x:f>IF(T7="","",I7*T7)</x:f>
        <x:v>7250.604984311548</x:v>
      </x:c>
    </x:row>
    <x:row r="8" ht="18" customHeight="1">
      <x:c r="A8" s="24" t="str">
        <x:v>EEZ_711</x:v>
      </x:c>
      <x:c r="B8" s="24" t="str">
        <x:v>Prince Edward Isl. (South Africa)</x:v>
      </x:c>
      <x:c r="C8" s="24" t="str">
        <x:v>EEZ</x:v>
      </x:c>
      <x:c r="D8" s="30" t="n">
        <x:v>2019</x:v>
      </x:c>
      <x:c r="E8" s="24" t="str">
        <x:v>Rajiformes</x:v>
      </x:c>
      <x:c r="F8" s="24" t="str">
        <x:v>Skates and rays</x:v>
      </x:c>
      <x:c r="G8" s="24" t="str">
        <x:v>Large rays (&gt;=90 cm)</x:v>
      </x:c>
      <x:c r="H8" s="24" t="str">
        <x:v>Sharks &amp; rays</x:v>
      </x:c>
      <x:c r="I8" s="31" t="n">
        <x:v>7.3412639898</x:v>
      </x:c>
      <x:c r="J8" s="31" t="n">
        <x:v>0.062839711</x:v>
      </x:c>
      <x:c r="K8" s="31" t="n">
        <x:v>7.2784242788</x:v>
      </x:c>
      <x:c r="L8" s="31" t="n">
        <x:v>7.219839711</x:v>
      </x:c>
      <x:c r="M8" s="31" t="n">
        <x:v>0.1214242788</x:v>
      </x:c>
      <x:c r="N8" s="24" t="str">
        <x:v>rajiformes</x:v>
      </x:c>
      <x:c r="O8" s="32" t="n">
        <x:v>3.61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Rajiformes</x:v>
      </x:c>
      <x:c r="T8" s="32" t="n">
        <x:f>IF(O8="","",(1/'Metadata'!$B$5)^(O8-1))</x:f>
        <x:v>407.3802778041126</x:v>
      </x:c>
      <x:c r="U8" s="31" t="n">
        <x:f>IF(T8="","",I8*T8)</x:f>
        <x:v>2990.686163598052</x:v>
      </x:c>
    </x:row>
    <x:row r="9" ht="18" customHeight="1">
      <x:c r="A9" s="24" t="str">
        <x:v>EEZ_711</x:v>
      </x:c>
      <x:c r="B9" s="24" t="str">
        <x:v>Prince Edward Isl. (South Africa)</x:v>
      </x:c>
      <x:c r="C9" s="24" t="str">
        <x:v>EEZ</x:v>
      </x:c>
      <x:c r="D9" s="30" t="n">
        <x:v>2019</x:v>
      </x:c>
      <x:c r="E9" s="24" t="str">
        <x:v>Auxis thazard</x:v>
      </x:c>
      <x:c r="F9" s="24" t="str">
        <x:v>Frigate tuna</x:v>
      </x:c>
      <x:c r="G9" s="24" t="str">
        <x:v>Medium pelagics (30 - 89 cm)</x:v>
      </x:c>
      <x:c r="H9" s="24" t="str">
        <x:v>Tuna &amp; billfishes</x:v>
      </x:c>
      <x:c r="I9" s="31" t="n">
        <x:v>6.7492336130999995</x:v>
      </x:c>
      <x:c r="J9" s="31" t="n">
        <x:v>6.7492336130999995</x:v>
      </x:c>
      <x:c r="K9" s="31" t="n">
        <x:v>0</x:v>
      </x:c>
      <x:c r="L9" s="31" t="n">
        <x:v>6.7492336130999995</x:v>
      </x:c>
      <x:c r="M9" s="31" t="n">
        <x:v>0</x:v>
      </x:c>
      <x:c r="N9" s="24" t="str">
        <x:v>auxis thazard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Auxis thazard</x:v>
      </x:c>
      <x:c r="T9" s="32" t="n">
        <x:f>IF(O9="","",(1/'Metadata'!$B$5)^(O9-1))</x:f>
        <x:v>2344.228815319923</x:v>
      </x:c>
      <x:c r="U9" s="31" t="n">
        <x:f>IF(T9="","",I9*T9)</x:f>
        <x:v>15821.747917154815</x:v>
      </x:c>
    </x:row>
    <x:row r="10" ht="18" customHeight="1">
      <x:c r="A10" s="24" t="str">
        <x:v>EEZ_711</x:v>
      </x:c>
      <x:c r="B10" s="24" t="str">
        <x:v>Prince Edward Isl. (South Africa)</x:v>
      </x:c>
      <x:c r="C10" s="24" t="str">
        <x:v>EEZ</x:v>
      </x:c>
      <x:c r="D10" s="30" t="n">
        <x:v>2019</x:v>
      </x:c>
      <x:c r="E10" s="24" t="str">
        <x:v>Macrourus</x:v>
      </x:c>
      <x:c r="F10" s="24" t="str">
        <x:v>Rattails</x:v>
      </x:c>
      <x:c r="G10" s="24" t="str">
        <x:v>Medium benthopelagics (30 - 89 cm)</x:v>
      </x:c>
      <x:c r="H10" s="24" t="str">
        <x:v>Cod-likes</x:v>
      </x:c>
      <x:c r="I10" s="31" t="n">
        <x:v>5.6983</x:v>
      </x:c>
      <x:c r="J10" s="31" t="n">
        <x:v>0</x:v>
      </x:c>
      <x:c r="K10" s="31" t="n">
        <x:v>5.6983</x:v>
      </x:c>
      <x:c r="L10" s="31" t="n">
        <x:v>5.6983</x:v>
      </x:c>
      <x:c r="M10" s="31" t="n">
        <x:v>0</x:v>
      </x:c>
      <x:c r="N10" s="24" t="str">
        <x:v>macrourus</x:v>
      </x:c>
      <x:c r="O10" s="32" t="n">
        <x:v>3.58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Macrourus</x:v>
      </x:c>
      <x:c r="T10" s="32" t="n">
        <x:f>IF(O10="","",(1/'Metadata'!$B$5)^(O10-1))</x:f>
        <x:v>380.1893963205613</x:v>
      </x:c>
      <x:c r="U10" s="31" t="n">
        <x:f>IF(T10="","",I10*T10)</x:f>
        <x:v>2166.4332370534544</x:v>
      </x:c>
    </x:row>
    <x:row r="11" ht="18" customHeight="1">
      <x:c r="A11" s="24" t="str">
        <x:v>EEZ_711</x:v>
      </x:c>
      <x:c r="B11" s="24" t="str">
        <x:v>Prince Edward Isl. (South Africa)</x:v>
      </x:c>
      <x:c r="C11" s="24" t="str">
        <x:v>EEZ</x:v>
      </x:c>
      <x:c r="D11" s="30" t="n">
        <x:v>2019</x:v>
      </x:c>
      <x:c r="E11" s="24" t="str">
        <x:v>Antimora rostrata</x:v>
      </x:c>
      <x:c r="F11" s="24" t="str">
        <x:v>Blue antimora</x:v>
      </x:c>
      <x:c r="G11" s="24" t="str">
        <x:v>Medium bathypelagics (30 - 89 cm)</x:v>
      </x:c>
      <x:c r="H11" s="24" t="str">
        <x:v>Cod-likes</x:v>
      </x:c>
      <x:c r="I11" s="31" t="n">
        <x:v>4.1676</x:v>
      </x:c>
      <x:c r="J11" s="31" t="n">
        <x:v>0</x:v>
      </x:c>
      <x:c r="K11" s="31" t="n">
        <x:v>4.1676</x:v>
      </x:c>
      <x:c r="L11" s="31" t="n">
        <x:v>4.1676</x:v>
      </x:c>
      <x:c r="M11" s="31" t="n">
        <x:v>0</x:v>
      </x:c>
      <x:c r="N11" s="24" t="str">
        <x:v>antimora rostrata</x:v>
      </x:c>
      <x:c r="O11" s="32" t="n">
        <x:v>3.58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Antimora rostrata</x:v>
      </x:c>
      <x:c r="T11" s="32" t="n">
        <x:f>IF(O11="","",(1/'Metadata'!$B$5)^(O11-1))</x:f>
        <x:v>380.1893963205613</x:v>
      </x:c>
      <x:c r="U11" s="31" t="n">
        <x:f>IF(T11="","",I11*T11)</x:f>
        <x:v>1584.4773281055714</x:v>
      </x:c>
    </x:row>
    <x:row r="12" ht="18" customHeight="1">
      <x:c r="A12" s="24" t="str">
        <x:v>EEZ_711</x:v>
      </x:c>
      <x:c r="B12" s="24" t="str">
        <x:v>Prince Edward Isl. (South Africa)</x:v>
      </x:c>
      <x:c r="C12" s="24" t="str">
        <x:v>EEZ</x:v>
      </x:c>
      <x:c r="D12" s="30" t="n">
        <x:v>2019</x:v>
      </x:c>
      <x:c r="E12" s="24" t="str">
        <x:v>Cnidaria</x:v>
      </x:c>
      <x:c r="F12" s="24" t="str">
        <x:v>Cnidarians, coelenterates</x:v>
      </x:c>
      <x:c r="G12" s="24" t="str">
        <x:v>Jellyfish</x:v>
      </x:c>
      <x:c r="H12" s="24" t="str">
        <x:v>Other fishes &amp; inverts</x:v>
      </x:c>
      <x:c r="I12" s="31" t="n">
        <x:v>0.48427078300000004</x:v>
      </x:c>
      <x:c r="J12" s="31" t="n">
        <x:v>0.48427078300000004</x:v>
      </x:c>
      <x:c r="K12" s="31" t="n">
        <x:v>0</x:v>
      </x:c>
      <x:c r="L12" s="31" t="n">
        <x:v>0.48427078300000004</x:v>
      </x:c>
      <x:c r="M12" s="31" t="n">
        <x:v>0</x:v>
      </x:c>
      <x:c r="N12" s="24" t="str">
        <x:v>cnidaria</x:v>
      </x:c>
      <x:c r="O12" s="32" t="n">
        <x:v>2.5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Cnidaria</x:v>
      </x:c>
      <x:c r="T12" s="32" t="n">
        <x:f>IF(O12="","",(1/'Metadata'!$B$5)^(O12-1))</x:f>
        <x:v>31.622776601683793</x:v>
      </x:c>
      <x:c r="U12" s="31" t="n">
        <x:f>IF(T12="","",I12*T12)</x:f>
        <x:v>15.31398678553149</x:v>
      </x:c>
    </x:row>
    <x:row r="13" ht="18" customHeight="1">
      <x:c r="A13" s="24" t="str">
        <x:v>EEZ_711</x:v>
      </x:c>
      <x:c r="B13" s="24" t="str">
        <x:v>Prince Edward Isl. (South Africa)</x:v>
      </x:c>
      <x:c r="C13" s="24" t="str">
        <x:v>EEZ</x:v>
      </x:c>
      <x:c r="D13" s="30" t="n">
        <x:v>2019</x:v>
      </x:c>
      <x:c r="E13" s="24" t="str">
        <x:v>Thunnus alalunga</x:v>
      </x:c>
      <x:c r="F13" s="24" t="str">
        <x:v>Albacore</x:v>
      </x:c>
      <x:c r="G13" s="24" t="str">
        <x:v>Large pelagics (&gt;=90 cm)</x:v>
      </x:c>
      <x:c r="H13" s="24" t="str">
        <x:v>Tuna &amp; billfishes</x:v>
      </x:c>
      <x:c r="I13" s="31" t="n">
        <x:v>0.1842395919</x:v>
      </x:c>
      <x:c r="J13" s="31" t="n">
        <x:v>0.1842395919</x:v>
      </x:c>
      <x:c r="K13" s="31" t="n">
        <x:v>0</x:v>
      </x:c>
      <x:c r="L13" s="31" t="n">
        <x:v>0.1842395919</x:v>
      </x:c>
      <x:c r="M13" s="31" t="n">
        <x:v>0</x:v>
      </x:c>
      <x:c r="N13" s="24" t="str">
        <x:v>thunnus alalunga</x:v>
      </x:c>
      <x:c r="O13" s="32" t="n">
        <x:v>4.3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alalunga</x:v>
      </x:c>
      <x:c r="T13" s="32" t="n">
        <x:f>IF(O13="","",(1/'Metadata'!$B$5)^(O13-1))</x:f>
        <x:v>1995.2623149688789</x:v>
      </x:c>
      <x:c r="U13" s="31" t="n">
        <x:f>IF(T13="","",I13*T13)</x:f>
        <x:v>367.6063146433155</x:v>
      </x:c>
    </x:row>
    <x:row r="14" ht="18" customHeight="1">
      <x:c r="A14" s="24" t="str">
        <x:v>EEZ_711</x:v>
      </x:c>
      <x:c r="B14" s="24" t="str">
        <x:v>Prince Edward Isl. (South Africa)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0.1729452176</x:v>
      </x:c>
      <x:c r="J14" s="31" t="n">
        <x:v>0.1729452176</x:v>
      </x:c>
      <x:c r="K14" s="31" t="n">
        <x:v>0</x:v>
      </x:c>
      <x:c r="L14" s="31" t="n">
        <x:v>0.1729452176</x:v>
      </x:c>
      <x:c r="M14" s="31" t="n">
        <x:v>0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314.7085609592103</x:v>
      </x:c>
    </x:row>
    <x:row r="15" ht="18" customHeight="1">
      <x:c r="A15" s="24" t="str">
        <x:v>EEZ_711</x:v>
      </x:c>
      <x:c r="B15" s="24" t="str">
        <x:v>Prince Edward Isl. (South Africa)</x:v>
      </x:c>
      <x:c r="C15" s="24" t="str">
        <x:v>EEZ</x:v>
      </x:c>
      <x:c r="D15" s="30" t="n">
        <x:v>2019</x:v>
      </x:c>
      <x:c r="E15" s="24" t="str">
        <x:v>Elasmobranchii</x:v>
      </x:c>
      <x:c r="F15" s="24" t="str">
        <x:v>Sharks, rays, skates</x:v>
      </x:c>
      <x:c r="G15" s="24" t="str">
        <x:v>Large sharks (&gt;=90 cm)</x:v>
      </x:c>
      <x:c r="H15" s="24" t="str">
        <x:v>Sharks &amp; rays</x:v>
      </x:c>
      <x:c r="I15" s="31" t="n">
        <x:v>0.0565575676</x:v>
      </x:c>
      <x:c r="J15" s="31" t="n">
        <x:v>0.0565575676</x:v>
      </x:c>
      <x:c r="K15" s="31" t="n">
        <x:v>0</x:v>
      </x:c>
      <x:c r="L15" s="31" t="n">
        <x:v>0.0565575676</x:v>
      </x:c>
      <x:c r="M15" s="31" t="n">
        <x:v>0</x:v>
      </x:c>
      <x:c r="N15" s="24" t="str">
        <x:v>elasmobranchii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Elasmobranchii</x:v>
      </x:c>
      <x:c r="T15" s="32" t="n">
        <x:f>IF(O15="","",(1/'Metadata'!$B$5)^(O15-1))</x:f>
        <x:v>1122.018454301963</x:v>
      </x:c>
      <x:c r="U15" s="31" t="n">
        <x:f>IF(T15="","",I15*T15)</x:f>
        <x:v>63.458634577630775</x:v>
      </x:c>
    </x:row>
    <x:row r="16" ht="18" customHeight="1">
      <x:c r="A16" s="24" t="str">
        <x:v>EEZ_711</x:v>
      </x:c>
      <x:c r="B16" s="24" t="str">
        <x:v>Prince Edward Isl. (South Africa)</x:v>
      </x:c>
      <x:c r="C16" s="24" t="str">
        <x:v>EEZ</x:v>
      </x:c>
      <x:c r="D16" s="30" t="n">
        <x:v>2019</x:v>
      </x:c>
      <x:c r="E16" s="24" t="str">
        <x:v>Mugilidae</x:v>
      </x:c>
      <x:c r="F16" s="24" t="str">
        <x:v>Mullets, grey mullets</x:v>
      </x:c>
      <x:c r="G16" s="24" t="str">
        <x:v>Medium reef assoc. fish (30 - 89 cm)</x:v>
      </x:c>
      <x:c r="H16" s="24" t="str">
        <x:v>Perch-likes</x:v>
      </x:c>
      <x:c r="I16" s="31" t="n">
        <x:v>0.0182544504</x:v>
      </x:c>
      <x:c r="J16" s="31" t="n">
        <x:v>0</x:v>
      </x:c>
      <x:c r="K16" s="31" t="n">
        <x:v>0.0182544504</x:v>
      </x:c>
      <x:c r="L16" s="31" t="n">
        <x:v>0</x:v>
      </x:c>
      <x:c r="M16" s="31" t="n">
        <x:v>0.0182544504</x:v>
      </x:c>
      <x:c r="N16" s="24" t="str">
        <x:v>mugilidae</x:v>
      </x:c>
      <x:c r="O16" s="32" t="n">
        <x:v>2.53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Mugilidae</x:v>
      </x:c>
      <x:c r="T16" s="32" t="n">
        <x:f>IF(O16="","",(1/'Metadata'!$B$5)^(O16-1))</x:f>
        <x:v>33.88441561392024</x:v>
      </x:c>
      <x:c r="U16" s="31" t="n">
        <x:f>IF(T16="","",I16*T16)</x:f>
        <x:v>0.6185413841572925</x:v>
      </x:c>
    </x:row>
    <x:row r="17" ht="18" customHeight="1">
      <x:c r="A17" s="24" t="str">
        <x:v>EEZ_711</x:v>
      </x:c>
      <x:c r="B17" s="24" t="str">
        <x:v>Prince Edward Isl. (South Africa)</x:v>
      </x:c>
      <x:c r="C17" s="24" t="str">
        <x:v>EEZ</x:v>
      </x:c>
      <x:c r="D17" s="30" t="n">
        <x:v>2019</x:v>
      </x:c>
      <x:c r="E17" s="24" t="str">
        <x:v>Carcharhinidae</x:v>
      </x:c>
      <x:c r="F17" s="24" t="str">
        <x:v>Requiem sharks</x:v>
      </x:c>
      <x:c r="G17" s="24" t="str">
        <x:v>Large sharks (&gt;=90 cm)</x:v>
      </x:c>
      <x:c r="H17" s="24" t="str">
        <x:v>Sharks &amp; rays</x:v>
      </x:c>
      <x:c r="I17" s="31" t="n">
        <x:v>0.0059272214</x:v>
      </x:c>
      <x:c r="J17" s="31" t="n">
        <x:v>0.0059272214</x:v>
      </x:c>
      <x:c r="K17" s="31" t="n">
        <x:v>0</x:v>
      </x:c>
      <x:c r="L17" s="31" t="n">
        <x:v>0.0059272214</x:v>
      </x:c>
      <x:c r="M17" s="31" t="n">
        <x:v>0</x:v>
      </x:c>
      <x:c r="N17" s="24" t="str">
        <x:v>carcharhinidae</x:v>
      </x:c>
      <x:c r="O17" s="32" t="n">
        <x:v>4.24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Carcharhinidae</x:v>
      </x:c>
      <x:c r="T17" s="32" t="n">
        <x:f>IF(O17="","",(1/'Metadata'!$B$5)^(O17-1))</x:f>
        <x:v>1737.8008287493763</x:v>
      </x:c>
      <x:c r="U17" s="31" t="n">
        <x:f>IF(T17="","",I17*T17)</x:f>
        <x:v>10.300330261101038</x:v>
      </x:c>
    </x:row>
    <x:row r="18" ht="18" customHeight="1">
      <x:c r="A18" s="24" t="str">
        <x:v>EEZ_711</x:v>
      </x:c>
      <x:c r="B18" s="24" t="str">
        <x:v>Prince Edward Isl. (South Africa)</x:v>
      </x:c>
      <x:c r="C18" s="24" t="str">
        <x:v>EEZ</x:v>
      </x:c>
      <x:c r="D18" s="30" t="n">
        <x:v>2019</x:v>
      </x:c>
      <x:c r="E18" s="24" t="str">
        <x:v>Xiphias gladius</x:v>
      </x:c>
      <x:c r="F18" s="24" t="str">
        <x:v>Swordfish</x:v>
      </x:c>
      <x:c r="G18" s="24" t="str">
        <x:v>Large pelagics (&gt;=90 cm)</x:v>
      </x:c>
      <x:c r="H18" s="24" t="str">
        <x:v>Tuna &amp; billfishes</x:v>
      </x:c>
      <x:c r="I18" s="31" t="n">
        <x:v>0.0004956548</x:v>
      </x:c>
      <x:c r="J18" s="31" t="n">
        <x:v>0.0004956548</x:v>
      </x:c>
      <x:c r="K18" s="31" t="n">
        <x:v>0</x:v>
      </x:c>
      <x:c r="L18" s="31" t="n">
        <x:v>0.0004956548</x:v>
      </x:c>
      <x:c r="M18" s="31" t="n">
        <x:v>0</x:v>
      </x:c>
      <x:c r="N18" s="24" t="str">
        <x:v>xiphias gladius</x:v>
      </x:c>
      <x:c r="O18" s="32" t="n">
        <x:v>4.53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Xiphias gladius</x:v>
      </x:c>
      <x:c r="T18" s="32" t="n">
        <x:f>IF(O18="","",(1/'Metadata'!$B$5)^(O18-1))</x:f>
        <x:v>3388.4415613920273</x:v>
      </x:c>
      <x:c r="U18" s="31" t="n">
        <x:f>IF(T18="","",I18*T18)</x:f>
        <x:v>1.6794973244234532</x:v>
      </x:c>
    </x:row>
    <x:row r="19" ht="18" customHeight="1">
      <x:c r="A19" s="24" t="str">
        <x:v>EEZ_711</x:v>
      </x:c>
      <x:c r="B19" s="24" t="str">
        <x:v>Prince Edward Isl. (South Africa)</x:v>
      </x:c>
      <x:c r="C19" s="24" t="str">
        <x:v>EEZ</x:v>
      </x:c>
      <x:c r="D19" s="30" t="n">
        <x:v>2019</x:v>
      </x:c>
      <x:c r="E19" s="24" t="str">
        <x:v>Marine pelagic fishes not identified</x:v>
      </x:c>
      <x:c r="F19" s="24" t="str">
        <x:v>Pelagic fishes</x:v>
      </x:c>
      <x:c r="G19" s="24" t="str">
        <x:v>Medium pelagics (30 - 89 cm)</x:v>
      </x:c>
      <x:c r="H19" s="24" t="str">
        <x:v>Other fishes &amp; inverts</x:v>
      </x:c>
      <x:c r="I19" s="31" t="n">
        <x:v>0.0001876464</x:v>
      </x:c>
      <x:c r="J19" s="31" t="n">
        <x:v>0.0001876464</x:v>
      </x:c>
      <x:c r="K19" s="31" t="n">
        <x:v>0</x:v>
      </x:c>
      <x:c r="L19" s="31" t="n">
        <x:v>0.0001876464</x:v>
      </x:c>
      <x:c r="M19" s="31" t="n">
        <x:v>0</x:v>
      </x:c>
      <x:c r="N19" s="24" t="str">
        <x:v>marine pelagic fishes not identified</x:v>
      </x:c>
      <x:c r="O19" s="32" t="n">
        <x:v>3.35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pelagic fishes not identified</x:v>
      </x:c>
      <x:c r="T19" s="32" t="n">
        <x:f>IF(O19="","",(1/'Metadata'!$B$5)^(O19-1))</x:f>
        <x:v>223.872113856834</x:v>
      </x:c>
      <x:c r="U19" s="31" t="n">
        <x:f>IF(T19="","",I19*T19)</x:f>
        <x:v>0.04200879622562502</x:v>
      </x:c>
    </x:row>
  </x:sheetData>
  <x:conditionalFormatting sqref="R2:R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39623b0acd84e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3</x:v>
      </x:c>
      <x:c r="C2" s="33" t="n">
        <x:v>3</x:v>
      </x:c>
      <x:c r="D2" s="31" t="n">
        <x:v>19.1059</x:v>
      </x:c>
      <x:c r="E2" s="31" t="n">
        <x:v>19.1059</x:v>
      </x:c>
      <x:c r="F2" s="32" t="n">
        <x:v>0</x:v>
      </x:c>
      <x:c r="G2" s="34" t="n">
        <x:v>1</x:v>
      </x:c>
      <x:c r="H2" s="32" t="n">
        <x:f>IF(E2=0,"",I2/E2)</x:f>
        <x:v>589.4233998144713</x:v>
      </x:c>
      <x:c r="I2" s="31" t="n">
        <x:f>IF(C2=0,"",SUMIF('Species'!$H$2:$H$19,A2,'Species'!$U$2:$U$19))</x:f>
        <x:v>11261.464534515306</x:v>
      </x:c>
      <x:c r="J2" s="32" t="n">
        <x:v>3.739594680177327</x:v>
      </x:c>
      <x:c r="K2" s="32" t="n">
        <x:f>IF(J2="","",(1/'Metadata'!$B$5)^(J2-1))</x:f>
        <x:v>549.0282357480775</x:v>
      </x:c>
      <x:c r="L2" s="31" t="n">
        <x:f>IF(E2=0,"",E2*K2)</x:f>
        <x:v>10489.678569379192</x:v>
      </x:c>
      <x:c r="M2" s="31" t="n">
        <x:f>IF(E2=0,"",I2-L2)</x:f>
        <x:v>771.7859651361141</x:v>
      </x:c>
      <x:c r="N2" s="32" t="n">
        <x:f>IF(L2=0,"",I2/L2)</x:f>
        <x:v>1.0735757497268852</x:v>
      </x:c>
      <x:c r="O2" s="34" t="n">
        <x:f>IF(L2=0,"",M2/L2)</x:f>
        <x:v>0.07357574972688516</x:v>
      </x:c>
    </x:row>
    <x:row r="3" ht="18" customHeight="1">
      <x:c r="A3" s="24" t="str">
        <x:v>Other fishes &amp; inverts</x:v>
      </x:c>
      <x:c r="B3" s="33" t="n">
        <x:v>3</x:v>
      </x:c>
      <x:c r="C3" s="33" t="n">
        <x:v>3</x:v>
      </x:c>
      <x:c r="D3" s="31" t="n">
        <x:v>173.56802642739999</x:v>
      </x:c>
      <x:c r="E3" s="31" t="n">
        <x:v>173.56802642739999</x:v>
      </x:c>
      <x:c r="F3" s="32" t="n">
        <x:v>0</x:v>
      </x:c>
      <x:c r="G3" s="34" t="n">
        <x:v>1</x:v>
      </x:c>
      <x:c r="H3" s="32" t="n">
        <x:f>IF(E3=0,"",I3/E3)</x:f>
        <x:v>190.10269719172126</x:v>
      </x:c>
      <x:c r="I3" s="31" t="n">
        <x:f>IF(C3=0,"",SUMIF('Species'!$H$2:$H$19,A3,'Species'!$U$2:$U$19))</x:f>
        <x:v>32995.74997009269</x:v>
      </x:c>
      <x:c r="J3" s="32" t="n">
        <x:v>3.2778238038233956</x:v>
      </x:c>
      <x:c r="K3" s="32" t="n">
        <x:f>IF(J3="","",(1/'Metadata'!$B$5)^(J3-1))</x:f>
        <x:v>189.59365710063477</x:v>
      </x:c>
      <x:c r="L3" s="31" t="n">
        <x:f>IF(E3=0,"",E3*K3)</x:f>
        <x:v>32907.396886110386</x:v>
      </x:c>
      <x:c r="M3" s="31" t="n">
        <x:f>IF(E3=0,"",I3-L3)</x:f>
        <x:v>88.353083982307</x:v>
      </x:c>
      <x:c r="N3" s="32" t="n">
        <x:f>IF(L3=0,"",I3/L3)</x:f>
        <x:v>1.002684900427952</x:v>
      </x:c>
      <x:c r="O3" s="34" t="n">
        <x:f>IF(L3=0,"",M3/L3)</x:f>
        <x:v>0.0026849004279520883</x:v>
      </x:c>
    </x:row>
    <x:row r="4" ht="18" customHeight="1">
      <x:c r="A4" s="24" t="str">
        <x:v>Perch-likes</x:v>
      </x:c>
      <x:c r="B4" s="33" t="n">
        <x:v>4</x:v>
      </x:c>
      <x:c r="C4" s="33" t="n">
        <x:v>4</x:v>
      </x:c>
      <x:c r="D4" s="31" t="n">
        <x:v>373.87649966799995</x:v>
      </x:c>
      <x:c r="E4" s="31" t="n">
        <x:v>373.87649966799995</x:v>
      </x:c>
      <x:c r="F4" s="32" t="n">
        <x:v>0</x:v>
      </x:c>
      <x:c r="G4" s="34" t="n">
        <x:v>1</x:v>
      </x:c>
      <x:c r="H4" s="32" t="n">
        <x:f>IF(E4=0,"",I4/E4)</x:f>
        <x:v>783.5973601267452</x:v>
      </x:c>
      <x:c r="I4" s="31" t="n">
        <x:f>IF(C4=0,"",SUMIF('Species'!$H$2:$H$19,A4,'Species'!$U$2:$U$19))</x:f>
        <x:v>292968.6381532727</x:v>
      </x:c>
      <x:c r="J4" s="32" t="n">
        <x:v>3.8634480093537644</x:v>
      </x:c>
      <x:c r="K4" s="32" t="n">
        <x:f>IF(J4="","",(1/'Metadata'!$B$5)^(J4-1))</x:f>
        <x:v>730.2103920466227</x:v>
      </x:c>
      <x:c r="L4" s="31" t="n">
        <x:f>IF(E4=0,"",E4*K4)</x:f>
        <x:v>273008.50539958925</x:v>
      </x:c>
      <x:c r="M4" s="31" t="n">
        <x:f>IF(E4=0,"",I4-L4)</x:f>
        <x:v>19960.13275368343</x:v>
      </x:c>
      <x:c r="N4" s="32" t="n">
        <x:f>IF(L4=0,"",I4/L4)</x:f>
        <x:v>1.0731117615711963</x:v>
      </x:c>
      <x:c r="O4" s="34" t="n">
        <x:f>IF(L4=0,"",M4/L4)</x:f>
        <x:v>0.07311176157119631</x:v>
      </x:c>
    </x:row>
    <x:row r="5" ht="18" customHeight="1">
      <x:c r="A5" s="24" t="str">
        <x:v>Sharks &amp; rays</x:v>
      </x:c>
      <x:c r="B5" s="33" t="n">
        <x:v>4</x:v>
      </x:c>
      <x:c r="C5" s="33" t="n">
        <x:v>4</x:v>
      </x:c>
      <x:c r="D5" s="31" t="n">
        <x:v>392.47560198659994</x:v>
      </x:c>
      <x:c r="E5" s="31" t="n">
        <x:v>392.47560198659994</x:v>
      </x:c>
      <x:c r="F5" s="32" t="n">
        <x:v>0</x:v>
      </x:c>
      <x:c r="G5" s="34" t="n">
        <x:v>1</x:v>
      </x:c>
      <x:c r="H5" s="32" t="n">
        <x:f>IF(E5=0,"",I5/E5)</x:f>
        <x:v>2204.297384075253</x:v>
      </x:c>
      <x:c r="I5" s="31" t="n">
        <x:f>IF(C5=0,"",SUMIF('Species'!$H$2:$H$19,A5,'Species'!$U$2:$U$19))</x:f>
        <x:v>865132.9427724225</x:v>
      </x:c>
      <x:c r="J5" s="32" t="n">
        <x:v>4.336113392553578</x:v>
      </x:c>
      <x:c r="K5" s="32" t="n">
        <x:f>IF(J5="","",(1/'Metadata'!$B$5)^(J5-1))</x:f>
        <x:v>2168.270157592132</x:v>
      </x:c>
      <x:c r="L5" s="31" t="n">
        <x:f>IF(E5=0,"",E5*K5)</x:f>
        <x:v>850993.1353705518</x:v>
      </x:c>
      <x:c r="M5" s="31" t="n">
        <x:f>IF(E5=0,"",I5-L5)</x:f>
        <x:v>14139.80740187061</x:v>
      </x:c>
      <x:c r="N5" s="32" t="n">
        <x:f>IF(L5=0,"",I5/L5)</x:f>
        <x:v>1.0166156538921005</x:v>
      </x:c>
      <x:c r="O5" s="34" t="n">
        <x:f>IF(L5=0,"",M5/L5)</x:f>
        <x:v>0.01661565389210061</x:v>
      </x:c>
    </x:row>
    <x:row r="6" ht="18" customHeight="1">
      <x:c r="A6" s="24" t="str">
        <x:v>Tuna &amp; billfishes</x:v>
      </x:c>
      <x:c r="B6" s="33" t="n">
        <x:v>4</x:v>
      </x:c>
      <x:c r="C6" s="33" t="n">
        <x:v>4</x:v>
      </x:c>
      <x:c r="D6" s="31" t="n">
        <x:v>15.4526869277</x:v>
      </x:c>
      <x:c r="E6" s="31" t="n">
        <x:v>15.4526869277</x:v>
      </x:c>
      <x:c r="F6" s="32" t="n">
        <x:v>0</x:v>
      </x:c>
      <x:c r="G6" s="34" t="n">
        <x:v>1</x:v>
      </x:c>
      <x:c r="H6" s="32" t="n">
        <x:f>IF(E6=0,"",I6/E6)</x:f>
        <x:v>1516.9943468804354</x:v>
      </x:c>
      <x:c r="I6" s="31" t="n">
        <x:f>IF(C6=0,"",SUMIF('Species'!$H$2:$H$19,A6,'Species'!$U$2:$U$19))</x:f>
        <x:v>23441.638713434102</x:v>
      </x:c>
      <x:c r="J6" s="32" t="n">
        <x:v>4.126608450417833</x:v>
      </x:c>
      <x:c r="K6" s="32" t="n">
        <x:f>IF(J6="","",(1/'Metadata'!$B$5)^(J6-1))</x:f>
        <x:v>1338.4694110748464</x:v>
      </x:c>
      <x:c r="L6" s="31" t="n">
        <x:f>IF(E6=0,"",E6*K6)</x:f>
        <x:v>20682.948771642597</x:v>
      </x:c>
      <x:c r="M6" s="31" t="n">
        <x:f>IF(E6=0,"",I6-L6)</x:f>
        <x:v>2758.6899417915047</x:v>
      </x:c>
      <x:c r="N6" s="32" t="n">
        <x:f>IF(L6=0,"",I6/L6)</x:f>
        <x:v>1.1333799146461077</x:v>
      </x:c>
      <x:c r="O6" s="34" t="n">
        <x:f>IF(L6=0,"",M6/L6)</x:f>
        <x:v>0.13337991464610754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7d8697477e04d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Jellyfish</x:v>
      </x:c>
      <x:c r="B2" s="33" t="n">
        <x:v>1</x:v>
      </x:c>
      <x:c r="C2" s="33" t="n">
        <x:v>1</x:v>
      </x:c>
      <x:c r="D2" s="31" t="n">
        <x:v>0.48427078300000004</x:v>
      </x:c>
      <x:c r="E2" s="31" t="n">
        <x:v>0.48427078300000004</x:v>
      </x:c>
      <x:c r="F2" s="32" t="n">
        <x:v>0</x:v>
      </x:c>
      <x:c r="G2" s="34" t="n">
        <x:v>1</x:v>
      </x:c>
      <x:c r="H2" s="32" t="n">
        <x:f>IF(E2=0,"",I2/E2)</x:f>
        <x:v>31.622776601683793</x:v>
      </x:c>
      <x:c r="I2" s="31" t="n">
        <x:f>IF(C2=0,"",SUMIF('Species'!$G$2:$G$19,A2,'Species'!$U$2:$U$19))</x:f>
        <x:v>15.31398678553149</x:v>
      </x:c>
      <x:c r="J2" s="32" t="n">
        <x:v>2.5</x:v>
      </x:c>
      <x:c r="K2" s="32" t="n">
        <x:f>IF(J2="","",(1/'Metadata'!$B$5)^(J2-1))</x:f>
        <x:v>31.622776601683793</x:v>
      </x:c>
      <x:c r="L2" s="31" t="n">
        <x:f>IF(E2=0,"",E2*K2)</x:f>
        <x:v>15.31398678553149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289.6753</x:v>
      </x:c>
      <x:c r="E3" s="31" t="n">
        <x:v>289.6753</x:v>
      </x:c>
      <x:c r="F3" s="32" t="n">
        <x:v>0</x:v>
      </x:c>
      <x:c r="G3" s="34" t="n">
        <x:v>1</x:v>
      </x:c>
      <x:c r="H3" s="32" t="n">
        <x:f>IF(E3=0,"",I3/E3)</x:f>
        <x:v>912.0108393559096</x:v>
      </x:c>
      <x:c r="I3" s="31" t="n">
        <x:f>IF(C3=0,"",SUMIF('Species'!$G$2:$G$19,A3,'Species'!$U$2:$U$19))</x:f>
        <x:v>264187.0134936749</x:v>
      </x:c>
      <x:c r="J3" s="32" t="n">
        <x:v>3.96</x:v>
      </x:c>
      <x:c r="K3" s="32" t="n">
        <x:f>IF(J3="","",(1/'Metadata'!$B$5)^(J3-1))</x:f>
        <x:v>912.0108393559096</x:v>
      </x:c>
      <x:c r="L3" s="31" t="n">
        <x:f>IF(E3=0,"",E3*K3)</x:f>
        <x:v>264187.0134936749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3</x:v>
      </x:c>
      <x:c r="C4" s="33" t="n">
        <x:v>3</x:v>
      </x:c>
      <x:c r="D4" s="31" t="n">
        <x:v>8.7034533146</x:v>
      </x:c>
      <x:c r="E4" s="31" t="n">
        <x:v>8.7034533146</x:v>
      </x:c>
      <x:c r="F4" s="32" t="n">
        <x:v>0</x:v>
      </x:c>
      <x:c r="G4" s="34" t="n">
        <x:v>1</x:v>
      </x:c>
      <x:c r="H4" s="32" t="n">
        <x:f>IF(E4=0,"",I4/E4)</x:f>
        <x:v>875.5020014293586</x:v>
      </x:c>
      <x:c r="I4" s="31" t="n">
        <x:f>IF(C4=0,"",SUMIF('Species'!$G$2:$G$19,A4,'Species'!$U$2:$U$19))</x:f>
        <x:v>7619.890796279286</x:v>
      </x:c>
      <x:c r="J4" s="32" t="n">
        <x:v>3.9378665375004824</x:v>
      </x:c>
      <x:c r="K4" s="32" t="n">
        <x:f>IF(J4="","",(1/'Metadata'!$B$5)^(J4-1))</x:f>
        <x:v>866.6954917107674</x:v>
      </x:c>
      <x:c r="L4" s="31" t="n">
        <x:f>IF(E4=0,"",E4*K4)</x:f>
        <x:v>7543.2437500789565</x:v>
      </x:c>
      <x:c r="M4" s="31" t="n">
        <x:f>IF(E4=0,"",I4-L4)</x:f>
        <x:v>76.6470462003299</x:v>
      </x:c>
      <x:c r="N4" s="32" t="n">
        <x:f>IF(L4=0,"",I4/L4)</x:f>
        <x:v>1.0101610194154906</x:v>
      </x:c>
      <x:c r="O4" s="34" t="n">
        <x:f>IF(L4=0,"",M4/L4)</x:f>
        <x:v>0.010161019415490533</x:v>
      </x:c>
    </x:row>
    <x:row r="5" ht="18" customHeight="1">
      <x:c r="A5" s="24" t="str">
        <x:v>Large rays (&gt;=90 cm)</x:v>
      </x:c>
      <x:c r="B5" s="33" t="n">
        <x:v>1</x:v>
      </x:c>
      <x:c r="C5" s="33" t="n">
        <x:v>1</x:v>
      </x:c>
      <x:c r="D5" s="31" t="n">
        <x:v>7.3412639898</x:v>
      </x:c>
      <x:c r="E5" s="31" t="n">
        <x:v>7.3412639898</x:v>
      </x:c>
      <x:c r="F5" s="32" t="n">
        <x:v>0</x:v>
      </x:c>
      <x:c r="G5" s="34" t="n">
        <x:v>1</x:v>
      </x:c>
      <x:c r="H5" s="32" t="n">
        <x:f>IF(E5=0,"",I5/E5)</x:f>
        <x:v>407.3802778041126</x:v>
      </x:c>
      <x:c r="I5" s="31" t="n">
        <x:f>IF(C5=0,"",SUMIF('Species'!$G$2:$G$19,A5,'Species'!$U$2:$U$19))</x:f>
        <x:v>2990.686163598052</x:v>
      </x:c>
      <x:c r="J5" s="32" t="n">
        <x:v>3.61</x:v>
      </x:c>
      <x:c r="K5" s="32" t="n">
        <x:f>IF(J5="","",(1/'Metadata'!$B$5)^(J5-1))</x:f>
        <x:v>407.3802778041126</x:v>
      </x:c>
      <x:c r="L5" s="31" t="n">
        <x:f>IF(E5=0,"",E5*K5)</x:f>
        <x:v>2990.686163598052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sharks (&gt;=90 cm)</x:v>
      </x:c>
      <x:c r="B6" s="33" t="n">
        <x:v>3</x:v>
      </x:c>
      <x:c r="C6" s="33" t="n">
        <x:v>3</x:v>
      </x:c>
      <x:c r="D6" s="31" t="n">
        <x:v>385.13433799679996</x:v>
      </x:c>
      <x:c r="E6" s="31" t="n">
        <x:v>385.13433799679996</x:v>
      </x:c>
      <x:c r="F6" s="32" t="n">
        <x:v>0</x:v>
      </x:c>
      <x:c r="G6" s="34" t="n">
        <x:v>1</x:v>
      </x:c>
      <x:c r="H6" s="32" t="n">
        <x:f>IF(E6=0,"",I6/E6)</x:f>
        <x:v>2238.54943989956</x:v>
      </x:c>
      <x:c r="I6" s="31" t="n">
        <x:f>IF(C6=0,"",SUMIF('Species'!$G$2:$G$19,A6,'Species'!$U$2:$U$19))</x:f>
        <x:v>862142.2566088244</x:v>
      </x:c>
      <x:c r="J6" s="32" t="n">
        <x:v>4.349954251639244</x:v>
      </x:c>
      <x:c r="K6" s="32" t="n">
        <x:f>IF(J6="","",(1/'Metadata'!$B$5)^(J6-1))</x:f>
        <x:v>2238.485325237949</x:v>
      </x:c>
      <x:c r="L6" s="31" t="n">
        <x:f>IF(E6=0,"",E6*K6)</x:f>
        <x:v>862117.563851069</x:v>
      </x:c>
      <x:c r="M6" s="31" t="n">
        <x:f>IF(E6=0,"",I6-L6)</x:f>
        <x:v>24.692757755401544</x:v>
      </x:c>
      <x:c r="N6" s="32" t="n">
        <x:f>IF(L6=0,"",I6/L6)</x:f>
        <x:v>1.0000286419843312</x:v>
      </x:c>
      <x:c r="O6" s="34" t="n">
        <x:f>IF(L6=0,"",M6/L6)</x:f>
        <x:v>0.000028641984331115222</x:v>
      </x:c>
    </x:row>
    <x:row r="7" ht="18" customHeight="1">
      <x:c r="A7" s="24" t="str">
        <x:v>Medium bathypelagics (30 - 89 cm)</x:v>
      </x:c>
      <x:c r="B7" s="33" t="n">
        <x:v>1</x:v>
      </x:c>
      <x:c r="C7" s="33" t="n">
        <x:v>1</x:v>
      </x:c>
      <x:c r="D7" s="31" t="n">
        <x:v>4.1676</x:v>
      </x:c>
      <x:c r="E7" s="31" t="n">
        <x:v>4.1676</x:v>
      </x:c>
      <x:c r="F7" s="32" t="n">
        <x:v>0</x:v>
      </x:c>
      <x:c r="G7" s="34" t="n">
        <x:v>1</x:v>
      </x:c>
      <x:c r="H7" s="32" t="n">
        <x:f>IF(E7=0,"",I7/E7)</x:f>
        <x:v>380.1893963205613</x:v>
      </x:c>
      <x:c r="I7" s="31" t="n">
        <x:f>IF(C7=0,"",SUMIF('Species'!$G$2:$G$19,A7,'Species'!$U$2:$U$19))</x:f>
        <x:v>1584.4773281055714</x:v>
      </x:c>
      <x:c r="J7" s="32" t="n">
        <x:v>3.58</x:v>
      </x:c>
      <x:c r="K7" s="32" t="n">
        <x:f>IF(J7="","",(1/'Metadata'!$B$5)^(J7-1))</x:f>
        <x:v>380.1893963205613</x:v>
      </x:c>
      <x:c r="L7" s="31" t="n">
        <x:f>IF(E7=0,"",E7*K7)</x:f>
        <x:v>1584.4773281055714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benthopelagics (30 - 89 cm)</x:v>
      </x:c>
      <x:c r="B8" s="33" t="n">
        <x:v>2</x:v>
      </x:c>
      <x:c r="C8" s="33" t="n">
        <x:v>2</x:v>
      </x:c>
      <x:c r="D8" s="31" t="n">
        <x:v>14.9383</x:v>
      </x:c>
      <x:c r="E8" s="31" t="n">
        <x:v>14.9383</x:v>
      </x:c>
      <x:c r="F8" s="32" t="n">
        <x:v>0</x:v>
      </x:c>
      <x:c r="G8" s="34" t="n">
        <x:v>1</x:v>
      </x:c>
      <x:c r="H8" s="32" t="n">
        <x:f>IF(E8=0,"",I8/E8)</x:f>
        <x:v>647.7970857734638</x:v>
      </x:c>
      <x:c r="I8" s="31" t="n">
        <x:f>IF(C8=0,"",SUMIF('Species'!$G$2:$G$19,A8,'Species'!$U$2:$U$19))</x:f>
        <x:v>9676.987206409734</x:v>
      </x:c>
      <x:c r="J8" s="32" t="n">
        <x:v>3.784119612004043</x:v>
      </x:c>
      <x:c r="K8" s="32" t="n">
        <x:f>IF(J8="","",(1/'Metadata'!$B$5)^(J8-1))</x:f>
        <x:v>608.3025149523341</x:v>
      </x:c>
      <x:c r="L8" s="31" t="n">
        <x:f>IF(E8=0,"",E8*K8)</x:f>
        <x:v>9087.005459112454</x:v>
      </x:c>
      <x:c r="M8" s="31" t="n">
        <x:f>IF(E8=0,"",I8-L8)</x:f>
        <x:v>589.9817472972809</x:v>
      </x:c>
      <x:c r="N8" s="32" t="n">
        <x:f>IF(L8=0,"",I8/L8)</x:f>
        <x:v>1.064925871339237</x:v>
      </x:c>
      <x:c r="O8" s="34" t="n">
        <x:f>IF(L8=0,"",M8/L8)</x:f>
        <x:v>0.06492587133923716</x:v>
      </x:c>
    </x:row>
    <x:row r="9" ht="18" customHeight="1">
      <x:c r="A9" s="24" t="str">
        <x:v>Medium demersals (30 - 89 cm)</x:v>
      </x:c>
      <x:c r="B9" s="33" t="n">
        <x:v>2</x:v>
      </x:c>
      <x:c r="C9" s="33" t="n">
        <x:v>2</x:v>
      </x:c>
      <x:c r="D9" s="31" t="n">
        <x:v>257.09356799799997</x:v>
      </x:c>
      <x:c r="E9" s="31" t="n">
        <x:v>257.09356799799997</x:v>
      </x:c>
      <x:c r="F9" s="32" t="n">
        <x:v>0</x:v>
      </x:c>
      <x:c r="G9" s="34" t="n">
        <x:v>1</x:v>
      </x:c>
      <x:c r="H9" s="32" t="n">
        <x:f>IF(E9=0,"",I9/E9)</x:f>
        <x:v>239.00516846941636</x:v>
      </x:c>
      <x:c r="I9" s="31" t="n">
        <x:f>IF(C9=0,"",SUMIF('Species'!$G$2:$G$19,A9,'Species'!$U$2:$U$19))</x:f>
        <x:v>61446.69153176533</x:v>
      </x:c>
      <x:c r="J9" s="32" t="n">
        <x:v>3.361692047621212</x:v>
      </x:c>
      <x:c r="K9" s="32" t="n">
        <x:f>IF(J9="","",(1/'Metadata'!$B$5)^(J9-1))</x:f>
        <x:v>229.98104744046938</x:v>
      </x:c>
      <x:c r="L9" s="31" t="n">
        <x:f>IF(E9=0,"",E9*K9)</x:f>
        <x:v>59126.648058387575</x:v>
      </x:c>
      <x:c r="M9" s="31" t="n">
        <x:f>IF(E9=0,"",I9-L9)</x:f>
        <x:v>2320.0434733777583</x:v>
      </x:c>
      <x:c r="N9" s="32" t="n">
        <x:f>IF(L9=0,"",I9/L9)</x:f>
        <x:v>1.0392385421728407</x:v>
      </x:c>
      <x:c r="O9" s="34" t="n">
        <x:f>IF(L9=0,"",M9/L9)</x:f>
        <x:v>0.03923854217284083</x:v>
      </x:c>
    </x:row>
    <x:row r="10" ht="18" customHeight="1">
      <x:c r="A10" s="24" t="str">
        <x:v>Medium pelagics (30 - 89 cm)</x:v>
      </x:c>
      <x:c r="B10" s="33" t="n">
        <x:v>3</x:v>
      </x:c>
      <x:c r="C10" s="33" t="n">
        <x:v>3</x:v>
      </x:c>
      <x:c r="D10" s="31" t="n">
        <x:v>6.922366477099999</x:v>
      </x:c>
      <x:c r="E10" s="31" t="n">
        <x:v>6.922366477099999</x:v>
      </x:c>
      <x:c r="F10" s="32" t="n">
        <x:v>0</x:v>
      </x:c>
      <x:c r="G10" s="34" t="n">
        <x:v>1</x:v>
      </x:c>
      <x:c r="H10" s="32" t="n">
        <x:f>IF(E10=0,"",I10/E10)</x:f>
        <x:v>2331.066773233067</x:v>
      </x:c>
      <x:c r="I10" s="31" t="n">
        <x:f>IF(C10=0,"",SUMIF('Species'!$G$2:$G$19,A10,'Species'!$U$2:$U$19))</x:f>
        <x:v>16136.49848691025</x:v>
      </x:c>
      <x:c r="J10" s="32" t="n">
        <x:v>4.367224161227585</x:v>
      </x:c>
      <x:c r="K10" s="32" t="n">
        <x:f>IF(J10="","",(1/'Metadata'!$B$5)^(J10-1))</x:f>
        <x:v>2329.293212836636</x:v>
      </x:c>
      <x:c r="L10" s="31" t="n">
        <x:f>IF(E10=0,"",E10*K10)</x:f>
        <x:v>16124.221251876883</x:v>
      </x:c>
      <x:c r="M10" s="31" t="n">
        <x:f>IF(E10=0,"",I10-L10)</x:f>
        <x:v>12.277235033367106</x:v>
      </x:c>
      <x:c r="N10" s="32" t="n">
        <x:f>IF(L10=0,"",I10/L10)</x:f>
        <x:v>1.0007614156889555</x:v>
      </x:c>
      <x:c r="O10" s="34" t="n">
        <x:f>IF(L10=0,"",M10/L10)</x:f>
        <x:v>0.0007614156889553979</x:v>
      </x:c>
    </x:row>
    <x:row r="11" ht="18" customHeight="1">
      <x:c r="A11" s="24" t="str">
        <x:v>Medium reef assoc. fish (30 - 89 cm)</x:v>
      </x:c>
      <x:c r="B11" s="33" t="n">
        <x:v>1</x:v>
      </x:c>
      <x:c r="C11" s="33" t="n">
        <x:v>1</x:v>
      </x:c>
      <x:c r="D11" s="31" t="n">
        <x:v>0.0182544504</x:v>
      </x:c>
      <x:c r="E11" s="31" t="n">
        <x:v>0.0182544504</x:v>
      </x:c>
      <x:c r="F11" s="32" t="n">
        <x:v>0</x:v>
      </x:c>
      <x:c r="G11" s="34" t="n">
        <x:v>1</x:v>
      </x:c>
      <x:c r="H11" s="32" t="n">
        <x:f>IF(E11=0,"",I11/E11)</x:f>
        <x:v>33.88441561392024</x:v>
      </x:c>
      <x:c r="I11" s="31" t="n">
        <x:f>IF(C11=0,"",SUMIF('Species'!$G$2:$G$19,A11,'Species'!$U$2:$U$19))</x:f>
        <x:v>0.6185413841572925</x:v>
      </x:c>
      <x:c r="J11" s="32" t="n">
        <x:v>2.53</x:v>
      </x:c>
      <x:c r="K11" s="32" t="n">
        <x:f>IF(J11="","",(1/'Metadata'!$B$5)^(J11-1))</x:f>
        <x:v>33.88441561392024</x:v>
      </x:c>
      <x:c r="L11" s="31" t="n">
        <x:f>IF(E11=0,"",E11*K11)</x:f>
        <x:v>0.6185413841572925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583615d93144d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EEZ_711</x:v>
      </x:c>
      <x:c r="B2" s="24" t="str">
        <x:v>raw_filtered_tonnes</x:v>
      </x:c>
      <x:c r="C2" s="24" t="n">
        <x:v>974.4787150097001</x:v>
      </x:c>
      <x:c r="D2" s="24" t="str">
        <x:v>tonnes</x:v>
      </x:c>
    </x:row>
    <x:row r="3" ht="18" customHeight="1">
      <x:c r="A3" s="24" t="str">
        <x:v>EEZ_711</x:v>
      </x:c>
      <x:c r="B3" s="24" t="str">
        <x:v>species_catch_tonnes</x:v>
      </x:c>
      <x:c r="C3" s="24" t="n">
        <x:v>974.4787150097001</x:v>
      </x:c>
      <x:c r="D3" s="24" t="str">
        <x:v>tonnes</x:v>
      </x:c>
    </x:row>
    <x:row r="4" ht="18" customHeight="1">
      <x:c r="A4" s="24" t="str">
        <x:v>EEZ_711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EEZ_711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EEZ_711</x:v>
      </x:c>
      <x:c r="B6" s="24" t="str">
        <x:v>matched_catch_tonnes</x:v>
      </x:c>
      <x:c r="C6" s="24" t="n">
        <x:v>974.4787150097001</x:v>
      </x:c>
      <x:c r="D6" s="24" t="str">
        <x:v>tonnes</x:v>
      </x:c>
    </x:row>
    <x:row r="7" ht="18" customHeight="1">
      <x:c r="A7" s="24" t="str">
        <x:v>EEZ_711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EEZ_711</x:v>
      </x:c>
      <x:c r="B8" s="24" t="str">
        <x:v>taxa_count</x:v>
      </x:c>
      <x:c r="C8" s="24" t="n">
        <x:v>18</x:v>
      </x:c>
      <x:c r="D8" s="24" t="str">
        <x:v>count</x:v>
      </x:c>
    </x:row>
    <x:row r="9" ht="18" customHeight="1">
      <x:c r="A9" s="24" t="str">
        <x:v>EEZ_711</x:v>
      </x:c>
      <x:c r="B9" s="24" t="str">
        <x:v>matched_taxa_count</x:v>
      </x:c>
      <x:c r="C9" s="24" t="n">
        <x:v>18</x:v>
      </x:c>
      <x:c r="D9" s="24" t="str">
        <x:v>count</x:v>
      </x:c>
    </x:row>
    <x:row r="10" ht="18" customHeight="1">
      <x:c r="A10" s="24" t="str">
        <x:v>EEZ_711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EEZ_711</x:v>
      </x:c>
      <x:c r="B11" s="24" t="str">
        <x:v>species_ppr</x:v>
      </x:c>
      <x:c r="C11" s="24" t="n">
        <x:v>1225800.4341437374</x:v>
      </x:c>
      <x:c r="D11" s="24" t="str">
        <x:v>tonnes_primary_production_equivalent</x:v>
      </x:c>
    </x:row>
    <x:row r="12" ht="18" customHeight="1">
      <x:c r="A12" s="24" t="str">
        <x:v>EEZ_711</x:v>
      </x:c>
      <x:c r="B12" s="24" t="str">
        <x:v>commercial_ppr</x:v>
      </x:c>
      <x:c r="C12" s="24" t="n">
        <x:v>1225800.4341437372</x:v>
      </x:c>
      <x:c r="D12" s="24" t="str">
        <x:v>tonnes_primary_production_equivalent</x:v>
      </x:c>
    </x:row>
    <x:row r="13" ht="18" customHeight="1">
      <x:c r="A13" s="24" t="str">
        <x:v>EEZ_711</x:v>
      </x:c>
      <x:c r="B13" s="24" t="str">
        <x:v>functional_ppr</x:v>
      </x:c>
      <x:c r="C13" s="24" t="n">
        <x:v>1225800.4341437372</x:v>
      </x:c>
      <x:c r="D13" s="24" t="str">
        <x:v>tonnes_primary_production_equivalent</x:v>
      </x:c>
    </x:row>
    <x:row r="14" ht="18" customHeight="1">
      <x:c r="A14" s="24" t="str">
        <x:v>EEZ_711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EEZ_711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EEZ_711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EEZ_711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EEZ_711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EEZ_711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52eb706f12c45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EEZ_711 - Prince Edward Isl. (South Africa)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EEZ_711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raw_data/SAU_downloads/EEZ_711-catch.zip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