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d894e7bd4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91cc48c4f5d4dbc"/>
    <x:sheet xmlns:r="http://schemas.openxmlformats.org/officeDocument/2006/relationships" name="Commercial" sheetId="2" r:id="R4634c4a3f4884ba0"/>
    <x:sheet xmlns:r="http://schemas.openxmlformats.org/officeDocument/2006/relationships" name="Functional" sheetId="3" r:id="R92f199c50cee41ba"/>
    <x:sheet xmlns:r="http://schemas.openxmlformats.org/officeDocument/2006/relationships" name="Missing TL" sheetId="4" r:id="R11817c65d8834de4"/>
    <x:sheet xmlns:r="http://schemas.openxmlformats.org/officeDocument/2006/relationships" name="Validation" sheetId="5" r:id="R8780b465d11949e6"/>
    <x:sheet xmlns:r="http://schemas.openxmlformats.org/officeDocument/2006/relationships" name="Metadata" sheetId="6" r:id="Rd1f8947c5c0942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b0730cfdd4a02" /><Relationship Type="http://schemas.openxmlformats.org/officeDocument/2006/relationships/theme" Target="/xl/theme/theme1.xml" Id="R8c511725dec84505" /><Relationship Type="http://schemas.microsoft.com/office/2022/11/relationships/FeaturePropertyBag" Target="/xl/featurePropertyBag/featurePropertyBag.xml" Id="R037d9a5a818141c1" /><Relationship Type="http://schemas.openxmlformats.org/officeDocument/2006/relationships/sharedStrings" Target="/xl/sharedStrings.xml" Id="R5406488c54c64d1a" /><Relationship Type="http://schemas.openxmlformats.org/officeDocument/2006/relationships/worksheet" Target="/xl/worksheets/sheet1.xml" Id="R591cc48c4f5d4dbc" /><Relationship Type="http://schemas.openxmlformats.org/officeDocument/2006/relationships/worksheet" Target="/xl/worksheets/sheet2.xml" Id="R4634c4a3f4884ba0" /><Relationship Type="http://schemas.openxmlformats.org/officeDocument/2006/relationships/worksheet" Target="/xl/worksheets/sheet3.xml" Id="R92f199c50cee41ba" /><Relationship Type="http://schemas.openxmlformats.org/officeDocument/2006/relationships/worksheet" Target="/xl/worksheets/sheet4.xml" Id="R11817c65d8834de4" /><Relationship Type="http://schemas.openxmlformats.org/officeDocument/2006/relationships/worksheet" Target="/xl/worksheets/sheet5.xml" Id="R8780b465d11949e6" /><Relationship Type="http://schemas.openxmlformats.org/officeDocument/2006/relationships/worksheet" Target="/xl/worksheets/sheet6.xml" Id="Rd1f8947c5c0942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94SpeciesTable" displayName="EEZ794SpeciesTable" ref="A1:U50" headerRowCount="1" totalsRowCount="0" totalsRowShown="0">
  <x:autoFilter ref="A1:U5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94CommercialTable" displayName="EEZ794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94FunctionalTable" displayName="EEZ794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94ValidationTable" displayName="EEZ79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943b4b5c934d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1cd1cda6a94d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cb1508d0ea47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7ae30691874a8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EEZ_794</x:v>
      </x:c>
      <x:c r="B2" s="24" t="str">
        <x:v>Turkey (Black Sea)</x:v>
      </x:c>
      <x:c r="C2" s="24" t="str">
        <x:v>EEZ</x:v>
      </x:c>
      <x:c r="D2" s="30" t="n">
        <x:v>2019</x:v>
      </x:c>
      <x:c r="E2" s="24" t="str">
        <x:v>Engraulis encrasicolus</x:v>
      </x:c>
      <x:c r="F2" s="24" t="str">
        <x:v>European anchovy</x:v>
      </x:c>
      <x:c r="G2" s="24" t="str">
        <x:v>Small pelagics (&lt;30 cm)</x:v>
      </x:c>
      <x:c r="H2" s="24" t="str">
        <x:v>Anchovies</x:v>
      </x:c>
      <x:c r="I2" s="31" t="n">
        <x:v>268355.5097471848</x:v>
      </x:c>
      <x:c r="J2" s="31" t="n">
        <x:v>264017.6298710464</x:v>
      </x:c>
      <x:c r="K2" s="31" t="n">
        <x:v>4337.8798761384</x:v>
      </x:c>
      <x:c r="L2" s="31" t="n">
        <x:v>233083.6</x:v>
      </x:c>
      <x:c r="M2" s="31" t="n">
        <x:v>35271.9097471848</x:v>
      </x:c>
      <x:c r="N2" s="24" t="str">
        <x:v>engraulis encrasicolus</x:v>
      </x:c>
      <x:c r="O2" s="32" t="n">
        <x:v>3.11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encrasicolus</x:v>
      </x:c>
      <x:c r="T2" s="32" t="n">
        <x:f>IF(O2="","",(1/'Metadata'!$B$5)^(O2-1))</x:f>
        <x:v>128.82495516931337</x:v>
      </x:c>
      <x:c r="U2" s="31" t="n">
        <x:f>IF(T2="","",I2*T2)</x:f>
        <x:v>34570886.512619324</x:v>
      </x:c>
    </x:row>
    <x:row r="3" ht="18" customHeight="1">
      <x:c r="A3" s="24" t="str">
        <x:v>EEZ_794</x:v>
      </x:c>
      <x:c r="B3" s="24" t="str">
        <x:v>Turkey (Black Sea)</x:v>
      </x:c>
      <x:c r="C3" s="24" t="str">
        <x:v>EEZ</x:v>
      </x:c>
      <x:c r="D3" s="30" t="n">
        <x:v>2019</x:v>
      </x:c>
      <x:c r="E3" s="24" t="str">
        <x:v>Sprattus sprattus</x:v>
      </x:c>
      <x:c r="F3" s="24" t="str">
        <x:v>European sprat</x:v>
      </x:c>
      <x:c r="G3" s="24" t="str">
        <x:v>Small pelagics (&lt;30 cm)</x:v>
      </x:c>
      <x:c r="H3" s="24" t="str">
        <x:v>Herring-likes</x:v>
      </x:c>
      <x:c r="I3" s="31" t="n">
        <x:v>158106.7664786366</x:v>
      </x:c>
      <x:c r="J3" s="31" t="n">
        <x:v>139933.6252400184</x:v>
      </x:c>
      <x:c r="K3" s="31" t="n">
        <x:v>18173.1412386182</x:v>
      </x:c>
      <x:c r="L3" s="31" t="n">
        <x:v>76121.96475</x:v>
      </x:c>
      <x:c r="M3" s="31" t="n">
        <x:v>81984.8017286366</x:v>
      </x:c>
      <x:c r="N3" s="24" t="str">
        <x:v>sprattus sprattus</x:v>
      </x:c>
      <x:c r="O3" s="32" t="n">
        <x:v>3.01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Sprattus sprattus</x:v>
      </x:c>
      <x:c r="T3" s="32" t="n">
        <x:f>IF(O3="","",(1/'Metadata'!$B$5)^(O3-1))</x:f>
        <x:v>102.32929922807536</x:v>
      </x:c>
      <x:c r="U3" s="31" t="n">
        <x:f>IF(T3="","",I3*T3)</x:f>
        <x:v>16178954.616975838</x:v>
      </x:c>
    </x:row>
    <x:row r="4" ht="18" customHeight="1">
      <x:c r="A4" s="24" t="str">
        <x:v>EEZ_794</x:v>
      </x:c>
      <x:c r="B4" s="24" t="str">
        <x:v>Turkey (Black Sea)</x:v>
      </x:c>
      <x:c r="C4" s="24" t="str">
        <x:v>EEZ</x:v>
      </x:c>
      <x:c r="D4" s="30" t="n">
        <x:v>2019</x:v>
      </x:c>
      <x:c r="E4" s="24" t="str">
        <x:v>Chamelea gallina</x:v>
      </x:c>
      <x:c r="F4" s="24" t="str">
        <x:v>Striped venus</x:v>
      </x:c>
      <x:c r="G4" s="24" t="str">
        <x:v>Other demersal invertebrates</x:v>
      </x:c>
      <x:c r="H4" s="24" t="str">
        <x:v>Molluscs</x:v>
      </x:c>
      <x:c r="I4" s="31" t="n">
        <x:v>43455.6527092132</x:v>
      </x:c>
      <x:c r="J4" s="31" t="n">
        <x:v>42671.6827643907</x:v>
      </x:c>
      <x:c r="K4" s="31" t="n">
        <x:v>783.9699448225</x:v>
      </x:c>
      <x:c r="L4" s="31" t="n">
        <x:v>36612.5</x:v>
      </x:c>
      <x:c r="M4" s="31" t="n">
        <x:v>6843.1527092132</x:v>
      </x:c>
      <x:c r="N4" s="24" t="str">
        <x:v>chamelea gallina</x:v>
      </x:c>
      <x:c r="O4" s="32" t="n">
        <x:v>2.1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Chamelea gallina</x:v>
      </x:c>
      <x:c r="T4" s="32" t="n">
        <x:f>IF(O4="","",(1/'Metadata'!$B$5)^(O4-1))</x:f>
        <x:v>12.589254117941675</x:v>
      </x:c>
      <x:c r="U4" s="31" t="n">
        <x:f>IF(T4="","",I4*T4)</x:f>
        <x:v>547074.2548173056</x:v>
      </x:c>
    </x:row>
    <x:row r="5" ht="18" customHeight="1">
      <x:c r="A5" s="24" t="str">
        <x:v>EEZ_794</x:v>
      </x:c>
      <x:c r="B5" s="24" t="str">
        <x:v>Turkey (Black Sea)</x:v>
      </x:c>
      <x:c r="C5" s="24" t="str">
        <x:v>EEZ</x:v>
      </x:c>
      <x:c r="D5" s="30" t="n">
        <x:v>2019</x:v>
      </x:c>
      <x:c r="E5" s="24" t="str">
        <x:v>Mytilus galloprovincialis</x:v>
      </x:c>
      <x:c r="F5" s="24" t="str">
        <x:v>Mediterranean mussel</x:v>
      </x:c>
      <x:c r="G5" s="24" t="str">
        <x:v>Other demersal invertebrates</x:v>
      </x:c>
      <x:c r="H5" s="24" t="str">
        <x:v>Molluscs</x:v>
      </x:c>
      <x:c r="I5" s="31" t="n">
        <x:v>16568.5727765228</x:v>
      </x:c>
      <x:c r="J5" s="31" t="n">
        <x:v>16548.3344323393</x:v>
      </x:c>
      <x:c r="K5" s="31" t="n">
        <x:v>20.2383441835</x:v>
      </x:c>
      <x:c r="L5" s="31" t="n">
        <x:v>898.4883870968999</x:v>
      </x:c>
      <x:c r="M5" s="31" t="n">
        <x:v>15670.084389425901</x:v>
      </x:c>
      <x:c r="N5" s="24" t="str">
        <x:v>mytilus galloprovincialis</x:v>
      </x:c>
      <x:c r="O5" s="32" t="n">
        <x:v>2.69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Mytilus galloprovincialis</x:v>
      </x:c>
      <x:c r="T5" s="32" t="n">
        <x:f>IF(O5="","",(1/'Metadata'!$B$5)^(O5-1))</x:f>
        <x:v>48.97788193684461</x:v>
      </x:c>
      <x:c r="U5" s="31" t="n">
        <x:f>IF(T5="","",I5*T5)</x:f>
        <x:v>811493.6013105514</x:v>
      </x:c>
    </x:row>
    <x:row r="6" ht="18" customHeight="1">
      <x:c r="A6" s="24" t="str">
        <x:v>EEZ_794</x:v>
      </x:c>
      <x:c r="B6" s="24" t="str">
        <x:v>Turkey (Black Sea)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15894.2142706444</x:v>
      </x:c>
      <x:c r="J6" s="31" t="n">
        <x:v>14522.1456103842</x:v>
      </x:c>
      <x:c r="K6" s="31" t="n">
        <x:v>1372.0686602602</x:v>
      </x:c>
      <x:c r="L6" s="31" t="n">
        <x:v>11190.4734851274</x:v>
      </x:c>
      <x:c r="M6" s="31" t="n">
        <x:v>4703.740785517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3028580.0935603753</x:v>
      </x:c>
    </x:row>
    <x:row r="7" ht="18" customHeight="1">
      <x:c r="A7" s="24" t="str">
        <x:v>EEZ_794</x:v>
      </x:c>
      <x:c r="B7" s="24" t="str">
        <x:v>Turkey (Black Sea)</x:v>
      </x:c>
      <x:c r="C7" s="24" t="str">
        <x:v>EEZ</x:v>
      </x:c>
      <x:c r="D7" s="30" t="n">
        <x:v>2019</x:v>
      </x:c>
      <x:c r="E7" s="24" t="str">
        <x:v>Sarda sarda</x:v>
      </x:c>
      <x:c r="F7" s="24" t="str">
        <x:v>Atlantic bonito</x:v>
      </x:c>
      <x:c r="G7" s="24" t="str">
        <x:v>Medium pelagics (30 - 89 cm)</x:v>
      </x:c>
      <x:c r="H7" s="24" t="str">
        <x:v>Tuna &amp; billfishes</x:v>
      </x:c>
      <x:c r="I7" s="31" t="n">
        <x:v>15857.3265277178</x:v>
      </x:c>
      <x:c r="J7" s="31" t="n">
        <x:v>13796.2855748944</x:v>
      </x:c>
      <x:c r="K7" s="31" t="n">
        <x:v>2061.0409528234</x:v>
      </x:c>
      <x:c r="L7" s="31" t="n">
        <x:v>603.3000000001</x:v>
      </x:c>
      <x:c r="M7" s="31" t="n">
        <x:v>15254.026527717699</x:v>
      </x:c>
      <x:c r="N7" s="24" t="str">
        <x:v>sarda sarda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Sarda sarda</x:v>
      </x:c>
      <x:c r="T7" s="32" t="n">
        <x:f>IF(O7="","",(1/'Metadata'!$B$5)^(O7-1))</x:f>
        <x:v>3162.2776601683795</x:v>
      </x:c>
      <x:c r="U7" s="31" t="n">
        <x:f>IF(T7="","",I7*T7)</x:f>
        <x:v>50145269.42859742</x:v>
      </x:c>
    </x:row>
    <x:row r="8" ht="18" customHeight="1">
      <x:c r="A8" s="24" t="str">
        <x:v>EEZ_794</x:v>
      </x:c>
      <x:c r="B8" s="24" t="str">
        <x:v>Turkey (Black Sea)</x:v>
      </x:c>
      <x:c r="C8" s="24" t="str">
        <x:v>EEZ</x:v>
      </x:c>
      <x:c r="D8" s="30" t="n">
        <x:v>2019</x:v>
      </x:c>
      <x:c r="E8" s="24" t="str">
        <x:v>Merlangius merlangus</x:v>
      </x:c>
      <x:c r="F8" s="24" t="str">
        <x:v>Whiting</x:v>
      </x:c>
      <x:c r="G8" s="24" t="str">
        <x:v>Medium benthopelagics (30 - 89 cm)</x:v>
      </x:c>
      <x:c r="H8" s="24" t="str">
        <x:v>Cod-likes</x:v>
      </x:c>
      <x:c r="I8" s="31" t="n">
        <x:v>15031.7661585673</x:v>
      </x:c>
      <x:c r="J8" s="31" t="n">
        <x:v>13042.7759330051</x:v>
      </x:c>
      <x:c r="K8" s="31" t="n">
        <x:v>1988.9902255622</x:v>
      </x:c>
      <x:c r="L8" s="31" t="n">
        <x:v>8276.6999999998</x:v>
      </x:c>
      <x:c r="M8" s="31" t="n">
        <x:v>6755.0661585675</x:v>
      </x:c>
      <x:c r="N8" s="24" t="str">
        <x:v>merlangius merlangus</x:v>
      </x:c>
      <x:c r="O8" s="32" t="n">
        <x:v>4.36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Merlangius merlangus</x:v>
      </x:c>
      <x:c r="T8" s="32" t="n">
        <x:f>IF(O8="","",(1/'Metadata'!$B$5)^(O8-1))</x:f>
        <x:v>2290.867652767775</x:v>
      </x:c>
      <x:c r="U8" s="31" t="n">
        <x:f>IF(T8="","",I8*T8)</x:f>
        <x:v>34435786.856631145</x:v>
      </x:c>
    </x:row>
    <x:row r="9" ht="18" customHeight="1">
      <x:c r="A9" s="24" t="str">
        <x:v>EEZ_794</x:v>
      </x:c>
      <x:c r="B9" s="24" t="str">
        <x:v>Turkey (Black Sea)</x:v>
      </x:c>
      <x:c r="C9" s="24" t="str">
        <x:v>EEZ</x:v>
      </x:c>
      <x:c r="D9" s="30" t="n">
        <x:v>2019</x:v>
      </x:c>
      <x:c r="E9" s="24" t="str">
        <x:v>Trachurus mediterraneus</x:v>
      </x:c>
      <x:c r="F9" s="24" t="str">
        <x:v>Mediterranean horse mackerel</x:v>
      </x:c>
      <x:c r="G9" s="24" t="str">
        <x:v>Medium pelagics (30 - 89 cm)</x:v>
      </x:c>
      <x:c r="H9" s="24" t="str">
        <x:v>Perch-likes</x:v>
      </x:c>
      <x:c r="I9" s="31" t="n">
        <x:v>11825.401905865</x:v>
      </x:c>
      <x:c r="J9" s="31" t="n">
        <x:v>11792.075470535</x:v>
      </x:c>
      <x:c r="K9" s="31" t="n">
        <x:v>33.32643533</x:v>
      </x:c>
      <x:c r="L9" s="31" t="n">
        <x:v>11190.0000000001</x:v>
      </x:c>
      <x:c r="M9" s="31" t="n">
        <x:v>635.4019058649</x:v>
      </x:c>
      <x:c r="N9" s="24" t="str">
        <x:v>trachurus mediterraneus</x:v>
      </x:c>
      <x:c r="O9" s="32" t="n">
        <x:v>3.77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Trachurus mediterraneus</x:v>
      </x:c>
      <x:c r="T9" s="32" t="n">
        <x:f>IF(O9="","",(1/'Metadata'!$B$5)^(O9-1))</x:f>
        <x:v>588.843655355589</x:v>
      </x:c>
      <x:c r="U9" s="31" t="n">
        <x:f>IF(T9="","",I9*T9)</x:f>
        <x:v>6963312.884298495</x:v>
      </x:c>
    </x:row>
    <x:row r="10" ht="18" customHeight="1">
      <x:c r="A10" s="24" t="str">
        <x:v>EEZ_794</x:v>
      </x:c>
      <x:c r="B10" s="24" t="str">
        <x:v>Turkey (Black Sea)</x:v>
      </x:c>
      <x:c r="C10" s="24" t="str">
        <x:v>EEZ</x:v>
      </x:c>
      <x:c r="D10" s="30" t="n">
        <x:v>2019</x:v>
      </x:c>
      <x:c r="E10" s="24" t="str">
        <x:v>Pomatomus saltatrix</x:v>
      </x:c>
      <x:c r="F10" s="24" t="str">
        <x:v>Bluefish</x:v>
      </x:c>
      <x:c r="G10" s="24" t="str">
        <x:v>Large pelagics (&gt;=90 cm)</x:v>
      </x:c>
      <x:c r="H10" s="24" t="str">
        <x:v>Perch-likes</x:v>
      </x:c>
      <x:c r="I10" s="31" t="n">
        <x:v>3879.8747789855</x:v>
      </x:c>
      <x:c r="J10" s="31" t="n">
        <x:v>3412.4525484688997</x:v>
      </x:c>
      <x:c r="K10" s="31" t="n">
        <x:v>467.4222305166</x:v>
      </x:c>
      <x:c r="L10" s="31" t="n">
        <x:v>584.4000000003</x:v>
      </x:c>
      <x:c r="M10" s="31" t="n">
        <x:v>3295.4747789852</x:v>
      </x:c>
      <x:c r="N10" s="24" t="str">
        <x:v>pomatomus saltatrix</x:v>
      </x:c>
      <x:c r="O10" s="32" t="n">
        <x:v>4.53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Pomatomus saltatrix</x:v>
      </x:c>
      <x:c r="T10" s="32" t="n">
        <x:f>IF(O10="","",(1/'Metadata'!$B$5)^(O10-1))</x:f>
        <x:v>3388.4415613920273</x:v>
      </x:c>
      <x:c r="U10" s="31" t="n">
        <x:f>IF(T10="","",I10*T10)</x:f>
        <x:v>13146728.954111176</x:v>
      </x:c>
    </x:row>
    <x:row r="11" ht="18" customHeight="1">
      <x:c r="A11" s="24" t="str">
        <x:v>EEZ_794</x:v>
      </x:c>
      <x:c r="B11" s="24" t="str">
        <x:v>Turkey (Black Sea)</x:v>
      </x:c>
      <x:c r="C11" s="24" t="str">
        <x:v>EEZ</x:v>
      </x:c>
      <x:c r="D11" s="30" t="n">
        <x:v>2019</x:v>
      </x:c>
      <x:c r="E11" s="24" t="str">
        <x:v>Trachurus trachurus</x:v>
      </x:c>
      <x:c r="F11" s="24" t="str">
        <x:v>Atlantic horse mackerel</x:v>
      </x:c>
      <x:c r="G11" s="24" t="str">
        <x:v>Medium pelagics (30 - 89 cm)</x:v>
      </x:c>
      <x:c r="H11" s="24" t="str">
        <x:v>Perch-likes</x:v>
      </x:c>
      <x:c r="I11" s="31" t="n">
        <x:v>2927.8457251972004</x:v>
      </x:c>
      <x:c r="J11" s="31" t="n">
        <x:v>2875.9430401389004</x:v>
      </x:c>
      <x:c r="K11" s="31" t="n">
        <x:v>51.9026850583</x:v>
      </x:c>
      <x:c r="L11" s="31" t="n">
        <x:v>2789.7000000000003</x:v>
      </x:c>
      <x:c r="M11" s="31" t="n">
        <x:v>138.1457251972</x:v>
      </x:c>
      <x:c r="N11" s="24" t="str">
        <x:v>trachurus trachurus</x:v>
      </x:c>
      <x:c r="O11" s="32" t="n">
        <x:v>3.71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Trachurus trachurus</x:v>
      </x:c>
      <x:c r="T11" s="32" t="n">
        <x:f>IF(O11="","",(1/'Metadata'!$B$5)^(O11-1))</x:f>
        <x:v>512.8613839913648</x:v>
      </x:c>
      <x:c r="U11" s="31" t="n">
        <x:f>IF(T11="","",I11*T11)</x:f>
        <x:v>1501579.0107378375</x:v>
      </x:c>
    </x:row>
    <x:row r="12" ht="18" customHeight="1">
      <x:c r="A12" s="24" t="str">
        <x:v>EEZ_794</x:v>
      </x:c>
      <x:c r="B12" s="24" t="str">
        <x:v>Turkey (Black Sea)</x:v>
      </x:c>
      <x:c r="C12" s="24" t="str">
        <x:v>EEZ</x:v>
      </x:c>
      <x:c r="D12" s="30" t="n">
        <x:v>2019</x:v>
      </x:c>
      <x:c r="E12" s="24" t="str">
        <x:v>Mullus surmuletus</x:v>
      </x:c>
      <x:c r="F12" s="24" t="str">
        <x:v>Surmullet</x:v>
      </x:c>
      <x:c r="G12" s="24" t="str">
        <x:v>Medium demersals (30 - 89 cm)</x:v>
      </x:c>
      <x:c r="H12" s="24" t="str">
        <x:v>Perch-likes</x:v>
      </x:c>
      <x:c r="I12" s="31" t="n">
        <x:v>2738.1455810984003</x:v>
      </x:c>
      <x:c r="J12" s="31" t="n">
        <x:v>2589.3368353092</x:v>
      </x:c>
      <x:c r="K12" s="31" t="n">
        <x:v>148.8087457892</x:v>
      </x:c>
      <x:c r="L12" s="31" t="n">
        <x:v>1625.8999999999</x:v>
      </x:c>
      <x:c r="M12" s="31" t="n">
        <x:v>1112.2455810985</x:v>
      </x:c>
      <x:c r="N12" s="24" t="str">
        <x:v>mullus surmuletus</x:v>
      </x:c>
      <x:c r="O12" s="32" t="n">
        <x:v>3.45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Mullus surmuletus</x:v>
      </x:c>
      <x:c r="T12" s="32" t="n">
        <x:f>IF(O12="","",(1/'Metadata'!$B$5)^(O12-1))</x:f>
        <x:v>281.8382931264455</x:v>
      </x:c>
      <x:c r="U12" s="31" t="n">
        <x:f>IF(T12="","",I12*T12)</x:f>
        <x:v>771714.2769084923</x:v>
      </x:c>
    </x:row>
    <x:row r="13" ht="18" customHeight="1">
      <x:c r="A13" s="24" t="str">
        <x:v>EEZ_794</x:v>
      </x:c>
      <x:c r="B13" s="24" t="str">
        <x:v>Turkey (Black Sea)</x:v>
      </x:c>
      <x:c r="C13" s="24" t="str">
        <x:v>EEZ</x:v>
      </x:c>
      <x:c r="D13" s="30" t="n">
        <x:v>2019</x:v>
      </x:c>
      <x:c r="E13" s="24" t="str">
        <x:v>Alosa fallax</x:v>
      </x:c>
      <x:c r="F13" s="24" t="str">
        <x:v>Twaite shad</x:v>
      </x:c>
      <x:c r="G13" s="24" t="str">
        <x:v>Medium pelagics (30 - 89 cm)</x:v>
      </x:c>
      <x:c r="H13" s="24" t="str">
        <x:v>Herring-likes</x:v>
      </x:c>
      <x:c r="I13" s="31" t="n">
        <x:v>732.1566696603</x:v>
      </x:c>
      <x:c r="J13" s="31" t="n">
        <x:v>714.2168911549</x:v>
      </x:c>
      <x:c r="K13" s="31" t="n">
        <x:v>17.9397785054</x:v>
      </x:c>
      <x:c r="L13" s="31" t="n">
        <x:v>555.0999999999</x:v>
      </x:c>
      <x:c r="M13" s="31" t="n">
        <x:v>177.0566696604</x:v>
      </x:c>
      <x:c r="N13" s="24" t="str">
        <x:v>alosa fallax</x:v>
      </x:c>
      <x:c r="O13" s="32" t="n">
        <x:v>4.03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Alosa fallax</x:v>
      </x:c>
      <x:c r="T13" s="32" t="n">
        <x:f>IF(O13="","",(1/'Metadata'!$B$5)^(O13-1))</x:f>
        <x:v>1071.519305237607</x:v>
      </x:c>
      <x:c r="U13" s="31" t="n">
        <x:f>IF(T13="","",I13*T13)</x:f>
        <x:v>784520.0059994849</x:v>
      </x:c>
    </x:row>
    <x:row r="14" ht="18" customHeight="1">
      <x:c r="A14" s="24" t="str">
        <x:v>EEZ_794</x:v>
      </x:c>
      <x:c r="B14" s="24" t="str">
        <x:v>Turkey (Black Sea)</x:v>
      </x:c>
      <x:c r="C14" s="24" t="str">
        <x:v>EEZ</x:v>
      </x:c>
      <x:c r="D14" s="30" t="n">
        <x:v>2019</x:v>
      </x:c>
      <x:c r="E14" s="24" t="str">
        <x:v>Mugil</x:v>
      </x:c>
      <x:c r="F14" s="24" t="str">
        <x:v>Grey mullets</x:v>
      </x:c>
      <x:c r="G14" s="24" t="str">
        <x:v>Medium demersals (30 - 89 cm)</x:v>
      </x:c>
      <x:c r="H14" s="24" t="str">
        <x:v>Perch-likes</x:v>
      </x:c>
      <x:c r="I14" s="31" t="n">
        <x:v>626.4734755126</x:v>
      </x:c>
      <x:c r="J14" s="31" t="n">
        <x:v>597.5772062383</x:v>
      </x:c>
      <x:c r="K14" s="31" t="n">
        <x:v>28.8962692743</x:v>
      </x:c>
      <x:c r="L14" s="31" t="n">
        <x:v>401.40000000000003</x:v>
      </x:c>
      <x:c r="M14" s="31" t="n">
        <x:v>225.0734755126</x:v>
      </x:c>
      <x:c r="N14" s="24" t="str">
        <x:v>mugil</x:v>
      </x:c>
      <x:c r="O14" s="32" t="n">
        <x:v>2.26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Mugil</x:v>
      </x:c>
      <x:c r="T14" s="32" t="n">
        <x:f>IF(O14="","",(1/'Metadata'!$B$5)^(O14-1))</x:f>
        <x:v>18.197008586099827</x:v>
      </x:c>
      <x:c r="U14" s="31" t="n">
        <x:f>IF(T14="","",I14*T14)</x:f>
        <x:v>11399.943212866581</x:v>
      </x:c>
    </x:row>
    <x:row r="15" ht="18" customHeight="1">
      <x:c r="A15" s="24" t="str">
        <x:v>EEZ_794</x:v>
      </x:c>
      <x:c r="B15" s="24" t="str">
        <x:v>Turkey (Black Sea)</x:v>
      </x:c>
      <x:c r="C15" s="24" t="str">
        <x:v>EEZ</x:v>
      </x:c>
      <x:c r="D15" s="30" t="n">
        <x:v>2019</x:v>
      </x:c>
      <x:c r="E15" s="24" t="str">
        <x:v>Sardina pilchardus</x:v>
      </x:c>
      <x:c r="F15" s="24" t="str">
        <x:v>European pilchard</x:v>
      </x:c>
      <x:c r="G15" s="24" t="str">
        <x:v>Small pelagics (&lt;30 cm)</x:v>
      </x:c>
      <x:c r="H15" s="24" t="str">
        <x:v>Herring-likes</x:v>
      </x:c>
      <x:c r="I15" s="31" t="n">
        <x:v>385.7512373216</x:v>
      </x:c>
      <x:c r="J15" s="31" t="n">
        <x:v>362.3076551792</x:v>
      </x:c>
      <x:c r="K15" s="31" t="n">
        <x:v>23.4435821424</x:v>
      </x:c>
      <x:c r="L15" s="31" t="n">
        <x:v>244.4</x:v>
      </x:c>
      <x:c r="M15" s="31" t="n">
        <x:v>141.3512373216</x:v>
      </x:c>
      <x:c r="N15" s="24" t="str">
        <x:v>sardina pilchardus</x:v>
      </x:c>
      <x:c r="O15" s="32" t="n">
        <x:v>3.06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Sardina pilchardus</x:v>
      </x:c>
      <x:c r="T15" s="32" t="n">
        <x:f>IF(O15="","",(1/'Metadata'!$B$5)^(O15-1))</x:f>
        <x:v>114.81536214968828</x:v>
      </x:c>
      <x:c r="U15" s="31" t="n">
        <x:f>IF(T15="","",I15*T15)</x:f>
        <x:v>44290.16801276986</x:v>
      </x:c>
    </x:row>
    <x:row r="16" ht="18" customHeight="1">
      <x:c r="A16" s="24" t="str">
        <x:v>EEZ_794</x:v>
      </x:c>
      <x:c r="B16" s="24" t="str">
        <x:v>Turkey (Black Sea)</x:v>
      </x:c>
      <x:c r="C16" s="24" t="str">
        <x:v>EEZ</x:v>
      </x:c>
      <x:c r="D16" s="30" t="n">
        <x:v>2019</x:v>
      </x:c>
      <x:c r="E16" s="24" t="str">
        <x:v>Scophthalmus maximus</x:v>
      </x:c>
      <x:c r="F16" s="24" t="str">
        <x:v>Turbot</x:v>
      </x:c>
      <x:c r="G16" s="24" t="str">
        <x:v>Large flatfishes (&gt;=90 cm)</x:v>
      </x:c>
      <x:c r="H16" s="24" t="str">
        <x:v>Flatfishes</x:v>
      </x:c>
      <x:c r="I16" s="31" t="n">
        <x:v>339.4558538513</x:v>
      </x:c>
      <x:c r="J16" s="31" t="n">
        <x:v>329.192256274</x:v>
      </x:c>
      <x:c r="K16" s="31" t="n">
        <x:v>10.2635975773</x:v>
      </x:c>
      <x:c r="L16" s="31" t="n">
        <x:v>255.00000000019998</x:v>
      </x:c>
      <x:c r="M16" s="31" t="n">
        <x:v>84.4558538511</x:v>
      </x:c>
      <x:c r="N16" s="24" t="str">
        <x:v>scophthalmus maximus</x:v>
      </x:c>
      <x:c r="O16" s="32" t="n">
        <x:v>4.36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Scophthalmus maximus</x:v>
      </x:c>
      <x:c r="T16" s="32" t="n">
        <x:f>IF(O16="","",(1/'Metadata'!$B$5)^(O16-1))</x:f>
        <x:v>2290.867652767775</x:v>
      </x:c>
      <x:c r="U16" s="31" t="n">
        <x:f>IF(T16="","",I16*T16)</x:f>
        <x:v>777648.4351306085</x:v>
      </x:c>
    </x:row>
    <x:row r="17" ht="18" customHeight="1">
      <x:c r="A17" s="24" t="str">
        <x:v>EEZ_794</x:v>
      </x:c>
      <x:c r="B17" s="24" t="str">
        <x:v>Turkey (Black Sea)</x:v>
      </x:c>
      <x:c r="C17" s="24" t="str">
        <x:v>EEZ</x:v>
      </x:c>
      <x:c r="D17" s="30" t="n">
        <x:v>2019</x:v>
      </x:c>
      <x:c r="E17" s="24" t="str">
        <x:v>Belone belone</x:v>
      </x:c>
      <x:c r="F17" s="24" t="str">
        <x:v>Garfish</x:v>
      </x:c>
      <x:c r="G17" s="24" t="str">
        <x:v>Medium pelagics (30 - 89 cm)</x:v>
      </x:c>
      <x:c r="H17" s="24" t="str">
        <x:v>Other fishes &amp; inverts</x:v>
      </x:c>
      <x:c r="I17" s="31" t="n">
        <x:v>125.53708519519999</x:v>
      </x:c>
      <x:c r="J17" s="31" t="n">
        <x:v>116.34511572269999</x:v>
      </x:c>
      <x:c r="K17" s="31" t="n">
        <x:v>9.1919694725</x:v>
      </x:c>
      <x:c r="L17" s="31" t="n">
        <x:v>49.1999999999</x:v>
      </x:c>
      <x:c r="M17" s="31" t="n">
        <x:v>76.33708519529999</x:v>
      </x:c>
      <x:c r="N17" s="24" t="str">
        <x:v>belone belone</x:v>
      </x:c>
      <x:c r="O17" s="32" t="n">
        <x:v>4.16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Belone belone</x:v>
      </x:c>
      <x:c r="T17" s="32" t="n">
        <x:f>IF(O17="","",(1/'Metadata'!$B$5)^(O17-1))</x:f>
        <x:v>1445.439770745928</x:v>
      </x:c>
      <x:c r="U17" s="31" t="n">
        <x:f>IF(T17="","",I17*T17)</x:f>
        <x:v>181456.2956446619</x:v>
      </x:c>
    </x:row>
    <x:row r="18" ht="18" customHeight="1">
      <x:c r="A18" s="24" t="str">
        <x:v>EEZ_794</x:v>
      </x:c>
      <x:c r="B18" s="24" t="str">
        <x:v>Turkey (Black Sea)</x:v>
      </x:c>
      <x:c r="C18" s="24" t="str">
        <x:v>EEZ</x:v>
      </x:c>
      <x:c r="D18" s="30" t="n">
        <x:v>2019</x:v>
      </x:c>
      <x:c r="E18" s="24" t="str">
        <x:v>Scorpaena porcus</x:v>
      </x:c>
      <x:c r="F18" s="24" t="str">
        <x:v>Black scorpionfish</x:v>
      </x:c>
      <x:c r="G18" s="24" t="str">
        <x:v>Small demersals (&lt;30 cm)</x:v>
      </x:c>
      <x:c r="H18" s="24" t="str">
        <x:v>Scorpionfishes</x:v>
      </x:c>
      <x:c r="I18" s="31" t="n">
        <x:v>107.352883644</x:v>
      </x:c>
      <x:c r="J18" s="31" t="n">
        <x:v>47.2787175765</x:v>
      </x:c>
      <x:c r="K18" s="31" t="n">
        <x:v>60.0741660675</x:v>
      </x:c>
      <x:c r="L18" s="31" t="n">
        <x:v>38.4999999997</x:v>
      </x:c>
      <x:c r="M18" s="31" t="n">
        <x:v>68.85288364430001</x:v>
      </x:c>
      <x:c r="N18" s="24" t="str">
        <x:v>scorpaena porcus</x:v>
      </x:c>
      <x:c r="O18" s="32" t="n">
        <x:v>3.92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Scorpaena porcus</x:v>
      </x:c>
      <x:c r="T18" s="32" t="n">
        <x:f>IF(O18="","",(1/'Metadata'!$B$5)^(O18-1))</x:f>
        <x:v>831.7637711026708</x:v>
      </x:c>
      <x:c r="U18" s="31" t="n">
        <x:f>IF(T18="","",I18*T18)</x:f>
        <x:v>89292.23933847967</x:v>
      </x:c>
    </x:row>
    <x:row r="19" ht="18" customHeight="1">
      <x:c r="A19" s="24" t="str">
        <x:v>EEZ_794</x:v>
      </x:c>
      <x:c r="B19" s="24" t="str">
        <x:v>Turkey (Black Sea)</x:v>
      </x:c>
      <x:c r="C19" s="24" t="str">
        <x:v>EEZ</x:v>
      </x:c>
      <x:c r="D19" s="30" t="n">
        <x:v>2019</x:v>
      </x:c>
      <x:c r="E19" s="24" t="str">
        <x:v>Miscellaneous diadromous fishes</x:v>
      </x:c>
      <x:c r="F19" s="24" t="str">
        <x:v>Diadromous fishes nei</x:v>
      </x:c>
      <x:c r="G19" s="24" t="str">
        <x:v>Large demersals (&gt;=90 cm)</x:v>
      </x:c>
      <x:c r="H19" s="24" t="str">
        <x:v>Other fishes &amp; inverts</x:v>
      </x:c>
      <x:c r="I19" s="31" t="n">
        <x:v>101.58962249870001</x:v>
      </x:c>
      <x:c r="J19" s="31" t="n">
        <x:v>101.58962249870001</x:v>
      </x:c>
      <x:c r="K19" s="31" t="n">
        <x:v>0</x:v>
      </x:c>
      <x:c r="L19" s="31" t="n">
        <x:v>0</x:v>
      </x:c>
      <x:c r="M19" s="31" t="n">
        <x:v>101.58962249870001</x:v>
      </x:c>
      <x:c r="N19" s="24" t="str">
        <x:v>miscellaneous diadromous fishes</x:v>
      </x:c>
      <x:c r="O19" s="32" t="n">
        <x:v>3.19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Miscellaneous diadromous fishes</x:v>
      </x:c>
      <x:c r="T19" s="32" t="n">
        <x:f>IF(O19="","",(1/'Metadata'!$B$5)^(O19-1))</x:f>
        <x:v>154.88166189124811</x:v>
      </x:c>
      <x:c r="U19" s="31" t="n">
        <x:f>IF(T19="","",I19*T19)</x:f>
        <x:v>15734.369563503187</x:v>
      </x:c>
    </x:row>
    <x:row r="20" ht="18" customHeight="1">
      <x:c r="A20" s="24" t="str">
        <x:v>EEZ_794</x:v>
      </x:c>
      <x:c r="B20" s="24" t="str">
        <x:v>Turkey (Black Sea)</x:v>
      </x:c>
      <x:c r="C20" s="24" t="str">
        <x:v>EEZ</x:v>
      </x:c>
      <x:c r="D20" s="30" t="n">
        <x:v>2019</x:v>
      </x:c>
      <x:c r="E20" s="24" t="str">
        <x:v>Boops boops</x:v>
      </x:c>
      <x:c r="F20" s="24" t="str">
        <x:v>Bogue</x:v>
      </x:c>
      <x:c r="G20" s="24" t="str">
        <x:v>Medium demersals (30 - 89 cm)</x:v>
      </x:c>
      <x:c r="H20" s="24" t="str">
        <x:v>Perch-likes</x:v>
      </x:c>
      <x:c r="I20" s="31" t="n">
        <x:v>27.8786481178</x:v>
      </x:c>
      <x:c r="J20" s="31" t="n">
        <x:v>24.0679334528</x:v>
      </x:c>
      <x:c r="K20" s="31" t="n">
        <x:v>3.810714665</x:v>
      </x:c>
      <x:c r="L20" s="31" t="n">
        <x:v>0</x:v>
      </x:c>
      <x:c r="M20" s="31" t="n">
        <x:v>27.8786481178</x:v>
      </x:c>
      <x:c r="N20" s="24" t="str">
        <x:v>boops boops</x:v>
      </x:c>
      <x:c r="O20" s="32" t="n">
        <x:v>2.79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Boops boops</x:v>
      </x:c>
      <x:c r="T20" s="32" t="n">
        <x:f>IF(O20="","",(1/'Metadata'!$B$5)^(O20-1))</x:f>
        <x:v>61.65950018614822</x:v>
      </x:c>
      <x:c r="U20" s="31" t="n">
        <x:f>IF(T20="","",I20*T20)</x:f>
        <x:v>1718.98350880905</x:v>
      </x:c>
    </x:row>
    <x:row r="21" ht="18" customHeight="1">
      <x:c r="A21" s="24" t="str">
        <x:v>EEZ_794</x:v>
      </x:c>
      <x:c r="B21" s="24" t="str">
        <x:v>Turkey (Black Sea)</x:v>
      </x:c>
      <x:c r="C21" s="24" t="str">
        <x:v>EEZ</x:v>
      </x:c>
      <x:c r="D21" s="30" t="n">
        <x:v>2019</x:v>
      </x:c>
      <x:c r="E21" s="24" t="str">
        <x:v>Mugilidae</x:v>
      </x:c>
      <x:c r="F21" s="24" t="str">
        <x:v>Mullets, grey mullets</x:v>
      </x:c>
      <x:c r="G21" s="24" t="str">
        <x:v>Medium reef assoc. fish (30 - 89 cm)</x:v>
      </x:c>
      <x:c r="H21" s="24" t="str">
        <x:v>Perch-likes</x:v>
      </x:c>
      <x:c r="I21" s="31" t="n">
        <x:v>21.3212787964</x:v>
      </x:c>
      <x:c r="J21" s="31" t="n">
        <x:v>21.3212787964</x:v>
      </x:c>
      <x:c r="K21" s="31" t="n">
        <x:v>0</x:v>
      </x:c>
      <x:c r="L21" s="31" t="n">
        <x:v>0</x:v>
      </x:c>
      <x:c r="M21" s="31" t="n">
        <x:v>21.3212787964</x:v>
      </x:c>
      <x:c r="N21" s="24" t="str">
        <x:v>mugilidae</x:v>
      </x:c>
      <x:c r="O21" s="32" t="n">
        <x:v>2.53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Mugilidae</x:v>
      </x:c>
      <x:c r="T21" s="32" t="n">
        <x:f>IF(O21="","",(1/'Metadata'!$B$5)^(O21-1))</x:f>
        <x:v>33.88441561392024</x:v>
      </x:c>
      <x:c r="U21" s="31" t="n">
        <x:f>IF(T21="","",I21*T21)</x:f>
        <x:v>722.4590721574828</x:v>
      </x:c>
    </x:row>
    <x:row r="22" ht="18" customHeight="1">
      <x:c r="A22" s="24" t="str">
        <x:v>EEZ_794</x:v>
      </x:c>
      <x:c r="B22" s="24" t="str">
        <x:v>Turkey (Black Sea)</x:v>
      </x:c>
      <x:c r="C22" s="24" t="str">
        <x:v>EEZ</x:v>
      </x:c>
      <x:c r="D22" s="30" t="n">
        <x:v>2019</x:v>
      </x:c>
      <x:c r="E22" s="24" t="str">
        <x:v>Mytilus</x:v>
      </x:c>
      <x:c r="F22" s="24" t="str">
        <x:v>Edible sea mussels</x:v>
      </x:c>
      <x:c r="G22" s="24" t="str">
        <x:v>Other demersal invertebrates</x:v>
      </x:c>
      <x:c r="H22" s="24" t="str">
        <x:v>Molluscs</x:v>
      </x:c>
      <x:c r="I22" s="31" t="n">
        <x:v>13.7961215732</x:v>
      </x:c>
      <x:c r="J22" s="31" t="n">
        <x:v>13.7961215732</x:v>
      </x:c>
      <x:c r="K22" s="31" t="n">
        <x:v>0</x:v>
      </x:c>
      <x:c r="L22" s="31" t="n">
        <x:v>0</x:v>
      </x:c>
      <x:c r="M22" s="31" t="n">
        <x:v>13.7961215732</x:v>
      </x:c>
      <x:c r="N22" s="24" t="str">
        <x:v>mytilus</x:v>
      </x:c>
      <x:c r="O22" s="32" t="n">
        <x:v>2.03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Mytilus</x:v>
      </x:c>
      <x:c r="T22" s="32" t="n">
        <x:f>IF(O22="","",(1/'Metadata'!$B$5)^(O22-1))</x:f>
        <x:v>10.71519305237606</x:v>
      </x:c>
      <x:c r="U22" s="31" t="n">
        <x:f>IF(T22="","",I22*T22)</x:f>
        <x:v>147.82810603088814</x:v>
      </x:c>
    </x:row>
    <x:row r="23" ht="18" customHeight="1">
      <x:c r="A23" s="24" t="str">
        <x:v>EEZ_794</x:v>
      </x:c>
      <x:c r="B23" s="24" t="str">
        <x:v>Turkey (Black Sea)</x:v>
      </x:c>
      <x:c r="C23" s="24" t="str">
        <x:v>EEZ</x:v>
      </x:c>
      <x:c r="D23" s="30" t="n">
        <x:v>2019</x:v>
      </x:c>
      <x:c r="E23" s="24" t="str">
        <x:v>Dicentrarchus</x:v>
      </x:c>
      <x:c r="F23" s="24" t="str">
        <x:v>Seabasses</x:v>
      </x:c>
      <x:c r="G23" s="24" t="str">
        <x:v>Large demersals (&gt;=90 cm)</x:v>
      </x:c>
      <x:c r="H23" s="24" t="str">
        <x:v>Perch-likes</x:v>
      </x:c>
      <x:c r="I23" s="31" t="n">
        <x:v>12.1011821047</x:v>
      </x:c>
      <x:c r="J23" s="31" t="n">
        <x:v>11.3659594078</x:v>
      </x:c>
      <x:c r="K23" s="31" t="n">
        <x:v>0.7352226969</x:v>
      </x:c>
      <x:c r="L23" s="31" t="n">
        <x:v>3.4000000001</x:v>
      </x:c>
      <x:c r="M23" s="31" t="n">
        <x:v>8.701182104599999</x:v>
      </x:c>
      <x:c r="N23" s="24" t="str">
        <x:v>dicentrarchus</x:v>
      </x:c>
      <x:c r="O23" s="32" t="n">
        <x:v>3.94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Dicentrarchus</x:v>
      </x:c>
      <x:c r="T23" s="32" t="n">
        <x:f>IF(O23="","",(1/'Metadata'!$B$5)^(O23-1))</x:f>
        <x:v>870.9635899560806</x:v>
      </x:c>
      <x:c r="U23" s="31" t="n">
        <x:f>IF(T23="","",I23*T23)</x:f>
        <x:v>10539.68900862179</x:v>
      </x:c>
    </x:row>
    <x:row r="24" ht="18" customHeight="1">
      <x:c r="A24" s="24" t="str">
        <x:v>EEZ_794</x:v>
      </x:c>
      <x:c r="B24" s="24" t="str">
        <x:v>Turkey (Black Sea)</x:v>
      </x:c>
      <x:c r="C24" s="24" t="str">
        <x:v>EEZ</x:v>
      </x:c>
      <x:c r="D24" s="30" t="n">
        <x:v>2019</x:v>
      </x:c>
      <x:c r="E24" s="24" t="str">
        <x:v>Miscellaneous aquatic invertebrates</x:v>
      </x:c>
      <x:c r="F24" s="24" t="str">
        <x:v>Aquatic invertebrates</x:v>
      </x:c>
      <x:c r="G24" s="24" t="str">
        <x:v>Other demersal invertebrates</x:v>
      </x:c>
      <x:c r="H24" s="24" t="str">
        <x:v>Other fishes &amp; inverts</x:v>
      </x:c>
      <x:c r="I24" s="31" t="n">
        <x:v>11.6388577735</x:v>
      </x:c>
      <x:c r="J24" s="31" t="n">
        <x:v>10.093772415</x:v>
      </x:c>
      <x:c r="K24" s="31" t="n">
        <x:v>1.5450853585</x:v>
      </x:c>
      <x:c r="L24" s="31" t="n">
        <x:v>0</x:v>
      </x:c>
      <x:c r="M24" s="31" t="n">
        <x:v>11.6388577735</x:v>
      </x:c>
      <x:c r="N24" s="24" t="str">
        <x:v>miscellaneous aquatic invertebrates</x:v>
      </x:c>
      <x:c r="O24" s="32" t="n">
        <x:v>2.43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Miscellaneous aquatic invertebrates</x:v>
      </x:c>
      <x:c r="T24" s="32" t="n">
        <x:f>IF(O24="","",(1/'Metadata'!$B$5)^(O24-1))</x:f>
        <x:v>26.915348039269166</x:v>
      </x:c>
      <x:c r="U24" s="31" t="n">
        <x:f>IF(T24="","",I24*T24)</x:f>
        <x:v>313.2639077533059</x:v>
      </x:c>
    </x:row>
    <x:row r="25" ht="18" customHeight="1">
      <x:c r="A25" s="24" t="str">
        <x:v>EEZ_794</x:v>
      </x:c>
      <x:c r="B25" s="24" t="str">
        <x:v>Turkey (Black Sea)</x:v>
      </x:c>
      <x:c r="C25" s="24" t="str">
        <x:v>EEZ</x:v>
      </x:c>
      <x:c r="D25" s="30" t="n">
        <x:v>2019</x:v>
      </x:c>
      <x:c r="E25" s="24" t="str">
        <x:v>Serranus scriba</x:v>
      </x:c>
      <x:c r="F25" s="24" t="str">
        <x:v>Painted comber</x:v>
      </x:c>
      <x:c r="G25" s="24" t="str">
        <x:v>Medium demersals (30 - 89 cm)</x:v>
      </x:c>
      <x:c r="H25" s="24" t="str">
        <x:v>Perch-likes</x:v>
      </x:c>
      <x:c r="I25" s="31" t="n">
        <x:v>10.668731115</x:v>
      </x:c>
      <x:c r="J25" s="31" t="n">
        <x:v>9.2086853371</x:v>
      </x:c>
      <x:c r="K25" s="31" t="n">
        <x:v>1.4600457779</x:v>
      </x:c>
      <x:c r="L25" s="31" t="n">
        <x:v>0</x:v>
      </x:c>
      <x:c r="M25" s="31" t="n">
        <x:v>10.668731115</x:v>
      </x:c>
      <x:c r="N25" s="24" t="str">
        <x:v>serranus scriba</x:v>
      </x:c>
      <x:c r="O25" s="32" t="n">
        <x:v>3.82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Serranus scriba</x:v>
      </x:c>
      <x:c r="T25" s="32" t="n">
        <x:f>IF(O25="","",(1/'Metadata'!$B$5)^(O25-1))</x:f>
        <x:v>660.6934480075957</x:v>
      </x:c>
      <x:c r="U25" s="31" t="n">
        <x:f>IF(T25="","",I25*T25)</x:f>
        <x:v>7048.760746235272</x:v>
      </x:c>
    </x:row>
    <x:row r="26" ht="18" customHeight="1">
      <x:c r="A26" s="24" t="str">
        <x:v>EEZ_794</x:v>
      </x:c>
      <x:c r="B26" s="24" t="str">
        <x:v>Turkey (Black Sea)</x:v>
      </x:c>
      <x:c r="C26" s="24" t="str">
        <x:v>EEZ</x:v>
      </x:c>
      <x:c r="D26" s="30" t="n">
        <x:v>2019</x:v>
      </x:c>
      <x:c r="E26" s="24" t="str">
        <x:v>Solea solea</x:v>
      </x:c>
      <x:c r="F26" s="24" t="str">
        <x:v>Common sole</x:v>
      </x:c>
      <x:c r="G26" s="24" t="str">
        <x:v>Small to medium flatfishes (&lt;90 cm)</x:v>
      </x:c>
      <x:c r="H26" s="24" t="str">
        <x:v>Flatfishes</x:v>
      </x:c>
      <x:c r="I26" s="31" t="n">
        <x:v>8.2348084514</x:v>
      </x:c>
      <x:c r="J26" s="31" t="n">
        <x:v>7.1088404241</x:v>
      </x:c>
      <x:c r="K26" s="31" t="n">
        <x:v>1.1259680273000001</x:v>
      </x:c>
      <x:c r="L26" s="31" t="n">
        <x:v>0</x:v>
      </x:c>
      <x:c r="M26" s="31" t="n">
        <x:v>8.2348084514</x:v>
      </x:c>
      <x:c r="N26" s="24" t="str">
        <x:v>solea solea</x:v>
      </x:c>
      <x:c r="O26" s="32" t="n">
        <x:v>3.21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Solea solea</x:v>
      </x:c>
      <x:c r="T26" s="32" t="n">
        <x:f>IF(O26="","",(1/'Metadata'!$B$5)^(O26-1))</x:f>
        <x:v>162.18100973589299</x:v>
      </x:c>
      <x:c r="U26" s="31" t="n">
        <x:f>IF(T26="","",I26*T26)</x:f>
        <x:v>1335.5295496297172</x:v>
      </x:c>
    </x:row>
    <x:row r="27" ht="18" customHeight="1">
      <x:c r="A27" s="24" t="str">
        <x:v>EEZ_794</x:v>
      </x:c>
      <x:c r="B27" s="24" t="str">
        <x:v>Turkey (Black Sea)</x:v>
      </x:c>
      <x:c r="C27" s="24" t="str">
        <x:v>EEZ</x:v>
      </x:c>
      <x:c r="D27" s="30" t="n">
        <x:v>2019</x:v>
      </x:c>
      <x:c r="E27" s="24" t="str">
        <x:v>Spicara</x:v>
      </x:c>
      <x:c r="F27" s="24" t="str">
        <x:v>Picarels</x:v>
      </x:c>
      <x:c r="G27" s="24" t="str">
        <x:v>Small demersals (&lt;30 cm)</x:v>
      </x:c>
      <x:c r="H27" s="24" t="str">
        <x:v>Perch-likes</x:v>
      </x:c>
      <x:c r="I27" s="31" t="n">
        <x:v>6.9089059385</x:v>
      </x:c>
      <x:c r="J27" s="31" t="n">
        <x:v>6.2684725067</x:v>
      </x:c>
      <x:c r="K27" s="31" t="n">
        <x:v>0.6404334318</x:v>
      </x:c>
      <x:c r="L27" s="31" t="n">
        <x:v>1.8</x:v>
      </x:c>
      <x:c r="M27" s="31" t="n">
        <x:v>5.1089059385</x:v>
      </x:c>
      <x:c r="N27" s="24" t="str">
        <x:v>spicara</x:v>
      </x:c>
      <x:c r="O27" s="32" t="n">
        <x:v>3.58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Spicara</x:v>
      </x:c>
      <x:c r="T27" s="32" t="n">
        <x:f>IF(O27="","",(1/'Metadata'!$B$5)^(O27-1))</x:f>
        <x:v>380.1893963205613</x:v>
      </x:c>
      <x:c r="U27" s="31" t="n">
        <x:f>IF(T27="","",I27*T27)</x:f>
        <x:v>2626.692777993856</x:v>
      </x:c>
    </x:row>
    <x:row r="28" ht="18" customHeight="1">
      <x:c r="A28" s="24" t="str">
        <x:v>EEZ_794</x:v>
      </x:c>
      <x:c r="B28" s="24" t="str">
        <x:v>Turkey (Black Sea)</x:v>
      </x:c>
      <x:c r="C28" s="24" t="str">
        <x:v>EEZ</x:v>
      </x:c>
      <x:c r="D28" s="30" t="n">
        <x:v>2019</x:v>
      </x:c>
      <x:c r="E28" s="24" t="str">
        <x:v>Diplodus</x:v>
      </x:c>
      <x:c r="F28" s="24" t="str">
        <x:v>Two-toothed seabreams</x:v>
      </x:c>
      <x:c r="G28" s="24" t="str">
        <x:v>Medium benthopelagics (30 - 89 cm)</x:v>
      </x:c>
      <x:c r="H28" s="24" t="str">
        <x:v>Perch-likes</x:v>
      </x:c>
      <x:c r="I28" s="31" t="n">
        <x:v>5.780000757</x:v>
      </x:c>
      <x:c r="J28" s="31" t="n">
        <x:v>5.2386083599</x:v>
      </x:c>
      <x:c r="K28" s="31" t="n">
        <x:v>0.5413923971</x:v>
      </x:c>
      <x:c r="L28" s="31" t="n">
        <x:v>0.1</x:v>
      </x:c>
      <x:c r="M28" s="31" t="n">
        <x:v>5.680000757</x:v>
      </x:c>
      <x:c r="N28" s="24" t="str">
        <x:v>diplodus</x:v>
      </x:c>
      <x:c r="O28" s="32" t="n">
        <x:v>2.97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Diplodus</x:v>
      </x:c>
      <x:c r="T28" s="32" t="n">
        <x:f>IF(O28="","",(1/'Metadata'!$B$5)^(O28-1))</x:f>
        <x:v>93.32543007969915</x:v>
      </x:c>
      <x:c r="U28" s="31" t="n">
        <x:f>IF(T28="","",I28*T28)</x:f>
        <x:v>539.4210565080116</x:v>
      </x:c>
    </x:row>
    <x:row r="29" ht="18" customHeight="1">
      <x:c r="A29" s="24" t="str">
        <x:v>EEZ_794</x:v>
      </x:c>
      <x:c r="B29" s="24" t="str">
        <x:v>Turkey (Black Sea)</x:v>
      </x:c>
      <x:c r="C29" s="24" t="str">
        <x:v>EEZ</x:v>
      </x:c>
      <x:c r="D29" s="30" t="n">
        <x:v>2019</x:v>
      </x:c>
      <x:c r="E29" s="24" t="str">
        <x:v>Umbrina cirrosa</x:v>
      </x:c>
      <x:c r="F29" s="24" t="str">
        <x:v>Shi drum</x:v>
      </x:c>
      <x:c r="G29" s="24" t="str">
        <x:v>Medium demersals (30 - 89 cm)</x:v>
      </x:c>
      <x:c r="H29" s="24" t="str">
        <x:v>Perch-likes</x:v>
      </x:c>
      <x:c r="I29" s="31" t="n">
        <x:v>4.7181879094</x:v>
      </x:c>
      <x:c r="J29" s="31" t="n">
        <x:v>4.3322790237</x:v>
      </x:c>
      <x:c r="K29" s="31" t="n">
        <x:v>0.38590888570000004</x:v>
      </x:c>
      <x:c r="L29" s="31" t="n">
        <x:v>0</x:v>
      </x:c>
      <x:c r="M29" s="31" t="n">
        <x:v>4.7181879094</x:v>
      </x:c>
      <x:c r="N29" s="24" t="str">
        <x:v>umbrina cirrosa</x:v>
      </x:c>
      <x:c r="O29" s="32" t="n">
        <x:v>3.46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Umbrina cirrosa</x:v>
      </x:c>
      <x:c r="T29" s="32" t="n">
        <x:f>IF(O29="","",(1/'Metadata'!$B$5)^(O29-1))</x:f>
        <x:v>288.40315031266056</x:v>
      </x:c>
      <x:c r="U29" s="31" t="n">
        <x:f>IF(T29="","",I29*T29)</x:f>
        <x:v>1360.740256838066</x:v>
      </x:c>
    </x:row>
    <x:row r="30" ht="18" customHeight="1">
      <x:c r="A30" s="24" t="str">
        <x:v>EEZ_794</x:v>
      </x:c>
      <x:c r="B30" s="24" t="str">
        <x:v>Turkey (Black Sea)</x:v>
      </x:c>
      <x:c r="C30" s="24" t="str">
        <x:v>EEZ</x:v>
      </x:c>
      <x:c r="D30" s="30" t="n">
        <x:v>2019</x:v>
      </x:c>
      <x:c r="E30" s="24" t="str">
        <x:v>Atherinidae</x:v>
      </x:c>
      <x:c r="F30" s="24" t="str">
        <x:v>Silversides</x:v>
      </x:c>
      <x:c r="G30" s="24" t="str">
        <x:v>Small pelagics (&lt;30 cm)</x:v>
      </x:c>
      <x:c r="H30" s="24" t="str">
        <x:v>Other fishes &amp; inverts</x:v>
      </x:c>
      <x:c r="I30" s="31" t="n">
        <x:v>3.283719492</x:v>
      </x:c>
      <x:c r="J30" s="31" t="n">
        <x:v>2.7241399617</x:v>
      </x:c>
      <x:c r="K30" s="31" t="n">
        <x:v>0.5595795303</x:v>
      </x:c>
      <x:c r="L30" s="31" t="n">
        <x:v>0.1</x:v>
      </x:c>
      <x:c r="M30" s="31" t="n">
        <x:v>3.183719492</x:v>
      </x:c>
      <x:c r="N30" s="24" t="str">
        <x:v>atherinidae</x:v>
      </x:c>
      <x:c r="O30" s="32" t="n">
        <x:v>3.2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Atherinidae</x:v>
      </x:c>
      <x:c r="T30" s="32" t="n">
        <x:f>IF(O30="","",(1/'Metadata'!$B$5)^(O30-1))</x:f>
        <x:v>158.48931924611142</x:v>
      </x:c>
      <x:c r="U30" s="31" t="n">
        <x:f>IF(T30="","",I30*T30)</x:f>
        <x:v>520.4344668822667</x:v>
      </x:c>
    </x:row>
    <x:row r="31" ht="18" customHeight="1">
      <x:c r="A31" s="24" t="str">
        <x:v>EEZ_794</x:v>
      </x:c>
      <x:c r="B31" s="24" t="str">
        <x:v>Turkey (Black Sea)</x:v>
      </x:c>
      <x:c r="C31" s="24" t="str">
        <x:v>EEZ</x:v>
      </x:c>
      <x:c r="D31" s="30" t="n">
        <x:v>2019</x:v>
      </x:c>
      <x:c r="E31" s="24" t="str">
        <x:v>Gobiidae</x:v>
      </x:c>
      <x:c r="F31" s="24" t="str">
        <x:v>Gobies</x:v>
      </x:c>
      <x:c r="G31" s="24" t="str">
        <x:v>Small reef assoc. fish (&lt;30 cm)</x:v>
      </x:c>
      <x:c r="H31" s="24" t="str">
        <x:v>Perch-likes</x:v>
      </x:c>
      <x:c r="I31" s="31" t="n">
        <x:v>2.9348711767</x:v>
      </x:c>
      <x:c r="J31" s="31" t="n">
        <x:v>1.3118871169</x:v>
      </x:c>
      <x:c r="K31" s="31" t="n">
        <x:v>1.6229840598</x:v>
      </x:c>
      <x:c r="L31" s="31" t="n">
        <x:v>0.8000000003000001</x:v>
      </x:c>
      <x:c r="M31" s="31" t="n">
        <x:v>2.1348711764</x:v>
      </x:c>
      <x:c r="N31" s="24" t="str">
        <x:v>gobiidae</x:v>
      </x:c>
      <x:c r="O31" s="32" t="n">
        <x:v>3.11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Gobiidae</x:v>
      </x:c>
      <x:c r="T31" s="32" t="n">
        <x:f>IF(O31="","",(1/'Metadata'!$B$5)^(O31-1))</x:f>
        <x:v>128.82495516931337</x:v>
      </x:c>
      <x:c r="U31" s="31" t="n">
        <x:f>IF(T31="","",I31*T31)</x:f>
        <x:v>378.0846477660875</x:v>
      </x:c>
    </x:row>
    <x:row r="32" ht="18" customHeight="1">
      <x:c r="A32" s="24" t="str">
        <x:v>EEZ_794</x:v>
      </x:c>
      <x:c r="B32" s="24" t="str">
        <x:v>Turkey (Black Sea)</x:v>
      </x:c>
      <x:c r="C32" s="24" t="str">
        <x:v>EEZ</x:v>
      </x:c>
      <x:c r="D32" s="30" t="n">
        <x:v>2019</x:v>
      </x:c>
      <x:c r="E32" s="24" t="str">
        <x:v>Parapenaeus longirostris</x:v>
      </x:c>
      <x:c r="F32" s="24" t="str">
        <x:v>Deepwater rose shrimp</x:v>
      </x:c>
      <x:c r="G32" s="24" t="str">
        <x:v>Shrimps</x:v>
      </x:c>
      <x:c r="H32" s="24" t="str">
        <x:v>Crustaceans</x:v>
      </x:c>
      <x:c r="I32" s="31" t="n">
        <x:v>2.7387136433</x:v>
      </x:c>
      <x:c r="J32" s="31" t="n">
        <x:v>2.7127195576000003</x:v>
      </x:c>
      <x:c r="K32" s="31" t="n">
        <x:v>0.025994085700000003</x:v>
      </x:c>
      <x:c r="L32" s="31" t="n">
        <x:v>2.5544515061000004</x:v>
      </x:c>
      <x:c r="M32" s="31" t="n">
        <x:v>0.1842621372</x:v>
      </x:c>
      <x:c r="N32" s="24" t="str">
        <x:v>parapenaeus longirostris</x:v>
      </x:c>
      <x:c r="O32" s="32" t="n">
        <x:v>3.3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Parapenaeus longirostris</x:v>
      </x:c>
      <x:c r="T32" s="32" t="n">
        <x:f>IF(O32="","",(1/'Metadata'!$B$5)^(O32-1))</x:f>
        <x:v>199.52623149688787</x:v>
      </x:c>
      <x:c r="U32" s="31" t="n">
        <x:f>IF(T32="","",I32*T32)</x:f>
        <x:v>546.445212396761</x:v>
      </x:c>
    </x:row>
    <x:row r="33" ht="18" customHeight="1">
      <x:c r="A33" s="24" t="str">
        <x:v>EEZ_794</x:v>
      </x:c>
      <x:c r="B33" s="24" t="str">
        <x:v>Turkey (Black Sea)</x:v>
      </x:c>
      <x:c r="C33" s="24" t="str">
        <x:v>EEZ</x:v>
      </x:c>
      <x:c r="D33" s="30" t="n">
        <x:v>2019</x:v>
      </x:c>
      <x:c r="E33" s="24" t="str">
        <x:v>Rajiformes</x:v>
      </x:c>
      <x:c r="F33" s="24" t="str">
        <x:v>Skates and rays</x:v>
      </x:c>
      <x:c r="G33" s="24" t="str">
        <x:v>Large rays (&gt;=90 cm)</x:v>
      </x:c>
      <x:c r="H33" s="24" t="str">
        <x:v>Sharks &amp; rays</x:v>
      </x:c>
      <x:c r="I33" s="31" t="n">
        <x:v>2.5083857408</x:v>
      </x:c>
      <x:c r="J33" s="31" t="n">
        <x:v>2.5083857408</x:v>
      </x:c>
      <x:c r="K33" s="31" t="n">
        <x:v>0</x:v>
      </x:c>
      <x:c r="L33" s="31" t="n">
        <x:v>0</x:v>
      </x:c>
      <x:c r="M33" s="31" t="n">
        <x:v>2.5083857408</x:v>
      </x:c>
      <x:c r="N33" s="24" t="str">
        <x:v>rajiformes</x:v>
      </x:c>
      <x:c r="O33" s="32" t="n">
        <x:v>3.61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Rajiformes</x:v>
      </x:c>
      <x:c r="T33" s="32" t="n">
        <x:f>IF(O33="","",(1/'Metadata'!$B$5)^(O33-1))</x:f>
        <x:v>407.3802778041126</x:v>
      </x:c>
      <x:c r="U33" s="31" t="n">
        <x:f>IF(T33="","",I33*T33)</x:f>
        <x:v>1021.8668799269789</x:v>
      </x:c>
    </x:row>
    <x:row r="34" ht="18" customHeight="1">
      <x:c r="A34" s="24" t="str">
        <x:v>EEZ_794</x:v>
      </x:c>
      <x:c r="B34" s="24" t="str">
        <x:v>Turkey (Black Sea)</x:v>
      </x:c>
      <x:c r="C34" s="24" t="str">
        <x:v>EEZ</x:v>
      </x:c>
      <x:c r="D34" s="30" t="n">
        <x:v>2019</x:v>
      </x:c>
      <x:c r="E34" s="24" t="str">
        <x:v>Scomber scombrus</x:v>
      </x:c>
      <x:c r="F34" s="24" t="str">
        <x:v>Atlantic mackerel</x:v>
      </x:c>
      <x:c r="G34" s="24" t="str">
        <x:v>Medium pelagics (30 - 89 cm)</x:v>
      </x:c>
      <x:c r="H34" s="24" t="str">
        <x:v>Perch-likes</x:v>
      </x:c>
      <x:c r="I34" s="31" t="n">
        <x:v>2.4449116753</x:v>
      </x:c>
      <x:c r="J34" s="31" t="n">
        <x:v>2.1630702562</x:v>
      </x:c>
      <x:c r="K34" s="31" t="n">
        <x:v>0.2818414191</x:v>
      </x:c>
      <x:c r="L34" s="31" t="n">
        <x:v>0.1</x:v>
      </x:c>
      <x:c r="M34" s="31" t="n">
        <x:v>2.3449116752999997</x:v>
      </x:c>
      <x:c r="N34" s="24" t="str">
        <x:v>scomber scombrus</x:v>
      </x:c>
      <x:c r="O34" s="32" t="n">
        <x:v>3.63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Scomber scombrus</x:v>
      </x:c>
      <x:c r="T34" s="32" t="n">
        <x:f>IF(O34="","",(1/'Metadata'!$B$5)^(O34-1))</x:f>
        <x:v>426.57951880159254</x:v>
      </x:c>
      <x:c r="U34" s="31" t="n">
        <x:f>IF(T34="","",I34*T34)</x:f>
        <x:v>1042.9492459618696</x:v>
      </x:c>
    </x:row>
    <x:row r="35" ht="18" customHeight="1">
      <x:c r="A35" s="24" t="str">
        <x:v>EEZ_794</x:v>
      </x:c>
      <x:c r="B35" s="24" t="str">
        <x:v>Turkey (Black Sea)</x:v>
      </x:c>
      <x:c r="C35" s="24" t="str">
        <x:v>EEZ</x:v>
      </x:c>
      <x:c r="D35" s="30" t="n">
        <x:v>2019</x:v>
      </x:c>
      <x:c r="E35" s="24" t="str">
        <x:v>Lophius piscatorius</x:v>
      </x:c>
      <x:c r="F35" s="24" t="str">
        <x:v>Angler</x:v>
      </x:c>
      <x:c r="G35" s="24" t="str">
        <x:v>Large bathydemersals (&gt;=90 cm)</x:v>
      </x:c>
      <x:c r="H35" s="24" t="str">
        <x:v>Other fishes &amp; inverts</x:v>
      </x:c>
      <x:c r="I35" s="31" t="n">
        <x:v>2.1902515829</x:v>
      </x:c>
      <x:c r="J35" s="31" t="n">
        <x:v>1.8449786326000002</x:v>
      </x:c>
      <x:c r="K35" s="31" t="n">
        <x:v>0.3452729503</x:v>
      </x:c>
      <x:c r="L35" s="31" t="n">
        <x:v>0</x:v>
      </x:c>
      <x:c r="M35" s="31" t="n">
        <x:v>2.1902515829</x:v>
      </x:c>
      <x:c r="N35" s="24" t="str">
        <x:v>lophius piscatorius</x:v>
      </x:c>
      <x:c r="O35" s="32" t="n">
        <x:v>4.45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Lophius piscatorius</x:v>
      </x:c>
      <x:c r="T35" s="32" t="n">
        <x:f>IF(O35="","",(1/'Metadata'!$B$5)^(O35-1))</x:f>
        <x:v>2818.382931264455</x:v>
      </x:c>
      <x:c r="U35" s="31" t="n">
        <x:f>IF(T35="","",I35*T35)</x:f>
        <x:v>6172.967676420315</x:v>
      </x:c>
    </x:row>
    <x:row r="36" ht="18" customHeight="1">
      <x:c r="A36" s="24" t="str">
        <x:v>EEZ_794</x:v>
      </x:c>
      <x:c r="B36" s="24" t="str">
        <x:v>Turkey (Black Sea)</x:v>
      </x:c>
      <x:c r="C36" s="24" t="str">
        <x:v>EEZ</x:v>
      </x:c>
      <x:c r="D36" s="30" t="n">
        <x:v>2019</x:v>
      </x:c>
      <x:c r="E36" s="24" t="str">
        <x:v>Raja clavata</x:v>
      </x:c>
      <x:c r="F36" s="24" t="str">
        <x:v>Thornback ray</x:v>
      </x:c>
      <x:c r="G36" s="24" t="str">
        <x:v>Large rays (&gt;=90 cm)</x:v>
      </x:c>
      <x:c r="H36" s="24" t="str">
        <x:v>Sharks &amp; rays</x:v>
      </x:c>
      <x:c r="I36" s="31" t="n">
        <x:v>1.9874069427999999</x:v>
      </x:c>
      <x:c r="J36" s="31" t="n">
        <x:v>1.4999999999</x:v>
      </x:c>
      <x:c r="K36" s="31" t="n">
        <x:v>0.4874069429</x:v>
      </x:c>
      <x:c r="L36" s="31" t="n">
        <x:v>1.4999999999</x:v>
      </x:c>
      <x:c r="M36" s="31" t="n">
        <x:v>0.4874069429</x:v>
      </x:c>
      <x:c r="N36" s="24" t="str">
        <x:v>raja clavata</x:v>
      </x:c>
      <x:c r="O36" s="32" t="n">
        <x:v>3.84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Raja clavata</x:v>
      </x:c>
      <x:c r="T36" s="32" t="n">
        <x:f>IF(O36="","",(1/'Metadata'!$B$5)^(O36-1))</x:f>
        <x:v>691.8309709189363</x:v>
      </x:c>
      <x:c r="U36" s="31" t="n">
        <x:f>IF(T36="","",I36*T36)</x:f>
        <x:v>1374.9496748483587</x:v>
      </x:c>
    </x:row>
    <x:row r="37" ht="18" customHeight="1">
      <x:c r="A37" s="24" t="str">
        <x:v>EEZ_794</x:v>
      </x:c>
      <x:c r="B37" s="24" t="str">
        <x:v>Turkey (Black Sea)</x:v>
      </x:c>
      <x:c r="C37" s="24" t="str">
        <x:v>EEZ</x:v>
      </x:c>
      <x:c r="D37" s="30" t="n">
        <x:v>2019</x:v>
      </x:c>
      <x:c r="E37" s="24" t="str">
        <x:v>Cancer pagurus</x:v>
      </x:c>
      <x:c r="F37" s="24" t="str">
        <x:v>Edible crab</x:v>
      </x:c>
      <x:c r="G37" s="24" t="str">
        <x:v>Lobsters, crabs</x:v>
      </x:c>
      <x:c r="H37" s="24" t="str">
        <x:v>Crustaceans</x:v>
      </x:c>
      <x:c r="I37" s="31" t="n">
        <x:v>1.9515685345</x:v>
      </x:c>
      <x:c r="J37" s="31" t="n">
        <x:v>1.9500000002</x:v>
      </x:c>
      <x:c r="K37" s="31" t="n">
        <x:v>0.0015685343</x:v>
      </x:c>
      <x:c r="L37" s="31" t="n">
        <x:v>1.9500000002</x:v>
      </x:c>
      <x:c r="M37" s="31" t="n">
        <x:v>0.0015685343</x:v>
      </x:c>
      <x:c r="N37" s="24" t="str">
        <x:v>cancer pagurus</x:v>
      </x:c>
      <x:c r="O37" s="32" t="n">
        <x:v>3.1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Cancer pagurus</x:v>
      </x:c>
      <x:c r="T37" s="32" t="n">
        <x:f>IF(O37="","",(1/'Metadata'!$B$5)^(O37-1))</x:f>
        <x:v>125.89254117941675</x:v>
      </x:c>
      <x:c r="U37" s="31" t="n">
        <x:f>IF(T37="","",I37*T37)</x:f>
        <x:v>245.68792209399527</x:v>
      </x:c>
    </x:row>
    <x:row r="38" ht="18" customHeight="1">
      <x:c r="A38" s="24" t="str">
        <x:v>EEZ_794</x:v>
      </x:c>
      <x:c r="B38" s="24" t="str">
        <x:v>Turkey (Black Sea)</x:v>
      </x:c>
      <x:c r="C38" s="24" t="str">
        <x:v>EEZ</x:v>
      </x:c>
      <x:c r="D38" s="30" t="n">
        <x:v>2019</x:v>
      </x:c>
      <x:c r="E38" s="24" t="str">
        <x:v>Diplodus vulgaris</x:v>
      </x:c>
      <x:c r="F38" s="24" t="str">
        <x:v>Common two-banded seabream</x:v>
      </x:c>
      <x:c r="G38" s="24" t="str">
        <x:v>Medium benthopelagics (30 - 89 cm)</x:v>
      </x:c>
      <x:c r="H38" s="24" t="str">
        <x:v>Perch-likes</x:v>
      </x:c>
      <x:c r="I38" s="31" t="n">
        <x:v>1.7570202117</x:v>
      </x:c>
      <x:c r="J38" s="31" t="n">
        <x:v>1.7325405297999998</x:v>
      </x:c>
      <x:c r="K38" s="31" t="n">
        <x:v>0.0244796819</x:v>
      </x:c>
      <x:c r="L38" s="31" t="n">
        <x:v>1.5</x:v>
      </x:c>
      <x:c r="M38" s="31" t="n">
        <x:v>0.2570202117</x:v>
      </x:c>
      <x:c r="N38" s="24" t="str">
        <x:v>diplodus vulgaris</x:v>
      </x:c>
      <x:c r="O38" s="32" t="n">
        <x:v>3.52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Diplodus vulgaris</x:v>
      </x:c>
      <x:c r="T38" s="32" t="n">
        <x:f>IF(O38="","",(1/'Metadata'!$B$5)^(O38-1))</x:f>
        <x:v>331.1311214825911</x:v>
      </x:c>
      <x:c r="U38" s="31" t="n">
        <x:f>IF(T38="","",I38*T38)</x:f>
        <x:v>581.8040731678007</x:v>
      </x:c>
    </x:row>
    <x:row r="39" ht="18" customHeight="1">
      <x:c r="A39" s="24" t="str">
        <x:v>EEZ_794</x:v>
      </x:c>
      <x:c r="B39" s="24" t="str">
        <x:v>Turkey (Black Sea)</x:v>
      </x:c>
      <x:c r="C39" s="24" t="str">
        <x:v>EEZ</x:v>
      </x:c>
      <x:c r="D39" s="30" t="n">
        <x:v>2019</x:v>
      </x:c>
      <x:c r="E39" s="24" t="str">
        <x:v>Sparus aurata</x:v>
      </x:c>
      <x:c r="F39" s="24" t="str">
        <x:v>Gilthead seabream</x:v>
      </x:c>
      <x:c r="G39" s="24" t="str">
        <x:v>Medium demersals (30 - 89 cm)</x:v>
      </x:c>
      <x:c r="H39" s="24" t="str">
        <x:v>Perch-likes</x:v>
      </x:c>
      <x:c r="I39" s="31" t="n">
        <x:v>1.5726729189</x:v>
      </x:c>
      <x:c r="J39" s="31" t="n">
        <x:v>1.4170560305</x:v>
      </x:c>
      <x:c r="K39" s="31" t="n">
        <x:v>0.1556168884</x:v>
      </x:c>
      <x:c r="L39" s="31" t="n">
        <x:v>0</x:v>
      </x:c>
      <x:c r="M39" s="31" t="n">
        <x:v>1.5726729189</x:v>
      </x:c>
      <x:c r="N39" s="24" t="str">
        <x:v>sparus aurata</x:v>
      </x:c>
      <x:c r="O39" s="32" t="n">
        <x:v>3.7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Sparus aurata</x:v>
      </x:c>
      <x:c r="T39" s="32" t="n">
        <x:f>IF(O39="","",(1/'Metadata'!$B$5)^(O39-1))</x:f>
        <x:v>501.18723362727246</x:v>
      </x:c>
      <x:c r="U39" s="31" t="n">
        <x:f>IF(T39="","",I39*T39)</x:f>
        <x:v>788.2035896240188</x:v>
      </x:c>
    </x:row>
    <x:row r="40" ht="18" customHeight="1">
      <x:c r="A40" s="24" t="str">
        <x:v>EEZ_794</x:v>
      </x:c>
      <x:c r="B40" s="24" t="str">
        <x:v>Turkey (Black Sea)</x:v>
      </x:c>
      <x:c r="C40" s="24" t="str">
        <x:v>EEZ</x:v>
      </x:c>
      <x:c r="D40" s="30" t="n">
        <x:v>2019</x:v>
      </x:c>
      <x:c r="E40" s="24" t="str">
        <x:v>Merluccius</x:v>
      </x:c>
      <x:c r="F40" s="24" t="str">
        <x:v>Hakes</x:v>
      </x:c>
      <x:c r="G40" s="24" t="str">
        <x:v>Medium bathydemersals (30 - 89 cm)</x:v>
      </x:c>
      <x:c r="H40" s="24" t="str">
        <x:v>Cod-likes</x:v>
      </x:c>
      <x:c r="I40" s="31" t="n">
        <x:v>1.2707636485</x:v>
      </x:c>
      <x:c r="J40" s="31" t="n">
        <x:v>1.0950829904000001</x:v>
      </x:c>
      <x:c r="K40" s="31" t="n">
        <x:v>0.1756806581</x:v>
      </x:c>
      <x:c r="L40" s="31" t="n">
        <x:v>0</x:v>
      </x:c>
      <x:c r="M40" s="31" t="n">
        <x:v>1.2707636485</x:v>
      </x:c>
      <x:c r="N40" s="24" t="str">
        <x:v>merluccius</x:v>
      </x:c>
      <x:c r="O40" s="32" t="n">
        <x:v>4.27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Merluccius</x:v>
      </x:c>
      <x:c r="T40" s="32" t="n">
        <x:f>IF(O40="","",(1/'Metadata'!$B$5)^(O40-1))</x:f>
        <x:v>1862.0871366628655</x:v>
      </x:c>
      <x:c r="U40" s="31" t="n">
        <x:f>IF(T40="","",I40*T40)</x:f>
        <x:v>2366.2726436106213</x:v>
      </x:c>
    </x:row>
    <x:row r="41" ht="18" customHeight="1">
      <x:c r="A41" s="24" t="str">
        <x:v>EEZ_794</x:v>
      </x:c>
      <x:c r="B41" s="24" t="str">
        <x:v>Turkey (Black Sea)</x:v>
      </x:c>
      <x:c r="C41" s="24" t="str">
        <x:v>EEZ</x:v>
      </x:c>
      <x:c r="D41" s="30" t="n">
        <x:v>2019</x:v>
      </x:c>
      <x:c r="E41" s="24" t="str">
        <x:v>Elasmobranchii</x:v>
      </x:c>
      <x:c r="F41" s="24" t="str">
        <x:v>Sharks, rays, skates</x:v>
      </x:c>
      <x:c r="G41" s="24" t="str">
        <x:v>Large sharks (&gt;=90 cm)</x:v>
      </x:c>
      <x:c r="H41" s="24" t="str">
        <x:v>Sharks &amp; rays</x:v>
      </x:c>
      <x:c r="I41" s="31" t="n">
        <x:v>1.2541928704999998</x:v>
      </x:c>
      <x:c r="J41" s="31" t="n">
        <x:v>1.2541928704999998</x:v>
      </x:c>
      <x:c r="K41" s="31" t="n">
        <x:v>0</x:v>
      </x:c>
      <x:c r="L41" s="31" t="n">
        <x:v>0</x:v>
      </x:c>
      <x:c r="M41" s="31" t="n">
        <x:v>1.2541928704999998</x:v>
      </x:c>
      <x:c r="N41" s="24" t="str">
        <x:v>elasmobranchii</x:v>
      </x:c>
      <x:c r="O41" s="32" t="n">
        <x:v>4.05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Elasmobranchii</x:v>
      </x:c>
      <x:c r="T41" s="32" t="n">
        <x:f>IF(O41="","",(1/'Metadata'!$B$5)^(O41-1))</x:f>
        <x:v>1122.018454301963</x:v>
      </x:c>
      <x:c r="U41" s="31" t="n">
        <x:f>IF(T41="","",I41*T41)</x:f>
        <x:v>1407.227545954952</x:v>
      </x:c>
    </x:row>
    <x:row r="42" ht="18" customHeight="1">
      <x:c r="A42" s="24" t="str">
        <x:v>EEZ_794</x:v>
      </x:c>
      <x:c r="B42" s="24" t="str">
        <x:v>Turkey (Black Sea)</x:v>
      </x:c>
      <x:c r="C42" s="24" t="str">
        <x:v>EEZ</x:v>
      </x:c>
      <x:c r="D42" s="30" t="n">
        <x:v>2019</x:v>
      </x:c>
      <x:c r="E42" s="24" t="str">
        <x:v>Merlucciidae</x:v>
      </x:c>
      <x:c r="F42" s="24" t="str">
        <x:v>Merluccid hakes</x:v>
      </x:c>
      <x:c r="G42" s="24" t="str">
        <x:v>Large bathydemersals (&gt;=90 cm)</x:v>
      </x:c>
      <x:c r="H42" s="24" t="str">
        <x:v>Cod-likes</x:v>
      </x:c>
      <x:c r="I42" s="31" t="n">
        <x:v>0.8999999999999999</x:v>
      </x:c>
      <x:c r="J42" s="31" t="n">
        <x:v>0.8999999999999999</x:v>
      </x:c>
      <x:c r="K42" s="31" t="n">
        <x:v>0</x:v>
      </x:c>
      <x:c r="L42" s="31" t="n">
        <x:v>0.8999999999999999</x:v>
      </x:c>
      <x:c r="M42" s="31" t="n">
        <x:v>0</x:v>
      </x:c>
      <x:c r="N42" s="24" t="str">
        <x:v>merlucciidae</x:v>
      </x:c>
      <x:c r="O42" s="32" t="n">
        <x:v>4.35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Merlucciidae</x:v>
      </x:c>
      <x:c r="T42" s="32" t="n">
        <x:f>IF(O42="","",(1/'Metadata'!$B$5)^(O42-1))</x:f>
        <x:v>2238.7211385683377</x:v>
      </x:c>
      <x:c r="U42" s="31" t="n">
        <x:f>IF(T42="","",I42*T42)</x:f>
        <x:v>2014.8490247115037</x:v>
      </x:c>
    </x:row>
    <x:row r="43" ht="18" customHeight="1">
      <x:c r="A43" s="24" t="str">
        <x:v>EEZ_794</x:v>
      </x:c>
      <x:c r="B43" s="24" t="str">
        <x:v>Turkey (Black Sea)</x:v>
      </x:c>
      <x:c r="C43" s="24" t="str">
        <x:v>EEZ</x:v>
      </x:c>
      <x:c r="D43" s="30" t="n">
        <x:v>2019</x:v>
      </x:c>
      <x:c r="E43" s="24" t="str">
        <x:v>Diplodus annularis</x:v>
      </x:c>
      <x:c r="F43" s="24" t="str">
        <x:v>Annular seabream</x:v>
      </x:c>
      <x:c r="G43" s="24" t="str">
        <x:v>Small benthopelagics (&lt;30 cm)</x:v>
      </x:c>
      <x:c r="H43" s="24" t="str">
        <x:v>Perch-likes</x:v>
      </x:c>
      <x:c r="I43" s="31" t="n">
        <x:v>0.48537427879999995</x:v>
      </x:c>
      <x:c r="J43" s="31" t="n">
        <x:v>0.43905486069999994</x:v>
      </x:c>
      <x:c r="K43" s="31" t="n">
        <x:v>0.046319418099999995</x:v>
      </x:c>
      <x:c r="L43" s="31" t="n">
        <x:v>0</x:v>
      </x:c>
      <x:c r="M43" s="31" t="n">
        <x:v>0.48537427879999995</x:v>
      </x:c>
      <x:c r="N43" s="24" t="str">
        <x:v>diplodus annularis</x:v>
      </x:c>
      <x:c r="O43" s="32" t="n">
        <x:v>3.64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Diplodus annularis</x:v>
      </x:c>
      <x:c r="T43" s="32" t="n">
        <x:f>IF(O43="","",(1/'Metadata'!$B$5)^(O43-1))</x:f>
        <x:v>436.5158322401661</x:v>
      </x:c>
      <x:c r="U43" s="31" t="n">
        <x:f>IF(T43="","",I43*T43)</x:f>
        <x:v>211.87355725835238</x:v>
      </x:c>
    </x:row>
    <x:row r="44" ht="18" customHeight="1">
      <x:c r="A44" s="24" t="str">
        <x:v>EEZ_794</x:v>
      </x:c>
      <x:c r="B44" s="24" t="str">
        <x:v>Turkey (Black Sea)</x:v>
      </x:c>
      <x:c r="C44" s="24" t="str">
        <x:v>EEZ</x:v>
      </x:c>
      <x:c r="D44" s="30" t="n">
        <x:v>2019</x:v>
      </x:c>
      <x:c r="E44" s="24" t="str">
        <x:v>Sciaena umbra</x:v>
      </x:c>
      <x:c r="F44" s="24" t="str">
        <x:v>Brown meagre</x:v>
      </x:c>
      <x:c r="G44" s="24" t="str">
        <x:v>Medium demersals (30 - 89 cm)</x:v>
      </x:c>
      <x:c r="H44" s="24" t="str">
        <x:v>Perch-likes</x:v>
      </x:c>
      <x:c r="I44" s="31" t="n">
        <x:v>0.35684464</x:v>
      </x:c>
      <x:c r="J44" s="31" t="n">
        <x:v>0.3257065065</x:v>
      </x:c>
      <x:c r="K44" s="31" t="n">
        <x:v>0.031138133499999998</x:v>
      </x:c>
      <x:c r="L44" s="31" t="n">
        <x:v>0</x:v>
      </x:c>
      <x:c r="M44" s="31" t="n">
        <x:v>0.35684464</x:v>
      </x:c>
      <x:c r="N44" s="24" t="str">
        <x:v>sciaena umbra</x:v>
      </x:c>
      <x:c r="O44" s="32" t="n">
        <x:v>3.75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Sciaena umbra</x:v>
      </x:c>
      <x:c r="T44" s="32" t="n">
        <x:f>IF(O44="","",(1/'Metadata'!$B$5)^(O44-1))</x:f>
        <x:v>562.341325190349</x:v>
      </x:c>
      <x:c r="U44" s="31" t="n">
        <x:f>IF(T44="","",I44*T44)</x:f>
        <x:v>200.66848774467303</x:v>
      </x:c>
    </x:row>
    <x:row r="45" ht="18" customHeight="1">
      <x:c r="A45" s="24" t="str">
        <x:v>EEZ_794</x:v>
      </x:c>
      <x:c r="B45" s="24" t="str">
        <x:v>Turkey (Black Sea)</x:v>
      </x:c>
      <x:c r="C45" s="24" t="str">
        <x:v>EEZ</x:v>
      </x:c>
      <x:c r="D45" s="30" t="n">
        <x:v>2019</x:v>
      </x:c>
      <x:c r="E45" s="24" t="str">
        <x:v>Oblada melanurus</x:v>
      </x:c>
      <x:c r="F45" s="24" t="str">
        <x:v>Saddled seabream</x:v>
      </x:c>
      <x:c r="G45" s="24" t="str">
        <x:v>Small benthopelagics (&lt;30 cm)</x:v>
      </x:c>
      <x:c r="H45" s="24" t="str">
        <x:v>Perch-likes</x:v>
      </x:c>
      <x:c r="I45" s="31" t="n">
        <x:v>0.3123185855</x:v>
      </x:c>
      <x:c r="J45" s="31" t="n">
        <x:v>0.27874148320000003</x:v>
      </x:c>
      <x:c r="K45" s="31" t="n">
        <x:v>0.0335771023</x:v>
      </x:c>
      <x:c r="L45" s="31" t="n">
        <x:v>0</x:v>
      </x:c>
      <x:c r="M45" s="31" t="n">
        <x:v>0.3123185855</x:v>
      </x:c>
      <x:c r="N45" s="24" t="str">
        <x:v>oblada melanurus</x:v>
      </x:c>
      <x:c r="O45" s="32" t="n">
        <x:v>3.38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Oblada melanurus</x:v>
      </x:c>
      <x:c r="T45" s="32" t="n">
        <x:f>IF(O45="","",(1/'Metadata'!$B$5)^(O45-1))</x:f>
        <x:v>239.88329190194898</x:v>
      </x:c>
      <x:c r="U45" s="31" t="n">
        <x:f>IF(T45="","",I45*T45)</x:f>
        <x:v>74.92001041190032</x:v>
      </x:c>
    </x:row>
    <x:row r="46" ht="18" customHeight="1">
      <x:c r="A46" s="24" t="str">
        <x:v>EEZ_794</x:v>
      </x:c>
      <x:c r="B46" s="24" t="str">
        <x:v>Turkey (Black Sea)</x:v>
      </x:c>
      <x:c r="C46" s="24" t="str">
        <x:v>EEZ</x:v>
      </x:c>
      <x:c r="D46" s="30" t="n">
        <x:v>2019</x:v>
      </x:c>
      <x:c r="E46" s="24" t="str">
        <x:v>Sepia officinalis</x:v>
      </x:c>
      <x:c r="F46" s="24" t="str">
        <x:v>Common cuttlefish</x:v>
      </x:c>
      <x:c r="G46" s="24" t="str">
        <x:v>Cephalopods</x:v>
      </x:c>
      <x:c r="H46" s="24" t="str">
        <x:v>Other fishes &amp; inverts</x:v>
      </x:c>
      <x:c r="I46" s="31" t="n">
        <x:v>0.1355453071</x:v>
      </x:c>
      <x:c r="J46" s="31" t="n">
        <x:v>0.1180169376</x:v>
      </x:c>
      <x:c r="K46" s="31" t="n">
        <x:v>0.017528369499999998</x:v>
      </x:c>
      <x:c r="L46" s="31" t="n">
        <x:v>0</x:v>
      </x:c>
      <x:c r="M46" s="31" t="n">
        <x:v>0.1355453071</x:v>
      </x:c>
      <x:c r="N46" s="24" t="str">
        <x:v>sepia officinalis</x:v>
      </x:c>
      <x:c r="O46" s="32" t="n">
        <x:v>4.27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Sepia officinalis</x:v>
      </x:c>
      <x:c r="T46" s="32" t="n">
        <x:f>IF(O46="","",(1/'Metadata'!$B$5)^(O46-1))</x:f>
        <x:v>1862.0871366628655</x:v>
      </x:c>
      <x:c r="U46" s="31" t="n">
        <x:f>IF(T46="","",I46*T46)</x:f>
        <x:v>252.3971727859278</x:v>
      </x:c>
    </x:row>
    <x:row r="47" ht="18" customHeight="1">
      <x:c r="A47" s="24" t="str">
        <x:v>EEZ_794</x:v>
      </x:c>
      <x:c r="B47" s="24" t="str">
        <x:v>Turkey (Black Sea)</x:v>
      </x:c>
      <x:c r="C47" s="24" t="str">
        <x:v>EEZ</x:v>
      </x:c>
      <x:c r="D47" s="30" t="n">
        <x:v>2019</x:v>
      </x:c>
      <x:c r="E47" s="24" t="str">
        <x:v>Squalus acanthias</x:v>
      </x:c>
      <x:c r="F47" s="24" t="str">
        <x:v>Picked dogfish</x:v>
      </x:c>
      <x:c r="G47" s="24" t="str">
        <x:v>Large sharks (&gt;=90 cm)</x:v>
      </x:c>
      <x:c r="H47" s="24" t="str">
        <x:v>Sharks &amp; rays</x:v>
      </x:c>
      <x:c r="I47" s="31" t="n">
        <x:v>0.0908203664</x:v>
      </x:c>
      <x:c r="J47" s="31" t="n">
        <x:v>0.0753617364</x:v>
      </x:c>
      <x:c r="K47" s="31" t="n">
        <x:v>0.01545863</x:v>
      </x:c>
      <x:c r="L47" s="31" t="n">
        <x:v>0</x:v>
      </x:c>
      <x:c r="M47" s="31" t="n">
        <x:v>0.0908203664</x:v>
      </x:c>
      <x:c r="N47" s="24" t="str">
        <x:v>squalus acanthias</x:v>
      </x:c>
      <x:c r="O47" s="32" t="n">
        <x:v>4.37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Squalus acanthias</x:v>
      </x:c>
      <x:c r="T47" s="32" t="n">
        <x:f>IF(O47="","",(1/'Metadata'!$B$5)^(O47-1))</x:f>
        <x:v>2344.228815319923</x:v>
      </x:c>
      <x:c r="U47" s="31" t="n">
        <x:f>IF(T47="","",I47*T47)</x:f>
        <x:v>212.90371993279334</x:v>
      </x:c>
    </x:row>
    <x:row r="48" ht="18" customHeight="1">
      <x:c r="A48" s="24" t="str">
        <x:v>EEZ_794</x:v>
      </x:c>
      <x:c r="B48" s="24" t="str">
        <x:v>Turkey (Black Sea)</x:v>
      </x:c>
      <x:c r="C48" s="24" t="str">
        <x:v>EEZ</x:v>
      </x:c>
      <x:c r="D48" s="30" t="n">
        <x:v>2019</x:v>
      </x:c>
      <x:c r="E48" s="24" t="str">
        <x:v>Zeus faber</x:v>
      </x:c>
      <x:c r="F48" s="24" t="str">
        <x:v>John dory</x:v>
      </x:c>
      <x:c r="G48" s="24" t="str">
        <x:v>Medium benthopelagics (30 - 89 cm)</x:v>
      </x:c>
      <x:c r="H48" s="24" t="str">
        <x:v>Other fishes &amp; inverts</x:v>
      </x:c>
      <x:c r="I48" s="31" t="n">
        <x:v>0.0789348347</x:v>
      </x:c>
      <x:c r="J48" s="31" t="n">
        <x:v>0.0691997248</x:v>
      </x:c>
      <x:c r="K48" s="31" t="n">
        <x:v>0.0097351099</x:v>
      </x:c>
      <x:c r="L48" s="31" t="n">
        <x:v>0</x:v>
      </x:c>
      <x:c r="M48" s="31" t="n">
        <x:v>0.0789348347</x:v>
      </x:c>
      <x:c r="N48" s="24" t="str">
        <x:v>zeus faber</x:v>
      </x:c>
      <x:c r="O48" s="32" t="n">
        <x:v>4.5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Zeus faber</x:v>
      </x:c>
      <x:c r="T48" s="32" t="n">
        <x:f>IF(O48="","",(1/'Metadata'!$B$5)^(O48-1))</x:f>
        <x:v>3162.2776601683795</x:v>
      </x:c>
      <x:c r="U48" s="31" t="n">
        <x:f>IF(T48="","",I48*T48)</x:f>
        <x:v>249.6138643808938</x:v>
      </x:c>
    </x:row>
    <x:row r="49" ht="18" customHeight="1">
      <x:c r="A49" s="24" t="str">
        <x:v>EEZ_794</x:v>
      </x:c>
      <x:c r="B49" s="24" t="str">
        <x:v>Turkey (Black Sea)</x:v>
      </x:c>
      <x:c r="C49" s="24" t="str">
        <x:v>EEZ</x:v>
      </x:c>
      <x:c r="D49" s="30" t="n">
        <x:v>2019</x:v>
      </x:c>
      <x:c r="E49" s="24" t="str">
        <x:v>Diplodus puntazzo</x:v>
      </x:c>
      <x:c r="F49" s="24" t="str">
        <x:v>Sharpsnout seabream</x:v>
      </x:c>
      <x:c r="G49" s="24" t="str">
        <x:v>Medium benthopelagics (30 - 89 cm)</x:v>
      </x:c>
      <x:c r="H49" s="24" t="str">
        <x:v>Perch-likes</x:v>
      </x:c>
      <x:c r="I49" s="31" t="n">
        <x:v>0.0575460077</x:v>
      </x:c>
      <x:c r="J49" s="31" t="n">
        <x:v>0.049628759700000004</x:v>
      </x:c>
      <x:c r="K49" s="31" t="n">
        <x:v>0.007917248</x:v>
      </x:c>
      <x:c r="L49" s="31" t="n">
        <x:v>0</x:v>
      </x:c>
      <x:c r="M49" s="31" t="n">
        <x:v>0.0575460077</x:v>
      </x:c>
      <x:c r="N49" s="24" t="str">
        <x:v>diplodus puntazzo</x:v>
      </x:c>
      <x:c r="O49" s="32" t="n">
        <x:v>3.22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Diplodus puntazzo</x:v>
      </x:c>
      <x:c r="T49" s="32" t="n">
        <x:f>IF(O49="","",(1/'Metadata'!$B$5)^(O49-1))</x:f>
        <x:v>165.95869074375614</x:v>
      </x:c>
      <x:c r="U49" s="31" t="n">
        <x:f>IF(T49="","",I49*T49)</x:f>
        <x:v>9.550260095422109</x:v>
      </x:c>
    </x:row>
    <x:row r="50" ht="18" customHeight="1">
      <x:c r="A50" s="24" t="str">
        <x:v>EEZ_794</x:v>
      </x:c>
      <x:c r="B50" s="24" t="str">
        <x:v>Turkey (Black Sea)</x:v>
      </x:c>
      <x:c r="C50" s="24" t="str">
        <x:v>EEZ</x:v>
      </x:c>
      <x:c r="D50" s="30" t="n">
        <x:v>2019</x:v>
      </x:c>
      <x:c r="E50" s="24" t="str">
        <x:v>Xiphias gladius</x:v>
      </x:c>
      <x:c r="F50" s="24" t="str">
        <x:v>Swordfish</x:v>
      </x:c>
      <x:c r="G50" s="24" t="str">
        <x:v>Large pelagics (&gt;=90 cm)</x:v>
      </x:c>
      <x:c r="H50" s="24" t="str">
        <x:v>Tuna &amp; billfishes</x:v>
      </x:c>
      <x:c r="I50" s="31" t="n">
        <x:v>0.0283060808</x:v>
      </x:c>
      <x:c r="J50" s="31" t="n">
        <x:v>0.0250965517</x:v>
      </x:c>
      <x:c r="K50" s="31" t="n">
        <x:v>0.0032095291</x:v>
      </x:c>
      <x:c r="L50" s="31" t="n">
        <x:v>0</x:v>
      </x:c>
      <x:c r="M50" s="31" t="n">
        <x:v>0.0283060808</x:v>
      </x:c>
      <x:c r="N50" s="24" t="str">
        <x:v>xiphias gladius</x:v>
      </x:c>
      <x:c r="O50" s="32" t="n">
        <x:v>4.53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Xiphias gladius</x:v>
      </x:c>
      <x:c r="T50" s="32" t="n">
        <x:f>IF(O50="","",(1/'Metadata'!$B$5)^(O50-1))</x:f>
        <x:v>3388.4415613920273</x:v>
      </x:c>
      <x:c r="U50" s="31" t="n">
        <x:f>IF(T50="","",I50*T50)</x:f>
        <x:v>95.91350062284089</x:v>
      </x:c>
    </x:row>
  </x:sheetData>
  <x:conditionalFormatting sqref="R2:R5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f943b4b5c934d1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268355.5097471848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34570886.512619324</x:v>
      </x:c>
    </x:row>
    <x:row r="3" ht="18" customHeight="1">
      <x:c r="A3" s="24" t="str">
        <x:v>Cod-likes</x:v>
      </x:c>
      <x:c r="B3" s="31" t="n">
        <x:v>15033.936922215798</x:v>
      </x:c>
      <x:c r="C3" s="32" t="n">
        <x:v>4.359991793983905</x:v>
      </x:c>
      <x:c r="D3" s="32" t="n">
        <x:f>IF(C3="","",(1/'Metadata'!$B$5)^(C3-1))</x:f>
        <x:v>2290.824367117112</x:v>
      </x:c>
      <x:c r="E3" s="31" t="n">
        <x:f>IF(B3=0,"",B3*D3)</x:f>
        <x:v>34440109.03511359</x:v>
      </x:c>
    </x:row>
    <x:row r="4" ht="18" customHeight="1">
      <x:c r="A4" s="24" t="str">
        <x:v>Crustaceans</x:v>
      </x:c>
      <x:c r="B4" s="31" t="n">
        <x:v>4.6902821778</x:v>
      </x:c>
      <x:c r="C4" s="32" t="n">
        <x:v>3.2167824680682475</x:v>
      </x:c>
      <x:c r="D4" s="32" t="n">
        <x:f>IF(C4="","",(1/'Metadata'!$B$5)^(C4-1))</x:f>
        <x:v>164.73370571314052</x:v>
      </x:c>
      <x:c r="E4" s="31" t="n">
        <x:f>IF(B4=0,"",B4*D4)</x:f>
        <x:v>772.6475639892931</x:v>
      </x:c>
    </x:row>
    <x:row r="5" ht="18" customHeight="1">
      <x:c r="A5" s="24" t="str">
        <x:v>Flatfishes</x:v>
      </x:c>
      <x:c r="B5" s="31" t="n">
        <x:v>347.6906623027</x:v>
      </x:c>
      <x:c r="C5" s="32" t="n">
        <x:v>4.3327630599671805</x:v>
      </x:c>
      <x:c r="D5" s="32" t="n">
        <x:f>IF(C5="","",(1/'Metadata'!$B$5)^(C5-1))</x:f>
        <x:v>2151.6075520487043</x:v>
      </x:c>
      <x:c r="E5" s="31" t="n">
        <x:f>IF(B5=0,"",B5*D5)</x:f>
        <x:v>748093.854787305</x:v>
      </x:c>
    </x:row>
    <x:row r="6" ht="18" customHeight="1">
      <x:c r="A6" s="24" t="str">
        <x:v>Herring-likes</x:v>
      </x:c>
      <x:c r="B6" s="31" t="n">
        <x:v>159224.67438561848</x:v>
      </x:c>
      <x:c r="C6" s="32" t="n">
        <x:v>3.0148113608514238</x:v>
      </x:c>
      <x:c r="D6" s="32" t="n">
        <x:f>IF(C6="","",(1/'Metadata'!$B$5)^(C6-1))</x:f>
        <x:v>103.46926423517272</x:v>
      </x:c>
      <x:c r="E6" s="31" t="n">
        <x:f>IF(B6=0,"",B6*D6)</x:f>
        <x:v>16474859.906764895</x:v>
      </x:c>
    </x:row>
    <x:row r="7" ht="18" customHeight="1">
      <x:c r="A7" s="24" t="str">
        <x:v>Molluscs</x:v>
      </x:c>
      <x:c r="B7" s="31" t="n">
        <x:v>60038.0216073092</x:v>
      </x:c>
      <x:c r="C7" s="32" t="n">
        <x:v>2.2628050350088214</x:v>
      </x:c>
      <x:c r="D7" s="32" t="n">
        <x:f>IF(C7="","",(1/'Metadata'!$B$5)^(C7-1))</x:f>
        <x:v>18.314920380076096</x:v>
      </x:c>
      <x:c r="E7" s="31" t="n">
        <x:f>IF(B7=0,"",B7*D7)</x:f>
        <x:v>1099591.5855151564</x:v>
      </x:c>
    </x:row>
    <x:row r="8" ht="18" customHeight="1">
      <x:c r="A8" s="24" t="str">
        <x:v>Other fishes &amp; inverts</x:v>
      </x:c>
      <x:c r="B8" s="31" t="n">
        <x:v>16138.668287328499</x:v>
      </x:c>
      <x:c r="C8" s="32" t="n">
        <x:v>3.285822470932016</x:v>
      </x:c>
      <x:c r="D8" s="32" t="n">
        <x:f>IF(C8="","",(1/'Metadata'!$B$5)^(C8-1))</x:f>
        <x:v>193.11787365422336</x:v>
      </x:c>
      <x:c r="E8" s="31" t="n">
        <x:f>IF(B8=0,"",B8*D8)</x:f>
        <x:v>3116665.303259726</x:v>
      </x:c>
    </x:row>
    <x:row r="9" ht="18" customHeight="1">
      <x:c r="A9" s="24" t="str">
        <x:v>Perch-likes</x:v>
      </x:c>
      <x:c r="B9" s="31" t="n">
        <x:v>22097.0399608921</x:v>
      </x:c>
      <x:c r="C9" s="32" t="n">
        <x:v>3.81024213500587</x:v>
      </x:c>
      <x:c r="D9" s="32" t="n">
        <x:f>IF(C9="","",(1/'Metadata'!$B$5)^(C9-1))</x:f>
        <x:v>646.0143051731324</x:v>
      </x:c>
      <x:c r="E9" s="31" t="n">
        <x:f>IF(B9=0,"",B9*D9)</x:f>
        <x:v>14275003.916718649</x:v>
      </x:c>
    </x:row>
    <x:row r="10" ht="18" customHeight="1">
      <x:c r="A10" s="24" t="str">
        <x:v>Scorpionfishes</x:v>
      </x:c>
      <x:c r="B10" s="31" t="n">
        <x:v>107.352883644</x:v>
      </x:c>
      <x:c r="C10" s="32" t="n">
        <x:v>3.9200000000000004</x:v>
      </x:c>
      <x:c r="D10" s="32" t="n">
        <x:f>IF(C10="","",(1/'Metadata'!$B$5)^(C10-1))</x:f>
        <x:v>831.7637711026717</x:v>
      </x:c>
      <x:c r="E10" s="31" t="n">
        <x:f>IF(B10=0,"",B10*D10)</x:f>
        <x:v>89292.23933847978</x:v>
      </x:c>
    </x:row>
    <x:row r="11" ht="18" customHeight="1">
      <x:c r="A11" s="24" t="str">
        <x:v>Sharks &amp; rays</x:v>
      </x:c>
      <x:c r="B11" s="31" t="n">
        <x:v>5.840805920499999</x:v>
      </x:c>
      <x:c r="C11" s="32" t="n">
        <x:v>3.7945587668894367</x:v>
      </x:c>
      <x:c r="D11" s="32" t="n">
        <x:f>IF(C11="","",(1/'Metadata'!$B$5)^(C11-1))</x:f>
        <x:v>623.1014571741812</x:v>
      </x:c>
      <x:c r="E11" s="31" t="n">
        <x:f>IF(B11=0,"",B11*D11)</x:f>
        <x:v>3639.4146801351344</x:v>
      </x:c>
    </x:row>
    <x:row r="12" ht="18" customHeight="1">
      <x:c r="A12" s="24" t="str">
        <x:v>Tuna &amp; billfishes</x:v>
      </x:c>
      <x:c r="B12" s="31" t="n">
        <x:v>15857.3548337986</x:v>
      </x:c>
      <x:c r="C12" s="32" t="n">
        <x:v>4.500000053551329</x:v>
      </x:c>
      <x:c r="D12" s="32" t="n">
        <x:f>IF(C12="","",(1/'Metadata'!$B$5)^(C12-1))</x:f>
        <x:v>3162.278050097766</x:v>
      </x:c>
      <x:c r="E12" s="31" t="n">
        <x:f>IF(B12=0,"",B12*D12)</x:f>
        <x:v>50145365.12353302</x:v>
      </x:c>
    </x:row>
  </x:sheetData>
  <x:pageMargins left="0.7" right="0.7" top="0.75" bottom="0.75" header="0.3" footer="0.3"/>
  <x:tableParts count="1">
    <x:tablePart xmlns:r="http://schemas.openxmlformats.org/officeDocument/2006/relationships" r:id="R0c1cd1cda6a94d6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0.1355453071</x:v>
      </x:c>
      <x:c r="C2" s="32" t="n">
        <x:v>4.27</x:v>
      </x:c>
      <x:c r="D2" s="32" t="n">
        <x:f>IF(C2="","",(1/'Metadata'!$B$5)^(C2-1))</x:f>
        <x:v>1862.0871366628655</x:v>
      </x:c>
      <x:c r="E2" s="31" t="n">
        <x:f>IF(B2=0,"",B2*D2)</x:f>
        <x:v>252.3971727859278</x:v>
      </x:c>
    </x:row>
    <x:row r="3" ht="18" customHeight="1">
      <x:c r="A3" s="24" t="str">
        <x:v>Large bathydemersals (&gt;=90 cm)</x:v>
      </x:c>
      <x:c r="B3" s="31" t="n">
        <x:v>3.0902515829</x:v>
      </x:c>
      <x:c r="C3" s="32" t="n">
        <x:v>4.420876157624829</x:v>
      </x:c>
      <x:c r="D3" s="32" t="n">
        <x:f>IF(C3="","",(1/'Metadata'!$B$5)^(C3-1))</x:f>
        <x:v>2635.5797230525463</x:v>
      </x:c>
      <x:c r="E3" s="31" t="n">
        <x:f>IF(B3=0,"",B3*D3)</x:f>
        <x:v>8144.604411022276</x:v>
      </x:c>
    </x:row>
    <x:row r="4" ht="18" customHeight="1">
      <x:c r="A4" s="24" t="str">
        <x:v>Large demersals (&gt;=90 cm)</x:v>
      </x:c>
      <x:c r="B4" s="31" t="n">
        <x:v>113.69080460340001</x:v>
      </x:c>
      <x:c r="C4" s="32" t="n">
        <x:v>3.2698295571060947</x:v>
      </x:c>
      <x:c r="D4" s="32" t="n">
        <x:f>IF(C4="","",(1/'Metadata'!$B$5)^(C4-1))</x:f>
        <x:v>186.13564866952103</x:v>
      </x:c>
      <x:c r="E4" s="31" t="n">
        <x:f>IF(B4=0,"",B4*D4)</x:f>
        <x:v>21161.911662613627</x:v>
      </x:c>
    </x:row>
    <x:row r="5" ht="18" customHeight="1">
      <x:c r="A5" s="24" t="str">
        <x:v>Large flatfishes (&gt;=90 cm)</x:v>
      </x:c>
      <x:c r="B5" s="31" t="n">
        <x:v>339.4558538513</x:v>
      </x:c>
      <x:c r="C5" s="32" t="n">
        <x:v>4.36</x:v>
      </x:c>
      <x:c r="D5" s="32" t="n">
        <x:f>IF(C5="","",(1/'Metadata'!$B$5)^(C5-1))</x:f>
        <x:v>2290.867652767775</x:v>
      </x:c>
      <x:c r="E5" s="31" t="n">
        <x:f>IF(B5=0,"",B5*D5)</x:f>
        <x:v>777648.4351306085</x:v>
      </x:c>
    </x:row>
    <x:row r="6" ht="18" customHeight="1">
      <x:c r="A6" s="24" t="str">
        <x:v>Large pelagics (&gt;=90 cm)</x:v>
      </x:c>
      <x:c r="B6" s="31" t="n">
        <x:v>3879.9030850663003</x:v>
      </x:c>
      <x:c r="C6" s="32" t="n">
        <x:v>4.53</x:v>
      </x:c>
      <x:c r="D6" s="32" t="n">
        <x:f>IF(C6="","",(1/'Metadata'!$B$5)^(C6-1))</x:f>
        <x:v>3388.4415613920273</x:v>
      </x:c>
      <x:c r="E6" s="31" t="n">
        <x:f>IF(B6=0,"",B6*D6)</x:f>
        <x:v>13146824.867611798</x:v>
      </x:c>
    </x:row>
    <x:row r="7" ht="18" customHeight="1">
      <x:c r="A7" s="24" t="str">
        <x:v>Large rays (&gt;=90 cm)</x:v>
      </x:c>
      <x:c r="B7" s="31" t="n">
        <x:v>4.4957926835999995</x:v>
      </x:c>
      <x:c r="C7" s="32" t="n">
        <x:v>3.711673637779484</x:v>
      </x:c>
      <x:c r="D7" s="32" t="n">
        <x:f>IF(C7="","",(1/'Metadata'!$B$5)^(C7-1))</x:f>
        <x:v>514.8416076598098</x:v>
      </x:c>
      <x:c r="E7" s="31" t="n">
        <x:f>IF(B7=0,"",B7*D7)</x:f>
        <x:v>2314.6211329298344</x:v>
      </x:c>
    </x:row>
    <x:row r="8" ht="18" customHeight="1">
      <x:c r="A8" s="24" t="str">
        <x:v>Large sharks (&gt;=90 cm)</x:v>
      </x:c>
      <x:c r="B8" s="31" t="n">
        <x:v>1.3450132368999999</x:v>
      </x:c>
      <x:c r="C8" s="32" t="n">
        <x:v>4.071607606862653</x:v>
      </x:c>
      <x:c r="D8" s="32" t="n">
        <x:f>IF(C8="","",(1/'Metadata'!$B$5)^(C8-1))</x:f>
        <x:v>1179.2546756467082</x:v>
      </x:c>
      <x:c r="E8" s="31" t="n">
        <x:f>IF(B8=0,"",B8*D8)</x:f>
        <x:v>1586.1131484210384</x:v>
      </x:c>
    </x:row>
    <x:row r="9" ht="18" customHeight="1">
      <x:c r="A9" s="24" t="str">
        <x:v>Lobsters, crabs</x:v>
      </x:c>
      <x:c r="B9" s="31" t="n">
        <x:v>1.9515685345</x:v>
      </x:c>
      <x:c r="C9" s="32" t="n">
        <x:v>3.1</x:v>
      </x:c>
      <x:c r="D9" s="32" t="n">
        <x:f>IF(C9="","",(1/'Metadata'!$B$5)^(C9-1))</x:f>
        <x:v>125.89254117941675</x:v>
      </x:c>
      <x:c r="E9" s="31" t="n">
        <x:f>IF(B9=0,"",B9*D9)</x:f>
        <x:v>245.68792209399527</x:v>
      </x:c>
    </x:row>
    <x:row r="10" ht="18" customHeight="1">
      <x:c r="A10" s="24" t="str">
        <x:v>Medium bathydemersals (30 - 89 cm)</x:v>
      </x:c>
      <x:c r="B10" s="31" t="n">
        <x:v>1.2707636485</x:v>
      </x:c>
      <x:c r="C10" s="32" t="n">
        <x:v>4.27</x:v>
      </x:c>
      <x:c r="D10" s="32" t="n">
        <x:f>IF(C10="","",(1/'Metadata'!$B$5)^(C10-1))</x:f>
        <x:v>1862.0871366628655</x:v>
      </x:c>
      <x:c r="E10" s="31" t="n">
        <x:f>IF(B10=0,"",B10*D10)</x:f>
        <x:v>2366.2726436106213</x:v>
      </x:c>
    </x:row>
    <x:row r="11" ht="18" customHeight="1">
      <x:c r="A11" s="24" t="str">
        <x:v>Medium benthopelagics (30 - 89 cm)</x:v>
      </x:c>
      <x:c r="B11" s="31" t="n">
        <x:v>15039.4396603784</x:v>
      </x:c>
      <x:c r="C11" s="32" t="n">
        <x:v>4.359364028858923</x:v>
      </x:c>
      <x:c r="D11" s="32" t="n">
        <x:f>IF(C11="","",(1/'Metadata'!$B$5)^(C11-1))</x:f>
        <x:v>2287.5154124063906</x:v>
      </x:c>
      <x:c r="E11" s="31" t="n">
        <x:f>IF(B11=0,"",B11*D11)</x:f>
        <x:v>34402950.01707152</x:v>
      </x:c>
    </x:row>
    <x:row r="12" ht="18" customHeight="1">
      <x:c r="A12" s="24" t="str">
        <x:v>Medium demersals (30 - 89 cm)</x:v>
      </x:c>
      <x:c r="B12" s="31" t="n">
        <x:v>19304.0284119565</x:v>
      </x:c>
      <x:c r="C12" s="32" t="n">
        <x:v>3.270688984612663</x:v>
      </x:c>
      <x:c r="D12" s="32" t="n">
        <x:f>IF(C12="","",(1/'Metadata'!$B$5)^(C12-1))</x:f>
        <x:v>186.5043581290274</x:v>
      </x:c>
      <x:c r="E12" s="31" t="n">
        <x:f>IF(B12=0,"",B12*D12)</x:f>
        <x:v>3600285.428276455</x:v>
      </x:c>
    </x:row>
    <x:row r="13" ht="18" customHeight="1">
      <x:c r="A13" s="24" t="str">
        <x:v>Medium pelagics (30 - 89 cm)</x:v>
      </x:c>
      <x:c r="B13" s="31" t="n">
        <x:v>31470.7128253108</x:v>
      </x:c>
      <x:c r="C13" s="32" t="n">
        <x:v>4.139840861121661</x:v>
      </x:c>
      <x:c r="D13" s="32" t="n">
        <x:f>IF(C13="","",(1/'Metadata'!$B$5)^(C13-1))</x:f>
        <x:v>1379.8785419419437</x:v>
      </x:c>
      <x:c r="E13" s="31" t="n">
        <x:f>IF(B13=0,"",B13*D13)</x:f>
        <x:v>43425761.32726349</x:v>
      </x:c>
    </x:row>
    <x:row r="14" ht="18" customHeight="1">
      <x:c r="A14" s="24" t="str">
        <x:v>Medium reef assoc. fish (30 - 89 cm)</x:v>
      </x:c>
      <x:c r="B14" s="31" t="n">
        <x:v>21.3212787964</x:v>
      </x:c>
      <x:c r="C14" s="32" t="n">
        <x:v>2.53</x:v>
      </x:c>
      <x:c r="D14" s="32" t="n">
        <x:f>IF(C14="","",(1/'Metadata'!$B$5)^(C14-1))</x:f>
        <x:v>33.88441561392024</x:v>
      </x:c>
      <x:c r="E14" s="31" t="n">
        <x:f>IF(B14=0,"",B14*D14)</x:f>
        <x:v>722.4590721574828</x:v>
      </x:c>
    </x:row>
    <x:row r="15" ht="18" customHeight="1">
      <x:c r="A15" s="24" t="str">
        <x:v>Other demersal invertebrates</x:v>
      </x:c>
      <x:c r="B15" s="31" t="n">
        <x:v>60049.6604650827</x:v>
      </x:c>
      <x:c r="C15" s="32" t="n">
        <x:v>2.2628374408276537</x:v>
      </x:c>
      <x:c r="D15" s="32" t="n">
        <x:f>IF(C15="","",(1/'Metadata'!$B$5)^(C15-1))</x:f>
        <x:v>18.31628703832312</x:v>
      </x:c>
      <x:c r="E15" s="31" t="n">
        <x:f>IF(B15=0,"",B15*D15)</x:f>
        <x:v>1099886.8176322987</x:v>
      </x:c>
    </x:row>
    <x:row r="16" ht="18" customHeight="1">
      <x:c r="A16" s="24" t="str">
        <x:v>Shrimps</x:v>
      </x:c>
      <x:c r="B16" s="31" t="n">
        <x:v>2.7387136433</x:v>
      </x:c>
      <x:c r="C16" s="32" t="n">
        <x:v>3.3</x:v>
      </x:c>
      <x:c r="D16" s="32" t="n">
        <x:f>IF(C16="","",(1/'Metadata'!$B$5)^(C16-1))</x:f>
        <x:v>199.52623149688787</x:v>
      </x:c>
      <x:c r="E16" s="31" t="n">
        <x:f>IF(B16=0,"",B16*D16)</x:f>
        <x:v>546.445212396761</x:v>
      </x:c>
    </x:row>
    <x:row r="17" ht="18" customHeight="1">
      <x:c r="A17" s="24" t="str">
        <x:v>Small benthopelagics (&lt;30 cm)</x:v>
      </x:c>
      <x:c r="B17" s="31" t="n">
        <x:v>0.7976928643</x:v>
      </x:c>
      <x:c r="C17" s="32" t="n">
        <x:v>3.538202885014826</x:v>
      </x:c>
      <x:c r="D17" s="32" t="n">
        <x:f>IF(C17="","",(1/'Metadata'!$B$5)^(C17-1))</x:f>
        <x:v>345.30501435651496</x:v>
      </x:c>
      <x:c r="E17" s="31" t="n">
        <x:f>IF(B17=0,"",B17*D17)</x:f>
        <x:v>275.447345959201</x:v>
      </x:c>
    </x:row>
    <x:row r="18" ht="18" customHeight="1">
      <x:c r="A18" s="24" t="str">
        <x:v>Small demersals (&lt;30 cm)</x:v>
      </x:c>
      <x:c r="B18" s="31" t="n">
        <x:v>114.2617895825</x:v>
      </x:c>
      <x:c r="C18" s="32" t="n">
        <x:v>3.8994417011349722</x:v>
      </x:c>
      <x:c r="D18" s="32" t="n">
        <x:f>IF(C18="","",(1/'Metadata'!$B$5)^(C18-1))</x:f>
        <x:v>793.3077575050148</x:v>
      </x:c>
      <x:c r="E18" s="31" t="n">
        <x:f>IF(B18=0,"",B18*D18)</x:f>
        <x:v>90644.76406220294</x:v>
      </x:c>
    </x:row>
    <x:row r="19" ht="18" customHeight="1">
      <x:c r="A19" s="24" t="str">
        <x:v>Small pelagics (&lt;30 cm)</x:v>
      </x:c>
      <x:c r="B19" s="31" t="n">
        <x:v>426851.311182635</x:v>
      </x:c>
      <x:c r="C19" s="32" t="n">
        <x:v>3.072915262855542</x:v>
      </x:c>
      <x:c r="D19" s="32" t="n">
        <x:f>IF(C19="","",(1/'Metadata'!$B$5)^(C19-1))</x:f>
        <x:v>118.2810749698046</x:v>
      </x:c>
      <x:c r="E19" s="31" t="n">
        <x:f>IF(B19=0,"",B19*D19)</x:f>
        <x:v>50488431.93895265</x:v>
      </x:c>
    </x:row>
    <x:row r="20" ht="18" customHeight="1">
      <x:c r="A20" s="24" t="str">
        <x:v>Small reef assoc. fish (&lt;30 cm)</x:v>
      </x:c>
      <x:c r="B20" s="31" t="n">
        <x:v>2.9348711767</x:v>
      </x:c>
      <x:c r="C20" s="32" t="n">
        <x:v>3.11</x:v>
      </x:c>
      <x:c r="D20" s="32" t="n">
        <x:f>IF(C20="","",(1/'Metadata'!$B$5)^(C20-1))</x:f>
        <x:v>128.82495516931337</x:v>
      </x:c>
      <x:c r="E20" s="31" t="n">
        <x:f>IF(B20=0,"",B20*D20)</x:f>
        <x:v>378.0846477660875</x:v>
      </x:c>
    </x:row>
    <x:row r="21" ht="18" customHeight="1">
      <x:c r="A21" s="24" t="str">
        <x:v>Small to medium flatfishes (&lt;90 cm)</x:v>
      </x:c>
      <x:c r="B21" s="31" t="n">
        <x:v>8.2348084514</x:v>
      </x:c>
      <x:c r="C21" s="32" t="n">
        <x:v>3.21</x:v>
      </x:c>
      <x:c r="D21" s="32" t="n">
        <x:f>IF(C21="","",(1/'Metadata'!$B$5)^(C21-1))</x:f>
        <x:v>162.18100973589299</x:v>
      </x:c>
      <x:c r="E21" s="31" t="n">
        <x:f>IF(B21=0,"",B21*D21)</x:f>
        <x:v>1335.5295496297172</x:v>
      </x:c>
    </x:row>
  </x:sheetData>
  <x:pageMargins left="0.7" right="0.7" top="0.75" bottom="0.75" header="0.3" footer="0.3"/>
  <x:tableParts count="1">
    <x:tablePart xmlns:r="http://schemas.openxmlformats.org/officeDocument/2006/relationships" r:id="R6acb1508d0ea473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EEZ_794</x:v>
      </x:c>
      <x:c r="B2" s="24" t="str">
        <x:v>raw_filtered_tonnes</x:v>
      </x:c>
      <x:c r="C2" s="24" t="n">
        <x:v>557210.7803783924</x:v>
      </x:c>
      <x:c r="D2" s="24" t="str">
        <x:v>tonnes</x:v>
      </x:c>
    </x:row>
    <x:row r="3" ht="18" customHeight="1">
      <x:c r="A3" s="24" t="str">
        <x:v>EEZ_794</x:v>
      </x:c>
      <x:c r="B3" s="24" t="str">
        <x:v>species_catch_tonnes</x:v>
      </x:c>
      <x:c r="C3" s="24" t="n">
        <x:v>557210.7803783925</x:v>
      </x:c>
      <x:c r="D3" s="24" t="str">
        <x:v>tonnes</x:v>
      </x:c>
    </x:row>
    <x:row r="4" ht="18" customHeight="1">
      <x:c r="A4" s="24" t="str">
        <x:v>EEZ_794</x:v>
      </x:c>
      <x:c r="B4" s="24" t="str">
        <x:v>catch_difference_tonnes</x:v>
      </x:c>
      <x:c r="C4" s="24" t="n">
        <x:v>1.1641532182693481e-10</x:v>
      </x:c>
      <x:c r="D4" s="24" t="str">
        <x:v>tonnes</x:v>
      </x:c>
    </x:row>
    <x:row r="5" ht="18" customHeight="1">
      <x:c r="A5" s="24" t="str">
        <x:v>EEZ_794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EEZ_794</x:v>
      </x:c>
      <x:c r="B6" s="24" t="str">
        <x:v>matched_catch_tonnes</x:v>
      </x:c>
      <x:c r="C6" s="24" t="n">
        <x:v>557210.7803783925</x:v>
      </x:c>
      <x:c r="D6" s="24" t="str">
        <x:v>tonnes</x:v>
      </x:c>
    </x:row>
    <x:row r="7" ht="18" customHeight="1">
      <x:c r="A7" s="24" t="str">
        <x:v>EEZ_794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EEZ_794</x:v>
      </x:c>
      <x:c r="B8" s="24" t="str">
        <x:v>taxa_count</x:v>
      </x:c>
      <x:c r="C8" s="24" t="n">
        <x:v>49</x:v>
      </x:c>
      <x:c r="D8" s="24" t="str">
        <x:v>count</x:v>
      </x:c>
    </x:row>
    <x:row r="9" ht="18" customHeight="1">
      <x:c r="A9" s="24" t="str">
        <x:v>EEZ_794</x:v>
      </x:c>
      <x:c r="B9" s="24" t="str">
        <x:v>matched_taxa_count</x:v>
      </x:c>
      <x:c r="C9" s="24" t="n">
        <x:v>49</x:v>
      </x:c>
      <x:c r="D9" s="24" t="str">
        <x:v>count</x:v>
      </x:c>
    </x:row>
    <x:row r="10" ht="18" customHeight="1">
      <x:c r="A10" s="24" t="str">
        <x:v>EEZ_794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EEZ_794</x:v>
      </x:c>
      <x:c r="B11" s="24" t="str">
        <x:v>species_ppr</x:v>
      </x:c>
      <x:c r="C11" s="24" t="n">
        <x:v>164051844.8986375</x:v>
      </x:c>
      <x:c r="D11" s="24" t="str">
        <x:v>tonnes_primary_production_equivalent</x:v>
      </x:c>
    </x:row>
    <x:row r="12" ht="18" customHeight="1">
      <x:c r="A12" s="24" t="str">
        <x:v>EEZ_794</x:v>
      </x:c>
      <x:c r="B12" s="24" t="str">
        <x:v>commercial_ppr</x:v>
      </x:c>
      <x:c r="C12" s="24" t="n">
        <x:v>154964279.53989428</x:v>
      </x:c>
      <x:c r="D12" s="24" t="str">
        <x:v>tonnes_primary_production_equivalent</x:v>
      </x:c>
    </x:row>
    <x:row r="13" ht="18" customHeight="1">
      <x:c r="A13" s="24" t="str">
        <x:v>EEZ_794</x:v>
      </x:c>
      <x:c r="B13" s="24" t="str">
        <x:v>functional_ppr</x:v>
      </x:c>
      <x:c r="C13" s="24" t="n">
        <x:v>147071763.1699224</x:v>
      </x:c>
      <x:c r="D13" s="24" t="str">
        <x:v>tonnes_primary_production_equivalent</x:v>
      </x:c>
    </x:row>
    <x:row r="14" ht="18" customHeight="1">
      <x:c r="A14" s="24" t="str">
        <x:v>EEZ_794</x:v>
      </x:c>
      <x:c r="B14" s="24" t="str">
        <x:v>commercial_ppr_difference</x:v>
      </x:c>
      <x:c r="C14" s="24" t="n">
        <x:v>-9087565.35874322</x:v>
      </x:c>
      <x:c r="D14" s="24" t="str">
        <x:v>tonnes_primary_production_equivalent</x:v>
      </x:c>
    </x:row>
    <x:row r="15" ht="18" customHeight="1">
      <x:c r="A15" s="24" t="str">
        <x:v>EEZ_794</x:v>
      </x:c>
      <x:c r="B15" s="24" t="str">
        <x:v>functional_ppr_difference</x:v>
      </x:c>
      <x:c r="C15" s="24" t="n">
        <x:v>-16980081.728715092</x:v>
      </x:c>
      <x:c r="D15" s="24" t="str">
        <x:v>tonnes_primary_production_equivalent</x:v>
      </x:c>
    </x:row>
    <x:row r="16" ht="18" customHeight="1">
      <x:c r="A16" s="24" t="str">
        <x:v>EEZ_794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EEZ_794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17ae30691874a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EEZ_794 - Turkey (Black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EEZ_794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raw_data/SAU_downloads/EEZ_794-catch.zip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