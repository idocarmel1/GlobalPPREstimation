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71331e060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4c467e8985e49df"/>
    <x:sheet xmlns:r="http://schemas.openxmlformats.org/officeDocument/2006/relationships" name="Commercial" sheetId="2" r:id="Rb3de9b13fedd4d39"/>
    <x:sheet xmlns:r="http://schemas.openxmlformats.org/officeDocument/2006/relationships" name="Functional" sheetId="3" r:id="R844f784757674fb0"/>
    <x:sheet xmlns:r="http://schemas.openxmlformats.org/officeDocument/2006/relationships" name="Missing TL" sheetId="4" r:id="R4add8f156bc14a4f"/>
    <x:sheet xmlns:r="http://schemas.openxmlformats.org/officeDocument/2006/relationships" name="Validation" sheetId="5" r:id="R47e5017221784ffc"/>
    <x:sheet xmlns:r="http://schemas.openxmlformats.org/officeDocument/2006/relationships" name="Metadata" sheetId="6" r:id="R38bab7e085bb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fd88c005934e8b" /><Relationship Type="http://schemas.openxmlformats.org/officeDocument/2006/relationships/theme" Target="/xl/theme/theme1.xml" Id="R07c94ad3e50048e0" /><Relationship Type="http://schemas.microsoft.com/office/2022/11/relationships/FeaturePropertyBag" Target="/xl/featurePropertyBag/featurePropertyBag.xml" Id="R4d8c107a977a4cbb" /><Relationship Type="http://schemas.openxmlformats.org/officeDocument/2006/relationships/sharedStrings" Target="/xl/sharedStrings.xml" Id="Re743642052a945df" /><Relationship Type="http://schemas.openxmlformats.org/officeDocument/2006/relationships/worksheet" Target="/xl/worksheets/sheet1.xml" Id="Rd4c467e8985e49df" /><Relationship Type="http://schemas.openxmlformats.org/officeDocument/2006/relationships/worksheet" Target="/xl/worksheets/sheet2.xml" Id="Rb3de9b13fedd4d39" /><Relationship Type="http://schemas.openxmlformats.org/officeDocument/2006/relationships/worksheet" Target="/xl/worksheets/sheet3.xml" Id="R844f784757674fb0" /><Relationship Type="http://schemas.openxmlformats.org/officeDocument/2006/relationships/worksheet" Target="/xl/worksheets/sheet4.xml" Id="R4add8f156bc14a4f" /><Relationship Type="http://schemas.openxmlformats.org/officeDocument/2006/relationships/worksheet" Target="/xl/worksheets/sheet5.xml" Id="R47e5017221784ffc" /><Relationship Type="http://schemas.openxmlformats.org/officeDocument/2006/relationships/worksheet" Target="/xl/worksheets/sheet6.xml" Id="R38bab7e085bb4f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66SpeciesTable" displayName="EEZ166SpeciesTable" ref="A1:U11" headerRowCount="1" totalsRowCount="0" totalsRowShown="0">
  <x:autoFilter ref="A1:U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66CommercialTable" displayName="EEZ166CommercialTable" ref="A1:O4" headerRowCount="1" totalsRowCount="0" totalsRowShown="0">
  <x:autoFilter ref="A1:O4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66FunctionalTable" displayName="EEZ166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66ValidationTable" displayName="EEZ16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0b5de14a4746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6a2ad7a83e45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80b0a5715b49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6b70f0383f41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EEZ_166</x:v>
      </x:c>
      <x:c r="B2" s="24" t="str">
        <x:v>Cocos (Keeling) Isl. (Australia)</x:v>
      </x:c>
      <x:c r="C2" s="24" t="str">
        <x:v>EEZ</x:v>
      </x:c>
      <x:c r="D2" s="30" t="n">
        <x:v>2019</x:v>
      </x:c>
      <x:c r="E2" s="24" t="str">
        <x:v>Gerreidae</x:v>
      </x:c>
      <x:c r="F2" s="24" t="str">
        <x:v>Mojarras, silverbellies</x:v>
      </x:c>
      <x:c r="G2" s="24" t="str">
        <x:v>Small benthopelagics (&lt;30 cm)</x:v>
      </x:c>
      <x:c r="H2" s="24" t="str">
        <x:v>Perch-likes</x:v>
      </x:c>
      <x:c r="I2" s="31" t="n">
        <x:v>48.993025010000004</x:v>
      </x:c>
      <x:c r="J2" s="31" t="n">
        <x:v>48.993025010000004</x:v>
      </x:c>
      <x:c r="K2" s="31" t="n">
        <x:v>0</x:v>
      </x:c>
      <x:c r="L2" s="31" t="n">
        <x:v>0</x:v>
      </x:c>
      <x:c r="M2" s="31" t="n">
        <x:v>48.993025010000004</x:v>
      </x:c>
      <x:c r="N2" s="24" t="str">
        <x:v>gerreidae</x:v>
      </x:c>
      <x:c r="O2" s="32" t="n">
        <x:v>3.03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Gerreidae</x:v>
      </x:c>
      <x:c r="T2" s="32" t="n">
        <x:f>IF(O2="","",(1/'Metadata'!$B$5)^(O2-1))</x:f>
        <x:v>107.1519305237606</x:v>
      </x:c>
      <x:c r="U2" s="31" t="n">
        <x:f>IF(T2="","",I2*T2)</x:f>
        <x:v>5249.697212020385</x:v>
      </x:c>
    </x:row>
    <x:row r="3" ht="18" customHeight="1">
      <x:c r="A3" s="24" t="str">
        <x:v>EEZ_166</x:v>
      </x:c>
      <x:c r="B3" s="24" t="str">
        <x:v>Cocos (Keeling) Isl. (Australia)</x:v>
      </x:c>
      <x:c r="C3" s="24" t="str">
        <x:v>EEZ</x:v>
      </x:c>
      <x:c r="D3" s="30" t="n">
        <x:v>2019</x:v>
      </x:c>
      <x:c r="E3" s="24" t="str">
        <x:v>Serranidae</x:v>
      </x:c>
      <x:c r="F3" s="24" t="str">
        <x:v>Basses, groupers, hinds</x:v>
      </x:c>
      <x:c r="G3" s="24" t="str">
        <x:v>Medium reef assoc. fish (30 - 89 cm)</x:v>
      </x:c>
      <x:c r="H3" s="24" t="str">
        <x:v>Perch-likes</x:v>
      </x:c>
      <x:c r="I3" s="31" t="n">
        <x:v>41.003592049000005</x:v>
      </x:c>
      <x:c r="J3" s="31" t="n">
        <x:v>41.003592049000005</x:v>
      </x:c>
      <x:c r="K3" s="31" t="n">
        <x:v>0</x:v>
      </x:c>
      <x:c r="L3" s="31" t="n">
        <x:v>0</x:v>
      </x:c>
      <x:c r="M3" s="31" t="n">
        <x:v>41.003592049000005</x:v>
      </x:c>
      <x:c r="N3" s="24" t="str">
        <x:v>serranidae</x:v>
      </x:c>
      <x:c r="O3" s="32" t="n">
        <x:v>3.98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Serranidae</x:v>
      </x:c>
      <x:c r="T3" s="32" t="n">
        <x:f>IF(O3="","",(1/'Metadata'!$B$5)^(O3-1))</x:f>
        <x:v>954.992586021436</x:v>
      </x:c>
      <x:c r="U3" s="31" t="n">
        <x:f>IF(T3="","",I3*T3)</x:f>
        <x:v>39158.1264070425</x:v>
      </x:c>
    </x:row>
    <x:row r="4" ht="18" customHeight="1">
      <x:c r="A4" s="24" t="str">
        <x:v>EEZ_166</x:v>
      </x:c>
      <x:c r="B4" s="24" t="str">
        <x:v>Cocos (Keeling) Isl. (Australia)</x:v>
      </x:c>
      <x:c r="C4" s="24" t="str">
        <x:v>EEZ</x:v>
      </x:c>
      <x:c r="D4" s="30" t="n">
        <x:v>2019</x:v>
      </x:c>
      <x:c r="E4" s="24" t="str">
        <x:v>Carangidae</x:v>
      </x:c>
      <x:c r="F4" s="24" t="str">
        <x:v>Jacks, pompanos</x:v>
      </x:c>
      <x:c r="G4" s="24" t="str">
        <x:v>Medium pelagics (30 - 89 cm)</x:v>
      </x:c>
      <x:c r="H4" s="24" t="str">
        <x:v>Perch-likes</x:v>
      </x:c>
      <x:c r="I4" s="31" t="n">
        <x:v>38.234912689</x:v>
      </x:c>
      <x:c r="J4" s="31" t="n">
        <x:v>38.234912689</x:v>
      </x:c>
      <x:c r="K4" s="31" t="n">
        <x:v>0</x:v>
      </x:c>
      <x:c r="L4" s="31" t="n">
        <x:v>0</x:v>
      </x:c>
      <x:c r="M4" s="31" t="n">
        <x:v>38.234912689</x:v>
      </x:c>
      <x:c r="N4" s="24" t="str">
        <x:v>carangidae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Carangidae</x:v>
      </x:c>
      <x:c r="T4" s="32" t="n">
        <x:f>IF(O4="","",(1/'Metadata'!$B$5)^(O4-1))</x:f>
        <x:v>1122.018454301963</x:v>
      </x:c>
      <x:c r="U4" s="31" t="n">
        <x:f>IF(T4="","",I4*T4)</x:f>
        <x:v>42900.27763568229</x:v>
      </x:c>
    </x:row>
    <x:row r="5" ht="18" customHeight="1">
      <x:c r="A5" s="24" t="str">
        <x:v>EEZ_166</x:v>
      </x:c>
      <x:c r="B5" s="24" t="str">
        <x:v>Cocos (Keeling) Isl. (Australia)</x:v>
      </x:c>
      <x:c r="C5" s="24" t="str">
        <x:v>EEZ</x:v>
      </x:c>
      <x:c r="D5" s="30" t="n">
        <x:v>2019</x:v>
      </x:c>
      <x:c r="E5" s="24" t="str">
        <x:v>Lethrinidae</x:v>
      </x:c>
      <x:c r="F5" s="24" t="str">
        <x:v>Emperors, scavengers</x:v>
      </x:c>
      <x:c r="G5" s="24" t="str">
        <x:v>Medium reef assoc. fish (30 - 89 cm)</x:v>
      </x:c>
      <x:c r="H5" s="24" t="str">
        <x:v>Perch-likes</x:v>
      </x:c>
      <x:c r="I5" s="31" t="n">
        <x:v>34.455035389</x:v>
      </x:c>
      <x:c r="J5" s="31" t="n">
        <x:v>34.455035389</x:v>
      </x:c>
      <x:c r="K5" s="31" t="n">
        <x:v>0</x:v>
      </x:c>
      <x:c r="L5" s="31" t="n">
        <x:v>0</x:v>
      </x:c>
      <x:c r="M5" s="31" t="n">
        <x:v>34.455035389</x:v>
      </x:c>
      <x:c r="N5" s="24" t="str">
        <x:v>lethrinidae</x:v>
      </x:c>
      <x:c r="O5" s="32" t="n">
        <x:v>3.59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Lethrinidae</x:v>
      </x:c>
      <x:c r="T5" s="32" t="n">
        <x:f>IF(O5="","",(1/'Metadata'!$B$5)^(O5-1))</x:f>
        <x:v>389.04514499428046</x:v>
      </x:c>
      <x:c r="U5" s="31" t="n">
        <x:f>IF(T5="","",I5*T5)</x:f>
        <x:v>13404.56423869657</x:v>
      </x:c>
    </x:row>
    <x:row r="6" ht="18" customHeight="1">
      <x:c r="A6" s="24" t="str">
        <x:v>EEZ_166</x:v>
      </x:c>
      <x:c r="B6" s="24" t="str">
        <x:v>Cocos (Keeling) Isl. (Australia)</x:v>
      </x:c>
      <x:c r="C6" s="24" t="str">
        <x:v>EEZ</x:v>
      </x:c>
      <x:c r="D6" s="30" t="n">
        <x:v>2019</x:v>
      </x:c>
      <x:c r="E6" s="24" t="str">
        <x:v>Latidae</x:v>
      </x:c>
      <x:c r="F6" s="24" t="str">
        <x:v>Lates perches</x:v>
      </x:c>
      <x:c r="G6" s="24" t="str">
        <x:v>Large demersals (&gt;=90 cm)</x:v>
      </x:c>
      <x:c r="H6" s="24" t="str">
        <x:v>Perch-likes</x:v>
      </x:c>
      <x:c r="I6" s="31" t="n">
        <x:v>25.441481828999997</x:v>
      </x:c>
      <x:c r="J6" s="31" t="n">
        <x:v>25.441481828999997</x:v>
      </x:c>
      <x:c r="K6" s="31" t="n">
        <x:v>0</x:v>
      </x:c>
      <x:c r="L6" s="31" t="n">
        <x:v>0</x:v>
      </x:c>
      <x:c r="M6" s="31" t="n">
        <x:v>25.441481828999997</x:v>
      </x:c>
      <x:c r="N6" s="24" t="str">
        <x:v>latidae</x:v>
      </x:c>
      <x:c r="O6" s="32" t="n">
        <x:v>4.35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Latidae</x:v>
      </x:c>
      <x:c r="T6" s="32" t="n">
        <x:f>IF(O6="","",(1/'Metadata'!$B$5)^(O6-1))</x:f>
        <x:v>2238.7211385683377</x:v>
      </x:c>
      <x:c r="U6" s="31" t="n">
        <x:f>IF(T6="","",I6*T6)</x:f>
        <x:v>56956.38316708455</x:v>
      </x:c>
    </x:row>
    <x:row r="7" ht="18" customHeight="1">
      <x:c r="A7" s="24" t="str">
        <x:v>EEZ_166</x:v>
      </x:c>
      <x:c r="B7" s="24" t="str">
        <x:v>Cocos (Keeling) Isl. (Australia)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23.995106229</x:v>
      </x:c>
      <x:c r="J7" s="31" t="n">
        <x:v>23.995106229</x:v>
      </x:c>
      <x:c r="K7" s="31" t="n">
        <x:v>0</x:v>
      </x:c>
      <x:c r="L7" s="31" t="n">
        <x:v>0</x:v>
      </x:c>
      <x:c r="M7" s="31" t="n">
        <x:v>23.995106229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4572.17323427147</x:v>
      </x:c>
    </x:row>
    <x:row r="8" ht="18" customHeight="1">
      <x:c r="A8" s="24" t="str">
        <x:v>EEZ_166</x:v>
      </x:c>
      <x:c r="B8" s="24" t="str">
        <x:v>Cocos (Keeling) Isl. (Australia)</x:v>
      </x:c>
      <x:c r="C8" s="24" t="str">
        <x:v>EEZ</x:v>
      </x:c>
      <x:c r="D8" s="30" t="n">
        <x:v>2019</x:v>
      </x:c>
      <x:c r="E8" s="24" t="str">
        <x:v>Lutjanidae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22.824643697</x:v>
      </x:c>
      <x:c r="J8" s="31" t="n">
        <x:v>22.824643697</x:v>
      </x:c>
      <x:c r="K8" s="31" t="n">
        <x:v>0</x:v>
      </x:c>
      <x:c r="L8" s="31" t="n">
        <x:v>0</x:v>
      </x:c>
      <x:c r="M8" s="31" t="n">
        <x:v>22.824643697</x:v>
      </x:c>
      <x:c r="N8" s="24" t="str">
        <x:v>lutjanidae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Lutjanidae</x:v>
      </x:c>
      <x:c r="T8" s="32" t="n">
        <x:f>IF(O8="","",(1/'Metadata'!$B$5)^(O8-1))</x:f>
        <x:v>1047.1285480508984</x:v>
      </x:c>
      <x:c r="U8" s="31" t="n">
        <x:f>IF(T8="","",I8*T8)</x:f>
        <x:v>23900.336014218698</x:v>
      </x:c>
    </x:row>
    <x:row r="9" ht="18" customHeight="1">
      <x:c r="A9" s="24" t="str">
        <x:v>EEZ_166</x:v>
      </x:c>
      <x:c r="B9" s="24" t="str">
        <x:v>Cocos (Keeling) Isl. (Australia)</x:v>
      </x:c>
      <x:c r="C9" s="24" t="str">
        <x:v>EEZ</x:v>
      </x:c>
      <x:c r="D9" s="30" t="n">
        <x:v>2019</x:v>
      </x:c>
      <x:c r="E9" s="24" t="str">
        <x:v>Labridae</x:v>
      </x:c>
      <x:c r="F9" s="24" t="str">
        <x:v>Wrasses, gropers, tuskfishes</x:v>
      </x:c>
      <x:c r="G9" s="24" t="str">
        <x:v>Medium reef assoc. fish (30 - 89 cm)</x:v>
      </x:c>
      <x:c r="H9" s="24" t="str">
        <x:v>Perch-likes</x:v>
      </x:c>
      <x:c r="I9" s="31" t="n">
        <x:v>21.661604527</x:v>
      </x:c>
      <x:c r="J9" s="31" t="n">
        <x:v>21.661604527</x:v>
      </x:c>
      <x:c r="K9" s="31" t="n">
        <x:v>0</x:v>
      </x:c>
      <x:c r="L9" s="31" t="n">
        <x:v>0</x:v>
      </x:c>
      <x:c r="M9" s="31" t="n">
        <x:v>21.661604527</x:v>
      </x:c>
      <x:c r="N9" s="24" t="str">
        <x:v>labridae</x:v>
      </x:c>
      <x:c r="O9" s="32" t="n">
        <x:v>3.46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Labridae</x:v>
      </x:c>
      <x:c r="T9" s="32" t="n">
        <x:f>IF(O9="","",(1/'Metadata'!$B$5)^(O9-1))</x:f>
        <x:v>288.40315031266056</x:v>
      </x:c>
      <x:c r="U9" s="31" t="n">
        <x:f>IF(T9="","",I9*T9)</x:f>
        <x:v>6247.2749864137895</x:v>
      </x:c>
    </x:row>
    <x:row r="10" ht="18" customHeight="1">
      <x:c r="A10" s="24" t="str">
        <x:v>EEZ_166</x:v>
      </x:c>
      <x:c r="B10" s="24" t="str">
        <x:v>Cocos (Keeling) Isl. (Australia)</x:v>
      </x:c>
      <x:c r="C10" s="24" t="str">
        <x:v>EEZ</x:v>
      </x:c>
      <x:c r="D10" s="30" t="n">
        <x:v>2019</x:v>
      </x:c>
      <x:c r="E10" s="24" t="str">
        <x:v>Lambis lambis</x:v>
      </x:c>
      <x:c r="F10" s="24" t="str">
        <x:v>Common spider conch</x:v>
      </x:c>
      <x:c r="G10" s="24" t="str">
        <x:v>Other demersal invertebrates</x:v>
      </x:c>
      <x:c r="H10" s="24" t="str">
        <x:v>Molluscs</x:v>
      </x:c>
      <x:c r="I10" s="31" t="n">
        <x:v>11.186297442</x:v>
      </x:c>
      <x:c r="J10" s="31" t="n">
        <x:v>11.186297442</x:v>
      </x:c>
      <x:c r="K10" s="31" t="n">
        <x:v>0</x:v>
      </x:c>
      <x:c r="L10" s="31" t="n">
        <x:v>0</x:v>
      </x:c>
      <x:c r="M10" s="31" t="n">
        <x:v>11.186297442</x:v>
      </x:c>
      <x:c r="N10" s="24" t="str">
        <x:v>lambis lambis</x:v>
      </x:c>
      <x:c r="O10" s="32" t="n">
        <x:v>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Lambis lambis</x:v>
      </x:c>
      <x:c r="T10" s="32" t="n">
        <x:f>IF(O10="","",(1/'Metadata'!$B$5)^(O10-1))</x:f>
        <x:v>10</x:v>
      </x:c>
      <x:c r="U10" s="31" t="n">
        <x:f>IF(T10="","",I10*T10)</x:f>
        <x:v>111.86297442</x:v>
      </x:c>
    </x:row>
    <x:row r="11" ht="18" customHeight="1">
      <x:c r="A11" s="24" t="str">
        <x:v>EEZ_166</x:v>
      </x:c>
      <x:c r="B11" s="24" t="str">
        <x:v>Cocos (Keeling) Isl. (Australia)</x:v>
      </x:c>
      <x:c r="C11" s="24" t="str">
        <x:v>EEZ</x:v>
      </x:c>
      <x:c r="D11" s="30" t="n">
        <x:v>2019</x:v>
      </x:c>
      <x:c r="E11" s="24" t="str">
        <x:v>Tridacna</x:v>
      </x:c>
      <x:c r="F11" s="24" t="str">
        <x:v>Tridacnid clams</x:v>
      </x:c>
      <x:c r="G11" s="24" t="str">
        <x:v>Other demersal invertebrates</x:v>
      </x:c>
      <x:c r="H11" s="24" t="str">
        <x:v>Molluscs</x:v>
      </x:c>
      <x:c r="I11" s="31" t="n">
        <x:v>0.7990212459999999</x:v>
      </x:c>
      <x:c r="J11" s="31" t="n">
        <x:v>0.7990212459999999</x:v>
      </x:c>
      <x:c r="K11" s="31" t="n">
        <x:v>0</x:v>
      </x:c>
      <x:c r="L11" s="31" t="n">
        <x:v>0</x:v>
      </x:c>
      <x:c r="M11" s="31" t="n">
        <x:v>0.7990212459999999</x:v>
      </x:c>
      <x:c r="N11" s="24" t="str">
        <x:v>tridacna</x:v>
      </x:c>
      <x:c r="O11" s="32" t="n">
        <x:v>2.12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Tridacna</x:v>
      </x:c>
      <x:c r="T11" s="32" t="n">
        <x:f>IF(O11="","",(1/'Metadata'!$B$5)^(O11-1))</x:f>
        <x:v>13.182567385564074</x:v>
      </x:c>
      <x:c r="U11" s="31" t="n">
        <x:f>IF(T11="","",I11*T11)</x:f>
        <x:v>10.533151417892368</x:v>
      </x:c>
    </x:row>
  </x:sheetData>
  <x:conditionalFormatting sqref="R2:R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60b5de14a47465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Molluscs</x:v>
      </x:c>
      <x:c r="B2" s="33" t="n">
        <x:v>2</x:v>
      </x:c>
      <x:c r="C2" s="33" t="n">
        <x:v>2</x:v>
      </x:c>
      <x:c r="D2" s="31" t="n">
        <x:v>11.985318688000001</x:v>
      </x:c>
      <x:c r="E2" s="31" t="n">
        <x:v>11.985318688000001</x:v>
      </x:c>
      <x:c r="F2" s="32" t="n">
        <x:v>0</x:v>
      </x:c>
      <x:c r="G2" s="34" t="n">
        <x:v>1</x:v>
      </x:c>
      <x:c r="H2" s="32" t="n">
        <x:f>IF(E2=0,"",I2/E2)</x:f>
        <x:v>10.212171159073009</x:v>
      </x:c>
      <x:c r="I2" s="31" t="n">
        <x:f>IF(C2=0,"",SUMIF('Species'!$H$2:$H$11,A2,'Species'!$U$2:$U$11))</x:f>
        <x:v>122.39612583789237</x:v>
      </x:c>
      <x:c r="J2" s="32" t="n">
        <x:v>2.008000000001335</x:v>
      </x:c>
      <x:c r="K2" s="32" t="n">
        <x:f>IF(J2="","",(1/'Metadata'!$B$5)^(J2-1))</x:f>
        <x:v>10.185913880572478</x:v>
      </x:c>
      <x:c r="L2" s="31" t="n">
        <x:f>IF(E2=0,"",E2*K2)</x:f>
        <x:v>122.08142398718394</x:v>
      </x:c>
      <x:c r="M2" s="31" t="n">
        <x:f>IF(E2=0,"",I2-L2)</x:f>
        <x:v>0.31470185070843115</x:v>
      </x:c>
      <x:c r="N2" s="32" t="n">
        <x:f>IF(L2=0,"",I2/L2)</x:f>
        <x:v>1.002577802915712</x:v>
      </x:c>
      <x:c r="O2" s="34" t="n">
        <x:f>IF(L2=0,"",M2/L2)</x:f>
        <x:v>0.002577802915711963</x:v>
      </x:c>
    </x:row>
    <x:row r="3" ht="18" customHeight="1">
      <x:c r="A3" s="24" t="str">
        <x:v>Other fishes &amp; inverts</x:v>
      </x:c>
      <x:c r="B3" s="33" t="n">
        <x:v>1</x:v>
      </x:c>
      <x:c r="C3" s="33" t="n">
        <x:v>1</x:v>
      </x:c>
      <x:c r="D3" s="31" t="n">
        <x:v>23.995106229</x:v>
      </x:c>
      <x:c r="E3" s="31" t="n">
        <x:v>23.995106229</x:v>
      </x:c>
      <x:c r="F3" s="32" t="n">
        <x:v>0</x:v>
      </x:c>
      <x:c r="G3" s="34" t="n">
        <x:v>1</x:v>
      </x:c>
      <x:c r="H3" s="32" t="n">
        <x:f>IF(E3=0,"",I3/E3)</x:f>
        <x:v>190.5460717963246</x:v>
      </x:c>
      <x:c r="I3" s="31" t="n">
        <x:f>IF(C3=0,"",SUMIF('Species'!$H$2:$H$11,A3,'Species'!$U$2:$U$11))</x:f>
        <x:v>4572.17323427147</x:v>
      </x:c>
      <x:c r="J3" s="32" t="n">
        <x:v>3.28</x:v>
      </x:c>
      <x:c r="K3" s="32" t="n">
        <x:f>IF(J3="","",(1/'Metadata'!$B$5)^(J3-1))</x:f>
        <x:v>190.54607179632464</x:v>
      </x:c>
      <x:c r="L3" s="31" t="n">
        <x:f>IF(E3=0,"",E3*K3)</x:f>
        <x:v>4572.17323427147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Perch-likes</x:v>
      </x:c>
      <x:c r="B4" s="33" t="n">
        <x:v>7</x:v>
      </x:c>
      <x:c r="C4" s="33" t="n">
        <x:v>7</x:v>
      </x:c>
      <x:c r="D4" s="31" t="n">
        <x:v>232.61429519</x:v>
      </x:c>
      <x:c r="E4" s="31" t="n">
        <x:v>232.61429519</x:v>
      </x:c>
      <x:c r="F4" s="32" t="n">
        <x:v>0</x:v>
      </x:c>
      <x:c r="G4" s="34" t="n">
        <x:v>1</x:v>
      </x:c>
      <x:c r="H4" s="32" t="n">
        <x:f>IF(E4=0,"",I4/E4)</x:f>
        <x:v>807.4166701910973</x:v>
      </x:c>
      <x:c r="I4" s="31" t="n">
        <x:f>IF(C4=0,"",SUMIF('Species'!$H$2:$H$11,A4,'Species'!$U$2:$U$11))</x:f>
        <x:v>187816.65966115877</x:v>
      </x:c>
      <x:c r="J4" s="32" t="n">
        <x:v>3.7296194550088257</x:v>
      </x:c>
      <x:c r="K4" s="32" t="n">
        <x:f>IF(J4="","",(1/'Metadata'!$B$5)^(J4-1))</x:f>
        <x:v>536.5614352239273</x:v>
      </x:c>
      <x:c r="L4" s="31" t="n">
        <x:f>IF(E4=0,"",E4*K4)</x:f>
        <x:v>124811.8600807487</x:v>
      </x:c>
      <x:c r="M4" s="31" t="n">
        <x:f>IF(E4=0,"",I4-L4)</x:f>
        <x:v>63004.79958041008</x:v>
      </x:c>
      <x:c r="N4" s="32" t="n">
        <x:f>IF(L4=0,"",I4/L4)</x:f>
        <x:v>1.504798178151085</x:v>
      </x:c>
      <x:c r="O4" s="34" t="n">
        <x:f>IF(L4=0,"",M4/L4)</x:f>
        <x:v>0.5047981781510851</x:v>
      </x:c>
    </x:row>
  </x:sheetData>
  <x:conditionalFormatting sqref="G2:G4">
    <x:cfRule type="cellIs" dxfId="1" priority="1" operator="lessThan">
      <x:formula>0.9</x:formula>
    </x:cfRule>
  </x:conditionalFormatting>
  <x:conditionalFormatting sqref="O2:O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86a2ad7a83e45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demersals (&gt;=90 cm)</x:v>
      </x:c>
      <x:c r="B2" s="33" t="n">
        <x:v>1</x:v>
      </x:c>
      <x:c r="C2" s="33" t="n">
        <x:v>1</x:v>
      </x:c>
      <x:c r="D2" s="31" t="n">
        <x:v>25.441481828999997</x:v>
      </x:c>
      <x:c r="E2" s="31" t="n">
        <x:v>25.441481828999997</x:v>
      </x:c>
      <x:c r="F2" s="32" t="n">
        <x:v>0</x:v>
      </x:c>
      <x:c r="G2" s="34" t="n">
        <x:v>1</x:v>
      </x:c>
      <x:c r="H2" s="32" t="n">
        <x:f>IF(E2=0,"",I2/E2)</x:f>
        <x:v>2238.7211385683377</x:v>
      </x:c>
      <x:c r="I2" s="31" t="n">
        <x:f>IF(C2=0,"",SUMIF('Species'!$G$2:$G$11,A2,'Species'!$U$2:$U$11))</x:f>
        <x:v>56956.38316708455</x:v>
      </x:c>
      <x:c r="J2" s="32" t="n">
        <x:v>4.35</x:v>
      </x:c>
      <x:c r="K2" s="32" t="n">
        <x:f>IF(J2="","",(1/'Metadata'!$B$5)^(J2-1))</x:f>
        <x:v>2238.7211385683377</x:v>
      </x:c>
      <x:c r="L2" s="31" t="n">
        <x:f>IF(E2=0,"",E2*K2)</x:f>
        <x:v>56956.38316708455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Medium demersals (30 - 89 cm)</x:v>
      </x:c>
      <x:c r="B3" s="33" t="n">
        <x:v>1</x:v>
      </x:c>
      <x:c r="C3" s="33" t="n">
        <x:v>1</x:v>
      </x:c>
      <x:c r="D3" s="31" t="n">
        <x:v>23.995106229</x:v>
      </x:c>
      <x:c r="E3" s="31" t="n">
        <x:v>23.995106229</x:v>
      </x:c>
      <x:c r="F3" s="32" t="n">
        <x:v>0</x:v>
      </x:c>
      <x:c r="G3" s="34" t="n">
        <x:v>1</x:v>
      </x:c>
      <x:c r="H3" s="32" t="n">
        <x:f>IF(E3=0,"",I3/E3)</x:f>
        <x:v>190.5460717963246</x:v>
      </x:c>
      <x:c r="I3" s="31" t="n">
        <x:f>IF(C3=0,"",SUMIF('Species'!$G$2:$G$11,A3,'Species'!$U$2:$U$11))</x:f>
        <x:v>4572.17323427147</x:v>
      </x:c>
      <x:c r="J3" s="32" t="n">
        <x:v>3.28</x:v>
      </x:c>
      <x:c r="K3" s="32" t="n">
        <x:f>IF(J3="","",(1/'Metadata'!$B$5)^(J3-1))</x:f>
        <x:v>190.54607179632464</x:v>
      </x:c>
      <x:c r="L3" s="31" t="n">
        <x:f>IF(E3=0,"",E3*K3)</x:f>
        <x:v>4572.17323427147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Medium pelagics (30 - 89 cm)</x:v>
      </x:c>
      <x:c r="B4" s="33" t="n">
        <x:v>1</x:v>
      </x:c>
      <x:c r="C4" s="33" t="n">
        <x:v>1</x:v>
      </x:c>
      <x:c r="D4" s="31" t="n">
        <x:v>38.234912689</x:v>
      </x:c>
      <x:c r="E4" s="31" t="n">
        <x:v>38.234912689</x:v>
      </x:c>
      <x:c r="F4" s="32" t="n">
        <x:v>0</x:v>
      </x:c>
      <x:c r="G4" s="34" t="n">
        <x:v>1</x:v>
      </x:c>
      <x:c r="H4" s="32" t="n">
        <x:f>IF(E4=0,"",I4/E4)</x:f>
        <x:v>1122.018454301963</x:v>
      </x:c>
      <x:c r="I4" s="31" t="n">
        <x:f>IF(C4=0,"",SUMIF('Species'!$G$2:$G$11,A4,'Species'!$U$2:$U$11))</x:f>
        <x:v>42900.27763568229</x:v>
      </x:c>
      <x:c r="J4" s="32" t="n">
        <x:v>4.05</x:v>
      </x:c>
      <x:c r="K4" s="32" t="n">
        <x:f>IF(J4="","",(1/'Metadata'!$B$5)^(J4-1))</x:f>
        <x:v>1122.018454301963</x:v>
      </x:c>
      <x:c r="L4" s="31" t="n">
        <x:f>IF(E4=0,"",E4*K4)</x:f>
        <x:v>42900.27763568229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reef assoc. fish (30 - 89 cm)</x:v>
      </x:c>
      <x:c r="B5" s="33" t="n">
        <x:v>4</x:v>
      </x:c>
      <x:c r="C5" s="33" t="n">
        <x:v>4</x:v>
      </x:c>
      <x:c r="D5" s="31" t="n">
        <x:v>119.94487566200002</x:v>
      </x:c>
      <x:c r="E5" s="31" t="n">
        <x:v>119.94487566200002</x:v>
      </x:c>
      <x:c r="F5" s="32" t="n">
        <x:v>0</x:v>
      </x:c>
      <x:c r="G5" s="34" t="n">
        <x:v>1</x:v>
      </x:c>
      <x:c r="H5" s="32" t="n">
        <x:f>IF(E5=0,"",I5/E5)</x:f>
        <x:v>689.5692808040084</x:v>
      </x:c>
      <x:c r="I5" s="31" t="n">
        <x:f>IF(C5=0,"",SUMIF('Species'!$G$2:$G$11,A5,'Species'!$U$2:$U$11))</x:f>
        <x:v>82710.30164637156</x:v>
      </x:c>
      <x:c r="J5" s="32" t="n">
        <x:v>3.781671290444244</x:v>
      </x:c>
      <x:c r="K5" s="32" t="n">
        <x:f>IF(J5="","",(1/'Metadata'!$B$5)^(J5-1))</x:f>
        <x:v>604.8828766566813</x:v>
      </x:c>
      <x:c r="L5" s="31" t="n">
        <x:f>IF(E5=0,"",E5*K5)</x:f>
        <x:v>72552.60143065853</x:v>
      </x:c>
      <x:c r="M5" s="31" t="n">
        <x:f>IF(E5=0,"",I5-L5)</x:f>
        <x:v>10157.700215713034</x:v>
      </x:c>
      <x:c r="N5" s="32" t="n">
        <x:f>IF(L5=0,"",I5/L5)</x:f>
        <x:v>1.140004631335255</x:v>
      </x:c>
      <x:c r="O5" s="34" t="n">
        <x:f>IF(L5=0,"",M5/L5)</x:f>
        <x:v>0.1400046313352549</x:v>
      </x:c>
    </x:row>
    <x:row r="6" ht="18" customHeight="1">
      <x:c r="A6" s="24" t="str">
        <x:v>Other demersal invertebrates</x:v>
      </x:c>
      <x:c r="B6" s="33" t="n">
        <x:v>2</x:v>
      </x:c>
      <x:c r="C6" s="33" t="n">
        <x:v>2</x:v>
      </x:c>
      <x:c r="D6" s="31" t="n">
        <x:v>11.985318688000001</x:v>
      </x:c>
      <x:c r="E6" s="31" t="n">
        <x:v>11.985318688000001</x:v>
      </x:c>
      <x:c r="F6" s="32" t="n">
        <x:v>0</x:v>
      </x:c>
      <x:c r="G6" s="34" t="n">
        <x:v>1</x:v>
      </x:c>
      <x:c r="H6" s="32" t="n">
        <x:f>IF(E6=0,"",I6/E6)</x:f>
        <x:v>10.212171159073009</x:v>
      </x:c>
      <x:c r="I6" s="31" t="n">
        <x:f>IF(C6=0,"",SUMIF('Species'!$G$2:$G$11,A6,'Species'!$U$2:$U$11))</x:f>
        <x:v>122.39612583789237</x:v>
      </x:c>
      <x:c r="J6" s="32" t="n">
        <x:v>2.008000000001335</x:v>
      </x:c>
      <x:c r="K6" s="32" t="n">
        <x:f>IF(J6="","",(1/'Metadata'!$B$5)^(J6-1))</x:f>
        <x:v>10.185913880572478</x:v>
      </x:c>
      <x:c r="L6" s="31" t="n">
        <x:f>IF(E6=0,"",E6*K6)</x:f>
        <x:v>122.08142398718394</x:v>
      </x:c>
      <x:c r="M6" s="31" t="n">
        <x:f>IF(E6=0,"",I6-L6)</x:f>
        <x:v>0.31470185070843115</x:v>
      </x:c>
      <x:c r="N6" s="32" t="n">
        <x:f>IF(L6=0,"",I6/L6)</x:f>
        <x:v>1.002577802915712</x:v>
      </x:c>
      <x:c r="O6" s="34" t="n">
        <x:f>IF(L6=0,"",M6/L6)</x:f>
        <x:v>0.002577802915711963</x:v>
      </x:c>
    </x:row>
    <x:row r="7" ht="18" customHeight="1">
      <x:c r="A7" s="24" t="str">
        <x:v>Small benthopelagics (&lt;30 cm)</x:v>
      </x:c>
      <x:c r="B7" s="33" t="n">
        <x:v>1</x:v>
      </x:c>
      <x:c r="C7" s="33" t="n">
        <x:v>1</x:v>
      </x:c>
      <x:c r="D7" s="31" t="n">
        <x:v>48.993025010000004</x:v>
      </x:c>
      <x:c r="E7" s="31" t="n">
        <x:v>48.993025010000004</x:v>
      </x:c>
      <x:c r="F7" s="32" t="n">
        <x:v>0</x:v>
      </x:c>
      <x:c r="G7" s="34" t="n">
        <x:v>1</x:v>
      </x:c>
      <x:c r="H7" s="32" t="n">
        <x:f>IF(E7=0,"",I7/E7)</x:f>
        <x:v>107.1519305237606</x:v>
      </x:c>
      <x:c r="I7" s="31" t="n">
        <x:f>IF(C7=0,"",SUMIF('Species'!$G$2:$G$11,A7,'Species'!$U$2:$U$11))</x:f>
        <x:v>5249.697212020385</x:v>
      </x:c>
      <x:c r="J7" s="32" t="n">
        <x:v>3.03</x:v>
      </x:c>
      <x:c r="K7" s="32" t="n">
        <x:f>IF(J7="","",(1/'Metadata'!$B$5)^(J7-1))</x:f>
        <x:v>107.1519305237606</x:v>
      </x:c>
      <x:c r="L7" s="31" t="n">
        <x:f>IF(E7=0,"",E7*K7)</x:f>
        <x:v>5249.697212020385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d80b0a5715b49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EEZ_166</x:v>
      </x:c>
      <x:c r="B2" s="24" t="str">
        <x:v>raw_filtered_tonnes</x:v>
      </x:c>
      <x:c r="C2" s="24" t="n">
        <x:v>268.594720107</x:v>
      </x:c>
      <x:c r="D2" s="24" t="str">
        <x:v>tonnes</x:v>
      </x:c>
    </x:row>
    <x:row r="3" ht="18" customHeight="1">
      <x:c r="A3" s="24" t="str">
        <x:v>EEZ_166</x:v>
      </x:c>
      <x:c r="B3" s="24" t="str">
        <x:v>species_catch_tonnes</x:v>
      </x:c>
      <x:c r="C3" s="24" t="n">
        <x:v>268.594720107</x:v>
      </x:c>
      <x:c r="D3" s="24" t="str">
        <x:v>tonnes</x:v>
      </x:c>
    </x:row>
    <x:row r="4" ht="18" customHeight="1">
      <x:c r="A4" s="24" t="str">
        <x:v>EEZ_166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EEZ_166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EEZ_166</x:v>
      </x:c>
      <x:c r="B6" s="24" t="str">
        <x:v>matched_catch_tonnes</x:v>
      </x:c>
      <x:c r="C6" s="24" t="n">
        <x:v>268.594720107</x:v>
      </x:c>
      <x:c r="D6" s="24" t="str">
        <x:v>tonnes</x:v>
      </x:c>
    </x:row>
    <x:row r="7" ht="18" customHeight="1">
      <x:c r="A7" s="24" t="str">
        <x:v>EEZ_166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EEZ_166</x:v>
      </x:c>
      <x:c r="B8" s="24" t="str">
        <x:v>taxa_count</x:v>
      </x:c>
      <x:c r="C8" s="24" t="n">
        <x:v>10</x:v>
      </x:c>
      <x:c r="D8" s="24" t="str">
        <x:v>count</x:v>
      </x:c>
    </x:row>
    <x:row r="9" ht="18" customHeight="1">
      <x:c r="A9" s="24" t="str">
        <x:v>EEZ_166</x:v>
      </x:c>
      <x:c r="B9" s="24" t="str">
        <x:v>matched_taxa_count</x:v>
      </x:c>
      <x:c r="C9" s="24" t="n">
        <x:v>10</x:v>
      </x:c>
      <x:c r="D9" s="24" t="str">
        <x:v>count</x:v>
      </x:c>
    </x:row>
    <x:row r="10" ht="18" customHeight="1">
      <x:c r="A10" s="24" t="str">
        <x:v>EEZ_166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EEZ_166</x:v>
      </x:c>
      <x:c r="B11" s="24" t="str">
        <x:v>species_ppr</x:v>
      </x:c>
      <x:c r="C11" s="24" t="n">
        <x:v>192511.2290212681</x:v>
      </x:c>
      <x:c r="D11" s="24" t="str">
        <x:v>tonnes_primary_production_equivalent</x:v>
      </x:c>
    </x:row>
    <x:row r="12" ht="18" customHeight="1">
      <x:c r="A12" s="24" t="str">
        <x:v>EEZ_166</x:v>
      </x:c>
      <x:c r="B12" s="24" t="str">
        <x:v>commercial_ppr</x:v>
      </x:c>
      <x:c r="C12" s="24" t="n">
        <x:v>192511.22902126814</x:v>
      </x:c>
      <x:c r="D12" s="24" t="str">
        <x:v>tonnes_primary_production_equivalent</x:v>
      </x:c>
    </x:row>
    <x:row r="13" ht="18" customHeight="1">
      <x:c r="A13" s="24" t="str">
        <x:v>EEZ_166</x:v>
      </x:c>
      <x:c r="B13" s="24" t="str">
        <x:v>functional_ppr</x:v>
      </x:c>
      <x:c r="C13" s="24" t="n">
        <x:v>192511.22902126814</x:v>
      </x:c>
      <x:c r="D13" s="24" t="str">
        <x:v>tonnes_primary_production_equivalent</x:v>
      </x:c>
    </x:row>
    <x:row r="14" ht="18" customHeight="1">
      <x:c r="A14" s="24" t="str">
        <x:v>EEZ_166</x:v>
      </x:c>
      <x:c r="B14" s="24" t="str">
        <x:v>commercial_ppr_difference</x:v>
      </x:c>
      <x:c r="C14" s="24" t="n">
        <x:v>2.9103830456733704e-11</x:v>
      </x:c>
      <x:c r="D14" s="24" t="str">
        <x:v>tonnes_primary_production_equivalent</x:v>
      </x:c>
    </x:row>
    <x:row r="15" ht="18" customHeight="1">
      <x:c r="A15" s="24" t="str">
        <x:v>EEZ_166</x:v>
      </x:c>
      <x:c r="B15" s="24" t="str">
        <x:v>functional_ppr_difference</x:v>
      </x:c>
      <x:c r="C15" s="24" t="n">
        <x:v>2.9103830456733704e-11</x:v>
      </x:c>
      <x:c r="D15" s="24" t="str">
        <x:v>tonnes_primary_production_equivalent</x:v>
      </x:c>
    </x:row>
    <x:row r="16" ht="18" customHeight="1">
      <x:c r="A16" s="24" t="str">
        <x:v>EEZ_166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EEZ_166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EEZ_166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EEZ_166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76b70f0383f41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EEZ_166 - Cocos (Keeling) Isl. (Australia)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EEZ_166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raw_data/SAU_downloads/EEZ_166-catch.zip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