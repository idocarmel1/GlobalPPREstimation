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5b9c7642b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60080b6e8424ef1"/>
    <x:sheet xmlns:r="http://schemas.openxmlformats.org/officeDocument/2006/relationships" name="Commercial" sheetId="2" r:id="Rf8e1c191eda54c4b"/>
    <x:sheet xmlns:r="http://schemas.openxmlformats.org/officeDocument/2006/relationships" name="Functional" sheetId="3" r:id="Rdfcae53c6c6d4d17"/>
    <x:sheet xmlns:r="http://schemas.openxmlformats.org/officeDocument/2006/relationships" name="Missing TL" sheetId="4" r:id="R0fd8f30d93ce4d44"/>
    <x:sheet xmlns:r="http://schemas.openxmlformats.org/officeDocument/2006/relationships" name="Validation" sheetId="5" r:id="Rd0c63689443d4ac8"/>
    <x:sheet xmlns:r="http://schemas.openxmlformats.org/officeDocument/2006/relationships" name="Metadata" sheetId="6" r:id="R1db253b61010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bd274497e41eb" /><Relationship Type="http://schemas.openxmlformats.org/officeDocument/2006/relationships/theme" Target="/xl/theme/theme1.xml" Id="R9da701664dbf4358" /><Relationship Type="http://schemas.microsoft.com/office/2022/11/relationships/FeaturePropertyBag" Target="/xl/featurePropertyBag/featurePropertyBag.xml" Id="Rf1aab87b40354198" /><Relationship Type="http://schemas.openxmlformats.org/officeDocument/2006/relationships/sharedStrings" Target="/xl/sharedStrings.xml" Id="Re068d4f6d58f4e9f" /><Relationship Type="http://schemas.openxmlformats.org/officeDocument/2006/relationships/worksheet" Target="/xl/worksheets/sheet1.xml" Id="Rb60080b6e8424ef1" /><Relationship Type="http://schemas.openxmlformats.org/officeDocument/2006/relationships/worksheet" Target="/xl/worksheets/sheet2.xml" Id="Rf8e1c191eda54c4b" /><Relationship Type="http://schemas.openxmlformats.org/officeDocument/2006/relationships/worksheet" Target="/xl/worksheets/sheet3.xml" Id="Rdfcae53c6c6d4d17" /><Relationship Type="http://schemas.openxmlformats.org/officeDocument/2006/relationships/worksheet" Target="/xl/worksheets/sheet4.xml" Id="R0fd8f30d93ce4d44" /><Relationship Type="http://schemas.openxmlformats.org/officeDocument/2006/relationships/worksheet" Target="/xl/worksheets/sheet5.xml" Id="Rd0c63689443d4ac8" /><Relationship Type="http://schemas.openxmlformats.org/officeDocument/2006/relationships/worksheet" Target="/xl/worksheets/sheet6.xml" Id="R1db253b6101044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92SpeciesTable" displayName="EEZ192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92CommercialTable" displayName="EEZ192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92FunctionalTable" displayName="EEZ192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92ValidationTable" displayName="EEZ19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0aec9d81a4c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84fbf7def5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b3f15bbb0741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968963fb2f45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EEZ_192</x:v>
      </x:c>
      <x:c r="B2" s="24" t="str">
        <x:v>Cuba</x:v>
      </x:c>
      <x:c r="C2" s="24" t="str">
        <x:v>EEZ</x:v>
      </x:c>
      <x:c r="D2" s="30" t="n">
        <x:v>2019</x:v>
      </x:c>
      <x:c r="E2" s="24" t="str">
        <x:v>Arcidae</x:v>
      </x:c>
      <x:c r="F2" s="24" t="str">
        <x:v>Ark clams</x:v>
      </x:c>
      <x:c r="G2" s="24" t="str">
        <x:v>Other demersal invertebrates</x:v>
      </x:c>
      <x:c r="H2" s="24" t="str">
        <x:v>Molluscs</x:v>
      </x:c>
      <x:c r="I2" s="31" t="n">
        <x:v>4314.40029246</x:v>
      </x:c>
      <x:c r="J2" s="31" t="n">
        <x:v>4314.40029246</x:v>
      </x:c>
      <x:c r="K2" s="31" t="n">
        <x:v>0</x:v>
      </x:c>
      <x:c r="L2" s="31" t="n">
        <x:v>4141.9</x:v>
      </x:c>
      <x:c r="M2" s="31" t="n">
        <x:v>172.50029246000003</x:v>
      </x:c>
      <x:c r="N2" s="24" t="str">
        <x:v>arcidae</x:v>
      </x:c>
      <x:c r="O2" s="32" t="n">
        <x:v>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Arcidae</x:v>
      </x:c>
      <x:c r="T2" s="32" t="n">
        <x:f>IF(O2="","",(1/'Metadata'!$B$5)^(O2-1))</x:f>
        <x:v>10</x:v>
      </x:c>
      <x:c r="U2" s="31" t="n">
        <x:f>IF(T2="","",I2*T2)</x:f>
        <x:v>43144.0029246</x:v>
      </x:c>
    </x:row>
    <x:row r="3" ht="18" customHeight="1">
      <x:c r="A3" s="24" t="str">
        <x:v>EEZ_192</x:v>
      </x:c>
      <x:c r="B3" s="24" t="str">
        <x:v>Cuba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3881.4786968</x:v>
      </x:c>
      <x:c r="J3" s="31" t="n">
        <x:v>3881.4786968</x:v>
      </x:c>
      <x:c r="K3" s="31" t="n">
        <x:v>0</x:v>
      </x:c>
      <x:c r="L3" s="31" t="n">
        <x:v>3278.3999999999996</x:v>
      </x:c>
      <x:c r="M3" s="31" t="n">
        <x:v>603.0786968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615172.9163241157</x:v>
      </x:c>
    </x:row>
    <x:row r="4" ht="18" customHeight="1">
      <x:c r="A4" s="24" t="str">
        <x:v>EEZ_192</x:v>
      </x:c>
      <x:c r="B4" s="24" t="str">
        <x:v>Cuba</x:v>
      </x:c>
      <x:c r="C4" s="24" t="str">
        <x:v>EEZ</x:v>
      </x:c>
      <x:c r="D4" s="30" t="n">
        <x:v>2019</x:v>
      </x:c>
      <x:c r="E4" s="24" t="str">
        <x:v>Gerreidae</x:v>
      </x:c>
      <x:c r="F4" s="24" t="str">
        <x:v>Mojarras, silverbellies</x:v>
      </x:c>
      <x:c r="G4" s="24" t="str">
        <x:v>Small benthopelagics (&lt;30 cm)</x:v>
      </x:c>
      <x:c r="H4" s="24" t="str">
        <x:v>Perch-likes</x:v>
      </x:c>
      <x:c r="I4" s="31" t="n">
        <x:v>1758.308519</x:v>
      </x:c>
      <x:c r="J4" s="31" t="n">
        <x:v>1758.308519</x:v>
      </x:c>
      <x:c r="K4" s="31" t="n">
        <x:v>0</x:v>
      </x:c>
      <x:c r="L4" s="31" t="n">
        <x:v>1200</x:v>
      </x:c>
      <x:c r="M4" s="31" t="n">
        <x:v>558.3085189999999</x:v>
      </x:c>
      <x:c r="N4" s="24" t="str">
        <x:v>gerreidae</x:v>
      </x:c>
      <x:c r="O4" s="32" t="n">
        <x:v>3.03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Gerreidae</x:v>
      </x:c>
      <x:c r="T4" s="32" t="n">
        <x:f>IF(O4="","",(1/'Metadata'!$B$5)^(O4-1))</x:f>
        <x:v>107.1519305237606</x:v>
      </x:c>
      <x:c r="U4" s="31" t="n">
        <x:f>IF(T4="","",I4*T4)</x:f>
        <x:v>188406.1522672244</x:v>
      </x:c>
    </x:row>
    <x:row r="5" ht="18" customHeight="1">
      <x:c r="A5" s="24" t="str">
        <x:v>EEZ_192</x:v>
      </x:c>
      <x:c r="B5" s="24" t="str">
        <x:v>Cuba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1692.435817508</x:v>
      </x:c>
      <x:c r="J5" s="31" t="n">
        <x:v>1692.435817508</x:v>
      </x:c>
      <x:c r="K5" s="31" t="n">
        <x:v>0</x:v>
      </x:c>
      <x:c r="L5" s="31" t="n">
        <x:v>15.5838115069</x:v>
      </x:c>
      <x:c r="M5" s="31" t="n">
        <x:v>1676.8520060011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1772197.8602564873</x:v>
      </x:c>
    </x:row>
    <x:row r="6" ht="18" customHeight="1">
      <x:c r="A6" s="24" t="str">
        <x:v>EEZ_192</x:v>
      </x:c>
      <x:c r="B6" s="24" t="str">
        <x:v>Cuba</x:v>
      </x:c>
      <x:c r="C6" s="24" t="str">
        <x:v>EEZ</x:v>
      </x:c>
      <x:c r="D6" s="30" t="n">
        <x:v>2019</x:v>
      </x:c>
      <x:c r="E6" s="24" t="str">
        <x:v>Haemulidae</x:v>
      </x:c>
      <x:c r="F6" s="24" t="str">
        <x:v>Grunts, sweetlips, bonnetmouths</x:v>
      </x:c>
      <x:c r="G6" s="24" t="str">
        <x:v>Medium demersals (30 - 89 cm)</x:v>
      </x:c>
      <x:c r="H6" s="24" t="str">
        <x:v>Perch-likes</x:v>
      </x:c>
      <x:c r="I6" s="31" t="n">
        <x:v>1550.61317074</x:v>
      </x:c>
      <x:c r="J6" s="31" t="n">
        <x:v>1550.61317074</x:v>
      </x:c>
      <x:c r="K6" s="31" t="n">
        <x:v>0</x:v>
      </x:c>
      <x:c r="L6" s="31" t="n">
        <x:v>650.0000001001</x:v>
      </x:c>
      <x:c r="M6" s="31" t="n">
        <x:v>900.6131706399</x:v>
      </x:c>
      <x:c r="N6" s="24" t="str">
        <x:v>haemulidae</x:v>
      </x:c>
      <x:c r="O6" s="32" t="n">
        <x:v>3.36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Haemulidae</x:v>
      </x:c>
      <x:c r="T6" s="32" t="n">
        <x:f>IF(O6="","",(1/'Metadata'!$B$5)^(O6-1))</x:f>
        <x:v>229.08676527677724</x:v>
      </x:c>
      <x:c r="U6" s="31" t="n">
        <x:f>IF(T6="","",I6*T6)</x:f>
        <x:v>355224.95548039366</x:v>
      </x:c>
    </x:row>
    <x:row r="7" ht="18" customHeight="1">
      <x:c r="A7" s="24" t="str">
        <x:v>EEZ_192</x:v>
      </x:c>
      <x:c r="B7" s="24" t="str">
        <x:v>Cuba</x:v>
      </x:c>
      <x:c r="C7" s="24" t="str">
        <x:v>EEZ</x:v>
      </x:c>
      <x:c r="D7" s="30" t="n">
        <x:v>2019</x:v>
      </x:c>
      <x:c r="E7" s="24" t="str">
        <x:v>Opisthonema oglinum</x:v>
      </x:c>
      <x:c r="F7" s="24" t="str">
        <x:v>Atlantic thread herring</x:v>
      </x:c>
      <x:c r="G7" s="24" t="str">
        <x:v>Small pelagics (&lt;30 cm)</x:v>
      </x:c>
      <x:c r="H7" s="24" t="str">
        <x:v>Herring-likes</x:v>
      </x:c>
      <x:c r="I7" s="31" t="n">
        <x:v>1303.2195855999998</x:v>
      </x:c>
      <x:c r="J7" s="31" t="n">
        <x:v>1303.2195855999998</x:v>
      </x:c>
      <x:c r="K7" s="31" t="n">
        <x:v>0</x:v>
      </x:c>
      <x:c r="L7" s="31" t="n">
        <x:v>1080.6</x:v>
      </x:c>
      <x:c r="M7" s="31" t="n">
        <x:v>222.6195856</x:v>
      </x:c>
      <x:c r="N7" s="24" t="str">
        <x:v>opisthonema oglinum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Opisthonema oglinum</x:v>
      </x:c>
      <x:c r="T7" s="32" t="n">
        <x:f>IF(O7="","",(1/'Metadata'!$B$5)^(O7-1))</x:f>
        <x:v>3162.2776601683795</x:v>
      </x:c>
      <x:c r="U7" s="31" t="n">
        <x:f>IF(T7="","",I7*T7)</x:f>
        <x:v>4121142.1818367727</x:v>
      </x:c>
    </x:row>
    <x:row r="8" ht="18" customHeight="1">
      <x:c r="A8" s="24" t="str">
        <x:v>EEZ_192</x:v>
      </x:c>
      <x:c r="B8" s="24" t="str">
        <x:v>Cuba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1212.0061241638</x:v>
      </x:c>
      <x:c r="J8" s="31" t="n">
        <x:v>1205.1838042178001</x:v>
      </x:c>
      <x:c r="K8" s="31" t="n">
        <x:v>6.822319946</x:v>
      </x:c>
      <x:c r="L8" s="31" t="n">
        <x:v>0</x:v>
      </x:c>
      <x:c r="M8" s="31" t="n">
        <x:v>1212.0061241638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230943.0059525006</x:v>
      </x:c>
    </x:row>
    <x:row r="9" ht="18" customHeight="1">
      <x:c r="A9" s="24" t="str">
        <x:v>EEZ_192</x:v>
      </x:c>
      <x:c r="B9" s="24" t="str">
        <x:v>Cuba</x:v>
      </x:c>
      <x:c r="C9" s="24" t="str">
        <x:v>EEZ</x:v>
      </x:c>
      <x:c r="D9" s="30" t="n">
        <x:v>2019</x:v>
      </x:c>
      <x:c r="E9" s="24" t="str">
        <x:v>Lutjanus synagris</x:v>
      </x:c>
      <x:c r="F9" s="24" t="str">
        <x:v>Lane snapper</x:v>
      </x:c>
      <x:c r="G9" s="24" t="str">
        <x:v>Medium reef assoc. fish (30 - 89 cm)</x:v>
      </x:c>
      <x:c r="H9" s="24" t="str">
        <x:v>Perch-likes</x:v>
      </x:c>
      <x:c r="I9" s="31" t="n">
        <x:v>1071.2544475142</x:v>
      </x:c>
      <x:c r="J9" s="31" t="n">
        <x:v>1071.2544475142</x:v>
      </x:c>
      <x:c r="K9" s="31" t="n">
        <x:v>0</x:v>
      </x:c>
      <x:c r="L9" s="31" t="n">
        <x:v>971.8000001400999</x:v>
      </x:c>
      <x:c r="M9" s="31" t="n">
        <x:v>99.4544473741</x:v>
      </x:c>
      <x:c r="N9" s="24" t="str">
        <x:v>lutjanus synagris</x:v>
      </x:c>
      <x:c r="O9" s="32" t="n">
        <x:v>3.82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Lutjanus synagris</x:v>
      </x:c>
      <x:c r="T9" s="32" t="n">
        <x:f>IF(O9="","",(1/'Metadata'!$B$5)^(O9-1))</x:f>
        <x:v>660.6934480075957</x:v>
      </x:c>
      <x:c r="U9" s="31" t="n">
        <x:f>IF(T9="","",I9*T9)</x:f>
        <x:v>707770.7946216287</x:v>
      </x:c>
    </x:row>
    <x:row r="10" ht="18" customHeight="1">
      <x:c r="A10" s="24" t="str">
        <x:v>EEZ_192</x:v>
      </x:c>
      <x:c r="B10" s="24" t="str">
        <x:v>Cuba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948.8773824699999</x:v>
      </x:c>
      <x:c r="J10" s="31" t="n">
        <x:v>948.8773824699999</x:v>
      </x:c>
      <x:c r="K10" s="31" t="n">
        <x:v>0</x:v>
      </x:c>
      <x:c r="L10" s="31" t="n">
        <x:v>0</x:v>
      </x:c>
      <x:c r="M10" s="31" t="n">
        <x:v>948.8773824699999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1726672.9875962518</x:v>
      </x:c>
    </x:row>
    <x:row r="11" ht="18" customHeight="1">
      <x:c r="A11" s="24" t="str">
        <x:v>EEZ_192</x:v>
      </x:c>
      <x:c r="B11" s="24" t="str">
        <x:v>Cuba</x:v>
      </x:c>
      <x:c r="C11" s="24" t="str">
        <x:v>EEZ</x:v>
      </x:c>
      <x:c r="D11" s="30" t="n">
        <x:v>2019</x:v>
      </x:c>
      <x:c r="E11" s="24" t="str">
        <x:v>Rajiformes</x:v>
      </x:c>
      <x:c r="F11" s="24" t="str">
        <x:v>Skates and rays</x:v>
      </x:c>
      <x:c r="G11" s="24" t="str">
        <x:v>Large rays (&gt;=90 cm)</x:v>
      </x:c>
      <x:c r="H11" s="24" t="str">
        <x:v>Sharks &amp; rays</x:v>
      </x:c>
      <x:c r="I11" s="31" t="n">
        <x:v>830.1688469599001</x:v>
      </x:c>
      <x:c r="J11" s="31" t="n">
        <x:v>830.1688469599001</x:v>
      </x:c>
      <x:c r="K11" s="31" t="n">
        <x:v>0</x:v>
      </x:c>
      <x:c r="L11" s="31" t="n">
        <x:v>336.018048</x:v>
      </x:c>
      <x:c r="M11" s="31" t="n">
        <x:v>494.15079895990004</x:v>
      </x:c>
      <x:c r="N11" s="24" t="str">
        <x:v>rajiformes</x:v>
      </x:c>
      <x:c r="O11" s="32" t="n">
        <x:v>3.61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Rajiformes</x:v>
      </x:c>
      <x:c r="T11" s="32" t="n">
        <x:f>IF(O11="","",(1/'Metadata'!$B$5)^(O11-1))</x:f>
        <x:v>407.3802778041126</x:v>
      </x:c>
      <x:c r="U11" s="31" t="n">
        <x:f>IF(T11="","",I11*T11)</x:f>
        <x:v>338194.41549884394</x:v>
      </x:c>
    </x:row>
    <x:row r="12" ht="18" customHeight="1">
      <x:c r="A12" s="24" t="str">
        <x:v>EEZ_192</x:v>
      </x:c>
      <x:c r="B12" s="24" t="str">
        <x:v>Cuba</x:v>
      </x:c>
      <x:c r="C12" s="24" t="str">
        <x:v>EEZ</x:v>
      </x:c>
      <x:c r="D12" s="30" t="n">
        <x:v>2019</x:v>
      </x:c>
      <x:c r="E12" s="24" t="str">
        <x:v>Clupeidae</x:v>
      </x:c>
      <x:c r="F12" s="24" t="str">
        <x:v>Herrings, sardines, menhadens</x:v>
      </x:c>
      <x:c r="G12" s="24" t="str">
        <x:v>Small pelagics (&lt;30 cm)</x:v>
      </x:c>
      <x:c r="H12" s="24" t="str">
        <x:v>Herring-likes</x:v>
      </x:c>
      <x:c r="I12" s="31" t="n">
        <x:v>741.280939</x:v>
      </x:c>
      <x:c r="J12" s="31" t="n">
        <x:v>741.280939</x:v>
      </x:c>
      <x:c r="K12" s="31" t="n">
        <x:v>0</x:v>
      </x:c>
      <x:c r="L12" s="31" t="n">
        <x:v>0</x:v>
      </x:c>
      <x:c r="M12" s="31" t="n">
        <x:v>741.280939</x:v>
      </x:c>
      <x:c r="N12" s="24" t="str">
        <x:v>clupeidae</x:v>
      </x:c>
      <x:c r="O12" s="32" t="n">
        <x:v>3.16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Clupeidae</x:v>
      </x:c>
      <x:c r="T12" s="32" t="n">
        <x:f>IF(O12="","",(1/'Metadata'!$B$5)^(O12-1))</x:f>
        <x:v>144.5439770745928</x:v>
      </x:c>
      <x:c r="U12" s="31" t="n">
        <x:f>IF(T12="","",I12*T12)</x:f>
        <x:v>107147.69505264862</x:v>
      </x:c>
    </x:row>
    <x:row r="13" ht="18" customHeight="1">
      <x:c r="A13" s="24" t="str">
        <x:v>EEZ_192</x:v>
      </x:c>
      <x:c r="B13" s="24" t="str">
        <x:v>Cuba</x:v>
      </x:c>
      <x:c r="C13" s="24" t="str">
        <x:v>EEZ</x:v>
      </x:c>
      <x:c r="D13" s="30" t="n">
        <x:v>2019</x:v>
      </x:c>
      <x:c r="E13" s="24" t="str">
        <x:v>Penaeus duorarum</x:v>
      </x:c>
      <x:c r="F13" s="24" t="str">
        <x:v>Northern pink shrimp</x:v>
      </x:c>
      <x:c r="G13" s="24" t="str">
        <x:v>Shrimps</x:v>
      </x:c>
      <x:c r="H13" s="24" t="str">
        <x:v>Crustaceans</x:v>
      </x:c>
      <x:c r="I13" s="31" t="n">
        <x:v>672.1</x:v>
      </x:c>
      <x:c r="J13" s="31" t="n">
        <x:v>672.1</x:v>
      </x:c>
      <x:c r="K13" s="31" t="n">
        <x:v>0</x:v>
      </x:c>
      <x:c r="L13" s="31" t="n">
        <x:v>672.1</x:v>
      </x:c>
      <x:c r="M13" s="31" t="n">
        <x:v>0</x:v>
      </x:c>
      <x:c r="N13" s="24" t="str">
        <x:v>penaeus duorarum</x:v>
      </x:c>
      <x:c r="O13" s="32" t="n">
        <x:v>2.15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Penaeus duorarum</x:v>
      </x:c>
      <x:c r="T13" s="32" t="n">
        <x:f>IF(O13="","",(1/'Metadata'!$B$5)^(O13-1))</x:f>
        <x:v>14.12537544622754</x:v>
      </x:c>
      <x:c r="U13" s="31" t="n">
        <x:f>IF(T13="","",I13*T13)</x:f>
        <x:v>9493.66483740953</x:v>
      </x:c>
    </x:row>
    <x:row r="14" ht="18" customHeight="1">
      <x:c r="A14" s="24" t="str">
        <x:v>EEZ_192</x:v>
      </x:c>
      <x:c r="B14" s="24" t="str">
        <x:v>Cuba</x:v>
      </x:c>
      <x:c r="C14" s="24" t="str">
        <x:v>EEZ</x:v>
      </x:c>
      <x:c r="D14" s="30" t="n">
        <x:v>2019</x:v>
      </x:c>
      <x:c r="E14" s="24" t="str">
        <x:v>Harengula</x:v>
      </x:c>
      <x:c r="F14" s="24" t="str">
        <x:v>False herrings</x:v>
      </x:c>
      <x:c r="G14" s="24" t="str">
        <x:v>Small pelagics (&lt;30 cm)</x:v>
      </x:c>
      <x:c r="H14" s="24" t="str">
        <x:v>Herring-likes</x:v>
      </x:c>
      <x:c r="I14" s="31" t="n">
        <x:v>667.54636479</x:v>
      </x:c>
      <x:c r="J14" s="31" t="n">
        <x:v>667.54636479</x:v>
      </x:c>
      <x:c r="K14" s="31" t="n">
        <x:v>0</x:v>
      </x:c>
      <x:c r="L14" s="31" t="n">
        <x:v>650</x:v>
      </x:c>
      <x:c r="M14" s="31" t="n">
        <x:v>17.546364790000002</x:v>
      </x:c>
      <x:c r="N14" s="24" t="str">
        <x:v>harengula</x:v>
      </x:c>
      <x:c r="O14" s="32" t="n">
        <x:v>3.37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Harengula</x:v>
      </x:c>
      <x:c r="T14" s="32" t="n">
        <x:f>IF(O14="","",(1/'Metadata'!$B$5)^(O14-1))</x:f>
        <x:v>234.42288153199226</x:v>
      </x:c>
      <x:c r="U14" s="31" t="n">
        <x:f>IF(T14="","",I14*T14)</x:f>
        <x:v>156488.14239027826</x:v>
      </x:c>
    </x:row>
    <x:row r="15" ht="18" customHeight="1">
      <x:c r="A15" s="24" t="str">
        <x:v>EEZ_192</x:v>
      </x:c>
      <x:c r="B15" s="24" t="str">
        <x:v>Cuba</x:v>
      </x:c>
      <x:c r="C15" s="24" t="str">
        <x:v>EEZ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607.373220881</x:v>
      </x:c>
      <x:c r="J15" s="31" t="n">
        <x:v>607.373220881</x:v>
      </x:c>
      <x:c r="K15" s="31" t="n">
        <x:v>0</x:v>
      </x:c>
      <x:c r="L15" s="31" t="n">
        <x:v>0</x:v>
      </x:c>
      <x:c r="M15" s="31" t="n">
        <x:v>607.373220881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580036.9228893149</x:v>
      </x:c>
    </x:row>
    <x:row r="16" ht="18" customHeight="1">
      <x:c r="A16" s="24" t="str">
        <x:v>EEZ_192</x:v>
      </x:c>
      <x:c r="B16" s="24" t="str">
        <x:v>Cuba</x:v>
      </x:c>
      <x:c r="C16" s="24" t="str">
        <x:v>EEZ</x:v>
      </x:c>
      <x:c r="D16" s="30" t="n">
        <x:v>2019</x:v>
      </x:c>
      <x:c r="E16" s="24" t="str">
        <x:v>Elasmobranchii</x:v>
      </x:c>
      <x:c r="F16" s="24" t="str">
        <x:v>Sharks, rays, skates</x:v>
      </x:c>
      <x:c r="G16" s="24" t="str">
        <x:v>Large sharks (&gt;=90 cm)</x:v>
      </x:c>
      <x:c r="H16" s="24" t="str">
        <x:v>Sharks &amp; rays</x:v>
      </x:c>
      <x:c r="I16" s="31" t="n">
        <x:v>589.78210517</x:v>
      </x:c>
      <x:c r="J16" s="31" t="n">
        <x:v>589.78210517</x:v>
      </x:c>
      <x:c r="K16" s="31" t="n">
        <x:v>0</x:v>
      </x:c>
      <x:c r="L16" s="31" t="n">
        <x:v>374.5302138</x:v>
      </x:c>
      <x:c r="M16" s="31" t="n">
        <x:v>215.25189137</x:v>
      </x:c>
      <x:c r="N16" s="24" t="str">
        <x:v>elasmobranchii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Elasmobranchii</x:v>
      </x:c>
      <x:c r="T16" s="32" t="n">
        <x:f>IF(O16="","",(1/'Metadata'!$B$5)^(O16-1))</x:f>
        <x:v>1122.018454301963</x:v>
      </x:c>
      <x:c r="U16" s="31" t="n">
        <x:f>IF(T16="","",I16*T16)</x:f>
        <x:v>661746.4060178011</x:v>
      </x:c>
    </x:row>
    <x:row r="17" ht="18" customHeight="1">
      <x:c r="A17" s="24" t="str">
        <x:v>EEZ_192</x:v>
      </x:c>
      <x:c r="B17" s="24" t="str">
        <x:v>Cuba</x:v>
      </x:c>
      <x:c r="C17" s="24" t="str">
        <x:v>EEZ</x:v>
      </x:c>
      <x:c r="D17" s="30" t="n">
        <x:v>2019</x:v>
      </x:c>
      <x:c r="E17" s="24" t="str">
        <x:v>Aliger gigas</x:v>
      </x:c>
      <x:c r="F17" s="24" t="str">
        <x:v>Pink conch</x:v>
      </x:c>
      <x:c r="G17" s="24" t="str">
        <x:v>Other demersal invertebrates</x:v>
      </x:c>
      <x:c r="H17" s="24" t="str">
        <x:v>Molluscs</x:v>
      </x:c>
      <x:c r="I17" s="31" t="n">
        <x:v>572.4075538699</x:v>
      </x:c>
      <x:c r="J17" s="31" t="n">
        <x:v>572.4075538699</x:v>
      </x:c>
      <x:c r="K17" s="31" t="n">
        <x:v>0</x:v>
      </x:c>
      <x:c r="L17" s="31" t="n">
        <x:v>482.1</x:v>
      </x:c>
      <x:c r="M17" s="31" t="n">
        <x:v>90.3075538699</x:v>
      </x:c>
      <x:c r="N17" s="24" t="str">
        <x:v>aliger gigas</x:v>
      </x:c>
      <x:c r="O17" s="32" t="n">
        <x:v>2.19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Aliger gigas</x:v>
      </x:c>
      <x:c r="T17" s="32" t="n">
        <x:f>IF(O17="","",(1/'Metadata'!$B$5)^(O17-1))</x:f>
        <x:v>15.488166189124811</x:v>
      </x:c>
      <x:c r="U17" s="31" t="n">
        <x:f>IF(T17="","",I17*T17)</x:f>
        <x:v>8865.543322247424</x:v>
      </x:c>
    </x:row>
    <x:row r="18" ht="18" customHeight="1">
      <x:c r="A18" s="24" t="str">
        <x:v>EEZ_192</x:v>
      </x:c>
      <x:c r="B18" s="24" t="str">
        <x:v>Cuba</x:v>
      </x:c>
      <x:c r="C18" s="24" t="str">
        <x:v>EEZ</x:v>
      </x:c>
      <x:c r="D18" s="30" t="n">
        <x:v>2019</x:v>
      </x:c>
      <x:c r="E18" s="24" t="str">
        <x:v>Callinectes sapidus</x:v>
      </x:c>
      <x:c r="F18" s="24" t="str">
        <x:v>Blue crab</x:v>
      </x:c>
      <x:c r="G18" s="24" t="str">
        <x:v>Lobsters, crabs</x:v>
      </x:c>
      <x:c r="H18" s="24" t="str">
        <x:v>Crustaceans</x:v>
      </x:c>
      <x:c r="I18" s="31" t="n">
        <x:v>234.92649065</x:v>
      </x:c>
      <x:c r="J18" s="31" t="n">
        <x:v>234.92649065</x:v>
      </x:c>
      <x:c r="K18" s="31" t="n">
        <x:v>0</x:v>
      </x:c>
      <x:c r="L18" s="31" t="n">
        <x:v>190</x:v>
      </x:c>
      <x:c r="M18" s="31" t="n">
        <x:v>44.92649065</x:v>
      </x:c>
      <x:c r="N18" s="24" t="str">
        <x:v>callinectes sapidus</x:v>
      </x:c>
      <x:c r="O18" s="32" t="n">
        <x:v>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Callinectes sapidus</x:v>
      </x:c>
      <x:c r="T18" s="32" t="n">
        <x:f>IF(O18="","",(1/'Metadata'!$B$5)^(O18-1))</x:f>
        <x:v>1000</x:v>
      </x:c>
      <x:c r="U18" s="31" t="n">
        <x:f>IF(T18="","",I18*T18)</x:f>
        <x:v>234926.49065</x:v>
      </x:c>
    </x:row>
    <x:row r="19" ht="18" customHeight="1">
      <x:c r="A19" s="24" t="str">
        <x:v>EEZ_192</x:v>
      </x:c>
      <x:c r="B19" s="24" t="str">
        <x:v>Cuba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221.3990429</x:v>
      </x:c>
      <x:c r="J19" s="31" t="n">
        <x:v>221.3990429</x:v>
      </x:c>
      <x:c r="K19" s="31" t="n">
        <x:v>0</x:v>
      </x:c>
      <x:c r="L19" s="31" t="n">
        <x:v>100</x:v>
      </x:c>
      <x:c r="M19" s="31" t="n">
        <x:v>121.3990429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7501.9771861477575</x:v>
      </x:c>
    </x:row>
    <x:row r="20" ht="18" customHeight="1">
      <x:c r="A20" s="24" t="str">
        <x:v>EEZ_192</x:v>
      </x:c>
      <x:c r="B20" s="24" t="str">
        <x:v>Cuba</x:v>
      </x:c>
      <x:c r="C20" s="24" t="str">
        <x:v>EEZ</x:v>
      </x:c>
      <x:c r="D20" s="30" t="n">
        <x:v>2019</x:v>
      </x:c>
      <x:c r="E20" s="24" t="str">
        <x:v>Scomberomorus</x:v>
      </x:c>
      <x:c r="F20" s="24" t="str">
        <x:v>Spanish mackerels</x:v>
      </x:c>
      <x:c r="G20" s="24" t="str">
        <x:v>Large pelagics (&gt;=90 cm)</x:v>
      </x:c>
      <x:c r="H20" s="24" t="str">
        <x:v>Perch-likes</x:v>
      </x:c>
      <x:c r="I20" s="31" t="n">
        <x:v>200.9430222802</x:v>
      </x:c>
      <x:c r="J20" s="31" t="n">
        <x:v>200.9430222802</x:v>
      </x:c>
      <x:c r="K20" s="31" t="n">
        <x:v>0</x:v>
      </x:c>
      <x:c r="L20" s="31" t="n">
        <x:v>90</x:v>
      </x:c>
      <x:c r="M20" s="31" t="n">
        <x:v>110.9430222802</x:v>
      </x:c>
      <x:c r="N20" s="24" t="str">
        <x:v>scomberomorus</x:v>
      </x:c>
      <x:c r="O20" s="32" t="n">
        <x:v>4.35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Scomberomorus</x:v>
      </x:c>
      <x:c r="T20" s="32" t="n">
        <x:f>IF(O20="","",(1/'Metadata'!$B$5)^(O20-1))</x:f>
        <x:v>2238.7211385683377</x:v>
      </x:c>
      <x:c r="U20" s="31" t="n">
        <x:f>IF(T20="","",I20*T20)</x:f>
        <x:v>449855.3916264922</x:v>
      </x:c>
    </x:row>
    <x:row r="21" ht="18" customHeight="1">
      <x:c r="A21" s="24" t="str">
        <x:v>EEZ_192</x:v>
      </x:c>
      <x:c r="B21" s="24" t="str">
        <x:v>Cuba</x:v>
      </x:c>
      <x:c r="C21" s="24" t="str">
        <x:v>EEZ</x:v>
      </x:c>
      <x:c r="D21" s="30" t="n">
        <x:v>2019</x:v>
      </x:c>
      <x:c r="E21" s="24" t="str">
        <x:v>Ocyurus chrysurus</x:v>
      </x:c>
      <x:c r="F21" s="24" t="str">
        <x:v>Yellowtail snapper</x:v>
      </x:c>
      <x:c r="G21" s="24" t="str">
        <x:v>Medium reef assoc. fish (30 - 89 cm)</x:v>
      </x:c>
      <x:c r="H21" s="24" t="str">
        <x:v>Perch-likes</x:v>
      </x:c>
      <x:c r="I21" s="31" t="n">
        <x:v>191.9409032572</x:v>
      </x:c>
      <x:c r="J21" s="31" t="n">
        <x:v>191.9409032572</x:v>
      </x:c>
      <x:c r="K21" s="31" t="n">
        <x:v>0</x:v>
      </x:c>
      <x:c r="L21" s="31" t="n">
        <x:v>171.5</x:v>
      </x:c>
      <x:c r="M21" s="31" t="n">
        <x:v>20.4409032572</x:v>
      </x:c>
      <x:c r="N21" s="24" t="str">
        <x:v>ocyurus chrysurus</x:v>
      </x:c>
      <x:c r="O21" s="32" t="n">
        <x:v>4.03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Ocyurus chrysurus</x:v>
      </x:c>
      <x:c r="T21" s="32" t="n">
        <x:f>IF(O21="","",(1/'Metadata'!$B$5)^(O21-1))</x:f>
        <x:v>1071.519305237607</x:v>
      </x:c>
      <x:c r="U21" s="31" t="n">
        <x:f>IF(T21="","",I21*T21)</x:f>
        <x:v>205668.3833048337</x:v>
      </x:c>
    </x:row>
    <x:row r="22" ht="18" customHeight="1">
      <x:c r="A22" s="24" t="str">
        <x:v>EEZ_192</x:v>
      </x:c>
      <x:c r="B22" s="24" t="str">
        <x:v>Cuba</x:v>
      </x:c>
      <x:c r="C22" s="24" t="str">
        <x:v>EEZ</x:v>
      </x:c>
      <x:c r="D22" s="30" t="n">
        <x:v>2019</x:v>
      </x:c>
      <x:c r="E22" s="24" t="str">
        <x:v>Spongia</x:v>
      </x:c>
      <x:c r="F22" s="24" t="str">
        <x:v>Bathing sponges</x:v>
      </x:c>
      <x:c r="G22" s="24" t="str">
        <x:v>Other demersal invertebrates</x:v>
      </x:c>
      <x:c r="H22" s="24" t="str">
        <x:v>Other fishes &amp; inverts</x:v>
      </x:c>
      <x:c r="I22" s="31" t="n">
        <x:v>188.9475851772</x:v>
      </x:c>
      <x:c r="J22" s="31" t="n">
        <x:v>188.9475851772</x:v>
      </x:c>
      <x:c r="K22" s="31" t="n">
        <x:v>0</x:v>
      </x:c>
      <x:c r="L22" s="31" t="n">
        <x:v>0</x:v>
      </x:c>
      <x:c r="M22" s="31" t="n">
        <x:v>188.9475851772</x:v>
      </x:c>
      <x:c r="N22" s="24" t="str">
        <x:v>spongia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Spongia</x:v>
      </x:c>
      <x:c r="T22" s="32" t="n">
        <x:f>IF(O22="","",(1/'Metadata'!$B$5)^(O22-1))</x:f>
        <x:v>10</x:v>
      </x:c>
      <x:c r="U22" s="31" t="n">
        <x:f>IF(T22="","",I22*T22)</x:f>
        <x:v>1889.4758517720002</x:v>
      </x:c>
    </x:row>
    <x:row r="23" ht="18" customHeight="1">
      <x:c r="A23" s="24" t="str">
        <x:v>EEZ_192</x:v>
      </x:c>
      <x:c r="B23" s="24" t="str">
        <x:v>Cuba</x:v>
      </x:c>
      <x:c r="C23" s="24" t="str">
        <x:v>EEZ</x:v>
      </x:c>
      <x:c r="D23" s="30" t="n">
        <x:v>2019</x:v>
      </x:c>
      <x:c r="E23" s="24" t="str">
        <x:v>Cardisoma guanhumi</x:v>
      </x:c>
      <x:c r="F23" s="24" t="str">
        <x:v>Blue land crab</x:v>
      </x:c>
      <x:c r="G23" s="24" t="str">
        <x:v>Lobsters, crabs</x:v>
      </x:c>
      <x:c r="H23" s="24" t="str">
        <x:v>Crustaceans</x:v>
      </x:c>
      <x:c r="I23" s="31" t="n">
        <x:v>186.57743131010002</x:v>
      </x:c>
      <x:c r="J23" s="31" t="n">
        <x:v>186.57743131010002</x:v>
      </x:c>
      <x:c r="K23" s="31" t="n">
        <x:v>0</x:v>
      </x:c>
      <x:c r="L23" s="31" t="n">
        <x:v>140</x:v>
      </x:c>
      <x:c r="M23" s="31" t="n">
        <x:v>46.5774313101</x:v>
      </x:c>
      <x:c r="N23" s="24" t="str">
        <x:v>cardisoma guanhumi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Cardisoma guanhumi</x:v>
      </x:c>
      <x:c r="T23" s="32" t="n">
        <x:f>IF(O23="","",(1/'Metadata'!$B$5)^(O23-1))</x:f>
        <x:v>10</x:v>
      </x:c>
      <x:c r="U23" s="31" t="n">
        <x:f>IF(T23="","",I23*T23)</x:f>
        <x:v>1865.7743131010002</x:v>
      </x:c>
    </x:row>
    <x:row r="24" ht="18" customHeight="1">
      <x:c r="A24" s="24" t="str">
        <x:v>EEZ_192</x:v>
      </x:c>
      <x:c r="B24" s="24" t="str">
        <x:v>Cuba</x:v>
      </x:c>
      <x:c r="C24" s="24" t="str">
        <x:v>EEZ</x:v>
      </x:c>
      <x:c r="D24" s="30" t="n">
        <x:v>2019</x:v>
      </x:c>
      <x:c r="E24" s="24" t="str">
        <x:v>Calamus</x:v>
      </x:c>
      <x:c r="F24" s="24" t="str">
        <x:v>Porgies</x:v>
      </x:c>
      <x:c r="G24" s="24" t="str">
        <x:v>Medium reef assoc. fish (30 - 89 cm)</x:v>
      </x:c>
      <x:c r="H24" s="24" t="str">
        <x:v>Perch-likes</x:v>
      </x:c>
      <x:c r="I24" s="31" t="n">
        <x:v>165.7489096122</x:v>
      </x:c>
      <x:c r="J24" s="31" t="n">
        <x:v>165.7489096122</x:v>
      </x:c>
      <x:c r="K24" s="31" t="n">
        <x:v>0</x:v>
      </x:c>
      <x:c r="L24" s="31" t="n">
        <x:v>149.99999996</x:v>
      </x:c>
      <x:c r="M24" s="31" t="n">
        <x:v>15.7489096522</x:v>
      </x:c>
      <x:c r="N24" s="24" t="str">
        <x:v>calamus</x:v>
      </x:c>
      <x:c r="O24" s="32" t="n">
        <x:v>3.51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Calamus</x:v>
      </x:c>
      <x:c r="T24" s="32" t="n">
        <x:f>IF(O24="","",(1/'Metadata'!$B$5)^(O24-1))</x:f>
        <x:v>323.5936569296281</x:v>
      </x:c>
      <x:c r="U24" s="31" t="n">
        <x:f>IF(T24="","",I24*T24)</x:f>
        <x:v>53635.29579351019</x:v>
      </x:c>
    </x:row>
    <x:row r="25" ht="18" customHeight="1">
      <x:c r="A25" s="24" t="str">
        <x:v>EEZ_192</x:v>
      </x:c>
      <x:c r="B25" s="24" t="str">
        <x:v>Cuba</x:v>
      </x:c>
      <x:c r="C25" s="24" t="str">
        <x:v>EEZ</x:v>
      </x:c>
      <x:c r="D25" s="30" t="n">
        <x:v>2019</x:v>
      </x:c>
      <x:c r="E25" s="24" t="str">
        <x:v>Lutjanus purpureus</x:v>
      </x:c>
      <x:c r="F25" s="24" t="str">
        <x:v>Southern red snapper</x:v>
      </x:c>
      <x:c r="G25" s="24" t="str">
        <x:v>Medium demersals (30 - 89 cm)</x:v>
      </x:c>
      <x:c r="H25" s="24" t="str">
        <x:v>Perch-likes</x:v>
      </x:c>
      <x:c r="I25" s="31" t="n">
        <x:v>111.01904445</x:v>
      </x:c>
      <x:c r="J25" s="31" t="n">
        <x:v>111.01904445</x:v>
      </x:c>
      <x:c r="K25" s="31" t="n">
        <x:v>0</x:v>
      </x:c>
      <x:c r="L25" s="31" t="n">
        <x:v>111.01904445</x:v>
      </x:c>
      <x:c r="M25" s="31" t="n">
        <x:v>0</x:v>
      </x:c>
      <x:c r="N25" s="24" t="str">
        <x:v>lutjanus purpureus</x:v>
      </x:c>
      <x:c r="O25" s="32" t="n">
        <x:v>3.58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Lutjanus purpureus</x:v>
      </x:c>
      <x:c r="T25" s="32" t="n">
        <x:f>IF(O25="","",(1/'Metadata'!$B$5)^(O25-1))</x:f>
        <x:v>380.1893963205613</x:v>
      </x:c>
      <x:c r="U25" s="31" t="n">
        <x:f>IF(T25="","",I25*T25)</x:f>
        <x:v>42208.263489531055</x:v>
      </x:c>
    </x:row>
    <x:row r="26" ht="18" customHeight="1">
      <x:c r="A26" s="24" t="str">
        <x:v>EEZ_192</x:v>
      </x:c>
      <x:c r="B26" s="24" t="str">
        <x:v>Cuba</x:v>
      </x:c>
      <x:c r="C26" s="24" t="str">
        <x:v>EEZ</x:v>
      </x:c>
      <x:c r="D26" s="30" t="n">
        <x:v>2019</x:v>
      </x:c>
      <x:c r="E26" s="24" t="str">
        <x:v>Portunidae</x:v>
      </x:c>
      <x:c r="F26" s="24" t="str">
        <x:v>Swimming crabs</x:v>
      </x:c>
      <x:c r="G26" s="24" t="str">
        <x:v>Lobsters, crabs</x:v>
      </x:c>
      <x:c r="H26" s="24" t="str">
        <x:v>Crustaceans</x:v>
      </x:c>
      <x:c r="I26" s="31" t="n">
        <x:v>98.09819844</x:v>
      </x:c>
      <x:c r="J26" s="31" t="n">
        <x:v>98.09819844</x:v>
      </x:c>
      <x:c r="K26" s="31" t="n">
        <x:v>0</x:v>
      </x:c>
      <x:c r="L26" s="31" t="n">
        <x:v>0</x:v>
      </x:c>
      <x:c r="M26" s="31" t="n">
        <x:v>98.09819844</x:v>
      </x:c>
      <x:c r="N26" s="24" t="str">
        <x:v>portunidae</x:v>
      </x:c>
      <x:c r="O26" s="32" t="n">
        <x:v>3.56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Portunidae</x:v>
      </x:c>
      <x:c r="T26" s="32" t="n">
        <x:f>IF(O26="","",(1/'Metadata'!$B$5)^(O26-1))</x:f>
        <x:v>363.0780547701014</x:v>
      </x:c>
      <x:c r="U26" s="31" t="n">
        <x:f>IF(T26="","",I26*T26)</x:f>
        <x:v>35617.303066046596</x:v>
      </x:c>
    </x:row>
    <x:row r="27" ht="18" customHeight="1">
      <x:c r="A27" s="24" t="str">
        <x:v>EEZ_192</x:v>
      </x:c>
      <x:c r="B27" s="24" t="str">
        <x:v>Cuba</x:v>
      </x:c>
      <x:c r="C27" s="24" t="str">
        <x:v>EEZ</x:v>
      </x:c>
      <x:c r="D27" s="30" t="n">
        <x:v>2019</x:v>
      </x:c>
      <x:c r="E27" s="24" t="str">
        <x:v>Sparidae</x:v>
      </x:c>
      <x:c r="F27" s="24" t="str">
        <x:v>Porgies, seabreams</x:v>
      </x:c>
      <x:c r="G27" s="24" t="str">
        <x:v>Medium benthopelagics (30 - 89 cm)</x:v>
      </x:c>
      <x:c r="H27" s="24" t="str">
        <x:v>Perch-likes</x:v>
      </x:c>
      <x:c r="I27" s="31" t="n">
        <x:v>97.84096693709999</x:v>
      </x:c>
      <x:c r="J27" s="31" t="n">
        <x:v>97.84096693709999</x:v>
      </x:c>
      <x:c r="K27" s="31" t="n">
        <x:v>0</x:v>
      </x:c>
      <x:c r="L27" s="31" t="n">
        <x:v>14.9999999971</x:v>
      </x:c>
      <x:c r="M27" s="31" t="n">
        <x:v>82.84096694</x:v>
      </x:c>
      <x:c r="N27" s="24" t="str">
        <x:v>sparidae</x:v>
      </x:c>
      <x:c r="O27" s="32" t="n">
        <x:v>3.31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Sparidae</x:v>
      </x:c>
      <x:c r="T27" s="32" t="n">
        <x:f>IF(O27="","",(1/'Metadata'!$B$5)^(O27-1))</x:f>
        <x:v>204.17379446695296</x:v>
      </x:c>
      <x:c r="U27" s="31" t="n">
        <x:f>IF(T27="","",I27*T27)</x:f>
        <x:v>19976.561473863392</x:v>
      </x:c>
    </x:row>
    <x:row r="28" ht="18" customHeight="1">
      <x:c r="A28" s="24" t="str">
        <x:v>EEZ_192</x:v>
      </x:c>
      <x:c r="B28" s="24" t="str">
        <x:v>Cuba</x:v>
      </x:c>
      <x:c r="C28" s="24" t="str">
        <x:v>EEZ</x:v>
      </x:c>
      <x:c r="D28" s="30" t="n">
        <x:v>2019</x:v>
      </x:c>
      <x:c r="E28" s="24" t="str">
        <x:v>Hippospongia lachne</x:v>
      </x:c>
      <x:c r="F28" s="24" t="str">
        <x:v>Sheepswool sponge</x:v>
      </x:c>
      <x:c r="G28" s="24" t="str">
        <x:v>Other demersal invertebrates</x:v>
      </x:c>
      <x:c r="H28" s="24" t="str">
        <x:v>Other fishes &amp; inverts</x:v>
      </x:c>
      <x:c r="I28" s="31" t="n">
        <x:v>89.461505732</x:v>
      </x:c>
      <x:c r="J28" s="31" t="n">
        <x:v>89.461505732</x:v>
      </x:c>
      <x:c r="K28" s="31" t="n">
        <x:v>0</x:v>
      </x:c>
      <x:c r="L28" s="31" t="n">
        <x:v>0</x:v>
      </x:c>
      <x:c r="M28" s="31" t="n">
        <x:v>89.461505732</x:v>
      </x:c>
      <x:c r="N28" s="24" t="str">
        <x:v>hippospongia lachne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Hippospongia lachne</x:v>
      </x:c>
      <x:c r="T28" s="32" t="n">
        <x:f>IF(O28="","",(1/'Metadata'!$B$5)^(O28-1))</x:f>
        <x:v>10</x:v>
      </x:c>
      <x:c r="U28" s="31" t="n">
        <x:f>IF(T28="","",I28*T28)</x:f>
        <x:v>894.61505732</x:v>
      </x:c>
    </x:row>
    <x:row r="29" ht="18" customHeight="1">
      <x:c r="A29" s="24" t="str">
        <x:v>EEZ_192</x:v>
      </x:c>
      <x:c r="B29" s="24" t="str">
        <x:v>Cuba</x:v>
      </x:c>
      <x:c r="C29" s="24" t="str">
        <x:v>EEZ</x:v>
      </x:c>
      <x:c r="D29" s="30" t="n">
        <x:v>2019</x:v>
      </x:c>
      <x:c r="E29" s="24" t="str">
        <x:v>Menippe mercenaria</x:v>
      </x:c>
      <x:c r="F29" s="24" t="str">
        <x:v>Black stone crab</x:v>
      </x:c>
      <x:c r="G29" s="24" t="str">
        <x:v>Lobsters, crabs</x:v>
      </x:c>
      <x:c r="H29" s="24" t="str">
        <x:v>Crustaceans</x:v>
      </x:c>
      <x:c r="I29" s="31" t="n">
        <x:v>50.00000000399999</x:v>
      </x:c>
      <x:c r="J29" s="31" t="n">
        <x:v>50.00000000399999</x:v>
      </x:c>
      <x:c r="K29" s="31" t="n">
        <x:v>0</x:v>
      </x:c>
      <x:c r="L29" s="31" t="n">
        <x:v>50.00000000399999</x:v>
      </x:c>
      <x:c r="M29" s="31" t="n">
        <x:v>0</x:v>
      </x:c>
      <x:c r="N29" s="24" t="str">
        <x:v>menippe mercenaria</x:v>
      </x:c>
      <x:c r="O29" s="32" t="n">
        <x:v>2.6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Menippe mercenaria</x:v>
      </x:c>
      <x:c r="T29" s="32" t="n">
        <x:f>IF(O29="","",(1/'Metadata'!$B$5)^(O29-1))</x:f>
        <x:v>39.810717055349734</x:v>
      </x:c>
      <x:c r="U29" s="31" t="n">
        <x:f>IF(T29="","",I29*T29)</x:f>
        <x:v>1990.5358529267294</x:v>
      </x:c>
    </x:row>
    <x:row r="30" ht="18" customHeight="1">
      <x:c r="A30" s="24" t="str">
        <x:v>EEZ_192</x:v>
      </x:c>
      <x:c r="B30" s="24" t="str">
        <x:v>Cuba</x:v>
      </x:c>
      <x:c r="C30" s="24" t="str">
        <x:v>EEZ</x:v>
      </x:c>
      <x:c r="D30" s="30" t="n">
        <x:v>2019</x:v>
      </x:c>
      <x:c r="E30" s="24" t="str">
        <x:v>Caranx</x:v>
      </x:c>
      <x:c r="F30" s="24" t="str">
        <x:v>Jacks</x:v>
      </x:c>
      <x:c r="G30" s="24" t="str">
        <x:v>Medium reef assoc. fish (30 - 89 cm)</x:v>
      </x:c>
      <x:c r="H30" s="24" t="str">
        <x:v>Perch-likes</x:v>
      </x:c>
      <x:c r="I30" s="31" t="n">
        <x:v>16.6140002277</x:v>
      </x:c>
      <x:c r="J30" s="31" t="n">
        <x:v>16.6140002277</x:v>
      </x:c>
      <x:c r="K30" s="31" t="n">
        <x:v>0</x:v>
      </x:c>
      <x:c r="L30" s="31" t="n">
        <x:v>15</x:v>
      </x:c>
      <x:c r="M30" s="31" t="n">
        <x:v>1.6140002276999998</x:v>
      </x:c>
      <x:c r="N30" s="24" t="str">
        <x:v>caranx</x:v>
      </x:c>
      <x:c r="O30" s="32" t="n">
        <x:v>4.12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Caranx</x:v>
      </x:c>
      <x:c r="T30" s="32" t="n">
        <x:f>IF(O30="","",(1/'Metadata'!$B$5)^(O30-1))</x:f>
        <x:v>1318.2567385564075</x:v>
      </x:c>
      <x:c r="U30" s="31" t="n">
        <x:f>IF(T30="","",I30*T30)</x:f>
        <x:v>21901.517754543213</x:v>
      </x:c>
    </x:row>
    <x:row r="31" ht="18" customHeight="1">
      <x:c r="A31" s="24" t="str">
        <x:v>EEZ_192</x:v>
      </x:c>
      <x:c r="B31" s="24" t="str">
        <x:v>Cuba</x:v>
      </x:c>
      <x:c r="C31" s="24" t="str">
        <x:v>EEZ</x:v>
      </x:c>
      <x:c r="D31" s="30" t="n">
        <x:v>2019</x:v>
      </x:c>
      <x:c r="E31" s="24" t="str">
        <x:v>Epinephelus striatus</x:v>
      </x:c>
      <x:c r="F31" s="24" t="str">
        <x:v>Nassau grouper</x:v>
      </x:c>
      <x:c r="G31" s="24" t="str">
        <x:v>Large reef assoc. fish (&gt;=90 cm)</x:v>
      </x:c>
      <x:c r="H31" s="24" t="str">
        <x:v>Perch-likes</x:v>
      </x:c>
      <x:c r="I31" s="31" t="n">
        <x:v>15</x:v>
      </x:c>
      <x:c r="J31" s="31" t="n">
        <x:v>15</x:v>
      </x:c>
      <x:c r="K31" s="31" t="n">
        <x:v>0</x:v>
      </x:c>
      <x:c r="L31" s="31" t="n">
        <x:v>15</x:v>
      </x:c>
      <x:c r="M31" s="31" t="n">
        <x:v>0</x:v>
      </x:c>
      <x:c r="N31" s="24" t="str">
        <x:v>epinephelus striatus</x:v>
      </x:c>
      <x:c r="O31" s="32" t="n">
        <x:v>4.06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striatus</x:v>
      </x:c>
      <x:c r="T31" s="32" t="n">
        <x:f>IF(O31="","",(1/'Metadata'!$B$5)^(O31-1))</x:f>
        <x:v>1148.1536214968817</x:v>
      </x:c>
      <x:c r="U31" s="31" t="n">
        <x:f>IF(T31="","",I31*T31)</x:f>
        <x:v>17222.304322453227</x:v>
      </x:c>
    </x:row>
    <x:row r="32" ht="18" customHeight="1">
      <x:c r="A32" s="24" t="str">
        <x:v>EEZ_192</x:v>
      </x:c>
      <x:c r="B32" s="24" t="str">
        <x:v>Cuba</x:v>
      </x:c>
      <x:c r="C32" s="24" t="str">
        <x:v>EEZ</x:v>
      </x:c>
      <x:c r="D32" s="30" t="n">
        <x:v>2019</x:v>
      </x:c>
      <x:c r="E32" s="24" t="str">
        <x:v>Carangidae</x:v>
      </x:c>
      <x:c r="F32" s="24" t="str">
        <x:v>Jacks, pompanos</x:v>
      </x:c>
      <x:c r="G32" s="24" t="str">
        <x:v>Medium pelagics (30 - 89 cm)</x:v>
      </x:c>
      <x:c r="H32" s="24" t="str">
        <x:v>Perch-likes</x:v>
      </x:c>
      <x:c r="I32" s="31" t="n">
        <x:v>11.65804787</x:v>
      </x:c>
      <x:c r="J32" s="31" t="n">
        <x:v>11.65804787</x:v>
      </x:c>
      <x:c r="K32" s="31" t="n">
        <x:v>0</x:v>
      </x:c>
      <x:c r="L32" s="31" t="n">
        <x:v>0</x:v>
      </x:c>
      <x:c r="M32" s="31" t="n">
        <x:v>11.65804787</x:v>
      </x:c>
      <x:c r="N32" s="24" t="str">
        <x:v>carangidae</x:v>
      </x:c>
      <x:c r="O32" s="32" t="n">
        <x:v>4.05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Carangidae</x:v>
      </x:c>
      <x:c r="T32" s="32" t="n">
        <x:f>IF(O32="","",(1/'Metadata'!$B$5)^(O32-1))</x:f>
        <x:v>1122.018454301963</x:v>
      </x:c>
      <x:c r="U32" s="31" t="n">
        <x:f>IF(T32="","",I32*T32)</x:f>
        <x:v>13080.544851275692</x:v>
      </x:c>
    </x:row>
    <x:row r="33" ht="18" customHeight="1">
      <x:c r="A33" s="24" t="str">
        <x:v>EEZ_192</x:v>
      </x:c>
      <x:c r="B33" s="24" t="str">
        <x:v>Cuba</x:v>
      </x:c>
      <x:c r="C33" s="24" t="str">
        <x:v>EEZ</x:v>
      </x:c>
      <x:c r="D33" s="30" t="n">
        <x:v>2019</x:v>
      </x:c>
      <x:c r="E33" s="24" t="str">
        <x:v>Epinephelus</x:v>
      </x:c>
      <x:c r="F33" s="24" t="str">
        <x:v>Seabasses, hinds</x:v>
      </x:c>
      <x:c r="G33" s="24" t="str">
        <x:v>Medium reef assoc. fish (30 - 89 cm)</x:v>
      </x:c>
      <x:c r="H33" s="24" t="str">
        <x:v>Perch-likes</x:v>
      </x:c>
      <x:c r="I33" s="31" t="n">
        <x:v>9.999999999999998</x:v>
      </x:c>
      <x:c r="J33" s="31" t="n">
        <x:v>9.999999999999998</x:v>
      </x:c>
      <x:c r="K33" s="31" t="n">
        <x:v>0</x:v>
      </x:c>
      <x:c r="L33" s="31" t="n">
        <x:v>9.999999999999998</x:v>
      </x:c>
      <x:c r="M33" s="31" t="n">
        <x:v>0</x:v>
      </x:c>
      <x:c r="N33" s="24" t="str">
        <x:v>epinephelus</x:v>
      </x:c>
      <x:c r="O33" s="32" t="n">
        <x:v>3.84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Epinephelus</x:v>
      </x:c>
      <x:c r="T33" s="32" t="n">
        <x:f>IF(O33="","",(1/'Metadata'!$B$5)^(O33-1))</x:f>
        <x:v>691.8309709189363</x:v>
      </x:c>
      <x:c r="U33" s="31" t="n">
        <x:f>IF(T33="","",I33*T33)</x:f>
        <x:v>6918.3097091893615</x:v>
      </x:c>
    </x:row>
    <x:row r="34" ht="18" customHeight="1">
      <x:c r="A34" s="24" t="str">
        <x:v>EEZ_192</x:v>
      </x:c>
      <x:c r="B34" s="24" t="str">
        <x:v>Cuba</x:v>
      </x:c>
      <x:c r="C34" s="24" t="str">
        <x:v>EEZ</x:v>
      </x:c>
      <x:c r="D34" s="30" t="n">
        <x:v>2019</x:v>
      </x:c>
      <x:c r="E34" s="24" t="str">
        <x:v>Miscellaneous aquatic invertebrates</x:v>
      </x:c>
      <x:c r="F34" s="24" t="str">
        <x:v>Aquatic invertebrates</x:v>
      </x:c>
      <x:c r="G34" s="24" t="str">
        <x:v>Other demersal invertebrates</x:v>
      </x:c>
      <x:c r="H34" s="24" t="str">
        <x:v>Other fishes &amp; inverts</x:v>
      </x:c>
      <x:c r="I34" s="31" t="n">
        <x:v>3.411160004</x:v>
      </x:c>
      <x:c r="J34" s="31" t="n">
        <x:v>0</x:v>
      </x:c>
      <x:c r="K34" s="31" t="n">
        <x:v>3.411160004</x:v>
      </x:c>
      <x:c r="L34" s="31" t="n">
        <x:v>0</x:v>
      </x:c>
      <x:c r="M34" s="31" t="n">
        <x:v>3.411160004</x:v>
      </x:c>
      <x:c r="N34" s="24" t="str">
        <x:v>miscellaneous aquatic invertebrates</x:v>
      </x:c>
      <x:c r="O34" s="32" t="n">
        <x:v>2.43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aquatic invertebrates</x:v>
      </x:c>
      <x:c r="T34" s="32" t="n">
        <x:f>IF(O34="","",(1/'Metadata'!$B$5)^(O34-1))</x:f>
        <x:v>26.915348039269166</x:v>
      </x:c>
      <x:c r="U34" s="31" t="n">
        <x:f>IF(T34="","",I34*T34)</x:f>
        <x:v>91.8125587252948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e10aec9d81a4c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6</x:v>
      </x:c>
      <x:c r="C2" s="33" t="n">
        <x:v>6</x:v>
      </x:c>
      <x:c r="D2" s="31" t="n">
        <x:v>5123.1808172041</x:v>
      </x:c>
      <x:c r="E2" s="31" t="n">
        <x:v>5123.1808172041</x:v>
      </x:c>
      <x:c r="F2" s="32" t="n">
        <x:v>0</x:v>
      </x:c>
      <x:c r="G2" s="34" t="n">
        <x:v>1</x:v>
      </x:c>
      <x:c r="H2" s="32" t="n">
        <x:f>IF(E2=0,"",I2/E2)</x:f>
        <x:v>175.48993820878877</x:v>
      </x:c>
      <x:c r="I2" s="31" t="n">
        <x:f>IF(C2=0,"",SUMIF('Species'!$H$2:$H$34,A2,'Species'!$U$2:$U$34))</x:f>
        <x:v>899066.6850435995</x:v>
      </x:c>
      <x:c r="J2" s="32" t="n">
        <x:v>3.0562726165854968</x:v>
      </x:c>
      <x:c r="K2" s="32" t="n">
        <x:f>IF(J2="","",(1/'Metadata'!$B$5)^(J2-1))</x:f>
        <x:v>113.83416246862998</x:v>
      </x:c>
      <x:c r="L2" s="31" t="n">
        <x:f>IF(E2=0,"",E2*K2)</x:f>
        <x:v>583192.99750178</x:v>
      </x:c>
      <x:c r="M2" s="31" t="n">
        <x:f>IF(E2=0,"",I2-L2)</x:f>
        <x:v>315873.6875418194</x:v>
      </x:c>
      <x:c r="N2" s="32" t="n">
        <x:f>IF(L2=0,"",I2/L2)</x:f>
        <x:v>1.5416280526256751</x:v>
      </x:c>
      <x:c r="O2" s="34" t="n">
        <x:f>IF(L2=0,"",M2/L2)</x:f>
        <x:v>0.5416280526256753</x:v>
      </x:c>
    </x:row>
    <x:row r="3" ht="18" customHeight="1">
      <x:c r="A3" s="24" t="str">
        <x:v>Herring-likes</x:v>
      </x:c>
      <x:c r="B3" s="33" t="n">
        <x:v>3</x:v>
      </x:c>
      <x:c r="C3" s="33" t="n">
        <x:v>3</x:v>
      </x:c>
      <x:c r="D3" s="31" t="n">
        <x:v>2712.0468893899997</x:v>
      </x:c>
      <x:c r="E3" s="31" t="n">
        <x:v>2712.0468893899997</x:v>
      </x:c>
      <x:c r="F3" s="32" t="n">
        <x:v>0</x:v>
      </x:c>
      <x:c r="G3" s="34" t="n">
        <x:v>1</x:v>
      </x:c>
      <x:c r="H3" s="32" t="n">
        <x:f>IF(E3=0,"",I3/E3)</x:f>
        <x:v>1616.7781008631214</x:v>
      </x:c>
      <x:c r="I3" s="31" t="n">
        <x:f>IF(C3=0,"",SUMIF('Species'!$H$2:$H$34,A3,'Species'!$U$2:$U$34))</x:f>
        <x:v>4384778.0192797</x:v>
      </x:c>
      <x:c r="J3" s="32" t="n">
        <x:v>3.855599692132984</x:v>
      </x:c>
      <x:c r="K3" s="32" t="n">
        <x:f>IF(J3="","",(1/'Metadata'!$B$5)^(J3-1))</x:f>
        <x:v>717.1329742891456</x:v>
      </x:c>
      <x:c r="L3" s="31" t="n">
        <x:f>IF(E3=0,"",E3*K3)</x:f>
        <x:v>1944898.2521998761</x:v>
      </x:c>
      <x:c r="M3" s="31" t="n">
        <x:f>IF(E3=0,"",I3-L3)</x:f>
        <x:v>2439879.7670798237</x:v>
      </x:c>
      <x:c r="N3" s="32" t="n">
        <x:f>IF(L3=0,"",I3/L3)</x:f>
        <x:v>2.2545025243968797</x:v>
      </x:c>
      <x:c r="O3" s="34" t="n">
        <x:f>IF(L3=0,"",M3/L3)</x:f>
        <x:v>1.2545025243968797</x:v>
      </x:c>
    </x:row>
    <x:row r="4" ht="18" customHeight="1">
      <x:c r="A4" s="24" t="str">
        <x:v>Molluscs</x:v>
      </x:c>
      <x:c r="B4" s="33" t="n">
        <x:v>2</x:v>
      </x:c>
      <x:c r="C4" s="33" t="n">
        <x:v>2</x:v>
      </x:c>
      <x:c r="D4" s="31" t="n">
        <x:v>4886.8078463299</x:v>
      </x:c>
      <x:c r="E4" s="31" t="n">
        <x:v>4886.8078463299</x:v>
      </x:c>
      <x:c r="F4" s="32" t="n">
        <x:v>0</x:v>
      </x:c>
      <x:c r="G4" s="34" t="n">
        <x:v>1</x:v>
      </x:c>
      <x:c r="H4" s="32" t="n">
        <x:f>IF(E4=0,"",I4/E4)</x:f>
        <x:v>10.642846594819098</x:v>
      </x:c>
      <x:c r="I4" s="31" t="n">
        <x:f>IF(C4=0,"",SUMIF('Species'!$H$2:$H$34,A4,'Species'!$U$2:$U$34))</x:f>
        <x:v>52009.54624684742</x:v>
      </x:c>
      <x:c r="J4" s="32" t="n">
        <x:v>2.022255312395178</x:v>
      </x:c>
      <x:c r="K4" s="32" t="n">
        <x:f>IF(J4="","",(1/'Metadata'!$B$5)^(J4-1))</x:f>
        <x:v>10.525804814228891</x:v>
      </x:c>
      <x:c r="L4" s="31" t="n">
        <x:f>IF(E4=0,"",E4*K4)</x:f>
        <x:v>51437.58555511078</x:v>
      </x:c>
      <x:c r="M4" s="31" t="n">
        <x:f>IF(E4=0,"",I4-L4)</x:f>
        <x:v>571.96069173664</x:v>
      </x:c>
      <x:c r="N4" s="32" t="n">
        <x:f>IF(L4=0,"",I4/L4)</x:f>
        <x:v>1.0111195089264802</x:v>
      </x:c>
      <x:c r="O4" s="34" t="n">
        <x:f>IF(L4=0,"",M4/L4)</x:f>
        <x:v>0.011119508926480136</x:v>
      </x:c>
    </x:row>
    <x:row r="5" ht="18" customHeight="1">
      <x:c r="A5" s="24" t="str">
        <x:v>Other fishes &amp; inverts</x:v>
      </x:c>
      <x:c r="B5" s="33" t="n">
        <x:v>4</x:v>
      </x:c>
      <x:c r="C5" s="33" t="n">
        <x:v>4</x:v>
      </x:c>
      <x:c r="D5" s="31" t="n">
        <x:v>1493.826375077</x:v>
      </x:c>
      <x:c r="E5" s="31" t="n">
        <x:v>1493.826375077</x:v>
      </x:c>
      <x:c r="F5" s="32" t="n">
        <x:v>0</x:v>
      </x:c>
      <x:c r="G5" s="34" t="n">
        <x:v>1</x:v>
      </x:c>
      <x:c r="H5" s="32" t="n">
        <x:f>IF(E5=0,"",I5/E5)</x:f>
        <x:v>156.52348447005136</x:v>
      </x:c>
      <x:c r="I5" s="31" t="n">
        <x:f>IF(C5=0,"",SUMIF('Species'!$H$2:$H$34,A5,'Species'!$U$2:$U$34))</x:f>
        <x:v>233818.9094203179</x:v>
      </x:c>
      <x:c r="J5" s="32" t="n">
        <x:v>3.0395014197358394</x:v>
      </x:c>
      <x:c r="K5" s="32" t="n">
        <x:f>IF(J5="","",(1/'Metadata'!$B$5)^(J5-1))</x:f>
        <x:v>109.52201357040462</x:v>
      </x:c>
      <x:c r="L5" s="31" t="n">
        <x:f>IF(E5=0,"",E5*K5)</x:f>
        <x:v>163606.87252301155</x:v>
      </x:c>
      <x:c r="M5" s="31" t="n">
        <x:f>IF(E5=0,"",I5-L5)</x:f>
        <x:v>70212.03689730636</x:v>
      </x:c>
      <x:c r="N5" s="32" t="n">
        <x:f>IF(L5=0,"",I5/L5)</x:f>
        <x:v>1.4291509018817712</x:v>
      </x:c>
      <x:c r="O5" s="34" t="n">
        <x:f>IF(L5=0,"",M5/L5)</x:f>
        <x:v>0.4291509018817711</x:v>
      </x:c>
    </x:row>
    <x:row r="6" ht="18" customHeight="1">
      <x:c r="A6" s="24" t="str">
        <x:v>Perch-likes</x:v>
      </x:c>
      <x:c r="B6" s="33" t="n">
        <x:v>16</x:v>
      </x:c>
      <x:c r="C6" s="33" t="n">
        <x:v>16</x:v>
      </x:c>
      <x:c r="D6" s="31" t="n">
        <x:v>8671.026495647598</x:v>
      </x:c>
      <x:c r="E6" s="31" t="n">
        <x:v>8671.026495647598</x:v>
      </x:c>
      <x:c r="F6" s="32" t="n">
        <x:v>0</x:v>
      </x:c>
      <x:c r="G6" s="34" t="n">
        <x:v>1</x:v>
      </x:c>
      <x:c r="H6" s="32" t="n">
        <x:f>IF(E6=0,"",I6/E6)</x:f>
        <x:v>711.3665522437618</x:v>
      </x:c>
      <x:c r="I6" s="31" t="n">
        <x:f>IF(C6=0,"",SUMIF('Species'!$H$2:$H$34,A6,'Species'!$U$2:$U$34))</x:f>
        <x:v>6168278.222623141</x:v>
      </x:c>
      <x:c r="J6" s="32" t="n">
        <x:v>3.6464991681513186</x:v>
      </x:c>
      <x:c r="K6" s="32" t="n">
        <x:f>IF(J6="","",(1/'Metadata'!$B$5)^(J6-1))</x:f>
        <x:v>443.0973657787399</x:v>
      </x:c>
      <x:c r="L6" s="31" t="n">
        <x:f>IF(E6=0,"",E6*K6)</x:f>
        <x:v>3842108.998819109</x:v>
      </x:c>
      <x:c r="M6" s="31" t="n">
        <x:f>IF(E6=0,"",I6-L6)</x:f>
        <x:v>2326169.2238040315</x:v>
      </x:c>
      <x:c r="N6" s="32" t="n">
        <x:f>IF(L6=0,"",I6/L6)</x:f>
        <x:v>1.605440716158493</x:v>
      </x:c>
      <x:c r="O6" s="34" t="n">
        <x:f>IF(L6=0,"",M6/L6)</x:f>
        <x:v>0.6054407161584929</x:v>
      </x:c>
    </x:row>
    <x:row r="7" ht="18" customHeight="1">
      <x:c r="A7" s="24" t="str">
        <x:v>Sharks &amp; rays</x:v>
      </x:c>
      <x:c r="B7" s="33" t="n">
        <x:v>2</x:v>
      </x:c>
      <x:c r="C7" s="33" t="n">
        <x:v>2</x:v>
      </x:c>
      <x:c r="D7" s="31" t="n">
        <x:v>1419.9509521299</x:v>
      </x:c>
      <x:c r="E7" s="31" t="n">
        <x:v>1419.9509521299</x:v>
      </x:c>
      <x:c r="F7" s="32" t="n">
        <x:v>0</x:v>
      </x:c>
      <x:c r="G7" s="34" t="n">
        <x:v>1</x:v>
      </x:c>
      <x:c r="H7" s="32" t="n">
        <x:f>IF(E7=0,"",I7/E7)</x:f>
        <x:v>704.2080009994377</x:v>
      </x:c>
      <x:c r="I7" s="31" t="n">
        <x:f>IF(C7=0,"",SUMIF('Species'!$H$2:$H$34,A7,'Species'!$U$2:$U$34))</x:f>
        <x:v>999940.8215166451</x:v>
      </x:c>
      <x:c r="J7" s="32" t="n">
        <x:v>3.7927556972200684</x:v>
      </x:c>
      <x:c r="K7" s="32" t="n">
        <x:f>IF(J7="","",(1/'Metadata'!$B$5)^(J7-1))</x:f>
        <x:v>620.5198762664577</x:v>
      </x:c>
      <x:c r="L7" s="31" t="n">
        <x:f>IF(E7=0,"",E7*K7)</x:f>
        <x:v>881107.7891200844</x:v>
      </x:c>
      <x:c r="M7" s="31" t="n">
        <x:f>IF(E7=0,"",I7-L7)</x:f>
        <x:v>118833.03239656077</x:v>
      </x:c>
      <x:c r="N7" s="32" t="n">
        <x:f>IF(L7=0,"",I7/L7)</x:f>
        <x:v>1.134867758364993</x:v>
      </x:c>
      <x:c r="O7" s="34" t="n">
        <x:f>IF(L7=0,"",M7/L7)</x:f>
        <x:v>0.134867758364993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184fbf7def54c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</x:v>
      </x:c>
      <x:c r="C2" s="33" t="n">
        <x:v>1</x:v>
      </x:c>
      <x:c r="D2" s="31" t="n">
        <x:v>200.9430222802</x:v>
      </x:c>
      <x:c r="E2" s="31" t="n">
        <x:v>200.9430222802</x:v>
      </x:c>
      <x:c r="F2" s="32" t="n">
        <x:v>0</x:v>
      </x:c>
      <x:c r="G2" s="34" t="n">
        <x:v>1</x:v>
      </x:c>
      <x:c r="H2" s="32" t="n">
        <x:f>IF(E2=0,"",I2/E2)</x:f>
        <x:v>2238.7211385683377</x:v>
      </x:c>
      <x:c r="I2" s="31" t="n">
        <x:f>IF(C2=0,"",SUMIF('Species'!$G$2:$G$34,A2,'Species'!$U$2:$U$34))</x:f>
        <x:v>449855.3916264922</x:v>
      </x:c>
      <x:c r="J2" s="32" t="n">
        <x:v>4.35</x:v>
      </x:c>
      <x:c r="K2" s="32" t="n">
        <x:f>IF(J2="","",(1/'Metadata'!$B$5)^(J2-1))</x:f>
        <x:v>2238.7211385683377</x:v>
      </x:c>
      <x:c r="L2" s="31" t="n">
        <x:f>IF(E2=0,"",E2*K2)</x:f>
        <x:v>449855.3916264922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rays (&gt;=90 cm)</x:v>
      </x:c>
      <x:c r="B3" s="33" t="n">
        <x:v>1</x:v>
      </x:c>
      <x:c r="C3" s="33" t="n">
        <x:v>1</x:v>
      </x:c>
      <x:c r="D3" s="31" t="n">
        <x:v>830.1688469599001</x:v>
      </x:c>
      <x:c r="E3" s="31" t="n">
        <x:v>830.1688469599001</x:v>
      </x:c>
      <x:c r="F3" s="32" t="n">
        <x:v>0</x:v>
      </x:c>
      <x:c r="G3" s="34" t="n">
        <x:v>1</x:v>
      </x:c>
      <x:c r="H3" s="32" t="n">
        <x:f>IF(E3=0,"",I3/E3)</x:f>
        <x:v>407.3802778041126</x:v>
      </x:c>
      <x:c r="I3" s="31" t="n">
        <x:f>IF(C3=0,"",SUMIF('Species'!$G$2:$G$34,A3,'Species'!$U$2:$U$34))</x:f>
        <x:v>338194.41549884394</x:v>
      </x:c>
      <x:c r="J3" s="32" t="n">
        <x:v>3.61</x:v>
      </x:c>
      <x:c r="K3" s="32" t="n">
        <x:f>IF(J3="","",(1/'Metadata'!$B$5)^(J3-1))</x:f>
        <x:v>407.3802778041126</x:v>
      </x:c>
      <x:c r="L3" s="31" t="n">
        <x:f>IF(E3=0,"",E3*K3)</x:f>
        <x:v>338194.41549884394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15</x:v>
      </x:c>
      <x:c r="E4" s="31" t="n">
        <x:v>15</x:v>
      </x:c>
      <x:c r="F4" s="32" t="n">
        <x:v>0</x:v>
      </x:c>
      <x:c r="G4" s="34" t="n">
        <x:v>1</x:v>
      </x:c>
      <x:c r="H4" s="32" t="n">
        <x:f>IF(E4=0,"",I4/E4)</x:f>
        <x:v>1148.1536214968817</x:v>
      </x:c>
      <x:c r="I4" s="31" t="n">
        <x:f>IF(C4=0,"",SUMIF('Species'!$G$2:$G$34,A4,'Species'!$U$2:$U$34))</x:f>
        <x:v>17222.304322453227</x:v>
      </x:c>
      <x:c r="J4" s="32" t="n">
        <x:v>4.06</x:v>
      </x:c>
      <x:c r="K4" s="32" t="n">
        <x:f>IF(J4="","",(1/'Metadata'!$B$5)^(J4-1))</x:f>
        <x:v>1148.1536214968817</x:v>
      </x:c>
      <x:c r="L4" s="31" t="n">
        <x:f>IF(E4=0,"",E4*K4)</x:f>
        <x:v>17222.304322453227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sharks (&gt;=90 cm)</x:v>
      </x:c>
      <x:c r="B5" s="33" t="n">
        <x:v>1</x:v>
      </x:c>
      <x:c r="C5" s="33" t="n">
        <x:v>1</x:v>
      </x:c>
      <x:c r="D5" s="31" t="n">
        <x:v>589.78210517</x:v>
      </x:c>
      <x:c r="E5" s="31" t="n">
        <x:v>589.78210517</x:v>
      </x:c>
      <x:c r="F5" s="32" t="n">
        <x:v>0</x:v>
      </x:c>
      <x:c r="G5" s="34" t="n">
        <x:v>1</x:v>
      </x:c>
      <x:c r="H5" s="32" t="n">
        <x:f>IF(E5=0,"",I5/E5)</x:f>
        <x:v>1122.018454301963</x:v>
      </x:c>
      <x:c r="I5" s="31" t="n">
        <x:f>IF(C5=0,"",SUMIF('Species'!$G$2:$G$34,A5,'Species'!$U$2:$U$34))</x:f>
        <x:v>661746.4060178011</x:v>
      </x:c>
      <x:c r="J5" s="32" t="n">
        <x:v>4.05</x:v>
      </x:c>
      <x:c r="K5" s="32" t="n">
        <x:f>IF(J5="","",(1/'Metadata'!$B$5)^(J5-1))</x:f>
        <x:v>1122.018454301963</x:v>
      </x:c>
      <x:c r="L5" s="31" t="n">
        <x:f>IF(E5=0,"",E5*K5)</x:f>
        <x:v>661746.4060178011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5</x:v>
      </x:c>
      <x:c r="C6" s="33" t="n">
        <x:v>5</x:v>
      </x:c>
      <x:c r="D6" s="31" t="n">
        <x:v>4451.0808172041</x:v>
      </x:c>
      <x:c r="E6" s="31" t="n">
        <x:v>4451.0808172041</x:v>
      </x:c>
      <x:c r="F6" s="32" t="n">
        <x:v>0</x:v>
      </x:c>
      <x:c r="G6" s="34" t="n">
        <x:v>1</x:v>
      </x:c>
      <x:c r="H6" s="32" t="n">
        <x:f>IF(E6=0,"",I6/E6)</x:f>
        <x:v>199.85550852454887</x:v>
      </x:c>
      <x:c r="I6" s="31" t="n">
        <x:f>IF(C6=0,"",SUMIF('Species'!$G$2:$G$34,A6,'Species'!$U$2:$U$34))</x:f>
        <x:v>889573.02020619</x:v>
      </x:c>
      <x:c r="J6" s="32" t="n">
        <x:v>3.1931170933815207</x:v>
      </x:c>
      <x:c r="K6" s="32" t="n">
        <x:f>IF(J6="","",(1/'Metadata'!$B$5)^(J6-1))</x:f>
        <x:v>155.99730421243734</x:v>
      </x:c>
      <x:c r="L6" s="31" t="n">
        <x:f>IF(E6=0,"",E6*K6)</x:f>
        <x:v>694356.6083155322</x:v>
      </x:c>
      <x:c r="M6" s="31" t="n">
        <x:f>IF(E6=0,"",I6-L6)</x:f>
        <x:v>195216.41189065774</x:v>
      </x:c>
      <x:c r="N6" s="32" t="n">
        <x:f>IF(L6=0,"",I6/L6)</x:f>
        <x:v>1.2811471937514085</x:v>
      </x:c>
      <x:c r="O6" s="34" t="n">
        <x:f>IF(L6=0,"",M6/L6)</x:f>
        <x:v>0.2811471937514084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97.84096693709999</x:v>
      </x:c>
      <x:c r="E7" s="31" t="n">
        <x:v>97.84096693709999</x:v>
      </x:c>
      <x:c r="F7" s="32" t="n">
        <x:v>0</x:v>
      </x:c>
      <x:c r="G7" s="34" t="n">
        <x:v>1</x:v>
      </x:c>
      <x:c r="H7" s="32" t="n">
        <x:f>IF(E7=0,"",I7/E7)</x:f>
        <x:v>204.17379446695296</x:v>
      </x:c>
      <x:c r="I7" s="31" t="n">
        <x:f>IF(C7=0,"",SUMIF('Species'!$G$2:$G$34,A7,'Species'!$U$2:$U$34))</x:f>
        <x:v>19976.561473863392</x:v>
      </x:c>
      <x:c r="J7" s="32" t="n">
        <x:v>3.31</x:v>
      </x:c>
      <x:c r="K7" s="32" t="n">
        <x:f>IF(J7="","",(1/'Metadata'!$B$5)^(J7-1))</x:f>
        <x:v>204.17379446695296</x:v>
      </x:c>
      <x:c r="L7" s="31" t="n">
        <x:f>IF(E7=0,"",E7*K7)</x:f>
        <x:v>19976.561473863392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3</x:v>
      </x:c>
      <x:c r="C8" s="33" t="n">
        <x:v>3</x:v>
      </x:c>
      <x:c r="D8" s="31" t="n">
        <x:v>2873.6383393538</x:v>
      </x:c>
      <x:c r="E8" s="31" t="n">
        <x:v>2873.6383393538</x:v>
      </x:c>
      <x:c r="F8" s="32" t="n">
        <x:v>0</x:v>
      </x:c>
      <x:c r="G8" s="34" t="n">
        <x:v>1</x:v>
      </x:c>
      <x:c r="H8" s="32" t="n">
        <x:f>IF(E8=0,"",I8/E8)</x:f>
        <x:v>218.66920980172102</x:v>
      </x:c>
      <x:c r="I8" s="31" t="n">
        <x:f>IF(C8=0,"",SUMIF('Species'!$G$2:$G$34,A8,'Species'!$U$2:$U$34))</x:f>
        <x:v>628376.2249224252</x:v>
      </x:c>
      <x:c r="J8" s="32" t="n">
        <x:v>3.3347580274244204</x:v>
      </x:c>
      <x:c r="K8" s="32" t="n">
        <x:f>IF(J8="","",(1/'Metadata'!$B$5)^(J8-1))</x:f>
        <x:v>216.1513873809546</x:v>
      </x:c>
      <x:c r="L8" s="31" t="n">
        <x:f>IF(E8=0,"",E8*K8)</x:f>
        <x:v>621140.9138824262</x:v>
      </x:c>
      <x:c r="M8" s="31" t="n">
        <x:f>IF(E8=0,"",I8-L8)</x:f>
        <x:v>7235.311039999011</x:v>
      </x:c>
      <x:c r="N8" s="32" t="n">
        <x:f>IF(L8=0,"",I8/L8)</x:f>
        <x:v>1.0116484212813721</x:v>
      </x:c>
      <x:c r="O8" s="34" t="n">
        <x:f>IF(L8=0,"",M8/L8)</x:f>
        <x:v>0.011648421281372168</x:v>
      </x:c>
    </x:row>
    <x:row r="9" ht="18" customHeight="1">
      <x:c r="A9" s="24" t="str">
        <x:v>Medium pelagics (30 - 89 cm)</x:v>
      </x:c>
      <x:c r="B9" s="33" t="n">
        <x:v>2</x:v>
      </x:c>
      <x:c r="C9" s="33" t="n">
        <x:v>2</x:v>
      </x:c>
      <x:c r="D9" s="31" t="n">
        <x:v>960.53543034</x:v>
      </x:c>
      <x:c r="E9" s="31" t="n">
        <x:v>960.53543034</x:v>
      </x:c>
      <x:c r="F9" s="32" t="n">
        <x:v>0</x:v>
      </x:c>
      <x:c r="G9" s="34" t="n">
        <x:v>1</x:v>
      </x:c>
      <x:c r="H9" s="32" t="n">
        <x:f>IF(E9=0,"",I9/E9)</x:f>
        <x:v>1811.233065949174</x:v>
      </x:c>
      <x:c r="I9" s="31" t="n">
        <x:f>IF(C9=0,"",SUMIF('Species'!$G$2:$G$34,A9,'Species'!$U$2:$U$34))</x:f>
        <x:v>1739753.5324475274</x:v>
      </x:c>
      <x:c r="J9" s="32" t="n">
        <x:v>4.257451223582836</x:v>
      </x:c>
      <x:c r="K9" s="32" t="n">
        <x:f>IF(J9="","",(1/'Metadata'!$B$5)^(J9-1))</x:f>
        <x:v>1809.052720784022</x:v>
      </x:c>
      <x:c r="L9" s="31" t="n">
        <x:f>IF(E9=0,"",E9*K9)</x:f>
        <x:v>1737659.2336660284</x:v>
      </x:c>
      <x:c r="M9" s="31" t="n">
        <x:f>IF(E9=0,"",I9-L9)</x:f>
        <x:v>2094.298781499034</x:v>
      </x:c>
      <x:c r="N9" s="32" t="n">
        <x:f>IF(L9=0,"",I9/L9)</x:f>
        <x:v>1.0012052413620136</x:v>
      </x:c>
      <x:c r="O9" s="34" t="n">
        <x:f>IF(L9=0,"",M9/L9)</x:f>
        <x:v>0.0012052413620135317</x:v>
      </x:c>
    </x:row>
    <x:row r="10" ht="18" customHeight="1">
      <x:c r="A10" s="24" t="str">
        <x:v>Medium reef assoc. fish (30 - 89 cm)</x:v>
      </x:c>
      <x:c r="B10" s="33" t="n">
        <x:v>8</x:v>
      </x:c>
      <x:c r="C10" s="33" t="n">
        <x:v>8</x:v>
      </x:c>
      <x:c r="D10" s="31" t="n">
        <x:v>3976.7663419003</x:v>
      </x:c>
      <x:c r="E10" s="31" t="n">
        <x:v>3976.7663419003</x:v>
      </x:c>
      <x:c r="F10" s="32" t="n">
        <x:v>0</x:v>
      </x:c>
      <x:c r="G10" s="34" t="n">
        <x:v>1</x:v>
      </x:c>
      <x:c r="H10" s="32" t="n">
        <x:f>IF(E10=0,"",I10/E10)</x:f>
        <x:v>843.8089575844089</x:v>
      </x:c>
      <x:c r="I10" s="31" t="n">
        <x:f>IF(C10=0,"",SUMIF('Species'!$G$2:$G$34,A10,'Species'!$U$2:$U$34))</x:f>
        <x:v>3355631.0615156554</x:v>
      </x:c>
      <x:c r="J10" s="32" t="n">
        <x:v>3.856253510736868</x:v>
      </x:c>
      <x:c r="K10" s="32" t="n">
        <x:f>IF(J10="","",(1/'Metadata'!$B$5)^(J10-1))</x:f>
        <x:v>718.2134116790063</x:v>
      </x:c>
      <x:c r="L10" s="31" t="n">
        <x:f>IF(E10=0,"",E10*K10)</x:f>
        <x:v>2856166.921866456</x:v>
      </x:c>
      <x:c r="M10" s="31" t="n">
        <x:f>IF(E10=0,"",I10-L10)</x:f>
        <x:v>499464.1396491993</x:v>
      </x:c>
      <x:c r="N10" s="32" t="n">
        <x:f>IF(L10=0,"",I10/L10)</x:f>
        <x:v>1.1748721812529108</x:v>
      </x:c>
      <x:c r="O10" s="34" t="n">
        <x:f>IF(L10=0,"",M10/L10)</x:f>
        <x:v>0.17487218125291085</x:v>
      </x:c>
    </x:row>
    <x:row r="11" ht="18" customHeight="1">
      <x:c r="A11" s="24" t="str">
        <x:v>Other demersal invertebrates</x:v>
      </x:c>
      <x:c r="B11" s="33" t="n">
        <x:v>5</x:v>
      </x:c>
      <x:c r="C11" s="33" t="n">
        <x:v>5</x:v>
      </x:c>
      <x:c r="D11" s="31" t="n">
        <x:v>5168.6280972431</x:v>
      </x:c>
      <x:c r="E11" s="31" t="n">
        <x:v>5168.6280972431</x:v>
      </x:c>
      <x:c r="F11" s="32" t="n">
        <x:v>0</x:v>
      </x:c>
      <x:c r="G11" s="34" t="n">
        <x:v>1</x:v>
      </x:c>
      <x:c r="H11" s="32" t="n">
        <x:f>IF(E11=0,"",I11/E11)</x:f>
        <x:v>10.618958973647208</x:v>
      </x:c>
      <x:c r="I11" s="31" t="n">
        <x:f>IF(C11=0,"",SUMIF('Species'!$G$2:$G$34,A11,'Species'!$U$2:$U$34))</x:f>
        <x:v>54885.44971466471</x:v>
      </x:c>
      <x:c r="J11" s="32" t="n">
        <x:v>2.021325626832349</x:v>
      </x:c>
      <x:c r="K11" s="32" t="n">
        <x:f>IF(J11="","",(1/'Metadata'!$B$5)^(J11-1))</x:f>
        <x:v>10.503296533245798</x:v>
      </x:c>
      <x:c r="L11" s="31" t="n">
        <x:f>IF(E11=0,"",E11*K11)</x:f>
        <x:v>54287.63357541028</x:v>
      </x:c>
      <x:c r="M11" s="31" t="n">
        <x:f>IF(E11=0,"",I11-L11)</x:f>
        <x:v>597.8161392544353</x:v>
      </x:c>
      <x:c r="N11" s="32" t="n">
        <x:f>IF(L11=0,"",I11/L11)</x:f>
        <x:v>1.01101201323178</x:v>
      </x:c>
      <x:c r="O11" s="34" t="n">
        <x:f>IF(L11=0,"",M11/L11)</x:f>
        <x:v>0.011012013231779872</x:v>
      </x:c>
    </x:row>
    <x:row r="12" ht="18" customHeight="1">
      <x:c r="A12" s="24" t="str">
        <x:v>Shrimps</x:v>
      </x:c>
      <x:c r="B12" s="33" t="n">
        <x:v>1</x:v>
      </x:c>
      <x:c r="C12" s="33" t="n">
        <x:v>1</x:v>
      </x:c>
      <x:c r="D12" s="31" t="n">
        <x:v>672.1</x:v>
      </x:c>
      <x:c r="E12" s="31" t="n">
        <x:v>672.1</x:v>
      </x:c>
      <x:c r="F12" s="32" t="n">
        <x:v>0</x:v>
      </x:c>
      <x:c r="G12" s="34" t="n">
        <x:v>1</x:v>
      </x:c>
      <x:c r="H12" s="32" t="n">
        <x:f>IF(E12=0,"",I12/E12)</x:f>
        <x:v>14.125375446227538</x:v>
      </x:c>
      <x:c r="I12" s="31" t="n">
        <x:f>IF(C12=0,"",SUMIF('Species'!$G$2:$G$34,A12,'Species'!$U$2:$U$34))</x:f>
        <x:v>9493.66483740953</x:v>
      </x:c>
      <x:c r="J12" s="32" t="n">
        <x:v>2.15</x:v>
      </x:c>
      <x:c r="K12" s="32" t="n">
        <x:f>IF(J12="","",(1/'Metadata'!$B$5)^(J12-1))</x:f>
        <x:v>14.12537544622754</x:v>
      </x:c>
      <x:c r="L12" s="31" t="n">
        <x:f>IF(E12=0,"",E12*K12)</x:f>
        <x:v>9493.66483740953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benthopelagics (&lt;30 cm)</x:v>
      </x:c>
      <x:c r="B13" s="33" t="n">
        <x:v>1</x:v>
      </x:c>
      <x:c r="C13" s="33" t="n">
        <x:v>1</x:v>
      </x:c>
      <x:c r="D13" s="31" t="n">
        <x:v>1758.308519</x:v>
      </x:c>
      <x:c r="E13" s="31" t="n">
        <x:v>1758.308519</x:v>
      </x:c>
      <x:c r="F13" s="32" t="n">
        <x:v>0</x:v>
      </x:c>
      <x:c r="G13" s="34" t="n">
        <x:v>1</x:v>
      </x:c>
      <x:c r="H13" s="32" t="n">
        <x:f>IF(E13=0,"",I13/E13)</x:f>
        <x:v>107.1519305237606</x:v>
      </x:c>
      <x:c r="I13" s="31" t="n">
        <x:f>IF(C13=0,"",SUMIF('Species'!$G$2:$G$34,A13,'Species'!$U$2:$U$34))</x:f>
        <x:v>188406.1522672244</x:v>
      </x:c>
      <x:c r="J13" s="32" t="n">
        <x:v>3.03</x:v>
      </x:c>
      <x:c r="K13" s="32" t="n">
        <x:f>IF(J13="","",(1/'Metadata'!$B$5)^(J13-1))</x:f>
        <x:v>107.1519305237606</x:v>
      </x:c>
      <x:c r="L13" s="31" t="n">
        <x:f>IF(E13=0,"",E13*K13)</x:f>
        <x:v>188406.1522672244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pelagics (&lt;30 cm)</x:v>
      </x:c>
      <x:c r="B14" s="33" t="n">
        <x:v>3</x:v>
      </x:c>
      <x:c r="C14" s="33" t="n">
        <x:v>3</x:v>
      </x:c>
      <x:c r="D14" s="31" t="n">
        <x:v>2712.0468893899997</x:v>
      </x:c>
      <x:c r="E14" s="31" t="n">
        <x:v>2712.0468893899997</x:v>
      </x:c>
      <x:c r="F14" s="32" t="n">
        <x:v>0</x:v>
      </x:c>
      <x:c r="G14" s="34" t="n">
        <x:v>1</x:v>
      </x:c>
      <x:c r="H14" s="32" t="n">
        <x:f>IF(E14=0,"",I14/E14)</x:f>
        <x:v>1616.7781008631214</x:v>
      </x:c>
      <x:c r="I14" s="31" t="n">
        <x:f>IF(C14=0,"",SUMIF('Species'!$G$2:$G$34,A14,'Species'!$U$2:$U$34))</x:f>
        <x:v>4384778.0192797</x:v>
      </x:c>
      <x:c r="J14" s="32" t="n">
        <x:v>3.855599692132984</x:v>
      </x:c>
      <x:c r="K14" s="32" t="n">
        <x:f>IF(J14="","",(1/'Metadata'!$B$5)^(J14-1))</x:f>
        <x:v>717.1329742891456</x:v>
      </x:c>
      <x:c r="L14" s="31" t="n">
        <x:f>IF(E14=0,"",E14*K14)</x:f>
        <x:v>1944898.2521998761</x:v>
      </x:c>
      <x:c r="M14" s="31" t="n">
        <x:f>IF(E14=0,"",I14-L14)</x:f>
        <x:v>2439879.7670798237</x:v>
      </x:c>
      <x:c r="N14" s="32" t="n">
        <x:f>IF(L14=0,"",I14/L14)</x:f>
        <x:v>2.2545025243968797</x:v>
      </x:c>
      <x:c r="O14" s="34" t="n">
        <x:f>IF(L14=0,"",M14/L14)</x:f>
        <x:v>1.2545025243968797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7b3f15bbb07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EEZ_192</x:v>
      </x:c>
      <x:c r="B2" s="24" t="str">
        <x:v>raw_filtered_tonnes</x:v>
      </x:c>
      <x:c r="C2" s="24" t="n">
        <x:v>24306.8393757785</x:v>
      </x:c>
      <x:c r="D2" s="24" t="str">
        <x:v>tonnes</x:v>
      </x:c>
    </x:row>
    <x:row r="3" ht="18" customHeight="1">
      <x:c r="A3" s="24" t="str">
        <x:v>EEZ_192</x:v>
      </x:c>
      <x:c r="B3" s="24" t="str">
        <x:v>species_catch_tonnes</x:v>
      </x:c>
      <x:c r="C3" s="24" t="n">
        <x:v>24306.8393757785</x:v>
      </x:c>
      <x:c r="D3" s="24" t="str">
        <x:v>tonnes</x:v>
      </x:c>
    </x:row>
    <x:row r="4" ht="18" customHeight="1">
      <x:c r="A4" s="24" t="str">
        <x:v>EEZ_192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EEZ_192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EEZ_192</x:v>
      </x:c>
      <x:c r="B6" s="24" t="str">
        <x:v>matched_catch_tonnes</x:v>
      </x:c>
      <x:c r="C6" s="24" t="n">
        <x:v>24306.8393757785</x:v>
      </x:c>
      <x:c r="D6" s="24" t="str">
        <x:v>tonnes</x:v>
      </x:c>
    </x:row>
    <x:row r="7" ht="18" customHeight="1">
      <x:c r="A7" s="24" t="str">
        <x:v>EEZ_192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EEZ_192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EEZ_192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EEZ_192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EEZ_192</x:v>
      </x:c>
      <x:c r="B11" s="24" t="str">
        <x:v>species_ppr</x:v>
      </x:c>
      <x:c r="C11" s="24" t="n">
        <x:v>12737892.20413025</x:v>
      </x:c>
      <x:c r="D11" s="24" t="str">
        <x:v>tonnes_primary_production_equivalent</x:v>
      </x:c>
    </x:row>
    <x:row r="12" ht="18" customHeight="1">
      <x:c r="A12" s="24" t="str">
        <x:v>EEZ_192</x:v>
      </x:c>
      <x:c r="B12" s="24" t="str">
        <x:v>commercial_ppr</x:v>
      </x:c>
      <x:c r="C12" s="24" t="n">
        <x:v>12737892.204130247</x:v>
      </x:c>
      <x:c r="D12" s="24" t="str">
        <x:v>tonnes_primary_production_equivalent</x:v>
      </x:c>
    </x:row>
    <x:row r="13" ht="18" customHeight="1">
      <x:c r="A13" s="24" t="str">
        <x:v>EEZ_192</x:v>
      </x:c>
      <x:c r="B13" s="24" t="str">
        <x:v>functional_ppr</x:v>
      </x:c>
      <x:c r="C13" s="24" t="n">
        <x:v>12737892.204130251</x:v>
      </x:c>
      <x:c r="D13" s="24" t="str">
        <x:v>tonnes_primary_production_equivalent</x:v>
      </x:c>
    </x:row>
    <x:row r="14" ht="18" customHeight="1">
      <x:c r="A14" s="24" t="str">
        <x:v>EEZ_192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EEZ_192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EEZ_192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EEZ_192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EEZ_192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EEZ_192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7968963fb2f45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EEZ_192 - Cuba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EEZ_192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raw_data/SAU_downloads/EEZ_192-catch.zip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