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d9a0410adb49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e98dcff94894434e"/>
    <x:sheet xmlns:r="http://schemas.openxmlformats.org/officeDocument/2006/relationships" name="Commercial" sheetId="2" r:id="R1d0bdf0015044b45"/>
    <x:sheet xmlns:r="http://schemas.openxmlformats.org/officeDocument/2006/relationships" name="Functional" sheetId="3" r:id="R01d9097208694f77"/>
    <x:sheet xmlns:r="http://schemas.openxmlformats.org/officeDocument/2006/relationships" name="Missing TL" sheetId="4" r:id="R37a8c27759e140a1"/>
    <x:sheet xmlns:r="http://schemas.openxmlformats.org/officeDocument/2006/relationships" name="Validation" sheetId="5" r:id="R8c9622e15ff2461a"/>
    <x:sheet xmlns:r="http://schemas.openxmlformats.org/officeDocument/2006/relationships" name="Metadata" sheetId="6" r:id="Rc1cf0f932b5949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e1921948994ea6" /><Relationship Type="http://schemas.openxmlformats.org/officeDocument/2006/relationships/theme" Target="/xl/theme/theme1.xml" Id="R9e63ad4173c14b7d" /><Relationship Type="http://schemas.microsoft.com/office/2022/11/relationships/FeaturePropertyBag" Target="/xl/featurePropertyBag/featurePropertyBag.xml" Id="R56aba155c1eb426e" /><Relationship Type="http://schemas.openxmlformats.org/officeDocument/2006/relationships/sharedStrings" Target="/xl/sharedStrings.xml" Id="R6814f8b1575b4f4e" /><Relationship Type="http://schemas.openxmlformats.org/officeDocument/2006/relationships/worksheet" Target="/xl/worksheets/sheet1.xml" Id="Re98dcff94894434e" /><Relationship Type="http://schemas.openxmlformats.org/officeDocument/2006/relationships/worksheet" Target="/xl/worksheets/sheet2.xml" Id="R1d0bdf0015044b45" /><Relationship Type="http://schemas.openxmlformats.org/officeDocument/2006/relationships/worksheet" Target="/xl/worksheets/sheet3.xml" Id="R01d9097208694f77" /><Relationship Type="http://schemas.openxmlformats.org/officeDocument/2006/relationships/worksheet" Target="/xl/worksheets/sheet4.xml" Id="R37a8c27759e140a1" /><Relationship Type="http://schemas.openxmlformats.org/officeDocument/2006/relationships/worksheet" Target="/xl/worksheets/sheet5.xml" Id="R8c9622e15ff2461a" /><Relationship Type="http://schemas.openxmlformats.org/officeDocument/2006/relationships/worksheet" Target="/xl/worksheets/sheet6.xml" Id="Rc1cf0f932b5949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304SpeciesTable" displayName="EEZ304SpeciesTable" ref="A1:U55" headerRowCount="1" totalsRowCount="0" totalsRowShown="0">
  <x:autoFilter ref="A1:U5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304CommercialTable" displayName="EEZ304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304FunctionalTable" displayName="EEZ304FunctionalTable" ref="A1:O18" headerRowCount="1" totalsRowCount="0" totalsRowShown="0">
  <x:autoFilter ref="A1:O18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304ValidationTable" displayName="EEZ30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ee5f92420d43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8f82084693d4e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2846989647341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7209a001a8b425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EEZ_304</x:v>
      </x:c>
      <x:c r="B2" s="24" t="str">
        <x:v>Greenland (Denmark)</x:v>
      </x:c>
      <x:c r="C2" s="24" t="str">
        <x:v>EEZ</x:v>
      </x:c>
      <x:c r="D2" s="30" t="n">
        <x:v>2019</x:v>
      </x:c>
      <x:c r="E2" s="24" t="str">
        <x:v>Pandalus borealis</x:v>
      </x:c>
      <x:c r="F2" s="24" t="str">
        <x:v>Northern prawn</x:v>
      </x:c>
      <x:c r="G2" s="24" t="str">
        <x:v>Shrimps</x:v>
      </x:c>
      <x:c r="H2" s="24" t="str">
        <x:v>Crustaceans</x:v>
      </x:c>
      <x:c r="I2" s="31" t="n">
        <x:v>66963.033066818</x:v>
      </x:c>
      <x:c r="J2" s="31" t="n">
        <x:v>61478.0138104519</x:v>
      </x:c>
      <x:c r="K2" s="31" t="n">
        <x:v>5485.0192563661</x:v>
      </x:c>
      <x:c r="L2" s="31" t="n">
        <x:v>61478.0138104519</x:v>
      </x:c>
      <x:c r="M2" s="31" t="n">
        <x:v>5485.0192563661</x:v>
      </x:c>
      <x:c r="N2" s="24" t="str">
        <x:v>pandalus borealis</x:v>
      </x:c>
      <x:c r="O2" s="32" t="n">
        <x:v>3.07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Pandalus borealis</x:v>
      </x:c>
      <x:c r="T2" s="32" t="n">
        <x:f>IF(O2="","",(1/'Metadata'!$B$5)^(O2-1))</x:f>
        <x:v>117.48975549395291</x:v>
      </x:c>
      <x:c r="U2" s="31" t="n">
        <x:f>IF(T2="","",I2*T2)</x:f>
        <x:v>7867470.38215393</x:v>
      </x:c>
    </x:row>
    <x:row r="3" ht="18" customHeight="1">
      <x:c r="A3" s="24" t="str">
        <x:v>EEZ_304</x:v>
      </x:c>
      <x:c r="B3" s="24" t="str">
        <x:v>Greenland (Denmark)</x:v>
      </x:c>
      <x:c r="C3" s="24" t="str">
        <x:v>EEZ</x:v>
      </x:c>
      <x:c r="D3" s="30" t="n">
        <x:v>2019</x:v>
      </x:c>
      <x:c r="E3" s="24" t="str">
        <x:v>Reinhardtius hippoglossoides</x:v>
      </x:c>
      <x:c r="F3" s="24" t="str">
        <x:v>Greenland halibut</x:v>
      </x:c>
      <x:c r="G3" s="24" t="str">
        <x:v>Small to medium flatfishes (&lt;90 cm)</x:v>
      </x:c>
      <x:c r="H3" s="24" t="str">
        <x:v>Flatfishes</x:v>
      </x:c>
      <x:c r="I3" s="31" t="n">
        <x:v>62523.008850665996</x:v>
      </x:c>
      <x:c r="J3" s="31" t="n">
        <x:v>57196.719865995</x:v>
      </x:c>
      <x:c r="K3" s="31" t="n">
        <x:v>5326.288984671</x:v>
      </x:c>
      <x:c r="L3" s="31" t="n">
        <x:v>57027.9441648683</x:v>
      </x:c>
      <x:c r="M3" s="31" t="n">
        <x:v>5495.0646857977</x:v>
      </x:c>
      <x:c r="N3" s="24" t="str">
        <x:v>reinhardtius hippoglossoides</x:v>
      </x:c>
      <x:c r="O3" s="32" t="n">
        <x:v>4.38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Reinhardtius hippoglossoides</x:v>
      </x:c>
      <x:c r="T3" s="32" t="n">
        <x:f>IF(O3="","",(1/'Metadata'!$B$5)^(O3-1))</x:f>
        <x:v>2398.83291901949</x:v>
      </x:c>
      <x:c r="U3" s="31" t="n">
        <x:f>IF(T3="","",I3*T3)</x:f>
        <x:v>149982251.8271245</x:v>
      </x:c>
    </x:row>
    <x:row r="4" ht="18" customHeight="1">
      <x:c r="A4" s="24" t="str">
        <x:v>EEZ_304</x:v>
      </x:c>
      <x:c r="B4" s="24" t="str">
        <x:v>Greenland (Denmark)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58814.5019902641</x:v>
      </x:c>
      <x:c r="J4" s="31" t="n">
        <x:v>54762.3955589713</x:v>
      </x:c>
      <x:c r="K4" s="31" t="n">
        <x:v>4052.1064312928</x:v>
      </x:c>
      <x:c r="L4" s="31" t="n">
        <x:v>54758.5701568861</x:v>
      </x:c>
      <x:c r="M4" s="31" t="n">
        <x:v>4055.931833378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11206872.318901941</x:v>
      </x:c>
    </x:row>
    <x:row r="5" ht="18" customHeight="1">
      <x:c r="A5" s="24" t="str">
        <x:v>EEZ_304</x:v>
      </x:c>
      <x:c r="B5" s="24" t="str">
        <x:v>Greenland (Denmark)</x:v>
      </x:c>
      <x:c r="C5" s="24" t="str">
        <x:v>EEZ</x:v>
      </x:c>
      <x:c r="D5" s="30" t="n">
        <x:v>2019</x:v>
      </x:c>
      <x:c r="E5" s="24" t="str">
        <x:v>Gadus morhua</x:v>
      </x:c>
      <x:c r="F5" s="24" t="str">
        <x:v>Atlantic cod</x:v>
      </x:c>
      <x:c r="G5" s="24" t="str">
        <x:v>Large benthopelagics (&gt;=90 cm)</x:v>
      </x:c>
      <x:c r="H5" s="24" t="str">
        <x:v>Cod-likes</x:v>
      </x:c>
      <x:c r="I5" s="31" t="n">
        <x:v>51257.8391989666</x:v>
      </x:c>
      <x:c r="J5" s="31" t="n">
        <x:v>38858.1391615344</x:v>
      </x:c>
      <x:c r="K5" s="31" t="n">
        <x:v>12399.7000374322</x:v>
      </x:c>
      <x:c r="L5" s="31" t="n">
        <x:v>38415.2750128224</x:v>
      </x:c>
      <x:c r="M5" s="31" t="n">
        <x:v>12842.5641861442</x:v>
      </x:c>
      <x:c r="N5" s="24" t="str">
        <x:v>gadus morhua</x:v>
      </x:c>
      <x:c r="O5" s="32" t="n">
        <x:v>4.09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Gadus morhua</x:v>
      </x:c>
      <x:c r="T5" s="32" t="n">
        <x:f>IF(O5="","",(1/'Metadata'!$B$5)^(O5-1))</x:f>
        <x:v>1230.268770812381</x:v>
      </x:c>
      <x:c r="U5" s="31" t="n">
        <x:f>IF(T5="","",I5*T5)</x:f>
        <x:v>63060918.82581132</x:v>
      </x:c>
    </x:row>
    <x:row r="6" ht="18" customHeight="1">
      <x:c r="A6" s="24" t="str">
        <x:v>EEZ_304</x:v>
      </x:c>
      <x:c r="B6" s="24" t="str">
        <x:v>Greenland (Denmark)</x:v>
      </x:c>
      <x:c r="C6" s="24" t="str">
        <x:v>EEZ</x:v>
      </x:c>
      <x:c r="D6" s="30" t="n">
        <x:v>2019</x:v>
      </x:c>
      <x:c r="E6" s="24" t="str">
        <x:v>Cyclopterus lumpus</x:v>
      </x:c>
      <x:c r="F6" s="24" t="str">
        <x:v>Lumpfish</x:v>
      </x:c>
      <x:c r="G6" s="24" t="str">
        <x:v>Medium benthopelagics (30 - 89 cm)</x:v>
      </x:c>
      <x:c r="H6" s="24" t="str">
        <x:v>Scorpionfishes</x:v>
      </x:c>
      <x:c r="I6" s="31" t="n">
        <x:v>7986.890804362801</x:v>
      </x:c>
      <x:c r="J6" s="31" t="n">
        <x:v>7416.221661465401</x:v>
      </x:c>
      <x:c r="K6" s="31" t="n">
        <x:v>570.6691428974</x:v>
      </x:c>
      <x:c r="L6" s="31" t="n">
        <x:v>7389.650000000301</x:v>
      </x:c>
      <x:c r="M6" s="31" t="n">
        <x:v>597.2408043625</x:v>
      </x:c>
      <x:c r="N6" s="24" t="str">
        <x:v>cyclopterus lumpus</x:v>
      </x:c>
      <x:c r="O6" s="32" t="n">
        <x:v>3.89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Cyclopterus lumpus</x:v>
      </x:c>
      <x:c r="T6" s="32" t="n">
        <x:f>IF(O6="","",(1/'Metadata'!$B$5)^(O6-1))</x:f>
        <x:v>776.247116628692</x:v>
      </x:c>
      <x:c r="U6" s="31" t="n">
        <x:f>IF(T6="","",I6*T6)</x:f>
        <x:v>6199800.957714838</x:v>
      </x:c>
    </x:row>
    <x:row r="7" ht="18" customHeight="1">
      <x:c r="A7" s="24" t="str">
        <x:v>EEZ_304</x:v>
      </x:c>
      <x:c r="B7" s="24" t="str">
        <x:v>Greenland (Denmark)</x:v>
      </x:c>
      <x:c r="C7" s="24" t="str">
        <x:v>EEZ</x:v>
      </x:c>
      <x:c r="D7" s="30" t="n">
        <x:v>2019</x:v>
      </x:c>
      <x:c r="E7" s="24" t="str">
        <x:v>Sebastes norvegicus</x:v>
      </x:c>
      <x:c r="F7" s="24" t="str">
        <x:v>Golden redfish</x:v>
      </x:c>
      <x:c r="G7" s="24" t="str">
        <x:v>Medium benthopelagics (30 - 89 cm)</x:v>
      </x:c>
      <x:c r="H7" s="24" t="str">
        <x:v>Scorpionfishes</x:v>
      </x:c>
      <x:c r="I7" s="31" t="n">
        <x:v>5237.9025702838</x:v>
      </x:c>
      <x:c r="J7" s="31" t="n">
        <x:v>5045.9442999598</x:v>
      </x:c>
      <x:c r="K7" s="31" t="n">
        <x:v>191.958270324</x:v>
      </x:c>
      <x:c r="L7" s="31" t="n">
        <x:v>5045.9442999598</x:v>
      </x:c>
      <x:c r="M7" s="31" t="n">
        <x:v>191.958270324</x:v>
      </x:c>
      <x:c r="N7" s="24" t="str">
        <x:v>sebastes norvegicus</x:v>
      </x:c>
      <x:c r="O7" s="32" t="n">
        <x:v>4.04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Sebastes norvegicus</x:v>
      </x:c>
      <x:c r="T7" s="32" t="n">
        <x:f>IF(O7="","",(1/'Metadata'!$B$5)^(O7-1))</x:f>
        <x:v>1096.4781961431852</x:v>
      </x:c>
      <x:c r="U7" s="31" t="n">
        <x:f>IF(T7="","",I7*T7)</x:f>
        <x:v>5743245.961838534</x:v>
      </x:c>
    </x:row>
    <x:row r="8" ht="18" customHeight="1">
      <x:c r="A8" s="24" t="str">
        <x:v>EEZ_304</x:v>
      </x:c>
      <x:c r="B8" s="24" t="str">
        <x:v>Greenland (Denmark)</x:v>
      </x:c>
      <x:c r="C8" s="24" t="str">
        <x:v>EEZ</x:v>
      </x:c>
      <x:c r="D8" s="30" t="n">
        <x:v>2019</x:v>
      </x:c>
      <x:c r="E8" s="24" t="str">
        <x:v>Sebastes mentella</x:v>
      </x:c>
      <x:c r="F8" s="24" t="str">
        <x:v>Beaked redfish</x:v>
      </x:c>
      <x:c r="G8" s="24" t="str">
        <x:v>Medium bathypelagics (30 - 89 cm)</x:v>
      </x:c>
      <x:c r="H8" s="24" t="str">
        <x:v>Scorpionfishes</x:v>
      </x:c>
      <x:c r="I8" s="31" t="n">
        <x:v>4199.6259336021</x:v>
      </x:c>
      <x:c r="J8" s="31" t="n">
        <x:v>4016.0592942399</x:v>
      </x:c>
      <x:c r="K8" s="31" t="n">
        <x:v>183.5666393622</x:v>
      </x:c>
      <x:c r="L8" s="31" t="n">
        <x:v>4016.0592942399</x:v>
      </x:c>
      <x:c r="M8" s="31" t="n">
        <x:v>183.5666393622</x:v>
      </x:c>
      <x:c r="N8" s="24" t="str">
        <x:v>sebastes mentella</x:v>
      </x:c>
      <x:c r="O8" s="32" t="n">
        <x:v>3.65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Sebastes mentella</x:v>
      </x:c>
      <x:c r="T8" s="32" t="n">
        <x:f>IF(O8="","",(1/'Metadata'!$B$5)^(O8-1))</x:f>
        <x:v>446.683592150963</x:v>
      </x:c>
      <x:c r="U8" s="31" t="n">
        <x:f>IF(T8="","",I8*T8)</x:f>
        <x:v>1875903.9977117279</x:v>
      </x:c>
    </x:row>
    <x:row r="9" ht="18" customHeight="1">
      <x:c r="A9" s="24" t="str">
        <x:v>EEZ_304</x:v>
      </x:c>
      <x:c r="B9" s="24" t="str">
        <x:v>Greenland (Denmark)</x:v>
      </x:c>
      <x:c r="C9" s="24" t="str">
        <x:v>EEZ</x:v>
      </x:c>
      <x:c r="D9" s="30" t="n">
        <x:v>2019</x:v>
      </x:c>
      <x:c r="E9" s="24" t="str">
        <x:v>Chionoecetes opilio</x:v>
      </x:c>
      <x:c r="F9" s="24" t="str">
        <x:v>Snow crab</x:v>
      </x:c>
      <x:c r="G9" s="24" t="str">
        <x:v>Lobsters, crabs</x:v>
      </x:c>
      <x:c r="H9" s="24" t="str">
        <x:v>Crustaceans</x:v>
      </x:c>
      <x:c r="I9" s="31" t="n">
        <x:v>2966.5620673117</x:v>
      </x:c>
      <x:c r="J9" s="31" t="n">
        <x:v>2696</x:v>
      </x:c>
      <x:c r="K9" s="31" t="n">
        <x:v>270.5620673117</x:v>
      </x:c>
      <x:c r="L9" s="31" t="n">
        <x:v>2696</x:v>
      </x:c>
      <x:c r="M9" s="31" t="n">
        <x:v>270.5620673117</x:v>
      </x:c>
      <x:c r="N9" s="24" t="str">
        <x:v>chionoecetes opilio</x:v>
      </x:c>
      <x:c r="O9" s="32" t="n">
        <x:v>3.54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Chionoecetes opilio</x:v>
      </x:c>
      <x:c r="T9" s="32" t="n">
        <x:f>IF(O9="","",(1/'Metadata'!$B$5)^(O9-1))</x:f>
        <x:v>346.73685045253166</x:v>
      </x:c>
      <x:c r="U9" s="31" t="n">
        <x:f>IF(T9="","",I9*T9)</x:f>
        <x:v>1028616.38789161</x:v>
      </x:c>
    </x:row>
    <x:row r="10" ht="18" customHeight="1">
      <x:c r="A10" s="24" t="str">
        <x:v>EEZ_304</x:v>
      </x:c>
      <x:c r="B10" s="24" t="str">
        <x:v>Greenland (Denmark)</x:v>
      </x:c>
      <x:c r="C10" s="24" t="str">
        <x:v>EEZ</x:v>
      </x:c>
      <x:c r="D10" s="30" t="n">
        <x:v>2019</x:v>
      </x:c>
      <x:c r="E10" s="24" t="str">
        <x:v>Mallotus villosus</x:v>
      </x:c>
      <x:c r="F10" s="24" t="str">
        <x:v>Capelin</x:v>
      </x:c>
      <x:c r="G10" s="24" t="str">
        <x:v>Small pelagics (&lt;30 cm)</x:v>
      </x:c>
      <x:c r="H10" s="24" t="str">
        <x:v>Salmon, smelts, etc</x:v>
      </x:c>
      <x:c r="I10" s="31" t="n">
        <x:v>837.4652217842</x:v>
      </x:c>
      <x:c r="J10" s="31" t="n">
        <x:v>831.3201263306</x:v>
      </x:c>
      <x:c r="K10" s="31" t="n">
        <x:v>6.1450954536</x:v>
      </x:c>
      <x:c r="L10" s="31" t="n">
        <x:v>796.197844897</x:v>
      </x:c>
      <x:c r="M10" s="31" t="n">
        <x:v>41.2673768872</x:v>
      </x:c>
      <x:c r="N10" s="24" t="str">
        <x:v>mallotus villosus</x:v>
      </x:c>
      <x:c r="O10" s="32" t="n">
        <x:v>3.15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Mallotus villosus</x:v>
      </x:c>
      <x:c r="T10" s="32" t="n">
        <x:f>IF(O10="","",(1/'Metadata'!$B$5)^(O10-1))</x:f>
        <x:v>141.2537544622754</x:v>
      </x:c>
      <x:c r="U10" s="31" t="n">
        <x:f>IF(T10="","",I10*T10)</x:f>
        <x:v>118295.1068086004</x:v>
      </x:c>
    </x:row>
    <x:row r="11" ht="18" customHeight="1">
      <x:c r="A11" s="24" t="str">
        <x:v>EEZ_304</x:v>
      </x:c>
      <x:c r="B11" s="24" t="str">
        <x:v>Greenland (Denmark)</x:v>
      </x:c>
      <x:c r="C11" s="24" t="str">
        <x:v>EEZ</x:v>
      </x:c>
      <x:c r="D11" s="30" t="n">
        <x:v>2019</x:v>
      </x:c>
      <x:c r="E11" s="24" t="str">
        <x:v>Anarhichadidae</x:v>
      </x:c>
      <x:c r="F11" s="24" t="str">
        <x:v>Wolffishes, wolfeels</x:v>
      </x:c>
      <x:c r="G11" s="24" t="str">
        <x:v>Large demersals (&gt;=90 cm)</x:v>
      </x:c>
      <x:c r="H11" s="24" t="str">
        <x:v>Perch-likes</x:v>
      </x:c>
      <x:c r="I11" s="31" t="n">
        <x:v>211.7216660529</x:v>
      </x:c>
      <x:c r="J11" s="31" t="n">
        <x:v>211.7216660529</x:v>
      </x:c>
      <x:c r="K11" s="31" t="n">
        <x:v>0</x:v>
      </x:c>
      <x:c r="L11" s="31" t="n">
        <x:v>175.4653047291</x:v>
      </x:c>
      <x:c r="M11" s="31" t="n">
        <x:v>36.2563613238</x:v>
      </x:c>
      <x:c r="N11" s="24" t="str">
        <x:v>anarhichadidae</x:v>
      </x:c>
      <x:c r="O11" s="32" t="n">
        <x:v>3.47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Anarhichadidae</x:v>
      </x:c>
      <x:c r="T11" s="32" t="n">
        <x:f>IF(O11="","",(1/'Metadata'!$B$5)^(O11-1))</x:f>
        <x:v>295.1209226666387</x:v>
      </x:c>
      <x:c r="U11" s="31" t="n">
        <x:f>IF(T11="","",I11*T11)</x:f>
        <x:v>62483.4934340498</x:v>
      </x:c>
    </x:row>
    <x:row r="12" ht="18" customHeight="1">
      <x:c r="A12" s="24" t="str">
        <x:v>EEZ_304</x:v>
      </x:c>
      <x:c r="B12" s="24" t="str">
        <x:v>Greenland (Denmark)</x:v>
      </x:c>
      <x:c r="C12" s="24" t="str">
        <x:v>EEZ</x:v>
      </x:c>
      <x:c r="D12" s="30" t="n">
        <x:v>2019</x:v>
      </x:c>
      <x:c r="E12" s="24" t="str">
        <x:v>Sebastes</x:v>
      </x:c>
      <x:c r="F12" s="24" t="str">
        <x:v>Redfishes</x:v>
      </x:c>
      <x:c r="G12" s="24" t="str">
        <x:v>Large reef assoc. fish (&gt;=90 cm)</x:v>
      </x:c>
      <x:c r="H12" s="24" t="str">
        <x:v>Scorpionfishes</x:v>
      </x:c>
      <x:c r="I12" s="31" t="n">
        <x:v>193.7133382738</x:v>
      </x:c>
      <x:c r="J12" s="31" t="n">
        <x:v>185.1288550732</x:v>
      </x:c>
      <x:c r="K12" s="31" t="n">
        <x:v>8.5844832006</x:v>
      </x:c>
      <x:c r="L12" s="31" t="n">
        <x:v>149.5248391205</x:v>
      </x:c>
      <x:c r="M12" s="31" t="n">
        <x:v>44.1884991533</x:v>
      </x:c>
      <x:c r="N12" s="24" t="str">
        <x:v>sebastes</x:v>
      </x:c>
      <x:c r="O12" s="32" t="n">
        <x:v>3.79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Sebastes</x:v>
      </x:c>
      <x:c r="T12" s="32" t="n">
        <x:f>IF(O12="","",(1/'Metadata'!$B$5)^(O12-1))</x:f>
        <x:v>616.5950018614822</x:v>
      </x:c>
      <x:c r="U12" s="31" t="n">
        <x:f>IF(T12="","",I12*T12)</x:f>
        <x:v>119442.67617352762</x:v>
      </x:c>
    </x:row>
    <x:row r="13" ht="18" customHeight="1">
      <x:c r="A13" s="24" t="str">
        <x:v>EEZ_304</x:v>
      </x:c>
      <x:c r="B13" s="24" t="str">
        <x:v>Greenland (Denmark)</x:v>
      </x:c>
      <x:c r="C13" s="24" t="str">
        <x:v>EEZ</x:v>
      </x:c>
      <x:c r="D13" s="30" t="n">
        <x:v>2019</x:v>
      </x:c>
      <x:c r="E13" s="24" t="str">
        <x:v>Clupea harengus</x:v>
      </x:c>
      <x:c r="F13" s="24" t="str">
        <x:v>Atlantic herring</x:v>
      </x:c>
      <x:c r="G13" s="24" t="str">
        <x:v>Medium pelagics (30 - 89 cm)</x:v>
      </x:c>
      <x:c r="H13" s="24" t="str">
        <x:v>Herring-likes</x:v>
      </x:c>
      <x:c r="I13" s="31" t="n">
        <x:v>173.0593038541</x:v>
      </x:c>
      <x:c r="J13" s="31" t="n">
        <x:v>173.051089574</x:v>
      </x:c>
      <x:c r="K13" s="31" t="n">
        <x:v>0.008214280099999999</x:v>
      </x:c>
      <x:c r="L13" s="31" t="n">
        <x:v>173.051089574</x:v>
      </x:c>
      <x:c r="M13" s="31" t="n">
        <x:v>0.008214280099999999</x:v>
      </x:c>
      <x:c r="N13" s="24" t="str">
        <x:v>clupea harengus</x:v>
      </x:c>
      <x:c r="O13" s="32" t="n">
        <x:v>3.38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Clupea harengus</x:v>
      </x:c>
      <x:c r="T13" s="32" t="n">
        <x:f>IF(O13="","",(1/'Metadata'!$B$5)^(O13-1))</x:f>
        <x:v>239.88329190194898</x:v>
      </x:c>
      <x:c r="U13" s="31" t="n">
        <x:f>IF(T13="","",I13*T13)</x:f>
        <x:v>41514.03550278115</x:v>
      </x:c>
    </x:row>
    <x:row r="14" ht="18" customHeight="1">
      <x:c r="A14" s="24" t="str">
        <x:v>EEZ_304</x:v>
      </x:c>
      <x:c r="B14" s="24" t="str">
        <x:v>Greenland (Denmark)</x:v>
      </x:c>
      <x:c r="C14" s="24" t="str">
        <x:v>EEZ</x:v>
      </x:c>
      <x:c r="D14" s="30" t="n">
        <x:v>2019</x:v>
      </x:c>
      <x:c r="E14" s="24" t="str">
        <x:v>Brosme brosme</x:v>
      </x:c>
      <x:c r="F14" s="24" t="str">
        <x:v>Tusk</x:v>
      </x:c>
      <x:c r="G14" s="24" t="str">
        <x:v>Large demersals (&gt;=90 cm)</x:v>
      </x:c>
      <x:c r="H14" s="24" t="str">
        <x:v>Cod-likes</x:v>
      </x:c>
      <x:c r="I14" s="31" t="n">
        <x:v>130.7547872326</x:v>
      </x:c>
      <x:c r="J14" s="31" t="n">
        <x:v>124.38518645479999</x:v>
      </x:c>
      <x:c r="K14" s="31" t="n">
        <x:v>6.369600777800001</x:v>
      </x:c>
      <x:c r="L14" s="31" t="n">
        <x:v>124.38518645479999</x:v>
      </x:c>
      <x:c r="M14" s="31" t="n">
        <x:v>6.369600777800001</x:v>
      </x:c>
      <x:c r="N14" s="24" t="str">
        <x:v>brosme brosme</x:v>
      </x:c>
      <x:c r="O14" s="32" t="n">
        <x:v>3.9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Brosme brosme</x:v>
      </x:c>
      <x:c r="T14" s="32" t="n">
        <x:f>IF(O14="","",(1/'Metadata'!$B$5)^(O14-1))</x:f>
        <x:v>794.3282347242813</x:v>
      </x:c>
      <x:c r="U14" s="31" t="n">
        <x:f>IF(T14="","",I14*T14)</x:f>
        <x:v>103862.21932422015</x:v>
      </x:c>
    </x:row>
    <x:row r="15" ht="18" customHeight="1">
      <x:c r="A15" s="24" t="str">
        <x:v>EEZ_304</x:v>
      </x:c>
      <x:c r="B15" s="24" t="str">
        <x:v>Greenland (Denmark)</x:v>
      </x:c>
      <x:c r="C15" s="24" t="str">
        <x:v>EEZ</x:v>
      </x:c>
      <x:c r="D15" s="30" t="n">
        <x:v>2019</x:v>
      </x:c>
      <x:c r="E15" s="24" t="str">
        <x:v>Anarhichas denticulatus</x:v>
      </x:c>
      <x:c r="F15" s="24" t="str">
        <x:v>Northern wolffish</x:v>
      </x:c>
      <x:c r="G15" s="24" t="str">
        <x:v>Large benthopelagics (&gt;=90 cm)</x:v>
      </x:c>
      <x:c r="H15" s="24" t="str">
        <x:v>Perch-likes</x:v>
      </x:c>
      <x:c r="I15" s="31" t="n">
        <x:v>89.4746755681</x:v>
      </x:c>
      <x:c r="J15" s="31" t="n">
        <x:v>87.7141293259</x:v>
      </x:c>
      <x:c r="K15" s="31" t="n">
        <x:v>1.7605462422</x:v>
      </x:c>
      <x:c r="L15" s="31" t="n">
        <x:v>87.7141293259</x:v>
      </x:c>
      <x:c r="M15" s="31" t="n">
        <x:v>1.7605462422</x:v>
      </x:c>
      <x:c r="N15" s="24" t="str">
        <x:v>anarhichas denticulatus</x:v>
      </x:c>
      <x:c r="O15" s="32" t="n">
        <x:v>3.75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Anarhichas denticulatus</x:v>
      </x:c>
      <x:c r="T15" s="32" t="n">
        <x:f>IF(O15="","",(1/'Metadata'!$B$5)^(O15-1))</x:f>
        <x:v>562.341325190349</x:v>
      </x:c>
      <x:c r="U15" s="31" t="n">
        <x:f>IF(T15="","",I15*T15)</x:f>
        <x:v>50315.3076299419</x:v>
      </x:c>
    </x:row>
    <x:row r="16" ht="18" customHeight="1">
      <x:c r="A16" s="24" t="str">
        <x:v>EEZ_304</x:v>
      </x:c>
      <x:c r="B16" s="24" t="str">
        <x:v>Greenland (Denmark)</x:v>
      </x:c>
      <x:c r="C16" s="24" t="str">
        <x:v>EEZ</x:v>
      </x:c>
      <x:c r="D16" s="30" t="n">
        <x:v>2019</x:v>
      </x:c>
      <x:c r="E16" s="24" t="str">
        <x:v>Squaliformes</x:v>
      </x:c>
      <x:c r="F16" s="24" t="str">
        <x:v>Bramble, sleeper, dogfish sharks</x:v>
      </x:c>
      <x:c r="G16" s="24" t="str">
        <x:v>Large sharks (&gt;=90 cm)</x:v>
      </x:c>
      <x:c r="H16" s="24" t="str">
        <x:v>Sharks &amp; rays</x:v>
      </x:c>
      <x:c r="I16" s="31" t="n">
        <x:v>88.2110846118</x:v>
      </x:c>
      <x:c r="J16" s="31" t="n">
        <x:v>0</x:v>
      </x:c>
      <x:c r="K16" s="31" t="n">
        <x:v>88.2110846118</x:v>
      </x:c>
      <x:c r="L16" s="31" t="n">
        <x:v>0</x:v>
      </x:c>
      <x:c r="M16" s="31" t="n">
        <x:v>88.2110846118</x:v>
      </x:c>
      <x:c r="N16" s="24" t="str">
        <x:v>squaliformes</x:v>
      </x:c>
      <x:c r="O16" s="32" t="n">
        <x:v>4.19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Squaliformes</x:v>
      </x:c>
      <x:c r="T16" s="32" t="n">
        <x:f>IF(O16="","",(1/'Metadata'!$B$5)^(O16-1))</x:f>
        <x:v>1548.8166189124827</x:v>
      </x:c>
      <x:c r="U16" s="31" t="n">
        <x:f>IF(T16="","",I16*T16)</x:f>
        <x:v>136622.793819051</x:v>
      </x:c>
    </x:row>
    <x:row r="17" ht="18" customHeight="1">
      <x:c r="A17" s="24" t="str">
        <x:v>EEZ_304</x:v>
      </x:c>
      <x:c r="B17" s="24" t="str">
        <x:v>Greenland (Denmark)</x:v>
      </x:c>
      <x:c r="C17" s="24" t="str">
        <x:v>EEZ</x:v>
      </x:c>
      <x:c r="D17" s="30" t="n">
        <x:v>2019</x:v>
      </x:c>
      <x:c r="E17" s="24" t="str">
        <x:v>Coryphaenoides rupestris</x:v>
      </x:c>
      <x:c r="F17" s="24" t="str">
        <x:v>Roundnose grenadier</x:v>
      </x:c>
      <x:c r="G17" s="24" t="str">
        <x:v>Large bathypelagics (&gt;=90 cm)</x:v>
      </x:c>
      <x:c r="H17" s="24" t="str">
        <x:v>Cod-likes</x:v>
      </x:c>
      <x:c r="I17" s="31" t="n">
        <x:v>85.4515530201</x:v>
      </x:c>
      <x:c r="J17" s="31" t="n">
        <x:v>77.8949251504</x:v>
      </x:c>
      <x:c r="K17" s="31" t="n">
        <x:v>7.5566278697</x:v>
      </x:c>
      <x:c r="L17" s="31" t="n">
        <x:v>77.8949251504</x:v>
      </x:c>
      <x:c r="M17" s="31" t="n">
        <x:v>7.5566278697</x:v>
      </x:c>
      <x:c r="N17" s="24" t="str">
        <x:v>coryphaenoides rupestris</x:v>
      </x:c>
      <x:c r="O17" s="32" t="n">
        <x:v>3.54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Coryphaenoides rupestris</x:v>
      </x:c>
      <x:c r="T17" s="32" t="n">
        <x:f>IF(O17="","",(1/'Metadata'!$B$5)^(O17-1))</x:f>
        <x:v>346.73685045253166</x:v>
      </x:c>
      <x:c r="U17" s="31" t="n">
        <x:f>IF(T17="","",I17*T17)</x:f>
        <x:v>29629.202360466992</x:v>
      </x:c>
    </x:row>
    <x:row r="18" ht="18" customHeight="1">
      <x:c r="A18" s="24" t="str">
        <x:v>EEZ_304</x:v>
      </x:c>
      <x:c r="B18" s="24" t="str">
        <x:v>Greenland (Denmark)</x:v>
      </x:c>
      <x:c r="C18" s="24" t="str">
        <x:v>EEZ</x:v>
      </x:c>
      <x:c r="D18" s="30" t="n">
        <x:v>2019</x:v>
      </x:c>
      <x:c r="E18" s="24" t="str">
        <x:v>Perciformes</x:v>
      </x:c>
      <x:c r="F18" s="24" t="str">
        <x:v>Perch-likes</x:v>
      </x:c>
      <x:c r="G18" s="24" t="str">
        <x:v>Medium demersals (30 - 89 cm)</x:v>
      </x:c>
      <x:c r="H18" s="24" t="str">
        <x:v>Perch-likes</x:v>
      </x:c>
      <x:c r="I18" s="31" t="n">
        <x:v>77.745285207</x:v>
      </x:c>
      <x:c r="J18" s="31" t="n">
        <x:v>77.745285207</x:v>
      </x:c>
      <x:c r="K18" s="31" t="n">
        <x:v>0</x:v>
      </x:c>
      <x:c r="L18" s="31" t="n">
        <x:v>77.745285207</x:v>
      </x:c>
      <x:c r="M18" s="31" t="n">
        <x:v>0</x:v>
      </x:c>
      <x:c r="N18" s="24" t="str">
        <x:v>perciformes</x:v>
      </x:c>
      <x:c r="O18" s="32" t="n">
        <x:v>3.53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Perciformes</x:v>
      </x:c>
      <x:c r="T18" s="32" t="n">
        <x:f>IF(O18="","",(1/'Metadata'!$B$5)^(O18-1))</x:f>
        <x:v>338.84415613920237</x:v>
      </x:c>
      <x:c r="U18" s="31" t="n">
        <x:f>IF(T18="","",I18*T18)</x:f>
        <x:v>26343.535559767526</x:v>
      </x:c>
    </x:row>
    <x:row r="19" ht="18" customHeight="1">
      <x:c r="A19" s="24" t="str">
        <x:v>EEZ_304</x:v>
      </x:c>
      <x:c r="B19" s="24" t="str">
        <x:v>Greenland (Denmark)</x:v>
      </x:c>
      <x:c r="C19" s="24" t="str">
        <x:v>EEZ</x:v>
      </x:c>
      <x:c r="D19" s="30" t="n">
        <x:v>2019</x:v>
      </x:c>
      <x:c r="E19" s="24" t="str">
        <x:v>Somniosus microcephalus</x:v>
      </x:c>
      <x:c r="F19" s="24" t="str">
        <x:v>Greenland shark</x:v>
      </x:c>
      <x:c r="G19" s="24" t="str">
        <x:v>Large sharks (&gt;=90 cm)</x:v>
      </x:c>
      <x:c r="H19" s="24" t="str">
        <x:v>Sharks &amp; rays</x:v>
      </x:c>
      <x:c r="I19" s="31" t="n">
        <x:v>68.79999999910001</x:v>
      </x:c>
      <x:c r="J19" s="31" t="n">
        <x:v>68.79999999910001</x:v>
      </x:c>
      <x:c r="K19" s="31" t="n">
        <x:v>0</x:v>
      </x:c>
      <x:c r="L19" s="31" t="n">
        <x:v>68.79999999910001</x:v>
      </x:c>
      <x:c r="M19" s="31" t="n">
        <x:v>0</x:v>
      </x:c>
      <x:c r="N19" s="24" t="str">
        <x:v>somniosus microcephalus</x:v>
      </x:c>
      <x:c r="O19" s="32" t="n">
        <x:v>4.22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Somniosus microcephalus</x:v>
      </x:c>
      <x:c r="T19" s="32" t="n">
        <x:f>IF(O19="","",(1/'Metadata'!$B$5)^(O19-1))</x:f>
        <x:v>1659.5869074375596</x:v>
      </x:c>
      <x:c r="U19" s="31" t="n">
        <x:f>IF(T19="","",I19*T19)</x:f>
        <x:v>114179.57923021048</x:v>
      </x:c>
    </x:row>
    <x:row r="20" ht="18" customHeight="1">
      <x:c r="A20" s="24" t="str">
        <x:v>EEZ_304</x:v>
      </x:c>
      <x:c r="B20" s="24" t="str">
        <x:v>Greenland (Denmark)</x:v>
      </x:c>
      <x:c r="C20" s="24" t="str">
        <x:v>EEZ</x:v>
      </x:c>
      <x:c r="D20" s="30" t="n">
        <x:v>2019</x:v>
      </x:c>
      <x:c r="E20" s="24" t="str">
        <x:v>Anarhichas minor</x:v>
      </x:c>
      <x:c r="F20" s="24" t="str">
        <x:v>Spotted wolffish</x:v>
      </x:c>
      <x:c r="G20" s="24" t="str">
        <x:v>Large demersals (&gt;=90 cm)</x:v>
      </x:c>
      <x:c r="H20" s="24" t="str">
        <x:v>Perch-likes</x:v>
      </x:c>
      <x:c r="I20" s="31" t="n">
        <x:v>60.6999999989</x:v>
      </x:c>
      <x:c r="J20" s="31" t="n">
        <x:v>60.6999999989</x:v>
      </x:c>
      <x:c r="K20" s="31" t="n">
        <x:v>0</x:v>
      </x:c>
      <x:c r="L20" s="31" t="n">
        <x:v>60.6999999989</x:v>
      </x:c>
      <x:c r="M20" s="31" t="n">
        <x:v>0</x:v>
      </x:c>
      <x:c r="N20" s="24" t="str">
        <x:v>anarhichas minor</x:v>
      </x:c>
      <x:c r="O20" s="32" t="n">
        <x:v>3.45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Anarhichas minor</x:v>
      </x:c>
      <x:c r="T20" s="32" t="n">
        <x:f>IF(O20="","",(1/'Metadata'!$B$5)^(O20-1))</x:f>
        <x:v>281.8382931264455</x:v>
      </x:c>
      <x:c r="U20" s="31" t="n">
        <x:f>IF(T20="","",I20*T20)</x:f>
        <x:v>17107.584392465218</x:v>
      </x:c>
    </x:row>
    <x:row r="21" ht="18" customHeight="1">
      <x:c r="A21" s="24" t="str">
        <x:v>EEZ_304</x:v>
      </x:c>
      <x:c r="B21" s="24" t="str">
        <x:v>Greenland (Denmark)</x:v>
      </x:c>
      <x:c r="C21" s="24" t="str">
        <x:v>EEZ</x:v>
      </x:c>
      <x:c r="D21" s="30" t="n">
        <x:v>2019</x:v>
      </x:c>
      <x:c r="E21" s="24" t="str">
        <x:v>Elasmobranchii</x:v>
      </x:c>
      <x:c r="F21" s="24" t="str">
        <x:v>Sharks, rays, skates</x:v>
      </x:c>
      <x:c r="G21" s="24" t="str">
        <x:v>Large sharks (&gt;=90 cm)</x:v>
      </x:c>
      <x:c r="H21" s="24" t="str">
        <x:v>Sharks &amp; rays</x:v>
      </x:c>
      <x:c r="I21" s="31" t="n">
        <x:v>43.3129128797</x:v>
      </x:c>
      <x:c r="J21" s="31" t="n">
        <x:v>0.0404398048</x:v>
      </x:c>
      <x:c r="K21" s="31" t="n">
        <x:v>43.2724730749</x:v>
      </x:c>
      <x:c r="L21" s="31" t="n">
        <x:v>0.0404398048</x:v>
      </x:c>
      <x:c r="M21" s="31" t="n">
        <x:v>43.2724730749</x:v>
      </x:c>
      <x:c r="N21" s="24" t="str">
        <x:v>elasmobranchii</x:v>
      </x:c>
      <x:c r="O21" s="32" t="n">
        <x:v>4.05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Elasmobranchii</x:v>
      </x:c>
      <x:c r="T21" s="32" t="n">
        <x:f>IF(O21="","",(1/'Metadata'!$B$5)^(O21-1))</x:f>
        <x:v>1122.018454301963</x:v>
      </x:c>
      <x:c r="U21" s="31" t="n">
        <x:f>IF(T21="","",I21*T21)</x:f>
        <x:v>48597.88756059658</x:v>
      </x:c>
    </x:row>
    <x:row r="22" ht="18" customHeight="1">
      <x:c r="A22" s="24" t="str">
        <x:v>EEZ_304</x:v>
      </x:c>
      <x:c r="B22" s="24" t="str">
        <x:v>Greenland (Denmark)</x:v>
      </x:c>
      <x:c r="C22" s="24" t="str">
        <x:v>EEZ</x:v>
      </x:c>
      <x:c r="D22" s="30" t="n">
        <x:v>2019</x:v>
      </x:c>
      <x:c r="E22" s="24" t="str">
        <x:v>Salmo salar</x:v>
      </x:c>
      <x:c r="F22" s="24" t="str">
        <x:v>Atlantic salmon</x:v>
      </x:c>
      <x:c r="G22" s="24" t="str">
        <x:v>Large benthopelagics (&gt;=90 cm)</x:v>
      </x:c>
      <x:c r="H22" s="24" t="str">
        <x:v>Salmon, smelts, etc</x:v>
      </x:c>
      <x:c r="I22" s="31" t="n">
        <x:v>40.47428269780001</x:v>
      </x:c>
      <x:c r="J22" s="31" t="n">
        <x:v>40.47428269780001</x:v>
      </x:c>
      <x:c r="K22" s="31" t="n">
        <x:v>0</x:v>
      </x:c>
      <x:c r="L22" s="31" t="n">
        <x:v>0</x:v>
      </x:c>
      <x:c r="M22" s="31" t="n">
        <x:v>40.47428269780001</x:v>
      </x:c>
      <x:c r="N22" s="24" t="str">
        <x:v>salmo salar</x:v>
      </x:c>
      <x:c r="O22" s="32" t="n">
        <x:v>4.5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Salmo salar</x:v>
      </x:c>
      <x:c r="T22" s="32" t="n">
        <x:f>IF(O22="","",(1/'Metadata'!$B$5)^(O22-1))</x:f>
        <x:v>3162.2776601683795</x:v>
      </x:c>
      <x:c r="U22" s="31" t="n">
        <x:f>IF(T22="","",I22*T22)</x:f>
        <x:v>127990.91998659253</x:v>
      </x:c>
    </x:row>
    <x:row r="23" ht="18" customHeight="1">
      <x:c r="A23" s="24" t="str">
        <x:v>EEZ_304</x:v>
      </x:c>
      <x:c r="B23" s="24" t="str">
        <x:v>Greenland (Denmark)</x:v>
      </x:c>
      <x:c r="C23" s="24" t="str">
        <x:v>EEZ</x:v>
      </x:c>
      <x:c r="D23" s="30" t="n">
        <x:v>2019</x:v>
      </x:c>
      <x:c r="E23" s="24" t="str">
        <x:v>Pandalus montagui</x:v>
      </x:c>
      <x:c r="F23" s="24" t="str">
        <x:v>Aesop shrimp</x:v>
      </x:c>
      <x:c r="G23" s="24" t="str">
        <x:v>Shrimps</x:v>
      </x:c>
      <x:c r="H23" s="24" t="str">
        <x:v>Crustaceans</x:v>
      </x:c>
      <x:c r="I23" s="31" t="n">
        <x:v>39.1421824099</x:v>
      </x:c>
      <x:c r="J23" s="31" t="n">
        <x:v>29</x:v>
      </x:c>
      <x:c r="K23" s="31" t="n">
        <x:v>10.1421824099</x:v>
      </x:c>
      <x:c r="L23" s="31" t="n">
        <x:v>29</x:v>
      </x:c>
      <x:c r="M23" s="31" t="n">
        <x:v>10.1421824099</x:v>
      </x:c>
      <x:c r="N23" s="24" t="str">
        <x:v>pandalus montagui</x:v>
      </x:c>
      <x:c r="O23" s="32" t="n">
        <x:v>2.3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Pandalus montagui</x:v>
      </x:c>
      <x:c r="T23" s="32" t="n">
        <x:f>IF(O23="","",(1/'Metadata'!$B$5)^(O23-1))</x:f>
        <x:v>19.952623149688787</x:v>
      </x:c>
      <x:c r="U23" s="31" t="n">
        <x:f>IF(T23="","",I23*T23)</x:f>
        <x:v>780.989214881112</x:v>
      </x:c>
    </x:row>
    <x:row r="24" ht="18" customHeight="1">
      <x:c r="A24" s="24" t="str">
        <x:v>EEZ_304</x:v>
      </x:c>
      <x:c r="B24" s="24" t="str">
        <x:v>Greenland (Denmark)</x:v>
      </x:c>
      <x:c r="C24" s="24" t="str">
        <x:v>EEZ</x:v>
      </x:c>
      <x:c r="D24" s="30" t="n">
        <x:v>2019</x:v>
      </x:c>
      <x:c r="E24" s="24" t="str">
        <x:v>Anarhichas</x:v>
      </x:c>
      <x:c r="F24" s="24" t="str">
        <x:v>Wolffishes</x:v>
      </x:c>
      <x:c r="G24" s="24" t="str">
        <x:v>Large demersals (&gt;=90 cm)</x:v>
      </x:c>
      <x:c r="H24" s="24" t="str">
        <x:v>Perch-likes</x:v>
      </x:c>
      <x:c r="I24" s="31" t="n">
        <x:v>31.0811074243</x:v>
      </x:c>
      <x:c r="J24" s="31" t="n">
        <x:v>26.100734720800002</x:v>
      </x:c>
      <x:c r="K24" s="31" t="n">
        <x:v>4.9803727035000005</x:v>
      </x:c>
      <x:c r="L24" s="31" t="n">
        <x:v>26.100734720800002</x:v>
      </x:c>
      <x:c r="M24" s="31" t="n">
        <x:v>4.9803727035000005</x:v>
      </x:c>
      <x:c r="N24" s="24" t="str">
        <x:v>anarhichas</x:v>
      </x:c>
      <x:c r="O24" s="32" t="n">
        <x:v>3.35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Anarhichas</x:v>
      </x:c>
      <x:c r="T24" s="32" t="n">
        <x:f>IF(O24="","",(1/'Metadata'!$B$5)^(O24-1))</x:f>
        <x:v>223.872113856834</x:v>
      </x:c>
      <x:c r="U24" s="31" t="n">
        <x:f>IF(T24="","",I24*T24)</x:f>
        <x:v>6958.193220089379</x:v>
      </x:c>
    </x:row>
    <x:row r="25" ht="18" customHeight="1">
      <x:c r="A25" s="24" t="str">
        <x:v>EEZ_304</x:v>
      </x:c>
      <x:c r="B25" s="24" t="str">
        <x:v>Greenland (Denmark)</x:v>
      </x:c>
      <x:c r="C25" s="24" t="str">
        <x:v>EEZ</x:v>
      </x:c>
      <x:c r="D25" s="30" t="n">
        <x:v>2019</x:v>
      </x:c>
      <x:c r="E25" s="24" t="str">
        <x:v>Molva dypterygia</x:v>
      </x:c>
      <x:c r="F25" s="24" t="str">
        <x:v>Blue ling</x:v>
      </x:c>
      <x:c r="G25" s="24" t="str">
        <x:v>Large demersals (&gt;=90 cm)</x:v>
      </x:c>
      <x:c r="H25" s="24" t="str">
        <x:v>Cod-likes</x:v>
      </x:c>
      <x:c r="I25" s="31" t="n">
        <x:v>27.705780815</x:v>
      </x:c>
      <x:c r="J25" s="31" t="n">
        <x:v>26.989179125</x:v>
      </x:c>
      <x:c r="K25" s="31" t="n">
        <x:v>0.7166016900000001</x:v>
      </x:c>
      <x:c r="L25" s="31" t="n">
        <x:v>26.989179125</x:v>
      </x:c>
      <x:c r="M25" s="31" t="n">
        <x:v>0.7166016900000001</x:v>
      </x:c>
      <x:c r="N25" s="24" t="str">
        <x:v>molva dypterygia</x:v>
      </x:c>
      <x:c r="O25" s="32" t="n">
        <x:v>4.49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Molva dypterygia</x:v>
      </x:c>
      <x:c r="T25" s="32" t="n">
        <x:f>IF(O25="","",(1/'Metadata'!$B$5)^(O25-1))</x:f>
        <x:v>3090.295432513592</x:v>
      </x:c>
      <x:c r="U25" s="31" t="n">
        <x:f>IF(T25="","",I25*T25)</x:f>
        <x:v>85619.04790681721</x:v>
      </x:c>
    </x:row>
    <x:row r="26" ht="18" customHeight="1">
      <x:c r="A26" s="24" t="str">
        <x:v>EEZ_304</x:v>
      </x:c>
      <x:c r="B26" s="24" t="str">
        <x:v>Greenland (Denmark)</x:v>
      </x:c>
      <x:c r="C26" s="24" t="str">
        <x:v>EEZ</x:v>
      </x:c>
      <x:c r="D26" s="30" t="n">
        <x:v>2019</x:v>
      </x:c>
      <x:c r="E26" s="24" t="str">
        <x:v>Chondrichthyes</x:v>
      </x:c>
      <x:c r="F26" s="24" t="str">
        <x:v>Sharks, rays, chimaeras</x:v>
      </x:c>
      <x:c r="G26" s="24" t="str">
        <x:v>Large sharks (&gt;=90 cm)</x:v>
      </x:c>
      <x:c r="H26" s="24" t="str">
        <x:v>Sharks &amp; rays</x:v>
      </x:c>
      <x:c r="I26" s="31" t="n">
        <x:v>22.4476410161</x:v>
      </x:c>
      <x:c r="J26" s="31" t="n">
        <x:v>22.4476410161</x:v>
      </x:c>
      <x:c r="K26" s="31" t="n">
        <x:v>0</x:v>
      </x:c>
      <x:c r="L26" s="31" t="n">
        <x:v>22.4476410161</x:v>
      </x:c>
      <x:c r="M26" s="31" t="n">
        <x:v>0</x:v>
      </x:c>
      <x:c r="N26" s="24" t="str">
        <x:v>chondrichthyes</x:v>
      </x:c>
      <x:c r="O26" s="32" t="n">
        <x:v>4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Chondrichthyes</x:v>
      </x:c>
      <x:c r="T26" s="32" t="n">
        <x:f>IF(O26="","",(1/'Metadata'!$B$5)^(O26-1))</x:f>
        <x:v>1000</x:v>
      </x:c>
      <x:c r="U26" s="31" t="n">
        <x:f>IF(T26="","",I26*T26)</x:f>
        <x:v>22447.641016100002</x:v>
      </x:c>
    </x:row>
    <x:row r="27" ht="18" customHeight="1">
      <x:c r="A27" s="24" t="str">
        <x:v>EEZ_304</x:v>
      </x:c>
      <x:c r="B27" s="24" t="str">
        <x:v>Greenland (Denmark)</x:v>
      </x:c>
      <x:c r="C27" s="24" t="str">
        <x:v>EEZ</x:v>
      </x:c>
      <x:c r="D27" s="30" t="n">
        <x:v>2019</x:v>
      </x:c>
      <x:c r="E27" s="24" t="str">
        <x:v>Hippoglossus hippoglossus</x:v>
      </x:c>
      <x:c r="F27" s="24" t="str">
        <x:v>Atlantic halibut</x:v>
      </x:c>
      <x:c r="G27" s="24" t="str">
        <x:v>Large flatfishes (&gt;=90 cm)</x:v>
      </x:c>
      <x:c r="H27" s="24" t="str">
        <x:v>Flatfishes</x:v>
      </x:c>
      <x:c r="I27" s="31" t="n">
        <x:v>19.4907581194</x:v>
      </x:c>
      <x:c r="J27" s="31" t="n">
        <x:v>18.6258199999</x:v>
      </x:c>
      <x:c r="K27" s="31" t="n">
        <x:v>0.8649381195</x:v>
      </x:c>
      <x:c r="L27" s="31" t="n">
        <x:v>18.6258199999</x:v>
      </x:c>
      <x:c r="M27" s="31" t="n">
        <x:v>0.8649381195</x:v>
      </x:c>
      <x:c r="N27" s="24" t="str">
        <x:v>hippoglossus hippoglossus</x:v>
      </x:c>
      <x:c r="O27" s="32" t="n">
        <x:v>4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Hippoglossus hippoglossus</x:v>
      </x:c>
      <x:c r="T27" s="32" t="n">
        <x:f>IF(O27="","",(1/'Metadata'!$B$5)^(O27-1))</x:f>
        <x:v>1000</x:v>
      </x:c>
      <x:c r="U27" s="31" t="n">
        <x:f>IF(T27="","",I27*T27)</x:f>
        <x:v>19490.758119399998</x:v>
      </x:c>
    </x:row>
    <x:row r="28" ht="18" customHeight="1">
      <x:c r="A28" s="24" t="str">
        <x:v>EEZ_304</x:v>
      </x:c>
      <x:c r="B28" s="24" t="str">
        <x:v>Greenland (Denmark)</x:v>
      </x:c>
      <x:c r="C28" s="24" t="str">
        <x:v>EEZ</x:v>
      </x:c>
      <x:c r="D28" s="30" t="n">
        <x:v>2019</x:v>
      </x:c>
      <x:c r="E28" s="24" t="str">
        <x:v>Cephalopoda</x:v>
      </x:c>
      <x:c r="F28" s="24" t="str">
        <x:v>Squids, cuttlefishes, octopuses</x:v>
      </x:c>
      <x:c r="G28" s="24" t="str">
        <x:v>Cephalopods</x:v>
      </x:c>
      <x:c r="H28" s="24" t="str">
        <x:v>Other fishes &amp; inverts</x:v>
      </x:c>
      <x:c r="I28" s="31" t="n">
        <x:v>18.8827856387</x:v>
      </x:c>
      <x:c r="J28" s="31" t="n">
        <x:v>0</x:v>
      </x:c>
      <x:c r="K28" s="31" t="n">
        <x:v>18.8827856387</x:v>
      </x:c>
      <x:c r="L28" s="31" t="n">
        <x:v>0</x:v>
      </x:c>
      <x:c r="M28" s="31" t="n">
        <x:v>18.8827856387</x:v>
      </x:c>
      <x:c r="N28" s="24" t="str">
        <x:v>cephalopoda</x:v>
      </x:c>
      <x:c r="O28" s="32" t="n">
        <x:v>3.81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Cephalopoda</x:v>
      </x:c>
      <x:c r="T28" s="32" t="n">
        <x:f>IF(O28="","",(1/'Metadata'!$B$5)^(O28-1))</x:f>
        <x:v>645.6542290346556</x:v>
      </x:c>
      <x:c r="U28" s="31" t="n">
        <x:f>IF(T28="","",I28*T28)</x:f>
        <x:v>12191.750403581515</x:v>
      </x:c>
    </x:row>
    <x:row r="29" ht="18" customHeight="1">
      <x:c r="A29" s="24" t="str">
        <x:v>EEZ_304</x:v>
      </x:c>
      <x:c r="B29" s="24" t="str">
        <x:v>Greenland (Denmark)</x:v>
      </x:c>
      <x:c r="C29" s="24" t="str">
        <x:v>EEZ</x:v>
      </x:c>
      <x:c r="D29" s="30" t="n">
        <x:v>2019</x:v>
      </x:c>
      <x:c r="E29" s="24" t="str">
        <x:v>Salvelinus alpinus</x:v>
      </x:c>
      <x:c r="F29" s="24" t="str">
        <x:v>Arctic char</x:v>
      </x:c>
      <x:c r="G29" s="24" t="str">
        <x:v>Medium benthopelagics (30 - 89 cm)</x:v>
      </x:c>
      <x:c r="H29" s="24" t="str">
        <x:v>Salmon, smelts, etc</x:v>
      </x:c>
      <x:c r="I29" s="31" t="n">
        <x:v>12.451614679299999</x:v>
      </x:c>
      <x:c r="J29" s="31" t="n">
        <x:v>11.1096642531</x:v>
      </x:c>
      <x:c r="K29" s="31" t="n">
        <x:v>1.3419504262</x:v>
      </x:c>
      <x:c r="L29" s="31" t="n">
        <x:v>10</x:v>
      </x:c>
      <x:c r="M29" s="31" t="n">
        <x:v>2.4516146793</x:v>
      </x:c>
      <x:c r="N29" s="24" t="str">
        <x:v>salvelinus alpinus</x:v>
      </x:c>
      <x:c r="O29" s="32" t="n">
        <x:v>4.39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Salvelinus alpinus</x:v>
      </x:c>
      <x:c r="T29" s="32" t="n">
        <x:f>IF(O29="","",(1/'Metadata'!$B$5)^(O29-1))</x:f>
        <x:v>2454.7089156850284</x:v>
      </x:c>
      <x:c r="U29" s="31" t="n">
        <x:f>IF(T29="","",I29*T29)</x:f>
        <x:v>30565.089567952284</x:v>
      </x:c>
    </x:row>
    <x:row r="30" ht="18" customHeight="1">
      <x:c r="A30" s="24" t="str">
        <x:v>EEZ_304</x:v>
      </x:c>
      <x:c r="B30" s="24" t="str">
        <x:v>Greenland (Denmark)</x:v>
      </x:c>
      <x:c r="C30" s="24" t="str">
        <x:v>EEZ</x:v>
      </x:c>
      <x:c r="D30" s="30" t="n">
        <x:v>2019</x:v>
      </x:c>
      <x:c r="E30" s="24" t="str">
        <x:v>Marine finfishes not identified</x:v>
      </x:c>
      <x:c r="F30" s="24" t="str">
        <x:v>Finfishes</x:v>
      </x:c>
      <x:c r="G30" s="24" t="str">
        <x:v>Medium demersals (30 - 89 cm)</x:v>
      </x:c>
      <x:c r="H30" s="24" t="str">
        <x:v>Other fishes &amp; inverts</x:v>
      </x:c>
      <x:c r="I30" s="31" t="n">
        <x:v>11.8454291934</x:v>
      </x:c>
      <x:c r="J30" s="31" t="n">
        <x:v>8.631321697599999</x:v>
      </x:c>
      <x:c r="K30" s="31" t="n">
        <x:v>3.2141074957999995</x:v>
      </x:c>
      <x:c r="L30" s="31" t="n">
        <x:v>8.631321697599999</x:v>
      </x:c>
      <x:c r="M30" s="31" t="n">
        <x:v>3.2141074957999995</x:v>
      </x:c>
      <x:c r="N30" s="24" t="str">
        <x:v>marine finfishes not identified</x:v>
      </x:c>
      <x:c r="O30" s="32" t="n">
        <x:v>3.23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Marine finfishes not identified</x:v>
      </x:c>
      <x:c r="T30" s="32" t="n">
        <x:f>IF(O30="","",(1/'Metadata'!$B$5)^(O30-1))</x:f>
        <x:v>169.82436524617444</x:v>
      </x:c>
      <x:c r="U30" s="31" t="n">
        <x:f>IF(T30="","",I30*T30)</x:f>
        <x:v>2011.642493837659</x:v>
      </x:c>
    </x:row>
    <x:row r="31" ht="18" customHeight="1">
      <x:c r="A31" s="24" t="str">
        <x:v>EEZ_304</x:v>
      </x:c>
      <x:c r="B31" s="24" t="str">
        <x:v>Greenland (Denmark)</x:v>
      </x:c>
      <x:c r="C31" s="24" t="str">
        <x:v>EEZ</x:v>
      </x:c>
      <x:c r="D31" s="30" t="n">
        <x:v>2019</x:v>
      </x:c>
      <x:c r="E31" s="24" t="str">
        <x:v>Macrourus berglax</x:v>
      </x:c>
      <x:c r="F31" s="24" t="str">
        <x:v>Roughhead grenadier</x:v>
      </x:c>
      <x:c r="G31" s="24" t="str">
        <x:v>Large benthopelagics (&gt;=90 cm)</x:v>
      </x:c>
      <x:c r="H31" s="24" t="str">
        <x:v>Cod-likes</x:v>
      </x:c>
      <x:c r="I31" s="31" t="n">
        <x:v>9.7161954642</x:v>
      </x:c>
      <x:c r="J31" s="31" t="n">
        <x:v>4.2058500888</x:v>
      </x:c>
      <x:c r="K31" s="31" t="n">
        <x:v>5.5103453754</x:v>
      </x:c>
      <x:c r="L31" s="31" t="n">
        <x:v>4.2058500888</x:v>
      </x:c>
      <x:c r="M31" s="31" t="n">
        <x:v>5.5103453754</x:v>
      </x:c>
      <x:c r="N31" s="24" t="str">
        <x:v>macrourus berglax</x:v>
      </x:c>
      <x:c r="O31" s="32" t="n">
        <x:v>4.48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Macrourus berglax</x:v>
      </x:c>
      <x:c r="T31" s="32" t="n">
        <x:f>IF(O31="","",(1/'Metadata'!$B$5)^(O31-1))</x:f>
        <x:v>3019.951720402019</x:v>
      </x:c>
      <x:c r="U31" s="31" t="n">
        <x:f>IF(T31="","",I31*T31)</x:f>
        <x:v>29342.441207873082</x:v>
      </x:c>
    </x:row>
    <x:row r="32" ht="18" customHeight="1">
      <x:c r="A32" s="24" t="str">
        <x:v>EEZ_304</x:v>
      </x:c>
      <x:c r="B32" s="24" t="str">
        <x:v>Greenland (Denmark)</x:v>
      </x:c>
      <x:c r="C32" s="24" t="str">
        <x:v>EEZ</x:v>
      </x:c>
      <x:c r="D32" s="30" t="n">
        <x:v>2019</x:v>
      </x:c>
      <x:c r="E32" s="24" t="str">
        <x:v>Gadidae</x:v>
      </x:c>
      <x:c r="F32" s="24" t="str">
        <x:v>Cods, haddocks</x:v>
      </x:c>
      <x:c r="G32" s="24" t="str">
        <x:v>Medium demersals (30 - 89 cm)</x:v>
      </x:c>
      <x:c r="H32" s="24" t="str">
        <x:v>Cod-likes</x:v>
      </x:c>
      <x:c r="I32" s="31" t="n">
        <x:v>7.6197171751</x:v>
      </x:c>
      <x:c r="J32" s="31" t="n">
        <x:v>0</x:v>
      </x:c>
      <x:c r="K32" s="31" t="n">
        <x:v>7.6197171751</x:v>
      </x:c>
      <x:c r="L32" s="31" t="n">
        <x:v>0</x:v>
      </x:c>
      <x:c r="M32" s="31" t="n">
        <x:v>7.6197171751</x:v>
      </x:c>
      <x:c r="N32" s="24" t="str">
        <x:v>gadidae</x:v>
      </x:c>
      <x:c r="O32" s="32" t="n">
        <x:v>3.84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Gadidae</x:v>
      </x:c>
      <x:c r="T32" s="32" t="n">
        <x:f>IF(O32="","",(1/'Metadata'!$B$5)^(O32-1))</x:f>
        <x:v>691.8309709189363</x:v>
      </x:c>
      <x:c r="U32" s="31" t="n">
        <x:f>IF(T32="","",I32*T32)</x:f>
        <x:v>5271.556331377127</x:v>
      </x:c>
    </x:row>
    <x:row r="33" ht="18" customHeight="1">
      <x:c r="A33" s="24" t="str">
        <x:v>EEZ_304</x:v>
      </x:c>
      <x:c r="B33" s="24" t="str">
        <x:v>Greenland (Denmark)</x:v>
      </x:c>
      <x:c r="C33" s="24" t="str">
        <x:v>EEZ</x:v>
      </x:c>
      <x:c r="D33" s="30" t="n">
        <x:v>2019</x:v>
      </x:c>
      <x:c r="E33" s="24" t="str">
        <x:v>Gadiformes</x:v>
      </x:c>
      <x:c r="F33" s="24" t="str">
        <x:v>Cods</x:v>
      </x:c>
      <x:c r="G33" s="24" t="str">
        <x:v>Medium benthopelagics (30 - 89 cm)</x:v>
      </x:c>
      <x:c r="H33" s="24" t="str">
        <x:v>Cod-likes</x:v>
      </x:c>
      <x:c r="I33" s="31" t="n">
        <x:v>6.52520666</x:v>
      </x:c>
      <x:c r="J33" s="31" t="n">
        <x:v>2.8090874461000004</x:v>
      </x:c>
      <x:c r="K33" s="31" t="n">
        <x:v>3.7161192139</x:v>
      </x:c>
      <x:c r="L33" s="31" t="n">
        <x:v>2.8090874461000004</x:v>
      </x:c>
      <x:c r="M33" s="31" t="n">
        <x:v>3.7161192139</x:v>
      </x:c>
      <x:c r="N33" s="24" t="str">
        <x:v>gadiformes</x:v>
      </x:c>
      <x:c r="O33" s="32" t="n">
        <x:v>3.91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Gadiformes</x:v>
      </x:c>
      <x:c r="T33" s="32" t="n">
        <x:f>IF(O33="","",(1/'Metadata'!$B$5)^(O33-1))</x:f>
        <x:v>812.8305161640995</x:v>
      </x:c>
      <x:c r="U33" s="31" t="n">
        <x:f>IF(T33="","",I33*T33)</x:f>
        <x:v>5303.88709752522</x:v>
      </x:c>
    </x:row>
    <x:row r="34" ht="18" customHeight="1">
      <x:c r="A34" s="24" t="str">
        <x:v>EEZ_304</x:v>
      </x:c>
      <x:c r="B34" s="24" t="str">
        <x:v>Greenland (Denmark)</x:v>
      </x:c>
      <x:c r="C34" s="24" t="str">
        <x:v>EEZ</x:v>
      </x:c>
      <x:c r="D34" s="30" t="n">
        <x:v>2019</x:v>
      </x:c>
      <x:c r="E34" s="24" t="str">
        <x:v>Miscellaneous marine crustaceans</x:v>
      </x:c>
      <x:c r="F34" s="24" t="str">
        <x:v>Marine crabs, shrimps, lobsters nei</x:v>
      </x:c>
      <x:c r="G34" s="24" t="str">
        <x:v>Shrimps</x:v>
      </x:c>
      <x:c r="H34" s="24" t="str">
        <x:v>Crustaceans</x:v>
      </x:c>
      <x:c r="I34" s="31" t="n">
        <x:v>5.8955013894</x:v>
      </x:c>
      <x:c r="J34" s="31" t="n">
        <x:v>0.0240964713</x:v>
      </x:c>
      <x:c r="K34" s="31" t="n">
        <x:v>5.8714049181</x:v>
      </x:c>
      <x:c r="L34" s="31" t="n">
        <x:v>0.0240964713</x:v>
      </x:c>
      <x:c r="M34" s="31" t="n">
        <x:v>5.8714049181</x:v>
      </x:c>
      <x:c r="N34" s="24" t="str">
        <x:v>miscellaneous marine crustaceans</x:v>
      </x:c>
      <x:c r="O34" s="32" t="n">
        <x:v>2.7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Miscellaneous marine crustaceans</x:v>
      </x:c>
      <x:c r="T34" s="32" t="n">
        <x:f>IF(O34="","",(1/'Metadata'!$B$5)^(O34-1))</x:f>
        <x:v>50.11872336272725</x:v>
      </x:c>
      <x:c r="U34" s="31" t="n">
        <x:f>IF(T34="","",I34*T34)</x:f>
        <x:v>295.47500321991276</x:v>
      </x:c>
    </x:row>
    <x:row r="35" ht="18" customHeight="1">
      <x:c r="A35" s="24" t="str">
        <x:v>EEZ_304</x:v>
      </x:c>
      <x:c r="B35" s="24" t="str">
        <x:v>Greenland (Denmark)</x:v>
      </x:c>
      <x:c r="C35" s="24" t="str">
        <x:v>EEZ</x:v>
      </x:c>
      <x:c r="D35" s="30" t="n">
        <x:v>2019</x:v>
      </x:c>
      <x:c r="E35" s="24" t="str">
        <x:v>Brachyura</x:v>
      </x:c>
      <x:c r="F35" s="24" t="str">
        <x:v>Marine crabs</x:v>
      </x:c>
      <x:c r="G35" s="24" t="str">
        <x:v>Lobsters, crabs</x:v>
      </x:c>
      <x:c r="H35" s="24" t="str">
        <x:v>Crustaceans</x:v>
      </x:c>
      <x:c r="I35" s="31" t="n">
        <x:v>5.1388291722999995</x:v>
      </x:c>
      <x:c r="J35" s="31" t="n">
        <x:v>5.1388291722999995</x:v>
      </x:c>
      <x:c r="K35" s="31" t="n">
        <x:v>0</x:v>
      </x:c>
      <x:c r="L35" s="31" t="n">
        <x:v>5.1388291722999995</x:v>
      </x:c>
      <x:c r="M35" s="31" t="n">
        <x:v>0</x:v>
      </x:c>
      <x:c r="N35" s="24" t="str">
        <x:v>brachyura</x:v>
      </x:c>
      <x:c r="O35" s="32" t="n">
        <x:v>2.6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Brachyura</x:v>
      </x:c>
      <x:c r="T35" s="32" t="n">
        <x:f>IF(O35="","",(1/'Metadata'!$B$5)^(O35-1))</x:f>
        <x:v>39.810717055349734</x:v>
      </x:c>
      <x:c r="U35" s="31" t="n">
        <x:f>IF(T35="","",I35*T35)</x:f>
        <x:v>204.58047417421236</x:v>
      </x:c>
    </x:row>
    <x:row r="36" ht="18" customHeight="1">
      <x:c r="A36" s="24" t="str">
        <x:v>EEZ_304</x:v>
      </x:c>
      <x:c r="B36" s="24" t="str">
        <x:v>Greenland (Denmark)</x:v>
      </x:c>
      <x:c r="C36" s="24" t="str">
        <x:v>EEZ</x:v>
      </x:c>
      <x:c r="D36" s="30" t="n">
        <x:v>2019</x:v>
      </x:c>
      <x:c r="E36" s="24" t="str">
        <x:v>Anarhichas lupus</x:v>
      </x:c>
      <x:c r="F36" s="24" t="str">
        <x:v>Atlantic wolffish</x:v>
      </x:c>
      <x:c r="G36" s="24" t="str">
        <x:v>Large demersals (&gt;=90 cm)</x:v>
      </x:c>
      <x:c r="H36" s="24" t="str">
        <x:v>Perch-likes</x:v>
      </x:c>
      <x:c r="I36" s="31" t="n">
        <x:v>4.6618999998</x:v>
      </x:c>
      <x:c r="J36" s="31" t="n">
        <x:v>4.6618999998</x:v>
      </x:c>
      <x:c r="K36" s="31" t="n">
        <x:v>0</x:v>
      </x:c>
      <x:c r="L36" s="31" t="n">
        <x:v>4.6618999998</x:v>
      </x:c>
      <x:c r="M36" s="31" t="n">
        <x:v>0</x:v>
      </x:c>
      <x:c r="N36" s="24" t="str">
        <x:v>anarhichas lupus</x:v>
      </x:c>
      <x:c r="O36" s="32" t="n">
        <x:v>3.55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Anarhichas lupus</x:v>
      </x:c>
      <x:c r="T36" s="32" t="n">
        <x:f>IF(O36="","",(1/'Metadata'!$B$5)^(O36-1))</x:f>
        <x:v>354.8133892335753</x:v>
      </x:c>
      <x:c r="U36" s="31" t="n">
        <x:f>IF(T36="","",I36*T36)</x:f>
        <x:v>1654.1045391970422</x:v>
      </x:c>
    </x:row>
    <x:row r="37" ht="18" customHeight="1">
      <x:c r="A37" s="24" t="str">
        <x:v>EEZ_304</x:v>
      </x:c>
      <x:c r="B37" s="24" t="str">
        <x:v>Greenland (Denmark)</x:v>
      </x:c>
      <x:c r="C37" s="24" t="str">
        <x:v>EEZ</x:v>
      </x:c>
      <x:c r="D37" s="30" t="n">
        <x:v>2019</x:v>
      </x:c>
      <x:c r="E37" s="24" t="str">
        <x:v>Squalidae</x:v>
      </x:c>
      <x:c r="F37" s="24" t="str">
        <x:v>Dogfish sharks</x:v>
      </x:c>
      <x:c r="G37" s="24" t="str">
        <x:v>Large sharks (&gt;=90 cm)</x:v>
      </x:c>
      <x:c r="H37" s="24" t="str">
        <x:v>Sharks &amp; rays</x:v>
      </x:c>
      <x:c r="I37" s="31" t="n">
        <x:v>4</x:v>
      </x:c>
      <x:c r="J37" s="31" t="n">
        <x:v>4</x:v>
      </x:c>
      <x:c r="K37" s="31" t="n">
        <x:v>0</x:v>
      </x:c>
      <x:c r="L37" s="31" t="n">
        <x:v>4</x:v>
      </x:c>
      <x:c r="M37" s="31" t="n">
        <x:v>0</x:v>
      </x:c>
      <x:c r="N37" s="24" t="str">
        <x:v>squalidae</x:v>
      </x:c>
      <x:c r="O37" s="32" t="n">
        <x:v>4.23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Squalidae</x:v>
      </x:c>
      <x:c r="T37" s="32" t="n">
        <x:f>IF(O37="","",(1/'Metadata'!$B$5)^(O37-1))</x:f>
        <x:v>1698.243652461746</x:v>
      </x:c>
      <x:c r="U37" s="31" t="n">
        <x:f>IF(T37="","",I37*T37)</x:f>
        <x:v>6792.974609846984</x:v>
      </x:c>
    </x:row>
    <x:row r="38" ht="18" customHeight="1">
      <x:c r="A38" s="24" t="str">
        <x:v>EEZ_304</x:v>
      </x:c>
      <x:c r="B38" s="24" t="str">
        <x:v>Greenland (Denmark)</x:v>
      </x:c>
      <x:c r="C38" s="24" t="str">
        <x:v>EEZ</x:v>
      </x:c>
      <x:c r="D38" s="30" t="n">
        <x:v>2019</x:v>
      </x:c>
      <x:c r="E38" s="24" t="str">
        <x:v>Melanogrammus aeglefinus</x:v>
      </x:c>
      <x:c r="F38" s="24" t="str">
        <x:v>Haddock</x:v>
      </x:c>
      <x:c r="G38" s="24" t="str">
        <x:v>Medium demersals (30 - 89 cm)</x:v>
      </x:c>
      <x:c r="H38" s="24" t="str">
        <x:v>Cod-likes</x:v>
      </x:c>
      <x:c r="I38" s="31" t="n">
        <x:v>2.9491733674</x:v>
      </x:c>
      <x:c r="J38" s="31" t="n">
        <x:v>2.7961041692</x:v>
      </x:c>
      <x:c r="K38" s="31" t="n">
        <x:v>0.1530691982</x:v>
      </x:c>
      <x:c r="L38" s="31" t="n">
        <x:v>2.660230001</x:v>
      </x:c>
      <x:c r="M38" s="31" t="n">
        <x:v>0.2889433664</x:v>
      </x:c>
      <x:c r="N38" s="24" t="str">
        <x:v>melanogrammus aeglefinus</x:v>
      </x:c>
      <x:c r="O38" s="32" t="n">
        <x:v>4.03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Melanogrammus aeglefinus</x:v>
      </x:c>
      <x:c r="T38" s="32" t="n">
        <x:f>IF(O38="","",(1/'Metadata'!$B$5)^(O38-1))</x:f>
        <x:v>1071.519305237607</x:v>
      </x:c>
      <x:c r="U38" s="31" t="n">
        <x:f>IF(T38="","",I38*T38)</x:f>
        <x:v>3160.096197661702</x:v>
      </x:c>
    </x:row>
    <x:row r="39" ht="18" customHeight="1">
      <x:c r="A39" s="24" t="str">
        <x:v>EEZ_304</x:v>
      </x:c>
      <x:c r="B39" s="24" t="str">
        <x:v>Greenland (Denmark)</x:v>
      </x:c>
      <x:c r="C39" s="24" t="str">
        <x:v>EEZ</x:v>
      </x:c>
      <x:c r="D39" s="30" t="n">
        <x:v>2019</x:v>
      </x:c>
      <x:c r="E39" s="24" t="str">
        <x:v>Sebastidae</x:v>
      </x:c>
      <x:c r="F39" s="24" t="str">
        <x:v>Rockfishes, rockcods, thornyheads</x:v>
      </x:c>
      <x:c r="G39" s="24" t="str">
        <x:v>Medium demersals (30 - 89 cm)</x:v>
      </x:c>
      <x:c r="H39" s="24" t="str">
        <x:v>Scorpionfishes</x:v>
      </x:c>
      <x:c r="I39" s="31" t="n">
        <x:v>2.0243674811</x:v>
      </x:c>
      <x:c r="J39" s="31" t="n">
        <x:v>0</x:v>
      </x:c>
      <x:c r="K39" s="31" t="n">
        <x:v>2.0243674811</x:v>
      </x:c>
      <x:c r="L39" s="31" t="n">
        <x:v>0</x:v>
      </x:c>
      <x:c r="M39" s="31" t="n">
        <x:v>2.0243674811</x:v>
      </x:c>
      <x:c r="N39" s="24" t="str">
        <x:v>sebastidae</x:v>
      </x:c>
      <x:c r="O39" s="32" t="n">
        <x:v>3.74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Sebastidae</x:v>
      </x:c>
      <x:c r="T39" s="32" t="n">
        <x:f>IF(O39="","",(1/'Metadata'!$B$5)^(O39-1))</x:f>
        <x:v>549.5408738576248</x:v>
      </x:c>
      <x:c r="U39" s="31" t="n">
        <x:f>IF(T39="","",I39*T39)</x:f>
        <x:v>1112.4726745726527</x:v>
      </x:c>
    </x:row>
    <x:row r="40" ht="18" customHeight="1">
      <x:c r="A40" s="24" t="str">
        <x:v>EEZ_304</x:v>
      </x:c>
      <x:c r="B40" s="24" t="str">
        <x:v>Greenland (Denmark)</x:v>
      </x:c>
      <x:c r="C40" s="24" t="str">
        <x:v>EEZ</x:v>
      </x:c>
      <x:c r="D40" s="30" t="n">
        <x:v>2019</x:v>
      </x:c>
      <x:c r="E40" s="24" t="str">
        <x:v>Hippoglossoides platessoides</x:v>
      </x:c>
      <x:c r="F40" s="24" t="str">
        <x:v>American plaice</x:v>
      </x:c>
      <x:c r="G40" s="24" t="str">
        <x:v>Small to medium flatfishes (&lt;90 cm)</x:v>
      </x:c>
      <x:c r="H40" s="24" t="str">
        <x:v>Flatfishes</x:v>
      </x:c>
      <x:c r="I40" s="31" t="n">
        <x:v>2</x:v>
      </x:c>
      <x:c r="J40" s="31" t="n">
        <x:v>2</x:v>
      </x:c>
      <x:c r="K40" s="31" t="n">
        <x:v>0</x:v>
      </x:c>
      <x:c r="L40" s="31" t="n">
        <x:v>2</x:v>
      </x:c>
      <x:c r="M40" s="31" t="n">
        <x:v>0</x:v>
      </x:c>
      <x:c r="N40" s="24" t="str">
        <x:v>hippoglossoides platessoides</x:v>
      </x:c>
      <x:c r="O40" s="32" t="n">
        <x:v>4.08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Hippoglossoides platessoides</x:v>
      </x:c>
      <x:c r="T40" s="32" t="n">
        <x:f>IF(O40="","",(1/'Metadata'!$B$5)^(O40-1))</x:f>
        <x:v>1202.2644346174131</x:v>
      </x:c>
      <x:c r="U40" s="31" t="n">
        <x:f>IF(T40="","",I40*T40)</x:f>
        <x:v>2404.5288692348263</x:v>
      </x:c>
    </x:row>
    <x:row r="41" ht="18" customHeight="1">
      <x:c r="A41" s="24" t="str">
        <x:v>EEZ_304</x:v>
      </x:c>
      <x:c r="B41" s="24" t="str">
        <x:v>Greenland (Denmark)</x:v>
      </x:c>
      <x:c r="C41" s="24" t="str">
        <x:v>EEZ</x:v>
      </x:c>
      <x:c r="D41" s="30" t="n">
        <x:v>2019</x:v>
      </x:c>
      <x:c r="E41" s="24" t="str">
        <x:v>Bivalvia</x:v>
      </x:c>
      <x:c r="F41" s="24" t="str">
        <x:v>Clams</x:v>
      </x:c>
      <x:c r="G41" s="24" t="str">
        <x:v>Other demersal invertebrates</x:v>
      </x:c>
      <x:c r="H41" s="24" t="str">
        <x:v>Molluscs</x:v>
      </x:c>
      <x:c r="I41" s="31" t="n">
        <x:v>1.7490032004</x:v>
      </x:c>
      <x:c r="J41" s="31" t="n">
        <x:v>0.0030203892</x:v>
      </x:c>
      <x:c r="K41" s="31" t="n">
        <x:v>1.7459828112</x:v>
      </x:c>
      <x:c r="L41" s="31" t="n">
        <x:v>0.0030203892</x:v>
      </x:c>
      <x:c r="M41" s="31" t="n">
        <x:v>1.7459828112</x:v>
      </x:c>
      <x:c r="N41" s="24" t="str">
        <x:v>bivalvia</x:v>
      </x:c>
      <x:c r="O41" s="32" t="n">
        <x:v>2.23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Bivalvia</x:v>
      </x:c>
      <x:c r="T41" s="32" t="n">
        <x:f>IF(O41="","",(1/'Metadata'!$B$5)^(O41-1))</x:f>
        <x:v>16.982436524617444</x:v>
      </x:c>
      <x:c r="U41" s="31" t="n">
        <x:f>IF(T41="","",I41*T41)</x:f>
        <x:v>29.702335832145764</x:v>
      </x:c>
    </x:row>
    <x:row r="42" ht="18" customHeight="1">
      <x:c r="A42" s="24" t="str">
        <x:v>EEZ_304</x:v>
      </x:c>
      <x:c r="B42" s="24" t="str">
        <x:v>Greenland (Denmark)</x:v>
      </x:c>
      <x:c r="C42" s="24" t="str">
        <x:v>EEZ</x:v>
      </x:c>
      <x:c r="D42" s="30" t="n">
        <x:v>2019</x:v>
      </x:c>
      <x:c r="E42" s="24" t="str">
        <x:v>Micromesistius poutassou</x:v>
      </x:c>
      <x:c r="F42" s="24" t="str">
        <x:v>Blue whiting</x:v>
      </x:c>
      <x:c r="G42" s="24" t="str">
        <x:v>Medium benthopelagics (30 - 89 cm)</x:v>
      </x:c>
      <x:c r="H42" s="24" t="str">
        <x:v>Cod-likes</x:v>
      </x:c>
      <x:c r="I42" s="31" t="n">
        <x:v>0.16935677519999998</x:v>
      </x:c>
      <x:c r="J42" s="31" t="n">
        <x:v>0.1693232304</x:v>
      </x:c>
      <x:c r="K42" s="31" t="n">
        <x:v>0.0000335448</x:v>
      </x:c>
      <x:c r="L42" s="31" t="n">
        <x:v>0.1693232304</x:v>
      </x:c>
      <x:c r="M42" s="31" t="n">
        <x:v>0.0000335448</x:v>
      </x:c>
      <x:c r="N42" s="24" t="str">
        <x:v>micromesistius poutassou</x:v>
      </x:c>
      <x:c r="O42" s="32" t="n">
        <x:v>4.13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Micromesistius poutassou</x:v>
      </x:c>
      <x:c r="T42" s="32" t="n">
        <x:f>IF(O42="","",(1/'Metadata'!$B$5)^(O42-1))</x:f>
        <x:v>1348.9628825916532</x:v>
      </x:c>
      <x:c r="U42" s="31" t="n">
        <x:f>IF(T42="","",I42*T42)</x:f>
        <x:v>228.45600366021856</x:v>
      </x:c>
    </x:row>
    <x:row r="43" ht="18" customHeight="1">
      <x:c r="A43" s="24" t="str">
        <x:v>EEZ_304</x:v>
      </x:c>
      <x:c r="B43" s="24" t="str">
        <x:v>Greenland (Denmark)</x:v>
      </x:c>
      <x:c r="C43" s="24" t="str">
        <x:v>EEZ</x:v>
      </x:c>
      <x:c r="D43" s="30" t="n">
        <x:v>2019</x:v>
      </x:c>
      <x:c r="E43" s="24" t="str">
        <x:v>Rajiformes</x:v>
      </x:c>
      <x:c r="F43" s="24" t="str">
        <x:v>Skates and rays</x:v>
      </x:c>
      <x:c r="G43" s="24" t="str">
        <x:v>Large rays (&gt;=90 cm)</x:v>
      </x:c>
      <x:c r="H43" s="24" t="str">
        <x:v>Sharks &amp; rays</x:v>
      </x:c>
      <x:c r="I43" s="31" t="n">
        <x:v>0.1210574596</x:v>
      </x:c>
      <x:c r="J43" s="31" t="n">
        <x:v>0.1210574596</x:v>
      </x:c>
      <x:c r="K43" s="31" t="n">
        <x:v>0</x:v>
      </x:c>
      <x:c r="L43" s="31" t="n">
        <x:v>0.1210574596</x:v>
      </x:c>
      <x:c r="M43" s="31" t="n">
        <x:v>0</x:v>
      </x:c>
      <x:c r="N43" s="24" t="str">
        <x:v>rajiformes</x:v>
      </x:c>
      <x:c r="O43" s="32" t="n">
        <x:v>3.61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Rajiformes</x:v>
      </x:c>
      <x:c r="T43" s="32" t="n">
        <x:f>IF(O43="","",(1/'Metadata'!$B$5)^(O43-1))</x:f>
        <x:v>407.3802778041126</x:v>
      </x:c>
      <x:c r="U43" s="31" t="n">
        <x:f>IF(T43="","",I43*T43)</x:f>
        <x:v>49.316421522108136</x:v>
      </x:c>
    </x:row>
    <x:row r="44" ht="18" customHeight="1">
      <x:c r="A44" s="24" t="str">
        <x:v>EEZ_304</x:v>
      </x:c>
      <x:c r="B44" s="24" t="str">
        <x:v>Greenland (Denmark)</x:v>
      </x:c>
      <x:c r="C44" s="24" t="str">
        <x:v>EEZ</x:v>
      </x:c>
      <x:c r="D44" s="30" t="n">
        <x:v>2019</x:v>
      </x:c>
      <x:c r="E44" s="24" t="str">
        <x:v>Macrouridae</x:v>
      </x:c>
      <x:c r="F44" s="24" t="str">
        <x:v>Grenadiers, rattails</x:v>
      </x:c>
      <x:c r="G44" s="24" t="str">
        <x:v>Medium benthopelagics (30 - 89 cm)</x:v>
      </x:c>
      <x:c r="H44" s="24" t="str">
        <x:v>Cod-likes</x:v>
      </x:c>
      <x:c r="I44" s="31" t="n">
        <x:v>0.1190356276</x:v>
      </x:c>
      <x:c r="J44" s="31" t="n">
        <x:v>0</x:v>
      </x:c>
      <x:c r="K44" s="31" t="n">
        <x:v>0.1190356276</x:v>
      </x:c>
      <x:c r="L44" s="31" t="n">
        <x:v>0</x:v>
      </x:c>
      <x:c r="M44" s="31" t="n">
        <x:v>0.1190356276</x:v>
      </x:c>
      <x:c r="N44" s="24" t="str">
        <x:v>macrouridae</x:v>
      </x:c>
      <x:c r="O44" s="32" t="n">
        <x:v>3.88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Macrouridae</x:v>
      </x:c>
      <x:c r="T44" s="32" t="n">
        <x:f>IF(O44="","",(1/'Metadata'!$B$5)^(O44-1))</x:f>
        <x:v>758.5775750291835</x:v>
      </x:c>
      <x:c r="U44" s="31" t="n">
        <x:f>IF(T44="","",I44*T44)</x:f>
        <x:v>90.29775772688495</x:v>
      </x:c>
    </x:row>
    <x:row r="45" ht="18" customHeight="1">
      <x:c r="A45" s="24" t="str">
        <x:v>EEZ_304</x:v>
      </x:c>
      <x:c r="B45" s="24" t="str">
        <x:v>Greenland (Denmark)</x:v>
      </x:c>
      <x:c r="C45" s="24" t="str">
        <x:v>EEZ</x:v>
      </x:c>
      <x:c r="D45" s="30" t="n">
        <x:v>2019</x:v>
      </x:c>
      <x:c r="E45" s="24" t="str">
        <x:v>Mollusca</x:v>
      </x:c>
      <x:c r="F45" s="24" t="str">
        <x:v>Clams, seasnails, squids, octopuses</x:v>
      </x:c>
      <x:c r="G45" s="24" t="str">
        <x:v>Other demersal invertebrates</x:v>
      </x:c>
      <x:c r="H45" s="24" t="str">
        <x:v>Molluscs</x:v>
      </x:c>
      <x:c r="I45" s="31" t="n">
        <x:v>0.0327011267</x:v>
      </x:c>
      <x:c r="J45" s="31" t="n">
        <x:v>0.0327011267</x:v>
      </x:c>
      <x:c r="K45" s="31" t="n">
        <x:v>0</x:v>
      </x:c>
      <x:c r="L45" s="31" t="n">
        <x:v>0.0327011267</x:v>
      </x:c>
      <x:c r="M45" s="31" t="n">
        <x:v>0</x:v>
      </x:c>
      <x:c r="N45" s="24" t="str">
        <x:v>mollusca</x:v>
      </x:c>
      <x:c r="O45" s="32" t="n">
        <x:v>2.1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Mollusca</x:v>
      </x:c>
      <x:c r="T45" s="32" t="n">
        <x:f>IF(O45="","",(1/'Metadata'!$B$5)^(O45-1))</x:f>
        <x:v>12.589254117941675</x:v>
      </x:c>
      <x:c r="U45" s="31" t="n">
        <x:f>IF(T45="","",I45*T45)</x:f>
        <x:v>0.41168279396930746</x:v>
      </x:c>
    </x:row>
    <x:row r="46" ht="18" customHeight="1">
      <x:c r="A46" s="24" t="str">
        <x:v>EEZ_304</x:v>
      </x:c>
      <x:c r="B46" s="24" t="str">
        <x:v>Greenland (Denmark)</x:v>
      </x:c>
      <x:c r="C46" s="24" t="str">
        <x:v>EEZ</x:v>
      </x:c>
      <x:c r="D46" s="30" t="n">
        <x:v>2019</x:v>
      </x:c>
      <x:c r="E46" s="24" t="str">
        <x:v>Rajidae</x:v>
      </x:c>
      <x:c r="F46" s="24" t="str">
        <x:v>Stingrays</x:v>
      </x:c>
      <x:c r="G46" s="24" t="str">
        <x:v>Large rays (&gt;=90 cm)</x:v>
      </x:c>
      <x:c r="H46" s="24" t="str">
        <x:v>Sharks &amp; rays</x:v>
      </x:c>
      <x:c r="I46" s="31" t="n">
        <x:v>0.0205383193</x:v>
      </x:c>
      <x:c r="J46" s="31" t="n">
        <x:v>0.0205383193</x:v>
      </x:c>
      <x:c r="K46" s="31" t="n">
        <x:v>0</x:v>
      </x:c>
      <x:c r="L46" s="31" t="n">
        <x:v>0.0205383193</x:v>
      </x:c>
      <x:c r="M46" s="31" t="n">
        <x:v>0</x:v>
      </x:c>
      <x:c r="N46" s="24" t="str">
        <x:v>rajidae</x:v>
      </x:c>
      <x:c r="O46" s="32" t="n">
        <x:v>3.82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Rajidae</x:v>
      </x:c>
      <x:c r="T46" s="32" t="n">
        <x:f>IF(O46="","",(1/'Metadata'!$B$5)^(O46-1))</x:f>
        <x:v>660.6934480075957</x:v>
      </x:c>
      <x:c r="U46" s="31" t="n">
        <x:f>IF(T46="","",I46*T46)</x:f>
        <x:v>13.56953299459795</x:v>
      </x:c>
    </x:row>
    <x:row r="47" ht="18" customHeight="1">
      <x:c r="A47" s="24" t="str">
        <x:v>EEZ_304</x:v>
      </x:c>
      <x:c r="B47" s="24" t="str">
        <x:v>Greenland (Denmark)</x:v>
      </x:c>
      <x:c r="C47" s="24" t="str">
        <x:v>EEZ</x:v>
      </x:c>
      <x:c r="D47" s="30" t="n">
        <x:v>2019</x:v>
      </x:c>
      <x:c r="E47" s="24" t="str">
        <x:v>Lamnidae</x:v>
      </x:c>
      <x:c r="F47" s="24" t="str">
        <x:v>Mackerel/white sharks</x:v>
      </x:c>
      <x:c r="G47" s="24" t="str">
        <x:v>Large sharks (&gt;=90 cm)</x:v>
      </x:c>
      <x:c r="H47" s="24" t="str">
        <x:v>Sharks &amp; rays</x:v>
      </x:c>
      <x:c r="I47" s="31" t="n">
        <x:v>0.017540601</x:v>
      </x:c>
      <x:c r="J47" s="31" t="n">
        <x:v>0.017540601</x:v>
      </x:c>
      <x:c r="K47" s="31" t="n">
        <x:v>0</x:v>
      </x:c>
      <x:c r="L47" s="31" t="n">
        <x:v>0.017540601</x:v>
      </x:c>
      <x:c r="M47" s="31" t="n">
        <x:v>0</x:v>
      </x:c>
      <x:c r="N47" s="24" t="str">
        <x:v>lamnidae</x:v>
      </x:c>
      <x:c r="O47" s="32" t="n">
        <x:v>4.5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Lamnidae</x:v>
      </x:c>
      <x:c r="T47" s="32" t="n">
        <x:f>IF(O47="","",(1/'Metadata'!$B$5)^(O47-1))</x:f>
        <x:v>3162.2776601683795</x:v>
      </x:c>
      <x:c r="U47" s="31" t="n">
        <x:f>IF(T47="","",I47*T47)</x:f>
        <x:v>55.46825068822714</x:v>
      </x:c>
    </x:row>
    <x:row r="48" ht="18" customHeight="1">
      <x:c r="A48" s="24" t="str">
        <x:v>EEZ_304</x:v>
      </x:c>
      <x:c r="B48" s="24" t="str">
        <x:v>Greenland (Denmark)</x:v>
      </x:c>
      <x:c r="C48" s="24" t="str">
        <x:v>EEZ</x:v>
      </x:c>
      <x:c r="D48" s="30" t="n">
        <x:v>2019</x:v>
      </x:c>
      <x:c r="E48" s="24" t="str">
        <x:v>Carangidae</x:v>
      </x:c>
      <x:c r="F48" s="24" t="str">
        <x:v>Jacks, pompanos</x:v>
      </x:c>
      <x:c r="G48" s="24" t="str">
        <x:v>Medium pelagics (30 - 89 cm)</x:v>
      </x:c>
      <x:c r="H48" s="24" t="str">
        <x:v>Perch-likes</x:v>
      </x:c>
      <x:c r="I48" s="31" t="n">
        <x:v>0.0139969045</x:v>
      </x:c>
      <x:c r="J48" s="31" t="n">
        <x:v>0</x:v>
      </x:c>
      <x:c r="K48" s="31" t="n">
        <x:v>0.0139969045</x:v>
      </x:c>
      <x:c r="L48" s="31" t="n">
        <x:v>0</x:v>
      </x:c>
      <x:c r="M48" s="31" t="n">
        <x:v>0.0139969045</x:v>
      </x:c>
      <x:c r="N48" s="24" t="str">
        <x:v>carangidae</x:v>
      </x:c>
      <x:c r="O48" s="32" t="n">
        <x:v>4.05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Carangidae</x:v>
      </x:c>
      <x:c r="T48" s="32" t="n">
        <x:f>IF(O48="","",(1/'Metadata'!$B$5)^(O48-1))</x:f>
        <x:v>1122.018454301963</x:v>
      </x:c>
      <x:c r="U48" s="31" t="n">
        <x:f>IF(T48="","",I48*T48)</x:f>
        <x:v>15.70478515210219</x:v>
      </x:c>
    </x:row>
    <x:row r="49" ht="18" customHeight="1">
      <x:c r="A49" s="24" t="str">
        <x:v>EEZ_304</x:v>
      </x:c>
      <x:c r="B49" s="24" t="str">
        <x:v>Greenland (Denmark)</x:v>
      </x:c>
      <x:c r="C49" s="24" t="str">
        <x:v>EEZ</x:v>
      </x:c>
      <x:c r="D49" s="30" t="n">
        <x:v>2019</x:v>
      </x:c>
      <x:c r="E49" s="24" t="str">
        <x:v>Clupeidae</x:v>
      </x:c>
      <x:c r="F49" s="24" t="str">
        <x:v>Herrings, sardines, menhadens</x:v>
      </x:c>
      <x:c r="G49" s="24" t="str">
        <x:v>Small pelagics (&lt;30 cm)</x:v>
      </x:c>
      <x:c r="H49" s="24" t="str">
        <x:v>Herring-likes</x:v>
      </x:c>
      <x:c r="I49" s="31" t="n">
        <x:v>0.0069978872</x:v>
      </x:c>
      <x:c r="J49" s="31" t="n">
        <x:v>0</x:v>
      </x:c>
      <x:c r="K49" s="31" t="n">
        <x:v>0.0069978872</x:v>
      </x:c>
      <x:c r="L49" s="31" t="n">
        <x:v>0</x:v>
      </x:c>
      <x:c r="M49" s="31" t="n">
        <x:v>0.0069978872</x:v>
      </x:c>
      <x:c r="N49" s="24" t="str">
        <x:v>clupeidae</x:v>
      </x:c>
      <x:c r="O49" s="32" t="n">
        <x:v>3.16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Clupeidae</x:v>
      </x:c>
      <x:c r="T49" s="32" t="n">
        <x:f>IF(O49="","",(1/'Metadata'!$B$5)^(O49-1))</x:f>
        <x:v>144.5439770745928</x:v>
      </x:c>
      <x:c r="U49" s="31" t="n">
        <x:f>IF(T49="","",I49*T49)</x:f>
        <x:v>1.0115024470073863</x:v>
      </x:c>
    </x:row>
    <x:row r="50" ht="18" customHeight="1">
      <x:c r="A50" s="24" t="str">
        <x:v>EEZ_304</x:v>
      </x:c>
      <x:c r="B50" s="24" t="str">
        <x:v>Greenland (Denmark)</x:v>
      </x:c>
      <x:c r="C50" s="24" t="str">
        <x:v>EEZ</x:v>
      </x:c>
      <x:c r="D50" s="30" t="n">
        <x:v>2019</x:v>
      </x:c>
      <x:c r="E50" s="24" t="str">
        <x:v>Gastropoda</x:v>
      </x:c>
      <x:c r="F50" s="24" t="str">
        <x:v>Sea snails</x:v>
      </x:c>
      <x:c r="G50" s="24" t="str">
        <x:v>Other demersal invertebrates</x:v>
      </x:c>
      <x:c r="H50" s="24" t="str">
        <x:v>Molluscs</x:v>
      </x:c>
      <x:c r="I50" s="31" t="n">
        <x:v>0.0019832758</x:v>
      </x:c>
      <x:c r="J50" s="31" t="n">
        <x:v>0</x:v>
      </x:c>
      <x:c r="K50" s="31" t="n">
        <x:v>0.0019832758</x:v>
      </x:c>
      <x:c r="L50" s="31" t="n">
        <x:v>0</x:v>
      </x:c>
      <x:c r="M50" s="31" t="n">
        <x:v>0.0019832758</x:v>
      </x:c>
      <x:c r="N50" s="24" t="str">
        <x:v>gastropoda</x:v>
      </x:c>
      <x:c r="O50" s="32" t="n">
        <x:v>3.06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Gastropoda</x:v>
      </x:c>
      <x:c r="T50" s="32" t="n">
        <x:f>IF(O50="","",(1/'Metadata'!$B$5)^(O50-1))</x:f>
        <x:v>114.81536214968828</x:v>
      </x:c>
      <x:c r="U50" s="31" t="n">
        <x:f>IF(T50="","",I50*T50)</x:f>
        <x:v>0.22771052921971274</x:v>
      </x:c>
    </x:row>
    <x:row r="51" ht="18" customHeight="1">
      <x:c r="A51" s="24" t="str">
        <x:v>EEZ_304</x:v>
      </x:c>
      <x:c r="B51" s="24" t="str">
        <x:v>Greenland (Denmark)</x:v>
      </x:c>
      <x:c r="C51" s="24" t="str">
        <x:v>EEZ</x:v>
      </x:c>
      <x:c r="D51" s="30" t="n">
        <x:v>2019</x:v>
      </x:c>
      <x:c r="E51" s="24" t="str">
        <x:v>Phycis</x:v>
      </x:c>
      <x:c r="F51" s="24" t="str">
        <x:v>Gunnels, forkbeards</x:v>
      </x:c>
      <x:c r="G51" s="24" t="str">
        <x:v>Medium benthopelagics (30 - 89 cm)</x:v>
      </x:c>
      <x:c r="H51" s="24" t="str">
        <x:v>Cod-likes</x:v>
      </x:c>
      <x:c r="I51" s="31" t="n">
        <x:v>0.0017944904</x:v>
      </x:c>
      <x:c r="J51" s="31" t="n">
        <x:v>0</x:v>
      </x:c>
      <x:c r="K51" s="31" t="n">
        <x:v>0.0017944904</x:v>
      </x:c>
      <x:c r="L51" s="31" t="n">
        <x:v>0</x:v>
      </x:c>
      <x:c r="M51" s="31" t="n">
        <x:v>0.0017944904</x:v>
      </x:c>
      <x:c r="N51" s="24" t="str">
        <x:v>phycis</x:v>
      </x:c>
      <x:c r="O51" s="32" t="n">
        <x:v>3.99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Phycis</x:v>
      </x:c>
      <x:c r="T51" s="32" t="n">
        <x:f>IF(O51="","",(1/'Metadata'!$B$5)^(O51-1))</x:f>
        <x:v>977.2372209558112</x:v>
      </x:c>
      <x:c r="U51" s="31" t="n">
        <x:f>IF(T51="","",I51*T51)</x:f>
        <x:v>1.753642811527882</x:v>
      </x:c>
    </x:row>
    <x:row r="52" ht="18" customHeight="1">
      <x:c r="A52" s="24" t="str">
        <x:v>EEZ_304</x:v>
      </x:c>
      <x:c r="B52" s="24" t="str">
        <x:v>Greenland (Denmark)</x:v>
      </x:c>
      <x:c r="C52" s="24" t="str">
        <x:v>EEZ</x:v>
      </x:c>
      <x:c r="D52" s="30" t="n">
        <x:v>2019</x:v>
      </x:c>
      <x:c r="E52" s="24" t="str">
        <x:v>Pleuronectiformes</x:v>
      </x:c>
      <x:c r="F52" s="24" t="str">
        <x:v>Flatfishes</x:v>
      </x:c>
      <x:c r="G52" s="24" t="str">
        <x:v>Small to medium flatfishes (&lt;90 cm)</x:v>
      </x:c>
      <x:c r="H52" s="24" t="str">
        <x:v>Flatfishes</x:v>
      </x:c>
      <x:c r="I52" s="31" t="n">
        <x:v>0.0013097362</x:v>
      </x:c>
      <x:c r="J52" s="31" t="n">
        <x:v>0.0013097362</x:v>
      </x:c>
      <x:c r="K52" s="31" t="n">
        <x:v>0</x:v>
      </x:c>
      <x:c r="L52" s="31" t="n">
        <x:v>0.0013097362</x:v>
      </x:c>
      <x:c r="M52" s="31" t="n">
        <x:v>0</x:v>
      </x:c>
      <x:c r="N52" s="24" t="str">
        <x:v>pleuronectiformes</x:v>
      </x:c>
      <x:c r="O52" s="32" t="n">
        <x:v>3.57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Pleuronectiformes</x:v>
      </x:c>
      <x:c r="T52" s="32" t="n">
        <x:f>IF(O52="","",(1/'Metadata'!$B$5)^(O52-1))</x:f>
        <x:v>371.5352290971724</x:v>
      </x:c>
      <x:c r="U52" s="31" t="n">
        <x:f>IF(T52="","",I52*T52)</x:f>
        <x:v>0.48661313912386006</x:v>
      </x:c>
    </x:row>
    <x:row r="53" ht="18" customHeight="1">
      <x:c r="A53" s="24" t="str">
        <x:v>EEZ_304</x:v>
      </x:c>
      <x:c r="B53" s="24" t="str">
        <x:v>Greenland (Denmark)</x:v>
      </x:c>
      <x:c r="C53" s="24" t="str">
        <x:v>EEZ</x:v>
      </x:c>
      <x:c r="D53" s="30" t="n">
        <x:v>2019</x:v>
      </x:c>
      <x:c r="E53" s="24" t="str">
        <x:v>Dendrobranchiata</x:v>
      </x:c>
      <x:c r="F53" s="24" t="str">
        <x:v>Shrimps and prawns</x:v>
      </x:c>
      <x:c r="G53" s="24" t="str">
        <x:v>Shrimps</x:v>
      </x:c>
      <x:c r="H53" s="24" t="str">
        <x:v>Crustaceans</x:v>
      </x:c>
      <x:c r="I53" s="31" t="n">
        <x:v>0.0011538501000000001</x:v>
      </x:c>
      <x:c r="J53" s="31" t="n">
        <x:v>0.0011538501000000001</x:v>
      </x:c>
      <x:c r="K53" s="31" t="n">
        <x:v>0</x:v>
      </x:c>
      <x:c r="L53" s="31" t="n">
        <x:v>0.0011538501000000001</x:v>
      </x:c>
      <x:c r="M53" s="31" t="n">
        <x:v>0</x:v>
      </x:c>
      <x:c r="N53" s="24" t="str">
        <x:v>dendrobranchiata</x:v>
      </x:c>
      <x:c r="O53" s="32" t="n">
        <x:v>3.24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Dendrobranchiata</x:v>
      </x:c>
      <x:c r="T53" s="32" t="n">
        <x:f>IF(O53="","",(1/'Metadata'!$B$5)^(O53-1))</x:f>
        <x:v>173.78008287493762</x:v>
      </x:c>
      <x:c r="U53" s="31" t="n">
        <x:f>IF(T53="","",I53*T53)</x:f>
        <x:v>0.2005161660032551</x:v>
      </x:c>
    </x:row>
    <x:row r="54" ht="18" customHeight="1">
      <x:c r="A54" s="24" t="str">
        <x:v>EEZ_304</x:v>
      </x:c>
      <x:c r="B54" s="24" t="str">
        <x:v>Greenland (Denmark)</x:v>
      </x:c>
      <x:c r="C54" s="24" t="str">
        <x:v>EEZ</x:v>
      </x:c>
      <x:c r="D54" s="30" t="n">
        <x:v>2019</x:v>
      </x:c>
      <x:c r="E54" s="24" t="str">
        <x:v>Osteichthyes</x:v>
      </x:c>
      <x:c r="F54" s="24" t="str">
        <x:v>Bony fishes</x:v>
      </x:c>
      <x:c r="G54" s="24" t="str">
        <x:v>Medium demersals (30 - 89 cm)</x:v>
      </x:c>
      <x:c r="H54" s="24" t="str">
        <x:v>Other fishes &amp; inverts</x:v>
      </x:c>
      <x:c r="I54" s="31" t="n">
        <x:v>0.0005615345</x:v>
      </x:c>
      <x:c r="J54" s="31" t="n">
        <x:v>0.0005615345</x:v>
      </x:c>
      <x:c r="K54" s="31" t="n">
        <x:v>0</x:v>
      </x:c>
      <x:c r="L54" s="31" t="n">
        <x:v>0.0005615345</x:v>
      </x:c>
      <x:c r="M54" s="31" t="n">
        <x:v>0</x:v>
      </x:c>
      <x:c r="N54" s="24" t="str">
        <x:v>osteichthyes</x:v>
      </x:c>
      <x:c r="O54" s="32" t="n">
        <x:v>3.79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Osteichthyes</x:v>
      </x:c>
      <x:c r="T54" s="32" t="n">
        <x:f>IF(O54="","",(1/'Metadata'!$B$5)^(O54-1))</x:f>
        <x:v>616.5950018614822</x:v>
      </x:c>
      <x:c r="U54" s="31" t="n">
        <x:f>IF(T54="","",I54*T54)</x:f>
        <x:v>0.34623936607278644</x:v>
      </x:c>
    </x:row>
    <x:row r="55" ht="18" customHeight="1">
      <x:c r="A55" s="24" t="str">
        <x:v>EEZ_304</x:v>
      </x:c>
      <x:c r="B55" s="24" t="str">
        <x:v>Greenland (Denmark)</x:v>
      </x:c>
      <x:c r="C55" s="24" t="str">
        <x:v>EEZ</x:v>
      </x:c>
      <x:c r="D55" s="30" t="n">
        <x:v>2019</x:v>
      </x:c>
      <x:c r="E55" s="24" t="str">
        <x:v>Pleuronectes platessa</x:v>
      </x:c>
      <x:c r="F55" s="24" t="str">
        <x:v>European plaice</x:v>
      </x:c>
      <x:c r="G55" s="24" t="str">
        <x:v>Large flatfishes (&gt;=90 cm)</x:v>
      </x:c>
      <x:c r="H55" s="24" t="str">
        <x:v>Flatfishes</x:v>
      </x:c>
      <x:c r="I55" s="31" t="n">
        <x:v>0.0003235557</x:v>
      </x:c>
      <x:c r="J55" s="31" t="n">
        <x:v>0.0003235557</x:v>
      </x:c>
      <x:c r="K55" s="31" t="n">
        <x:v>0</x:v>
      </x:c>
      <x:c r="L55" s="31" t="n">
        <x:v>0.0003235557</x:v>
      </x:c>
      <x:c r="M55" s="31" t="n">
        <x:v>0</x:v>
      </x:c>
      <x:c r="N55" s="24" t="str">
        <x:v>pleuronectes platessa</x:v>
      </x:c>
      <x:c r="O55" s="32" t="n">
        <x:v>3.26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Pleuronectes platessa</x:v>
      </x:c>
      <x:c r="T55" s="32" t="n">
        <x:f>IF(O55="","",(1/'Metadata'!$B$5)^(O55-1))</x:f>
        <x:v>181.97008586099827</x:v>
      </x:c>
      <x:c r="U55" s="31" t="n">
        <x:f>IF(T55="","",I55*T55)</x:f>
        <x:v>0.0588774585098154</x:v>
      </x:c>
    </x:row>
  </x:sheetData>
  <x:conditionalFormatting sqref="R2:R5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7ee5f92420d431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Cod-likes</x:v>
      </x:c>
      <x:c r="B2" s="33" t="n">
        <x:v>11</x:v>
      </x:c>
      <x:c r="C2" s="33" t="n">
        <x:v>11</x:v>
      </x:c>
      <x:c r="D2" s="31" t="n">
        <x:v>51528.8517995942</x:v>
      </x:c>
      <x:c r="E2" s="31" t="n">
        <x:v>51528.8517995942</x:v>
      </x:c>
      <x:c r="F2" s="32" t="n">
        <x:v>0</x:v>
      </x:c>
      <x:c r="G2" s="34" t="n">
        <x:v>1</x:v>
      </x:c>
      <x:c r="H2" s="32" t="n">
        <x:f>IF(E2=0,"",I2/E2)</x:f>
        <x:v>1228.8926605607023</x:v>
      </x:c>
      <x:c r="I2" s="31" t="n">
        <x:f>IF(C2=0,"",SUMIF('Species'!$H$2:$H$55,A2,'Species'!$U$2:$U$55))</x:f>
        <x:v>63323427.78364146</x:v>
      </x:c>
      <x:c r="J2" s="32" t="n">
        <x:v>4.088830850045582</x:v>
      </x:c>
      <x:c r="K2" s="32" t="n">
        <x:f>IF(J2="","",(1/'Metadata'!$B$5)^(J2-1))</x:f>
        <x:v>1226.961258558006</x:v>
      </x:c>
      <x:c r="L2" s="31" t="n">
        <x:f>IF(E2=0,"",E2*K2)</x:f>
        <x:v>63223904.85607907</x:v>
      </x:c>
      <x:c r="M2" s="31" t="n">
        <x:f>IF(E2=0,"",I2-L2)</x:f>
        <x:v>99522.9275623858</x:v>
      </x:c>
      <x:c r="N2" s="32" t="n">
        <x:f>IF(L2=0,"",I2/L2)</x:f>
        <x:v>1.0015741344636802</x:v>
      </x:c>
      <x:c r="O2" s="34" t="n">
        <x:f>IF(L2=0,"",M2/L2)</x:f>
        <x:v>0.0015741344636801015</x:v>
      </x:c>
    </x:row>
    <x:row r="3" ht="18" customHeight="1">
      <x:c r="A3" s="24" t="str">
        <x:v>Crustaceans</x:v>
      </x:c>
      <x:c r="B3" s="33" t="n">
        <x:v>6</x:v>
      </x:c>
      <x:c r="C3" s="33" t="n">
        <x:v>6</x:v>
      </x:c>
      <x:c r="D3" s="31" t="n">
        <x:v>69979.77280095138</x:v>
      </x:c>
      <x:c r="E3" s="31" t="n">
        <x:v>69979.77280095138</x:v>
      </x:c>
      <x:c r="F3" s="32" t="n">
        <x:v>0</x:v>
      </x:c>
      <x:c r="G3" s="34" t="n">
        <x:v>1</x:v>
      </x:c>
      <x:c r="H3" s="32" t="n">
        <x:f>IF(E3=0,"",I3/E3)</x:f>
        <x:v>127.14199631029696</x:v>
      </x:c>
      <x:c r="I3" s="31" t="n">
        <x:f>IF(C3=0,"",SUMIF('Species'!$H$2:$H$55,A3,'Species'!$U$2:$U$55))</x:f>
        <x:v>8897368.01525398</x:v>
      </x:c>
      <x:c r="J3" s="32" t="n">
        <x:v>3.0894277324388786</x:v>
      </x:c>
      <x:c r="K3" s="32" t="n">
        <x:f>IF(J3="","",(1/'Metadata'!$B$5)^(J3-1))</x:f>
        <x:v>122.86487197061314</x:v>
      </x:c>
      <x:c r="L3" s="31" t="n">
        <x:f>IF(E3=0,"",E3*K3)</x:f>
        <x:v>8598055.825721487</x:v>
      </x:c>
      <x:c r="M3" s="31" t="n">
        <x:f>IF(E3=0,"",I3-L3)</x:f>
        <x:v>299312.1895324923</x:v>
      </x:c>
      <x:c r="N3" s="32" t="n">
        <x:f>IF(L3=0,"",I3/L3)</x:f>
        <x:v>1.034811612717969</x:v>
      </x:c>
      <x:c r="O3" s="34" t="n">
        <x:f>IF(L3=0,"",M3/L3)</x:f>
        <x:v>0.03481161271796885</x:v>
      </x:c>
    </x:row>
    <x:row r="4" ht="18" customHeight="1">
      <x:c r="A4" s="24" t="str">
        <x:v>Flatfishes</x:v>
      </x:c>
      <x:c r="B4" s="33" t="n">
        <x:v>5</x:v>
      </x:c>
      <x:c r="C4" s="33" t="n">
        <x:v>5</x:v>
      </x:c>
      <x:c r="D4" s="31" t="n">
        <x:v>62544.5012420773</x:v>
      </x:c>
      <x:c r="E4" s="31" t="n">
        <x:v>62544.5012420773</x:v>
      </x:c>
      <x:c r="F4" s="32" t="n">
        <x:v>0</x:v>
      </x:c>
      <x:c r="G4" s="34" t="n">
        <x:v>1</x:v>
      </x:c>
      <x:c r="H4" s="32" t="n">
        <x:f>IF(E4=0,"",I4/E4)</x:f>
        <x:v>2398.358683507852</x:v>
      </x:c>
      <x:c r="I4" s="31" t="n">
        <x:f>IF(C4=0,"",SUMIF('Species'!$H$2:$H$55,A4,'Species'!$U$2:$U$55))</x:f>
        <x:v>150004147.65960374</x:v>
      </x:c>
      <x:c r="J4" s="32" t="n">
        <x:v>4.379871964582096</x:v>
      </x:c>
      <x:c r="K4" s="32" t="n">
        <x:f>IF(J4="","",(1/'Metadata'!$B$5)^(J4-1))</x:f>
        <x:v>2398.1258174586383</x:v>
      </x:c>
      <x:c r="L4" s="31" t="n">
        <x:f>IF(E4=0,"",E4*K4)</x:f>
        <x:v>149989583.16869944</x:v>
      </x:c>
      <x:c r="M4" s="31" t="n">
        <x:f>IF(E4=0,"",I4-L4)</x:f>
        <x:v>14564.490904301405</x:v>
      </x:c>
      <x:c r="N4" s="32" t="n">
        <x:f>IF(L4=0,"",I4/L4)</x:f>
        <x:v>1.0000971033494235</x:v>
      </x:c>
      <x:c r="O4" s="34" t="n">
        <x:f>IF(L4=0,"",M4/L4)</x:f>
        <x:v>0.00009710334942340711</x:v>
      </x:c>
    </x:row>
    <x:row r="5" ht="18" customHeight="1">
      <x:c r="A5" s="24" t="str">
        <x:v>Herring-likes</x:v>
      </x:c>
      <x:c r="B5" s="33" t="n">
        <x:v>2</x:v>
      </x:c>
      <x:c r="C5" s="33" t="n">
        <x:v>2</x:v>
      </x:c>
      <x:c r="D5" s="31" t="n">
        <x:v>173.06630174129998</x:v>
      </x:c>
      <x:c r="E5" s="31" t="n">
        <x:v>173.06630174129998</x:v>
      </x:c>
      <x:c r="F5" s="32" t="n">
        <x:v>0</x:v>
      </x:c>
      <x:c r="G5" s="34" t="n">
        <x:v>1</x:v>
      </x:c>
      <x:c r="H5" s="32" t="n">
        <x:f>IF(E5=0,"",I5/E5)</x:f>
        <x:v>239.87943688358797</x:v>
      </x:c>
      <x:c r="I5" s="31" t="n">
        <x:f>IF(C5=0,"",SUMIF('Species'!$H$2:$H$55,A5,'Species'!$U$2:$U$55))</x:f>
        <x:v>41515.04700522816</x:v>
      </x:c>
      <x:c r="J5" s="32" t="n">
        <x:v>3.3799911043619213</x:v>
      </x:c>
      <x:c r="K5" s="32" t="n">
        <x:f>IF(J5="","",(1/'Metadata'!$B$5)^(J5-1))</x:f>
        <x:v>239.87837843152633</x:v>
      </x:c>
      <x:c r="L5" s="31" t="n">
        <x:f>IF(E5=0,"",E5*K5)</x:f>
        <x:v>41514.86382284428</x:v>
      </x:c>
      <x:c r="M5" s="31" t="n">
        <x:f>IF(E5=0,"",I5-L5)</x:f>
        <x:v>0.1831823838801938</x:v>
      </x:c>
      <x:c r="N5" s="32" t="n">
        <x:f>IF(L5=0,"",I5/L5)</x:f>
        <x:v>1.000004412452963</x:v>
      </x:c>
      <x:c r="O5" s="34" t="n">
        <x:f>IF(L5=0,"",M5/L5)</x:f>
        <x:v>0.00000441245296291673</x:v>
      </x:c>
    </x:row>
    <x:row r="6" ht="18" customHeight="1">
      <x:c r="A6" s="24" t="str">
        <x:v>Molluscs</x:v>
      </x:c>
      <x:c r="B6" s="33" t="n">
        <x:v>3</x:v>
      </x:c>
      <x:c r="C6" s="33" t="n">
        <x:v>3</x:v>
      </x:c>
      <x:c r="D6" s="31" t="n">
        <x:v>1.7836876029</x:v>
      </x:c>
      <x:c r="E6" s="31" t="n">
        <x:v>1.7836876029</x:v>
      </x:c>
      <x:c r="F6" s="32" t="n">
        <x:v>0</x:v>
      </x:c>
      <x:c r="G6" s="34" t="n">
        <x:v>1</x:v>
      </x:c>
      <x:c r="H6" s="32" t="n">
        <x:f>IF(E6=0,"",I6/E6)</x:f>
        <x:v>17.010674462279063</x:v>
      </x:c>
      <x:c r="I6" s="31" t="n">
        <x:f>IF(C6=0,"",SUMIF('Species'!$H$2:$H$55,A6,'Species'!$U$2:$U$55))</x:f>
        <x:v>30.341729155334786</x:v>
      </x:c>
      <x:c r="J6" s="32" t="n">
        <x:v>2.2285395270154007</x:v>
      </x:c>
      <x:c r="K6" s="32" t="n">
        <x:f>IF(J6="","",(1/'Metadata'!$B$5)^(J6-1))</x:f>
        <x:v>16.925422830053744</x:v>
      </x:c>
      <x:c r="L6" s="31" t="n">
        <x:f>IF(E6=0,"",E6*K6)</x:f>
        <x:v>30.189666875807497</x:v>
      </x:c>
      <x:c r="M6" s="31" t="n">
        <x:f>IF(E6=0,"",I6-L6)</x:f>
        <x:v>0.15206227952728923</x:v>
      </x:c>
      <x:c r="N6" s="32" t="n">
        <x:f>IF(L6=0,"",I6/L6)</x:f>
        <x:v>1.0050368982259008</x:v>
      </x:c>
      <x:c r="O6" s="34" t="n">
        <x:f>IF(L6=0,"",M6/L6)</x:f>
        <x:v>0.005036898225900744</x:v>
      </x:c>
    </x:row>
    <x:row r="7" ht="18" customHeight="1">
      <x:c r="A7" s="24" t="str">
        <x:v>Other fishes &amp; inverts</x:v>
      </x:c>
      <x:c r="B7" s="33" t="n">
        <x:v>4</x:v>
      </x:c>
      <x:c r="C7" s="33" t="n">
        <x:v>4</x:v>
      </x:c>
      <x:c r="D7" s="31" t="n">
        <x:v>58845.2307666307</x:v>
      </x:c>
      <x:c r="E7" s="31" t="n">
        <x:v>58845.2307666307</x:v>
      </x:c>
      <x:c r="F7" s="32" t="n">
        <x:v>0</x:v>
      </x:c>
      <x:c r="G7" s="34" t="n">
        <x:v>1</x:v>
      </x:c>
      <x:c r="H7" s="32" t="n">
        <x:f>IF(E7=0,"",I7/E7)</x:f>
        <x:v>190.68794381212368</x:v>
      </x:c>
      <x:c r="I7" s="31" t="n">
        <x:f>IF(C7=0,"",SUMIF('Species'!$H$2:$H$55,A7,'Species'!$U$2:$U$55))</x:f>
        <x:v>11221076.058038726</x:v>
      </x:c>
      <x:c r="J7" s="32" t="n">
        <x:v>3.2801600111205063</x:v>
      </x:c>
      <x:c r="K7" s="32" t="n">
        <x:f>IF(J7="","",(1/'Metadata'!$B$5)^(J7-1))</x:f>
        <x:v>190.6162893772032</x:v>
      </x:c>
      <x:c r="L7" s="31" t="n">
        <x:f>IF(E7=0,"",E7*K7)</x:f>
        <x:v>11216859.536280379</x:v>
      </x:c>
      <x:c r="M7" s="31" t="n">
        <x:f>IF(E7=0,"",I7-L7)</x:f>
        <x:v>4216.52175834775</x:v>
      </x:c>
      <x:c r="N7" s="32" t="n">
        <x:f>IF(L7=0,"",I7/L7)</x:f>
        <x:v>1.0003759092948172</x:v>
      </x:c>
      <x:c r="O7" s="34" t="n">
        <x:f>IF(L7=0,"",M7/L7)</x:f>
        <x:v>0.00037590929481728984</x:v>
      </x:c>
    </x:row>
    <x:row r="8" ht="18" customHeight="1">
      <x:c r="A8" s="24" t="str">
        <x:v>Perch-likes</x:v>
      </x:c>
      <x:c r="B8" s="33" t="n">
        <x:v>7</x:v>
      </x:c>
      <x:c r="C8" s="33" t="n">
        <x:v>7</x:v>
      </x:c>
      <x:c r="D8" s="31" t="n">
        <x:v>475.3986311555</x:v>
      </x:c>
      <x:c r="E8" s="31" t="n">
        <x:v>475.3986311555</x:v>
      </x:c>
      <x:c r="F8" s="32" t="n">
        <x:v>0</x:v>
      </x:c>
      <x:c r="G8" s="34" t="n">
        <x:v>1</x:v>
      </x:c>
      <x:c r="H8" s="32" t="n">
        <x:f>IF(E8=0,"",I8/E8)</x:f>
        <x:v>346.8203582326522</x:v>
      </x:c>
      <x:c r="I8" s="31" t="n">
        <x:f>IF(C8=0,"",SUMIF('Species'!$H$2:$H$55,A8,'Species'!$U$2:$U$55))</x:f>
        <x:v>164877.923560663</x:v>
      </x:c>
      <x:c r="J8" s="32" t="n">
        <x:v>3.5229134118961314</x:v>
      </x:c>
      <x:c r="K8" s="32" t="n">
        <x:f>IF(J8="","",(1/'Metadata'!$B$5)^(J8-1))</x:f>
        <x:v>333.35994200622616</x:v>
      </x:c>
      <x:c r="L8" s="31" t="n">
        <x:f>IF(E8=0,"",E8*K8)</x:f>
        <x:v>158478.86011183678</x:v>
      </x:c>
      <x:c r="M8" s="31" t="n">
        <x:f>IF(E8=0,"",I8-L8)</x:f>
        <x:v>6399.063448826229</x:v>
      </x:c>
      <x:c r="N8" s="32" t="n">
        <x:f>IF(L8=0,"",I8/L8)</x:f>
        <x:v>1.0403780254622634</x:v>
      </x:c>
      <x:c r="O8" s="34" t="n">
        <x:f>IF(L8=0,"",M8/L8)</x:f>
        <x:v>0.04037802546226343</x:v>
      </x:c>
    </x:row>
    <x:row r="9" ht="18" customHeight="1">
      <x:c r="A9" s="24" t="str">
        <x:v>Salmon, smelts, etc</x:v>
      </x:c>
      <x:c r="B9" s="33" t="n">
        <x:v>3</x:v>
      </x:c>
      <x:c r="C9" s="33" t="n">
        <x:v>3</x:v>
      </x:c>
      <x:c r="D9" s="31" t="n">
        <x:v>890.3911191613</x:v>
      </x:c>
      <x:c r="E9" s="31" t="n">
        <x:v>890.3911191613</x:v>
      </x:c>
      <x:c r="F9" s="32" t="n">
        <x:v>0</x:v>
      </x:c>
      <x:c r="G9" s="34" t="n">
        <x:v>1</x:v>
      </x:c>
      <x:c r="H9" s="32" t="n">
        <x:f>IF(E9=0,"",I9/E9)</x:f>
        <x:v>310.9320279653327</x:v>
      </x:c>
      <x:c r="I9" s="31" t="n">
        <x:f>IF(C9=0,"",SUMIF('Species'!$H$2:$H$55,A9,'Species'!$U$2:$U$55))</x:f>
        <x:v>276851.1163631452</x:v>
      </x:c>
      <x:c r="J9" s="32" t="n">
        <x:v>3.228707303269572</x:v>
      </x:c>
      <x:c r="K9" s="32" t="n">
        <x:f>IF(J9="","",(1/'Metadata'!$B$5)^(J9-1))</x:f>
        <x:v>169.31962707357692</x:v>
      </x:c>
      <x:c r="L9" s="31" t="n">
        <x:f>IF(E9=0,"",E9*K9)</x:f>
        <x:v>150760.69224601611</x:v>
      </x:c>
      <x:c r="M9" s="31" t="n">
        <x:f>IF(E9=0,"",I9-L9)</x:f>
        <x:v>126090.42411712906</x:v>
      </x:c>
      <x:c r="N9" s="32" t="n">
        <x:f>IF(L9=0,"",I9/L9)</x:f>
        <x:v>1.8363614032188886</x:v>
      </x:c>
      <x:c r="O9" s="34" t="n">
        <x:f>IF(L9=0,"",M9/L9)</x:f>
        <x:v>0.8363614032188886</x:v>
      </x:c>
    </x:row>
    <x:row r="10" ht="18" customHeight="1">
      <x:c r="A10" s="24" t="str">
        <x:v>Scorpionfishes</x:v>
      </x:c>
      <x:c r="B10" s="33" t="n">
        <x:v>5</x:v>
      </x:c>
      <x:c r="C10" s="33" t="n">
        <x:v>5</x:v>
      </x:c>
      <x:c r="D10" s="31" t="n">
        <x:v>17620.1570140036</x:v>
      </x:c>
      <x:c r="E10" s="31" t="n">
        <x:v>17620.1570140036</x:v>
      </x:c>
      <x:c r="F10" s="32" t="n">
        <x:v>0</x:v>
      </x:c>
      <x:c r="G10" s="34" t="n">
        <x:v>1</x:v>
      </x:c>
      <x:c r="H10" s="32" t="n">
        <x:f>IF(E10=0,"",I10/E10)</x:f>
        <x:v>791.1113422561896</x:v>
      </x:c>
      <x:c r="I10" s="31" t="n">
        <x:f>IF(C10=0,"",SUMIF('Species'!$H$2:$H$55,A10,'Species'!$U$2:$U$55))</x:f>
        <x:v>13939506.0661132</x:v>
      </x:c>
      <x:c r="J10" s="32" t="n">
        <x:v>3.876271414762126</x:v>
      </x:c>
      <x:c r="K10" s="32" t="n">
        <x:f>IF(J10="","",(1/'Metadata'!$B$5)^(J10-1))</x:f>
        <x:v>752.0927717549185</x:v>
      </x:c>
      <x:c r="L10" s="31" t="n">
        <x:f>IF(E10=0,"",E10*K10)</x:f>
        <x:v>13251992.727418836</x:v>
      </x:c>
      <x:c r="M10" s="31" t="n">
        <x:f>IF(E10=0,"",I10-L10)</x:f>
        <x:v>687513.3386943638</x:v>
      </x:c>
      <x:c r="N10" s="32" t="n">
        <x:f>IF(L10=0,"",I10/L10)</x:f>
        <x:v>1.0518799966794334</x:v>
      </x:c>
      <x:c r="O10" s="34" t="n">
        <x:f>IF(L10=0,"",M10/L10)</x:f>
        <x:v>0.05187999667943333</x:v>
      </x:c>
    </x:row>
    <x:row r="11" ht="18" customHeight="1">
      <x:c r="A11" s="24" t="str">
        <x:v>Sharks &amp; rays</x:v>
      </x:c>
      <x:c r="B11" s="33" t="n">
        <x:v>8</x:v>
      </x:c>
      <x:c r="C11" s="33" t="n">
        <x:v>8</x:v>
      </x:c>
      <x:c r="D11" s="31" t="n">
        <x:v>226.9307748866</x:v>
      </x:c>
      <x:c r="E11" s="31" t="n">
        <x:v>226.9307748866</x:v>
      </x:c>
      <x:c r="F11" s="32" t="n">
        <x:v>0</x:v>
      </x:c>
      <x:c r="G11" s="34" t="n">
        <x:v>1</x:v>
      </x:c>
      <x:c r="H11" s="32" t="n">
        <x:f>IF(E11=0,"",I11/E11)</x:f>
        <x:v>1448.7203448068906</x:v>
      </x:c>
      <x:c r="I11" s="31" t="n">
        <x:f>IF(C11=0,"",SUMIF('Species'!$H$2:$H$55,A11,'Species'!$U$2:$U$55))</x:f>
        <x:v>328759.23044101003</x:v>
      </x:c>
      <x:c r="J11" s="32" t="n">
        <x:v>4.153965951648782</x:v>
      </x:c>
      <x:c r="K11" s="32" t="n">
        <x:f>IF(J11="","",(1/'Metadata'!$B$5)^(J11-1))</x:f>
        <x:v>1425.4958314514247</x:v>
      </x:c>
      <x:c r="L11" s="31" t="n">
        <x:f>IF(E11=0,"",E11*K11)</x:f>
        <x:v>323488.87362888997</x:v>
      </x:c>
      <x:c r="M11" s="31" t="n">
        <x:f>IF(E11=0,"",I11-L11)</x:f>
        <x:v>5270.356812120066</x:v>
      </x:c>
      <x:c r="N11" s="32" t="n">
        <x:f>IF(L11=0,"",I11/L11)</x:f>
        <x:v>1.016292235194977</x:v>
      </x:c>
      <x:c r="O11" s="34" t="n">
        <x:f>IF(L11=0,"",M11/L11)</x:f>
        <x:v>0.01629223519497699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8f82084693d4eb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</x:v>
      </x:c>
      <x:c r="C2" s="33" t="n">
        <x:v>1</x:v>
      </x:c>
      <x:c r="D2" s="31" t="n">
        <x:v>18.8827856387</x:v>
      </x:c>
      <x:c r="E2" s="31" t="n">
        <x:v>18.8827856387</x:v>
      </x:c>
      <x:c r="F2" s="32" t="n">
        <x:v>0</x:v>
      </x:c>
      <x:c r="G2" s="34" t="n">
        <x:v>1</x:v>
      </x:c>
      <x:c r="H2" s="32" t="n">
        <x:f>IF(E2=0,"",I2/E2)</x:f>
        <x:v>645.6542290346556</x:v>
      </x:c>
      <x:c r="I2" s="31" t="n">
        <x:f>IF(C2=0,"",SUMIF('Species'!$G$2:$G$55,A2,'Species'!$U$2:$U$55))</x:f>
        <x:v>12191.750403581515</x:v>
      </x:c>
      <x:c r="J2" s="32" t="n">
        <x:v>3.81</x:v>
      </x:c>
      <x:c r="K2" s="32" t="n">
        <x:f>IF(J2="","",(1/'Metadata'!$B$5)^(J2-1))</x:f>
        <x:v>645.6542290346556</x:v>
      </x:c>
      <x:c r="L2" s="31" t="n">
        <x:f>IF(E2=0,"",E2*K2)</x:f>
        <x:v>12191.750403581515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bathypelagics (&gt;=90 cm)</x:v>
      </x:c>
      <x:c r="B3" s="33" t="n">
        <x:v>1</x:v>
      </x:c>
      <x:c r="C3" s="33" t="n">
        <x:v>1</x:v>
      </x:c>
      <x:c r="D3" s="31" t="n">
        <x:v>85.4515530201</x:v>
      </x:c>
      <x:c r="E3" s="31" t="n">
        <x:v>85.4515530201</x:v>
      </x:c>
      <x:c r="F3" s="32" t="n">
        <x:v>0</x:v>
      </x:c>
      <x:c r="G3" s="34" t="n">
        <x:v>1</x:v>
      </x:c>
      <x:c r="H3" s="32" t="n">
        <x:f>IF(E3=0,"",I3/E3)</x:f>
        <x:v>346.73685045253166</x:v>
      </x:c>
      <x:c r="I3" s="31" t="n">
        <x:f>IF(C3=0,"",SUMIF('Species'!$G$2:$G$55,A3,'Species'!$U$2:$U$55))</x:f>
        <x:v>29629.202360466992</x:v>
      </x:c>
      <x:c r="J3" s="32" t="n">
        <x:v>3.5400000000000005</x:v>
      </x:c>
      <x:c r="K3" s="32" t="n">
        <x:f>IF(J3="","",(1/'Metadata'!$B$5)^(J3-1))</x:f>
        <x:v>346.736850452532</x:v>
      </x:c>
      <x:c r="L3" s="31" t="n">
        <x:f>IF(E3=0,"",E3*K3)</x:f>
        <x:v>29629.20236046702</x:v>
      </x:c>
      <x:c r="M3" s="31" t="n">
        <x:f>IF(E3=0,"",I3-L3)</x:f>
        <x:v>-2.9103830456733704e-11</x:v>
      </x:c>
      <x:c r="N3" s="32" t="n">
        <x:f>IF(L3=0,"",I3/L3)</x:f>
        <x:v>0.999999999999999</x:v>
      </x:c>
      <x:c r="O3" s="34" t="n">
        <x:f>IF(L3=0,"",M3/L3)</x:f>
        <x:v>-9.822684425540156e-16</x:v>
      </x:c>
    </x:row>
    <x:row r="4" ht="18" customHeight="1">
      <x:c r="A4" s="24" t="str">
        <x:v>Large benthopelagics (&gt;=90 cm)</x:v>
      </x:c>
      <x:c r="B4" s="33" t="n">
        <x:v>4</x:v>
      </x:c>
      <x:c r="C4" s="33" t="n">
        <x:v>4</x:v>
      </x:c>
      <x:c r="D4" s="31" t="n">
        <x:v>51397.5043526967</x:v>
      </x:c>
      <x:c r="E4" s="31" t="n">
        <x:v>51397.5043526967</x:v>
      </x:c>
      <x:c r="F4" s="32" t="n">
        <x:v>0</x:v>
      </x:c>
      <x:c r="G4" s="34" t="n">
        <x:v>1</x:v>
      </x:c>
      <x:c r="H4" s="32" t="n">
        <x:f>IF(E4=0,"",I4/E4)</x:f>
        <x:v>1230.965750019265</x:v>
      </x:c>
      <x:c r="I4" s="31" t="n">
        <x:f>IF(C4=0,"",SUMIF('Species'!$G$2:$G$55,A4,'Species'!$U$2:$U$55))</x:f>
        <x:v>63268567.49463572</x:v>
      </x:c>
      <x:c r="J4" s="32" t="n">
        <x:v>4.089804706129559</x:v>
      </x:c>
      <x:c r="K4" s="32" t="n">
        <x:f>IF(J4="","",(1/'Metadata'!$B$5)^(J4-1))</x:f>
        <x:v>1229.715666992271</x:v>
      </x:c>
      <x:c r="L4" s="31" t="n">
        <x:f>IF(E4=0,"",E4*K4)</x:f>
        <x:v>63204316.34681457</x:v>
      </x:c>
      <x:c r="M4" s="31" t="n">
        <x:f>IF(E4=0,"",I4-L4)</x:f>
        <x:v>64251.14782115072</x:v>
      </x:c>
      <x:c r="N4" s="32" t="n">
        <x:f>IF(L4=0,"",I4/L4)</x:f>
        <x:v>1.0010165626579772</x:v>
      </x:c>
      <x:c r="O4" s="34" t="n">
        <x:f>IF(L4=0,"",M4/L4)</x:f>
        <x:v>0.0010165626579772176</x:v>
      </x:c>
    </x:row>
    <x:row r="5" ht="18" customHeight="1">
      <x:c r="A5" s="24" t="str">
        <x:v>Large demersals (&gt;=90 cm)</x:v>
      </x:c>
      <x:c r="B5" s="33" t="n">
        <x:v>6</x:v>
      </x:c>
      <x:c r="C5" s="33" t="n">
        <x:v>6</x:v>
      </x:c>
      <x:c r="D5" s="31" t="n">
        <x:v>466.62524152350005</x:v>
      </x:c>
      <x:c r="E5" s="31" t="n">
        <x:v>466.62524152350005</x:v>
      </x:c>
      <x:c r="F5" s="32" t="n">
        <x:v>0</x:v>
      </x:c>
      <x:c r="G5" s="34" t="n">
        <x:v>1</x:v>
      </x:c>
      <x:c r="H5" s="32" t="n">
        <x:f>IF(E5=0,"",I5/E5)</x:f>
        <x:v>595.0913454879061</x:v>
      </x:c>
      <x:c r="I5" s="31" t="n">
        <x:f>IF(C5=0,"",SUMIF('Species'!$G$2:$G$55,A5,'Species'!$U$2:$U$55))</x:f>
        <x:v>277684.6428168388</x:v>
      </x:c>
      <x:c r="J5" s="32" t="n">
        <x:v>3.6412587895791817</x:v>
      </x:c>
      <x:c r="K5" s="32" t="n">
        <x:f>IF(J5="","",(1/'Metadata'!$B$5)^(J5-1))</x:f>
        <x:v>437.78289572268454</x:v>
      </x:c>
      <x:c r="L5" s="31" t="n">
        <x:f>IF(E5=0,"",E5*K5)</x:f>
        <x:v>204280.54945145492</x:v>
      </x:c>
      <x:c r="M5" s="31" t="n">
        <x:f>IF(E5=0,"",I5-L5)</x:f>
        <x:v>73404.09336538389</x:v>
      </x:c>
      <x:c r="N5" s="32" t="n">
        <x:f>IF(L5=0,"",I5/L5)</x:f>
        <x:v>1.3593298214758698</x:v>
      </x:c>
      <x:c r="O5" s="34" t="n">
        <x:f>IF(L5=0,"",M5/L5)</x:f>
        <x:v>0.3593298214758698</x:v>
      </x:c>
    </x:row>
    <x:row r="6" ht="18" customHeight="1">
      <x:c r="A6" s="24" t="str">
        <x:v>Large flatfishes (&gt;=90 cm)</x:v>
      </x:c>
      <x:c r="B6" s="33" t="n">
        <x:v>2</x:v>
      </x:c>
      <x:c r="C6" s="33" t="n">
        <x:v>2</x:v>
      </x:c>
      <x:c r="D6" s="31" t="n">
        <x:v>19.4910816751</x:v>
      </x:c>
      <x:c r="E6" s="31" t="n">
        <x:v>19.4910816751</x:v>
      </x:c>
      <x:c r="F6" s="32" t="n">
        <x:v>0</x:v>
      </x:c>
      <x:c r="G6" s="34" t="n">
        <x:v>1</x:v>
      </x:c>
      <x:c r="H6" s="32" t="n">
        <x:f>IF(E6=0,"",I6/E6)</x:f>
        <x:v>999.9864205462835</x:v>
      </x:c>
      <x:c r="I6" s="31" t="n">
        <x:f>IF(C6=0,"",SUMIF('Species'!$G$2:$G$55,A6,'Species'!$U$2:$U$55))</x:f>
        <x:v>19490.816996858506</x:v>
      </x:c>
      <x:c r="J6" s="32" t="n">
        <x:v>3.999987715857848</x:v>
      </x:c>
      <x:c r="K6" s="32" t="n">
        <x:f>IF(J6="","",(1/'Metadata'!$B$5)^(J6-1))</x:f>
        <x:v>999.9717151174256</x:v>
      </x:c>
      <x:c r="L6" s="31" t="n">
        <x:f>IF(E6=0,"",E6*K6)</x:f>
        <x:v>19490.53037214357</x:v>
      </x:c>
      <x:c r="M6" s="31" t="n">
        <x:f>IF(E6=0,"",I6-L6)</x:f>
        <x:v>0.2866247149358969</x:v>
      </x:c>
      <x:c r="N6" s="32" t="n">
        <x:f>IF(L6=0,"",I6/L6)</x:f>
        <x:v>1.000014705844811</x:v>
      </x:c>
      <x:c r="O6" s="34" t="n">
        <x:f>IF(L6=0,"",M6/L6)</x:f>
        <x:v>0.000014705844810952362</x:v>
      </x:c>
    </x:row>
    <x:row r="7" ht="18" customHeight="1">
      <x:c r="A7" s="24" t="str">
        <x:v>Large rays (&gt;=90 cm)</x:v>
      </x:c>
      <x:c r="B7" s="33" t="n">
        <x:v>2</x:v>
      </x:c>
      <x:c r="C7" s="33" t="n">
        <x:v>2</x:v>
      </x:c>
      <x:c r="D7" s="31" t="n">
        <x:v>0.1415957789</x:v>
      </x:c>
      <x:c r="E7" s="31" t="n">
        <x:v>0.1415957789</x:v>
      </x:c>
      <x:c r="F7" s="32" t="n">
        <x:v>0</x:v>
      </x:c>
      <x:c r="G7" s="34" t="n">
        <x:v>1</x:v>
      </x:c>
      <x:c r="H7" s="32" t="n">
        <x:f>IF(E7=0,"",I7/E7)</x:f>
        <x:v>444.12308760361</x:v>
      </x:c>
      <x:c r="I7" s="31" t="n">
        <x:f>IF(C7=0,"",SUMIF('Species'!$G$2:$G$55,A7,'Species'!$U$2:$U$55))</x:f>
        <x:v>62.885954516706086</x:v>
      </x:c>
      <x:c r="J7" s="32" t="n">
        <x:v>3.6404602798650236</x:v>
      </x:c>
      <x:c r="K7" s="32" t="n">
        <x:f>IF(J7="","",(1/'Metadata'!$B$5)^(J7-1))</x:f>
        <x:v>436.9787116110333</x:v>
      </x:c>
      <x:c r="L7" s="31" t="n">
        <x:f>IF(E7=0,"",E7*K7)</x:f>
        <x:v>61.87434103328273</x:v>
      </x:c>
      <x:c r="M7" s="31" t="n">
        <x:f>IF(E7=0,"",I7-L7)</x:f>
        <x:v>1.0116134834233534</x:v>
      </x:c>
      <x:c r="N7" s="32" t="n">
        <x:f>IF(L7=0,"",I7/L7)</x:f>
        <x:v>1.01634948294446</x:v>
      </x:c>
      <x:c r="O7" s="34" t="n">
        <x:f>IF(L7=0,"",M7/L7)</x:f>
        <x:v>0.016349482944459932</x:v>
      </x:c>
    </x:row>
    <x:row r="8" ht="18" customHeight="1">
      <x:c r="A8" s="24" t="str">
        <x:v>Large reef assoc. fish (&gt;=90 cm)</x:v>
      </x:c>
      <x:c r="B8" s="33" t="n">
        <x:v>1</x:v>
      </x:c>
      <x:c r="C8" s="33" t="n">
        <x:v>1</x:v>
      </x:c>
      <x:c r="D8" s="31" t="n">
        <x:v>193.7133382738</x:v>
      </x:c>
      <x:c r="E8" s="31" t="n">
        <x:v>193.7133382738</x:v>
      </x:c>
      <x:c r="F8" s="32" t="n">
        <x:v>0</x:v>
      </x:c>
      <x:c r="G8" s="34" t="n">
        <x:v>1</x:v>
      </x:c>
      <x:c r="H8" s="32" t="n">
        <x:f>IF(E8=0,"",I8/E8)</x:f>
        <x:v>616.5950018614822</x:v>
      </x:c>
      <x:c r="I8" s="31" t="n">
        <x:f>IF(C8=0,"",SUMIF('Species'!$G$2:$G$55,A8,'Species'!$U$2:$U$55))</x:f>
        <x:v>119442.67617352762</x:v>
      </x:c>
      <x:c r="J8" s="32" t="n">
        <x:v>3.79</x:v>
      </x:c>
      <x:c r="K8" s="32" t="n">
        <x:f>IF(J8="","",(1/'Metadata'!$B$5)^(J8-1))</x:f>
        <x:v>616.5950018614822</x:v>
      </x:c>
      <x:c r="L8" s="31" t="n">
        <x:f>IF(E8=0,"",E8*K8)</x:f>
        <x:v>119442.67617352762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Large sharks (&gt;=90 cm)</x:v>
      </x:c>
      <x:c r="B9" s="33" t="n">
        <x:v>6</x:v>
      </x:c>
      <x:c r="C9" s="33" t="n">
        <x:v>6</x:v>
      </x:c>
      <x:c r="D9" s="31" t="n">
        <x:v>226.78917910770002</x:v>
      </x:c>
      <x:c r="E9" s="31" t="n">
        <x:v>226.78917910770002</x:v>
      </x:c>
      <x:c r="F9" s="32" t="n">
        <x:v>0</x:v>
      </x:c>
      <x:c r="G9" s="34" t="n">
        <x:v>1</x:v>
      </x:c>
      <x:c r="H9" s="32" t="n">
        <x:f>IF(E9=0,"",I9/E9)</x:f>
        <x:v>1449.3475649047548</x:v>
      </x:c>
      <x:c r="I9" s="31" t="n">
        <x:f>IF(C9=0,"",SUMIF('Species'!$G$2:$G$55,A9,'Species'!$U$2:$U$55))</x:f>
        <x:v>328696.3444864933</x:v>
      </x:c>
      <x:c r="J9" s="32" t="n">
        <x:v>4.154286558812897</x:v>
      </x:c>
      <x:c r="K9" s="32" t="n">
        <x:f>IF(J9="","",(1/'Metadata'!$B$5)^(J9-1))</x:f>
        <x:v>1426.54855703268</x:v>
      </x:c>
      <x:c r="L9" s="31" t="n">
        <x:f>IF(E9=0,"",E9*K9)</x:f>
        <x:v>323525.7762067155</x:v>
      </x:c>
      <x:c r="M9" s="31" t="n">
        <x:f>IF(E9=0,"",I9-L9)</x:f>
        <x:v>5170.568279777828</x:v>
      </x:c>
      <x:c r="N9" s="32" t="n">
        <x:f>IF(L9=0,"",I9/L9)</x:f>
        <x:v>1.015981936093012</x:v>
      </x:c>
      <x:c r="O9" s="34" t="n">
        <x:f>IF(L9=0,"",M9/L9)</x:f>
        <x:v>0.015981936093011996</x:v>
      </x:c>
    </x:row>
    <x:row r="10" ht="18" customHeight="1">
      <x:c r="A10" s="24" t="str">
        <x:v>Lobsters, crabs</x:v>
      </x:c>
      <x:c r="B10" s="33" t="n">
        <x:v>2</x:v>
      </x:c>
      <x:c r="C10" s="33" t="n">
        <x:v>2</x:v>
      </x:c>
      <x:c r="D10" s="31" t="n">
        <x:v>2971.700896484</x:v>
      </x:c>
      <x:c r="E10" s="31" t="n">
        <x:v>2971.700896484</x:v>
      </x:c>
      <x:c r="F10" s="32" t="n">
        <x:v>0</x:v>
      </x:c>
      <x:c r="G10" s="34" t="n">
        <x:v>1</x:v>
      </x:c>
      <x:c r="H10" s="32" t="n">
        <x:f>IF(E10=0,"",I10/E10)</x:f>
        <x:v>346.20609684610076</x:v>
      </x:c>
      <x:c r="I10" s="31" t="n">
        <x:f>IF(C10=0,"",SUMIF('Species'!$G$2:$G$55,A10,'Species'!$U$2:$U$55))</x:f>
        <x:v>1028820.9683657843</x:v>
      </x:c>
      <x:c r="J10" s="32" t="n">
        <x:v>3.538374500129647</x:v>
      </x:c>
      <x:c r="K10" s="32" t="n">
        <x:f>IF(J10="","",(1/'Metadata'!$B$5)^(J10-1))</x:f>
        <x:v>345.44149149853695</x:v>
      </x:c>
      <x:c r="L10" s="31" t="n">
        <x:f>IF(E10=0,"",E10*K10)</x:f>
        <x:v>1026548.7899689723</x:v>
      </x:c>
      <x:c r="M10" s="31" t="n">
        <x:f>IF(E10=0,"",I10-L10)</x:f>
        <x:v>2272.1783968119416</x:v>
      </x:c>
      <x:c r="N10" s="32" t="n">
        <x:f>IF(L10=0,"",I10/L10)</x:f>
        <x:v>1.0022134149092714</x:v>
      </x:c>
      <x:c r="O10" s="34" t="n">
        <x:f>IF(L10=0,"",M10/L10)</x:f>
        <x:v>0.0022134149092715005</x:v>
      </x:c>
    </x:row>
    <x:row r="11" ht="18" customHeight="1">
      <x:c r="A11" s="24" t="str">
        <x:v>Medium bathypelagics (30 - 89 cm)</x:v>
      </x:c>
      <x:c r="B11" s="33" t="n">
        <x:v>1</x:v>
      </x:c>
      <x:c r="C11" s="33" t="n">
        <x:v>1</x:v>
      </x:c>
      <x:c r="D11" s="31" t="n">
        <x:v>4199.6259336021</x:v>
      </x:c>
      <x:c r="E11" s="31" t="n">
        <x:v>4199.6259336021</x:v>
      </x:c>
      <x:c r="F11" s="32" t="n">
        <x:v>0</x:v>
      </x:c>
      <x:c r="G11" s="34" t="n">
        <x:v>1</x:v>
      </x:c>
      <x:c r="H11" s="32" t="n">
        <x:f>IF(E11=0,"",I11/E11)</x:f>
        <x:v>446.683592150963</x:v>
      </x:c>
      <x:c r="I11" s="31" t="n">
        <x:f>IF(C11=0,"",SUMIF('Species'!$G$2:$G$55,A11,'Species'!$U$2:$U$55))</x:f>
        <x:v>1875903.9977117279</x:v>
      </x:c>
      <x:c r="J11" s="32" t="n">
        <x:v>3.65</x:v>
      </x:c>
      <x:c r="K11" s="32" t="n">
        <x:f>IF(J11="","",(1/'Metadata'!$B$5)^(J11-1))</x:f>
        <x:v>446.683592150963</x:v>
      </x:c>
      <x:c r="L11" s="31" t="n">
        <x:f>IF(E11=0,"",E11*K11)</x:f>
        <x:v>1875903.9977117279</x:v>
      </x:c>
      <x:c r="M11" s="31" t="n">
        <x:f>IF(E11=0,"",I11-L11)</x:f>
        <x:v>0</x:v>
      </x:c>
      <x:c r="N11" s="32" t="n">
        <x:f>IF(L11=0,"",I11/L11)</x:f>
        <x:v>1</x:v>
      </x:c>
      <x:c r="O11" s="34" t="n">
        <x:f>IF(L11=0,"",M11/L11)</x:f>
        <x:v>0</x:v>
      </x:c>
    </x:row>
    <x:row r="12" ht="18" customHeight="1">
      <x:c r="A12" s="24" t="str">
        <x:v>Medium benthopelagics (30 - 89 cm)</x:v>
      </x:c>
      <x:c r="B12" s="33" t="n">
        <x:v>7</x:v>
      </x:c>
      <x:c r="C12" s="33" t="n">
        <x:v>7</x:v>
      </x:c>
      <x:c r="D12" s="31" t="n">
        <x:v>13244.0603828791</x:v>
      </x:c>
      <x:c r="E12" s="31" t="n">
        <x:v>13244.0603828791</x:v>
      </x:c>
      <x:c r="F12" s="32" t="n">
        <x:v>0</x:v>
      </x:c>
      <x:c r="G12" s="34" t="n">
        <x:v>1</x:v>
      </x:c>
      <x:c r="H12" s="32" t="n">
        <x:f>IF(E12=0,"",I12/E12)</x:f>
        <x:v>904.4987758519193</x:v>
      </x:c>
      <x:c r="I12" s="31" t="n">
        <x:f>IF(C12=0,"",SUMIF('Species'!$G$2:$G$55,A12,'Species'!$U$2:$U$55))</x:f>
        <x:v>11979236.403623048</x:v>
      </x:c>
      <x:c r="J12" s="32" t="n">
        <x:v>3.9498065328030503</x:v>
      </x:c>
      <x:c r="K12" s="32" t="n">
        <x:f>IF(J12="","",(1/'Metadata'!$B$5)^(J12-1))</x:f>
        <x:v>890.8539968242176</x:v>
      </x:c>
      <x:c r="L12" s="31" t="n">
        <x:f>IF(E12=0,"",E12*K12)</x:f>
        <x:v>11798524.126269124</x:v>
      </x:c>
      <x:c r="M12" s="31" t="n">
        <x:f>IF(E12=0,"",I12-L12)</x:f>
        <x:v>180712.27735392377</x:v>
      </x:c>
      <x:c r="N12" s="32" t="n">
        <x:f>IF(L12=0,"",I12/L12)</x:f>
        <x:v>1.0153165154743018</x:v>
      </x:c>
      <x:c r="O12" s="34" t="n">
        <x:f>IF(L12=0,"",M12/L12)</x:f>
        <x:v>0.015316515474301766</x:v>
      </x:c>
    </x:row>
    <x:row r="13" ht="18" customHeight="1">
      <x:c r="A13" s="24" t="str">
        <x:v>Medium demersals (30 - 89 cm)</x:v>
      </x:c>
      <x:c r="B13" s="33" t="n">
        <x:v>7</x:v>
      </x:c>
      <x:c r="C13" s="33" t="n">
        <x:v>7</x:v>
      </x:c>
      <x:c r="D13" s="31" t="n">
        <x:v>58916.6865242226</x:v>
      </x:c>
      <x:c r="E13" s="31" t="n">
        <x:v>58916.6865242226</x:v>
      </x:c>
      <x:c r="F13" s="32" t="n">
        <x:v>0</x:v>
      </x:c>
      <x:c r="G13" s="34" t="n">
        <x:v>1</x:v>
      </x:c>
      <x:c r="H13" s="32" t="n">
        <x:f>IF(E13=0,"",I13/E13)</x:f>
        <x:v>190.8588658287059</x:v>
      </x:c>
      <x:c r="I13" s="31" t="n">
        <x:f>IF(C13=0,"",SUMIF('Species'!$G$2:$G$55,A13,'Species'!$U$2:$U$55))</x:f>
        <x:v>11244771.968398524</x:v>
      </x:c>
      <x:c r="J13" s="32" t="n">
        <x:v>3.28044562022168</x:v>
      </x:c>
      <x:c r="K13" s="32" t="n">
        <x:f>IF(J13="","",(1/'Metadata'!$B$5)^(J13-1))</x:f>
        <x:v>190.74168736126103</x:v>
      </x:c>
      <x:c r="L13" s="31" t="n">
        <x:f>IF(E13=0,"",E13*K13)</x:f>
        <x:v>11237868.201364687</x:v>
      </x:c>
      <x:c r="M13" s="31" t="n">
        <x:f>IF(E13=0,"",I13-L13)</x:f>
        <x:v>6903.767033837736</x:v>
      </x:c>
      <x:c r="N13" s="32" t="n">
        <x:f>IF(L13=0,"",I13/L13)</x:f>
        <x:v>1.0006143306639776</x:v>
      </x:c>
      <x:c r="O13" s="34" t="n">
        <x:f>IF(L13=0,"",M13/L13)</x:f>
        <x:v>0.0006143306639776543</x:v>
      </x:c>
    </x:row>
    <x:row r="14" ht="18" customHeight="1">
      <x:c r="A14" s="24" t="str">
        <x:v>Medium pelagics (30 - 89 cm)</x:v>
      </x:c>
      <x:c r="B14" s="33" t="n">
        <x:v>2</x:v>
      </x:c>
      <x:c r="C14" s="33" t="n">
        <x:v>2</x:v>
      </x:c>
      <x:c r="D14" s="31" t="n">
        <x:v>173.0733007586</x:v>
      </x:c>
      <x:c r="E14" s="31" t="n">
        <x:v>173.0733007586</x:v>
      </x:c>
      <x:c r="F14" s="32" t="n">
        <x:v>0</x:v>
      </x:c>
      <x:c r="G14" s="34" t="n">
        <x:v>1</x:v>
      </x:c>
      <x:c r="H14" s="32" t="n">
        <x:f>IF(E14=0,"",I14/E14)</x:f>
        <x:v>239.95463255108484</x:v>
      </x:c>
      <x:c r="I14" s="31" t="n">
        <x:f>IF(C14=0,"",SUMIF('Species'!$G$2:$G$55,A14,'Species'!$U$2:$U$55))</x:f>
        <x:v>41529.74028793326</x:v>
      </x:c>
      <x:c r="J14" s="32" t="n">
        <x:v>3.38005418470656</x:v>
      </x:c>
      <x:c r="K14" s="32" t="n">
        <x:f>IF(J14="","",(1/'Metadata'!$B$5)^(J14-1))</x:f>
        <x:v>239.91322278342048</x:v>
      </x:c>
      <x:c r="L14" s="31" t="n">
        <x:f>IF(E14=0,"",E14*K14)</x:f>
        <x:v>41522.57336275994</x:v>
      </x:c>
      <x:c r="M14" s="31" t="n">
        <x:f>IF(E14=0,"",I14-L14)</x:f>
        <x:v>7.166925173318305</x:v>
      </x:c>
      <x:c r="N14" s="32" t="n">
        <x:f>IF(L14=0,"",I14/L14)</x:f>
        <x:v>1.0001726031070066</x:v>
      </x:c>
      <x:c r="O14" s="34" t="n">
        <x:f>IF(L14=0,"",M14/L14)</x:f>
        <x:v>0.00017260310700651456</x:v>
      </x:c>
    </x:row>
    <x:row r="15" ht="18" customHeight="1">
      <x:c r="A15" s="24" t="str">
        <x:v>Other demersal invertebrates</x:v>
      </x:c>
      <x:c r="B15" s="33" t="n">
        <x:v>3</x:v>
      </x:c>
      <x:c r="C15" s="33" t="n">
        <x:v>3</x:v>
      </x:c>
      <x:c r="D15" s="31" t="n">
        <x:v>1.7836876029</x:v>
      </x:c>
      <x:c r="E15" s="31" t="n">
        <x:v>1.7836876029</x:v>
      </x:c>
      <x:c r="F15" s="32" t="n">
        <x:v>0</x:v>
      </x:c>
      <x:c r="G15" s="34" t="n">
        <x:v>1</x:v>
      </x:c>
      <x:c r="H15" s="32" t="n">
        <x:f>IF(E15=0,"",I15/E15)</x:f>
        <x:v>17.010674462279063</x:v>
      </x:c>
      <x:c r="I15" s="31" t="n">
        <x:f>IF(C15=0,"",SUMIF('Species'!$G$2:$G$55,A15,'Species'!$U$2:$U$55))</x:f>
        <x:v>30.341729155334786</x:v>
      </x:c>
      <x:c r="J15" s="32" t="n">
        <x:v>2.2285395270154007</x:v>
      </x:c>
      <x:c r="K15" s="32" t="n">
        <x:f>IF(J15="","",(1/'Metadata'!$B$5)^(J15-1))</x:f>
        <x:v>16.925422830053744</x:v>
      </x:c>
      <x:c r="L15" s="31" t="n">
        <x:f>IF(E15=0,"",E15*K15)</x:f>
        <x:v>30.189666875807497</x:v>
      </x:c>
      <x:c r="M15" s="31" t="n">
        <x:f>IF(E15=0,"",I15-L15)</x:f>
        <x:v>0.15206227952728923</x:v>
      </x:c>
      <x:c r="N15" s="32" t="n">
        <x:f>IF(L15=0,"",I15/L15)</x:f>
        <x:v>1.0050368982259008</x:v>
      </x:c>
      <x:c r="O15" s="34" t="n">
        <x:f>IF(L15=0,"",M15/L15)</x:f>
        <x:v>0.005036898225900744</x:v>
      </x:c>
    </x:row>
    <x:row r="16" ht="18" customHeight="1">
      <x:c r="A16" s="24" t="str">
        <x:v>Shrimps</x:v>
      </x:c>
      <x:c r="B16" s="33" t="n">
        <x:v>4</x:v>
      </x:c>
      <x:c r="C16" s="33" t="n">
        <x:v>4</x:v>
      </x:c>
      <x:c r="D16" s="31" t="n">
        <x:v>67008.07190446739</x:v>
      </x:c>
      <x:c r="E16" s="31" t="n">
        <x:v>67008.07190446739</x:v>
      </x:c>
      <x:c r="F16" s="32" t="n">
        <x:v>0</x:v>
      </x:c>
      <x:c r="G16" s="34" t="n">
        <x:v>1</x:v>
      </x:c>
      <x:c r="H16" s="32" t="n">
        <x:f>IF(E16=0,"",I16/E16)</x:f>
        <x:v>117.42685356036347</x:v>
      </x:c>
      <x:c r="I16" s="31" t="n">
        <x:f>IF(C16=0,"",SUMIF('Species'!$G$2:$G$55,A16,'Species'!$U$2:$U$55))</x:f>
        <x:v>7868547.046888198</x:v>
      </x:c>
      <x:c r="J16" s="32" t="n">
        <x:v>3.0695176607997134</x:v>
      </x:c>
      <x:c r="K16" s="32" t="n">
        <x:f>IF(J16="","",(1/'Metadata'!$B$5)^(J16-1))</x:f>
        <x:v>117.35934062767254</x:v>
      </x:c>
      <x:c r="L16" s="31" t="n">
        <x:f>IF(E16=0,"",E16*K16)</x:f>
        <x:v>7864023.135439962</x:v>
      </x:c>
      <x:c r="M16" s="31" t="n">
        <x:f>IF(E16=0,"",I16-L16)</x:f>
        <x:v>4523.9114482356235</x:v>
      </x:c>
      <x:c r="N16" s="32" t="n">
        <x:f>IF(L16=0,"",I16/L16)</x:f>
        <x:v>1.00057526680305</x:v>
      </x:c>
      <x:c r="O16" s="34" t="n">
        <x:f>IF(L16=0,"",M16/L16)</x:f>
        <x:v>0.0005752668030499795</x:v>
      </x:c>
    </x:row>
    <x:row r="17" ht="18" customHeight="1">
      <x:c r="A17" s="24" t="str">
        <x:v>Small pelagics (&lt;30 cm)</x:v>
      </x:c>
      <x:c r="B17" s="33" t="n">
        <x:v>2</x:v>
      </x:c>
      <x:c r="C17" s="33" t="n">
        <x:v>2</x:v>
      </x:c>
      <x:c r="D17" s="31" t="n">
        <x:v>837.4722196714</x:v>
      </x:c>
      <x:c r="E17" s="31" t="n">
        <x:v>837.4722196714</x:v>
      </x:c>
      <x:c r="F17" s="32" t="n">
        <x:v>0</x:v>
      </x:c>
      <x:c r="G17" s="34" t="n">
        <x:v>1</x:v>
      </x:c>
      <x:c r="H17" s="32" t="n">
        <x:f>IF(E17=0,"",I17/E17)</x:f>
        <x:v>141.25378195525508</x:v>
      </x:c>
      <x:c r="I17" s="31" t="n">
        <x:f>IF(C17=0,"",SUMIF('Species'!$G$2:$G$55,A17,'Species'!$U$2:$U$55))</x:f>
        <x:v>118296.11831104741</x:v>
      </x:c>
      <x:c r="J17" s="32" t="n">
        <x:v>3.150000083559634</x:v>
      </x:c>
      <x:c r="K17" s="32" t="n">
        <x:f>IF(J17="","",(1/'Metadata'!$B$5)^(J17-1))</x:f>
        <x:v>141.25378163994776</x:v>
      </x:c>
      <x:c r="L17" s="31" t="n">
        <x:f>IF(E17=0,"",E17*K17)</x:f>
        <x:v>118296.1180469863</x:v>
      </x:c>
      <x:c r="M17" s="31" t="n">
        <x:f>IF(E17=0,"",I17-L17)</x:f>
        <x:v>0.0002640611055539921</x:v>
      </x:c>
      <x:c r="N17" s="32" t="n">
        <x:f>IF(L17=0,"",I17/L17)</x:f>
        <x:v>1.0000000022322044</x:v>
      </x:c>
      <x:c r="O17" s="34" t="n">
        <x:f>IF(L17=0,"",M17/L17)</x:f>
        <x:v>2.232204318396222e-9</x:v>
      </x:c>
    </x:row>
    <x:row r="18" ht="18" customHeight="1">
      <x:c r="A18" s="24" t="str">
        <x:v>Small to medium flatfishes (&lt;90 cm)</x:v>
      </x:c>
      <x:c r="B18" s="33" t="n">
        <x:v>3</x:v>
      </x:c>
      <x:c r="C18" s="33" t="n">
        <x:v>3</x:v>
      </x:c>
      <x:c r="D18" s="31" t="n">
        <x:v>62525.0101604022</x:v>
      </x:c>
      <x:c r="E18" s="31" t="n">
        <x:v>62525.0101604022</x:v>
      </x:c>
      <x:c r="F18" s="32" t="n">
        <x:v>0</x:v>
      </x:c>
      <x:c r="G18" s="34" t="n">
        <x:v>1</x:v>
      </x:c>
      <x:c r="H18" s="32" t="n">
        <x:f>IF(E18=0,"",I18/E18)</x:f>
        <x:v>2398.794601677552</x:v>
      </x:c>
      <x:c r="I18" s="31" t="n">
        <x:f>IF(C18=0,"",SUMIF('Species'!$G$2:$G$55,A18,'Species'!$U$2:$U$55))</x:f>
        <x:v>149984656.84260687</x:v>
      </x:c>
      <x:c r="J18" s="32" t="n">
        <x:v>4.379990386872632</x:v>
      </x:c>
      <x:c r="K18" s="32" t="n">
        <x:f>IF(J18="","",(1/'Metadata'!$B$5)^(J18-1))</x:f>
        <x:v>2398.7798213354818</x:v>
      </x:c>
      <x:c r="L18" s="31" t="n">
        <x:f>IF(E18=0,"",E18*K18)</x:f>
        <x:v>149983732.70156875</x:v>
      </x:c>
      <x:c r="M18" s="31" t="n">
        <x:f>IF(E18=0,"",I18-L18)</x:f>
        <x:v>924.1410381197929</x:v>
      </x:c>
      <x:c r="N18" s="32" t="n">
        <x:f>IF(L18=0,"",I18/L18)</x:f>
        <x:v>1.0000061616084723</x:v>
      </x:c>
      <x:c r="O18" s="34" t="n">
        <x:f>IF(L18=0,"",M18/L18)</x:f>
        <x:v>0.000006161608472290855</x:v>
      </x:c>
    </x:row>
  </x:sheetData>
  <x:conditionalFormatting sqref="G2:G18">
    <x:cfRule type="cellIs" dxfId="2" priority="1" operator="lessThan">
      <x:formula>0.9</x:formula>
    </x:cfRule>
  </x:conditionalFormatting>
  <x:conditionalFormatting sqref="O2:O1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a28469896473411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EEZ_304</x:v>
      </x:c>
      <x:c r="B2" s="24" t="str">
        <x:v>raw_filtered_tonnes</x:v>
      </x:c>
      <x:c r="C2" s="24" t="n">
        <x:v>262286.0841378048</x:v>
      </x:c>
      <x:c r="D2" s="24" t="str">
        <x:v>tonnes</x:v>
      </x:c>
    </x:row>
    <x:row r="3" ht="18" customHeight="1">
      <x:c r="A3" s="24" t="str">
        <x:v>EEZ_304</x:v>
      </x:c>
      <x:c r="B3" s="24" t="str">
        <x:v>species_catch_tonnes</x:v>
      </x:c>
      <x:c r="C3" s="24" t="n">
        <x:v>262286.0841378048</x:v>
      </x:c>
      <x:c r="D3" s="24" t="str">
        <x:v>tonnes</x:v>
      </x:c>
    </x:row>
    <x:row r="4" ht="18" customHeight="1">
      <x:c r="A4" s="24" t="str">
        <x:v>EEZ_304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EEZ_304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EEZ_304</x:v>
      </x:c>
      <x:c r="B6" s="24" t="str">
        <x:v>matched_catch_tonnes</x:v>
      </x:c>
      <x:c r="C6" s="24" t="n">
        <x:v>262286.0841378048</x:v>
      </x:c>
      <x:c r="D6" s="24" t="str">
        <x:v>tonnes</x:v>
      </x:c>
    </x:row>
    <x:row r="7" ht="18" customHeight="1">
      <x:c r="A7" s="24" t="str">
        <x:v>EEZ_304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EEZ_304</x:v>
      </x:c>
      <x:c r="B8" s="24" t="str">
        <x:v>taxa_count</x:v>
      </x:c>
      <x:c r="C8" s="24" t="n">
        <x:v>54</x:v>
      </x:c>
      <x:c r="D8" s="24" t="str">
        <x:v>count</x:v>
      </x:c>
    </x:row>
    <x:row r="9" ht="18" customHeight="1">
      <x:c r="A9" s="24" t="str">
        <x:v>EEZ_304</x:v>
      </x:c>
      <x:c r="B9" s="24" t="str">
        <x:v>matched_taxa_count</x:v>
      </x:c>
      <x:c r="C9" s="24" t="n">
        <x:v>54</x:v>
      </x:c>
      <x:c r="D9" s="24" t="str">
        <x:v>count</x:v>
      </x:c>
    </x:row>
    <x:row r="10" ht="18" customHeight="1">
      <x:c r="A10" s="24" t="str">
        <x:v>EEZ_304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EEZ_304</x:v>
      </x:c>
      <x:c r="B11" s="24" t="str">
        <x:v>species_ppr</x:v>
      </x:c>
      <x:c r="C11" s="24" t="n">
        <x:v>248197559.24175024</x:v>
      </x:c>
      <x:c r="D11" s="24" t="str">
        <x:v>tonnes_primary_production_equivalent</x:v>
      </x:c>
    </x:row>
    <x:row r="12" ht="18" customHeight="1">
      <x:c r="A12" s="24" t="str">
        <x:v>EEZ_304</x:v>
      </x:c>
      <x:c r="B12" s="24" t="str">
        <x:v>commercial_ppr</x:v>
      </x:c>
      <x:c r="C12" s="24" t="n">
        <x:v>248197559.24175033</x:v>
      </x:c>
      <x:c r="D12" s="24" t="str">
        <x:v>tonnes_primary_production_equivalent</x:v>
      </x:c>
    </x:row>
    <x:row r="13" ht="18" customHeight="1">
      <x:c r="A13" s="24" t="str">
        <x:v>EEZ_304</x:v>
      </x:c>
      <x:c r="B13" s="24" t="str">
        <x:v>functional_ppr</x:v>
      </x:c>
      <x:c r="C13" s="24" t="n">
        <x:v>248197559.2417503</x:v>
      </x:c>
      <x:c r="D13" s="24" t="str">
        <x:v>tonnes_primary_production_equivalent</x:v>
      </x:c>
    </x:row>
    <x:row r="14" ht="18" customHeight="1">
      <x:c r="A14" s="24" t="str">
        <x:v>EEZ_304</x:v>
      </x:c>
      <x:c r="B14" s="24" t="str">
        <x:v>commercial_ppr_difference</x:v>
      </x:c>
      <x:c r="C14" s="24" t="n">
        <x:v>8.940696716308594e-8</x:v>
      </x:c>
      <x:c r="D14" s="24" t="str">
        <x:v>tonnes_primary_production_equivalent</x:v>
      </x:c>
    </x:row>
    <x:row r="15" ht="18" customHeight="1">
      <x:c r="A15" s="24" t="str">
        <x:v>EEZ_304</x:v>
      </x:c>
      <x:c r="B15" s="24" t="str">
        <x:v>functional_ppr_difference</x:v>
      </x:c>
      <x:c r="C15" s="24" t="n">
        <x:v>5.960464477539063e-8</x:v>
      </x:c>
      <x:c r="D15" s="24" t="str">
        <x:v>tonnes_primary_production_equivalent</x:v>
      </x:c>
    </x:row>
    <x:row r="16" ht="18" customHeight="1">
      <x:c r="A16" s="24" t="str">
        <x:v>EEZ_304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EEZ_304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EEZ_304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EEZ_304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d7209a001a8b425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EEZ_304 - Greenland (Denmark)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EEZ_304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raw_data/SAU_downloads/EEZ_304-catch.zip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