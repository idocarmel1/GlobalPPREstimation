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aa0098b3d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3b5a701dd1a4c5f"/>
    <x:sheet xmlns:r="http://schemas.openxmlformats.org/officeDocument/2006/relationships" name="Commercial" sheetId="2" r:id="Re21b93e8f7f041f9"/>
    <x:sheet xmlns:r="http://schemas.openxmlformats.org/officeDocument/2006/relationships" name="Functional" sheetId="3" r:id="R3d163c2e32f74163"/>
    <x:sheet xmlns:r="http://schemas.openxmlformats.org/officeDocument/2006/relationships" name="Missing TL" sheetId="4" r:id="Rc5ff3bfd749f47d2"/>
    <x:sheet xmlns:r="http://schemas.openxmlformats.org/officeDocument/2006/relationships" name="Validation" sheetId="5" r:id="R6e58062e712e440b"/>
    <x:sheet xmlns:r="http://schemas.openxmlformats.org/officeDocument/2006/relationships" name="Metadata" sheetId="6" r:id="R1928ea42f89f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2b3aacc6b4811" /><Relationship Type="http://schemas.openxmlformats.org/officeDocument/2006/relationships/theme" Target="/xl/theme/theme1.xml" Id="R9e52f957b92a4007" /><Relationship Type="http://schemas.microsoft.com/office/2022/11/relationships/FeaturePropertyBag" Target="/xl/featurePropertyBag/featurePropertyBag.xml" Id="R30917082d17a4b23" /><Relationship Type="http://schemas.openxmlformats.org/officeDocument/2006/relationships/sharedStrings" Target="/xl/sharedStrings.xml" Id="R4b5708b177154ced" /><Relationship Type="http://schemas.openxmlformats.org/officeDocument/2006/relationships/worksheet" Target="/xl/worksheets/sheet1.xml" Id="R03b5a701dd1a4c5f" /><Relationship Type="http://schemas.openxmlformats.org/officeDocument/2006/relationships/worksheet" Target="/xl/worksheets/sheet2.xml" Id="Re21b93e8f7f041f9" /><Relationship Type="http://schemas.openxmlformats.org/officeDocument/2006/relationships/worksheet" Target="/xl/worksheets/sheet3.xml" Id="R3d163c2e32f74163" /><Relationship Type="http://schemas.openxmlformats.org/officeDocument/2006/relationships/worksheet" Target="/xl/worksheets/sheet4.xml" Id="Rc5ff3bfd749f47d2" /><Relationship Type="http://schemas.openxmlformats.org/officeDocument/2006/relationships/worksheet" Target="/xl/worksheets/sheet5.xml" Id="R6e58062e712e440b" /><Relationship Type="http://schemas.openxmlformats.org/officeDocument/2006/relationships/worksheet" Target="/xl/worksheets/sheet6.xml" Id="R1928ea42f89f42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7SpeciesTable" displayName="EEZ907SpeciesTable" ref="A1:U40" headerRowCount="1" totalsRowCount="0" totalsRowShown="0">
  <x:autoFilter ref="A1:U4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7CommercialTable" displayName="EEZ907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7FunctionalTable" displayName="EEZ907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7ValidationTable" displayName="EEZ90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a33fc4cf264f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a26242345546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268093861b49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df804946da42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EEZ_907</x:v>
      </x:c>
      <x:c r="B2" s="24" t="str">
        <x:v>Bonaire (Netherlands)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89.77206996940001</x:v>
      </x:c>
      <x:c r="J2" s="31" t="n">
        <x:v>68.7710463133</x:v>
      </x:c>
      <x:c r="K2" s="31" t="n">
        <x:v>21.0010236561</x:v>
      </x:c>
      <x:c r="L2" s="31" t="n">
        <x:v>22.337853555000002</x:v>
      </x:c>
      <x:c r="M2" s="31" t="n">
        <x:v>67.4342164144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17105.715289693973</x:v>
      </x:c>
    </x:row>
    <x:row r="3" ht="18" customHeight="1">
      <x:c r="A3" s="24" t="str">
        <x:v>EEZ_907</x:v>
      </x:c>
      <x:c r="B3" s="24" t="str">
        <x:v>Bonaire (Netherlands)</x:v>
      </x:c>
      <x:c r="C3" s="24" t="str">
        <x:v>EEZ</x:v>
      </x:c>
      <x:c r="D3" s="30" t="n">
        <x:v>2019</x:v>
      </x:c>
      <x:c r="E3" s="24" t="str">
        <x:v>Coryphaena hippurus</x:v>
      </x:c>
      <x:c r="F3" s="24" t="str">
        <x:v>Common dolphinfish</x:v>
      </x:c>
      <x:c r="G3" s="24" t="str">
        <x:v>Large pelagics (&gt;=90 cm)</x:v>
      </x:c>
      <x:c r="H3" s="24" t="str">
        <x:v>Perch-likes</x:v>
      </x:c>
      <x:c r="I3" s="31" t="n">
        <x:v>39.7269880131</x:v>
      </x:c>
      <x:c r="J3" s="31" t="n">
        <x:v>39.7269880131</x:v>
      </x:c>
      <x:c r="K3" s="31" t="n">
        <x:v>0</x:v>
      </x:c>
      <x:c r="L3" s="31" t="n">
        <x:v>30.091151420699997</x:v>
      </x:c>
      <x:c r="M3" s="31" t="n">
        <x:v>9.6358365924</x:v>
      </x:c>
      <x:c r="N3" s="24" t="str">
        <x:v>coryphaena hippurus</x:v>
      </x:c>
      <x:c r="O3" s="32" t="n">
        <x:v>4.37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Coryphaena hippurus</x:v>
      </x:c>
      <x:c r="T3" s="32" t="n">
        <x:f>IF(O3="","",(1/'Metadata'!$B$5)^(O3-1))</x:f>
        <x:v>2344.228815319923</x:v>
      </x:c>
      <x:c r="U3" s="31" t="n">
        <x:f>IF(T3="","",I3*T3)</x:f>
        <x:v>93129.15004617818</x:v>
      </x:c>
    </x:row>
    <x:row r="4" ht="18" customHeight="1">
      <x:c r="A4" s="24" t="str">
        <x:v>EEZ_907</x:v>
      </x:c>
      <x:c r="B4" s="24" t="str">
        <x:v>Bonaire (Netherlands)</x:v>
      </x:c>
      <x:c r="C4" s="24" t="str">
        <x:v>EEZ</x:v>
      </x:c>
      <x:c r="D4" s="30" t="n">
        <x:v>2019</x:v>
      </x:c>
      <x:c r="E4" s="24" t="str">
        <x:v>Acanthocybium solandri</x:v>
      </x:c>
      <x:c r="F4" s="24" t="str">
        <x:v>Wahoo</x:v>
      </x:c>
      <x:c r="G4" s="24" t="str">
        <x:v>Large pelagics (&gt;=90 cm)</x:v>
      </x:c>
      <x:c r="H4" s="24" t="str">
        <x:v>Perch-likes</x:v>
      </x:c>
      <x:c r="I4" s="31" t="n">
        <x:v>38.3469835463</x:v>
      </x:c>
      <x:c r="J4" s="31" t="n">
        <x:v>38.3469835463</x:v>
      </x:c>
      <x:c r="K4" s="31" t="n">
        <x:v>0</x:v>
      </x:c>
      <x:c r="L4" s="31" t="n">
        <x:v>26.7186196841</x:v>
      </x:c>
      <x:c r="M4" s="31" t="n">
        <x:v>11.6283638622</x:v>
      </x:c>
      <x:c r="N4" s="24" t="str">
        <x:v>acanthocybium solandri</x:v>
      </x:c>
      <x:c r="O4" s="32" t="n">
        <x:v>4.26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Acanthocybium solandri</x:v>
      </x:c>
      <x:c r="T4" s="32" t="n">
        <x:f>IF(O4="","",(1/'Metadata'!$B$5)^(O4-1))</x:f>
        <x:v>1819.7008586099826</x:v>
      </x:c>
      <x:c r="U4" s="31" t="n">
        <x:f>IF(T4="","",I4*T4)</x:f>
        <x:v>69780.03888430499</x:v>
      </x:c>
    </x:row>
    <x:row r="5" ht="18" customHeight="1">
      <x:c r="A5" s="24" t="str">
        <x:v>EEZ_907</x:v>
      </x:c>
      <x:c r="B5" s="24" t="str">
        <x:v>Bonaire (Netherlands)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36.9006152682</x:v>
      </x:c>
      <x:c r="J5" s="31" t="n">
        <x:v>36.9006152682</x:v>
      </x:c>
      <x:c r="K5" s="31" t="n">
        <x:v>0</x:v>
      </x:c>
      <x:c r="L5" s="31" t="n">
        <x:v>26.2314410754</x:v>
      </x:c>
      <x:c r="M5" s="31" t="n">
        <x:v>10.6691741928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94849.18586695765</x:v>
      </x:c>
    </x:row>
    <x:row r="6" ht="18" customHeight="1">
      <x:c r="A6" s="24" t="str">
        <x:v>EEZ_907</x:v>
      </x:c>
      <x:c r="B6" s="24" t="str">
        <x:v>Bonaire (Netherlands)</x:v>
      </x:c>
      <x:c r="C6" s="24" t="str">
        <x:v>EEZ</x:v>
      </x:c>
      <x:c r="D6" s="30" t="n">
        <x:v>2019</x:v>
      </x:c>
      <x:c r="E6" s="24" t="str">
        <x:v>Thunnus atlanticus</x:v>
      </x:c>
      <x:c r="F6" s="24" t="str">
        <x:v>Blackfin tuna</x:v>
      </x:c>
      <x:c r="G6" s="24" t="str">
        <x:v>Large pelagics (&gt;=90 cm)</x:v>
      </x:c>
      <x:c r="H6" s="24" t="str">
        <x:v>Tuna &amp; billfishes</x:v>
      </x:c>
      <x:c r="I6" s="31" t="n">
        <x:v>22.8841726735</x:v>
      </x:c>
      <x:c r="J6" s="31" t="n">
        <x:v>22.8841726735</x:v>
      </x:c>
      <x:c r="K6" s="31" t="n">
        <x:v>0</x:v>
      </x:c>
      <x:c r="L6" s="31" t="n">
        <x:v>12.332292372700001</x:v>
      </x:c>
      <x:c r="M6" s="31" t="n">
        <x:v>10.5518803008</x:v>
      </x:c>
      <x:c r="N6" s="24" t="str">
        <x:v>thunnus atlanticus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atlanticus</x:v>
      </x:c>
      <x:c r="T6" s="32" t="n">
        <x:f>IF(O6="","",(1/'Metadata'!$B$5)^(O6-1))</x:f>
        <x:v>2238.7211385683377</x:v>
      </x:c>
      <x:c r="U6" s="31" t="n">
        <x:f>IF(T6="","",I6*T6)</x:f>
        <x:v>51231.28110281236</x:v>
      </x:c>
    </x:row>
    <x:row r="7" ht="18" customHeight="1">
      <x:c r="A7" s="24" t="str">
        <x:v>EEZ_907</x:v>
      </x:c>
      <x:c r="B7" s="24" t="str">
        <x:v>Bonaire (Netherlands)</x:v>
      </x:c>
      <x:c r="C7" s="24" t="str">
        <x:v>EEZ</x:v>
      </x:c>
      <x:c r="D7" s="30" t="n">
        <x:v>2019</x:v>
      </x:c>
      <x:c r="E7" s="24" t="str">
        <x:v>Sphyraena barracuda</x:v>
      </x:c>
      <x:c r="F7" s="24" t="str">
        <x:v>Great barracuda</x:v>
      </x:c>
      <x:c r="G7" s="24" t="str">
        <x:v>Large pelagics (&gt;=90 cm)</x:v>
      </x:c>
      <x:c r="H7" s="24" t="str">
        <x:v>Perch-likes</x:v>
      </x:c>
      <x:c r="I7" s="31" t="n">
        <x:v>19.280776478699998</x:v>
      </x:c>
      <x:c r="J7" s="31" t="n">
        <x:v>19.280776478699998</x:v>
      </x:c>
      <x:c r="K7" s="31" t="n">
        <x:v>0</x:v>
      </x:c>
      <x:c r="L7" s="31" t="n">
        <x:v>5.0160039772000005</x:v>
      </x:c>
      <x:c r="M7" s="31" t="n">
        <x:v>14.2647725015</x:v>
      </x:c>
      <x:c r="N7" s="24" t="str">
        <x:v>sphyraena barracuda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Sphyraena barracuda</x:v>
      </x:c>
      <x:c r="T7" s="32" t="n">
        <x:f>IF(O7="","",(1/'Metadata'!$B$5)^(O7-1))</x:f>
        <x:v>3090.295432513592</x:v>
      </x:c>
      <x:c r="U7" s="31" t="n">
        <x:f>IF(T7="","",I7*T7)</x:f>
        <x:v>59583.295487442105</x:v>
      </x:c>
    </x:row>
    <x:row r="8" ht="18" customHeight="1">
      <x:c r="A8" s="24" t="str">
        <x:v>EEZ_907</x:v>
      </x:c>
      <x:c r="B8" s="24" t="str">
        <x:v>Bonaire (Netherlands)</x:v>
      </x:c>
      <x:c r="C8" s="24" t="str">
        <x:v>EEZ</x:v>
      </x:c>
      <x:c r="D8" s="30" t="n">
        <x:v>2019</x:v>
      </x:c>
      <x:c r="E8" s="24" t="str">
        <x:v>Coryphaena</x:v>
      </x:c>
      <x:c r="F8" s="24" t="str">
        <x:v>Dolphinfishes</x:v>
      </x:c>
      <x:c r="G8" s="24" t="str">
        <x:v>Large pelagics (&gt;=90 cm)</x:v>
      </x:c>
      <x:c r="H8" s="24" t="str">
        <x:v>Perch-likes</x:v>
      </x:c>
      <x:c r="I8" s="31" t="n">
        <x:v>18.104992581199998</x:v>
      </x:c>
      <x:c r="J8" s="31" t="n">
        <x:v>18.104992581199998</x:v>
      </x:c>
      <x:c r="K8" s="31" t="n">
        <x:v>0</x:v>
      </x:c>
      <x:c r="L8" s="31" t="n">
        <x:v>16.805628679199998</x:v>
      </x:c>
      <x:c r="M8" s="31" t="n">
        <x:v>1.299363902</x:v>
      </x:c>
      <x:c r="N8" s="24" t="str">
        <x:v>coryphaena</x:v>
      </x:c>
      <x:c r="O8" s="32" t="n">
        <x:v>4.49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Coryphaena</x:v>
      </x:c>
      <x:c r="T8" s="32" t="n">
        <x:f>IF(O8="","",(1/'Metadata'!$B$5)^(O8-1))</x:f>
        <x:v>3090.295432513592</x:v>
      </x:c>
      <x:c r="U8" s="31" t="n">
        <x:f>IF(T8="","",I8*T8)</x:f>
        <x:v>55949.77587937482</x:v>
      </x:c>
    </x:row>
    <x:row r="9" ht="18" customHeight="1">
      <x:c r="A9" s="24" t="str">
        <x:v>EEZ_907</x:v>
      </x:c>
      <x:c r="B9" s="24" t="str">
        <x:v>Bonaire (Netherlands)</x:v>
      </x:c>
      <x:c r="C9" s="24" t="str">
        <x:v>EEZ</x:v>
      </x:c>
      <x:c r="D9" s="30" t="n">
        <x:v>2019</x:v>
      </x:c>
      <x:c r="E9" s="24" t="str">
        <x:v>Istiophorus albicans</x:v>
      </x:c>
      <x:c r="F9" s="24" t="str">
        <x:v>Atlantic sailfish</x:v>
      </x:c>
      <x:c r="G9" s="24" t="str">
        <x:v>Large pelagics (&gt;=90 cm)</x:v>
      </x:c>
      <x:c r="H9" s="24" t="str">
        <x:v>Tuna &amp; billfishes</x:v>
      </x:c>
      <x:c r="I9" s="31" t="n">
        <x:v>12.5146892175</x:v>
      </x:c>
      <x:c r="J9" s="31" t="n">
        <x:v>12.5146892175</x:v>
      </x:c>
      <x:c r="K9" s="31" t="n">
        <x:v>0</x:v>
      </x:c>
      <x:c r="L9" s="31" t="n">
        <x:v>2.8788526251</x:v>
      </x:c>
      <x:c r="M9" s="31" t="n">
        <x:v>9.6358365924</x:v>
      </x:c>
      <x:c r="N9" s="24" t="str">
        <x:v>istiophorus albicans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Istiophorus albicans</x:v>
      </x:c>
      <x:c r="T9" s="32" t="n">
        <x:f>IF(O9="","",(1/'Metadata'!$B$5)^(O9-1))</x:f>
        <x:v>3162.2776601683795</x:v>
      </x:c>
      <x:c r="U9" s="31" t="n">
        <x:f>IF(T9="","",I9*T9)</x:f>
        <x:v>39574.922136450354</x:v>
      </x:c>
    </x:row>
    <x:row r="10" ht="18" customHeight="1">
      <x:c r="A10" s="24" t="str">
        <x:v>EEZ_907</x:v>
      </x:c>
      <x:c r="B10" s="24" t="str">
        <x:v>Bonaire (Netherlands)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12.3867416497</x:v>
      </x:c>
      <x:c r="J10" s="31" t="n">
        <x:v>12.3867416497</x:v>
      </x:c>
      <x:c r="K10" s="31" t="n">
        <x:v>0</x:v>
      </x:c>
      <x:c r="L10" s="31" t="n">
        <x:v>12.3867416497</x:v>
      </x:c>
      <x:c r="M10" s="31" t="n">
        <x:v>0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2773.0460369168263</x:v>
      </x:c>
    </x:row>
    <x:row r="11" ht="18" customHeight="1">
      <x:c r="A11" s="24" t="str">
        <x:v>EEZ_907</x:v>
      </x:c>
      <x:c r="B11" s="24" t="str">
        <x:v>Bonaire (Netherlands)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11.7468851161</x:v>
      </x:c>
      <x:c r="J11" s="31" t="n">
        <x:v>11.7468851161</x:v>
      </x:c>
      <x:c r="K11" s="31" t="n">
        <x:v>0</x:v>
      </x:c>
      <x:c r="L11" s="31" t="n">
        <x:v>1.9595422342</x:v>
      </x:c>
      <x:c r="M11" s="31" t="n">
        <x:v>9.7873428819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21375.816931759993</x:v>
      </x:c>
    </x:row>
    <x:row r="12" ht="18" customHeight="1">
      <x:c r="A12" s="24" t="str">
        <x:v>EEZ_907</x:v>
      </x:c>
      <x:c r="B12" s="24" t="str">
        <x:v>Bonaire (Netherlands)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11.541888883199999</x:v>
      </x:c>
      <x:c r="J12" s="31" t="n">
        <x:v>11.541888883199999</x:v>
      </x:c>
      <x:c r="K12" s="31" t="n">
        <x:v>0</x:v>
      </x:c>
      <x:c r="L12" s="31" t="n">
        <x:v>2.9701341604</x:v>
      </x:c>
      <x:c r="M12" s="31" t="n">
        <x:v>8.5717547228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12085.84134803002</x:v>
      </x:c>
    </x:row>
    <x:row r="13" ht="18" customHeight="1">
      <x:c r="A13" s="24" t="str">
        <x:v>EEZ_907</x:v>
      </x:c>
      <x:c r="B13" s="24" t="str">
        <x:v>Bonaire (Netherlands)</x:v>
      </x:c>
      <x:c r="C13" s="24" t="str">
        <x:v>EEZ</x:v>
      </x:c>
      <x:c r="D13" s="30" t="n">
        <x:v>2019</x:v>
      </x:c>
      <x:c r="E13" s="24" t="str">
        <x:v>Panulirus argus</x:v>
      </x:c>
      <x:c r="F13" s="24" t="str">
        <x:v>Caribbean spiny lobster</x:v>
      </x:c>
      <x:c r="G13" s="24" t="str">
        <x:v>Lobsters, crabs</x:v>
      </x:c>
      <x:c r="H13" s="24" t="str">
        <x:v>Crustaceans</x:v>
      </x:c>
      <x:c r="I13" s="31" t="n">
        <x:v>11.2033786703</x:v>
      </x:c>
      <x:c r="J13" s="31" t="n">
        <x:v>11.2033786703</x:v>
      </x:c>
      <x:c r="K13" s="31" t="n">
        <x:v>0</x:v>
      </x:c>
      <x:c r="L13" s="31" t="n">
        <x:v>9.7838389497</x:v>
      </x:c>
      <x:c r="M13" s="31" t="n">
        <x:v>1.4195397206</x:v>
      </x:c>
      <x:c r="N13" s="24" t="str">
        <x:v>panulirus argus</x:v>
      </x:c>
      <x:c r="O13" s="32" t="n">
        <x:v>3.2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Panulirus argus</x:v>
      </x:c>
      <x:c r="T13" s="32" t="n">
        <x:f>IF(O13="","",(1/'Metadata'!$B$5)^(O13-1))</x:f>
        <x:v>158.48931924611142</x:v>
      </x:c>
      <x:c r="U13" s="31" t="n">
        <x:f>IF(T13="","",I13*T13)</x:f>
        <x:v>1775.6158587122518</x:v>
      </x:c>
    </x:row>
    <x:row r="14" ht="18" customHeight="1">
      <x:c r="A14" s="24" t="str">
        <x:v>EEZ_907</x:v>
      </x:c>
      <x:c r="B14" s="24" t="str">
        <x:v>Bonaire (Netherlands)</x:v>
      </x:c>
      <x:c r="C14" s="24" t="str">
        <x:v>EEZ</x:v>
      </x:c>
      <x:c r="D14" s="30" t="n">
        <x:v>2019</x:v>
      </x:c>
      <x:c r="E14" s="24" t="str">
        <x:v>Makaira nigricans</x:v>
      </x:c>
      <x:c r="F14" s="24" t="str">
        <x:v>Blue marlin</x:v>
      </x:c>
      <x:c r="G14" s="24" t="str">
        <x:v>Large pelagics (&gt;=90 cm)</x:v>
      </x:c>
      <x:c r="H14" s="24" t="str">
        <x:v>Tuna &amp; billfishes</x:v>
      </x:c>
      <x:c r="I14" s="31" t="n">
        <x:v>10.224965191</x:v>
      </x:c>
      <x:c r="J14" s="31" t="n">
        <x:v>10.224965191</x:v>
      </x:c>
      <x:c r="K14" s="31" t="n">
        <x:v>0</x:v>
      </x:c>
      <x:c r="L14" s="31" t="n">
        <x:v>0.5891285986</x:v>
      </x:c>
      <x:c r="M14" s="31" t="n">
        <x:v>9.6358365924</x:v>
      </x:c>
      <x:c r="N14" s="24" t="str">
        <x:v>makaira nigricans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Makaira nigricans</x:v>
      </x:c>
      <x:c r="T14" s="32" t="n">
        <x:f>IF(O14="","",(1/'Metadata'!$B$5)^(O14-1))</x:f>
        <x:v>3090.295432513592</x:v>
      </x:c>
      <x:c r="U14" s="31" t="n">
        <x:f>IF(T14="","",I14*T14)</x:f>
        <x:v>31598.16322735777</x:v>
      </x:c>
    </x:row>
    <x:row r="15" ht="18" customHeight="1">
      <x:c r="A15" s="24" t="str">
        <x:v>EEZ_907</x:v>
      </x:c>
      <x:c r="B15" s="24" t="str">
        <x:v>Bonaire (Netherlands)</x:v>
      </x:c>
      <x:c r="C15" s="24" t="str">
        <x:v>EEZ</x:v>
      </x:c>
      <x:c r="D15" s="30" t="n">
        <x:v>2019</x:v>
      </x:c>
      <x:c r="E15" s="24" t="str">
        <x:v>Aliger gigas</x:v>
      </x:c>
      <x:c r="F15" s="24" t="str">
        <x:v>Pink conch</x:v>
      </x:c>
      <x:c r="G15" s="24" t="str">
        <x:v>Other demersal invertebrates</x:v>
      </x:c>
      <x:c r="H15" s="24" t="str">
        <x:v>Molluscs</x:v>
      </x:c>
      <x:c r="I15" s="31" t="n">
        <x:v>10</x:v>
      </x:c>
      <x:c r="J15" s="31" t="n">
        <x:v>10</x:v>
      </x:c>
      <x:c r="K15" s="31" t="n">
        <x:v>0</x:v>
      </x:c>
      <x:c r="L15" s="31" t="n">
        <x:v>10</x:v>
      </x:c>
      <x:c r="M15" s="31" t="n">
        <x:v>0</x:v>
      </x:c>
      <x:c r="N15" s="24" t="str">
        <x:v>aliger gigas</x:v>
      </x:c>
      <x:c r="O15" s="32" t="n">
        <x:v>2.19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Aliger gigas</x:v>
      </x:c>
      <x:c r="T15" s="32" t="n">
        <x:f>IF(O15="","",(1/'Metadata'!$B$5)^(O15-1))</x:f>
        <x:v>15.488166189124811</x:v>
      </x:c>
      <x:c r="U15" s="31" t="n">
        <x:f>IF(T15="","",I15*T15)</x:f>
        <x:v>154.88166189124811</x:v>
      </x:c>
    </x:row>
    <x:row r="16" ht="18" customHeight="1">
      <x:c r="A16" s="24" t="str">
        <x:v>EEZ_907</x:v>
      </x:c>
      <x:c r="B16" s="24" t="str">
        <x:v>Bonaire (Netherlands)</x:v>
      </x:c>
      <x:c r="C16" s="24" t="str">
        <x:v>EEZ</x:v>
      </x:c>
      <x:c r="D16" s="30" t="n">
        <x:v>2019</x:v>
      </x:c>
      <x:c r="E16" s="24" t="str">
        <x:v>Kajikia albida</x:v>
      </x:c>
      <x:c r="F16" s="24" t="str">
        <x:v>Atlantic white marlin</x:v>
      </x:c>
      <x:c r="G16" s="24" t="str">
        <x:v>Large pelagics (&gt;=90 cm)</x:v>
      </x:c>
      <x:c r="H16" s="24" t="str">
        <x:v>Tuna &amp; billfishes</x:v>
      </x:c>
      <x:c r="I16" s="31" t="n">
        <x:v>9.8716490314</x:v>
      </x:c>
      <x:c r="J16" s="31" t="n">
        <x:v>9.8716490314</x:v>
      </x:c>
      <x:c r="K16" s="31" t="n">
        <x:v>0</x:v>
      </x:c>
      <x:c r="L16" s="31" t="n">
        <x:v>0.23581243899999998</x:v>
      </x:c>
      <x:c r="M16" s="31" t="n">
        <x:v>9.6358365924</x:v>
      </x:c>
      <x:c r="N16" s="24" t="str">
        <x:v>kajikia albida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albida</x:v>
      </x:c>
      <x:c r="T16" s="32" t="n">
        <x:f>IF(O16="","",(1/'Metadata'!$B$5)^(O16-1))</x:f>
        <x:v>3090.295432513592</x:v>
      </x:c>
      <x:c r="U16" s="31" t="n">
        <x:f>IF(T16="","",I16*T16)</x:f>
        <x:v>30506.311913112648</x:v>
      </x:c>
    </x:row>
    <x:row r="17" ht="18" customHeight="1">
      <x:c r="A17" s="24" t="str">
        <x:v>EEZ_907</x:v>
      </x:c>
      <x:c r="B17" s="24" t="str">
        <x:v>Bonaire (Netherlands)</x:v>
      </x:c>
      <x:c r="C17" s="24" t="str">
        <x:v>EEZ</x:v>
      </x:c>
      <x:c r="D17" s="30" t="n">
        <x:v>2019</x:v>
      </x:c>
      <x:c r="E17" s="24" t="str">
        <x:v>Sphyraena</x:v>
      </x:c>
      <x:c r="F17" s="24" t="str">
        <x:v>Barracudas, sennets</x:v>
      </x:c>
      <x:c r="G17" s="24" t="str">
        <x:v>Large pelagics (&gt;=90 cm)</x:v>
      </x:c>
      <x:c r="H17" s="24" t="str">
        <x:v>Perch-likes</x:v>
      </x:c>
      <x:c r="I17" s="31" t="n">
        <x:v>9.6358365924</x:v>
      </x:c>
      <x:c r="J17" s="31" t="n">
        <x:v>9.6358365924</x:v>
      </x:c>
      <x:c r="K17" s="31" t="n">
        <x:v>0</x:v>
      </x:c>
      <x:c r="L17" s="31" t="n">
        <x:v>0</x:v>
      </x:c>
      <x:c r="M17" s="31" t="n">
        <x:v>9.6358365924</x:v>
      </x:c>
      <x:c r="N17" s="24" t="str">
        <x:v>sphyraena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Sphyraena</x:v>
      </x:c>
      <x:c r="T17" s="32" t="n">
        <x:f>IF(O17="","",(1/'Metadata'!$B$5)^(O17-1))</x:f>
        <x:v>2511.886431509582</x:v>
      </x:c>
      <x:c r="U17" s="31" t="n">
        <x:f>IF(T17="","",I17*T17)</x:f>
        <x:v>24204.12719269309</x:v>
      </x:c>
    </x:row>
    <x:row r="18" ht="18" customHeight="1">
      <x:c r="A18" s="24" t="str">
        <x:v>EEZ_907</x:v>
      </x:c>
      <x:c r="B18" s="24" t="str">
        <x:v>Bonaire (Netherlands)</x:v>
      </x:c>
      <x:c r="C18" s="24" t="str">
        <x:v>EEZ</x:v>
      </x:c>
      <x:c r="D18" s="30" t="n">
        <x:v>2019</x:v>
      </x:c>
      <x:c r="E18" s="24" t="str">
        <x:v>Cephalopholis fulva</x:v>
      </x:c>
      <x:c r="F18" s="24" t="str">
        <x:v>Coney</x:v>
      </x:c>
      <x:c r="G18" s="24" t="str">
        <x:v>Medium reef assoc. fish (30 - 89 cm)</x:v>
      </x:c>
      <x:c r="H18" s="24" t="str">
        <x:v>Perch-likes</x:v>
      </x:c>
      <x:c r="I18" s="31" t="n">
        <x:v>8.0457520466</x:v>
      </x:c>
      <x:c r="J18" s="31" t="n">
        <x:v>8.0457520466</x:v>
      </x:c>
      <x:c r="K18" s="31" t="n">
        <x:v>0</x:v>
      </x:c>
      <x:c r="L18" s="31" t="n">
        <x:v>2.0121155037</x:v>
      </x:c>
      <x:c r="M18" s="31" t="n">
        <x:v>6.0336365429</x:v>
      </x:c>
      <x:c r="N18" s="24" t="str">
        <x:v>cephalopholis fulva</x:v>
      </x:c>
      <x:c r="O18" s="32" t="n">
        <x:v>4.05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Cephalopholis fulva</x:v>
      </x:c>
      <x:c r="T18" s="32" t="n">
        <x:f>IF(O18="","",(1/'Metadata'!$B$5)^(O18-1))</x:f>
        <x:v>1122.018454301963</x:v>
      </x:c>
      <x:c r="U18" s="31" t="n">
        <x:f>IF(T18="","",I18*T18)</x:f>
        <x:v>9027.482275022987</x:v>
      </x:c>
    </x:row>
    <x:row r="19" ht="18" customHeight="1">
      <x:c r="A19" s="24" t="str">
        <x:v>EEZ_907</x:v>
      </x:c>
      <x:c r="B19" s="24" t="str">
        <x:v>Bonaire (Netherlands)</x:v>
      </x:c>
      <x:c r="C19" s="24" t="str">
        <x:v>EEZ</x:v>
      </x:c>
      <x:c r="D19" s="30" t="n">
        <x:v>2019</x:v>
      </x:c>
      <x:c r="E19" s="24" t="str">
        <x:v>Carcharhinidae</x:v>
      </x:c>
      <x:c r="F19" s="24" t="str">
        <x:v>Requiem sharks</x:v>
      </x:c>
      <x:c r="G19" s="24" t="str">
        <x:v>Large sharks (&gt;=90 cm)</x:v>
      </x:c>
      <x:c r="H19" s="24" t="str">
        <x:v>Sharks &amp; rays</x:v>
      </x:c>
      <x:c r="I19" s="31" t="n">
        <x:v>5.1735260589</x:v>
      </x:c>
      <x:c r="J19" s="31" t="n">
        <x:v>5.1735260589</x:v>
      </x:c>
      <x:c r="K19" s="31" t="n">
        <x:v>0</x:v>
      </x:c>
      <x:c r="L19" s="31" t="n">
        <x:v>1.3339391679</x:v>
      </x:c>
      <x:c r="M19" s="31" t="n">
        <x:v>3.839586891</x:v>
      </x:c>
      <x:c r="N19" s="24" t="str">
        <x:v>carcharhinidae</x:v>
      </x:c>
      <x:c r="O19" s="32" t="n">
        <x:v>4.24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Carcharhinidae</x:v>
      </x:c>
      <x:c r="T19" s="32" t="n">
        <x:f>IF(O19="","",(1/'Metadata'!$B$5)^(O19-1))</x:f>
        <x:v>1737.8008287493763</x:v>
      </x:c>
      <x:c r="U19" s="31" t="n">
        <x:f>IF(T19="","",I19*T19)</x:f>
        <x:v>8990.557872712914</x:v>
      </x:c>
    </x:row>
    <x:row r="20" ht="18" customHeight="1">
      <x:c r="A20" s="24" t="str">
        <x:v>EEZ_907</x:v>
      </x:c>
      <x:c r="B20" s="24" t="str">
        <x:v>Bonaire (Netherlands)</x:v>
      </x:c>
      <x:c r="C20" s="24" t="str">
        <x:v>EEZ</x:v>
      </x:c>
      <x:c r="D20" s="30" t="n">
        <x:v>2019</x:v>
      </x:c>
      <x:c r="E20" s="24" t="str">
        <x:v>Elagatis bipinnulata</x:v>
      </x:c>
      <x:c r="F20" s="24" t="str">
        <x:v>Rainbow runner</x:v>
      </x:c>
      <x:c r="G20" s="24" t="str">
        <x:v>Large pelagics (&gt;=90 cm)</x:v>
      </x:c>
      <x:c r="H20" s="24" t="str">
        <x:v>Perch-likes</x:v>
      </x:c>
      <x:c r="I20" s="31" t="n">
        <x:v>3.9225327774</x:v>
      </x:c>
      <x:c r="J20" s="31" t="n">
        <x:v>3.9225327774</x:v>
      </x:c>
      <x:c r="K20" s="31" t="n">
        <x:v>0</x:v>
      </x:c>
      <x:c r="L20" s="31" t="n">
        <x:v>3.6338123921</x:v>
      </x:c>
      <x:c r="M20" s="31" t="n">
        <x:v>0.2887203853</x:v>
      </x:c>
      <x:c r="N20" s="24" t="str">
        <x:v>elagatis bipinnulata</x:v>
      </x:c>
      <x:c r="O20" s="32" t="n">
        <x:v>4.27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Elagatis bipinnulata</x:v>
      </x:c>
      <x:c r="T20" s="32" t="n">
        <x:f>IF(O20="","",(1/'Metadata'!$B$5)^(O20-1))</x:f>
        <x:v>1862.0871366628655</x:v>
      </x:c>
      <x:c r="U20" s="31" t="n">
        <x:f>IF(T20="","",I20*T20)</x:f>
        <x:v>7304.097827935003</x:v>
      </x:c>
    </x:row>
    <x:row r="21" ht="18" customHeight="1">
      <x:c r="A21" s="24" t="str">
        <x:v>EEZ_907</x:v>
      </x:c>
      <x:c r="B21" s="24" t="str">
        <x:v>Bonaire (Netherlands)</x:v>
      </x:c>
      <x:c r="C21" s="24" t="str">
        <x:v>EEZ</x:v>
      </x:c>
      <x:c r="D21" s="30" t="n">
        <x:v>2019</x:v>
      </x:c>
      <x:c r="E21" s="24" t="str">
        <x:v>Decapterus punctatus</x:v>
      </x:c>
      <x:c r="F21" s="24" t="str">
        <x:v>Round scad</x:v>
      </x:c>
      <x:c r="G21" s="24" t="str">
        <x:v>Medium benthopelagics (30 - 89 cm)</x:v>
      </x:c>
      <x:c r="H21" s="24" t="str">
        <x:v>Perch-likes</x:v>
      </x:c>
      <x:c r="I21" s="31" t="n">
        <x:v>3.406535521</x:v>
      </x:c>
      <x:c r="J21" s="31" t="n">
        <x:v>3.406535521</x:v>
      </x:c>
      <x:c r="K21" s="31" t="n">
        <x:v>0</x:v>
      </x:c>
      <x:c r="L21" s="31" t="n">
        <x:v>0.8607915479</x:v>
      </x:c>
      <x:c r="M21" s="31" t="n">
        <x:v>2.5457439731</x:v>
      </x:c>
      <x:c r="N21" s="24" t="str">
        <x:v>decapterus punctatus</x:v>
      </x:c>
      <x:c r="O21" s="32" t="n">
        <x:v>4.43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Decapterus punctatus</x:v>
      </x:c>
      <x:c r="T21" s="32" t="n">
        <x:f>IF(O21="","",(1/'Metadata'!$B$5)^(O21-1))</x:f>
        <x:v>2691.534803926914</x:v>
      </x:c>
      <x:c r="U21" s="31" t="n">
        <x:f>IF(T21="","",I21*T21)</x:f>
        <x:v>9168.808915584801</x:v>
      </x:c>
    </x:row>
    <x:row r="22" ht="18" customHeight="1">
      <x:c r="A22" s="24" t="str">
        <x:v>EEZ_907</x:v>
      </x:c>
      <x:c r="B22" s="24" t="str">
        <x:v>Bonaire (Netherlands)</x:v>
      </x:c>
      <x:c r="C22" s="24" t="str">
        <x:v>EEZ</x:v>
      </x:c>
      <x:c r="D22" s="30" t="n">
        <x:v>2019</x:v>
      </x:c>
      <x:c r="E22" s="24" t="str">
        <x:v>Katsuwonus pelamis</x:v>
      </x:c>
      <x:c r="F22" s="24" t="str">
        <x:v>Skipjack tuna</x:v>
      </x:c>
      <x:c r="G22" s="24" t="str">
        <x:v>Large pelagics (&gt;=90 cm)</x:v>
      </x:c>
      <x:c r="H22" s="24" t="str">
        <x:v>Tuna &amp; billfishes</x:v>
      </x:c>
      <x:c r="I22" s="31" t="n">
        <x:v>3.1615146476</x:v>
      </x:c>
      <x:c r="J22" s="31" t="n">
        <x:v>3.1615146476</x:v>
      </x:c>
      <x:c r="K22" s="31" t="n">
        <x:v>0</x:v>
      </x:c>
      <x:c r="L22" s="31" t="n">
        <x:v>3.0672477774</x:v>
      </x:c>
      <x:c r="M22" s="31" t="n">
        <x:v>0.0942668702</x:v>
      </x:c>
      <x:c r="N22" s="24" t="str">
        <x:v>katsuwonus pelamis</x:v>
      </x:c>
      <x:c r="O22" s="32" t="n">
        <x:v>4.43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Katsuwonus pelamis</x:v>
      </x:c>
      <x:c r="T22" s="32" t="n">
        <x:f>IF(O22="","",(1/'Metadata'!$B$5)^(O22-1))</x:f>
        <x:v>2691.534803926914</x:v>
      </x:c>
      <x:c r="U22" s="31" t="n">
        <x:f>IF(T22="","",I22*T22)</x:f>
        <x:v>8509.326707140131</x:v>
      </x:c>
    </x:row>
    <x:row r="23" ht="18" customHeight="1">
      <x:c r="A23" s="24" t="str">
        <x:v>EEZ_907</x:v>
      </x:c>
      <x:c r="B23" s="24" t="str">
        <x:v>Bonaire (Netherlands)</x:v>
      </x:c>
      <x:c r="C23" s="24" t="str">
        <x:v>EEZ</x:v>
      </x:c>
      <x:c r="D23" s="30" t="n">
        <x:v>2019</x:v>
      </x:c>
      <x:c r="E23" s="24" t="str">
        <x:v>Istiophoridae</x:v>
      </x:c>
      <x:c r="F23" s="24" t="str">
        <x:v>Billfishes</x:v>
      </x:c>
      <x:c r="G23" s="24" t="str">
        <x:v>Large pelagics (&gt;=90 cm)</x:v>
      </x:c>
      <x:c r="H23" s="24" t="str">
        <x:v>Tuna &amp; billfishes</x:v>
      </x:c>
      <x:c r="I23" s="31" t="n">
        <x:v>2.7787541487</x:v>
      </x:c>
      <x:c r="J23" s="31" t="n">
        <x:v>2.7787541487</x:v>
      </x:c>
      <x:c r="K23" s="31" t="n">
        <x:v>0</x:v>
      </x:c>
      <x:c r="L23" s="31" t="n">
        <x:v>2.5801939585</x:v>
      </x:c>
      <x:c r="M23" s="31" t="n">
        <x:v>0.1985601902</x:v>
      </x:c>
      <x:c r="N23" s="24" t="str">
        <x:v>istiophoridae</x:v>
      </x:c>
      <x:c r="O23" s="32" t="n">
        <x:v>4.48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Istiophoridae</x:v>
      </x:c>
      <x:c r="T23" s="32" t="n">
        <x:f>IF(O23="","",(1/'Metadata'!$B$5)^(O23-1))</x:f>
        <x:v>3019.951720402019</x:v>
      </x:c>
      <x:c r="U23" s="31" t="n">
        <x:f>IF(T23="","",I23*T23)</x:f>
        <x:v>8391.703371940812</x:v>
      </x:c>
    </x:row>
    <x:row r="24" ht="18" customHeight="1">
      <x:c r="A24" s="24" t="str">
        <x:v>EEZ_907</x:v>
      </x:c>
      <x:c r="B24" s="24" t="str">
        <x:v>Bonaire (Netherlands)</x:v>
      </x:c>
      <x:c r="C24" s="24" t="str">
        <x:v>EEZ</x:v>
      </x:c>
      <x:c r="D24" s="30" t="n">
        <x:v>2019</x:v>
      </x:c>
      <x:c r="E24" s="24" t="str">
        <x:v>Thunnus alalunga</x:v>
      </x:c>
      <x:c r="F24" s="24" t="str">
        <x:v>Albacore</x:v>
      </x:c>
      <x:c r="G24" s="24" t="str">
        <x:v>Large pelagics (&gt;=90 cm)</x:v>
      </x:c>
      <x:c r="H24" s="24" t="str">
        <x:v>Tuna &amp; billfishes</x:v>
      </x:c>
      <x:c r="I24" s="31" t="n">
        <x:v>1.9490286054000001</x:v>
      </x:c>
      <x:c r="J24" s="31" t="n">
        <x:v>1.9490286054000001</x:v>
      </x:c>
      <x:c r="K24" s="31" t="n">
        <x:v>0</x:v>
      </x:c>
      <x:c r="L24" s="31" t="n">
        <x:v>1.9490286054000001</x:v>
      </x:c>
      <x:c r="M24" s="31" t="n">
        <x:v>0</x:v>
      </x:c>
      <x:c r="N24" s="24" t="str">
        <x:v>thunnus alalunga</x:v>
      </x:c>
      <x:c r="O24" s="32" t="n">
        <x:v>4.3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alalunga</x:v>
      </x:c>
      <x:c r="T24" s="32" t="n">
        <x:f>IF(O24="","",(1/'Metadata'!$B$5)^(O24-1))</x:f>
        <x:v>1995.2623149688789</x:v>
      </x:c>
      <x:c r="U24" s="31" t="n">
        <x:f>IF(T24="","",I24*T24)</x:f>
        <x:v>3888.82332715097</x:v>
      </x:c>
    </x:row>
    <x:row r="25" ht="18" customHeight="1">
      <x:c r="A25" s="24" t="str">
        <x:v>EEZ_907</x:v>
      </x:c>
      <x:c r="B25" s="24" t="str">
        <x:v>Bonaire (Netherlands)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1.4620909550999999</x:v>
      </x:c>
      <x:c r="J25" s="31" t="n">
        <x:v>1.4620909550999999</x:v>
      </x:c>
      <x:c r="K25" s="31" t="n">
        <x:v>0</x:v>
      </x:c>
      <x:c r="L25" s="31" t="n">
        <x:v>0.3650661291</x:v>
      </x:c>
      <x:c r="M25" s="31" t="n">
        <x:v>1.097024826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1396.2860222095</x:v>
      </x:c>
    </x:row>
    <x:row r="26" ht="18" customHeight="1">
      <x:c r="A26" s="24" t="str">
        <x:v>EEZ_907</x:v>
      </x:c>
      <x:c r="B26" s="24" t="str">
        <x:v>Bonaire (Netherlands)</x:v>
      </x:c>
      <x:c r="C26" s="24" t="str">
        <x:v>EEZ</x:v>
      </x:c>
      <x:c r="D26" s="30" t="n">
        <x:v>2019</x:v>
      </x:c>
      <x:c r="E26" s="24" t="str">
        <x:v>Thunnus obesus</x:v>
      </x:c>
      <x:c r="F26" s="24" t="str">
        <x:v>Bigeye tuna</x:v>
      </x:c>
      <x:c r="G26" s="24" t="str">
        <x:v>Large pelagics (&gt;=90 cm)</x:v>
      </x:c>
      <x:c r="H26" s="24" t="str">
        <x:v>Tuna &amp; billfishes</x:v>
      </x:c>
      <x:c r="I26" s="31" t="n">
        <x:v>1.4540345784</x:v>
      </x:c>
      <x:c r="J26" s="31" t="n">
        <x:v>1.4540345784</x:v>
      </x:c>
      <x:c r="K26" s="31" t="n">
        <x:v>0</x:v>
      </x:c>
      <x:c r="L26" s="31" t="n">
        <x:v>1.3849535132</x:v>
      </x:c>
      <x:c r="M26" s="31" t="n">
        <x:v>0.0690810652</x:v>
      </x:c>
      <x:c r="N26" s="24" t="str">
        <x:v>thunnus obesus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obesus</x:v>
      </x:c>
      <x:c r="T26" s="32" t="n">
        <x:f>IF(O26="","",(1/'Metadata'!$B$5)^(O26-1))</x:f>
        <x:v>3090.295432513592</x:v>
      </x:c>
      <x:c r="U26" s="31" t="n">
        <x:f>IF(T26="","",I26*T26)</x:f>
        <x:v>4493.396416346346</x:v>
      </x:c>
    </x:row>
    <x:row r="27" ht="18" customHeight="1">
      <x:c r="A27" s="24" t="str">
        <x:v>EEZ_907</x:v>
      </x:c>
      <x:c r="B27" s="24" t="str">
        <x:v>Bonaire (Netherlands)</x:v>
      </x:c>
      <x:c r="C27" s="24" t="str">
        <x:v>EEZ</x:v>
      </x:c>
      <x:c r="D27" s="30" t="n">
        <x:v>2019</x:v>
      </x:c>
      <x:c r="E27" s="24" t="str">
        <x:v>Xiphias gladius</x:v>
      </x:c>
      <x:c r="F27" s="24" t="str">
        <x:v>Swordfish</x:v>
      </x:c>
      <x:c r="G27" s="24" t="str">
        <x:v>Large pelagics (&gt;=90 cm)</x:v>
      </x:c>
      <x:c r="H27" s="24" t="str">
        <x:v>Tuna &amp; billfishes</x:v>
      </x:c>
      <x:c r="I27" s="31" t="n">
        <x:v>1.1284893284</x:v>
      </x:c>
      <x:c r="J27" s="31" t="n">
        <x:v>1.1284893284</x:v>
      </x:c>
      <x:c r="K27" s="31" t="n">
        <x:v>0</x:v>
      </x:c>
      <x:c r="L27" s="31" t="n">
        <x:v>1.1284893284</x:v>
      </x:c>
      <x:c r="M27" s="31" t="n">
        <x:v>0</x:v>
      </x:c>
      <x:c r="N27" s="24" t="str">
        <x:v>xiphias gladius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Xiphias gladius</x:v>
      </x:c>
      <x:c r="T27" s="32" t="n">
        <x:f>IF(O27="","",(1/'Metadata'!$B$5)^(O27-1))</x:f>
        <x:v>3388.4415613920273</x:v>
      </x:c>
      <x:c r="U27" s="31" t="n">
        <x:f>IF(T27="","",I27*T27)</x:f>
        <x:v>3823.820141937936</x:v>
      </x:c>
    </x:row>
    <x:row r="28" ht="18" customHeight="1">
      <x:c r="A28" s="24" t="str">
        <x:v>EEZ_907</x:v>
      </x:c>
      <x:c r="B28" s="24" t="str">
        <x:v>Bonaire (Netherlands)</x:v>
      </x:c>
      <x:c r="C28" s="24" t="str">
        <x:v>EEZ</x:v>
      </x:c>
      <x:c r="D28" s="30" t="n">
        <x:v>2019</x:v>
      </x:c>
      <x:c r="E28" s="24" t="str">
        <x:v>Dasyatidae</x:v>
      </x:c>
      <x:c r="F28" s="24" t="str">
        <x:v>Whiptail stingrays</x:v>
      </x:c>
      <x:c r="G28" s="24" t="str">
        <x:v>Large rays (&gt;=90 cm)</x:v>
      </x:c>
      <x:c r="H28" s="24" t="str">
        <x:v>Sharks &amp; rays</x:v>
      </x:c>
      <x:c r="I28" s="31" t="n">
        <x:v>1.1132605449</x:v>
      </x:c>
      <x:c r="J28" s="31" t="n">
        <x:v>1.1132605449</x:v>
      </x:c>
      <x:c r="K28" s="31" t="n">
        <x:v>0</x:v>
      </x:c>
      <x:c r="L28" s="31" t="n">
        <x:v>1.1132605449</x:v>
      </x:c>
      <x:c r="M28" s="31" t="n">
        <x:v>0</x:v>
      </x:c>
      <x:c r="N28" s="24" t="str">
        <x:v>dasyatidae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Dasyatidae</x:v>
      </x:c>
      <x:c r="T28" s="32" t="n">
        <x:f>IF(O28="","",(1/'Metadata'!$B$5)^(O28-1))</x:f>
        <x:v>239.88329190194898</x:v>
      </x:c>
      <x:c r="U28" s="31" t="n">
        <x:f>IF(T28="","",I28*T28)</x:f>
        <x:v>267.05260425516946</x:v>
      </x:c>
    </x:row>
    <x:row r="29" ht="18" customHeight="1">
      <x:c r="A29" s="24" t="str">
        <x:v>EEZ_907</x:v>
      </x:c>
      <x:c r="B29" s="24" t="str">
        <x:v>Bonaire (Netherlands)</x:v>
      </x:c>
      <x:c r="C29" s="24" t="str">
        <x:v>EEZ</x:v>
      </x:c>
      <x:c r="D29" s="30" t="n">
        <x:v>2019</x:v>
      </x:c>
      <x:c r="E29" s="24" t="str">
        <x:v>Thunnus thynnus</x:v>
      </x:c>
      <x:c r="F29" s="24" t="str">
        <x:v>Atlantic bluefin tuna</x:v>
      </x:c>
      <x:c r="G29" s="24" t="str">
        <x:v>Large pelagics (&gt;=90 cm)</x:v>
      </x:c>
      <x:c r="H29" s="24" t="str">
        <x:v>Tuna &amp; billfishes</x:v>
      </x:c>
      <x:c r="I29" s="31" t="n">
        <x:v>0.8543778264999999</x:v>
      </x:c>
      <x:c r="J29" s="31" t="n">
        <x:v>0.8543778264999999</x:v>
      </x:c>
      <x:c r="K29" s="31" t="n">
        <x:v>0</x:v>
      </x:c>
      <x:c r="L29" s="31" t="n">
        <x:v>0.8543778264999999</x:v>
      </x:c>
      <x:c r="M29" s="31" t="n">
        <x:v>0</x:v>
      </x:c>
      <x:c r="N29" s="24" t="str">
        <x:v>thunnus thynnus</x:v>
      </x:c>
      <x:c r="O29" s="32" t="n">
        <x:v>4.45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thynnus</x:v>
      </x:c>
      <x:c r="T29" s="32" t="n">
        <x:f>IF(O29="","",(1/'Metadata'!$B$5)^(O29-1))</x:f>
        <x:v>2818.382931264455</x:v>
      </x:c>
      <x:c r="U29" s="31" t="n">
        <x:f>IF(T29="","",I29*T29)</x:f>
        <x:v>2407.9638830584236</x:v>
      </x:c>
    </x:row>
    <x:row r="30" ht="18" customHeight="1">
      <x:c r="A30" s="24" t="str">
        <x:v>EEZ_907</x:v>
      </x:c>
      <x:c r="B30" s="24" t="str">
        <x:v>Bonaire (Netherlands)</x:v>
      </x:c>
      <x:c r="C30" s="24" t="str">
        <x:v>EEZ</x:v>
      </x:c>
      <x:c r="D30" s="30" t="n">
        <x:v>2019</x:v>
      </x:c>
      <x:c r="E30" s="24" t="str">
        <x:v>Prionace glauca</x:v>
      </x:c>
      <x:c r="F30" s="24" t="str">
        <x:v>Blue shark</x:v>
      </x:c>
      <x:c r="G30" s="24" t="str">
        <x:v>Large sharks (&gt;=90 cm)</x:v>
      </x:c>
      <x:c r="H30" s="24" t="str">
        <x:v>Sharks &amp; rays</x:v>
      </x:c>
      <x:c r="I30" s="31" t="n">
        <x:v>0.5201129779</x:v>
      </x:c>
      <x:c r="J30" s="31" t="n">
        <x:v>0.5201129779</x:v>
      </x:c>
      <x:c r="K30" s="31" t="n">
        <x:v>0</x:v>
      </x:c>
      <x:c r="L30" s="31" t="n">
        <x:v>0.5201129779</x:v>
      </x:c>
      <x:c r="M30" s="31" t="n">
        <x:v>0</x:v>
      </x:c>
      <x:c r="N30" s="24" t="str">
        <x:v>prionace glauca</x:v>
      </x:c>
      <x:c r="O30" s="32" t="n">
        <x:v>4.35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Prionace glauca</x:v>
      </x:c>
      <x:c r="T30" s="32" t="n">
        <x:f>IF(O30="","",(1/'Metadata'!$B$5)^(O30-1))</x:f>
        <x:v>2238.7211385683377</x:v>
      </x:c>
      <x:c r="U30" s="31" t="n">
        <x:f>IF(T30="","",I30*T30)</x:f>
        <x:v>1164.3879180684567</x:v>
      </x:c>
    </x:row>
    <x:row r="31" ht="18" customHeight="1">
      <x:c r="A31" s="24" t="str">
        <x:v>EEZ_907</x:v>
      </x:c>
      <x:c r="B31" s="24" t="str">
        <x:v>Bonaire (Netherlands)</x:v>
      </x:c>
      <x:c r="C31" s="24" t="str">
        <x:v>EEZ</x:v>
      </x:c>
      <x:c r="D31" s="30" t="n">
        <x:v>2019</x:v>
      </x:c>
      <x:c r="E31" s="24" t="str">
        <x:v>Lepidocybium flavobrunneum</x:v>
      </x:c>
      <x:c r="F31" s="24" t="str">
        <x:v>Escolar</x:v>
      </x:c>
      <x:c r="G31" s="24" t="str">
        <x:v>Large bathypelagics (&gt;=90 cm)</x:v>
      </x:c>
      <x:c r="H31" s="24" t="str">
        <x:v>Perch-likes</x:v>
      </x:c>
      <x:c r="I31" s="31" t="n">
        <x:v>0.4838222191</x:v>
      </x:c>
      <x:c r="J31" s="31" t="n">
        <x:v>0.4838222191</x:v>
      </x:c>
      <x:c r="K31" s="31" t="n">
        <x:v>0</x:v>
      </x:c>
      <x:c r="L31" s="31" t="n">
        <x:v>0.4838222191</x:v>
      </x:c>
      <x:c r="M31" s="31" t="n">
        <x:v>0</x:v>
      </x:c>
      <x:c r="N31" s="24" t="str">
        <x:v>lepidocybium flavobrunneum</x:v>
      </x:c>
      <x:c r="O31" s="32" t="n">
        <x:v>4.34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Lepidocybium flavobrunneum</x:v>
      </x:c>
      <x:c r="T31" s="32" t="n">
        <x:f>IF(O31="","",(1/'Metadata'!$B$5)^(O31-1))</x:f>
        <x:v>2187.761623949552</x:v>
      </x:c>
      <x:c r="U31" s="31" t="n">
        <x:f>IF(T31="","",I31*T31)</x:f>
        <x:v>1058.4876837610918</x:v>
      </x:c>
    </x:row>
    <x:row r="32" ht="18" customHeight="1">
      <x:c r="A32" s="24" t="str">
        <x:v>EEZ_907</x:v>
      </x:c>
      <x:c r="B32" s="24" t="str">
        <x:v>Bonaire (Netherlands)</x:v>
      </x:c>
      <x:c r="C32" s="24" t="str">
        <x:v>EEZ</x:v>
      </x:c>
      <x:c r="D32" s="30" t="n">
        <x:v>2019</x:v>
      </x:c>
      <x:c r="E32" s="24" t="str">
        <x:v>Isurus paucus</x:v>
      </x:c>
      <x:c r="F32" s="24" t="str">
        <x:v>Longfin mako</x:v>
      </x:c>
      <x:c r="G32" s="24" t="str">
        <x:v>Large sharks (&gt;=90 cm)</x:v>
      </x:c>
      <x:c r="H32" s="24" t="str">
        <x:v>Sharks &amp; rays</x:v>
      </x:c>
      <x:c r="I32" s="31" t="n">
        <x:v>0.1834812784</x:v>
      </x:c>
      <x:c r="J32" s="31" t="n">
        <x:v>0.1834812784</x:v>
      </x:c>
      <x:c r="K32" s="31" t="n">
        <x:v>0</x:v>
      </x:c>
      <x:c r="L32" s="31" t="n">
        <x:v>0.1834812784</x:v>
      </x:c>
      <x:c r="M32" s="31" t="n">
        <x:v>0</x:v>
      </x:c>
      <x:c r="N32" s="24" t="str">
        <x:v>isurus paucus</x:v>
      </x:c>
      <x:c r="O32" s="32" t="n">
        <x:v>4.51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Isurus paucus</x:v>
      </x:c>
      <x:c r="T32" s="32" t="n">
        <x:f>IF(O32="","",(1/'Metadata'!$B$5)^(O32-1))</x:f>
        <x:v>3235.936569296281</x:v>
      </x:c>
      <x:c r="U32" s="31" t="n">
        <x:f>IF(T32="","",I32*T32)</x:f>
        <x:v>593.7337785557919</x:v>
      </x:c>
    </x:row>
    <x:row r="33" ht="18" customHeight="1">
      <x:c r="A33" s="24" t="str">
        <x:v>EEZ_907</x:v>
      </x:c>
      <x:c r="B33" s="24" t="str">
        <x:v>Bonaire (Netherlands)</x:v>
      </x:c>
      <x:c r="C33" s="24" t="str">
        <x:v>EEZ</x:v>
      </x:c>
      <x:c r="D33" s="30" t="n">
        <x:v>2019</x:v>
      </x:c>
      <x:c r="E33" s="24" t="str">
        <x:v>Isurus oxyrinchus</x:v>
      </x:c>
      <x:c r="F33" s="24" t="str">
        <x:v>Shortfin mako</x:v>
      </x:c>
      <x:c r="G33" s="24" t="str">
        <x:v>Large sharks (&gt;=90 cm)</x:v>
      </x:c>
      <x:c r="H33" s="24" t="str">
        <x:v>Sharks &amp; rays</x:v>
      </x:c>
      <x:c r="I33" s="31" t="n">
        <x:v>0.1510419211</x:v>
      </x:c>
      <x:c r="J33" s="31" t="n">
        <x:v>0.1510419211</x:v>
      </x:c>
      <x:c r="K33" s="31" t="n">
        <x:v>0</x:v>
      </x:c>
      <x:c r="L33" s="31" t="n">
        <x:v>0.1510419211</x:v>
      </x:c>
      <x:c r="M33" s="31" t="n">
        <x:v>0</x:v>
      </x:c>
      <x:c r="N33" s="24" t="str">
        <x:v>isurus oxyrinchus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Isurus oxyrinchus</x:v>
      </x:c>
      <x:c r="T33" s="32" t="n">
        <x:f>IF(O33="","",(1/'Metadata'!$B$5)^(O33-1))</x:f>
        <x:v>3162.2776601683795</x:v>
      </x:c>
      <x:c r="U33" s="31" t="n">
        <x:f>IF(T33="","",I33*T33)</x:f>
        <x:v>477.636492843445</x:v>
      </x:c>
    </x:row>
    <x:row r="34" ht="18" customHeight="1">
      <x:c r="A34" s="24" t="str">
        <x:v>EEZ_907</x:v>
      </x:c>
      <x:c r="B34" s="24" t="str">
        <x:v>Bonaire (Netherlands)</x:v>
      </x:c>
      <x:c r="C34" s="24" t="str">
        <x:v>EEZ</x:v>
      </x:c>
      <x:c r="D34" s="30" t="n">
        <x:v>2019</x:v>
      </x:c>
      <x:c r="E34" s="24" t="str">
        <x:v>Mobula birostris</x:v>
      </x:c>
      <x:c r="F34" s="24" t="str">
        <x:v>Giant manta</x:v>
      </x:c>
      <x:c r="G34" s="24" t="str">
        <x:v>Large rays (&gt;=90 cm)</x:v>
      </x:c>
      <x:c r="H34" s="24" t="str">
        <x:v>Sharks &amp; rays</x:v>
      </x:c>
      <x:c r="I34" s="31" t="n">
        <x:v>0.0880913329</x:v>
      </x:c>
      <x:c r="J34" s="31" t="n">
        <x:v>0.0880913329</x:v>
      </x:c>
      <x:c r="K34" s="31" t="n">
        <x:v>0</x:v>
      </x:c>
      <x:c r="L34" s="31" t="n">
        <x:v>0.0880913329</x:v>
      </x:c>
      <x:c r="M34" s="31" t="n">
        <x:v>0</x:v>
      </x:c>
      <x:c r="N34" s="24" t="str">
        <x:v>mobula birostris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Mobula birostris</x:v>
      </x:c>
      <x:c r="T34" s="32" t="n">
        <x:f>IF(O34="","",(1/'Metadata'!$B$5)^(O34-1))</x:f>
        <x:v>288.40315031266056</x:v>
      </x:c>
      <x:c r="U34" s="31" t="n">
        <x:f>IF(T34="","",I34*T34)</x:f>
        <x:v>25.40581792360132</x:v>
      </x:c>
    </x:row>
    <x:row r="35" ht="18" customHeight="1">
      <x:c r="A35" s="24" t="str">
        <x:v>EEZ_907</x:v>
      </x:c>
      <x:c r="B35" s="24" t="str">
        <x:v>Bonaire (Netherlands)</x:v>
      </x:c>
      <x:c r="C35" s="24" t="str">
        <x:v>EEZ</x:v>
      </x:c>
      <x:c r="D35" s="30" t="n">
        <x:v>2019</x:v>
      </x:c>
      <x:c r="E35" s="24" t="str">
        <x:v>Sarda sarda</x:v>
      </x:c>
      <x:c r="F35" s="24" t="str">
        <x:v>Atlantic bonito</x:v>
      </x:c>
      <x:c r="G35" s="24" t="str">
        <x:v>Medium pelagics (30 - 89 cm)</x:v>
      </x:c>
      <x:c r="H35" s="24" t="str">
        <x:v>Tuna &amp; billfishes</x:v>
      </x:c>
      <x:c r="I35" s="31" t="n">
        <x:v>0.0873061209</x:v>
      </x:c>
      <x:c r="J35" s="31" t="n">
        <x:v>0.0873061209</x:v>
      </x:c>
      <x:c r="K35" s="31" t="n">
        <x:v>0</x:v>
      </x:c>
      <x:c r="L35" s="31" t="n">
        <x:v>0.0873061209</x:v>
      </x:c>
      <x:c r="M35" s="31" t="n">
        <x:v>0</x:v>
      </x:c>
      <x:c r="N35" s="24" t="str">
        <x:v>sarda sarda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Sarda sarda</x:v>
      </x:c>
      <x:c r="T35" s="32" t="n">
        <x:f>IF(O35="","",(1/'Metadata'!$B$5)^(O35-1))</x:f>
        <x:v>3162.2776601683795</x:v>
      </x:c>
      <x:c r="U35" s="31" t="n">
        <x:f>IF(T35="","",I35*T35)</x:f>
        <x:v>276.08619571802967</x:v>
      </x:c>
    </x:row>
    <x:row r="36" ht="18" customHeight="1">
      <x:c r="A36" s="24" t="str">
        <x:v>EEZ_907</x:v>
      </x:c>
      <x:c r="B36" s="24" t="str">
        <x:v>Bonaire (Netherlands)</x:v>
      </x:c>
      <x:c r="C36" s="24" t="str">
        <x:v>EEZ</x:v>
      </x:c>
      <x:c r="D36" s="30" t="n">
        <x:v>2019</x:v>
      </x:c>
      <x:c r="E36" s="24" t="str">
        <x:v>Galeocerdo cuvier</x:v>
      </x:c>
      <x:c r="F36" s="24" t="str">
        <x:v>Tiger shark</x:v>
      </x:c>
      <x:c r="G36" s="24" t="str">
        <x:v>Large sharks (&gt;=90 cm)</x:v>
      </x:c>
      <x:c r="H36" s="24" t="str">
        <x:v>Sharks &amp; rays</x:v>
      </x:c>
      <x:c r="I36" s="31" t="n">
        <x:v>0.0543382455</x:v>
      </x:c>
      <x:c r="J36" s="31" t="n">
        <x:v>0.0543382455</x:v>
      </x:c>
      <x:c r="K36" s="31" t="n">
        <x:v>0</x:v>
      </x:c>
      <x:c r="L36" s="31" t="n">
        <x:v>0.0543382455</x:v>
      </x:c>
      <x:c r="M36" s="31" t="n">
        <x:v>0</x:v>
      </x:c>
      <x:c r="N36" s="24" t="str">
        <x:v>galeocerdo cuvier</x:v>
      </x:c>
      <x:c r="O36" s="32" t="n">
        <x:v>4.54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Galeocerdo cuvier</x:v>
      </x:c>
      <x:c r="T36" s="32" t="n">
        <x:f>IF(O36="","",(1/'Metadata'!$B$5)^(O36-1))</x:f>
        <x:v>3467.368504525317</x:v>
      </x:c>
      <x:c r="U36" s="31" t="n">
        <x:f>IF(T36="","",I36*T36)</x:f>
        <x:v>188.41072103786453</x:v>
      </x:c>
    </x:row>
    <x:row r="37" ht="18" customHeight="1">
      <x:c r="A37" s="24" t="str">
        <x:v>EEZ_907</x:v>
      </x:c>
      <x:c r="B37" s="24" t="str">
        <x:v>Bonaire (Netherlands)</x:v>
      </x:c>
      <x:c r="C37" s="24" t="str">
        <x:v>EEZ</x:v>
      </x:c>
      <x:c r="D37" s="30" t="n">
        <x:v>2019</x:v>
      </x:c>
      <x:c r="E37" s="24" t="str">
        <x:v>Tetrapturus pfluegeri</x:v>
      </x:c>
      <x:c r="F37" s="24" t="str">
        <x:v>Longbill spearfish</x:v>
      </x:c>
      <x:c r="G37" s="24" t="str">
        <x:v>Large pelagics (&gt;=90 cm)</x:v>
      </x:c>
      <x:c r="H37" s="24" t="str">
        <x:v>Tuna &amp; billfishes</x:v>
      </x:c>
      <x:c r="I37" s="31" t="n">
        <x:v>0.0289149283</x:v>
      </x:c>
      <x:c r="J37" s="31" t="n">
        <x:v>0.0289149283</x:v>
      </x:c>
      <x:c r="K37" s="31" t="n">
        <x:v>0</x:v>
      </x:c>
      <x:c r="L37" s="31" t="n">
        <x:v>0.0289149283</x:v>
      </x:c>
      <x:c r="M37" s="31" t="n">
        <x:v>0</x:v>
      </x:c>
      <x:c r="N37" s="24" t="str">
        <x:v>tetrapturus pfluegeri</x:v>
      </x:c>
      <x:c r="O37" s="32" t="n">
        <x:v>4.4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Tetrapturus pfluegeri</x:v>
      </x:c>
      <x:c r="T37" s="32" t="n">
        <x:f>IF(O37="","",(1/'Metadata'!$B$5)^(O37-1))</x:f>
        <x:v>2511.886431509582</x:v>
      </x:c>
      <x:c r="U37" s="31" t="n">
        <x:f>IF(T37="","",I37*T37)</x:f>
        <x:v>72.63101606484243</x:v>
      </x:c>
    </x:row>
    <x:row r="38" ht="18" customHeight="1">
      <x:c r="A38" s="24" t="str">
        <x:v>EEZ_907</x:v>
      </x:c>
      <x:c r="B38" s="24" t="str">
        <x:v>Bonaire (Netherlands)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0.0143650661</x:v>
      </x:c>
      <x:c r="J38" s="31" t="n">
        <x:v>0.0143650661</x:v>
      </x:c>
      <x:c r="K38" s="31" t="n">
        <x:v>0</x:v>
      </x:c>
      <x:c r="L38" s="31" t="n">
        <x:v>0.0143650661</x:v>
      </x:c>
      <x:c r="M38" s="31" t="n">
        <x:v>0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16.11786926146753</x:v>
      </x:c>
    </x:row>
    <x:row r="39" ht="18" customHeight="1">
      <x:c r="A39" s="24" t="str">
        <x:v>EEZ_907</x:v>
      </x:c>
      <x:c r="B39" s="24" t="str">
        <x:v>Bonaire (Netherlands)</x:v>
      </x:c>
      <x:c r="C39" s="24" t="str">
        <x:v>EEZ</x:v>
      </x:c>
      <x:c r="D39" s="30" t="n">
        <x:v>2019</x:v>
      </x:c>
      <x:c r="E39" s="24" t="str">
        <x:v>Carcharhinus</x:v>
      </x:c>
      <x:c r="F39" s="24" t="str">
        <x:v>Sharp-nosed sharks</x:v>
      </x:c>
      <x:c r="G39" s="24" t="str">
        <x:v>Large sharks (&gt;=90 cm)</x:v>
      </x:c>
      <x:c r="H39" s="24" t="str">
        <x:v>Sharks &amp; rays</x:v>
      </x:c>
      <x:c r="I39" s="31" t="n">
        <x:v>0.0057349091</x:v>
      </x:c>
      <x:c r="J39" s="31" t="n">
        <x:v>0.0057349091</x:v>
      </x:c>
      <x:c r="K39" s="31" t="n">
        <x:v>0</x:v>
      </x:c>
      <x:c r="L39" s="31" t="n">
        <x:v>0.0057349091</x:v>
      </x:c>
      <x:c r="M39" s="31" t="n">
        <x:v>0</x:v>
      </x:c>
      <x:c r="N39" s="24" t="str">
        <x:v>carcharhinus</x:v>
      </x:c>
      <x:c r="O39" s="32" t="n">
        <x:v>4.26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Carcharhinus</x:v>
      </x:c>
      <x:c r="T39" s="32" t="n">
        <x:f>IF(O39="","",(1/'Metadata'!$B$5)^(O39-1))</x:f>
        <x:v>1819.7008586099826</x:v>
      </x:c>
      <x:c r="U39" s="31" t="n">
        <x:f>IF(T39="","",I39*T39)</x:f>
        <x:v>10.435819013320202</x:v>
      </x:c>
    </x:row>
    <x:row r="40" ht="18" customHeight="1">
      <x:c r="A40" s="24" t="str">
        <x:v>EEZ_907</x:v>
      </x:c>
      <x:c r="B40" s="24" t="str">
        <x:v>Bonaire (Netherlands)</x:v>
      </x:c>
      <x:c r="C40" s="24" t="str">
        <x:v>EEZ</x:v>
      </x:c>
      <x:c r="D40" s="30" t="n">
        <x:v>2019</x:v>
      </x:c>
      <x:c r="E40" s="24" t="str">
        <x:v>Auxis thazard</x:v>
      </x:c>
      <x:c r="F40" s="24" t="str">
        <x:v>Frigate tuna</x:v>
      </x:c>
      <x:c r="G40" s="24" t="str">
        <x:v>Medium pelagics (30 - 89 cm)</x:v>
      </x:c>
      <x:c r="H40" s="24" t="str">
        <x:v>Tuna &amp; billfishes</x:v>
      </x:c>
      <x:c r="I40" s="31" t="n">
        <x:v>0.0036141117</x:v>
      </x:c>
      <x:c r="J40" s="31" t="n">
        <x:v>0.0036141117</x:v>
      </x:c>
      <x:c r="K40" s="31" t="n">
        <x:v>0</x:v>
      </x:c>
      <x:c r="L40" s="31" t="n">
        <x:v>0.0036141117</x:v>
      </x:c>
      <x:c r="M40" s="31" t="n">
        <x:v>0</x:v>
      </x:c>
      <x:c r="N40" s="24" t="str">
        <x:v>auxis thazard</x:v>
      </x:c>
      <x:c r="O40" s="32" t="n">
        <x:v>4.37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Auxis thazard</x:v>
      </x:c>
      <x:c r="T40" s="32" t="n">
        <x:f>IF(O40="","",(1/'Metadata'!$B$5)^(O40-1))</x:f>
        <x:v>2344.228815319923</x:v>
      </x:c>
      <x:c r="U40" s="31" t="n">
        <x:f>IF(T40="","",I40*T40)</x:f>
        <x:v>8.472304788924873</x:v>
      </x:c>
    </x:row>
  </x:sheetData>
  <x:conditionalFormatting sqref="R2:R4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3a33fc4cf264f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11.2033786703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1775.6158587122518</x:v>
      </x:c>
    </x:row>
    <x:row r="3" ht="18" customHeight="1">
      <x:c r="A3" s="24" t="str">
        <x:v>Molluscs</x:v>
      </x:c>
      <x:c r="B3" s="31" t="n">
        <x:v>10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154.88166189124811</x:v>
      </x:c>
    </x:row>
    <x:row r="4" ht="18" customHeight="1">
      <x:c r="A4" s="24" t="str">
        <x:v>Other fishes &amp; inverts</x:v>
      </x:c>
      <x:c r="B4" s="31" t="n">
        <x:v>102.1588116191</x:v>
      </x:c>
      <x:c r="C4" s="32" t="n">
        <x:v>3.288487490229545</x:v>
      </x:c>
      <x:c r="D4" s="32" t="n">
        <x:f>IF(C4="","",(1/'Metadata'!$B$5)^(C4-1))</x:f>
        <x:v>194.30657213815195</x:v>
      </x:c>
      <x:c r="E4" s="31" t="n">
        <x:f>IF(B4=0,"",B4*D4)</x:f>
        <x:v>19850.12849941453</x:v>
      </x:c>
    </x:row>
    <x:row r="5" ht="18" customHeight="1">
      <x:c r="A5" s="24" t="str">
        <x:v>Perch-likes</x:v>
      </x:c>
      <x:c r="B5" s="31" t="n">
        <x:v>165.7050847302</x:v>
      </x:c>
      <x:c r="C5" s="32" t="n">
        <x:v>4.3209861074528755</x:v>
      </x:c>
      <x:c r="D5" s="32" t="n">
        <x:f>IF(C5="","",(1/'Metadata'!$B$5)^(C5-1))</x:f>
        <x:v>2094.045468836605</x:v>
      </x:c>
      <x:c r="E5" s="31" t="n">
        <x:f>IF(B5=0,"",B5*D5)</x:f>
        <x:v>346993.98184246104</x:v>
      </x:c>
    </x:row>
    <x:row r="6" ht="18" customHeight="1">
      <x:c r="A6" s="24" t="str">
        <x:v>Sharks &amp; rays</x:v>
      </x:c>
      <x:c r="B6" s="31" t="n">
        <x:v>7.3039523348</x:v>
      </x:c>
      <x:c r="C6" s="32" t="n">
        <x:v>4.1213785760002875</x:v>
      </x:c>
      <x:c r="D6" s="32" t="n">
        <x:f>IF(C6="","",(1/'Metadata'!$B$5)^(C6-1))</x:f>
        <x:v>1322.4479143060594</x:v>
      </x:c>
      <x:c r="E6" s="31" t="n">
        <x:f>IF(B6=0,"",B6*D6)</x:f>
        <x:v>9659.096531347133</x:v>
      </x:c>
    </x:row>
    <x:row r="7" ht="18" customHeight="1">
      <x:c r="A7" s="24" t="str">
        <x:v>Tuna &amp; billfishes</x:v>
      </x:c>
      <x:c r="B7" s="31" t="n">
        <x:v>103.8421256775</x:v>
      </x:c>
      <x:c r="C7" s="32" t="n">
        <x:v>4.4263487714501</x:v>
      </x:c>
      <x:c r="D7" s="32" t="n">
        <x:f>IF(C7="","",(1/'Metadata'!$B$5)^(C7-1))</x:f>
        <x:v>2669.0012147554285</x:v>
      </x:c>
      <x:c r="E7" s="31" t="n">
        <x:f>IF(B7=0,"",B7*D7)</x:f>
        <x:v>277154.75957603334</x:v>
      </x:c>
    </x:row>
  </x:sheetData>
  <x:pageMargins left="0.7" right="0.7" top="0.75" bottom="0.75" header="0.3" footer="0.3"/>
  <x:tableParts count="1">
    <x:tablePart xmlns:r="http://schemas.openxmlformats.org/officeDocument/2006/relationships" r:id="R01a26242345546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bathypelagics (&gt;=90 cm)</x:v>
      </x:c>
      <x:c r="B2" s="31" t="n">
        <x:v>0.4838222191</x:v>
      </x:c>
      <x:c r="C2" s="32" t="n">
        <x:v>4.34</x:v>
      </x:c>
      <x:c r="D2" s="32" t="n">
        <x:f>IF(C2="","",(1/'Metadata'!$B$5)^(C2-1))</x:f>
        <x:v>2187.761623949552</x:v>
      </x:c>
      <x:c r="E2" s="31" t="n">
        <x:f>IF(B2=0,"",B2*D2)</x:f>
        <x:v>1058.4876837610918</x:v>
      </x:c>
    </x:row>
    <x:row r="3" ht="18" customHeight="1">
      <x:c r="A3" s="24" t="str">
        <x:v>Large pelagics (&gt;=90 cm)</x:v>
      </x:c>
      <x:c r="B3" s="31" t="n">
        <x:v>232.769315434</x:v>
      </x:c>
      <x:c r="C3" s="32" t="n">
        <x:v>4.395797955013562</x:v>
      </x:c>
      <x:c r="D3" s="32" t="n">
        <x:f>IF(C3="","",(1/'Metadata'!$B$5)^(C3-1))</x:f>
        <x:v>2487.6997070065822</x:v>
      </x:c>
      <x:c r="E3" s="31" t="n">
        <x:f>IF(B3=0,"",B3*D3)</x:f>
        <x:v>579060.1578052845</x:v>
      </x:c>
    </x:row>
    <x:row r="4" ht="18" customHeight="1">
      <x:c r="A4" s="24" t="str">
        <x:v>Large rays (&gt;=90 cm)</x:v>
      </x:c>
      <x:c r="B4" s="31" t="n">
        <x:v>1.2013518777999999</x:v>
      </x:c>
      <x:c r="C4" s="32" t="n">
        <x:v>3.3858661469318263</x:v>
      </x:c>
      <x:c r="D4" s="32" t="n">
        <x:f>IF(C4="","",(1/'Metadata'!$B$5)^(C4-1))</x:f>
        <x:v>243.14544996557632</x:v>
      </x:c>
      <x:c r="E4" s="31" t="n">
        <x:f>IF(B4=0,"",B4*D4)</x:f>
        <x:v>292.10324289467104</x:v>
      </x:c>
    </x:row>
    <x:row r="5" ht="18" customHeight="1">
      <x:c r="A5" s="24" t="str">
        <x:v>Large sharks (&gt;=90 cm)</x:v>
      </x:c>
      <x:c r="B5" s="31" t="n">
        <x:v>6.102600457000001</x:v>
      </x:c>
      <x:c r="C5" s="32" t="n">
        <x:v>4.2661708238350755</x:v>
      </x:c>
      <x:c r="D5" s="32" t="n">
        <x:f>IF(C5="","",(1/'Metadata'!$B$5)^(C5-1))</x:f>
        <x:v>1845.7412736753822</x:v>
      </x:c>
      <x:c r="E5" s="31" t="n">
        <x:f>IF(B5=0,"",B5*D5)</x:f>
        <x:v>11263.821540235152</x:v>
      </x:c>
    </x:row>
    <x:row r="6" ht="18" customHeight="1">
      <x:c r="A6" s="24" t="str">
        <x:v>Lobsters, crabs</x:v>
      </x:c>
      <x:c r="B6" s="31" t="n">
        <x:v>11.2033786703</x:v>
      </x:c>
      <x:c r="C6" s="32" t="n">
        <x:v>3.2</x:v>
      </x:c>
      <x:c r="D6" s="32" t="n">
        <x:f>IF(C6="","",(1/'Metadata'!$B$5)^(C6-1))</x:f>
        <x:v>158.48931924611142</x:v>
      </x:c>
      <x:c r="E6" s="31" t="n">
        <x:f>IF(B6=0,"",B6*D6)</x:f>
        <x:v>1775.6158587122518</x:v>
      </x:c>
    </x:row>
    <x:row r="7" ht="18" customHeight="1">
      <x:c r="A7" s="24" t="str">
        <x:v>Medium benthopelagics (30 - 89 cm)</x:v>
      </x:c>
      <x:c r="B7" s="31" t="n">
        <x:v>3.406535521</x:v>
      </x:c>
      <x:c r="C7" s="32" t="n">
        <x:v>4.43</x:v>
      </x:c>
      <x:c r="D7" s="32" t="n">
        <x:f>IF(C7="","",(1/'Metadata'!$B$5)^(C7-1))</x:f>
        <x:v>2691.534803926914</x:v>
      </x:c>
      <x:c r="E7" s="31" t="n">
        <x:f>IF(B7=0,"",B7*D7)</x:f>
        <x:v>9168.808915584801</x:v>
      </x:c>
    </x:row>
    <x:row r="8" ht="18" customHeight="1">
      <x:c r="A8" s="24" t="str">
        <x:v>Medium demersals (30 - 89 cm)</x:v>
      </x:c>
      <x:c r="B8" s="31" t="n">
        <x:v>89.77206996940001</x:v>
      </x:c>
      <x:c r="C8" s="32" t="n">
        <x:v>3.2800000000000002</x:v>
      </x:c>
      <x:c r="D8" s="32" t="n">
        <x:f>IF(C8="","",(1/'Metadata'!$B$5)^(C8-1))</x:f>
        <x:v>190.54607179632484</x:v>
      </x:c>
      <x:c r="E8" s="31" t="n">
        <x:f>IF(B8=0,"",B8*D8)</x:f>
        <x:v>17105.71528969399</x:v>
      </x:c>
    </x:row>
    <x:row r="9" ht="18" customHeight="1">
      <x:c r="A9" s="24" t="str">
        <x:v>Medium pelagics (30 - 89 cm)</x:v>
      </x:c>
      <x:c r="B9" s="31" t="n">
        <x:v>24.224546998399997</x:v>
      </x:c>
      <x:c r="C9" s="32" t="n">
        <x:v>3.795570928089303</x:v>
      </x:c>
      <x:c r="D9" s="32" t="n">
        <x:f>IF(C9="","",(1/'Metadata'!$B$5)^(C9-1))</x:f>
        <x:v>624.5553430568734</x:v>
      </x:c>
      <x:c r="E9" s="31" t="n">
        <x:f>IF(B9=0,"",B9*D9)</x:f>
        <x:v>15129.570260983064</x:v>
      </x:c>
    </x:row>
    <x:row r="10" ht="18" customHeight="1">
      <x:c r="A10" s="24" t="str">
        <x:v>Medium reef assoc. fish (30 - 89 cm)</x:v>
      </x:c>
      <x:c r="B10" s="31" t="n">
        <x:v>21.049731884899998</x:v>
      </x:c>
      <x:c r="C10" s="32" t="n">
        <x:v>4.02868842055538</x:v>
      </x:c>
      <x:c r="D10" s="32" t="n">
        <x:f>IF(C10="","",(1/'Metadata'!$B$5)^(C10-1))</x:f>
        <x:v>1068.2881734958826</x:v>
      </x:c>
      <x:c r="E10" s="31" t="n">
        <x:f>IF(B10=0,"",B10*D10)</x:f>
        <x:v>22487.17962789786</x:v>
      </x:c>
    </x:row>
    <x:row r="11" ht="18" customHeight="1">
      <x:c r="A11" s="24" t="str">
        <x:v>Other demersal invertebrates</x:v>
      </x:c>
      <x:c r="B11" s="31" t="n">
        <x:v>10</x:v>
      </x:c>
      <x:c r="C11" s="32" t="n">
        <x:v>2.19</x:v>
      </x:c>
      <x:c r="D11" s="32" t="n">
        <x:f>IF(C11="","",(1/'Metadata'!$B$5)^(C11-1))</x:f>
        <x:v>15.488166189124811</x:v>
      </x:c>
      <x:c r="E11" s="31" t="n">
        <x:f>IF(B11=0,"",B11*D11)</x:f>
        <x:v>154.88166189124811</x:v>
      </x:c>
    </x:row>
  </x:sheetData>
  <x:pageMargins left="0.7" right="0.7" top="0.75" bottom="0.75" header="0.3" footer="0.3"/>
  <x:tableParts count="1">
    <x:tablePart xmlns:r="http://schemas.openxmlformats.org/officeDocument/2006/relationships" r:id="R28268093861b49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EEZ_907</x:v>
      </x:c>
      <x:c r="B2" s="24" t="str">
        <x:v>raw_filtered_tonnes</x:v>
      </x:c>
      <x:c r="C2" s="24" t="n">
        <x:v>400.2133530319</x:v>
      </x:c>
      <x:c r="D2" s="24" t="str">
        <x:v>tonnes</x:v>
      </x:c>
    </x:row>
    <x:row r="3" ht="18" customHeight="1">
      <x:c r="A3" s="24" t="str">
        <x:v>EEZ_907</x:v>
      </x:c>
      <x:c r="B3" s="24" t="str">
        <x:v>species_catch_tonnes</x:v>
      </x:c>
      <x:c r="C3" s="24" t="n">
        <x:v>400.2133530319</x:v>
      </x:c>
      <x:c r="D3" s="24" t="str">
        <x:v>tonnes</x:v>
      </x:c>
    </x:row>
    <x:row r="4" ht="18" customHeight="1">
      <x:c r="A4" s="24" t="str">
        <x:v>EEZ_907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EEZ_907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EEZ_907</x:v>
      </x:c>
      <x:c r="B6" s="24" t="str">
        <x:v>matched_catch_tonnes</x:v>
      </x:c>
      <x:c r="C6" s="24" t="n">
        <x:v>400.2133530319</x:v>
      </x:c>
      <x:c r="D6" s="24" t="str">
        <x:v>tonnes</x:v>
      </x:c>
    </x:row>
    <x:row r="7" ht="18" customHeight="1">
      <x:c r="A7" s="24" t="str">
        <x:v>EEZ_907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EEZ_907</x:v>
      </x:c>
      <x:c r="B8" s="24" t="str">
        <x:v>taxa_count</x:v>
      </x:c>
      <x:c r="C8" s="24" t="n">
        <x:v>39</x:v>
      </x:c>
      <x:c r="D8" s="24" t="str">
        <x:v>count</x:v>
      </x:c>
    </x:row>
    <x:row r="9" ht="18" customHeight="1">
      <x:c r="A9" s="24" t="str">
        <x:v>EEZ_907</x:v>
      </x:c>
      <x:c r="B9" s="24" t="str">
        <x:v>matched_taxa_count</x:v>
      </x:c>
      <x:c r="C9" s="24" t="n">
        <x:v>39</x:v>
      </x:c>
      <x:c r="D9" s="24" t="str">
        <x:v>count</x:v>
      </x:c>
    </x:row>
    <x:row r="10" ht="18" customHeight="1">
      <x:c r="A10" s="24" t="str">
        <x:v>EEZ_907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EEZ_907</x:v>
      </x:c>
      <x:c r="B11" s="24" t="str">
        <x:v>species_ppr</x:v>
      </x:c>
      <x:c r="C11" s="24" t="n">
        <x:v>677238.29384602</x:v>
      </x:c>
      <x:c r="D11" s="24" t="str">
        <x:v>tonnes_primary_production_equivalent</x:v>
      </x:c>
    </x:row>
    <x:row r="12" ht="18" customHeight="1">
      <x:c r="A12" s="24" t="str">
        <x:v>EEZ_907</x:v>
      </x:c>
      <x:c r="B12" s="24" t="str">
        <x:v>commercial_ppr</x:v>
      </x:c>
      <x:c r="C12" s="24" t="n">
        <x:v>655588.4639698595</x:v>
      </x:c>
      <x:c r="D12" s="24" t="str">
        <x:v>tonnes_primary_production_equivalent</x:v>
      </x:c>
    </x:row>
    <x:row r="13" ht="18" customHeight="1">
      <x:c r="A13" s="24" t="str">
        <x:v>EEZ_907</x:v>
      </x:c>
      <x:c r="B13" s="24" t="str">
        <x:v>functional_ppr</x:v>
      </x:c>
      <x:c r="C13" s="24" t="n">
        <x:v>657496.3418869387</x:v>
      </x:c>
      <x:c r="D13" s="24" t="str">
        <x:v>tonnes_primary_production_equivalent</x:v>
      </x:c>
    </x:row>
    <x:row r="14" ht="18" customHeight="1">
      <x:c r="A14" s="24" t="str">
        <x:v>EEZ_907</x:v>
      </x:c>
      <x:c r="B14" s="24" t="str">
        <x:v>commercial_ppr_difference</x:v>
      </x:c>
      <x:c r="C14" s="24" t="n">
        <x:v>-21649.829876160482</x:v>
      </x:c>
      <x:c r="D14" s="24" t="str">
        <x:v>tonnes_primary_production_equivalent</x:v>
      </x:c>
    </x:row>
    <x:row r="15" ht="18" customHeight="1">
      <x:c r="A15" s="24" t="str">
        <x:v>EEZ_907</x:v>
      </x:c>
      <x:c r="B15" s="24" t="str">
        <x:v>functional_ppr_difference</x:v>
      </x:c>
      <x:c r="C15" s="24" t="n">
        <x:v>-19741.951959081343</x:v>
      </x:c>
      <x:c r="D15" s="24" t="str">
        <x:v>tonnes_primary_production_equivalent</x:v>
      </x:c>
    </x:row>
    <x:row r="16" ht="18" customHeight="1">
      <x:c r="A16" s="24" t="str">
        <x:v>EEZ_907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fdf804946da42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EEZ_907 - Bonaire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