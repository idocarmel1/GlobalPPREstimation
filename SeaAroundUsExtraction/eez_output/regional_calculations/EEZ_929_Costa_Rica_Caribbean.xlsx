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2fddf7942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9460bd0f52d4491"/>
    <x:sheet xmlns:r="http://schemas.openxmlformats.org/officeDocument/2006/relationships" name="Commercial" sheetId="2" r:id="Rbee4e7c7188a4404"/>
    <x:sheet xmlns:r="http://schemas.openxmlformats.org/officeDocument/2006/relationships" name="Functional" sheetId="3" r:id="R92eea68947c74355"/>
    <x:sheet xmlns:r="http://schemas.openxmlformats.org/officeDocument/2006/relationships" name="Missing TL" sheetId="4" r:id="R56984b2b0aa14646"/>
    <x:sheet xmlns:r="http://schemas.openxmlformats.org/officeDocument/2006/relationships" name="Validation" sheetId="5" r:id="R0b82b0f485a847bf"/>
    <x:sheet xmlns:r="http://schemas.openxmlformats.org/officeDocument/2006/relationships" name="Metadata" sheetId="6" r:id="R624704bde209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0ac079e164311" /><Relationship Type="http://schemas.openxmlformats.org/officeDocument/2006/relationships/theme" Target="/xl/theme/theme1.xml" Id="R4009cd8460a847d8" /><Relationship Type="http://schemas.microsoft.com/office/2022/11/relationships/FeaturePropertyBag" Target="/xl/featurePropertyBag/featurePropertyBag.xml" Id="R93db4d87ec684861" /><Relationship Type="http://schemas.openxmlformats.org/officeDocument/2006/relationships/sharedStrings" Target="/xl/sharedStrings.xml" Id="R9b59df211f504bc7" /><Relationship Type="http://schemas.openxmlformats.org/officeDocument/2006/relationships/worksheet" Target="/xl/worksheets/sheet1.xml" Id="R29460bd0f52d4491" /><Relationship Type="http://schemas.openxmlformats.org/officeDocument/2006/relationships/worksheet" Target="/xl/worksheets/sheet2.xml" Id="Rbee4e7c7188a4404" /><Relationship Type="http://schemas.openxmlformats.org/officeDocument/2006/relationships/worksheet" Target="/xl/worksheets/sheet3.xml" Id="R92eea68947c74355" /><Relationship Type="http://schemas.openxmlformats.org/officeDocument/2006/relationships/worksheet" Target="/xl/worksheets/sheet4.xml" Id="R56984b2b0aa14646" /><Relationship Type="http://schemas.openxmlformats.org/officeDocument/2006/relationships/worksheet" Target="/xl/worksheets/sheet5.xml" Id="R0b82b0f485a847bf" /><Relationship Type="http://schemas.openxmlformats.org/officeDocument/2006/relationships/worksheet" Target="/xl/worksheets/sheet6.xml" Id="R624704bde20940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9SpeciesTable" displayName="EEZ929SpeciesTable" ref="A1:U15" headerRowCount="1" totalsRowCount="0" totalsRowShown="0">
  <x:autoFilter ref="A1:U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9CommercialTable" displayName="EEZ929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9FunctionalTable" displayName="EEZ929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9ValidationTable" displayName="EEZ92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2d2743a755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d3d7f0096e46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94e59edc0148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0d587f009c4b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EEZ_929</x:v>
      </x:c>
      <x:c r="B2" s="24" t="str">
        <x:v>Costa Rica (Caribbean)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159.99999999</x:v>
      </x:c>
      <x:c r="J2" s="31" t="n">
        <x:v>159.99999999</x:v>
      </x:c>
      <x:c r="K2" s="31" t="n">
        <x:v>0</x:v>
      </x:c>
      <x:c r="L2" s="31" t="n">
        <x:v>159.99999999</x:v>
      </x:c>
      <x:c r="M2" s="31" t="n">
        <x:v>0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291152.13735940016</x:v>
      </x:c>
    </x:row>
    <x:row r="3" ht="18" customHeight="1">
      <x:c r="A3" s="24" t="str">
        <x:v>EEZ_929</x:v>
      </x:c>
      <x:c r="B3" s="24" t="str">
        <x:v>Costa Rica (Caribbean)</x:v>
      </x:c>
      <x:c r="C3" s="24" t="str">
        <x:v>EEZ</x:v>
      </x:c>
      <x:c r="D3" s="30" t="n">
        <x:v>2019</x:v>
      </x:c>
      <x:c r="E3" s="24" t="str">
        <x:v>Carcharhinus falciformis</x:v>
      </x:c>
      <x:c r="F3" s="24" t="str">
        <x:v>Silky shark</x:v>
      </x:c>
      <x:c r="G3" s="24" t="str">
        <x:v>Large sharks (&gt;=90 cm)</x:v>
      </x:c>
      <x:c r="H3" s="24" t="str">
        <x:v>Sharks &amp; rays</x:v>
      </x:c>
      <x:c r="I3" s="31" t="n">
        <x:v>120</x:v>
      </x:c>
      <x:c r="J3" s="31" t="n">
        <x:v>120</x:v>
      </x:c>
      <x:c r="K3" s="31" t="n">
        <x:v>0</x:v>
      </x:c>
      <x:c r="L3" s="31" t="n">
        <x:v>120</x:v>
      </x:c>
      <x:c r="M3" s="31" t="n">
        <x:v>0</x:v>
      </x:c>
      <x:c r="N3" s="24" t="str">
        <x:v>carcharhinus falciformis</x:v>
      </x:c>
      <x:c r="O3" s="32" t="n">
        <x:v>4.51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Carcharhinus falciformis</x:v>
      </x:c>
      <x:c r="T3" s="32" t="n">
        <x:f>IF(O3="","",(1/'Metadata'!$B$5)^(O3-1))</x:f>
        <x:v>3235.936569296281</x:v>
      </x:c>
      <x:c r="U3" s="31" t="n">
        <x:f>IF(T3="","",I3*T3)</x:f>
        <x:v>388312.3883155537</x:v>
      </x:c>
    </x:row>
    <x:row r="4" ht="18" customHeight="1">
      <x:c r="A4" s="24" t="str">
        <x:v>EEZ_929</x:v>
      </x:c>
      <x:c r="B4" s="24" t="str">
        <x:v>Costa Rica (Caribbean)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105</x:v>
      </x:c>
      <x:c r="J4" s="31" t="n">
        <x:v>105</x:v>
      </x:c>
      <x:c r="K4" s="31" t="n">
        <x:v>0</x:v>
      </x:c>
      <x:c r="L4" s="31" t="n">
        <x:v>105</x:v>
      </x:c>
      <x:c r="M4" s="31" t="n">
        <x:v>0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246144.0256085919</x:v>
      </x:c>
    </x:row>
    <x:row r="5" ht="18" customHeight="1">
      <x:c r="A5" s="24" t="str">
        <x:v>EEZ_929</x:v>
      </x:c>
      <x:c r="B5" s="24" t="str">
        <x:v>Costa Rica (Caribbean)</x:v>
      </x:c>
      <x:c r="C5" s="24" t="str">
        <x:v>EEZ</x:v>
      </x:c>
      <x:c r="D5" s="30" t="n">
        <x:v>2019</x:v>
      </x:c>
      <x:c r="E5" s="24" t="str">
        <x:v>Elasmobranchii</x:v>
      </x:c>
      <x:c r="F5" s="24" t="str">
        <x:v>Sharks, rays, skates</x:v>
      </x:c>
      <x:c r="G5" s="24" t="str">
        <x:v>Large sharks (&gt;=90 cm)</x:v>
      </x:c>
      <x:c r="H5" s="24" t="str">
        <x:v>Sharks &amp; rays</x:v>
      </x:c>
      <x:c r="I5" s="31" t="n">
        <x:v>85.0006827139</x:v>
      </x:c>
      <x:c r="J5" s="31" t="n">
        <x:v>85.0006827139</x:v>
      </x:c>
      <x:c r="K5" s="31" t="n">
        <x:v>0</x:v>
      </x:c>
      <x:c r="L5" s="31" t="n">
        <x:v>85.0006827139</x:v>
      </x:c>
      <x:c r="M5" s="31" t="n">
        <x:v>0</x:v>
      </x:c>
      <x:c r="N5" s="24" t="str">
        <x:v>elasmobranchii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Elasmobranchii</x:v>
      </x:c>
      <x:c r="T5" s="32" t="n">
        <x:f>IF(O5="","",(1/'Metadata'!$B$5)^(O5-1))</x:f>
        <x:v>1122.018454301963</x:v>
      </x:c>
      <x:c r="U5" s="31" t="n">
        <x:f>IF(T5="","",I5*T5)</x:f>
        <x:v>95372.33463326166</x:v>
      </x:c>
    </x:row>
    <x:row r="6" ht="18" customHeight="1">
      <x:c r="A6" s="24" t="str">
        <x:v>EEZ_929</x:v>
      </x:c>
      <x:c r="B6" s="24" t="str">
        <x:v>Costa Rica (Caribbean)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80.76497671999999</x:v>
      </x:c>
      <x:c r="J6" s="31" t="n">
        <x:v>80.76497671999999</x:v>
      </x:c>
      <x:c r="K6" s="31" t="n">
        <x:v>0</x:v>
      </x:c>
      <x:c r="L6" s="31" t="n">
        <x:v>65</x:v>
      </x:c>
      <x:c r="M6" s="31" t="n">
        <x:v>15.76497672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84571.3128061782</x:v>
      </x:c>
    </x:row>
    <x:row r="7" ht="18" customHeight="1">
      <x:c r="A7" s="24" t="str">
        <x:v>EEZ_929</x:v>
      </x:c>
      <x:c r="B7" s="24" t="str">
        <x:v>Costa Rica (Caribbean)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28.545454545</x:v>
      </x:c>
      <x:c r="J7" s="31" t="n">
        <x:v>28.545454545</x:v>
      </x:c>
      <x:c r="K7" s="31" t="n">
        <x:v>0</x:v>
      </x:c>
      <x:c r="L7" s="31" t="n">
        <x:v>28.545454545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96724.60456910494</x:v>
      </x:c>
    </x:row>
    <x:row r="8" ht="18" customHeight="1">
      <x:c r="A8" s="24" t="str">
        <x:v>EEZ_929</x:v>
      </x:c>
      <x:c r="B8" s="24" t="str">
        <x:v>Costa Rica (Caribbean)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16.2382152815</x:v>
      </x:c>
      <x:c r="J8" s="31" t="n">
        <x:v>16.238204818</x:v>
      </x:c>
      <x:c r="K8" s="31" t="n">
        <x:v>0.000010463499999999999</x:v>
      </x:c>
      <x:c r="L8" s="31" t="n">
        <x:v>15.000000000000002</x:v>
      </x:c>
      <x:c r="M8" s="31" t="n">
        <x:v>1.2382152815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3094.128134872875</x:v>
      </x:c>
    </x:row>
    <x:row r="9" ht="18" customHeight="1">
      <x:c r="A9" s="24" t="str">
        <x:v>EEZ_929</x:v>
      </x:c>
      <x:c r="B9" s="24" t="str">
        <x:v>Costa Rica (Caribbean)</x:v>
      </x:c>
      <x:c r="C9" s="24" t="str">
        <x:v>EEZ</x:v>
      </x:c>
      <x:c r="D9" s="30" t="n">
        <x:v>2019</x:v>
      </x:c>
      <x:c r="E9" s="24" t="str">
        <x:v>Cittarium pica</x:v>
      </x:c>
      <x:c r="F9" s="24" t="str">
        <x:v>West Indian top shell</x:v>
      </x:c>
      <x:c r="G9" s="24" t="str">
        <x:v>Other demersal invertebrates</x:v>
      </x:c>
      <x:c r="H9" s="24" t="str">
        <x:v>Molluscs</x:v>
      </x:c>
      <x:c r="I9" s="31" t="n">
        <x:v>2.236600403</x:v>
      </x:c>
      <x:c r="J9" s="31" t="n">
        <x:v>2.236600403</x:v>
      </x:c>
      <x:c r="K9" s="31" t="n">
        <x:v>0</x:v>
      </x:c>
      <x:c r="L9" s="31" t="n">
        <x:v>0</x:v>
      </x:c>
      <x:c r="M9" s="31" t="n">
        <x:v>2.236600403</x:v>
      </x:c>
      <x:c r="N9" s="24" t="str">
        <x:v>cittarium pica</x:v>
      </x:c>
      <x:c r="O9" s="32" t="n">
        <x:v>2.03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Cittarium pica</x:v>
      </x:c>
      <x:c r="T9" s="32" t="n">
        <x:f>IF(O9="","",(1/'Metadata'!$B$5)^(O9-1))</x:f>
        <x:v>10.71519305237606</x:v>
      </x:c>
      <x:c r="U9" s="31" t="n">
        <x:f>IF(T9="","",I9*T9)</x:f>
        <x:v>23.9656050991671</x:v>
      </x:c>
    </x:row>
    <x:row r="10" ht="18" customHeight="1">
      <x:c r="A10" s="24" t="str">
        <x:v>EEZ_929</x:v>
      </x:c>
      <x:c r="B10" s="24" t="str">
        <x:v>Costa Rica (Caribbean)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1.642185075</x:v>
      </x:c>
      <x:c r="J10" s="31" t="n">
        <x:v>1.642185075</x:v>
      </x:c>
      <x:c r="K10" s="31" t="n">
        <x:v>0</x:v>
      </x:c>
      <x:c r="L10" s="31" t="n">
        <x:v>0</x:v>
      </x:c>
      <x:c r="M10" s="31" t="n">
        <x:v>1.642185075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1568.2745715000558</x:v>
      </x:c>
    </x:row>
    <x:row r="11" ht="18" customHeight="1">
      <x:c r="A11" s="24" t="str">
        <x:v>EEZ_929</x:v>
      </x:c>
      <x:c r="B11" s="24" t="str">
        <x:v>Costa Rica (Caribbean)</x:v>
      </x:c>
      <x:c r="C11" s="24" t="str">
        <x:v>EEZ</x:v>
      </x:c>
      <x:c r="D11" s="30" t="n">
        <x:v>2019</x:v>
      </x:c>
      <x:c r="E11" s="24" t="str">
        <x:v>Haemulidae</x:v>
      </x:c>
      <x:c r="F11" s="24" t="str">
        <x:v>Grunts, sweetlips, bonnetmouths</x:v>
      </x:c>
      <x:c r="G11" s="24" t="str">
        <x:v>Medium demersals (30 - 89 cm)</x:v>
      </x:c>
      <x:c r="H11" s="24" t="str">
        <x:v>Perch-likes</x:v>
      </x:c>
      <x:c r="I11" s="31" t="n">
        <x:v>1.149529552</x:v>
      </x:c>
      <x:c r="J11" s="31" t="n">
        <x:v>1.149529552</x:v>
      </x:c>
      <x:c r="K11" s="31" t="n">
        <x:v>0</x:v>
      </x:c>
      <x:c r="L11" s="31" t="n">
        <x:v>0</x:v>
      </x:c>
      <x:c r="M11" s="31" t="n">
        <x:v>1.149529552</x:v>
      </x:c>
      <x:c r="N11" s="24" t="str">
        <x:v>haemulidae</x:v>
      </x:c>
      <x:c r="O11" s="32" t="n">
        <x:v>3.36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Haemulidae</x:v>
      </x:c>
      <x:c r="T11" s="32" t="n">
        <x:f>IF(O11="","",(1/'Metadata'!$B$5)^(O11-1))</x:f>
        <x:v>229.08676527677724</x:v>
      </x:c>
      <x:c r="U11" s="31" t="n">
        <x:f>IF(T11="","",I11*T11)</x:f>
        <x:v>263.3420066577429</x:v>
      </x:c>
    </x:row>
    <x:row r="12" ht="18" customHeight="1">
      <x:c r="A12" s="24" t="str">
        <x:v>EEZ_929</x:v>
      </x:c>
      <x:c r="B12" s="24" t="str">
        <x:v>Costa Rica (Caribbean)</x:v>
      </x:c>
      <x:c r="C12" s="24" t="str">
        <x:v>EEZ</x:v>
      </x:c>
      <x:c r="D12" s="30" t="n">
        <x:v>2019</x:v>
      </x:c>
      <x:c r="E12" s="24" t="str">
        <x:v>Gerreidae</x:v>
      </x:c>
      <x:c r="F12" s="24" t="str">
        <x:v>Mojarras, silverbellies</x:v>
      </x:c>
      <x:c r="G12" s="24" t="str">
        <x:v>Small benthopelagics (&lt;30 cm)</x:v>
      </x:c>
      <x:c r="H12" s="24" t="str">
        <x:v>Perch-likes</x:v>
      </x:c>
      <x:c r="I12" s="31" t="n">
        <x:v>0.985311045</x:v>
      </x:c>
      <x:c r="J12" s="31" t="n">
        <x:v>0.985311045</x:v>
      </x:c>
      <x:c r="K12" s="31" t="n">
        <x:v>0</x:v>
      </x:c>
      <x:c r="L12" s="31" t="n">
        <x:v>0</x:v>
      </x:c>
      <x:c r="M12" s="31" t="n">
        <x:v>0.985311045</x:v>
      </x:c>
      <x:c r="N12" s="24" t="str">
        <x:v>gerreidae</x:v>
      </x:c>
      <x:c r="O12" s="32" t="n">
        <x:v>3.03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Gerreidae</x:v>
      </x:c>
      <x:c r="T12" s="32" t="n">
        <x:f>IF(O12="","",(1/'Metadata'!$B$5)^(O12-1))</x:f>
        <x:v>107.1519305237606</x:v>
      </x:c>
      <x:c r="U12" s="31" t="n">
        <x:f>IF(T12="","",I12*T12)</x:f>
        <x:v>105.57798063813395</x:v>
      </x:c>
    </x:row>
    <x:row r="13" ht="18" customHeight="1">
      <x:c r="A13" s="24" t="str">
        <x:v>EEZ_929</x:v>
      </x:c>
      <x:c r="B13" s="24" t="str">
        <x:v>Costa Rica (Caribbean)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9.5e-9</x:v>
      </x:c>
      <x:c r="J13" s="31" t="n">
        <x:v>0</x:v>
      </x:c>
      <x:c r="K13" s="31" t="n">
        <x:v>9.5e-9</x:v>
      </x:c>
      <x:c r="L13" s="31" t="n">
        <x:v>0</x:v>
      </x:c>
      <x:c r="M13" s="31" t="n">
        <x:v>9.5e-9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0.000025569580637305684</x:v>
      </x:c>
    </x:row>
    <x:row r="14" ht="18" customHeight="1">
      <x:c r="A14" s="24" t="str">
        <x:v>EEZ_929</x:v>
      </x:c>
      <x:c r="B14" s="24" t="str">
        <x:v>Costa Rica (Caribbean)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7e-10</x:v>
      </x:c>
      <x:c r="J14" s="31" t="n">
        <x:v>0</x:v>
      </x:c>
      <x:c r="K14" s="31" t="n">
        <x:v>7e-10</x:v>
      </x:c>
      <x:c r="L14" s="31" t="n">
        <x:v>0</x:v>
      </x:c>
      <x:c r="M14" s="31" t="n">
        <x:v>7e-10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0.0000021632068027595143</x:v>
      </x:c>
    </x:row>
    <x:row r="15" ht="18" customHeight="1">
      <x:c r="A15" s="24" t="str">
        <x:v>EEZ_929</x:v>
      </x:c>
      <x:c r="B15" s="24" t="str">
        <x:v>Costa Rica (Caribbean)</x:v>
      </x:c>
      <x:c r="C15" s="24" t="str">
        <x:v>EEZ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4e-10</x:v>
      </x:c>
      <x:c r="J15" s="31" t="n">
        <x:v>0</x:v>
      </x:c>
      <x:c r="K15" s="31" t="n">
        <x:v>4e-10</x:v>
      </x:c>
      <x:c r="L15" s="31" t="n">
        <x:v>0</x:v>
      </x:c>
      <x:c r="M15" s="31" t="n">
        <x:v>4e-10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0.000001028158313107546</x:v>
      </x:c>
    </x:row>
  </x:sheetData>
  <x:conditionalFormatting sqref="R2:R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22d2743a7554a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Molluscs</x:v>
      </x:c>
      <x:c r="B2" s="33" t="n">
        <x:v>1</x:v>
      </x:c>
      <x:c r="C2" s="33" t="n">
        <x:v>1</x:v>
      </x:c>
      <x:c r="D2" s="31" t="n">
        <x:v>2.236600403</x:v>
      </x:c>
      <x:c r="E2" s="31" t="n">
        <x:v>2.236600403</x:v>
      </x:c>
      <x:c r="F2" s="32" t="n">
        <x:v>0</x:v>
      </x:c>
      <x:c r="G2" s="34" t="n">
        <x:v>1</x:v>
      </x:c>
      <x:c r="H2" s="32" t="n">
        <x:f>IF(E2=0,"",I2/E2)</x:f>
        <x:v>10.71519305237606</x:v>
      </x:c>
      <x:c r="I2" s="31" t="n">
        <x:f>IF(C2=0,"",SUMIF('Species'!$H$2:$H$15,A2,'Species'!$U$2:$U$15))</x:f>
        <x:v>23.9656050991671</x:v>
      </x:c>
      <x:c r="J2" s="32" t="n">
        <x:v>2.03</x:v>
      </x:c>
      <x:c r="K2" s="32" t="n">
        <x:f>IF(J2="","",(1/'Metadata'!$B$5)^(J2-1))</x:f>
        <x:v>10.71519305237606</x:v>
      </x:c>
      <x:c r="L2" s="31" t="n">
        <x:f>IF(E2=0,"",E2*K2)</x:f>
        <x:v>23.9656050991671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1</x:v>
      </x:c>
      <x:c r="C3" s="33" t="n">
        <x:v>1</x:v>
      </x:c>
      <x:c r="D3" s="31" t="n">
        <x:v>16.2382152815</x:v>
      </x:c>
      <x:c r="E3" s="31" t="n">
        <x:v>16.2382152815</x:v>
      </x:c>
      <x:c r="F3" s="32" t="n">
        <x:v>0</x:v>
      </x:c>
      <x:c r="G3" s="34" t="n">
        <x:v>1</x:v>
      </x:c>
      <x:c r="H3" s="32" t="n">
        <x:f>IF(E3=0,"",I3/E3)</x:f>
        <x:v>190.54607179632464</x:v>
      </x:c>
      <x:c r="I3" s="31" t="n">
        <x:f>IF(C3=0,"",SUMIF('Species'!$H$2:$H$15,A3,'Species'!$U$2:$U$15))</x:f>
        <x:v>3094.128134872875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3094.128134872875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Perch-likes</x:v>
      </x:c>
      <x:c r="B4" s="33" t="n">
        <x:v>6</x:v>
      </x:c>
      <x:c r="C4" s="33" t="n">
        <x:v>6</x:v>
      </x:c>
      <x:c r="D4" s="31" t="n">
        <x:v>349.54200238199996</x:v>
      </x:c>
      <x:c r="E4" s="31" t="n">
        <x:v>349.54200238199996</x:v>
      </x:c>
      <x:c r="F4" s="32" t="n">
        <x:v>0</x:v>
      </x:c>
      <x:c r="G4" s="34" t="n">
        <x:v>1</x:v>
      </x:c>
      <x:c r="H4" s="32" t="n">
        <x:f>IF(E4=0,"",I4/E4)</x:f>
        <x:v>1784.6343674922246</x:v>
      </x:c>
      <x:c r="I4" s="31" t="n">
        <x:f>IF(C4=0,"",SUMIF('Species'!$H$2:$H$15,A4,'Species'!$U$2:$U$15))</x:f>
        <x:v>623804.6703329661</x:v>
      </x:c>
      <x:c r="J4" s="32" t="n">
        <x:v>4.2298464981486505</x:v>
      </x:c>
      <x:c r="K4" s="32" t="n">
        <x:f>IF(J4="","",(1/'Metadata'!$B$5)^(J4-1))</x:f>
        <x:v>1697.643512484048</x:v>
      </x:c>
      <x:c r="L4" s="31" t="n">
        <x:f>IF(E4=0,"",E4*K4)</x:f>
        <x:v>593397.7126844858</x:v>
      </x:c>
      <x:c r="M4" s="31" t="n">
        <x:f>IF(E4=0,"",I4-L4)</x:f>
        <x:v>30406.95764848031</x:v>
      </x:c>
      <x:c r="N4" s="32" t="n">
        <x:f>IF(L4=0,"",I4/L4)</x:f>
        <x:v>1.0512421214280074</x:v>
      </x:c>
      <x:c r="O4" s="34" t="n">
        <x:f>IF(L4=0,"",M4/L4)</x:f>
        <x:v>0.05124212142800747</x:v>
      </x:c>
    </x:row>
    <x:row r="5" ht="18" customHeight="1">
      <x:c r="A5" s="24" t="str">
        <x:v>Sharks &amp; rays</x:v>
      </x:c>
      <x:c r="B5" s="33" t="n">
        <x:v>2</x:v>
      </x:c>
      <x:c r="C5" s="33" t="n">
        <x:v>2</x:v>
      </x:c>
      <x:c r="D5" s="31" t="n">
        <x:v>205.0006827139</x:v>
      </x:c>
      <x:c r="E5" s="31" t="n">
        <x:v>205.0006827139</x:v>
      </x:c>
      <x:c r="F5" s="32" t="n">
        <x:v>0</x:v>
      </x:c>
      <x:c r="G5" s="34" t="n">
        <x:v>1</x:v>
      </x:c>
      <x:c r="H5" s="32" t="n">
        <x:f>IF(E5=0,"",I5/E5)</x:f>
        <x:v>2359.4298152843144</x:v>
      </x:c>
      <x:c r="I5" s="31" t="n">
        <x:f>IF(C5=0,"",SUMIF('Species'!$H$2:$H$15,A5,'Species'!$U$2:$U$15))</x:f>
        <x:v>483684.7229488154</x:v>
      </x:c>
      <x:c r="J5" s="32" t="n">
        <x:v>4.3192673959385655</x:v>
      </x:c>
      <x:c r="K5" s="32" t="n">
        <x:f>IF(J5="","",(1/'Metadata'!$B$5)^(J5-1))</x:f>
        <x:v>2085.7747032835637</x:v>
      </x:c>
      <x:c r="L5" s="31" t="n">
        <x:f>IF(E5=0,"",E5*K5)</x:f>
        <x:v>427585.23816051276</x:v>
      </x:c>
      <x:c r="M5" s="31" t="n">
        <x:f>IF(E5=0,"",I5-L5)</x:f>
        <x:v>56099.48478830262</x:v>
      </x:c>
      <x:c r="N5" s="32" t="n">
        <x:f>IF(L5=0,"",I5/L5)</x:f>
        <x:v>1.131200705219957</x:v>
      </x:c>
      <x:c r="O5" s="34" t="n">
        <x:f>IF(L5=0,"",M5/L5)</x:f>
        <x:v>0.1312007052199572</x:v>
      </x:c>
    </x:row>
    <x:row r="6" ht="18" customHeight="1">
      <x:c r="A6" s="24" t="str">
        <x:v>Tuna &amp; billfishes</x:v>
      </x:c>
      <x:c r="B6" s="33" t="n">
        <x:v>4</x:v>
      </x:c>
      <x:c r="C6" s="33" t="n">
        <x:v>4</x:v>
      </x:c>
      <x:c r="D6" s="31" t="n">
        <x:v>28.545454555599996</x:v>
      </x:c>
      <x:c r="E6" s="31" t="n">
        <x:v>28.545454555599996</x:v>
      </x:c>
      <x:c r="F6" s="32" t="n">
        <x:v>0</x:v>
      </x:c>
      <x:c r="G6" s="34" t="n">
        <x:v>1</x:v>
      </x:c>
      <x:c r="H6" s="32" t="n">
        <x:f>IF(E6=0,"",I6/E6)</x:f>
        <x:v>3388.441561141321</x:v>
      </x:c>
      <x:c r="I6" s="31" t="n">
        <x:f>IF(C6=0,"",SUMIF('Species'!$H$2:$H$15,A6,'Species'!$U$2:$U$15))</x:f>
        <x:v>96724.60459786588</x:v>
      </x:c>
      <x:c r="J6" s="32" t="n">
        <x:v>4.529999999964057</x:v>
      </x:c>
      <x:c r="K6" s="32" t="n">
        <x:f>IF(J6="","",(1/'Metadata'!$B$5)^(J6-1))</x:f>
        <x:v>3388.4415611115883</x:v>
      </x:c>
      <x:c r="L6" s="31" t="n">
        <x:f>IF(E6=0,"",E6*K6)</x:f>
        <x:v>96724.60459701715</x:v>
      </x:c>
      <x:c r="M6" s="31" t="n">
        <x:f>IF(E6=0,"",I6-L6)</x:f>
        <x:v>8.487259037792683e-7</x:v>
      </x:c>
      <x:c r="N6" s="32" t="n">
        <x:f>IF(L6=0,"",I6/L6)</x:f>
        <x:v>1.0000000000087748</x:v>
      </x:c>
      <x:c r="O6" s="34" t="n">
        <x:f>IF(L6=0,"",M6/L6)</x:f>
        <x:v>8.774663978367317e-12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fd3d7f0096e46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5</x:v>
      </x:c>
      <x:c r="C2" s="33" t="n">
        <x:v>5</x:v>
      </x:c>
      <x:c r="D2" s="31" t="n">
        <x:v>133.5454545556</x:v>
      </x:c>
      <x:c r="E2" s="31" t="n">
        <x:v>133.5454545556</x:v>
      </x:c>
      <x:c r="F2" s="32" t="n">
        <x:v>0</x:v>
      </x:c>
      <x:c r="G2" s="34" t="n">
        <x:v>1</x:v>
      </x:c>
      <x:c r="H2" s="32" t="n">
        <x:f>IF(E2=0,"",I2/E2)</x:f>
        <x:v>2567.4301783420765</x:v>
      </x:c>
      <x:c r="I2" s="31" t="n">
        <x:f>IF(C2=0,"",SUMIF('Species'!$G$2:$G$15,A2,'Species'!$U$2:$U$15))</x:f>
        <x:v>342868.6302064578</x:v>
      </x:c>
      <x:c r="J2" s="32" t="n">
        <x:v>4.404200136148914</x:v>
      </x:c>
      <x:c r="K2" s="32" t="n">
        <x:f>IF(J2="","",(1/'Metadata'!$B$5)^(J2-1))</x:f>
        <x:v>2536.2971643527167</x:v>
      </x:c>
      <x:c r="L2" s="31" t="n">
        <x:f>IF(E2=0,"",E2*K2)</x:f>
        <x:v>338710.95770156285</x:v>
      </x:c>
      <x:c r="M2" s="31" t="n">
        <x:f>IF(E2=0,"",I2-L2)</x:f>
        <x:v>4157.672504894959</x:v>
      </x:c>
      <x:c r="N2" s="32" t="n">
        <x:f>IF(L2=0,"",I2/L2)</x:f>
        <x:v>1.0122749867117031</x:v>
      </x:c>
      <x:c r="O2" s="34" t="n">
        <x:f>IF(L2=0,"",M2/L2)</x:f>
        <x:v>0.012274986711703231</x:v>
      </x:c>
    </x:row>
    <x:row r="3" ht="18" customHeight="1">
      <x:c r="A3" s="24" t="str">
        <x:v>Large sharks (&gt;=90 cm)</x:v>
      </x:c>
      <x:c r="B3" s="33" t="n">
        <x:v>2</x:v>
      </x:c>
      <x:c r="C3" s="33" t="n">
        <x:v>2</x:v>
      </x:c>
      <x:c r="D3" s="31" t="n">
        <x:v>205.0006827139</x:v>
      </x:c>
      <x:c r="E3" s="31" t="n">
        <x:v>205.0006827139</x:v>
      </x:c>
      <x:c r="F3" s="32" t="n">
        <x:v>0</x:v>
      </x:c>
      <x:c r="G3" s="34" t="n">
        <x:v>1</x:v>
      </x:c>
      <x:c r="H3" s="32" t="n">
        <x:f>IF(E3=0,"",I3/E3)</x:f>
        <x:v>2359.4298152843144</x:v>
      </x:c>
      <x:c r="I3" s="31" t="n">
        <x:f>IF(C3=0,"",SUMIF('Species'!$G$2:$G$15,A3,'Species'!$U$2:$U$15))</x:f>
        <x:v>483684.7229488154</x:v>
      </x:c>
      <x:c r="J3" s="32" t="n">
        <x:v>4.3192673959385655</x:v>
      </x:c>
      <x:c r="K3" s="32" t="n">
        <x:f>IF(J3="","",(1/'Metadata'!$B$5)^(J3-1))</x:f>
        <x:v>2085.7747032835637</x:v>
      </x:c>
      <x:c r="L3" s="31" t="n">
        <x:f>IF(E3=0,"",E3*K3)</x:f>
        <x:v>427585.23816051276</x:v>
      </x:c>
      <x:c r="M3" s="31" t="n">
        <x:f>IF(E3=0,"",I3-L3)</x:f>
        <x:v>56099.48478830262</x:v>
      </x:c>
      <x:c r="N3" s="32" t="n">
        <x:f>IF(L3=0,"",I3/L3)</x:f>
        <x:v>1.131200705219957</x:v>
      </x:c>
      <x:c r="O3" s="34" t="n">
        <x:f>IF(L3=0,"",M3/L3)</x:f>
        <x:v>0.1312007052199572</x:v>
      </x:c>
    </x:row>
    <x:row r="4" ht="18" customHeight="1">
      <x:c r="A4" s="24" t="str">
        <x:v>Medium demersals (30 - 89 cm)</x:v>
      </x:c>
      <x:c r="B4" s="33" t="n">
        <x:v>2</x:v>
      </x:c>
      <x:c r="C4" s="33" t="n">
        <x:v>2</x:v>
      </x:c>
      <x:c r="D4" s="31" t="n">
        <x:v>17.3877448335</x:v>
      </x:c>
      <x:c r="E4" s="31" t="n">
        <x:v>17.3877448335</x:v>
      </x:c>
      <x:c r="F4" s="32" t="n">
        <x:v>0</x:v>
      </x:c>
      <x:c r="G4" s="34" t="n">
        <x:v>1</x:v>
      </x:c>
      <x:c r="H4" s="32" t="n">
        <x:f>IF(E4=0,"",I4/E4)</x:f>
        <x:v>193.09405409849163</x:v>
      </x:c>
      <x:c r="I4" s="31" t="n">
        <x:f>IF(C4=0,"",SUMIF('Species'!$G$2:$G$15,A4,'Species'!$U$2:$U$15))</x:f>
        <x:v>3357.4701415306176</x:v>
      </x:c>
      <x:c r="J4" s="32" t="n">
        <x:v>3.285288918433103</x:v>
      </x:c>
      <x:c r="K4" s="32" t="n">
        <x:f>IF(J4="","",(1/'Metadata'!$B$5)^(J4-1))</x:f>
        <x:v>192.8807643648242</x:v>
      </x:c>
      <x:c r="L4" s="31" t="n">
        <x:f>IF(E4=0,"",E4*K4)</x:f>
        <x:v>3353.7615140660027</x:v>
      </x:c>
      <x:c r="M4" s="31" t="n">
        <x:f>IF(E4=0,"",I4-L4)</x:f>
        <x:v>3.7086274646148922</x:v>
      </x:c>
      <x:c r="N4" s="32" t="n">
        <x:f>IF(L4=0,"",I4/L4)</x:f>
        <x:v>1.0011058113253015</x:v>
      </x:c>
      <x:c r="O4" s="34" t="n">
        <x:f>IF(L4=0,"",M4/L4)</x:f>
        <x:v>0.0011058113253016194</x:v>
      </x:c>
    </x:row>
    <x:row r="5" ht="18" customHeight="1">
      <x:c r="A5" s="24" t="str">
        <x:v>Medium pelagics (30 - 89 cm)</x:v>
      </x:c>
      <x:c r="B5" s="33" t="n">
        <x:v>1</x:v>
      </x:c>
      <x:c r="C5" s="33" t="n">
        <x:v>1</x:v>
      </x:c>
      <x:c r="D5" s="31" t="n">
        <x:v>159.99999999</x:v>
      </x:c>
      <x:c r="E5" s="31" t="n">
        <x:v>159.99999999</x:v>
      </x:c>
      <x:c r="F5" s="32" t="n">
        <x:v>0</x:v>
      </x:c>
      <x:c r="G5" s="34" t="n">
        <x:v>1</x:v>
      </x:c>
      <x:c r="H5" s="32" t="n">
        <x:f>IF(E5=0,"",I5/E5)</x:f>
        <x:v>1819.7008586099823</x:v>
      </x:c>
      <x:c r="I5" s="31" t="n">
        <x:f>IF(C5=0,"",SUMIF('Species'!$G$2:$G$15,A5,'Species'!$U$2:$U$15))</x:f>
        <x:v>291152.13735940016</x:v>
      </x:c>
      <x:c r="J5" s="32" t="n">
        <x:v>4.26</x:v>
      </x:c>
      <x:c r="K5" s="32" t="n">
        <x:f>IF(J5="","",(1/'Metadata'!$B$5)^(J5-1))</x:f>
        <x:v>1819.7008586099826</x:v>
      </x:c>
      <x:c r="L5" s="31" t="n">
        <x:f>IF(E5=0,"",E5*K5)</x:f>
        <x:v>291152.13735940016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reef assoc. fish (30 - 89 cm)</x:v>
      </x:c>
      <x:c r="B6" s="33" t="n">
        <x:v>2</x:v>
      </x:c>
      <x:c r="C6" s="33" t="n">
        <x:v>2</x:v>
      </x:c>
      <x:c r="D6" s="31" t="n">
        <x:v>82.407161795</x:v>
      </x:c>
      <x:c r="E6" s="31" t="n">
        <x:v>82.407161795</x:v>
      </x:c>
      <x:c r="F6" s="32" t="n">
        <x:v>0</x:v>
      </x:c>
      <x:c r="G6" s="34" t="n">
        <x:v>1</x:v>
      </x:c>
      <x:c r="H6" s="32" t="n">
        <x:f>IF(E6=0,"",I6/E6)</x:f>
        <x:v>1045.2924903779992</x:v>
      </x:c>
      <x:c r="I6" s="31" t="n">
        <x:f>IF(C6=0,"",SUMIF('Species'!$G$2:$G$15,A6,'Species'!$U$2:$U$15))</x:f>
        <x:v>86139.58737767825</x:v>
      </x:c>
      <x:c r="J6" s="32" t="n">
        <x:v>4.019202892059753</x:v>
      </x:c>
      <x:c r="K6" s="32" t="n">
        <x:f>IF(J6="","",(1/'Metadata'!$B$5)^(J6-1))</x:f>
        <x:v>1045.2084017013435</x:v>
      </x:c>
      <x:c r="L6" s="31" t="n">
        <x:f>IF(E6=0,"",E6*K6)</x:f>
        <x:v>86132.65786849597</x:v>
      </x:c>
      <x:c r="M6" s="31" t="n">
        <x:f>IF(E6=0,"",I6-L6)</x:f>
        <x:v>6.929509182285983</x:v>
      </x:c>
      <x:c r="N6" s="32" t="n">
        <x:f>IF(L6=0,"",I6/L6)</x:f>
        <x:v>1.0000804515889068</x:v>
      </x:c>
      <x:c r="O6" s="34" t="n">
        <x:f>IF(L6=0,"",M6/L6)</x:f>
        <x:v>0.00008045158890679644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2.236600403</x:v>
      </x:c>
      <x:c r="E7" s="31" t="n">
        <x:v>2.236600403</x:v>
      </x:c>
      <x:c r="F7" s="32" t="n">
        <x:v>0</x:v>
      </x:c>
      <x:c r="G7" s="34" t="n">
        <x:v>1</x:v>
      </x:c>
      <x:c r="H7" s="32" t="n">
        <x:f>IF(E7=0,"",I7/E7)</x:f>
        <x:v>10.71519305237606</x:v>
      </x:c>
      <x:c r="I7" s="31" t="n">
        <x:f>IF(C7=0,"",SUMIF('Species'!$G$2:$G$15,A7,'Species'!$U$2:$U$15))</x:f>
        <x:v>23.9656050991671</x:v>
      </x:c>
      <x:c r="J7" s="32" t="n">
        <x:v>2.03</x:v>
      </x:c>
      <x:c r="K7" s="32" t="n">
        <x:f>IF(J7="","",(1/'Metadata'!$B$5)^(J7-1))</x:f>
        <x:v>10.71519305237606</x:v>
      </x:c>
      <x:c r="L7" s="31" t="n">
        <x:f>IF(E7=0,"",E7*K7)</x:f>
        <x:v>23.9656050991671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Small benthopelagics (&lt;30 cm)</x:v>
      </x:c>
      <x:c r="B8" s="33" t="n">
        <x:v>1</x:v>
      </x:c>
      <x:c r="C8" s="33" t="n">
        <x:v>1</x:v>
      </x:c>
      <x:c r="D8" s="31" t="n">
        <x:v>0.985311045</x:v>
      </x:c>
      <x:c r="E8" s="31" t="n">
        <x:v>0.985311045</x:v>
      </x:c>
      <x:c r="F8" s="32" t="n">
        <x:v>0</x:v>
      </x:c>
      <x:c r="G8" s="34" t="n">
        <x:v>1</x:v>
      </x:c>
      <x:c r="H8" s="32" t="n">
        <x:f>IF(E8=0,"",I8/E8)</x:f>
        <x:v>107.1519305237606</x:v>
      </x:c>
      <x:c r="I8" s="31" t="n">
        <x:f>IF(C8=0,"",SUMIF('Species'!$G$2:$G$15,A8,'Species'!$U$2:$U$15))</x:f>
        <x:v>105.57798063813395</x:v>
      </x:c>
      <x:c r="J8" s="32" t="n">
        <x:v>3.03</x:v>
      </x:c>
      <x:c r="K8" s="32" t="n">
        <x:f>IF(J8="","",(1/'Metadata'!$B$5)^(J8-1))</x:f>
        <x:v>107.1519305237606</x:v>
      </x:c>
      <x:c r="L8" s="31" t="n">
        <x:f>IF(E8=0,"",E8*K8)</x:f>
        <x:v>105.57798063813395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c94e59edc0148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EEZ_929</x:v>
      </x:c>
      <x:c r="B2" s="24" t="str">
        <x:v>raw_filtered_tonnes</x:v>
      </x:c>
      <x:c r="C2" s="24" t="n">
        <x:v>601.562955336</x:v>
      </x:c>
      <x:c r="D2" s="24" t="str">
        <x:v>tonnes</x:v>
      </x:c>
    </x:row>
    <x:row r="3" ht="18" customHeight="1">
      <x:c r="A3" s="24" t="str">
        <x:v>EEZ_929</x:v>
      </x:c>
      <x:c r="B3" s="24" t="str">
        <x:v>species_catch_tonnes</x:v>
      </x:c>
      <x:c r="C3" s="24" t="n">
        <x:v>601.562955336</x:v>
      </x:c>
      <x:c r="D3" s="24" t="str">
        <x:v>tonnes</x:v>
      </x:c>
    </x:row>
    <x:row r="4" ht="18" customHeight="1">
      <x:c r="A4" s="24" t="str">
        <x:v>EEZ_929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EEZ_929</x:v>
      </x:c>
      <x:c r="B6" s="24" t="str">
        <x:v>matched_catch_tonnes</x:v>
      </x:c>
      <x:c r="C6" s="24" t="n">
        <x:v>601.562955336</x:v>
      </x:c>
      <x:c r="D6" s="24" t="str">
        <x:v>tonnes</x:v>
      </x:c>
    </x:row>
    <x:row r="7" ht="18" customHeight="1">
      <x:c r="A7" s="24" t="str">
        <x:v>EEZ_929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EEZ_929</x:v>
      </x:c>
      <x:c r="B8" s="24" t="str">
        <x:v>taxa_count</x:v>
      </x:c>
      <x:c r="C8" s="24" t="n">
        <x:v>14</x:v>
      </x:c>
      <x:c r="D8" s="24" t="str">
        <x:v>count</x:v>
      </x:c>
    </x:row>
    <x:row r="9" ht="18" customHeight="1">
      <x:c r="A9" s="24" t="str">
        <x:v>EEZ_929</x:v>
      </x:c>
      <x:c r="B9" s="24" t="str">
        <x:v>matched_taxa_count</x:v>
      </x:c>
      <x:c r="C9" s="24" t="n">
        <x:v>14</x:v>
      </x:c>
      <x:c r="D9" s="24" t="str">
        <x:v>count</x:v>
      </x:c>
    </x:row>
    <x:row r="10" ht="18" customHeight="1">
      <x:c r="A10" s="24" t="str">
        <x:v>EEZ_929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EEZ_929</x:v>
      </x:c>
      <x:c r="B11" s="24" t="str">
        <x:v>species_ppr</x:v>
      </x:c>
      <x:c r="C11" s="24" t="n">
        <x:v>1207332.0916196196</x:v>
      </x:c>
      <x:c r="D11" s="24" t="str">
        <x:v>tonnes_primary_production_equivalent</x:v>
      </x:c>
    </x:row>
    <x:row r="12" ht="18" customHeight="1">
      <x:c r="A12" s="24" t="str">
        <x:v>EEZ_929</x:v>
      </x:c>
      <x:c r="B12" s="24" t="str">
        <x:v>commercial_ppr</x:v>
      </x:c>
      <x:c r="C12" s="24" t="n">
        <x:v>1207332.0916196194</x:v>
      </x:c>
      <x:c r="D12" s="24" t="str">
        <x:v>tonnes_primary_production_equivalent</x:v>
      </x:c>
    </x:row>
    <x:row r="13" ht="18" customHeight="1">
      <x:c r="A13" s="24" t="str">
        <x:v>EEZ_929</x:v>
      </x:c>
      <x:c r="B13" s="24" t="str">
        <x:v>functional_ppr</x:v>
      </x:c>
      <x:c r="C13" s="24" t="n">
        <x:v>1207332.0916196199</x:v>
      </x:c>
      <x:c r="D13" s="24" t="str">
        <x:v>tonnes_primary_production_equivalent</x:v>
      </x:c>
    </x:row>
    <x:row r="14" ht="18" customHeight="1">
      <x:c r="A14" s="24" t="str">
        <x:v>EEZ_929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EEZ_929</x:v>
      </x:c>
      <x:c r="B15" s="24" t="str">
        <x:v>functional_ppr_difference</x:v>
      </x:c>
      <x:c r="C15" s="24" t="n">
        <x:v>2.3283064365386963e-10</x:v>
      </x:c>
      <x:c r="D15" s="24" t="str">
        <x:v>tonnes_primary_production_equivalent</x:v>
      </x:c>
    </x:row>
    <x:row r="16" ht="18" customHeight="1">
      <x:c r="A16" s="24" t="str">
        <x:v>EEZ_929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30d587f009c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EEZ_929 - Costa Rica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