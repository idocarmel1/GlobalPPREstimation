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f1e56d5e7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0a1a06f45004172"/>
    <x:sheet xmlns:r="http://schemas.openxmlformats.org/officeDocument/2006/relationships" name="Commercial" sheetId="2" r:id="R4074036ae5bf476d"/>
    <x:sheet xmlns:r="http://schemas.openxmlformats.org/officeDocument/2006/relationships" name="Functional" sheetId="3" r:id="R11855d555aef458e"/>
    <x:sheet xmlns:r="http://schemas.openxmlformats.org/officeDocument/2006/relationships" name="Missing TL" sheetId="4" r:id="R549f5f71c9144a5b"/>
    <x:sheet xmlns:r="http://schemas.openxmlformats.org/officeDocument/2006/relationships" name="Validation" sheetId="5" r:id="R9c92c74f01764f95"/>
    <x:sheet xmlns:r="http://schemas.openxmlformats.org/officeDocument/2006/relationships" name="Metadata" sheetId="6" r:id="Rbaa8c5df2232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13e3892c64cbb" /><Relationship Type="http://schemas.openxmlformats.org/officeDocument/2006/relationships/theme" Target="/xl/theme/theme1.xml" Id="R9156cd3fca1741e9" /><Relationship Type="http://schemas.microsoft.com/office/2022/11/relationships/FeaturePropertyBag" Target="/xl/featurePropertyBag/featurePropertyBag.xml" Id="R56a1797f1233434a" /><Relationship Type="http://schemas.openxmlformats.org/officeDocument/2006/relationships/sharedStrings" Target="/xl/sharedStrings.xml" Id="Rae870b75b85c47f7" /><Relationship Type="http://schemas.openxmlformats.org/officeDocument/2006/relationships/worksheet" Target="/xl/worksheets/sheet1.xml" Id="R20a1a06f45004172" /><Relationship Type="http://schemas.openxmlformats.org/officeDocument/2006/relationships/worksheet" Target="/xl/worksheets/sheet2.xml" Id="R4074036ae5bf476d" /><Relationship Type="http://schemas.openxmlformats.org/officeDocument/2006/relationships/worksheet" Target="/xl/worksheets/sheet3.xml" Id="R11855d555aef458e" /><Relationship Type="http://schemas.openxmlformats.org/officeDocument/2006/relationships/worksheet" Target="/xl/worksheets/sheet4.xml" Id="R549f5f71c9144a5b" /><Relationship Type="http://schemas.openxmlformats.org/officeDocument/2006/relationships/worksheet" Target="/xl/worksheets/sheet5.xml" Id="R9c92c74f01764f95" /><Relationship Type="http://schemas.openxmlformats.org/officeDocument/2006/relationships/worksheet" Target="/xl/worksheets/sheet6.xml" Id="Rbaa8c5df223245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98SpeciesTable" displayName="EEZ598SpeciesTable" ref="A1:U56" headerRowCount="1" totalsRowCount="0" totalsRowShown="0">
  <x:autoFilter ref="A1:U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98CommercialTable" displayName="EEZ598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98FunctionalTable" displayName="EEZ598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98ValidationTable" displayName="EEZ59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de83b566c4b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04a660d5b749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359f58235c46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d039db25bd41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EEZ_598</x:v>
      </x:c>
      <x:c r="B2" s="24" t="str">
        <x:v>Papua New Guinea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280541.3624459048</x:v>
      </x:c>
      <x:c r="J2" s="31" t="n">
        <x:v>278809.9601336314</x:v>
      </x:c>
      <x:c r="K2" s="31" t="n">
        <x:v>1731.4023122734</x:v>
      </x:c>
      <x:c r="L2" s="31" t="n">
        <x:v>278809.9601336314</x:v>
      </x:c>
      <x:c r="M2" s="31" t="n">
        <x:v>1731.4023122734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755086840.9642277</x:v>
      </x:c>
    </x:row>
    <x:row r="3" ht="18" customHeight="1">
      <x:c r="A3" s="24" t="str">
        <x:v>EEZ_598</x:v>
      </x:c>
      <x:c r="B3" s="24" t="str">
        <x:v>Papua New Guinea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171023.9406779324</x:v>
      </x:c>
      <x:c r="J3" s="31" t="n">
        <x:v>170678.1782543752</x:v>
      </x:c>
      <x:c r="K3" s="31" t="n">
        <x:v>345.7624235572</x:v>
      </x:c>
      <x:c r="L3" s="31" t="n">
        <x:v>170678.1782543752</x:v>
      </x:c>
      <x:c r="M3" s="31" t="n">
        <x:v>345.7624235572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439599215.8710699</x:v>
      </x:c>
    </x:row>
    <x:row r="4" ht="18" customHeight="1">
      <x:c r="A4" s="24" t="str">
        <x:v>EEZ_598</x:v>
      </x:c>
      <x:c r="B4" s="24" t="str">
        <x:v>Papua New Guinea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13307.535340951</x:v>
      </x:c>
      <x:c r="J4" s="31" t="n">
        <x:v>6597.0299696095</x:v>
      </x:c>
      <x:c r="K4" s="31" t="n">
        <x:v>6710.5053713415</x:v>
      </x:c>
      <x:c r="L4" s="31" t="n">
        <x:v>1331.7992227275</x:v>
      </x:c>
      <x:c r="M4" s="31" t="n">
        <x:v>11975.7361182235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2535698.584508977</x:v>
      </x:c>
    </x:row>
    <x:row r="5" ht="18" customHeight="1">
      <x:c r="A5" s="24" t="str">
        <x:v>EEZ_598</x:v>
      </x:c>
      <x:c r="B5" s="24" t="str">
        <x:v>Papua New Guinea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11683.8056792341</x:v>
      </x:c>
      <x:c r="J5" s="31" t="n">
        <x:v>11447.0480324147</x:v>
      </x:c>
      <x:c r="K5" s="31" t="n">
        <x:v>236.7576468194</x:v>
      </x:c>
      <x:c r="L5" s="31" t="n">
        <x:v>11447.0480324147</x:v>
      </x:c>
      <x:c r="M5" s="31" t="n">
        <x:v>236.7576468194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36106411.3249135</x:v>
      </x:c>
    </x:row>
    <x:row r="6" ht="18" customHeight="1">
      <x:c r="A6" s="24" t="str">
        <x:v>EEZ_598</x:v>
      </x:c>
      <x:c r="B6" s="24" t="str">
        <x:v>Papua New Guinea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6024.5040110685</x:v>
      </x:c>
      <x:c r="J6" s="31" t="n">
        <x:v>3146.9390858206</x:v>
      </x:c>
      <x:c r="K6" s="31" t="n">
        <x:v>2877.5649252478997</x:v>
      </x:c>
      <x:c r="L6" s="31" t="n">
        <x:v>3146.9390858206</x:v>
      </x:c>
      <x:c r="M6" s="31" t="n">
        <x:v>2877.5649252478997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13487184.47896879</x:v>
      </x:c>
    </x:row>
    <x:row r="7" ht="18" customHeight="1">
      <x:c r="A7" s="24" t="str">
        <x:v>EEZ_598</x:v>
      </x:c>
      <x:c r="B7" s="24" t="str">
        <x:v>Papua New Guinea</x:v>
      </x:c>
      <x:c r="C7" s="24" t="str">
        <x:v>EEZ</x:v>
      </x:c>
      <x:c r="D7" s="30" t="n">
        <x:v>2019</x:v>
      </x:c>
      <x:c r="E7" s="24" t="str">
        <x:v>Lethrinidae</x:v>
      </x:c>
      <x:c r="F7" s="24" t="str">
        <x:v>Emperors, scavengers</x:v>
      </x:c>
      <x:c r="G7" s="24" t="str">
        <x:v>Medium reef assoc. fish (30 - 89 cm)</x:v>
      </x:c>
      <x:c r="H7" s="24" t="str">
        <x:v>Perch-likes</x:v>
      </x:c>
      <x:c r="I7" s="31" t="n">
        <x:v>5555.9599038060005</x:v>
      </x:c>
      <x:c r="J7" s="31" t="n">
        <x:v>5555.9599038060005</x:v>
      </x:c>
      <x:c r="K7" s="31" t="n">
        <x:v>0</x:v>
      </x:c>
      <x:c r="L7" s="31" t="n">
        <x:v>663.414670706</x:v>
      </x:c>
      <x:c r="M7" s="31" t="n">
        <x:v>4892.545233100001</x:v>
      </x:c>
      <x:c r="N7" s="24" t="str">
        <x:v>lethrinidae</x:v>
      </x:c>
      <x:c r="O7" s="32" t="n">
        <x:v>3.59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Lethrinidae</x:v>
      </x:c>
      <x:c r="T7" s="32" t="n">
        <x:f>IF(O7="","",(1/'Metadata'!$B$5)^(O7-1))</x:f>
        <x:v>389.04514499428046</x:v>
      </x:c>
      <x:c r="U7" s="31" t="n">
        <x:f>IF(T7="","",I7*T7)</x:f>
        <x:v>2161519.226358614</x:v>
      </x:c>
    </x:row>
    <x:row r="8" ht="18" customHeight="1">
      <x:c r="A8" s="24" t="str">
        <x:v>EEZ_598</x:v>
      </x:c>
      <x:c r="B8" s="24" t="str">
        <x:v>Papua New Guinea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5495.5232007772</x:v>
      </x:c>
      <x:c r="J8" s="31" t="n">
        <x:v>4347.015885443</x:v>
      </x:c>
      <x:c r="K8" s="31" t="n">
        <x:v>1148.5073153342</x:v>
      </x:c>
      <x:c r="L8" s="31" t="n">
        <x:v>374.25032049</x:v>
      </x:c>
      <x:c r="M8" s="31" t="n">
        <x:v>5121.2728802872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6166078.44731661</x:v>
      </x:c>
    </x:row>
    <x:row r="9" ht="18" customHeight="1">
      <x:c r="A9" s="24" t="str">
        <x:v>EEZ_598</x:v>
      </x:c>
      <x:c r="B9" s="24" t="str">
        <x:v>Papua New Guinea</x:v>
      </x:c>
      <x:c r="C9" s="24" t="str">
        <x:v>EEZ</x:v>
      </x:c>
      <x:c r="D9" s="30" t="n">
        <x:v>2019</x:v>
      </x:c>
      <x:c r="E9" s="24" t="str">
        <x:v>Scombridae</x:v>
      </x:c>
      <x:c r="F9" s="24" t="str">
        <x:v>Mackerels, tunas, bonitos</x:v>
      </x:c>
      <x:c r="G9" s="24" t="str">
        <x:v>Medium pelagics (30 - 89 cm)</x:v>
      </x:c>
      <x:c r="H9" s="24" t="str">
        <x:v>Perch-likes</x:v>
      </x:c>
      <x:c r="I9" s="31" t="n">
        <x:v>5316.6485035771</x:v>
      </x:c>
      <x:c r="J9" s="31" t="n">
        <x:v>1852.3090564592999</x:v>
      </x:c>
      <x:c r="K9" s="31" t="n">
        <x:v>3464.3394471178</x:v>
      </x:c>
      <x:c r="L9" s="31" t="n">
        <x:v>222.24697525530001</x:v>
      </x:c>
      <x:c r="M9" s="31" t="n">
        <x:v>5094.4015283218005</x:v>
      </x:c>
      <x:c r="N9" s="24" t="str">
        <x:v>scombridae</x:v>
      </x:c>
      <x:c r="O9" s="32" t="n">
        <x:v>4.26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Scombridae</x:v>
      </x:c>
      <x:c r="T9" s="32" t="n">
        <x:f>IF(O9="","",(1/'Metadata'!$B$5)^(O9-1))</x:f>
        <x:v>1819.7008586099826</x:v>
      </x:c>
      <x:c r="U9" s="31" t="n">
        <x:f>IF(T9="","",I9*T9)</x:f>
        <x:v>9674709.846886728</x:v>
      </x:c>
    </x:row>
    <x:row r="10" ht="18" customHeight="1">
      <x:c r="A10" s="24" t="str">
        <x:v>EEZ_598</x:v>
      </x:c>
      <x:c r="B10" s="24" t="str">
        <x:v>Papua New Guinea</x:v>
      </x:c>
      <x:c r="C10" s="24" t="str">
        <x:v>EEZ</x:v>
      </x:c>
      <x:c r="D10" s="30" t="n">
        <x:v>2019</x:v>
      </x:c>
      <x:c r="E10" s="24" t="str">
        <x:v>Mugilidae</x:v>
      </x:c>
      <x:c r="F10" s="24" t="str">
        <x:v>Mullets, grey mullets</x:v>
      </x:c>
      <x:c r="G10" s="24" t="str">
        <x:v>Medium reef assoc. fish (30 - 89 cm)</x:v>
      </x:c>
      <x:c r="H10" s="24" t="str">
        <x:v>Perch-likes</x:v>
      </x:c>
      <x:c r="I10" s="31" t="n">
        <x:v>3560.207672004</x:v>
      </x:c>
      <x:c r="J10" s="31" t="n">
        <x:v>3560.207672004</x:v>
      </x:c>
      <x:c r="K10" s="31" t="n">
        <x:v>0</x:v>
      </x:c>
      <x:c r="L10" s="31" t="n">
        <x:v>425.10997946</x:v>
      </x:c>
      <x:c r="M10" s="31" t="n">
        <x:v>3135.097692544</x:v>
      </x:c>
      <x:c r="N10" s="24" t="str">
        <x:v>mugilidae</x:v>
      </x:c>
      <x:c r="O10" s="32" t="n">
        <x:v>2.53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Mugilidae</x:v>
      </x:c>
      <x:c r="T10" s="32" t="n">
        <x:f>IF(O10="","",(1/'Metadata'!$B$5)^(O10-1))</x:f>
        <x:v>33.88441561392024</x:v>
      </x:c>
      <x:c r="U10" s="31" t="n">
        <x:f>IF(T10="","",I10*T10)</x:f>
        <x:v>120635.55643005096</x:v>
      </x:c>
    </x:row>
    <x:row r="11" ht="18" customHeight="1">
      <x:c r="A11" s="24" t="str">
        <x:v>EEZ_598</x:v>
      </x:c>
      <x:c r="B11" s="24" t="str">
        <x:v>Papua New Guinea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3555.4924951024</x:v>
      </x:c>
      <x:c r="J11" s="31" t="n">
        <x:v>292.7321021</x:v>
      </x:c>
      <x:c r="K11" s="31" t="n">
        <x:v>3262.7603930024</x:v>
      </x:c>
      <x:c r="L11" s="31" t="n">
        <x:v>0</x:v>
      </x:c>
      <x:c r="M11" s="31" t="n">
        <x:v>3555.4924951024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8334887.959672776</x:v>
      </x:c>
    </x:row>
    <x:row r="12" ht="18" customHeight="1">
      <x:c r="A12" s="24" t="str">
        <x:v>EEZ_598</x:v>
      </x:c>
      <x:c r="B12" s="24" t="str">
        <x:v>Papua New Guinea</x:v>
      </x:c>
      <x:c r="C12" s="24" t="str">
        <x:v>EEZ</x:v>
      </x:c>
      <x:c r="D12" s="30" t="n">
        <x:v>2019</x:v>
      </x:c>
      <x:c r="E12" s="24" t="str">
        <x:v>Gastropoda</x:v>
      </x:c>
      <x:c r="F12" s="24" t="str">
        <x:v>Sea snails</x:v>
      </x:c>
      <x:c r="G12" s="24" t="str">
        <x:v>Other demersal invertebrates</x:v>
      </x:c>
      <x:c r="H12" s="24" t="str">
        <x:v>Molluscs</x:v>
      </x:c>
      <x:c r="I12" s="31" t="n">
        <x:v>2999.0187410450003</x:v>
      </x:c>
      <x:c r="J12" s="31" t="n">
        <x:v>2999.0187410450003</x:v>
      </x:c>
      <x:c r="K12" s="31" t="n">
        <x:v>0</x:v>
      </x:c>
      <x:c r="L12" s="31" t="n">
        <x:v>358.10068190000004</x:v>
      </x:c>
      <x:c r="M12" s="31" t="n">
        <x:v>2640.918059145</x:v>
      </x:c>
      <x:c r="N12" s="24" t="str">
        <x:v>gastropoda</x:v>
      </x:c>
      <x:c r="O12" s="32" t="n">
        <x:v>3.06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Gastropoda</x:v>
      </x:c>
      <x:c r="T12" s="32" t="n">
        <x:f>IF(O12="","",(1/'Metadata'!$B$5)^(O12-1))</x:f>
        <x:v>114.81536214968828</x:v>
      </x:c>
      <x:c r="U12" s="31" t="n">
        <x:f>IF(T12="","",I12*T12)</x:f>
        <x:v>344333.42284678394</x:v>
      </x:c>
    </x:row>
    <x:row r="13" ht="18" customHeight="1">
      <x:c r="A13" s="24" t="str">
        <x:v>EEZ_598</x:v>
      </x:c>
      <x:c r="B13" s="24" t="str">
        <x:v>Papua New Guinea</x:v>
      </x:c>
      <x:c r="C13" s="24" t="str">
        <x:v>EEZ</x:v>
      </x:c>
      <x:c r="D13" s="30" t="n">
        <x:v>2019</x:v>
      </x:c>
      <x:c r="E13" s="24" t="str">
        <x:v>Lutjanidae</x:v>
      </x:c>
      <x:c r="F13" s="24" t="str">
        <x:v>Snappers</x:v>
      </x:c>
      <x:c r="G13" s="24" t="str">
        <x:v>Medium reef assoc. fish (30 - 89 cm)</x:v>
      </x:c>
      <x:c r="H13" s="24" t="str">
        <x:v>Perch-likes</x:v>
      </x:c>
      <x:c r="I13" s="31" t="n">
        <x:v>2621.946633521</x:v>
      </x:c>
      <x:c r="J13" s="31" t="n">
        <x:v>2563.670987841</x:v>
      </x:c>
      <x:c r="K13" s="31" t="n">
        <x:v>58.27564568</x:v>
      </x:c>
      <x:c r="L13" s="31" t="n">
        <x:v>306.11756983</x:v>
      </x:c>
      <x:c r="M13" s="31" t="n">
        <x:v>2315.829063691</x:v>
      </x:c>
      <x:c r="N13" s="24" t="str">
        <x:v>lutjanidae</x:v>
      </x:c>
      <x:c r="O13" s="32" t="n">
        <x:v>4.02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Lutjanidae</x:v>
      </x:c>
      <x:c r="T13" s="32" t="n">
        <x:f>IF(O13="","",(1/'Metadata'!$B$5)^(O13-1))</x:f>
        <x:v>1047.1285480508984</x:v>
      </x:c>
      <x:c r="U13" s="31" t="n">
        <x:f>IF(T13="","",I13*T13)</x:f>
        <x:v>2745515.171425786</x:v>
      </x:c>
    </x:row>
    <x:row r="14" ht="18" customHeight="1">
      <x:c r="A14" s="24" t="str">
        <x:v>EEZ_598</x:v>
      </x:c>
      <x:c r="B14" s="24" t="str">
        <x:v>Papua New Guinea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2312.5845915906</x:v>
      </x:c>
      <x:c r="J14" s="31" t="n">
        <x:v>2311.9393454984</x:v>
      </x:c>
      <x:c r="K14" s="31" t="n">
        <x:v>0.6452460922</x:v>
      </x:c>
      <x:c r="L14" s="31" t="n">
        <x:v>2311.9393454984</x:v>
      </x:c>
      <x:c r="M14" s="31" t="n">
        <x:v>0.6452460922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4614212.885778421</x:v>
      </x:c>
    </x:row>
    <x:row r="15" ht="18" customHeight="1">
      <x:c r="A15" s="24" t="str">
        <x:v>EEZ_598</x:v>
      </x:c>
      <x:c r="B15" s="24" t="str">
        <x:v>Papua New Guinea</x:v>
      </x:c>
      <x:c r="C15" s="24" t="str">
        <x:v>EEZ</x:v>
      </x:c>
      <x:c r="D15" s="30" t="n">
        <x:v>2019</x:v>
      </x:c>
      <x:c r="E15" s="24" t="str">
        <x:v>Scaridae</x:v>
      </x:c>
      <x:c r="F15" s="24" t="str">
        <x:v>Parrotfishes</x:v>
      </x:c>
      <x:c r="G15" s="24" t="str">
        <x:v>Medium reef assoc. fish (30 - 89 cm)</x:v>
      </x:c>
      <x:c r="H15" s="24" t="str">
        <x:v>Perch-likes</x:v>
      </x:c>
      <x:c r="I15" s="31" t="n">
        <x:v>1851.093680714</x:v>
      </x:c>
      <x:c r="J15" s="31" t="n">
        <x:v>1851.093680714</x:v>
      </x:c>
      <x:c r="K15" s="31" t="n">
        <x:v>0</x:v>
      </x:c>
      <x:c r="L15" s="31" t="n">
        <x:v>221.03159951</x:v>
      </x:c>
      <x:c r="M15" s="31" t="n">
        <x:v>1630.062081204</x:v>
      </x:c>
      <x:c r="N15" s="24" t="str">
        <x:v>scaridae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Scaridae</x:v>
      </x:c>
      <x:c r="T15" s="32" t="n">
        <x:f>IF(O15="","",(1/'Metadata'!$B$5)^(O15-1))</x:f>
        <x:v>10</x:v>
      </x:c>
      <x:c r="U15" s="31" t="n">
        <x:f>IF(T15="","",I15*T15)</x:f>
        <x:v>18510.93680714</x:v>
      </x:c>
    </x:row>
    <x:row r="16" ht="18" customHeight="1">
      <x:c r="A16" s="24" t="str">
        <x:v>EEZ_598</x:v>
      </x:c>
      <x:c r="B16" s="24" t="str">
        <x:v>Papua New Guinea</x:v>
      </x:c>
      <x:c r="C16" s="24" t="str">
        <x:v>EEZ</x:v>
      </x:c>
      <x:c r="D16" s="30" t="n">
        <x:v>2019</x:v>
      </x:c>
      <x:c r="E16" s="24" t="str">
        <x:v>Serranidae</x:v>
      </x:c>
      <x:c r="F16" s="24" t="str">
        <x:v>Basses, groupers, hinds</x:v>
      </x:c>
      <x:c r="G16" s="24" t="str">
        <x:v>Medium reef assoc. fish (30 - 89 cm)</x:v>
      </x:c>
      <x:c r="H16" s="24" t="str">
        <x:v>Perch-likes</x:v>
      </x:c>
      <x:c r="I16" s="31" t="n">
        <x:v>1709.1139911980001</x:v>
      </x:c>
      <x:c r="J16" s="31" t="n">
        <x:v>1709.1139911980001</x:v>
      </x:c>
      <x:c r="K16" s="31" t="n">
        <x:v>0</x:v>
      </x:c>
      <x:c r="L16" s="31" t="n">
        <x:v>204.078379857</x:v>
      </x:c>
      <x:c r="M16" s="31" t="n">
        <x:v>1505.035611341</x:v>
      </x:c>
      <x:c r="N16" s="24" t="str">
        <x:v>serranidae</x:v>
      </x:c>
      <x:c r="O16" s="32" t="n">
        <x:v>3.98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Serranidae</x:v>
      </x:c>
      <x:c r="T16" s="32" t="n">
        <x:f>IF(O16="","",(1/'Metadata'!$B$5)^(O16-1))</x:f>
        <x:v>954.992586021436</x:v>
      </x:c>
      <x:c r="U16" s="31" t="n">
        <x:f>IF(T16="","",I16*T16)</x:f>
        <x:v>1632191.1902595959</x:v>
      </x:c>
    </x:row>
    <x:row r="17" ht="18" customHeight="1">
      <x:c r="A17" s="24" t="str">
        <x:v>EEZ_598</x:v>
      </x:c>
      <x:c r="B17" s="24" t="str">
        <x:v>Papua New Guinea</x:v>
      </x:c>
      <x:c r="C17" s="24" t="str">
        <x:v>EEZ</x:v>
      </x:c>
      <x:c r="D17" s="30" t="n">
        <x:v>2019</x:v>
      </x:c>
      <x:c r="E17" s="24" t="str">
        <x:v>Acanthuridae</x:v>
      </x:c>
      <x:c r="F17" s="24" t="str">
        <x:v>Surgeons, tangs, unicornfishes</x:v>
      </x:c>
      <x:c r="G17" s="24" t="str">
        <x:v>Small reef assoc. fish (&lt;30 cm)</x:v>
      </x:c>
      <x:c r="H17" s="24" t="str">
        <x:v>Perch-likes</x:v>
      </x:c>
      <x:c r="I17" s="31" t="n">
        <x:v>1709.11399119</x:v>
      </x:c>
      <x:c r="J17" s="31" t="n">
        <x:v>1709.11399119</x:v>
      </x:c>
      <x:c r="K17" s="31" t="n">
        <x:v>0</x:v>
      </x:c>
      <x:c r="L17" s="31" t="n">
        <x:v>204.07837985</x:v>
      </x:c>
      <x:c r="M17" s="31" t="n">
        <x:v>1505.03561134</x:v>
      </x:c>
      <x:c r="N17" s="24" t="str">
        <x:v>acanthuridae</x:v>
      </x:c>
      <x:c r="O17" s="32" t="n">
        <x:v>2.28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Acanthuridae</x:v>
      </x:c>
      <x:c r="T17" s="32" t="n">
        <x:f>IF(O17="","",(1/'Metadata'!$B$5)^(O17-1))</x:f>
        <x:v>19.054607179632463</x:v>
      </x:c>
      <x:c r="U17" s="31" t="n">
        <x:f>IF(T17="","",I17*T17)</x:f>
        <x:v>32566.49572733927</x:v>
      </x:c>
    </x:row>
    <x:row r="18" ht="18" customHeight="1">
      <x:c r="A18" s="24" t="str">
        <x:v>EEZ_598</x:v>
      </x:c>
      <x:c r="B18" s="24" t="str">
        <x:v>Papua New Guinea</x:v>
      </x:c>
      <x:c r="C18" s="24" t="str">
        <x:v>EEZ</x:v>
      </x:c>
      <x:c r="D18" s="30" t="n">
        <x:v>2019</x:v>
      </x:c>
      <x:c r="E18" s="24" t="str">
        <x:v>Bivalvia</x:v>
      </x:c>
      <x:c r="F18" s="24" t="str">
        <x:v>Clams</x:v>
      </x:c>
      <x:c r="G18" s="24" t="str">
        <x:v>Other demersal invertebrates</x:v>
      </x:c>
      <x:c r="H18" s="24" t="str">
        <x:v>Molluscs</x:v>
      </x:c>
      <x:c r="I18" s="31" t="n">
        <x:v>1666.121522502</x:v>
      </x:c>
      <x:c r="J18" s="31" t="n">
        <x:v>1666.121522502</x:v>
      </x:c>
      <x:c r="K18" s="31" t="n">
        <x:v>0</x:v>
      </x:c>
      <x:c r="L18" s="31" t="n">
        <x:v>198.94482331</x:v>
      </x:c>
      <x:c r="M18" s="31" t="n">
        <x:v>1467.176699192</x:v>
      </x:c>
      <x:c r="N18" s="24" t="str">
        <x:v>bivalvia</x:v>
      </x:c>
      <x:c r="O18" s="32" t="n">
        <x:v>2.23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Bivalvia</x:v>
      </x:c>
      <x:c r="T18" s="32" t="n">
        <x:f>IF(O18="","",(1/'Metadata'!$B$5)^(O18-1))</x:f>
        <x:v>16.982436524617444</x:v>
      </x:c>
      <x:c r="U18" s="31" t="n">
        <x:f>IF(T18="","",I18*T18)</x:f>
        <x:v>28294.802998189192</x:v>
      </x:c>
    </x:row>
    <x:row r="19" ht="18" customHeight="1">
      <x:c r="A19" s="24" t="str">
        <x:v>EEZ_598</x:v>
      </x:c>
      <x:c r="B19" s="24" t="str">
        <x:v>Papua New Guinea</x:v>
      </x:c>
      <x:c r="C19" s="24" t="str">
        <x:v>EEZ</x:v>
      </x:c>
      <x:c r="D19" s="30" t="n">
        <x:v>2019</x:v>
      </x:c>
      <x:c r="E19" s="24" t="str">
        <x:v>Elasmobranchii</x:v>
      </x:c>
      <x:c r="F19" s="24" t="str">
        <x:v>Sharks, rays, skates</x:v>
      </x:c>
      <x:c r="G19" s="24" t="str">
        <x:v>Large sharks (&gt;=90 cm)</x:v>
      </x:c>
      <x:c r="H19" s="24" t="str">
        <x:v>Sharks &amp; rays</x:v>
      </x:c>
      <x:c r="I19" s="31" t="n">
        <x:v>1629.67756992</x:v>
      </x:c>
      <x:c r="J19" s="31" t="n">
        <x:v>125.4566152</x:v>
      </x:c>
      <x:c r="K19" s="31" t="n">
        <x:v>1504.22095472</x:v>
      </x:c>
      <x:c r="L19" s="31" t="n">
        <x:v>0</x:v>
      </x:c>
      <x:c r="M19" s="31" t="n">
        <x:v>1629.67756992</x:v>
      </x:c>
      <x:c r="N19" s="24" t="str">
        <x:v>elasmobranchii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Elasmobranchii</x:v>
      </x:c>
      <x:c r="T19" s="32" t="n">
        <x:f>IF(O19="","",(1/'Metadata'!$B$5)^(O19-1))</x:f>
        <x:v>1122.018454301963</x:v>
      </x:c>
      <x:c r="U19" s="31" t="n">
        <x:f>IF(T19="","",I19*T19)</x:f>
        <x:v>1828528.3080122175</x:v>
      </x:c>
    </x:row>
    <x:row r="20" ht="18" customHeight="1">
      <x:c r="A20" s="24" t="str">
        <x:v>EEZ_598</x:v>
      </x:c>
      <x:c r="B20" s="24" t="str">
        <x:v>Papua New Guinea</x:v>
      </x:c>
      <x:c r="C20" s="24" t="str">
        <x:v>EEZ</x:v>
      </x:c>
      <x:c r="D20" s="30" t="n">
        <x:v>2019</x:v>
      </x:c>
      <x:c r="E20" s="24" t="str">
        <x:v>Thunnus orientalis</x:v>
      </x:c>
      <x:c r="F20" s="24" t="str">
        <x:v>Pacific bluefin tuna</x:v>
      </x:c>
      <x:c r="G20" s="24" t="str">
        <x:v>Large pelagics (&gt;=90 cm)</x:v>
      </x:c>
      <x:c r="H20" s="24" t="str">
        <x:v>Tuna &amp; billfishes</x:v>
      </x:c>
      <x:c r="I20" s="31" t="n">
        <x:v>1522.0204129304</x:v>
      </x:c>
      <x:c r="J20" s="31" t="n">
        <x:v>1519.3690897799</x:v>
      </x:c>
      <x:c r="K20" s="31" t="n">
        <x:v>2.6513231505</x:v>
      </x:c>
      <x:c r="L20" s="31" t="n">
        <x:v>1519.3690897799</x:v>
      </x:c>
      <x:c r="M20" s="31" t="n">
        <x:v>2.6513231505</x:v>
      </x:c>
      <x:c r="N20" s="24" t="str">
        <x:v>thunnus orientalis</x:v>
      </x:c>
      <x:c r="O20" s="32" t="n">
        <x:v>4.05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Thunnus orientalis</x:v>
      </x:c>
      <x:c r="T20" s="32" t="n">
        <x:f>IF(O20="","",(1/'Metadata'!$B$5)^(O20-1))</x:f>
        <x:v>1122.018454301963</x:v>
      </x:c>
      <x:c r="U20" s="31" t="n">
        <x:f>IF(T20="","",I20*T20)</x:f>
        <x:v>1707734.9911322028</x:v>
      </x:c>
    </x:row>
    <x:row r="21" ht="18" customHeight="1">
      <x:c r="A21" s="24" t="str">
        <x:v>EEZ_598</x:v>
      </x:c>
      <x:c r="B21" s="24" t="str">
        <x:v>Papua New Guinea</x:v>
      </x:c>
      <x:c r="C21" s="24" t="str">
        <x:v>EEZ</x:v>
      </x:c>
      <x:c r="D21" s="30" t="n">
        <x:v>2019</x:v>
      </x:c>
      <x:c r="E21" s="24" t="str">
        <x:v>Mullidae</x:v>
      </x:c>
      <x:c r="F21" s="24" t="str">
        <x:v>Goatfishes</x:v>
      </x:c>
      <x:c r="G21" s="24" t="str">
        <x:v>Medium reef assoc. fish (30 - 89 cm)</x:v>
      </x:c>
      <x:c r="H21" s="24" t="str">
        <x:v>Perch-likes</x:v>
      </x:c>
      <x:c r="I21" s="31" t="n">
        <x:v>1454.262467455</x:v>
      </x:c>
      <x:c r="J21" s="31" t="n">
        <x:v>1422.475751635</x:v>
      </x:c>
      <x:c r="K21" s="31" t="n">
        <x:v>31.78671582</x:v>
      </x:c>
      <x:c r="L21" s="31" t="n">
        <x:v>169.85206850999998</x:v>
      </x:c>
      <x:c r="M21" s="31" t="n">
        <x:v>1284.4103989449998</x:v>
      </x:c>
      <x:c r="N21" s="24" t="str">
        <x:v>mullidae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Mullidae</x:v>
      </x:c>
      <x:c r="T21" s="32" t="n">
        <x:f>IF(O21="","",(1/'Metadata'!$B$5)^(O21-1))</x:f>
        <x:v>288.40315031266056</x:v>
      </x:c>
      <x:c r="U21" s="31" t="n">
        <x:f>IF(T21="","",I21*T21)</x:f>
        <x:v>419413.876995485</x:v>
      </x:c>
    </x:row>
    <x:row r="22" ht="18" customHeight="1">
      <x:c r="A22" s="24" t="str">
        <x:v>EEZ_598</x:v>
      </x:c>
      <x:c r="B22" s="24" t="str">
        <x:v>Papua New Guinea</x:v>
      </x:c>
      <x:c r="C22" s="24" t="str">
        <x:v>EEZ</x:v>
      </x:c>
      <x:c r="D22" s="30" t="n">
        <x:v>2019</x:v>
      </x:c>
      <x:c r="E22" s="24" t="str">
        <x:v>Auxis</x:v>
      </x:c>
      <x:c r="F22" s="24" t="str">
        <x:v>Bullet and frigate tunas</x:v>
      </x:c>
      <x:c r="G22" s="24" t="str">
        <x:v>Medium pelagics (30 - 89 cm)</x:v>
      </x:c>
      <x:c r="H22" s="24" t="str">
        <x:v>Tuna &amp; billfishes</x:v>
      </x:c>
      <x:c r="I22" s="31" t="n">
        <x:v>1212.74728</x:v>
      </x:c>
      <x:c r="J22" s="31" t="n">
        <x:v>1212.74728</x:v>
      </x:c>
      <x:c r="K22" s="31" t="n">
        <x:v>0</x:v>
      </x:c>
      <x:c r="L22" s="31" t="n">
        <x:v>0</x:v>
      </x:c>
      <x:c r="M22" s="31" t="n">
        <x:v>1212.74728</x:v>
      </x:c>
      <x:c r="N22" s="24" t="str">
        <x:v>auxis</x:v>
      </x:c>
      <x:c r="O22" s="32" t="n">
        <x:v>4.24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Auxis</x:v>
      </x:c>
      <x:c r="T22" s="32" t="n">
        <x:f>IF(O22="","",(1/'Metadata'!$B$5)^(O22-1))</x:f>
        <x:v>1737.8008287493763</x:v>
      </x:c>
      <x:c r="U22" s="31" t="n">
        <x:f>IF(T22="","",I22*T22)</x:f>
        <x:v>2107513.2282475517</x:v>
      </x:c>
    </x:row>
    <x:row r="23" ht="18" customHeight="1">
      <x:c r="A23" s="24" t="str">
        <x:v>EEZ_598</x:v>
      </x:c>
      <x:c r="B23" s="24" t="str">
        <x:v>Papua New Guinea</x:v>
      </x:c>
      <x:c r="C23" s="24" t="str">
        <x:v>EEZ</x:v>
      </x:c>
      <x:c r="D23" s="30" t="n">
        <x:v>2019</x:v>
      </x:c>
      <x:c r="E23" s="24" t="str">
        <x:v>Scomberoides</x:v>
      </x:c>
      <x:c r="F23" s="24" t="str">
        <x:v>Queenfishes</x:v>
      </x:c>
      <x:c r="G23" s="24" t="str">
        <x:v>Medium pelagics (30 - 89 cm)</x:v>
      </x:c>
      <x:c r="H23" s="24" t="str">
        <x:v>Perch-likes</x:v>
      </x:c>
      <x:c r="I23" s="31" t="n">
        <x:v>1212.74728</x:v>
      </x:c>
      <x:c r="J23" s="31" t="n">
        <x:v>1212.74728</x:v>
      </x:c>
      <x:c r="K23" s="31" t="n">
        <x:v>0</x:v>
      </x:c>
      <x:c r="L23" s="31" t="n">
        <x:v>0</x:v>
      </x:c>
      <x:c r="M23" s="31" t="n">
        <x:v>1212.74728</x:v>
      </x:c>
      <x:c r="N23" s="24" t="str">
        <x:v>scomberoides</x:v>
      </x:c>
      <x:c r="O23" s="32" t="n">
        <x:v>4.47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Scomberoides</x:v>
      </x:c>
      <x:c r="T23" s="32" t="n">
        <x:f>IF(O23="","",(1/'Metadata'!$B$5)^(O23-1))</x:f>
        <x:v>2951.209226666384</x:v>
      </x:c>
      <x:c r="U23" s="31" t="n">
        <x:f>IF(T23="","",I23*T23)</x:f>
        <x:v>3579070.962350561</x:v>
      </x:c>
    </x:row>
    <x:row r="24" ht="18" customHeight="1">
      <x:c r="A24" s="24" t="str">
        <x:v>EEZ_598</x:v>
      </x:c>
      <x:c r="B24" s="24" t="str">
        <x:v>Papua New Guinea</x:v>
      </x:c>
      <x:c r="C24" s="24" t="str">
        <x:v>EEZ</x:v>
      </x:c>
      <x:c r="D24" s="30" t="n">
        <x:v>2019</x:v>
      </x:c>
      <x:c r="E24" s="24" t="str">
        <x:v>Miscellaneous marine crustaceans</x:v>
      </x:c>
      <x:c r="F24" s="24" t="str">
        <x:v>Marine crabs, shrimps, lobsters nei</x:v>
      </x:c>
      <x:c r="G24" s="24" t="str">
        <x:v>Shrimps</x:v>
      </x:c>
      <x:c r="H24" s="24" t="str">
        <x:v>Crustaceans</x:v>
      </x:c>
      <x:c r="I24" s="31" t="n">
        <x:v>1147.136953337</x:v>
      </x:c>
      <x:c r="J24" s="31" t="n">
        <x:v>1147.136953337</x:v>
      </x:c>
      <x:c r="K24" s="31" t="n">
        <x:v>0</x:v>
      </x:c>
      <x:c r="L24" s="31" t="n">
        <x:v>72.25142597</x:v>
      </x:c>
      <x:c r="M24" s="31" t="n">
        <x:v>1074.8855273670001</x:v>
      </x:c>
      <x:c r="N24" s="24" t="str">
        <x:v>miscellaneous marine crustaceans</x:v>
      </x:c>
      <x:c r="O24" s="32" t="n">
        <x:v>2.7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Miscellaneous marine crustaceans</x:v>
      </x:c>
      <x:c r="T24" s="32" t="n">
        <x:f>IF(O24="","",(1/'Metadata'!$B$5)^(O24-1))</x:f>
        <x:v>50.11872336272725</x:v>
      </x:c>
      <x:c r="U24" s="31" t="n">
        <x:f>IF(T24="","",I24*T24)</x:f>
        <x:v>57493.03962345886</x:v>
      </x:c>
    </x:row>
    <x:row r="25" ht="18" customHeight="1">
      <x:c r="A25" s="24" t="str">
        <x:v>EEZ_598</x:v>
      </x:c>
      <x:c r="B25" s="24" t="str">
        <x:v>Papua New Guinea</x:v>
      </x:c>
      <x:c r="C25" s="24" t="str">
        <x:v>EEZ</x:v>
      </x:c>
      <x:c r="D25" s="30" t="n">
        <x:v>2019</x:v>
      </x:c>
      <x:c r="E25" s="24" t="str">
        <x:v>Marine pelagic fishes not identified</x:v>
      </x:c>
      <x:c r="F25" s="24" t="str">
        <x:v>Pelagic fishes</x:v>
      </x:c>
      <x:c r="G25" s="24" t="str">
        <x:v>Medium pelagics (30 - 89 cm)</x:v>
      </x:c>
      <x:c r="H25" s="24" t="str">
        <x:v>Other fishes &amp; inverts</x:v>
      </x:c>
      <x:c r="I25" s="31" t="n">
        <x:v>927.0146738311</x:v>
      </x:c>
      <x:c r="J25" s="31" t="n">
        <x:v>926.1711778098</x:v>
      </x:c>
      <x:c r="K25" s="31" t="n">
        <x:v>0.8434960213</x:v>
      </x:c>
      <x:c r="L25" s="31" t="n">
        <x:v>926.1711778098</x:v>
      </x:c>
      <x:c r="M25" s="31" t="n">
        <x:v>0.8434960213</x:v>
      </x:c>
      <x:c r="N25" s="24" t="str">
        <x:v>marine pelagic fishes not identified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pelagic fishes not identified</x:v>
      </x:c>
      <x:c r="T25" s="32" t="n">
        <x:f>IF(O25="","",(1/'Metadata'!$B$5)^(O25-1))</x:f>
        <x:v>223.872113856834</x:v>
      </x:c>
      <x:c r="U25" s="31" t="n">
        <x:f>IF(T25="","",I25*T25)</x:f>
        <x:v>207532.73460687188</x:v>
      </x:c>
    </x:row>
    <x:row r="26" ht="18" customHeight="1">
      <x:c r="A26" s="24" t="str">
        <x:v>EEZ_598</x:v>
      </x:c>
      <x:c r="B26" s="24" t="str">
        <x:v>Papua New Guinea</x:v>
      </x:c>
      <x:c r="C26" s="24" t="str">
        <x:v>EEZ</x:v>
      </x:c>
      <x:c r="D26" s="30" t="n">
        <x:v>2019</x:v>
      </x:c>
      <x:c r="E26" s="24" t="str">
        <x:v>Istiophoridae</x:v>
      </x:c>
      <x:c r="F26" s="24" t="str">
        <x:v>Billfishes</x:v>
      </x:c>
      <x:c r="G26" s="24" t="str">
        <x:v>Large pelagics (&gt;=90 cm)</x:v>
      </x:c>
      <x:c r="H26" s="24" t="str">
        <x:v>Tuna &amp; billfishes</x:v>
      </x:c>
      <x:c r="I26" s="31" t="n">
        <x:v>787.8674163775</x:v>
      </x:c>
      <x:c r="J26" s="31" t="n">
        <x:v>0</x:v>
      </x:c>
      <x:c r="K26" s="31" t="n">
        <x:v>787.8674163775</x:v>
      </x:c>
      <x:c r="L26" s="31" t="n">
        <x:v>0</x:v>
      </x:c>
      <x:c r="M26" s="31" t="n">
        <x:v>787.8674163775</x:v>
      </x:c>
      <x:c r="N26" s="24" t="str">
        <x:v>istiophoridae</x:v>
      </x:c>
      <x:c r="O26" s="32" t="n">
        <x:v>4.48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Istiophoridae</x:v>
      </x:c>
      <x:c r="T26" s="32" t="n">
        <x:f>IF(O26="","",(1/'Metadata'!$B$5)^(O26-1))</x:f>
        <x:v>3019.951720402019</x:v>
      </x:c>
      <x:c r="U26" s="31" t="n">
        <x:f>IF(T26="","",I26*T26)</x:f>
        <x:v>2379321.559537925</x:v>
      </x:c>
    </x:row>
    <x:row r="27" ht="18" customHeight="1">
      <x:c r="A27" s="24" t="str">
        <x:v>EEZ_598</x:v>
      </x:c>
      <x:c r="B27" s="24" t="str">
        <x:v>Papua New Guinea</x:v>
      </x:c>
      <x:c r="C27" s="24" t="str">
        <x:v>EEZ</x:v>
      </x:c>
      <x:c r="D27" s="30" t="n">
        <x:v>2019</x:v>
      </x:c>
      <x:c r="E27" s="24" t="str">
        <x:v>Malacostraca</x:v>
      </x:c>
      <x:c r="F27" s="24" t="str">
        <x:v>Lobsters, crabs, shrimps, krill</x:v>
      </x:c>
      <x:c r="G27" s="24" t="str">
        <x:v>Shrimps</x:v>
      </x:c>
      <x:c r="H27" s="24" t="str">
        <x:v>Crustaceans</x:v>
      </x:c>
      <x:c r="I27" s="31" t="n">
        <x:v>613.691261834</x:v>
      </x:c>
      <x:c r="J27" s="31" t="n">
        <x:v>613.691261834</x:v>
      </x:c>
      <x:c r="K27" s="31" t="n">
        <x:v>0</x:v>
      </x:c>
      <x:c r="L27" s="31" t="n">
        <x:v>75.72647212999999</x:v>
      </x:c>
      <x:c r="M27" s="31" t="n">
        <x:v>537.964789704</x:v>
      </x:c>
      <x:c r="N27" s="24" t="str">
        <x:v>malacostraca</x:v>
      </x:c>
      <x:c r="O27" s="32" t="n">
        <x:v>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Malacostraca</x:v>
      </x:c>
      <x:c r="T27" s="32" t="n">
        <x:f>IF(O27="","",(1/'Metadata'!$B$5)^(O27-1))</x:f>
        <x:v>100</x:v>
      </x:c>
      <x:c r="U27" s="31" t="n">
        <x:f>IF(T27="","",I27*T27)</x:f>
        <x:v>61369.126183399996</x:v>
      </x:c>
    </x:row>
    <x:row r="28" ht="18" customHeight="1">
      <x:c r="A28" s="24" t="str">
        <x:v>EEZ_598</x:v>
      </x:c>
      <x:c r="B28" s="24" t="str">
        <x:v>Papua New Guinea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605.8789141441999</x:v>
      </x:c>
      <x:c r="J28" s="31" t="n">
        <x:v>169.6092663513</x:v>
      </x:c>
      <x:c r="K28" s="31" t="n">
        <x:v>436.2696477929</x:v>
      </x:c>
      <x:c r="L28" s="31" t="n">
        <x:v>169.6092663513</x:v>
      </x:c>
      <x:c r="M28" s="31" t="n">
        <x:v>436.2696477929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2052985.293857279</x:v>
      </x:c>
    </x:row>
    <x:row r="29" ht="18" customHeight="1">
      <x:c r="A29" s="24" t="str">
        <x:v>EEZ_598</x:v>
      </x:c>
      <x:c r="B29" s="24" t="str">
        <x:v>Papua New Guinea</x:v>
      </x:c>
      <x:c r="C29" s="24" t="str">
        <x:v>EEZ</x:v>
      </x:c>
      <x:c r="D29" s="30" t="n">
        <x:v>2019</x:v>
      </x:c>
      <x:c r="E29" s="24" t="str">
        <x:v>Carcharhinus falciformis</x:v>
      </x:c>
      <x:c r="F29" s="24" t="str">
        <x:v>Silky shark</x:v>
      </x:c>
      <x:c r="G29" s="24" t="str">
        <x:v>Large sharks (&gt;=90 cm)</x:v>
      </x:c>
      <x:c r="H29" s="24" t="str">
        <x:v>Sharks &amp; rays</x:v>
      </x:c>
      <x:c r="I29" s="31" t="n">
        <x:v>538.7947064046</x:v>
      </x:c>
      <x:c r="J29" s="31" t="n">
        <x:v>53.5018332388</x:v>
      </x:c>
      <x:c r="K29" s="31" t="n">
        <x:v>485.2928731658</x:v>
      </x:c>
      <x:c r="L29" s="31" t="n">
        <x:v>53.5018332388</x:v>
      </x:c>
      <x:c r="M29" s="31" t="n">
        <x:v>485.2928731658</x:v>
      </x:c>
      <x:c r="N29" s="24" t="str">
        <x:v>carcharhinus falciformis</x:v>
      </x:c>
      <x:c r="O29" s="32" t="n">
        <x:v>4.51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falciformis</x:v>
      </x:c>
      <x:c r="T29" s="32" t="n">
        <x:f>IF(O29="","",(1/'Metadata'!$B$5)^(O29-1))</x:f>
        <x:v>3235.936569296281</x:v>
      </x:c>
      <x:c r="U29" s="31" t="n">
        <x:f>IF(T29="","",I29*T29)</x:f>
        <x:v>1743505.4937978983</x:v>
      </x:c>
    </x:row>
    <x:row r="30" ht="18" customHeight="1">
      <x:c r="A30" s="24" t="str">
        <x:v>EEZ_598</x:v>
      </x:c>
      <x:c r="B30" s="24" t="str">
        <x:v>Papua New Guinea</x:v>
      </x:c>
      <x:c r="C30" s="24" t="str">
        <x:v>EEZ</x:v>
      </x:c>
      <x:c r="D30" s="30" t="n">
        <x:v>2019</x:v>
      </x:c>
      <x:c r="E30" s="24" t="str">
        <x:v>Carcharhinidae</x:v>
      </x:c>
      <x:c r="F30" s="24" t="str">
        <x:v>Requiem sharks</x:v>
      </x:c>
      <x:c r="G30" s="24" t="str">
        <x:v>Large sharks (&gt;=90 cm)</x:v>
      </x:c>
      <x:c r="H30" s="24" t="str">
        <x:v>Sharks &amp; rays</x:v>
      </x:c>
      <x:c r="I30" s="31" t="n">
        <x:v>492.69384854</x:v>
      </x:c>
      <x:c r="J30" s="31" t="n">
        <x:v>492.69384854</x:v>
      </x:c>
      <x:c r="K30" s="31" t="n">
        <x:v>0</x:v>
      </x:c>
      <x:c r="L30" s="31" t="n">
        <x:v>317.6084493</x:v>
      </x:c>
      <x:c r="M30" s="31" t="n">
        <x:v>175.08539924</x:v>
      </x:c>
      <x:c r="N30" s="24" t="str">
        <x:v>carcharhinidae</x:v>
      </x:c>
      <x:c r="O30" s="32" t="n">
        <x:v>4.24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Carcharhinidae</x:v>
      </x:c>
      <x:c r="T30" s="32" t="n">
        <x:f>IF(O30="","",(1/'Metadata'!$B$5)^(O30-1))</x:f>
        <x:v>1737.8008287493763</x:v>
      </x:c>
      <x:c r="U30" s="31" t="n">
        <x:f>IF(T30="","",I30*T30)</x:f>
        <x:v>856203.7783125316</x:v>
      </x:c>
    </x:row>
    <x:row r="31" ht="18" customHeight="1">
      <x:c r="A31" s="24" t="str">
        <x:v>EEZ_598</x:v>
      </x:c>
      <x:c r="B31" s="24" t="str">
        <x:v>Papua New Guinea</x:v>
      </x:c>
      <x:c r="C31" s="24" t="str">
        <x:v>EEZ</x:v>
      </x:c>
      <x:c r="D31" s="30" t="n">
        <x:v>2019</x:v>
      </x:c>
      <x:c r="E31" s="24" t="str">
        <x:v>Penaeus merguiensis</x:v>
      </x:c>
      <x:c r="F31" s="24" t="str">
        <x:v>Banana prawn</x:v>
      </x:c>
      <x:c r="G31" s="24" t="str">
        <x:v>Shrimps</x:v>
      </x:c>
      <x:c r="H31" s="24" t="str">
        <x:v>Crustaceans</x:v>
      </x:c>
      <x:c r="I31" s="31" t="n">
        <x:v>461.9174138</x:v>
      </x:c>
      <x:c r="J31" s="31" t="n">
        <x:v>461.9174138</x:v>
      </x:c>
      <x:c r="K31" s="31" t="n">
        <x:v>0</x:v>
      </x:c>
      <x:c r="L31" s="31" t="n">
        <x:v>461.9174138</x:v>
      </x:c>
      <x:c r="M31" s="31" t="n">
        <x:v>0</x:v>
      </x:c>
      <x:c r="N31" s="24" t="str">
        <x:v>penaeus merguiensis</x:v>
      </x:c>
      <x:c r="O31" s="32" t="n">
        <x:v>3.77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merguiensis</x:v>
      </x:c>
      <x:c r="T31" s="32" t="n">
        <x:f>IF(O31="","",(1/'Metadata'!$B$5)^(O31-1))</x:f>
        <x:v>588.843655355589</x:v>
      </x:c>
      <x:c r="U31" s="31" t="n">
        <x:f>IF(T31="","",I31*T31)</x:f>
        <x:v>271997.1384143922</x:v>
      </x:c>
    </x:row>
    <x:row r="32" ht="18" customHeight="1">
      <x:c r="A32" s="24" t="str">
        <x:v>EEZ_598</x:v>
      </x:c>
      <x:c r="B32" s="24" t="str">
        <x:v>Papua New Guinea</x:v>
      </x:c>
      <x:c r="C32" s="24" t="str">
        <x:v>EEZ</x:v>
      </x:c>
      <x:c r="D32" s="30" t="n">
        <x:v>2019</x:v>
      </x:c>
      <x:c r="E32" s="24" t="str">
        <x:v>Trochus</x:v>
      </x:c>
      <x:c r="F32" s="24" t="str">
        <x:v>Trochus</x:v>
      </x:c>
      <x:c r="G32" s="24" t="str">
        <x:v>Other demersal invertebrates</x:v>
      </x:c>
      <x:c r="H32" s="24" t="str">
        <x:v>Molluscs</x:v>
      </x:c>
      <x:c r="I32" s="31" t="n">
        <x:v>451.88260679999996</x:v>
      </x:c>
      <x:c r="J32" s="31" t="n">
        <x:v>451.88260679999996</x:v>
      </x:c>
      <x:c r="K32" s="31" t="n">
        <x:v>0</x:v>
      </x:c>
      <x:c r="L32" s="31" t="n">
        <x:v>213.4067173</x:v>
      </x:c>
      <x:c r="M32" s="31" t="n">
        <x:v>238.4758895</x:v>
      </x:c>
      <x:c r="N32" s="24" t="str">
        <x:v>trochus</x:v>
      </x:c>
      <x:c r="O32" s="32" t="n">
        <x:v>2.1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Trochus</x:v>
      </x:c>
      <x:c r="T32" s="32" t="n">
        <x:f>IF(O32="","",(1/'Metadata'!$B$5)^(O32-1))</x:f>
        <x:v>12.589254117941675</x:v>
      </x:c>
      <x:c r="U32" s="31" t="n">
        <x:f>IF(T32="","",I32*T32)</x:f>
        <x:v>5688.864968483118</x:v>
      </x:c>
    </x:row>
    <x:row r="33" ht="18" customHeight="1">
      <x:c r="A33" s="24" t="str">
        <x:v>EEZ_598</x:v>
      </x:c>
      <x:c r="B33" s="24" t="str">
        <x:v>Papua New Guinea</x:v>
      </x:c>
      <x:c r="C33" s="24" t="str">
        <x:v>EEZ</x:v>
      </x:c>
      <x:c r="D33" s="30" t="n">
        <x:v>2019</x:v>
      </x:c>
      <x:c r="E33" s="24" t="str">
        <x:v>Isurus</x:v>
      </x:c>
      <x:c r="F33" s="24" t="str">
        <x:v>Mako sharks</x:v>
      </x:c>
      <x:c r="G33" s="24" t="str">
        <x:v>Large sharks (&gt;=90 cm)</x:v>
      </x:c>
      <x:c r="H33" s="24" t="str">
        <x:v>Sharks &amp; rays</x:v>
      </x:c>
      <x:c r="I33" s="31" t="n">
        <x:v>450.5627644198</x:v>
      </x:c>
      <x:c r="J33" s="31" t="n">
        <x:v>147.7610873817</x:v>
      </x:c>
      <x:c r="K33" s="31" t="n">
        <x:v>302.8016770381</x:v>
      </x:c>
      <x:c r="L33" s="31" t="n">
        <x:v>147.7610873817</x:v>
      </x:c>
      <x:c r="M33" s="31" t="n">
        <x:v>302.8016770381</x:v>
      </x:c>
      <x:c r="N33" s="24" t="str">
        <x:v>isurus</x:v>
      </x:c>
      <x:c r="O33" s="32" t="n">
        <x:v>4.5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Isurus</x:v>
      </x:c>
      <x:c r="T33" s="32" t="n">
        <x:f>IF(O33="","",(1/'Metadata'!$B$5)^(O33-1))</x:f>
        <x:v>3162.2776601683795</x:v>
      </x:c>
      <x:c r="U33" s="31" t="n">
        <x:f>IF(T33="","",I33*T33)</x:f>
        <x:v>1424804.564428442</x:v>
      </x:c>
    </x:row>
    <x:row r="34" ht="18" customHeight="1">
      <x:c r="A34" s="24" t="str">
        <x:v>EEZ_598</x:v>
      </x:c>
      <x:c r="B34" s="24" t="str">
        <x:v>Papua New Guinea</x:v>
      </x:c>
      <x:c r="C34" s="24" t="str">
        <x:v>EEZ</x:v>
      </x:c>
      <x:c r="D34" s="30" t="n">
        <x:v>2019</x:v>
      </x:c>
      <x:c r="E34" s="24" t="str">
        <x:v>Alopias</x:v>
      </x:c>
      <x:c r="F34" s="24" t="str">
        <x:v>Thresher sharks</x:v>
      </x:c>
      <x:c r="G34" s="24" t="str">
        <x:v>Large sharks (&gt;=90 cm)</x:v>
      </x:c>
      <x:c r="H34" s="24" t="str">
        <x:v>Sharks &amp; rays</x:v>
      </x:c>
      <x:c r="I34" s="31" t="n">
        <x:v>397.5457544707</x:v>
      </x:c>
      <x:c r="J34" s="31" t="n">
        <x:v>372.6599196991</x:v>
      </x:c>
      <x:c r="K34" s="31" t="n">
        <x:v>24.8858347716</x:v>
      </x:c>
      <x:c r="L34" s="31" t="n">
        <x:v>372.6599196991</x:v>
      </x:c>
      <x:c r="M34" s="31" t="n">
        <x:v>24.8858347716</x:v>
      </x:c>
      <x:c r="N34" s="24" t="str">
        <x:v>alopias</x:v>
      </x:c>
      <x:c r="O34" s="32" t="n">
        <x:v>4.5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Alopias</x:v>
      </x:c>
      <x:c r="T34" s="32" t="n">
        <x:f>IF(O34="","",(1/'Metadata'!$B$5)^(O34-1))</x:f>
        <x:v>3162.2776601683795</x:v>
      </x:c>
      <x:c r="U34" s="31" t="n">
        <x:f>IF(T34="","",I34*T34)</x:f>
        <x:v>1257150.0582574783</x:v>
      </x:c>
    </x:row>
    <x:row r="35" ht="18" customHeight="1">
      <x:c r="A35" s="24" t="str">
        <x:v>EEZ_598</x:v>
      </x:c>
      <x:c r="B35" s="24" t="str">
        <x:v>Papua New Guinea</x:v>
      </x:c>
      <x:c r="C35" s="24" t="str">
        <x:v>EEZ</x:v>
      </x:c>
      <x:c r="D35" s="30" t="n">
        <x:v>2019</x:v>
      </x:c>
      <x:c r="E35" s="24" t="str">
        <x:v>Istiompax indica</x:v>
      </x:c>
      <x:c r="F35" s="24" t="str">
        <x:v>Black marlin</x:v>
      </x:c>
      <x:c r="G35" s="24" t="str">
        <x:v>Large pelagics (&gt;=90 cm)</x:v>
      </x:c>
      <x:c r="H35" s="24" t="str">
        <x:v>Tuna &amp; billfishes</x:v>
      </x:c>
      <x:c r="I35" s="31" t="n">
        <x:v>249.575720609</x:v>
      </x:c>
      <x:c r="J35" s="31" t="n">
        <x:v>249.575720609</x:v>
      </x:c>
      <x:c r="K35" s="31" t="n">
        <x:v>0</x:v>
      </x:c>
      <x:c r="L35" s="31" t="n">
        <x:v>249.575720609</x:v>
      </x:c>
      <x:c r="M35" s="31" t="n">
        <x:v>0</x:v>
      </x:c>
      <x:c r="N35" s="24" t="str">
        <x:v>istiompax indica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Istiompax indica</x:v>
      </x:c>
      <x:c r="T35" s="32" t="n">
        <x:f>IF(O35="","",(1/'Metadata'!$B$5)^(O35-1))</x:f>
        <x:v>3162.2776601683795</x:v>
      </x:c>
      <x:c r="U35" s="31" t="n">
        <x:f>IF(T35="","",I35*T35)</x:f>
        <x:v>789227.7258022657</x:v>
      </x:c>
    </x:row>
    <x:row r="36" ht="18" customHeight="1">
      <x:c r="A36" s="24" t="str">
        <x:v>EEZ_598</x:v>
      </x:c>
      <x:c r="B36" s="24" t="str">
        <x:v>Papua New Guinea</x:v>
      </x:c>
      <x:c r="C36" s="24" t="str">
        <x:v>EEZ</x:v>
      </x:c>
      <x:c r="D36" s="30" t="n">
        <x:v>2019</x:v>
      </x:c>
      <x:c r="E36" s="24" t="str">
        <x:v>Panulirus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191.71006253000002</x:v>
      </x:c>
      <x:c r="J36" s="31" t="n">
        <x:v>191.71006253000002</x:v>
      </x:c>
      <x:c r="K36" s="31" t="n">
        <x:v>0</x:v>
      </x:c>
      <x:c r="L36" s="31" t="n">
        <x:v>110.7696281</x:v>
      </x:c>
      <x:c r="M36" s="31" t="n">
        <x:v>80.94043443</x:v>
      </x:c>
      <x:c r="N36" s="24" t="str">
        <x:v>panulirus</x:v>
      </x:c>
      <x:c r="O36" s="32" t="n">
        <x:v>2.6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Panulirus</x:v>
      </x:c>
      <x:c r="T36" s="32" t="n">
        <x:f>IF(O36="","",(1/'Metadata'!$B$5)^(O36-1))</x:f>
        <x:v>39.810717055349734</x:v>
      </x:c>
      <x:c r="U36" s="31" t="n">
        <x:f>IF(T36="","",I36*T36)</x:f>
        <x:v>7632.115056045235</x:v>
      </x:c>
    </x:row>
    <x:row r="37" ht="18" customHeight="1">
      <x:c r="A37" s="24" t="str">
        <x:v>EEZ_598</x:v>
      </x:c>
      <x:c r="B37" s="24" t="str">
        <x:v>Papua New Guinea</x:v>
      </x:c>
      <x:c r="C37" s="24" t="str">
        <x:v>EEZ</x:v>
      </x:c>
      <x:c r="D37" s="30" t="n">
        <x:v>2019</x:v>
      </x:c>
      <x:c r="E37" s="24" t="str">
        <x:v>Clupeidae</x:v>
      </x:c>
      <x:c r="F37" s="24" t="str">
        <x:v>Herrings, sardines, menhadens</x:v>
      </x:c>
      <x:c r="G37" s="24" t="str">
        <x:v>Small pelagics (&lt;30 cm)</x:v>
      </x:c>
      <x:c r="H37" s="24" t="str">
        <x:v>Herring-likes</x:v>
      </x:c>
      <x:c r="I37" s="31" t="n">
        <x:v>164.2313651</x:v>
      </x:c>
      <x:c r="J37" s="31" t="n">
        <x:v>0</x:v>
      </x:c>
      <x:c r="K37" s="31" t="n">
        <x:v>164.2313651</x:v>
      </x:c>
      <x:c r="L37" s="31" t="n">
        <x:v>0</x:v>
      </x:c>
      <x:c r="M37" s="31" t="n">
        <x:v>164.2313651</x:v>
      </x:c>
      <x:c r="N37" s="24" t="str">
        <x:v>clupeidae</x:v>
      </x:c>
      <x:c r="O37" s="32" t="n">
        <x:v>3.16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Clupeidae</x:v>
      </x:c>
      <x:c r="T37" s="32" t="n">
        <x:f>IF(O37="","",(1/'Metadata'!$B$5)^(O37-1))</x:f>
        <x:v>144.5439770745928</x:v>
      </x:c>
      <x:c r="U37" s="31" t="n">
        <x:f>IF(T37="","",I37*T37)</x:f>
        <x:v>23738.654671943477</x:v>
      </x:c>
    </x:row>
    <x:row r="38" ht="18" customHeight="1">
      <x:c r="A38" s="24" t="str">
        <x:v>EEZ_598</x:v>
      </x:c>
      <x:c r="B38" s="24" t="str">
        <x:v>Papua New Guinea</x:v>
      </x:c>
      <x:c r="C38" s="24" t="str">
        <x:v>EEZ</x:v>
      </x:c>
      <x:c r="D38" s="30" t="n">
        <x:v>2019</x:v>
      </x:c>
      <x:c r="E38" s="24" t="str">
        <x:v>Dendrobranchiata</x:v>
      </x:c>
      <x:c r="F38" s="24" t="str">
        <x:v>Shrimps and prawns</x:v>
      </x:c>
      <x:c r="G38" s="24" t="str">
        <x:v>Shrimps</x:v>
      </x:c>
      <x:c r="H38" s="24" t="str">
        <x:v>Crustaceans</x:v>
      </x:c>
      <x:c r="I38" s="31" t="n">
        <x:v>163.7101039</x:v>
      </x:c>
      <x:c r="J38" s="31" t="n">
        <x:v>163.7101039</x:v>
      </x:c>
      <x:c r="K38" s="31" t="n">
        <x:v>0</x:v>
      </x:c>
      <x:c r="L38" s="31" t="n">
        <x:v>163.7101039</x:v>
      </x:c>
      <x:c r="M38" s="31" t="n">
        <x:v>0</x:v>
      </x:c>
      <x:c r="N38" s="24" t="str">
        <x:v>dendrobranchiata</x:v>
      </x:c>
      <x:c r="O38" s="32" t="n">
        <x:v>3.24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Dendrobranchiata</x:v>
      </x:c>
      <x:c r="T38" s="32" t="n">
        <x:f>IF(O38="","",(1/'Metadata'!$B$5)^(O38-1))</x:f>
        <x:v>173.78008287493762</x:v>
      </x:c>
      <x:c r="U38" s="31" t="n">
        <x:f>IF(T38="","",I38*T38)</x:f>
        <x:v>28449.55542320665</x:v>
      </x:c>
    </x:row>
    <x:row r="39" ht="18" customHeight="1">
      <x:c r="A39" s="24" t="str">
        <x:v>EEZ_598</x:v>
      </x:c>
      <x:c r="B39" s="24" t="str">
        <x:v>Papua New Guinea</x:v>
      </x:c>
      <x:c r="C39" s="24" t="str">
        <x:v>EEZ</x:v>
      </x:c>
      <x:c r="D39" s="30" t="n">
        <x:v>2019</x:v>
      </x:c>
      <x:c r="E39" s="24" t="str">
        <x:v>Carcharhinus longimanus</x:v>
      </x:c>
      <x:c r="F39" s="24" t="str">
        <x:v>Oceanic whitetip shark</x:v>
      </x:c>
      <x:c r="G39" s="24" t="str">
        <x:v>Large sharks (&gt;=90 cm)</x:v>
      </x:c>
      <x:c r="H39" s="24" t="str">
        <x:v>Sharks &amp; rays</x:v>
      </x:c>
      <x:c r="I39" s="31" t="n">
        <x:v>135.8561124109</x:v>
      </x:c>
      <x:c r="J39" s="31" t="n">
        <x:v>21.4320650952</x:v>
      </x:c>
      <x:c r="K39" s="31" t="n">
        <x:v>114.4240473157</x:v>
      </x:c>
      <x:c r="L39" s="31" t="n">
        <x:v>21.4320650952</x:v>
      </x:c>
      <x:c r="M39" s="31" t="n">
        <x:v>114.4240473157</x:v>
      </x:c>
      <x:c r="N39" s="24" t="str">
        <x:v>carcharhinus longimanus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Carcharhinus longimanus</x:v>
      </x:c>
      <x:c r="T39" s="32" t="n">
        <x:f>IF(O39="","",(1/'Metadata'!$B$5)^(O39-1))</x:f>
        <x:v>1445.439770745928</x:v>
      </x:c>
      <x:c r="U39" s="31" t="n">
        <x:f>IF(T39="","",I39*T39)</x:f>
        <x:v>196371.82797764434</x:v>
      </x:c>
    </x:row>
    <x:row r="40" ht="18" customHeight="1">
      <x:c r="A40" s="24" t="str">
        <x:v>EEZ_598</x:v>
      </x:c>
      <x:c r="B40" s="24" t="str">
        <x:v>Papua New Guinea</x:v>
      </x:c>
      <x:c r="C40" s="24" t="str">
        <x:v>EEZ</x:v>
      </x:c>
      <x:c r="D40" s="30" t="n">
        <x:v>2019</x:v>
      </x:c>
      <x:c r="E40" s="24" t="str">
        <x:v>Galeocerdo cuvier</x:v>
      </x:c>
      <x:c r="F40" s="24" t="str">
        <x:v>Tiger shark</x:v>
      </x:c>
      <x:c r="G40" s="24" t="str">
        <x:v>Large sharks (&gt;=90 cm)</x:v>
      </x:c>
      <x:c r="H40" s="24" t="str">
        <x:v>Sharks &amp; rays</x:v>
      </x:c>
      <x:c r="I40" s="31" t="n">
        <x:v>133.43091822</x:v>
      </x:c>
      <x:c r="J40" s="31" t="n">
        <x:v>133.43091822</x:v>
      </x:c>
      <x:c r="K40" s="31" t="n">
        <x:v>0</x:v>
      </x:c>
      <x:c r="L40" s="31" t="n">
        <x:v>105.8694831</x:v>
      </x:c>
      <x:c r="M40" s="31" t="n">
        <x:v>27.56143512</x:v>
      </x:c>
      <x:c r="N40" s="24" t="str">
        <x:v>galeocerdo cuvier</x:v>
      </x:c>
      <x:c r="O40" s="32" t="n">
        <x:v>4.54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Galeocerdo cuvier</x:v>
      </x:c>
      <x:c r="T40" s="32" t="n">
        <x:f>IF(O40="","",(1/'Metadata'!$B$5)^(O40-1))</x:f>
        <x:v>3467.368504525317</x:v>
      </x:c>
      <x:c r="U40" s="31" t="n">
        <x:f>IF(T40="","",I40*T40)</x:f>
        <x:v>462654.16336592124</x:v>
      </x:c>
    </x:row>
    <x:row r="41" ht="18" customHeight="1">
      <x:c r="A41" s="24" t="str">
        <x:v>EEZ_598</x:v>
      </x:c>
      <x:c r="B41" s="24" t="str">
        <x:v>Papua New Guinea</x:v>
      </x:c>
      <x:c r="C41" s="24" t="str">
        <x:v>EEZ</x:v>
      </x:c>
      <x:c r="D41" s="30" t="n">
        <x:v>2019</x:v>
      </x:c>
      <x:c r="E41" s="24" t="str">
        <x:v>Penaeus monodon</x:v>
      </x:c>
      <x:c r="F41" s="24" t="str">
        <x:v>Giant tiger prawn</x:v>
      </x:c>
      <x:c r="G41" s="24" t="str">
        <x:v>Shrimps</x:v>
      </x:c>
      <x:c r="H41" s="24" t="str">
        <x:v>Crustaceans</x:v>
      </x:c>
      <x:c r="I41" s="31" t="n">
        <x:v>127.22017</x:v>
      </x:c>
      <x:c r="J41" s="31" t="n">
        <x:v>127.22017</x:v>
      </x:c>
      <x:c r="K41" s="31" t="n">
        <x:v>0</x:v>
      </x:c>
      <x:c r="L41" s="31" t="n">
        <x:v>127.22017</x:v>
      </x:c>
      <x:c r="M41" s="31" t="n">
        <x:v>0</x:v>
      </x:c>
      <x:c r="N41" s="24" t="str">
        <x:v>penaeus monodon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Penaeus monodon</x:v>
      </x:c>
      <x:c r="T41" s="32" t="n">
        <x:f>IF(O41="","",(1/'Metadata'!$B$5)^(O41-1))</x:f>
        <x:v>39.810717055349734</x:v>
      </x:c>
      <x:c r="U41" s="31" t="n">
        <x:f>IF(T41="","",I41*T41)</x:f>
        <x:v>5064.726191603492</x:v>
      </x:c>
    </x:row>
    <x:row r="42" ht="18" customHeight="1">
      <x:c r="A42" s="24" t="str">
        <x:v>EEZ_598</x:v>
      </x:c>
      <x:c r="B42" s="24" t="str">
        <x:v>Papua New Guinea</x:v>
      </x:c>
      <x:c r="C42" s="24" t="str">
        <x:v>EEZ</x:v>
      </x:c>
      <x:c r="D42" s="30" t="n">
        <x:v>2019</x:v>
      </x:c>
      <x:c r="E42" s="24" t="str">
        <x:v>Leiognathidae</x:v>
      </x:c>
      <x:c r="F42" s="24" t="str">
        <x:v>Slipmouths, ponyfishes</x:v>
      </x:c>
      <x:c r="G42" s="24" t="str">
        <x:v>Small benthopelagics (&lt;30 cm)</x:v>
      </x:c>
      <x:c r="H42" s="24" t="str">
        <x:v>Perch-likes</x:v>
      </x:c>
      <x:c r="I42" s="31" t="n">
        <x:v>127.1468633</x:v>
      </x:c>
      <x:c r="J42" s="31" t="n">
        <x:v>0</x:v>
      </x:c>
      <x:c r="K42" s="31" t="n">
        <x:v>127.1468633</x:v>
      </x:c>
      <x:c r="L42" s="31" t="n">
        <x:v>0</x:v>
      </x:c>
      <x:c r="M42" s="31" t="n">
        <x:v>127.1468633</x:v>
      </x:c>
      <x:c r="N42" s="24" t="str">
        <x:v>leiognathidae</x:v>
      </x:c>
      <x:c r="O42" s="32" t="n">
        <x:v>3.24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Leiognathidae</x:v>
      </x:c>
      <x:c r="T42" s="32" t="n">
        <x:f>IF(O42="","",(1/'Metadata'!$B$5)^(O42-1))</x:f>
        <x:v>173.78008287493762</x:v>
      </x:c>
      <x:c r="U42" s="31" t="n">
        <x:f>IF(T42="","",I42*T42)</x:f>
        <x:v>22095.592441562367</x:v>
      </x:c>
    </x:row>
    <x:row r="43" ht="18" customHeight="1">
      <x:c r="A43" s="24" t="str">
        <x:v>EEZ_598</x:v>
      </x:c>
      <x:c r="B43" s="24" t="str">
        <x:v>Papua New Guinea</x:v>
      </x:c>
      <x:c r="C43" s="24" t="str">
        <x:v>EEZ</x:v>
      </x:c>
      <x:c r="D43" s="30" t="n">
        <x:v>2019</x:v>
      </x:c>
      <x:c r="E43" s="24" t="str">
        <x:v>Rachycentridae</x:v>
      </x:c>
      <x:c r="F43" s="24" t="str">
        <x:v>Cobias</x:v>
      </x:c>
      <x:c r="G43" s="24" t="str">
        <x:v>Large pelagics (&gt;=90 cm)</x:v>
      </x:c>
      <x:c r="H43" s="24" t="str">
        <x:v>Perch-likes</x:v>
      </x:c>
      <x:c r="I43" s="31" t="n">
        <x:v>125.4566152</x:v>
      </x:c>
      <x:c r="J43" s="31" t="n">
        <x:v>125.4566152</x:v>
      </x:c>
      <x:c r="K43" s="31" t="n">
        <x:v>0</x:v>
      </x:c>
      <x:c r="L43" s="31" t="n">
        <x:v>0</x:v>
      </x:c>
      <x:c r="M43" s="31" t="n">
        <x:v>125.4566152</x:v>
      </x:c>
      <x:c r="N43" s="24" t="str">
        <x:v>rachycentridae</x:v>
      </x:c>
      <x:c r="O43" s="32" t="n">
        <x:v>3.96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Rachycentridae</x:v>
      </x:c>
      <x:c r="T43" s="32" t="n">
        <x:f>IF(O43="","",(1/'Metadata'!$B$5)^(O43-1))</x:f>
        <x:v>912.0108393559096</x:v>
      </x:c>
      <x:c r="U43" s="31" t="n">
        <x:f>IF(T43="","",I43*T43)</x:f>
        <x:v>114417.79293130337</x:v>
      </x:c>
    </x:row>
    <x:row r="44" ht="18" customHeight="1">
      <x:c r="A44" s="24" t="str">
        <x:v>EEZ_598</x:v>
      </x:c>
      <x:c r="B44" s="24" t="str">
        <x:v>Papua New Guinea</x:v>
      </x:c>
      <x:c r="C44" s="24" t="str">
        <x:v>EEZ</x:v>
      </x:c>
      <x:c r="D44" s="30" t="n">
        <x:v>2019</x:v>
      </x:c>
      <x:c r="E44" s="24" t="str">
        <x:v>Acanthocybium solandri</x:v>
      </x:c>
      <x:c r="F44" s="24" t="str">
        <x:v>Wahoo</x:v>
      </x:c>
      <x:c r="G44" s="24" t="str">
        <x:v>Large pelagics (&gt;=90 cm)</x:v>
      </x:c>
      <x:c r="H44" s="24" t="str">
        <x:v>Perch-likes</x:v>
      </x:c>
      <x:c r="I44" s="31" t="n">
        <x:v>92.37642641160001</x:v>
      </x:c>
      <x:c r="J44" s="31" t="n">
        <x:v>0</x:v>
      </x:c>
      <x:c r="K44" s="31" t="n">
        <x:v>92.37642641160001</x:v>
      </x:c>
      <x:c r="L44" s="31" t="n">
        <x:v>0</x:v>
      </x:c>
      <x:c r="M44" s="31" t="n">
        <x:v>92.37642641160001</x:v>
      </x:c>
      <x:c r="N44" s="24" t="str">
        <x:v>acanthocybium solandri</x:v>
      </x:c>
      <x:c r="O44" s="32" t="n">
        <x:v>4.26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Acanthocybium solandri</x:v>
      </x:c>
      <x:c r="T44" s="32" t="n">
        <x:f>IF(O44="","",(1/'Metadata'!$B$5)^(O44-1))</x:f>
        <x:v>1819.7008586099826</x:v>
      </x:c>
      <x:c r="U44" s="31" t="n">
        <x:f>IF(T44="","",I44*T44)</x:f>
        <x:v>168097.4624565104</x:v>
      </x:c>
    </x:row>
    <x:row r="45" ht="18" customHeight="1">
      <x:c r="A45" s="24" t="str">
        <x:v>EEZ_598</x:v>
      </x:c>
      <x:c r="B45" s="24" t="str">
        <x:v>Papua New Guinea</x:v>
      </x:c>
      <x:c r="C45" s="24" t="str">
        <x:v>EEZ</x:v>
      </x:c>
      <x:c r="D45" s="30" t="n">
        <x:v>2019</x:v>
      </x:c>
      <x:c r="E45" s="24" t="str">
        <x:v>Metapenaeus</x:v>
      </x:c>
      <x:c r="F45" s="24" t="str">
        <x:v>Indo-Pacific prawns</x:v>
      </x:c>
      <x:c r="G45" s="24" t="str">
        <x:v>Shrimps</x:v>
      </x:c>
      <x:c r="H45" s="24" t="str">
        <x:v>Crustaceans</x:v>
      </x:c>
      <x:c r="I45" s="31" t="n">
        <x:v>88.07072043</x:v>
      </x:c>
      <x:c r="J45" s="31" t="n">
        <x:v>88.07072043</x:v>
      </x:c>
      <x:c r="K45" s="31" t="n">
        <x:v>0</x:v>
      </x:c>
      <x:c r="L45" s="31" t="n">
        <x:v>88.07072043</x:v>
      </x:c>
      <x:c r="M45" s="31" t="n">
        <x:v>0</x:v>
      </x:c>
      <x:c r="N45" s="24" t="str">
        <x:v>metapenaeus</x:v>
      </x:c>
      <x:c r="O45" s="32" t="n">
        <x:v>2.7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Metapenaeus</x:v>
      </x:c>
      <x:c r="T45" s="32" t="n">
        <x:f>IF(O45="","",(1/'Metadata'!$B$5)^(O45-1))</x:f>
        <x:v>50.11872336272725</x:v>
      </x:c>
      <x:c r="U45" s="31" t="n">
        <x:f>IF(T45="","",I45*T45)</x:f>
        <x:v>4413.992073587261</x:v>
      </x:c>
    </x:row>
    <x:row r="46" ht="18" customHeight="1">
      <x:c r="A46" s="24" t="str">
        <x:v>EEZ_598</x:v>
      </x:c>
      <x:c r="B46" s="24" t="str">
        <x:v>Papua New Guinea</x:v>
      </x:c>
      <x:c r="C46" s="24" t="str">
        <x:v>EEZ</x:v>
      </x:c>
      <x:c r="D46" s="30" t="n">
        <x:v>2019</x:v>
      </x:c>
      <x:c r="E46" s="24" t="str">
        <x:v>Sphyrna</x:v>
      </x:c>
      <x:c r="F46" s="24" t="str">
        <x:v>Hammerhead sharks</x:v>
      </x:c>
      <x:c r="G46" s="24" t="str">
        <x:v>Large sharks (&gt;=90 cm)</x:v>
      </x:c>
      <x:c r="H46" s="24" t="str">
        <x:v>Sharks &amp; rays</x:v>
      </x:c>
      <x:c r="I46" s="31" t="n">
        <x:v>85.991871171</x:v>
      </x:c>
      <x:c r="J46" s="31" t="n">
        <x:v>85.991871171</x:v>
      </x:c>
      <x:c r="K46" s="31" t="n">
        <x:v>0</x:v>
      </x:c>
      <x:c r="L46" s="31" t="n">
        <x:v>72.211153611</x:v>
      </x:c>
      <x:c r="M46" s="31" t="n">
        <x:v>13.78071756</x:v>
      </x:c>
      <x:c r="N46" s="24" t="str">
        <x:v>sphyrna</x:v>
      </x:c>
      <x:c r="O46" s="32" t="n">
        <x:v>4.2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Sphyrna</x:v>
      </x:c>
      <x:c r="T46" s="32" t="n">
        <x:f>IF(O46="","",(1/'Metadata'!$B$5)^(O46-1))</x:f>
        <x:v>1584.893192461114</x:v>
      </x:c>
      <x:c r="U46" s="31" t="n">
        <x:f>IF(T46="","",I46*T46)</x:f>
        <x:v>136287.93122591102</x:v>
      </x:c>
    </x:row>
    <x:row r="47" ht="18" customHeight="1">
      <x:c r="A47" s="24" t="str">
        <x:v>EEZ_598</x:v>
      </x:c>
      <x:c r="B47" s="24" t="str">
        <x:v>Papua New Guinea</x:v>
      </x:c>
      <x:c r="C47" s="24" t="str">
        <x:v>EEZ</x:v>
      </x:c>
      <x:c r="D47" s="30" t="n">
        <x:v>2019</x:v>
      </x:c>
      <x:c r="E47" s="24" t="str">
        <x:v>Engraulidae</x:v>
      </x:c>
      <x:c r="F47" s="24" t="str">
        <x:v>Anchovies, round herrings</x:v>
      </x:c>
      <x:c r="G47" s="24" t="str">
        <x:v>Small pelagics (&lt;30 cm)</x:v>
      </x:c>
      <x:c r="H47" s="24" t="str">
        <x:v>Anchovies</x:v>
      </x:c>
      <x:c r="I47" s="31" t="n">
        <x:v>84.76457553</x:v>
      </x:c>
      <x:c r="J47" s="31" t="n">
        <x:v>0</x:v>
      </x:c>
      <x:c r="K47" s="31" t="n">
        <x:v>84.76457553</x:v>
      </x:c>
      <x:c r="L47" s="31" t="n">
        <x:v>0</x:v>
      </x:c>
      <x:c r="M47" s="31" t="n">
        <x:v>84.76457553</x:v>
      </x:c>
      <x:c r="N47" s="24" t="str">
        <x:v>engraulidae</x:v>
      </x:c>
      <x:c r="O47" s="32" t="n">
        <x:v>3.2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Engraulidae</x:v>
      </x:c>
      <x:c r="T47" s="32" t="n">
        <x:f>IF(O47="","",(1/'Metadata'!$B$5)^(O47-1))</x:f>
        <x:v>158.48931924611142</x:v>
      </x:c>
      <x:c r="U47" s="31" t="n">
        <x:f>IF(T47="","",I47*T47)</x:f>
        <x:v>13434.279871935294</x:v>
      </x:c>
    </x:row>
    <x:row r="48" ht="18" customHeight="1">
      <x:c r="A48" s="24" t="str">
        <x:v>EEZ_598</x:v>
      </x:c>
      <x:c r="B48" s="24" t="str">
        <x:v>Papua New Guinea</x:v>
      </x:c>
      <x:c r="C48" s="24" t="str">
        <x:v>EEZ</x:v>
      </x:c>
      <x:c r="D48" s="30" t="n">
        <x:v>2019</x:v>
      </x:c>
      <x:c r="E48" s="24" t="str">
        <x:v>Lates calcarifer</x:v>
      </x:c>
      <x:c r="F48" s="24" t="str">
        <x:v>Barramundi</x:v>
      </x:c>
      <x:c r="G48" s="24" t="str">
        <x:v>Large demersals (&gt;=90 cm)</x:v>
      </x:c>
      <x:c r="H48" s="24" t="str">
        <x:v>Perch-likes</x:v>
      </x:c>
      <x:c r="I48" s="31" t="n">
        <x:v>58.714489799999996</x:v>
      </x:c>
      <x:c r="J48" s="31" t="n">
        <x:v>58.714489799999996</x:v>
      </x:c>
      <x:c r="K48" s="31" t="n">
        <x:v>0</x:v>
      </x:c>
      <x:c r="L48" s="31" t="n">
        <x:v>16.59863477</x:v>
      </x:c>
      <x:c r="M48" s="31" t="n">
        <x:v>42.11585503</x:v>
      </x:c>
      <x:c r="N48" s="24" t="str">
        <x:v>lates calcarifer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Lates calcarifer</x:v>
      </x:c>
      <x:c r="T48" s="32" t="n">
        <x:f>IF(O48="","",(1/'Metadata'!$B$5)^(O48-1))</x:f>
        <x:v>2238.7211385683377</x:v>
      </x:c>
      <x:c r="U48" s="31" t="n">
        <x:f>IF(T48="","",I48*T48)</x:f>
        <x:v>131445.36945551503</x:v>
      </x:c>
    </x:row>
    <x:row r="49" ht="18" customHeight="1">
      <x:c r="A49" s="24" t="str">
        <x:v>EEZ_598</x:v>
      </x:c>
      <x:c r="B49" s="24" t="str">
        <x:v>Papua New Guinea</x:v>
      </x:c>
      <x:c r="C49" s="24" t="str">
        <x:v>EEZ</x:v>
      </x:c>
      <x:c r="D49" s="30" t="n">
        <x:v>2019</x:v>
      </x:c>
      <x:c r="E49" s="24" t="str">
        <x:v>Kajikia audax</x:v>
      </x:c>
      <x:c r="F49" s="24" t="str">
        <x:v>Striped marlin</x:v>
      </x:c>
      <x:c r="G49" s="24" t="str">
        <x:v>Large pelagics (&gt;=90 cm)</x:v>
      </x:c>
      <x:c r="H49" s="24" t="str">
        <x:v>Tuna &amp; billfishes</x:v>
      </x:c>
      <x:c r="I49" s="31" t="n">
        <x:v>48.0417234342</x:v>
      </x:c>
      <x:c r="J49" s="31" t="n">
        <x:v>48.0417234342</x:v>
      </x:c>
      <x:c r="K49" s="31" t="n">
        <x:v>0</x:v>
      </x:c>
      <x:c r="L49" s="31" t="n">
        <x:v>48.0417234342</x:v>
      </x:c>
      <x:c r="M49" s="31" t="n">
        <x:v>0</x:v>
      </x:c>
      <x:c r="N49" s="24" t="str">
        <x:v>kajikia audax</x:v>
      </x:c>
      <x:c r="O49" s="32" t="n">
        <x:v>4.58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Kajikia audax</x:v>
      </x:c>
      <x:c r="T49" s="32" t="n">
        <x:f>IF(O49="","",(1/'Metadata'!$B$5)^(O49-1))</x:f>
        <x:v>3801.8939632056126</x:v>
      </x:c>
      <x:c r="U49" s="31" t="n">
        <x:f>IF(T49="","",I49*T49)</x:f>
        <x:v>182649.5383064786</x:v>
      </x:c>
    </x:row>
    <x:row r="50" ht="18" customHeight="1">
      <x:c r="A50" s="24" t="str">
        <x:v>EEZ_598</x:v>
      </x:c>
      <x:c r="B50" s="24" t="str">
        <x:v>Papua New Guinea</x:v>
      </x:c>
      <x:c r="C50" s="24" t="str">
        <x:v>EEZ</x:v>
      </x:c>
      <x:c r="D50" s="30" t="n">
        <x:v>2019</x:v>
      </x:c>
      <x:c r="E50" s="24" t="str">
        <x:v>Terapontidae</x:v>
      </x:c>
      <x:c r="F50" s="24" t="str">
        <x:v>Grunters, tigerperches</x:v>
      </x:c>
      <x:c r="G50" s="24" t="str">
        <x:v>Medium demersals (30 - 89 cm)</x:v>
      </x:c>
      <x:c r="H50" s="24" t="str">
        <x:v>Perch-likes</x:v>
      </x:c>
      <x:c r="I50" s="31" t="n">
        <x:v>21.19114388</x:v>
      </x:c>
      <x:c r="J50" s="31" t="n">
        <x:v>0</x:v>
      </x:c>
      <x:c r="K50" s="31" t="n">
        <x:v>21.19114388</x:v>
      </x:c>
      <x:c r="L50" s="31" t="n">
        <x:v>0</x:v>
      </x:c>
      <x:c r="M50" s="31" t="n">
        <x:v>21.19114388</x:v>
      </x:c>
      <x:c r="N50" s="24" t="str">
        <x:v>terapontidae</x:v>
      </x:c>
      <x:c r="O50" s="32" t="n">
        <x:v>3.64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Terapontidae</x:v>
      </x:c>
      <x:c r="T50" s="32" t="n">
        <x:f>IF(O50="","",(1/'Metadata'!$B$5)^(O50-1))</x:f>
        <x:v>436.5158322401661</x:v>
      </x:c>
      <x:c r="U50" s="31" t="n">
        <x:f>IF(T50="","",I50*T50)</x:f>
        <x:v>9250.269806899301</x:v>
      </x:c>
    </x:row>
    <x:row r="51" ht="18" customHeight="1">
      <x:c r="A51" s="24" t="str">
        <x:v>EEZ_598</x:v>
      </x:c>
      <x:c r="B51" s="24" t="str">
        <x:v>Papua New Guinea</x:v>
      </x:c>
      <x:c r="C51" s="24" t="str">
        <x:v>EEZ</x:v>
      </x:c>
      <x:c r="D51" s="30" t="n">
        <x:v>2019</x:v>
      </x:c>
      <x:c r="E51" s="24" t="str">
        <x:v>Sciaenidae</x:v>
      </x:c>
      <x:c r="F51" s="24" t="str">
        <x:v>Drums, croakers</x:v>
      </x:c>
      <x:c r="G51" s="24" t="str">
        <x:v>Medium demersals (30 - 89 cm)</x:v>
      </x:c>
      <x:c r="H51" s="24" t="str">
        <x:v>Perch-likes</x:v>
      </x:c>
      <x:c r="I51" s="31" t="n">
        <x:v>21.19114388</x:v>
      </x:c>
      <x:c r="J51" s="31" t="n">
        <x:v>0</x:v>
      </x:c>
      <x:c r="K51" s="31" t="n">
        <x:v>21.19114388</x:v>
      </x:c>
      <x:c r="L51" s="31" t="n">
        <x:v>0</x:v>
      </x:c>
      <x:c r="M51" s="31" t="n">
        <x:v>21.19114388</x:v>
      </x:c>
      <x:c r="N51" s="24" t="str">
        <x:v>sciaenidae</x:v>
      </x:c>
      <x:c r="O51" s="32" t="n">
        <x:v>3.76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Sciaenidae</x:v>
      </x:c>
      <x:c r="T51" s="32" t="n">
        <x:f>IF(O51="","",(1/'Metadata'!$B$5)^(O51-1))</x:f>
        <x:v>575.4399373371566</x:v>
      </x:c>
      <x:c r="U51" s="31" t="n">
        <x:f>IF(T51="","",I51*T51)</x:f>
        <x:v>12194.23050640987</x:v>
      </x:c>
    </x:row>
    <x:row r="52" ht="18" customHeight="1">
      <x:c r="A52" s="24" t="str">
        <x:v>EEZ_598</x:v>
      </x:c>
      <x:c r="B52" s="24" t="str">
        <x:v>Papua New Guinea</x:v>
      </x:c>
      <x:c r="C52" s="24" t="str">
        <x:v>EEZ</x:v>
      </x:c>
      <x:c r="D52" s="30" t="n">
        <x:v>2019</x:v>
      </x:c>
      <x:c r="E52" s="24" t="str">
        <x:v>Scylla serrata</x:v>
      </x:c>
      <x:c r="F52" s="24" t="str">
        <x:v>Indo-Pacific swamp crab</x:v>
      </x:c>
      <x:c r="G52" s="24" t="str">
        <x:v>Lobsters, crabs</x:v>
      </x:c>
      <x:c r="H52" s="24" t="str">
        <x:v>Crustaceans</x:v>
      </x:c>
      <x:c r="I52" s="31" t="n">
        <x:v>1.557418434</x:v>
      </x:c>
      <x:c r="J52" s="31" t="n">
        <x:v>1.557418434</x:v>
      </x:c>
      <x:c r="K52" s="31" t="n">
        <x:v>0</x:v>
      </x:c>
      <x:c r="L52" s="31" t="n">
        <x:v>1.557418434</x:v>
      </x:c>
      <x:c r="M52" s="31" t="n">
        <x:v>0</x:v>
      </x:c>
      <x:c r="N52" s="24" t="str">
        <x:v>scylla serrata</x:v>
      </x:c>
      <x:c r="O52" s="32" t="n">
        <x:v>3.17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Scylla serrata</x:v>
      </x:c>
      <x:c r="T52" s="32" t="n">
        <x:f>IF(O52="","",(1/'Metadata'!$B$5)^(O52-1))</x:f>
        <x:v>147.91083881682073</x:v>
      </x:c>
      <x:c r="U52" s="31" t="n">
        <x:f>IF(T52="","",I52*T52)</x:f>
        <x:v>230.35906696171935</x:v>
      </x:c>
    </x:row>
    <x:row r="53" ht="18" customHeight="1">
      <x:c r="A53" s="24" t="str">
        <x:v>EEZ_598</x:v>
      </x:c>
      <x:c r="B53" s="24" t="str">
        <x:v>Papua New Guinea</x:v>
      </x:c>
      <x:c r="C53" s="24" t="str">
        <x:v>EEZ</x:v>
      </x:c>
      <x:c r="D53" s="30" t="n">
        <x:v>2019</x:v>
      </x:c>
      <x:c r="E53" s="24" t="str">
        <x:v>Scomberomorus</x:v>
      </x:c>
      <x:c r="F53" s="24" t="str">
        <x:v>Spanish mackerels</x:v>
      </x:c>
      <x:c r="G53" s="24" t="str">
        <x:v>Large pelagics (&gt;=90 cm)</x:v>
      </x:c>
      <x:c r="H53" s="24" t="str">
        <x:v>Perch-likes</x:v>
      </x:c>
      <x:c r="I53" s="31" t="n">
        <x:v>1.1590045744000002</x:v>
      </x:c>
      <x:c r="J53" s="31" t="n">
        <x:v>1.1590045744000002</x:v>
      </x:c>
      <x:c r="K53" s="31" t="n">
        <x:v>0</x:v>
      </x:c>
      <x:c r="L53" s="31" t="n">
        <x:v>1.1590045744000002</x:v>
      </x:c>
      <x:c r="M53" s="31" t="n">
        <x:v>0</x:v>
      </x:c>
      <x:c r="N53" s="24" t="str">
        <x:v>scomberomorus</x:v>
      </x:c>
      <x:c r="O53" s="32" t="n">
        <x:v>4.35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Scomberomorus</x:v>
      </x:c>
      <x:c r="T53" s="32" t="n">
        <x:f>IF(O53="","",(1/'Metadata'!$B$5)^(O53-1))</x:f>
        <x:v>2238.7211385683377</x:v>
      </x:c>
      <x:c r="U53" s="31" t="n">
        <x:f>IF(T53="","",I53*T53)</x:f>
        <x:v>2594.68804040668</x:v>
      </x:c>
    </x:row>
    <x:row r="54" ht="18" customHeight="1">
      <x:c r="A54" s="24" t="str">
        <x:v>EEZ_598</x:v>
      </x:c>
      <x:c r="B54" s="24" t="str">
        <x:v>Papua New Guinea</x:v>
      </x:c>
      <x:c r="C54" s="24" t="str">
        <x:v>EEZ</x:v>
      </x:c>
      <x:c r="D54" s="30" t="n">
        <x:v>2019</x:v>
      </x:c>
      <x:c r="E54" s="24" t="str">
        <x:v>Pinctada</x:v>
      </x:c>
      <x:c r="F54" s="24" t="str">
        <x:v>Mother of pearl oysters</x:v>
      </x:c>
      <x:c r="G54" s="24" t="str">
        <x:v>Other demersal invertebrates</x:v>
      </x:c>
      <x:c r="H54" s="24" t="str">
        <x:v>Molluscs</x:v>
      </x:c>
      <x:c r="I54" s="31" t="n">
        <x:v>0.727646069</x:v>
      </x:c>
      <x:c r="J54" s="31" t="n">
        <x:v>0.727646069</x:v>
      </x:c>
      <x:c r="K54" s="31" t="n">
        <x:v>0</x:v>
      </x:c>
      <x:c r="L54" s="31" t="n">
        <x:v>0.419448572</x:v>
      </x:c>
      <x:c r="M54" s="31" t="n">
        <x:v>0.308197497</x:v>
      </x:c>
      <x:c r="N54" s="24" t="str">
        <x:v>pinctada</x:v>
      </x:c>
      <x:c r="O54" s="32" t="n">
        <x:v>2.1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Pinctada</x:v>
      </x:c>
      <x:c r="T54" s="32" t="n">
        <x:f>IF(O54="","",(1/'Metadata'!$B$5)^(O54-1))</x:f>
        <x:v>12.589254117941675</x:v>
      </x:c>
      <x:c r="U54" s="31" t="n">
        <x:f>IF(T54="","",I54*T54)</x:f>
        <x:v>9.160521270562322</x:v>
      </x:c>
    </x:row>
    <x:row r="55" ht="18" customHeight="1">
      <x:c r="A55" s="24" t="str">
        <x:v>EEZ_598</x:v>
      </x:c>
      <x:c r="B55" s="24" t="str">
        <x:v>Papua New Guinea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0.5491508095</x:v>
      </x:c>
      <x:c r="J55" s="31" t="n">
        <x:v>0.5491508095</x:v>
      </x:c>
      <x:c r="K55" s="31" t="n">
        <x:v>0</x:v>
      </x:c>
      <x:c r="L55" s="31" t="n">
        <x:v>0.5491508095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1736.5673369452313</x:v>
      </x:c>
    </x:row>
    <x:row r="56" ht="18" customHeight="1">
      <x:c r="A56" s="24" t="str">
        <x:v>EEZ_598</x:v>
      </x:c>
      <x:c r="B56" s="24" t="str">
        <x:v>Papua New Guinea</x:v>
      </x:c>
      <x:c r="C56" s="24" t="str">
        <x:v>EEZ</x:v>
      </x:c>
      <x:c r="D56" s="30" t="n">
        <x:v>2019</x:v>
      </x:c>
      <x:c r="E56" s="24" t="str">
        <x:v>Thunnus maccoyii</x:v>
      </x:c>
      <x:c r="F56" s="24" t="str">
        <x:v>Southern bluefin tuna</x:v>
      </x:c>
      <x:c r="G56" s="24" t="str">
        <x:v>Large pelagics (&gt;=90 cm)</x:v>
      </x:c>
      <x:c r="H56" s="24" t="str">
        <x:v>Tuna &amp; billfishes</x:v>
      </x:c>
      <x:c r="I56" s="31" t="n">
        <x:v>0.4556803961</x:v>
      </x:c>
      <x:c r="J56" s="31" t="n">
        <x:v>0</x:v>
      </x:c>
      <x:c r="K56" s="31" t="n">
        <x:v>0.4556803961</x:v>
      </x:c>
      <x:c r="L56" s="31" t="n">
        <x:v>0</x:v>
      </x:c>
      <x:c r="M56" s="31" t="n">
        <x:v>0.4556803961</x:v>
      </x:c>
      <x:c r="N56" s="24" t="str">
        <x:v>thunnus maccoyii</x:v>
      </x:c>
      <x:c r="O56" s="32" t="n">
        <x:v>3.93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Thunnus maccoyii</x:v>
      </x:c>
      <x:c r="T56" s="32" t="n">
        <x:f>IF(O56="","",(1/'Metadata'!$B$5)^(O56-1))</x:f>
        <x:v>851.1380382023768</x:v>
      </x:c>
      <x:c r="U56" s="31" t="n">
        <x:f>IF(T56="","",I56*T56)</x:f>
        <x:v>387.846918383836</x:v>
      </x:c>
    </x:row>
  </x:sheetData>
  <x:conditionalFormatting sqref="R2:R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4dde83b566c4b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84.76457553</x:v>
      </x:c>
      <x:c r="C2" s="32" t="n">
        <x:v>3.2000000000000006</x:v>
      </x:c>
      <x:c r="D2" s="32" t="n">
        <x:f>IF(C2="","",(1/'Metadata'!$B$5)^(C2-1))</x:f>
        <x:v>158.48931924611156</x:v>
      </x:c>
      <x:c r="E2" s="31" t="n">
        <x:f>IF(B2=0,"",B2*D2)</x:f>
        <x:v>13434.279871935307</x:v>
      </x:c>
    </x:row>
    <x:row r="3" ht="18" customHeight="1">
      <x:c r="A3" s="24" t="str">
        <x:v>Crustaceans</x:v>
      </x:c>
      <x:c r="B3" s="31" t="n">
        <x:v>2795.014104265</x:v>
      </x:c>
      <x:c r="C3" s="32" t="n">
        <x:v>2.963183441439778</x:v>
      </x:c>
      <x:c r="D3" s="32" t="n">
        <x:f>IF(C3="","",(1/'Metadata'!$B$5)^(C3-1))</x:f>
        <x:v>91.87205724852298</x:v>
      </x:c>
      <x:c r="E3" s="31" t="n">
        <x:f>IF(B3=0,"",B3*D3)</x:f>
        <x:v>256783.69579746324</x:v>
      </x:c>
    </x:row>
    <x:row r="4" ht="18" customHeight="1">
      <x:c r="A4" s="24" t="str">
        <x:v>Herring-likes</x:v>
      </x:c>
      <x:c r="B4" s="31" t="n">
        <x:v>164.2313651</x:v>
      </x:c>
      <x:c r="C4" s="32" t="n">
        <x:v>3.1599999999999997</x:v>
      </x:c>
      <x:c r="D4" s="32" t="n">
        <x:f>IF(C4="","",(1/'Metadata'!$B$5)^(C4-1))</x:f>
        <x:v>144.54397707459265</x:v>
      </x:c>
      <x:c r="E4" s="31" t="n">
        <x:f>IF(B4=0,"",B4*D4)</x:f>
        <x:v>23738.654671943455</x:v>
      </x:c>
    </x:row>
    <x:row r="5" ht="18" customHeight="1">
      <x:c r="A5" s="24" t="str">
        <x:v>Molluscs</x:v>
      </x:c>
      <x:c r="B5" s="31" t="n">
        <x:v>5117.750516416</x:v>
      </x:c>
      <x:c r="C5" s="32" t="n">
        <x:v>2.704885638602089</x:v>
      </x:c>
      <x:c r="D5" s="32" t="n">
        <x:f>IF(C5="","",(1/'Metadata'!$B$5)^(C5-1))</x:f>
        <x:v>50.6857221584579</x:v>
      </x:c>
      <x:c r="E5" s="31" t="n">
        <x:f>IF(B5=0,"",B5*D5)</x:f>
        <x:v>259396.88075136582</x:v>
      </x:c>
    </x:row>
    <x:row r="6" ht="18" customHeight="1">
      <x:c r="A6" s="24" t="str">
        <x:v>Other fishes &amp; inverts</x:v>
      </x:c>
      <x:c r="B6" s="31" t="n">
        <x:v>14234.5500147821</x:v>
      </x:c>
      <x:c r="C6" s="32" t="n">
        <x:v>3.2845586988770834</x:v>
      </x:c>
      <x:c r="D6" s="32" t="n">
        <x:f>IF(C6="","",(1/'Metadata'!$B$5)^(C6-1))</x:f>
        <x:v>192.55672855459275</x:v>
      </x:c>
      <x:c r="E6" s="31" t="n">
        <x:f>IF(B6=0,"",B6*D6)</x:f>
        <x:v>2740958.383293171</x:v>
      </x:c>
    </x:row>
    <x:row r="7" ht="18" customHeight="1">
      <x:c r="A7" s="24" t="str">
        <x:v>Perch-likes</x:v>
      </x:c>
      <x:c r="B7" s="31" t="n">
        <x:v>34489.3455063907</x:v>
      </x:c>
      <x:c r="C7" s="32" t="n">
        <x:v>3.668096917074624</x:v>
      </x:c>
      <x:c r="D7" s="32" t="n">
        <x:f>IF(C7="","",(1/'Metadata'!$B$5)^(C7-1))</x:f>
        <x:v>465.6900052217532</x:v>
      </x:c>
      <x:c r="E7" s="31" t="n">
        <x:f>IF(B7=0,"",B7*D7)</x:f>
        <x:v>16061343.488965936</x:v>
      </x:c>
    </x:row>
    <x:row r="8" ht="18" customHeight="1">
      <x:c r="A8" s="24" t="str">
        <x:v>Sharks &amp; rays</x:v>
      </x:c>
      <x:c r="B8" s="31" t="n">
        <x:v>9889.606707435</x:v>
      </x:c>
      <x:c r="C8" s="32" t="n">
        <x:v>4.3153218405389415</x:v>
      </x:c>
      <x:c r="D8" s="32" t="n">
        <x:f>IF(C8="","",(1/'Metadata'!$B$5)^(C8-1))</x:f>
        <x:v>2066.9113044955825</x:v>
      </x:c>
      <x:c r="E8" s="31" t="n">
        <x:f>IF(B8=0,"",B8*D8)</x:f>
        <x:v>20440939.900612738</x:v>
      </x:c>
    </x:row>
    <x:row r="9" ht="18" customHeight="1">
      <x:c r="A9" s="24" t="str">
        <x:v>Tuna &amp; billfishes</x:v>
      </x:c>
      <x:c r="B9" s="31" t="n">
        <x:v>469988.28054255334</x:v>
      </x:c>
      <x:c r="C9" s="32" t="n">
        <x:v>4.422118002975402</x:v>
      </x:c>
      <x:c r="D9" s="32" t="n">
        <x:f>IF(C9="","",(1/'Metadata'!$B$5)^(C9-1))</x:f>
        <x:v>2643.126828754931</x:v>
      </x:c>
      <x:c r="E9" s="31" t="n">
        <x:f>IF(B9=0,"",B9*D9)</x:f>
        <x:v>1242238633.5024219</x:v>
      </x:c>
    </x:row>
  </x:sheetData>
  <x:pageMargins left="0.7" right="0.7" top="0.75" bottom="0.75" header="0.3" footer="0.3"/>
  <x:tableParts count="1">
    <x:tablePart xmlns:r="http://schemas.openxmlformats.org/officeDocument/2006/relationships" r:id="R7704a660d5b749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demersals (&gt;=90 cm)</x:v>
      </x:c>
      <x:c r="B2" s="31" t="n">
        <x:v>58.714489799999996</x:v>
      </x:c>
      <x:c r="C2" s="32" t="n">
        <x:v>4.35</x:v>
      </x:c>
      <x:c r="D2" s="32" t="n">
        <x:f>IF(C2="","",(1/'Metadata'!$B$5)^(C2-1))</x:f>
        <x:v>2238.7211385683377</x:v>
      </x:c>
      <x:c r="E2" s="31" t="n">
        <x:f>IF(B2=0,"",B2*D2)</x:f>
        <x:v>131445.36945551503</x:v>
      </x:c>
    </x:row>
    <x:row r="3" ht="18" customHeight="1">
      <x:c r="A3" s="24" t="str">
        <x:v>Large pelagics (&gt;=90 cm)</x:v>
      </x:c>
      <x:c r="B3" s="31" t="n">
        <x:v>472550.0178038417</x:v>
      </x:c>
      <x:c r="C3" s="32" t="n">
        <x:v>4.4220386943697045</x:v>
      </x:c>
      <x:c r="D3" s="32" t="n">
        <x:f>IF(C3="","",(1/'Metadata'!$B$5)^(C3-1))</x:f>
        <x:v>2642.644198711804</x:v>
      </x:c>
      <x:c r="E3" s="31" t="n">
        <x:f>IF(B3=0,"",B3*D3)</x:f>
        <x:v>1248781563.150482</x:v>
      </x:c>
    </x:row>
    <x:row r="4" ht="18" customHeight="1">
      <x:c r="A4" s="24" t="str">
        <x:v>Large sharks (&gt;=90 cm)</x:v>
      </x:c>
      <x:c r="B4" s="31" t="n">
        <x:v>9889.606707435</x:v>
      </x:c>
      <x:c r="C4" s="32" t="n">
        <x:v>4.3153218405389415</x:v>
      </x:c>
      <x:c r="D4" s="32" t="n">
        <x:f>IF(C4="","",(1/'Metadata'!$B$5)^(C4-1))</x:f>
        <x:v>2066.9113044955825</x:v>
      </x:c>
      <x:c r="E4" s="31" t="n">
        <x:f>IF(B4=0,"",B4*D4)</x:f>
        <x:v>20440939.900612738</x:v>
      </x:c>
    </x:row>
    <x:row r="5" ht="18" customHeight="1">
      <x:c r="A5" s="24" t="str">
        <x:v>Lobsters, crabs</x:v>
      </x:c>
      <x:c r="B5" s="31" t="n">
        <x:v>193.26748096400001</x:v>
      </x:c>
      <x:c r="C5" s="32" t="n">
        <x:v>2.6045932637138542</x:v>
      </x:c>
      <x:c r="D5" s="32" t="n">
        <x:f>IF(C5="","",(1/'Metadata'!$B$5)^(C5-1))</x:f>
        <x:v>40.23400482968177</x:v>
      </x:c>
      <x:c r="E5" s="31" t="n">
        <x:f>IF(B5=0,"",B5*D5)</x:f>
        <x:v>7775.924762526007</x:v>
      </x:c>
    </x:row>
    <x:row r="6" ht="18" customHeight="1">
      <x:c r="A6" s="24" t="str">
        <x:v>Medium demersals (30 - 89 cm)</x:v>
      </x:c>
      <x:c r="B6" s="31" t="n">
        <x:v>13349.917628711</x:v>
      </x:c>
      <x:c r="C6" s="32" t="n">
        <x:v>3.2813333835724134</x:v>
      </x:c>
      <x:c r="D6" s="32" t="n">
        <x:f>IF(C6="","",(1/'Metadata'!$B$5)^(C6-1))</x:f>
        <x:v>191.1319908905936</x:v>
      </x:c>
      <x:c r="E6" s="31" t="n">
        <x:f>IF(B6=0,"",B6*D6)</x:f>
        <x:v>2551596.334600966</x:v>
      </x:c>
    </x:row>
    <x:row r="7" ht="18" customHeight="1">
      <x:c r="A7" s="24" t="str">
        <x:v>Medium pelagics (30 - 89 cm)</x:v>
      </x:c>
      <x:c r="B7" s="31" t="n">
        <x:v>14164.680938185398</x:v>
      </x:c>
      <x:c r="C7" s="32" t="n">
        <x:v>4.135237483296542</x:v>
      </x:c>
      <x:c r="D7" s="32" t="n">
        <x:f>IF(C7="","",(1/'Metadata'!$B$5)^(C7-1))</x:f>
        <x:v>1365.3295294975096</x:v>
      </x:c>
      <x:c r="E7" s="31" t="n">
        <x:f>IF(B7=0,"",B7*D7)</x:f>
        <x:v>19339457.16081501</x:v>
      </x:c>
    </x:row>
    <x:row r="8" ht="18" customHeight="1">
      <x:c r="A8" s="24" t="str">
        <x:v>Medium reef assoc. fish (30 - 89 cm)</x:v>
      </x:c>
      <x:c r="B8" s="31" t="n">
        <x:v>16752.584348698</x:v>
      </x:c>
      <x:c r="C8" s="32" t="n">
        <x:v>3.2848457867729093</x:v>
      </x:c>
      <x:c r="D8" s="32" t="n">
        <x:f>IF(C8="","",(1/'Metadata'!$B$5)^(C8-1))</x:f>
        <x:v>192.6840591651737</x:v>
      </x:c>
      <x:c r="E8" s="31" t="n">
        <x:f>IF(B8=0,"",B8*D8)</x:f>
        <x:v>3227955.9538140884</x:v>
      </x:c>
    </x:row>
    <x:row r="9" ht="18" customHeight="1">
      <x:c r="A9" s="24" t="str">
        <x:v>Other demersal invertebrates</x:v>
      </x:c>
      <x:c r="B9" s="31" t="n">
        <x:v>5117.750516416</x:v>
      </x:c>
      <x:c r="C9" s="32" t="n">
        <x:v>2.704885638602089</x:v>
      </x:c>
      <x:c r="D9" s="32" t="n">
        <x:f>IF(C9="","",(1/'Metadata'!$B$5)^(C9-1))</x:f>
        <x:v>50.6857221584579</x:v>
      </x:c>
      <x:c r="E9" s="31" t="n">
        <x:f>IF(B9=0,"",B9*D9)</x:f>
        <x:v>259396.88075136582</x:v>
      </x:c>
    </x:row>
    <x:row r="10" ht="18" customHeight="1">
      <x:c r="A10" s="24" t="str">
        <x:v>Shrimps</x:v>
      </x:c>
      <x:c r="B10" s="31" t="n">
        <x:v>2601.746623301</x:v>
      </x:c>
      <x:c r="C10" s="32" t="n">
        <x:v>2.989820862519464</x:v>
      </x:c>
      <x:c r="D10" s="32" t="n">
        <x:f>IF(C10="","",(1/'Metadata'!$B$5)^(C10-1))</x:f>
        <x:v>97.68342139602571</x:v>
      </x:c>
      <x:c r="E10" s="31" t="n">
        <x:f>IF(B10=0,"",B10*D10)</x:f>
        <x:v>254147.51176959855</x:v>
      </x:c>
    </x:row>
    <x:row r="11" ht="18" customHeight="1">
      <x:c r="A11" s="24" t="str">
        <x:v>Small benthopelagics (&lt;30 cm)</x:v>
      </x:c>
      <x:c r="B11" s="31" t="n">
        <x:v>127.1468633</x:v>
      </x:c>
      <x:c r="C11" s="32" t="n">
        <x:v>3.24</x:v>
      </x:c>
      <x:c r="D11" s="32" t="n">
        <x:f>IF(C11="","",(1/'Metadata'!$B$5)^(C11-1))</x:f>
        <x:v>173.78008287493762</x:v>
      </x:c>
      <x:c r="E11" s="31" t="n">
        <x:f>IF(B11=0,"",B11*D11)</x:f>
        <x:v>22095.592441562367</x:v>
      </x:c>
    </x:row>
    <x:row r="12" ht="18" customHeight="1">
      <x:c r="A12" s="24" t="str">
        <x:v>Small pelagics (&lt;30 cm)</x:v>
      </x:c>
      <x:c r="B12" s="31" t="n">
        <x:v>248.99594063</x:v>
      </x:c>
      <x:c r="C12" s="32" t="n">
        <x:v>3.173617021276015</x:v>
      </x:c>
      <x:c r="D12" s="32" t="n">
        <x:f>IF(C12="","",(1/'Metadata'!$B$5)^(C12-1))</x:f>
        <x:v>149.14785823741374</x:v>
      </x:c>
      <x:c r="E12" s="31" t="n">
        <x:f>IF(B12=0,"",B12*D12)</x:f>
        <x:v>37137.21125477473</x:v>
      </x:c>
    </x:row>
    <x:row r="13" ht="18" customHeight="1">
      <x:c r="A13" s="24" t="str">
        <x:v>Small reef assoc. fish (&lt;30 cm)</x:v>
      </x:c>
      <x:c r="B13" s="31" t="n">
        <x:v>1709.11399119</x:v>
      </x:c>
      <x:c r="C13" s="32" t="n">
        <x:v>2.28</x:v>
      </x:c>
      <x:c r="D13" s="32" t="n">
        <x:f>IF(C13="","",(1/'Metadata'!$B$5)^(C13-1))</x:f>
        <x:v>19.054607179632463</x:v>
      </x:c>
      <x:c r="E13" s="31" t="n">
        <x:f>IF(B13=0,"",B13*D13)</x:f>
        <x:v>32566.49572733927</x:v>
      </x:c>
    </x:row>
  </x:sheetData>
  <x:pageMargins left="0.7" right="0.7" top="0.75" bottom="0.75" header="0.3" footer="0.3"/>
  <x:tableParts count="1">
    <x:tablePart xmlns:r="http://schemas.openxmlformats.org/officeDocument/2006/relationships" r:id="R50359f58235c46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EEZ_598</x:v>
      </x:c>
      <x:c r="B2" s="24" t="str">
        <x:v>raw_filtered_tonnes</x:v>
      </x:c>
      <x:c r="C2" s="24" t="n">
        <x:v>536763.5433324722</x:v>
      </x:c>
      <x:c r="D2" s="24" t="str">
        <x:v>tonnes</x:v>
      </x:c>
    </x:row>
    <x:row r="3" ht="18" customHeight="1">
      <x:c r="A3" s="24" t="str">
        <x:v>EEZ_598</x:v>
      </x:c>
      <x:c r="B3" s="24" t="str">
        <x:v>species_catch_tonnes</x:v>
      </x:c>
      <x:c r="C3" s="24" t="n">
        <x:v>536763.5433324721</x:v>
      </x:c>
      <x:c r="D3" s="24" t="str">
        <x:v>tonnes</x:v>
      </x:c>
    </x:row>
    <x:row r="4" ht="18" customHeight="1">
      <x:c r="A4" s="24" t="str">
        <x:v>EEZ_598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EEZ_598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EEZ_598</x:v>
      </x:c>
      <x:c r="B6" s="24" t="str">
        <x:v>matched_catch_tonnes</x:v>
      </x:c>
      <x:c r="C6" s="24" t="n">
        <x:v>536763.5433324721</x:v>
      </x:c>
      <x:c r="D6" s="24" t="str">
        <x:v>tonnes</x:v>
      </x:c>
    </x:row>
    <x:row r="7" ht="18" customHeight="1">
      <x:c r="A7" s="24" t="str">
        <x:v>EEZ_598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EEZ_598</x:v>
      </x:c>
      <x:c r="B8" s="24" t="str">
        <x:v>taxa_count</x:v>
      </x:c>
      <x:c r="C8" s="24" t="n">
        <x:v>55</x:v>
      </x:c>
      <x:c r="D8" s="24" t="str">
        <x:v>count</x:v>
      </x:c>
    </x:row>
    <x:row r="9" ht="18" customHeight="1">
      <x:c r="A9" s="24" t="str">
        <x:v>EEZ_598</x:v>
      </x:c>
      <x:c r="B9" s="24" t="str">
        <x:v>matched_taxa_count</x:v>
      </x:c>
      <x:c r="C9" s="24" t="n">
        <x:v>55</x:v>
      </x:c>
      <x:c r="D9" s="24" t="str">
        <x:v>count</x:v>
      </x:c>
    </x:row>
    <x:row r="10" ht="18" customHeight="1">
      <x:c r="A10" s="24" t="str">
        <x:v>EEZ_598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EEZ_598</x:v>
      </x:c>
      <x:c r="B11" s="24" t="str">
        <x:v>species_ppr</x:v>
      </x:c>
      <x:c r="C11" s="24" t="n">
        <x:v>1304961504.0343719</x:v>
      </x:c>
      <x:c r="D11" s="24" t="str">
        <x:v>tonnes_primary_production_equivalent</x:v>
      </x:c>
    </x:row>
    <x:row r="12" ht="18" customHeight="1">
      <x:c r="A12" s="24" t="str">
        <x:v>EEZ_598</x:v>
      </x:c>
      <x:c r="B12" s="24" t="str">
        <x:v>commercial_ppr</x:v>
      </x:c>
      <x:c r="C12" s="24" t="n">
        <x:v>1282035228.7863865</x:v>
      </x:c>
      <x:c r="D12" s="24" t="str">
        <x:v>tonnes_primary_production_equivalent</x:v>
      </x:c>
    </x:row>
    <x:row r="13" ht="18" customHeight="1">
      <x:c r="A13" s="24" t="str">
        <x:v>EEZ_598</x:v>
      </x:c>
      <x:c r="B13" s="24" t="str">
        <x:v>functional_ppr</x:v>
      </x:c>
      <x:c r="C13" s="24" t="n">
        <x:v>1295086077.4864874</x:v>
      </x:c>
      <x:c r="D13" s="24" t="str">
        <x:v>tonnes_primary_production_equivalent</x:v>
      </x:c>
    </x:row>
    <x:row r="14" ht="18" customHeight="1">
      <x:c r="A14" s="24" t="str">
        <x:v>EEZ_598</x:v>
      </x:c>
      <x:c r="B14" s="24" t="str">
        <x:v>commercial_ppr_difference</x:v>
      </x:c>
      <x:c r="C14" s="24" t="n">
        <x:v>-22926275.247985363</x:v>
      </x:c>
      <x:c r="D14" s="24" t="str">
        <x:v>tonnes_primary_production_equivalent</x:v>
      </x:c>
    </x:row>
    <x:row r="15" ht="18" customHeight="1">
      <x:c r="A15" s="24" t="str">
        <x:v>EEZ_598</x:v>
      </x:c>
      <x:c r="B15" s="24" t="str">
        <x:v>functional_ppr_difference</x:v>
      </x:c>
      <x:c r="C15" s="24" t="n">
        <x:v>-9875426.547884464</x:v>
      </x:c>
      <x:c r="D15" s="24" t="str">
        <x:v>tonnes_primary_production_equivalent</x:v>
      </x:c>
    </x:row>
    <x:row r="16" ht="18" customHeight="1">
      <x:c r="A16" s="24" t="str">
        <x:v>EEZ_598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EEZ_598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7d039db25bd41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EEZ_598 - Papua New Guinea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EEZ_598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