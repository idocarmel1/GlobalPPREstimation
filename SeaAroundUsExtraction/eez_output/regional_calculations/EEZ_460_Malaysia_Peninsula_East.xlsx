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8b29a59cb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697e980695b40d9"/>
    <x:sheet xmlns:r="http://schemas.openxmlformats.org/officeDocument/2006/relationships" name="Commercial" sheetId="2" r:id="Rbd46f4712dfe47d7"/>
    <x:sheet xmlns:r="http://schemas.openxmlformats.org/officeDocument/2006/relationships" name="Functional" sheetId="3" r:id="R6e426a68b82c46f7"/>
    <x:sheet xmlns:r="http://schemas.openxmlformats.org/officeDocument/2006/relationships" name="Missing TL" sheetId="4" r:id="R05c12ff71ac44af8"/>
    <x:sheet xmlns:r="http://schemas.openxmlformats.org/officeDocument/2006/relationships" name="Validation" sheetId="5" r:id="R43f70a754a43478c"/>
    <x:sheet xmlns:r="http://schemas.openxmlformats.org/officeDocument/2006/relationships" name="Metadata" sheetId="6" r:id="R3a278f0202ec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96a8d2e814c76" /><Relationship Type="http://schemas.openxmlformats.org/officeDocument/2006/relationships/theme" Target="/xl/theme/theme1.xml" Id="Rdb3d26ba58334550" /><Relationship Type="http://schemas.microsoft.com/office/2022/11/relationships/FeaturePropertyBag" Target="/xl/featurePropertyBag/featurePropertyBag.xml" Id="Rd06e888c18ff469a" /><Relationship Type="http://schemas.openxmlformats.org/officeDocument/2006/relationships/sharedStrings" Target="/xl/sharedStrings.xml" Id="R726dbe9855aa4b15" /><Relationship Type="http://schemas.openxmlformats.org/officeDocument/2006/relationships/worksheet" Target="/xl/worksheets/sheet1.xml" Id="Re697e980695b40d9" /><Relationship Type="http://schemas.openxmlformats.org/officeDocument/2006/relationships/worksheet" Target="/xl/worksheets/sheet2.xml" Id="Rbd46f4712dfe47d7" /><Relationship Type="http://schemas.openxmlformats.org/officeDocument/2006/relationships/worksheet" Target="/xl/worksheets/sheet3.xml" Id="R6e426a68b82c46f7" /><Relationship Type="http://schemas.openxmlformats.org/officeDocument/2006/relationships/worksheet" Target="/xl/worksheets/sheet4.xml" Id="R05c12ff71ac44af8" /><Relationship Type="http://schemas.openxmlformats.org/officeDocument/2006/relationships/worksheet" Target="/xl/worksheets/sheet5.xml" Id="R43f70a754a43478c" /><Relationship Type="http://schemas.openxmlformats.org/officeDocument/2006/relationships/worksheet" Target="/xl/worksheets/sheet6.xml" Id="R3a278f0202ec40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60SpeciesTable" displayName="EEZ460SpeciesTable" ref="A1:U158" headerRowCount="1" totalsRowCount="0" totalsRowShown="0">
  <x:autoFilter ref="A1:U15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60CommercialTable" displayName="EEZ460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60FunctionalTable" displayName="EEZ460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60ValidationTable" displayName="EEZ46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f14259b1ad44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659b9fcccf46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1eadb98cba42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a4a2bf82aa40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EEZ_460</x:v>
      </x:c>
      <x:c r="B2" s="24" t="str">
        <x:v>Malaysia (Peninsula East)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51509.2938259844</x:v>
      </x:c>
      <x:c r="J2" s="31" t="n">
        <x:v>50568.7106106651</x:v>
      </x:c>
      <x:c r="K2" s="31" t="n">
        <x:v>940.5832153192999</x:v>
      </x:c>
      <x:c r="L2" s="31" t="n">
        <x:v>40613.8140612476</x:v>
      </x:c>
      <x:c r="M2" s="31" t="n">
        <x:v>10895.4797647368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9814893.599544005</x:v>
      </x:c>
    </x:row>
    <x:row r="3" ht="18" customHeight="1">
      <x:c r="A3" s="24" t="str">
        <x:v>EEZ_460</x:v>
      </x:c>
      <x:c r="B3" s="24" t="str">
        <x:v>Malaysia (Peninsula East)</x:v>
      </x:c>
      <x:c r="C3" s="24" t="str">
        <x:v>EEZ</x:v>
      </x:c>
      <x:c r="D3" s="30" t="n">
        <x:v>2019</x:v>
      </x:c>
      <x:c r="E3" s="24" t="str">
        <x:v>Decapterus</x:v>
      </x:c>
      <x:c r="F3" s="24" t="str">
        <x:v>Scads</x:v>
      </x:c>
      <x:c r="G3" s="24" t="str">
        <x:v>Medium pelagics (30 - 89 cm)</x:v>
      </x:c>
      <x:c r="H3" s="24" t="str">
        <x:v>Perch-likes</x:v>
      </x:c>
      <x:c r="I3" s="31" t="n">
        <x:v>48366.4585055705</x:v>
      </x:c>
      <x:c r="J3" s="31" t="n">
        <x:v>48366.4585055705</x:v>
      </x:c>
      <x:c r="K3" s="31" t="n">
        <x:v>0</x:v>
      </x:c>
      <x:c r="L3" s="31" t="n">
        <x:v>33271.3865859469</x:v>
      </x:c>
      <x:c r="M3" s="31" t="n">
        <x:v>15095.0719196236</x:v>
      </x:c>
      <x:c r="N3" s="24" t="str">
        <x:v>decapterus</x:v>
      </x:c>
      <x:c r="O3" s="32" t="n">
        <x:v>3.63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Decapterus</x:v>
      </x:c>
      <x:c r="T3" s="32" t="n">
        <x:f>IF(O3="","",(1/'Metadata'!$B$5)^(O3-1))</x:f>
        <x:v>426.57951880159254</x:v>
      </x:c>
      <x:c r="U3" s="31" t="n">
        <x:f>IF(T3="","",I3*T3)</x:f>
        <x:v>20632140.595443457</x:v>
      </x:c>
    </x:row>
    <x:row r="4" ht="18" customHeight="1">
      <x:c r="A4" s="24" t="str">
        <x:v>EEZ_460</x:v>
      </x:c>
      <x:c r="B4" s="24" t="str">
        <x:v>Malaysia (Peninsula East)</x:v>
      </x:c>
      <x:c r="C4" s="24" t="str">
        <x:v>EEZ</x:v>
      </x:c>
      <x:c r="D4" s="30" t="n">
        <x:v>2019</x:v>
      </x:c>
      <x:c r="E4" s="24" t="str">
        <x:v>Nemipterus</x:v>
      </x:c>
      <x:c r="F4" s="24" t="str">
        <x:v>Threadfin breams</x:v>
      </x:c>
      <x:c r="G4" s="24" t="str">
        <x:v>Small demersals (&lt;30 cm)</x:v>
      </x:c>
      <x:c r="H4" s="24" t="str">
        <x:v>Perch-likes</x:v>
      </x:c>
      <x:c r="I4" s="31" t="n">
        <x:v>33833.2261128127</x:v>
      </x:c>
      <x:c r="J4" s="31" t="n">
        <x:v>33753.2310097756</x:v>
      </x:c>
      <x:c r="K4" s="31" t="n">
        <x:v>79.9951030371</x:v>
      </x:c>
      <x:c r="L4" s="31" t="n">
        <x:v>19291.8046762757</x:v>
      </x:c>
      <x:c r="M4" s="31" t="n">
        <x:v>14541.421436537</x:v>
      </x:c>
      <x:c r="N4" s="24" t="str">
        <x:v>nemipterus</x:v>
      </x:c>
      <x:c r="O4" s="32" t="n">
        <x:v>3.72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Nemipterus</x:v>
      </x:c>
      <x:c r="T4" s="32" t="n">
        <x:f>IF(O4="","",(1/'Metadata'!$B$5)^(O4-1))</x:f>
        <x:v>524.8074602497728</x:v>
      </x:c>
      <x:c r="U4" s="31" t="n">
        <x:f>IF(T4="","",I4*T4)</x:f>
        <x:v>17755929.468321525</x:v>
      </x:c>
    </x:row>
    <x:row r="5" ht="18" customHeight="1">
      <x:c r="A5" s="24" t="str">
        <x:v>EEZ_460</x:v>
      </x:c>
      <x:c r="B5" s="24" t="str">
        <x:v>Malaysia (Peninsula East)</x:v>
      </x:c>
      <x:c r="C5" s="24" t="str">
        <x:v>EEZ</x:v>
      </x:c>
      <x:c r="D5" s="30" t="n">
        <x:v>2019</x:v>
      </x:c>
      <x:c r="E5" s="24" t="str">
        <x:v>Rastrelliger</x:v>
      </x:c>
      <x:c r="F5" s="24" t="str">
        <x:v>Indian mackerels</x:v>
      </x:c>
      <x:c r="G5" s="24" t="str">
        <x:v>Medium pelagics (30 - 89 cm)</x:v>
      </x:c>
      <x:c r="H5" s="24" t="str">
        <x:v>Perch-likes</x:v>
      </x:c>
      <x:c r="I5" s="31" t="n">
        <x:v>33392.1266288727</x:v>
      </x:c>
      <x:c r="J5" s="31" t="n">
        <x:v>33392.1266288727</x:v>
      </x:c>
      <x:c r="K5" s="31" t="n">
        <x:v>0</x:v>
      </x:c>
      <x:c r="L5" s="31" t="n">
        <x:v>18067.2487456224</x:v>
      </x:c>
      <x:c r="M5" s="31" t="n">
        <x:v>15324.8778832503</x:v>
      </x:c>
      <x:c r="N5" s="24" t="str">
        <x:v>rastrelliger</x:v>
      </x:c>
      <x:c r="O5" s="32" t="n">
        <x:v>3.1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Rastrelliger</x:v>
      </x:c>
      <x:c r="T5" s="32" t="n">
        <x:f>IF(O5="","",(1/'Metadata'!$B$5)^(O5-1))</x:f>
        <x:v>125.89254117941675</x:v>
      </x:c>
      <x:c r="U5" s="31" t="n">
        <x:f>IF(T5="","",I5*T5)</x:f>
        <x:v>4203819.676693655</x:v>
      </x:c>
    </x:row>
    <x:row r="6" ht="18" customHeight="1">
      <x:c r="A6" s="24" t="str">
        <x:v>EEZ_460</x:v>
      </x:c>
      <x:c r="B6" s="24" t="str">
        <x:v>Malaysia (Peninsula East)</x:v>
      </x:c>
      <x:c r="C6" s="24" t="str">
        <x:v>EEZ</x:v>
      </x:c>
      <x:c r="D6" s="30" t="n">
        <x:v>2019</x:v>
      </x:c>
      <x:c r="E6" s="24" t="str">
        <x:v>Carangidae</x:v>
      </x:c>
      <x:c r="F6" s="24" t="str">
        <x:v>Jacks, pompanos</x:v>
      </x:c>
      <x:c r="G6" s="24" t="str">
        <x:v>Medium pelagics (30 - 89 cm)</x:v>
      </x:c>
      <x:c r="H6" s="24" t="str">
        <x:v>Perch-likes</x:v>
      </x:c>
      <x:c r="I6" s="31" t="n">
        <x:v>26089.025775651102</x:v>
      </x:c>
      <x:c r="J6" s="31" t="n">
        <x:v>26088.1961888091</x:v>
      </x:c>
      <x:c r="K6" s="31" t="n">
        <x:v>0.829586842</x:v>
      </x:c>
      <x:c r="L6" s="31" t="n">
        <x:v>17813.3789207029</x:v>
      </x:c>
      <x:c r="M6" s="31" t="n">
        <x:v>8275.6468549482</x:v>
      </x:c>
      <x:c r="N6" s="24" t="str">
        <x:v>carangidae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Carangidae</x:v>
      </x:c>
      <x:c r="T6" s="32" t="n">
        <x:f>IF(O6="","",(1/'Metadata'!$B$5)^(O6-1))</x:f>
        <x:v>1122.018454301963</x:v>
      </x:c>
      <x:c r="U6" s="31" t="n">
        <x:f>IF(T6="","",I6*T6)</x:f>
        <x:v>29272368.375040118</x:v>
      </x:c>
    </x:row>
    <x:row r="7" ht="18" customHeight="1">
      <x:c r="A7" s="24" t="str">
        <x:v>EEZ_460</x:v>
      </x:c>
      <x:c r="B7" s="24" t="str">
        <x:v>Malaysia (Peninsula East)</x:v>
      </x:c>
      <x:c r="C7" s="24" t="str">
        <x:v>EEZ</x:v>
      </x:c>
      <x:c r="D7" s="30" t="n">
        <x:v>2019</x:v>
      </x:c>
      <x:c r="E7" s="24" t="str">
        <x:v>Sardinella</x:v>
      </x:c>
      <x:c r="F7" s="24" t="str">
        <x:v>Sardinellas</x:v>
      </x:c>
      <x:c r="G7" s="24" t="str">
        <x:v>Small pelagics (&lt;30 cm)</x:v>
      </x:c>
      <x:c r="H7" s="24" t="str">
        <x:v>Herring-likes</x:v>
      </x:c>
      <x:c r="I7" s="31" t="n">
        <x:v>25472.2343942838</x:v>
      </x:c>
      <x:c r="J7" s="31" t="n">
        <x:v>25472.2343942838</x:v>
      </x:c>
      <x:c r="K7" s="31" t="n">
        <x:v>0</x:v>
      </x:c>
      <x:c r="L7" s="31" t="n">
        <x:v>17495.268410043</x:v>
      </x:c>
      <x:c r="M7" s="31" t="n">
        <x:v>7976.965984240799</x:v>
      </x:c>
      <x:c r="N7" s="24" t="str">
        <x:v>sardinella</x:v>
      </x:c>
      <x:c r="O7" s="32" t="n">
        <x:v>2.77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Sardinella</x:v>
      </x:c>
      <x:c r="T7" s="32" t="n">
        <x:f>IF(O7="","",(1/'Metadata'!$B$5)^(O7-1))</x:f>
        <x:v>58.8843655355589</x:v>
      </x:c>
      <x:c r="U7" s="31" t="n">
        <x:f>IF(T7="","",I7*T7)</x:f>
        <x:v>1499916.361080443</x:v>
      </x:c>
    </x:row>
    <x:row r="8" ht="18" customHeight="1">
      <x:c r="A8" s="24" t="str">
        <x:v>EEZ_460</x:v>
      </x:c>
      <x:c r="B8" s="24" t="str">
        <x:v>Malaysia (Peninsula East)</x:v>
      </x:c>
      <x:c r="C8" s="24" t="str">
        <x:v>EEZ</x:v>
      </x:c>
      <x:c r="D8" s="30" t="n">
        <x:v>2019</x:v>
      </x:c>
      <x:c r="E8" s="24" t="str">
        <x:v>Priacanthus</x:v>
      </x:c>
      <x:c r="F8" s="24" t="str">
        <x:v>Bigeyes</x:v>
      </x:c>
      <x:c r="G8" s="24" t="str">
        <x:v>Medium reef assoc. fish (30 - 89 cm)</x:v>
      </x:c>
      <x:c r="H8" s="24" t="str">
        <x:v>Perch-likes</x:v>
      </x:c>
      <x:c r="I8" s="31" t="n">
        <x:v>18583.1076086828</x:v>
      </x:c>
      <x:c r="J8" s="31" t="n">
        <x:v>18522.158215492298</x:v>
      </x:c>
      <x:c r="K8" s="31" t="n">
        <x:v>60.9493931905</x:v>
      </x:c>
      <x:c r="L8" s="31" t="n">
        <x:v>10565.3204205524</x:v>
      </x:c>
      <x:c r="M8" s="31" t="n">
        <x:v>8017.7871881304</x:v>
      </x:c>
      <x:c r="N8" s="24" t="str">
        <x:v>priacanthus</x:v>
      </x:c>
      <x:c r="O8" s="32" t="n">
        <x:v>3.81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Priacanthus</x:v>
      </x:c>
      <x:c r="T8" s="32" t="n">
        <x:f>IF(O8="","",(1/'Metadata'!$B$5)^(O8-1))</x:f>
        <x:v>645.6542290346556</x:v>
      </x:c>
      <x:c r="U8" s="31" t="n">
        <x:f>IF(T8="","",I8*T8)</x:f>
        <x:v>11998262.016152136</x:v>
      </x:c>
    </x:row>
    <x:row r="9" ht="18" customHeight="1">
      <x:c r="A9" s="24" t="str">
        <x:v>EEZ_460</x:v>
      </x:c>
      <x:c r="B9" s="24" t="str">
        <x:v>Malaysia (Peninsula East)</x:v>
      </x:c>
      <x:c r="C9" s="24" t="str">
        <x:v>EEZ</x:v>
      </x:c>
      <x:c r="D9" s="30" t="n">
        <x:v>2019</x:v>
      </x:c>
      <x:c r="E9" s="24" t="str">
        <x:v>Stolephorus</x:v>
      </x:c>
      <x:c r="F9" s="24" t="str">
        <x:v>Garment anchovies</x:v>
      </x:c>
      <x:c r="G9" s="24" t="str">
        <x:v>Small pelagics (&lt;30 cm)</x:v>
      </x:c>
      <x:c r="H9" s="24" t="str">
        <x:v>Anchovies</x:v>
      </x:c>
      <x:c r="I9" s="31" t="n">
        <x:v>18247.9727475834</x:v>
      </x:c>
      <x:c r="J9" s="31" t="n">
        <x:v>17856.5553151036</x:v>
      </x:c>
      <x:c r="K9" s="31" t="n">
        <x:v>391.4174324798</x:v>
      </x:c>
      <x:c r="L9" s="31" t="n">
        <x:v>14304.539030730899</x:v>
      </x:c>
      <x:c r="M9" s="31" t="n">
        <x:v>3943.4337168525</x:v>
      </x:c>
      <x:c r="N9" s="24" t="str">
        <x:v>stolephorus</x:v>
      </x:c>
      <x:c r="O9" s="32" t="n">
        <x:v>3.44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Stolephorus</x:v>
      </x:c>
      <x:c r="T9" s="32" t="n">
        <x:f>IF(O9="","",(1/'Metadata'!$B$5)^(O9-1))</x:f>
        <x:v>275.4228703338166</x:v>
      </x:c>
      <x:c r="U9" s="31" t="n">
        <x:f>IF(T9="","",I9*T9)</x:f>
        <x:v>5025909.031912682</x:v>
      </x:c>
    </x:row>
    <x:row r="10" ht="18" customHeight="1">
      <x:c r="A10" s="24" t="str">
        <x:v>EEZ_460</x:v>
      </x:c>
      <x:c r="B10" s="24" t="str">
        <x:v>Malaysia (Peninsula East)</x:v>
      </x:c>
      <x:c r="C10" s="24" t="str">
        <x:v>EEZ</x:v>
      </x:c>
      <x:c r="D10" s="30" t="n">
        <x:v>2019</x:v>
      </x:c>
      <x:c r="E10" s="24" t="str">
        <x:v>Alepes</x:v>
      </x:c>
      <x:c r="F10" s="24" t="str">
        <x:v>Crevalles</x:v>
      </x:c>
      <x:c r="G10" s="24" t="str">
        <x:v>Medium reef assoc. fish (30 - 89 cm)</x:v>
      </x:c>
      <x:c r="H10" s="24" t="str">
        <x:v>Perch-likes</x:v>
      </x:c>
      <x:c r="I10" s="31" t="n">
        <x:v>17161.346840810602</x:v>
      </x:c>
      <x:c r="J10" s="31" t="n">
        <x:v>17156.5854133487</x:v>
      </x:c>
      <x:c r="K10" s="31" t="n">
        <x:v>4.7614274619</x:v>
      </x:c>
      <x:c r="L10" s="31" t="n">
        <x:v>11210.102717248299</x:v>
      </x:c>
      <x:c r="M10" s="31" t="n">
        <x:v>5951.2441235623</x:v>
      </x:c>
      <x:c r="N10" s="24" t="str">
        <x:v>alepes</x:v>
      </x:c>
      <x:c r="O10" s="32" t="n">
        <x:v>3.32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Alepes</x:v>
      </x:c>
      <x:c r="T10" s="32" t="n">
        <x:f>IF(O10="","",(1/'Metadata'!$B$5)^(O10-1))</x:f>
        <x:v>208.92961308540387</x:v>
      </x:c>
      <x:c r="U10" s="31" t="n">
        <x:f>IF(T10="","",I10*T10)</x:f>
        <x:v>3585513.555474977</x:v>
      </x:c>
    </x:row>
    <x:row r="11" ht="18" customHeight="1">
      <x:c r="A11" s="24" t="str">
        <x:v>EEZ_460</x:v>
      </x:c>
      <x:c r="B11" s="24" t="str">
        <x:v>Malaysia (Peninsula East)</x:v>
      </x:c>
      <x:c r="C11" s="24" t="str">
        <x:v>EEZ</x:v>
      </x:c>
      <x:c r="D11" s="30" t="n">
        <x:v>2019</x:v>
      </x:c>
      <x:c r="E11" s="24" t="str">
        <x:v>Sepia</x:v>
      </x:c>
      <x:c r="F11" s="24" t="str">
        <x:v>Sepia cuttlefishes</x:v>
      </x:c>
      <x:c r="G11" s="24" t="str">
        <x:v>Cephalopods</x:v>
      </x:c>
      <x:c r="H11" s="24" t="str">
        <x:v>Other fishes &amp; inverts</x:v>
      </x:c>
      <x:c r="I11" s="31" t="n">
        <x:v>16700.8813811581</x:v>
      </x:c>
      <x:c r="J11" s="31" t="n">
        <x:v>16673.2619801991</x:v>
      </x:c>
      <x:c r="K11" s="31" t="n">
        <x:v>27.619400959</x:v>
      </x:c>
      <x:c r="L11" s="31" t="n">
        <x:v>9177.7437739372</x:v>
      </x:c>
      <x:c r="M11" s="31" t="n">
        <x:v>7523.1376072209</x:v>
      </x:c>
      <x:c r="N11" s="24" t="str">
        <x:v>sepia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Sepia</x:v>
      </x:c>
      <x:c r="T11" s="32" t="n">
        <x:f>IF(O11="","",(1/'Metadata'!$B$5)^(O11-1))</x:f>
        <x:v>489.77881936844614</x:v>
      </x:c>
      <x:c r="U11" s="31" t="n">
        <x:f>IF(T11="","",I11*T11)</x:f>
        <x:v>8179737.965276077</x:v>
      </x:c>
    </x:row>
    <x:row r="12" ht="18" customHeight="1">
      <x:c r="A12" s="24" t="str">
        <x:v>EEZ_460</x:v>
      </x:c>
      <x:c r="B12" s="24" t="str">
        <x:v>Malaysia (Peninsula East)</x:v>
      </x:c>
      <x:c r="C12" s="24" t="str">
        <x:v>EEZ</x:v>
      </x:c>
      <x:c r="D12" s="30" t="n">
        <x:v>2019</x:v>
      </x:c>
      <x:c r="E12" s="24" t="str">
        <x:v>Selaroides leptolepis</x:v>
      </x:c>
      <x:c r="F12" s="24" t="str">
        <x:v>Yellowstripe scad</x:v>
      </x:c>
      <x:c r="G12" s="24" t="str">
        <x:v>Small pelagics (&lt;30 cm)</x:v>
      </x:c>
      <x:c r="H12" s="24" t="str">
        <x:v>Perch-likes</x:v>
      </x:c>
      <x:c r="I12" s="31" t="n">
        <x:v>15564.7008965496</x:v>
      </x:c>
      <x:c r="J12" s="31" t="n">
        <x:v>15560.888632898801</x:v>
      </x:c>
      <x:c r="K12" s="31" t="n">
        <x:v>3.8122636508000003</x:v>
      </x:c>
      <x:c r="L12" s="31" t="n">
        <x:v>10685.0307590108</x:v>
      </x:c>
      <x:c r="M12" s="31" t="n">
        <x:v>4879.6701375388</x:v>
      </x:c>
      <x:c r="N12" s="24" t="str">
        <x:v>selaroides leptolepis</x:v>
      </x:c>
      <x:c r="O12" s="32" t="n">
        <x:v>3.84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Selaroides leptolepis</x:v>
      </x:c>
      <x:c r="T12" s="32" t="n">
        <x:f>IF(O12="","",(1/'Metadata'!$B$5)^(O12-1))</x:f>
        <x:v>691.8309709189363</x:v>
      </x:c>
      <x:c r="U12" s="31" t="n">
        <x:f>IF(T12="","",I12*T12)</x:f>
        <x:v>10768142.133322747</x:v>
      </x:c>
    </x:row>
    <x:row r="13" ht="18" customHeight="1">
      <x:c r="A13" s="24" t="str">
        <x:v>EEZ_460</x:v>
      </x:c>
      <x:c r="B13" s="24" t="str">
        <x:v>Malaysia (Peninsula East)</x:v>
      </x:c>
      <x:c r="C13" s="24" t="str">
        <x:v>EEZ</x:v>
      </x:c>
      <x:c r="D13" s="30" t="n">
        <x:v>2019</x:v>
      </x:c>
      <x:c r="E13" s="24" t="str">
        <x:v>Saurida</x:v>
      </x:c>
      <x:c r="F13" s="24" t="str">
        <x:v>Lizardfishes</x:v>
      </x:c>
      <x:c r="G13" s="24" t="str">
        <x:v>Medium demersals (30 - 89 cm)</x:v>
      </x:c>
      <x:c r="H13" s="24" t="str">
        <x:v>Other fishes &amp; inverts</x:v>
      </x:c>
      <x:c r="I13" s="31" t="n">
        <x:v>11888.0114297455</x:v>
      </x:c>
      <x:c r="J13" s="31" t="n">
        <x:v>11888.0114297455</x:v>
      </x:c>
      <x:c r="K13" s="31" t="n">
        <x:v>0</x:v>
      </x:c>
      <x:c r="L13" s="31" t="n">
        <x:v>6303.7704956647995</x:v>
      </x:c>
      <x:c r="M13" s="31" t="n">
        <x:v>5584.2409340807</x:v>
      </x:c>
      <x:c r="N13" s="24" t="str">
        <x:v>saurida</x:v>
      </x:c>
      <x:c r="O13" s="32" t="n">
        <x:v>4.35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Saurida</x:v>
      </x:c>
      <x:c r="T13" s="32" t="n">
        <x:f>IF(O13="","",(1/'Metadata'!$B$5)^(O13-1))</x:f>
        <x:v>2238.7211385683377</x:v>
      </x:c>
      <x:c r="U13" s="31" t="n">
        <x:f>IF(T13="","",I13*T13)</x:f>
        <x:v>26613942.48331326</x:v>
      </x:c>
    </x:row>
    <x:row r="14" ht="18" customHeight="1">
      <x:c r="A14" s="24" t="str">
        <x:v>EEZ_460</x:v>
      </x:c>
      <x:c r="B14" s="24" t="str">
        <x:v>Malaysia (Peninsula East)</x:v>
      </x:c>
      <x:c r="C14" s="24" t="str">
        <x:v>EEZ</x:v>
      </x:c>
      <x:c r="D14" s="30" t="n">
        <x:v>2019</x:v>
      </x:c>
      <x:c r="E14" s="24" t="str">
        <x:v>Apogonidae</x:v>
      </x:c>
      <x:c r="F14" s="24" t="str">
        <x:v>Cardinalfishes</x:v>
      </x:c>
      <x:c r="G14" s="24" t="str">
        <x:v>Small reef assoc. fish (&lt;30 cm)</x:v>
      </x:c>
      <x:c r="H14" s="24" t="str">
        <x:v>Perch-likes</x:v>
      </x:c>
      <x:c r="I14" s="31" t="n">
        <x:v>10825.380209168401</x:v>
      </x:c>
      <x:c r="J14" s="31" t="n">
        <x:v>10421.5768219258</x:v>
      </x:c>
      <x:c r="K14" s="31" t="n">
        <x:v>403.8033872426</x:v>
      </x:c>
      <x:c r="L14" s="31" t="n">
        <x:v>10421.5768219258</x:v>
      </x:c>
      <x:c r="M14" s="31" t="n">
        <x:v>403.8033872426</x:v>
      </x:c>
      <x:c r="N14" s="24" t="str">
        <x:v>apogonidae</x:v>
      </x:c>
      <x:c r="O14" s="32" t="n">
        <x:v>3.54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Apogonidae</x:v>
      </x:c>
      <x:c r="T14" s="32" t="n">
        <x:f>IF(O14="","",(1/'Metadata'!$B$5)^(O14-1))</x:f>
        <x:v>346.73685045253166</x:v>
      </x:c>
      <x:c r="U14" s="31" t="n">
        <x:f>IF(T14="","",I14*T14)</x:f>
        <x:v>3753558.2386782197</x:v>
      </x:c>
    </x:row>
    <x:row r="15" ht="18" customHeight="1">
      <x:c r="A15" s="24" t="str">
        <x:v>EEZ_460</x:v>
      </x:c>
      <x:c r="B15" s="24" t="str">
        <x:v>Malaysia (Peninsula East)</x:v>
      </x:c>
      <x:c r="C15" s="24" t="str">
        <x:v>EEZ</x:v>
      </x:c>
      <x:c r="D15" s="30" t="n">
        <x:v>2019</x:v>
      </x:c>
      <x:c r="E15" s="24" t="str">
        <x:v>Saurida tumbil</x:v>
      </x:c>
      <x:c r="F15" s="24" t="str">
        <x:v>Greater lizardfish</x:v>
      </x:c>
      <x:c r="G15" s="24" t="str">
        <x:v>Medium demersals (30 - 89 cm)</x:v>
      </x:c>
      <x:c r="H15" s="24" t="str">
        <x:v>Other fishes &amp; inverts</x:v>
      </x:c>
      <x:c r="I15" s="31" t="n">
        <x:v>8631.2498834527</x:v>
      </x:c>
      <x:c r="J15" s="31" t="n">
        <x:v>8309.3555352758</x:v>
      </x:c>
      <x:c r="K15" s="31" t="n">
        <x:v>321.8943481769</x:v>
      </x:c>
      <x:c r="L15" s="31" t="n">
        <x:v>8309.3555352758</x:v>
      </x:c>
      <x:c r="M15" s="31" t="n">
        <x:v>321.8943481769</x:v>
      </x:c>
      <x:c r="N15" s="24" t="str">
        <x:v>saurida tumbil</x:v>
      </x:c>
      <x:c r="O15" s="32" t="n">
        <x:v>4.4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Saurida tumbil</x:v>
      </x:c>
      <x:c r="T15" s="32" t="n">
        <x:f>IF(O15="","",(1/'Metadata'!$B$5)^(O15-1))</x:f>
        <x:v>2511.886431509582</x:v>
      </x:c>
      <x:c r="U15" s="31" t="n">
        <x:f>IF(T15="","",I15*T15)</x:f>
        <x:v>21680719.469213497</x:v>
      </x:c>
    </x:row>
    <x:row r="16" ht="18" customHeight="1">
      <x:c r="A16" s="24" t="str">
        <x:v>EEZ_460</x:v>
      </x:c>
      <x:c r="B16" s="24" t="str">
        <x:v>Malaysia (Peninsula East)</x:v>
      </x:c>
      <x:c r="C16" s="24" t="str">
        <x:v>EEZ</x:v>
      </x:c>
      <x:c r="D16" s="30" t="n">
        <x:v>2019</x:v>
      </x:c>
      <x:c r="E16" s="24" t="str">
        <x:v>Megalaspis cordyla</x:v>
      </x:c>
      <x:c r="F16" s="24" t="str">
        <x:v>Torpedo scad</x:v>
      </x:c>
      <x:c r="G16" s="24" t="str">
        <x:v>Medium pelagics (30 - 89 cm)</x:v>
      </x:c>
      <x:c r="H16" s="24" t="str">
        <x:v>Perch-likes</x:v>
      </x:c>
      <x:c r="I16" s="31" t="n">
        <x:v>7916.9856659605</x:v>
      </x:c>
      <x:c r="J16" s="31" t="n">
        <x:v>7907.4628110372005</x:v>
      </x:c>
      <x:c r="K16" s="31" t="n">
        <x:v>9.5228549233</x:v>
      </x:c>
      <x:c r="L16" s="31" t="n">
        <x:v>5222.8620170364</x:v>
      </x:c>
      <x:c r="M16" s="31" t="n">
        <x:v>2694.1236489241</x:v>
      </x:c>
      <x:c r="N16" s="24" t="str">
        <x:v>megalaspis cordyla</x:v>
      </x:c>
      <x:c r="O16" s="32" t="n">
        <x:v>4.24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Megalaspis cordyla</x:v>
      </x:c>
      <x:c r="T16" s="32" t="n">
        <x:f>IF(O16="","",(1/'Metadata'!$B$5)^(O16-1))</x:f>
        <x:v>1737.8008287493763</x:v>
      </x:c>
      <x:c r="U16" s="31" t="n">
        <x:f>IF(T16="","",I16*T16)</x:f>
        <x:v>13758144.25150309</x:v>
      </x:c>
    </x:row>
    <x:row r="17" ht="18" customHeight="1">
      <x:c r="A17" s="24" t="str">
        <x:v>EEZ_460</x:v>
      </x:c>
      <x:c r="B17" s="24" t="str">
        <x:v>Malaysia (Peninsula East)</x:v>
      </x:c>
      <x:c r="C17" s="24" t="str">
        <x:v>EEZ</x:v>
      </x:c>
      <x:c r="D17" s="30" t="n">
        <x:v>2019</x:v>
      </x:c>
      <x:c r="E17" s="24" t="str">
        <x:v>Epinephelus</x:v>
      </x:c>
      <x:c r="F17" s="24" t="str">
        <x:v>Seabasses, hinds</x:v>
      </x:c>
      <x:c r="G17" s="24" t="str">
        <x:v>Medium reef assoc. fish (30 - 89 cm)</x:v>
      </x:c>
      <x:c r="H17" s="24" t="str">
        <x:v>Perch-likes</x:v>
      </x:c>
      <x:c r="I17" s="31" t="n">
        <x:v>7577.467988593699</x:v>
      </x:c>
      <x:c r="J17" s="31" t="n">
        <x:v>7573.656288579599</x:v>
      </x:c>
      <x:c r="K17" s="31" t="n">
        <x:v>3.8117000141</x:v>
      </x:c>
      <x:c r="L17" s="31" t="n">
        <x:v>4812.1298773206</x:v>
      </x:c>
      <x:c r="M17" s="31" t="n">
        <x:v>2765.3381112731</x:v>
      </x:c>
      <x:c r="N17" s="24" t="str">
        <x:v>epinephelus</x:v>
      </x:c>
      <x:c r="O17" s="32" t="n">
        <x:v>3.84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Epinephelus</x:v>
      </x:c>
      <x:c r="T17" s="32" t="n">
        <x:f>IF(O17="","",(1/'Metadata'!$B$5)^(O17-1))</x:f>
        <x:v>691.8309709189363</x:v>
      </x:c>
      <x:c r="U17" s="31" t="n">
        <x:f>IF(T17="","",I17*T17)</x:f>
        <x:v>5242327.035655938</x:v>
      </x:c>
    </x:row>
    <x:row r="18" ht="18" customHeight="1">
      <x:c r="A18" s="24" t="str">
        <x:v>EEZ_460</x:v>
      </x:c>
      <x:c r="B18" s="24" t="str">
        <x:v>Malaysia (Peninsula East)</x:v>
      </x:c>
      <x:c r="C18" s="24" t="str">
        <x:v>EEZ</x:v>
      </x:c>
      <x:c r="D18" s="30" t="n">
        <x:v>2019</x:v>
      </x:c>
      <x:c r="E18" s="24" t="str">
        <x:v>Leiognathidae</x:v>
      </x:c>
      <x:c r="F18" s="24" t="str">
        <x:v>Slipmouths, ponyfishes</x:v>
      </x:c>
      <x:c r="G18" s="24" t="str">
        <x:v>Small benthopelagics (&lt;30 cm)</x:v>
      </x:c>
      <x:c r="H18" s="24" t="str">
        <x:v>Perch-likes</x:v>
      </x:c>
      <x:c r="I18" s="31" t="n">
        <x:v>7483.794974631</x:v>
      </x:c>
      <x:c r="J18" s="31" t="n">
        <x:v>7218.3292374342</x:v>
      </x:c>
      <x:c r="K18" s="31" t="n">
        <x:v>265.46573719680003</x:v>
      </x:c>
      <x:c r="L18" s="31" t="n">
        <x:v>7065.6833820239</x:v>
      </x:c>
      <x:c r="M18" s="31" t="n">
        <x:v>418.1115926071</x:v>
      </x:c>
      <x:c r="N18" s="24" t="str">
        <x:v>leiognathidae</x:v>
      </x:c>
      <x:c r="O18" s="32" t="n">
        <x:v>3.24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Leiognathidae</x:v>
      </x:c>
      <x:c r="T18" s="32" t="n">
        <x:f>IF(O18="","",(1/'Metadata'!$B$5)^(O18-1))</x:f>
        <x:v>173.78008287493762</x:v>
      </x:c>
      <x:c r="U18" s="31" t="n">
        <x:f>IF(T18="","",I18*T18)</x:f>
        <x:v>1300534.5109104167</x:v>
      </x:c>
    </x:row>
    <x:row r="19" ht="18" customHeight="1">
      <x:c r="A19" s="24" t="str">
        <x:v>EEZ_460</x:v>
      </x:c>
      <x:c r="B19" s="24" t="str">
        <x:v>Malaysia (Peninsula East)</x:v>
      </x:c>
      <x:c r="C19" s="24" t="str">
        <x:v>EEZ</x:v>
      </x:c>
      <x:c r="D19" s="30" t="n">
        <x:v>2019</x:v>
      </x:c>
      <x:c r="E19" s="24" t="str">
        <x:v>Himantura</x:v>
      </x:c>
      <x:c r="F19" s="24" t="str">
        <x:v>Whiprays</x:v>
      </x:c>
      <x:c r="G19" s="24" t="str">
        <x:v>Large rays (&gt;=90 cm)</x:v>
      </x:c>
      <x:c r="H19" s="24" t="str">
        <x:v>Sharks &amp; rays</x:v>
      </x:c>
      <x:c r="I19" s="31" t="n">
        <x:v>6642.1052006612</x:v>
      </x:c>
      <x:c r="J19" s="31" t="n">
        <x:v>6642.1052006612</x:v>
      </x:c>
      <x:c r="K19" s="31" t="n">
        <x:v>0</x:v>
      </x:c>
      <x:c r="L19" s="31" t="n">
        <x:v>4289.6175890766</x:v>
      </x:c>
      <x:c r="M19" s="31" t="n">
        <x:v>2352.4876115846</x:v>
      </x:c>
      <x:c r="N19" s="24" t="str">
        <x:v>himantura</x:v>
      </x:c>
      <x:c r="O19" s="32" t="n">
        <x:v>3.85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Himantura</x:v>
      </x:c>
      <x:c r="T19" s="32" t="n">
        <x:f>IF(O19="","",(1/'Metadata'!$B$5)^(O19-1))</x:f>
        <x:v>707.945784384138</x:v>
      </x:c>
      <x:c r="U19" s="31" t="n">
        <x:f>IF(T19="","",I19*T19)</x:f>
        <x:v>4702250.376244056</x:v>
      </x:c>
    </x:row>
    <x:row r="20" ht="18" customHeight="1">
      <x:c r="A20" s="24" t="str">
        <x:v>EEZ_460</x:v>
      </x:c>
      <x:c r="B20" s="24" t="str">
        <x:v>Malaysia (Peninsula East)</x:v>
      </x:c>
      <x:c r="C20" s="24" t="str">
        <x:v>EEZ</x:v>
      </x:c>
      <x:c r="D20" s="30" t="n">
        <x:v>2019</x:v>
      </x:c>
      <x:c r="E20" s="24" t="str">
        <x:v>Pomadasys</x:v>
      </x:c>
      <x:c r="F20" s="24" t="str">
        <x:v>Grunters</x:v>
      </x:c>
      <x:c r="G20" s="24" t="str">
        <x:v>Medium demersals (30 - 89 cm)</x:v>
      </x:c>
      <x:c r="H20" s="24" t="str">
        <x:v>Perch-likes</x:v>
      </x:c>
      <x:c r="I20" s="31" t="n">
        <x:v>6457.0448201663</x:v>
      </x:c>
      <x:c r="J20" s="31" t="n">
        <x:v>6346.5672163307</x:v>
      </x:c>
      <x:c r="K20" s="31" t="n">
        <x:v>110.47760383560001</x:v>
      </x:c>
      <x:c r="L20" s="31" t="n">
        <x:v>6146.2793880165</x:v>
      </x:c>
      <x:c r="M20" s="31" t="n">
        <x:v>310.7654321498</x:v>
      </x:c>
      <x:c r="N20" s="24" t="str">
        <x:v>pomadasys</x:v>
      </x:c>
      <x:c r="O20" s="32" t="n">
        <x:v>3.59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Pomadasys</x:v>
      </x:c>
      <x:c r="T20" s="32" t="n">
        <x:f>IF(O20="","",(1/'Metadata'!$B$5)^(O20-1))</x:f>
        <x:v>389.04514499428046</x:v>
      </x:c>
      <x:c r="U20" s="31" t="n">
        <x:f>IF(T20="","",I20*T20)</x:f>
        <x:v>2512081.938296166</x:v>
      </x:c>
    </x:row>
    <x:row r="21" ht="18" customHeight="1">
      <x:c r="A21" s="24" t="str">
        <x:v>EEZ_460</x:v>
      </x:c>
      <x:c r="B21" s="24" t="str">
        <x:v>Malaysia (Peninsula East)</x:v>
      </x:c>
      <x:c r="C21" s="24" t="str">
        <x:v>EEZ</x:v>
      </x:c>
      <x:c r="D21" s="30" t="n">
        <x:v>2019</x:v>
      </x:c>
      <x:c r="E21" s="24" t="str">
        <x:v>Rhizostomeae</x:v>
      </x:c>
      <x:c r="F21" s="24" t="str">
        <x:v>Oral arm jellyfishes</x:v>
      </x:c>
      <x:c r="G21" s="24" t="str">
        <x:v>Jellyfish</x:v>
      </x:c>
      <x:c r="H21" s="24" t="str">
        <x:v>Other fishes &amp; inverts</x:v>
      </x:c>
      <x:c r="I21" s="31" t="n">
        <x:v>6428.1066666666</x:v>
      </x:c>
      <x:c r="J21" s="31" t="n">
        <x:v>6428.1066666666</x:v>
      </x:c>
      <x:c r="K21" s="31" t="n">
        <x:v>0</x:v>
      </x:c>
      <x:c r="L21" s="31" t="n">
        <x:v>6428.1066666666</x:v>
      </x:c>
      <x:c r="M21" s="31" t="n">
        <x:v>0</x:v>
      </x:c>
      <x:c r="N21" s="24" t="str">
        <x:v>rhizostomeae</x:v>
      </x:c>
      <x:c r="O21" s="32" t="n">
        <x:v>3.46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Rhizostomeae</x:v>
      </x:c>
      <x:c r="T21" s="32" t="n">
        <x:f>IF(O21="","",(1/'Metadata'!$B$5)^(O21-1))</x:f>
        <x:v>288.40315031266056</x:v>
      </x:c>
      <x:c r="U21" s="31" t="n">
        <x:f>IF(T21="","",I21*T21)</x:f>
        <x:v>1853886.2132124628</x:v>
      </x:c>
    </x:row>
    <x:row r="22" ht="18" customHeight="1">
      <x:c r="A22" s="24" t="str">
        <x:v>EEZ_460</x:v>
      </x:c>
      <x:c r="B22" s="24" t="str">
        <x:v>Malaysia (Peninsula East)</x:v>
      </x:c>
      <x:c r="C22" s="24" t="str">
        <x:v>EEZ</x:v>
      </x:c>
      <x:c r="D22" s="30" t="n">
        <x:v>2019</x:v>
      </x:c>
      <x:c r="E22" s="24" t="str">
        <x:v>Upeneus</x:v>
      </x:c>
      <x:c r="F22" s="24" t="str">
        <x:v>Upeneid goatfishes</x:v>
      </x:c>
      <x:c r="G22" s="24" t="str">
        <x:v>Small reef assoc. fish (&lt;30 cm)</x:v>
      </x:c>
      <x:c r="H22" s="24" t="str">
        <x:v>Perch-likes</x:v>
      </x:c>
      <x:c r="I22" s="31" t="n">
        <x:v>5268.7236016550005</x:v>
      </x:c>
      <x:c r="J22" s="31" t="n">
        <x:v>5255.388483081</x:v>
      </x:c>
      <x:c r="K22" s="31" t="n">
        <x:v>13.335118574000001</x:v>
      </x:c>
      <x:c r="L22" s="31" t="n">
        <x:v>3701.6582205937</x:v>
      </x:c>
      <x:c r="M22" s="31" t="n">
        <x:v>1567.0653810613</x:v>
      </x:c>
      <x:c r="N22" s="24" t="str">
        <x:v>upeneus</x:v>
      </x:c>
      <x:c r="O22" s="32" t="n">
        <x:v>3.54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Upeneus</x:v>
      </x:c>
      <x:c r="T22" s="32" t="n">
        <x:f>IF(O22="","",(1/'Metadata'!$B$5)^(O22-1))</x:f>
        <x:v>346.73685045253166</x:v>
      </x:c>
      <x:c r="U22" s="31" t="n">
        <x:f>IF(T22="","",I22*T22)</x:f>
        <x:v>1826860.627542774</x:v>
      </x:c>
    </x:row>
    <x:row r="23" ht="18" customHeight="1">
      <x:c r="A23" s="24" t="str">
        <x:v>EEZ_460</x:v>
      </x:c>
      <x:c r="B23" s="24" t="str">
        <x:v>Malaysia (Peninsula East)</x:v>
      </x:c>
      <x:c r="C23" s="24" t="str">
        <x:v>EEZ</x:v>
      </x:c>
      <x:c r="D23" s="30" t="n">
        <x:v>2019</x:v>
      </x:c>
      <x:c r="E23" s="24" t="str">
        <x:v>Trichiurus lepturus</x:v>
      </x:c>
      <x:c r="F23" s="24" t="str">
        <x:v>Largehead hairtail</x:v>
      </x:c>
      <x:c r="G23" s="24" t="str">
        <x:v>Large benthopelagics (&gt;=90 cm)</x:v>
      </x:c>
      <x:c r="H23" s="24" t="str">
        <x:v>Perch-likes</x:v>
      </x:c>
      <x:c r="I23" s="31" t="n">
        <x:v>5217.9061765787</x:v>
      </x:c>
      <x:c r="J23" s="31" t="n">
        <x:v>5023.6212060554</x:v>
      </x:c>
      <x:c r="K23" s="31" t="n">
        <x:v>194.28497052330002</x:v>
      </x:c>
      <x:c r="L23" s="31" t="n">
        <x:v>5023.3992511084</x:v>
      </x:c>
      <x:c r="M23" s="31" t="n">
        <x:v>194.50692547030002</x:v>
      </x:c>
      <x:c r="N23" s="24" t="str">
        <x:v>trichiurus lepturus</x:v>
      </x:c>
      <x:c r="O23" s="32" t="n">
        <x:v>4.42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Trichiurus lepturus</x:v>
      </x:c>
      <x:c r="T23" s="32" t="n">
        <x:f>IF(O23="","",(1/'Metadata'!$B$5)^(O23-1))</x:f>
        <x:v>2630.2679918953813</x:v>
      </x:c>
      <x:c r="U23" s="31" t="n">
        <x:f>IF(T23="","",I23*T23)</x:f>
        <x:v>13724491.600968165</x:v>
      </x:c>
    </x:row>
    <x:row r="24" ht="18" customHeight="1">
      <x:c r="A24" s="24" t="str">
        <x:v>EEZ_460</x:v>
      </x:c>
      <x:c r="B24" s="24" t="str">
        <x:v>Malaysia (Peninsula East)</x:v>
      </x:c>
      <x:c r="C24" s="24" t="str">
        <x:v>EEZ</x:v>
      </x:c>
      <x:c r="D24" s="30" t="n">
        <x:v>2019</x:v>
      </x:c>
      <x:c r="E24" s="24" t="str">
        <x:v>Scomberomorus</x:v>
      </x:c>
      <x:c r="F24" s="24" t="str">
        <x:v>Spanish mackerels</x:v>
      </x:c>
      <x:c r="G24" s="24" t="str">
        <x:v>Large pelagics (&gt;=90 cm)</x:v>
      </x:c>
      <x:c r="H24" s="24" t="str">
        <x:v>Perch-likes</x:v>
      </x:c>
      <x:c r="I24" s="31" t="n">
        <x:v>5189.0230522218</x:v>
      </x:c>
      <x:c r="J24" s="31" t="n">
        <x:v>5189.0230522218</x:v>
      </x:c>
      <x:c r="K24" s="31" t="n">
        <x:v>0</x:v>
      </x:c>
      <x:c r="L24" s="31" t="n">
        <x:v>3094.2682734557998</x:v>
      </x:c>
      <x:c r="M24" s="31" t="n">
        <x:v>2094.754778766</x:v>
      </x:c>
      <x:c r="N24" s="24" t="str">
        <x:v>scomberomorus</x:v>
      </x:c>
      <x:c r="O24" s="32" t="n">
        <x:v>4.35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Scomberomorus</x:v>
      </x:c>
      <x:c r="T24" s="32" t="n">
        <x:f>IF(O24="","",(1/'Metadata'!$B$5)^(O24-1))</x:f>
        <x:v>2238.7211385683377</x:v>
      </x:c>
      <x:c r="U24" s="31" t="n">
        <x:f>IF(T24="","",I24*T24)</x:f>
        <x:v>11616775.595527338</x:v>
      </x:c>
    </x:row>
    <x:row r="25" ht="18" customHeight="1">
      <x:c r="A25" s="24" t="str">
        <x:v>EEZ_460</x:v>
      </x:c>
      <x:c r="B25" s="24" t="str">
        <x:v>Malaysia (Peninsula East)</x:v>
      </x:c>
      <x:c r="C25" s="24" t="str">
        <x:v>EEZ</x:v>
      </x:c>
      <x:c r="D25" s="30" t="n">
        <x:v>2019</x:v>
      </x:c>
      <x:c r="E25" s="24" t="str">
        <x:v>Euthynnus affinis</x:v>
      </x:c>
      <x:c r="F25" s="24" t="str">
        <x:v>Kawakawa</x:v>
      </x:c>
      <x:c r="G25" s="24" t="str">
        <x:v>Large pelagics (&gt;=90 cm)</x:v>
      </x:c>
      <x:c r="H25" s="24" t="str">
        <x:v>Tuna &amp; billfishes</x:v>
      </x:c>
      <x:c r="I25" s="31" t="n">
        <x:v>4211.6655185474</x:v>
      </x:c>
      <x:c r="J25" s="31" t="n">
        <x:v>4211.6655185474</x:v>
      </x:c>
      <x:c r="K25" s="31" t="n">
        <x:v>0</x:v>
      </x:c>
      <x:c r="L25" s="31" t="n">
        <x:v>2337.1209890423</x:v>
      </x:c>
      <x:c r="M25" s="31" t="n">
        <x:v>1874.5445295051</x:v>
      </x:c>
      <x:c r="N25" s="24" t="str">
        <x:v>euthynnus affinis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Euthynnus affinis</x:v>
      </x:c>
      <x:c r="T25" s="32" t="n">
        <x:f>IF(O25="","",(1/'Metadata'!$B$5)^(O25-1))</x:f>
        <x:v>3162.2776601683795</x:v>
      </x:c>
      <x:c r="U25" s="31" t="n">
        <x:f>IF(T25="","",I25*T25)</x:f>
        <x:v>13318455.781403918</x:v>
      </x:c>
    </x:row>
    <x:row r="26" ht="18" customHeight="1">
      <x:c r="A26" s="24" t="str">
        <x:v>EEZ_460</x:v>
      </x:c>
      <x:c r="B26" s="24" t="str">
        <x:v>Malaysia (Peninsula East)</x:v>
      </x:c>
      <x:c r="C26" s="24" t="str">
        <x:v>EEZ</x:v>
      </x:c>
      <x:c r="D26" s="30" t="n">
        <x:v>2019</x:v>
      </x:c>
      <x:c r="E26" s="24" t="str">
        <x:v>Pennahia</x:v>
      </x:c>
      <x:c r="F26" s="24" t="str">
        <x:v>Pennah croakers</x:v>
      </x:c>
      <x:c r="G26" s="24" t="str">
        <x:v>Medium benthopelagics (30 - 89 cm)</x:v>
      </x:c>
      <x:c r="H26" s="24" t="str">
        <x:v>Perch-likes</x:v>
      </x:c>
      <x:c r="I26" s="31" t="n">
        <x:v>4173.1703253895</x:v>
      </x:c>
      <x:c r="J26" s="31" t="n">
        <x:v>4173.1703253895</x:v>
      </x:c>
      <x:c r="K26" s="31" t="n">
        <x:v>0</x:v>
      </x:c>
      <x:c r="L26" s="31" t="n">
        <x:v>2786.9203938466003</x:v>
      </x:c>
      <x:c r="M26" s="31" t="n">
        <x:v>1386.2499315429</x:v>
      </x:c>
      <x:c r="N26" s="24" t="str">
        <x:v>pennahia</x:v>
      </x:c>
      <x:c r="O26" s="32" t="n">
        <x:v>3.73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Pennahia</x:v>
      </x:c>
      <x:c r="T26" s="32" t="n">
        <x:f>IF(O26="","",(1/'Metadata'!$B$5)^(O26-1))</x:f>
        <x:v>537.0317963702527</x:v>
      </x:c>
      <x:c r="U26" s="31" t="n">
        <x:f>IF(T26="","",I26*T26)</x:f>
        <x:v>2241125.1564029553</x:v>
      </x:c>
    </x:row>
    <x:row r="27" ht="18" customHeight="1">
      <x:c r="A27" s="24" t="str">
        <x:v>EEZ_460</x:v>
      </x:c>
      <x:c r="B27" s="24" t="str">
        <x:v>Malaysia (Peninsula East)</x:v>
      </x:c>
      <x:c r="C27" s="24" t="str">
        <x:v>EEZ</x:v>
      </x:c>
      <x:c r="D27" s="30" t="n">
        <x:v>2019</x:v>
      </x:c>
      <x:c r="E27" s="24" t="str">
        <x:v>Acanthurus</x:v>
      </x:c>
      <x:c r="F27" s="24" t="str">
        <x:v>Surgeonfishes</x:v>
      </x:c>
      <x:c r="G27" s="24" t="str">
        <x:v>Small reef assoc. fish (&lt;30 cm)</x:v>
      </x:c>
      <x:c r="H27" s="24" t="str">
        <x:v>Perch-likes</x:v>
      </x:c>
      <x:c r="I27" s="31" t="n">
        <x:v>3925.8054430535</x:v>
      </x:c>
      <x:c r="J27" s="31" t="n">
        <x:v>3925.8054430535</x:v>
      </x:c>
      <x:c r="K27" s="31" t="n">
        <x:v>0</x:v>
      </x:c>
      <x:c r="L27" s="31" t="n">
        <x:v>2522.5484987809</x:v>
      </x:c>
      <x:c r="M27" s="31" t="n">
        <x:v>1403.2569442726</x:v>
      </x:c>
      <x:c r="N27" s="24" t="str">
        <x:v>acanthurus</x:v>
      </x:c>
      <x:c r="O27" s="32" t="n">
        <x:v>2.03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Acanthurus</x:v>
      </x:c>
      <x:c r="T27" s="32" t="n">
        <x:f>IF(O27="","",(1/'Metadata'!$B$5)^(O27-1))</x:f>
        <x:v>10.71519305237606</x:v>
      </x:c>
      <x:c r="U27" s="31" t="n">
        <x:f>IF(T27="","",I27*T27)</x:f>
        <x:v>42065.76320838698</x:v>
      </x:c>
    </x:row>
    <x:row r="28" ht="18" customHeight="1">
      <x:c r="A28" s="24" t="str">
        <x:v>EEZ_460</x:v>
      </x:c>
      <x:c r="B28" s="24" t="str">
        <x:v>Malaysia (Peninsula East)</x:v>
      </x:c>
      <x:c r="C28" s="24" t="str">
        <x:v>EEZ</x:v>
      </x:c>
      <x:c r="D28" s="30" t="n">
        <x:v>2019</x:v>
      </x:c>
      <x:c r="E28" s="24" t="str">
        <x:v>Chirocentrus</x:v>
      </x:c>
      <x:c r="F28" s="24" t="str">
        <x:v>Wolf herrings</x:v>
      </x:c>
      <x:c r="G28" s="24" t="str">
        <x:v>Large pelagics (&gt;=90 cm)</x:v>
      </x:c>
      <x:c r="H28" s="24" t="str">
        <x:v>Herring-likes</x:v>
      </x:c>
      <x:c r="I28" s="31" t="n">
        <x:v>3892.0775692137</x:v>
      </x:c>
      <x:c r="J28" s="31" t="n">
        <x:v>3892.0775692137</x:v>
      </x:c>
      <x:c r="K28" s="31" t="n">
        <x:v>0</x:v>
      </x:c>
      <x:c r="L28" s="31" t="n">
        <x:v>2463.1952726602</x:v>
      </x:c>
      <x:c r="M28" s="31" t="n">
        <x:v>1428.8822965534998</x:v>
      </x:c>
      <x:c r="N28" s="24" t="str">
        <x:v>chirocentrus</x:v>
      </x:c>
      <x:c r="O28" s="32" t="n">
        <x:v>4.3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Chirocentrus</x:v>
      </x:c>
      <x:c r="T28" s="32" t="n">
        <x:f>IF(O28="","",(1/'Metadata'!$B$5)^(O28-1))</x:f>
        <x:v>1995.2623149688789</x:v>
      </x:c>
      <x:c r="U28" s="31" t="n">
        <x:f>IF(T28="","",I28*T28)</x:f>
        <x:v>7765715.700787773</x:v>
      </x:c>
    </x:row>
    <x:row r="29" ht="18" customHeight="1">
      <x:c r="A29" s="24" t="str">
        <x:v>EEZ_460</x:v>
      </x:c>
      <x:c r="B29" s="24" t="str">
        <x:v>Malaysia (Peninsula East)</x:v>
      </x:c>
      <x:c r="C29" s="24" t="str">
        <x:v>EEZ</x:v>
      </x:c>
      <x:c r="D29" s="30" t="n">
        <x:v>2019</x:v>
      </x:c>
      <x:c r="E29" s="24" t="str">
        <x:v>Carcharhinus</x:v>
      </x:c>
      <x:c r="F29" s="24" t="str">
        <x:v>Sharp-nosed sharks</x:v>
      </x:c>
      <x:c r="G29" s="24" t="str">
        <x:v>Large sharks (&gt;=90 cm)</x:v>
      </x:c>
      <x:c r="H29" s="24" t="str">
        <x:v>Sharks &amp; rays</x:v>
      </x:c>
      <x:c r="I29" s="31" t="n">
        <x:v>3829.7141010498</x:v>
      </x:c>
      <x:c r="J29" s="31" t="n">
        <x:v>3829.7141010498</x:v>
      </x:c>
      <x:c r="K29" s="31" t="n">
        <x:v>0</x:v>
      </x:c>
      <x:c r="L29" s="31" t="n">
        <x:v>2464.7171467338</x:v>
      </x:c>
      <x:c r="M29" s="31" t="n">
        <x:v>1364.996954316</x:v>
      </x:c>
      <x:c r="N29" s="24" t="str">
        <x:v>carcharhinus</x:v>
      </x:c>
      <x:c r="O29" s="32" t="n">
        <x:v>4.26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Carcharhinus</x:v>
      </x:c>
      <x:c r="T29" s="32" t="n">
        <x:f>IF(O29="","",(1/'Metadata'!$B$5)^(O29-1))</x:f>
        <x:v>1819.7008586099826</x:v>
      </x:c>
      <x:c r="U29" s="31" t="n">
        <x:f>IF(T29="","",I29*T29)</x:f>
        <x:v>6968934.037911078</x:v>
      </x:c>
    </x:row>
    <x:row r="30" ht="18" customHeight="1">
      <x:c r="A30" s="24" t="str">
        <x:v>EEZ_460</x:v>
      </x:c>
      <x:c r="B30" s="24" t="str">
        <x:v>Malaysia (Peninsula East)</x:v>
      </x:c>
      <x:c r="C30" s="24" t="str">
        <x:v>EEZ</x:v>
      </x:c>
      <x:c r="D30" s="30" t="n">
        <x:v>2019</x:v>
      </x:c>
      <x:c r="E30" s="24" t="str">
        <x:v>Sphyraena</x:v>
      </x:c>
      <x:c r="F30" s="24" t="str">
        <x:v>Barracudas, sennets</x:v>
      </x:c>
      <x:c r="G30" s="24" t="str">
        <x:v>Large pelagics (&gt;=90 cm)</x:v>
      </x:c>
      <x:c r="H30" s="24" t="str">
        <x:v>Perch-likes</x:v>
      </x:c>
      <x:c r="I30" s="31" t="n">
        <x:v>3569.0857908655</x:v>
      </x:c>
      <x:c r="J30" s="31" t="n">
        <x:v>3567.1874632434</x:v>
      </x:c>
      <x:c r="K30" s="31" t="n">
        <x:v>1.8983276221</x:v>
      </x:c>
      <x:c r="L30" s="31" t="n">
        <x:v>2436.9168088235997</x:v>
      </x:c>
      <x:c r="M30" s="31" t="n">
        <x:v>1132.1689820419</x:v>
      </x:c>
      <x:c r="N30" s="24" t="str">
        <x:v>sphyraena</x:v>
      </x:c>
      <x:c r="O30" s="32" t="n">
        <x:v>4.4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Sphyraena</x:v>
      </x:c>
      <x:c r="T30" s="32" t="n">
        <x:f>IF(O30="","",(1/'Metadata'!$B$5)^(O30-1))</x:f>
        <x:v>2511.886431509582</x:v>
      </x:c>
      <x:c r="U30" s="31" t="n">
        <x:f>IF(T30="","",I30*T30)</x:f>
        <x:v>8965138.170968695</x:v>
      </x:c>
    </x:row>
    <x:row r="31" ht="18" customHeight="1">
      <x:c r="A31" s="24" t="str">
        <x:v>EEZ_460</x:v>
      </x:c>
      <x:c r="B31" s="24" t="str">
        <x:v>Malaysia (Peninsula East)</x:v>
      </x:c>
      <x:c r="C31" s="24" t="str">
        <x:v>EEZ</x:v>
      </x:c>
      <x:c r="D31" s="30" t="n">
        <x:v>2019</x:v>
      </x:c>
      <x:c r="E31" s="24" t="str">
        <x:v>Thunnus tonggol</x:v>
      </x:c>
      <x:c r="F31" s="24" t="str">
        <x:v>Longtail tuna</x:v>
      </x:c>
      <x:c r="G31" s="24" t="str">
        <x:v>Large pelagics (&gt;=90 cm)</x:v>
      </x:c>
      <x:c r="H31" s="24" t="str">
        <x:v>Tuna &amp; billfishes</x:v>
      </x:c>
      <x:c r="I31" s="31" t="n">
        <x:v>3492.1536500186003</x:v>
      </x:c>
      <x:c r="J31" s="31" t="n">
        <x:v>3492.1536500186003</x:v>
      </x:c>
      <x:c r="K31" s="31" t="n">
        <x:v>0</x:v>
      </x:c>
      <x:c r="L31" s="31" t="n">
        <x:v>1937.8092725331</x:v>
      </x:c>
      <x:c r="M31" s="31" t="n">
        <x:v>1554.3443774855</x:v>
      </x:c>
      <x:c r="N31" s="24" t="str">
        <x:v>thunnus tonggol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tonggol</x:v>
      </x:c>
      <x:c r="T31" s="32" t="n">
        <x:f>IF(O31="","",(1/'Metadata'!$B$5)^(O31-1))</x:f>
        <x:v>3162.2776601683795</x:v>
      </x:c>
      <x:c r="U31" s="31" t="n">
        <x:f>IF(T31="","",I31*T31)</x:f>
        <x:v>11043159.473329285</x:v>
      </x:c>
    </x:row>
    <x:row r="32" ht="18" customHeight="1">
      <x:c r="A32" s="24" t="str">
        <x:v>EEZ_460</x:v>
      </x:c>
      <x:c r="B32" s="24" t="str">
        <x:v>Malaysia (Peninsula East)</x:v>
      </x:c>
      <x:c r="C32" s="24" t="str">
        <x:v>EEZ</x:v>
      </x:c>
      <x:c r="D32" s="30" t="n">
        <x:v>2019</x:v>
      </x:c>
      <x:c r="E32" s="24" t="str">
        <x:v>Lutjanus</x:v>
      </x:c>
      <x:c r="F32" s="24" t="str">
        <x:v>Snappers</x:v>
      </x:c>
      <x:c r="G32" s="24" t="str">
        <x:v>Medium reef assoc. fish (30 - 89 cm)</x:v>
      </x:c>
      <x:c r="H32" s="24" t="str">
        <x:v>Perch-likes</x:v>
      </x:c>
      <x:c r="I32" s="31" t="n">
        <x:v>3389.8442290726</x:v>
      </x:c>
      <x:c r="J32" s="31" t="n">
        <x:v>3389.8442290726</x:v>
      </x:c>
      <x:c r="K32" s="31" t="n">
        <x:v>0</x:v>
      </x:c>
      <x:c r="L32" s="31" t="n">
        <x:v>1945.1529362797999</x:v>
      </x:c>
      <x:c r="M32" s="31" t="n">
        <x:v>1444.6912927928001</x:v>
      </x:c>
      <x:c r="N32" s="24" t="str">
        <x:v>lutjanus</x:v>
      </x:c>
      <x:c r="O32" s="32" t="n">
        <x:v>4.02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Lutjanus</x:v>
      </x:c>
      <x:c r="T32" s="32" t="n">
        <x:f>IF(O32="","",(1/'Metadata'!$B$5)^(O32-1))</x:f>
        <x:v>1047.1285480508984</x:v>
      </x:c>
      <x:c r="U32" s="31" t="n">
        <x:f>IF(T32="","",I32*T32)</x:f>
        <x:v>3549602.6657075086</x:v>
      </x:c>
    </x:row>
    <x:row r="33" ht="18" customHeight="1">
      <x:c r="A33" s="24" t="str">
        <x:v>EEZ_460</x:v>
      </x:c>
      <x:c r="B33" s="24" t="str">
        <x:v>Malaysia (Peninsula East)</x:v>
      </x:c>
      <x:c r="C33" s="24" t="str">
        <x:v>EEZ</x:v>
      </x:c>
      <x:c r="D33" s="30" t="n">
        <x:v>2019</x:v>
      </x:c>
      <x:c r="E33" s="24" t="str">
        <x:v>Pristipomoides</x:v>
      </x:c>
      <x:c r="F33" s="24" t="str">
        <x:v>Jobfishes</x:v>
      </x:c>
      <x:c r="G33" s="24" t="str">
        <x:v>Medium demersals (30 - 89 cm)</x:v>
      </x:c>
      <x:c r="H33" s="24" t="str">
        <x:v>Perch-likes</x:v>
      </x:c>
      <x:c r="I33" s="31" t="n">
        <x:v>3102.6900406702</x:v>
      </x:c>
      <x:c r="J33" s="31" t="n">
        <x:v>3102.6900406702</x:v>
      </x:c>
      <x:c r="K33" s="31" t="n">
        <x:v>0</x:v>
      </x:c>
      <x:c r="L33" s="31" t="n">
        <x:v>2116.8110764851</x:v>
      </x:c>
      <x:c r="M33" s="31" t="n">
        <x:v>985.8789641851</x:v>
      </x:c>
      <x:c r="N33" s="24" t="str">
        <x:v>pristipomoides</x:v>
      </x:c>
      <x:c r="O33" s="32" t="n">
        <x:v>3.91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Pristipomoides</x:v>
      </x:c>
      <x:c r="T33" s="32" t="n">
        <x:f>IF(O33="","",(1/'Metadata'!$B$5)^(O33-1))</x:f>
        <x:v>812.8305161640995</x:v>
      </x:c>
      <x:c r="U33" s="31" t="n">
        <x:f>IF(T33="","",I33*T33)</x:f>
        <x:v>2521961.1472551697</x:v>
      </x:c>
    </x:row>
    <x:row r="34" ht="18" customHeight="1">
      <x:c r="A34" s="24" t="str">
        <x:v>EEZ_460</x:v>
      </x:c>
      <x:c r="B34" s="24" t="str">
        <x:v>Malaysia (Peninsula East)</x:v>
      </x:c>
      <x:c r="C34" s="24" t="str">
        <x:v>EEZ</x:v>
      </x:c>
      <x:c r="D34" s="30" t="n">
        <x:v>2019</x:v>
      </x:c>
      <x:c r="E34" s="24" t="str">
        <x:v>Penaeus merguiensis</x:v>
      </x:c>
      <x:c r="F34" s="24" t="str">
        <x:v>Banana prawn</x:v>
      </x:c>
      <x:c r="G34" s="24" t="str">
        <x:v>Shrimps</x:v>
      </x:c>
      <x:c r="H34" s="24" t="str">
        <x:v>Crustaceans</x:v>
      </x:c>
      <x:c r="I34" s="31" t="n">
        <x:v>2936.6688308859</x:v>
      </x:c>
      <x:c r="J34" s="31" t="n">
        <x:v>2936.6688308859</x:v>
      </x:c>
      <x:c r="K34" s="31" t="n">
        <x:v>0</x:v>
      </x:c>
      <x:c r="L34" s="31" t="n">
        <x:v>1956.3906485768</x:v>
      </x:c>
      <x:c r="M34" s="31" t="n">
        <x:v>980.2781823091</x:v>
      </x:c>
      <x:c r="N34" s="24" t="str">
        <x:v>penaeus merguiensis</x:v>
      </x:c>
      <x:c r="O34" s="32" t="n">
        <x:v>3.77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Penaeus merguiensis</x:v>
      </x:c>
      <x:c r="T34" s="32" t="n">
        <x:f>IF(O34="","",(1/'Metadata'!$B$5)^(O34-1))</x:f>
        <x:v>588.843655355589</x:v>
      </x:c>
      <x:c r="U34" s="31" t="n">
        <x:f>IF(T34="","",I34*T34)</x:f>
        <x:v>1729238.8089476775</x:v>
      </x:c>
    </x:row>
    <x:row r="35" ht="18" customHeight="1">
      <x:c r="A35" s="24" t="str">
        <x:v>EEZ_460</x:v>
      </x:c>
      <x:c r="B35" s="24" t="str">
        <x:v>Malaysia (Peninsula East)</x:v>
      </x:c>
      <x:c r="C35" s="24" t="str">
        <x:v>EEZ</x:v>
      </x:c>
      <x:c r="D35" s="30" t="n">
        <x:v>2019</x:v>
      </x:c>
      <x:c r="E35" s="24" t="str">
        <x:v>Portunus pelagicus</x:v>
      </x:c>
      <x:c r="F35" s="24" t="str">
        <x:v>Blue swimming crab</x:v>
      </x:c>
      <x:c r="G35" s="24" t="str">
        <x:v>Lobsters, crabs</x:v>
      </x:c>
      <x:c r="H35" s="24" t="str">
        <x:v>Crustaceans</x:v>
      </x:c>
      <x:c r="I35" s="31" t="n">
        <x:v>2923.0563514142</x:v>
      </x:c>
      <x:c r="J35" s="31" t="n">
        <x:v>2923.0563514142</x:v>
      </x:c>
      <x:c r="K35" s="31" t="n">
        <x:v>0</x:v>
      </x:c>
      <x:c r="L35" s="31" t="n">
        <x:v>1878.7787311453</x:v>
      </x:c>
      <x:c r="M35" s="31" t="n">
        <x:v>1044.2776202689</x:v>
      </x:c>
      <x:c r="N35" s="24" t="str">
        <x:v>portunus pelagicus</x:v>
      </x:c>
      <x:c r="O35" s="32" t="n">
        <x:v>2.48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Portunus pelagicus</x:v>
      </x:c>
      <x:c r="T35" s="32" t="n">
        <x:f>IF(O35="","",(1/'Metadata'!$B$5)^(O35-1))</x:f>
        <x:v>30.19951720402016</x:v>
      </x:c>
      <x:c r="U35" s="31" t="n">
        <x:f>IF(T35="","",I35*T35)</x:f>
        <x:v>88274.89057285353</x:v>
      </x:c>
    </x:row>
    <x:row r="36" ht="18" customHeight="1">
      <x:c r="A36" s="24" t="str">
        <x:v>EEZ_460</x:v>
      </x:c>
      <x:c r="B36" s="24" t="str">
        <x:v>Malaysia (Peninsula East)</x:v>
      </x:c>
      <x:c r="C36" s="24" t="str">
        <x:v>EEZ</x:v>
      </x:c>
      <x:c r="D36" s="30" t="n">
        <x:v>2019</x:v>
      </x:c>
      <x:c r="E36" s="24" t="str">
        <x:v>Lutjanus quinquelineatus</x:v>
      </x:c>
      <x:c r="F36" s="24" t="str">
        <x:v>Five-lined snapper</x:v>
      </x:c>
      <x:c r="G36" s="24" t="str">
        <x:v>Medium reef assoc. fish (30 - 89 cm)</x:v>
      </x:c>
      <x:c r="H36" s="24" t="str">
        <x:v>Perch-likes</x:v>
      </x:c>
      <x:c r="I36" s="31" t="n">
        <x:v>2813.3602471339</x:v>
      </x:c>
      <x:c r="J36" s="31" t="n">
        <x:v>2813.3602471339</x:v>
      </x:c>
      <x:c r="K36" s="31" t="n">
        <x:v>0</x:v>
      </x:c>
      <x:c r="L36" s="31" t="n">
        <x:v>1946.9888522226</x:v>
      </x:c>
      <x:c r="M36" s="31" t="n">
        <x:v>866.3713949113</x:v>
      </x:c>
      <x:c r="N36" s="24" t="str">
        <x:v>lutjanus quinquelineatus</x:v>
      </x:c>
      <x:c r="O36" s="32" t="n">
        <x:v>3.68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Lutjanus quinquelineatus</x:v>
      </x:c>
      <x:c r="T36" s="32" t="n">
        <x:f>IF(O36="","",(1/'Metadata'!$B$5)^(O36-1))</x:f>
        <x:v>478.6300923226385</x:v>
      </x:c>
      <x:c r="U36" s="31" t="n">
        <x:f>IF(T36="","",I36*T36)</x:f>
        <x:v>1346558.8748225397</x:v>
      </x:c>
    </x:row>
    <x:row r="37" ht="18" customHeight="1">
      <x:c r="A37" s="24" t="str">
        <x:v>EEZ_460</x:v>
      </x:c>
      <x:c r="B37" s="24" t="str">
        <x:v>Malaysia (Peninsula East)</x:v>
      </x:c>
      <x:c r="C37" s="24" t="str">
        <x:v>EEZ</x:v>
      </x:c>
      <x:c r="D37" s="30" t="n">
        <x:v>2019</x:v>
      </x:c>
      <x:c r="E37" s="24" t="str">
        <x:v>Scolopsis</x:v>
      </x:c>
      <x:c r="F37" s="24" t="str">
        <x:v>Monocle breams</x:v>
      </x:c>
      <x:c r="G37" s="24" t="str">
        <x:v>Small reef assoc. fish (&lt;30 cm)</x:v>
      </x:c>
      <x:c r="H37" s="24" t="str">
        <x:v>Perch-likes</x:v>
      </x:c>
      <x:c r="I37" s="31" t="n">
        <x:v>2683.4094546278</x:v>
      </x:c>
      <x:c r="J37" s="31" t="n">
        <x:v>2683.4094546278</x:v>
      </x:c>
      <x:c r="K37" s="31" t="n">
        <x:v>0</x:v>
      </x:c>
      <x:c r="L37" s="31" t="n">
        <x:v>1691.2929859957</x:v>
      </x:c>
      <x:c r="M37" s="31" t="n">
        <x:v>992.1164686321</x:v>
      </x:c>
      <x:c r="N37" s="24" t="str">
        <x:v>scolopsis</x:v>
      </x:c>
      <x:c r="O37" s="32" t="n">
        <x:v>3.3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Scolopsis</x:v>
      </x:c>
      <x:c r="T37" s="32" t="n">
        <x:f>IF(O37="","",(1/'Metadata'!$B$5)^(O37-1))</x:f>
        <x:v>199.52623149688787</x:v>
      </x:c>
      <x:c r="U37" s="31" t="n">
        <x:f>IF(T37="","",I37*T37)</x:f>
        <x:v>535410.5760450041</x:v>
      </x:c>
    </x:row>
    <x:row r="38" ht="18" customHeight="1">
      <x:c r="A38" s="24" t="str">
        <x:v>EEZ_460</x:v>
      </x:c>
      <x:c r="B38" s="24" t="str">
        <x:v>Malaysia (Peninsula East)</x:v>
      </x:c>
      <x:c r="C38" s="24" t="str">
        <x:v>EEZ</x:v>
      </x:c>
      <x:c r="D38" s="30" t="n">
        <x:v>2019</x:v>
      </x:c>
      <x:c r="E38" s="24" t="str">
        <x:v>Leiognathus</x:v>
      </x:c>
      <x:c r="F38" s="24" t="str">
        <x:v>Ponyfishes</x:v>
      </x:c>
      <x:c r="G38" s="24" t="str">
        <x:v>Small benthopelagics (&lt;30 cm)</x:v>
      </x:c>
      <x:c r="H38" s="24" t="str">
        <x:v>Perch-likes</x:v>
      </x:c>
      <x:c r="I38" s="31" t="n">
        <x:v>2630.5325887972</x:v>
      </x:c>
      <x:c r="J38" s="31" t="n">
        <x:v>2630.5325887972</x:v>
      </x:c>
      <x:c r="K38" s="31" t="n">
        <x:v>0</x:v>
      </x:c>
      <x:c r="L38" s="31" t="n">
        <x:v>1392.542238954</x:v>
      </x:c>
      <x:c r="M38" s="31" t="n">
        <x:v>1237.9903498432</x:v>
      </x:c>
      <x:c r="N38" s="24" t="str">
        <x:v>leiognathus</x:v>
      </x:c>
      <x:c r="O38" s="32" t="n">
        <x:v>3.22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Leiognathus</x:v>
      </x:c>
      <x:c r="T38" s="32" t="n">
        <x:f>IF(O38="","",(1/'Metadata'!$B$5)^(O38-1))</x:f>
        <x:v>165.95869074375614</x:v>
      </x:c>
      <x:c r="U38" s="31" t="n">
        <x:f>IF(T38="","",I38*T38)</x:f>
        <x:v>436559.7443955667</x:v>
      </x:c>
    </x:row>
    <x:row r="39" ht="18" customHeight="1">
      <x:c r="A39" s="24" t="str">
        <x:v>EEZ_460</x:v>
      </x:c>
      <x:c r="B39" s="24" t="str">
        <x:v>Malaysia (Peninsula East)</x:v>
      </x:c>
      <x:c r="C39" s="24" t="str">
        <x:v>EEZ</x:v>
      </x:c>
      <x:c r="D39" s="30" t="n">
        <x:v>2019</x:v>
      </x:c>
      <x:c r="E39" s="24" t="str">
        <x:v>Ariidae</x:v>
      </x:c>
      <x:c r="F39" s="24" t="str">
        <x:v>Sea catfishes, coblers</x:v>
      </x:c>
      <x:c r="G39" s="24" t="str">
        <x:v>Medium demersals (30 - 89 cm)</x:v>
      </x:c>
      <x:c r="H39" s="24" t="str">
        <x:v>Other fishes &amp; inverts</x:v>
      </x:c>
      <x:c r="I39" s="31" t="n">
        <x:v>2551.6908658014</x:v>
      </x:c>
      <x:c r="J39" s="31" t="n">
        <x:v>2551.6908658014</x:v>
      </x:c>
      <x:c r="K39" s="31" t="n">
        <x:v>0</x:v>
      </x:c>
      <x:c r="L39" s="31" t="n">
        <x:v>1603.712635055</x:v>
      </x:c>
      <x:c r="M39" s="31" t="n">
        <x:v>947.9782307464</x:v>
      </x:c>
      <x:c r="N39" s="24" t="str">
        <x:v>ariidae</x:v>
      </x:c>
      <x:c r="O39" s="32" t="n">
        <x:v>3.48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Ariidae</x:v>
      </x:c>
      <x:c r="T39" s="32" t="n">
        <x:f>IF(O39="","",(1/'Metadata'!$B$5)^(O39-1))</x:f>
        <x:v>301.9951720402016</x:v>
      </x:c>
      <x:c r="U39" s="31" t="n">
        <x:f>IF(T39="","",I39*T39)</x:f>
        <x:v>770598.3220111048</x:v>
      </x:c>
    </x:row>
    <x:row r="40" ht="18" customHeight="1">
      <x:c r="A40" s="24" t="str">
        <x:v>EEZ_460</x:v>
      </x:c>
      <x:c r="B40" s="24" t="str">
        <x:v>Malaysia (Peninsula East)</x:v>
      </x:c>
      <x:c r="C40" s="24" t="str">
        <x:v>EEZ</x:v>
      </x:c>
      <x:c r="D40" s="30" t="n">
        <x:v>2019</x:v>
      </x:c>
      <x:c r="E40" s="24" t="str">
        <x:v>Acetes</x:v>
      </x:c>
      <x:c r="F40" s="24" t="str">
        <x:v>Acetes shrimps</x:v>
      </x:c>
      <x:c r="G40" s="24" t="str">
        <x:v>Shrimps</x:v>
      </x:c>
      <x:c r="H40" s="24" t="str">
        <x:v>Crustaceans</x:v>
      </x:c>
      <x:c r="I40" s="31" t="n">
        <x:v>2439.993457562</x:v>
      </x:c>
      <x:c r="J40" s="31" t="n">
        <x:v>2439.993457562</x:v>
      </x:c>
      <x:c r="K40" s="31" t="n">
        <x:v>0</x:v>
      </x:c>
      <x:c r="L40" s="31" t="n">
        <x:v>1433.5317600756</x:v>
      </x:c>
      <x:c r="M40" s="31" t="n">
        <x:v>1006.4616974864</x:v>
      </x:c>
      <x:c r="N40" s="24" t="str">
        <x:v>acetes</x:v>
      </x:c>
      <x:c r="O40" s="32" t="n">
        <x:v>2.7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Acetes</x:v>
      </x:c>
      <x:c r="T40" s="32" t="n">
        <x:f>IF(O40="","",(1/'Metadata'!$B$5)^(O40-1))</x:f>
        <x:v>50.11872336272725</x:v>
      </x:c>
      <x:c r="U40" s="31" t="n">
        <x:f>IF(T40="","",I40*T40)</x:f>
        <x:v>122289.35710641426</x:v>
      </x:c>
    </x:row>
    <x:row r="41" ht="18" customHeight="1">
      <x:c r="A41" s="24" t="str">
        <x:v>EEZ_460</x:v>
      </x:c>
      <x:c r="B41" s="24" t="str">
        <x:v>Malaysia (Peninsula East)</x:v>
      </x:c>
      <x:c r="C41" s="24" t="str">
        <x:v>EEZ</x:v>
      </x:c>
      <x:c r="D41" s="30" t="n">
        <x:v>2019</x:v>
      </x:c>
      <x:c r="E41" s="24" t="str">
        <x:v>Dendrobranchiata</x:v>
      </x:c>
      <x:c r="F41" s="24" t="str">
        <x:v>Shrimps and prawns</x:v>
      </x:c>
      <x:c r="G41" s="24" t="str">
        <x:v>Shrimps</x:v>
      </x:c>
      <x:c r="H41" s="24" t="str">
        <x:v>Crustaceans</x:v>
      </x:c>
      <x:c r="I41" s="31" t="n">
        <x:v>2418.7876801292</x:v>
      </x:c>
      <x:c r="J41" s="31" t="n">
        <x:v>2331.1680497908</x:v>
      </x:c>
      <x:c r="K41" s="31" t="n">
        <x:v>87.6196303384</x:v>
      </x:c>
      <x:c r="L41" s="31" t="n">
        <x:v>2331.1680497908</x:v>
      </x:c>
      <x:c r="M41" s="31" t="n">
        <x:v>87.6196303384</x:v>
      </x:c>
      <x:c r="N41" s="24" t="str">
        <x:v>dendrobranchiata</x:v>
      </x:c>
      <x:c r="O41" s="32" t="n">
        <x:v>3.24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Dendrobranchiata</x:v>
      </x:c>
      <x:c r="T41" s="32" t="n">
        <x:f>IF(O41="","",(1/'Metadata'!$B$5)^(O41-1))</x:f>
        <x:v>173.78008287493762</x:v>
      </x:c>
      <x:c r="U41" s="31" t="n">
        <x:f>IF(T41="","",I41*T41)</x:f>
        <x:v>420337.1235097305</x:v>
      </x:c>
    </x:row>
    <x:row r="42" ht="18" customHeight="1">
      <x:c r="A42" s="24" t="str">
        <x:v>EEZ_460</x:v>
      </x:c>
      <x:c r="B42" s="24" t="str">
        <x:v>Malaysia (Peninsula East)</x:v>
      </x:c>
      <x:c r="C42" s="24" t="str">
        <x:v>EEZ</x:v>
      </x:c>
      <x:c r="D42" s="30" t="n">
        <x:v>2019</x:v>
      </x:c>
      <x:c r="E42" s="24" t="str">
        <x:v>Rastrelliger kanagurta</x:v>
      </x:c>
      <x:c r="F42" s="24" t="str">
        <x:v>Indian mackerel</x:v>
      </x:c>
      <x:c r="G42" s="24" t="str">
        <x:v>Medium pelagics (30 - 89 cm)</x:v>
      </x:c>
      <x:c r="H42" s="24" t="str">
        <x:v>Perch-likes</x:v>
      </x:c>
      <x:c r="I42" s="31" t="n">
        <x:v>2341.943079717</x:v>
      </x:c>
      <x:c r="J42" s="31" t="n">
        <x:v>2259.0848768403002</x:v>
      </x:c>
      <x:c r="K42" s="31" t="n">
        <x:v>82.85820287669999</x:v>
      </x:c>
      <x:c r="L42" s="31" t="n">
        <x:v>2259.0848768403002</x:v>
      </x:c>
      <x:c r="M42" s="31" t="n">
        <x:v>82.85820287669999</x:v>
      </x:c>
      <x:c r="N42" s="24" t="str">
        <x:v>rastrelliger kanagurta</x:v>
      </x:c>
      <x:c r="O42" s="32" t="n">
        <x:v>3.19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Rastrelliger kanagurta</x:v>
      </x:c>
      <x:c r="T42" s="32" t="n">
        <x:f>IF(O42="","",(1/'Metadata'!$B$5)^(O42-1))</x:f>
        <x:v>154.88166189124811</x:v>
      </x:c>
      <x:c r="U42" s="31" t="n">
        <x:f>IF(T42="","",I42*T42)</x:f>
        <x:v>362724.0362412767</x:v>
      </x:c>
    </x:row>
    <x:row r="43" ht="18" customHeight="1">
      <x:c r="A43" s="24" t="str">
        <x:v>EEZ_460</x:v>
      </x:c>
      <x:c r="B43" s="24" t="str">
        <x:v>Malaysia (Peninsula East)</x:v>
      </x:c>
      <x:c r="C43" s="24" t="str">
        <x:v>EEZ</x:v>
      </x:c>
      <x:c r="D43" s="30" t="n">
        <x:v>2019</x:v>
      </x:c>
      <x:c r="E43" s="24" t="str">
        <x:v>Trichiurus</x:v>
      </x:c>
      <x:c r="F43" s="24" t="str">
        <x:v>Hairtails</x:v>
      </x:c>
      <x:c r="G43" s="24" t="str">
        <x:v>Large benthopelagics (&gt;=90 cm)</x:v>
      </x:c>
      <x:c r="H43" s="24" t="str">
        <x:v>Perch-likes</x:v>
      </x:c>
      <x:c r="I43" s="31" t="n">
        <x:v>2291.0835006398</x:v>
      </x:c>
      <x:c r="J43" s="31" t="n">
        <x:v>2291.0835006398</x:v>
      </x:c>
      <x:c r="K43" s="31" t="n">
        <x:v>0</x:v>
      </x:c>
      <x:c r="L43" s="31" t="n">
        <x:v>1529.3179763347</x:v>
      </x:c>
      <x:c r="M43" s="31" t="n">
        <x:v>761.7655243051</x:v>
      </x:c>
      <x:c r="N43" s="24" t="str">
        <x:v>trichiurus</x:v>
      </x:c>
      <x:c r="O43" s="32" t="n">
        <x:v>4.42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Trichiurus</x:v>
      </x:c>
      <x:c r="T43" s="32" t="n">
        <x:f>IF(O43="","",(1/'Metadata'!$B$5)^(O43-1))</x:f>
        <x:v>2630.2679918953813</x:v>
      </x:c>
      <x:c r="U43" s="31" t="n">
        <x:f>IF(T43="","",I43*T43)</x:f>
        <x:v>6026163.598492487</x:v>
      </x:c>
    </x:row>
    <x:row r="44" ht="18" customHeight="1">
      <x:c r="A44" s="24" t="str">
        <x:v>EEZ_460</x:v>
      </x:c>
      <x:c r="B44" s="24" t="str">
        <x:v>Malaysia (Peninsula East)</x:v>
      </x:c>
      <x:c r="C44" s="24" t="str">
        <x:v>EEZ</x:v>
      </x:c>
      <x:c r="D44" s="30" t="n">
        <x:v>2019</x:v>
      </x:c>
      <x:c r="E44" s="24" t="str">
        <x:v>Terapon</x:v>
      </x:c>
      <x:c r="F44" s="24" t="str">
        <x:v>Terapons</x:v>
      </x:c>
      <x:c r="G44" s="24" t="str">
        <x:v>Medium demersals (30 - 89 cm)</x:v>
      </x:c>
      <x:c r="H44" s="24" t="str">
        <x:v>Perch-likes</x:v>
      </x:c>
      <x:c r="I44" s="31" t="n">
        <x:v>2263.9575430330997</x:v>
      </x:c>
      <x:c r="J44" s="31" t="n">
        <x:v>2180.1501763454</x:v>
      </x:c>
      <x:c r="K44" s="31" t="n">
        <x:v>83.8073666877</x:v>
      </x:c>
      <x:c r="L44" s="31" t="n">
        <x:v>2180.1501763454</x:v>
      </x:c>
      <x:c r="M44" s="31" t="n">
        <x:v>83.8073666877</x:v>
      </x:c>
      <x:c r="N44" s="24" t="str">
        <x:v>terapon</x:v>
      </x:c>
      <x:c r="O44" s="32" t="n">
        <x:v>3.5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Terapon</x:v>
      </x:c>
      <x:c r="T44" s="32" t="n">
        <x:f>IF(O44="","",(1/'Metadata'!$B$5)^(O44-1))</x:f>
        <x:v>316.22776601683796</x:v>
      </x:c>
      <x:c r="U44" s="31" t="n">
        <x:f>IF(T44="","",I44*T44)</x:f>
        <x:v>715926.2361903264</x:v>
      </x:c>
    </x:row>
    <x:row r="45" ht="18" customHeight="1">
      <x:c r="A45" s="24" t="str">
        <x:v>EEZ_460</x:v>
      </x:c>
      <x:c r="B45" s="24" t="str">
        <x:v>Malaysia (Peninsula East)</x:v>
      </x:c>
      <x:c r="C45" s="24" t="str">
        <x:v>EEZ</x:v>
      </x:c>
      <x:c r="D45" s="30" t="n">
        <x:v>2019</x:v>
      </x:c>
      <x:c r="E45" s="24" t="str">
        <x:v>Siganus</x:v>
      </x:c>
      <x:c r="F45" s="24" t="str">
        <x:v>Spinefoots</x:v>
      </x:c>
      <x:c r="G45" s="24" t="str">
        <x:v>Medium reef assoc. fish (30 - 89 cm)</x:v>
      </x:c>
      <x:c r="H45" s="24" t="str">
        <x:v>Perch-likes</x:v>
      </x:c>
      <x:c r="I45" s="31" t="n">
        <x:v>2031.8226470758</x:v>
      </x:c>
      <x:c r="J45" s="31" t="n">
        <x:v>2031.8226470758</x:v>
      </x:c>
      <x:c r="K45" s="31" t="n">
        <x:v>0</x:v>
      </x:c>
      <x:c r="L45" s="31" t="n">
        <x:v>1483.4200778848</x:v>
      </x:c>
      <x:c r="M45" s="31" t="n">
        <x:v>548.402569191</x:v>
      </x:c>
      <x:c r="N45" s="24" t="str">
        <x:v>siganus</x:v>
      </x:c>
      <x:c r="O45" s="32" t="n">
        <x:v>2.11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Siganus</x:v>
      </x:c>
      <x:c r="T45" s="32" t="n">
        <x:f>IF(O45="","",(1/'Metadata'!$B$5)^(O45-1))</x:f>
        <x:v>12.882495516931336</x:v>
      </x:c>
      <x:c r="U45" s="31" t="n">
        <x:f>IF(T45="","",I45*T45)</x:f>
        <x:v>26174.946142153553</x:v>
      </x:c>
    </x:row>
    <x:row r="46" ht="18" customHeight="1">
      <x:c r="A46" s="24" t="str">
        <x:v>EEZ_460</x:v>
      </x:c>
      <x:c r="B46" s="24" t="str">
        <x:v>Malaysia (Peninsula East)</x:v>
      </x:c>
      <x:c r="C46" s="24" t="str">
        <x:v>EEZ</x:v>
      </x:c>
      <x:c r="D46" s="30" t="n">
        <x:v>2019</x:v>
      </x:c>
      <x:c r="E46" s="24" t="str">
        <x:v>Tetraodontidae</x:v>
      </x:c>
      <x:c r="F46" s="24" t="str">
        <x:v>Puffers, tobies</x:v>
      </x:c>
      <x:c r="G46" s="24" t="str">
        <x:v>Large reef assoc. fish (&gt;=90 cm)</x:v>
      </x:c>
      <x:c r="H46" s="24" t="str">
        <x:v>Other fishes &amp; inverts</x:v>
      </x:c>
      <x:c r="I46" s="31" t="n">
        <x:v>1907.3061440609</x:v>
      </x:c>
      <x:c r="J46" s="31" t="n">
        <x:v>1836.8338959471</x:v>
      </x:c>
      <x:c r="K46" s="31" t="n">
        <x:v>70.4722481138</x:v>
      </x:c>
      <x:c r="L46" s="31" t="n">
        <x:v>1836.8338959471</x:v>
      </x:c>
      <x:c r="M46" s="31" t="n">
        <x:v>70.4722481138</x:v>
      </x:c>
      <x:c r="N46" s="24" t="str">
        <x:v>tetraodontidae</x:v>
      </x:c>
      <x:c r="O46" s="32" t="n">
        <x:v>3.5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Tetraodontidae</x:v>
      </x:c>
      <x:c r="T46" s="32" t="n">
        <x:f>IF(O46="","",(1/'Metadata'!$B$5)^(O46-1))</x:f>
        <x:v>316.22776601683796</x:v>
      </x:c>
      <x:c r="U46" s="31" t="n">
        <x:f>IF(T46="","",I46*T46)</x:f>
        <x:v>603143.1610465677</x:v>
      </x:c>
    </x:row>
    <x:row r="47" ht="18" customHeight="1">
      <x:c r="A47" s="24" t="str">
        <x:v>EEZ_460</x:v>
      </x:c>
      <x:c r="B47" s="24" t="str">
        <x:v>Malaysia (Peninsula East)</x:v>
      </x:c>
      <x:c r="C47" s="24" t="str">
        <x:v>EEZ</x:v>
      </x:c>
      <x:c r="D47" s="30" t="n">
        <x:v>2019</x:v>
      </x:c>
      <x:c r="E47" s="24" t="str">
        <x:v>Ilisha elongata</x:v>
      </x:c>
      <x:c r="F47" s="24" t="str">
        <x:v>Elongate ilisha</x:v>
      </x:c>
      <x:c r="G47" s="24" t="str">
        <x:v>Medium pelagics (30 - 89 cm)</x:v>
      </x:c>
      <x:c r="H47" s="24" t="str">
        <x:v>Herring-likes</x:v>
      </x:c>
      <x:c r="I47" s="31" t="n">
        <x:v>1622.810318327</x:v>
      </x:c>
      <x:c r="J47" s="31" t="n">
        <x:v>1580.906634983</x:v>
      </x:c>
      <x:c r="K47" s="31" t="n">
        <x:v>41.903683344</x:v>
      </x:c>
      <x:c r="L47" s="31" t="n">
        <x:v>1430.1785156857</x:v>
      </x:c>
      <x:c r="M47" s="31" t="n">
        <x:v>192.6318026413</x:v>
      </x:c>
      <x:c r="N47" s="24" t="str">
        <x:v>ilisha elongata</x:v>
      </x:c>
      <x:c r="O47" s="32" t="n">
        <x:v>3.79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Ilisha elongata</x:v>
      </x:c>
      <x:c r="T47" s="32" t="n">
        <x:f>IF(O47="","",(1/'Metadata'!$B$5)^(O47-1))</x:f>
        <x:v>616.5950018614822</x:v>
      </x:c>
      <x:c r="U47" s="31" t="n">
        <x:f>IF(T47="","",I47*T47)</x:f>
        <x:v>1000616.731249669</x:v>
      </x:c>
    </x:row>
    <x:row r="48" ht="18" customHeight="1">
      <x:c r="A48" s="24" t="str">
        <x:v>EEZ_460</x:v>
      </x:c>
      <x:c r="B48" s="24" t="str">
        <x:v>Malaysia (Peninsula East)</x:v>
      </x:c>
      <x:c r="C48" s="24" t="str">
        <x:v>EEZ</x:v>
      </x:c>
      <x:c r="D48" s="30" t="n">
        <x:v>2019</x:v>
      </x:c>
      <x:c r="E48" s="24" t="str">
        <x:v>Rachycentron canadum</x:v>
      </x:c>
      <x:c r="F48" s="24" t="str">
        <x:v>Cobia</x:v>
      </x:c>
      <x:c r="G48" s="24" t="str">
        <x:v>Large pelagics (&gt;=90 cm)</x:v>
      </x:c>
      <x:c r="H48" s="24" t="str">
        <x:v>Perch-likes</x:v>
      </x:c>
      <x:c r="I48" s="31" t="n">
        <x:v>1518.3034904190001</x:v>
      </x:c>
      <x:c r="J48" s="31" t="n">
        <x:v>1518.3034904190001</x:v>
      </x:c>
      <x:c r="K48" s="31" t="n">
        <x:v>0</x:v>
      </x:c>
      <x:c r="L48" s="31" t="n">
        <x:v>904.1885994527</x:v>
      </x:c>
      <x:c r="M48" s="31" t="n">
        <x:v>614.1148909663</x:v>
      </x:c>
      <x:c r="N48" s="24" t="str">
        <x:v>rachycentron canadum</x:v>
      </x:c>
      <x:c r="O48" s="32" t="n">
        <x:v>3.96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Rachycentron canadum</x:v>
      </x:c>
      <x:c r="T48" s="32" t="n">
        <x:f>IF(O48="","",(1/'Metadata'!$B$5)^(O48-1))</x:f>
        <x:v>912.0108393559096</x:v>
      </x:c>
      <x:c r="U48" s="31" t="n">
        <x:f>IF(T48="","",I48*T48)</x:f>
        <x:v>1384709.2406940395</x:v>
      </x:c>
    </x:row>
    <x:row r="49" ht="18" customHeight="1">
      <x:c r="A49" s="24" t="str">
        <x:v>EEZ_460</x:v>
      </x:c>
      <x:c r="B49" s="24" t="str">
        <x:v>Malaysia (Peninsula East)</x:v>
      </x:c>
      <x:c r="C49" s="24" t="str">
        <x:v>EEZ</x:v>
      </x:c>
      <x:c r="D49" s="30" t="n">
        <x:v>2019</x:v>
      </x:c>
      <x:c r="E49" s="24" t="str">
        <x:v>Penaeus latisulcatus</x:v>
      </x:c>
      <x:c r="F49" s="24" t="str">
        <x:v>Western king prawn</x:v>
      </x:c>
      <x:c r="G49" s="24" t="str">
        <x:v>Shrimps</x:v>
      </x:c>
      <x:c r="H49" s="24" t="str">
        <x:v>Crustaceans</x:v>
      </x:c>
      <x:c r="I49" s="31" t="n">
        <x:v>1354.9981059119</x:v>
      </x:c>
      <x:c r="J49" s="31" t="n">
        <x:v>1354.9981059119</x:v>
      </x:c>
      <x:c r="K49" s="31" t="n">
        <x:v>0</x:v>
      </x:c>
      <x:c r="L49" s="31" t="n">
        <x:v>880.749143728</x:v>
      </x:c>
      <x:c r="M49" s="31" t="n">
        <x:v>474.2489621839</x:v>
      </x:c>
      <x:c r="N49" s="24" t="str">
        <x:v>penaeus latisulcatus</x:v>
      </x:c>
      <x:c r="O49" s="32" t="n">
        <x:v>2.7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Penaeus latisulcatus</x:v>
      </x:c>
      <x:c r="T49" s="32" t="n">
        <x:f>IF(O49="","",(1/'Metadata'!$B$5)^(O49-1))</x:f>
        <x:v>50.11872336272725</x:v>
      </x:c>
      <x:c r="U49" s="31" t="n">
        <x:f>IF(T49="","",I49*T49)</x:f>
        <x:v>67910.77522721792</x:v>
      </x:c>
    </x:row>
    <x:row r="50" ht="18" customHeight="1">
      <x:c r="A50" s="24" t="str">
        <x:v>EEZ_460</x:v>
      </x:c>
      <x:c r="B50" s="24" t="str">
        <x:v>Malaysia (Peninsula East)</x:v>
      </x:c>
      <x:c r="C50" s="24" t="str">
        <x:v>EEZ</x:v>
      </x:c>
      <x:c r="D50" s="30" t="n">
        <x:v>2019</x:v>
      </x:c>
      <x:c r="E50" s="24" t="str">
        <x:v>Nemipterus japonicus</x:v>
      </x:c>
      <x:c r="F50" s="24" t="str">
        <x:v>Japanese threadfin bream</x:v>
      </x:c>
      <x:c r="G50" s="24" t="str">
        <x:v>Small demersals (&lt;30 cm)</x:v>
      </x:c>
      <x:c r="H50" s="24" t="str">
        <x:v>Perch-likes</x:v>
      </x:c>
      <x:c r="I50" s="31" t="n">
        <x:v>1327.3257034769</x:v>
      </x:c>
      <x:c r="J50" s="31" t="n">
        <x:v>1277.7974928318</x:v>
      </x:c>
      <x:c r="K50" s="31" t="n">
        <x:v>49.5282106451</x:v>
      </x:c>
      <x:c r="L50" s="31" t="n">
        <x:v>1277.7974928318</x:v>
      </x:c>
      <x:c r="M50" s="31" t="n">
        <x:v>49.5282106451</x:v>
      </x:c>
      <x:c r="N50" s="24" t="str">
        <x:v>nemipterus japonicus</x:v>
      </x:c>
      <x:c r="O50" s="32" t="n">
        <x:v>3.77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Nemipterus japonicus</x:v>
      </x:c>
      <x:c r="T50" s="32" t="n">
        <x:f>IF(O50="","",(1/'Metadata'!$B$5)^(O50-1))</x:f>
        <x:v>588.843655355589</x:v>
      </x:c>
      <x:c r="U50" s="31" t="n">
        <x:f>IF(T50="","",I50*T50)</x:f>
        <x:v>781587.3190827664</x:v>
      </x:c>
    </x:row>
    <x:row r="51" ht="18" customHeight="1">
      <x:c r="A51" s="24" t="str">
        <x:v>EEZ_460</x:v>
      </x:c>
      <x:c r="B51" s="24" t="str">
        <x:v>Malaysia (Peninsula East)</x:v>
      </x:c>
      <x:c r="C51" s="24" t="str">
        <x:v>EEZ</x:v>
      </x:c>
      <x:c r="D51" s="30" t="n">
        <x:v>2019</x:v>
      </x:c>
      <x:c r="E51" s="24" t="str">
        <x:v>Dussumieria</x:v>
      </x:c>
      <x:c r="F51" s="24" t="str">
        <x:v>Rainbow sardines</x:v>
      </x:c>
      <x:c r="G51" s="24" t="str">
        <x:v>Small pelagics (&lt;30 cm)</x:v>
      </x:c>
      <x:c r="H51" s="24" t="str">
        <x:v>Herring-likes</x:v>
      </x:c>
      <x:c r="I51" s="31" t="n">
        <x:v>1304.6477539818</x:v>
      </x:c>
      <x:c r="J51" s="31" t="n">
        <x:v>1304.6477539818</x:v>
      </x:c>
      <x:c r="K51" s="31" t="n">
        <x:v>0</x:v>
      </x:c>
      <x:c r="L51" s="31" t="n">
        <x:v>887.6653560114</x:v>
      </x:c>
      <x:c r="M51" s="31" t="n">
        <x:v>416.9823979704</x:v>
      </x:c>
      <x:c r="N51" s="24" t="str">
        <x:v>dussumieria</x:v>
      </x:c>
      <x:c r="O51" s="32" t="n">
        <x:v>3.4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Dussumieria</x:v>
      </x:c>
      <x:c r="T51" s="32" t="n">
        <x:f>IF(O51="","",(1/'Metadata'!$B$5)^(O51-1))</x:f>
        <x:v>251.18864315095797</x:v>
      </x:c>
      <x:c r="U51" s="31" t="n">
        <x:f>IF(T51="","",I51*T51)</x:f>
        <x:v>327712.6991126332</x:v>
      </x:c>
    </x:row>
    <x:row r="52" ht="18" customHeight="1">
      <x:c r="A52" s="24" t="str">
        <x:v>EEZ_460</x:v>
      </x:c>
      <x:c r="B52" s="24" t="str">
        <x:v>Malaysia (Peninsula East)</x:v>
      </x:c>
      <x:c r="C52" s="24" t="str">
        <x:v>EEZ</x:v>
      </x:c>
      <x:c r="D52" s="30" t="n">
        <x:v>2019</x:v>
      </x:c>
      <x:c r="E52" s="24" t="str">
        <x:v>Gobiidae</x:v>
      </x:c>
      <x:c r="F52" s="24" t="str">
        <x:v>Gobies</x:v>
      </x:c>
      <x:c r="G52" s="24" t="str">
        <x:v>Small reef assoc. fish (&lt;30 cm)</x:v>
      </x:c>
      <x:c r="H52" s="24" t="str">
        <x:v>Perch-likes</x:v>
      </x:c>
      <x:c r="I52" s="31" t="n">
        <x:v>1238.1745545526</x:v>
      </x:c>
      <x:c r="J52" s="31" t="n">
        <x:v>1191.5094437471</x:v>
      </x:c>
      <x:c r="K52" s="31" t="n">
        <x:v>46.6651108055</x:v>
      </x:c>
      <x:c r="L52" s="31" t="n">
        <x:v>1191.5094437471</x:v>
      </x:c>
      <x:c r="M52" s="31" t="n">
        <x:v>46.6651108055</x:v>
      </x:c>
      <x:c r="N52" s="24" t="str">
        <x:v>gobiidae</x:v>
      </x:c>
      <x:c r="O52" s="32" t="n">
        <x:v>3.11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Gobiidae</x:v>
      </x:c>
      <x:c r="T52" s="32" t="n">
        <x:f>IF(O52="","",(1/'Metadata'!$B$5)^(O52-1))</x:f>
        <x:v>128.82495516931337</x:v>
      </x:c>
      <x:c r="U52" s="31" t="n">
        <x:f>IF(T52="","",I52*T52)</x:f>
        <x:v>159507.78148202325</x:v>
      </x:c>
    </x:row>
    <x:row r="53" ht="18" customHeight="1">
      <x:c r="A53" s="24" t="str">
        <x:v>EEZ_460</x:v>
      </x:c>
      <x:c r="B53" s="24" t="str">
        <x:v>Malaysia (Peninsula East)</x:v>
      </x:c>
      <x:c r="C53" s="24" t="str">
        <x:v>EEZ</x:v>
      </x:c>
      <x:c r="D53" s="30" t="n">
        <x:v>2019</x:v>
      </x:c>
      <x:c r="E53" s="24" t="str">
        <x:v>Sillago</x:v>
      </x:c>
      <x:c r="F53" s="24" t="str">
        <x:v>Smelt-whitings</x:v>
      </x:c>
      <x:c r="G53" s="24" t="str">
        <x:v>Medium demersals (30 - 89 cm)</x:v>
      </x:c>
      <x:c r="H53" s="24" t="str">
        <x:v>Perch-likes</x:v>
      </x:c>
      <x:c r="I53" s="31" t="n">
        <x:v>1164.133932165</x:v>
      </x:c>
      <x:c r="J53" s="31" t="n">
        <x:v>1164.133932165</x:v>
      </x:c>
      <x:c r="K53" s="31" t="n">
        <x:v>0</x:v>
      </x:c>
      <x:c r="L53" s="31" t="n">
        <x:v>779.6241243854</x:v>
      </x:c>
      <x:c r="M53" s="31" t="n">
        <x:v>384.50980777959995</x:v>
      </x:c>
      <x:c r="N53" s="24" t="str">
        <x:v>sillago</x:v>
      </x:c>
      <x:c r="O53" s="32" t="n">
        <x:v>3.33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Sillago</x:v>
      </x:c>
      <x:c r="T53" s="32" t="n">
        <x:f>IF(O53="","",(1/'Metadata'!$B$5)^(O53-1))</x:f>
        <x:v>213.79620895022325</x:v>
      </x:c>
      <x:c r="U53" s="31" t="n">
        <x:f>IF(T53="","",I53*T53)</x:f>
        <x:v>248887.42140719335</x:v>
      </x:c>
    </x:row>
    <x:row r="54" ht="18" customHeight="1">
      <x:c r="A54" s="24" t="str">
        <x:v>EEZ_460</x:v>
      </x:c>
      <x:c r="B54" s="24" t="str">
        <x:v>Malaysia (Peninsula East)</x:v>
      </x:c>
      <x:c r="C54" s="24" t="str">
        <x:v>EEZ</x:v>
      </x:c>
      <x:c r="D54" s="30" t="n">
        <x:v>2019</x:v>
      </x:c>
      <x:c r="E54" s="24" t="str">
        <x:v>Cynoglossus</x:v>
      </x:c>
      <x:c r="F54" s="24" t="str">
        <x:v>Tonguesoles</x:v>
      </x:c>
      <x:c r="G54" s="24" t="str">
        <x:v>Small to medium flatfishes (&lt;90 cm)</x:v>
      </x:c>
      <x:c r="H54" s="24" t="str">
        <x:v>Flatfishes</x:v>
      </x:c>
      <x:c r="I54" s="31" t="n">
        <x:v>1161.4617521712</x:v>
      </x:c>
      <x:c r="J54" s="31" t="n">
        <x:v>1124.3194962889</x:v>
      </x:c>
      <x:c r="K54" s="31" t="n">
        <x:v>37.1422558823</x:v>
      </x:c>
      <x:c r="L54" s="31" t="n">
        <x:v>1068.5030758998</x:v>
      </x:c>
      <x:c r="M54" s="31" t="n">
        <x:v>92.95867627140001</x:v>
      </x:c>
      <x:c r="N54" s="24" t="str">
        <x:v>cynoglossus</x:v>
      </x:c>
      <x:c r="O54" s="32" t="n">
        <x:v>3.36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Cynoglossus</x:v>
      </x:c>
      <x:c r="T54" s="32" t="n">
        <x:f>IF(O54="","",(1/'Metadata'!$B$5)^(O54-1))</x:f>
        <x:v>229.08676527677724</x:v>
      </x:c>
      <x:c r="U54" s="31" t="n">
        <x:f>IF(T54="","",I54*T54)</x:f>
        <x:v>266075.5157975981</x:v>
      </x:c>
    </x:row>
    <x:row r="55" ht="18" customHeight="1">
      <x:c r="A55" s="24" t="str">
        <x:v>EEZ_460</x:v>
      </x:c>
      <x:c r="B55" s="24" t="str">
        <x:v>Malaysia (Peninsula East)</x:v>
      </x:c>
      <x:c r="C55" s="24" t="str">
        <x:v>EEZ</x:v>
      </x:c>
      <x:c r="D55" s="30" t="n">
        <x:v>2019</x:v>
      </x:c>
      <x:c r="E55" s="24" t="str">
        <x:v>Auxis thazard</x:v>
      </x:c>
      <x:c r="F55" s="24" t="str">
        <x:v>Frigate tuna</x:v>
      </x:c>
      <x:c r="G55" s="24" t="str">
        <x:v>Medium pelagics (30 - 89 cm)</x:v>
      </x:c>
      <x:c r="H55" s="24" t="str">
        <x:v>Tuna &amp; billfishes</x:v>
      </x:c>
      <x:c r="I55" s="31" t="n">
        <x:v>1144.9273998111998</x:v>
      </x:c>
      <x:c r="J55" s="31" t="n">
        <x:v>1144.9273998111998</x:v>
      </x:c>
      <x:c r="K55" s="31" t="n">
        <x:v>0</x:v>
      </x:c>
      <x:c r="L55" s="31" t="n">
        <x:v>781.1822316083999</x:v>
      </x:c>
      <x:c r="M55" s="31" t="n">
        <x:v>363.74516820279996</x:v>
      </x:c>
      <x:c r="N55" s="24" t="str">
        <x:v>auxis thazard</x:v>
      </x:c>
      <x:c r="O55" s="32" t="n">
        <x:v>4.37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Auxis thazard</x:v>
      </x:c>
      <x:c r="T55" s="32" t="n">
        <x:f>IF(O55="","",(1/'Metadata'!$B$5)^(O55-1))</x:f>
        <x:v>2344.228815319923</x:v>
      </x:c>
      <x:c r="U55" s="31" t="n">
        <x:f>IF(T55="","",I55*T55)</x:f>
        <x:v>2683971.8020867286</x:v>
      </x:c>
    </x:row>
    <x:row r="56" ht="18" customHeight="1">
      <x:c r="A56" s="24" t="str">
        <x:v>EEZ_460</x:v>
      </x:c>
      <x:c r="B56" s="24" t="str">
        <x:v>Malaysia (Peninsula East)</x:v>
      </x:c>
      <x:c r="C56" s="24" t="str">
        <x:v>EEZ</x:v>
      </x:c>
      <x:c r="D56" s="30" t="n">
        <x:v>2019</x:v>
      </x:c>
      <x:c r="E56" s="24" t="str">
        <x:v>Carangoides</x:v>
      </x:c>
      <x:c r="F56" s="24" t="str">
        <x:v>Trevallies</x:v>
      </x:c>
      <x:c r="G56" s="24" t="str">
        <x:v>Medium reef assoc. fish (30 - 89 cm)</x:v>
      </x:c>
      <x:c r="H56" s="24" t="str">
        <x:v>Perch-likes</x:v>
      </x:c>
      <x:c r="I56" s="31" t="n">
        <x:v>1143.129568479</x:v>
      </x:c>
      <x:c r="J56" s="31" t="n">
        <x:v>1143.129568479</x:v>
      </x:c>
      <x:c r="K56" s="31" t="n">
        <x:v>0</x:v>
      </x:c>
      <x:c r="L56" s="31" t="n">
        <x:v>704.0737622099</x:v>
      </x:c>
      <x:c r="M56" s="31" t="n">
        <x:v>439.0558062691</x:v>
      </x:c>
      <x:c r="N56" s="24" t="str">
        <x:v>carangoides</x:v>
      </x:c>
      <x:c r="O56" s="32" t="n">
        <x:v>4.34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Carangoides</x:v>
      </x:c>
      <x:c r="T56" s="32" t="n">
        <x:f>IF(O56="","",(1/'Metadata'!$B$5)^(O56-1))</x:f>
        <x:v>2187.761623949552</x:v>
      </x:c>
      <x:c r="U56" s="31" t="n">
        <x:f>IF(T56="","",I56*T56)</x:f>
        <x:v>2500895.0011203676</x:v>
      </x:c>
    </x:row>
    <x:row r="57" ht="18" customHeight="1">
      <x:c r="A57" s="24" t="str">
        <x:v>EEZ_460</x:v>
      </x:c>
      <x:c r="B57" s="24" t="str">
        <x:v>Malaysia (Peninsula East)</x:v>
      </x:c>
      <x:c r="C57" s="24" t="str">
        <x:v>EEZ</x:v>
      </x:c>
      <x:c r="D57" s="30" t="n">
        <x:v>2019</x:v>
      </x:c>
      <x:c r="E57" s="24" t="str">
        <x:v>Bothidae</x:v>
      </x:c>
      <x:c r="F57" s="24" t="str">
        <x:v>Lefteye flounders</x:v>
      </x:c>
      <x:c r="G57" s="24" t="str">
        <x:v>Small to medium flatfishes (&lt;90 cm)</x:v>
      </x:c>
      <x:c r="H57" s="24" t="str">
        <x:v>Flatfishes</x:v>
      </x:c>
      <x:c r="I57" s="31" t="n">
        <x:v>1115.9145070589</x:v>
      </x:c>
      <x:c r="J57" s="31" t="n">
        <x:v>1074.0108237149</x:v>
      </x:c>
      <x:c r="K57" s="31" t="n">
        <x:v>41.903683344</x:v>
      </x:c>
      <x:c r="L57" s="31" t="n">
        <x:v>1074.0108237149</x:v>
      </x:c>
      <x:c r="M57" s="31" t="n">
        <x:v>41.903683344</x:v>
      </x:c>
      <x:c r="N57" s="24" t="str">
        <x:v>bothidae</x:v>
      </x:c>
      <x:c r="O57" s="32" t="n">
        <x:v>3.77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Bothidae</x:v>
      </x:c>
      <x:c r="T57" s="32" t="n">
        <x:f>IF(O57="","",(1/'Metadata'!$B$5)^(O57-1))</x:f>
        <x:v>588.843655355589</x:v>
      </x:c>
      <x:c r="U57" s="31" t="n">
        <x:f>IF(T57="","",I57*T57)</x:f>
        <x:v>657099.177400893</x:v>
      </x:c>
    </x:row>
    <x:row r="58" ht="18" customHeight="1">
      <x:c r="A58" s="24" t="str">
        <x:v>EEZ_460</x:v>
      </x:c>
      <x:c r="B58" s="24" t="str">
        <x:v>Malaysia (Peninsula East)</x:v>
      </x:c>
      <x:c r="C58" s="24" t="str">
        <x:v>EEZ</x:v>
      </x:c>
      <x:c r="D58" s="30" t="n">
        <x:v>2019</x:v>
      </x:c>
      <x:c r="E58" s="24" t="str">
        <x:v>Plectorhinchus</x:v>
      </x:c>
      <x:c r="F58" s="24" t="str">
        <x:v>Sweetlips</x:v>
      </x:c>
      <x:c r="G58" s="24" t="str">
        <x:v>Medium reef assoc. fish (30 - 89 cm)</x:v>
      </x:c>
      <x:c r="H58" s="24" t="str">
        <x:v>Perch-likes</x:v>
      </x:c>
      <x:c r="I58" s="31" t="n">
        <x:v>880.5456948326</x:v>
      </x:c>
      <x:c r="J58" s="31" t="n">
        <x:v>880.5456948326</x:v>
      </x:c>
      <x:c r="K58" s="31" t="n">
        <x:v>0</x:v>
      </x:c>
      <x:c r="L58" s="31" t="n">
        <x:v>546.1849915475</x:v>
      </x:c>
      <x:c r="M58" s="31" t="n">
        <x:v>334.3607032851</x:v>
      </x:c>
      <x:c r="N58" s="24" t="str">
        <x:v>plectorhinchus</x:v>
      </x:c>
      <x:c r="O58" s="32" t="n">
        <x:v>3.43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Plectorhinchus</x:v>
      </x:c>
      <x:c r="T58" s="32" t="n">
        <x:f>IF(O58="","",(1/'Metadata'!$B$5)^(O58-1))</x:f>
        <x:v>269.1534803926917</x:v>
      </x:c>
      <x:c r="U58" s="31" t="n">
        <x:f>IF(T58="","",I58*T58)</x:f>
        <x:v>237001.93840899528</x:v>
      </x:c>
    </x:row>
    <x:row r="59" ht="18" customHeight="1">
      <x:c r="A59" s="24" t="str">
        <x:v>EEZ_460</x:v>
      </x:c>
      <x:c r="B59" s="24" t="str">
        <x:v>Malaysia (Peninsula East)</x:v>
      </x:c>
      <x:c r="C59" s="24" t="str">
        <x:v>EEZ</x:v>
      </x:c>
      <x:c r="D59" s="30" t="n">
        <x:v>2019</x:v>
      </x:c>
      <x:c r="E59" s="24" t="str">
        <x:v>Parastromateus niger</x:v>
      </x:c>
      <x:c r="F59" s="24" t="str">
        <x:v>Black pomfret</x:v>
      </x:c>
      <x:c r="G59" s="24" t="str">
        <x:v>Medium benthopelagics (30 - 89 cm)</x:v>
      </x:c>
      <x:c r="H59" s="24" t="str">
        <x:v>Perch-likes</x:v>
      </x:c>
      <x:c r="I59" s="31" t="n">
        <x:v>800.0500836783001</x:v>
      </x:c>
      <x:c r="J59" s="31" t="n">
        <x:v>800.0500836783001</x:v>
      </x:c>
      <x:c r="K59" s="31" t="n">
        <x:v>0</x:v>
      </x:c>
      <x:c r="L59" s="31" t="n">
        <x:v>507.90927755210004</x:v>
      </x:c>
      <x:c r="M59" s="31" t="n">
        <x:v>292.1408061262</x:v>
      </x:c>
      <x:c r="N59" s="24" t="str">
        <x:v>parastromateus niger</x:v>
      </x:c>
      <x:c r="O59" s="32" t="n">
        <x:v>2.93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Parastromateus niger</x:v>
      </x:c>
      <x:c r="T59" s="32" t="n">
        <x:f>IF(O59="","",(1/'Metadata'!$B$5)^(O59-1))</x:f>
        <x:v>85.11380382023768</x:v>
      </x:c>
      <x:c r="U59" s="31" t="n">
        <x:f>IF(T59="","",I59*T59)</x:f>
        <x:v>68095.30586855958</x:v>
      </x:c>
    </x:row>
    <x:row r="60" ht="18" customHeight="1">
      <x:c r="A60" s="24" t="str">
        <x:v>EEZ_460</x:v>
      </x:c>
      <x:c r="B60" s="24" t="str">
        <x:v>Malaysia (Peninsula East)</x:v>
      </x:c>
      <x:c r="C60" s="24" t="str">
        <x:v>EEZ</x:v>
      </x:c>
      <x:c r="D60" s="30" t="n">
        <x:v>2019</x:v>
      </x:c>
      <x:c r="E60" s="24" t="str">
        <x:v>Caesio</x:v>
      </x:c>
      <x:c r="F60" s="24" t="str">
        <x:v>Caesios</x:v>
      </x:c>
      <x:c r="G60" s="24" t="str">
        <x:v>Medium reef assoc. fish (30 - 89 cm)</x:v>
      </x:c>
      <x:c r="H60" s="24" t="str">
        <x:v>Perch-likes</x:v>
      </x:c>
      <x:c r="I60" s="31" t="n">
        <x:v>796.1920459684</x:v>
      </x:c>
      <x:c r="J60" s="31" t="n">
        <x:v>796.1920459684</x:v>
      </x:c>
      <x:c r="K60" s="31" t="n">
        <x:v>0</x:v>
      </x:c>
      <x:c r="L60" s="31" t="n">
        <x:v>450.7173627746</x:v>
      </x:c>
      <x:c r="M60" s="31" t="n">
        <x:v>345.4746831938</x:v>
      </x:c>
      <x:c r="N60" s="24" t="str">
        <x:v>caesio</x:v>
      </x:c>
      <x:c r="O60" s="32" t="n">
        <x:v>3.4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Caesio</x:v>
      </x:c>
      <x:c r="T60" s="32" t="n">
        <x:f>IF(O60="","",(1/'Metadata'!$B$5)^(O60-1))</x:f>
        <x:v>251.18864315095797</x:v>
      </x:c>
      <x:c r="U60" s="31" t="n">
        <x:f>IF(T60="","",I60*T60)</x:f>
        <x:v>199994.39971438755</x:v>
      </x:c>
    </x:row>
    <x:row r="61" ht="18" customHeight="1">
      <x:c r="A61" s="24" t="str">
        <x:v>EEZ_460</x:v>
      </x:c>
      <x:c r="B61" s="24" t="str">
        <x:v>Malaysia (Peninsula East)</x:v>
      </x:c>
      <x:c r="C61" s="24" t="str">
        <x:v>EEZ</x:v>
      </x:c>
      <x:c r="D61" s="30" t="n">
        <x:v>2019</x:v>
      </x:c>
      <x:c r="E61" s="24" t="str">
        <x:v>Metapenaeus</x:v>
      </x:c>
      <x:c r="F61" s="24" t="str">
        <x:v>Indo-Pacific prawns</x:v>
      </x:c>
      <x:c r="G61" s="24" t="str">
        <x:v>Shrimps</x:v>
      </x:c>
      <x:c r="H61" s="24" t="str">
        <x:v>Crustaceans</x:v>
      </x:c>
      <x:c r="I61" s="31" t="n">
        <x:v>741.7649505629</x:v>
      </x:c>
      <x:c r="J61" s="31" t="n">
        <x:v>741.7649505629</x:v>
      </x:c>
      <x:c r="K61" s="31" t="n">
        <x:v>0</x:v>
      </x:c>
      <x:c r="L61" s="31" t="n">
        <x:v>514.3115707398</x:v>
      </x:c>
      <x:c r="M61" s="31" t="n">
        <x:v>227.4533798231</x:v>
      </x:c>
      <x:c r="N61" s="24" t="str">
        <x:v>metapenaeus</x:v>
      </x:c>
      <x:c r="O61" s="32" t="n">
        <x:v>2.7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Metapenaeus</x:v>
      </x:c>
      <x:c r="T61" s="32" t="n">
        <x:f>IF(O61="","",(1/'Metadata'!$B$5)^(O61-1))</x:f>
        <x:v>50.11872336272725</x:v>
      </x:c>
      <x:c r="U61" s="31" t="n">
        <x:f>IF(T61="","",I61*T61)</x:f>
        <x:v>37176.312357429044</x:v>
      </x:c>
    </x:row>
    <x:row r="62" ht="18" customHeight="1">
      <x:c r="A62" s="24" t="str">
        <x:v>EEZ_460</x:v>
      </x:c>
      <x:c r="B62" s="24" t="str">
        <x:v>Malaysia (Peninsula East)</x:v>
      </x:c>
      <x:c r="C62" s="24" t="str">
        <x:v>EEZ</x:v>
      </x:c>
      <x:c r="D62" s="30" t="n">
        <x:v>2019</x:v>
      </x:c>
      <x:c r="E62" s="24" t="str">
        <x:v>Platycephalidae</x:v>
      </x:c>
      <x:c r="F62" s="24" t="str">
        <x:v>Flatheads</x:v>
      </x:c>
      <x:c r="G62" s="24" t="str">
        <x:v>Medium demersals (30 - 89 cm)</x:v>
      </x:c>
      <x:c r="H62" s="24" t="str">
        <x:v>Scorpionfishes</x:v>
      </x:c>
      <x:c r="I62" s="31" t="n">
        <x:v>737.2498005263</x:v>
      </x:c>
      <x:c r="J62" s="31" t="n">
        <x:v>549.2052841276001</x:v>
      </x:c>
      <x:c r="K62" s="31" t="n">
        <x:v>188.04451639869998</x:v>
      </x:c>
      <x:c r="L62" s="31" t="n">
        <x:v>527.896837136</x:v>
      </x:c>
      <x:c r="M62" s="31" t="n">
        <x:v>209.35296339029998</x:v>
      </x:c>
      <x:c r="N62" s="24" t="str">
        <x:v>platycephalidae</x:v>
      </x:c>
      <x:c r="O62" s="32" t="n">
        <x:v>3.9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Platycephalidae</x:v>
      </x:c>
      <x:c r="T62" s="32" t="n">
        <x:f>IF(O62="","",(1/'Metadata'!$B$5)^(O62-1))</x:f>
        <x:v>794.3282347242813</x:v>
      </x:c>
      <x:c r="U62" s="31" t="n">
        <x:f>IF(T62="","",I62*T62)</x:f>
        <x:v>585618.3326028844</x:v>
      </x:c>
    </x:row>
    <x:row r="63" ht="18" customHeight="1">
      <x:c r="A63" s="24" t="str">
        <x:v>EEZ_460</x:v>
      </x:c>
      <x:c r="B63" s="24" t="str">
        <x:v>Malaysia (Peninsula East)</x:v>
      </x:c>
      <x:c r="C63" s="24" t="str">
        <x:v>EEZ</x:v>
      </x:c>
      <x:c r="D63" s="30" t="n">
        <x:v>2019</x:v>
      </x:c>
      <x:c r="E63" s="24" t="str">
        <x:v>Scomberomorus commerson</x:v>
      </x:c>
      <x:c r="F63" s="24" t="str">
        <x:v>Narrow-barred Spanish mackerel</x:v>
      </x:c>
      <x:c r="G63" s="24" t="str">
        <x:v>Large pelagics (&gt;=90 cm)</x:v>
      </x:c>
      <x:c r="H63" s="24" t="str">
        <x:v>Perch-likes</x:v>
      </x:c>
      <x:c r="I63" s="31" t="n">
        <x:v>710.7231266855999</x:v>
      </x:c>
      <x:c r="J63" s="31" t="n">
        <x:v>710.7231266855999</x:v>
      </x:c>
      <x:c r="K63" s="31" t="n">
        <x:v>0</x:v>
      </x:c>
      <x:c r="L63" s="31" t="n">
        <x:v>710.7231266855999</x:v>
      </x:c>
      <x:c r="M63" s="31" t="n">
        <x:v>0</x:v>
      </x:c>
      <x:c r="N63" s="24" t="str">
        <x:v>scomberomorus commerson</x:v>
      </x:c>
      <x:c r="O63" s="32" t="n">
        <x:v>4.5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Scomberomorus commerson</x:v>
      </x:c>
      <x:c r="T63" s="32" t="n">
        <x:f>IF(O63="","",(1/'Metadata'!$B$5)^(O63-1))</x:f>
        <x:v>3162.2776601683795</x:v>
      </x:c>
      <x:c r="U63" s="31" t="n">
        <x:f>IF(T63="","",I63*T63)</x:f>
        <x:v>2247503.8660828937</x:v>
      </x:c>
    </x:row>
    <x:row r="64" ht="18" customHeight="1">
      <x:c r="A64" s="24" t="str">
        <x:v>EEZ_460</x:v>
      </x:c>
      <x:c r="B64" s="24" t="str">
        <x:v>Malaysia (Peninsula East)</x:v>
      </x:c>
      <x:c r="C64" s="24" t="str">
        <x:v>EEZ</x:v>
      </x:c>
      <x:c r="D64" s="30" t="n">
        <x:v>2019</x:v>
      </x:c>
      <x:c r="E64" s="24" t="str">
        <x:v>Parapenaeopsis</x:v>
      </x:c>
      <x:c r="F64" s="24" t="str">
        <x:v>Leafy-legged shrimps</x:v>
      </x:c>
      <x:c r="G64" s="24" t="str">
        <x:v>Shrimps</x:v>
      </x:c>
      <x:c r="H64" s="24" t="str">
        <x:v>Crustaceans</x:v>
      </x:c>
      <x:c r="I64" s="31" t="n">
        <x:v>699.8936197931</x:v>
      </x:c>
      <x:c r="J64" s="31" t="n">
        <x:v>699.8936197931</x:v>
      </x:c>
      <x:c r="K64" s="31" t="n">
        <x:v>0</x:v>
      </x:c>
      <x:c r="L64" s="31" t="n">
        <x:v>469.9944801214</x:v>
      </x:c>
      <x:c r="M64" s="31" t="n">
        <x:v>229.8991396717</x:v>
      </x:c>
      <x:c r="N64" s="24" t="str">
        <x:v>parapenaeopsis</x:v>
      </x:c>
      <x:c r="O64" s="32" t="n">
        <x:v>2.72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Parapenaeopsis</x:v>
      </x:c>
      <x:c r="T64" s="32" t="n">
        <x:f>IF(O64="","",(1/'Metadata'!$B$5)^(O64-1))</x:f>
        <x:v>52.480746024977286</x:v>
      </x:c>
      <x:c r="U64" s="31" t="n">
        <x:f>IF(T64="","",I64*T64)</x:f>
        <x:v>36730.9393048637</x:v>
      </x:c>
    </x:row>
    <x:row r="65" ht="18" customHeight="1">
      <x:c r="A65" s="24" t="str">
        <x:v>EEZ_460</x:v>
      </x:c>
      <x:c r="B65" s="24" t="str">
        <x:v>Malaysia (Peninsula East)</x:v>
      </x:c>
      <x:c r="C65" s="24" t="str">
        <x:v>EEZ</x:v>
      </x:c>
      <x:c r="D65" s="30" t="n">
        <x:v>2019</x:v>
      </x:c>
      <x:c r="E65" s="24" t="str">
        <x:v>Lethrinus</x:v>
      </x:c>
      <x:c r="F65" s="24" t="str">
        <x:v>Emperors</x:v>
      </x:c>
      <x:c r="G65" s="24" t="str">
        <x:v>Medium reef assoc. fish (30 - 89 cm)</x:v>
      </x:c>
      <x:c r="H65" s="24" t="str">
        <x:v>Perch-likes</x:v>
      </x:c>
      <x:c r="I65" s="31" t="n">
        <x:v>652.9537340644999</x:v>
      </x:c>
      <x:c r="J65" s="31" t="n">
        <x:v>652.9537340644999</x:v>
      </x:c>
      <x:c r="K65" s="31" t="n">
        <x:v>0</x:v>
      </x:c>
      <x:c r="L65" s="31" t="n">
        <x:v>378.1986832238</x:v>
      </x:c>
      <x:c r="M65" s="31" t="n">
        <x:v>274.7550508407</x:v>
      </x:c>
      <x:c r="N65" s="24" t="str">
        <x:v>lethrinus</x:v>
      </x:c>
      <x:c r="O65" s="32" t="n">
        <x:v>3.75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Lethrinus</x:v>
      </x:c>
      <x:c r="T65" s="32" t="n">
        <x:f>IF(O65="","",(1/'Metadata'!$B$5)^(O65-1))</x:f>
        <x:v>562.341325190349</x:v>
      </x:c>
      <x:c r="U65" s="31" t="n">
        <x:f>IF(T65="","",I65*T65)</x:f>
        <x:v>367182.8681018177</x:v>
      </x:c>
    </x:row>
    <x:row r="66" ht="18" customHeight="1">
      <x:c r="A66" s="24" t="str">
        <x:v>EEZ_460</x:v>
      </x:c>
      <x:c r="B66" s="24" t="str">
        <x:v>Malaysia (Peninsula East)</x:v>
      </x:c>
      <x:c r="C66" s="24" t="str">
        <x:v>EEZ</x:v>
      </x:c>
      <x:c r="D66" s="30" t="n">
        <x:v>2019</x:v>
      </x:c>
      <x:c r="E66" s="24" t="str">
        <x:v>Scomberoides</x:v>
      </x:c>
      <x:c r="F66" s="24" t="str">
        <x:v>Queenfishes</x:v>
      </x:c>
      <x:c r="G66" s="24" t="str">
        <x:v>Medium pelagics (30 - 89 cm)</x:v>
      </x:c>
      <x:c r="H66" s="24" t="str">
        <x:v>Perch-likes</x:v>
      </x:c>
      <x:c r="I66" s="31" t="n">
        <x:v>608.2032942227</x:v>
      </x:c>
      <x:c r="J66" s="31" t="n">
        <x:v>608.2032942227</x:v>
      </x:c>
      <x:c r="K66" s="31" t="n">
        <x:v>0</x:v>
      </x:c>
      <x:c r="L66" s="31" t="n">
        <x:v>372.690935407</x:v>
      </x:c>
      <x:c r="M66" s="31" t="n">
        <x:v>235.5123588157</x:v>
      </x:c>
      <x:c r="N66" s="24" t="str">
        <x:v>scomberoides</x:v>
      </x:c>
      <x:c r="O66" s="32" t="n">
        <x:v>4.47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Scomberoides</x:v>
      </x:c>
      <x:c r="T66" s="32" t="n">
        <x:f>IF(O66="","",(1/'Metadata'!$B$5)^(O66-1))</x:f>
        <x:v>2951.209226666384</x:v>
      </x:c>
      <x:c r="U66" s="31" t="n">
        <x:f>IF(T66="","",I66*T66)</x:f>
        <x:v>1794935.1735989219</x:v>
      </x:c>
    </x:row>
    <x:row r="67" ht="18" customHeight="1">
      <x:c r="A67" s="24" t="str">
        <x:v>EEZ_460</x:v>
      </x:c>
      <x:c r="B67" s="24" t="str">
        <x:v>Malaysia (Peninsula East)</x:v>
      </x:c>
      <x:c r="C67" s="24" t="str">
        <x:v>EEZ</x:v>
      </x:c>
      <x:c r="D67" s="30" t="n">
        <x:v>2019</x:v>
      </x:c>
      <x:c r="E67" s="24" t="str">
        <x:v>Muraenesox</x:v>
      </x:c>
      <x:c r="F67" s="24" t="str">
        <x:v>Congers</x:v>
      </x:c>
      <x:c r="G67" s="24" t="str">
        <x:v>Large demersals (&gt;=90 cm)</x:v>
      </x:c>
      <x:c r="H67" s="24" t="str">
        <x:v>Other fishes &amp; inverts</x:v>
      </x:c>
      <x:c r="I67" s="31" t="n">
        <x:v>606.3866107422</x:v>
      </x:c>
      <x:c r="J67" s="31" t="n">
        <x:v>606.3866107422</x:v>
      </x:c>
      <x:c r="K67" s="31" t="n">
        <x:v>0</x:v>
      </x:c>
      <x:c r="L67" s="31" t="n">
        <x:v>371.7729774397</x:v>
      </x:c>
      <x:c r="M67" s="31" t="n">
        <x:v>234.61363330249998</x:v>
      </x:c>
      <x:c r="N67" s="24" t="str">
        <x:v>muraenesox</x:v>
      </x:c>
      <x:c r="O67" s="32" t="n">
        <x:v>3.99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Muraenesox</x:v>
      </x:c>
      <x:c r="T67" s="32" t="n">
        <x:f>IF(O67="","",(1/'Metadata'!$B$5)^(O67-1))</x:f>
        <x:v>977.2372209558112</x:v>
      </x:c>
      <x:c r="U67" s="31" t="n">
        <x:f>IF(T67="","",I67*T67)</x:f>
        <x:v>592583.5663065207</x:v>
      </x:c>
    </x:row>
    <x:row r="68" ht="18" customHeight="1">
      <x:c r="A68" s="24" t="str">
        <x:v>EEZ_460</x:v>
      </x:c>
      <x:c r="B68" s="24" t="str">
        <x:v>Malaysia (Peninsula East)</x:v>
      </x:c>
      <x:c r="C68" s="24" t="str">
        <x:v>EEZ</x:v>
      </x:c>
      <x:c r="D68" s="30" t="n">
        <x:v>2019</x:v>
      </x:c>
      <x:c r="E68" s="24" t="str">
        <x:v>Mollusca</x:v>
      </x:c>
      <x:c r="F68" s="24" t="str">
        <x:v>Clams, seasnails, squids, octopuses</x:v>
      </x:c>
      <x:c r="G68" s="24" t="str">
        <x:v>Other demersal invertebrates</x:v>
      </x:c>
      <x:c r="H68" s="24" t="str">
        <x:v>Molluscs</x:v>
      </x:c>
      <x:c r="I68" s="31" t="n">
        <x:v>592.6321182215</x:v>
      </x:c>
      <x:c r="J68" s="31" t="n">
        <x:v>592.6321182215</x:v>
      </x:c>
      <x:c r="K68" s="31" t="n">
        <x:v>0</x:v>
      </x:c>
      <x:c r="L68" s="31" t="n">
        <x:v>413.3231239263</x:v>
      </x:c>
      <x:c r="M68" s="31" t="n">
        <x:v>179.3089942952</x:v>
      </x:c>
      <x:c r="N68" s="24" t="str">
        <x:v>mollusca</x:v>
      </x:c>
      <x:c r="O68" s="32" t="n">
        <x:v>2.1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Mollusca</x:v>
      </x:c>
      <x:c r="T68" s="32" t="n">
        <x:f>IF(O68="","",(1/'Metadata'!$B$5)^(O68-1))</x:f>
        <x:v>12.589254117941675</x:v>
      </x:c>
      <x:c r="U68" s="31" t="n">
        <x:f>IF(T68="","",I68*T68)</x:f>
        <x:v>7460.796334744517</x:v>
      </x:c>
    </x:row>
    <x:row r="69" ht="18" customHeight="1">
      <x:c r="A69" s="24" t="str">
        <x:v>EEZ_460</x:v>
      </x:c>
      <x:c r="B69" s="24" t="str">
        <x:v>Malaysia (Peninsula East)</x:v>
      </x:c>
      <x:c r="C69" s="24" t="str">
        <x:v>EEZ</x:v>
      </x:c>
      <x:c r="D69" s="30" t="n">
        <x:v>2019</x:v>
      </x:c>
      <x:c r="E69" s="24" t="str">
        <x:v>Scorpaenidae</x:v>
      </x:c>
      <x:c r="F69" s="24" t="str">
        <x:v>Scorpionfishes, rockfishes</x:v>
      </x:c>
      <x:c r="G69" s="24" t="str">
        <x:v>Large reef assoc. fish (&gt;=90 cm)</x:v>
      </x:c>
      <x:c r="H69" s="24" t="str">
        <x:v>Scorpionfishes</x:v>
      </x:c>
      <x:c r="I69" s="31" t="n">
        <x:v>569.9297171715</x:v>
      </x:c>
      <x:c r="J69" s="31" t="n">
        <x:v>548.0209074854</x:v>
      </x:c>
      <x:c r="K69" s="31" t="n">
        <x:v>21.9088096861</x:v>
      </x:c>
      <x:c r="L69" s="31" t="n">
        <x:v>548.0209074854</x:v>
      </x:c>
      <x:c r="M69" s="31" t="n">
        <x:v>21.9088096861</x:v>
      </x:c>
      <x:c r="N69" s="24" t="str">
        <x:v>scorpaenidae</x:v>
      </x:c>
      <x:c r="O69" s="32" t="n">
        <x:v>3.92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Scorpaenidae</x:v>
      </x:c>
      <x:c r="T69" s="32" t="n">
        <x:f>IF(O69="","",(1/'Metadata'!$B$5)^(O69-1))</x:f>
        <x:v>831.7637711026708</x:v>
      </x:c>
      <x:c r="U69" s="31" t="n">
        <x:f>IF(T69="","",I69*T69)</x:f>
        <x:v>474046.8908180454</x:v>
      </x:c>
    </x:row>
    <x:row r="70" ht="18" customHeight="1">
      <x:c r="A70" s="24" t="str">
        <x:v>EEZ_460</x:v>
      </x:c>
      <x:c r="B70" s="24" t="str">
        <x:v>Malaysia (Peninsula East)</x:v>
      </x:c>
      <x:c r="C70" s="24" t="str">
        <x:v>EEZ</x:v>
      </x:c>
      <x:c r="D70" s="30" t="n">
        <x:v>2019</x:v>
      </x:c>
      <x:c r="E70" s="24" t="str">
        <x:v>Scomberomorus guttatus</x:v>
      </x:c>
      <x:c r="F70" s="24" t="str">
        <x:v>Indo-Pacific king mackerel</x:v>
      </x:c>
      <x:c r="G70" s="24" t="str">
        <x:v>Medium pelagics (30 - 89 cm)</x:v>
      </x:c>
      <x:c r="H70" s="24" t="str">
        <x:v>Perch-likes</x:v>
      </x:c>
      <x:c r="I70" s="31" t="n">
        <x:v>452.005838569</x:v>
      </x:c>
      <x:c r="J70" s="31" t="n">
        <x:v>452.005838569</x:v>
      </x:c>
      <x:c r="K70" s="31" t="n">
        <x:v>0</x:v>
      </x:c>
      <x:c r="L70" s="31" t="n">
        <x:v>452.005838569</x:v>
      </x:c>
      <x:c r="M70" s="31" t="n">
        <x:v>0</x:v>
      </x:c>
      <x:c r="N70" s="24" t="str">
        <x:v>scomberomorus guttatus</x:v>
      </x:c>
      <x:c r="O70" s="32" t="n">
        <x:v>4.28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Scomberomorus guttatus</x:v>
      </x:c>
      <x:c r="T70" s="32" t="n">
        <x:f>IF(O70="","",(1/'Metadata'!$B$5)^(O70-1))</x:f>
        <x:v>1905.4607179632483</x:v>
      </x:c>
      <x:c r="U70" s="31" t="n">
        <x:f>IF(T70="","",I70*T70)</x:f>
        <x:v>861279.3696832669</x:v>
      </x:c>
    </x:row>
    <x:row r="71" ht="18" customHeight="1">
      <x:c r="A71" s="24" t="str">
        <x:v>EEZ_460</x:v>
      </x:c>
      <x:c r="B71" s="24" t="str">
        <x:v>Malaysia (Peninsula East)</x:v>
      </x:c>
      <x:c r="C71" s="24" t="str">
        <x:v>EEZ</x:v>
      </x:c>
      <x:c r="D71" s="30" t="n">
        <x:v>2019</x:v>
      </x:c>
      <x:c r="E71" s="24" t="str">
        <x:v>Gerreidae</x:v>
      </x:c>
      <x:c r="F71" s="24" t="str">
        <x:v>Mojarras, silverbellies</x:v>
      </x:c>
      <x:c r="G71" s="24" t="str">
        <x:v>Small benthopelagics (&lt;30 cm)</x:v>
      </x:c>
      <x:c r="H71" s="24" t="str">
        <x:v>Perch-likes</x:v>
      </x:c>
      <x:c r="I71" s="31" t="n">
        <x:v>446.7517117108</x:v>
      </x:c>
      <x:c r="J71" s="31" t="n">
        <x:v>429.6043294864</x:v>
      </x:c>
      <x:c r="K71" s="31" t="n">
        <x:v>17.1473822244</x:v>
      </x:c>
      <x:c r="L71" s="31" t="n">
        <x:v>429.6043294864</x:v>
      </x:c>
      <x:c r="M71" s="31" t="n">
        <x:v>17.1473822244</x:v>
      </x:c>
      <x:c r="N71" s="24" t="str">
        <x:v>gerreidae</x:v>
      </x:c>
      <x:c r="O71" s="32" t="n">
        <x:v>3.03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Gerreidae</x:v>
      </x:c>
      <x:c r="T71" s="32" t="n">
        <x:f>IF(O71="","",(1/'Metadata'!$B$5)^(O71-1))</x:f>
        <x:v>107.1519305237606</x:v>
      </x:c>
      <x:c r="U71" s="31" t="n">
        <x:f>IF(T71="","",I71*T71)</x:f>
        <x:v>47870.308374606764</x:v>
      </x:c>
    </x:row>
    <x:row r="72" ht="18" customHeight="1">
      <x:c r="A72" s="24" t="str">
        <x:v>EEZ_460</x:v>
      </x:c>
      <x:c r="B72" s="24" t="str">
        <x:v>Malaysia (Peninsula East)</x:v>
      </x:c>
      <x:c r="C72" s="24" t="str">
        <x:v>EEZ</x:v>
      </x:c>
      <x:c r="D72" s="30" t="n">
        <x:v>2019</x:v>
      </x:c>
      <x:c r="E72" s="24" t="str">
        <x:v>Seriolina nigrofasciata</x:v>
      </x:c>
      <x:c r="F72" s="24" t="str">
        <x:v>Blackbanded trevally</x:v>
      </x:c>
      <x:c r="G72" s="24" t="str">
        <x:v>Medium reef assoc. fish (30 - 89 cm)</x:v>
      </x:c>
      <x:c r="H72" s="24" t="str">
        <x:v>Perch-likes</x:v>
      </x:c>
      <x:c r="I72" s="31" t="n">
        <x:v>446.61903421060003</x:v>
      </x:c>
      <x:c r="J72" s="31" t="n">
        <x:v>446.61903421060003</x:v>
      </x:c>
      <x:c r="K72" s="31" t="n">
        <x:v>0</x:v>
      </x:c>
      <x:c r="L72" s="31" t="n">
        <x:v>302.3242119133</x:v>
      </x:c>
      <x:c r="M72" s="31" t="n">
        <x:v>144.2948222973</x:v>
      </x:c>
      <x:c r="N72" s="24" t="str">
        <x:v>seriolina nigrofasciata</x:v>
      </x:c>
      <x:c r="O72" s="32" t="n">
        <x:v>4.17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Seriolina nigrofasciata</x:v>
      </x:c>
      <x:c r="T72" s="32" t="n">
        <x:f>IF(O72="","",(1/'Metadata'!$B$5)^(O72-1))</x:f>
        <x:v>1479.1083881682073</x:v>
      </x:c>
      <x:c r="U72" s="31" t="n">
        <x:f>IF(T72="","",I72*T72)</x:f>
        <x:v>660597.959816482</x:v>
      </x:c>
    </x:row>
    <x:row r="73" ht="18" customHeight="1">
      <x:c r="A73" s="24" t="str">
        <x:v>EEZ_460</x:v>
      </x:c>
      <x:c r="B73" s="24" t="str">
        <x:v>Malaysia (Peninsula East)</x:v>
      </x:c>
      <x:c r="C73" s="24" t="str">
        <x:v>EEZ</x:v>
      </x:c>
      <x:c r="D73" s="30" t="n">
        <x:v>2019</x:v>
      </x:c>
      <x:c r="E73" s="24" t="str">
        <x:v>Engraulidae</x:v>
      </x:c>
      <x:c r="F73" s="24" t="str">
        <x:v>Anchovies, round herrings</x:v>
      </x:c>
      <x:c r="G73" s="24" t="str">
        <x:v>Small pelagics (&lt;30 cm)</x:v>
      </x:c>
      <x:c r="H73" s="24" t="str">
        <x:v>Anchovies</x:v>
      </x:c>
      <x:c r="I73" s="31" t="n">
        <x:v>416.0707743465</x:v>
      </x:c>
      <x:c r="J73" s="31" t="n">
        <x:v>416.0707743465</x:v>
      </x:c>
      <x:c r="K73" s="31" t="n">
        <x:v>0</x:v>
      </x:c>
      <x:c r="L73" s="31" t="n">
        <x:v>207.7237942652</x:v>
      </x:c>
      <x:c r="M73" s="31" t="n">
        <x:v>208.3469800813</x:v>
      </x:c>
      <x:c r="N73" s="24" t="str">
        <x:v>engraulidae</x:v>
      </x:c>
      <x:c r="O73" s="32" t="n">
        <x:v>3.2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Engraulidae</x:v>
      </x:c>
      <x:c r="T73" s="32" t="n">
        <x:f>IF(O73="","",(1/'Metadata'!$B$5)^(O73-1))</x:f>
        <x:v>158.48931924611142</x:v>
      </x:c>
      <x:c r="U73" s="31" t="n">
        <x:f>IF(T73="","",I73*T73)</x:f>
        <x:v>65942.77378437923</x:v>
      </x:c>
    </x:row>
    <x:row r="74" ht="18" customHeight="1">
      <x:c r="A74" s="24" t="str">
        <x:v>EEZ_460</x:v>
      </x:c>
      <x:c r="B74" s="24" t="str">
        <x:v>Malaysia (Peninsula East)</x:v>
      </x:c>
      <x:c r="C74" s="24" t="str">
        <x:v>EEZ</x:v>
      </x:c>
      <x:c r="D74" s="30" t="n">
        <x:v>2019</x:v>
      </x:c>
      <x:c r="E74" s="24" t="str">
        <x:v>Lutjanidae</x:v>
      </x:c>
      <x:c r="F74" s="24" t="str">
        <x:v>Snappers</x:v>
      </x:c>
      <x:c r="G74" s="24" t="str">
        <x:v>Medium reef assoc. fish (30 - 89 cm)</x:v>
      </x:c>
      <x:c r="H74" s="24" t="str">
        <x:v>Perch-likes</x:v>
      </x:c>
      <x:c r="I74" s="31" t="n">
        <x:v>398.8259096316</x:v>
      </x:c>
      <x:c r="J74" s="31" t="n">
        <x:v>398.8259096316</x:v>
      </x:c>
      <x:c r="K74" s="31" t="n">
        <x:v>0</x:v>
      </x:c>
      <x:c r="L74" s="31" t="n">
        <x:v>50.4981203491</x:v>
      </x:c>
      <x:c r="M74" s="31" t="n">
        <x:v>348.3277892825</x:v>
      </x:c>
      <x:c r="N74" s="24" t="str">
        <x:v>lutjanidae</x:v>
      </x:c>
      <x:c r="O74" s="32" t="n">
        <x:v>4.02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Lutjanidae</x:v>
      </x:c>
      <x:c r="T74" s="32" t="n">
        <x:f>IF(O74="","",(1/'Metadata'!$B$5)^(O74-1))</x:f>
        <x:v>1047.1285480508984</x:v>
      </x:c>
      <x:c r="U74" s="31" t="n">
        <x:f>IF(T74="","",I74*T74)</x:f>
        <x:v>417621.9956776161</x:v>
      </x:c>
    </x:row>
    <x:row r="75" ht="18" customHeight="1">
      <x:c r="A75" s="24" t="str">
        <x:v>EEZ_460</x:v>
      </x:c>
      <x:c r="B75" s="24" t="str">
        <x:v>Malaysia (Peninsula East)</x:v>
      </x:c>
      <x:c r="C75" s="24" t="str">
        <x:v>EEZ</x:v>
      </x:c>
      <x:c r="D75" s="30" t="n">
        <x:v>2019</x:v>
      </x:c>
      <x:c r="E75" s="24" t="str">
        <x:v>Scyris indica</x:v>
      </x:c>
      <x:c r="F75" s="24" t="str">
        <x:v>Indian threadfish</x:v>
      </x:c>
      <x:c r="G75" s="24" t="str">
        <x:v>Large reef assoc. fish (&gt;=90 cm)</x:v>
      </x:c>
      <x:c r="H75" s="24" t="str">
        <x:v>Perch-likes</x:v>
      </x:c>
      <x:c r="I75" s="31" t="n">
        <x:v>382.413174917</x:v>
      </x:c>
      <x:c r="J75" s="31" t="n">
        <x:v>382.413174917</x:v>
      </x:c>
      <x:c r="K75" s="31" t="n">
        <x:v>0</x:v>
      </x:c>
      <x:c r="L75" s="31" t="n">
        <x:v>0</x:v>
      </x:c>
      <x:c r="M75" s="31" t="n">
        <x:v>382.413174917</x:v>
      </x:c>
      <x:c r="N75" s="24" t="str">
        <x:v>scyris indica</x:v>
      </x:c>
      <x:c r="O75" s="32" t="n">
        <x:v>4.09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Scyris indica</x:v>
      </x:c>
      <x:c r="T75" s="32" t="n">
        <x:f>IF(O75="","",(1/'Metadata'!$B$5)^(O75-1))</x:f>
        <x:v>1230.268770812381</x:v>
      </x:c>
      <x:c r="U75" s="31" t="n">
        <x:f>IF(T75="","",I75*T75)</x:f>
        <x:v>470470.98664759763</x:v>
      </x:c>
    </x:row>
    <x:row r="76" ht="18" customHeight="1">
      <x:c r="A76" s="24" t="str">
        <x:v>EEZ_460</x:v>
      </x:c>
      <x:c r="B76" s="24" t="str">
        <x:v>Malaysia (Peninsula East)</x:v>
      </x:c>
      <x:c r="C76" s="24" t="str">
        <x:v>EEZ</x:v>
      </x:c>
      <x:c r="D76" s="30" t="n">
        <x:v>2019</x:v>
      </x:c>
      <x:c r="E76" s="24" t="str">
        <x:v>Nemipteridae</x:v>
      </x:c>
      <x:c r="F76" s="24" t="str">
        <x:v>Threadfins, whiptail breams</x:v>
      </x:c>
      <x:c r="G76" s="24" t="str">
        <x:v>Small demersals (&lt;30 cm)</x:v>
      </x:c>
      <x:c r="H76" s="24" t="str">
        <x:v>Perch-likes</x:v>
      </x:c>
      <x:c r="I76" s="31" t="n">
        <x:v>381.5857848036</x:v>
      </x:c>
      <x:c r="J76" s="31" t="n">
        <x:v>379.3602665489</x:v>
      </x:c>
      <x:c r="K76" s="31" t="n">
        <x:v>2.2255182547</x:v>
      </x:c>
      <x:c r="L76" s="31" t="n">
        <x:v>230.8729138231</x:v>
      </x:c>
      <x:c r="M76" s="31" t="n">
        <x:v>150.71287098049999</x:v>
      </x:c>
      <x:c r="N76" s="24" t="str">
        <x:v>nemipteridae</x:v>
      </x:c>
      <x:c r="O76" s="32" t="n">
        <x:v>3.51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Nemipteridae</x:v>
      </x:c>
      <x:c r="T76" s="32" t="n">
        <x:f>IF(O76="","",(1/'Metadata'!$B$5)^(O76-1))</x:f>
        <x:v>323.5936569296281</x:v>
      </x:c>
      <x:c r="U76" s="31" t="n">
        <x:f>IF(T76="","",I76*T76)</x:f>
        <x:v>123478.73953695902</x:v>
      </x:c>
    </x:row>
    <x:row r="77" ht="18" customHeight="1">
      <x:c r="A77" s="24" t="str">
        <x:v>EEZ_460</x:v>
      </x:c>
      <x:c r="B77" s="24" t="str">
        <x:v>Malaysia (Peninsula East)</x:v>
      </x:c>
      <x:c r="C77" s="24" t="str">
        <x:v>EEZ</x:v>
      </x:c>
      <x:c r="D77" s="30" t="n">
        <x:v>2019</x:v>
      </x:c>
      <x:c r="E77" s="24" t="str">
        <x:v>Synodontidae</x:v>
      </x:c>
      <x:c r="F77" s="24" t="str">
        <x:v>Lizardfishes, sauries</x:v>
      </x:c>
      <x:c r="G77" s="24" t="str">
        <x:v>Medium demersals (30 - 89 cm)</x:v>
      </x:c>
      <x:c r="H77" s="24" t="str">
        <x:v>Other fishes &amp; inverts</x:v>
      </x:c>
      <x:c r="I77" s="31" t="n">
        <x:v>362.6373743021</x:v>
      </x:c>
      <x:c r="J77" s="31" t="n">
        <x:v>120.5473281539</x:v>
      </x:c>
      <x:c r="K77" s="31" t="n">
        <x:v>242.0900461482</x:v>
      </x:c>
      <x:c r="L77" s="31" t="n">
        <x:v>102.8604266062</x:v>
      </x:c>
      <x:c r="M77" s="31" t="n">
        <x:v>259.7769476959</x:v>
      </x:c>
      <x:c r="N77" s="24" t="str">
        <x:v>synodontidae</x:v>
      </x:c>
      <x:c r="O77" s="32" t="n">
        <x:v>4.3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Synodontidae</x:v>
      </x:c>
      <x:c r="T77" s="32" t="n">
        <x:f>IF(O77="","",(1/'Metadata'!$B$5)^(O77-1))</x:f>
        <x:v>1995.2623149688789</x:v>
      </x:c>
      <x:c r="U77" s="31" t="n">
        <x:f>IF(T77="","",I77*T77)</x:f>
        <x:v>723556.6869442438</x:v>
      </x:c>
    </x:row>
    <x:row r="78" ht="18" customHeight="1">
      <x:c r="A78" s="24" t="str">
        <x:v>EEZ_460</x:v>
      </x:c>
      <x:c r="B78" s="24" t="str">
        <x:v>Malaysia (Peninsula East)</x:v>
      </x:c>
      <x:c r="C78" s="24" t="str">
        <x:v>EEZ</x:v>
      </x:c>
      <x:c r="D78" s="30" t="n">
        <x:v>2019</x:v>
      </x:c>
      <x:c r="E78" s="24" t="str">
        <x:v>Scombridae</x:v>
      </x:c>
      <x:c r="F78" s="24" t="str">
        <x:v>Mackerels, tunas, bonitos</x:v>
      </x:c>
      <x:c r="G78" s="24" t="str">
        <x:v>Medium pelagics (30 - 89 cm)</x:v>
      </x:c>
      <x:c r="H78" s="24" t="str">
        <x:v>Perch-likes</x:v>
      </x:c>
      <x:c r="I78" s="31" t="n">
        <x:v>359.2555783012</x:v>
      </x:c>
      <x:c r="J78" s="31" t="n">
        <x:v>359.2555783012</x:v>
      </x:c>
      <x:c r="K78" s="31" t="n">
        <x:v>0</x:v>
      </x:c>
      <x:c r="L78" s="31" t="n">
        <x:v>11.7045030536</x:v>
      </x:c>
      <x:c r="M78" s="31" t="n">
        <x:v>347.5510752476</x:v>
      </x:c>
      <x:c r="N78" s="24" t="str">
        <x:v>scombridae</x:v>
      </x:c>
      <x:c r="O78" s="32" t="n">
        <x:v>4.26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Scombridae</x:v>
      </x:c>
      <x:c r="T78" s="32" t="n">
        <x:f>IF(O78="","",(1/'Metadata'!$B$5)^(O78-1))</x:f>
        <x:v>1819.7008586099826</x:v>
      </x:c>
      <x:c r="U78" s="31" t="n">
        <x:f>IF(T78="","",I78*T78)</x:f>
        <x:v>653737.6842951195</x:v>
      </x:c>
    </x:row>
    <x:row r="79" ht="18" customHeight="1">
      <x:c r="A79" s="24" t="str">
        <x:v>EEZ_460</x:v>
      </x:c>
      <x:c r="B79" s="24" t="str">
        <x:v>Malaysia (Peninsula East)</x:v>
      </x:c>
      <x:c r="C79" s="24" t="str">
        <x:v>EEZ</x:v>
      </x:c>
      <x:c r="D79" s="30" t="n">
        <x:v>2019</x:v>
      </x:c>
      <x:c r="E79" s="24" t="str">
        <x:v>Paralichthyidae</x:v>
      </x:c>
      <x:c r="F79" s="24" t="str">
        <x:v>Largetooth flounders</x:v>
      </x:c>
      <x:c r="G79" s="24" t="str">
        <x:v>Small to medium flatfishes (&lt;90 cm)</x:v>
      </x:c>
      <x:c r="H79" s="24" t="str">
        <x:v>Flatfishes</x:v>
      </x:c>
      <x:c r="I79" s="31" t="n">
        <x:v>340.2709808551</x:v>
      </x:c>
      <x:c r="J79" s="31" t="n">
        <x:v>340.2709808551</x:v>
      </x:c>
      <x:c r="K79" s="31" t="n">
        <x:v>0</x:v>
      </x:c>
      <x:c r="L79" s="31" t="n">
        <x:v>233.16132412320002</x:v>
      </x:c>
      <x:c r="M79" s="31" t="n">
        <x:v>107.10965673189999</x:v>
      </x:c>
      <x:c r="N79" s="24" t="str">
        <x:v>paralichthyidae</x:v>
      </x:c>
      <x:c r="O79" s="32" t="n">
        <x:v>4.06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Paralichthyidae</x:v>
      </x:c>
      <x:c r="T79" s="32" t="n">
        <x:f>IF(O79="","",(1/'Metadata'!$B$5)^(O79-1))</x:f>
        <x:v>1148.1536214968817</x:v>
      </x:c>
      <x:c r="U79" s="31" t="n">
        <x:f>IF(T79="","",I79*T79)</x:f>
        <x:v>390683.35895907914</x:v>
      </x:c>
    </x:row>
    <x:row r="80" ht="18" customHeight="1">
      <x:c r="A80" s="24" t="str">
        <x:v>EEZ_460</x:v>
      </x:c>
      <x:c r="B80" s="24" t="str">
        <x:v>Malaysia (Peninsula East)</x:v>
      </x:c>
      <x:c r="C80" s="24" t="str">
        <x:v>EEZ</x:v>
      </x:c>
      <x:c r="D80" s="30" t="n">
        <x:v>2019</x:v>
      </x:c>
      <x:c r="E80" s="24" t="str">
        <x:v>Scarus</x:v>
      </x:c>
      <x:c r="F80" s="24" t="str">
        <x:v>Parrots</x:v>
      </x:c>
      <x:c r="G80" s="24" t="str">
        <x:v>Medium reef assoc. fish (30 - 89 cm)</x:v>
      </x:c>
      <x:c r="H80" s="24" t="str">
        <x:v>Perch-likes</x:v>
      </x:c>
      <x:c r="I80" s="31" t="n">
        <x:v>298.7011178093</x:v>
      </x:c>
      <x:c r="J80" s="31" t="n">
        <x:v>298.7011178093</x:v>
      </x:c>
      <x:c r="K80" s="31" t="n">
        <x:v>0</x:v>
      </x:c>
      <x:c r="L80" s="31" t="n">
        <x:v>168.9042662936</x:v>
      </x:c>
      <x:c r="M80" s="31" t="n">
        <x:v>129.79685151569998</x:v>
      </x:c>
      <x:c r="N80" s="24" t="str">
        <x:v>scarus</x:v>
      </x:c>
      <x:c r="O80" s="32" t="n">
        <x:v>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Scarus</x:v>
      </x:c>
      <x:c r="T80" s="32" t="n">
        <x:f>IF(O80="","",(1/'Metadata'!$B$5)^(O80-1))</x:f>
        <x:v>10</x:v>
      </x:c>
      <x:c r="U80" s="31" t="n">
        <x:f>IF(T80="","",I80*T80)</x:f>
        <x:v>2987.011178093</x:v>
      </x:c>
    </x:row>
    <x:row r="81" ht="18" customHeight="1">
      <x:c r="A81" s="24" t="str">
        <x:v>EEZ_460</x:v>
      </x:c>
      <x:c r="B81" s="24" t="str">
        <x:v>Malaysia (Peninsula East)</x:v>
      </x:c>
      <x:c r="C81" s="24" t="str">
        <x:v>EEZ</x:v>
      </x:c>
      <x:c r="D81" s="30" t="n">
        <x:v>2019</x:v>
      </x:c>
      <x:c r="E81" s="24" t="str">
        <x:v>Penaeus monodon</x:v>
      </x:c>
      <x:c r="F81" s="24" t="str">
        <x:v>Giant tiger prawn</x:v>
      </x:c>
      <x:c r="G81" s="24" t="str">
        <x:v>Shrimps</x:v>
      </x:c>
      <x:c r="H81" s="24" t="str">
        <x:v>Crustaceans</x:v>
      </x:c>
      <x:c r="I81" s="31" t="n">
        <x:v>277.38233860440005</x:v>
      </x:c>
      <x:c r="J81" s="31" t="n">
        <x:v>277.38233860440005</x:v>
      </x:c>
      <x:c r="K81" s="31" t="n">
        <x:v>0</x:v>
      </x:c>
      <x:c r="L81" s="31" t="n">
        <x:v>180.5674141887</x:v>
      </x:c>
      <x:c r="M81" s="31" t="n">
        <x:v>96.81492441569999</x:v>
      </x:c>
      <x:c r="N81" s="24" t="str">
        <x:v>penaeus monodon</x:v>
      </x:c>
      <x:c r="O81" s="32" t="n">
        <x:v>2.6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Penaeus monodon</x:v>
      </x:c>
      <x:c r="T81" s="32" t="n">
        <x:f>IF(O81="","",(1/'Metadata'!$B$5)^(O81-1))</x:f>
        <x:v>39.810717055349734</x:v>
      </x:c>
      <x:c r="U81" s="31" t="n">
        <x:f>IF(T81="","",I81*T81)</x:f>
        <x:v>11042.789798330983</x:v>
      </x:c>
    </x:row>
    <x:row r="82" ht="18" customHeight="1">
      <x:c r="A82" s="24" t="str">
        <x:v>EEZ_460</x:v>
      </x:c>
      <x:c r="B82" s="24" t="str">
        <x:v>Malaysia (Peninsula East)</x:v>
      </x:c>
      <x:c r="C82" s="24" t="str">
        <x:v>EEZ</x:v>
      </x:c>
      <x:c r="D82" s="30" t="n">
        <x:v>2019</x:v>
      </x:c>
      <x:c r="E82" s="24" t="str">
        <x:v>Serranidae</x:v>
      </x:c>
      <x:c r="F82" s="24" t="str">
        <x:v>Basses, groupers, hinds</x:v>
      </x:c>
      <x:c r="G82" s="24" t="str">
        <x:v>Medium reef assoc. fish (30 - 89 cm)</x:v>
      </x:c>
      <x:c r="H82" s="24" t="str">
        <x:v>Perch-likes</x:v>
      </x:c>
      <x:c r="I82" s="31" t="n">
        <x:v>276.30429541049995</x:v>
      </x:c>
      <x:c r="J82" s="31" t="n">
        <x:v>276.30429541049995</x:v>
      </x:c>
      <x:c r="K82" s="31" t="n">
        <x:v>0</x:v>
      </x:c>
      <x:c r="L82" s="31" t="n">
        <x:v>15.2717160548</x:v>
      </x:c>
      <x:c r="M82" s="31" t="n">
        <x:v>261.03257935569997</x:v>
      </x:c>
      <x:c r="N82" s="24" t="str">
        <x:v>serranidae</x:v>
      </x:c>
      <x:c r="O82" s="32" t="n">
        <x:v>3.98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Serranidae</x:v>
      </x:c>
      <x:c r="T82" s="32" t="n">
        <x:f>IF(O82="","",(1/'Metadata'!$B$5)^(O82-1))</x:f>
        <x:v>954.992586021436</x:v>
      </x:c>
      <x:c r="U82" s="31" t="n">
        <x:f>IF(T82="","",I82*T82)</x:f>
        <x:v>263868.55360290414</x:v>
      </x:c>
    </x:row>
    <x:row r="83" ht="18" customHeight="1">
      <x:c r="A83" s="24" t="str">
        <x:v>EEZ_460</x:v>
      </x:c>
      <x:c r="B83" s="24" t="str">
        <x:v>Malaysia (Peninsula East)</x:v>
      </x:c>
      <x:c r="C83" s="24" t="str">
        <x:v>EEZ</x:v>
      </x:c>
      <x:c r="D83" s="30" t="n">
        <x:v>2019</x:v>
      </x:c>
      <x:c r="E83" s="24" t="str">
        <x:v>Monacanthidae</x:v>
      </x:c>
      <x:c r="F83" s="24" t="str">
        <x:v>Filefishes</x:v>
      </x:c>
      <x:c r="G83" s="24" t="str">
        <x:v>Medium reef assoc. fish (30 - 89 cm)</x:v>
      </x:c>
      <x:c r="H83" s="24" t="str">
        <x:v>Other fishes &amp; inverts</x:v>
      </x:c>
      <x:c r="I83" s="31" t="n">
        <x:v>272.0588340534</x:v>
      </x:c>
      <x:c r="J83" s="31" t="n">
        <x:v>262.5359791302</x:v>
      </x:c>
      <x:c r="K83" s="31" t="n">
        <x:v>9.5228549232</x:v>
      </x:c>
      <x:c r="L83" s="31" t="n">
        <x:v>262.5359791302</x:v>
      </x:c>
      <x:c r="M83" s="31" t="n">
        <x:v>9.5228549232</x:v>
      </x:c>
      <x:c r="N83" s="24" t="str">
        <x:v>monacanthidae</x:v>
      </x:c>
      <x:c r="O83" s="32" t="n">
        <x:v>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Monacanthidae</x:v>
      </x:c>
      <x:c r="T83" s="32" t="n">
        <x:f>IF(O83="","",(1/'Metadata'!$B$5)^(O83-1))</x:f>
        <x:v>100</x:v>
      </x:c>
      <x:c r="U83" s="31" t="n">
        <x:f>IF(T83="","",I83*T83)</x:f>
        <x:v>27205.88340534</x:v>
      </x:c>
    </x:row>
    <x:row r="84" ht="18" customHeight="1">
      <x:c r="A84" s="24" t="str">
        <x:v>EEZ_460</x:v>
      </x:c>
      <x:c r="B84" s="24" t="str">
        <x:v>Malaysia (Peninsula East)</x:v>
      </x:c>
      <x:c r="C84" s="24" t="str">
        <x:v>EEZ</x:v>
      </x:c>
      <x:c r="D84" s="30" t="n">
        <x:v>2019</x:v>
      </x:c>
      <x:c r="E84" s="24" t="str">
        <x:v>Istiophoridae</x:v>
      </x:c>
      <x:c r="F84" s="24" t="str">
        <x:v>Billfishes</x:v>
      </x:c>
      <x:c r="G84" s="24" t="str">
        <x:v>Large pelagics (&gt;=90 cm)</x:v>
      </x:c>
      <x:c r="H84" s="24" t="str">
        <x:v>Tuna &amp; billfishes</x:v>
      </x:c>
      <x:c r="I84" s="31" t="n">
        <x:v>260.663306409</x:v>
      </x:c>
      <x:c r="J84" s="31" t="n">
        <x:v>260.663306409</x:v>
      </x:c>
      <x:c r="K84" s="31" t="n">
        <x:v>0</x:v>
      </x:c>
      <x:c r="L84" s="31" t="n">
        <x:v>0</x:v>
      </x:c>
      <x:c r="M84" s="31" t="n">
        <x:v>260.663306409</x:v>
      </x:c>
      <x:c r="N84" s="24" t="str">
        <x:v>istiophoridae</x:v>
      </x:c>
      <x:c r="O84" s="32" t="n">
        <x:v>4.48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Istiophoridae</x:v>
      </x:c>
      <x:c r="T84" s="32" t="n">
        <x:f>IF(O84="","",(1/'Metadata'!$B$5)^(O84-1))</x:f>
        <x:v>3019.951720402019</x:v>
      </x:c>
      <x:c r="U84" s="31" t="n">
        <x:f>IF(T84="","",I84*T84)</x:f>
        <x:v>787190.6006355381</x:v>
      </x:c>
    </x:row>
    <x:row r="85" ht="18" customHeight="1">
      <x:c r="A85" s="24" t="str">
        <x:v>EEZ_460</x:v>
      </x:c>
      <x:c r="B85" s="24" t="str">
        <x:v>Malaysia (Peninsula East)</x:v>
      </x:c>
      <x:c r="C85" s="24" t="str">
        <x:v>EEZ</x:v>
      </x:c>
      <x:c r="D85" s="30" t="n">
        <x:v>2019</x:v>
      </x:c>
      <x:c r="E85" s="24" t="str">
        <x:v>Siganus canaliculatus</x:v>
      </x:c>
      <x:c r="F85" s="24" t="str">
        <x:v>White-spotted spinefoot</x:v>
      </x:c>
      <x:c r="G85" s="24" t="str">
        <x:v>Small reef assoc. fish (&lt;30 cm)</x:v>
      </x:c>
      <x:c r="H85" s="24" t="str">
        <x:v>Perch-likes</x:v>
      </x:c>
      <x:c r="I85" s="31" t="n">
        <x:v>256.6746422461</x:v>
      </x:c>
      <x:c r="J85" s="31" t="n">
        <x:v>215.7201227132</x:v>
      </x:c>
      <x:c r="K85" s="31" t="n">
        <x:v>40.9545195329</x:v>
      </x:c>
      <x:c r="L85" s="31" t="n">
        <x:v>215.7201227132</x:v>
      </x:c>
      <x:c r="M85" s="31" t="n">
        <x:v>40.9545195329</x:v>
      </x:c>
      <x:c r="N85" s="24" t="str">
        <x:v>siganus canaliculatus</x:v>
      </x:c>
      <x:c r="O85" s="32" t="n">
        <x:v>2.76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Siganus canaliculatus</x:v>
      </x:c>
      <x:c r="T85" s="32" t="n">
        <x:f>IF(O85="","",(1/'Metadata'!$B$5)^(O85-1))</x:f>
        <x:v>57.543993733715666</x:v>
      </x:c>
      <x:c r="U85" s="31" t="n">
        <x:f>IF(T85="","",I85*T85)</x:f>
        <x:v>14770.084005013288</x:v>
      </x:c>
    </x:row>
    <x:row r="86" ht="18" customHeight="1">
      <x:c r="A86" s="24" t="str">
        <x:v>EEZ_460</x:v>
      </x:c>
      <x:c r="B86" s="24" t="str">
        <x:v>Malaysia (Peninsula East)</x:v>
      </x:c>
      <x:c r="C86" s="24" t="str">
        <x:v>EEZ</x:v>
      </x:c>
      <x:c r="D86" s="30" t="n">
        <x:v>2019</x:v>
      </x:c>
      <x:c r="E86" s="24" t="str">
        <x:v>Pampus chinensis</x:v>
      </x:c>
      <x:c r="F86" s="24" t="str">
        <x:v>Chinese silver pomfret</x:v>
      </x:c>
      <x:c r="G86" s="24" t="str">
        <x:v>Medium benthopelagics (30 - 89 cm)</x:v>
      </x:c>
      <x:c r="H86" s="24" t="str">
        <x:v>Perch-likes</x:v>
      </x:c>
      <x:c r="I86" s="31" t="n">
        <x:v>256.1692156106</x:v>
      </x:c>
      <x:c r="J86" s="31" t="n">
        <x:v>256.1692156106</x:v>
      </x:c>
      <x:c r="K86" s="31" t="n">
        <x:v>0</x:v>
      </x:c>
      <x:c r="L86" s="31" t="n">
        <x:v>155.1348967593</x:v>
      </x:c>
      <x:c r="M86" s="31" t="n">
        <x:v>101.0343188513</x:v>
      </x:c>
      <x:c r="N86" s="24" t="str">
        <x:v>pampus chinensis</x:v>
      </x:c>
      <x:c r="O86" s="32" t="n">
        <x:v>3.6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Pampus chinensis</x:v>
      </x:c>
      <x:c r="T86" s="32" t="n">
        <x:f>IF(O86="","",(1/'Metadata'!$B$5)^(O86-1))</x:f>
        <x:v>398.1071705534973</x:v>
      </x:c>
      <x:c r="U86" s="31" t="n">
        <x:f>IF(T86="","",I86*T86)</x:f>
        <x:v>101982.80160964477</x:v>
      </x:c>
    </x:row>
    <x:row r="87" ht="18" customHeight="1">
      <x:c r="A87" s="24" t="str">
        <x:v>EEZ_460</x:v>
      </x:c>
      <x:c r="B87" s="24" t="str">
        <x:v>Malaysia (Peninsula East)</x:v>
      </x:c>
      <x:c r="C87" s="24" t="str">
        <x:v>EEZ</x:v>
      </x:c>
      <x:c r="D87" s="30" t="n">
        <x:v>2019</x:v>
      </x:c>
      <x:c r="E87" s="24" t="str">
        <x:v>Drepane</x:v>
      </x:c>
      <x:c r="F87" s="24" t="str">
        <x:v>Sicklefishes</x:v>
      </x:c>
      <x:c r="G87" s="24" t="str">
        <x:v>Medium benthopelagics (30 - 89 cm)</x:v>
      </x:c>
      <x:c r="H87" s="24" t="str">
        <x:v>Perch-likes</x:v>
      </x:c>
      <x:c r="I87" s="31" t="n">
        <x:v>243.9870437821</x:v>
      </x:c>
      <x:c r="J87" s="31" t="n">
        <x:v>243.9870437821</x:v>
      </x:c>
      <x:c r="K87" s="31" t="n">
        <x:v>0</x:v>
      </x:c>
      <x:c r="L87" s="31" t="n">
        <x:v>155.1348967595</x:v>
      </x:c>
      <x:c r="M87" s="31" t="n">
        <x:v>88.85214702260001</x:v>
      </x:c>
      <x:c r="N87" s="24" t="str">
        <x:v>drepane</x:v>
      </x:c>
      <x:c r="O87" s="32" t="n">
        <x:v>3.32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Drepane</x:v>
      </x:c>
      <x:c r="T87" s="32" t="n">
        <x:f>IF(O87="","",(1/'Metadata'!$B$5)^(O87-1))</x:f>
        <x:v>208.92961308540387</x:v>
      </x:c>
      <x:c r="U87" s="31" t="n">
        <x:f>IF(T87="","",I87*T87)</x:f>
        <x:v>50976.11865524564</x:v>
      </x:c>
    </x:row>
    <x:row r="88" ht="18" customHeight="1">
      <x:c r="A88" s="24" t="str">
        <x:v>EEZ_460</x:v>
      </x:c>
      <x:c r="B88" s="24" t="str">
        <x:v>Malaysia (Peninsula East)</x:v>
      </x:c>
      <x:c r="C88" s="24" t="str">
        <x:v>EEZ</x:v>
      </x:c>
      <x:c r="D88" s="30" t="n">
        <x:v>2019</x:v>
      </x:c>
      <x:c r="E88" s="24" t="str">
        <x:v>Sciaenidae</x:v>
      </x:c>
      <x:c r="F88" s="24" t="str">
        <x:v>Drums, croakers</x:v>
      </x:c>
      <x:c r="G88" s="24" t="str">
        <x:v>Medium demersals (30 - 89 cm)</x:v>
      </x:c>
      <x:c r="H88" s="24" t="str">
        <x:v>Perch-likes</x:v>
      </x:c>
      <x:c r="I88" s="31" t="n">
        <x:v>231.0339579958</x:v>
      </x:c>
      <x:c r="J88" s="31" t="n">
        <x:v>79.94108715409999</x:v>
      </x:c>
      <x:c r="K88" s="31" t="n">
        <x:v>151.0928708417</x:v>
      </x:c>
      <x:c r="L88" s="31" t="n">
        <x:v>78.69636480209999</x:v>
      </x:c>
      <x:c r="M88" s="31" t="n">
        <x:v>152.3375931937</x:v>
      </x:c>
      <x:c r="N88" s="24" t="str">
        <x:v>sciaenidae</x:v>
      </x:c>
      <x:c r="O88" s="32" t="n">
        <x:v>3.76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Sciaenidae</x:v>
      </x:c>
      <x:c r="T88" s="32" t="n">
        <x:f>IF(O88="","",(1/'Metadata'!$B$5)^(O88-1))</x:f>
        <x:v>575.4399373371566</x:v>
      </x:c>
      <x:c r="U88" s="31" t="n">
        <x:f>IF(T88="","",I88*T88)</x:f>
        <x:v>132946.16631185843</x:v>
      </x:c>
    </x:row>
    <x:row r="89" ht="18" customHeight="1">
      <x:c r="A89" s="24" t="str">
        <x:v>EEZ_460</x:v>
      </x:c>
      <x:c r="B89" s="24" t="str">
        <x:v>Malaysia (Peninsula East)</x:v>
      </x:c>
      <x:c r="C89" s="24" t="str">
        <x:v>EEZ</x:v>
      </x:c>
      <x:c r="D89" s="30" t="n">
        <x:v>2019</x:v>
      </x:c>
      <x:c r="E89" s="24" t="str">
        <x:v>Gerres</x:v>
      </x:c>
      <x:c r="F89" s="24" t="str">
        <x:v>Silver biddies</x:v>
      </x:c>
      <x:c r="G89" s="24" t="str">
        <x:v>Small benthopelagics (&lt;30 cm)</x:v>
      </x:c>
      <x:c r="H89" s="24" t="str">
        <x:v>Perch-likes</x:v>
      </x:c>
      <x:c r="I89" s="31" t="n">
        <x:v>223.522426593</x:v>
      </x:c>
      <x:c r="J89" s="31" t="n">
        <x:v>223.522426593</x:v>
      </x:c>
      <x:c r="K89" s="31" t="n">
        <x:v>0</x:v>
      </x:c>
      <x:c r="L89" s="31" t="n">
        <x:v>151.4630648833</x:v>
      </x:c>
      <x:c r="M89" s="31" t="n">
        <x:v>72.0593617097</x:v>
      </x:c>
      <x:c r="N89" s="24" t="str">
        <x:v>gerres</x:v>
      </x:c>
      <x:c r="O89" s="32" t="n">
        <x:v>3.27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Gerres</x:v>
      </x:c>
      <x:c r="T89" s="32" t="n">
        <x:f>IF(O89="","",(1/'Metadata'!$B$5)^(O89-1))</x:f>
        <x:v>186.20871366628674</x:v>
      </x:c>
      <x:c r="U89" s="31" t="n">
        <x:f>IF(T89="","",I89*T89)</x:f>
        <x:v>41621.82353144953</x:v>
      </x:c>
    </x:row>
    <x:row r="90" ht="18" customHeight="1">
      <x:c r="A90" s="24" t="str">
        <x:v>EEZ_460</x:v>
      </x:c>
      <x:c r="B90" s="24" t="str">
        <x:v>Malaysia (Peninsula East)</x:v>
      </x:c>
      <x:c r="C90" s="24" t="str">
        <x:v>EEZ</x:v>
      </x:c>
      <x:c r="D90" s="30" t="n">
        <x:v>2019</x:v>
      </x:c>
      <x:c r="E90" s="24" t="str">
        <x:v>Plotosus</x:v>
      </x:c>
      <x:c r="F90" s="24" t="str">
        <x:v>Eel catfishes</x:v>
      </x:c>
      <x:c r="G90" s="24" t="str">
        <x:v>Medium reef assoc. fish (30 - 89 cm)</x:v>
      </x:c>
      <x:c r="H90" s="24" t="str">
        <x:v>Other fishes &amp; inverts</x:v>
      </x:c>
      <x:c r="I90" s="31" t="n">
        <x:v>219.89584739560001</x:v>
      </x:c>
      <x:c r="J90" s="31" t="n">
        <x:v>219.89584739560001</x:v>
      </x:c>
      <x:c r="K90" s="31" t="n">
        <x:v>0</x:v>
      </x:c>
      <x:c r="L90" s="31" t="n">
        <x:v>150.6133225454</x:v>
      </x:c>
      <x:c r="M90" s="31" t="n">
        <x:v>69.28252485019999</x:v>
      </x:c>
      <x:c r="N90" s="24" t="str">
        <x:v>plotosus</x:v>
      </x:c>
      <x:c r="O90" s="32" t="n">
        <x:v>3.49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Plotosus</x:v>
      </x:c>
      <x:c r="T90" s="32" t="n">
        <x:f>IF(O90="","",(1/'Metadata'!$B$5)^(O90-1))</x:f>
        <x:v>309.0295432513592</x:v>
      </x:c>
      <x:c r="U90" s="31" t="n">
        <x:f>IF(T90="","",I90*T90)</x:f>
        <x:v>67954.31328353286</x:v>
      </x:c>
    </x:row>
    <x:row r="91" ht="18" customHeight="1">
      <x:c r="A91" s="24" t="str">
        <x:v>EEZ_460</x:v>
      </x:c>
      <x:c r="B91" s="24" t="str">
        <x:v>Malaysia (Peninsula East)</x:v>
      </x:c>
      <x:c r="C91" s="24" t="str">
        <x:v>EEZ</x:v>
      </x:c>
      <x:c r="D91" s="30" t="n">
        <x:v>2019</x:v>
      </x:c>
      <x:c r="E91" s="24" t="str">
        <x:v>Hilsa kelee</x:v>
      </x:c>
      <x:c r="F91" s="24" t="str">
        <x:v>Kelee shad</x:v>
      </x:c>
      <x:c r="G91" s="24" t="str">
        <x:v>Small pelagics (&lt;30 cm)</x:v>
      </x:c>
      <x:c r="H91" s="24" t="str">
        <x:v>Herring-likes</x:v>
      </x:c>
      <x:c r="I91" s="31" t="n">
        <x:v>209.4363025692</x:v>
      </x:c>
      <x:c r="J91" s="31" t="n">
        <x:v>209.4363025692</x:v>
      </x:c>
      <x:c r="K91" s="31" t="n">
        <x:v>0</x:v>
      </x:c>
      <x:c r="L91" s="31" t="n">
        <x:v>95.46762877450001</x:v>
      </x:c>
      <x:c r="M91" s="31" t="n">
        <x:v>113.9686737947</x:v>
      </x:c>
      <x:c r="N91" s="24" t="str">
        <x:v>hilsa kelee</x:v>
      </x:c>
      <x:c r="O91" s="32" t="n">
        <x:v>3.25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Hilsa kelee</x:v>
      </x:c>
      <x:c r="T91" s="32" t="n">
        <x:f>IF(O91="","",(1/'Metadata'!$B$5)^(O91-1))</x:f>
        <x:v>177.82794100389228</x:v>
      </x:c>
      <x:c r="U91" s="31" t="n">
        <x:f>IF(T91="","",I91*T91)</x:f>
        <x:v>37243.626457349026</x:v>
      </x:c>
    </x:row>
    <x:row r="92" ht="18" customHeight="1">
      <x:c r="A92" s="24" t="str">
        <x:v>EEZ_460</x:v>
      </x:c>
      <x:c r="B92" s="24" t="str">
        <x:v>Malaysia (Peninsula East)</x:v>
      </x:c>
      <x:c r="C92" s="24" t="str">
        <x:v>EEZ</x:v>
      </x:c>
      <x:c r="D92" s="30" t="n">
        <x:v>2019</x:v>
      </x:c>
      <x:c r="E92" s="24" t="str">
        <x:v>Dussumieria elopsoides</x:v>
      </x:c>
      <x:c r="F92" s="24" t="str">
        <x:v>Slender rainbow sardine</x:v>
      </x:c>
      <x:c r="G92" s="24" t="str">
        <x:v>Small pelagics (&lt;30 cm)</x:v>
      </x:c>
      <x:c r="H92" s="24" t="str">
        <x:v>Herring-likes</x:v>
      </x:c>
      <x:c r="I92" s="31" t="n">
        <x:v>198.55978485079999</x:v>
      </x:c>
      <x:c r="J92" s="31" t="n">
        <x:v>190.9352575496</x:v>
      </x:c>
      <x:c r="K92" s="31" t="n">
        <x:v>7.6245273012000006</x:v>
      </x:c>
      <x:c r="L92" s="31" t="n">
        <x:v>190.9352575496</x:v>
      </x:c>
      <x:c r="M92" s="31" t="n">
        <x:v>7.6245273012000006</x:v>
      </x:c>
      <x:c r="N92" s="24" t="str">
        <x:v>dussumieria elopsoides</x:v>
      </x:c>
      <x:c r="O92" s="32" t="n">
        <x:v>3.4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Dussumieria elopsoides</x:v>
      </x:c>
      <x:c r="T92" s="32" t="n">
        <x:f>IF(O92="","",(1/'Metadata'!$B$5)^(O92-1))</x:f>
        <x:v>251.18864315095797</x:v>
      </x:c>
      <x:c r="U92" s="31" t="n">
        <x:f>IF(T92="","",I92*T92)</x:f>
        <x:v>49875.96294101859</x:v>
      </x:c>
    </x:row>
    <x:row r="93" ht="18" customHeight="1">
      <x:c r="A93" s="24" t="str">
        <x:v>EEZ_460</x:v>
      </x:c>
      <x:c r="B93" s="24" t="str">
        <x:v>Malaysia (Peninsula East)</x:v>
      </x:c>
      <x:c r="C93" s="24" t="str">
        <x:v>EEZ</x:v>
      </x:c>
      <x:c r="D93" s="30" t="n">
        <x:v>2019</x:v>
      </x:c>
      <x:c r="E93" s="24" t="str">
        <x:v>Mugil</x:v>
      </x:c>
      <x:c r="F93" s="24" t="str">
        <x:v>Grey mullets</x:v>
      </x:c>
      <x:c r="G93" s="24" t="str">
        <x:v>Medium demersals (30 - 89 cm)</x:v>
      </x:c>
      <x:c r="H93" s="24" t="str">
        <x:v>Perch-likes</x:v>
      </x:c>
      <x:c r="I93" s="31" t="n">
        <x:v>184.4944432847</x:v>
      </x:c>
      <x:c r="J93" s="31" t="n">
        <x:v>184.4944432847</x:v>
      </x:c>
      <x:c r="K93" s="31" t="n">
        <x:v>0</x:v>
      </x:c>
      <x:c r="L93" s="31" t="n">
        <x:v>105.9134840286</x:v>
      </x:c>
      <x:c r="M93" s="31" t="n">
        <x:v>78.5809592561</x:v>
      </x:c>
      <x:c r="N93" s="24" t="str">
        <x:v>mugil</x:v>
      </x:c>
      <x:c r="O93" s="32" t="n">
        <x:v>2.26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Mugil</x:v>
      </x:c>
      <x:c r="T93" s="32" t="n">
        <x:f>IF(O93="","",(1/'Metadata'!$B$5)^(O93-1))</x:f>
        <x:v>18.197008586099827</x:v>
      </x:c>
      <x:c r="U93" s="31" t="n">
        <x:f>IF(T93="","",I93*T93)</x:f>
        <x:v>3357.2469685393935</x:v>
      </x:c>
    </x:row>
    <x:row r="94" ht="18" customHeight="1">
      <x:c r="A94" s="24" t="str">
        <x:v>EEZ_460</x:v>
      </x:c>
      <x:c r="B94" s="24" t="str">
        <x:v>Malaysia (Peninsula East)</x:v>
      </x:c>
      <x:c r="C94" s="24" t="str">
        <x:v>EEZ</x:v>
      </x:c>
      <x:c r="D94" s="30" t="n">
        <x:v>2019</x:v>
      </x:c>
      <x:c r="E94" s="24" t="str">
        <x:v>Balistidae</x:v>
      </x:c>
      <x:c r="F94" s="24" t="str">
        <x:v>Triggerfishes</x:v>
      </x:c>
      <x:c r="G94" s="24" t="str">
        <x:v>Medium reef assoc. fish (30 - 89 cm)</x:v>
      </x:c>
      <x:c r="H94" s="24" t="str">
        <x:v>Other fishes &amp; inverts</x:v>
      </x:c>
      <x:c r="I94" s="31" t="n">
        <x:v>175.3012292522</x:v>
      </x:c>
      <x:c r="J94" s="31" t="n">
        <x:v>175.3012292522</x:v>
      </x:c>
      <x:c r="K94" s="31" t="n">
        <x:v>0</x:v>
      </x:c>
      <x:c r="L94" s="31" t="n">
        <x:v>115.6627040921</x:v>
      </x:c>
      <x:c r="M94" s="31" t="n">
        <x:v>59.638525160099995</x:v>
      </x:c>
      <x:c r="N94" s="24" t="str">
        <x:v>balistidae</x:v>
      </x:c>
      <x:c r="O94" s="32" t="n">
        <x:v>3.25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Balistidae</x:v>
      </x:c>
      <x:c r="T94" s="32" t="n">
        <x:f>IF(O94="","",(1/'Metadata'!$B$5)^(O94-1))</x:f>
        <x:v>177.82794100389228</x:v>
      </x:c>
      <x:c r="U94" s="31" t="n">
        <x:f>IF(T94="","",I94*T94)</x:f>
        <x:v>31173.456653370016</x:v>
      </x:c>
    </x:row>
    <x:row r="95" ht="18" customHeight="1">
      <x:c r="A95" s="24" t="str">
        <x:v>EEZ_460</x:v>
      </x:c>
      <x:c r="B95" s="24" t="str">
        <x:v>Malaysia (Peninsula East)</x:v>
      </x:c>
      <x:c r="C95" s="24" t="str">
        <x:v>EEZ</x:v>
      </x:c>
      <x:c r="D95" s="30" t="n">
        <x:v>2019</x:v>
      </x:c>
      <x:c r="E95" s="24" t="str">
        <x:v>Rastrelliger brachysoma</x:v>
      </x:c>
      <x:c r="F95" s="24" t="str">
        <x:v>Short mackerel</x:v>
      </x:c>
      <x:c r="G95" s="24" t="str">
        <x:v>Medium pelagics (30 - 89 cm)</x:v>
      </x:c>
      <x:c r="H95" s="24" t="str">
        <x:v>Perch-likes</x:v>
      </x:c>
      <x:c r="I95" s="31" t="n">
        <x:v>172.7789416284</x:v>
      </x:c>
      <x:c r="J95" s="31" t="n">
        <x:v>167.06835035560002</x:v>
      </x:c>
      <x:c r="K95" s="31" t="n">
        <x:v>5.7105912728</x:v>
      </x:c>
      <x:c r="L95" s="31" t="n">
        <x:v>167.06835035560002</x:v>
      </x:c>
      <x:c r="M95" s="31" t="n">
        <x:v>5.7105912728</x:v>
      </x:c>
      <x:c r="N95" s="24" t="str">
        <x:v>rastrelliger brachysoma</x:v>
      </x:c>
      <x:c r="O95" s="32" t="n">
        <x:v>2.72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Rastrelliger brachysoma</x:v>
      </x:c>
      <x:c r="T95" s="32" t="n">
        <x:f>IF(O95="","",(1/'Metadata'!$B$5)^(O95-1))</x:f>
        <x:v>52.480746024977286</x:v>
      </x:c>
      <x:c r="U95" s="31" t="n">
        <x:f>IF(T95="","",I95*T95)</x:f>
        <x:v>9067.567754064436</x:v>
      </x:c>
    </x:row>
    <x:row r="96" ht="18" customHeight="1">
      <x:c r="A96" s="24" t="str">
        <x:v>EEZ_460</x:v>
      </x:c>
      <x:c r="B96" s="24" t="str">
        <x:v>Malaysia (Peninsula East)</x:v>
      </x:c>
      <x:c r="C96" s="24" t="str">
        <x:v>EEZ</x:v>
      </x:c>
      <x:c r="D96" s="30" t="n">
        <x:v>2019</x:v>
      </x:c>
      <x:c r="E96" s="24" t="str">
        <x:v>Elagatis bipinnulata</x:v>
      </x:c>
      <x:c r="F96" s="24" t="str">
        <x:v>Rainbow runner</x:v>
      </x:c>
      <x:c r="G96" s="24" t="str">
        <x:v>Large pelagics (&gt;=90 cm)</x:v>
      </x:c>
      <x:c r="H96" s="24" t="str">
        <x:v>Perch-likes</x:v>
      </x:c>
      <x:c r="I96" s="31" t="n">
        <x:v>159.1894721177</x:v>
      </x:c>
      <x:c r="J96" s="31" t="n">
        <x:v>159.1894721177</x:v>
      </x:c>
      <x:c r="K96" s="31" t="n">
        <x:v>0</x:v>
      </x:c>
      <x:c r="L96" s="31" t="n">
        <x:v>96.3855867429</x:v>
      </x:c>
      <x:c r="M96" s="31" t="n">
        <x:v>62.803885374800004</x:v>
      </x:c>
      <x:c r="N96" s="24" t="str">
        <x:v>elagatis bipinnulata</x:v>
      </x:c>
      <x:c r="O96" s="32" t="n">
        <x:v>4.27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Elagatis bipinnulata</x:v>
      </x:c>
      <x:c r="T96" s="32" t="n">
        <x:f>IF(O96="","",(1/'Metadata'!$B$5)^(O96-1))</x:f>
        <x:v>1862.0871366628655</x:v>
      </x:c>
      <x:c r="U96" s="31" t="n">
        <x:f>IF(T96="","",I96*T96)</x:f>
        <x:v>296424.6683225211</x:v>
      </x:c>
    </x:row>
    <x:row r="97" ht="18" customHeight="1">
      <x:c r="A97" s="24" t="str">
        <x:v>EEZ_460</x:v>
      </x:c>
      <x:c r="B97" s="24" t="str">
        <x:v>Malaysia (Peninsula East)</x:v>
      </x:c>
      <x:c r="C97" s="24" t="str">
        <x:v>EEZ</x:v>
      </x:c>
      <x:c r="D97" s="30" t="n">
        <x:v>2019</x:v>
      </x:c>
      <x:c r="E97" s="24" t="str">
        <x:v>Lutjanus johnii</x:v>
      </x:c>
      <x:c r="F97" s="24" t="str">
        <x:v>John's snapper</x:v>
      </x:c>
      <x:c r="G97" s="24" t="str">
        <x:v>Medium reef assoc. fish (30 - 89 cm)</x:v>
      </x:c>
      <x:c r="H97" s="24" t="str">
        <x:v>Perch-likes</x:v>
      </x:c>
      <x:c r="I97" s="31" t="n">
        <x:v>155.5050013137</x:v>
      </x:c>
      <x:c r="J97" s="31" t="n">
        <x:v>155.5050013137</x:v>
      </x:c>
      <x:c r="K97" s="31" t="n">
        <x:v>0</x:v>
      </x:c>
      <x:c r="L97" s="31" t="n">
        <x:v>94.5496708054</x:v>
      </x:c>
      <x:c r="M97" s="31" t="n">
        <x:v>60.9553305083</x:v>
      </x:c>
      <x:c r="N97" s="24" t="str">
        <x:v>lutjanus johnii</x:v>
      </x:c>
      <x:c r="O97" s="32" t="n">
        <x:v>4.2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Lutjanus johnii</x:v>
      </x:c>
      <x:c r="T97" s="32" t="n">
        <x:f>IF(O97="","",(1/'Metadata'!$B$5)^(O97-1))</x:f>
        <x:v>1584.893192461114</x:v>
      </x:c>
      <x:c r="U97" s="31" t="n">
        <x:f>IF(T97="","",I97*T97)</x:f>
        <x:v>246458.81797573974</x:v>
      </x:c>
    </x:row>
    <x:row r="98" ht="18" customHeight="1">
      <x:c r="A98" s="24" t="str">
        <x:v>EEZ_460</x:v>
      </x:c>
      <x:c r="B98" s="24" t="str">
        <x:v>Malaysia (Peninsula East)</x:v>
      </x:c>
      <x:c r="C98" s="24" t="str">
        <x:v>EEZ</x:v>
      </x:c>
      <x:c r="D98" s="30" t="n">
        <x:v>2019</x:v>
      </x:c>
      <x:c r="E98" s="24" t="str">
        <x:v>Scatophagus</x:v>
      </x:c>
      <x:c r="F98" s="24" t="str">
        <x:v>Scats</x:v>
      </x:c>
      <x:c r="G98" s="24" t="str">
        <x:v>Medium demersals (30 - 89 cm)</x:v>
      </x:c>
      <x:c r="H98" s="24" t="str">
        <x:v>Perch-likes</x:v>
      </x:c>
      <x:c r="I98" s="31" t="n">
        <x:v>152.29889313</x:v>
      </x:c>
      <x:c r="J98" s="31" t="n">
        <x:v>152.29889313</x:v>
      </x:c>
      <x:c r="K98" s="31" t="n">
        <x:v>0</x:v>
      </x:c>
      <x:c r="L98" s="31" t="n">
        <x:v>105.5651664335</x:v>
      </x:c>
      <x:c r="M98" s="31" t="n">
        <x:v>46.7337266965</x:v>
      </x:c>
      <x:c r="N98" s="24" t="str">
        <x:v>scatophagus</x:v>
      </x:c>
      <x:c r="O98" s="32" t="n">
        <x:v>2.75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Scatophagus</x:v>
      </x:c>
      <x:c r="T98" s="32" t="n">
        <x:f>IF(O98="","",(1/'Metadata'!$B$5)^(O98-1))</x:f>
        <x:v>56.23413251903491</x:v>
      </x:c>
      <x:c r="U98" s="31" t="n">
        <x:f>IF(T98="","",I98*T98)</x:f>
        <x:v>8564.396138774755</x:v>
      </x:c>
    </x:row>
    <x:row r="99" ht="18" customHeight="1">
      <x:c r="A99" s="24" t="str">
        <x:v>EEZ_460</x:v>
      </x:c>
      <x:c r="B99" s="24" t="str">
        <x:v>Malaysia (Peninsula East)</x:v>
      </x:c>
      <x:c r="C99" s="24" t="str">
        <x:v>EEZ</x:v>
      </x:c>
      <x:c r="D99" s="30" t="n">
        <x:v>2019</x:v>
      </x:c>
      <x:c r="E99" s="24" t="str">
        <x:v>Gazza minuta</x:v>
      </x:c>
      <x:c r="F99" s="24" t="str">
        <x:v>Toothpony</x:v>
      </x:c>
      <x:c r="G99" s="24" t="str">
        <x:v>Small demersals (&lt;30 cm)</x:v>
      </x:c>
      <x:c r="H99" s="24" t="str">
        <x:v>Perch-likes</x:v>
      </x:c>
      <x:c r="I99" s="31" t="n">
        <x:v>148.9120344348</x:v>
      </x:c>
      <x:c r="J99" s="31" t="n">
        <x:v>143.2014431621</x:v>
      </x:c>
      <x:c r="K99" s="31" t="n">
        <x:v>5.7105912727</x:v>
      </x:c>
      <x:c r="L99" s="31" t="n">
        <x:v>143.2014431621</x:v>
      </x:c>
      <x:c r="M99" s="31" t="n">
        <x:v>5.7105912727</x:v>
      </x:c>
      <x:c r="N99" s="24" t="str">
        <x:v>gazza minuta</x:v>
      </x:c>
      <x:c r="O99" s="32" t="n">
        <x:v>4.19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Gazza minuta</x:v>
      </x:c>
      <x:c r="T99" s="32" t="n">
        <x:f>IF(O99="","",(1/'Metadata'!$B$5)^(O99-1))</x:f>
        <x:v>1548.8166189124827</x:v>
      </x:c>
      <x:c r="U99" s="31" t="n">
        <x:f>IF(T99="","",I99*T99)</x:f>
        <x:v>230637.43368868614</x:v>
      </x:c>
    </x:row>
    <x:row r="100" ht="18" customHeight="1">
      <x:c r="A100" s="24" t="str">
        <x:v>EEZ_460</x:v>
      </x:c>
      <x:c r="B100" s="24" t="str">
        <x:v>Malaysia (Peninsula East)</x:v>
      </x:c>
      <x:c r="C100" s="24" t="str">
        <x:v>EEZ</x:v>
      </x:c>
      <x:c r="D100" s="30" t="n">
        <x:v>2019</x:v>
      </x:c>
      <x:c r="E100" s="24" t="str">
        <x:v>Sardinella fimbriata</x:v>
      </x:c>
      <x:c r="F100" s="24" t="str">
        <x:v>Fringescale sardinella</x:v>
      </x:c>
      <x:c r="G100" s="24" t="str">
        <x:v>Small pelagics (&lt;30 cm)</x:v>
      </x:c>
      <x:c r="H100" s="24" t="str">
        <x:v>Herring-likes</x:v>
      </x:c>
      <x:c r="I100" s="31" t="n">
        <x:v>148.9120344348</x:v>
      </x:c>
      <x:c r="J100" s="31" t="n">
        <x:v>143.201443162</x:v>
      </x:c>
      <x:c r="K100" s="31" t="n">
        <x:v>5.7105912728</x:v>
      </x:c>
      <x:c r="L100" s="31" t="n">
        <x:v>143.201443162</x:v>
      </x:c>
      <x:c r="M100" s="31" t="n">
        <x:v>5.7105912728</x:v>
      </x:c>
      <x:c r="N100" s="24" t="str">
        <x:v>sardinella fimbriata</x:v>
      </x:c>
      <x:c r="O100" s="32" t="n">
        <x:v>2.7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Sardinella fimbriata</x:v>
      </x:c>
      <x:c r="T100" s="32" t="n">
        <x:f>IF(O100="","",(1/'Metadata'!$B$5)^(O100-1))</x:f>
        <x:v>50.11872336272725</x:v>
      </x:c>
      <x:c r="U100" s="31" t="n">
        <x:f>IF(T100="","",I100*T100)</x:f>
        <x:v>7463.281059218656</x:v>
      </x:c>
    </x:row>
    <x:row r="101" ht="18" customHeight="1">
      <x:c r="A101" s="24" t="str">
        <x:v>EEZ_460</x:v>
      </x:c>
      <x:c r="B101" s="24" t="str">
        <x:v>Malaysia (Peninsula East)</x:v>
      </x:c>
      <x:c r="C101" s="24" t="str">
        <x:v>EEZ</x:v>
      </x:c>
      <x:c r="D101" s="30" t="n">
        <x:v>2019</x:v>
      </x:c>
      <x:c r="E101" s="24" t="str">
        <x:v>Octopodidae</x:v>
      </x:c>
      <x:c r="F101" s="24" t="str">
        <x:v>Octopuses</x:v>
      </x:c>
      <x:c r="G101" s="24" t="str">
        <x:v>Cephalopods</x:v>
      </x:c>
      <x:c r="H101" s="24" t="str">
        <x:v>Other fishes &amp; inverts</x:v>
      </x:c>
      <x:c r="I101" s="31" t="n">
        <x:v>138.6752674084</x:v>
      </x:c>
      <x:c r="J101" s="31" t="n">
        <x:v>138.6752674084</x:v>
      </x:c>
      <x:c r="K101" s="31" t="n">
        <x:v>0</x:v>
      </x:c>
      <x:c r="L101" s="31" t="n">
        <x:v>100.6143799594</x:v>
      </x:c>
      <x:c r="M101" s="31" t="n">
        <x:v>38.060887449</x:v>
      </x:c>
      <x:c r="N101" s="24" t="str">
        <x:v>octopodidae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Octopodidae</x:v>
      </x:c>
      <x:c r="T101" s="32" t="n">
        <x:f>IF(O101="","",(1/'Metadata'!$B$5)^(O101-1))</x:f>
        <x:v>389.04514499428046</x:v>
      </x:c>
      <x:c r="U101" s="31" t="n">
        <x:f>IF(T101="","",I101*T101)</x:f>
        <x:v>53950.93951602159</x:v>
      </x:c>
    </x:row>
    <x:row r="102" ht="18" customHeight="1">
      <x:c r="A102" s="24" t="str">
        <x:v>EEZ_460</x:v>
      </x:c>
      <x:c r="B102" s="24" t="str">
        <x:v>Malaysia (Peninsula East)</x:v>
      </x:c>
      <x:c r="C102" s="24" t="str">
        <x:v>EEZ</x:v>
      </x:c>
      <x:c r="D102" s="30" t="n">
        <x:v>2019</x:v>
      </x:c>
      <x:c r="E102" s="24" t="str">
        <x:v>Gnathanodon speciosus</x:v>
      </x:c>
      <x:c r="F102" s="24" t="str">
        <x:v>Golden trevally</x:v>
      </x:c>
      <x:c r="G102" s="24" t="str">
        <x:v>Large reef assoc. fish (&gt;=90 cm)</x:v>
      </x:c>
      <x:c r="H102" s="24" t="str">
        <x:v>Perch-likes</x:v>
      </x:c>
      <x:c r="I102" s="31" t="n">
        <x:v>137.1723916366</x:v>
      </x:c>
      <x:c r="J102" s="31" t="n">
        <x:v>137.1723916366</x:v>
      </x:c>
      <x:c r="K102" s="31" t="n">
        <x:v>0</x:v>
      </x:c>
      <x:c r="L102" s="31" t="n">
        <x:v>84.45213314669999</x:v>
      </x:c>
      <x:c r="M102" s="31" t="n">
        <x:v>52.720258489900004</x:v>
      </x:c>
      <x:c r="N102" s="24" t="str">
        <x:v>gnathanodon speciosus</x:v>
      </x:c>
      <x:c r="O102" s="32" t="n">
        <x:v>3.84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Gnathanodon speciosus</x:v>
      </x:c>
      <x:c r="T102" s="32" t="n">
        <x:f>IF(O102="","",(1/'Metadata'!$B$5)^(O102-1))</x:f>
        <x:v>691.8309709189363</x:v>
      </x:c>
      <x:c r="U102" s="31" t="n">
        <x:f>IF(T102="","",I102*T102)</x:f>
        <x:v>94900.10888922155</x:v>
      </x:c>
    </x:row>
    <x:row r="103" ht="18" customHeight="1">
      <x:c r="A103" s="24" t="str">
        <x:v>EEZ_460</x:v>
      </x:c>
      <x:c r="B103" s="24" t="str">
        <x:v>Malaysia (Peninsula East)</x:v>
      </x:c>
      <x:c r="C103" s="24" t="str">
        <x:v>EEZ</x:v>
      </x:c>
      <x:c r="D103" s="30" t="n">
        <x:v>2019</x:v>
      </x:c>
      <x:c r="E103" s="24" t="str">
        <x:v>Muraenesox cinereus</x:v>
      </x:c>
      <x:c r="F103" s="24" t="str">
        <x:v>Daggertooth pike conger</x:v>
      </x:c>
      <x:c r="G103" s="24" t="str">
        <x:v>Large demersals (&gt;=90 cm)</x:v>
      </x:c>
      <x:c r="H103" s="24" t="str">
        <x:v>Other fishes &amp; inverts</x:v>
      </x:c>
      <x:c r="I103" s="31" t="n">
        <x:v>127.8393259388</x:v>
      </x:c>
      <x:c r="J103" s="31" t="n">
        <x:v>123.077898477</x:v>
      </x:c>
      <x:c r="K103" s="31" t="n">
        <x:v>4.7614274618</x:v>
      </x:c>
      <x:c r="L103" s="31" t="n">
        <x:v>122.88270541</x:v>
      </x:c>
      <x:c r="M103" s="31" t="n">
        <x:v>4.9566205288</x:v>
      </x:c>
      <x:c r="N103" s="24" t="str">
        <x:v>muraenesox cinereus</x:v>
      </x:c>
      <x:c r="O103" s="32" t="n">
        <x:v>4.38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Muraenesox cinereus</x:v>
      </x:c>
      <x:c r="T103" s="32" t="n">
        <x:f>IF(O103="","",(1/'Metadata'!$B$5)^(O103-1))</x:f>
        <x:v>2398.83291901949</x:v>
      </x:c>
      <x:c r="U103" s="31" t="n">
        <x:f>IF(T103="","",I103*T103)</x:f>
        <x:v>306665.1834072556</x:v>
      </x:c>
    </x:row>
    <x:row r="104" ht="18" customHeight="1">
      <x:c r="A104" s="24" t="str">
        <x:v>EEZ_460</x:v>
      </x:c>
      <x:c r="B104" s="24" t="str">
        <x:v>Malaysia (Peninsula East)</x:v>
      </x:c>
      <x:c r="C104" s="24" t="str">
        <x:v>EEZ</x:v>
      </x:c>
      <x:c r="D104" s="30" t="n">
        <x:v>2019</x:v>
      </x:c>
      <x:c r="E104" s="24" t="str">
        <x:v>Psettodidae</x:v>
      </x:c>
      <x:c r="F104" s="24" t="str">
        <x:v>Turbots, Indian halibuts</x:v>
      </x:c>
      <x:c r="G104" s="24" t="str">
        <x:v>Small to medium flatfishes (&lt;90 cm)</x:v>
      </x:c>
      <x:c r="H104" s="24" t="str">
        <x:v>Flatfishes</x:v>
      </x:c>
      <x:c r="I104" s="31" t="n">
        <x:v>124.09596343019999</x:v>
      </x:c>
      <x:c r="J104" s="31" t="n">
        <x:v>119.33453596839999</x:v>
      </x:c>
      <x:c r="K104" s="31" t="n">
        <x:v>4.7614274618</x:v>
      </x:c>
      <x:c r="L104" s="31" t="n">
        <x:v>119.33453596839999</x:v>
      </x:c>
      <x:c r="M104" s="31" t="n">
        <x:v>4.7614274618</x:v>
      </x:c>
      <x:c r="N104" s="24" t="str">
        <x:v>psettodidae</x:v>
      </x:c>
      <x:c r="O104" s="32" t="n">
        <x:v>3.83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Psettodidae</x:v>
      </x:c>
      <x:c r="T104" s="32" t="n">
        <x:f>IF(O104="","",(1/'Metadata'!$B$5)^(O104-1))</x:f>
        <x:v>676.0829753919819</x:v>
      </x:c>
      <x:c r="U104" s="31" t="n">
        <x:f>IF(T104="","",I104*T104)</x:f>
        <x:v>83899.16819002418</x:v>
      </x:c>
    </x:row>
    <x:row r="105" ht="18" customHeight="1">
      <x:c r="A105" s="24" t="str">
        <x:v>EEZ_460</x:v>
      </x:c>
      <x:c r="B105" s="24" t="str">
        <x:v>Malaysia (Peninsula East)</x:v>
      </x:c>
      <x:c r="C105" s="24" t="str">
        <x:v>EEZ</x:v>
      </x:c>
      <x:c r="D105" s="30" t="n">
        <x:v>2019</x:v>
      </x:c>
      <x:c r="E105" s="24" t="str">
        <x:v>Scylla serrata</x:v>
      </x:c>
      <x:c r="F105" s="24" t="str">
        <x:v>Indo-Pacific swamp crab</x:v>
      </x:c>
      <x:c r="G105" s="24" t="str">
        <x:v>Lobsters, crabs</x:v>
      </x:c>
      <x:c r="H105" s="24" t="str">
        <x:v>Crustaceans</x:v>
      </x:c>
      <x:c r="I105" s="31" t="n">
        <x:v>117.7523478949</x:v>
      </x:c>
      <x:c r="J105" s="31" t="n">
        <x:v>117.7523478949</x:v>
      </x:c>
      <x:c r="K105" s="31" t="n">
        <x:v>0</x:v>
      </x:c>
      <x:c r="L105" s="31" t="n">
        <x:v>85.79821477189999</x:v>
      </x:c>
      <x:c r="M105" s="31" t="n">
        <x:v>31.954133123</x:v>
      </x:c>
      <x:c r="N105" s="24" t="str">
        <x:v>scylla serrata</x:v>
      </x:c>
      <x:c r="O105" s="32" t="n">
        <x:v>3.17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Scylla serrata</x:v>
      </x:c>
      <x:c r="T105" s="32" t="n">
        <x:f>IF(O105="","",(1/'Metadata'!$B$5)^(O105-1))</x:f>
        <x:v>147.91083881682073</x:v>
      </x:c>
      <x:c r="U105" s="31" t="n">
        <x:f>IF(T105="","",I105*T105)</x:f>
        <x:v>17416.848549784754</x:v>
      </x:c>
    </x:row>
    <x:row r="106" ht="18" customHeight="1">
      <x:c r="A106" s="24" t="str">
        <x:v>EEZ_460</x:v>
      </x:c>
      <x:c r="B106" s="24" t="str">
        <x:v>Malaysia (Peninsula East)</x:v>
      </x:c>
      <x:c r="C106" s="24" t="str">
        <x:v>EEZ</x:v>
      </x:c>
      <x:c r="D106" s="30" t="n">
        <x:v>2019</x:v>
      </x:c>
      <x:c r="E106" s="24" t="str">
        <x:v>Istiophorus</x:v>
      </x:c>
      <x:c r="F106" s="24" t="str">
        <x:v>Sailfishes</x:v>
      </x:c>
      <x:c r="G106" s="24" t="str">
        <x:v>Large pelagics (&gt;=90 cm)</x:v>
      </x:c>
      <x:c r="H106" s="24" t="str">
        <x:v>Tuna &amp; billfishes</x:v>
      </x:c>
      <x:c r="I106" s="31" t="n">
        <x:v>112.73830863730001</x:v>
      </x:c>
      <x:c r="J106" s="31" t="n">
        <x:v>112.73830863730001</x:v>
      </x:c>
      <x:c r="K106" s="31" t="n">
        <x:v>0</x:v>
      </x:c>
      <x:c r="L106" s="31" t="n">
        <x:v>62.4211418912</x:v>
      </x:c>
      <x:c r="M106" s="31" t="n">
        <x:v>50.3171667461</x:v>
      </x:c>
      <x:c r="N106" s="24" t="str">
        <x:v>istiophorus</x:v>
      </x:c>
      <x:c r="O106" s="32" t="n">
        <x:v>4.5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Istiophorus</x:v>
      </x:c>
      <x:c r="T106" s="32" t="n">
        <x:f>IF(O106="","",(1/'Metadata'!$B$5)^(O106-1))</x:f>
        <x:v>3162.2776601683795</x:v>
      </x:c>
      <x:c r="U106" s="31" t="n">
        <x:f>IF(T106="","",I106*T106)</x:f>
        <x:v>356509.83484890166</x:v>
      </x:c>
    </x:row>
    <x:row r="107" ht="18" customHeight="1">
      <x:c r="A107" s="24" t="str">
        <x:v>EEZ_460</x:v>
      </x:c>
      <x:c r="B107" s="24" t="str">
        <x:v>Malaysia (Peninsula East)</x:v>
      </x:c>
      <x:c r="C107" s="24" t="str">
        <x:v>EEZ</x:v>
      </x:c>
      <x:c r="D107" s="30" t="n">
        <x:v>2019</x:v>
      </x:c>
      <x:c r="E107" s="24" t="str">
        <x:v>Loliginidae</x:v>
      </x:c>
      <x:c r="F107" s="24" t="str">
        <x:v>Common pencil squids</x:v>
      </x:c>
      <x:c r="G107" s="24" t="str">
        <x:v>Cephalopods</x:v>
      </x:c>
      <x:c r="H107" s="24" t="str">
        <x:v>Other fishes &amp; inverts</x:v>
      </x:c>
      <x:c r="I107" s="31" t="n">
        <x:v>111.99614911219999</x:v>
      </x:c>
      <x:c r="J107" s="31" t="n">
        <x:v>111.99614911219999</x:v>
      </x:c>
      <x:c r="K107" s="31" t="n">
        <x:v>0</x:v>
      </x:c>
      <x:c r="L107" s="31" t="n">
        <x:v>104.98881109169999</x:v>
      </x:c>
      <x:c r="M107" s="31" t="n">
        <x:v>7.0073380205</x:v>
      </x:c>
      <x:c r="N107" s="24" t="str">
        <x:v>loliginidae</x:v>
      </x:c>
      <x:c r="O107" s="32" t="n">
        <x:v>3.9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Loliginidae</x:v>
      </x:c>
      <x:c r="T107" s="32" t="n">
        <x:f>IF(O107="","",(1/'Metadata'!$B$5)^(O107-1))</x:f>
        <x:v>794.3282347242813</x:v>
      </x:c>
      <x:c r="U107" s="31" t="n">
        <x:f>IF(T107="","",I107*T107)</x:f>
        <x:v>88961.7034202112</x:v>
      </x:c>
    </x:row>
    <x:row r="108" ht="18" customHeight="1">
      <x:c r="A108" s="24" t="str">
        <x:v>EEZ_460</x:v>
      </x:c>
      <x:c r="B108" s="24" t="str">
        <x:v>Malaysia (Peninsula East)</x:v>
      </x:c>
      <x:c r="C108" s="24" t="str">
        <x:v>EEZ</x:v>
      </x:c>
      <x:c r="D108" s="30" t="n">
        <x:v>2019</x:v>
      </x:c>
      <x:c r="E108" s="24" t="str">
        <x:v>Panulirus longipes</x:v>
      </x:c>
      <x:c r="F108" s="24" t="str">
        <x:v>Longlegged spiny lobster</x:v>
      </x:c>
      <x:c r="G108" s="24" t="str">
        <x:v>Lobsters, crabs</x:v>
      </x:c>
      <x:c r="H108" s="24" t="str">
        <x:v>Crustaceans</x:v>
      </x:c>
      <x:c r="I108" s="31" t="n">
        <x:v>104.8727980322</x:v>
      </x:c>
      <x:c r="J108" s="31" t="n">
        <x:v>104.8727980322</x:v>
      </x:c>
      <x:c r="K108" s="31" t="n">
        <x:v>0</x:v>
      </x:c>
      <x:c r="L108" s="31" t="n">
        <x:v>72.51867955009999</x:v>
      </x:c>
      <x:c r="M108" s="31" t="n">
        <x:v>32.3541184821</x:v>
      </x:c>
      <x:c r="N108" s="24" t="str">
        <x:v>panulirus longipes</x:v>
      </x:c>
      <x:c r="O108" s="32" t="n">
        <x:v>2.6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Panulirus longipes</x:v>
      </x:c>
      <x:c r="T108" s="32" t="n">
        <x:f>IF(O108="","",(1/'Metadata'!$B$5)^(O108-1))</x:f>
        <x:v>39.810717055349734</x:v>
      </x:c>
      <x:c r="U108" s="31" t="n">
        <x:f>IF(T108="","",I108*T108)</x:f>
        <x:v>4175.061289262752</x:v>
      </x:c>
    </x:row>
    <x:row r="109" ht="18" customHeight="1">
      <x:c r="A109" s="24" t="str">
        <x:v>EEZ_460</x:v>
      </x:c>
      <x:c r="B109" s="24" t="str">
        <x:v>Malaysia (Peninsula East)</x:v>
      </x:c>
      <x:c r="C109" s="24" t="str">
        <x:v>EEZ</x:v>
      </x:c>
      <x:c r="D109" s="30" t="n">
        <x:v>2019</x:v>
      </x:c>
      <x:c r="E109" s="24" t="str">
        <x:v>Haemulidae</x:v>
      </x:c>
      <x:c r="F109" s="24" t="str">
        <x:v>Grunts, sweetlips, bonnetmouths</x:v>
      </x:c>
      <x:c r="G109" s="24" t="str">
        <x:v>Medium demersals (30 - 89 cm)</x:v>
      </x:c>
      <x:c r="H109" s="24" t="str">
        <x:v>Perch-likes</x:v>
      </x:c>
      <x:c r="I109" s="31" t="n">
        <x:v>97.8079494906</x:v>
      </x:c>
      <x:c r="J109" s="31" t="n">
        <x:v>97.8079494906</x:v>
      </x:c>
      <x:c r="K109" s="31" t="n">
        <x:v>0</x:v>
      </x:c>
      <x:c r="L109" s="31" t="n">
        <x:v>10.920180684</x:v>
      </x:c>
      <x:c r="M109" s="31" t="n">
        <x:v>86.8877688066</x:v>
      </x:c>
      <x:c r="N109" s="24" t="str">
        <x:v>haemulidae</x:v>
      </x:c>
      <x:c r="O109" s="32" t="n">
        <x:v>3.36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Haemulidae</x:v>
      </x:c>
      <x:c r="T109" s="32" t="n">
        <x:f>IF(O109="","",(1/'Metadata'!$B$5)^(O109-1))</x:f>
        <x:v>229.08676527677724</x:v>
      </x:c>
      <x:c r="U109" s="31" t="n">
        <x:f>IF(T109="","",I109*T109)</x:f>
        <x:v>22406.506767155966</x:v>
      </x:c>
    </x:row>
    <x:row r="110" ht="18" customHeight="1">
      <x:c r="A110" s="24" t="str">
        <x:v>EEZ_460</x:v>
      </x:c>
      <x:c r="B110" s="24" t="str">
        <x:v>Malaysia (Peninsula East)</x:v>
      </x:c>
      <x:c r="C110" s="24" t="str">
        <x:v>EEZ</x:v>
      </x:c>
      <x:c r="D110" s="30" t="n">
        <x:v>2019</x:v>
      </x:c>
      <x:c r="E110" s="24" t="str">
        <x:v>Lethrinidae</x:v>
      </x:c>
      <x:c r="F110" s="24" t="str">
        <x:v>Emperors, scavengers</x:v>
      </x:c>
      <x:c r="G110" s="24" t="str">
        <x:v>Medium reef assoc. fish (30 - 89 cm)</x:v>
      </x:c>
      <x:c r="H110" s="24" t="str">
        <x:v>Perch-likes</x:v>
      </x:c>
      <x:c r="I110" s="31" t="n">
        <x:v>86.8877688066</x:v>
      </x:c>
      <x:c r="J110" s="31" t="n">
        <x:v>86.8877688066</x:v>
      </x:c>
      <x:c r="K110" s="31" t="n">
        <x:v>0</x:v>
      </x:c>
      <x:c r="L110" s="31" t="n">
        <x:v>0</x:v>
      </x:c>
      <x:c r="M110" s="31" t="n">
        <x:v>86.8877688066</x:v>
      </x:c>
      <x:c r="N110" s="24" t="str">
        <x:v>lethrinidae</x:v>
      </x:c>
      <x:c r="O110" s="32" t="n">
        <x:v>3.59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Lethrinidae</x:v>
      </x:c>
      <x:c r="T110" s="32" t="n">
        <x:f>IF(O110="","",(1/'Metadata'!$B$5)^(O110-1))</x:f>
        <x:v>389.04514499428046</x:v>
      </x:c>
      <x:c r="U110" s="31" t="n">
        <x:f>IF(T110="","",I110*T110)</x:f>
        <x:v>33803.264613593215</x:v>
      </x:c>
    </x:row>
    <x:row r="111" ht="18" customHeight="1">
      <x:c r="A111" s="24" t="str">
        <x:v>EEZ_460</x:v>
      </x:c>
      <x:c r="B111" s="24" t="str">
        <x:v>Malaysia (Peninsula East)</x:v>
      </x:c>
      <x:c r="C111" s="24" t="str">
        <x:v>EEZ</x:v>
      </x:c>
      <x:c r="D111" s="30" t="n">
        <x:v>2019</x:v>
      </x:c>
      <x:c r="E111" s="24" t="str">
        <x:v>Anodontostoma chacunda</x:v>
      </x:c>
      <x:c r="F111" s="24" t="str">
        <x:v>Chacunda gizzard shad</x:v>
      </x:c>
      <x:c r="G111" s="24" t="str">
        <x:v>Small pelagics (&lt;30 cm)</x:v>
      </x:c>
      <x:c r="H111" s="24" t="str">
        <x:v>Herring-likes</x:v>
      </x:c>
      <x:c r="I111" s="31" t="n">
        <x:v>83.4299925559</x:v>
      </x:c>
      <x:c r="J111" s="31" t="n">
        <x:v>83.4299925559</x:v>
      </x:c>
      <x:c r="K111" s="31" t="n">
        <x:v>0</x:v>
      </x:c>
      <x:c r="L111" s="31" t="n">
        <x:v>36.7183187595</x:v>
      </x:c>
      <x:c r="M111" s="31" t="n">
        <x:v>46.7116737964</x:v>
      </x:c>
      <x:c r="N111" s="24" t="str">
        <x:v>anodontostoma chacunda</x:v>
      </x:c>
      <x:c r="O111" s="32" t="n">
        <x:v>2.84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Anodontostoma chacunda</x:v>
      </x:c>
      <x:c r="T111" s="32" t="n">
        <x:f>IF(O111="","",(1/'Metadata'!$B$5)^(O111-1))</x:f>
        <x:v>69.18309709189363</x:v>
      </x:c>
      <x:c r="U111" s="31" t="n">
        <x:f>IF(T111="","",I111*T111)</x:f>
        <x:v>5771.945275370793</x:v>
      </x:c>
    </x:row>
    <x:row r="112" ht="18" customHeight="1">
      <x:c r="A112" s="24" t="str">
        <x:v>EEZ_460</x:v>
      </x:c>
      <x:c r="B112" s="24" t="str">
        <x:v>Malaysia (Peninsula East)</x:v>
      </x:c>
      <x:c r="C112" s="24" t="str">
        <x:v>EEZ</x:v>
      </x:c>
      <x:c r="D112" s="30" t="n">
        <x:v>2019</x:v>
      </x:c>
      <x:c r="E112" s="24" t="str">
        <x:v>Thryssa</x:v>
      </x:c>
      <x:c r="F112" s="24" t="str">
        <x:v>Thryssas</x:v>
      </x:c>
      <x:c r="G112" s="24" t="str">
        <x:v>Small pelagics (&lt;30 cm)</x:v>
      </x:c>
      <x:c r="H112" s="24" t="str">
        <x:v>Anchovies</x:v>
      </x:c>
      <x:c r="I112" s="31" t="n">
        <x:v>74.4638214205</x:v>
      </x:c>
      <x:c r="J112" s="31" t="n">
        <x:v>71.6007215809</x:v>
      </x:c>
      <x:c r="K112" s="31" t="n">
        <x:v>2.8630998396000003</x:v>
      </x:c>
      <x:c r="L112" s="31" t="n">
        <x:v>71.6007215809</x:v>
      </x:c>
      <x:c r="M112" s="31" t="n">
        <x:v>2.8630998396000003</x:v>
      </x:c>
      <x:c r="N112" s="24" t="str">
        <x:v>thryssa</x:v>
      </x:c>
      <x:c r="O112" s="32" t="n">
        <x:v>3.34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Thryssa</x:v>
      </x:c>
      <x:c r="T112" s="32" t="n">
        <x:f>IF(O112="","",(1/'Metadata'!$B$5)^(O112-1))</x:f>
        <x:v>218.77616239495518</x:v>
      </x:c>
      <x:c r="U112" s="31" t="n">
        <x:f>IF(T112="","",I112*T112)</x:f>
        <x:v>16290.90908764025</x:v>
      </x:c>
    </x:row>
    <x:row r="113" ht="18" customHeight="1">
      <x:c r="A113" s="24" t="str">
        <x:v>EEZ_460</x:v>
      </x:c>
      <x:c r="B113" s="24" t="str">
        <x:v>Malaysia (Peninsula East)</x:v>
      </x:c>
      <x:c r="C113" s="24" t="str">
        <x:v>EEZ</x:v>
      </x:c>
      <x:c r="D113" s="30" t="n">
        <x:v>2019</x:v>
      </x:c>
      <x:c r="E113" s="24" t="str">
        <x:v>Decapterus russelli</x:v>
      </x:c>
      <x:c r="F113" s="24" t="str">
        <x:v>Indian scad</x:v>
      </x:c>
      <x:c r="G113" s="24" t="str">
        <x:v>Medium pelagics (30 - 89 cm)</x:v>
      </x:c>
      <x:c r="H113" s="24" t="str">
        <x:v>Perch-likes</x:v>
      </x:c>
      <x:c r="I113" s="31" t="n">
        <x:v>71.1959655566</x:v>
      </x:c>
      <x:c r="J113" s="31" t="n">
        <x:v>71.1959655566</x:v>
      </x:c>
      <x:c r="K113" s="31" t="n">
        <x:v>0</x:v>
      </x:c>
      <x:c r="L113" s="31" t="n">
        <x:v>41.5536663914</x:v>
      </x:c>
      <x:c r="M113" s="31" t="n">
        <x:v>29.642299165199997</x:v>
      </x:c>
      <x:c r="N113" s="24" t="str">
        <x:v>decapterus russelli</x:v>
      </x:c>
      <x:c r="O113" s="32" t="n">
        <x:v>3.68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Decapterus russelli</x:v>
      </x:c>
      <x:c r="T113" s="32" t="n">
        <x:f>IF(O113="","",(1/'Metadata'!$B$5)^(O113-1))</x:f>
        <x:v>478.6300923226385</x:v>
      </x:c>
      <x:c r="U113" s="31" t="n">
        <x:f>IF(T113="","",I113*T113)</x:f>
        <x:v>34076.531567354854</x:v>
      </x:c>
    </x:row>
    <x:row r="114" ht="18" customHeight="1">
      <x:c r="A114" s="24" t="str">
        <x:v>EEZ_460</x:v>
      </x:c>
      <x:c r="B114" s="24" t="str">
        <x:v>Malaysia (Peninsula East)</x:v>
      </x:c>
      <x:c r="C114" s="24" t="str">
        <x:v>EEZ</x:v>
      </x:c>
      <x:c r="D114" s="30" t="n">
        <x:v>2019</x:v>
      </x:c>
      <x:c r="E114" s="24" t="str">
        <x:v>Octopus</x:v>
      </x:c>
      <x:c r="F114" s="24" t="str">
        <x:v>Octopuses, pikas</x:v>
      </x:c>
      <x:c r="G114" s="24" t="str">
        <x:v>Cephalopods</x:v>
      </x:c>
      <x:c r="H114" s="24" t="str">
        <x:v>Other fishes &amp; inverts</x:v>
      </x:c>
      <x:c r="I114" s="31" t="n">
        <x:v>59.7296796683</x:v>
      </x:c>
      <x:c r="J114" s="31" t="n">
        <x:v>57.8313520462</x:v>
      </x:c>
      <x:c r="K114" s="31" t="n">
        <x:v>1.8983276221</x:v>
      </x:c>
      <x:c r="L114" s="31" t="n">
        <x:v>57.8313520462</x:v>
      </x:c>
      <x:c r="M114" s="31" t="n">
        <x:v>1.8983276221</x:v>
      </x:c>
      <x:c r="N114" s="24" t="str">
        <x:v>octopus</x:v>
      </x:c>
      <x:c r="O114" s="32" t="n">
        <x:v>3.8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Octopus</x:v>
      </x:c>
      <x:c r="T114" s="32" t="n">
        <x:f>IF(O114="","",(1/'Metadata'!$B$5)^(O114-1))</x:f>
        <x:v>630.957344480193</x:v>
      </x:c>
      <x:c r="U114" s="31" t="n">
        <x:f>IF(T114="","",I114*T114)</x:f>
        <x:v>37686.88007016314</x:v>
      </x:c>
    </x:row>
    <x:row r="115" ht="18" customHeight="1">
      <x:c r="A115" s="24" t="str">
        <x:v>EEZ_460</x:v>
      </x:c>
      <x:c r="B115" s="24" t="str">
        <x:v>Malaysia (Peninsula East)</x:v>
      </x:c>
      <x:c r="C115" s="24" t="str">
        <x:v>EEZ</x:v>
      </x:c>
      <x:c r="D115" s="30" t="n">
        <x:v>2019</x:v>
      </x:c>
      <x:c r="E115" s="24" t="str">
        <x:v>Lates calcarifer</x:v>
      </x:c>
      <x:c r="F115" s="24" t="str">
        <x:v>Barramundi</x:v>
      </x:c>
      <x:c r="G115" s="24" t="str">
        <x:v>Large demersals (&gt;=90 cm)</x:v>
      </x:c>
      <x:c r="H115" s="24" t="str">
        <x:v>Perch-likes</x:v>
      </x:c>
      <x:c r="I115" s="31" t="n">
        <x:v>55.267289947100004</x:v>
      </x:c>
      <x:c r="J115" s="31" t="n">
        <x:v>55.267289947100004</x:v>
      </x:c>
      <x:c r="K115" s="31" t="n">
        <x:v>0</x:v>
      </x:c>
      <x:c r="L115" s="31" t="n">
        <x:v>35.2385694555</x:v>
      </x:c>
      <x:c r="M115" s="31" t="n">
        <x:v>20.0287204916</x:v>
      </x:c>
      <x:c r="N115" s="24" t="str">
        <x:v>lates calcarifer</x:v>
      </x:c>
      <x:c r="O115" s="32" t="n">
        <x:v>4.35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Lates calcarifer</x:v>
      </x:c>
      <x:c r="T115" s="32" t="n">
        <x:f>IF(O115="","",(1/'Metadata'!$B$5)^(O115-1))</x:f>
        <x:v>2238.7211385683377</x:v>
      </x:c>
      <x:c r="U115" s="31" t="n">
        <x:f>IF(T115="","",I115*T115)</x:f>
        <x:v>123728.05027595816</x:v>
      </x:c>
    </x:row>
    <x:row r="116" ht="18" customHeight="1">
      <x:c r="A116" s="24" t="str">
        <x:v>EEZ_460</x:v>
      </x:c>
      <x:c r="B116" s="24" t="str">
        <x:v>Malaysia (Peninsula East)</x:v>
      </x:c>
      <x:c r="C116" s="24" t="str">
        <x:v>EEZ</x:v>
      </x:c>
      <x:c r="D116" s="30" t="n">
        <x:v>2019</x:v>
      </x:c>
      <x:c r="E116" s="24" t="str">
        <x:v>Hyporhamphus</x:v>
      </x:c>
      <x:c r="F116" s="24" t="str">
        <x:v>Sea garfishes</x:v>
      </x:c>
      <x:c r="G116" s="24" t="str">
        <x:v>Small reef assoc. fish (&lt;30 cm)</x:v>
      </x:c>
      <x:c r="H116" s="24" t="str">
        <x:v>Other fishes &amp; inverts</x:v>
      </x:c>
      <x:c r="I116" s="31" t="n">
        <x:v>52.9523516484</x:v>
      </x:c>
      <x:c r="J116" s="31" t="n">
        <x:v>52.9523516484</x:v>
      </x:c>
      <x:c r="K116" s="31" t="n">
        <x:v>0</x:v>
      </x:c>
      <x:c r="L116" s="31" t="n">
        <x:v>34.8824028216</x:v>
      </x:c>
      <x:c r="M116" s="31" t="n">
        <x:v>18.0699488268</x:v>
      </x:c>
      <x:c r="N116" s="24" t="str">
        <x:v>hyporhamphus</x:v>
      </x:c>
      <x:c r="O116" s="32" t="n">
        <x:v>3.3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Hyporhamphus</x:v>
      </x:c>
      <x:c r="T116" s="32" t="n">
        <x:f>IF(O116="","",(1/'Metadata'!$B$5)^(O116-1))</x:f>
        <x:v>199.52623149688787</x:v>
      </x:c>
      <x:c r="U116" s="31" t="n">
        <x:f>IF(T116="","",I116*T116)</x:f>
        <x:v>10565.38317330327</x:v>
      </x:c>
    </x:row>
    <x:row r="117" ht="18" customHeight="1">
      <x:c r="A117" s="24" t="str">
        <x:v>EEZ_460</x:v>
      </x:c>
      <x:c r="B117" s="24" t="str">
        <x:v>Malaysia (Peninsula East)</x:v>
      </x:c>
      <x:c r="C117" s="24" t="str">
        <x:v>EEZ</x:v>
      </x:c>
      <x:c r="D117" s="30" t="n">
        <x:v>2019</x:v>
      </x:c>
      <x:c r="E117" s="24" t="str">
        <x:v>Sergestidae</x:v>
      </x:c>
      <x:c r="F117" s="24" t="str">
        <x:v>Sergestid shrimp</x:v>
      </x:c>
      <x:c r="G117" s="24" t="str">
        <x:v>Shrimps</x:v>
      </x:c>
      <x:c r="H117" s="24" t="str">
        <x:v>Crustaceans</x:v>
      </x:c>
      <x:c r="I117" s="31" t="n">
        <x:v>50.8057672373</x:v>
      </x:c>
      <x:c r="J117" s="31" t="n">
        <x:v>50.8057672373</x:v>
      </x:c>
      <x:c r="K117" s="31" t="n">
        <x:v>0</x:v>
      </x:c>
      <x:c r="L117" s="31" t="n">
        <x:v>49.904483592300004</x:v>
      </x:c>
      <x:c r="M117" s="31" t="n">
        <x:v>0.901283645</x:v>
      </x:c>
      <x:c r="N117" s="24" t="str">
        <x:v>sergestidae</x:v>
      </x:c>
      <x:c r="O117" s="32" t="n">
        <x:v>2.93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Sergestidae</x:v>
      </x:c>
      <x:c r="T117" s="32" t="n">
        <x:f>IF(O117="","",(1/'Metadata'!$B$5)^(O117-1))</x:f>
        <x:v>85.11380382023768</x:v>
      </x:c>
      <x:c r="U117" s="31" t="n">
        <x:f>IF(T117="","",I117*T117)</x:f>
        <x:v>4324.272105572211</x:v>
      </x:c>
    </x:row>
    <x:row r="118" ht="18" customHeight="1">
      <x:c r="A118" s="24" t="str">
        <x:v>EEZ_460</x:v>
      </x:c>
      <x:c r="B118" s="24" t="str">
        <x:v>Malaysia (Peninsula East)</x:v>
      </x:c>
      <x:c r="C118" s="24" t="str">
        <x:v>EEZ</x:v>
      </x:c>
      <x:c r="D118" s="30" t="n">
        <x:v>2019</x:v>
      </x:c>
      <x:c r="E118" s="24" t="str">
        <x:v>Platycaranx malabaricus</x:v>
      </x:c>
      <x:c r="F118" s="24" t="str">
        <x:v>Malabar trevally</x:v>
      </x:c>
      <x:c r="G118" s="24" t="str">
        <x:v>Medium reef assoc. fish (30 - 89 cm)</x:v>
      </x:c>
      <x:c r="H118" s="24" t="str">
        <x:v>Perch-likes</x:v>
      </x:c>
      <x:c r="I118" s="31" t="n">
        <x:v>49.632142009199995</x:v>
      </x:c>
      <x:c r="J118" s="31" t="n">
        <x:v>47.7338143871</x:v>
      </x:c>
      <x:c r="K118" s="31" t="n">
        <x:v>1.8983276221</x:v>
      </x:c>
      <x:c r="L118" s="31" t="n">
        <x:v>47.7338143871</x:v>
      </x:c>
      <x:c r="M118" s="31" t="n">
        <x:v>1.8983276221</x:v>
      </x:c>
      <x:c r="N118" s="24" t="str">
        <x:v>platycaranx malabaricus</x:v>
      </x:c>
      <x:c r="O118" s="32" t="n">
        <x:v>3.88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Platycaranx malabaricus</x:v>
      </x:c>
      <x:c r="T118" s="32" t="n">
        <x:f>IF(O118="","",(1/'Metadata'!$B$5)^(O118-1))</x:f>
        <x:v>758.5775750291835</x:v>
      </x:c>
      <x:c r="U118" s="31" t="n">
        <x:f>IF(T118="","",I118*T118)</x:f>
        <x:v>37649.829928843</x:v>
      </x:c>
    </x:row>
    <x:row r="119" ht="18" customHeight="1">
      <x:c r="A119" s="24" t="str">
        <x:v>EEZ_460</x:v>
      </x:c>
      <x:c r="B119" s="24" t="str">
        <x:v>Malaysia (Peninsula East)</x:v>
      </x:c>
      <x:c r="C119" s="24" t="str">
        <x:v>EEZ</x:v>
      </x:c>
      <x:c r="D119" s="30" t="n">
        <x:v>2019</x:v>
      </x:c>
      <x:c r="E119" s="24" t="str">
        <x:v>Selar crumenophthalmus</x:v>
      </x:c>
      <x:c r="F119" s="24" t="str">
        <x:v>Bigeye scad</x:v>
      </x:c>
      <x:c r="G119" s="24" t="str">
        <x:v>Medium pelagics (30 - 89 cm)</x:v>
      </x:c>
      <x:c r="H119" s="24" t="str">
        <x:v>Perch-likes</x:v>
      </x:c>
      <x:c r="I119" s="31" t="n">
        <x:v>45.5976063083</x:v>
      </x:c>
      <x:c r="J119" s="31" t="n">
        <x:v>45.5976063083</x:v>
      </x:c>
      <x:c r="K119" s="31" t="n">
        <x:v>0</x:v>
      </x:c>
      <x:c r="L119" s="31" t="n">
        <x:v>23.4064127454</x:v>
      </x:c>
      <x:c r="M119" s="31" t="n">
        <x:v>22.1911935629</x:v>
      </x:c>
      <x:c r="N119" s="24" t="str">
        <x:v>selar crumenophthalmus</x:v>
      </x:c>
      <x:c r="O119" s="32" t="n">
        <x:v>3.81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Selar crumenophthalmus</x:v>
      </x:c>
      <x:c r="T119" s="32" t="n">
        <x:f>IF(O119="","",(1/'Metadata'!$B$5)^(O119-1))</x:f>
        <x:v>645.6542290346556</x:v>
      </x:c>
      <x:c r="U119" s="31" t="n">
        <x:f>IF(T119="","",I119*T119)</x:f>
        <x:v>29440.287346811187</x:v>
      </x:c>
    </x:row>
    <x:row r="120" ht="18" customHeight="1">
      <x:c r="A120" s="24" t="str">
        <x:v>EEZ_460</x:v>
      </x:c>
      <x:c r="B120" s="24" t="str">
        <x:v>Malaysia (Peninsula East)</x:v>
      </x:c>
      <x:c r="C120" s="24" t="str">
        <x:v>EEZ</x:v>
      </x:c>
      <x:c r="D120" s="30" t="n">
        <x:v>2019</x:v>
      </x:c>
      <x:c r="E120" s="24" t="str">
        <x:v>Panulirus polyphagus</x:v>
      </x:c>
      <x:c r="F120" s="24" t="str">
        <x:v>Mud spiny lobster</x:v>
      </x:c>
      <x:c r="G120" s="24" t="str">
        <x:v>Lobsters, crabs</x:v>
      </x:c>
      <x:c r="H120" s="24" t="str">
        <x:v>Crustaceans</x:v>
      </x:c>
      <x:c r="I120" s="31" t="n">
        <x:v>43.077562490999995</x:v>
      </x:c>
      <x:c r="J120" s="31" t="n">
        <x:v>43.077562490999995</x:v>
      </x:c>
      <x:c r="K120" s="31" t="n">
        <x:v>0</x:v>
      </x:c>
      <x:c r="L120" s="31" t="n">
        <x:v>23.866907193699998</x:v>
      </x:c>
      <x:c r="M120" s="31" t="n">
        <x:v>19.2106552973</x:v>
      </x:c>
      <x:c r="N120" s="24" t="str">
        <x:v>panulirus polyphagus</x:v>
      </x:c>
      <x:c r="O120" s="32" t="n">
        <x:v>2.94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Panulirus polyphagus</x:v>
      </x:c>
      <x:c r="T120" s="32" t="n">
        <x:f>IF(O120="","",(1/'Metadata'!$B$5)^(O120-1))</x:f>
        <x:v>87.09635899560806</x:v>
      </x:c>
      <x:c r="U120" s="31" t="n">
        <x:f>IF(T120="","",I120*T120)</x:f>
        <x:v>3751.8988473718755</x:v>
      </x:c>
    </x:row>
    <x:row r="121" ht="18" customHeight="1">
      <x:c r="A121" s="24" t="str">
        <x:v>EEZ_460</x:v>
      </x:c>
      <x:c r="B121" s="24" t="str">
        <x:v>Malaysia (Peninsula East)</x:v>
      </x:c>
      <x:c r="C121" s="24" t="str">
        <x:v>EEZ</x:v>
      </x:c>
      <x:c r="D121" s="30" t="n">
        <x:v>2019</x:v>
      </x:c>
      <x:c r="E121" s="24" t="str">
        <x:v>Aluterus</x:v>
      </x:c>
      <x:c r="F121" s="24" t="str">
        <x:v>Aluterid filefishes</x:v>
      </x:c>
      <x:c r="G121" s="24" t="str">
        <x:v>Large reef assoc. fish (&gt;=90 cm)</x:v>
      </x:c>
      <x:c r="H121" s="24" t="str">
        <x:v>Other fishes &amp; inverts</x:v>
      </x:c>
      <x:c r="I121" s="31" t="n">
        <x:v>39.5033985086</x:v>
      </x:c>
      <x:c r="J121" s="31" t="n">
        <x:v>38.5542346976</x:v>
      </x:c>
      <x:c r="K121" s="31" t="n">
        <x:v>0.949163811</x:v>
      </x:c>
      <x:c r="L121" s="31" t="n">
        <x:v>38.5542346976</x:v>
      </x:c>
      <x:c r="M121" s="31" t="n">
        <x:v>0.949163811</x:v>
      </x:c>
      <x:c r="N121" s="24" t="str">
        <x:v>aluterus</x:v>
      </x:c>
      <x:c r="O121" s="32" t="n">
        <x:v>2.81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Aluterus</x:v>
      </x:c>
      <x:c r="T121" s="32" t="n">
        <x:f>IF(O121="","",(1/'Metadata'!$B$5)^(O121-1))</x:f>
        <x:v>64.56542290346556</x:v>
      </x:c>
      <x:c r="U121" s="31" t="n">
        <x:f>IF(T121="","",I121*T121)</x:f>
        <x:v>2550.5536308318897</x:v>
      </x:c>
    </x:row>
    <x:row r="122" ht="18" customHeight="1">
      <x:c r="A122" s="24" t="str">
        <x:v>EEZ_460</x:v>
      </x:c>
      <x:c r="B122" s="24" t="str">
        <x:v>Malaysia (Peninsula East)</x:v>
      </x:c>
      <x:c r="C122" s="24" t="str">
        <x:v>EEZ</x:v>
      </x:c>
      <x:c r="D122" s="30" t="n">
        <x:v>2019</x:v>
      </x:c>
      <x:c r="E122" s="24" t="str">
        <x:v>Tegillarca granosa</x:v>
      </x:c>
      <x:c r="F122" s="24" t="str">
        <x:v>Granular ark</x:v>
      </x:c>
      <x:c r="G122" s="24" t="str">
        <x:v>Other demersal invertebrates</x:v>
      </x:c>
      <x:c r="H122" s="24" t="str">
        <x:v>Molluscs</x:v>
      </x:c>
      <x:c r="I122" s="31" t="n">
        <x:v>35.485405892</x:v>
      </x:c>
      <x:c r="J122" s="31" t="n">
        <x:v>35.485405892</x:v>
      </x:c>
      <x:c r="K122" s="31" t="n">
        <x:v>0</x:v>
      </x:c>
      <x:c r="L122" s="31" t="n">
        <x:v>35.485405892</x:v>
      </x:c>
      <x:c r="M122" s="31" t="n">
        <x:v>0</x:v>
      </x:c>
      <x:c r="N122" s="24" t="str">
        <x:v>tegillarca granosa</x:v>
      </x:c>
      <x:c r="O122" s="32" t="n">
        <x:v>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Tegillarca granosa</x:v>
      </x:c>
      <x:c r="T122" s="32" t="n">
        <x:f>IF(O122="","",(1/'Metadata'!$B$5)^(O122-1))</x:f>
        <x:v>10</x:v>
      </x:c>
      <x:c r="U122" s="31" t="n">
        <x:f>IF(T122="","",I122*T122)</x:f>
        <x:v>354.85405892000006</x:v>
      </x:c>
    </x:row>
    <x:row r="123" ht="18" customHeight="1">
      <x:c r="A123" s="24" t="str">
        <x:v>EEZ_460</x:v>
      </x:c>
      <x:c r="B123" s="24" t="str">
        <x:v>Malaysia (Peninsula East)</x:v>
      </x:c>
      <x:c r="C123" s="24" t="str">
        <x:v>EEZ</x:v>
      </x:c>
      <x:c r="D123" s="30" t="n">
        <x:v>2019</x:v>
      </x:c>
      <x:c r="E123" s="24" t="str">
        <x:v>Pampus</x:v>
      </x:c>
      <x:c r="F123" s="24" t="str">
        <x:v>Silver pomfrets</x:v>
      </x:c>
      <x:c r="G123" s="24" t="str">
        <x:v>Medium benthopelagics (30 - 89 cm)</x:v>
      </x:c>
      <x:c r="H123" s="24" t="str">
        <x:v>Perch-likes</x:v>
      </x:c>
      <x:c r="I123" s="31" t="n">
        <x:v>34.7700148659</x:v>
      </x:c>
      <x:c r="J123" s="31" t="n">
        <x:v>34.7700148659</x:v>
      </x:c>
      <x:c r="K123" s="31" t="n">
        <x:v>0</x:v>
      </x:c>
      <x:c r="L123" s="31" t="n">
        <x:v>21.1130332869</x:v>
      </x:c>
      <x:c r="M123" s="31" t="n">
        <x:v>13.656981579</x:v>
      </x:c>
      <x:c r="N123" s="24" t="str">
        <x:v>pampus</x:v>
      </x:c>
      <x:c r="O123" s="32" t="n">
        <x:v>3.41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Pampus</x:v>
      </x:c>
      <x:c r="T123" s="32" t="n">
        <x:f>IF(O123="","",(1/'Metadata'!$B$5)^(O123-1))</x:f>
        <x:v>257.03957827688646</x:v>
      </x:c>
      <x:c r="U123" s="31" t="n">
        <x:f>IF(T123="","",I123*T123)</x:f>
        <x:v>8937.26995781201</x:v>
      </x:c>
    </x:row>
    <x:row r="124" ht="18" customHeight="1">
      <x:c r="A124" s="24" t="str">
        <x:v>EEZ_460</x:v>
      </x:c>
      <x:c r="B124" s="24" t="str">
        <x:v>Malaysia (Peninsula East)</x:v>
      </x:c>
      <x:c r="C124" s="24" t="str">
        <x:v>EEZ</x:v>
      </x:c>
      <x:c r="D124" s="30" t="n">
        <x:v>2019</x:v>
      </x:c>
      <x:c r="E124" s="24" t="str">
        <x:v>Perciformes</x:v>
      </x:c>
      <x:c r="F124" s="24" t="str">
        <x:v>Perch-likes</x:v>
      </x:c>
      <x:c r="G124" s="24" t="str">
        <x:v>Medium demersals (30 - 89 cm)</x:v>
      </x:c>
      <x:c r="H124" s="24" t="str">
        <x:v>Perch-likes</x:v>
      </x:c>
      <x:c r="I124" s="31" t="n">
        <x:v>33.4905651807</x:v>
      </x:c>
      <x:c r="J124" s="31" t="n">
        <x:v>33.4905651807</x:v>
      </x:c>
      <x:c r="K124" s="31" t="n">
        <x:v>0</x:v>
      </x:c>
      <x:c r="L124" s="31" t="n">
        <x:v>33.4905651807</x:v>
      </x:c>
      <x:c r="M124" s="31" t="n">
        <x:v>0</x:v>
      </x:c>
      <x:c r="N124" s="24" t="str">
        <x:v>perciformes</x:v>
      </x:c>
      <x:c r="O124" s="32" t="n">
        <x:v>3.53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Perciformes</x:v>
      </x:c>
      <x:c r="T124" s="32" t="n">
        <x:f>IF(O124="","",(1/'Metadata'!$B$5)^(O124-1))</x:f>
        <x:v>338.84415613920237</x:v>
      </x:c>
      <x:c r="U124" s="31" t="n">
        <x:f>IF(T124="","",I124*T124)</x:f>
        <x:v>11348.082297279247</x:v>
      </x:c>
    </x:row>
    <x:row r="125" ht="18" customHeight="1">
      <x:c r="A125" s="24" t="str">
        <x:v>EEZ_460</x:v>
      </x:c>
      <x:c r="B125" s="24" t="str">
        <x:v>Malaysia (Peninsula East)</x:v>
      </x:c>
      <x:c r="C125" s="24" t="str">
        <x:v>EEZ</x:v>
      </x:c>
      <x:c r="D125" s="30" t="n">
        <x:v>2019</x:v>
      </x:c>
      <x:c r="E125" s="24" t="str">
        <x:v>Elasmobranchii</x:v>
      </x:c>
      <x:c r="F125" s="24" t="str">
        <x:v>Sharks, rays, skates</x:v>
      </x:c>
      <x:c r="G125" s="24" t="str">
        <x:v>Large sharks (&gt;=90 cm)</x:v>
      </x:c>
      <x:c r="H125" s="24" t="str">
        <x:v>Sharks &amp; rays</x:v>
      </x:c>
      <x:c r="I125" s="31" t="n">
        <x:v>33.1514682952</x:v>
      </x:c>
      <x:c r="J125" s="31" t="n">
        <x:v>33.1514682952</x:v>
      </x:c>
      <x:c r="K125" s="31" t="n">
        <x:v>0</x:v>
      </x:c>
      <x:c r="L125" s="31" t="n">
        <x:v>33.1514682952</x:v>
      </x:c>
      <x:c r="M125" s="31" t="n">
        <x:v>0</x:v>
      </x:c>
      <x:c r="N125" s="24" t="str">
        <x:v>elasmobranchii</x:v>
      </x:c>
      <x:c r="O125" s="32" t="n">
        <x:v>4.05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Elasmobranchii</x:v>
      </x:c>
      <x:c r="T125" s="32" t="n">
        <x:f>IF(O125="","",(1/'Metadata'!$B$5)^(O125-1))</x:f>
        <x:v>1122.018454301963</x:v>
      </x:c>
      <x:c r="U125" s="31" t="n">
        <x:f>IF(T125="","",I125*T125)</x:f>
        <x:v>37196.559214420835</x:v>
      </x:c>
    </x:row>
    <x:row r="126" ht="18" customHeight="1">
      <x:c r="A126" s="24" t="str">
        <x:v>EEZ_460</x:v>
      </x:c>
      <x:c r="B126" s="24" t="str">
        <x:v>Malaysia (Peninsula East)</x:v>
      </x:c>
      <x:c r="C126" s="24" t="str">
        <x:v>EEZ</x:v>
      </x:c>
      <x:c r="D126" s="30" t="n">
        <x:v>2019</x:v>
      </x:c>
      <x:c r="E126" s="24" t="str">
        <x:v>Megalops cyprinoides</x:v>
      </x:c>
      <x:c r="F126" s="24" t="str">
        <x:v>Indo-Pacific tarpon</x:v>
      </x:c>
      <x:c r="G126" s="24" t="str">
        <x:v>Large pelagics (&gt;=90 cm)</x:v>
      </x:c>
      <x:c r="H126" s="24" t="str">
        <x:v>Other fishes &amp; inverts</x:v>
      </x:c>
      <x:c r="I126" s="31" t="n">
        <x:v>26.5365340318</x:v>
      </x:c>
      <x:c r="J126" s="31" t="n">
        <x:v>26.5365340318</x:v>
      </x:c>
      <x:c r="K126" s="31" t="n">
        <x:v>0</x:v>
      </x:c>
      <x:c r="L126" s="31" t="n">
        <x:v>15.6052854731</x:v>
      </x:c>
      <x:c r="M126" s="31" t="n">
        <x:v>10.9312485587</x:v>
      </x:c>
      <x:c r="N126" s="24" t="str">
        <x:v>megalops cyprinoides</x:v>
      </x:c>
      <x:c r="O126" s="32" t="n">
        <x:v>3.48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Megalops cyprinoides</x:v>
      </x:c>
      <x:c r="T126" s="32" t="n">
        <x:f>IF(O126="","",(1/'Metadata'!$B$5)^(O126-1))</x:f>
        <x:v>301.9951720402016</x:v>
      </x:c>
      <x:c r="U126" s="31" t="n">
        <x:f>IF(T126="","",I126*T126)</x:f>
        <x:v>8013.9051602841055</x:v>
      </x:c>
    </x:row>
    <x:row r="127" ht="18" customHeight="1">
      <x:c r="A127" s="24" t="str">
        <x:v>EEZ_460</x:v>
      </x:c>
      <x:c r="B127" s="24" t="str">
        <x:v>Malaysia (Peninsula East)</x:v>
      </x:c>
      <x:c r="C127" s="24" t="str">
        <x:v>EEZ</x:v>
      </x:c>
      <x:c r="D127" s="30" t="n">
        <x:v>2019</x:v>
      </x:c>
      <x:c r="E127" s="24" t="str">
        <x:v>Penaeus</x:v>
      </x:c>
      <x:c r="F127" s="24" t="str">
        <x:v>Tiger prawns</x:v>
      </x:c>
      <x:c r="G127" s="24" t="str">
        <x:v>Shrimps</x:v>
      </x:c>
      <x:c r="H127" s="24" t="str">
        <x:v>Crustaceans</x:v>
      </x:c>
      <x:c r="I127" s="31" t="n">
        <x:v>23.591798458</x:v>
      </x:c>
      <x:c r="J127" s="31" t="n">
        <x:v>23.591798458</x:v>
      </x:c>
      <x:c r="K127" s="31" t="n">
        <x:v>0</x:v>
      </x:c>
      <x:c r="L127" s="31" t="n">
        <x:v>22.5917441341</x:v>
      </x:c>
      <x:c r="M127" s="31" t="n">
        <x:v>1.0000543239</x:v>
      </x:c>
      <x:c r="N127" s="24" t="str">
        <x:v>penaeus</x:v>
      </x:c>
      <x:c r="O127" s="32" t="n">
        <x:v>2.7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Penaeus</x:v>
      </x:c>
      <x:c r="T127" s="32" t="n">
        <x:f>IF(O127="","",(1/'Metadata'!$B$5)^(O127-1))</x:f>
        <x:v>50.11872336272725</x:v>
      </x:c>
      <x:c r="U127" s="31" t="n">
        <x:f>IF(T127="","",I127*T127)</x:f>
        <x:v>1182.3908205457174</x:v>
      </x:c>
    </x:row>
    <x:row r="128" ht="18" customHeight="1">
      <x:c r="A128" s="24" t="str">
        <x:v>EEZ_460</x:v>
      </x:c>
      <x:c r="B128" s="24" t="str">
        <x:v>Malaysia (Peninsula East)</x:v>
      </x:c>
      <x:c r="C128" s="24" t="str">
        <x:v>EEZ</x:v>
      </x:c>
      <x:c r="D128" s="30" t="n">
        <x:v>2019</x:v>
      </x:c>
      <x:c r="E128" s="24" t="str">
        <x:v>Sphyraenidae</x:v>
      </x:c>
      <x:c r="F128" s="24" t="str">
        <x:v>Barracudas</x:v>
      </x:c>
      <x:c r="G128" s="24" t="str">
        <x:v>Medium reef assoc. fish (30 - 89 cm)</x:v>
      </x:c>
      <x:c r="H128" s="24" t="str">
        <x:v>Perch-likes</x:v>
      </x:c>
      <x:c r="I128" s="31" t="n">
        <x:v>20.7815261692</x:v>
      </x:c>
      <x:c r="J128" s="31" t="n">
        <x:v>20.7815261692</x:v>
      </x:c>
      <x:c r="K128" s="31" t="n">
        <x:v>0</x:v>
      </x:c>
      <x:c r="L128" s="31" t="n">
        <x:v>20.7815261692</x:v>
      </x:c>
      <x:c r="M128" s="31" t="n">
        <x:v>0</x:v>
      </x:c>
      <x:c r="N128" s="24" t="str">
        <x:v>sphyraenidae</x:v>
      </x:c>
      <x:c r="O128" s="32" t="n">
        <x:v>4.4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Sphyraenidae</x:v>
      </x:c>
      <x:c r="T128" s="32" t="n">
        <x:f>IF(O128="","",(1/'Metadata'!$B$5)^(O128-1))</x:f>
        <x:v>2511.886431509582</x:v>
      </x:c>
      <x:c r="U128" s="31" t="n">
        <x:f>IF(T128="","",I128*T128)</x:f>
        <x:v>52200.83361047478</x:v>
      </x:c>
    </x:row>
    <x:row r="129" ht="18" customHeight="1">
      <x:c r="A129" s="24" t="str">
        <x:v>EEZ_460</x:v>
      </x:c>
      <x:c r="B129" s="24" t="str">
        <x:v>Malaysia (Peninsula East)</x:v>
      </x:c>
      <x:c r="C129" s="24" t="str">
        <x:v>EEZ</x:v>
      </x:c>
      <x:c r="D129" s="30" t="n">
        <x:v>2019</x:v>
      </x:c>
      <x:c r="E129" s="24" t="str">
        <x:v>Sepiidae</x:v>
      </x:c>
      <x:c r="F129" s="24" t="str">
        <x:v>Cuttlefishes</x:v>
      </x:c>
      <x:c r="G129" s="24" t="str">
        <x:v>Cephalopods</x:v>
      </x:c>
      <x:c r="H129" s="24" t="str">
        <x:v>Other fishes &amp; inverts</x:v>
      </x:c>
      <x:c r="I129" s="31" t="n">
        <x:v>19.308329864599997</x:v>
      </x:c>
      <x:c r="J129" s="31" t="n">
        <x:v>19.308329864599997</x:v>
      </x:c>
      <x:c r="K129" s="31" t="n">
        <x:v>0</x:v>
      </x:c>
      <x:c r="L129" s="31" t="n">
        <x:v>18.6371682551</x:v>
      </x:c>
      <x:c r="M129" s="31" t="n">
        <x:v>0.6711616095</x:v>
      </x:c>
      <x:c r="N129" s="24" t="str">
        <x:v>sepiidae</x:v>
      </x:c>
      <x:c r="O129" s="32" t="n">
        <x:v>3.6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Sepiidae</x:v>
      </x:c>
      <x:c r="T129" s="32" t="n">
        <x:f>IF(O129="","",(1/'Metadata'!$B$5)^(O129-1))</x:f>
        <x:v>398.1071705534973</x:v>
      </x:c>
      <x:c r="U129" s="31" t="n">
        <x:f>IF(T129="","",I129*T129)</x:f>
        <x:v>7686.784570509497</x:v>
      </x:c>
    </x:row>
    <x:row r="130" ht="18" customHeight="1">
      <x:c r="A130" s="24" t="str">
        <x:v>EEZ_460</x:v>
      </x:c>
      <x:c r="B130" s="24" t="str">
        <x:v>Malaysia (Peninsula East)</x:v>
      </x:c>
      <x:c r="C130" s="24" t="str">
        <x:v>EEZ</x:v>
      </x:c>
      <x:c r="D130" s="30" t="n">
        <x:v>2019</x:v>
      </x:c>
      <x:c r="E130" s="24" t="str">
        <x:v>Sepioteuthis lessoniana</x:v>
      </x:c>
      <x:c r="F130" s="24" t="str">
        <x:v>Bigfin reef squid</x:v>
      </x:c>
      <x:c r="G130" s="24" t="str">
        <x:v>Cephalopods</x:v>
      </x:c>
      <x:c r="H130" s="24" t="str">
        <x:v>Other fishes &amp; inverts</x:v>
      </x:c>
      <x:c r="I130" s="31" t="n">
        <x:v>17.4029148037</x:v>
      </x:c>
      <x:c r="J130" s="31" t="n">
        <x:v>17.4029148037</x:v>
      </x:c>
      <x:c r="K130" s="31" t="n">
        <x:v>0</x:v>
      </x:c>
      <x:c r="L130" s="31" t="n">
        <x:v>9.3881742708</x:v>
      </x:c>
      <x:c r="M130" s="31" t="n">
        <x:v>8.0147405329</x:v>
      </x:c>
      <x:c r="N130" s="24" t="str">
        <x:v>sepioteuthis lessoniana</x:v>
      </x:c>
      <x:c r="O130" s="32" t="n">
        <x:v>3.98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Sepioteuthis lessoniana</x:v>
      </x:c>
      <x:c r="T130" s="32" t="n">
        <x:f>IF(O130="","",(1/'Metadata'!$B$5)^(O130-1))</x:f>
        <x:v>954.992586021436</x:v>
      </x:c>
      <x:c r="U130" s="31" t="n">
        <x:f>IF(T130="","",I130*T130)</x:f>
        <x:v>16619.654612696195</x:v>
      </x:c>
    </x:row>
    <x:row r="131" ht="18" customHeight="1">
      <x:c r="A131" s="24" t="str">
        <x:v>EEZ_460</x:v>
      </x:c>
      <x:c r="B131" s="24" t="str">
        <x:v>Malaysia (Peninsula East)</x:v>
      </x:c>
      <x:c r="C131" s="24" t="str">
        <x:v>EEZ</x:v>
      </x:c>
      <x:c r="D131" s="30" t="n">
        <x:v>2019</x:v>
      </x:c>
      <x:c r="E131" s="24" t="str">
        <x:v>Chirocentrus dorab</x:v>
      </x:c>
      <x:c r="F131" s="24" t="str">
        <x:v>Dorab wolf-herring</x:v>
      </x:c>
      <x:c r="G131" s="24" t="str">
        <x:v>Large benthopelagics (&gt;=90 cm)</x:v>
      </x:c>
      <x:c r="H131" s="24" t="str">
        <x:v>Herring-likes</x:v>
      </x:c>
      <x:c r="I131" s="31" t="n">
        <x:v>16.627197143100002</x:v>
      </x:c>
      <x:c r="J131" s="31" t="n">
        <x:v>16.627197143100002</x:v>
      </x:c>
      <x:c r="K131" s="31" t="n">
        <x:v>0</x:v>
      </x:c>
      <x:c r="L131" s="31" t="n">
        <x:v>6.3373423869000005</x:v>
      </x:c>
      <x:c r="M131" s="31" t="n">
        <x:v>10.2898547562</x:v>
      </x:c>
      <x:c r="N131" s="24" t="str">
        <x:v>chirocentrus dorab</x:v>
      </x:c>
      <x:c r="O131" s="32" t="n">
        <x:v>4.2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Chirocentrus dorab</x:v>
      </x:c>
      <x:c r="T131" s="32" t="n">
        <x:f>IF(O131="","",(1/'Metadata'!$B$5)^(O131-1))</x:f>
        <x:v>1584.893192461114</x:v>
      </x:c>
      <x:c r="U131" s="31" t="n">
        <x:f>IF(T131="","",I131*T131)</x:f>
        <x:v>26352.331561808078</x:v>
      </x:c>
    </x:row>
    <x:row r="132" ht="18" customHeight="1">
      <x:c r="A132" s="24" t="str">
        <x:v>EEZ_460</x:v>
      </x:c>
      <x:c r="B132" s="24" t="str">
        <x:v>Malaysia (Peninsula East)</x:v>
      </x:c>
      <x:c r="C132" s="24" t="str">
        <x:v>EEZ</x:v>
      </x:c>
      <x:c r="D132" s="30" t="n">
        <x:v>2019</x:v>
      </x:c>
      <x:c r="E132" s="24" t="str">
        <x:v>Scatophagus argus</x:v>
      </x:c>
      <x:c r="F132" s="24" t="str">
        <x:v>Spotted scat</x:v>
      </x:c>
      <x:c r="G132" s="24" t="str">
        <x:v>Medium demersals (30 - 89 cm)</x:v>
      </x:c>
      <x:c r="H132" s="24" t="str">
        <x:v>Perch-likes</x:v>
      </x:c>
      <x:c r="I132" s="31" t="n">
        <x:v>16.5011479552</x:v>
      </x:c>
      <x:c r="J132" s="31" t="n">
        <x:v>16.5011479552</x:v>
      </x:c>
      <x:c r="K132" s="31" t="n">
        <x:v>0</x:v>
      </x:c>
      <x:c r="L132" s="31" t="n">
        <x:v>9.1795796899</x:v>
      </x:c>
      <x:c r="M132" s="31" t="n">
        <x:v>7.3215682653</x:v>
      </x:c>
      <x:c r="N132" s="24" t="str">
        <x:v>scatophagus argus</x:v>
      </x:c>
      <x:c r="O132" s="32" t="n">
        <x:v>2.99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Scatophagus argus</x:v>
      </x:c>
      <x:c r="T132" s="32" t="n">
        <x:f>IF(O132="","",(1/'Metadata'!$B$5)^(O132-1))</x:f>
        <x:v>97.72372209558111</x:v>
      </x:c>
      <x:c r="U132" s="31" t="n">
        <x:f>IF(T132="","",I132*T132)</x:f>
        <x:v>1612.5535970320313</x:v>
      </x:c>
    </x:row>
    <x:row r="133" ht="18" customHeight="1">
      <x:c r="A133" s="24" t="str">
        <x:v>EEZ_460</x:v>
      </x:c>
      <x:c r="B133" s="24" t="str">
        <x:v>Malaysia (Peninsula East)</x:v>
      </x:c>
      <x:c r="C133" s="24" t="str">
        <x:v>EEZ</x:v>
      </x:c>
      <x:c r="D133" s="30" t="n">
        <x:v>2019</x:v>
      </x:c>
      <x:c r="E133" s="24" t="str">
        <x:v>Polynemidae</x:v>
      </x:c>
      <x:c r="F133" s="24" t="str">
        <x:v>Threadfins</x:v>
      </x:c>
      <x:c r="G133" s="24" t="str">
        <x:v>Small demersals (&lt;30 cm)</x:v>
      </x:c>
      <x:c r="H133" s="24" t="str">
        <x:v>Perch-likes</x:v>
      </x:c>
      <x:c r="I133" s="31" t="n">
        <x:v>15.6044076083</x:v>
      </x:c>
      <x:c r="J133" s="31" t="n">
        <x:v>15.6044076083</x:v>
      </x:c>
      <x:c r="K133" s="31" t="n">
        <x:v>0</x:v>
      </x:c>
      <x:c r="L133" s="31" t="n">
        <x:v>13.1116800707</x:v>
      </x:c>
      <x:c r="M133" s="31" t="n">
        <x:v>2.4927275376</x:v>
      </x:c>
      <x:c r="N133" s="24" t="str">
        <x:v>polynemidae</x:v>
      </x:c>
      <x:c r="O133" s="32" t="n">
        <x:v>3.62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Polynemidae</x:v>
      </x:c>
      <x:c r="T133" s="32" t="n">
        <x:f>IF(O133="","",(1/'Metadata'!$B$5)^(O133-1))</x:f>
        <x:v>416.8693834703355</x:v>
      </x:c>
      <x:c r="U133" s="31" t="n">
        <x:f>IF(T133="","",I133*T133)</x:f>
        <x:v>6504.999779091834</x:v>
      </x:c>
    </x:row>
    <x:row r="134" ht="18" customHeight="1">
      <x:c r="A134" s="24" t="str">
        <x:v>EEZ_460</x:v>
      </x:c>
      <x:c r="B134" s="24" t="str">
        <x:v>Malaysia (Peninsula East)</x:v>
      </x:c>
      <x:c r="C134" s="24" t="str">
        <x:v>EEZ</x:v>
      </x:c>
      <x:c r="D134" s="30" t="n">
        <x:v>2019</x:v>
      </x:c>
      <x:c r="E134" s="24" t="str">
        <x:v>Ostreidae</x:v>
      </x:c>
      <x:c r="F134" s="24" t="str">
        <x:v>True oysters</x:v>
      </x:c>
      <x:c r="G134" s="24" t="str">
        <x:v>Other demersal invertebrates</x:v>
      </x:c>
      <x:c r="H134" s="24" t="str">
        <x:v>Molluscs</x:v>
      </x:c>
      <x:c r="I134" s="31" t="n">
        <x:v>14.6629171135</x:v>
      </x:c>
      <x:c r="J134" s="31" t="n">
        <x:v>14.6629171135</x:v>
      </x:c>
      <x:c r="K134" s="31" t="n">
        <x:v>0</x:v>
      </x:c>
      <x:c r="L134" s="31" t="n">
        <x:v>8.261621721000001</x:v>
      </x:c>
      <x:c r="M134" s="31" t="n">
        <x:v>6.4012953925</x:v>
      </x:c>
      <x:c r="N134" s="24" t="str">
        <x:v>ostreidae</x:v>
      </x:c>
      <x:c r="O134" s="32" t="n">
        <x:v>2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Ostreidae</x:v>
      </x:c>
      <x:c r="T134" s="32" t="n">
        <x:f>IF(O134="","",(1/'Metadata'!$B$5)^(O134-1))</x:f>
        <x:v>10</x:v>
      </x:c>
      <x:c r="U134" s="31" t="n">
        <x:f>IF(T134="","",I134*T134)</x:f>
        <x:v>146.629171135</x:v>
      </x:c>
    </x:row>
    <x:row r="135" ht="18" customHeight="1">
      <x:c r="A135" s="24" t="str">
        <x:v>EEZ_460</x:v>
      </x:c>
      <x:c r="B135" s="24" t="str">
        <x:v>Malaysia (Peninsula East)</x:v>
      </x:c>
      <x:c r="C135" s="24" t="str">
        <x:v>EEZ</x:v>
      </x:c>
      <x:c r="D135" s="30" t="n">
        <x:v>2019</x:v>
      </x:c>
      <x:c r="E135" s="24" t="str">
        <x:v>Cephea</x:v>
      </x:c>
      <x:c r="F135" s="24" t="str">
        <x:v>Cepheid jellyfishes</x:v>
      </x:c>
      <x:c r="G135" s="24" t="str">
        <x:v>Jellyfish</x:v>
      </x:c>
      <x:c r="H135" s="24" t="str">
        <x:v>Other fishes &amp; inverts</x:v>
      </x:c>
      <x:c r="I135" s="31" t="n">
        <x:v>13.2690170183</x:v>
      </x:c>
      <x:c r="J135" s="31" t="n">
        <x:v>13.2690170183</x:v>
      </x:c>
      <x:c r="K135" s="31" t="n">
        <x:v>0</x:v>
      </x:c>
      <x:c r="L135" s="31" t="n">
        <x:v>2.9450548661</x:v>
      </x:c>
      <x:c r="M135" s="31" t="n">
        <x:v>10.3239621522</x:v>
      </x:c>
      <x:c r="N135" s="24" t="str">
        <x:v>cephea</x:v>
      </x:c>
      <x:c r="O135" s="32" t="n">
        <x:v>3.46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Cephea</x:v>
      </x:c>
      <x:c r="T135" s="32" t="n">
        <x:f>IF(O135="","",(1/'Metadata'!$B$5)^(O135-1))</x:f>
        <x:v>288.40315031266056</x:v>
      </x:c>
      <x:c r="U135" s="31" t="n">
        <x:f>IF(T135="","",I135*T135)</x:f>
        <x:v>3826.8263096300257</x:v>
      </x:c>
    </x:row>
    <x:row r="136" ht="18" customHeight="1">
      <x:c r="A136" s="24" t="str">
        <x:v>EEZ_460</x:v>
      </x:c>
      <x:c r="B136" s="24" t="str">
        <x:v>Malaysia (Peninsula East)</x:v>
      </x:c>
      <x:c r="C136" s="24" t="str">
        <x:v>EEZ</x:v>
      </x:c>
      <x:c r="D136" s="30" t="n">
        <x:v>2019</x:v>
      </x:c>
      <x:c r="E136" s="24" t="str">
        <x:v>Mugilidae</x:v>
      </x:c>
      <x:c r="F136" s="24" t="str">
        <x:v>Mullets, grey mullets</x:v>
      </x:c>
      <x:c r="G136" s="24" t="str">
        <x:v>Medium reef assoc. fish (30 - 89 cm)</x:v>
      </x:c>
      <x:c r="H136" s="24" t="str">
        <x:v>Perch-likes</x:v>
      </x:c>
      <x:c r="I136" s="31" t="n">
        <x:v>13.191686796</x:v>
      </x:c>
      <x:c r="J136" s="31" t="n">
        <x:v>13.191686796</x:v>
      </x:c>
      <x:c r="K136" s="31" t="n">
        <x:v>0</x:v>
      </x:c>
      <x:c r="L136" s="31" t="n">
        <x:v>10.4887191498</x:v>
      </x:c>
      <x:c r="M136" s="31" t="n">
        <x:v>2.7029676462</x:v>
      </x:c>
      <x:c r="N136" s="24" t="str">
        <x:v>mugilidae</x:v>
      </x:c>
      <x:c r="O136" s="32" t="n">
        <x:v>2.53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Mugilidae</x:v>
      </x:c>
      <x:c r="T136" s="32" t="n">
        <x:f>IF(O136="","",(1/'Metadata'!$B$5)^(O136-1))</x:f>
        <x:v>33.88441561392024</x:v>
      </x:c>
      <x:c r="U136" s="31" t="n">
        <x:f>IF(T136="","",I136*T136)</x:f>
        <x:v>446.9925980443279</x:v>
      </x:c>
    </x:row>
    <x:row r="137" ht="18" customHeight="1">
      <x:c r="A137" s="24" t="str">
        <x:v>EEZ_460</x:v>
      </x:c>
      <x:c r="B137" s="24" t="str">
        <x:v>Malaysia (Peninsula East)</x:v>
      </x:c>
      <x:c r="C137" s="24" t="str">
        <x:v>EEZ</x:v>
      </x:c>
      <x:c r="D137" s="30" t="n">
        <x:v>2019</x:v>
      </x:c>
      <x:c r="E137" s="24" t="str">
        <x:v>Cephalopoda</x:v>
      </x:c>
      <x:c r="F137" s="24" t="str">
        <x:v>Squids, cuttlefishes, octopuses</x:v>
      </x:c>
      <x:c r="G137" s="24" t="str">
        <x:v>Cephalopods</x:v>
      </x:c>
      <x:c r="H137" s="24" t="str">
        <x:v>Other fishes &amp; inverts</x:v>
      </x:c>
      <x:c r="I137" s="31" t="n">
        <x:v>11.0619620356</x:v>
      </x:c>
      <x:c r="J137" s="31" t="n">
        <x:v>11.0619620356</x:v>
      </x:c>
      <x:c r="K137" s="31" t="n">
        <x:v>0</x:v>
      </x:c>
      <x:c r="L137" s="31" t="n">
        <x:v>11.0619620356</x:v>
      </x:c>
      <x:c r="M137" s="31" t="n">
        <x:v>0</x:v>
      </x:c>
      <x:c r="N137" s="24" t="str">
        <x:v>cephalopoda</x:v>
      </x:c>
      <x:c r="O137" s="32" t="n">
        <x:v>3.81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Cephalopoda</x:v>
      </x:c>
      <x:c r="T137" s="32" t="n">
        <x:f>IF(O137="","",(1/'Metadata'!$B$5)^(O137-1))</x:f>
        <x:v>645.6542290346556</x:v>
      </x:c>
      <x:c r="U137" s="31" t="n">
        <x:f>IF(T137="","",I137*T137)</x:f>
        <x:v>7142.202569705948</x:v>
      </x:c>
    </x:row>
    <x:row r="138" ht="18" customHeight="1">
      <x:c r="A138" s="24" t="str">
        <x:v>EEZ_460</x:v>
      </x:c>
      <x:c r="B138" s="24" t="str">
        <x:v>Malaysia (Peninsula East)</x:v>
      </x:c>
      <x:c r="C138" s="24" t="str">
        <x:v>EEZ</x:v>
      </x:c>
      <x:c r="D138" s="30" t="n">
        <x:v>2019</x:v>
      </x:c>
      <x:c r="E138" s="24" t="str">
        <x:v>Malacostraca</x:v>
      </x:c>
      <x:c r="F138" s="24" t="str">
        <x:v>Lobsters, crabs, shrimps, krill</x:v>
      </x:c>
      <x:c r="G138" s="24" t="str">
        <x:v>Shrimps</x:v>
      </x:c>
      <x:c r="H138" s="24" t="str">
        <x:v>Crustaceans</x:v>
      </x:c>
      <x:c r="I138" s="31" t="n">
        <x:v>10.9385658054</x:v>
      </x:c>
      <x:c r="J138" s="31" t="n">
        <x:v>10.9385658054</x:v>
      </x:c>
      <x:c r="K138" s="31" t="n">
        <x:v>0</x:v>
      </x:c>
      <x:c r="L138" s="31" t="n">
        <x:v>7.3436637519</x:v>
      </x:c>
      <x:c r="M138" s="31" t="n">
        <x:v>3.5949020535000002</x:v>
      </x:c>
      <x:c r="N138" s="24" t="str">
        <x:v>malacostraca</x:v>
      </x:c>
      <x:c r="O138" s="32" t="n">
        <x:v>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Malacostraca</x:v>
      </x:c>
      <x:c r="T138" s="32" t="n">
        <x:f>IF(O138="","",(1/'Metadata'!$B$5)^(O138-1))</x:f>
        <x:v>100</x:v>
      </x:c>
      <x:c r="U138" s="31" t="n">
        <x:f>IF(T138="","",I138*T138)</x:f>
        <x:v>1093.8565805399999</x:v>
      </x:c>
    </x:row>
    <x:row r="139" ht="18" customHeight="1">
      <x:c r="A139" s="24" t="str">
        <x:v>EEZ_460</x:v>
      </x:c>
      <x:c r="B139" s="24" t="str">
        <x:v>Malaysia (Peninsula East)</x:v>
      </x:c>
      <x:c r="C139" s="24" t="str">
        <x:v>EEZ</x:v>
      </x:c>
      <x:c r="D139" s="30" t="n">
        <x:v>2019</x:v>
      </x:c>
      <x:c r="E139" s="24" t="str">
        <x:v>Veneridae</x:v>
      </x:c>
      <x:c r="F139" s="24" t="str">
        <x:v>Venus clams</x:v>
      </x:c>
      <x:c r="G139" s="24" t="str">
        <x:v>Other demersal invertebrates</x:v>
      </x:c>
      <x:c r="H139" s="24" t="str">
        <x:v>Molluscs</x:v>
      </x:c>
      <x:c r="I139" s="31" t="n">
        <x:v>10.182847086</x:v>
      </x:c>
      <x:c r="J139" s="31" t="n">
        <x:v>10.182847086</x:v>
      </x:c>
      <x:c r="K139" s="31" t="n">
        <x:v>0</x:v>
      </x:c>
      <x:c r="L139" s="31" t="n">
        <x:v>8.7080464203</x:v>
      </x:c>
      <x:c r="M139" s="31" t="n">
        <x:v>1.4748006657000001</x:v>
      </x:c>
      <x:c r="N139" s="24" t="str">
        <x:v>veneridae</x:v>
      </x:c>
      <x:c r="O139" s="32" t="n">
        <x:v>2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Veneridae</x:v>
      </x:c>
      <x:c r="T139" s="32" t="n">
        <x:f>IF(O139="","",(1/'Metadata'!$B$5)^(O139-1))</x:f>
        <x:v>10</x:v>
      </x:c>
      <x:c r="U139" s="31" t="n">
        <x:f>IF(T139="","",I139*T139)</x:f>
        <x:v>101.82847086000001</x:v>
      </x:c>
    </x:row>
    <x:row r="140" ht="18" customHeight="1">
      <x:c r="A140" s="24" t="str">
        <x:v>EEZ_460</x:v>
      </x:c>
      <x:c r="B140" s="24" t="str">
        <x:v>Malaysia (Peninsula East)</x:v>
      </x:c>
      <x:c r="C140" s="24" t="str">
        <x:v>EEZ</x:v>
      </x:c>
      <x:c r="D140" s="30" t="n">
        <x:v>2019</x:v>
      </x:c>
      <x:c r="E140" s="24" t="str">
        <x:v>Siganidae</x:v>
      </x:c>
      <x:c r="F140" s="24" t="str">
        <x:v>Rabbitfishes</x:v>
      </x:c>
      <x:c r="G140" s="24" t="str">
        <x:v>Medium reef assoc. fish (30 - 89 cm)</x:v>
      </x:c>
      <x:c r="H140" s="24" t="str">
        <x:v>Perch-likes</x:v>
      </x:c>
      <x:c r="I140" s="31" t="n">
        <x:v>7.2791149145</x:v>
      </x:c>
      <x:c r="J140" s="31" t="n">
        <x:v>7.2791149145</x:v>
      </x:c>
      <x:c r="K140" s="31" t="n">
        <x:v>0</x:v>
      </x:c>
      <x:c r="L140" s="31" t="n">
        <x:v>7.2791149145</x:v>
      </x:c>
      <x:c r="M140" s="31" t="n">
        <x:v>0</x:v>
      </x:c>
      <x:c r="N140" s="24" t="str">
        <x:v>siganidae</x:v>
      </x:c>
      <x:c r="O140" s="32" t="n">
        <x:v>2.11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Siganidae</x:v>
      </x:c>
      <x:c r="T140" s="32" t="n">
        <x:f>IF(O140="","",(1/'Metadata'!$B$5)^(O140-1))</x:f>
        <x:v>12.882495516931336</x:v>
      </x:c>
      <x:c r="U140" s="31" t="n">
        <x:f>IF(T140="","",I140*T140)</x:f>
        <x:v>93.77316525327427</x:v>
      </x:c>
    </x:row>
    <x:row r="141" ht="18" customHeight="1">
      <x:c r="A141" s="24" t="str">
        <x:v>EEZ_460</x:v>
      </x:c>
      <x:c r="B141" s="24" t="str">
        <x:v>Malaysia (Peninsula East)</x:v>
      </x:c>
      <x:c r="C141" s="24" t="str">
        <x:v>EEZ</x:v>
      </x:c>
      <x:c r="D141" s="30" t="n">
        <x:v>2019</x:v>
      </x:c>
      <x:c r="E141" s="24" t="str">
        <x:v>Makaira</x:v>
      </x:c>
      <x:c r="F141" s="24" t="str">
        <x:v>Blue marlins</x:v>
      </x:c>
      <x:c r="G141" s="24" t="str">
        <x:v>Large pelagics (&gt;=90 cm)</x:v>
      </x:c>
      <x:c r="H141" s="24" t="str">
        <x:v>Tuna &amp; billfishes</x:v>
      </x:c>
      <x:c r="I141" s="31" t="n">
        <x:v>6.4191122556</x:v>
      </x:c>
      <x:c r="J141" s="31" t="n">
        <x:v>6.4191122556</x:v>
      </x:c>
      <x:c r="K141" s="31" t="n">
        <x:v>0</x:v>
      </x:c>
      <x:c r="L141" s="31" t="n">
        <x:v>3.6718318761</x:v>
      </x:c>
      <x:c r="M141" s="31" t="n">
        <x:v>2.7472803795000003</x:v>
      </x:c>
      <x:c r="N141" s="24" t="str">
        <x:v>makaira</x:v>
      </x:c>
      <x:c r="O141" s="32" t="n">
        <x:v>4.47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Makaira</x:v>
      </x:c>
      <x:c r="T141" s="32" t="n">
        <x:f>IF(O141="","",(1/'Metadata'!$B$5)^(O141-1))</x:f>
        <x:v>2951.209226666384</x:v>
      </x:c>
      <x:c r="U141" s="31" t="n">
        <x:f>IF(T141="","",I141*T141)</x:f>
        <x:v>18944.143315733985</x:v>
      </x:c>
    </x:row>
    <x:row r="142" ht="18" customHeight="1">
      <x:c r="A142" s="24" t="str">
        <x:v>EEZ_460</x:v>
      </x:c>
      <x:c r="B142" s="24" t="str">
        <x:v>Malaysia (Peninsula East)</x:v>
      </x:c>
      <x:c r="C142" s="24" t="str">
        <x:v>EEZ</x:v>
      </x:c>
      <x:c r="D142" s="30" t="n">
        <x:v>2019</x:v>
      </x:c>
      <x:c r="E142" s="24" t="str">
        <x:v>Echinodermata</x:v>
      </x:c>
      <x:c r="F142" s="24" t="str">
        <x:v>Sea urchins, stars, cucumbers</x:v>
      </x:c>
      <x:c r="G142" s="24" t="str">
        <x:v>Other demersal invertebrates</x:v>
      </x:c>
      <x:c r="H142" s="24" t="str">
        <x:v>Other fishes &amp; inverts</x:v>
      </x:c>
      <x:c r="I142" s="31" t="n">
        <x:v>6.3872408716999995</x:v>
      </x:c>
      <x:c r="J142" s="31" t="n">
        <x:v>6.3872408716999995</x:v>
      </x:c>
      <x:c r="K142" s="31" t="n">
        <x:v>0</x:v>
      </x:c>
      <x:c r="L142" s="31" t="n">
        <x:v>4.589789844899999</x:v>
      </x:c>
      <x:c r="M142" s="31" t="n">
        <x:v>1.7974510268000001</x:v>
      </x:c>
      <x:c r="N142" s="24" t="str">
        <x:v>echinodermata</x:v>
      </x:c>
      <x:c r="O142" s="32" t="n">
        <x:v>2.3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Echinodermata</x:v>
      </x:c>
      <x:c r="T142" s="32" t="n">
        <x:f>IF(O142="","",(1/'Metadata'!$B$5)^(O142-1))</x:f>
        <x:v>19.952623149688787</x:v>
      </x:c>
      <x:c r="U142" s="31" t="n">
        <x:f>IF(T142="","",I142*T142)</x:f>
        <x:v>127.44221007931979</x:v>
      </x:c>
    </x:row>
    <x:row r="143" ht="18" customHeight="1">
      <x:c r="A143" s="24" t="str">
        <x:v>EEZ_460</x:v>
      </x:c>
      <x:c r="B143" s="24" t="str">
        <x:v>Malaysia (Peninsula East)</x:v>
      </x:c>
      <x:c r="C143" s="24" t="str">
        <x:v>EEZ</x:v>
      </x:c>
      <x:c r="D143" s="30" t="n">
        <x:v>2019</x:v>
      </x:c>
      <x:c r="E143" s="24" t="str">
        <x:v>Menidae</x:v>
      </x:c>
      <x:c r="F143" s="24" t="str">
        <x:v>Moonfishes</x:v>
      </x:c>
      <x:c r="G143" s="24" t="str">
        <x:v>Medium reef assoc. fish (30 - 89 cm)</x:v>
      </x:c>
      <x:c r="H143" s="24" t="str">
        <x:v>Perch-likes</x:v>
      </x:c>
      <x:c r="I143" s="31" t="n">
        <x:v>6.2745789565</x:v>
      </x:c>
      <x:c r="J143" s="31" t="n">
        <x:v>6.2745789565</x:v>
      </x:c>
      <x:c r="K143" s="31" t="n">
        <x:v>0</x:v>
      </x:c>
      <x:c r="L143" s="31" t="n">
        <x:v>6.2745789565</x:v>
      </x:c>
      <x:c r="M143" s="31" t="n">
        <x:v>0</x:v>
      </x:c>
      <x:c r="N143" s="24" t="str">
        <x:v>menidae</x:v>
      </x:c>
      <x:c r="O143" s="32" t="n">
        <x:v>3.45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Menidae</x:v>
      </x:c>
      <x:c r="T143" s="32" t="n">
        <x:f>IF(O143="","",(1/'Metadata'!$B$5)^(O143-1))</x:f>
        <x:v>281.8382931264455</x:v>
      </x:c>
      <x:c r="U143" s="31" t="n">
        <x:f>IF(T143="","",I143*T143)</x:f>
        <x:v>1768.4166231870734</x:v>
      </x:c>
    </x:row>
    <x:row r="144" ht="18" customHeight="1">
      <x:c r="A144" s="24" t="str">
        <x:v>EEZ_460</x:v>
      </x:c>
      <x:c r="B144" s="24" t="str">
        <x:v>Malaysia (Peninsula East)</x:v>
      </x:c>
      <x:c r="C144" s="24" t="str">
        <x:v>EEZ</x:v>
      </x:c>
      <x:c r="D144" s="30" t="n">
        <x:v>2019</x:v>
      </x:c>
      <x:c r="E144" s="24" t="str">
        <x:v>Miscellaneous aquatic invertebrates</x:v>
      </x:c>
      <x:c r="F144" s="24" t="str">
        <x:v>Aquatic invertebrates</x:v>
      </x:c>
      <x:c r="G144" s="24" t="str">
        <x:v>Other demersal invertebrates</x:v>
      </x:c>
      <x:c r="H144" s="24" t="str">
        <x:v>Other fishes &amp; inverts</x:v>
      </x:c>
      <x:c r="I144" s="31" t="n">
        <x:v>5.8761264015</x:v>
      </x:c>
      <x:c r="J144" s="31" t="n">
        <x:v>5.8761264015</x:v>
      </x:c>
      <x:c r="K144" s="31" t="n">
        <x:v>0</x:v>
      </x:c>
      <x:c r="L144" s="31" t="n">
        <x:v>1.1264324535</x:v>
      </x:c>
      <x:c r="M144" s="31" t="n">
        <x:v>4.749693948</x:v>
      </x:c>
      <x:c r="N144" s="24" t="str">
        <x:v>miscellaneous aquatic invertebrates</x:v>
      </x:c>
      <x:c r="O144" s="32" t="n">
        <x:v>2.43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Miscellaneous aquatic invertebrates</x:v>
      </x:c>
      <x:c r="T144" s="32" t="n">
        <x:f>IF(O144="","",(1/'Metadata'!$B$5)^(O144-1))</x:f>
        <x:v>26.915348039269166</x:v>
      </x:c>
      <x:c r="U144" s="31" t="n">
        <x:f>IF(T144="","",I144*T144)</x:f>
        <x:v>158.1579872191108</x:v>
      </x:c>
    </x:row>
    <x:row r="145" ht="18" customHeight="1">
      <x:c r="A145" s="24" t="str">
        <x:v>EEZ_460</x:v>
      </x:c>
      <x:c r="B145" s="24" t="str">
        <x:v>Malaysia (Peninsula East)</x:v>
      </x:c>
      <x:c r="C145" s="24" t="str">
        <x:v>EEZ</x:v>
      </x:c>
      <x:c r="D145" s="30" t="n">
        <x:v>2019</x:v>
      </x:c>
      <x:c r="E145" s="24" t="str">
        <x:v>Caranx sexfasciatus</x:v>
      </x:c>
      <x:c r="F145" s="24" t="str">
        <x:v>Bigeye trevally</x:v>
      </x:c>
      <x:c r="G145" s="24" t="str">
        <x:v>Large reef assoc. fish (&gt;=90 cm)</x:v>
      </x:c>
      <x:c r="H145" s="24" t="str">
        <x:v>Perch-likes</x:v>
      </x:c>
      <x:c r="I145" s="31" t="n">
        <x:v>5.4840611426</x:v>
      </x:c>
      <x:c r="J145" s="31" t="n">
        <x:v>5.4840611426</x:v>
      </x:c>
      <x:c r="K145" s="31" t="n">
        <x:v>0</x:v>
      </x:c>
      <x:c r="L145" s="31" t="n">
        <x:v>3.6718318761</x:v>
      </x:c>
      <x:c r="M145" s="31" t="n">
        <x:v>1.8122292665</x:v>
      </x:c>
      <x:c r="N145" s="24" t="str">
        <x:v>caranx sexfasciatus</x:v>
      </x:c>
      <x:c r="O145" s="32" t="n">
        <x:v>4.5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Caranx sexfasciatus</x:v>
      </x:c>
      <x:c r="T145" s="32" t="n">
        <x:f>IF(O145="","",(1/'Metadata'!$B$5)^(O145-1))</x:f>
        <x:v>3162.2776601683795</x:v>
      </x:c>
      <x:c r="U145" s="31" t="n">
        <x:f>IF(T145="","",I145*T145)</x:f>
        <x:v>17342.124038241458</x:v>
      </x:c>
    </x:row>
    <x:row r="146" ht="18" customHeight="1">
      <x:c r="A146" s="24" t="str">
        <x:v>EEZ_460</x:v>
      </x:c>
      <x:c r="B146" s="24" t="str">
        <x:v>Malaysia (Peninsula East)</x:v>
      </x:c>
      <x:c r="C146" s="24" t="str">
        <x:v>EEZ</x:v>
      </x:c>
      <x:c r="D146" s="30" t="n">
        <x:v>2019</x:v>
      </x:c>
      <x:c r="E146" s="24" t="str">
        <x:v>Caesionidae</x:v>
      </x:c>
      <x:c r="F146" s="24" t="str">
        <x:v>Fusiliers</x:v>
      </x:c>
      <x:c r="G146" s="24" t="str">
        <x:v>Medium reef assoc. fish (30 - 89 cm)</x:v>
      </x:c>
      <x:c r="H146" s="24" t="str">
        <x:v>Perch-likes</x:v>
      </x:c>
      <x:c r="I146" s="31" t="n">
        <x:v>4.8718485649000005</x:v>
      </x:c>
      <x:c r="J146" s="31" t="n">
        <x:v>4.8718485649000005</x:v>
      </x:c>
      <x:c r="K146" s="31" t="n">
        <x:v>0</x:v>
      </x:c>
      <x:c r="L146" s="31" t="n">
        <x:v>4.8718485649000005</x:v>
      </x:c>
      <x:c r="M146" s="31" t="n">
        <x:v>0</x:v>
      </x:c>
      <x:c r="N146" s="24" t="str">
        <x:v>caesionidae</x:v>
      </x:c>
      <x:c r="O146" s="32" t="n">
        <x:v>3.39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Caesionidae</x:v>
      </x:c>
      <x:c r="T146" s="32" t="n">
        <x:f>IF(O146="","",(1/'Metadata'!$B$5)^(O146-1))</x:f>
        <x:v>245.4708915685031</x:v>
      </x:c>
      <x:c r="U146" s="31" t="n">
        <x:f>IF(T146="","",I146*T146)</x:f>
        <x:v>1195.8970108127355</x:v>
      </x:c>
    </x:row>
    <x:row r="147" ht="18" customHeight="1">
      <x:c r="A147" s="24" t="str">
        <x:v>EEZ_460</x:v>
      </x:c>
      <x:c r="B147" s="24" t="str">
        <x:v>Malaysia (Peninsula East)</x:v>
      </x:c>
      <x:c r="C147" s="24" t="str">
        <x:v>EEZ</x:v>
      </x:c>
      <x:c r="D147" s="30" t="n">
        <x:v>2019</x:v>
      </x:c>
      <x:c r="E147" s="24" t="str">
        <x:v>Clupeiformes</x:v>
      </x:c>
      <x:c r="F147" s="24" t="str">
        <x:v>Herrings, shads, anchovies</x:v>
      </x:c>
      <x:c r="G147" s="24" t="str">
        <x:v>Small pelagics (&lt;30 cm)</x:v>
      </x:c>
      <x:c r="H147" s="24" t="str">
        <x:v>Other fishes &amp; inverts</x:v>
      </x:c>
      <x:c r="I147" s="31" t="n">
        <x:v>4.587650532800001</x:v>
      </x:c>
      <x:c r="J147" s="31" t="n">
        <x:v>4.587650532800001</x:v>
      </x:c>
      <x:c r="K147" s="31" t="n">
        <x:v>0</x:v>
      </x:c>
      <x:c r="L147" s="31" t="n">
        <x:v>2.7538739068</x:v>
      </x:c>
      <x:c r="M147" s="31" t="n">
        <x:v>1.8337766260000001</x:v>
      </x:c>
      <x:c r="N147" s="24" t="str">
        <x:v>clupeiformes</x:v>
      </x:c>
      <x:c r="O147" s="32" t="n">
        <x:v>3.24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Clupeiformes</x:v>
      </x:c>
      <x:c r="T147" s="32" t="n">
        <x:f>IF(O147="","",(1/'Metadata'!$B$5)^(O147-1))</x:f>
        <x:v>173.78008287493762</x:v>
      </x:c>
      <x:c r="U147" s="31" t="n">
        <x:f>IF(T147="","",I147*T147)</x:f>
        <x:v>797.2422897912359</x:v>
      </x:c>
    </x:row>
    <x:row r="148" ht="18" customHeight="1">
      <x:c r="A148" s="24" t="str">
        <x:v>EEZ_460</x:v>
      </x:c>
      <x:c r="B148" s="24" t="str">
        <x:v>Malaysia (Peninsula East)</x:v>
      </x:c>
      <x:c r="C148" s="24" t="str">
        <x:v>EEZ</x:v>
      </x:c>
      <x:c r="D148" s="30" t="n">
        <x:v>2019</x:v>
      </x:c>
      <x:c r="E148" s="24" t="str">
        <x:v>Mullidae</x:v>
      </x:c>
      <x:c r="F148" s="24" t="str">
        <x:v>Goatfishes</x:v>
      </x:c>
      <x:c r="G148" s="24" t="str">
        <x:v>Medium reef assoc. fish (30 - 89 cm)</x:v>
      </x:c>
      <x:c r="H148" s="24" t="str">
        <x:v>Perch-likes</x:v>
      </x:c>
      <x:c r="I148" s="31" t="n">
        <x:v>3.8311131129</x:v>
      </x:c>
      <x:c r="J148" s="31" t="n">
        <x:v>3.8311131129</x:v>
      </x:c>
      <x:c r="K148" s="31" t="n">
        <x:v>0</x:v>
      </x:c>
      <x:c r="L148" s="31" t="n">
        <x:v>3.8311131129</x:v>
      </x:c>
      <x:c r="M148" s="31" t="n">
        <x:v>0</x:v>
      </x:c>
      <x:c r="N148" s="24" t="str">
        <x:v>mullidae</x:v>
      </x:c>
      <x:c r="O148" s="32" t="n">
        <x:v>3.46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Mullidae</x:v>
      </x:c>
      <x:c r="T148" s="32" t="n">
        <x:f>IF(O148="","",(1/'Metadata'!$B$5)^(O148-1))</x:f>
        <x:v>288.40315031266056</x:v>
      </x:c>
      <x:c r="U148" s="31" t="n">
        <x:f>IF(T148="","",I148*T148)</x:f>
        <x:v>1104.9050909645036</x:v>
      </x:c>
    </x:row>
    <x:row r="149" ht="18" customHeight="1">
      <x:c r="A149" s="24" t="str">
        <x:v>EEZ_460</x:v>
      </x:c>
      <x:c r="B149" s="24" t="str">
        <x:v>Malaysia (Peninsula East)</x:v>
      </x:c>
      <x:c r="C149" s="24" t="str">
        <x:v>EEZ</x:v>
      </x:c>
      <x:c r="D149" s="30" t="n">
        <x:v>2019</x:v>
      </x:c>
      <x:c r="E149" s="24" t="str">
        <x:v>Thenus orientalis</x:v>
      </x:c>
      <x:c r="F149" s="24" t="str">
        <x:v>Flathead lobster</x:v>
      </x:c>
      <x:c r="G149" s="24" t="str">
        <x:v>Lobsters, crabs</x:v>
      </x:c>
      <x:c r="H149" s="24" t="str">
        <x:v>Crustaceans</x:v>
      </x:c>
      <x:c r="I149" s="31" t="n">
        <x:v>3.5958568449</x:v>
      </x:c>
      <x:c r="J149" s="31" t="n">
        <x:v>3.5958568449</x:v>
      </x:c>
      <x:c r="K149" s="31" t="n">
        <x:v>0</x:v>
      </x:c>
      <x:c r="L149" s="31" t="n">
        <x:v>3.4962088014000003</x:v>
      </x:c>
      <x:c r="M149" s="31" t="n">
        <x:v>0.09964804349999999</x:v>
      </x:c>
      <x:c r="N149" s="24" t="str">
        <x:v>thenus orientalis</x:v>
      </x:c>
      <x:c r="O149" s="32" t="n">
        <x:v>2.5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Thenus orientalis</x:v>
      </x:c>
      <x:c r="T149" s="32" t="n">
        <x:f>IF(O149="","",(1/'Metadata'!$B$5)^(O149-1))</x:f>
        <x:v>31.622776601683793</x:v>
      </x:c>
      <x:c r="U149" s="31" t="n">
        <x:f>IF(T149="","",I149*T149)</x:f>
        <x:v>113.71097769790823</x:v>
      </x:c>
    </x:row>
    <x:row r="150" ht="18" customHeight="1">
      <x:c r="A150" s="24" t="str">
        <x:v>EEZ_460</x:v>
      </x:c>
      <x:c r="B150" s="24" t="str">
        <x:v>Malaysia (Peninsula East)</x:v>
      </x:c>
      <x:c r="C150" s="24" t="str">
        <x:v>EEZ</x:v>
      </x:c>
      <x:c r="D150" s="30" t="n">
        <x:v>2019</x:v>
      </x:c>
      <x:c r="E150" s="24" t="str">
        <x:v>Batoidea</x:v>
      </x:c>
      <x:c r="F150" s="24" t="str">
        <x:v>Batoids, skates, rays, sawfishes</x:v>
      </x:c>
      <x:c r="G150" s="24" t="str">
        <x:v>Large rays (&gt;=90 cm)</x:v>
      </x:c>
      <x:c r="H150" s="24" t="str">
        <x:v>Sharks &amp; rays</x:v>
      </x:c>
      <x:c r="I150" s="31" t="n">
        <x:v>2.8658573785</x:v>
      </x:c>
      <x:c r="J150" s="31" t="n">
        <x:v>2.8658573785</x:v>
      </x:c>
      <x:c r="K150" s="31" t="n">
        <x:v>0</x:v>
      </x:c>
      <x:c r="L150" s="31" t="n">
        <x:v>2.6370024982</x:v>
      </x:c>
      <x:c r="M150" s="31" t="n">
        <x:v>0.2288548803</x:v>
      </x:c>
      <x:c r="N150" s="24" t="str">
        <x:v>batoidea</x:v>
      </x:c>
      <x:c r="O150" s="32" t="n">
        <x:v>3.72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Batoidea</x:v>
      </x:c>
      <x:c r="T150" s="32" t="n">
        <x:f>IF(O150="","",(1/'Metadata'!$B$5)^(O150-1))</x:f>
        <x:v>524.8074602497728</x:v>
      </x:c>
      <x:c r="U150" s="31" t="n">
        <x:f>IF(T150="","",I150*T150)</x:f>
        <x:v>1504.0233322486567</x:v>
      </x:c>
    </x:row>
    <x:row r="151" ht="18" customHeight="1">
      <x:c r="A151" s="24" t="str">
        <x:v>EEZ_460</x:v>
      </x:c>
      <x:c r="B151" s="24" t="str">
        <x:v>Malaysia (Peninsula East)</x:v>
      </x:c>
      <x:c r="C151" s="24" t="str">
        <x:v>EEZ</x:v>
      </x:c>
      <x:c r="D151" s="30" t="n">
        <x:v>2019</x:v>
      </x:c>
      <x:c r="E151" s="24" t="str">
        <x:v>Solenocera crassicornis</x:v>
      </x:c>
      <x:c r="F151" s="24" t="str">
        <x:v>Coastal mud shrimp</x:v>
      </x:c>
      <x:c r="G151" s="24" t="str">
        <x:v>Shrimps</x:v>
      </x:c>
      <x:c r="H151" s="24" t="str">
        <x:v>Crustaceans</x:v>
      </x:c>
      <x:c r="I151" s="31" t="n">
        <x:v>2.7494196914</x:v>
      </x:c>
      <x:c r="J151" s="31" t="n">
        <x:v>2.7494196914</x:v>
      </x:c>
      <x:c r="K151" s="31" t="n">
        <x:v>0</x:v>
      </x:c>
      <x:c r="L151" s="31" t="n">
        <x:v>1.8359159380999999</x:v>
      </x:c>
      <x:c r="M151" s="31" t="n">
        <x:v>0.9135037533</x:v>
      </x:c>
      <x:c r="N151" s="24" t="str">
        <x:v>solenocera crassicornis</x:v>
      </x:c>
      <x:c r="O151" s="32" t="n">
        <x:v>2.2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Solenocera crassicornis</x:v>
      </x:c>
      <x:c r="T151" s="32" t="n">
        <x:f>IF(O151="","",(1/'Metadata'!$B$5)^(O151-1))</x:f>
        <x:v>15.848931924611142</x:v>
      </x:c>
      <x:c r="U151" s="31" t="n">
        <x:f>IF(T151="","",I151*T151)</x:f>
        <x:v>43.575365521183976</x:v>
      </x:c>
    </x:row>
    <x:row r="152" ht="18" customHeight="1">
      <x:c r="A152" s="24" t="str">
        <x:v>EEZ_460</x:v>
      </x:c>
      <x:c r="B152" s="24" t="str">
        <x:v>Malaysia (Peninsula East)</x:v>
      </x:c>
      <x:c r="C152" s="24" t="str">
        <x:v>EEZ</x:v>
      </x:c>
      <x:c r="D152" s="30" t="n">
        <x:v>2019</x:v>
      </x:c>
      <x:c r="E152" s="24" t="str">
        <x:v>Penaeus semisulcatus</x:v>
      </x:c>
      <x:c r="F152" s="24" t="str">
        <x:v>Green tiger prawn</x:v>
      </x:c>
      <x:c r="G152" s="24" t="str">
        <x:v>Shrimps</x:v>
      </x:c>
      <x:c r="H152" s="24" t="str">
        <x:v>Crustaceans</x:v>
      </x:c>
      <x:c r="I152" s="31" t="n">
        <x:v>2.2827350654000003</x:v>
      </x:c>
      <x:c r="J152" s="31" t="n">
        <x:v>2.2827350654000003</x:v>
      </x:c>
      <x:c r="K152" s="31" t="n">
        <x:v>0</x:v>
      </x:c>
      <x:c r="L152" s="31" t="n">
        <x:v>2.1545108378</x:v>
      </x:c>
      <x:c r="M152" s="31" t="n">
        <x:v>0.1282242276</x:v>
      </x:c>
      <x:c r="N152" s="24" t="str">
        <x:v>penaeus semisulcatus</x:v>
      </x:c>
      <x:c r="O152" s="32" t="n">
        <x:v>2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Penaeus semisulcatus</x:v>
      </x:c>
      <x:c r="T152" s="32" t="n">
        <x:f>IF(O152="","",(1/'Metadata'!$B$5)^(O152-1))</x:f>
        <x:v>10</x:v>
      </x:c>
      <x:c r="U152" s="31" t="n">
        <x:f>IF(T152="","",I152*T152)</x:f>
        <x:v>22.827350654000004</x:v>
      </x:c>
    </x:row>
    <x:row r="153" ht="18" customHeight="1">
      <x:c r="A153" s="24" t="str">
        <x:v>EEZ_460</x:v>
      </x:c>
      <x:c r="B153" s="24" t="str">
        <x:v>Malaysia (Peninsula East)</x:v>
      </x:c>
      <x:c r="C153" s="24" t="str">
        <x:v>EEZ</x:v>
      </x:c>
      <x:c r="D153" s="30" t="n">
        <x:v>2019</x:v>
      </x:c>
      <x:c r="E153" s="24" t="str">
        <x:v>Katsuwonus pelamis</x:v>
      </x:c>
      <x:c r="F153" s="24" t="str">
        <x:v>Skipjack tuna</x:v>
      </x:c>
      <x:c r="G153" s="24" t="str">
        <x:v>Large pelagics (&gt;=90 cm)</x:v>
      </x:c>
      <x:c r="H153" s="24" t="str">
        <x:v>Tuna &amp; billfishes</x:v>
      </x:c>
      <x:c r="I153" s="31" t="n">
        <x:v>1.8314617224</x:v>
      </x:c>
      <x:c r="J153" s="31" t="n">
        <x:v>1.8314617224</x:v>
      </x:c>
      <x:c r="K153" s="31" t="n">
        <x:v>0</x:v>
      </x:c>
      <x:c r="L153" s="31" t="n">
        <x:v>0.917957969</x:v>
      </x:c>
      <x:c r="M153" s="31" t="n">
        <x:v>0.9135037534</x:v>
      </x:c>
      <x:c r="N153" s="24" t="str">
        <x:v>katsuwonus pelamis</x:v>
      </x:c>
      <x:c r="O153" s="32" t="n">
        <x:v>4.43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Katsuwonus pelamis</x:v>
      </x:c>
      <x:c r="T153" s="32" t="n">
        <x:f>IF(O153="","",(1/'Metadata'!$B$5)^(O153-1))</x:f>
        <x:v>2691.534803926914</x:v>
      </x:c>
      <x:c r="U153" s="31" t="n">
        <x:f>IF(T153="","",I153*T153)</x:f>
        <x:v>4929.442967899532</x:v>
      </x:c>
    </x:row>
    <x:row r="154" ht="18" customHeight="1">
      <x:c r="A154" s="24" t="str">
        <x:v>EEZ_460</x:v>
      </x:c>
      <x:c r="B154" s="24" t="str">
        <x:v>Malaysia (Peninsula East)</x:v>
      </x:c>
      <x:c r="C154" s="24" t="str">
        <x:v>EEZ</x:v>
      </x:c>
      <x:c r="D154" s="30" t="n">
        <x:v>2019</x:v>
      </x:c>
      <x:c r="E154" s="24" t="str">
        <x:v>Lactarius lactarius</x:v>
      </x:c>
      <x:c r="F154" s="24" t="str">
        <x:v>False trevally</x:v>
      </x:c>
      <x:c r="G154" s="24" t="str">
        <x:v>Medium pelagics (30 - 89 cm)</x:v>
      </x:c>
      <x:c r="H154" s="24" t="str">
        <x:v>Perch-likes</x:v>
      </x:c>
      <x:c r="I154" s="31" t="n">
        <x:v>1.8166834822000002</x:v>
      </x:c>
      <x:c r="J154" s="31" t="n">
        <x:v>1.8166834822000002</x:v>
      </x:c>
      <x:c r="K154" s="31" t="n">
        <x:v>0</x:v>
      </x:c>
      <x:c r="L154" s="31" t="n">
        <x:v>0.917957969</x:v>
      </x:c>
      <x:c r="M154" s="31" t="n">
        <x:v>0.8987255132</x:v>
      </x:c>
      <x:c r="N154" s="24" t="str">
        <x:v>lactarius lactarius</x:v>
      </x:c>
      <x:c r="O154" s="32" t="n">
        <x:v>3.97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Lactarius lactarius</x:v>
      </x:c>
      <x:c r="T154" s="32" t="n">
        <x:f>IF(O154="","",(1/'Metadata'!$B$5)^(O154-1))</x:f>
        <x:v>933.2543007969915</x:v>
      </x:c>
      <x:c r="U154" s="31" t="n">
        <x:f>IF(T154="","",I154*T154)</x:f>
        <x:v>1695.427672950005</x:v>
      </x:c>
    </x:row>
    <x:row r="155" ht="18" customHeight="1">
      <x:c r="A155" s="24" t="str">
        <x:v>EEZ_460</x:v>
      </x:c>
      <x:c r="B155" s="24" t="str">
        <x:v>Malaysia (Peninsula East)</x:v>
      </x:c>
      <x:c r="C155" s="24" t="str">
        <x:v>EEZ</x:v>
      </x:c>
      <x:c r="D155" s="30" t="n">
        <x:v>2019</x:v>
      </x:c>
      <x:c r="E155" s="24" t="str">
        <x:v>Pampus argenteus</x:v>
      </x:c>
      <x:c r="F155" s="24" t="str">
        <x:v>Silver pomfret</x:v>
      </x:c>
      <x:c r="G155" s="24" t="str">
        <x:v>Medium benthopelagics (30 - 89 cm)</x:v>
      </x:c>
      <x:c r="H155" s="24" t="str">
        <x:v>Perch-likes</x:v>
      </x:c>
      <x:c r="I155" s="31" t="n">
        <x:v>1.7054318238</x:v>
      </x:c>
      <x:c r="J155" s="31" t="n">
        <x:v>1.7054318238</x:v>
      </x:c>
      <x:c r="K155" s="31" t="n">
        <x:v>0</x:v>
      </x:c>
      <x:c r="L155" s="31" t="n">
        <x:v>0.6216719472</x:v>
      </x:c>
      <x:c r="M155" s="31" t="n">
        <x:v>1.0837598766</x:v>
      </x:c>
      <x:c r="N155" s="24" t="str">
        <x:v>pampus argenteus</x:v>
      </x:c>
      <x:c r="O155" s="32" t="n">
        <x:v>3.3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Pampus argenteus</x:v>
      </x:c>
      <x:c r="T155" s="32" t="n">
        <x:f>IF(O155="","",(1/'Metadata'!$B$5)^(O155-1))</x:f>
        <x:v>199.52623149688787</x:v>
      </x:c>
      <x:c r="U155" s="31" t="n">
        <x:f>IF(T155="","",I155*T155)</x:f>
        <x:v>340.2783848776785</x:v>
      </x:c>
    </x:row>
    <x:row r="156" ht="18" customHeight="1">
      <x:c r="A156" s="24" t="str">
        <x:v>EEZ_460</x:v>
      </x:c>
      <x:c r="B156" s="24" t="str">
        <x:v>Malaysia (Peninsula East)</x:v>
      </x:c>
      <x:c r="C156" s="24" t="str">
        <x:v>EEZ</x:v>
      </x:c>
      <x:c r="D156" s="30" t="n">
        <x:v>2019</x:v>
      </x:c>
      <x:c r="E156" s="24" t="str">
        <x:v>Plotosidae</x:v>
      </x:c>
      <x:c r="F156" s="24" t="str">
        <x:v>Eeltail catfishes</x:v>
      </x:c>
      <x:c r="G156" s="24" t="str">
        <x:v>Medium reef assoc. fish (30 - 89 cm)</x:v>
      </x:c>
      <x:c r="H156" s="24" t="str">
        <x:v>Other fishes &amp; inverts</x:v>
      </x:c>
      <x:c r="I156" s="31" t="n">
        <x:v>1.6453189547</x:v>
      </x:c>
      <x:c r="J156" s="31" t="n">
        <x:v>1.6453189547</x:v>
      </x:c>
      <x:c r="K156" s="31" t="n">
        <x:v>0</x:v>
      </x:c>
      <x:c r="L156" s="31" t="n">
        <x:v>1.4344848214</x:v>
      </x:c>
      <x:c r="M156" s="31" t="n">
        <x:v>0.2108341333</x:v>
      </x:c>
      <x:c r="N156" s="24" t="str">
        <x:v>plotosidae</x:v>
      </x:c>
      <x:c r="O156" s="32" t="n">
        <x:v>3.49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Plotosidae</x:v>
      </x:c>
      <x:c r="T156" s="32" t="n">
        <x:f>IF(O156="","",(1/'Metadata'!$B$5)^(O156-1))</x:f>
        <x:v>309.0295432513592</x:v>
      </x:c>
      <x:c r="U156" s="31" t="n">
        <x:f>IF(T156="","",I156*T156)</x:f>
        <x:v>508.45216507374477</x:v>
      </x:c>
    </x:row>
    <x:row r="157" ht="18" customHeight="1">
      <x:c r="A157" s="24" t="str">
        <x:v>EEZ_460</x:v>
      </x:c>
      <x:c r="B157" s="24" t="str">
        <x:v>Malaysia (Peninsula East)</x:v>
      </x:c>
      <x:c r="C157" s="24" t="str">
        <x:v>EEZ</x:v>
      </x:c>
      <x:c r="D157" s="30" t="n">
        <x:v>2019</x:v>
      </x:c>
      <x:c r="E157" s="24" t="str">
        <x:v>Psettodes erumei</x:v>
      </x:c>
      <x:c r="F157" s="24" t="str">
        <x:v>Indian halibut</x:v>
      </x:c>
      <x:c r="G157" s="24" t="str">
        <x:v>Small to medium flatfishes (&lt;90 cm)</x:v>
      </x:c>
      <x:c r="H157" s="24" t="str">
        <x:v>Flatfishes</x:v>
      </x:c>
      <x:c r="I157" s="31" t="n">
        <x:v>0.7886882911</x:v>
      </x:c>
      <x:c r="J157" s="31" t="n">
        <x:v>0.7886882911</x:v>
      </x:c>
      <x:c r="K157" s="31" t="n">
        <x:v>0</x:v>
      </x:c>
      <x:c r="L157" s="31" t="n">
        <x:v>0.7886882911</x:v>
      </x:c>
      <x:c r="M157" s="31" t="n">
        <x:v>0</x:v>
      </x:c>
      <x:c r="N157" s="24" t="str">
        <x:v>psettodes erumei</x:v>
      </x:c>
      <x:c r="O157" s="32" t="n">
        <x:v>4.39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Psettodes erumei</x:v>
      </x:c>
      <x:c r="T157" s="32" t="n">
        <x:f>IF(O157="","",(1/'Metadata'!$B$5)^(O157-1))</x:f>
        <x:v>2454.7089156850284</x:v>
      </x:c>
      <x:c r="U157" s="31" t="n">
        <x:f>IF(T157="","",I157*T157)</x:f>
        <x:v>1936.0001798595592</x:v>
      </x:c>
    </x:row>
    <x:row r="158" ht="18" customHeight="1">
      <x:c r="A158" s="24" t="str">
        <x:v>EEZ_460</x:v>
      </x:c>
      <x:c r="B158" s="24" t="str">
        <x:v>Malaysia (Peninsula East)</x:v>
      </x:c>
      <x:c r="C158" s="24" t="str">
        <x:v>EEZ</x:v>
      </x:c>
      <x:c r="D158" s="30" t="n">
        <x:v>2019</x:v>
      </x:c>
      <x:c r="E158" s="24" t="str">
        <x:v>Scyllaridae</x:v>
      </x:c>
      <x:c r="F158" s="24" t="str">
        <x:v>Slipper lobsters</x:v>
      </x:c>
      <x:c r="G158" s="24" t="str">
        <x:v>Lobsters, crabs</x:v>
      </x:c>
      <x:c r="H158" s="24" t="str">
        <x:v>Crustaceans</x:v>
      </x:c>
      <x:c r="I158" s="31" t="n">
        <x:v>0.6274578956000001</x:v>
      </x:c>
      <x:c r="J158" s="31" t="n">
        <x:v>0.6274578956000001</x:v>
      </x:c>
      <x:c r="K158" s="31" t="n">
        <x:v>0</x:v>
      </x:c>
      <x:c r="L158" s="31" t="n">
        <x:v>0.6274578956000001</x:v>
      </x:c>
      <x:c r="M158" s="31" t="n">
        <x:v>0</x:v>
      </x:c>
      <x:c r="N158" s="24" t="str">
        <x:v>scyllaridae</x:v>
      </x:c>
      <x:c r="O158" s="32" t="n">
        <x:v>2.87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Scyllaridae</x:v>
      </x:c>
      <x:c r="T158" s="32" t="n">
        <x:f>IF(O158="","",(1/'Metadata'!$B$5)^(O158-1))</x:f>
        <x:v>74.13102413009177</x:v>
      </x:c>
      <x:c r="U158" s="31" t="n">
        <x:f>IF(T158="","",I158*T158)</x:f>
        <x:v>46.51409639934021</x:v>
      </x:c>
    </x:row>
  </x:sheetData>
  <x:conditionalFormatting sqref="R2:R15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4f14259b1ad44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3</x:v>
      </x:c>
      <x:c r="C2" s="33" t="n">
        <x:v>3</x:v>
      </x:c>
      <x:c r="D2" s="31" t="n">
        <x:v>18738.5073433504</x:v>
      </x:c>
      <x:c r="E2" s="31" t="n">
        <x:v>18738.5073433504</x:v>
      </x:c>
      <x:c r="F2" s="32" t="n">
        <x:v>0</x:v>
      </x:c>
      <x:c r="G2" s="34" t="n">
        <x:v>1</x:v>
      </x:c>
      <x:c r="H2" s="32" t="n">
        <x:f>IF(E2=0,"",I2/E2)</x:f>
        <x:v>272.6013668638015</x:v>
      </x:c>
      <x:c r="I2" s="31" t="n">
        <x:f>IF(C2=0,"",SUMIF('Species'!$H$2:$H$158,A2,'Species'!$U$2:$U$158))</x:f>
        <x:v>5108142.714784701</x:v>
      </x:c>
      <x:c r="J2" s="32" t="n">
        <x:v>3.4342736437850108</x:v>
      </x:c>
      <x:c r="K2" s="32" t="n">
        <x:f>IF(J2="","",(1/'Metadata'!$B$5)^(J2-1))</x:f>
        <x:v>271.8151404238601</x:v>
      </x:c>
      <x:c r="L2" s="31" t="n">
        <x:f>IF(E2=0,"",E2*K2)</x:f>
        <x:v>5093410.0048663225</x:v>
      </x:c>
      <x:c r="M2" s="31" t="n">
        <x:f>IF(E2=0,"",I2-L2)</x:f>
        <x:v>14732.709918378852</x:v>
      </x:c>
      <x:c r="N2" s="32" t="n">
        <x:f>IF(L2=0,"",I2/L2)</x:f>
        <x:v>1.002892504217077</x:v>
      </x:c>
      <x:c r="O2" s="34" t="n">
        <x:f>IF(L2=0,"",M2/L2)</x:f>
        <x:v>0.0028925042170771633</x:v>
      </x:c>
    </x:row>
    <x:row r="3" ht="18" customHeight="1">
      <x:c r="A3" s="24" t="str">
        <x:v>Crustaceans</x:v>
      </x:c>
      <x:c r="B3" s="33" t="n">
        <x:v>18</x:v>
      </x:c>
      <x:c r="C3" s="33" t="n">
        <x:v>18</x:v>
      </x:c>
      <x:c r="D3" s="31" t="n">
        <x:v>14152.839644279702</x:v>
      </x:c>
      <x:c r="E3" s="31" t="n">
        <x:v>14152.839644279702</x:v>
      </x:c>
      <x:c r="F3" s="32" t="n">
        <x:v>0</x:v>
      </x:c>
      <x:c r="G3" s="34" t="n">
        <x:v>1</x:v>
      </x:c>
      <x:c r="H3" s="32" t="n">
        <x:f>IF(E3=0,"",I3/E3)</x:f>
        <x:v>179.8347198709748</x:v>
      </x:c>
      <x:c r="I3" s="31" t="n">
        <x:f>IF(C3=0,"",SUMIF('Species'!$H$2:$H$158,A3,'Species'!$U$2:$U$158))</x:f>
        <x:v>2545171.952807867</x:v>
      </x:c>
      <x:c r="J3" s="32" t="n">
        <x:v>2.9726057131647483</x:v>
      </x:c>
      <x:c r="K3" s="32" t="n">
        <x:f>IF(J3="","",(1/'Metadata'!$B$5)^(J3-1))</x:f>
        <x:v>93.88705426788984</x:v>
      </x:c>
      <x:c r="L3" s="31" t="n">
        <x:f>IF(E3=0,"",E3*K3)</x:f>
        <x:v>1328768.423727231</x:v>
      </x:c>
      <x:c r="M3" s="31" t="n">
        <x:f>IF(E3=0,"",I3-L3)</x:f>
        <x:v>1216403.5290806359</x:v>
      </x:c>
      <x:c r="N3" s="32" t="n">
        <x:f>IF(L3=0,"",I3/L3)</x:f>
        <x:v>1.915436811531532</x:v>
      </x:c>
      <x:c r="O3" s="34" t="n">
        <x:f>IF(L3=0,"",M3/L3)</x:f>
        <x:v>0.9154368115315318</x:v>
      </x:c>
    </x:row>
    <x:row r="4" ht="18" customHeight="1">
      <x:c r="A4" s="24" t="str">
        <x:v>Flatfishes</x:v>
      </x:c>
      <x:c r="B4" s="33" t="n">
        <x:v>5</x:v>
      </x:c>
      <x:c r="C4" s="33" t="n">
        <x:v>5</x:v>
      </x:c>
      <x:c r="D4" s="31" t="n">
        <x:v>2742.5318918064995</x:v>
      </x:c>
      <x:c r="E4" s="31" t="n">
        <x:v>2742.5318918064995</x:v>
      </x:c>
      <x:c r="F4" s="32" t="n">
        <x:v>0</x:v>
      </x:c>
      <x:c r="G4" s="34" t="n">
        <x:v>1</x:v>
      </x:c>
      <x:c r="H4" s="32" t="n">
        <x:f>IF(E4=0,"",I4/E4)</x:f>
        <x:v>510.3653396735814</x:v>
      </x:c>
      <x:c r="I4" s="31" t="n">
        <x:f>IF(C4=0,"",SUMIF('Species'!$H$2:$H$158,A4,'Species'!$U$2:$U$158))</x:f>
        <x:v>1399693.2205274538</x:v>
      </x:c>
      <x:c r="J4" s="32" t="n">
        <x:v>3.6352391279386467</x:v>
      </x:c>
      <x:c r="K4" s="32" t="n">
        <x:f>IF(J4="","",(1/'Metadata'!$B$5)^(J4-1))</x:f>
        <x:v>431.75674201858703</x:v>
      </x:c>
      <x:c r="L4" s="31" t="n">
        <x:f>IF(E4=0,"",E4*K4)</x:f>
        <x:v>1184106.6344884462</x:v>
      </x:c>
      <x:c r="M4" s="31" t="n">
        <x:f>IF(E4=0,"",I4-L4)</x:f>
        <x:v>215586.58603900764</x:v>
      </x:c>
      <x:c r="N4" s="32" t="n">
        <x:f>IF(L4=0,"",I4/L4)</x:f>
        <x:v>1.1820668677632606</x:v>
      </x:c>
      <x:c r="O4" s="34" t="n">
        <x:f>IF(L4=0,"",M4/L4)</x:f>
        <x:v>0.18206686776326073</x:v>
      </x:c>
    </x:row>
    <x:row r="5" ht="18" customHeight="1">
      <x:c r="A5" s="24" t="str">
        <x:v>Herring-likes</x:v>
      </x:c>
      <x:c r="B5" s="33" t="n">
        <x:v>9</x:v>
      </x:c>
      <x:c r="C5" s="33" t="n">
        <x:v>9</x:v>
      </x:c>
      <x:c r="D5" s="31" t="n">
        <x:v>32948.735347360096</x:v>
      </x:c>
      <x:c r="E5" s="31" t="n">
        <x:v>32948.735347360096</x:v>
      </x:c>
      <x:c r="F5" s="32" t="n">
        <x:v>0</x:v>
      </x:c>
      <x:c r="G5" s="34" t="n">
        <x:v>1</x:v>
      </x:c>
      <x:c r="H5" s="32" t="n">
        <x:f>IF(E5=0,"",I5/E5)</x:f>
        <x:v>325.3742071282332</x:v>
      </x:c>
      <x:c r="I5" s="31" t="n">
        <x:f>IF(C5=0,"",SUMIF('Species'!$H$2:$H$158,A5,'Species'!$U$2:$U$158))</x:f>
        <x:v>10720668.639525283</x:v>
      </x:c>
      <x:c r="J5" s="32" t="n">
        <x:v>3.0333451159140346</x:v>
      </x:c>
      <x:c r="K5" s="32" t="n">
        <x:f>IF(J5="","",(1/'Metadata'!$B$5)^(J5-1))</x:f>
        <x:v>107.98044574514212</x:v>
      </x:c>
      <x:c r="L5" s="31" t="n">
        <x:f>IF(E5=0,"",E5*K5)</x:f>
        <x:v>3557819.1295466633</x:v>
      </x:c>
      <x:c r="M5" s="31" t="n">
        <x:f>IF(E5=0,"",I5-L5)</x:f>
        <x:v>7162849.50997862</x:v>
      </x:c>
      <x:c r="N5" s="32" t="n">
        <x:f>IF(L5=0,"",I5/L5)</x:f>
        <x:v>3.013269716409476</x:v>
      </x:c>
      <x:c r="O5" s="34" t="n">
        <x:f>IF(L5=0,"",M5/L5)</x:f>
        <x:v>2.0132697164094764</x:v>
      </x:c>
    </x:row>
    <x:row r="6" ht="18" customHeight="1">
      <x:c r="A6" s="24" t="str">
        <x:v>Molluscs</x:v>
      </x:c>
      <x:c r="B6" s="33" t="n">
        <x:v>4</x:v>
      </x:c>
      <x:c r="C6" s="33" t="n">
        <x:v>4</x:v>
      </x:c>
      <x:c r="D6" s="31" t="n">
        <x:v>652.9632883130001</x:v>
      </x:c>
      <x:c r="E6" s="31" t="n">
        <x:v>652.9632883130001</x:v>
      </x:c>
      <x:c r="F6" s="32" t="n">
        <x:v>0</x:v>
      </x:c>
      <x:c r="G6" s="34" t="n">
        <x:v>1</x:v>
      </x:c>
      <x:c r="H6" s="32" t="n">
        <x:f>IF(E6=0,"",I6/E6)</x:f>
        <x:v>12.350017497145966</x:v>
      </x:c>
      <x:c r="I6" s="31" t="n">
        <x:f>IF(C6=0,"",SUMIF('Species'!$H$2:$H$158,A6,'Species'!$U$2:$U$158))</x:f>
        <x:v>8064.108035659518</x:v>
      </x:c>
      <x:c r="J6" s="32" t="n">
        <x:v>2.090760403965838</x:v>
      </x:c>
      <x:c r="K6" s="32" t="n">
        <x:f>IF(J6="","",(1/'Metadata'!$B$5)^(J6-1))</x:f>
        <x:v>12.324247289277562</x:v>
      </x:c>
      <x:c r="L6" s="31" t="n">
        <x:f>IF(E6=0,"",E6*K6)</x:f>
        <x:v>8047.281035989255</x:v>
      </x:c>
      <x:c r="M6" s="31" t="n">
        <x:f>IF(E6=0,"",I6-L6)</x:f>
        <x:v>16.82699967026292</x:v>
      </x:c>
      <x:c r="N6" s="32" t="n">
        <x:f>IF(L6=0,"",I6/L6)</x:f>
        <x:v>1.0020910167788362</x:v>
      </x:c>
      <x:c r="O6" s="34" t="n">
        <x:f>IF(L6=0,"",M6/L6)</x:f>
        <x:v>0.0020910167788360796</x:v>
      </x:c>
    </x:row>
    <x:row r="7" ht="18" customHeight="1">
      <x:c r="A7" s="24" t="str">
        <x:v>Other fishes &amp; inverts</x:v>
      </x:c>
      <x:c r="B7" s="33" t="n">
        <x:v>27</x:v>
      </x:c>
      <x:c r="C7" s="33" t="n">
        <x:v>27</x:v>
      </x:c>
      <x:c r="D7" s="31" t="n">
        <x:v>101889.59135941452</x:v>
      </x:c>
      <x:c r="E7" s="31" t="n">
        <x:v>101889.59135941452</x:v>
      </x:c>
      <x:c r="F7" s="32" t="n">
        <x:v>0</x:v>
      </x:c>
      <x:c r="G7" s="34" t="n">
        <x:v>1</x:v>
      </x:c>
      <x:c r="H7" s="32" t="n">
        <x:f>IF(E7=0,"",I7/E7)</x:f>
        <x:v>701.7856826912848</x:v>
      </x:c>
      <x:c r="I7" s="31" t="n">
        <x:f>IF(C7=0,"",SUMIF('Species'!$H$2:$H$158,A7,'Species'!$U$2:$U$158))</x:f>
        <x:v>71504656.43130276</x:v>
      </x:c>
      <x:c r="J7" s="32" t="n">
        <x:v>3.597737407340766</x:v>
      </x:c>
      <x:c r="K7" s="32" t="n">
        <x:f>IF(J7="","",(1/'Metadata'!$B$5)^(J7-1))</x:f>
        <x:v>396.03850035838315</x:v>
      </x:c>
      <x:c r="L7" s="31" t="n">
        <x:f>IF(E7=0,"",E7*K7)</x:f>
        <x:v>40352200.964111</x:v>
      </x:c>
      <x:c r="M7" s="31" t="n">
        <x:f>IF(E7=0,"",I7-L7)</x:f>
        <x:v>31152455.467191756</x:v>
      </x:c>
      <x:c r="N7" s="32" t="n">
        <x:f>IF(L7=0,"",I7/L7)</x:f>
        <x:v>1.7720137866803984</x:v>
      </x:c>
      <x:c r="O7" s="34" t="n">
        <x:f>IF(L7=0,"",M7/L7)</x:f>
        <x:v>0.7720137866803983</x:v>
      </x:c>
    </x:row>
    <x:row r="8" ht="18" customHeight="1">
      <x:c r="A8" s="24" t="str">
        <x:v>Perch-likes</x:v>
      </x:c>
      <x:c r="B8" s="33" t="n">
        <x:v>78</x:v>
      </x:c>
      <x:c r="C8" s="33" t="n">
        <x:v>78</x:v>
      </x:c>
      <x:c r="D8" s="31" t="n">
        <x:v>301318.95078837406</x:v>
      </x:c>
      <x:c r="E8" s="31" t="n">
        <x:v>301318.95078837406</x:v>
      </x:c>
      <x:c r="F8" s="32" t="n">
        <x:v>0</x:v>
      </x:c>
      <x:c r="G8" s="34" t="n">
        <x:v>1</x:v>
      </x:c>
      <x:c r="H8" s="32" t="n">
        <x:f>IF(E8=0,"",I8/E8)</x:f>
        <x:v>643.271776338047</x:v>
      </x:c>
      <x:c r="I8" s="31" t="n">
        <x:f>IF(C8=0,"",SUMIF('Species'!$H$2:$H$158,A8,'Species'!$U$2:$U$158))</x:f>
        <x:v>193829976.71795392</x:v>
      </x:c>
      <x:c r="J8" s="32" t="n">
        <x:v>3.6382595024603477</x:v>
      </x:c>
      <x:c r="K8" s="32" t="n">
        <x:f>IF(J8="","",(1/'Metadata'!$B$5)^(J8-1))</x:f>
        <x:v>434.7699331274051</x:v>
      </x:c>
      <x:c r="L8" s="31" t="n">
        <x:f>IF(E8=0,"",E8*K8)</x:f>
        <x:v>131004420.08428127</x:v>
      </x:c>
      <x:c r="M8" s="31" t="n">
        <x:f>IF(E8=0,"",I8-L8)</x:f>
        <x:v>62825556.633672655</x:v>
      </x:c>
      <x:c r="N8" s="32" t="n">
        <x:f>IF(L8=0,"",I8/L8)</x:f>
        <x:v>1.4795682206238083</x:v>
      </x:c>
      <x:c r="O8" s="34" t="n">
        <x:f>IF(L8=0,"",M8/L8)</x:f>
        <x:v>0.4795682206238083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1307.1795176977998</x:v>
      </x:c>
      <x:c r="E9" s="31" t="n">
        <x:v>1307.1795176977998</x:v>
      </x:c>
      <x:c r="F9" s="32" t="n">
        <x:v>0</x:v>
      </x:c>
      <x:c r="G9" s="34" t="n">
        <x:v>1</x:v>
      </x:c>
      <x:c r="H9" s="32" t="n">
        <x:f>IF(E9=0,"",I9/E9)</x:f>
        <x:v>810.6501127612592</x:v>
      </x:c>
      <x:c r="I9" s="31" t="n">
        <x:f>IF(C9=0,"",SUMIF('Species'!$H$2:$H$158,A9,'Species'!$U$2:$U$158))</x:f>
        <x:v>1059665.2234209299</x:v>
      </x:c>
      <x:c r="J9" s="32" t="n">
        <x:v>3.908719991546001</x:v>
      </x:c>
      <x:c r="K9" s="32" t="n">
        <x:f>IF(J9="","",(1/'Metadata'!$B$5)^(J9-1))</x:f>
        <x:v>810.4383646712112</x:v>
      </x:c>
      <x:c r="L9" s="31" t="n">
        <x:f>IF(E9=0,"",E9*K9)</x:f>
        <x:v>1059388.4306547074</x:v>
      </x:c>
      <x:c r="M9" s="31" t="n">
        <x:f>IF(E9=0,"",I9-L9)</x:f>
        <x:v>276.79276622249745</x:v>
      </x:c>
      <x:c r="N9" s="32" t="n">
        <x:f>IF(L9=0,"",I9/L9)</x:f>
        <x:v>1.0002612759949165</x:v>
      </x:c>
      <x:c r="O9" s="34" t="n">
        <x:f>IF(L9=0,"",M9/L9)</x:f>
        <x:v>0.0002612759949166503</x:v>
      </x:c>
    </x:row>
    <x:row r="10" ht="18" customHeight="1">
      <x:c r="A10" s="24" t="str">
        <x:v>Sharks &amp; rays</x:v>
      </x:c>
      <x:c r="B10" s="33" t="n">
        <x:v>4</x:v>
      </x:c>
      <x:c r="C10" s="33" t="n">
        <x:v>4</x:v>
      </x:c>
      <x:c r="D10" s="31" t="n">
        <x:v>10507.836627384699</x:v>
      </x:c>
      <x:c r="E10" s="31" t="n">
        <x:v>10507.836627384699</x:v>
      </x:c>
      <x:c r="F10" s="32" t="n">
        <x:v>0</x:v>
      </x:c>
      <x:c r="G10" s="34" t="n">
        <x:v>1</x:v>
      </x:c>
      <x:c r="H10" s="32" t="n">
        <x:f>IF(E10=0,"",I10/E10)</x:f>
        <x:v>1114.3954185759246</x:v>
      </x:c>
      <x:c r="I10" s="31" t="n">
        <x:f>IF(C10=0,"",SUMIF('Species'!$H$2:$H$158,A10,'Species'!$U$2:$U$158))</x:f>
        <x:v>11709884.996701803</x:v>
      </x:c>
      <x:c r="J10" s="32" t="n">
        <x:v>4.000025221130852</x:v>
      </x:c>
      <x:c r="K10" s="32" t="n">
        <x:f>IF(J10="","",(1/'Metadata'!$B$5)^(J10-1))</x:f>
        <x:v>1000.0580754862445</x:v>
      </x:c>
      <x:c r="L10" s="31" t="n">
        <x:f>IF(E10=0,"",E10*K10)</x:f>
        <x:v>10508446.875106212</x:v>
      </x:c>
      <x:c r="M10" s="31" t="n">
        <x:f>IF(E10=0,"",I10-L10)</x:f>
        <x:v>1201438.1215955913</x:v>
      </x:c>
      <x:c r="N10" s="32" t="n">
        <x:f>IF(L10=0,"",I10/L10)</x:f>
        <x:v>1.1143307032784946</x:v>
      </x:c>
      <x:c r="O10" s="34" t="n">
        <x:f>IF(L10=0,"",M10/L10)</x:f>
        <x:v>0.11433070327849452</x:v>
      </x:c>
    </x:row>
    <x:row r="11" ht="18" customHeight="1">
      <x:c r="A11" s="24" t="str">
        <x:v>Tuna &amp; billfishes</x:v>
      </x:c>
      <x:c r="B11" s="33" t="n">
        <x:v>7</x:v>
      </x:c>
      <x:c r="C11" s="33" t="n">
        <x:v>7</x:v>
      </x:c>
      <x:c r="D11" s="31" t="n">
        <x:v>9230.398757401501</x:v>
      </x:c>
      <x:c r="E11" s="31" t="n">
        <x:v>9230.398757401501</x:v>
      </x:c>
      <x:c r="F11" s="32" t="n">
        <x:v>0</x:v>
      </x:c>
      <x:c r="G11" s="34" t="n">
        <x:v>1</x:v>
      </x:c>
      <x:c r="H11" s="32" t="n">
        <x:f>IF(E11=0,"",I11/E11)</x:f>
        <x:v>3056.5484569087507</x:v>
      </x:c>
      <x:c r="I11" s="31" t="n">
        <x:f>IF(C11=0,"",SUMIF('Species'!$H$2:$H$158,A11,'Species'!$U$2:$U$158))</x:f>
        <x:v>28213161.07858801</x:v>
      </x:c>
      <x:c r="J11" s="32" t="n">
        <x:v>4.483275413354369</x:v>
      </x:c>
      <x:c r="K11" s="32" t="n">
        <x:f>IF(J11="","",(1/'Metadata'!$B$5)^(J11-1))</x:f>
        <x:v>3042.814053080401</x:v>
      </x:c>
      <x:c r="L11" s="31" t="n">
        <x:f>IF(E11=0,"",E11*K11)</x:f>
        <x:v>28086387.05455716</x:v>
      </x:c>
      <x:c r="M11" s="31" t="n">
        <x:f>IF(E11=0,"",I11-L11)</x:f>
        <x:v>126774.02403084934</x:v>
      </x:c>
      <x:c r="N11" s="32" t="n">
        <x:f>IF(L11=0,"",I11/L11)</x:f>
        <x:v>1.004513717758877</x:v>
      </x:c>
      <x:c r="O11" s="34" t="n">
        <x:f>IF(L11=0,"",M11/L11)</x:f>
        <x:v>0.004513717758877057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a659b9fcccf46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7</x:v>
      </x:c>
      <x:c r="C2" s="33" t="n">
        <x:v>7</x:v>
      </x:c>
      <x:c r="D2" s="31" t="n">
        <x:v>17059.0556840509</x:v>
      </x:c>
      <x:c r="E2" s="31" t="n">
        <x:v>17059.0556840509</x:v>
      </x:c>
      <x:c r="F2" s="32" t="n">
        <x:v>0</x:v>
      </x:c>
      <x:c r="G2" s="34" t="n">
        <x:v>1</x:v>
      </x:c>
      <x:c r="H2" s="32" t="n">
        <x:f>IF(E2=0,"",I2/E2)</x:f>
        <x:v>491.9255957339512</x:v>
      </x:c>
      <x:c r="I2" s="31" t="n">
        <x:f>IF(C2=0,"",SUMIF('Species'!$G$2:$G$158,A2,'Species'!$U$2:$U$158))</x:f>
        <x:v>8391786.130035385</x:v>
      </x:c>
      <x:c r="J2" s="32" t="n">
        <x:v>3.6912227206928723</x:v>
      </x:c>
      <x:c r="K2" s="32" t="n">
        <x:f>IF(J2="","",(1/'Metadata'!$B$5)^(J2-1))</x:f>
        <x:v>491.1596946468925</x:v>
      </x:c>
      <x:c r="L2" s="31" t="n">
        <x:f>IF(E2=0,"",E2*K2)</x:f>
        <x:v>8378720.580742776</x:v>
      </x:c>
      <x:c r="M2" s="31" t="n">
        <x:f>IF(E2=0,"",I2-L2)</x:f>
        <x:v>13065.549292609096</x:v>
      </x:c>
      <x:c r="N2" s="32" t="n">
        <x:f>IF(L2=0,"",I2/L2)</x:f>
        <x:v>1.0015593728382157</x:v>
      </x:c>
      <x:c r="O2" s="34" t="n">
        <x:f>IF(L2=0,"",M2/L2)</x:f>
        <x:v>0.0015593728382156922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6441.3756836849</x:v>
      </x:c>
      <x:c r="E3" s="31" t="n">
        <x:v>6441.3756836849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IF(C3=0,"",SUMIF('Species'!$G$2:$G$158,A3,'Species'!$U$2:$U$158))</x:f>
        <x:v>1857713.0395220928</x:v>
      </x:c>
      <x:c r="J3" s="32" t="n">
        <x:v>3.4600000000000004</x:v>
      </x:c>
      <x:c r="K3" s="32" t="n">
        <x:f>IF(J3="","",(1/'Metadata'!$B$5)^(J3-1))</x:f>
        <x:v>288.40315031266084</x:v>
      </x:c>
      <x:c r="L3" s="31" t="n">
        <x:f>IF(E3=0,"",E3*K3)</x:f>
        <x:v>1857713.0395220947</x:v>
      </x:c>
      <x:c r="M3" s="31" t="n">
        <x:f>IF(E3=0,"",I3-L3)</x:f>
        <x:v>-1.862645149230957e-9</x:v>
      </x:c>
      <x:c r="N3" s="32" t="n">
        <x:f>IF(L3=0,"",I3/L3)</x:f>
        <x:v>0.999999999999999</x:v>
      </x:c>
      <x:c r="O3" s="34" t="n">
        <x:f>IF(L3=0,"",M3/L3)</x:f>
        <x:v>-1.0026549362597633e-15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7525.6168743616</x:v>
      </x:c>
      <x:c r="E4" s="31" t="n">
        <x:v>7525.6168743616</x:v>
      </x:c>
      <x:c r="F4" s="32" t="n">
        <x:v>0</x:v>
      </x:c>
      <x:c r="G4" s="34" t="n">
        <x:v>1</x:v>
      </x:c>
      <x:c r="H4" s="32" t="n">
        <x:f>IF(E4=0,"",I4/E4)</x:f>
        <x:v>2627.958327030852</x:v>
      </x:c>
      <x:c r="I4" s="31" t="n">
        <x:f>IF(C4=0,"",SUMIF('Species'!$G$2:$G$158,A4,'Species'!$U$2:$U$158))</x:f>
        <x:v>19777007.53102246</x:v>
      </x:c>
      <x:c r="J4" s="32" t="n">
        <x:v>4.419513929099428</x:v>
      </x:c>
      <x:c r="K4" s="32" t="n">
        <x:f>IF(J4="","",(1/'Metadata'!$B$5)^(J4-1))</x:f>
        <x:v>2627.3257911713376</x:v>
      </x:c>
      <x:c r="L4" s="31" t="n">
        <x:f>IF(E4=0,"",E4*K4)</x:f>
        <x:v>19772247.30848446</x:v>
      </x:c>
      <x:c r="M4" s="31" t="n">
        <x:f>IF(E4=0,"",I4-L4)</x:f>
        <x:v>4760.22253799811</x:v>
      </x:c>
      <x:c r="N4" s="32" t="n">
        <x:f>IF(L4=0,"",I4/L4)</x:f>
        <x:v>1.000240752731024</x:v>
      </x:c>
      <x:c r="O4" s="34" t="n">
        <x:f>IF(L4=0,"",M4/L4)</x:f>
        <x:v>0.0002407527310239263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789.4932266281</x:v>
      </x:c>
      <x:c r="E5" s="31" t="n">
        <x:v>789.4932266281</x:v>
      </x:c>
      <x:c r="F5" s="32" t="n">
        <x:v>0</x:v>
      </x:c>
      <x:c r="G5" s="34" t="n">
        <x:v>1</x:v>
      </x:c>
      <x:c r="H5" s="32" t="n">
        <x:f>IF(E5=0,"",I5/E5)</x:f>
        <x:v>1295.738538959777</x:v>
      </x:c>
      <x:c r="I5" s="31" t="n">
        <x:f>IF(C5=0,"",SUMIF('Species'!$G$2:$G$158,A5,'Species'!$U$2:$U$158))</x:f>
        <x:v>1022976.7999897345</x:v>
      </x:c>
      <x:c r="J5" s="32" t="n">
        <x:v>4.0783523241801625</x:v>
      </x:c>
      <x:c r="K5" s="32" t="n">
        <x:f>IF(J5="","",(1/'Metadata'!$B$5)^(J5-1))</x:f>
        <x:v>1197.7117886446608</x:v>
      </x:c>
      <x:c r="L5" s="31" t="n">
        <x:f>IF(E5=0,"",E5*K5)</x:f>
        <x:v>945585.3445875862</x:v>
      </x:c>
      <x:c r="M5" s="31" t="n">
        <x:f>IF(E5=0,"",I5-L5)</x:f>
        <x:v>77391.4554021483</x:v>
      </x:c>
      <x:c r="N5" s="32" t="n">
        <x:f>IF(L5=0,"",I5/L5)</x:f>
        <x:v>1.0818450241907063</x:v>
      </x:c>
      <x:c r="O5" s="34" t="n">
        <x:f>IF(L5=0,"",M5/L5)</x:f>
        <x:v>0.08184502419070626</x:v>
      </x:c>
    </x:row>
    <x:row r="6" ht="18" customHeight="1">
      <x:c r="A6" s="24" t="str">
        <x:v>Large pelagics (&gt;=90 cm)</x:v>
      </x:c>
      <x:c r="B6" s="33" t="n">
        <x:v>13</x:v>
      </x:c>
      <x:c r="C6" s="33" t="n">
        <x:v>13</x:v>
      </x:c>
      <x:c r="D6" s="31" t="n">
        <x:v>23150.4103931454</x:v>
      </x:c>
      <x:c r="E6" s="31" t="n">
        <x:v>23150.4103931454</x:v>
      </x:c>
      <x:c r="F6" s="32" t="n">
        <x:v>0</x:v>
      </x:c>
      <x:c r="G6" s="34" t="n">
        <x:v>1</x:v>
      </x:c>
      <x:c r="H6" s="32" t="n">
        <x:f>IF(E6=0,"",I6/E6)</x:f>
        <x:v>2497.2978639360445</x:v>
      </x:c>
      <x:c r="I6" s="31" t="n">
        <x:f>IF(C6=0,"",SUMIF('Species'!$G$2:$G$158,A6,'Species'!$U$2:$U$158))</x:f>
        <x:v>57813470.42404482</x:v>
      </x:c>
      <x:c r="J6" s="32" t="n">
        <x:v>4.3789318948084555</x:v>
      </x:c>
      <x:c r="K6" s="32" t="n">
        <x:f>IF(J6="","",(1/'Metadata'!$B$5)^(J6-1))</x:f>
        <x:v>2392.9404708444918</x:v>
      </x:c>
      <x:c r="L6" s="31" t="n">
        <x:f>IF(E6=0,"",E6*K6)</x:f>
        <x:v>55397553.94641657</x:v>
      </x:c>
      <x:c r="M6" s="31" t="n">
        <x:f>IF(E6=0,"",I6-L6)</x:f>
        <x:v>2415916.477628246</x:v>
      </x:c>
      <x:c r="N6" s="32" t="n">
        <x:f>IF(L6=0,"",I6/L6)</x:f>
        <x:v>1.0436105261969697</x:v>
      </x:c>
      <x:c r="O6" s="34" t="n">
        <x:f>IF(L6=0,"",M6/L6)</x:f>
        <x:v>0.04361052619696977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6644.9710580396995</x:v>
      </x:c>
      <x:c r="E7" s="31" t="n">
        <x:v>6644.9710580396995</x:v>
      </x:c>
      <x:c r="F7" s="32" t="n">
        <x:v>0</x:v>
      </x:c>
      <x:c r="G7" s="34" t="n">
        <x:v>1</x:v>
      </x:c>
      <x:c r="H7" s="32" t="n">
        <x:f>IF(E7=0,"",I7/E7)</x:f>
        <x:v>707.8668000946773</x:v>
      </x:c>
      <x:c r="I7" s="31" t="n">
        <x:f>IF(C7=0,"",SUMIF('Species'!$G$2:$G$158,A7,'Species'!$U$2:$U$158))</x:f>
        <x:v>4703754.3995763045</x:v>
      </x:c>
      <x:c r="J7" s="32" t="n">
        <x:v>3.849943933321011</x:v>
      </x:c>
      <x:c r="K7" s="32" t="n">
        <x:f>IF(J7="","",(1/'Metadata'!$B$5)^(J7-1))</x:f>
        <x:v>707.8543956865993</x:v>
      </x:c>
      <x:c r="L7" s="31" t="n">
        <x:f>IF(E7=0,"",E7*K7)</x:f>
        <x:v>4703671.972643634</x:v>
      </x:c>
      <x:c r="M7" s="31" t="n">
        <x:f>IF(E7=0,"",I7-L7)</x:f>
        <x:v>82.42693267017603</x:v>
      </x:c>
      <x:c r="N7" s="32" t="n">
        <x:f>IF(L7=0,"",I7/L7)</x:f>
        <x:v>1.0000175239542957</x:v>
      </x:c>
      <x:c r="O7" s="34" t="n">
        <x:f>IF(L7=0,"",M7/L7)</x:f>
        <x:v>0.000017523954295615794</x:v>
      </x:c>
    </x:row>
    <x:row r="8" ht="18" customHeight="1">
      <x:c r="A8" s="24" t="str">
        <x:v>Large reef assoc. fish (&gt;=90 cm)</x:v>
      </x:c>
      <x:c r="B8" s="33" t="n">
        <x:v>6</x:v>
      </x:c>
      <x:c r="C8" s="33" t="n">
        <x:v>6</x:v>
      </x:c>
      <x:c r="D8" s="31" t="n">
        <x:v>3041.8088874371997</x:v>
      </x:c>
      <x:c r="E8" s="31" t="n">
        <x:v>3041.8088874371997</x:v>
      </x:c>
      <x:c r="F8" s="32" t="n">
        <x:v>0</x:v>
      </x:c>
      <x:c r="G8" s="34" t="n">
        <x:v>1</x:v>
      </x:c>
      <x:c r="H8" s="32" t="n">
        <x:f>IF(E8=0,"",I8/E8)</x:f>
        <x:v>546.5346070676928</x:v>
      </x:c>
      <x:c r="I8" s="31" t="n">
        <x:f>IF(C8=0,"",SUMIF('Species'!$G$2:$G$158,A8,'Species'!$U$2:$U$158))</x:f>
        <x:v>1662453.8250705057</x:v>
      </x:c>
      <x:c r="J8" s="32" t="n">
        <x:v>3.6610421962288</x:v>
      </x:c>
      <x:c r="K8" s="32" t="n">
        <x:f>IF(J8="","",(1/'Metadata'!$B$5)^(J8-1))</x:f>
        <x:v>458.18640212943365</x:v>
      </x:c>
      <x:c r="L8" s="31" t="n">
        <x:f>IF(E8=0,"",E8*K8)</x:f>
        <x:v>1393715.4701001858</x:v>
      </x:c>
      <x:c r="M8" s="31" t="n">
        <x:f>IF(E8=0,"",I8-L8)</x:f>
        <x:v>268738.3549703199</x:v>
      </x:c>
      <x:c r="N8" s="32" t="n">
        <x:f>IF(L8=0,"",I8/L8)</x:f>
        <x:v>1.1928215340474064</x:v>
      </x:c>
      <x:c r="O8" s="34" t="n">
        <x:f>IF(L8=0,"",M8/L8)</x:f>
        <x:v>0.19282153404740632</x:v>
      </x:c>
    </x:row>
    <x:row r="9" ht="18" customHeight="1">
      <x:c r="A9" s="24" t="str">
        <x:v>Large sharks (&gt;=90 cm)</x:v>
      </x:c>
      <x:c r="B9" s="33" t="n">
        <x:v>2</x:v>
      </x:c>
      <x:c r="C9" s="33" t="n">
        <x:v>2</x:v>
      </x:c>
      <x:c r="D9" s="31" t="n">
        <x:v>3862.865569345</x:v>
      </x:c>
      <x:c r="E9" s="31" t="n">
        <x:v>3862.865569345</x:v>
      </x:c>
      <x:c r="F9" s="32" t="n">
        <x:v>0</x:v>
      </x:c>
      <x:c r="G9" s="34" t="n">
        <x:v>1</x:v>
      </x:c>
      <x:c r="H9" s="32" t="n">
        <x:f>IF(E9=0,"",I9/E9)</x:f>
        <x:v>1813.713283921884</x:v>
      </x:c>
      <x:c r="I9" s="31" t="n">
        <x:f>IF(C9=0,"",SUMIF('Species'!$G$2:$G$158,A9,'Species'!$U$2:$U$158))</x:f>
        <x:v>7006130.597125499</x:v>
      </x:c>
      <x:c r="J9" s="32" t="n">
        <x:v>4.258197760647629</x:v>
      </x:c>
      <x:c r="K9" s="32" t="n">
        <x:f>IF(J9="","",(1/'Metadata'!$B$5)^(J9-1))</x:f>
        <x:v>1812.165093569173</x:v>
      </x:c>
      <x:c r="L9" s="31" t="n">
        <x:f>IF(E9=0,"",E9*K9)</x:f>
        <x:v>7000150.145917219</x:v>
      </x:c>
      <x:c r="M9" s="31" t="n">
        <x:f>IF(E9=0,"",I9-L9)</x:f>
        <x:v>5980.451208279468</x:v>
      </x:c>
      <x:c r="N9" s="32" t="n">
        <x:f>IF(L9=0,"",I9/L9)</x:f>
        <x:v>1.0008543318476915</x:v>
      </x:c>
      <x:c r="O9" s="34" t="n">
        <x:f>IF(L9=0,"",M9/L9)</x:f>
        <x:v>0.0008543318476915124</x:v>
      </x:c>
    </x:row>
    <x:row r="10" ht="18" customHeight="1">
      <x:c r="A10" s="24" t="str">
        <x:v>Lobsters, crabs</x:v>
      </x:c>
      <x:c r="B10" s="33" t="n">
        <x:v>6</x:v>
      </x:c>
      <x:c r="C10" s="33" t="n">
        <x:v>6</x:v>
      </x:c>
      <x:c r="D10" s="31" t="n">
        <x:v>3192.9823745728004</x:v>
      </x:c>
      <x:c r="E10" s="31" t="n">
        <x:v>3192.9823745728004</x:v>
      </x:c>
      <x:c r="F10" s="32" t="n">
        <x:v>0</x:v>
      </x:c>
      <x:c r="G10" s="34" t="n">
        <x:v>1</x:v>
      </x:c>
      <x:c r="H10" s="32" t="n">
        <x:f>IF(E10=0,"",I10/E10)</x:f>
        <x:v>35.63405963009521</x:v>
      </x:c>
      <x:c r="I10" s="31" t="n">
        <x:f>IF(C10=0,"",SUMIF('Species'!$G$2:$G$158,A10,'Species'!$U$2:$U$158))</x:f>
        <x:v>113778.92433337017</x:v>
      </x:c>
      <x:c r="J10" s="32" t="n">
        <x:v>2.5156926994589606</x:v>
      </x:c>
      <x:c r="K10" s="32" t="n">
        <x:f>IF(J10="","",(1/'Metadata'!$B$5)^(J10-1))</x:f>
        <x:v>32.78632197091514</x:v>
      </x:c>
      <x:c r="L10" s="31" t="n">
        <x:f>IF(E10=0,"",E10*K10)</x:f>
        <x:v>104686.148180201</x:v>
      </x:c>
      <x:c r="M10" s="31" t="n">
        <x:f>IF(E10=0,"",I10-L10)</x:f>
        <x:v>9092.77615316918</x:v>
      </x:c>
      <x:c r="N10" s="32" t="n">
        <x:f>IF(L10=0,"",I10/L10)</x:f>
        <x:v>1.086857490806877</x:v>
      </x:c>
      <x:c r="O10" s="34" t="n">
        <x:f>IF(L10=0,"",M10/L10)</x:f>
        <x:v>0.08685749080687707</x:v>
      </x:c>
    </x:row>
    <x:row r="11" ht="18" customHeight="1">
      <x:c r="A11" s="24" t="str">
        <x:v>Medium benthopelagics (30 - 89 cm)</x:v>
      </x:c>
      <x:c r="B11" s="33" t="n">
        <x:v>6</x:v>
      </x:c>
      <x:c r="C11" s="33" t="n">
        <x:v>6</x:v>
      </x:c>
      <x:c r="D11" s="31" t="n">
        <x:v>5509.8521151502</x:v>
      </x:c>
      <x:c r="E11" s="31" t="n">
        <x:v>5509.8521151502</x:v>
      </x:c>
      <x:c r="F11" s="32" t="n">
        <x:v>0</x:v>
      </x:c>
      <x:c r="G11" s="34" t="n">
        <x:v>1</x:v>
      </x:c>
      <x:c r="H11" s="32" t="n">
        <x:f>IF(E11=0,"",I11/E11)</x:f>
        <x:v>448.5523166916654</x:v>
      </x:c>
      <x:c r="I11" s="31" t="n">
        <x:f>IF(C11=0,"",SUMIF('Species'!$G$2:$G$158,A11,'Species'!$U$2:$U$158))</x:f>
        <x:v>2471456.930879095</x:v>
      </x:c>
      <x:c r="J11" s="32" t="n">
        <x:v>3.5874850146694737</x:v>
      </x:c>
      <x:c r="K11" s="32" t="n">
        <x:f>IF(J11="","",(1/'Metadata'!$B$5)^(J11-1))</x:f>
        <x:v>386.79870791388186</x:v>
      </x:c>
      <x:c r="L11" s="31" t="n">
        <x:f>IF(E11=0,"",E11*K11)</x:f>
        <x:v>2131203.6789366663</x:v>
      </x:c>
      <x:c r="M11" s="31" t="n">
        <x:f>IF(E11=0,"",I11-L11)</x:f>
        <x:v>340253.25194242876</x:v>
      </x:c>
      <x:c r="N11" s="32" t="n">
        <x:f>IF(L11=0,"",I11/L11)</x:f>
        <x:v>1.1596530896156267</x:v>
      </x:c>
      <x:c r="O11" s="34" t="n">
        <x:f>IF(L11=0,"",M11/L11)</x:f>
        <x:v>0.15965308961562663</x:v>
      </x:c>
    </x:row>
    <x:row r="12" ht="18" customHeight="1">
      <x:c r="A12" s="24" t="str">
        <x:v>Medium demersals (30 - 89 cm)</x:v>
      </x:c>
      <x:c r="B12" s="33" t="n">
        <x:v>16</x:v>
      </x:c>
      <x:c r="C12" s="33" t="n">
        <x:v>16</x:v>
      </x:c>
      <x:c r="D12" s="31" t="n">
        <x:v>89383.586472884</x:v>
      </x:c>
      <x:c r="E12" s="31" t="n">
        <x:v>89383.586472884</x:v>
      </x:c>
      <x:c r="F12" s="32" t="n">
        <x:v>0</x:v>
      </x:c>
      <x:c r="G12" s="34" t="n">
        <x:v>1</x:v>
      </x:c>
      <x:c r="H12" s="32" t="n">
        <x:f>IF(E12=0,"",I12/E12)</x:f>
        <x:v>742.512391903098</x:v>
      </x:c>
      <x:c r="I12" s="31" t="n">
        <x:f>IF(C12=0,"",SUMIF('Species'!$G$2:$G$158,A12,'Species'!$U$2:$U$158))</x:f>
        <x:v>66368420.58885849</x:v>
      </x:c>
      <x:c r="J12" s="32" t="n">
        <x:v>3.594269742954615</x:v>
      </x:c>
      <x:c r="K12" s="32" t="n">
        <x:f>IF(J12="","",(1/'Metadata'!$B$5)^(J12-1))</x:f>
        <x:v>392.8888853181089</x:v>
      </x:c>
      <x:c r="L12" s="31" t="n">
        <x:f>IF(E12=0,"",E12*K12)</x:f>
        <x:v>35117817.65506619</x:v>
      </x:c>
      <x:c r="M12" s="31" t="n">
        <x:f>IF(E12=0,"",I12-L12)</x:f>
        <x:v>31250602.9337923</x:v>
      </x:c>
      <x:c r="N12" s="32" t="n">
        <x:f>IF(L12=0,"",I12/L12)</x:f>
        <x:v>1.8898788427214241</x:v>
      </x:c>
      <x:c r="O12" s="34" t="n">
        <x:f>IF(L12=0,"",M12/L12)</x:f>
        <x:v>0.8898788427214241</x:v>
      </x:c>
    </x:row>
    <x:row r="13" ht="18" customHeight="1">
      <x:c r="A13" s="24" t="str">
        <x:v>Medium pelagics (30 - 89 cm)</x:v>
      </x:c>
      <x:c r="B13" s="33" t="n">
        <x:v>14</x:v>
      </x:c>
      <x:c r="C13" s="33" t="n">
        <x:v>14</x:v>
      </x:c>
      <x:c r="D13" s="31" t="n">
        <x:v>122585.13128197845</x:v>
      </x:c>
      <x:c r="E13" s="31" t="n">
        <x:v>122585.13128197845</x:v>
      </x:c>
      <x:c r="F13" s="32" t="n">
        <x:v>0</x:v>
      </x:c>
      <x:c r="G13" s="34" t="n">
        <x:v>1</x:v>
      </x:c>
      <x:c r="H13" s="32" t="n">
        <x:f>IF(E13=0,"",I13/E13)</x:f>
        <x:v>614.2508208191333</x:v>
      </x:c>
      <x:c r="I13" s="31" t="n">
        <x:f>IF(C13=0,"",SUMIF('Species'!$G$2:$G$158,A13,'Species'!$U$2:$U$158))</x:f>
        <x:v>75298017.51017648</x:v>
      </x:c>
      <x:c r="J13" s="32" t="n">
        <x:v>3.6222629092925436</x:v>
      </x:c>
      <x:c r="K13" s="32" t="n">
        <x:f>IF(J13="","",(1/'Metadata'!$B$5)^(J13-1))</x:f>
        <x:v>419.04716735866884</x:v>
      </x:c>
      <x:c r="L13" s="31" t="n">
        <x:f>IF(E13=0,"",E13*K13)</x:f>
        <x:v>51368952.02400362</x:v>
      </x:c>
      <x:c r="M13" s="31" t="n">
        <x:f>IF(E13=0,"",I13-L13)</x:f>
        <x:v>23929065.486172862</x:v>
      </x:c>
      <x:c r="N13" s="32" t="n">
        <x:f>IF(L13=0,"",I13/L13)</x:f>
        <x:v>1.4658274024159832</x:v>
      </x:c>
      <x:c r="O13" s="34" t="n">
        <x:f>IF(L13=0,"",M13/L13)</x:f>
        <x:v>0.4658274024159831</x:v>
      </x:c>
    </x:row>
    <x:row r="14" ht="18" customHeight="1">
      <x:c r="A14" s="24" t="str">
        <x:v>Medium reef assoc. fish (30 - 89 cm)</x:v>
      </x:c>
      <x:c r="B14" s="33" t="n">
        <x:v>27</x:v>
      </x:c>
      <x:c r="C14" s="33" t="n">
        <x:v>27</x:v>
      </x:c>
      <x:c r="D14" s="31" t="n">
        <x:v>57467.376972075304</x:v>
      </x:c>
      <x:c r="E14" s="31" t="n">
        <x:v>57467.376972075304</x:v>
      </x:c>
      <x:c r="F14" s="32" t="n">
        <x:v>0</x:v>
      </x:c>
      <x:c r="G14" s="34" t="n">
        <x:v>1</x:v>
      </x:c>
      <x:c r="H14" s="32" t="n">
        <x:f>IF(E14=0,"",I14/E14)</x:f>
        <x:v>537.6990439761194</x:v>
      </x:c>
      <x:c r="I14" s="31" t="n">
        <x:f>IF(C14=0,"",SUMIF('Species'!$G$2:$G$158,A14,'Species'!$U$2:$U$158))</x:f>
        <x:v>30900153.657700147</x:v>
      </x:c>
      <x:c r="J14" s="32" t="n">
        <x:v>3.601181039777794</x:v>
      </x:c>
      <x:c r="K14" s="32" t="n">
        <x:f>IF(J14="","",(1/'Metadata'!$B$5)^(J14-1))</x:f>
        <x:v>399.1912743553326</x:v>
      </x:c>
      <x:c r="L14" s="31" t="n">
        <x:f>IF(E14=0,"",E14*K14)</x:f>
        <x:v>22940475.447341036</x:v>
      </x:c>
      <x:c r="M14" s="31" t="n">
        <x:f>IF(E14=0,"",I14-L14)</x:f>
        <x:v>7959678.210359111</x:v>
      </x:c>
      <x:c r="N14" s="32" t="n">
        <x:f>IF(L14=0,"",I14/L14)</x:f>
        <x:v>1.3469709347842524</x:v>
      </x:c>
      <x:c r="O14" s="34" t="n">
        <x:f>IF(L14=0,"",M14/L14)</x:f>
        <x:v>0.34697093478425245</x:v>
      </x:c>
    </x:row>
    <x:row r="15" ht="18" customHeight="1">
      <x:c r="A15" s="24" t="str">
        <x:v>Other demersal invertebrates</x:v>
      </x:c>
      <x:c r="B15" s="33" t="n">
        <x:v>6</x:v>
      </x:c>
      <x:c r="C15" s="33" t="n">
        <x:v>6</x:v>
      </x:c>
      <x:c r="D15" s="31" t="n">
        <x:v>665.2266555862001</x:v>
      </x:c>
      <x:c r="E15" s="31" t="n">
        <x:v>665.2266555862001</x:v>
      </x:c>
      <x:c r="F15" s="32" t="n">
        <x:v>0</x:v>
      </x:c>
      <x:c r="G15" s="34" t="n">
        <x:v>1</x:v>
      </x:c>
      <x:c r="H15" s="32" t="n">
        <x:f>IF(E15=0,"",I15/E15)</x:f>
        <x:v>12.551674174270957</x:v>
      </x:c>
      <x:c r="I15" s="31" t="n">
        <x:f>IF(C15=0,"",SUMIF('Species'!$G$2:$G$158,A15,'Species'!$U$2:$U$158))</x:f>
        <x:v>8349.708232957948</x:v>
      </x:c>
      <x:c r="J15" s="32" t="n">
        <x:v>2.095766033879335</x:v>
      </x:c>
      <x:c r="K15" s="32" t="n">
        <x:f>IF(J15="","",(1/'Metadata'!$B$5)^(J15-1))</x:f>
        <x:v>12.467116961665562</x:v>
      </x:c>
      <x:c r="L15" s="31" t="n">
        <x:f>IF(E15=0,"",E15*K15)</x:f>
        <x:v>8293.45852121077</x:v>
      </x:c>
      <x:c r="M15" s="31" t="n">
        <x:f>IF(E15=0,"",I15-L15)</x:f>
        <x:v>56.24971174717757</x:v>
      </x:c>
      <x:c r="N15" s="32" t="n">
        <x:f>IF(L15=0,"",I15/L15)</x:f>
        <x:v>1.0067824191322978</x:v>
      </x:c>
      <x:c r="O15" s="34" t="n">
        <x:f>IF(L15=0,"",M15/L15)</x:f>
        <x:v>0.0067824191322977305</x:v>
      </x:c>
    </x:row>
    <x:row r="16" ht="18" customHeight="1">
      <x:c r="A16" s="24" t="str">
        <x:v>Shrimps</x:v>
      </x:c>
      <x:c r="B16" s="33" t="n">
        <x:v>12</x:v>
      </x:c>
      <x:c r="C16" s="33" t="n">
        <x:v>12</x:v>
      </x:c>
      <x:c r="D16" s="31" t="n">
        <x:v>10959.8572697069</x:v>
      </x:c>
      <x:c r="E16" s="31" t="n">
        <x:v>10959.8572697069</x:v>
      </x:c>
      <x:c r="F16" s="32" t="n">
        <x:v>0</x:v>
      </x:c>
      <x:c r="G16" s="34" t="n">
        <x:v>1</x:v>
      </x:c>
      <x:c r="H16" s="32" t="n">
        <x:f>IF(E16=0,"",I16/E16)</x:f>
        <x:v>221.84531866075292</x:v>
      </x:c>
      <x:c r="I16" s="31" t="n">
        <x:f>IF(C16=0,"",SUMIF('Species'!$G$2:$G$158,A16,'Species'!$U$2:$U$158))</x:f>
        <x:v>2431393.0284744967</x:v>
      </x:c>
      <x:c r="J16" s="32" t="n">
        <x:v>3.105720147374396</x:v>
      </x:c>
      <x:c r="K16" s="32" t="n">
        <x:f>IF(J16="","",(1/'Metadata'!$B$5)^(J16-1))</x:f>
        <x:v>127.5616556400033</x:v>
      </x:c>
      <x:c r="L16" s="31" t="n">
        <x:f>IF(E16=0,"",E16*K16)</x:f>
        <x:v>1398057.5389019381</x:v>
      </x:c>
      <x:c r="M16" s="31" t="n">
        <x:f>IF(E16=0,"",I16-L16)</x:f>
        <x:v>1033335.4895725586</x:v>
      </x:c>
      <x:c r="N16" s="32" t="n">
        <x:f>IF(L16=0,"",I16/L16)</x:f>
        <x:v>1.739122289905293</x:v>
      </x:c>
      <x:c r="O16" s="34" t="n">
        <x:f>IF(L16=0,"",M16/L16)</x:f>
        <x:v>0.7391222899052928</x:v>
      </x:c>
    </x:row>
    <x:row r="17" ht="18" customHeight="1">
      <x:c r="A17" s="24" t="str">
        <x:v>Small benthopelagics (&lt;30 cm)</x:v>
      </x:c>
      <x:c r="B17" s="33" t="n">
        <x:v>4</x:v>
      </x:c>
      <x:c r="C17" s="33" t="n">
        <x:v>4</x:v>
      </x:c>
      <x:c r="D17" s="31" t="n">
        <x:v>10784.601701732</x:v>
      </x:c>
      <x:c r="E17" s="31" t="n">
        <x:v>10784.601701732</x:v>
      </x:c>
      <x:c r="F17" s="32" t="n">
        <x:v>0</x:v>
      </x:c>
      <x:c r="G17" s="34" t="n">
        <x:v>1</x:v>
      </x:c>
      <x:c r="H17" s="32" t="n">
        <x:f>IF(E17=0,"",I17/E17)</x:f>
        <x:v>169.36985136119503</x:v>
      </x:c>
      <x:c r="I17" s="31" t="n">
        <x:f>IF(C17=0,"",SUMIF('Species'!$G$2:$G$158,A17,'Species'!$U$2:$U$158))</x:f>
        <x:v>1826586.3872120397</x:v>
      </x:c>
      <x:c r="J17" s="32" t="n">
        <x:v>3.2270442282152176</x:v>
      </x:c>
      <x:c r="K17" s="32" t="n">
        <x:f>IF(J17="","",(1/'Metadata'!$B$5)^(J17-1))</x:f>
        <x:v>168.67247913947088</x:v>
      </x:c>
      <x:c r="L17" s="31" t="n">
        <x:f>IF(E17=0,"",E17*K17)</x:f>
        <x:v>1819065.5055628929</x:v>
      </x:c>
      <x:c r="M17" s="31" t="n">
        <x:f>IF(E17=0,"",I17-L17)</x:f>
        <x:v>7520.881649146788</x:v>
      </x:c>
      <x:c r="N17" s="32" t="n">
        <x:f>IF(L17=0,"",I17/L17)</x:f>
        <x:v>1.0041344754359571</x:v>
      </x:c>
      <x:c r="O17" s="34" t="n">
        <x:f>IF(L17=0,"",M17/L17)</x:f>
        <x:v>0.004134475435957168</x:v>
      </x:c>
    </x:row>
    <x:row r="18" ht="18" customHeight="1">
      <x:c r="A18" s="24" t="str">
        <x:v>Small demersals (&lt;30 cm)</x:v>
      </x:c>
      <x:c r="B18" s="33" t="n">
        <x:v>5</x:v>
      </x:c>
      <x:c r="C18" s="33" t="n">
        <x:v>5</x:v>
      </x:c>
      <x:c r="D18" s="31" t="n">
        <x:v>35706.654043136296</x:v>
      </x:c>
      <x:c r="E18" s="31" t="n">
        <x:v>35706.654043136296</x:v>
      </x:c>
      <x:c r="F18" s="32" t="n">
        <x:v>0</x:v>
      </x:c>
      <x:c r="G18" s="34" t="n">
        <x:v>1</x:v>
      </x:c>
      <x:c r="H18" s="32" t="n">
        <x:f>IF(E18=0,"",I18/E18)</x:f>
        <x:v>529.2609589680027</x:v>
      </x:c>
      <x:c r="I18" s="31" t="n">
        <x:f>IF(C18=0,"",SUMIF('Species'!$G$2:$G$158,A18,'Species'!$U$2:$U$158))</x:f>
        <x:v>18898137.960409027</x:v>
      </x:c>
      <x:c r="J18" s="32" t="n">
        <x:v>3.721530848724235</x:v>
      </x:c>
      <x:c r="K18" s="32" t="n">
        <x:f>IF(J18="","",(1/'Metadata'!$B$5)^(J18-1))</x:f>
        <x:v>526.6606232239632</x:v>
      </x:c>
      <x:c r="L18" s="31" t="n">
        <x:f>IF(E18=0,"",E18*K18)</x:f>
        <x:v>18805288.671600606</x:v>
      </x:c>
      <x:c r="M18" s="31" t="n">
        <x:f>IF(E18=0,"",I18-L18)</x:f>
        <x:v>92849.2888084203</x:v>
      </x:c>
      <x:c r="N18" s="32" t="n">
        <x:f>IF(L18=0,"",I18/L18)</x:f>
        <x:v>1.0049374030056044</x:v>
      </x:c>
      <x:c r="O18" s="34" t="n">
        <x:f>IF(L18=0,"",M18/L18)</x:f>
        <x:v>0.004937403005604458</x:v>
      </x:c>
    </x:row>
    <x:row r="19" ht="18" customHeight="1">
      <x:c r="A19" s="24" t="str">
        <x:v>Small pelagics (&lt;30 cm)</x:v>
      </x:c>
      <x:c r="B19" s="33" t="n">
        <x:v>11</x:v>
      </x:c>
      <x:c r="C19" s="33" t="n">
        <x:v>11</x:v>
      </x:c>
      <x:c r="D19" s="31" t="n">
        <x:v>61725.01615310909</x:v>
      </x:c>
      <x:c r="E19" s="31" t="n">
        <x:v>61725.01615310909</x:v>
      </x:c>
      <x:c r="F19" s="32" t="n">
        <x:v>0</x:v>
      </x:c>
      <x:c r="G19" s="34" t="n">
        <x:v>1</x:v>
      </x:c>
      <x:c r="H19" s="32" t="n">
        <x:f>IF(E19=0,"",I19/E19)</x:f>
        <x:v>288.4578583528881</x:v>
      </x:c>
      <x:c r="I19" s="31" t="n">
        <x:f>IF(C19=0,"",SUMIF('Species'!$G$2:$G$158,A19,'Species'!$U$2:$U$158))</x:f>
        <x:v>17805065.96632327</x:v>
      </x:c>
      <x:c r="J19" s="32" t="n">
        <x:v>3.258405690556726</x:v>
      </x:c>
      <x:c r="K19" s="32" t="n">
        <x:f>IF(J19="","",(1/'Metadata'!$B$5)^(J19-1))</x:f>
        <x:v>181.30329230156153</x:v>
      </x:c>
      <x:c r="L19" s="31" t="n">
        <x:f>IF(E19=0,"",E19*K19)</x:f>
        <x:v>11190948.645925745</x:v>
      </x:c>
      <x:c r="M19" s="31" t="n">
        <x:f>IF(E19=0,"",I19-L19)</x:f>
        <x:v>6614117.320397526</x:v>
      </x:c>
      <x:c r="N19" s="32" t="n">
        <x:f>IF(L19=0,"",I19/L19)</x:f>
        <x:v>1.5910238291376226</x:v>
      </x:c>
      <x:c r="O19" s="34" t="n">
        <x:f>IF(L19=0,"",M19/L19)</x:f>
        <x:v>0.5910238291376225</x:v>
      </x:c>
    </x:row>
    <x:row r="20" ht="18" customHeight="1">
      <x:c r="A20" s="24" t="str">
        <x:v>Small reef assoc. fish (&lt;30 cm)</x:v>
      </x:c>
      <x:c r="B20" s="33" t="n">
        <x:v>7</x:v>
      </x:c>
      <x:c r="C20" s="33" t="n">
        <x:v>7</x:v>
      </x:c>
      <x:c r="D20" s="31" t="n">
        <x:v>24251.120256951803</x:v>
      </x:c>
      <x:c r="E20" s="31" t="n">
        <x:v>24251.120256951803</x:v>
      </x:c>
      <x:c r="F20" s="32" t="n">
        <x:v>0</x:v>
      </x:c>
      <x:c r="G20" s="34" t="n">
        <x:v>1</x:v>
      </x:c>
      <x:c r="H20" s="32" t="n">
        <x:f>IF(E20=0,"",I20/E20)</x:f>
        <x:v>261.5441425769402</x:v>
      </x:c>
      <x:c r="I20" s="31" t="n">
        <x:f>IF(C20=0,"",SUMIF('Species'!$G$2:$G$158,A20,'Species'!$U$2:$U$158))</x:f>
        <x:v>6342738.454134725</x:v>
      </x:c>
      <x:c r="J20" s="32" t="n">
        <x:v>3.2382690179094267</x:v>
      </x:c>
      <x:c r="K20" s="32" t="n">
        <x:f>IF(J20="","",(1/'Metadata'!$B$5)^(J20-1))</x:f>
        <x:v>173.08882027630074</x:v>
      </x:c>
      <x:c r="L20" s="31" t="n">
        <x:f>IF(E20=0,"",E20*K20)</x:f>
        <x:v>4197597.795654487</x:v>
      </x:c>
      <x:c r="M20" s="31" t="n">
        <x:f>IF(E20=0,"",I20-L20)</x:f>
        <x:v>2145140.658480238</x:v>
      </x:c>
      <x:c r="N20" s="32" t="n">
        <x:f>IF(L20=0,"",I20/L20)</x:f>
        <x:v>1.5110400669404223</x:v>
      </x:c>
      <x:c r="O20" s="34" t="n">
        <x:f>IF(L20=0,"",M20/L20)</x:f>
        <x:v>0.5110400669404224</x:v>
      </x:c>
    </x:row>
    <x:row r="21" ht="18" customHeight="1">
      <x:c r="A21" s="24" t="str">
        <x:v>Small to medium flatfishes (&lt;90 cm)</x:v>
      </x:c>
      <x:c r="B21" s="33" t="n">
        <x:v>5</x:v>
      </x:c>
      <x:c r="C21" s="33" t="n">
        <x:v>5</x:v>
      </x:c>
      <x:c r="D21" s="31" t="n">
        <x:v>2742.5318918064995</x:v>
      </x:c>
      <x:c r="E21" s="31" t="n">
        <x:v>2742.5318918064995</x:v>
      </x:c>
      <x:c r="F21" s="32" t="n">
        <x:v>0</x:v>
      </x:c>
      <x:c r="G21" s="34" t="n">
        <x:v>1</x:v>
      </x:c>
      <x:c r="H21" s="32" t="n">
        <x:f>IF(E21=0,"",I21/E21)</x:f>
        <x:v>510.3653396735814</x:v>
      </x:c>
      <x:c r="I21" s="31" t="n">
        <x:f>IF(C21=0,"",SUMIF('Species'!$G$2:$G$158,A21,'Species'!$U$2:$U$158))</x:f>
        <x:v>1399693.2205274538</x:v>
      </x:c>
      <x:c r="J21" s="32" t="n">
        <x:v>3.6352391279386467</x:v>
      </x:c>
      <x:c r="K21" s="32" t="n">
        <x:f>IF(J21="","",(1/'Metadata'!$B$5)^(J21-1))</x:f>
        <x:v>431.75674201858703</x:v>
      </x:c>
      <x:c r="L21" s="31" t="n">
        <x:f>IF(E21=0,"",E21*K21)</x:f>
        <x:v>1184106.6344884462</x:v>
      </x:c>
      <x:c r="M21" s="31" t="n">
        <x:f>IF(E21=0,"",I21-L21)</x:f>
        <x:v>215586.58603900764</x:v>
      </x:c>
      <x:c r="N21" s="32" t="n">
        <x:f>IF(L21=0,"",I21/L21)</x:f>
        <x:v>1.1820668677632606</x:v>
      </x:c>
      <x:c r="O21" s="34" t="n">
        <x:f>IF(L21=0,"",M21/L21)</x:f>
        <x:v>0.18206686776326073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51eadb98cba42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EEZ_460</x:v>
      </x:c>
      <x:c r="B2" s="24" t="str">
        <x:v>raw_filtered_tonnes</x:v>
      </x:c>
      <x:c r="C2" s="24" t="n">
        <x:v>493489.53456538235</x:v>
      </x:c>
      <x:c r="D2" s="24" t="str">
        <x:v>tonnes</x:v>
      </x:c>
    </x:row>
    <x:row r="3" ht="18" customHeight="1">
      <x:c r="A3" s="24" t="str">
        <x:v>EEZ_460</x:v>
      </x:c>
      <x:c r="B3" s="24" t="str">
        <x:v>species_catch_tonnes</x:v>
      </x:c>
      <x:c r="C3" s="24" t="n">
        <x:v>493489.5345653823</x:v>
      </x:c>
      <x:c r="D3" s="24" t="str">
        <x:v>tonnes</x:v>
      </x:c>
    </x:row>
    <x:row r="4" ht="18" customHeight="1">
      <x:c r="A4" s="24" t="str">
        <x:v>EEZ_460</x:v>
      </x:c>
      <x:c r="B4" s="24" t="str">
        <x:v>catch_difference_tonnes</x:v>
      </x:c>
      <x:c r="C4" s="24" t="n">
        <x:v>-5.820766091346741e-11</x:v>
      </x:c>
      <x:c r="D4" s="24" t="str">
        <x:v>tonnes</x:v>
      </x:c>
    </x:row>
    <x:row r="5" ht="18" customHeight="1">
      <x:c r="A5" s="24" t="str">
        <x:v>EEZ_460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EEZ_460</x:v>
      </x:c>
      <x:c r="B6" s="24" t="str">
        <x:v>matched_catch_tonnes</x:v>
      </x:c>
      <x:c r="C6" s="24" t="n">
        <x:v>493489.5345653823</x:v>
      </x:c>
      <x:c r="D6" s="24" t="str">
        <x:v>tonnes</x:v>
      </x:c>
    </x:row>
    <x:row r="7" ht="18" customHeight="1">
      <x:c r="A7" s="24" t="str">
        <x:v>EEZ_460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EEZ_460</x:v>
      </x:c>
      <x:c r="B8" s="24" t="str">
        <x:v>taxa_count</x:v>
      </x:c>
      <x:c r="C8" s="24" t="n">
        <x:v>157</x:v>
      </x:c>
      <x:c r="D8" s="24" t="str">
        <x:v>count</x:v>
      </x:c>
    </x:row>
    <x:row r="9" ht="18" customHeight="1">
      <x:c r="A9" s="24" t="str">
        <x:v>EEZ_460</x:v>
      </x:c>
      <x:c r="B9" s="24" t="str">
        <x:v>matched_taxa_count</x:v>
      </x:c>
      <x:c r="C9" s="24" t="n">
        <x:v>157</x:v>
      </x:c>
      <x:c r="D9" s="24" t="str">
        <x:v>count</x:v>
      </x:c>
    </x:row>
    <x:row r="10" ht="18" customHeight="1">
      <x:c r="A10" s="24" t="str">
        <x:v>EEZ_460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EEZ_460</x:v>
      </x:c>
      <x:c r="B11" s="24" t="str">
        <x:v>species_ppr</x:v>
      </x:c>
      <x:c r="C11" s="24" t="n">
        <x:v>326099085.0836484</x:v>
      </x:c>
      <x:c r="D11" s="24" t="str">
        <x:v>tonnes_primary_production_equivalent</x:v>
      </x:c>
    </x:row>
    <x:row r="12" ht="18" customHeight="1">
      <x:c r="A12" s="24" t="str">
        <x:v>EEZ_460</x:v>
      </x:c>
      <x:c r="B12" s="24" t="str">
        <x:v>commercial_ppr</x:v>
      </x:c>
      <x:c r="C12" s="24" t="n">
        <x:v>326099085.08364826</x:v>
      </x:c>
      <x:c r="D12" s="24" t="str">
        <x:v>tonnes_primary_production_equivalent</x:v>
      </x:c>
    </x:row>
    <x:row r="13" ht="18" customHeight="1">
      <x:c r="A13" s="24" t="str">
        <x:v>EEZ_460</x:v>
      </x:c>
      <x:c r="B13" s="24" t="str">
        <x:v>functional_ppr</x:v>
      </x:c>
      <x:c r="C13" s="24" t="n">
        <x:v>326099085.0836483</x:v>
      </x:c>
      <x:c r="D13" s="24" t="str">
        <x:v>tonnes_primary_production_equivalent</x:v>
      </x:c>
    </x:row>
    <x:row r="14" ht="18" customHeight="1">
      <x:c r="A14" s="24" t="str">
        <x:v>EEZ_460</x:v>
      </x:c>
      <x:c r="B14" s="24" t="str">
        <x:v>commercial_ppr_difference</x:v>
      </x:c>
      <x:c r="C14" s="24" t="n">
        <x:v>-1.1920928955078125e-7</x:v>
      </x:c>
      <x:c r="D14" s="24" t="str">
        <x:v>tonnes_primary_production_equivalent</x:v>
      </x:c>
    </x:row>
    <x:row r="15" ht="18" customHeight="1">
      <x:c r="A15" s="24" t="str">
        <x:v>EEZ_460</x:v>
      </x:c>
      <x:c r="B15" s="24" t="str">
        <x:v>functional_ppr_difference</x:v>
      </x:c>
      <x:c r="C15" s="24" t="n">
        <x:v>-5.960464477539063e-8</x:v>
      </x:c>
      <x:c r="D15" s="24" t="str">
        <x:v>tonnes_primary_production_equivalent</x:v>
      </x:c>
    </x:row>
    <x:row r="16" ht="18" customHeight="1">
      <x:c r="A16" s="24" t="str">
        <x:v>EEZ_460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EEZ_460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EEZ_460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EEZ_460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8a4a2bf82aa40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EEZ_460 - Malaysia (Peninsula East)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EEZ_460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raw_data/SAU_downloads/EEZ_460-catch.zip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