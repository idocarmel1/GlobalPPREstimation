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5fc41d072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082c214b7424d1b"/>
    <x:sheet xmlns:r="http://schemas.openxmlformats.org/officeDocument/2006/relationships" name="Commercial" sheetId="2" r:id="R0ba40fe61d8c403d"/>
    <x:sheet xmlns:r="http://schemas.openxmlformats.org/officeDocument/2006/relationships" name="Functional" sheetId="3" r:id="R8e001d3084ea48b0"/>
    <x:sheet xmlns:r="http://schemas.openxmlformats.org/officeDocument/2006/relationships" name="Missing TL" sheetId="4" r:id="R0f60b690acc2428b"/>
    <x:sheet xmlns:r="http://schemas.openxmlformats.org/officeDocument/2006/relationships" name="Validation" sheetId="5" r:id="R32cd5ed2d8104fb4"/>
    <x:sheet xmlns:r="http://schemas.openxmlformats.org/officeDocument/2006/relationships" name="Metadata" sheetId="6" r:id="R817181438dfa40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2142fa19d4f91" /><Relationship Type="http://schemas.openxmlformats.org/officeDocument/2006/relationships/theme" Target="/xl/theme/theme1.xml" Id="Re647b3e8ba4249d6" /><Relationship Type="http://schemas.microsoft.com/office/2022/11/relationships/FeaturePropertyBag" Target="/xl/featurePropertyBag/featurePropertyBag.xml" Id="R40f67f53b1924694" /><Relationship Type="http://schemas.openxmlformats.org/officeDocument/2006/relationships/sharedStrings" Target="/xl/sharedStrings.xml" Id="R44eb1d4f30ab4df8" /><Relationship Type="http://schemas.openxmlformats.org/officeDocument/2006/relationships/worksheet" Target="/xl/worksheets/sheet1.xml" Id="Ra082c214b7424d1b" /><Relationship Type="http://schemas.openxmlformats.org/officeDocument/2006/relationships/worksheet" Target="/xl/worksheets/sheet2.xml" Id="R0ba40fe61d8c403d" /><Relationship Type="http://schemas.openxmlformats.org/officeDocument/2006/relationships/worksheet" Target="/xl/worksheets/sheet3.xml" Id="R8e001d3084ea48b0" /><Relationship Type="http://schemas.openxmlformats.org/officeDocument/2006/relationships/worksheet" Target="/xl/worksheets/sheet4.xml" Id="R0f60b690acc2428b" /><Relationship Type="http://schemas.openxmlformats.org/officeDocument/2006/relationships/worksheet" Target="/xl/worksheets/sheet5.xml" Id="R32cd5ed2d8104fb4" /><Relationship Type="http://schemas.openxmlformats.org/officeDocument/2006/relationships/worksheet" Target="/xl/worksheets/sheet6.xml" Id="R817181438dfa40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54SpeciesTable" displayName="EEZ954SpeciesTable" ref="A1:U75" headerRowCount="1" totalsRowCount="0" totalsRowShown="0">
  <x:autoFilter ref="A1:U7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54CommercialTable" displayName="EEZ954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54FunctionalTable" displayName="EEZ954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54ValidationTable" displayName="EEZ95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035363b02c48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20563847de4b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8f74dfa65b4a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ef255735dc48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EEZ_954</x:v>
      </x:c>
      <x:c r="B2" s="24" t="str">
        <x:v>South Africa (Indian Ocean Coast)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1540.5115978952</x:v>
      </x:c>
      <x:c r="J2" s="31" t="n">
        <x:v>1529.243769402</x:v>
      </x:c>
      <x:c r="K2" s="31" t="n">
        <x:v>11.2678284932</x:v>
      </x:c>
      <x:c r="L2" s="31" t="n">
        <x:v>383.75713124050003</x:v>
      </x:c>
      <x:c r="M2" s="31" t="n">
        <x:v>1156.7544666547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293538.43353560957</x:v>
      </x:c>
    </x:row>
    <x:row r="3" ht="18" customHeight="1">
      <x:c r="A3" s="24" t="str">
        <x:v>EEZ_954</x:v>
      </x:c>
      <x:c r="B3" s="24" t="str">
        <x:v>South Africa (Indian Ocean Coast)</x:v>
      </x:c>
      <x:c r="C3" s="24" t="str">
        <x:v>EEZ</x:v>
      </x:c>
      <x:c r="D3" s="30" t="n">
        <x:v>2019</x:v>
      </x:c>
      <x:c r="E3" s="24" t="str">
        <x:v>Sparidae</x:v>
      </x:c>
      <x:c r="F3" s="24" t="str">
        <x:v>Porgies, seabreams</x:v>
      </x:c>
      <x:c r="G3" s="24" t="str">
        <x:v>Medium benthopelagics (30 - 89 cm)</x:v>
      </x:c>
      <x:c r="H3" s="24" t="str">
        <x:v>Perch-likes</x:v>
      </x:c>
      <x:c r="I3" s="31" t="n">
        <x:v>1131.7698489415</x:v>
      </x:c>
      <x:c r="J3" s="31" t="n">
        <x:v>1131.7698489415</x:v>
      </x:c>
      <x:c r="K3" s="31" t="n">
        <x:v>0</x:v>
      </x:c>
      <x:c r="L3" s="31" t="n">
        <x:v>0</x:v>
      </x:c>
      <x:c r="M3" s="31" t="n">
        <x:v>1131.7698489415</x:v>
      </x:c>
      <x:c r="N3" s="24" t="str">
        <x:v>sparidae</x:v>
      </x:c>
      <x:c r="O3" s="32" t="n">
        <x:v>3.31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Sparidae</x:v>
      </x:c>
      <x:c r="T3" s="32" t="n">
        <x:f>IF(O3="","",(1/'Metadata'!$B$5)^(O3-1))</x:f>
        <x:v>204.17379446695296</x:v>
      </x:c>
      <x:c r="U3" s="31" t="n">
        <x:f>IF(T3="","",I3*T3)</x:f>
        <x:v>231077.7445216762</x:v>
      </x:c>
    </x:row>
    <x:row r="4" ht="18" customHeight="1">
      <x:c r="A4" s="24" t="str">
        <x:v>EEZ_954</x:v>
      </x:c>
      <x:c r="B4" s="24" t="str">
        <x:v>South Africa (Indian Ocean Coast)</x:v>
      </x:c>
      <x:c r="C4" s="24" t="str">
        <x:v>EEZ</x:v>
      </x:c>
      <x:c r="D4" s="30" t="n">
        <x:v>2019</x:v>
      </x:c>
      <x:c r="E4" s="24" t="str">
        <x:v>Pomatomus saltatrix</x:v>
      </x:c>
      <x:c r="F4" s="24" t="str">
        <x:v>Bluefish</x:v>
      </x:c>
      <x:c r="G4" s="24" t="str">
        <x:v>Large pelagics (&gt;=90 cm)</x:v>
      </x:c>
      <x:c r="H4" s="24" t="str">
        <x:v>Perch-likes</x:v>
      </x:c>
      <x:c r="I4" s="31" t="n">
        <x:v>1016.9822521228</x:v>
      </x:c>
      <x:c r="J4" s="31" t="n">
        <x:v>1016.9822521228</x:v>
      </x:c>
      <x:c r="K4" s="31" t="n">
        <x:v>0</x:v>
      </x:c>
      <x:c r="L4" s="31" t="n">
        <x:v>0</x:v>
      </x:c>
      <x:c r="M4" s="31" t="n">
        <x:v>1016.9822521228</x:v>
      </x:c>
      <x:c r="N4" s="24" t="str">
        <x:v>pomatomus saltatrix</x:v>
      </x:c>
      <x:c r="O4" s="32" t="n">
        <x:v>4.53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Pomatomus saltatrix</x:v>
      </x:c>
      <x:c r="T4" s="32" t="n">
        <x:f>IF(O4="","",(1/'Metadata'!$B$5)^(O4-1))</x:f>
        <x:v>3388.4415613920273</x:v>
      </x:c>
      <x:c r="U4" s="31" t="n">
        <x:f>IF(T4="","",I4*T4)</x:f>
        <x:v>3445984.9302909607</x:v>
      </x:c>
    </x:row>
    <x:row r="5" ht="18" customHeight="1">
      <x:c r="A5" s="24" t="str">
        <x:v>EEZ_954</x:v>
      </x:c>
      <x:c r="B5" s="24" t="str">
        <x:v>South Africa (Indian Ocean Coast)</x:v>
      </x:c>
      <x:c r="C5" s="24" t="str">
        <x:v>EEZ</x:v>
      </x:c>
      <x:c r="D5" s="30" t="n">
        <x:v>2019</x:v>
      </x:c>
      <x:c r="E5" s="24" t="str">
        <x:v>Sciaenidae</x:v>
      </x:c>
      <x:c r="F5" s="24" t="str">
        <x:v>Drums, croakers</x:v>
      </x:c>
      <x:c r="G5" s="24" t="str">
        <x:v>Medium demersals (30 - 89 cm)</x:v>
      </x:c>
      <x:c r="H5" s="24" t="str">
        <x:v>Perch-likes</x:v>
      </x:c>
      <x:c r="I5" s="31" t="n">
        <x:v>783.5259323985</x:v>
      </x:c>
      <x:c r="J5" s="31" t="n">
        <x:v>783.5259323985</x:v>
      </x:c>
      <x:c r="K5" s="31" t="n">
        <x:v>0</x:v>
      </x:c>
      <x:c r="L5" s="31" t="n">
        <x:v>0</x:v>
      </x:c>
      <x:c r="M5" s="31" t="n">
        <x:v>783.5259323985</x:v>
      </x:c>
      <x:c r="N5" s="24" t="str">
        <x:v>sciaenidae</x:v>
      </x:c>
      <x:c r="O5" s="32" t="n">
        <x:v>3.76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Sciaenidae</x:v>
      </x:c>
      <x:c r="T5" s="32" t="n">
        <x:f>IF(O5="","",(1/'Metadata'!$B$5)^(O5-1))</x:f>
        <x:v>575.4399373371566</x:v>
      </x:c>
      <x:c r="U5" s="31" t="n">
        <x:f>IF(T5="","",I5*T5)</x:f>
        <x:v>450872.11344143003</x:v>
      </x:c>
    </x:row>
    <x:row r="6" ht="18" customHeight="1">
      <x:c r="A6" s="24" t="str">
        <x:v>EEZ_954</x:v>
      </x:c>
      <x:c r="B6" s="24" t="str">
        <x:v>South Africa (Indian Ocean Coast)</x:v>
      </x:c>
      <x:c r="C6" s="24" t="str">
        <x:v>EEZ</x:v>
      </x:c>
      <x:c r="D6" s="30" t="n">
        <x:v>2019</x:v>
      </x:c>
      <x:c r="E6" s="24" t="str">
        <x:v>Centroscymnus coelolepis</x:v>
      </x:c>
      <x:c r="F6" s="24" t="str">
        <x:v>Portuguese dogfish</x:v>
      </x:c>
      <x:c r="G6" s="24" t="str">
        <x:v>Large sharks (&gt;=90 cm)</x:v>
      </x:c>
      <x:c r="H6" s="24" t="str">
        <x:v>Sharks &amp; rays</x:v>
      </x:c>
      <x:c r="I6" s="31" t="n">
        <x:v>770.17</x:v>
      </x:c>
      <x:c r="J6" s="31" t="n">
        <x:v>770.17</x:v>
      </x:c>
      <x:c r="K6" s="31" t="n">
        <x:v>0</x:v>
      </x:c>
      <x:c r="L6" s="31" t="n">
        <x:v>770.17</x:v>
      </x:c>
      <x:c r="M6" s="31" t="n">
        <x:v>0</x:v>
      </x:c>
      <x:c r="N6" s="24" t="str">
        <x:v>centroscymnus coelolepis</x:v>
      </x:c>
      <x:c r="O6" s="32" t="n">
        <x:v>4.48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Centroscymnus coelolepis</x:v>
      </x:c>
      <x:c r="T6" s="32" t="n">
        <x:f>IF(O6="","",(1/'Metadata'!$B$5)^(O6-1))</x:f>
        <x:v>3019.951720402019</x:v>
      </x:c>
      <x:c r="U6" s="31" t="n">
        <x:f>IF(T6="","",I6*T6)</x:f>
        <x:v>2325876.216502023</x:v>
      </x:c>
    </x:row>
    <x:row r="7" ht="18" customHeight="1">
      <x:c r="A7" s="24" t="str">
        <x:v>EEZ_954</x:v>
      </x:c>
      <x:c r="B7" s="24" t="str">
        <x:v>South Africa (Indian Ocean Coast)</x:v>
      </x:c>
      <x:c r="C7" s="24" t="str">
        <x:v>EEZ</x:v>
      </x:c>
      <x:c r="D7" s="30" t="n">
        <x:v>2019</x:v>
      </x:c>
      <x:c r="E7" s="24" t="str">
        <x:v>Mugilidae</x:v>
      </x:c>
      <x:c r="F7" s="24" t="str">
        <x:v>Mullets, grey mullets</x:v>
      </x:c>
      <x:c r="G7" s="24" t="str">
        <x:v>Medium reef assoc. fish (30 - 89 cm)</x:v>
      </x:c>
      <x:c r="H7" s="24" t="str">
        <x:v>Perch-likes</x:v>
      </x:c>
      <x:c r="I7" s="31" t="n">
        <x:v>768.3737387876</x:v>
      </x:c>
      <x:c r="J7" s="31" t="n">
        <x:v>768.227627475</x:v>
      </x:c>
      <x:c r="K7" s="31" t="n">
        <x:v>0.1461113126</x:v>
      </x:c>
      <x:c r="L7" s="31" t="n">
        <x:v>0</x:v>
      </x:c>
      <x:c r="M7" s="31" t="n">
        <x:v>768.3737387876</x:v>
      </x:c>
      <x:c r="N7" s="24" t="str">
        <x:v>mugilidae</x:v>
      </x:c>
      <x:c r="O7" s="32" t="n">
        <x:v>2.53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Mugilidae</x:v>
      </x:c>
      <x:c r="T7" s="32" t="n">
        <x:f>IF(O7="","",(1/'Metadata'!$B$5)^(O7-1))</x:f>
        <x:v>33.88441561392024</x:v>
      </x:c>
      <x:c r="U7" s="31" t="n">
        <x:f>IF(T7="","",I7*T7)</x:f>
        <x:v>26035.895111900827</x:v>
      </x:c>
    </x:row>
    <x:row r="8" ht="18" customHeight="1">
      <x:c r="A8" s="24" t="str">
        <x:v>EEZ_954</x:v>
      </x:c>
      <x:c r="B8" s="24" t="str">
        <x:v>South Africa (Indian Ocean Coast)</x:v>
      </x:c>
      <x:c r="C8" s="24" t="str">
        <x:v>EEZ</x:v>
      </x:c>
      <x:c r="D8" s="30" t="n">
        <x:v>2019</x:v>
      </x:c>
      <x:c r="E8" s="24" t="str">
        <x:v>Haemulidae</x:v>
      </x:c>
      <x:c r="F8" s="24" t="str">
        <x:v>Grunts, sweetlips, bonnetmouths</x:v>
      </x:c>
      <x:c r="G8" s="24" t="str">
        <x:v>Medium demersals (30 - 89 cm)</x:v>
      </x:c>
      <x:c r="H8" s="24" t="str">
        <x:v>Perch-likes</x:v>
      </x:c>
      <x:c r="I8" s="31" t="n">
        <x:v>701.1333941445</x:v>
      </x:c>
      <x:c r="J8" s="31" t="n">
        <x:v>701.1333941445</x:v>
      </x:c>
      <x:c r="K8" s="31" t="n">
        <x:v>0</x:v>
      </x:c>
      <x:c r="L8" s="31" t="n">
        <x:v>0.7899999999999999</x:v>
      </x:c>
      <x:c r="M8" s="31" t="n">
        <x:v>700.3433941444999</x:v>
      </x:c>
      <x:c r="N8" s="24" t="str">
        <x:v>haemulidae</x:v>
      </x:c>
      <x:c r="O8" s="32" t="n">
        <x:v>3.36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Haemulidae</x:v>
      </x:c>
      <x:c r="T8" s="32" t="n">
        <x:f>IF(O8="","",(1/'Metadata'!$B$5)^(O8-1))</x:f>
        <x:v>229.08676527677724</x:v>
      </x:c>
      <x:c r="U8" s="31" t="n">
        <x:f>IF(T8="","",I8*T8)</x:f>
        <x:v>160620.38129209122</x:v>
      </x:c>
    </x:row>
    <x:row r="9" ht="18" customHeight="1">
      <x:c r="A9" s="24" t="str">
        <x:v>EEZ_954</x:v>
      </x:c>
      <x:c r="B9" s="24" t="str">
        <x:v>South Africa (Indian Ocean Coast)</x:v>
      </x:c>
      <x:c r="C9" s="24" t="str">
        <x:v>EEZ</x:v>
      </x:c>
      <x:c r="D9" s="30" t="n">
        <x:v>2019</x:v>
      </x:c>
      <x:c r="E9" s="24" t="str">
        <x:v>Prionace glauca</x:v>
      </x:c>
      <x:c r="F9" s="24" t="str">
        <x:v>Blue shark</x:v>
      </x:c>
      <x:c r="G9" s="24" t="str">
        <x:v>Large sharks (&gt;=90 cm)</x:v>
      </x:c>
      <x:c r="H9" s="24" t="str">
        <x:v>Sharks &amp; rays</x:v>
      </x:c>
      <x:c r="I9" s="31" t="n">
        <x:v>675.1125807341</x:v>
      </x:c>
      <x:c r="J9" s="31" t="n">
        <x:v>675.1125807341</x:v>
      </x:c>
      <x:c r="K9" s="31" t="n">
        <x:v>0</x:v>
      </x:c>
      <x:c r="L9" s="31" t="n">
        <x:v>675.1125807341</x:v>
      </x:c>
      <x:c r="M9" s="31" t="n">
        <x:v>0</x:v>
      </x:c>
      <x:c r="N9" s="24" t="str">
        <x:v>prionace glauca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Prionace glauca</x:v>
      </x:c>
      <x:c r="T9" s="32" t="n">
        <x:f>IF(O9="","",(1/'Metadata'!$B$5)^(O9-1))</x:f>
        <x:v>2238.7211385683377</x:v>
      </x:c>
      <x:c r="U9" s="31" t="n">
        <x:f>IF(T9="","",I9*T9)</x:f>
        <x:v>1511388.805402853</x:v>
      </x:c>
    </x:row>
    <x:row r="10" ht="18" customHeight="1">
      <x:c r="A10" s="24" t="str">
        <x:v>EEZ_954</x:v>
      </x:c>
      <x:c r="B10" s="24" t="str">
        <x:v>South Africa (Indian Ocean Coast)</x:v>
      </x:c>
      <x:c r="C10" s="24" t="str">
        <x:v>EEZ</x:v>
      </x:c>
      <x:c r="D10" s="30" t="n">
        <x:v>2019</x:v>
      </x:c>
      <x:c r="E10" s="24" t="str">
        <x:v>Epinephelus</x:v>
      </x:c>
      <x:c r="F10" s="24" t="str">
        <x:v>Seabasses, hinds</x:v>
      </x:c>
      <x:c r="G10" s="24" t="str">
        <x:v>Medium reef assoc. fish (30 - 89 cm)</x:v>
      </x:c>
      <x:c r="H10" s="24" t="str">
        <x:v>Perch-likes</x:v>
      </x:c>
      <x:c r="I10" s="31" t="n">
        <x:v>425.0297616624</x:v>
      </x:c>
      <x:c r="J10" s="31" t="n">
        <x:v>425.0297616624</x:v>
      </x:c>
      <x:c r="K10" s="31" t="n">
        <x:v>0</x:v>
      </x:c>
      <x:c r="L10" s="31" t="n">
        <x:v>0</x:v>
      </x:c>
      <x:c r="M10" s="31" t="n">
        <x:v>425.0297616624</x:v>
      </x:c>
      <x:c r="N10" s="24" t="str">
        <x:v>epinephelus</x:v>
      </x:c>
      <x:c r="O10" s="32" t="n">
        <x:v>3.84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Epinephelus</x:v>
      </x:c>
      <x:c r="T10" s="32" t="n">
        <x:f>IF(O10="","",(1/'Metadata'!$B$5)^(O10-1))</x:f>
        <x:v>691.8309709189363</x:v>
      </x:c>
      <x:c r="U10" s="31" t="n">
        <x:f>IF(T10="","",I10*T10)</x:f>
        <x:v>294048.7526803423</x:v>
      </x:c>
    </x:row>
    <x:row r="11" ht="18" customHeight="1">
      <x:c r="A11" s="24" t="str">
        <x:v>EEZ_954</x:v>
      </x:c>
      <x:c r="B11" s="24" t="str">
        <x:v>South Africa (Indian Ocean Coast)</x:v>
      </x:c>
      <x:c r="C11" s="24" t="str">
        <x:v>EEZ</x:v>
      </x:c>
      <x:c r="D11" s="30" t="n">
        <x:v>2019</x:v>
      </x:c>
      <x:c r="E11" s="24" t="str">
        <x:v>Perciformes</x:v>
      </x:c>
      <x:c r="F11" s="24" t="str">
        <x:v>Perch-likes</x:v>
      </x:c>
      <x:c r="G11" s="24" t="str">
        <x:v>Medium demersals (30 - 89 cm)</x:v>
      </x:c>
      <x:c r="H11" s="24" t="str">
        <x:v>Perch-likes</x:v>
      </x:c>
      <x:c r="I11" s="31" t="n">
        <x:v>409.9185926564</x:v>
      </x:c>
      <x:c r="J11" s="31" t="n">
        <x:v>409.9185926564</x:v>
      </x:c>
      <x:c r="K11" s="31" t="n">
        <x:v>0</x:v>
      </x:c>
      <x:c r="L11" s="31" t="n">
        <x:v>0</x:v>
      </x:c>
      <x:c r="M11" s="31" t="n">
        <x:v>409.9185926564</x:v>
      </x:c>
      <x:c r="N11" s="24" t="str">
        <x:v>perciformes</x:v>
      </x:c>
      <x:c r="O11" s="32" t="n">
        <x:v>3.53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Perciformes</x:v>
      </x:c>
      <x:c r="T11" s="32" t="n">
        <x:f>IF(O11="","",(1/'Metadata'!$B$5)^(O11-1))</x:f>
        <x:v>338.84415613920237</x:v>
      </x:c>
      <x:c r="U11" s="31" t="n">
        <x:f>IF(T11="","",I11*T11)</x:f>
        <x:v>138898.5196144273</x:v>
      </x:c>
    </x:row>
    <x:row r="12" ht="18" customHeight="1">
      <x:c r="A12" s="24" t="str">
        <x:v>EEZ_954</x:v>
      </x:c>
      <x:c r="B12" s="24" t="str">
        <x:v>South Africa (Indian Ocean Coast)</x:v>
      </x:c>
      <x:c r="C12" s="24" t="str">
        <x:v>EEZ</x:v>
      </x:c>
      <x:c r="D12" s="30" t="n">
        <x:v>2019</x:v>
      </x:c>
      <x:c r="E12" s="24" t="str">
        <x:v>Thunnus albacares</x:v>
      </x:c>
      <x:c r="F12" s="24" t="str">
        <x:v>Yellowfin tuna</x:v>
      </x:c>
      <x:c r="G12" s="24" t="str">
        <x:v>Large pelagics (&gt;=90 cm)</x:v>
      </x:c>
      <x:c r="H12" s="24" t="str">
        <x:v>Tuna &amp; billfishes</x:v>
      </x:c>
      <x:c r="I12" s="31" t="n">
        <x:v>392.4828482671</x:v>
      </x:c>
      <x:c r="J12" s="31" t="n">
        <x:v>392.4828482671</x:v>
      </x:c>
      <x:c r="K12" s="31" t="n">
        <x:v>0</x:v>
      </x:c>
      <x:c r="L12" s="31" t="n">
        <x:v>392.18874199059996</x:v>
      </x:c>
      <x:c r="M12" s="31" t="n">
        <x:v>0.2941062765</x:v>
      </x:c>
      <x:c r="N12" s="24" t="str">
        <x:v>thunnus albacares</x:v>
      </x:c>
      <x:c r="O12" s="32" t="n">
        <x:v>4.41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albacares</x:v>
      </x:c>
      <x:c r="T12" s="32" t="n">
        <x:f>IF(O12="","",(1/'Metadata'!$B$5)^(O12-1))</x:f>
        <x:v>2570.3957827688646</x:v>
      </x:c>
      <x:c r="U12" s="31" t="n">
        <x:f>IF(T12="","",I12*T12)</x:f>
        <x:v>1008836.257994866</x:v>
      </x:c>
    </x:row>
    <x:row r="13" ht="18" customHeight="1">
      <x:c r="A13" s="24" t="str">
        <x:v>EEZ_954</x:v>
      </x:c>
      <x:c r="B13" s="24" t="str">
        <x:v>South Africa (Indian Ocean Coast)</x:v>
      </x:c>
      <x:c r="C13" s="24" t="str">
        <x:v>EEZ</x:v>
      </x:c>
      <x:c r="D13" s="30" t="n">
        <x:v>2019</x:v>
      </x:c>
      <x:c r="E13" s="24" t="str">
        <x:v>Metanephrops mozambicus</x:v>
      </x:c>
      <x:c r="F13" s="24" t="str">
        <x:v>Mozambique lobster</x:v>
      </x:c>
      <x:c r="G13" s="24" t="str">
        <x:v>Lobsters, crabs</x:v>
      </x:c>
      <x:c r="H13" s="24" t="str">
        <x:v>Crustaceans</x:v>
      </x:c>
      <x:c r="I13" s="31" t="n">
        <x:v>259.7</x:v>
      </x:c>
      <x:c r="J13" s="31" t="n">
        <x:v>259.7</x:v>
      </x:c>
      <x:c r="K13" s="31" t="n">
        <x:v>0</x:v>
      </x:c>
      <x:c r="L13" s="31" t="n">
        <x:v>259.7</x:v>
      </x:c>
      <x:c r="M13" s="31" t="n">
        <x:v>0</x:v>
      </x:c>
      <x:c r="N13" s="24" t="str">
        <x:v>metanephrops mozambicus</x:v>
      </x:c>
      <x:c r="O13" s="32" t="n">
        <x:v>2.6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Metanephrops mozambicus</x:v>
      </x:c>
      <x:c r="T13" s="32" t="n">
        <x:f>IF(O13="","",(1/'Metadata'!$B$5)^(O13-1))</x:f>
        <x:v>39.810717055349734</x:v>
      </x:c>
      <x:c r="U13" s="31" t="n">
        <x:f>IF(T13="","",I13*T13)</x:f>
        <x:v>10338.843219274326</x:v>
      </x:c>
    </x:row>
    <x:row r="14" ht="18" customHeight="1">
      <x:c r="A14" s="24" t="str">
        <x:v>EEZ_954</x:v>
      </x:c>
      <x:c r="B14" s="24" t="str">
        <x:v>South Africa (Indian Ocean Coast)</x:v>
      </x:c>
      <x:c r="C14" s="24" t="str">
        <x:v>EEZ</x:v>
      </x:c>
      <x:c r="D14" s="30" t="n">
        <x:v>2019</x:v>
      </x:c>
      <x:c r="E14" s="24" t="str">
        <x:v>Scombridae</x:v>
      </x:c>
      <x:c r="F14" s="24" t="str">
        <x:v>Mackerels, tunas, bonitos</x:v>
      </x:c>
      <x:c r="G14" s="24" t="str">
        <x:v>Medium pelagics (30 - 89 cm)</x:v>
      </x:c>
      <x:c r="H14" s="24" t="str">
        <x:v>Perch-likes</x:v>
      </x:c>
      <x:c r="I14" s="31" t="n">
        <x:v>257.1223904306</x:v>
      </x:c>
      <x:c r="J14" s="31" t="n">
        <x:v>257.1223904306</x:v>
      </x:c>
      <x:c r="K14" s="31" t="n">
        <x:v>0</x:v>
      </x:c>
      <x:c r="L14" s="31" t="n">
        <x:v>4.8499999999</x:v>
      </x:c>
      <x:c r="M14" s="31" t="n">
        <x:v>252.2723904307</x:v>
      </x:c>
      <x:c r="N14" s="24" t="str">
        <x:v>scombridae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Scombridae</x:v>
      </x:c>
      <x:c r="T14" s="32" t="n">
        <x:f>IF(O14="","",(1/'Metadata'!$B$5)^(O14-1))</x:f>
        <x:v>1819.7008586099826</x:v>
      </x:c>
      <x:c r="U14" s="31" t="n">
        <x:f>IF(T14="","",I14*T14)</x:f>
        <x:v>467885.83463441394</x:v>
      </x:c>
    </x:row>
    <x:row r="15" ht="18" customHeight="1">
      <x:c r="A15" s="24" t="str">
        <x:v>EEZ_954</x:v>
      </x:c>
      <x:c r="B15" s="24" t="str">
        <x:v>South Africa (Indian Ocean Coast)</x:v>
      </x:c>
      <x:c r="C15" s="24" t="str">
        <x:v>EEZ</x:v>
      </x:c>
      <x:c r="D15" s="30" t="n">
        <x:v>2019</x:v>
      </x:c>
      <x:c r="E15" s="24" t="str">
        <x:v>Cephalopoda</x:v>
      </x:c>
      <x:c r="F15" s="24" t="str">
        <x:v>Squids, cuttlefishes, octopuses</x:v>
      </x:c>
      <x:c r="G15" s="24" t="str">
        <x:v>Cephalopods</x:v>
      </x:c>
      <x:c r="H15" s="24" t="str">
        <x:v>Other fishes &amp; inverts</x:v>
      </x:c>
      <x:c r="I15" s="31" t="n">
        <x:v>250.01750686219998</x:v>
      </x:c>
      <x:c r="J15" s="31" t="n">
        <x:v>250.01750686219998</x:v>
      </x:c>
      <x:c r="K15" s="31" t="n">
        <x:v>0</x:v>
      </x:c>
      <x:c r="L15" s="31" t="n">
        <x:v>0</x:v>
      </x:c>
      <x:c r="M15" s="31" t="n">
        <x:v>250.01750686219998</x:v>
      </x:c>
      <x:c r="N15" s="24" t="str">
        <x:v>cephalopoda</x:v>
      </x:c>
      <x:c r="O15" s="32" t="n">
        <x:v>3.81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Cephalopoda</x:v>
      </x:c>
      <x:c r="T15" s="32" t="n">
        <x:f>IF(O15="","",(1/'Metadata'!$B$5)^(O15-1))</x:f>
        <x:v>645.6542290346556</x:v>
      </x:c>
      <x:c r="U15" s="31" t="n">
        <x:f>IF(T15="","",I15*T15)</x:f>
        <x:v>161424.86063828046</x:v>
      </x:c>
    </x:row>
    <x:row r="16" ht="18" customHeight="1">
      <x:c r="A16" s="24" t="str">
        <x:v>EEZ_954</x:v>
      </x:c>
      <x:c r="B16" s="24" t="str">
        <x:v>South Africa (Indian Ocean Coast)</x:v>
      </x:c>
      <x:c r="C16" s="24" t="str">
        <x:v>EEZ</x:v>
      </x:c>
      <x:c r="D16" s="30" t="n">
        <x:v>2019</x:v>
      </x:c>
      <x:c r="E16" s="24" t="str">
        <x:v>Bivalvia</x:v>
      </x:c>
      <x:c r="F16" s="24" t="str">
        <x:v>Clams</x:v>
      </x:c>
      <x:c r="G16" s="24" t="str">
        <x:v>Other demersal invertebrates</x:v>
      </x:c>
      <x:c r="H16" s="24" t="str">
        <x:v>Molluscs</x:v>
      </x:c>
      <x:c r="I16" s="31" t="n">
        <x:v>250.0175068415</x:v>
      </x:c>
      <x:c r="J16" s="31" t="n">
        <x:v>250.0175068415</x:v>
      </x:c>
      <x:c r="K16" s="31" t="n">
        <x:v>0</x:v>
      </x:c>
      <x:c r="L16" s="31" t="n">
        <x:v>0</x:v>
      </x:c>
      <x:c r="M16" s="31" t="n">
        <x:v>250.0175068415</x:v>
      </x:c>
      <x:c r="N16" s="24" t="str">
        <x:v>bivalvia</x:v>
      </x:c>
      <x:c r="O16" s="32" t="n">
        <x:v>2.23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Bivalvia</x:v>
      </x:c>
      <x:c r="T16" s="32" t="n">
        <x:f>IF(O16="","",(1/'Metadata'!$B$5)^(O16-1))</x:f>
        <x:v>16.982436524617444</x:v>
      </x:c>
      <x:c r="U16" s="31" t="n">
        <x:f>IF(T16="","",I16*T16)</x:f>
        <x:v>4245.906439978881</x:v>
      </x:c>
    </x:row>
    <x:row r="17" ht="18" customHeight="1">
      <x:c r="A17" s="24" t="str">
        <x:v>EEZ_954</x:v>
      </x:c>
      <x:c r="B17" s="24" t="str">
        <x:v>South Africa (Indian Ocean Coast)</x:v>
      </x:c>
      <x:c r="C17" s="24" t="str">
        <x:v>EEZ</x:v>
      </x:c>
      <x:c r="D17" s="30" t="n">
        <x:v>2019</x:v>
      </x:c>
      <x:c r="E17" s="24" t="str">
        <x:v>Xiphias gladius</x:v>
      </x:c>
      <x:c r="F17" s="24" t="str">
        <x:v>Swordfish</x:v>
      </x:c>
      <x:c r="G17" s="24" t="str">
        <x:v>Large pelagics (&gt;=90 cm)</x:v>
      </x:c>
      <x:c r="H17" s="24" t="str">
        <x:v>Tuna &amp; billfishes</x:v>
      </x:c>
      <x:c r="I17" s="31" t="n">
        <x:v>230.85244002660002</x:v>
      </x:c>
      <x:c r="J17" s="31" t="n">
        <x:v>230.85244002660002</x:v>
      </x:c>
      <x:c r="K17" s="31" t="n">
        <x:v>0</x:v>
      </x:c>
      <x:c r="L17" s="31" t="n">
        <x:v>230.85244002660002</x:v>
      </x:c>
      <x:c r="M17" s="31" t="n">
        <x:v>0</x:v>
      </x:c>
      <x:c r="N17" s="24" t="str">
        <x:v>xiphias gladius</x:v>
      </x:c>
      <x:c r="O17" s="32" t="n">
        <x:v>4.53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Xiphias gladius</x:v>
      </x:c>
      <x:c r="T17" s="32" t="n">
        <x:f>IF(O17="","",(1/'Metadata'!$B$5)^(O17-1))</x:f>
        <x:v>3388.4415613920273</x:v>
      </x:c>
      <x:c r="U17" s="31" t="n">
        <x:f>IF(T17="","",I17*T17)</x:f>
        <x:v>782230.0023348919</x:v>
      </x:c>
    </x:row>
    <x:row r="18" ht="18" customHeight="1">
      <x:c r="A18" s="24" t="str">
        <x:v>EEZ_954</x:v>
      </x:c>
      <x:c r="B18" s="24" t="str">
        <x:v>South Africa (Indian Ocean Coast)</x:v>
      </x:c>
      <x:c r="C18" s="24" t="str">
        <x:v>EEZ</x:v>
      </x:c>
      <x:c r="D18" s="30" t="n">
        <x:v>2019</x:v>
      </x:c>
      <x:c r="E18" s="24" t="str">
        <x:v>Chrysoblephus</x:v>
      </x:c>
      <x:c r="F18" s="24" t="str">
        <x:v>Golden seabreams</x:v>
      </x:c>
      <x:c r="G18" s="24" t="str">
        <x:v>Medium demersals (30 - 89 cm)</x:v>
      </x:c>
      <x:c r="H18" s="24" t="str">
        <x:v>Perch-likes</x:v>
      </x:c>
      <x:c r="I18" s="31" t="n">
        <x:v>204.4896642982</x:v>
      </x:c>
      <x:c r="J18" s="31" t="n">
        <x:v>204.4896642982</x:v>
      </x:c>
      <x:c r="K18" s="31" t="n">
        <x:v>0</x:v>
      </x:c>
      <x:c r="L18" s="31" t="n">
        <x:v>163.7400000002</x:v>
      </x:c>
      <x:c r="M18" s="31" t="n">
        <x:v>40.749664298</x:v>
      </x:c>
      <x:c r="N18" s="24" t="str">
        <x:v>chrysoblephus</x:v>
      </x:c>
      <x:c r="O18" s="32" t="n">
        <x:v>3.59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Chrysoblephus</x:v>
      </x:c>
      <x:c r="T18" s="32" t="n">
        <x:f>IF(O18="","",(1/'Metadata'!$B$5)^(O18-1))</x:f>
        <x:v>389.04514499428046</x:v>
      </x:c>
      <x:c r="U18" s="31" t="n">
        <x:f>IF(T18="","",I18*T18)</x:f>
        <x:v>79555.71109672496</x:v>
      </x:c>
    </x:row>
    <x:row r="19" ht="18" customHeight="1">
      <x:c r="A19" s="24" t="str">
        <x:v>EEZ_954</x:v>
      </x:c>
      <x:c r="B19" s="24" t="str">
        <x:v>South Africa (Indian Ocean Coast)</x:v>
      </x:c>
      <x:c r="C19" s="24" t="str">
        <x:v>EEZ</x:v>
      </x:c>
      <x:c r="D19" s="30" t="n">
        <x:v>2019</x:v>
      </x:c>
      <x:c r="E19" s="24" t="str">
        <x:v>Squalidae</x:v>
      </x:c>
      <x:c r="F19" s="24" t="str">
        <x:v>Dogfish sharks</x:v>
      </x:c>
      <x:c r="G19" s="24" t="str">
        <x:v>Large sharks (&gt;=90 cm)</x:v>
      </x:c>
      <x:c r="H19" s="24" t="str">
        <x:v>Sharks &amp; rays</x:v>
      </x:c>
      <x:c r="I19" s="31" t="n">
        <x:v>198.47</x:v>
      </x:c>
      <x:c r="J19" s="31" t="n">
        <x:v>198.47</x:v>
      </x:c>
      <x:c r="K19" s="31" t="n">
        <x:v>0</x:v>
      </x:c>
      <x:c r="L19" s="31" t="n">
        <x:v>198.47</x:v>
      </x:c>
      <x:c r="M19" s="31" t="n">
        <x:v>0</x:v>
      </x:c>
      <x:c r="N19" s="24" t="str">
        <x:v>squalidae</x:v>
      </x:c>
      <x:c r="O19" s="32" t="n">
        <x:v>4.23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Squalidae</x:v>
      </x:c>
      <x:c r="T19" s="32" t="n">
        <x:f>IF(O19="","",(1/'Metadata'!$B$5)^(O19-1))</x:f>
        <x:v>1698.243652461746</x:v>
      </x:c>
      <x:c r="U19" s="31" t="n">
        <x:f>IF(T19="","",I19*T19)</x:f>
        <x:v>337050.41770408273</x:v>
      </x:c>
    </x:row>
    <x:row r="20" ht="18" customHeight="1">
      <x:c r="A20" s="24" t="str">
        <x:v>EEZ_954</x:v>
      </x:c>
      <x:c r="B20" s="24" t="str">
        <x:v>South Africa (Indian Ocean Coast)</x:v>
      </x:c>
      <x:c r="C20" s="24" t="str">
        <x:v>EEZ</x:v>
      </x:c>
      <x:c r="D20" s="30" t="n">
        <x:v>2019</x:v>
      </x:c>
      <x:c r="E20" s="24" t="str">
        <x:v>Haliporoides triarthrus</x:v>
      </x:c>
      <x:c r="F20" s="24" t="str">
        <x:v>Knife shrimp</x:v>
      </x:c>
      <x:c r="G20" s="24" t="str">
        <x:v>Shrimps</x:v>
      </x:c>
      <x:c r="H20" s="24" t="str">
        <x:v>Crustaceans</x:v>
      </x:c>
      <x:c r="I20" s="31" t="n">
        <x:v>182</x:v>
      </x:c>
      <x:c r="J20" s="31" t="n">
        <x:v>182</x:v>
      </x:c>
      <x:c r="K20" s="31" t="n">
        <x:v>0</x:v>
      </x:c>
      <x:c r="L20" s="31" t="n">
        <x:v>182</x:v>
      </x:c>
      <x:c r="M20" s="31" t="n">
        <x:v>0</x:v>
      </x:c>
      <x:c r="N20" s="24" t="str">
        <x:v>haliporoides triarthrus</x:v>
      </x:c>
      <x:c r="O20" s="32" t="n">
        <x:v>2.2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Haliporoides triarthrus</x:v>
      </x:c>
      <x:c r="T20" s="32" t="n">
        <x:f>IF(O20="","",(1/'Metadata'!$B$5)^(O20-1))</x:f>
        <x:v>15.848931924611142</x:v>
      </x:c>
      <x:c r="U20" s="31" t="n">
        <x:f>IF(T20="","",I20*T20)</x:f>
        <x:v>2884.5056102792278</x:v>
      </x:c>
    </x:row>
    <x:row r="21" ht="18" customHeight="1">
      <x:c r="A21" s="24" t="str">
        <x:v>EEZ_954</x:v>
      </x:c>
      <x:c r="B21" s="24" t="str">
        <x:v>South Africa (Indian Ocean Coast)</x:v>
      </x:c>
      <x:c r="C21" s="24" t="str">
        <x:v>EEZ</x:v>
      </x:c>
      <x:c r="D21" s="30" t="n">
        <x:v>2019</x:v>
      </x:c>
      <x:c r="E21" s="24" t="str">
        <x:v>Seriola lalandi</x:v>
      </x:c>
      <x:c r="F21" s="24" t="str">
        <x:v>Yellowtail amberjack</x:v>
      </x:c>
      <x:c r="G21" s="24" t="str">
        <x:v>Large benthopelagics (&gt;=90 cm)</x:v>
      </x:c>
      <x:c r="H21" s="24" t="str">
        <x:v>Perch-likes</x:v>
      </x:c>
      <x:c r="I21" s="31" t="n">
        <x:v>163.12232825339998</x:v>
      </x:c>
      <x:c r="J21" s="31" t="n">
        <x:v>163.12232825339998</x:v>
      </x:c>
      <x:c r="K21" s="31" t="n">
        <x:v>0</x:v>
      </x:c>
      <x:c r="L21" s="31" t="n">
        <x:v>0.42</x:v>
      </x:c>
      <x:c r="M21" s="31" t="n">
        <x:v>162.7023282534</x:v>
      </x:c>
      <x:c r="N21" s="24" t="str">
        <x:v>seriola lalandi</x:v>
      </x:c>
      <x:c r="O21" s="32" t="n">
        <x:v>4.16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Seriola lalandi</x:v>
      </x:c>
      <x:c r="T21" s="32" t="n">
        <x:f>IF(O21="","",(1/'Metadata'!$B$5)^(O21-1))</x:f>
        <x:v>1445.439770745928</x:v>
      </x:c>
      <x:c r="U21" s="31" t="n">
        <x:f>IF(T21="","",I21*T21)</x:f>
        <x:v>235783.50075413648</x:v>
      </x:c>
    </x:row>
    <x:row r="22" ht="18" customHeight="1">
      <x:c r="A22" s="24" t="str">
        <x:v>EEZ_954</x:v>
      </x:c>
      <x:c r="B22" s="24" t="str">
        <x:v>South Africa (Indian Ocean Coast)</x:v>
      </x:c>
      <x:c r="C22" s="24" t="str">
        <x:v>EEZ</x:v>
      </x:c>
      <x:c r="D22" s="30" t="n">
        <x:v>2019</x:v>
      </x:c>
      <x:c r="E22" s="24" t="str">
        <x:v>Gempylidae</x:v>
      </x:c>
      <x:c r="F22" s="24" t="str">
        <x:v>Snake mackerels</x:v>
      </x:c>
      <x:c r="G22" s="24" t="str">
        <x:v>Large benthopelagics (&gt;=90 cm)</x:v>
      </x:c>
      <x:c r="H22" s="24" t="str">
        <x:v>Perch-likes</x:v>
      </x:c>
      <x:c r="I22" s="31" t="n">
        <x:v>155.4440991828</x:v>
      </x:c>
      <x:c r="J22" s="31" t="n">
        <x:v>155.4440991828</x:v>
      </x:c>
      <x:c r="K22" s="31" t="n">
        <x:v>0</x:v>
      </x:c>
      <x:c r="L22" s="31" t="n">
        <x:v>0</x:v>
      </x:c>
      <x:c r="M22" s="31" t="n">
        <x:v>155.4440991828</x:v>
      </x:c>
      <x:c r="N22" s="24" t="str">
        <x:v>gempylidae</x:v>
      </x:c>
      <x:c r="O22" s="32" t="n">
        <x:v>4.21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Gempylidae</x:v>
      </x:c>
      <x:c r="T22" s="32" t="n">
        <x:f>IF(O22="","",(1/'Metadata'!$B$5)^(O22-1))</x:f>
        <x:v>1621.8100973589299</x:v>
      </x:c>
      <x:c r="U22" s="31" t="n">
        <x:f>IF(T22="","",I22*T22)</x:f>
        <x:v>252100.809629528</x:v>
      </x:c>
    </x:row>
    <x:row r="23" ht="18" customHeight="1">
      <x:c r="A23" s="24" t="str">
        <x:v>EEZ_954</x:v>
      </x:c>
      <x:c r="B23" s="24" t="str">
        <x:v>South Africa (Indian Ocean Coast)</x:v>
      </x:c>
      <x:c r="C23" s="24" t="str">
        <x:v>EEZ</x:v>
      </x:c>
      <x:c r="D23" s="30" t="n">
        <x:v>2019</x:v>
      </x:c>
      <x:c r="E23" s="24" t="str">
        <x:v>Thunnus alalunga</x:v>
      </x:c>
      <x:c r="F23" s="24" t="str">
        <x:v>Albacore</x:v>
      </x:c>
      <x:c r="G23" s="24" t="str">
        <x:v>Large pelagics (&gt;=90 cm)</x:v>
      </x:c>
      <x:c r="H23" s="24" t="str">
        <x:v>Tuna &amp; billfishes</x:v>
      </x:c>
      <x:c r="I23" s="31" t="n">
        <x:v>92.7841585508</x:v>
      </x:c>
      <x:c r="J23" s="31" t="n">
        <x:v>92.7841585508</x:v>
      </x:c>
      <x:c r="K23" s="31" t="n">
        <x:v>0</x:v>
      </x:c>
      <x:c r="L23" s="31" t="n">
        <x:v>91.9530815001</x:v>
      </x:c>
      <x:c r="M23" s="31" t="n">
        <x:v>0.8310770506999999</x:v>
      </x:c>
      <x:c r="N23" s="24" t="str">
        <x:v>thunnus alalunga</x:v>
      </x:c>
      <x:c r="O23" s="32" t="n">
        <x:v>4.3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alalunga</x:v>
      </x:c>
      <x:c r="T23" s="32" t="n">
        <x:f>IF(O23="","",(1/'Metadata'!$B$5)^(O23-1))</x:f>
        <x:v>1995.2623149688789</x:v>
      </x:c>
      <x:c r="U23" s="31" t="n">
        <x:f>IF(T23="","",I23*T23)</x:f>
        <x:v>185128.7349825087</x:v>
      </x:c>
    </x:row>
    <x:row r="24" ht="18" customHeight="1">
      <x:c r="A24" s="24" t="str">
        <x:v>EEZ_954</x:v>
      </x:c>
      <x:c r="B24" s="24" t="str">
        <x:v>South Africa (Indian Ocean Coast)</x:v>
      </x:c>
      <x:c r="C24" s="24" t="str">
        <x:v>EEZ</x:v>
      </x:c>
      <x:c r="D24" s="30" t="n">
        <x:v>2019</x:v>
      </x:c>
      <x:c r="E24" s="24" t="str">
        <x:v>Auxis thazard</x:v>
      </x:c>
      <x:c r="F24" s="24" t="str">
        <x:v>Frigate tuna</x:v>
      </x:c>
      <x:c r="G24" s="24" t="str">
        <x:v>Medium pelagics (30 - 89 cm)</x:v>
      </x:c>
      <x:c r="H24" s="24" t="str">
        <x:v>Tuna &amp; billfishes</x:v>
      </x:c>
      <x:c r="I24" s="31" t="n">
        <x:v>83.82766041250001</x:v>
      </x:c>
      <x:c r="J24" s="31" t="n">
        <x:v>83.82766041250001</x:v>
      </x:c>
      <x:c r="K24" s="31" t="n">
        <x:v>0</x:v>
      </x:c>
      <x:c r="L24" s="31" t="n">
        <x:v>83.82766041250001</x:v>
      </x:c>
      <x:c r="M24" s="31" t="n">
        <x:v>0</x:v>
      </x:c>
      <x:c r="N24" s="24" t="str">
        <x:v>auxis thazard</x:v>
      </x:c>
      <x:c r="O24" s="32" t="n">
        <x:v>4.37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Auxis thazard</x:v>
      </x:c>
      <x:c r="T24" s="32" t="n">
        <x:f>IF(O24="","",(1/'Metadata'!$B$5)^(O24-1))</x:f>
        <x:v>2344.228815319923</x:v>
      </x:c>
      <x:c r="U24" s="31" t="n">
        <x:f>IF(T24="","",I24*T24)</x:f>
        <x:v>196511.2170598357</x:v>
      </x:c>
    </x:row>
    <x:row r="25" ht="18" customHeight="1">
      <x:c r="A25" s="24" t="str">
        <x:v>EEZ_954</x:v>
      </x:c>
      <x:c r="B25" s="24" t="str">
        <x:v>South Africa (Indian Ocean Coast)</x:v>
      </x:c>
      <x:c r="C25" s="24" t="str">
        <x:v>EEZ</x:v>
      </x:c>
      <x:c r="D25" s="30" t="n">
        <x:v>2019</x:v>
      </x:c>
      <x:c r="E25" s="24" t="str">
        <x:v>Centrophorus squamosus</x:v>
      </x:c>
      <x:c r="F25" s="24" t="str">
        <x:v>Leafscale gulper shark</x:v>
      </x:c>
      <x:c r="G25" s="24" t="str">
        <x:v>Large sharks (&gt;=90 cm)</x:v>
      </x:c>
      <x:c r="H25" s="24" t="str">
        <x:v>Sharks &amp; rays</x:v>
      </x:c>
      <x:c r="I25" s="31" t="n">
        <x:v>77.27</x:v>
      </x:c>
      <x:c r="J25" s="31" t="n">
        <x:v>77.27</x:v>
      </x:c>
      <x:c r="K25" s="31" t="n">
        <x:v>0</x:v>
      </x:c>
      <x:c r="L25" s="31" t="n">
        <x:v>77.27</x:v>
      </x:c>
      <x:c r="M25" s="31" t="n">
        <x:v>0</x:v>
      </x:c>
      <x:c r="N25" s="24" t="str">
        <x:v>centrophorus squamosus</x:v>
      </x:c>
      <x:c r="O25" s="32" t="n">
        <x:v>4.47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Centrophorus squamosus</x:v>
      </x:c>
      <x:c r="T25" s="32" t="n">
        <x:f>IF(O25="","",(1/'Metadata'!$B$5)^(O25-1))</x:f>
        <x:v>2951.209226666384</x:v>
      </x:c>
      <x:c r="U25" s="31" t="n">
        <x:f>IF(T25="","",I25*T25)</x:f>
        <x:v>228039.9369445115</x:v>
      </x:c>
    </x:row>
    <x:row r="26" ht="18" customHeight="1">
      <x:c r="A26" s="24" t="str">
        <x:v>EEZ_954</x:v>
      </x:c>
      <x:c r="B26" s="24" t="str">
        <x:v>South Africa (Indian Ocean Coast)</x:v>
      </x:c>
      <x:c r="C26" s="24" t="str">
        <x:v>EEZ</x:v>
      </x:c>
      <x:c r="D26" s="30" t="n">
        <x:v>2019</x:v>
      </x:c>
      <x:c r="E26" s="24" t="str">
        <x:v>Kyphosidae</x:v>
      </x:c>
      <x:c r="F26" s="24" t="str">
        <x:v>Sea chubs, knifefishes, niblers</x:v>
      </x:c>
      <x:c r="G26" s="24" t="str">
        <x:v>Medium reef assoc. fish (30 - 89 cm)</x:v>
      </x:c>
      <x:c r="H26" s="24" t="str">
        <x:v>Perch-likes</x:v>
      </x:c>
      <x:c r="I26" s="31" t="n">
        <x:v>74.890470621</x:v>
      </x:c>
      <x:c r="J26" s="31" t="n">
        <x:v>74.890470621</x:v>
      </x:c>
      <x:c r="K26" s="31" t="n">
        <x:v>0</x:v>
      </x:c>
      <x:c r="L26" s="31" t="n">
        <x:v>0</x:v>
      </x:c>
      <x:c r="M26" s="31" t="n">
        <x:v>74.890470621</x:v>
      </x:c>
      <x:c r="N26" s="24" t="str">
        <x:v>kyphosidae</x:v>
      </x:c>
      <x:c r="O26" s="32" t="n">
        <x:v>2.19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Kyphosidae</x:v>
      </x:c>
      <x:c r="T26" s="32" t="n">
        <x:f>IF(O26="","",(1/'Metadata'!$B$5)^(O26-1))</x:f>
        <x:v>15.488166189124811</x:v>
      </x:c>
      <x:c r="U26" s="31" t="n">
        <x:f>IF(T26="","",I26*T26)</x:f>
        <x:v>1159.9160549598173</x:v>
      </x:c>
    </x:row>
    <x:row r="27" ht="18" customHeight="1">
      <x:c r="A27" s="24" t="str">
        <x:v>EEZ_954</x:v>
      </x:c>
      <x:c r="B27" s="24" t="str">
        <x:v>South Africa (Indian Ocean Coast)</x:v>
      </x:c>
      <x:c r="C27" s="24" t="str">
        <x:v>EEZ</x:v>
      </x:c>
      <x:c r="D27" s="30" t="n">
        <x:v>2019</x:v>
      </x:c>
      <x:c r="E27" s="24" t="str">
        <x:v>Carangidae</x:v>
      </x:c>
      <x:c r="F27" s="24" t="str">
        <x:v>Jacks, pompanos</x:v>
      </x:c>
      <x:c r="G27" s="24" t="str">
        <x:v>Medium pelagics (30 - 89 cm)</x:v>
      </x:c>
      <x:c r="H27" s="24" t="str">
        <x:v>Perch-likes</x:v>
      </x:c>
      <x:c r="I27" s="31" t="n">
        <x:v>63.1543124616</x:v>
      </x:c>
      <x:c r="J27" s="31" t="n">
        <x:v>63.1543124616</x:v>
      </x:c>
      <x:c r="K27" s="31" t="n">
        <x:v>0</x:v>
      </x:c>
      <x:c r="L27" s="31" t="n">
        <x:v>0</x:v>
      </x:c>
      <x:c r="M27" s="31" t="n">
        <x:v>63.1543124616</x:v>
      </x:c>
      <x:c r="N27" s="24" t="str">
        <x:v>carangidae</x:v>
      </x:c>
      <x:c r="O27" s="32" t="n">
        <x:v>4.05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Carangidae</x:v>
      </x:c>
      <x:c r="T27" s="32" t="n">
        <x:f>IF(O27="","",(1/'Metadata'!$B$5)^(O27-1))</x:f>
        <x:v>1122.018454301963</x:v>
      </x:c>
      <x:c r="U27" s="31" t="n">
        <x:f>IF(T27="","",I27*T27)</x:f>
        <x:v>70860.30405066763</x:v>
      </x:c>
    </x:row>
    <x:row r="28" ht="18" customHeight="1">
      <x:c r="A28" s="24" t="str">
        <x:v>EEZ_954</x:v>
      </x:c>
      <x:c r="B28" s="24" t="str">
        <x:v>South Africa (Indian Ocean Coast)</x:v>
      </x:c>
      <x:c r="C28" s="24" t="str">
        <x:v>EEZ</x:v>
      </x:c>
      <x:c r="D28" s="30" t="n">
        <x:v>2019</x:v>
      </x:c>
      <x:c r="E28" s="24" t="str">
        <x:v>Cheimerius nufar</x:v>
      </x:c>
      <x:c r="F28" s="24" t="str">
        <x:v>Santer seabream</x:v>
      </x:c>
      <x:c r="G28" s="24" t="str">
        <x:v>Medium reef assoc. fish (30 - 89 cm)</x:v>
      </x:c>
      <x:c r="H28" s="24" t="str">
        <x:v>Perch-likes</x:v>
      </x:c>
      <x:c r="I28" s="31" t="n">
        <x:v>53.150000000000006</x:v>
      </x:c>
      <x:c r="J28" s="31" t="n">
        <x:v>53.150000000000006</x:v>
      </x:c>
      <x:c r="K28" s="31" t="n">
        <x:v>0</x:v>
      </x:c>
      <x:c r="L28" s="31" t="n">
        <x:v>53.150000000000006</x:v>
      </x:c>
      <x:c r="M28" s="31" t="n">
        <x:v>0</x:v>
      </x:c>
      <x:c r="N28" s="24" t="str">
        <x:v>cheimerius nufar</x:v>
      </x:c>
      <x:c r="O28" s="32" t="n">
        <x:v>3.54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Cheimerius nufar</x:v>
      </x:c>
      <x:c r="T28" s="32" t="n">
        <x:f>IF(O28="","",(1/'Metadata'!$B$5)^(O28-1))</x:f>
        <x:v>346.73685045253166</x:v>
      </x:c>
      <x:c r="U28" s="31" t="n">
        <x:f>IF(T28="","",I28*T28)</x:f>
        <x:v>18429.063601552058</x:v>
      </x:c>
    </x:row>
    <x:row r="29" ht="18" customHeight="1">
      <x:c r="A29" s="24" t="str">
        <x:v>EEZ_954</x:v>
      </x:c>
      <x:c r="B29" s="24" t="str">
        <x:v>South Africa (Indian Ocean Coast)</x:v>
      </x:c>
      <x:c r="C29" s="24" t="str">
        <x:v>EEZ</x:v>
      </x:c>
      <x:c r="D29" s="30" t="n">
        <x:v>2019</x:v>
      </x:c>
      <x:c r="E29" s="24" t="str">
        <x:v>Sardinops sagax</x:v>
      </x:c>
      <x:c r="F29" s="24" t="str">
        <x:v>South American pilchard</x:v>
      </x:c>
      <x:c r="G29" s="24" t="str">
        <x:v>Medium pelagics (30 - 89 cm)</x:v>
      </x:c>
      <x:c r="H29" s="24" t="str">
        <x:v>Herring-likes</x:v>
      </x:c>
      <x:c r="I29" s="31" t="n">
        <x:v>52.68000000000001</x:v>
      </x:c>
      <x:c r="J29" s="31" t="n">
        <x:v>52.68000000000001</x:v>
      </x:c>
      <x:c r="K29" s="31" t="n">
        <x:v>0</x:v>
      </x:c>
      <x:c r="L29" s="31" t="n">
        <x:v>52.68000000000001</x:v>
      </x:c>
      <x:c r="M29" s="31" t="n">
        <x:v>0</x:v>
      </x:c>
      <x:c r="N29" s="24" t="str">
        <x:v>sardinops sagax</x:v>
      </x:c>
      <x:c r="O29" s="32" t="n">
        <x:v>2.84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Sardinops sagax</x:v>
      </x:c>
      <x:c r="T29" s="32" t="n">
        <x:f>IF(O29="","",(1/'Metadata'!$B$5)^(O29-1))</x:f>
        <x:v>69.18309709189363</x:v>
      </x:c>
      <x:c r="U29" s="31" t="n">
        <x:f>IF(T29="","",I29*T29)</x:f>
        <x:v>3644.5655548009568</x:v>
      </x:c>
    </x:row>
    <x:row r="30" ht="18" customHeight="1">
      <x:c r="A30" s="24" t="str">
        <x:v>EEZ_954</x:v>
      </x:c>
      <x:c r="B30" s="24" t="str">
        <x:v>South Africa (Indian Ocean Coast)</x:v>
      </x:c>
      <x:c r="C30" s="24" t="str">
        <x:v>EEZ</x:v>
      </x:c>
      <x:c r="D30" s="30" t="n">
        <x:v>2019</x:v>
      </x:c>
      <x:c r="E30" s="24" t="str">
        <x:v>Merlucciidae</x:v>
      </x:c>
      <x:c r="F30" s="24" t="str">
        <x:v>Merluccid hakes</x:v>
      </x:c>
      <x:c r="G30" s="24" t="str">
        <x:v>Large bathydemersals (&gt;=90 cm)</x:v>
      </x:c>
      <x:c r="H30" s="24" t="str">
        <x:v>Cod-likes</x:v>
      </x:c>
      <x:c r="I30" s="31" t="n">
        <x:v>46.6332297628</x:v>
      </x:c>
      <x:c r="J30" s="31" t="n">
        <x:v>46.6332297628</x:v>
      </x:c>
      <x:c r="K30" s="31" t="n">
        <x:v>0</x:v>
      </x:c>
      <x:c r="L30" s="31" t="n">
        <x:v>0</x:v>
      </x:c>
      <x:c r="M30" s="31" t="n">
        <x:v>46.6332297628</x:v>
      </x:c>
      <x:c r="N30" s="24" t="str">
        <x:v>merlucciidae</x:v>
      </x:c>
      <x:c r="O30" s="32" t="n">
        <x:v>4.35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Merlucciidae</x:v>
      </x:c>
      <x:c r="T30" s="32" t="n">
        <x:f>IF(O30="","",(1/'Metadata'!$B$5)^(O30-1))</x:f>
        <x:v>2238.7211385683377</x:v>
      </x:c>
      <x:c r="U30" s="31" t="n">
        <x:f>IF(T30="","",I30*T30)</x:f>
        <x:v>104398.79722969451</x:v>
      </x:c>
    </x:row>
    <x:row r="31" ht="18" customHeight="1">
      <x:c r="A31" s="24" t="str">
        <x:v>EEZ_954</x:v>
      </x:c>
      <x:c r="B31" s="24" t="str">
        <x:v>South Africa (Indian Ocean Coast)</x:v>
      </x:c>
      <x:c r="C31" s="24" t="str">
        <x:v>EEZ</x:v>
      </x:c>
      <x:c r="D31" s="30" t="n">
        <x:v>2019</x:v>
      </x:c>
      <x:c r="E31" s="24" t="str">
        <x:v>Dendrobranchiata</x:v>
      </x:c>
      <x:c r="F31" s="24" t="str">
        <x:v>Shrimps and prawns</x:v>
      </x:c>
      <x:c r="G31" s="24" t="str">
        <x:v>Shrimps</x:v>
      </x:c>
      <x:c r="H31" s="24" t="str">
        <x:v>Crustaceans</x:v>
      </x:c>
      <x:c r="I31" s="31" t="n">
        <x:v>45.9934652786</x:v>
      </x:c>
      <x:c r="J31" s="31" t="n">
        <x:v>45.9934652786</x:v>
      </x:c>
      <x:c r="K31" s="31" t="n">
        <x:v>0</x:v>
      </x:c>
      <x:c r="L31" s="31" t="n">
        <x:v>0</x:v>
      </x:c>
      <x:c r="M31" s="31" t="n">
        <x:v>45.9934652786</x:v>
      </x:c>
      <x:c r="N31" s="24" t="str">
        <x:v>dendrobranchiata</x:v>
      </x:c>
      <x:c r="O31" s="32" t="n">
        <x:v>3.24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Dendrobranchiata</x:v>
      </x:c>
      <x:c r="T31" s="32" t="n">
        <x:f>IF(O31="","",(1/'Metadata'!$B$5)^(O31-1))</x:f>
        <x:v>173.78008287493762</x:v>
      </x:c>
      <x:c r="U31" s="31" t="n">
        <x:f>IF(T31="","",I31*T31)</x:f>
        <x:v>7992.748207820674</x:v>
      </x:c>
    </x:row>
    <x:row r="32" ht="18" customHeight="1">
      <x:c r="A32" s="24" t="str">
        <x:v>EEZ_954</x:v>
      </x:c>
      <x:c r="B32" s="24" t="str">
        <x:v>South Africa (Indian Ocean Coast)</x:v>
      </x:c>
      <x:c r="C32" s="24" t="str">
        <x:v>EEZ</x:v>
      </x:c>
      <x:c r="D32" s="30" t="n">
        <x:v>2019</x:v>
      </x:c>
      <x:c r="E32" s="24" t="str">
        <x:v>Palinuridae</x:v>
      </x:c>
      <x:c r="F32" s="24" t="str">
        <x:v>Spiny lobsters</x:v>
      </x:c>
      <x:c r="G32" s="24" t="str">
        <x:v>Lobsters, crabs</x:v>
      </x:c>
      <x:c r="H32" s="24" t="str">
        <x:v>Crustaceans</x:v>
      </x:c>
      <x:c r="I32" s="31" t="n">
        <x:v>44.759003713</x:v>
      </x:c>
      <x:c r="J32" s="31" t="n">
        <x:v>44.759003713</x:v>
      </x:c>
      <x:c r="K32" s="31" t="n">
        <x:v>0</x:v>
      </x:c>
      <x:c r="L32" s="31" t="n">
        <x:v>0</x:v>
      </x:c>
      <x:c r="M32" s="31" t="n">
        <x:v>44.759003713</x:v>
      </x:c>
      <x:c r="N32" s="24" t="str">
        <x:v>palinuridae</x:v>
      </x:c>
      <x:c r="O32" s="32" t="n">
        <x:v>3.14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Palinuridae</x:v>
      </x:c>
      <x:c r="T32" s="32" t="n">
        <x:f>IF(O32="","",(1/'Metadata'!$B$5)^(O32-1))</x:f>
        <x:v>138.03842646028852</x:v>
      </x:c>
      <x:c r="U32" s="31" t="n">
        <x:f>IF(T32="","",I32*T32)</x:f>
        <x:v>6178.462442472731</x:v>
      </x:c>
    </x:row>
    <x:row r="33" ht="18" customHeight="1">
      <x:c r="A33" s="24" t="str">
        <x:v>EEZ_954</x:v>
      </x:c>
      <x:c r="B33" s="24" t="str">
        <x:v>South Africa (Indian Ocean Coast)</x:v>
      </x:c>
      <x:c r="C33" s="24" t="str">
        <x:v>EEZ</x:v>
      </x:c>
      <x:c r="D33" s="30" t="n">
        <x:v>2019</x:v>
      </x:c>
      <x:c r="E33" s="24" t="str">
        <x:v>Atractoscion aequidens</x:v>
      </x:c>
      <x:c r="F33" s="24" t="str">
        <x:v>Geelbek croaker</x:v>
      </x:c>
      <x:c r="G33" s="24" t="str">
        <x:v>Large benthopelagics (&gt;=90 cm)</x:v>
      </x:c>
      <x:c r="H33" s="24" t="str">
        <x:v>Perch-likes</x:v>
      </x:c>
      <x:c r="I33" s="31" t="n">
        <x:v>42.9261174323</x:v>
      </x:c>
      <x:c r="J33" s="31" t="n">
        <x:v>42.9261174323</x:v>
      </x:c>
      <x:c r="K33" s="31" t="n">
        <x:v>0</x:v>
      </x:c>
      <x:c r="L33" s="31" t="n">
        <x:v>31.07</x:v>
      </x:c>
      <x:c r="M33" s="31" t="n">
        <x:v>11.856117432300001</x:v>
      </x:c>
      <x:c r="N33" s="24" t="str">
        <x:v>atractoscion aequidens</x:v>
      </x:c>
      <x:c r="O33" s="32" t="n">
        <x:v>3.77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Atractoscion aequidens</x:v>
      </x:c>
      <x:c r="T33" s="32" t="n">
        <x:f>IF(O33="","",(1/'Metadata'!$B$5)^(O33-1))</x:f>
        <x:v>588.843655355589</x:v>
      </x:c>
      <x:c r="U33" s="31" t="n">
        <x:f>IF(T33="","",I33*T33)</x:f>
        <x:v>25276.771899058804</x:v>
      </x:c>
    </x:row>
    <x:row r="34" ht="18" customHeight="1">
      <x:c r="A34" s="24" t="str">
        <x:v>EEZ_954</x:v>
      </x:c>
      <x:c r="B34" s="24" t="str">
        <x:v>South Africa (Indian Ocean Coast)</x:v>
      </x:c>
      <x:c r="C34" s="24" t="str">
        <x:v>EEZ</x:v>
      </x:c>
      <x:c r="D34" s="30" t="n">
        <x:v>2019</x:v>
      </x:c>
      <x:c r="E34" s="24" t="str">
        <x:v>Merluccius</x:v>
      </x:c>
      <x:c r="F34" s="24" t="str">
        <x:v>Hakes</x:v>
      </x:c>
      <x:c r="G34" s="24" t="str">
        <x:v>Medium bathydemersals (30 - 89 cm)</x:v>
      </x:c>
      <x:c r="H34" s="24" t="str">
        <x:v>Cod-likes</x:v>
      </x:c>
      <x:c r="I34" s="31" t="n">
        <x:v>31.7</x:v>
      </x:c>
      <x:c r="J34" s="31" t="n">
        <x:v>31.7</x:v>
      </x:c>
      <x:c r="K34" s="31" t="n">
        <x:v>0</x:v>
      </x:c>
      <x:c r="L34" s="31" t="n">
        <x:v>31.7</x:v>
      </x:c>
      <x:c r="M34" s="31" t="n">
        <x:v>0</x:v>
      </x:c>
      <x:c r="N34" s="24" t="str">
        <x:v>merluccius</x:v>
      </x:c>
      <x:c r="O34" s="32" t="n">
        <x:v>4.27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Merluccius</x:v>
      </x:c>
      <x:c r="T34" s="32" t="n">
        <x:f>IF(O34="","",(1/'Metadata'!$B$5)^(O34-1))</x:f>
        <x:v>1862.0871366628655</x:v>
      </x:c>
      <x:c r="U34" s="31" t="n">
        <x:f>IF(T34="","",I34*T34)</x:f>
        <x:v>59028.16223221284</x:v>
      </x:c>
    </x:row>
    <x:row r="35" ht="18" customHeight="1">
      <x:c r="A35" s="24" t="str">
        <x:v>EEZ_954</x:v>
      </x:c>
      <x:c r="B35" s="24" t="str">
        <x:v>South Africa (Indian Ocean Coast)</x:v>
      </x:c>
      <x:c r="C35" s="24" t="str">
        <x:v>EEZ</x:v>
      </x:c>
      <x:c r="D35" s="30" t="n">
        <x:v>2019</x:v>
      </x:c>
      <x:c r="E35" s="24" t="str">
        <x:v>Coryphaena</x:v>
      </x:c>
      <x:c r="F35" s="24" t="str">
        <x:v>Dolphinfishes</x:v>
      </x:c>
      <x:c r="G35" s="24" t="str">
        <x:v>Large pelagics (&gt;=90 cm)</x:v>
      </x:c>
      <x:c r="H35" s="24" t="str">
        <x:v>Perch-likes</x:v>
      </x:c>
      <x:c r="I35" s="31" t="n">
        <x:v>28.8240713747</x:v>
      </x:c>
      <x:c r="J35" s="31" t="n">
        <x:v>28.8240713747</x:v>
      </x:c>
      <x:c r="K35" s="31" t="n">
        <x:v>0</x:v>
      </x:c>
      <x:c r="L35" s="31" t="n">
        <x:v>0</x:v>
      </x:c>
      <x:c r="M35" s="31" t="n">
        <x:v>28.8240713747</x:v>
      </x:c>
      <x:c r="N35" s="24" t="str">
        <x:v>coryphaena</x:v>
      </x:c>
      <x:c r="O35" s="32" t="n">
        <x:v>4.49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Coryphaena</x:v>
      </x:c>
      <x:c r="T35" s="32" t="n">
        <x:f>IF(O35="","",(1/'Metadata'!$B$5)^(O35-1))</x:f>
        <x:v>3090.295432513592</x:v>
      </x:c>
      <x:c r="U35" s="31" t="n">
        <x:f>IF(T35="","",I35*T35)</x:f>
        <x:v>89074.89611568119</x:v>
      </x:c>
    </x:row>
    <x:row r="36" ht="18" customHeight="1">
      <x:c r="A36" s="24" t="str">
        <x:v>EEZ_954</x:v>
      </x:c>
      <x:c r="B36" s="24" t="str">
        <x:v>South Africa (Indian Ocean Coast)</x:v>
      </x:c>
      <x:c r="C36" s="24" t="str">
        <x:v>EEZ</x:v>
      </x:c>
      <x:c r="D36" s="30" t="n">
        <x:v>2019</x:v>
      </x:c>
      <x:c r="E36" s="24" t="str">
        <x:v>Palinurus delagoae</x:v>
      </x:c>
      <x:c r="F36" s="24" t="str">
        <x:v>Natal spiny lobster</x:v>
      </x:c>
      <x:c r="G36" s="24" t="str">
        <x:v>Lobsters, crabs</x:v>
      </x:c>
      <x:c r="H36" s="24" t="str">
        <x:v>Crustaceans</x:v>
      </x:c>
      <x:c r="I36" s="31" t="n">
        <x:v>27</x:v>
      </x:c>
      <x:c r="J36" s="31" t="n">
        <x:v>27</x:v>
      </x:c>
      <x:c r="K36" s="31" t="n">
        <x:v>0</x:v>
      </x:c>
      <x:c r="L36" s="31" t="n">
        <x:v>27</x:v>
      </x:c>
      <x:c r="M36" s="31" t="n">
        <x:v>0</x:v>
      </x:c>
      <x:c r="N36" s="24" t="str">
        <x:v>palinurus delagoae</x:v>
      </x:c>
      <x:c r="O36" s="32" t="n">
        <x:v>2.6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Palinurus delagoae</x:v>
      </x:c>
      <x:c r="T36" s="32" t="n">
        <x:f>IF(O36="","",(1/'Metadata'!$B$5)^(O36-1))</x:f>
        <x:v>39.810717055349734</x:v>
      </x:c>
      <x:c r="U36" s="31" t="n">
        <x:f>IF(T36="","",I36*T36)</x:f>
        <x:v>1074.8893604944428</x:v>
      </x:c>
    </x:row>
    <x:row r="37" ht="18" customHeight="1">
      <x:c r="A37" s="24" t="str">
        <x:v>EEZ_954</x:v>
      </x:c>
      <x:c r="B37" s="24" t="str">
        <x:v>South Africa (Indian Ocean Coast)</x:v>
      </x:c>
      <x:c r="C37" s="24" t="str">
        <x:v>EEZ</x:v>
      </x:c>
      <x:c r="D37" s="30" t="n">
        <x:v>2019</x:v>
      </x:c>
      <x:c r="E37" s="24" t="str">
        <x:v>Isurus oxyrinchus</x:v>
      </x:c>
      <x:c r="F37" s="24" t="str">
        <x:v>Shortfin mako</x:v>
      </x:c>
      <x:c r="G37" s="24" t="str">
        <x:v>Large sharks (&gt;=90 cm)</x:v>
      </x:c>
      <x:c r="H37" s="24" t="str">
        <x:v>Sharks &amp; rays</x:v>
      </x:c>
      <x:c r="I37" s="31" t="n">
        <x:v>26.204990398</x:v>
      </x:c>
      <x:c r="J37" s="31" t="n">
        <x:v>26.204990398</x:v>
      </x:c>
      <x:c r="K37" s="31" t="n">
        <x:v>0</x:v>
      </x:c>
      <x:c r="L37" s="31" t="n">
        <x:v>26.204990398</x:v>
      </x:c>
      <x:c r="M37" s="31" t="n">
        <x:v>0</x:v>
      </x:c>
      <x:c r="N37" s="24" t="str">
        <x:v>isurus oxyrinchus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Isurus oxyrinchus</x:v>
      </x:c>
      <x:c r="T37" s="32" t="n">
        <x:f>IF(O37="","",(1/'Metadata'!$B$5)^(O37-1))</x:f>
        <x:v>3162.2776601683795</x:v>
      </x:c>
      <x:c r="U37" s="31" t="n">
        <x:f>IF(T37="","",I37*T37)</x:f>
        <x:v>82867.4557205223</x:v>
      </x:c>
    </x:row>
    <x:row r="38" ht="18" customHeight="1">
      <x:c r="A38" s="24" t="str">
        <x:v>EEZ_954</x:v>
      </x:c>
      <x:c r="B38" s="24" t="str">
        <x:v>South Africa (Indian Ocean Coast)</x:v>
      </x:c>
      <x:c r="C38" s="24" t="str">
        <x:v>EEZ</x:v>
      </x:c>
      <x:c r="D38" s="30" t="n">
        <x:v>2019</x:v>
      </x:c>
      <x:c r="E38" s="24" t="str">
        <x:v>Lethrinidae</x:v>
      </x:c>
      <x:c r="F38" s="24" t="str">
        <x:v>Emperors, scavengers</x:v>
      </x:c>
      <x:c r="G38" s="24" t="str">
        <x:v>Medium reef assoc. fish (30 - 89 cm)</x:v>
      </x:c>
      <x:c r="H38" s="24" t="str">
        <x:v>Perch-likes</x:v>
      </x:c>
      <x:c r="I38" s="31" t="n">
        <x:v>23.0592570958</x:v>
      </x:c>
      <x:c r="J38" s="31" t="n">
        <x:v>23.0592570958</x:v>
      </x:c>
      <x:c r="K38" s="31" t="n">
        <x:v>0</x:v>
      </x:c>
      <x:c r="L38" s="31" t="n">
        <x:v>0</x:v>
      </x:c>
      <x:c r="M38" s="31" t="n">
        <x:v>23.0592570958</x:v>
      </x:c>
      <x:c r="N38" s="24" t="str">
        <x:v>lethrinidae</x:v>
      </x:c>
      <x:c r="O38" s="32" t="n">
        <x:v>3.59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Lethrinidae</x:v>
      </x:c>
      <x:c r="T38" s="32" t="n">
        <x:f>IF(O38="","",(1/'Metadata'!$B$5)^(O38-1))</x:f>
        <x:v>389.04514499428046</x:v>
      </x:c>
      <x:c r="U38" s="31" t="n">
        <x:f>IF(T38="","",I38*T38)</x:f>
        <x:v>8971.092020295902</x:v>
      </x:c>
    </x:row>
    <x:row r="39" ht="18" customHeight="1">
      <x:c r="A39" s="24" t="str">
        <x:v>EEZ_954</x:v>
      </x:c>
      <x:c r="B39" s="24" t="str">
        <x:v>South Africa (Indian Ocean Coast)</x:v>
      </x:c>
      <x:c r="C39" s="24" t="str">
        <x:v>EEZ</x:v>
      </x:c>
      <x:c r="D39" s="30" t="n">
        <x:v>2019</x:v>
      </x:c>
      <x:c r="E39" s="24" t="str">
        <x:v>Thunnus obesus</x:v>
      </x:c>
      <x:c r="F39" s="24" t="str">
        <x:v>Bigeye tuna</x:v>
      </x:c>
      <x:c r="G39" s="24" t="str">
        <x:v>Large pelagics (&gt;=90 cm)</x:v>
      </x:c>
      <x:c r="H39" s="24" t="str">
        <x:v>Tuna &amp; billfishes</x:v>
      </x:c>
      <x:c r="I39" s="31" t="n">
        <x:v>21.4012862561</x:v>
      </x:c>
      <x:c r="J39" s="31" t="n">
        <x:v>21.4012862561</x:v>
      </x:c>
      <x:c r="K39" s="31" t="n">
        <x:v>0</x:v>
      </x:c>
      <x:c r="L39" s="31" t="n">
        <x:v>21.4012862561</x:v>
      </x:c>
      <x:c r="M39" s="31" t="n">
        <x:v>0</x:v>
      </x:c>
      <x:c r="N39" s="24" t="str">
        <x:v>thunnus obesus</x:v>
      </x:c>
      <x:c r="O39" s="32" t="n">
        <x:v>4.49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obesus</x:v>
      </x:c>
      <x:c r="T39" s="32" t="n">
        <x:f>IF(O39="","",(1/'Metadata'!$B$5)^(O39-1))</x:f>
        <x:v>3090.295432513592</x:v>
      </x:c>
      <x:c r="U39" s="31" t="n">
        <x:f>IF(T39="","",I39*T39)</x:f>
        <x:v>66136.29716714175</x:v>
      </x:c>
    </x:row>
    <x:row r="40" ht="18" customHeight="1">
      <x:c r="A40" s="24" t="str">
        <x:v>EEZ_954</x:v>
      </x:c>
      <x:c r="B40" s="24" t="str">
        <x:v>South Africa (Indian Ocean Coast)</x:v>
      </x:c>
      <x:c r="C40" s="24" t="str">
        <x:v>EEZ</x:v>
      </x:c>
      <x:c r="D40" s="30" t="n">
        <x:v>2019</x:v>
      </x:c>
      <x:c r="E40" s="24" t="str">
        <x:v>Serranidae</x:v>
      </x:c>
      <x:c r="F40" s="24" t="str">
        <x:v>Basses, groupers, hinds</x:v>
      </x:c>
      <x:c r="G40" s="24" t="str">
        <x:v>Medium reef assoc. fish (30 - 89 cm)</x:v>
      </x:c>
      <x:c r="H40" s="24" t="str">
        <x:v>Perch-likes</x:v>
      </x:c>
      <x:c r="I40" s="31" t="n">
        <x:v>18.23</x:v>
      </x:c>
      <x:c r="J40" s="31" t="n">
        <x:v>18.23</x:v>
      </x:c>
      <x:c r="K40" s="31" t="n">
        <x:v>0</x:v>
      </x:c>
      <x:c r="L40" s="31" t="n">
        <x:v>18.23</x:v>
      </x:c>
      <x:c r="M40" s="31" t="n">
        <x:v>0</x:v>
      </x:c>
      <x:c r="N40" s="24" t="str">
        <x:v>serranidae</x:v>
      </x:c>
      <x:c r="O40" s="32" t="n">
        <x:v>3.98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Serranidae</x:v>
      </x:c>
      <x:c r="T40" s="32" t="n">
        <x:f>IF(O40="","",(1/'Metadata'!$B$5)^(O40-1))</x:f>
        <x:v>954.992586021436</x:v>
      </x:c>
      <x:c r="U40" s="31" t="n">
        <x:f>IF(T40="","",I40*T40)</x:f>
        <x:v>17409.51484317078</x:v>
      </x:c>
    </x:row>
    <x:row r="41" ht="18" customHeight="1">
      <x:c r="A41" s="24" t="str">
        <x:v>EEZ_954</x:v>
      </x:c>
      <x:c r="B41" s="24" t="str">
        <x:v>South Africa (Indian Ocean Coast)</x:v>
      </x:c>
      <x:c r="C41" s="24" t="str">
        <x:v>EEZ</x:v>
      </x:c>
      <x:c r="D41" s="30" t="n">
        <x:v>2019</x:v>
      </x:c>
      <x:c r="E41" s="24" t="str">
        <x:v>Thunnus maccoyii</x:v>
      </x:c>
      <x:c r="F41" s="24" t="str">
        <x:v>Southern bluefin tuna</x:v>
      </x:c>
      <x:c r="G41" s="24" t="str">
        <x:v>Large pelagics (&gt;=90 cm)</x:v>
      </x:c>
      <x:c r="H41" s="24" t="str">
        <x:v>Tuna &amp; billfishes</x:v>
      </x:c>
      <x:c r="I41" s="31" t="n">
        <x:v>17.0892390143</x:v>
      </x:c>
      <x:c r="J41" s="31" t="n">
        <x:v>17.0892390143</x:v>
      </x:c>
      <x:c r="K41" s="31" t="n">
        <x:v>0</x:v>
      </x:c>
      <x:c r="L41" s="31" t="n">
        <x:v>17.0892390143</x:v>
      </x:c>
      <x:c r="M41" s="31" t="n">
        <x:v>0</x:v>
      </x:c>
      <x:c r="N41" s="24" t="str">
        <x:v>thunnus maccoyii</x:v>
      </x:c>
      <x:c r="O41" s="32" t="n">
        <x:v>3.93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Thunnus maccoyii</x:v>
      </x:c>
      <x:c r="T41" s="32" t="n">
        <x:f>IF(O41="","",(1/'Metadata'!$B$5)^(O41-1))</x:f>
        <x:v>851.1380382023768</x:v>
      </x:c>
      <x:c r="U41" s="31" t="n">
        <x:f>IF(T41="","",I41*T41)</x:f>
        <x:v>14545.30136900282</x:v>
      </x:c>
    </x:row>
    <x:row r="42" ht="18" customHeight="1">
      <x:c r="A42" s="24" t="str">
        <x:v>EEZ_954</x:v>
      </x:c>
      <x:c r="B42" s="24" t="str">
        <x:v>South Africa (Indian Ocean Coast)</x:v>
      </x:c>
      <x:c r="C42" s="24" t="str">
        <x:v>EEZ</x:v>
      </x:c>
      <x:c r="D42" s="30" t="n">
        <x:v>2019</x:v>
      </x:c>
      <x:c r="E42" s="24" t="str">
        <x:v>Octopoda</x:v>
      </x:c>
      <x:c r="F42" s="24" t="str">
        <x:v>Octopuses, argonauts</x:v>
      </x:c>
      <x:c r="G42" s="24" t="str">
        <x:v>Cephalopods</x:v>
      </x:c>
      <x:c r="H42" s="24" t="str">
        <x:v>Other fishes &amp; inverts</x:v>
      </x:c>
      <x:c r="I42" s="31" t="n">
        <x:v>16.7</x:v>
      </x:c>
      <x:c r="J42" s="31" t="n">
        <x:v>16.7</x:v>
      </x:c>
      <x:c r="K42" s="31" t="n">
        <x:v>0</x:v>
      </x:c>
      <x:c r="L42" s="31" t="n">
        <x:v>16.7</x:v>
      </x:c>
      <x:c r="M42" s="31" t="n">
        <x:v>0</x:v>
      </x:c>
      <x:c r="N42" s="24" t="str">
        <x:v>octopoda</x:v>
      </x:c>
      <x:c r="O42" s="32" t="n">
        <x:v>3.58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Octopoda</x:v>
      </x:c>
      <x:c r="T42" s="32" t="n">
        <x:f>IF(O42="","",(1/'Metadata'!$B$5)^(O42-1))</x:f>
        <x:v>380.1893963205613</x:v>
      </x:c>
      <x:c r="U42" s="31" t="n">
        <x:f>IF(T42="","",I42*T42)</x:f>
        <x:v>6349.162918553373</x:v>
      </x:c>
    </x:row>
    <x:row r="43" ht="18" customHeight="1">
      <x:c r="A43" s="24" t="str">
        <x:v>EEZ_954</x:v>
      </x:c>
      <x:c r="B43" s="24" t="str">
        <x:v>South Africa (Indian Ocean Coast)</x:v>
      </x:c>
      <x:c r="C43" s="24" t="str">
        <x:v>EEZ</x:v>
      </x:c>
      <x:c r="D43" s="30" t="n">
        <x:v>2019</x:v>
      </x:c>
      <x:c r="E43" s="24" t="str">
        <x:v>Dalatias licha</x:v>
      </x:c>
      <x:c r="F43" s="24" t="str">
        <x:v>Kitefin shark</x:v>
      </x:c>
      <x:c r="G43" s="24" t="str">
        <x:v>Large sharks (&gt;=90 cm)</x:v>
      </x:c>
      <x:c r="H43" s="24" t="str">
        <x:v>Sharks &amp; rays</x:v>
      </x:c>
      <x:c r="I43" s="31" t="n">
        <x:v>13.93</x:v>
      </x:c>
      <x:c r="J43" s="31" t="n">
        <x:v>13.93</x:v>
      </x:c>
      <x:c r="K43" s="31" t="n">
        <x:v>0</x:v>
      </x:c>
      <x:c r="L43" s="31" t="n">
        <x:v>13.93</x:v>
      </x:c>
      <x:c r="M43" s="31" t="n">
        <x:v>0</x:v>
      </x:c>
      <x:c r="N43" s="24" t="str">
        <x:v>dalatias licha</x:v>
      </x:c>
      <x:c r="O43" s="32" t="n">
        <x:v>4.23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Dalatias licha</x:v>
      </x:c>
      <x:c r="T43" s="32" t="n">
        <x:f>IF(O43="","",(1/'Metadata'!$B$5)^(O43-1))</x:f>
        <x:v>1698.243652461746</x:v>
      </x:c>
      <x:c r="U43" s="31" t="n">
        <x:f>IF(T43="","",I43*T43)</x:f>
        <x:v>23656.534078792123</x:v>
      </x:c>
    </x:row>
    <x:row r="44" ht="18" customHeight="1">
      <x:c r="A44" s="24" t="str">
        <x:v>EEZ_954</x:v>
      </x:c>
      <x:c r="B44" s="24" t="str">
        <x:v>South Africa (Indian Ocean Coast)</x:v>
      </x:c>
      <x:c r="C44" s="24" t="str">
        <x:v>EEZ</x:v>
      </x:c>
      <x:c r="D44" s="30" t="n">
        <x:v>2019</x:v>
      </x:c>
      <x:c r="E44" s="24" t="str">
        <x:v>Penaeus</x:v>
      </x:c>
      <x:c r="F44" s="24" t="str">
        <x:v>Tiger prawns</x:v>
      </x:c>
      <x:c r="G44" s="24" t="str">
        <x:v>Shrimps</x:v>
      </x:c>
      <x:c r="H44" s="24" t="str">
        <x:v>Crustaceans</x:v>
      </x:c>
      <x:c r="I44" s="31" t="n">
        <x:v>10.19</x:v>
      </x:c>
      <x:c r="J44" s="31" t="n">
        <x:v>10.19</x:v>
      </x:c>
      <x:c r="K44" s="31" t="n">
        <x:v>0</x:v>
      </x:c>
      <x:c r="L44" s="31" t="n">
        <x:v>10.19</x:v>
      </x:c>
      <x:c r="M44" s="31" t="n">
        <x:v>0</x:v>
      </x:c>
      <x:c r="N44" s="24" t="str">
        <x:v>penaeus</x:v>
      </x:c>
      <x:c r="O44" s="32" t="n">
        <x:v>2.7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Penaeus</x:v>
      </x:c>
      <x:c r="T44" s="32" t="n">
        <x:f>IF(O44="","",(1/'Metadata'!$B$5)^(O44-1))</x:f>
        <x:v>50.11872336272725</x:v>
      </x:c>
      <x:c r="U44" s="31" t="n">
        <x:f>IF(T44="","",I44*T44)</x:f>
        <x:v>510.7097910661907</x:v>
      </x:c>
    </x:row>
    <x:row r="45" ht="18" customHeight="1">
      <x:c r="A45" s="24" t="str">
        <x:v>EEZ_954</x:v>
      </x:c>
      <x:c r="B45" s="24" t="str">
        <x:v>South Africa (Indian Ocean Coast)</x:v>
      </x:c>
      <x:c r="C45" s="24" t="str">
        <x:v>EEZ</x:v>
      </x:c>
      <x:c r="D45" s="30" t="n">
        <x:v>2019</x:v>
      </x:c>
      <x:c r="E45" s="24" t="str">
        <x:v>Scorpaenidae</x:v>
      </x:c>
      <x:c r="F45" s="24" t="str">
        <x:v>Scorpionfishes, rockfishes</x:v>
      </x:c>
      <x:c r="G45" s="24" t="str">
        <x:v>Large reef assoc. fish (&gt;=90 cm)</x:v>
      </x:c>
      <x:c r="H45" s="24" t="str">
        <x:v>Scorpionfishes</x:v>
      </x:c>
      <x:c r="I45" s="31" t="n">
        <x:v>10.020000000000001</x:v>
      </x:c>
      <x:c r="J45" s="31" t="n">
        <x:v>10.020000000000001</x:v>
      </x:c>
      <x:c r="K45" s="31" t="n">
        <x:v>0</x:v>
      </x:c>
      <x:c r="L45" s="31" t="n">
        <x:v>10.020000000000001</x:v>
      </x:c>
      <x:c r="M45" s="31" t="n">
        <x:v>0</x:v>
      </x:c>
      <x:c r="N45" s="24" t="str">
        <x:v>scorpaenidae</x:v>
      </x:c>
      <x:c r="O45" s="32" t="n">
        <x:v>3.92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Scorpaenidae</x:v>
      </x:c>
      <x:c r="T45" s="32" t="n">
        <x:f>IF(O45="","",(1/'Metadata'!$B$5)^(O45-1))</x:f>
        <x:v>831.7637711026708</x:v>
      </x:c>
      <x:c r="U45" s="31" t="n">
        <x:f>IF(T45="","",I45*T45)</x:f>
        <x:v>8334.272986448763</x:v>
      </x:c>
    </x:row>
    <x:row r="46" ht="18" customHeight="1">
      <x:c r="A46" s="24" t="str">
        <x:v>EEZ_954</x:v>
      </x:c>
      <x:c r="B46" s="24" t="str">
        <x:v>South Africa (Indian Ocean Coast)</x:v>
      </x:c>
      <x:c r="C46" s="24" t="str">
        <x:v>EEZ</x:v>
      </x:c>
      <x:c r="D46" s="30" t="n">
        <x:v>2019</x:v>
      </x:c>
      <x:c r="E46" s="24" t="str">
        <x:v>Decapoda</x:v>
      </x:c>
      <x:c r="F46" s="24" t="str">
        <x:v>Crabs, lobsters, shrimps</x:v>
      </x:c>
      <x:c r="G46" s="24" t="str">
        <x:v>Lobsters, crabs</x:v>
      </x:c>
      <x:c r="H46" s="24" t="str">
        <x:v>Crustaceans</x:v>
      </x:c>
      <x:c r="I46" s="31" t="n">
        <x:v>8.9083291728</x:v>
      </x:c>
      <x:c r="J46" s="31" t="n">
        <x:v>8.9083291728</x:v>
      </x:c>
      <x:c r="K46" s="31" t="n">
        <x:v>0</x:v>
      </x:c>
      <x:c r="L46" s="31" t="n">
        <x:v>0</x:v>
      </x:c>
      <x:c r="M46" s="31" t="n">
        <x:v>8.9083291728</x:v>
      </x:c>
      <x:c r="N46" s="24" t="str">
        <x:v>decapoda</x:v>
      </x:c>
      <x:c r="O46" s="32" t="n">
        <x:v>3.43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Decapoda</x:v>
      </x:c>
      <x:c r="T46" s="32" t="n">
        <x:f>IF(O46="","",(1/'Metadata'!$B$5)^(O46-1))</x:f>
        <x:v>269.1534803926917</x:v>
      </x:c>
      <x:c r="U46" s="31" t="n">
        <x:f>IF(T46="","",I46*T46)</x:f>
        <x:v>2397.707801342868</x:v>
      </x:c>
    </x:row>
    <x:row r="47" ht="18" customHeight="1">
      <x:c r="A47" s="24" t="str">
        <x:v>EEZ_954</x:v>
      </x:c>
      <x:c r="B47" s="24" t="str">
        <x:v>South Africa (Indian Ocean Coast)</x:v>
      </x:c>
      <x:c r="C47" s="24" t="str">
        <x:v>EEZ</x:v>
      </x:c>
      <x:c r="D47" s="30" t="n">
        <x:v>2019</x:v>
      </x:c>
      <x:c r="E47" s="24" t="str">
        <x:v>Cnidaria</x:v>
      </x:c>
      <x:c r="F47" s="24" t="str">
        <x:v>Cnidarians, coelenterates</x:v>
      </x:c>
      <x:c r="G47" s="24" t="str">
        <x:v>Jellyfish</x:v>
      </x:c>
      <x:c r="H47" s="24" t="str">
        <x:v>Other fishes &amp; inverts</x:v>
      </x:c>
      <x:c r="I47" s="31" t="n">
        <x:v>5.4331037568</x:v>
      </x:c>
      <x:c r="J47" s="31" t="n">
        <x:v>5.4331037568</x:v>
      </x:c>
      <x:c r="K47" s="31" t="n">
        <x:v>0</x:v>
      </x:c>
      <x:c r="L47" s="31" t="n">
        <x:v>5.4331037568</x:v>
      </x:c>
      <x:c r="M47" s="31" t="n">
        <x:v>0</x:v>
      </x:c>
      <x:c r="N47" s="24" t="str">
        <x:v>cnidaria</x:v>
      </x:c>
      <x:c r="O47" s="32" t="n">
        <x:v>2.5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Cnidaria</x:v>
      </x:c>
      <x:c r="T47" s="32" t="n">
        <x:f>IF(O47="","",(1/'Metadata'!$B$5)^(O47-1))</x:f>
        <x:v>31.622776601683793</x:v>
      </x:c>
      <x:c r="U47" s="31" t="n">
        <x:f>IF(T47="","",I47*T47)</x:f>
        <x:v>171.80982635505535</x:v>
      </x:c>
    </x:row>
    <x:row r="48" ht="18" customHeight="1">
      <x:c r="A48" s="24" t="str">
        <x:v>EEZ_954</x:v>
      </x:c>
      <x:c r="B48" s="24" t="str">
        <x:v>South Africa (Indian Ocean Coast)</x:v>
      </x:c>
      <x:c r="C48" s="24" t="str">
        <x:v>EEZ</x:v>
      </x:c>
      <x:c r="D48" s="30" t="n">
        <x:v>2019</x:v>
      </x:c>
      <x:c r="E48" s="24" t="str">
        <x:v>Coryphaena hippurus</x:v>
      </x:c>
      <x:c r="F48" s="24" t="str">
        <x:v>Common dolphinfish</x:v>
      </x:c>
      <x:c r="G48" s="24" t="str">
        <x:v>Large pelagics (&gt;=90 cm)</x:v>
      </x:c>
      <x:c r="H48" s="24" t="str">
        <x:v>Perch-likes</x:v>
      </x:c>
      <x:c r="I48" s="31" t="n">
        <x:v>5.1193880751</x:v>
      </x:c>
      <x:c r="J48" s="31" t="n">
        <x:v>5.1193880751</x:v>
      </x:c>
      <x:c r="K48" s="31" t="n">
        <x:v>0</x:v>
      </x:c>
      <x:c r="L48" s="31" t="n">
        <x:v>5.1193880751</x:v>
      </x:c>
      <x:c r="M48" s="31" t="n">
        <x:v>0</x:v>
      </x:c>
      <x:c r="N48" s="24" t="str">
        <x:v>coryphaena hippurus</x:v>
      </x:c>
      <x:c r="O48" s="32" t="n">
        <x:v>4.37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Coryphaena hippurus</x:v>
      </x:c>
      <x:c r="T48" s="32" t="n">
        <x:f>IF(O48="","",(1/'Metadata'!$B$5)^(O48-1))</x:f>
        <x:v>2344.228815319923</x:v>
      </x:c>
      <x:c r="U48" s="31" t="n">
        <x:f>IF(T48="","",I48*T48)</x:f>
        <x:v>12001.017042454612</x:v>
      </x:c>
    </x:row>
    <x:row r="49" ht="18" customHeight="1">
      <x:c r="A49" s="24" t="str">
        <x:v>EEZ_954</x:v>
      </x:c>
      <x:c r="B49" s="24" t="str">
        <x:v>South Africa (Indian Ocean Coast)</x:v>
      </x:c>
      <x:c r="C49" s="24" t="str">
        <x:v>EEZ</x:v>
      </x:c>
      <x:c r="D49" s="30" t="n">
        <x:v>2019</x:v>
      </x:c>
      <x:c r="E49" s="24" t="str">
        <x:v>Istiompax indica</x:v>
      </x:c>
      <x:c r="F49" s="24" t="str">
        <x:v>Black marlin</x:v>
      </x:c>
      <x:c r="G49" s="24" t="str">
        <x:v>Large pelagics (&gt;=90 cm)</x:v>
      </x:c>
      <x:c r="H49" s="24" t="str">
        <x:v>Tuna &amp; billfishes</x:v>
      </x:c>
      <x:c r="I49" s="31" t="n">
        <x:v>5.105387203699999</x:v>
      </x:c>
      <x:c r="J49" s="31" t="n">
        <x:v>5.105387203699999</x:v>
      </x:c>
      <x:c r="K49" s="31" t="n">
        <x:v>0</x:v>
      </x:c>
      <x:c r="L49" s="31" t="n">
        <x:v>5.105387203699999</x:v>
      </x:c>
      <x:c r="M49" s="31" t="n">
        <x:v>0</x:v>
      </x:c>
      <x:c r="N49" s="24" t="str">
        <x:v>istiompax indica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Istiompax indica</x:v>
      </x:c>
      <x:c r="T49" s="32" t="n">
        <x:f>IF(O49="","",(1/'Metadata'!$B$5)^(O49-1))</x:f>
        <x:v>3162.2776601683795</x:v>
      </x:c>
      <x:c r="U49" s="31" t="n">
        <x:f>IF(T49="","",I49*T49)</x:f>
        <x:v>16144.65190077002</x:v>
      </x:c>
    </x:row>
    <x:row r="50" ht="18" customHeight="1">
      <x:c r="A50" s="24" t="str">
        <x:v>EEZ_954</x:v>
      </x:c>
      <x:c r="B50" s="24" t="str">
        <x:v>South Africa (Indian Ocean Coast)</x:v>
      </x:c>
      <x:c r="C50" s="24" t="str">
        <x:v>EEZ</x:v>
      </x:c>
      <x:c r="D50" s="30" t="n">
        <x:v>2019</x:v>
      </x:c>
      <x:c r="E50" s="24" t="str">
        <x:v>Zeus faber</x:v>
      </x:c>
      <x:c r="F50" s="24" t="str">
        <x:v>John dory</x:v>
      </x:c>
      <x:c r="G50" s="24" t="str">
        <x:v>Medium benthopelagics (30 - 89 cm)</x:v>
      </x:c>
      <x:c r="H50" s="24" t="str">
        <x:v>Other fishes &amp; inverts</x:v>
      </x:c>
      <x:c r="I50" s="31" t="n">
        <x:v>4.5</x:v>
      </x:c>
      <x:c r="J50" s="31" t="n">
        <x:v>4.5</x:v>
      </x:c>
      <x:c r="K50" s="31" t="n">
        <x:v>0</x:v>
      </x:c>
      <x:c r="L50" s="31" t="n">
        <x:v>4.5</x:v>
      </x:c>
      <x:c r="M50" s="31" t="n">
        <x:v>0</x:v>
      </x:c>
      <x:c r="N50" s="24" t="str">
        <x:v>zeus faber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Zeus faber</x:v>
      </x:c>
      <x:c r="T50" s="32" t="n">
        <x:f>IF(O50="","",(1/'Metadata'!$B$5)^(O50-1))</x:f>
        <x:v>3162.2776601683795</x:v>
      </x:c>
      <x:c r="U50" s="31" t="n">
        <x:f>IF(T50="","",I50*T50)</x:f>
        <x:v>14230.249470757708</x:v>
      </x:c>
    </x:row>
    <x:row r="51" ht="18" customHeight="1">
      <x:c r="A51" s="24" t="str">
        <x:v>EEZ_954</x:v>
      </x:c>
      <x:c r="B51" s="24" t="str">
        <x:v>South Africa (Indian Ocean Coast)</x:v>
      </x:c>
      <x:c r="C51" s="24" t="str">
        <x:v>EEZ</x:v>
      </x:c>
      <x:c r="D51" s="30" t="n">
        <x:v>2019</x:v>
      </x:c>
      <x:c r="E51" s="24" t="str">
        <x:v>Cymatoceps nasutus</x:v>
      </x:c>
      <x:c r="F51" s="24" t="str">
        <x:v>Black musselcracker</x:v>
      </x:c>
      <x:c r="G51" s="24" t="str">
        <x:v>Large demersals (&gt;=90 cm)</x:v>
      </x:c>
      <x:c r="H51" s="24" t="str">
        <x:v>Perch-likes</x:v>
      </x:c>
      <x:c r="I51" s="31" t="n">
        <x:v>3.7199999999999998</x:v>
      </x:c>
      <x:c r="J51" s="31" t="n">
        <x:v>3.7199999999999998</x:v>
      </x:c>
      <x:c r="K51" s="31" t="n">
        <x:v>0</x:v>
      </x:c>
      <x:c r="L51" s="31" t="n">
        <x:v>3.7199999999999998</x:v>
      </x:c>
      <x:c r="M51" s="31" t="n">
        <x:v>0</x:v>
      </x:c>
      <x:c r="N51" s="24" t="str">
        <x:v>cymatoceps nasutus</x:v>
      </x:c>
      <x:c r="O51" s="32" t="n">
        <x:v>3.56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Cymatoceps nasutus</x:v>
      </x:c>
      <x:c r="T51" s="32" t="n">
        <x:f>IF(O51="","",(1/'Metadata'!$B$5)^(O51-1))</x:f>
        <x:v>363.0780547701014</x:v>
      </x:c>
      <x:c r="U51" s="31" t="n">
        <x:f>IF(T51="","",I51*T51)</x:f>
        <x:v>1350.6503637447772</x:v>
      </x:c>
    </x:row>
    <x:row r="52" ht="18" customHeight="1">
      <x:c r="A52" s="24" t="str">
        <x:v>EEZ_954</x:v>
      </x:c>
      <x:c r="B52" s="24" t="str">
        <x:v>South Africa (Indian Ocean Coast)</x:v>
      </x:c>
      <x:c r="C52" s="24" t="str">
        <x:v>EEZ</x:v>
      </x:c>
      <x:c r="D52" s="30" t="n">
        <x:v>2019</x:v>
      </x:c>
      <x:c r="E52" s="24" t="str">
        <x:v>Diplodus</x:v>
      </x:c>
      <x:c r="F52" s="24" t="str">
        <x:v>Two-toothed seabreams</x:v>
      </x:c>
      <x:c r="G52" s="24" t="str">
        <x:v>Medium benthopelagics (30 - 89 cm)</x:v>
      </x:c>
      <x:c r="H52" s="24" t="str">
        <x:v>Perch-likes</x:v>
      </x:c>
      <x:c r="I52" s="31" t="n">
        <x:v>3.11</x:v>
      </x:c>
      <x:c r="J52" s="31" t="n">
        <x:v>3.11</x:v>
      </x:c>
      <x:c r="K52" s="31" t="n">
        <x:v>0</x:v>
      </x:c>
      <x:c r="L52" s="31" t="n">
        <x:v>3.11</x:v>
      </x:c>
      <x:c r="M52" s="31" t="n">
        <x:v>0</x:v>
      </x:c>
      <x:c r="N52" s="24" t="str">
        <x:v>diplodus</x:v>
      </x:c>
      <x:c r="O52" s="32" t="n">
        <x:v>2.97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Diplodus</x:v>
      </x:c>
      <x:c r="T52" s="32" t="n">
        <x:f>IF(O52="","",(1/'Metadata'!$B$5)^(O52-1))</x:f>
        <x:v>93.32543007969915</x:v>
      </x:c>
      <x:c r="U52" s="31" t="n">
        <x:f>IF(T52="","",I52*T52)</x:f>
        <x:v>290.24208754786434</x:v>
      </x:c>
    </x:row>
    <x:row r="53" ht="18" customHeight="1">
      <x:c r="A53" s="24" t="str">
        <x:v>EEZ_954</x:v>
      </x:c>
      <x:c r="B53" s="24" t="str">
        <x:v>South Africa (Indian Ocean Coast)</x:v>
      </x:c>
      <x:c r="C53" s="24" t="str">
        <x:v>EEZ</x:v>
      </x:c>
      <x:c r="D53" s="30" t="n">
        <x:v>2019</x:v>
      </x:c>
      <x:c r="E53" s="24" t="str">
        <x:v>Rajiformes</x:v>
      </x:c>
      <x:c r="F53" s="24" t="str">
        <x:v>Skates and rays</x:v>
      </x:c>
      <x:c r="G53" s="24" t="str">
        <x:v>Large rays (&gt;=90 cm)</x:v>
      </x:c>
      <x:c r="H53" s="24" t="str">
        <x:v>Sharks &amp; rays</x:v>
      </x:c>
      <x:c r="I53" s="31" t="n">
        <x:v>3.0944374289</x:v>
      </x:c>
      <x:c r="J53" s="31" t="n">
        <x:v>3.0944374289</x:v>
      </x:c>
      <x:c r="K53" s="31" t="n">
        <x:v>0</x:v>
      </x:c>
      <x:c r="L53" s="31" t="n">
        <x:v>3.0944374289</x:v>
      </x:c>
      <x:c r="M53" s="31" t="n">
        <x:v>0</x:v>
      </x:c>
      <x:c r="N53" s="24" t="str">
        <x:v>rajiformes</x:v>
      </x:c>
      <x:c r="O53" s="32" t="n">
        <x:v>3.61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Rajiformes</x:v>
      </x:c>
      <x:c r="T53" s="32" t="n">
        <x:f>IF(O53="","",(1/'Metadata'!$B$5)^(O53-1))</x:f>
        <x:v>407.3802778041126</x:v>
      </x:c>
      <x:c r="U53" s="31" t="n">
        <x:f>IF(T53="","",I53*T53)</x:f>
        <x:v>1260.612779432726</x:v>
      </x:c>
    </x:row>
    <x:row r="54" ht="18" customHeight="1">
      <x:c r="A54" s="24" t="str">
        <x:v>EEZ_954</x:v>
      </x:c>
      <x:c r="B54" s="24" t="str">
        <x:v>South Africa (Indian Ocean Coast)</x:v>
      </x:c>
      <x:c r="C54" s="24" t="str">
        <x:v>EEZ</x:v>
      </x:c>
      <x:c r="D54" s="30" t="n">
        <x:v>2019</x:v>
      </x:c>
      <x:c r="E54" s="24" t="str">
        <x:v>Carcharhinidae</x:v>
      </x:c>
      <x:c r="F54" s="24" t="str">
        <x:v>Requiem sharks</x:v>
      </x:c>
      <x:c r="G54" s="24" t="str">
        <x:v>Large sharks (&gt;=90 cm)</x:v>
      </x:c>
      <x:c r="H54" s="24" t="str">
        <x:v>Sharks &amp; rays</x:v>
      </x:c>
      <x:c r="I54" s="31" t="n">
        <x:v>2.9065908054</x:v>
      </x:c>
      <x:c r="J54" s="31" t="n">
        <x:v>2.9065908054</x:v>
      </x:c>
      <x:c r="K54" s="31" t="n">
        <x:v>0</x:v>
      </x:c>
      <x:c r="L54" s="31" t="n">
        <x:v>0</x:v>
      </x:c>
      <x:c r="M54" s="31" t="n">
        <x:v>2.9065908054</x:v>
      </x:c>
      <x:c r="N54" s="24" t="str">
        <x:v>carcharhinidae</x:v>
      </x:c>
      <x:c r="O54" s="32" t="n">
        <x:v>4.24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Carcharhinidae</x:v>
      </x:c>
      <x:c r="T54" s="32" t="n">
        <x:f>IF(O54="","",(1/'Metadata'!$B$5)^(O54-1))</x:f>
        <x:v>1737.8008287493763</x:v>
      </x:c>
      <x:c r="U54" s="31" t="n">
        <x:f>IF(T54="","",I54*T54)</x:f>
        <x:v>5051.075910459437</x:v>
      </x:c>
    </x:row>
    <x:row r="55" ht="18" customHeight="1">
      <x:c r="A55" s="24" t="str">
        <x:v>EEZ_954</x:v>
      </x:c>
      <x:c r="B55" s="24" t="str">
        <x:v>South Africa (Indian Ocean Coast)</x:v>
      </x:c>
      <x:c r="C55" s="24" t="str">
        <x:v>EEZ</x:v>
      </x:c>
      <x:c r="D55" s="30" t="n">
        <x:v>2019</x:v>
      </x:c>
      <x:c r="E55" s="24" t="str">
        <x:v>Otolithes ruber</x:v>
      </x:c>
      <x:c r="F55" s="24" t="str">
        <x:v>Tigertooth croaker</x:v>
      </x:c>
      <x:c r="G55" s="24" t="str">
        <x:v>Medium benthopelagics (30 - 89 cm)</x:v>
      </x:c>
      <x:c r="H55" s="24" t="str">
        <x:v>Perch-likes</x:v>
      </x:c>
      <x:c r="I55" s="31" t="n">
        <x:v>2.6764063837000003</x:v>
      </x:c>
      <x:c r="J55" s="31" t="n">
        <x:v>2.6</x:v>
      </x:c>
      <x:c r="K55" s="31" t="n">
        <x:v>0.0764063837</x:v>
      </x:c>
      <x:c r="L55" s="31" t="n">
        <x:v>2.6</x:v>
      </x:c>
      <x:c r="M55" s="31" t="n">
        <x:v>0.0764063837</x:v>
      </x:c>
      <x:c r="N55" s="24" t="str">
        <x:v>otolithes ruber</x:v>
      </x:c>
      <x:c r="O55" s="32" t="n">
        <x:v>3.6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Otolithes ruber</x:v>
      </x:c>
      <x:c r="T55" s="32" t="n">
        <x:f>IF(O55="","",(1/'Metadata'!$B$5)^(O55-1))</x:f>
        <x:v>398.1071705534973</x:v>
      </x:c>
      <x:c r="U55" s="31" t="n">
        <x:f>IF(T55="","",I55*T55)</x:f>
        <x:v>1065.496572666125</x:v>
      </x:c>
    </x:row>
    <x:row r="56" ht="18" customHeight="1">
      <x:c r="A56" s="24" t="str">
        <x:v>EEZ_954</x:v>
      </x:c>
      <x:c r="B56" s="24" t="str">
        <x:v>South Africa (Indian Ocean Coast)</x:v>
      </x:c>
      <x:c r="C56" s="24" t="str">
        <x:v>EEZ</x:v>
      </x:c>
      <x:c r="D56" s="30" t="n">
        <x:v>2019</x:v>
      </x:c>
      <x:c r="E56" s="24" t="str">
        <x:v>Marine pelagic fishes not identified</x:v>
      </x:c>
      <x:c r="F56" s="24" t="str">
        <x:v>Pelagic fishes</x:v>
      </x:c>
      <x:c r="G56" s="24" t="str">
        <x:v>Medium pelagics (30 - 89 cm)</x:v>
      </x:c>
      <x:c r="H56" s="24" t="str">
        <x:v>Other fishes &amp; inverts</x:v>
      </x:c>
      <x:c r="I56" s="31" t="n">
        <x:v>2.6497790214</x:v>
      </x:c>
      <x:c r="J56" s="31" t="n">
        <x:v>2.6497790214</x:v>
      </x:c>
      <x:c r="K56" s="31" t="n">
        <x:v>0</x:v>
      </x:c>
      <x:c r="L56" s="31" t="n">
        <x:v>2.6497790214</x:v>
      </x:c>
      <x:c r="M56" s="31" t="n">
        <x:v>0</x:v>
      </x:c>
      <x:c r="N56" s="24" t="str">
        <x:v>marine pelagic fishes not identified</x:v>
      </x:c>
      <x:c r="O56" s="32" t="n">
        <x:v>3.35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Marine pelagic fishes not identified</x:v>
      </x:c>
      <x:c r="T56" s="32" t="n">
        <x:f>IF(O56="","",(1/'Metadata'!$B$5)^(O56-1))</x:f>
        <x:v>223.872113856834</x:v>
      </x:c>
      <x:c r="U56" s="31" t="n">
        <x:f>IF(T56="","",I56*T56)</x:f>
        <x:v>593.2116307743111</x:v>
      </x:c>
    </x:row>
    <x:row r="57" ht="18" customHeight="1">
      <x:c r="A57" s="24" t="str">
        <x:v>EEZ_954</x:v>
      </x:c>
      <x:c r="B57" s="24" t="str">
        <x:v>South Africa (Indian Ocean Coast)</x:v>
      </x:c>
      <x:c r="C57" s="24" t="str">
        <x:v>EEZ</x:v>
      </x:c>
      <x:c r="D57" s="30" t="n">
        <x:v>2019</x:v>
      </x:c>
      <x:c r="E57" s="24" t="str">
        <x:v>Kajikia audax</x:v>
      </x:c>
      <x:c r="F57" s="24" t="str">
        <x:v>Striped marlin</x:v>
      </x:c>
      <x:c r="G57" s="24" t="str">
        <x:v>Large pelagics (&gt;=90 cm)</x:v>
      </x:c>
      <x:c r="H57" s="24" t="str">
        <x:v>Tuna &amp; billfishes</x:v>
      </x:c>
      <x:c r="I57" s="31" t="n">
        <x:v>2.2174842428</x:v>
      </x:c>
      <x:c r="J57" s="31" t="n">
        <x:v>2.2174842428</x:v>
      </x:c>
      <x:c r="K57" s="31" t="n">
        <x:v>0</x:v>
      </x:c>
      <x:c r="L57" s="31" t="n">
        <x:v>2.2174842428</x:v>
      </x:c>
      <x:c r="M57" s="31" t="n">
        <x:v>0</x:v>
      </x:c>
      <x:c r="N57" s="24" t="str">
        <x:v>kajikia audax</x:v>
      </x:c>
      <x:c r="O57" s="32" t="n">
        <x:v>4.58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Kajikia audax</x:v>
      </x:c>
      <x:c r="T57" s="32" t="n">
        <x:f>IF(O57="","",(1/'Metadata'!$B$5)^(O57-1))</x:f>
        <x:v>3801.8939632056126</x:v>
      </x:c>
      <x:c r="U57" s="31" t="n">
        <x:f>IF(T57="","",I57*T57)</x:f>
        <x:v>8430.639956204888</x:v>
      </x:c>
    </x:row>
    <x:row r="58" ht="18" customHeight="1">
      <x:c r="A58" s="24" t="str">
        <x:v>EEZ_954</x:v>
      </x:c>
      <x:c r="B58" s="24" t="str">
        <x:v>South Africa (Indian Ocean Coast)</x:v>
      </x:c>
      <x:c r="C58" s="24" t="str">
        <x:v>EEZ</x:v>
      </x:c>
      <x:c r="D58" s="30" t="n">
        <x:v>2019</x:v>
      </x:c>
      <x:c r="E58" s="24" t="str">
        <x:v>Merluccius capensis</x:v>
      </x:c>
      <x:c r="F58" s="24" t="str">
        <x:v>Shallow-water Cape hake</x:v>
      </x:c>
      <x:c r="G58" s="24" t="str">
        <x:v>Large bathydemersals (&gt;=90 cm)</x:v>
      </x:c>
      <x:c r="H58" s="24" t="str">
        <x:v>Cod-likes</x:v>
      </x:c>
      <x:c r="I58" s="31" t="n">
        <x:v>0.5086356496</x:v>
      </x:c>
      <x:c r="J58" s="31" t="n">
        <x:v>0</x:v>
      </x:c>
      <x:c r="K58" s="31" t="n">
        <x:v>0.5086356496</x:v>
      </x:c>
      <x:c r="L58" s="31" t="n">
        <x:v>0</x:v>
      </x:c>
      <x:c r="M58" s="31" t="n">
        <x:v>0.5086356496</x:v>
      </x:c>
      <x:c r="N58" s="24" t="str">
        <x:v>merluccius capensis</x:v>
      </x:c>
      <x:c r="O58" s="32" t="n">
        <x:v>4.46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Merluccius capensis</x:v>
      </x:c>
      <x:c r="T58" s="32" t="n">
        <x:f>IF(O58="","",(1/'Metadata'!$B$5)^(O58-1))</x:f>
        <x:v>2884.031503126606</x:v>
      </x:c>
      <x:c r="U58" s="31" t="n">
        <x:f>IF(T58="","",I58*T58)</x:f>
        <x:v>1466.9212370596656</x:v>
      </x:c>
    </x:row>
    <x:row r="59" ht="18" customHeight="1">
      <x:c r="A59" s="24" t="str">
        <x:v>EEZ_954</x:v>
      </x:c>
      <x:c r="B59" s="24" t="str">
        <x:v>South Africa (Indian Ocean Coast)</x:v>
      </x:c>
      <x:c r="C59" s="24" t="str">
        <x:v>EEZ</x:v>
      </x:c>
      <x:c r="D59" s="30" t="n">
        <x:v>2019</x:v>
      </x:c>
      <x:c r="E59" s="24" t="str">
        <x:v>Scomberomorus commerson</x:v>
      </x:c>
      <x:c r="F59" s="24" t="str">
        <x:v>Narrow-barred Spanish mackerel</x:v>
      </x:c>
      <x:c r="G59" s="24" t="str">
        <x:v>Large pelagics (&gt;=90 cm)</x:v>
      </x:c>
      <x:c r="H59" s="24" t="str">
        <x:v>Perch-likes</x:v>
      </x:c>
      <x:c r="I59" s="31" t="n">
        <x:v>0.46</x:v>
      </x:c>
      <x:c r="J59" s="31" t="n">
        <x:v>0.46</x:v>
      </x:c>
      <x:c r="K59" s="31" t="n">
        <x:v>0</x:v>
      </x:c>
      <x:c r="L59" s="31" t="n">
        <x:v>0.46</x:v>
      </x:c>
      <x:c r="M59" s="31" t="n">
        <x:v>0</x:v>
      </x:c>
      <x:c r="N59" s="24" t="str">
        <x:v>scomberomorus commerson</x:v>
      </x:c>
      <x:c r="O59" s="32" t="n">
        <x:v>4.5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Scomberomorus commerson</x:v>
      </x:c>
      <x:c r="T59" s="32" t="n">
        <x:f>IF(O59="","",(1/'Metadata'!$B$5)^(O59-1))</x:f>
        <x:v>3162.2776601683795</x:v>
      </x:c>
      <x:c r="U59" s="31" t="n">
        <x:f>IF(T59="","",I59*T59)</x:f>
        <x:v>1454.6477236774547</x:v>
      </x:c>
    </x:row>
    <x:row r="60" ht="18" customHeight="1">
      <x:c r="A60" s="24" t="str">
        <x:v>EEZ_954</x:v>
      </x:c>
      <x:c r="B60" s="24" t="str">
        <x:v>South Africa (Indian Ocean Coast)</x:v>
      </x:c>
      <x:c r="C60" s="24" t="str">
        <x:v>EEZ</x:v>
      </x:c>
      <x:c r="D60" s="30" t="n">
        <x:v>2019</x:v>
      </x:c>
      <x:c r="E60" s="24" t="str">
        <x:v>Leiognathidae</x:v>
      </x:c>
      <x:c r="F60" s="24" t="str">
        <x:v>Slipmouths, ponyfishes</x:v>
      </x:c>
      <x:c r="G60" s="24" t="str">
        <x:v>Small benthopelagics (&lt;30 cm)</x:v>
      </x:c>
      <x:c r="H60" s="24" t="str">
        <x:v>Perch-likes</x:v>
      </x:c>
      <x:c r="I60" s="31" t="n">
        <x:v>0.3399772413</x:v>
      </x:c>
      <x:c r="J60" s="31" t="n">
        <x:v>0</x:v>
      </x:c>
      <x:c r="K60" s="31" t="n">
        <x:v>0.3399772413</x:v>
      </x:c>
      <x:c r="L60" s="31" t="n">
        <x:v>0</x:v>
      </x:c>
      <x:c r="M60" s="31" t="n">
        <x:v>0.3399772413</x:v>
      </x:c>
      <x:c r="N60" s="24" t="str">
        <x:v>leiognathidae</x:v>
      </x:c>
      <x:c r="O60" s="32" t="n">
        <x:v>3.24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Leiognathidae</x:v>
      </x:c>
      <x:c r="T60" s="32" t="n">
        <x:f>IF(O60="","",(1/'Metadata'!$B$5)^(O60-1))</x:f>
        <x:v>173.78008287493762</x:v>
      </x:c>
      <x:c r="U60" s="31" t="n">
        <x:f>IF(T60="","",I60*T60)</x:f>
        <x:v>59.081273168706666</x:v>
      </x:c>
    </x:row>
    <x:row r="61" ht="18" customHeight="1">
      <x:c r="A61" s="24" t="str">
        <x:v>EEZ_954</x:v>
      </x:c>
      <x:c r="B61" s="24" t="str">
        <x:v>South Africa (Indian Ocean Coast)</x:v>
      </x:c>
      <x:c r="C61" s="24" t="str">
        <x:v>EEZ</x:v>
      </x:c>
      <x:c r="D61" s="30" t="n">
        <x:v>2019</x:v>
      </x:c>
      <x:c r="E61" s="24" t="str">
        <x:v>Acanthocybium solandri</x:v>
      </x:c>
      <x:c r="F61" s="24" t="str">
        <x:v>Wahoo</x:v>
      </x:c>
      <x:c r="G61" s="24" t="str">
        <x:v>Large pelagics (&gt;=90 cm)</x:v>
      </x:c>
      <x:c r="H61" s="24" t="str">
        <x:v>Perch-likes</x:v>
      </x:c>
      <x:c r="I61" s="31" t="n">
        <x:v>0.2355680027</x:v>
      </x:c>
      <x:c r="J61" s="31" t="n">
        <x:v>0.2355680027</x:v>
      </x:c>
      <x:c r="K61" s="31" t="n">
        <x:v>0</x:v>
      </x:c>
      <x:c r="L61" s="31" t="n">
        <x:v>0.2355680027</x:v>
      </x:c>
      <x:c r="M61" s="31" t="n">
        <x:v>0</x:v>
      </x:c>
      <x:c r="N61" s="24" t="str">
        <x:v>acanthocybium solandri</x:v>
      </x:c>
      <x:c r="O61" s="32" t="n">
        <x:v>4.26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Acanthocybium solandri</x:v>
      </x:c>
      <x:c r="T61" s="32" t="n">
        <x:f>IF(O61="","",(1/'Metadata'!$B$5)^(O61-1))</x:f>
        <x:v>1819.7008586099826</x:v>
      </x:c>
      <x:c r="U61" s="31" t="n">
        <x:f>IF(T61="","",I61*T61)</x:f>
        <x:v>428.6632967742287</x:v>
      </x:c>
    </x:row>
    <x:row r="62" ht="18" customHeight="1">
      <x:c r="A62" s="24" t="str">
        <x:v>EEZ_954</x:v>
      </x:c>
      <x:c r="B62" s="24" t="str">
        <x:v>South Africa (Indian Ocean Coast)</x:v>
      </x:c>
      <x:c r="C62" s="24" t="str">
        <x:v>EEZ</x:v>
      </x:c>
      <x:c r="D62" s="30" t="n">
        <x:v>2019</x:v>
      </x:c>
      <x:c r="E62" s="24" t="str">
        <x:v>Mugil cephalus</x:v>
      </x:c>
      <x:c r="F62" s="24" t="str">
        <x:v>Flathead grey mullet</x:v>
      </x:c>
      <x:c r="G62" s="24" t="str">
        <x:v>Large benthopelagics (&gt;=90 cm)</x:v>
      </x:c>
      <x:c r="H62" s="24" t="str">
        <x:v>Perch-likes</x:v>
      </x:c>
      <x:c r="I62" s="31" t="n">
        <x:v>0.2317250595</x:v>
      </x:c>
      <x:c r="J62" s="31" t="n">
        <x:v>0</x:v>
      </x:c>
      <x:c r="K62" s="31" t="n">
        <x:v>0.2317250595</x:v>
      </x:c>
      <x:c r="L62" s="31" t="n">
        <x:v>0</x:v>
      </x:c>
      <x:c r="M62" s="31" t="n">
        <x:v>0.2317250595</x:v>
      </x:c>
      <x:c r="N62" s="24" t="str">
        <x:v>mugil cephalus</x:v>
      </x:c>
      <x:c r="O62" s="32" t="n">
        <x:v>2.14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Mugil cephalus</x:v>
      </x:c>
      <x:c r="T62" s="32" t="n">
        <x:f>IF(O62="","",(1/'Metadata'!$B$5)^(O62-1))</x:f>
        <x:v>13.803842646028853</x:v>
      </x:c>
      <x:c r="U62" s="31" t="n">
        <x:f>IF(T62="","",I62*T62)</x:f>
        <x:v>3.198696258479673</x:v>
      </x:c>
    </x:row>
    <x:row r="63" ht="18" customHeight="1">
      <x:c r="A63" s="24" t="str">
        <x:v>EEZ_954</x:v>
      </x:c>
      <x:c r="B63" s="24" t="str">
        <x:v>South Africa (Indian Ocean Coast)</x:v>
      </x:c>
      <x:c r="C63" s="24" t="str">
        <x:v>EEZ</x:v>
      </x:c>
      <x:c r="D63" s="30" t="n">
        <x:v>2019</x:v>
      </x:c>
      <x:c r="E63" s="24" t="str">
        <x:v>Triglidae</x:v>
      </x:c>
      <x:c r="F63" s="24" t="str">
        <x:v>Searobins, gurnards</x:v>
      </x:c>
      <x:c r="G63" s="24" t="str">
        <x:v>Medium demersals (30 - 89 cm)</x:v>
      </x:c>
      <x:c r="H63" s="24" t="str">
        <x:v>Scorpionfishes</x:v>
      </x:c>
      <x:c r="I63" s="31" t="n">
        <x:v>0.1990313423</x:v>
      </x:c>
      <x:c r="J63" s="31" t="n">
        <x:v>0</x:v>
      </x:c>
      <x:c r="K63" s="31" t="n">
        <x:v>0.1990313423</x:v>
      </x:c>
      <x:c r="L63" s="31" t="n">
        <x:v>0</x:v>
      </x:c>
      <x:c r="M63" s="31" t="n">
        <x:v>0.1990313423</x:v>
      </x:c>
      <x:c r="N63" s="24" t="str">
        <x:v>triglidae</x:v>
      </x:c>
      <x:c r="O63" s="32" t="n">
        <x:v>3.74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Triglidae</x:v>
      </x:c>
      <x:c r="T63" s="32" t="n">
        <x:f>IF(O63="","",(1/'Metadata'!$B$5)^(O63-1))</x:f>
        <x:v>549.5408738576248</x:v>
      </x:c>
      <x:c r="U63" s="31" t="n">
        <x:f>IF(T63="","",I63*T63)</x:f>
        <x:v>109.37585777259804</x:v>
      </x:c>
    </x:row>
    <x:row r="64" ht="18" customHeight="1">
      <x:c r="A64" s="24" t="str">
        <x:v>EEZ_954</x:v>
      </x:c>
      <x:c r="B64" s="24" t="str">
        <x:v>South Africa (Indian Ocean Coast)</x:v>
      </x:c>
      <x:c r="C64" s="24" t="str">
        <x:v>EEZ</x:v>
      </x:c>
      <x:c r="D64" s="30" t="n">
        <x:v>2019</x:v>
      </x:c>
      <x:c r="E64" s="24" t="str">
        <x:v>Centrophorus granulosus</x:v>
      </x:c>
      <x:c r="F64" s="24" t="str">
        <x:v>Gulper shark</x:v>
      </x:c>
      <x:c r="G64" s="24" t="str">
        <x:v>Large sharks (&gt;=90 cm)</x:v>
      </x:c>
      <x:c r="H64" s="24" t="str">
        <x:v>Sharks &amp; rays</x:v>
      </x:c>
      <x:c r="I64" s="31" t="n">
        <x:v>0.19590303109999999</x:v>
      </x:c>
      <x:c r="J64" s="31" t="n">
        <x:v>0.19590303109999999</x:v>
      </x:c>
      <x:c r="K64" s="31" t="n">
        <x:v>0</x:v>
      </x:c>
      <x:c r="L64" s="31" t="n">
        <x:v>0.19590303109999999</x:v>
      </x:c>
      <x:c r="M64" s="31" t="n">
        <x:v>0</x:v>
      </x:c>
      <x:c r="N64" s="24" t="str">
        <x:v>centrophorus granulosus</x:v>
      </x:c>
      <x:c r="O64" s="32" t="n">
        <x:v>4.11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Centrophorus granulosus</x:v>
      </x:c>
      <x:c r="T64" s="32" t="n">
        <x:f>IF(O64="","",(1/'Metadata'!$B$5)^(O64-1))</x:f>
        <x:v>1288.249551693135</x:v>
      </x:c>
      <x:c r="U64" s="31" t="n">
        <x:f>IF(T64="","",I64*T64)</x:f>
        <x:v>252.37199198990123</x:v>
      </x:c>
    </x:row>
    <x:row r="65" ht="18" customHeight="1">
      <x:c r="A65" s="24" t="str">
        <x:v>EEZ_954</x:v>
      </x:c>
      <x:c r="B65" s="24" t="str">
        <x:v>South Africa (Indian Ocean Coast)</x:v>
      </x:c>
      <x:c r="C65" s="24" t="str">
        <x:v>EEZ</x:v>
      </x:c>
      <x:c r="D65" s="30" t="n">
        <x:v>2019</x:v>
      </x:c>
      <x:c r="E65" s="24" t="str">
        <x:v>Squalus</x:v>
      </x:c>
      <x:c r="F65" s="24" t="str">
        <x:v>Dogfishes</x:v>
      </x:c>
      <x:c r="G65" s="24" t="str">
        <x:v>Large sharks (&gt;=90 cm)</x:v>
      </x:c>
      <x:c r="H65" s="24" t="str">
        <x:v>Sharks &amp; rays</x:v>
      </x:c>
      <x:c r="I65" s="31" t="n">
        <x:v>0.1437448581</x:v>
      </x:c>
      <x:c r="J65" s="31" t="n">
        <x:v>0</x:v>
      </x:c>
      <x:c r="K65" s="31" t="n">
        <x:v>0.1437448581</x:v>
      </x:c>
      <x:c r="L65" s="31" t="n">
        <x:v>0</x:v>
      </x:c>
      <x:c r="M65" s="31" t="n">
        <x:v>0.1437448581</x:v>
      </x:c>
      <x:c r="N65" s="24" t="str">
        <x:v>squalus</x:v>
      </x:c>
      <x:c r="O65" s="32" t="n">
        <x:v>4.23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Squalus</x:v>
      </x:c>
      <x:c r="T65" s="32" t="n">
        <x:f>IF(O65="","",(1/'Metadata'!$B$5)^(O65-1))</x:f>
        <x:v>1698.243652461746</x:v>
      </x:c>
      <x:c r="U65" s="31" t="n">
        <x:f>IF(T65="","",I65*T65)</x:f>
        <x:v>244.11379284233942</x:v>
      </x:c>
    </x:row>
    <x:row r="66" ht="18" customHeight="1">
      <x:c r="A66" s="24" t="str">
        <x:v>EEZ_954</x:v>
      </x:c>
      <x:c r="B66" s="24" t="str">
        <x:v>South Africa (Indian Ocean Coast)</x:v>
      </x:c>
      <x:c r="C66" s="24" t="str">
        <x:v>EEZ</x:v>
      </x:c>
      <x:c r="D66" s="30" t="n">
        <x:v>2019</x:v>
      </x:c>
      <x:c r="E66" s="24" t="str">
        <x:v>Raja</x:v>
      </x:c>
      <x:c r="F66" s="24" t="str">
        <x:v>Stingrays, skates</x:v>
      </x:c>
      <x:c r="G66" s="24" t="str">
        <x:v>Small to medium rays (&lt;90 cm)</x:v>
      </x:c>
      <x:c r="H66" s="24" t="str">
        <x:v>Sharks &amp; rays</x:v>
      </x:c>
      <x:c r="I66" s="31" t="n">
        <x:v>0.1105729679</x:v>
      </x:c>
      <x:c r="J66" s="31" t="n">
        <x:v>0</x:v>
      </x:c>
      <x:c r="K66" s="31" t="n">
        <x:v>0.1105729679</x:v>
      </x:c>
      <x:c r="L66" s="31" t="n">
        <x:v>0</x:v>
      </x:c>
      <x:c r="M66" s="31" t="n">
        <x:v>0.1105729679</x:v>
      </x:c>
      <x:c r="N66" s="24" t="str">
        <x:v>raja</x:v>
      </x:c>
      <x:c r="O66" s="32" t="n">
        <x:v>3.8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Raja</x:v>
      </x:c>
      <x:c r="T66" s="32" t="n">
        <x:f>IF(O66="","",(1/'Metadata'!$B$5)^(O66-1))</x:f>
        <x:v>630.957344480193</x:v>
      </x:c>
      <x:c r="U66" s="31" t="n">
        <x:f>IF(T66="","",I66*T66)</x:f>
        <x:v>69.76682619747763</x:v>
      </x:c>
    </x:row>
    <x:row r="67" ht="18" customHeight="1">
      <x:c r="A67" s="24" t="str">
        <x:v>EEZ_954</x:v>
      </x:c>
      <x:c r="B67" s="24" t="str">
        <x:v>South Africa (Indian Ocean Coast)</x:v>
      </x:c>
      <x:c r="C67" s="24" t="str">
        <x:v>EEZ</x:v>
      </x:c>
      <x:c r="D67" s="30" t="n">
        <x:v>2019</x:v>
      </x:c>
      <x:c r="E67" s="24" t="str">
        <x:v>Katsuwonus pelamis</x:v>
      </x:c>
      <x:c r="F67" s="24" t="str">
        <x:v>Skipjack tuna</x:v>
      </x:c>
      <x:c r="G67" s="24" t="str">
        <x:v>Large pelagics (&gt;=90 cm)</x:v>
      </x:c>
      <x:c r="H67" s="24" t="str">
        <x:v>Tuna &amp; billfishes</x:v>
      </x:c>
      <x:c r="I67" s="31" t="n">
        <x:v>0.095005081</x:v>
      </x:c>
      <x:c r="J67" s="31" t="n">
        <x:v>0.095005081</x:v>
      </x:c>
      <x:c r="K67" s="31" t="n">
        <x:v>0</x:v>
      </x:c>
      <x:c r="L67" s="31" t="n">
        <x:v>0.0012614892</x:v>
      </x:c>
      <x:c r="M67" s="31" t="n">
        <x:v>0.0937435918</x:v>
      </x:c>
      <x:c r="N67" s="24" t="str">
        <x:v>katsuwonus pelamis</x:v>
      </x:c>
      <x:c r="O67" s="32" t="n">
        <x:v>4.43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Katsuwonus pelamis</x:v>
      </x:c>
      <x:c r="T67" s="32" t="n">
        <x:f>IF(O67="","",(1/'Metadata'!$B$5)^(O67-1))</x:f>
        <x:v>2691.534803926914</x:v>
      </x:c>
      <x:c r="U67" s="31" t="n">
        <x:f>IF(T67="","",I67*T67)</x:f>
        <x:v>255.7094820613956</x:v>
      </x:c>
    </x:row>
    <x:row r="68" ht="18" customHeight="1">
      <x:c r="A68" s="24" t="str">
        <x:v>EEZ_954</x:v>
      </x:c>
      <x:c r="B68" s="24" t="str">
        <x:v>South Africa (Indian Ocean Coast)</x:v>
      </x:c>
      <x:c r="C68" s="24" t="str">
        <x:v>EEZ</x:v>
      </x:c>
      <x:c r="D68" s="30" t="n">
        <x:v>2019</x:v>
      </x:c>
      <x:c r="E68" s="24" t="str">
        <x:v>Carcharhinus falciformis</x:v>
      </x:c>
      <x:c r="F68" s="24" t="str">
        <x:v>Silky shark</x:v>
      </x:c>
      <x:c r="G68" s="24" t="str">
        <x:v>Large sharks (&gt;=90 cm)</x:v>
      </x:c>
      <x:c r="H68" s="24" t="str">
        <x:v>Sharks &amp; rays</x:v>
      </x:c>
      <x:c r="I68" s="31" t="n">
        <x:v>0.0590834265</x:v>
      </x:c>
      <x:c r="J68" s="31" t="n">
        <x:v>0.0590834265</x:v>
      </x:c>
      <x:c r="K68" s="31" t="n">
        <x:v>0</x:v>
      </x:c>
      <x:c r="L68" s="31" t="n">
        <x:v>0.0590834265</x:v>
      </x:c>
      <x:c r="M68" s="31" t="n">
        <x:v>0</x:v>
      </x:c>
      <x:c r="N68" s="24" t="str">
        <x:v>carcharhinus falciformis</x:v>
      </x:c>
      <x:c r="O68" s="32" t="n">
        <x:v>4.51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Carcharhinus falciformis</x:v>
      </x:c>
      <x:c r="T68" s="32" t="n">
        <x:f>IF(O68="","",(1/'Metadata'!$B$5)^(O68-1))</x:f>
        <x:v>3235.936569296281</x:v>
      </x:c>
      <x:c r="U68" s="31" t="n">
        <x:f>IF(T68="","",I68*T68)</x:f>
        <x:v>191.190220450679</x:v>
      </x:c>
    </x:row>
    <x:row r="69" ht="18" customHeight="1">
      <x:c r="A69" s="24" t="str">
        <x:v>EEZ_954</x:v>
      </x:c>
      <x:c r="B69" s="24" t="str">
        <x:v>South Africa (Indian Ocean Coast)</x:v>
      </x:c>
      <x:c r="C69" s="24" t="str">
        <x:v>EEZ</x:v>
      </x:c>
      <x:c r="D69" s="30" t="n">
        <x:v>2019</x:v>
      </x:c>
      <x:c r="E69" s="24" t="str">
        <x:v>Scorpaeniformes</x:v>
      </x:c>
      <x:c r="F69" s="24" t="str">
        <x:v>Scorpionfishes, flatheads</x:v>
      </x:c>
      <x:c r="G69" s="24" t="str">
        <x:v>Medium demersals (30 - 89 cm)</x:v>
      </x:c>
      <x:c r="H69" s="24" t="str">
        <x:v>Scorpionfishes</x:v>
      </x:c>
      <x:c r="I69" s="31" t="n">
        <x:v>0.0221145943</x:v>
      </x:c>
      <x:c r="J69" s="31" t="n">
        <x:v>0</x:v>
      </x:c>
      <x:c r="K69" s="31" t="n">
        <x:v>0.0221145943</x:v>
      </x:c>
      <x:c r="L69" s="31" t="n">
        <x:v>0</x:v>
      </x:c>
      <x:c r="M69" s="31" t="n">
        <x:v>0.0221145943</x:v>
      </x:c>
      <x:c r="N69" s="24" t="str">
        <x:v>scorpaeniformes</x:v>
      </x:c>
      <x:c r="O69" s="32" t="n">
        <x:v>3.78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Scorpaeniformes</x:v>
      </x:c>
      <x:c r="T69" s="32" t="n">
        <x:f>IF(O69="","",(1/'Metadata'!$B$5)^(O69-1))</x:f>
        <x:v>602.5595860743575</x:v>
      </x:c>
      <x:c r="U69" s="31" t="n">
        <x:f>IF(T69="","",I69*T69)</x:f>
        <x:v>13.325360787610345</x:v>
      </x:c>
    </x:row>
    <x:row r="70" ht="18" customHeight="1">
      <x:c r="A70" s="24" t="str">
        <x:v>EEZ_954</x:v>
      </x:c>
      <x:c r="B70" s="24" t="str">
        <x:v>South Africa (Indian Ocean Coast)</x:v>
      </x:c>
      <x:c r="C70" s="24" t="str">
        <x:v>EEZ</x:v>
      </x:c>
      <x:c r="D70" s="30" t="n">
        <x:v>2019</x:v>
      </x:c>
      <x:c r="E70" s="24" t="str">
        <x:v>Zeidae</x:v>
      </x:c>
      <x:c r="F70" s="24" t="str">
        <x:v>Dories</x:v>
      </x:c>
      <x:c r="G70" s="24" t="str">
        <x:v>Medium bathydemersals (30 - 89 cm)</x:v>
      </x:c>
      <x:c r="H70" s="24" t="str">
        <x:v>Other fishes &amp; inverts</x:v>
      </x:c>
      <x:c r="I70" s="31" t="n">
        <x:v>0.0221145943</x:v>
      </x:c>
      <x:c r="J70" s="31" t="n">
        <x:v>0</x:v>
      </x:c>
      <x:c r="K70" s="31" t="n">
        <x:v>0.0221145943</x:v>
      </x:c>
      <x:c r="L70" s="31" t="n">
        <x:v>0</x:v>
      </x:c>
      <x:c r="M70" s="31" t="n">
        <x:v>0.0221145943</x:v>
      </x:c>
      <x:c r="N70" s="24" t="str">
        <x:v>zeidae</x:v>
      </x:c>
      <x:c r="O70" s="32" t="n">
        <x:v>4.49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Zeidae</x:v>
      </x:c>
      <x:c r="T70" s="32" t="n">
        <x:f>IF(O70="","",(1/'Metadata'!$B$5)^(O70-1))</x:f>
        <x:v>3090.295432513592</x:v>
      </x:c>
      <x:c r="U70" s="31" t="n">
        <x:f>IF(T70="","",I70*T70)</x:f>
        <x:v>68.3406297571811</x:v>
      </x:c>
    </x:row>
    <x:row r="71" ht="18" customHeight="1">
      <x:c r="A71" s="24" t="str">
        <x:v>EEZ_954</x:v>
      </x:c>
      <x:c r="B71" s="24" t="str">
        <x:v>South Africa (Indian Ocean Coast)</x:v>
      </x:c>
      <x:c r="C71" s="24" t="str">
        <x:v>EEZ</x:v>
      </x:c>
      <x:c r="D71" s="30" t="n">
        <x:v>2019</x:v>
      </x:c>
      <x:c r="E71" s="24" t="str">
        <x:v>Pterogymnus laniarius</x:v>
      </x:c>
      <x:c r="F71" s="24" t="str">
        <x:v>Panga seabream</x:v>
      </x:c>
      <x:c r="G71" s="24" t="str">
        <x:v>Medium benthopelagics (30 - 89 cm)</x:v>
      </x:c>
      <x:c r="H71" s="24" t="str">
        <x:v>Perch-likes</x:v>
      </x:c>
      <x:c r="I71" s="31" t="n">
        <x:v>0.0221145943</x:v>
      </x:c>
      <x:c r="J71" s="31" t="n">
        <x:v>0</x:v>
      </x:c>
      <x:c r="K71" s="31" t="n">
        <x:v>0.0221145943</x:v>
      </x:c>
      <x:c r="L71" s="31" t="n">
        <x:v>0</x:v>
      </x:c>
      <x:c r="M71" s="31" t="n">
        <x:v>0.0221145943</x:v>
      </x:c>
      <x:c r="N71" s="24" t="str">
        <x:v>pterogymnus laniarius</x:v>
      </x:c>
      <x:c r="O71" s="32" t="n">
        <x:v>3.54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Pterogymnus laniarius</x:v>
      </x:c>
      <x:c r="T71" s="32" t="n">
        <x:f>IF(O71="","",(1/'Metadata'!$B$5)^(O71-1))</x:f>
        <x:v>346.73685045253166</x:v>
      </x:c>
      <x:c r="U71" s="31" t="n">
        <x:f>IF(T71="","",I71*T71)</x:f>
        <x:v>7.667944776617508</x:v>
      </x:c>
    </x:row>
    <x:row r="72" ht="18" customHeight="1">
      <x:c r="A72" s="24" t="str">
        <x:v>EEZ_954</x:v>
      </x:c>
      <x:c r="B72" s="24" t="str">
        <x:v>South Africa (Indian Ocean Coast)</x:v>
      </x:c>
      <x:c r="C72" s="24" t="str">
        <x:v>EEZ</x:v>
      </x:c>
      <x:c r="D72" s="30" t="n">
        <x:v>2019</x:v>
      </x:c>
      <x:c r="E72" s="24" t="str">
        <x:v>Scomberoides lysan</x:v>
      </x:c>
      <x:c r="F72" s="24" t="str">
        <x:v>Doublespotted queenfish</x:v>
      </x:c>
      <x:c r="G72" s="24" t="str">
        <x:v>Medium reef assoc. fish (30 - 89 cm)</x:v>
      </x:c>
      <x:c r="H72" s="24" t="str">
        <x:v>Perch-likes</x:v>
      </x:c>
      <x:c r="I72" s="31" t="n">
        <x:v>0.0133834403</x:v>
      </x:c>
      <x:c r="J72" s="31" t="n">
        <x:v>0</x:v>
      </x:c>
      <x:c r="K72" s="31" t="n">
        <x:v>0.0133834403</x:v>
      </x:c>
      <x:c r="L72" s="31" t="n">
        <x:v>0</x:v>
      </x:c>
      <x:c r="M72" s="31" t="n">
        <x:v>0.0133834403</x:v>
      </x:c>
      <x:c r="N72" s="24" t="str">
        <x:v>scomberoides lysan</x:v>
      </x:c>
      <x:c r="O72" s="32" t="n">
        <x:v>4.38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Scomberoides lysan</x:v>
      </x:c>
      <x:c r="T72" s="32" t="n">
        <x:f>IF(O72="","",(1/'Metadata'!$B$5)^(O72-1))</x:f>
        <x:v>2398.83291901949</x:v>
      </x:c>
      <x:c r="U72" s="31" t="n">
        <x:f>IF(T72="","",I72*T72)</x:f>
        <x:v>32.10463716137208</x:v>
      </x:c>
    </x:row>
    <x:row r="73" ht="18" customHeight="1">
      <x:c r="A73" s="24" t="str">
        <x:v>EEZ_954</x:v>
      </x:c>
      <x:c r="B73" s="24" t="str">
        <x:v>South Africa (Indian Ocean Coast)</x:v>
      </x:c>
      <x:c r="C73" s="24" t="str">
        <x:v>EEZ</x:v>
      </x:c>
      <x:c r="D73" s="30" t="n">
        <x:v>2019</x:v>
      </x:c>
      <x:c r="E73" s="24" t="str">
        <x:v>Hilsa kelee</x:v>
      </x:c>
      <x:c r="F73" s="24" t="str">
        <x:v>Kelee shad</x:v>
      </x:c>
      <x:c r="G73" s="24" t="str">
        <x:v>Small pelagics (&lt;30 cm)</x:v>
      </x:c>
      <x:c r="H73" s="24" t="str">
        <x:v>Herring-likes</x:v>
      </x:c>
      <x:c r="I73" s="31" t="n">
        <x:v>0.0124324312</x:v>
      </x:c>
      <x:c r="J73" s="31" t="n">
        <x:v>0</x:v>
      </x:c>
      <x:c r="K73" s="31" t="n">
        <x:v>0.0124324312</x:v>
      </x:c>
      <x:c r="L73" s="31" t="n">
        <x:v>0</x:v>
      </x:c>
      <x:c r="M73" s="31" t="n">
        <x:v>0.0124324312</x:v>
      </x:c>
      <x:c r="N73" s="24" t="str">
        <x:v>hilsa kelee</x:v>
      </x:c>
      <x:c r="O73" s="32" t="n">
        <x:v>3.25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Hilsa kelee</x:v>
      </x:c>
      <x:c r="T73" s="32" t="n">
        <x:f>IF(O73="","",(1/'Metadata'!$B$5)^(O73-1))</x:f>
        <x:v>177.82794100389228</x:v>
      </x:c>
      <x:c r="U73" s="31" t="n">
        <x:f>IF(T73="","",I73*T73)</x:f>
        <x:v>2.2108336419685495</x:v>
      </x:c>
    </x:row>
    <x:row r="74" ht="18" customHeight="1">
      <x:c r="A74" s="24" t="str">
        <x:v>EEZ_954</x:v>
      </x:c>
      <x:c r="B74" s="24" t="str">
        <x:v>South Africa (Indian Ocean Coast)</x:v>
      </x:c>
      <x:c r="C74" s="24" t="str">
        <x:v>EEZ</x:v>
      </x:c>
      <x:c r="D74" s="30" t="n">
        <x:v>2019</x:v>
      </x:c>
      <x:c r="E74" s="24" t="str">
        <x:v>Isurus paucus</x:v>
      </x:c>
      <x:c r="F74" s="24" t="str">
        <x:v>Longfin mako</x:v>
      </x:c>
      <x:c r="G74" s="24" t="str">
        <x:v>Large sharks (&gt;=90 cm)</x:v>
      </x:c>
      <x:c r="H74" s="24" t="str">
        <x:v>Sharks &amp; rays</x:v>
      </x:c>
      <x:c r="I74" s="31" t="n">
        <x:v>0.0117202287</x:v>
      </x:c>
      <x:c r="J74" s="31" t="n">
        <x:v>0.0117202287</x:v>
      </x:c>
      <x:c r="K74" s="31" t="n">
        <x:v>0</x:v>
      </x:c>
      <x:c r="L74" s="31" t="n">
        <x:v>0.0117202287</x:v>
      </x:c>
      <x:c r="M74" s="31" t="n">
        <x:v>0</x:v>
      </x:c>
      <x:c r="N74" s="24" t="str">
        <x:v>isurus paucus</x:v>
      </x:c>
      <x:c r="O74" s="32" t="n">
        <x:v>4.51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Isurus paucus</x:v>
      </x:c>
      <x:c r="T74" s="32" t="n">
        <x:f>IF(O74="","",(1/'Metadata'!$B$5)^(O74-1))</x:f>
        <x:v>3235.936569296281</x:v>
      </x:c>
      <x:c r="U74" s="31" t="n">
        <x:f>IF(T74="","",I74*T74)</x:f>
        <x:v>37.925916650845814</x:v>
      </x:c>
    </x:row>
    <x:row r="75" ht="18" customHeight="1">
      <x:c r="A75" s="24" t="str">
        <x:v>EEZ_954</x:v>
      </x:c>
      <x:c r="B75" s="24" t="str">
        <x:v>South Africa (Indian Ocean Coast)</x:v>
      </x:c>
      <x:c r="C75" s="24" t="str">
        <x:v>EEZ</x:v>
      </x:c>
      <x:c r="D75" s="30" t="n">
        <x:v>2019</x:v>
      </x:c>
      <x:c r="E75" s="24" t="str">
        <x:v>Galeichthys feliceps</x:v>
      </x:c>
      <x:c r="F75" s="24" t="str">
        <x:v>White barbel</x:v>
      </x:c>
      <x:c r="G75" s="24" t="str">
        <x:v>Medium demersals (30 - 89 cm)</x:v>
      </x:c>
      <x:c r="H75" s="24" t="str">
        <x:v>Other fishes &amp; inverts</x:v>
      </x:c>
      <x:c r="I75" s="31" t="n">
        <x:v>0.0110572971</x:v>
      </x:c>
      <x:c r="J75" s="31" t="n">
        <x:v>0</x:v>
      </x:c>
      <x:c r="K75" s="31" t="n">
        <x:v>0.0110572971</x:v>
      </x:c>
      <x:c r="L75" s="31" t="n">
        <x:v>0</x:v>
      </x:c>
      <x:c r="M75" s="31" t="n">
        <x:v>0.0110572971</x:v>
      </x:c>
      <x:c r="N75" s="24" t="str">
        <x:v>galeichthys feliceps</x:v>
      </x:c>
      <x:c r="O75" s="32" t="n">
        <x:v>3.75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Galeichthys feliceps</x:v>
      </x:c>
      <x:c r="T75" s="32" t="n">
        <x:f>IF(O75="","",(1/'Metadata'!$B$5)^(O75-1))</x:f>
        <x:v>562.341325190349</x:v>
      </x:c>
      <x:c r="U75" s="31" t="n">
        <x:f>IF(T75="","",I75*T75)</x:f>
        <x:v>6.217975104237404</x:v>
      </x:c>
    </x:row>
  </x:sheetData>
  <x:conditionalFormatting sqref="R2:R7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0035363b02c48f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3</x:v>
      </x:c>
      <x:c r="C2" s="33" t="n">
        <x:v>3</x:v>
      </x:c>
      <x:c r="D2" s="31" t="n">
        <x:v>78.8418654124</x:v>
      </x:c>
      <x:c r="E2" s="31" t="n">
        <x:v>78.8418654124</x:v>
      </x:c>
      <x:c r="F2" s="32" t="n">
        <x:v>0</x:v>
      </x:c>
      <x:c r="G2" s="34" t="n">
        <x:v>1</x:v>
      </x:c>
      <x:c r="H2" s="32" t="n">
        <x:f>IF(E2=0,"",I2/E2)</x:f>
        <x:v>2091.450777279973</x:v>
      </x:c>
      <x:c r="I2" s="31" t="n">
        <x:f>IF(C2=0,"",SUMIF('Species'!$H$2:$H$75,A2,'Species'!$U$2:$U$75))</x:f>
        <x:v>164893.880698967</x:v>
      </x:c>
      <x:c r="J2" s="32" t="n">
        <x:v>4.318543995432229</x:v>
      </x:c>
      <x:c r="K2" s="32" t="n">
        <x:f>IF(J2="","",(1/'Metadata'!$B$5)^(J2-1))</x:f>
        <x:v>2082.3033385823846</x:v>
      </x:c>
      <x:c r="L2" s="31" t="n">
        <x:f>IF(E2=0,"",E2*K2)</x:f>
        <x:v>164172.67956830355</x:v>
      </x:c>
      <x:c r="M2" s="31" t="n">
        <x:f>IF(E2=0,"",I2-L2)</x:f>
        <x:v>721.2011306634522</x:v>
      </x:c>
      <x:c r="N2" s="32" t="n">
        <x:f>IF(L2=0,"",I2/L2)</x:f>
        <x:v>1.004392942434514</x:v>
      </x:c>
      <x:c r="O2" s="34" t="n">
        <x:f>IF(L2=0,"",M2/L2)</x:f>
        <x:v>0.0043929424345138905</x:v>
      </x:c>
    </x:row>
    <x:row r="3" ht="18" customHeight="1">
      <x:c r="A3" s="24" t="str">
        <x:v>Crustaceans</x:v>
      </x:c>
      <x:c r="B3" s="33" t="n">
        <x:v>7</x:v>
      </x:c>
      <x:c r="C3" s="33" t="n">
        <x:v>7</x:v>
      </x:c>
      <x:c r="D3" s="31" t="n">
        <x:v>578.5507981644</x:v>
      </x:c>
      <x:c r="E3" s="31" t="n">
        <x:v>578.5507981644</x:v>
      </x:c>
      <x:c r="F3" s="32" t="n">
        <x:v>0</x:v>
      </x:c>
      <x:c r="G3" s="34" t="n">
        <x:v>1</x:v>
      </x:c>
      <x:c r="H3" s="32" t="n">
        <x:f>IF(E3=0,"",I3/E3)</x:f>
        <x:v>54.23528328420727</x:v>
      </x:c>
      <x:c r="I3" s="31" t="n">
        <x:f>IF(C3=0,"",SUMIF('Species'!$H$2:$H$75,A3,'Species'!$U$2:$U$75))</x:f>
        <x:v>31377.86643275046</x:v>
      </x:c>
      <x:c r="J3" s="32" t="n">
        <x:v>2.5813648048927447</x:v>
      </x:c>
      <x:c r="K3" s="32" t="n">
        <x:f>IF(J3="","",(1/'Metadata'!$B$5)^(J3-1))</x:f>
        <x:v>38.13860509922042</x:v>
      </x:c>
      <x:c r="L3" s="31" t="n">
        <x:f>IF(E3=0,"",E3*K3)</x:f>
        <x:v>22065.12042103083</x:v>
      </x:c>
      <x:c r="M3" s="31" t="n">
        <x:f>IF(E3=0,"",I3-L3)</x:f>
        <x:v>9312.746011719628</x:v>
      </x:c>
      <x:c r="N3" s="32" t="n">
        <x:f>IF(L3=0,"",I3/L3)</x:f>
        <x:v>1.4220573390953901</x:v>
      </x:c>
      <x:c r="O3" s="34" t="n">
        <x:f>IF(L3=0,"",M3/L3)</x:f>
        <x:v>0.42205733909539017</x:v>
      </x:c>
    </x:row>
    <x:row r="4" ht="18" customHeight="1">
      <x:c r="A4" s="24" t="str">
        <x:v>Herring-likes</x:v>
      </x:c>
      <x:c r="B4" s="33" t="n">
        <x:v>2</x:v>
      </x:c>
      <x:c r="C4" s="33" t="n">
        <x:v>2</x:v>
      </x:c>
      <x:c r="D4" s="31" t="n">
        <x:v>52.692432431200004</x:v>
      </x:c>
      <x:c r="E4" s="31" t="n">
        <x:v>52.692432431200004</x:v>
      </x:c>
      <x:c r="F4" s="32" t="n">
        <x:v>0</x:v>
      </x:c>
      <x:c r="G4" s="34" t="n">
        <x:v>1</x:v>
      </x:c>
      <x:c r="H4" s="32" t="n">
        <x:f>IF(E4=0,"",I4/E4)</x:f>
        <x:v>69.20873112480594</x:v>
      </x:c>
      <x:c r="I4" s="31" t="n">
        <x:f>IF(C4=0,"",SUMIF('Species'!$H$2:$H$75,A4,'Species'!$U$2:$U$75))</x:f>
        <x:v>3646.7763884429255</x:v>
      </x:c>
      <x:c r="J4" s="32" t="n">
        <x:v>2.8400967367904046</x:v>
      </x:c>
      <x:c r="K4" s="32" t="n">
        <x:f>IF(J4="","",(1/'Metadata'!$B$5)^(J4-1))</x:f>
        <x:v>69.19850897590841</x:v>
      </x:c>
      <x:c r="L4" s="31" t="n">
        <x:f>IF(E4=0,"",E4*K4)</x:f>
        <x:v>3646.237758552841</x:v>
      </x:c>
      <x:c r="M4" s="31" t="n">
        <x:f>IF(E4=0,"",I4-L4)</x:f>
        <x:v>0.538629890084394</x:v>
      </x:c>
      <x:c r="N4" s="32" t="n">
        <x:f>IF(L4=0,"",I4/L4)</x:f>
        <x:v>1.0001477220976116</x:v>
      </x:c>
      <x:c r="O4" s="34" t="n">
        <x:f>IF(L4=0,"",M4/L4)</x:f>
        <x:v>0.00014772209761169589</x:v>
      </x:c>
    </x:row>
    <x:row r="5" ht="18" customHeight="1">
      <x:c r="A5" s="24" t="str">
        <x:v>Molluscs</x:v>
      </x:c>
      <x:c r="B5" s="33" t="n">
        <x:v>1</x:v>
      </x:c>
      <x:c r="C5" s="33" t="n">
        <x:v>1</x:v>
      </x:c>
      <x:c r="D5" s="31" t="n">
        <x:v>250.0175068415</x:v>
      </x:c>
      <x:c r="E5" s="31" t="n">
        <x:v>250.0175068415</x:v>
      </x:c>
      <x:c r="F5" s="32" t="n">
        <x:v>0</x:v>
      </x:c>
      <x:c r="G5" s="34" t="n">
        <x:v>1</x:v>
      </x:c>
      <x:c r="H5" s="32" t="n">
        <x:f>IF(E5=0,"",I5/E5)</x:f>
        <x:v>16.982436524617444</x:v>
      </x:c>
      <x:c r="I5" s="31" t="n">
        <x:f>IF(C5=0,"",SUMIF('Species'!$H$2:$H$75,A5,'Species'!$U$2:$U$75))</x:f>
        <x:v>4245.906439978881</x:v>
      </x:c>
      <x:c r="J5" s="32" t="n">
        <x:v>2.23</x:v>
      </x:c>
      <x:c r="K5" s="32" t="n">
        <x:f>IF(J5="","",(1/'Metadata'!$B$5)^(J5-1))</x:f>
        <x:v>16.982436524617444</x:v>
      </x:c>
      <x:c r="L5" s="31" t="n">
        <x:f>IF(E5=0,"",E5*K5)</x:f>
        <x:v>4245.906439978881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8</x:v>
      </x:c>
      <x:c r="C6" s="33" t="n">
        <x:v>8</x:v>
      </x:c>
      <x:c r="D6" s="31" t="n">
        <x:v>1819.845159427</x:v>
      </x:c>
      <x:c r="E6" s="31" t="n">
        <x:v>1819.845159427</x:v>
      </x:c>
      <x:c r="F6" s="32" t="n">
        <x:v>0</x:v>
      </x:c>
      <x:c r="G6" s="34" t="n">
        <x:v>1</x:v>
      </x:c>
      <x:c r="H6" s="32" t="n">
        <x:f>IF(E6=0,"",I6/E6)</x:f>
        <x:v>261.77077986963826</x:v>
      </x:c>
      <x:c r="I6" s="31" t="n">
        <x:f>IF(C6=0,"",SUMIF('Species'!$H$2:$H$75,A6,'Species'!$U$2:$U$75))</x:f>
        <x:v>476382.286625192</x:v>
      </x:c>
      <x:c r="J6" s="32" t="n">
        <x:v>3.3563740239695243</x:v>
      </x:c>
      <x:c r="K6" s="32" t="n">
        <x:f>IF(J6="","",(1/'Metadata'!$B$5)^(J6-1))</x:f>
        <x:v>227.18205514939845</x:v>
      </x:c>
      <x:c r="L6" s="31" t="n">
        <x:f>IF(E6=0,"",E6*K6)</x:f>
        <x:v>413436.1633723105</x:v>
      </x:c>
      <x:c r="M6" s="31" t="n">
        <x:f>IF(E6=0,"",I6-L6)</x:f>
        <x:v>62946.12325288146</x:v>
      </x:c>
      <x:c r="N6" s="32" t="n">
        <x:f>IF(L6=0,"",I6/L6)</x:f>
        <x:v>1.1522511304754848</x:v>
      </x:c>
      <x:c r="O6" s="34" t="n">
        <x:f>IF(L6=0,"",M6/L6)</x:f>
        <x:v>0.1522511304754847</x:v>
      </x:c>
    </x:row>
    <x:row r="7" ht="18" customHeight="1">
      <x:c r="A7" s="24" t="str">
        <x:v>Perch-likes</x:v>
      </x:c>
      <x:c r="B7" s="33" t="n">
        <x:v>28</x:v>
      </x:c>
      <x:c r="C7" s="33" t="n">
        <x:v>28</x:v>
      </x:c>
      <x:c r="D7" s="31" t="n">
        <x:v>6337.074794661</x:v>
      </x:c>
      <x:c r="E7" s="31" t="n">
        <x:v>6337.074794661</x:v>
      </x:c>
      <x:c r="F7" s="32" t="n">
        <x:v>0</x:v>
      </x:c>
      <x:c r="G7" s="34" t="n">
        <x:v>1</x:v>
      </x:c>
      <x:c r="H7" s="32" t="n">
        <x:f>IF(E7=0,"",I7/E7)</x:f>
        <x:v>951.6596721206697</x:v>
      </x:c>
      <x:c r="I7" s="31" t="n">
        <x:f>IF(C7=0,"",SUMIF('Species'!$H$2:$H$75,A7,'Species'!$U$2:$U$75))</x:f>
        <x:v>6030738.521291248</x:v>
      </x:c>
      <x:c r="J7" s="32" t="n">
        <x:v>3.6222318430935427</x:v>
      </x:c>
      <x:c r="K7" s="32" t="n">
        <x:f>IF(J7="","",(1/'Metadata'!$B$5)^(J7-1))</x:f>
        <x:v>419.01719291130024</x:v>
      </x:c>
      <x:c r="L7" s="31" t="n">
        <x:f>IF(E7=0,"",E7*K7)</x:f>
        <x:v>2655343.2917278064</x:v>
      </x:c>
      <x:c r="M7" s="31" t="n">
        <x:f>IF(E7=0,"",I7-L7)</x:f>
        <x:v>3375395.229563441</x:v>
      </x:c>
      <x:c r="N7" s="32" t="n">
        <x:f>IF(L7=0,"",I7/L7)</x:f>
        <x:v>2.2711709405253977</x:v>
      </x:c>
      <x:c r="O7" s="34" t="n">
        <x:f>IF(L7=0,"",M7/L7)</x:f>
        <x:v>1.2711709405253977</x:v>
      </x:c>
    </x:row>
    <x:row r="8" ht="18" customHeight="1">
      <x:c r="A8" s="24" t="str">
        <x:v>Scorpionfishes</x:v>
      </x:c>
      <x:c r="B8" s="33" t="n">
        <x:v>3</x:v>
      </x:c>
      <x:c r="C8" s="33" t="n">
        <x:v>3</x:v>
      </x:c>
      <x:c r="D8" s="31" t="n">
        <x:v>10.2411459366</x:v>
      </x:c>
      <x:c r="E8" s="31" t="n">
        <x:v>10.2411459366</x:v>
      </x:c>
      <x:c r="F8" s="32" t="n">
        <x:v>0</x:v>
      </x:c>
      <x:c r="G8" s="34" t="n">
        <x:v>1</x:v>
      </x:c>
      <x:c r="H8" s="32" t="n">
        <x:f>IF(E8=0,"",I8/E8)</x:f>
        <x:v>825.7839754812279</x:v>
      </x:c>
      <x:c r="I8" s="31" t="n">
        <x:f>IF(C8=0,"",SUMIF('Species'!$H$2:$H$75,A8,'Species'!$U$2:$U$75))</x:f>
        <x:v>8456.974205008972</x:v>
      </x:c>
      <x:c r="J8" s="32" t="n">
        <x:v>3.9161994795253428</x:v>
      </x:c>
      <x:c r="K8" s="32" t="n">
        <x:f>IF(J8="","",(1/'Metadata'!$B$5)^(J8-1))</x:f>
        <x:v>824.516743911865</x:v>
      </x:c>
      <x:c r="L8" s="31" t="n">
        <x:f>IF(E8=0,"",E8*K8)</x:f>
        <x:v>8443.996301571658</x:v>
      </x:c>
      <x:c r="M8" s="31" t="n">
        <x:f>IF(E8=0,"",I8-L8)</x:f>
        <x:v>12.977903437313216</x:v>
      </x:c>
      <x:c r="N8" s="32" t="n">
        <x:f>IF(L8=0,"",I8/L8)</x:f>
        <x:v>1.001536938550636</x:v>
      </x:c>
      <x:c r="O8" s="34" t="n">
        <x:f>IF(L8=0,"",M8/L8)</x:f>
        <x:v>0.0015369385506359913</x:v>
      </x:c>
    </x:row>
    <x:row r="9" ht="18" customHeight="1">
      <x:c r="A9" s="24" t="str">
        <x:v>Sharks &amp; rays</x:v>
      </x:c>
      <x:c r="B9" s="33" t="n">
        <x:v>13</x:v>
      </x:c>
      <x:c r="C9" s="33" t="n">
        <x:v>13</x:v>
      </x:c>
      <x:c r="D9" s="31" t="n">
        <x:v>1767.6796238786999</x:v>
      </x:c>
      <x:c r="E9" s="31" t="n">
        <x:v>1767.6796238786999</x:v>
      </x:c>
      <x:c r="F9" s="32" t="n">
        <x:v>0</x:v>
      </x:c>
      <x:c r="G9" s="34" t="n">
        <x:v>1</x:v>
      </x:c>
      <x:c r="H9" s="32" t="n">
        <x:f>IF(E9=0,"",I9/E9)</x:f>
        <x:v>2554.7539060735935</x:v>
      </x:c>
      <x:c r="I9" s="31" t="n">
        <x:f>IF(C9=0,"",SUMIF('Species'!$H$2:$H$75,A9,'Species'!$U$2:$U$75))</x:f>
        <x:v>4515986.423790809</x:v>
      </x:c>
      <x:c r="J9" s="32" t="n">
        <x:v>4.39815006411004</x:v>
      </x:c>
      <x:c r="K9" s="32" t="n">
        <x:f>IF(J9="","",(1/'Metadata'!$B$5)^(J9-1))</x:f>
        <x:v>2501.209468769234</x:v>
      </x:c>
      <x:c r="L9" s="31" t="n">
        <x:f>IF(E9=0,"",E9*K9)</x:f>
        <x:v>4421337.012995842</x:v>
      </x:c>
      <x:c r="M9" s="31" t="n">
        <x:f>IF(E9=0,"",I9-L9)</x:f>
        <x:v>94649.41079496685</x:v>
      </x:c>
      <x:c r="N9" s="32" t="n">
        <x:f>IF(L9=0,"",I9/L9)</x:f>
        <x:v>1.021407418280208</x:v>
      </x:c>
      <x:c r="O9" s="34" t="n">
        <x:f>IF(L9=0,"",M9/L9)</x:f>
        <x:v>0.021407418280207872</x:v>
      </x:c>
    </x:row>
    <x:row r="10" ht="18" customHeight="1">
      <x:c r="A10" s="24" t="str">
        <x:v>Tuna &amp; billfishes</x:v>
      </x:c>
      <x:c r="B10" s="33" t="n">
        <x:v>9</x:v>
      </x:c>
      <x:c r="C10" s="33" t="n">
        <x:v>9</x:v>
      </x:c>
      <x:c r="D10" s="31" t="n">
        <x:v>845.8555090549</x:v>
      </x:c>
      <x:c r="E10" s="31" t="n">
        <x:v>845.8555090549</x:v>
      </x:c>
      <x:c r="F10" s="32" t="n">
        <x:v>0</x:v>
      </x:c>
      <x:c r="G10" s="34" t="n">
        <x:v>1</x:v>
      </x:c>
      <x:c r="H10" s="32" t="n">
        <x:f>IF(E10=0,"",I10/E10)</x:f>
        <x:v>2693.3900504978756</x:v>
      </x:c>
      <x:c r="I10" s="31" t="n">
        <x:f>IF(C10=0,"",SUMIF('Species'!$H$2:$H$75,A10,'Species'!$U$2:$U$75))</x:f>
        <x:v>2278218.8122472833</x:v>
      </x:c>
      <x:c r="J10" s="32" t="n">
        <x:v>4.420037830693381</x:v>
      </x:c>
      <x:c r="K10" s="32" t="n">
        <x:f>IF(J10="","",(1/'Metadata'!$B$5)^(J10-1))</x:f>
        <x:v>2630.4971202864594</x:v>
      </x:c>
      <x:c r="L10" s="31" t="n">
        <x:f>IF(E10=0,"",E10*K10)</x:f>
        <x:v>2225020.480747352</x:v>
      </x:c>
      <x:c r="M10" s="31" t="n">
        <x:f>IF(E10=0,"",I10-L10)</x:f>
        <x:v>53198.3314999314</x:v>
      </x:c>
      <x:c r="N10" s="32" t="n">
        <x:f>IF(L10=0,"",I10/L10)</x:f>
        <x:v>1.0239091423922817</x:v>
      </x:c>
      <x:c r="O10" s="34" t="n">
        <x:f>IF(L10=0,"",M10/L10)</x:f>
        <x:v>0.023909142392281646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f20563847de4b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266.71750686219997</x:v>
      </x:c>
      <x:c r="E2" s="31" t="n">
        <x:v>266.71750686219997</x:v>
      </x:c>
      <x:c r="F2" s="32" t="n">
        <x:v>0</x:v>
      </x:c>
      <x:c r="G2" s="34" t="n">
        <x:v>1</x:v>
      </x:c>
      <x:c r="H2" s="32" t="n">
        <x:f>IF(E2=0,"",I2/E2)</x:f>
        <x:v>629.0326627997259</x:v>
      </x:c>
      <x:c r="I2" s="31" t="n">
        <x:f>IF(C2=0,"",SUMIF('Species'!$G$2:$G$75,A2,'Species'!$U$2:$U$75))</x:f>
        <x:v>167774.02355683382</x:v>
      </x:c>
      <x:c r="J2" s="32" t="n">
        <x:v>3.7955989955620555</x:v>
      </x:c>
      <x:c r="K2" s="32" t="n">
        <x:f>IF(J2="","",(1/'Metadata'!$B$5)^(J2-1))</x:f>
        <x:v>624.5957079642545</x:v>
      </x:c>
      <x:c r="L2" s="31" t="n">
        <x:f>IF(E2=0,"",E2*K2)</x:f>
        <x:v>166590.6100250567</x:v>
      </x:c>
      <x:c r="M2" s="31" t="n">
        <x:f>IF(E2=0,"",I2-L2)</x:f>
        <x:v>1183.4135317771288</x:v>
      </x:c>
      <x:c r="N2" s="32" t="n">
        <x:f>IF(L2=0,"",I2/L2)</x:f>
        <x:v>1.0071037229025042</x:v>
      </x:c>
      <x:c r="O2" s="34" t="n">
        <x:f>IF(L2=0,"",M2/L2)</x:f>
        <x:v>0.007103722902504127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5.4331037568</x:v>
      </x:c>
      <x:c r="E3" s="31" t="n">
        <x:v>5.4331037568</x:v>
      </x:c>
      <x:c r="F3" s="32" t="n">
        <x:v>0</x:v>
      </x:c>
      <x:c r="G3" s="34" t="n">
        <x:v>1</x:v>
      </x:c>
      <x:c r="H3" s="32" t="n">
        <x:f>IF(E3=0,"",I3/E3)</x:f>
        <x:v>31.622776601683796</x:v>
      </x:c>
      <x:c r="I3" s="31" t="n">
        <x:f>IF(C3=0,"",SUMIF('Species'!$G$2:$G$75,A3,'Species'!$U$2:$U$75))</x:f>
        <x:v>171.80982635505535</x:v>
      </x:c>
      <x:c r="J3" s="32" t="n">
        <x:v>2.5</x:v>
      </x:c>
      <x:c r="K3" s="32" t="n">
        <x:f>IF(J3="","",(1/'Metadata'!$B$5)^(J3-1))</x:f>
        <x:v>31.622776601683793</x:v>
      </x:c>
      <x:c r="L3" s="31" t="n">
        <x:f>IF(E3=0,"",E3*K3)</x:f>
        <x:v>171.80982635505535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bathydemersals (&gt;=90 cm)</x:v>
      </x:c>
      <x:c r="B4" s="33" t="n">
        <x:v>2</x:v>
      </x:c>
      <x:c r="C4" s="33" t="n">
        <x:v>2</x:v>
      </x:c>
      <x:c r="D4" s="31" t="n">
        <x:v>47.1418654124</x:v>
      </x:c>
      <x:c r="E4" s="31" t="n">
        <x:v>47.1418654124</x:v>
      </x:c>
      <x:c r="F4" s="32" t="n">
        <x:v>0</x:v>
      </x:c>
      <x:c r="G4" s="34" t="n">
        <x:v>1</x:v>
      </x:c>
      <x:c r="H4" s="32" t="n">
        <x:f>IF(E4=0,"",I4/E4)</x:f>
        <x:v>2245.683694114228</x:v>
      </x:c>
      <x:c r="I4" s="31" t="n">
        <x:f>IF(C4=0,"",SUMIF('Species'!$G$2:$G$75,A4,'Species'!$U$2:$U$75))</x:f>
        <x:v>105865.71846675417</x:v>
      </x:c>
      <x:c r="J4" s="32" t="n">
        <x:v>4.351186841482969</x:v>
      </x:c>
      <x:c r="K4" s="32" t="n">
        <x:f>IF(J4="","",(1/'Metadata'!$B$5)^(J4-1))</x:f>
        <x:v>2244.8474907914165</x:v>
      </x:c>
      <x:c r="L4" s="31" t="n">
        <x:f>IF(E4=0,"",E4*K4)</x:f>
        <x:v>105826.29828225281</x:v>
      </x:c>
      <x:c r="M4" s="31" t="n">
        <x:f>IF(E4=0,"",I4-L4)</x:f>
        <x:v>39.42018450135947</x:v>
      </x:c>
      <x:c r="N4" s="32" t="n">
        <x:f>IF(L4=0,"",I4/L4)</x:f>
        <x:v>1.0003724989453588</x:v>
      </x:c>
      <x:c r="O4" s="34" t="n">
        <x:f>IF(L4=0,"",M4/L4)</x:f>
        <x:v>0.0003724989453587481</x:v>
      </x:c>
    </x:row>
    <x:row r="5" ht="18" customHeight="1">
      <x:c r="A5" s="24" t="str">
        <x:v>Large benthopelagics (&gt;=90 cm)</x:v>
      </x:c>
      <x:c r="B5" s="33" t="n">
        <x:v>4</x:v>
      </x:c>
      <x:c r="C5" s="33" t="n">
        <x:v>4</x:v>
      </x:c>
      <x:c r="D5" s="31" t="n">
        <x:v>361.72426992799996</x:v>
      </x:c>
      <x:c r="E5" s="31" t="n">
        <x:v>361.72426992799996</x:v>
      </x:c>
      <x:c r="F5" s="32" t="n">
        <x:v>0</x:v>
      </x:c>
      <x:c r="G5" s="34" t="n">
        <x:v>1</x:v>
      </x:c>
      <x:c r="H5" s="32" t="n">
        <x:f>IF(E5=0,"",I5/E5)</x:f>
        <x:v>1418.6614602363436</x:v>
      </x:c>
      <x:c r="I5" s="31" t="n">
        <x:f>IF(C5=0,"",SUMIF('Species'!$G$2:$G$75,A5,'Species'!$U$2:$U$75))</x:f>
        <x:v>513164.28097898175</x:v>
      </x:c>
      <x:c r="J5" s="32" t="n">
        <x:v>4.133910886705155</x:v>
      </x:c>
      <x:c r="K5" s="32" t="n">
        <x:f>IF(J5="","",(1/'Metadata'!$B$5)^(J5-1))</x:f>
        <x:v>1361.165355004658</x:v>
      </x:c>
      <x:c r="L5" s="31" t="n">
        <x:f>IF(E5=0,"",E5*K5)</x:f>
        <x:v>492366.5442903468</x:v>
      </x:c>
      <x:c r="M5" s="31" t="n">
        <x:f>IF(E5=0,"",I5-L5)</x:f>
        <x:v>20797.736688634963</x:v>
      </x:c>
      <x:c r="N5" s="32" t="n">
        <x:f>IF(L5=0,"",I5/L5)</x:f>
        <x:v>1.0422403531064666</x:v>
      </x:c>
      <x:c r="O5" s="34" t="n">
        <x:f>IF(L5=0,"",M5/L5)</x:f>
        <x:v>0.04224035310646657</x:v>
      </x:c>
    </x:row>
    <x:row r="6" ht="18" customHeight="1">
      <x:c r="A6" s="24" t="str">
        <x:v>Large demersals (&gt;=90 cm)</x:v>
      </x:c>
      <x:c r="B6" s="33" t="n">
        <x:v>1</x:v>
      </x:c>
      <x:c r="C6" s="33" t="n">
        <x:v>1</x:v>
      </x:c>
      <x:c r="D6" s="31" t="n">
        <x:v>3.7199999999999998</x:v>
      </x:c>
      <x:c r="E6" s="31" t="n">
        <x:v>3.7199999999999998</x:v>
      </x:c>
      <x:c r="F6" s="32" t="n">
        <x:v>0</x:v>
      </x:c>
      <x:c r="G6" s="34" t="n">
        <x:v>1</x:v>
      </x:c>
      <x:c r="H6" s="32" t="n">
        <x:f>IF(E6=0,"",I6/E6)</x:f>
        <x:v>363.0780547701014</x:v>
      </x:c>
      <x:c r="I6" s="31" t="n">
        <x:f>IF(C6=0,"",SUMIF('Species'!$G$2:$G$75,A6,'Species'!$U$2:$U$75))</x:f>
        <x:v>1350.6503637447772</x:v>
      </x:c>
      <x:c r="J6" s="32" t="n">
        <x:v>3.56</x:v>
      </x:c>
      <x:c r="K6" s="32" t="n">
        <x:f>IF(J6="","",(1/'Metadata'!$B$5)^(J6-1))</x:f>
        <x:v>363.0780547701014</x:v>
      </x:c>
      <x:c r="L6" s="31" t="n">
        <x:f>IF(E6=0,"",E6*K6)</x:f>
        <x:v>1350.6503637447772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13</x:v>
      </x:c>
      <x:c r="C7" s="33" t="n">
        <x:v>13</x:v>
      </x:c>
      <x:c r="D7" s="31" t="n">
        <x:v>1813.6491282177</x:v>
      </x:c>
      <x:c r="E7" s="31" t="n">
        <x:v>1813.6491282177</x:v>
      </x:c>
      <x:c r="F7" s="32" t="n">
        <x:v>0</x:v>
      </x:c>
      <x:c r="G7" s="34" t="n">
        <x:v>1</x:v>
      </x:c>
      <x:c r="H7" s="32" t="n">
        <x:f>IF(E7=0,"",I7/E7)</x:f>
        <x:v>3104.5981618232418</x:v>
      </x:c>
      <x:c r="I7" s="31" t="n">
        <x:f>IF(C7=0,"",SUMIF('Species'!$G$2:$G$75,A7,'Species'!$U$2:$U$75))</x:f>
        <x:v>5630651.749656997</x:v>
      </x:c>
      <x:c r="J7" s="32" t="n">
        <x:v>4.484980735762489</x:v>
      </x:c>
      <x:c r="K7" s="32" t="n">
        <x:f>IF(J7="","",(1/'Metadata'!$B$5)^(J7-1))</x:f>
        <x:v>3054.7856074167157</x:v>
      </x:c>
      <x:c r="L7" s="31" t="n">
        <x:f>IF(E7=0,"",E7*K7)</x:f>
        <x:v>5540309.253783304</x:v>
      </x:c>
      <x:c r="M7" s="31" t="n">
        <x:f>IF(E7=0,"",I7-L7)</x:f>
        <x:v>90342.49587369245</x:v>
      </x:c>
      <x:c r="N7" s="32" t="n">
        <x:f>IF(L7=0,"",I7/L7)</x:f>
        <x:v>1.0163063994689467</x:v>
      </x:c>
      <x:c r="O7" s="34" t="n">
        <x:f>IF(L7=0,"",M7/L7)</x:f>
        <x:v>0.01630639946894668</x:v>
      </x:c>
    </x:row>
    <x:row r="8" ht="18" customHeight="1">
      <x:c r="A8" s="24" t="str">
        <x:v>Large rays (&gt;=90 cm)</x:v>
      </x:c>
      <x:c r="B8" s="33" t="n">
        <x:v>1</x:v>
      </x:c>
      <x:c r="C8" s="33" t="n">
        <x:v>1</x:v>
      </x:c>
      <x:c r="D8" s="31" t="n">
        <x:v>3.0944374289</x:v>
      </x:c>
      <x:c r="E8" s="31" t="n">
        <x:v>3.0944374289</x:v>
      </x:c>
      <x:c r="F8" s="32" t="n">
        <x:v>0</x:v>
      </x:c>
      <x:c r="G8" s="34" t="n">
        <x:v>1</x:v>
      </x:c>
      <x:c r="H8" s="32" t="n">
        <x:f>IF(E8=0,"",I8/E8)</x:f>
        <x:v>407.3802778041126</x:v>
      </x:c>
      <x:c r="I8" s="31" t="n">
        <x:f>IF(C8=0,"",SUMIF('Species'!$G$2:$G$75,A8,'Species'!$U$2:$U$75))</x:f>
        <x:v>1260.612779432726</x:v>
      </x:c>
      <x:c r="J8" s="32" t="n">
        <x:v>3.61</x:v>
      </x:c>
      <x:c r="K8" s="32" t="n">
        <x:f>IF(J8="","",(1/'Metadata'!$B$5)^(J8-1))</x:f>
        <x:v>407.3802778041126</x:v>
      </x:c>
      <x:c r="L8" s="31" t="n">
        <x:f>IF(E8=0,"",E8*K8)</x:f>
        <x:v>1260.612779432726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Large reef assoc. fish (&gt;=90 cm)</x:v>
      </x:c>
      <x:c r="B9" s="33" t="n">
        <x:v>1</x:v>
      </x:c>
      <x:c r="C9" s="33" t="n">
        <x:v>1</x:v>
      </x:c>
      <x:c r="D9" s="31" t="n">
        <x:v>10.020000000000001</x:v>
      </x:c>
      <x:c r="E9" s="31" t="n">
        <x:v>10.020000000000001</x:v>
      </x:c>
      <x:c r="F9" s="32" t="n">
        <x:v>0</x:v>
      </x:c>
      <x:c r="G9" s="34" t="n">
        <x:v>1</x:v>
      </x:c>
      <x:c r="H9" s="32" t="n">
        <x:f>IF(E9=0,"",I9/E9)</x:f>
        <x:v>831.7637711026708</x:v>
      </x:c>
      <x:c r="I9" s="31" t="n">
        <x:f>IF(C9=0,"",SUMIF('Species'!$G$2:$G$75,A9,'Species'!$U$2:$U$75))</x:f>
        <x:v>8334.272986448763</x:v>
      </x:c>
      <x:c r="J9" s="32" t="n">
        <x:v>3.92</x:v>
      </x:c>
      <x:c r="K9" s="32" t="n">
        <x:f>IF(J9="","",(1/'Metadata'!$B$5)^(J9-1))</x:f>
        <x:v>831.7637711026708</x:v>
      </x:c>
      <x:c r="L9" s="31" t="n">
        <x:f>IF(E9=0,"",E9*K9)</x:f>
        <x:v>8334.272986448763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Large sharks (&gt;=90 cm)</x:v>
      </x:c>
      <x:c r="B10" s="33" t="n">
        <x:v>11</x:v>
      </x:c>
      <x:c r="C10" s="33" t="n">
        <x:v>11</x:v>
      </x:c>
      <x:c r="D10" s="31" t="n">
        <x:v>1764.4746134819</x:v>
      </x:c>
      <x:c r="E10" s="31" t="n">
        <x:v>1764.4746134819</x:v>
      </x:c>
      <x:c r="F10" s="32" t="n">
        <x:v>0</x:v>
      </x:c>
      <x:c r="G10" s="34" t="n">
        <x:v>1</x:v>
      </x:c>
      <x:c r="H10" s="32" t="n">
        <x:f>IF(E10=0,"",I10/E10)</x:f>
        <x:v>2558.6404075693945</x:v>
      </x:c>
      <x:c r="I10" s="31" t="n">
        <x:f>IF(C10=0,"",SUMIF('Species'!$G$2:$G$75,A10,'Species'!$U$2:$U$75))</x:f>
        <x:v>4514656.044185178</x:v>
      </x:c>
      <x:c r="J10" s="32" t="n">
        <x:v>4.3995697616600475</x:v>
      </x:c>
      <x:c r="K10" s="32" t="n">
        <x:f>IF(J10="","",(1/'Metadata'!$B$5)^(J10-1))</x:f>
        <x:v>2509.3992373085052</x:v>
      </x:c>
      <x:c r="L10" s="31" t="n">
        <x:f>IF(E10=0,"",E10*K10)</x:f>
        <x:v>4427771.249321699</x:v>
      </x:c>
      <x:c r="M10" s="31" t="n">
        <x:f>IF(E10=0,"",I10-L10)</x:f>
        <x:v>86884.79486347921</x:v>
      </x:c>
      <x:c r="N10" s="32" t="n">
        <x:f>IF(L10=0,"",I10/L10)</x:f>
        <x:v>1.01962269276598</x:v>
      </x:c>
      <x:c r="O10" s="34" t="n">
        <x:f>IF(L10=0,"",M10/L10)</x:f>
        <x:v>0.01962269276598002</x:v>
      </x:c>
    </x:row>
    <x:row r="11" ht="18" customHeight="1">
      <x:c r="A11" s="24" t="str">
        <x:v>Lobsters, crabs</x:v>
      </x:c>
      <x:c r="B11" s="33" t="n">
        <x:v>4</x:v>
      </x:c>
      <x:c r="C11" s="33" t="n">
        <x:v>4</x:v>
      </x:c>
      <x:c r="D11" s="31" t="n">
        <x:v>340.3673328858</x:v>
      </x:c>
      <x:c r="E11" s="31" t="n">
        <x:v>340.3673328858</x:v>
      </x:c>
      <x:c r="F11" s="32" t="n">
        <x:v>0</x:v>
      </x:c>
      <x:c r="G11" s="34" t="n">
        <x:v>1</x:v>
      </x:c>
      <x:c r="H11" s="32" t="n">
        <x:f>IF(E11=0,"",I11/E11)</x:f>
        <x:v>58.730380069380445</x:v>
      </x:c>
      <x:c r="I11" s="31" t="n">
        <x:f>IF(C11=0,"",SUMIF('Species'!$G$2:$G$75,A11,'Species'!$U$2:$U$75))</x:f>
        <x:v>19989.90282358437</x:v>
      </x:c>
      <x:c r="J11" s="32" t="n">
        <x:v>2.692734443552003</x:v>
      </x:c>
      <x:c r="K11" s="32" t="n">
        <x:f>IF(J11="","",(1/'Metadata'!$B$5)^(J11-1))</x:f>
        <x:v>49.287233696249665</x:v>
      </x:c>
      <x:c r="L11" s="31" t="n">
        <x:f>IF(E11=0,"",E11*K11)</x:f>
        <x:v>16775.76427851163</x:v>
      </x:c>
      <x:c r="M11" s="31" t="n">
        <x:f>IF(E11=0,"",I11-L11)</x:f>
        <x:v>3214.1385450727394</x:v>
      </x:c>
      <x:c r="N11" s="32" t="n">
        <x:f>IF(L11=0,"",I11/L11)</x:f>
        <x:v>1.1915941647552706</x:v>
      </x:c>
      <x:c r="O11" s="34" t="n">
        <x:f>IF(L11=0,"",M11/L11)</x:f>
        <x:v>0.19159416475527055</x:v>
      </x:c>
    </x:row>
    <x:row r="12" ht="18" customHeight="1">
      <x:c r="A12" s="24" t="str">
        <x:v>Medium bathydemersals (30 - 89 cm)</x:v>
      </x:c>
      <x:c r="B12" s="33" t="n">
        <x:v>2</x:v>
      </x:c>
      <x:c r="C12" s="33" t="n">
        <x:v>2</x:v>
      </x:c>
      <x:c r="D12" s="31" t="n">
        <x:v>31.7221145943</x:v>
      </x:c>
      <x:c r="E12" s="31" t="n">
        <x:v>31.7221145943</x:v>
      </x:c>
      <x:c r="F12" s="32" t="n">
        <x:v>0</x:v>
      </x:c>
      <x:c r="G12" s="34" t="n">
        <x:v>1</x:v>
      </x:c>
      <x:c r="H12" s="32" t="n">
        <x:f>IF(E12=0,"",I12/E12)</x:f>
        <x:v>1862.943363573524</x:v>
      </x:c>
      <x:c r="I12" s="31" t="n">
        <x:f>IF(C12=0,"",SUMIF('Species'!$G$2:$G$75,A12,'Species'!$U$2:$U$75))</x:f>
        <x:v>59096.50286197002</x:v>
      </x:c>
      <x:c r="J12" s="32" t="n">
        <x:v>4.270153369685729</x:v>
      </x:c>
      <x:c r="K12" s="32" t="n">
        <x:f>IF(J12="","",(1/'Metadata'!$B$5)^(J12-1))</x:f>
        <x:v>1862.7448428138232</x:v>
      </x:c>
      <x:c r="L12" s="31" t="n">
        <x:f>IF(E12=0,"",E12*K12)</x:f>
        <x:v>59090.20536368144</x:v>
      </x:c>
      <x:c r="M12" s="31" t="n">
        <x:f>IF(E12=0,"",I12-L12)</x:f>
        <x:v>6.297498288578936</x:v>
      </x:c>
      <x:c r="N12" s="32" t="n">
        <x:f>IF(L12=0,"",I12/L12)</x:f>
        <x:v>1.0001065743171786</x:v>
      </x:c>
      <x:c r="O12" s="34" t="n">
        <x:f>IF(L12=0,"",M12/L12)</x:f>
        <x:v>0.00010657431717862267</x:v>
      </x:c>
    </x:row>
    <x:row r="13" ht="18" customHeight="1">
      <x:c r="A13" s="24" t="str">
        <x:v>Medium benthopelagics (30 - 89 cm)</x:v>
      </x:c>
      <x:c r="B13" s="33" t="n">
        <x:v>5</x:v>
      </x:c>
      <x:c r="C13" s="33" t="n">
        <x:v>5</x:v>
      </x:c>
      <x:c r="D13" s="31" t="n">
        <x:v>1142.0783699195</x:v>
      </x:c>
      <x:c r="E13" s="31" t="n">
        <x:v>1142.0783699195</x:v>
      </x:c>
      <x:c r="F13" s="32" t="n">
        <x:v>0</x:v>
      </x:c>
      <x:c r="G13" s="34" t="n">
        <x:v>1</x:v>
      </x:c>
      <x:c r="H13" s="32" t="n">
        <x:f>IF(E13=0,"",I13/E13)</x:f>
        <x:v>215.9846531502136</x:v>
      </x:c>
      <x:c r="I13" s="31" t="n">
        <x:f>IF(C13=0,"",SUMIF('Species'!$G$2:$G$75,A13,'Species'!$U$2:$U$75))</x:f>
        <x:v>246671.40059742454</x:v>
      </x:c>
      <x:c r="J13" s="32" t="n">
        <x:v>3.3144470189977597</x:v>
      </x:c>
      <x:c r="K13" s="32" t="n">
        <x:f>IF(J13="","",(1/'Metadata'!$B$5)^(J13-1))</x:f>
        <x:v>206.27520101061785</x:v>
      </x:c>
      <x:c r="L13" s="31" t="n">
        <x:f>IF(E13=0,"",E13*K13)</x:f>
        <x:v>235582.4453250236</x:v>
      </x:c>
      <x:c r="M13" s="31" t="n">
        <x:f>IF(E13=0,"",I13-L13)</x:f>
        <x:v>11088.955272400926</x:v>
      </x:c>
      <x:c r="N13" s="32" t="n">
        <x:f>IF(L13=0,"",I13/L13)</x:f>
        <x:v>1.047070380210639</x:v>
      </x:c>
      <x:c r="O13" s="34" t="n">
        <x:f>IF(L13=0,"",M13/L13)</x:f>
        <x:v>0.04707038021063896</x:v>
      </x:c>
    </x:row>
    <x:row r="14" ht="18" customHeight="1">
      <x:c r="A14" s="24" t="str">
        <x:v>Medium demersals (30 - 89 cm)</x:v>
      </x:c>
      <x:c r="B14" s="33" t="n">
        <x:v>8</x:v>
      </x:c>
      <x:c r="C14" s="33" t="n">
        <x:v>8</x:v>
      </x:c>
      <x:c r="D14" s="31" t="n">
        <x:v>3639.8113846265</x:v>
      </x:c>
      <x:c r="E14" s="31" t="n">
        <x:v>3639.8113846265</x:v>
      </x:c>
      <x:c r="F14" s="32" t="n">
        <x:v>0</x:v>
      </x:c>
      <x:c r="G14" s="34" t="n">
        <x:v>1</x:v>
      </x:c>
      <x:c r="H14" s="32" t="n">
        <x:f>IF(E14=0,"",I14/E14)</x:f>
        <x:v>308.7011824073536</x:v>
      </x:c>
      <x:c r="I14" s="31" t="n">
        <x:f>IF(C14=0,"",SUMIF('Species'!$G$2:$G$75,A14,'Species'!$U$2:$U$75))</x:f>
        <x:v>1123614.0781739475</x:v>
      </x:c>
      <x:c r="J14" s="32" t="n">
        <x:v>3.4443388375425417</x:v>
      </x:c>
      <x:c r="K14" s="32" t="n">
        <x:f>IF(J14="","",(1/'Metadata'!$B$5)^(J14-1))</x:f>
        <x:v>278.188285262045</x:v>
      </x:c>
      <x:c r="L14" s="31" t="n">
        <x:f>IF(E14=0,"",E14*K14)</x:f>
        <x:v>1012552.8877665157</x:v>
      </x:c>
      <x:c r="M14" s="31" t="n">
        <x:f>IF(E14=0,"",I14-L14)</x:f>
        <x:v>111061.1904074318</x:v>
      </x:c>
      <x:c r="N14" s="32" t="n">
        <x:f>IF(L14=0,"",I14/L14)</x:f>
        <x:v>1.1096843352572032</x:v>
      </x:c>
      <x:c r="O14" s="34" t="n">
        <x:f>IF(L14=0,"",M14/L14)</x:f>
        <x:v>0.10968433525720324</x:v>
      </x:c>
    </x:row>
    <x:row r="15" ht="18" customHeight="1">
      <x:c r="A15" s="24" t="str">
        <x:v>Medium pelagics (30 - 89 cm)</x:v>
      </x:c>
      <x:c r="B15" s="33" t="n">
        <x:v>5</x:v>
      </x:c>
      <x:c r="C15" s="33" t="n">
        <x:v>5</x:v>
      </x:c>
      <x:c r="D15" s="31" t="n">
        <x:v>459.43414232609996</x:v>
      </x:c>
      <x:c r="E15" s="31" t="n">
        <x:v>459.43414232609996</x:v>
      </x:c>
      <x:c r="F15" s="32" t="n">
        <x:v>0</x:v>
      </x:c>
      <x:c r="G15" s="34" t="n">
        <x:v>1</x:v>
      </x:c>
      <x:c r="H15" s="32" t="n">
        <x:f>IF(E15=0,"",I15/E15)</x:f>
        <x:v>1609.578097932498</x:v>
      </x:c>
      <x:c r="I15" s="31" t="n">
        <x:f>IF(C15=0,"",SUMIF('Species'!$G$2:$G$75,A15,'Species'!$U$2:$U$75))</x:f>
        <x:v>739495.1329304925</x:v>
      </x:c>
      <x:c r="J15" s="32" t="n">
        <x:v>4.083134037297214</x:v>
      </x:c>
      <x:c r="K15" s="32" t="n">
        <x:f>IF(J15="","",(1/'Metadata'!$B$5)^(J15-1))</x:f>
        <x:v>1210.9718208786132</x:v>
      </x:c>
      <x:c r="L15" s="31" t="n">
        <x:f>IF(E15=0,"",E15*K15)</x:f>
        <x:v>556361.7999064412</x:v>
      </x:c>
      <x:c r="M15" s="31" t="n">
        <x:f>IF(E15=0,"",I15-L15)</x:f>
        <x:v>183133.33302405127</x:v>
      </x:c>
      <x:c r="N15" s="32" t="n">
        <x:f>IF(L15=0,"",I15/L15)</x:f>
        <x:v>1.3291623059937747</x:v>
      </x:c>
      <x:c r="O15" s="34" t="n">
        <x:f>IF(L15=0,"",M15/L15)</x:f>
        <x:v>0.3291623059937747</x:v>
      </x:c>
    </x:row>
    <x:row r="16" ht="18" customHeight="1">
      <x:c r="A16" s="24" t="str">
        <x:v>Medium reef assoc. fish (30 - 89 cm)</x:v>
      </x:c>
      <x:c r="B16" s="33" t="n">
        <x:v>7</x:v>
      </x:c>
      <x:c r="C16" s="33" t="n">
        <x:v>7</x:v>
      </x:c>
      <x:c r="D16" s="31" t="n">
        <x:v>1362.7466116071002</x:v>
      </x:c>
      <x:c r="E16" s="31" t="n">
        <x:v>1362.7466116071002</x:v>
      </x:c>
      <x:c r="F16" s="32" t="n">
        <x:v>0</x:v>
      </x:c>
      <x:c r="G16" s="34" t="n">
        <x:v>1</x:v>
      </x:c>
      <x:c r="H16" s="32" t="n">
        <x:f>IF(E16=0,"",I16/E16)</x:f>
        <x:v>268.6385978370945</x:v>
      </x:c>
      <x:c r="I16" s="31" t="n">
        <x:f>IF(C16=0,"",SUMIF('Species'!$G$2:$G$75,A16,'Species'!$U$2:$U$75))</x:f>
        <x:v>366086.338949383</x:v>
      </x:c>
      <x:c r="J16" s="32" t="n">
        <x:v>2.996637593692325</x:v>
      </x:c>
      <x:c r="K16" s="32" t="n">
        <x:f>IF(J16="","",(1/'Metadata'!$B$5)^(J16-1))</x:f>
        <x:v>99.22876671979951</x:v>
      </x:c>
      <x:c r="L16" s="31" t="n">
        <x:f>IF(E16=0,"",E16*K16)</x:f>
        <x:v>135223.66562135817</x:v>
      </x:c>
      <x:c r="M16" s="31" t="n">
        <x:f>IF(E16=0,"",I16-L16)</x:f>
        <x:v>230862.67332802483</x:v>
      </x:c>
      <x:c r="N16" s="32" t="n">
        <x:f>IF(L16=0,"",I16/L16)</x:f>
        <x:v>2.7072653094205186</x:v>
      </x:c>
      <x:c r="O16" s="34" t="n">
        <x:f>IF(L16=0,"",M16/L16)</x:f>
        <x:v>1.7072653094205188</x:v>
      </x:c>
    </x:row>
    <x:row r="17" ht="18" customHeight="1">
      <x:c r="A17" s="24" t="str">
        <x:v>Other demersal invertebrates</x:v>
      </x:c>
      <x:c r="B17" s="33" t="n">
        <x:v>1</x:v>
      </x:c>
      <x:c r="C17" s="33" t="n">
        <x:v>1</x:v>
      </x:c>
      <x:c r="D17" s="31" t="n">
        <x:v>250.0175068415</x:v>
      </x:c>
      <x:c r="E17" s="31" t="n">
        <x:v>250.0175068415</x:v>
      </x:c>
      <x:c r="F17" s="32" t="n">
        <x:v>0</x:v>
      </x:c>
      <x:c r="G17" s="34" t="n">
        <x:v>1</x:v>
      </x:c>
      <x:c r="H17" s="32" t="n">
        <x:f>IF(E17=0,"",I17/E17)</x:f>
        <x:v>16.982436524617444</x:v>
      </x:c>
      <x:c r="I17" s="31" t="n">
        <x:f>IF(C17=0,"",SUMIF('Species'!$G$2:$G$75,A17,'Species'!$U$2:$U$75))</x:f>
        <x:v>4245.906439978881</x:v>
      </x:c>
      <x:c r="J17" s="32" t="n">
        <x:v>2.23</x:v>
      </x:c>
      <x:c r="K17" s="32" t="n">
        <x:f>IF(J17="","",(1/'Metadata'!$B$5)^(J17-1))</x:f>
        <x:v>16.982436524617444</x:v>
      </x:c>
      <x:c r="L17" s="31" t="n">
        <x:f>IF(E17=0,"",E17*K17)</x:f>
        <x:v>4245.906439978881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  <x:row r="18" ht="18" customHeight="1">
      <x:c r="A18" s="24" t="str">
        <x:v>Shrimps</x:v>
      </x:c>
      <x:c r="B18" s="33" t="n">
        <x:v>3</x:v>
      </x:c>
      <x:c r="C18" s="33" t="n">
        <x:v>3</x:v>
      </x:c>
      <x:c r="D18" s="31" t="n">
        <x:v>238.1834652786</x:v>
      </x:c>
      <x:c r="E18" s="31" t="n">
        <x:v>238.1834652786</x:v>
      </x:c>
      <x:c r="F18" s="32" t="n">
        <x:v>0</x:v>
      </x:c>
      <x:c r="G18" s="34" t="n">
        <x:v>1</x:v>
      </x:c>
      <x:c r="H18" s="32" t="n">
        <x:f>IF(E18=0,"",I18/E18)</x:f>
        <x:v>47.81173032244595</x:v>
      </x:c>
      <x:c r="I18" s="31" t="n">
        <x:f>IF(C18=0,"",SUMIF('Species'!$G$2:$G$75,A18,'Species'!$U$2:$U$75))</x:f>
        <x:v>11387.963609166092</x:v>
      </x:c>
      <x:c r="J18" s="32" t="n">
        <x:v>2.4222161132295</x:v>
      </x:c>
      <x:c r="K18" s="32" t="n">
        <x:f>IF(J18="","",(1/'Metadata'!$B$5)^(J18-1))</x:f>
        <x:v>26.437239976085074</x:v>
      </x:c>
      <x:c r="L18" s="31" t="n">
        <x:f>IF(E18=0,"",E18*K18)</x:f>
        <x:v>6296.913429905875</x:v>
      </x:c>
      <x:c r="M18" s="31" t="n">
        <x:f>IF(E18=0,"",I18-L18)</x:f>
        <x:v>5091.050179260217</x:v>
      </x:c>
      <x:c r="N18" s="32" t="n">
        <x:f>IF(L18=0,"",I18/L18)</x:f>
        <x:v>1.8084993125491193</x:v>
      </x:c>
      <x:c r="O18" s="34" t="n">
        <x:f>IF(L18=0,"",M18/L18)</x:f>
        <x:v>0.8084993125491193</x:v>
      </x:c>
    </x:row>
    <x:row r="19" ht="18" customHeight="1">
      <x:c r="A19" s="24" t="str">
        <x:v>Small benthopelagics (&lt;30 cm)</x:v>
      </x:c>
      <x:c r="B19" s="33" t="n">
        <x:v>1</x:v>
      </x:c>
      <x:c r="C19" s="33" t="n">
        <x:v>1</x:v>
      </x:c>
      <x:c r="D19" s="31" t="n">
        <x:v>0.3399772413</x:v>
      </x:c>
      <x:c r="E19" s="31" t="n">
        <x:v>0.3399772413</x:v>
      </x:c>
      <x:c r="F19" s="32" t="n">
        <x:v>0</x:v>
      </x:c>
      <x:c r="G19" s="34" t="n">
        <x:v>1</x:v>
      </x:c>
      <x:c r="H19" s="32" t="n">
        <x:f>IF(E19=0,"",I19/E19)</x:f>
        <x:v>173.78008287493762</x:v>
      </x:c>
      <x:c r="I19" s="31" t="n">
        <x:f>IF(C19=0,"",SUMIF('Species'!$G$2:$G$75,A19,'Species'!$U$2:$U$75))</x:f>
        <x:v>59.081273168706666</x:v>
      </x:c>
      <x:c r="J19" s="32" t="n">
        <x:v>3.24</x:v>
      </x:c>
      <x:c r="K19" s="32" t="n">
        <x:f>IF(J19="","",(1/'Metadata'!$B$5)^(J19-1))</x:f>
        <x:v>173.78008287493762</x:v>
      </x:c>
      <x:c r="L19" s="31" t="n">
        <x:f>IF(E19=0,"",E19*K19)</x:f>
        <x:v>59.081273168706666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  <x:row r="20" ht="18" customHeight="1">
      <x:c r="A20" s="24" t="str">
        <x:v>Small pelagics (&lt;30 cm)</x:v>
      </x:c>
      <x:c r="B20" s="33" t="n">
        <x:v>1</x:v>
      </x:c>
      <x:c r="C20" s="33" t="n">
        <x:v>1</x:v>
      </x:c>
      <x:c r="D20" s="31" t="n">
        <x:v>0.0124324312</x:v>
      </x:c>
      <x:c r="E20" s="31" t="n">
        <x:v>0.0124324312</x:v>
      </x:c>
      <x:c r="F20" s="32" t="n">
        <x:v>0</x:v>
      </x:c>
      <x:c r="G20" s="34" t="n">
        <x:v>1</x:v>
      </x:c>
      <x:c r="H20" s="32" t="n">
        <x:f>IF(E20=0,"",I20/E20)</x:f>
        <x:v>177.82794100389225</x:v>
      </x:c>
      <x:c r="I20" s="31" t="n">
        <x:f>IF(C20=0,"",SUMIF('Species'!$G$2:$G$75,A20,'Species'!$U$2:$U$75))</x:f>
        <x:v>2.2108336419685495</x:v>
      </x:c>
      <x:c r="J20" s="32" t="n">
        <x:v>3.25</x:v>
      </x:c>
      <x:c r="K20" s="32" t="n">
        <x:f>IF(J20="","",(1/'Metadata'!$B$5)^(J20-1))</x:f>
        <x:v>177.82794100389228</x:v>
      </x:c>
      <x:c r="L20" s="31" t="n">
        <x:f>IF(E20=0,"",E20*K20)</x:f>
        <x:v>2.2108336419685495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to medium rays (&lt;90 cm)</x:v>
      </x:c>
      <x:c r="B21" s="33" t="n">
        <x:v>1</x:v>
      </x:c>
      <x:c r="C21" s="33" t="n">
        <x:v>1</x:v>
      </x:c>
      <x:c r="D21" s="31" t="n">
        <x:v>0.1105729679</x:v>
      </x:c>
      <x:c r="E21" s="31" t="n">
        <x:v>0.1105729679</x:v>
      </x:c>
      <x:c r="F21" s="32" t="n">
        <x:v>0</x:v>
      </x:c>
      <x:c r="G21" s="34" t="n">
        <x:v>1</x:v>
      </x:c>
      <x:c r="H21" s="32" t="n">
        <x:f>IF(E21=0,"",I21/E21)</x:f>
        <x:v>630.957344480193</x:v>
      </x:c>
      <x:c r="I21" s="31" t="n">
        <x:f>IF(C21=0,"",SUMIF('Species'!$G$2:$G$75,A21,'Species'!$U$2:$U$75))</x:f>
        <x:v>69.76682619747763</x:v>
      </x:c>
      <x:c r="J21" s="32" t="n">
        <x:v>3.8</x:v>
      </x:c>
      <x:c r="K21" s="32" t="n">
        <x:f>IF(J21="","",(1/'Metadata'!$B$5)^(J21-1))</x:f>
        <x:v>630.957344480193</x:v>
      </x:c>
      <x:c r="L21" s="31" t="n">
        <x:f>IF(E21=0,"",E21*K21)</x:f>
        <x:v>69.76682619747763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08f74dfa65b4a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EEZ_954</x:v>
      </x:c>
      <x:c r="B2" s="24" t="str">
        <x:v>raw_filtered_tonnes</x:v>
      </x:c>
      <x:c r="C2" s="24" t="n">
        <x:v>11740.798835807702</x:v>
      </x:c>
      <x:c r="D2" s="24" t="str">
        <x:v>tonnes</x:v>
      </x:c>
    </x:row>
    <x:row r="3" ht="18" customHeight="1">
      <x:c r="A3" s="24" t="str">
        <x:v>EEZ_954</x:v>
      </x:c>
      <x:c r="B3" s="24" t="str">
        <x:v>species_catch_tonnes</x:v>
      </x:c>
      <x:c r="C3" s="24" t="n">
        <x:v>11740.798835807702</x:v>
      </x:c>
      <x:c r="D3" s="24" t="str">
        <x:v>tonnes</x:v>
      </x:c>
    </x:row>
    <x:row r="4" ht="18" customHeight="1">
      <x:c r="A4" s="24" t="str">
        <x:v>EEZ_954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EEZ_954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EEZ_954</x:v>
      </x:c>
      <x:c r="B6" s="24" t="str">
        <x:v>matched_catch_tonnes</x:v>
      </x:c>
      <x:c r="C6" s="24" t="n">
        <x:v>11740.798835807702</x:v>
      </x:c>
      <x:c r="D6" s="24" t="str">
        <x:v>tonnes</x:v>
      </x:c>
    </x:row>
    <x:row r="7" ht="18" customHeight="1">
      <x:c r="A7" s="24" t="str">
        <x:v>EEZ_954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EEZ_954</x:v>
      </x:c>
      <x:c r="B8" s="24" t="str">
        <x:v>taxa_count</x:v>
      </x:c>
      <x:c r="C8" s="24" t="n">
        <x:v>74</x:v>
      </x:c>
      <x:c r="D8" s="24" t="str">
        <x:v>count</x:v>
      </x:c>
    </x:row>
    <x:row r="9" ht="18" customHeight="1">
      <x:c r="A9" s="24" t="str">
        <x:v>EEZ_954</x:v>
      </x:c>
      <x:c r="B9" s="24" t="str">
        <x:v>matched_taxa_count</x:v>
      </x:c>
      <x:c r="C9" s="24" t="n">
        <x:v>74</x:v>
      </x:c>
      <x:c r="D9" s="24" t="str">
        <x:v>count</x:v>
      </x:c>
    </x:row>
    <x:row r="10" ht="18" customHeight="1">
      <x:c r="A10" s="24" t="str">
        <x:v>EEZ_954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EEZ_954</x:v>
      </x:c>
      <x:c r="B11" s="24" t="str">
        <x:v>species_ppr</x:v>
      </x:c>
      <x:c r="C11" s="24" t="n">
        <x:v>13513947.448119681</x:v>
      </x:c>
      <x:c r="D11" s="24" t="str">
        <x:v>tonnes_primary_production_equivalent</x:v>
      </x:c>
    </x:row>
    <x:row r="12" ht="18" customHeight="1">
      <x:c r="A12" s="24" t="str">
        <x:v>EEZ_954</x:v>
      </x:c>
      <x:c r="B12" s="24" t="str">
        <x:v>commercial_ppr</x:v>
      </x:c>
      <x:c r="C12" s="24" t="n">
        <x:v>13513947.448119681</x:v>
      </x:c>
      <x:c r="D12" s="24" t="str">
        <x:v>tonnes_primary_production_equivalent</x:v>
      </x:c>
    </x:row>
    <x:row r="13" ht="18" customHeight="1">
      <x:c r="A13" s="24" t="str">
        <x:v>EEZ_954</x:v>
      </x:c>
      <x:c r="B13" s="24" t="str">
        <x:v>functional_ppr</x:v>
      </x:c>
      <x:c r="C13" s="24" t="n">
        <x:v>13513947.448119681</x:v>
      </x:c>
      <x:c r="D13" s="24" t="str">
        <x:v>tonnes_primary_production_equivalent</x:v>
      </x:c>
    </x:row>
    <x:row r="14" ht="18" customHeight="1">
      <x:c r="A14" s="24" t="str">
        <x:v>EEZ_954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EEZ_954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EEZ_954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EEZ_954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EEZ_954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EEZ_954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8ef255735dc48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EEZ_954 - South Africa (Indian Ocean Coast)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EEZ_954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raw_data/SAU_downloads/EEZ_954-catch.zip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