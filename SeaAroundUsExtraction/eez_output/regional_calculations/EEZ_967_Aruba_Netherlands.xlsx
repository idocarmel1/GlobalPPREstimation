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4f7d0da1b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e47d599633548b2"/>
    <x:sheet xmlns:r="http://schemas.openxmlformats.org/officeDocument/2006/relationships" name="Commercial" sheetId="2" r:id="R90623d5297fc4e67"/>
    <x:sheet xmlns:r="http://schemas.openxmlformats.org/officeDocument/2006/relationships" name="Functional" sheetId="3" r:id="R62f45498d6e24045"/>
    <x:sheet xmlns:r="http://schemas.openxmlformats.org/officeDocument/2006/relationships" name="Missing TL" sheetId="4" r:id="R3f908ec3052240a5"/>
    <x:sheet xmlns:r="http://schemas.openxmlformats.org/officeDocument/2006/relationships" name="Validation" sheetId="5" r:id="R1c1b656fcc2c4f6d"/>
    <x:sheet xmlns:r="http://schemas.openxmlformats.org/officeDocument/2006/relationships" name="Metadata" sheetId="6" r:id="R3b0e42533dc8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6d3b7d50f49ae" /><Relationship Type="http://schemas.openxmlformats.org/officeDocument/2006/relationships/theme" Target="/xl/theme/theme1.xml" Id="Reaa1189cc85d436b" /><Relationship Type="http://schemas.microsoft.com/office/2022/11/relationships/FeaturePropertyBag" Target="/xl/featurePropertyBag/featurePropertyBag.xml" Id="R92ff9f4449b24726" /><Relationship Type="http://schemas.openxmlformats.org/officeDocument/2006/relationships/sharedStrings" Target="/xl/sharedStrings.xml" Id="Ree4213b07b1143eb" /><Relationship Type="http://schemas.openxmlformats.org/officeDocument/2006/relationships/worksheet" Target="/xl/worksheets/sheet1.xml" Id="Rde47d599633548b2" /><Relationship Type="http://schemas.openxmlformats.org/officeDocument/2006/relationships/worksheet" Target="/xl/worksheets/sheet2.xml" Id="R90623d5297fc4e67" /><Relationship Type="http://schemas.openxmlformats.org/officeDocument/2006/relationships/worksheet" Target="/xl/worksheets/sheet3.xml" Id="R62f45498d6e24045" /><Relationship Type="http://schemas.openxmlformats.org/officeDocument/2006/relationships/worksheet" Target="/xl/worksheets/sheet4.xml" Id="R3f908ec3052240a5" /><Relationship Type="http://schemas.openxmlformats.org/officeDocument/2006/relationships/worksheet" Target="/xl/worksheets/sheet5.xml" Id="R1c1b656fcc2c4f6d" /><Relationship Type="http://schemas.openxmlformats.org/officeDocument/2006/relationships/worksheet" Target="/xl/worksheets/sheet6.xml" Id="R3b0e42533dc847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7SpeciesTable" displayName="EEZ967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7CommercialTable" displayName="EEZ967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7FunctionalTable" displayName="EEZ967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7ValidationTable" displayName="EEZ96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860fdb11a14c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02e8d5a53b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b296c2902048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56befd34c6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EEZ_967</x:v>
      </x:c>
      <x:c r="B2" s="24" t="str">
        <x:v>Aruba (Netherlands)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350.54512905629997</x:v>
      </x:c>
      <x:c r="J2" s="31" t="n">
        <x:v>281.566238051</x:v>
      </x:c>
      <x:c r="K2" s="31" t="n">
        <x:v>68.9788910053</x:v>
      </x:c>
      <x:c r="L2" s="31" t="n">
        <x:v>10.714285714999999</x:v>
      </x:c>
      <x:c r="M2" s="31" t="n">
        <x:v>339.8308433413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66794.99732901363</x:v>
      </x:c>
    </x:row>
    <x:row r="3" ht="18" customHeight="1">
      <x:c r="A3" s="24" t="str">
        <x:v>EEZ_967</x:v>
      </x:c>
      <x:c r="B3" s="24" t="str">
        <x:v>Aruba (Netherlands)</x:v>
      </x:c>
      <x:c r="C3" s="24" t="str">
        <x:v>EEZ</x:v>
      </x:c>
      <x:c r="D3" s="30" t="n">
        <x:v>2019</x:v>
      </x:c>
      <x:c r="E3" s="24" t="str">
        <x:v>Lutjanus purpureus</x:v>
      </x:c>
      <x:c r="F3" s="24" t="str">
        <x:v>Southern red snapper</x:v>
      </x:c>
      <x:c r="G3" s="24" t="str">
        <x:v>Medium demersals (30 - 89 cm)</x:v>
      </x:c>
      <x:c r="H3" s="24" t="str">
        <x:v>Perch-likes</x:v>
      </x:c>
      <x:c r="I3" s="31" t="n">
        <x:v>312.656835546</x:v>
      </x:c>
      <x:c r="J3" s="31" t="n">
        <x:v>312.656835546</x:v>
      </x:c>
      <x:c r="K3" s="31" t="n">
        <x:v>0</x:v>
      </x:c>
      <x:c r="L3" s="31" t="n">
        <x:v>306.2295730521</x:v>
      </x:c>
      <x:c r="M3" s="31" t="n">
        <x:v>6.4272624939</x:v>
      </x:c>
      <x:c r="N3" s="24" t="str">
        <x:v>lutjanus purpureus</x:v>
      </x:c>
      <x:c r="O3" s="32" t="n">
        <x:v>3.58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Lutjanus purpureus</x:v>
      </x:c>
      <x:c r="T3" s="32" t="n">
        <x:f>IF(O3="","",(1/'Metadata'!$B$5)^(O3-1))</x:f>
        <x:v>380.1893963205613</x:v>
      </x:c>
      <x:c r="U3" s="31" t="n">
        <x:f>IF(T3="","",I3*T3)</x:f>
        <x:v>118868.81356173076</x:v>
      </x:c>
    </x:row>
    <x:row r="4" ht="18" customHeight="1">
      <x:c r="A4" s="24" t="str">
        <x:v>EEZ_967</x:v>
      </x:c>
      <x:c r="B4" s="24" t="str">
        <x:v>Aruba (Netherlands)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254.4553887661</x:v>
      </x:c>
      <x:c r="J4" s="31" t="n">
        <x:v>238.6553887661</x:v>
      </x:c>
      <x:c r="K4" s="31" t="n">
        <x:v>15.8</x:v>
      </x:c>
      <x:c r="L4" s="31" t="n">
        <x:v>65.62630512610001</x:v>
      </x:c>
      <x:c r="M4" s="31" t="n">
        <x:v>188.82908364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596501.654558925</x:v>
      </x:c>
    </x:row>
    <x:row r="5" ht="18" customHeight="1">
      <x:c r="A5" s="24" t="str">
        <x:v>EEZ_967</x:v>
      </x:c>
      <x:c r="B5" s="24" t="str">
        <x:v>Aruba (Netherlands)</x:v>
      </x:c>
      <x:c r="C5" s="24" t="str">
        <x:v>EEZ</x:v>
      </x:c>
      <x:c r="D5" s="30" t="n">
        <x:v>2019</x:v>
      </x:c>
      <x:c r="E5" s="24" t="str">
        <x:v>Scomberomorus cavalla</x:v>
      </x:c>
      <x:c r="F5" s="24" t="str">
        <x:v>King mackerel</x:v>
      </x:c>
      <x:c r="G5" s="24" t="str">
        <x:v>Large pelagics (&gt;=90 cm)</x:v>
      </x:c>
      <x:c r="H5" s="24" t="str">
        <x:v>Perch-likes</x:v>
      </x:c>
      <x:c r="I5" s="31" t="n">
        <x:v>222.9013725763</x:v>
      </x:c>
      <x:c r="J5" s="31" t="n">
        <x:v>207.1013725763</x:v>
      </x:c>
      <x:c r="K5" s="31" t="n">
        <x:v>15.8</x:v>
      </x:c>
      <x:c r="L5" s="31" t="n">
        <x:v>34.0722889363</x:v>
      </x:c>
      <x:c r="M5" s="31" t="n">
        <x:v>188.82908364</x:v>
      </x:c>
      <x:c r="N5" s="24" t="str">
        <x:v>scomberomorus cavalla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cavalla</x:v>
      </x:c>
      <x:c r="T5" s="32" t="n">
        <x:f>IF(O5="","",(1/'Metadata'!$B$5)^(O5-1))</x:f>
        <x:v>2630.2679918953813</x:v>
      </x:c>
      <x:c r="U5" s="31" t="n">
        <x:f>IF(T5="","",I5*T5)</x:f>
        <x:v>586290.3456369888</x:v>
      </x:c>
    </x:row>
    <x:row r="6" ht="18" customHeight="1">
      <x:c r="A6" s="24" t="str">
        <x:v>EEZ_967</x:v>
      </x:c>
      <x:c r="B6" s="24" t="str">
        <x:v>Aruba (Netherlands)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210.5934001561</x:v>
      </x:c>
      <x:c r="J6" s="31" t="n">
        <x:v>210.5934001561</x:v>
      </x:c>
      <x:c r="K6" s="31" t="n">
        <x:v>0</x:v>
      </x:c>
      <x:c r="L6" s="31" t="n">
        <x:v>210.5934001561</x:v>
      </x:c>
      <x:c r="M6" s="31" t="n">
        <x:v>0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471459.8965724417</x:v>
      </x:c>
    </x:row>
    <x:row r="7" ht="18" customHeight="1">
      <x:c r="A7" s="24" t="str">
        <x:v>EEZ_967</x:v>
      </x:c>
      <x:c r="B7" s="24" t="str">
        <x:v>Aruba (Netherlands)</x:v>
      </x:c>
      <x:c r="C7" s="24" t="str">
        <x:v>EEZ</x:v>
      </x:c>
      <x:c r="D7" s="30" t="n">
        <x:v>2019</x:v>
      </x:c>
      <x:c r="E7" s="24" t="str">
        <x:v>Acanthocybium solandri</x:v>
      </x:c>
      <x:c r="F7" s="24" t="str">
        <x:v>Wahoo</x:v>
      </x:c>
      <x:c r="G7" s="24" t="str">
        <x:v>Large pelagics (&gt;=90 cm)</x:v>
      </x:c>
      <x:c r="H7" s="24" t="str">
        <x:v>Perch-likes</x:v>
      </x:c>
      <x:c r="I7" s="31" t="n">
        <x:v>194.7390768808</x:v>
      </x:c>
      <x:c r="J7" s="31" t="n">
        <x:v>178.9390768808</x:v>
      </x:c>
      <x:c r="K7" s="31" t="n">
        <x:v>15.8</x:v>
      </x:c>
      <x:c r="L7" s="31" t="n">
        <x:v>5.9099932408</x:v>
      </x:c>
      <x:c r="M7" s="31" t="n">
        <x:v>188.82908364</x:v>
      </x:c>
      <x:c r="N7" s="24" t="str">
        <x:v>acanthocybium solandri</x:v>
      </x:c>
      <x:c r="O7" s="32" t="n">
        <x:v>4.26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Acanthocybium solandri</x:v>
      </x:c>
      <x:c r="T7" s="32" t="n">
        <x:f>IF(O7="","",(1/'Metadata'!$B$5)^(O7-1))</x:f>
        <x:v>1819.7008586099826</x:v>
      </x:c>
      <x:c r="U7" s="31" t="n">
        <x:f>IF(T7="","",I7*T7)</x:f>
        <x:v>354366.8654049072</x:v>
      </x:c>
    </x:row>
    <x:row r="8" ht="18" customHeight="1">
      <x:c r="A8" s="24" t="str">
        <x:v>EEZ_967</x:v>
      </x:c>
      <x:c r="B8" s="24" t="str">
        <x:v>Aruba (Netherlands)</x:v>
      </x:c>
      <x:c r="C8" s="24" t="str">
        <x:v>EEZ</x:v>
      </x:c>
      <x:c r="D8" s="30" t="n">
        <x:v>2019</x:v>
      </x:c>
      <x:c r="E8" s="24" t="str">
        <x:v>Sarda sarda</x:v>
      </x:c>
      <x:c r="F8" s="24" t="str">
        <x:v>Atlantic bonito</x:v>
      </x:c>
      <x:c r="G8" s="24" t="str">
        <x:v>Medium pelagics (30 - 89 cm)</x:v>
      </x:c>
      <x:c r="H8" s="24" t="str">
        <x:v>Tuna &amp; billfishes</x:v>
      </x:c>
      <x:c r="I8" s="31" t="n">
        <x:v>189.2089535123</x:v>
      </x:c>
      <x:c r="J8" s="31" t="n">
        <x:v>173.4089535123</x:v>
      </x:c>
      <x:c r="K8" s="31" t="n">
        <x:v>15.8</x:v>
      </x:c>
      <x:c r="L8" s="31" t="n">
        <x:v>0.3798698723</x:v>
      </x:c>
      <x:c r="M8" s="31" t="n">
        <x:v>188.82908364</x:v>
      </x:c>
      <x:c r="N8" s="24" t="str">
        <x:v>sarda sarda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Sarda sarda</x:v>
      </x:c>
      <x:c r="T8" s="32" t="n">
        <x:f>IF(O8="","",(1/'Metadata'!$B$5)^(O8-1))</x:f>
        <x:v>3162.2776601683795</x:v>
      </x:c>
      <x:c r="U8" s="31" t="n">
        <x:f>IF(T8="","",I8*T8)</x:f>
        <x:v>598331.2467957838</x:v>
      </x:c>
    </x:row>
    <x:row r="9" ht="18" customHeight="1">
      <x:c r="A9" s="24" t="str">
        <x:v>EEZ_967</x:v>
      </x:c>
      <x:c r="B9" s="24" t="str">
        <x:v>Aruba (Netherlands)</x:v>
      </x:c>
      <x:c r="C9" s="24" t="str">
        <x:v>EEZ</x:v>
      </x:c>
      <x:c r="D9" s="30" t="n">
        <x:v>2019</x:v>
      </x:c>
      <x:c r="E9" s="24" t="str">
        <x:v>Elagatis bipinnulata</x:v>
      </x:c>
      <x:c r="F9" s="24" t="str">
        <x:v>Rainbow runner</x:v>
      </x:c>
      <x:c r="G9" s="24" t="str">
        <x:v>Large pelagics (&gt;=90 cm)</x:v>
      </x:c>
      <x:c r="H9" s="24" t="str">
        <x:v>Perch-likes</x:v>
      </x:c>
      <x:c r="I9" s="31" t="n">
        <x:v>188.82908364</x:v>
      </x:c>
      <x:c r="J9" s="31" t="n">
        <x:v>173.02908364</x:v>
      </x:c>
      <x:c r="K9" s="31" t="n">
        <x:v>15.8</x:v>
      </x:c>
      <x:c r="L9" s="31" t="n">
        <x:v>0</x:v>
      </x:c>
      <x:c r="M9" s="31" t="n">
        <x:v>188.82908364</x:v>
      </x:c>
      <x:c r="N9" s="24" t="str">
        <x:v>elagatis bipinnulata</x:v>
      </x:c>
      <x:c r="O9" s="32" t="n">
        <x:v>4.27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Elagatis bipinnulata</x:v>
      </x:c>
      <x:c r="T9" s="32" t="n">
        <x:f>IF(O9="","",(1/'Metadata'!$B$5)^(O9-1))</x:f>
        <x:v>1862.0871366628655</x:v>
      </x:c>
      <x:c r="U9" s="31" t="n">
        <x:f>IF(T9="","",I9*T9)</x:f>
        <x:v>351616.20767388033</x:v>
      </x:c>
    </x:row>
    <x:row r="10" ht="18" customHeight="1">
      <x:c r="A10" s="24" t="str">
        <x:v>EEZ_967</x:v>
      </x:c>
      <x:c r="B10" s="24" t="str">
        <x:v>Aruba (Netherlands)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110.4455712557</x:v>
      </x:c>
      <x:c r="J10" s="31" t="n">
        <x:v>109.2663075117</x:v>
      </x:c>
      <x:c r="K10" s="31" t="n">
        <x:v>1.179263744</x:v>
      </x:c>
      <x:c r="L10" s="31" t="n">
        <x:v>109.2663075117</x:v>
      </x:c>
      <x:c r="M10" s="31" t="n">
        <x:v>1.179263744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200977.9008436673</x:v>
      </x:c>
    </x:row>
    <x:row r="11" ht="18" customHeight="1">
      <x:c r="A11" s="24" t="str">
        <x:v>EEZ_967</x:v>
      </x:c>
      <x:c r="B11" s="24" t="str">
        <x:v>Aruba (Netherlands)</x:v>
      </x:c>
      <x:c r="C11" s="24" t="str">
        <x:v>EEZ</x:v>
      </x:c>
      <x:c r="D11" s="30" t="n">
        <x:v>2019</x:v>
      </x:c>
      <x:c r="E11" s="24" t="str">
        <x:v>Istiophoridae</x:v>
      </x:c>
      <x:c r="F11" s="24" t="str">
        <x:v>Billfishes</x:v>
      </x:c>
      <x:c r="G11" s="24" t="str">
        <x:v>Large pelagics (&gt;=90 cm)</x:v>
      </x:c>
      <x:c r="H11" s="24" t="str">
        <x:v>Tuna &amp; billfishes</x:v>
      </x:c>
      <x:c r="I11" s="31" t="n">
        <x:v>95.26500984709999</x:v>
      </x:c>
      <x:c r="J11" s="31" t="n">
        <x:v>95.2401333621</x:v>
      </x:c>
      <x:c r="K11" s="31" t="n">
        <x:v>0.024876484999999997</x:v>
      </x:c>
      <x:c r="L11" s="31" t="n">
        <x:v>1.2110497221</x:v>
      </x:c>
      <x:c r="M11" s="31" t="n">
        <x:v>94.05396012499999</x:v>
      </x:c>
      <x:c r="N11" s="24" t="str">
        <x:v>istiophoridae</x:v>
      </x:c>
      <x:c r="O11" s="32" t="n">
        <x:v>4.48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Istiophoridae</x:v>
      </x:c>
      <x:c r="T11" s="32" t="n">
        <x:f>IF(O11="","",(1/'Metadata'!$B$5)^(O11-1))</x:f>
        <x:v>3019.951720402019</x:v>
      </x:c>
      <x:c r="U11" s="31" t="n">
        <x:f>IF(T11="","",I11*T11)</x:f>
        <x:v>287695.7303818649</x:v>
      </x:c>
    </x:row>
    <x:row r="12" ht="18" customHeight="1">
      <x:c r="A12" s="24" t="str">
        <x:v>EEZ_967</x:v>
      </x:c>
      <x:c r="B12" s="24" t="str">
        <x:v>Aruba (Netherlands)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62.1398299944</x:v>
      </x:c>
      <x:c r="J12" s="31" t="n">
        <x:v>61.3820408334</x:v>
      </x:c>
      <x:c r="K12" s="31" t="n">
        <x:v>0.757789161</x:v>
      </x:c>
      <x:c r="L12" s="31" t="n">
        <x:v>48.8244985192</x:v>
      </x:c>
      <x:c r="M12" s="31" t="n">
        <x:v>13.3153314752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65068.38995816574</x:v>
      </x:c>
    </x:row>
    <x:row r="13" ht="18" customHeight="1">
      <x:c r="A13" s="24" t="str">
        <x:v>EEZ_967</x:v>
      </x:c>
      <x:c r="B13" s="24" t="str">
        <x:v>Aruba (Netherlands)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53.4209424599</x:v>
      </x:c>
      <x:c r="J13" s="31" t="n">
        <x:v>53.4209424599</x:v>
      </x:c>
      <x:c r="K13" s="31" t="n">
        <x:v>0</x:v>
      </x:c>
      <x:c r="L13" s="31" t="n">
        <x:v>53.4209424599</x:v>
      </x:c>
      <x:c r="M13" s="31" t="n">
        <x:v>0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11959.45931272211</x:v>
      </x:c>
    </x:row>
    <x:row r="14" ht="18" customHeight="1">
      <x:c r="A14" s="24" t="str">
        <x:v>EEZ_967</x:v>
      </x:c>
      <x:c r="B14" s="24" t="str">
        <x:v>Aruba (Netherlands)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32.5727945124</x:v>
      </x:c>
      <x:c r="J14" s="31" t="n">
        <x:v>32.5727945124</x:v>
      </x:c>
      <x:c r="K14" s="31" t="n">
        <x:v>0</x:v>
      </x:c>
      <x:c r="L14" s="31" t="n">
        <x:v>32.5727945124</x:v>
      </x:c>
      <x:c r="M14" s="31" t="n">
        <x:v>0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83724.97364766977</x:v>
      </x:c>
    </x:row>
    <x:row r="15" ht="18" customHeight="1">
      <x:c r="A15" s="24" t="str">
        <x:v>EEZ_967</x:v>
      </x:c>
      <x:c r="B15" s="24" t="str">
        <x:v>Aruba (Netherlands)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25.987652398</x:v>
      </x:c>
      <x:c r="J15" s="31" t="n">
        <x:v>25.7868344</x:v>
      </x:c>
      <x:c r="K15" s="31" t="n">
        <x:v>0.200817998</x:v>
      </x:c>
      <x:c r="L15" s="31" t="n">
        <x:v>20</x:v>
      </x:c>
      <x:c r="M15" s="31" t="n">
        <x:v>5.987652398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24818.01536819219</x:v>
      </x:c>
    </x:row>
    <x:row r="16" ht="18" customHeight="1">
      <x:c r="A16" s="24" t="str">
        <x:v>EEZ_967</x:v>
      </x:c>
      <x:c r="B16" s="24" t="str">
        <x:v>Aruba (Netherlands)</x:v>
      </x:c>
      <x:c r="C16" s="24" t="str">
        <x:v>EEZ</x:v>
      </x:c>
      <x:c r="D16" s="30" t="n">
        <x:v>2019</x:v>
      </x:c>
      <x:c r="E16" s="24" t="str">
        <x:v>Cynoglossidae</x:v>
      </x:c>
      <x:c r="F16" s="24" t="str">
        <x:v>Tonguefishes</x:v>
      </x:c>
      <x:c r="G16" s="24" t="str">
        <x:v>Small to medium flatfishes (&lt;90 cm)</x:v>
      </x:c>
      <x:c r="H16" s="24" t="str">
        <x:v>Flatfishes</x:v>
      </x:c>
      <x:c r="I16" s="31" t="n">
        <x:v>24.8302163438</x:v>
      </x:c>
      <x:c r="J16" s="31" t="n">
        <x:v>24.8302163438</x:v>
      </x:c>
      <x:c r="K16" s="31" t="n">
        <x:v>0</x:v>
      </x:c>
      <x:c r="L16" s="31" t="n">
        <x:v>24.8302163438</x:v>
      </x:c>
      <x:c r="M16" s="31" t="n">
        <x:v>0</x:v>
      </x:c>
      <x:c r="N16" s="24" t="str">
        <x:v>cynoglossidae</x:v>
      </x:c>
      <x:c r="O16" s="32" t="n">
        <x:v>3.29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Cynoglossidae</x:v>
      </x:c>
      <x:c r="T16" s="32" t="n">
        <x:f>IF(O16="","",(1/'Metadata'!$B$5)^(O16-1))</x:f>
        <x:v>194.98445997580455</x:v>
      </x:c>
      <x:c r="U16" s="31" t="n">
        <x:f>IF(T16="","",I16*T16)</x:f>
        <x:v>4841.506324878239</x:v>
      </x:c>
    </x:row>
    <x:row r="17" ht="18" customHeight="1">
      <x:c r="A17" s="24" t="str">
        <x:v>EEZ_967</x:v>
      </x:c>
      <x:c r="B17" s="24" t="str">
        <x:v>Aruba (Netherlands)</x:v>
      </x:c>
      <x:c r="C17" s="24" t="str">
        <x:v>EEZ</x:v>
      </x:c>
      <x:c r="D17" s="30" t="n">
        <x:v>2019</x:v>
      </x:c>
      <x:c r="E17" s="24" t="str">
        <x:v>Makaira nigricans</x:v>
      </x:c>
      <x:c r="F17" s="24" t="str">
        <x:v>Blue marlin</x:v>
      </x:c>
      <x:c r="G17" s="24" t="str">
        <x:v>Large pelagics (&gt;=90 cm)</x:v>
      </x:c>
      <x:c r="H17" s="24" t="str">
        <x:v>Tuna &amp; billfishes</x:v>
      </x:c>
      <x:c r="I17" s="31" t="n">
        <x:v>20.1361990164</x:v>
      </x:c>
      <x:c r="J17" s="31" t="n">
        <x:v>20.1361990164</x:v>
      </x:c>
      <x:c r="K17" s="31" t="n">
        <x:v>0</x:v>
      </x:c>
      <x:c r="L17" s="31" t="n">
        <x:v>20.1361990164</x:v>
      </x:c>
      <x:c r="M17" s="31" t="n">
        <x:v>0</x:v>
      </x:c>
      <x:c r="N17" s="24" t="str">
        <x:v>makaira nigricans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Makaira nigricans</x:v>
      </x:c>
      <x:c r="T17" s="32" t="n">
        <x:f>IF(O17="","",(1/'Metadata'!$B$5)^(O17-1))</x:f>
        <x:v>3090.295432513592</x:v>
      </x:c>
      <x:c r="U17" s="31" t="n">
        <x:f>IF(T17="","",I17*T17)</x:f>
        <x:v>62226.8038485656</x:v>
      </x:c>
    </x:row>
    <x:row r="18" ht="18" customHeight="1">
      <x:c r="A18" s="24" t="str">
        <x:v>EEZ_967</x:v>
      </x:c>
      <x:c r="B18" s="24" t="str">
        <x:v>Aruba (Netherlands)</x:v>
      </x:c>
      <x:c r="C18" s="24" t="str">
        <x:v>EEZ</x:v>
      </x:c>
      <x:c r="D18" s="30" t="n">
        <x:v>2019</x:v>
      </x:c>
      <x:c r="E18" s="24" t="str">
        <x:v>Rajiformes</x:v>
      </x:c>
      <x:c r="F18" s="24" t="str">
        <x:v>Skates and rays</x:v>
      </x:c>
      <x:c r="G18" s="24" t="str">
        <x:v>Large rays (&gt;=90 cm)</x:v>
      </x:c>
      <x:c r="H18" s="24" t="str">
        <x:v>Sharks &amp; rays</x:v>
      </x:c>
      <x:c r="I18" s="31" t="n">
        <x:v>13.4506266447</x:v>
      </x:c>
      <x:c r="J18" s="31" t="n">
        <x:v>13.4506266447</x:v>
      </x:c>
      <x:c r="K18" s="31" t="n">
        <x:v>0</x:v>
      </x:c>
      <x:c r="L18" s="31" t="n">
        <x:v>11.9459018118</x:v>
      </x:c>
      <x:c r="M18" s="31" t="n">
        <x:v>1.5047248329</x:v>
      </x:c>
      <x:c r="N18" s="24" t="str">
        <x:v>rajiformes</x:v>
      </x:c>
      <x:c r="O18" s="32" t="n">
        <x:v>3.61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Rajiformes</x:v>
      </x:c>
      <x:c r="T18" s="32" t="n">
        <x:f>IF(O18="","",(1/'Metadata'!$B$5)^(O18-1))</x:f>
        <x:v>407.3802778041126</x:v>
      </x:c>
      <x:c r="U18" s="31" t="n">
        <x:f>IF(T18="","",I18*T18)</x:f>
        <x:v>5479.520019157285</x:v>
      </x:c>
    </x:row>
    <x:row r="19" ht="18" customHeight="1">
      <x:c r="A19" s="24" t="str">
        <x:v>EEZ_967</x:v>
      </x:c>
      <x:c r="B19" s="24" t="str">
        <x:v>Aruba (Netherlands)</x:v>
      </x:c>
      <x:c r="C19" s="24" t="str">
        <x:v>EEZ</x:v>
      </x:c>
      <x:c r="D19" s="30" t="n">
        <x:v>2019</x:v>
      </x:c>
      <x:c r="E19" s="24" t="str">
        <x:v>Euthynnus alletteratus</x:v>
      </x:c>
      <x:c r="F19" s="24" t="str">
        <x:v>Little tunny </x:v>
      </x:c>
      <x:c r="G19" s="24" t="str">
        <x:v>Large pelagics (&gt;=90 cm)</x:v>
      </x:c>
      <x:c r="H19" s="24" t="str">
        <x:v>Tuna &amp; billfishes</x:v>
      </x:c>
      <x:c r="I19" s="31" t="n">
        <x:v>9.2489270387</x:v>
      </x:c>
      <x:c r="J19" s="31" t="n">
        <x:v>9.2489270387</x:v>
      </x:c>
      <x:c r="K19" s="31" t="n">
        <x:v>0</x:v>
      </x:c>
      <x:c r="L19" s="31" t="n">
        <x:v>9.2489270387</x:v>
      </x:c>
      <x:c r="M19" s="31" t="n">
        <x:v>0</x:v>
      </x:c>
      <x:c r="N19" s="24" t="str">
        <x:v>euthynnus alletteratus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Euthynnus alletteratus</x:v>
      </x:c>
      <x:c r="T19" s="32" t="n">
        <x:f>IF(O19="","",(1/'Metadata'!$B$5)^(O19-1))</x:f>
        <x:v>3090.295432513592</x:v>
      </x:c>
      <x:c r="U19" s="31" t="n">
        <x:f>IF(T19="","",I19*T19)</x:f>
        <x:v>28581.916983346073</x:v>
      </x:c>
    </x:row>
    <x:row r="20" ht="18" customHeight="1">
      <x:c r="A20" s="24" t="str">
        <x:v>EEZ_967</x:v>
      </x:c>
      <x:c r="B20" s="24" t="str">
        <x:v>Aruba (Netherlands)</x:v>
      </x:c>
      <x:c r="C20" s="24" t="str">
        <x:v>EEZ</x:v>
      </x:c>
      <x:c r="D20" s="30" t="n">
        <x:v>2019</x:v>
      </x:c>
      <x:c r="E20" s="24" t="str">
        <x:v>Coryphaena</x:v>
      </x:c>
      <x:c r="F20" s="24" t="str">
        <x:v>Dolphinfishes</x:v>
      </x:c>
      <x:c r="G20" s="24" t="str">
        <x:v>Large pelagics (&gt;=90 cm)</x:v>
      </x:c>
      <x:c r="H20" s="24" t="str">
        <x:v>Perch-likes</x:v>
      </x:c>
      <x:c r="I20" s="31" t="n">
        <x:v>7.475661102</x:v>
      </x:c>
      <x:c r="J20" s="31" t="n">
        <x:v>7.365213628</x:v>
      </x:c>
      <x:c r="K20" s="31" t="n">
        <x:v>0.11044747399999999</x:v>
      </x:c>
      <x:c r="L20" s="31" t="n">
        <x:v>3.5714285720000003</x:v>
      </x:c>
      <x:c r="M20" s="31" t="n">
        <x:v>3.90423253</x:v>
      </x:c>
      <x:c r="N20" s="24" t="str">
        <x:v>coryphaena</x:v>
      </x:c>
      <x:c r="O20" s="32" t="n">
        <x:v>4.49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Coryphaena</x:v>
      </x:c>
      <x:c r="T20" s="32" t="n">
        <x:f>IF(O20="","",(1/'Metadata'!$B$5)^(O20-1))</x:f>
        <x:v>3090.295432513592</x:v>
      </x:c>
      <x:c r="U20" s="31" t="n">
        <x:f>IF(T20="","",I20*T20)</x:f>
        <x:v>23102.001358530128</x:v>
      </x:c>
    </x:row>
    <x:row r="21" ht="18" customHeight="1">
      <x:c r="A21" s="24" t="str">
        <x:v>EEZ_967</x:v>
      </x:c>
      <x:c r="B21" s="24" t="str">
        <x:v>Aruba (Netherlands)</x:v>
      </x:c>
      <x:c r="C21" s="24" t="str">
        <x:v>EEZ</x:v>
      </x:c>
      <x:c r="D21" s="30" t="n">
        <x:v>2019</x:v>
      </x:c>
      <x:c r="E21" s="24" t="str">
        <x:v>Hemiramphidae</x:v>
      </x:c>
      <x:c r="F21" s="24" t="str">
        <x:v>Halfbeaks, garfishes</x:v>
      </x:c>
      <x:c r="G21" s="24" t="str">
        <x:v>Medium pelagics (30 - 89 cm)</x:v>
      </x:c>
      <x:c r="H21" s="24" t="str">
        <x:v>Other fishes &amp; inverts</x:v>
      </x:c>
      <x:c r="I21" s="31" t="n">
        <x:v>5.541536316</x:v>
      </x:c>
      <x:c r="J21" s="31" t="n">
        <x:v>5.468321099</x:v>
      </x:c>
      <x:c r="K21" s="31" t="n">
        <x:v>0.073215217</x:v>
      </x:c>
      <x:c r="L21" s="31" t="n">
        <x:v>3.571428571</x:v>
      </x:c>
      <x:c r="M21" s="31" t="n">
        <x:v>1.970107745</x:v>
      </x:c>
      <x:c r="N21" s="24" t="str">
        <x:v>hemiramphidae</x:v>
      </x:c>
      <x:c r="O21" s="32" t="n">
        <x:v>2.82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Hemiramphidae</x:v>
      </x:c>
      <x:c r="T21" s="32" t="n">
        <x:f>IF(O21="","",(1/'Metadata'!$B$5)^(O21-1))</x:f>
        <x:v>66.06934480075958</x:v>
      </x:c>
      <x:c r="U21" s="31" t="n">
        <x:f>IF(T21="","",I21*T21)</x:f>
        <x:v>366.12567358773504</x:v>
      </x:c>
    </x:row>
    <x:row r="22" ht="18" customHeight="1">
      <x:c r="A22" s="24" t="str">
        <x:v>EEZ_967</x:v>
      </x:c>
      <x:c r="B22" s="24" t="str">
        <x:v>Aruba (Netherlands)</x:v>
      </x:c>
      <x:c r="C22" s="24" t="str">
        <x:v>EEZ</x:v>
      </x:c>
      <x:c r="D22" s="30" t="n">
        <x:v>2019</x:v>
      </x:c>
      <x:c r="E22" s="24" t="str">
        <x:v>Priacanthidae</x:v>
      </x:c>
      <x:c r="F22" s="24" t="str">
        <x:v>Bigeyes, catalufas</x:v>
      </x:c>
      <x:c r="G22" s="24" t="str">
        <x:v>Medium reef assoc. fish (30 - 89 cm)</x:v>
      </x:c>
      <x:c r="H22" s="24" t="str">
        <x:v>Perch-likes</x:v>
      </x:c>
      <x:c r="I22" s="31" t="n">
        <x:v>5.541536316</x:v>
      </x:c>
      <x:c r="J22" s="31" t="n">
        <x:v>5.468321099</x:v>
      </x:c>
      <x:c r="K22" s="31" t="n">
        <x:v>0.073215217</x:v>
      </x:c>
      <x:c r="L22" s="31" t="n">
        <x:v>3.571428571</x:v>
      </x:c>
      <x:c r="M22" s="31" t="n">
        <x:v>1.970107745</x:v>
      </x:c>
      <x:c r="N22" s="24" t="str">
        <x:v>priacanthidae</x:v>
      </x:c>
      <x:c r="O22" s="32" t="n">
        <x:v>3.79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Priacanthidae</x:v>
      </x:c>
      <x:c r="T22" s="32" t="n">
        <x:f>IF(O22="","",(1/'Metadata'!$B$5)^(O22-1))</x:f>
        <x:v>616.5950018614822</x:v>
      </x:c>
      <x:c r="U22" s="31" t="n">
        <x:f>IF(T22="","",I22*T22)</x:f>
        <x:v>3416.883595079491</x:v>
      </x:c>
    </x:row>
    <x:row r="23" ht="18" customHeight="1">
      <x:c r="A23" s="24" t="str">
        <x:v>EEZ_967</x:v>
      </x:c>
      <x:c r="B23" s="24" t="str">
        <x:v>Aruba (Netherlands)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5.541536314</x:v>
      </x:c>
      <x:c r="J23" s="31" t="n">
        <x:v>5.4683210980000005</x:v>
      </x:c>
      <x:c r="K23" s="31" t="n">
        <x:v>0.073215216</x:v>
      </x:c>
      <x:c r="L23" s="31" t="n">
        <x:v>3.57142857</x:v>
      </x:c>
      <x:c r="M23" s="31" t="n">
        <x:v>1.9701077439999999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6217.706009492477</x:v>
      </x:c>
    </x:row>
    <x:row r="24" ht="18" customHeight="1">
      <x:c r="A24" s="24" t="str">
        <x:v>EEZ_967</x:v>
      </x:c>
      <x:c r="B24" s="24" t="str">
        <x:v>Aruba (Netherlands)</x:v>
      </x:c>
      <x:c r="C24" s="24" t="str">
        <x:v>EEZ</x:v>
      </x:c>
      <x:c r="D24" s="30" t="n">
        <x:v>2019</x:v>
      </x:c>
      <x:c r="E24" s="24" t="str">
        <x:v>Sphyraenidae</x:v>
      </x:c>
      <x:c r="F24" s="24" t="str">
        <x:v>Barracudas</x:v>
      </x:c>
      <x:c r="G24" s="24" t="str">
        <x:v>Medium reef assoc. fish (30 - 89 cm)</x:v>
      </x:c>
      <x:c r="H24" s="24" t="str">
        <x:v>Perch-likes</x:v>
      </x:c>
      <x:c r="I24" s="31" t="n">
        <x:v>4.915608123</x:v>
      </x:c>
      <x:c r="J24" s="31" t="n">
        <x:v>4.761904763</x:v>
      </x:c>
      <x:c r="K24" s="31" t="n">
        <x:v>0.15370336</x:v>
      </x:c>
      <x:c r="L24" s="31" t="n">
        <x:v>4.761904763</x:v>
      </x:c>
      <x:c r="M24" s="31" t="n">
        <x:v>0.15370336</x:v>
      </x:c>
      <x:c r="N24" s="24" t="str">
        <x:v>sphyraenidae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Sphyraenidae</x:v>
      </x:c>
      <x:c r="T24" s="32" t="n">
        <x:f>IF(O24="","",(1/'Metadata'!$B$5)^(O24-1))</x:f>
        <x:v>2511.886431509582</x:v>
      </x:c>
      <x:c r="U24" s="31" t="n">
        <x:f>IF(T24="","",I24*T24)</x:f>
        <x:v>12347.449346781985</x:v>
      </x:c>
    </x:row>
    <x:row r="25" ht="18" customHeight="1">
      <x:c r="A25" s="24" t="str">
        <x:v>EEZ_967</x:v>
      </x:c>
      <x:c r="B25" s="24" t="str">
        <x:v>Aruba (Netherlands)</x:v>
      </x:c>
      <x:c r="C25" s="24" t="str">
        <x:v>EEZ</x:v>
      </x:c>
      <x:c r="D25" s="30" t="n">
        <x:v>2019</x:v>
      </x:c>
      <x:c r="E25" s="24" t="str">
        <x:v>Thunnus alalunga</x:v>
      </x:c>
      <x:c r="F25" s="24" t="str">
        <x:v>Albacore</x:v>
      </x:c>
      <x:c r="G25" s="24" t="str">
        <x:v>Large pelagics (&gt;=90 cm)</x:v>
      </x:c>
      <x:c r="H25" s="24" t="str">
        <x:v>Tuna &amp; billfishes</x:v>
      </x:c>
      <x:c r="I25" s="31" t="n">
        <x:v>4.7266992704</x:v>
      </x:c>
      <x:c r="J25" s="31" t="n">
        <x:v>4.7266992704</x:v>
      </x:c>
      <x:c r="K25" s="31" t="n">
        <x:v>0</x:v>
      </x:c>
      <x:c r="L25" s="31" t="n">
        <x:v>4.7266992704</x:v>
      </x:c>
      <x:c r="M25" s="31" t="n">
        <x:v>0</x:v>
      </x:c>
      <x:c r="N25" s="24" t="str">
        <x:v>thunnus alalunga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alalunga</x:v>
      </x:c>
      <x:c r="T25" s="32" t="n">
        <x:f>IF(O25="","",(1/'Metadata'!$B$5)^(O25-1))</x:f>
        <x:v>1995.2623149688789</x:v>
      </x:c>
      <x:c r="U25" s="31" t="n">
        <x:f>IF(T25="","",I25*T25)</x:f>
        <x:v>9431.004928420016</x:v>
      </x:c>
    </x:row>
    <x:row r="26" ht="18" customHeight="1">
      <x:c r="A26" s="24" t="str">
        <x:v>EEZ_967</x:v>
      </x:c>
      <x:c r="B26" s="24" t="str">
        <x:v>Aruba (Netherlands)</x:v>
      </x:c>
      <x:c r="C26" s="24" t="str">
        <x:v>EEZ</x:v>
      </x:c>
      <x:c r="D26" s="30" t="n">
        <x:v>2019</x:v>
      </x:c>
      <x:c r="E26" s="24" t="str">
        <x:v>Xiphias gladius</x:v>
      </x:c>
      <x:c r="F26" s="24" t="str">
        <x:v>Swordfish</x:v>
      </x:c>
      <x:c r="G26" s="24" t="str">
        <x:v>Large pelagics (&gt;=90 cm)</x:v>
      </x:c>
      <x:c r="H26" s="24" t="str">
        <x:v>Tuna &amp; billfishes</x:v>
      </x:c>
      <x:c r="I26" s="31" t="n">
        <x:v>4.3760990672</x:v>
      </x:c>
      <x:c r="J26" s="31" t="n">
        <x:v>4.3760990672</x:v>
      </x:c>
      <x:c r="K26" s="31" t="n">
        <x:v>0</x:v>
      </x:c>
      <x:c r="L26" s="31" t="n">
        <x:v>4.3760990672</x:v>
      </x:c>
      <x:c r="M26" s="31" t="n">
        <x:v>0</x:v>
      </x:c>
      <x:c r="N26" s="24" t="str">
        <x:v>xiphias gladius</x:v>
      </x:c>
      <x:c r="O26" s="32" t="n">
        <x:v>4.53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Xiphias gladius</x:v>
      </x:c>
      <x:c r="T26" s="32" t="n">
        <x:f>IF(O26="","",(1/'Metadata'!$B$5)^(O26-1))</x:f>
        <x:v>3388.4415613920273</x:v>
      </x:c>
      <x:c r="U26" s="31" t="n">
        <x:f>IF(T26="","",I26*T26)</x:f>
        <x:v>14828.155956069362</x:v>
      </x:c>
    </x:row>
    <x:row r="27" ht="18" customHeight="1">
      <x:c r="A27" s="24" t="str">
        <x:v>EEZ_967</x:v>
      </x:c>
      <x:c r="B27" s="24" t="str">
        <x:v>Aruba (Netherlands)</x:v>
      </x:c>
      <x:c r="C27" s="24" t="str">
        <x:v>EEZ</x:v>
      </x:c>
      <x:c r="D27" s="30" t="n">
        <x:v>2019</x:v>
      </x:c>
      <x:c r="E27" s="24" t="str">
        <x:v>Thunnus thynnus</x:v>
      </x:c>
      <x:c r="F27" s="24" t="str">
        <x:v>Atlantic bluefin tuna</x:v>
      </x:c>
      <x:c r="G27" s="24" t="str">
        <x:v>Large pelagics (&gt;=90 cm)</x:v>
      </x:c>
      <x:c r="H27" s="24" t="str">
        <x:v>Tuna &amp; billfishes</x:v>
      </x:c>
      <x:c r="I27" s="31" t="n">
        <x:v>4.1243976162</x:v>
      </x:c>
      <x:c r="J27" s="31" t="n">
        <x:v>4.1243976162</x:v>
      </x:c>
      <x:c r="K27" s="31" t="n">
        <x:v>0</x:v>
      </x:c>
      <x:c r="L27" s="31" t="n">
        <x:v>4.1243976162</x:v>
      </x:c>
      <x:c r="M27" s="31" t="n">
        <x:v>0</x:v>
      </x:c>
      <x:c r="N27" s="24" t="str">
        <x:v>thunnus thynnus</x:v>
      </x:c>
      <x:c r="O27" s="32" t="n">
        <x:v>4.45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thynnus</x:v>
      </x:c>
      <x:c r="T27" s="32" t="n">
        <x:f>IF(O27="","",(1/'Metadata'!$B$5)^(O27-1))</x:f>
        <x:v>2818.382931264455</x:v>
      </x:c>
      <x:c r="U27" s="31" t="n">
        <x:f>IF(T27="","",I27*T27)</x:f>
        <x:v>11624.131843245885</x:v>
      </x:c>
    </x:row>
    <x:row r="28" ht="18" customHeight="1">
      <x:c r="A28" s="24" t="str">
        <x:v>EEZ_967</x:v>
      </x:c>
      <x:c r="B28" s="24" t="str">
        <x:v>Aruba (Netherlands)</x:v>
      </x:c>
      <x:c r="C28" s="24" t="str">
        <x:v>EEZ</x:v>
      </x:c>
      <x:c r="D28" s="30" t="n">
        <x:v>2019</x:v>
      </x:c>
      <x:c r="E28" s="24" t="str">
        <x:v>Istiophorus albicans</x:v>
      </x:c>
      <x:c r="F28" s="24" t="str">
        <x:v>Atlantic sailfish</x:v>
      </x:c>
      <x:c r="G28" s="24" t="str">
        <x:v>Large pelagics (&gt;=90 cm)</x:v>
      </x:c>
      <x:c r="H28" s="24" t="str">
        <x:v>Tuna &amp; billfishes</x:v>
      </x:c>
      <x:c r="I28" s="31" t="n">
        <x:v>2.6253287632</x:v>
      </x:c>
      <x:c r="J28" s="31" t="n">
        <x:v>2.6253287632</x:v>
      </x:c>
      <x:c r="K28" s="31" t="n">
        <x:v>0</x:v>
      </x:c>
      <x:c r="L28" s="31" t="n">
        <x:v>2.6253287632</x:v>
      </x:c>
      <x:c r="M28" s="31" t="n">
        <x:v>0</x:v>
      </x:c>
      <x:c r="N28" s="24" t="str">
        <x:v>istiophorus albicans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Istiophorus albicans</x:v>
      </x:c>
      <x:c r="T28" s="32" t="n">
        <x:f>IF(O28="","",(1/'Metadata'!$B$5)^(O28-1))</x:f>
        <x:v>3162.2776601683795</x:v>
      </x:c>
      <x:c r="U28" s="31" t="n">
        <x:f>IF(T28="","",I28*T28)</x:f>
        <x:v>8302.018498464842</x:v>
      </x:c>
    </x:row>
    <x:row r="29" ht="18" customHeight="1">
      <x:c r="A29" s="24" t="str">
        <x:v>EEZ_967</x:v>
      </x:c>
      <x:c r="B29" s="24" t="str">
        <x:v>Aruba (Netherlands)</x:v>
      </x:c>
      <x:c r="C29" s="24" t="str">
        <x:v>EEZ</x:v>
      </x:c>
      <x:c r="D29" s="30" t="n">
        <x:v>2019</x:v>
      </x:c>
      <x:c r="E29" s="24" t="str">
        <x:v>Thunnus obesus</x:v>
      </x:c>
      <x:c r="F29" s="24" t="str">
        <x:v>Bigeye tuna</x:v>
      </x:c>
      <x:c r="G29" s="24" t="str">
        <x:v>Large pelagics (&gt;=90 cm)</x:v>
      </x:c>
      <x:c r="H29" s="24" t="str">
        <x:v>Tuna &amp; billfishes</x:v>
      </x:c>
      <x:c r="I29" s="31" t="n">
        <x:v>2.5333287168000003</x:v>
      </x:c>
      <x:c r="J29" s="31" t="n">
        <x:v>2.5333287168000003</x:v>
      </x:c>
      <x:c r="K29" s="31" t="n">
        <x:v>0</x:v>
      </x:c>
      <x:c r="L29" s="31" t="n">
        <x:v>2.5333287168000003</x:v>
      </x:c>
      <x:c r="M29" s="31" t="n">
        <x:v>0</x:v>
      </x:c>
      <x:c r="N29" s="24" t="str">
        <x:v>thunnus obesus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obesus</x:v>
      </x:c>
      <x:c r="T29" s="32" t="n">
        <x:f>IF(O29="","",(1/'Metadata'!$B$5)^(O29-1))</x:f>
        <x:v>3090.295432513592</x:v>
      </x:c>
      <x:c r="U29" s="31" t="n">
        <x:f>IF(T29="","",I29*T29)</x:f>
        <x:v>7828.73416258256</x:v>
      </x:c>
    </x:row>
    <x:row r="30" ht="18" customHeight="1">
      <x:c r="A30" s="24" t="str">
        <x:v>EEZ_967</x:v>
      </x:c>
      <x:c r="B30" s="24" t="str">
        <x:v>Aruba (Netherlands)</x:v>
      </x:c>
      <x:c r="C30" s="24" t="str">
        <x:v>EEZ</x:v>
      </x:c>
      <x:c r="D30" s="30" t="n">
        <x:v>2019</x:v>
      </x:c>
      <x:c r="E30" s="24" t="str">
        <x:v>Dasyatidae</x:v>
      </x:c>
      <x:c r="F30" s="24" t="str">
        <x:v>Whiptail stingrays</x:v>
      </x:c>
      <x:c r="G30" s="24" t="str">
        <x:v>Large rays (&gt;=90 cm)</x:v>
      </x:c>
      <x:c r="H30" s="24" t="str">
        <x:v>Sharks &amp; rays</x:v>
      </x:c>
      <x:c r="I30" s="31" t="n">
        <x:v>2.2994511860999998</x:v>
      </x:c>
      <x:c r="J30" s="31" t="n">
        <x:v>2.2750461141000002</x:v>
      </x:c>
      <x:c r="K30" s="31" t="n">
        <x:v>0.024405072</x:v>
      </x:c>
      <x:c r="L30" s="31" t="n">
        <x:v>2.2750461141000002</x:v>
      </x:c>
      <x:c r="M30" s="31" t="n">
        <x:v>0.024405072</x:v>
      </x:c>
      <x:c r="N30" s="24" t="str">
        <x:v>dasyatidae</x:v>
      </x:c>
      <x:c r="O30" s="32" t="n">
        <x:v>3.38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Dasyatidae</x:v>
      </x:c>
      <x:c r="T30" s="32" t="n">
        <x:f>IF(O30="","",(1/'Metadata'!$B$5)^(O30-1))</x:f>
        <x:v>239.88329190194898</x:v>
      </x:c>
      <x:c r="U30" s="31" t="n">
        <x:f>IF(T30="","",I30*T30)</x:f>
        <x:v>551.599920089509</x:v>
      </x:c>
    </x:row>
    <x:row r="31" ht="18" customHeight="1">
      <x:c r="A31" s="24" t="str">
        <x:v>EEZ_967</x:v>
      </x:c>
      <x:c r="B31" s="24" t="str">
        <x:v>Aruba (Netherlands)</x:v>
      </x:c>
      <x:c r="C31" s="24" t="str">
        <x:v>EEZ</x:v>
      </x:c>
      <x:c r="D31" s="30" t="n">
        <x:v>2019</x:v>
      </x:c>
      <x:c r="E31" s="24" t="str">
        <x:v>Thunnus atlanticus</x:v>
      </x:c>
      <x:c r="F31" s="24" t="str">
        <x:v>Blackfin tuna</x:v>
      </x:c>
      <x:c r="G31" s="24" t="str">
        <x:v>Large pelagics (&gt;=90 cm)</x:v>
      </x:c>
      <x:c r="H31" s="24" t="str">
        <x:v>Tuna &amp; billfishes</x:v>
      </x:c>
      <x:c r="I31" s="31" t="n">
        <x:v>2.225674887</x:v>
      </x:c>
      <x:c r="J31" s="31" t="n">
        <x:v>2.225674887</x:v>
      </x:c>
      <x:c r="K31" s="31" t="n">
        <x:v>0</x:v>
      </x:c>
      <x:c r="L31" s="31" t="n">
        <x:v>2.225674887</x:v>
      </x:c>
      <x:c r="M31" s="31" t="n">
        <x:v>0</x:v>
      </x:c>
      <x:c r="N31" s="24" t="str">
        <x:v>thunnus atlanticus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atlanticus</x:v>
      </x:c>
      <x:c r="T31" s="32" t="n">
        <x:f>IF(O31="","",(1/'Metadata'!$B$5)^(O31-1))</x:f>
        <x:v>2238.7211385683377</x:v>
      </x:c>
      <x:c r="U31" s="31" t="n">
        <x:f>IF(T31="","",I31*T31)</x:f>
        <x:v>4982.665417107596</x:v>
      </x:c>
    </x:row>
    <x:row r="32" ht="18" customHeight="1">
      <x:c r="A32" s="24" t="str">
        <x:v>EEZ_967</x:v>
      </x:c>
      <x:c r="B32" s="24" t="str">
        <x:v>Aruba (Netherlands)</x:v>
      </x:c>
      <x:c r="C32" s="24" t="str">
        <x:v>EEZ</x:v>
      </x:c>
      <x:c r="D32" s="30" t="n">
        <x:v>2019</x:v>
      </x:c>
      <x:c r="E32" s="24" t="str">
        <x:v>Chondrichthyes</x:v>
      </x:c>
      <x:c r="F32" s="24" t="str">
        <x:v>Sharks, rays, chimaeras</x:v>
      </x:c>
      <x:c r="G32" s="24" t="str">
        <x:v>Large sharks (&gt;=90 cm)</x:v>
      </x:c>
      <x:c r="H32" s="24" t="str">
        <x:v>Sharks &amp; rays</x:v>
      </x:c>
      <x:c r="I32" s="31" t="n">
        <x:v>1.4791354251000002</x:v>
      </x:c>
      <x:c r="J32" s="31" t="n">
        <x:v>1.4791354251000002</x:v>
      </x:c>
      <x:c r="K32" s="31" t="n">
        <x:v>0</x:v>
      </x:c>
      <x:c r="L32" s="31" t="n">
        <x:v>1.4791354251000002</x:v>
      </x:c>
      <x:c r="M32" s="31" t="n">
        <x:v>0</x:v>
      </x:c>
      <x:c r="N32" s="24" t="str">
        <x:v>chondrichthyes</x:v>
      </x:c>
      <x:c r="O32" s="32" t="n">
        <x:v>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Chondrichthyes</x:v>
      </x:c>
      <x:c r="T32" s="32" t="n">
        <x:f>IF(O32="","",(1/'Metadata'!$B$5)^(O32-1))</x:f>
        <x:v>1000</x:v>
      </x:c>
      <x:c r="U32" s="31" t="n">
        <x:f>IF(T32="","",I32*T32)</x:f>
        <x:v>1479.1354251000002</x:v>
      </x:c>
    </x:row>
    <x:row r="33" ht="18" customHeight="1">
      <x:c r="A33" s="24" t="str">
        <x:v>EEZ_967</x:v>
      </x:c>
      <x:c r="B33" s="24" t="str">
        <x:v>Aruba (Netherlands)</x:v>
      </x:c>
      <x:c r="C33" s="24" t="str">
        <x:v>EEZ</x:v>
      </x:c>
      <x:c r="D33" s="30" t="n">
        <x:v>2019</x:v>
      </x:c>
      <x:c r="E33" s="24" t="str">
        <x:v>Holocentridae</x:v>
      </x:c>
      <x:c r="F33" s="24" t="str">
        <x:v>Squirrel-, soldierfishes</x:v>
      </x:c>
      <x:c r="G33" s="24" t="str">
        <x:v>Small reef assoc. fish (&lt;30 cm)</x:v>
      </x:c>
      <x:c r="H33" s="24" t="str">
        <x:v>Other fishes &amp; inverts</x:v>
      </x:c>
      <x:c r="I33" s="31" t="n">
        <x:v>1.214881263</x:v>
      </x:c>
      <x:c r="J33" s="31" t="n">
        <x:v>1.1904761910000001</x:v>
      </x:c>
      <x:c r="K33" s="31" t="n">
        <x:v>0.024405072</x:v>
      </x:c>
      <x:c r="L33" s="31" t="n">
        <x:v>1.1904761910000001</x:v>
      </x:c>
      <x:c r="M33" s="31" t="n">
        <x:v>0.024405072</x:v>
      </x:c>
      <x:c r="N33" s="24" t="str">
        <x:v>holocentridae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Holocentridae</x:v>
      </x:c>
      <x:c r="T33" s="32" t="n">
        <x:f>IF(O33="","",(1/'Metadata'!$B$5)^(O33-1))</x:f>
        <x:v>309.0295432513592</x:v>
      </x:c>
      <x:c r="U33" s="31" t="n">
        <x:f>IF(T33="","",I33*T33)</x:f>
        <x:v>375.43420180952444</x:v>
      </x:c>
    </x:row>
    <x:row r="34" ht="18" customHeight="1">
      <x:c r="A34" s="24" t="str">
        <x:v>EEZ_967</x:v>
      </x:c>
      <x:c r="B34" s="24" t="str">
        <x:v>Aruba (Netherlands)</x:v>
      </x:c>
      <x:c r="C34" s="24" t="str">
        <x:v>EEZ</x:v>
      </x:c>
      <x:c r="D34" s="30" t="n">
        <x:v>2019</x:v>
      </x:c>
      <x:c r="E34" s="24" t="str">
        <x:v>Labridae</x:v>
      </x:c>
      <x:c r="F34" s="24" t="str">
        <x:v>Wrasses, gropers, tuskfishes</x:v>
      </x:c>
      <x:c r="G34" s="24" t="str">
        <x:v>Medium reef assoc. fish (30 - 89 cm)</x:v>
      </x:c>
      <x:c r="H34" s="24" t="str">
        <x:v>Perch-likes</x:v>
      </x:c>
      <x:c r="I34" s="31" t="n">
        <x:v>1.214881263</x:v>
      </x:c>
      <x:c r="J34" s="31" t="n">
        <x:v>1.1904761910000001</x:v>
      </x:c>
      <x:c r="K34" s="31" t="n">
        <x:v>0.024405072</x:v>
      </x:c>
      <x:c r="L34" s="31" t="n">
        <x:v>1.1904761910000001</x:v>
      </x:c>
      <x:c r="M34" s="31" t="n">
        <x:v>0.024405072</x:v>
      </x:c>
      <x:c r="N34" s="24" t="str">
        <x:v>labridae</x:v>
      </x:c>
      <x:c r="O34" s="32" t="n">
        <x:v>3.46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Labridae</x:v>
      </x:c>
      <x:c r="T34" s="32" t="n">
        <x:f>IF(O34="","",(1/'Metadata'!$B$5)^(O34-1))</x:f>
        <x:v>288.40315031266056</x:v>
      </x:c>
      <x:c r="U34" s="31" t="n">
        <x:f>IF(T34="","",I34*T34)</x:f>
        <x:v>350.37558350502394</x:v>
      </x:c>
    </x:row>
    <x:row r="35" ht="18" customHeight="1">
      <x:c r="A35" s="24" t="str">
        <x:v>EEZ_967</x:v>
      </x:c>
      <x:c r="B35" s="24" t="str">
        <x:v>Aruba (Netherlands)</x:v>
      </x:c>
      <x:c r="C35" s="24" t="str">
        <x:v>EEZ</x:v>
      </x:c>
      <x:c r="D35" s="30" t="n">
        <x:v>2019</x:v>
      </x:c>
      <x:c r="E35" s="24" t="str">
        <x:v>Chaetodontidae</x:v>
      </x:c>
      <x:c r="F35" s="24" t="str">
        <x:v>Butterflyfishes</x:v>
      </x:c>
      <x:c r="G35" s="24" t="str">
        <x:v>Small reef assoc. fish (&lt;30 cm)</x:v>
      </x:c>
      <x:c r="H35" s="24" t="str">
        <x:v>Perch-likes</x:v>
      </x:c>
      <x:c r="I35" s="31" t="n">
        <x:v>1.214881263</x:v>
      </x:c>
      <x:c r="J35" s="31" t="n">
        <x:v>1.1904761910000001</x:v>
      </x:c>
      <x:c r="K35" s="31" t="n">
        <x:v>0.024405072</x:v>
      </x:c>
      <x:c r="L35" s="31" t="n">
        <x:v>1.1904761910000001</x:v>
      </x:c>
      <x:c r="M35" s="31" t="n">
        <x:v>0.024405072</x:v>
      </x:c>
      <x:c r="N35" s="24" t="str">
        <x:v>chaetodontidae</x:v>
      </x:c>
      <x:c r="O35" s="32" t="n">
        <x:v>3.24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Chaetodontidae</x:v>
      </x:c>
      <x:c r="T35" s="32" t="n">
        <x:f>IF(O35="","",(1/'Metadata'!$B$5)^(O35-1))</x:f>
        <x:v>173.78008287493762</x:v>
      </x:c>
      <x:c r="U35" s="31" t="n">
        <x:f>IF(T35="","",I35*T35)</x:f>
        <x:v>211.1221665673489</x:v>
      </x:c>
    </x:row>
    <x:row r="36" ht="18" customHeight="1">
      <x:c r="A36" s="24" t="str">
        <x:v>EEZ_967</x:v>
      </x:c>
      <x:c r="B36" s="24" t="str">
        <x:v>Aruba (Netherlands)</x:v>
      </x:c>
      <x:c r="C36" s="24" t="str">
        <x:v>EEZ</x:v>
      </x:c>
      <x:c r="D36" s="30" t="n">
        <x:v>2019</x:v>
      </x:c>
      <x:c r="E36" s="24" t="str">
        <x:v>Xiphiidae</x:v>
      </x:c>
      <x:c r="F36" s="24" t="str">
        <x:v>Swordfishes</x:v>
      </x:c>
      <x:c r="G36" s="24" t="str">
        <x:v>Large pelagics (&gt;=90 cm)</x:v>
      </x:c>
      <x:c r="H36" s="24" t="str">
        <x:v>Tuna &amp; billfishes</x:v>
      </x:c>
      <x:c r="I36" s="31" t="n">
        <x:v>1.214881263</x:v>
      </x:c>
      <x:c r="J36" s="31" t="n">
        <x:v>1.1904761910000001</x:v>
      </x:c>
      <x:c r="K36" s="31" t="n">
        <x:v>0.024405072</x:v>
      </x:c>
      <x:c r="L36" s="31" t="n">
        <x:v>1.1904761910000001</x:v>
      </x:c>
      <x:c r="M36" s="31" t="n">
        <x:v>0.024405072</x:v>
      </x:c>
      <x:c r="N36" s="24" t="str">
        <x:v>xiphiidae</x:v>
      </x:c>
      <x:c r="O36" s="32" t="n">
        <x:v>4.5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Xiphiidae</x:v>
      </x:c>
      <x:c r="T36" s="32" t="n">
        <x:f>IF(O36="","",(1/'Metadata'!$B$5)^(O36-1))</x:f>
        <x:v>3162.2776601683795</x:v>
      </x:c>
      <x:c r="U36" s="31" t="n">
        <x:f>IF(T36="","",I36*T36)</x:f>
        <x:v>3841.791877742046</x:v>
      </x:c>
    </x:row>
    <x:row r="37" ht="18" customHeight="1">
      <x:c r="A37" s="24" t="str">
        <x:v>EEZ_967</x:v>
      </x:c>
      <x:c r="B37" s="24" t="str">
        <x:v>Aruba (Netherlands)</x:v>
      </x:c>
      <x:c r="C37" s="24" t="str">
        <x:v>EEZ</x:v>
      </x:c>
      <x:c r="D37" s="30" t="n">
        <x:v>2019</x:v>
      </x:c>
      <x:c r="E37" s="24" t="str">
        <x:v>Muraenidae</x:v>
      </x:c>
      <x:c r="F37" s="24" t="str">
        <x:v>Moray eels</x:v>
      </x:c>
      <x:c r="G37" s="24" t="str">
        <x:v>Large reef assoc. fish (&gt;=90 cm)</x:v>
      </x:c>
      <x:c r="H37" s="24" t="str">
        <x:v>Other fishes &amp; inverts</x:v>
      </x:c>
      <x:c r="I37" s="31" t="n">
        <x:v>1.214881263</x:v>
      </x:c>
      <x:c r="J37" s="31" t="n">
        <x:v>1.1904761910000001</x:v>
      </x:c>
      <x:c r="K37" s="31" t="n">
        <x:v>0.024405072</x:v>
      </x:c>
      <x:c r="L37" s="31" t="n">
        <x:v>1.1904761910000001</x:v>
      </x:c>
      <x:c r="M37" s="31" t="n">
        <x:v>0.024405072</x:v>
      </x:c>
      <x:c r="N37" s="24" t="str">
        <x:v>muraenidae</x:v>
      </x:c>
      <x:c r="O37" s="32" t="n">
        <x:v>4.07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Muraenidae</x:v>
      </x:c>
      <x:c r="T37" s="32" t="n">
        <x:f>IF(O37="","",(1/'Metadata'!$B$5)^(O37-1))</x:f>
        <x:v>1174.8975549395302</x:v>
      </x:c>
      <x:c r="U37" s="31" t="n">
        <x:f>IF(T37="","",I37*T37)</x:f>
        <x:v>1427.3610254405485</x:v>
      </x:c>
    </x:row>
    <x:row r="38" ht="18" customHeight="1">
      <x:c r="A38" s="24" t="str">
        <x:v>EEZ_967</x:v>
      </x:c>
      <x:c r="B38" s="24" t="str">
        <x:v>Aruba (Netherlands)</x:v>
      </x:c>
      <x:c r="C38" s="24" t="str">
        <x:v>EEZ</x:v>
      </x:c>
      <x:c r="D38" s="30" t="n">
        <x:v>2019</x:v>
      </x:c>
      <x:c r="E38" s="24" t="str">
        <x:v>Mullidae</x:v>
      </x:c>
      <x:c r="F38" s="24" t="str">
        <x:v>Goatfishes</x:v>
      </x:c>
      <x:c r="G38" s="24" t="str">
        <x:v>Medium reef assoc. fish (30 - 89 cm)</x:v>
      </x:c>
      <x:c r="H38" s="24" t="str">
        <x:v>Perch-likes</x:v>
      </x:c>
      <x:c r="I38" s="31" t="n">
        <x:v>1.214881263</x:v>
      </x:c>
      <x:c r="J38" s="31" t="n">
        <x:v>1.1904761910000001</x:v>
      </x:c>
      <x:c r="K38" s="31" t="n">
        <x:v>0.024405072</x:v>
      </x:c>
      <x:c r="L38" s="31" t="n">
        <x:v>1.1904761910000001</x:v>
      </x:c>
      <x:c r="M38" s="31" t="n">
        <x:v>0.024405072</x:v>
      </x:c>
      <x:c r="N38" s="24" t="str">
        <x:v>mullidae</x:v>
      </x:c>
      <x:c r="O38" s="32" t="n">
        <x:v>3.46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Mullidae</x:v>
      </x:c>
      <x:c r="T38" s="32" t="n">
        <x:f>IF(O38="","",(1/'Metadata'!$B$5)^(O38-1))</x:f>
        <x:v>288.40315031266056</x:v>
      </x:c>
      <x:c r="U38" s="31" t="n">
        <x:f>IF(T38="","",I38*T38)</x:f>
        <x:v>350.37558350502394</x:v>
      </x:c>
    </x:row>
    <x:row r="39" ht="18" customHeight="1">
      <x:c r="A39" s="24" t="str">
        <x:v>EEZ_967</x:v>
      </x:c>
      <x:c r="B39" s="24" t="str">
        <x:v>Aruba (Netherlands)</x:v>
      </x:c>
      <x:c r="C39" s="24" t="str">
        <x:v>EEZ</x:v>
      </x:c>
      <x:c r="D39" s="30" t="n">
        <x:v>2019</x:v>
      </x:c>
      <x:c r="E39" s="24" t="str">
        <x:v>Haemulidae</x:v>
      </x:c>
      <x:c r="F39" s="24" t="str">
        <x:v>Grunts, sweetlips, bonnetmouths</x:v>
      </x:c>
      <x:c r="G39" s="24" t="str">
        <x:v>Medium demersals (30 - 89 cm)</x:v>
      </x:c>
      <x:c r="H39" s="24" t="str">
        <x:v>Perch-likes</x:v>
      </x:c>
      <x:c r="I39" s="31" t="n">
        <x:v>1.2148812629999999</x:v>
      </x:c>
      <x:c r="J39" s="31" t="n">
        <x:v>1.190476191</x:v>
      </x:c>
      <x:c r="K39" s="31" t="n">
        <x:v>0.024405072</x:v>
      </x:c>
      <x:c r="L39" s="31" t="n">
        <x:v>1.190476191</x:v>
      </x:c>
      <x:c r="M39" s="31" t="n">
        <x:v>0.024405072</x:v>
      </x:c>
      <x:c r="N39" s="24" t="str">
        <x:v>haemulidae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Haemulidae</x:v>
      </x:c>
      <x:c r="T39" s="32" t="n">
        <x:f>IF(O39="","",(1/'Metadata'!$B$5)^(O39-1))</x:f>
        <x:v>229.08676527677724</x:v>
      </x:c>
      <x:c r="U39" s="31" t="n">
        <x:f>IF(T39="","",I39*T39)</x:f>
        <x:v>278.31321873603565</x:v>
      </x:c>
    </x:row>
    <x:row r="40" ht="18" customHeight="1">
      <x:c r="A40" s="24" t="str">
        <x:v>EEZ_967</x:v>
      </x:c>
      <x:c r="B40" s="24" t="str">
        <x:v>Aruba (Netherlands)</x:v>
      </x:c>
      <x:c r="C40" s="24" t="str">
        <x:v>EEZ</x:v>
      </x:c>
      <x:c r="D40" s="30" t="n">
        <x:v>2019</x:v>
      </x:c>
      <x:c r="E40" s="24" t="str">
        <x:v>Mugilidae</x:v>
      </x:c>
      <x:c r="F40" s="24" t="str">
        <x:v>Mullets, grey mullets</x:v>
      </x:c>
      <x:c r="G40" s="24" t="str">
        <x:v>Medium reef assoc. fish (30 - 89 cm)</x:v>
      </x:c>
      <x:c r="H40" s="24" t="str">
        <x:v>Perch-likes</x:v>
      </x:c>
      <x:c r="I40" s="31" t="n">
        <x:v>1.214881262</x:v>
      </x:c>
      <x:c r="J40" s="31" t="n">
        <x:v>1.19047619</x:v>
      </x:c>
      <x:c r="K40" s="31" t="n">
        <x:v>0.024405072</x:v>
      </x:c>
      <x:c r="L40" s="31" t="n">
        <x:v>1.19047619</x:v>
      </x:c>
      <x:c r="M40" s="31" t="n">
        <x:v>0.024405072</x:v>
      </x:c>
      <x:c r="N40" s="24" t="str">
        <x:v>mugilidae</x:v>
      </x:c>
      <x:c r="O40" s="32" t="n">
        <x:v>2.53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Mugilidae</x:v>
      </x:c>
      <x:c r="T40" s="32" t="n">
        <x:f>IF(O40="","",(1/'Metadata'!$B$5)^(O40-1))</x:f>
        <x:v>33.88441561392024</x:v>
      </x:c>
      <x:c r="U40" s="31" t="n">
        <x:f>IF(T40="","",I40*T40)</x:f>
        <x:v>41.165541603171924</x:v>
      </x:c>
    </x:row>
    <x:row r="41" ht="18" customHeight="1">
      <x:c r="A41" s="24" t="str">
        <x:v>EEZ_967</x:v>
      </x:c>
      <x:c r="B41" s="24" t="str">
        <x:v>Aruba (Netherlands)</x:v>
      </x:c>
      <x:c r="C41" s="24" t="str">
        <x:v>EEZ</x:v>
      </x:c>
      <x:c r="D41" s="30" t="n">
        <x:v>2019</x:v>
      </x:c>
      <x:c r="E41" s="24" t="str">
        <x:v>Sciaenidae</x:v>
      </x:c>
      <x:c r="F41" s="24" t="str">
        <x:v>Drums, croakers</x:v>
      </x:c>
      <x:c r="G41" s="24" t="str">
        <x:v>Medium demersals (30 - 89 cm)</x:v>
      </x:c>
      <x:c r="H41" s="24" t="str">
        <x:v>Perch-likes</x:v>
      </x:c>
      <x:c r="I41" s="31" t="n">
        <x:v>1.214881262</x:v>
      </x:c>
      <x:c r="J41" s="31" t="n">
        <x:v>1.19047619</x:v>
      </x:c>
      <x:c r="K41" s="31" t="n">
        <x:v>0.024405072</x:v>
      </x:c>
      <x:c r="L41" s="31" t="n">
        <x:v>1.19047619</x:v>
      </x:c>
      <x:c r="M41" s="31" t="n">
        <x:v>0.024405072</x:v>
      </x:c>
      <x:c r="N41" s="24" t="str">
        <x:v>sciaenidae</x:v>
      </x:c>
      <x:c r="O41" s="32" t="n">
        <x:v>3.76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Sciaenidae</x:v>
      </x:c>
      <x:c r="T41" s="32" t="n">
        <x:f>IF(O41="","",(1/'Metadata'!$B$5)^(O41-1))</x:f>
        <x:v>575.4399373371566</x:v>
      </x:c>
      <x:c r="U41" s="31" t="n">
        <x:f>IF(T41="","",I41*T41)</x:f>
        <x:v>699.0911972773657</x:v>
      </x:c>
    </x:row>
    <x:row r="42" ht="18" customHeight="1">
      <x:c r="A42" s="24" t="str">
        <x:v>EEZ_967</x:v>
      </x:c>
      <x:c r="B42" s="24" t="str">
        <x:v>Aruba (Netherlands)</x:v>
      </x:c>
      <x:c r="C42" s="24" t="str">
        <x:v>EEZ</x:v>
      </x:c>
      <x:c r="D42" s="30" t="n">
        <x:v>2019</x:v>
      </x:c>
      <x:c r="E42" s="24" t="str">
        <x:v>Bothidae</x:v>
      </x:c>
      <x:c r="F42" s="24" t="str">
        <x:v>Lefteye flounders</x:v>
      </x:c>
      <x:c r="G42" s="24" t="str">
        <x:v>Small to medium flatfishes (&lt;90 cm)</x:v>
      </x:c>
      <x:c r="H42" s="24" t="str">
        <x:v>Flatfishes</x:v>
      </x:c>
      <x:c r="I42" s="31" t="n">
        <x:v>1.214881262</x:v>
      </x:c>
      <x:c r="J42" s="31" t="n">
        <x:v>1.19047619</x:v>
      </x:c>
      <x:c r="K42" s="31" t="n">
        <x:v>0.024405072</x:v>
      </x:c>
      <x:c r="L42" s="31" t="n">
        <x:v>1.19047619</x:v>
      </x:c>
      <x:c r="M42" s="31" t="n">
        <x:v>0.024405072</x:v>
      </x:c>
      <x:c r="N42" s="24" t="str">
        <x:v>bothidae</x:v>
      </x:c>
      <x:c r="O42" s="32" t="n">
        <x:v>3.77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Bothidae</x:v>
      </x:c>
      <x:c r="T42" s="32" t="n">
        <x:f>IF(O42="","",(1/'Metadata'!$B$5)^(O42-1))</x:f>
        <x:v>588.843655355589</x:v>
      </x:c>
      <x:c r="U42" s="31" t="n">
        <x:f>IF(T42="","",I42*T42)</x:f>
        <x:v>715.3751231390911</x:v>
      </x:c>
    </x:row>
    <x:row r="43" ht="18" customHeight="1">
      <x:c r="A43" s="24" t="str">
        <x:v>EEZ_967</x:v>
      </x:c>
      <x:c r="B43" s="24" t="str">
        <x:v>Aruba (Netherlands)</x:v>
      </x:c>
      <x:c r="C43" s="24" t="str">
        <x:v>EEZ</x:v>
      </x:c>
      <x:c r="D43" s="30" t="n">
        <x:v>2019</x:v>
      </x:c>
      <x:c r="E43" s="24" t="str">
        <x:v>Balistidae</x:v>
      </x:c>
      <x:c r="F43" s="24" t="str">
        <x:v>Triggerfishes</x:v>
      </x:c>
      <x:c r="G43" s="24" t="str">
        <x:v>Medium reef assoc. fish (30 - 89 cm)</x:v>
      </x:c>
      <x:c r="H43" s="24" t="str">
        <x:v>Other fishes &amp; inverts</x:v>
      </x:c>
      <x:c r="I43" s="31" t="n">
        <x:v>1.214881262</x:v>
      </x:c>
      <x:c r="J43" s="31" t="n">
        <x:v>1.19047619</x:v>
      </x:c>
      <x:c r="K43" s="31" t="n">
        <x:v>0.024405072</x:v>
      </x:c>
      <x:c r="L43" s="31" t="n">
        <x:v>1.19047619</x:v>
      </x:c>
      <x:c r="M43" s="31" t="n">
        <x:v>0.024405072</x:v>
      </x:c>
      <x:c r="N43" s="24" t="str">
        <x:v>balistidae</x:v>
      </x:c>
      <x:c r="O43" s="32" t="n">
        <x:v>3.25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Balistidae</x:v>
      </x:c>
      <x:c r="T43" s="32" t="n">
        <x:f>IF(O43="","",(1/'Metadata'!$B$5)^(O43-1))</x:f>
        <x:v>177.82794100389228</x:v>
      </x:c>
      <x:c r="U43" s="31" t="n">
        <x:f>IF(T43="","",I43*T43)</x:f>
        <x:v>216.0398333856702</x:v>
      </x:c>
    </x:row>
    <x:row r="44" ht="18" customHeight="1">
      <x:c r="A44" s="24" t="str">
        <x:v>EEZ_967</x:v>
      </x:c>
      <x:c r="B44" s="24" t="str">
        <x:v>Aruba (Netherlands)</x:v>
      </x:c>
      <x:c r="C44" s="24" t="str">
        <x:v>EEZ</x:v>
      </x:c>
      <x:c r="D44" s="30" t="n">
        <x:v>2019</x:v>
      </x:c>
      <x:c r="E44" s="24" t="str">
        <x:v>Sparidae</x:v>
      </x:c>
      <x:c r="F44" s="24" t="str">
        <x:v>Porgies, seabreams</x:v>
      </x:c>
      <x:c r="G44" s="24" t="str">
        <x:v>Medium benthopelagics (30 - 89 cm)</x:v>
      </x:c>
      <x:c r="H44" s="24" t="str">
        <x:v>Perch-likes</x:v>
      </x:c>
      <x:c r="I44" s="31" t="n">
        <x:v>1.214881262</x:v>
      </x:c>
      <x:c r="J44" s="31" t="n">
        <x:v>1.19047619</x:v>
      </x:c>
      <x:c r="K44" s="31" t="n">
        <x:v>0.024405072</x:v>
      </x:c>
      <x:c r="L44" s="31" t="n">
        <x:v>1.19047619</x:v>
      </x:c>
      <x:c r="M44" s="31" t="n">
        <x:v>0.024405072</x:v>
      </x:c>
      <x:c r="N44" s="24" t="str">
        <x:v>sparidae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Sparidae</x:v>
      </x:c>
      <x:c r="T44" s="32" t="n">
        <x:f>IF(O44="","",(1/'Metadata'!$B$5)^(O44-1))</x:f>
        <x:v>204.17379446695296</x:v>
      </x:c>
      <x:c r="U44" s="31" t="n">
        <x:f>IF(T44="","",I44*T44)</x:f>
        <x:v>248.04691708934044</x:v>
      </x:c>
    </x:row>
    <x:row r="45" ht="18" customHeight="1">
      <x:c r="A45" s="24" t="str">
        <x:v>EEZ_967</x:v>
      </x:c>
      <x:c r="B45" s="24" t="str">
        <x:v>Aruba (Netherlands)</x:v>
      </x:c>
      <x:c r="C45" s="24" t="str">
        <x:v>EEZ</x:v>
      </x:c>
      <x:c r="D45" s="30" t="n">
        <x:v>2019</x:v>
      </x:c>
      <x:c r="E45" s="24" t="str">
        <x:v>Gerreidae</x:v>
      </x:c>
      <x:c r="F45" s="24" t="str">
        <x:v>Mojarras, silverbellies</x:v>
      </x:c>
      <x:c r="G45" s="24" t="str">
        <x:v>Small benthopelagics (&lt;30 cm)</x:v>
      </x:c>
      <x:c r="H45" s="24" t="str">
        <x:v>Perch-likes</x:v>
      </x:c>
      <x:c r="I45" s="31" t="n">
        <x:v>1.214881262</x:v>
      </x:c>
      <x:c r="J45" s="31" t="n">
        <x:v>1.19047619</x:v>
      </x:c>
      <x:c r="K45" s="31" t="n">
        <x:v>0.024405072</x:v>
      </x:c>
      <x:c r="L45" s="31" t="n">
        <x:v>1.19047619</x:v>
      </x:c>
      <x:c r="M45" s="31" t="n">
        <x:v>0.024405072</x:v>
      </x:c>
      <x:c r="N45" s="24" t="str">
        <x:v>gerreidae</x:v>
      </x:c>
      <x:c r="O45" s="32" t="n">
        <x:v>3.03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Gerreidae</x:v>
      </x:c>
      <x:c r="T45" s="32" t="n">
        <x:f>IF(O45="","",(1/'Metadata'!$B$5)^(O45-1))</x:f>
        <x:v>107.1519305237606</x:v>
      </x:c>
      <x:c r="U45" s="31" t="n">
        <x:f>IF(T45="","",I45*T45)</x:f>
        <x:v>130.1768725804426</x:v>
      </x:c>
    </x:row>
    <x:row r="46" ht="18" customHeight="1">
      <x:c r="A46" s="24" t="str">
        <x:v>EEZ_967</x:v>
      </x:c>
      <x:c r="B46" s="24" t="str">
        <x:v>Aruba (Netherlands)</x:v>
      </x:c>
      <x:c r="C46" s="24" t="str">
        <x:v>EEZ</x:v>
      </x:c>
      <x:c r="D46" s="30" t="n">
        <x:v>2019</x:v>
      </x:c>
      <x:c r="E46" s="24" t="str">
        <x:v>Engraulidae</x:v>
      </x:c>
      <x:c r="F46" s="24" t="str">
        <x:v>Anchovies, round herrings</x:v>
      </x:c>
      <x:c r="G46" s="24" t="str">
        <x:v>Small pelagics (&lt;30 cm)</x:v>
      </x:c>
      <x:c r="H46" s="24" t="str">
        <x:v>Anchovies</x:v>
      </x:c>
      <x:c r="I46" s="31" t="n">
        <x:v>1.2148812619999998</x:v>
      </x:c>
      <x:c r="J46" s="31" t="n">
        <x:v>1.1904761899999998</x:v>
      </x:c>
      <x:c r="K46" s="31" t="n">
        <x:v>0.024405072</x:v>
      </x:c>
      <x:c r="L46" s="31" t="n">
        <x:v>1.1904761899999998</x:v>
      </x:c>
      <x:c r="M46" s="31" t="n">
        <x:v>0.024405072</x:v>
      </x:c>
      <x:c r="N46" s="24" t="str">
        <x:v>engraulidae</x:v>
      </x:c>
      <x:c r="O46" s="32" t="n">
        <x:v>3.2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Engraulidae</x:v>
      </x:c>
      <x:c r="T46" s="32" t="n">
        <x:f>IF(O46="","",(1/'Metadata'!$B$5)^(O46-1))</x:f>
        <x:v>158.48931924611142</x:v>
      </x:c>
      <x:c r="U46" s="31" t="n">
        <x:f>IF(T46="","",I46*T46)</x:f>
        <x:v>192.5457041792367</x:v>
      </x:c>
    </x:row>
    <x:row r="47" ht="18" customHeight="1">
      <x:c r="A47" s="24" t="str">
        <x:v>EEZ_967</x:v>
      </x:c>
      <x:c r="B47" s="24" t="str">
        <x:v>Aruba (Netherlands)</x:v>
      </x:c>
      <x:c r="C47" s="24" t="str">
        <x:v>EEZ</x:v>
      </x:c>
      <x:c r="D47" s="30" t="n">
        <x:v>2019</x:v>
      </x:c>
      <x:c r="E47" s="24" t="str">
        <x:v>Clupeidae</x:v>
      </x:c>
      <x:c r="F47" s="24" t="str">
        <x:v>Herrings, sardines, menhadens</x:v>
      </x:c>
      <x:c r="G47" s="24" t="str">
        <x:v>Small pelagics (&lt;30 cm)</x:v>
      </x:c>
      <x:c r="H47" s="24" t="str">
        <x:v>Herring-likes</x:v>
      </x:c>
      <x:c r="I47" s="31" t="n">
        <x:v>1.2148812619999998</x:v>
      </x:c>
      <x:c r="J47" s="31" t="n">
        <x:v>1.1904761899999998</x:v>
      </x:c>
      <x:c r="K47" s="31" t="n">
        <x:v>0.024405072</x:v>
      </x:c>
      <x:c r="L47" s="31" t="n">
        <x:v>1.1904761899999998</x:v>
      </x:c>
      <x:c r="M47" s="31" t="n">
        <x:v>0.024405072</x:v>
      </x:c>
      <x:c r="N47" s="24" t="str">
        <x:v>clupeidae</x:v>
      </x:c>
      <x:c r="O47" s="32" t="n">
        <x:v>3.16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Clupeidae</x:v>
      </x:c>
      <x:c r="T47" s="32" t="n">
        <x:f>IF(O47="","",(1/'Metadata'!$B$5)^(O47-1))</x:f>
        <x:v>144.5439770745928</x:v>
      </x:c>
      <x:c r="U47" s="31" t="n">
        <x:f>IF(T47="","",I47*T47)</x:f>
        <x:v>175.60376928288034</x:v>
      </x:c>
    </x:row>
    <x:row r="48" ht="18" customHeight="1">
      <x:c r="A48" s="24" t="str">
        <x:v>EEZ_967</x:v>
      </x:c>
      <x:c r="B48" s="24" t="str">
        <x:v>Aruba (Netherlands)</x:v>
      </x:c>
      <x:c r="C48" s="24" t="str">
        <x:v>EEZ</x:v>
      </x:c>
      <x:c r="D48" s="30" t="n">
        <x:v>2019</x:v>
      </x:c>
      <x:c r="E48" s="24" t="str">
        <x:v>Elasmobranchii</x:v>
      </x:c>
      <x:c r="F48" s="24" t="str">
        <x:v>Sharks, rays, skates</x:v>
      </x:c>
      <x:c r="G48" s="24" t="str">
        <x:v>Large sharks (&gt;=90 cm)</x:v>
      </x:c>
      <x:c r="H48" s="24" t="str">
        <x:v>Sharks &amp; rays</x:v>
      </x:c>
      <x:c r="I48" s="31" t="n">
        <x:v>1.2144121527</x:v>
      </x:c>
      <x:c r="J48" s="31" t="n">
        <x:v>1.2144121527</x:v>
      </x:c>
      <x:c r="K48" s="31" t="n">
        <x:v>0</x:v>
      </x:c>
      <x:c r="L48" s="31" t="n">
        <x:v>1.1364629728</x:v>
      </x:c>
      <x:c r="M48" s="31" t="n">
        <x:v>0.0779491799</x:v>
      </x:c>
      <x:c r="N48" s="24" t="str">
        <x:v>elasmobranchii</x:v>
      </x:c>
      <x:c r="O48" s="32" t="n">
        <x:v>4.05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Elasmobranchii</x:v>
      </x:c>
      <x:c r="T48" s="32" t="n">
        <x:f>IF(O48="","",(1/'Metadata'!$B$5)^(O48-1))</x:f>
        <x:v>1122.018454301963</x:v>
      </x:c>
      <x:c r="U48" s="31" t="n">
        <x:f>IF(T48="","",I48*T48)</x:f>
        <x:v>1362.5928464579733</x:v>
      </x:c>
    </x:row>
    <x:row r="49" ht="18" customHeight="1">
      <x:c r="A49" s="24" t="str">
        <x:v>EEZ_967</x:v>
      </x:c>
      <x:c r="B49" s="24" t="str">
        <x:v>Aruba (Netherlands)</x:v>
      </x:c>
      <x:c r="C49" s="24" t="str">
        <x:v>EEZ</x:v>
      </x:c>
      <x:c r="D49" s="30" t="n">
        <x:v>2019</x:v>
      </x:c>
      <x:c r="E49" s="24" t="str">
        <x:v>Lepidocybium flavobrunneum</x:v>
      </x:c>
      <x:c r="F49" s="24" t="str">
        <x:v>Escolar</x:v>
      </x:c>
      <x:c r="G49" s="24" t="str">
        <x:v>Large bathypelagics (&gt;=90 cm)</x:v>
      </x:c>
      <x:c r="H49" s="24" t="str">
        <x:v>Perch-likes</x:v>
      </x:c>
      <x:c r="I49" s="31" t="n">
        <x:v>0.5990900901</x:v>
      </x:c>
      <x:c r="J49" s="31" t="n">
        <x:v>0.5990900901</x:v>
      </x:c>
      <x:c r="K49" s="31" t="n">
        <x:v>0</x:v>
      </x:c>
      <x:c r="L49" s="31" t="n">
        <x:v>0.5990900901</x:v>
      </x:c>
      <x:c r="M49" s="31" t="n">
        <x:v>0</x:v>
      </x:c>
      <x:c r="N49" s="24" t="str">
        <x:v>lepidocybium flavobrunneum</x:v>
      </x:c>
      <x:c r="O49" s="32" t="n">
        <x:v>4.34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Lepidocybium flavobrunneum</x:v>
      </x:c>
      <x:c r="T49" s="32" t="n">
        <x:f>IF(O49="","",(1/'Metadata'!$B$5)^(O49-1))</x:f>
        <x:v>2187.761623949552</x:v>
      </x:c>
      <x:c r="U49" s="31" t="n">
        <x:f>IF(T49="","",I49*T49)</x:f>
        <x:v>1310.6663084092595</x:v>
      </x:c>
    </x:row>
    <x:row r="50" ht="18" customHeight="1">
      <x:c r="A50" s="24" t="str">
        <x:v>EEZ_967</x:v>
      </x:c>
      <x:c r="B50" s="24" t="str">
        <x:v>Aruba (Netherlands)</x:v>
      </x:c>
      <x:c r="C50" s="24" t="str">
        <x:v>EEZ</x:v>
      </x:c>
      <x:c r="D50" s="30" t="n">
        <x:v>2019</x:v>
      </x:c>
      <x:c r="E50" s="24" t="str">
        <x:v>Isurus paucus</x:v>
      </x:c>
      <x:c r="F50" s="24" t="str">
        <x:v>Longfin mako</x:v>
      </x:c>
      <x:c r="G50" s="24" t="str">
        <x:v>Large sharks (&gt;=90 cm)</x:v>
      </x:c>
      <x:c r="H50" s="24" t="str">
        <x:v>Sharks &amp; rays</x:v>
      </x:c>
      <x:c r="I50" s="31" t="n">
        <x:v>0.5422598491</x:v>
      </x:c>
      <x:c r="J50" s="31" t="n">
        <x:v>0.5422598491</x:v>
      </x:c>
      <x:c r="K50" s="31" t="n">
        <x:v>0</x:v>
      </x:c>
      <x:c r="L50" s="31" t="n">
        <x:v>0.5422598491</x:v>
      </x:c>
      <x:c r="M50" s="31" t="n">
        <x:v>0</x:v>
      </x:c>
      <x:c r="N50" s="24" t="str">
        <x:v>isurus paucus</x:v>
      </x:c>
      <x:c r="O50" s="32" t="n">
        <x:v>4.51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Isurus paucus</x:v>
      </x:c>
      <x:c r="T50" s="32" t="n">
        <x:f>IF(O50="","",(1/'Metadata'!$B$5)^(O50-1))</x:f>
        <x:v>3235.936569296281</x:v>
      </x:c>
      <x:c r="U50" s="31" t="n">
        <x:f>IF(T50="","",I50*T50)</x:f>
        <x:v>1754.718475763773</x:v>
      </x:c>
    </x:row>
    <x:row r="51" ht="18" customHeight="1">
      <x:c r="A51" s="24" t="str">
        <x:v>EEZ_967</x:v>
      </x:c>
      <x:c r="B51" s="24" t="str">
        <x:v>Aruba (Netherlands)</x:v>
      </x:c>
      <x:c r="C51" s="24" t="str">
        <x:v>EEZ</x:v>
      </x:c>
      <x:c r="D51" s="30" t="n">
        <x:v>2019</x:v>
      </x:c>
      <x:c r="E51" s="24" t="str">
        <x:v>Kajikia albida</x:v>
      </x:c>
      <x:c r="F51" s="24" t="str">
        <x:v>Atlantic white marlin</x:v>
      </x:c>
      <x:c r="G51" s="24" t="str">
        <x:v>Large pelagics (&gt;=90 cm)</x:v>
      </x:c>
      <x:c r="H51" s="24" t="str">
        <x:v>Tuna &amp; billfishes</x:v>
      </x:c>
      <x:c r="I51" s="31" t="n">
        <x:v>0.5173663478999999</x:v>
      </x:c>
      <x:c r="J51" s="31" t="n">
        <x:v>0.5173663478999999</x:v>
      </x:c>
      <x:c r="K51" s="31" t="n">
        <x:v>0</x:v>
      </x:c>
      <x:c r="L51" s="31" t="n">
        <x:v>0.5173663478999999</x:v>
      </x:c>
      <x:c r="M51" s="31" t="n">
        <x:v>0</x:v>
      </x:c>
      <x:c r="N51" s="24" t="str">
        <x:v>kajikia albida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Kajikia albida</x:v>
      </x:c>
      <x:c r="T51" s="32" t="n">
        <x:f>IF(O51="","",(1/'Metadata'!$B$5)^(O51-1))</x:f>
        <x:v>3090.295432513592</x:v>
      </x:c>
      <x:c r="U51" s="31" t="n">
        <x:f>IF(T51="","",I51*T51)</x:f>
        <x:v>1598.8148618516077</x:v>
      </x:c>
    </x:row>
    <x:row r="52" ht="18" customHeight="1">
      <x:c r="A52" s="24" t="str">
        <x:v>EEZ_967</x:v>
      </x:c>
      <x:c r="B52" s="24" t="str">
        <x:v>Aruba (Netherlands)</x:v>
      </x:c>
      <x:c r="C52" s="24" t="str">
        <x:v>EEZ</x:v>
      </x:c>
      <x:c r="D52" s="30" t="n">
        <x:v>2019</x:v>
      </x:c>
      <x:c r="E52" s="24" t="str">
        <x:v>Isurus oxyrinchus</x:v>
      </x:c>
      <x:c r="F52" s="24" t="str">
        <x:v>Shortfin mako</x:v>
      </x:c>
      <x:c r="G52" s="24" t="str">
        <x:v>Large sharks (&gt;=90 cm)</x:v>
      </x:c>
      <x:c r="H52" s="24" t="str">
        <x:v>Sharks &amp; rays</x:v>
      </x:c>
      <x:c r="I52" s="31" t="n">
        <x:v>0.3878935146</x:v>
      </x:c>
      <x:c r="J52" s="31" t="n">
        <x:v>0.3878935146</x:v>
      </x:c>
      <x:c r="K52" s="31" t="n">
        <x:v>0</x:v>
      </x:c>
      <x:c r="L52" s="31" t="n">
        <x:v>0.3878935146</x:v>
      </x:c>
      <x:c r="M52" s="31" t="n">
        <x:v>0</x:v>
      </x:c>
      <x:c r="N52" s="24" t="str">
        <x:v>isurus oxyrinchus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Isurus oxyrinchus</x:v>
      </x:c>
      <x:c r="T52" s="32" t="n">
        <x:f>IF(O52="","",(1/'Metadata'!$B$5)^(O52-1))</x:f>
        <x:v>3162.2776601683795</x:v>
      </x:c>
      <x:c r="U52" s="31" t="n">
        <x:f>IF(T52="","",I52*T52)</x:f>
        <x:v>1226.6269957437771</x:v>
      </x:c>
    </x:row>
    <x:row r="53" ht="18" customHeight="1">
      <x:c r="A53" s="24" t="str">
        <x:v>EEZ_967</x:v>
      </x:c>
      <x:c r="B53" s="24" t="str">
        <x:v>Aruba (Netherlands)</x:v>
      </x:c>
      <x:c r="C53" s="24" t="str">
        <x:v>EEZ</x:v>
      </x:c>
      <x:c r="D53" s="30" t="n">
        <x:v>2019</x:v>
      </x:c>
      <x:c r="E53" s="24" t="str">
        <x:v>Panulirus argus</x:v>
      </x:c>
      <x:c r="F53" s="24" t="str">
        <x:v>Caribbean spiny lobster</x:v>
      </x:c>
      <x:c r="G53" s="24" t="str">
        <x:v>Lobsters, crabs</x:v>
      </x:c>
      <x:c r="H53" s="24" t="str">
        <x:v>Crustaceans</x:v>
      </x:c>
      <x:c r="I53" s="31" t="n">
        <x:v>0.306262478</x:v>
      </x:c>
      <x:c r="J53" s="31" t="n">
        <x:v>0.302933334</x:v>
      </x:c>
      <x:c r="K53" s="31" t="n">
        <x:v>0.003329144</x:v>
      </x:c>
      <x:c r="L53" s="31" t="n">
        <x:v>0</x:v>
      </x:c>
      <x:c r="M53" s="31" t="n">
        <x:v>0.306262478</x:v>
      </x:c>
      <x:c r="N53" s="24" t="str">
        <x:v>panulirus argus</x:v>
      </x:c>
      <x:c r="O53" s="32" t="n">
        <x:v>3.2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Panulirus argus</x:v>
      </x:c>
      <x:c r="T53" s="32" t="n">
        <x:f>IF(O53="","",(1/'Metadata'!$B$5)^(O53-1))</x:f>
        <x:v>158.48931924611142</x:v>
      </x:c>
      <x:c r="U53" s="31" t="n">
        <x:f>IF(T53="","",I53*T53)</x:f>
        <x:v>48.539331648847174</x:v>
      </x:c>
    </x:row>
    <x:row r="54" ht="18" customHeight="1">
      <x:c r="A54" s="24" t="str">
        <x:v>EEZ_967</x:v>
      </x:c>
      <x:c r="B54" s="24" t="str">
        <x:v>Aruba (Netherlands)</x:v>
      </x:c>
      <x:c r="C54" s="24" t="str">
        <x:v>EEZ</x:v>
      </x:c>
      <x:c r="D54" s="30" t="n">
        <x:v>2019</x:v>
      </x:c>
      <x:c r="E54" s="24" t="str">
        <x:v>Aliger gigas</x:v>
      </x:c>
      <x:c r="F54" s="24" t="str">
        <x:v>Pink conch</x:v>
      </x:c>
      <x:c r="G54" s="24" t="str">
        <x:v>Other demersal invertebrates</x:v>
      </x:c>
      <x:c r="H54" s="24" t="str">
        <x:v>Molluscs</x:v>
      </x:c>
      <x:c r="I54" s="31" t="n">
        <x:v>0.30626247700000003</x:v>
      </x:c>
      <x:c r="J54" s="31" t="n">
        <x:v>0.302933333</x:v>
      </x:c>
      <x:c r="K54" s="31" t="n">
        <x:v>0.003329144</x:v>
      </x:c>
      <x:c r="L54" s="31" t="n">
        <x:v>0</x:v>
      </x:c>
      <x:c r="M54" s="31" t="n">
        <x:v>0.30626247700000003</x:v>
      </x:c>
      <x:c r="N54" s="24" t="str">
        <x:v>aliger gigas</x:v>
      </x:c>
      <x:c r="O54" s="32" t="n">
        <x:v>2.19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Aliger gigas</x:v>
      </x:c>
      <x:c r="T54" s="32" t="n">
        <x:f>IF(O54="","",(1/'Metadata'!$B$5)^(O54-1))</x:f>
        <x:v>15.488166189124811</x:v>
      </x:c>
      <x:c r="U54" s="31" t="n">
        <x:f>IF(T54="","",I54*T54)</x:f>
        <x:v>4.743444141269015</x:v>
      </x:c>
    </x:row>
    <x:row r="55" ht="18" customHeight="1">
      <x:c r="A55" s="24" t="str">
        <x:v>EEZ_967</x:v>
      </x:c>
      <x:c r="B55" s="24" t="str">
        <x:v>Aruba (Netherlands)</x:v>
      </x:c>
      <x:c r="C55" s="24" t="str">
        <x:v>EEZ</x:v>
      </x:c>
      <x:c r="D55" s="30" t="n">
        <x:v>2019</x:v>
      </x:c>
      <x:c r="E55" s="24" t="str">
        <x:v>Penaeidae</x:v>
      </x:c>
      <x:c r="F55" s="24" t="str">
        <x:v>Commercial shrimps and prawns</x:v>
      </x:c>
      <x:c r="G55" s="24" t="str">
        <x:v>Shrimps</x:v>
      </x:c>
      <x:c r="H55" s="24" t="str">
        <x:v>Crustaceans</x:v>
      </x:c>
      <x:c r="I55" s="31" t="n">
        <x:v>0.30626247700000003</x:v>
      </x:c>
      <x:c r="J55" s="31" t="n">
        <x:v>0.302933333</x:v>
      </x:c>
      <x:c r="K55" s="31" t="n">
        <x:v>0.003329144</x:v>
      </x:c>
      <x:c r="L55" s="31" t="n">
        <x:v>0</x:v>
      </x:c>
      <x:c r="M55" s="31" t="n">
        <x:v>0.30626247700000003</x:v>
      </x:c>
      <x:c r="N55" s="24" t="str">
        <x:v>penaeidae</x:v>
      </x:c>
      <x:c r="O55" s="32" t="n">
        <x:v>3.31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Penaeidae</x:v>
      </x:c>
      <x:c r="T55" s="32" t="n">
        <x:f>IF(O55="","",(1/'Metadata'!$B$5)^(O55-1))</x:f>
        <x:v>204.17379446695296</x:v>
      </x:c>
      <x:c r="U55" s="31" t="n">
        <x:f>IF(T55="","",I55*T55)</x:f>
        <x:v>62.530772031937914</x:v>
      </x:c>
    </x:row>
    <x:row r="56" ht="18" customHeight="1">
      <x:c r="A56" s="24" t="str">
        <x:v>EEZ_967</x:v>
      </x:c>
      <x:c r="B56" s="24" t="str">
        <x:v>Aruba (Netherlands)</x:v>
      </x:c>
      <x:c r="C56" s="24" t="str">
        <x:v>EEZ</x:v>
      </x:c>
      <x:c r="D56" s="30" t="n">
        <x:v>2019</x:v>
      </x:c>
      <x:c r="E56" s="24" t="str">
        <x:v>Katsuwonus pelamis</x:v>
      </x:c>
      <x:c r="F56" s="24" t="str">
        <x:v>Skipjack tuna</x:v>
      </x:c>
      <x:c r="G56" s="24" t="str">
        <x:v>Large pelagics (&gt;=90 cm)</x:v>
      </x:c>
      <x:c r="H56" s="24" t="str">
        <x:v>Tuna &amp; billfishes</x:v>
      </x:c>
      <x:c r="I56" s="31" t="n">
        <x:v>0.24089339569999998</x:v>
      </x:c>
      <x:c r="J56" s="31" t="n">
        <x:v>0.24089339569999998</x:v>
      </x:c>
      <x:c r="K56" s="31" t="n">
        <x:v>0</x:v>
      </x:c>
      <x:c r="L56" s="31" t="n">
        <x:v>0.24089339569999998</x:v>
      </x:c>
      <x:c r="M56" s="31" t="n">
        <x:v>0</x:v>
      </x:c>
      <x:c r="N56" s="24" t="str">
        <x:v>katsuwonus pelamis</x:v>
      </x:c>
      <x:c r="O56" s="32" t="n">
        <x:v>4.43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Katsuwonus pelamis</x:v>
      </x:c>
      <x:c r="T56" s="32" t="n">
        <x:f>IF(O56="","",(1/'Metadata'!$B$5)^(O56-1))</x:f>
        <x:v>2691.534803926914</x:v>
      </x:c>
      <x:c r="U56" s="31" t="n">
        <x:f>IF(T56="","",I56*T56)</x:f>
        <x:v>648.3729585626879</x:v>
      </x:c>
    </x:row>
    <x:row r="57" ht="18" customHeight="1">
      <x:c r="A57" s="24" t="str">
        <x:v>EEZ_967</x:v>
      </x:c>
      <x:c r="B57" s="24" t="str">
        <x:v>Aruba (Netherlands)</x:v>
      </x:c>
      <x:c r="C57" s="24" t="str">
        <x:v>EEZ</x:v>
      </x:c>
      <x:c r="D57" s="30" t="n">
        <x:v>2019</x:v>
      </x:c>
      <x:c r="E57" s="24" t="str">
        <x:v>Ruvettus pretiosus</x:v>
      </x:c>
      <x:c r="F57" s="24" t="str">
        <x:v>Oilfish</x:v>
      </x:c>
      <x:c r="G57" s="24" t="str">
        <x:v>Large benthopelagics (&gt;=90 cm)</x:v>
      </x:c>
      <x:c r="H57" s="24" t="str">
        <x:v>Perch-likes</x:v>
      </x:c>
      <x:c r="I57" s="31" t="n">
        <x:v>0.1744970489</x:v>
      </x:c>
      <x:c r="J57" s="31" t="n">
        <x:v>0.1744970489</x:v>
      </x:c>
      <x:c r="K57" s="31" t="n">
        <x:v>0</x:v>
      </x:c>
      <x:c r="L57" s="31" t="n">
        <x:v>0.1744970489</x:v>
      </x:c>
      <x:c r="M57" s="31" t="n">
        <x:v>0</x:v>
      </x:c>
      <x:c r="N57" s="24" t="str">
        <x:v>ruvettus pretiosus</x:v>
      </x:c>
      <x:c r="O57" s="32" t="n">
        <x:v>4.18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Ruvettus pretiosus</x:v>
      </x:c>
      <x:c r="T57" s="32" t="n">
        <x:f>IF(O57="","",(1/'Metadata'!$B$5)^(O57-1))</x:f>
        <x:v>1513.5612484362073</x:v>
      </x:c>
      <x:c r="U57" s="31" t="n">
        <x:f>IF(T57="","",I57*T57)</x:f>
        <x:v>264.1119711815179</x:v>
      </x:c>
    </x:row>
    <x:row r="58" ht="18" customHeight="1">
      <x:c r="A58" s="24" t="str">
        <x:v>EEZ_967</x:v>
      </x:c>
      <x:c r="B58" s="24" t="str">
        <x:v>Aruba (Netherlands)</x:v>
      </x:c>
      <x:c r="C58" s="24" t="str">
        <x:v>EEZ</x:v>
      </x:c>
      <x:c r="D58" s="30" t="n">
        <x:v>2019</x:v>
      </x:c>
      <x:c r="E58" s="24" t="str">
        <x:v>Mobula birostris</x:v>
      </x:c>
      <x:c r="F58" s="24" t="str">
        <x:v>Giant manta</x:v>
      </x:c>
      <x:c r="G58" s="24" t="str">
        <x:v>Large rays (&gt;=90 cm)</x:v>
      </x:c>
      <x:c r="H58" s="24" t="str">
        <x:v>Sharks &amp; rays</x:v>
      </x:c>
      <x:c r="I58" s="31" t="n">
        <x:v>0.1052778121</x:v>
      </x:c>
      <x:c r="J58" s="31" t="n">
        <x:v>0.1052778121</x:v>
      </x:c>
      <x:c r="K58" s="31" t="n">
        <x:v>0</x:v>
      </x:c>
      <x:c r="L58" s="31" t="n">
        <x:v>0.1052778121</x:v>
      </x:c>
      <x:c r="M58" s="31" t="n">
        <x:v>0</x:v>
      </x:c>
      <x:c r="N58" s="24" t="str">
        <x:v>mobula birostris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Mobula birostris</x:v>
      </x:c>
      <x:c r="T58" s="32" t="n">
        <x:f>IF(O58="","",(1/'Metadata'!$B$5)^(O58-1))</x:f>
        <x:v>288.40315031266056</x:v>
      </x:c>
      <x:c r="U58" s="31" t="n">
        <x:f>IF(T58="","",I58*T58)</x:f>
        <x:v>30.362452667664336</x:v>
      </x:c>
    </x:row>
    <x:row r="59" ht="18" customHeight="1">
      <x:c r="A59" s="24" t="str">
        <x:v>EEZ_967</x:v>
      </x:c>
      <x:c r="B59" s="24" t="str">
        <x:v>Aruba (Netherlands)</x:v>
      </x:c>
      <x:c r="C59" s="24" t="str">
        <x:v>EEZ</x:v>
      </x:c>
      <x:c r="D59" s="30" t="n">
        <x:v>2019</x:v>
      </x:c>
      <x:c r="E59" s="24" t="str">
        <x:v>Sphyraena barracuda</x:v>
      </x:c>
      <x:c r="F59" s="24" t="str">
        <x:v>Great barracuda</x:v>
      </x:c>
      <x:c r="G59" s="24" t="str">
        <x:v>Large pelagics (&gt;=90 cm)</x:v>
      </x:c>
      <x:c r="H59" s="24" t="str">
        <x:v>Perch-likes</x:v>
      </x:c>
      <x:c r="I59" s="31" t="n">
        <x:v>0.0646457549</x:v>
      </x:c>
      <x:c r="J59" s="31" t="n">
        <x:v>0.0646457549</x:v>
      </x:c>
      <x:c r="K59" s="31" t="n">
        <x:v>0</x:v>
      </x:c>
      <x:c r="L59" s="31" t="n">
        <x:v>0.0646457549</x:v>
      </x:c>
      <x:c r="M59" s="31" t="n">
        <x:v>0</x:v>
      </x:c>
      <x:c r="N59" s="24" t="str">
        <x:v>sphyraena barracuda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Sphyraena barracuda</x:v>
      </x:c>
      <x:c r="T59" s="32" t="n">
        <x:f>IF(O59="","",(1/'Metadata'!$B$5)^(O59-1))</x:f>
        <x:v>3090.295432513592</x:v>
      </x:c>
      <x:c r="U59" s="31" t="n">
        <x:f>IF(T59="","",I59*T59)</x:f>
        <x:v>199.77448109886316</x:v>
      </x:c>
    </x:row>
    <x:row r="60" ht="18" customHeight="1">
      <x:c r="A60" s="24" t="str">
        <x:v>EEZ_967</x:v>
      </x:c>
      <x:c r="B60" s="24" t="str">
        <x:v>Aruba (Netherlands)</x:v>
      </x:c>
      <x:c r="C60" s="24" t="str">
        <x:v>EEZ</x:v>
      </x:c>
      <x:c r="D60" s="30" t="n">
        <x:v>2019</x:v>
      </x:c>
      <x:c r="E60" s="24" t="str">
        <x:v>Tetrapturus pfluegeri</x:v>
      </x:c>
      <x:c r="F60" s="24" t="str">
        <x:v>Longbill spearfish</x:v>
      </x:c>
      <x:c r="G60" s="24" t="str">
        <x:v>Large pelagics (&gt;=90 cm)</x:v>
      </x:c>
      <x:c r="H60" s="24" t="str">
        <x:v>Tuna &amp; billfishes</x:v>
      </x:c>
      <x:c r="I60" s="31" t="n">
        <x:v>0.0631858301</x:v>
      </x:c>
      <x:c r="J60" s="31" t="n">
        <x:v>0.0631858301</x:v>
      </x:c>
      <x:c r="K60" s="31" t="n">
        <x:v>0</x:v>
      </x:c>
      <x:c r="L60" s="31" t="n">
        <x:v>0.0631858301</x:v>
      </x:c>
      <x:c r="M60" s="31" t="n">
        <x:v>0</x:v>
      </x:c>
      <x:c r="N60" s="24" t="str">
        <x:v>tetrapturus pfluegeri</x:v>
      </x:c>
      <x:c r="O60" s="32" t="n">
        <x:v>4.4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Tetrapturus pfluegeri</x:v>
      </x:c>
      <x:c r="T60" s="32" t="n">
        <x:f>IF(O60="","",(1/'Metadata'!$B$5)^(O60-1))</x:f>
        <x:v>2511.886431509582</x:v>
      </x:c>
      <x:c r="U60" s="31" t="n">
        <x:f>IF(T60="","",I60*T60)</x:f>
        <x:v>158.71562929185976</x:v>
      </x:c>
    </x:row>
    <x:row r="61" ht="18" customHeight="1">
      <x:c r="A61" s="24" t="str">
        <x:v>EEZ_967</x:v>
      </x:c>
      <x:c r="B61" s="24" t="str">
        <x:v>Aruba (Netherlands)</x:v>
      </x:c>
      <x:c r="C61" s="24" t="str">
        <x:v>EEZ</x:v>
      </x:c>
      <x:c r="D61" s="30" t="n">
        <x:v>2019</x:v>
      </x:c>
      <x:c r="E61" s="24" t="str">
        <x:v>Galeocerdo cuvier</x:v>
      </x:c>
      <x:c r="F61" s="24" t="str">
        <x:v>Tiger shark</x:v>
      </x:c>
      <x:c r="G61" s="24" t="str">
        <x:v>Large sharks (&gt;=90 cm)</x:v>
      </x:c>
      <x:c r="H61" s="24" t="str">
        <x:v>Sharks &amp; rays</x:v>
      </x:c>
      <x:c r="I61" s="31" t="n">
        <x:v>0.0510719596</x:v>
      </x:c>
      <x:c r="J61" s="31" t="n">
        <x:v>0.0510719596</x:v>
      </x:c>
      <x:c r="K61" s="31" t="n">
        <x:v>0</x:v>
      </x:c>
      <x:c r="L61" s="31" t="n">
        <x:v>0.0510719596</x:v>
      </x:c>
      <x:c r="M61" s="31" t="n">
        <x:v>0</x:v>
      </x:c>
      <x:c r="N61" s="24" t="str">
        <x:v>galeocerdo cuvier</x:v>
      </x:c>
      <x:c r="O61" s="32" t="n">
        <x:v>4.54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Galeocerdo cuvier</x:v>
      </x:c>
      <x:c r="T61" s="32" t="n">
        <x:f>IF(O61="","",(1/'Metadata'!$B$5)^(O61-1))</x:f>
        <x:v>3467.368504525317</x:v>
      </x:c>
      <x:c r="U61" s="31" t="n">
        <x:f>IF(T61="","",I61*T61)</x:f>
        <x:v>177.0853041814294</x:v>
      </x:c>
    </x:row>
    <x:row r="62" ht="18" customHeight="1">
      <x:c r="A62" s="24" t="str">
        <x:v>EEZ_967</x:v>
      </x:c>
      <x:c r="B62" s="24" t="str">
        <x:v>Aruba (Netherlands)</x:v>
      </x:c>
      <x:c r="C62" s="24" t="str">
        <x:v>EEZ</x:v>
      </x:c>
      <x:c r="D62" s="30" t="n">
        <x:v>2019</x:v>
      </x:c>
      <x:c r="E62" s="24" t="str">
        <x:v>Carcharhinus</x:v>
      </x:c>
      <x:c r="F62" s="24" t="str">
        <x:v>Sharp-nosed sharks</x:v>
      </x:c>
      <x:c r="G62" s="24" t="str">
        <x:v>Large sharks (&gt;=90 cm)</x:v>
      </x:c>
      <x:c r="H62" s="24" t="str">
        <x:v>Sharks &amp; rays</x:v>
      </x:c>
      <x:c r="I62" s="31" t="n">
        <x:v>0.0145303454</x:v>
      </x:c>
      <x:c r="J62" s="31" t="n">
        <x:v>0.0145303454</x:v>
      </x:c>
      <x:c r="K62" s="31" t="n">
        <x:v>0</x:v>
      </x:c>
      <x:c r="L62" s="31" t="n">
        <x:v>0.0145303454</x:v>
      </x:c>
      <x:c r="M62" s="31" t="n">
        <x:v>0</x:v>
      </x:c>
      <x:c r="N62" s="24" t="str">
        <x:v>carcharhinus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Carcharhinus</x:v>
      </x:c>
      <x:c r="T62" s="32" t="n">
        <x:f>IF(O62="","",(1/'Metadata'!$B$5)^(O62-1))</x:f>
        <x:v>1819.7008586099826</x:v>
      </x:c>
      <x:c r="U62" s="31" t="n">
        <x:f>IF(T62="","",I62*T62)</x:f>
        <x:v>26.44088200027961</x:v>
      </x:c>
    </x:row>
    <x:row r="63" ht="18" customHeight="1">
      <x:c r="A63" s="24" t="str">
        <x:v>EEZ_967</x:v>
      </x:c>
      <x:c r="B63" s="24" t="str">
        <x:v>Aruba (Netherlands)</x:v>
      </x:c>
      <x:c r="C63" s="24" t="str">
        <x:v>EEZ</x:v>
      </x:c>
      <x:c r="D63" s="30" t="n">
        <x:v>2019</x:v>
      </x:c>
      <x:c r="E63" s="24" t="str">
        <x:v>Scomberomorus regalis</x:v>
      </x:c>
      <x:c r="F63" s="24" t="str">
        <x:v>Cero</x:v>
      </x:c>
      <x:c r="G63" s="24" t="str">
        <x:v>Large reef assoc. fish (&gt;=90 cm)</x:v>
      </x:c>
      <x:c r="H63" s="24" t="str">
        <x:v>Perch-likes</x:v>
      </x:c>
      <x:c r="I63" s="31" t="n">
        <x:v>0.0022125046</x:v>
      </x:c>
      <x:c r="J63" s="31" t="n">
        <x:v>0.0022125046</x:v>
      </x:c>
      <x:c r="K63" s="31" t="n">
        <x:v>0</x:v>
      </x:c>
      <x:c r="L63" s="31" t="n">
        <x:v>0.0022125046</x:v>
      </x:c>
      <x:c r="M63" s="31" t="n">
        <x:v>0</x:v>
      </x:c>
      <x:c r="N63" s="24" t="str">
        <x:v>scomberomorus regalis</x:v>
      </x:c>
      <x:c r="O63" s="32" t="n">
        <x:v>4.51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Scomberomorus regalis</x:v>
      </x:c>
      <x:c r="T63" s="32" t="n">
        <x:f>IF(O63="","",(1/'Metadata'!$B$5)^(O63-1))</x:f>
        <x:v>3235.936569296281</x:v>
      </x:c>
      <x:c r="U63" s="31" t="n">
        <x:f>IF(T63="","",I63*T63)</x:f>
        <x:v>7.15952454487624</x:v>
      </x:c>
    </x:row>
    <x:row r="64" ht="18" customHeight="1">
      <x:c r="A64" s="24" t="str">
        <x:v>EEZ_967</x:v>
      </x:c>
      <x:c r="B64" s="24" t="str">
        <x:v>Aruba (Netherlands)</x:v>
      </x:c>
      <x:c r="C64" s="24" t="str">
        <x:v>EEZ</x:v>
      </x:c>
      <x:c r="D64" s="30" t="n">
        <x:v>2019</x:v>
      </x:c>
      <x:c r="E64" s="24" t="str">
        <x:v>Caranx hippos</x:v>
      </x:c>
      <x:c r="F64" s="24" t="str">
        <x:v>Crevalle jack</x:v>
      </x:c>
      <x:c r="G64" s="24" t="str">
        <x:v>Large reef assoc. fish (&gt;=90 cm)</x:v>
      </x:c>
      <x:c r="H64" s="24" t="str">
        <x:v>Perch-likes</x:v>
      </x:c>
      <x:c r="I64" s="31" t="n">
        <x:v>0.0000037152</x:v>
      </x:c>
      <x:c r="J64" s="31" t="n">
        <x:v>0.0000037152</x:v>
      </x:c>
      <x:c r="K64" s="31" t="n">
        <x:v>0</x:v>
      </x:c>
      <x:c r="L64" s="31" t="n">
        <x:v>0.0000037152</x:v>
      </x:c>
      <x:c r="M64" s="31" t="n">
        <x:v>0</x:v>
      </x:c>
      <x:c r="N64" s="24" t="str">
        <x:v>caranx hippos</x:v>
      </x:c>
      <x:c r="O64" s="32" t="n">
        <x:v>3.56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Caranx hippos</x:v>
      </x:c>
      <x:c r="T64" s="32" t="n">
        <x:f>IF(O64="","",(1/'Metadata'!$B$5)^(O64-1))</x:f>
        <x:v>363.0780547701014</x:v>
      </x:c>
      <x:c r="U64" s="31" t="n">
        <x:f>IF(T64="","",I64*T64)</x:f>
        <x:v>0.0013489075890818808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860fdb11a14c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1.2148812619999998</x:v>
      </x:c>
      <x:c r="E2" s="31" t="n">
        <x:v>1.2148812619999998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IF(C2=0,"",SUMIF('Species'!$H$2:$H$64,A2,'Species'!$U$2:$U$64))</x:f>
        <x:v>192.5457041792367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192.5457041792367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0.612524955</x:v>
      </x:c>
      <x:c r="E3" s="31" t="n">
        <x:v>0.612524955</x:v>
      </x:c>
      <x:c r="F3" s="32" t="n">
        <x:v>0</x:v>
      </x:c>
      <x:c r="G3" s="34" t="n">
        <x:v>1</x:v>
      </x:c>
      <x:c r="H3" s="32" t="n">
        <x:f>IF(E3=0,"",I3/E3)</x:f>
        <x:v>181.33155681924023</x:v>
      </x:c>
      <x:c r="I3" s="31" t="n">
        <x:f>IF(C3=0,"",SUMIF('Species'!$H$2:$H$64,A3,'Species'!$U$2:$U$64))</x:f>
        <x:v>111.07010368078508</x:v>
      </x:c>
      <x:c r="J3" s="32" t="n">
        <x:v>3.2549999999102077</x:v>
      </x:c>
      <x:c r="K3" s="32" t="n">
        <x:f>IF(J3="","",(1/'Metadata'!$B$5)^(J3-1))</x:f>
        <x:v>179.88709147568633</x:v>
      </x:c>
      <x:c r="L3" s="31" t="n">
        <x:f>IF(E3=0,"",E3*K3)</x:f>
        <x:v>110.18533261122566</x:v>
      </x:c>
      <x:c r="M3" s="31" t="n">
        <x:f>IF(E3=0,"",I3-L3)</x:f>
        <x:v>0.8847710695594202</x:v>
      </x:c>
      <x:c r="N3" s="32" t="n">
        <x:f>IF(L3=0,"",I3/L3)</x:f>
        <x:v>1.008029844341272</x:v>
      </x:c>
      <x:c r="O3" s="34" t="n">
        <x:f>IF(L3=0,"",M3/L3)</x:f>
        <x:v>0.00802984434127197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26.0450976058</x:v>
      </x:c>
      <x:c r="E4" s="31" t="n">
        <x:v>26.0450976058</x:v>
      </x:c>
      <x:c r="F4" s="32" t="n">
        <x:v>0</x:v>
      </x:c>
      <x:c r="G4" s="34" t="n">
        <x:v>1</x:v>
      </x:c>
      <x:c r="H4" s="32" t="n">
        <x:f>IF(E4=0,"",I4/E4)</x:f>
        <x:v>213.35613834596896</x:v>
      </x:c>
      <x:c r="I4" s="31" t="n">
        <x:f>IF(C4=0,"",SUMIF('Species'!$H$2:$H$64,A4,'Species'!$U$2:$U$64))</x:f>
        <x:v>5556.88144801733</x:v>
      </x:c>
      <x:c r="J4" s="32" t="n">
        <x:v>3.3123897416161014</x:v>
      </x:c>
      <x:c r="K4" s="32" t="n">
        <x:f>IF(J4="","",(1/'Metadata'!$B$5)^(J4-1))</x:f>
        <x:v>205.300374511209</x:v>
      </x:c>
      <x:c r="L4" s="31" t="n">
        <x:f>IF(E4=0,"",E4*K4)</x:f>
        <x:v>5347.068292651732</x:v>
      </x:c>
      <x:c r="M4" s="31" t="n">
        <x:f>IF(E4=0,"",I4-L4)</x:f>
        <x:v>209.8131553655976</x:v>
      </x:c>
      <x:c r="N4" s="32" t="n">
        <x:f>IF(L4=0,"",I4/L4)</x:f>
        <x:v>1.039238914463452</x:v>
      </x:c>
      <x:c r="O4" s="34" t="n">
        <x:f>IF(L4=0,"",M4/L4)</x:f>
        <x:v>0.03923891446345199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1.2148812619999998</x:v>
      </x:c>
      <x:c r="E5" s="31" t="n">
        <x:v>1.2148812619999998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IF(C5=0,"",SUMIF('Species'!$H$2:$H$64,A5,'Species'!$U$2:$U$64))</x:f>
        <x:v>175.60376928288034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175.60376928288034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0.30626247700000003</x:v>
      </x:c>
      <x:c r="E6" s="31" t="n">
        <x:v>0.30626247700000003</x:v>
      </x:c>
      <x:c r="F6" s="32" t="n">
        <x:v>0</x:v>
      </x:c>
      <x:c r="G6" s="34" t="n">
        <x:v>1</x:v>
      </x:c>
      <x:c r="H6" s="32" t="n">
        <x:f>IF(E6=0,"",I6/E6)</x:f>
        <x:v>15.48816618912481</x:v>
      </x:c>
      <x:c r="I6" s="31" t="n">
        <x:f>IF(C6=0,"",SUMIF('Species'!$H$2:$H$64,A6,'Species'!$U$2:$U$64))</x:f>
        <x:v>4.743444141269015</x:v>
      </x:c>
      <x:c r="J6" s="32" t="n">
        <x:v>2.19</x:v>
      </x:c>
      <x:c r="K6" s="32" t="n">
        <x:f>IF(J6="","",(1/'Metadata'!$B$5)^(J6-1))</x:f>
        <x:v>15.488166189124811</x:v>
      </x:c>
      <x:c r="L6" s="31" t="n">
        <x:f>IF(E6=0,"",E6*K6)</x:f>
        <x:v>4.743444141269015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6</x:v>
      </x:c>
      <x:c r="C7" s="33" t="n">
        <x:v>6</x:v>
      </x:c>
      <x:c r="D7" s="31" t="n">
        <x:v>413.1522516202</x:v>
      </x:c>
      <x:c r="E7" s="31" t="n">
        <x:v>413.1522516202</x:v>
      </x:c>
      <x:c r="F7" s="32" t="n">
        <x:v>0</x:v>
      </x:c>
      <x:c r="G7" s="34" t="n">
        <x:v>1</x:v>
      </x:c>
      <x:c r="H7" s="32" t="n">
        <x:f>IF(E7=0,"",I7/E7)</x:f>
        <x:v>196.39108115172166</x:v>
      </x:c>
      <x:c r="I7" s="31" t="n">
        <x:f>IF(C7=0,"",SUMIF('Species'!$H$2:$H$64,A7,'Species'!$U$2:$U$64))</x:f>
        <x:v>81139.41737595922</x:v>
      </x:c>
      <x:c r="J7" s="32" t="n">
        <x:v>3.2857334652847308</x:v>
      </x:c>
      <x:c r="K7" s="32" t="n">
        <x:f>IF(J7="","",(1/'Metadata'!$B$5)^(J7-1))</x:f>
        <x:v>193.07829953840317</x:v>
      </x:c>
      <x:c r="L7" s="31" t="n">
        <x:f>IF(E7=0,"",E7*K7)</x:f>
        <x:v>79770.73419329069</x:v>
      </x:c>
      <x:c r="M7" s="31" t="n">
        <x:f>IF(E7=0,"",I7-L7)</x:f>
        <x:v>1368.6831826685375</x:v>
      </x:c>
      <x:c r="N7" s="32" t="n">
        <x:f>IF(L7=0,"",I7/L7)</x:f>
        <x:v>1.0171577107382779</x:v>
      </x:c>
      <x:c r="O7" s="34" t="n">
        <x:f>IF(L7=0,"",M7/L7)</x:f>
        <x:v>0.017157710738277925</x:v>
      </x:c>
    </x:row>
    <x:row r="8" ht="18" customHeight="1">
      <x:c r="A8" s="24" t="str">
        <x:v>Perch-likes</x:v>
      </x:c>
      <x:c r="B8" s="33" t="n">
        <x:v>25</x:v>
      </x:c>
      <x:c r="C8" s="33" t="n">
        <x:v>25</x:v>
      </x:c>
      <x:c r="D8" s="31" t="n">
        <x:v>1406.1886521259999</x:v>
      </x:c>
      <x:c r="E8" s="31" t="n">
        <x:v>1406.1886521259999</x:v>
      </x:c>
      <x:c r="F8" s="32" t="n">
        <x:v>0</x:v>
      </x:c>
      <x:c r="G8" s="34" t="n">
        <x:v>1</x:v>
      </x:c>
      <x:c r="H8" s="32" t="n">
        <x:f>IF(E8=0,"",I8/E8)</x:f>
        <x:v>1669.5360259677198</x:v>
      </x:c>
      <x:c r="I8" s="31" t="n">
        <x:f>IF(C8=0,"",SUMIF('Species'!$H$2:$H$64,A8,'Species'!$U$2:$U$64))</x:f>
        <x:v>2347682.614031346</x:v>
      </x:c>
      <x:c r="J8" s="32" t="n">
        <x:v>4.131852595326679</x:v>
      </x:c>
      <x:c r="K8" s="32" t="n">
        <x:f>IF(J8="","",(1/'Metadata'!$B$5)^(J8-1))</x:f>
        <x:v>1354.7295231189369</x:v>
      </x:c>
      <x:c r="L8" s="31" t="n">
        <x:f>IF(E8=0,"",E8*K8)</x:f>
        <x:v>1905005.2821099164</x:v>
      </x:c>
      <x:c r="M8" s="31" t="n">
        <x:f>IF(E8=0,"",I8-L8)</x:f>
        <x:v>442677.3319214296</x:v>
      </x:c>
      <x:c r="N8" s="32" t="n">
        <x:f>IF(L8=0,"",I8/L8)</x:f>
        <x:v>1.2323759078668464</x:v>
      </x:c>
      <x:c r="O8" s="34" t="n">
        <x:f>IF(L8=0,"",M8/L8)</x:f>
        <x:v>0.23237590786684637</x:v>
      </x:c>
    </x:row>
    <x:row r="9" ht="18" customHeight="1">
      <x:c r="A9" s="24" t="str">
        <x:v>Sharks &amp; rays</x:v>
      </x:c>
      <x:c r="B9" s="33" t="n">
        <x:v>10</x:v>
      </x:c>
      <x:c r="C9" s="33" t="n">
        <x:v>10</x:v>
      </x:c>
      <x:c r="D9" s="31" t="n">
        <x:v>230.1380590455</x:v>
      </x:c>
      <x:c r="E9" s="31" t="n">
        <x:v>230.1380590455</x:v>
      </x:c>
      <x:c r="F9" s="32" t="n">
        <x:v>0</x:v>
      </x:c>
      <x:c r="G9" s="34" t="n">
        <x:v>1</x:v>
      </x:c>
      <x:c r="H9" s="32" t="n">
        <x:f>IF(E9=0,"",I9/E9)</x:f>
        <x:v>2101.121304746914</x:v>
      </x:c>
      <x:c r="I9" s="31" t="n">
        <x:f>IF(C9=0,"",SUMIF('Species'!$H$2:$H$64,A9,'Species'!$U$2:$U$64))</x:f>
        <x:v>483547.9788936033</x:v>
      </x:c>
      <x:c r="J9" s="32" t="n">
        <x:v>4.293484757911755</x:v>
      </x:c>
      <x:c r="K9" s="32" t="n">
        <x:f>IF(J9="","",(1/'Metadata'!$B$5)^(J9-1))</x:f>
        <x:v>1965.5529959185908</x:v>
      </x:c>
      <x:c r="L9" s="31" t="n">
        <x:f>IF(E9=0,"",E9*K9)</x:f>
        <x:v>452348.55143177207</x:v>
      </x:c>
      <x:c r="M9" s="31" t="n">
        <x:f>IF(E9=0,"",I9-L9)</x:f>
        <x:v>31199.42746183125</x:v>
      </x:c>
      <x:c r="N9" s="32" t="n">
        <x:f>IF(L9=0,"",I9/L9)</x:f>
        <x:v>1.068972095440737</x:v>
      </x:c>
      <x:c r="O9" s="34" t="n">
        <x:f>IF(L9=0,"",M9/L9)</x:f>
        <x:v>0.06897209544073686</x:v>
      </x:c>
    </x:row>
    <x:row r="10" ht="18" customHeight="1">
      <x:c r="A10" s="24" t="str">
        <x:v>Tuna &amp; billfishes</x:v>
      </x:c>
      <x:c r="B10" s="33" t="n">
        <x:v>15</x:v>
      </x:c>
      <x:c r="C10" s="33" t="n">
        <x:v>15</x:v>
      </x:c>
      <x:c r="D10" s="31" t="n">
        <x:v>369.07973908440005</x:v>
      </x:c>
      <x:c r="E10" s="31" t="n">
        <x:v>369.07973908440005</x:v>
      </x:c>
      <x:c r="F10" s="32" t="n">
        <x:v>0</x:v>
      </x:c>
      <x:c r="G10" s="34" t="n">
        <x:v>1</x:v>
      </x:c>
      <x:c r="H10" s="32" t="n">
        <x:f>IF(E10=0,"",I10/E10)</x:f>
        <x:v>3044.8842317339463</x:v>
      </x:c>
      <x:c r="I10" s="31" t="n">
        <x:f>IF(C10=0,"",SUMIF('Species'!$H$2:$H$64,A10,'Species'!$U$2:$U$64))</x:f>
        <x:v>1123805.0777905688</x:v>
      </x:c>
      <x:c r="J10" s="32" t="n">
        <x:v>4.482284264513924</x:v>
      </x:c>
      <x:c r="K10" s="32" t="n">
        <x:f>IF(J10="","",(1/'Metadata'!$B$5)^(J10-1))</x:f>
        <x:v>3035.87764717823</x:v>
      </x:c>
      <x:c r="L10" s="31" t="n">
        <x:f>IF(E10=0,"",E10*K10)</x:f>
        <x:v>1120480.9299127033</x:v>
      </x:c>
      <x:c r="M10" s="31" t="n">
        <x:f>IF(E10=0,"",I10-L10)</x:f>
        <x:v>3324.147877865471</x:v>
      </x:c>
      <x:c r="N10" s="32" t="n">
        <x:f>IF(L10=0,"",I10/L10)</x:f>
        <x:v>1.0029667152640647</x:v>
      </x:c>
      <x:c r="O10" s="34" t="n">
        <x:f>IF(L10=0,"",M10/L10)</x:f>
        <x:v>0.0029667152640647397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d02e8d5a53b40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bathypelagics (&gt;=90 cm)</x:v>
      </x:c>
      <x:c r="B2" s="33" t="n">
        <x:v>1</x:v>
      </x:c>
      <x:c r="C2" s="33" t="n">
        <x:v>1</x:v>
      </x:c>
      <x:c r="D2" s="31" t="n">
        <x:v>0.5990900901</x:v>
      </x:c>
      <x:c r="E2" s="31" t="n">
        <x:v>0.5990900901</x:v>
      </x:c>
      <x:c r="F2" s="32" t="n">
        <x:v>0</x:v>
      </x:c>
      <x:c r="G2" s="34" t="n">
        <x:v>1</x:v>
      </x:c>
      <x:c r="H2" s="32" t="n">
        <x:f>IF(E2=0,"",I2/E2)</x:f>
        <x:v>2187.761623949552</x:v>
      </x:c>
      <x:c r="I2" s="31" t="n">
        <x:f>IF(C2=0,"",SUMIF('Species'!$G$2:$G$64,A2,'Species'!$U$2:$U$64))</x:f>
        <x:v>1310.6663084092595</x:v>
      </x:c>
      <x:c r="J2" s="32" t="n">
        <x:v>4.34</x:v>
      </x:c>
      <x:c r="K2" s="32" t="n">
        <x:f>IF(J2="","",(1/'Metadata'!$B$5)^(J2-1))</x:f>
        <x:v>2187.761623949552</x:v>
      </x:c>
      <x:c r="L2" s="31" t="n">
        <x:f>IF(E2=0,"",E2*K2)</x:f>
        <x:v>1310.6663084092595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0.1744970489</x:v>
      </x:c>
      <x:c r="E3" s="31" t="n">
        <x:v>0.1744970489</x:v>
      </x:c>
      <x:c r="F3" s="32" t="n">
        <x:v>0</x:v>
      </x:c>
      <x:c r="G3" s="34" t="n">
        <x:v>1</x:v>
      </x:c>
      <x:c r="H3" s="32" t="n">
        <x:f>IF(E3=0,"",I3/E3)</x:f>
        <x:v>1513.5612484362073</x:v>
      </x:c>
      <x:c r="I3" s="31" t="n">
        <x:f>IF(C3=0,"",SUMIF('Species'!$G$2:$G$64,A3,'Species'!$U$2:$U$64))</x:f>
        <x:v>264.1119711815179</x:v>
      </x:c>
      <x:c r="J3" s="32" t="n">
        <x:v>4.18</x:v>
      </x:c>
      <x:c r="K3" s="32" t="n">
        <x:f>IF(J3="","",(1/'Metadata'!$B$5)^(J3-1))</x:f>
        <x:v>1513.5612484362073</x:v>
      </x:c>
      <x:c r="L3" s="31" t="n">
        <x:f>IF(E3=0,"",E3*K3)</x:f>
        <x:v>264.1119711815179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20</x:v>
      </x:c>
      <x:c r="C4" s="33" t="n">
        <x:v>20</x:v>
      </x:c>
      <x:c r="D4" s="31" t="n">
        <x:v>1048.3360142922</x:v>
      </x:c>
      <x:c r="E4" s="31" t="n">
        <x:v>1048.3360142922</x:v>
      </x:c>
      <x:c r="F4" s="32" t="n">
        <x:v>0</x:v>
      </x:c>
      <x:c r="G4" s="34" t="n">
        <x:v>1</x:v>
      </x:c>
      <x:c r="H4" s="32" t="n">
        <x:f>IF(E4=0,"",I4/E4)</x:f>
        <x:v>2325.161634130126</x:v>
      </x:c>
      <x:c r="I4" s="31" t="n">
        <x:f>IF(C4=0,"",SUMIF('Species'!$G$2:$G$64,A4,'Species'!$U$2:$U$64))</x:f>
        <x:v>2437550.680109115</x:v>
      </x:c>
      <x:c r="J4" s="32" t="n">
        <x:v>4.359116449191662</x:v>
      </x:c>
      <x:c r="K4" s="32" t="n">
        <x:f>IF(J4="","",(1/'Metadata'!$B$5)^(J4-1))</x:f>
        <x:v>2286.211732689928</x:v>
      </x:c>
      <x:c r="L4" s="31" t="n">
        <x:f>IF(E4=0,"",E4*K4)</x:f>
        <x:v>2396718.0956762233</x:v>
      </x:c>
      <x:c r="M4" s="31" t="n">
        <x:f>IF(E4=0,"",I4-L4)</x:f>
        <x:v>40832.58443289157</x:v>
      </x:c>
      <x:c r="N4" s="32" t="n">
        <x:f>IF(L4=0,"",I4/L4)</x:f>
        <x:v>1.017036874093184</x:v>
      </x:c>
      <x:c r="O4" s="34" t="n">
        <x:f>IF(L4=0,"",M4/L4)</x:f>
        <x:v>0.017036874093184013</x:v>
      </x:c>
    </x:row>
    <x:row r="5" ht="18" customHeight="1">
      <x:c r="A5" s="24" t="str">
        <x:v>Large rays (&gt;=90 cm)</x:v>
      </x:c>
      <x:c r="B5" s="33" t="n">
        <x:v>3</x:v>
      </x:c>
      <x:c r="C5" s="33" t="n">
        <x:v>3</x:v>
      </x:c>
      <x:c r="D5" s="31" t="n">
        <x:v>15.8553556429</x:v>
      </x:c>
      <x:c r="E5" s="31" t="n">
        <x:v>15.8553556429</x:v>
      </x:c>
      <x:c r="F5" s="32" t="n">
        <x:v>0</x:v>
      </x:c>
      <x:c r="G5" s="34" t="n">
        <x:v>1</x:v>
      </x:c>
      <x:c r="H5" s="32" t="n">
        <x:f>IF(E5=0,"",I5/E5)</x:f>
        <x:v>382.2987341585605</x:v>
      </x:c>
      <x:c r="I5" s="31" t="n">
        <x:f>IF(C5=0,"",SUMIF('Species'!$G$2:$G$64,A5,'Species'!$U$2:$U$64))</x:f>
        <x:v>6061.482391914458</x:v>
      </x:c>
      <x:c r="J5" s="32" t="n">
        <x:v>3.575647856983776</x:v>
      </x:c>
      <x:c r="K5" s="32" t="n">
        <x:f>IF(J5="","",(1/'Metadata'!$B$5)^(J5-1))</x:f>
        <x:v>376.3984765548265</x:v>
      </x:c>
      <x:c r="L5" s="31" t="n">
        <x:f>IF(E5=0,"",E5*K5)</x:f>
        <x:v>5967.931709222532</x:v>
      </x:c>
      <x:c r="M5" s="31" t="n">
        <x:f>IF(E5=0,"",I5-L5)</x:f>
        <x:v>93.55068269192634</x:v>
      </x:c>
      <x:c r="N5" s="32" t="n">
        <x:f>IF(L5=0,"",I5/L5)</x:f>
        <x:v>1.0156755618612991</x:v>
      </x:c>
      <x:c r="O5" s="34" t="n">
        <x:f>IF(L5=0,"",M5/L5)</x:f>
        <x:v>0.015675561861299113</x:v>
      </x:c>
    </x:row>
    <x:row r="6" ht="18" customHeight="1">
      <x:c r="A6" s="24" t="str">
        <x:v>Large reef assoc. fish (&gt;=90 cm)</x:v>
      </x:c>
      <x:c r="B6" s="33" t="n">
        <x:v>3</x:v>
      </x:c>
      <x:c r="C6" s="33" t="n">
        <x:v>3</x:v>
      </x:c>
      <x:c r="D6" s="31" t="n">
        <x:v>1.2170974828000003</x:v>
      </x:c>
      <x:c r="E6" s="31" t="n">
        <x:v>1.2170974828000003</x:v>
      </x:c>
      <x:c r="F6" s="32" t="n">
        <x:v>0</x:v>
      </x:c>
      <x:c r="G6" s="34" t="n">
        <x:v>1</x:v>
      </x:c>
      <x:c r="H6" s="32" t="n">
        <x:f>IF(E6=0,"",I6/E6)</x:f>
        <x:v>1178.6417432996545</x:v>
      </x:c>
      <x:c r="I6" s="31" t="n">
        <x:f>IF(C6=0,"",SUMIF('Species'!$G$2:$G$64,A6,'Species'!$U$2:$U$64))</x:f>
        <x:v>1434.5218988930137</x:v>
      </x:c>
      <x:c r="J6" s="32" t="n">
        <x:v>4.070798298645532</x:v>
      </x:c>
      <x:c r="K6" s="32" t="n">
        <x:f>IF(J6="","",(1/'Metadata'!$B$5)^(J6-1))</x:f>
        <x:v>1177.0591796263864</x:v>
      </x:c>
      <x:c r="L6" s="31" t="n">
        <x:f>IF(E6=0,"",E6*K6)</x:f>
        <x:v>1432.5957646299082</x:v>
      </x:c>
      <x:c r="M6" s="31" t="n">
        <x:f>IF(E6=0,"",I6-L6)</x:f>
        <x:v>1.9261342631054958</x:v>
      </x:c>
      <x:c r="N6" s="32" t="n">
        <x:f>IF(L6=0,"",I6/L6)</x:f>
        <x:v>1.0013445064620885</x:v>
      </x:c>
      <x:c r="O6" s="34" t="n">
        <x:f>IF(L6=0,"",M6/L6)</x:f>
        <x:v>0.001344506462088478</x:v>
      </x:c>
    </x:row>
    <x:row r="7" ht="18" customHeight="1">
      <x:c r="A7" s="24" t="str">
        <x:v>Large sharks (&gt;=90 cm)</x:v>
      </x:c>
      <x:c r="B7" s="33" t="n">
        <x:v>7</x:v>
      </x:c>
      <x:c r="C7" s="33" t="n">
        <x:v>7</x:v>
      </x:c>
      <x:c r="D7" s="31" t="n">
        <x:v>214.28270340259996</x:v>
      </x:c>
      <x:c r="E7" s="31" t="n">
        <x:v>214.28270340259996</x:v>
      </x:c>
      <x:c r="F7" s="32" t="n">
        <x:v>0</x:v>
      </x:c>
      <x:c r="G7" s="34" t="n">
        <x:v>1</x:v>
      </x:c>
      <x:c r="H7" s="32" t="n">
        <x:f>IF(E7=0,"",I7/E7)</x:f>
        <x:v>2228.301626401337</x:v>
      </x:c>
      <x:c r="I7" s="31" t="n">
        <x:f>IF(C7=0,"",SUMIF('Species'!$G$2:$G$64,A7,'Species'!$U$2:$U$64))</x:f>
        <x:v>477486.49650168885</x:v>
      </x:c>
      <x:c r="J7" s="32" t="n">
        <x:v>4.346599447884779</x:v>
      </x:c>
      <x:c r="K7" s="32" t="n">
        <x:f>IF(J7="","",(1/'Metadata'!$B$5)^(J7-1))</x:f>
        <x:v>2221.2602654256093</x:v>
      </x:c>
      <x:c r="L7" s="31" t="n">
        <x:f>IF(E7=0,"",E7*K7)</x:f>
        <x:v>475977.6546361763</x:v>
      </x:c>
      <x:c r="M7" s="31" t="n">
        <x:f>IF(E7=0,"",I7-L7)</x:f>
        <x:v>1508.8418655125424</x:v>
      </x:c>
      <x:c r="N7" s="32" t="n">
        <x:f>IF(L7=0,"",I7/L7)</x:f>
        <x:v>1.0031699846638091</x:v>
      </x:c>
      <x:c r="O7" s="34" t="n">
        <x:f>IF(L7=0,"",M7/L7)</x:f>
        <x:v>0.0031699846638091824</x:v>
      </x:c>
    </x:row>
    <x:row r="8" ht="18" customHeight="1">
      <x:c r="A8" s="24" t="str">
        <x:v>Lobsters, crabs</x:v>
      </x:c>
      <x:c r="B8" s="33" t="n">
        <x:v>1</x:v>
      </x:c>
      <x:c r="C8" s="33" t="n">
        <x:v>1</x:v>
      </x:c>
      <x:c r="D8" s="31" t="n">
        <x:v>0.306262478</x:v>
      </x:c>
      <x:c r="E8" s="31" t="n">
        <x:v>0.306262478</x:v>
      </x:c>
      <x:c r="F8" s="32" t="n">
        <x:v>0</x:v>
      </x:c>
      <x:c r="G8" s="34" t="n">
        <x:v>1</x:v>
      </x:c>
      <x:c r="H8" s="32" t="n">
        <x:f>IF(E8=0,"",I8/E8)</x:f>
        <x:v>158.48931924611142</x:v>
      </x:c>
      <x:c r="I8" s="31" t="n">
        <x:f>IF(C8=0,"",SUMIF('Species'!$G$2:$G$64,A8,'Species'!$U$2:$U$64))</x:f>
        <x:v>48.539331648847174</x:v>
      </x:c>
      <x:c r="J8" s="32" t="n">
        <x:v>3.2</x:v>
      </x:c>
      <x:c r="K8" s="32" t="n">
        <x:f>IF(J8="","",(1/'Metadata'!$B$5)^(J8-1))</x:f>
        <x:v>158.48931924611142</x:v>
      </x:c>
      <x:c r="L8" s="31" t="n">
        <x:f>IF(E8=0,"",E8*K8)</x:f>
        <x:v>48.539331648847174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1</x:v>
      </x:c>
      <x:c r="C9" s="33" t="n">
        <x:v>1</x:v>
      </x:c>
      <x:c r="D9" s="31" t="n">
        <x:v>1.214881262</x:v>
      </x:c>
      <x:c r="E9" s="31" t="n">
        <x:v>1.214881262</x:v>
      </x:c>
      <x:c r="F9" s="32" t="n">
        <x:v>0</x:v>
      </x:c>
      <x:c r="G9" s="34" t="n">
        <x:v>1</x:v>
      </x:c>
      <x:c r="H9" s="32" t="n">
        <x:f>IF(E9=0,"",I9/E9)</x:f>
        <x:v>204.17379446695296</x:v>
      </x:c>
      <x:c r="I9" s="31" t="n">
        <x:f>IF(C9=0,"",SUMIF('Species'!$G$2:$G$64,A9,'Species'!$U$2:$U$64))</x:f>
        <x:v>248.04691708934044</x:v>
      </x:c>
      <x:c r="J9" s="32" t="n">
        <x:v>3.31</x:v>
      </x:c>
      <x:c r="K9" s="32" t="n">
        <x:f>IF(J9="","",(1/'Metadata'!$B$5)^(J9-1))</x:f>
        <x:v>204.17379446695296</x:v>
      </x:c>
      <x:c r="L9" s="31" t="n">
        <x:f>IF(E9=0,"",E9*K9)</x:f>
        <x:v>248.04691708934044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demersals (30 - 89 cm)</x:v>
      </x:c>
      <x:c r="B10" s="33" t="n">
        <x:v>4</x:v>
      </x:c>
      <x:c r="C10" s="33" t="n">
        <x:v>4</x:v>
      </x:c>
      <x:c r="D10" s="31" t="n">
        <x:v>665.6317271273</x:v>
      </x:c>
      <x:c r="E10" s="31" t="n">
        <x:v>665.6317271273</x:v>
      </x:c>
      <x:c r="F10" s="32" t="n">
        <x:v>0</x:v>
      </x:c>
      <x:c r="G10" s="34" t="n">
        <x:v>1</x:v>
      </x:c>
      <x:c r="H10" s="32" t="n">
        <x:f>IF(E10=0,"",I10/E10)</x:f>
        <x:v>280.397114050219</x:v>
      </x:c>
      <x:c r="I10" s="31" t="n">
        <x:f>IF(C10=0,"",SUMIF('Species'!$G$2:$G$64,A10,'Species'!$U$2:$U$64))</x:f>
        <x:v>186641.21530675777</x:v>
      </x:c>
      <x:c r="J10" s="32" t="n">
        <x:v>3.4219364196750965</x:v>
      </x:c>
      <x:c r="K10" s="32" t="n">
        <x:f>IF(J10="","",(1/'Metadata'!$B$5)^(J10-1))</x:f>
        <x:v>264.20219393516237</x:v>
      </x:c>
      <x:c r="L10" s="31" t="n">
        <x:f>IF(E10=0,"",E10*K10)</x:f>
        <x:v>175861.362659884</x:v>
      </x:c>
      <x:c r="M10" s="31" t="n">
        <x:f>IF(E10=0,"",I10-L10)</x:f>
        <x:v>10779.85264687377</x:v>
      </x:c>
      <x:c r="N10" s="32" t="n">
        <x:f>IF(L10=0,"",I10/L10)</x:f>
        <x:v>1.0612974475110943</x:v>
      </x:c>
      <x:c r="O10" s="34" t="n">
        <x:f>IF(L10=0,"",M10/L10)</x:f>
        <x:v>0.06129744751109436</x:v>
      </x:c>
    </x:row>
    <x:row r="11" ht="18" customHeight="1">
      <x:c r="A11" s="24" t="str">
        <x:v>Medium pelagics (30 - 89 cm)</x:v>
      </x:c>
      <x:c r="B11" s="33" t="n">
        <x:v>5</x:v>
      </x:c>
      <x:c r="C11" s="33" t="n">
        <x:v>5</x:v>
      </x:c>
      <x:c r="D11" s="31" t="n">
        <x:v>364.1585398579</x:v>
      </x:c>
      <x:c r="E11" s="31" t="n">
        <x:v>364.1585398579</x:v>
      </x:c>
      <x:c r="F11" s="32" t="n">
        <x:v>0</x:v>
      </x:c>
      <x:c r="G11" s="34" t="n">
        <x:v>1</x:v>
      </x:c>
      <x:c r="H11" s="32" t="n">
        <x:f>IF(E11=0,"",I11/E11)</x:f>
        <x:v>2245.8691726806446</x:v>
      </x:c>
      <x:c r="I11" s="31" t="n">
        <x:f>IF(C11=0,"",SUMIF('Species'!$G$2:$G$64,A11,'Species'!$U$2:$U$64))</x:f>
        <x:v>817852.4386352535</x:v>
      </x:c>
      <x:c r="J11" s="32" t="n">
        <x:v>4.226095965451326</x:v>
      </x:c>
      <x:c r="K11" s="32" t="n">
        <x:f>IF(J11="","",(1/'Metadata'!$B$5)^(J11-1))</x:f>
        <x:v>1683.0459203148223</x:v>
      </x:c>
      <x:c r="L11" s="31" t="n">
        <x:f>IF(E11=0,"",E11*K11)</x:f>
        <x:v>612895.5448556412</x:v>
      </x:c>
      <x:c r="M11" s="31" t="n">
        <x:f>IF(E11=0,"",I11-L11)</x:f>
        <x:v>204956.89377961226</x:v>
      </x:c>
      <x:c r="N11" s="32" t="n">
        <x:f>IF(L11=0,"",I11/L11)</x:f>
        <x:v>1.334407543830143</x:v>
      </x:c>
      <x:c r="O11" s="34" t="n">
        <x:f>IF(L11=0,"",M11/L11)</x:f>
        <x:v>0.3344075438301431</x:v>
      </x:c>
    </x:row>
    <x:row r="12" ht="18" customHeight="1">
      <x:c r="A12" s="24" t="str">
        <x:v>Medium reef assoc. fish (30 - 89 cm)</x:v>
      </x:c>
      <x:c r="B12" s="33" t="n">
        <x:v>8</x:v>
      </x:c>
      <x:c r="C12" s="33" t="n">
        <x:v>8</x:v>
      </x:c>
      <x:c r="D12" s="31" t="n">
        <x:v>103.4441518814</x:v>
      </x:c>
      <x:c r="E12" s="31" t="n">
        <x:v>103.4441518814</x:v>
      </x:c>
      <x:c r="F12" s="32" t="n">
        <x:v>0</x:v>
      </x:c>
      <x:c r="G12" s="34" t="n">
        <x:v>1</x:v>
      </x:c>
      <x:c r="H12" s="32" t="n">
        <x:f>IF(E12=0,"",I12/E12)</x:f>
        <x:v>1030.5918011918786</x:v>
      </x:c>
      <x:c r="I12" s="31" t="n">
        <x:f>IF(C12=0,"",SUMIF('Species'!$G$2:$G$64,A12,'Species'!$U$2:$U$64))</x:f>
        <x:v>106608.6948102183</x:v>
      </x:c>
      <x:c r="J12" s="32" t="n">
        <x:v>3.975991450983528</x:v>
      </x:c>
      <x:c r="K12" s="32" t="n">
        <x:f>IF(J12="","",(1/'Metadata'!$B$5)^(J12-1))</x:f>
        <x:v>946.2185350239964</x:v>
      </x:c>
      <x:c r="L12" s="31" t="n">
        <x:f>IF(E12=0,"",E12*K12)</x:f>
        <x:v>97880.7738500181</x:v>
      </x:c>
      <x:c r="M12" s="31" t="n">
        <x:f>IF(E12=0,"",I12-L12)</x:f>
        <x:v>8727.920960200194</x:v>
      </x:c>
      <x:c r="N12" s="32" t="n">
        <x:f>IF(L12=0,"",I12/L12)</x:f>
        <x:v>1.0891689002538325</x:v>
      </x:c>
      <x:c r="O12" s="34" t="n">
        <x:f>IF(L12=0,"",M12/L12)</x:f>
        <x:v>0.08916890025383244</x:v>
      </x:c>
    </x:row>
    <x:row r="13" ht="18" customHeight="1">
      <x:c r="A13" s="24" t="str">
        <x:v>Other demersal invertebrates</x:v>
      </x:c>
      <x:c r="B13" s="33" t="n">
        <x:v>1</x:v>
      </x:c>
      <x:c r="C13" s="33" t="n">
        <x:v>1</x:v>
      </x:c>
      <x:c r="D13" s="31" t="n">
        <x:v>0.30626247700000003</x:v>
      </x:c>
      <x:c r="E13" s="31" t="n">
        <x:v>0.30626247700000003</x:v>
      </x:c>
      <x:c r="F13" s="32" t="n">
        <x:v>0</x:v>
      </x:c>
      <x:c r="G13" s="34" t="n">
        <x:v>1</x:v>
      </x:c>
      <x:c r="H13" s="32" t="n">
        <x:f>IF(E13=0,"",I13/E13)</x:f>
        <x:v>15.48816618912481</x:v>
      </x:c>
      <x:c r="I13" s="31" t="n">
        <x:f>IF(C13=0,"",SUMIF('Species'!$G$2:$G$64,A13,'Species'!$U$2:$U$64))</x:f>
        <x:v>4.743444141269015</x:v>
      </x:c>
      <x:c r="J13" s="32" t="n">
        <x:v>2.19</x:v>
      </x:c>
      <x:c r="K13" s="32" t="n">
        <x:f>IF(J13="","",(1/'Metadata'!$B$5)^(J13-1))</x:f>
        <x:v>15.488166189124811</x:v>
      </x:c>
      <x:c r="L13" s="31" t="n">
        <x:f>IF(E13=0,"",E13*K13)</x:f>
        <x:v>4.743444141269015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Shrimps</x:v>
      </x:c>
      <x:c r="B14" s="33" t="n">
        <x:v>1</x:v>
      </x:c>
      <x:c r="C14" s="33" t="n">
        <x:v>1</x:v>
      </x:c>
      <x:c r="D14" s="31" t="n">
        <x:v>0.30626247700000003</x:v>
      </x:c>
      <x:c r="E14" s="31" t="n">
        <x:v>0.30626247700000003</x:v>
      </x:c>
      <x:c r="F14" s="32" t="n">
        <x:v>0</x:v>
      </x:c>
      <x:c r="G14" s="34" t="n">
        <x:v>1</x:v>
      </x:c>
      <x:c r="H14" s="32" t="n">
        <x:f>IF(E14=0,"",I14/E14)</x:f>
        <x:v>204.17379446695296</x:v>
      </x:c>
      <x:c r="I14" s="31" t="n">
        <x:f>IF(C14=0,"",SUMIF('Species'!$G$2:$G$64,A14,'Species'!$U$2:$U$64))</x:f>
        <x:v>62.530772031937914</x:v>
      </x:c>
      <x:c r="J14" s="32" t="n">
        <x:v>3.31</x:v>
      </x:c>
      <x:c r="K14" s="32" t="n">
        <x:f>IF(J14="","",(1/'Metadata'!$B$5)^(J14-1))</x:f>
        <x:v>204.17379446695296</x:v>
      </x:c>
      <x:c r="L14" s="31" t="n">
        <x:f>IF(E14=0,"",E14*K14)</x:f>
        <x:v>62.530772031937914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1.214881262</x:v>
      </x:c>
      <x:c r="E15" s="31" t="n">
        <x:v>1.214881262</x:v>
      </x:c>
      <x:c r="F15" s="32" t="n">
        <x:v>0</x:v>
      </x:c>
      <x:c r="G15" s="34" t="n">
        <x:v>1</x:v>
      </x:c>
      <x:c r="H15" s="32" t="n">
        <x:f>IF(E15=0,"",I15/E15)</x:f>
        <x:v>107.1519305237606</x:v>
      </x:c>
      <x:c r="I15" s="31" t="n">
        <x:f>IF(C15=0,"",SUMIF('Species'!$G$2:$G$64,A15,'Species'!$U$2:$U$64))</x:f>
        <x:v>130.1768725804426</x:v>
      </x:c>
      <x:c r="J15" s="32" t="n">
        <x:v>3.03</x:v>
      </x:c>
      <x:c r="K15" s="32" t="n">
        <x:f>IF(J15="","",(1/'Metadata'!$B$5)^(J15-1))</x:f>
        <x:v>107.1519305237606</x:v>
      </x:c>
      <x:c r="L15" s="31" t="n">
        <x:f>IF(E15=0,"",E15*K15)</x:f>
        <x:v>130.1768725804426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pelagics (&lt;30 cm)</x:v>
      </x:c>
      <x:c r="B16" s="33" t="n">
        <x:v>2</x:v>
      </x:c>
      <x:c r="C16" s="33" t="n">
        <x:v>2</x:v>
      </x:c>
      <x:c r="D16" s="31" t="n">
        <x:v>2.4297625239999996</x:v>
      </x:c>
      <x:c r="E16" s="31" t="n">
        <x:v>2.4297625239999996</x:v>
      </x:c>
      <x:c r="F16" s="32" t="n">
        <x:v>0</x:v>
      </x:c>
      <x:c r="G16" s="34" t="n">
        <x:v>1</x:v>
      </x:c>
      <x:c r="H16" s="32" t="n">
        <x:f>IF(E16=0,"",I16/E16)</x:f>
        <x:v>151.5166481603521</x:v>
      </x:c>
      <x:c r="I16" s="31" t="n">
        <x:f>IF(C16=0,"",SUMIF('Species'!$G$2:$G$64,A16,'Species'!$U$2:$U$64))</x:f>
        <x:v>368.14947346211704</x:v>
      </x:c>
      <x:c r="J16" s="32" t="n">
        <x:v>3.18</x:v>
      </x:c>
      <x:c r="K16" s="32" t="n">
        <x:f>IF(J16="","",(1/'Metadata'!$B$5)^(J16-1))</x:f>
        <x:v>151.35612484362088</x:v>
      </x:c>
      <x:c r="L16" s="31" t="n">
        <x:f>IF(E16=0,"",E16*K16)</x:f>
        <x:v>367.7594399228953</x:v>
      </x:c>
      <x:c r="M16" s="31" t="n">
        <x:f>IF(E16=0,"",I16-L16)</x:f>
        <x:v>0.3900335392217471</x:v>
      </x:c>
      <x:c r="N16" s="32" t="n">
        <x:f>IF(L16=0,"",I16/L16)</x:f>
        <x:v>1.0010605670361679</x:v>
      </x:c>
      <x:c r="O16" s="34" t="n">
        <x:f>IF(L16=0,"",M16/L16)</x:f>
        <x:v>0.001060567036167778</x:v>
      </x:c>
    </x:row>
    <x:row r="17" ht="18" customHeight="1">
      <x:c r="A17" s="24" t="str">
        <x:v>Small reef assoc. fish (&lt;30 cm)</x:v>
      </x:c>
      <x:c r="B17" s="33" t="n">
        <x:v>2</x:v>
      </x:c>
      <x:c r="C17" s="33" t="n">
        <x:v>2</x:v>
      </x:c>
      <x:c r="D17" s="31" t="n">
        <x:v>2.429762526</x:v>
      </x:c>
      <x:c r="E17" s="31" t="n">
        <x:v>2.429762526</x:v>
      </x:c>
      <x:c r="F17" s="32" t="n">
        <x:v>0</x:v>
      </x:c>
      <x:c r="G17" s="34" t="n">
        <x:v>1</x:v>
      </x:c>
      <x:c r="H17" s="32" t="n">
        <x:f>IF(E17=0,"",I17/E17)</x:f>
        <x:v>241.40481306314842</x:v>
      </x:c>
      <x:c r="I17" s="31" t="n">
        <x:f>IF(C17=0,"",SUMIF('Species'!$G$2:$G$64,A17,'Species'!$U$2:$U$64))</x:f>
        <x:v>586.5563683768734</x:v>
      </x:c>
      <x:c r="J17" s="32" t="n">
        <x:v>3.3649999999999998</x:v>
      </x:c>
      <x:c r="K17" s="32" t="n">
        <x:f>IF(J17="","",(1/'Metadata'!$B$5)^(J17-1))</x:f>
        <x:v>231.73946499684774</x:v>
      </x:c>
      <x:c r="L17" s="31" t="n">
        <x:f>IF(E17=0,"",E17*K17)</x:f>
        <x:v>563.0718678446294</x:v>
      </x:c>
      <x:c r="M17" s="31" t="n">
        <x:f>IF(E17=0,"",I17-L17)</x:f>
        <x:v>23.484500532243942</x:v>
      </x:c>
      <x:c r="N17" s="32" t="n">
        <x:f>IF(L17=0,"",I17/L17)</x:f>
        <x:v>1.041707820747891</x:v>
      </x:c>
      <x:c r="O17" s="34" t="n">
        <x:f>IF(L17=0,"",M17/L17)</x:f>
        <x:v>0.04170782074789094</x:v>
      </x:c>
    </x:row>
    <x:row r="18" ht="18" customHeight="1">
      <x:c r="A18" s="24" t="str">
        <x:v>Small to medium flatfishes (&lt;90 cm)</x:v>
      </x:c>
      <x:c r="B18" s="33" t="n">
        <x:v>2</x:v>
      </x:c>
      <x:c r="C18" s="33" t="n">
        <x:v>2</x:v>
      </x:c>
      <x:c r="D18" s="31" t="n">
        <x:v>26.0450976058</x:v>
      </x:c>
      <x:c r="E18" s="31" t="n">
        <x:v>26.0450976058</x:v>
      </x:c>
      <x:c r="F18" s="32" t="n">
        <x:v>0</x:v>
      </x:c>
      <x:c r="G18" s="34" t="n">
        <x:v>1</x:v>
      </x:c>
      <x:c r="H18" s="32" t="n">
        <x:f>IF(E18=0,"",I18/E18)</x:f>
        <x:v>213.35613834596896</x:v>
      </x:c>
      <x:c r="I18" s="31" t="n">
        <x:f>IF(C18=0,"",SUMIF('Species'!$G$2:$G$64,A18,'Species'!$U$2:$U$64))</x:f>
        <x:v>5556.88144801733</x:v>
      </x:c>
      <x:c r="J18" s="32" t="n">
        <x:v>3.3123897416161014</x:v>
      </x:c>
      <x:c r="K18" s="32" t="n">
        <x:f>IF(J18="","",(1/'Metadata'!$B$5)^(J18-1))</x:f>
        <x:v>205.300374511209</x:v>
      </x:c>
      <x:c r="L18" s="31" t="n">
        <x:f>IF(E18=0,"",E18*K18)</x:f>
        <x:v>5347.068292651732</x:v>
      </x:c>
      <x:c r="M18" s="31" t="n">
        <x:f>IF(E18=0,"",I18-L18)</x:f>
        <x:v>209.8131553655976</x:v>
      </x:c>
      <x:c r="N18" s="32" t="n">
        <x:f>IF(L18=0,"",I18/L18)</x:f>
        <x:v>1.039238914463452</x:v>
      </x:c>
      <x:c r="O18" s="34" t="n">
        <x:f>IF(L18=0,"",M18/L18)</x:f>
        <x:v>0.03923891446345199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bb296c2902048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EEZ_967</x:v>
      </x:c>
      <x:c r="B2" s="24" t="str">
        <x:v>raw_filtered_tonnes</x:v>
      </x:c>
      <x:c r="C2" s="24" t="n">
        <x:v>2447.9523494379</x:v>
      </x:c>
      <x:c r="D2" s="24" t="str">
        <x:v>tonnes</x:v>
      </x:c>
    </x:row>
    <x:row r="3" ht="18" customHeight="1">
      <x:c r="A3" s="24" t="str">
        <x:v>EEZ_967</x:v>
      </x:c>
      <x:c r="B3" s="24" t="str">
        <x:v>species_catch_tonnes</x:v>
      </x:c>
      <x:c r="C3" s="24" t="n">
        <x:v>2447.9523494379</x:v>
      </x:c>
      <x:c r="D3" s="24" t="str">
        <x:v>tonnes</x:v>
      </x:c>
    </x:row>
    <x:row r="4" ht="18" customHeight="1">
      <x:c r="A4" s="24" t="str">
        <x:v>EEZ_967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EEZ_967</x:v>
      </x:c>
      <x:c r="B6" s="24" t="str">
        <x:v>matched_catch_tonnes</x:v>
      </x:c>
      <x:c r="C6" s="24" t="n">
        <x:v>2447.9523494379</x:v>
      </x:c>
      <x:c r="D6" s="24" t="str">
        <x:v>tonnes</x:v>
      </x:c>
    </x:row>
    <x:row r="7" ht="18" customHeight="1">
      <x:c r="A7" s="24" t="str">
        <x:v>EEZ_967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EEZ_967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EEZ_967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EEZ_967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EEZ_967</x:v>
      </x:c>
      <x:c r="B11" s="24" t="str">
        <x:v>species_ppr</x:v>
      </x:c>
      <x:c r="C11" s="24" t="n">
        <x:v>4042215.932560779</x:v>
      </x:c>
      <x:c r="D11" s="24" t="str">
        <x:v>tonnes_primary_production_equivalent</x:v>
      </x:c>
    </x:row>
    <x:row r="12" ht="18" customHeight="1">
      <x:c r="A12" s="24" t="str">
        <x:v>EEZ_967</x:v>
      </x:c>
      <x:c r="B12" s="24" t="str">
        <x:v>commercial_ppr</x:v>
      </x:c>
      <x:c r="C12" s="24" t="n">
        <x:v>4042215.93256078</x:v>
      </x:c>
      <x:c r="D12" s="24" t="str">
        <x:v>tonnes_primary_production_equivalent</x:v>
      </x:c>
    </x:row>
    <x:row r="13" ht="18" customHeight="1">
      <x:c r="A13" s="24" t="str">
        <x:v>EEZ_967</x:v>
      </x:c>
      <x:c r="B13" s="24" t="str">
        <x:v>functional_ppr</x:v>
      </x:c>
      <x:c r="C13" s="24" t="n">
        <x:v>4042215.932560779</x:v>
      </x:c>
      <x:c r="D13" s="24" t="str">
        <x:v>tonnes_primary_production_equivalent</x:v>
      </x:c>
    </x:row>
    <x:row r="14" ht="18" customHeight="1">
      <x:c r="A14" s="24" t="str">
        <x:v>EEZ_967</x:v>
      </x:c>
      <x:c r="B14" s="24" t="str">
        <x:v>commercial_ppr_difference</x:v>
      </x:c>
      <x:c r="C14" s="24" t="n">
        <x:v>9.313225746154785e-10</x:v>
      </x:c>
      <x:c r="D14" s="24" t="str">
        <x:v>tonnes_primary_production_equivalent</x:v>
      </x:c>
    </x:row>
    <x:row r="15" ht="18" customHeight="1">
      <x:c r="A15" s="24" t="str">
        <x:v>EEZ_967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EEZ_967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EEZ_967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EEZ_967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EEZ_967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256befd34c640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EEZ_967 - Aruba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