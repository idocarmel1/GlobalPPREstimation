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d3791569b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8f147e3ffad4765"/>
    <x:sheet xmlns:r="http://schemas.openxmlformats.org/officeDocument/2006/relationships" name="Commercial" sheetId="2" r:id="R4302b5aee3624a6b"/>
    <x:sheet xmlns:r="http://schemas.openxmlformats.org/officeDocument/2006/relationships" name="Functional" sheetId="3" r:id="R82c90a9f4de24091"/>
    <x:sheet xmlns:r="http://schemas.openxmlformats.org/officeDocument/2006/relationships" name="Missing TL" sheetId="4" r:id="R95e32b2123cd4705"/>
    <x:sheet xmlns:r="http://schemas.openxmlformats.org/officeDocument/2006/relationships" name="Validation" sheetId="5" r:id="R81be00f8805a4973"/>
    <x:sheet xmlns:r="http://schemas.openxmlformats.org/officeDocument/2006/relationships" name="Metadata" sheetId="6" r:id="R078cfc29f83e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a30696542474a" /><Relationship Type="http://schemas.openxmlformats.org/officeDocument/2006/relationships/theme" Target="/xl/theme/theme1.xml" Id="Reefeff55571c4a55" /><Relationship Type="http://schemas.microsoft.com/office/2022/11/relationships/FeaturePropertyBag" Target="/xl/featurePropertyBag/featurePropertyBag.xml" Id="R5398ae0cb2124548" /><Relationship Type="http://schemas.openxmlformats.org/officeDocument/2006/relationships/sharedStrings" Target="/xl/sharedStrings.xml" Id="R6e01a7589d964d73" /><Relationship Type="http://schemas.openxmlformats.org/officeDocument/2006/relationships/worksheet" Target="/xl/worksheets/sheet1.xml" Id="R18f147e3ffad4765" /><Relationship Type="http://schemas.openxmlformats.org/officeDocument/2006/relationships/worksheet" Target="/xl/worksheets/sheet2.xml" Id="R4302b5aee3624a6b" /><Relationship Type="http://schemas.openxmlformats.org/officeDocument/2006/relationships/worksheet" Target="/xl/worksheets/sheet3.xml" Id="R82c90a9f4de24091" /><Relationship Type="http://schemas.openxmlformats.org/officeDocument/2006/relationships/worksheet" Target="/xl/worksheets/sheet4.xml" Id="R95e32b2123cd4705" /><Relationship Type="http://schemas.openxmlformats.org/officeDocument/2006/relationships/worksheet" Target="/xl/worksheets/sheet5.xml" Id="R81be00f8805a4973" /><Relationship Type="http://schemas.openxmlformats.org/officeDocument/2006/relationships/worksheet" Target="/xl/worksheets/sheet6.xml" Id="R078cfc29f83e42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8SpeciesTable" displayName="EEZ908SpeciesTable" ref="A1:U22" headerRowCount="1" totalsRowCount="0" totalsRowShown="0">
  <x:autoFilter ref="A1:U2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8CommercialTable" displayName="EEZ908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8FunctionalTable" displayName="EEZ908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8ValidationTable" displayName="EEZ90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72534d99d4a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37098dee1e4c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e0fbe9388c4e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eef6a87f5445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EEZ_908</x:v>
      </x:c>
      <x:c r="B2" s="24" t="str">
        <x:v>Saba and Sint Eustatius (Netherlands)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226.3552310767</x:v>
      </x:c>
      <x:c r="J2" s="31" t="n">
        <x:v>226.3552310767</x:v>
      </x:c>
      <x:c r="K2" s="31" t="n">
        <x:v>0</x:v>
      </x:c>
      <x:c r="L2" s="31" t="n">
        <x:v>222.5683151042</x:v>
      </x:c>
      <x:c r="M2" s="31" t="n">
        <x:v>3.7869159725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43131.10011221453</x:v>
      </x:c>
    </x:row>
    <x:row r="3" ht="18" customHeight="1">
      <x:c r="A3" s="24" t="str">
        <x:v>EEZ_908</x:v>
      </x:c>
      <x:c r="B3" s="24" t="str">
        <x:v>Saba and Sint Eustatius (Netherlands)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185.2939480298</x:v>
      </x:c>
      <x:c r="J3" s="31" t="n">
        <x:v>185.2939480298</x:v>
      </x:c>
      <x:c r="K3" s="31" t="n">
        <x:v>0</x:v>
      </x:c>
      <x:c r="L3" s="31" t="n">
        <x:v>106.3548257743</x:v>
      </x:c>
      <x:c r="M3" s="31" t="n">
        <x:v>78.9391222555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29367.11168366735</x:v>
      </x:c>
    </x:row>
    <x:row r="4" ht="18" customHeight="1">
      <x:c r="A4" s="24" t="str">
        <x:v>EEZ_908</x:v>
      </x:c>
      <x:c r="B4" s="24" t="str">
        <x:v>Saba and Sint Eustatius (Netherlands)</x:v>
      </x:c>
      <x:c r="C4" s="24" t="str">
        <x:v>EEZ</x:v>
      </x:c>
      <x:c r="D4" s="30" t="n">
        <x:v>2019</x:v>
      </x:c>
      <x:c r="E4" s="24" t="str">
        <x:v>Lutjanus vivanus</x:v>
      </x:c>
      <x:c r="F4" s="24" t="str">
        <x:v>Silk snapper</x:v>
      </x:c>
      <x:c r="G4" s="24" t="str">
        <x:v>Medium demersals (30 - 89 cm)</x:v>
      </x:c>
      <x:c r="H4" s="24" t="str">
        <x:v>Perch-likes</x:v>
      </x:c>
      <x:c r="I4" s="31" t="n">
        <x:v>31.673969608</x:v>
      </x:c>
      <x:c r="J4" s="31" t="n">
        <x:v>31.673969608</x:v>
      </x:c>
      <x:c r="K4" s="31" t="n">
        <x:v>0</x:v>
      </x:c>
      <x:c r="L4" s="31" t="n">
        <x:v>8.097494833199999</x:v>
      </x:c>
      <x:c r="M4" s="31" t="n">
        <x:v>23.5764747748</x:v>
      </x:c>
      <x:c r="N4" s="24" t="str">
        <x:v>lutjanus vivanus</x:v>
      </x:c>
      <x:c r="O4" s="32" t="n">
        <x:v>3.09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Lutjanus vivanus</x:v>
      </x:c>
      <x:c r="T4" s="32" t="n">
        <x:f>IF(O4="","",(1/'Metadata'!$B$5)^(O4-1))</x:f>
        <x:v>123.02687708123811</x:v>
      </x:c>
      <x:c r="U4" s="31" t="n">
        <x:f>IF(T4="","",I4*T4)</x:f>
        <x:v>3896.7495656382875</x:v>
      </x:c>
    </x:row>
    <x:row r="5" ht="18" customHeight="1">
      <x:c r="A5" s="24" t="str">
        <x:v>EEZ_908</x:v>
      </x:c>
      <x:c r="B5" s="24" t="str">
        <x:v>Saba and Sint Eustatius (Netherlands)</x:v>
      </x:c>
      <x:c r="C5" s="24" t="str">
        <x:v>EEZ</x:v>
      </x:c>
      <x:c r="D5" s="30" t="n">
        <x:v>2019</x:v>
      </x:c>
      <x:c r="E5" s="24" t="str">
        <x:v>Lutjanus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16.9681980023</x:v>
      </x:c>
      <x:c r="J5" s="31" t="n">
        <x:v>16.9681980023</x:v>
      </x:c>
      <x:c r="K5" s="31" t="n">
        <x:v>0</x:v>
      </x:c>
      <x:c r="L5" s="31" t="n">
        <x:v>4.3379436587</x:v>
      </x:c>
      <x:c r="M5" s="31" t="n">
        <x:v>12.6302543436</x:v>
      </x:c>
      <x:c r="N5" s="24" t="str">
        <x:v>lutjanus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Lutjanus</x:v>
      </x:c>
      <x:c r="T5" s="32" t="n">
        <x:f>IF(O5="","",(1/'Metadata'!$B$5)^(O5-1))</x:f>
        <x:v>1047.1285480508984</x:v>
      </x:c>
      <x:c r="U5" s="31" t="n">
        <x:f>IF(T5="","",I5*T5)</x:f>
        <x:v>17767.884537188555</x:v>
      </x:c>
    </x:row>
    <x:row r="6" ht="18" customHeight="1">
      <x:c r="A6" s="24" t="str">
        <x:v>EEZ_908</x:v>
      </x:c>
      <x:c r="B6" s="24" t="str">
        <x:v>Saba and Sint Eustatius (Netherlands)</x:v>
      </x:c>
      <x:c r="C6" s="24" t="str">
        <x:v>EEZ</x:v>
      </x:c>
      <x:c r="D6" s="30" t="n">
        <x:v>2019</x:v>
      </x:c>
      <x:c r="E6" s="24" t="str">
        <x:v>Lutjanidae</x:v>
      </x:c>
      <x:c r="F6" s="24" t="str">
        <x:v>Snappers</x:v>
      </x:c>
      <x:c r="G6" s="24" t="str">
        <x:v>Medium reef assoc. fish (30 - 89 cm)</x:v>
      </x:c>
      <x:c r="H6" s="24" t="str">
        <x:v>Perch-likes</x:v>
      </x:c>
      <x:c r="I6" s="31" t="n">
        <x:v>11.021705605600001</x:v>
      </x:c>
      <x:c r="J6" s="31" t="n">
        <x:v>11.021705605600001</x:v>
      </x:c>
      <x:c r="K6" s="31" t="n">
        <x:v>0</x:v>
      </x:c>
      <x:c r="L6" s="31" t="n">
        <x:v>2.2527618064</x:v>
      </x:c>
      <x:c r="M6" s="31" t="n">
        <x:v>8.7689437992</x:v>
      </x:c>
      <x:c r="N6" s="24" t="str">
        <x:v>lutjanidae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Lutjanidae</x:v>
      </x:c>
      <x:c r="T6" s="32" t="n">
        <x:f>IF(O6="","",(1/'Metadata'!$B$5)^(O6-1))</x:f>
        <x:v>1047.1285480508984</x:v>
      </x:c>
      <x:c r="U6" s="31" t="n">
        <x:f>IF(T6="","",I6*T6)</x:f>
        <x:v>11541.142587836377</x:v>
      </x:c>
    </x:row>
    <x:row r="7" ht="18" customHeight="1">
      <x:c r="A7" s="24" t="str">
        <x:v>EEZ_908</x:v>
      </x:c>
      <x:c r="B7" s="24" t="str">
        <x:v>Saba and Sint Eustatius (Netherlands)</x:v>
      </x:c>
      <x:c r="C7" s="24" t="str">
        <x:v>EEZ</x:v>
      </x:c>
      <x:c r="D7" s="30" t="n">
        <x:v>2019</x:v>
      </x:c>
      <x:c r="E7" s="24" t="str">
        <x:v>Aliger gigas</x:v>
      </x:c>
      <x:c r="F7" s="24" t="str">
        <x:v>Pink conch</x:v>
      </x:c>
      <x:c r="G7" s="24" t="str">
        <x:v>Other demersal invertebrates</x:v>
      </x:c>
      <x:c r="H7" s="24" t="str">
        <x:v>Molluscs</x:v>
      </x:c>
      <x:c r="I7" s="31" t="n">
        <x:v>9.5945885139</x:v>
      </x:c>
      <x:c r="J7" s="31" t="n">
        <x:v>9.5945885139</x:v>
      </x:c>
      <x:c r="K7" s="31" t="n">
        <x:v>0</x:v>
      </x:c>
      <x:c r="L7" s="31" t="n">
        <x:v>7.4014456295999995</x:v>
      </x:c>
      <x:c r="M7" s="31" t="n">
        <x:v>2.1931428843</x:v>
      </x:c>
      <x:c r="N7" s="24" t="str">
        <x:v>aliger gigas</x:v>
      </x:c>
      <x:c r="O7" s="32" t="n">
        <x:v>2.19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Aliger gigas</x:v>
      </x:c>
      <x:c r="T7" s="32" t="n">
        <x:f>IF(O7="","",(1/'Metadata'!$B$5)^(O7-1))</x:f>
        <x:v>15.488166189124811</x:v>
      </x:c>
      <x:c r="U7" s="31" t="n">
        <x:f>IF(T7="","",I7*T7)</x:f>
        <x:v>148.60258141955126</x:v>
      </x:c>
    </x:row>
    <x:row r="8" ht="18" customHeight="1">
      <x:c r="A8" s="24" t="str">
        <x:v>EEZ_908</x:v>
      </x:c>
      <x:c r="B8" s="24" t="str">
        <x:v>Saba and Sint Eustatius (Netherlands)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4.1026923605</x:v>
      </x:c>
      <x:c r="J8" s="31" t="n">
        <x:v>4.1026923605</x:v>
      </x:c>
      <x:c r="K8" s="31" t="n">
        <x:v>0</x:v>
      </x:c>
      <x:c r="L8" s="31" t="n">
        <x:v>0.8346080428</x:v>
      </x:c>
      <x:c r="M8" s="31" t="n">
        <x:v>3.2680843176999996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939.8725217926906</x:v>
      </x:c>
    </x:row>
    <x:row r="9" ht="18" customHeight="1">
      <x:c r="A9" s="24" t="str">
        <x:v>EEZ_908</x:v>
      </x:c>
      <x:c r="B9" s="24" t="str">
        <x:v>Saba and Sint Eustatius (Netherlands)</x:v>
      </x:c>
      <x:c r="C9" s="24" t="str">
        <x:v>EEZ</x:v>
      </x:c>
      <x:c r="D9" s="30" t="n">
        <x:v>2019</x:v>
      </x:c>
      <x:c r="E9" s="24" t="str">
        <x:v>Rhomboplites aurorubens</x:v>
      </x:c>
      <x:c r="F9" s="24" t="str">
        <x:v>Vermilion snapper</x:v>
      </x:c>
      <x:c r="G9" s="24" t="str">
        <x:v>Medium demersals (30 - 89 cm)</x:v>
      </x:c>
      <x:c r="H9" s="24" t="str">
        <x:v>Perch-likes</x:v>
      </x:c>
      <x:c r="I9" s="31" t="n">
        <x:v>2.2624264005</x:v>
      </x:c>
      <x:c r="J9" s="31" t="n">
        <x:v>2.2624264005</x:v>
      </x:c>
      <x:c r="K9" s="31" t="n">
        <x:v>0</x:v>
      </x:c>
      <x:c r="L9" s="31" t="n">
        <x:v>0.578392488</x:v>
      </x:c>
      <x:c r="M9" s="31" t="n">
        <x:v>1.6840339125000001</x:v>
      </x:c>
      <x:c r="N9" s="24" t="str">
        <x:v>rhomboplites aurorubens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Rhomboplites aurorubens</x:v>
      </x:c>
      <x:c r="T9" s="32" t="n">
        <x:f>IF(O9="","",(1/'Metadata'!$B$5)^(O9-1))</x:f>
        <x:v>2290.867652767775</x:v>
      </x:c>
      <x:c r="U9" s="31" t="n">
        <x:f>IF(T9="","",I9*T9)</x:f>
        <x:v>5182.919457673281</x:v>
      </x:c>
    </x:row>
    <x:row r="10" ht="18" customHeight="1">
      <x:c r="A10" s="24" t="str">
        <x:v>EEZ_908</x:v>
      </x:c>
      <x:c r="B10" s="24" t="str">
        <x:v>Saba and Sint Eustatius (Netherlands)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2.1413311206</x:v>
      </x:c>
      <x:c r="J10" s="31" t="n">
        <x:v>2.1413311206</x:v>
      </x:c>
      <x:c r="K10" s="31" t="n">
        <x:v>0</x:v>
      </x:c>
      <x:c r="L10" s="31" t="n">
        <x:v>0.42413159990000004</x:v>
      </x:c>
      <x:c r="M10" s="31" t="n">
        <x:v>1.7171995207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2044.955344389973</x:v>
      </x:c>
    </x:row>
    <x:row r="11" ht="18" customHeight="1">
      <x:c r="A11" s="24" t="str">
        <x:v>EEZ_908</x:v>
      </x:c>
      <x:c r="B11" s="24" t="str">
        <x:v>Saba and Sint Eustatius (Netherlands)</x:v>
      </x:c>
      <x:c r="C11" s="24" t="str">
        <x:v>EEZ</x:v>
      </x:c>
      <x:c r="D11" s="30" t="n">
        <x:v>2019</x:v>
      </x:c>
      <x:c r="E11" s="24" t="str">
        <x:v>Epinephelus guttatus</x:v>
      </x:c>
      <x:c r="F11" s="24" t="str">
        <x:v>Red hind</x:v>
      </x:c>
      <x:c r="G11" s="24" t="str">
        <x:v>Medium reef assoc. fish (30 - 89 cm)</x:v>
      </x:c>
      <x:c r="H11" s="24" t="str">
        <x:v>Perch-likes</x:v>
      </x:c>
      <x:c r="I11" s="31" t="n">
        <x:v>2.1311049995999998</x:v>
      </x:c>
      <x:c r="J11" s="31" t="n">
        <x:v>2.1311049995999998</x:v>
      </x:c>
      <x:c r="K11" s="31" t="n">
        <x:v>0</x:v>
      </x:c>
      <x:c r="L11" s="31" t="n">
        <x:v>0.5312727827</x:v>
      </x:c>
      <x:c r="M11" s="31" t="n">
        <x:v>1.5998322169</x:v>
      </x:c>
      <x:c r="N11" s="24" t="str">
        <x:v>epinephelus guttatus</x:v>
      </x:c>
      <x:c r="O11" s="32" t="n">
        <x:v>3.84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Epinephelus guttatus</x:v>
      </x:c>
      <x:c r="T11" s="32" t="n">
        <x:f>IF(O11="","",(1/'Metadata'!$B$5)^(O11-1))</x:f>
        <x:v>691.8309709189363</x:v>
      </x:c>
      <x:c r="U11" s="31" t="n">
        <x:f>IF(T11="","",I11*T11)</x:f>
        <x:v>1474.3644410034672</x:v>
      </x:c>
    </x:row>
    <x:row r="12" ht="18" customHeight="1">
      <x:c r="A12" s="24" t="str">
        <x:v>EEZ_908</x:v>
      </x:c>
      <x:c r="B12" s="24" t="str">
        <x:v>Saba and Sint Eustatius (Netherlands)</x:v>
      </x:c>
      <x:c r="C12" s="24" t="str">
        <x:v>EEZ</x:v>
      </x:c>
      <x:c r="D12" s="30" t="n">
        <x:v>2019</x:v>
      </x:c>
      <x:c r="E12" s="24" t="str">
        <x:v>Epinephelus</x:v>
      </x:c>
      <x:c r="F12" s="24" t="str">
        <x:v>Seabasses, hinds</x:v>
      </x:c>
      <x:c r="G12" s="24" t="str">
        <x:v>Medium reef assoc. fish (30 - 89 cm)</x:v>
      </x:c>
      <x:c r="H12" s="24" t="str">
        <x:v>Perch-likes</x:v>
      </x:c>
      <x:c r="I12" s="31" t="n">
        <x:v>1.5702878947</x:v>
      </x:c>
      <x:c r="J12" s="31" t="n">
        <x:v>1.5702878947</x:v>
      </x:c>
      <x:c r="K12" s="31" t="n">
        <x:v>0</x:v>
      </x:c>
      <x:c r="L12" s="31" t="n">
        <x:v>0.3914641559</x:v>
      </x:c>
      <x:c r="M12" s="31" t="n">
        <x:v>1.1788237388</x:v>
      </x:c>
      <x:c r="N12" s="24" t="str">
        <x:v>epinephelus</x:v>
      </x:c>
      <x:c r="O12" s="32" t="n">
        <x:v>3.84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Epinephelus</x:v>
      </x:c>
      <x:c r="T12" s="32" t="n">
        <x:f>IF(O12="","",(1/'Metadata'!$B$5)^(O12-1))</x:f>
        <x:v>691.8309709189363</x:v>
      </x:c>
      <x:c r="U12" s="31" t="n">
        <x:f>IF(T12="","",I12*T12)</x:f>
        <x:v>1086.3737988125533</x:v>
      </x:c>
    </x:row>
    <x:row r="13" ht="18" customHeight="1">
      <x:c r="A13" s="24" t="str">
        <x:v>EEZ_908</x:v>
      </x:c>
      <x:c r="B13" s="24" t="str">
        <x:v>Saba and Sint Eustatius (Netherlands)</x:v>
      </x:c>
      <x:c r="C13" s="24" t="str">
        <x:v>EEZ</x:v>
      </x:c>
      <x:c r="D13" s="30" t="n">
        <x:v>2019</x:v>
      </x:c>
      <x:c r="E13" s="24" t="str">
        <x:v>Lutjanus synagris</x:v>
      </x:c>
      <x:c r="F13" s="24" t="str">
        <x:v>Lane snapper</x:v>
      </x:c>
      <x:c r="G13" s="24" t="str">
        <x:v>Medium reef assoc. fish (30 - 89 cm)</x:v>
      </x:c>
      <x:c r="H13" s="24" t="str">
        <x:v>Perch-likes</x:v>
      </x:c>
      <x:c r="I13" s="31" t="n">
        <x:v>0.7918492402</x:v>
      </x:c>
      <x:c r="J13" s="31" t="n">
        <x:v>0.7918492402</x:v>
      </x:c>
      <x:c r="K13" s="31" t="n">
        <x:v>0</x:v>
      </x:c>
      <x:c r="L13" s="31" t="n">
        <x:v>0.2024373708</x:v>
      </x:c>
      <x:c r="M13" s="31" t="n">
        <x:v>0.5894118694</x:v>
      </x:c>
      <x:c r="N13" s="24" t="str">
        <x:v>lutjanus synagris</x:v>
      </x:c>
      <x:c r="O13" s="32" t="n">
        <x:v>3.82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Lutjanus synagris</x:v>
      </x:c>
      <x:c r="T13" s="32" t="n">
        <x:f>IF(O13="","",(1/'Metadata'!$B$5)^(O13-1))</x:f>
        <x:v>660.6934480075957</x:v>
      </x:c>
      <x:c r="U13" s="31" t="n">
        <x:f>IF(T13="","",I13*T13)</x:f>
        <x:v>523.1696048099329</x:v>
      </x:c>
    </x:row>
    <x:row r="14" ht="18" customHeight="1">
      <x:c r="A14" s="24" t="str">
        <x:v>EEZ_908</x:v>
      </x:c>
      <x:c r="B14" s="24" t="str">
        <x:v>Saba and Sint Eustatius (Netherlands)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0.2683671492</x:v>
      </x:c>
      <x:c r="J14" s="31" t="n">
        <x:v>0.2683671492</x:v>
      </x:c>
      <x:c r="K14" s="31" t="n">
        <x:v>0</x:v>
      </x:c>
      <x:c r="L14" s="31" t="n">
        <x:v>0</x:v>
      </x:c>
      <x:c r="M14" s="31" t="n">
        <x:v>0.2683671492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629.114004239901</x:v>
      </x:c>
    </x:row>
    <x:row r="15" ht="18" customHeight="1">
      <x:c r="A15" s="24" t="str">
        <x:v>EEZ_908</x:v>
      </x:c>
      <x:c r="B15" s="24" t="str">
        <x:v>Saba and Sint Eustatius (Netherlands)</x:v>
      </x:c>
      <x:c r="C15" s="24" t="str">
        <x:v>EEZ</x:v>
      </x:c>
      <x:c r="D15" s="30" t="n">
        <x:v>2019</x:v>
      </x:c>
      <x:c r="E15" s="24" t="str">
        <x:v>Acanthocybium solandri</x:v>
      </x:c>
      <x:c r="F15" s="24" t="str">
        <x:v>Wahoo</x:v>
      </x:c>
      <x:c r="G15" s="24" t="str">
        <x:v>Large pelagics (&gt;=90 cm)</x:v>
      </x:c>
      <x:c r="H15" s="24" t="str">
        <x:v>Perch-likes</x:v>
      </x:c>
      <x:c r="I15" s="31" t="n">
        <x:v>0.2683671489</x:v>
      </x:c>
      <x:c r="J15" s="31" t="n">
        <x:v>0.2683671489</x:v>
      </x:c>
      <x:c r="K15" s="31" t="n">
        <x:v>0</x:v>
      </x:c>
      <x:c r="L15" s="31" t="n">
        <x:v>0</x:v>
      </x:c>
      <x:c r="M15" s="31" t="n">
        <x:v>0.2683671489</x:v>
      </x:c>
      <x:c r="N15" s="24" t="str">
        <x:v>acanthocybium solandri</x:v>
      </x:c>
      <x:c r="O15" s="32" t="n">
        <x:v>4.26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Acanthocybium solandri</x:v>
      </x:c>
      <x:c r="T15" s="32" t="n">
        <x:f>IF(O15="","",(1/'Metadata'!$B$5)^(O15-1))</x:f>
        <x:v>1819.7008586099826</x:v>
      </x:c>
      <x:c r="U15" s="31" t="n">
        <x:f>IF(T15="","",I15*T15)</x:f>
        <x:v>488.3479312760431</x:v>
      </x:c>
    </x:row>
    <x:row r="16" ht="18" customHeight="1">
      <x:c r="A16" s="24" t="str">
        <x:v>EEZ_908</x:v>
      </x:c>
      <x:c r="B16" s="24" t="str">
        <x:v>Saba and Sint Eustatius (Netherlands)</x:v>
      </x:c>
      <x:c r="C16" s="24" t="str">
        <x:v>EEZ</x:v>
      </x:c>
      <x:c r="D16" s="30" t="n">
        <x:v>2019</x:v>
      </x:c>
      <x:c r="E16" s="24" t="str">
        <x:v>Makaira nigricans</x:v>
      </x:c>
      <x:c r="F16" s="24" t="str">
        <x:v>Blue marlin</x:v>
      </x:c>
      <x:c r="G16" s="24" t="str">
        <x:v>Large pelagics (&gt;=90 cm)</x:v>
      </x:c>
      <x:c r="H16" s="24" t="str">
        <x:v>Tuna &amp; billfishes</x:v>
      </x:c>
      <x:c r="I16" s="31" t="n">
        <x:v>0.2683671489</x:v>
      </x:c>
      <x:c r="J16" s="31" t="n">
        <x:v>0.2683671489</x:v>
      </x:c>
      <x:c r="K16" s="31" t="n">
        <x:v>0</x:v>
      </x:c>
      <x:c r="L16" s="31" t="n">
        <x:v>0</x:v>
      </x:c>
      <x:c r="M16" s="31" t="n">
        <x:v>0.2683671489</x:v>
      </x:c>
      <x:c r="N16" s="24" t="str">
        <x:v>makaira nigricans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Makaira nigricans</x:v>
      </x:c>
      <x:c r="T16" s="32" t="n">
        <x:f>IF(O16="","",(1/'Metadata'!$B$5)^(O16-1))</x:f>
        <x:v>3090.295432513592</x:v>
      </x:c>
      <x:c r="U16" s="31" t="n">
        <x:f>IF(T16="","",I16*T16)</x:f>
        <x:v>829.3337744823651</x:v>
      </x:c>
    </x:row>
    <x:row r="17" ht="18" customHeight="1">
      <x:c r="A17" s="24" t="str">
        <x:v>EEZ_908</x:v>
      </x:c>
      <x:c r="B17" s="24" t="str">
        <x:v>Saba and Sint Eustatius (Netherlands)</x:v>
      </x:c>
      <x:c r="C17" s="24" t="str">
        <x:v>EEZ</x:v>
      </x:c>
      <x:c r="D17" s="30" t="n">
        <x:v>2019</x:v>
      </x:c>
      <x:c r="E17" s="24" t="str">
        <x:v>Istiophorus albicans</x:v>
      </x:c>
      <x:c r="F17" s="24" t="str">
        <x:v>Atlantic sailfish</x:v>
      </x:c>
      <x:c r="G17" s="24" t="str">
        <x:v>Large pelagics (&gt;=90 cm)</x:v>
      </x:c>
      <x:c r="H17" s="24" t="str">
        <x:v>Tuna &amp; billfishes</x:v>
      </x:c>
      <x:c r="I17" s="31" t="n">
        <x:v>0.2683671489</x:v>
      </x:c>
      <x:c r="J17" s="31" t="n">
        <x:v>0.2683671489</x:v>
      </x:c>
      <x:c r="K17" s="31" t="n">
        <x:v>0</x:v>
      </x:c>
      <x:c r="L17" s="31" t="n">
        <x:v>0</x:v>
      </x:c>
      <x:c r="M17" s="31" t="n">
        <x:v>0.2683671489</x:v>
      </x:c>
      <x:c r="N17" s="24" t="str">
        <x:v>istiophorus albicans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Istiophorus albicans</x:v>
      </x:c>
      <x:c r="T17" s="32" t="n">
        <x:f>IF(O17="","",(1/'Metadata'!$B$5)^(O17-1))</x:f>
        <x:v>3162.2776601683795</x:v>
      </x:c>
      <x:c r="U17" s="31" t="n">
        <x:f>IF(T17="","",I17*T17)</x:f>
        <x:v>848.6514396895511</x:v>
      </x:c>
    </x:row>
    <x:row r="18" ht="18" customHeight="1">
      <x:c r="A18" s="24" t="str">
        <x:v>EEZ_908</x:v>
      </x:c>
      <x:c r="B18" s="24" t="str">
        <x:v>Saba and Sint Eustatius (Netherlands)</x:v>
      </x:c>
      <x:c r="C18" s="24" t="str">
        <x:v>EEZ</x:v>
      </x:c>
      <x:c r="D18" s="30" t="n">
        <x:v>2019</x:v>
      </x:c>
      <x:c r="E18" s="24" t="str">
        <x:v>Kajikia albida</x:v>
      </x:c>
      <x:c r="F18" s="24" t="str">
        <x:v>Atlantic white marlin</x:v>
      </x:c>
      <x:c r="G18" s="24" t="str">
        <x:v>Large pelagics (&gt;=90 cm)</x:v>
      </x:c>
      <x:c r="H18" s="24" t="str">
        <x:v>Tuna &amp; billfishes</x:v>
      </x:c>
      <x:c r="I18" s="31" t="n">
        <x:v>0.2683671489</x:v>
      </x:c>
      <x:c r="J18" s="31" t="n">
        <x:v>0.2683671489</x:v>
      </x:c>
      <x:c r="K18" s="31" t="n">
        <x:v>0</x:v>
      </x:c>
      <x:c r="L18" s="31" t="n">
        <x:v>0</x:v>
      </x:c>
      <x:c r="M18" s="31" t="n">
        <x:v>0.2683671489</x:v>
      </x:c>
      <x:c r="N18" s="24" t="str">
        <x:v>kajikia albida</x:v>
      </x:c>
      <x:c r="O18" s="32" t="n">
        <x:v>4.49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Kajikia albida</x:v>
      </x:c>
      <x:c r="T18" s="32" t="n">
        <x:f>IF(O18="","",(1/'Metadata'!$B$5)^(O18-1))</x:f>
        <x:v>3090.295432513592</x:v>
      </x:c>
      <x:c r="U18" s="31" t="n">
        <x:f>IF(T18="","",I18*T18)</x:f>
        <x:v>829.3337744823651</x:v>
      </x:c>
    </x:row>
    <x:row r="19" ht="18" customHeight="1">
      <x:c r="A19" s="24" t="str">
        <x:v>EEZ_908</x:v>
      </x:c>
      <x:c r="B19" s="24" t="str">
        <x:v>Saba and Sint Eustatius (Netherlands)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0.2683671489</x:v>
      </x:c>
      <x:c r="J19" s="31" t="n">
        <x:v>0.2683671489</x:v>
      </x:c>
      <x:c r="K19" s="31" t="n">
        <x:v>0</x:v>
      </x:c>
      <x:c r="L19" s="31" t="n">
        <x:v>0</x:v>
      </x:c>
      <x:c r="M19" s="31" t="n">
        <x:v>0.2683671489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488.3479312760431</x:v>
      </x:c>
    </x:row>
    <x:row r="20" ht="18" customHeight="1">
      <x:c r="A20" s="24" t="str">
        <x:v>EEZ_908</x:v>
      </x:c>
      <x:c r="B20" s="24" t="str">
        <x:v>Saba and Sint Eustatius (Netherlands)</x:v>
      </x:c>
      <x:c r="C20" s="24" t="str">
        <x:v>EEZ</x:v>
      </x:c>
      <x:c r="D20" s="30" t="n">
        <x:v>2019</x:v>
      </x:c>
      <x:c r="E20" s="24" t="str">
        <x:v>Sphyraena</x:v>
      </x:c>
      <x:c r="F20" s="24" t="str">
        <x:v>Barracudas, sennets</x:v>
      </x:c>
      <x:c r="G20" s="24" t="str">
        <x:v>Large pelagics (&gt;=90 cm)</x:v>
      </x:c>
      <x:c r="H20" s="24" t="str">
        <x:v>Perch-likes</x:v>
      </x:c>
      <x:c r="I20" s="31" t="n">
        <x:v>0.2683671489</x:v>
      </x:c>
      <x:c r="J20" s="31" t="n">
        <x:v>0.2683671489</x:v>
      </x:c>
      <x:c r="K20" s="31" t="n">
        <x:v>0</x:v>
      </x:c>
      <x:c r="L20" s="31" t="n">
        <x:v>0</x:v>
      </x:c>
      <x:c r="M20" s="31" t="n">
        <x:v>0.2683671489</x:v>
      </x:c>
      <x:c r="N20" s="24" t="str">
        <x:v>sphyraena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Sphyraena</x:v>
      </x:c>
      <x:c r="T20" s="32" t="n">
        <x:f>IF(O20="","",(1/'Metadata'!$B$5)^(O20-1))</x:f>
        <x:v>2511.886431509582</x:v>
      </x:c>
      <x:c r="U20" s="31" t="n">
        <x:f>IF(T20="","",I20*T20)</x:f>
        <x:v>674.1077999848217</x:v>
      </x:c>
    </x:row>
    <x:row r="21" ht="18" customHeight="1">
      <x:c r="A21" s="24" t="str">
        <x:v>EEZ_908</x:v>
      </x:c>
      <x:c r="B21" s="24" t="str">
        <x:v>Saba and Sint Eustatius (Netherlands)</x:v>
      </x:c>
      <x:c r="C21" s="24" t="str">
        <x:v>EEZ</x:v>
      </x:c>
      <x:c r="D21" s="30" t="n">
        <x:v>2019</x:v>
      </x:c>
      <x:c r="E21" s="24" t="str">
        <x:v>Thunnus albacares</x:v>
      </x:c>
      <x:c r="F21" s="24" t="str">
        <x:v>Yellowfin tuna</x:v>
      </x:c>
      <x:c r="G21" s="24" t="str">
        <x:v>Large pelagics (&gt;=90 cm)</x:v>
      </x:c>
      <x:c r="H21" s="24" t="str">
        <x:v>Tuna &amp; billfishes</x:v>
      </x:c>
      <x:c r="I21" s="31" t="n">
        <x:v>0.2683671489</x:v>
      </x:c>
      <x:c r="J21" s="31" t="n">
        <x:v>0.2683671489</x:v>
      </x:c>
      <x:c r="K21" s="31" t="n">
        <x:v>0</x:v>
      </x:c>
      <x:c r="L21" s="31" t="n">
        <x:v>0</x:v>
      </x:c>
      <x:c r="M21" s="31" t="n">
        <x:v>0.2683671489</x:v>
      </x:c>
      <x:c r="N21" s="24" t="str">
        <x:v>thunnus albacares</x:v>
      </x:c>
      <x:c r="O21" s="32" t="n">
        <x:v>4.41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albacares</x:v>
      </x:c>
      <x:c r="T21" s="32" t="n">
        <x:f>IF(O21="","",(1/'Metadata'!$B$5)^(O21-1))</x:f>
        <x:v>2570.3957827688646</x:v>
      </x:c>
      <x:c r="U21" s="31" t="n">
        <x:f>IF(T21="","",I21*T21)</x:f>
        <x:v>689.809787766264</x:v>
      </x:c>
    </x:row>
    <x:row r="22" ht="18" customHeight="1">
      <x:c r="A22" s="24" t="str">
        <x:v>EEZ_908</x:v>
      </x:c>
      <x:c r="B22" s="24" t="str">
        <x:v>Saba and Sint Eustatius (Netherlands)</x:v>
      </x:c>
      <x:c r="C22" s="24" t="str">
        <x:v>EEZ</x:v>
      </x:c>
      <x:c r="D22" s="30" t="n">
        <x:v>2019</x:v>
      </x:c>
      <x:c r="E22" s="24" t="str">
        <x:v>Thunnus atlanticus</x:v>
      </x:c>
      <x:c r="F22" s="24" t="str">
        <x:v>Blackfin tuna</x:v>
      </x:c>
      <x:c r="G22" s="24" t="str">
        <x:v>Large pelagics (&gt;=90 cm)</x:v>
      </x:c>
      <x:c r="H22" s="24" t="str">
        <x:v>Tuna &amp; billfishes</x:v>
      </x:c>
      <x:c r="I22" s="31" t="n">
        <x:v>0.2683671489</x:v>
      </x:c>
      <x:c r="J22" s="31" t="n">
        <x:v>0.2683671489</x:v>
      </x:c>
      <x:c r="K22" s="31" t="n">
        <x:v>0</x:v>
      </x:c>
      <x:c r="L22" s="31" t="n">
        <x:v>0</x:v>
      </x:c>
      <x:c r="M22" s="31" t="n">
        <x:v>0.2683671489</x:v>
      </x:c>
      <x:c r="N22" s="24" t="str">
        <x:v>thunnus atlanticus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atlanticus</x:v>
      </x:c>
      <x:c r="T22" s="32" t="n">
        <x:f>IF(O22="","",(1/'Metadata'!$B$5)^(O22-1))</x:f>
        <x:v>2238.7211385683377</x:v>
      </x:c>
      <x:c r="U22" s="31" t="n">
        <x:f>IF(T22="","",I22*T22)</x:f>
        <x:v>600.7992091397466</x:v>
      </x:c>
    </x:row>
  </x:sheetData>
  <x:conditionalFormatting sqref="R2:R2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3872534d99d4a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185.2939480298</x:v>
      </x:c>
      <x:c r="E2" s="31" t="n">
        <x:v>185.2939480298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IF(C2=0,"",SUMIF('Species'!$H$2:$H$22,A2,'Species'!$U$2:$U$22))</x:f>
        <x:v>29367.11168366735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29367.11168366735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9.5945885139</x:v>
      </x:c>
      <x:c r="E3" s="31" t="n">
        <x:v>9.5945885139</x:v>
      </x:c>
      <x:c r="F3" s="32" t="n">
        <x:v>0</x:v>
      </x:c>
      <x:c r="G3" s="34" t="n">
        <x:v>1</x:v>
      </x:c>
      <x:c r="H3" s="32" t="n">
        <x:f>IF(E3=0,"",I3/E3)</x:f>
        <x:v>15.488166189124813</x:v>
      </x:c>
      <x:c r="I3" s="31" t="n">
        <x:f>IF(C3=0,"",SUMIF('Species'!$H$2:$H$22,A3,'Species'!$U$2:$U$22))</x:f>
        <x:v>148.60258141955126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148.60258141955126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1</x:v>
      </x:c>
      <x:c r="C4" s="33" t="n">
        <x:v>1</x:v>
      </x:c>
      <x:c r="D4" s="31" t="n">
        <x:v>226.3552310767</x:v>
      </x:c>
      <x:c r="E4" s="31" t="n">
        <x:v>226.3552310767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IF(C4=0,"",SUMIF('Species'!$H$2:$H$22,A4,'Species'!$U$2:$U$22))</x:f>
        <x:v>43131.10011221453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43131.10011221453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Perch-likes</x:v>
      </x:c>
      <x:c r="B5" s="33" t="n">
        <x:v>13</x:v>
      </x:c>
      <x:c r="C5" s="33" t="n">
        <x:v>13</x:v>
      </x:c>
      <x:c r="D5" s="31" t="n">
        <x:v>73.73703382789999</x:v>
      </x:c>
      <x:c r="E5" s="31" t="n">
        <x:v>73.73703382789999</x:v>
      </x:c>
      <x:c r="F5" s="32" t="n">
        <x:v>0</x:v>
      </x:c>
      <x:c r="G5" s="34" t="n">
        <x:v>1</x:v>
      </x:c>
      <x:c r="H5" s="32" t="n">
        <x:f>IF(E5=0,"",I5/E5)</x:f>
        <x:v>633.8382099150541</x:v>
      </x:c>
      <x:c r="I5" s="31" t="n">
        <x:f>IF(C5=0,"",SUMIF('Species'!$H$2:$H$22,A5,'Species'!$U$2:$U$22))</x:f>
        <x:v>46737.34952592192</x:v>
      </x:c>
      <x:c r="J5" s="32" t="n">
        <x:v>3.5862845164696138</x:v>
      </x:c>
      <x:c r="K5" s="32" t="n">
        <x:f>IF(J5="","",(1/'Metadata'!$B$5)^(J5-1))</x:f>
        <x:v>385.73097629014507</x:v>
      </x:c>
      <x:c r="L5" s="31" t="n">
        <x:f>IF(E5=0,"",E5*K5)</x:f>
        <x:v>28442.658047175315</x:v>
      </x:c>
      <x:c r="M5" s="31" t="n">
        <x:f>IF(E5=0,"",I5-L5)</x:f>
        <x:v>18294.691478746605</x:v>
      </x:c>
      <x:c r="N5" s="32" t="n">
        <x:f>IF(L5=0,"",I5/L5)</x:f>
        <x:v>1.6432131430333559</x:v>
      </x:c>
      <x:c r="O5" s="34" t="n">
        <x:f>IF(L5=0,"",M5/L5)</x:f>
        <x:v>0.6432131430333559</x:v>
      </x:c>
    </x:row>
    <x:row r="6" ht="18" customHeight="1">
      <x:c r="A6" s="24" t="str">
        <x:v>Tuna &amp; billfishes</x:v>
      </x:c>
      <x:c r="B6" s="33" t="n">
        <x:v>5</x:v>
      </x:c>
      <x:c r="C6" s="33" t="n">
        <x:v>5</x:v>
      </x:c>
      <x:c r="D6" s="31" t="n">
        <x:v>1.3418357445</x:v>
      </x:c>
      <x:c r="E6" s="31" t="n">
        <x:v>1.3418357445</x:v>
      </x:c>
      <x:c r="F6" s="32" t="n">
        <x:v>0</x:v>
      </x:c>
      <x:c r="G6" s="34" t="n">
        <x:v>1</x:v>
      </x:c>
      <x:c r="H6" s="32" t="n">
        <x:f>IF(E6=0,"",I6/E6)</x:f>
        <x:v>2830.397089306553</x:v>
      </x:c>
      <x:c r="I6" s="31" t="n">
        <x:f>IF(C6=0,"",SUMIF('Species'!$H$2:$H$22,A6,'Species'!$U$2:$U$22))</x:f>
        <x:v>3797.9279855602917</x:v>
      </x:c>
      <x:c r="J6" s="32" t="n">
        <x:v>4.4479999999999995</x:v>
      </x:c>
      <x:c r="K6" s="32" t="n">
        <x:f>IF(J6="","",(1/'Metadata'!$B$5)^(J6-1))</x:f>
        <x:v>2805.4336379517104</x:v>
      </x:c>
      <x:c r="L6" s="31" t="n">
        <x:f>IF(E6=0,"",E6*K6)</x:f>
        <x:v>3764.4311342262768</x:v>
      </x:c>
      <x:c r="M6" s="31" t="n">
        <x:f>IF(E6=0,"",I6-L6)</x:f>
        <x:v>33.49685133401499</x:v>
      </x:c>
      <x:c r="N6" s="32" t="n">
        <x:f>IF(L6=0,"",I6/L6)</x:f>
        <x:v>1.0088982505296646</x:v>
      </x:c>
      <x:c r="O6" s="34" t="n">
        <x:f>IF(L6=0,"",M6/L6)</x:f>
        <x:v>0.00889825052966463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137098dee1e4c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8</x:v>
      </x:c>
      <x:c r="C2" s="33" t="n">
        <x:v>8</x:v>
      </x:c>
      <x:c r="D2" s="31" t="n">
        <x:v>2.1469371915</x:v>
      </x:c>
      <x:c r="E2" s="31" t="n">
        <x:v>2.1469371915</x:v>
      </x:c>
      <x:c r="F2" s="32" t="n">
        <x:v>0</x:v>
      </x:c>
      <x:c r="G2" s="34" t="n">
        <x:v>1</x:v>
      </x:c>
      <x:c r="H2" s="32" t="n">
        <x:f>IF(E2=0,"",I2/E2)</x:f>
        <x:v>2603.475193960306</x:v>
      </x:c>
      <x:c r="I2" s="31" t="n">
        <x:f>IF(C2=0,"",SUMIF('Species'!$G$2:$G$22,A2,'Species'!$U$2:$U$22))</x:f>
        <x:v>5589.497721061058</x:v>
      </x:c>
      <x:c r="J2" s="32" t="n">
        <x:v>4.408749999994584</x:v>
      </x:c>
      <x:c r="K2" s="32" t="n">
        <x:f>IF(J2="","",(1/'Metadata'!$B$5)^(J2-1))</x:f>
        <x:v>2563.0082256205947</x:v>
      </x:c>
      <x:c r="L2" s="31" t="n">
        <x:f>IF(E2=0,"",E2*K2)</x:f>
        <x:v>5502.617681705278</x:v>
      </x:c>
      <x:c r="M2" s="31" t="n">
        <x:f>IF(E2=0,"",I2-L2)</x:f>
        <x:v>86.88003935577945</x:v>
      </x:c>
      <x:c r="N2" s="32" t="n">
        <x:f>IF(L2=0,"",I2/L2)</x:f>
        <x:v>1.015788856210133</x:v>
      </x:c>
      <x:c r="O2" s="34" t="n">
        <x:f>IF(L2=0,"",M2/L2)</x:f>
        <x:v>0.015788856210132894</x:v>
      </x:c>
    </x:row>
    <x:row r="3" ht="18" customHeight="1">
      <x:c r="A3" s="24" t="str">
        <x:v>Lobsters, crabs</x:v>
      </x:c>
      <x:c r="B3" s="33" t="n">
        <x:v>1</x:v>
      </x:c>
      <x:c r="C3" s="33" t="n">
        <x:v>1</x:v>
      </x:c>
      <x:c r="D3" s="31" t="n">
        <x:v>185.2939480298</x:v>
      </x:c>
      <x:c r="E3" s="31" t="n">
        <x:v>185.2939480298</x:v>
      </x:c>
      <x:c r="F3" s="32" t="n">
        <x:v>0</x:v>
      </x:c>
      <x:c r="G3" s="34" t="n">
        <x:v>1</x:v>
      </x:c>
      <x:c r="H3" s="32" t="n">
        <x:f>IF(E3=0,"",I3/E3)</x:f>
        <x:v>158.48931924611142</x:v>
      </x:c>
      <x:c r="I3" s="31" t="n">
        <x:f>IF(C3=0,"",SUMIF('Species'!$G$2:$G$22,A3,'Species'!$U$2:$U$22))</x:f>
        <x:v>29367.11168366735</x:v>
      </x:c>
      <x:c r="J3" s="32" t="n">
        <x:v>3.2</x:v>
      </x:c>
      <x:c r="K3" s="32" t="n">
        <x:f>IF(J3="","",(1/'Metadata'!$B$5)^(J3-1))</x:f>
        <x:v>158.48931924611142</x:v>
      </x:c>
      <x:c r="L3" s="31" t="n">
        <x:f>IF(E3=0,"",E3*K3)</x:f>
        <x:v>29367.11168366735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demersals (30 - 89 cm)</x:v>
      </x:c>
      <x:c r="B4" s="33" t="n">
        <x:v>4</x:v>
      </x:c>
      <x:c r="C4" s="33" t="n">
        <x:v>4</x:v>
      </x:c>
      <x:c r="D4" s="31" t="n">
        <x:v>264.3943194457</x:v>
      </x:c>
      <x:c r="E4" s="31" t="n">
        <x:v>264.3943194457</x:v>
      </x:c>
      <x:c r="F4" s="32" t="n">
        <x:v>0</x:v>
      </x:c>
      <x:c r="G4" s="34" t="n">
        <x:v>1</x:v>
      </x:c>
      <x:c r="H4" s="32" t="n">
        <x:f>IF(E4=0,"",I4/E4)</x:f>
        <x:v>201.02792589775973</x:v>
      </x:c>
      <x:c r="I4" s="31" t="n">
        <x:f>IF(C4=0,"",SUMIF('Species'!$G$2:$G$22,A4,'Species'!$U$2:$U$22))</x:f>
        <x:v>53150.64165731879</x:v>
      </x:c>
      <x:c r="J4" s="32" t="n">
        <x:v>3.2677213007792827</x:v>
      </x:c>
      <x:c r="K4" s="32" t="n">
        <x:f>IF(J4="","",(1/'Metadata'!$B$5)^(J4-1))</x:f>
        <x:v>185.2342540604436</x:v>
      </x:c>
      <x:c r="L4" s="31" t="n">
        <x:f>IF(E4=0,"",E4*K4)</x:f>
        <x:v>48974.88454034287</x:v>
      </x:c>
      <x:c r="M4" s="31" t="n">
        <x:f>IF(E4=0,"",I4-L4)</x:f>
        <x:v>4175.757116975918</x:v>
      </x:c>
      <x:c r="N4" s="32" t="n">
        <x:f>IF(L4=0,"",I4/L4)</x:f>
        <x:v>1.0852632355577307</x:v>
      </x:c>
      <x:c r="O4" s="34" t="n">
        <x:f>IF(L4=0,"",M4/L4)</x:f>
        <x:v>0.0852632355577307</x:v>
      </x:c>
    </x:row>
    <x:row r="5" ht="18" customHeight="1">
      <x:c r="A5" s="24" t="str">
        <x:v>Medium pelagics (30 - 89 cm)</x:v>
      </x:c>
      <x:c r="B5" s="33" t="n">
        <x:v>1</x:v>
      </x:c>
      <x:c r="C5" s="33" t="n">
        <x:v>1</x:v>
      </x:c>
      <x:c r="D5" s="31" t="n">
        <x:v>0.2683671489</x:v>
      </x:c>
      <x:c r="E5" s="31" t="n">
        <x:v>0.2683671489</x:v>
      </x:c>
      <x:c r="F5" s="32" t="n">
        <x:v>0</x:v>
      </x:c>
      <x:c r="G5" s="34" t="n">
        <x:v>1</x:v>
      </x:c>
      <x:c r="H5" s="32" t="n">
        <x:f>IF(E5=0,"",I5/E5)</x:f>
        <x:v>1819.7008586099826</x:v>
      </x:c>
      <x:c r="I5" s="31" t="n">
        <x:f>IF(C5=0,"",SUMIF('Species'!$G$2:$G$22,A5,'Species'!$U$2:$U$22))</x:f>
        <x:v>488.3479312760431</x:v>
      </x:c>
      <x:c r="J5" s="32" t="n">
        <x:v>4.26</x:v>
      </x:c>
      <x:c r="K5" s="32" t="n">
        <x:f>IF(J5="","",(1/'Metadata'!$B$5)^(J5-1))</x:f>
        <x:v>1819.7008586099826</x:v>
      </x:c>
      <x:c r="L5" s="31" t="n">
        <x:f>IF(E5=0,"",E5*K5)</x:f>
        <x:v>488.3479312760431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reef assoc. fish (30 - 89 cm)</x:v>
      </x:c>
      <x:c r="B6" s="33" t="n">
        <x:v>6</x:v>
      </x:c>
      <x:c r="C6" s="33" t="n">
        <x:v>6</x:v>
      </x:c>
      <x:c r="D6" s="31" t="n">
        <x:v>34.624476863000005</x:v>
      </x:c>
      <x:c r="E6" s="31" t="n">
        <x:v>34.624476863000005</x:v>
      </x:c>
      <x:c r="F6" s="32" t="n">
        <x:v>0</x:v>
      </x:c>
      <x:c r="G6" s="34" t="n">
        <x:v>1</x:v>
      </x:c>
      <x:c r="H6" s="32" t="n">
        <x:f>IF(E6=0,"",I6/E6)</x:f>
        <x:v>994.6111373841858</x:v>
      </x:c>
      <x:c r="I6" s="31" t="n">
        <x:f>IF(C6=0,"",SUMIF('Species'!$G$2:$G$22,A6,'Species'!$U$2:$U$22))</x:f>
        <x:v>34437.89031404086</x:v>
      </x:c>
      <x:c r="J6" s="32" t="n">
        <x:v>3.9937101063666685</x:v>
      </x:c>
      <x:c r="K6" s="32" t="n">
        <x:f>IF(J6="","",(1/'Metadata'!$B$5)^(J6-1))</x:f>
        <x:v>985.6213590569263</x:v>
      </x:c>
      <x:c r="L6" s="31" t="n">
        <x:f>IF(E6=0,"",E6*K6)</x:f>
        <x:v>34126.62394234516</x:v>
      </x:c>
      <x:c r="M6" s="31" t="n">
        <x:f>IF(E6=0,"",I6-L6)</x:f>
        <x:v>311.26637169569585</x:v>
      </x:c>
      <x:c r="N6" s="32" t="n">
        <x:f>IF(L6=0,"",I6/L6)</x:f>
        <x:v>1.0091209248304656</x:v>
      </x:c>
      <x:c r="O6" s="34" t="n">
        <x:f>IF(L6=0,"",M6/L6)</x:f>
        <x:v>0.009120924830465543</x:v>
      </x:c>
    </x:row>
    <x:row r="7" ht="18" customHeight="1">
      <x:c r="A7" s="24" t="str">
        <x:v>Other demersal invertebrates</x:v>
      </x:c>
      <x:c r="B7" s="33" t="n">
        <x:v>1</x:v>
      </x:c>
      <x:c r="C7" s="33" t="n">
        <x:v>1</x:v>
      </x:c>
      <x:c r="D7" s="31" t="n">
        <x:v>9.5945885139</x:v>
      </x:c>
      <x:c r="E7" s="31" t="n">
        <x:v>9.5945885139</x:v>
      </x:c>
      <x:c r="F7" s="32" t="n">
        <x:v>0</x:v>
      </x:c>
      <x:c r="G7" s="34" t="n">
        <x:v>1</x:v>
      </x:c>
      <x:c r="H7" s="32" t="n">
        <x:f>IF(E7=0,"",I7/E7)</x:f>
        <x:v>15.488166189124813</x:v>
      </x:c>
      <x:c r="I7" s="31" t="n">
        <x:f>IF(C7=0,"",SUMIF('Species'!$G$2:$G$22,A7,'Species'!$U$2:$U$22))</x:f>
        <x:v>148.60258141955126</x:v>
      </x:c>
      <x:c r="J7" s="32" t="n">
        <x:v>2.19</x:v>
      </x:c>
      <x:c r="K7" s="32" t="n">
        <x:f>IF(J7="","",(1/'Metadata'!$B$5)^(J7-1))</x:f>
        <x:v>15.488166189124811</x:v>
      </x:c>
      <x:c r="L7" s="31" t="n">
        <x:f>IF(E7=0,"",E7*K7)</x:f>
        <x:v>148.60258141955126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3e0fbe9388c4e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EEZ_908</x:v>
      </x:c>
      <x:c r="B2" s="24" t="str">
        <x:v>raw_filtered_tonnes</x:v>
      </x:c>
      <x:c r="C2" s="24" t="n">
        <x:v>496.3226371928</x:v>
      </x:c>
      <x:c r="D2" s="24" t="str">
        <x:v>tonnes</x:v>
      </x:c>
    </x:row>
    <x:row r="3" ht="18" customHeight="1">
      <x:c r="A3" s="24" t="str">
        <x:v>EEZ_908</x:v>
      </x:c>
      <x:c r="B3" s="24" t="str">
        <x:v>species_catch_tonnes</x:v>
      </x:c>
      <x:c r="C3" s="24" t="n">
        <x:v>496.3226371927999</x:v>
      </x:c>
      <x:c r="D3" s="24" t="str">
        <x:v>tonnes</x:v>
      </x:c>
    </x:row>
    <x:row r="4" ht="18" customHeight="1">
      <x:c r="A4" s="24" t="str">
        <x:v>EEZ_908</x:v>
      </x:c>
      <x:c r="B4" s="24" t="str">
        <x:v>catch_difference_tonnes</x:v>
      </x:c>
      <x:c r="C4" s="24" t="n">
        <x:v>-1.1368683772161603e-13</x:v>
      </x:c>
      <x:c r="D4" s="24" t="str">
        <x:v>tonnes</x:v>
      </x:c>
    </x:row>
    <x:row r="5" ht="18" customHeight="1">
      <x:c r="A5" s="24" t="str">
        <x:v>EEZ_908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EEZ_908</x:v>
      </x:c>
      <x:c r="B6" s="24" t="str">
        <x:v>matched_catch_tonnes</x:v>
      </x:c>
      <x:c r="C6" s="24" t="n">
        <x:v>496.3226371927999</x:v>
      </x:c>
      <x:c r="D6" s="24" t="str">
        <x:v>tonnes</x:v>
      </x:c>
    </x:row>
    <x:row r="7" ht="18" customHeight="1">
      <x:c r="A7" s="24" t="str">
        <x:v>EEZ_908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EEZ_908</x:v>
      </x:c>
      <x:c r="B8" s="24" t="str">
        <x:v>taxa_count</x:v>
      </x:c>
      <x:c r="C8" s="24" t="n">
        <x:v>21</x:v>
      </x:c>
      <x:c r="D8" s="24" t="str">
        <x:v>count</x:v>
      </x:c>
    </x:row>
    <x:row r="9" ht="18" customHeight="1">
      <x:c r="A9" s="24" t="str">
        <x:v>EEZ_908</x:v>
      </x:c>
      <x:c r="B9" s="24" t="str">
        <x:v>matched_taxa_count</x:v>
      </x:c>
      <x:c r="C9" s="24" t="n">
        <x:v>21</x:v>
      </x:c>
      <x:c r="D9" s="24" t="str">
        <x:v>count</x:v>
      </x:c>
    </x:row>
    <x:row r="10" ht="18" customHeight="1">
      <x:c r="A10" s="24" t="str">
        <x:v>EEZ_908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EEZ_908</x:v>
      </x:c>
      <x:c r="B11" s="24" t="str">
        <x:v>species_ppr</x:v>
      </x:c>
      <x:c r="C11" s="24" t="n">
        <x:v>123182.09188878365</x:v>
      </x:c>
      <x:c r="D11" s="24" t="str">
        <x:v>tonnes_primary_production_equivalent</x:v>
      </x:c>
    </x:row>
    <x:row r="12" ht="18" customHeight="1">
      <x:c r="A12" s="24" t="str">
        <x:v>EEZ_908</x:v>
      </x:c>
      <x:c r="B12" s="24" t="str">
        <x:v>commercial_ppr</x:v>
      </x:c>
      <x:c r="C12" s="24" t="n">
        <x:v>123182.09188878366</x:v>
      </x:c>
      <x:c r="D12" s="24" t="str">
        <x:v>tonnes_primary_production_equivalent</x:v>
      </x:c>
    </x:row>
    <x:row r="13" ht="18" customHeight="1">
      <x:c r="A13" s="24" t="str">
        <x:v>EEZ_908</x:v>
      </x:c>
      <x:c r="B13" s="24" t="str">
        <x:v>functional_ppr</x:v>
      </x:c>
      <x:c r="C13" s="24" t="n">
        <x:v>123182.09188878365</x:v>
      </x:c>
      <x:c r="D13" s="24" t="str">
        <x:v>tonnes_primary_production_equivalent</x:v>
      </x:c>
    </x:row>
    <x:row r="14" ht="18" customHeight="1">
      <x:c r="A14" s="24" t="str">
        <x:v>EEZ_908</x:v>
      </x:c>
      <x:c r="B14" s="24" t="str">
        <x:v>commercial_ppr_difference</x:v>
      </x:c>
      <x:c r="C14" s="24" t="n">
        <x:v>1.4551915228366852e-11</x:v>
      </x:c>
      <x:c r="D14" s="24" t="str">
        <x:v>tonnes_primary_production_equivalent</x:v>
      </x:c>
    </x:row>
    <x:row r="15" ht="18" customHeight="1">
      <x:c r="A15" s="24" t="str">
        <x:v>EEZ_908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EEZ_908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7eef6a87f5445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EEZ_908 - Saba and Sint Eustatius (Netherlands)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