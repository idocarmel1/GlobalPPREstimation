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6a1a45321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a9ed7c4749149a2"/>
    <x:sheet xmlns:r="http://schemas.openxmlformats.org/officeDocument/2006/relationships" name="Commercial" sheetId="2" r:id="Rc205e12bf03b4286"/>
    <x:sheet xmlns:r="http://schemas.openxmlformats.org/officeDocument/2006/relationships" name="Functional" sheetId="3" r:id="R706d16765484401b"/>
    <x:sheet xmlns:r="http://schemas.openxmlformats.org/officeDocument/2006/relationships" name="Missing TL" sheetId="4" r:id="Rd7f6322bad8d4a67"/>
    <x:sheet xmlns:r="http://schemas.openxmlformats.org/officeDocument/2006/relationships" name="Validation" sheetId="5" r:id="R214c8c3d05384873"/>
    <x:sheet xmlns:r="http://schemas.openxmlformats.org/officeDocument/2006/relationships" name="Metadata" sheetId="6" r:id="R6fbc1c35cd454f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8f62795fb4899" /><Relationship Type="http://schemas.openxmlformats.org/officeDocument/2006/relationships/theme" Target="/xl/theme/theme1.xml" Id="Rb5b80ffd5a564024" /><Relationship Type="http://schemas.microsoft.com/office/2022/11/relationships/FeaturePropertyBag" Target="/xl/featurePropertyBag/featurePropertyBag.xml" Id="R942a7fecd1cb43f9" /><Relationship Type="http://schemas.openxmlformats.org/officeDocument/2006/relationships/sharedStrings" Target="/xl/sharedStrings.xml" Id="Rdfc166fbeae2437e" /><Relationship Type="http://schemas.openxmlformats.org/officeDocument/2006/relationships/worksheet" Target="/xl/worksheets/sheet1.xml" Id="Rba9ed7c4749149a2" /><Relationship Type="http://schemas.openxmlformats.org/officeDocument/2006/relationships/worksheet" Target="/xl/worksheets/sheet2.xml" Id="Rc205e12bf03b4286" /><Relationship Type="http://schemas.openxmlformats.org/officeDocument/2006/relationships/worksheet" Target="/xl/worksheets/sheet3.xml" Id="R706d16765484401b" /><Relationship Type="http://schemas.openxmlformats.org/officeDocument/2006/relationships/worksheet" Target="/xl/worksheets/sheet4.xml" Id="Rd7f6322bad8d4a67" /><Relationship Type="http://schemas.openxmlformats.org/officeDocument/2006/relationships/worksheet" Target="/xl/worksheets/sheet5.xml" Id="R214c8c3d05384873" /><Relationship Type="http://schemas.openxmlformats.org/officeDocument/2006/relationships/worksheet" Target="/xl/worksheets/sheet6.xml" Id="R6fbc1c35cd454f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63SpeciesTable" displayName="EEZ463SpeciesTable" ref="A1:U143" headerRowCount="1" totalsRowCount="0" totalsRowShown="0">
  <x:autoFilter ref="A1:U14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63CommercialTable" displayName="EEZ463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63FunctionalTable" displayName="EEZ463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63ValidationTable" displayName="EEZ46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7e69af43d646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84bbb4c36843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20226b0ba342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15aff52e764a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EEZ_463</x:v>
      </x:c>
      <x:c r="B2" s="24" t="str">
        <x:v>Malaysia (Sarawak)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15617.6376911433</x:v>
      </x:c>
      <x:c r="J2" s="31" t="n">
        <x:v>15356.222395802999</x:v>
      </x:c>
      <x:c r="K2" s="31" t="n">
        <x:v>261.41529534029996</x:v>
      </x:c>
      <x:c r="L2" s="31" t="n">
        <x:v>12573.1104282037</x:v>
      </x:c>
      <x:c r="M2" s="31" t="n">
        <x:v>3044.5272629396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2975879.512785577</x:v>
      </x:c>
    </x:row>
    <x:row r="3" ht="18" customHeight="1">
      <x:c r="A3" s="24" t="str">
        <x:v>EEZ_463</x:v>
      </x:c>
      <x:c r="B3" s="24" t="str">
        <x:v>Malaysia (Sarawak)</x:v>
      </x:c>
      <x:c r="C3" s="24" t="str">
        <x:v>EEZ</x:v>
      </x:c>
      <x:c r="D3" s="30" t="n">
        <x:v>2019</x:v>
      </x:c>
      <x:c r="E3" s="24" t="str">
        <x:v>Pennahia</x:v>
      </x:c>
      <x:c r="F3" s="24" t="str">
        <x:v>Pennah croakers</x:v>
      </x:c>
      <x:c r="G3" s="24" t="str">
        <x:v>Medium benthopelagics (30 - 89 cm)</x:v>
      </x:c>
      <x:c r="H3" s="24" t="str">
        <x:v>Perch-likes</x:v>
      </x:c>
      <x:c r="I3" s="31" t="n">
        <x:v>7420.1046058556</x:v>
      </x:c>
      <x:c r="J3" s="31" t="n">
        <x:v>7420.1046058556</x:v>
      </x:c>
      <x:c r="K3" s="31" t="n">
        <x:v>0</x:v>
      </x:c>
      <x:c r="L3" s="31" t="n">
        <x:v>5139.3712809719</x:v>
      </x:c>
      <x:c r="M3" s="31" t="n">
        <x:v>2280.7333248837</x:v>
      </x:c>
      <x:c r="N3" s="24" t="str">
        <x:v>pennahia</x:v>
      </x:c>
      <x:c r="O3" s="32" t="n">
        <x:v>3.73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Pennahia</x:v>
      </x:c>
      <x:c r="T3" s="32" t="n">
        <x:f>IF(O3="","",(1/'Metadata'!$B$5)^(O3-1))</x:f>
        <x:v>537.0317963702527</x:v>
      </x:c>
      <x:c r="U3" s="31" t="n">
        <x:f>IF(T3="","",I3*T3)</x:f>
        <x:v>3984832.105737819</x:v>
      </x:c>
    </x:row>
    <x:row r="4" ht="18" customHeight="1">
      <x:c r="A4" s="24" t="str">
        <x:v>EEZ_463</x:v>
      </x:c>
      <x:c r="B4" s="24" t="str">
        <x:v>Malaysia (Sarawak)</x:v>
      </x:c>
      <x:c r="C4" s="24" t="str">
        <x:v>EEZ</x:v>
      </x:c>
      <x:c r="D4" s="30" t="n">
        <x:v>2019</x:v>
      </x:c>
      <x:c r="E4" s="24" t="str">
        <x:v>Nemipterus</x:v>
      </x:c>
      <x:c r="F4" s="24" t="str">
        <x:v>Threadfin breams</x:v>
      </x:c>
      <x:c r="G4" s="24" t="str">
        <x:v>Small demersals (&lt;30 cm)</x:v>
      </x:c>
      <x:c r="H4" s="24" t="str">
        <x:v>Perch-likes</x:v>
      </x:c>
      <x:c r="I4" s="31" t="n">
        <x:v>6983.973948525099</x:v>
      </x:c>
      <x:c r="J4" s="31" t="n">
        <x:v>6978.5199847046</x:v>
      </x:c>
      <x:c r="K4" s="31" t="n">
        <x:v>5.453963820499999</x:v>
      </x:c>
      <x:c r="L4" s="31" t="n">
        <x:v>4210.3356862075</x:v>
      </x:c>
      <x:c r="M4" s="31" t="n">
        <x:v>2773.6382623176</x:v>
      </x:c>
      <x:c r="N4" s="24" t="str">
        <x:v>nemipterus</x:v>
      </x:c>
      <x:c r="O4" s="32" t="n">
        <x:v>3.72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Nemipterus</x:v>
      </x:c>
      <x:c r="T4" s="32" t="n">
        <x:f>IF(O4="","",(1/'Metadata'!$B$5)^(O4-1))</x:f>
        <x:v>524.8074602497728</x:v>
      </x:c>
      <x:c r="U4" s="31" t="n">
        <x:f>IF(T4="","",I4*T4)</x:f>
        <x:v>3665241.630376035</x:v>
      </x:c>
    </x:row>
    <x:row r="5" ht="18" customHeight="1">
      <x:c r="A5" s="24" t="str">
        <x:v>EEZ_463</x:v>
      </x:c>
      <x:c r="B5" s="24" t="str">
        <x:v>Malaysia (Sarawak)</x:v>
      </x:c>
      <x:c r="C5" s="24" t="str">
        <x:v>EEZ</x:v>
      </x:c>
      <x:c r="D5" s="30" t="n">
        <x:v>2019</x:v>
      </x:c>
      <x:c r="E5" s="24" t="str">
        <x:v>Rastrelliger</x:v>
      </x:c>
      <x:c r="F5" s="24" t="str">
        <x:v>Indian mackerels</x:v>
      </x:c>
      <x:c r="G5" s="24" t="str">
        <x:v>Medium pelagics (30 - 89 cm)</x:v>
      </x:c>
      <x:c r="H5" s="24" t="str">
        <x:v>Perch-likes</x:v>
      </x:c>
      <x:c r="I5" s="31" t="n">
        <x:v>6931.4020750414</x:v>
      </x:c>
      <x:c r="J5" s="31" t="n">
        <x:v>6931.4020750414</x:v>
      </x:c>
      <x:c r="K5" s="31" t="n">
        <x:v>0</x:v>
      </x:c>
      <x:c r="L5" s="31" t="n">
        <x:v>4039.5658383282</x:v>
      </x:c>
      <x:c r="M5" s="31" t="n">
        <x:v>2891.8362367132</x:v>
      </x:c>
      <x:c r="N5" s="24" t="str">
        <x:v>rastrelliger</x:v>
      </x:c>
      <x:c r="O5" s="32" t="n">
        <x:v>3.1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Rastrelliger</x:v>
      </x:c>
      <x:c r="T5" s="32" t="n">
        <x:f>IF(O5="","",(1/'Metadata'!$B$5)^(O5-1))</x:f>
        <x:v>125.89254117941675</x:v>
      </x:c>
      <x:c r="U5" s="31" t="n">
        <x:f>IF(T5="","",I5*T5)</x:f>
        <x:v>872611.8211632442</x:v>
      </x:c>
    </x:row>
    <x:row r="6" ht="18" customHeight="1">
      <x:c r="A6" s="24" t="str">
        <x:v>EEZ_463</x:v>
      </x:c>
      <x:c r="B6" s="24" t="str">
        <x:v>Malaysia (Sarawak)</x:v>
      </x:c>
      <x:c r="C6" s="24" t="str">
        <x:v>EEZ</x:v>
      </x:c>
      <x:c r="D6" s="30" t="n">
        <x:v>2019</x:v>
      </x:c>
      <x:c r="E6" s="24" t="str">
        <x:v>Scomberomorus</x:v>
      </x:c>
      <x:c r="F6" s="24" t="str">
        <x:v>Spanish mackerels</x:v>
      </x:c>
      <x:c r="G6" s="24" t="str">
        <x:v>Large pelagics (&gt;=90 cm)</x:v>
      </x:c>
      <x:c r="H6" s="24" t="str">
        <x:v>Perch-likes</x:v>
      </x:c>
      <x:c r="I6" s="31" t="n">
        <x:v>6880.472085388899</x:v>
      </x:c>
      <x:c r="J6" s="31" t="n">
        <x:v>6880.472085388899</x:v>
      </x:c>
      <x:c r="K6" s="31" t="n">
        <x:v>0</x:v>
      </x:c>
      <x:c r="L6" s="31" t="n">
        <x:v>4456.806942264099</x:v>
      </x:c>
      <x:c r="M6" s="31" t="n">
        <x:v>2423.6651431248</x:v>
      </x:c>
      <x:c r="N6" s="24" t="str">
        <x:v>scomberomorus</x:v>
      </x:c>
      <x:c r="O6" s="32" t="n">
        <x:v>4.35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Scomberomorus</x:v>
      </x:c>
      <x:c r="T6" s="32" t="n">
        <x:f>IF(O6="","",(1/'Metadata'!$B$5)^(O6-1))</x:f>
        <x:v>2238.7211385683377</x:v>
      </x:c>
      <x:c r="U6" s="31" t="n">
        <x:f>IF(T6="","",I6*T6)</x:f>
        <x:v>15403458.300889501</x:v>
      </x:c>
    </x:row>
    <x:row r="7" ht="18" customHeight="1">
      <x:c r="A7" s="24" t="str">
        <x:v>EEZ_463</x:v>
      </x:c>
      <x:c r="B7" s="24" t="str">
        <x:v>Malaysia (Sarawak)</x:v>
      </x:c>
      <x:c r="C7" s="24" t="str">
        <x:v>EEZ</x:v>
      </x:c>
      <x:c r="D7" s="30" t="n">
        <x:v>2019</x:v>
      </x:c>
      <x:c r="E7" s="24" t="str">
        <x:v>Priacanthus</x:v>
      </x:c>
      <x:c r="F7" s="24" t="str">
        <x:v>Bigeyes</x:v>
      </x:c>
      <x:c r="G7" s="24" t="str">
        <x:v>Medium reef assoc. fish (30 - 89 cm)</x:v>
      </x:c>
      <x:c r="H7" s="24" t="str">
        <x:v>Perch-likes</x:v>
      </x:c>
      <x:c r="I7" s="31" t="n">
        <x:v>6548.9455058199</x:v>
      </x:c>
      <x:c r="J7" s="31" t="n">
        <x:v>6544.7829403293</x:v>
      </x:c>
      <x:c r="K7" s="31" t="n">
        <x:v>4.1625654906000005</x:v>
      </x:c>
      <x:c r="L7" s="31" t="n">
        <x:v>3894.9493408854</x:v>
      </x:c>
      <x:c r="M7" s="31" t="n">
        <x:v>2653.9961649345</x:v>
      </x:c>
      <x:c r="N7" s="24" t="str">
        <x:v>priacanthus</x:v>
      </x:c>
      <x:c r="O7" s="32" t="n">
        <x:v>3.81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Priacanthus</x:v>
      </x:c>
      <x:c r="T7" s="32" t="n">
        <x:f>IF(O7="","",(1/'Metadata'!$B$5)^(O7-1))</x:f>
        <x:v>645.6542290346556</x:v>
      </x:c>
      <x:c r="U7" s="31" t="n">
        <x:f>IF(T7="","",I7*T7)</x:f>
        <x:v>4228354.361550121</x:v>
      </x:c>
    </x:row>
    <x:row r="8" ht="18" customHeight="1">
      <x:c r="A8" s="24" t="str">
        <x:v>EEZ_463</x:v>
      </x:c>
      <x:c r="B8" s="24" t="str">
        <x:v>Malaysia (Sarawak)</x:v>
      </x:c>
      <x:c r="C8" s="24" t="str">
        <x:v>EEZ</x:v>
      </x:c>
      <x:c r="D8" s="30" t="n">
        <x:v>2019</x:v>
      </x:c>
      <x:c r="E8" s="24" t="str">
        <x:v>Rhizostomeae</x:v>
      </x:c>
      <x:c r="F8" s="24" t="str">
        <x:v>Oral arm jellyfishes</x:v>
      </x:c>
      <x:c r="G8" s="24" t="str">
        <x:v>Jellyfish</x:v>
      </x:c>
      <x:c r="H8" s="24" t="str">
        <x:v>Other fishes &amp; inverts</x:v>
      </x:c>
      <x:c r="I8" s="31" t="n">
        <x:v>6428.1066666666</x:v>
      </x:c>
      <x:c r="J8" s="31" t="n">
        <x:v>6428.1066666666</x:v>
      </x:c>
      <x:c r="K8" s="31" t="n">
        <x:v>0</x:v>
      </x:c>
      <x:c r="L8" s="31" t="n">
        <x:v>6428.1066666666</x:v>
      </x:c>
      <x:c r="M8" s="31" t="n">
        <x:v>0</x:v>
      </x:c>
      <x:c r="N8" s="24" t="str">
        <x:v>rhizostomeae</x:v>
      </x:c>
      <x:c r="O8" s="32" t="n">
        <x:v>3.46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Rhizostomeae</x:v>
      </x:c>
      <x:c r="T8" s="32" t="n">
        <x:f>IF(O8="","",(1/'Metadata'!$B$5)^(O8-1))</x:f>
        <x:v>288.40315031266056</x:v>
      </x:c>
      <x:c r="U8" s="31" t="n">
        <x:f>IF(T8="","",I8*T8)</x:f>
        <x:v>1853886.2132124628</x:v>
      </x:c>
    </x:row>
    <x:row r="9" ht="18" customHeight="1">
      <x:c r="A9" s="24" t="str">
        <x:v>EEZ_463</x:v>
      </x:c>
      <x:c r="B9" s="24" t="str">
        <x:v>Malaysia (Sarawak)</x:v>
      </x:c>
      <x:c r="C9" s="24" t="str">
        <x:v>EEZ</x:v>
      </x:c>
      <x:c r="D9" s="30" t="n">
        <x:v>2019</x:v>
      </x:c>
      <x:c r="E9" s="24" t="str">
        <x:v>Ariidae</x:v>
      </x:c>
      <x:c r="F9" s="24" t="str">
        <x:v>Sea catfishes, coblers</x:v>
      </x:c>
      <x:c r="G9" s="24" t="str">
        <x:v>Medium demersals (30 - 89 cm)</x:v>
      </x:c>
      <x:c r="H9" s="24" t="str">
        <x:v>Other fishes &amp; inverts</x:v>
      </x:c>
      <x:c r="I9" s="31" t="n">
        <x:v>6090.7135819894</x:v>
      </x:c>
      <x:c r="J9" s="31" t="n">
        <x:v>6090.7135819894</x:v>
      </x:c>
      <x:c r="K9" s="31" t="n">
        <x:v>0</x:v>
      </x:c>
      <x:c r="L9" s="31" t="n">
        <x:v>4048.8789247223</x:v>
      </x:c>
      <x:c r="M9" s="31" t="n">
        <x:v>2041.8346572670998</x:v>
      </x:c>
      <x:c r="N9" s="24" t="str">
        <x:v>ariidae</x:v>
      </x:c>
      <x:c r="O9" s="32" t="n">
        <x:v>3.48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Ariidae</x:v>
      </x:c>
      <x:c r="T9" s="32" t="n">
        <x:f>IF(O9="","",(1/'Metadata'!$B$5)^(O9-1))</x:f>
        <x:v>301.9951720402016</x:v>
      </x:c>
      <x:c r="U9" s="31" t="n">
        <x:f>IF(T9="","",I9*T9)</x:f>
        <x:v>1839366.0960404815</x:v>
      </x:c>
    </x:row>
    <x:row r="10" ht="18" customHeight="1">
      <x:c r="A10" s="24" t="str">
        <x:v>EEZ_463</x:v>
      </x:c>
      <x:c r="B10" s="24" t="str">
        <x:v>Malaysia (Sarawak)</x:v>
      </x:c>
      <x:c r="C10" s="24" t="str">
        <x:v>EEZ</x:v>
      </x:c>
      <x:c r="D10" s="30" t="n">
        <x:v>2019</x:v>
      </x:c>
      <x:c r="E10" s="24" t="str">
        <x:v>Decapterus</x:v>
      </x:c>
      <x:c r="F10" s="24" t="str">
        <x:v>Scads</x:v>
      </x:c>
      <x:c r="G10" s="24" t="str">
        <x:v>Medium pelagics (30 - 89 cm)</x:v>
      </x:c>
      <x:c r="H10" s="24" t="str">
        <x:v>Perch-likes</x:v>
      </x:c>
      <x:c r="I10" s="31" t="n">
        <x:v>6062.8751298154</x:v>
      </x:c>
      <x:c r="J10" s="31" t="n">
        <x:v>6062.8751298154</x:v>
      </x:c>
      <x:c r="K10" s="31" t="n">
        <x:v>0</x:v>
      </x:c>
      <x:c r="L10" s="31" t="n">
        <x:v>4318.4414693042</x:v>
      </x:c>
      <x:c r="M10" s="31" t="n">
        <x:v>1744.4336605111998</x:v>
      </x:c>
      <x:c r="N10" s="24" t="str">
        <x:v>decapterus</x:v>
      </x:c>
      <x:c r="O10" s="32" t="n">
        <x:v>3.63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Decapterus</x:v>
      </x:c>
      <x:c r="T10" s="32" t="n">
        <x:f>IF(O10="","",(1/'Metadata'!$B$5)^(O10-1))</x:f>
        <x:v>426.57951880159254</x:v>
      </x:c>
      <x:c r="U10" s="31" t="n">
        <x:f>IF(T10="","",I10*T10)</x:f>
        <x:v>2586298.3554307963</x:v>
      </x:c>
    </x:row>
    <x:row r="11" ht="18" customHeight="1">
      <x:c r="A11" s="24" t="str">
        <x:v>EEZ_463</x:v>
      </x:c>
      <x:c r="B11" s="24" t="str">
        <x:v>Malaysia (Sarawak)</x:v>
      </x:c>
      <x:c r="C11" s="24" t="str">
        <x:v>EEZ</x:v>
      </x:c>
      <x:c r="D11" s="30" t="n">
        <x:v>2019</x:v>
      </x:c>
      <x:c r="E11" s="24" t="str">
        <x:v>Upeneus</x:v>
      </x:c>
      <x:c r="F11" s="24" t="str">
        <x:v>Upeneid goatfishes</x:v>
      </x:c>
      <x:c r="G11" s="24" t="str">
        <x:v>Small reef assoc. fish (&lt;30 cm)</x:v>
      </x:c>
      <x:c r="H11" s="24" t="str">
        <x:v>Perch-likes</x:v>
      </x:c>
      <x:c r="I11" s="31" t="n">
        <x:v>5697.1047882536</x:v>
      </x:c>
      <x:c r="J11" s="31" t="n">
        <x:v>5696.1895253591</x:v>
      </x:c>
      <x:c r="K11" s="31" t="n">
        <x:v>0.9152628945</x:v>
      </x:c>
      <x:c r="L11" s="31" t="n">
        <x:v>4103.856990994</x:v>
      </x:c>
      <x:c r="M11" s="31" t="n">
        <x:v>1593.2477972595998</x:v>
      </x:c>
      <x:c r="N11" s="24" t="str">
        <x:v>upeneus</x:v>
      </x:c>
      <x:c r="O11" s="32" t="n">
        <x:v>3.54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Upeneus</x:v>
      </x:c>
      <x:c r="T11" s="32" t="n">
        <x:f>IF(O11="","",(1/'Metadata'!$B$5)^(O11-1))</x:f>
        <x:v>346.73685045253166</x:v>
      </x:c>
      <x:c r="U11" s="31" t="n">
        <x:f>IF(T11="","",I11*T11)</x:f>
        <x:v>1975396.1709770907</x:v>
      </x:c>
    </x:row>
    <x:row r="12" ht="18" customHeight="1">
      <x:c r="A12" s="24" t="str">
        <x:v>EEZ_463</x:v>
      </x:c>
      <x:c r="B12" s="24" t="str">
        <x:v>Malaysia (Sarawak)</x:v>
      </x:c>
      <x:c r="C12" s="24" t="str">
        <x:v>EEZ</x:v>
      </x:c>
      <x:c r="D12" s="30" t="n">
        <x:v>2019</x:v>
      </x:c>
      <x:c r="E12" s="24" t="str">
        <x:v>Saurida</x:v>
      </x:c>
      <x:c r="F12" s="24" t="str">
        <x:v>Lizardfishes</x:v>
      </x:c>
      <x:c r="G12" s="24" t="str">
        <x:v>Medium demersals (30 - 89 cm)</x:v>
      </x:c>
      <x:c r="H12" s="24" t="str">
        <x:v>Other fishes &amp; inverts</x:v>
      </x:c>
      <x:c r="I12" s="31" t="n">
        <x:v>4526.8385242061995</x:v>
      </x:c>
      <x:c r="J12" s="31" t="n">
        <x:v>4526.8385242061995</x:v>
      </x:c>
      <x:c r="K12" s="31" t="n">
        <x:v>0</x:v>
      </x:c>
      <x:c r="L12" s="31" t="n">
        <x:v>2528.9369647128</x:v>
      </x:c>
      <x:c r="M12" s="31" t="n">
        <x:v>1997.9015594933999</x:v>
      </x:c>
      <x:c r="N12" s="24" t="str">
        <x:v>saurida</x:v>
      </x:c>
      <x:c r="O12" s="32" t="n">
        <x:v>4.35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Saurida</x:v>
      </x:c>
      <x:c r="T12" s="32" t="n">
        <x:f>IF(O12="","",(1/'Metadata'!$B$5)^(O12-1))</x:f>
        <x:v>2238.7211385683377</x:v>
      </x:c>
      <x:c r="U12" s="31" t="n">
        <x:f>IF(T12="","",I12*T12)</x:f>
        <x:v>10134329.095025916</x:v>
      </x:c>
    </x:row>
    <x:row r="13" ht="18" customHeight="1">
      <x:c r="A13" s="24" t="str">
        <x:v>EEZ_463</x:v>
      </x:c>
      <x:c r="B13" s="24" t="str">
        <x:v>Malaysia (Sarawak)</x:v>
      </x:c>
      <x:c r="C13" s="24" t="str">
        <x:v>EEZ</x:v>
      </x:c>
      <x:c r="D13" s="30" t="n">
        <x:v>2019</x:v>
      </x:c>
      <x:c r="E13" s="24" t="str">
        <x:v>Stolephorus</x:v>
      </x:c>
      <x:c r="F13" s="24" t="str">
        <x:v>Garment anchovies</x:v>
      </x:c>
      <x:c r="G13" s="24" t="str">
        <x:v>Small pelagics (&lt;30 cm)</x:v>
      </x:c>
      <x:c r="H13" s="24" t="str">
        <x:v>Anchovies</x:v>
      </x:c>
      <x:c r="I13" s="31" t="n">
        <x:v>4072.4052465915</x:v>
      </x:c>
      <x:c r="J13" s="31" t="n">
        <x:v>4045.8500848255003</x:v>
      </x:c>
      <x:c r="K13" s="31" t="n">
        <x:v>26.555161765999998</x:v>
      </x:c>
      <x:c r="L13" s="31" t="n">
        <x:v>3850.526105233</x:v>
      </x:c>
      <x:c r="M13" s="31" t="n">
        <x:v>221.8791413585</x:v>
      </x:c>
      <x:c r="N13" s="24" t="str">
        <x:v>stolephorus</x:v>
      </x:c>
      <x:c r="O13" s="32" t="n">
        <x:v>3.44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Stolephorus</x:v>
      </x:c>
      <x:c r="T13" s="32" t="n">
        <x:f>IF(O13="","",(1/'Metadata'!$B$5)^(O13-1))</x:f>
        <x:v>275.4228703338166</x:v>
      </x:c>
      <x:c r="U13" s="31" t="n">
        <x:f>IF(T13="","",I13*T13)</x:f>
        <x:v>1121633.5421787251</x:v>
      </x:c>
    </x:row>
    <x:row r="14" ht="18" customHeight="1">
      <x:c r="A14" s="24" t="str">
        <x:v>EEZ_463</x:v>
      </x:c>
      <x:c r="B14" s="24" t="str">
        <x:v>Malaysia (Sarawak)</x:v>
      </x:c>
      <x:c r="C14" s="24" t="str">
        <x:v>EEZ</x:v>
      </x:c>
      <x:c r="D14" s="30" t="n">
        <x:v>2019</x:v>
      </x:c>
      <x:c r="E14" s="24" t="str">
        <x:v>Himantura</x:v>
      </x:c>
      <x:c r="F14" s="24" t="str">
        <x:v>Whiprays</x:v>
      </x:c>
      <x:c r="G14" s="24" t="str">
        <x:v>Large rays (&gt;=90 cm)</x:v>
      </x:c>
      <x:c r="H14" s="24" t="str">
        <x:v>Sharks &amp; rays</x:v>
      </x:c>
      <x:c r="I14" s="31" t="n">
        <x:v>3954.7263161624</x:v>
      </x:c>
      <x:c r="J14" s="31" t="n">
        <x:v>3954.7263161624</x:v>
      </x:c>
      <x:c r="K14" s="31" t="n">
        <x:v>0</x:v>
      </x:c>
      <x:c r="L14" s="31" t="n">
        <x:v>2720.0930537024</x:v>
      </x:c>
      <x:c r="M14" s="31" t="n">
        <x:v>1234.63326246</x:v>
      </x:c>
      <x:c r="N14" s="24" t="str">
        <x:v>himantura</x:v>
      </x:c>
      <x:c r="O14" s="32" t="n">
        <x:v>3.85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Himantura</x:v>
      </x:c>
      <x:c r="T14" s="32" t="n">
        <x:f>IF(O14="","",(1/'Metadata'!$B$5)^(O14-1))</x:f>
        <x:v>707.945784384138</x:v>
      </x:c>
      <x:c r="U14" s="31" t="n">
        <x:f>IF(T14="","",I14*T14)</x:f>
        <x:v>2799731.823920183</x:v>
      </x:c>
    </x:row>
    <x:row r="15" ht="18" customHeight="1">
      <x:c r="A15" s="24" t="str">
        <x:v>EEZ_463</x:v>
      </x:c>
      <x:c r="B15" s="24" t="str">
        <x:v>Malaysia (Sarawak)</x:v>
      </x:c>
      <x:c r="C15" s="24" t="str">
        <x:v>EEZ</x:v>
      </x:c>
      <x:c r="D15" s="30" t="n">
        <x:v>2019</x:v>
      </x:c>
      <x:c r="E15" s="24" t="str">
        <x:v>Apogonidae</x:v>
      </x:c>
      <x:c r="F15" s="24" t="str">
        <x:v>Cardinalfishes</x:v>
      </x:c>
      <x:c r="G15" s="24" t="str">
        <x:v>Small reef assoc. fish (&lt;30 cm)</x:v>
      </x:c>
      <x:c r="H15" s="24" t="str">
        <x:v>Perch-likes</x:v>
      </x:c>
      <x:c r="I15" s="31" t="n">
        <x:v>3679.8320197089</x:v>
      </x:c>
      <x:c r="J15" s="31" t="n">
        <x:v>3652.4368221225</x:v>
      </x:c>
      <x:c r="K15" s="31" t="n">
        <x:v>27.395197586400002</x:v>
      </x:c>
      <x:c r="L15" s="31" t="n">
        <x:v>3652.4368221225</x:v>
      </x:c>
      <x:c r="M15" s="31" t="n">
        <x:v>27.395197586400002</x:v>
      </x:c>
      <x:c r="N15" s="24" t="str">
        <x:v>apogonidae</x:v>
      </x:c>
      <x:c r="O15" s="32" t="n">
        <x:v>3.54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Apogonidae</x:v>
      </x:c>
      <x:c r="T15" s="32" t="n">
        <x:f>IF(O15="","",(1/'Metadata'!$B$5)^(O15-1))</x:f>
        <x:v>346.73685045253166</x:v>
      </x:c>
      <x:c r="U15" s="31" t="n">
        <x:f>IF(T15="","",I15*T15)</x:f>
        <x:v>1275933.3647082425</x:v>
      </x:c>
    </x:row>
    <x:row r="16" ht="18" customHeight="1">
      <x:c r="A16" s="24" t="str">
        <x:v>EEZ_463</x:v>
      </x:c>
      <x:c r="B16" s="24" t="str">
        <x:v>Malaysia (Sarawak)</x:v>
      </x:c>
      <x:c r="C16" s="24" t="str">
        <x:v>EEZ</x:v>
      </x:c>
      <x:c r="D16" s="30" t="n">
        <x:v>2019</x:v>
      </x:c>
      <x:c r="E16" s="24" t="str">
        <x:v>Engraulidae</x:v>
      </x:c>
      <x:c r="F16" s="24" t="str">
        <x:v>Anchovies, round herrings</x:v>
      </x:c>
      <x:c r="G16" s="24" t="str">
        <x:v>Small pelagics (&lt;30 cm)</x:v>
      </x:c>
      <x:c r="H16" s="24" t="str">
        <x:v>Anchovies</x:v>
      </x:c>
      <x:c r="I16" s="31" t="n">
        <x:v>3555.1728725192</x:v>
      </x:c>
      <x:c r="J16" s="31" t="n">
        <x:v>3555.1728725192</x:v>
      </x:c>
      <x:c r="K16" s="31" t="n">
        <x:v>0</x:v>
      </x:c>
      <x:c r="L16" s="31" t="n">
        <x:v>2197.3852493749</x:v>
      </x:c>
      <x:c r="M16" s="31" t="n">
        <x:v>1357.7876231443001</x:v>
      </x:c>
      <x:c r="N16" s="24" t="str">
        <x:v>engraulidae</x:v>
      </x:c>
      <x:c r="O16" s="32" t="n">
        <x:v>3.2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Engraulidae</x:v>
      </x:c>
      <x:c r="T16" s="32" t="n">
        <x:f>IF(O16="","",(1/'Metadata'!$B$5)^(O16-1))</x:f>
        <x:v>158.48931924611142</x:v>
      </x:c>
      <x:c r="U16" s="31" t="n">
        <x:f>IF(T16="","",I16*T16)</x:f>
        <x:v>563456.9283678104</x:v>
      </x:c>
    </x:row>
    <x:row r="17" ht="18" customHeight="1">
      <x:c r="A17" s="24" t="str">
        <x:v>EEZ_463</x:v>
      </x:c>
      <x:c r="B17" s="24" t="str">
        <x:v>Malaysia (Sarawak)</x:v>
      </x:c>
      <x:c r="C17" s="24" t="str">
        <x:v>EEZ</x:v>
      </x:c>
      <x:c r="D17" s="30" t="n">
        <x:v>2019</x:v>
      </x:c>
      <x:c r="E17" s="24" t="str">
        <x:v>Carangidae</x:v>
      </x:c>
      <x:c r="F17" s="24" t="str">
        <x:v>Jacks, pompanos</x:v>
      </x:c>
      <x:c r="G17" s="24" t="str">
        <x:v>Medium pelagics (30 - 89 cm)</x:v>
      </x:c>
      <x:c r="H17" s="24" t="str">
        <x:v>Perch-likes</x:v>
      </x:c>
      <x:c r="I17" s="31" t="n">
        <x:v>3367.891531804</x:v>
      </x:c>
      <x:c r="J17" s="31" t="n">
        <x:v>3366.8775923304</x:v>
      </x:c>
      <x:c r="K17" s="31" t="n">
        <x:v>1.0139394736</x:v>
      </x:c>
      <x:c r="L17" s="31" t="n">
        <x:v>2323.9198693765998</x:v>
      </x:c>
      <x:c r="M17" s="31" t="n">
        <x:v>1043.9716624274</x:v>
      </x:c>
      <x:c r="N17" s="24" t="str">
        <x:v>carangidae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Carangidae</x:v>
      </x:c>
      <x:c r="T17" s="32" t="n">
        <x:f>IF(O17="","",(1/'Metadata'!$B$5)^(O17-1))</x:f>
        <x:v>1122.018454301963</x:v>
      </x:c>
      <x:c r="U17" s="31" t="n">
        <x:f>IF(T17="","",I17*T17)</x:f>
        <x:v>3778836.450771394</x:v>
      </x:c>
    </x:row>
    <x:row r="18" ht="18" customHeight="1">
      <x:c r="A18" s="24" t="str">
        <x:v>EEZ_463</x:v>
      </x:c>
      <x:c r="B18" s="24" t="str">
        <x:v>Malaysia (Sarawak)</x:v>
      </x:c>
      <x:c r="C18" s="24" t="str">
        <x:v>EEZ</x:v>
      </x:c>
      <x:c r="D18" s="30" t="n">
        <x:v>2019</x:v>
      </x:c>
      <x:c r="E18" s="24" t="str">
        <x:v>Synodontidae</x:v>
      </x:c>
      <x:c r="F18" s="24" t="str">
        <x:v>Lizardfishes, sauries</x:v>
      </x:c>
      <x:c r="G18" s="24" t="str">
        <x:v>Medium demersals (30 - 89 cm)</x:v>
      </x:c>
      <x:c r="H18" s="24" t="str">
        <x:v>Other fishes &amp; inverts</x:v>
      </x:c>
      <x:c r="I18" s="31" t="n">
        <x:v>3254.6339860421</x:v>
      </x:c>
      <x:c r="J18" s="31" t="n">
        <x:v>2958.746151861</x:v>
      </x:c>
      <x:c r="K18" s="31" t="n">
        <x:v>295.8878341811</x:v>
      </x:c>
      <x:c r="L18" s="31" t="n">
        <x:v>1870.0055610663999</x:v>
      </x:c>
      <x:c r="M18" s="31" t="n">
        <x:v>1384.6284249757</x:v>
      </x:c>
      <x:c r="N18" s="24" t="str">
        <x:v>synodontidae</x:v>
      </x:c>
      <x:c r="O18" s="32" t="n">
        <x:v>4.3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Synodontidae</x:v>
      </x:c>
      <x:c r="T18" s="32" t="n">
        <x:f>IF(O18="","",(1/'Metadata'!$B$5)^(O18-1))</x:f>
        <x:v>1995.2623149688789</x:v>
      </x:c>
      <x:c r="U18" s="31" t="n">
        <x:f>IF(T18="","",I18*T18)</x:f>
        <x:v>6493848.54136675</x:v>
      </x:c>
    </x:row>
    <x:row r="19" ht="18" customHeight="1">
      <x:c r="A19" s="24" t="str">
        <x:v>EEZ_463</x:v>
      </x:c>
      <x:c r="B19" s="24" t="str">
        <x:v>Malaysia (Sarawak)</x:v>
      </x:c>
      <x:c r="C19" s="24" t="str">
        <x:v>EEZ</x:v>
      </x:c>
      <x:c r="D19" s="30" t="n">
        <x:v>2019</x:v>
      </x:c>
      <x:c r="E19" s="24" t="str">
        <x:v>Thunnus tonggol</x:v>
      </x:c>
      <x:c r="F19" s="24" t="str">
        <x:v>Longtail tuna</x:v>
      </x:c>
      <x:c r="G19" s="24" t="str">
        <x:v>Large pelagics (&gt;=90 cm)</x:v>
      </x:c>
      <x:c r="H19" s="24" t="str">
        <x:v>Tuna &amp; billfishes</x:v>
      </x:c>
      <x:c r="I19" s="31" t="n">
        <x:v>3179.5427773506</x:v>
      </x:c>
      <x:c r="J19" s="31" t="n">
        <x:v>3179.5427773506</x:v>
      </x:c>
      <x:c r="K19" s="31" t="n">
        <x:v>0</x:v>
      </x:c>
      <x:c r="L19" s="31" t="n">
        <x:v>2020.3336939447001</x:v>
      </x:c>
      <x:c r="M19" s="31" t="n">
        <x:v>1159.2090834059</x:v>
      </x:c>
      <x:c r="N19" s="24" t="str">
        <x:v>thunnus tonggol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tonggol</x:v>
      </x:c>
      <x:c r="T19" s="32" t="n">
        <x:f>IF(O19="","",(1/'Metadata'!$B$5)^(O19-1))</x:f>
        <x:v>3162.2776601683795</x:v>
      </x:c>
      <x:c r="U19" s="31" t="n">
        <x:f>IF(T19="","",I19*T19)</x:f>
        <x:v>10054597.094365526</x:v>
      </x:c>
    </x:row>
    <x:row r="20" ht="18" customHeight="1">
      <x:c r="A20" s="24" t="str">
        <x:v>EEZ_463</x:v>
      </x:c>
      <x:c r="B20" s="24" t="str">
        <x:v>Malaysia (Sarawak)</x:v>
      </x:c>
      <x:c r="C20" s="24" t="str">
        <x:v>EEZ</x:v>
      </x:c>
      <x:c r="D20" s="30" t="n">
        <x:v>2019</x:v>
      </x:c>
      <x:c r="E20" s="24" t="str">
        <x:v>Trichiurus</x:v>
      </x:c>
      <x:c r="F20" s="24" t="str">
        <x:v>Hairtails</x:v>
      </x:c>
      <x:c r="G20" s="24" t="str">
        <x:v>Large benthopelagics (&gt;=90 cm)</x:v>
      </x:c>
      <x:c r="H20" s="24" t="str">
        <x:v>Perch-likes</x:v>
      </x:c>
      <x:c r="I20" s="31" t="n">
        <x:v>2958.2230247149</x:v>
      </x:c>
      <x:c r="J20" s="31" t="n">
        <x:v>2958.2230247149</x:v>
      </x:c>
      <x:c r="K20" s="31" t="n">
        <x:v>0</x:v>
      </x:c>
      <x:c r="L20" s="31" t="n">
        <x:v>2064.3956764588</x:v>
      </x:c>
      <x:c r="M20" s="31" t="n">
        <x:v>893.8273482561</x:v>
      </x:c>
      <x:c r="N20" s="24" t="str">
        <x:v>trichiurus</x:v>
      </x:c>
      <x:c r="O20" s="32" t="n">
        <x:v>4.42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Trichiurus</x:v>
      </x:c>
      <x:c r="T20" s="32" t="n">
        <x:f>IF(O20="","",(1/'Metadata'!$B$5)^(O20-1))</x:f>
        <x:v>2630.2679918953813</x:v>
      </x:c>
      <x:c r="U20" s="31" t="n">
        <x:f>IF(T20="","",I20*T20)</x:f>
        <x:v>7780919.334795541</x:v>
      </x:c>
    </x:row>
    <x:row r="21" ht="18" customHeight="1">
      <x:c r="A21" s="24" t="str">
        <x:v>EEZ_463</x:v>
      </x:c>
      <x:c r="B21" s="24" t="str">
        <x:v>Malaysia (Sarawak)</x:v>
      </x:c>
      <x:c r="C21" s="24" t="str">
        <x:v>EEZ</x:v>
      </x:c>
      <x:c r="D21" s="30" t="n">
        <x:v>2019</x:v>
      </x:c>
      <x:c r="E21" s="24" t="str">
        <x:v>Saurida tumbil</x:v>
      </x:c>
      <x:c r="F21" s="24" t="str">
        <x:v>Greater lizardfish</x:v>
      </x:c>
      <x:c r="G21" s="24" t="str">
        <x:v>Medium demersals (30 - 89 cm)</x:v>
      </x:c>
      <x:c r="H21" s="24" t="str">
        <x:v>Other fishes &amp; inverts</x:v>
      </x:c>
      <x:c r="I21" s="31" t="n">
        <x:v>2933.7608144107</x:v>
      </x:c>
      <x:c r="J21" s="31" t="n">
        <x:v>2911.9198834386</x:v>
      </x:c>
      <x:c r="K21" s="31" t="n">
        <x:v>21.8409309721</x:v>
      </x:c>
      <x:c r="L21" s="31" t="n">
        <x:v>2911.9198834386</x:v>
      </x:c>
      <x:c r="M21" s="31" t="n">
        <x:v>21.8409309721</x:v>
      </x:c>
      <x:c r="N21" s="24" t="str">
        <x:v>saurida tumbil</x:v>
      </x:c>
      <x:c r="O21" s="32" t="n">
        <x:v>4.4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Saurida tumbil</x:v>
      </x:c>
      <x:c r="T21" s="32" t="n">
        <x:f>IF(O21="","",(1/'Metadata'!$B$5)^(O21-1))</x:f>
        <x:v>2511.886431509582</x:v>
      </x:c>
      <x:c r="U21" s="31" t="n">
        <x:f>IF(T21="","",I21*T21)</x:f>
        <x:v>7369273.983012738</x:v>
      </x:c>
    </x:row>
    <x:row r="22" ht="18" customHeight="1">
      <x:c r="A22" s="24" t="str">
        <x:v>EEZ_463</x:v>
      </x:c>
      <x:c r="B22" s="24" t="str">
        <x:v>Malaysia (Sarawak)</x:v>
      </x:c>
      <x:c r="C22" s="24" t="str">
        <x:v>EEZ</x:v>
      </x:c>
      <x:c r="D22" s="30" t="n">
        <x:v>2019</x:v>
      </x:c>
      <x:c r="E22" s="24" t="str">
        <x:v>Leiognathidae</x:v>
      </x:c>
      <x:c r="F22" s="24" t="str">
        <x:v>Slipmouths, ponyfishes</x:v>
      </x:c>
      <x:c r="G22" s="24" t="str">
        <x:v>Small benthopelagics (&lt;30 cm)</x:v>
      </x:c>
      <x:c r="H22" s="24" t="str">
        <x:v>Perch-likes</x:v>
      </x:c>
      <x:c r="I22" s="31" t="n">
        <x:v>2898.071884295</x:v>
      </x:c>
      <x:c r="J22" s="31" t="n">
        <x:v>2878.1101665276</x:v>
      </x:c>
      <x:c r="K22" s="31" t="n">
        <x:v>19.9617177674</x:v>
      </x:c>
      <x:c r="L22" s="31" t="n">
        <x:v>2691.543009915</x:v>
      </x:c>
      <x:c r="M22" s="31" t="n">
        <x:v>206.52887438000002</x:v>
      </x:c>
      <x:c r="N22" s="24" t="str">
        <x:v>leiognathidae</x:v>
      </x:c>
      <x:c r="O22" s="32" t="n">
        <x:v>3.24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Leiognathidae</x:v>
      </x:c>
      <x:c r="T22" s="32" t="n">
        <x:f>IF(O22="","",(1/'Metadata'!$B$5)^(O22-1))</x:f>
        <x:v>173.78008287493762</x:v>
      </x:c>
      <x:c r="U22" s="31" t="n">
        <x:f>IF(T22="","",I22*T22)</x:f>
        <x:v>503627.1722303117</x:v>
      </x:c>
    </x:row>
    <x:row r="23" ht="18" customHeight="1">
      <x:c r="A23" s="24" t="str">
        <x:v>EEZ_463</x:v>
      </x:c>
      <x:c r="B23" s="24" t="str">
        <x:v>Malaysia (Sarawak)</x:v>
      </x:c>
      <x:c r="C23" s="24" t="str">
        <x:v>EEZ</x:v>
      </x:c>
      <x:c r="D23" s="30" t="n">
        <x:v>2019</x:v>
      </x:c>
      <x:c r="E23" s="24" t="str">
        <x:v>Megalaspis cordyla</x:v>
      </x:c>
      <x:c r="F23" s="24" t="str">
        <x:v>Torpedo scad</x:v>
      </x:c>
      <x:c r="G23" s="24" t="str">
        <x:v>Medium pelagics (30 - 89 cm)</x:v>
      </x:c>
      <x:c r="H23" s="24" t="str">
        <x:v>Perch-likes</x:v>
      </x:c>
      <x:c r="I23" s="31" t="n">
        <x:v>2685.4270805015</x:v>
      </x:c>
      <x:c r="J23" s="31" t="n">
        <x:v>2684.8001881076</x:v>
      </x:c>
      <x:c r="K23" s="31" t="n">
        <x:v>0.6268923939</x:v>
      </x:c>
      <x:c r="L23" s="31" t="n">
        <x:v>1817.5798997567001</x:v>
      </x:c>
      <x:c r="M23" s="31" t="n">
        <x:v>867.8471807448</x:v>
      </x:c>
      <x:c r="N23" s="24" t="str">
        <x:v>megalaspis cordyla</x:v>
      </x:c>
      <x:c r="O23" s="32" t="n">
        <x:v>4.24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Megalaspis cordyla</x:v>
      </x:c>
      <x:c r="T23" s="32" t="n">
        <x:f>IF(O23="","",(1/'Metadata'!$B$5)^(O23-1))</x:f>
        <x:v>1737.8008287493763</x:v>
      </x:c>
      <x:c r="U23" s="31" t="n">
        <x:f>IF(T23="","",I23*T23)</x:f>
        <x:v>4666737.406041524</x:v>
      </x:c>
    </x:row>
    <x:row r="24" ht="18" customHeight="1">
      <x:c r="A24" s="24" t="str">
        <x:v>EEZ_463</x:v>
      </x:c>
      <x:c r="B24" s="24" t="str">
        <x:v>Malaysia (Sarawak)</x:v>
      </x:c>
      <x:c r="C24" s="24" t="str">
        <x:v>EEZ</x:v>
      </x:c>
      <x:c r="D24" s="30" t="n">
        <x:v>2019</x:v>
      </x:c>
      <x:c r="E24" s="24" t="str">
        <x:v>Penaeus merguiensis</x:v>
      </x:c>
      <x:c r="F24" s="24" t="str">
        <x:v>Banana prawn</x:v>
      </x:c>
      <x:c r="G24" s="24" t="str">
        <x:v>Shrimps</x:v>
      </x:c>
      <x:c r="H24" s="24" t="str">
        <x:v>Crustaceans</x:v>
      </x:c>
      <x:c r="I24" s="31" t="n">
        <x:v>2459.9571757687</x:v>
      </x:c>
      <x:c r="J24" s="31" t="n">
        <x:v>2459.9571757687</x:v>
      </x:c>
      <x:c r="K24" s="31" t="n">
        <x:v>0</x:v>
      </x:c>
      <x:c r="L24" s="31" t="n">
        <x:v>1657.4101218934</x:v>
      </x:c>
      <x:c r="M24" s="31" t="n">
        <x:v>802.5470538753001</x:v>
      </x:c>
      <x:c r="N24" s="24" t="str">
        <x:v>penaeus merguiensis</x:v>
      </x:c>
      <x:c r="O24" s="32" t="n">
        <x:v>3.77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Penaeus merguiensis</x:v>
      </x:c>
      <x:c r="T24" s="32" t="n">
        <x:f>IF(O24="","",(1/'Metadata'!$B$5)^(O24-1))</x:f>
        <x:v>588.843655355589</x:v>
      </x:c>
      <x:c r="U24" s="31" t="n">
        <x:f>IF(T24="","",I24*T24)</x:f>
        <x:v>1448530.1753978524</x:v>
      </x:c>
    </x:row>
    <x:row r="25" ht="18" customHeight="1">
      <x:c r="A25" s="24" t="str">
        <x:v>EEZ_463</x:v>
      </x:c>
      <x:c r="B25" s="24" t="str">
        <x:v>Malaysia (Sarawak)</x:v>
      </x:c>
      <x:c r="C25" s="24" t="str">
        <x:v>EEZ</x:v>
      </x:c>
      <x:c r="D25" s="30" t="n">
        <x:v>2019</x:v>
      </x:c>
      <x:c r="E25" s="24" t="str">
        <x:v>Caranx</x:v>
      </x:c>
      <x:c r="F25" s="24" t="str">
        <x:v>Jacks</x:v>
      </x:c>
      <x:c r="G25" s="24" t="str">
        <x:v>Medium reef assoc. fish (30 - 89 cm)</x:v>
      </x:c>
      <x:c r="H25" s="24" t="str">
        <x:v>Perch-likes</x:v>
      </x:c>
      <x:c r="I25" s="31" t="n">
        <x:v>2382.515795596</x:v>
      </x:c>
      <x:c r="J25" s="31" t="n">
        <x:v>2382.515795596</x:v>
      </x:c>
      <x:c r="K25" s="31" t="n">
        <x:v>0</x:v>
      </x:c>
      <x:c r="L25" s="31" t="n">
        <x:v>1659.7598037229</x:v>
      </x:c>
      <x:c r="M25" s="31" t="n">
        <x:v>722.7559918731</x:v>
      </x:c>
      <x:c r="N25" s="24" t="str">
        <x:v>caranx</x:v>
      </x:c>
      <x:c r="O25" s="32" t="n">
        <x:v>4.12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Caranx</x:v>
      </x:c>
      <x:c r="T25" s="32" t="n">
        <x:f>IF(O25="","",(1/'Metadata'!$B$5)^(O25-1))</x:f>
        <x:v>1318.2567385564075</x:v>
      </x:c>
      <x:c r="U25" s="31" t="n">
        <x:f>IF(T25="","",I25*T25)</x:f>
        <x:v>3140767.5022615073</x:v>
      </x:c>
    </x:row>
    <x:row r="26" ht="18" customHeight="1">
      <x:c r="A26" s="24" t="str">
        <x:v>EEZ_463</x:v>
      </x:c>
      <x:c r="B26" s="24" t="str">
        <x:v>Malaysia (Sarawak)</x:v>
      </x:c>
      <x:c r="C26" s="24" t="str">
        <x:v>EEZ</x:v>
      </x:c>
      <x:c r="D26" s="30" t="n">
        <x:v>2019</x:v>
      </x:c>
      <x:c r="E26" s="24" t="str">
        <x:v>Dussumieria</x:v>
      </x:c>
      <x:c r="F26" s="24" t="str">
        <x:v>Rainbow sardines</x:v>
      </x:c>
      <x:c r="G26" s="24" t="str">
        <x:v>Small pelagics (&lt;30 cm)</x:v>
      </x:c>
      <x:c r="H26" s="24" t="str">
        <x:v>Herring-likes</x:v>
      </x:c>
      <x:c r="I26" s="31" t="n">
        <x:v>2309.4921955025998</x:v>
      </x:c>
      <x:c r="J26" s="31" t="n">
        <x:v>2309.4921955025998</x:v>
      </x:c>
      <x:c r="K26" s="31" t="n">
        <x:v>0</x:v>
      </x:c>
      <x:c r="L26" s="31" t="n">
        <x:v>1614.6880674498</x:v>
      </x:c>
      <x:c r="M26" s="31" t="n">
        <x:v>694.8041280528</x:v>
      </x:c>
      <x:c r="N26" s="24" t="str">
        <x:v>dussumieria</x:v>
      </x:c>
      <x:c r="O26" s="32" t="n">
        <x:v>3.4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Dussumieria</x:v>
      </x:c>
      <x:c r="T26" s="32" t="n">
        <x:f>IF(O26="","",(1/'Metadata'!$B$5)^(O26-1))</x:f>
        <x:v>251.18864315095797</x:v>
      </x:c>
      <x:c r="U26" s="31" t="n">
        <x:f>IF(T26="","",I26*T26)</x:f>
        <x:v>580118.210956025</x:v>
      </x:c>
    </x:row>
    <x:row r="27" ht="18" customHeight="1">
      <x:c r="A27" s="24" t="str">
        <x:v>EEZ_463</x:v>
      </x:c>
      <x:c r="B27" s="24" t="str">
        <x:v>Malaysia (Sarawak)</x:v>
      </x:c>
      <x:c r="C27" s="24" t="str">
        <x:v>EEZ</x:v>
      </x:c>
      <x:c r="D27" s="30" t="n">
        <x:v>2019</x:v>
      </x:c>
      <x:c r="E27" s="24" t="str">
        <x:v>Pomadasys</x:v>
      </x:c>
      <x:c r="F27" s="24" t="str">
        <x:v>Grunters</x:v>
      </x:c>
      <x:c r="G27" s="24" t="str">
        <x:v>Medium demersals (30 - 89 cm)</x:v>
      </x:c>
      <x:c r="H27" s="24" t="str">
        <x:v>Perch-likes</x:v>
      </x:c>
      <x:c r="I27" s="31" t="n">
        <x:v>2262.5717760548</x:v>
      </x:c>
      <x:c r="J27" s="31" t="n">
        <x:v>2255.0741430323</x:v>
      </x:c>
      <x:c r="K27" s="31" t="n">
        <x:v>7.4976330225</x:v>
      </x:c>
      <x:c r="L27" s="31" t="n">
        <x:v>2184.7888504876</x:v>
      </x:c>
      <x:c r="M27" s="31" t="n">
        <x:v>77.7829255672</x:v>
      </x:c>
      <x:c r="N27" s="24" t="str">
        <x:v>pomadasys</x:v>
      </x:c>
      <x:c r="O27" s="32" t="n">
        <x:v>3.59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Pomadasys</x:v>
      </x:c>
      <x:c r="T27" s="32" t="n">
        <x:f>IF(O27="","",(1/'Metadata'!$B$5)^(O27-1))</x:f>
        <x:v>389.04514499428046</x:v>
      </x:c>
      <x:c r="U27" s="31" t="n">
        <x:f>IF(T27="","",I27*T27)</x:f>
        <x:v>880242.5646752063</x:v>
      </x:c>
    </x:row>
    <x:row r="28" ht="18" customHeight="1">
      <x:c r="A28" s="24" t="str">
        <x:v>EEZ_463</x:v>
      </x:c>
      <x:c r="B28" s="24" t="str">
        <x:v>Malaysia (Sarawak)</x:v>
      </x:c>
      <x:c r="C28" s="24" t="str">
        <x:v>EEZ</x:v>
      </x:c>
      <x:c r="D28" s="30" t="n">
        <x:v>2019</x:v>
      </x:c>
      <x:c r="E28" s="24" t="str">
        <x:v>Carcharhinus</x:v>
      </x:c>
      <x:c r="F28" s="24" t="str">
        <x:v>Sharp-nosed sharks</x:v>
      </x:c>
      <x:c r="G28" s="24" t="str">
        <x:v>Large sharks (&gt;=90 cm)</x:v>
      </x:c>
      <x:c r="H28" s="24" t="str">
        <x:v>Sharks &amp; rays</x:v>
      </x:c>
      <x:c r="I28" s="31" t="n">
        <x:v>2189.350968615</x:v>
      </x:c>
      <x:c r="J28" s="31" t="n">
        <x:v>2189.350968615</x:v>
      </x:c>
      <x:c r="K28" s="31" t="n">
        <x:v>0</x:v>
      </x:c>
      <x:c r="L28" s="31" t="n">
        <x:v>1442.6627440638</x:v>
      </x:c>
      <x:c r="M28" s="31" t="n">
        <x:v>746.6882245512</x:v>
      </x:c>
      <x:c r="N28" s="24" t="str">
        <x:v>carcharhinus</x:v>
      </x:c>
      <x:c r="O28" s="32" t="n">
        <x:v>4.26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Carcharhinus</x:v>
      </x:c>
      <x:c r="T28" s="32" t="n">
        <x:f>IF(O28="","",(1/'Metadata'!$B$5)^(O28-1))</x:f>
        <x:v>1819.7008586099826</x:v>
      </x:c>
      <x:c r="U28" s="31" t="n">
        <x:f>IF(T28="","",I28*T28)</x:f>
        <x:v>3983963.8373873127</x:v>
      </x:c>
    </x:row>
    <x:row r="29" ht="18" customHeight="1">
      <x:c r="A29" s="24" t="str">
        <x:v>EEZ_463</x:v>
      </x:c>
      <x:c r="B29" s="24" t="str">
        <x:v>Malaysia (Sarawak)</x:v>
      </x:c>
      <x:c r="C29" s="24" t="str">
        <x:v>EEZ</x:v>
      </x:c>
      <x:c r="D29" s="30" t="n">
        <x:v>2019</x:v>
      </x:c>
      <x:c r="E29" s="24" t="str">
        <x:v>Alepes</x:v>
      </x:c>
      <x:c r="F29" s="24" t="str">
        <x:v>Crevalles</x:v>
      </x:c>
      <x:c r="G29" s="24" t="str">
        <x:v>Medium reef assoc. fish (30 - 89 cm)</x:v>
      </x:c>
      <x:c r="H29" s="24" t="str">
        <x:v>Perch-likes</x:v>
      </x:c>
      <x:c r="I29" s="31" t="n">
        <x:v>2150.7393469024</x:v>
      </x:c>
      <x:c r="J29" s="31" t="n">
        <x:v>2150.4384385534</x:v>
      </x:c>
      <x:c r="K29" s="31" t="n">
        <x:v>0.300908349</x:v>
      </x:c>
      <x:c r="L29" s="31" t="n">
        <x:v>1535.8390138585</x:v>
      </x:c>
      <x:c r="M29" s="31" t="n">
        <x:v>614.9003330439</x:v>
      </x:c>
      <x:c r="N29" s="24" t="str">
        <x:v>alepes</x:v>
      </x:c>
      <x:c r="O29" s="32" t="n">
        <x:v>3.32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Alepes</x:v>
      </x:c>
      <x:c r="T29" s="32" t="n">
        <x:f>IF(O29="","",(1/'Metadata'!$B$5)^(O29-1))</x:f>
        <x:v>208.92961308540387</x:v>
      </x:c>
      <x:c r="U29" s="31" t="n">
        <x:f>IF(T29="","",I29*T29)</x:f>
        <x:v>449353.13959587266</x:v>
      </x:c>
    </x:row>
    <x:row r="30" ht="18" customHeight="1">
      <x:c r="A30" s="24" t="str">
        <x:v>EEZ_463</x:v>
      </x:c>
      <x:c r="B30" s="24" t="str">
        <x:v>Malaysia (Sarawak)</x:v>
      </x:c>
      <x:c r="C30" s="24" t="str">
        <x:v>EEZ</x:v>
      </x:c>
      <x:c r="D30" s="30" t="n">
        <x:v>2019</x:v>
      </x:c>
      <x:c r="E30" s="24" t="str">
        <x:v>Malacostraca</x:v>
      </x:c>
      <x:c r="F30" s="24" t="str">
        <x:v>Lobsters, crabs, shrimps, krill</x:v>
      </x:c>
      <x:c r="G30" s="24" t="str">
        <x:v>Shrimps</x:v>
      </x:c>
      <x:c r="H30" s="24" t="str">
        <x:v>Crustaceans</x:v>
      </x:c>
      <x:c r="I30" s="31" t="n">
        <x:v>2121.185472838</x:v>
      </x:c>
      <x:c r="J30" s="31" t="n">
        <x:v>2121.185472838</x:v>
      </x:c>
      <x:c r="K30" s="31" t="n">
        <x:v>0</x:v>
      </x:c>
      <x:c r="L30" s="31" t="n">
        <x:v>1515.4568110016</x:v>
      </x:c>
      <x:c r="M30" s="31" t="n">
        <x:v>605.7286618364</x:v>
      </x:c>
      <x:c r="N30" s="24" t="str">
        <x:v>malacostraca</x:v>
      </x:c>
      <x:c r="O30" s="32" t="n">
        <x:v>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Malacostraca</x:v>
      </x:c>
      <x:c r="T30" s="32" t="n">
        <x:f>IF(O30="","",(1/'Metadata'!$B$5)^(O30-1))</x:f>
        <x:v>100</x:v>
      </x:c>
      <x:c r="U30" s="31" t="n">
        <x:f>IF(T30="","",I30*T30)</x:f>
        <x:v>212118.5472838</x:v>
      </x:c>
    </x:row>
    <x:row r="31" ht="18" customHeight="1">
      <x:c r="A31" s="24" t="str">
        <x:v>EEZ_463</x:v>
      </x:c>
      <x:c r="B31" s="24" t="str">
        <x:v>Malaysia (Sarawak)</x:v>
      </x:c>
      <x:c r="C31" s="24" t="str">
        <x:v>EEZ</x:v>
      </x:c>
      <x:c r="D31" s="30" t="n">
        <x:v>2019</x:v>
      </x:c>
      <x:c r="E31" s="24" t="str">
        <x:v>Katsuwonus pelamis</x:v>
      </x:c>
      <x:c r="F31" s="24" t="str">
        <x:v>Skipjack tuna</x:v>
      </x:c>
      <x:c r="G31" s="24" t="str">
        <x:v>Large pelagics (&gt;=90 cm)</x:v>
      </x:c>
      <x:c r="H31" s="24" t="str">
        <x:v>Tuna &amp; billfishes</x:v>
      </x:c>
      <x:c r="I31" s="31" t="n">
        <x:v>2109.4720543533</x:v>
      </x:c>
      <x:c r="J31" s="31" t="n">
        <x:v>2109.4720543533</x:v>
      </x:c>
      <x:c r="K31" s="31" t="n">
        <x:v>0</x:v>
      </x:c>
      <x:c r="L31" s="31" t="n">
        <x:v>1340.4022263157</x:v>
      </x:c>
      <x:c r="M31" s="31" t="n">
        <x:v>769.0698280376</x:v>
      </x:c>
      <x:c r="N31" s="24" t="str">
        <x:v>katsuwonus pelamis</x:v>
      </x:c>
      <x:c r="O31" s="32" t="n">
        <x:v>4.43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Katsuwonus pelamis</x:v>
      </x:c>
      <x:c r="T31" s="32" t="n">
        <x:f>IF(O31="","",(1/'Metadata'!$B$5)^(O31-1))</x:f>
        <x:v>2691.534803926914</x:v>
      </x:c>
      <x:c r="U31" s="31" t="n">
        <x:f>IF(T31="","",I31*T31)</x:f>
        <x:v>5677717.452203113</x:v>
      </x:c>
    </x:row>
    <x:row r="32" ht="18" customHeight="1">
      <x:c r="A32" s="24" t="str">
        <x:v>EEZ_463</x:v>
      </x:c>
      <x:c r="B32" s="24" t="str">
        <x:v>Malaysia (Sarawak)</x:v>
      </x:c>
      <x:c r="C32" s="24" t="str">
        <x:v>EEZ</x:v>
      </x:c>
      <x:c r="D32" s="30" t="n">
        <x:v>2019</x:v>
      </x:c>
      <x:c r="E32" s="24" t="str">
        <x:v>Ilisha elongata</x:v>
      </x:c>
      <x:c r="F32" s="24" t="str">
        <x:v>Elongate ilisha</x:v>
      </x:c>
      <x:c r="G32" s="24" t="str">
        <x:v>Medium pelagics (30 - 89 cm)</x:v>
      </x:c>
      <x:c r="H32" s="24" t="str">
        <x:v>Herring-likes</x:v>
      </x:c>
      <x:c r="I32" s="31" t="n">
        <x:v>1839.0704026076</x:v>
      </x:c>
      <x:c r="J32" s="31" t="n">
        <x:v>1836.1866975986</x:v>
      </x:c>
      <x:c r="K32" s="31" t="n">
        <x:v>2.8837050090000003</x:v>
      </x:c>
      <x:c r="L32" s="31" t="n">
        <x:v>1200.1644851796</x:v>
      </x:c>
      <x:c r="M32" s="31" t="n">
        <x:v>638.905917428</x:v>
      </x:c>
      <x:c r="N32" s="24" t="str">
        <x:v>ilisha elongata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Ilisha elongata</x:v>
      </x:c>
      <x:c r="T32" s="32" t="n">
        <x:f>IF(O32="","",(1/'Metadata'!$B$5)^(O32-1))</x:f>
        <x:v>616.5950018614822</x:v>
      </x:c>
      <x:c r="U32" s="31" t="n">
        <x:f>IF(T32="","",I32*T32)</x:f>
        <x:v>1133961.61831923</x:v>
      </x:c>
    </x:row>
    <x:row r="33" ht="18" customHeight="1">
      <x:c r="A33" s="24" t="str">
        <x:v>EEZ_463</x:v>
      </x:c>
      <x:c r="B33" s="24" t="str">
        <x:v>Malaysia (Sarawak)</x:v>
      </x:c>
      <x:c r="C33" s="24" t="str">
        <x:v>EEZ</x:v>
      </x:c>
      <x:c r="D33" s="30" t="n">
        <x:v>2019</x:v>
      </x:c>
      <x:c r="E33" s="24" t="str">
        <x:v>Parastromateus niger</x:v>
      </x:c>
      <x:c r="F33" s="24" t="str">
        <x:v>Black pomfret</x:v>
      </x:c>
      <x:c r="G33" s="24" t="str">
        <x:v>Medium benthopelagics (30 - 89 cm)</x:v>
      </x:c>
      <x:c r="H33" s="24" t="str">
        <x:v>Perch-likes</x:v>
      </x:c>
      <x:c r="I33" s="31" t="n">
        <x:v>1818.6170528297</x:v>
      </x:c>
      <x:c r="J33" s="31" t="n">
        <x:v>1818.6170528297</x:v>
      </x:c>
      <x:c r="K33" s="31" t="n">
        <x:v>0</x:v>
      </x:c>
      <x:c r="L33" s="31" t="n">
        <x:v>1196.2254575895</x:v>
      </x:c>
      <x:c r="M33" s="31" t="n">
        <x:v>622.3915952402</x:v>
      </x:c>
      <x:c r="N33" s="24" t="str">
        <x:v>parastromateus niger</x:v>
      </x:c>
      <x:c r="O33" s="32" t="n">
        <x:v>2.93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Parastromateus niger</x:v>
      </x:c>
      <x:c r="T33" s="32" t="n">
        <x:f>IF(O33="","",(1/'Metadata'!$B$5)^(O33-1))</x:f>
        <x:v>85.11380382023768</x:v>
      </x:c>
      <x:c r="U33" s="31" t="n">
        <x:f>IF(T33="","",I33*T33)</x:f>
        <x:v>154789.4150586859</x:v>
      </x:c>
    </x:row>
    <x:row r="34" ht="18" customHeight="1">
      <x:c r="A34" s="24" t="str">
        <x:v>EEZ_463</x:v>
      </x:c>
      <x:c r="B34" s="24" t="str">
        <x:v>Malaysia (Sarawak)</x:v>
      </x:c>
      <x:c r="C34" s="24" t="str">
        <x:v>EEZ</x:v>
      </x:c>
      <x:c r="D34" s="30" t="n">
        <x:v>2019</x:v>
      </x:c>
      <x:c r="E34" s="24" t="str">
        <x:v>Trichiurus lepturus</x:v>
      </x:c>
      <x:c r="F34" s="24" t="str">
        <x:v>Largehead hairtail</x:v>
      </x:c>
      <x:c r="G34" s="24" t="str">
        <x:v>Large benthopelagics (&gt;=90 cm)</x:v>
      </x:c>
      <x:c r="H34" s="24" t="str">
        <x:v>Perch-likes</x:v>
      </x:c>
      <x:c r="I34" s="31" t="n">
        <x:v>1778.0107105706002</x:v>
      </x:c>
      <x:c r="J34" s="31" t="n">
        <x:v>1764.8459703146</x:v>
      </x:c>
      <x:c r="K34" s="31" t="n">
        <x:v>13.164740256</x:v>
      </x:c>
      <x:c r="L34" s="31" t="n">
        <x:v>1764.5746920461002</x:v>
      </x:c>
      <x:c r="M34" s="31" t="n">
        <x:v>13.4360185245</x:v>
      </x:c>
      <x:c r="N34" s="24" t="str">
        <x:v>trichiurus lepturus</x:v>
      </x:c>
      <x:c r="O34" s="32" t="n">
        <x:v>4.42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Trichiurus lepturus</x:v>
      </x:c>
      <x:c r="T34" s="32" t="n">
        <x:f>IF(O34="","",(1/'Metadata'!$B$5)^(O34-1))</x:f>
        <x:v>2630.2679918953813</x:v>
      </x:c>
      <x:c r="U34" s="31" t="n">
        <x:f>IF(T34="","",I34*T34)</x:f>
        <x:v>4676644.661261013</x:v>
      </x:c>
    </x:row>
    <x:row r="35" ht="18" customHeight="1">
      <x:c r="A35" s="24" t="str">
        <x:v>EEZ_463</x:v>
      </x:c>
      <x:c r="B35" s="24" t="str">
        <x:v>Malaysia (Sarawak)</x:v>
      </x:c>
      <x:c r="C35" s="24" t="str">
        <x:v>EEZ</x:v>
      </x:c>
      <x:c r="D35" s="30" t="n">
        <x:v>2019</x:v>
      </x:c>
      <x:c r="E35" s="24" t="str">
        <x:v>Clupeidae</x:v>
      </x:c>
      <x:c r="F35" s="24" t="str">
        <x:v>Herrings, sardines, menhadens</x:v>
      </x:c>
      <x:c r="G35" s="24" t="str">
        <x:v>Small pelagics (&lt;30 cm)</x:v>
      </x:c>
      <x:c r="H35" s="24" t="str">
        <x:v>Herring-likes</x:v>
      </x:c>
      <x:c r="I35" s="31" t="n">
        <x:v>1660.101544267</x:v>
      </x:c>
      <x:c r="J35" s="31" t="n">
        <x:v>1660.101544267</x:v>
      </x:c>
      <x:c r="K35" s="31" t="n">
        <x:v>0</x:v>
      </x:c>
      <x:c r="L35" s="31" t="n">
        <x:v>1057.2121928857</x:v>
      </x:c>
      <x:c r="M35" s="31" t="n">
        <x:v>602.8893513813</x:v>
      </x:c>
      <x:c r="N35" s="24" t="str">
        <x:v>clupeidae</x:v>
      </x:c>
      <x:c r="O35" s="32" t="n">
        <x:v>3.16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Clupeidae</x:v>
      </x:c>
      <x:c r="T35" s="32" t="n">
        <x:f>IF(O35="","",(1/'Metadata'!$B$5)^(O35-1))</x:f>
        <x:v>144.5439770745928</x:v>
      </x:c>
      <x:c r="U35" s="31" t="n">
        <x:f>IF(T35="","",I35*T35)</x:f>
        <x:v>239957.67955602534</x:v>
      </x:c>
    </x:row>
    <x:row r="36" ht="18" customHeight="1">
      <x:c r="A36" s="24" t="str">
        <x:v>EEZ_463</x:v>
      </x:c>
      <x:c r="B36" s="24" t="str">
        <x:v>Malaysia (Sarawak)</x:v>
      </x:c>
      <x:c r="C36" s="24" t="str">
        <x:v>EEZ</x:v>
      </x:c>
      <x:c r="D36" s="30" t="n">
        <x:v>2019</x:v>
      </x:c>
      <x:c r="E36" s="24" t="str">
        <x:v>Chirocentrus</x:v>
      </x:c>
      <x:c r="F36" s="24" t="str">
        <x:v>Wolf herrings</x:v>
      </x:c>
      <x:c r="G36" s="24" t="str">
        <x:v>Large pelagics (&gt;=90 cm)</x:v>
      </x:c>
      <x:c r="H36" s="24" t="str">
        <x:v>Herring-likes</x:v>
      </x:c>
      <x:c r="I36" s="31" t="n">
        <x:v>1623.5953574981</x:v>
      </x:c>
      <x:c r="J36" s="31" t="n">
        <x:v>1623.5953574981</x:v>
      </x:c>
      <x:c r="K36" s="31" t="n">
        <x:v>0</x:v>
      </x:c>
      <x:c r="L36" s="31" t="n">
        <x:v>1057.4875802738</x:v>
      </x:c>
      <x:c r="M36" s="31" t="n">
        <x:v>566.1077772243</x:v>
      </x:c>
      <x:c r="N36" s="24" t="str">
        <x:v>chirocentrus</x:v>
      </x:c>
      <x:c r="O36" s="32" t="n">
        <x:v>4.3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Chirocentrus</x:v>
      </x:c>
      <x:c r="T36" s="32" t="n">
        <x:f>IF(O36="","",(1/'Metadata'!$B$5)^(O36-1))</x:f>
        <x:v>1995.2623149688789</x:v>
      </x:c>
      <x:c r="U36" s="31" t="n">
        <x:f>IF(T36="","",I36*T36)</x:f>
        <x:v>3239498.6315743835</x:v>
      </x:c>
    </x:row>
    <x:row r="37" ht="18" customHeight="1">
      <x:c r="A37" s="24" t="str">
        <x:v>EEZ_463</x:v>
      </x:c>
      <x:c r="B37" s="24" t="str">
        <x:v>Malaysia (Sarawak)</x:v>
      </x:c>
      <x:c r="C37" s="24" t="str">
        <x:v>EEZ</x:v>
      </x:c>
      <x:c r="D37" s="30" t="n">
        <x:v>2019</x:v>
      </x:c>
      <x:c r="E37" s="24" t="str">
        <x:v>Parapenaeopsis</x:v>
      </x:c>
      <x:c r="F37" s="24" t="str">
        <x:v>Leafy-legged shrimps</x:v>
      </x:c>
      <x:c r="G37" s="24" t="str">
        <x:v>Shrimps</x:v>
      </x:c>
      <x:c r="H37" s="24" t="str">
        <x:v>Crustaceans</x:v>
      </x:c>
      <x:c r="I37" s="31" t="n">
        <x:v>1617.9227091032</x:v>
      </x:c>
      <x:c r="J37" s="31" t="n">
        <x:v>1617.9227091032</x:v>
      </x:c>
      <x:c r="K37" s="31" t="n">
        <x:v>0</x:v>
      </x:c>
      <x:c r="L37" s="31" t="n">
        <x:v>1139.8284100918</x:v>
      </x:c>
      <x:c r="M37" s="31" t="n">
        <x:v>478.0942990114</x:v>
      </x:c>
      <x:c r="N37" s="24" t="str">
        <x:v>parapenaeopsis</x:v>
      </x:c>
      <x:c r="O37" s="32" t="n">
        <x:v>2.72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Parapenaeopsis</x:v>
      </x:c>
      <x:c r="T37" s="32" t="n">
        <x:f>IF(O37="","",(1/'Metadata'!$B$5)^(O37-1))</x:f>
        <x:v>52.480746024977286</x:v>
      </x:c>
      <x:c r="U37" s="31" t="n">
        <x:f>IF(T37="","",I37*T37)</x:f>
        <x:v>84909.79078448824</x:v>
      </x:c>
    </x:row>
    <x:row r="38" ht="18" customHeight="1">
      <x:c r="A38" s="24" t="str">
        <x:v>EEZ_463</x:v>
      </x:c>
      <x:c r="B38" s="24" t="str">
        <x:v>Malaysia (Sarawak)</x:v>
      </x:c>
      <x:c r="C38" s="24" t="str">
        <x:v>EEZ</x:v>
      </x:c>
      <x:c r="D38" s="30" t="n">
        <x:v>2019</x:v>
      </x:c>
      <x:c r="E38" s="24" t="str">
        <x:v>Sphyraena</x:v>
      </x:c>
      <x:c r="F38" s="24" t="str">
        <x:v>Barracudas, sennets</x:v>
      </x:c>
      <x:c r="G38" s="24" t="str">
        <x:v>Large pelagics (&gt;=90 cm)</x:v>
      </x:c>
      <x:c r="H38" s="24" t="str">
        <x:v>Perch-likes</x:v>
      </x:c>
      <x:c r="I38" s="31" t="n">
        <x:v>1519.0219699698</x:v>
      </x:c>
      <x:c r="J38" s="31" t="n">
        <x:v>1518.8965914906</x:v>
      </x:c>
      <x:c r="K38" s="31" t="n">
        <x:v>0.1253784792</x:v>
      </x:c>
      <x:c r="L38" s="31" t="n">
        <x:v>1083.2471946674</x:v>
      </x:c>
      <x:c r="M38" s="31" t="n">
        <x:v>435.7747753024</x:v>
      </x:c>
      <x:c r="N38" s="24" t="str">
        <x:v>sphyraena</x:v>
      </x:c>
      <x:c r="O38" s="32" t="n">
        <x:v>4.4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Sphyraena</x:v>
      </x:c>
      <x:c r="T38" s="32" t="n">
        <x:f>IF(O38="","",(1/'Metadata'!$B$5)^(O38-1))</x:f>
        <x:v>2511.886431509582</x:v>
      </x:c>
      <x:c r="U38" s="31" t="n">
        <x:f>IF(T38="","",I38*T38)</x:f>
        <x:v>3815610.6755320965</x:v>
      </x:c>
    </x:row>
    <x:row r="39" ht="18" customHeight="1">
      <x:c r="A39" s="24" t="str">
        <x:v>EEZ_463</x:v>
      </x:c>
      <x:c r="B39" s="24" t="str">
        <x:v>Malaysia (Sarawak)</x:v>
      </x:c>
      <x:c r="C39" s="24" t="str">
        <x:v>EEZ</x:v>
      </x:c>
      <x:c r="D39" s="30" t="n">
        <x:v>2019</x:v>
      </x:c>
      <x:c r="E39" s="24" t="str">
        <x:v>Lutjanus</x:v>
      </x:c>
      <x:c r="F39" s="24" t="str">
        <x:v>Snappers</x:v>
      </x:c>
      <x:c r="G39" s="24" t="str">
        <x:v>Medium reef assoc. fish (30 - 89 cm)</x:v>
      </x:c>
      <x:c r="H39" s="24" t="str">
        <x:v>Perch-likes</x:v>
      </x:c>
      <x:c r="I39" s="31" t="n">
        <x:v>1447.3429537651</x:v>
      </x:c>
      <x:c r="J39" s="31" t="n">
        <x:v>1447.3429537651</x:v>
      </x:c>
      <x:c r="K39" s="31" t="n">
        <x:v>0</x:v>
      </x:c>
      <x:c r="L39" s="31" t="n">
        <x:v>993.6895014281</x:v>
      </x:c>
      <x:c r="M39" s="31" t="n">
        <x:v>453.653452337</x:v>
      </x:c>
      <x:c r="N39" s="24" t="str">
        <x:v>lutjanus</x:v>
      </x:c>
      <x:c r="O39" s="32" t="n">
        <x:v>4.02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Lutjanus</x:v>
      </x:c>
      <x:c r="T39" s="32" t="n">
        <x:f>IF(O39="","",(1/'Metadata'!$B$5)^(O39-1))</x:f>
        <x:v>1047.1285480508984</x:v>
      </x:c>
      <x:c r="U39" s="31" t="n">
        <x:f>IF(T39="","",I39*T39)</x:f>
        <x:v>1515554.1257077476</x:v>
      </x:c>
    </x:row>
    <x:row r="40" ht="18" customHeight="1">
      <x:c r="A40" s="24" t="str">
        <x:v>EEZ_463</x:v>
      </x:c>
      <x:c r="B40" s="24" t="str">
        <x:v>Malaysia (Sarawak)</x:v>
      </x:c>
      <x:c r="C40" s="24" t="str">
        <x:v>EEZ</x:v>
      </x:c>
      <x:c r="D40" s="30" t="n">
        <x:v>2019</x:v>
      </x:c>
      <x:c r="E40" s="24" t="str">
        <x:v>Muraenesox</x:v>
      </x:c>
      <x:c r="F40" s="24" t="str">
        <x:v>Congers</x:v>
      </x:c>
      <x:c r="G40" s="24" t="str">
        <x:v>Large demersals (&gt;=90 cm)</x:v>
      </x:c>
      <x:c r="H40" s="24" t="str">
        <x:v>Other fishes &amp; inverts</x:v>
      </x:c>
      <x:c r="I40" s="31" t="n">
        <x:v>1413.2900155897</x:v>
      </x:c>
      <x:c r="J40" s="31" t="n">
        <x:v>1413.2900155897</x:v>
      </x:c>
      <x:c r="K40" s="31" t="n">
        <x:v>0</x:v>
      </x:c>
      <x:c r="L40" s="31" t="n">
        <x:v>943.2936089312001</x:v>
      </x:c>
      <x:c r="M40" s="31" t="n">
        <x:v>469.9964066585</x:v>
      </x:c>
      <x:c r="N40" s="24" t="str">
        <x:v>muraenesox</x:v>
      </x:c>
      <x:c r="O40" s="32" t="n">
        <x:v>3.99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Muraenesox</x:v>
      </x:c>
      <x:c r="T40" s="32" t="n">
        <x:f>IF(O40="","",(1/'Metadata'!$B$5)^(O40-1))</x:f>
        <x:v>977.2372209558112</x:v>
      </x:c>
      <x:c r="U40" s="31" t="n">
        <x:f>IF(T40="","",I40*T40)</x:f>
        <x:v>1381119.6072394734</x:v>
      </x:c>
    </x:row>
    <x:row r="41" ht="18" customHeight="1">
      <x:c r="A41" s="24" t="str">
        <x:v>EEZ_463</x:v>
      </x:c>
      <x:c r="B41" s="24" t="str">
        <x:v>Malaysia (Sarawak)</x:v>
      </x:c>
      <x:c r="C41" s="24" t="str">
        <x:v>EEZ</x:v>
      </x:c>
      <x:c r="D41" s="30" t="n">
        <x:v>2019</x:v>
      </x:c>
      <x:c r="E41" s="24" t="str">
        <x:v>Clupeiformes</x:v>
      </x:c>
      <x:c r="F41" s="24" t="str">
        <x:v>Herrings, shads, anchovies</x:v>
      </x:c>
      <x:c r="G41" s="24" t="str">
        <x:v>Small pelagics (&lt;30 cm)</x:v>
      </x:c>
      <x:c r="H41" s="24" t="str">
        <x:v>Other fishes &amp; inverts</x:v>
      </x:c>
      <x:c r="I41" s="31" t="n">
        <x:v>1307.033051441</x:v>
      </x:c>
      <x:c r="J41" s="31" t="n">
        <x:v>1307.033051441</x:v>
      </x:c>
      <x:c r="K41" s="31" t="n">
        <x:v>0</x:v>
      </x:c>
      <x:c r="L41" s="31" t="n">
        <x:v>831.8535114989</x:v>
      </x:c>
      <x:c r="M41" s="31" t="n">
        <x:v>475.1795399421</x:v>
      </x:c>
      <x:c r="N41" s="24" t="str">
        <x:v>clupeiformes</x:v>
      </x:c>
      <x:c r="O41" s="32" t="n">
        <x:v>3.24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Clupeiformes</x:v>
      </x:c>
      <x:c r="T41" s="32" t="n">
        <x:f>IF(O41="","",(1/'Metadata'!$B$5)^(O41-1))</x:f>
        <x:v>173.78008287493762</x:v>
      </x:c>
      <x:c r="U41" s="31" t="n">
        <x:f>IF(T41="","",I41*T41)</x:f>
        <x:v>227136.3119996996</x:v>
      </x:c>
    </x:row>
    <x:row r="42" ht="18" customHeight="1">
      <x:c r="A42" s="24" t="str">
        <x:v>EEZ_463</x:v>
      </x:c>
      <x:c r="B42" s="24" t="str">
        <x:v>Malaysia (Sarawak)</x:v>
      </x:c>
      <x:c r="C42" s="24" t="str">
        <x:v>EEZ</x:v>
      </x:c>
      <x:c r="D42" s="30" t="n">
        <x:v>2019</x:v>
      </x:c>
      <x:c r="E42" s="24" t="str">
        <x:v>Epinephelus</x:v>
      </x:c>
      <x:c r="F42" s="24" t="str">
        <x:v>Seabasses, hinds</x:v>
      </x:c>
      <x:c r="G42" s="24" t="str">
        <x:v>Medium reef assoc. fish (30 - 89 cm)</x:v>
      </x:c>
      <x:c r="H42" s="24" t="str">
        <x:v>Perch-likes</x:v>
      </x:c>
      <x:c r="I42" s="31" t="n">
        <x:v>1166.8335194917</x:v>
      </x:c>
      <x:c r="J42" s="31" t="n">
        <x:v>1166.5827625344</x:v>
      </x:c>
      <x:c r="K42" s="31" t="n">
        <x:v>0.25075695729999997</x:v>
      </x:c>
      <x:c r="L42" s="31" t="n">
        <x:v>830.3308670603</x:v>
      </x:c>
      <x:c r="M42" s="31" t="n">
        <x:v>336.5026524314</x:v>
      </x:c>
      <x:c r="N42" s="24" t="str">
        <x:v>epinephelus</x:v>
      </x:c>
      <x:c r="O42" s="32" t="n">
        <x:v>3.84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Epinephelus</x:v>
      </x:c>
      <x:c r="T42" s="32" t="n">
        <x:f>IF(O42="","",(1/'Metadata'!$B$5)^(O42-1))</x:f>
        <x:v>691.8309709189363</x:v>
      </x:c>
      <x:c r="U42" s="31" t="n">
        <x:f>IF(T42="","",I42*T42)</x:f>
        <x:v>807251.5666907023</x:v>
      </x:c>
    </x:row>
    <x:row r="43" ht="18" customHeight="1">
      <x:c r="A43" s="24" t="str">
        <x:v>EEZ_463</x:v>
      </x:c>
      <x:c r="B43" s="24" t="str">
        <x:v>Malaysia (Sarawak)</x:v>
      </x:c>
      <x:c r="C43" s="24" t="str">
        <x:v>EEZ</x:v>
      </x:c>
      <x:c r="D43" s="30" t="n">
        <x:v>2019</x:v>
      </x:c>
      <x:c r="E43" s="24" t="str">
        <x:v>Scomberoides</x:v>
      </x:c>
      <x:c r="F43" s="24" t="str">
        <x:v>Queenfishes</x:v>
      </x:c>
      <x:c r="G43" s="24" t="str">
        <x:v>Medium pelagics (30 - 89 cm)</x:v>
      </x:c>
      <x:c r="H43" s="24" t="str">
        <x:v>Perch-likes</x:v>
      </x:c>
      <x:c r="I43" s="31" t="n">
        <x:v>1153.8743003998</x:v>
      </x:c>
      <x:c r="J43" s="31" t="n">
        <x:v>1153.8743003998</x:v>
      </x:c>
      <x:c r="K43" s="31" t="n">
        <x:v>0</x:v>
      </x:c>
      <x:c r="L43" s="31" t="n">
        <x:v>778.1529703071</x:v>
      </x:c>
      <x:c r="M43" s="31" t="n">
        <x:v>375.7213300927</x:v>
      </x:c>
      <x:c r="N43" s="24" t="str">
        <x:v>scomberoides</x:v>
      </x:c>
      <x:c r="O43" s="32" t="n">
        <x:v>4.47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Scomberoides</x:v>
      </x:c>
      <x:c r="T43" s="32" t="n">
        <x:f>IF(O43="","",(1/'Metadata'!$B$5)^(O43-1))</x:f>
        <x:v>2951.209226666384</x:v>
      </x:c>
      <x:c r="U43" s="31" t="n">
        <x:f>IF(T43="","",I43*T43)</x:f>
        <x:v>3405324.4817531086</x:v>
      </x:c>
    </x:row>
    <x:row r="44" ht="18" customHeight="1">
      <x:c r="A44" s="24" t="str">
        <x:v>EEZ_463</x:v>
      </x:c>
      <x:c r="B44" s="24" t="str">
        <x:v>Malaysia (Sarawak)</x:v>
      </x:c>
      <x:c r="C44" s="24" t="str">
        <x:v>EEZ</x:v>
      </x:c>
      <x:c r="D44" s="30" t="n">
        <x:v>2019</x:v>
      </x:c>
      <x:c r="E44" s="24" t="str">
        <x:v>Penaeus latisulcatus</x:v>
      </x:c>
      <x:c r="F44" s="24" t="str">
        <x:v>Western king prawn</x:v>
      </x:c>
      <x:c r="G44" s="24" t="str">
        <x:v>Shrimps</x:v>
      </x:c>
      <x:c r="H44" s="24" t="str">
        <x:v>Crustaceans</x:v>
      </x:c>
      <x:c r="I44" s="31" t="n">
        <x:v>1148.4525797064</x:v>
      </x:c>
      <x:c r="J44" s="31" t="n">
        <x:v>1148.4525797064</x:v>
      </x:c>
      <x:c r="K44" s="31" t="n">
        <x:v>0</x:v>
      </x:c>
      <x:c r="L44" s="31" t="n">
        <x:v>814.8633540389</x:v>
      </x:c>
      <x:c r="M44" s="31" t="n">
        <x:v>333.5892256675</x:v>
      </x:c>
      <x:c r="N44" s="24" t="str">
        <x:v>penaeus latisulcatus</x:v>
      </x:c>
      <x:c r="O44" s="32" t="n">
        <x:v>2.7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Penaeus latisulcatus</x:v>
      </x:c>
      <x:c r="T44" s="32" t="n">
        <x:f>IF(O44="","",(1/'Metadata'!$B$5)^(O44-1))</x:f>
        <x:v>50.11872336272725</x:v>
      </x:c>
      <x:c r="U44" s="31" t="n">
        <x:f>IF(T44="","",I44*T44)</x:f>
        <x:v>57558.97713751553</x:v>
      </x:c>
    </x:row>
    <x:row r="45" ht="18" customHeight="1">
      <x:c r="A45" s="24" t="str">
        <x:v>EEZ_463</x:v>
      </x:c>
      <x:c r="B45" s="24" t="str">
        <x:v>Malaysia (Sarawak)</x:v>
      </x:c>
      <x:c r="C45" s="24" t="str">
        <x:v>EEZ</x:v>
      </x:c>
      <x:c r="D45" s="30" t="n">
        <x:v>2019</x:v>
      </x:c>
      <x:c r="E45" s="24" t="str">
        <x:v>Thryssa</x:v>
      </x:c>
      <x:c r="F45" s="24" t="str">
        <x:v>Thryssas</x:v>
      </x:c>
      <x:c r="G45" s="24" t="str">
        <x:v>Small pelagics (&lt;30 cm)</x:v>
      </x:c>
      <x:c r="H45" s="24" t="str">
        <x:v>Anchovies</x:v>
      </x:c>
      <x:c r="I45" s="31" t="n">
        <x:v>952.2989241553</x:v>
      </x:c>
      <x:c r="J45" s="31" t="n">
        <x:v>952.1108564371</x:v>
      </x:c>
      <x:c r="K45" s="31" t="n">
        <x:v>0.1880677182</x:v>
      </x:c>
      <x:c r="L45" s="31" t="n">
        <x:v>618.1665807559</x:v>
      </x:c>
      <x:c r="M45" s="31" t="n">
        <x:v>334.1323433994</x:v>
      </x:c>
      <x:c r="N45" s="24" t="str">
        <x:v>thryssa</x:v>
      </x:c>
      <x:c r="O45" s="32" t="n">
        <x:v>3.34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Thryssa</x:v>
      </x:c>
      <x:c r="T45" s="32" t="n">
        <x:f>IF(O45="","",(1/'Metadata'!$B$5)^(O45-1))</x:f>
        <x:v>218.77616239495518</x:v>
      </x:c>
      <x:c r="U45" s="31" t="n">
        <x:f>IF(T45="","",I45*T45)</x:f>
        <x:v>208340.30407954103</x:v>
      </x:c>
    </x:row>
    <x:row r="46" ht="18" customHeight="1">
      <x:c r="A46" s="24" t="str">
        <x:v>EEZ_463</x:v>
      </x:c>
      <x:c r="B46" s="24" t="str">
        <x:v>Malaysia (Sarawak)</x:v>
      </x:c>
      <x:c r="C46" s="24" t="str">
        <x:v>EEZ</x:v>
      </x:c>
      <x:c r="D46" s="30" t="n">
        <x:v>2019</x:v>
      </x:c>
      <x:c r="E46" s="24" t="str">
        <x:v>Sepia</x:v>
      </x:c>
      <x:c r="F46" s="24" t="str">
        <x:v>Sepia cuttlefishes</x:v>
      </x:c>
      <x:c r="G46" s="24" t="str">
        <x:v>Cephalopods</x:v>
      </x:c>
      <x:c r="H46" s="24" t="str">
        <x:v>Other fishes &amp; inverts</x:v>
      </x:c>
      <x:c r="I46" s="31" t="n">
        <x:v>917.2122701595999</x:v>
      </x:c>
      <x:c r="J46" s="31" t="n">
        <x:v>915.3315929800999</x:v>
      </x:c>
      <x:c r="K46" s="31" t="n">
        <x:v>1.8806771795</x:v>
      </x:c>
      <x:c r="L46" s="31" t="n">
        <x:v>620.3092482485999</x:v>
      </x:c>
      <x:c r="M46" s="31" t="n">
        <x:v>296.903021911</x:v>
      </x:c>
      <x:c r="N46" s="24" t="str">
        <x:v>sepia</x:v>
      </x:c>
      <x:c r="O46" s="32" t="n">
        <x:v>3.69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Sepia</x:v>
      </x:c>
      <x:c r="T46" s="32" t="n">
        <x:f>IF(O46="","",(1/'Metadata'!$B$5)^(O46-1))</x:f>
        <x:v>489.77881936844614</x:v>
      </x:c>
      <x:c r="U46" s="31" t="n">
        <x:f>IF(T46="","",I46*T46)</x:f>
        <x:v>449231.14278902113</x:v>
      </x:c>
    </x:row>
    <x:row r="47" ht="18" customHeight="1">
      <x:c r="A47" s="24" t="str">
        <x:v>EEZ_463</x:v>
      </x:c>
      <x:c r="B47" s="24" t="str">
        <x:v>Malaysia (Sarawak)</x:v>
      </x:c>
      <x:c r="C47" s="24" t="str">
        <x:v>EEZ</x:v>
      </x:c>
      <x:c r="D47" s="30" t="n">
        <x:v>2019</x:v>
      </x:c>
      <x:c r="E47" s="24" t="str">
        <x:v>Rastrelliger kanagurta</x:v>
      </x:c>
      <x:c r="F47" s="24" t="str">
        <x:v>Indian mackerel</x:v>
      </x:c>
      <x:c r="G47" s="24" t="str">
        <x:v>Medium pelagics (30 - 89 cm)</x:v>
      </x:c>
      <x:c r="H47" s="24" t="str">
        <x:v>Perch-likes</x:v>
      </x:c>
      <x:c r="I47" s="31" t="n">
        <x:v>893.2670958974</x:v>
      </x:c>
      <x:c r="J47" s="31" t="n">
        <x:v>887.6250643587</x:v>
      </x:c>
      <x:c r="K47" s="31" t="n">
        <x:v>5.6420315386999995</x:v>
      </x:c>
      <x:c r="L47" s="31" t="n">
        <x:v>887.6250643587</x:v>
      </x:c>
      <x:c r="M47" s="31" t="n">
        <x:v>5.6420315386999995</x:v>
      </x:c>
      <x:c r="N47" s="24" t="str">
        <x:v>rastrelliger kanagurta</x:v>
      </x:c>
      <x:c r="O47" s="32" t="n">
        <x:v>3.19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Rastrelliger kanagurta</x:v>
      </x:c>
      <x:c r="T47" s="32" t="n">
        <x:f>IF(O47="","",(1/'Metadata'!$B$5)^(O47-1))</x:f>
        <x:v>154.88166189124811</x:v>
      </x:c>
      <x:c r="U47" s="31" t="n">
        <x:f>IF(T47="","",I47*T47)</x:f>
        <x:v>138350.69232535822</x:v>
      </x:c>
    </x:row>
    <x:row r="48" ht="18" customHeight="1">
      <x:c r="A48" s="24" t="str">
        <x:v>EEZ_463</x:v>
      </x:c>
      <x:c r="B48" s="24" t="str">
        <x:v>Malaysia (Sarawak)</x:v>
      </x:c>
      <x:c r="C48" s="24" t="str">
        <x:v>EEZ</x:v>
      </x:c>
      <x:c r="D48" s="30" t="n">
        <x:v>2019</x:v>
      </x:c>
      <x:c r="E48" s="24" t="str">
        <x:v>Metapenaeus</x:v>
      </x:c>
      <x:c r="F48" s="24" t="str">
        <x:v>Indo-Pacific prawns</x:v>
      </x:c>
      <x:c r="G48" s="24" t="str">
        <x:v>Shrimps</x:v>
      </x:c>
      <x:c r="H48" s="24" t="str">
        <x:v>Crustaceans</x:v>
      </x:c>
      <x:c r="I48" s="31" t="n">
        <x:v>863.927558732</x:v>
      </x:c>
      <x:c r="J48" s="31" t="n">
        <x:v>863.927558732</x:v>
      </x:c>
      <x:c r="K48" s="31" t="n">
        <x:v>0</x:v>
      </x:c>
      <x:c r="L48" s="31" t="n">
        <x:v>588.55966439</x:v>
      </x:c>
      <x:c r="M48" s="31" t="n">
        <x:v>275.367894342</x:v>
      </x:c>
      <x:c r="N48" s="24" t="str">
        <x:v>metapenaeus</x:v>
      </x:c>
      <x:c r="O48" s="32" t="n">
        <x:v>2.7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Metapenaeus</x:v>
      </x:c>
      <x:c r="T48" s="32" t="n">
        <x:f>IF(O48="","",(1/'Metadata'!$B$5)^(O48-1))</x:f>
        <x:v>50.11872336272725</x:v>
      </x:c>
      <x:c r="U48" s="31" t="n">
        <x:f>IF(T48="","",I48*T48)</x:f>
        <x:v>43298.94632152541</x:v>
      </x:c>
    </x:row>
    <x:row r="49" ht="18" customHeight="1">
      <x:c r="A49" s="24" t="str">
        <x:v>EEZ_463</x:v>
      </x:c>
      <x:c r="B49" s="24" t="str">
        <x:v>Malaysia (Sarawak)</x:v>
      </x:c>
      <x:c r="C49" s="24" t="str">
        <x:v>EEZ</x:v>
      </x:c>
      <x:c r="D49" s="30" t="n">
        <x:v>2019</x:v>
      </x:c>
      <x:c r="E49" s="24" t="str">
        <x:v>Solenocera crassicornis</x:v>
      </x:c>
      <x:c r="F49" s="24" t="str">
        <x:v>Coastal mud shrimp</x:v>
      </x:c>
      <x:c r="G49" s="24" t="str">
        <x:v>Shrimps</x:v>
      </x:c>
      <x:c r="H49" s="24" t="str">
        <x:v>Crustaceans</x:v>
      </x:c>
      <x:c r="I49" s="31" t="n">
        <x:v>858.2114552388</x:v>
      </x:c>
      <x:c r="J49" s="31" t="n">
        <x:v>858.2114552388</x:v>
      </x:c>
      <x:c r="K49" s="31" t="n">
        <x:v>0</x:v>
      </x:c>
      <x:c r="L49" s="31" t="n">
        <x:v>545.3588293719</x:v>
      </x:c>
      <x:c r="M49" s="31" t="n">
        <x:v>312.8526258669</x:v>
      </x:c>
      <x:c r="N49" s="24" t="str">
        <x:v>solenocera crassicornis</x:v>
      </x:c>
      <x:c r="O49" s="32" t="n">
        <x:v>2.2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Solenocera crassicornis</x:v>
      </x:c>
      <x:c r="T49" s="32" t="n">
        <x:f>IF(O49="","",(1/'Metadata'!$B$5)^(O49-1))</x:f>
        <x:v>15.848931924611142</x:v>
      </x:c>
      <x:c r="U49" s="31" t="n">
        <x:f>IF(T49="","",I49*T49)</x:f>
        <x:v>13601.734931001203</x:v>
      </x:c>
    </x:row>
    <x:row r="50" ht="18" customHeight="1">
      <x:c r="A50" s="24" t="str">
        <x:v>EEZ_463</x:v>
      </x:c>
      <x:c r="B50" s="24" t="str">
        <x:v>Malaysia (Sarawak)</x:v>
      </x:c>
      <x:c r="C50" s="24" t="str">
        <x:v>EEZ</x:v>
      </x:c>
      <x:c r="D50" s="30" t="n">
        <x:v>2019</x:v>
      </x:c>
      <x:c r="E50" s="24" t="str">
        <x:v>Dendrobranchiata</x:v>
      </x:c>
      <x:c r="F50" s="24" t="str">
        <x:v>Shrimps and prawns</x:v>
      </x:c>
      <x:c r="G50" s="24" t="str">
        <x:v>Shrimps</x:v>
      </x:c>
      <x:c r="H50" s="24" t="str">
        <x:v>Crustaceans</x:v>
      </x:c>
      <x:c r="I50" s="31" t="n">
        <x:v>799.9634826158</x:v>
      </x:c>
      <x:c r="J50" s="31" t="n">
        <x:v>794.0080048808</x:v>
      </x:c>
      <x:c r="K50" s="31" t="n">
        <x:v>5.9554777350000005</x:v>
      </x:c>
      <x:c r="L50" s="31" t="n">
        <x:v>794.0080048808</x:v>
      </x:c>
      <x:c r="M50" s="31" t="n">
        <x:v>5.9554777350000005</x:v>
      </x:c>
      <x:c r="N50" s="24" t="str">
        <x:v>dendrobranchiata</x:v>
      </x:c>
      <x:c r="O50" s="32" t="n">
        <x:v>3.24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Dendrobranchiata</x:v>
      </x:c>
      <x:c r="T50" s="32" t="n">
        <x:f>IF(O50="","",(1/'Metadata'!$B$5)^(O50-1))</x:f>
        <x:v>173.78008287493762</x:v>
      </x:c>
      <x:c r="U50" s="31" t="n">
        <x:f>IF(T50="","",I50*T50)</x:f>
        <x:v>139017.72030589744</x:v>
      </x:c>
    </x:row>
    <x:row r="51" ht="18" customHeight="1">
      <x:c r="A51" s="24" t="str">
        <x:v>EEZ_463</x:v>
      </x:c>
      <x:c r="B51" s="24" t="str">
        <x:v>Malaysia (Sarawak)</x:v>
      </x:c>
      <x:c r="C51" s="24" t="str">
        <x:v>EEZ</x:v>
      </x:c>
      <x:c r="D51" s="30" t="n">
        <x:v>2019</x:v>
      </x:c>
      <x:c r="E51" s="24" t="str">
        <x:v>Tetraodontidae</x:v>
      </x:c>
      <x:c r="F51" s="24" t="str">
        <x:v>Puffers, tobies</x:v>
      </x:c>
      <x:c r="G51" s="24" t="str">
        <x:v>Large reef assoc. fish (&gt;=90 cm)</x:v>
      </x:c>
      <x:c r="H51" s="24" t="str">
        <x:v>Other fishes &amp; inverts</x:v>
      </x:c>
      <x:c r="I51" s="31" t="n">
        <x:v>794.9564335407</x:v>
      </x:c>
      <x:c r="J51" s="31" t="n">
        <x:v>790.1293621141</x:v>
      </x:c>
      <x:c r="K51" s="31" t="n">
        <x:v>4.8270714266</x:v>
      </x:c>
      <x:c r="L51" s="31" t="n">
        <x:v>729.3934530071</x:v>
      </x:c>
      <x:c r="M51" s="31" t="n">
        <x:v>65.5629805336</x:v>
      </x:c>
      <x:c r="N51" s="24" t="str">
        <x:v>tetraodontidae</x:v>
      </x:c>
      <x:c r="O51" s="32" t="n">
        <x:v>3.5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Tetraodontidae</x:v>
      </x:c>
      <x:c r="T51" s="32" t="n">
        <x:f>IF(O51="","",(1/'Metadata'!$B$5)^(O51-1))</x:f>
        <x:v>316.22776601683796</x:v>
      </x:c>
      <x:c r="U51" s="31" t="n">
        <x:f>IF(T51="","",I51*T51)</x:f>
        <x:v>251387.29705928848</x:v>
      </x:c>
    </x:row>
    <x:row r="52" ht="18" customHeight="1">
      <x:c r="A52" s="24" t="str">
        <x:v>EEZ_463</x:v>
      </x:c>
      <x:c r="B52" s="24" t="str">
        <x:v>Malaysia (Sarawak)</x:v>
      </x:c>
      <x:c r="C52" s="24" t="str">
        <x:v>EEZ</x:v>
      </x:c>
      <x:c r="D52" s="30" t="n">
        <x:v>2019</x:v>
      </x:c>
      <x:c r="E52" s="24" t="str">
        <x:v>Terapon</x:v>
      </x:c>
      <x:c r="F52" s="24" t="str">
        <x:v>Terapons</x:v>
      </x:c>
      <x:c r="G52" s="24" t="str">
        <x:v>Medium demersals (30 - 89 cm)</x:v>
      </x:c>
      <x:c r="H52" s="24" t="str">
        <x:v>Perch-likes</x:v>
      </x:c>
      <x:c r="I52" s="31" t="n">
        <x:v>769.6490769419</x:v>
      </x:c>
      <x:c r="J52" s="31" t="n">
        <x:v>763.9192804692</x:v>
      </x:c>
      <x:c r="K52" s="31" t="n">
        <x:v>5.7297964727</x:v>
      </x:c>
      <x:c r="L52" s="31" t="n">
        <x:v>763.9192804692</x:v>
      </x:c>
      <x:c r="M52" s="31" t="n">
        <x:v>5.7297964727</x:v>
      </x:c>
      <x:c r="N52" s="24" t="str">
        <x:v>terapon</x:v>
      </x:c>
      <x:c r="O52" s="32" t="n">
        <x:v>3.5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Terapon</x:v>
      </x:c>
      <x:c r="T52" s="32" t="n">
        <x:f>IF(O52="","",(1/'Metadata'!$B$5)^(O52-1))</x:f>
        <x:v>316.22776601683796</x:v>
      </x:c>
      <x:c r="U52" s="31" t="n">
        <x:f>IF(T52="","",I52*T52)</x:f>
        <x:v>243384.40821825847</x:v>
      </x:c>
    </x:row>
    <x:row r="53" ht="18" customHeight="1">
      <x:c r="A53" s="24" t="str">
        <x:v>EEZ_463</x:v>
      </x:c>
      <x:c r="B53" s="24" t="str">
        <x:v>Malaysia (Sarawak)</x:v>
      </x:c>
      <x:c r="C53" s="24" t="str">
        <x:v>EEZ</x:v>
      </x:c>
      <x:c r="D53" s="30" t="n">
        <x:v>2019</x:v>
      </x:c>
      <x:c r="E53" s="24" t="str">
        <x:v>Portunus pelagicus</x:v>
      </x:c>
      <x:c r="F53" s="24" t="str">
        <x:v>Blue swimming crab</x:v>
      </x:c>
      <x:c r="G53" s="24" t="str">
        <x:v>Lobsters, crabs</x:v>
      </x:c>
      <x:c r="H53" s="24" t="str">
        <x:v>Crustaceans</x:v>
      </x:c>
      <x:c r="I53" s="31" t="n">
        <x:v>735.0202660052</x:v>
      </x:c>
      <x:c r="J53" s="31" t="n">
        <x:v>735.0202660052</x:v>
      </x:c>
      <x:c r="K53" s="31" t="n">
        <x:v>0</x:v>
      </x:c>
      <x:c r="L53" s="31" t="n">
        <x:v>478.4631493911</x:v>
      </x:c>
      <x:c r="M53" s="31" t="n">
        <x:v>256.5571166141</x:v>
      </x:c>
      <x:c r="N53" s="24" t="str">
        <x:v>portunus pelagicus</x:v>
      </x:c>
      <x:c r="O53" s="32" t="n">
        <x:v>2.48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Portunus pelagicus</x:v>
      </x:c>
      <x:c r="T53" s="32" t="n">
        <x:f>IF(O53="","",(1/'Metadata'!$B$5)^(O53-1))</x:f>
        <x:v>30.19951720402016</x:v>
      </x:c>
      <x:c r="U53" s="31" t="n">
        <x:f>IF(T53="","",I53*T53)</x:f>
        <x:v>22197.257168527514</x:v>
      </x:c>
    </x:row>
    <x:row r="54" ht="18" customHeight="1">
      <x:c r="A54" s="24" t="str">
        <x:v>EEZ_463</x:v>
      </x:c>
      <x:c r="B54" s="24" t="str">
        <x:v>Malaysia (Sarawak)</x:v>
      </x:c>
      <x:c r="C54" s="24" t="str">
        <x:v>EEZ</x:v>
      </x:c>
      <x:c r="D54" s="30" t="n">
        <x:v>2019</x:v>
      </x:c>
      <x:c r="E54" s="24" t="str">
        <x:v>Cynoglossus</x:v>
      </x:c>
      <x:c r="F54" s="24" t="str">
        <x:v>Tonguesoles</x:v>
      </x:c>
      <x:c r="G54" s="24" t="str">
        <x:v>Small to medium flatfishes (&lt;90 cm)</x:v>
      </x:c>
      <x:c r="H54" s="24" t="str">
        <x:v>Flatfishes</x:v>
      </x:c>
      <x:c r="I54" s="31" t="n">
        <x:v>710.9871243379</x:v>
      </x:c>
      <x:c r="J54" s="31" t="n">
        <x:v>708.4795547654</x:v>
      </x:c>
      <x:c r="K54" s="31" t="n">
        <x:v>2.5075695725</x:v>
      </x:c>
      <x:c r="L54" s="31" t="n">
        <x:v>601.5367246841</x:v>
      </x:c>
      <x:c r="M54" s="31" t="n">
        <x:v>109.4503996538</x:v>
      </x:c>
      <x:c r="N54" s="24" t="str">
        <x:v>cynoglossus</x:v>
      </x:c>
      <x:c r="O54" s="32" t="n">
        <x:v>3.36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Cynoglossus</x:v>
      </x:c>
      <x:c r="T54" s="32" t="n">
        <x:f>IF(O54="","",(1/'Metadata'!$B$5)^(O54-1))</x:f>
        <x:v>229.08676527677724</x:v>
      </x:c>
      <x:c r="U54" s="31" t="n">
        <x:f>IF(T54="","",I54*T54)</x:f>
        <x:v>162877.74046800734</x:v>
      </x:c>
    </x:row>
    <x:row r="55" ht="18" customHeight="1">
      <x:c r="A55" s="24" t="str">
        <x:v>EEZ_463</x:v>
      </x:c>
      <x:c r="B55" s="24" t="str">
        <x:v>Malaysia (Sarawak)</x:v>
      </x:c>
      <x:c r="C55" s="24" t="str">
        <x:v>EEZ</x:v>
      </x:c>
      <x:c r="D55" s="30" t="n">
        <x:v>2019</x:v>
      </x:c>
      <x:c r="E55" s="24" t="str">
        <x:v>Scylla serrata</x:v>
      </x:c>
      <x:c r="F55" s="24" t="str">
        <x:v>Indo-Pacific swamp crab</x:v>
      </x:c>
      <x:c r="G55" s="24" t="str">
        <x:v>Lobsters, crabs</x:v>
      </x:c>
      <x:c r="H55" s="24" t="str">
        <x:v>Crustaceans</x:v>
      </x:c>
      <x:c r="I55" s="31" t="n">
        <x:v>651.7079197155</x:v>
      </x:c>
      <x:c r="J55" s="31" t="n">
        <x:v>651.7079197155</x:v>
      </x:c>
      <x:c r="K55" s="31" t="n">
        <x:v>0</x:v>
      </x:c>
      <x:c r="L55" s="31" t="n">
        <x:v>403.4868027297</x:v>
      </x:c>
      <x:c r="M55" s="31" t="n">
        <x:v>248.2211169858</x:v>
      </x:c>
      <x:c r="N55" s="24" t="str">
        <x:v>scylla serrata</x:v>
      </x:c>
      <x:c r="O55" s="32" t="n">
        <x:v>3.17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Scylla serrata</x:v>
      </x:c>
      <x:c r="T55" s="32" t="n">
        <x:f>IF(O55="","",(1/'Metadata'!$B$5)^(O55-1))</x:f>
        <x:v>147.91083881682073</x:v>
      </x:c>
      <x:c r="U55" s="31" t="n">
        <x:f>IF(T55="","",I55*T55)</x:f>
        <x:v>96394.66506868486</x:v>
      </x:c>
    </x:row>
    <x:row r="56" ht="18" customHeight="1">
      <x:c r="A56" s="24" t="str">
        <x:v>EEZ_463</x:v>
      </x:c>
      <x:c r="B56" s="24" t="str">
        <x:v>Malaysia (Sarawak)</x:v>
      </x:c>
      <x:c r="C56" s="24" t="str">
        <x:v>EEZ</x:v>
      </x:c>
      <x:c r="D56" s="30" t="n">
        <x:v>2019</x:v>
      </x:c>
      <x:c r="E56" s="24" t="str">
        <x:v>Euthynnus affinis</x:v>
      </x:c>
      <x:c r="F56" s="24" t="str">
        <x:v>Kawakawa</x:v>
      </x:c>
      <x:c r="G56" s="24" t="str">
        <x:v>Large pelagics (&gt;=90 cm)</x:v>
      </x:c>
      <x:c r="H56" s="24" t="str">
        <x:v>Tuna &amp; billfishes</x:v>
      </x:c>
      <x:c r="I56" s="31" t="n">
        <x:v>610.3865081627</x:v>
      </x:c>
      <x:c r="J56" s="31" t="n">
        <x:v>610.3865081627</x:v>
      </x:c>
      <x:c r="K56" s="31" t="n">
        <x:v>0</x:v>
      </x:c>
      <x:c r="L56" s="31" t="n">
        <x:v>387.8372418974</x:v>
      </x:c>
      <x:c r="M56" s="31" t="n">
        <x:v>222.54926626530002</x:v>
      </x:c>
      <x:c r="N56" s="24" t="str">
        <x:v>euthynnus affinis</x:v>
      </x:c>
      <x:c r="O56" s="32" t="n">
        <x:v>4.5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Euthynnus affinis</x:v>
      </x:c>
      <x:c r="T56" s="32" t="n">
        <x:f>IF(O56="","",(1/'Metadata'!$B$5)^(O56-1))</x:f>
        <x:v>3162.2776601683795</x:v>
      </x:c>
      <x:c r="U56" s="31" t="n">
        <x:f>IF(T56="","",I56*T56)</x:f>
        <x:v>1930211.6188310904</x:v>
      </x:c>
    </x:row>
    <x:row r="57" ht="18" customHeight="1">
      <x:c r="A57" s="24" t="str">
        <x:v>EEZ_463</x:v>
      </x:c>
      <x:c r="B57" s="24" t="str">
        <x:v>Malaysia (Sarawak)</x:v>
      </x:c>
      <x:c r="C57" s="24" t="str">
        <x:v>EEZ</x:v>
      </x:c>
      <x:c r="D57" s="30" t="n">
        <x:v>2019</x:v>
      </x:c>
      <x:c r="E57" s="24" t="str">
        <x:v>Pristipomoides</x:v>
      </x:c>
      <x:c r="F57" s="24" t="str">
        <x:v>Jobfishes</x:v>
      </x:c>
      <x:c r="G57" s="24" t="str">
        <x:v>Medium demersals (30 - 89 cm)</x:v>
      </x:c>
      <x:c r="H57" s="24" t="str">
        <x:v>Perch-likes</x:v>
      </x:c>
      <x:c r="I57" s="31" t="n">
        <x:v>504.137786893</x:v>
      </x:c>
      <x:c r="J57" s="31" t="n">
        <x:v>504.137786893</x:v>
      </x:c>
      <x:c r="K57" s="31" t="n">
        <x:v>0</x:v>
      </x:c>
      <x:c r="L57" s="31" t="n">
        <x:v>328.0781781154</x:v>
      </x:c>
      <x:c r="M57" s="31" t="n">
        <x:v>176.0596087776</x:v>
      </x:c>
      <x:c r="N57" s="24" t="str">
        <x:v>pristipomoides</x:v>
      </x:c>
      <x:c r="O57" s="32" t="n">
        <x:v>3.91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Pristipomoides</x:v>
      </x:c>
      <x:c r="T57" s="32" t="n">
        <x:f>IF(O57="","",(1/'Metadata'!$B$5)^(O57-1))</x:f>
        <x:v>812.8305161640995</x:v>
      </x:c>
      <x:c r="U57" s="31" t="n">
        <x:f>IF(T57="","",I57*T57)</x:f>
        <x:v>409778.577538064</x:v>
      </x:c>
    </x:row>
    <x:row r="58" ht="18" customHeight="1">
      <x:c r="A58" s="24" t="str">
        <x:v>EEZ_463</x:v>
      </x:c>
      <x:c r="B58" s="24" t="str">
        <x:v>Malaysia (Sarawak)</x:v>
      </x:c>
      <x:c r="C58" s="24" t="str">
        <x:v>EEZ</x:v>
      </x:c>
      <x:c r="D58" s="30" t="n">
        <x:v>2019</x:v>
      </x:c>
      <x:c r="E58" s="24" t="str">
        <x:v>Sciaenidae</x:v>
      </x:c>
      <x:c r="F58" s="24" t="str">
        <x:v>Drums, croakers</x:v>
      </x:c>
      <x:c r="G58" s="24" t="str">
        <x:v>Medium demersals (30 - 89 cm)</x:v>
      </x:c>
      <x:c r="H58" s="24" t="str">
        <x:v>Perch-likes</x:v>
      </x:c>
      <x:c r="I58" s="31" t="n">
        <x:v>500.5424384517</x:v>
      </x:c>
      <x:c r="J58" s="31" t="n">
        <x:v>315.87337408959996</x:v>
      </x:c>
      <x:c r="K58" s="31" t="n">
        <x:v>184.6690643621</x:v>
      </x:c>
      <x:c r="L58" s="31" t="n">
        <x:v>229.112581233</x:v>
      </x:c>
      <x:c r="M58" s="31" t="n">
        <x:v>271.4298572187</x:v>
      </x:c>
      <x:c r="N58" s="24" t="str">
        <x:v>sciaenidae</x:v>
      </x:c>
      <x:c r="O58" s="32" t="n">
        <x:v>3.76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Sciaenidae</x:v>
      </x:c>
      <x:c r="T58" s="32" t="n">
        <x:f>IF(O58="","",(1/'Metadata'!$B$5)^(O58-1))</x:f>
        <x:v>575.4399373371566</x:v>
      </x:c>
      <x:c r="U58" s="31" t="n">
        <x:f>IF(T58="","",I58*T58)</x:f>
        <x:v>288032.1094172338</x:v>
      </x:c>
    </x:row>
    <x:row r="59" ht="18" customHeight="1">
      <x:c r="A59" s="24" t="str">
        <x:v>EEZ_463</x:v>
      </x:c>
      <x:c r="B59" s="24" t="str">
        <x:v>Malaysia (Sarawak)</x:v>
      </x:c>
      <x:c r="C59" s="24" t="str">
        <x:v>EEZ</x:v>
      </x:c>
      <x:c r="D59" s="30" t="n">
        <x:v>2019</x:v>
      </x:c>
      <x:c r="E59" s="24" t="str">
        <x:v>Paralichthyidae</x:v>
      </x:c>
      <x:c r="F59" s="24" t="str">
        <x:v>Largetooth flounders</x:v>
      </x:c>
      <x:c r="G59" s="24" t="str">
        <x:v>Small to medium flatfishes (&lt;90 cm)</x:v>
      </x:c>
      <x:c r="H59" s="24" t="str">
        <x:v>Flatfishes</x:v>
      </x:c>
      <x:c r="I59" s="31" t="n">
        <x:v>467.0589802567</x:v>
      </x:c>
      <x:c r="J59" s="31" t="n">
        <x:v>467.0589802567</x:v>
      </x:c>
      <x:c r="K59" s="31" t="n">
        <x:v>0</x:v>
      </x:c>
      <x:c r="L59" s="31" t="n">
        <x:v>333.2966352666</x:v>
      </x:c>
      <x:c r="M59" s="31" t="n">
        <x:v>133.7623449901</x:v>
      </x:c>
      <x:c r="N59" s="24" t="str">
        <x:v>paralichthyidae</x:v>
      </x:c>
      <x:c r="O59" s="32" t="n">
        <x:v>4.06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Paralichthyidae</x:v>
      </x:c>
      <x:c r="T59" s="32" t="n">
        <x:f>IF(O59="","",(1/'Metadata'!$B$5)^(O59-1))</x:f>
        <x:v>1148.1536214968817</x:v>
      </x:c>
      <x:c r="U59" s="31" t="n">
        <x:f>IF(T59="","",I59*T59)</x:f>
        <x:v>536255.4596343706</x:v>
      </x:c>
    </x:row>
    <x:row r="60" ht="18" customHeight="1">
      <x:c r="A60" s="24" t="str">
        <x:v>EEZ_463</x:v>
      </x:c>
      <x:c r="B60" s="24" t="str">
        <x:v>Malaysia (Sarawak)</x:v>
      </x:c>
      <x:c r="C60" s="24" t="str">
        <x:v>EEZ</x:v>
      </x:c>
      <x:c r="D60" s="30" t="n">
        <x:v>2019</x:v>
      </x:c>
      <x:c r="E60" s="24" t="str">
        <x:v>Nemipterus japonicus</x:v>
      </x:c>
      <x:c r="F60" s="24" t="str">
        <x:v>Japanese threadfin bream</x:v>
      </x:c>
      <x:c r="G60" s="24" t="str">
        <x:v>Small demersals (&lt;30 cm)</x:v>
      </x:c>
      <x:c r="H60" s="24" t="str">
        <x:v>Perch-likes</x:v>
      </x:c>
      <x:c r="I60" s="31" t="n">
        <x:v>451.3478175321</x:v>
      </x:c>
      <x:c r="J60" s="31" t="n">
        <x:v>447.9876743053</x:v>
      </x:c>
      <x:c r="K60" s="31" t="n">
        <x:v>3.3601432268</x:v>
      </x:c>
      <x:c r="L60" s="31" t="n">
        <x:v>447.9876743053</x:v>
      </x:c>
      <x:c r="M60" s="31" t="n">
        <x:v>3.3601432268</x:v>
      </x:c>
      <x:c r="N60" s="24" t="str">
        <x:v>nemipterus japonicus</x:v>
      </x:c>
      <x:c r="O60" s="32" t="n">
        <x:v>3.77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Nemipterus japonicus</x:v>
      </x:c>
      <x:c r="T60" s="32" t="n">
        <x:f>IF(O60="","",(1/'Metadata'!$B$5)^(O60-1))</x:f>
        <x:v>588.843655355589</x:v>
      </x:c>
      <x:c r="U60" s="31" t="n">
        <x:f>IF(T60="","",I60*T60)</x:f>
        <x:v>265773.2987123692</x:v>
      </x:c>
    </x:row>
    <x:row r="61" ht="18" customHeight="1">
      <x:c r="A61" s="24" t="str">
        <x:v>EEZ_463</x:v>
      </x:c>
      <x:c r="B61" s="24" t="str">
        <x:v>Malaysia (Sarawak)</x:v>
      </x:c>
      <x:c r="C61" s="24" t="str">
        <x:v>EEZ</x:v>
      </x:c>
      <x:c r="D61" s="30" t="n">
        <x:v>2019</x:v>
      </x:c>
      <x:c r="E61" s="24" t="str">
        <x:v>Platycephalidae</x:v>
      </x:c>
      <x:c r="F61" s="24" t="str">
        <x:v>Flatheads</x:v>
      </x:c>
      <x:c r="G61" s="24" t="str">
        <x:v>Medium demersals (30 - 89 cm)</x:v>
      </x:c>
      <x:c r="H61" s="24" t="str">
        <x:v>Scorpionfishes</x:v>
      </x:c>
      <x:c r="I61" s="31" t="n">
        <x:v>438.5633674866</x:v>
      </x:c>
      <x:c r="J61" s="31" t="n">
        <x:v>228.5606860762</x:v>
      </x:c>
      <x:c r="K61" s="31" t="n">
        <x:v>210.00268141040002</x:v>
      </x:c>
      <x:c r="L61" s="31" t="n">
        <x:v>225.7009639465</x:v>
      </x:c>
      <x:c r="M61" s="31" t="n">
        <x:v>212.86240354010002</x:v>
      </x:c>
      <x:c r="N61" s="24" t="str">
        <x:v>platycephalidae</x:v>
      </x:c>
      <x:c r="O61" s="32" t="n">
        <x:v>3.9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Platycephalidae</x:v>
      </x:c>
      <x:c r="T61" s="32" t="n">
        <x:f>IF(O61="","",(1/'Metadata'!$B$5)^(O61-1))</x:f>
        <x:v>794.3282347242813</x:v>
      </x:c>
      <x:c r="U61" s="31" t="n">
        <x:f>IF(T61="","",I61*T61)</x:f>
        <x:v>348363.26551036723</x:v>
      </x:c>
    </x:row>
    <x:row r="62" ht="18" customHeight="1">
      <x:c r="A62" s="24" t="str">
        <x:v>EEZ_463</x:v>
      </x:c>
      <x:c r="B62" s="24" t="str">
        <x:v>Malaysia (Sarawak)</x:v>
      </x:c>
      <x:c r="C62" s="24" t="str">
        <x:v>EEZ</x:v>
      </x:c>
      <x:c r="D62" s="30" t="n">
        <x:v>2019</x:v>
      </x:c>
      <x:c r="E62" s="24" t="str">
        <x:v>Gobiidae</x:v>
      </x:c>
      <x:c r="F62" s="24" t="str">
        <x:v>Gobies</x:v>
      </x:c>
      <x:c r="G62" s="24" t="str">
        <x:v>Small reef assoc. fish (&lt;30 cm)</x:v>
      </x:c>
      <x:c r="H62" s="24" t="str">
        <x:v>Perch-likes</x:v>
      </x:c>
      <x:c r="I62" s="31" t="n">
        <x:v>421.0334119118</x:v>
      </x:c>
      <x:c r="J62" s="31" t="n">
        <x:v>417.89894994630004</x:v>
      </x:c>
      <x:c r="K62" s="31" t="n">
        <x:v>3.1344619655</x:v>
      </x:c>
      <x:c r="L62" s="31" t="n">
        <x:v>417.89894994630004</x:v>
      </x:c>
      <x:c r="M62" s="31" t="n">
        <x:v>3.1344619655</x:v>
      </x:c>
      <x:c r="N62" s="24" t="str">
        <x:v>gobiidae</x:v>
      </x:c>
      <x:c r="O62" s="32" t="n">
        <x:v>3.11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Gobiidae</x:v>
      </x:c>
      <x:c r="T62" s="32" t="n">
        <x:f>IF(O62="","",(1/'Metadata'!$B$5)^(O62-1))</x:f>
        <x:v>128.82495516931337</x:v>
      </x:c>
      <x:c r="U62" s="31" t="n">
        <x:f>IF(T62="","",I62*T62)</x:f>
        <x:v>54239.61041432068</x:v>
      </x:c>
    </x:row>
    <x:row r="63" ht="18" customHeight="1">
      <x:c r="A63" s="24" t="str">
        <x:v>EEZ_463</x:v>
      </x:c>
      <x:c r="B63" s="24" t="str">
        <x:v>Malaysia (Sarawak)</x:v>
      </x:c>
      <x:c r="C63" s="24" t="str">
        <x:v>EEZ</x:v>
      </x:c>
      <x:c r="D63" s="30" t="n">
        <x:v>2019</x:v>
      </x:c>
      <x:c r="E63" s="24" t="str">
        <x:v>Lactarius lactarius</x:v>
      </x:c>
      <x:c r="F63" s="24" t="str">
        <x:v>False trevally</x:v>
      </x:c>
      <x:c r="G63" s="24" t="str">
        <x:v>Medium pelagics (30 - 89 cm)</x:v>
      </x:c>
      <x:c r="H63" s="24" t="str">
        <x:v>Perch-likes</x:v>
      </x:c>
      <x:c r="I63" s="31" t="n">
        <x:v>399.4432439952</x:v>
      </x:c>
      <x:c r="J63" s="31" t="n">
        <x:v>399.4432439952</x:v>
      </x:c>
      <x:c r="K63" s="31" t="n">
        <x:v>0</x:v>
      </x:c>
      <x:c r="L63" s="31" t="n">
        <x:v>272.817108383</x:v>
      </x:c>
      <x:c r="M63" s="31" t="n">
        <x:v>126.6261356122</x:v>
      </x:c>
      <x:c r="N63" s="24" t="str">
        <x:v>lactarius lactarius</x:v>
      </x:c>
      <x:c r="O63" s="32" t="n">
        <x:v>3.97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Lactarius lactarius</x:v>
      </x:c>
      <x:c r="T63" s="32" t="n">
        <x:f>IF(O63="","",(1/'Metadata'!$B$5)^(O63-1))</x:f>
        <x:v>933.2543007969915</x:v>
      </x:c>
      <x:c r="U63" s="31" t="n">
        <x:f>IF(T63="","",I63*T63)</x:f>
        <x:v>372782.1253828225</x:v>
      </x:c>
    </x:row>
    <x:row r="64" ht="18" customHeight="1">
      <x:c r="A64" s="24" t="str">
        <x:v>EEZ_463</x:v>
      </x:c>
      <x:c r="B64" s="24" t="str">
        <x:v>Malaysia (Sarawak)</x:v>
      </x:c>
      <x:c r="C64" s="24" t="str">
        <x:v>EEZ</x:v>
      </x:c>
      <x:c r="D64" s="30" t="n">
        <x:v>2019</x:v>
      </x:c>
      <x:c r="E64" s="24" t="str">
        <x:v>Bothidae</x:v>
      </x:c>
      <x:c r="F64" s="24" t="str">
        <x:v>Lefteye flounders</x:v>
      </x:c>
      <x:c r="G64" s="24" t="str">
        <x:v>Small to medium flatfishes (&lt;90 cm)</x:v>
      </x:c>
      <x:c r="H64" s="24" t="str">
        <x:v>Flatfishes</x:v>
      </x:c>
      <x:c r="I64" s="31" t="n">
        <x:v>378.93007067</x:v>
      </x:c>
      <x:c r="J64" s="31" t="n">
        <x:v>376.1090549011</x:v>
      </x:c>
      <x:c r="K64" s="31" t="n">
        <x:v>2.8210157688999997</x:v>
      </x:c>
      <x:c r="L64" s="31" t="n">
        <x:v>376.1090549011</x:v>
      </x:c>
      <x:c r="M64" s="31" t="n">
        <x:v>2.8210157688999997</x:v>
      </x:c>
      <x:c r="N64" s="24" t="str">
        <x:v>bothidae</x:v>
      </x:c>
      <x:c r="O64" s="32" t="n">
        <x:v>3.77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Bothidae</x:v>
      </x:c>
      <x:c r="T64" s="32" t="n">
        <x:f>IF(O64="","",(1/'Metadata'!$B$5)^(O64-1))</x:f>
        <x:v>588.843655355589</x:v>
      </x:c>
      <x:c r="U64" s="31" t="n">
        <x:f>IF(T64="","",I64*T64)</x:f>
        <x:v>223130.5679374745</x:v>
      </x:c>
    </x:row>
    <x:row r="65" ht="18" customHeight="1">
      <x:c r="A65" s="24" t="str">
        <x:v>EEZ_463</x:v>
      </x:c>
      <x:c r="B65" s="24" t="str">
        <x:v>Malaysia (Sarawak)</x:v>
      </x:c>
      <x:c r="C65" s="24" t="str">
        <x:v>EEZ</x:v>
      </x:c>
      <x:c r="D65" s="30" t="n">
        <x:v>2019</x:v>
      </x:c>
      <x:c r="E65" s="24" t="str">
        <x:v>Nemipteridae</x:v>
      </x:c>
      <x:c r="F65" s="24" t="str">
        <x:v>Threadfins, whiptail breams</x:v>
      </x:c>
      <x:c r="G65" s="24" t="str">
        <x:v>Small demersals (&lt;30 cm)</x:v>
      </x:c>
      <x:c r="H65" s="24" t="str">
        <x:v>Perch-likes</x:v>
      </x:c>
      <x:c r="I65" s="31" t="n">
        <x:v>377.9050262776</x:v>
      </x:c>
      <x:c r="J65" s="31" t="n">
        <x:v>375.1849484107</x:v>
      </x:c>
      <x:c r="K65" s="31" t="n">
        <x:v>2.7200778669</x:v>
      </x:c>
      <x:c r="L65" s="31" t="n">
        <x:v>269.40260103319997</x:v>
      </x:c>
      <x:c r="M65" s="31" t="n">
        <x:v>108.5024252444</x:v>
      </x:c>
      <x:c r="N65" s="24" t="str">
        <x:v>nemipteridae</x:v>
      </x:c>
      <x:c r="O65" s="32" t="n">
        <x:v>3.51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Nemipteridae</x:v>
      </x:c>
      <x:c r="T65" s="32" t="n">
        <x:f>IF(O65="","",(1/'Metadata'!$B$5)^(O65-1))</x:f>
        <x:v>323.5936569296281</x:v>
      </x:c>
      <x:c r="U65" s="31" t="n">
        <x:f>IF(T65="","",I65*T65)</x:f>
        <x:v>122287.66942525576</x:v>
      </x:c>
    </x:row>
    <x:row r="66" ht="18" customHeight="1">
      <x:c r="A66" s="24" t="str">
        <x:v>EEZ_463</x:v>
      </x:c>
      <x:c r="B66" s="24" t="str">
        <x:v>Malaysia (Sarawak)</x:v>
      </x:c>
      <x:c r="C66" s="24" t="str">
        <x:v>EEZ</x:v>
      </x:c>
      <x:c r="D66" s="30" t="n">
        <x:v>2019</x:v>
      </x:c>
      <x:c r="E66" s="24" t="str">
        <x:v>Sardinella</x:v>
      </x:c>
      <x:c r="F66" s="24" t="str">
        <x:v>Sardinellas</x:v>
      </x:c>
      <x:c r="G66" s="24" t="str">
        <x:v>Small pelagics (&lt;30 cm)</x:v>
      </x:c>
      <x:c r="H66" s="24" t="str">
        <x:v>Herring-likes</x:v>
      </x:c>
      <x:c r="I66" s="31" t="n">
        <x:v>370.2045673397</x:v>
      </x:c>
      <x:c r="J66" s="31" t="n">
        <x:v>370.2045673397</x:v>
      </x:c>
      <x:c r="K66" s="31" t="n">
        <x:v>0</x:v>
      </x:c>
      <x:c r="L66" s="31" t="n">
        <x:v>210.68066719010002</x:v>
      </x:c>
      <x:c r="M66" s="31" t="n">
        <x:v>159.52390014960002</x:v>
      </x:c>
      <x:c r="N66" s="24" t="str">
        <x:v>sardinella</x:v>
      </x:c>
      <x:c r="O66" s="32" t="n">
        <x:v>2.77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Sardinella</x:v>
      </x:c>
      <x:c r="T66" s="32" t="n">
        <x:f>IF(O66="","",(1/'Metadata'!$B$5)^(O66-1))</x:f>
        <x:v>58.8843655355589</x:v>
      </x:c>
      <x:c r="U66" s="31" t="n">
        <x:f>IF(T66="","",I66*T66)</x:f>
        <x:v>21799.261066164327</x:v>
      </x:c>
    </x:row>
    <x:row r="67" ht="18" customHeight="1">
      <x:c r="A67" s="24" t="str">
        <x:v>EEZ_463</x:v>
      </x:c>
      <x:c r="B67" s="24" t="str">
        <x:v>Malaysia (Sarawak)</x:v>
      </x:c>
      <x:c r="C67" s="24" t="str">
        <x:v>EEZ</x:v>
      </x:c>
      <x:c r="D67" s="30" t="n">
        <x:v>2019</x:v>
      </x:c>
      <x:c r="E67" s="24" t="str">
        <x:v>Pampus chinensis</x:v>
      </x:c>
      <x:c r="F67" s="24" t="str">
        <x:v>Chinese silver pomfret</x:v>
      </x:c>
      <x:c r="G67" s="24" t="str">
        <x:v>Medium benthopelagics (30 - 89 cm)</x:v>
      </x:c>
      <x:c r="H67" s="24" t="str">
        <x:v>Perch-likes</x:v>
      </x:c>
      <x:c r="I67" s="31" t="n">
        <x:v>364.6659530879</x:v>
      </x:c>
      <x:c r="J67" s="31" t="n">
        <x:v>364.6659530879</x:v>
      </x:c>
      <x:c r="K67" s="31" t="n">
        <x:v>0</x:v>
      </x:c>
      <x:c r="L67" s="31" t="n">
        <x:v>250.6025255339</x:v>
      </x:c>
      <x:c r="M67" s="31" t="n">
        <x:v>114.06342755399999</x:v>
      </x:c>
      <x:c r="N67" s="24" t="str">
        <x:v>pampus chinensis</x:v>
      </x:c>
      <x:c r="O67" s="32" t="n">
        <x:v>3.6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Pampus chinensis</x:v>
      </x:c>
      <x:c r="T67" s="32" t="n">
        <x:f>IF(O67="","",(1/'Metadata'!$B$5)^(O67-1))</x:f>
        <x:v>398.1071705534973</x:v>
      </x:c>
      <x:c r="U67" s="31" t="n">
        <x:f>IF(T67="","",I67*T67)</x:f>
        <x:v>145176.13078101826</x:v>
      </x:c>
    </x:row>
    <x:row r="68" ht="18" customHeight="1">
      <x:c r="A68" s="24" t="str">
        <x:v>EEZ_463</x:v>
      </x:c>
      <x:c r="B68" s="24" t="str">
        <x:v>Malaysia (Sarawak)</x:v>
      </x:c>
      <x:c r="C68" s="24" t="str">
        <x:v>EEZ</x:v>
      </x:c>
      <x:c r="D68" s="30" t="n">
        <x:v>2019</x:v>
      </x:c>
      <x:c r="E68" s="24" t="str">
        <x:v>Plectorhinchus</x:v>
      </x:c>
      <x:c r="F68" s="24" t="str">
        <x:v>Sweetlips</x:v>
      </x:c>
      <x:c r="G68" s="24" t="str">
        <x:v>Medium reef assoc. fish (30 - 89 cm)</x:v>
      </x:c>
      <x:c r="H68" s="24" t="str">
        <x:v>Perch-likes</x:v>
      </x:c>
      <x:c r="I68" s="31" t="n">
        <x:v>251.02104211</x:v>
      </x:c>
      <x:c r="J68" s="31" t="n">
        <x:v>251.02104211</x:v>
      </x:c>
      <x:c r="K68" s="31" t="n">
        <x:v>0</x:v>
      </x:c>
      <x:c r="L68" s="31" t="n">
        <x:v>169.6386326688</x:v>
      </x:c>
      <x:c r="M68" s="31" t="n">
        <x:v>81.3824094412</x:v>
      </x:c>
      <x:c r="N68" s="24" t="str">
        <x:v>plectorhinchus</x:v>
      </x:c>
      <x:c r="O68" s="32" t="n">
        <x:v>3.43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Plectorhinchus</x:v>
      </x:c>
      <x:c r="T68" s="32" t="n">
        <x:f>IF(O68="","",(1/'Metadata'!$B$5)^(O68-1))</x:f>
        <x:v>269.1534803926917</x:v>
      </x:c>
      <x:c r="U68" s="31" t="n">
        <x:f>IF(T68="","",I68*T68)</x:f>
        <x:v>67563.18713570692</x:v>
      </x:c>
    </x:row>
    <x:row r="69" ht="18" customHeight="1">
      <x:c r="A69" s="24" t="str">
        <x:v>EEZ_463</x:v>
      </x:c>
      <x:c r="B69" s="24" t="str">
        <x:v>Malaysia (Sarawak)</x:v>
      </x:c>
      <x:c r="C69" s="24" t="str">
        <x:v>EEZ</x:v>
      </x:c>
      <x:c r="D69" s="30" t="n">
        <x:v>2019</x:v>
      </x:c>
      <x:c r="E69" s="24" t="str">
        <x:v>Acetes</x:v>
      </x:c>
      <x:c r="F69" s="24" t="str">
        <x:v>Acetes shrimps</x:v>
      </x:c>
      <x:c r="G69" s="24" t="str">
        <x:v>Shrimps</x:v>
      </x:c>
      <x:c r="H69" s="24" t="str">
        <x:v>Crustaceans</x:v>
      </x:c>
      <x:c r="I69" s="31" t="n">
        <x:v>249.9135188004</x:v>
      </x:c>
      <x:c r="J69" s="31" t="n">
        <x:v>249.9135188004</x:v>
      </x:c>
      <x:c r="K69" s="31" t="n">
        <x:v>0</x:v>
      </x:c>
      <x:c r="L69" s="31" t="n">
        <x:v>120.7408601514</x:v>
      </x:c>
      <x:c r="M69" s="31" t="n">
        <x:v>129.172658649</x:v>
      </x:c>
      <x:c r="N69" s="24" t="str">
        <x:v>acetes</x:v>
      </x:c>
      <x:c r="O69" s="32" t="n">
        <x:v>2.7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Acetes</x:v>
      </x:c>
      <x:c r="T69" s="32" t="n">
        <x:f>IF(O69="","",(1/'Metadata'!$B$5)^(O69-1))</x:f>
        <x:v>50.11872336272725</x:v>
      </x:c>
      <x:c r="U69" s="31" t="n">
        <x:f>IF(T69="","",I69*T69)</x:f>
        <x:v>12525.346513362983</x:v>
      </x:c>
    </x:row>
    <x:row r="70" ht="18" customHeight="1">
      <x:c r="A70" s="24" t="str">
        <x:v>EEZ_463</x:v>
      </x:c>
      <x:c r="B70" s="24" t="str">
        <x:v>Malaysia (Sarawak)</x:v>
      </x:c>
      <x:c r="C70" s="24" t="str">
        <x:v>EEZ</x:v>
      </x:c>
      <x:c r="D70" s="30" t="n">
        <x:v>2019</x:v>
      </x:c>
      <x:c r="E70" s="24" t="str">
        <x:v>Lutjanus johnii</x:v>
      </x:c>
      <x:c r="F70" s="24" t="str">
        <x:v>John's snapper</x:v>
      </x:c>
      <x:c r="G70" s="24" t="str">
        <x:v>Medium reef assoc. fish (30 - 89 cm)</x:v>
      </x:c>
      <x:c r="H70" s="24" t="str">
        <x:v>Perch-likes</x:v>
      </x:c>
      <x:c r="I70" s="31" t="n">
        <x:v>241.8918525663</x:v>
      </x:c>
      <x:c r="J70" s="31" t="n">
        <x:v>241.8918525663</x:v>
      </x:c>
      <x:c r="K70" s="31" t="n">
        <x:v>0</x:v>
      </x:c>
      <x:c r="L70" s="31" t="n">
        <x:v>158.8067286342</x:v>
      </x:c>
      <x:c r="M70" s="31" t="n">
        <x:v>83.0851239321</x:v>
      </x:c>
      <x:c r="N70" s="24" t="str">
        <x:v>lutjanus johnii</x:v>
      </x:c>
      <x:c r="O70" s="32" t="n">
        <x:v>4.2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Lutjanus johnii</x:v>
      </x:c>
      <x:c r="T70" s="32" t="n">
        <x:f>IF(O70="","",(1/'Metadata'!$B$5)^(O70-1))</x:f>
        <x:v>1584.893192461114</x:v>
      </x:c>
      <x:c r="U70" s="31" t="n">
        <x:f>IF(T70="","",I70*T70)</x:f>
        <x:v>383372.7504441363</x:v>
      </x:c>
    </x:row>
    <x:row r="71" ht="18" customHeight="1">
      <x:c r="A71" s="24" t="str">
        <x:v>EEZ_463</x:v>
      </x:c>
      <x:c r="B71" s="24" t="str">
        <x:v>Malaysia (Sarawak)</x:v>
      </x:c>
      <x:c r="C71" s="24" t="str">
        <x:v>EEZ</x:v>
      </x:c>
      <x:c r="D71" s="30" t="n">
        <x:v>2019</x:v>
      </x:c>
      <x:c r="E71" s="24" t="str">
        <x:v>Siganus</x:v>
      </x:c>
      <x:c r="F71" s="24" t="str">
        <x:v>Spinefoots</x:v>
      </x:c>
      <x:c r="G71" s="24" t="str">
        <x:v>Medium reef assoc. fish (30 - 89 cm)</x:v>
      </x:c>
      <x:c r="H71" s="24" t="str">
        <x:v>Perch-likes</x:v>
      </x:c>
      <x:c r="I71" s="31" t="n">
        <x:v>228.4003207037</x:v>
      </x:c>
      <x:c r="J71" s="31" t="n">
        <x:v>228.4003207037</x:v>
      </x:c>
      <x:c r="K71" s="31" t="n">
        <x:v>0</x:v>
      </x:c>
      <x:c r="L71" s="31" t="n">
        <x:v>225.3268996621</x:v>
      </x:c>
      <x:c r="M71" s="31" t="n">
        <x:v>3.0734210416</x:v>
      </x:c>
      <x:c r="N71" s="24" t="str">
        <x:v>siganus</x:v>
      </x:c>
      <x:c r="O71" s="32" t="n">
        <x:v>2.11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Siganus</x:v>
      </x:c>
      <x:c r="T71" s="32" t="n">
        <x:f>IF(O71="","",(1/'Metadata'!$B$5)^(O71-1))</x:f>
        <x:v>12.882495516931336</x:v>
      </x:c>
      <x:c r="U71" s="31" t="n">
        <x:f>IF(T71="","",I71*T71)</x:f>
        <x:v>2942.3661075310947</x:v>
      </x:c>
    </x:row>
    <x:row r="72" ht="18" customHeight="1">
      <x:c r="A72" s="24" t="str">
        <x:v>EEZ_463</x:v>
      </x:c>
      <x:c r="B72" s="24" t="str">
        <x:v>Malaysia (Sarawak)</x:v>
      </x:c>
      <x:c r="C72" s="24" t="str">
        <x:v>EEZ</x:v>
      </x:c>
      <x:c r="D72" s="30" t="n">
        <x:v>2019</x:v>
      </x:c>
      <x:c r="E72" s="24" t="str">
        <x:v>Scorpaenidae</x:v>
      </x:c>
      <x:c r="F72" s="24" t="str">
        <x:v>Scorpionfishes, rockfishes</x:v>
      </x:c>
      <x:c r="G72" s="24" t="str">
        <x:v>Large reef assoc. fish (&gt;=90 cm)</x:v>
      </x:c>
      <x:c r="H72" s="24" t="str">
        <x:v>Scorpionfishes</x:v>
      </x:c>
      <x:c r="I72" s="31" t="n">
        <x:v>193.6753694444</x:v>
      </x:c>
      <x:c r="J72" s="31" t="n">
        <x:v>192.2335169404</x:v>
      </x:c>
      <x:c r="K72" s="31" t="n">
        <x:v>1.441852504</x:v>
      </x:c>
      <x:c r="L72" s="31" t="n">
        <x:v>192.2335169404</x:v>
      </x:c>
      <x:c r="M72" s="31" t="n">
        <x:v>1.441852504</x:v>
      </x:c>
      <x:c r="N72" s="24" t="str">
        <x:v>scorpaenidae</x:v>
      </x:c>
      <x:c r="O72" s="32" t="n">
        <x:v>3.92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Scorpaenidae</x:v>
      </x:c>
      <x:c r="T72" s="32" t="n">
        <x:f>IF(O72="","",(1/'Metadata'!$B$5)^(O72-1))</x:f>
        <x:v>831.7637711026708</x:v>
      </x:c>
      <x:c r="U72" s="31" t="n">
        <x:f>IF(T72="","",I72*T72)</x:f>
        <x:v>161092.15565877713</x:v>
      </x:c>
    </x:row>
    <x:row r="73" ht="18" customHeight="1">
      <x:c r="A73" s="24" t="str">
        <x:v>EEZ_463</x:v>
      </x:c>
      <x:c r="B73" s="24" t="str">
        <x:v>Malaysia (Sarawak)</x:v>
      </x:c>
      <x:c r="C73" s="24" t="str">
        <x:v>EEZ</x:v>
      </x:c>
      <x:c r="D73" s="30" t="n">
        <x:v>2019</x:v>
      </x:c>
      <x:c r="E73" s="24" t="str">
        <x:v>Scaridae</x:v>
      </x:c>
      <x:c r="F73" s="24" t="str">
        <x:v>Parrotfishes</x:v>
      </x:c>
      <x:c r="G73" s="24" t="str">
        <x:v>Medium reef assoc. fish (30 - 89 cm)</x:v>
      </x:c>
      <x:c r="H73" s="24" t="str">
        <x:v>Perch-likes</x:v>
      </x:c>
      <x:c r="I73" s="31" t="n">
        <x:v>178.5430824421</x:v>
      </x:c>
      <x:c r="J73" s="31" t="n">
        <x:v>178.5430824421</x:v>
      </x:c>
      <x:c r="K73" s="31" t="n">
        <x:v>0</x:v>
      </x:c>
      <x:c r="L73" s="31" t="n">
        <x:v>113.4596049672</x:v>
      </x:c>
      <x:c r="M73" s="31" t="n">
        <x:v>65.08347747490001</x:v>
      </x:c>
      <x:c r="N73" s="24" t="str">
        <x:v>scaridae</x:v>
      </x:c>
      <x:c r="O73" s="32" t="n">
        <x:v>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Scaridae</x:v>
      </x:c>
      <x:c r="T73" s="32" t="n">
        <x:f>IF(O73="","",(1/'Metadata'!$B$5)^(O73-1))</x:f>
        <x:v>10</x:v>
      </x:c>
      <x:c r="U73" s="31" t="n">
        <x:f>IF(T73="","",I73*T73)</x:f>
        <x:v>1785.4308244210001</x:v>
      </x:c>
    </x:row>
    <x:row r="74" ht="18" customHeight="1">
      <x:c r="A74" s="24" t="str">
        <x:v>EEZ_463</x:v>
      </x:c>
      <x:c r="B74" s="24" t="str">
        <x:v>Malaysia (Sarawak)</x:v>
      </x:c>
      <x:c r="C74" s="24" t="str">
        <x:v>EEZ</x:v>
      </x:c>
      <x:c r="D74" s="30" t="n">
        <x:v>2019</x:v>
      </x:c>
      <x:c r="E74" s="24" t="str">
        <x:v>Balistidae</x:v>
      </x:c>
      <x:c r="F74" s="24" t="str">
        <x:v>Triggerfishes</x:v>
      </x:c>
      <x:c r="G74" s="24" t="str">
        <x:v>Medium reef assoc. fish (30 - 89 cm)</x:v>
      </x:c>
      <x:c r="H74" s="24" t="str">
        <x:v>Other fishes &amp; inverts</x:v>
      </x:c>
      <x:c r="I74" s="31" t="n">
        <x:v>155.2685624071</x:v>
      </x:c>
      <x:c r="J74" s="31" t="n">
        <x:v>155.2685624071</x:v>
      </x:c>
      <x:c r="K74" s="31" t="n">
        <x:v>0</x:v>
      </x:c>
      <x:c r="L74" s="31" t="n">
        <x:v>110.70573106</x:v>
      </x:c>
      <x:c r="M74" s="31" t="n">
        <x:v>44.5628313471</x:v>
      </x:c>
      <x:c r="N74" s="24" t="str">
        <x:v>balistidae</x:v>
      </x:c>
      <x:c r="O74" s="32" t="n">
        <x:v>3.25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Balistidae</x:v>
      </x:c>
      <x:c r="T74" s="32" t="n">
        <x:f>IF(O74="","",(1/'Metadata'!$B$5)^(O74-1))</x:f>
        <x:v>177.82794100389228</x:v>
      </x:c>
      <x:c r="U74" s="31" t="n">
        <x:f>IF(T74="","",I74*T74)</x:f>
        <x:v>27611.088755488945</x:v>
      </x:c>
    </x:row>
    <x:row r="75" ht="18" customHeight="1">
      <x:c r="A75" s="24" t="str">
        <x:v>EEZ_463</x:v>
      </x:c>
      <x:c r="B75" s="24" t="str">
        <x:v>Malaysia (Sarawak)</x:v>
      </x:c>
      <x:c r="C75" s="24" t="str">
        <x:v>EEZ</x:v>
      </x:c>
      <x:c r="D75" s="30" t="n">
        <x:v>2019</x:v>
      </x:c>
      <x:c r="E75" s="24" t="str">
        <x:v>Carangoides</x:v>
      </x:c>
      <x:c r="F75" s="24" t="str">
        <x:v>Trevallies</x:v>
      </x:c>
      <x:c r="G75" s="24" t="str">
        <x:v>Medium reef assoc. fish (30 - 89 cm)</x:v>
      </x:c>
      <x:c r="H75" s="24" t="str">
        <x:v>Perch-likes</x:v>
      </x:c>
      <x:c r="I75" s="31" t="n">
        <x:v>153.4420315627</x:v>
      </x:c>
      <x:c r="J75" s="31" t="n">
        <x:v>153.4420315627</x:v>
      </x:c>
      <x:c r="K75" s="31" t="n">
        <x:v>0</x:v>
      </x:c>
      <x:c r="L75" s="31" t="n">
        <x:v>103.8210462921</x:v>
      </x:c>
      <x:c r="M75" s="31" t="n">
        <x:v>49.6209852706</x:v>
      </x:c>
      <x:c r="N75" s="24" t="str">
        <x:v>carangoides</x:v>
      </x:c>
      <x:c r="O75" s="32" t="n">
        <x:v>4.34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Carangoides</x:v>
      </x:c>
      <x:c r="T75" s="32" t="n">
        <x:f>IF(O75="","",(1/'Metadata'!$B$5)^(O75-1))</x:f>
        <x:v>2187.761623949552</x:v>
      </x:c>
      <x:c r="U75" s="31" t="n">
        <x:f>IF(T75="","",I75*T75)</x:f>
        <x:v>335694.58815373096</x:v>
      </x:c>
    </x:row>
    <x:row r="76" ht="18" customHeight="1">
      <x:c r="A76" s="24" t="str">
        <x:v>EEZ_463</x:v>
      </x:c>
      <x:c r="B76" s="24" t="str">
        <x:v>Malaysia (Sarawak)</x:v>
      </x:c>
      <x:c r="C76" s="24" t="str">
        <x:v>EEZ</x:v>
      </x:c>
      <x:c r="D76" s="30" t="n">
        <x:v>2019</x:v>
      </x:c>
      <x:c r="E76" s="24" t="str">
        <x:v>Siganus canaliculatus</x:v>
      </x:c>
      <x:c r="F76" s="24" t="str">
        <x:v>White-spotted spinefoot</x:v>
      </x:c>
      <x:c r="G76" s="24" t="str">
        <x:v>Small reef assoc. fish (&lt;30 cm)</x:v>
      </x:c>
      <x:c r="H76" s="24" t="str">
        <x:v>Perch-likes</x:v>
      </x:c>
      <x:c r="I76" s="31" t="n">
        <x:v>152.0989968689</x:v>
      </x:c>
      <x:c r="J76" s="31" t="n">
        <x:v>149.32813249059998</x:v>
      </x:c>
      <x:c r="K76" s="31" t="n">
        <x:v>2.7708643782999998</x:v>
      </x:c>
      <x:c r="L76" s="31" t="n">
        <x:v>149.32813249059998</x:v>
      </x:c>
      <x:c r="M76" s="31" t="n">
        <x:v>2.7708643782999998</x:v>
      </x:c>
      <x:c r="N76" s="24" t="str">
        <x:v>siganus canaliculatus</x:v>
      </x:c>
      <x:c r="O76" s="32" t="n">
        <x:v>2.76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Siganus canaliculatus</x:v>
      </x:c>
      <x:c r="T76" s="32" t="n">
        <x:f>IF(O76="","",(1/'Metadata'!$B$5)^(O76-1))</x:f>
        <x:v>57.543993733715666</x:v>
      </x:c>
      <x:c r="U76" s="31" t="n">
        <x:f>IF(T76="","",I76*T76)</x:f>
        <x:v>8752.38372272842</x:v>
      </x:c>
    </x:row>
    <x:row r="77" ht="18" customHeight="1">
      <x:c r="A77" s="24" t="str">
        <x:v>EEZ_463</x:v>
      </x:c>
      <x:c r="B77" s="24" t="str">
        <x:v>Malaysia (Sarawak)</x:v>
      </x:c>
      <x:c r="C77" s="24" t="str">
        <x:v>EEZ</x:v>
      </x:c>
      <x:c r="D77" s="30" t="n">
        <x:v>2019</x:v>
      </x:c>
      <x:c r="E77" s="24" t="str">
        <x:v>Gerreidae</x:v>
      </x:c>
      <x:c r="F77" s="24" t="str">
        <x:v>Mojarras, silverbellies</x:v>
      </x:c>
      <x:c r="G77" s="24" t="str">
        <x:v>Small benthopelagics (&lt;30 cm)</x:v>
      </x:c>
      <x:c r="H77" s="24" t="str">
        <x:v>Perch-likes</x:v>
      </x:c>
      <x:c r="I77" s="31" t="n">
        <x:v>151.5720282785</x:v>
      </x:c>
      <x:c r="J77" s="31" t="n">
        <x:v>150.4436219701</x:v>
      </x:c>
      <x:c r="K77" s="31" t="n">
        <x:v>1.1284063084</x:v>
      </x:c>
      <x:c r="L77" s="31" t="n">
        <x:v>150.4436219701</x:v>
      </x:c>
      <x:c r="M77" s="31" t="n">
        <x:v>1.1284063084</x:v>
      </x:c>
      <x:c r="N77" s="24" t="str">
        <x:v>gerreidae</x:v>
      </x:c>
      <x:c r="O77" s="32" t="n">
        <x:v>3.03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Gerreidae</x:v>
      </x:c>
      <x:c r="T77" s="32" t="n">
        <x:f>IF(O77="","",(1/'Metadata'!$B$5)^(O77-1))</x:f>
        <x:v>107.1519305237606</x:v>
      </x:c>
      <x:c r="U77" s="31" t="n">
        <x:f>IF(T77="","",I77*T77)</x:f>
        <x:v>16241.23544344331</x:v>
      </x:c>
    </x:row>
    <x:row r="78" ht="18" customHeight="1">
      <x:c r="A78" s="24" t="str">
        <x:v>EEZ_463</x:v>
      </x:c>
      <x:c r="B78" s="24" t="str">
        <x:v>Malaysia (Sarawak)</x:v>
      </x:c>
      <x:c r="C78" s="24" t="str">
        <x:v>EEZ</x:v>
      </x:c>
      <x:c r="D78" s="30" t="n">
        <x:v>2019</x:v>
      </x:c>
      <x:c r="E78" s="24" t="str">
        <x:v>Lutjanus quinquelineatus</x:v>
      </x:c>
      <x:c r="F78" s="24" t="str">
        <x:v>Five-lined snapper</x:v>
      </x:c>
      <x:c r="G78" s="24" t="str">
        <x:v>Medium reef assoc. fish (30 - 89 cm)</x:v>
      </x:c>
      <x:c r="H78" s="24" t="str">
        <x:v>Perch-likes</x:v>
      </x:c>
      <x:c r="I78" s="31" t="n">
        <x:v>149.4268704961</x:v>
      </x:c>
      <x:c r="J78" s="31" t="n">
        <x:v>149.4268704961</x:v>
      </x:c>
      <x:c r="K78" s="31" t="n">
        <x:v>0</x:v>
      </x:c>
      <x:c r="L78" s="31" t="n">
        <x:v>106.7585117933</x:v>
      </x:c>
      <x:c r="M78" s="31" t="n">
        <x:v>42.6683587028</x:v>
      </x:c>
      <x:c r="N78" s="24" t="str">
        <x:v>lutjanus quinquelineatus</x:v>
      </x:c>
      <x:c r="O78" s="32" t="n">
        <x:v>3.68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Lutjanus quinquelineatus</x:v>
      </x:c>
      <x:c r="T78" s="32" t="n">
        <x:f>IF(O78="","",(1/'Metadata'!$B$5)^(O78-1))</x:f>
        <x:v>478.6300923226385</x:v>
      </x:c>
      <x:c r="U78" s="31" t="n">
        <x:f>IF(T78="","",I78*T78)</x:f>
        <x:v>71520.19682103129</x:v>
      </x:c>
    </x:row>
    <x:row r="79" ht="18" customHeight="1">
      <x:c r="A79" s="24" t="str">
        <x:v>EEZ_463</x:v>
      </x:c>
      <x:c r="B79" s="24" t="str">
        <x:v>Malaysia (Sarawak)</x:v>
      </x:c>
      <x:c r="C79" s="24" t="str">
        <x:v>EEZ</x:v>
      </x:c>
      <x:c r="D79" s="30" t="n">
        <x:v>2019</x:v>
      </x:c>
      <x:c r="E79" s="24" t="str">
        <x:v>Gerres</x:v>
      </x:c>
      <x:c r="F79" s="24" t="str">
        <x:v>Silver biddies</x:v>
      </x:c>
      <x:c r="G79" s="24" t="str">
        <x:v>Small benthopelagics (&lt;30 cm)</x:v>
      </x:c>
      <x:c r="H79" s="24" t="str">
        <x:v>Perch-likes</x:v>
      </x:c>
      <x:c r="I79" s="31" t="n">
        <x:v>143.4924176424</x:v>
      </x:c>
      <x:c r="J79" s="31" t="n">
        <x:v>143.4924176424</x:v>
      </x:c>
      <x:c r="K79" s="31" t="n">
        <x:v>0</x:v>
      </x:c>
      <x:c r="L79" s="31" t="n">
        <x:v>100.5163976042</x:v>
      </x:c>
      <x:c r="M79" s="31" t="n">
        <x:v>42.9760200382</x:v>
      </x:c>
      <x:c r="N79" s="24" t="str">
        <x:v>gerres</x:v>
      </x:c>
      <x:c r="O79" s="32" t="n">
        <x:v>3.27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Gerres</x:v>
      </x:c>
      <x:c r="T79" s="32" t="n">
        <x:f>IF(O79="","",(1/'Metadata'!$B$5)^(O79-1))</x:f>
        <x:v>186.20871366628674</x:v>
      </x:c>
      <x:c r="U79" s="31" t="n">
        <x:f>IF(T79="","",I79*T79)</x:f>
        <x:v>26719.538510056893</x:v>
      </x:c>
    </x:row>
    <x:row r="80" ht="18" customHeight="1">
      <x:c r="A80" s="24" t="str">
        <x:v>EEZ_463</x:v>
      </x:c>
      <x:c r="B80" s="24" t="str">
        <x:v>Malaysia (Sarawak)</x:v>
      </x:c>
      <x:c r="C80" s="24" t="str">
        <x:v>EEZ</x:v>
      </x:c>
      <x:c r="D80" s="30" t="n">
        <x:v>2019</x:v>
      </x:c>
      <x:c r="E80" s="24" t="str">
        <x:v>Lutjanidae</x:v>
      </x:c>
      <x:c r="F80" s="24" t="str">
        <x:v>Snappers</x:v>
      </x:c>
      <x:c r="G80" s="24" t="str">
        <x:v>Medium reef assoc. fish (30 - 89 cm)</x:v>
      </x:c>
      <x:c r="H80" s="24" t="str">
        <x:v>Perch-likes</x:v>
      </x:c>
      <x:c r="I80" s="31" t="n">
        <x:v>141.2130216196</x:v>
      </x:c>
      <x:c r="J80" s="31" t="n">
        <x:v>141.2130216196</x:v>
      </x:c>
      <x:c r="K80" s="31" t="n">
        <x:v>0</x:v>
      </x:c>
      <x:c r="L80" s="31" t="n">
        <x:v>18.5010808636</x:v>
      </x:c>
      <x:c r="M80" s="31" t="n">
        <x:v>122.71194075599999</x:v>
      </x:c>
      <x:c r="N80" s="24" t="str">
        <x:v>lutjanidae</x:v>
      </x:c>
      <x:c r="O80" s="32" t="n">
        <x:v>4.02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Lutjanidae</x:v>
      </x:c>
      <x:c r="T80" s="32" t="n">
        <x:f>IF(O80="","",(1/'Metadata'!$B$5)^(O80-1))</x:f>
        <x:v>1047.1285480508984</x:v>
      </x:c>
      <x:c r="U80" s="31" t="n">
        <x:f>IF(T80="","",I80*T80)</x:f>
        <x:v>147868.18629441186</x:v>
      </x:c>
    </x:row>
    <x:row r="81" ht="18" customHeight="1">
      <x:c r="A81" s="24" t="str">
        <x:v>EEZ_463</x:v>
      </x:c>
      <x:c r="B81" s="24" t="str">
        <x:v>Malaysia (Sarawak)</x:v>
      </x:c>
      <x:c r="C81" s="24" t="str">
        <x:v>EEZ</x:v>
      </x:c>
      <x:c r="D81" s="30" t="n">
        <x:v>2019</x:v>
      </x:c>
      <x:c r="E81" s="24" t="str">
        <x:v>Lobotes surinamensis</x:v>
      </x:c>
      <x:c r="F81" s="24" t="str">
        <x:v>Tripletail</x:v>
      </x:c>
      <x:c r="G81" s="24" t="str">
        <x:v>Large benthopelagics (&gt;=90 cm)</x:v>
      </x:c>
      <x:c r="H81" s="24" t="str">
        <x:v>Perch-likes</x:v>
      </x:c>
      <x:c r="I81" s="31" t="n">
        <x:v>135.186977656</x:v>
      </x:c>
      <x:c r="J81" s="31" t="n">
        <x:v>135.186977656</x:v>
      </x:c>
      <x:c r="K81" s="31" t="n">
        <x:v>0</x:v>
      </x:c>
      <x:c r="L81" s="31" t="n">
        <x:v>95.2840371809</x:v>
      </x:c>
      <x:c r="M81" s="31" t="n">
        <x:v>39.902940475099996</x:v>
      </x:c>
      <x:c r="N81" s="24" t="str">
        <x:v>lobotes surinamensis</x:v>
      </x:c>
      <x:c r="O81" s="32" t="n">
        <x:v>4.04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Lobotes surinamensis</x:v>
      </x:c>
      <x:c r="T81" s="32" t="n">
        <x:f>IF(O81="","",(1/'Metadata'!$B$5)^(O81-1))</x:f>
        <x:v>1096.4781961431852</x:v>
      </x:c>
      <x:c r="U81" s="31" t="n">
        <x:f>IF(T81="","",I81*T81)</x:f>
        <x:v>148229.57340229998</x:v>
      </x:c>
    </x:row>
    <x:row r="82" ht="18" customHeight="1">
      <x:c r="A82" s="24" t="str">
        <x:v>EEZ_463</x:v>
      </x:c>
      <x:c r="B82" s="24" t="str">
        <x:v>Malaysia (Sarawak)</x:v>
      </x:c>
      <x:c r="C82" s="24" t="str">
        <x:v>EEZ</x:v>
      </x:c>
      <x:c r="D82" s="30" t="n">
        <x:v>2019</x:v>
      </x:c>
      <x:c r="E82" s="24" t="str">
        <x:v>Loliginidae</x:v>
      </x:c>
      <x:c r="F82" s="24" t="str">
        <x:v>Common pencil squids</x:v>
      </x:c>
      <x:c r="G82" s="24" t="str">
        <x:v>Cephalopods</x:v>
      </x:c>
      <x:c r="H82" s="24" t="str">
        <x:v>Other fishes &amp; inverts</x:v>
      </x:c>
      <x:c r="I82" s="31" t="n">
        <x:v>123.8101316723</x:v>
      </x:c>
      <x:c r="J82" s="31" t="n">
        <x:v>123.8101316723</x:v>
      </x:c>
      <x:c r="K82" s="31" t="n">
        <x:v>0</x:v>
      </x:c>
      <x:c r="L82" s="31" t="n">
        <x:v>115.245607425</x:v>
      </x:c>
      <x:c r="M82" s="31" t="n">
        <x:v>8.564524247300001</x:v>
      </x:c>
      <x:c r="N82" s="24" t="str">
        <x:v>loliginidae</x:v>
      </x:c>
      <x:c r="O82" s="32" t="n">
        <x:v>3.9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Loliginidae</x:v>
      </x:c>
      <x:c r="T82" s="32" t="n">
        <x:f>IF(O82="","",(1/'Metadata'!$B$5)^(O82-1))</x:f>
        <x:v>794.3282347242813</x:v>
      </x:c>
      <x:c r="U82" s="31" t="n">
        <x:f>IF(T82="","",I82*T82)</x:f>
        <x:v>98345.8833322389</x:v>
      </x:c>
    </x:row>
    <x:row r="83" ht="18" customHeight="1">
      <x:c r="A83" s="24" t="str">
        <x:v>EEZ_463</x:v>
      </x:c>
      <x:c r="B83" s="24" t="str">
        <x:v>Malaysia (Sarawak)</x:v>
      </x:c>
      <x:c r="C83" s="24" t="str">
        <x:v>EEZ</x:v>
      </x:c>
      <x:c r="D83" s="30" t="n">
        <x:v>2019</x:v>
      </x:c>
      <x:c r="E83" s="24" t="str">
        <x:v>Scombridae</x:v>
      </x:c>
      <x:c r="F83" s="24" t="str">
        <x:v>Mackerels, tunas, bonitos</x:v>
      </x:c>
      <x:c r="G83" s="24" t="str">
        <x:v>Medium pelagics (30 - 89 cm)</x:v>
      </x:c>
      <x:c r="H83" s="24" t="str">
        <x:v>Perch-likes</x:v>
      </x:c>
      <x:c r="I83" s="31" t="n">
        <x:v>121.7626236022</x:v>
      </x:c>
      <x:c r="J83" s="31" t="n">
        <x:v>121.7626236022</x:v>
      </x:c>
      <x:c r="K83" s="31" t="n">
        <x:v>0</x:v>
      </x:c>
      <x:c r="L83" s="31" t="n">
        <x:v>0</x:v>
      </x:c>
      <x:c r="M83" s="31" t="n">
        <x:v>121.7626236022</x:v>
      </x:c>
      <x:c r="N83" s="24" t="str">
        <x:v>scombridae</x:v>
      </x:c>
      <x:c r="O83" s="32" t="n">
        <x:v>4.26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Scombridae</x:v>
      </x:c>
      <x:c r="T83" s="32" t="n">
        <x:f>IF(O83="","",(1/'Metadata'!$B$5)^(O83-1))</x:f>
        <x:v>1819.7008586099826</x:v>
      </x:c>
      <x:c r="U83" s="31" t="n">
        <x:f>IF(T83="","",I83*T83)</x:f>
        <x:v>221571.55071552747</x:v>
      </x:c>
    </x:row>
    <x:row r="84" ht="18" customHeight="1">
      <x:c r="A84" s="24" t="str">
        <x:v>EEZ_463</x:v>
      </x:c>
      <x:c r="B84" s="24" t="str">
        <x:v>Malaysia (Sarawak)</x:v>
      </x:c>
      <x:c r="C84" s="24" t="str">
        <x:v>EEZ</x:v>
      </x:c>
      <x:c r="D84" s="30" t="n">
        <x:v>2019</x:v>
      </x:c>
      <x:c r="E84" s="24" t="str">
        <x:v>Anodontostoma chacunda</x:v>
      </x:c>
      <x:c r="F84" s="24" t="str">
        <x:v>Chacunda gizzard shad</x:v>
      </x:c>
      <x:c r="G84" s="24" t="str">
        <x:v>Small pelagics (&lt;30 cm)</x:v>
      </x:c>
      <x:c r="H84" s="24" t="str">
        <x:v>Herring-likes</x:v>
      </x:c>
      <x:c r="I84" s="31" t="n">
        <x:v>120.0831256288</x:v>
      </x:c>
      <x:c r="J84" s="31" t="n">
        <x:v>120.0831256288</x:v>
      </x:c>
      <x:c r="K84" s="31" t="n">
        <x:v>0</x:v>
      </x:c>
      <x:c r="L84" s="31" t="n">
        <x:v>76.8823805585</x:v>
      </x:c>
      <x:c r="M84" s="31" t="n">
        <x:v>43.2007450703</x:v>
      </x:c>
      <x:c r="N84" s="24" t="str">
        <x:v>anodontostoma chacunda</x:v>
      </x:c>
      <x:c r="O84" s="32" t="n">
        <x:v>2.84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Anodontostoma chacunda</x:v>
      </x:c>
      <x:c r="T84" s="32" t="n">
        <x:f>IF(O84="","",(1/'Metadata'!$B$5)^(O84-1))</x:f>
        <x:v>69.18309709189363</x:v>
      </x:c>
      <x:c r="U84" s="31" t="n">
        <x:f>IF(T84="","",I84*T84)</x:f>
        <x:v>8307.722539475331</x:v>
      </x:c>
    </x:row>
    <x:row r="85" ht="18" customHeight="1">
      <x:c r="A85" s="24" t="str">
        <x:v>EEZ_463</x:v>
      </x:c>
      <x:c r="B85" s="24" t="str">
        <x:v>Malaysia (Sarawak)</x:v>
      </x:c>
      <x:c r="C85" s="24" t="str">
        <x:v>EEZ</x:v>
      </x:c>
      <x:c r="D85" s="30" t="n">
        <x:v>2019</x:v>
      </x:c>
      <x:c r="E85" s="24" t="str">
        <x:v>Elagatis bipinnulata</x:v>
      </x:c>
      <x:c r="F85" s="24" t="str">
        <x:v>Rainbow runner</x:v>
      </x:c>
      <x:c r="G85" s="24" t="str">
        <x:v>Large pelagics (&gt;=90 cm)</x:v>
      </x:c>
      <x:c r="H85" s="24" t="str">
        <x:v>Perch-likes</x:v>
      </x:c>
      <x:c r="I85" s="31" t="n">
        <x:v>111.8189330319</x:v>
      </x:c>
      <x:c r="J85" s="31" t="n">
        <x:v>111.8189330319</x:v>
      </x:c>
      <x:c r="K85" s="31" t="n">
        <x:v>0</x:v>
      </x:c>
      <x:c r="L85" s="31" t="n">
        <x:v>76.19051142560001</x:v>
      </x:c>
      <x:c r="M85" s="31" t="n">
        <x:v>35.6284216063</x:v>
      </x:c>
      <x:c r="N85" s="24" t="str">
        <x:v>elagatis bipinnulata</x:v>
      </x:c>
      <x:c r="O85" s="32" t="n">
        <x:v>4.27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Elagatis bipinnulata</x:v>
      </x:c>
      <x:c r="T85" s="32" t="n">
        <x:f>IF(O85="","",(1/'Metadata'!$B$5)^(O85-1))</x:f>
        <x:v>1862.0871366628655</x:v>
      </x:c>
      <x:c r="U85" s="31" t="n">
        <x:f>IF(T85="","",I85*T85)</x:f>
        <x:v>208216.5968340674</x:v>
      </x:c>
    </x:row>
    <x:row r="86" ht="18" customHeight="1">
      <x:c r="A86" s="24" t="str">
        <x:v>EEZ_463</x:v>
      </x:c>
      <x:c r="B86" s="24" t="str">
        <x:v>Malaysia (Sarawak)</x:v>
      </x:c>
      <x:c r="C86" s="24" t="str">
        <x:v>EEZ</x:v>
      </x:c>
      <x:c r="D86" s="30" t="n">
        <x:v>2019</x:v>
      </x:c>
      <x:c r="E86" s="24" t="str">
        <x:v>Serranidae</x:v>
      </x:c>
      <x:c r="F86" s="24" t="str">
        <x:v>Basses, groupers, hinds</x:v>
      </x:c>
      <x:c r="G86" s="24" t="str">
        <x:v>Medium reef assoc. fish (30 - 89 cm)</x:v>
      </x:c>
      <x:c r="H86" s="24" t="str">
        <x:v>Perch-likes</x:v>
      </x:c>
      <x:c r="I86" s="31" t="n">
        <x:v>97.7350733454</x:v>
      </x:c>
      <x:c r="J86" s="31" t="n">
        <x:v>97.7350733454</x:v>
      </x:c>
      <x:c r="K86" s="31" t="n">
        <x:v>0</x:v>
      </x:c>
      <x:c r="L86" s="31" t="n">
        <x:v>5.908460911</x:v>
      </x:c>
      <x:c r="M86" s="31" t="n">
        <x:v>91.82661243439999</x:v>
      </x:c>
      <x:c r="N86" s="24" t="str">
        <x:v>serranidae</x:v>
      </x:c>
      <x:c r="O86" s="32" t="n">
        <x:v>3.98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Serranidae</x:v>
      </x:c>
      <x:c r="T86" s="32" t="n">
        <x:f>IF(O86="","",(1/'Metadata'!$B$5)^(O86-1))</x:f>
        <x:v>954.992586021436</x:v>
      </x:c>
      <x:c r="U86" s="31" t="n">
        <x:f>IF(T86="","",I86*T86)</x:f>
        <x:v>93336.27043911826</x:v>
      </x:c>
    </x:row>
    <x:row r="87" ht="18" customHeight="1">
      <x:c r="A87" s="24" t="str">
        <x:v>EEZ_463</x:v>
      </x:c>
      <x:c r="B87" s="24" t="str">
        <x:v>Malaysia (Sarawak)</x:v>
      </x:c>
      <x:c r="C87" s="24" t="str">
        <x:v>EEZ</x:v>
      </x:c>
      <x:c r="D87" s="30" t="n">
        <x:v>2019</x:v>
      </x:c>
      <x:c r="E87" s="24" t="str">
        <x:v>Leiognathus</x:v>
      </x:c>
      <x:c r="F87" s="24" t="str">
        <x:v>Ponyfishes</x:v>
      </x:c>
      <x:c r="G87" s="24" t="str">
        <x:v>Small benthopelagics (&lt;30 cm)</x:v>
      </x:c>
      <x:c r="H87" s="24" t="str">
        <x:v>Perch-likes</x:v>
      </x:c>
      <x:c r="I87" s="31" t="n">
        <x:v>95.6134072583</x:v>
      </x:c>
      <x:c r="J87" s="31" t="n">
        <x:v>95.6134072583</x:v>
      </x:c>
      <x:c r="K87" s="31" t="n">
        <x:v>0</x:v>
      </x:c>
      <x:c r="L87" s="31" t="n">
        <x:v>55.2610697327</x:v>
      </x:c>
      <x:c r="M87" s="31" t="n">
        <x:v>40.3523375256</x:v>
      </x:c>
      <x:c r="N87" s="24" t="str">
        <x:v>leiognathus</x:v>
      </x:c>
      <x:c r="O87" s="32" t="n">
        <x:v>3.22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Leiognathus</x:v>
      </x:c>
      <x:c r="T87" s="32" t="n">
        <x:f>IF(O87="","",(1/'Metadata'!$B$5)^(O87-1))</x:f>
        <x:v>165.95869074375614</x:v>
      </x:c>
      <x:c r="U87" s="31" t="n">
        <x:f>IF(T87="","",I87*T87)</x:f>
        <x:v>15867.875886137019</x:v>
      </x:c>
    </x:row>
    <x:row r="88" ht="18" customHeight="1">
      <x:c r="A88" s="24" t="str">
        <x:v>EEZ_463</x:v>
      </x:c>
      <x:c r="B88" s="24" t="str">
        <x:v>Malaysia (Sarawak)</x:v>
      </x:c>
      <x:c r="C88" s="24" t="str">
        <x:v>EEZ</x:v>
      </x:c>
      <x:c r="D88" s="30" t="n">
        <x:v>2019</x:v>
      </x:c>
      <x:c r="E88" s="24" t="str">
        <x:v>Monacanthidae</x:v>
      </x:c>
      <x:c r="F88" s="24" t="str">
        <x:v>Filefishes</x:v>
      </x:c>
      <x:c r="G88" s="24" t="str">
        <x:v>Medium reef assoc. fish (30 - 89 cm)</x:v>
      </x:c>
      <x:c r="H88" s="24" t="str">
        <x:v>Other fishes &amp; inverts</x:v>
      </x:c>
      <x:c r="I88" s="31" t="n">
        <x:v>92.6273506176</x:v>
      </x:c>
      <x:c r="J88" s="31" t="n">
        <x:v>91.9377689846</x:v>
      </x:c>
      <x:c r="K88" s="31" t="n">
        <x:v>0.6895816330000001</x:v>
      </x:c>
      <x:c r="L88" s="31" t="n">
        <x:v>91.9377689846</x:v>
      </x:c>
      <x:c r="M88" s="31" t="n">
        <x:v>0.6895816330000001</x:v>
      </x:c>
      <x:c r="N88" s="24" t="str">
        <x:v>monacanthidae</x:v>
      </x:c>
      <x:c r="O88" s="32" t="n">
        <x:v>3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Monacanthidae</x:v>
      </x:c>
      <x:c r="T88" s="32" t="n">
        <x:f>IF(O88="","",(1/'Metadata'!$B$5)^(O88-1))</x:f>
        <x:v>100</x:v>
      </x:c>
      <x:c r="U88" s="31" t="n">
        <x:f>IF(T88="","",I88*T88)</x:f>
        <x:v>9262.73506176</x:v>
      </x:c>
    </x:row>
    <x:row r="89" ht="18" customHeight="1">
      <x:c r="A89" s="24" t="str">
        <x:v>EEZ_463</x:v>
      </x:c>
      <x:c r="B89" s="24" t="str">
        <x:v>Malaysia (Sarawak)</x:v>
      </x:c>
      <x:c r="C89" s="24" t="str">
        <x:v>EEZ</x:v>
      </x:c>
      <x:c r="D89" s="30" t="n">
        <x:v>2019</x:v>
      </x:c>
      <x:c r="E89" s="24" t="str">
        <x:v>Istiophoridae</x:v>
      </x:c>
      <x:c r="F89" s="24" t="str">
        <x:v>Billfishes</x:v>
      </x:c>
      <x:c r="G89" s="24" t="str">
        <x:v>Large pelagics (&gt;=90 cm)</x:v>
      </x:c>
      <x:c r="H89" s="24" t="str">
        <x:v>Tuna &amp; billfishes</x:v>
      </x:c>
      <x:c r="I89" s="31" t="n">
        <x:v>91.3752788329</x:v>
      </x:c>
      <x:c r="J89" s="31" t="n">
        <x:v>91.3752788329</x:v>
      </x:c>
      <x:c r="K89" s="31" t="n">
        <x:v>0</x:v>
      </x:c>
      <x:c r="L89" s="31" t="n">
        <x:v>0</x:v>
      </x:c>
      <x:c r="M89" s="31" t="n">
        <x:v>91.3752788329</x:v>
      </x:c>
      <x:c r="N89" s="24" t="str">
        <x:v>istiophoridae</x:v>
      </x:c>
      <x:c r="O89" s="32" t="n">
        <x:v>4.48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Istiophoridae</x:v>
      </x:c>
      <x:c r="T89" s="32" t="n">
        <x:f>IF(O89="","",(1/'Metadata'!$B$5)^(O89-1))</x:f>
        <x:v>3019.951720402019</x:v>
      </x:c>
      <x:c r="U89" s="31" t="n">
        <x:f>IF(T89="","",I89*T89)</x:f>
        <x:v>275948.9305136305</x:v>
      </x:c>
    </x:row>
    <x:row r="90" ht="18" customHeight="1">
      <x:c r="A90" s="24" t="str">
        <x:v>EEZ_463</x:v>
      </x:c>
      <x:c r="B90" s="24" t="str">
        <x:v>Malaysia (Sarawak)</x:v>
      </x:c>
      <x:c r="C90" s="24" t="str">
        <x:v>EEZ</x:v>
      </x:c>
      <x:c r="D90" s="30" t="n">
        <x:v>2019</x:v>
      </x:c>
      <x:c r="E90" s="24" t="str">
        <x:v>Pampus argenteus</x:v>
      </x:c>
      <x:c r="F90" s="24" t="str">
        <x:v>Silver pomfret</x:v>
      </x:c>
      <x:c r="G90" s="24" t="str">
        <x:v>Medium benthopelagics (30 - 89 cm)</x:v>
      </x:c>
      <x:c r="H90" s="24" t="str">
        <x:v>Perch-likes</x:v>
      </x:c>
      <x:c r="I90" s="31" t="n">
        <x:v>88.6195707932</x:v>
      </x:c>
      <x:c r="J90" s="31" t="n">
        <x:v>88.6195707932</x:v>
      </x:c>
      <x:c r="K90" s="31" t="n">
        <x:v>0</x:v>
      </x:c>
      <x:c r="L90" s="31" t="n">
        <x:v>59.6009270808</x:v>
      </x:c>
      <x:c r="M90" s="31" t="n">
        <x:v>29.0186437124</x:v>
      </x:c>
      <x:c r="N90" s="24" t="str">
        <x:v>pampus argenteus</x:v>
      </x:c>
      <x:c r="O90" s="32" t="n">
        <x:v>3.3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Pampus argenteus</x:v>
      </x:c>
      <x:c r="T90" s="32" t="n">
        <x:f>IF(O90="","",(1/'Metadata'!$B$5)^(O90-1))</x:f>
        <x:v>199.52623149688787</x:v>
      </x:c>
      <x:c r="U90" s="31" t="n">
        <x:f>IF(T90="","",I90*T90)</x:f>
        <x:v>17681.928997238865</x:v>
      </x:c>
    </x:row>
    <x:row r="91" ht="18" customHeight="1">
      <x:c r="A91" s="24" t="str">
        <x:v>EEZ_463</x:v>
      </x:c>
      <x:c r="B91" s="24" t="str">
        <x:v>Malaysia (Sarawak)</x:v>
      </x:c>
      <x:c r="C91" s="24" t="str">
        <x:v>EEZ</x:v>
      </x:c>
      <x:c r="D91" s="30" t="n">
        <x:v>2019</x:v>
      </x:c>
      <x:c r="E91" s="24" t="str">
        <x:v>Decapterus russelli</x:v>
      </x:c>
      <x:c r="F91" s="24" t="str">
        <x:v>Indian scad</x:v>
      </x:c>
      <x:c r="G91" s="24" t="str">
        <x:v>Medium pelagics (30 - 89 cm)</x:v>
      </x:c>
      <x:c r="H91" s="24" t="str">
        <x:v>Perch-likes</x:v>
      </x:c>
      <x:c r="I91" s="31" t="n">
        <x:v>87.0172912358</x:v>
      </x:c>
      <x:c r="J91" s="31" t="n">
        <x:v>87.0172912358</x:v>
      </x:c>
      <x:c r="K91" s="31" t="n">
        <x:v>0</x:v>
      </x:c>
      <x:c r="L91" s="31" t="n">
        <x:v>50.7878144783</x:v>
      </x:c>
      <x:c r="M91" s="31" t="n">
        <x:v>36.2294767575</x:v>
      </x:c>
      <x:c r="N91" s="24" t="str">
        <x:v>decapterus russelli</x:v>
      </x:c>
      <x:c r="O91" s="32" t="n">
        <x:v>3.68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Decapterus russelli</x:v>
      </x:c>
      <x:c r="T91" s="32" t="n">
        <x:f>IF(O91="","",(1/'Metadata'!$B$5)^(O91-1))</x:f>
        <x:v>478.6300923226385</x:v>
      </x:c>
      <x:c r="U91" s="31" t="n">
        <x:f>IF(T91="","",I91*T91)</x:f>
        <x:v>41649.094137856875</x:v>
      </x:c>
    </x:row>
    <x:row r="92" ht="18" customHeight="1">
      <x:c r="A92" s="24" t="str">
        <x:v>EEZ_463</x:v>
      </x:c>
      <x:c r="B92" s="24" t="str">
        <x:v>Malaysia (Sarawak)</x:v>
      </x:c>
      <x:c r="C92" s="24" t="str">
        <x:v>EEZ</x:v>
      </x:c>
      <x:c r="D92" s="30" t="n">
        <x:v>2019</x:v>
      </x:c>
      <x:c r="E92" s="24" t="str">
        <x:v>Mollusca</x:v>
      </x:c>
      <x:c r="F92" s="24" t="str">
        <x:v>Clams, seasnails, squids, octopuses</x:v>
      </x:c>
      <x:c r="G92" s="24" t="str">
        <x:v>Other demersal invertebrates</x:v>
      </x:c>
      <x:c r="H92" s="24" t="str">
        <x:v>Molluscs</x:v>
      </x:c>
      <x:c r="I92" s="31" t="n">
        <x:v>80.6196877616</x:v>
      </x:c>
      <x:c r="J92" s="31" t="n">
        <x:v>80.6196877616</x:v>
      </x:c>
      <x:c r="K92" s="31" t="n">
        <x:v>0</x:v>
      </x:c>
      <x:c r="L92" s="31" t="n">
        <x:v>56.464652247400004</x:v>
      </x:c>
      <x:c r="M92" s="31" t="n">
        <x:v>24.1550355142</x:v>
      </x:c>
      <x:c r="N92" s="24" t="str">
        <x:v>mollusca</x:v>
      </x:c>
      <x:c r="O92" s="32" t="n">
        <x:v>2.1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Mollusca</x:v>
      </x:c>
      <x:c r="T92" s="32" t="n">
        <x:f>IF(O92="","",(1/'Metadata'!$B$5)^(O92-1))</x:f>
        <x:v>12.589254117941675</x:v>
      </x:c>
      <x:c r="U92" s="31" t="n">
        <x:f>IF(T92="","",I92*T92)</x:f>
        <x:v>1014.9417361398949</x:v>
      </x:c>
    </x:row>
    <x:row r="93" ht="18" customHeight="1">
      <x:c r="A93" s="24" t="str">
        <x:v>EEZ_463</x:v>
      </x:c>
      <x:c r="B93" s="24" t="str">
        <x:v>Malaysia (Sarawak)</x:v>
      </x:c>
      <x:c r="C93" s="24" t="str">
        <x:v>EEZ</x:v>
      </x:c>
      <x:c r="D93" s="30" t="n">
        <x:v>2019</x:v>
      </x:c>
      <x:c r="E93" s="24" t="str">
        <x:v>Drepane</x:v>
      </x:c>
      <x:c r="F93" s="24" t="str">
        <x:v>Sicklefishes</x:v>
      </x:c>
      <x:c r="G93" s="24" t="str">
        <x:v>Medium benthopelagics (30 - 89 cm)</x:v>
      </x:c>
      <x:c r="H93" s="24" t="str">
        <x:v>Perch-likes</x:v>
      </x:c>
      <x:c r="I93" s="31" t="n">
        <x:v>71.9258144377</x:v>
      </x:c>
      <x:c r="J93" s="31" t="n">
        <x:v>71.9258144377</x:v>
      </x:c>
      <x:c r="K93" s="31" t="n">
        <x:v>0</x:v>
      </x:c>
      <x:c r="L93" s="31" t="n">
        <x:v>49.4674908189</x:v>
      </x:c>
      <x:c r="M93" s="31" t="n">
        <x:v>22.4583236188</x:v>
      </x:c>
      <x:c r="N93" s="24" t="str">
        <x:v>drepane</x:v>
      </x:c>
      <x:c r="O93" s="32" t="n">
        <x:v>3.32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Drepane</x:v>
      </x:c>
      <x:c r="T93" s="32" t="n">
        <x:f>IF(O93="","",(1/'Metadata'!$B$5)^(O93-1))</x:f>
        <x:v>208.92961308540387</x:v>
      </x:c>
      <x:c r="U93" s="31" t="n">
        <x:f>IF(T93="","",I93*T93)</x:f>
        <x:v>15027.432581321216</x:v>
      </x:c>
    </x:row>
    <x:row r="94" ht="18" customHeight="1">
      <x:c r="A94" s="24" t="str">
        <x:v>EEZ_463</x:v>
      </x:c>
      <x:c r="B94" s="24" t="str">
        <x:v>Malaysia (Sarawak)</x:v>
      </x:c>
      <x:c r="C94" s="24" t="str">
        <x:v>EEZ</x:v>
      </x:c>
      <x:c r="D94" s="30" t="n">
        <x:v>2019</x:v>
      </x:c>
      <x:c r="E94" s="24" t="str">
        <x:v>Acanthurus</x:v>
      </x:c>
      <x:c r="F94" s="24" t="str">
        <x:v>Surgeonfishes</x:v>
      </x:c>
      <x:c r="G94" s="24" t="str">
        <x:v>Small reef assoc. fish (&lt;30 cm)</x:v>
      </x:c>
      <x:c r="H94" s="24" t="str">
        <x:v>Perch-likes</x:v>
      </x:c>
      <x:c r="I94" s="31" t="n">
        <x:v>67.8219721573</x:v>
      </x:c>
      <x:c r="J94" s="31" t="n">
        <x:v>67.8219721573</x:v>
      </x:c>
      <x:c r="K94" s="31" t="n">
        <x:v>0</x:v>
      </x:c>
      <x:c r="L94" s="31" t="n">
        <x:v>48.4681807626</x:v>
      </x:c>
      <x:c r="M94" s="31" t="n">
        <x:v>19.3537913947</x:v>
      </x:c>
      <x:c r="N94" s="24" t="str">
        <x:v>acanthurus</x:v>
      </x:c>
      <x:c r="O94" s="32" t="n">
        <x:v>2.03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Acanthurus</x:v>
      </x:c>
      <x:c r="T94" s="32" t="n">
        <x:f>IF(O94="","",(1/'Metadata'!$B$5)^(O94-1))</x:f>
        <x:v>10.71519305237606</x:v>
      </x:c>
      <x:c r="U94" s="31" t="n">
        <x:f>IF(T94="","",I94*T94)</x:f>
        <x:v>726.7255248583435</x:v>
      </x:c>
    </x:row>
    <x:row r="95" ht="18" customHeight="1">
      <x:c r="A95" s="24" t="str">
        <x:v>EEZ_463</x:v>
      </x:c>
      <x:c r="B95" s="24" t="str">
        <x:v>Malaysia (Sarawak)</x:v>
      </x:c>
      <x:c r="C95" s="24" t="str">
        <x:v>EEZ</x:v>
      </x:c>
      <x:c r="D95" s="30" t="n">
        <x:v>2019</x:v>
      </x:c>
      <x:c r="E95" s="24" t="str">
        <x:v>Dussumieria elopsoides</x:v>
      </x:c>
      <x:c r="F95" s="24" t="str">
        <x:v>Slender rainbow sardine</x:v>
      </x:c>
      <x:c r="G95" s="24" t="str">
        <x:v>Small pelagics (&lt;30 cm)</x:v>
      </x:c>
      <x:c r="H95" s="24" t="str">
        <x:v>Herring-likes</x:v>
      </x:c>
      <x:c r="I95" s="31" t="n">
        <x:v>67.3653458975</x:v>
      </x:c>
      <x:c r="J95" s="31" t="n">
        <x:v>66.86383198280001</x:v>
      </x:c>
      <x:c r="K95" s="31" t="n">
        <x:v>0.5015139147</x:v>
      </x:c>
      <x:c r="L95" s="31" t="n">
        <x:v>66.86383198280001</x:v>
      </x:c>
      <x:c r="M95" s="31" t="n">
        <x:v>0.5015139147</x:v>
      </x:c>
      <x:c r="N95" s="24" t="str">
        <x:v>dussumieria elopsoides</x:v>
      </x:c>
      <x:c r="O95" s="32" t="n">
        <x:v>3.4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Dussumieria elopsoides</x:v>
      </x:c>
      <x:c r="T95" s="32" t="n">
        <x:f>IF(O95="","",(1/'Metadata'!$B$5)^(O95-1))</x:f>
        <x:v>251.18864315095797</x:v>
      </x:c>
      <x:c r="U95" s="31" t="n">
        <x:f>IF(T95="","",I95*T95)</x:f>
        <x:v>16921.40983138798</x:v>
      </x:c>
    </x:row>
    <x:row r="96" ht="18" customHeight="1">
      <x:c r="A96" s="24" t="str">
        <x:v>EEZ_463</x:v>
      </x:c>
      <x:c r="B96" s="24" t="str">
        <x:v>Malaysia (Sarawak)</x:v>
      </x:c>
      <x:c r="C96" s="24" t="str">
        <x:v>EEZ</x:v>
      </x:c>
      <x:c r="D96" s="30" t="n">
        <x:v>2019</x:v>
      </x:c>
      <x:c r="E96" s="24" t="str">
        <x:v>Sergestidae</x:v>
      </x:c>
      <x:c r="F96" s="24" t="str">
        <x:v>Sergestid shrimp</x:v>
      </x:c>
      <x:c r="G96" s="24" t="str">
        <x:v>Shrimps</x:v>
      </x:c>
      <x:c r="H96" s="24" t="str">
        <x:v>Crustaceans</x:v>
      </x:c>
      <x:c r="I96" s="31" t="n">
        <x:v>62.0959377343</x:v>
      </x:c>
      <x:c r="J96" s="31" t="n">
        <x:v>62.0959377343</x:v>
      </x:c>
      <x:c r="K96" s="31" t="n">
        <x:v>0</x:v>
      </x:c>
      <x:c r="L96" s="31" t="n">
        <x:v>60.9943688349</x:v>
      </x:c>
      <x:c r="M96" s="31" t="n">
        <x:v>1.1015688994</x:v>
      </x:c>
      <x:c r="N96" s="24" t="str">
        <x:v>sergestidae</x:v>
      </x:c>
      <x:c r="O96" s="32" t="n">
        <x:v>2.93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Sergestidae</x:v>
      </x:c>
      <x:c r="T96" s="32" t="n">
        <x:f>IF(O96="","",(1/'Metadata'!$B$5)^(O96-1))</x:f>
        <x:v>85.11380382023768</x:v>
      </x:c>
      <x:c r="U96" s="31" t="n">
        <x:f>IF(T96="","",I96*T96)</x:f>
        <x:v>5285.221462350904</x:v>
      </x:c>
    </x:row>
    <x:row r="97" ht="18" customHeight="1">
      <x:c r="A97" s="24" t="str">
        <x:v>EEZ_463</x:v>
      </x:c>
      <x:c r="B97" s="24" t="str">
        <x:v>Malaysia (Sarawak)</x:v>
      </x:c>
      <x:c r="C97" s="24" t="str">
        <x:v>EEZ</x:v>
      </x:c>
      <x:c r="D97" s="30" t="n">
        <x:v>2019</x:v>
      </x:c>
      <x:c r="E97" s="24" t="str">
        <x:v>Rastrelliger brachysoma</x:v>
      </x:c>
      <x:c r="F97" s="24" t="str">
        <x:v>Short mackerel</x:v>
      </x:c>
      <x:c r="G97" s="24" t="str">
        <x:v>Medium pelagics (30 - 89 cm)</x:v>
      </x:c>
      <x:c r="H97" s="24" t="str">
        <x:v>Perch-likes</x:v>
      </x:c>
      <x:c r="I97" s="31" t="n">
        <x:v>58.9446776696</x:v>
      </x:c>
      <x:c r="J97" s="31" t="n">
        <x:v>58.505852993800005</x:v>
      </x:c>
      <x:c r="K97" s="31" t="n">
        <x:v>0.43882467579999995</x:v>
      </x:c>
      <x:c r="L97" s="31" t="n">
        <x:v>58.505852993800005</x:v>
      </x:c>
      <x:c r="M97" s="31" t="n">
        <x:v>0.43882467579999995</x:v>
      </x:c>
      <x:c r="N97" s="24" t="str">
        <x:v>rastrelliger brachysoma</x:v>
      </x:c>
      <x:c r="O97" s="32" t="n">
        <x:v>2.72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Rastrelliger brachysoma</x:v>
      </x:c>
      <x:c r="T97" s="32" t="n">
        <x:f>IF(O97="","",(1/'Metadata'!$B$5)^(O97-1))</x:f>
        <x:v>52.480746024977286</x:v>
      </x:c>
      <x:c r="U97" s="31" t="n">
        <x:f>IF(T97="","",I97*T97)</x:f>
        <x:v>3093.4606583024274</x:v>
      </x:c>
    </x:row>
    <x:row r="98" ht="18" customHeight="1">
      <x:c r="A98" s="24" t="str">
        <x:v>EEZ_463</x:v>
      </x:c>
      <x:c r="B98" s="24" t="str">
        <x:v>Malaysia (Sarawak)</x:v>
      </x:c>
      <x:c r="C98" s="24" t="str">
        <x:v>EEZ</x:v>
      </x:c>
      <x:c r="D98" s="30" t="n">
        <x:v>2019</x:v>
      </x:c>
      <x:c r="E98" s="24" t="str">
        <x:v>Mugil</x:v>
      </x:c>
      <x:c r="F98" s="24" t="str">
        <x:v>Grey mullets</x:v>
      </x:c>
      <x:c r="G98" s="24" t="str">
        <x:v>Medium demersals (30 - 89 cm)</x:v>
      </x:c>
      <x:c r="H98" s="24" t="str">
        <x:v>Perch-likes</x:v>
      </x:c>
      <x:c r="I98" s="31" t="n">
        <x:v>56.379285773199996</x:v>
      </x:c>
      <x:c r="J98" s="31" t="n">
        <x:v>56.379285773199996</x:v>
      </x:c>
      <x:c r="K98" s="31" t="n">
        <x:v>0</x:v>
      </x:c>
      <x:c r="L98" s="31" t="n">
        <x:v>26.549358597</x:v>
      </x:c>
      <x:c r="M98" s="31" t="n">
        <x:v>29.829927176200002</x:v>
      </x:c>
      <x:c r="N98" s="24" t="str">
        <x:v>mugil</x:v>
      </x:c>
      <x:c r="O98" s="32" t="n">
        <x:v>2.26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Mugil</x:v>
      </x:c>
      <x:c r="T98" s="32" t="n">
        <x:f>IF(O98="","",(1/'Metadata'!$B$5)^(O98-1))</x:f>
        <x:v>18.197008586099827</x:v>
      </x:c>
      <x:c r="U98" s="31" t="n">
        <x:f>IF(T98="","",I98*T98)</x:f>
        <x:v>1025.9343472930962</x:v>
      </x:c>
    </x:row>
    <x:row r="99" ht="18" customHeight="1">
      <x:c r="A99" s="24" t="str">
        <x:v>EEZ_463</x:v>
      </x:c>
      <x:c r="B99" s="24" t="str">
        <x:v>Malaysia (Sarawak)</x:v>
      </x:c>
      <x:c r="C99" s="24" t="str">
        <x:v>EEZ</x:v>
      </x:c>
      <x:c r="D99" s="30" t="n">
        <x:v>2019</x:v>
      </x:c>
      <x:c r="E99" s="24" t="str">
        <x:v>Selar crumenophthalmus</x:v>
      </x:c>
      <x:c r="F99" s="24" t="str">
        <x:v>Bigeye scad</x:v>
      </x:c>
      <x:c r="G99" s="24" t="str">
        <x:v>Medium pelagics (30 - 89 cm)</x:v>
      </x:c>
      <x:c r="H99" s="24" t="str">
        <x:v>Perch-likes</x:v>
      </x:c>
      <x:c r="I99" s="31" t="n">
        <x:v>55.7304077101</x:v>
      </x:c>
      <x:c r="J99" s="31" t="n">
        <x:v>55.7304077101</x:v>
      </x:c>
      <x:c r="K99" s="31" t="n">
        <x:v>0</x:v>
      </x:c>
      <x:c r="L99" s="31" t="n">
        <x:v>28.6078377999</x:v>
      </x:c>
      <x:c r="M99" s="31" t="n">
        <x:v>27.1225699102</x:v>
      </x:c>
      <x:c r="N99" s="24" t="str">
        <x:v>selar crumenophthalmus</x:v>
      </x:c>
      <x:c r="O99" s="32" t="n">
        <x:v>3.81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Selar crumenophthalmus</x:v>
      </x:c>
      <x:c r="T99" s="32" t="n">
        <x:f>IF(O99="","",(1/'Metadata'!$B$5)^(O99-1))</x:f>
        <x:v>645.6542290346556</x:v>
      </x:c>
      <x:c r="U99" s="31" t="n">
        <x:f>IF(T99="","",I99*T99)</x:f>
        <x:v>35982.573423851645</x:v>
      </x:c>
    </x:row>
    <x:row r="100" ht="18" customHeight="1">
      <x:c r="A100" s="24" t="str">
        <x:v>EEZ_463</x:v>
      </x:c>
      <x:c r="B100" s="24" t="str">
        <x:v>Malaysia (Sarawak)</x:v>
      </x:c>
      <x:c r="C100" s="24" t="str">
        <x:v>EEZ</x:v>
      </x:c>
      <x:c r="D100" s="30" t="n">
        <x:v>2019</x:v>
      </x:c>
      <x:c r="E100" s="24" t="str">
        <x:v>Lates calcarifer</x:v>
      </x:c>
      <x:c r="F100" s="24" t="str">
        <x:v>Barramundi</x:v>
      </x:c>
      <x:c r="G100" s="24" t="str">
        <x:v>Large demersals (&gt;=90 cm)</x:v>
      </x:c>
      <x:c r="H100" s="24" t="str">
        <x:v>Perch-likes</x:v>
      </x:c>
      <x:c r="I100" s="31" t="n">
        <x:v>53.108903796</x:v>
      </x:c>
      <x:c r="J100" s="31" t="n">
        <x:v>53.108903796</x:v>
      </x:c>
      <x:c r="K100" s="31" t="n">
        <x:v>0</x:v>
      </x:c>
      <x:c r="L100" s="31" t="n">
        <x:v>35.5928309185</x:v>
      </x:c>
      <x:c r="M100" s="31" t="n">
        <x:v>17.5160728775</x:v>
      </x:c>
      <x:c r="N100" s="24" t="str">
        <x:v>lates calcarifer</x:v>
      </x:c>
      <x:c r="O100" s="32" t="n">
        <x:v>4.35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Lates calcarifer</x:v>
      </x:c>
      <x:c r="T100" s="32" t="n">
        <x:f>IF(O100="","",(1/'Metadata'!$B$5)^(O100-1))</x:f>
        <x:v>2238.7211385683377</x:v>
      </x:c>
      <x:c r="U100" s="31" t="n">
        <x:f>IF(T100="","",I100*T100)</x:f>
        <x:v>118896.02557429743</x:v>
      </x:c>
    </x:row>
    <x:row r="101" ht="18" customHeight="1">
      <x:c r="A101" s="24" t="str">
        <x:v>EEZ_463</x:v>
      </x:c>
      <x:c r="B101" s="24" t="str">
        <x:v>Malaysia (Sarawak)</x:v>
      </x:c>
      <x:c r="C101" s="24" t="str">
        <x:v>EEZ</x:v>
      </x:c>
      <x:c r="D101" s="30" t="n">
        <x:v>2019</x:v>
      </x:c>
      <x:c r="E101" s="24" t="str">
        <x:v>Gazza minuta</x:v>
      </x:c>
      <x:c r="F101" s="24" t="str">
        <x:v>Toothpony</x:v>
      </x:c>
      <x:c r="G101" s="24" t="str">
        <x:v>Small demersals (&lt;30 cm)</x:v>
      </x:c>
      <x:c r="H101" s="24" t="str">
        <x:v>Perch-likes</x:v>
      </x:c>
      <x:c r="I101" s="31" t="n">
        <x:v>50.5269581381</x:v>
      </x:c>
      <x:c r="J101" s="31" t="n">
        <x:v>50.147873996</x:v>
      </x:c>
      <x:c r="K101" s="31" t="n">
        <x:v>0.3790841421</x:v>
      </x:c>
      <x:c r="L101" s="31" t="n">
        <x:v>50.147873996</x:v>
      </x:c>
      <x:c r="M101" s="31" t="n">
        <x:v>0.3790841421</x:v>
      </x:c>
      <x:c r="N101" s="24" t="str">
        <x:v>gazza minuta</x:v>
      </x:c>
      <x:c r="O101" s="32" t="n">
        <x:v>4.19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Gazza minuta</x:v>
      </x:c>
      <x:c r="T101" s="32" t="n">
        <x:f>IF(O101="","",(1/'Metadata'!$B$5)^(O101-1))</x:f>
        <x:v>1548.8166189124827</x:v>
      </x:c>
      <x:c r="U101" s="31" t="n">
        <x:f>IF(T101="","",I101*T101)</x:f>
        <x:v>78256.9924673846</x:v>
      </x:c>
    </x:row>
    <x:row r="102" ht="18" customHeight="1">
      <x:c r="A102" s="24" t="str">
        <x:v>EEZ_463</x:v>
      </x:c>
      <x:c r="B102" s="24" t="str">
        <x:v>Malaysia (Sarawak)</x:v>
      </x:c>
      <x:c r="C102" s="24" t="str">
        <x:v>EEZ</x:v>
      </x:c>
      <x:c r="D102" s="30" t="n">
        <x:v>2019</x:v>
      </x:c>
      <x:c r="E102" s="24" t="str">
        <x:v>Sardinella fimbriata</x:v>
      </x:c>
      <x:c r="F102" s="24" t="str">
        <x:v>Fringescale sardinella</x:v>
      </x:c>
      <x:c r="G102" s="24" t="str">
        <x:v>Small pelagics (&lt;30 cm)</x:v>
      </x:c>
      <x:c r="H102" s="24" t="str">
        <x:v>Herring-likes</x:v>
      </x:c>
      <x:c r="I102" s="31" t="n">
        <x:v>50.5240094324</x:v>
      </x:c>
      <x:c r="J102" s="31" t="n">
        <x:v>50.1478739958</x:v>
      </x:c>
      <x:c r="K102" s="31" t="n">
        <x:v>0.37613543660000004</x:v>
      </x:c>
      <x:c r="L102" s="31" t="n">
        <x:v>50.1478739958</x:v>
      </x:c>
      <x:c r="M102" s="31" t="n">
        <x:v>0.37613543660000004</x:v>
      </x:c>
      <x:c r="N102" s="24" t="str">
        <x:v>sardinella fimbriata</x:v>
      </x:c>
      <x:c r="O102" s="32" t="n">
        <x:v>2.7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Sardinella fimbriata</x:v>
      </x:c>
      <x:c r="T102" s="32" t="n">
        <x:f>IF(O102="","",(1/'Metadata'!$B$5)^(O102-1))</x:f>
        <x:v>50.11872336272725</x:v>
      </x:c>
      <x:c r="U102" s="31" t="n">
        <x:f>IF(T102="","",I102*T102)</x:f>
        <x:v>2532.198851918278</x:v>
      </x:c>
    </x:row>
    <x:row r="103" ht="18" customHeight="1">
      <x:c r="A103" s="24" t="str">
        <x:v>EEZ_463</x:v>
      </x:c>
      <x:c r="B103" s="24" t="str">
        <x:v>Malaysia (Sarawak)</x:v>
      </x:c>
      <x:c r="C103" s="24" t="str">
        <x:v>EEZ</x:v>
      </x:c>
      <x:c r="D103" s="30" t="n">
        <x:v>2019</x:v>
      </x:c>
      <x:c r="E103" s="24" t="str">
        <x:v>Muraenesox cinereus</x:v>
      </x:c>
      <x:c r="F103" s="24" t="str">
        <x:v>Daggertooth pike conger</x:v>
      </x:c>
      <x:c r="G103" s="24" t="str">
        <x:v>Large demersals (&gt;=90 cm)</x:v>
      </x:c>
      <x:c r="H103" s="24" t="str">
        <x:v>Other fishes &amp; inverts</x:v>
      </x:c>
      <x:c r="I103" s="31" t="n">
        <x:v>46.677950237</x:v>
      </x:c>
      <x:c r="J103" s="31" t="n">
        <x:v>46.3651158334</x:v>
      </x:c>
      <x:c r="K103" s="31" t="n">
        <x:v>0.3128344036</x:v>
      </x:c>
      <x:c r="L103" s="31" t="n">
        <x:v>46.1265465291</x:v>
      </x:c>
      <x:c r="M103" s="31" t="n">
        <x:v>0.5514037079</x:v>
      </x:c>
      <x:c r="N103" s="24" t="str">
        <x:v>muraenesox cinereus</x:v>
      </x:c>
      <x:c r="O103" s="32" t="n">
        <x:v>4.38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Muraenesox cinereus</x:v>
      </x:c>
      <x:c r="T103" s="32" t="n">
        <x:f>IF(O103="","",(1/'Metadata'!$B$5)^(O103-1))</x:f>
        <x:v>2398.83291901949</x:v>
      </x:c>
      <x:c r="U103" s="31" t="n">
        <x:f>IF(T103="","",I103*T103)</x:f>
        <x:v>111972.6036208692</x:v>
      </x:c>
    </x:row>
    <x:row r="104" ht="18" customHeight="1">
      <x:c r="A104" s="24" t="str">
        <x:v>EEZ_463</x:v>
      </x:c>
      <x:c r="B104" s="24" t="str">
        <x:v>Malaysia (Sarawak)</x:v>
      </x:c>
      <x:c r="C104" s="24" t="str">
        <x:v>EEZ</x:v>
      </x:c>
      <x:c r="D104" s="30" t="n">
        <x:v>2019</x:v>
      </x:c>
      <x:c r="E104" s="24" t="str">
        <x:v>Scolopsis</x:v>
      </x:c>
      <x:c r="F104" s="24" t="str">
        <x:v>Monocle breams</x:v>
      </x:c>
      <x:c r="G104" s="24" t="str">
        <x:v>Small reef assoc. fish (&lt;30 cm)</x:v>
      </x:c>
      <x:c r="H104" s="24" t="str">
        <x:v>Perch-likes</x:v>
      </x:c>
      <x:c r="I104" s="31" t="n">
        <x:v>46.6728139855</x:v>
      </x:c>
      <x:c r="J104" s="31" t="n">
        <x:v>46.6728139855</x:v>
      </x:c>
      <x:c r="K104" s="31" t="n">
        <x:v>0</x:v>
      </x:c>
      <x:c r="L104" s="31" t="n">
        <x:v>22.476222733900002</x:v>
      </x:c>
      <x:c r="M104" s="31" t="n">
        <x:v>24.1965912516</x:v>
      </x:c>
      <x:c r="N104" s="24" t="str">
        <x:v>scolopsis</x:v>
      </x:c>
      <x:c r="O104" s="32" t="n">
        <x:v>3.3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Scolopsis</x:v>
      </x:c>
      <x:c r="T104" s="32" t="n">
        <x:f>IF(O104="","",(1/'Metadata'!$B$5)^(O104-1))</x:f>
        <x:v>199.52623149688787</x:v>
      </x:c>
      <x:c r="U104" s="31" t="n">
        <x:f>IF(T104="","",I104*T104)</x:f>
        <x:v>9312.45068788206</x:v>
      </x:c>
    </x:row>
    <x:row r="105" ht="18" customHeight="1">
      <x:c r="A105" s="24" t="str">
        <x:v>EEZ_463</x:v>
      </x:c>
      <x:c r="B105" s="24" t="str">
        <x:v>Malaysia (Sarawak)</x:v>
      </x:c>
      <x:c r="C105" s="24" t="str">
        <x:v>EEZ</x:v>
      </x:c>
      <x:c r="D105" s="30" t="n">
        <x:v>2019</x:v>
      </x:c>
      <x:c r="E105" s="24" t="str">
        <x:v>Tegillarca granosa</x:v>
      </x:c>
      <x:c r="F105" s="24" t="str">
        <x:v>Granular ark</x:v>
      </x:c>
      <x:c r="G105" s="24" t="str">
        <x:v>Other demersal invertebrates</x:v>
      </x:c>
      <x:c r="H105" s="24" t="str">
        <x:v>Molluscs</x:v>
      </x:c>
      <x:c r="I105" s="31" t="n">
        <x:v>43.371051645899996</x:v>
      </x:c>
      <x:c r="J105" s="31" t="n">
        <x:v>43.371051645899996</x:v>
      </x:c>
      <x:c r="K105" s="31" t="n">
        <x:v>0</x:v>
      </x:c>
      <x:c r="L105" s="31" t="n">
        <x:v>43.371051645899996</x:v>
      </x:c>
      <x:c r="M105" s="31" t="n">
        <x:v>0</x:v>
      </x:c>
      <x:c r="N105" s="24" t="str">
        <x:v>tegillarca granosa</x:v>
      </x:c>
      <x:c r="O105" s="32" t="n">
        <x:v>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Tegillarca granosa</x:v>
      </x:c>
      <x:c r="T105" s="32" t="n">
        <x:f>IF(O105="","",(1/'Metadata'!$B$5)^(O105-1))</x:f>
        <x:v>10</x:v>
      </x:c>
      <x:c r="U105" s="31" t="n">
        <x:f>IF(T105="","",I105*T105)</x:f>
        <x:v>433.71051645899996</x:v>
      </x:c>
    </x:row>
    <x:row r="106" ht="18" customHeight="1">
      <x:c r="A106" s="24" t="str">
        <x:v>EEZ_463</x:v>
      </x:c>
      <x:c r="B106" s="24" t="str">
        <x:v>Malaysia (Sarawak)</x:v>
      </x:c>
      <x:c r="C106" s="24" t="str">
        <x:v>EEZ</x:v>
      </x:c>
      <x:c r="D106" s="30" t="n">
        <x:v>2019</x:v>
      </x:c>
      <x:c r="E106" s="24" t="str">
        <x:v>Psettodidae</x:v>
      </x:c>
      <x:c r="F106" s="24" t="str">
        <x:v>Turbots, Indian halibuts</x:v>
      </x:c>
      <x:c r="G106" s="24" t="str">
        <x:v>Small to medium flatfishes (&lt;90 cm)</x:v>
      </x:c>
      <x:c r="H106" s="24" t="str">
        <x:v>Flatfishes</x:v>
      </x:c>
      <x:c r="I106" s="31" t="n">
        <x:v>42.1033411855</x:v>
      </x:c>
      <x:c r="J106" s="31" t="n">
        <x:v>41.7898949891</x:v>
      </x:c>
      <x:c r="K106" s="31" t="n">
        <x:v>0.3134461964</x:v>
      </x:c>
      <x:c r="L106" s="31" t="n">
        <x:v>41.7898949891</x:v>
      </x:c>
      <x:c r="M106" s="31" t="n">
        <x:v>0.3134461964</x:v>
      </x:c>
      <x:c r="N106" s="24" t="str">
        <x:v>psettodidae</x:v>
      </x:c>
      <x:c r="O106" s="32" t="n">
        <x:v>3.83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Psettodidae</x:v>
      </x:c>
      <x:c r="T106" s="32" t="n">
        <x:f>IF(O106="","",(1/'Metadata'!$B$5)^(O106-1))</x:f>
        <x:v>676.0829753919819</x:v>
      </x:c>
      <x:c r="U106" s="31" t="n">
        <x:f>IF(T106="","",I106*T106)</x:f>
        <x:v>28465.352182636616</x:v>
      </x:c>
    </x:row>
    <x:row r="107" ht="18" customHeight="1">
      <x:c r="A107" s="24" t="str">
        <x:v>EEZ_463</x:v>
      </x:c>
      <x:c r="B107" s="24" t="str">
        <x:v>Malaysia (Sarawak)</x:v>
      </x:c>
      <x:c r="C107" s="24" t="str">
        <x:v>EEZ</x:v>
      </x:c>
      <x:c r="D107" s="30" t="n">
        <x:v>2019</x:v>
      </x:c>
      <x:c r="E107" s="24" t="str">
        <x:v>Auxis thazard</x:v>
      </x:c>
      <x:c r="F107" s="24" t="str">
        <x:v>Frigate tuna</x:v>
      </x:c>
      <x:c r="G107" s="24" t="str">
        <x:v>Medium pelagics (30 - 89 cm)</x:v>
      </x:c>
      <x:c r="H107" s="24" t="str">
        <x:v>Tuna &amp; billfishes</x:v>
      </x:c>
      <x:c r="I107" s="31" t="n">
        <x:v>41.6241659352</x:v>
      </x:c>
      <x:c r="J107" s="31" t="n">
        <x:v>41.6241659352</x:v>
      </x:c>
      <x:c r="K107" s="31" t="n">
        <x:v>0</x:v>
      </x:c>
      <x:c r="L107" s="31" t="n">
        <x:v>29.7418381952</x:v>
      </x:c>
      <x:c r="M107" s="31" t="n">
        <x:v>11.882327740000001</x:v>
      </x:c>
      <x:c r="N107" s="24" t="str">
        <x:v>auxis thazard</x:v>
      </x:c>
      <x:c r="O107" s="32" t="n">
        <x:v>4.37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Auxis thazard</x:v>
      </x:c>
      <x:c r="T107" s="32" t="n">
        <x:f>IF(O107="","",(1/'Metadata'!$B$5)^(O107-1))</x:f>
        <x:v>2344.228815319923</x:v>
      </x:c>
      <x:c r="U107" s="31" t="n">
        <x:f>IF(T107="","",I107*T107)</x:f>
        <x:v>97576.56919895377</x:v>
      </x:c>
    </x:row>
    <x:row r="108" ht="18" customHeight="1">
      <x:c r="A108" s="24" t="str">
        <x:v>EEZ_463</x:v>
      </x:c>
      <x:c r="B108" s="24" t="str">
        <x:v>Malaysia (Sarawak)</x:v>
      </x:c>
      <x:c r="C108" s="24" t="str">
        <x:v>EEZ</x:v>
      </x:c>
      <x:c r="D108" s="30" t="n">
        <x:v>2019</x:v>
      </x:c>
      <x:c r="E108" s="24" t="str">
        <x:v>Istiophorus</x:v>
      </x:c>
      <x:c r="F108" s="24" t="str">
        <x:v>Sailfishes</x:v>
      </x:c>
      <x:c r="G108" s="24" t="str">
        <x:v>Large pelagics (&gt;=90 cm)</x:v>
      </x:c>
      <x:c r="H108" s="24" t="str">
        <x:v>Tuna &amp; billfishes</x:v>
      </x:c>
      <x:c r="I108" s="31" t="n">
        <x:v>41.441075524400006</x:v>
      </x:c>
      <x:c r="J108" s="31" t="n">
        <x:v>41.441075524400006</x:v>
      </x:c>
      <x:c r="K108" s="31" t="n">
        <x:v>0</x:v>
      </x:c>
      <x:c r="L108" s="31" t="n">
        <x:v>26.345393709899998</x:v>
      </x:c>
      <x:c r="M108" s="31" t="n">
        <x:v>15.0956818145</x:v>
      </x:c>
      <x:c r="N108" s="24" t="str">
        <x:v>istiophorus</x:v>
      </x:c>
      <x:c r="O108" s="32" t="n">
        <x:v>4.5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Istiophorus</x:v>
      </x:c>
      <x:c r="T108" s="32" t="n">
        <x:f>IF(O108="","",(1/'Metadata'!$B$5)^(O108-1))</x:f>
        <x:v>3162.2776601683795</x:v>
      </x:c>
      <x:c r="U108" s="31" t="n">
        <x:f>IF(T108="","",I108*T108)</x:f>
        <x:v>131048.18734416075</x:v>
      </x:c>
    </x:row>
    <x:row r="109" ht="18" customHeight="1">
      <x:c r="A109" s="24" t="str">
        <x:v>EEZ_463</x:v>
      </x:c>
      <x:c r="B109" s="24" t="str">
        <x:v>Malaysia (Sarawak)</x:v>
      </x:c>
      <x:c r="C109" s="24" t="str">
        <x:v>EEZ</x:v>
      </x:c>
      <x:c r="D109" s="30" t="n">
        <x:v>2019</x:v>
      </x:c>
      <x:c r="E109" s="24" t="str">
        <x:v>Lethrinidae</x:v>
      </x:c>
      <x:c r="F109" s="24" t="str">
        <x:v>Emperors, scavengers</x:v>
      </x:c>
      <x:c r="G109" s="24" t="str">
        <x:v>Medium reef assoc. fish (30 - 89 cm)</x:v>
      </x:c>
      <x:c r="H109" s="24" t="str">
        <x:v>Perch-likes</x:v>
      </x:c>
      <x:c r="I109" s="31" t="n">
        <x:v>30.4939670317</x:v>
      </x:c>
      <x:c r="J109" s="31" t="n">
        <x:v>30.4939670317</x:v>
      </x:c>
      <x:c r="K109" s="31" t="n">
        <x:v>0</x:v>
      </x:c>
      <x:c r="L109" s="31" t="n">
        <x:v>0</x:v>
      </x:c>
      <x:c r="M109" s="31" t="n">
        <x:v>30.4939670317</x:v>
      </x:c>
      <x:c r="N109" s="24" t="str">
        <x:v>lethrinidae</x:v>
      </x:c>
      <x:c r="O109" s="32" t="n">
        <x:v>3.59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Lethrinidae</x:v>
      </x:c>
      <x:c r="T109" s="32" t="n">
        <x:f>IF(O109="","",(1/'Metadata'!$B$5)^(O109-1))</x:f>
        <x:v>389.04514499428046</x:v>
      </x:c>
      <x:c r="U109" s="31" t="n">
        <x:f>IF(T109="","",I109*T109)</x:f>
        <x:v>11863.529825298534</x:v>
      </x:c>
    </x:row>
    <x:row r="110" ht="18" customHeight="1">
      <x:c r="A110" s="24" t="str">
        <x:v>EEZ_463</x:v>
      </x:c>
      <x:c r="B110" s="24" t="str">
        <x:v>Malaysia (Sarawak)</x:v>
      </x:c>
      <x:c r="C110" s="24" t="str">
        <x:v>EEZ</x:v>
      </x:c>
      <x:c r="D110" s="30" t="n">
        <x:v>2019</x:v>
      </x:c>
      <x:c r="E110" s="24" t="str">
        <x:v>Haemulidae</x:v>
      </x:c>
      <x:c r="F110" s="24" t="str">
        <x:v>Grunts, sweetlips, bonnetmouths</x:v>
      </x:c>
      <x:c r="G110" s="24" t="str">
        <x:v>Medium demersals (30 - 89 cm)</x:v>
      </x:c>
      <x:c r="H110" s="24" t="str">
        <x:v>Perch-likes</x:v>
      </x:c>
      <x:c r="I110" s="31" t="n">
        <x:v>30.4939670317</x:v>
      </x:c>
      <x:c r="J110" s="31" t="n">
        <x:v>30.4939670317</x:v>
      </x:c>
      <x:c r="K110" s="31" t="n">
        <x:v>0</x:v>
      </x:c>
      <x:c r="L110" s="31" t="n">
        <x:v>0</x:v>
      </x:c>
      <x:c r="M110" s="31" t="n">
        <x:v>30.4939670317</x:v>
      </x:c>
      <x:c r="N110" s="24" t="str">
        <x:v>haemulidae</x:v>
      </x:c>
      <x:c r="O110" s="32" t="n">
        <x:v>3.36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Haemulidae</x:v>
      </x:c>
      <x:c r="T110" s="32" t="n">
        <x:f>IF(O110="","",(1/'Metadata'!$B$5)^(O110-1))</x:f>
        <x:v>229.08676527677724</x:v>
      </x:c>
      <x:c r="U110" s="31" t="n">
        <x:f>IF(T110="","",I110*T110)</x:f>
        <x:v>6985.764267748841</x:v>
      </x:c>
    </x:row>
    <x:row r="111" ht="18" customHeight="1">
      <x:c r="A111" s="24" t="str">
        <x:v>EEZ_463</x:v>
      </x:c>
      <x:c r="B111" s="24" t="str">
        <x:v>Malaysia (Sarawak)</x:v>
      </x:c>
      <x:c r="C111" s="24" t="str">
        <x:v>EEZ</x:v>
      </x:c>
      <x:c r="D111" s="30" t="n">
        <x:v>2019</x:v>
      </x:c>
      <x:c r="E111" s="24" t="str">
        <x:v>Panulirus polyphagus</x:v>
      </x:c>
      <x:c r="F111" s="24" t="str">
        <x:v>Mud spiny lobster</x:v>
      </x:c>
      <x:c r="G111" s="24" t="str">
        <x:v>Lobsters, crabs</x:v>
      </x:c>
      <x:c r="H111" s="24" t="str">
        <x:v>Crustaceans</x:v>
      </x:c>
      <x:c r="I111" s="31" t="n">
        <x:v>30.487409758600002</x:v>
      </x:c>
      <x:c r="J111" s="31" t="n">
        <x:v>30.487409758600002</x:v>
      </x:c>
      <x:c r="K111" s="31" t="n">
        <x:v>0</x:v>
      </x:c>
      <x:c r="L111" s="31" t="n">
        <x:v>19.3689131458</x:v>
      </x:c>
      <x:c r="M111" s="31" t="n">
        <x:v>11.1184966128</x:v>
      </x:c>
      <x:c r="N111" s="24" t="str">
        <x:v>panulirus polyphagus</x:v>
      </x:c>
      <x:c r="O111" s="32" t="n">
        <x:v>2.94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Panulirus polyphagus</x:v>
      </x:c>
      <x:c r="T111" s="32" t="n">
        <x:f>IF(O111="","",(1/'Metadata'!$B$5)^(O111-1))</x:f>
        <x:v>87.09635899560806</x:v>
      </x:c>
      <x:c r="U111" s="31" t="n">
        <x:f>IF(T111="","",I111*T111)</x:f>
        <x:v>2655.34238518123</x:v>
      </x:c>
    </x:row>
    <x:row r="112" ht="18" customHeight="1">
      <x:c r="A112" s="24" t="str">
        <x:v>EEZ_463</x:v>
      </x:c>
      <x:c r="B112" s="24" t="str">
        <x:v>Malaysia (Sarawak)</x:v>
      </x:c>
      <x:c r="C112" s="24" t="str">
        <x:v>EEZ</x:v>
      </x:c>
      <x:c r="D112" s="30" t="n">
        <x:v>2019</x:v>
      </x:c>
      <x:c r="E112" s="24" t="str">
        <x:v>Penaeus</x:v>
      </x:c>
      <x:c r="F112" s="24" t="str">
        <x:v>Tiger prawns</x:v>
      </x:c>
      <x:c r="G112" s="24" t="str">
        <x:v>Shrimps</x:v>
      </x:c>
      <x:c r="H112" s="24" t="str">
        <x:v>Crustaceans</x:v>
      </x:c>
      <x:c r="I112" s="31" t="n">
        <x:v>28.834420337399997</x:v>
      </x:c>
      <x:c r="J112" s="31" t="n">
        <x:v>28.834420337399997</x:v>
      </x:c>
      <x:c r="K112" s="31" t="n">
        <x:v>0</x:v>
      </x:c>
      <x:c r="L112" s="31" t="n">
        <x:v>27.6121317194</x:v>
      </x:c>
      <x:c r="M112" s="31" t="n">
        <x:v>1.2222886179999999</x:v>
      </x:c>
      <x:c r="N112" s="24" t="str">
        <x:v>penaeus</x:v>
      </x:c>
      <x:c r="O112" s="32" t="n">
        <x:v>2.7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Penaeus</x:v>
      </x:c>
      <x:c r="T112" s="32" t="n">
        <x:f>IF(O112="","",(1/'Metadata'!$B$5)^(O112-1))</x:f>
        <x:v>50.11872336272725</x:v>
      </x:c>
      <x:c r="U112" s="31" t="n">
        <x:f>IF(T112="","",I112*T112)</x:f>
        <x:v>1445.144336214747</x:v>
      </x:c>
    </x:row>
    <x:row r="113" ht="18" customHeight="1">
      <x:c r="A113" s="24" t="str">
        <x:v>EEZ_463</x:v>
      </x:c>
      <x:c r="B113" s="24" t="str">
        <x:v>Malaysia (Sarawak)</x:v>
      </x:c>
      <x:c r="C113" s="24" t="str">
        <x:v>EEZ</x:v>
      </x:c>
      <x:c r="D113" s="30" t="n">
        <x:v>2019</x:v>
      </x:c>
      <x:c r="E113" s="24" t="str">
        <x:v>Octopodidae</x:v>
      </x:c>
      <x:c r="F113" s="24" t="str">
        <x:v>Octopuses</x:v>
      </x:c>
      <x:c r="G113" s="24" t="str">
        <x:v>Cephalopods</x:v>
      </x:c>
      <x:c r="H113" s="24" t="str">
        <x:v>Other fishes &amp; inverts</x:v>
      </x:c>
      <x:c r="I113" s="31" t="n">
        <x:v>27.2668694011</x:v>
      </x:c>
      <x:c r="J113" s="31" t="n">
        <x:v>27.2668694011</x:v>
      </x:c>
      <x:c r="K113" s="31" t="n">
        <x:v>0</x:v>
      </x:c>
      <x:c r="L113" s="31" t="n">
        <x:v>25.098412501299997</x:v>
      </x:c>
      <x:c r="M113" s="31" t="n">
        <x:v>2.1684568998000002</x:v>
      </x:c>
      <x:c r="N113" s="24" t="str">
        <x:v>octopodidae</x:v>
      </x:c>
      <x:c r="O113" s="32" t="n">
        <x:v>3.59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Octopodidae</x:v>
      </x:c>
      <x:c r="T113" s="32" t="n">
        <x:f>IF(O113="","",(1/'Metadata'!$B$5)^(O113-1))</x:f>
        <x:v>389.04514499428046</x:v>
      </x:c>
      <x:c r="U113" s="31" t="n">
        <x:f>IF(T113="","",I113*T113)</x:f>
        <x:v>10608.043159691058</x:v>
      </x:c>
    </x:row>
    <x:row r="114" ht="18" customHeight="1">
      <x:c r="A114" s="24" t="str">
        <x:v>EEZ_463</x:v>
      </x:c>
      <x:c r="B114" s="24" t="str">
        <x:v>Malaysia (Sarawak)</x:v>
      </x:c>
      <x:c r="C114" s="24" t="str">
        <x:v>EEZ</x:v>
      </x:c>
      <x:c r="D114" s="30" t="n">
        <x:v>2019</x:v>
      </x:c>
      <x:c r="E114" s="24" t="str">
        <x:v>Rachycentron canadum</x:v>
      </x:c>
      <x:c r="F114" s="24" t="str">
        <x:v>Cobia</x:v>
      </x:c>
      <x:c r="G114" s="24" t="str">
        <x:v>Large pelagics (&gt;=90 cm)</x:v>
      </x:c>
      <x:c r="H114" s="24" t="str">
        <x:v>Perch-likes</x:v>
      </x:c>
      <x:c r="I114" s="31" t="n">
        <x:v>24.2809976255</x:v>
      </x:c>
      <x:c r="J114" s="31" t="n">
        <x:v>24.2809976255</x:v>
      </x:c>
      <x:c r="K114" s="31" t="n">
        <x:v>0</x:v>
      </x:c>
      <x:c r="L114" s="31" t="n">
        <x:v>16.0642644572</x:v>
      </x:c>
      <x:c r="M114" s="31" t="n">
        <x:v>8.2167331683</x:v>
      </x:c>
      <x:c r="N114" s="24" t="str">
        <x:v>rachycentron canadum</x:v>
      </x:c>
      <x:c r="O114" s="32" t="n">
        <x:v>3.96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Rachycentron canadum</x:v>
      </x:c>
      <x:c r="T114" s="32" t="n">
        <x:f>IF(O114="","",(1/'Metadata'!$B$5)^(O114-1))</x:f>
        <x:v>912.0108393559096</x:v>
      </x:c>
      <x:c r="U114" s="31" t="n">
        <x:f>IF(T114="","",I114*T114)</x:f>
        <x:v>22144.533024831104</x:v>
      </x:c>
    </x:row>
    <x:row r="115" ht="18" customHeight="1">
      <x:c r="A115" s="24" t="str">
        <x:v>EEZ_463</x:v>
      </x:c>
      <x:c r="B115" s="24" t="str">
        <x:v>Malaysia (Sarawak)</x:v>
      </x:c>
      <x:c r="C115" s="24" t="str">
        <x:v>EEZ</x:v>
      </x:c>
      <x:c r="D115" s="30" t="n">
        <x:v>2019</x:v>
      </x:c>
      <x:c r="E115" s="24" t="str">
        <x:v>Sepiidae</x:v>
      </x:c>
      <x:c r="F115" s="24" t="str">
        <x:v>Cuttlefishes</x:v>
      </x:c>
      <x:c r="G115" s="24" t="str">
        <x:v>Cephalopods</x:v>
      </x:c>
      <x:c r="H115" s="24" t="str">
        <x:v>Other fishes &amp; inverts</x:v>
      </x:c>
      <x:c r="I115" s="31" t="n">
        <x:v>23.5990698345</x:v>
      </x:c>
      <x:c r="J115" s="31" t="n">
        <x:v>23.5990698345</x:v>
      </x:c>
      <x:c r="K115" s="31" t="n">
        <x:v>0</x:v>
      </x:c>
      <x:c r="L115" s="31" t="n">
        <x:v>22.7787612007</x:v>
      </x:c>
      <x:c r="M115" s="31" t="n">
        <x:v>0.8203086338000001</x:v>
      </x:c>
      <x:c r="N115" s="24" t="str">
        <x:v>sepiidae</x:v>
      </x:c>
      <x:c r="O115" s="32" t="n">
        <x:v>3.6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Sepiidae</x:v>
      </x:c>
      <x:c r="T115" s="32" t="n">
        <x:f>IF(O115="","",(1/'Metadata'!$B$5)^(O115-1))</x:f>
        <x:v>398.1071705534973</x:v>
      </x:c>
      <x:c r="U115" s="31" t="n">
        <x:f>IF(T115="","",I115*T115)</x:f>
        <x:v>9394.958919507186</x:v>
      </x:c>
    </x:row>
    <x:row r="116" ht="18" customHeight="1">
      <x:c r="A116" s="24" t="str">
        <x:v>EEZ_463</x:v>
      </x:c>
      <x:c r="B116" s="24" t="str">
        <x:v>Malaysia (Sarawak)</x:v>
      </x:c>
      <x:c r="C116" s="24" t="str">
        <x:v>EEZ</x:v>
      </x:c>
      <x:c r="D116" s="30" t="n">
        <x:v>2019</x:v>
      </x:c>
      <x:c r="E116" s="24" t="str">
        <x:v>Scyris indica</x:v>
      </x:c>
      <x:c r="F116" s="24" t="str">
        <x:v>Indian threadfish</x:v>
      </x:c>
      <x:c r="G116" s="24" t="str">
        <x:v>Large reef assoc. fish (&gt;=90 cm)</x:v>
      </x:c>
      <x:c r="H116" s="24" t="str">
        <x:v>Perch-likes</x:v>
      </x:c>
      <x:c r="I116" s="31" t="n">
        <x:v>22.2368201986</x:v>
      </x:c>
      <x:c r="J116" s="31" t="n">
        <x:v>22.2368201986</x:v>
      </x:c>
      <x:c r="K116" s="31" t="n">
        <x:v>0</x:v>
      </x:c>
      <x:c r="L116" s="31" t="n">
        <x:v>0</x:v>
      </x:c>
      <x:c r="M116" s="31" t="n">
        <x:v>22.2368201986</x:v>
      </x:c>
      <x:c r="N116" s="24" t="str">
        <x:v>scyris indica</x:v>
      </x:c>
      <x:c r="O116" s="32" t="n">
        <x:v>4.09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Scyris indica</x:v>
      </x:c>
      <x:c r="T116" s="32" t="n">
        <x:f>IF(O116="","",(1/'Metadata'!$B$5)^(O116-1))</x:f>
        <x:v>1230.268770812381</x:v>
      </x:c>
      <x:c r="U116" s="31" t="n">
        <x:f>IF(T116="","",I116*T116)</x:f>
        <x:v>27357.26545250755</x:v>
      </x:c>
    </x:row>
    <x:row r="117" ht="18" customHeight="1">
      <x:c r="A117" s="24" t="str">
        <x:v>EEZ_463</x:v>
      </x:c>
      <x:c r="B117" s="24" t="str">
        <x:v>Malaysia (Sarawak)</x:v>
      </x:c>
      <x:c r="C117" s="24" t="str">
        <x:v>EEZ</x:v>
      </x:c>
      <x:c r="D117" s="30" t="n">
        <x:v>2019</x:v>
      </x:c>
      <x:c r="E117" s="24" t="str">
        <x:v>Sepioteuthis lessoniana</x:v>
      </x:c>
      <x:c r="F117" s="24" t="str">
        <x:v>Bigfin reef squid</x:v>
      </x:c>
      <x:c r="G117" s="24" t="str">
        <x:v>Cephalopods</x:v>
      </x:c>
      <x:c r="H117" s="24" t="str">
        <x:v>Other fishes &amp; inverts</x:v>
      </x:c>
      <x:c r="I117" s="31" t="n">
        <x:v>21.2702292046</x:v>
      </x:c>
      <x:c r="J117" s="31" t="n">
        <x:v>21.2702292046</x:v>
      </x:c>
      <x:c r="K117" s="31" t="n">
        <x:v>0</x:v>
      </x:c>
      <x:c r="L117" s="31" t="n">
        <x:v>11.47443522</x:v>
      </x:c>
      <x:c r="M117" s="31" t="n">
        <x:v>9.795793984600001</x:v>
      </x:c>
      <x:c r="N117" s="24" t="str">
        <x:v>sepioteuthis lessoniana</x:v>
      </x:c>
      <x:c r="O117" s="32" t="n">
        <x:v>3.98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Sepioteuthis lessoniana</x:v>
      </x:c>
      <x:c r="T117" s="32" t="n">
        <x:f>IF(O117="","",(1/'Metadata'!$B$5)^(O117-1))</x:f>
        <x:v>954.992586021436</x:v>
      </x:c>
      <x:c r="U117" s="31" t="n">
        <x:f>IF(T117="","",I117*T117)</x:f>
        <x:v>20312.911193369626</x:v>
      </x:c>
    </x:row>
    <x:row r="118" ht="18" customHeight="1">
      <x:c r="A118" s="24" t="str">
        <x:v>EEZ_463</x:v>
      </x:c>
      <x:c r="B118" s="24" t="str">
        <x:v>Malaysia (Sarawak)</x:v>
      </x:c>
      <x:c r="C118" s="24" t="str">
        <x:v>EEZ</x:v>
      </x:c>
      <x:c r="D118" s="30" t="n">
        <x:v>2019</x:v>
      </x:c>
      <x:c r="E118" s="24" t="str">
        <x:v>Chirocentrus dorab</x:v>
      </x:c>
      <x:c r="F118" s="24" t="str">
        <x:v>Dorab wolf-herring</x:v>
      </x:c>
      <x:c r="G118" s="24" t="str">
        <x:v>Large benthopelagics (&gt;=90 cm)</x:v>
      </x:c>
      <x:c r="H118" s="24" t="str">
        <x:v>Herring-likes</x:v>
      </x:c>
      <x:c r="I118" s="31" t="n">
        <x:v>20.3221298414</x:v>
      </x:c>
      <x:c r="J118" s="31" t="n">
        <x:v>20.3221298414</x:v>
      </x:c>
      <x:c r="K118" s="31" t="n">
        <x:v>0</x:v>
      </x:c>
      <x:c r="L118" s="31" t="n">
        <x:v>7.745640695</x:v>
      </x:c>
      <x:c r="M118" s="31" t="n">
        <x:v>12.5764891464</x:v>
      </x:c>
      <x:c r="N118" s="24" t="str">
        <x:v>chirocentrus dorab</x:v>
      </x:c>
      <x:c r="O118" s="32" t="n">
        <x:v>4.2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Chirocentrus dorab</x:v>
      </x:c>
      <x:c r="T118" s="32" t="n">
        <x:f>IF(O118="","",(1/'Metadata'!$B$5)^(O118-1))</x:f>
        <x:v>1584.893192461114</x:v>
      </x:c>
      <x:c r="U118" s="31" t="n">
        <x:f>IF(T118="","",I118*T118)</x:f>
        <x:v>32208.40524194572</x:v>
      </x:c>
    </x:row>
    <x:row r="119" ht="18" customHeight="1">
      <x:c r="A119" s="24" t="str">
        <x:v>EEZ_463</x:v>
      </x:c>
      <x:c r="B119" s="24" t="str">
        <x:v>Malaysia (Sarawak)</x:v>
      </x:c>
      <x:c r="C119" s="24" t="str">
        <x:v>EEZ</x:v>
      </x:c>
      <x:c r="D119" s="30" t="n">
        <x:v>2019</x:v>
      </x:c>
      <x:c r="E119" s="24" t="str">
        <x:v>Octopus</x:v>
      </x:c>
      <x:c r="F119" s="24" t="str">
        <x:v>Octopuses, pikas</x:v>
      </x:c>
      <x:c r="G119" s="24" t="str">
        <x:v>Cephalopods</x:v>
      </x:c>
      <x:c r="H119" s="24" t="str">
        <x:v>Other fishes &amp; inverts</x:v>
      </x:c>
      <x:c r="I119" s="31" t="n">
        <x:v>20.2096037727</x:v>
      </x:c>
      <x:c r="J119" s="31" t="n">
        <x:v>20.0591495977</x:v>
      </x:c>
      <x:c r="K119" s="31" t="n">
        <x:v>0.150454175</x:v>
      </x:c>
      <x:c r="L119" s="31" t="n">
        <x:v>20.0591495977</x:v>
      </x:c>
      <x:c r="M119" s="31" t="n">
        <x:v>0.150454175</x:v>
      </x:c>
      <x:c r="N119" s="24" t="str">
        <x:v>octopus</x:v>
      </x:c>
      <x:c r="O119" s="32" t="n">
        <x:v>3.8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Octopus</x:v>
      </x:c>
      <x:c r="T119" s="32" t="n">
        <x:f>IF(O119="","",(1/'Metadata'!$B$5)^(O119-1))</x:f>
        <x:v>630.957344480193</x:v>
      </x:c>
      <x:c r="U119" s="31" t="n">
        <x:f>IF(T119="","",I119*T119)</x:f>
        <x:v>12751.397929419682</x:v>
      </x:c>
    </x:row>
    <x:row r="120" ht="18" customHeight="1">
      <x:c r="A120" s="24" t="str">
        <x:v>EEZ_463</x:v>
      </x:c>
      <x:c r="B120" s="24" t="str">
        <x:v>Malaysia (Sarawak)</x:v>
      </x:c>
      <x:c r="C120" s="24" t="str">
        <x:v>EEZ</x:v>
      </x:c>
      <x:c r="D120" s="30" t="n">
        <x:v>2019</x:v>
      </x:c>
      <x:c r="E120" s="24" t="str">
        <x:v>Megalops cyprinoides</x:v>
      </x:c>
      <x:c r="F120" s="24" t="str">
        <x:v>Indo-Pacific tarpon</x:v>
      </x:c>
      <x:c r="G120" s="24" t="str">
        <x:v>Large pelagics (&gt;=90 cm)</x:v>
      </x:c>
      <x:c r="H120" s="24" t="str">
        <x:v>Other fishes &amp; inverts</x:v>
      </x:c>
      <x:c r="I120" s="31" t="n">
        <x:v>18.529635182699998</x:v>
      </x:c>
      <x:c r="J120" s="31" t="n">
        <x:v>18.529635182699998</x:v>
      </x:c>
      <x:c r="K120" s="31" t="n">
        <x:v>0</x:v>
      </x:c>
      <x:c r="L120" s="31" t="n">
        <x:v>13.2185947533</x:v>
      </x:c>
      <x:c r="M120" s="31" t="n">
        <x:v>5.3110404294</x:v>
      </x:c>
      <x:c r="N120" s="24" t="str">
        <x:v>megalops cyprinoides</x:v>
      </x:c>
      <x:c r="O120" s="32" t="n">
        <x:v>3.48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Megalops cyprinoides</x:v>
      </x:c>
      <x:c r="T120" s="32" t="n">
        <x:f>IF(O120="","",(1/'Metadata'!$B$5)^(O120-1))</x:f>
        <x:v>301.9951720402016</x:v>
      </x:c>
      <x:c r="U120" s="31" t="n">
        <x:f>IF(T120="","",I120*T120)</x:f>
        <x:v>5595.860364841658</x:v>
      </x:c>
    </x:row>
    <x:row r="121" ht="18" customHeight="1">
      <x:c r="A121" s="24" t="str">
        <x:v>EEZ_463</x:v>
      </x:c>
      <x:c r="B121" s="24" t="str">
        <x:v>Malaysia (Sarawak)</x:v>
      </x:c>
      <x:c r="C121" s="24" t="str">
        <x:v>EEZ</x:v>
      </x:c>
      <x:c r="D121" s="30" t="n">
        <x:v>2019</x:v>
      </x:c>
      <x:c r="E121" s="24" t="str">
        <x:v>Platycaranx malabaricus</x:v>
      </x:c>
      <x:c r="F121" s="24" t="str">
        <x:v>Malabar trevally</x:v>
      </x:c>
      <x:c r="G121" s="24" t="str">
        <x:v>Medium reef assoc. fish (30 - 89 cm)</x:v>
      </x:c>
      <x:c r="H121" s="24" t="str">
        <x:v>Perch-likes</x:v>
      </x:c>
      <x:c r="I121" s="31" t="n">
        <x:v>16.8413364803</x:v>
      </x:c>
      <x:c r="J121" s="31" t="n">
        <x:v>16.7159580011</x:v>
      </x:c>
      <x:c r="K121" s="31" t="n">
        <x:v>0.1253784792</x:v>
      </x:c>
      <x:c r="L121" s="31" t="n">
        <x:v>16.7159580011</x:v>
      </x:c>
      <x:c r="M121" s="31" t="n">
        <x:v>0.1253784792</x:v>
      </x:c>
      <x:c r="N121" s="24" t="str">
        <x:v>platycaranx malabaricus</x:v>
      </x:c>
      <x:c r="O121" s="32" t="n">
        <x:v>3.88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Platycaranx malabaricus</x:v>
      </x:c>
      <x:c r="T121" s="32" t="n">
        <x:f>IF(O121="","",(1/'Metadata'!$B$5)^(O121-1))</x:f>
        <x:v>758.5775750291835</x:v>
      </x:c>
      <x:c r="U121" s="31" t="n">
        <x:f>IF(T121="","",I121*T121)</x:f>
        <x:v>12775.4601874765</x:v>
      </x:c>
    </x:row>
    <x:row r="122" ht="18" customHeight="1">
      <x:c r="A122" s="24" t="str">
        <x:v>EEZ_463</x:v>
      </x:c>
      <x:c r="B122" s="24" t="str">
        <x:v>Malaysia (Sarawak)</x:v>
      </x:c>
      <x:c r="C122" s="24" t="str">
        <x:v>EEZ</x:v>
      </x:c>
      <x:c r="D122" s="30" t="n">
        <x:v>2019</x:v>
      </x:c>
      <x:c r="E122" s="24" t="str">
        <x:v>Cephea</x:v>
      </x:c>
      <x:c r="F122" s="24" t="str">
        <x:v>Cepheid jellyfishes</x:v>
      </x:c>
      <x:c r="G122" s="24" t="str">
        <x:v>Jellyfish</x:v>
      </x:c>
      <x:c r="H122" s="24" t="str">
        <x:v>Other fishes &amp; inverts</x:v>
      </x:c>
      <x:c r="I122" s="31" t="n">
        <x:v>16.217687467</x:v>
      </x:c>
      <x:c r="J122" s="31" t="n">
        <x:v>16.217687467</x:v>
      </x:c>
      <x:c r="K122" s="31" t="n">
        <x:v>0</x:v>
      </x:c>
      <x:c r="L122" s="31" t="n">
        <x:v>3.5995115032</x:v>
      </x:c>
      <x:c r="M122" s="31" t="n">
        <x:v>12.6181759638</x:v>
      </x:c>
      <x:c r="N122" s="24" t="str">
        <x:v>cephea</x:v>
      </x:c>
      <x:c r="O122" s="32" t="n">
        <x:v>3.46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Cephea</x:v>
      </x:c>
      <x:c r="T122" s="32" t="n">
        <x:f>IF(O122="","",(1/'Metadata'!$B$5)^(O122-1))</x:f>
        <x:v>288.40315031266056</x:v>
      </x:c>
      <x:c r="U122" s="31" t="n">
        <x:f>IF(T122="","",I122*T122)</x:f>
        <x:v>4677.232156268952</x:v>
      </x:c>
    </x:row>
    <x:row r="123" ht="18" customHeight="1">
      <x:c r="A123" s="24" t="str">
        <x:v>EEZ_463</x:v>
      </x:c>
      <x:c r="B123" s="24" t="str">
        <x:v>Malaysia (Sarawak)</x:v>
      </x:c>
      <x:c r="C123" s="24" t="str">
        <x:v>EEZ</x:v>
      </x:c>
      <x:c r="D123" s="30" t="n">
        <x:v>2019</x:v>
      </x:c>
      <x:c r="E123" s="24" t="str">
        <x:v>Lethrinus</x:v>
      </x:c>
      <x:c r="F123" s="24" t="str">
        <x:v>Emperors</x:v>
      </x:c>
      <x:c r="G123" s="24" t="str">
        <x:v>Medium reef assoc. fish (30 - 89 cm)</x:v>
      </x:c>
      <x:c r="H123" s="24" t="str">
        <x:v>Perch-likes</x:v>
      </x:c>
      <x:c r="I123" s="31" t="n">
        <x:v>15.9739525042</x:v>
      </x:c>
      <x:c r="J123" s="31" t="n">
        <x:v>15.9739525042</x:v>
      </x:c>
      <x:c r="K123" s="31" t="n">
        <x:v>0</x:v>
      </x:c>
      <x:c r="L123" s="31" t="n">
        <x:v>10.7401082372</x:v>
      </x:c>
      <x:c r="M123" s="31" t="n">
        <x:v>5.233844267</x:v>
      </x:c>
      <x:c r="N123" s="24" t="str">
        <x:v>lethrinus</x:v>
      </x:c>
      <x:c r="O123" s="32" t="n">
        <x:v>3.75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Lethrinus</x:v>
      </x:c>
      <x:c r="T123" s="32" t="n">
        <x:f>IF(O123="","",(1/'Metadata'!$B$5)^(O123-1))</x:f>
        <x:v>562.341325190349</x:v>
      </x:c>
      <x:c r="U123" s="31" t="n">
        <x:f>IF(T123="","",I123*T123)</x:f>
        <x:v>8982.813619739522</x:v>
      </x:c>
    </x:row>
    <x:row r="124" ht="18" customHeight="1">
      <x:c r="A124" s="24" t="str">
        <x:v>EEZ_463</x:v>
      </x:c>
      <x:c r="B124" s="24" t="str">
        <x:v>Malaysia (Sarawak)</x:v>
      </x:c>
      <x:c r="C124" s="24" t="str">
        <x:v>EEZ</x:v>
      </x:c>
      <x:c r="D124" s="30" t="n">
        <x:v>2019</x:v>
      </x:c>
      <x:c r="E124" s="24" t="str">
        <x:v>Seriolina nigrofasciata</x:v>
      </x:c>
      <x:c r="F124" s="24" t="str">
        <x:v>Blackbanded trevally</x:v>
      </x:c>
      <x:c r="G124" s="24" t="str">
        <x:v>Medium reef assoc. fish (30 - 89 cm)</x:v>
      </x:c>
      <x:c r="H124" s="24" t="str">
        <x:v>Perch-likes</x:v>
      </x:c>
      <x:c r="I124" s="31" t="n">
        <x:v>15.4827770419</x:v>
      </x:c>
      <x:c r="J124" s="31" t="n">
        <x:v>15.4827770419</x:v>
      </x:c>
      <x:c r="K124" s="31" t="n">
        <x:v>0</x:v>
      </x:c>
      <x:c r="L124" s="31" t="n">
        <x:v>7.8896700644</x:v>
      </x:c>
      <x:c r="M124" s="31" t="n">
        <x:v>7.5931069775</x:v>
      </x:c>
      <x:c r="N124" s="24" t="str">
        <x:v>seriolina nigrofasciata</x:v>
      </x:c>
      <x:c r="O124" s="32" t="n">
        <x:v>4.17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Seriolina nigrofasciata</x:v>
      </x:c>
      <x:c r="T124" s="32" t="n">
        <x:f>IF(O124="","",(1/'Metadata'!$B$5)^(O124-1))</x:f>
        <x:v>1479.1083881682073</x:v>
      </x:c>
      <x:c r="U124" s="31" t="n">
        <x:f>IF(T124="","",I124*T124)</x:f>
        <x:v>22900.705394812434</x:v>
      </x:c>
    </x:row>
    <x:row r="125" ht="18" customHeight="1">
      <x:c r="A125" s="24" t="str">
        <x:v>EEZ_463</x:v>
      </x:c>
      <x:c r="B125" s="24" t="str">
        <x:v>Malaysia (Sarawak)</x:v>
      </x:c>
      <x:c r="C125" s="24" t="str">
        <x:v>EEZ</x:v>
      </x:c>
      <x:c r="D125" s="30" t="n">
        <x:v>2019</x:v>
      </x:c>
      <x:c r="E125" s="24" t="str">
        <x:v>Plotosus</x:v>
      </x:c>
      <x:c r="F125" s="24" t="str">
        <x:v>Eel catfishes</x:v>
      </x:c>
      <x:c r="G125" s="24" t="str">
        <x:v>Medium reef assoc. fish (30 - 89 cm)</x:v>
      </x:c>
      <x:c r="H125" s="24" t="str">
        <x:v>Other fishes &amp; inverts</x:v>
      </x:c>
      <x:c r="I125" s="31" t="n">
        <x:v>15.2008953265</x:v>
      </x:c>
      <x:c r="J125" s="31" t="n">
        <x:v>15.2008953265</x:v>
      </x:c>
      <x:c r="K125" s="31" t="n">
        <x:v>0</x:v>
      </x:c>
      <x:c r="L125" s="31" t="n">
        <x:v>7.1558197553</x:v>
      </x:c>
      <x:c r="M125" s="31" t="n">
        <x:v>8.0450755712</x:v>
      </x:c>
      <x:c r="N125" s="24" t="str">
        <x:v>plotosus</x:v>
      </x:c>
      <x:c r="O125" s="32" t="n">
        <x:v>3.49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Plotosus</x:v>
      </x:c>
      <x:c r="T125" s="32" t="n">
        <x:f>IF(O125="","",(1/'Metadata'!$B$5)^(O125-1))</x:f>
        <x:v>309.0295432513592</x:v>
      </x:c>
      <x:c r="U125" s="31" t="n">
        <x:f>IF(T125="","",I125*T125)</x:f>
        <x:v>4697.525739760015</x:v>
      </x:c>
    </x:row>
    <x:row r="126" ht="18" customHeight="1">
      <x:c r="A126" s="24" t="str">
        <x:v>EEZ_463</x:v>
      </x:c>
      <x:c r="B126" s="24" t="str">
        <x:v>Malaysia (Sarawak)</x:v>
      </x:c>
      <x:c r="C126" s="24" t="str">
        <x:v>EEZ</x:v>
      </x:c>
      <x:c r="D126" s="30" t="n">
        <x:v>2019</x:v>
      </x:c>
      <x:c r="E126" s="24" t="str">
        <x:v>Aluterus</x:v>
      </x:c>
      <x:c r="F126" s="24" t="str">
        <x:v>Aluterid filefishes</x:v>
      </x:c>
      <x:c r="G126" s="24" t="str">
        <x:v>Large reef assoc. fish (&gt;=90 cm)</x:v>
      </x:c>
      <x:c r="H126" s="24" t="str">
        <x:v>Other fishes &amp; inverts</x:v>
      </x:c>
      <x:c r="I126" s="31" t="n">
        <x:v>13.4730691807</x:v>
      </x:c>
      <x:c r="J126" s="31" t="n">
        <x:v>13.3727663983</x:v>
      </x:c>
      <x:c r="K126" s="31" t="n">
        <x:v>0.1003027824</x:v>
      </x:c>
      <x:c r="L126" s="31" t="n">
        <x:v>13.3727663983</x:v>
      </x:c>
      <x:c r="M126" s="31" t="n">
        <x:v>0.1003027824</x:v>
      </x:c>
      <x:c r="N126" s="24" t="str">
        <x:v>aluterus</x:v>
      </x:c>
      <x:c r="O126" s="32" t="n">
        <x:v>2.81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Aluterus</x:v>
      </x:c>
      <x:c r="T126" s="32" t="n">
        <x:f>IF(O126="","",(1/'Metadata'!$B$5)^(O126-1))</x:f>
        <x:v>64.56542290346556</x:v>
      </x:c>
      <x:c r="U126" s="31" t="n">
        <x:f>IF(T126="","",I126*T126)</x:f>
        <x:v>869.8944094595437</x:v>
      </x:c>
    </x:row>
    <x:row r="127" ht="18" customHeight="1">
      <x:c r="A127" s="24" t="str">
        <x:v>EEZ_463</x:v>
      </x:c>
      <x:c r="B127" s="24" t="str">
        <x:v>Malaysia (Sarawak)</x:v>
      </x:c>
      <x:c r="C127" s="24" t="str">
        <x:v>EEZ</x:v>
      </x:c>
      <x:c r="D127" s="30" t="n">
        <x:v>2019</x:v>
      </x:c>
      <x:c r="E127" s="24" t="str">
        <x:v>Veneridae</x:v>
      </x:c>
      <x:c r="F127" s="24" t="str">
        <x:v>Venus clams</x:v>
      </x:c>
      <x:c r="G127" s="24" t="str">
        <x:v>Other demersal invertebrates</x:v>
      </x:c>
      <x:c r="H127" s="24" t="str">
        <x:v>Molluscs</x:v>
      </x:c>
      <x:c r="I127" s="31" t="n">
        <x:v>12.4457019942</x:v>
      </x:c>
      <x:c r="J127" s="31" t="n">
        <x:v>12.4457019942</x:v>
      </x:c>
      <x:c r="K127" s="31" t="n">
        <x:v>0</x:v>
      </x:c>
      <x:c r="L127" s="31" t="n">
        <x:v>10.643167847099999</x:v>
      </x:c>
      <x:c r="M127" s="31" t="n">
        <x:v>1.8025341471</x:v>
      </x:c>
      <x:c r="N127" s="24" t="str">
        <x:v>veneridae</x:v>
      </x:c>
      <x:c r="O127" s="32" t="n">
        <x:v>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Veneridae</x:v>
      </x:c>
      <x:c r="T127" s="32" t="n">
        <x:f>IF(O127="","",(1/'Metadata'!$B$5)^(O127-1))</x:f>
        <x:v>10</x:v>
      </x:c>
      <x:c r="U127" s="31" t="n">
        <x:f>IF(T127="","",I127*T127)</x:f>
        <x:v>124.457019942</x:v>
      </x:c>
    </x:row>
    <x:row r="128" ht="18" customHeight="1">
      <x:c r="A128" s="24" t="str">
        <x:v>EEZ_463</x:v>
      </x:c>
      <x:c r="B128" s="24" t="str">
        <x:v>Malaysia (Sarawak)</x:v>
      </x:c>
      <x:c r="C128" s="24" t="str">
        <x:v>EEZ</x:v>
      </x:c>
      <x:c r="D128" s="30" t="n">
        <x:v>2019</x:v>
      </x:c>
      <x:c r="E128" s="24" t="str">
        <x:v>Caranx sexfasciatus</x:v>
      </x:c>
      <x:c r="F128" s="24" t="str">
        <x:v>Bigeye trevally</x:v>
      </x:c>
      <x:c r="G128" s="24" t="str">
        <x:v>Large reef assoc. fish (&gt;=90 cm)</x:v>
      </x:c>
      <x:c r="H128" s="24" t="str">
        <x:v>Perch-likes</x:v>
      </x:c>
      <x:c r="I128" s="31" t="n">
        <x:v>12.3230842438</x:v>
      </x:c>
      <x:c r="J128" s="31" t="n">
        <x:v>12.3230842438</x:v>
      </x:c>
      <x:c r="K128" s="31" t="n">
        <x:v>0</x:v>
      </x:c>
      <x:c r="L128" s="31" t="n">
        <x:v>8.8123965024</x:v>
      </x:c>
      <x:c r="M128" s="31" t="n">
        <x:v>3.5106877414</x:v>
      </x:c>
      <x:c r="N128" s="24" t="str">
        <x:v>caranx sexfasciatus</x:v>
      </x:c>
      <x:c r="O128" s="32" t="n">
        <x:v>4.5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Caranx sexfasciatus</x:v>
      </x:c>
      <x:c r="T128" s="32" t="n">
        <x:f>IF(O128="","",(1/'Metadata'!$B$5)^(O128-1))</x:f>
        <x:v>3162.2776601683795</x:v>
      </x:c>
      <x:c r="U128" s="31" t="n">
        <x:f>IF(T128="","",I128*T128)</x:f>
        <x:v>38969.014008541686</x:v>
      </x:c>
    </x:row>
    <x:row r="129" ht="18" customHeight="1">
      <x:c r="A129" s="24" t="str">
        <x:v>EEZ_463</x:v>
      </x:c>
      <x:c r="B129" s="24" t="str">
        <x:v>Malaysia (Sarawak)</x:v>
      </x:c>
      <x:c r="C129" s="24" t="str">
        <x:v>EEZ</x:v>
      </x:c>
      <x:c r="D129" s="30" t="n">
        <x:v>2019</x:v>
      </x:c>
      <x:c r="E129" s="24" t="str">
        <x:v>Mugilidae</x:v>
      </x:c>
      <x:c r="F129" s="24" t="str">
        <x:v>Mullets, grey mullets</x:v>
      </x:c>
      <x:c r="G129" s="24" t="str">
        <x:v>Medium reef assoc. fish (30 - 89 cm)</x:v>
      </x:c>
      <x:c r="H129" s="24" t="str">
        <x:v>Perch-likes</x:v>
      </x:c>
      <x:c r="I129" s="31" t="n">
        <x:v>7.6652280182</x:v>
      </x:c>
      <x:c r="J129" s="31" t="n">
        <x:v>7.6652280182</x:v>
      </x:c>
      <x:c r="K129" s="31" t="n">
        <x:v>0</x:v>
      </x:c>
      <x:c r="L129" s="31" t="n">
        <x:v>4.3616008950000005</x:v>
      </x:c>
      <x:c r="M129" s="31" t="n">
        <x:v>3.3036271232</x:v>
      </x:c>
      <x:c r="N129" s="24" t="str">
        <x:v>mugilidae</x:v>
      </x:c>
      <x:c r="O129" s="32" t="n">
        <x:v>2.53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Mugilidae</x:v>
      </x:c>
      <x:c r="T129" s="32" t="n">
        <x:f>IF(O129="","",(1/'Metadata'!$B$5)^(O129-1))</x:f>
        <x:v>33.88441561392024</x:v>
      </x:c>
      <x:c r="U129" s="31" t="n">
        <x:f>IF(T129="","",I129*T129)</x:f>
        <x:v>259.73177194415496</x:v>
      </x:c>
    </x:row>
    <x:row r="130" ht="18" customHeight="1">
      <x:c r="A130" s="24" t="str">
        <x:v>EEZ_463</x:v>
      </x:c>
      <x:c r="B130" s="24" t="str">
        <x:v>Malaysia (Sarawak)</x:v>
      </x:c>
      <x:c r="C130" s="24" t="str">
        <x:v>EEZ</x:v>
      </x:c>
      <x:c r="D130" s="30" t="n">
        <x:v>2019</x:v>
      </x:c>
      <x:c r="E130" s="24" t="str">
        <x:v>Miscellaneous aquatic invertebrates</x:v>
      </x:c>
      <x:c r="F130" s="24" t="str">
        <x:v>Aquatic invertebrates</x:v>
      </x:c>
      <x:c r="G130" s="24" t="str">
        <x:v>Other demersal invertebrates</x:v>
      </x:c>
      <x:c r="H130" s="24" t="str">
        <x:v>Other fishes &amp; inverts</x:v>
      </x:c>
      <x:c r="I130" s="31" t="n">
        <x:v>7.1819322684</x:v>
      </x:c>
      <x:c r="J130" s="31" t="n">
        <x:v>7.1819322684</x:v>
      </x:c>
      <x:c r="K130" s="31" t="n">
        <x:v>0</x:v>
      </x:c>
      <x:c r="L130" s="31" t="n">
        <x:v>1.3767507766</x:v>
      </x:c>
      <x:c r="M130" s="31" t="n">
        <x:v>5.8051814918</x:v>
      </x:c>
      <x:c r="N130" s="24" t="str">
        <x:v>miscellaneous aquatic invertebrates</x:v>
      </x:c>
      <x:c r="O130" s="32" t="n">
        <x:v>2.43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Miscellaneous aquatic invertebrates</x:v>
      </x:c>
      <x:c r="T130" s="32" t="n">
        <x:f>IF(O130="","",(1/'Metadata'!$B$5)^(O130-1))</x:f>
        <x:v>26.915348039269166</x:v>
      </x:c>
      <x:c r="U130" s="31" t="n">
        <x:f>IF(T130="","",I130*T130)</x:f>
        <x:v>193.3042065984439</x:v>
      </x:c>
    </x:row>
    <x:row r="131" ht="18" customHeight="1">
      <x:c r="A131" s="24" t="str">
        <x:v>EEZ_463</x:v>
      </x:c>
      <x:c r="B131" s="24" t="str">
        <x:v>Malaysia (Sarawak)</x:v>
      </x:c>
      <x:c r="C131" s="24" t="str">
        <x:v>EEZ</x:v>
      </x:c>
      <x:c r="D131" s="30" t="n">
        <x:v>2019</x:v>
      </x:c>
      <x:c r="E131" s="24" t="str">
        <x:v>Auxis</x:v>
      </x:c>
      <x:c r="F131" s="24" t="str">
        <x:v>Bullet and frigate tunas</x:v>
      </x:c>
      <x:c r="G131" s="24" t="str">
        <x:v>Medium pelagics (30 - 89 cm)</x:v>
      </x:c>
      <x:c r="H131" s="24" t="str">
        <x:v>Tuna &amp; billfishes</x:v>
      </x:c>
      <x:c r="I131" s="31" t="n">
        <x:v>6.6119834742</x:v>
      </x:c>
      <x:c r="J131" s="31" t="n">
        <x:v>6.6119834742</x:v>
      </x:c>
      <x:c r="K131" s="31" t="n">
        <x:v>0</x:v>
      </x:c>
      <x:c r="L131" s="31" t="n">
        <x:v>0</x:v>
      </x:c>
      <x:c r="M131" s="31" t="n">
        <x:v>6.6119834742</x:v>
      </x:c>
      <x:c r="N131" s="24" t="str">
        <x:v>auxis</x:v>
      </x:c>
      <x:c r="O131" s="32" t="n">
        <x:v>4.24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Auxis</x:v>
      </x:c>
      <x:c r="T131" s="32" t="n">
        <x:f>IF(O131="","",(1/'Metadata'!$B$5)^(O131-1))</x:f>
        <x:v>1737.8008287493763</x:v>
      </x:c>
      <x:c r="U131" s="31" t="n">
        <x:f>IF(T131="","",I131*T131)</x:f>
        <x:v>11490.31036114194</x:v>
      </x:c>
    </x:row>
    <x:row r="132" ht="18" customHeight="1">
      <x:c r="A132" s="24" t="str">
        <x:v>EEZ_463</x:v>
      </x:c>
      <x:c r="B132" s="24" t="str">
        <x:v>Malaysia (Sarawak)</x:v>
      </x:c>
      <x:c r="C132" s="24" t="str">
        <x:v>EEZ</x:v>
      </x:c>
      <x:c r="D132" s="30" t="n">
        <x:v>2019</x:v>
      </x:c>
      <x:c r="E132" s="24" t="str">
        <x:v>Panulirus longipes</x:v>
      </x:c>
      <x:c r="F132" s="24" t="str">
        <x:v>Longlegged spiny lobster</x:v>
      </x:c>
      <x:c r="G132" s="24" t="str">
        <x:v>Lobsters, crabs</x:v>
      </x:c>
      <x:c r="H132" s="24" t="str">
        <x:v>Crustaceans</x:v>
      </x:c>
      <x:c r="I132" s="31" t="n">
        <x:v>6.2065509389</x:v>
      </x:c>
      <x:c r="J132" s="31" t="n">
        <x:v>6.2065509389</x:v>
      </x:c>
      <x:c r="K132" s="31" t="n">
        <x:v>0</x:v>
      </x:c>
      <x:c r="L132" s="31" t="n">
        <x:v>4.4061982511</x:v>
      </x:c>
      <x:c r="M132" s="31" t="n">
        <x:v>1.8003526878</x:v>
      </x:c>
      <x:c r="N132" s="24" t="str">
        <x:v>panulirus longipes</x:v>
      </x:c>
      <x:c r="O132" s="32" t="n">
        <x:v>2.6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Panulirus longipes</x:v>
      </x:c>
      <x:c r="T132" s="32" t="n">
        <x:f>IF(O132="","",(1/'Metadata'!$B$5)^(O132-1))</x:f>
        <x:v>39.810717055349734</x:v>
      </x:c>
      <x:c r="U132" s="31" t="n">
        <x:f>IF(T132="","",I132*T132)</x:f>
        <x:v>247.08724331816316</x:v>
      </x:c>
    </x:row>
    <x:row r="133" ht="18" customHeight="1">
      <x:c r="A133" s="24" t="str">
        <x:v>EEZ_463</x:v>
      </x:c>
      <x:c r="B133" s="24" t="str">
        <x:v>Malaysia (Sarawak)</x:v>
      </x:c>
      <x:c r="C133" s="24" t="str">
        <x:v>EEZ</x:v>
      </x:c>
      <x:c r="D133" s="30" t="n">
        <x:v>2019</x:v>
      </x:c>
      <x:c r="E133" s="24" t="str">
        <x:v>Polynemidae</x:v>
      </x:c>
      <x:c r="F133" s="24" t="str">
        <x:v>Threadfins</x:v>
      </x:c>
      <x:c r="G133" s="24" t="str">
        <x:v>Small demersals (&lt;30 cm)</x:v>
      </x:c>
      <x:c r="H133" s="24" t="str">
        <x:v>Perch-likes</x:v>
      </x:c>
      <x:c r="I133" s="31" t="n">
        <x:v>6.1676045002999995</x:v>
      </x:c>
      <x:c r="J133" s="31" t="n">
        <x:v>6.1676045002999995</x:v>
      </x:c>
      <x:c r="K133" s="31" t="n">
        <x:v>0</x:v>
      </x:c>
      <x:c r="L133" s="31" t="n">
        <x:v>3.12093751</x:v>
      </x:c>
      <x:c r="M133" s="31" t="n">
        <x:v>3.0466669903</x:v>
      </x:c>
      <x:c r="N133" s="24" t="str">
        <x:v>polynemidae</x:v>
      </x:c>
      <x:c r="O133" s="32" t="n">
        <x:v>3.62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Polynemidae</x:v>
      </x:c>
      <x:c r="T133" s="32" t="n">
        <x:f>IF(O133="","",(1/'Metadata'!$B$5)^(O133-1))</x:f>
        <x:v>416.8693834703355</x:v>
      </x:c>
      <x:c r="U133" s="31" t="n">
        <x:f>IF(T133="","",I133*T133)</x:f>
        <x:v>2571.0854855289276</x:v>
      </x:c>
    </x:row>
    <x:row r="134" ht="18" customHeight="1">
      <x:c r="A134" s="24" t="str">
        <x:v>EEZ_463</x:v>
      </x:c>
      <x:c r="B134" s="24" t="str">
        <x:v>Malaysia (Sarawak)</x:v>
      </x:c>
      <x:c r="C134" s="24" t="str">
        <x:v>EEZ</x:v>
      </x:c>
      <x:c r="D134" s="30" t="n">
        <x:v>2019</x:v>
      </x:c>
      <x:c r="E134" s="24" t="str">
        <x:v>Sillago</x:v>
      </x:c>
      <x:c r="F134" s="24" t="str">
        <x:v>Smelt-whitings</x:v>
      </x:c>
      <x:c r="G134" s="24" t="str">
        <x:v>Medium demersals (30 - 89 cm)</x:v>
      </x:c>
      <x:c r="H134" s="24" t="str">
        <x:v>Perch-likes</x:v>
      </x:c>
      <x:c r="I134" s="31" t="n">
        <x:v>6.0337294511</x:v>
      </x:c>
      <x:c r="J134" s="31" t="n">
        <x:v>6.0337294511</x:v>
      </x:c>
      <x:c r="K134" s="31" t="n">
        <x:v>0</x:v>
      </x:c>
      <x:c r="L134" s="31" t="n">
        <x:v>5.9492871284</x:v>
      </x:c>
      <x:c r="M134" s="31" t="n">
        <x:v>0.08444232269999999</x:v>
      </x:c>
      <x:c r="N134" s="24" t="str">
        <x:v>sillago</x:v>
      </x:c>
      <x:c r="O134" s="32" t="n">
        <x:v>3.33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Sillago</x:v>
      </x:c>
      <x:c r="T134" s="32" t="n">
        <x:f>IF(O134="","",(1/'Metadata'!$B$5)^(O134-1))</x:f>
        <x:v>213.79620895022325</x:v>
      </x:c>
      <x:c r="U134" s="31" t="n">
        <x:f>IF(T134="","",I134*T134)</x:f>
        <x:v>1289.9884824764915</x:v>
      </x:c>
    </x:row>
    <x:row r="135" ht="18" customHeight="1">
      <x:c r="A135" s="24" t="str">
        <x:v>EEZ_463</x:v>
      </x:c>
      <x:c r="B135" s="24" t="str">
        <x:v>Malaysia (Sarawak)</x:v>
      </x:c>
      <x:c r="C135" s="24" t="str">
        <x:v>EEZ</x:v>
      </x:c>
      <x:c r="D135" s="30" t="n">
        <x:v>2019</x:v>
      </x:c>
      <x:c r="E135" s="24" t="str">
        <x:v>Gnathanodon speciosus</x:v>
      </x:c>
      <x:c r="F135" s="24" t="str">
        <x:v>Golden trevally</x:v>
      </x:c>
      <x:c r="G135" s="24" t="str">
        <x:v>Large reef assoc. fish (&gt;=90 cm)</x:v>
      </x:c>
      <x:c r="H135" s="24" t="str">
        <x:v>Perch-likes</x:v>
      </x:c>
      <x:c r="I135" s="31" t="n">
        <x:v>6.0248397663</x:v>
      </x:c>
      <x:c r="J135" s="31" t="n">
        <x:v>6.0248397663</x:v>
      </x:c>
      <x:c r="K135" s="31" t="n">
        <x:v>0</x:v>
      </x:c>
      <x:c r="L135" s="31" t="n">
        <x:v>4.2226066571</x:v>
      </x:c>
      <x:c r="M135" s="31" t="n">
        <x:v>1.8022331092000001</x:v>
      </x:c>
      <x:c r="N135" s="24" t="str">
        <x:v>gnathanodon speciosus</x:v>
      </x:c>
      <x:c r="O135" s="32" t="n">
        <x:v>3.84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Gnathanodon speciosus</x:v>
      </x:c>
      <x:c r="T135" s="32" t="n">
        <x:f>IF(O135="","",(1/'Metadata'!$B$5)^(O135-1))</x:f>
        <x:v>691.8309709189363</x:v>
      </x:c>
      <x:c r="U135" s="31" t="n">
        <x:f>IF(T135="","",I135*T135)</x:f>
        <x:v>4168.170745150346</x:v>
      </x:c>
    </x:row>
    <x:row r="136" ht="18" customHeight="1">
      <x:c r="A136" s="24" t="str">
        <x:v>EEZ_463</x:v>
      </x:c>
      <x:c r="B136" s="24" t="str">
        <x:v>Malaysia (Sarawak)</x:v>
      </x:c>
      <x:c r="C136" s="24" t="str">
        <x:v>EEZ</x:v>
      </x:c>
      <x:c r="D136" s="30" t="n">
        <x:v>2019</x:v>
      </x:c>
      <x:c r="E136" s="24" t="str">
        <x:v>Caesio</x:v>
      </x:c>
      <x:c r="F136" s="24" t="str">
        <x:v>Caesios</x:v>
      </x:c>
      <x:c r="G136" s="24" t="str">
        <x:v>Medium reef assoc. fish (30 - 89 cm)</x:v>
      </x:c>
      <x:c r="H136" s="24" t="str">
        <x:v>Perch-likes</x:v>
      </x:c>
      <x:c r="I136" s="31" t="n">
        <x:v>5.6599807386</x:v>
      </x:c>
      <x:c r="J136" s="31" t="n">
        <x:v>5.6599807386</x:v>
      </x:c>
      <x:c r="K136" s="31" t="n">
        <x:v>0</x:v>
      </x:c>
      <x:c r="L136" s="31" t="n">
        <x:v>3.763627673</x:v>
      </x:c>
      <x:c r="M136" s="31" t="n">
        <x:v>1.8963530656</x:v>
      </x:c>
      <x:c r="N136" s="24" t="str">
        <x:v>caesio</x:v>
      </x:c>
      <x:c r="O136" s="32" t="n">
        <x:v>3.4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Caesio</x:v>
      </x:c>
      <x:c r="T136" s="32" t="n">
        <x:f>IF(O136="","",(1/'Metadata'!$B$5)^(O136-1))</x:f>
        <x:v>251.18864315095797</x:v>
      </x:c>
      <x:c r="U136" s="31" t="n">
        <x:f>IF(T136="","",I136*T136)</x:f>
        <x:v>1421.7228819894908</x:v>
      </x:c>
    </x:row>
    <x:row r="137" ht="18" customHeight="1">
      <x:c r="A137" s="24" t="str">
        <x:v>EEZ_463</x:v>
      </x:c>
      <x:c r="B137" s="24" t="str">
        <x:v>Malaysia (Sarawak)</x:v>
      </x:c>
      <x:c r="C137" s="24" t="str">
        <x:v>EEZ</x:v>
      </x:c>
      <x:c r="D137" s="30" t="n">
        <x:v>2019</x:v>
      </x:c>
      <x:c r="E137" s="24" t="str">
        <x:v>Penaeus monodon</x:v>
      </x:c>
      <x:c r="F137" s="24" t="str">
        <x:v>Giant tiger prawn</x:v>
      </x:c>
      <x:c r="G137" s="24" t="str">
        <x:v>Shrimps</x:v>
      </x:c>
      <x:c r="H137" s="24" t="str">
        <x:v>Crustaceans</x:v>
      </x:c>
      <x:c r="I137" s="31" t="n">
        <x:v>5.4538361129</x:v>
      </x:c>
      <x:c r="J137" s="31" t="n">
        <x:v>5.4538361129</x:v>
      </x:c>
      <x:c r="K137" s="31" t="n">
        <x:v>0</x:v>
      </x:c>
      <x:c r="L137" s="31" t="n">
        <x:v>4.0962236819</x:v>
      </x:c>
      <x:c r="M137" s="31" t="n">
        <x:v>1.357612431</x:v>
      </x:c>
      <x:c r="N137" s="24" t="str">
        <x:v>penaeus monodon</x:v>
      </x:c>
      <x:c r="O137" s="32" t="n">
        <x:v>2.6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Penaeus monodon</x:v>
      </x:c>
      <x:c r="T137" s="32" t="n">
        <x:f>IF(O137="","",(1/'Metadata'!$B$5)^(O137-1))</x:f>
        <x:v>39.810717055349734</x:v>
      </x:c>
      <x:c r="U137" s="31" t="n">
        <x:f>IF(T137="","",I137*T137)</x:f>
        <x:v>217.12112635691034</x:v>
      </x:c>
    </x:row>
    <x:row r="138" ht="18" customHeight="1">
      <x:c r="A138" s="24" t="str">
        <x:v>EEZ_463</x:v>
      </x:c>
      <x:c r="B138" s="24" t="str">
        <x:v>Malaysia (Sarawak)</x:v>
      </x:c>
      <x:c r="C138" s="24" t="str">
        <x:v>EEZ</x:v>
      </x:c>
      <x:c r="D138" s="30" t="n">
        <x:v>2019</x:v>
      </x:c>
      <x:c r="E138" s="24" t="str">
        <x:v>Thenus orientalis</x:v>
      </x:c>
      <x:c r="F138" s="24" t="str">
        <x:v>Flathead lobster</x:v>
      </x:c>
      <x:c r="G138" s="24" t="str">
        <x:v>Lobsters, crabs</x:v>
      </x:c>
      <x:c r="H138" s="24" t="str">
        <x:v>Crustaceans</x:v>
      </x:c>
      <x:c r="I138" s="31" t="n">
        <x:v>4.3949361437</x:v>
      </x:c>
      <x:c r="J138" s="31" t="n">
        <x:v>4.3949361437</x:v>
      </x:c>
      <x:c r="K138" s="31" t="n">
        <x:v>0</x:v>
      </x:c>
      <x:c r="L138" s="31" t="n">
        <x:v>4.2731440905</x:v>
      </x:c>
      <x:c r="M138" s="31" t="n">
        <x:v>0.1217920532</x:v>
      </x:c>
      <x:c r="N138" s="24" t="str">
        <x:v>thenus orientalis</x:v>
      </x:c>
      <x:c r="O138" s="32" t="n">
        <x:v>2.5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Thenus orientalis</x:v>
      </x:c>
      <x:c r="T138" s="32" t="n">
        <x:f>IF(O138="","",(1/'Metadata'!$B$5)^(O138-1))</x:f>
        <x:v>31.622776601683793</x:v>
      </x:c>
      <x:c r="U138" s="31" t="n">
        <x:f>IF(T138="","",I138*T138)</x:f>
        <x:v>138.98008385089076</x:v>
      </x:c>
    </x:row>
    <x:row r="139" ht="18" customHeight="1">
      <x:c r="A139" s="24" t="str">
        <x:v>EEZ_463</x:v>
      </x:c>
      <x:c r="B139" s="24" t="str">
        <x:v>Malaysia (Sarawak)</x:v>
      </x:c>
      <x:c r="C139" s="24" t="str">
        <x:v>EEZ</x:v>
      </x:c>
      <x:c r="D139" s="30" t="n">
        <x:v>2019</x:v>
      </x:c>
      <x:c r="E139" s="24" t="str">
        <x:v>Batoidea</x:v>
      </x:c>
      <x:c r="F139" s="24" t="str">
        <x:v>Batoids, skates, rays, sawfishes</x:v>
      </x:c>
      <x:c r="G139" s="24" t="str">
        <x:v>Large rays (&gt;=90 cm)</x:v>
      </x:c>
      <x:c r="H139" s="24" t="str">
        <x:v>Sharks &amp; rays</x:v>
      </x:c>
      <x:c r="I139" s="31" t="n">
        <x:v>3.5027145738999996</x:v>
      </x:c>
      <x:c r="J139" s="31" t="n">
        <x:v>3.5027145738999996</x:v>
      </x:c>
      <x:c r="K139" s="31" t="n">
        <x:v>0</x:v>
      </x:c>
      <x:c r="L139" s="31" t="n">
        <x:v>3.2230030534</x:v>
      </x:c>
      <x:c r="M139" s="31" t="n">
        <x:v>0.27971152050000003</x:v>
      </x:c>
      <x:c r="N139" s="24" t="str">
        <x:v>batoidea</x:v>
      </x:c>
      <x:c r="O139" s="32" t="n">
        <x:v>3.72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Batoidea</x:v>
      </x:c>
      <x:c r="T139" s="32" t="n">
        <x:f>IF(O139="","",(1/'Metadata'!$B$5)^(O139-1))</x:f>
        <x:v>524.8074602497728</x:v>
      </x:c>
      <x:c r="U139" s="31" t="n">
        <x:f>IF(T139="","",I139*T139)</x:f>
        <x:v>1838.250739508324</x:v>
      </x:c>
    </x:row>
    <x:row r="140" ht="18" customHeight="1">
      <x:c r="A140" s="24" t="str">
        <x:v>EEZ_463</x:v>
      </x:c>
      <x:c r="B140" s="24" t="str">
        <x:v>Malaysia (Sarawak)</x:v>
      </x:c>
      <x:c r="C140" s="24" t="str">
        <x:v>EEZ</x:v>
      </x:c>
      <x:c r="D140" s="30" t="n">
        <x:v>2019</x:v>
      </x:c>
      <x:c r="E140" s="24" t="str">
        <x:v>Penaeus semisulcatus</x:v>
      </x:c>
      <x:c r="F140" s="24" t="str">
        <x:v>Green tiger prawn</x:v>
      </x:c>
      <x:c r="G140" s="24" t="str">
        <x:v>Shrimps</x:v>
      </x:c>
      <x:c r="H140" s="24" t="str">
        <x:v>Crustaceans</x:v>
      </x:c>
      <x:c r="I140" s="31" t="n">
        <x:v>2.7900095246000003</x:v>
      </x:c>
      <x:c r="J140" s="31" t="n">
        <x:v>2.7900095246000003</x:v>
      </x:c>
      <x:c r="K140" s="31" t="n">
        <x:v>0</x:v>
      </x:c>
      <x:c r="L140" s="31" t="n">
        <x:v>2.633291024</x:v>
      </x:c>
      <x:c r="M140" s="31" t="n">
        <x:v>0.1567185006</x:v>
      </x:c>
      <x:c r="N140" s="24" t="str">
        <x:v>penaeus semisulcatus</x:v>
      </x:c>
      <x:c r="O140" s="32" t="n">
        <x:v>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Penaeus semisulcatus</x:v>
      </x:c>
      <x:c r="T140" s="32" t="n">
        <x:f>IF(O140="","",(1/'Metadata'!$B$5)^(O140-1))</x:f>
        <x:v>10</x:v>
      </x:c>
      <x:c r="U140" s="31" t="n">
        <x:f>IF(T140="","",I140*T140)</x:f>
        <x:v>27.900095246000003</x:v>
      </x:c>
    </x:row>
    <x:row r="141" ht="18" customHeight="1">
      <x:c r="A141" s="24" t="str">
        <x:v>EEZ_463</x:v>
      </x:c>
      <x:c r="B141" s="24" t="str">
        <x:v>Malaysia (Sarawak)</x:v>
      </x:c>
      <x:c r="C141" s="24" t="str">
        <x:v>EEZ</x:v>
      </x:c>
      <x:c r="D141" s="30" t="n">
        <x:v>2019</x:v>
      </x:c>
      <x:c r="E141" s="24" t="str">
        <x:v>Plotosidae</x:v>
      </x:c>
      <x:c r="F141" s="24" t="str">
        <x:v>Eeltail catfishes</x:v>
      </x:c>
      <x:c r="G141" s="24" t="str">
        <x:v>Medium reef assoc. fish (30 - 89 cm)</x:v>
      </x:c>
      <x:c r="H141" s="24" t="str">
        <x:v>Other fishes &amp; inverts</x:v>
      </x:c>
      <x:c r="I141" s="31" t="n">
        <x:v>2.010945389</x:v>
      </x:c>
      <x:c r="J141" s="31" t="n">
        <x:v>2.010945389</x:v>
      </x:c>
      <x:c r="K141" s="31" t="n">
        <x:v>0</x:v>
      </x:c>
      <x:c r="L141" s="31" t="n">
        <x:v>1.7532592261</x:v>
      </x:c>
      <x:c r="M141" s="31" t="n">
        <x:v>0.2576861629</x:v>
      </x:c>
      <x:c r="N141" s="24" t="str">
        <x:v>plotosidae</x:v>
      </x:c>
      <x:c r="O141" s="32" t="n">
        <x:v>3.49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Plotosidae</x:v>
      </x:c>
      <x:c r="T141" s="32" t="n">
        <x:f>IF(O141="","",(1/'Metadata'!$B$5)^(O141-1))</x:f>
        <x:v>309.0295432513592</x:v>
      </x:c>
      <x:c r="U141" s="31" t="n">
        <x:f>IF(T141="","",I141*T141)</x:f>
        <x:v>621.4415350660969</x:v>
      </x:c>
    </x:row>
    <x:row r="142" ht="18" customHeight="1">
      <x:c r="A142" s="24" t="str">
        <x:v>EEZ_463</x:v>
      </x:c>
      <x:c r="B142" s="24" t="str">
        <x:v>Malaysia (Sarawak)</x:v>
      </x:c>
      <x:c r="C142" s="24" t="str">
        <x:v>EEZ</x:v>
      </x:c>
      <x:c r="D142" s="30" t="n">
        <x:v>2019</x:v>
      </x:c>
      <x:c r="E142" s="24" t="str">
        <x:v>Elasmobranchii</x:v>
      </x:c>
      <x:c r="F142" s="24" t="str">
        <x:v>Sharks, rays, skates</x:v>
      </x:c>
      <x:c r="G142" s="24" t="str">
        <x:v>Large sharks (&gt;=90 cm)</x:v>
      </x:c>
      <x:c r="H142" s="24" t="str">
        <x:v>Sharks &amp; rays</x:v>
      </x:c>
      <x:c r="I142" s="31" t="n">
        <x:v>1.0750903922000001</x:v>
      </x:c>
      <x:c r="J142" s="31" t="n">
        <x:v>1.0750903922000001</x:v>
      </x:c>
      <x:c r="K142" s="31" t="n">
        <x:v>0</x:v>
      </x:c>
      <x:c r="L142" s="31" t="n">
        <x:v>1.0750903922000001</x:v>
      </x:c>
      <x:c r="M142" s="31" t="n">
        <x:v>0</x:v>
      </x:c>
      <x:c r="N142" s="24" t="str">
        <x:v>elasmobranchii</x:v>
      </x:c>
      <x:c r="O142" s="32" t="n">
        <x:v>4.05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Elasmobranchii</x:v>
      </x:c>
      <x:c r="T142" s="32" t="n">
        <x:f>IF(O142="","",(1/'Metadata'!$B$5)^(O142-1))</x:f>
        <x:v>1122.018454301963</x:v>
      </x:c>
      <x:c r="U142" s="31" t="n">
        <x:f>IF(T142="","",I142*T142)</x:f>
        <x:v>1206.2712600911352</x:v>
      </x:c>
    </x:row>
    <x:row r="143" ht="18" customHeight="1">
      <x:c r="A143" s="24" t="str">
        <x:v>EEZ_463</x:v>
      </x:c>
      <x:c r="B143" s="24" t="str">
        <x:v>Malaysia (Sarawak)</x:v>
      </x:c>
      <x:c r="C143" s="24" t="str">
        <x:v>EEZ</x:v>
      </x:c>
      <x:c r="D143" s="30" t="n">
        <x:v>2019</x:v>
      </x:c>
      <x:c r="E143" s="24" t="str">
        <x:v>Psettodes erumei</x:v>
      </x:c>
      <x:c r="F143" s="24" t="str">
        <x:v>Indian halibut</x:v>
      </x:c>
      <x:c r="G143" s="24" t="str">
        <x:v>Small to medium flatfishes (&lt;90 cm)</x:v>
      </x:c>
      <x:c r="H143" s="24" t="str">
        <x:v>Flatfishes</x:v>
      </x:c>
      <x:c r="I143" s="31" t="n">
        <x:v>0.9639523559000001</x:v>
      </x:c>
      <x:c r="J143" s="31" t="n">
        <x:v>0.9639523559000001</x:v>
      </x:c>
      <x:c r="K143" s="31" t="n">
        <x:v>0</x:v>
      </x:c>
      <x:c r="L143" s="31" t="n">
        <x:v>0.9639523559000001</x:v>
      </x:c>
      <x:c r="M143" s="31" t="n">
        <x:v>0</x:v>
      </x:c>
      <x:c r="N143" s="24" t="str">
        <x:v>psettodes erumei</x:v>
      </x:c>
      <x:c r="O143" s="32" t="n">
        <x:v>4.39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Psettodes erumei</x:v>
      </x:c>
      <x:c r="T143" s="32" t="n">
        <x:f>IF(O143="","",(1/'Metadata'!$B$5)^(O143-1))</x:f>
        <x:v>2454.7089156850284</x:v>
      </x:c>
      <x:c r="U143" s="31" t="n">
        <x:f>IF(T143="","",I143*T143)</x:f>
        <x:v>2366.222442323318</x:v>
      </x:c>
    </x:row>
  </x:sheetData>
  <x:conditionalFormatting sqref="R2:R14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97e69af43d6462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3</x:v>
      </x:c>
      <x:c r="C2" s="33" t="n">
        <x:v>3</x:v>
      </x:c>
      <x:c r="D2" s="31" t="n">
        <x:v>8579.877043266</x:v>
      </x:c>
      <x:c r="E2" s="31" t="n">
        <x:v>8579.877043266</x:v>
      </x:c>
      <x:c r="F2" s="32" t="n">
        <x:v>0</x:v>
      </x:c>
      <x:c r="G2" s="34" t="n">
        <x:v>1</x:v>
      </x:c>
      <x:c r="H2" s="32" t="n">
        <x:f>IF(E2=0,"",I2/E2)</x:f>
        <x:v>220.6827399831043</x:v>
      </x:c>
      <x:c r="I2" s="31" t="n">
        <x:f>IF(C2=0,"",SUMIF('Species'!$H$2:$H$143,A2,'Species'!$U$2:$U$143))</x:f>
        <x:v>1893430.7746260767</x:v>
      </x:c>
      <x:c r="J2" s="32" t="n">
        <x:v>3.3294539657110174</x:v>
      </x:c>
      <x:c r="K2" s="32" t="n">
        <x:f>IF(J2="","",(1/'Metadata'!$B$5)^(J2-1))</x:f>
        <x:v>213.52757393764534</x:v>
      </x:c>
      <x:c r="L2" s="31" t="n">
        <x:f>IF(E2=0,"",E2*K2)</x:f>
        <x:v>1832040.3297318867</x:v>
      </x:c>
      <x:c r="M2" s="31" t="n">
        <x:f>IF(E2=0,"",I2-L2)</x:f>
        <x:v>61390.444894189946</x:v>
      </x:c>
      <x:c r="N2" s="32" t="n">
        <x:f>IF(L2=0,"",I2/L2)</x:f>
        <x:v>1.0335093304977485</x:v>
      </x:c>
      <x:c r="O2" s="34" t="n">
        <x:f>IF(L2=0,"",M2/L2)</x:f>
        <x:v>0.033509330497748506</x:v>
      </x:c>
    </x:row>
    <x:row r="3" ht="18" customHeight="1">
      <x:c r="A3" s="24" t="str">
        <x:v>Crustaceans</x:v>
      </x:c>
      <x:c r="B3" s="33" t="n">
        <x:v>17</x:v>
      </x:c>
      <x:c r="C3" s="33" t="n">
        <x:v>17</x:v>
      </x:c>
      <x:c r="D3" s="31" t="n">
        <x:v>11646.5252390744</x:v>
      </x:c>
      <x:c r="E3" s="31" t="n">
        <x:v>11646.5252390744</x:v>
      </x:c>
      <x:c r="F3" s="32" t="n">
        <x:v>0</x:v>
      </x:c>
      <x:c r="G3" s="34" t="n">
        <x:v>1</x:v>
      </x:c>
      <x:c r="H3" s="32" t="n">
        <x:f>IF(E3=0,"",I3/E3)</x:f>
        <x:v>183.76038463943283</x:v>
      </x:c>
      <x:c r="I3" s="31" t="n">
        <x:f>IF(C3=0,"",SUMIF('Species'!$H$2:$H$143,A3,'Species'!$U$2:$U$143))</x:f>
        <x:v>2140169.957645174</x:v>
      </x:c>
      <x:c r="J3" s="32" t="n">
        <x:v>2.997594521208414</x:v>
      </x:c>
      <x:c r="K3" s="32" t="n">
        <x:f>IF(J3="","",(1/'Metadata'!$B$5)^(J3-1))</x:f>
        <x:v>99.44764913730054</x:v>
      </x:c>
      <x:c r="L3" s="31" t="n">
        <x:f>IF(E3=0,"",E3*K3)</x:f>
        <x:v>1158219.5556441864</x:v>
      </x:c>
      <x:c r="M3" s="31" t="n">
        <x:f>IF(E3=0,"",I3-L3)</x:f>
        <x:v>981950.4020009877</x:v>
      </x:c>
      <x:c r="N3" s="32" t="n">
        <x:f>IF(L3=0,"",I3/L3)</x:f>
        <x:v>1.8478102422082139</x:v>
      </x:c>
      <x:c r="O3" s="34" t="n">
        <x:f>IF(L3=0,"",M3/L3)</x:f>
        <x:v>0.847810242208214</x:v>
      </x:c>
    </x:row>
    <x:row r="4" ht="18" customHeight="1">
      <x:c r="A4" s="24" t="str">
        <x:v>Flatfishes</x:v>
      </x:c>
      <x:c r="B4" s="33" t="n">
        <x:v>5</x:v>
      </x:c>
      <x:c r="C4" s="33" t="n">
        <x:v>5</x:v>
      </x:c>
      <x:c r="D4" s="31" t="n">
        <x:v>1600.043468806</x:v>
      </x:c>
      <x:c r="E4" s="31" t="n">
        <x:v>1600.043468806</x:v>
      </x:c>
      <x:c r="F4" s="32" t="n">
        <x:v>0</x:v>
      </x:c>
      <x:c r="G4" s="34" t="n">
        <x:v>1</x:v>
      </x:c>
      <x:c r="H4" s="32" t="n">
        <x:f>IF(E4=0,"",I4/E4)</x:f>
        <x:v>595.6684060440185</x:v>
      </x:c>
      <x:c r="I4" s="31" t="n">
        <x:f>IF(C4=0,"",SUMIF('Species'!$H$2:$H$143,A4,'Species'!$U$2:$U$143))</x:f>
        <x:v>953095.3426648123</x:v>
      </x:c>
      <x:c r="J4" s="32" t="n">
        <x:v>3.67441899313746</x:v>
      </x:c>
      <x:c r="K4" s="32" t="n">
        <x:f>IF(J4="","",(1/'Metadata'!$B$5)^(J4-1))</x:f>
        <x:v>472.5186920372207</x:v>
      </x:c>
      <x:c r="L4" s="31" t="n">
        <x:f>IF(E4=0,"",E4*K4)</x:f>
        <x:v>756050.4470829087</x:v>
      </x:c>
      <x:c r="M4" s="31" t="n">
        <x:f>IF(E4=0,"",I4-L4)</x:f>
        <x:v>197044.89558190363</x:v>
      </x:c>
      <x:c r="N4" s="32" t="n">
        <x:f>IF(L4=0,"",I4/L4)</x:f>
        <x:v>1.2606240051072883</x:v>
      </x:c>
      <x:c r="O4" s="34" t="n">
        <x:f>IF(L4=0,"",M4/L4)</x:f>
        <x:v>0.26062400510728834</x:v>
      </x:c>
    </x:row>
    <x:row r="5" ht="18" customHeight="1">
      <x:c r="A5" s="24" t="str">
        <x:v>Herring-likes</x:v>
      </x:c>
      <x:c r="B5" s="33" t="n">
        <x:v>9</x:v>
      </x:c>
      <x:c r="C5" s="33" t="n">
        <x:v>9</x:v>
      </x:c>
      <x:c r="D5" s="31" t="n">
        <x:v>8060.7586780151005</x:v>
      </x:c>
      <x:c r="E5" s="31" t="n">
        <x:v>8060.7586780151005</x:v>
      </x:c>
      <x:c r="F5" s="32" t="n">
        <x:v>0</x:v>
      </x:c>
      <x:c r="G5" s="34" t="n">
        <x:v>1</x:v>
      </x:c>
      <x:c r="H5" s="32" t="n">
        <x:f>IF(E5=0,"",I5/E5)</x:f>
        <x:v>654.4427576431997</x:v>
      </x:c>
      <x:c r="I5" s="31" t="n">
        <x:f>IF(C5=0,"",SUMIF('Species'!$H$2:$H$143,A5,'Species'!$U$2:$U$143))</x:f>
        <x:v>5275305.137936555</x:v>
      </x:c>
      <x:c r="J5" s="32" t="n">
        <x:v>3.5811819998555148</x:v>
      </x:c>
      <x:c r="K5" s="32" t="n">
        <x:f>IF(J5="","",(1/'Metadata'!$B$5)^(J5-1))</x:f>
        <x:v>381.22555017318194</x:v>
      </x:c>
      <x:c r="L5" s="31" t="n">
        <x:f>IF(E5=0,"",E5*K5)</x:f>
        <x:v>3072967.1618395573</x:v>
      </x:c>
      <x:c r="M5" s="31" t="n">
        <x:f>IF(E5=0,"",I5-L5)</x:f>
        <x:v>2202337.9760969975</x:v>
      </x:c>
      <x:c r="N5" s="32" t="n">
        <x:f>IF(L5=0,"",I5/L5)</x:f>
        <x:v>1.7166812595480587</x:v>
      </x:c>
      <x:c r="O5" s="34" t="n">
        <x:f>IF(L5=0,"",M5/L5)</x:f>
        <x:v>0.7166812595480588</x:v>
      </x:c>
    </x:row>
    <x:row r="6" ht="18" customHeight="1">
      <x:c r="A6" s="24" t="str">
        <x:v>Molluscs</x:v>
      </x:c>
      <x:c r="B6" s="33" t="n">
        <x:v>3</x:v>
      </x:c>
      <x:c r="C6" s="33" t="n">
        <x:v>3</x:v>
      </x:c>
      <x:c r="D6" s="31" t="n">
        <x:v>136.4364414017</x:v>
      </x:c>
      <x:c r="E6" s="31" t="n">
        <x:v>136.4364414017</x:v>
      </x:c>
      <x:c r="F6" s="32" t="n">
        <x:v>0</x:v>
      </x:c>
      <x:c r="G6" s="34" t="n">
        <x:v>1</x:v>
      </x:c>
      <x:c r="H6" s="32" t="n">
        <x:f>IF(E6=0,"",I6/E6)</x:f>
        <x:v>11.529978767984005</x:v>
      </x:c>
      <x:c r="I6" s="31" t="n">
        <x:f>IF(C6=0,"",SUMIF('Species'!$H$2:$H$143,A6,'Species'!$U$2:$U$143))</x:f>
        <x:v>1573.1092725408948</x:v>
      </x:c>
      <x:c r="J6" s="32" t="n">
        <x:v>2.0590895562309757</x:v>
      </x:c>
      <x:c r="K6" s="32" t="n">
        <x:f>IF(J6="","",(1/'Metadata'!$B$5)^(J6-1))</x:f>
        <x:v>11.457491829911516</x:v>
      </x:c>
      <x:c r="L6" s="31" t="n">
        <x:f>IF(E6=0,"",E6*K6)</x:f>
        <x:v>1563.2194126621791</x:v>
      </x:c>
      <x:c r="M6" s="31" t="n">
        <x:f>IF(E6=0,"",I6-L6)</x:f>
        <x:v>9.889859878715697</x:v>
      </x:c>
      <x:c r="N6" s="32" t="n">
        <x:f>IF(L6=0,"",I6/L6)</x:f>
        <x:v>1.006326597404438</x:v>
      </x:c>
      <x:c r="O6" s="34" t="n">
        <x:f>IF(L6=0,"",M6/L6)</x:f>
        <x:v>0.006326597404438038</x:v>
      </x:c>
    </x:row>
    <x:row r="7" ht="18" customHeight="1">
      <x:c r="A7" s="24" t="str">
        <x:v>Other fishes &amp; inverts</x:v>
      </x:c>
      <x:c r="B7" s="33" t="n">
        <x:v>24</x:v>
      </x:c>
      <x:c r="C7" s="33" t="n">
        <x:v>24</x:v>
      </x:c>
      <x:c r="D7" s="31" t="n">
        <x:v>43867.52696715051</x:v>
      </x:c>
      <x:c r="E7" s="31" t="n">
        <x:v>43867.52696715051</x:v>
      </x:c>
      <x:c r="F7" s="32" t="n">
        <x:v>0</x:v>
      </x:c>
      <x:c r="G7" s="34" t="n">
        <x:v>1</x:v>
      </x:c>
      <x:c r="H7" s="32" t="n">
        <x:f>IF(E7=0,"",I7/E7)</x:f>
        <x:v>758.9297820651299</x:v>
      </x:c>
      <x:c r="I7" s="31" t="n">
        <x:f>IF(C7=0,"",SUMIF('Species'!$H$2:$H$143,A7,'Species'!$U$2:$U$143))</x:f>
        <x:v>33292372.680915743</x:v>
      </x:c>
      <x:c r="J7" s="32" t="n">
        <x:v>3.6324994575701255</x:v>
      </x:c>
      <x:c r="K7" s="32" t="n">
        <x:f>IF(J7="","",(1/'Metadata'!$B$5)^(J7-1))</x:f>
        <x:v>429.04165336941156</x:v>
      </x:c>
      <x:c r="L7" s="31" t="n">
        <x:f>IF(E7=0,"",E7*K7)</x:f>
        <x:v>18820996.299213503</x:v>
      </x:c>
      <x:c r="M7" s="31" t="n">
        <x:f>IF(E7=0,"",I7-L7)</x:f>
        <x:v>14471376.38170224</x:v>
      </x:c>
      <x:c r="N7" s="32" t="n">
        <x:f>IF(L7=0,"",I7/L7)</x:f>
        <x:v>1.7688953417575972</x:v>
      </x:c>
      <x:c r="O7" s="34" t="n">
        <x:f>IF(L7=0,"",M7/L7)</x:f>
        <x:v>0.7688953417575973</x:v>
      </x:c>
    </x:row>
    <x:row r="8" ht="18" customHeight="1">
      <x:c r="A8" s="24" t="str">
        <x:v>Perch-likes</x:v>
      </x:c>
      <x:c r="B8" s="33" t="n">
        <x:v>68</x:v>
      </x:c>
      <x:c r="C8" s="33" t="n">
        <x:v>68</x:v>
      </x:c>
      <x:c r="D8" s="31" t="n">
        <x:v>85665.48761580548</x:v>
      </x:c>
      <x:c r="E8" s="31" t="n">
        <x:v>85665.48761580548</x:v>
      </x:c>
      <x:c r="F8" s="32" t="n">
        <x:v>0</x:v>
      </x:c>
      <x:c r="G8" s="34" t="n">
        <x:v>1</x:v>
      </x:c>
      <x:c r="H8" s="32" t="n">
        <x:f>IF(E8=0,"",I8/E8)</x:f>
        <x:v>861.9645486040652</x:v>
      </x:c>
      <x:c r="I8" s="31" t="n">
        <x:f>IF(C8=0,"",SUMIF('Species'!$H$2:$H$143,A8,'Species'!$U$2:$U$143))</x:f>
        <x:v>73840613.3637049</x:v>
      </x:c>
      <x:c r="J8" s="32" t="n">
        <x:v>3.7434087548705937</x:v>
      </x:c>
      <x:c r="K8" s="32" t="n">
        <x:f>IF(J8="","",(1/'Metadata'!$B$5)^(J8-1))</x:f>
        <x:v>553.8711635619485</x:v>
      </x:c>
      <x:c r="L8" s="31" t="n">
        <x:f>IF(E8=0,"",E8*K8)</x:f>
        <x:v>47447643.302867875</x:v>
      </x:c>
      <x:c r="M8" s="31" t="n">
        <x:f>IF(E8=0,"",I8-L8)</x:f>
        <x:v>26392970.06083703</x:v>
      </x:c>
      <x:c r="N8" s="32" t="n">
        <x:f>IF(L8=0,"",I8/L8)</x:f>
        <x:v>1.5562546045198784</x:v>
      </x:c>
      <x:c r="O8" s="34" t="n">
        <x:f>IF(L8=0,"",M8/L8)</x:f>
        <x:v>0.5562546045198785</x:v>
      </x:c>
    </x:row>
    <x:row r="9" ht="18" customHeight="1">
      <x:c r="A9" s="24" t="str">
        <x:v>Scorpionfishes</x:v>
      </x:c>
      <x:c r="B9" s="33" t="n">
        <x:v>2</x:v>
      </x:c>
      <x:c r="C9" s="33" t="n">
        <x:v>2</x:v>
      </x:c>
      <x:c r="D9" s="31" t="n">
        <x:v>632.238736931</x:v>
      </x:c>
      <x:c r="E9" s="31" t="n">
        <x:v>632.238736931</x:v>
      </x:c>
      <x:c r="F9" s="32" t="n">
        <x:v>0</x:v>
      </x:c>
      <x:c r="G9" s="34" t="n">
        <x:v>1</x:v>
      </x:c>
      <x:c r="H9" s="32" t="n">
        <x:f>IF(E9=0,"",I9/E9)</x:f>
        <x:v>805.7959618895422</x:v>
      </x:c>
      <x:c r="I9" s="31" t="n">
        <x:f>IF(C9=0,"",SUMIF('Species'!$H$2:$H$143,A9,'Species'!$U$2:$U$143))</x:f>
        <x:v>509455.42116914433</x:v>
      </x:c>
      <x:c r="J9" s="32" t="n">
        <x:v>3.9061266530546526</x:v>
      </x:c>
      <x:c r="K9" s="32" t="n">
        <x:f>IF(J9="","",(1/'Metadata'!$B$5)^(J9-1))</x:f>
        <x:v>805.6133475104708</x:v>
      </x:c>
      <x:c r="L9" s="31" t="n">
        <x:f>IF(E9=0,"",E9*K9)</x:f>
        <x:v>509339.9652847748</x:v>
      </x:c>
      <x:c r="M9" s="31" t="n">
        <x:f>IF(E9=0,"",I9-L9)</x:f>
        <x:v>115.45588436955586</x:v>
      </x:c>
      <x:c r="N9" s="32" t="n">
        <x:f>IF(L9=0,"",I9/L9)</x:f>
        <x:v>1.0002266774497168</x:v>
      </x:c>
      <x:c r="O9" s="34" t="n">
        <x:f>IF(L9=0,"",M9/L9)</x:f>
        <x:v>0.0002266774497167208</x:v>
      </x:c>
    </x:row>
    <x:row r="10" ht="18" customHeight="1">
      <x:c r="A10" s="24" t="str">
        <x:v>Sharks &amp; rays</x:v>
      </x:c>
      <x:c r="B10" s="33" t="n">
        <x:v>4</x:v>
      </x:c>
      <x:c r="C10" s="33" t="n">
        <x:v>4</x:v>
      </x:c>
      <x:c r="D10" s="31" t="n">
        <x:v>6148.655089743501</x:v>
      </x:c>
      <x:c r="E10" s="31" t="n">
        <x:v>6148.655089743501</x:v>
      </x:c>
      <x:c r="F10" s="32" t="n">
        <x:v>0</x:v>
      </x:c>
      <x:c r="G10" s="34" t="n">
        <x:v>1</x:v>
      </x:c>
      <x:c r="H10" s="32" t="n">
        <x:f>IF(E10=0,"",I10/E10)</x:f>
        <x:v>1103.7763680431474</x:v>
      </x:c>
      <x:c r="I10" s="31" t="n">
        <x:f>IF(C10=0,"",SUMIF('Species'!$H$2:$H$143,A10,'Species'!$U$2:$U$143))</x:f>
        <x:v>6786740.1833070945</x:v>
      </x:c>
      <x:c r="J10" s="32" t="n">
        <x:v>3.9959495693314966</x:v>
      </x:c>
      <x:c r="K10" s="32" t="n">
        <x:f>IF(J10="","",(1/'Metadata'!$B$5)^(J10-1))</x:f>
        <x:v>990.7168952700653</x:v>
      </x:c>
      <x:c r="L10" s="31" t="n">
        <x:f>IF(E10=0,"",E10*K10)</x:f>
        <x:v>6091576.480597165</x:v>
      </x:c>
      <x:c r="M10" s="31" t="n">
        <x:f>IF(E10=0,"",I10-L10)</x:f>
        <x:v>695163.7027099291</x:v>
      </x:c>
      <x:c r="N10" s="32" t="n">
        <x:f>IF(L10=0,"",I10/L10)</x:f>
        <x:v>1.114118850009379</x:v>
      </x:c>
      <x:c r="O10" s="34" t="n">
        <x:f>IF(L10=0,"",M10/L10)</x:f>
        <x:v>0.11411885000937906</x:v>
      </x:c>
    </x:row>
    <x:row r="11" ht="18" customHeight="1">
      <x:c r="A11" s="24" t="str">
        <x:v>Tuna &amp; billfishes</x:v>
      </x:c>
      <x:c r="B11" s="33" t="n">
        <x:v>7</x:v>
      </x:c>
      <x:c r="C11" s="33" t="n">
        <x:v>7</x:v>
      </x:c>
      <x:c r="D11" s="31" t="n">
        <x:v>6080.4538436333005</x:v>
      </x:c>
      <x:c r="E11" s="31" t="n">
        <x:v>6080.4538436333005</x:v>
      </x:c>
      <x:c r="F11" s="32" t="n">
        <x:v>0</x:v>
      </x:c>
      <x:c r="G11" s="34" t="n">
        <x:v>1</x:v>
      </x:c>
      <x:c r="H11" s="32" t="n">
        <x:f>IF(E11=0,"",I11/E11)</x:f>
        <x:v>2989.6765324272615</x:v>
      </x:c>
      <x:c r="I11" s="31" t="n">
        <x:f>IF(C11=0,"",SUMIF('Species'!$H$2:$H$143,A11,'Species'!$U$2:$U$143))</x:f>
        <x:v>18178590.16281762</x:v>
      </x:c>
      <x:c r="J11" s="32" t="n">
        <x:v>4.474241921625594</x:v>
      </x:c>
      <x:c r="K11" s="32" t="n">
        <x:f>IF(J11="","",(1/'Metadata'!$B$5)^(J11-1))</x:f>
        <x:v>2980.1760596987133</x:v>
      </x:c>
      <x:c r="L11" s="31" t="n">
        <x:f>IF(E11=0,"",E11*K11)</x:f>
        <x:v>18120822.976898987</x:v>
      </x:c>
      <x:c r="M11" s="31" t="n">
        <x:f>IF(E11=0,"",I11-L11)</x:f>
        <x:v>57767.185918632895</x:v>
      </x:c>
      <x:c r="N11" s="32" t="n">
        <x:f>IF(L11=0,"",I11/L11)</x:f>
        <x:v>1.0031878897549122</x:v>
      </x:c>
      <x:c r="O11" s="34" t="n">
        <x:f>IF(L11=0,"",M11/L11)</x:f>
        <x:v>0.003187889754912146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084bbb4c36843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1133.3681740447996</x:v>
      </x:c>
      <x:c r="E2" s="31" t="n">
        <x:v>1133.3681740447996</x:v>
      </x:c>
      <x:c r="F2" s="32" t="n">
        <x:v>0</x:v>
      </x:c>
      <x:c r="G2" s="34" t="n">
        <x:v>1</x:v>
      </x:c>
      <x:c r="H2" s="32" t="n">
        <x:f>IF(E2=0,"",I2/E2)</x:f>
        <x:v>529.9640055884482</x:v>
      </x:c>
      <x:c r="I2" s="31" t="n">
        <x:f>IF(C2=0,"",SUMIF('Species'!$G$2:$G$143,A2,'Species'!$U$2:$U$143))</x:f>
        <x:v>600644.3373232476</x:v>
      </x:c>
      <x:c r="J2" s="32" t="n">
        <x:v>3.7160647404672336</x:v>
      </x:c>
      <x:c r="K2" s="32" t="n">
        <x:f>IF(J2="","",(1/'Metadata'!$B$5)^(J2-1))</x:f>
        <x:v>520.0735183407568</x:v>
      </x:c>
      <x:c r="L2" s="31" t="n">
        <x:f>IF(E2=0,"",E2*K2)</x:f>
        <x:v>589434.7738509182</x:v>
      </x:c>
      <x:c r="M2" s="31" t="n">
        <x:f>IF(E2=0,"",I2-L2)</x:f>
        <x:v>11209.563472329406</x:v>
      </x:c>
      <x:c r="N2" s="32" t="n">
        <x:f>IF(L2=0,"",I2/L2)</x:f>
        <x:v>1.0190174790657407</x:v>
      </x:c>
      <x:c r="O2" s="34" t="n">
        <x:f>IF(L2=0,"",M2/L2)</x:f>
        <x:v>0.019017479065740642</x:v>
      </x:c>
    </x:row>
    <x:row r="3" ht="18" customHeight="1">
      <x:c r="A3" s="24" t="str">
        <x:v>Jellyfish</x:v>
      </x:c>
      <x:c r="B3" s="33" t="n">
        <x:v>2</x:v>
      </x:c>
      <x:c r="C3" s="33" t="n">
        <x:v>2</x:v>
      </x:c>
      <x:c r="D3" s="31" t="n">
        <x:v>6444.3243541336005</x:v>
      </x:c>
      <x:c r="E3" s="31" t="n">
        <x:v>6444.3243541336005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IF(C3=0,"",SUMIF('Species'!$G$2:$G$143,A3,'Species'!$U$2:$U$143))</x:f>
        <x:v>1858563.4453687319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1858563.4453687319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4891.7428427829</x:v>
      </x:c>
      <x:c r="E4" s="31" t="n">
        <x:v>4891.7428427829</x:v>
      </x:c>
      <x:c r="F4" s="32" t="n">
        <x:v>0</x:v>
      </x:c>
      <x:c r="G4" s="34" t="n">
        <x:v>1</x:v>
      </x:c>
      <x:c r="H4" s="32" t="n">
        <x:f>IF(E4=0,"",I4/E4)</x:f>
        <x:v>2583.5376839864853</x:v>
      </x:c>
      <x:c r="I4" s="31" t="n">
        <x:f>IF(C4=0,"",SUMIF('Species'!$G$2:$G$143,A4,'Species'!$U$2:$U$143))</x:f>
        <x:v>12638001.9747008</x:v>
      </x:c>
      <x:c r="J4" s="32" t="n">
        <x:v>4.4085844530530105</x:v>
      </x:c>
      <x:c r="K4" s="32" t="n">
        <x:f>IF(J4="","",(1/'Metadata'!$B$5)^(J4-1))</x:f>
        <x:v>2562.031429154864</x:v>
      </x:c>
      <x:c r="L4" s="31" t="n">
        <x:f>IF(E4=0,"",E4*K4)</x:f>
        <x:v>12532798.90655315</x:v>
      </x:c>
      <x:c r="M4" s="31" t="n">
        <x:f>IF(E4=0,"",I4-L4)</x:f>
        <x:v>105203.06814764999</x:v>
      </x:c>
      <x:c r="N4" s="32" t="n">
        <x:f>IF(L4=0,"",I4/L4)</x:f>
        <x:v>1.0083942197534697</x:v>
      </x:c>
      <x:c r="O4" s="34" t="n">
        <x:f>IF(L4=0,"",M4/L4)</x:f>
        <x:v>0.008394219753469547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1513.0768696227</x:v>
      </x:c>
      <x:c r="E5" s="31" t="n">
        <x:v>1513.0768696227</x:v>
      </x:c>
      <x:c r="F5" s="32" t="n">
        <x:v>0</x:v>
      </x:c>
      <x:c r="G5" s="34" t="n">
        <x:v>1</x:v>
      </x:c>
      <x:c r="H5" s="32" t="n">
        <x:f>IF(E5=0,"",I5/E5)</x:f>
        <x:v>1065.3710124037548</x:v>
      </x:c>
      <x:c r="I5" s="31" t="n">
        <x:f>IF(C5=0,"",SUMIF('Species'!$G$2:$G$143,A5,'Species'!$U$2:$U$143))</x:f>
        <x:v>1611988.23643464</x:v>
      </x:c>
      <x:c r="J5" s="32" t="n">
        <x:v>4.014667356106169</x:v>
      </x:c>
      <x:c r="K5" s="32" t="n">
        <x:f>IF(J5="","",(1/'Metadata'!$B$5)^(J5-1))</x:f>
        <x:v>1034.349612549917</x:v>
      </x:c>
      <x:c r="L5" s="31" t="n">
        <x:f>IF(E5=0,"",E5*K5)</x:f>
        <x:v>1565050.4738524812</x:v>
      </x:c>
      <x:c r="M5" s="31" t="n">
        <x:f>IF(E5=0,"",I5-L5)</x:f>
        <x:v>46937.76258215867</x:v>
      </x:c>
      <x:c r="N5" s="32" t="n">
        <x:f>IF(L5=0,"",I5/L5)</x:f>
        <x:v>1.0299912132971776</x:v>
      </x:c>
      <x:c r="O5" s="34" t="n">
        <x:f>IF(L5=0,"",M5/L5)</x:f>
        <x:v>0.02999121329717762</x:v>
      </x:c>
    </x:row>
    <x:row r="6" ht="18" customHeight="1">
      <x:c r="A6" s="24" t="str">
        <x:v>Large pelagics (&gt;=90 cm)</x:v>
      </x:c>
      <x:c r="B6" s="33" t="n">
        <x:v>11</x:v>
      </x:c>
      <x:c r="C6" s="33" t="n">
        <x:v>11</x:v>
      </x:c>
      <x:c r="D6" s="31" t="n">
        <x:v>16209.9366729208</x:v>
      </x:c>
      <x:c r="E6" s="31" t="n">
        <x:v>16209.9366729208</x:v>
      </x:c>
      <x:c r="F6" s="32" t="n">
        <x:v>0</x:v>
      </x:c>
      <x:c r="G6" s="34" t="n">
        <x:v>1</x:v>
      </x:c>
      <x:c r="H6" s="32" t="n">
        <x:f>IF(E6=0,"",I6/E6)</x:f>
        <x:v>2514.756763336087</x:v>
      </x:c>
      <x:c r="I6" s="31" t="n">
        <x:f>IF(C6=0,"",SUMIF('Species'!$G$2:$G$143,A6,'Species'!$U$2:$U$143))</x:f>
        <x:v>40764047.881477244</x:v>
      </x:c>
      <x:c r="J6" s="32" t="n">
        <x:v>4.394144376593754</x:v>
      </x:c>
      <x:c r="K6" s="32" t="n">
        <x:f>IF(J6="","",(1/'Metadata'!$B$5)^(J6-1))</x:f>
        <x:v>2478.2457872297264</x:v>
      </x:c>
      <x:c r="L6" s="31" t="n">
        <x:f>IF(E6=0,"",E6*K6)</x:f>
        <x:v>40172207.27092662</x:v>
      </x:c>
      <x:c r="M6" s="31" t="n">
        <x:f>IF(E6=0,"",I6-L6)</x:f>
        <x:v>591840.6105506271</x:v>
      </x:c>
      <x:c r="N6" s="32" t="n">
        <x:f>IF(L6=0,"",I6/L6)</x:f>
        <x:v>1.014732588791031</x:v>
      </x:c>
      <x:c r="O6" s="34" t="n">
        <x:f>IF(L6=0,"",M6/L6)</x:f>
        <x:v>0.01473258879103099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3958.2290307363</x:v>
      </x:c>
      <x:c r="E7" s="31" t="n">
        <x:v>3958.2290307363</x:v>
      </x:c>
      <x:c r="F7" s="32" t="n">
        <x:v>0</x:v>
      </x:c>
      <x:c r="G7" s="34" t="n">
        <x:v>1</x:v>
      </x:c>
      <x:c r="H7" s="32" t="n">
        <x:f>IF(E7=0,"",I7/E7)</x:f>
        <x:v>707.783721685895</x:v>
      </x:c>
      <x:c r="I7" s="31" t="n">
        <x:f>IF(C7=0,"",SUMIF('Species'!$G$2:$G$143,A7,'Species'!$U$2:$U$143))</x:f>
        <x:v>2801570.074659691</x:v>
      </x:c>
      <x:c r="J7" s="32" t="n">
        <x:v>3.84988496044795</x:v>
      </x:c>
      <x:c r="K7" s="32" t="n">
        <x:f>IF(J7="","",(1/'Metadata'!$B$5)^(J7-1))</x:f>
        <x:v>707.7582826226167</x:v>
      </x:c>
      <x:c r="L7" s="31" t="n">
        <x:f>IF(E7=0,"",E7*K7)</x:f>
        <x:v>2801469.3810209082</x:v>
      </x:c>
      <x:c r="M7" s="31" t="n">
        <x:f>IF(E7=0,"",I7-L7)</x:f>
        <x:v>100.69363878294826</x:v>
      </x:c>
      <x:c r="N7" s="32" t="n">
        <x:f>IF(L7=0,"",I7/L7)</x:f>
        <x:v>1.0000359431516421</x:v>
      </x:c>
      <x:c r="O7" s="34" t="n">
        <x:f>IF(L7=0,"",M7/L7)</x:f>
        <x:v>0.00003594315164217629</x:v>
      </x:c>
    </x:row>
    <x:row r="8" ht="18" customHeight="1">
      <x:c r="A8" s="24" t="str">
        <x:v>Large reef assoc. fish (&gt;=90 cm)</x:v>
      </x:c>
      <x:c r="B8" s="33" t="n">
        <x:v>6</x:v>
      </x:c>
      <x:c r="C8" s="33" t="n">
        <x:v>6</x:v>
      </x:c>
      <x:c r="D8" s="31" t="n">
        <x:v>1042.6896163744998</x:v>
      </x:c>
      <x:c r="E8" s="31" t="n">
        <x:v>1042.6896163744998</x:v>
      </x:c>
      <x:c r="F8" s="32" t="n">
        <x:v>0</x:v>
      </x:c>
      <x:c r="G8" s="34" t="n">
        <x:v>1</x:v>
      </x:c>
      <x:c r="H8" s="32" t="n">
        <x:f>IF(E8=0,"",I8/E8)</x:f>
        <x:v>464.03434899072016</x:v>
      </x:c>
      <x:c r="I8" s="31" t="n">
        <x:f>IF(C8=0,"",SUMIF('Species'!$G$2:$G$143,A8,'Species'!$U$2:$U$143))</x:f>
        <x:v>483843.79733372474</x:v>
      </x:c>
      <x:c r="J8" s="32" t="n">
        <x:v>3.595463203574985</x:v>
      </x:c>
      <x:c r="K8" s="32" t="n">
        <x:f>IF(J8="","",(1/'Metadata'!$B$5)^(J8-1))</x:f>
        <x:v>393.97004637001</x:v>
      </x:c>
      <x:c r="L8" s="31" t="n">
        <x:f>IF(E8=0,"",E8*K8)</x:f>
        <x:v>410788.4765125896</x:v>
      </x:c>
      <x:c r="M8" s="31" t="n">
        <x:f>IF(E8=0,"",I8-L8)</x:f>
        <x:v>73055.32082113513</x:v>
      </x:c>
      <x:c r="N8" s="32" t="n">
        <x:f>IF(L8=0,"",I8/L8)</x:f>
        <x:v>1.1778416995562828</x:v>
      </x:c>
      <x:c r="O8" s="34" t="n">
        <x:f>IF(L8=0,"",M8/L8)</x:f>
        <x:v>0.17784169955628287</x:v>
      </x:c>
    </x:row>
    <x:row r="9" ht="18" customHeight="1">
      <x:c r="A9" s="24" t="str">
        <x:v>Large sharks (&gt;=90 cm)</x:v>
      </x:c>
      <x:c r="B9" s="33" t="n">
        <x:v>2</x:v>
      </x:c>
      <x:c r="C9" s="33" t="n">
        <x:v>2</x:v>
      </x:c>
      <x:c r="D9" s="31" t="n">
        <x:v>2190.4260590072</x:v>
      </x:c>
      <x:c r="E9" s="31" t="n">
        <x:v>2190.4260590072</x:v>
      </x:c>
      <x:c r="F9" s="32" t="n">
        <x:v>0</x:v>
      </x:c>
      <x:c r="G9" s="34" t="n">
        <x:v>1</x:v>
      </x:c>
      <x:c r="H9" s="32" t="n">
        <x:f>IF(E9=0,"",I9/E9)</x:f>
        <x:v>1819.3584267590677</x:v>
      </x:c>
      <x:c r="I9" s="31" t="n">
        <x:f>IF(C9=0,"",SUMIF('Species'!$G$2:$G$143,A9,'Species'!$U$2:$U$143))</x:f>
        <x:v>3985170.108647404</x:v>
      </x:c>
      <x:c r="J9" s="32" t="n">
        <x:v>4.259896929192641</x:v>
      </x:c>
      <x:c r="K9" s="32" t="n">
        <x:f>IF(J9="","",(1/'Metadata'!$B$5)^(J9-1))</x:f>
        <x:v>1819.2690415141788</x:v>
      </x:c>
      <x:c r="L9" s="31" t="n">
        <x:f>IF(E9=0,"",E9*K9)</x:f>
        <x:v>3984974.3168777083</x:v>
      </x:c>
      <x:c r="M9" s="31" t="n">
        <x:f>IF(E9=0,"",I9-L9)</x:f>
        <x:v>195.79176969546825</x:v>
      </x:c>
      <x:c r="N9" s="32" t="n">
        <x:f>IF(L9=0,"",I9/L9)</x:f>
        <x:v>1.0000491325047858</x:v>
      </x:c>
      <x:c r="O9" s="34" t="n">
        <x:f>IF(L9=0,"",M9/L9)</x:f>
        <x:v>0.000049132504785846216</x:v>
      </x:c>
    </x:row>
    <x:row r="10" ht="18" customHeight="1">
      <x:c r="A10" s="24" t="str">
        <x:v>Lobsters, crabs</x:v>
      </x:c>
      <x:c r="B10" s="33" t="n">
        <x:v>5</x:v>
      </x:c>
      <x:c r="C10" s="33" t="n">
        <x:v>5</x:v>
      </x:c>
      <x:c r="D10" s="31" t="n">
        <x:v>1427.8170825619</x:v>
      </x:c>
      <x:c r="E10" s="31" t="n">
        <x:v>1427.8170825619</x:v>
      </x:c>
      <x:c r="F10" s="32" t="n">
        <x:v>0</x:v>
      </x:c>
      <x:c r="G10" s="34" t="n">
        <x:v>1</x:v>
      </x:c>
      <x:c r="H10" s="32" t="n">
        <x:f>IF(E10=0,"",I10/E10)</x:f>
        <x:v>85.1883153907353</x:v>
      </x:c>
      <x:c r="I10" s="31" t="n">
        <x:f>IF(C10=0,"",SUMIF('Species'!$G$2:$G$143,A10,'Species'!$U$2:$U$143))</x:f>
        <x:v>121633.33194956266</x:v>
      </x:c>
      <x:c r="J10" s="32" t="n">
        <x:v>2.805346547258482</x:v>
      </x:c>
      <x:c r="K10" s="32" t="n">
        <x:f>IF(J10="","",(1/'Metadata'!$B$5)^(J10-1))</x:f>
        <x:v>63.877299469962814</x:v>
      </x:c>
      <x:c r="L10" s="31" t="n">
        <x:f>IF(E10=0,"",E10*K10)</x:f>
        <x:v>91205.0993711351</x:v>
      </x:c>
      <x:c r="M10" s="31" t="n">
        <x:f>IF(E10=0,"",I10-L10)</x:f>
        <x:v>30428.23257842756</x:v>
      </x:c>
      <x:c r="N10" s="32" t="n">
        <x:f>IF(L10=0,"",I10/L10)</x:f>
        <x:v>1.333624246760676</x:v>
      </x:c>
      <x:c r="O10" s="34" t="n">
        <x:f>IF(L10=0,"",M10/L10)</x:f>
        <x:v>0.3336242467606761</x:v>
      </x:c>
    </x:row>
    <x:row r="11" ht="18" customHeight="1">
      <x:c r="A11" s="24" t="str">
        <x:v>Medium benthopelagics (30 - 89 cm)</x:v>
      </x:c>
      <x:c r="B11" s="33" t="n">
        <x:v>5</x:v>
      </x:c>
      <x:c r="C11" s="33" t="n">
        <x:v>5</x:v>
      </x:c>
      <x:c r="D11" s="31" t="n">
        <x:v>9763.932997004102</x:v>
      </x:c>
      <x:c r="E11" s="31" t="n">
        <x:v>9763.932997004102</x:v>
      </x:c>
      <x:c r="F11" s="32" t="n">
        <x:v>0</x:v>
      </x:c>
      <x:c r="G11" s="34" t="n">
        <x:v>1</x:v>
      </x:c>
      <x:c r="H11" s="32" t="n">
        <x:f>IF(E11=0,"",I11/E11)</x:f>
        <x:v>442.189332360314</x:v>
      </x:c>
      <x:c r="I11" s="31" t="n">
        <x:f>IF(C11=0,"",SUMIF('Species'!$G$2:$G$143,A11,'Species'!$U$2:$U$143))</x:f>
        <x:v>4317507.013156083</x:v>
      </x:c>
      <x:c r="J11" s="32" t="n">
        <x:v>3.569214769703211</x:v>
      </x:c>
      <x:c r="K11" s="32" t="n">
        <x:f>IF(J11="","",(1/'Metadata'!$B$5)^(J11-1))</x:f>
        <x:v>370.86407819164725</x:v>
      </x:c>
      <x:c r="L11" s="31" t="n">
        <x:f>IF(E11=0,"",E11*K11)</x:f>
        <x:v>3621092.0104589337</x:v>
      </x:c>
      <x:c r="M11" s="31" t="n">
        <x:f>IF(E11=0,"",I11-L11)</x:f>
        <x:v>696415.0026971498</x:v>
      </x:c>
      <x:c r="N11" s="32" t="n">
        <x:f>IF(L11=0,"",I11/L11)</x:f>
        <x:v>1.192321819132369</x:v>
      </x:c>
      <x:c r="O11" s="34" t="n">
        <x:f>IF(L11=0,"",M11/L11)</x:f>
        <x:v>0.19232181913236907</x:v>
      </x:c>
    </x:row>
    <x:row r="12" ht="18" customHeight="1">
      <x:c r="A12" s="24" t="str">
        <x:v>Medium demersals (30 - 89 cm)</x:v>
      </x:c>
      <x:c r="B12" s="33" t="n">
        <x:v>13</x:v>
      </x:c>
      <x:c r="C12" s="33" t="n">
        <x:v>13</x:v>
      </x:c>
      <x:c r="D12" s="31" t="n">
        <x:v>36991.9560258757</x:v>
      </x:c>
      <x:c r="E12" s="31" t="n">
        <x:v>36991.9560258757</x:v>
      </x:c>
      <x:c r="F12" s="32" t="n">
        <x:v>0</x:v>
      </x:c>
      <x:c r="G12" s="34" t="n">
        <x:v>1</x:v>
      </x:c>
      <x:c r="H12" s="32" t="n">
        <x:f>IF(E12=0,"",I12/E12)</x:f>
        <x:v>837.7983532152097</x:v>
      </x:c>
      <x:c r="I12" s="31" t="n">
        <x:f>IF(C12=0,"",SUMIF('Species'!$G$2:$G$143,A12,'Species'!$U$2:$U$143))</x:f>
        <x:v>30991799.84068811</x:v>
      </x:c>
      <x:c r="J12" s="32" t="n">
        <x:v>3.6669254588506</x:v>
      </x:c>
      <x:c r="K12" s="32" t="n">
        <x:f>IF(J12="","",(1/'Metadata'!$B$5)^(J12-1))</x:f>
        <x:v>464.4355538985627</x:v>
      </x:c>
      <x:c r="L12" s="31" t="n">
        <x:f>IF(E12=0,"",E12*K12)</x:f>
        <x:v>17180379.586668853</x:v>
      </x:c>
      <x:c r="M12" s="31" t="n">
        <x:f>IF(E12=0,"",I12-L12)</x:f>
        <x:v>13811420.254019257</x:v>
      </x:c>
      <x:c r="N12" s="32" t="n">
        <x:f>IF(L12=0,"",I12/L12)</x:f>
        <x:v>1.8039065833409322</x:v>
      </x:c>
      <x:c r="O12" s="34" t="n">
        <x:f>IF(L12=0,"",M12/L12)</x:f>
        <x:v>0.8039065833409323</x:v>
      </x:c>
    </x:row>
    <x:row r="13" ht="18" customHeight="1">
      <x:c r="A13" s="24" t="str">
        <x:v>Medium pelagics (30 - 89 cm)</x:v>
      </x:c>
      <x:c r="B13" s="33" t="n">
        <x:v>14</x:v>
      </x:c>
      <x:c r="C13" s="33" t="n">
        <x:v>14</x:v>
      </x:c>
      <x:c r="D13" s="31" t="n">
        <x:v>23704.942009689395</x:v>
      </x:c>
      <x:c r="E13" s="31" t="n">
        <x:v>23704.942009689395</x:v>
      </x:c>
      <x:c r="F13" s="32" t="n">
        <x:v>0</x:v>
      </x:c>
      <x:c r="G13" s="34" t="n">
        <x:v>1</x:v>
      </x:c>
      <x:c r="H13" s="32" t="n">
        <x:f>IF(E13=0,"",I13/E13)</x:f>
        <x:v>732.6010965386312</x:v>
      </x:c>
      <x:c r="I13" s="31" t="n">
        <x:f>IF(C13=0,"",SUMIF('Species'!$G$2:$G$143,A13,'Species'!$U$2:$U$143))</x:f>
        <x:v>17366266.509683114</x:v>
      </x:c>
      <x:c r="J13" s="32" t="n">
        <x:v>3.6493018420746273</x:v>
      </x:c>
      <x:c r="K13" s="32" t="n">
        <x:f>IF(J13="","",(1/'Metadata'!$B$5)^(J13-1))</x:f>
        <x:v>445.96609475547257</x:v>
      </x:c>
      <x:c r="L13" s="31" t="n">
        <x:f>IF(E13=0,"",E13*K13)</x:f>
        <x:v>10571600.414466124</x:v>
      </x:c>
      <x:c r="M13" s="31" t="n">
        <x:f>IF(E13=0,"",I13-L13)</x:f>
        <x:v>6794666.0952169895</x:v>
      </x:c>
      <x:c r="N13" s="32" t="n">
        <x:f>IF(L13=0,"",I13/L13)</x:f>
        <x:v>1.6427282368636638</x:v>
      </x:c>
      <x:c r="O13" s="34" t="n">
        <x:f>IF(L13=0,"",M13/L13)</x:f>
        <x:v>0.6427282368636638</x:v>
      </x:c>
    </x:row>
    <x:row r="14" ht="18" customHeight="1">
      <x:c r="A14" s="24" t="str">
        <x:v>Medium reef assoc. fish (30 - 89 cm)</x:v>
      </x:c>
      <x:c r="B14" s="33" t="n">
        <x:v>23</x:v>
      </x:c>
      <x:c r="C14" s="33" t="n">
        <x:v>23</x:v>
      </x:c>
      <x:c r="D14" s="31" t="n">
        <x:v>15495.275411976101</x:v>
      </x:c>
      <x:c r="E14" s="31" t="n">
        <x:v>15495.275411976101</x:v>
      </x:c>
      <x:c r="F14" s="32" t="n">
        <x:v>0</x:v>
      </x:c>
      <x:c r="G14" s="34" t="n">
        <x:v>1</x:v>
      </x:c>
      <x:c r="H14" s="32" t="n">
        <x:f>IF(E14=0,"",I14/E14)</x:f>
        <x:v>732.207729462516</x:v>
      </x:c>
      <x:c r="I14" s="31" t="n">
        <x:f>IF(C14=0,"",SUMIF('Species'!$G$2:$G$143,A14,'Species'!$U$2:$U$143))</x:f>
        <x:v>11345760.426799374</x:v>
      </x:c>
      <x:c r="J14" s="32" t="n">
        <x:v>3.76087577386457</x:v>
      </x:c>
      <x:c r="K14" s="32" t="n">
        <x:f>IF(J14="","",(1/'Metadata'!$B$5)^(J14-1))</x:f>
        <x:v>576.6015079866373</x:v>
      </x:c>
      <x:c r="L14" s="31" t="n">
        <x:f>IF(E14=0,"",E14*K14)</x:f>
        <x:v>8934599.169213682</x:v>
      </x:c>
      <x:c r="M14" s="31" t="n">
        <x:f>IF(E14=0,"",I14-L14)</x:f>
        <x:v>2411161.2575856913</x:v>
      </x:c>
      <x:c r="N14" s="32" t="n">
        <x:f>IF(L14=0,"",I14/L14)</x:f>
        <x:v>1.2698678711736648</x:v>
      </x:c>
      <x:c r="O14" s="34" t="n">
        <x:f>IF(L14=0,"",M14/L14)</x:f>
        <x:v>0.2698678711736649</x:v>
      </x:c>
    </x:row>
    <x:row r="15" ht="18" customHeight="1">
      <x:c r="A15" s="24" t="str">
        <x:v>Other demersal invertebrates</x:v>
      </x:c>
      <x:c r="B15" s="33" t="n">
        <x:v>4</x:v>
      </x:c>
      <x:c r="C15" s="33" t="n">
        <x:v>4</x:v>
      </x:c>
      <x:c r="D15" s="31" t="n">
        <x:v>143.6183736701</x:v>
      </x:c>
      <x:c r="E15" s="31" t="n">
        <x:v>143.6183736701</x:v>
      </x:c>
      <x:c r="F15" s="32" t="n">
        <x:v>0</x:v>
      </x:c>
      <x:c r="G15" s="34" t="n">
        <x:v>1</x:v>
      </x:c>
      <x:c r="H15" s="32" t="n">
        <x:f>IF(E15=0,"",I15/E15)</x:f>
        <x:v>12.299355813601512</x:v>
      </x:c>
      <x:c r="I15" s="31" t="n">
        <x:f>IF(C15=0,"",SUMIF('Species'!$G$2:$G$143,A15,'Species'!$U$2:$U$143))</x:f>
        <x:v>1766.4134791393387</x:v>
      </x:c>
      <x:c r="J15" s="32" t="n">
        <x:v>2.077637696115294</x:v>
      </x:c>
      <x:c r="K15" s="32" t="n">
        <x:f>IF(J15="","",(1/'Metadata'!$B$5)^(J15-1))</x:f>
        <x:v>11.957425841623037</x:v>
      </x:c>
      <x:c r="L15" s="31" t="n">
        <x:f>IF(E15=0,"",E15*K15)</x:f>
        <x:v>1717.3060526547272</x:v>
      </x:c>
      <x:c r="M15" s="31" t="n">
        <x:f>IF(E15=0,"",I15-L15)</x:f>
        <x:v>49.10742648461155</x:v>
      </x:c>
      <x:c r="N15" s="32" t="n">
        <x:f>IF(L15=0,"",I15/L15)</x:f>
        <x:v>1.0285956171928108</x:v>
      </x:c>
      <x:c r="O15" s="34" t="n">
        <x:f>IF(L15=0,"",M15/L15)</x:f>
        <x:v>0.028595617192810792</x:v>
      </x:c>
    </x:row>
    <x:row r="16" ht="18" customHeight="1">
      <x:c r="A16" s="24" t="str">
        <x:v>Shrimps</x:v>
      </x:c>
      <x:c r="B16" s="33" t="n">
        <x:v>12</x:v>
      </x:c>
      <x:c r="C16" s="33" t="n">
        <x:v>12</x:v>
      </x:c>
      <x:c r="D16" s="31" t="n">
        <x:v>10218.7081565125</x:v>
      </x:c>
      <x:c r="E16" s="31" t="n">
        <x:v>10218.7081565125</x:v>
      </x:c>
      <x:c r="F16" s="32" t="n">
        <x:v>0</x:v>
      </x:c>
      <x:c r="G16" s="34" t="n">
        <x:v>1</x:v>
      </x:c>
      <x:c r="H16" s="32" t="n">
        <x:f>IF(E16=0,"",I16/E16)</x:f>
        <x:v>197.533445008817</x:v>
      </x:c>
      <x:c r="I16" s="31" t="n">
        <x:f>IF(C16=0,"",SUMIF('Species'!$G$2:$G$143,A16,'Species'!$U$2:$U$143))</x:f>
        <x:v>2018536.625695612</x:v>
      </x:c>
      <x:c r="J16" s="32" t="n">
        <x:v>3.0244565214817745</x:v>
      </x:c>
      <x:c r="K16" s="32" t="n">
        <x:f>IF(J16="","",(1/'Metadata'!$B$5)^(J16-1))</x:f>
        <x:v>105.79289982614135</x:v>
      </x:c>
      <x:c r="L16" s="31" t="n">
        <x:f>IF(E16=0,"",E16*K16)</x:f>
        <x:v>1081066.7683545006</x:v>
      </x:c>
      <x:c r="M16" s="31" t="n">
        <x:f>IF(E16=0,"",I16-L16)</x:f>
        <x:v>937469.8573411114</x:v>
      </x:c>
      <x:c r="N16" s="32" t="n">
        <x:f>IF(L16=0,"",I16/L16)</x:f>
        <x:v>1.8671710987546504</x:v>
      </x:c>
      <x:c r="O16" s="34" t="n">
        <x:f>IF(L16=0,"",M16/L16)</x:f>
        <x:v>0.8671710987546504</x:v>
      </x:c>
    </x:row>
    <x:row r="17" ht="18" customHeight="1">
      <x:c r="A17" s="24" t="str">
        <x:v>Small benthopelagics (&lt;30 cm)</x:v>
      </x:c>
      <x:c r="B17" s="33" t="n">
        <x:v>4</x:v>
      </x:c>
      <x:c r="C17" s="33" t="n">
        <x:v>4</x:v>
      </x:c>
      <x:c r="D17" s="31" t="n">
        <x:v>3288.7497374742</x:v>
      </x:c>
      <x:c r="E17" s="31" t="n">
        <x:v>3288.7497374742</x:v>
      </x:c>
      <x:c r="F17" s="32" t="n">
        <x:v>0</x:v>
      </x:c>
      <x:c r="G17" s="34" t="n">
        <x:v>1</x:v>
      </x:c>
      <x:c r="H17" s="32" t="n">
        <x:f>IF(E17=0,"",I17/E17)</x:f>
        <x:v>171.02420888429225</x:v>
      </x:c>
      <x:c r="I17" s="31" t="n">
        <x:f>IF(C17=0,"",SUMIF('Species'!$G$2:$G$143,A17,'Species'!$U$2:$U$143))</x:f>
        <x:v>562455.8220699489</x:v>
      </x:c>
      <x:c r="J17" s="32" t="n">
        <x:v>3.2310489931115924</x:v>
      </x:c>
      <x:c r="K17" s="32" t="n">
        <x:f>IF(J17="","",(1/'Metadata'!$B$5)^(J17-1))</x:f>
        <x:v>170.2350541103807</x:v>
      </x:c>
      <x:c r="L17" s="31" t="n">
        <x:f>IF(E17=0,"",E17*K17)</x:f>
        <x:v>559860.4895144207</x:v>
      </x:c>
      <x:c r="M17" s="31" t="n">
        <x:f>IF(E17=0,"",I17-L17)</x:f>
        <x:v>2595.332555528148</x:v>
      </x:c>
      <x:c r="N17" s="32" t="n">
        <x:f>IF(L17=0,"",I17/L17)</x:f>
        <x:v>1.0046356772877099</x:v>
      </x:c>
      <x:c r="O17" s="34" t="n">
        <x:f>IF(L17=0,"",M17/L17)</x:f>
        <x:v>0.004635677287709902</x:v>
      </x:c>
    </x:row>
    <x:row r="18" ht="18" customHeight="1">
      <x:c r="A18" s="24" t="str">
        <x:v>Small demersals (&lt;30 cm)</x:v>
      </x:c>
      <x:c r="B18" s="33" t="n">
        <x:v>5</x:v>
      </x:c>
      <x:c r="C18" s="33" t="n">
        <x:v>5</x:v>
      </x:c>
      <x:c r="D18" s="31" t="n">
        <x:v>7869.9213549731985</x:v>
      </x:c>
      <x:c r="E18" s="31" t="n">
        <x:v>7869.9213549731985</x:v>
      </x:c>
      <x:c r="F18" s="32" t="n">
        <x:v>0</x:v>
      </x:c>
      <x:c r="G18" s="34" t="n">
        <x:v>1</x:v>
      </x:c>
      <x:c r="H18" s="32" t="n">
        <x:f>IF(E18=0,"",I18/E18)</x:f>
        <x:v>525.3077495944879</x:v>
      </x:c>
      <x:c r="I18" s="31" t="n">
        <x:f>IF(C18=0,"",SUMIF('Species'!$G$2:$G$143,A18,'Species'!$U$2:$U$143))</x:f>
        <x:v>4134130.6764665735</x:v>
      </x:c>
      <x:c r="J18" s="32" t="n">
        <x:v>3.7157227330174605</x:v>
      </x:c>
      <x:c r="K18" s="32" t="n">
        <x:f>IF(J18="","",(1/'Metadata'!$B$5)^(J18-1))</x:f>
        <x:v>519.6641210137022</x:v>
      </x:c>
      <x:c r="L18" s="31" t="n">
        <x:f>IF(E18=0,"",E18*K18)</x:f>
        <x:v>4089715.763379112</x:v>
      </x:c>
      <x:c r="M18" s="31" t="n">
        <x:f>IF(E18=0,"",I18-L18)</x:f>
        <x:v>44414.91308746161</x:v>
      </x:c>
      <x:c r="N18" s="32" t="n">
        <x:f>IF(L18=0,"",I18/L18)</x:f>
        <x:v>1.0108601466843172</x:v>
      </x:c>
      <x:c r="O18" s="34" t="n">
        <x:f>IF(L18=0,"",M18/L18)</x:f>
        <x:v>0.01086014668431724</x:v>
      </x:c>
    </x:row>
    <x:row r="19" ht="18" customHeight="1">
      <x:c r="A19" s="24" t="str">
        <x:v>Small pelagics (&lt;30 cm)</x:v>
      </x:c>
      <x:c r="B19" s="33" t="n">
        <x:v>10</x:v>
      </x:c>
      <x:c r="C19" s="33" t="n">
        <x:v>10</x:v>
      </x:c>
      <x:c r="D19" s="31" t="n">
        <x:v>14464.680882775001</x:v>
      </x:c>
      <x:c r="E19" s="31" t="n">
        <x:v>14464.680882775001</x:v>
      </x:c>
      <x:c r="F19" s="32" t="n">
        <x:v>0</x:v>
      </x:c>
      <x:c r="G19" s="34" t="n">
        <x:v>1</x:v>
      </x:c>
      <x:c r="H19" s="32" t="n">
        <x:f>IF(E19=0,"",I19/E19)</x:f>
        <x:v>206.7244755456445</x:v>
      </x:c>
      <x:c r="I19" s="31" t="n">
        <x:f>IF(C19=0,"",SUMIF('Species'!$G$2:$G$143,A19,'Species'!$U$2:$U$143))</x:f>
        <x:v>2990203.569426772</x:v>
      </x:c>
      <x:c r="J19" s="32" t="n">
        <x:v>3.292934506756581</x:v>
      </x:c>
      <x:c r="K19" s="32" t="n">
        <x:f>IF(J19="","",(1/'Metadata'!$B$5)^(J19-1))</x:f>
        <x:v>196.3064217036335</x:v>
      </x:c>
      <x:c r="L19" s="31" t="n">
        <x:f>IF(E19=0,"",E19*K19)</x:f>
        <x:v>2839509.745182515</x:v>
      </x:c>
      <x:c r="M19" s="31" t="n">
        <x:f>IF(E19=0,"",I19-L19)</x:f>
        <x:v>150693.82424425706</x:v>
      </x:c>
      <x:c r="N19" s="32" t="n">
        <x:f>IF(L19=0,"",I19/L19)</x:f>
        <x:v>1.0530703669884995</x:v>
      </x:c>
      <x:c r="O19" s="34" t="n">
        <x:f>IF(L19=0,"",M19/L19)</x:f>
        <x:v>0.0530703669884996</x:v>
      </x:c>
    </x:row>
    <x:row r="20" ht="18" customHeight="1">
      <x:c r="A20" s="24" t="str">
        <x:v>Small reef assoc. fish (&lt;30 cm)</x:v>
      </x:c>
      <x:c r="B20" s="33" t="n">
        <x:v>6</x:v>
      </x:c>
      <x:c r="C20" s="33" t="n">
        <x:v>6</x:v>
      </x:c>
      <x:c r="D20" s="31" t="n">
        <x:v>10064.564002886</x:v>
      </x:c>
      <x:c r="E20" s="31" t="n">
        <x:v>10064.564002886</x:v>
      </x:c>
      <x:c r="F20" s="32" t="n">
        <x:v>0</x:v>
      </x:c>
      <x:c r="G20" s="34" t="n">
        <x:v>1</x:v>
      </x:c>
      <x:c r="H20" s="32" t="n">
        <x:f>IF(E20=0,"",I20/E20)</x:f>
        <x:v>330.3034989972608</x:v>
      </x:c>
      <x:c r="I20" s="31" t="n">
        <x:f>IF(C20=0,"",SUMIF('Species'!$G$2:$G$143,A20,'Species'!$U$2:$U$143))</x:f>
        <x:v>3324360.706035123</x:v>
      </x:c>
      <x:c r="J20" s="32" t="n">
        <x:v>3.498935703734871</x:v>
      </x:c>
      <x:c r="K20" s="32" t="n">
        <x:f>IF(J20="","",(1/'Metadata'!$B$5)^(J20-1))</x:f>
        <x:v>315.4537567018078</x:v>
      </x:c>
      <x:c r="L20" s="31" t="n">
        <x:f>IF(E20=0,"",E20*K20)</x:f>
        <x:v>3174904.5242761727</x:v>
      </x:c>
      <x:c r="M20" s="31" t="n">
        <x:f>IF(E20=0,"",I20-L20)</x:f>
        <x:v>149456.18175895046</x:v>
      </x:c>
      <x:c r="N20" s="32" t="n">
        <x:f>IF(L20=0,"",I20/L20)</x:f>
        <x:v>1.047074228725988</x:v>
      </x:c>
      <x:c r="O20" s="34" t="n">
        <x:f>IF(L20=0,"",M20/L20)</x:f>
        <x:v>0.04707422872598793</x:v>
      </x:c>
    </x:row>
    <x:row r="21" ht="18" customHeight="1">
      <x:c r="A21" s="24" t="str">
        <x:v>Small to medium flatfishes (&lt;90 cm)</x:v>
      </x:c>
      <x:c r="B21" s="33" t="n">
        <x:v>5</x:v>
      </x:c>
      <x:c r="C21" s="33" t="n">
        <x:v>5</x:v>
      </x:c>
      <x:c r="D21" s="31" t="n">
        <x:v>1600.043468806</x:v>
      </x:c>
      <x:c r="E21" s="31" t="n">
        <x:v>1600.043468806</x:v>
      </x:c>
      <x:c r="F21" s="32" t="n">
        <x:v>0</x:v>
      </x:c>
      <x:c r="G21" s="34" t="n">
        <x:v>1</x:v>
      </x:c>
      <x:c r="H21" s="32" t="n">
        <x:f>IF(E21=0,"",I21/E21)</x:f>
        <x:v>595.6684060440185</x:v>
      </x:c>
      <x:c r="I21" s="31" t="n">
        <x:f>IF(C21=0,"",SUMIF('Species'!$G$2:$G$143,A21,'Species'!$U$2:$U$143))</x:f>
        <x:v>953095.3426648123</x:v>
      </x:c>
      <x:c r="J21" s="32" t="n">
        <x:v>3.67441899313746</x:v>
      </x:c>
      <x:c r="K21" s="32" t="n">
        <x:f>IF(J21="","",(1/'Metadata'!$B$5)^(J21-1))</x:f>
        <x:v>472.5186920372207</x:v>
      </x:c>
      <x:c r="L21" s="31" t="n">
        <x:f>IF(E21=0,"",E21*K21)</x:f>
        <x:v>756050.4470829087</x:v>
      </x:c>
      <x:c r="M21" s="31" t="n">
        <x:f>IF(E21=0,"",I21-L21)</x:f>
        <x:v>197044.89558190363</x:v>
      </x:c>
      <x:c r="N21" s="32" t="n">
        <x:f>IF(L21=0,"",I21/L21)</x:f>
        <x:v>1.2606240051072883</x:v>
      </x:c>
      <x:c r="O21" s="34" t="n">
        <x:f>IF(L21=0,"",M21/L21)</x:f>
        <x:v>0.26062400510728834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920226b0ba342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EEZ_463</x:v>
      </x:c>
      <x:c r="B2" s="24" t="str">
        <x:v>raw_filtered_tonnes</x:v>
      </x:c>
      <x:c r="C2" s="24" t="n">
        <x:v>172418.003123827</x:v>
      </x:c>
      <x:c r="D2" s="24" t="str">
        <x:v>tonnes</x:v>
      </x:c>
    </x:row>
    <x:row r="3" ht="18" customHeight="1">
      <x:c r="A3" s="24" t="str">
        <x:v>EEZ_463</x:v>
      </x:c>
      <x:c r="B3" s="24" t="str">
        <x:v>species_catch_tonnes</x:v>
      </x:c>
      <x:c r="C3" s="24" t="n">
        <x:v>172418.003123827</x:v>
      </x:c>
      <x:c r="D3" s="24" t="str">
        <x:v>tonnes</x:v>
      </x:c>
    </x:row>
    <x:row r="4" ht="18" customHeight="1">
      <x:c r="A4" s="24" t="str">
        <x:v>EEZ_463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EEZ_463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EEZ_463</x:v>
      </x:c>
      <x:c r="B6" s="24" t="str">
        <x:v>matched_catch_tonnes</x:v>
      </x:c>
      <x:c r="C6" s="24" t="n">
        <x:v>172418.003123827</x:v>
      </x:c>
      <x:c r="D6" s="24" t="str">
        <x:v>tonnes</x:v>
      </x:c>
    </x:row>
    <x:row r="7" ht="18" customHeight="1">
      <x:c r="A7" s="24" t="str">
        <x:v>EEZ_463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EEZ_463</x:v>
      </x:c>
      <x:c r="B8" s="24" t="str">
        <x:v>taxa_count</x:v>
      </x:c>
      <x:c r="C8" s="24" t="n">
        <x:v>142</x:v>
      </x:c>
      <x:c r="D8" s="24" t="str">
        <x:v>count</x:v>
      </x:c>
    </x:row>
    <x:row r="9" ht="18" customHeight="1">
      <x:c r="A9" s="24" t="str">
        <x:v>EEZ_463</x:v>
      </x:c>
      <x:c r="B9" s="24" t="str">
        <x:v>matched_taxa_count</x:v>
      </x:c>
      <x:c r="C9" s="24" t="n">
        <x:v>142</x:v>
      </x:c>
      <x:c r="D9" s="24" t="str">
        <x:v>count</x:v>
      </x:c>
    </x:row>
    <x:row r="10" ht="18" customHeight="1">
      <x:c r="A10" s="24" t="str">
        <x:v>EEZ_463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EEZ_463</x:v>
      </x:c>
      <x:c r="B11" s="24" t="str">
        <x:v>species_ppr</x:v>
      </x:c>
      <x:c r="C11" s="24" t="n">
        <x:v>142871346.13405973</x:v>
      </x:c>
      <x:c r="D11" s="24" t="str">
        <x:v>tonnes_primary_production_equivalent</x:v>
      </x:c>
    </x:row>
    <x:row r="12" ht="18" customHeight="1">
      <x:c r="A12" s="24" t="str">
        <x:v>EEZ_463</x:v>
      </x:c>
      <x:c r="B12" s="24" t="str">
        <x:v>commercial_ppr</x:v>
      </x:c>
      <x:c r="C12" s="24" t="n">
        <x:v>142871346.1340597</x:v>
      </x:c>
      <x:c r="D12" s="24" t="str">
        <x:v>tonnes_primary_production_equivalent</x:v>
      </x:c>
    </x:row>
    <x:row r="13" ht="18" customHeight="1">
      <x:c r="A13" s="24" t="str">
        <x:v>EEZ_463</x:v>
      </x:c>
      <x:c r="B13" s="24" t="str">
        <x:v>functional_ppr</x:v>
      </x:c>
      <x:c r="C13" s="24" t="n">
        <x:v>142871346.13405973</x:v>
      </x:c>
      <x:c r="D13" s="24" t="str">
        <x:v>tonnes_primary_production_equivalent</x:v>
      </x:c>
    </x:row>
    <x:row r="14" ht="18" customHeight="1">
      <x:c r="A14" s="24" t="str">
        <x:v>EEZ_463</x:v>
      </x:c>
      <x:c r="B14" s="24" t="str">
        <x:v>commercial_ppr_difference</x:v>
      </x:c>
      <x:c r="C14" s="24" t="n">
        <x:v>-2.9802322387695312e-8</x:v>
      </x:c>
      <x:c r="D14" s="24" t="str">
        <x:v>tonnes_primary_production_equivalent</x:v>
      </x:c>
    </x:row>
    <x:row r="15" ht="18" customHeight="1">
      <x:c r="A15" s="24" t="str">
        <x:v>EEZ_463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EEZ_463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EEZ_463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EEZ_463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EEZ_463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f15aff52e764a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EEZ_463 - Malaysia (Sarawak)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EEZ_463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raw_data/SAU_downloads/EEZ_463-catch.zip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