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3623059c3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b623730b29c4c86"/>
    <x:sheet xmlns:r="http://schemas.openxmlformats.org/officeDocument/2006/relationships" name="Commercial" sheetId="2" r:id="R53491f4264514bff"/>
    <x:sheet xmlns:r="http://schemas.openxmlformats.org/officeDocument/2006/relationships" name="Functional" sheetId="3" r:id="Rff5c77f7c05f40b1"/>
    <x:sheet xmlns:r="http://schemas.openxmlformats.org/officeDocument/2006/relationships" name="Missing TL" sheetId="4" r:id="Ra4a6e88623da4ff4"/>
    <x:sheet xmlns:r="http://schemas.openxmlformats.org/officeDocument/2006/relationships" name="Validation" sheetId="5" r:id="R3982b3aff2ed436d"/>
    <x:sheet xmlns:r="http://schemas.openxmlformats.org/officeDocument/2006/relationships" name="Metadata" sheetId="6" r:id="R4efc1d25e8d8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855c8820a423e" /><Relationship Type="http://schemas.openxmlformats.org/officeDocument/2006/relationships/theme" Target="/xl/theme/theme1.xml" Id="Rfb5f568cae9e471f" /><Relationship Type="http://schemas.microsoft.com/office/2022/11/relationships/FeaturePropertyBag" Target="/xl/featurePropertyBag/featurePropertyBag.xml" Id="R530237f4ff784e92" /><Relationship Type="http://schemas.openxmlformats.org/officeDocument/2006/relationships/sharedStrings" Target="/xl/sharedStrings.xml" Id="R7f70545c5c0b493b" /><Relationship Type="http://schemas.openxmlformats.org/officeDocument/2006/relationships/worksheet" Target="/xl/worksheets/sheet1.xml" Id="R6b623730b29c4c86" /><Relationship Type="http://schemas.openxmlformats.org/officeDocument/2006/relationships/worksheet" Target="/xl/worksheets/sheet2.xml" Id="R53491f4264514bff" /><Relationship Type="http://schemas.openxmlformats.org/officeDocument/2006/relationships/worksheet" Target="/xl/worksheets/sheet3.xml" Id="Rff5c77f7c05f40b1" /><Relationship Type="http://schemas.openxmlformats.org/officeDocument/2006/relationships/worksheet" Target="/xl/worksheets/sheet4.xml" Id="Ra4a6e88623da4ff4" /><Relationship Type="http://schemas.openxmlformats.org/officeDocument/2006/relationships/worksheet" Target="/xl/worksheets/sheet5.xml" Id="R3982b3aff2ed436d" /><Relationship Type="http://schemas.openxmlformats.org/officeDocument/2006/relationships/worksheet" Target="/xl/worksheets/sheet6.xml" Id="R4efc1d25e8d842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3SpeciesTable" displayName="EEZ923SpeciesTable" ref="A1:U153" headerRowCount="1" totalsRowCount="0" totalsRowShown="0">
  <x:autoFilter ref="A1:U15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3CommercialTable" displayName="EEZ923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3FunctionalTable" displayName="EEZ923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3ValidationTable" displayName="EEZ92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8943d3383342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f202371b784f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4355777e1543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8aab0fefe049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EEZ_923</x:v>
      </x:c>
      <x:c r="B2" s="24" t="str">
        <x:v>Iran (Sea of Oman)</x:v>
      </x:c>
      <x:c r="C2" s="24" t="str">
        <x:v>EEZ</x:v>
      </x:c>
      <x:c r="D2" s="30" t="n">
        <x:v>2019</x:v>
      </x:c>
      <x:c r="E2" s="24" t="str">
        <x:v>Sardinella longiceps</x:v>
      </x:c>
      <x:c r="F2" s="24" t="str">
        <x:v>Indian oil sardine</x:v>
      </x:c>
      <x:c r="G2" s="24" t="str">
        <x:v>Small pelagics (&lt;30 cm)</x:v>
      </x:c>
      <x:c r="H2" s="24" t="str">
        <x:v>Herring-likes</x:v>
      </x:c>
      <x:c r="I2" s="31" t="n">
        <x:v>63520.5862291695</x:v>
      </x:c>
      <x:c r="J2" s="31" t="n">
        <x:v>63520.4941269207</x:v>
      </x:c>
      <x:c r="K2" s="31" t="n">
        <x:v>0.0921022488</x:v>
      </x:c>
      <x:c r="L2" s="31" t="n">
        <x:v>63409.429635840504</x:v>
      </x:c>
      <x:c r="M2" s="31" t="n">
        <x:v>111.156593329</x:v>
      </x:c>
      <x:c r="N2" s="24" t="str">
        <x:v>sardinella longiceps</x:v>
      </x:c>
      <x:c r="O2" s="32" t="n">
        <x:v>2.41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longiceps</x:v>
      </x:c>
      <x:c r="T2" s="32" t="n">
        <x:f>IF(O2="","",(1/'Metadata'!$B$5)^(O2-1))</x:f>
        <x:v>25.703957827688647</x:v>
      </x:c>
      <x:c r="U2" s="31" t="n">
        <x:f>IF(T2="","",I2*T2)</x:f>
        <x:v>1632730.4696246332</x:v>
      </x:c>
    </x:row>
    <x:row r="3" ht="18" customHeight="1">
      <x:c r="A3" s="24" t="str">
        <x:v>EEZ_923</x:v>
      </x:c>
      <x:c r="B3" s="24" t="str">
        <x:v>Iran (Sea of Oman)</x:v>
      </x:c>
      <x:c r="C3" s="24" t="str">
        <x:v>EEZ</x:v>
      </x:c>
      <x:c r="D3" s="30" t="n">
        <x:v>2019</x:v>
      </x:c>
      <x:c r="E3" s="24" t="str">
        <x:v>Marine pelagic fishes not identified</x:v>
      </x:c>
      <x:c r="F3" s="24" t="str">
        <x:v>Pelagic fishes</x:v>
      </x:c>
      <x:c r="G3" s="24" t="str">
        <x:v>Medium pelagics (30 - 89 cm)</x:v>
      </x:c>
      <x:c r="H3" s="24" t="str">
        <x:v>Other fishes &amp; inverts</x:v>
      </x:c>
      <x:c r="I3" s="31" t="n">
        <x:v>44181.199946048495</x:v>
      </x:c>
      <x:c r="J3" s="31" t="n">
        <x:v>44181.199946048495</x:v>
      </x:c>
      <x:c r="K3" s="31" t="n">
        <x:v>0</x:v>
      </x:c>
      <x:c r="L3" s="31" t="n">
        <x:v>44181.199946048495</x:v>
      </x:c>
      <x:c r="M3" s="31" t="n">
        <x:v>0</x:v>
      </x:c>
      <x:c r="N3" s="24" t="str">
        <x:v>marine pelagic fishes not identified</x:v>
      </x:c>
      <x:c r="O3" s="32" t="n">
        <x:v>3.35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pelagic fishes not identified</x:v>
      </x:c>
      <x:c r="T3" s="32" t="n">
        <x:f>IF(O3="","",(1/'Metadata'!$B$5)^(O3-1))</x:f>
        <x:v>223.872113856834</x:v>
      </x:c>
      <x:c r="U3" s="31" t="n">
        <x:f>IF(T3="","",I3*T3)</x:f>
        <x:v>9890938.624653317</x:v>
      </x:c>
    </x:row>
    <x:row r="4" ht="18" customHeight="1">
      <x:c r="A4" s="24" t="str">
        <x:v>EEZ_923</x:v>
      </x:c>
      <x:c r="B4" s="24" t="str">
        <x:v>Iran (Sea of Oman)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28749.083180515398</x:v>
      </x:c>
      <x:c r="J4" s="31" t="n">
        <x:v>28749.083180515398</x:v>
      </x:c>
      <x:c r="K4" s="31" t="n">
        <x:v>0</x:v>
      </x:c>
      <x:c r="L4" s="31" t="n">
        <x:v>28749.083180515398</x:v>
      </x:c>
      <x:c r="M4" s="31" t="n">
        <x:v>0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73896522.16566807</x:v>
      </x:c>
    </x:row>
    <x:row r="5" ht="18" customHeight="1">
      <x:c r="A5" s="24" t="str">
        <x:v>EEZ_923</x:v>
      </x:c>
      <x:c r="B5" s="24" t="str">
        <x:v>Iran (Sea of Oman)</x:v>
      </x:c>
      <x:c r="C5" s="24" t="str">
        <x:v>EEZ</x:v>
      </x:c>
      <x:c r="D5" s="30" t="n">
        <x:v>2019</x:v>
      </x:c>
      <x:c r="E5" s="24" t="str">
        <x:v>Katsuwonus pelamis</x:v>
      </x:c>
      <x:c r="F5" s="24" t="str">
        <x:v>Skipjack tuna</x:v>
      </x:c>
      <x:c r="G5" s="24" t="str">
        <x:v>Large pelagics (&gt;=90 cm)</x:v>
      </x:c>
      <x:c r="H5" s="24" t="str">
        <x:v>Tuna &amp; billfishes</x:v>
      </x:c>
      <x:c r="I5" s="31" t="n">
        <x:v>25273.4552525037</x:v>
      </x:c>
      <x:c r="J5" s="31" t="n">
        <x:v>25273.4552525037</x:v>
      </x:c>
      <x:c r="K5" s="31" t="n">
        <x:v>0</x:v>
      </x:c>
      <x:c r="L5" s="31" t="n">
        <x:v>25273.4552525037</x:v>
      </x:c>
      <x:c r="M5" s="31" t="n">
        <x:v>0</x:v>
      </x:c>
      <x:c r="N5" s="24" t="str">
        <x:v>katsuwonus pelamis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Katsuwonus pelamis</x:v>
      </x:c>
      <x:c r="T5" s="32" t="n">
        <x:f>IF(O5="","",(1/'Metadata'!$B$5)^(O5-1))</x:f>
        <x:v>2691.534803926914</x:v>
      </x:c>
      <x:c r="U5" s="31" t="n">
        <x:f>IF(T5="","",I5*T5)</x:f>
        <x:v>68024384.42760317</x:v>
      </x:c>
    </x:row>
    <x:row r="6" ht="18" customHeight="1">
      <x:c r="A6" s="24" t="str">
        <x:v>EEZ_923</x:v>
      </x:c>
      <x:c r="B6" s="24" t="str">
        <x:v>Iran (Sea of Oman)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19167.5873922151</x:v>
      </x:c>
      <x:c r="J6" s="31" t="n">
        <x:v>13312.3228233011</x:v>
      </x:c>
      <x:c r="K6" s="31" t="n">
        <x:v>5855.264568914</x:v>
      </x:c>
      <x:c r="L6" s="31" t="n">
        <x:v>11548.3231861314</x:v>
      </x:c>
      <x:c r="M6" s="31" t="n">
        <x:v>7619.264206083701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3652308.4833993455</x:v>
      </x:c>
    </x:row>
    <x:row r="7" ht="18" customHeight="1">
      <x:c r="A7" s="24" t="str">
        <x:v>EEZ_923</x:v>
      </x:c>
      <x:c r="B7" s="24" t="str">
        <x:v>Iran (Sea of Oman)</x:v>
      </x:c>
      <x:c r="C7" s="24" t="str">
        <x:v>EEZ</x:v>
      </x:c>
      <x:c r="D7" s="30" t="n">
        <x:v>2019</x:v>
      </x:c>
      <x:c r="E7" s="24" t="str">
        <x:v>Trichiurus lepturus</x:v>
      </x:c>
      <x:c r="F7" s="24" t="str">
        <x:v>Largehead hairtail</x:v>
      </x:c>
      <x:c r="G7" s="24" t="str">
        <x:v>Large benthopelagics (&gt;=90 cm)</x:v>
      </x:c>
      <x:c r="H7" s="24" t="str">
        <x:v>Perch-likes</x:v>
      </x:c>
      <x:c r="I7" s="31" t="n">
        <x:v>19053.5376739546</x:v>
      </x:c>
      <x:c r="J7" s="31" t="n">
        <x:v>19053.5376739546</x:v>
      </x:c>
      <x:c r="K7" s="31" t="n">
        <x:v>0</x:v>
      </x:c>
      <x:c r="L7" s="31" t="n">
        <x:v>18873.6292711639</x:v>
      </x:c>
      <x:c r="M7" s="31" t="n">
        <x:v>179.9084027907</x:v>
      </x:c>
      <x:c r="N7" s="24" t="str">
        <x:v>trichiurus lepturus</x:v>
      </x:c>
      <x:c r="O7" s="32" t="n">
        <x:v>4.42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Trichiurus lepturus</x:v>
      </x:c>
      <x:c r="T7" s="32" t="n">
        <x:f>IF(O7="","",(1/'Metadata'!$B$5)^(O7-1))</x:f>
        <x:v>2630.2679918953813</x:v>
      </x:c>
      <x:c r="U7" s="31" t="n">
        <x:f>IF(T7="","",I7*T7)</x:f>
        <x:v>50115910.276175566</x:v>
      </x:c>
    </x:row>
    <x:row r="8" ht="18" customHeight="1">
      <x:c r="A8" s="24" t="str">
        <x:v>EEZ_923</x:v>
      </x:c>
      <x:c r="B8" s="24" t="str">
        <x:v>Iran (Sea of Oman)</x:v>
      </x:c>
      <x:c r="C8" s="24" t="str">
        <x:v>EEZ</x:v>
      </x:c>
      <x:c r="D8" s="30" t="n">
        <x:v>2019</x:v>
      </x:c>
      <x:c r="E8" s="24" t="str">
        <x:v>Scomberoides commersonnianus</x:v>
      </x:c>
      <x:c r="F8" s="24" t="str">
        <x:v>Talang queenfish</x:v>
      </x:c>
      <x:c r="G8" s="24" t="str">
        <x:v>Large reef assoc. fish (&gt;=90 cm)</x:v>
      </x:c>
      <x:c r="H8" s="24" t="str">
        <x:v>Perch-likes</x:v>
      </x:c>
      <x:c r="I8" s="31" t="n">
        <x:v>13567.9956978113</x:v>
      </x:c>
      <x:c r="J8" s="31" t="n">
        <x:v>13567.9956978113</x:v>
      </x:c>
      <x:c r="K8" s="31" t="n">
        <x:v>0</x:v>
      </x:c>
      <x:c r="L8" s="31" t="n">
        <x:v>13505.2861111708</x:v>
      </x:c>
      <x:c r="M8" s="31" t="n">
        <x:v>62.7095866405</x:v>
      </x:c>
      <x:c r="N8" s="24" t="str">
        <x:v>scomberoides commersonnianus</x:v>
      </x:c>
      <x:c r="O8" s="32" t="n">
        <x:v>4.48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Scomberoides commersonnianus</x:v>
      </x:c>
      <x:c r="T8" s="32" t="n">
        <x:f>IF(O8="","",(1/'Metadata'!$B$5)^(O8-1))</x:f>
        <x:v>3019.951720402019</x:v>
      </x:c>
      <x:c r="U8" s="31" t="n">
        <x:f>IF(T8="","",I8*T8)</x:f>
        <x:v>40974691.95001243</x:v>
      </x:c>
    </x:row>
    <x:row r="9" ht="18" customHeight="1">
      <x:c r="A9" s="24" t="str">
        <x:v>EEZ_923</x:v>
      </x:c>
      <x:c r="B9" s="24" t="str">
        <x:v>Iran (Sea of Oman)</x:v>
      </x:c>
      <x:c r="C9" s="24" t="str">
        <x:v>EEZ</x:v>
      </x:c>
      <x:c r="D9" s="30" t="n">
        <x:v>2019</x:v>
      </x:c>
      <x:c r="E9" s="24" t="str">
        <x:v>Thunnus tonggol</x:v>
      </x:c>
      <x:c r="F9" s="24" t="str">
        <x:v>Longtail tuna</x:v>
      </x:c>
      <x:c r="G9" s="24" t="str">
        <x:v>Large pelagics (&gt;=90 cm)</x:v>
      </x:c>
      <x:c r="H9" s="24" t="str">
        <x:v>Tuna &amp; billfishes</x:v>
      </x:c>
      <x:c r="I9" s="31" t="n">
        <x:v>12228.6011112038</x:v>
      </x:c>
      <x:c r="J9" s="31" t="n">
        <x:v>12228.6011112038</x:v>
      </x:c>
      <x:c r="K9" s="31" t="n">
        <x:v>0</x:v>
      </x:c>
      <x:c r="L9" s="31" t="n">
        <x:v>12228.6011112038</x:v>
      </x:c>
      <x:c r="M9" s="31" t="n">
        <x:v>0</x:v>
      </x:c>
      <x:c r="N9" s="24" t="str">
        <x:v>thunnus tonggol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tonggol</x:v>
      </x:c>
      <x:c r="T9" s="32" t="n">
        <x:f>IF(O9="","",(1/'Metadata'!$B$5)^(O9-1))</x:f>
        <x:v>3162.2776601683795</x:v>
      </x:c>
      <x:c r="U9" s="31" t="n">
        <x:f>IF(T9="","",I9*T9)</x:f>
        <x:v>38670232.109069996</x:v>
      </x:c>
    </x:row>
    <x:row r="10" ht="18" customHeight="1">
      <x:c r="A10" s="24" t="str">
        <x:v>EEZ_923</x:v>
      </x:c>
      <x:c r="B10" s="24" t="str">
        <x:v>Iran (Sea of Oman)</x:v>
      </x:c>
      <x:c r="C10" s="24" t="str">
        <x:v>EEZ</x:v>
      </x:c>
      <x:c r="D10" s="30" t="n">
        <x:v>2019</x:v>
      </x:c>
      <x:c r="E10" s="24" t="str">
        <x:v>Scomberomorus commerson</x:v>
      </x:c>
      <x:c r="F10" s="24" t="str">
        <x:v>Narrow-barred Spanish mackerel</x:v>
      </x:c>
      <x:c r="G10" s="24" t="str">
        <x:v>Large pelagics (&gt;=90 cm)</x:v>
      </x:c>
      <x:c r="H10" s="24" t="str">
        <x:v>Perch-likes</x:v>
      </x:c>
      <x:c r="I10" s="31" t="n">
        <x:v>10235.6341574962</x:v>
      </x:c>
      <x:c r="J10" s="31" t="n">
        <x:v>10235.6341574962</x:v>
      </x:c>
      <x:c r="K10" s="31" t="n">
        <x:v>0</x:v>
      </x:c>
      <x:c r="L10" s="31" t="n">
        <x:v>10081.4437318207</x:v>
      </x:c>
      <x:c r="M10" s="31" t="n">
        <x:v>154.1904256755</x:v>
      </x:c>
      <x:c r="N10" s="24" t="str">
        <x:v>scomberomorus commerson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Scomberomorus commerson</x:v>
      </x:c>
      <x:c r="T10" s="32" t="n">
        <x:f>IF(O10="","",(1/'Metadata'!$B$5)^(O10-1))</x:f>
        <x:v>3162.2776601683795</x:v>
      </x:c>
      <x:c r="U10" s="31" t="n">
        <x:f>IF(T10="","",I10*T10)</x:f>
        <x:v>32367917.233906627</x:v>
      </x:c>
    </x:row>
    <x:row r="11" ht="18" customHeight="1">
      <x:c r="A11" s="24" t="str">
        <x:v>EEZ_923</x:v>
      </x:c>
      <x:c r="B11" s="24" t="str">
        <x:v>Iran (Sea of Oman)</x:v>
      </x:c>
      <x:c r="C11" s="24" t="str">
        <x:v>EEZ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8567.1869243052</x:v>
      </x:c>
      <x:c r="J11" s="31" t="n">
        <x:v>8567.1869243052</x:v>
      </x:c>
      <x:c r="K11" s="31" t="n">
        <x:v>0</x:v>
      </x:c>
      <x:c r="L11" s="31" t="n">
        <x:v>8567.1869243052</x:v>
      </x:c>
      <x:c r="M11" s="31" t="n">
        <x:v>0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20083446.454188313</x:v>
      </x:c>
    </x:row>
    <x:row r="12" ht="18" customHeight="1">
      <x:c r="A12" s="24" t="str">
        <x:v>EEZ_923</x:v>
      </x:c>
      <x:c r="B12" s="24" t="str">
        <x:v>Iran (Sea of Oman)</x:v>
      </x:c>
      <x:c r="C12" s="24" t="str">
        <x:v>EEZ</x:v>
      </x:c>
      <x:c r="D12" s="30" t="n">
        <x:v>2019</x:v>
      </x:c>
      <x:c r="E12" s="24" t="str">
        <x:v>Istiophorus platypterus</x:v>
      </x:c>
      <x:c r="F12" s="24" t="str">
        <x:v>Indo-Pacific sailfish</x:v>
      </x:c>
      <x:c r="G12" s="24" t="str">
        <x:v>Large pelagics (&gt;=90 cm)</x:v>
      </x:c>
      <x:c r="H12" s="24" t="str">
        <x:v>Tuna &amp; billfishes</x:v>
      </x:c>
      <x:c r="I12" s="31" t="n">
        <x:v>7321.3376994986</x:v>
      </x:c>
      <x:c r="J12" s="31" t="n">
        <x:v>7321.3376994986</x:v>
      </x:c>
      <x:c r="K12" s="31" t="n">
        <x:v>0</x:v>
      </x:c>
      <x:c r="L12" s="31" t="n">
        <x:v>7321.3376994986</x:v>
      </x:c>
      <x:c r="M12" s="31" t="n">
        <x:v>0</x:v>
      </x:c>
      <x:c r="N12" s="24" t="str">
        <x:v>istiophorus platypterus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Istiophorus platypterus</x:v>
      </x:c>
      <x:c r="T12" s="32" t="n">
        <x:f>IF(O12="","",(1/'Metadata'!$B$5)^(O12-1))</x:f>
        <x:v>3162.2776601683795</x:v>
      </x:c>
      <x:c r="U12" s="31" t="n">
        <x:f>IF(T12="","",I12*T12)</x:f>
        <x:v>23152102.64967298</x:v>
      </x:c>
    </x:row>
    <x:row r="13" ht="18" customHeight="1">
      <x:c r="A13" s="24" t="str">
        <x:v>EEZ_923</x:v>
      </x:c>
      <x:c r="B13" s="24" t="str">
        <x:v>Iran (Sea of Oman)</x:v>
      </x:c>
      <x:c r="C13" s="24" t="str">
        <x:v>EEZ</x:v>
      </x:c>
      <x:c r="D13" s="30" t="n">
        <x:v>2019</x:v>
      </x:c>
      <x:c r="E13" s="24" t="str">
        <x:v>Caranx ignobilis</x:v>
      </x:c>
      <x:c r="F13" s="24" t="str">
        <x:v>Giant trevally</x:v>
      </x:c>
      <x:c r="G13" s="24" t="str">
        <x:v>Large reef assoc. fish (&gt;=90 cm)</x:v>
      </x:c>
      <x:c r="H13" s="24" t="str">
        <x:v>Perch-likes</x:v>
      </x:c>
      <x:c r="I13" s="31" t="n">
        <x:v>6820.6692683712</x:v>
      </x:c>
      <x:c r="J13" s="31" t="n">
        <x:v>6820.6692683712</x:v>
      </x:c>
      <x:c r="K13" s="31" t="n">
        <x:v>0</x:v>
      </x:c>
      <x:c r="L13" s="31" t="n">
        <x:v>6820.6692683712</x:v>
      </x:c>
      <x:c r="M13" s="31" t="n">
        <x:v>0</x:v>
      </x:c>
      <x:c r="N13" s="24" t="str">
        <x:v>caranx ignobilis</x:v>
      </x:c>
      <x:c r="O13" s="32" t="n">
        <x:v>4.22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Caranx ignobilis</x:v>
      </x:c>
      <x:c r="T13" s="32" t="n">
        <x:f>IF(O13="","",(1/'Metadata'!$B$5)^(O13-1))</x:f>
        <x:v>1659.5869074375596</x:v>
      </x:c>
      <x:c r="U13" s="31" t="n">
        <x:f>IF(T13="","",I13*T13)</x:f>
        <x:v>11319493.417750562</x:v>
      </x:c>
    </x:row>
    <x:row r="14" ht="18" customHeight="1">
      <x:c r="A14" s="24" t="str">
        <x:v>EEZ_923</x:v>
      </x:c>
      <x:c r="B14" s="24" t="str">
        <x:v>Iran (Sea of Oman)</x:v>
      </x:c>
      <x:c r="C14" s="24" t="str">
        <x:v>EEZ</x:v>
      </x:c>
      <x:c r="D14" s="30" t="n">
        <x:v>2019</x:v>
      </x:c>
      <x:c r="E14" s="24" t="str">
        <x:v>Ariidae</x:v>
      </x:c>
      <x:c r="F14" s="24" t="str">
        <x:v>Sea catfishes, coblers</x:v>
      </x:c>
      <x:c r="G14" s="24" t="str">
        <x:v>Medium demersals (30 - 89 cm)</x:v>
      </x:c>
      <x:c r="H14" s="24" t="str">
        <x:v>Other fishes &amp; inverts</x:v>
      </x:c>
      <x:c r="I14" s="31" t="n">
        <x:v>6061.4556148394</x:v>
      </x:c>
      <x:c r="J14" s="31" t="n">
        <x:v>6061.4556148394</x:v>
      </x:c>
      <x:c r="K14" s="31" t="n">
        <x:v>0</x:v>
      </x:c>
      <x:c r="L14" s="31" t="n">
        <x:v>5578.3334437718</x:v>
      </x:c>
      <x:c r="M14" s="31" t="n">
        <x:v>483.12217106760005</x:v>
      </x:c>
      <x:c r="N14" s="24" t="str">
        <x:v>ariidae</x:v>
      </x:c>
      <x:c r="O14" s="32" t="n">
        <x:v>3.48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Ariidae</x:v>
      </x:c>
      <x:c r="T14" s="32" t="n">
        <x:f>IF(O14="","",(1/'Metadata'!$B$5)^(O14-1))</x:f>
        <x:v>301.9951720402016</x:v>
      </x:c>
      <x:c r="U14" s="31" t="n">
        <x:f>IF(T14="","",I14*T14)</x:f>
        <x:v>1830530.3312174708</x:v>
      </x:c>
    </x:row>
    <x:row r="15" ht="18" customHeight="1">
      <x:c r="A15" s="24" t="str">
        <x:v>EEZ_923</x:v>
      </x:c>
      <x:c r="B15" s="24" t="str">
        <x:v>Iran (Sea of Oman)</x:v>
      </x:c>
      <x:c r="C15" s="24" t="str">
        <x:v>EEZ</x:v>
      </x:c>
      <x:c r="D15" s="30" t="n">
        <x:v>2019</x:v>
      </x:c>
      <x:c r="E15" s="24" t="str">
        <x:v>Sphyraena barracuda</x:v>
      </x:c>
      <x:c r="F15" s="24" t="str">
        <x:v>Great barracuda</x:v>
      </x:c>
      <x:c r="G15" s="24" t="str">
        <x:v>Large pelagics (&gt;=90 cm)</x:v>
      </x:c>
      <x:c r="H15" s="24" t="str">
        <x:v>Perch-likes</x:v>
      </x:c>
      <x:c r="I15" s="31" t="n">
        <x:v>5949.5035131889</x:v>
      </x:c>
      <x:c r="J15" s="31" t="n">
        <x:v>5949.4965677841</x:v>
      </x:c>
      <x:c r="K15" s="31" t="n">
        <x:v>0.0069454048</x:v>
      </x:c>
      <x:c r="L15" s="31" t="n">
        <x:v>5949.4965677841</x:v>
      </x:c>
      <x:c r="M15" s="31" t="n">
        <x:v>0.0069454048</x:v>
      </x:c>
      <x:c r="N15" s="24" t="str">
        <x:v>sphyraena barracuda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Sphyraena barracuda</x:v>
      </x:c>
      <x:c r="T15" s="32" t="n">
        <x:f>IF(O15="","",(1/'Metadata'!$B$5)^(O15-1))</x:f>
        <x:v>3090.295432513592</x:v>
      </x:c>
      <x:c r="U15" s="31" t="n">
        <x:f>IF(T15="","",I15*T15)</x:f>
        <x:v>18385723.532531228</x:v>
      </x:c>
    </x:row>
    <x:row r="16" ht="18" customHeight="1">
      <x:c r="A16" s="24" t="str">
        <x:v>EEZ_923</x:v>
      </x:c>
      <x:c r="B16" s="24" t="str">
        <x:v>Iran (Sea of Oman)</x:v>
      </x:c>
      <x:c r="C16" s="24" t="str">
        <x:v>EEZ</x:v>
      </x:c>
      <x:c r="D16" s="30" t="n">
        <x:v>2019</x:v>
      </x:c>
      <x:c r="E16" s="24" t="str">
        <x:v>Elasmobranchii</x:v>
      </x:c>
      <x:c r="F16" s="24" t="str">
        <x:v>Sharks, rays, skates</x:v>
      </x:c>
      <x:c r="G16" s="24" t="str">
        <x:v>Large sharks (&gt;=90 cm)</x:v>
      </x:c>
      <x:c r="H16" s="24" t="str">
        <x:v>Sharks &amp; rays</x:v>
      </x:c>
      <x:c r="I16" s="31" t="n">
        <x:v>5217.8269320384</x:v>
      </x:c>
      <x:c r="J16" s="31" t="n">
        <x:v>3755.8511534877002</x:v>
      </x:c>
      <x:c r="K16" s="31" t="n">
        <x:v>1461.9757785507</x:v>
      </x:c>
      <x:c r="L16" s="31" t="n">
        <x:v>3354.932559892</x:v>
      </x:c>
      <x:c r="M16" s="31" t="n">
        <x:v>1862.8943721464</x:v>
      </x:c>
      <x:c r="N16" s="24" t="str">
        <x:v>elasmobranchii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Elasmobranchii</x:v>
      </x:c>
      <x:c r="T16" s="32" t="n">
        <x:f>IF(O16="","",(1/'Metadata'!$B$5)^(O16-1))</x:f>
        <x:v>1122.018454301963</x:v>
      </x:c>
      <x:c r="U16" s="31" t="n">
        <x:f>IF(T16="","",I16*T16)</x:f>
        <x:v>5854498.109100879</x:v>
      </x:c>
    </x:row>
    <x:row r="17" ht="18" customHeight="1">
      <x:c r="A17" s="24" t="str">
        <x:v>EEZ_923</x:v>
      </x:c>
      <x:c r="B17" s="24" t="str">
        <x:v>Iran (Sea of Oman)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5123.2050562324</x:v>
      </x:c>
      <x:c r="J17" s="31" t="n">
        <x:v>5123.2050562324</x:v>
      </x:c>
      <x:c r="K17" s="31" t="n">
        <x:v>0</x:v>
      </x:c>
      <x:c r="L17" s="31" t="n">
        <x:v>5123.2050562324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16200996.897785407</x:v>
      </x:c>
    </x:row>
    <x:row r="18" ht="18" customHeight="1">
      <x:c r="A18" s="24" t="str">
        <x:v>EEZ_923</x:v>
      </x:c>
      <x:c r="B18" s="24" t="str">
        <x:v>Iran (Sea of Oman)</x:v>
      </x:c>
      <x:c r="C18" s="24" t="str">
        <x:v>EEZ</x:v>
      </x:c>
      <x:c r="D18" s="30" t="n">
        <x:v>2019</x:v>
      </x:c>
      <x:c r="E18" s="24" t="str">
        <x:v>Auxis thazard</x:v>
      </x:c>
      <x:c r="F18" s="24" t="str">
        <x:v>Frigate tuna</x:v>
      </x:c>
      <x:c r="G18" s="24" t="str">
        <x:v>Medium pelagics (30 - 89 cm)</x:v>
      </x:c>
      <x:c r="H18" s="24" t="str">
        <x:v>Tuna &amp; billfishes</x:v>
      </x:c>
      <x:c r="I18" s="31" t="n">
        <x:v>4830.6567887901</x:v>
      </x:c>
      <x:c r="J18" s="31" t="n">
        <x:v>4830.6567887901</x:v>
      </x:c>
      <x:c r="K18" s="31" t="n">
        <x:v>0</x:v>
      </x:c>
      <x:c r="L18" s="31" t="n">
        <x:v>4830.6567887901</x:v>
      </x:c>
      <x:c r="M18" s="31" t="n">
        <x:v>0</x:v>
      </x:c>
      <x:c r="N18" s="24" t="str">
        <x:v>auxis thazard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Auxis thazard</x:v>
      </x:c>
      <x:c r="T18" s="32" t="n">
        <x:f>IF(O18="","",(1/'Metadata'!$B$5)^(O18-1))</x:f>
        <x:v>2344.228815319923</x:v>
      </x:c>
      <x:c r="U18" s="31" t="n">
        <x:f>IF(T18="","",I18*T18)</x:f>
        <x:v>11324164.841202559</x:v>
      </x:c>
    </x:row>
    <x:row r="19" ht="18" customHeight="1">
      <x:c r="A19" s="24" t="str">
        <x:v>EEZ_923</x:v>
      </x:c>
      <x:c r="B19" s="24" t="str">
        <x:v>Iran (Sea of Oman)</x:v>
      </x:c>
      <x:c r="C19" s="24" t="str">
        <x:v>EEZ</x:v>
      </x:c>
      <x:c r="D19" s="30" t="n">
        <x:v>2019</x:v>
      </x:c>
      <x:c r="E19" s="24" t="str">
        <x:v>Parastromateus niger</x:v>
      </x:c>
      <x:c r="F19" s="24" t="str">
        <x:v>Black pomfret</x:v>
      </x:c>
      <x:c r="G19" s="24" t="str">
        <x:v>Medium benthopelagics (30 - 89 cm)</x:v>
      </x:c>
      <x:c r="H19" s="24" t="str">
        <x:v>Perch-likes</x:v>
      </x:c>
      <x:c r="I19" s="31" t="n">
        <x:v>4661.6507980138995</x:v>
      </x:c>
      <x:c r="J19" s="31" t="n">
        <x:v>4661.6507980138995</x:v>
      </x:c>
      <x:c r="K19" s="31" t="n">
        <x:v>0</x:v>
      </x:c>
      <x:c r="L19" s="31" t="n">
        <x:v>4580.5041231601</x:v>
      </x:c>
      <x:c r="M19" s="31" t="n">
        <x:v>81.14667485380001</x:v>
      </x:c>
      <x:c r="N19" s="24" t="str">
        <x:v>parastromateus niger</x:v>
      </x:c>
      <x:c r="O19" s="32" t="n">
        <x:v>2.93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Parastromateus niger</x:v>
      </x:c>
      <x:c r="T19" s="32" t="n">
        <x:f>IF(O19="","",(1/'Metadata'!$B$5)^(O19-1))</x:f>
        <x:v>85.11380382023768</x:v>
      </x:c>
      <x:c r="U19" s="31" t="n">
        <x:f>IF(T19="","",I19*T19)</x:f>
        <x:v>396770.83150060946</x:v>
      </x:c>
    </x:row>
    <x:row r="20" ht="18" customHeight="1">
      <x:c r="A20" s="24" t="str">
        <x:v>EEZ_923</x:v>
      </x:c>
      <x:c r="B20" s="24" t="str">
        <x:v>Iran (Sea of Oman)</x:v>
      </x:c>
      <x:c r="C20" s="24" t="str">
        <x:v>EEZ</x:v>
      </x:c>
      <x:c r="D20" s="30" t="n">
        <x:v>2019</x:v>
      </x:c>
      <x:c r="E20" s="24" t="str">
        <x:v>Scomberomorus guttatus</x:v>
      </x:c>
      <x:c r="F20" s="24" t="str">
        <x:v>Indo-Pacific king mackerel</x:v>
      </x:c>
      <x:c r="G20" s="24" t="str">
        <x:v>Medium pelagics (30 - 89 cm)</x:v>
      </x:c>
      <x:c r="H20" s="24" t="str">
        <x:v>Perch-likes</x:v>
      </x:c>
      <x:c r="I20" s="31" t="n">
        <x:v>4183.139919871501</x:v>
      </x:c>
      <x:c r="J20" s="31" t="n">
        <x:v>4183.139919871501</x:v>
      </x:c>
      <x:c r="K20" s="31" t="n">
        <x:v>0</x:v>
      </x:c>
      <x:c r="L20" s="31" t="n">
        <x:v>4008.3985998890003</x:v>
      </x:c>
      <x:c r="M20" s="31" t="n">
        <x:v>174.74131998250002</x:v>
      </x:c>
      <x:c r="N20" s="24" t="str">
        <x:v>scomberomorus guttatus</x:v>
      </x:c>
      <x:c r="O20" s="32" t="n">
        <x:v>4.28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Scomberomorus guttatus</x:v>
      </x:c>
      <x:c r="T20" s="32" t="n">
        <x:f>IF(O20="","",(1/'Metadata'!$B$5)^(O20-1))</x:f>
        <x:v>1905.4607179632483</x:v>
      </x:c>
      <x:c r="U20" s="31" t="n">
        <x:f>IF(T20="","",I20*T20)</x:f>
        <x:v>7970808.795059075</x:v>
      </x:c>
    </x:row>
    <x:row r="21" ht="18" customHeight="1">
      <x:c r="A21" s="24" t="str">
        <x:v>EEZ_923</x:v>
      </x:c>
      <x:c r="B21" s="24" t="str">
        <x:v>Iran (Sea of Oman)</x:v>
      </x:c>
      <x:c r="C21" s="24" t="str">
        <x:v>EEZ</x:v>
      </x:c>
      <x:c r="D21" s="30" t="n">
        <x:v>2019</x:v>
      </x:c>
      <x:c r="E21" s="24" t="str">
        <x:v>Penaeidae</x:v>
      </x:c>
      <x:c r="F21" s="24" t="str">
        <x:v>Commercial shrimps and prawns</x:v>
      </x:c>
      <x:c r="G21" s="24" t="str">
        <x:v>Shrimps</x:v>
      </x:c>
      <x:c r="H21" s="24" t="str">
        <x:v>Crustaceans</x:v>
      </x:c>
      <x:c r="I21" s="31" t="n">
        <x:v>3603.189155879</x:v>
      </x:c>
      <x:c r="J21" s="31" t="n">
        <x:v>3603.189155879</x:v>
      </x:c>
      <x:c r="K21" s="31" t="n">
        <x:v>0</x:v>
      </x:c>
      <x:c r="L21" s="31" t="n">
        <x:v>3603.189155879</x:v>
      </x:c>
      <x:c r="M21" s="31" t="n">
        <x:v>0</x:v>
      </x:c>
      <x:c r="N21" s="24" t="str">
        <x:v>penaeidae</x:v>
      </x:c>
      <x:c r="O21" s="32" t="n">
        <x:v>3.31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Penaeidae</x:v>
      </x:c>
      <x:c r="T21" s="32" t="n">
        <x:f>IF(O21="","",(1/'Metadata'!$B$5)^(O21-1))</x:f>
        <x:v>204.17379446695296</x:v>
      </x:c>
      <x:c r="U21" s="31" t="n">
        <x:f>IF(T21="","",I21*T21)</x:f>
        <x:v>735676.8021379926</x:v>
      </x:c>
    </x:row>
    <x:row r="22" ht="18" customHeight="1">
      <x:c r="A22" s="24" t="str">
        <x:v>EEZ_923</x:v>
      </x:c>
      <x:c r="B22" s="24" t="str">
        <x:v>Iran (Sea of Oman)</x:v>
      </x:c>
      <x:c r="C22" s="24" t="str">
        <x:v>EEZ</x:v>
      </x:c>
      <x:c r="D22" s="30" t="n">
        <x:v>2019</x:v>
      </x:c>
      <x:c r="E22" s="24" t="str">
        <x:v>Otolithes ruber</x:v>
      </x:c>
      <x:c r="F22" s="24" t="str">
        <x:v>Tigertooth croaker</x:v>
      </x:c>
      <x:c r="G22" s="24" t="str">
        <x:v>Medium benthopelagics (30 - 89 cm)</x:v>
      </x:c>
      <x:c r="H22" s="24" t="str">
        <x:v>Perch-likes</x:v>
      </x:c>
      <x:c r="I22" s="31" t="n">
        <x:v>3473.5013113876</x:v>
      </x:c>
      <x:c r="J22" s="31" t="n">
        <x:v>3473.2179404318</x:v>
      </x:c>
      <x:c r="K22" s="31" t="n">
        <x:v>0.2833709558</x:v>
      </x:c>
      <x:c r="L22" s="31" t="n">
        <x:v>3272.7586436441</x:v>
      </x:c>
      <x:c r="M22" s="31" t="n">
        <x:v>200.7426677435</x:v>
      </x:c>
      <x:c r="N22" s="24" t="str">
        <x:v>otolithes ruber</x:v>
      </x:c>
      <x:c r="O22" s="32" t="n">
        <x:v>3.6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Otolithes ruber</x:v>
      </x:c>
      <x:c r="T22" s="32" t="n">
        <x:f>IF(O22="","",(1/'Metadata'!$B$5)^(O22-1))</x:f>
        <x:v>398.1071705534973</x:v>
      </x:c>
      <x:c r="U22" s="31" t="n">
        <x:f>IF(T22="","",I22*T22)</x:f>
        <x:v>1382825.7789903798</x:v>
      </x:c>
    </x:row>
    <x:row r="23" ht="18" customHeight="1">
      <x:c r="A23" s="24" t="str">
        <x:v>EEZ_923</x:v>
      </x:c>
      <x:c r="B23" s="24" t="str">
        <x:v>Iran (Sea of Oman)</x:v>
      </x:c>
      <x:c r="C23" s="24" t="str">
        <x:v>EEZ</x:v>
      </x:c>
      <x:c r="D23" s="30" t="n">
        <x:v>2019</x:v>
      </x:c>
      <x:c r="E23" s="24" t="str">
        <x:v>Nemipterus japonicus</x:v>
      </x:c>
      <x:c r="F23" s="24" t="str">
        <x:v>Japanese threadfin bream</x:v>
      </x:c>
      <x:c r="G23" s="24" t="str">
        <x:v>Small demersals (&lt;30 cm)</x:v>
      </x:c>
      <x:c r="H23" s="24" t="str">
        <x:v>Perch-likes</x:v>
      </x:c>
      <x:c r="I23" s="31" t="n">
        <x:v>3310.311995979</x:v>
      </x:c>
      <x:c r="J23" s="31" t="n">
        <x:v>3309.9956467961</x:v>
      </x:c>
      <x:c r="K23" s="31" t="n">
        <x:v>0.3163491829</x:v>
      </x:c>
      <x:c r="L23" s="31" t="n">
        <x:v>3114.703432687</x:v>
      </x:c>
      <x:c r="M23" s="31" t="n">
        <x:v>195.60856329199999</x:v>
      </x:c>
      <x:c r="N23" s="24" t="str">
        <x:v>nemipterus japonicus</x:v>
      </x:c>
      <x:c r="O23" s="32" t="n">
        <x:v>3.77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Nemipterus japonicus</x:v>
      </x:c>
      <x:c r="T23" s="32" t="n">
        <x:f>IF(O23="","",(1/'Metadata'!$B$5)^(O23-1))</x:f>
        <x:v>588.843655355589</x:v>
      </x:c>
      <x:c r="U23" s="31" t="n">
        <x:f>IF(T23="","",I23*T23)</x:f>
        <x:v>1949256.2160797303</x:v>
      </x:c>
    </x:row>
    <x:row r="24" ht="18" customHeight="1">
      <x:c r="A24" s="24" t="str">
        <x:v>EEZ_923</x:v>
      </x:c>
      <x:c r="B24" s="24" t="str">
        <x:v>Iran (Sea of Oman)</x:v>
      </x:c>
      <x:c r="C24" s="24" t="str">
        <x:v>EEZ</x:v>
      </x:c>
      <x:c r="D24" s="30" t="n">
        <x:v>2019</x:v>
      </x:c>
      <x:c r="E24" s="24" t="str">
        <x:v>Pomadasys kaakan</x:v>
      </x:c>
      <x:c r="F24" s="24" t="str">
        <x:v>Javelin grunter</x:v>
      </x:c>
      <x:c r="G24" s="24" t="str">
        <x:v>Medium reef assoc. fish (30 - 89 cm)</x:v>
      </x:c>
      <x:c r="H24" s="24" t="str">
        <x:v>Perch-likes</x:v>
      </x:c>
      <x:c r="I24" s="31" t="n">
        <x:v>3274.7538750005</x:v>
      </x:c>
      <x:c r="J24" s="31" t="n">
        <x:v>3274.7538750005</x:v>
      </x:c>
      <x:c r="K24" s="31" t="n">
        <x:v>0</x:v>
      </x:c>
      <x:c r="L24" s="31" t="n">
        <x:v>3182.2161328743</x:v>
      </x:c>
      <x:c r="M24" s="31" t="n">
        <x:v>92.5377421262</x:v>
      </x:c>
      <x:c r="N24" s="24" t="str">
        <x:v>pomadasys kaakan</x:v>
      </x:c>
      <x:c r="O24" s="32" t="n">
        <x:v>3.46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Pomadasys kaakan</x:v>
      </x:c>
      <x:c r="T24" s="32" t="n">
        <x:f>IF(O24="","",(1/'Metadata'!$B$5)^(O24-1))</x:f>
        <x:v>288.40315031266056</x:v>
      </x:c>
      <x:c r="U24" s="31" t="n">
        <x:f>IF(T24="","",I24*T24)</x:f>
        <x:v>944449.3340487368</x:v>
      </x:c>
    </x:row>
    <x:row r="25" ht="18" customHeight="1">
      <x:c r="A25" s="24" t="str">
        <x:v>EEZ_923</x:v>
      </x:c>
      <x:c r="B25" s="24" t="str">
        <x:v>Iran (Sea of Oman)</x:v>
      </x:c>
      <x:c r="C25" s="24" t="str">
        <x:v>EEZ</x:v>
      </x:c>
      <x:c r="D25" s="30" t="n">
        <x:v>2019</x:v>
      </x:c>
      <x:c r="E25" s="24" t="str">
        <x:v>Netuma thalassina</x:v>
      </x:c>
      <x:c r="F25" s="24" t="str">
        <x:v>Giant catfish</x:v>
      </x:c>
      <x:c r="G25" s="24" t="str">
        <x:v>Large demersals (&gt;=90 cm)</x:v>
      </x:c>
      <x:c r="H25" s="24" t="str">
        <x:v>Other fishes &amp; inverts</x:v>
      </x:c>
      <x:c r="I25" s="31" t="n">
        <x:v>3177.0036536993002</x:v>
      </x:c>
      <x:c r="J25" s="31" t="n">
        <x:v>0</x:v>
      </x:c>
      <x:c r="K25" s="31" t="n">
        <x:v>3177.0036536993002</x:v>
      </x:c>
      <x:c r="L25" s="31" t="n">
        <x:v>0</x:v>
      </x:c>
      <x:c r="M25" s="31" t="n">
        <x:v>3177.0036536993002</x:v>
      </x:c>
      <x:c r="N25" s="24" t="str">
        <x:v>netuma thalassina</x:v>
      </x:c>
      <x:c r="O25" s="32" t="n">
        <x:v>3.54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Netuma thalassina</x:v>
      </x:c>
      <x:c r="T25" s="32" t="n">
        <x:f>IF(O25="","",(1/'Metadata'!$B$5)^(O25-1))</x:f>
        <x:v>346.73685045253166</x:v>
      </x:c>
      <x:c r="U25" s="31" t="n">
        <x:f>IF(T25="","",I25*T25)</x:f>
        <x:v>1101584.240759881</x:v>
      </x:c>
    </x:row>
    <x:row r="26" ht="18" customHeight="1">
      <x:c r="A26" s="24" t="str">
        <x:v>EEZ_923</x:v>
      </x:c>
      <x:c r="B26" s="24" t="str">
        <x:v>Iran (Sea of Oman)</x:v>
      </x:c>
      <x:c r="C26" s="24" t="str">
        <x:v>EEZ</x:v>
      </x:c>
      <x:c r="D26" s="30" t="n">
        <x:v>2019</x:v>
      </x:c>
      <x:c r="E26" s="24" t="str">
        <x:v>Portunus pelagicus</x:v>
      </x:c>
      <x:c r="F26" s="24" t="str">
        <x:v>Blue swimming crab</x:v>
      </x:c>
      <x:c r="G26" s="24" t="str">
        <x:v>Lobsters, crabs</x:v>
      </x:c>
      <x:c r="H26" s="24" t="str">
        <x:v>Crustaceans</x:v>
      </x:c>
      <x:c r="I26" s="31" t="n">
        <x:v>2769.3014546905</x:v>
      </x:c>
      <x:c r="J26" s="31" t="n">
        <x:v>2769.3014546905</x:v>
      </x:c>
      <x:c r="K26" s="31" t="n">
        <x:v>0</x:v>
      </x:c>
      <x:c r="L26" s="31" t="n">
        <x:v>1854.3756318130002</x:v>
      </x:c>
      <x:c r="M26" s="31" t="n">
        <x:v>914.9258228775</x:v>
      </x:c>
      <x:c r="N26" s="24" t="str">
        <x:v>portunus pelagicus</x:v>
      </x:c>
      <x:c r="O26" s="32" t="n">
        <x:v>2.48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Portunus pelagicus</x:v>
      </x:c>
      <x:c r="T26" s="32" t="n">
        <x:f>IF(O26="","",(1/'Metadata'!$B$5)^(O26-1))</x:f>
        <x:v>30.19951720402016</x:v>
      </x:c>
      <x:c r="U26" s="31" t="n">
        <x:f>IF(T26="","",I26*T26)</x:f>
        <x:v>83631.56692404381</x:v>
      </x:c>
    </x:row>
    <x:row r="27" ht="18" customHeight="1">
      <x:c r="A27" s="24" t="str">
        <x:v>EEZ_923</x:v>
      </x:c>
      <x:c r="B27" s="24" t="str">
        <x:v>Iran (Sea of Oman)</x:v>
      </x:c>
      <x:c r="C27" s="24" t="str">
        <x:v>EEZ</x:v>
      </x:c>
      <x:c r="D27" s="30" t="n">
        <x:v>2019</x:v>
      </x:c>
      <x:c r="E27" s="24" t="str">
        <x:v>Chirocentrus nudus</x:v>
      </x:c>
      <x:c r="F27" s="24" t="str">
        <x:v>Whitefin wolf-herring</x:v>
      </x:c>
      <x:c r="G27" s="24" t="str">
        <x:v>Large pelagics (&gt;=90 cm)</x:v>
      </x:c>
      <x:c r="H27" s="24" t="str">
        <x:v>Herring-likes</x:v>
      </x:c>
      <x:c r="I27" s="31" t="n">
        <x:v>2686.62650764</x:v>
      </x:c>
      <x:c r="J27" s="31" t="n">
        <x:v>2686.62650764</x:v>
      </x:c>
      <x:c r="K27" s="31" t="n">
        <x:v>0</x:v>
      </x:c>
      <x:c r="L27" s="31" t="n">
        <x:v>2583.8720351684</x:v>
      </x:c>
      <x:c r="M27" s="31" t="n">
        <x:v>102.7544724716</x:v>
      </x:c>
      <x:c r="N27" s="24" t="str">
        <x:v>chirocentrus nudus</x:v>
      </x:c>
      <x:c r="O27" s="32" t="n">
        <x:v>4.19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Chirocentrus nudus</x:v>
      </x:c>
      <x:c r="T27" s="32" t="n">
        <x:f>IF(O27="","",(1/'Metadata'!$B$5)^(O27-1))</x:f>
        <x:v>1548.8166189124827</x:v>
      </x:c>
      <x:c r="U27" s="31" t="n">
        <x:f>IF(T27="","",I27*T27)</x:f>
        <x:v>4161091.783843636</x:v>
      </x:c>
    </x:row>
    <x:row r="28" ht="18" customHeight="1">
      <x:c r="A28" s="24" t="str">
        <x:v>EEZ_923</x:v>
      </x:c>
      <x:c r="B28" s="24" t="str">
        <x:v>Iran (Sea of Oman)</x:v>
      </x:c>
      <x:c r="C28" s="24" t="str">
        <x:v>EEZ</x:v>
      </x:c>
      <x:c r="D28" s="30" t="n">
        <x:v>2019</x:v>
      </x:c>
      <x:c r="E28" s="24" t="str">
        <x:v>Lethrinus nebulosus</x:v>
      </x:c>
      <x:c r="F28" s="24" t="str">
        <x:v>Spangled emperor</x:v>
      </x:c>
      <x:c r="G28" s="24" t="str">
        <x:v>Medium demersals (30 - 89 cm)</x:v>
      </x:c>
      <x:c r="H28" s="24" t="str">
        <x:v>Perch-likes</x:v>
      </x:c>
      <x:c r="I28" s="31" t="n">
        <x:v>2635.2177552543003</x:v>
      </x:c>
      <x:c r="J28" s="31" t="n">
        <x:v>2635.2177552543003</x:v>
      </x:c>
      <x:c r="K28" s="31" t="n">
        <x:v>0</x:v>
      </x:c>
      <x:c r="L28" s="31" t="n">
        <x:v>2635.2177552543003</x:v>
      </x:c>
      <x:c r="M28" s="31" t="n">
        <x:v>0</x:v>
      </x:c>
      <x:c r="N28" s="24" t="str">
        <x:v>lethrinus nebulosus</x:v>
      </x:c>
      <x:c r="O28" s="32" t="n">
        <x:v>3.76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Lethrinus nebulosus</x:v>
      </x:c>
      <x:c r="T28" s="32" t="n">
        <x:f>IF(O28="","",(1/'Metadata'!$B$5)^(O28-1))</x:f>
        <x:v>575.4399373371566</x:v>
      </x:c>
      <x:c r="U28" s="31" t="n">
        <x:f>IF(T28="","",I28*T28)</x:f>
        <x:v>1516409.539953297</x:v>
      </x:c>
    </x:row>
    <x:row r="29" ht="18" customHeight="1">
      <x:c r="A29" s="24" t="str">
        <x:v>EEZ_923</x:v>
      </x:c>
      <x:c r="B29" s="24" t="str">
        <x:v>Iran (Sea of Oman)</x:v>
      </x:c>
      <x:c r="C29" s="24" t="str">
        <x:v>EEZ</x:v>
      </x:c>
      <x:c r="D29" s="30" t="n">
        <x:v>2019</x:v>
      </x:c>
      <x:c r="E29" s="24" t="str">
        <x:v>Epinephelus coioides</x:v>
      </x:c>
      <x:c r="F29" s="24" t="str">
        <x:v>Orange-spotted grouper</x:v>
      </x:c>
      <x:c r="G29" s="24" t="str">
        <x:v>Large reef assoc. fish (&gt;=90 cm)</x:v>
      </x:c>
      <x:c r="H29" s="24" t="str">
        <x:v>Perch-likes</x:v>
      </x:c>
      <x:c r="I29" s="31" t="n">
        <x:v>2310.2430311339</x:v>
      </x:c>
      <x:c r="J29" s="31" t="n">
        <x:v>2310.2430311339</x:v>
      </x:c>
      <x:c r="K29" s="31" t="n">
        <x:v>0</x:v>
      </x:c>
      <x:c r="L29" s="31" t="n">
        <x:v>2216.7658195961003</x:v>
      </x:c>
      <x:c r="M29" s="31" t="n">
        <x:v>93.4772115378</x:v>
      </x:c>
      <x:c r="N29" s="24" t="str">
        <x:v>epinephelus coioides</x:v>
      </x:c>
      <x:c r="O29" s="32" t="n">
        <x:v>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Epinephelus coioides</x:v>
      </x:c>
      <x:c r="T29" s="32" t="n">
        <x:f>IF(O29="","",(1/'Metadata'!$B$5)^(O29-1))</x:f>
        <x:v>1000</x:v>
      </x:c>
      <x:c r="U29" s="31" t="n">
        <x:f>IF(T29="","",I29*T29)</x:f>
        <x:v>2310243.0311339</x:v>
      </x:c>
    </x:row>
    <x:row r="30" ht="18" customHeight="1">
      <x:c r="A30" s="24" t="str">
        <x:v>EEZ_923</x:v>
      </x:c>
      <x:c r="B30" s="24" t="str">
        <x:v>Iran (Sea of Oman)</x:v>
      </x:c>
      <x:c r="C30" s="24" t="str">
        <x:v>EEZ</x:v>
      </x:c>
      <x:c r="D30" s="30" t="n">
        <x:v>2019</x:v>
      </x:c>
      <x:c r="E30" s="24" t="str">
        <x:v>Psettodes erumei</x:v>
      </x:c>
      <x:c r="F30" s="24" t="str">
        <x:v>Indian halibut</x:v>
      </x:c>
      <x:c r="G30" s="24" t="str">
        <x:v>Small to medium flatfishes (&lt;90 cm)</x:v>
      </x:c>
      <x:c r="H30" s="24" t="str">
        <x:v>Flatfishes</x:v>
      </x:c>
      <x:c r="I30" s="31" t="n">
        <x:v>2307.1389717306</x:v>
      </x:c>
      <x:c r="J30" s="31" t="n">
        <x:v>2307.1389717306</x:v>
      </x:c>
      <x:c r="K30" s="31" t="n">
        <x:v>0</x:v>
      </x:c>
      <x:c r="L30" s="31" t="n">
        <x:v>2082.1360360821004</x:v>
      </x:c>
      <x:c r="M30" s="31" t="n">
        <x:v>225.0029356485</x:v>
      </x:c>
      <x:c r="N30" s="24" t="str">
        <x:v>psettodes erumei</x:v>
      </x:c>
      <x:c r="O30" s="32" t="n">
        <x:v>4.39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Psettodes erumei</x:v>
      </x:c>
      <x:c r="T30" s="32" t="n">
        <x:f>IF(O30="","",(1/'Metadata'!$B$5)^(O30-1))</x:f>
        <x:v>2454.7089156850284</x:v>
      </x:c>
      <x:c r="U30" s="31" t="n">
        <x:f>IF(T30="","",I30*T30)</x:f>
        <x:v>5663354.603631493</x:v>
      </x:c>
    </x:row>
    <x:row r="31" ht="18" customHeight="1">
      <x:c r="A31" s="24" t="str">
        <x:v>EEZ_923</x:v>
      </x:c>
      <x:c r="B31" s="24" t="str">
        <x:v>Iran (Sea of Oman)</x:v>
      </x:c>
      <x:c r="C31" s="24" t="str">
        <x:v>EEZ</x:v>
      </x:c>
      <x:c r="D31" s="30" t="n">
        <x:v>2019</x:v>
      </x:c>
      <x:c r="E31" s="24" t="str">
        <x:v>Saurida tumbil</x:v>
      </x:c>
      <x:c r="F31" s="24" t="str">
        <x:v>Greater lizardfish</x:v>
      </x:c>
      <x:c r="G31" s="24" t="str">
        <x:v>Medium demersals (30 - 89 cm)</x:v>
      </x:c>
      <x:c r="H31" s="24" t="str">
        <x:v>Other fishes &amp; inverts</x:v>
      </x:c>
      <x:c r="I31" s="31" t="n">
        <x:v>2249.0688524048</x:v>
      </x:c>
      <x:c r="J31" s="31" t="n">
        <x:v>2249.0065641299</x:v>
      </x:c>
      <x:c r="K31" s="31" t="n">
        <x:v>0.062288274899999996</x:v>
      </x:c>
      <x:c r="L31" s="31" t="n">
        <x:v>2249.0065641299</x:v>
      </x:c>
      <x:c r="M31" s="31" t="n">
        <x:v>0.062288274899999996</x:v>
      </x:c>
      <x:c r="N31" s="24" t="str">
        <x:v>saurida tumbil</x:v>
      </x:c>
      <x:c r="O31" s="32" t="n">
        <x:v>4.4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Saurida tumbil</x:v>
      </x:c>
      <x:c r="T31" s="32" t="n">
        <x:f>IF(O31="","",(1/'Metadata'!$B$5)^(O31-1))</x:f>
        <x:v>2511.886431509582</x:v>
      </x:c>
      <x:c r="U31" s="31" t="n">
        <x:f>IF(T31="","",I31*T31)</x:f>
        <x:v>5649405.533886444</x:v>
      </x:c>
    </x:row>
    <x:row r="32" ht="18" customHeight="1">
      <x:c r="A32" s="24" t="str">
        <x:v>EEZ_923</x:v>
      </x:c>
      <x:c r="B32" s="24" t="str">
        <x:v>Iran (Sea of Oman)</x:v>
      </x:c>
      <x:c r="C32" s="24" t="str">
        <x:v>EEZ</x:v>
      </x:c>
      <x:c r="D32" s="30" t="n">
        <x:v>2019</x:v>
      </x:c>
      <x:c r="E32" s="24" t="str">
        <x:v>Acanthopagrus bifasciatus</x:v>
      </x:c>
      <x:c r="F32" s="24" t="str">
        <x:v>Twobar seabream</x:v>
      </x:c>
      <x:c r="G32" s="24" t="str">
        <x:v>Medium reef assoc. fish (30 - 89 cm)</x:v>
      </x:c>
      <x:c r="H32" s="24" t="str">
        <x:v>Perch-likes</x:v>
      </x:c>
      <x:c r="I32" s="31" t="n">
        <x:v>2231.0432529145</x:v>
      </x:c>
      <x:c r="J32" s="31" t="n">
        <x:v>2231.0432529145</x:v>
      </x:c>
      <x:c r="K32" s="31" t="n">
        <x:v>0</x:v>
      </x:c>
      <x:c r="L32" s="31" t="n">
        <x:v>2231.0432529145</x:v>
      </x:c>
      <x:c r="M32" s="31" t="n">
        <x:v>0</x:v>
      </x:c>
      <x:c r="N32" s="24" t="str">
        <x:v>acanthopagrus bifasciatus</x:v>
      </x:c>
      <x:c r="O32" s="32" t="n">
        <x:v>3.39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Acanthopagrus bifasciatus</x:v>
      </x:c>
      <x:c r="T32" s="32" t="n">
        <x:f>IF(O32="","",(1/'Metadata'!$B$5)^(O32-1))</x:f>
        <x:v>245.4708915685031</x:v>
      </x:c>
      <x:c r="U32" s="31" t="n">
        <x:f>IF(T32="","",I32*T32)</x:f>
        <x:v>547656.1764208156</x:v>
      </x:c>
    </x:row>
    <x:row r="33" ht="18" customHeight="1">
      <x:c r="A33" s="24" t="str">
        <x:v>EEZ_923</x:v>
      </x:c>
      <x:c r="B33" s="24" t="str">
        <x:v>Iran (Sea of Oman)</x:v>
      </x:c>
      <x:c r="C33" s="24" t="str">
        <x:v>EEZ</x:v>
      </x:c>
      <x:c r="D33" s="30" t="n">
        <x:v>2019</x:v>
      </x:c>
      <x:c r="E33" s="24" t="str">
        <x:v>Lutjanus johnii</x:v>
      </x:c>
      <x:c r="F33" s="24" t="str">
        <x:v>John's snapper</x:v>
      </x:c>
      <x:c r="G33" s="24" t="str">
        <x:v>Medium reef assoc. fish (30 - 89 cm)</x:v>
      </x:c>
      <x:c r="H33" s="24" t="str">
        <x:v>Perch-likes</x:v>
      </x:c>
      <x:c r="I33" s="31" t="n">
        <x:v>2192.3390408853998</x:v>
      </x:c>
      <x:c r="J33" s="31" t="n">
        <x:v>2192.3390408853998</x:v>
      </x:c>
      <x:c r="K33" s="31" t="n">
        <x:v>0</x:v>
      </x:c>
      <x:c r="L33" s="31" t="n">
        <x:v>2164.6246918061</x:v>
      </x:c>
      <x:c r="M33" s="31" t="n">
        <x:v>27.7143490793</x:v>
      </x:c>
      <x:c r="N33" s="24" t="str">
        <x:v>lutjanus johnii</x:v>
      </x:c>
      <x:c r="O33" s="32" t="n">
        <x:v>4.2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johnii</x:v>
      </x:c>
      <x:c r="T33" s="32" t="n">
        <x:f>IF(O33="","",(1/'Metadata'!$B$5)^(O33-1))</x:f>
        <x:v>1584.893192461114</x:v>
      </x:c>
      <x:c r="U33" s="31" t="n">
        <x:f>IF(T33="","",I33*T33)</x:f>
        <x:v>3474623.221465998</x:v>
      </x:c>
    </x:row>
    <x:row r="34" ht="18" customHeight="1">
      <x:c r="A34" s="24" t="str">
        <x:v>EEZ_923</x:v>
      </x:c>
      <x:c r="B34" s="24" t="str">
        <x:v>Iran (Sea of Oman)</x:v>
      </x:c>
      <x:c r="C34" s="24" t="str">
        <x:v>EEZ</x:v>
      </x:c>
      <x:c r="D34" s="30" t="n">
        <x:v>2019</x:v>
      </x:c>
      <x:c r="E34" s="24" t="str">
        <x:v>Clupeiformes</x:v>
      </x:c>
      <x:c r="F34" s="24" t="str">
        <x:v>Herrings, shads, anchovies</x:v>
      </x:c>
      <x:c r="G34" s="24" t="str">
        <x:v>Small pelagics (&lt;30 cm)</x:v>
      </x:c>
      <x:c r="H34" s="24" t="str">
        <x:v>Other fishes &amp; inverts</x:v>
      </x:c>
      <x:c r="I34" s="31" t="n">
        <x:v>2045.0863213165</x:v>
      </x:c>
      <x:c r="J34" s="31" t="n">
        <x:v>2045.0863213165</x:v>
      </x:c>
      <x:c r="K34" s="31" t="n">
        <x:v>0</x:v>
      </x:c>
      <x:c r="L34" s="31" t="n">
        <x:v>605.3806062947</x:v>
      </x:c>
      <x:c r="M34" s="31" t="n">
        <x:v>1439.7057150218</x:v>
      </x:c>
      <x:c r="N34" s="24" t="str">
        <x:v>clupeiformes</x:v>
      </x:c>
      <x:c r="O34" s="32" t="n">
        <x:v>3.24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Clupeiformes</x:v>
      </x:c>
      <x:c r="T34" s="32" t="n">
        <x:f>IF(O34="","",(1/'Metadata'!$B$5)^(O34-1))</x:f>
        <x:v>173.78008287493762</x:v>
      </x:c>
      <x:c r="U34" s="31" t="n">
        <x:f>IF(T34="","",I34*T34)</x:f>
        <x:v>355395.27040478267</x:v>
      </x:c>
    </x:row>
    <x:row r="35" ht="18" customHeight="1">
      <x:c r="A35" s="24" t="str">
        <x:v>EEZ_923</x:v>
      </x:c>
      <x:c r="B35" s="24" t="str">
        <x:v>Iran (Sea of Oman)</x:v>
      </x:c>
      <x:c r="C35" s="24" t="str">
        <x:v>EEZ</x:v>
      </x:c>
      <x:c r="D35" s="30" t="n">
        <x:v>2019</x:v>
      </x:c>
      <x:c r="E35" s="24" t="str">
        <x:v>Rachycentron canadum</x:v>
      </x:c>
      <x:c r="F35" s="24" t="str">
        <x:v>Cobia</x:v>
      </x:c>
      <x:c r="G35" s="24" t="str">
        <x:v>Large pelagics (&gt;=90 cm)</x:v>
      </x:c>
      <x:c r="H35" s="24" t="str">
        <x:v>Perch-likes</x:v>
      </x:c>
      <x:c r="I35" s="31" t="n">
        <x:v>1887.9440087063</x:v>
      </x:c>
      <x:c r="J35" s="31" t="n">
        <x:v>1887.9440087063</x:v>
      </x:c>
      <x:c r="K35" s="31" t="n">
        <x:v>0</x:v>
      </x:c>
      <x:c r="L35" s="31" t="n">
        <x:v>1887.9440087063</x:v>
      </x:c>
      <x:c r="M35" s="31" t="n">
        <x:v>0</x:v>
      </x:c>
      <x:c r="N35" s="24" t="str">
        <x:v>rachycentron canadum</x:v>
      </x:c>
      <x:c r="O35" s="32" t="n">
        <x:v>3.96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Rachycentron canadum</x:v>
      </x:c>
      <x:c r="T35" s="32" t="n">
        <x:f>IF(O35="","",(1/'Metadata'!$B$5)^(O35-1))</x:f>
        <x:v>912.0108393559096</x:v>
      </x:c>
      <x:c r="U35" s="31" t="n">
        <x:f>IF(T35="","",I35*T35)</x:f>
        <x:v>1721825.4000371934</x:v>
      </x:c>
    </x:row>
    <x:row r="36" ht="18" customHeight="1">
      <x:c r="A36" s="24" t="str">
        <x:v>EEZ_923</x:v>
      </x:c>
      <x:c r="B36" s="24" t="str">
        <x:v>Iran (Sea of Oman)</x:v>
      </x:c>
      <x:c r="C36" s="24" t="str">
        <x:v>EEZ</x:v>
      </x:c>
      <x:c r="D36" s="30" t="n">
        <x:v>2019</x:v>
      </x:c>
      <x:c r="E36" s="24" t="str">
        <x:v>Thunnus obesus</x:v>
      </x:c>
      <x:c r="F36" s="24" t="str">
        <x:v>Bigeye tuna</x:v>
      </x:c>
      <x:c r="G36" s="24" t="str">
        <x:v>Large pelagics (&gt;=90 cm)</x:v>
      </x:c>
      <x:c r="H36" s="24" t="str">
        <x:v>Tuna &amp; billfishes</x:v>
      </x:c>
      <x:c r="I36" s="31" t="n">
        <x:v>1868.2485965881</x:v>
      </x:c>
      <x:c r="J36" s="31" t="n">
        <x:v>1868.2485965881</x:v>
      </x:c>
      <x:c r="K36" s="31" t="n">
        <x:v>0</x:v>
      </x:c>
      <x:c r="L36" s="31" t="n">
        <x:v>1868.2485965881</x:v>
      </x:c>
      <x:c r="M36" s="31" t="n">
        <x:v>0</x:v>
      </x:c>
      <x:c r="N36" s="24" t="str">
        <x:v>thunnus obesus</x:v>
      </x:c>
      <x:c r="O36" s="32" t="n">
        <x:v>4.49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Thunnus obesus</x:v>
      </x:c>
      <x:c r="T36" s="32" t="n">
        <x:f>IF(O36="","",(1/'Metadata'!$B$5)^(O36-1))</x:f>
        <x:v>3090.295432513592</x:v>
      </x:c>
      <x:c r="U36" s="31" t="n">
        <x:f>IF(T36="","",I36*T36)</x:f>
        <x:v>5773440.104836134</x:v>
      </x:c>
    </x:row>
    <x:row r="37" ht="18" customHeight="1">
      <x:c r="A37" s="24" t="str">
        <x:v>EEZ_923</x:v>
      </x:c>
      <x:c r="B37" s="24" t="str">
        <x:v>Iran (Sea of Oman)</x:v>
      </x:c>
      <x:c r="C37" s="24" t="str">
        <x:v>EEZ</x:v>
      </x:c>
      <x:c r="D37" s="30" t="n">
        <x:v>2019</x:v>
      </x:c>
      <x:c r="E37" s="24" t="str">
        <x:v>Leiognathus</x:v>
      </x:c>
      <x:c r="F37" s="24" t="str">
        <x:v>Ponyfishes</x:v>
      </x:c>
      <x:c r="G37" s="24" t="str">
        <x:v>Small benthopelagics (&lt;30 cm)</x:v>
      </x:c>
      <x:c r="H37" s="24" t="str">
        <x:v>Perch-likes</x:v>
      </x:c>
      <x:c r="I37" s="31" t="n">
        <x:v>1662.6396402219</x:v>
      </x:c>
      <x:c r="J37" s="31" t="n">
        <x:v>1662.6396402219</x:v>
      </x:c>
      <x:c r="K37" s="31" t="n">
        <x:v>0</x:v>
      </x:c>
      <x:c r="L37" s="31" t="n">
        <x:v>847.1018572206999</x:v>
      </x:c>
      <x:c r="M37" s="31" t="n">
        <x:v>815.5377830012</x:v>
      </x:c>
      <x:c r="N37" s="24" t="str">
        <x:v>leiognathus</x:v>
      </x:c>
      <x:c r="O37" s="32" t="n">
        <x:v>3.22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Leiognathus</x:v>
      </x:c>
      <x:c r="T37" s="32" t="n">
        <x:f>IF(O37="","",(1/'Metadata'!$B$5)^(O37-1))</x:f>
        <x:v>165.95869074375614</x:v>
      </x:c>
      <x:c r="U37" s="31" t="n">
        <x:f>IF(T37="","",I37*T37)</x:f>
        <x:v>275929.49786989624</x:v>
      </x:c>
    </x:row>
    <x:row r="38" ht="18" customHeight="1">
      <x:c r="A38" s="24" t="str">
        <x:v>EEZ_923</x:v>
      </x:c>
      <x:c r="B38" s="24" t="str">
        <x:v>Iran (Sea of Oman)</x:v>
      </x:c>
      <x:c r="C38" s="24" t="str">
        <x:v>EEZ</x:v>
      </x:c>
      <x:c r="D38" s="30" t="n">
        <x:v>2019</x:v>
      </x:c>
      <x:c r="E38" s="24" t="str">
        <x:v>Sepia</x:v>
      </x:c>
      <x:c r="F38" s="24" t="str">
        <x:v>Sepia cuttlefishes</x:v>
      </x:c>
      <x:c r="G38" s="24" t="str">
        <x:v>Cephalopods</x:v>
      </x:c>
      <x:c r="H38" s="24" t="str">
        <x:v>Other fishes &amp; inverts</x:v>
      </x:c>
      <x:c r="I38" s="31" t="n">
        <x:v>1476.8137382734</x:v>
      </x:c>
      <x:c r="J38" s="31" t="n">
        <x:v>1476.8137382734</x:v>
      </x:c>
      <x:c r="K38" s="31" t="n">
        <x:v>0</x:v>
      </x:c>
      <x:c r="L38" s="31" t="n">
        <x:v>1458.3766501137</x:v>
      </x:c>
      <x:c r="M38" s="31" t="n">
        <x:v>18.4370881597</x:v>
      </x:c>
      <x:c r="N38" s="24" t="str">
        <x:v>sepia</x:v>
      </x:c>
      <x:c r="O38" s="32" t="n">
        <x:v>3.69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Sepia</x:v>
      </x:c>
      <x:c r="T38" s="32" t="n">
        <x:f>IF(O38="","",(1/'Metadata'!$B$5)^(O38-1))</x:f>
        <x:v>489.77881936844614</x:v>
      </x:c>
      <x:c r="U38" s="31" t="n">
        <x:f>IF(T38="","",I38*T38)</x:f>
        <x:v>723312.0891586473</x:v>
      </x:c>
    </x:row>
    <x:row r="39" ht="18" customHeight="1">
      <x:c r="A39" s="24" t="str">
        <x:v>EEZ_923</x:v>
      </x:c>
      <x:c r="B39" s="24" t="str">
        <x:v>Iran (Sea of Oman)</x:v>
      </x:c>
      <x:c r="C39" s="24" t="str">
        <x:v>EEZ</x:v>
      </x:c>
      <x:c r="D39" s="30" t="n">
        <x:v>2019</x:v>
      </x:c>
      <x:c r="E39" s="24" t="str">
        <x:v>Myliobatidae</x:v>
      </x:c>
      <x:c r="F39" s="24" t="str">
        <x:v>Eagle/manta rays</x:v>
      </x:c>
      <x:c r="G39" s="24" t="str">
        <x:v>Large rays (&gt;=90 cm)</x:v>
      </x:c>
      <x:c r="H39" s="24" t="str">
        <x:v>Sharks &amp; rays</x:v>
      </x:c>
      <x:c r="I39" s="31" t="n">
        <x:v>1446.4754001987</x:v>
      </x:c>
      <x:c r="J39" s="31" t="n">
        <x:v>1446.4754001987</x:v>
      </x:c>
      <x:c r="K39" s="31" t="n">
        <x:v>0</x:v>
      </x:c>
      <x:c r="L39" s="31" t="n">
        <x:v>300.3930364224</x:v>
      </x:c>
      <x:c r="M39" s="31" t="n">
        <x:v>1146.0823637762999</x:v>
      </x:c>
      <x:c r="N39" s="24" t="str">
        <x:v>myliobatidae</x:v>
      </x:c>
      <x:c r="O39" s="32" t="n">
        <x:v>3.36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Myliobatidae</x:v>
      </x:c>
      <x:c r="T39" s="32" t="n">
        <x:f>IF(O39="","",(1/'Metadata'!$B$5)^(O39-1))</x:f>
        <x:v>229.08676527677724</x:v>
      </x:c>
      <x:c r="U39" s="31" t="n">
        <x:f>IF(T39="","",I39*T39)</x:f>
        <x:v>331368.37048395205</x:v>
      </x:c>
    </x:row>
    <x:row r="40" ht="18" customHeight="1">
      <x:c r="A40" s="24" t="str">
        <x:v>EEZ_923</x:v>
      </x:c>
      <x:c r="B40" s="24" t="str">
        <x:v>Iran (Sea of Oman)</x:v>
      </x:c>
      <x:c r="C40" s="24" t="str">
        <x:v>EEZ</x:v>
      </x:c>
      <x:c r="D40" s="30" t="n">
        <x:v>2019</x:v>
      </x:c>
      <x:c r="E40" s="24" t="str">
        <x:v>Platycephalus indicus</x:v>
      </x:c>
      <x:c r="F40" s="24" t="str">
        <x:v>Bartail flathead</x:v>
      </x:c>
      <x:c r="G40" s="24" t="str">
        <x:v>Medium demersals (30 - 89 cm)</x:v>
      </x:c>
      <x:c r="H40" s="24" t="str">
        <x:v>Scorpionfishes</x:v>
      </x:c>
      <x:c r="I40" s="31" t="n">
        <x:v>1327.4276515137</x:v>
      </x:c>
      <x:c r="J40" s="31" t="n">
        <x:v>1327.4276515137</x:v>
      </x:c>
      <x:c r="K40" s="31" t="n">
        <x:v>0</x:v>
      </x:c>
      <x:c r="L40" s="31" t="n">
        <x:v>1111.584542483</x:v>
      </x:c>
      <x:c r="M40" s="31" t="n">
        <x:v>215.8431090307</x:v>
      </x:c>
      <x:c r="N40" s="24" t="str">
        <x:v>platycephalus indicus</x:v>
      </x:c>
      <x:c r="O40" s="32" t="n">
        <x:v>3.6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Platycephalus indicus</x:v>
      </x:c>
      <x:c r="T40" s="32" t="n">
        <x:f>IF(O40="","",(1/'Metadata'!$B$5)^(O40-1))</x:f>
        <x:v>398.1071705534973</x:v>
      </x:c>
      <x:c r="U40" s="31" t="n">
        <x:f>IF(T40="","",I40*T40)</x:f>
        <x:v>528458.466458593</x:v>
      </x:c>
    </x:row>
    <x:row r="41" ht="18" customHeight="1">
      <x:c r="A41" s="24" t="str">
        <x:v>EEZ_923</x:v>
      </x:c>
      <x:c r="B41" s="24" t="str">
        <x:v>Iran (Sea of Oman)</x:v>
      </x:c>
      <x:c r="C41" s="24" t="str">
        <x:v>EEZ</x:v>
      </x:c>
      <x:c r="D41" s="30" t="n">
        <x:v>2019</x:v>
      </x:c>
      <x:c r="E41" s="24" t="str">
        <x:v>Penaeus semisulcatus</x:v>
      </x:c>
      <x:c r="F41" s="24" t="str">
        <x:v>Green tiger prawn</x:v>
      </x:c>
      <x:c r="G41" s="24" t="str">
        <x:v>Shrimps</x:v>
      </x:c>
      <x:c r="H41" s="24" t="str">
        <x:v>Crustaceans</x:v>
      </x:c>
      <x:c r="I41" s="31" t="n">
        <x:v>1316.6664528862</x:v>
      </x:c>
      <x:c r="J41" s="31" t="n">
        <x:v>1316.6664528862</x:v>
      </x:c>
      <x:c r="K41" s="31" t="n">
        <x:v>0</x:v>
      </x:c>
      <x:c r="L41" s="31" t="n">
        <x:v>0</x:v>
      </x:c>
      <x:c r="M41" s="31" t="n">
        <x:v>1316.6664528862</x:v>
      </x:c>
      <x:c r="N41" s="24" t="str">
        <x:v>penaeus semisulcatus</x:v>
      </x:c>
      <x:c r="O41" s="32" t="n">
        <x:v>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Penaeus semisulcatus</x:v>
      </x:c>
      <x:c r="T41" s="32" t="n">
        <x:f>IF(O41="","",(1/'Metadata'!$B$5)^(O41-1))</x:f>
        <x:v>10</x:v>
      </x:c>
      <x:c r="U41" s="31" t="n">
        <x:f>IF(T41="","",I41*T41)</x:f>
        <x:v>13166.664528862</x:v>
      </x:c>
    </x:row>
    <x:row r="42" ht="18" customHeight="1">
      <x:c r="A42" s="24" t="str">
        <x:v>EEZ_923</x:v>
      </x:c>
      <x:c r="B42" s="24" t="str">
        <x:v>Iran (Sea of Oman)</x:v>
      </x:c>
      <x:c r="C42" s="24" t="str">
        <x:v>EEZ</x:v>
      </x:c>
      <x:c r="D42" s="30" t="n">
        <x:v>2019</x:v>
      </x:c>
      <x:c r="E42" s="24" t="str">
        <x:v>Rastrelliger kanagurta</x:v>
      </x:c>
      <x:c r="F42" s="24" t="str">
        <x:v>Indian mackerel</x:v>
      </x:c>
      <x:c r="G42" s="24" t="str">
        <x:v>Medium pelagics (30 - 89 cm)</x:v>
      </x:c>
      <x:c r="H42" s="24" t="str">
        <x:v>Perch-likes</x:v>
      </x:c>
      <x:c r="I42" s="31" t="n">
        <x:v>1274.3239607051</x:v>
      </x:c>
      <x:c r="J42" s="31" t="n">
        <x:v>1274.0761145475</x:v>
      </x:c>
      <x:c r="K42" s="31" t="n">
        <x:v>0.2478461576</x:v>
      </x:c>
      <x:c r="L42" s="31" t="n">
        <x:v>1272.0797418972</x:v>
      </x:c>
      <x:c r="M42" s="31" t="n">
        <x:v>2.2442188079</x:v>
      </x:c>
      <x:c r="N42" s="24" t="str">
        <x:v>rastrelliger kanagurta</x:v>
      </x:c>
      <x:c r="O42" s="32" t="n">
        <x:v>3.19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Rastrelliger kanagurta</x:v>
      </x:c>
      <x:c r="T42" s="32" t="n">
        <x:f>IF(O42="","",(1/'Metadata'!$B$5)^(O42-1))</x:f>
        <x:v>154.88166189124811</x:v>
      </x:c>
      <x:c r="U42" s="31" t="n">
        <x:f>IF(T42="","",I42*T42)</x:f>
        <x:v>197369.41282184346</x:v>
      </x:c>
    </x:row>
    <x:row r="43" ht="18" customHeight="1">
      <x:c r="A43" s="24" t="str">
        <x:v>EEZ_923</x:v>
      </x:c>
      <x:c r="B43" s="24" t="str">
        <x:v>Iran (Sea of Oman)</x:v>
      </x:c>
      <x:c r="C43" s="24" t="str">
        <x:v>EEZ</x:v>
      </x:c>
      <x:c r="D43" s="30" t="n">
        <x:v>2019</x:v>
      </x:c>
      <x:c r="E43" s="24" t="str">
        <x:v>Pomadasys stridens</x:v>
      </x:c>
      <x:c r="F43" s="24" t="str">
        <x:v>Striped piggy</x:v>
      </x:c>
      <x:c r="G43" s="24" t="str">
        <x:v>Small reef assoc. fish (&lt;30 cm)</x:v>
      </x:c>
      <x:c r="H43" s="24" t="str">
        <x:v>Perch-likes</x:v>
      </x:c>
      <x:c r="I43" s="31" t="n">
        <x:v>1236.5652882845</x:v>
      </x:c>
      <x:c r="J43" s="31" t="n">
        <x:v>1236.5652882845</x:v>
      </x:c>
      <x:c r="K43" s="31" t="n">
        <x:v>0</x:v>
      </x:c>
      <x:c r="L43" s="31" t="n">
        <x:v>630.0203166781</x:v>
      </x:c>
      <x:c r="M43" s="31" t="n">
        <x:v>606.5449716064</x:v>
      </x:c>
      <x:c r="N43" s="24" t="str">
        <x:v>pomadasys stridens</x:v>
      </x:c>
      <x:c r="O43" s="32" t="n">
        <x:v>4.02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Pomadasys stridens</x:v>
      </x:c>
      <x:c r="T43" s="32" t="n">
        <x:f>IF(O43="","",(1/'Metadata'!$B$5)^(O43-1))</x:f>
        <x:v>1047.1285480508984</x:v>
      </x:c>
      <x:c r="U43" s="31" t="n">
        <x:f>IF(T43="","",I43*T43)</x:f>
        <x:v>1294842.814891489</x:v>
      </x:c>
    </x:row>
    <x:row r="44" ht="18" customHeight="1">
      <x:c r="A44" s="24" t="str">
        <x:v>EEZ_923</x:v>
      </x:c>
      <x:c r="B44" s="24" t="str">
        <x:v>Iran (Sea of Oman)</x:v>
      </x:c>
      <x:c r="C44" s="24" t="str">
        <x:v>EEZ</x:v>
      </x:c>
      <x:c r="D44" s="30" t="n">
        <x:v>2019</x:v>
      </x:c>
      <x:c r="E44" s="24" t="str">
        <x:v>Euthynnus affinis</x:v>
      </x:c>
      <x:c r="F44" s="24" t="str">
        <x:v>Kawakawa</x:v>
      </x:c>
      <x:c r="G44" s="24" t="str">
        <x:v>Large pelagics (&gt;=90 cm)</x:v>
      </x:c>
      <x:c r="H44" s="24" t="str">
        <x:v>Tuna &amp; billfishes</x:v>
      </x:c>
      <x:c r="I44" s="31" t="n">
        <x:v>1027.2922662568</x:v>
      </x:c>
      <x:c r="J44" s="31" t="n">
        <x:v>1027.2922662568</x:v>
      </x:c>
      <x:c r="K44" s="31" t="n">
        <x:v>0</x:v>
      </x:c>
      <x:c r="L44" s="31" t="n">
        <x:v>1027.2922662568</x:v>
      </x:c>
      <x:c r="M44" s="31" t="n">
        <x:v>0</x:v>
      </x:c>
      <x:c r="N44" s="24" t="str">
        <x:v>euthynnus affinis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Euthynnus affinis</x:v>
      </x:c>
      <x:c r="T44" s="32" t="n">
        <x:f>IF(O44="","",(1/'Metadata'!$B$5)^(O44-1))</x:f>
        <x:v>3162.2776601683795</x:v>
      </x:c>
      <x:c r="U44" s="31" t="n">
        <x:f>IF(T44="","",I44*T44)</x:f>
        <x:v>3248583.3840476256</x:v>
      </x:c>
    </x:row>
    <x:row r="45" ht="18" customHeight="1">
      <x:c r="A45" s="24" t="str">
        <x:v>EEZ_923</x:v>
      </x:c>
      <x:c r="B45" s="24" t="str">
        <x:v>Iran (Sea of Oman)</x:v>
      </x:c>
      <x:c r="C45" s="24" t="str">
        <x:v>EEZ</x:v>
      </x:c>
      <x:c r="D45" s="30" t="n">
        <x:v>2019</x:v>
      </x:c>
      <x:c r="E45" s="24" t="str">
        <x:v>Pampus argenteus</x:v>
      </x:c>
      <x:c r="F45" s="24" t="str">
        <x:v>Silver pomfret</x:v>
      </x:c>
      <x:c r="G45" s="24" t="str">
        <x:v>Medium benthopelagics (30 - 89 cm)</x:v>
      </x:c>
      <x:c r="H45" s="24" t="str">
        <x:v>Perch-likes</x:v>
      </x:c>
      <x:c r="I45" s="31" t="n">
        <x:v>962.5070119061</x:v>
      </x:c>
      <x:c r="J45" s="31" t="n">
        <x:v>962.5070119061</x:v>
      </x:c>
      <x:c r="K45" s="31" t="n">
        <x:v>0</x:v>
      </x:c>
      <x:c r="L45" s="31" t="n">
        <x:v>858.6956362535999</x:v>
      </x:c>
      <x:c r="M45" s="31" t="n">
        <x:v>103.8113756525</x:v>
      </x:c>
      <x:c r="N45" s="24" t="str">
        <x:v>pampus argenteus</x:v>
      </x:c>
      <x:c r="O45" s="32" t="n">
        <x:v>3.3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Pampus argenteus</x:v>
      </x:c>
      <x:c r="T45" s="32" t="n">
        <x:f>IF(O45="","",(1/'Metadata'!$B$5)^(O45-1))</x:f>
        <x:v>199.52623149688787</x:v>
      </x:c>
      <x:c r="U45" s="31" t="n">
        <x:f>IF(T45="","",I45*T45)</x:f>
        <x:v>192045.39687495434</x:v>
      </x:c>
    </x:row>
    <x:row r="46" ht="18" customHeight="1">
      <x:c r="A46" s="24" t="str">
        <x:v>EEZ_923</x:v>
      </x:c>
      <x:c r="B46" s="24" t="str">
        <x:v>Iran (Sea of Oman)</x:v>
      </x:c>
      <x:c r="C46" s="24" t="str">
        <x:v>EEZ</x:v>
      </x:c>
      <x:c r="D46" s="30" t="n">
        <x:v>2019</x:v>
      </x:c>
      <x:c r="E46" s="24" t="str">
        <x:v>Istiophoridae</x:v>
      </x:c>
      <x:c r="F46" s="24" t="str">
        <x:v>Billfishes</x:v>
      </x:c>
      <x:c r="G46" s="24" t="str">
        <x:v>Large pelagics (&gt;=90 cm)</x:v>
      </x:c>
      <x:c r="H46" s="24" t="str">
        <x:v>Tuna &amp; billfishes</x:v>
      </x:c>
      <x:c r="I46" s="31" t="n">
        <x:v>960.3873519373</x:v>
      </x:c>
      <x:c r="J46" s="31" t="n">
        <x:v>960.3873519373</x:v>
      </x:c>
      <x:c r="K46" s="31" t="n">
        <x:v>0</x:v>
      </x:c>
      <x:c r="L46" s="31" t="n">
        <x:v>960.3873519373</x:v>
      </x:c>
      <x:c r="M46" s="31" t="n">
        <x:v>0</x:v>
      </x:c>
      <x:c r="N46" s="24" t="str">
        <x:v>istiophoridae</x:v>
      </x:c>
      <x:c r="O46" s="32" t="n">
        <x:v>4.48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Istiophoridae</x:v>
      </x:c>
      <x:c r="T46" s="32" t="n">
        <x:f>IF(O46="","",(1/'Metadata'!$B$5)^(O46-1))</x:f>
        <x:v>3019.951720402019</x:v>
      </x:c>
      <x:c r="U46" s="31" t="n">
        <x:f>IF(T46="","",I46*T46)</x:f>
        <x:v>2900323.435735388</x:v>
      </x:c>
    </x:row>
    <x:row r="47" ht="18" customHeight="1">
      <x:c r="A47" s="24" t="str">
        <x:v>EEZ_923</x:v>
      </x:c>
      <x:c r="B47" s="24" t="str">
        <x:v>Iran (Sea of Oman)</x:v>
      </x:c>
      <x:c r="C47" s="24" t="str">
        <x:v>EEZ</x:v>
      </x:c>
      <x:c r="D47" s="30" t="n">
        <x:v>2019</x:v>
      </x:c>
      <x:c r="E47" s="24" t="str">
        <x:v>Clupeidae</x:v>
      </x:c>
      <x:c r="F47" s="24" t="str">
        <x:v>Herrings, sardines, menhadens</x:v>
      </x:c>
      <x:c r="G47" s="24" t="str">
        <x:v>Small pelagics (&lt;30 cm)</x:v>
      </x:c>
      <x:c r="H47" s="24" t="str">
        <x:v>Herring-likes</x:v>
      </x:c>
      <x:c r="I47" s="31" t="n">
        <x:v>933.0993786603001</x:v>
      </x:c>
      <x:c r="J47" s="31" t="n">
        <x:v>933.0993786603001</x:v>
      </x:c>
      <x:c r="K47" s="31" t="n">
        <x:v>0</x:v>
      </x:c>
      <x:c r="L47" s="31" t="n">
        <x:v>844.2756271097</x:v>
      </x:c>
      <x:c r="M47" s="31" t="n">
        <x:v>88.82375155060001</x:v>
      </x:c>
      <x:c r="N47" s="24" t="str">
        <x:v>clupeidae</x:v>
      </x:c>
      <x:c r="O47" s="32" t="n">
        <x:v>3.16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Clupeidae</x:v>
      </x:c>
      <x:c r="T47" s="32" t="n">
        <x:f>IF(O47="","",(1/'Metadata'!$B$5)^(O47-1))</x:f>
        <x:v>144.5439770745928</x:v>
      </x:c>
      <x:c r="U47" s="31" t="n">
        <x:f>IF(T47="","",I47*T47)</x:f>
        <x:v>134873.8951973912</x:v>
      </x:c>
    </x:row>
    <x:row r="48" ht="18" customHeight="1">
      <x:c r="A48" s="24" t="str">
        <x:v>EEZ_923</x:v>
      </x:c>
      <x:c r="B48" s="24" t="str">
        <x:v>Iran (Sea of Oman)</x:v>
      </x:c>
      <x:c r="C48" s="24" t="str">
        <x:v>EEZ</x:v>
      </x:c>
      <x:c r="D48" s="30" t="n">
        <x:v>2019</x:v>
      </x:c>
      <x:c r="E48" s="24" t="str">
        <x:v>Sphyraena</x:v>
      </x:c>
      <x:c r="F48" s="24" t="str">
        <x:v>Barracudas, sennets</x:v>
      </x:c>
      <x:c r="G48" s="24" t="str">
        <x:v>Large pelagics (&gt;=90 cm)</x:v>
      </x:c>
      <x:c r="H48" s="24" t="str">
        <x:v>Perch-likes</x:v>
      </x:c>
      <x:c r="I48" s="31" t="n">
        <x:v>919.8478209875</x:v>
      </x:c>
      <x:c r="J48" s="31" t="n">
        <x:v>919.8478209875</x:v>
      </x:c>
      <x:c r="K48" s="31" t="n">
        <x:v>0</x:v>
      </x:c>
      <x:c r="L48" s="31" t="n">
        <x:v>32.0804149633</x:v>
      </x:c>
      <x:c r="M48" s="31" t="n">
        <x:v>887.7674060242</x:v>
      </x:c>
      <x:c r="N48" s="24" t="str">
        <x:v>sphyraena</x:v>
      </x:c>
      <x:c r="O48" s="32" t="n">
        <x:v>4.4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Sphyraena</x:v>
      </x:c>
      <x:c r="T48" s="32" t="n">
        <x:f>IF(O48="","",(1/'Metadata'!$B$5)^(O48-1))</x:f>
        <x:v>2511.886431509582</x:v>
      </x:c>
      <x:c r="U48" s="31" t="n">
        <x:f>IF(T48="","",I48*T48)</x:f>
        <x:v>2310553.260592156</x:v>
      </x:c>
    </x:row>
    <x:row r="49" ht="18" customHeight="1">
      <x:c r="A49" s="24" t="str">
        <x:v>EEZ_923</x:v>
      </x:c>
      <x:c r="B49" s="24" t="str">
        <x:v>Iran (Sea of Oman)</x:v>
      </x:c>
      <x:c r="C49" s="24" t="str">
        <x:v>EEZ</x:v>
      </x:c>
      <x:c r="D49" s="30" t="n">
        <x:v>2019</x:v>
      </x:c>
      <x:c r="E49" s="24" t="str">
        <x:v>Sciaenidae</x:v>
      </x:c>
      <x:c r="F49" s="24" t="str">
        <x:v>Drums, croakers</x:v>
      </x:c>
      <x:c r="G49" s="24" t="str">
        <x:v>Medium demersals (30 - 89 cm)</x:v>
      </x:c>
      <x:c r="H49" s="24" t="str">
        <x:v>Perch-likes</x:v>
      </x:c>
      <x:c r="I49" s="31" t="n">
        <x:v>859.2379995309001</x:v>
      </x:c>
      <x:c r="J49" s="31" t="n">
        <x:v>859.2379995309001</x:v>
      </x:c>
      <x:c r="K49" s="31" t="n">
        <x:v>0</x:v>
      </x:c>
      <x:c r="L49" s="31" t="n">
        <x:v>2.3556520309</x:v>
      </x:c>
      <x:c r="M49" s="31" t="n">
        <x:v>856.8823475</x:v>
      </x:c>
      <x:c r="N49" s="24" t="str">
        <x:v>sciaenidae</x:v>
      </x:c>
      <x:c r="O49" s="32" t="n">
        <x:v>3.76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Sciaenidae</x:v>
      </x:c>
      <x:c r="T49" s="32" t="n">
        <x:f>IF(O49="","",(1/'Metadata'!$B$5)^(O49-1))</x:f>
        <x:v>575.4399373371566</x:v>
      </x:c>
      <x:c r="U49" s="31" t="n">
        <x:f>IF(T49="","",I49*T49)</x:f>
        <x:v>494439.8606077649</x:v>
      </x:c>
    </x:row>
    <x:row r="50" ht="18" customHeight="1">
      <x:c r="A50" s="24" t="str">
        <x:v>EEZ_923</x:v>
      </x:c>
      <x:c r="B50" s="24" t="str">
        <x:v>Iran (Sea of Oman)</x:v>
      </x:c>
      <x:c r="C50" s="24" t="str">
        <x:v>EEZ</x:v>
      </x:c>
      <x:c r="D50" s="30" t="n">
        <x:v>2019</x:v>
      </x:c>
      <x:c r="E50" s="24" t="str">
        <x:v>Chanos chanos</x:v>
      </x:c>
      <x:c r="F50" s="24" t="str">
        <x:v>Milkfish</x:v>
      </x:c>
      <x:c r="G50" s="24" t="str">
        <x:v>Large benthopelagics (&gt;=90 cm)</x:v>
      </x:c>
      <x:c r="H50" s="24" t="str">
        <x:v>Other fishes &amp; inverts</x:v>
      </x:c>
      <x:c r="I50" s="31" t="n">
        <x:v>856.8823475</x:v>
      </x:c>
      <x:c r="J50" s="31" t="n">
        <x:v>856.8823475</x:v>
      </x:c>
      <x:c r="K50" s="31" t="n">
        <x:v>0</x:v>
      </x:c>
      <x:c r="L50" s="31" t="n">
        <x:v>0</x:v>
      </x:c>
      <x:c r="M50" s="31" t="n">
        <x:v>856.8823475</x:v>
      </x:c>
      <x:c r="N50" s="24" t="str">
        <x:v>chanos chanos</x:v>
      </x:c>
      <x:c r="O50" s="32" t="n">
        <x:v>2.03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Chanos chanos</x:v>
      </x:c>
      <x:c r="T50" s="32" t="n">
        <x:f>IF(O50="","",(1/'Metadata'!$B$5)^(O50-1))</x:f>
        <x:v>10.71519305237606</x:v>
      </x:c>
      <x:c r="U50" s="31" t="n">
        <x:f>IF(T50="","",I50*T50)</x:f>
        <x:v>9181.65977663569</x:v>
      </x:c>
    </x:row>
    <x:row r="51" ht="18" customHeight="1">
      <x:c r="A51" s="24" t="str">
        <x:v>EEZ_923</x:v>
      </x:c>
      <x:c r="B51" s="24" t="str">
        <x:v>Iran (Sea of Oman)</x:v>
      </x:c>
      <x:c r="C51" s="24" t="str">
        <x:v>EEZ</x:v>
      </x:c>
      <x:c r="D51" s="30" t="n">
        <x:v>2019</x:v>
      </x:c>
      <x:c r="E51" s="24" t="str">
        <x:v>Sparidae</x:v>
      </x:c>
      <x:c r="F51" s="24" t="str">
        <x:v>Porgies, seabreams</x:v>
      </x:c>
      <x:c r="G51" s="24" t="str">
        <x:v>Medium benthopelagics (30 - 89 cm)</x:v>
      </x:c>
      <x:c r="H51" s="24" t="str">
        <x:v>Perch-likes</x:v>
      </x:c>
      <x:c r="I51" s="31" t="n">
        <x:v>856.8823475</x:v>
      </x:c>
      <x:c r="J51" s="31" t="n">
        <x:v>856.8823475</x:v>
      </x:c>
      <x:c r="K51" s="31" t="n">
        <x:v>0</x:v>
      </x:c>
      <x:c r="L51" s="31" t="n">
        <x:v>0</x:v>
      </x:c>
      <x:c r="M51" s="31" t="n">
        <x:v>856.8823475</x:v>
      </x:c>
      <x:c r="N51" s="24" t="str">
        <x:v>sparidae</x:v>
      </x:c>
      <x:c r="O51" s="32" t="n">
        <x:v>3.31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Sparidae</x:v>
      </x:c>
      <x:c r="T51" s="32" t="n">
        <x:f>IF(O51="","",(1/'Metadata'!$B$5)^(O51-1))</x:f>
        <x:v>204.17379446695296</x:v>
      </x:c>
      <x:c r="U51" s="31" t="n">
        <x:f>IF(T51="","",I51*T51)</x:f>
        <x:v>174952.92030082518</x:v>
      </x:c>
    </x:row>
    <x:row r="52" ht="18" customHeight="1">
      <x:c r="A52" s="24" t="str">
        <x:v>EEZ_923</x:v>
      </x:c>
      <x:c r="B52" s="24" t="str">
        <x:v>Iran (Sea of Oman)</x:v>
      </x:c>
      <x:c r="C52" s="24" t="str">
        <x:v>EEZ</x:v>
      </x:c>
      <x:c r="D52" s="30" t="n">
        <x:v>2019</x:v>
      </x:c>
      <x:c r="E52" s="24" t="str">
        <x:v>Serranidae</x:v>
      </x:c>
      <x:c r="F52" s="24" t="str">
        <x:v>Basses, groupers, hinds</x:v>
      </x:c>
      <x:c r="G52" s="24" t="str">
        <x:v>Medium reef assoc. fish (30 - 89 cm)</x:v>
      </x:c>
      <x:c r="H52" s="24" t="str">
        <x:v>Perch-likes</x:v>
      </x:c>
      <x:c r="I52" s="31" t="n">
        <x:v>856.8823475</x:v>
      </x:c>
      <x:c r="J52" s="31" t="n">
        <x:v>856.8823475</x:v>
      </x:c>
      <x:c r="K52" s="31" t="n">
        <x:v>0</x:v>
      </x:c>
      <x:c r="L52" s="31" t="n">
        <x:v>0</x:v>
      </x:c>
      <x:c r="M52" s="31" t="n">
        <x:v>856.8823475</x:v>
      </x:c>
      <x:c r="N52" s="24" t="str">
        <x:v>serranidae</x:v>
      </x:c>
      <x:c r="O52" s="32" t="n">
        <x:v>3.98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Serranidae</x:v>
      </x:c>
      <x:c r="T52" s="32" t="n">
        <x:f>IF(O52="","",(1/'Metadata'!$B$5)^(O52-1))</x:f>
        <x:v>954.992586021436</x:v>
      </x:c>
      <x:c r="U52" s="31" t="n">
        <x:f>IF(T52="","",I52*T52)</x:f>
        <x:v>818316.2889551438</x:v>
      </x:c>
    </x:row>
    <x:row r="53" ht="18" customHeight="1">
      <x:c r="A53" s="24" t="str">
        <x:v>EEZ_923</x:v>
      </x:c>
      <x:c r="B53" s="24" t="str">
        <x:v>Iran (Sea of Oman)</x:v>
      </x:c>
      <x:c r="C53" s="24" t="str">
        <x:v>EEZ</x:v>
      </x:c>
      <x:c r="D53" s="30" t="n">
        <x:v>2019</x:v>
      </x:c>
      <x:c r="E53" s="24" t="str">
        <x:v>Caranx</x:v>
      </x:c>
      <x:c r="F53" s="24" t="str">
        <x:v>Jacks</x:v>
      </x:c>
      <x:c r="G53" s="24" t="str">
        <x:v>Medium reef assoc. fish (30 - 89 cm)</x:v>
      </x:c>
      <x:c r="H53" s="24" t="str">
        <x:v>Perch-likes</x:v>
      </x:c>
      <x:c r="I53" s="31" t="n">
        <x:v>856.8823475</x:v>
      </x:c>
      <x:c r="J53" s="31" t="n">
        <x:v>856.8823475</x:v>
      </x:c>
      <x:c r="K53" s="31" t="n">
        <x:v>0</x:v>
      </x:c>
      <x:c r="L53" s="31" t="n">
        <x:v>0</x:v>
      </x:c>
      <x:c r="M53" s="31" t="n">
        <x:v>856.8823475</x:v>
      </x:c>
      <x:c r="N53" s="24" t="str">
        <x:v>caranx</x:v>
      </x:c>
      <x:c r="O53" s="32" t="n">
        <x:v>4.12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Caranx</x:v>
      </x:c>
      <x:c r="T53" s="32" t="n">
        <x:f>IF(O53="","",(1/'Metadata'!$B$5)^(O53-1))</x:f>
        <x:v>1318.2567385564075</x:v>
      </x:c>
      <x:c r="U53" s="31" t="n">
        <x:f>IF(T53="","",I53*T53)</x:f>
        <x:v>1129590.9287419084</x:v>
      </x:c>
    </x:row>
    <x:row r="54" ht="18" customHeight="1">
      <x:c r="A54" s="24" t="str">
        <x:v>EEZ_923</x:v>
      </x:c>
      <x:c r="B54" s="24" t="str">
        <x:v>Iran (Sea of Oman)</x:v>
      </x:c>
      <x:c r="C54" s="24" t="str">
        <x:v>EEZ</x:v>
      </x:c>
      <x:c r="D54" s="30" t="n">
        <x:v>2019</x:v>
      </x:c>
      <x:c r="E54" s="24" t="str">
        <x:v>Leiognathus equula</x:v>
      </x:c>
      <x:c r="F54" s="24" t="str">
        <x:v>Common ponyfish</x:v>
      </x:c>
      <x:c r="G54" s="24" t="str">
        <x:v>Small benthopelagics (&lt;30 cm)</x:v>
      </x:c>
      <x:c r="H54" s="24" t="str">
        <x:v>Perch-likes</x:v>
      </x:c>
      <x:c r="I54" s="31" t="n">
        <x:v>831.3198198378999</x:v>
      </x:c>
      <x:c r="J54" s="31" t="n">
        <x:v>831.3198198378999</x:v>
      </x:c>
      <x:c r="K54" s="31" t="n">
        <x:v>0</x:v>
      </x:c>
      <x:c r="L54" s="31" t="n">
        <x:v>423.5509286106</x:v>
      </x:c>
      <x:c r="M54" s="31" t="n">
        <x:v>407.76889122729995</x:v>
      </x:c>
      <x:c r="N54" s="24" t="str">
        <x:v>leiognathus equula</x:v>
      </x:c>
      <x:c r="O54" s="32" t="n">
        <x:v>2.95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Leiognathus equula</x:v>
      </x:c>
      <x:c r="T54" s="32" t="n">
        <x:f>IF(O54="","",(1/'Metadata'!$B$5)^(O54-1))</x:f>
        <x:v>89.12509381337459</x:v>
      </x:c>
      <x:c r="U54" s="31" t="n">
        <x:f>IF(T54="","",I54*T54)</x:f>
        <x:v>74091.45693197049</x:v>
      </x:c>
    </x:row>
    <x:row r="55" ht="18" customHeight="1">
      <x:c r="A55" s="24" t="str">
        <x:v>EEZ_923</x:v>
      </x:c>
      <x:c r="B55" s="24" t="str">
        <x:v>Iran (Sea of Oman)</x:v>
      </x:c>
      <x:c r="C55" s="24" t="str">
        <x:v>EEZ</x:v>
      </x:c>
      <x:c r="D55" s="30" t="n">
        <x:v>2019</x:v>
      </x:c>
      <x:c r="E55" s="24" t="str">
        <x:v>Siganus</x:v>
      </x:c>
      <x:c r="F55" s="24" t="str">
        <x:v>Spinefoots</x:v>
      </x:c>
      <x:c r="G55" s="24" t="str">
        <x:v>Medium reef assoc. fish (30 - 89 cm)</x:v>
      </x:c>
      <x:c r="H55" s="24" t="str">
        <x:v>Perch-likes</x:v>
      </x:c>
      <x:c r="I55" s="31" t="n">
        <x:v>799.242478389</x:v>
      </x:c>
      <x:c r="J55" s="31" t="n">
        <x:v>799.242478389</x:v>
      </x:c>
      <x:c r="K55" s="31" t="n">
        <x:v>0</x:v>
      </x:c>
      <x:c r="L55" s="31" t="n">
        <x:v>793.1359269552</x:v>
      </x:c>
      <x:c r="M55" s="31" t="n">
        <x:v>6.1065514338</x:v>
      </x:c>
      <x:c r="N55" s="24" t="str">
        <x:v>siganus</x:v>
      </x:c>
      <x:c r="O55" s="32" t="n">
        <x:v>2.11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Siganus</x:v>
      </x:c>
      <x:c r="T55" s="32" t="n">
        <x:f>IF(O55="","",(1/'Metadata'!$B$5)^(O55-1))</x:f>
        <x:v>12.882495516931336</x:v>
      </x:c>
      <x:c r="U55" s="31" t="n">
        <x:f>IF(T55="","",I55*T55)</x:f>
        <x:v>10296.237644787383</x:v>
      </x:c>
    </x:row>
    <x:row r="56" ht="18" customHeight="1">
      <x:c r="A56" s="24" t="str">
        <x:v>EEZ_923</x:v>
      </x:c>
      <x:c r="B56" s="24" t="str">
        <x:v>Iran (Sea of Oman)</x:v>
      </x:c>
      <x:c r="C56" s="24" t="str">
        <x:v>EEZ</x:v>
      </x:c>
      <x:c r="D56" s="30" t="n">
        <x:v>2019</x:v>
      </x:c>
      <x:c r="E56" s="24" t="str">
        <x:v>Rhizoprionodon acutus</x:v>
      </x:c>
      <x:c r="F56" s="24" t="str">
        <x:v>Milk shark</x:v>
      </x:c>
      <x:c r="G56" s="24" t="str">
        <x:v>Large sharks (&gt;=90 cm)</x:v>
      </x:c>
      <x:c r="H56" s="24" t="str">
        <x:v>Sharks &amp; rays</x:v>
      </x:c>
      <x:c r="I56" s="31" t="n">
        <x:v>737.7542268089</x:v>
      </x:c>
      <x:c r="J56" s="31" t="n">
        <x:v>737.7542268089</x:v>
      </x:c>
      <x:c r="K56" s="31" t="n">
        <x:v>0</x:v>
      </x:c>
      <x:c r="L56" s="31" t="n">
        <x:v>737.7542268089</x:v>
      </x:c>
      <x:c r="M56" s="31" t="n">
        <x:v>0</x:v>
      </x:c>
      <x:c r="N56" s="24" t="str">
        <x:v>rhizoprionodon acutus</x:v>
      </x:c>
      <x:c r="O56" s="32" t="n">
        <x:v>4.25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Rhizoprionodon acutus</x:v>
      </x:c>
      <x:c r="T56" s="32" t="n">
        <x:f>IF(O56="","",(1/'Metadata'!$B$5)^(O56-1))</x:f>
        <x:v>1778.2794100389228</x:v>
      </x:c>
      <x:c r="U56" s="31" t="n">
        <x:f>IF(T56="","",I56*T56)</x:f>
        <x:v>1311933.1512034521</x:v>
      </x:c>
    </x:row>
    <x:row r="57" ht="18" customHeight="1">
      <x:c r="A57" s="24" t="str">
        <x:v>EEZ_923</x:v>
      </x:c>
      <x:c r="B57" s="24" t="str">
        <x:v>Iran (Sea of Oman)</x:v>
      </x:c>
      <x:c r="C57" s="24" t="str">
        <x:v>EEZ</x:v>
      </x:c>
      <x:c r="D57" s="30" t="n">
        <x:v>2019</x:v>
      </x:c>
      <x:c r="E57" s="24" t="str">
        <x:v>Drepane punctata</x:v>
      </x:c>
      <x:c r="F57" s="24" t="str">
        <x:v>Spotted sicklefish</x:v>
      </x:c>
      <x:c r="G57" s="24" t="str">
        <x:v>Medium reef assoc. fish (30 - 89 cm)</x:v>
      </x:c>
      <x:c r="H57" s="24" t="str">
        <x:v>Perch-likes</x:v>
      </x:c>
      <x:c r="I57" s="31" t="n">
        <x:v>704.0266002068</x:v>
      </x:c>
      <x:c r="J57" s="31" t="n">
        <x:v>704.0266002068</x:v>
      </x:c>
      <x:c r="K57" s="31" t="n">
        <x:v>0</x:v>
      </x:c>
      <x:c r="L57" s="31" t="n">
        <x:v>685.5895120473</x:v>
      </x:c>
      <x:c r="M57" s="31" t="n">
        <x:v>18.437088159500004</x:v>
      </x:c>
      <x:c r="N57" s="24" t="str">
        <x:v>drepane punctata</x:v>
      </x:c>
      <x:c r="O57" s="32" t="n">
        <x:v>3.32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Drepane punctata</x:v>
      </x:c>
      <x:c r="T57" s="32" t="n">
        <x:f>IF(O57="","",(1/'Metadata'!$B$5)^(O57-1))</x:f>
        <x:v>208.92961308540387</x:v>
      </x:c>
      <x:c r="U57" s="31" t="n">
        <x:f>IF(T57="","",I57*T57)</x:f>
        <x:v>147092.00518303906</x:v>
      </x:c>
    </x:row>
    <x:row r="58" ht="18" customHeight="1">
      <x:c r="A58" s="24" t="str">
        <x:v>EEZ_923</x:v>
      </x:c>
      <x:c r="B58" s="24" t="str">
        <x:v>Iran (Sea of Oman)</x:v>
      </x:c>
      <x:c r="C58" s="24" t="str">
        <x:v>EEZ</x:v>
      </x:c>
      <x:c r="D58" s="30" t="n">
        <x:v>2019</x:v>
      </x:c>
      <x:c r="E58" s="24" t="str">
        <x:v>Moolgarda seheli</x:v>
      </x:c>
      <x:c r="F58" s="24" t="str">
        <x:v>Bluespot mullet</x:v>
      </x:c>
      <x:c r="G58" s="24" t="str">
        <x:v>Medium reef assoc. fish (30 - 89 cm)</x:v>
      </x:c>
      <x:c r="H58" s="24" t="str">
        <x:v>Perch-likes</x:v>
      </x:c>
      <x:c r="I58" s="31" t="n">
        <x:v>702.3654685102999</x:v>
      </x:c>
      <x:c r="J58" s="31" t="n">
        <x:v>702.3654685102999</x:v>
      </x:c>
      <x:c r="K58" s="31" t="n">
        <x:v>0</x:v>
      </x:c>
      <x:c r="L58" s="31" t="n">
        <x:v>702.3654685102999</x:v>
      </x:c>
      <x:c r="M58" s="31" t="n">
        <x:v>0</x:v>
      </x:c>
      <x:c r="N58" s="24" t="str">
        <x:v>moolgarda seheli</x:v>
      </x:c>
      <x:c r="O58" s="32" t="n">
        <x:v>2.32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Moolgarda seheli</x:v>
      </x:c>
      <x:c r="T58" s="32" t="n">
        <x:f>IF(O58="","",(1/'Metadata'!$B$5)^(O58-1))</x:f>
        <x:v>20.892961308540386</x:v>
      </x:c>
      <x:c r="U58" s="31" t="n">
        <x:f>IF(T58="","",I58*T58)</x:f>
        <x:v>14674.494558040537</x:v>
      </x:c>
    </x:row>
    <x:row r="59" ht="18" customHeight="1">
      <x:c r="A59" s="24" t="str">
        <x:v>EEZ_923</x:v>
      </x:c>
      <x:c r="B59" s="24" t="str">
        <x:v>Iran (Sea of Oman)</x:v>
      </x:c>
      <x:c r="C59" s="24" t="str">
        <x:v>EEZ</x:v>
      </x:c>
      <x:c r="D59" s="30" t="n">
        <x:v>2019</x:v>
      </x:c>
      <x:c r="E59" s="24" t="str">
        <x:v>Eleutheronema tetradactylum</x:v>
      </x:c>
      <x:c r="F59" s="24" t="str">
        <x:v>Fourfinger threadfin</x:v>
      </x:c>
      <x:c r="G59" s="24" t="str">
        <x:v>Large demersals (&gt;=90 cm)</x:v>
      </x:c>
      <x:c r="H59" s="24" t="str">
        <x:v>Perch-likes</x:v>
      </x:c>
      <x:c r="I59" s="31" t="n">
        <x:v>699.1311871434</x:v>
      </x:c>
      <x:c r="J59" s="31" t="n">
        <x:v>699.1311871434</x:v>
      </x:c>
      <x:c r="K59" s="31" t="n">
        <x:v>0</x:v>
      </x:c>
      <x:c r="L59" s="31" t="n">
        <x:v>698.0742840226</x:v>
      </x:c>
      <x:c r="M59" s="31" t="n">
        <x:v>1.0569031208000002</x:v>
      </x:c>
      <x:c r="N59" s="24" t="str">
        <x:v>eleutheronema tetradactylum</x:v>
      </x:c>
      <x:c r="O59" s="32" t="n">
        <x:v>4.06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Eleutheronema tetradactylum</x:v>
      </x:c>
      <x:c r="T59" s="32" t="n">
        <x:f>IF(O59="","",(1/'Metadata'!$B$5)^(O59-1))</x:f>
        <x:v>1148.1536214968817</x:v>
      </x:c>
      <x:c r="U59" s="31" t="n">
        <x:f>IF(T59="","",I59*T59)</x:f>
        <x:v>802710.0044201089</x:v>
      </x:c>
    </x:row>
    <x:row r="60" ht="18" customHeight="1">
      <x:c r="A60" s="24" t="str">
        <x:v>EEZ_923</x:v>
      </x:c>
      <x:c r="B60" s="24" t="str">
        <x:v>Iran (Sea of Oman)</x:v>
      </x:c>
      <x:c r="C60" s="24" t="str">
        <x:v>EEZ</x:v>
      </x:c>
      <x:c r="D60" s="30" t="n">
        <x:v>2019</x:v>
      </x:c>
      <x:c r="E60" s="24" t="str">
        <x:v>Lutjanus malabaricus</x:v>
      </x:c>
      <x:c r="F60" s="24" t="str">
        <x:v>Malabar blood snapper</x:v>
      </x:c>
      <x:c r="G60" s="24" t="str">
        <x:v>Medium reef assoc. fish (30 - 89 cm)</x:v>
      </x:c>
      <x:c r="H60" s="24" t="str">
        <x:v>Perch-likes</x:v>
      </x:c>
      <x:c r="I60" s="31" t="n">
        <x:v>611.1109621897</x:v>
      </x:c>
      <x:c r="J60" s="31" t="n">
        <x:v>611.1109621897</x:v>
      </x:c>
      <x:c r="K60" s="31" t="n">
        <x:v>0</x:v>
      </x:c>
      <x:c r="L60" s="31" t="n">
        <x:v>610.0540590686</x:v>
      </x:c>
      <x:c r="M60" s="31" t="n">
        <x:v>1.0569031211</x:v>
      </x:c>
      <x:c r="N60" s="24" t="str">
        <x:v>lutjanus malabaricus</x:v>
      </x:c>
      <x:c r="O60" s="32" t="n">
        <x:v>4.48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Lutjanus malabaricus</x:v>
      </x:c>
      <x:c r="T60" s="32" t="n">
        <x:f>IF(O60="","",(1/'Metadata'!$B$5)^(O60-1))</x:f>
        <x:v>3019.951720402019</x:v>
      </x:c>
      <x:c r="U60" s="31" t="n">
        <x:f>IF(T60="","",I60*T60)</x:f>
        <x:v>1845525.6016213177</x:v>
      </x:c>
    </x:row>
    <x:row r="61" ht="18" customHeight="1">
      <x:c r="A61" s="24" t="str">
        <x:v>EEZ_923</x:v>
      </x:c>
      <x:c r="B61" s="24" t="str">
        <x:v>Iran (Sea of Oman)</x:v>
      </x:c>
      <x:c r="C61" s="24" t="str">
        <x:v>EEZ</x:v>
      </x:c>
      <x:c r="D61" s="30" t="n">
        <x:v>2019</x:v>
      </x:c>
      <x:c r="E61" s="24" t="str">
        <x:v>Tenualosa ilisha</x:v>
      </x:c>
      <x:c r="F61" s="24" t="str">
        <x:v>Hilsa shad</x:v>
      </x:c>
      <x:c r="G61" s="24" t="str">
        <x:v>Medium pelagics (30 - 89 cm)</x:v>
      </x:c>
      <x:c r="H61" s="24" t="str">
        <x:v>Herring-likes</x:v>
      </x:c>
      <x:c r="I61" s="31" t="n">
        <x:v>549.0751032277</x:v>
      </x:c>
      <x:c r="J61" s="31" t="n">
        <x:v>549.0751032277</x:v>
      </x:c>
      <x:c r="K61" s="31" t="n">
        <x:v>0</x:v>
      </x:c>
      <x:c r="L61" s="31" t="n">
        <x:v>544.9649243187</x:v>
      </x:c>
      <x:c r="M61" s="31" t="n">
        <x:v>4.110178909</x:v>
      </x:c>
      <x:c r="N61" s="24" t="str">
        <x:v>tenualosa ilisha</x:v>
      </x:c>
      <x:c r="O61" s="32" t="n">
        <x:v>2.2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Tenualosa ilisha</x:v>
      </x:c>
      <x:c r="T61" s="32" t="n">
        <x:f>IF(O61="","",(1/'Metadata'!$B$5)^(O61-1))</x:f>
        <x:v>15.848931924611142</x:v>
      </x:c>
      <x:c r="U61" s="31" t="n">
        <x:f>IF(T61="","",I61*T61)</x:f>
        <x:v>8702.253932554651</x:v>
      </x:c>
    </x:row>
    <x:row r="62" ht="18" customHeight="1">
      <x:c r="A62" s="24" t="str">
        <x:v>EEZ_923</x:v>
      </x:c>
      <x:c r="B62" s="24" t="str">
        <x:v>Iran (Sea of Oman)</x:v>
      </x:c>
      <x:c r="C62" s="24" t="str">
        <x:v>EEZ</x:v>
      </x:c>
      <x:c r="D62" s="30" t="n">
        <x:v>2019</x:v>
      </x:c>
      <x:c r="E62" s="24" t="str">
        <x:v>Saurida</x:v>
      </x:c>
      <x:c r="F62" s="24" t="str">
        <x:v>Lizardfishes</x:v>
      </x:c>
      <x:c r="G62" s="24" t="str">
        <x:v>Medium demersals (30 - 89 cm)</x:v>
      </x:c>
      <x:c r="H62" s="24" t="str">
        <x:v>Other fishes &amp; inverts</x:v>
      </x:c>
      <x:c r="I62" s="31" t="n">
        <x:v>423.2812068065</x:v>
      </x:c>
      <x:c r="J62" s="31" t="n">
        <x:v>423.2812068065</x:v>
      </x:c>
      <x:c r="K62" s="31" t="n">
        <x:v>0</x:v>
      </x:c>
      <x:c r="L62" s="31" t="n">
        <x:v>215.6584549635</x:v>
      </x:c>
      <x:c r="M62" s="31" t="n">
        <x:v>207.622751843</x:v>
      </x:c>
      <x:c r="N62" s="24" t="str">
        <x:v>saurida</x:v>
      </x:c>
      <x:c r="O62" s="32" t="n">
        <x:v>4.35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Saurida</x:v>
      </x:c>
      <x:c r="T62" s="32" t="n">
        <x:f>IF(O62="","",(1/'Metadata'!$B$5)^(O62-1))</x:f>
        <x:v>2238.7211385683377</x:v>
      </x:c>
      <x:c r="U62" s="31" t="n">
        <x:f>IF(T62="","",I62*T62)</x:f>
        <x:v>947608.5852364277</x:v>
      </x:c>
    </x:row>
    <x:row r="63" ht="18" customHeight="1">
      <x:c r="A63" s="24" t="str">
        <x:v>EEZ_923</x:v>
      </x:c>
      <x:c r="B63" s="24" t="str">
        <x:v>Iran (Sea of Oman)</x:v>
      </x:c>
      <x:c r="C63" s="24" t="str">
        <x:v>EEZ</x:v>
      </x:c>
      <x:c r="D63" s="30" t="n">
        <x:v>2019</x:v>
      </x:c>
      <x:c r="E63" s="24" t="str">
        <x:v>Carcharhinus falciformis</x:v>
      </x:c>
      <x:c r="F63" s="24" t="str">
        <x:v>Silky shark</x:v>
      </x:c>
      <x:c r="G63" s="24" t="str">
        <x:v>Large sharks (&gt;=90 cm)</x:v>
      </x:c>
      <x:c r="H63" s="24" t="str">
        <x:v>Sharks &amp; rays</x:v>
      </x:c>
      <x:c r="I63" s="31" t="n">
        <x:v>384.4936708849</x:v>
      </x:c>
      <x:c r="J63" s="31" t="n">
        <x:v>384.4936708849</x:v>
      </x:c>
      <x:c r="K63" s="31" t="n">
        <x:v>0</x:v>
      </x:c>
      <x:c r="L63" s="31" t="n">
        <x:v>384.4936708849</x:v>
      </x:c>
      <x:c r="M63" s="31" t="n">
        <x:v>0</x:v>
      </x:c>
      <x:c r="N63" s="24" t="str">
        <x:v>carcharhinus falciformis</x:v>
      </x:c>
      <x:c r="O63" s="32" t="n">
        <x:v>4.51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Carcharhinus falciformis</x:v>
      </x:c>
      <x:c r="T63" s="32" t="n">
        <x:f>IF(O63="","",(1/'Metadata'!$B$5)^(O63-1))</x:f>
        <x:v>3235.936569296281</x:v>
      </x:c>
      <x:c r="U63" s="31" t="n">
        <x:f>IF(T63="","",I63*T63)</x:f>
        <x:v>1244197.1302794167</x:v>
      </x:c>
    </x:row>
    <x:row r="64" ht="18" customHeight="1">
      <x:c r="A64" s="24" t="str">
        <x:v>EEZ_923</x:v>
      </x:c>
      <x:c r="B64" s="24" t="str">
        <x:v>Iran (Sea of Oman)</x:v>
      </x:c>
      <x:c r="C64" s="24" t="str">
        <x:v>EEZ</x:v>
      </x:c>
      <x:c r="D64" s="30" t="n">
        <x:v>2019</x:v>
      </x:c>
      <x:c r="E64" s="24" t="str">
        <x:v>Planiliza klunzingeri</x:v>
      </x:c>
      <x:c r="F64" s="24" t="str">
        <x:v>Klunzinger's mullet</x:v>
      </x:c>
      <x:c r="G64" s="24" t="str">
        <x:v>Small demersals (&lt;30 cm)</x:v>
      </x:c>
      <x:c r="H64" s="24" t="str">
        <x:v>Perch-likes</x:v>
      </x:c>
      <x:c r="I64" s="31" t="n">
        <x:v>353.87723093719995</x:v>
      </x:c>
      <x:c r="J64" s="31" t="n">
        <x:v>353.87723093719995</x:v>
      </x:c>
      <x:c r="K64" s="31" t="n">
        <x:v>0</x:v>
      </x:c>
      <x:c r="L64" s="31" t="n">
        <x:v>353.87723093719995</x:v>
      </x:c>
      <x:c r="M64" s="31" t="n">
        <x:v>0</x:v>
      </x:c>
      <x:c r="N64" s="24" t="str">
        <x:v>planiliza klunzingeri</x:v>
      </x:c>
      <x:c r="O64" s="32" t="n">
        <x:v>2.63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Planiliza klunzingeri</x:v>
      </x:c>
      <x:c r="T64" s="32" t="n">
        <x:f>IF(O64="","",(1/'Metadata'!$B$5)^(O64-1))</x:f>
        <x:v>42.65795188015925</x:v>
      </x:c>
      <x:c r="U64" s="31" t="n">
        <x:f>IF(T64="","",I64*T64)</x:f>
        <x:v>15095.677888803079</x:v>
      </x:c>
    </x:row>
    <x:row r="65" ht="18" customHeight="1">
      <x:c r="A65" s="24" t="str">
        <x:v>EEZ_923</x:v>
      </x:c>
      <x:c r="B65" s="24" t="str">
        <x:v>Iran (Sea of Oman)</x:v>
      </x:c>
      <x:c r="C65" s="24" t="str">
        <x:v>EEZ</x:v>
      </x:c>
      <x:c r="D65" s="30" t="n">
        <x:v>2019</x:v>
      </x:c>
      <x:c r="E65" s="24" t="str">
        <x:v>Rhinobatidae</x:v>
      </x:c>
      <x:c r="F65" s="24" t="str">
        <x:v>Guitarfishes, fanrays</x:v>
      </x:c>
      <x:c r="G65" s="24" t="str">
        <x:v>Large rays (&gt;=90 cm)</x:v>
      </x:c>
      <x:c r="H65" s="24" t="str">
        <x:v>Sharks &amp; rays</x:v>
      </x:c>
      <x:c r="I65" s="31" t="n">
        <x:v>326.4294380048</x:v>
      </x:c>
      <x:c r="J65" s="31" t="n">
        <x:v>0</x:v>
      </x:c>
      <x:c r="K65" s="31" t="n">
        <x:v>326.4294380048</x:v>
      </x:c>
      <x:c r="L65" s="31" t="n">
        <x:v>0</x:v>
      </x:c>
      <x:c r="M65" s="31" t="n">
        <x:v>326.4294380048</x:v>
      </x:c>
      <x:c r="N65" s="24" t="str">
        <x:v>rhinobatidae</x:v>
      </x:c>
      <x:c r="O65" s="32" t="n">
        <x:v>3.7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Rhinobatidae</x:v>
      </x:c>
      <x:c r="T65" s="32" t="n">
        <x:f>IF(O65="","",(1/'Metadata'!$B$5)^(O65-1))</x:f>
        <x:v>501.18723362727246</x:v>
      </x:c>
      <x:c r="U65" s="31" t="n">
        <x:f>IF(T65="","",I65*T65)</x:f>
        <x:v>163602.26700813093</x:v>
      </x:c>
    </x:row>
    <x:row r="66" ht="18" customHeight="1">
      <x:c r="A66" s="24" t="str">
        <x:v>EEZ_923</x:v>
      </x:c>
      <x:c r="B66" s="24" t="str">
        <x:v>Iran (Sea of Oman)</x:v>
      </x:c>
      <x:c r="C66" s="24" t="str">
        <x:v>EEZ</x:v>
      </x:c>
      <x:c r="D66" s="30" t="n">
        <x:v>2019</x:v>
      </x:c>
      <x:c r="E66" s="24" t="str">
        <x:v>Aetobatus narinari</x:v>
      </x:c>
      <x:c r="F66" s="24" t="str">
        <x:v>Spotted eagle ray</x:v>
      </x:c>
      <x:c r="G66" s="24" t="str">
        <x:v>Large rays (&gt;=90 cm)</x:v>
      </x:c>
      <x:c r="H66" s="24" t="str">
        <x:v>Sharks &amp; rays</x:v>
      </x:c>
      <x:c r="I66" s="31" t="n">
        <x:v>294.7965264696</x:v>
      </x:c>
      <x:c r="J66" s="31" t="n">
        <x:v>294.7965264696</x:v>
      </x:c>
      <x:c r="K66" s="31" t="n">
        <x:v>0</x:v>
      </x:c>
      <x:c r="L66" s="31" t="n">
        <x:v>150.1965182112</x:v>
      </x:c>
      <x:c r="M66" s="31" t="n">
        <x:v>144.6000082584</x:v>
      </x:c>
      <x:c r="N66" s="24" t="str">
        <x:v>aetobatus narinari</x:v>
      </x:c>
      <x:c r="O66" s="32" t="n">
        <x:v>4.17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Aetobatus narinari</x:v>
      </x:c>
      <x:c r="T66" s="32" t="n">
        <x:f>IF(O66="","",(1/'Metadata'!$B$5)^(O66-1))</x:f>
        <x:v>1479.1083881682073</x:v>
      </x:c>
      <x:c r="U66" s="31" t="n">
        <x:f>IF(T66="","",I66*T66)</x:f>
        <x:v>436036.0151040363</x:v>
      </x:c>
    </x:row>
    <x:row r="67" ht="18" customHeight="1">
      <x:c r="A67" s="24" t="str">
        <x:v>EEZ_923</x:v>
      </x:c>
      <x:c r="B67" s="24" t="str">
        <x:v>Iran (Sea of Oman)</x:v>
      </x:c>
      <x:c r="C67" s="24" t="str">
        <x:v>EEZ</x:v>
      </x:c>
      <x:c r="D67" s="30" t="n">
        <x:v>2019</x:v>
      </x:c>
      <x:c r="E67" s="24" t="str">
        <x:v>Xiphias gladius</x:v>
      </x:c>
      <x:c r="F67" s="24" t="str">
        <x:v>Swordfish</x:v>
      </x:c>
      <x:c r="G67" s="24" t="str">
        <x:v>Large pelagics (&gt;=90 cm)</x:v>
      </x:c>
      <x:c r="H67" s="24" t="str">
        <x:v>Tuna &amp; billfishes</x:v>
      </x:c>
      <x:c r="I67" s="31" t="n">
        <x:v>260.4452204785</x:v>
      </x:c>
      <x:c r="J67" s="31" t="n">
        <x:v>260.4452204785</x:v>
      </x:c>
      <x:c r="K67" s="31" t="n">
        <x:v>0</x:v>
      </x:c>
      <x:c r="L67" s="31" t="n">
        <x:v>260.4452204785</x:v>
      </x:c>
      <x:c r="M67" s="31" t="n">
        <x:v>0</x:v>
      </x:c>
      <x:c r="N67" s="24" t="str">
        <x:v>xiphias gladius</x:v>
      </x:c>
      <x:c r="O67" s="32" t="n">
        <x:v>4.53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Xiphias gladius</x:v>
      </x:c>
      <x:c r="T67" s="32" t="n">
        <x:f>IF(O67="","",(1/'Metadata'!$B$5)^(O67-1))</x:f>
        <x:v>3388.4415613920273</x:v>
      </x:c>
      <x:c r="U67" s="31" t="n">
        <x:f>IF(T67="","",I67*T67)</x:f>
        <x:v>882503.4095352594</x:v>
      </x:c>
    </x:row>
    <x:row r="68" ht="18" customHeight="1">
      <x:c r="A68" s="24" t="str">
        <x:v>EEZ_923</x:v>
      </x:c>
      <x:c r="B68" s="24" t="str">
        <x:v>Iran (Sea of Oman)</x:v>
      </x:c>
      <x:c r="C68" s="24" t="str">
        <x:v>EEZ</x:v>
      </x:c>
      <x:c r="D68" s="30" t="n">
        <x:v>2019</x:v>
      </x:c>
      <x:c r="E68" s="24" t="str">
        <x:v>Grammoplites suppositus</x:v>
      </x:c>
      <x:c r="F68" s="24" t="str">
        <x:v>Spotfin flathead</x:v>
      </x:c>
      <x:c r="G68" s="24" t="str">
        <x:v>Small demersals (&lt;30 cm)</x:v>
      </x:c>
      <x:c r="H68" s="24" t="str">
        <x:v>Scorpionfishes</x:v>
      </x:c>
      <x:c r="I68" s="31" t="n">
        <x:v>251.3830693718</x:v>
      </x:c>
      <x:c r="J68" s="31" t="n">
        <x:v>251.3830693718</x:v>
      </x:c>
      <x:c r="K68" s="31" t="n">
        <x:v>0</x:v>
      </x:c>
      <x:c r="L68" s="31" t="n">
        <x:v>128.0777023346</x:v>
      </x:c>
      <x:c r="M68" s="31" t="n">
        <x:v>123.3053670372</x:v>
      </x:c>
      <x:c r="N68" s="24" t="str">
        <x:v>grammoplites suppositus</x:v>
      </x:c>
      <x:c r="O68" s="32" t="n">
        <x:v>3.84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Grammoplites suppositus</x:v>
      </x:c>
      <x:c r="T68" s="32" t="n">
        <x:f>IF(O68="","",(1/'Metadata'!$B$5)^(O68-1))</x:f>
        <x:v>691.8309709189363</x:v>
      </x:c>
      <x:c r="U68" s="31" t="n">
        <x:f>IF(T68="","",I68*T68)</x:f>
        <x:v>173914.5929560747</x:v>
      </x:c>
    </x:row>
    <x:row r="69" ht="18" customHeight="1">
      <x:c r="A69" s="24" t="str">
        <x:v>EEZ_923</x:v>
      </x:c>
      <x:c r="B69" s="24" t="str">
        <x:v>Iran (Sea of Oman)</x:v>
      </x:c>
      <x:c r="C69" s="24" t="str">
        <x:v>EEZ</x:v>
      </x:c>
      <x:c r="D69" s="30" t="n">
        <x:v>2019</x:v>
      </x:c>
      <x:c r="E69" s="24" t="str">
        <x:v>Anodontostoma chacunda</x:v>
      </x:c>
      <x:c r="F69" s="24" t="str">
        <x:v>Chacunda gizzard shad</x:v>
      </x:c>
      <x:c r="G69" s="24" t="str">
        <x:v>Small pelagics (&lt;30 cm)</x:v>
      </x:c>
      <x:c r="H69" s="24" t="str">
        <x:v>Herring-likes</x:v>
      </x:c>
      <x:c r="I69" s="31" t="n">
        <x:v>217.8653267692</x:v>
      </x:c>
      <x:c r="J69" s="31" t="n">
        <x:v>217.8653267692</x:v>
      </x:c>
      <x:c r="K69" s="31" t="n">
        <x:v>0</x:v>
      </x:c>
      <x:c r="L69" s="31" t="n">
        <x:v>111.0006753539</x:v>
      </x:c>
      <x:c r="M69" s="31" t="n">
        <x:v>106.8646514153</x:v>
      </x:c>
      <x:c r="N69" s="24" t="str">
        <x:v>anodontostoma chacunda</x:v>
      </x:c>
      <x:c r="O69" s="32" t="n">
        <x:v>2.84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Anodontostoma chacunda</x:v>
      </x:c>
      <x:c r="T69" s="32" t="n">
        <x:f>IF(O69="","",(1/'Metadata'!$B$5)^(O69-1))</x:f>
        <x:v>69.18309709189363</x:v>
      </x:c>
      <x:c r="U69" s="31" t="n">
        <x:f>IF(T69="","",I69*T69)</x:f>
        <x:v>15072.598054830696</x:v>
      </x:c>
    </x:row>
    <x:row r="70" ht="18" customHeight="1">
      <x:c r="A70" s="24" t="str">
        <x:v>EEZ_923</x:v>
      </x:c>
      <x:c r="B70" s="24" t="str">
        <x:v>Iran (Sea of Oman)</x:v>
      </x:c>
      <x:c r="C70" s="24" t="str">
        <x:v>EEZ</x:v>
      </x:c>
      <x:c r="D70" s="30" t="n">
        <x:v>2019</x:v>
      </x:c>
      <x:c r="E70" s="24" t="str">
        <x:v>Metapenaeus</x:v>
      </x:c>
      <x:c r="F70" s="24" t="str">
        <x:v>Indo-Pacific prawns</x:v>
      </x:c>
      <x:c r="G70" s="24" t="str">
        <x:v>Shrimps</x:v>
      </x:c>
      <x:c r="H70" s="24" t="str">
        <x:v>Crustaceans</x:v>
      </x:c>
      <x:c r="I70" s="31" t="n">
        <x:v>212.3200985638</x:v>
      </x:c>
      <x:c r="J70" s="31" t="n">
        <x:v>212.3200985638</x:v>
      </x:c>
      <x:c r="K70" s="31" t="n">
        <x:v>0</x:v>
      </x:c>
      <x:c r="L70" s="31" t="n">
        <x:v>0</x:v>
      </x:c>
      <x:c r="M70" s="31" t="n">
        <x:v>212.3200985638</x:v>
      </x:c>
      <x:c r="N70" s="24" t="str">
        <x:v>metapenaeus</x:v>
      </x:c>
      <x:c r="O70" s="32" t="n">
        <x:v>2.7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Metapenaeus</x:v>
      </x:c>
      <x:c r="T70" s="32" t="n">
        <x:f>IF(O70="","",(1/'Metadata'!$B$5)^(O70-1))</x:f>
        <x:v>50.11872336272725</x:v>
      </x:c>
      <x:c r="U70" s="31" t="n">
        <x:f>IF(T70="","",I70*T70)</x:f>
        <x:v>10641.212284266076</x:v>
      </x:c>
    </x:row>
    <x:row r="71" ht="18" customHeight="1">
      <x:c r="A71" s="24" t="str">
        <x:v>EEZ_923</x:v>
      </x:c>
      <x:c r="B71" s="24" t="str">
        <x:v>Iran (Sea of Oman)</x:v>
      </x:c>
      <x:c r="C71" s="24" t="str">
        <x:v>EEZ</x:v>
      </x:c>
      <x:c r="D71" s="30" t="n">
        <x:v>2019</x:v>
      </x:c>
      <x:c r="E71" s="24" t="str">
        <x:v>Alectis ciliaris</x:v>
      </x:c>
      <x:c r="F71" s="24" t="str">
        <x:v>African pompano</x:v>
      </x:c>
      <x:c r="G71" s="24" t="str">
        <x:v>Large pelagics (&gt;=90 cm)</x:v>
      </x:c>
      <x:c r="H71" s="24" t="str">
        <x:v>Perch-likes</x:v>
      </x:c>
      <x:c r="I71" s="31" t="n">
        <x:v>210.1707412165</x:v>
      </x:c>
      <x:c r="J71" s="31" t="n">
        <x:v>210.1707412165</x:v>
      </x:c>
      <x:c r="K71" s="31" t="n">
        <x:v>0</x:v>
      </x:c>
      <x:c r="L71" s="31" t="n">
        <x:v>210.1707412165</x:v>
      </x:c>
      <x:c r="M71" s="31" t="n">
        <x:v>0</x:v>
      </x:c>
      <x:c r="N71" s="24" t="str">
        <x:v>alectis ciliaris</x:v>
      </x:c>
      <x:c r="O71" s="32" t="n">
        <x:v>3.95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Alectis ciliaris</x:v>
      </x:c>
      <x:c r="T71" s="32" t="n">
        <x:f>IF(O71="","",(1/'Metadata'!$B$5)^(O71-1))</x:f>
        <x:v>891.2509381337459</x:v>
      </x:c>
      <x:c r="U71" s="31" t="n">
        <x:f>IF(T71="","",I71*T71)</x:f>
        <x:v>187314.87027747036</x:v>
      </x:c>
    </x:row>
    <x:row r="72" ht="18" customHeight="1">
      <x:c r="A72" s="24" t="str">
        <x:v>EEZ_923</x:v>
      </x:c>
      <x:c r="B72" s="24" t="str">
        <x:v>Iran (Sea of Oman)</x:v>
      </x:c>
      <x:c r="C72" s="24" t="str">
        <x:v>EEZ</x:v>
      </x:c>
      <x:c r="D72" s="30" t="n">
        <x:v>2019</x:v>
      </x:c>
      <x:c r="E72" s="24" t="str">
        <x:v>Kajikia audax</x:v>
      </x:c>
      <x:c r="F72" s="24" t="str">
        <x:v>Striped marlin</x:v>
      </x:c>
      <x:c r="G72" s="24" t="str">
        <x:v>Large pelagics (&gt;=90 cm)</x:v>
      </x:c>
      <x:c r="H72" s="24" t="str">
        <x:v>Tuna &amp; billfishes</x:v>
      </x:c>
      <x:c r="I72" s="31" t="n">
        <x:v>187.8827514266</x:v>
      </x:c>
      <x:c r="J72" s="31" t="n">
        <x:v>187.8827514266</x:v>
      </x:c>
      <x:c r="K72" s="31" t="n">
        <x:v>0</x:v>
      </x:c>
      <x:c r="L72" s="31" t="n">
        <x:v>187.8827514266</x:v>
      </x:c>
      <x:c r="M72" s="31" t="n">
        <x:v>0</x:v>
      </x:c>
      <x:c r="N72" s="24" t="str">
        <x:v>kajikia audax</x:v>
      </x:c>
      <x:c r="O72" s="32" t="n">
        <x:v>4.58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Kajikia audax</x:v>
      </x:c>
      <x:c r="T72" s="32" t="n">
        <x:f>IF(O72="","",(1/'Metadata'!$B$5)^(O72-1))</x:f>
        <x:v>3801.8939632056126</x:v>
      </x:c>
      <x:c r="U72" s="31" t="n">
        <x:f>IF(T72="","",I72*T72)</x:f>
        <x:v>714310.2984392513</x:v>
      </x:c>
    </x:row>
    <x:row r="73" ht="18" customHeight="1">
      <x:c r="A73" s="24" t="str">
        <x:v>EEZ_923</x:v>
      </x:c>
      <x:c r="B73" s="24" t="str">
        <x:v>Iran (Sea of Oman)</x:v>
      </x:c>
      <x:c r="C73" s="24" t="str">
        <x:v>EEZ</x:v>
      </x:c>
      <x:c r="D73" s="30" t="n">
        <x:v>2019</x:v>
      </x:c>
      <x:c r="E73" s="24" t="str">
        <x:v>Carcharhinus sorrah</x:v>
      </x:c>
      <x:c r="F73" s="24" t="str">
        <x:v>Spottail shark</x:v>
      </x:c>
      <x:c r="G73" s="24" t="str">
        <x:v>Large sharks (&gt;=90 cm)</x:v>
      </x:c>
      <x:c r="H73" s="24" t="str">
        <x:v>Sharks &amp; rays</x:v>
      </x:c>
      <x:c r="I73" s="31" t="n">
        <x:v>174.4610506295</x:v>
      </x:c>
      <x:c r="J73" s="31" t="n">
        <x:v>174.4610506295</x:v>
      </x:c>
      <x:c r="K73" s="31" t="n">
        <x:v>0</x:v>
      </x:c>
      <x:c r="L73" s="31" t="n">
        <x:v>174.4610506295</x:v>
      </x:c>
      <x:c r="M73" s="31" t="n">
        <x:v>0</x:v>
      </x:c>
      <x:c r="N73" s="24" t="str">
        <x:v>carcharhinus sorrah</x:v>
      </x:c>
      <x:c r="O73" s="32" t="n">
        <x:v>4.15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Carcharhinus sorrah</x:v>
      </x:c>
      <x:c r="T73" s="32" t="n">
        <x:f>IF(O73="","",(1/'Metadata'!$B$5)^(O73-1))</x:f>
        <x:v>1412.5375446227554</x:v>
      </x:c>
      <x:c r="U73" s="31" t="n">
        <x:f>IF(T73="","",I73*T73)</x:f>
        <x:v>246432.78408850014</x:v>
      </x:c>
    </x:row>
    <x:row r="74" ht="18" customHeight="1">
      <x:c r="A74" s="24" t="str">
        <x:v>EEZ_923</x:v>
      </x:c>
      <x:c r="B74" s="24" t="str">
        <x:v>Iran (Sea of Oman)</x:v>
      </x:c>
      <x:c r="C74" s="24" t="str">
        <x:v>EEZ</x:v>
      </x:c>
      <x:c r="D74" s="30" t="n">
        <x:v>2019</x:v>
      </x:c>
      <x:c r="E74" s="24" t="str">
        <x:v>Soleidae</x:v>
      </x:c>
      <x:c r="F74" s="24" t="str">
        <x:v>Soles</x:v>
      </x:c>
      <x:c r="G74" s="24" t="str">
        <x:v>Small to medium flatfishes (&lt;90 cm)</x:v>
      </x:c>
      <x:c r="H74" s="24" t="str">
        <x:v>Flatfishes</x:v>
      </x:c>
      <x:c r="I74" s="31" t="n">
        <x:v>161.8052389507</x:v>
      </x:c>
      <x:c r="J74" s="31" t="n">
        <x:v>161.3639893413</x:v>
      </x:c>
      <x:c r="K74" s="31" t="n">
        <x:v>0.4412496094</x:v>
      </x:c>
      <x:c r="L74" s="31" t="n">
        <x:v>82.2136870027</x:v>
      </x:c>
      <x:c r="M74" s="31" t="n">
        <x:v>79.591551948</x:v>
      </x:c>
      <x:c r="N74" s="24" t="str">
        <x:v>soleidae</x:v>
      </x:c>
      <x:c r="O74" s="32" t="n">
        <x:v>3.15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Soleidae</x:v>
      </x:c>
      <x:c r="T74" s="32" t="n">
        <x:f>IF(O74="","",(1/'Metadata'!$B$5)^(O74-1))</x:f>
        <x:v>141.2537544622754</x:v>
      </x:c>
      <x:c r="U74" s="31" t="n">
        <x:f>IF(T74="","",I74*T74)</x:f>
        <x:v>22855.597493451976</x:v>
      </x:c>
    </x:row>
    <x:row r="75" ht="18" customHeight="1">
      <x:c r="A75" s="24" t="str">
        <x:v>EEZ_923</x:v>
      </x:c>
      <x:c r="B75" s="24" t="str">
        <x:v>Iran (Sea of Oman)</x:v>
      </x:c>
      <x:c r="C75" s="24" t="str">
        <x:v>EEZ</x:v>
      </x:c>
      <x:c r="D75" s="30" t="n">
        <x:v>2019</x:v>
      </x:c>
      <x:c r="E75" s="24" t="str">
        <x:v>Carcharhinus dussumieri</x:v>
      </x:c>
      <x:c r="F75" s="24" t="str">
        <x:v>Whitecheek shark</x:v>
      </x:c>
      <x:c r="G75" s="24" t="str">
        <x:v>Small to medium sharks (&lt;90 cm)</x:v>
      </x:c>
      <x:c r="H75" s="24" t="str">
        <x:v>Sharks &amp; rays</x:v>
      </x:c>
      <x:c r="I75" s="31" t="n">
        <x:v>157.2375056633</x:v>
      </x:c>
      <x:c r="J75" s="31" t="n">
        <x:v>157.2375056633</x:v>
      </x:c>
      <x:c r="K75" s="31" t="n">
        <x:v>0</x:v>
      </x:c>
      <x:c r="L75" s="31" t="n">
        <x:v>140.7967901642</x:v>
      </x:c>
      <x:c r="M75" s="31" t="n">
        <x:v>16.4407154991</x:v>
      </x:c>
      <x:c r="N75" s="24" t="str">
        <x:v>carcharhinus dussumieri</x:v>
      </x:c>
      <x:c r="O75" s="32" t="n">
        <x:v>3.9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Carcharhinus dussumieri</x:v>
      </x:c>
      <x:c r="T75" s="32" t="n">
        <x:f>IF(O75="","",(1/'Metadata'!$B$5)^(O75-1))</x:f>
        <x:v>794.3282347242813</x:v>
      </x:c>
      <x:c r="U75" s="31" t="n">
        <x:f>IF(T75="","",I75*T75)</x:f>
        <x:v>124898.19030597826</x:v>
      </x:c>
    </x:row>
    <x:row r="76" ht="18" customHeight="1">
      <x:c r="A76" s="24" t="str">
        <x:v>EEZ_923</x:v>
      </x:c>
      <x:c r="B76" s="24" t="str">
        <x:v>Iran (Sea of Oman)</x:v>
      </x:c>
      <x:c r="C76" s="24" t="str">
        <x:v>EEZ</x:v>
      </x:c>
      <x:c r="D76" s="30" t="n">
        <x:v>2019</x:v>
      </x:c>
      <x:c r="E76" s="24" t="str">
        <x:v>Rhynchobatus djiddensis</x:v>
      </x:c>
      <x:c r="F76" s="24" t="str">
        <x:v>Giant guitarfish</x:v>
      </x:c>
      <x:c r="G76" s="24" t="str">
        <x:v>Large rays (&gt;=90 cm)</x:v>
      </x:c>
      <x:c r="H76" s="24" t="str">
        <x:v>Sharks &amp; rays</x:v>
      </x:c>
      <x:c r="I76" s="31" t="n">
        <x:v>155.0660387965</x:v>
      </x:c>
      <x:c r="J76" s="31" t="n">
        <x:v>155.0660387965</x:v>
      </x:c>
      <x:c r="K76" s="31" t="n">
        <x:v>0</x:v>
      </x:c>
      <x:c r="L76" s="31" t="n">
        <x:v>134.5151443745</x:v>
      </x:c>
      <x:c r="M76" s="31" t="n">
        <x:v>20.550894422</x:v>
      </x:c>
      <x:c r="N76" s="24" t="str">
        <x:v>rhynchobatus djiddensis</x:v>
      </x:c>
      <x:c r="O76" s="32" t="n">
        <x:v>3.6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Rhynchobatus djiddensis</x:v>
      </x:c>
      <x:c r="T76" s="32" t="n">
        <x:f>IF(O76="","",(1/'Metadata'!$B$5)^(O76-1))</x:f>
        <x:v>398.1071705534973</x:v>
      </x:c>
      <x:c r="U76" s="31" t="n">
        <x:f>IF(T76="","",I76*T76)</x:f>
        <x:v>61732.90195421346</x:v>
      </x:c>
    </x:row>
    <x:row r="77" ht="18" customHeight="1">
      <x:c r="A77" s="24" t="str">
        <x:v>EEZ_923</x:v>
      </x:c>
      <x:c r="B77" s="24" t="str">
        <x:v>Iran (Sea of Oman)</x:v>
      </x:c>
      <x:c r="C77" s="24" t="str">
        <x:v>EEZ</x:v>
      </x:c>
      <x:c r="D77" s="30" t="n">
        <x:v>2019</x:v>
      </x:c>
      <x:c r="E77" s="24" t="str">
        <x:v>Portunidae</x:v>
      </x:c>
      <x:c r="F77" s="24" t="str">
        <x:v>Swimming crabs</x:v>
      </x:c>
      <x:c r="G77" s="24" t="str">
        <x:v>Lobsters, crabs</x:v>
      </x:c>
      <x:c r="H77" s="24" t="str">
        <x:v>Crustaceans</x:v>
      </x:c>
      <x:c r="I77" s="31" t="n">
        <x:v>150.3171180082</x:v>
      </x:c>
      <x:c r="J77" s="31" t="n">
        <x:v>150.3171180082</x:v>
      </x:c>
      <x:c r="K77" s="31" t="n">
        <x:v>0</x:v>
      </x:c>
      <x:c r="L77" s="31" t="n">
        <x:v>0</x:v>
      </x:c>
      <x:c r="M77" s="31" t="n">
        <x:v>150.3171180082</x:v>
      </x:c>
      <x:c r="N77" s="24" t="str">
        <x:v>portunidae</x:v>
      </x:c>
      <x:c r="O77" s="32" t="n">
        <x:v>3.56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Portunidae</x:v>
      </x:c>
      <x:c r="T77" s="32" t="n">
        <x:f>IF(O77="","",(1/'Metadata'!$B$5)^(O77-1))</x:f>
        <x:v>363.0780547701014</x:v>
      </x:c>
      <x:c r="U77" s="31" t="n">
        <x:f>IF(T77="","",I77*T77)</x:f>
        <x:v>54576.84680506503</x:v>
      </x:c>
    </x:row>
    <x:row r="78" ht="18" customHeight="1">
      <x:c r="A78" s="24" t="str">
        <x:v>EEZ_923</x:v>
      </x:c>
      <x:c r="B78" s="24" t="str">
        <x:v>Iran (Sea of Oman)</x:v>
      </x:c>
      <x:c r="C78" s="24" t="str">
        <x:v>EEZ</x:v>
      </x:c>
      <x:c r="D78" s="30" t="n">
        <x:v>2019</x:v>
      </x:c>
      <x:c r="E78" s="24" t="str">
        <x:v>Siganidae</x:v>
      </x:c>
      <x:c r="F78" s="24" t="str">
        <x:v>Rabbitfishes</x:v>
      </x:c>
      <x:c r="G78" s="24" t="str">
        <x:v>Medium reef assoc. fish (30 - 89 cm)</x:v>
      </x:c>
      <x:c r="H78" s="24" t="str">
        <x:v>Perch-likes</x:v>
      </x:c>
      <x:c r="I78" s="31" t="n">
        <x:v>150.317118008</x:v>
      </x:c>
      <x:c r="J78" s="31" t="n">
        <x:v>150.317118008</x:v>
      </x:c>
      <x:c r="K78" s="31" t="n">
        <x:v>0</x:v>
      </x:c>
      <x:c r="L78" s="31" t="n">
        <x:v>0</x:v>
      </x:c>
      <x:c r="M78" s="31" t="n">
        <x:v>150.317118008</x:v>
      </x:c>
      <x:c r="N78" s="24" t="str">
        <x:v>siganidae</x:v>
      </x:c>
      <x:c r="O78" s="32" t="n">
        <x:v>2.11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Siganidae</x:v>
      </x:c>
      <x:c r="T78" s="32" t="n">
        <x:f>IF(O78="","",(1/'Metadata'!$B$5)^(O78-1))</x:f>
        <x:v>12.882495516931336</x:v>
      </x:c>
      <x:c r="U78" s="31" t="n">
        <x:f>IF(T78="","",I78*T78)</x:f>
        <x:v>1936.4595988560984</x:v>
      </x:c>
    </x:row>
    <x:row r="79" ht="18" customHeight="1">
      <x:c r="A79" s="24" t="str">
        <x:v>EEZ_923</x:v>
      </x:c>
      <x:c r="B79" s="24" t="str">
        <x:v>Iran (Sea of Oman)</x:v>
      </x:c>
      <x:c r="C79" s="24" t="str">
        <x:v>EEZ</x:v>
      </x:c>
      <x:c r="D79" s="30" t="n">
        <x:v>2019</x:v>
      </x:c>
      <x:c r="E79" s="24" t="str">
        <x:v>Sardinella gibbosa</x:v>
      </x:c>
      <x:c r="F79" s="24" t="str">
        <x:v>Goldstripe sardinella</x:v>
      </x:c>
      <x:c r="G79" s="24" t="str">
        <x:v>Small pelagics (&lt;30 cm)</x:v>
      </x:c>
      <x:c r="H79" s="24" t="str">
        <x:v>Herring-likes</x:v>
      </x:c>
      <x:c r="I79" s="31" t="n">
        <x:v>148.7247777146</x:v>
      </x:c>
      <x:c r="J79" s="31" t="n">
        <x:v>148.6751295702</x:v>
      </x:c>
      <x:c r="K79" s="31" t="n">
        <x:v>0.0496481444</x:v>
      </x:c>
      <x:c r="L79" s="31" t="n">
        <x:v>75.74881253160001</x:v>
      </x:c>
      <x:c r="M79" s="31" t="n">
        <x:v>72.975965183</x:v>
      </x:c>
      <x:c r="N79" s="24" t="str">
        <x:v>sardinella gibbosa</x:v>
      </x:c>
      <x:c r="O79" s="32" t="n">
        <x:v>2.85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Sardinella gibbosa</x:v>
      </x:c>
      <x:c r="T79" s="32" t="n">
        <x:f>IF(O79="","",(1/'Metadata'!$B$5)^(O79-1))</x:f>
        <x:v>70.79457843841381</x:v>
      </x:c>
      <x:c r="U79" s="31" t="n">
        <x:f>IF(T79="","",I79*T79)</x:f>
        <x:v>10528.907941651909</x:v>
      </x:c>
    </x:row>
    <x:row r="80" ht="18" customHeight="1">
      <x:c r="A80" s="24" t="str">
        <x:v>EEZ_923</x:v>
      </x:c>
      <x:c r="B80" s="24" t="str">
        <x:v>Iran (Sea of Oman)</x:v>
      </x:c>
      <x:c r="C80" s="24" t="str">
        <x:v>EEZ</x:v>
      </x:c>
      <x:c r="D80" s="30" t="n">
        <x:v>2019</x:v>
      </x:c>
      <x:c r="E80" s="24" t="str">
        <x:v>Nematalosa nasus</x:v>
      </x:c>
      <x:c r="F80" s="24" t="str">
        <x:v>Bloch's gizzard shad</x:v>
      </x:c>
      <x:c r="G80" s="24" t="str">
        <x:v>Small pelagics (&lt;30 cm)</x:v>
      </x:c>
      <x:c r="H80" s="24" t="str">
        <x:v>Herring-likes</x:v>
      </x:c>
      <x:c r="I80" s="31" t="n">
        <x:v>144.7237994678</x:v>
      </x:c>
      <x:c r="J80" s="31" t="n">
        <x:v>127.8462466778</x:v>
      </x:c>
      <x:c r="K80" s="31" t="n">
        <x:v>16.87755279</x:v>
      </x:c>
      <x:c r="L80" s="31" t="n">
        <x:v>65.1366600373</x:v>
      </x:c>
      <x:c r="M80" s="31" t="n">
        <x:v>79.5871394305</x:v>
      </x:c>
      <x:c r="N80" s="24" t="str">
        <x:v>nematalosa nasus</x:v>
      </x:c>
      <x:c r="O80" s="32" t="n">
        <x:v>2.67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Nematalosa nasus</x:v>
      </x:c>
      <x:c r="T80" s="32" t="n">
        <x:f>IF(O80="","",(1/'Metadata'!$B$5)^(O80-1))</x:f>
        <x:v>46.77351412871981</x:v>
      </x:c>
      <x:c r="U80" s="31" t="n">
        <x:f>IF(T80="","",I80*T80)</x:f>
        <x:v>6769.2406791691565</x:v>
      </x:c>
    </x:row>
    <x:row r="81" ht="18" customHeight="1">
      <x:c r="A81" s="24" t="str">
        <x:v>EEZ_923</x:v>
      </x:c>
      <x:c r="B81" s="24" t="str">
        <x:v>Iran (Sea of Oman)</x:v>
      </x:c>
      <x:c r="C81" s="24" t="str">
        <x:v>EEZ</x:v>
      </x:c>
      <x:c r="D81" s="30" t="n">
        <x:v>2019</x:v>
      </x:c>
      <x:c r="E81" s="24" t="str">
        <x:v>Alepes</x:v>
      </x:c>
      <x:c r="F81" s="24" t="str">
        <x:v>Crevalles</x:v>
      </x:c>
      <x:c r="G81" s="24" t="str">
        <x:v>Medium reef assoc. fish (30 - 89 cm)</x:v>
      </x:c>
      <x:c r="H81" s="24" t="str">
        <x:v>Perch-likes</x:v>
      </x:c>
      <x:c r="I81" s="31" t="n">
        <x:v>134.0709703606</x:v>
      </x:c>
      <x:c r="J81" s="31" t="n">
        <x:v>134.0709703606</x:v>
      </x:c>
      <x:c r="K81" s="31" t="n">
        <x:v>0</x:v>
      </x:c>
      <x:c r="L81" s="31" t="n">
        <x:v>68.3081079014</x:v>
      </x:c>
      <x:c r="M81" s="31" t="n">
        <x:v>65.7628624592</x:v>
      </x:c>
      <x:c r="N81" s="24" t="str">
        <x:v>alepes</x:v>
      </x:c>
      <x:c r="O81" s="32" t="n">
        <x:v>3.32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Alepes</x:v>
      </x:c>
      <x:c r="T81" s="32" t="n">
        <x:f>IF(O81="","",(1/'Metadata'!$B$5)^(O81-1))</x:f>
        <x:v>208.92961308540387</x:v>
      </x:c>
      <x:c r="U81" s="31" t="n">
        <x:f>IF(T81="","",I81*T81)</x:f>
        <x:v>28011.39596342481</x:v>
      </x:c>
    </x:row>
    <x:row r="82" ht="18" customHeight="1">
      <x:c r="A82" s="24" t="str">
        <x:v>EEZ_923</x:v>
      </x:c>
      <x:c r="B82" s="24" t="str">
        <x:v>Iran (Sea of Oman)</x:v>
      </x:c>
      <x:c r="C82" s="24" t="str">
        <x:v>EEZ</x:v>
      </x:c>
      <x:c r="D82" s="30" t="n">
        <x:v>2019</x:v>
      </x:c>
      <x:c r="E82" s="24" t="str">
        <x:v>Scarus persicus</x:v>
      </x:c>
      <x:c r="F82" s="24" t="str">
        <x:v>Gulf parrotfish</x:v>
      </x:c>
      <x:c r="G82" s="24" t="str">
        <x:v>Medium benthopelagics (30 - 89 cm)</x:v>
      </x:c>
      <x:c r="H82" s="24" t="str">
        <x:v>Perch-likes</x:v>
      </x:c>
      <x:c r="I82" s="31" t="n">
        <x:v>131.1321718703</x:v>
      </x:c>
      <x:c r="J82" s="31" t="n">
        <x:v>131.1321718703</x:v>
      </x:c>
      <x:c r="K82" s="31" t="n">
        <x:v>0</x:v>
      </x:c>
      <x:c r="L82" s="31" t="n">
        <x:v>131.1321718703</x:v>
      </x:c>
      <x:c r="M82" s="31" t="n">
        <x:v>0</x:v>
      </x:c>
      <x:c r="N82" s="24" t="str">
        <x:v>scarus persicus</x:v>
      </x:c>
      <x:c r="O82" s="32" t="n">
        <x:v>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Scarus persicus</x:v>
      </x:c>
      <x:c r="T82" s="32" t="n">
        <x:f>IF(O82="","",(1/'Metadata'!$B$5)^(O82-1))</x:f>
        <x:v>10</x:v>
      </x:c>
      <x:c r="U82" s="31" t="n">
        <x:f>IF(T82="","",I82*T82)</x:f>
        <x:v>1311.321718703</x:v>
      </x:c>
    </x:row>
    <x:row r="83" ht="18" customHeight="1">
      <x:c r="A83" s="24" t="str">
        <x:v>EEZ_923</x:v>
      </x:c>
      <x:c r="B83" s="24" t="str">
        <x:v>Iran (Sea of Oman)</x:v>
      </x:c>
      <x:c r="C83" s="24" t="str">
        <x:v>EEZ</x:v>
      </x:c>
      <x:c r="D83" s="30" t="n">
        <x:v>2019</x:v>
      </x:c>
      <x:c r="E83" s="24" t="str">
        <x:v>Carangidae</x:v>
      </x:c>
      <x:c r="F83" s="24" t="str">
        <x:v>Jacks, pompanos</x:v>
      </x:c>
      <x:c r="G83" s="24" t="str">
        <x:v>Medium pelagics (30 - 89 cm)</x:v>
      </x:c>
      <x:c r="H83" s="24" t="str">
        <x:v>Perch-likes</x:v>
      </x:c>
      <x:c r="I83" s="31" t="n">
        <x:v>123.5368225482</x:v>
      </x:c>
      <x:c r="J83" s="31" t="n">
        <x:v>123.5368225482</x:v>
      </x:c>
      <x:c r="K83" s="31" t="n">
        <x:v>0</x:v>
      </x:c>
      <x:c r="L83" s="31" t="n">
        <x:v>62.941042285099996</x:v>
      </x:c>
      <x:c r="M83" s="31" t="n">
        <x:v>60.5957802631</x:v>
      </x:c>
      <x:c r="N83" s="24" t="str">
        <x:v>carangidae</x:v>
      </x:c>
      <x:c r="O83" s="32" t="n">
        <x:v>4.05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Carangidae</x:v>
      </x:c>
      <x:c r="T83" s="32" t="n">
        <x:f>IF(O83="","",(1/'Metadata'!$B$5)^(O83-1))</x:f>
        <x:v>1122.018454301963</x:v>
      </x:c>
      <x:c r="U83" s="31" t="n">
        <x:f>IF(T83="","",I83*T83)</x:f>
        <x:v>138610.59468490726</x:v>
      </x:c>
    </x:row>
    <x:row r="84" ht="18" customHeight="1">
      <x:c r="A84" s="24" t="str">
        <x:v>EEZ_923</x:v>
      </x:c>
      <x:c r="B84" s="24" t="str">
        <x:v>Iran (Sea of Oman)</x:v>
      </x:c>
      <x:c r="C84" s="24" t="str">
        <x:v>EEZ</x:v>
      </x:c>
      <x:c r="D84" s="30" t="n">
        <x:v>2019</x:v>
      </x:c>
      <x:c r="E84" s="24" t="str">
        <x:v>Dussumieria acuta</x:v>
      </x:c>
      <x:c r="F84" s="24" t="str">
        <x:v>Rainbow sardine</x:v>
      </x:c>
      <x:c r="G84" s="24" t="str">
        <x:v>Small pelagics (&lt;30 cm)</x:v>
      </x:c>
      <x:c r="H84" s="24" t="str">
        <x:v>Herring-likes</x:v>
      </x:c>
      <x:c r="I84" s="31" t="n">
        <x:v>119.4668109874</x:v>
      </x:c>
      <x:c r="J84" s="31" t="n">
        <x:v>119.4668109874</x:v>
      </x:c>
      <x:c r="K84" s="31" t="n">
        <x:v>0</x:v>
      </x:c>
      <x:c r="L84" s="31" t="n">
        <x:v>60.867403294199995</x:v>
      </x:c>
      <x:c r="M84" s="31" t="n">
        <x:v>58.5994076932</x:v>
      </x:c>
      <x:c r="N84" s="24" t="str">
        <x:v>dussumieria acuta</x:v>
      </x:c>
      <x:c r="O84" s="32" t="n">
        <x:v>3.4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Dussumieria acuta</x:v>
      </x:c>
      <x:c r="T84" s="32" t="n">
        <x:f>IF(O84="","",(1/'Metadata'!$B$5)^(O84-1))</x:f>
        <x:v>251.18864315095797</x:v>
      </x:c>
      <x:c r="U84" s="31" t="n">
        <x:f>IF(T84="","",I84*T84)</x:f>
        <x:v>30008.70615349696</x:v>
      </x:c>
    </x:row>
    <x:row r="85" ht="18" customHeight="1">
      <x:c r="A85" s="24" t="str">
        <x:v>EEZ_923</x:v>
      </x:c>
      <x:c r="B85" s="24" t="str">
        <x:v>Iran (Sea of Oman)</x:v>
      </x:c>
      <x:c r="C85" s="24" t="str">
        <x:v>EEZ</x:v>
      </x:c>
      <x:c r="D85" s="30" t="n">
        <x:v>2019</x:v>
      </x:c>
      <x:c r="E85" s="24" t="str">
        <x:v>Sardinella</x:v>
      </x:c>
      <x:c r="F85" s="24" t="str">
        <x:v>Sardinellas</x:v>
      </x:c>
      <x:c r="G85" s="24" t="str">
        <x:v>Small pelagics (&lt;30 cm)</x:v>
      </x:c>
      <x:c r="H85" s="24" t="str">
        <x:v>Herring-likes</x:v>
      </x:c>
      <x:c r="I85" s="31" t="n">
        <x:v>90.0190800853</x:v>
      </x:c>
      <x:c r="J85" s="31" t="n">
        <x:v>90.0190800853</x:v>
      </x:c>
      <x:c r="K85" s="31" t="n">
        <x:v>0</x:v>
      </x:c>
      <x:c r="L85" s="31" t="n">
        <x:v>45.864015308</x:v>
      </x:c>
      <x:c r="M85" s="31" t="n">
        <x:v>44.155064777300005</x:v>
      </x:c>
      <x:c r="N85" s="24" t="str">
        <x:v>sardinella</x:v>
      </x:c>
      <x:c r="O85" s="32" t="n">
        <x:v>2.77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Sardinella</x:v>
      </x:c>
      <x:c r="T85" s="32" t="n">
        <x:f>IF(O85="","",(1/'Metadata'!$B$5)^(O85-1))</x:f>
        <x:v>58.8843655355589</x:v>
      </x:c>
      <x:c r="U85" s="31" t="n">
        <x:f>IF(T85="","",I85*T85)</x:f>
        <x:v>5300.716416917556</x:v>
      </x:c>
    </x:row>
    <x:row r="86" ht="18" customHeight="1">
      <x:c r="A86" s="24" t="str">
        <x:v>EEZ_923</x:v>
      </x:c>
      <x:c r="B86" s="24" t="str">
        <x:v>Iran (Sea of Oman)</x:v>
      </x:c>
      <x:c r="C86" s="24" t="str">
        <x:v>EEZ</x:v>
      </x:c>
      <x:c r="D86" s="30" t="n">
        <x:v>2019</x:v>
      </x:c>
      <x:c r="E86" s="24" t="str">
        <x:v>Sillago sihama</x:v>
      </x:c>
      <x:c r="F86" s="24" t="str">
        <x:v>Silver sillago</x:v>
      </x:c>
      <x:c r="G86" s="24" t="str">
        <x:v>Medium demersals (30 - 89 cm)</x:v>
      </x:c>
      <x:c r="H86" s="24" t="str">
        <x:v>Perch-likes</x:v>
      </x:c>
      <x:c r="I86" s="31" t="n">
        <x:v>84.1575917804</x:v>
      </x:c>
      <x:c r="J86" s="31" t="n">
        <x:v>83.7943564439</x:v>
      </x:c>
      <x:c r="K86" s="31" t="n">
        <x:v>0.3632353365</x:v>
      </x:c>
      <x:c r="L86" s="31" t="n">
        <x:v>42.692567443799994</x:v>
      </x:c>
      <x:c r="M86" s="31" t="n">
        <x:v>41.4650243366</x:v>
      </x:c>
      <x:c r="N86" s="24" t="str">
        <x:v>sillago sihama</x:v>
      </x:c>
      <x:c r="O86" s="32" t="n">
        <x:v>3.33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Sillago sihama</x:v>
      </x:c>
      <x:c r="T86" s="32" t="n">
        <x:f>IF(O86="","",(1/'Metadata'!$B$5)^(O86-1))</x:f>
        <x:v>213.79620895022325</x:v>
      </x:c>
      <x:c r="U86" s="31" t="n">
        <x:f>IF(T86="","",I86*T86)</x:f>
        <x:v>17992.57407702999</x:v>
      </x:c>
    </x:row>
    <x:row r="87" ht="18" customHeight="1">
      <x:c r="A87" s="24" t="str">
        <x:v>EEZ_923</x:v>
      </x:c>
      <x:c r="B87" s="24" t="str">
        <x:v>Iran (Sea of Oman)</x:v>
      </x:c>
      <x:c r="C87" s="24" t="str">
        <x:v>EEZ</x:v>
      </x:c>
      <x:c r="D87" s="30" t="n">
        <x:v>2019</x:v>
      </x:c>
      <x:c r="E87" s="24" t="str">
        <x:v>Sphyraena obtusata</x:v>
      </x:c>
      <x:c r="F87" s="24" t="str">
        <x:v>Obtuse barracuda</x:v>
      </x:c>
      <x:c r="G87" s="24" t="str">
        <x:v>Medium reef assoc. fish (30 - 89 cm)</x:v>
      </x:c>
      <x:c r="H87" s="24" t="str">
        <x:v>Perch-likes</x:v>
      </x:c>
      <x:c r="I87" s="31" t="n">
        <x:v>73.2602087671</x:v>
      </x:c>
      <x:c r="J87" s="31" t="n">
        <x:v>73.2602087671</x:v>
      </x:c>
      <x:c r="K87" s="31" t="n">
        <x:v>0</x:v>
      </x:c>
      <x:c r="L87" s="31" t="n">
        <x:v>37.3255018175</x:v>
      </x:c>
      <x:c r="M87" s="31" t="n">
        <x:v>35.9347069496</x:v>
      </x:c>
      <x:c r="N87" s="24" t="str">
        <x:v>sphyraena obtusata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Sphyraena obtusata</x:v>
      </x:c>
      <x:c r="T87" s="32" t="n">
        <x:f>IF(O87="","",(1/'Metadata'!$B$5)^(O87-1))</x:f>
        <x:v>3162.2776601683795</x:v>
      </x:c>
      <x:c r="U87" s="31" t="n">
        <x:f>IF(T87="","",I87*T87)</x:f>
        <x:v>231669.12156347197</x:v>
      </x:c>
    </x:row>
    <x:row r="88" ht="18" customHeight="1">
      <x:c r="A88" s="24" t="str">
        <x:v>EEZ_923</x:v>
      </x:c>
      <x:c r="B88" s="24" t="str">
        <x:v>Iran (Sea of Oman)</x:v>
      </x:c>
      <x:c r="C88" s="24" t="str">
        <x:v>EEZ</x:v>
      </x:c>
      <x:c r="D88" s="30" t="n">
        <x:v>2019</x:v>
      </x:c>
      <x:c r="E88" s="24" t="str">
        <x:v>Muraenesox cinereus</x:v>
      </x:c>
      <x:c r="F88" s="24" t="str">
        <x:v>Daggertooth pike conger</x:v>
      </x:c>
      <x:c r="G88" s="24" t="str">
        <x:v>Large demersals (&gt;=90 cm)</x:v>
      </x:c>
      <x:c r="H88" s="24" t="str">
        <x:v>Other fishes &amp; inverts</x:v>
      </x:c>
      <x:c r="I88" s="31" t="n">
        <x:v>62.9654734873</x:v>
      </x:c>
      <x:c r="J88" s="31" t="n">
        <x:v>62.9654734873</x:v>
      </x:c>
      <x:c r="K88" s="31" t="n">
        <x:v>0</x:v>
      </x:c>
      <x:c r="L88" s="31" t="n">
        <x:v>32.0804149632</x:v>
      </x:c>
      <x:c r="M88" s="31" t="n">
        <x:v>30.8850585241</x:v>
      </x:c>
      <x:c r="N88" s="24" t="str">
        <x:v>muraenesox cinereus</x:v>
      </x:c>
      <x:c r="O88" s="32" t="n">
        <x:v>4.38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Muraenesox cinereus</x:v>
      </x:c>
      <x:c r="T88" s="32" t="n">
        <x:f>IF(O88="","",(1/'Metadata'!$B$5)^(O88-1))</x:f>
        <x:v>2398.83291901949</x:v>
      </x:c>
      <x:c r="U88" s="31" t="n">
        <x:f>IF(T88="","",I88*T88)</x:f>
        <x:v>151043.65056298417</x:v>
      </x:c>
    </x:row>
    <x:row r="89" ht="18" customHeight="1">
      <x:c r="A89" s="24" t="str">
        <x:v>EEZ_923</x:v>
      </x:c>
      <x:c r="B89" s="24" t="str">
        <x:v>Iran (Sea of Oman)</x:v>
      </x:c>
      <x:c r="C89" s="24" t="str">
        <x:v>EEZ</x:v>
      </x:c>
      <x:c r="D89" s="30" t="n">
        <x:v>2019</x:v>
      </x:c>
      <x:c r="E89" s="24" t="str">
        <x:v>Pomadasys</x:v>
      </x:c>
      <x:c r="F89" s="24" t="str">
        <x:v>Grunters</x:v>
      </x:c>
      <x:c r="G89" s="24" t="str">
        <x:v>Medium demersals (30 - 89 cm)</x:v>
      </x:c>
      <x:c r="H89" s="24" t="str">
        <x:v>Perch-likes</x:v>
      </x:c>
      <x:c r="I89" s="31" t="n">
        <x:v>62.949654124300004</x:v>
      </x:c>
      <x:c r="J89" s="31" t="n">
        <x:v>62.949654124300004</x:v>
      </x:c>
      <x:c r="K89" s="31" t="n">
        <x:v>0</x:v>
      </x:c>
      <x:c r="L89" s="31" t="n">
        <x:v>32.1820293963</x:v>
      </x:c>
      <x:c r="M89" s="31" t="n">
        <x:v>30.767624728</x:v>
      </x:c>
      <x:c r="N89" s="24" t="str">
        <x:v>pomadasys</x:v>
      </x:c>
      <x:c r="O89" s="32" t="n">
        <x:v>3.59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Pomadasys</x:v>
      </x:c>
      <x:c r="T89" s="32" t="n">
        <x:f>IF(O89="","",(1/'Metadata'!$B$5)^(O89-1))</x:f>
        <x:v>389.04514499428046</x:v>
      </x:c>
      <x:c r="U89" s="31" t="n">
        <x:f>IF(T89="","",I89*T89)</x:f>
        <x:v>24490.2573161281</x:v>
      </x:c>
    </x:row>
    <x:row r="90" ht="18" customHeight="1">
      <x:c r="A90" s="24" t="str">
        <x:v>EEZ_923</x:v>
      </x:c>
      <x:c r="B90" s="24" t="str">
        <x:v>Iran (Sea of Oman)</x:v>
      </x:c>
      <x:c r="C90" s="24" t="str">
        <x:v>EEZ</x:v>
      </x:c>
      <x:c r="D90" s="30" t="n">
        <x:v>2019</x:v>
      </x:c>
      <x:c r="E90" s="24" t="str">
        <x:v>Upeneus sulphureus</x:v>
      </x:c>
      <x:c r="F90" s="24" t="str">
        <x:v>Sulphur goatfish</x:v>
      </x:c>
      <x:c r="G90" s="24" t="str">
        <x:v>Small demersals (&lt;30 cm)</x:v>
      </x:c>
      <x:c r="H90" s="24" t="str">
        <x:v>Perch-likes</x:v>
      </x:c>
      <x:c r="I90" s="31" t="n">
        <x:v>56.5013374106</x:v>
      </x:c>
      <x:c r="J90" s="31" t="n">
        <x:v>56.5013374106</x:v>
      </x:c>
      <x:c r="K90" s="31" t="n">
        <x:v>0</x:v>
      </x:c>
      <x:c r="L90" s="31" t="n">
        <x:v>28.7869883314</x:v>
      </x:c>
      <x:c r="M90" s="31" t="n">
        <x:v>27.714349079199998</x:v>
      </x:c>
      <x:c r="N90" s="24" t="str">
        <x:v>upeneus sulphureus</x:v>
      </x:c>
      <x:c r="O90" s="32" t="n">
        <x:v>3.08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Upeneus sulphureus</x:v>
      </x:c>
      <x:c r="T90" s="32" t="n">
        <x:f>IF(O90="","",(1/'Metadata'!$B$5)^(O90-1))</x:f>
        <x:v>120.22644346174131</x:v>
      </x:c>
      <x:c r="U90" s="31" t="n">
        <x:f>IF(T90="","",I90*T90)</x:f>
        <x:v>6792.95484770827</x:v>
      </x:c>
    </x:row>
    <x:row r="91" ht="18" customHeight="1">
      <x:c r="A91" s="24" t="str">
        <x:v>EEZ_923</x:v>
      </x:c>
      <x:c r="B91" s="24" t="str">
        <x:v>Iran (Sea of Oman)</x:v>
      </x:c>
      <x:c r="C91" s="24" t="str">
        <x:v>EEZ</x:v>
      </x:c>
      <x:c r="D91" s="30" t="n">
        <x:v>2019</x:v>
      </x:c>
      <x:c r="E91" s="24" t="str">
        <x:v>Sphyraena jello</x:v>
      </x:c>
      <x:c r="F91" s="24" t="str">
        <x:v>Pickhandle barracuda</x:v>
      </x:c>
      <x:c r="G91" s="24" t="str">
        <x:v>Large reef assoc. fish (&gt;=90 cm)</x:v>
      </x:c>
      <x:c r="H91" s="24" t="str">
        <x:v>Perch-likes</x:v>
      </x:c>
      <x:c r="I91" s="31" t="n">
        <x:v>54.3466254828</x:v>
      </x:c>
      <x:c r="J91" s="31" t="n">
        <x:v>54.3466254828</x:v>
      </x:c>
      <x:c r="K91" s="31" t="n">
        <x:v>0</x:v>
      </x:c>
      <x:c r="L91" s="31" t="n">
        <x:v>27.689179452799998</x:v>
      </x:c>
      <x:c r="M91" s="31" t="n">
        <x:v>26.65744603</x:v>
      </x:c>
      <x:c r="N91" s="24" t="str">
        <x:v>sphyraena jello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Sphyraena jello</x:v>
      </x:c>
      <x:c r="T91" s="32" t="n">
        <x:f>IF(O91="","",(1/'Metadata'!$B$5)^(O91-1))</x:f>
        <x:v>3162.2776601683795</x:v>
      </x:c>
      <x:c r="U91" s="31" t="n">
        <x:f>IF(T91="","",I91*T91)</x:f>
        <x:v>171859.11966979603</x:v>
      </x:c>
    </x:row>
    <x:row r="92" ht="18" customHeight="1">
      <x:c r="A92" s="24" t="str">
        <x:v>EEZ_923</x:v>
      </x:c>
      <x:c r="B92" s="24" t="str">
        <x:v>Iran (Sea of Oman)</x:v>
      </x:c>
      <x:c r="C92" s="24" t="str">
        <x:v>EEZ</x:v>
      </x:c>
      <x:c r="D92" s="30" t="n">
        <x:v>2019</x:v>
      </x:c>
      <x:c r="E92" s="24" t="str">
        <x:v>Carangoides</x:v>
      </x:c>
      <x:c r="F92" s="24" t="str">
        <x:v>Trevallies</x:v>
      </x:c>
      <x:c r="G92" s="24" t="str">
        <x:v>Medium reef assoc. fish (30 - 89 cm)</x:v>
      </x:c>
      <x:c r="H92" s="24" t="str">
        <x:v>Perch-likes</x:v>
      </x:c>
      <x:c r="I92" s="31" t="n">
        <x:v>45.9671897932</x:v>
      </x:c>
      <x:c r="J92" s="31" t="n">
        <x:v>45.9671897932</x:v>
      </x:c>
      <x:c r="K92" s="31" t="n">
        <x:v>0</x:v>
      </x:c>
      <x:c r="L92" s="31" t="n">
        <x:v>23.41992271</x:v>
      </x:c>
      <x:c r="M92" s="31" t="n">
        <x:v>22.547267083199998</x:v>
      </x:c>
      <x:c r="N92" s="24" t="str">
        <x:v>carangoides</x:v>
      </x:c>
      <x:c r="O92" s="32" t="n">
        <x:v>4.34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Carangoides</x:v>
      </x:c>
      <x:c r="T92" s="32" t="n">
        <x:f>IF(O92="","",(1/'Metadata'!$B$5)^(O92-1))</x:f>
        <x:v>2187.761623949552</x:v>
      </x:c>
      <x:c r="U92" s="31" t="n">
        <x:f>IF(T92="","",I92*T92)</x:f>
        <x:v>100565.2537903685</x:v>
      </x:c>
    </x:row>
    <x:row r="93" ht="18" customHeight="1">
      <x:c r="A93" s="24" t="str">
        <x:v>EEZ_923</x:v>
      </x:c>
      <x:c r="B93" s="24" t="str">
        <x:v>Iran (Sea of Oman)</x:v>
      </x:c>
      <x:c r="C93" s="24" t="str">
        <x:v>EEZ</x:v>
      </x:c>
      <x:c r="D93" s="30" t="n">
        <x:v>2019</x:v>
      </x:c>
      <x:c r="E93" s="24" t="str">
        <x:v>Diagramma pictum</x:v>
      </x:c>
      <x:c r="F93" s="24" t="str">
        <x:v>Painted sweetlips</x:v>
      </x:c>
      <x:c r="G93" s="24" t="str">
        <x:v>Large reef assoc. fish (&gt;=90 cm)</x:v>
      </x:c>
      <x:c r="H93" s="24" t="str">
        <x:v>Perch-likes</x:v>
      </x:c>
      <x:c r="I93" s="31" t="n">
        <x:v>43.8124778118</x:v>
      </x:c>
      <x:c r="J93" s="31" t="n">
        <x:v>43.8124778118</x:v>
      </x:c>
      <x:c r="K93" s="31" t="n">
        <x:v>0</x:v>
      </x:c>
      <x:c r="L93" s="31" t="n">
        <x:v>22.3221138336</x:v>
      </x:c>
      <x:c r="M93" s="31" t="n">
        <x:v>21.490363978199998</x:v>
      </x:c>
      <x:c r="N93" s="24" t="str">
        <x:v>diagramma pictum</x:v>
      </x:c>
      <x:c r="O93" s="32" t="n">
        <x:v>3.7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Diagramma pictum</x:v>
      </x:c>
      <x:c r="T93" s="32" t="n">
        <x:f>IF(O93="","",(1/'Metadata'!$B$5)^(O93-1))</x:f>
        <x:v>501.18723362727246</x:v>
      </x:c>
      <x:c r="U93" s="31" t="n">
        <x:f>IF(T93="","",I93*T93)</x:f>
        <x:v>21958.254552852297</x:v>
      </x:c>
    </x:row>
    <x:row r="94" ht="18" customHeight="1">
      <x:c r="A94" s="24" t="str">
        <x:v>EEZ_923</x:v>
      </x:c>
      <x:c r="B94" s="24" t="str">
        <x:v>Iran (Sea of Oman)</x:v>
      </x:c>
      <x:c r="C94" s="24" t="str">
        <x:v>EEZ</x:v>
      </x:c>
      <x:c r="D94" s="30" t="n">
        <x:v>2019</x:v>
      </x:c>
      <x:c r="E94" s="24" t="str">
        <x:v>Gerreidae</x:v>
      </x:c>
      <x:c r="F94" s="24" t="str">
        <x:v>Mojarras, silverbellies</x:v>
      </x:c>
      <x:c r="G94" s="24" t="str">
        <x:v>Small benthopelagics (&lt;30 cm)</x:v>
      </x:c>
      <x:c r="H94" s="24" t="str">
        <x:v>Perch-likes</x:v>
      </x:c>
      <x:c r="I94" s="31" t="n">
        <x:v>41.8971781418</x:v>
      </x:c>
      <x:c r="J94" s="31" t="n">
        <x:v>41.8971781418</x:v>
      </x:c>
      <x:c r="K94" s="31" t="n">
        <x:v>0</x:v>
      </x:c>
      <x:c r="L94" s="31" t="n">
        <x:v>21.346283719600002</x:v>
      </x:c>
      <x:c r="M94" s="31" t="n">
        <x:v>20.5508944222</x:v>
      </x:c>
      <x:c r="N94" s="24" t="str">
        <x:v>gerreidae</x:v>
      </x:c>
      <x:c r="O94" s="32" t="n">
        <x:v>3.03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Gerreidae</x:v>
      </x:c>
      <x:c r="T94" s="32" t="n">
        <x:f>IF(O94="","",(1/'Metadata'!$B$5)^(O94-1))</x:f>
        <x:v>107.1519305237606</x:v>
      </x:c>
      <x:c r="U94" s="31" t="n">
        <x:f>IF(T94="","",I94*T94)</x:f>
        <x:v>4489.363521391774</x:v>
      </x:c>
    </x:row>
    <x:row r="95" ht="18" customHeight="1">
      <x:c r="A95" s="24" t="str">
        <x:v>EEZ_923</x:v>
      </x:c>
      <x:c r="B95" s="24" t="str">
        <x:v>Iran (Sea of Oman)</x:v>
      </x:c>
      <x:c r="C95" s="24" t="str">
        <x:v>EEZ</x:v>
      </x:c>
      <x:c r="D95" s="30" t="n">
        <x:v>2019</x:v>
      </x:c>
      <x:c r="E95" s="24" t="str">
        <x:v>Gerres</x:v>
      </x:c>
      <x:c r="F95" s="24" t="str">
        <x:v>Silver biddies</x:v>
      </x:c>
      <x:c r="G95" s="24" t="str">
        <x:v>Small benthopelagics (&lt;30 cm)</x:v>
      </x:c>
      <x:c r="H95" s="24" t="str">
        <x:v>Perch-likes</x:v>
      </x:c>
      <x:c r="I95" s="31" t="n">
        <x:v>39.7424662536</x:v>
      </x:c>
      <x:c r="J95" s="31" t="n">
        <x:v>39.7424662536</x:v>
      </x:c>
      <x:c r="K95" s="31" t="n">
        <x:v>0</x:v>
      </x:c>
      <x:c r="L95" s="31" t="n">
        <x:v>20.248474846</x:v>
      </x:c>
      <x:c r="M95" s="31" t="n">
        <x:v>19.4939914076</x:v>
      </x:c>
      <x:c r="N95" s="24" t="str">
        <x:v>gerres</x:v>
      </x:c>
      <x:c r="O95" s="32" t="n">
        <x:v>3.27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Gerres</x:v>
      </x:c>
      <x:c r="T95" s="32" t="n">
        <x:f>IF(O95="","",(1/'Metadata'!$B$5)^(O95-1))</x:f>
        <x:v>186.20871366628674</x:v>
      </x:c>
      <x:c r="U95" s="31" t="n">
        <x:f>IF(T95="","",I95*T95)</x:f>
        <x:v>7400.393519008666</x:v>
      </x:c>
    </x:row>
    <x:row r="96" ht="18" customHeight="1">
      <x:c r="A96" s="24" t="str">
        <x:v>EEZ_923</x:v>
      </x:c>
      <x:c r="B96" s="24" t="str">
        <x:v>Iran (Sea of Oman)</x:v>
      </x:c>
      <x:c r="C96" s="24" t="str">
        <x:v>EEZ</x:v>
      </x:c>
      <x:c r="D96" s="30" t="n">
        <x:v>2019</x:v>
      </x:c>
      <x:c r="E96" s="24" t="str">
        <x:v>Platycaranx malabaricus</x:v>
      </x:c>
      <x:c r="F96" s="24" t="str">
        <x:v>Malabar trevally</x:v>
      </x:c>
      <x:c r="G96" s="24" t="str">
        <x:v>Medium reef assoc. fish (30 - 89 cm)</x:v>
      </x:c>
      <x:c r="H96" s="24" t="str">
        <x:v>Perch-likes</x:v>
      </x:c>
      <x:c r="I96" s="31" t="n">
        <x:v>39.7424662533</x:v>
      </x:c>
      <x:c r="J96" s="31" t="n">
        <x:v>39.7424662533</x:v>
      </x:c>
      <x:c r="K96" s="31" t="n">
        <x:v>0</x:v>
      </x:c>
      <x:c r="L96" s="31" t="n">
        <x:v>20.2484748459</x:v>
      </x:c>
      <x:c r="M96" s="31" t="n">
        <x:v>19.4939914074</x:v>
      </x:c>
      <x:c r="N96" s="24" t="str">
        <x:v>platycaranx malabaricus</x:v>
      </x:c>
      <x:c r="O96" s="32" t="n">
        <x:v>3.88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Platycaranx malabaricus</x:v>
      </x:c>
      <x:c r="T96" s="32" t="n">
        <x:f>IF(O96="","",(1/'Metadata'!$B$5)^(O96-1))</x:f>
        <x:v>758.5775750291835</x:v>
      </x:c>
      <x:c r="U96" s="31" t="n">
        <x:f>IF(T96="","",I96*T96)</x:f>
        <x:v>30147.74367610748</x:v>
      </x:c>
    </x:row>
    <x:row r="97" ht="18" customHeight="1">
      <x:c r="A97" s="24" t="str">
        <x:v>EEZ_923</x:v>
      </x:c>
      <x:c r="B97" s="24" t="str">
        <x:v>Iran (Sea of Oman)</x:v>
      </x:c>
      <x:c r="C97" s="24" t="str">
        <x:v>EEZ</x:v>
      </x:c>
      <x:c r="D97" s="30" t="n">
        <x:v>2019</x:v>
      </x:c>
      <x:c r="E97" s="24" t="str">
        <x:v>Polynemidae</x:v>
      </x:c>
      <x:c r="F97" s="24" t="str">
        <x:v>Threadfins</x:v>
      </x:c>
      <x:c r="G97" s="24" t="str">
        <x:v>Small demersals (&lt;30 cm)</x:v>
      </x:c>
      <x:c r="H97" s="24" t="str">
        <x:v>Perch-likes</x:v>
      </x:c>
      <x:c r="I97" s="31" t="n">
        <x:v>36.8695168378</x:v>
      </x:c>
      <x:c r="J97" s="31" t="n">
        <x:v>36.8695168378</x:v>
      </x:c>
      <x:c r="K97" s="31" t="n">
        <x:v>0</x:v>
      </x:c>
      <x:c r="L97" s="31" t="n">
        <x:v>18.784729671</x:v>
      </x:c>
      <x:c r="M97" s="31" t="n">
        <x:v>18.084787166799998</x:v>
      </x:c>
      <x:c r="N97" s="24" t="str">
        <x:v>polynemidae</x:v>
      </x:c>
      <x:c r="O97" s="32" t="n">
        <x:v>3.62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Polynemidae</x:v>
      </x:c>
      <x:c r="T97" s="32" t="n">
        <x:f>IF(O97="","",(1/'Metadata'!$B$5)^(O97-1))</x:f>
        <x:v>416.8693834703355</x:v>
      </x:c>
      <x:c r="U97" s="31" t="n">
        <x:f>IF(T97="","",I97*T97)</x:f>
        <x:v>15369.772753022839</x:v>
      </x:c>
    </x:row>
    <x:row r="98" ht="18" customHeight="1">
      <x:c r="A98" s="24" t="str">
        <x:v>EEZ_923</x:v>
      </x:c>
      <x:c r="B98" s="24" t="str">
        <x:v>Iran (Sea of Oman)</x:v>
      </x:c>
      <x:c r="C98" s="24" t="str">
        <x:v>EEZ</x:v>
      </x:c>
      <x:c r="D98" s="30" t="n">
        <x:v>2019</x:v>
      </x:c>
      <x:c r="E98" s="24" t="str">
        <x:v>Turrum coeruleopinnatum</x:v>
      </x:c>
      <x:c r="F98" s="24" t="str">
        <x:v>Coastal trevally</x:v>
      </x:c>
      <x:c r="G98" s="24" t="str">
        <x:v>Medium reef assoc. fish (30 - 89 cm)</x:v>
      </x:c>
      <x:c r="H98" s="24" t="str">
        <x:v>Perch-likes</x:v>
      </x:c>
      <x:c r="I98" s="31" t="n">
        <x:v>35.672454598</x:v>
      </x:c>
      <x:c r="J98" s="31" t="n">
        <x:v>35.672454598</x:v>
      </x:c>
      <x:c r="K98" s="31" t="n">
        <x:v>0</x:v>
      </x:c>
      <x:c r="L98" s="31" t="n">
        <x:v>18.1748358505</x:v>
      </x:c>
      <x:c r="M98" s="31" t="n">
        <x:v>17.4976187475</x:v>
      </x:c>
      <x:c r="N98" s="24" t="str">
        <x:v>turrum coeruleopinnatum</x:v>
      </x:c>
      <x:c r="O98" s="32" t="n">
        <x:v>4.44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Turrum coeruleopinnatum</x:v>
      </x:c>
      <x:c r="T98" s="32" t="n">
        <x:f>IF(O98="","",(1/'Metadata'!$B$5)^(O98-1))</x:f>
        <x:v>2754.228703338169</x:v>
      </x:c>
      <x:c r="U98" s="31" t="n">
        <x:f>IF(T98="","",I98*T98)</x:f>
        <x:v>98250.09837233924</x:v>
      </x:c>
    </x:row>
    <x:row r="99" ht="18" customHeight="1">
      <x:c r="A99" s="24" t="str">
        <x:v>EEZ_923</x:v>
      </x:c>
      <x:c r="B99" s="24" t="str">
        <x:v>Iran (Sea of Oman)</x:v>
      </x:c>
      <x:c r="C99" s="24" t="str">
        <x:v>EEZ</x:v>
      </x:c>
      <x:c r="D99" s="30" t="n">
        <x:v>2019</x:v>
      </x:c>
      <x:c r="E99" s="24" t="str">
        <x:v>Echinoidea</x:v>
      </x:c>
      <x:c r="F99" s="24" t="str">
        <x:v>Sea urchins, sea hedgehogs</x:v>
      </x:c>
      <x:c r="G99" s="24" t="str">
        <x:v>Other demersal invertebrates</x:v>
      </x:c>
      <x:c r="H99" s="24" t="str">
        <x:v>Other fishes &amp; inverts</x:v>
      </x:c>
      <x:c r="I99" s="31" t="n">
        <x:v>35.6724545979</x:v>
      </x:c>
      <x:c r="J99" s="31" t="n">
        <x:v>35.6724545979</x:v>
      </x:c>
      <x:c r="K99" s="31" t="n">
        <x:v>0</x:v>
      </x:c>
      <x:c r="L99" s="31" t="n">
        <x:v>18.1748358506</x:v>
      </x:c>
      <x:c r="M99" s="31" t="n">
        <x:v>17.4976187473</x:v>
      </x:c>
      <x:c r="N99" s="24" t="str">
        <x:v>echinoidea</x:v>
      </x:c>
      <x:c r="O99" s="32" t="n">
        <x:v>2.51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Echinoidea</x:v>
      </x:c>
      <x:c r="T99" s="32" t="n">
        <x:f>IF(O99="","",(1/'Metadata'!$B$5)^(O99-1))</x:f>
        <x:v>32.35936569296281</x:v>
      </x:c>
      <x:c r="U99" s="31" t="n">
        <x:f>IF(T99="","",I99*T99)</x:f>
        <x:v>1154.3380034990587</x:v>
      </x:c>
    </x:row>
    <x:row r="100" ht="18" customHeight="1">
      <x:c r="A100" s="24" t="str">
        <x:v>EEZ_923</x:v>
      </x:c>
      <x:c r="B100" s="24" t="str">
        <x:v>Iran (Sea of Oman)</x:v>
      </x:c>
      <x:c r="C100" s="24" t="str">
        <x:v>EEZ</x:v>
      </x:c>
      <x:c r="D100" s="30" t="n">
        <x:v>2019</x:v>
      </x:c>
      <x:c r="E100" s="24" t="str">
        <x:v>Tetraodontidae</x:v>
      </x:c>
      <x:c r="F100" s="24" t="str">
        <x:v>Puffers, tobies</x:v>
      </x:c>
      <x:c r="G100" s="24" t="str">
        <x:v>Large reef assoc. fish (&gt;=90 cm)</x:v>
      </x:c>
      <x:c r="H100" s="24" t="str">
        <x:v>Other fishes &amp; inverts</x:v>
      </x:c>
      <x:c r="I100" s="31" t="n">
        <x:v>33.5177425642</x:v>
      </x:c>
      <x:c r="J100" s="31" t="n">
        <x:v>33.5177425642</x:v>
      </x:c>
      <x:c r="K100" s="31" t="n">
        <x:v>0</x:v>
      </x:c>
      <x:c r="L100" s="31" t="n">
        <x:v>17.0770269752</x:v>
      </x:c>
      <x:c r="M100" s="31" t="n">
        <x:v>16.440715589</x:v>
      </x:c>
      <x:c r="N100" s="24" t="str">
        <x:v>tetraodontidae</x:v>
      </x:c>
      <x:c r="O100" s="32" t="n">
        <x:v>3.5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Tetraodontidae</x:v>
      </x:c>
      <x:c r="T100" s="32" t="n">
        <x:f>IF(O100="","",(1/'Metadata'!$B$5)^(O100-1))</x:f>
        <x:v>316.22776601683796</x:v>
      </x:c>
      <x:c r="U100" s="31" t="n">
        <x:f>IF(T100="","",I100*T100)</x:f>
        <x:v>10599.240853004447</x:v>
      </x:c>
    </x:row>
    <x:row r="101" ht="18" customHeight="1">
      <x:c r="A101" s="24" t="str">
        <x:v>EEZ_923</x:v>
      </x:c>
      <x:c r="B101" s="24" t="str">
        <x:v>Iran (Sea of Oman)</x:v>
      </x:c>
      <x:c r="C101" s="24" t="str">
        <x:v>EEZ</x:v>
      </x:c>
      <x:c r="D101" s="30" t="n">
        <x:v>2019</x:v>
      </x:c>
      <x:c r="E101" s="24" t="str">
        <x:v>Gastropoda</x:v>
      </x:c>
      <x:c r="F101" s="24" t="str">
        <x:v>Sea snails</x:v>
      </x:c>
      <x:c r="G101" s="24" t="str">
        <x:v>Other demersal invertebrates</x:v>
      </x:c>
      <x:c r="H101" s="24" t="str">
        <x:v>Molluscs</x:v>
      </x:c>
      <x:c r="I101" s="31" t="n">
        <x:v>33.517742475700004</x:v>
      </x:c>
      <x:c r="J101" s="31" t="n">
        <x:v>33.517742475700004</x:v>
      </x:c>
      <x:c r="K101" s="31" t="n">
        <x:v>0</x:v>
      </x:c>
      <x:c r="L101" s="31" t="n">
        <x:v>17.077026976600003</x:v>
      </x:c>
      <x:c r="M101" s="31" t="n">
        <x:v>16.4407154991</x:v>
      </x:c>
      <x:c r="N101" s="24" t="str">
        <x:v>gastropoda</x:v>
      </x:c>
      <x:c r="O101" s="32" t="n">
        <x:v>3.06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Gastropoda</x:v>
      </x:c>
      <x:c r="T101" s="32" t="n">
        <x:f>IF(O101="","",(1/'Metadata'!$B$5)^(O101-1))</x:f>
        <x:v>114.81536214968828</x:v>
      </x:c>
      <x:c r="U101" s="31" t="n">
        <x:f>IF(T101="","",I101*T101)</x:f>
        <x:v>3848.3517407874856</x:v>
      </x:c>
    </x:row>
    <x:row r="102" ht="18" customHeight="1">
      <x:c r="A102" s="24" t="str">
        <x:v>EEZ_923</x:v>
      </x:c>
      <x:c r="B102" s="24" t="str">
        <x:v>Iran (Sea of Oman)</x:v>
      </x:c>
      <x:c r="C102" s="24" t="str">
        <x:v>EEZ</x:v>
      </x:c>
      <x:c r="D102" s="30" t="n">
        <x:v>2019</x:v>
      </x:c>
      <x:c r="E102" s="24" t="str">
        <x:v>Palinuridae</x:v>
      </x:c>
      <x:c r="F102" s="24" t="str">
        <x:v>Spiny lobsters</x:v>
      </x:c>
      <x:c r="G102" s="24" t="str">
        <x:v>Lobsters, crabs</x:v>
      </x:c>
      <x:c r="H102" s="24" t="str">
        <x:v>Crustaceans</x:v>
      </x:c>
      <x:c r="I102" s="31" t="n">
        <x:v>32.3339601872</x:v>
      </x:c>
      <x:c r="J102" s="31" t="n">
        <x:v>32.3339601872</x:v>
      </x:c>
      <x:c r="K102" s="31" t="n">
        <x:v>0</x:v>
      </x:c>
      <x:c r="L102" s="31" t="n">
        <x:v>32.3339601872</x:v>
      </x:c>
      <x:c r="M102" s="31" t="n">
        <x:v>0</x:v>
      </x:c>
      <x:c r="N102" s="24" t="str">
        <x:v>palinuridae</x:v>
      </x:c>
      <x:c r="O102" s="32" t="n">
        <x:v>3.14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Palinuridae</x:v>
      </x:c>
      <x:c r="T102" s="32" t="n">
        <x:f>IF(O102="","",(1/'Metadata'!$B$5)^(O102-1))</x:f>
        <x:v>138.03842646028852</x:v>
      </x:c>
      <x:c r="U102" s="31" t="n">
        <x:f>IF(T102="","",I102*T102)</x:f>
        <x:v>4463.328985470704</x:v>
      </x:c>
    </x:row>
    <x:row r="103" ht="18" customHeight="1">
      <x:c r="A103" s="24" t="str">
        <x:v>EEZ_923</x:v>
      </x:c>
      <x:c r="B103" s="24" t="str">
        <x:v>Iran (Sea of Oman)</x:v>
      </x:c>
      <x:c r="C103" s="24" t="str">
        <x:v>EEZ</x:v>
      </x:c>
      <x:c r="D103" s="30" t="n">
        <x:v>2019</x:v>
      </x:c>
      <x:c r="E103" s="24" t="str">
        <x:v>Carcharhinus longimanus</x:v>
      </x:c>
      <x:c r="F103" s="24" t="str">
        <x:v>Oceanic whitetip shark</x:v>
      </x:c>
      <x:c r="G103" s="24" t="str">
        <x:v>Large sharks (&gt;=90 cm)</x:v>
      </x:c>
      <x:c r="H103" s="24" t="str">
        <x:v>Sharks &amp; rays</x:v>
      </x:c>
      <x:c r="I103" s="31" t="n">
        <x:v>30.9237930086</x:v>
      </x:c>
      <x:c r="J103" s="31" t="n">
        <x:v>30.9237930086</x:v>
      </x:c>
      <x:c r="K103" s="31" t="n">
        <x:v>0</x:v>
      </x:c>
      <x:c r="L103" s="31" t="n">
        <x:v>30.9237930086</x:v>
      </x:c>
      <x:c r="M103" s="31" t="n">
        <x:v>0</x:v>
      </x:c>
      <x:c r="N103" s="24" t="str">
        <x:v>carcharhinus longimanus</x:v>
      </x:c>
      <x:c r="O103" s="32" t="n">
        <x:v>4.16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Carcharhinus longimanus</x:v>
      </x:c>
      <x:c r="T103" s="32" t="n">
        <x:f>IF(O103="","",(1/'Metadata'!$B$5)^(O103-1))</x:f>
        <x:v>1445.439770745928</x:v>
      </x:c>
      <x:c r="U103" s="31" t="n">
        <x:f>IF(T103="","",I103*T103)</x:f>
        <x:v>44698.480276945316</x:v>
      </x:c>
    </x:row>
    <x:row r="104" ht="18" customHeight="1">
      <x:c r="A104" s="24" t="str">
        <x:v>EEZ_923</x:v>
      </x:c>
      <x:c r="B104" s="24" t="str">
        <x:v>Iran (Sea of Oman)</x:v>
      </x:c>
      <x:c r="C104" s="24" t="str">
        <x:v>EEZ</x:v>
      </x:c>
      <x:c r="D104" s="30" t="n">
        <x:v>2019</x:v>
      </x:c>
      <x:c r="E104" s="24" t="str">
        <x:v>Muraenesocidae</x:v>
      </x:c>
      <x:c r="F104" s="24" t="str">
        <x:v>Pike congers</x:v>
      </x:c>
      <x:c r="G104" s="24" t="str">
        <x:v>Large demersals (&gt;=90 cm)</x:v>
      </x:c>
      <x:c r="H104" s="24" t="str">
        <x:v>Other fishes &amp; inverts</x:v>
      </x:c>
      <x:c r="I104" s="31" t="n">
        <x:v>30.6096423359</x:v>
      </x:c>
      <x:c r="J104" s="31" t="n">
        <x:v>30.6096423359</x:v>
      </x:c>
      <x:c r="K104" s="31" t="n">
        <x:v>0</x:v>
      </x:c>
      <x:c r="L104" s="31" t="n">
        <x:v>16.282733078899998</x:v>
      </x:c>
      <x:c r="M104" s="31" t="n">
        <x:v>14.326909257</x:v>
      </x:c>
      <x:c r="N104" s="24" t="str">
        <x:v>muraenesocidae</x:v>
      </x:c>
      <x:c r="O104" s="32" t="n">
        <x:v>3.9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Muraenesocidae</x:v>
      </x:c>
      <x:c r="T104" s="32" t="n">
        <x:f>IF(O104="","",(1/'Metadata'!$B$5)^(O104-1))</x:f>
        <x:v>794.3282347242813</x:v>
      </x:c>
      <x:c r="U104" s="31" t="n">
        <x:f>IF(T104="","",I104*T104)</x:f>
        <x:v>24314.10316221707</x:v>
      </x:c>
    </x:row>
    <x:row r="105" ht="18" customHeight="1">
      <x:c r="A105" s="24" t="str">
        <x:v>EEZ_923</x:v>
      </x:c>
      <x:c r="B105" s="24" t="str">
        <x:v>Iran (Sea of Oman)</x:v>
      </x:c>
      <x:c r="C105" s="24" t="str">
        <x:v>EEZ</x:v>
      </x:c>
      <x:c r="D105" s="30" t="n">
        <x:v>2019</x:v>
      </x:c>
      <x:c r="E105" s="24" t="str">
        <x:v>Drepane</x:v>
      </x:c>
      <x:c r="F105" s="24" t="str">
        <x:v>Sicklefishes</x:v>
      </x:c>
      <x:c r="G105" s="24" t="str">
        <x:v>Medium benthopelagics (30 - 89 cm)</x:v>
      </x:c>
      <x:c r="H105" s="24" t="str">
        <x:v>Perch-likes</x:v>
      </x:c>
      <x:c r="I105" s="31" t="n">
        <x:v>29.2083184761</x:v>
      </x:c>
      <x:c r="J105" s="31" t="n">
        <x:v>29.2083184761</x:v>
      </x:c>
      <x:c r="K105" s="31" t="n">
        <x:v>0</x:v>
      </x:c>
      <x:c r="L105" s="31" t="n">
        <x:v>14.8814092193</x:v>
      </x:c>
      <x:c r="M105" s="31" t="n">
        <x:v>14.3269092568</x:v>
      </x:c>
      <x:c r="N105" s="24" t="str">
        <x:v>drepane</x:v>
      </x:c>
      <x:c r="O105" s="32" t="n">
        <x:v>3.32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Drepane</x:v>
      </x:c>
      <x:c r="T105" s="32" t="n">
        <x:f>IF(O105="","",(1/'Metadata'!$B$5)^(O105-1))</x:f>
        <x:v>208.92961308540387</x:v>
      </x:c>
      <x:c r="U105" s="31" t="n">
        <x:f>IF(T105="","",I105*T105)</x:f>
        <x:v>6102.482678086826</x:v>
      </x:c>
    </x:row>
    <x:row r="106" ht="18" customHeight="1">
      <x:c r="A106" s="24" t="str">
        <x:v>EEZ_923</x:v>
      </x:c>
      <x:c r="B106" s="24" t="str">
        <x:v>Iran (Sea of Oman)</x:v>
      </x:c>
      <x:c r="C106" s="24" t="str">
        <x:v>EEZ</x:v>
      </x:c>
      <x:c r="D106" s="30" t="n">
        <x:v>2019</x:v>
      </x:c>
      <x:c r="E106" s="24" t="str">
        <x:v>Marine groundfishes not identified</x:v>
      </x:c>
      <x:c r="F106" s="24" t="str">
        <x:v>Groundfishes</x:v>
      </x:c>
      <x:c r="G106" s="24" t="str">
        <x:v>Medium demersals (30 - 89 cm)</x:v>
      </x:c>
      <x:c r="H106" s="24" t="str">
        <x:v>Other fishes &amp; inverts</x:v>
      </x:c>
      <x:c r="I106" s="31" t="n">
        <x:v>27.2930189676</x:v>
      </x:c>
      <x:c r="J106" s="31" t="n">
        <x:v>27.2930189676</x:v>
      </x:c>
      <x:c r="K106" s="31" t="n">
        <x:v>0</x:v>
      </x:c>
      <x:c r="L106" s="31" t="n">
        <x:v>13.9055791124</x:v>
      </x:c>
      <x:c r="M106" s="31" t="n">
        <x:v>13.3874398552</x:v>
      </x:c>
      <x:c r="N106" s="24" t="str">
        <x:v>marine groundfishes not identified</x:v>
      </x:c>
      <x:c r="O106" s="32" t="n">
        <x:v>3.22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Marine groundfishes not identified</x:v>
      </x:c>
      <x:c r="T106" s="32" t="n">
        <x:f>IF(O106="","",(1/'Metadata'!$B$5)^(O106-1))</x:f>
        <x:v>165.95869074375614</x:v>
      </x:c>
      <x:c r="U106" s="31" t="n">
        <x:f>IF(T106="","",I106*T106)</x:f>
        <x:v>4529.5136943073985</x:v>
      </x:c>
    </x:row>
    <x:row r="107" ht="18" customHeight="1">
      <x:c r="A107" s="24" t="str">
        <x:v>EEZ_923</x:v>
      </x:c>
      <x:c r="B107" s="24" t="str">
        <x:v>Iran (Sea of Oman)</x:v>
      </x:c>
      <x:c r="C107" s="24" t="str">
        <x:v>EEZ</x:v>
      </x:c>
      <x:c r="D107" s="30" t="n">
        <x:v>2019</x:v>
      </x:c>
      <x:c r="E107" s="24" t="str">
        <x:v>Isurus oxyrinchus</x:v>
      </x:c>
      <x:c r="F107" s="24" t="str">
        <x:v>Shortfin mako</x:v>
      </x:c>
      <x:c r="G107" s="24" t="str">
        <x:v>Large sharks (&gt;=90 cm)</x:v>
      </x:c>
      <x:c r="H107" s="24" t="str">
        <x:v>Sharks &amp; rays</x:v>
      </x:c>
      <x:c r="I107" s="31" t="n">
        <x:v>26.0527637207</x:v>
      </x:c>
      <x:c r="J107" s="31" t="n">
        <x:v>26.0527637207</x:v>
      </x:c>
      <x:c r="K107" s="31" t="n">
        <x:v>0</x:v>
      </x:c>
      <x:c r="L107" s="31" t="n">
        <x:v>26.0527637207</x:v>
      </x:c>
      <x:c r="M107" s="31" t="n">
        <x:v>0</x:v>
      </x:c>
      <x:c r="N107" s="24" t="str">
        <x:v>isurus oxyrinchus</x:v>
      </x:c>
      <x:c r="O107" s="32" t="n">
        <x:v>4.5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Isurus oxyrinchus</x:v>
      </x:c>
      <x:c r="T107" s="32" t="n">
        <x:f>IF(O107="","",(1/'Metadata'!$B$5)^(O107-1))</x:f>
        <x:v>3162.2776601683795</x:v>
      </x:c>
      <x:c r="U107" s="31" t="n">
        <x:f>IF(T107="","",I107*T107)</x:f>
        <x:v>82386.07269961484</x:v>
      </x:c>
    </x:row>
    <x:row r="108" ht="18" customHeight="1">
      <x:c r="A108" s="24" t="str">
        <x:v>EEZ_923</x:v>
      </x:c>
      <x:c r="B108" s="24" t="str">
        <x:v>Iran (Sea of Oman)</x:v>
      </x:c>
      <x:c r="C108" s="24" t="str">
        <x:v>EEZ</x:v>
      </x:c>
      <x:c r="D108" s="30" t="n">
        <x:v>2019</x:v>
      </x:c>
      <x:c r="E108" s="24" t="str">
        <x:v>Gnathanodon speciosus</x:v>
      </x:c>
      <x:c r="F108" s="24" t="str">
        <x:v>Golden trevally</x:v>
      </x:c>
      <x:c r="G108" s="24" t="str">
        <x:v>Large reef assoc. fish (&gt;=90 cm)</x:v>
      </x:c>
      <x:c r="H108" s="24" t="str">
        <x:v>Perch-likes</x:v>
      </x:c>
      <x:c r="I108" s="31" t="n">
        <x:v>25.138306983400003</x:v>
      </x:c>
      <x:c r="J108" s="31" t="n">
        <x:v>25.138306983400003</x:v>
      </x:c>
      <x:c r="K108" s="31" t="n">
        <x:v>0</x:v>
      </x:c>
      <x:c r="L108" s="31" t="n">
        <x:v>12.8077702337</x:v>
      </x:c>
      <x:c r="M108" s="31" t="n">
        <x:v>12.3305367497</x:v>
      </x:c>
      <x:c r="N108" s="24" t="str">
        <x:v>gnathanodon speciosus</x:v>
      </x:c>
      <x:c r="O108" s="32" t="n">
        <x:v>3.84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Gnathanodon speciosus</x:v>
      </x:c>
      <x:c r="T108" s="32" t="n">
        <x:f>IF(O108="","",(1/'Metadata'!$B$5)^(O108-1))</x:f>
        <x:v>691.8309709189363</x:v>
      </x:c>
      <x:c r="U108" s="31" t="n">
        <x:f>IF(T108="","",I108*T108)</x:f>
        <x:v>17391.4593275839</x:v>
      </x:c>
    </x:row>
    <x:row r="109" ht="18" customHeight="1">
      <x:c r="A109" s="24" t="str">
        <x:v>EEZ_923</x:v>
      </x:c>
      <x:c r="B109" s="24" t="str">
        <x:v>Iran (Sea of Oman)</x:v>
      </x:c>
      <x:c r="C109" s="24" t="str">
        <x:v>EEZ</x:v>
      </x:c>
      <x:c r="D109" s="30" t="n">
        <x:v>2019</x:v>
      </x:c>
      <x:c r="E109" s="24" t="str">
        <x:v>Ophichthidae</x:v>
      </x:c>
      <x:c r="F109" s="24" t="str">
        <x:v>Snake eels</x:v>
      </x:c>
      <x:c r="G109" s="24" t="str">
        <x:v>Medium demersals (30 - 89 cm)</x:v>
      </x:c>
      <x:c r="H109" s="24" t="str">
        <x:v>Other fishes &amp; inverts</x:v>
      </x:c>
      <x:c r="I109" s="31" t="n">
        <x:v>22.9835949606</x:v>
      </x:c>
      <x:c r="J109" s="31" t="n">
        <x:v>22.9835949606</x:v>
      </x:c>
      <x:c r="K109" s="31" t="n">
        <x:v>0</x:v>
      </x:c>
      <x:c r="L109" s="31" t="n">
        <x:v>11.7099613564</x:v>
      </x:c>
      <x:c r="M109" s="31" t="n">
        <x:v>11.2736336042</x:v>
      </x:c>
      <x:c r="N109" s="24" t="str">
        <x:v>ophichthidae</x:v>
      </x:c>
      <x:c r="O109" s="32" t="n">
        <x:v>3.64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Ophichthidae</x:v>
      </x:c>
      <x:c r="T109" s="32" t="n">
        <x:f>IF(O109="","",(1/'Metadata'!$B$5)^(O109-1))</x:f>
        <x:v>436.5158322401661</x:v>
      </x:c>
      <x:c r="U109" s="31" t="n">
        <x:f>IF(T109="","",I109*T109)</x:f>
        <x:v>10032.703082097198</x:v>
      </x:c>
    </x:row>
    <x:row r="110" ht="18" customHeight="1">
      <x:c r="A110" s="24" t="str">
        <x:v>EEZ_923</x:v>
      </x:c>
      <x:c r="B110" s="24" t="str">
        <x:v>Iran (Sea of Oman)</x:v>
      </x:c>
      <x:c r="C110" s="24" t="str">
        <x:v>EEZ</x:v>
      </x:c>
      <x:c r="D110" s="30" t="n">
        <x:v>2019</x:v>
      </x:c>
      <x:c r="E110" s="24" t="str">
        <x:v>Selaroides leptolepis</x:v>
      </x:c>
      <x:c r="F110" s="24" t="str">
        <x:v>Yellowstripe scad</x:v>
      </x:c>
      <x:c r="G110" s="24" t="str">
        <x:v>Small pelagics (&lt;30 cm)</x:v>
      </x:c>
      <x:c r="H110" s="24" t="str">
        <x:v>Perch-likes</x:v>
      </x:c>
      <x:c r="I110" s="31" t="n">
        <x:v>22.983594960399998</x:v>
      </x:c>
      <x:c r="J110" s="31" t="n">
        <x:v>22.983594960399998</x:v>
      </x:c>
      <x:c r="K110" s="31" t="n">
        <x:v>0</x:v>
      </x:c>
      <x:c r="L110" s="31" t="n">
        <x:v>11.709961356500001</x:v>
      </x:c>
      <x:c r="M110" s="31" t="n">
        <x:v>11.2736336039</x:v>
      </x:c>
      <x:c r="N110" s="24" t="str">
        <x:v>selaroides leptolepis</x:v>
      </x:c>
      <x:c r="O110" s="32" t="n">
        <x:v>3.84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Selaroides leptolepis</x:v>
      </x:c>
      <x:c r="T110" s="32" t="n">
        <x:f>IF(O110="","",(1/'Metadata'!$B$5)^(O110-1))</x:f>
        <x:v>691.8309709189363</x:v>
      </x:c>
      <x:c r="U110" s="31" t="n">
        <x:f>IF(T110="","",I110*T110)</x:f>
        <x:v>15900.762816661101</x:v>
      </x:c>
    </x:row>
    <x:row r="111" ht="18" customHeight="1">
      <x:c r="A111" s="24" t="str">
        <x:v>EEZ_923</x:v>
      </x:c>
      <x:c r="B111" s="24" t="str">
        <x:v>Iran (Sea of Oman)</x:v>
      </x:c>
      <x:c r="C111" s="24" t="str">
        <x:v>EEZ</x:v>
      </x:c>
      <x:c r="D111" s="30" t="n">
        <x:v>2019</x:v>
      </x:c>
      <x:c r="E111" s="24" t="str">
        <x:v>Mene maculata</x:v>
      </x:c>
      <x:c r="F111" s="24" t="str">
        <x:v>Moonfish</x:v>
      </x:c>
      <x:c r="G111" s="24" t="str">
        <x:v>Medium reef assoc. fish (30 - 89 cm)</x:v>
      </x:c>
      <x:c r="H111" s="24" t="str">
        <x:v>Perch-likes</x:v>
      </x:c>
      <x:c r="I111" s="31" t="n">
        <x:v>20.8288828304</x:v>
      </x:c>
      <x:c r="J111" s="31" t="n">
        <x:v>20.8288828304</x:v>
      </x:c>
      <x:c r="K111" s="31" t="n">
        <x:v>0</x:v>
      </x:c>
      <x:c r="L111" s="31" t="n">
        <x:v>10.6121524797</x:v>
      </x:c>
      <x:c r="M111" s="31" t="n">
        <x:v>10.216730350699999</x:v>
      </x:c>
      <x:c r="N111" s="24" t="str">
        <x:v>mene maculata</x:v>
      </x:c>
      <x:c r="O111" s="32" t="n">
        <x:v>3.45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Mene maculata</x:v>
      </x:c>
      <x:c r="T111" s="32" t="n">
        <x:f>IF(O111="","",(1/'Metadata'!$B$5)^(O111-1))</x:f>
        <x:v>281.8382931264455</x:v>
      </x:c>
      <x:c r="U111" s="31" t="n">
        <x:f>IF(T111="","",I111*T111)</x:f>
        <x:v>5870.376784650663</x:v>
      </x:c>
    </x:row>
    <x:row r="112" ht="18" customHeight="1">
      <x:c r="A112" s="24" t="str">
        <x:v>EEZ_923</x:v>
      </x:c>
      <x:c r="B112" s="24" t="str">
        <x:v>Iran (Sea of Oman)</x:v>
      </x:c>
      <x:c r="C112" s="24" t="str">
        <x:v>EEZ</x:v>
      </x:c>
      <x:c r="D112" s="30" t="n">
        <x:v>2019</x:v>
      </x:c>
      <x:c r="E112" s="24" t="str">
        <x:v>Megalaspis cordyla</x:v>
      </x:c>
      <x:c r="F112" s="24" t="str">
        <x:v>Torpedo scad</x:v>
      </x:c>
      <x:c r="G112" s="24" t="str">
        <x:v>Medium pelagics (30 - 89 cm)</x:v>
      </x:c>
      <x:c r="H112" s="24" t="str">
        <x:v>Perch-likes</x:v>
      </x:c>
      <x:c r="I112" s="31" t="n">
        <x:v>20.8288828304</x:v>
      </x:c>
      <x:c r="J112" s="31" t="n">
        <x:v>20.8288828304</x:v>
      </x:c>
      <x:c r="K112" s="31" t="n">
        <x:v>0</x:v>
      </x:c>
      <x:c r="L112" s="31" t="n">
        <x:v>10.6121524797</x:v>
      </x:c>
      <x:c r="M112" s="31" t="n">
        <x:v>10.216730350699999</x:v>
      </x:c>
      <x:c r="N112" s="24" t="str">
        <x:v>megalaspis cordyla</x:v>
      </x:c>
      <x:c r="O112" s="32" t="n">
        <x:v>4.24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Megalaspis cordyla</x:v>
      </x:c>
      <x:c r="T112" s="32" t="n">
        <x:f>IF(O112="","",(1/'Metadata'!$B$5)^(O112-1))</x:f>
        <x:v>1737.8008287493763</x:v>
      </x:c>
      <x:c r="U112" s="31" t="n">
        <x:f>IF(T112="","",I112*T112)</x:f>
        <x:v>36196.449844592775</x:v>
      </x:c>
    </x:row>
    <x:row r="113" ht="18" customHeight="1">
      <x:c r="A113" s="24" t="str">
        <x:v>EEZ_923</x:v>
      </x:c>
      <x:c r="B113" s="24" t="str">
        <x:v>Iran (Sea of Oman)</x:v>
      </x:c>
      <x:c r="C113" s="24" t="str">
        <x:v>EEZ</x:v>
      </x:c>
      <x:c r="D113" s="30" t="n">
        <x:v>2019</x:v>
      </x:c>
      <x:c r="E113" s="24" t="str">
        <x:v>Thryssa</x:v>
      </x:c>
      <x:c r="F113" s="24" t="str">
        <x:v>Thryssas</x:v>
      </x:c>
      <x:c r="G113" s="24" t="str">
        <x:v>Small pelagics (&lt;30 cm)</x:v>
      </x:c>
      <x:c r="H113" s="24" t="str">
        <x:v>Anchovies</x:v>
      </x:c>
      <x:c r="I113" s="31" t="n">
        <x:v>19.1130180743</x:v>
      </x:c>
      <x:c r="J113" s="31" t="n">
        <x:v>18.9135833183</x:v>
      </x:c>
      <x:c r="K113" s="31" t="n">
        <x:v>0.199434756</x:v>
      </x:c>
      <x:c r="L113" s="31" t="n">
        <x:v>9.6363223647</x:v>
      </x:c>
      <x:c r="M113" s="31" t="n">
        <x:v>9.4766957096</x:v>
      </x:c>
      <x:c r="N113" s="24" t="str">
        <x:v>thryssa</x:v>
      </x:c>
      <x:c r="O113" s="32" t="n">
        <x:v>3.34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Thryssa</x:v>
      </x:c>
      <x:c r="T113" s="32" t="n">
        <x:f>IF(O113="","",(1/'Metadata'!$B$5)^(O113-1))</x:f>
        <x:v>218.77616239495518</x:v>
      </x:c>
      <x:c r="U113" s="31" t="n">
        <x:f>IF(T113="","",I113*T113)</x:f>
        <x:v>4181.472746080771</x:v>
      </x:c>
    </x:row>
    <x:row r="114" ht="18" customHeight="1">
      <x:c r="A114" s="24" t="str">
        <x:v>EEZ_923</x:v>
      </x:c>
      <x:c r="B114" s="24" t="str">
        <x:v>Iran (Sea of Oman)</x:v>
      </x:c>
      <x:c r="C114" s="24" t="str">
        <x:v>EEZ</x:v>
      </x:c>
      <x:c r="D114" s="30" t="n">
        <x:v>2019</x:v>
      </x:c>
      <x:c r="E114" s="24" t="str">
        <x:v>Terapon jarbua</x:v>
      </x:c>
      <x:c r="F114" s="24" t="str">
        <x:v>Jarbua terapon</x:v>
      </x:c>
      <x:c r="G114" s="24" t="str">
        <x:v>Medium demersals (30 - 89 cm)</x:v>
      </x:c>
      <x:c r="H114" s="24" t="str">
        <x:v>Perch-likes</x:v>
      </x:c>
      <x:c r="I114" s="31" t="n">
        <x:v>16.9997753653</x:v>
      </x:c>
      <x:c r="J114" s="31" t="n">
        <x:v>16.7588713018</x:v>
      </x:c>
      <x:c r="K114" s="31" t="n">
        <x:v>0.24090406350000002</x:v>
      </x:c>
      <x:c r="L114" s="31" t="n">
        <x:v>8.5385134879</x:v>
      </x:c>
      <x:c r="M114" s="31" t="n">
        <x:v>8.4612618774</x:v>
      </x:c>
      <x:c r="N114" s="24" t="str">
        <x:v>terapon jarbua</x:v>
      </x:c>
      <x:c r="O114" s="32" t="n">
        <x:v>3.93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Terapon jarbua</x:v>
      </x:c>
      <x:c r="T114" s="32" t="n">
        <x:f>IF(O114="","",(1/'Metadata'!$B$5)^(O114-1))</x:f>
        <x:v>851.1380382023768</x:v>
      </x:c>
      <x:c r="U114" s="31" t="n">
        <x:f>IF(T114="","",I114*T114)</x:f>
        <x:v>14469.155454302536</x:v>
      </x:c>
    </x:row>
    <x:row r="115" ht="18" customHeight="1">
      <x:c r="A115" s="24" t="str">
        <x:v>EEZ_923</x:v>
      </x:c>
      <x:c r="B115" s="24" t="str">
        <x:v>Iran (Sea of Oman)</x:v>
      </x:c>
      <x:c r="C115" s="24" t="str">
        <x:v>EEZ</x:v>
      </x:c>
      <x:c r="D115" s="30" t="n">
        <x:v>2019</x:v>
      </x:c>
      <x:c r="E115" s="24" t="str">
        <x:v>Epinephelus</x:v>
      </x:c>
      <x:c r="F115" s="24" t="str">
        <x:v>Seabasses, hinds</x:v>
      </x:c>
      <x:c r="G115" s="24" t="str">
        <x:v>Medium reef assoc. fish (30 - 89 cm)</x:v>
      </x:c>
      <x:c r="H115" s="24" t="str">
        <x:v>Perch-likes</x:v>
      </x:c>
      <x:c r="I115" s="31" t="n">
        <x:v>16.9060739508</x:v>
      </x:c>
      <x:c r="J115" s="31" t="n">
        <x:v>16.9060739508</x:v>
      </x:c>
      <x:c r="K115" s="31" t="n">
        <x:v>0</x:v>
      </x:c>
      <x:c r="L115" s="31" t="n">
        <x:v>8.6857161369</x:v>
      </x:c>
      <x:c r="M115" s="31" t="n">
        <x:v>8.2203578139</x:v>
      </x:c>
      <x:c r="N115" s="24" t="str">
        <x:v>epinephelus</x:v>
      </x:c>
      <x:c r="O115" s="32" t="n">
        <x:v>3.84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Epinephelus</x:v>
      </x:c>
      <x:c r="T115" s="32" t="n">
        <x:f>IF(O115="","",(1/'Metadata'!$B$5)^(O115-1))</x:f>
        <x:v>691.8309709189363</x:v>
      </x:c>
      <x:c r="U115" s="31" t="n">
        <x:f>IF(T115="","",I115*T115)</x:f>
        <x:v>11696.1455558093</x:v>
      </x:c>
    </x:row>
    <x:row r="116" ht="18" customHeight="1">
      <x:c r="A116" s="24" t="str">
        <x:v>EEZ_923</x:v>
      </x:c>
      <x:c r="B116" s="24" t="str">
        <x:v>Iran (Sea of Oman)</x:v>
      </x:c>
      <x:c r="C116" s="24" t="str">
        <x:v>EEZ</x:v>
      </x:c>
      <x:c r="D116" s="30" t="n">
        <x:v>2019</x:v>
      </x:c>
      <x:c r="E116" s="24" t="str">
        <x:v>Gerres longirostris</x:v>
      </x:c>
      <x:c r="F116" s="24" t="str">
        <x:v>Strongspine silver-biddy</x:v>
      </x:c>
      <x:c r="G116" s="24" t="str">
        <x:v>Medium demersals (30 - 89 cm)</x:v>
      </x:c>
      <x:c r="H116" s="24" t="str">
        <x:v>Perch-likes</x:v>
      </x:c>
      <x:c r="I116" s="31" t="n">
        <x:v>16.7588713019</x:v>
      </x:c>
      <x:c r="J116" s="31" t="n">
        <x:v>16.7588713019</x:v>
      </x:c>
      <x:c r="K116" s="31" t="n">
        <x:v>0</x:v>
      </x:c>
      <x:c r="L116" s="31" t="n">
        <x:v>8.538513488</x:v>
      </x:c>
      <x:c r="M116" s="31" t="n">
        <x:v>8.2203578139</x:v>
      </x:c>
      <x:c r="N116" s="24" t="str">
        <x:v>gerres longirostris</x:v>
      </x:c>
      <x:c r="O116" s="32" t="n">
        <x:v>3.5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Gerres longirostris</x:v>
      </x:c>
      <x:c r="T116" s="32" t="n">
        <x:f>IF(O116="","",(1/'Metadata'!$B$5)^(O116-1))</x:f>
        <x:v>316.22776601683796</x:v>
      </x:c>
      <x:c r="U116" s="31" t="n">
        <x:f>IF(T116="","",I116*T116)</x:f>
        <x:v>5299.620432763534</x:v>
      </x:c>
    </x:row>
    <x:row r="117" ht="18" customHeight="1">
      <x:c r="A117" s="24" t="str">
        <x:v>EEZ_923</x:v>
      </x:c>
      <x:c r="B117" s="24" t="str">
        <x:v>Iran (Sea of Oman)</x:v>
      </x:c>
      <x:c r="C117" s="24" t="str">
        <x:v>EEZ</x:v>
      </x:c>
      <x:c r="D117" s="30" t="n">
        <x:v>2019</x:v>
      </x:c>
      <x:c r="E117" s="24" t="str">
        <x:v>Plectorhinchus</x:v>
      </x:c>
      <x:c r="F117" s="24" t="str">
        <x:v>Sweetlips</x:v>
      </x:c>
      <x:c r="G117" s="24" t="str">
        <x:v>Medium reef assoc. fish (30 - 89 cm)</x:v>
      </x:c>
      <x:c r="H117" s="24" t="str">
        <x:v>Perch-likes</x:v>
      </x:c>
      <x:c r="I117" s="31" t="n">
        <x:v>16.7588713018</x:v>
      </x:c>
      <x:c r="J117" s="31" t="n">
        <x:v>16.7588713018</x:v>
      </x:c>
      <x:c r="K117" s="31" t="n">
        <x:v>0</x:v>
      </x:c>
      <x:c r="L117" s="31" t="n">
        <x:v>8.5385134879</x:v>
      </x:c>
      <x:c r="M117" s="31" t="n">
        <x:v>8.2203578139</x:v>
      </x:c>
      <x:c r="N117" s="24" t="str">
        <x:v>plectorhinchus</x:v>
      </x:c>
      <x:c r="O117" s="32" t="n">
        <x:v>3.43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Plectorhinchus</x:v>
      </x:c>
      <x:c r="T117" s="32" t="n">
        <x:f>IF(O117="","",(1/'Metadata'!$B$5)^(O117-1))</x:f>
        <x:v>269.1534803926917</x:v>
      </x:c>
      <x:c r="U117" s="31" t="n">
        <x:f>IF(T117="","",I117*T117)</x:f>
        <x:v>4510.708538332669</x:v>
      </x:c>
    </x:row>
    <x:row r="118" ht="18" customHeight="1">
      <x:c r="A118" s="24" t="str">
        <x:v>EEZ_923</x:v>
      </x:c>
      <x:c r="B118" s="24" t="str">
        <x:v>Iran (Sea of Oman)</x:v>
      </x:c>
      <x:c r="C118" s="24" t="str">
        <x:v>EEZ</x:v>
      </x:c>
      <x:c r="D118" s="30" t="n">
        <x:v>2019</x:v>
      </x:c>
      <x:c r="E118" s="24" t="str">
        <x:v>Alepes djedaba</x:v>
      </x:c>
      <x:c r="F118" s="24" t="str">
        <x:v>Shrimp scad</x:v>
      </x:c>
      <x:c r="G118" s="24" t="str">
        <x:v>Medium reef assoc. fish (30 - 89 cm)</x:v>
      </x:c>
      <x:c r="H118" s="24" t="str">
        <x:v>Perch-likes</x:v>
      </x:c>
      <x:c r="I118" s="31" t="n">
        <x:v>16.7588713015</x:v>
      </x:c>
      <x:c r="J118" s="31" t="n">
        <x:v>16.7588713015</x:v>
      </x:c>
      <x:c r="K118" s="31" t="n">
        <x:v>0</x:v>
      </x:c>
      <x:c r="L118" s="31" t="n">
        <x:v>8.5385134877</x:v>
      </x:c>
      <x:c r="M118" s="31" t="n">
        <x:v>8.2203578138</x:v>
      </x:c>
      <x:c r="N118" s="24" t="str">
        <x:v>alepes djedaba</x:v>
      </x:c>
      <x:c r="O118" s="32" t="n">
        <x:v>3.32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Alepes djedaba</x:v>
      </x:c>
      <x:c r="T118" s="32" t="n">
        <x:f>IF(O118="","",(1/'Metadata'!$B$5)^(O118-1))</x:f>
        <x:v>208.92961308540387</x:v>
      </x:c>
      <x:c r="U118" s="31" t="n">
        <x:f>IF(T118="","",I118*T118)</x:f>
        <x:v>3501.424496770474</x:v>
      </x:c>
    </x:row>
    <x:row r="119" ht="18" customHeight="1">
      <x:c r="A119" s="24" t="str">
        <x:v>EEZ_923</x:v>
      </x:c>
      <x:c r="B119" s="24" t="str">
        <x:v>Iran (Sea of Oman)</x:v>
      </x:c>
      <x:c r="C119" s="24" t="str">
        <x:v>EEZ</x:v>
      </x:c>
      <x:c r="D119" s="30" t="n">
        <x:v>2019</x:v>
      </x:c>
      <x:c r="E119" s="24" t="str">
        <x:v>Trachinotus mookalee</x:v>
      </x:c>
      <x:c r="F119" s="24" t="str">
        <x:v>Indian pompano</x:v>
      </x:c>
      <x:c r="G119" s="24" t="str">
        <x:v>Medium demersals (30 - 89 cm)</x:v>
      </x:c>
      <x:c r="H119" s="24" t="str">
        <x:v>Perch-likes</x:v>
      </x:c>
      <x:c r="I119" s="31" t="n">
        <x:v>16.7588713015</x:v>
      </x:c>
      <x:c r="J119" s="31" t="n">
        <x:v>16.7588713015</x:v>
      </x:c>
      <x:c r="K119" s="31" t="n">
        <x:v>0</x:v>
      </x:c>
      <x:c r="L119" s="31" t="n">
        <x:v>8.5385134877</x:v>
      </x:c>
      <x:c r="M119" s="31" t="n">
        <x:v>8.2203578138</x:v>
      </x:c>
      <x:c r="N119" s="24" t="str">
        <x:v>trachinotus mookalee</x:v>
      </x:c>
      <x:c r="O119" s="32" t="n">
        <x:v>3.78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Trachinotus mookalee</x:v>
      </x:c>
      <x:c r="T119" s="32" t="n">
        <x:f>IF(O119="","",(1/'Metadata'!$B$5)^(O119-1))</x:f>
        <x:v>602.5595860743575</x:v>
      </x:c>
      <x:c r="U119" s="31" t="n">
        <x:f>IF(T119="","",I119*T119)</x:f>
        <x:v>10098.21855450527</x:v>
      </x:c>
    </x:row>
    <x:row r="120" ht="18" customHeight="1">
      <x:c r="A120" s="24" t="str">
        <x:v>EEZ_923</x:v>
      </x:c>
      <x:c r="B120" s="24" t="str">
        <x:v>Iran (Sea of Oman)</x:v>
      </x:c>
      <x:c r="C120" s="24" t="str">
        <x:v>EEZ</x:v>
      </x:c>
      <x:c r="D120" s="30" t="n">
        <x:v>2019</x:v>
      </x:c>
      <x:c r="E120" s="24" t="str">
        <x:v>Scolopsis taeniata</x:v>
      </x:c>
      <x:c r="F120" s="24" t="str">
        <x:v>Black-streaked monocle bream</x:v>
      </x:c>
      <x:c r="G120" s="24" t="str">
        <x:v>Small reef assoc. fish (&lt;30 cm)</x:v>
      </x:c>
      <x:c r="H120" s="24" t="str">
        <x:v>Perch-likes</x:v>
      </x:c>
      <x:c r="I120" s="31" t="n">
        <x:v>14.6041593054</x:v>
      </x:c>
      <x:c r="J120" s="31" t="n">
        <x:v>14.6041593054</x:v>
      </x:c>
      <x:c r="K120" s="31" t="n">
        <x:v>0</x:v>
      </x:c>
      <x:c r="L120" s="31" t="n">
        <x:v>7.4407046104</x:v>
      </x:c>
      <x:c r="M120" s="31" t="n">
        <x:v>7.163454695</x:v>
      </x:c>
      <x:c r="N120" s="24" t="str">
        <x:v>scolopsis taeniata</x:v>
      </x:c>
      <x:c r="O120" s="32" t="n">
        <x:v>3.51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Scolopsis taeniata</x:v>
      </x:c>
      <x:c r="T120" s="32" t="n">
        <x:f>IF(O120="","",(1/'Metadata'!$B$5)^(O120-1))</x:f>
        <x:v>323.5936569296281</x:v>
      </x:c>
      <x:c r="U120" s="31" t="n">
        <x:f>IF(T120="","",I120*T120)</x:f>
        <x:v>4725.813316017243</x:v>
      </x:c>
    </x:row>
    <x:row r="121" ht="18" customHeight="1">
      <x:c r="A121" s="24" t="str">
        <x:v>EEZ_923</x:v>
      </x:c>
      <x:c r="B121" s="24" t="str">
        <x:v>Iran (Sea of Oman)</x:v>
      </x:c>
      <x:c r="C121" s="24" t="str">
        <x:v>EEZ</x:v>
      </x:c>
      <x:c r="D121" s="30" t="n">
        <x:v>2019</x:v>
      </x:c>
      <x:c r="E121" s="24" t="str">
        <x:v>Sphyrna</x:v>
      </x:c>
      <x:c r="F121" s="24" t="str">
        <x:v>Hammerhead sharks</x:v>
      </x:c>
      <x:c r="G121" s="24" t="str">
        <x:v>Large sharks (&gt;=90 cm)</x:v>
      </x:c>
      <x:c r="H121" s="24" t="str">
        <x:v>Sharks &amp; rays</x:v>
      </x:c>
      <x:c r="I121" s="31" t="n">
        <x:v>11.9011325</x:v>
      </x:c>
      <x:c r="J121" s="31" t="n">
        <x:v>11.9011325</x:v>
      </x:c>
      <x:c r="K121" s="31" t="n">
        <x:v>0</x:v>
      </x:c>
      <x:c r="L121" s="31" t="n">
        <x:v>11.9011325</x:v>
      </x:c>
      <x:c r="M121" s="31" t="n">
        <x:v>0</x:v>
      </x:c>
      <x:c r="N121" s="24" t="str">
        <x:v>sphyrna</x:v>
      </x:c>
      <x:c r="O121" s="32" t="n">
        <x:v>4.2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Sphyrna</x:v>
      </x:c>
      <x:c r="T121" s="32" t="n">
        <x:f>IF(O121="","",(1/'Metadata'!$B$5)^(O121-1))</x:f>
        <x:v>1584.893192461114</x:v>
      </x:c>
      <x:c r="U121" s="31" t="n">
        <x:f>IF(T121="","",I121*T121)</x:f>
        <x:v>18862.023881827718</x:v>
      </x:c>
    </x:row>
    <x:row r="122" ht="18" customHeight="1">
      <x:c r="A122" s="24" t="str">
        <x:v>EEZ_923</x:v>
      </x:c>
      <x:c r="B122" s="24" t="str">
        <x:v>Iran (Sea of Oman)</x:v>
      </x:c>
      <x:c r="C122" s="24" t="str">
        <x:v>EEZ</x:v>
      </x:c>
      <x:c r="D122" s="30" t="n">
        <x:v>2019</x:v>
      </x:c>
      <x:c r="E122" s="24" t="str">
        <x:v>Lutjanus russellii</x:v>
      </x:c>
      <x:c r="F122" s="24" t="str">
        <x:v>Russell's snapper</x:v>
      </x:c>
      <x:c r="G122" s="24" t="str">
        <x:v>Medium reef assoc. fish (30 - 89 cm)</x:v>
      </x:c>
      <x:c r="H122" s="24" t="str">
        <x:v>Perch-likes</x:v>
      </x:c>
      <x:c r="I122" s="31" t="n">
        <x:v>10.5341477929</x:v>
      </x:c>
      <x:c r="J122" s="31" t="n">
        <x:v>10.5341477929</x:v>
      </x:c>
      <x:c r="K122" s="31" t="n">
        <x:v>0</x:v>
      </x:c>
      <x:c r="L122" s="31" t="n">
        <x:v>5.3670656211</x:v>
      </x:c>
      <x:c r="M122" s="31" t="n">
        <x:v>5.167082171800001</x:v>
      </x:c>
      <x:c r="N122" s="24" t="str">
        <x:v>lutjanus russellii</x:v>
      </x:c>
      <x:c r="O122" s="32" t="n">
        <x:v>4.1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Lutjanus russellii</x:v>
      </x:c>
      <x:c r="T122" s="32" t="n">
        <x:f>IF(O122="","",(1/'Metadata'!$B$5)^(O122-1))</x:f>
        <x:v>1258.9254117941662</x:v>
      </x:c>
      <x:c r="U122" s="31" t="n">
        <x:f>IF(T122="","",I122*T122)</x:f>
        <x:v>13261.70634807724</x:v>
      </x:c>
    </x:row>
    <x:row r="123" ht="18" customHeight="1">
      <x:c r="A123" s="24" t="str">
        <x:v>EEZ_923</x:v>
      </x:c>
      <x:c r="B123" s="24" t="str">
        <x:v>Iran (Sea of Oman)</x:v>
      </x:c>
      <x:c r="C123" s="24" t="str">
        <x:v>EEZ</x:v>
      </x:c>
      <x:c r="D123" s="30" t="n">
        <x:v>2019</x:v>
      </x:c>
      <x:c r="E123" s="24" t="str">
        <x:v>Loliginidae</x:v>
      </x:c>
      <x:c r="F123" s="24" t="str">
        <x:v>Common pencil squids</x:v>
      </x:c>
      <x:c r="G123" s="24" t="str">
        <x:v>Cephalopods</x:v>
      </x:c>
      <x:c r="H123" s="24" t="str">
        <x:v>Other fishes &amp; inverts</x:v>
      </x:c>
      <x:c r="I123" s="31" t="n">
        <x:v>10.5341477928</x:v>
      </x:c>
      <x:c r="J123" s="31" t="n">
        <x:v>10.5341477928</x:v>
      </x:c>
      <x:c r="K123" s="31" t="n">
        <x:v>0</x:v>
      </x:c>
      <x:c r="L123" s="31" t="n">
        <x:v>5.3670656209</x:v>
      </x:c>
      <x:c r="M123" s="31" t="n">
        <x:v>5.167082171900001</x:v>
      </x:c>
      <x:c r="N123" s="24" t="str">
        <x:v>loliginidae</x:v>
      </x:c>
      <x:c r="O123" s="32" t="n">
        <x:v>3.9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Loliginidae</x:v>
      </x:c>
      <x:c r="T123" s="32" t="n">
        <x:f>IF(O123="","",(1/'Metadata'!$B$5)^(O123-1))</x:f>
        <x:v>794.3282347242813</x:v>
      </x:c>
      <x:c r="U123" s="31" t="n">
        <x:f>IF(T123="","",I123*T123)</x:f>
        <x:v>8367.57102057951</x:v>
      </x:c>
    </x:row>
    <x:row r="124" ht="18" customHeight="1">
      <x:c r="A124" s="24" t="str">
        <x:v>EEZ_923</x:v>
      </x:c>
      <x:c r="B124" s="24" t="str">
        <x:v>Iran (Sea of Oman)</x:v>
      </x:c>
      <x:c r="C124" s="24" t="str">
        <x:v>EEZ</x:v>
      </x:c>
      <x:c r="D124" s="30" t="n">
        <x:v>2019</x:v>
      </x:c>
      <x:c r="E124" s="24" t="str">
        <x:v>Lethrinus lentjan</x:v>
      </x:c>
      <x:c r="F124" s="24" t="str">
        <x:v>Pink ear emperor</x:v>
      </x:c>
      <x:c r="G124" s="24" t="str">
        <x:v>Medium demersals (30 - 89 cm)</x:v>
      </x:c>
      <x:c r="H124" s="24" t="str">
        <x:v>Perch-likes</x:v>
      </x:c>
      <x:c r="I124" s="31" t="n">
        <x:v>10.534147792399999</x:v>
      </x:c>
      <x:c r="J124" s="31" t="n">
        <x:v>10.534147792399999</x:v>
      </x:c>
      <x:c r="K124" s="31" t="n">
        <x:v>0</x:v>
      </x:c>
      <x:c r="L124" s="31" t="n">
        <x:v>5.3670656208</x:v>
      </x:c>
      <x:c r="M124" s="31" t="n">
        <x:v>5.167082171600001</x:v>
      </x:c>
      <x:c r="N124" s="24" t="str">
        <x:v>lethrinus lentjan</x:v>
      </x:c>
      <x:c r="O124" s="32" t="n">
        <x:v>3.94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Lethrinus lentjan</x:v>
      </x:c>
      <x:c r="T124" s="32" t="n">
        <x:f>IF(O124="","",(1/'Metadata'!$B$5)^(O124-1))</x:f>
        <x:v>870.9635899560806</x:v>
      </x:c>
      <x:c r="U124" s="31" t="n">
        <x:f>IF(T124="","",I124*T124)</x:f>
        <x:v>9174.859178396624</x:v>
      </x:c>
    </x:row>
    <x:row r="125" ht="18" customHeight="1">
      <x:c r="A125" s="24" t="str">
        <x:v>EEZ_923</x:v>
      </x:c>
      <x:c r="B125" s="24" t="str">
        <x:v>Iran (Sea of Oman)</x:v>
      </x:c>
      <x:c r="C125" s="24" t="str">
        <x:v>EEZ</x:v>
      </x:c>
      <x:c r="D125" s="30" t="n">
        <x:v>2019</x:v>
      </x:c>
      <x:c r="E125" s="24" t="str">
        <x:v>Cnidaria</x:v>
      </x:c>
      <x:c r="F125" s="24" t="str">
        <x:v>Cnidarians, coelenterates</x:v>
      </x:c>
      <x:c r="G125" s="24" t="str">
        <x:v>Jellyfish</x:v>
      </x:c>
      <x:c r="H125" s="24" t="str">
        <x:v>Other fishes &amp; inverts</x:v>
      </x:c>
      <x:c r="I125" s="31" t="n">
        <x:v>8.989036059</x:v>
      </x:c>
      <x:c r="J125" s="31" t="n">
        <x:v>8.989036059</x:v>
      </x:c>
      <x:c r="K125" s="31" t="n">
        <x:v>0</x:v>
      </x:c>
      <x:c r="L125" s="31" t="n">
        <x:v>8.989036059</x:v>
      </x:c>
      <x:c r="M125" s="31" t="n">
        <x:v>0</x:v>
      </x:c>
      <x:c r="N125" s="24" t="str">
        <x:v>cnidaria</x:v>
      </x:c>
      <x:c r="O125" s="32" t="n">
        <x:v>2.5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Cnidaria</x:v>
      </x:c>
      <x:c r="T125" s="32" t="n">
        <x:f>IF(O125="","",(1/'Metadata'!$B$5)^(O125-1))</x:f>
        <x:v>31.622776601683793</x:v>
      </x:c>
      <x:c r="U125" s="31" t="n">
        <x:f>IF(T125="","",I125*T125)</x:f>
        <x:v>284.2582791582371</x:v>
      </x:c>
    </x:row>
    <x:row r="126" ht="18" customHeight="1">
      <x:c r="A126" s="24" t="str">
        <x:v>EEZ_923</x:v>
      </x:c>
      <x:c r="B126" s="24" t="str">
        <x:v>Iran (Sea of Oman)</x:v>
      </x:c>
      <x:c r="C126" s="24" t="str">
        <x:v>EEZ</x:v>
      </x:c>
      <x:c r="D126" s="30" t="n">
        <x:v>2019</x:v>
      </x:c>
      <x:c r="E126" s="24" t="str">
        <x:v>Platax orbicularis</x:v>
      </x:c>
      <x:c r="F126" s="24" t="str">
        <x:v>Orbicular batfish</x:v>
      </x:c>
      <x:c r="G126" s="24" t="str">
        <x:v>Medium reef assoc. fish (30 - 89 cm)</x:v>
      </x:c>
      <x:c r="H126" s="24" t="str">
        <x:v>Perch-likes</x:v>
      </x:c>
      <x:c r="I126" s="31" t="n">
        <x:v>8.3794356526</x:v>
      </x:c>
      <x:c r="J126" s="31" t="n">
        <x:v>8.3794356526</x:v>
      </x:c>
      <x:c r="K126" s="31" t="n">
        <x:v>0</x:v>
      </x:c>
      <x:c r="L126" s="31" t="n">
        <x:v>4.269256744</x:v>
      </x:c>
      <x:c r="M126" s="31" t="n">
        <x:v>4.1101789086</x:v>
      </x:c>
      <x:c r="N126" s="24" t="str">
        <x:v>platax orbicularis</x:v>
      </x:c>
      <x:c r="O126" s="32" t="n">
        <x:v>3.33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Platax orbicularis</x:v>
      </x:c>
      <x:c r="T126" s="32" t="n">
        <x:f>IF(O126="","",(1/'Metadata'!$B$5)^(O126-1))</x:f>
        <x:v>213.79620895022325</x:v>
      </x:c>
      <x:c r="U126" s="31" t="n">
        <x:f>IF(T126="","",I126*T126)</x:f>
        <x:v>1791.4915756682199</x:v>
      </x:c>
    </x:row>
    <x:row r="127" ht="18" customHeight="1">
      <x:c r="A127" s="24" t="str">
        <x:v>EEZ_923</x:v>
      </x:c>
      <x:c r="B127" s="24" t="str">
        <x:v>Iran (Sea of Oman)</x:v>
      </x:c>
      <x:c r="C127" s="24" t="str">
        <x:v>EEZ</x:v>
      </x:c>
      <x:c r="D127" s="30" t="n">
        <x:v>2019</x:v>
      </x:c>
      <x:c r="E127" s="24" t="str">
        <x:v>Sphyrna zygaena</x:v>
      </x:c>
      <x:c r="F127" s="24" t="str">
        <x:v>Smooth hammerhead</x:v>
      </x:c>
      <x:c r="G127" s="24" t="str">
        <x:v>Large sharks (&gt;=90 cm)</x:v>
      </x:c>
      <x:c r="H127" s="24" t="str">
        <x:v>Sharks &amp; rays</x:v>
      </x:c>
      <x:c r="I127" s="31" t="n">
        <x:v>6.8260582617</x:v>
      </x:c>
      <x:c r="J127" s="31" t="n">
        <x:v>6.8260582617</x:v>
      </x:c>
      <x:c r="K127" s="31" t="n">
        <x:v>0</x:v>
      </x:c>
      <x:c r="L127" s="31" t="n">
        <x:v>6.8260582617</x:v>
      </x:c>
      <x:c r="M127" s="31" t="n">
        <x:v>0</x:v>
      </x:c>
      <x:c r="N127" s="24" t="str">
        <x:v>sphyrna zygaena</x:v>
      </x:c>
      <x:c r="O127" s="32" t="n">
        <x:v>4.94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Sphyrna zygaena</x:v>
      </x:c>
      <x:c r="T127" s="32" t="n">
        <x:f>IF(O127="","",(1/'Metadata'!$B$5)^(O127-1))</x:f>
        <x:v>8709.635899560813</x:v>
      </x:c>
      <x:c r="U127" s="31" t="n">
        <x:f>IF(T127="","",I127*T127)</x:f>
        <x:v>59452.482088596</x:v>
      </x:c>
    </x:row>
    <x:row r="128" ht="18" customHeight="1">
      <x:c r="A128" s="24" t="str">
        <x:v>EEZ_923</x:v>
      </x:c>
      <x:c r="B128" s="24" t="str">
        <x:v>Iran (Sea of Oman)</x:v>
      </x:c>
      <x:c r="C128" s="24" t="str">
        <x:v>EEZ</x:v>
      </x:c>
      <x:c r="D128" s="30" t="n">
        <x:v>2019</x:v>
      </x:c>
      <x:c r="E128" s="24" t="str">
        <x:v>Lutjanus fulviflamma</x:v>
      </x:c>
      <x:c r="F128" s="24" t="str">
        <x:v>Dory snapper</x:v>
      </x:c>
      <x:c r="G128" s="24" t="str">
        <x:v>Medium reef assoc. fish (30 - 89 cm)</x:v>
      </x:c>
      <x:c r="H128" s="24" t="str">
        <x:v>Perch-likes</x:v>
      </x:c>
      <x:c r="I128" s="31" t="n">
        <x:v>6.2247236545</x:v>
      </x:c>
      <x:c r="J128" s="31" t="n">
        <x:v>6.2247236545</x:v>
      </x:c>
      <x:c r="K128" s="31" t="n">
        <x:v>0</x:v>
      </x:c>
      <x:c r="L128" s="31" t="n">
        <x:v>3.1714478663</x:v>
      </x:c>
      <x:c r="M128" s="31" t="n">
        <x:v>3.0532757882</x:v>
      </x:c>
      <x:c r="N128" s="24" t="str">
        <x:v>lutjanus fulviflamma</x:v>
      </x:c>
      <x:c r="O128" s="32" t="n">
        <x:v>3.79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Lutjanus fulviflamma</x:v>
      </x:c>
      <x:c r="T128" s="32" t="n">
        <x:f>IF(O128="","",(1/'Metadata'!$B$5)^(O128-1))</x:f>
        <x:v>616.5950018614822</x:v>
      </x:c>
      <x:c r="U128" s="31" t="n">
        <x:f>IF(T128="","",I128*T128)</x:f>
        <x:v>3838.1334933336393</x:v>
      </x:c>
    </x:row>
    <x:row r="129" ht="18" customHeight="1">
      <x:c r="A129" s="24" t="str">
        <x:v>EEZ_923</x:v>
      </x:c>
      <x:c r="B129" s="24" t="str">
        <x:v>Iran (Sea of Oman)</x:v>
      </x:c>
      <x:c r="C129" s="24" t="str">
        <x:v>EEZ</x:v>
      </x:c>
      <x:c r="D129" s="30" t="n">
        <x:v>2019</x:v>
      </x:c>
      <x:c r="E129" s="24" t="str">
        <x:v>Thenus orientalis</x:v>
      </x:c>
      <x:c r="F129" s="24" t="str">
        <x:v>Flathead lobster</x:v>
      </x:c>
      <x:c r="G129" s="24" t="str">
        <x:v>Lobsters, crabs</x:v>
      </x:c>
      <x:c r="H129" s="24" t="str">
        <x:v>Crustaceans</x:v>
      </x:c>
      <x:c r="I129" s="31" t="n">
        <x:v>4.0700116404</x:v>
      </x:c>
      <x:c r="J129" s="31" t="n">
        <x:v>4.0700116404</x:v>
      </x:c>
      <x:c r="K129" s="31" t="n">
        <x:v>0</x:v>
      </x:c>
      <x:c r="L129" s="31" t="n">
        <x:v>2.0736389901</x:v>
      </x:c>
      <x:c r="M129" s="31" t="n">
        <x:v>1.9963726502999999</x:v>
      </x:c>
      <x:c r="N129" s="24" t="str">
        <x:v>thenus orientalis</x:v>
      </x:c>
      <x:c r="O129" s="32" t="n">
        <x:v>2.5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Thenus orientalis</x:v>
      </x:c>
      <x:c r="T129" s="32" t="n">
        <x:f>IF(O129="","",(1/'Metadata'!$B$5)^(O129-1))</x:f>
        <x:v>31.622776601683793</x:v>
      </x:c>
      <x:c r="U129" s="31" t="n">
        <x:f>IF(T129="","",I129*T129)</x:f>
        <x:v>128.70506887062177</x:v>
      </x:c>
    </x:row>
    <x:row r="130" ht="18" customHeight="1">
      <x:c r="A130" s="24" t="str">
        <x:v>EEZ_923</x:v>
      </x:c>
      <x:c r="B130" s="24" t="str">
        <x:v>Iran (Sea of Oman)</x:v>
      </x:c>
      <x:c r="C130" s="24" t="str">
        <x:v>EEZ</x:v>
      </x:c>
      <x:c r="D130" s="30" t="n">
        <x:v>2019</x:v>
      </x:c>
      <x:c r="E130" s="24" t="str">
        <x:v>Atule mate</x:v>
      </x:c>
      <x:c r="F130" s="24" t="str">
        <x:v>Yellowtail scad</x:v>
      </x:c>
      <x:c r="G130" s="24" t="str">
        <x:v>Small pelagics (&lt;30 cm)</x:v>
      </x:c>
      <x:c r="H130" s="24" t="str">
        <x:v>Perch-likes</x:v>
      </x:c>
      <x:c r="I130" s="31" t="n">
        <x:v>3.1123618245</x:v>
      </x:c>
      <x:c r="J130" s="31" t="n">
        <x:v>3.1123618245</x:v>
      </x:c>
      <x:c r="K130" s="31" t="n">
        <x:v>0</x:v>
      </x:c>
      <x:c r="L130" s="31" t="n">
        <x:v>1.5857239335</x:v>
      </x:c>
      <x:c r="M130" s="31" t="n">
        <x:v>1.526637891</x:v>
      </x:c>
      <x:c r="N130" s="24" t="str">
        <x:v>atule mate</x:v>
      </x:c>
      <x:c r="O130" s="32" t="n">
        <x:v>4.22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Atule mate</x:v>
      </x:c>
      <x:c r="T130" s="32" t="n">
        <x:f>IF(O130="","",(1/'Metadata'!$B$5)^(O130-1))</x:f>
        <x:v>1659.5869074375596</x:v>
      </x:c>
      <x:c r="U130" s="31" t="n">
        <x:f>IF(T130="","",I130*T130)</x:f>
        <x:v>5165.234935148676</x:v>
      </x:c>
    </x:row>
    <x:row r="131" ht="18" customHeight="1">
      <x:c r="A131" s="24" t="str">
        <x:v>EEZ_923</x:v>
      </x:c>
      <x:c r="B131" s="24" t="str">
        <x:v>Iran (Sea of Oman)</x:v>
      </x:c>
      <x:c r="C131" s="24" t="str">
        <x:v>EEZ</x:v>
      </x:c>
      <x:c r="D131" s="30" t="n">
        <x:v>2019</x:v>
      </x:c>
      <x:c r="E131" s="24" t="str">
        <x:v>Ephippidae</x:v>
      </x:c>
      <x:c r="F131" s="24" t="str">
        <x:v>Spade-, batfishes, scats</x:v>
      </x:c>
      <x:c r="G131" s="24" t="str">
        <x:v>Medium reef assoc. fish (30 - 89 cm)</x:v>
      </x:c>
      <x:c r="H131" s="24" t="str">
        <x:v>Perch-likes</x:v>
      </x:c>
      <x:c r="I131" s="31" t="n">
        <x:v>2.082888248</x:v>
      </x:c>
      <x:c r="J131" s="31" t="n">
        <x:v>2.082888248</x:v>
      </x:c>
      <x:c r="K131" s="31" t="n">
        <x:v>0</x:v>
      </x:c>
      <x:c r="L131" s="31" t="n">
        <x:v>1.061215248</x:v>
      </x:c>
      <x:c r="M131" s="31" t="n">
        <x:v>1.021673</x:v>
      </x:c>
      <x:c r="N131" s="24" t="str">
        <x:v>ephippidae</x:v>
      </x:c>
      <x:c r="O131" s="32" t="n">
        <x:v>3.57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Ephippidae</x:v>
      </x:c>
      <x:c r="T131" s="32" t="n">
        <x:f>IF(O131="","",(1/'Metadata'!$B$5)^(O131-1))</x:f>
        <x:v>371.5352290971724</x:v>
      </x:c>
      <x:c r="U131" s="31" t="n">
        <x:f>IF(T131="","",I131*T131)</x:f>
        <x:v>773.8663624044881</x:v>
      </x:c>
    </x:row>
    <x:row r="132" ht="18" customHeight="1">
      <x:c r="A132" s="24" t="str">
        <x:v>EEZ_923</x:v>
      </x:c>
      <x:c r="B132" s="24" t="str">
        <x:v>Iran (Sea of Oman)</x:v>
      </x:c>
      <x:c r="C132" s="24" t="str">
        <x:v>EEZ</x:v>
      </x:c>
      <x:c r="D132" s="30" t="n">
        <x:v>2019</x:v>
      </x:c>
      <x:c r="E132" s="24" t="str">
        <x:v>Lutjanus quinquelineatus</x:v>
      </x:c>
      <x:c r="F132" s="24" t="str">
        <x:v>Five-lined snapper</x:v>
      </x:c>
      <x:c r="G132" s="24" t="str">
        <x:v>Medium reef assoc. fish (30 - 89 cm)</x:v>
      </x:c>
      <x:c r="H132" s="24" t="str">
        <x:v>Perch-likes</x:v>
      </x:c>
      <x:c r="I132" s="31" t="n">
        <x:v>1.915299643</x:v>
      </x:c>
      <x:c r="J132" s="31" t="n">
        <x:v>1.915299643</x:v>
      </x:c>
      <x:c r="K132" s="31" t="n">
        <x:v>0</x:v>
      </x:c>
      <x:c r="L132" s="31" t="n">
        <x:v>0.975830113</x:v>
      </x:c>
      <x:c r="M132" s="31" t="n">
        <x:v>0.93946953</x:v>
      </x:c>
      <x:c r="N132" s="24" t="str">
        <x:v>lutjanus quinquelineatus</x:v>
      </x:c>
      <x:c r="O132" s="32" t="n">
        <x:v>3.68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Lutjanus quinquelineatus</x:v>
      </x:c>
      <x:c r="T132" s="32" t="n">
        <x:f>IF(O132="","",(1/'Metadata'!$B$5)^(O132-1))</x:f>
        <x:v>478.6300923226385</x:v>
      </x:c>
      <x:c r="U132" s="31" t="n">
        <x:f>IF(T132="","",I132*T132)</x:f>
        <x:v>916.7200449546066</x:v>
      </x:c>
    </x:row>
    <x:row r="133" ht="18" customHeight="1">
      <x:c r="A133" s="24" t="str">
        <x:v>EEZ_923</x:v>
      </x:c>
      <x:c r="B133" s="24" t="str">
        <x:v>Iran (Sea of Oman)</x:v>
      </x:c>
      <x:c r="C133" s="24" t="str">
        <x:v>EEZ</x:v>
      </x:c>
      <x:c r="D133" s="30" t="n">
        <x:v>2019</x:v>
      </x:c>
      <x:c r="E133" s="24" t="str">
        <x:v>Sardinella sindensis</x:v>
      </x:c>
      <x:c r="F133" s="24" t="str">
        <x:v>Sind sardinella</x:v>
      </x:c>
      <x:c r="G133" s="24" t="str">
        <x:v>Small pelagics (&lt;30 cm)</x:v>
      </x:c>
      <x:c r="H133" s="24" t="str">
        <x:v>Herring-likes</x:v>
      </x:c>
      <x:c r="I133" s="31" t="n">
        <x:v>1.701993498</x:v>
      </x:c>
      <x:c r="J133" s="31" t="n">
        <x:v>0</x:v>
      </x:c>
      <x:c r="K133" s="31" t="n">
        <x:v>1.701993498</x:v>
      </x:c>
      <x:c r="L133" s="31" t="n">
        <x:v>0</x:v>
      </x:c>
      <x:c r="M133" s="31" t="n">
        <x:v>1.701993498</x:v>
      </x:c>
      <x:c r="N133" s="24" t="str">
        <x:v>sardinella sindensis</x:v>
      </x:c>
      <x:c r="O133" s="32" t="n">
        <x:v>2.9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Sardinella sindensis</x:v>
      </x:c>
      <x:c r="T133" s="32" t="n">
        <x:f>IF(O133="","",(1/'Metadata'!$B$5)^(O133-1))</x:f>
        <x:v>79.43282347242814</x:v>
      </x:c>
      <x:c r="U133" s="31" t="n">
        <x:f>IF(T133="","",I133*T133)</x:f>
        <x:v>135.1941490778545</x:v>
      </x:c>
    </x:row>
    <x:row r="134" ht="18" customHeight="1">
      <x:c r="A134" s="24" t="str">
        <x:v>EEZ_923</x:v>
      </x:c>
      <x:c r="B134" s="24" t="str">
        <x:v>Iran (Sea of Oman)</x:v>
      </x:c>
      <x:c r="C134" s="24" t="str">
        <x:v>EEZ</x:v>
      </x:c>
      <x:c r="D134" s="30" t="n">
        <x:v>2019</x:v>
      </x:c>
      <x:c r="E134" s="24" t="str">
        <x:v>Aluterus monoceros</x:v>
      </x:c>
      <x:c r="F134" s="24" t="str">
        <x:v>Unicorn leatherjacket filefish</x:v>
      </x:c>
      <x:c r="G134" s="24" t="str">
        <x:v>Medium reef assoc. fish (30 - 89 cm)</x:v>
      </x:c>
      <x:c r="H134" s="24" t="str">
        <x:v>Other fishes &amp; inverts</x:v>
      </x:c>
      <x:c r="I134" s="31" t="n">
        <x:v>1.675887156</x:v>
      </x:c>
      <x:c r="J134" s="31" t="n">
        <x:v>1.675887156</x:v>
      </x:c>
      <x:c r="K134" s="31" t="n">
        <x:v>0</x:v>
      </x:c>
      <x:c r="L134" s="31" t="n">
        <x:v>0.8538513485</x:v>
      </x:c>
      <x:c r="M134" s="31" t="n">
        <x:v>0.8220358074999999</x:v>
      </x:c>
      <x:c r="N134" s="24" t="str">
        <x:v>aluterus monoceros</x:v>
      </x:c>
      <x:c r="O134" s="32" t="n">
        <x:v>3.84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Aluterus monoceros</x:v>
      </x:c>
      <x:c r="T134" s="32" t="n">
        <x:f>IF(O134="","",(1/'Metadata'!$B$5)^(O134-1))</x:f>
        <x:v>691.8309709189363</x:v>
      </x:c>
      <x:c r="U134" s="31" t="n">
        <x:f>IF(T134="","",I134*T134)</x:f>
        <x:v>1159.4306382860548</x:v>
      </x:c>
    </x:row>
    <x:row r="135" ht="18" customHeight="1">
      <x:c r="A135" s="24" t="str">
        <x:v>EEZ_923</x:v>
      </x:c>
      <x:c r="B135" s="24" t="str">
        <x:v>Iran (Sea of Oman)</x:v>
      </x:c>
      <x:c r="C135" s="24" t="str">
        <x:v>EEZ</x:v>
      </x:c>
      <x:c r="D135" s="30" t="n">
        <x:v>2019</x:v>
      </x:c>
      <x:c r="E135" s="24" t="str">
        <x:v>Perciformes</x:v>
      </x:c>
      <x:c r="F135" s="24" t="str">
        <x:v>Perch-likes</x:v>
      </x:c>
      <x:c r="G135" s="24" t="str">
        <x:v>Medium demersals (30 - 89 cm)</x:v>
      </x:c>
      <x:c r="H135" s="24" t="str">
        <x:v>Perch-likes</x:v>
      </x:c>
      <x:c r="I135" s="31" t="n">
        <x:v>1.6758871559</x:v>
      </x:c>
      <x:c r="J135" s="31" t="n">
        <x:v>1.6758871559</x:v>
      </x:c>
      <x:c r="K135" s="31" t="n">
        <x:v>0</x:v>
      </x:c>
      <x:c r="L135" s="31" t="n">
        <x:v>0.8538513484</x:v>
      </x:c>
      <x:c r="M135" s="31" t="n">
        <x:v>0.8220358074999999</x:v>
      </x:c>
      <x:c r="N135" s="24" t="str">
        <x:v>perciformes</x:v>
      </x:c>
      <x:c r="O135" s="32" t="n">
        <x:v>3.53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Perciformes</x:v>
      </x:c>
      <x:c r="T135" s="32" t="n">
        <x:f>IF(O135="","",(1/'Metadata'!$B$5)^(O135-1))</x:f>
        <x:v>338.84415613920237</x:v>
      </x:c>
      <x:c r="U135" s="31" t="n">
        <x:f>IF(T135="","",I135*T135)</x:f>
        <x:v>567.8645691254634</x:v>
      </x:c>
    </x:row>
    <x:row r="136" ht="18" customHeight="1">
      <x:c r="A136" s="24" t="str">
        <x:v>EEZ_923</x:v>
      </x:c>
      <x:c r="B136" s="24" t="str">
        <x:v>Iran (Sea of Oman)</x:v>
      </x:c>
      <x:c r="C136" s="24" t="str">
        <x:v>EEZ</x:v>
      </x:c>
      <x:c r="D136" s="30" t="n">
        <x:v>2019</x:v>
      </x:c>
      <x:c r="E136" s="24" t="str">
        <x:v>Synanceiidae</x:v>
      </x:c>
      <x:c r="F136" s="24" t="str">
        <x:v>Stonefishes</x:v>
      </x:c>
      <x:c r="G136" s="24" t="str">
        <x:v>Medium demersals (30 - 89 cm)</x:v>
      </x:c>
      <x:c r="H136" s="24" t="str">
        <x:v>Scorpionfishes</x:v>
      </x:c>
      <x:c r="I136" s="31" t="n">
        <x:v>1.1970621819</x:v>
      </x:c>
      <x:c r="J136" s="31" t="n">
        <x:v>1.1970621819</x:v>
      </x:c>
      <x:c r="K136" s="31" t="n">
        <x:v>0</x:v>
      </x:c>
      <x:c r="L136" s="31" t="n">
        <x:v>0.60989382</x:v>
      </x:c>
      <x:c r="M136" s="31" t="n">
        <x:v>0.5871683619</x:v>
      </x:c>
      <x:c r="N136" s="24" t="str">
        <x:v>synanceiidae</x:v>
      </x:c>
      <x:c r="O136" s="32" t="n">
        <x:v>4.2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Synanceiidae</x:v>
      </x:c>
      <x:c r="T136" s="32" t="n">
        <x:f>IF(O136="","",(1/'Metadata'!$B$5)^(O136-1))</x:f>
        <x:v>1584.893192461114</x:v>
      </x:c>
      <x:c r="U136" s="31" t="n">
        <x:f>IF(T136="","",I136*T136)</x:f>
        <x:v>1897.2157030459578</x:v>
      </x:c>
    </x:row>
    <x:row r="137" ht="18" customHeight="1">
      <x:c r="A137" s="24" t="str">
        <x:v>EEZ_923</x:v>
      </x:c>
      <x:c r="B137" s="24" t="str">
        <x:v>Iran (Sea of Oman)</x:v>
      </x:c>
      <x:c r="C137" s="24" t="str">
        <x:v>EEZ</x:v>
      </x:c>
      <x:c r="D137" s="30" t="n">
        <x:v>2019</x:v>
      </x:c>
      <x:c r="E137" s="24" t="str">
        <x:v>Scombridae</x:v>
      </x:c>
      <x:c r="F137" s="24" t="str">
        <x:v>Mackerels, tunas, bonitos</x:v>
      </x:c>
      <x:c r="G137" s="24" t="str">
        <x:v>Medium pelagics (30 - 89 cm)</x:v>
      </x:c>
      <x:c r="H137" s="24" t="str">
        <x:v>Perch-likes</x:v>
      </x:c>
      <x:c r="I137" s="31" t="n">
        <x:v>0.8362754544</x:v>
      </x:c>
      <x:c r="J137" s="31" t="n">
        <x:v>0.8362754544</x:v>
      </x:c>
      <x:c r="K137" s="31" t="n">
        <x:v>0</x:v>
      </x:c>
      <x:c r="L137" s="31" t="n">
        <x:v>0.8362754544</x:v>
      </x:c>
      <x:c r="M137" s="31" t="n">
        <x:v>0</x:v>
      </x:c>
      <x:c r="N137" s="24" t="str">
        <x:v>scombridae</x:v>
      </x:c>
      <x:c r="O137" s="32" t="n">
        <x:v>4.26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Scombridae</x:v>
      </x:c>
      <x:c r="T137" s="32" t="n">
        <x:f>IF(O137="","",(1/'Metadata'!$B$5)^(O137-1))</x:f>
        <x:v>1819.7008586099826</x:v>
      </x:c>
      <x:c r="U137" s="31" t="n">
        <x:f>IF(T137="","",I137*T137)</x:f>
        <x:v>1521.7711624061333</x:v>
      </x:c>
    </x:row>
    <x:row r="138" ht="18" customHeight="1">
      <x:c r="A138" s="24" t="str">
        <x:v>EEZ_923</x:v>
      </x:c>
      <x:c r="B138" s="24" t="str">
        <x:v>Iran (Sea of Oman)</x:v>
      </x:c>
      <x:c r="C138" s="24" t="str">
        <x:v>EEZ</x:v>
      </x:c>
      <x:c r="D138" s="30" t="n">
        <x:v>2019</x:v>
      </x:c>
      <x:c r="E138" s="24" t="str">
        <x:v>Scorpaenidae</x:v>
      </x:c>
      <x:c r="F138" s="24" t="str">
        <x:v>Scorpionfishes, rockfishes</x:v>
      </x:c>
      <x:c r="G138" s="24" t="str">
        <x:v>Large reef assoc. fish (&gt;=90 cm)</x:v>
      </x:c>
      <x:c r="H138" s="24" t="str">
        <x:v>Scorpionfishes</x:v>
      </x:c>
      <x:c r="I138" s="31" t="n">
        <x:v>0.7182373348</x:v>
      </x:c>
      <x:c r="J138" s="31" t="n">
        <x:v>0.7182373348</x:v>
      </x:c>
      <x:c r="K138" s="31" t="n">
        <x:v>0</x:v>
      </x:c>
      <x:c r="L138" s="31" t="n">
        <x:v>0.3659362922</x:v>
      </x:c>
      <x:c r="M138" s="31" t="n">
        <x:v>0.35230104259999995</x:v>
      </x:c>
      <x:c r="N138" s="24" t="str">
        <x:v>scorpaenidae</x:v>
      </x:c>
      <x:c r="O138" s="32" t="n">
        <x:v>3.92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Scorpaenidae</x:v>
      </x:c>
      <x:c r="T138" s="32" t="n">
        <x:f>IF(O138="","",(1/'Metadata'!$B$5)^(O138-1))</x:f>
        <x:v>831.7637711026708</x:v>
      </x:c>
      <x:c r="U138" s="31" t="n">
        <x:f>IF(T138="","",I138*T138)</x:f>
        <x:v>597.4037941399795</x:v>
      </x:c>
    </x:row>
    <x:row r="139" ht="18" customHeight="1">
      <x:c r="A139" s="24" t="str">
        <x:v>EEZ_923</x:v>
      </x:c>
      <x:c r="B139" s="24" t="str">
        <x:v>Iran (Sea of Oman)</x:v>
      </x:c>
      <x:c r="C139" s="24" t="str">
        <x:v>EEZ</x:v>
      </x:c>
      <x:c r="D139" s="30" t="n">
        <x:v>2019</x:v>
      </x:c>
      <x:c r="E139" s="24" t="str">
        <x:v>Chaetodontidae</x:v>
      </x:c>
      <x:c r="F139" s="24" t="str">
        <x:v>Butterflyfishes</x:v>
      </x:c>
      <x:c r="G139" s="24" t="str">
        <x:v>Small reef assoc. fish (&lt;30 cm)</x:v>
      </x:c>
      <x:c r="H139" s="24" t="str">
        <x:v>Perch-likes</x:v>
      </x:c>
      <x:c r="I139" s="31" t="n">
        <x:v>0.7182373345999999</x:v>
      </x:c>
      <x:c r="J139" s="31" t="n">
        <x:v>0.7182373345999999</x:v>
      </x:c>
      <x:c r="K139" s="31" t="n">
        <x:v>0</x:v>
      </x:c>
      <x:c r="L139" s="31" t="n">
        <x:v>0.36593629219999996</x:v>
      </x:c>
      <x:c r="M139" s="31" t="n">
        <x:v>0.3523010424</x:v>
      </x:c>
      <x:c r="N139" s="24" t="str">
        <x:v>chaetodontidae</x:v>
      </x:c>
      <x:c r="O139" s="32" t="n">
        <x:v>3.24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Chaetodontidae</x:v>
      </x:c>
      <x:c r="T139" s="32" t="n">
        <x:f>IF(O139="","",(1/'Metadata'!$B$5)^(O139-1))</x:f>
        <x:v>173.78008287493762</x:v>
      </x:c>
      <x:c r="U139" s="31" t="n">
        <x:f>IF(T139="","",I139*T139)</x:f>
        <x:v>124.81534353066229</x:v>
      </x:c>
    </x:row>
    <x:row r="140" ht="18" customHeight="1">
      <x:c r="A140" s="24" t="str">
        <x:v>EEZ_923</x:v>
      </x:c>
      <x:c r="B140" s="24" t="str">
        <x:v>Iran (Sea of Oman)</x:v>
      </x:c>
      <x:c r="C140" s="24" t="str">
        <x:v>EEZ</x:v>
      </x:c>
      <x:c r="D140" s="30" t="n">
        <x:v>2019</x:v>
      </x:c>
      <x:c r="E140" s="24" t="str">
        <x:v>Hemiramphus archipelagicus</x:v>
      </x:c>
      <x:c r="F140" s="24" t="str">
        <x:v>Jumping halfbeak</x:v>
      </x:c>
      <x:c r="G140" s="24" t="str">
        <x:v>Medium pelagics (30 - 89 cm)</x:v>
      </x:c>
      <x:c r="H140" s="24" t="str">
        <x:v>Other fishes &amp; inverts</x:v>
      </x:c>
      <x:c r="I140" s="31" t="n">
        <x:v>0.7182373345999999</x:v>
      </x:c>
      <x:c r="J140" s="31" t="n">
        <x:v>0.7182373345999999</x:v>
      </x:c>
      <x:c r="K140" s="31" t="n">
        <x:v>0</x:v>
      </x:c>
      <x:c r="L140" s="31" t="n">
        <x:v>0.3659362921</x:v>
      </x:c>
      <x:c r="M140" s="31" t="n">
        <x:v>0.3523010425</x:v>
      </x:c>
      <x:c r="N140" s="24" t="str">
        <x:v>hemiramphus archipelagicus</x:v>
      </x:c>
      <x:c r="O140" s="32" t="n">
        <x:v>3.25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Hemiramphus archipelagicus</x:v>
      </x:c>
      <x:c r="T140" s="32" t="n">
        <x:f>IF(O140="","",(1/'Metadata'!$B$5)^(O140-1))</x:f>
        <x:v>177.82794100389228</x:v>
      </x:c>
      <x:c r="U140" s="31" t="n">
        <x:f>IF(T140="","",I140*T140)</x:f>
        <x:v>127.72266636404163</x:v>
      </x:c>
    </x:row>
    <x:row r="141" ht="18" customHeight="1">
      <x:c r="A141" s="24" t="str">
        <x:v>EEZ_923</x:v>
      </x:c>
      <x:c r="B141" s="24" t="str">
        <x:v>Iran (Sea of Oman)</x:v>
      </x:c>
      <x:c r="C141" s="24" t="str">
        <x:v>EEZ</x:v>
      </x:c>
      <x:c r="D141" s="30" t="n">
        <x:v>2019</x:v>
      </x:c>
      <x:c r="E141" s="24" t="str">
        <x:v>Platycaranx chrysophrys</x:v>
      </x:c>
      <x:c r="F141" s="24" t="str">
        <x:v>Longnose trevally</x:v>
      </x:c>
      <x:c r="G141" s="24" t="str">
        <x:v>Small pelagics (&lt;30 cm)</x:v>
      </x:c>
      <x:c r="H141" s="24" t="str">
        <x:v>Perch-likes</x:v>
      </x:c>
      <x:c r="I141" s="31" t="n">
        <x:v>0.6307989298000001</x:v>
      </x:c>
      <x:c r="J141" s="31" t="n">
        <x:v>0</x:v>
      </x:c>
      <x:c r="K141" s="31" t="n">
        <x:v>0.6307989298000001</x:v>
      </x:c>
      <x:c r="L141" s="31" t="n">
        <x:v>0</x:v>
      </x:c>
      <x:c r="M141" s="31" t="n">
        <x:v>0.6307989298000001</x:v>
      </x:c>
      <x:c r="N141" s="24" t="str">
        <x:v>platycaranx chrysophrys</x:v>
      </x:c>
      <x:c r="O141" s="32" t="n">
        <x:v>4.3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Platycaranx chrysophrys</x:v>
      </x:c>
      <x:c r="T141" s="32" t="n">
        <x:f>IF(O141="","",(1/'Metadata'!$B$5)^(O141-1))</x:f>
        <x:v>1995.2623149688789</x:v>
      </x:c>
      <x:c r="U141" s="31" t="n">
        <x:f>IF(T141="","",I141*T141)</x:f>
        <x:v>1258.6093329526395</x:v>
      </x:c>
    </x:row>
    <x:row r="142" ht="18" customHeight="1">
      <x:c r="A142" s="24" t="str">
        <x:v>EEZ_923</x:v>
      </x:c>
      <x:c r="B142" s="24" t="str">
        <x:v>Iran (Sea of Oman)</x:v>
      </x:c>
      <x:c r="C142" s="24" t="str">
        <x:v>EEZ</x:v>
      </x:c>
      <x:c r="D142" s="30" t="n">
        <x:v>2019</x:v>
      </x:c>
      <x:c r="E142" s="24" t="str">
        <x:v>Leiognathidae</x:v>
      </x:c>
      <x:c r="F142" s="24" t="str">
        <x:v>Slipmouths, ponyfishes</x:v>
      </x:c>
      <x:c r="G142" s="24" t="str">
        <x:v>Small benthopelagics (&lt;30 cm)</x:v>
      </x:c>
      <x:c r="H142" s="24" t="str">
        <x:v>Perch-likes</x:v>
      </x:c>
      <x:c r="I142" s="31" t="n">
        <x:v>0.6289190335</x:v>
      </x:c>
      <x:c r="J142" s="31" t="n">
        <x:v>0</x:v>
      </x:c>
      <x:c r="K142" s="31" t="n">
        <x:v>0.6289190335</x:v>
      </x:c>
      <x:c r="L142" s="31" t="n">
        <x:v>0</x:v>
      </x:c>
      <x:c r="M142" s="31" t="n">
        <x:v>0.6289190335</x:v>
      </x:c>
      <x:c r="N142" s="24" t="str">
        <x:v>leiognathidae</x:v>
      </x:c>
      <x:c r="O142" s="32" t="n">
        <x:v>3.24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Leiognathidae</x:v>
      </x:c>
      <x:c r="T142" s="32" t="n">
        <x:f>IF(O142="","",(1/'Metadata'!$B$5)^(O142-1))</x:f>
        <x:v>173.78008287493762</x:v>
      </x:c>
      <x:c r="U142" s="31" t="n">
        <x:f>IF(T142="","",I142*T142)</x:f>
        <x:v>109.29360176325567</x:v>
      </x:c>
    </x:row>
    <x:row r="143" ht="18" customHeight="1">
      <x:c r="A143" s="24" t="str">
        <x:v>EEZ_923</x:v>
      </x:c>
      <x:c r="B143" s="24" t="str">
        <x:v>Iran (Sea of Oman)</x:v>
      </x:c>
      <x:c r="C143" s="24" t="str">
        <x:v>EEZ</x:v>
      </x:c>
      <x:c r="D143" s="30" t="n">
        <x:v>2019</x:v>
      </x:c>
      <x:c r="E143" s="24" t="str">
        <x:v>Mugil cephalus</x:v>
      </x:c>
      <x:c r="F143" s="24" t="str">
        <x:v>Flathead grey mullet</x:v>
      </x:c>
      <x:c r="G143" s="24" t="str">
        <x:v>Large benthopelagics (&gt;=90 cm)</x:v>
      </x:c>
      <x:c r="H143" s="24" t="str">
        <x:v>Perch-likes</x:v>
      </x:c>
      <x:c r="I143" s="31" t="n">
        <x:v>0.5861121938</x:v>
      </x:c>
      <x:c r="J143" s="31" t="n">
        <x:v>0</x:v>
      </x:c>
      <x:c r="K143" s="31" t="n">
        <x:v>0.5861121938</x:v>
      </x:c>
      <x:c r="L143" s="31" t="n">
        <x:v>0</x:v>
      </x:c>
      <x:c r="M143" s="31" t="n">
        <x:v>0.5861121938</x:v>
      </x:c>
      <x:c r="N143" s="24" t="str">
        <x:v>mugil cephalus</x:v>
      </x:c>
      <x:c r="O143" s="32" t="n">
        <x:v>2.14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Mugil cephalus</x:v>
      </x:c>
      <x:c r="T143" s="32" t="n">
        <x:f>IF(O143="","",(1/'Metadata'!$B$5)^(O143-1))</x:f>
        <x:v>13.803842646028853</x:v>
      </x:c>
      <x:c r="U143" s="31" t="n">
        <x:f>IF(T143="","",I143*T143)</x:f>
        <x:v>8.090600496133968</x:v>
      </x:c>
    </x:row>
    <x:row r="144" ht="18" customHeight="1">
      <x:c r="A144" s="24" t="str">
        <x:v>EEZ_923</x:v>
      </x:c>
      <x:c r="B144" s="24" t="str">
        <x:v>Iran (Sea of Oman)</x:v>
      </x:c>
      <x:c r="C144" s="24" t="str">
        <x:v>EEZ</x:v>
      </x:c>
      <x:c r="D144" s="30" t="n">
        <x:v>2019</x:v>
      </x:c>
      <x:c r="E144" s="24" t="str">
        <x:v>Nemipteridae</x:v>
      </x:c>
      <x:c r="F144" s="24" t="str">
        <x:v>Threadfins, whiptail breams</x:v>
      </x:c>
      <x:c r="G144" s="24" t="str">
        <x:v>Small demersals (&lt;30 cm)</x:v>
      </x:c>
      <x:c r="H144" s="24" t="str">
        <x:v>Perch-likes</x:v>
      </x:c>
      <x:c r="I144" s="31" t="n">
        <x:v>0.5757845846999999</x:v>
      </x:c>
      <x:c r="J144" s="31" t="n">
        <x:v>0.5757845846999999</x:v>
      </x:c>
      <x:c r="K144" s="31" t="n">
        <x:v>0</x:v>
      </x:c>
      <x:c r="L144" s="31" t="n">
        <x:v>0.5757845846999999</x:v>
      </x:c>
      <x:c r="M144" s="31" t="n">
        <x:v>0</x:v>
      </x:c>
      <x:c r="N144" s="24" t="str">
        <x:v>nemipteridae</x:v>
      </x:c>
      <x:c r="O144" s="32" t="n">
        <x:v>3.51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Nemipteridae</x:v>
      </x:c>
      <x:c r="T144" s="32" t="n">
        <x:f>IF(O144="","",(1/'Metadata'!$B$5)^(O144-1))</x:f>
        <x:v>323.5936569296281</x:v>
      </x:c>
      <x:c r="U144" s="31" t="n">
        <x:f>IF(T144="","",I144*T144)</x:f>
        <x:v>186.32023936678016</x:v>
      </x:c>
    </x:row>
    <x:row r="145" ht="18" customHeight="1">
      <x:c r="A145" s="24" t="str">
        <x:v>EEZ_923</x:v>
      </x:c>
      <x:c r="B145" s="24" t="str">
        <x:v>Iran (Sea of Oman)</x:v>
      </x:c>
      <x:c r="C145" s="24" t="str">
        <x:v>EEZ</x:v>
      </x:c>
      <x:c r="D145" s="30" t="n">
        <x:v>2019</x:v>
      </x:c>
      <x:c r="E145" s="24" t="str">
        <x:v>Himantura uarnak</x:v>
      </x:c>
      <x:c r="F145" s="24" t="str">
        <x:v>Honeycomb stingray</x:v>
      </x:c>
      <x:c r="G145" s="24" t="str">
        <x:v>Large rays (&gt;=90 cm)</x:v>
      </x:c>
      <x:c r="H145" s="24" t="str">
        <x:v>Sharks &amp; rays</x:v>
      </x:c>
      <x:c r="I145" s="31" t="n">
        <x:v>0.4860323441</x:v>
      </x:c>
      <x:c r="J145" s="31" t="n">
        <x:v>0</x:v>
      </x:c>
      <x:c r="K145" s="31" t="n">
        <x:v>0.4860323441</x:v>
      </x:c>
      <x:c r="L145" s="31" t="n">
        <x:v>0</x:v>
      </x:c>
      <x:c r="M145" s="31" t="n">
        <x:v>0.4860323441</x:v>
      </x:c>
      <x:c r="N145" s="24" t="str">
        <x:v>himantura uarnak</x:v>
      </x:c>
      <x:c r="O145" s="32" t="n">
        <x:v>3.6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Himantura uarnak</x:v>
      </x:c>
      <x:c r="T145" s="32" t="n">
        <x:f>IF(O145="","",(1/'Metadata'!$B$5)^(O145-1))</x:f>
        <x:v>398.1071705534973</x:v>
      </x:c>
      <x:c r="U145" s="31" t="n">
        <x:f>IF(T145="","",I145*T145)</x:f>
        <x:v>193.4929613071348</x:v>
      </x:c>
    </x:row>
    <x:row r="146" ht="18" customHeight="1">
      <x:c r="A146" s="24" t="str">
        <x:v>EEZ_923</x:v>
      </x:c>
      <x:c r="B146" s="24" t="str">
        <x:v>Iran (Sea of Oman)</x:v>
      </x:c>
      <x:c r="C146" s="24" t="str">
        <x:v>EEZ</x:v>
      </x:c>
      <x:c r="D146" s="30" t="n">
        <x:v>2019</x:v>
      </x:c>
      <x:c r="E146" s="24" t="str">
        <x:v>Harpadon nehereus</x:v>
      </x:c>
      <x:c r="F146" s="24" t="str">
        <x:v>Bombay-duck</x:v>
      </x:c>
      <x:c r="G146" s="24" t="str">
        <x:v>Medium benthopelagics (30 - 89 cm)</x:v>
      </x:c>
      <x:c r="H146" s="24" t="str">
        <x:v>Other fishes &amp; inverts</x:v>
      </x:c>
      <x:c r="I146" s="31" t="n">
        <x:v>0.3480013285</x:v>
      </x:c>
      <x:c r="J146" s="31" t="n">
        <x:v>0</x:v>
      </x:c>
      <x:c r="K146" s="31" t="n">
        <x:v>0.3480013285</x:v>
      </x:c>
      <x:c r="L146" s="31" t="n">
        <x:v>0</x:v>
      </x:c>
      <x:c r="M146" s="31" t="n">
        <x:v>0.3480013285</x:v>
      </x:c>
      <x:c r="N146" s="24" t="str">
        <x:v>harpadon nehereus</x:v>
      </x:c>
      <x:c r="O146" s="32" t="n">
        <x:v>4.2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Harpadon nehereus</x:v>
      </x:c>
      <x:c r="T146" s="32" t="n">
        <x:f>IF(O146="","",(1/'Metadata'!$B$5)^(O146-1))</x:f>
        <x:v>1584.893192461114</x:v>
      </x:c>
      <x:c r="U146" s="31" t="n">
        <x:f>IF(T146="","",I146*T146)</x:f>
        <x:v>551.5449365070739</x:v>
      </x:c>
    </x:row>
    <x:row r="147" ht="18" customHeight="1">
      <x:c r="A147" s="24" t="str">
        <x:v>EEZ_923</x:v>
      </x:c>
      <x:c r="B147" s="24" t="str">
        <x:v>Iran (Sea of Oman)</x:v>
      </x:c>
      <x:c r="C147" s="24" t="str">
        <x:v>EEZ</x:v>
      </x:c>
      <x:c r="D147" s="30" t="n">
        <x:v>2019</x:v>
      </x:c>
      <x:c r="E147" s="24" t="str">
        <x:v>Scomberoides</x:v>
      </x:c>
      <x:c r="F147" s="24" t="str">
        <x:v>Queenfishes</x:v>
      </x:c>
      <x:c r="G147" s="24" t="str">
        <x:v>Medium pelagics (30 - 89 cm)</x:v>
      </x:c>
      <x:c r="H147" s="24" t="str">
        <x:v>Perch-likes</x:v>
      </x:c>
      <x:c r="I147" s="31" t="n">
        <x:v>0.20770430410000001</x:v>
      </x:c>
      <x:c r="J147" s="31" t="n">
        <x:v>0.20770430410000001</x:v>
      </x:c>
      <x:c r="K147" s="31" t="n">
        <x:v>0</x:v>
      </x:c>
      <x:c r="L147" s="31" t="n">
        <x:v>0.20770430410000001</x:v>
      </x:c>
      <x:c r="M147" s="31" t="n">
        <x:v>0</x:v>
      </x:c>
      <x:c r="N147" s="24" t="str">
        <x:v>scomberoides</x:v>
      </x:c>
      <x:c r="O147" s="32" t="n">
        <x:v>4.47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Scomberoides</x:v>
      </x:c>
      <x:c r="T147" s="32" t="n">
        <x:f>IF(O147="","",(1/'Metadata'!$B$5)^(O147-1))</x:f>
        <x:v>2951.209226666384</x:v>
      </x:c>
      <x:c r="U147" s="31" t="n">
        <x:f>IF(T147="","",I147*T147)</x:f>
        <x:v>612.9788586782405</x:v>
      </x:c>
    </x:row>
    <x:row r="148" ht="18" customHeight="1">
      <x:c r="A148" s="24" t="str">
        <x:v>EEZ_923</x:v>
      </x:c>
      <x:c r="B148" s="24" t="str">
        <x:v>Iran (Sea of Oman)</x:v>
      </x:c>
      <x:c r="C148" s="24" t="str">
        <x:v>EEZ</x:v>
      </x:c>
      <x:c r="D148" s="30" t="n">
        <x:v>2019</x:v>
      </x:c>
      <x:c r="E148" s="24" t="str">
        <x:v>Upeneus vittatus</x:v>
      </x:c>
      <x:c r="F148" s="24" t="str">
        <x:v>Yellowstriped goatfish</x:v>
      </x:c>
      <x:c r="G148" s="24" t="str">
        <x:v>Small reef assoc. fish (&lt;30 cm)</x:v>
      </x:c>
      <x:c r="H148" s="24" t="str">
        <x:v>Perch-likes</x:v>
      </x:c>
      <x:c r="I148" s="31" t="n">
        <x:v>0.1991165143</x:v>
      </x:c>
      <x:c r="J148" s="31" t="n">
        <x:v>0</x:v>
      </x:c>
      <x:c r="K148" s="31" t="n">
        <x:v>0.1991165143</x:v>
      </x:c>
      <x:c r="L148" s="31" t="n">
        <x:v>0</x:v>
      </x:c>
      <x:c r="M148" s="31" t="n">
        <x:v>0.1991165143</x:v>
      </x:c>
      <x:c r="N148" s="24" t="str">
        <x:v>upeneus vittatus</x:v>
      </x:c>
      <x:c r="O148" s="32" t="n">
        <x:v>3.62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Upeneus vittatus</x:v>
      </x:c>
      <x:c r="T148" s="32" t="n">
        <x:f>IF(O148="","",(1/'Metadata'!$B$5)^(O148-1))</x:f>
        <x:v>416.8693834703355</x:v>
      </x:c>
      <x:c r="U148" s="31" t="n">
        <x:f>IF(T148="","",I148*T148)</x:f>
        <x:v>83.00557855500324</x:v>
      </x:c>
    </x:row>
    <x:row r="149" ht="18" customHeight="1">
      <x:c r="A149" s="24" t="str">
        <x:v>EEZ_923</x:v>
      </x:c>
      <x:c r="B149" s="24" t="str">
        <x:v>Iran (Sea of Oman)</x:v>
      </x:c>
      <x:c r="C149" s="24" t="str">
        <x:v>EEZ</x:v>
      </x:c>
      <x:c r="D149" s="30" t="n">
        <x:v>2019</x:v>
      </x:c>
      <x:c r="E149" s="24" t="str">
        <x:v>Scomberomorus</x:v>
      </x:c>
      <x:c r="F149" s="24" t="str">
        <x:v>Spanish mackerels</x:v>
      </x:c>
      <x:c r="G149" s="24" t="str">
        <x:v>Large pelagics (&gt;=90 cm)</x:v>
      </x:c>
      <x:c r="H149" s="24" t="str">
        <x:v>Perch-likes</x:v>
      </x:c>
      <x:c r="I149" s="31" t="n">
        <x:v>0.1677315659</x:v>
      </x:c>
      <x:c r="J149" s="31" t="n">
        <x:v>0.1677315659</x:v>
      </x:c>
      <x:c r="K149" s="31" t="n">
        <x:v>0</x:v>
      </x:c>
      <x:c r="L149" s="31" t="n">
        <x:v>0.1677315659</x:v>
      </x:c>
      <x:c r="M149" s="31" t="n">
        <x:v>0</x:v>
      </x:c>
      <x:c r="N149" s="24" t="str">
        <x:v>scomberomorus</x:v>
      </x:c>
      <x:c r="O149" s="32" t="n">
        <x:v>4.35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Scomberomorus</x:v>
      </x:c>
      <x:c r="T149" s="32" t="n">
        <x:f>IF(O149="","",(1/'Metadata'!$B$5)^(O149-1))</x:f>
        <x:v>2238.7211385683377</x:v>
      </x:c>
      <x:c r="U149" s="31" t="n">
        <x:f>IF(T149="","",I149*T149)</x:f>
        <x:v>375.5042021854981</x:v>
      </x:c>
    </x:row>
    <x:row r="150" ht="18" customHeight="1">
      <x:c r="A150" s="24" t="str">
        <x:v>EEZ_923</x:v>
      </x:c>
      <x:c r="B150" s="24" t="str">
        <x:v>Iran (Sea of Oman)</x:v>
      </x:c>
      <x:c r="C150" s="24" t="str">
        <x:v>EEZ</x:v>
      </x:c>
      <x:c r="D150" s="30" t="n">
        <x:v>2019</x:v>
      </x:c>
      <x:c r="E150" s="24" t="str">
        <x:v>Mugilidae</x:v>
      </x:c>
      <x:c r="F150" s="24" t="str">
        <x:v>Mullets, grey mullets</x:v>
      </x:c>
      <x:c r="G150" s="24" t="str">
        <x:v>Medium reef assoc. fish (30 - 89 cm)</x:v>
      </x:c>
      <x:c r="H150" s="24" t="str">
        <x:v>Perch-likes</x:v>
      </x:c>
      <x:c r="I150" s="31" t="n">
        <x:v>0.0937605284</x:v>
      </x:c>
      <x:c r="J150" s="31" t="n">
        <x:v>0</x:v>
      </x:c>
      <x:c r="K150" s="31" t="n">
        <x:v>0.0937605284</x:v>
      </x:c>
      <x:c r="L150" s="31" t="n">
        <x:v>0</x:v>
      </x:c>
      <x:c r="M150" s="31" t="n">
        <x:v>0.0937605284</x:v>
      </x:c>
      <x:c r="N150" s="24" t="str">
        <x:v>mugilidae</x:v>
      </x:c>
      <x:c r="O150" s="32" t="n">
        <x:v>2.53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Mugilidae</x:v>
      </x:c>
      <x:c r="T150" s="32" t="n">
        <x:f>IF(O150="","",(1/'Metadata'!$B$5)^(O150-1))</x:f>
        <x:v>33.88441561392024</x:v>
      </x:c>
      <x:c r="U150" s="31" t="n">
        <x:f>IF(T150="","",I150*T150)</x:f>
        <x:v>3.1770207124863723</x:v>
      </x:c>
    </x:row>
    <x:row r="151" ht="18" customHeight="1">
      <x:c r="A151" s="24" t="str">
        <x:v>EEZ_923</x:v>
      </x:c>
      <x:c r="B151" s="24" t="str">
        <x:v>Iran (Sea of Oman)</x:v>
      </x:c>
      <x:c r="C151" s="24" t="str">
        <x:v>EEZ</x:v>
      </x:c>
      <x:c r="D151" s="30" t="n">
        <x:v>2019</x:v>
      </x:c>
      <x:c r="E151" s="24" t="str">
        <x:v>Scomberoides lysan</x:v>
      </x:c>
      <x:c r="F151" s="24" t="str">
        <x:v>Doublespotted queenfish</x:v>
      </x:c>
      <x:c r="G151" s="24" t="str">
        <x:v>Medium reef assoc. fish (30 - 89 cm)</x:v>
      </x:c>
      <x:c r="H151" s="24" t="str">
        <x:v>Perch-likes</x:v>
      </x:c>
      <x:c r="I151" s="31" t="n">
        <x:v>0.0765335914</x:v>
      </x:c>
      <x:c r="J151" s="31" t="n">
        <x:v>0</x:v>
      </x:c>
      <x:c r="K151" s="31" t="n">
        <x:v>0.0765335914</x:v>
      </x:c>
      <x:c r="L151" s="31" t="n">
        <x:v>0</x:v>
      </x:c>
      <x:c r="M151" s="31" t="n">
        <x:v>0.0765335914</x:v>
      </x:c>
      <x:c r="N151" s="24" t="str">
        <x:v>scomberoides lysan</x:v>
      </x:c>
      <x:c r="O151" s="32" t="n">
        <x:v>4.38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Scomberoides lysan</x:v>
      </x:c>
      <x:c r="T151" s="32" t="n">
        <x:f>IF(O151="","",(1/'Metadata'!$B$5)^(O151-1))</x:f>
        <x:v>2398.83291901949</x:v>
      </x:c>
      <x:c r="U151" s="31" t="n">
        <x:f>IF(T151="","",I151*T151)</x:f>
        <x:v>183.59129846110693</x:v>
      </x:c>
    </x:row>
    <x:row r="152" ht="18" customHeight="1">
      <x:c r="A152" s="24" t="str">
        <x:v>EEZ_923</x:v>
      </x:c>
      <x:c r="B152" s="24" t="str">
        <x:v>Iran (Sea of Oman)</x:v>
      </x:c>
      <x:c r="C152" s="24" t="str">
        <x:v>EEZ</x:v>
      </x:c>
      <x:c r="D152" s="30" t="n">
        <x:v>2019</x:v>
      </x:c>
      <x:c r="E152" s="24" t="str">
        <x:v>Glaucostegus granulatus</x:v>
      </x:c>
      <x:c r="F152" s="24" t="str">
        <x:v>Granulated guitarfish</x:v>
      </x:c>
      <x:c r="G152" s="24" t="str">
        <x:v>Large rays (&gt;=90 cm)</x:v>
      </x:c>
      <x:c r="H152" s="24" t="str">
        <x:v>Sharks &amp; rays</x:v>
      </x:c>
      <x:c r="I152" s="31" t="n">
        <x:v>0.0680136365</x:v>
      </x:c>
      <x:c r="J152" s="31" t="n">
        <x:v>0</x:v>
      </x:c>
      <x:c r="K152" s="31" t="n">
        <x:v>0.0680136365</x:v>
      </x:c>
      <x:c r="L152" s="31" t="n">
        <x:v>0</x:v>
      </x:c>
      <x:c r="M152" s="31" t="n">
        <x:v>0.0680136365</x:v>
      </x:c>
      <x:c r="N152" s="24" t="str">
        <x:v>glaucostegus granulatus</x:v>
      </x:c>
      <x:c r="O152" s="32" t="n">
        <x:v>3.5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Glaucostegus granulatus</x:v>
      </x:c>
      <x:c r="T152" s="32" t="n">
        <x:f>IF(O152="","",(1/'Metadata'!$B$5)^(O152-1))</x:f>
        <x:v>316.22776601683796</x:v>
      </x:c>
      <x:c r="U152" s="31" t="n">
        <x:f>IF(T152="","",I152*T152)</x:f>
        <x:v>21.50780032907627</x:v>
      </x:c>
    </x:row>
    <x:row r="153" ht="18" customHeight="1">
      <x:c r="A153" s="24" t="str">
        <x:v>EEZ_923</x:v>
      </x:c>
      <x:c r="B153" s="24" t="str">
        <x:v>Iran (Sea of Oman)</x:v>
      </x:c>
      <x:c r="C153" s="24" t="str">
        <x:v>EEZ</x:v>
      </x:c>
      <x:c r="D153" s="30" t="n">
        <x:v>2019</x:v>
      </x:c>
      <x:c r="E153" s="24" t="str">
        <x:v>Carcharhinidae</x:v>
      </x:c>
      <x:c r="F153" s="24" t="str">
        <x:v>Requiem sharks</x:v>
      </x:c>
      <x:c r="G153" s="24" t="str">
        <x:v>Large sharks (&gt;=90 cm)</x:v>
      </x:c>
      <x:c r="H153" s="24" t="str">
        <x:v>Sharks &amp; rays</x:v>
      </x:c>
      <x:c r="I153" s="31" t="n">
        <x:v>0.0135995383</x:v>
      </x:c>
      <x:c r="J153" s="31" t="n">
        <x:v>0.0135995383</x:v>
      </x:c>
      <x:c r="K153" s="31" t="n">
        <x:v>0</x:v>
      </x:c>
      <x:c r="L153" s="31" t="n">
        <x:v>0.0135995383</x:v>
      </x:c>
      <x:c r="M153" s="31" t="n">
        <x:v>0</x:v>
      </x:c>
      <x:c r="N153" s="24" t="str">
        <x:v>carcharhinidae</x:v>
      </x:c>
      <x:c r="O153" s="32" t="n">
        <x:v>4.24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Carcharhinidae</x:v>
      </x:c>
      <x:c r="T153" s="32" t="n">
        <x:f>IF(O153="","",(1/'Metadata'!$B$5)^(O153-1))</x:f>
        <x:v>1737.8008287493763</x:v>
      </x:c>
      <x:c r="U153" s="31" t="n">
        <x:f>IF(T153="","",I153*T153)</x:f>
        <x:v>23.633288928348883</x:v>
      </x:c>
    </x:row>
  </x:sheetData>
  <x:conditionalFormatting sqref="R2:R15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18943d33833427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19.1130180743</x:v>
      </x:c>
      <x:c r="C2" s="32" t="n">
        <x:v>3.34</x:v>
      </x:c>
      <x:c r="D2" s="32" t="n">
        <x:f>IF(C2="","",(1/'Metadata'!$B$5)^(C2-1))</x:f>
        <x:v>218.77616239495518</x:v>
      </x:c>
      <x:c r="E2" s="31" t="n">
        <x:f>IF(B2=0,"",B2*D2)</x:f>
        <x:v>4181.472746080771</x:v>
      </x:c>
    </x:row>
    <x:row r="3" ht="18" customHeight="1">
      <x:c r="A3" s="24" t="str">
        <x:v>Crustaceans</x:v>
      </x:c>
      <x:c r="B3" s="31" t="n">
        <x:v>8088.1982518553</x:v>
      </x:c>
      <x:c r="C3" s="32" t="n">
        <x:v>2.8001110735001506</x:v>
      </x:c>
      <x:c r="D3" s="32" t="n">
        <x:f>IF(C3="","",(1/'Metadata'!$B$5)^(C3-1))</x:f>
        <x:v>63.11187363615465</x:v>
      </x:c>
      <x:c r="E3" s="31" t="n">
        <x:f>IF(B3=0,"",B3*D3)</x:f>
        <x:v>510461.34601525863</x:v>
      </x:c>
    </x:row>
    <x:row r="4" ht="18" customHeight="1">
      <x:c r="A4" s="24" t="str">
        <x:v>Flatfishes</x:v>
      </x:c>
      <x:c r="B4" s="31" t="n">
        <x:v>2468.9442106813003</x:v>
      </x:c>
      <x:c r="C4" s="32" t="n">
        <x:v>4.308735103275783</x:v>
      </x:c>
      <x:c r="D4" s="32" t="n">
        <x:f>IF(C4="","",(1/'Metadata'!$B$5)^(C4-1))</x:f>
        <x:v>2035.7999683447206</x:v>
      </x:c>
      <x:c r="E4" s="31" t="n">
        <x:f>IF(B4=0,"",B4*D4)</x:f>
        <x:v>5026276.545949873</x:v>
      </x:c>
    </x:row>
    <x:row r="5" ht="18" customHeight="1">
      <x:c r="A5" s="24" t="str">
        <x:v>Herring-likes</x:v>
      </x:c>
      <x:c r="B5" s="31" t="n">
        <x:v>68411.8890072198</x:v>
      </x:c>
      <x:c r="C5" s="32" t="n">
        <x:v>2.49353776219222</x:v>
      </x:c>
      <x:c r="D5" s="32" t="n">
        <x:f>IF(C5="","",(1/'Metadata'!$B$5)^(C5-1))</x:f>
        <x:v>31.15571785222345</x:v>
      </x:c>
      <x:c r="E5" s="31" t="n">
        <x:f>IF(B5=0,"",B5*D5)</x:f>
        <x:v>2131421.511646567</x:v>
      </x:c>
    </x:row>
    <x:row r="6" ht="18" customHeight="1">
      <x:c r="A6" s="24" t="str">
        <x:v>Molluscs</x:v>
      </x:c>
      <x:c r="B6" s="31" t="n">
        <x:v>33.517742475700004</x:v>
      </x:c>
      <x:c r="C6" s="32" t="n">
        <x:v>3.06</x:v>
      </x:c>
      <x:c r="D6" s="32" t="n">
        <x:f>IF(C6="","",(1/'Metadata'!$B$5)^(C6-1))</x:f>
        <x:v>114.81536214968828</x:v>
      </x:c>
      <x:c r="E6" s="31" t="n">
        <x:f>IF(B6=0,"",B6*D6)</x:f>
        <x:v>3848.3517407874856</x:v>
      </x:c>
    </x:row>
    <x:row r="7" ht="18" customHeight="1">
      <x:c r="A7" s="24" t="str">
        <x:v>Other fishes &amp; inverts</x:v>
      </x:c>
      <x:c r="B7" s="31" t="n">
        <x:v>79873.68630968791</x:v>
      </x:c>
      <x:c r="C7" s="32" t="n">
        <x:v>3.375538232089072</x:v>
      </x:c>
      <x:c r="D7" s="32" t="n">
        <x:f>IF(C7="","",(1/'Metadata'!$B$5)^(C7-1))</x:f>
        <x:v>237.4314430698722</x:v>
      </x:c>
      <x:c r="E7" s="31" t="n">
        <x:f>IF(B7=0,"",B7*D7)</x:f>
        <x:v>18964524.603819493</x:v>
      </x:c>
    </x:row>
    <x:row r="8" ht="18" customHeight="1">
      <x:c r="A8" s="24" t="str">
        <x:v>Perch-likes</x:v>
      </x:c>
      <x:c r="B8" s="31" t="n">
        <x:v>110189.37507259051</x:v>
      </x:c>
      <x:c r="C8" s="32" t="n">
        <x:v>4.085924963967433</x:v>
      </x:c>
      <x:c r="D8" s="32" t="n">
        <x:f>IF(C8="","",(1/'Metadata'!$B$5)^(C8-1))</x:f>
        <x:v>1218.779003935244</x:v>
      </x:c>
      <x:c r="E8" s="31" t="n">
        <x:f>IF(B8=0,"",B8*D8)</x:f>
        <x:v>134296496.79521886</x:v>
      </x:c>
    </x:row>
    <x:row r="9" ht="18" customHeight="1">
      <x:c r="A9" s="24" t="str">
        <x:v>Scorpionfishes</x:v>
      </x:c>
      <x:c r="B9" s="31" t="n">
        <x:v>1580.7260204022002</x:v>
      </x:c>
      <x:c r="C9" s="32" t="n">
        <x:v>3.63876700270292</x:v>
      </x:c>
      <x:c r="D9" s="32" t="n">
        <x:f>IF(C9="","",(1/'Metadata'!$B$5)^(C9-1))</x:f>
        <x:v>435.27828592760545</x:v>
      </x:c>
      <x:c r="E9" s="31" t="n">
        <x:f>IF(B9=0,"",B9*D9)</x:f>
        <x:v>688055.7126818348</x:v>
      </x:c>
    </x:row>
    <x:row r="10" ht="18" customHeight="1">
      <x:c r="A10" s="24" t="str">
        <x:v>Sharks &amp; rays</x:v>
      </x:c>
      <x:c r="B10" s="31" t="n">
        <x:v>8970.812182504498</x:v>
      </x:c>
      <x:c r="C10" s="32" t="n">
        <x:v>3.9601851817141607</x:v>
      </x:c>
      <x:c r="D10" s="32" t="n">
        <x:f>IF(C10="","",(1/'Metadata'!$B$5)^(C10-1))</x:f>
        <x:v>912.3998006467017</x:v>
      </x:c>
      <x:c r="E10" s="31" t="n">
        <x:f>IF(B10=0,"",B10*D10)</x:f>
        <x:v>8184967.246956107</x:v>
      </x:c>
    </x:row>
    <x:row r="11" ht="18" customHeight="1">
      <x:c r="A11" s="24" t="str">
        <x:v>Tuna &amp; billfishes</x:v>
      </x:c>
      <x:c r="B11" s="31" t="n">
        <x:v>87830.5952754313</x:v>
      </x:c>
      <x:c r="C11" s="32" t="n">
        <x:v>4.4430768859409175</x:v>
      </x:c>
      <x:c r="D11" s="32" t="n">
        <x:f>IF(C11="","",(1/'Metadata'!$B$5)^(C11-1))</x:f>
        <x:v>2773.811126781731</x:v>
      </x:c>
      <x:c r="E11" s="31" t="n">
        <x:f>IF(B11=0,"",B11*D11)</x:f>
        <x:v>243625482.4468543</x:v>
      </x:c>
    </x:row>
  </x:sheetData>
  <x:pageMargins left="0.7" right="0.7" top="0.75" bottom="0.75" header="0.3" footer="0.3"/>
  <x:tableParts count="1">
    <x:tablePart xmlns:r="http://schemas.openxmlformats.org/officeDocument/2006/relationships" r:id="Rf0f202371b784f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1487.3478860662</x:v>
      </x:c>
      <x:c r="C2" s="32" t="n">
        <x:v>3.6914873259021723</x:v>
      </x:c>
      <x:c r="D2" s="32" t="n">
        <x:f>IF(C2="","",(1/'Metadata'!$B$5)^(C2-1))</x:f>
        <x:v>491.45903764814176</x:v>
      </x:c>
      <x:c r="E2" s="31" t="n">
        <x:f>IF(B2=0,"",B2*D2)</x:f>
        <x:v>730970.5607340927</x:v>
      </x:c>
    </x:row>
    <x:row r="3" ht="18" customHeight="1">
      <x:c r="A3" s="24" t="str">
        <x:v>Jellyfish</x:v>
      </x:c>
      <x:c r="B3" s="31" t="n">
        <x:v>8.989036059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284.2582791582371</x:v>
      </x:c>
    </x:row>
    <x:row r="4" ht="18" customHeight="1">
      <x:c r="A4" s="24" t="str">
        <x:v>Large benthopelagics (&gt;=90 cm)</x:v>
      </x:c>
      <x:c r="B4" s="31" t="n">
        <x:v>19911.0061336484</x:v>
      </x:c>
      <x:c r="C4" s="32" t="n">
        <x:v>4.317077770326046</x:v>
      </x:c>
      <x:c r="D4" s="32" t="n">
        <x:f>IF(C4="","",(1/'Metadata'!$B$5)^(C4-1))</x:f>
        <x:v>2075.285111284787</x:v>
      </x:c>
      <x:c r="E4" s="31" t="n">
        <x:f>IF(B4=0,"",B4*D4)</x:f>
        <x:v>41321014.5798606</x:v>
      </x:c>
    </x:row>
    <x:row r="5" ht="18" customHeight="1">
      <x:c r="A5" s="24" t="str">
        <x:v>Large demersals (&gt;=90 cm)</x:v>
      </x:c>
      <x:c r="B5" s="31" t="n">
        <x:v>3969.7099566659003</x:v>
      </x:c>
      <x:c r="C5" s="32" t="n">
        <x:v>3.647680080144656</x:v>
      </x:c>
      <x:c r="D5" s="32" t="n">
        <x:f>IF(C5="","",(1/'Metadata'!$B$5)^(C5-1))</x:f>
        <x:v>444.3038537045248</x:v>
      </x:c>
      <x:c r="E5" s="31" t="n">
        <x:f>IF(B5=0,"",B5*D5)</x:f>
        <x:v>1763757.4318358817</x:v>
      </x:c>
    </x:row>
    <x:row r="6" ht="18" customHeight="1">
      <x:c r="A6" s="24" t="str">
        <x:v>Large pelagics (&gt;=90 cm)</x:v>
      </x:c>
      <x:c r="B6" s="31" t="n">
        <x:v>113457.01989174771</x:v>
      </x:c>
      <x:c r="C6" s="32" t="n">
        <x:v>4.432972126499376</x:v>
      </x:c>
      <x:c r="D6" s="32" t="n">
        <x:f>IF(C6="","",(1/'Metadata'!$B$5)^(C6-1))</x:f>
        <x:v>2710.017694373464</x:v>
      </x:c>
      <x:c r="E6" s="31" t="n">
        <x:f>IF(B6=0,"",B6*D6)</x:f>
        <x:v>307470531.4575184</x:v>
      </x:c>
    </x:row>
    <x:row r="7" ht="18" customHeight="1">
      <x:c r="A7" s="24" t="str">
        <x:v>Large rays (&gt;=90 cm)</x:v>
      </x:c>
      <x:c r="B7" s="31" t="n">
        <x:v>2223.3214494502</x:v>
      </x:c>
      <x:c r="C7" s="32" t="n">
        <x:v>3.534114820167183</x:v>
      </x:c>
      <x:c r="D7" s="32" t="n">
        <x:f>IF(C7="","",(1/'Metadata'!$B$5)^(C7-1))</x:f>
        <x:v>342.0698680878525</x:v>
      </x:c>
      <x:c r="E7" s="31" t="n">
        <x:f>IF(B7=0,"",B7*D7)</x:f>
        <x:v>760531.2749303229</x:v>
      </x:c>
    </x:row>
    <x:row r="8" ht="18" customHeight="1">
      <x:c r="A8" s="24" t="str">
        <x:v>Large reef assoc. fish (&gt;=90 cm)</x:v>
      </x:c>
      <x:c r="B8" s="31" t="n">
        <x:v>22856.4413874934</x:v>
      </x:c>
      <x:c r="C8" s="32" t="n">
        <x:v>4.350289712570201</x:v>
      </x:c>
      <x:c r="D8" s="32" t="n">
        <x:f>IF(C8="","",(1/'Metadata'!$B$5)^(C8-1))</x:f>
        <x:v>2240.215060462283</x:v>
      </x:c>
      <x:c r="E8" s="31" t="n">
        <x:f>IF(B8=0,"",B8*D8)</x:f>
        <x:v>51203344.224836156</x:v>
      </x:c>
    </x:row>
    <x:row r="9" ht="18" customHeight="1">
      <x:c r="A9" s="24" t="str">
        <x:v>Large sharks (&gt;=90 cm)</x:v>
      </x:c>
      <x:c r="B9" s="31" t="n">
        <x:v>6590.253227391</x:v>
      </x:c>
      <x:c r="C9" s="32" t="n">
        <x:v>4.105362416737008</x:v>
      </x:c>
      <x:c r="D9" s="32" t="n">
        <x:f>IF(C9="","",(1/'Metadata'!$B$5)^(C9-1))</x:f>
        <x:v>1274.5662569952224</x:v>
      </x:c>
      <x:c r="E9" s="31" t="n">
        <x:f>IF(B9=0,"",B9*D9)</x:f>
        <x:v>8399714.388686432</x:v>
      </x:c>
    </x:row>
    <x:row r="10" ht="18" customHeight="1">
      <x:c r="A10" s="24" t="str">
        <x:v>Lobsters, crabs</x:v>
      </x:c>
      <x:c r="B10" s="31" t="n">
        <x:v>2956.0225445263</x:v>
      </x:c>
      <x:c r="C10" s="32" t="n">
        <x:v>2.5421660689785655</x:v>
      </x:c>
      <x:c r="D10" s="32" t="n">
        <x:f>IF(C10="","",(1/'Metadata'!$B$5)^(C10-1))</x:f>
        <x:v>34.84705404996512</x:v>
      </x:c>
      <x:c r="E10" s="31" t="n">
        <x:f>IF(B10=0,"",B10*D10)</x:f>
        <x:v>103008.6773820234</x:v>
      </x:c>
    </x:row>
    <x:row r="11" ht="18" customHeight="1">
      <x:c r="A11" s="24" t="str">
        <x:v>Medium benthopelagics (30 - 89 cm)</x:v>
      </x:c>
      <x:c r="B11" s="31" t="n">
        <x:v>10115.2299604825</x:v>
      </x:c>
      <x:c r="C11" s="32" t="n">
        <x:v>3.216584591992822</x:v>
      </x:c>
      <x:c r="D11" s="32" t="n">
        <x:f>IF(C11="","",(1/'Metadata'!$B$5)^(C11-1))</x:f>
        <x:v>164.65866576751367</x:v>
      </x:c>
      <x:c r="E11" s="31" t="n">
        <x:f>IF(B11=0,"",B11*D11)</x:f>
        <x:v>1665560.2692246286</x:v>
      </x:c>
    </x:row>
    <x:row r="12" ht="18" customHeight="1">
      <x:c r="A12" s="24" t="str">
        <x:v>Medium demersals (30 - 89 cm)</x:v>
      </x:c>
      <x:c r="B12" s="31" t="n">
        <x:v>32984.5849474965</x:v>
      </x:c>
      <x:c r="C12" s="32" t="n">
        <x:v>3.4724602835873046</x:v>
      </x:c>
      <x:c r="D12" s="32" t="n">
        <x:f>IF(C12="","",(1/'Metadata'!$B$5)^(C12-1))</x:f>
        <x:v>296.79753084640356</x:v>
      </x:c>
      <x:c r="E12" s="31" t="n">
        <x:f>IF(B12=0,"",B12*D12)</x:f>
        <x:v>9789743.36841041</x:v>
      </x:c>
    </x:row>
    <x:row r="13" ht="18" customHeight="1">
      <x:c r="A13" s="24" t="str">
        <x:v>Medium pelagics (30 - 89 cm)</x:v>
      </x:c>
      <x:c r="B13" s="31" t="n">
        <x:v>55164.523641114596</x:v>
      </x:c>
      <x:c r="C13" s="32" t="n">
        <x:v>3.4966195411655283</x:v>
      </x:c>
      <x:c r="D13" s="32" t="n">
        <x:f>IF(C13="","",(1/'Metadata'!$B$5)^(C13-1))</x:f>
        <x:v>313.7758691011195</x:v>
      </x:c>
      <x:c r="E13" s="31" t="n">
        <x:f>IF(B13=0,"",B13*D13)</x:f>
        <x:v>17309296.349039987</x:v>
      </x:c>
    </x:row>
    <x:row r="14" ht="18" customHeight="1">
      <x:c r="A14" s="24" t="str">
        <x:v>Medium reef assoc. fish (30 - 89 cm)</x:v>
      </x:c>
      <x:c r="B14" s="31" t="n">
        <x:v>12809.912156527698</x:v>
      </x:c>
      <x:c r="C14" s="32" t="n">
        <x:v>3.5444122324528045</x:v>
      </x:c>
      <x:c r="D14" s="32" t="n">
        <x:f>IF(C14="","",(1/'Metadata'!$B$5)^(C14-1))</x:f>
        <x:v>350.2774927830222</x:v>
      </x:c>
      <x:c r="E14" s="31" t="n">
        <x:f>IF(B14=0,"",B14*D14)</x:f>
        <x:v>4487023.912959279</x:v>
      </x:c>
    </x:row>
    <x:row r="15" ht="18" customHeight="1">
      <x:c r="A15" s="24" t="str">
        <x:v>Other demersal invertebrates</x:v>
      </x:c>
      <x:c r="B15" s="31" t="n">
        <x:v>69.1901970736</x:v>
      </x:c>
      <x:c r="C15" s="32" t="n">
        <x:v>2.776435985751353</x:v>
      </x:c>
      <x:c r="D15" s="32" t="n">
        <x:f>IF(C15="","",(1/'Metadata'!$B$5)^(C15-1))</x:f>
        <x:v>59.7634947847954</x:v>
      </x:c>
      <x:c r="E15" s="31" t="n">
        <x:f>IF(B15=0,"",B15*D15)</x:f>
        <x:v>4135.04798196706</x:v>
      </x:c>
    </x:row>
    <x:row r="16" ht="18" customHeight="1">
      <x:c r="A16" s="24" t="str">
        <x:v>Shrimps</x:v>
      </x:c>
      <x:c r="B16" s="31" t="n">
        <x:v>5132.175707328999</x:v>
      </x:c>
      <x:c r="C16" s="32" t="n">
        <x:v>2.9486818341475063</x:v>
      </x:c>
      <x:c r="D16" s="32" t="n">
        <x:f>IF(C16="","",(1/'Metadata'!$B$5)^(C16-1))</x:f>
        <x:v>88.85499241701632</x:v>
      </x:c>
      <x:c r="E16" s="31" t="n">
        <x:f>IF(B16=0,"",B16*D16)</x:f>
        <x:v>456019.4335575136</x:v>
      </x:c>
    </x:row>
    <x:row r="17" ht="18" customHeight="1">
      <x:c r="A17" s="24" t="str">
        <x:v>Small benthopelagics (&lt;30 cm)</x:v>
      </x:c>
      <x:c r="B17" s="31" t="n">
        <x:v>2576.2280234887</x:v>
      </x:c>
      <x:c r="C17" s="32" t="n">
        <x:v>3.1305602798319865</x:v>
      </x:c>
      <x:c r="D17" s="32" t="n">
        <x:f>IF(C17="","",(1/'Metadata'!$B$5)^(C17-1))</x:f>
        <x:v>135.07042918475346</x:v>
      </x:c>
      <x:c r="E17" s="31" t="n">
        <x:f>IF(B17=0,"",B17*D17)</x:f>
        <x:v>347972.2248104078</x:v>
      </x:c>
    </x:row>
    <x:row r="18" ht="18" customHeight="1">
      <x:c r="A18" s="24" t="str">
        <x:v>Small demersals (&lt;30 cm)</x:v>
      </x:c>
      <x:c r="B18" s="31" t="n">
        <x:v>4009.5189351211</x:v>
      </x:c>
      <x:c r="C18" s="32" t="n">
        <x:v>3.662633183753656</x:v>
      </x:c>
      <x:c r="D18" s="32" t="n">
        <x:f>IF(C18="","",(1/'Metadata'!$B$5)^(C18-1))</x:f>
        <x:v>459.867993212782</x:v>
      </x:c>
      <x:c r="E18" s="31" t="n">
        <x:f>IF(B18=0,"",B18*D18)</x:f>
        <x:v>1843849.426442791</x:v>
      </x:c>
    </x:row>
    <x:row r="19" ht="18" customHeight="1">
      <x:c r="A19" s="24" t="str">
        <x:v>Small pelagics (&lt;30 cm)</x:v>
      </x:c>
      <x:c r="B19" s="31" t="n">
        <x:v>67267.11349145763</x:v>
      </x:c>
      <x:c r="C19" s="32" t="n">
        <x:v>2.4516693304762507</x:v>
      </x:c>
      <x:c r="D19" s="32" t="n">
        <x:f>IF(C19="","",(1/'Metadata'!$B$5)^(C19-1))</x:f>
        <x:v>28.292370093963285</x:v>
      </x:c>
      <x:c r="E19" s="31" t="n">
        <x:f>IF(B19=0,"",B19*D19)</x:f>
        <x:v>1903146.07005295</x:v>
      </x:c>
    </x:row>
    <x:row r="20" ht="18" customHeight="1">
      <x:c r="A20" s="24" t="str">
        <x:v>Small reef assoc. fish (&lt;30 cm)</x:v>
      </x:c>
      <x:c r="B20" s="31" t="n">
        <x:v>1252.0868014387997</x:v>
      </x:c>
      <x:c r="C20" s="32" t="n">
        <x:v>4.013540389561516</x:v>
      </x:c>
      <x:c r="D20" s="32" t="n">
        <x:f>IF(C20="","",(1/'Metadata'!$B$5)^(C20-1))</x:f>
        <x:v>1031.6690206120743</x:v>
      </x:c>
      <x:c r="E20" s="31" t="n">
        <x:f>IF(B20=0,"",B20*D20)</x:f>
        <x:v>1291739.1641616712</x:v>
      </x:c>
    </x:row>
    <x:row r="21" ht="18" customHeight="1">
      <x:c r="A21" s="24" t="str">
        <x:v>Small to medium flatfishes (&lt;90 cm)</x:v>
      </x:c>
      <x:c r="B21" s="31" t="n">
        <x:v>2468.9442106813003</x:v>
      </x:c>
      <x:c r="C21" s="32" t="n">
        <x:v>4.308735103275783</x:v>
      </x:c>
      <x:c r="D21" s="32" t="n">
        <x:f>IF(C21="","",(1/'Metadata'!$B$5)^(C21-1))</x:f>
        <x:v>2035.7999683447206</x:v>
      </x:c>
      <x:c r="E21" s="31" t="n">
        <x:f>IF(B21=0,"",B21*D21)</x:f>
        <x:v>5026276.545949873</x:v>
      </x:c>
    </x:row>
    <x:row r="22" ht="18" customHeight="1">
      <x:c r="A22" s="24" t="str">
        <x:v>Small to medium sharks (&lt;90 cm)</x:v>
      </x:c>
      <x:c r="B22" s="31" t="n">
        <x:v>157.2375056633</x:v>
      </x:c>
      <x:c r="C22" s="32" t="n">
        <x:v>3.8999999999999995</x:v>
      </x:c>
      <x:c r="D22" s="32" t="n">
        <x:f>IF(C22="","",(1/'Metadata'!$B$5)^(C22-1))</x:f>
        <x:v>794.3282347242805</x:v>
      </x:c>
      <x:c r="E22" s="31" t="n">
        <x:f>IF(B22=0,"",B22*D22)</x:f>
        <x:v>124898.19030597815</x:v>
      </x:c>
    </x:row>
  </x:sheetData>
  <x:pageMargins left="0.7" right="0.7" top="0.75" bottom="0.75" header="0.3" footer="0.3"/>
  <x:tableParts count="1">
    <x:tablePart xmlns:r="http://schemas.openxmlformats.org/officeDocument/2006/relationships" r:id="R864355777e1543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EEZ_923</x:v>
      </x:c>
      <x:c r="B2" s="24" t="str">
        <x:v>raw_filtered_tonnes</x:v>
      </x:c>
      <x:c r="C2" s="24" t="n">
        <x:v>367466.8570909228</x:v>
      </x:c>
      <x:c r="D2" s="24" t="str">
        <x:v>tonnes</x:v>
      </x:c>
    </x:row>
    <x:row r="3" ht="18" customHeight="1">
      <x:c r="A3" s="24" t="str">
        <x:v>EEZ_923</x:v>
      </x:c>
      <x:c r="B3" s="24" t="str">
        <x:v>species_catch_tonnes</x:v>
      </x:c>
      <x:c r="C3" s="24" t="n">
        <x:v>367466.85709092283</x:v>
      </x:c>
      <x:c r="D3" s="24" t="str">
        <x:v>tonnes</x:v>
      </x:c>
    </x:row>
    <x:row r="4" ht="18" customHeight="1">
      <x:c r="A4" s="24" t="str">
        <x:v>EEZ_923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EEZ_923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EEZ_923</x:v>
      </x:c>
      <x:c r="B6" s="24" t="str">
        <x:v>matched_catch_tonnes</x:v>
      </x:c>
      <x:c r="C6" s="24" t="n">
        <x:v>367466.85709092283</x:v>
      </x:c>
      <x:c r="D6" s="24" t="str">
        <x:v>tonnes</x:v>
      </x:c>
    </x:row>
    <x:row r="7" ht="18" customHeight="1">
      <x:c r="A7" s="24" t="str">
        <x:v>EEZ_923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EEZ_923</x:v>
      </x:c>
      <x:c r="B8" s="24" t="str">
        <x:v>taxa_count</x:v>
      </x:c>
      <x:c r="C8" s="24" t="n">
        <x:v>152</x:v>
      </x:c>
      <x:c r="D8" s="24" t="str">
        <x:v>count</x:v>
      </x:c>
    </x:row>
    <x:row r="9" ht="18" customHeight="1">
      <x:c r="A9" s="24" t="str">
        <x:v>EEZ_923</x:v>
      </x:c>
      <x:c r="B9" s="24" t="str">
        <x:v>matched_taxa_count</x:v>
      </x:c>
      <x:c r="C9" s="24" t="n">
        <x:v>152</x:v>
      </x:c>
      <x:c r="D9" s="24" t="str">
        <x:v>count</x:v>
      </x:c>
    </x:row>
    <x:row r="10" ht="18" customHeight="1">
      <x:c r="A10" s="24" t="str">
        <x:v>EEZ_923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EEZ_923</x:v>
      </x:c>
      <x:c r="B11" s="24" t="str">
        <x:v>species_ppr</x:v>
      </x:c>
      <x:c r="C11" s="24" t="n">
        <x:v>498970402.0793729</x:v>
      </x:c>
      <x:c r="D11" s="24" t="str">
        <x:v>tonnes_primary_production_equivalent</x:v>
      </x:c>
    </x:row>
    <x:row r="12" ht="18" customHeight="1">
      <x:c r="A12" s="24" t="str">
        <x:v>EEZ_923</x:v>
      </x:c>
      <x:c r="B12" s="24" t="str">
        <x:v>commercial_ppr</x:v>
      </x:c>
      <x:c r="C12" s="24" t="n">
        <x:v>413435716.0336292</x:v>
      </x:c>
      <x:c r="D12" s="24" t="str">
        <x:v>tonnes_primary_production_equivalent</x:v>
      </x:c>
    </x:row>
    <x:row r="13" ht="18" customHeight="1">
      <x:c r="A13" s="24" t="str">
        <x:v>EEZ_923</x:v>
      </x:c>
      <x:c r="B13" s="24" t="str">
        <x:v>functional_ppr</x:v>
      </x:c>
      <x:c r="C13" s="24" t="n">
        <x:v>456002816.85696054</x:v>
      </x:c>
      <x:c r="D13" s="24" t="str">
        <x:v>tonnes_primary_production_equivalent</x:v>
      </x:c>
    </x:row>
    <x:row r="14" ht="18" customHeight="1">
      <x:c r="A14" s="24" t="str">
        <x:v>EEZ_923</x:v>
      </x:c>
      <x:c r="B14" s="24" t="str">
        <x:v>commercial_ppr_difference</x:v>
      </x:c>
      <x:c r="C14" s="24" t="n">
        <x:v>-85534686.0457437</x:v>
      </x:c>
      <x:c r="D14" s="24" t="str">
        <x:v>tonnes_primary_production_equivalent</x:v>
      </x:c>
    </x:row>
    <x:row r="15" ht="18" customHeight="1">
      <x:c r="A15" s="24" t="str">
        <x:v>EEZ_923</x:v>
      </x:c>
      <x:c r="B15" s="24" t="str">
        <x:v>functional_ppr_difference</x:v>
      </x:c>
      <x:c r="C15" s="24" t="n">
        <x:v>-42967585.22241235</x:v>
      </x:c>
      <x:c r="D15" s="24" t="str">
        <x:v>tonnes_primary_production_equivalent</x:v>
      </x:c>
    </x:row>
    <x:row r="16" ht="18" customHeight="1">
      <x:c r="A16" s="24" t="str">
        <x:v>EEZ_923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b8aab0fefe049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EEZ_923 - Iran (Sea of Oman)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