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4b4fcf0f0b45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7d552f77ab3943d1"/>
    <x:sheet xmlns:r="http://schemas.openxmlformats.org/officeDocument/2006/relationships" name="Commercial" sheetId="2" r:id="Rb0ea52e1a954448a"/>
    <x:sheet xmlns:r="http://schemas.openxmlformats.org/officeDocument/2006/relationships" name="Functional" sheetId="3" r:id="Rb735c43d085d45bb"/>
    <x:sheet xmlns:r="http://schemas.openxmlformats.org/officeDocument/2006/relationships" name="Missing TL" sheetId="4" r:id="R5c04dd1ccc5f486f"/>
    <x:sheet xmlns:r="http://schemas.openxmlformats.org/officeDocument/2006/relationships" name="Validation" sheetId="5" r:id="Rb9405ce71fb047d4"/>
    <x:sheet xmlns:r="http://schemas.openxmlformats.org/officeDocument/2006/relationships" name="Metadata" sheetId="6" r:id="R19625301c62c4e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ac1381b4d94367" /><Relationship Type="http://schemas.openxmlformats.org/officeDocument/2006/relationships/theme" Target="/xl/theme/theme1.xml" Id="R7405805f04c34510" /><Relationship Type="http://schemas.microsoft.com/office/2022/11/relationships/FeaturePropertyBag" Target="/xl/featurePropertyBag/featurePropertyBag.xml" Id="R2800b921c97e45d6" /><Relationship Type="http://schemas.openxmlformats.org/officeDocument/2006/relationships/sharedStrings" Target="/xl/sharedStrings.xml" Id="R36d0c18175e3422e" /><Relationship Type="http://schemas.openxmlformats.org/officeDocument/2006/relationships/worksheet" Target="/xl/worksheets/sheet1.xml" Id="R7d552f77ab3943d1" /><Relationship Type="http://schemas.openxmlformats.org/officeDocument/2006/relationships/worksheet" Target="/xl/worksheets/sheet2.xml" Id="Rb0ea52e1a954448a" /><Relationship Type="http://schemas.openxmlformats.org/officeDocument/2006/relationships/worksheet" Target="/xl/worksheets/sheet3.xml" Id="Rb735c43d085d45bb" /><Relationship Type="http://schemas.openxmlformats.org/officeDocument/2006/relationships/worksheet" Target="/xl/worksheets/sheet4.xml" Id="R5c04dd1ccc5f486f" /><Relationship Type="http://schemas.openxmlformats.org/officeDocument/2006/relationships/worksheet" Target="/xl/worksheets/sheet5.xml" Id="Rb9405ce71fb047d4" /><Relationship Type="http://schemas.openxmlformats.org/officeDocument/2006/relationships/worksheet" Target="/xl/worksheets/sheet6.xml" Id="R19625301c62c4ea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251SpeciesTable" displayName="EEZ251SpeciesTable" ref="A1:U28" headerRowCount="1" totalsRowCount="0" totalsRowShown="0">
  <x:autoFilter ref="A1:U2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251CommercialTable" displayName="EEZ251CommercialTable" ref="A1:O5" headerRowCount="1" totalsRowCount="0" totalsRowShown="0">
  <x:autoFilter ref="A1:O5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251FunctionalTable" displayName="EEZ251FunctionalTable" ref="A1:O6" headerRowCount="1" totalsRowCount="0" totalsRowShown="0">
  <x:autoFilter ref="A1:O6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251ValidationTable" displayName="EEZ251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9ca6d9cd0cd456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41d66297b694c8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e4da6da682d469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36e6a80314d45b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EEZ_251</x:v>
      </x:c>
      <x:c r="B2" s="24" t="str">
        <x:v>Mozambique Channel Isl. (France)</x:v>
      </x:c>
      <x:c r="C2" s="24" t="str">
        <x:v>EEZ</x:v>
      </x:c>
      <x:c r="D2" s="30" t="n">
        <x:v>2019</x:v>
      </x:c>
      <x:c r="E2" s="24" t="str">
        <x:v>Auxis thazard</x:v>
      </x:c>
      <x:c r="F2" s="24" t="str">
        <x:v>Frigate tuna</x:v>
      </x:c>
      <x:c r="G2" s="24" t="str">
        <x:v>Medium pelagics (30 - 89 cm)</x:v>
      </x:c>
      <x:c r="H2" s="24" t="str">
        <x:v>Tuna &amp; billfishes</x:v>
      </x:c>
      <x:c r="I2" s="31" t="n">
        <x:v>3037.5</x:v>
      </x:c>
      <x:c r="J2" s="31" t="n">
        <x:v>3037.5</x:v>
      </x:c>
      <x:c r="K2" s="31" t="n">
        <x:v>0</x:v>
      </x:c>
      <x:c r="L2" s="31" t="n">
        <x:v>3037.5</x:v>
      </x:c>
      <x:c r="M2" s="31" t="n">
        <x:v>0</x:v>
      </x:c>
      <x:c r="N2" s="24" t="str">
        <x:v>auxis thazard</x:v>
      </x:c>
      <x:c r="O2" s="32" t="n">
        <x:v>4.37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Auxis thazard</x:v>
      </x:c>
      <x:c r="T2" s="32" t="n">
        <x:f>IF(O2="","",(1/'Metadata'!$B$5)^(O2-1))</x:f>
        <x:v>2344.228815319923</x:v>
      </x:c>
      <x:c r="U2" s="31" t="n">
        <x:f>IF(T2="","",I2*T2)</x:f>
        <x:v>7120595.026534266</x:v>
      </x:c>
    </x:row>
    <x:row r="3" ht="18" customHeight="1">
      <x:c r="A3" s="24" t="str">
        <x:v>EEZ_251</x:v>
      </x:c>
      <x:c r="B3" s="24" t="str">
        <x:v>Mozambique Channel Isl. (France)</x:v>
      </x:c>
      <x:c r="C3" s="24" t="str">
        <x:v>EEZ</x:v>
      </x:c>
      <x:c r="D3" s="30" t="n">
        <x:v>2019</x:v>
      </x:c>
      <x:c r="E3" s="24" t="str">
        <x:v>Xiphias gladius</x:v>
      </x:c>
      <x:c r="F3" s="24" t="str">
        <x:v>Swordfish</x:v>
      </x:c>
      <x:c r="G3" s="24" t="str">
        <x:v>Large pelagics (&gt;=90 cm)</x:v>
      </x:c>
      <x:c r="H3" s="24" t="str">
        <x:v>Tuna &amp; billfishes</x:v>
      </x:c>
      <x:c r="I3" s="31" t="n">
        <x:v>309.06643905059997</x:v>
      </x:c>
      <x:c r="J3" s="31" t="n">
        <x:v>309.06643905059997</x:v>
      </x:c>
      <x:c r="K3" s="31" t="n">
        <x:v>0</x:v>
      </x:c>
      <x:c r="L3" s="31" t="n">
        <x:v>309.06643905059997</x:v>
      </x:c>
      <x:c r="M3" s="31" t="n">
        <x:v>0</x:v>
      </x:c>
      <x:c r="N3" s="24" t="str">
        <x:v>xiphias gladius</x:v>
      </x:c>
      <x:c r="O3" s="32" t="n">
        <x:v>4.53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Xiphias gladius</x:v>
      </x:c>
      <x:c r="T3" s="32" t="n">
        <x:f>IF(O3="","",(1/'Metadata'!$B$5)^(O3-1))</x:f>
        <x:v>3388.4415613920273</x:v>
      </x:c>
      <x:c r="U3" s="31" t="n">
        <x:f>IF(T3="","",I3*T3)</x:f>
        <x:v>1047253.5673104888</x:v>
      </x:c>
    </x:row>
    <x:row r="4" ht="18" customHeight="1">
      <x:c r="A4" s="24" t="str">
        <x:v>EEZ_251</x:v>
      </x:c>
      <x:c r="B4" s="24" t="str">
        <x:v>Mozambique Channel Isl. (France)</x:v>
      </x:c>
      <x:c r="C4" s="24" t="str">
        <x:v>EEZ</x:v>
      </x:c>
      <x:c r="D4" s="30" t="n">
        <x:v>2019</x:v>
      </x:c>
      <x:c r="E4" s="24" t="str">
        <x:v>Thunnus albacares</x:v>
      </x:c>
      <x:c r="F4" s="24" t="str">
        <x:v>Yellowfin tuna</x:v>
      </x:c>
      <x:c r="G4" s="24" t="str">
        <x:v>Large pelagics (&gt;=90 cm)</x:v>
      </x:c>
      <x:c r="H4" s="24" t="str">
        <x:v>Tuna &amp; billfishes</x:v>
      </x:c>
      <x:c r="I4" s="31" t="n">
        <x:v>198.3607048747</x:v>
      </x:c>
      <x:c r="J4" s="31" t="n">
        <x:v>198.3607048747</x:v>
      </x:c>
      <x:c r="K4" s="31" t="n">
        <x:v>0</x:v>
      </x:c>
      <x:c r="L4" s="31" t="n">
        <x:v>198.3607048747</x:v>
      </x:c>
      <x:c r="M4" s="31" t="n">
        <x:v>0</x:v>
      </x:c>
      <x:c r="N4" s="24" t="str">
        <x:v>thunnus albacares</x:v>
      </x:c>
      <x:c r="O4" s="32" t="n">
        <x:v>4.41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Thunnus albacares</x:v>
      </x:c>
      <x:c r="T4" s="32" t="n">
        <x:f>IF(O4="","",(1/'Metadata'!$B$5)^(O4-1))</x:f>
        <x:v>2570.3957827688646</x:v>
      </x:c>
      <x:c r="U4" s="31" t="n">
        <x:f>IF(T4="","",I4*T4)</x:f>
        <x:v>509865.5192769882</x:v>
      </x:c>
    </x:row>
    <x:row r="5" ht="18" customHeight="1">
      <x:c r="A5" s="24" t="str">
        <x:v>EEZ_251</x:v>
      </x:c>
      <x:c r="B5" s="24" t="str">
        <x:v>Mozambique Channel Isl. (France)</x:v>
      </x:c>
      <x:c r="C5" s="24" t="str">
        <x:v>EEZ</x:v>
      </x:c>
      <x:c r="D5" s="30" t="n">
        <x:v>2019</x:v>
      </x:c>
      <x:c r="E5" s="24" t="str">
        <x:v>Thunnus obesus</x:v>
      </x:c>
      <x:c r="F5" s="24" t="str">
        <x:v>Bigeye tuna</x:v>
      </x:c>
      <x:c r="G5" s="24" t="str">
        <x:v>Large pelagics (&gt;=90 cm)</x:v>
      </x:c>
      <x:c r="H5" s="24" t="str">
        <x:v>Tuna &amp; billfishes</x:v>
      </x:c>
      <x:c r="I5" s="31" t="n">
        <x:v>95.79102601749999</x:v>
      </x:c>
      <x:c r="J5" s="31" t="n">
        <x:v>95.79102601749999</x:v>
      </x:c>
      <x:c r="K5" s="31" t="n">
        <x:v>0</x:v>
      </x:c>
      <x:c r="L5" s="31" t="n">
        <x:v>95.79102601749999</x:v>
      </x:c>
      <x:c r="M5" s="31" t="n">
        <x:v>0</x:v>
      </x:c>
      <x:c r="N5" s="24" t="str">
        <x:v>thunnus obesus</x:v>
      </x:c>
      <x:c r="O5" s="32" t="n">
        <x:v>4.49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Thunnus obesus</x:v>
      </x:c>
      <x:c r="T5" s="32" t="n">
        <x:f>IF(O5="","",(1/'Metadata'!$B$5)^(O5-1))</x:f>
        <x:v>3090.295432513592</x:v>
      </x:c>
      <x:c r="U5" s="31" t="n">
        <x:f>IF(T5="","",I5*T5)</x:f>
        <x:v>296022.57017767086</x:v>
      </x:c>
    </x:row>
    <x:row r="6" ht="18" customHeight="1">
      <x:c r="A6" s="24" t="str">
        <x:v>EEZ_251</x:v>
      </x:c>
      <x:c r="B6" s="24" t="str">
        <x:v>Mozambique Channel Isl. (France)</x:v>
      </x:c>
      <x:c r="C6" s="24" t="str">
        <x:v>EEZ</x:v>
      </x:c>
      <x:c r="D6" s="30" t="n">
        <x:v>2019</x:v>
      </x:c>
      <x:c r="E6" s="24" t="str">
        <x:v>Marine fishes not identified</x:v>
      </x:c>
      <x:c r="F6" s="24" t="str">
        <x:v>Marine fishes nei</x:v>
      </x:c>
      <x:c r="G6" s="24" t="str">
        <x:v>Medium demersals (30 - 89 cm)</x:v>
      </x:c>
      <x:c r="H6" s="24" t="str">
        <x:v>Other fishes &amp; inverts</x:v>
      </x:c>
      <x:c r="I6" s="31" t="n">
        <x:v>24.0475153561</x:v>
      </x:c>
      <x:c r="J6" s="31" t="n">
        <x:v>13.5470035761</x:v>
      </x:c>
      <x:c r="K6" s="31" t="n">
        <x:v>10.50051178</x:v>
      </x:c>
      <x:c r="L6" s="31" t="n">
        <x:v>0.2084619161</x:v>
      </x:c>
      <x:c r="M6" s="31" t="n">
        <x:v>23.83905344</x:v>
      </x:c>
      <x:c r="N6" s="24" t="str">
        <x:v>marine fishes not identified</x:v>
      </x:c>
      <x:c r="O6" s="32" t="n">
        <x:v>3.28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Marine fishes not identified</x:v>
      </x:c>
      <x:c r="T6" s="32" t="n">
        <x:f>IF(O6="","",(1/'Metadata'!$B$5)^(O6-1))</x:f>
        <x:v>190.54607179632464</x:v>
      </x:c>
      <x:c r="U6" s="31" t="n">
        <x:f>IF(T6="","",I6*T6)</x:f>
        <x:v>4582.15958756665</x:v>
      </x:c>
    </x:row>
    <x:row r="7" ht="18" customHeight="1">
      <x:c r="A7" s="24" t="str">
        <x:v>EEZ_251</x:v>
      </x:c>
      <x:c r="B7" s="24" t="str">
        <x:v>Mozambique Channel Isl. (France)</x:v>
      </x:c>
      <x:c r="C7" s="24" t="str">
        <x:v>EEZ</x:v>
      </x:c>
      <x:c r="D7" s="30" t="n">
        <x:v>2019</x:v>
      </x:c>
      <x:c r="E7" s="24" t="str">
        <x:v>Marine pelagic fishes not identified</x:v>
      </x:c>
      <x:c r="F7" s="24" t="str">
        <x:v>Pelagic fishes</x:v>
      </x:c>
      <x:c r="G7" s="24" t="str">
        <x:v>Medium pelagics (30 - 89 cm)</x:v>
      </x:c>
      <x:c r="H7" s="24" t="str">
        <x:v>Other fishes &amp; inverts</x:v>
      </x:c>
      <x:c r="I7" s="31" t="n">
        <x:v>17.977059842000003</x:v>
      </x:c>
      <x:c r="J7" s="31" t="n">
        <x:v>17.977059842000003</x:v>
      </x:c>
      <x:c r="K7" s="31" t="n">
        <x:v>0</x:v>
      </x:c>
      <x:c r="L7" s="31" t="n">
        <x:v>11.317059842</x:v>
      </x:c>
      <x:c r="M7" s="31" t="n">
        <x:v>6.66</x:v>
      </x:c>
      <x:c r="N7" s="24" t="str">
        <x:v>marine pelagic fishes not identified</x:v>
      </x:c>
      <x:c r="O7" s="32" t="n">
        <x:v>3.35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Marine pelagic fishes not identified</x:v>
      </x:c>
      <x:c r="T7" s="32" t="n">
        <x:f>IF(O7="","",(1/'Metadata'!$B$5)^(O7-1))</x:f>
        <x:v>223.872113856834</x:v>
      </x:c>
      <x:c r="U7" s="31" t="n">
        <x:f>IF(T7="","",I7*T7)</x:f>
        <x:v>4024.562387759343</x:v>
      </x:c>
    </x:row>
    <x:row r="8" ht="18" customHeight="1">
      <x:c r="A8" s="24" t="str">
        <x:v>EEZ_251</x:v>
      </x:c>
      <x:c r="B8" s="24" t="str">
        <x:v>Mozambique Channel Isl. (France)</x:v>
      </x:c>
      <x:c r="C8" s="24" t="str">
        <x:v>EEZ</x:v>
      </x:c>
      <x:c r="D8" s="30" t="n">
        <x:v>2019</x:v>
      </x:c>
      <x:c r="E8" s="24" t="str">
        <x:v>Auxis</x:v>
      </x:c>
      <x:c r="F8" s="24" t="str">
        <x:v>Bullet and frigate tunas</x:v>
      </x:c>
      <x:c r="G8" s="24" t="str">
        <x:v>Medium pelagics (30 - 89 cm)</x:v>
      </x:c>
      <x:c r="H8" s="24" t="str">
        <x:v>Tuna &amp; billfishes</x:v>
      </x:c>
      <x:c r="I8" s="31" t="n">
        <x:v>15.1426873777</x:v>
      </x:c>
      <x:c r="J8" s="31" t="n">
        <x:v>15.1426873777</x:v>
      </x:c>
      <x:c r="K8" s="31" t="n">
        <x:v>0</x:v>
      </x:c>
      <x:c r="L8" s="31" t="n">
        <x:v>15.1426873777</x:v>
      </x:c>
      <x:c r="M8" s="31" t="n">
        <x:v>0</x:v>
      </x:c>
      <x:c r="N8" s="24" t="str">
        <x:v>auxis</x:v>
      </x:c>
      <x:c r="O8" s="32" t="n">
        <x:v>4.24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Auxis</x:v>
      </x:c>
      <x:c r="T8" s="32" t="n">
        <x:f>IF(O8="","",(1/'Metadata'!$B$5)^(O8-1))</x:f>
        <x:v>1737.8008287493763</x:v>
      </x:c>
      <x:c r="U8" s="31" t="n">
        <x:f>IF(T8="","",I8*T8)</x:f>
        <x:v>26314.97467445978</x:v>
      </x:c>
    </x:row>
    <x:row r="9" ht="18" customHeight="1">
      <x:c r="A9" s="24" t="str">
        <x:v>EEZ_251</x:v>
      </x:c>
      <x:c r="B9" s="24" t="str">
        <x:v>Mozambique Channel Isl. (France)</x:v>
      </x:c>
      <x:c r="C9" s="24" t="str">
        <x:v>EEZ</x:v>
      </x:c>
      <x:c r="D9" s="30" t="n">
        <x:v>2019</x:v>
      </x:c>
      <x:c r="E9" s="24" t="str">
        <x:v>Istiompax indica</x:v>
      </x:c>
      <x:c r="F9" s="24" t="str">
        <x:v>Black marlin</x:v>
      </x:c>
      <x:c r="G9" s="24" t="str">
        <x:v>Large pelagics (&gt;=90 cm)</x:v>
      </x:c>
      <x:c r="H9" s="24" t="str">
        <x:v>Tuna &amp; billfishes</x:v>
      </x:c>
      <x:c r="I9" s="31" t="n">
        <x:v>12.862999681</x:v>
      </x:c>
      <x:c r="J9" s="31" t="n">
        <x:v>12.862999681</x:v>
      </x:c>
      <x:c r="K9" s="31" t="n">
        <x:v>0</x:v>
      </x:c>
      <x:c r="L9" s="31" t="n">
        <x:v>12.862999681</x:v>
      </x:c>
      <x:c r="M9" s="31" t="n">
        <x:v>0</x:v>
      </x:c>
      <x:c r="N9" s="24" t="str">
        <x:v>istiompax indica</x:v>
      </x:c>
      <x:c r="O9" s="32" t="n">
        <x:v>4.5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Istiompax indica</x:v>
      </x:c>
      <x:c r="T9" s="32" t="n">
        <x:f>IF(O9="","",(1/'Metadata'!$B$5)^(O9-1))</x:f>
        <x:v>3162.2776601683795</x:v>
      </x:c>
      <x:c r="U9" s="31" t="n">
        <x:f>IF(T9="","",I9*T9)</x:f>
        <x:v>40676.37653397929</x:v>
      </x:c>
    </x:row>
    <x:row r="10" ht="18" customHeight="1">
      <x:c r="A10" s="24" t="str">
        <x:v>EEZ_251</x:v>
      </x:c>
      <x:c r="B10" s="24" t="str">
        <x:v>Mozambique Channel Isl. (France)</x:v>
      </x:c>
      <x:c r="C10" s="24" t="str">
        <x:v>EEZ</x:v>
      </x:c>
      <x:c r="D10" s="30" t="n">
        <x:v>2019</x:v>
      </x:c>
      <x:c r="E10" s="24" t="str">
        <x:v>Scombridae</x:v>
      </x:c>
      <x:c r="F10" s="24" t="str">
        <x:v>Mackerels, tunas, bonitos</x:v>
      </x:c>
      <x:c r="G10" s="24" t="str">
        <x:v>Medium pelagics (30 - 89 cm)</x:v>
      </x:c>
      <x:c r="H10" s="24" t="str">
        <x:v>Perch-likes</x:v>
      </x:c>
      <x:c r="I10" s="31" t="n">
        <x:v>12.767317709100002</x:v>
      </x:c>
      <x:c r="J10" s="31" t="n">
        <x:v>12.767317709100002</x:v>
      </x:c>
      <x:c r="K10" s="31" t="n">
        <x:v>0</x:v>
      </x:c>
      <x:c r="L10" s="31" t="n">
        <x:v>0</x:v>
      </x:c>
      <x:c r="M10" s="31" t="n">
        <x:v>12.767317709100002</x:v>
      </x:c>
      <x:c r="N10" s="24" t="str">
        <x:v>scombridae</x:v>
      </x:c>
      <x:c r="O10" s="32" t="n">
        <x:v>4.26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Scombridae</x:v>
      </x:c>
      <x:c r="T10" s="32" t="n">
        <x:f>IF(O10="","",(1/'Metadata'!$B$5)^(O10-1))</x:f>
        <x:v>1819.7008586099826</x:v>
      </x:c>
      <x:c r="U10" s="31" t="n">
        <x:f>IF(T10="","",I10*T10)</x:f>
        <x:v>23232.69899739571</x:v>
      </x:c>
    </x:row>
    <x:row r="11" ht="18" customHeight="1">
      <x:c r="A11" s="24" t="str">
        <x:v>EEZ_251</x:v>
      </x:c>
      <x:c r="B11" s="24" t="str">
        <x:v>Mozambique Channel Isl. (France)</x:v>
      </x:c>
      <x:c r="C11" s="24" t="str">
        <x:v>EEZ</x:v>
      </x:c>
      <x:c r="D11" s="30" t="n">
        <x:v>2019</x:v>
      </x:c>
      <x:c r="E11" s="24" t="str">
        <x:v>Carcharhinus longimanus</x:v>
      </x:c>
      <x:c r="F11" s="24" t="str">
        <x:v>Oceanic whitetip shark</x:v>
      </x:c>
      <x:c r="G11" s="24" t="str">
        <x:v>Large sharks (&gt;=90 cm)</x:v>
      </x:c>
      <x:c r="H11" s="24" t="str">
        <x:v>Sharks &amp; rays</x:v>
      </x:c>
      <x:c r="I11" s="31" t="n">
        <x:v>12.432</x:v>
      </x:c>
      <x:c r="J11" s="31" t="n">
        <x:v>12.432</x:v>
      </x:c>
      <x:c r="K11" s="31" t="n">
        <x:v>0</x:v>
      </x:c>
      <x:c r="L11" s="31" t="n">
        <x:v>0</x:v>
      </x:c>
      <x:c r="M11" s="31" t="n">
        <x:v>12.432</x:v>
      </x:c>
      <x:c r="N11" s="24" t="str">
        <x:v>carcharhinus longimanus</x:v>
      </x:c>
      <x:c r="O11" s="32" t="n">
        <x:v>4.16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Carcharhinus longimanus</x:v>
      </x:c>
      <x:c r="T11" s="32" t="n">
        <x:f>IF(O11="","",(1/'Metadata'!$B$5)^(O11-1))</x:f>
        <x:v>1445.439770745928</x:v>
      </x:c>
      <x:c r="U11" s="31" t="n">
        <x:f>IF(T11="","",I11*T11)</x:f>
        <x:v>17969.707229913376</x:v>
      </x:c>
    </x:row>
    <x:row r="12" ht="18" customHeight="1">
      <x:c r="A12" s="24" t="str">
        <x:v>EEZ_251</x:v>
      </x:c>
      <x:c r="B12" s="24" t="str">
        <x:v>Mozambique Channel Isl. (France)</x:v>
      </x:c>
      <x:c r="C12" s="24" t="str">
        <x:v>EEZ</x:v>
      </x:c>
      <x:c r="D12" s="30" t="n">
        <x:v>2019</x:v>
      </x:c>
      <x:c r="E12" s="24" t="str">
        <x:v>Prionace glauca</x:v>
      </x:c>
      <x:c r="F12" s="24" t="str">
        <x:v>Blue shark</x:v>
      </x:c>
      <x:c r="G12" s="24" t="str">
        <x:v>Large sharks (&gt;=90 cm)</x:v>
      </x:c>
      <x:c r="H12" s="24" t="str">
        <x:v>Sharks &amp; rays</x:v>
      </x:c>
      <x:c r="I12" s="31" t="n">
        <x:v>11.0869486282</x:v>
      </x:c>
      <x:c r="J12" s="31" t="n">
        <x:v>11.0869486282</x:v>
      </x:c>
      <x:c r="K12" s="31" t="n">
        <x:v>0</x:v>
      </x:c>
      <x:c r="L12" s="31" t="n">
        <x:v>11.0869486282</x:v>
      </x:c>
      <x:c r="M12" s="31" t="n">
        <x:v>0</x:v>
      </x:c>
      <x:c r="N12" s="24" t="str">
        <x:v>prionace glauca</x:v>
      </x:c>
      <x:c r="O12" s="32" t="n">
        <x:v>4.35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Prionace glauca</x:v>
      </x:c>
      <x:c r="T12" s="32" t="n">
        <x:f>IF(O12="","",(1/'Metadata'!$B$5)^(O12-1))</x:f>
        <x:v>2238.7211385683377</x:v>
      </x:c>
      <x:c r="U12" s="31" t="n">
        <x:f>IF(T12="","",I12*T12)</x:f>
        <x:v>24820.586256172573</x:v>
      </x:c>
    </x:row>
    <x:row r="13" ht="18" customHeight="1">
      <x:c r="A13" s="24" t="str">
        <x:v>EEZ_251</x:v>
      </x:c>
      <x:c r="B13" s="24" t="str">
        <x:v>Mozambique Channel Isl. (France)</x:v>
      </x:c>
      <x:c r="C13" s="24" t="str">
        <x:v>EEZ</x:v>
      </x:c>
      <x:c r="D13" s="30" t="n">
        <x:v>2019</x:v>
      </x:c>
      <x:c r="E13" s="24" t="str">
        <x:v>Sphyraenidae</x:v>
      </x:c>
      <x:c r="F13" s="24" t="str">
        <x:v>Barracudas</x:v>
      </x:c>
      <x:c r="G13" s="24" t="str">
        <x:v>Medium reef assoc. fish (30 - 89 cm)</x:v>
      </x:c>
      <x:c r="H13" s="24" t="str">
        <x:v>Perch-likes</x:v>
      </x:c>
      <x:c r="I13" s="31" t="n">
        <x:v>8.327317709099999</x:v>
      </x:c>
      <x:c r="J13" s="31" t="n">
        <x:v>8.327317709099999</x:v>
      </x:c>
      <x:c r="K13" s="31" t="n">
        <x:v>0</x:v>
      </x:c>
      <x:c r="L13" s="31" t="n">
        <x:v>0</x:v>
      </x:c>
      <x:c r="M13" s="31" t="n">
        <x:v>8.327317709099999</x:v>
      </x:c>
      <x:c r="N13" s="24" t="str">
        <x:v>sphyraenidae</x:v>
      </x:c>
      <x:c r="O13" s="32" t="n">
        <x:v>4.4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Sphyraenidae</x:v>
      </x:c>
      <x:c r="T13" s="32" t="n">
        <x:f>IF(O13="","",(1/'Metadata'!$B$5)^(O13-1))</x:f>
        <x:v>2511.886431509582</x:v>
      </x:c>
      <x:c r="U13" s="31" t="n">
        <x:f>IF(T13="","",I13*T13)</x:f>
        <x:v>20917.276364357745</x:v>
      </x:c>
    </x:row>
    <x:row r="14" ht="18" customHeight="1">
      <x:c r="A14" s="24" t="str">
        <x:v>EEZ_251</x:v>
      </x:c>
      <x:c r="B14" s="24" t="str">
        <x:v>Mozambique Channel Isl. (France)</x:v>
      </x:c>
      <x:c r="C14" s="24" t="str">
        <x:v>EEZ</x:v>
      </x:c>
      <x:c r="D14" s="30" t="n">
        <x:v>2019</x:v>
      </x:c>
      <x:c r="E14" s="24" t="str">
        <x:v>Serranidae</x:v>
      </x:c>
      <x:c r="F14" s="24" t="str">
        <x:v>Basses, groupers, hinds</x:v>
      </x:c>
      <x:c r="G14" s="24" t="str">
        <x:v>Medium reef assoc. fish (30 - 89 cm)</x:v>
      </x:c>
      <x:c r="H14" s="24" t="str">
        <x:v>Perch-likes</x:v>
      </x:c>
      <x:c r="I14" s="31" t="n">
        <x:v>8.327317709099999</x:v>
      </x:c>
      <x:c r="J14" s="31" t="n">
        <x:v>8.327317709099999</x:v>
      </x:c>
      <x:c r="K14" s="31" t="n">
        <x:v>0</x:v>
      </x:c>
      <x:c r="L14" s="31" t="n">
        <x:v>0</x:v>
      </x:c>
      <x:c r="M14" s="31" t="n">
        <x:v>8.327317709099999</x:v>
      </x:c>
      <x:c r="N14" s="24" t="str">
        <x:v>serranidae</x:v>
      </x:c>
      <x:c r="O14" s="32" t="n">
        <x:v>3.98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Serranidae</x:v>
      </x:c>
      <x:c r="T14" s="32" t="n">
        <x:f>IF(O14="","",(1/'Metadata'!$B$5)^(O14-1))</x:f>
        <x:v>954.992586021436</x:v>
      </x:c>
      <x:c r="U14" s="31" t="n">
        <x:f>IF(T14="","",I14*T14)</x:f>
        <x:v>7952.526673635508</x:v>
      </x:c>
    </x:row>
    <x:row r="15" ht="18" customHeight="1">
      <x:c r="A15" s="24" t="str">
        <x:v>EEZ_251</x:v>
      </x:c>
      <x:c r="B15" s="24" t="str">
        <x:v>Mozambique Channel Isl. (France)</x:v>
      </x:c>
      <x:c r="C15" s="24" t="str">
        <x:v>EEZ</x:v>
      </x:c>
      <x:c r="D15" s="30" t="n">
        <x:v>2019</x:v>
      </x:c>
      <x:c r="E15" s="24" t="str">
        <x:v>Coryphaena hippurus</x:v>
      </x:c>
      <x:c r="F15" s="24" t="str">
        <x:v>Common dolphinfish</x:v>
      </x:c>
      <x:c r="G15" s="24" t="str">
        <x:v>Large pelagics (&gt;=90 cm)</x:v>
      </x:c>
      <x:c r="H15" s="24" t="str">
        <x:v>Perch-likes</x:v>
      </x:c>
      <x:c r="I15" s="31" t="n">
        <x:v>7.426089747700001</x:v>
      </x:c>
      <x:c r="J15" s="31" t="n">
        <x:v>7.426089747700001</x:v>
      </x:c>
      <x:c r="K15" s="31" t="n">
        <x:v>0</x:v>
      </x:c>
      <x:c r="L15" s="31" t="n">
        <x:v>7.426089747700001</x:v>
      </x:c>
      <x:c r="M15" s="31" t="n">
        <x:v>0</x:v>
      </x:c>
      <x:c r="N15" s="24" t="str">
        <x:v>coryphaena hippurus</x:v>
      </x:c>
      <x:c r="O15" s="32" t="n">
        <x:v>4.37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Coryphaena hippurus</x:v>
      </x:c>
      <x:c r="T15" s="32" t="n">
        <x:f>IF(O15="","",(1/'Metadata'!$B$5)^(O15-1))</x:f>
        <x:v>2344.228815319923</x:v>
      </x:c>
      <x:c r="U15" s="31" t="n">
        <x:f>IF(T15="","",I15*T15)</x:f>
        <x:v>17408.453571710197</x:v>
      </x:c>
    </x:row>
    <x:row r="16" ht="18" customHeight="1">
      <x:c r="A16" s="24" t="str">
        <x:v>EEZ_251</x:v>
      </x:c>
      <x:c r="B16" s="24" t="str">
        <x:v>Mozambique Channel Isl. (France)</x:v>
      </x:c>
      <x:c r="C16" s="24" t="str">
        <x:v>EEZ</x:v>
      </x:c>
      <x:c r="D16" s="30" t="n">
        <x:v>2019</x:v>
      </x:c>
      <x:c r="E16" s="24" t="str">
        <x:v>Lutjanidae</x:v>
      </x:c>
      <x:c r="F16" s="24" t="str">
        <x:v>Snappers</x:v>
      </x:c>
      <x:c r="G16" s="24" t="str">
        <x:v>Medium reef assoc. fish (30 - 89 cm)</x:v>
      </x:c>
      <x:c r="H16" s="24" t="str">
        <x:v>Perch-likes</x:v>
      </x:c>
      <x:c r="I16" s="31" t="n">
        <x:v>6.66</x:v>
      </x:c>
      <x:c r="J16" s="31" t="n">
        <x:v>6.66</x:v>
      </x:c>
      <x:c r="K16" s="31" t="n">
        <x:v>0</x:v>
      </x:c>
      <x:c r="L16" s="31" t="n">
        <x:v>0</x:v>
      </x:c>
      <x:c r="M16" s="31" t="n">
        <x:v>6.66</x:v>
      </x:c>
      <x:c r="N16" s="24" t="str">
        <x:v>lutjanidae</x:v>
      </x:c>
      <x:c r="O16" s="32" t="n">
        <x:v>4.02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Lutjanidae</x:v>
      </x:c>
      <x:c r="T16" s="32" t="n">
        <x:f>IF(O16="","",(1/'Metadata'!$B$5)^(O16-1))</x:f>
        <x:v>1047.1285480508984</x:v>
      </x:c>
      <x:c r="U16" s="31" t="n">
        <x:f>IF(T16="","",I16*T16)</x:f>
        <x:v>6973.8761300189835</x:v>
      </x:c>
    </x:row>
    <x:row r="17" ht="18" customHeight="1">
      <x:c r="A17" s="24" t="str">
        <x:v>EEZ_251</x:v>
      </x:c>
      <x:c r="B17" s="24" t="str">
        <x:v>Mozambique Channel Isl. (France)</x:v>
      </x:c>
      <x:c r="C17" s="24" t="str">
        <x:v>EEZ</x:v>
      </x:c>
      <x:c r="D17" s="30" t="n">
        <x:v>2019</x:v>
      </x:c>
      <x:c r="E17" s="24" t="str">
        <x:v>Carangidae</x:v>
      </x:c>
      <x:c r="F17" s="24" t="str">
        <x:v>Jacks, pompanos</x:v>
      </x:c>
      <x:c r="G17" s="24" t="str">
        <x:v>Medium pelagics (30 - 89 cm)</x:v>
      </x:c>
      <x:c r="H17" s="24" t="str">
        <x:v>Perch-likes</x:v>
      </x:c>
      <x:c r="I17" s="31" t="n">
        <x:v>6.66</x:v>
      </x:c>
      <x:c r="J17" s="31" t="n">
        <x:v>6.66</x:v>
      </x:c>
      <x:c r="K17" s="31" t="n">
        <x:v>0</x:v>
      </x:c>
      <x:c r="L17" s="31" t="n">
        <x:v>0</x:v>
      </x:c>
      <x:c r="M17" s="31" t="n">
        <x:v>6.66</x:v>
      </x:c>
      <x:c r="N17" s="24" t="str">
        <x:v>carangidae</x:v>
      </x:c>
      <x:c r="O17" s="32" t="n">
        <x:v>4.05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Carangidae</x:v>
      </x:c>
      <x:c r="T17" s="32" t="n">
        <x:f>IF(O17="","",(1/'Metadata'!$B$5)^(O17-1))</x:f>
        <x:v>1122.018454301963</x:v>
      </x:c>
      <x:c r="U17" s="31" t="n">
        <x:f>IF(T17="","",I17*T17)</x:f>
        <x:v>7472.642905651073</x:v>
      </x:c>
    </x:row>
    <x:row r="18" ht="18" customHeight="1">
      <x:c r="A18" s="24" t="str">
        <x:v>EEZ_251</x:v>
      </x:c>
      <x:c r="B18" s="24" t="str">
        <x:v>Mozambique Channel Isl. (France)</x:v>
      </x:c>
      <x:c r="C18" s="24" t="str">
        <x:v>EEZ</x:v>
      </x:c>
      <x:c r="D18" s="30" t="n">
        <x:v>2019</x:v>
      </x:c>
      <x:c r="E18" s="24" t="str">
        <x:v>Elasmobranchii</x:v>
      </x:c>
      <x:c r="F18" s="24" t="str">
        <x:v>Sharks, rays, skates</x:v>
      </x:c>
      <x:c r="G18" s="24" t="str">
        <x:v>Large sharks (&gt;=90 cm)</x:v>
      </x:c>
      <x:c r="H18" s="24" t="str">
        <x:v>Sharks &amp; rays</x:v>
      </x:c>
      <x:c r="I18" s="31" t="n">
        <x:v>4.775317709099999</x:v>
      </x:c>
      <x:c r="J18" s="31" t="n">
        <x:v>4.775317709099999</x:v>
      </x:c>
      <x:c r="K18" s="31" t="n">
        <x:v>0</x:v>
      </x:c>
      <x:c r="L18" s="31" t="n">
        <x:v>0</x:v>
      </x:c>
      <x:c r="M18" s="31" t="n">
        <x:v>4.775317709099999</x:v>
      </x:c>
      <x:c r="N18" s="24" t="str">
        <x:v>elasmobranchii</x:v>
      </x:c>
      <x:c r="O18" s="32" t="n">
        <x:v>4.05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Elasmobranchii</x:v>
      </x:c>
      <x:c r="T18" s="32" t="n">
        <x:f>IF(O18="","",(1/'Metadata'!$B$5)^(O18-1))</x:f>
        <x:v>1122.018454301963</x:v>
      </x:c>
      <x:c r="U18" s="31" t="n">
        <x:f>IF(T18="","",I18*T18)</x:f>
        <x:v>5357.994594765172</x:v>
      </x:c>
    </x:row>
    <x:row r="19" ht="18" customHeight="1">
      <x:c r="A19" s="24" t="str">
        <x:v>EEZ_251</x:v>
      </x:c>
      <x:c r="B19" s="24" t="str">
        <x:v>Mozambique Channel Isl. (France)</x:v>
      </x:c>
      <x:c r="C19" s="24" t="str">
        <x:v>EEZ</x:v>
      </x:c>
      <x:c r="D19" s="30" t="n">
        <x:v>2019</x:v>
      </x:c>
      <x:c r="E19" s="24" t="str">
        <x:v>Isurus oxyrinchus</x:v>
      </x:c>
      <x:c r="F19" s="24" t="str">
        <x:v>Shortfin mako</x:v>
      </x:c>
      <x:c r="G19" s="24" t="str">
        <x:v>Large sharks (&gt;=90 cm)</x:v>
      </x:c>
      <x:c r="H19" s="24" t="str">
        <x:v>Sharks &amp; rays</x:v>
      </x:c>
      <x:c r="I19" s="31" t="n">
        <x:v>2.8200713738</x:v>
      </x:c>
      <x:c r="J19" s="31" t="n">
        <x:v>2.8200713738</x:v>
      </x:c>
      <x:c r="K19" s="31" t="n">
        <x:v>0</x:v>
      </x:c>
      <x:c r="L19" s="31" t="n">
        <x:v>2.8200713738</x:v>
      </x:c>
      <x:c r="M19" s="31" t="n">
        <x:v>0</x:v>
      </x:c>
      <x:c r="N19" s="24" t="str">
        <x:v>isurus oxyrinchus</x:v>
      </x:c>
      <x:c r="O19" s="32" t="n">
        <x:v>4.5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Isurus oxyrinchus</x:v>
      </x:c>
      <x:c r="T19" s="32" t="n">
        <x:f>IF(O19="","",(1/'Metadata'!$B$5)^(O19-1))</x:f>
        <x:v>3162.2776601683795</x:v>
      </x:c>
      <x:c r="U19" s="31" t="n">
        <x:f>IF(T19="","",I19*T19)</x:f>
        <x:v>8917.84870544809</x:v>
      </x:c>
    </x:row>
    <x:row r="20" ht="18" customHeight="1">
      <x:c r="A20" s="24" t="str">
        <x:v>EEZ_251</x:v>
      </x:c>
      <x:c r="B20" s="24" t="str">
        <x:v>Mozambique Channel Isl. (France)</x:v>
      </x:c>
      <x:c r="C20" s="24" t="str">
        <x:v>EEZ</x:v>
      </x:c>
      <x:c r="D20" s="30" t="n">
        <x:v>2019</x:v>
      </x:c>
      <x:c r="E20" s="24" t="str">
        <x:v>Tetrapturus angustirostris</x:v>
      </x:c>
      <x:c r="F20" s="24" t="str">
        <x:v>Shortbill spearfish</x:v>
      </x:c>
      <x:c r="G20" s="24" t="str">
        <x:v>Large pelagics (&gt;=90 cm)</x:v>
      </x:c>
      <x:c r="H20" s="24" t="str">
        <x:v>Tuna &amp; billfishes</x:v>
      </x:c>
      <x:c r="I20" s="31" t="n">
        <x:v>2.248999953</x:v>
      </x:c>
      <x:c r="J20" s="31" t="n">
        <x:v>2.248999953</x:v>
      </x:c>
      <x:c r="K20" s="31" t="n">
        <x:v>0</x:v>
      </x:c>
      <x:c r="L20" s="31" t="n">
        <x:v>2.248999953</x:v>
      </x:c>
      <x:c r="M20" s="31" t="n">
        <x:v>0</x:v>
      </x:c>
      <x:c r="N20" s="24" t="str">
        <x:v>tetrapturus angustirostris</x:v>
      </x:c>
      <x:c r="O20" s="32" t="n">
        <x:v>4.5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Tetrapturus angustirostris</x:v>
      </x:c>
      <x:c r="T20" s="32" t="n">
        <x:f>IF(O20="","",(1/'Metadata'!$B$5)^(O20-1))</x:f>
        <x:v>3162.2776601683795</x:v>
      </x:c>
      <x:c r="U20" s="31" t="n">
        <x:f>IF(T20="","",I20*T20)</x:f>
        <x:v>7111.962309091637</x:v>
      </x:c>
    </x:row>
    <x:row r="21" ht="18" customHeight="1">
      <x:c r="A21" s="24" t="str">
        <x:v>EEZ_251</x:v>
      </x:c>
      <x:c r="B21" s="24" t="str">
        <x:v>Mozambique Channel Isl. (France)</x:v>
      </x:c>
      <x:c r="C21" s="24" t="str">
        <x:v>EEZ</x:v>
      </x:c>
      <x:c r="D21" s="30" t="n">
        <x:v>2019</x:v>
      </x:c>
      <x:c r="E21" s="24" t="str">
        <x:v>Istiophorus platypterus</x:v>
      </x:c>
      <x:c r="F21" s="24" t="str">
        <x:v>Indo-Pacific sailfish</x:v>
      </x:c>
      <x:c r="G21" s="24" t="str">
        <x:v>Large pelagics (&gt;=90 cm)</x:v>
      </x:c>
      <x:c r="H21" s="24" t="str">
        <x:v>Tuna &amp; billfishes</x:v>
      </x:c>
      <x:c r="I21" s="31" t="n">
        <x:v>1.9543749687999998</x:v>
      </x:c>
      <x:c r="J21" s="31" t="n">
        <x:v>1.9543749687999998</x:v>
      </x:c>
      <x:c r="K21" s="31" t="n">
        <x:v>0</x:v>
      </x:c>
      <x:c r="L21" s="31" t="n">
        <x:v>1.9543749687999998</x:v>
      </x:c>
      <x:c r="M21" s="31" t="n">
        <x:v>0</x:v>
      </x:c>
      <x:c r="N21" s="24" t="str">
        <x:v>istiophorus platypterus</x:v>
      </x:c>
      <x:c r="O21" s="32" t="n">
        <x:v>4.5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Istiophorus platypterus</x:v>
      </x:c>
      <x:c r="T21" s="32" t="n">
        <x:f>IF(O21="","",(1/'Metadata'!$B$5)^(O21-1))</x:f>
        <x:v>3162.2776601683795</x:v>
      </x:c>
      <x:c r="U21" s="31" t="n">
        <x:f>IF(T21="","",I21*T21)</x:f>
        <x:v>6180.2763034285135</x:v>
      </x:c>
    </x:row>
    <x:row r="22" ht="18" customHeight="1">
      <x:c r="A22" s="24" t="str">
        <x:v>EEZ_251</x:v>
      </x:c>
      <x:c r="B22" s="24" t="str">
        <x:v>Mozambique Channel Isl. (France)</x:v>
      </x:c>
      <x:c r="C22" s="24" t="str">
        <x:v>EEZ</x:v>
      </x:c>
      <x:c r="D22" s="30" t="n">
        <x:v>2019</x:v>
      </x:c>
      <x:c r="E22" s="24" t="str">
        <x:v>Acanthocybium solandri</x:v>
      </x:c>
      <x:c r="F22" s="24" t="str">
        <x:v>Wahoo</x:v>
      </x:c>
      <x:c r="G22" s="24" t="str">
        <x:v>Large pelagics (&gt;=90 cm)</x:v>
      </x:c>
      <x:c r="H22" s="24" t="str">
        <x:v>Perch-likes</x:v>
      </x:c>
      <x:c r="I22" s="31" t="n">
        <x:v>1.7815596891</x:v>
      </x:c>
      <x:c r="J22" s="31" t="n">
        <x:v>1.7130824691</x:v>
      </x:c>
      <x:c r="K22" s="31" t="n">
        <x:v>0.06847722</x:v>
      </x:c>
      <x:c r="L22" s="31" t="n">
        <x:v>1.7130824691</x:v>
      </x:c>
      <x:c r="M22" s="31" t="n">
        <x:v>0.06847722</x:v>
      </x:c>
      <x:c r="N22" s="24" t="str">
        <x:v>acanthocybium solandri</x:v>
      </x:c>
      <x:c r="O22" s="32" t="n">
        <x:v>4.26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Acanthocybium solandri</x:v>
      </x:c>
      <x:c r="T22" s="32" t="n">
        <x:f>IF(O22="","",(1/'Metadata'!$B$5)^(O22-1))</x:f>
        <x:v>1819.7008586099826</x:v>
      </x:c>
      <x:c r="U22" s="31" t="n">
        <x:f>IF(T22="","",I22*T22)</x:f>
        <x:v>3241.905695920204</x:v>
      </x:c>
    </x:row>
    <x:row r="23" ht="18" customHeight="1">
      <x:c r="A23" s="24" t="str">
        <x:v>EEZ_251</x:v>
      </x:c>
      <x:c r="B23" s="24" t="str">
        <x:v>Mozambique Channel Isl. (France)</x:v>
      </x:c>
      <x:c r="C23" s="24" t="str">
        <x:v>EEZ</x:v>
      </x:c>
      <x:c r="D23" s="30" t="n">
        <x:v>2019</x:v>
      </x:c>
      <x:c r="E23" s="24" t="str">
        <x:v>Thunnus alalunga</x:v>
      </x:c>
      <x:c r="F23" s="24" t="str">
        <x:v>Albacore</x:v>
      </x:c>
      <x:c r="G23" s="24" t="str">
        <x:v>Large pelagics (&gt;=90 cm)</x:v>
      </x:c>
      <x:c r="H23" s="24" t="str">
        <x:v>Tuna &amp; billfishes</x:v>
      </x:c>
      <x:c r="I23" s="31" t="n">
        <x:v>1</x:v>
      </x:c>
      <x:c r="J23" s="31" t="n">
        <x:v>1</x:v>
      </x:c>
      <x:c r="K23" s="31" t="n">
        <x:v>0</x:v>
      </x:c>
      <x:c r="L23" s="31" t="n">
        <x:v>1</x:v>
      </x:c>
      <x:c r="M23" s="31" t="n">
        <x:v>0</x:v>
      </x:c>
      <x:c r="N23" s="24" t="str">
        <x:v>thunnus alalunga</x:v>
      </x:c>
      <x:c r="O23" s="32" t="n">
        <x:v>4.3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Thunnus alalunga</x:v>
      </x:c>
      <x:c r="T23" s="32" t="n">
        <x:f>IF(O23="","",(1/'Metadata'!$B$5)^(O23-1))</x:f>
        <x:v>1995.2623149688789</x:v>
      </x:c>
      <x:c r="U23" s="31" t="n">
        <x:f>IF(T23="","",I23*T23)</x:f>
        <x:v>1995.2623149688789</x:v>
      </x:c>
    </x:row>
    <x:row r="24" ht="18" customHeight="1">
      <x:c r="A24" s="24" t="str">
        <x:v>EEZ_251</x:v>
      </x:c>
      <x:c r="B24" s="24" t="str">
        <x:v>Mozambique Channel Isl. (France)</x:v>
      </x:c>
      <x:c r="C24" s="24" t="str">
        <x:v>EEZ</x:v>
      </x:c>
      <x:c r="D24" s="30" t="n">
        <x:v>2019</x:v>
      </x:c>
      <x:c r="E24" s="24" t="str">
        <x:v>Isurus</x:v>
      </x:c>
      <x:c r="F24" s="24" t="str">
        <x:v>Mako sharks</x:v>
      </x:c>
      <x:c r="G24" s="24" t="str">
        <x:v>Large sharks (&gt;=90 cm)</x:v>
      </x:c>
      <x:c r="H24" s="24" t="str">
        <x:v>Sharks &amp; rays</x:v>
      </x:c>
      <x:c r="I24" s="31" t="n">
        <x:v>0.9582901967</x:v>
      </x:c>
      <x:c r="J24" s="31" t="n">
        <x:v>0.9582901967</x:v>
      </x:c>
      <x:c r="K24" s="31" t="n">
        <x:v>0</x:v>
      </x:c>
      <x:c r="L24" s="31" t="n">
        <x:v>0.9582901967</x:v>
      </x:c>
      <x:c r="M24" s="31" t="n">
        <x:v>0</x:v>
      </x:c>
      <x:c r="N24" s="24" t="str">
        <x:v>isurus</x:v>
      </x:c>
      <x:c r="O24" s="32" t="n">
        <x:v>4.5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Isurus</x:v>
      </x:c>
      <x:c r="T24" s="32" t="n">
        <x:f>IF(O24="","",(1/'Metadata'!$B$5)^(O24-1))</x:f>
        <x:v>3162.2776601683795</x:v>
      </x:c>
      <x:c r="U24" s="31" t="n">
        <x:f>IF(T24="","",I24*T24)</x:f>
        <x:v>3030.3796809827722</x:v>
      </x:c>
    </x:row>
    <x:row r="25" ht="18" customHeight="1">
      <x:c r="A25" s="24" t="str">
        <x:v>EEZ_251</x:v>
      </x:c>
      <x:c r="B25" s="24" t="str">
        <x:v>Mozambique Channel Isl. (France)</x:v>
      </x:c>
      <x:c r="C25" s="24" t="str">
        <x:v>EEZ</x:v>
      </x:c>
      <x:c r="D25" s="30" t="n">
        <x:v>2019</x:v>
      </x:c>
      <x:c r="E25" s="24" t="str">
        <x:v>Scomberomorus commerson</x:v>
      </x:c>
      <x:c r="F25" s="24" t="str">
        <x:v>Narrow-barred Spanish mackerel</x:v>
      </x:c>
      <x:c r="G25" s="24" t="str">
        <x:v>Large pelagics (&gt;=90 cm)</x:v>
      </x:c>
      <x:c r="H25" s="24" t="str">
        <x:v>Perch-likes</x:v>
      </x:c>
      <x:c r="I25" s="31" t="n">
        <x:v>0.8510919361</x:v>
      </x:c>
      <x:c r="J25" s="31" t="n">
        <x:v>0.8510919361</x:v>
      </x:c>
      <x:c r="K25" s="31" t="n">
        <x:v>0</x:v>
      </x:c>
      <x:c r="L25" s="31" t="n">
        <x:v>0.8510919361</x:v>
      </x:c>
      <x:c r="M25" s="31" t="n">
        <x:v>0</x:v>
      </x:c>
      <x:c r="N25" s="24" t="str">
        <x:v>scomberomorus commerson</x:v>
      </x:c>
      <x:c r="O25" s="32" t="n">
        <x:v>4.5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Scomberomorus commerson</x:v>
      </x:c>
      <x:c r="T25" s="32" t="n">
        <x:f>IF(O25="","",(1/'Metadata'!$B$5)^(O25-1))</x:f>
        <x:v>3162.2776601683795</x:v>
      </x:c>
      <x:c r="U25" s="31" t="n">
        <x:f>IF(T25="","",I25*T25)</x:f>
        <x:v>2691.389016278484</x:v>
      </x:c>
    </x:row>
    <x:row r="26" ht="18" customHeight="1">
      <x:c r="A26" s="24" t="str">
        <x:v>EEZ_251</x:v>
      </x:c>
      <x:c r="B26" s="24" t="str">
        <x:v>Mozambique Channel Isl. (France)</x:v>
      </x:c>
      <x:c r="C26" s="24" t="str">
        <x:v>EEZ</x:v>
      </x:c>
      <x:c r="D26" s="30" t="n">
        <x:v>2019</x:v>
      </x:c>
      <x:c r="E26" s="24" t="str">
        <x:v>Katsuwonus pelamis</x:v>
      </x:c>
      <x:c r="F26" s="24" t="str">
        <x:v>Skipjack tuna</x:v>
      </x:c>
      <x:c r="G26" s="24" t="str">
        <x:v>Large pelagics (&gt;=90 cm)</x:v>
      </x:c>
      <x:c r="H26" s="24" t="str">
        <x:v>Tuna &amp; billfishes</x:v>
      </x:c>
      <x:c r="I26" s="31" t="n">
        <x:v>0.518058433</x:v>
      </x:c>
      <x:c r="J26" s="31" t="n">
        <x:v>0.518058433</x:v>
      </x:c>
      <x:c r="K26" s="31" t="n">
        <x:v>0</x:v>
      </x:c>
      <x:c r="L26" s="31" t="n">
        <x:v>0.518058433</x:v>
      </x:c>
      <x:c r="M26" s="31" t="n">
        <x:v>0</x:v>
      </x:c>
      <x:c r="N26" s="24" t="str">
        <x:v>katsuwonus pelamis</x:v>
      </x:c>
      <x:c r="O26" s="32" t="n">
        <x:v>4.43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Katsuwonus pelamis</x:v>
      </x:c>
      <x:c r="T26" s="32" t="n">
        <x:f>IF(O26="","",(1/'Metadata'!$B$5)^(O26-1))</x:f>
        <x:v>2691.534803926914</x:v>
      </x:c>
      <x:c r="U26" s="31" t="n">
        <x:f>IF(T26="","",I26*T26)</x:f>
        <x:v>1394.3723028873392</x:v>
      </x:c>
    </x:row>
    <x:row r="27" ht="18" customHeight="1">
      <x:c r="A27" s="24" t="str">
        <x:v>EEZ_251</x:v>
      </x:c>
      <x:c r="B27" s="24" t="str">
        <x:v>Mozambique Channel Isl. (France)</x:v>
      </x:c>
      <x:c r="C27" s="24" t="str">
        <x:v>EEZ</x:v>
      </x:c>
      <x:c r="D27" s="30" t="n">
        <x:v>2019</x:v>
      </x:c>
      <x:c r="E27" s="24" t="str">
        <x:v>Scombroidei</x:v>
      </x:c>
      <x:c r="F27" s="24" t="str">
        <x:v>Tunas, bonitos, billfishes</x:v>
      </x:c>
      <x:c r="G27" s="24" t="str">
        <x:v>Large pelagics (&gt;=90 cm)</x:v>
      </x:c>
      <x:c r="H27" s="24" t="str">
        <x:v>Tuna &amp; billfishes</x:v>
      </x:c>
      <x:c r="I27" s="31" t="n">
        <x:v>0.280000001</x:v>
      </x:c>
      <x:c r="J27" s="31" t="n">
        <x:v>0.280000001</x:v>
      </x:c>
      <x:c r="K27" s="31" t="n">
        <x:v>0</x:v>
      </x:c>
      <x:c r="L27" s="31" t="n">
        <x:v>0.280000001</x:v>
      </x:c>
      <x:c r="M27" s="31" t="n">
        <x:v>0</x:v>
      </x:c>
      <x:c r="N27" s="24" t="str">
        <x:v>scombroidei</x:v>
      </x:c>
      <x:c r="O27" s="32" t="n">
        <x:v>4.2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Scombroidei</x:v>
      </x:c>
      <x:c r="T27" s="32" t="n">
        <x:f>IF(O27="","",(1/'Metadata'!$B$5)^(O27-1))</x:f>
        <x:v>1584.893192461114</x:v>
      </x:c>
      <x:c r="U27" s="31" t="n">
        <x:f>IF(T27="","",I27*T27)</x:f>
        <x:v>443.77009547400513</x:v>
      </x:c>
    </x:row>
    <x:row r="28" ht="18" customHeight="1">
      <x:c r="A28" s="24" t="str">
        <x:v>EEZ_251</x:v>
      </x:c>
      <x:c r="B28" s="24" t="str">
        <x:v>Mozambique Channel Isl. (France)</x:v>
      </x:c>
      <x:c r="C28" s="24" t="str">
        <x:v>EEZ</x:v>
      </x:c>
      <x:c r="D28" s="30" t="n">
        <x:v>2019</x:v>
      </x:c>
      <x:c r="E28" s="24" t="str">
        <x:v>Kajikia audax</x:v>
      </x:c>
      <x:c r="F28" s="24" t="str">
        <x:v>Striped marlin</x:v>
      </x:c>
      <x:c r="G28" s="24" t="str">
        <x:v>Large pelagics (&gt;=90 cm)</x:v>
      </x:c>
      <x:c r="H28" s="24" t="str">
        <x:v>Tuna &amp; billfishes</x:v>
      </x:c>
      <x:c r="I28" s="31" t="n">
        <x:v>0.218999997</x:v>
      </x:c>
      <x:c r="J28" s="31" t="n">
        <x:v>0.218999997</x:v>
      </x:c>
      <x:c r="K28" s="31" t="n">
        <x:v>0</x:v>
      </x:c>
      <x:c r="L28" s="31" t="n">
        <x:v>0.218999997</x:v>
      </x:c>
      <x:c r="M28" s="31" t="n">
        <x:v>0</x:v>
      </x:c>
      <x:c r="N28" s="24" t="str">
        <x:v>kajikia audax</x:v>
      </x:c>
      <x:c r="O28" s="32" t="n">
        <x:v>4.58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Kajikia audax</x:v>
      </x:c>
      <x:c r="T28" s="32" t="n">
        <x:f>IF(O28="","",(1/'Metadata'!$B$5)^(O28-1))</x:f>
        <x:v>3801.8939632056126</x:v>
      </x:c>
      <x:c r="U28" s="31" t="n">
        <x:f>IF(T28="","",I28*T28)</x:f>
        <x:v>832.6147665363472</x:v>
      </x:c>
    </x:row>
  </x:sheetData>
  <x:conditionalFormatting sqref="R2:R2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49ca6d9cd0cd456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Other fishes &amp; inverts</x:v>
      </x:c>
      <x:c r="B2" s="33" t="n">
        <x:v>2</x:v>
      </x:c>
      <x:c r="C2" s="33" t="n">
        <x:v>2</x:v>
      </x:c>
      <x:c r="D2" s="31" t="n">
        <x:v>42.0245751981</x:v>
      </x:c>
      <x:c r="E2" s="31" t="n">
        <x:v>42.0245751981</x:v>
      </x:c>
      <x:c r="F2" s="32" t="n">
        <x:v>0</x:v>
      </x:c>
      <x:c r="G2" s="34" t="n">
        <x:v>1</x:v>
      </x:c>
      <x:c r="H2" s="32" t="n">
        <x:f>IF(E2=0,"",I2/E2)</x:f>
        <x:v>204.80211720772172</x:v>
      </x:c>
      <x:c r="I2" s="31" t="n">
        <x:f>IF(C2=0,"",SUMIF('Species'!$H$2:$H$28,A2,'Species'!$U$2:$U$28))</x:f>
        <x:v>8606.721975325992</x:v>
      </x:c>
      <x:c r="J2" s="32" t="n">
        <x:v>3.3099442453137966</x:v>
      </x:c>
      <x:c r="K2" s="32" t="n">
        <x:f>IF(J2="","",(1/'Metadata'!$B$5)^(J2-1))</x:f>
        <x:v>204.14758433619755</x:v>
      </x:c>
      <x:c r="L2" s="31" t="n">
        <x:f>IF(E2=0,"",E2*K2)</x:f>
        <x:v>8579.215509446996</x:v>
      </x:c>
      <x:c r="M2" s="31" t="n">
        <x:f>IF(E2=0,"",I2-L2)</x:f>
        <x:v>27.506465878996096</x:v>
      </x:c>
      <x:c r="N2" s="32" t="n">
        <x:f>IF(L2=0,"",I2/L2)</x:f>
        <x:v>1.0032061749525591</x:v>
      </x:c>
      <x:c r="O2" s="34" t="n">
        <x:f>IF(L2=0,"",M2/L2)</x:f>
        <x:v>0.0032061749525591674</x:v>
      </x:c>
    </x:row>
    <x:row r="3" ht="18" customHeight="1">
      <x:c r="A3" s="24" t="str">
        <x:v>Perch-likes</x:v>
      </x:c>
      <x:c r="B3" s="33" t="n">
        <x:v>8</x:v>
      </x:c>
      <x:c r="C3" s="33" t="n">
        <x:v>8</x:v>
      </x:c>
      <x:c r="D3" s="31" t="n">
        <x:v>52.800694500199995</x:v>
      </x:c>
      <x:c r="E3" s="31" t="n">
        <x:v>52.800694500199995</x:v>
      </x:c>
      <x:c r="F3" s="32" t="n">
        <x:v>0</x:v>
      </x:c>
      <x:c r="G3" s="34" t="n">
        <x:v>1</x:v>
      </x:c>
      <x:c r="H3" s="32" t="n">
        <x:f>IF(E3=0,"",I3/E3)</x:f>
        <x:v>1702.4542992446322</x:v>
      </x:c>
      <x:c r="I3" s="31" t="n">
        <x:f>IF(C3=0,"",SUMIF('Species'!$H$2:$H$28,A3,'Species'!$U$2:$U$28))</x:f>
        <x:v>89890.7693549679</x:v>
      </x:c>
      <x:c r="J3" s="32" t="n">
        <x:v>4.200499029944558</x:v>
      </x:c>
      <x:c r="K3" s="32" t="n">
        <x:f>IF(J3="","",(1/'Metadata'!$B$5)^(J3-1))</x:f>
        <x:v>1586.7153748043022</x:v>
      </x:c>
      <x:c r="L3" s="31" t="n">
        <x:f>IF(E3=0,"",E3*K3)</x:f>
        <x:v>83779.67376381229</x:v>
      </x:c>
      <x:c r="M3" s="31" t="n">
        <x:f>IF(E3=0,"",I3-L3)</x:f>
        <x:v>6111.095591155608</x:v>
      </x:c>
      <x:c r="N3" s="32" t="n">
        <x:f>IF(L3=0,"",I3/L3)</x:f>
        <x:v>1.0729424610602294</x:v>
      </x:c>
      <x:c r="O3" s="34" t="n">
        <x:f>IF(L3=0,"",M3/L3)</x:f>
        <x:v>0.0729424610602295</x:v>
      </x:c>
    </x:row>
    <x:row r="4" ht="18" customHeight="1">
      <x:c r="A4" s="24" t="str">
        <x:v>Sharks &amp; rays</x:v>
      </x:c>
      <x:c r="B4" s="33" t="n">
        <x:v>5</x:v>
      </x:c>
      <x:c r="C4" s="33" t="n">
        <x:v>5</x:v>
      </x:c>
      <x:c r="D4" s="31" t="n">
        <x:v>32.072627907800005</x:v>
      </x:c>
      <x:c r="E4" s="31" t="n">
        <x:v>32.072627907800005</x:v>
      </x:c>
      <x:c r="F4" s="32" t="n">
        <x:v>0</x:v>
      </x:c>
      <x:c r="G4" s="34" t="n">
        <x:v>1</x:v>
      </x:c>
      <x:c r="H4" s="32" t="n">
        <x:f>IF(E4=0,"",I4/E4)</x:f>
        <x:v>1873.7634047338736</x:v>
      </x:c>
      <x:c r="I4" s="31" t="n">
        <x:f>IF(C4=0,"",SUMIF('Species'!$H$2:$H$28,A4,'Species'!$U$2:$U$28))</x:f>
        <x:v>60096.51646728199</x:v>
      </x:c>
      <x:c r="J4" s="32" t="n">
        <x:v>4.249355890436094</x:v>
      </x:c>
      <x:c r="K4" s="32" t="n">
        <x:f>IF(J4="","",(1/'Metadata'!$B$5)^(J4-1))</x:f>
        <x:v>1775.6439682901162</x:v>
      </x:c>
      <x:c r="L4" s="31" t="n">
        <x:f>IF(E4=0,"",E4*K4)</x:f>
        <x:v>56949.56829169833</x:v>
      </x:c>
      <x:c r="M4" s="31" t="n">
        <x:f>IF(E4=0,"",I4-L4)</x:f>
        <x:v>3146.9481755836605</x:v>
      </x:c>
      <x:c r="N4" s="32" t="n">
        <x:f>IF(L4=0,"",I4/L4)</x:f>
        <x:v>1.0552585080094874</x:v>
      </x:c>
      <x:c r="O4" s="34" t="n">
        <x:f>IF(L4=0,"",M4/L4)</x:f>
        <x:v>0.05525850800948738</x:v>
      </x:c>
    </x:row>
    <x:row r="5" ht="18" customHeight="1">
      <x:c r="A5" s="24" t="str">
        <x:v>Tuna &amp; billfishes</x:v>
      </x:c>
      <x:c r="B5" s="33" t="n">
        <x:v>12</x:v>
      </x:c>
      <x:c r="C5" s="33" t="n">
        <x:v>12</x:v>
      </x:c>
      <x:c r="D5" s="31" t="n">
        <x:v>3674.9442903543</x:v>
      </x:c>
      <x:c r="E5" s="31" t="n">
        <x:v>3674.9442903543</x:v>
      </x:c>
      <x:c r="F5" s="32" t="n">
        <x:v>0</x:v>
      </x:c>
      <x:c r="G5" s="34" t="n">
        <x:v>1</x:v>
      </x:c>
      <x:c r="H5" s="32" t="n">
        <x:f>IF(E5=0,"",I5/E5)</x:f>
        <x:v>2464.9860179858388</x:v>
      </x:c>
      <x:c r="I5" s="31" t="n">
        <x:f>IF(C5=0,"",SUMIF('Species'!$H$2:$H$28,A5,'Species'!$U$2:$U$28))</x:f>
        <x:v>9058686.29260024</x:v>
      </x:c>
      <x:c r="J5" s="32" t="n">
        <x:v>4.388800158301982</x:v>
      </x:c>
      <x:c r="K5" s="32" t="n">
        <x:f>IF(J5="","",(1/'Metadata'!$B$5)^(J5-1))</x:f>
        <x:v>2447.9365584780426</x:v>
      </x:c>
      <x:c r="L5" s="31" t="n">
        <x:f>IF(E5=0,"",E5*K5)</x:f>
        <x:v>8996030.478728438</x:v>
      </x:c>
      <x:c r="M5" s="31" t="n">
        <x:f>IF(E5=0,"",I5-L5)</x:f>
        <x:v>62655.81387180276</x:v>
      </x:c>
      <x:c r="N5" s="32" t="n">
        <x:f>IF(L5=0,"",I5/L5)</x:f>
        <x:v>1.0069648289898478</x:v>
      </x:c>
      <x:c r="O5" s="34" t="n">
        <x:f>IF(L5=0,"",M5/L5)</x:f>
        <x:v>0.006964828989847862</x:v>
      </x:c>
    </x:row>
  </x:sheetData>
  <x:conditionalFormatting sqref="G2:G5">
    <x:cfRule type="cellIs" dxfId="1" priority="1" operator="lessThan">
      <x:formula>0.9</x:formula>
    </x:cfRule>
  </x:conditionalFormatting>
  <x:conditionalFormatting sqref="O2:O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841d66297b694c8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pelagics (&gt;=90 cm)</x:v>
      </x:c>
      <x:c r="B2" s="33" t="n">
        <x:v>13</x:v>
      </x:c>
      <x:c r="C2" s="33" t="n">
        <x:v>13</x:v>
      </x:c>
      <x:c r="D2" s="31" t="n">
        <x:v>632.3603443494999</x:v>
      </x:c>
      <x:c r="E2" s="31" t="n">
        <x:v>632.3603443494999</x:v>
      </x:c>
      <x:c r="F2" s="32" t="n">
        <x:v>0</x:v>
      </x:c>
      <x:c r="G2" s="34" t="n">
        <x:v>1</x:v>
      </x:c>
      <x:c r="H2" s="32" t="n">
        <x:f>IF(E2=0,"",I2/E2)</x:f>
        <x:v>3060.1508411569534</x:v>
      </x:c>
      <x:c r="I2" s="31" t="n">
        <x:f>IF(C2=0,"",SUMIF('Species'!$G$2:$G$28,A2,'Species'!$U$2:$U$28))</x:f>
        <x:v>1935118.0396754227</x:v>
      </x:c>
      <x:c r="J2" s="32" t="n">
        <x:v>4.482234669344468</x:v>
      </x:c>
      <x:c r="K2" s="32" t="n">
        <x:f>IF(J2="","",(1/'Metadata'!$B$5)^(J2-1))</x:f>
        <x:v>3035.530978556076</x:v>
      </x:c>
      <x:c r="L2" s="31" t="n">
        <x:f>IF(E2=0,"",E2*K2)</x:f>
        <x:v>1919549.4148832946</x:v>
      </x:c>
      <x:c r="M2" s="31" t="n">
        <x:f>IF(E2=0,"",I2-L2)</x:f>
        <x:v>15568.624792128103</x:v>
      </x:c>
      <x:c r="N2" s="32" t="n">
        <x:f>IF(L2=0,"",I2/L2)</x:f>
        <x:v>1.0081105621305793</x:v>
      </x:c>
      <x:c r="O2" s="34" t="n">
        <x:f>IF(L2=0,"",M2/L2)</x:f>
        <x:v>0.0081105621305793</x:v>
      </x:c>
    </x:row>
    <x:row r="3" ht="18" customHeight="1">
      <x:c r="A3" s="24" t="str">
        <x:v>Large sharks (&gt;=90 cm)</x:v>
      </x:c>
      <x:c r="B3" s="33" t="n">
        <x:v>5</x:v>
      </x:c>
      <x:c r="C3" s="33" t="n">
        <x:v>5</x:v>
      </x:c>
      <x:c r="D3" s="31" t="n">
        <x:v>32.072627907800005</x:v>
      </x:c>
      <x:c r="E3" s="31" t="n">
        <x:v>32.072627907800005</x:v>
      </x:c>
      <x:c r="F3" s="32" t="n">
        <x:v>0</x:v>
      </x:c>
      <x:c r="G3" s="34" t="n">
        <x:v>1</x:v>
      </x:c>
      <x:c r="H3" s="32" t="n">
        <x:f>IF(E3=0,"",I3/E3)</x:f>
        <x:v>1873.7634047338736</x:v>
      </x:c>
      <x:c r="I3" s="31" t="n">
        <x:f>IF(C3=0,"",SUMIF('Species'!$G$2:$G$28,A3,'Species'!$U$2:$U$28))</x:f>
        <x:v>60096.51646728199</x:v>
      </x:c>
      <x:c r="J3" s="32" t="n">
        <x:v>4.249355890436094</x:v>
      </x:c>
      <x:c r="K3" s="32" t="n">
        <x:f>IF(J3="","",(1/'Metadata'!$B$5)^(J3-1))</x:f>
        <x:v>1775.6439682901162</x:v>
      </x:c>
      <x:c r="L3" s="31" t="n">
        <x:f>IF(E3=0,"",E3*K3)</x:f>
        <x:v>56949.56829169833</x:v>
      </x:c>
      <x:c r="M3" s="31" t="n">
        <x:f>IF(E3=0,"",I3-L3)</x:f>
        <x:v>3146.9481755836605</x:v>
      </x:c>
      <x:c r="N3" s="32" t="n">
        <x:f>IF(L3=0,"",I3/L3)</x:f>
        <x:v>1.0552585080094874</x:v>
      </x:c>
      <x:c r="O3" s="34" t="n">
        <x:f>IF(L3=0,"",M3/L3)</x:f>
        <x:v>0.05525850800948738</x:v>
      </x:c>
    </x:row>
    <x:row r="4" ht="18" customHeight="1">
      <x:c r="A4" s="24" t="str">
        <x:v>Medium demersals (30 - 89 cm)</x:v>
      </x:c>
      <x:c r="B4" s="33" t="n">
        <x:v>1</x:v>
      </x:c>
      <x:c r="C4" s="33" t="n">
        <x:v>1</x:v>
      </x:c>
      <x:c r="D4" s="31" t="n">
        <x:v>24.0475153561</x:v>
      </x:c>
      <x:c r="E4" s="31" t="n">
        <x:v>24.0475153561</x:v>
      </x:c>
      <x:c r="F4" s="32" t="n">
        <x:v>0</x:v>
      </x:c>
      <x:c r="G4" s="34" t="n">
        <x:v>1</x:v>
      </x:c>
      <x:c r="H4" s="32" t="n">
        <x:f>IF(E4=0,"",I4/E4)</x:f>
        <x:v>190.54607179632464</x:v>
      </x:c>
      <x:c r="I4" s="31" t="n">
        <x:f>IF(C4=0,"",SUMIF('Species'!$G$2:$G$28,A4,'Species'!$U$2:$U$28))</x:f>
        <x:v>4582.15958756665</x:v>
      </x:c>
      <x:c r="J4" s="32" t="n">
        <x:v>3.2799999999999994</x:v>
      </x:c>
      <x:c r="K4" s="32" t="n">
        <x:f>IF(J4="","",(1/'Metadata'!$B$5)^(J4-1))</x:f>
        <x:v>190.54607179632444</x:v>
      </x:c>
      <x:c r="L4" s="31" t="n">
        <x:f>IF(E4=0,"",E4*K4)</x:f>
        <x:v>4582.159587566645</x:v>
      </x:c>
      <x:c r="M4" s="31" t="n">
        <x:f>IF(E4=0,"",I4-L4)</x:f>
        <x:v>4.547473508864641e-12</x:v>
      </x:c>
      <x:c r="N4" s="32" t="n">
        <x:f>IF(L4=0,"",I4/L4)</x:f>
        <x:v>1.0000000000000009</x:v>
      </x:c>
      <x:c r="O4" s="34" t="n">
        <x:f>IF(L4=0,"",M4/L4)</x:f>
        <x:v>9.924301897305973e-16</x:v>
      </x:c>
    </x:row>
    <x:row r="5" ht="18" customHeight="1">
      <x:c r="A5" s="24" t="str">
        <x:v>Medium pelagics (30 - 89 cm)</x:v>
      </x:c>
      <x:c r="B5" s="33" t="n">
        <x:v>5</x:v>
      </x:c>
      <x:c r="C5" s="33" t="n">
        <x:v>5</x:v>
      </x:c>
      <x:c r="D5" s="31" t="n">
        <x:v>3090.0470649288</x:v>
      </x:c>
      <x:c r="E5" s="31" t="n">
        <x:v>3090.0470649288</x:v>
      </x:c>
      <x:c r="F5" s="32" t="n">
        <x:v>0</x:v>
      </x:c>
      <x:c r="G5" s="34" t="n">
        <x:v>1</x:v>
      </x:c>
      <x:c r="H5" s="32" t="n">
        <x:f>IF(E5=0,"",I5/E5)</x:f>
        <x:v>2324.119909696265</x:v>
      </x:c>
      <x:c r="I5" s="31" t="n">
        <x:f>IF(C5=0,"",SUMIF('Species'!$G$2:$G$28,A5,'Species'!$U$2:$U$28))</x:f>
        <x:v>7181639.905499532</x:v>
      </x:c>
      <x:c r="J5" s="32" t="n">
        <x:v>4.362284662710634</x:v>
      </x:c>
      <x:c r="K5" s="32" t="n">
        <x:f>IF(J5="","",(1/'Metadata'!$B$5)^(J5-1))</x:f>
        <x:v>2302.9508152145067</x:v>
      </x:c>
      <x:c r="L5" s="31" t="n">
        <x:f>IF(E5=0,"",E5*K5)</x:f>
        <x:v>7116226.407228974</x:v>
      </x:c>
      <x:c r="M5" s="31" t="n">
        <x:f>IF(E5=0,"",I5-L5)</x:f>
        <x:v>65413.49827055819</x:v>
      </x:c>
      <x:c r="N5" s="32" t="n">
        <x:f>IF(L5=0,"",I5/L5)</x:f>
        <x:v>1.0091921609188976</x:v>
      </x:c>
      <x:c r="O5" s="34" t="n">
        <x:f>IF(L5=0,"",M5/L5)</x:f>
        <x:v>0.009192160918897732</x:v>
      </x:c>
    </x:row>
    <x:row r="6" ht="18" customHeight="1">
      <x:c r="A6" s="24" t="str">
        <x:v>Medium reef assoc. fish (30 - 89 cm)</x:v>
      </x:c>
      <x:c r="B6" s="33" t="n">
        <x:v>3</x:v>
      </x:c>
      <x:c r="C6" s="33" t="n">
        <x:v>3</x:v>
      </x:c>
      <x:c r="D6" s="31" t="n">
        <x:v>23.314635418199998</x:v>
      </x:c>
      <x:c r="E6" s="31" t="n">
        <x:v>23.314635418199998</x:v>
      </x:c>
      <x:c r="F6" s="32" t="n">
        <x:v>0</x:v>
      </x:c>
      <x:c r="G6" s="34" t="n">
        <x:v>1</x:v>
      </x:c>
      <x:c r="H6" s="32" t="n">
        <x:f>IF(E6=0,"",I6/E6)</x:f>
        <x:v>1537.3896492514634</x:v>
      </x:c>
      <x:c r="I6" s="31" t="n">
        <x:f>IF(C6=0,"",SUMIF('Species'!$G$2:$G$28,A6,'Species'!$U$2:$U$28))</x:f>
        <x:v>35843.67916801224</x:v>
      </x:c>
      <x:c r="J6" s="32" t="n">
        <x:v>4.141438228404971</x:v>
      </x:c>
      <x:c r="K6" s="32" t="n">
        <x:f>IF(J6="","",(1/'Metadata'!$B$5)^(J6-1))</x:f>
        <x:v>1384.9631825710462</x:v>
      </x:c>
      <x:c r="L6" s="31" t="n">
        <x:f>IF(E6=0,"",E6*K6)</x:f>
        <x:v>32289.911669273904</x:v>
      </x:c>
      <x:c r="M6" s="31" t="n">
        <x:f>IF(E6=0,"",I6-L6)</x:f>
        <x:v>3553.767498738336</x:v>
      </x:c>
      <x:c r="N6" s="32" t="n">
        <x:f>IF(L6=0,"",I6/L6)</x:f>
        <x:v>1.110058136272946</x:v>
      </x:c>
      <x:c r="O6" s="34" t="n">
        <x:f>IF(L6=0,"",M6/L6)</x:f>
        <x:v>0.11005813627294599</x:v>
      </x:c>
    </x:row>
  </x:sheetData>
  <x:conditionalFormatting sqref="G2:G6">
    <x:cfRule type="cellIs" dxfId="2" priority="1" operator="lessThan">
      <x:formula>0.9</x:formula>
    </x:cfRule>
  </x:conditionalFormatting>
  <x:conditionalFormatting sqref="O2:O6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ae4da6da682d469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EEZ_251</x:v>
      </x:c>
      <x:c r="B2" s="24" t="str">
        <x:v>raw_filtered_tonnes</x:v>
      </x:c>
      <x:c r="C2" s="24" t="n">
        <x:v>3801.8421879604</x:v>
      </x:c>
      <x:c r="D2" s="24" t="str">
        <x:v>tonnes</x:v>
      </x:c>
    </x:row>
    <x:row r="3" ht="18" customHeight="1">
      <x:c r="A3" s="24" t="str">
        <x:v>EEZ_251</x:v>
      </x:c>
      <x:c r="B3" s="24" t="str">
        <x:v>species_catch_tonnes</x:v>
      </x:c>
      <x:c r="C3" s="24" t="n">
        <x:v>3801.8421879604</x:v>
      </x:c>
      <x:c r="D3" s="24" t="str">
        <x:v>tonnes</x:v>
      </x:c>
    </x:row>
    <x:row r="4" ht="18" customHeight="1">
      <x:c r="A4" s="24" t="str">
        <x:v>EEZ_251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EEZ_251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EEZ_251</x:v>
      </x:c>
      <x:c r="B6" s="24" t="str">
        <x:v>matched_catch_tonnes</x:v>
      </x:c>
      <x:c r="C6" s="24" t="n">
        <x:v>3801.8421879604</x:v>
      </x:c>
      <x:c r="D6" s="24" t="str">
        <x:v>tonnes</x:v>
      </x:c>
    </x:row>
    <x:row r="7" ht="18" customHeight="1">
      <x:c r="A7" s="24" t="str">
        <x:v>EEZ_251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EEZ_251</x:v>
      </x:c>
      <x:c r="B8" s="24" t="str">
        <x:v>taxa_count</x:v>
      </x:c>
      <x:c r="C8" s="24" t="n">
        <x:v>27</x:v>
      </x:c>
      <x:c r="D8" s="24" t="str">
        <x:v>count</x:v>
      </x:c>
    </x:row>
    <x:row r="9" ht="18" customHeight="1">
      <x:c r="A9" s="24" t="str">
        <x:v>EEZ_251</x:v>
      </x:c>
      <x:c r="B9" s="24" t="str">
        <x:v>matched_taxa_count</x:v>
      </x:c>
      <x:c r="C9" s="24" t="n">
        <x:v>27</x:v>
      </x:c>
      <x:c r="D9" s="24" t="str">
        <x:v>count</x:v>
      </x:c>
    </x:row>
    <x:row r="10" ht="18" customHeight="1">
      <x:c r="A10" s="24" t="str">
        <x:v>EEZ_251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EEZ_251</x:v>
      </x:c>
      <x:c r="B11" s="24" t="str">
        <x:v>species_ppr</x:v>
      </x:c>
      <x:c r="C11" s="24" t="n">
        <x:v>9217280.300397815</x:v>
      </x:c>
      <x:c r="D11" s="24" t="str">
        <x:v>tonnes_primary_production_equivalent</x:v>
      </x:c>
    </x:row>
    <x:row r="12" ht="18" customHeight="1">
      <x:c r="A12" s="24" t="str">
        <x:v>EEZ_251</x:v>
      </x:c>
      <x:c r="B12" s="24" t="str">
        <x:v>commercial_ppr</x:v>
      </x:c>
      <x:c r="C12" s="24" t="n">
        <x:v>9217280.300397815</x:v>
      </x:c>
      <x:c r="D12" s="24" t="str">
        <x:v>tonnes_primary_production_equivalent</x:v>
      </x:c>
    </x:row>
    <x:row r="13" ht="18" customHeight="1">
      <x:c r="A13" s="24" t="str">
        <x:v>EEZ_251</x:v>
      </x:c>
      <x:c r="B13" s="24" t="str">
        <x:v>functional_ppr</x:v>
      </x:c>
      <x:c r="C13" s="24" t="n">
        <x:v>9217280.300397815</x:v>
      </x:c>
      <x:c r="D13" s="24" t="str">
        <x:v>tonnes_primary_production_equivalent</x:v>
      </x:c>
    </x:row>
    <x:row r="14" ht="18" customHeight="1">
      <x:c r="A14" s="24" t="str">
        <x:v>EEZ_251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EEZ_251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EEZ_251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EEZ_251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EEZ_251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EEZ_251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536e6a80314d45b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EEZ_251 - Mozambique Channel Isl. (France)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EEZ_251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raw_data/SAU_downloads/EEZ_251-catch.zip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