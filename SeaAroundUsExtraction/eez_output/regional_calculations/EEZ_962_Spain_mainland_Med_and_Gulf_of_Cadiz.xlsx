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95989dd4dd44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44e974817aaf4747"/>
    <x:sheet xmlns:r="http://schemas.openxmlformats.org/officeDocument/2006/relationships" name="Commercial" sheetId="2" r:id="R121f465e052145d1"/>
    <x:sheet xmlns:r="http://schemas.openxmlformats.org/officeDocument/2006/relationships" name="Functional" sheetId="3" r:id="Re44ff9d881f44bb3"/>
    <x:sheet xmlns:r="http://schemas.openxmlformats.org/officeDocument/2006/relationships" name="Missing TL" sheetId="4" r:id="Rd3029299506a48eb"/>
    <x:sheet xmlns:r="http://schemas.openxmlformats.org/officeDocument/2006/relationships" name="Validation" sheetId="5" r:id="R776eea8e1a254a73"/>
    <x:sheet xmlns:r="http://schemas.openxmlformats.org/officeDocument/2006/relationships" name="Metadata" sheetId="6" r:id="Ra0775092eaff4d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a2b052a1e341ce" /><Relationship Type="http://schemas.openxmlformats.org/officeDocument/2006/relationships/theme" Target="/xl/theme/theme1.xml" Id="R5e7d8b86e45247fc" /><Relationship Type="http://schemas.microsoft.com/office/2022/11/relationships/FeaturePropertyBag" Target="/xl/featurePropertyBag/featurePropertyBag.xml" Id="Re0c7b4e28ff34e76" /><Relationship Type="http://schemas.openxmlformats.org/officeDocument/2006/relationships/sharedStrings" Target="/xl/sharedStrings.xml" Id="R381003d9b32e4751" /><Relationship Type="http://schemas.openxmlformats.org/officeDocument/2006/relationships/worksheet" Target="/xl/worksheets/sheet1.xml" Id="R44e974817aaf4747" /><Relationship Type="http://schemas.openxmlformats.org/officeDocument/2006/relationships/worksheet" Target="/xl/worksheets/sheet2.xml" Id="R121f465e052145d1" /><Relationship Type="http://schemas.openxmlformats.org/officeDocument/2006/relationships/worksheet" Target="/xl/worksheets/sheet3.xml" Id="Re44ff9d881f44bb3" /><Relationship Type="http://schemas.openxmlformats.org/officeDocument/2006/relationships/worksheet" Target="/xl/worksheets/sheet4.xml" Id="Rd3029299506a48eb" /><Relationship Type="http://schemas.openxmlformats.org/officeDocument/2006/relationships/worksheet" Target="/xl/worksheets/sheet5.xml" Id="R776eea8e1a254a73" /><Relationship Type="http://schemas.openxmlformats.org/officeDocument/2006/relationships/worksheet" Target="/xl/worksheets/sheet6.xml" Id="Ra0775092eaff4da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62SpeciesTable" displayName="EEZ962SpeciesTable" ref="A1:U376" headerRowCount="1" totalsRowCount="0" totalsRowShown="0">
  <x:autoFilter ref="A1:U376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62CommercialTable" displayName="EEZ962CommercialTable" ref="A1:O13" headerRowCount="1" totalsRowCount="0" totalsRowShown="0">
  <x:autoFilter ref="A1:O13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62FunctionalTable" displayName="EEZ962FunctionalTable" ref="A1:O27" headerRowCount="1" totalsRowCount="0" totalsRowShown="0">
  <x:autoFilter ref="A1:O27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62ValidationTable" displayName="EEZ962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d8e128e276641a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c5a5baa1579404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0b892dca21d4b5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46c8902cbdf4b9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EEZ_962</x:v>
      </x:c>
      <x:c r="B2" s="24" t="str">
        <x:v>Spain (mainland, Med and Gulf of Cadiz)</x:v>
      </x:c>
      <x:c r="C2" s="24" t="str">
        <x:v>EEZ</x:v>
      </x:c>
      <x:c r="D2" s="30" t="n">
        <x:v>2019</x:v>
      </x:c>
      <x:c r="E2" s="24" t="str">
        <x:v>Engraulis encrasicolus</x:v>
      </x:c>
      <x:c r="F2" s="24" t="str">
        <x:v>European anchovy</x:v>
      </x:c>
      <x:c r="G2" s="24" t="str">
        <x:v>Small pelagics (&lt;30 cm)</x:v>
      </x:c>
      <x:c r="H2" s="24" t="str">
        <x:v>Anchovies</x:v>
      </x:c>
      <x:c r="I2" s="31" t="n">
        <x:v>37663.9962414135</x:v>
      </x:c>
      <x:c r="J2" s="31" t="n">
        <x:v>37203.2683573534</x:v>
      </x:c>
      <x:c r="K2" s="31" t="n">
        <x:v>460.72788406009994</x:v>
      </x:c>
      <x:c r="L2" s="31" t="n">
        <x:v>34094.3063662832</x:v>
      </x:c>
      <x:c r="M2" s="31" t="n">
        <x:v>3569.6898751303</x:v>
      </x:c>
      <x:c r="N2" s="24" t="str">
        <x:v>engraulis encrasicolus</x:v>
      </x:c>
      <x:c r="O2" s="32" t="n">
        <x:v>3.11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Engraulis encrasicolus</x:v>
      </x:c>
      <x:c r="T2" s="32" t="n">
        <x:f>IF(O2="","",(1/'Metadata'!$B$5)^(O2-1))</x:f>
        <x:v>128.82495516931337</x:v>
      </x:c>
      <x:c r="U2" s="31" t="n">
        <x:f>IF(T2="","",I2*T2)</x:f>
        <x:v>4852062.627297281</x:v>
      </x:c>
    </x:row>
    <x:row r="3" ht="18" customHeight="1">
      <x:c r="A3" s="24" t="str">
        <x:v>EEZ_962</x:v>
      </x:c>
      <x:c r="B3" s="24" t="str">
        <x:v>Spain (mainland, Med and Gulf of Cadiz)</x:v>
      </x:c>
      <x:c r="C3" s="24" t="str">
        <x:v>EEZ</x:v>
      </x:c>
      <x:c r="D3" s="30" t="n">
        <x:v>2019</x:v>
      </x:c>
      <x:c r="E3" s="24" t="str">
        <x:v>Sardina pilchardus</x:v>
      </x:c>
      <x:c r="F3" s="24" t="str">
        <x:v>European pilchard</x:v>
      </x:c>
      <x:c r="G3" s="24" t="str">
        <x:v>Small pelagics (&lt;30 cm)</x:v>
      </x:c>
      <x:c r="H3" s="24" t="str">
        <x:v>Herring-likes</x:v>
      </x:c>
      <x:c r="I3" s="31" t="n">
        <x:v>17250.2313231112</x:v>
      </x:c>
      <x:c r="J3" s="31" t="n">
        <x:v>16669.2581637392</x:v>
      </x:c>
      <x:c r="K3" s="31" t="n">
        <x:v>580.973159372</x:v>
      </x:c>
      <x:c r="L3" s="31" t="n">
        <x:v>16101.4000920502</x:v>
      </x:c>
      <x:c r="M3" s="31" t="n">
        <x:v>1148.8312310610002</x:v>
      </x:c>
      <x:c r="N3" s="24" t="str">
        <x:v>sardina pilchardus</x:v>
      </x:c>
      <x:c r="O3" s="32" t="n">
        <x:v>3.06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Sardina pilchardus</x:v>
      </x:c>
      <x:c r="T3" s="32" t="n">
        <x:f>IF(O3="","",(1/'Metadata'!$B$5)^(O3-1))</x:f>
        <x:v>114.81536214968828</x:v>
      </x:c>
      <x:c r="U3" s="31" t="n">
        <x:f>IF(T3="","",I3*T3)</x:f>
        <x:v>1980591.5565289087</x:v>
      </x:c>
    </x:row>
    <x:row r="4" ht="18" customHeight="1">
      <x:c r="A4" s="24" t="str">
        <x:v>EEZ_962</x:v>
      </x:c>
      <x:c r="B4" s="24" t="str">
        <x:v>Spain (mainland, Med and Gulf of Cadiz)</x:v>
      </x:c>
      <x:c r="C4" s="24" t="str">
        <x:v>EEZ</x:v>
      </x:c>
      <x:c r="D4" s="30" t="n">
        <x:v>2019</x:v>
      </x:c>
      <x:c r="E4" s="24" t="str">
        <x:v>Prionace glauca</x:v>
      </x:c>
      <x:c r="F4" s="24" t="str">
        <x:v>Blue shark</x:v>
      </x:c>
      <x:c r="G4" s="24" t="str">
        <x:v>Large sharks (&gt;=90 cm)</x:v>
      </x:c>
      <x:c r="H4" s="24" t="str">
        <x:v>Sharks &amp; rays</x:v>
      </x:c>
      <x:c r="I4" s="31" t="n">
        <x:v>14704.473388492901</x:v>
      </x:c>
      <x:c r="J4" s="31" t="n">
        <x:v>14699.5628785635</x:v>
      </x:c>
      <x:c r="K4" s="31" t="n">
        <x:v>4.9105099294</x:v>
      </x:c>
      <x:c r="L4" s="31" t="n">
        <x:v>14690.7538482273</x:v>
      </x:c>
      <x:c r="M4" s="31" t="n">
        <x:v>13.719540265600001</x:v>
      </x:c>
      <x:c r="N4" s="24" t="str">
        <x:v>prionace glauca</x:v>
      </x:c>
      <x:c r="O4" s="32" t="n">
        <x:v>4.35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Prionace glauca</x:v>
      </x:c>
      <x:c r="T4" s="32" t="n">
        <x:f>IF(O4="","",(1/'Metadata'!$B$5)^(O4-1))</x:f>
        <x:v>2238.7211385683377</x:v>
      </x:c>
      <x:c r="U4" s="31" t="n">
        <x:f>IF(T4="","",I4*T4)</x:f>
        <x:v>32919215.40633465</x:v>
      </x:c>
    </x:row>
    <x:row r="5" ht="18" customHeight="1">
      <x:c r="A5" s="24" t="str">
        <x:v>EEZ_962</x:v>
      </x:c>
      <x:c r="B5" s="24" t="str">
        <x:v>Spain (mainland, Med and Gulf of Cadiz)</x:v>
      </x:c>
      <x:c r="C5" s="24" t="str">
        <x:v>EEZ</x:v>
      </x:c>
      <x:c r="D5" s="30" t="n">
        <x:v>2019</x:v>
      </x:c>
      <x:c r="E5" s="24" t="str">
        <x:v>Marine fishes not identified</x:v>
      </x:c>
      <x:c r="F5" s="24" t="str">
        <x:v>Marine fishes nei</x:v>
      </x:c>
      <x:c r="G5" s="24" t="str">
        <x:v>Medium demersals (30 - 89 cm)</x:v>
      </x:c>
      <x:c r="H5" s="24" t="str">
        <x:v>Other fishes &amp; inverts</x:v>
      </x:c>
      <x:c r="I5" s="31" t="n">
        <x:v>10101.3119911724</x:v>
      </x:c>
      <x:c r="J5" s="31" t="n">
        <x:v>5775.0047815853</x:v>
      </x:c>
      <x:c r="K5" s="31" t="n">
        <x:v>4326.3072095871</x:v>
      </x:c>
      <x:c r="L5" s="31" t="n">
        <x:v>2464.2291365626</x:v>
      </x:c>
      <x:c r="M5" s="31" t="n">
        <x:v>7637.0828546098</x:v>
      </x:c>
      <x:c r="N5" s="24" t="str">
        <x:v>marine fishes not identified</x:v>
      </x:c>
      <x:c r="O5" s="32" t="n">
        <x:v>3.28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Marine fishes not identified</x:v>
      </x:c>
      <x:c r="T5" s="32" t="n">
        <x:f>IF(O5="","",(1/'Metadata'!$B$5)^(O5-1))</x:f>
        <x:v>190.54607179632464</x:v>
      </x:c>
      <x:c r="U5" s="31" t="n">
        <x:f>IF(T5="","",I5*T5)</x:f>
        <x:v>1924765.3199070112</x:v>
      </x:c>
    </x:row>
    <x:row r="6" ht="18" customHeight="1">
      <x:c r="A6" s="24" t="str">
        <x:v>EEZ_962</x:v>
      </x:c>
      <x:c r="B6" s="24" t="str">
        <x:v>Spain (mainland, Med and Gulf of Cadiz)</x:v>
      </x:c>
      <x:c r="C6" s="24" t="str">
        <x:v>EEZ</x:v>
      </x:c>
      <x:c r="D6" s="30" t="n">
        <x:v>2019</x:v>
      </x:c>
      <x:c r="E6" s="24" t="str">
        <x:v>Scomber</x:v>
      </x:c>
      <x:c r="F6" s="24" t="str">
        <x:v>Chub mackerels</x:v>
      </x:c>
      <x:c r="G6" s="24" t="str">
        <x:v>Medium pelagics (30 - 89 cm)</x:v>
      </x:c>
      <x:c r="H6" s="24" t="str">
        <x:v>Perch-likes</x:v>
      </x:c>
      <x:c r="I6" s="31" t="n">
        <x:v>7200.7477330024</x:v>
      </x:c>
      <x:c r="J6" s="31" t="n">
        <x:v>6224.5339595102005</x:v>
      </x:c>
      <x:c r="K6" s="31" t="n">
        <x:v>976.2137734922</x:v>
      </x:c>
      <x:c r="L6" s="31" t="n">
        <x:v>6107.181140868201</x:v>
      </x:c>
      <x:c r="M6" s="31" t="n">
        <x:v>1093.5665921342</x:v>
      </x:c>
      <x:c r="N6" s="24" t="str">
        <x:v>scomber</x:v>
      </x:c>
      <x:c r="O6" s="32" t="n">
        <x:v>3.65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Scomber</x:v>
      </x:c>
      <x:c r="T6" s="32" t="n">
        <x:f>IF(O6="","",(1/'Metadata'!$B$5)^(O6-1))</x:f>
        <x:v>446.683592150963</x:v>
      </x:c>
      <x:c r="U6" s="31" t="n">
        <x:f>IF(T6="","",I6*T6)</x:f>
        <x:v>3216455.8635504157</x:v>
      </x:c>
    </x:row>
    <x:row r="7" ht="18" customHeight="1">
      <x:c r="A7" s="24" t="str">
        <x:v>EEZ_962</x:v>
      </x:c>
      <x:c r="B7" s="24" t="str">
        <x:v>Spain (mainland, Med and Gulf of Cadiz)</x:v>
      </x:c>
      <x:c r="C7" s="24" t="str">
        <x:v>EEZ</x:v>
      </x:c>
      <x:c r="D7" s="30" t="n">
        <x:v>2019</x:v>
      </x:c>
      <x:c r="E7" s="24" t="str">
        <x:v>Octopus vulgaris</x:v>
      </x:c>
      <x:c r="F7" s="24" t="str">
        <x:v>Common octopus</x:v>
      </x:c>
      <x:c r="G7" s="24" t="str">
        <x:v>Cephalopods</x:v>
      </x:c>
      <x:c r="H7" s="24" t="str">
        <x:v>Other fishes &amp; inverts</x:v>
      </x:c>
      <x:c r="I7" s="31" t="n">
        <x:v>5392.5457449656005</x:v>
      </x:c>
      <x:c r="J7" s="31" t="n">
        <x:v>5258.4369171732005</x:v>
      </x:c>
      <x:c r="K7" s="31" t="n">
        <x:v>134.1088277924</x:v>
      </x:c>
      <x:c r="L7" s="31" t="n">
        <x:v>3783.7703273763</x:v>
      </x:c>
      <x:c r="M7" s="31" t="n">
        <x:v>1608.7754175892999</x:v>
      </x:c>
      <x:c r="N7" s="24" t="str">
        <x:v>octopus vulgaris</x:v>
      </x:c>
      <x:c r="O7" s="32" t="n">
        <x:v>3.6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Octopus vulgaris</x:v>
      </x:c>
      <x:c r="T7" s="32" t="n">
        <x:f>IF(O7="","",(1/'Metadata'!$B$5)^(O7-1))</x:f>
        <x:v>398.1071705534973</x:v>
      </x:c>
      <x:c r="U7" s="31" t="n">
        <x:f>IF(T7="","",I7*T7)</x:f>
        <x:v>2146811.1286085565</x:v>
      </x:c>
    </x:row>
    <x:row r="8" ht="18" customHeight="1">
      <x:c r="A8" s="24" t="str">
        <x:v>EEZ_962</x:v>
      </x:c>
      <x:c r="B8" s="24" t="str">
        <x:v>Spain (mainland, Med and Gulf of Cadiz)</x:v>
      </x:c>
      <x:c r="C8" s="24" t="str">
        <x:v>EEZ</x:v>
      </x:c>
      <x:c r="D8" s="30" t="n">
        <x:v>2019</x:v>
      </x:c>
      <x:c r="E8" s="24" t="str">
        <x:v>Scombridae</x:v>
      </x:c>
      <x:c r="F8" s="24" t="str">
        <x:v>Mackerels, tunas, bonitos</x:v>
      </x:c>
      <x:c r="G8" s="24" t="str">
        <x:v>Medium pelagics (30 - 89 cm)</x:v>
      </x:c>
      <x:c r="H8" s="24" t="str">
        <x:v>Perch-likes</x:v>
      </x:c>
      <x:c r="I8" s="31" t="n">
        <x:v>5080.669052163999</x:v>
      </x:c>
      <x:c r="J8" s="31" t="n">
        <x:v>4756.3630177643</x:v>
      </x:c>
      <x:c r="K8" s="31" t="n">
        <x:v>324.3060343997</x:v>
      </x:c>
      <x:c r="L8" s="31" t="n">
        <x:v>2419.3485640888</x:v>
      </x:c>
      <x:c r="M8" s="31" t="n">
        <x:v>2661.3204880751996</x:v>
      </x:c>
      <x:c r="N8" s="24" t="str">
        <x:v>scombridae</x:v>
      </x:c>
      <x:c r="O8" s="32" t="n">
        <x:v>4.26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Scombridae</x:v>
      </x:c>
      <x:c r="T8" s="32" t="n">
        <x:f>IF(O8="","",(1/'Metadata'!$B$5)^(O8-1))</x:f>
        <x:v>1819.7008586099826</x:v>
      </x:c>
      <x:c r="U8" s="31" t="n">
        <x:f>IF(T8="","",I8*T8)</x:f>
        <x:v>9245297.836535996</x:v>
      </x:c>
    </x:row>
    <x:row r="9" ht="18" customHeight="1">
      <x:c r="A9" s="24" t="str">
        <x:v>EEZ_962</x:v>
      </x:c>
      <x:c r="B9" s="24" t="str">
        <x:v>Spain (mainland, Med and Gulf of Cadiz)</x:v>
      </x:c>
      <x:c r="C9" s="24" t="str">
        <x:v>EEZ</x:v>
      </x:c>
      <x:c r="D9" s="30" t="n">
        <x:v>2019</x:v>
      </x:c>
      <x:c r="E9" s="24" t="str">
        <x:v>Merluccius merluccius</x:v>
      </x:c>
      <x:c r="F9" s="24" t="str">
        <x:v>European hake</x:v>
      </x:c>
      <x:c r="G9" s="24" t="str">
        <x:v>Large demersals (&gt;=90 cm)</x:v>
      </x:c>
      <x:c r="H9" s="24" t="str">
        <x:v>Cod-likes</x:v>
      </x:c>
      <x:c r="I9" s="31" t="n">
        <x:v>4706.3649269228</x:v>
      </x:c>
      <x:c r="J9" s="31" t="n">
        <x:v>4505.8015389499</x:v>
      </x:c>
      <x:c r="K9" s="31" t="n">
        <x:v>200.5633879729</x:v>
      </x:c>
      <x:c r="L9" s="31" t="n">
        <x:v>3925.8055856596</x:v>
      </x:c>
      <x:c r="M9" s="31" t="n">
        <x:v>780.5593412631999</x:v>
      </x:c>
      <x:c r="N9" s="24" t="str">
        <x:v>merluccius merluccius</x:v>
      </x:c>
      <x:c r="O9" s="32" t="n">
        <x:v>4.42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Merluccius merluccius</x:v>
      </x:c>
      <x:c r="T9" s="32" t="n">
        <x:f>IF(O9="","",(1/'Metadata'!$B$5)^(O9-1))</x:f>
        <x:v>2630.2679918953813</x:v>
      </x:c>
      <x:c r="U9" s="31" t="n">
        <x:f>IF(T9="","",I9*T9)</x:f>
        <x:v>12379001.025464086</x:v>
      </x:c>
    </x:row>
    <x:row r="10" ht="18" customHeight="1">
      <x:c r="A10" s="24" t="str">
        <x:v>EEZ_962</x:v>
      </x:c>
      <x:c r="B10" s="24" t="str">
        <x:v>Spain (mainland, Med and Gulf of Cadiz)</x:v>
      </x:c>
      <x:c r="C10" s="24" t="str">
        <x:v>EEZ</x:v>
      </x:c>
      <x:c r="D10" s="30" t="n">
        <x:v>2019</x:v>
      </x:c>
      <x:c r="E10" s="24" t="str">
        <x:v>Sardinella aurita</x:v>
      </x:c>
      <x:c r="F10" s="24" t="str">
        <x:v>Round sardinella</x:v>
      </x:c>
      <x:c r="G10" s="24" t="str">
        <x:v>Small pelagics (&lt;30 cm)</x:v>
      </x:c>
      <x:c r="H10" s="24" t="str">
        <x:v>Herring-likes</x:v>
      </x:c>
      <x:c r="I10" s="31" t="n">
        <x:v>4626.1724211303</x:v>
      </x:c>
      <x:c r="J10" s="31" t="n">
        <x:v>4455.8197906362</x:v>
      </x:c>
      <x:c r="K10" s="31" t="n">
        <x:v>170.35263049410003</x:v>
      </x:c>
      <x:c r="L10" s="31" t="n">
        <x:v>4371.9123673033</x:v>
      </x:c>
      <x:c r="M10" s="31" t="n">
        <x:v>254.260053827</x:v>
      </x:c>
      <x:c r="N10" s="24" t="str">
        <x:v>sardinella aurita</x:v>
      </x:c>
      <x:c r="O10" s="32" t="n">
        <x:v>3.4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Sardinella aurita</x:v>
      </x:c>
      <x:c r="T10" s="32" t="n">
        <x:f>IF(O10="","",(1/'Metadata'!$B$5)^(O10-1))</x:f>
        <x:v>251.18864315095797</x:v>
      </x:c>
      <x:c r="U10" s="31" t="n">
        <x:f>IF(T10="","",I10*T10)</x:f>
        <x:v>1162041.973446102</x:v>
      </x:c>
    </x:row>
    <x:row r="11" ht="18" customHeight="1">
      <x:c r="A11" s="24" t="str">
        <x:v>EEZ_962</x:v>
      </x:c>
      <x:c r="B11" s="24" t="str">
        <x:v>Spain (mainland, Med and Gulf of Cadiz)</x:v>
      </x:c>
      <x:c r="C11" s="24" t="str">
        <x:v>EEZ</x:v>
      </x:c>
      <x:c r="D11" s="30" t="n">
        <x:v>2019</x:v>
      </x:c>
      <x:c r="E11" s="24" t="str">
        <x:v>Sparus aurata</x:v>
      </x:c>
      <x:c r="F11" s="24" t="str">
        <x:v>Gilthead seabream</x:v>
      </x:c>
      <x:c r="G11" s="24" t="str">
        <x:v>Medium demersals (30 - 89 cm)</x:v>
      </x:c>
      <x:c r="H11" s="24" t="str">
        <x:v>Perch-likes</x:v>
      </x:c>
      <x:c r="I11" s="31" t="n">
        <x:v>4110.9839315051995</x:v>
      </x:c>
      <x:c r="J11" s="31" t="n">
        <x:v>3998.9126575337</x:v>
      </x:c>
      <x:c r="K11" s="31" t="n">
        <x:v>112.07127397149999</x:v>
      </x:c>
      <x:c r="L11" s="31" t="n">
        <x:v>843.3984414864</x:v>
      </x:c>
      <x:c r="M11" s="31" t="n">
        <x:v>3267.5854900188</x:v>
      </x:c>
      <x:c r="N11" s="24" t="str">
        <x:v>sparus aurata</x:v>
      </x:c>
      <x:c r="O11" s="32" t="n">
        <x:v>3.7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Sparus aurata</x:v>
      </x:c>
      <x:c r="T11" s="32" t="n">
        <x:f>IF(O11="","",(1/'Metadata'!$B$5)^(O11-1))</x:f>
        <x:v>501.18723362727246</x:v>
      </x:c>
      <x:c r="U11" s="31" t="n">
        <x:f>IF(T11="","",I11*T11)</x:f>
        <x:v>2060372.6641172594</x:v>
      </x:c>
    </x:row>
    <x:row r="12" ht="18" customHeight="1">
      <x:c r="A12" s="24" t="str">
        <x:v>EEZ_962</x:v>
      </x:c>
      <x:c r="B12" s="24" t="str">
        <x:v>Spain (mainland, Med and Gulf of Cadiz)</x:v>
      </x:c>
      <x:c r="C12" s="24" t="str">
        <x:v>EEZ</x:v>
      </x:c>
      <x:c r="D12" s="30" t="n">
        <x:v>2019</x:v>
      </x:c>
      <x:c r="E12" s="24" t="str">
        <x:v>Trachurus trachurus</x:v>
      </x:c>
      <x:c r="F12" s="24" t="str">
        <x:v>Atlantic horse mackerel</x:v>
      </x:c>
      <x:c r="G12" s="24" t="str">
        <x:v>Medium pelagics (30 - 89 cm)</x:v>
      </x:c>
      <x:c r="H12" s="24" t="str">
        <x:v>Perch-likes</x:v>
      </x:c>
      <x:c r="I12" s="31" t="n">
        <x:v>3925.5905529592</x:v>
      </x:c>
      <x:c r="J12" s="31" t="n">
        <x:v>3646.0142289611003</x:v>
      </x:c>
      <x:c r="K12" s="31" t="n">
        <x:v>279.5763239981</x:v>
      </x:c>
      <x:c r="L12" s="31" t="n">
        <x:v>2414.889374115</x:v>
      </x:c>
      <x:c r="M12" s="31" t="n">
        <x:v>1510.7011788442</x:v>
      </x:c>
      <x:c r="N12" s="24" t="str">
        <x:v>trachurus trachurus</x:v>
      </x:c>
      <x:c r="O12" s="32" t="n">
        <x:v>3.71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Trachurus trachurus</x:v>
      </x:c>
      <x:c r="T12" s="32" t="n">
        <x:f>IF(O12="","",(1/'Metadata'!$B$5)^(O12-1))</x:f>
        <x:v>512.8613839913648</x:v>
      </x:c>
      <x:c r="U12" s="31" t="n">
        <x:f>IF(T12="","",I12*T12)</x:f>
        <x:v>2013283.8039740825</x:v>
      </x:c>
    </x:row>
    <x:row r="13" ht="18" customHeight="1">
      <x:c r="A13" s="24" t="str">
        <x:v>EEZ_962</x:v>
      </x:c>
      <x:c r="B13" s="24" t="str">
        <x:v>Spain (mainland, Med and Gulf of Cadiz)</x:v>
      </x:c>
      <x:c r="C13" s="24" t="str">
        <x:v>EEZ</x:v>
      </x:c>
      <x:c r="D13" s="30" t="n">
        <x:v>2019</x:v>
      </x:c>
      <x:c r="E13" s="24" t="str">
        <x:v>Parapenaeus longirostris</x:v>
      </x:c>
      <x:c r="F13" s="24" t="str">
        <x:v>Deepwater rose shrimp</x:v>
      </x:c>
      <x:c r="G13" s="24" t="str">
        <x:v>Shrimps</x:v>
      </x:c>
      <x:c r="H13" s="24" t="str">
        <x:v>Crustaceans</x:v>
      </x:c>
      <x:c r="I13" s="31" t="n">
        <x:v>3834.3106182011</x:v>
      </x:c>
      <x:c r="J13" s="31" t="n">
        <x:v>3792.6528112453</x:v>
      </x:c>
      <x:c r="K13" s="31" t="n">
        <x:v>41.6578069558</x:v>
      </x:c>
      <x:c r="L13" s="31" t="n">
        <x:v>3522.7061076579002</x:v>
      </x:c>
      <x:c r="M13" s="31" t="n">
        <x:v>311.6045105432</x:v>
      </x:c>
      <x:c r="N13" s="24" t="str">
        <x:v>parapenaeus longirostris</x:v>
      </x:c>
      <x:c r="O13" s="32" t="n">
        <x:v>3.3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Parapenaeus longirostris</x:v>
      </x:c>
      <x:c r="T13" s="32" t="n">
        <x:f>IF(O13="","",(1/'Metadata'!$B$5)^(O13-1))</x:f>
        <x:v>199.52623149688787</x:v>
      </x:c>
      <x:c r="U13" s="31" t="n">
        <x:f>IF(T13="","",I13*T13)</x:f>
        <x:v>765045.548038168</x:v>
      </x:c>
    </x:row>
    <x:row r="14" ht="18" customHeight="1">
      <x:c r="A14" s="24" t="str">
        <x:v>EEZ_962</x:v>
      </x:c>
      <x:c r="B14" s="24" t="str">
        <x:v>Spain (mainland, Med and Gulf of Cadiz)</x:v>
      </x:c>
      <x:c r="C14" s="24" t="str">
        <x:v>EEZ</x:v>
      </x:c>
      <x:c r="D14" s="30" t="n">
        <x:v>2019</x:v>
      </x:c>
      <x:c r="E14" s="24" t="str">
        <x:v>Thunnus thynnus</x:v>
      </x:c>
      <x:c r="F14" s="24" t="str">
        <x:v>Atlantic bluefin tuna</x:v>
      </x:c>
      <x:c r="G14" s="24" t="str">
        <x:v>Large pelagics (&gt;=90 cm)</x:v>
      </x:c>
      <x:c r="H14" s="24" t="str">
        <x:v>Tuna &amp; billfishes</x:v>
      </x:c>
      <x:c r="I14" s="31" t="n">
        <x:v>3626.9246216043</x:v>
      </x:c>
      <x:c r="J14" s="31" t="n">
        <x:v>3608.5638253776997</x:v>
      </x:c>
      <x:c r="K14" s="31" t="n">
        <x:v>18.3607962266</x:v>
      </x:c>
      <x:c r="L14" s="31" t="n">
        <x:v>1890.5124266361001</x:v>
      </x:c>
      <x:c r="M14" s="31" t="n">
        <x:v>1736.4121949681999</x:v>
      </x:c>
      <x:c r="N14" s="24" t="str">
        <x:v>thunnus thynnus</x:v>
      </x:c>
      <x:c r="O14" s="32" t="n">
        <x:v>4.45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Thunnus thynnus</x:v>
      </x:c>
      <x:c r="T14" s="32" t="n">
        <x:f>IF(O14="","",(1/'Metadata'!$B$5)^(O14-1))</x:f>
        <x:v>2818.382931264455</x:v>
      </x:c>
      <x:c r="U14" s="31" t="n">
        <x:f>IF(T14="","",I14*T14)</x:f>
        <x:v>10222062.446512349</x:v>
      </x:c>
    </x:row>
    <x:row r="15" ht="18" customHeight="1">
      <x:c r="A15" s="24" t="str">
        <x:v>EEZ_962</x:v>
      </x:c>
      <x:c r="B15" s="24" t="str">
        <x:v>Spain (mainland, Med and Gulf of Cadiz)</x:v>
      </x:c>
      <x:c r="C15" s="24" t="str">
        <x:v>EEZ</x:v>
      </x:c>
      <x:c r="D15" s="30" t="n">
        <x:v>2019</x:v>
      </x:c>
      <x:c r="E15" s="24" t="str">
        <x:v>Dicentrarchus labrax</x:v>
      </x:c>
      <x:c r="F15" s="24" t="str">
        <x:v>European seabass</x:v>
      </x:c>
      <x:c r="G15" s="24" t="str">
        <x:v>Large demersals (&gt;=90 cm)</x:v>
      </x:c>
      <x:c r="H15" s="24" t="str">
        <x:v>Perch-likes</x:v>
      </x:c>
      <x:c r="I15" s="31" t="n">
        <x:v>3334.8433446609997</x:v>
      </x:c>
      <x:c r="J15" s="31" t="n">
        <x:v>3328.281776107</x:v>
      </x:c>
      <x:c r="K15" s="31" t="n">
        <x:v>6.561568553999999</x:v>
      </x:c>
      <x:c r="L15" s="31" t="n">
        <x:v>56.649015858400006</x:v>
      </x:c>
      <x:c r="M15" s="31" t="n">
        <x:v>3278.1943288026</x:v>
      </x:c>
      <x:c r="N15" s="24" t="str">
        <x:v>dicentrarchus labrax</x:v>
      </x:c>
      <x:c r="O15" s="32" t="n">
        <x:v>3.79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Dicentrarchus labrax</x:v>
      </x:c>
      <x:c r="T15" s="32" t="n">
        <x:f>IF(O15="","",(1/'Metadata'!$B$5)^(O15-1))</x:f>
        <x:v>616.5950018614822</x:v>
      </x:c>
      <x:c r="U15" s="31" t="n">
        <x:f>IF(T15="","",I15*T15)</x:f>
        <x:v>2056247.7383090006</x:v>
      </x:c>
    </x:row>
    <x:row r="16" ht="18" customHeight="1">
      <x:c r="A16" s="24" t="str">
        <x:v>EEZ_962</x:v>
      </x:c>
      <x:c r="B16" s="24" t="str">
        <x:v>Spain (mainland, Med and Gulf of Cadiz)</x:v>
      </x:c>
      <x:c r="C16" s="24" t="str">
        <x:v>EEZ</x:v>
      </x:c>
      <x:c r="D16" s="30" t="n">
        <x:v>2019</x:v>
      </x:c>
      <x:c r="E16" s="24" t="str">
        <x:v>Diplodus</x:v>
      </x:c>
      <x:c r="F16" s="24" t="str">
        <x:v>Two-toothed seabreams</x:v>
      </x:c>
      <x:c r="G16" s="24" t="str">
        <x:v>Medium benthopelagics (30 - 89 cm)</x:v>
      </x:c>
      <x:c r="H16" s="24" t="str">
        <x:v>Perch-likes</x:v>
      </x:c>
      <x:c r="I16" s="31" t="n">
        <x:v>2974.759197214</x:v>
      </x:c>
      <x:c r="J16" s="31" t="n">
        <x:v>2970.6177838244</x:v>
      </x:c>
      <x:c r="K16" s="31" t="n">
        <x:v>4.1414133896</x:v>
      </x:c>
      <x:c r="L16" s="31" t="n">
        <x:v>23.809896124</x:v>
      </x:c>
      <x:c r="M16" s="31" t="n">
        <x:v>2950.94930109</x:v>
      </x:c>
      <x:c r="N16" s="24" t="str">
        <x:v>diplodus</x:v>
      </x:c>
      <x:c r="O16" s="32" t="n">
        <x:v>2.97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Diplodus</x:v>
      </x:c>
      <x:c r="T16" s="32" t="n">
        <x:f>IF(O16="","",(1/'Metadata'!$B$5)^(O16-1))</x:f>
        <x:v>93.32543007969915</x:v>
      </x:c>
      <x:c r="U16" s="31" t="n">
        <x:f>IF(T16="","",I16*T16)</x:f>
        <x:v>277620.6814635371</x:v>
      </x:c>
    </x:row>
    <x:row r="17" ht="18" customHeight="1">
      <x:c r="A17" s="24" t="str">
        <x:v>EEZ_962</x:v>
      </x:c>
      <x:c r="B17" s="24" t="str">
        <x:v>Spain (mainland, Med and Gulf of Cadiz)</x:v>
      </x:c>
      <x:c r="C17" s="24" t="str">
        <x:v>EEZ</x:v>
      </x:c>
      <x:c r="D17" s="30" t="n">
        <x:v>2019</x:v>
      </x:c>
      <x:c r="E17" s="24" t="str">
        <x:v>Aristeus antennatus</x:v>
      </x:c>
      <x:c r="F17" s="24" t="str">
        <x:v>Blue and red shrimp</x:v>
      </x:c>
      <x:c r="G17" s="24" t="str">
        <x:v>Shrimps</x:v>
      </x:c>
      <x:c r="H17" s="24" t="str">
        <x:v>Crustaceans</x:v>
      </x:c>
      <x:c r="I17" s="31" t="n">
        <x:v>2718.9243538677997</x:v>
      </x:c>
      <x:c r="J17" s="31" t="n">
        <x:v>2684.3486785743</x:v>
      </x:c>
      <x:c r="K17" s="31" t="n">
        <x:v>34.5756752935</x:v>
      </x:c>
      <x:c r="L17" s="31" t="n">
        <x:v>2498.6023231079</x:v>
      </x:c>
      <x:c r="M17" s="31" t="n">
        <x:v>220.3220307599</x:v>
      </x:c>
      <x:c r="N17" s="24" t="str">
        <x:v>aristeus antennatus</x:v>
      </x:c>
      <x:c r="O17" s="32" t="n">
        <x:v>3.3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Aristeus antennatus</x:v>
      </x:c>
      <x:c r="T17" s="32" t="n">
        <x:f>IF(O17="","",(1/'Metadata'!$B$5)^(O17-1))</x:f>
        <x:v>199.52623149688787</x:v>
      </x:c>
      <x:c r="U17" s="31" t="n">
        <x:f>IF(T17="","",I17*T17)</x:f>
        <x:v>542496.7300523529</x:v>
      </x:c>
    </x:row>
    <x:row r="18" ht="18" customHeight="1">
      <x:c r="A18" s="24" t="str">
        <x:v>EEZ_962</x:v>
      </x:c>
      <x:c r="B18" s="24" t="str">
        <x:v>Spain (mainland, Med and Gulf of Cadiz)</x:v>
      </x:c>
      <x:c r="C18" s="24" t="str">
        <x:v>EEZ</x:v>
      </x:c>
      <x:c r="D18" s="30" t="n">
        <x:v>2019</x:v>
      </x:c>
      <x:c r="E18" s="24" t="str">
        <x:v>Miscellaneous aquatic invertebrates</x:v>
      </x:c>
      <x:c r="F18" s="24" t="str">
        <x:v>Aquatic invertebrates</x:v>
      </x:c>
      <x:c r="G18" s="24" t="str">
        <x:v>Other demersal invertebrates</x:v>
      </x:c>
      <x:c r="H18" s="24" t="str">
        <x:v>Other fishes &amp; inverts</x:v>
      </x:c>
      <x:c r="I18" s="31" t="n">
        <x:v>2539.3255924564</x:v>
      </x:c>
      <x:c r="J18" s="31" t="n">
        <x:v>130.1214089384</x:v>
      </x:c>
      <x:c r="K18" s="31" t="n">
        <x:v>2409.2041835180003</x:v>
      </x:c>
      <x:c r="L18" s="31" t="n">
        <x:v>3.6632451475</x:v>
      </x:c>
      <x:c r="M18" s="31" t="n">
        <x:v>2535.6623473089003</x:v>
      </x:c>
      <x:c r="N18" s="24" t="str">
        <x:v>miscellaneous aquatic invertebrates</x:v>
      </x:c>
      <x:c r="O18" s="32" t="n">
        <x:v>2.43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Miscellaneous aquatic invertebrates</x:v>
      </x:c>
      <x:c r="T18" s="32" t="n">
        <x:f>IF(O18="","",(1/'Metadata'!$B$5)^(O18-1))</x:f>
        <x:v>26.915348039269166</x:v>
      </x:c>
      <x:c r="U18" s="31" t="n">
        <x:f>IF(T18="","",I18*T18)</x:f>
        <x:v>68346.83210598739</x:v>
      </x:c>
    </x:row>
    <x:row r="19" ht="18" customHeight="1">
      <x:c r="A19" s="24" t="str">
        <x:v>EEZ_962</x:v>
      </x:c>
      <x:c r="B19" s="24" t="str">
        <x:v>Spain (mainland, Med and Gulf of Cadiz)</x:v>
      </x:c>
      <x:c r="C19" s="24" t="str">
        <x:v>EEZ</x:v>
      </x:c>
      <x:c r="D19" s="30" t="n">
        <x:v>2019</x:v>
      </x:c>
      <x:c r="E19" s="24" t="str">
        <x:v>Micromesistius poutassou</x:v>
      </x:c>
      <x:c r="F19" s="24" t="str">
        <x:v>Blue whiting</x:v>
      </x:c>
      <x:c r="G19" s="24" t="str">
        <x:v>Medium benthopelagics (30 - 89 cm)</x:v>
      </x:c>
      <x:c r="H19" s="24" t="str">
        <x:v>Cod-likes</x:v>
      </x:c>
      <x:c r="I19" s="31" t="n">
        <x:v>2298.7377328867</x:v>
      </x:c>
      <x:c r="J19" s="31" t="n">
        <x:v>2194.5874162543</x:v>
      </x:c>
      <x:c r="K19" s="31" t="n">
        <x:v>104.1503166324</x:v>
      </x:c>
      <x:c r="L19" s="31" t="n">
        <x:v>1950.3041139193</x:v>
      </x:c>
      <x:c r="M19" s="31" t="n">
        <x:v>348.4336189674</x:v>
      </x:c>
      <x:c r="N19" s="24" t="str">
        <x:v>micromesistius poutassou</x:v>
      </x:c>
      <x:c r="O19" s="32" t="n">
        <x:v>4.13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Micromesistius poutassou</x:v>
      </x:c>
      <x:c r="T19" s="32" t="n">
        <x:f>IF(O19="","",(1/'Metadata'!$B$5)^(O19-1))</x:f>
        <x:v>1348.9628825916532</x:v>
      </x:c>
      <x:c r="U19" s="31" t="n">
        <x:f>IF(T19="","",I19*T19)</x:f>
        <x:v>3100911.8784770444</x:v>
      </x:c>
    </x:row>
    <x:row r="20" ht="18" customHeight="1">
      <x:c r="A20" s="24" t="str">
        <x:v>EEZ_962</x:v>
      </x:c>
      <x:c r="B20" s="24" t="str">
        <x:v>Spain (mainland, Med and Gulf of Cadiz)</x:v>
      </x:c>
      <x:c r="C20" s="24" t="str">
        <x:v>EEZ</x:v>
      </x:c>
      <x:c r="D20" s="30" t="n">
        <x:v>2019</x:v>
      </x:c>
      <x:c r="E20" s="24" t="str">
        <x:v>Sepia officinalis</x:v>
      </x:c>
      <x:c r="F20" s="24" t="str">
        <x:v>Common cuttlefish</x:v>
      </x:c>
      <x:c r="G20" s="24" t="str">
        <x:v>Cephalopods</x:v>
      </x:c>
      <x:c r="H20" s="24" t="str">
        <x:v>Other fishes &amp; inverts</x:v>
      </x:c>
      <x:c r="I20" s="31" t="n">
        <x:v>2183.2914826929</x:v>
      </x:c>
      <x:c r="J20" s="31" t="n">
        <x:v>2153.9913285889</x:v>
      </x:c>
      <x:c r="K20" s="31" t="n">
        <x:v>29.300154103999997</x:v>
      </x:c>
      <x:c r="L20" s="31" t="n">
        <x:v>1499.2427327363</x:v>
      </x:c>
      <x:c r="M20" s="31" t="n">
        <x:v>684.0487499566</x:v>
      </x:c>
      <x:c r="N20" s="24" t="str">
        <x:v>sepia officinalis</x:v>
      </x:c>
      <x:c r="O20" s="32" t="n">
        <x:v>4.27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Sepia officinalis</x:v>
      </x:c>
      <x:c r="T20" s="32" t="n">
        <x:f>IF(O20="","",(1/'Metadata'!$B$5)^(O20-1))</x:f>
        <x:v>1862.0871366628655</x:v>
      </x:c>
      <x:c r="U20" s="31" t="n">
        <x:f>IF(T20="","",I20*T20)</x:f>
        <x:v>4065478.9855080443</x:v>
      </x:c>
    </x:row>
    <x:row r="21" ht="18" customHeight="1">
      <x:c r="A21" s="24" t="str">
        <x:v>EEZ_962</x:v>
      </x:c>
      <x:c r="B21" s="24" t="str">
        <x:v>Spain (mainland, Med and Gulf of Cadiz)</x:v>
      </x:c>
      <x:c r="C21" s="24" t="str">
        <x:v>EEZ</x:v>
      </x:c>
      <x:c r="D21" s="30" t="n">
        <x:v>2019</x:v>
      </x:c>
      <x:c r="E21" s="24" t="str">
        <x:v>Pagellus erythrinus</x:v>
      </x:c>
      <x:c r="F21" s="24" t="str">
        <x:v>Common pandora</x:v>
      </x:c>
      <x:c r="G21" s="24" t="str">
        <x:v>Medium benthopelagics (30 - 89 cm)</x:v>
      </x:c>
      <x:c r="H21" s="24" t="str">
        <x:v>Perch-likes</x:v>
      </x:c>
      <x:c r="I21" s="31" t="n">
        <x:v>2182.4073297247</x:v>
      </x:c>
      <x:c r="J21" s="31" t="n">
        <x:v>1936.3721454365</x:v>
      </x:c>
      <x:c r="K21" s="31" t="n">
        <x:v>246.0351842882</x:v>
      </x:c>
      <x:c r="L21" s="31" t="n">
        <x:v>1308.5991724713</x:v>
      </x:c>
      <x:c r="M21" s="31" t="n">
        <x:v>873.8081572534</x:v>
      </x:c>
      <x:c r="N21" s="24" t="str">
        <x:v>pagellus erythrinus</x:v>
      </x:c>
      <x:c r="O21" s="32" t="n">
        <x:v>3.48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Pagellus erythrinus</x:v>
      </x:c>
      <x:c r="T21" s="32" t="n">
        <x:f>IF(O21="","",(1/'Metadata'!$B$5)^(O21-1))</x:f>
        <x:v>301.9951720402016</x:v>
      </x:c>
      <x:c r="U21" s="31" t="n">
        <x:f>IF(T21="","",I21*T21)</x:f>
        <x:v>659076.4770020078</x:v>
      </x:c>
    </x:row>
    <x:row r="22" ht="18" customHeight="1">
      <x:c r="A22" s="24" t="str">
        <x:v>EEZ_962</x:v>
      </x:c>
      <x:c r="B22" s="24" t="str">
        <x:v>Spain (mainland, Med and Gulf of Cadiz)</x:v>
      </x:c>
      <x:c r="C22" s="24" t="str">
        <x:v>EEZ</x:v>
      </x:c>
      <x:c r="D22" s="30" t="n">
        <x:v>2019</x:v>
      </x:c>
      <x:c r="E22" s="24" t="str">
        <x:v>Squilla mantis</x:v>
      </x:c>
      <x:c r="F22" s="24" t="str">
        <x:v>Spottail mantis squillid</x:v>
      </x:c>
      <x:c r="G22" s="24" t="str">
        <x:v>Shrimps</x:v>
      </x:c>
      <x:c r="H22" s="24" t="str">
        <x:v>Crustaceans</x:v>
      </x:c>
      <x:c r="I22" s="31" t="n">
        <x:v>2154.8138031516</x:v>
      </x:c>
      <x:c r="J22" s="31" t="n">
        <x:v>1610.2012813341</x:v>
      </x:c>
      <x:c r="K22" s="31" t="n">
        <x:v>544.6125218174999</x:v>
      </x:c>
      <x:c r="L22" s="31" t="n">
        <x:v>1493.5509351992</x:v>
      </x:c>
      <x:c r="M22" s="31" t="n">
        <x:v>661.2628679523999</x:v>
      </x:c>
      <x:c r="N22" s="24" t="str">
        <x:v>squilla mantis</x:v>
      </x:c>
      <x:c r="O22" s="32" t="n">
        <x:v>3.62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Squilla mantis</x:v>
      </x:c>
      <x:c r="T22" s="32" t="n">
        <x:f>IF(O22="","",(1/'Metadata'!$B$5)^(O22-1))</x:f>
        <x:v>416.8693834703355</x:v>
      </x:c>
      <x:c r="U22" s="31" t="n">
        <x:f>IF(T22="","",I22*T22)</x:f>
        <x:v>898275.9016131763</x:v>
      </x:c>
    </x:row>
    <x:row r="23" ht="18" customHeight="1">
      <x:c r="A23" s="24" t="str">
        <x:v>EEZ_962</x:v>
      </x:c>
      <x:c r="B23" s="24" t="str">
        <x:v>Spain (mainland, Med and Gulf of Cadiz)</x:v>
      </x:c>
      <x:c r="C23" s="24" t="str">
        <x:v>EEZ</x:v>
      </x:c>
      <x:c r="D23" s="30" t="n">
        <x:v>2019</x:v>
      </x:c>
      <x:c r="E23" s="24" t="str">
        <x:v>Trachurus mediterraneus</x:v>
      </x:c>
      <x:c r="F23" s="24" t="str">
        <x:v>Mediterranean horse mackerel</x:v>
      </x:c>
      <x:c r="G23" s="24" t="str">
        <x:v>Medium pelagics (30 - 89 cm)</x:v>
      </x:c>
      <x:c r="H23" s="24" t="str">
        <x:v>Perch-likes</x:v>
      </x:c>
      <x:c r="I23" s="31" t="n">
        <x:v>2029.5999178513</x:v>
      </x:c>
      <x:c r="J23" s="31" t="n">
        <x:v>1678.9689607727</x:v>
      </x:c>
      <x:c r="K23" s="31" t="n">
        <x:v>350.63095707860003</x:v>
      </x:c>
      <x:c r="L23" s="31" t="n">
        <x:v>1631.6795118654</x:v>
      </x:c>
      <x:c r="M23" s="31" t="n">
        <x:v>397.9204059859</x:v>
      </x:c>
      <x:c r="N23" s="24" t="str">
        <x:v>trachurus mediterraneus</x:v>
      </x:c>
      <x:c r="O23" s="32" t="n">
        <x:v>3.77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Trachurus mediterraneus</x:v>
      </x:c>
      <x:c r="T23" s="32" t="n">
        <x:f>IF(O23="","",(1/'Metadata'!$B$5)^(O23-1))</x:f>
        <x:v>588.843655355589</x:v>
      </x:c>
      <x:c r="U23" s="31" t="n">
        <x:f>IF(T23="","",I23*T23)</x:f>
        <x:v>1195117.0345369626</x:v>
      </x:c>
    </x:row>
    <x:row r="24" ht="18" customHeight="1">
      <x:c r="A24" s="24" t="str">
        <x:v>EEZ_962</x:v>
      </x:c>
      <x:c r="B24" s="24" t="str">
        <x:v>Spain (mainland, Med and Gulf of Cadiz)</x:v>
      </x:c>
      <x:c r="C24" s="24" t="str">
        <x:v>EEZ</x:v>
      </x:c>
      <x:c r="D24" s="30" t="n">
        <x:v>2019</x:v>
      </x:c>
      <x:c r="E24" s="24" t="str">
        <x:v>Pagrus pagrus</x:v>
      </x:c>
      <x:c r="F24" s="24" t="str">
        <x:v>Red porgy</x:v>
      </x:c>
      <x:c r="G24" s="24" t="str">
        <x:v>Medium benthopelagics (30 - 89 cm)</x:v>
      </x:c>
      <x:c r="H24" s="24" t="str">
        <x:v>Perch-likes</x:v>
      </x:c>
      <x:c r="I24" s="31" t="n">
        <x:v>1779.9212118054002</x:v>
      </x:c>
      <x:c r="J24" s="31" t="n">
        <x:v>1768.8288626764001</x:v>
      </x:c>
      <x:c r="K24" s="31" t="n">
        <x:v>11.092349128999999</x:v>
      </x:c>
      <x:c r="L24" s="31" t="n">
        <x:v>126.98272398659998</x:v>
      </x:c>
      <x:c r="M24" s="31" t="n">
        <x:v>1652.9384878188</x:v>
      </x:c>
      <x:c r="N24" s="24" t="str">
        <x:v>pagrus pagrus</x:v>
      </x:c>
      <x:c r="O24" s="32" t="n">
        <x:v>3.86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Pagrus pagrus</x:v>
      </x:c>
      <x:c r="T24" s="32" t="n">
        <x:f>IF(O24="","",(1/'Metadata'!$B$5)^(O24-1))</x:f>
        <x:v>724.4359600749899</x:v>
      </x:c>
      <x:c r="U24" s="31" t="n">
        <x:f>IF(T24="","",I24*T24)</x:f>
        <x:v>1289438.9319320845</x:v>
      </x:c>
    </x:row>
    <x:row r="25" ht="18" customHeight="1">
      <x:c r="A25" s="24" t="str">
        <x:v>EEZ_962</x:v>
      </x:c>
      <x:c r="B25" s="24" t="str">
        <x:v>Spain (mainland, Med and Gulf of Cadiz)</x:v>
      </x:c>
      <x:c r="C25" s="24" t="str">
        <x:v>EEZ</x:v>
      </x:c>
      <x:c r="D25" s="30" t="n">
        <x:v>2019</x:v>
      </x:c>
      <x:c r="E25" s="24" t="str">
        <x:v>Dentex dentex</x:v>
      </x:c>
      <x:c r="F25" s="24" t="str">
        <x:v>Common dentex</x:v>
      </x:c>
      <x:c r="G25" s="24" t="str">
        <x:v>Large benthopelagics (&gt;=90 cm)</x:v>
      </x:c>
      <x:c r="H25" s="24" t="str">
        <x:v>Perch-likes</x:v>
      </x:c>
      <x:c r="I25" s="31" t="n">
        <x:v>1738.1457777141</x:v>
      </x:c>
      <x:c r="J25" s="31" t="n">
        <x:v>1731.1151839084</x:v>
      </x:c>
      <x:c r="K25" s="31" t="n">
        <x:v>7.0305938057</x:v>
      </x:c>
      <x:c r="L25" s="31" t="n">
        <x:v>73.39727994130001</x:v>
      </x:c>
      <x:c r="M25" s="31" t="n">
        <x:v>1664.7484977728</x:v>
      </x:c>
      <x:c r="N25" s="24" t="str">
        <x:v>dentex dentex</x:v>
      </x:c>
      <x:c r="O25" s="32" t="n">
        <x:v>4.53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Dentex dentex</x:v>
      </x:c>
      <x:c r="T25" s="32" t="n">
        <x:f>IF(O25="","",(1/'Metadata'!$B$5)^(O25-1))</x:f>
        <x:v>3388.4415613920273</x:v>
      </x:c>
      <x:c r="U25" s="31" t="n">
        <x:f>IF(T25="","",I25*T25)</x:f>
        <x:v>5889605.392964524</x:v>
      </x:c>
    </x:row>
    <x:row r="26" ht="18" customHeight="1">
      <x:c r="A26" s="24" t="str">
        <x:v>EEZ_962</x:v>
      </x:c>
      <x:c r="B26" s="24" t="str">
        <x:v>Spain (mainland, Med and Gulf of Cadiz)</x:v>
      </x:c>
      <x:c r="C26" s="24" t="str">
        <x:v>EEZ</x:v>
      </x:c>
      <x:c r="D26" s="30" t="n">
        <x:v>2019</x:v>
      </x:c>
      <x:c r="E26" s="24" t="str">
        <x:v>Nephrops norvegicus</x:v>
      </x:c>
      <x:c r="F26" s="24" t="str">
        <x:v>Norway lobster</x:v>
      </x:c>
      <x:c r="G26" s="24" t="str">
        <x:v>Lobsters, crabs</x:v>
      </x:c>
      <x:c r="H26" s="24" t="str">
        <x:v>Crustaceans</x:v>
      </x:c>
      <x:c r="I26" s="31" t="n">
        <x:v>1701.7898394704</x:v>
      </x:c>
      <x:c r="J26" s="31" t="n">
        <x:v>1674.3084470170002</x:v>
      </x:c>
      <x:c r="K26" s="31" t="n">
        <x:v>27.4813924534</x:v>
      </x:c>
      <x:c r="L26" s="31" t="n">
        <x:v>680.3020364734</x:v>
      </x:c>
      <x:c r="M26" s="31" t="n">
        <x:v>1021.487802997</x:v>
      </x:c>
      <x:c r="N26" s="24" t="str">
        <x:v>nephrops norvegicus</x:v>
      </x:c>
      <x:c r="O26" s="32" t="n">
        <x:v>2.87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Nephrops norvegicus</x:v>
      </x:c>
      <x:c r="T26" s="32" t="n">
        <x:f>IF(O26="","",(1/'Metadata'!$B$5)^(O26-1))</x:f>
        <x:v>74.13102413009177</x:v>
      </x:c>
      <x:c r="U26" s="31" t="n">
        <x:f>IF(T26="","",I26*T26)</x:f>
        <x:v>126155.42365412523</x:v>
      </x:c>
    </x:row>
    <x:row r="27" ht="18" customHeight="1">
      <x:c r="A27" s="24" t="str">
        <x:v>EEZ_962</x:v>
      </x:c>
      <x:c r="B27" s="24" t="str">
        <x:v>Spain (mainland, Med and Gulf of Cadiz)</x:v>
      </x:c>
      <x:c r="C27" s="24" t="str">
        <x:v>EEZ</x:v>
      </x:c>
      <x:c r="D27" s="30" t="n">
        <x:v>2019</x:v>
      </x:c>
      <x:c r="E27" s="24" t="str">
        <x:v>Scomberesox saurus</x:v>
      </x:c>
      <x:c r="F27" s="24" t="str">
        <x:v>Atlantic saury</x:v>
      </x:c>
      <x:c r="G27" s="24" t="str">
        <x:v>Medium pelagics (30 - 89 cm)</x:v>
      </x:c>
      <x:c r="H27" s="24" t="str">
        <x:v>Other fishes &amp; inverts</x:v>
      </x:c>
      <x:c r="I27" s="31" t="n">
        <x:v>1694.095385883</x:v>
      </x:c>
      <x:c r="J27" s="31" t="n">
        <x:v>1514.2884101003</x:v>
      </x:c>
      <x:c r="K27" s="31" t="n">
        <x:v>179.8069757827</x:v>
      </x:c>
      <x:c r="L27" s="31" t="n">
        <x:v>1490.6103150088</x:v>
      </x:c>
      <x:c r="M27" s="31" t="n">
        <x:v>203.4850708742</x:v>
      </x:c>
      <x:c r="N27" s="24" t="str">
        <x:v>scomberesox saurus</x:v>
      </x:c>
      <x:c r="O27" s="32" t="n">
        <x:v>3.91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Scomberesox saurus</x:v>
      </x:c>
      <x:c r="T27" s="32" t="n">
        <x:f>IF(O27="","",(1/'Metadata'!$B$5)^(O27-1))</x:f>
        <x:v>812.8305161640995</x:v>
      </x:c>
      <x:c r="U27" s="31" t="n">
        <x:f>IF(T27="","",I27*T27)</x:f>
        <x:v>1377012.4269384984</x:v>
      </x:c>
    </x:row>
    <x:row r="28" ht="18" customHeight="1">
      <x:c r="A28" s="24" t="str">
        <x:v>EEZ_962</x:v>
      </x:c>
      <x:c r="B28" s="24" t="str">
        <x:v>Spain (mainland, Med and Gulf of Cadiz)</x:v>
      </x:c>
      <x:c r="C28" s="24" t="str">
        <x:v>EEZ</x:v>
      </x:c>
      <x:c r="D28" s="30" t="n">
        <x:v>2019</x:v>
      </x:c>
      <x:c r="E28" s="24" t="str">
        <x:v>Mullus barbatus</x:v>
      </x:c>
      <x:c r="F28" s="24" t="str">
        <x:v>Red mullet</x:v>
      </x:c>
      <x:c r="G28" s="24" t="str">
        <x:v>Medium demersals (30 - 89 cm)</x:v>
      </x:c>
      <x:c r="H28" s="24" t="str">
        <x:v>Perch-likes</x:v>
      </x:c>
      <x:c r="I28" s="31" t="n">
        <x:v>1645.6778197715</x:v>
      </x:c>
      <x:c r="J28" s="31" t="n">
        <x:v>1612.3345570622998</x:v>
      </x:c>
      <x:c r="K28" s="31" t="n">
        <x:v>33.3432627092</x:v>
      </x:c>
      <x:c r="L28" s="31" t="n">
        <x:v>1513.6031245</x:v>
      </x:c>
      <x:c r="M28" s="31" t="n">
        <x:v>132.0746952715</x:v>
      </x:c>
      <x:c r="N28" s="24" t="str">
        <x:v>mullus barbatus</x:v>
      </x:c>
      <x:c r="O28" s="32" t="n">
        <x:v>3.14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Mullus barbatus</x:v>
      </x:c>
      <x:c r="T28" s="32" t="n">
        <x:f>IF(O28="","",(1/'Metadata'!$B$5)^(O28-1))</x:f>
        <x:v>138.03842646028852</x:v>
      </x:c>
      <x:c r="U28" s="31" t="n">
        <x:f>IF(T28="","",I28*T28)</x:f>
        <x:v>227166.77670185614</x:v>
      </x:c>
    </x:row>
    <x:row r="29" ht="18" customHeight="1">
      <x:c r="A29" s="24" t="str">
        <x:v>EEZ_962</x:v>
      </x:c>
      <x:c r="B29" s="24" t="str">
        <x:v>Spain (mainland, Med and Gulf of Cadiz)</x:v>
      </x:c>
      <x:c r="C29" s="24" t="str">
        <x:v>EEZ</x:v>
      </x:c>
      <x:c r="D29" s="30" t="n">
        <x:v>2019</x:v>
      </x:c>
      <x:c r="E29" s="24" t="str">
        <x:v>Scomber colias</x:v>
      </x:c>
      <x:c r="F29" s="24" t="str">
        <x:v>Atlantic chub mackerel</x:v>
      </x:c>
      <x:c r="G29" s="24" t="str">
        <x:v>Medium pelagics (30 - 89 cm)</x:v>
      </x:c>
      <x:c r="H29" s="24" t="str">
        <x:v>Perch-likes</x:v>
      </x:c>
      <x:c r="I29" s="31" t="n">
        <x:v>1494.9029203675</x:v>
      </x:c>
      <x:c r="J29" s="31" t="n">
        <x:v>1494.9029203675</x:v>
      </x:c>
      <x:c r="K29" s="31" t="n">
        <x:v>0</x:v>
      </x:c>
      <x:c r="L29" s="31" t="n">
        <x:v>0</x:v>
      </x:c>
      <x:c r="M29" s="31" t="n">
        <x:v>1494.9029203675</x:v>
      </x:c>
      <x:c r="N29" s="24" t="str">
        <x:v>scomber colias</x:v>
      </x:c>
      <x:c r="O29" s="32" t="n">
        <x:v>3.91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Scomber colias</x:v>
      </x:c>
      <x:c r="T29" s="32" t="n">
        <x:f>IF(O29="","",(1/'Metadata'!$B$5)^(O29-1))</x:f>
        <x:v>812.8305161640995</x:v>
      </x:c>
      <x:c r="U29" s="31" t="n">
        <x:f>IF(T29="","",I29*T29)</x:f>
        <x:v>1215102.7123775347</x:v>
      </x:c>
    </x:row>
    <x:row r="30" ht="18" customHeight="1">
      <x:c r="A30" s="24" t="str">
        <x:v>EEZ_962</x:v>
      </x:c>
      <x:c r="B30" s="24" t="str">
        <x:v>Spain (mainland, Med and Gulf of Cadiz)</x:v>
      </x:c>
      <x:c r="C30" s="24" t="str">
        <x:v>EEZ</x:v>
      </x:c>
      <x:c r="D30" s="30" t="n">
        <x:v>2019</x:v>
      </x:c>
      <x:c r="E30" s="24" t="str">
        <x:v>Argyrosomus regius</x:v>
      </x:c>
      <x:c r="F30" s="24" t="str">
        <x:v>Meagre</x:v>
      </x:c>
      <x:c r="G30" s="24" t="str">
        <x:v>Large benthopelagics (&gt;=90 cm)</x:v>
      </x:c>
      <x:c r="H30" s="24" t="str">
        <x:v>Perch-likes</x:v>
      </x:c>
      <x:c r="I30" s="31" t="n">
        <x:v>1471.6891519387</x:v>
      </x:c>
      <x:c r="J30" s="31" t="n">
        <x:v>1465.9268909057</x:v>
      </x:c>
      <x:c r="K30" s="31" t="n">
        <x:v>5.762261033</x:v>
      </x:c>
      <x:c r="L30" s="31" t="n">
        <x:v>357.30874777820003</x:v>
      </x:c>
      <x:c r="M30" s="31" t="n">
        <x:v>1114.3804041605001</x:v>
      </x:c>
      <x:c r="N30" s="24" t="str">
        <x:v>argyrosomus regius</x:v>
      </x:c>
      <x:c r="O30" s="32" t="n">
        <x:v>4.29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Argyrosomus regius</x:v>
      </x:c>
      <x:c r="T30" s="32" t="n">
        <x:f>IF(O30="","",(1/'Metadata'!$B$5)^(O30-1))</x:f>
        <x:v>1949.8445997580454</x:v>
      </x:c>
      <x:c r="U30" s="31" t="n">
        <x:f>IF(T30="","",I30*T30)</x:f>
        <x:v>2869565.145430172</x:v>
      </x:c>
    </x:row>
    <x:row r="31" ht="18" customHeight="1">
      <x:c r="A31" s="24" t="str">
        <x:v>EEZ_962</x:v>
      </x:c>
      <x:c r="B31" s="24" t="str">
        <x:v>Spain (mainland, Med and Gulf of Cadiz)</x:v>
      </x:c>
      <x:c r="C31" s="24" t="str">
        <x:v>EEZ</x:v>
      </x:c>
      <x:c r="D31" s="30" t="n">
        <x:v>2019</x:v>
      </x:c>
      <x:c r="E31" s="24" t="str">
        <x:v>Pagellus bogaraveo</x:v>
      </x:c>
      <x:c r="F31" s="24" t="str">
        <x:v>Blackspot seabream</x:v>
      </x:c>
      <x:c r="G31" s="24" t="str">
        <x:v>Medium benthopelagics (30 - 89 cm)</x:v>
      </x:c>
      <x:c r="H31" s="24" t="str">
        <x:v>Perch-likes</x:v>
      </x:c>
      <x:c r="I31" s="31" t="n">
        <x:v>1462.9965924816</x:v>
      </x:c>
      <x:c r="J31" s="31" t="n">
        <x:v>1455.845969348</x:v>
      </x:c>
      <x:c r="K31" s="31" t="n">
        <x:v>7.1506231336</x:v>
      </x:c>
      <x:c r="L31" s="31" t="n">
        <x:v>78.5044238865</x:v>
      </x:c>
      <x:c r="M31" s="31" t="n">
        <x:v>1384.4921685951</x:v>
      </x:c>
      <x:c r="N31" s="24" t="str">
        <x:v>pagellus bogaraveo</x:v>
      </x:c>
      <x:c r="O31" s="32" t="n">
        <x:v>4.21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Pagellus bogaraveo</x:v>
      </x:c>
      <x:c r="T31" s="32" t="n">
        <x:f>IF(O31="","",(1/'Metadata'!$B$5)^(O31-1))</x:f>
        <x:v>1621.8100973589299</x:v>
      </x:c>
      <x:c r="U31" s="31" t="n">
        <x:f>IF(T31="","",I31*T31)</x:f>
        <x:v>2372702.6460883664</x:v>
      </x:c>
    </x:row>
    <x:row r="32" ht="18" customHeight="1">
      <x:c r="A32" s="24" t="str">
        <x:v>EEZ_962</x:v>
      </x:c>
      <x:c r="B32" s="24" t="str">
        <x:v>Spain (mainland, Med and Gulf of Cadiz)</x:v>
      </x:c>
      <x:c r="C32" s="24" t="str">
        <x:v>EEZ</x:v>
      </x:c>
      <x:c r="D32" s="30" t="n">
        <x:v>2019</x:v>
      </x:c>
      <x:c r="E32" s="24" t="str">
        <x:v>Chamelea gallina</x:v>
      </x:c>
      <x:c r="F32" s="24" t="str">
        <x:v>Striped venus</x:v>
      </x:c>
      <x:c r="G32" s="24" t="str">
        <x:v>Other demersal invertebrates</x:v>
      </x:c>
      <x:c r="H32" s="24" t="str">
        <x:v>Molluscs</x:v>
      </x:c>
      <x:c r="I32" s="31" t="n">
        <x:v>1347.2347937881</x:v>
      </x:c>
      <x:c r="J32" s="31" t="n">
        <x:v>1344.537569511</x:v>
      </x:c>
      <x:c r="K32" s="31" t="n">
        <x:v>2.6972242771</x:v>
      </x:c>
      <x:c r="L32" s="31" t="n">
        <x:v>988.1202911726</x:v>
      </x:c>
      <x:c r="M32" s="31" t="n">
        <x:v>359.1145026155</x:v>
      </x:c>
      <x:c r="N32" s="24" t="str">
        <x:v>chamelea gallina</x:v>
      </x:c>
      <x:c r="O32" s="32" t="n">
        <x:v>2.1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Chamelea gallina</x:v>
      </x:c>
      <x:c r="T32" s="32" t="n">
        <x:f>IF(O32="","",(1/'Metadata'!$B$5)^(O32-1))</x:f>
        <x:v>12.589254117941675</x:v>
      </x:c>
      <x:c r="U32" s="31" t="n">
        <x:f>IF(T32="","",I32*T32)</x:f>
        <x:v>16960.68117553114</x:v>
      </x:c>
    </x:row>
    <x:row r="33" ht="18" customHeight="1">
      <x:c r="A33" s="24" t="str">
        <x:v>EEZ_962</x:v>
      </x:c>
      <x:c r="B33" s="24" t="str">
        <x:v>Spain (mainland, Med and Gulf of Cadiz)</x:v>
      </x:c>
      <x:c r="C33" s="24" t="str">
        <x:v>EEZ</x:v>
      </x:c>
      <x:c r="D33" s="30" t="n">
        <x:v>2019</x:v>
      </x:c>
      <x:c r="E33" s="24" t="str">
        <x:v>Lithognathus mormyrus</x:v>
      </x:c>
      <x:c r="F33" s="24" t="str">
        <x:v>Sand steenbras</x:v>
      </x:c>
      <x:c r="G33" s="24" t="str">
        <x:v>Medium benthopelagics (30 - 89 cm)</x:v>
      </x:c>
      <x:c r="H33" s="24" t="str">
        <x:v>Perch-likes</x:v>
      </x:c>
      <x:c r="I33" s="31" t="n">
        <x:v>1290.4254134507</x:v>
      </x:c>
      <x:c r="J33" s="31" t="n">
        <x:v>1283.8820448575</x:v>
      </x:c>
      <x:c r="K33" s="31" t="n">
        <x:v>6.5433685932</x:v>
      </x:c>
      <x:c r="L33" s="31" t="n">
        <x:v>107.3663211521</x:v>
      </x:c>
      <x:c r="M33" s="31" t="n">
        <x:v>1183.0590922986</x:v>
      </x:c>
      <x:c r="N33" s="24" t="str">
        <x:v>lithognathus mormyrus</x:v>
      </x:c>
      <x:c r="O33" s="32" t="n">
        <x:v>3.42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Lithognathus mormyrus</x:v>
      </x:c>
      <x:c r="T33" s="32" t="n">
        <x:f>IF(O33="","",(1/'Metadata'!$B$5)^(O33-1))</x:f>
        <x:v>263.02679918953817</x:v>
      </x:c>
      <x:c r="U33" s="31" t="n">
        <x:f>IF(T33="","",I33*T33)</x:f>
        <x:v>339416.46609277406</x:v>
      </x:c>
    </x:row>
    <x:row r="34" ht="18" customHeight="1">
      <x:c r="A34" s="24" t="str">
        <x:v>EEZ_962</x:v>
      </x:c>
      <x:c r="B34" s="24" t="str">
        <x:v>Spain (mainland, Med and Gulf of Cadiz)</x:v>
      </x:c>
      <x:c r="C34" s="24" t="str">
        <x:v>EEZ</x:v>
      </x:c>
      <x:c r="D34" s="30" t="n">
        <x:v>2019</x:v>
      </x:c>
      <x:c r="E34" s="24" t="str">
        <x:v>Illex coindetii</x:v>
      </x:c>
      <x:c r="F34" s="24" t="str">
        <x:v>Broadtail shortfin squid</x:v>
      </x:c>
      <x:c r="G34" s="24" t="str">
        <x:v>Cephalopods</x:v>
      </x:c>
      <x:c r="H34" s="24" t="str">
        <x:v>Other fishes &amp; inverts</x:v>
      </x:c>
      <x:c r="I34" s="31" t="n">
        <x:v>1239.6011602606</x:v>
      </x:c>
      <x:c r="J34" s="31" t="n">
        <x:v>1212.1651109194</x:v>
      </x:c>
      <x:c r="K34" s="31" t="n">
        <x:v>27.4360493412</x:v>
      </x:c>
      <x:c r="L34" s="31" t="n">
        <x:v>1161.9669580374</x:v>
      </x:c>
      <x:c r="M34" s="31" t="n">
        <x:v>77.63420222319999</x:v>
      </x:c>
      <x:c r="N34" s="24" t="str">
        <x:v>illex coindetii</x:v>
      </x:c>
      <x:c r="O34" s="32" t="n">
        <x:v>4.11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Illex coindetii</x:v>
      </x:c>
      <x:c r="T34" s="32" t="n">
        <x:f>IF(O34="","",(1/'Metadata'!$B$5)^(O34-1))</x:f>
        <x:v>1288.249551693135</x:v>
      </x:c>
      <x:c r="U34" s="31" t="n">
        <x:f>IF(T34="","",I34*T34)</x:f>
        <x:v>1596915.6389840078</x:v>
      </x:c>
    </x:row>
    <x:row r="35" ht="18" customHeight="1">
      <x:c r="A35" s="24" t="str">
        <x:v>EEZ_962</x:v>
      </x:c>
      <x:c r="B35" s="24" t="str">
        <x:v>Spain (mainland, Med and Gulf of Cadiz)</x:v>
      </x:c>
      <x:c r="C35" s="24" t="str">
        <x:v>EEZ</x:v>
      </x:c>
      <x:c r="D35" s="30" t="n">
        <x:v>2019</x:v>
      </x:c>
      <x:c r="E35" s="24" t="str">
        <x:v>Pomatomus saltatrix</x:v>
      </x:c>
      <x:c r="F35" s="24" t="str">
        <x:v>Bluefish</x:v>
      </x:c>
      <x:c r="G35" s="24" t="str">
        <x:v>Large pelagics (&gt;=90 cm)</x:v>
      </x:c>
      <x:c r="H35" s="24" t="str">
        <x:v>Perch-likes</x:v>
      </x:c>
      <x:c r="I35" s="31" t="n">
        <x:v>1203.5521811726999</x:v>
      </x:c>
      <x:c r="J35" s="31" t="n">
        <x:v>1185.4082536199</x:v>
      </x:c>
      <x:c r="K35" s="31" t="n">
        <x:v>18.143927552799997</x:v>
      </x:c>
      <x:c r="L35" s="31" t="n">
        <x:v>295.3042034212</x:v>
      </x:c>
      <x:c r="M35" s="31" t="n">
        <x:v>908.2479777515</x:v>
      </x:c>
      <x:c r="N35" s="24" t="str">
        <x:v>pomatomus saltatrix</x:v>
      </x:c>
      <x:c r="O35" s="32" t="n">
        <x:v>4.53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Pomatomus saltatrix</x:v>
      </x:c>
      <x:c r="T35" s="32" t="n">
        <x:f>IF(O35="","",(1/'Metadata'!$B$5)^(O35-1))</x:f>
        <x:v>3388.4415613920273</x:v>
      </x:c>
      <x:c r="U35" s="31" t="n">
        <x:f>IF(T35="","",I35*T35)</x:f>
        <x:v>4078166.2319896035</x:v>
      </x:c>
    </x:row>
    <x:row r="36" ht="18" customHeight="1">
      <x:c r="A36" s="24" t="str">
        <x:v>EEZ_962</x:v>
      </x:c>
      <x:c r="B36" s="24" t="str">
        <x:v>Spain (mainland, Med and Gulf of Cadiz)</x:v>
      </x:c>
      <x:c r="C36" s="24" t="str">
        <x:v>EEZ</x:v>
      </x:c>
      <x:c r="D36" s="30" t="n">
        <x:v>2019</x:v>
      </x:c>
      <x:c r="E36" s="24" t="str">
        <x:v>Thunnus alalunga</x:v>
      </x:c>
      <x:c r="F36" s="24" t="str">
        <x:v>Albacore</x:v>
      </x:c>
      <x:c r="G36" s="24" t="str">
        <x:v>Large pelagics (&gt;=90 cm)</x:v>
      </x:c>
      <x:c r="H36" s="24" t="str">
        <x:v>Tuna &amp; billfishes</x:v>
      </x:c>
      <x:c r="I36" s="31" t="n">
        <x:v>1034.4196923252</x:v>
      </x:c>
      <x:c r="J36" s="31" t="n">
        <x:v>1034.4196923252</x:v>
      </x:c>
      <x:c r="K36" s="31" t="n">
        <x:v>0</x:v>
      </x:c>
      <x:c r="L36" s="31" t="n">
        <x:v>816.8143527314</x:v>
      </x:c>
      <x:c r="M36" s="31" t="n">
        <x:v>217.6053395938</x:v>
      </x:c>
      <x:c r="N36" s="24" t="str">
        <x:v>thunnus alalunga</x:v>
      </x:c>
      <x:c r="O36" s="32" t="n">
        <x:v>4.3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Thunnus alalunga</x:v>
      </x:c>
      <x:c r="T36" s="32" t="n">
        <x:f>IF(O36="","",(1/'Metadata'!$B$5)^(O36-1))</x:f>
        <x:v>1995.2623149688789</x:v>
      </x:c>
      <x:c r="U36" s="31" t="n">
        <x:f>IF(T36="","",I36*T36)</x:f>
        <x:v>2063938.629958174</x:v>
      </x:c>
    </x:row>
    <x:row r="37" ht="18" customHeight="1">
      <x:c r="A37" s="24" t="str">
        <x:v>EEZ_962</x:v>
      </x:c>
      <x:c r="B37" s="24" t="str">
        <x:v>Spain (mainland, Med and Gulf of Cadiz)</x:v>
      </x:c>
      <x:c r="C37" s="24" t="str">
        <x:v>EEZ</x:v>
      </x:c>
      <x:c r="D37" s="30" t="n">
        <x:v>2019</x:v>
      </x:c>
      <x:c r="E37" s="24" t="str">
        <x:v>Coryphaena hippurus</x:v>
      </x:c>
      <x:c r="F37" s="24" t="str">
        <x:v>Common dolphinfish</x:v>
      </x:c>
      <x:c r="G37" s="24" t="str">
        <x:v>Large pelagics (&gt;=90 cm)</x:v>
      </x:c>
      <x:c r="H37" s="24" t="str">
        <x:v>Perch-likes</x:v>
      </x:c>
      <x:c r="I37" s="31" t="n">
        <x:v>1026.0788973955</x:v>
      </x:c>
      <x:c r="J37" s="31" t="n">
        <x:v>1015.4129913595</x:v>
      </x:c>
      <x:c r="K37" s="31" t="n">
        <x:v>10.665906036</x:v>
      </x:c>
      <x:c r="L37" s="31" t="n">
        <x:v>128.1761639593</x:v>
      </x:c>
      <x:c r="M37" s="31" t="n">
        <x:v>897.9027334361999</x:v>
      </x:c>
      <x:c r="N37" s="24" t="str">
        <x:v>coryphaena hippurus</x:v>
      </x:c>
      <x:c r="O37" s="32" t="n">
        <x:v>4.37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Coryphaena hippurus</x:v>
      </x:c>
      <x:c r="T37" s="32" t="n">
        <x:f>IF(O37="","",(1/'Metadata'!$B$5)^(O37-1))</x:f>
        <x:v>2344.228815319923</x:v>
      </x:c>
      <x:c r="U37" s="31" t="n">
        <x:f>IF(T37="","",I37*T37)</x:f>
        <x:v>2405363.7180662258</x:v>
      </x:c>
    </x:row>
    <x:row r="38" ht="18" customHeight="1">
      <x:c r="A38" s="24" t="str">
        <x:v>EEZ_962</x:v>
      </x:c>
      <x:c r="B38" s="24" t="str">
        <x:v>Spain (mainland, Med and Gulf of Cadiz)</x:v>
      </x:c>
      <x:c r="C38" s="24" t="str">
        <x:v>EEZ</x:v>
      </x:c>
      <x:c r="D38" s="30" t="n">
        <x:v>2019</x:v>
      </x:c>
      <x:c r="E38" s="24" t="str">
        <x:v>Sarda sarda</x:v>
      </x:c>
      <x:c r="F38" s="24" t="str">
        <x:v>Atlantic bonito</x:v>
      </x:c>
      <x:c r="G38" s="24" t="str">
        <x:v>Medium pelagics (30 - 89 cm)</x:v>
      </x:c>
      <x:c r="H38" s="24" t="str">
        <x:v>Tuna &amp; billfishes</x:v>
      </x:c>
      <x:c r="I38" s="31" t="n">
        <x:v>955.1013902042</x:v>
      </x:c>
      <x:c r="J38" s="31" t="n">
        <x:v>933.046020143</x:v>
      </x:c>
      <x:c r="K38" s="31" t="n">
        <x:v>22.055370061199998</x:v>
      </x:c>
      <x:c r="L38" s="31" t="n">
        <x:v>726.9862188783</x:v>
      </x:c>
      <x:c r="M38" s="31" t="n">
        <x:v>228.1151713259</x:v>
      </x:c>
      <x:c r="N38" s="24" t="str">
        <x:v>sarda sarda</x:v>
      </x:c>
      <x:c r="O38" s="32" t="n">
        <x:v>4.5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Sarda sarda</x:v>
      </x:c>
      <x:c r="T38" s="32" t="n">
        <x:f>IF(O38="","",(1/'Metadata'!$B$5)^(O38-1))</x:f>
        <x:v>3162.2776601683795</x:v>
      </x:c>
      <x:c r="U38" s="31" t="n">
        <x:f>IF(T38="","",I38*T38)</x:f>
        <x:v>3020295.7894385043</x:v>
      </x:c>
    </x:row>
    <x:row r="39" ht="18" customHeight="1">
      <x:c r="A39" s="24" t="str">
        <x:v>EEZ_962</x:v>
      </x:c>
      <x:c r="B39" s="24" t="str">
        <x:v>Spain (mainland, Med and Gulf of Cadiz)</x:v>
      </x:c>
      <x:c r="C39" s="24" t="str">
        <x:v>EEZ</x:v>
      </x:c>
      <x:c r="D39" s="30" t="n">
        <x:v>2019</x:v>
      </x:c>
      <x:c r="E39" s="24" t="str">
        <x:v>Isurus oxyrinchus</x:v>
      </x:c>
      <x:c r="F39" s="24" t="str">
        <x:v>Shortfin mako</x:v>
      </x:c>
      <x:c r="G39" s="24" t="str">
        <x:v>Large sharks (&gt;=90 cm)</x:v>
      </x:c>
      <x:c r="H39" s="24" t="str">
        <x:v>Sharks &amp; rays</x:v>
      </x:c>
      <x:c r="I39" s="31" t="n">
        <x:v>954.038078243</x:v>
      </x:c>
      <x:c r="J39" s="31" t="n">
        <x:v>952.8016425433</x:v>
      </x:c>
      <x:c r="K39" s="31" t="n">
        <x:v>1.2364356997000001</x:v>
      </x:c>
      <x:c r="L39" s="31" t="n">
        <x:v>951.4672502157</x:v>
      </x:c>
      <x:c r="M39" s="31" t="n">
        <x:v>2.5708280273</x:v>
      </x:c>
      <x:c r="N39" s="24" t="str">
        <x:v>isurus oxyrinchus</x:v>
      </x:c>
      <x:c r="O39" s="32" t="n">
        <x:v>4.5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Isurus oxyrinchus</x:v>
      </x:c>
      <x:c r="T39" s="32" t="n">
        <x:f>IF(O39="","",(1/'Metadata'!$B$5)^(O39-1))</x:f>
        <x:v>3162.2776601683795</x:v>
      </x:c>
      <x:c r="U39" s="31" t="n">
        <x:f>IF(T39="","",I39*T39)</x:f>
        <x:v>3016933.3017778113</x:v>
      </x:c>
    </x:row>
    <x:row r="40" ht="18" customHeight="1">
      <x:c r="A40" s="24" t="str">
        <x:v>EEZ_962</x:v>
      </x:c>
      <x:c r="B40" s="24" t="str">
        <x:v>Spain (mainland, Med and Gulf of Cadiz)</x:v>
      </x:c>
      <x:c r="C40" s="24" t="str">
        <x:v>EEZ</x:v>
      </x:c>
      <x:c r="D40" s="30" t="n">
        <x:v>2019</x:v>
      </x:c>
      <x:c r="E40" s="24" t="str">
        <x:v>Scomber scombrus</x:v>
      </x:c>
      <x:c r="F40" s="24" t="str">
        <x:v>Atlantic mackerel</x:v>
      </x:c>
      <x:c r="G40" s="24" t="str">
        <x:v>Medium pelagics (30 - 89 cm)</x:v>
      </x:c>
      <x:c r="H40" s="24" t="str">
        <x:v>Perch-likes</x:v>
      </x:c>
      <x:c r="I40" s="31" t="n">
        <x:v>929.7019181092</x:v>
      </x:c>
      <x:c r="J40" s="31" t="n">
        <x:v>751.8146964537</x:v>
      </x:c>
      <x:c r="K40" s="31" t="n">
        <x:v>177.8872216555</x:v>
      </x:c>
      <x:c r="L40" s="31" t="n">
        <x:v>719.7439131128</x:v>
      </x:c>
      <x:c r="M40" s="31" t="n">
        <x:v>209.9580049964</x:v>
      </x:c>
      <x:c r="N40" s="24" t="str">
        <x:v>scomber scombrus</x:v>
      </x:c>
      <x:c r="O40" s="32" t="n">
        <x:v>3.63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Scomber scombrus</x:v>
      </x:c>
      <x:c r="T40" s="32" t="n">
        <x:f>IF(O40="","",(1/'Metadata'!$B$5)^(O40-1))</x:f>
        <x:v>426.57951880159254</x:v>
      </x:c>
      <x:c r="U40" s="31" t="n">
        <x:f>IF(T40="","",I40*T40)</x:f>
        <x:v>396591.79685594013</x:v>
      </x:c>
    </x:row>
    <x:row r="41" ht="18" customHeight="1">
      <x:c r="A41" s="24" t="str">
        <x:v>EEZ_962</x:v>
      </x:c>
      <x:c r="B41" s="24" t="str">
        <x:v>Spain (mainland, Med and Gulf of Cadiz)</x:v>
      </x:c>
      <x:c r="C41" s="24" t="str">
        <x:v>EEZ</x:v>
      </x:c>
      <x:c r="D41" s="30" t="n">
        <x:v>2019</x:v>
      </x:c>
      <x:c r="E41" s="24" t="str">
        <x:v>Xiphias gladius</x:v>
      </x:c>
      <x:c r="F41" s="24" t="str">
        <x:v>Swordfish</x:v>
      </x:c>
      <x:c r="G41" s="24" t="str">
        <x:v>Large pelagics (&gt;=90 cm)</x:v>
      </x:c>
      <x:c r="H41" s="24" t="str">
        <x:v>Tuna &amp; billfishes</x:v>
      </x:c>
      <x:c r="I41" s="31" t="n">
        <x:v>882.6669886534</x:v>
      </x:c>
      <x:c r="J41" s="31" t="n">
        <x:v>841.1077089167001</x:v>
      </x:c>
      <x:c r="K41" s="31" t="n">
        <x:v>41.5592797367</x:v>
      </x:c>
      <x:c r="L41" s="31" t="n">
        <x:v>698.1495481402001</x:v>
      </x:c>
      <x:c r="M41" s="31" t="n">
        <x:v>184.5174405132</x:v>
      </x:c>
      <x:c r="N41" s="24" t="str">
        <x:v>xiphias gladius</x:v>
      </x:c>
      <x:c r="O41" s="32" t="n">
        <x:v>4.53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Xiphias gladius</x:v>
      </x:c>
      <x:c r="T41" s="32" t="n">
        <x:f>IF(O41="","",(1/'Metadata'!$B$5)^(O41-1))</x:f>
        <x:v>3388.4415613920273</x:v>
      </x:c>
      <x:c r="U41" s="31" t="n">
        <x:f>IF(T41="","",I41*T41)</x:f>
        <x:v>2990865.509221926</x:v>
      </x:c>
    </x:row>
    <x:row r="42" ht="18" customHeight="1">
      <x:c r="A42" s="24" t="str">
        <x:v>EEZ_962</x:v>
      </x:c>
      <x:c r="B42" s="24" t="str">
        <x:v>Spain (mainland, Med and Gulf of Cadiz)</x:v>
      </x:c>
      <x:c r="C42" s="24" t="str">
        <x:v>EEZ</x:v>
      </x:c>
      <x:c r="D42" s="30" t="n">
        <x:v>2019</x:v>
      </x:c>
      <x:c r="E42" s="24" t="str">
        <x:v>Scyliorhinus canicula</x:v>
      </x:c>
      <x:c r="F42" s="24" t="str">
        <x:v>Small-spotted catshark</x:v>
      </x:c>
      <x:c r="G42" s="24" t="str">
        <x:v>Small to medium sharks (&lt;90 cm)</x:v>
      </x:c>
      <x:c r="H42" s="24" t="str">
        <x:v>Sharks &amp; rays</x:v>
      </x:c>
      <x:c r="I42" s="31" t="n">
        <x:v>843.3127103477</x:v>
      </x:c>
      <x:c r="J42" s="31" t="n">
        <x:v>535.0448623521</x:v>
      </x:c>
      <x:c r="K42" s="31" t="n">
        <x:v>308.2678479956</x:v>
      </x:c>
      <x:c r="L42" s="31" t="n">
        <x:v>441.2676407503</x:v>
      </x:c>
      <x:c r="M42" s="31" t="n">
        <x:v>402.0450695974</x:v>
      </x:c>
      <x:c r="N42" s="24" t="str">
        <x:v>scyliorhinus canicula</x:v>
      </x:c>
      <x:c r="O42" s="32" t="n">
        <x:v>3.82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Scyliorhinus canicula</x:v>
      </x:c>
      <x:c r="T42" s="32" t="n">
        <x:f>IF(O42="","",(1/'Metadata'!$B$5)^(O42-1))</x:f>
        <x:v>660.6934480075957</x:v>
      </x:c>
      <x:c r="U42" s="31" t="n">
        <x:f>IF(T42="","",I42*T42)</x:f>
        <x:v>557171.1823482527</x:v>
      </x:c>
    </x:row>
    <x:row r="43" ht="18" customHeight="1">
      <x:c r="A43" s="24" t="str">
        <x:v>EEZ_962</x:v>
      </x:c>
      <x:c r="B43" s="24" t="str">
        <x:v>Spain (mainland, Med and Gulf of Cadiz)</x:v>
      </x:c>
      <x:c r="C43" s="24" t="str">
        <x:v>EEZ</x:v>
      </x:c>
      <x:c r="D43" s="30" t="n">
        <x:v>2019</x:v>
      </x:c>
      <x:c r="E43" s="24" t="str">
        <x:v>Pagellus acarne</x:v>
      </x:c>
      <x:c r="F43" s="24" t="str">
        <x:v>Axillary seabream</x:v>
      </x:c>
      <x:c r="G43" s="24" t="str">
        <x:v>Medium benthopelagics (30 - 89 cm)</x:v>
      </x:c>
      <x:c r="H43" s="24" t="str">
        <x:v>Perch-likes</x:v>
      </x:c>
      <x:c r="I43" s="31" t="n">
        <x:v>812.7138007133</x:v>
      </x:c>
      <x:c r="J43" s="31" t="n">
        <x:v>640.266733084</x:v>
      </x:c>
      <x:c r="K43" s="31" t="n">
        <x:v>172.44706762930002</x:v>
      </x:c>
      <x:c r="L43" s="31" t="n">
        <x:v>546.2573358071</x:v>
      </x:c>
      <x:c r="M43" s="31" t="n">
        <x:v>266.45646490620004</x:v>
      </x:c>
      <x:c r="N43" s="24" t="str">
        <x:v>pagellus acarne</x:v>
      </x:c>
      <x:c r="O43" s="32" t="n">
        <x:v>3.81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Pagellus acarne</x:v>
      </x:c>
      <x:c r="T43" s="32" t="n">
        <x:f>IF(O43="","",(1/'Metadata'!$B$5)^(O43-1))</x:f>
        <x:v>645.6542290346556</x:v>
      </x:c>
      <x:c r="U43" s="31" t="n">
        <x:f>IF(T43="","",I43*T43)</x:f>
        <x:v>524732.1024253705</x:v>
      </x:c>
    </x:row>
    <x:row r="44" ht="18" customHeight="1">
      <x:c r="A44" s="24" t="str">
        <x:v>EEZ_962</x:v>
      </x:c>
      <x:c r="B44" s="24" t="str">
        <x:v>Spain (mainland, Med and Gulf of Cadiz)</x:v>
      </x:c>
      <x:c r="C44" s="24" t="str">
        <x:v>EEZ</x:v>
      </x:c>
      <x:c r="D44" s="30" t="n">
        <x:v>2019</x:v>
      </x:c>
      <x:c r="E44" s="24" t="str">
        <x:v>Boops boops</x:v>
      </x:c>
      <x:c r="F44" s="24" t="str">
        <x:v>Bogue</x:v>
      </x:c>
      <x:c r="G44" s="24" t="str">
        <x:v>Medium demersals (30 - 89 cm)</x:v>
      </x:c>
      <x:c r="H44" s="24" t="str">
        <x:v>Perch-likes</x:v>
      </x:c>
      <x:c r="I44" s="31" t="n">
        <x:v>800.733239607</x:v>
      </x:c>
      <x:c r="J44" s="31" t="n">
        <x:v>587.1516542608999</x:v>
      </x:c>
      <x:c r="K44" s="31" t="n">
        <x:v>213.5815853461</x:v>
      </x:c>
      <x:c r="L44" s="31" t="n">
        <x:v>358.3692435791</x:v>
      </x:c>
      <x:c r="M44" s="31" t="n">
        <x:v>442.3639960279</x:v>
      </x:c>
      <x:c r="N44" s="24" t="str">
        <x:v>boops boops</x:v>
      </x:c>
      <x:c r="O44" s="32" t="n">
        <x:v>2.79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Boops boops</x:v>
      </x:c>
      <x:c r="T44" s="32" t="n">
        <x:f>IF(O44="","",(1/'Metadata'!$B$5)^(O44-1))</x:f>
        <x:v>61.65950018614822</x:v>
      </x:c>
      <x:c r="U44" s="31" t="n">
        <x:f>IF(T44="","",I44*T44)</x:f>
        <x:v>49372.811336602885</x:v>
      </x:c>
    </x:row>
    <x:row r="45" ht="18" customHeight="1">
      <x:c r="A45" s="24" t="str">
        <x:v>EEZ_962</x:v>
      </x:c>
      <x:c r="B45" s="24" t="str">
        <x:v>Spain (mainland, Med and Gulf of Cadiz)</x:v>
      </x:c>
      <x:c r="C45" s="24" t="str">
        <x:v>EEZ</x:v>
      </x:c>
      <x:c r="D45" s="30" t="n">
        <x:v>2019</x:v>
      </x:c>
      <x:c r="E45" s="24" t="str">
        <x:v>Phycis blennoides</x:v>
      </x:c>
      <x:c r="F45" s="24" t="str">
        <x:v>Greater forkbeard</x:v>
      </x:c>
      <x:c r="G45" s="24" t="str">
        <x:v>Large benthopelagics (&gt;=90 cm)</x:v>
      </x:c>
      <x:c r="H45" s="24" t="str">
        <x:v>Cod-likes</x:v>
      </x:c>
      <x:c r="I45" s="31" t="n">
        <x:v>795.4370148567999</x:v>
      </x:c>
      <x:c r="J45" s="31" t="n">
        <x:v>731.7294481158999</x:v>
      </x:c>
      <x:c r="K45" s="31" t="n">
        <x:v>63.7075667409</x:v>
      </x:c>
      <x:c r="L45" s="31" t="n">
        <x:v>693.4766233826999</x:v>
      </x:c>
      <x:c r="M45" s="31" t="n">
        <x:v>101.96039147409999</x:v>
      </x:c>
      <x:c r="N45" s="24" t="str">
        <x:v>phycis blennoides</x:v>
      </x:c>
      <x:c r="O45" s="32" t="n">
        <x:v>3.87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Phycis blennoides</x:v>
      </x:c>
      <x:c r="T45" s="32" t="n">
        <x:f>IF(O45="","",(1/'Metadata'!$B$5)^(O45-1))</x:f>
        <x:v>741.3102413009177</x:v>
      </x:c>
      <x:c r="U45" s="31" t="n">
        <x:f>IF(T45="","",I45*T45)</x:f>
        <x:v>589665.605423176</x:v>
      </x:c>
    </x:row>
    <x:row r="46" ht="18" customHeight="1">
      <x:c r="A46" s="24" t="str">
        <x:v>EEZ_962</x:v>
      </x:c>
      <x:c r="B46" s="24" t="str">
        <x:v>Spain (mainland, Med and Gulf of Cadiz)</x:v>
      </x:c>
      <x:c r="C46" s="24" t="str">
        <x:v>EEZ</x:v>
      </x:c>
      <x:c r="D46" s="30" t="n">
        <x:v>2019</x:v>
      </x:c>
      <x:c r="E46" s="24" t="str">
        <x:v>Auxis rochei</x:v>
      </x:c>
      <x:c r="F46" s="24" t="str">
        <x:v>Bullet tuna</x:v>
      </x:c>
      <x:c r="G46" s="24" t="str">
        <x:v>Medium pelagics (30 - 89 cm)</x:v>
      </x:c>
      <x:c r="H46" s="24" t="str">
        <x:v>Tuna &amp; billfishes</x:v>
      </x:c>
      <x:c r="I46" s="31" t="n">
        <x:v>739.6736196426999</x:v>
      </x:c>
      <x:c r="J46" s="31" t="n">
        <x:v>739.6736196426999</x:v>
      </x:c>
      <x:c r="K46" s="31" t="n">
        <x:v>0</x:v>
      </x:c>
      <x:c r="L46" s="31" t="n">
        <x:v>667.1382180518</x:v>
      </x:c>
      <x:c r="M46" s="31" t="n">
        <x:v>72.53540159090001</x:v>
      </x:c>
      <x:c r="N46" s="24" t="str">
        <x:v>auxis rochei</x:v>
      </x:c>
      <x:c r="O46" s="32" t="n">
        <x:v>4.13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Auxis rochei</x:v>
      </x:c>
      <x:c r="T46" s="32" t="n">
        <x:f>IF(O46="","",(1/'Metadata'!$B$5)^(O46-1))</x:f>
        <x:v>1348.9628825916532</x:v>
      </x:c>
      <x:c r="U46" s="31" t="n">
        <x:f>IF(T46="","",I46*T46)</x:f>
        <x:v>997792.2581302185</x:v>
      </x:c>
    </x:row>
    <x:row r="47" ht="18" customHeight="1">
      <x:c r="A47" s="24" t="str">
        <x:v>EEZ_962</x:v>
      </x:c>
      <x:c r="B47" s="24" t="str">
        <x:v>Spain (mainland, Med and Gulf of Cadiz)</x:v>
      </x:c>
      <x:c r="C47" s="24" t="str">
        <x:v>EEZ</x:v>
      </x:c>
      <x:c r="D47" s="30" t="n">
        <x:v>2019</x:v>
      </x:c>
      <x:c r="E47" s="24" t="str">
        <x:v>Eledone cirrhosa</x:v>
      </x:c>
      <x:c r="F47" s="24" t="str">
        <x:v>Horned octopus</x:v>
      </x:c>
      <x:c r="G47" s="24" t="str">
        <x:v>Cephalopods</x:v>
      </x:c>
      <x:c r="H47" s="24" t="str">
        <x:v>Other fishes &amp; inverts</x:v>
      </x:c>
      <x:c r="I47" s="31" t="n">
        <x:v>734.6387673723</x:v>
      </x:c>
      <x:c r="J47" s="31" t="n">
        <x:v>722.5413465666</x:v>
      </x:c>
      <x:c r="K47" s="31" t="n">
        <x:v>12.0974208057</x:v>
      </x:c>
      <x:c r="L47" s="31" t="n">
        <x:v>688.8305491121</x:v>
      </x:c>
      <x:c r="M47" s="31" t="n">
        <x:v>45.8082182602</x:v>
      </x:c>
      <x:c r="N47" s="24" t="str">
        <x:v>eledone cirrhosa</x:v>
      </x:c>
      <x:c r="O47" s="32" t="n">
        <x:v>3.7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Eledone cirrhosa</x:v>
      </x:c>
      <x:c r="T47" s="32" t="n">
        <x:f>IF(O47="","",(1/'Metadata'!$B$5)^(O47-1))</x:f>
        <x:v>501.18723362727246</x:v>
      </x:c>
      <x:c r="U47" s="31" t="n">
        <x:f>IF(T47="","",I47*T47)</x:f>
        <x:v>368191.5715346724</x:v>
      </x:c>
    </x:row>
    <x:row r="48" ht="18" customHeight="1">
      <x:c r="A48" s="24" t="str">
        <x:v>EEZ_962</x:v>
      </x:c>
      <x:c r="B48" s="24" t="str">
        <x:v>Spain (mainland, Med and Gulf of Cadiz)</x:v>
      </x:c>
      <x:c r="C48" s="24" t="str">
        <x:v>EEZ</x:v>
      </x:c>
      <x:c r="D48" s="30" t="n">
        <x:v>2019</x:v>
      </x:c>
      <x:c r="E48" s="24" t="str">
        <x:v>Citharus linguatula</x:v>
      </x:c>
      <x:c r="F48" s="24" t="str">
        <x:v>Spotted flounder</x:v>
      </x:c>
      <x:c r="G48" s="24" t="str">
        <x:v>Small to medium flatfishes (&lt;90 cm)</x:v>
      </x:c>
      <x:c r="H48" s="24" t="str">
        <x:v>Flatfishes</x:v>
      </x:c>
      <x:c r="I48" s="31" t="n">
        <x:v>718.2328109713</x:v>
      </x:c>
      <x:c r="J48" s="31" t="n">
        <x:v>678.1824778915</x:v>
      </x:c>
      <x:c r="K48" s="31" t="n">
        <x:v>40.0503330798</x:v>
      </x:c>
      <x:c r="L48" s="31" t="n">
        <x:v>627.550824559</x:v>
      </x:c>
      <x:c r="M48" s="31" t="n">
        <x:v>90.68198641229999</x:v>
      </x:c>
      <x:c r="N48" s="24" t="str">
        <x:v>citharus linguatula</x:v>
      </x:c>
      <x:c r="O48" s="32" t="n">
        <x:v>3.97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Citharus linguatula</x:v>
      </x:c>
      <x:c r="T48" s="32" t="n">
        <x:f>IF(O48="","",(1/'Metadata'!$B$5)^(O48-1))</x:f>
        <x:v>933.2543007969915</x:v>
      </x:c>
      <x:c r="U48" s="31" t="n">
        <x:f>IF(T48="","",I48*T48)</x:f>
        <x:v>670293.8598124783</x:v>
      </x:c>
    </x:row>
    <x:row r="49" ht="18" customHeight="1">
      <x:c r="A49" s="24" t="str">
        <x:v>EEZ_962</x:v>
      </x:c>
      <x:c r="B49" s="24" t="str">
        <x:v>Spain (mainland, Med and Gulf of Cadiz)</x:v>
      </x:c>
      <x:c r="C49" s="24" t="str">
        <x:v>EEZ</x:v>
      </x:c>
      <x:c r="D49" s="30" t="n">
        <x:v>2019</x:v>
      </x:c>
      <x:c r="E49" s="24" t="str">
        <x:v>Mugilidae</x:v>
      </x:c>
      <x:c r="F49" s="24" t="str">
        <x:v>Mullets, grey mullets</x:v>
      </x:c>
      <x:c r="G49" s="24" t="str">
        <x:v>Medium reef assoc. fish (30 - 89 cm)</x:v>
      </x:c>
      <x:c r="H49" s="24" t="str">
        <x:v>Perch-likes</x:v>
      </x:c>
      <x:c r="I49" s="31" t="n">
        <x:v>707.3324591568</x:v>
      </x:c>
      <x:c r="J49" s="31" t="n">
        <x:v>677.2680492097</x:v>
      </x:c>
      <x:c r="K49" s="31" t="n">
        <x:v>30.0644099471</x:v>
      </x:c>
      <x:c r="L49" s="31" t="n">
        <x:v>116.24777533810001</x:v>
      </x:c>
      <x:c r="M49" s="31" t="n">
        <x:v>591.0846838187</x:v>
      </x:c>
      <x:c r="N49" s="24" t="str">
        <x:v>mugilidae</x:v>
      </x:c>
      <x:c r="O49" s="32" t="n">
        <x:v>2.53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Mugilidae</x:v>
      </x:c>
      <x:c r="T49" s="32" t="n">
        <x:f>IF(O49="","",(1/'Metadata'!$B$5)^(O49-1))</x:f>
        <x:v>33.88441561392024</x:v>
      </x:c>
      <x:c r="U49" s="31" t="n">
        <x:f>IF(T49="","",I49*T49)</x:f>
        <x:v>23967.547023285275</x:v>
      </x:c>
    </x:row>
    <x:row r="50" ht="18" customHeight="1">
      <x:c r="A50" s="24" t="str">
        <x:v>EEZ_962</x:v>
      </x:c>
      <x:c r="B50" s="24" t="str">
        <x:v>Spain (mainland, Med and Gulf of Cadiz)</x:v>
      </x:c>
      <x:c r="C50" s="24" t="str">
        <x:v>EEZ</x:v>
      </x:c>
      <x:c r="D50" s="30" t="n">
        <x:v>2019</x:v>
      </x:c>
      <x:c r="E50" s="24" t="str">
        <x:v>Auxis</x:v>
      </x:c>
      <x:c r="F50" s="24" t="str">
        <x:v>Bullet and frigate tunas</x:v>
      </x:c>
      <x:c r="G50" s="24" t="str">
        <x:v>Medium pelagics (30 - 89 cm)</x:v>
      </x:c>
      <x:c r="H50" s="24" t="str">
        <x:v>Tuna &amp; billfishes</x:v>
      </x:c>
      <x:c r="I50" s="31" t="n">
        <x:v>702.5968045565</x:v>
      </x:c>
      <x:c r="J50" s="31" t="n">
        <x:v>640.7261856833</x:v>
      </x:c>
      <x:c r="K50" s="31" t="n">
        <x:v>61.870618873199994</x:v>
      </x:c>
      <x:c r="L50" s="31" t="n">
        <x:v>604.9292197156</x:v>
      </x:c>
      <x:c r="M50" s="31" t="n">
        <x:v>97.66758484089999</x:v>
      </x:c>
      <x:c r="N50" s="24" t="str">
        <x:v>auxis</x:v>
      </x:c>
      <x:c r="O50" s="32" t="n">
        <x:v>4.24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Auxis</x:v>
      </x:c>
      <x:c r="T50" s="32" t="n">
        <x:f>IF(O50="","",(1/'Metadata'!$B$5)^(O50-1))</x:f>
        <x:v>1737.8008287493763</x:v>
      </x:c>
      <x:c r="U50" s="31" t="n">
        <x:f>IF(T50="","",I50*T50)</x:f>
        <x:v>1220973.3092349493</x:v>
      </x:c>
    </x:row>
    <x:row r="51" ht="18" customHeight="1">
      <x:c r="A51" s="24" t="str">
        <x:v>EEZ_962</x:v>
      </x:c>
      <x:c r="B51" s="24" t="str">
        <x:v>Spain (mainland, Med and Gulf of Cadiz)</x:v>
      </x:c>
      <x:c r="C51" s="24" t="str">
        <x:v>EEZ</x:v>
      </x:c>
      <x:c r="D51" s="30" t="n">
        <x:v>2019</x:v>
      </x:c>
      <x:c r="E51" s="24" t="str">
        <x:v>Mullus surmuletus</x:v>
      </x:c>
      <x:c r="F51" s="24" t="str">
        <x:v>Surmullet</x:v>
      </x:c>
      <x:c r="G51" s="24" t="str">
        <x:v>Medium demersals (30 - 89 cm)</x:v>
      </x:c>
      <x:c r="H51" s="24" t="str">
        <x:v>Perch-likes</x:v>
      </x:c>
      <x:c r="I51" s="31" t="n">
        <x:v>702.4176667596</x:v>
      </x:c>
      <x:c r="J51" s="31" t="n">
        <x:v>695.4530690765</x:v>
      </x:c>
      <x:c r="K51" s="31" t="n">
        <x:v>6.9645976831</x:v>
      </x:c>
      <x:c r="L51" s="31" t="n">
        <x:v>506.5258021075</x:v>
      </x:c>
      <x:c r="M51" s="31" t="n">
        <x:v>195.89186465210003</x:v>
      </x:c>
      <x:c r="N51" s="24" t="str">
        <x:v>mullus surmuletus</x:v>
      </x:c>
      <x:c r="O51" s="32" t="n">
        <x:v>3.45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Mullus surmuletus</x:v>
      </x:c>
      <x:c r="T51" s="32" t="n">
        <x:f>IF(O51="","",(1/'Metadata'!$B$5)^(O51-1))</x:f>
        <x:v>281.8382931264455</x:v>
      </x:c>
      <x:c r="U51" s="31" t="n">
        <x:f>IF(T51="","",I51*T51)</x:f>
        <x:v>197968.19626138604</x:v>
      </x:c>
    </x:row>
    <x:row r="52" ht="18" customHeight="1">
      <x:c r="A52" s="24" t="str">
        <x:v>EEZ_962</x:v>
      </x:c>
      <x:c r="B52" s="24" t="str">
        <x:v>Spain (mainland, Med and Gulf of Cadiz)</x:v>
      </x:c>
      <x:c r="C52" s="24" t="str">
        <x:v>EEZ</x:v>
      </x:c>
      <x:c r="D52" s="30" t="n">
        <x:v>2019</x:v>
      </x:c>
      <x:c r="E52" s="24" t="str">
        <x:v>Lophius piscatorius</x:v>
      </x:c>
      <x:c r="F52" s="24" t="str">
        <x:v>Angler</x:v>
      </x:c>
      <x:c r="G52" s="24" t="str">
        <x:v>Large bathydemersals (&gt;=90 cm)</x:v>
      </x:c>
      <x:c r="H52" s="24" t="str">
        <x:v>Other fishes &amp; inverts</x:v>
      </x:c>
      <x:c r="I52" s="31" t="n">
        <x:v>694.9786241375999</x:v>
      </x:c>
      <x:c r="J52" s="31" t="n">
        <x:v>682.2028797493999</x:v>
      </x:c>
      <x:c r="K52" s="31" t="n">
        <x:v>12.7757443882</x:v>
      </x:c>
      <x:c r="L52" s="31" t="n">
        <x:v>649.4805561464</x:v>
      </x:c>
      <x:c r="M52" s="31" t="n">
        <x:v>45.498067991199996</x:v>
      </x:c>
      <x:c r="N52" s="24" t="str">
        <x:v>lophius piscatorius</x:v>
      </x:c>
      <x:c r="O52" s="32" t="n">
        <x:v>4.45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Lophius piscatorius</x:v>
      </x:c>
      <x:c r="T52" s="32" t="n">
        <x:f>IF(O52="","",(1/'Metadata'!$B$5)^(O52-1))</x:f>
        <x:v>2818.382931264455</x:v>
      </x:c>
      <x:c r="U52" s="31" t="n">
        <x:f>IF(T52="","",I52*T52)</x:f>
        <x:v>1958715.8918630667</x:v>
      </x:c>
    </x:row>
    <x:row r="53" ht="18" customHeight="1">
      <x:c r="A53" s="24" t="str">
        <x:v>EEZ_962</x:v>
      </x:c>
      <x:c r="B53" s="24" t="str">
        <x:v>Spain (mainland, Med and Gulf of Cadiz)</x:v>
      </x:c>
      <x:c r="C53" s="24" t="str">
        <x:v>EEZ</x:v>
      </x:c>
      <x:c r="D53" s="30" t="n">
        <x:v>2019</x:v>
      </x:c>
      <x:c r="E53" s="24" t="str">
        <x:v>Trisopterus minutus</x:v>
      </x:c>
      <x:c r="F53" s="24" t="str">
        <x:v>Poor cod</x:v>
      </x:c>
      <x:c r="G53" s="24" t="str">
        <x:v>Medium benthopelagics (30 - 89 cm)</x:v>
      </x:c>
      <x:c r="H53" s="24" t="str">
        <x:v>Cod-likes</x:v>
      </x:c>
      <x:c r="I53" s="31" t="n">
        <x:v>664.6593973033</x:v>
      </x:c>
      <x:c r="J53" s="31" t="n">
        <x:v>548.00714464</x:v>
      </x:c>
      <x:c r="K53" s="31" t="n">
        <x:v>116.6522526633</x:v>
      </x:c>
      <x:c r="L53" s="31" t="n">
        <x:v>526.2997602979</x:v>
      </x:c>
      <x:c r="M53" s="31" t="n">
        <x:v>138.3596370054</x:v>
      </x:c>
      <x:c r="N53" s="24" t="str">
        <x:v>trisopterus minutus</x:v>
      </x:c>
      <x:c r="O53" s="32" t="n">
        <x:v>3.73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Trisopterus minutus</x:v>
      </x:c>
      <x:c r="T53" s="32" t="n">
        <x:f>IF(O53="","",(1/'Metadata'!$B$5)^(O53-1))</x:f>
        <x:v>537.0317963702527</x:v>
      </x:c>
      <x:c r="U53" s="31" t="n">
        <x:f>IF(T53="","",I53*T53)</x:f>
        <x:v>356943.2301081607</x:v>
      </x:c>
    </x:row>
    <x:row r="54" ht="18" customHeight="1">
      <x:c r="A54" s="24" t="str">
        <x:v>EEZ_962</x:v>
      </x:c>
      <x:c r="B54" s="24" t="str">
        <x:v>Spain (mainland, Med and Gulf of Cadiz)</x:v>
      </x:c>
      <x:c r="C54" s="24" t="str">
        <x:v>EEZ</x:v>
      </x:c>
      <x:c r="D54" s="30" t="n">
        <x:v>2019</x:v>
      </x:c>
      <x:c r="E54" s="24" t="str">
        <x:v>Osteichthyes</x:v>
      </x:c>
      <x:c r="F54" s="24" t="str">
        <x:v>Bony fishes</x:v>
      </x:c>
      <x:c r="G54" s="24" t="str">
        <x:v>Medium demersals (30 - 89 cm)</x:v>
      </x:c>
      <x:c r="H54" s="24" t="str">
        <x:v>Other fishes &amp; inverts</x:v>
      </x:c>
      <x:c r="I54" s="31" t="n">
        <x:v>658.0409298839</x:v>
      </x:c>
      <x:c r="J54" s="31" t="n">
        <x:v>657.6450269295001</x:v>
      </x:c>
      <x:c r="K54" s="31" t="n">
        <x:v>0.3959029544</x:v>
      </x:c>
      <x:c r="L54" s="31" t="n">
        <x:v>657.6450269295001</x:v>
      </x:c>
      <x:c r="M54" s="31" t="n">
        <x:v>0.3959029544</x:v>
      </x:c>
      <x:c r="N54" s="24" t="str">
        <x:v>osteichthyes</x:v>
      </x:c>
      <x:c r="O54" s="32" t="n">
        <x:v>3.79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Osteichthyes</x:v>
      </x:c>
      <x:c r="T54" s="32" t="n">
        <x:f>IF(O54="","",(1/'Metadata'!$B$5)^(O54-1))</x:f>
        <x:v>616.5950018614822</x:v>
      </x:c>
      <x:c r="U54" s="31" t="n">
        <x:f>IF(T54="","",I54*T54)</x:f>
        <x:v>405744.7483866948</x:v>
      </x:c>
    </x:row>
    <x:row r="55" ht="18" customHeight="1">
      <x:c r="A55" s="24" t="str">
        <x:v>EEZ_962</x:v>
      </x:c>
      <x:c r="B55" s="24" t="str">
        <x:v>Spain (mainland, Med and Gulf of Cadiz)</x:v>
      </x:c>
      <x:c r="C55" s="24" t="str">
        <x:v>EEZ</x:v>
      </x:c>
      <x:c r="D55" s="30" t="n">
        <x:v>2019</x:v>
      </x:c>
      <x:c r="E55" s="24" t="str">
        <x:v>Helicolenus dactylopterus</x:v>
      </x:c>
      <x:c r="F55" s="24" t="str">
        <x:v>Blackbelly rosefish</x:v>
      </x:c>
      <x:c r="G55" s="24" t="str">
        <x:v>Medium bathydemersals (30 - 89 cm)</x:v>
      </x:c>
      <x:c r="H55" s="24" t="str">
        <x:v>Scorpionfishes</x:v>
      </x:c>
      <x:c r="I55" s="31" t="n">
        <x:v>655.6696621496999</x:v>
      </x:c>
      <x:c r="J55" s="31" t="n">
        <x:v>528.5489152298</x:v>
      </x:c>
      <x:c r="K55" s="31" t="n">
        <x:v>127.1207469199</x:v>
      </x:c>
      <x:c r="L55" s="31" t="n">
        <x:v>325.7412097895</x:v>
      </x:c>
      <x:c r="M55" s="31" t="n">
        <x:v>329.9284523602</x:v>
      </x:c>
      <x:c r="N55" s="24" t="str">
        <x:v>helicolenus dactylopterus</x:v>
      </x:c>
      <x:c r="O55" s="32" t="n">
        <x:v>3.54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Helicolenus dactylopterus</x:v>
      </x:c>
      <x:c r="T55" s="32" t="n">
        <x:f>IF(O55="","",(1/'Metadata'!$B$5)^(O55-1))</x:f>
        <x:v>346.73685045253166</x:v>
      </x:c>
      <x:c r="U55" s="31" t="n">
        <x:f>IF(T55="","",I55*T55)</x:f>
        <x:v>227344.83359106246</x:v>
      </x:c>
    </x:row>
    <x:row r="56" ht="18" customHeight="1">
      <x:c r="A56" s="24" t="str">
        <x:v>EEZ_962</x:v>
      </x:c>
      <x:c r="B56" s="24" t="str">
        <x:v>Spain (mainland, Med and Gulf of Cadiz)</x:v>
      </x:c>
      <x:c r="C56" s="24" t="str">
        <x:v>EEZ</x:v>
      </x:c>
      <x:c r="D56" s="30" t="n">
        <x:v>2019</x:v>
      </x:c>
      <x:c r="E56" s="24" t="str">
        <x:v>Conger conger</x:v>
      </x:c>
      <x:c r="F56" s="24" t="str">
        <x:v>European conger</x:v>
      </x:c>
      <x:c r="G56" s="24" t="str">
        <x:v>Large demersals (&gt;=90 cm)</x:v>
      </x:c>
      <x:c r="H56" s="24" t="str">
        <x:v>Other fishes &amp; inverts</x:v>
      </x:c>
      <x:c r="I56" s="31" t="n">
        <x:v>623.4538269244999</x:v>
      </x:c>
      <x:c r="J56" s="31" t="n">
        <x:v>546.5205691205</x:v>
      </x:c>
      <x:c r="K56" s="31" t="n">
        <x:v>76.93325780400001</x:v>
      </x:c>
      <x:c r="L56" s="31" t="n">
        <x:v>284.36800106649997</x:v>
      </x:c>
      <x:c r="M56" s="31" t="n">
        <x:v>339.085825858</x:v>
      </x:c>
      <x:c r="N56" s="24" t="str">
        <x:v>conger conger</x:v>
      </x:c>
      <x:c r="O56" s="32" t="n">
        <x:v>4.31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Conger conger</x:v>
      </x:c>
      <x:c r="T56" s="32" t="n">
        <x:f>IF(O56="","",(1/'Metadata'!$B$5)^(O56-1))</x:f>
        <x:v>2041.7379446695275</x:v>
      </x:c>
      <x:c r="U56" s="31" t="n">
        <x:f>IF(T56="","",I56*T56)</x:f>
        <x:v>1272929.3351811797</x:v>
      </x:c>
    </x:row>
    <x:row r="57" ht="18" customHeight="1">
      <x:c r="A57" s="24" t="str">
        <x:v>EEZ_962</x:v>
      </x:c>
      <x:c r="B57" s="24" t="str">
        <x:v>Spain (mainland, Med and Gulf of Cadiz)</x:v>
      </x:c>
      <x:c r="C57" s="24" t="str">
        <x:v>EEZ</x:v>
      </x:c>
      <x:c r="D57" s="30" t="n">
        <x:v>2019</x:v>
      </x:c>
      <x:c r="E57" s="24" t="str">
        <x:v>Pomadasys incisus</x:v>
      </x:c>
      <x:c r="F57" s="24" t="str">
        <x:v>Bastard grunt</x:v>
      </x:c>
      <x:c r="G57" s="24" t="str">
        <x:v>Medium demersals (30 - 89 cm)</x:v>
      </x:c>
      <x:c r="H57" s="24" t="str">
        <x:v>Perch-likes</x:v>
      </x:c>
      <x:c r="I57" s="31" t="n">
        <x:v>598.5165676742</x:v>
      </x:c>
      <x:c r="J57" s="31" t="n">
        <x:v>589.9902356073001</x:v>
      </x:c>
      <x:c r="K57" s="31" t="n">
        <x:v>8.5263320669</x:v>
      </x:c>
      <x:c r="L57" s="31" t="n">
        <x:v>111.6375665495</x:v>
      </x:c>
      <x:c r="M57" s="31" t="n">
        <x:v>486.8790011247</x:v>
      </x:c>
      <x:c r="N57" s="24" t="str">
        <x:v>pomadasys incisus</x:v>
      </x:c>
      <x:c r="O57" s="32" t="n">
        <x:v>3.8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Pomadasys incisus</x:v>
      </x:c>
      <x:c r="T57" s="32" t="n">
        <x:f>IF(O57="","",(1/'Metadata'!$B$5)^(O57-1))</x:f>
        <x:v>630.957344480193</x:v>
      </x:c>
      <x:c r="U57" s="31" t="n">
        <x:f>IF(T57="","",I57*T57)</x:f>
        <x:v>377638.424167113</x:v>
      </x:c>
    </x:row>
    <x:row r="58" ht="18" customHeight="1">
      <x:c r="A58" s="24" t="str">
        <x:v>EEZ_962</x:v>
      </x:c>
      <x:c r="B58" s="24" t="str">
        <x:v>Spain (mainland, Med and Gulf of Cadiz)</x:v>
      </x:c>
      <x:c r="C58" s="24" t="str">
        <x:v>EEZ</x:v>
      </x:c>
      <x:c r="D58" s="30" t="n">
        <x:v>2019</x:v>
      </x:c>
      <x:c r="E58" s="24" t="str">
        <x:v>Raja</x:v>
      </x:c>
      <x:c r="F58" s="24" t="str">
        <x:v>Stingrays, skates</x:v>
      </x:c>
      <x:c r="G58" s="24" t="str">
        <x:v>Small to medium rays (&lt;90 cm)</x:v>
      </x:c>
      <x:c r="H58" s="24" t="str">
        <x:v>Sharks &amp; rays</x:v>
      </x:c>
      <x:c r="I58" s="31" t="n">
        <x:v>598.1802848896</x:v>
      </x:c>
      <x:c r="J58" s="31" t="n">
        <x:v>520.8957591473</x:v>
      </x:c>
      <x:c r="K58" s="31" t="n">
        <x:v>77.2845257423</x:v>
      </x:c>
      <x:c r="L58" s="31" t="n">
        <x:v>491.8553181826</x:v>
      </x:c>
      <x:c r="M58" s="31" t="n">
        <x:v>106.324966707</x:v>
      </x:c>
      <x:c r="N58" s="24" t="str">
        <x:v>raja</x:v>
      </x:c>
      <x:c r="O58" s="32" t="n">
        <x:v>3.8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Raja</x:v>
      </x:c>
      <x:c r="T58" s="32" t="n">
        <x:f>IF(O58="","",(1/'Metadata'!$B$5)^(O58-1))</x:f>
        <x:v>630.957344480193</x:v>
      </x:c>
      <x:c r="U58" s="31" t="n">
        <x:f>IF(T58="","",I58*T58)</x:f>
        <x:v>377426.2440743473</x:v>
      </x:c>
    </x:row>
    <x:row r="59" ht="18" customHeight="1">
      <x:c r="A59" s="24" t="str">
        <x:v>EEZ_962</x:v>
      </x:c>
      <x:c r="B59" s="24" t="str">
        <x:v>Spain (mainland, Med and Gulf of Cadiz)</x:v>
      </x:c>
      <x:c r="C59" s="24" t="str">
        <x:v>EEZ</x:v>
      </x:c>
      <x:c r="D59" s="30" t="n">
        <x:v>2019</x:v>
      </x:c>
      <x:c r="E59" s="24" t="str">
        <x:v>Serranus cabrilla</x:v>
      </x:c>
      <x:c r="F59" s="24" t="str">
        <x:v>Comber</x:v>
      </x:c>
      <x:c r="G59" s="24" t="str">
        <x:v>Medium bathydemersals (30 - 89 cm)</x:v>
      </x:c>
      <x:c r="H59" s="24" t="str">
        <x:v>Perch-likes</x:v>
      </x:c>
      <x:c r="I59" s="31" t="n">
        <x:v>584.6068921435</x:v>
      </x:c>
      <x:c r="J59" s="31" t="n">
        <x:v>572.7652970544</x:v>
      </x:c>
      <x:c r="K59" s="31" t="n">
        <x:v>11.8415950891</x:v>
      </x:c>
      <x:c r="L59" s="31" t="n">
        <x:v>56.738544927</x:v>
      </x:c>
      <x:c r="M59" s="31" t="n">
        <x:v>527.8683472165</x:v>
      </x:c>
      <x:c r="N59" s="24" t="str">
        <x:v>serranus cabrilla</x:v>
      </x:c>
      <x:c r="O59" s="32" t="n">
        <x:v>3.35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Serranus cabrilla</x:v>
      </x:c>
      <x:c r="T59" s="32" t="n">
        <x:f>IF(O59="","",(1/'Metadata'!$B$5)^(O59-1))</x:f>
        <x:v>223.872113856834</x:v>
      </x:c>
      <x:c r="U59" s="31" t="n">
        <x:f>IF(T59="","",I59*T59)</x:f>
        <x:v>130877.18071943951</x:v>
      </x:c>
    </x:row>
    <x:row r="60" ht="18" customHeight="1">
      <x:c r="A60" s="24" t="str">
        <x:v>EEZ_962</x:v>
      </x:c>
      <x:c r="B60" s="24" t="str">
        <x:v>Spain (mainland, Med and Gulf of Cadiz)</x:v>
      </x:c>
      <x:c r="C60" s="24" t="str">
        <x:v>EEZ</x:v>
      </x:c>
      <x:c r="D60" s="30" t="n">
        <x:v>2019</x:v>
      </x:c>
      <x:c r="E60" s="24" t="str">
        <x:v>Mullus</x:v>
      </x:c>
      <x:c r="F60" s="24" t="str">
        <x:v>Atlantic goatfishes</x:v>
      </x:c>
      <x:c r="G60" s="24" t="str">
        <x:v>Medium demersals (30 - 89 cm)</x:v>
      </x:c>
      <x:c r="H60" s="24" t="str">
        <x:v>Perch-likes</x:v>
      </x:c>
      <x:c r="I60" s="31" t="n">
        <x:v>547.7881180664</x:v>
      </x:c>
      <x:c r="J60" s="31" t="n">
        <x:v>539.8753661672</x:v>
      </x:c>
      <x:c r="K60" s="31" t="n">
        <x:v>7.912751899200001</x:v>
      </x:c>
      <x:c r="L60" s="31" t="n">
        <x:v>517.3152775392</x:v>
      </x:c>
      <x:c r="M60" s="31" t="n">
        <x:v>30.4728405272</x:v>
      </x:c>
      <x:c r="N60" s="24" t="str">
        <x:v>mullus</x:v>
      </x:c>
      <x:c r="O60" s="32" t="n">
        <x:v>3.29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Mullus</x:v>
      </x:c>
      <x:c r="T60" s="32" t="n">
        <x:f>IF(O60="","",(1/'Metadata'!$B$5)^(O60-1))</x:f>
        <x:v>194.98445997580455</x:v>
      </x:c>
      <x:c r="U60" s="31" t="n">
        <x:f>IF(T60="","",I60*T60)</x:f>
        <x:v>106810.17038233927</x:v>
      </x:c>
    </x:row>
    <x:row r="61" ht="18" customHeight="1">
      <x:c r="A61" s="24" t="str">
        <x:v>EEZ_962</x:v>
      </x:c>
      <x:c r="B61" s="24" t="str">
        <x:v>Spain (mainland, Med and Gulf of Cadiz)</x:v>
      </x:c>
      <x:c r="C61" s="24" t="str">
        <x:v>EEZ</x:v>
      </x:c>
      <x:c r="D61" s="30" t="n">
        <x:v>2019</x:v>
      </x:c>
      <x:c r="E61" s="24" t="str">
        <x:v>Penaeus kerathurus</x:v>
      </x:c>
      <x:c r="F61" s="24" t="str">
        <x:v>Caramote prawn</x:v>
      </x:c>
      <x:c r="G61" s="24" t="str">
        <x:v>Shrimps</x:v>
      </x:c>
      <x:c r="H61" s="24" t="str">
        <x:v>Crustaceans</x:v>
      </x:c>
      <x:c r="I61" s="31" t="n">
        <x:v>532.0421387153001</x:v>
      </x:c>
      <x:c r="J61" s="31" t="n">
        <x:v>532.0291264305</x:v>
      </x:c>
      <x:c r="K61" s="31" t="n">
        <x:v>0.0130122848</x:v>
      </x:c>
      <x:c r="L61" s="31" t="n">
        <x:v>370.42360851610005</x:v>
      </x:c>
      <x:c r="M61" s="31" t="n">
        <x:v>161.6185301992</x:v>
      </x:c>
      <x:c r="N61" s="24" t="str">
        <x:v>penaeus kerathurus</x:v>
      </x:c>
      <x:c r="O61" s="32" t="n">
        <x:v>2.7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Penaeus kerathurus</x:v>
      </x:c>
      <x:c r="T61" s="32" t="n">
        <x:f>IF(O61="","",(1/'Metadata'!$B$5)^(O61-1))</x:f>
        <x:v>50.11872336272725</x:v>
      </x:c>
      <x:c r="U61" s="31" t="n">
        <x:f>IF(T61="","",I61*T61)</x:f>
        <x:v>26665.272767585884</x:v>
      </x:c>
    </x:row>
    <x:row r="62" ht="18" customHeight="1">
      <x:c r="A62" s="24" t="str">
        <x:v>EEZ_962</x:v>
      </x:c>
      <x:c r="B62" s="24" t="str">
        <x:v>Spain (mainland, Med and Gulf of Cadiz)</x:v>
      </x:c>
      <x:c r="C62" s="24" t="str">
        <x:v>EEZ</x:v>
      </x:c>
      <x:c r="D62" s="30" t="n">
        <x:v>2019</x:v>
      </x:c>
      <x:c r="E62" s="24" t="str">
        <x:v>Lophius</x:v>
      </x:c>
      <x:c r="F62" s="24" t="str">
        <x:v>Frogfishes</x:v>
      </x:c>
      <x:c r="G62" s="24" t="str">
        <x:v>Medium bathydemersals (30 - 89 cm)</x:v>
      </x:c>
      <x:c r="H62" s="24" t="str">
        <x:v>Other fishes &amp; inverts</x:v>
      </x:c>
      <x:c r="I62" s="31" t="n">
        <x:v>502.3330248809</x:v>
      </x:c>
      <x:c r="J62" s="31" t="n">
        <x:v>480.2647787823</x:v>
      </x:c>
      <x:c r="K62" s="31" t="n">
        <x:v>22.0682460986</x:v>
      </x:c>
      <x:c r="L62" s="31" t="n">
        <x:v>452.4873046875</x:v>
      </x:c>
      <x:c r="M62" s="31" t="n">
        <x:v>49.8457201934</x:v>
      </x:c>
      <x:c r="N62" s="24" t="str">
        <x:v>lophius</x:v>
      </x:c>
      <x:c r="O62" s="32" t="n">
        <x:v>4.46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Lophius</x:v>
      </x:c>
      <x:c r="T62" s="32" t="n">
        <x:f>IF(O62="","",(1/'Metadata'!$B$5)^(O62-1))</x:f>
        <x:v>2884.031503126606</x:v>
      </x:c>
      <x:c r="U62" s="31" t="n">
        <x:f>IF(T62="","",I62*T62)</x:f>
        <x:v>1448744.2688173966</x:v>
      </x:c>
    </x:row>
    <x:row r="63" ht="18" customHeight="1">
      <x:c r="A63" s="24" t="str">
        <x:v>EEZ_962</x:v>
      </x:c>
      <x:c r="B63" s="24" t="str">
        <x:v>Spain (mainland, Med and Gulf of Cadiz)</x:v>
      </x:c>
      <x:c r="C63" s="24" t="str">
        <x:v>EEZ</x:v>
      </x:c>
      <x:c r="D63" s="30" t="n">
        <x:v>2019</x:v>
      </x:c>
      <x:c r="E63" s="24" t="str">
        <x:v>Trachinus draco</x:v>
      </x:c>
      <x:c r="F63" s="24" t="str">
        <x:v>Greater weever</x:v>
      </x:c>
      <x:c r="G63" s="24" t="str">
        <x:v>Medium demersals (30 - 89 cm)</x:v>
      </x:c>
      <x:c r="H63" s="24" t="str">
        <x:v>Perch-likes</x:v>
      </x:c>
      <x:c r="I63" s="31" t="n">
        <x:v>463.2071333064</x:v>
      </x:c>
      <x:c r="J63" s="31" t="n">
        <x:v>416.1199191661</x:v>
      </x:c>
      <x:c r="K63" s="31" t="n">
        <x:v>47.0872141403</x:v>
      </x:c>
      <x:c r="L63" s="31" t="n">
        <x:v>255.9126330209</x:v>
      </x:c>
      <x:c r="M63" s="31" t="n">
        <x:v>207.29450028550002</x:v>
      </x:c>
      <x:c r="N63" s="24" t="str">
        <x:v>trachinus draco</x:v>
      </x:c>
      <x:c r="O63" s="32" t="n">
        <x:v>4.18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Trachinus draco</x:v>
      </x:c>
      <x:c r="T63" s="32" t="n">
        <x:f>IF(O63="","",(1/'Metadata'!$B$5)^(O63-1))</x:f>
        <x:v>1513.5612484362073</x:v>
      </x:c>
      <x:c r="U63" s="31" t="n">
        <x:f>IF(T63="","",I63*T63)</x:f>
        <x:v>701092.3669717915</x:v>
      </x:c>
    </x:row>
    <x:row r="64" ht="18" customHeight="1">
      <x:c r="A64" s="24" t="str">
        <x:v>EEZ_962</x:v>
      </x:c>
      <x:c r="B64" s="24" t="str">
        <x:v>Spain (mainland, Med and Gulf of Cadiz)</x:v>
      </x:c>
      <x:c r="C64" s="24" t="str">
        <x:v>EEZ</x:v>
      </x:c>
      <x:c r="D64" s="30" t="n">
        <x:v>2019</x:v>
      </x:c>
      <x:c r="E64" s="24" t="str">
        <x:v>Plesionika edwardsii</x:v>
      </x:c>
      <x:c r="F64" s="24" t="str">
        <x:v>Soldier striped shrimp</x:v>
      </x:c>
      <x:c r="G64" s="24" t="str">
        <x:v>Shrimps</x:v>
      </x:c>
      <x:c r="H64" s="24" t="str">
        <x:v>Crustaceans</x:v>
      </x:c>
      <x:c r="I64" s="31" t="n">
        <x:v>455.28581629710004</x:v>
      </x:c>
      <x:c r="J64" s="31" t="n">
        <x:v>450.14316691690004</x:v>
      </x:c>
      <x:c r="K64" s="31" t="n">
        <x:v>5.1426493802</x:v>
      </x:c>
      <x:c r="L64" s="31" t="n">
        <x:v>411.86395476610005</x:v>
      </x:c>
      <x:c r="M64" s="31" t="n">
        <x:v>43.421861531</x:v>
      </x:c>
      <x:c r="N64" s="24" t="str">
        <x:v>plesionika edwardsii</x:v>
      </x:c>
      <x:c r="O64" s="32" t="n">
        <x:v>3.53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Plesionika edwardsii</x:v>
      </x:c>
      <x:c r="T64" s="32" t="n">
        <x:f>IF(O64="","",(1/'Metadata'!$B$5)^(O64-1))</x:f>
        <x:v>338.84415613920237</x:v>
      </x:c>
      <x:c r="U64" s="31" t="n">
        <x:f>IF(T64="","",I64*T64)</x:f>
        <x:v>154270.93822533876</x:v>
      </x:c>
    </x:row>
    <x:row r="65" ht="18" customHeight="1">
      <x:c r="A65" s="24" t="str">
        <x:v>EEZ_962</x:v>
      </x:c>
      <x:c r="B65" s="24" t="str">
        <x:v>Spain (mainland, Med and Gulf of Cadiz)</x:v>
      </x:c>
      <x:c r="C65" s="24" t="str">
        <x:v>EEZ</x:v>
      </x:c>
      <x:c r="D65" s="30" t="n">
        <x:v>2019</x:v>
      </x:c>
      <x:c r="E65" s="24" t="str">
        <x:v>Liocarcinus depurator</x:v>
      </x:c>
      <x:c r="F65" s="24" t="str">
        <x:v>Blueleg swimcrab</x:v>
      </x:c>
      <x:c r="G65" s="24" t="str">
        <x:v>Lobsters, crabs</x:v>
      </x:c>
      <x:c r="H65" s="24" t="str">
        <x:v>Crustaceans</x:v>
      </x:c>
      <x:c r="I65" s="31" t="n">
        <x:v>452.81578886859995</x:v>
      </x:c>
      <x:c r="J65" s="31" t="n">
        <x:v>363.835822015</x:v>
      </x:c>
      <x:c r="K65" s="31" t="n">
        <x:v>88.97996685359999</x:v>
      </x:c>
      <x:c r="L65" s="31" t="n">
        <x:v>347.1034864913</x:v>
      </x:c>
      <x:c r="M65" s="31" t="n">
        <x:v>105.71230237729999</x:v>
      </x:c>
      <x:c r="N65" s="24" t="str">
        <x:v>liocarcinus depurator</x:v>
      </x:c>
      <x:c r="O65" s="32" t="n">
        <x:v>2.6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Liocarcinus depurator</x:v>
      </x:c>
      <x:c r="T65" s="32" t="n">
        <x:f>IF(O65="","",(1/'Metadata'!$B$5)^(O65-1))</x:f>
        <x:v>39.810717055349734</x:v>
      </x:c>
      <x:c r="U65" s="31" t="n">
        <x:f>IF(T65="","",I65*T65)</x:f>
        <x:v>18026.921248842817</x:v>
      </x:c>
    </x:row>
    <x:row r="66" ht="18" customHeight="1">
      <x:c r="A66" s="24" t="str">
        <x:v>EEZ_962</x:v>
      </x:c>
      <x:c r="B66" s="24" t="str">
        <x:v>Spain (mainland, Med and Gulf of Cadiz)</x:v>
      </x:c>
      <x:c r="C66" s="24" t="str">
        <x:v>EEZ</x:v>
      </x:c>
      <x:c r="D66" s="30" t="n">
        <x:v>2019</x:v>
      </x:c>
      <x:c r="E66" s="24" t="str">
        <x:v>Todarodes sagittatus</x:v>
      </x:c>
      <x:c r="F66" s="24" t="str">
        <x:v>European flying squid</x:v>
      </x:c>
      <x:c r="G66" s="24" t="str">
        <x:v>Cephalopods</x:v>
      </x:c>
      <x:c r="H66" s="24" t="str">
        <x:v>Other fishes &amp; inverts</x:v>
      </x:c>
      <x:c r="I66" s="31" t="n">
        <x:v>449.38434486729994</x:v>
      </x:c>
      <x:c r="J66" s="31" t="n">
        <x:v>420.6091382346</x:v>
      </x:c>
      <x:c r="K66" s="31" t="n">
        <x:v>28.7752066327</x:v>
      </x:c>
      <x:c r="L66" s="31" t="n">
        <x:v>400.37130723829995</x:v>
      </x:c>
      <x:c r="M66" s="31" t="n">
        <x:v>49.013037629</x:v>
      </x:c>
      <x:c r="N66" s="24" t="str">
        <x:v>todarodes sagittatus</x:v>
      </x:c>
      <x:c r="O66" s="32" t="n">
        <x:v>4.01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Todarodes sagittatus</x:v>
      </x:c>
      <x:c r="T66" s="32" t="n">
        <x:f>IF(O66="","",(1/'Metadata'!$B$5)^(O66-1))</x:f>
        <x:v>1023.2929922807537</x:v>
      </x:c>
      <x:c r="U66" s="31" t="n">
        <x:f>IF(T66="","",I66*T66)</x:f>
        <x:v>459851.8509433855</x:v>
      </x:c>
    </x:row>
    <x:row r="67" ht="18" customHeight="1">
      <x:c r="A67" s="24" t="str">
        <x:v>EEZ_962</x:v>
      </x:c>
      <x:c r="B67" s="24" t="str">
        <x:v>Spain (mainland, Med and Gulf of Cadiz)</x:v>
      </x:c>
      <x:c r="C67" s="24" t="str">
        <x:v>EEZ</x:v>
      </x:c>
      <x:c r="D67" s="30" t="n">
        <x:v>2019</x:v>
      </x:c>
      <x:c r="E67" s="24" t="str">
        <x:v>Eledone</x:v>
      </x:c>
      <x:c r="F67" s="24" t="str">
        <x:v>Horned, musky octopuses</x:v>
      </x:c>
      <x:c r="G67" s="24" t="str">
        <x:v>Cephalopods</x:v>
      </x:c>
      <x:c r="H67" s="24" t="str">
        <x:v>Other fishes &amp; inverts</x:v>
      </x:c>
      <x:c r="I67" s="31" t="n">
        <x:v>449.04952417889996</x:v>
      </x:c>
      <x:c r="J67" s="31" t="n">
        <x:v>440.07655996219995</x:v>
      </x:c>
      <x:c r="K67" s="31" t="n">
        <x:v>8.9729642167</x:v>
      </x:c>
      <x:c r="L67" s="31" t="n">
        <x:v>386.73470398259997</x:v>
      </x:c>
      <x:c r="M67" s="31" t="n">
        <x:v>62.3148201963</x:v>
      </x:c>
      <x:c r="N67" s="24" t="str">
        <x:v>eledone</x:v>
      </x:c>
      <x:c r="O67" s="32" t="n">
        <x:v>3.67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Eledone</x:v>
      </x:c>
      <x:c r="T67" s="32" t="n">
        <x:f>IF(O67="","",(1/'Metadata'!$B$5)^(O67-1))</x:f>
        <x:v>467.73514128719813</x:v>
      </x:c>
      <x:c r="U67" s="31" t="n">
        <x:f>IF(T67="","",I67*T67)</x:f>
        <x:v>210036.24263676687</x:v>
      </x:c>
    </x:row>
    <x:row r="68" ht="18" customHeight="1">
      <x:c r="A68" s="24" t="str">
        <x:v>EEZ_962</x:v>
      </x:c>
      <x:c r="B68" s="24" t="str">
        <x:v>Spain (mainland, Med and Gulf of Cadiz)</x:v>
      </x:c>
      <x:c r="C68" s="24" t="str">
        <x:v>EEZ</x:v>
      </x:c>
      <x:c r="D68" s="30" t="n">
        <x:v>2019</x:v>
      </x:c>
      <x:c r="E68" s="24" t="str">
        <x:v>Trachurus</x:v>
      </x:c>
      <x:c r="F68" s="24" t="str">
        <x:v>Jacks, horse mackerels</x:v>
      </x:c>
      <x:c r="G68" s="24" t="str">
        <x:v>Medium pelagics (30 - 89 cm)</x:v>
      </x:c>
      <x:c r="H68" s="24" t="str">
        <x:v>Perch-likes</x:v>
      </x:c>
      <x:c r="I68" s="31" t="n">
        <x:v>435.3033735249</x:v>
      </x:c>
      <x:c r="J68" s="31" t="n">
        <x:v>383.2867600578</x:v>
      </x:c>
      <x:c r="K68" s="31" t="n">
        <x:v>52.016613467099994</x:v>
      </x:c>
      <x:c r="L68" s="31" t="n">
        <x:v>371.2267574001</x:v>
      </x:c>
      <x:c r="M68" s="31" t="n">
        <x:v>64.0766161248</x:v>
      </x:c>
      <x:c r="N68" s="24" t="str">
        <x:v>trachurus</x:v>
      </x:c>
      <x:c r="O68" s="32" t="n">
        <x:v>3.69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Trachurus</x:v>
      </x:c>
      <x:c r="T68" s="32" t="n">
        <x:f>IF(O68="","",(1/'Metadata'!$B$5)^(O68-1))</x:f>
        <x:v>489.77881936844614</x:v>
      </x:c>
      <x:c r="U68" s="31" t="n">
        <x:f>IF(T68="","",I68*T68)</x:f>
        <x:v>213202.37235212725</x:v>
      </x:c>
    </x:row>
    <x:row r="69" ht="18" customHeight="1">
      <x:c r="A69" s="24" t="str">
        <x:v>EEZ_962</x:v>
      </x:c>
      <x:c r="B69" s="24" t="str">
        <x:v>Spain (mainland, Med and Gulf of Cadiz)</x:v>
      </x:c>
      <x:c r="C69" s="24" t="str">
        <x:v>EEZ</x:v>
      </x:c>
      <x:c r="D69" s="30" t="n">
        <x:v>2019</x:v>
      </x:c>
      <x:c r="E69" s="24" t="str">
        <x:v>Seriola dumerili</x:v>
      </x:c>
      <x:c r="F69" s="24" t="str">
        <x:v>Greater amberjack</x:v>
      </x:c>
      <x:c r="G69" s="24" t="str">
        <x:v>Large reef assoc. fish (&gt;=90 cm)</x:v>
      </x:c>
      <x:c r="H69" s="24" t="str">
        <x:v>Perch-likes</x:v>
      </x:c>
      <x:c r="I69" s="31" t="n">
        <x:v>419.0246046304</x:v>
      </x:c>
      <x:c r="J69" s="31" t="n">
        <x:v>409.6113794934</x:v>
      </x:c>
      <x:c r="K69" s="31" t="n">
        <x:v>9.413225137</x:v>
      </x:c>
      <x:c r="L69" s="31" t="n">
        <x:v>288.53810878859997</x:v>
      </x:c>
      <x:c r="M69" s="31" t="n">
        <x:v>130.48649584179998</x:v>
      </x:c>
      <x:c r="N69" s="24" t="str">
        <x:v>seriola dumerili</x:v>
      </x:c>
      <x:c r="O69" s="32" t="n">
        <x:v>4.5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Seriola dumerili</x:v>
      </x:c>
      <x:c r="T69" s="32" t="n">
        <x:f>IF(O69="","",(1/'Metadata'!$B$5)^(O69-1))</x:f>
        <x:v>3162.2776601683795</x:v>
      </x:c>
      <x:c r="U69" s="31" t="n">
        <x:f>IF(T69="","",I69*T69)</x:f>
        <x:v>1325072.1462836016</x:v>
      </x:c>
    </x:row>
    <x:row r="70" ht="18" customHeight="1">
      <x:c r="A70" s="24" t="str">
        <x:v>EEZ_962</x:v>
      </x:c>
      <x:c r="B70" s="24" t="str">
        <x:v>Spain (mainland, Med and Gulf of Cadiz)</x:v>
      </x:c>
      <x:c r="C70" s="24" t="str">
        <x:v>EEZ</x:v>
      </x:c>
      <x:c r="D70" s="30" t="n">
        <x:v>2019</x:v>
      </x:c>
      <x:c r="E70" s="24" t="str">
        <x:v>Triglidae</x:v>
      </x:c>
      <x:c r="F70" s="24" t="str">
        <x:v>Searobins, gurnards</x:v>
      </x:c>
      <x:c r="G70" s="24" t="str">
        <x:v>Medium demersals (30 - 89 cm)</x:v>
      </x:c>
      <x:c r="H70" s="24" t="str">
        <x:v>Scorpionfishes</x:v>
      </x:c>
      <x:c r="I70" s="31" t="n">
        <x:v>410.097362337</x:v>
      </x:c>
      <x:c r="J70" s="31" t="n">
        <x:v>350.51708274889995</x:v>
      </x:c>
      <x:c r="K70" s="31" t="n">
        <x:v>59.5802795881</x:v>
      </x:c>
      <x:c r="L70" s="31" t="n">
        <x:v>332.91636757969997</x:v>
      </x:c>
      <x:c r="M70" s="31" t="n">
        <x:v>77.1809947573</x:v>
      </x:c>
      <x:c r="N70" s="24" t="str">
        <x:v>triglidae</x:v>
      </x:c>
      <x:c r="O70" s="32" t="n">
        <x:v>3.74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Triglidae</x:v>
      </x:c>
      <x:c r="T70" s="32" t="n">
        <x:f>IF(O70="","",(1/'Metadata'!$B$5)^(O70-1))</x:f>
        <x:v>549.5408738576248</x:v>
      </x:c>
      <x:c r="U70" s="31" t="n">
        <x:f>IF(T70="","",I70*T70)</x:f>
        <x:v>225365.26286538196</x:v>
      </x:c>
    </x:row>
    <x:row r="71" ht="18" customHeight="1">
      <x:c r="A71" s="24" t="str">
        <x:v>EEZ_962</x:v>
      </x:c>
      <x:c r="B71" s="24" t="str">
        <x:v>Spain (mainland, Med and Gulf of Cadiz)</x:v>
      </x:c>
      <x:c r="C71" s="24" t="str">
        <x:v>EEZ</x:v>
      </x:c>
      <x:c r="D71" s="30" t="n">
        <x:v>2019</x:v>
      </x:c>
      <x:c r="E71" s="24" t="str">
        <x:v>Plectorhinchus mediterraneus</x:v>
      </x:c>
      <x:c r="F71" s="24" t="str">
        <x:v>Rubberlip grunt</x:v>
      </x:c>
      <x:c r="G71" s="24" t="str">
        <x:v>Medium demersals (30 - 89 cm)</x:v>
      </x:c>
      <x:c r="H71" s="24" t="str">
        <x:v>Perch-likes</x:v>
      </x:c>
      <x:c r="I71" s="31" t="n">
        <x:v>375.4638092294</x:v>
      </x:c>
      <x:c r="J71" s="31" t="n">
        <x:v>314.2967901521</x:v>
      </x:c>
      <x:c r="K71" s="31" t="n">
        <x:v>61.167019077300004</x:v>
      </x:c>
      <x:c r="L71" s="31" t="n">
        <x:v>251.1151084329</x:v>
      </x:c>
      <x:c r="M71" s="31" t="n">
        <x:v>124.3487007965</x:v>
      </x:c>
      <x:c r="N71" s="24" t="str">
        <x:v>plectorhinchus mediterraneus</x:v>
      </x:c>
      <x:c r="O71" s="32" t="n">
        <x:v>3.49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Plectorhinchus mediterraneus</x:v>
      </x:c>
      <x:c r="T71" s="32" t="n">
        <x:f>IF(O71="","",(1/'Metadata'!$B$5)^(O71-1))</x:f>
        <x:v>309.0295432513592</x:v>
      </x:c>
      <x:c r="U71" s="31" t="n">
        <x:f>IF(T71="","",I71*T71)</x:f>
        <x:v>116029.40947357695</x:v>
      </x:c>
    </x:row>
    <x:row r="72" ht="18" customHeight="1">
      <x:c r="A72" s="24" t="str">
        <x:v>EEZ_962</x:v>
      </x:c>
      <x:c r="B72" s="24" t="str">
        <x:v>Spain (mainland, Med and Gulf of Cadiz)</x:v>
      </x:c>
      <x:c r="C72" s="24" t="str">
        <x:v>EEZ</x:v>
      </x:c>
      <x:c r="D72" s="30" t="n">
        <x:v>2019</x:v>
      </x:c>
      <x:c r="E72" s="24" t="str">
        <x:v>Clupeiformes</x:v>
      </x:c>
      <x:c r="F72" s="24" t="str">
        <x:v>Herrings, shads, anchovies</x:v>
      </x:c>
      <x:c r="G72" s="24" t="str">
        <x:v>Small pelagics (&lt;30 cm)</x:v>
      </x:c>
      <x:c r="H72" s="24" t="str">
        <x:v>Other fishes &amp; inverts</x:v>
      </x:c>
      <x:c r="I72" s="31" t="n">
        <x:v>374.7394274065</x:v>
      </x:c>
      <x:c r="J72" s="31" t="n">
        <x:v>360.8969322036</x:v>
      </x:c>
      <x:c r="K72" s="31" t="n">
        <x:v>13.8424952029</x:v>
      </x:c>
      <x:c r="L72" s="31" t="n">
        <x:v>354.66905792</x:v>
      </x:c>
      <x:c r="M72" s="31" t="n">
        <x:v>20.070369486500002</x:v>
      </x:c>
      <x:c r="N72" s="24" t="str">
        <x:v>clupeiformes</x:v>
      </x:c>
      <x:c r="O72" s="32" t="n">
        <x:v>3.24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Clupeiformes</x:v>
      </x:c>
      <x:c r="T72" s="32" t="n">
        <x:f>IF(O72="","",(1/'Metadata'!$B$5)^(O72-1))</x:f>
        <x:v>173.78008287493762</x:v>
      </x:c>
      <x:c r="U72" s="31" t="n">
        <x:f>IF(T72="","",I72*T72)</x:f>
        <x:v>65122.24875120824</x:v>
      </x:c>
    </x:row>
    <x:row r="73" ht="18" customHeight="1">
      <x:c r="A73" s="24" t="str">
        <x:v>EEZ_962</x:v>
      </x:c>
      <x:c r="B73" s="24" t="str">
        <x:v>Spain (mainland, Med and Gulf of Cadiz)</x:v>
      </x:c>
      <x:c r="C73" s="24" t="str">
        <x:v>EEZ</x:v>
      </x:c>
      <x:c r="D73" s="30" t="n">
        <x:v>2019</x:v>
      </x:c>
      <x:c r="E73" s="24" t="str">
        <x:v>Alopias vulpinus</x:v>
      </x:c>
      <x:c r="F73" s="24" t="str">
        <x:v>Thresher</x:v>
      </x:c>
      <x:c r="G73" s="24" t="str">
        <x:v>Large sharks (&gt;=90 cm)</x:v>
      </x:c>
      <x:c r="H73" s="24" t="str">
        <x:v>Sharks &amp; rays</x:v>
      </x:c>
      <x:c r="I73" s="31" t="n">
        <x:v>370.1857380826</x:v>
      </x:c>
      <x:c r="J73" s="31" t="n">
        <x:v>370.1857380826</x:v>
      </x:c>
      <x:c r="K73" s="31" t="n">
        <x:v>0</x:v>
      </x:c>
      <x:c r="L73" s="31" t="n">
        <x:v>0</x:v>
      </x:c>
      <x:c r="M73" s="31" t="n">
        <x:v>370.1857380826</x:v>
      </x:c>
      <x:c r="N73" s="24" t="str">
        <x:v>alopias vulpinus</x:v>
      </x:c>
      <x:c r="O73" s="32" t="n">
        <x:v>4.5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Alopias vulpinus</x:v>
      </x:c>
      <x:c r="T73" s="32" t="n">
        <x:f>IF(O73="","",(1/'Metadata'!$B$5)^(O73-1))</x:f>
        <x:v>3162.2776601683795</x:v>
      </x:c>
      <x:c r="U73" s="31" t="n">
        <x:f>IF(T73="","",I73*T73)</x:f>
        <x:v>1170630.0896515488</x:v>
      </x:c>
    </x:row>
    <x:row r="74" ht="18" customHeight="1">
      <x:c r="A74" s="24" t="str">
        <x:v>EEZ_962</x:v>
      </x:c>
      <x:c r="B74" s="24" t="str">
        <x:v>Spain (mainland, Med and Gulf of Cadiz)</x:v>
      </x:c>
      <x:c r="C74" s="24" t="str">
        <x:v>EEZ</x:v>
      </x:c>
      <x:c r="D74" s="30" t="n">
        <x:v>2019</x:v>
      </x:c>
      <x:c r="E74" s="24" t="str">
        <x:v>Trachinotus ovatus</x:v>
      </x:c>
      <x:c r="F74" s="24" t="str">
        <x:v>Pompano</x:v>
      </x:c>
      <x:c r="G74" s="24" t="str">
        <x:v>Medium pelagics (30 - 89 cm)</x:v>
      </x:c>
      <x:c r="H74" s="24" t="str">
        <x:v>Perch-likes</x:v>
      </x:c>
      <x:c r="I74" s="31" t="n">
        <x:v>351.943532345</x:v>
      </x:c>
      <x:c r="J74" s="31" t="n">
        <x:v>348.7466176933</x:v>
      </x:c>
      <x:c r="K74" s="31" t="n">
        <x:v>3.1969146516999998</x:v>
      </x:c>
      <x:c r="L74" s="31" t="n">
        <x:v>62.18838314919999</x:v>
      </x:c>
      <x:c r="M74" s="31" t="n">
        <x:v>289.7551491958</x:v>
      </x:c>
      <x:c r="N74" s="24" t="str">
        <x:v>trachinotus ovatus</x:v>
      </x:c>
      <x:c r="O74" s="32" t="n">
        <x:v>3.73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Trachinotus ovatus</x:v>
      </x:c>
      <x:c r="T74" s="32" t="n">
        <x:f>IF(O74="","",(1/'Metadata'!$B$5)^(O74-1))</x:f>
        <x:v>537.0317963702527</x:v>
      </x:c>
      <x:c r="U74" s="31" t="n">
        <x:f>IF(T74="","",I74*T74)</x:f>
        <x:v>189004.86739612746</x:v>
      </x:c>
    </x:row>
    <x:row r="75" ht="18" customHeight="1">
      <x:c r="A75" s="24" t="str">
        <x:v>EEZ_962</x:v>
      </x:c>
      <x:c r="B75" s="24" t="str">
        <x:v>Spain (mainland, Med and Gulf of Cadiz)</x:v>
      </x:c>
      <x:c r="C75" s="24" t="str">
        <x:v>EEZ</x:v>
      </x:c>
      <x:c r="D75" s="30" t="n">
        <x:v>2019</x:v>
      </x:c>
      <x:c r="E75" s="24" t="str">
        <x:v>Diplodus sargus</x:v>
      </x:c>
      <x:c r="F75" s="24" t="str">
        <x:v>White seabream</x:v>
      </x:c>
      <x:c r="G75" s="24" t="str">
        <x:v>Medium demersals (30 - 89 cm)</x:v>
      </x:c>
      <x:c r="H75" s="24" t="str">
        <x:v>Perch-likes</x:v>
      </x:c>
      <x:c r="I75" s="31" t="n">
        <x:v>349.9660310518</x:v>
      </x:c>
      <x:c r="J75" s="31" t="n">
        <x:v>336.3738617309</x:v>
      </x:c>
      <x:c r="K75" s="31" t="n">
        <x:v>13.5921693209</x:v>
      </x:c>
      <x:c r="L75" s="31" t="n">
        <x:v>285.8905447161</x:v>
      </x:c>
      <x:c r="M75" s="31" t="n">
        <x:v>64.07548633569999</x:v>
      </x:c>
      <x:c r="N75" s="24" t="str">
        <x:v>diplodus sargus</x:v>
      </x:c>
      <x:c r="O75" s="32" t="n">
        <x:v>3.38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Diplodus sargus</x:v>
      </x:c>
      <x:c r="T75" s="32" t="n">
        <x:f>IF(O75="","",(1/'Metadata'!$B$5)^(O75-1))</x:f>
        <x:v>239.88329190194898</x:v>
      </x:c>
      <x:c r="U75" s="31" t="n">
        <x:f>IF(T75="","",I75*T75)</x:f>
        <x:v>83951.00358256548</x:v>
      </x:c>
    </x:row>
    <x:row r="76" ht="18" customHeight="1">
      <x:c r="A76" s="24" t="str">
        <x:v>EEZ_962</x:v>
      </x:c>
      <x:c r="B76" s="24" t="str">
        <x:v>Spain (mainland, Med and Gulf of Cadiz)</x:v>
      </x:c>
      <x:c r="C76" s="24" t="str">
        <x:v>EEZ</x:v>
      </x:c>
      <x:c r="D76" s="30" t="n">
        <x:v>2019</x:v>
      </x:c>
      <x:c r="E76" s="24" t="str">
        <x:v>Lophius budegassa</x:v>
      </x:c>
      <x:c r="F76" s="24" t="str">
        <x:v>Blackbellied angler</x:v>
      </x:c>
      <x:c r="G76" s="24" t="str">
        <x:v>Large bathydemersals (&gt;=90 cm)</x:v>
      </x:c>
      <x:c r="H76" s="24" t="str">
        <x:v>Other fishes &amp; inverts</x:v>
      </x:c>
      <x:c r="I76" s="31" t="n">
        <x:v>341.7911205414</x:v>
      </x:c>
      <x:c r="J76" s="31" t="n">
        <x:v>325.155119681</x:v>
      </x:c>
      <x:c r="K76" s="31" t="n">
        <x:v>16.6360008604</x:v>
      </x:c>
      <x:c r="L76" s="31" t="n">
        <x:v>304.755511516</x:v>
      </x:c>
      <x:c r="M76" s="31" t="n">
        <x:v>37.0356090254</x:v>
      </x:c>
      <x:c r="N76" s="24" t="str">
        <x:v>lophius budegassa</x:v>
      </x:c>
      <x:c r="O76" s="32" t="n">
        <x:v>4.41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Lophius budegassa</x:v>
      </x:c>
      <x:c r="T76" s="32" t="n">
        <x:f>IF(O76="","",(1/'Metadata'!$B$5)^(O76-1))</x:f>
        <x:v>2570.3957827688646</x:v>
      </x:c>
      <x:c r="U76" s="31" t="n">
        <x:f>IF(T76="","",I76*T76)</x:f>
        <x:v>878538.4548274592</x:v>
      </x:c>
    </x:row>
    <x:row r="77" ht="18" customHeight="1">
      <x:c r="A77" s="24" t="str">
        <x:v>EEZ_962</x:v>
      </x:c>
      <x:c r="B77" s="24" t="str">
        <x:v>Spain (mainland, Med and Gulf of Cadiz)</x:v>
      </x:c>
      <x:c r="C77" s="24" t="str">
        <x:v>EEZ</x:v>
      </x:c>
      <x:c r="D77" s="30" t="n">
        <x:v>2019</x:v>
      </x:c>
      <x:c r="E77" s="24" t="str">
        <x:v>Spondyliosoma cantharus</x:v>
      </x:c>
      <x:c r="F77" s="24" t="str">
        <x:v>Black seabream</x:v>
      </x:c>
      <x:c r="G77" s="24" t="str">
        <x:v>Medium benthopelagics (30 - 89 cm)</x:v>
      </x:c>
      <x:c r="H77" s="24" t="str">
        <x:v>Perch-likes</x:v>
      </x:c>
      <x:c r="I77" s="31" t="n">
        <x:v>340.596772473</x:v>
      </x:c>
      <x:c r="J77" s="31" t="n">
        <x:v>333.7871471069</x:v>
      </x:c>
      <x:c r="K77" s="31" t="n">
        <x:v>6.8096253661</x:v>
      </x:c>
      <x:c r="L77" s="31" t="n">
        <x:v>55.8750348812</x:v>
      </x:c>
      <x:c r="M77" s="31" t="n">
        <x:v>284.72173759180004</x:v>
      </x:c>
      <x:c r="N77" s="24" t="str">
        <x:v>spondyliosoma cantharus</x:v>
      </x:c>
      <x:c r="O77" s="32" t="n">
        <x:v>3.34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Spondyliosoma cantharus</x:v>
      </x:c>
      <x:c r="T77" s="32" t="n">
        <x:f>IF(O77="","",(1/'Metadata'!$B$5)^(O77-1))</x:f>
        <x:v>218.77616239495518</x:v>
      </x:c>
      <x:c r="U77" s="31" t="n">
        <x:f>IF(T77="","",I77*T77)</x:f>
        <x:v>74514.45480575065</x:v>
      </x:c>
    </x:row>
    <x:row r="78" ht="18" customHeight="1">
      <x:c r="A78" s="24" t="str">
        <x:v>EEZ_962</x:v>
      </x:c>
      <x:c r="B78" s="24" t="str">
        <x:v>Spain (mainland, Med and Gulf of Cadiz)</x:v>
      </x:c>
      <x:c r="C78" s="24" t="str">
        <x:v>EEZ</x:v>
      </x:c>
      <x:c r="D78" s="30" t="n">
        <x:v>2019</x:v>
      </x:c>
      <x:c r="E78" s="24" t="str">
        <x:v>Epinephelus</x:v>
      </x:c>
      <x:c r="F78" s="24" t="str">
        <x:v>Seabasses, hinds</x:v>
      </x:c>
      <x:c r="G78" s="24" t="str">
        <x:v>Medium reef assoc. fish (30 - 89 cm)</x:v>
      </x:c>
      <x:c r="H78" s="24" t="str">
        <x:v>Perch-likes</x:v>
      </x:c>
      <x:c r="I78" s="31" t="n">
        <x:v>338.8550403981</x:v>
      </x:c>
      <x:c r="J78" s="31" t="n">
        <x:v>338.6040713363</x:v>
      </x:c>
      <x:c r="K78" s="31" t="n">
        <x:v>0.2509690618</x:v>
      </x:c>
      <x:c r="L78" s="31" t="n">
        <x:v>1.4992899201</x:v>
      </x:c>
      <x:c r="M78" s="31" t="n">
        <x:v>337.355750478</x:v>
      </x:c>
      <x:c r="N78" s="24" t="str">
        <x:v>epinephelus</x:v>
      </x:c>
      <x:c r="O78" s="32" t="n">
        <x:v>3.84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Epinephelus</x:v>
      </x:c>
      <x:c r="T78" s="32" t="n">
        <x:f>IF(O78="","",(1/'Metadata'!$B$5)^(O78-1))</x:f>
        <x:v>691.8309709189363</x:v>
      </x:c>
      <x:c r="U78" s="31" t="n">
        <x:f>IF(T78="","",I78*T78)</x:f>
        <x:v>234430.41159939292</x:v>
      </x:c>
    </x:row>
    <x:row r="79" ht="18" customHeight="1">
      <x:c r="A79" s="24" t="str">
        <x:v>EEZ_962</x:v>
      </x:c>
      <x:c r="B79" s="24" t="str">
        <x:v>Spain (mainland, Med and Gulf of Cadiz)</x:v>
      </x:c>
      <x:c r="C79" s="24" t="str">
        <x:v>EEZ</x:v>
      </x:c>
      <x:c r="D79" s="30" t="n">
        <x:v>2019</x:v>
      </x:c>
      <x:c r="E79" s="24" t="str">
        <x:v>Spicara smaris</x:v>
      </x:c>
      <x:c r="F79" s="24" t="str">
        <x:v>Picarel</x:v>
      </x:c>
      <x:c r="G79" s="24" t="str">
        <x:v>Small demersals (&lt;30 cm)</x:v>
      </x:c>
      <x:c r="H79" s="24" t="str">
        <x:v>Perch-likes</x:v>
      </x:c>
      <x:c r="I79" s="31" t="n">
        <x:v>333.64216189049995</x:v>
      </x:c>
      <x:c r="J79" s="31" t="n">
        <x:v>192.25179141139998</x:v>
      </x:c>
      <x:c r="K79" s="31" t="n">
        <x:v>141.3903704791</x:v>
      </x:c>
      <x:c r="L79" s="31" t="n">
        <x:v>183.32275494549998</x:v>
      </x:c>
      <x:c r="M79" s="31" t="n">
        <x:v>150.319406945</x:v>
      </x:c>
      <x:c r="N79" s="24" t="str">
        <x:v>spicara smaris</x:v>
      </x:c>
      <x:c r="O79" s="32" t="n">
        <x:v>3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Spicara smaris</x:v>
      </x:c>
      <x:c r="T79" s="32" t="n">
        <x:f>IF(O79="","",(1/'Metadata'!$B$5)^(O79-1))</x:f>
        <x:v>100</x:v>
      </x:c>
      <x:c r="U79" s="31" t="n">
        <x:f>IF(T79="","",I79*T79)</x:f>
        <x:v>33364.21618904999</x:v>
      </x:c>
    </x:row>
    <x:row r="80" ht="18" customHeight="1">
      <x:c r="A80" s="24" t="str">
        <x:v>EEZ_962</x:v>
      </x:c>
      <x:c r="B80" s="24" t="str">
        <x:v>Spain (mainland, Med and Gulf of Cadiz)</x:v>
      </x:c>
      <x:c r="C80" s="24" t="str">
        <x:v>EEZ</x:v>
      </x:c>
      <x:c r="D80" s="30" t="n">
        <x:v>2019</x:v>
      </x:c>
      <x:c r="E80" s="24" t="str">
        <x:v>Loligo</x:v>
      </x:c>
      <x:c r="F80" s="24" t="str">
        <x:v>Common squids</x:v>
      </x:c>
      <x:c r="G80" s="24" t="str">
        <x:v>Cephalopods</x:v>
      </x:c>
      <x:c r="H80" s="24" t="str">
        <x:v>Other fishes &amp; inverts</x:v>
      </x:c>
      <x:c r="I80" s="31" t="n">
        <x:v>313.2322451622</x:v>
      </x:c>
      <x:c r="J80" s="31" t="n">
        <x:v>308.280007837</x:v>
      </x:c>
      <x:c r="K80" s="31" t="n">
        <x:v>4.9522373252</x:v>
      </x:c>
      <x:c r="L80" s="31" t="n">
        <x:v>273.7719197217</x:v>
      </x:c>
      <x:c r="M80" s="31" t="n">
        <x:v>39.4603254405</x:v>
      </x:c>
      <x:c r="N80" s="24" t="str">
        <x:v>loligo</x:v>
      </x:c>
      <x:c r="O80" s="32" t="n">
        <x:v>3.99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Loligo</x:v>
      </x:c>
      <x:c r="T80" s="32" t="n">
        <x:f>IF(O80="","",(1/'Metadata'!$B$5)^(O80-1))</x:f>
        <x:v>977.2372209558112</x:v>
      </x:c>
      <x:c r="U80" s="31" t="n">
        <x:f>IF(T80="","",I80*T80)</x:f>
        <x:v>306102.20877605764</x:v>
      </x:c>
    </x:row>
    <x:row r="81" ht="18" customHeight="1">
      <x:c r="A81" s="24" t="str">
        <x:v>EEZ_962</x:v>
      </x:c>
      <x:c r="B81" s="24" t="str">
        <x:v>Spain (mainland, Med and Gulf of Cadiz)</x:v>
      </x:c>
      <x:c r="C81" s="24" t="str">
        <x:v>EEZ</x:v>
      </x:c>
      <x:c r="D81" s="30" t="n">
        <x:v>2019</x:v>
      </x:c>
      <x:c r="E81" s="24" t="str">
        <x:v>Dicologlossa cuneata</x:v>
      </x:c>
      <x:c r="F81" s="24" t="str">
        <x:v>Wedge sole</x:v>
      </x:c>
      <x:c r="G81" s="24" t="str">
        <x:v>Small to medium flatfishes (&lt;90 cm)</x:v>
      </x:c>
      <x:c r="H81" s="24" t="str">
        <x:v>Flatfishes</x:v>
      </x:c>
      <x:c r="I81" s="31" t="n">
        <x:v>277.41997139489996</x:v>
      </x:c>
      <x:c r="J81" s="31" t="n">
        <x:v>235.5637373198</x:v>
      </x:c>
      <x:c r="K81" s="31" t="n">
        <x:v>41.8562340751</x:v>
      </x:c>
      <x:c r="L81" s="31" t="n">
        <x:v>171.1416247268</x:v>
      </x:c>
      <x:c r="M81" s="31" t="n">
        <x:v>106.2783466681</x:v>
      </x:c>
      <x:c r="N81" s="24" t="str">
        <x:v>dicologlossa cuneata</x:v>
      </x:c>
      <x:c r="O81" s="32" t="n">
        <x:v>3.32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Dicologlossa cuneata</x:v>
      </x:c>
      <x:c r="T81" s="32" t="n">
        <x:f>IF(O81="","",(1/'Metadata'!$B$5)^(O81-1))</x:f>
        <x:v>208.92961308540387</x:v>
      </x:c>
      <x:c r="U81" s="31" t="n">
        <x:f>IF(T81="","",I81*T81)</x:f>
        <x:v>57961.24728570026</x:v>
      </x:c>
    </x:row>
    <x:row r="82" ht="18" customHeight="1">
      <x:c r="A82" s="24" t="str">
        <x:v>EEZ_962</x:v>
      </x:c>
      <x:c r="B82" s="24" t="str">
        <x:v>Spain (mainland, Med and Gulf of Cadiz)</x:v>
      </x:c>
      <x:c r="C82" s="24" t="str">
        <x:v>EEZ</x:v>
      </x:c>
      <x:c r="D82" s="30" t="n">
        <x:v>2019</x:v>
      </x:c>
      <x:c r="E82" s="24" t="str">
        <x:v>Polyprion americanus</x:v>
      </x:c>
      <x:c r="F82" s="24" t="str">
        <x:v>Wreckfish</x:v>
      </x:c>
      <x:c r="G82" s="24" t="str">
        <x:v>Large bathydemersals (&gt;=90 cm)</x:v>
      </x:c>
      <x:c r="H82" s="24" t="str">
        <x:v>Perch-likes</x:v>
      </x:c>
      <x:c r="I82" s="31" t="n">
        <x:v>260.342514736</x:v>
      </x:c>
      <x:c r="J82" s="31" t="n">
        <x:v>257.42419466670003</x:v>
      </x:c>
      <x:c r="K82" s="31" t="n">
        <x:v>2.9183200693</x:v>
      </x:c>
      <x:c r="L82" s="31" t="n">
        <x:v>9.8164272737</x:v>
      </x:c>
      <x:c r="M82" s="31" t="n">
        <x:v>250.5260874623</x:v>
      </x:c>
      <x:c r="N82" s="24" t="str">
        <x:v>polyprion americanus</x:v>
      </x:c>
      <x:c r="O82" s="32" t="n">
        <x:v>4.14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Polyprion americanus</x:v>
      </x:c>
      <x:c r="T82" s="32" t="n">
        <x:f>IF(O82="","",(1/'Metadata'!$B$5)^(O82-1))</x:f>
        <x:v>1380.3842646028838</x:v>
      </x:c>
      <x:c r="U82" s="31" t="n">
        <x:f>IF(T82="","",I82*T82)</x:f>
        <x:v>359372.7107487188</x:v>
      </x:c>
    </x:row>
    <x:row r="83" ht="18" customHeight="1">
      <x:c r="A83" s="24" t="str">
        <x:v>EEZ_962</x:v>
      </x:c>
      <x:c r="B83" s="24" t="str">
        <x:v>Spain (mainland, Med and Gulf of Cadiz)</x:v>
      </x:c>
      <x:c r="C83" s="24" t="str">
        <x:v>EEZ</x:v>
      </x:c>
      <x:c r="D83" s="30" t="n">
        <x:v>2019</x:v>
      </x:c>
      <x:c r="E83" s="24" t="str">
        <x:v>Zeus faber</x:v>
      </x:c>
      <x:c r="F83" s="24" t="str">
        <x:v>John dory</x:v>
      </x:c>
      <x:c r="G83" s="24" t="str">
        <x:v>Medium benthopelagics (30 - 89 cm)</x:v>
      </x:c>
      <x:c r="H83" s="24" t="str">
        <x:v>Other fishes &amp; inverts</x:v>
      </x:c>
      <x:c r="I83" s="31" t="n">
        <x:v>255.5961999431</x:v>
      </x:c>
      <x:c r="J83" s="31" t="n">
        <x:v>248.1461437335</x:v>
      </x:c>
      <x:c r="K83" s="31" t="n">
        <x:v>7.4500562096000005</x:v>
      </x:c>
      <x:c r="L83" s="31" t="n">
        <x:v>224.4182265242</x:v>
      </x:c>
      <x:c r="M83" s="31" t="n">
        <x:v>31.177973418900002</x:v>
      </x:c>
      <x:c r="N83" s="24" t="str">
        <x:v>zeus faber</x:v>
      </x:c>
      <x:c r="O83" s="32" t="n">
        <x:v>4.5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Zeus faber</x:v>
      </x:c>
      <x:c r="T83" s="32" t="n">
        <x:f>IF(O83="","",(1/'Metadata'!$B$5)^(O83-1))</x:f>
        <x:v>3162.2776601683795</x:v>
      </x:c>
      <x:c r="U83" s="31" t="n">
        <x:f>IF(T83="","",I83*T83)</x:f>
        <x:v>808266.1531039956</x:v>
      </x:c>
    </x:row>
    <x:row r="84" ht="18" customHeight="1">
      <x:c r="A84" s="24" t="str">
        <x:v>EEZ_962</x:v>
      </x:c>
      <x:c r="B84" s="24" t="str">
        <x:v>Spain (mainland, Med and Gulf of Cadiz)</x:v>
      </x:c>
      <x:c r="C84" s="24" t="str">
        <x:v>EEZ</x:v>
      </x:c>
      <x:c r="D84" s="30" t="n">
        <x:v>2019</x:v>
      </x:c>
      <x:c r="E84" s="24" t="str">
        <x:v>Oblada melanurus</x:v>
      </x:c>
      <x:c r="F84" s="24" t="str">
        <x:v>Saddled seabream</x:v>
      </x:c>
      <x:c r="G84" s="24" t="str">
        <x:v>Small benthopelagics (&lt;30 cm)</x:v>
      </x:c>
      <x:c r="H84" s="24" t="str">
        <x:v>Perch-likes</x:v>
      </x:c>
      <x:c r="I84" s="31" t="n">
        <x:v>241.5383785107</x:v>
      </x:c>
      <x:c r="J84" s="31" t="n">
        <x:v>238.1985187955</x:v>
      </x:c>
      <x:c r="K84" s="31" t="n">
        <x:v>3.3398597152000002</x:v>
      </x:c>
      <x:c r="L84" s="31" t="n">
        <x:v>39.5319441221</x:v>
      </x:c>
      <x:c r="M84" s="31" t="n">
        <x:v>202.0064343886</x:v>
      </x:c>
      <x:c r="N84" s="24" t="str">
        <x:v>oblada melanurus</x:v>
      </x:c>
      <x:c r="O84" s="32" t="n">
        <x:v>3.38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Oblada melanurus</x:v>
      </x:c>
      <x:c r="T84" s="32" t="n">
        <x:f>IF(O84="","",(1/'Metadata'!$B$5)^(O84-1))</x:f>
        <x:v>239.88329190194898</x:v>
      </x:c>
      <x:c r="U84" s="31" t="n">
        <x:f>IF(T84="","",I84*T84)</x:f>
        <x:v>57941.02135780569</x:v>
      </x:c>
    </x:row>
    <x:row r="85" ht="18" customHeight="1">
      <x:c r="A85" s="24" t="str">
        <x:v>EEZ_962</x:v>
      </x:c>
      <x:c r="B85" s="24" t="str">
        <x:v>Spain (mainland, Med and Gulf of Cadiz)</x:v>
      </x:c>
      <x:c r="C85" s="24" t="str">
        <x:v>EEZ</x:v>
      </x:c>
      <x:c r="D85" s="30" t="n">
        <x:v>2019</x:v>
      </x:c>
      <x:c r="E85" s="24" t="str">
        <x:v>Marine pelagic fishes not identified</x:v>
      </x:c>
      <x:c r="F85" s="24" t="str">
        <x:v>Pelagic fishes</x:v>
      </x:c>
      <x:c r="G85" s="24" t="str">
        <x:v>Medium pelagics (30 - 89 cm)</x:v>
      </x:c>
      <x:c r="H85" s="24" t="str">
        <x:v>Other fishes &amp; inverts</x:v>
      </x:c>
      <x:c r="I85" s="31" t="n">
        <x:v>238.94937589280002</x:v>
      </x:c>
      <x:c r="J85" s="31" t="n">
        <x:v>238.94937589280002</x:v>
      </x:c>
      <x:c r="K85" s="31" t="n">
        <x:v>0</x:v>
      </x:c>
      <x:c r="L85" s="31" t="n">
        <x:v>238.94937589280002</x:v>
      </x:c>
      <x:c r="M85" s="31" t="n">
        <x:v>0</x:v>
      </x:c>
      <x:c r="N85" s="24" t="str">
        <x:v>marine pelagic fishes not identified</x:v>
      </x:c>
      <x:c r="O85" s="32" t="n">
        <x:v>3.35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Marine pelagic fishes not identified</x:v>
      </x:c>
      <x:c r="T85" s="32" t="n">
        <x:f>IF(O85="","",(1/'Metadata'!$B$5)^(O85-1))</x:f>
        <x:v>223.872113856834</x:v>
      </x:c>
      <x:c r="U85" s="31" t="n">
        <x:f>IF(T85="","",I85*T85)</x:f>
        <x:v>53494.101885892356</x:v>
      </x:c>
    </x:row>
    <x:row r="86" ht="18" customHeight="1">
      <x:c r="A86" s="24" t="str">
        <x:v>EEZ_962</x:v>
      </x:c>
      <x:c r="B86" s="24" t="str">
        <x:v>Spain (mainland, Med and Gulf of Cadiz)</x:v>
      </x:c>
      <x:c r="C86" s="24" t="str">
        <x:v>EEZ</x:v>
      </x:c>
      <x:c r="D86" s="30" t="n">
        <x:v>2019</x:v>
      </x:c>
      <x:c r="E86" s="24" t="str">
        <x:v>Balistidae</x:v>
      </x:c>
      <x:c r="F86" s="24" t="str">
        <x:v>Triggerfishes</x:v>
      </x:c>
      <x:c r="G86" s="24" t="str">
        <x:v>Medium reef assoc. fish (30 - 89 cm)</x:v>
      </x:c>
      <x:c r="H86" s="24" t="str">
        <x:v>Other fishes &amp; inverts</x:v>
      </x:c>
      <x:c r="I86" s="31" t="n">
        <x:v>225.4591536425</x:v>
      </x:c>
      <x:c r="J86" s="31" t="n">
        <x:v>225.4588586685</x:v>
      </x:c>
      <x:c r="K86" s="31" t="n">
        <x:v>0.000294974</x:v>
      </x:c>
      <x:c r="L86" s="31" t="n">
        <x:v>0.0241845353</x:v>
      </x:c>
      <x:c r="M86" s="31" t="n">
        <x:v>225.4349691072</x:v>
      </x:c>
      <x:c r="N86" s="24" t="str">
        <x:v>balistidae</x:v>
      </x:c>
      <x:c r="O86" s="32" t="n">
        <x:v>3.25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Balistidae</x:v>
      </x:c>
      <x:c r="T86" s="32" t="n">
        <x:f>IF(O86="","",(1/'Metadata'!$B$5)^(O86-1))</x:f>
        <x:v>177.82794100389228</x:v>
      </x:c>
      <x:c r="U86" s="31" t="n">
        <x:f>IF(T86="","",I86*T86)</x:f>
        <x:v>40092.937072725974</x:v>
      </x:c>
    </x:row>
    <x:row r="87" ht="18" customHeight="1">
      <x:c r="A87" s="24" t="str">
        <x:v>EEZ_962</x:v>
      </x:c>
      <x:c r="B87" s="24" t="str">
        <x:v>Spain (mainland, Med and Gulf of Cadiz)</x:v>
      </x:c>
      <x:c r="C87" s="24" t="str">
        <x:v>EEZ</x:v>
      </x:c>
      <x:c r="D87" s="30" t="n">
        <x:v>2019</x:v>
      </x:c>
      <x:c r="E87" s="24" t="str">
        <x:v>Illex</x:v>
      </x:c>
      <x:c r="F87" s="24" t="str">
        <x:v>Shortfin squid</x:v>
      </x:c>
      <x:c r="G87" s="24" t="str">
        <x:v>Cephalopods</x:v>
      </x:c>
      <x:c r="H87" s="24" t="str">
        <x:v>Other fishes &amp; inverts</x:v>
      </x:c>
      <x:c r="I87" s="31" t="n">
        <x:v>221.0060610412</x:v>
      </x:c>
      <x:c r="J87" s="31" t="n">
        <x:v>216.51047216150002</x:v>
      </x:c>
      <x:c r="K87" s="31" t="n">
        <x:v>4.4955888797</x:v>
      </x:c>
      <x:c r="L87" s="31" t="n">
        <x:v>208.317884846</x:v>
      </x:c>
      <x:c r="M87" s="31" t="n">
        <x:v>12.6881761952</x:v>
      </x:c>
      <x:c r="N87" s="24" t="str">
        <x:v>illex</x:v>
      </x:c>
      <x:c r="O87" s="32" t="n">
        <x:v>3.98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Illex</x:v>
      </x:c>
      <x:c r="T87" s="32" t="n">
        <x:f>IF(O87="","",(1/'Metadata'!$B$5)^(O87-1))</x:f>
        <x:v>954.992586021436</x:v>
      </x:c>
      <x:c r="U87" s="31" t="n">
        <x:f>IF(T87="","",I87*T87)</x:f>
        <x:v>211059.14976014692</x:v>
      </x:c>
    </x:row>
    <x:row r="88" ht="18" customHeight="1">
      <x:c r="A88" s="24" t="str">
        <x:v>EEZ_962</x:v>
      </x:c>
      <x:c r="B88" s="24" t="str">
        <x:v>Spain (mainland, Med and Gulf of Cadiz)</x:v>
      </x:c>
      <x:c r="C88" s="24" t="str">
        <x:v>EEZ</x:v>
      </x:c>
      <x:c r="D88" s="30" t="n">
        <x:v>2019</x:v>
      </x:c>
      <x:c r="E88" s="24" t="str">
        <x:v>Cepola</x:v>
      </x:c>
      <x:c r="F88" s="24" t="str">
        <x:v>Bandfish</x:v>
      </x:c>
      <x:c r="G88" s="24" t="str">
        <x:v>Medium demersals (30 - 89 cm)</x:v>
      </x:c>
      <x:c r="H88" s="24" t="str">
        <x:v>Perch-likes</x:v>
      </x:c>
      <x:c r="I88" s="31" t="n">
        <x:v>211.70396969549998</x:v>
      </x:c>
      <x:c r="J88" s="31" t="n">
        <x:v>170.5187185275</x:v>
      </x:c>
      <x:c r="K88" s="31" t="n">
        <x:v>41.185251168</x:v>
      </x:c>
      <x:c r="L88" s="31" t="n">
        <x:v>159.9859458046</x:v>
      </x:c>
      <x:c r="M88" s="31" t="n">
        <x:v>51.7180238909</x:v>
      </x:c>
      <x:c r="N88" s="24" t="str">
        <x:v>cepola</x:v>
      </x:c>
      <x:c r="O88" s="32" t="n">
        <x:v>3.26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Cepola</x:v>
      </x:c>
      <x:c r="T88" s="32" t="n">
        <x:f>IF(O88="","",(1/'Metadata'!$B$5)^(O88-1))</x:f>
        <x:v>181.97008586099827</x:v>
      </x:c>
      <x:c r="U88" s="31" t="n">
        <x:f>IF(T88="","",I88*T88)</x:f>
        <x:v>38523.7895426043</x:v>
      </x:c>
    </x:row>
    <x:row r="89" ht="18" customHeight="1">
      <x:c r="A89" s="24" t="str">
        <x:v>EEZ_962</x:v>
      </x:c>
      <x:c r="B89" s="24" t="str">
        <x:v>Spain (mainland, Med and Gulf of Cadiz)</x:v>
      </x:c>
      <x:c r="C89" s="24" t="str">
        <x:v>EEZ</x:v>
      </x:c>
      <x:c r="D89" s="30" t="n">
        <x:v>2019</x:v>
      </x:c>
      <x:c r="E89" s="24" t="str">
        <x:v>Galeus melastomus</x:v>
      </x:c>
      <x:c r="F89" s="24" t="str">
        <x:v>Blackmouth catshark</x:v>
      </x:c>
      <x:c r="G89" s="24" t="str">
        <x:v>Small to medium sharks (&lt;90 cm)</x:v>
      </x:c>
      <x:c r="H89" s="24" t="str">
        <x:v>Sharks &amp; rays</x:v>
      </x:c>
      <x:c r="I89" s="31" t="n">
        <x:v>207.4303955469</x:v>
      </x:c>
      <x:c r="J89" s="31" t="n">
        <x:v>121.50836859</x:v>
      </x:c>
      <x:c r="K89" s="31" t="n">
        <x:v>85.9220269569</x:v>
      </x:c>
      <x:c r="L89" s="31" t="n">
        <x:v>113.2644807544</x:v>
      </x:c>
      <x:c r="M89" s="31" t="n">
        <x:v>94.16591479249999</x:v>
      </x:c>
      <x:c r="N89" s="24" t="str">
        <x:v>galeus melastomus</x:v>
      </x:c>
      <x:c r="O89" s="32" t="n">
        <x:v>4.17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Galeus melastomus</x:v>
      </x:c>
      <x:c r="T89" s="32" t="n">
        <x:f>IF(O89="","",(1/'Metadata'!$B$5)^(O89-1))</x:f>
        <x:v>1479.1083881682073</x:v>
      </x:c>
      <x:c r="U89" s="31" t="n">
        <x:f>IF(T89="","",I89*T89)</x:f>
        <x:v>306812.03801446897</x:v>
      </x:c>
    </x:row>
    <x:row r="90" ht="18" customHeight="1">
      <x:c r="A90" s="24" t="str">
        <x:v>EEZ_962</x:v>
      </x:c>
      <x:c r="B90" s="24" t="str">
        <x:v>Spain (mainland, Med and Gulf of Cadiz)</x:v>
      </x:c>
      <x:c r="C90" s="24" t="str">
        <x:v>EEZ</x:v>
      </x:c>
      <x:c r="D90" s="30" t="n">
        <x:v>2019</x:v>
      </x:c>
      <x:c r="E90" s="24" t="str">
        <x:v>Alloteuthis subulata</x:v>
      </x:c>
      <x:c r="F90" s="24" t="str">
        <x:v>European common squid</x:v>
      </x:c>
      <x:c r="G90" s="24" t="str">
        <x:v>Cephalopods</x:v>
      </x:c>
      <x:c r="H90" s="24" t="str">
        <x:v>Other fishes &amp; inverts</x:v>
      </x:c>
      <x:c r="I90" s="31" t="n">
        <x:v>198.62783965389997</x:v>
      </x:c>
      <x:c r="J90" s="31" t="n">
        <x:v>159.3137916262</x:v>
      </x:c>
      <x:c r="K90" s="31" t="n">
        <x:v>39.3140480277</x:v>
      </x:c>
      <x:c r="L90" s="31" t="n">
        <x:v>140.7078348394</x:v>
      </x:c>
      <x:c r="M90" s="31" t="n">
        <x:v>57.9200048145</x:v>
      </x:c>
      <x:c r="N90" s="24" t="str">
        <x:v>alloteuthis subulata</x:v>
      </x:c>
      <x:c r="O90" s="32" t="n">
        <x:v>4.5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Alloteuthis subulata</x:v>
      </x:c>
      <x:c r="T90" s="32" t="n">
        <x:f>IF(O90="","",(1/'Metadata'!$B$5)^(O90-1))</x:f>
        <x:v>3162.2776601683795</x:v>
      </x:c>
      <x:c r="U90" s="31" t="n">
        <x:f>IF(T90="","",I90*T90)</x:f>
        <x:v>628116.3800250349</x:v>
      </x:c>
    </x:row>
    <x:row r="91" ht="18" customHeight="1">
      <x:c r="A91" s="24" t="str">
        <x:v>EEZ_962</x:v>
      </x:c>
      <x:c r="B91" s="24" t="str">
        <x:v>Spain (mainland, Med and Gulf of Cadiz)</x:v>
      </x:c>
      <x:c r="C91" s="24" t="str">
        <x:v>EEZ</x:v>
      </x:c>
      <x:c r="D91" s="30" t="n">
        <x:v>2019</x:v>
      </x:c>
      <x:c r="E91" s="24" t="str">
        <x:v>Labridae</x:v>
      </x:c>
      <x:c r="F91" s="24" t="str">
        <x:v>Wrasses, gropers, tuskfishes</x:v>
      </x:c>
      <x:c r="G91" s="24" t="str">
        <x:v>Medium reef assoc. fish (30 - 89 cm)</x:v>
      </x:c>
      <x:c r="H91" s="24" t="str">
        <x:v>Perch-likes</x:v>
      </x:c>
      <x:c r="I91" s="31" t="n">
        <x:v>195.2618796409</x:v>
      </x:c>
      <x:c r="J91" s="31" t="n">
        <x:v>194.4772257267</x:v>
      </x:c>
      <x:c r="K91" s="31" t="n">
        <x:v>0.7846539142000001</x:v>
      </x:c>
      <x:c r="L91" s="31" t="n">
        <x:v>9.312612335099999</x:v>
      </x:c>
      <x:c r="M91" s="31" t="n">
        <x:v>185.9492673058</x:v>
      </x:c>
      <x:c r="N91" s="24" t="str">
        <x:v>labridae</x:v>
      </x:c>
      <x:c r="O91" s="32" t="n">
        <x:v>3.46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Labridae</x:v>
      </x:c>
      <x:c r="T91" s="32" t="n">
        <x:f>IF(O91="","",(1/'Metadata'!$B$5)^(O91-1))</x:f>
        <x:v>288.40315031266056</x:v>
      </x:c>
      <x:c r="U91" s="31" t="n">
        <x:f>IF(T91="","",I91*T91)</x:f>
        <x:v>56314.14122440712</x:v>
      </x:c>
    </x:row>
    <x:row r="92" ht="18" customHeight="1">
      <x:c r="A92" s="24" t="str">
        <x:v>EEZ_962</x:v>
      </x:c>
      <x:c r="B92" s="24" t="str">
        <x:v>Spain (mainland, Med and Gulf of Cadiz)</x:v>
      </x:c>
      <x:c r="C92" s="24" t="str">
        <x:v>EEZ</x:v>
      </x:c>
      <x:c r="D92" s="30" t="n">
        <x:v>2019</x:v>
      </x:c>
      <x:c r="E92" s="24" t="str">
        <x:v>Phycis phycis</x:v>
      </x:c>
      <x:c r="F92" s="24" t="str">
        <x:v>Forkbeard</x:v>
      </x:c>
      <x:c r="G92" s="24" t="str">
        <x:v>Medium benthopelagics (30 - 89 cm)</x:v>
      </x:c>
      <x:c r="H92" s="24" t="str">
        <x:v>Cod-likes</x:v>
      </x:c>
      <x:c r="I92" s="31" t="n">
        <x:v>194.8615476502</x:v>
      </x:c>
      <x:c r="J92" s="31" t="n">
        <x:v>184.39572558909998</x:v>
      </x:c>
      <x:c r="K92" s="31" t="n">
        <x:v>10.4658220611</x:v>
      </x:c>
      <x:c r="L92" s="31" t="n">
        <x:v>115.5655137829</x:v>
      </x:c>
      <x:c r="M92" s="31" t="n">
        <x:v>79.2960338673</x:v>
      </x:c>
      <x:c r="N92" s="24" t="str">
        <x:v>phycis phycis</x:v>
      </x:c>
      <x:c r="O92" s="32" t="n">
        <x:v>4.25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Phycis phycis</x:v>
      </x:c>
      <x:c r="T92" s="32" t="n">
        <x:f>IF(O92="","",(1/'Metadata'!$B$5)^(O92-1))</x:f>
        <x:v>1778.2794100389228</x:v>
      </x:c>
      <x:c r="U92" s="31" t="n">
        <x:f>IF(T92="","",I92*T92)</x:f>
        <x:v>346518.2779946691</x:v>
      </x:c>
    </x:row>
    <x:row r="93" ht="18" customHeight="1">
      <x:c r="A93" s="24" t="str">
        <x:v>EEZ_962</x:v>
      </x:c>
      <x:c r="B93" s="24" t="str">
        <x:v>Spain (mainland, Med and Gulf of Cadiz)</x:v>
      </x:c>
      <x:c r="C93" s="24" t="str">
        <x:v>EEZ</x:v>
      </x:c>
      <x:c r="D93" s="30" t="n">
        <x:v>2019</x:v>
      </x:c>
      <x:c r="E93" s="24" t="str">
        <x:v>Scorpaena</x:v>
      </x:c>
      <x:c r="F93" s="24" t="str">
        <x:v>Scorpionfishes</x:v>
      </x:c>
      <x:c r="G93" s="24" t="str">
        <x:v>Large reef assoc. fish (&gt;=90 cm)</x:v>
      </x:c>
      <x:c r="H93" s="24" t="str">
        <x:v>Scorpionfishes</x:v>
      </x:c>
      <x:c r="I93" s="31" t="n">
        <x:v>194.684377771</x:v>
      </x:c>
      <x:c r="J93" s="31" t="n">
        <x:v>193.41489949709998</x:v>
      </x:c>
      <x:c r="K93" s="31" t="n">
        <x:v>1.2694782739</x:v>
      </x:c>
      <x:c r="L93" s="31" t="n">
        <x:v>154.1651329526</x:v>
      </x:c>
      <x:c r="M93" s="31" t="n">
        <x:v>40.5192448184</x:v>
      </x:c>
      <x:c r="N93" s="24" t="str">
        <x:v>scorpaena</x:v>
      </x:c>
      <x:c r="O93" s="32" t="n">
        <x:v>3.87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Scorpaena</x:v>
      </x:c>
      <x:c r="T93" s="32" t="n">
        <x:f>IF(O93="","",(1/'Metadata'!$B$5)^(O93-1))</x:f>
        <x:v>741.3102413009177</x:v>
      </x:c>
      <x:c r="U93" s="31" t="n">
        <x:f>IF(T93="","",I93*T93)</x:f>
        <x:v>144321.52306293903</x:v>
      </x:c>
    </x:row>
    <x:row r="94" ht="18" customHeight="1">
      <x:c r="A94" s="24" t="str">
        <x:v>EEZ_962</x:v>
      </x:c>
      <x:c r="B94" s="24" t="str">
        <x:v>Spain (mainland, Med and Gulf of Cadiz)</x:v>
      </x:c>
      <x:c r="C94" s="24" t="str">
        <x:v>EEZ</x:v>
      </x:c>
      <x:c r="D94" s="30" t="n">
        <x:v>2019</x:v>
      </x:c>
      <x:c r="E94" s="24" t="str">
        <x:v>Serranus scriba</x:v>
      </x:c>
      <x:c r="F94" s="24" t="str">
        <x:v>Painted comber</x:v>
      </x:c>
      <x:c r="G94" s="24" t="str">
        <x:v>Medium demersals (30 - 89 cm)</x:v>
      </x:c>
      <x:c r="H94" s="24" t="str">
        <x:v>Perch-likes</x:v>
      </x:c>
      <x:c r="I94" s="31" t="n">
        <x:v>187.9834577374</x:v>
      </x:c>
      <x:c r="J94" s="31" t="n">
        <x:v>175.1186678201</x:v>
      </x:c>
      <x:c r="K94" s="31" t="n">
        <x:v>12.864789917300001</x:v>
      </x:c>
      <x:c r="L94" s="31" t="n">
        <x:v>142.1266441292</x:v>
      </x:c>
      <x:c r="M94" s="31" t="n">
        <x:v>45.8568136082</x:v>
      </x:c>
      <x:c r="N94" s="24" t="str">
        <x:v>serranus scriba</x:v>
      </x:c>
      <x:c r="O94" s="32" t="n">
        <x:v>3.82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Serranus scriba</x:v>
      </x:c>
      <x:c r="T94" s="32" t="n">
        <x:f>IF(O94="","",(1/'Metadata'!$B$5)^(O94-1))</x:f>
        <x:v>660.6934480075957</x:v>
      </x:c>
      <x:c r="U94" s="31" t="n">
        <x:f>IF(T94="","",I94*T94)</x:f>
        <x:v>124199.43886091295</x:v>
      </x:c>
    </x:row>
    <x:row r="95" ht="18" customHeight="1">
      <x:c r="A95" s="24" t="str">
        <x:v>EEZ_962</x:v>
      </x:c>
      <x:c r="B95" s="24" t="str">
        <x:v>Spain (mainland, Med and Gulf of Cadiz)</x:v>
      </x:c>
      <x:c r="C95" s="24" t="str">
        <x:v>EEZ</x:v>
      </x:c>
      <x:c r="D95" s="30" t="n">
        <x:v>2019</x:v>
      </x:c>
      <x:c r="E95" s="24" t="str">
        <x:v>Sarpa salpa</x:v>
      </x:c>
      <x:c r="F95" s="24" t="str">
        <x:v>Salema</x:v>
      </x:c>
      <x:c r="G95" s="24" t="str">
        <x:v>Medium benthopelagics (30 - 89 cm)</x:v>
      </x:c>
      <x:c r="H95" s="24" t="str">
        <x:v>Perch-likes</x:v>
      </x:c>
      <x:c r="I95" s="31" t="n">
        <x:v>181.6761902213</x:v>
      </x:c>
      <x:c r="J95" s="31" t="n">
        <x:v>160.7427799986</x:v>
      </x:c>
      <x:c r="K95" s="31" t="n">
        <x:v>20.9334102227</x:v>
      </x:c>
      <x:c r="L95" s="31" t="n">
        <x:v>153.7707458449</x:v>
      </x:c>
      <x:c r="M95" s="31" t="n">
        <x:v>27.905444376400002</x:v>
      </x:c>
      <x:c r="N95" s="24" t="str">
        <x:v>sarpa salpa</x:v>
      </x:c>
      <x:c r="O95" s="32" t="n">
        <x:v>2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Sarpa salpa</x:v>
      </x:c>
      <x:c r="T95" s="32" t="n">
        <x:f>IF(O95="","",(1/'Metadata'!$B$5)^(O95-1))</x:f>
        <x:v>10</x:v>
      </x:c>
      <x:c r="U95" s="31" t="n">
        <x:f>IF(T95="","",I95*T95)</x:f>
        <x:v>1816.761902213</x:v>
      </x:c>
    </x:row>
    <x:row r="96" ht="18" customHeight="1">
      <x:c r="A96" s="24" t="str">
        <x:v>EEZ_962</x:v>
      </x:c>
      <x:c r="B96" s="24" t="str">
        <x:v>Spain (mainland, Med and Gulf of Cadiz)</x:v>
      </x:c>
      <x:c r="C96" s="24" t="str">
        <x:v>EEZ</x:v>
      </x:c>
      <x:c r="D96" s="30" t="n">
        <x:v>2019</x:v>
      </x:c>
      <x:c r="E96" s="24" t="str">
        <x:v>Gymnammodytes cicerelus</x:v>
      </x:c>
      <x:c r="F96" s="24" t="str">
        <x:v>Mediterranean sand eel</x:v>
      </x:c>
      <x:c r="G96" s="24" t="str">
        <x:v>Small demersals (&lt;30 cm)</x:v>
      </x:c>
      <x:c r="H96" s="24" t="str">
        <x:v>Perch-likes</x:v>
      </x:c>
      <x:c r="I96" s="31" t="n">
        <x:v>179.37823655969999</x:v>
      </x:c>
      <x:c r="J96" s="31" t="n">
        <x:v>167.7448855678</x:v>
      </x:c>
      <x:c r="K96" s="31" t="n">
        <x:v>11.6333509919</x:v>
      </x:c>
      <x:c r="L96" s="31" t="n">
        <x:v>167.7448855678</x:v>
      </x:c>
      <x:c r="M96" s="31" t="n">
        <x:v>11.6333509919</x:v>
      </x:c>
      <x:c r="N96" s="24" t="str">
        <x:v>gymnammodytes cicerelus</x:v>
      </x:c>
      <x:c r="O96" s="32" t="n">
        <x:v>3.4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Gymnammodytes cicerelus</x:v>
      </x:c>
      <x:c r="T96" s="32" t="n">
        <x:f>IF(O96="","",(1/'Metadata'!$B$5)^(O96-1))</x:f>
        <x:v>251.18864315095797</x:v>
      </x:c>
      <x:c r="U96" s="31" t="n">
        <x:f>IF(T96="","",I96*T96)</x:f>
        <x:v>45057.7758522426</x:v>
      </x:c>
    </x:row>
    <x:row r="97" ht="18" customHeight="1">
      <x:c r="A97" s="24" t="str">
        <x:v>EEZ_962</x:v>
      </x:c>
      <x:c r="B97" s="24" t="str">
        <x:v>Spain (mainland, Med and Gulf of Cadiz)</x:v>
      </x:c>
      <x:c r="C97" s="24" t="str">
        <x:v>EEZ</x:v>
      </x:c>
      <x:c r="D97" s="30" t="n">
        <x:v>2019</x:v>
      </x:c>
      <x:c r="E97" s="24" t="str">
        <x:v>Zenopsis conchifer</x:v>
      </x:c>
      <x:c r="F97" s="24" t="str">
        <x:v>Silvery John dory</x:v>
      </x:c>
      <x:c r="G97" s="24" t="str">
        <x:v>Medium benthopelagics (30 - 89 cm)</x:v>
      </x:c>
      <x:c r="H97" s="24" t="str">
        <x:v>Other fishes &amp; inverts</x:v>
      </x:c>
      <x:c r="I97" s="31" t="n">
        <x:v>175.11546414400001</x:v>
      </x:c>
      <x:c r="J97" s="31" t="n">
        <x:v>139.974972102</x:v>
      </x:c>
      <x:c r="K97" s="31" t="n">
        <x:v>35.140492042</x:v>
      </x:c>
      <x:c r="L97" s="31" t="n">
        <x:v>120.9111629633</x:v>
      </x:c>
      <x:c r="M97" s="31" t="n">
        <x:v>54.2043011807</x:v>
      </x:c>
      <x:c r="N97" s="24" t="str">
        <x:v>zenopsis conchifer</x:v>
      </x:c>
      <x:c r="O97" s="32" t="n">
        <x:v>4.5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Zenopsis conchifer</x:v>
      </x:c>
      <x:c r="T97" s="32" t="n">
        <x:f>IF(O97="","",(1/'Metadata'!$B$5)^(O97-1))</x:f>
        <x:v>3162.2776601683795</x:v>
      </x:c>
      <x:c r="U97" s="31" t="n">
        <x:f>IF(T97="","",I97*T97)</x:f>
        <x:v>553763.7202125881</x:v>
      </x:c>
    </x:row>
    <x:row r="98" ht="18" customHeight="1">
      <x:c r="A98" s="24" t="str">
        <x:v>EEZ_962</x:v>
      </x:c>
      <x:c r="B98" s="24" t="str">
        <x:v>Spain (mainland, Med and Gulf of Cadiz)</x:v>
      </x:c>
      <x:c r="C98" s="24" t="str">
        <x:v>EEZ</x:v>
      </x:c>
      <x:c r="D98" s="30" t="n">
        <x:v>2019</x:v>
      </x:c>
      <x:c r="E98" s="24" t="str">
        <x:v>Trisopterus luscus</x:v>
      </x:c>
      <x:c r="F98" s="24" t="str">
        <x:v>Pouting</x:v>
      </x:c>
      <x:c r="G98" s="24" t="str">
        <x:v>Medium benthopelagics (30 - 89 cm)</x:v>
      </x:c>
      <x:c r="H98" s="24" t="str">
        <x:v>Cod-likes</x:v>
      </x:c>
      <x:c r="I98" s="31" t="n">
        <x:v>172.674520646</x:v>
      </x:c>
      <x:c r="J98" s="31" t="n">
        <x:v>125.4429296917</x:v>
      </x:c>
      <x:c r="K98" s="31" t="n">
        <x:v>47.2315909543</x:v>
      </x:c>
      <x:c r="L98" s="31" t="n">
        <x:v>114.9527040016</x:v>
      </x:c>
      <x:c r="M98" s="31" t="n">
        <x:v>57.7218166444</x:v>
      </x:c>
      <x:c r="N98" s="24" t="str">
        <x:v>trisopterus luscus</x:v>
      </x:c>
      <x:c r="O98" s="32" t="n">
        <x:v>3.73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Trisopterus luscus</x:v>
      </x:c>
      <x:c r="T98" s="32" t="n">
        <x:f>IF(O98="","",(1/'Metadata'!$B$5)^(O98-1))</x:f>
        <x:v>537.0317963702527</x:v>
      </x:c>
      <x:c r="U98" s="31" t="n">
        <x:f>IF(T98="","",I98*T98)</x:f>
        <x:v>92731.70800989366</x:v>
      </x:c>
    </x:row>
    <x:row r="99" ht="18" customHeight="1">
      <x:c r="A99" s="24" t="str">
        <x:v>EEZ_962</x:v>
      </x:c>
      <x:c r="B99" s="24" t="str">
        <x:v>Spain (mainland, Med and Gulf of Cadiz)</x:v>
      </x:c>
      <x:c r="C99" s="24" t="str">
        <x:v>EEZ</x:v>
      </x:c>
      <x:c r="D99" s="30" t="n">
        <x:v>2019</x:v>
      </x:c>
      <x:c r="E99" s="24" t="str">
        <x:v>Acanthocardia tuberculata</x:v>
      </x:c>
      <x:c r="F99" s="24" t="str">
        <x:v>Tuberculate cockle</x:v>
      </x:c>
      <x:c r="G99" s="24" t="str">
        <x:v>Other demersal invertebrates</x:v>
      </x:c>
      <x:c r="H99" s="24" t="str">
        <x:v>Molluscs</x:v>
      </x:c>
      <x:c r="I99" s="31" t="n">
        <x:v>164.634476061</x:v>
      </x:c>
      <x:c r="J99" s="31" t="n">
        <x:v>71.9298624819</x:v>
      </x:c>
      <x:c r="K99" s="31" t="n">
        <x:v>92.7046135791</x:v>
      </x:c>
      <x:c r="L99" s="31" t="n">
        <x:v>53.3206924823</x:v>
      </x:c>
      <x:c r="M99" s="31" t="n">
        <x:v>111.3137835787</x:v>
      </x:c>
      <x:c r="N99" s="24" t="str">
        <x:v>acanthocardia tuberculata</x:v>
      </x:c>
      <x:c r="O99" s="32" t="n">
        <x:v>2.5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Acanthocardia tuberculata</x:v>
      </x:c>
      <x:c r="T99" s="32" t="n">
        <x:f>IF(O99="","",(1/'Metadata'!$B$5)^(O99-1))</x:f>
        <x:v>31.622776601683793</x:v>
      </x:c>
      <x:c r="U99" s="31" t="n">
        <x:f>IF(T99="","",I99*T99)</x:f>
        <x:v>5206.1992574122605</x:v>
      </x:c>
    </x:row>
    <x:row r="100" ht="18" customHeight="1">
      <x:c r="A100" s="24" t="str">
        <x:v>EEZ_962</x:v>
      </x:c>
      <x:c r="B100" s="24" t="str">
        <x:v>Spain (mainland, Med and Gulf of Cadiz)</x:v>
      </x:c>
      <x:c r="C100" s="24" t="str">
        <x:v>EEZ</x:v>
      </x:c>
      <x:c r="D100" s="30" t="n">
        <x:v>2019</x:v>
      </x:c>
      <x:c r="E100" s="24" t="str">
        <x:v>Euthynnus alletteratus</x:v>
      </x:c>
      <x:c r="F100" s="24" t="str">
        <x:v>Little tunny </x:v>
      </x:c>
      <x:c r="G100" s="24" t="str">
        <x:v>Large pelagics (&gt;=90 cm)</x:v>
      </x:c>
      <x:c r="H100" s="24" t="str">
        <x:v>Tuna &amp; billfishes</x:v>
      </x:c>
      <x:c r="I100" s="31" t="n">
        <x:v>164.5043721759</x:v>
      </x:c>
      <x:c r="J100" s="31" t="n">
        <x:v>155.3057323581</x:v>
      </x:c>
      <x:c r="K100" s="31" t="n">
        <x:v>9.1986398178</x:v>
      </x:c>
      <x:c r="L100" s="31" t="n">
        <x:v>154.5382662247</x:v>
      </x:c>
      <x:c r="M100" s="31" t="n">
        <x:v>9.9661059512</x:v>
      </x:c>
      <x:c r="N100" s="24" t="str">
        <x:v>euthynnus alletteratus</x:v>
      </x:c>
      <x:c r="O100" s="32" t="n">
        <x:v>4.49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Euthynnus alletteratus</x:v>
      </x:c>
      <x:c r="T100" s="32" t="n">
        <x:f>IF(O100="","",(1/'Metadata'!$B$5)^(O100-1))</x:f>
        <x:v>3090.295432513592</x:v>
      </x:c>
      <x:c r="U100" s="31" t="n">
        <x:f>IF(T100="","",I100*T100)</x:f>
        <x:v>508367.10996369977</x:v>
      </x:c>
    </x:row>
    <x:row r="101" ht="18" customHeight="1">
      <x:c r="A101" s="24" t="str">
        <x:v>EEZ_962</x:v>
      </x:c>
      <x:c r="B101" s="24" t="str">
        <x:v>Spain (mainland, Med and Gulf of Cadiz)</x:v>
      </x:c>
      <x:c r="C101" s="24" t="str">
        <x:v>EEZ</x:v>
      </x:c>
      <x:c r="D101" s="30" t="n">
        <x:v>2019</x:v>
      </x:c>
      <x:c r="E101" s="24" t="str">
        <x:v>Bolinus brandaris</x:v>
      </x:c>
      <x:c r="F101" s="24" t="str">
        <x:v>Purple dye murex</x:v>
      </x:c>
      <x:c r="G101" s="24" t="str">
        <x:v>Other demersal invertebrates</x:v>
      </x:c>
      <x:c r="H101" s="24" t="str">
        <x:v>Molluscs</x:v>
      </x:c>
      <x:c r="I101" s="31" t="n">
        <x:v>153.3006449062</x:v>
      </x:c>
      <x:c r="J101" s="31" t="n">
        <x:v>124.0855226692</x:v>
      </x:c>
      <x:c r="K101" s="31" t="n">
        <x:v>29.215122237</x:v>
      </x:c>
      <x:c r="L101" s="31" t="n">
        <x:v>117.131304399</x:v>
      </x:c>
      <x:c r="M101" s="31" t="n">
        <x:v>36.1693405072</x:v>
      </x:c>
      <x:c r="N101" s="24" t="str">
        <x:v>bolinus brandaris</x:v>
      </x:c>
      <x:c r="O101" s="32" t="n">
        <x:v>3.23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Bolinus brandaris</x:v>
      </x:c>
      <x:c r="T101" s="32" t="n">
        <x:f>IF(O101="","",(1/'Metadata'!$B$5)^(O101-1))</x:f>
        <x:v>169.82436524617444</x:v>
      </x:c>
      <x:c r="U101" s="31" t="n">
        <x:f>IF(T101="","",I101*T101)</x:f>
        <x:v>26034.184713024602</x:v>
      </x:c>
    </x:row>
    <x:row r="102" ht="18" customHeight="1">
      <x:c r="A102" s="24" t="str">
        <x:v>EEZ_962</x:v>
      </x:c>
      <x:c r="B102" s="24" t="str">
        <x:v>Spain (mainland, Med and Gulf of Cadiz)</x:v>
      </x:c>
      <x:c r="C102" s="24" t="str">
        <x:v>EEZ</x:v>
      </x:c>
      <x:c r="D102" s="30" t="n">
        <x:v>2019</x:v>
      </x:c>
      <x:c r="E102" s="24" t="str">
        <x:v>Balistes</x:v>
      </x:c>
      <x:c r="F102" s="24" t="str">
        <x:v>Triggerfish</x:v>
      </x:c>
      <x:c r="G102" s="24" t="str">
        <x:v>Medium reef assoc. fish (30 - 89 cm)</x:v>
      </x:c>
      <x:c r="H102" s="24" t="str">
        <x:v>Other fishes &amp; inverts</x:v>
      </x:c>
      <x:c r="I102" s="31" t="n">
        <x:v>151.1171743812</x:v>
      </x:c>
      <x:c r="J102" s="31" t="n">
        <x:v>151.1171743812</x:v>
      </x:c>
      <x:c r="K102" s="31" t="n">
        <x:v>0</x:v>
      </x:c>
      <x:c r="L102" s="31" t="n">
        <x:v>0</x:v>
      </x:c>
      <x:c r="M102" s="31" t="n">
        <x:v>151.1171743812</x:v>
      </x:c>
      <x:c r="N102" s="24" t="str">
        <x:v>balistes</x:v>
      </x:c>
      <x:c r="O102" s="32" t="n">
        <x:v>3.94</x:v>
      </x:c>
      <x:c r="P102" s="24" t="str">
        <x:v>exact_sea_around_us</x:v>
      </x:c>
      <x:c r="Q102" s="32" t="str">
        <x:v>Sea Around Us exploited organisms</x:v>
      </x:c>
      <x:c r="R102" s="24" t="str">
        <x:v>high</x:v>
      </x:c>
      <x:c r="S102" s="24" t="str">
        <x:v>Balistes</x:v>
      </x:c>
      <x:c r="T102" s="32" t="n">
        <x:f>IF(O102="","",(1/'Metadata'!$B$5)^(O102-1))</x:f>
        <x:v>870.9635899560806</x:v>
      </x:c>
      <x:c r="U102" s="31" t="n">
        <x:f>IF(T102="","",I102*T102)</x:f>
        <x:v>131617.55670306899</x:v>
      </x:c>
    </x:row>
    <x:row r="103" ht="18" customHeight="1">
      <x:c r="A103" s="24" t="str">
        <x:v>EEZ_962</x:v>
      </x:c>
      <x:c r="B103" s="24" t="str">
        <x:v>Spain (mainland, Med and Gulf of Cadiz)</x:v>
      </x:c>
      <x:c r="C103" s="24" t="str">
        <x:v>EEZ</x:v>
      </x:c>
      <x:c r="D103" s="30" t="n">
        <x:v>2019</x:v>
      </x:c>
      <x:c r="E103" s="24" t="str">
        <x:v>Lichia amia</x:v>
      </x:c>
      <x:c r="F103" s="24" t="str">
        <x:v>Leerfish</x:v>
      </x:c>
      <x:c r="G103" s="24" t="str">
        <x:v>Large pelagics (&gt;=90 cm)</x:v>
      </x:c>
      <x:c r="H103" s="24" t="str">
        <x:v>Perch-likes</x:v>
      </x:c>
      <x:c r="I103" s="31" t="n">
        <x:v>150.6135393887</x:v>
      </x:c>
      <x:c r="J103" s="31" t="n">
        <x:v>149.83154492719999</x:v>
      </x:c>
      <x:c r="K103" s="31" t="n">
        <x:v>0.7819944615</x:v>
      </x:c>
      <x:c r="L103" s="31" t="n">
        <x:v>22.020237647099997</x:v>
      </x:c>
      <x:c r="M103" s="31" t="n">
        <x:v>128.5933017416</x:v>
      </x:c>
      <x:c r="N103" s="24" t="str">
        <x:v>lichia amia</x:v>
      </x:c>
      <x:c r="O103" s="32" t="n">
        <x:v>4.5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Lichia amia</x:v>
      </x:c>
      <x:c r="T103" s="32" t="n">
        <x:f>IF(O103="","",(1/'Metadata'!$B$5)^(O103-1))</x:f>
        <x:v>3162.2776601683795</x:v>
      </x:c>
      <x:c r="U103" s="31" t="n">
        <x:f>IF(T103="","",I103*T103)</x:f>
        <x:v>476281.8309277763</x:v>
      </x:c>
    </x:row>
    <x:row r="104" ht="18" customHeight="1">
      <x:c r="A104" s="24" t="str">
        <x:v>EEZ_962</x:v>
      </x:c>
      <x:c r="B104" s="24" t="str">
        <x:v>Spain (mainland, Med and Gulf of Cadiz)</x:v>
      </x:c>
      <x:c r="C104" s="24" t="str">
        <x:v>EEZ</x:v>
      </x:c>
      <x:c r="D104" s="30" t="n">
        <x:v>2019</x:v>
      </x:c>
      <x:c r="E104" s="24" t="str">
        <x:v>Belone belone</x:v>
      </x:c>
      <x:c r="F104" s="24" t="str">
        <x:v>Garfish</x:v>
      </x:c>
      <x:c r="G104" s="24" t="str">
        <x:v>Medium pelagics (30 - 89 cm)</x:v>
      </x:c>
      <x:c r="H104" s="24" t="str">
        <x:v>Other fishes &amp; inverts</x:v>
      </x:c>
      <x:c r="I104" s="31" t="n">
        <x:v>148.4733828122</x:v>
      </x:c>
      <x:c r="J104" s="31" t="n">
        <x:v>139.8350973261</x:v>
      </x:c>
      <x:c r="K104" s="31" t="n">
        <x:v>8.6382854861</x:v>
      </x:c>
      <x:c r="L104" s="31" t="n">
        <x:v>76.1640772707</x:v>
      </x:c>
      <x:c r="M104" s="31" t="n">
        <x:v>72.3093055415</x:v>
      </x:c>
      <x:c r="N104" s="24" t="str">
        <x:v>belone belone</x:v>
      </x:c>
      <x:c r="O104" s="32" t="n">
        <x:v>4.16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Belone belone</x:v>
      </x:c>
      <x:c r="T104" s="32" t="n">
        <x:f>IF(O104="","",(1/'Metadata'!$B$5)^(O104-1))</x:f>
        <x:v>1445.439770745928</x:v>
      </x:c>
      <x:c r="U104" s="31" t="n">
        <x:f>IF(T104="","",I104*T104)</x:f>
        <x:v>214609.33241393874</x:v>
      </x:c>
    </x:row>
    <x:row r="105" ht="18" customHeight="1">
      <x:c r="A105" s="24" t="str">
        <x:v>EEZ_962</x:v>
      </x:c>
      <x:c r="B105" s="24" t="str">
        <x:v>Spain (mainland, Med and Gulf of Cadiz)</x:v>
      </x:c>
      <x:c r="C105" s="24" t="str">
        <x:v>EEZ</x:v>
      </x:c>
      <x:c r="D105" s="30" t="n">
        <x:v>2019</x:v>
      </x:c>
      <x:c r="E105" s="24" t="str">
        <x:v>Diplodus vulgaris</x:v>
      </x:c>
      <x:c r="F105" s="24" t="str">
        <x:v>Common two-banded seabream</x:v>
      </x:c>
      <x:c r="G105" s="24" t="str">
        <x:v>Medium benthopelagics (30 - 89 cm)</x:v>
      </x:c>
      <x:c r="H105" s="24" t="str">
        <x:v>Perch-likes</x:v>
      </x:c>
      <x:c r="I105" s="31" t="n">
        <x:v>141.558688838</x:v>
      </x:c>
      <x:c r="J105" s="31" t="n">
        <x:v>127.5035458257</x:v>
      </x:c>
      <x:c r="K105" s="31" t="n">
        <x:v>14.0551430123</x:v>
      </x:c>
      <x:c r="L105" s="31" t="n">
        <x:v>111.5398489669</x:v>
      </x:c>
      <x:c r="M105" s="31" t="n">
        <x:v>30.018839871100003</x:v>
      </x:c>
      <x:c r="N105" s="24" t="str">
        <x:v>diplodus vulgaris</x:v>
      </x:c>
      <x:c r="O105" s="32" t="n">
        <x:v>3.52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Diplodus vulgaris</x:v>
      </x:c>
      <x:c r="T105" s="32" t="n">
        <x:f>IF(O105="","",(1/'Metadata'!$B$5)^(O105-1))</x:f>
        <x:v>331.1311214825911</x:v>
      </x:c>
      <x:c r="U105" s="31" t="n">
        <x:f>IF(T105="","",I105*T105)</x:f>
        <x:v>46874.487390532086</x:v>
      </x:c>
    </x:row>
    <x:row r="106" ht="18" customHeight="1">
      <x:c r="A106" s="24" t="str">
        <x:v>EEZ_962</x:v>
      </x:c>
      <x:c r="B106" s="24" t="str">
        <x:v>Spain (mainland, Med and Gulf of Cadiz)</x:v>
      </x:c>
      <x:c r="C106" s="24" t="str">
        <x:v>EEZ</x:v>
      </x:c>
      <x:c r="D106" s="30" t="n">
        <x:v>2019</x:v>
      </x:c>
      <x:c r="E106" s="24" t="str">
        <x:v>Scorpaena porcus</x:v>
      </x:c>
      <x:c r="F106" s="24" t="str">
        <x:v>Black scorpionfish</x:v>
      </x:c>
      <x:c r="G106" s="24" t="str">
        <x:v>Small demersals (&lt;30 cm)</x:v>
      </x:c>
      <x:c r="H106" s="24" t="str">
        <x:v>Scorpionfishes</x:v>
      </x:c>
      <x:c r="I106" s="31" t="n">
        <x:v>140.4143006096</x:v>
      </x:c>
      <x:c r="J106" s="31" t="n">
        <x:v>137.1640612038</x:v>
      </x:c>
      <x:c r="K106" s="31" t="n">
        <x:v>3.2502394058</x:v>
      </x:c>
      <x:c r="L106" s="31" t="n">
        <x:v>82.3210104268</x:v>
      </x:c>
      <x:c r="M106" s="31" t="n">
        <x:v>58.0932901828</x:v>
      </x:c>
      <x:c r="N106" s="24" t="str">
        <x:v>scorpaena porcus</x:v>
      </x:c>
      <x:c r="O106" s="32" t="n">
        <x:v>3.92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Scorpaena porcus</x:v>
      </x:c>
      <x:c r="T106" s="32" t="n">
        <x:f>IF(O106="","",(1/'Metadata'!$B$5)^(O106-1))</x:f>
        <x:v>831.7637711026708</x:v>
      </x:c>
      <x:c r="U106" s="31" t="n">
        <x:f>IF(T106="","",I106*T106)</x:f>
        <x:v>116791.52819178494</x:v>
      </x:c>
    </x:row>
    <x:row r="107" ht="18" customHeight="1">
      <x:c r="A107" s="24" t="str">
        <x:v>EEZ_962</x:v>
      </x:c>
      <x:c r="B107" s="24" t="str">
        <x:v>Spain (mainland, Med and Gulf of Cadiz)</x:v>
      </x:c>
      <x:c r="C107" s="24" t="str">
        <x:v>EEZ</x:v>
      </x:c>
      <x:c r="D107" s="30" t="n">
        <x:v>2019</x:v>
      </x:c>
      <x:c r="E107" s="24" t="str">
        <x:v>Solea solea</x:v>
      </x:c>
      <x:c r="F107" s="24" t="str">
        <x:v>Common sole</x:v>
      </x:c>
      <x:c r="G107" s="24" t="str">
        <x:v>Small to medium flatfishes (&lt;90 cm)</x:v>
      </x:c>
      <x:c r="H107" s="24" t="str">
        <x:v>Flatfishes</x:v>
      </x:c>
      <x:c r="I107" s="31" t="n">
        <x:v>138.6097283655</x:v>
      </x:c>
      <x:c r="J107" s="31" t="n">
        <x:v>124.7394415678</x:v>
      </x:c>
      <x:c r="K107" s="31" t="n">
        <x:v>13.8702867977</x:v>
      </x:c>
      <x:c r="L107" s="31" t="n">
        <x:v>104.7174110416</x:v>
      </x:c>
      <x:c r="M107" s="31" t="n">
        <x:v>33.8923173239</x:v>
      </x:c>
      <x:c r="N107" s="24" t="str">
        <x:v>solea solea</x:v>
      </x:c>
      <x:c r="O107" s="32" t="n">
        <x:v>3.21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Solea solea</x:v>
      </x:c>
      <x:c r="T107" s="32" t="n">
        <x:f>IF(O107="","",(1/'Metadata'!$B$5)^(O107-1))</x:f>
        <x:v>162.18100973589299</x:v>
      </x:c>
      <x:c r="U107" s="31" t="n">
        <x:f>IF(T107="","",I107*T107)</x:f>
        <x:v>22479.865705534638</x:v>
      </x:c>
    </x:row>
    <x:row r="108" ht="18" customHeight="1">
      <x:c r="A108" s="24" t="str">
        <x:v>EEZ_962</x:v>
      </x:c>
      <x:c r="B108" s="24" t="str">
        <x:v>Spain (mainland, Med and Gulf of Cadiz)</x:v>
      </x:c>
      <x:c r="C108" s="24" t="str">
        <x:v>EEZ</x:v>
      </x:c>
      <x:c r="D108" s="30" t="n">
        <x:v>2019</x:v>
      </x:c>
      <x:c r="E108" s="24" t="str">
        <x:v>Centrophorus</x:v>
      </x:c>
      <x:c r="F108" s="24" t="str">
        <x:v>Gulper shark dogfishes</x:v>
      </x:c>
      <x:c r="G108" s="24" t="str">
        <x:v>Large sharks (&gt;=90 cm)</x:v>
      </x:c>
      <x:c r="H108" s="24" t="str">
        <x:v>Sharks &amp; rays</x:v>
      </x:c>
      <x:c r="I108" s="31" t="n">
        <x:v>137.9796975033</x:v>
      </x:c>
      <x:c r="J108" s="31" t="n">
        <x:v>109.30351414089999</x:v>
      </x:c>
      <x:c r="K108" s="31" t="n">
        <x:v>28.6761833624</x:v>
      </x:c>
      <x:c r="L108" s="31" t="n">
        <x:v>98.6688141862</x:v>
      </x:c>
      <x:c r="M108" s="31" t="n">
        <x:v>39.3108833171</x:v>
      </x:c>
      <x:c r="N108" s="24" t="str">
        <x:v>centrophorus</x:v>
      </x:c>
      <x:c r="O108" s="32" t="n">
        <x:v>4.34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Centrophorus</x:v>
      </x:c>
      <x:c r="T108" s="32" t="n">
        <x:f>IF(O108="","",(1/'Metadata'!$B$5)^(O108-1))</x:f>
        <x:v>2187.761623949552</x:v>
      </x:c>
      <x:c r="U108" s="31" t="n">
        <x:f>IF(T108="","",I108*T108)</x:f>
        <x:v>301866.68708188756</x:v>
      </x:c>
    </x:row>
    <x:row r="109" ht="18" customHeight="1">
      <x:c r="A109" s="24" t="str">
        <x:v>EEZ_962</x:v>
      </x:c>
      <x:c r="B109" s="24" t="str">
        <x:v>Spain (mainland, Med and Gulf of Cadiz)</x:v>
      </x:c>
      <x:c r="C109" s="24" t="str">
        <x:v>EEZ</x:v>
      </x:c>
      <x:c r="D109" s="30" t="n">
        <x:v>2019</x:v>
      </x:c>
      <x:c r="E109" s="24" t="str">
        <x:v>Diplodus annularis</x:v>
      </x:c>
      <x:c r="F109" s="24" t="str">
        <x:v>Annular seabream</x:v>
      </x:c>
      <x:c r="G109" s="24" t="str">
        <x:v>Small benthopelagics (&lt;30 cm)</x:v>
      </x:c>
      <x:c r="H109" s="24" t="str">
        <x:v>Perch-likes</x:v>
      </x:c>
      <x:c r="I109" s="31" t="n">
        <x:v>134.8063357363</x:v>
      </x:c>
      <x:c r="J109" s="31" t="n">
        <x:v>118.9270195815</x:v>
      </x:c>
      <x:c r="K109" s="31" t="n">
        <x:v>15.8793161548</x:v>
      </x:c>
      <x:c r="L109" s="31" t="n">
        <x:v>114.6131030273</x:v>
      </x:c>
      <x:c r="M109" s="31" t="n">
        <x:v>20.193232709</x:v>
      </x:c>
      <x:c r="N109" s="24" t="str">
        <x:v>diplodus annularis</x:v>
      </x:c>
      <x:c r="O109" s="32" t="n">
        <x:v>3.64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Diplodus annularis</x:v>
      </x:c>
      <x:c r="T109" s="32" t="n">
        <x:f>IF(O109="","",(1/'Metadata'!$B$5)^(O109-1))</x:f>
        <x:v>436.5158322401661</x:v>
      </x:c>
      <x:c r="U109" s="31" t="n">
        <x:f>IF(T109="","",I109*T109)</x:f>
        <x:v>58845.09983517825</x:v>
      </x:c>
    </x:row>
    <x:row r="110" ht="18" customHeight="1">
      <x:c r="A110" s="24" t="str">
        <x:v>EEZ_962</x:v>
      </x:c>
      <x:c r="B110" s="24" t="str">
        <x:v>Spain (mainland, Med and Gulf of Cadiz)</x:v>
      </x:c>
      <x:c r="C110" s="24" t="str">
        <x:v>EEZ</x:v>
      </x:c>
      <x:c r="D110" s="30" t="n">
        <x:v>2019</x:v>
      </x:c>
      <x:c r="E110" s="24" t="str">
        <x:v>Mugil cephalus</x:v>
      </x:c>
      <x:c r="F110" s="24" t="str">
        <x:v>Flathead grey mullet</x:v>
      </x:c>
      <x:c r="G110" s="24" t="str">
        <x:v>Large benthopelagics (&gt;=90 cm)</x:v>
      </x:c>
      <x:c r="H110" s="24" t="str">
        <x:v>Perch-likes</x:v>
      </x:c>
      <x:c r="I110" s="31" t="n">
        <x:v>132.8772349576</x:v>
      </x:c>
      <x:c r="J110" s="31" t="n">
        <x:v>112.2802754122</x:v>
      </x:c>
      <x:c r="K110" s="31" t="n">
        <x:v>20.5969595454</x:v>
      </x:c>
      <x:c r="L110" s="31" t="n">
        <x:v>109.306465979</x:v>
      </x:c>
      <x:c r="M110" s="31" t="n">
        <x:v>23.5707689786</x:v>
      </x:c>
      <x:c r="N110" s="24" t="str">
        <x:v>mugil cephalus</x:v>
      </x:c>
      <x:c r="O110" s="32" t="n">
        <x:v>2.14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Mugil cephalus</x:v>
      </x:c>
      <x:c r="T110" s="32" t="n">
        <x:f>IF(O110="","",(1/'Metadata'!$B$5)^(O110-1))</x:f>
        <x:v>13.803842646028853</x:v>
      </x:c>
      <x:c r="U110" s="31" t="n">
        <x:f>IF(T110="","",I110*T110)</x:f>
        <x:v>1834.2164425941148</x:v>
      </x:c>
    </x:row>
    <x:row r="111" ht="18" customHeight="1">
      <x:c r="A111" s="24" t="str">
        <x:v>EEZ_962</x:v>
      </x:c>
      <x:c r="B111" s="24" t="str">
        <x:v>Spain (mainland, Med and Gulf of Cadiz)</x:v>
      </x:c>
      <x:c r="C111" s="24" t="str">
        <x:v>EEZ</x:v>
      </x:c>
      <x:c r="D111" s="30" t="n">
        <x:v>2019</x:v>
      </x:c>
      <x:c r="E111" s="24" t="str">
        <x:v>Scorpaena scrofa</x:v>
      </x:c>
      <x:c r="F111" s="24" t="str">
        <x:v>Red scorpionfish</x:v>
      </x:c>
      <x:c r="G111" s="24" t="str">
        <x:v>Medium demersals (30 - 89 cm)</x:v>
      </x:c>
      <x:c r="H111" s="24" t="str">
        <x:v>Scorpionfishes</x:v>
      </x:c>
      <x:c r="I111" s="31" t="n">
        <x:v>130.4147562525</x:v>
      </x:c>
      <x:c r="J111" s="31" t="n">
        <x:v>123.7475903853</x:v>
      </x:c>
      <x:c r="K111" s="31" t="n">
        <x:v>6.6671658672</x:v>
      </x:c>
      <x:c r="L111" s="31" t="n">
        <x:v>101.46783198739999</x:v>
      </x:c>
      <x:c r="M111" s="31" t="n">
        <x:v>28.9469242651</x:v>
      </x:c>
      <x:c r="N111" s="24" t="str">
        <x:v>scorpaena scrofa</x:v>
      </x:c>
      <x:c r="O111" s="32" t="n">
        <x:v>4.25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Scorpaena scrofa</x:v>
      </x:c>
      <x:c r="T111" s="32" t="n">
        <x:f>IF(O111="","",(1/'Metadata'!$B$5)^(O111-1))</x:f>
        <x:v>1778.2794100389228</x:v>
      </x:c>
      <x:c r="U111" s="31" t="n">
        <x:f>IF(T111="","",I111*T111)</x:f>
        <x:v>231913.87580906565</x:v>
      </x:c>
    </x:row>
    <x:row r="112" ht="18" customHeight="1">
      <x:c r="A112" s="24" t="str">
        <x:v>EEZ_962</x:v>
      </x:c>
      <x:c r="B112" s="24" t="str">
        <x:v>Spain (mainland, Med and Gulf of Cadiz)</x:v>
      </x:c>
      <x:c r="C112" s="24" t="str">
        <x:v>EEZ</x:v>
      </x:c>
      <x:c r="D112" s="30" t="n">
        <x:v>2019</x:v>
      </x:c>
      <x:c r="E112" s="24" t="str">
        <x:v>Dentex maroccanus</x:v>
      </x:c>
      <x:c r="F112" s="24" t="str">
        <x:v>Morocco dentex</x:v>
      </x:c>
      <x:c r="G112" s="24" t="str">
        <x:v>Medium demersals (30 - 89 cm)</x:v>
      </x:c>
      <x:c r="H112" s="24" t="str">
        <x:v>Perch-likes</x:v>
      </x:c>
      <x:c r="I112" s="31" t="n">
        <x:v>126.83209392340001</x:v>
      </x:c>
      <x:c r="J112" s="31" t="n">
        <x:v>124.0821468236</x:v>
      </x:c>
      <x:c r="K112" s="31" t="n">
        <x:v>2.7499470998</x:v>
      </x:c>
      <x:c r="L112" s="31" t="n">
        <x:v>105.9178996861</x:v>
      </x:c>
      <x:c r="M112" s="31" t="n">
        <x:v>20.9141942373</x:v>
      </x:c>
      <x:c r="N112" s="24" t="str">
        <x:v>dentex maroccanus</x:v>
      </x:c>
      <x:c r="O112" s="32" t="n">
        <x:v>3.85</x:v>
      </x:c>
      <x:c r="P112" s="24" t="str">
        <x:v>exact_2020_supplement</x:v>
      </x:c>
      <x:c r="Q112" s="32" t="str">
        <x:v>2020 supplement MeanTL</x:v>
      </x:c>
      <x:c r="R112" s="24" t="str">
        <x:v>high</x:v>
      </x:c>
      <x:c r="S112" s="24" t="str">
        <x:v>Dentex maroccanus</x:v>
      </x:c>
      <x:c r="T112" s="32" t="n">
        <x:f>IF(O112="","",(1/'Metadata'!$B$5)^(O112-1))</x:f>
        <x:v>707.945784384138</x:v>
      </x:c>
      <x:c r="U112" s="31" t="n">
        <x:f>IF(T112="","",I112*T112)</x:f>
        <x:v>89790.24621768409</x:v>
      </x:c>
    </x:row>
    <x:row r="113" ht="18" customHeight="1">
      <x:c r="A113" s="24" t="str">
        <x:v>EEZ_962</x:v>
      </x:c>
      <x:c r="B113" s="24" t="str">
        <x:v>Spain (mainland, Med and Gulf of Cadiz)</x:v>
      </x:c>
      <x:c r="C113" s="24" t="str">
        <x:v>EEZ</x:v>
      </x:c>
      <x:c r="D113" s="30" t="n">
        <x:v>2019</x:v>
      </x:c>
      <x:c r="E113" s="24" t="str">
        <x:v>Tetrapturus belone</x:v>
      </x:c>
      <x:c r="F113" s="24" t="str">
        <x:v>Mediterranean spearfish</x:v>
      </x:c>
      <x:c r="G113" s="24" t="str">
        <x:v>Large pelagics (&gt;=90 cm)</x:v>
      </x:c>
      <x:c r="H113" s="24" t="str">
        <x:v>Tuna &amp; billfishes</x:v>
      </x:c>
      <x:c r="I113" s="31" t="n">
        <x:v>123.3952460275</x:v>
      </x:c>
      <x:c r="J113" s="31" t="n">
        <x:v>123.3952460275</x:v>
      </x:c>
      <x:c r="K113" s="31" t="n">
        <x:v>0</x:v>
      </x:c>
      <x:c r="L113" s="31" t="n">
        <x:v>0</x:v>
      </x:c>
      <x:c r="M113" s="31" t="n">
        <x:v>123.3952460275</x:v>
      </x:c>
      <x:c r="N113" s="24" t="str">
        <x:v>tetrapturus belone</x:v>
      </x:c>
      <x:c r="O113" s="32" t="n">
        <x:v>4.5</x:v>
      </x:c>
      <x:c r="P113" s="24" t="str">
        <x:v>exact_2020_supplement</x:v>
      </x:c>
      <x:c r="Q113" s="32" t="str">
        <x:v>2020 supplement MeanTL</x:v>
      </x:c>
      <x:c r="R113" s="24" t="str">
        <x:v>high</x:v>
      </x:c>
      <x:c r="S113" s="24" t="str">
        <x:v>Tetrapturus belone</x:v>
      </x:c>
      <x:c r="T113" s="32" t="n">
        <x:f>IF(O113="","",(1/'Metadata'!$B$5)^(O113-1))</x:f>
        <x:v>3162.2776601683795</x:v>
      </x:c>
      <x:c r="U113" s="31" t="n">
        <x:f>IF(T113="","",I113*T113)</x:f>
        <x:v>390210.0298837442</x:v>
      </x:c>
    </x:row>
    <x:row r="114" ht="18" customHeight="1">
      <x:c r="A114" s="24" t="str">
        <x:v>EEZ_962</x:v>
      </x:c>
      <x:c r="B114" s="24" t="str">
        <x:v>Spain (mainland, Med and Gulf of Cadiz)</x:v>
      </x:c>
      <x:c r="C114" s="24" t="str">
        <x:v>EEZ</x:v>
      </x:c>
      <x:c r="D114" s="30" t="n">
        <x:v>2019</x:v>
      </x:c>
      <x:c r="E114" s="24" t="str">
        <x:v>Trachinus</x:v>
      </x:c>
      <x:c r="F114" s="24" t="str">
        <x:v>Weevers</x:v>
      </x:c>
      <x:c r="G114" s="24" t="str">
        <x:v>Medium demersals (30 - 89 cm)</x:v>
      </x:c>
      <x:c r="H114" s="24" t="str">
        <x:v>Perch-likes</x:v>
      </x:c>
      <x:c r="I114" s="31" t="n">
        <x:v>115.8704229599</x:v>
      </x:c>
      <x:c r="J114" s="31" t="n">
        <x:v>91.1178482919</x:v>
      </x:c>
      <x:c r="K114" s="31" t="n">
        <x:v>24.752574668</x:v>
      </x:c>
      <x:c r="L114" s="31" t="n">
        <x:v>83.4310231948</x:v>
      </x:c>
      <x:c r="M114" s="31" t="n">
        <x:v>32.4393997651</x:v>
      </x:c>
      <x:c r="N114" s="24" t="str">
        <x:v>trachinus</x:v>
      </x:c>
      <x:c r="O114" s="32" t="n">
        <x:v>3.95</x:v>
      </x:c>
      <x:c r="P114" s="24" t="str">
        <x:v>exact_sea_around_us</x:v>
      </x:c>
      <x:c r="Q114" s="32" t="str">
        <x:v>Sea Around Us exploited organisms</x:v>
      </x:c>
      <x:c r="R114" s="24" t="str">
        <x:v>high</x:v>
      </x:c>
      <x:c r="S114" s="24" t="str">
        <x:v>Trachinus</x:v>
      </x:c>
      <x:c r="T114" s="32" t="n">
        <x:f>IF(O114="","",(1/'Metadata'!$B$5)^(O114-1))</x:f>
        <x:v>891.2509381337459</x:v>
      </x:c>
      <x:c r="U114" s="31" t="n">
        <x:f>IF(T114="","",I114*T114)</x:f>
        <x:v>103269.6231649648</x:v>
      </x:c>
    </x:row>
    <x:row r="115" ht="18" customHeight="1">
      <x:c r="A115" s="24" t="str">
        <x:v>EEZ_962</x:v>
      </x:c>
      <x:c r="B115" s="24" t="str">
        <x:v>Spain (mainland, Med and Gulf of Cadiz)</x:v>
      </x:c>
      <x:c r="C115" s="24" t="str">
        <x:v>EEZ</x:v>
      </x:c>
      <x:c r="D115" s="30" t="n">
        <x:v>2019</x:v>
      </x:c>
      <x:c r="E115" s="24" t="str">
        <x:v>Lepidopus caudatus</x:v>
      </x:c>
      <x:c r="F115" s="24" t="str">
        <x:v>Silver scabbardfish</x:v>
      </x:c>
      <x:c r="G115" s="24" t="str">
        <x:v>Large bathydemersals (&gt;=90 cm)</x:v>
      </x:c>
      <x:c r="H115" s="24" t="str">
        <x:v>Perch-likes</x:v>
      </x:c>
      <x:c r="I115" s="31" t="n">
        <x:v>115.7741469712</x:v>
      </x:c>
      <x:c r="J115" s="31" t="n">
        <x:v>67.3556959489</x:v>
      </x:c>
      <x:c r="K115" s="31" t="n">
        <x:v>48.4184510223</x:v>
      </x:c>
      <x:c r="L115" s="31" t="n">
        <x:v>66.6364894461</x:v>
      </x:c>
      <x:c r="M115" s="31" t="n">
        <x:v>49.137657525099996</x:v>
      </x:c>
      <x:c r="N115" s="24" t="str">
        <x:v>lepidopus caudatus</x:v>
      </x:c>
      <x:c r="O115" s="32" t="n">
        <x:v>3.82</x:v>
      </x:c>
      <x:c r="P115" s="24" t="str">
        <x:v>exact_2020_supplement</x:v>
      </x:c>
      <x:c r="Q115" s="32" t="str">
        <x:v>2020 supplement MeanTL</x:v>
      </x:c>
      <x:c r="R115" s="24" t="str">
        <x:v>high</x:v>
      </x:c>
      <x:c r="S115" s="24" t="str">
        <x:v>Lepidopus caudatus</x:v>
      </x:c>
      <x:c r="T115" s="32" t="n">
        <x:f>IF(O115="","",(1/'Metadata'!$B$5)^(O115-1))</x:f>
        <x:v>660.6934480075957</x:v>
      </x:c>
      <x:c r="U115" s="31" t="n">
        <x:f>IF(T115="","",I115*T115)</x:f>
        <x:v>76491.22035254027</x:v>
      </x:c>
    </x:row>
    <x:row r="116" ht="18" customHeight="1">
      <x:c r="A116" s="24" t="str">
        <x:v>EEZ_962</x:v>
      </x:c>
      <x:c r="B116" s="24" t="str">
        <x:v>Spain (mainland, Med and Gulf of Cadiz)</x:v>
      </x:c>
      <x:c r="C116" s="24" t="str">
        <x:v>EEZ</x:v>
      </x:c>
      <x:c r="D116" s="30" t="n">
        <x:v>2019</x:v>
      </x:c>
      <x:c r="E116" s="24" t="str">
        <x:v>Eledone moschata</x:v>
      </x:c>
      <x:c r="F116" s="24" t="str">
        <x:v>Musky octopus</x:v>
      </x:c>
      <x:c r="G116" s="24" t="str">
        <x:v>Cephalopods</x:v>
      </x:c>
      <x:c r="H116" s="24" t="str">
        <x:v>Other fishes &amp; inverts</x:v>
      </x:c>
      <x:c r="I116" s="31" t="n">
        <x:v>114.8524276238</x:v>
      </x:c>
      <x:c r="J116" s="31" t="n">
        <x:v>111.24563665609999</x:v>
      </x:c>
      <x:c r="K116" s="31" t="n">
        <x:v>3.6067909677</x:v>
      </x:c>
      <x:c r="L116" s="31" t="n">
        <x:v>106.80916737999999</x:v>
      </x:c>
      <x:c r="M116" s="31" t="n">
        <x:v>8.0432602438</x:v>
      </x:c>
      <x:c r="N116" s="24" t="str">
        <x:v>eledone moschata</x:v>
      </x:c>
      <x:c r="O116" s="32" t="n">
        <x:v>3.65</x:v>
      </x:c>
      <x:c r="P116" s="24" t="str">
        <x:v>exact_2020_supplement</x:v>
      </x:c>
      <x:c r="Q116" s="32" t="str">
        <x:v>2020 supplement MeanTL</x:v>
      </x:c>
      <x:c r="R116" s="24" t="str">
        <x:v>high</x:v>
      </x:c>
      <x:c r="S116" s="24" t="str">
        <x:v>Eledone moschata</x:v>
      </x:c>
      <x:c r="T116" s="32" t="n">
        <x:f>IF(O116="","",(1/'Metadata'!$B$5)^(O116-1))</x:f>
        <x:v>446.683592150963</x:v>
      </x:c>
      <x:c r="U116" s="31" t="n">
        <x:f>IF(T116="","",I116*T116)</x:f>
        <x:v>51302.694938257475</x:v>
      </x:c>
    </x:row>
    <x:row r="117" ht="18" customHeight="1">
      <x:c r="A117" s="24" t="str">
        <x:v>EEZ_962</x:v>
      </x:c>
      <x:c r="B117" s="24" t="str">
        <x:v>Spain (mainland, Med and Gulf of Cadiz)</x:v>
      </x:c>
      <x:c r="C117" s="24" t="str">
        <x:v>EEZ</x:v>
      </x:c>
      <x:c r="D117" s="30" t="n">
        <x:v>2019</x:v>
      </x:c>
      <x:c r="E117" s="24" t="str">
        <x:v>Geryon longipes</x:v>
      </x:c>
      <x:c r="F117" s="24" t="str">
        <x:v>Mediterranean geryon</x:v>
      </x:c>
      <x:c r="G117" s="24" t="str">
        <x:v>Lobsters, crabs</x:v>
      </x:c>
      <x:c r="H117" s="24" t="str">
        <x:v>Crustaceans</x:v>
      </x:c>
      <x:c r="I117" s="31" t="n">
        <x:v>111.2571088635</x:v>
      </x:c>
      <x:c r="J117" s="31" t="n">
        <x:v>107.13985778329999</x:v>
      </x:c>
      <x:c r="K117" s="31" t="n">
        <x:v>4.1172510802</x:v>
      </x:c>
      <x:c r="L117" s="31" t="n">
        <x:v>102.4472884353</x:v>
      </x:c>
      <x:c r="M117" s="31" t="n">
        <x:v>8.8098204282</x:v>
      </x:c>
      <x:c r="N117" s="24" t="str">
        <x:v>geryon longipes</x:v>
      </x:c>
      <x:c r="O117" s="32" t="n">
        <x:v>3.49</x:v>
      </x:c>
      <x:c r="P117" s="24" t="str">
        <x:v>exact_2020_supplement</x:v>
      </x:c>
      <x:c r="Q117" s="32" t="str">
        <x:v>2020 supplement MeanTL</x:v>
      </x:c>
      <x:c r="R117" s="24" t="str">
        <x:v>high</x:v>
      </x:c>
      <x:c r="S117" s="24" t="str">
        <x:v>Geryon longipes</x:v>
      </x:c>
      <x:c r="T117" s="32" t="n">
        <x:f>IF(O117="","",(1/'Metadata'!$B$5)^(O117-1))</x:f>
        <x:v>309.0295432513592</x:v>
      </x:c>
      <x:c r="U117" s="31" t="n">
        <x:f>IF(T117="","",I117*T117)</x:f>
        <x:v>34381.73353555415</x:v>
      </x:c>
    </x:row>
    <x:row r="118" ht="18" customHeight="1">
      <x:c r="A118" s="24" t="str">
        <x:v>EEZ_962</x:v>
      </x:c>
      <x:c r="B118" s="24" t="str">
        <x:v>Spain (mainland, Med and Gulf of Cadiz)</x:v>
      </x:c>
      <x:c r="C118" s="24" t="str">
        <x:v>EEZ</x:v>
      </x:c>
      <x:c r="D118" s="30" t="n">
        <x:v>2019</x:v>
      </x:c>
      <x:c r="E118" s="24" t="str">
        <x:v>Microchirus</x:v>
      </x:c>
      <x:c r="F118" s="24" t="str">
        <x:v>Soles</x:v>
      </x:c>
      <x:c r="G118" s="24" t="str">
        <x:v>Small to medium flatfishes (&lt;90 cm)</x:v>
      </x:c>
      <x:c r="H118" s="24" t="str">
        <x:v>Flatfishes</x:v>
      </x:c>
      <x:c r="I118" s="31" t="n">
        <x:v>110.1662596208</x:v>
      </x:c>
      <x:c r="J118" s="31" t="n">
        <x:v>108.7572764591</x:v>
      </x:c>
      <x:c r="K118" s="31" t="n">
        <x:v>1.4089831617</x:v>
      </x:c>
      <x:c r="L118" s="31" t="n">
        <x:v>101.66100005150001</x:v>
      </x:c>
      <x:c r="M118" s="31" t="n">
        <x:v>8.5052595693</x:v>
      </x:c>
      <x:c r="N118" s="24" t="str">
        <x:v>microchirus</x:v>
      </x:c>
      <x:c r="O118" s="32" t="n">
        <x:v>3.28</x:v>
      </x:c>
      <x:c r="P118" s="24" t="str">
        <x:v>exact_sea_around_us</x:v>
      </x:c>
      <x:c r="Q118" s="32" t="str">
        <x:v>Sea Around Us exploited organisms</x:v>
      </x:c>
      <x:c r="R118" s="24" t="str">
        <x:v>high</x:v>
      </x:c>
      <x:c r="S118" s="24" t="str">
        <x:v>Microchirus</x:v>
      </x:c>
      <x:c r="T118" s="32" t="n">
        <x:f>IF(O118="","",(1/'Metadata'!$B$5)^(O118-1))</x:f>
        <x:v>190.54607179632464</x:v>
      </x:c>
      <x:c r="U118" s="31" t="n">
        <x:f>IF(T118="","",I118*T118)</x:f>
        <x:v>20991.7480152375</x:v>
      </x:c>
    </x:row>
    <x:row r="119" ht="18" customHeight="1">
      <x:c r="A119" s="24" t="str">
        <x:v>EEZ_962</x:v>
      </x:c>
      <x:c r="B119" s="24" t="str">
        <x:v>Spain (mainland, Med and Gulf of Cadiz)</x:v>
      </x:c>
      <x:c r="C119" s="24" t="str">
        <x:v>EEZ</x:v>
      </x:c>
      <x:c r="D119" s="30" t="n">
        <x:v>2019</x:v>
      </x:c>
      <x:c r="E119" s="24" t="str">
        <x:v>Argentina sphyraena</x:v>
      </x:c>
      <x:c r="F119" s="24" t="str">
        <x:v>European argentine</x:v>
      </x:c>
      <x:c r="G119" s="24" t="str">
        <x:v>Medium pelagics (30 - 89 cm)</x:v>
      </x:c>
      <x:c r="H119" s="24" t="str">
        <x:v>Salmon, smelts, etc</x:v>
      </x:c>
      <x:c r="I119" s="31" t="n">
        <x:v>106.1740844306</x:v>
      </x:c>
      <x:c r="J119" s="31" t="n">
        <x:v>85.92255422150001</x:v>
      </x:c>
      <x:c r="K119" s="31" t="n">
        <x:v>20.2515302091</x:v>
      </x:c>
      <x:c r="L119" s="31" t="n">
        <x:v>82.1774337029</x:v>
      </x:c>
      <x:c r="M119" s="31" t="n">
        <x:v>23.9966507277</x:v>
      </x:c>
      <x:c r="N119" s="24" t="str">
        <x:v>argentina sphyraena</x:v>
      </x:c>
      <x:c r="O119" s="32" t="n">
        <x:v>3.62</x:v>
      </x:c>
      <x:c r="P119" s="24" t="str">
        <x:v>exact_2020_supplement</x:v>
      </x:c>
      <x:c r="Q119" s="32" t="str">
        <x:v>2020 supplement MeanTL</x:v>
      </x:c>
      <x:c r="R119" s="24" t="str">
        <x:v>high</x:v>
      </x:c>
      <x:c r="S119" s="24" t="str">
        <x:v>Argentina sphyraena</x:v>
      </x:c>
      <x:c r="T119" s="32" t="n">
        <x:f>IF(O119="","",(1/'Metadata'!$B$5)^(O119-1))</x:f>
        <x:v>416.8693834703355</x:v>
      </x:c>
      <x:c r="U119" s="31" t="n">
        <x:f>IF(T119="","",I119*T119)</x:f>
        <x:v>44260.72511711157</x:v>
      </x:c>
    </x:row>
    <x:row r="120" ht="18" customHeight="1">
      <x:c r="A120" s="24" t="str">
        <x:v>EEZ_962</x:v>
      </x:c>
      <x:c r="B120" s="24" t="str">
        <x:v>Spain (mainland, Med and Gulf of Cadiz)</x:v>
      </x:c>
      <x:c r="C120" s="24" t="str">
        <x:v>EEZ</x:v>
      </x:c>
      <x:c r="D120" s="30" t="n">
        <x:v>2019</x:v>
      </x:c>
      <x:c r="E120" s="24" t="str">
        <x:v>Solea senegalensis</x:v>
      </x:c>
      <x:c r="F120" s="24" t="str">
        <x:v>Senegalese sole</x:v>
      </x:c>
      <x:c r="G120" s="24" t="str">
        <x:v>Small to medium flatfishes (&lt;90 cm)</x:v>
      </x:c>
      <x:c r="H120" s="24" t="str">
        <x:v>Flatfishes</x:v>
      </x:c>
      <x:c r="I120" s="31" t="n">
        <x:v>100.2402869586</x:v>
      </x:c>
      <x:c r="J120" s="31" t="n">
        <x:v>83.65468872619999</x:v>
      </x:c>
      <x:c r="K120" s="31" t="n">
        <x:v>16.5855982324</x:v>
      </x:c>
      <x:c r="L120" s="31" t="n">
        <x:v>67.138367239</x:v>
      </x:c>
      <x:c r="M120" s="31" t="n">
        <x:v>33.1019197196</x:v>
      </x:c>
      <x:c r="N120" s="24" t="str">
        <x:v>solea senegalensis</x:v>
      </x:c>
      <x:c r="O120" s="32" t="n">
        <x:v>3.13</x:v>
      </x:c>
      <x:c r="P120" s="24" t="str">
        <x:v>exact_2020_supplement</x:v>
      </x:c>
      <x:c r="Q120" s="32" t="str">
        <x:v>2020 supplement MeanTL</x:v>
      </x:c>
      <x:c r="R120" s="24" t="str">
        <x:v>high</x:v>
      </x:c>
      <x:c r="S120" s="24" t="str">
        <x:v>Solea senegalensis</x:v>
      </x:c>
      <x:c r="T120" s="32" t="n">
        <x:f>IF(O120="","",(1/'Metadata'!$B$5)^(O120-1))</x:f>
        <x:v>134.89628825916532</x:v>
      </x:c>
      <x:c r="U120" s="31" t="n">
        <x:f>IF(T120="","",I120*T120)</x:f>
        <x:v>13522.042644748755</x:v>
      </x:c>
    </x:row>
    <x:row r="121" ht="18" customHeight="1">
      <x:c r="A121" s="24" t="str">
        <x:v>EEZ_962</x:v>
      </x:c>
      <x:c r="B121" s="24" t="str">
        <x:v>Spain (mainland, Med and Gulf of Cadiz)</x:v>
      </x:c>
      <x:c r="C121" s="24" t="str">
        <x:v>EEZ</x:v>
      </x:c>
      <x:c r="D121" s="30" t="n">
        <x:v>2019</x:v>
      </x:c>
      <x:c r="E121" s="24" t="str">
        <x:v>Mustelus mustelus</x:v>
      </x:c>
      <x:c r="F121" s="24" t="str">
        <x:v>Smooth-hound</x:v>
      </x:c>
      <x:c r="G121" s="24" t="str">
        <x:v>Large sharks (&gt;=90 cm)</x:v>
      </x:c>
      <x:c r="H121" s="24" t="str">
        <x:v>Sharks &amp; rays</x:v>
      </x:c>
      <x:c r="I121" s="31" t="n">
        <x:v>99.97527074860001</x:v>
      </x:c>
      <x:c r="J121" s="31" t="n">
        <x:v>80.0917693118</x:v>
      </x:c>
      <x:c r="K121" s="31" t="n">
        <x:v>19.8835014368</x:v>
      </x:c>
      <x:c r="L121" s="31" t="n">
        <x:v>73.5626799896</x:v>
      </x:c>
      <x:c r="M121" s="31" t="n">
        <x:v>26.412590759</x:v>
      </x:c>
      <x:c r="N121" s="24" t="str">
        <x:v>mustelus mustelus</x:v>
      </x:c>
      <x:c r="O121" s="32" t="n">
        <x:v>3.75</x:v>
      </x:c>
      <x:c r="P121" s="24" t="str">
        <x:v>exact_2020_supplement</x:v>
      </x:c>
      <x:c r="Q121" s="32" t="str">
        <x:v>2020 supplement MeanTL</x:v>
      </x:c>
      <x:c r="R121" s="24" t="str">
        <x:v>high</x:v>
      </x:c>
      <x:c r="S121" s="24" t="str">
        <x:v>Mustelus mustelus</x:v>
      </x:c>
      <x:c r="T121" s="32" t="n">
        <x:f>IF(O121="","",(1/'Metadata'!$B$5)^(O121-1))</x:f>
        <x:v>562.341325190349</x:v>
      </x:c>
      <x:c r="U121" s="31" t="n">
        <x:f>IF(T121="","",I121*T121)</x:f>
        <x:v>56220.22623903167</x:v>
      </x:c>
    </x:row>
    <x:row r="122" ht="18" customHeight="1">
      <x:c r="A122" s="24" t="str">
        <x:v>EEZ_962</x:v>
      </x:c>
      <x:c r="B122" s="24" t="str">
        <x:v>Spain (mainland, Med and Gulf of Cadiz)</x:v>
      </x:c>
      <x:c r="C122" s="24" t="str">
        <x:v>EEZ</x:v>
      </x:c>
      <x:c r="D122" s="30" t="n">
        <x:v>2019</x:v>
      </x:c>
      <x:c r="E122" s="24" t="str">
        <x:v>Chelon labrosus</x:v>
      </x:c>
      <x:c r="F122" s="24" t="str">
        <x:v>Thicklip grey mullet</x:v>
      </x:c>
      <x:c r="G122" s="24" t="str">
        <x:v>Medium demersals (30 - 89 cm)</x:v>
      </x:c>
      <x:c r="H122" s="24" t="str">
        <x:v>Perch-likes</x:v>
      </x:c>
      <x:c r="I122" s="31" t="n">
        <x:v>96.94234375890001</x:v>
      </x:c>
      <x:c r="J122" s="31" t="n">
        <x:v>94.98192774820001</x:v>
      </x:c>
      <x:c r="K122" s="31" t="n">
        <x:v>1.9604160107000002</x:v>
      </x:c>
      <x:c r="L122" s="31" t="n">
        <x:v>86.55085095439999</x:v>
      </x:c>
      <x:c r="M122" s="31" t="n">
        <x:v>10.3914928045</x:v>
      </x:c>
      <x:c r="N122" s="24" t="str">
        <x:v>chelon labrosus</x:v>
      </x:c>
      <x:c r="O122" s="32" t="n">
        <x:v>2.59</x:v>
      </x:c>
      <x:c r="P122" s="24" t="str">
        <x:v>exact_2020_supplement</x:v>
      </x:c>
      <x:c r="Q122" s="32" t="str">
        <x:v>2020 supplement MeanTL</x:v>
      </x:c>
      <x:c r="R122" s="24" t="str">
        <x:v>high</x:v>
      </x:c>
      <x:c r="S122" s="24" t="str">
        <x:v>Chelon labrosus</x:v>
      </x:c>
      <x:c r="T122" s="32" t="n">
        <x:f>IF(O122="","",(1/'Metadata'!$B$5)^(O122-1))</x:f>
        <x:v>38.904514499428046</x:v>
      </x:c>
      <x:c r="U122" s="31" t="n">
        <x:f>IF(T122="","",I122*T122)</x:f>
        <x:v>3771.4948183766633</x:v>
      </x:c>
    </x:row>
    <x:row r="123" ht="18" customHeight="1">
      <x:c r="A123" s="24" t="str">
        <x:v>EEZ_962</x:v>
      </x:c>
      <x:c r="B123" s="24" t="str">
        <x:v>Spain (mainland, Med and Gulf of Cadiz)</x:v>
      </x:c>
      <x:c r="C123" s="24" t="str">
        <x:v>EEZ</x:v>
      </x:c>
      <x:c r="D123" s="30" t="n">
        <x:v>2019</x:v>
      </x:c>
      <x:c r="E123" s="24" t="str">
        <x:v>Sphyraena</x:v>
      </x:c>
      <x:c r="F123" s="24" t="str">
        <x:v>Barracudas, sennets</x:v>
      </x:c>
      <x:c r="G123" s="24" t="str">
        <x:v>Large pelagics (&gt;=90 cm)</x:v>
      </x:c>
      <x:c r="H123" s="24" t="str">
        <x:v>Perch-likes</x:v>
      </x:c>
      <x:c r="I123" s="31" t="n">
        <x:v>96.6649749418</x:v>
      </x:c>
      <x:c r="J123" s="31" t="n">
        <x:v>84.7276451942</x:v>
      </x:c>
      <x:c r="K123" s="31" t="n">
        <x:v>11.9373297476</x:v>
      </x:c>
      <x:c r="L123" s="31" t="n">
        <x:v>65.5749075995</x:v>
      </x:c>
      <x:c r="M123" s="31" t="n">
        <x:v>31.090067342300003</x:v>
      </x:c>
      <x:c r="N123" s="24" t="str">
        <x:v>sphyraena</x:v>
      </x:c>
      <x:c r="O123" s="32" t="n">
        <x:v>4.4</x:v>
      </x:c>
      <x:c r="P123" s="24" t="str">
        <x:v>exact_sea_around_us</x:v>
      </x:c>
      <x:c r="Q123" s="32" t="str">
        <x:v>Sea Around Us exploited organisms</x:v>
      </x:c>
      <x:c r="R123" s="24" t="str">
        <x:v>high</x:v>
      </x:c>
      <x:c r="S123" s="24" t="str">
        <x:v>Sphyraena</x:v>
      </x:c>
      <x:c r="T123" s="32" t="n">
        <x:f>IF(O123="","",(1/'Metadata'!$B$5)^(O123-1))</x:f>
        <x:v>2511.886431509582</x:v>
      </x:c>
      <x:c r="U123" s="31" t="n">
        <x:f>IF(T123="","",I123*T123)</x:f>
        <x:v>242811.43895852118</x:v>
      </x:c>
    </x:row>
    <x:row r="124" ht="18" customHeight="1">
      <x:c r="A124" s="24" t="str">
        <x:v>EEZ_962</x:v>
      </x:c>
      <x:c r="B124" s="24" t="str">
        <x:v>Spain (mainland, Med and Gulf of Cadiz)</x:v>
      </x:c>
      <x:c r="C124" s="24" t="str">
        <x:v>EEZ</x:v>
      </x:c>
      <x:c r="D124" s="30" t="n">
        <x:v>2019</x:v>
      </x:c>
      <x:c r="E124" s="24" t="str">
        <x:v>Perciformes</x:v>
      </x:c>
      <x:c r="F124" s="24" t="str">
        <x:v>Perch-likes</x:v>
      </x:c>
      <x:c r="G124" s="24" t="str">
        <x:v>Medium demersals (30 - 89 cm)</x:v>
      </x:c>
      <x:c r="H124" s="24" t="str">
        <x:v>Perch-likes</x:v>
      </x:c>
      <x:c r="I124" s="31" t="n">
        <x:v>93.7295757667</x:v>
      </x:c>
      <x:c r="J124" s="31" t="n">
        <x:v>67.7782679666</x:v>
      </x:c>
      <x:c r="K124" s="31" t="n">
        <x:v>25.951307800099997</x:v>
      </x:c>
      <x:c r="L124" s="31" t="n">
        <x:v>62.782811412099996</x:v>
      </x:c>
      <x:c r="M124" s="31" t="n">
        <x:v>30.9467643546</x:v>
      </x:c>
      <x:c r="N124" s="24" t="str">
        <x:v>perciformes</x:v>
      </x:c>
      <x:c r="O124" s="32" t="n">
        <x:v>3.53</x:v>
      </x:c>
      <x:c r="P124" s="24" t="str">
        <x:v>exact_sea_around_us</x:v>
      </x:c>
      <x:c r="Q124" s="32" t="str">
        <x:v>Sea Around Us exploited organisms</x:v>
      </x:c>
      <x:c r="R124" s="24" t="str">
        <x:v>high</x:v>
      </x:c>
      <x:c r="S124" s="24" t="str">
        <x:v>Perciformes</x:v>
      </x:c>
      <x:c r="T124" s="32" t="n">
        <x:f>IF(O124="","",(1/'Metadata'!$B$5)^(O124-1))</x:f>
        <x:v>338.84415613920237</x:v>
      </x:c>
      <x:c r="U124" s="31" t="n">
        <x:f>IF(T124="","",I124*T124)</x:f>
        <x:v>31759.71900595289</x:v>
      </x:c>
    </x:row>
    <x:row r="125" ht="18" customHeight="1">
      <x:c r="A125" s="24" t="str">
        <x:v>EEZ_962</x:v>
      </x:c>
      <x:c r="B125" s="24" t="str">
        <x:v>Spain (mainland, Med and Gulf of Cadiz)</x:v>
      </x:c>
      <x:c r="C125" s="24" t="str">
        <x:v>EEZ</x:v>
      </x:c>
      <x:c r="D125" s="30" t="n">
        <x:v>2019</x:v>
      </x:c>
      <x:c r="E125" s="24" t="str">
        <x:v>Serranidae</x:v>
      </x:c>
      <x:c r="F125" s="24" t="str">
        <x:v>Basses, groupers, hinds</x:v>
      </x:c>
      <x:c r="G125" s="24" t="str">
        <x:v>Medium reef assoc. fish (30 - 89 cm)</x:v>
      </x:c>
      <x:c r="H125" s="24" t="str">
        <x:v>Perch-likes</x:v>
      </x:c>
      <x:c r="I125" s="31" t="n">
        <x:v>88.7975837224</x:v>
      </x:c>
      <x:c r="J125" s="31" t="n">
        <x:v>79.4059671957</x:v>
      </x:c>
      <x:c r="K125" s="31" t="n">
        <x:v>9.3916165267</x:v>
      </x:c>
      <x:c r="L125" s="31" t="n">
        <x:v>50.5332016693</x:v>
      </x:c>
      <x:c r="M125" s="31" t="n">
        <x:v>38.2643820531</x:v>
      </x:c>
      <x:c r="N125" s="24" t="str">
        <x:v>serranidae</x:v>
      </x:c>
      <x:c r="O125" s="32" t="n">
        <x:v>3.98</x:v>
      </x:c>
      <x:c r="P125" s="24" t="str">
        <x:v>exact_sea_around_us</x:v>
      </x:c>
      <x:c r="Q125" s="32" t="str">
        <x:v>Sea Around Us exploited organisms</x:v>
      </x:c>
      <x:c r="R125" s="24" t="str">
        <x:v>high</x:v>
      </x:c>
      <x:c r="S125" s="24" t="str">
        <x:v>Serranidae</x:v>
      </x:c>
      <x:c r="T125" s="32" t="n">
        <x:f>IF(O125="","",(1/'Metadata'!$B$5)^(O125-1))</x:f>
        <x:v>954.992586021436</x:v>
      </x:c>
      <x:c r="U125" s="31" t="n">
        <x:f>IF(T125="","",I125*T125)</x:f>
        <x:v>84801.03411150975</x:v>
      </x:c>
    </x:row>
    <x:row r="126" ht="18" customHeight="1">
      <x:c r="A126" s="24" t="str">
        <x:v>EEZ_962</x:v>
      </x:c>
      <x:c r="B126" s="24" t="str">
        <x:v>Spain (mainland, Med and Gulf of Cadiz)</x:v>
      </x:c>
      <x:c r="C126" s="24" t="str">
        <x:v>EEZ</x:v>
      </x:c>
      <x:c r="D126" s="30" t="n">
        <x:v>2019</x:v>
      </x:c>
      <x:c r="E126" s="24" t="str">
        <x:v>Uranoscopus scaber</x:v>
      </x:c>
      <x:c r="F126" s="24" t="str">
        <x:v>Stargazer</x:v>
      </x:c>
      <x:c r="G126" s="24" t="str">
        <x:v>Medium demersals (30 - 89 cm)</x:v>
      </x:c>
      <x:c r="H126" s="24" t="str">
        <x:v>Perch-likes</x:v>
      </x:c>
      <x:c r="I126" s="31" t="n">
        <x:v>88.46321600419999</x:v>
      </x:c>
      <x:c r="J126" s="31" t="n">
        <x:v>74.6520904505</x:v>
      </x:c>
      <x:c r="K126" s="31" t="n">
        <x:v>13.8111255537</x:v>
      </x:c>
      <x:c r="L126" s="31" t="n">
        <x:v>71.9785844895</x:v>
      </x:c>
      <x:c r="M126" s="31" t="n">
        <x:v>16.484631514700002</x:v>
      </x:c>
      <x:c r="N126" s="24" t="str">
        <x:v>uranoscopus scaber</x:v>
      </x:c>
      <x:c r="O126" s="32" t="n">
        <x:v>4.38</x:v>
      </x:c>
      <x:c r="P126" s="24" t="str">
        <x:v>exact_2020_supplement</x:v>
      </x:c>
      <x:c r="Q126" s="32" t="str">
        <x:v>2020 supplement MeanTL</x:v>
      </x:c>
      <x:c r="R126" s="24" t="str">
        <x:v>high</x:v>
      </x:c>
      <x:c r="S126" s="24" t="str">
        <x:v>Uranoscopus scaber</x:v>
      </x:c>
      <x:c r="T126" s="32" t="n">
        <x:f>IF(O126="","",(1/'Metadata'!$B$5)^(O126-1))</x:f>
        <x:v>2398.83291901949</x:v>
      </x:c>
      <x:c r="U126" s="31" t="n">
        <x:f>IF(T126="","",I126*T126)</x:f>
        <x:v>212208.47467320674</x:v>
      </x:c>
    </x:row>
    <x:row r="127" ht="18" customHeight="1">
      <x:c r="A127" s="24" t="str">
        <x:v>EEZ_962</x:v>
      </x:c>
      <x:c r="B127" s="24" t="str">
        <x:v>Spain (mainland, Med and Gulf of Cadiz)</x:v>
      </x:c>
      <x:c r="C127" s="24" t="str">
        <x:v>EEZ</x:v>
      </x:c>
      <x:c r="D127" s="30" t="n">
        <x:v>2019</x:v>
      </x:c>
      <x:c r="E127" s="24" t="str">
        <x:v>Sciaena umbra</x:v>
      </x:c>
      <x:c r="F127" s="24" t="str">
        <x:v>Brown meagre</x:v>
      </x:c>
      <x:c r="G127" s="24" t="str">
        <x:v>Medium demersals (30 - 89 cm)</x:v>
      </x:c>
      <x:c r="H127" s="24" t="str">
        <x:v>Perch-likes</x:v>
      </x:c>
      <x:c r="I127" s="31" t="n">
        <x:v>87.594263188</x:v>
      </x:c>
      <x:c r="J127" s="31" t="n">
        <x:v>86.1643265535</x:v>
      </x:c>
      <x:c r="K127" s="31" t="n">
        <x:v>1.4299366345</x:v>
      </x:c>
      <x:c r="L127" s="31" t="n">
        <x:v>25.884019194900002</x:v>
      </x:c>
      <x:c r="M127" s="31" t="n">
        <x:v>61.7102439931</x:v>
      </x:c>
      <x:c r="N127" s="24" t="str">
        <x:v>sciaena umbra</x:v>
      </x:c>
      <x:c r="O127" s="32" t="n">
        <x:v>3.75</x:v>
      </x:c>
      <x:c r="P127" s="24" t="str">
        <x:v>exact_2020_supplement</x:v>
      </x:c>
      <x:c r="Q127" s="32" t="str">
        <x:v>2020 supplement MeanTL</x:v>
      </x:c>
      <x:c r="R127" s="24" t="str">
        <x:v>high</x:v>
      </x:c>
      <x:c r="S127" s="24" t="str">
        <x:v>Sciaena umbra</x:v>
      </x:c>
      <x:c r="T127" s="32" t="n">
        <x:f>IF(O127="","",(1/'Metadata'!$B$5)^(O127-1))</x:f>
        <x:v>562.341325190349</x:v>
      </x:c>
      <x:c r="U127" s="31" t="n">
        <x:f>IF(T127="","",I127*T127)</x:f>
        <x:v>49257.874040212126</x:v>
      </x:c>
    </x:row>
    <x:row r="128" ht="18" customHeight="1">
      <x:c r="A128" s="24" t="str">
        <x:v>EEZ_962</x:v>
      </x:c>
      <x:c r="B128" s="24" t="str">
        <x:v>Spain (mainland, Med and Gulf of Cadiz)</x:v>
      </x:c>
      <x:c r="C128" s="24" t="str">
        <x:v>EEZ</x:v>
      </x:c>
      <x:c r="D128" s="30" t="n">
        <x:v>2019</x:v>
      </x:c>
      <x:c r="E128" s="24" t="str">
        <x:v>Lepidorhombus</x:v>
      </x:c>
      <x:c r="F128" s="24" t="str">
        <x:v>Megrims</x:v>
      </x:c>
      <x:c r="G128" s="24" t="str">
        <x:v>Small to medium flatfishes (&lt;90 cm)</x:v>
      </x:c>
      <x:c r="H128" s="24" t="str">
        <x:v>Flatfishes</x:v>
      </x:c>
      <x:c r="I128" s="31" t="n">
        <x:v>87.4824941685</x:v>
      </x:c>
      <x:c r="J128" s="31" t="n">
        <x:v>73.76039319210001</x:v>
      </x:c>
      <x:c r="K128" s="31" t="n">
        <x:v>13.7221009764</x:v>
      </x:c>
      <x:c r="L128" s="31" t="n">
        <x:v>69.55826340540001</x:v>
      </x:c>
      <x:c r="M128" s="31" t="n">
        <x:v>17.9242307631</x:v>
      </x:c>
      <x:c r="N128" s="24" t="str">
        <x:v>lepidorhombus</x:v>
      </x:c>
      <x:c r="O128" s="32" t="n">
        <x:v>3.96</x:v>
      </x:c>
      <x:c r="P128" s="24" t="str">
        <x:v>exact_sea_around_us</x:v>
      </x:c>
      <x:c r="Q128" s="32" t="str">
        <x:v>Sea Around Us exploited organisms</x:v>
      </x:c>
      <x:c r="R128" s="24" t="str">
        <x:v>high</x:v>
      </x:c>
      <x:c r="S128" s="24" t="str">
        <x:v>Lepidorhombus</x:v>
      </x:c>
      <x:c r="T128" s="32" t="n">
        <x:f>IF(O128="","",(1/'Metadata'!$B$5)^(O128-1))</x:f>
        <x:v>912.0108393559096</x:v>
      </x:c>
      <x:c r="U128" s="31" t="n">
        <x:f>IF(T128="","",I128*T128)</x:f>
        <x:v>79784.98293556215</x:v>
      </x:c>
    </x:row>
    <x:row r="129" ht="18" customHeight="1">
      <x:c r="A129" s="24" t="str">
        <x:v>EEZ_962</x:v>
      </x:c>
      <x:c r="B129" s="24" t="str">
        <x:v>Spain (mainland, Med and Gulf of Cadiz)</x:v>
      </x:c>
      <x:c r="C129" s="24" t="str">
        <x:v>EEZ</x:v>
      </x:c>
      <x:c r="D129" s="30" t="n">
        <x:v>2019</x:v>
      </x:c>
      <x:c r="E129" s="24" t="str">
        <x:v>Chelon auratus</x:v>
      </x:c>
      <x:c r="F129" s="24" t="str">
        <x:v>Golden grey mullet</x:v>
      </x:c>
      <x:c r="G129" s="24" t="str">
        <x:v>Medium pelagics (30 - 89 cm)</x:v>
      </x:c>
      <x:c r="H129" s="24" t="str">
        <x:v>Other fishes &amp; inverts</x:v>
      </x:c>
      <x:c r="I129" s="31" t="n">
        <x:v>85.5464042342</x:v>
      </x:c>
      <x:c r="J129" s="31" t="n">
        <x:v>74.1501814506</x:v>
      </x:c>
      <x:c r="K129" s="31" t="n">
        <x:v>11.3962227836</x:v>
      </x:c>
      <x:c r="L129" s="31" t="n">
        <x:v>72.3132351918</x:v>
      </x:c>
      <x:c r="M129" s="31" t="n">
        <x:v>13.2331690424</x:v>
      </x:c>
      <x:c r="N129" s="24" t="str">
        <x:v>chelon auratus</x:v>
      </x:c>
      <x:c r="O129" s="32" t="n">
        <x:v>2.8</x:v>
      </x:c>
      <x:c r="P129" s="24" t="str">
        <x:v>exact_sea_around_us</x:v>
      </x:c>
      <x:c r="Q129" s="32" t="str">
        <x:v>Sea Around Us exploited organisms</x:v>
      </x:c>
      <x:c r="R129" s="24" t="str">
        <x:v>high</x:v>
      </x:c>
      <x:c r="S129" s="24" t="str">
        <x:v>Chelon auratus</x:v>
      </x:c>
      <x:c r="T129" s="32" t="n">
        <x:f>IF(O129="","",(1/'Metadata'!$B$5)^(O129-1))</x:f>
        <x:v>63.0957344480193</x:v>
      </x:c>
      <x:c r="U129" s="31" t="n">
        <x:f>IF(T129="","",I129*T129)</x:f>
        <x:v>5397.613204543997</x:v>
      </x:c>
    </x:row>
    <x:row r="130" ht="18" customHeight="1">
      <x:c r="A130" s="24" t="str">
        <x:v>EEZ_962</x:v>
      </x:c>
      <x:c r="B130" s="24" t="str">
        <x:v>Spain (mainland, Med and Gulf of Cadiz)</x:v>
      </x:c>
      <x:c r="C130" s="24" t="str">
        <x:v>EEZ</x:v>
      </x:c>
      <x:c r="D130" s="30" t="n">
        <x:v>2019</x:v>
      </x:c>
      <x:c r="E130" s="24" t="str">
        <x:v>Solen marginatus</x:v>
      </x:c>
      <x:c r="F130" s="24" t="str">
        <x:v>Grooved razor clam</x:v>
      </x:c>
      <x:c r="G130" s="24" t="str">
        <x:v>Other demersal invertebrates</x:v>
      </x:c>
      <x:c r="H130" s="24" t="str">
        <x:v>Molluscs</x:v>
      </x:c>
      <x:c r="I130" s="31" t="n">
        <x:v>83.70118119729999</x:v>
      </x:c>
      <x:c r="J130" s="31" t="n">
        <x:v>83.69348329329999</x:v>
      </x:c>
      <x:c r="K130" s="31" t="n">
        <x:v>0.007697904</x:v>
      </x:c>
      <x:c r="L130" s="31" t="n">
        <x:v>69.38764552149999</x:v>
      </x:c>
      <x:c r="M130" s="31" t="n">
        <x:v>14.3135356758</x:v>
      </x:c>
      <x:c r="N130" s="24" t="str">
        <x:v>solen marginatus</x:v>
      </x:c>
      <x:c r="O130" s="32" t="n">
        <x:v>2</x:v>
      </x:c>
      <x:c r="P130" s="24" t="str">
        <x:v>exact_sea_around_us</x:v>
      </x:c>
      <x:c r="Q130" s="32" t="str">
        <x:v>Sea Around Us exploited organisms</x:v>
      </x:c>
      <x:c r="R130" s="24" t="str">
        <x:v>high</x:v>
      </x:c>
      <x:c r="S130" s="24" t="str">
        <x:v>Solen marginatus</x:v>
      </x:c>
      <x:c r="T130" s="32" t="n">
        <x:f>IF(O130="","",(1/'Metadata'!$B$5)^(O130-1))</x:f>
        <x:v>10</x:v>
      </x:c>
      <x:c r="U130" s="31" t="n">
        <x:f>IF(T130="","",I130*T130)</x:f>
        <x:v>837.0118119729999</x:v>
      </x:c>
    </x:row>
    <x:row r="131" ht="18" customHeight="1">
      <x:c r="A131" s="24" t="str">
        <x:v>EEZ_962</x:v>
      </x:c>
      <x:c r="B131" s="24" t="str">
        <x:v>Spain (mainland, Med and Gulf of Cadiz)</x:v>
      </x:c>
      <x:c r="C131" s="24" t="str">
        <x:v>EEZ</x:v>
      </x:c>
      <x:c r="D131" s="30" t="n">
        <x:v>2019</x:v>
      </x:c>
      <x:c r="E131" s="24" t="str">
        <x:v>Pagrus auriga</x:v>
      </x:c>
      <x:c r="F131" s="24" t="str">
        <x:v>Redbanded seabream</x:v>
      </x:c>
      <x:c r="G131" s="24" t="str">
        <x:v>Medium benthopelagics (30 - 89 cm)</x:v>
      </x:c>
      <x:c r="H131" s="24" t="str">
        <x:v>Perch-likes</x:v>
      </x:c>
      <x:c r="I131" s="31" t="n">
        <x:v>82.20040420469999</x:v>
      </x:c>
      <x:c r="J131" s="31" t="n">
        <x:v>79.6150852877</x:v>
      </x:c>
      <x:c r="K131" s="31" t="n">
        <x:v>2.585318917</x:v>
      </x:c>
      <x:c r="L131" s="31" t="n">
        <x:v>44.477737606599995</x:v>
      </x:c>
      <x:c r="M131" s="31" t="n">
        <x:v>37.7226665981</x:v>
      </x:c>
      <x:c r="N131" s="24" t="str">
        <x:v>pagrus auriga</x:v>
      </x:c>
      <x:c r="O131" s="32" t="n">
        <x:v>3.84</x:v>
      </x:c>
      <x:c r="P131" s="24" t="str">
        <x:v>exact_2020_supplement</x:v>
      </x:c>
      <x:c r="Q131" s="32" t="str">
        <x:v>2020 supplement MeanTL</x:v>
      </x:c>
      <x:c r="R131" s="24" t="str">
        <x:v>high</x:v>
      </x:c>
      <x:c r="S131" s="24" t="str">
        <x:v>Pagrus auriga</x:v>
      </x:c>
      <x:c r="T131" s="32" t="n">
        <x:f>IF(O131="","",(1/'Metadata'!$B$5)^(O131-1))</x:f>
        <x:v>691.8309709189363</x:v>
      </x:c>
      <x:c r="U131" s="31" t="n">
        <x:f>IF(T131="","",I131*T131)</x:f>
        <x:v>56868.785450866606</x:v>
      </x:c>
    </x:row>
    <x:row r="132" ht="18" customHeight="1">
      <x:c r="A132" s="24" t="str">
        <x:v>EEZ_962</x:v>
      </x:c>
      <x:c r="B132" s="24" t="str">
        <x:v>Spain (mainland, Med and Gulf of Cadiz)</x:v>
      </x:c>
      <x:c r="C132" s="24" t="str">
        <x:v>EEZ</x:v>
      </x:c>
      <x:c r="D132" s="30" t="n">
        <x:v>2019</x:v>
      </x:c>
      <x:c r="E132" s="24" t="str">
        <x:v>Muraena helena</x:v>
      </x:c>
      <x:c r="F132" s="24" t="str">
        <x:v>Mediterranean moray</x:v>
      </x:c>
      <x:c r="G132" s="24" t="str">
        <x:v>Large reef assoc. fish (&gt;=90 cm)</x:v>
      </x:c>
      <x:c r="H132" s="24" t="str">
        <x:v>Other fishes &amp; inverts</x:v>
      </x:c>
      <x:c r="I132" s="31" t="n">
        <x:v>82.1523898753</x:v>
      </x:c>
      <x:c r="J132" s="31" t="n">
        <x:v>80.58919419520001</x:v>
      </x:c>
      <x:c r="K132" s="31" t="n">
        <x:v>1.5631956801</x:v>
      </x:c>
      <x:c r="L132" s="31" t="n">
        <x:v>70.0143327369</x:v>
      </x:c>
      <x:c r="M132" s="31" t="n">
        <x:v>12.138057138399999</x:v>
      </x:c>
      <x:c r="N132" s="24" t="str">
        <x:v>muraena helena</x:v>
      </x:c>
      <x:c r="O132" s="32" t="n">
        <x:v>4.18</x:v>
      </x:c>
      <x:c r="P132" s="24" t="str">
        <x:v>exact_2020_supplement</x:v>
      </x:c>
      <x:c r="Q132" s="32" t="str">
        <x:v>2020 supplement MeanTL</x:v>
      </x:c>
      <x:c r="R132" s="24" t="str">
        <x:v>high</x:v>
      </x:c>
      <x:c r="S132" s="24" t="str">
        <x:v>Muraena helena</x:v>
      </x:c>
      <x:c r="T132" s="32" t="n">
        <x:f>IF(O132="","",(1/'Metadata'!$B$5)^(O132-1))</x:f>
        <x:v>1513.5612484362073</x:v>
      </x:c>
      <x:c r="U132" s="31" t="n">
        <x:f>IF(T132="","",I132*T132)</x:f>
        <x:v>124342.6737816771</x:v>
      </x:c>
    </x:row>
    <x:row r="133" ht="18" customHeight="1">
      <x:c r="A133" s="24" t="str">
        <x:v>EEZ_962</x:v>
      </x:c>
      <x:c r="B133" s="24" t="str">
        <x:v>Spain (mainland, Med and Gulf of Cadiz)</x:v>
      </x:c>
      <x:c r="C133" s="24" t="str">
        <x:v>EEZ</x:v>
      </x:c>
      <x:c r="D133" s="30" t="n">
        <x:v>2019</x:v>
      </x:c>
      <x:c r="E133" s="24" t="str">
        <x:v>Donax</x:v>
      </x:c>
      <x:c r="F133" s="24" t="str">
        <x:v>Bean clams</x:v>
      </x:c>
      <x:c r="G133" s="24" t="str">
        <x:v>Other demersal invertebrates</x:v>
      </x:c>
      <x:c r="H133" s="24" t="str">
        <x:v>Molluscs</x:v>
      </x:c>
      <x:c r="I133" s="31" t="n">
        <x:v>82.1385356829</x:v>
      </x:c>
      <x:c r="J133" s="31" t="n">
        <x:v>82.1368018766</x:v>
      </x:c>
      <x:c r="K133" s="31" t="n">
        <x:v>0.0017338063</x:v>
      </x:c>
      <x:c r="L133" s="31" t="n">
        <x:v>66.3887861156</x:v>
      </x:c>
      <x:c r="M133" s="31" t="n">
        <x:v>15.7497495673</x:v>
      </x:c>
      <x:c r="N133" s="24" t="str">
        <x:v>donax</x:v>
      </x:c>
      <x:c r="O133" s="32" t="n">
        <x:v>2</x:v>
      </x:c>
      <x:c r="P133" s="24" t="str">
        <x:v>exact_sea_around_us</x:v>
      </x:c>
      <x:c r="Q133" s="32" t="str">
        <x:v>Sea Around Us exploited organisms</x:v>
      </x:c>
      <x:c r="R133" s="24" t="str">
        <x:v>high</x:v>
      </x:c>
      <x:c r="S133" s="24" t="str">
        <x:v>Donax</x:v>
      </x:c>
      <x:c r="T133" s="32" t="n">
        <x:f>IF(O133="","",(1/'Metadata'!$B$5)^(O133-1))</x:f>
        <x:v>10</x:v>
      </x:c>
      <x:c r="U133" s="31" t="n">
        <x:f>IF(T133="","",I133*T133)</x:f>
        <x:v>821.385356829</x:v>
      </x:c>
    </x:row>
    <x:row r="134" ht="18" customHeight="1">
      <x:c r="A134" s="24" t="str">
        <x:v>EEZ_962</x:v>
      </x:c>
      <x:c r="B134" s="24" t="str">
        <x:v>Spain (mainland, Med and Gulf of Cadiz)</x:v>
      </x:c>
      <x:c r="C134" s="24" t="str">
        <x:v>EEZ</x:v>
      </x:c>
      <x:c r="D134" s="30" t="n">
        <x:v>2019</x:v>
      </x:c>
      <x:c r="E134" s="24" t="str">
        <x:v>Lepidotrigla cavillone</x:v>
      </x:c>
      <x:c r="F134" s="24" t="str">
        <x:v>Large-scaled gurnard</x:v>
      </x:c>
      <x:c r="G134" s="24" t="str">
        <x:v>Small demersals (&lt;30 cm)</x:v>
      </x:c>
      <x:c r="H134" s="24" t="str">
        <x:v>Scorpionfishes</x:v>
      </x:c>
      <x:c r="I134" s="31" t="n">
        <x:v>79.74916593239999</x:v>
      </x:c>
      <x:c r="J134" s="31" t="n">
        <x:v>77.36888010439999</x:v>
      </x:c>
      <x:c r="K134" s="31" t="n">
        <x:v>2.380285828</x:v>
      </x:c>
      <x:c r="L134" s="31" t="n">
        <x:v>74.68910463559999</x:v>
      </x:c>
      <x:c r="M134" s="31" t="n">
        <x:v>5.0600612968</x:v>
      </x:c>
      <x:c r="N134" s="24" t="str">
        <x:v>lepidotrigla cavillone</x:v>
      </x:c>
      <x:c r="O134" s="32" t="n">
        <x:v>3.33</x:v>
      </x:c>
      <x:c r="P134" s="24" t="str">
        <x:v>exact_2020_supplement</x:v>
      </x:c>
      <x:c r="Q134" s="32" t="str">
        <x:v>2020 supplement MeanTL</x:v>
      </x:c>
      <x:c r="R134" s="24" t="str">
        <x:v>high</x:v>
      </x:c>
      <x:c r="S134" s="24" t="str">
        <x:v>Lepidotrigla cavillone</x:v>
      </x:c>
      <x:c r="T134" s="32" t="n">
        <x:f>IF(O134="","",(1/'Metadata'!$B$5)^(O134-1))</x:f>
        <x:v>213.79620895022325</x:v>
      </x:c>
      <x:c r="U134" s="31" t="n">
        <x:f>IF(T134="","",I134*T134)</x:f>
        <x:v>17050.069343289415</x:v>
      </x:c>
    </x:row>
    <x:row r="135" ht="18" customHeight="1">
      <x:c r="A135" s="24" t="str">
        <x:v>EEZ_962</x:v>
      </x:c>
      <x:c r="B135" s="24" t="str">
        <x:v>Spain (mainland, Med and Gulf of Cadiz)</x:v>
      </x:c>
      <x:c r="C135" s="24" t="str">
        <x:v>EEZ</x:v>
      </x:c>
      <x:c r="D135" s="30" t="n">
        <x:v>2019</x:v>
      </x:c>
      <x:c r="E135" s="24" t="str">
        <x:v>Arnoglossus thori</x:v>
      </x:c>
      <x:c r="F135" s="24" t="str">
        <x:v>Thor's scaldfish</x:v>
      </x:c>
      <x:c r="G135" s="24" t="str">
        <x:v>Small to medium flatfishes (&lt;90 cm)</x:v>
      </x:c>
      <x:c r="H135" s="24" t="str">
        <x:v>Flatfishes</x:v>
      </x:c>
      <x:c r="I135" s="31" t="n">
        <x:v>74.4016360776</x:v>
      </x:c>
      <x:c r="J135" s="31" t="n">
        <x:v>60.444168225700004</x:v>
      </x:c>
      <x:c r="K135" s="31" t="n">
        <x:v>13.9574678519</x:v>
      </x:c>
      <x:c r="L135" s="31" t="n">
        <x:v>57.818572748200005</x:v>
      </x:c>
      <x:c r="M135" s="31" t="n">
        <x:v>16.5830633294</x:v>
      </x:c>
      <x:c r="N135" s="24" t="str">
        <x:v>arnoglossus thori</x:v>
      </x:c>
      <x:c r="O135" s="32" t="n">
        <x:v>3.28</x:v>
      </x:c>
      <x:c r="P135" s="24" t="str">
        <x:v>exact_2020_supplement</x:v>
      </x:c>
      <x:c r="Q135" s="32" t="str">
        <x:v>2020 supplement MeanTL</x:v>
      </x:c>
      <x:c r="R135" s="24" t="str">
        <x:v>high</x:v>
      </x:c>
      <x:c r="S135" s="24" t="str">
        <x:v>Arnoglossus thori</x:v>
      </x:c>
      <x:c r="T135" s="32" t="n">
        <x:f>IF(O135="","",(1/'Metadata'!$B$5)^(O135-1))</x:f>
        <x:v>190.54607179632464</x:v>
      </x:c>
      <x:c r="U135" s="31" t="n">
        <x:f>IF(T135="","",I135*T135)</x:f>
        <x:v>14176.939489806387</x:v>
      </x:c>
    </x:row>
    <x:row r="136" ht="18" customHeight="1">
      <x:c r="A136" s="24" t="str">
        <x:v>EEZ_962</x:v>
      </x:c>
      <x:c r="B136" s="24" t="str">
        <x:v>Spain (mainland, Med and Gulf of Cadiz)</x:v>
      </x:c>
      <x:c r="C136" s="24" t="str">
        <x:v>EEZ</x:v>
      </x:c>
      <x:c r="D136" s="30" t="n">
        <x:v>2019</x:v>
      </x:c>
      <x:c r="E136" s="24" t="str">
        <x:v>Lepidorhombus boscii</x:v>
      </x:c>
      <x:c r="F136" s="24" t="str">
        <x:v>Four-spot megrim</x:v>
      </x:c>
      <x:c r="G136" s="24" t="str">
        <x:v>Small to medium flatfishes (&lt;90 cm)</x:v>
      </x:c>
      <x:c r="H136" s="24" t="str">
        <x:v>Flatfishes</x:v>
      </x:c>
      <x:c r="I136" s="31" t="n">
        <x:v>71.9043880439</x:v>
      </x:c>
      <x:c r="J136" s="31" t="n">
        <x:v>63.2895452413</x:v>
      </x:c>
      <x:c r="K136" s="31" t="n">
        <x:v>8.6148428026</x:v>
      </x:c>
      <x:c r="L136" s="31" t="n">
        <x:v>59.629201704399996</x:v>
      </x:c>
      <x:c r="M136" s="31" t="n">
        <x:v>12.2751863395</x:v>
      </x:c>
      <x:c r="N136" s="24" t="str">
        <x:v>lepidorhombus boscii</x:v>
      </x:c>
      <x:c r="O136" s="32" t="n">
        <x:v>3.74</x:v>
      </x:c>
      <x:c r="P136" s="24" t="str">
        <x:v>exact_2020_supplement</x:v>
      </x:c>
      <x:c r="Q136" s="32" t="str">
        <x:v>2020 supplement MeanTL</x:v>
      </x:c>
      <x:c r="R136" s="24" t="str">
        <x:v>high</x:v>
      </x:c>
      <x:c r="S136" s="24" t="str">
        <x:v>Lepidorhombus boscii</x:v>
      </x:c>
      <x:c r="T136" s="32" t="n">
        <x:f>IF(O136="","",(1/'Metadata'!$B$5)^(O136-1))</x:f>
        <x:v>549.5408738576248</x:v>
      </x:c>
      <x:c r="U136" s="31" t="n">
        <x:f>IF(T136="","",I136*T136)</x:f>
        <x:v>39514.40023984255</x:v>
      </x:c>
    </x:row>
    <x:row r="137" ht="18" customHeight="1">
      <x:c r="A137" s="24" t="str">
        <x:v>EEZ_962</x:v>
      </x:c>
      <x:c r="B137" s="24" t="str">
        <x:v>Spain (mainland, Med and Gulf of Cadiz)</x:v>
      </x:c>
      <x:c r="C137" s="24" t="str">
        <x:v>EEZ</x:v>
      </x:c>
      <x:c r="D137" s="30" t="n">
        <x:v>2019</x:v>
      </x:c>
      <x:c r="E137" s="24" t="str">
        <x:v>Chelidonichthys lucerna</x:v>
      </x:c>
      <x:c r="F137" s="24" t="str">
        <x:v>Tub gurnard</x:v>
      </x:c>
      <x:c r="G137" s="24" t="str">
        <x:v>Medium demersals (30 - 89 cm)</x:v>
      </x:c>
      <x:c r="H137" s="24" t="str">
        <x:v>Scorpionfishes</x:v>
      </x:c>
      <x:c r="I137" s="31" t="n">
        <x:v>67.7377800321</x:v>
      </x:c>
      <x:c r="J137" s="31" t="n">
        <x:v>65.0127342953</x:v>
      </x:c>
      <x:c r="K137" s="31" t="n">
        <x:v>2.7250457368</x:v>
      </x:c>
      <x:c r="L137" s="31" t="n">
        <x:v>61.7529078285</x:v>
      </x:c>
      <x:c r="M137" s="31" t="n">
        <x:v>5.9848722036</x:v>
      </x:c>
      <x:c r="N137" s="24" t="str">
        <x:v>chelidonichthys lucerna</x:v>
      </x:c>
      <x:c r="O137" s="32" t="n">
        <x:v>3.98</x:v>
      </x:c>
      <x:c r="P137" s="24" t="str">
        <x:v>exact_2020_supplement</x:v>
      </x:c>
      <x:c r="Q137" s="32" t="str">
        <x:v>2020 supplement MeanTL</x:v>
      </x:c>
      <x:c r="R137" s="24" t="str">
        <x:v>high</x:v>
      </x:c>
      <x:c r="S137" s="24" t="str">
        <x:v>Chelidonichthys lucerna</x:v>
      </x:c>
      <x:c r="T137" s="32" t="n">
        <x:f>IF(O137="","",(1/'Metadata'!$B$5)^(O137-1))</x:f>
        <x:v>954.992586021436</x:v>
      </x:c>
      <x:c r="U137" s="31" t="n">
        <x:f>IF(T137="","",I137*T137)</x:f>
        <x:v>64689.07772420637</x:v>
      </x:c>
    </x:row>
    <x:row r="138" ht="18" customHeight="1">
      <x:c r="A138" s="24" t="str">
        <x:v>EEZ_962</x:v>
      </x:c>
      <x:c r="B138" s="24" t="str">
        <x:v>Spain (mainland, Med and Gulf of Cadiz)</x:v>
      </x:c>
      <x:c r="C138" s="24" t="str">
        <x:v>EEZ</x:v>
      </x:c>
      <x:c r="D138" s="30" t="n">
        <x:v>2019</x:v>
      </x:c>
      <x:c r="E138" s="24" t="str">
        <x:v>Trigla lyra</x:v>
      </x:c>
      <x:c r="F138" s="24" t="str">
        <x:v>Piper gurnard</x:v>
      </x:c>
      <x:c r="G138" s="24" t="str">
        <x:v>Medium bathydemersals (30 - 89 cm)</x:v>
      </x:c>
      <x:c r="H138" s="24" t="str">
        <x:v>Scorpionfishes</x:v>
      </x:c>
      <x:c r="I138" s="31" t="n">
        <x:v>64.0918624364</x:v>
      </x:c>
      <x:c r="J138" s="31" t="n">
        <x:v>52.8861401575</x:v>
      </x:c>
      <x:c r="K138" s="31" t="n">
        <x:v>11.2057222789</x:v>
      </x:c>
      <x:c r="L138" s="31" t="n">
        <x:v>50.780042281200004</x:v>
      </x:c>
      <x:c r="M138" s="31" t="n">
        <x:v>13.3118201552</x:v>
      </x:c>
      <x:c r="N138" s="24" t="str">
        <x:v>trigla lyra</x:v>
      </x:c>
      <x:c r="O138" s="32" t="n">
        <x:v>3.65</x:v>
      </x:c>
      <x:c r="P138" s="24" t="str">
        <x:v>exact_2020_supplement</x:v>
      </x:c>
      <x:c r="Q138" s="32" t="str">
        <x:v>2020 supplement MeanTL</x:v>
      </x:c>
      <x:c r="R138" s="24" t="str">
        <x:v>high</x:v>
      </x:c>
      <x:c r="S138" s="24" t="str">
        <x:v>Trigla lyra</x:v>
      </x:c>
      <x:c r="T138" s="32" t="n">
        <x:f>IF(O138="","",(1/'Metadata'!$B$5)^(O138-1))</x:f>
        <x:v>446.683592150963</x:v>
      </x:c>
      <x:c r="U138" s="31" t="n">
        <x:f>IF(T138="","",I138*T138)</x:f>
        <x:v>28628.78334073653</x:v>
      </x:c>
    </x:row>
    <x:row r="139" ht="18" customHeight="1">
      <x:c r="A139" s="24" t="str">
        <x:v>EEZ_962</x:v>
      </x:c>
      <x:c r="B139" s="24" t="str">
        <x:v>Spain (mainland, Med and Gulf of Cadiz)</x:v>
      </x:c>
      <x:c r="C139" s="24" t="str">
        <x:v>EEZ</x:v>
      </x:c>
      <x:c r="D139" s="30" t="n">
        <x:v>2019</x:v>
      </x:c>
      <x:c r="E139" s="24" t="str">
        <x:v>Dentex</x:v>
      </x:c>
      <x:c r="F139" s="24" t="str">
        <x:v>Toothed seabreams</x:v>
      </x:c>
      <x:c r="G139" s="24" t="str">
        <x:v>Large benthopelagics (&gt;=90 cm)</x:v>
      </x:c>
      <x:c r="H139" s="24" t="str">
        <x:v>Perch-likes</x:v>
      </x:c>
      <x:c r="I139" s="31" t="n">
        <x:v>63.931180753499994</x:v>
      </x:c>
      <x:c r="J139" s="31" t="n">
        <x:v>61.932751932799995</x:v>
      </x:c>
      <x:c r="K139" s="31" t="n">
        <x:v>1.9984288207</x:v>
      </x:c>
      <x:c r="L139" s="31" t="n">
        <x:v>48.134185860500004</x:v>
      </x:c>
      <x:c r="M139" s="31" t="n">
        <x:v>15.796994892999999</x:v>
      </x:c>
      <x:c r="N139" s="24" t="str">
        <x:v>dentex</x:v>
      </x:c>
      <x:c r="O139" s="32" t="n">
        <x:v>3.96</x:v>
      </x:c>
      <x:c r="P139" s="24" t="str">
        <x:v>exact_sea_around_us</x:v>
      </x:c>
      <x:c r="Q139" s="32" t="str">
        <x:v>Sea Around Us exploited organisms</x:v>
      </x:c>
      <x:c r="R139" s="24" t="str">
        <x:v>high</x:v>
      </x:c>
      <x:c r="S139" s="24" t="str">
        <x:v>Dentex</x:v>
      </x:c>
      <x:c r="T139" s="32" t="n">
        <x:f>IF(O139="","",(1/'Metadata'!$B$5)^(O139-1))</x:f>
        <x:v>912.0108393559096</x:v>
      </x:c>
      <x:c r="U139" s="31" t="n">
        <x:f>IF(T139="","",I139*T139)</x:f>
        <x:v>58305.9298200139</x:v>
      </x:c>
    </x:row>
    <x:row r="140" ht="18" customHeight="1">
      <x:c r="A140" s="24" t="str">
        <x:v>EEZ_962</x:v>
      </x:c>
      <x:c r="B140" s="24" t="str">
        <x:v>Spain (mainland, Med and Gulf of Cadiz)</x:v>
      </x:c>
      <x:c r="C140" s="24" t="str">
        <x:v>EEZ</x:v>
      </x:c>
      <x:c r="D140" s="30" t="n">
        <x:v>2019</x:v>
      </x:c>
      <x:c r="E140" s="24" t="str">
        <x:v>Sepiida</x:v>
      </x:c>
      <x:c r="F140" s="24" t="str">
        <x:v>Cuttlefishes, bobtail squids</x:v>
      </x:c>
      <x:c r="G140" s="24" t="str">
        <x:v>Cephalopods</x:v>
      </x:c>
      <x:c r="H140" s="24" t="str">
        <x:v>Other fishes &amp; inverts</x:v>
      </x:c>
      <x:c r="I140" s="31" t="n">
        <x:v>63.482369579700006</x:v>
      </x:c>
      <x:c r="J140" s="31" t="n">
        <x:v>62.4655113707</x:v>
      </x:c>
      <x:c r="K140" s="31" t="n">
        <x:v>1.016858209</x:v>
      </x:c>
      <x:c r="L140" s="31" t="n">
        <x:v>53.5013522158</x:v>
      </x:c>
      <x:c r="M140" s="31" t="n">
        <x:v>9.9810173639</x:v>
      </x:c>
      <x:c r="N140" s="24" t="str">
        <x:v>sepiida</x:v>
      </x:c>
      <x:c r="O140" s="32" t="n">
        <x:v>3.7</x:v>
      </x:c>
      <x:c r="P140" s="24" t="str">
        <x:v>exact_sea_around_us</x:v>
      </x:c>
      <x:c r="Q140" s="32" t="str">
        <x:v>Sea Around Us exploited organisms</x:v>
      </x:c>
      <x:c r="R140" s="24" t="str">
        <x:v>high</x:v>
      </x:c>
      <x:c r="S140" s="24" t="str">
        <x:v>Sepiida</x:v>
      </x:c>
      <x:c r="T140" s="32" t="n">
        <x:f>IF(O140="","",(1/'Metadata'!$B$5)^(O140-1))</x:f>
        <x:v>501.18723362727246</x:v>
      </x:c>
      <x:c r="U140" s="31" t="n">
        <x:f>IF(T140="","",I140*T140)</x:f>
        <x:v>31816.55319375396</x:v>
      </x:c>
    </x:row>
    <x:row r="141" ht="18" customHeight="1">
      <x:c r="A141" s="24" t="str">
        <x:v>EEZ_962</x:v>
      </x:c>
      <x:c r="B141" s="24" t="str">
        <x:v>Spain (mainland, Med and Gulf of Cadiz)</x:v>
      </x:c>
      <x:c r="C141" s="24" t="str">
        <x:v>EEZ</x:v>
      </x:c>
      <x:c r="D141" s="30" t="n">
        <x:v>2019</x:v>
      </x:c>
      <x:c r="E141" s="24" t="str">
        <x:v>Trachurus picturatus</x:v>
      </x:c>
      <x:c r="F141" s="24" t="str">
        <x:v>Blue jack mackerel</x:v>
      </x:c>
      <x:c r="G141" s="24" t="str">
        <x:v>Medium benthopelagics (30 - 89 cm)</x:v>
      </x:c>
      <x:c r="H141" s="24" t="str">
        <x:v>Perch-likes</x:v>
      </x:c>
      <x:c r="I141" s="31" t="n">
        <x:v>63.29878325160001</x:v>
      </x:c>
      <x:c r="J141" s="31" t="n">
        <x:v>48.609409389300005</x:v>
      </x:c>
      <x:c r="K141" s="31" t="n">
        <x:v>14.6893738623</x:v>
      </x:c>
      <x:c r="L141" s="31" t="n">
        <x:v>42.6538095401</x:v>
      </x:c>
      <x:c r="M141" s="31" t="n">
        <x:v>20.6449737115</x:v>
      </x:c>
      <x:c r="N141" s="24" t="str">
        <x:v>trachurus picturatus</x:v>
      </x:c>
      <x:c r="O141" s="32" t="n">
        <x:v>3.32</x:v>
      </x:c>
      <x:c r="P141" s="24" t="str">
        <x:v>exact_2020_supplement</x:v>
      </x:c>
      <x:c r="Q141" s="32" t="str">
        <x:v>2020 supplement MeanTL</x:v>
      </x:c>
      <x:c r="R141" s="24" t="str">
        <x:v>high</x:v>
      </x:c>
      <x:c r="S141" s="24" t="str">
        <x:v>Trachurus picturatus</x:v>
      </x:c>
      <x:c r="T141" s="32" t="n">
        <x:f>IF(O141="","",(1/'Metadata'!$B$5)^(O141-1))</x:f>
        <x:v>208.92961308540387</x:v>
      </x:c>
      <x:c r="U141" s="31" t="n">
        <x:f>IF(T141="","",I141*T141)</x:f>
        <x:v>13224.990293533632</x:v>
      </x:c>
    </x:row>
    <x:row r="142" ht="18" customHeight="1">
      <x:c r="A142" s="24" t="str">
        <x:v>EEZ_962</x:v>
      </x:c>
      <x:c r="B142" s="24" t="str">
        <x:v>Spain (mainland, Med and Gulf of Cadiz)</x:v>
      </x:c>
      <x:c r="C142" s="24" t="str">
        <x:v>EEZ</x:v>
      </x:c>
      <x:c r="D142" s="30" t="n">
        <x:v>2019</x:v>
      </x:c>
      <x:c r="E142" s="24" t="str">
        <x:v>Dentex gibbosus</x:v>
      </x:c>
      <x:c r="F142" s="24" t="str">
        <x:v>Pink dentex</x:v>
      </x:c>
      <x:c r="G142" s="24" t="str">
        <x:v>Large benthopelagics (&gt;=90 cm)</x:v>
      </x:c>
      <x:c r="H142" s="24" t="str">
        <x:v>Perch-likes</x:v>
      </x:c>
      <x:c r="I142" s="31" t="n">
        <x:v>62.5821028598</x:v>
      </x:c>
      <x:c r="J142" s="31" t="n">
        <x:v>61.6074331748</x:v>
      </x:c>
      <x:c r="K142" s="31" t="n">
        <x:v>0.974669685</x:v>
      </x:c>
      <x:c r="L142" s="31" t="n">
        <x:v>37.5407097605</x:v>
      </x:c>
      <x:c r="M142" s="31" t="n">
        <x:v>25.0413930993</x:v>
      </x:c>
      <x:c r="N142" s="24" t="str">
        <x:v>dentex gibbosus</x:v>
      </x:c>
      <x:c r="O142" s="32" t="n">
        <x:v>4.14</x:v>
      </x:c>
      <x:c r="P142" s="24" t="str">
        <x:v>exact_2020_supplement</x:v>
      </x:c>
      <x:c r="Q142" s="32" t="str">
        <x:v>2020 supplement MeanTL</x:v>
      </x:c>
      <x:c r="R142" s="24" t="str">
        <x:v>high</x:v>
      </x:c>
      <x:c r="S142" s="24" t="str">
        <x:v>Dentex gibbosus</x:v>
      </x:c>
      <x:c r="T142" s="32" t="n">
        <x:f>IF(O142="","",(1/'Metadata'!$B$5)^(O142-1))</x:f>
        <x:v>1380.3842646028838</x:v>
      </x:c>
      <x:c r="U142" s="31" t="n">
        <x:f>IF(T142="","",I142*T142)</x:f>
        <x:v>86387.35003342706</x:v>
      </x:c>
    </x:row>
    <x:row r="143" ht="18" customHeight="1">
      <x:c r="A143" s="24" t="str">
        <x:v>EEZ_962</x:v>
      </x:c>
      <x:c r="B143" s="24" t="str">
        <x:v>Spain (mainland, Med and Gulf of Cadiz)</x:v>
      </x:c>
      <x:c r="C143" s="24" t="str">
        <x:v>EEZ</x:v>
      </x:c>
      <x:c r="D143" s="30" t="n">
        <x:v>2019</x:v>
      </x:c>
      <x:c r="E143" s="24" t="str">
        <x:v>Palinurus elephas</x:v>
      </x:c>
      <x:c r="F143" s="24" t="str">
        <x:v>Common spiny lobster</x:v>
      </x:c>
      <x:c r="G143" s="24" t="str">
        <x:v>Lobsters, crabs</x:v>
      </x:c>
      <x:c r="H143" s="24" t="str">
        <x:v>Crustaceans</x:v>
      </x:c>
      <x:c r="I143" s="31" t="n">
        <x:v>62.231780673100005</x:v>
      </x:c>
      <x:c r="J143" s="31" t="n">
        <x:v>62.213432230500004</x:v>
      </x:c>
      <x:c r="K143" s="31" t="n">
        <x:v>0.018348442599999997</x:v>
      </x:c>
      <x:c r="L143" s="31" t="n">
        <x:v>56.9811171984</x:v>
      </x:c>
      <x:c r="M143" s="31" t="n">
        <x:v>5.2506634747000005</x:v>
      </x:c>
      <x:c r="N143" s="24" t="str">
        <x:v>palinurus elephas</x:v>
      </x:c>
      <x:c r="O143" s="32" t="n">
        <x:v>3.34</x:v>
      </x:c>
      <x:c r="P143" s="24" t="str">
        <x:v>exact_2020_supplement</x:v>
      </x:c>
      <x:c r="Q143" s="32" t="str">
        <x:v>2020 supplement MeanTL</x:v>
      </x:c>
      <x:c r="R143" s="24" t="str">
        <x:v>high</x:v>
      </x:c>
      <x:c r="S143" s="24" t="str">
        <x:v>Palinurus elephas</x:v>
      </x:c>
      <x:c r="T143" s="32" t="n">
        <x:f>IF(O143="","",(1/'Metadata'!$B$5)^(O143-1))</x:f>
        <x:v>218.77616239495518</x:v>
      </x:c>
      <x:c r="U143" s="31" t="n">
        <x:f>IF(T143="","",I143*T143)</x:f>
        <x:v>13614.83015466536</x:v>
      </x:c>
    </x:row>
    <x:row r="144" ht="18" customHeight="1">
      <x:c r="A144" s="24" t="str">
        <x:v>EEZ_962</x:v>
      </x:c>
      <x:c r="B144" s="24" t="str">
        <x:v>Spain (mainland, Med and Gulf of Cadiz)</x:v>
      </x:c>
      <x:c r="C144" s="24" t="str">
        <x:v>EEZ</x:v>
      </x:c>
      <x:c r="D144" s="30" t="n">
        <x:v>2019</x:v>
      </x:c>
      <x:c r="E144" s="24" t="str">
        <x:v>Coris julis</x:v>
      </x:c>
      <x:c r="F144" s="24" t="str">
        <x:v>Rainbow wrasse</x:v>
      </x:c>
      <x:c r="G144" s="24" t="str">
        <x:v>Medium reef assoc. fish (30 - 89 cm)</x:v>
      </x:c>
      <x:c r="H144" s="24" t="str">
        <x:v>Perch-likes</x:v>
      </x:c>
      <x:c r="I144" s="31" t="n">
        <x:v>61.782124990199996</x:v>
      </x:c>
      <x:c r="J144" s="31" t="n">
        <x:v>61.778656096999995</x:v>
      </x:c>
      <x:c r="K144" s="31" t="n">
        <x:v>0.0034688932</x:v>
      </x:c>
      <x:c r="L144" s="31" t="n">
        <x:v>0.0810330832</x:v>
      </x:c>
      <x:c r="M144" s="31" t="n">
        <x:v>61.701091907</x:v>
      </x:c>
      <x:c r="N144" s="24" t="str">
        <x:v>coris julis</x:v>
      </x:c>
      <x:c r="O144" s="32" t="n">
        <x:v>3.44</x:v>
      </x:c>
      <x:c r="P144" s="24" t="str">
        <x:v>exact_2020_supplement</x:v>
      </x:c>
      <x:c r="Q144" s="32" t="str">
        <x:v>2020 supplement MeanTL</x:v>
      </x:c>
      <x:c r="R144" s="24" t="str">
        <x:v>high</x:v>
      </x:c>
      <x:c r="S144" s="24" t="str">
        <x:v>Coris julis</x:v>
      </x:c>
      <x:c r="T144" s="32" t="n">
        <x:f>IF(O144="","",(1/'Metadata'!$B$5)^(O144-1))</x:f>
        <x:v>275.4228703338166</x:v>
      </x:c>
      <x:c r="U144" s="31" t="n">
        <x:f>IF(T144="","",I144*T144)</x:f>
        <x:v>17016.210200123503</x:v>
      </x:c>
    </x:row>
    <x:row r="145" ht="18" customHeight="1">
      <x:c r="A145" s="24" t="str">
        <x:v>EEZ_962</x:v>
      </x:c>
      <x:c r="B145" s="24" t="str">
        <x:v>Spain (mainland, Med and Gulf of Cadiz)</x:v>
      </x:c>
      <x:c r="C145" s="24" t="str">
        <x:v>EEZ</x:v>
      </x:c>
      <x:c r="D145" s="30" t="n">
        <x:v>2019</x:v>
      </x:c>
      <x:c r="E145" s="24" t="str">
        <x:v>Galeorhinus galeus</x:v>
      </x:c>
      <x:c r="F145" s="24" t="str">
        <x:v>Tope shark</x:v>
      </x:c>
      <x:c r="G145" s="24" t="str">
        <x:v>Large sharks (&gt;=90 cm)</x:v>
      </x:c>
      <x:c r="H145" s="24" t="str">
        <x:v>Sharks &amp; rays</x:v>
      </x:c>
      <x:c r="I145" s="31" t="n">
        <x:v>60.762193517200004</x:v>
      </x:c>
      <x:c r="J145" s="31" t="n">
        <x:v>51.867472008700005</x:v>
      </x:c>
      <x:c r="K145" s="31" t="n">
        <x:v>8.8947215085</x:v>
      </x:c>
      <x:c r="L145" s="31" t="n">
        <x:v>36.397191154000005</x:v>
      </x:c>
      <x:c r="M145" s="31" t="n">
        <x:v>24.3650023632</x:v>
      </x:c>
      <x:c r="N145" s="24" t="str">
        <x:v>galeorhinus galeus</x:v>
      </x:c>
      <x:c r="O145" s="32" t="n">
        <x:v>4.34</x:v>
      </x:c>
      <x:c r="P145" s="24" t="str">
        <x:v>exact_2020_supplement</x:v>
      </x:c>
      <x:c r="Q145" s="32" t="str">
        <x:v>2020 supplement MeanTL</x:v>
      </x:c>
      <x:c r="R145" s="24" t="str">
        <x:v>high</x:v>
      </x:c>
      <x:c r="S145" s="24" t="str">
        <x:v>Galeorhinus galeus</x:v>
      </x:c>
      <x:c r="T145" s="32" t="n">
        <x:f>IF(O145="","",(1/'Metadata'!$B$5)^(O145-1))</x:f>
        <x:v>2187.761623949552</x:v>
      </x:c>
      <x:c r="U145" s="31" t="n">
        <x:f>IF(T145="","",I145*T145)</x:f>
        <x:v>132933.1951639264</x:v>
      </x:c>
    </x:row>
    <x:row r="146" ht="18" customHeight="1">
      <x:c r="A146" s="24" t="str">
        <x:v>EEZ_962</x:v>
      </x:c>
      <x:c r="B146" s="24" t="str">
        <x:v>Spain (mainland, Med and Gulf of Cadiz)</x:v>
      </x:c>
      <x:c r="C146" s="24" t="str">
        <x:v>EEZ</x:v>
      </x:c>
      <x:c r="D146" s="30" t="n">
        <x:v>2019</x:v>
      </x:c>
      <x:c r="E146" s="24" t="str">
        <x:v>Umbrina canariensis</x:v>
      </x:c>
      <x:c r="F146" s="24" t="str">
        <x:v>Canary drum</x:v>
      </x:c>
      <x:c r="G146" s="24" t="str">
        <x:v>Medium demersals (30 - 89 cm)</x:v>
      </x:c>
      <x:c r="H146" s="24" t="str">
        <x:v>Perch-likes</x:v>
      </x:c>
      <x:c r="I146" s="31" t="n">
        <x:v>60.2889481221</x:v>
      </x:c>
      <x:c r="J146" s="31" t="n">
        <x:v>59.5238475414</x:v>
      </x:c>
      <x:c r="K146" s="31" t="n">
        <x:v>0.7651005807</x:v>
      </x:c>
      <x:c r="L146" s="31" t="n">
        <x:v>52.65105615779999</x:v>
      </x:c>
      <x:c r="M146" s="31" t="n">
        <x:v>7.6378919643</x:v>
      </x:c>
      <x:c r="N146" s="24" t="str">
        <x:v>umbrina canariensis</x:v>
      </x:c>
      <x:c r="O146" s="32" t="n">
        <x:v>3.37</x:v>
      </x:c>
      <x:c r="P146" s="24" t="str">
        <x:v>exact_2020_supplement</x:v>
      </x:c>
      <x:c r="Q146" s="32" t="str">
        <x:v>2020 supplement MeanTL</x:v>
      </x:c>
      <x:c r="R146" s="24" t="str">
        <x:v>high</x:v>
      </x:c>
      <x:c r="S146" s="24" t="str">
        <x:v>Umbrina canariensis</x:v>
      </x:c>
      <x:c r="T146" s="32" t="n">
        <x:f>IF(O146="","",(1/'Metadata'!$B$5)^(O146-1))</x:f>
        <x:v>234.42288153199226</x:v>
      </x:c>
      <x:c r="U146" s="31" t="n">
        <x:f>IF(T146="","",I146*T146)</x:f>
        <x:v>14133.108943315476</x:v>
      </x:c>
    </x:row>
    <x:row r="147" ht="18" customHeight="1">
      <x:c r="A147" s="24" t="str">
        <x:v>EEZ_962</x:v>
      </x:c>
      <x:c r="B147" s="24" t="str">
        <x:v>Spain (mainland, Med and Gulf of Cadiz)</x:v>
      </x:c>
      <x:c r="C147" s="24" t="str">
        <x:v>EEZ</x:v>
      </x:c>
      <x:c r="D147" s="30" t="n">
        <x:v>2019</x:v>
      </x:c>
      <x:c r="E147" s="24" t="str">
        <x:v>Spicara</x:v>
      </x:c>
      <x:c r="F147" s="24" t="str">
        <x:v>Picarels</x:v>
      </x:c>
      <x:c r="G147" s="24" t="str">
        <x:v>Small demersals (&lt;30 cm)</x:v>
      </x:c>
      <x:c r="H147" s="24" t="str">
        <x:v>Perch-likes</x:v>
      </x:c>
      <x:c r="I147" s="31" t="n">
        <x:v>58.4349593996</x:v>
      </x:c>
      <x:c r="J147" s="31" t="n">
        <x:v>46.2470185575</x:v>
      </x:c>
      <x:c r="K147" s="31" t="n">
        <x:v>12.1879408421</x:v>
      </x:c>
      <x:c r="L147" s="31" t="n">
        <x:v>42.810978761899996</x:v>
      </x:c>
      <x:c r="M147" s="31" t="n">
        <x:v>15.6239806377</x:v>
      </x:c>
      <x:c r="N147" s="24" t="str">
        <x:v>spicara</x:v>
      </x:c>
      <x:c r="O147" s="32" t="n">
        <x:v>3.58</x:v>
      </x:c>
      <x:c r="P147" s="24" t="str">
        <x:v>exact_sea_around_us</x:v>
      </x:c>
      <x:c r="Q147" s="32" t="str">
        <x:v>Sea Around Us exploited organisms</x:v>
      </x:c>
      <x:c r="R147" s="24" t="str">
        <x:v>high</x:v>
      </x:c>
      <x:c r="S147" s="24" t="str">
        <x:v>Spicara</x:v>
      </x:c>
      <x:c r="T147" s="32" t="n">
        <x:f>IF(O147="","",(1/'Metadata'!$B$5)^(O147-1))</x:f>
        <x:v>380.1893963205613</x:v>
      </x:c>
      <x:c r="U147" s="31" t="n">
        <x:f>IF(T147="","",I147*T147)</x:f>
        <x:v>22216.35193815043</x:v>
      </x:c>
    </x:row>
    <x:row r="148" ht="18" customHeight="1">
      <x:c r="A148" s="24" t="str">
        <x:v>EEZ_962</x:v>
      </x:c>
      <x:c r="B148" s="24" t="str">
        <x:v>Spain (mainland, Med and Gulf of Cadiz)</x:v>
      </x:c>
      <x:c r="C148" s="24" t="str">
        <x:v>EEZ</x:v>
      </x:c>
      <x:c r="D148" s="30" t="n">
        <x:v>2019</x:v>
      </x:c>
      <x:c r="E148" s="24" t="str">
        <x:v>Todaropsis eblanae</x:v>
      </x:c>
      <x:c r="F148" s="24" t="str">
        <x:v>Lesser flying squid</x:v>
      </x:c>
      <x:c r="G148" s="24" t="str">
        <x:v>Cephalopods</x:v>
      </x:c>
      <x:c r="H148" s="24" t="str">
        <x:v>Other fishes &amp; inverts</x:v>
      </x:c>
      <x:c r="I148" s="31" t="n">
        <x:v>55.0898063778</x:v>
      </x:c>
      <x:c r="J148" s="31" t="n">
        <x:v>40.9047524434</x:v>
      </x:c>
      <x:c r="K148" s="31" t="n">
        <x:v>14.1850539344</x:v>
      </x:c>
      <x:c r="L148" s="31" t="n">
        <x:v>38.829583472100005</x:v>
      </x:c>
      <x:c r="M148" s="31" t="n">
        <x:v>16.2602229057</x:v>
      </x:c>
      <x:c r="N148" s="24" t="str">
        <x:v>todaropsis eblanae</x:v>
      </x:c>
      <x:c r="O148" s="32" t="n">
        <x:v>4.25</x:v>
      </x:c>
      <x:c r="P148" s="24" t="str">
        <x:v>exact_sea_around_us</x:v>
      </x:c>
      <x:c r="Q148" s="32" t="str">
        <x:v>Sea Around Us exploited organisms</x:v>
      </x:c>
      <x:c r="R148" s="24" t="str">
        <x:v>high</x:v>
      </x:c>
      <x:c r="S148" s="24" t="str">
        <x:v>Todaropsis eblanae</x:v>
      </x:c>
      <x:c r="T148" s="32" t="n">
        <x:f>IF(O148="","",(1/'Metadata'!$B$5)^(O148-1))</x:f>
        <x:v>1778.2794100389228</x:v>
      </x:c>
      <x:c r="U148" s="31" t="n">
        <x:f>IF(T148="","",I148*T148)</x:f>
        <x:v>97965.06838467268</x:v>
      </x:c>
    </x:row>
    <x:row r="149" ht="18" customHeight="1">
      <x:c r="A149" s="24" t="str">
        <x:v>EEZ_962</x:v>
      </x:c>
      <x:c r="B149" s="24" t="str">
        <x:v>Spain (mainland, Med and Gulf of Cadiz)</x:v>
      </x:c>
      <x:c r="C149" s="24" t="str">
        <x:v>EEZ</x:v>
      </x:c>
      <x:c r="D149" s="30" t="n">
        <x:v>2019</x:v>
      </x:c>
      <x:c r="E149" s="24" t="str">
        <x:v>Sepia orbignyana</x:v>
      </x:c>
      <x:c r="F149" s="24" t="str">
        <x:v>Pink cuttlefish</x:v>
      </x:c>
      <x:c r="G149" s="24" t="str">
        <x:v>Cephalopods</x:v>
      </x:c>
      <x:c r="H149" s="24" t="str">
        <x:v>Other fishes &amp; inverts</x:v>
      </x:c>
      <x:c r="I149" s="31" t="n">
        <x:v>53.5909061022</x:v>
      </x:c>
      <x:c r="J149" s="31" t="n">
        <x:v>53.5898656704</x:v>
      </x:c>
      <x:c r="K149" s="31" t="n">
        <x:v>0.0010404318</x:v>
      </x:c>
      <x:c r="L149" s="31" t="n">
        <x:v>50.866823133500006</x:v>
      </x:c>
      <x:c r="M149" s="31" t="n">
        <x:v>2.7240829687</x:v>
      </x:c>
      <x:c r="N149" s="24" t="str">
        <x:v>sepia orbignyana</x:v>
      </x:c>
      <x:c r="O149" s="32" t="n">
        <x:v>4.16</x:v>
      </x:c>
      <x:c r="P149" s="24" t="str">
        <x:v>exact_sea_around_us</x:v>
      </x:c>
      <x:c r="Q149" s="32" t="str">
        <x:v>Sea Around Us exploited organisms</x:v>
      </x:c>
      <x:c r="R149" s="24" t="str">
        <x:v>high</x:v>
      </x:c>
      <x:c r="S149" s="24" t="str">
        <x:v>Sepia orbignyana</x:v>
      </x:c>
      <x:c r="T149" s="32" t="n">
        <x:f>IF(O149="","",(1/'Metadata'!$B$5)^(O149-1))</x:f>
        <x:v>1445.439770745928</x:v>
      </x:c>
      <x:c r="U149" s="31" t="n">
        <x:f>IF(T149="","",I149*T149)</x:f>
        <x:v>77462.42703043052</x:v>
      </x:c>
    </x:row>
    <x:row r="150" ht="18" customHeight="1">
      <x:c r="A150" s="24" t="str">
        <x:v>EEZ_962</x:v>
      </x:c>
      <x:c r="B150" s="24" t="str">
        <x:v>Spain (mainland, Med and Gulf of Cadiz)</x:v>
      </x:c>
      <x:c r="C150" s="24" t="str">
        <x:v>EEZ</x:v>
      </x:c>
      <x:c r="D150" s="30" t="n">
        <x:v>2019</x:v>
      </x:c>
      <x:c r="E150" s="24" t="str">
        <x:v>Raja asterias</x:v>
      </x:c>
      <x:c r="F150" s="24" t="str">
        <x:v>Mediterranean starry ray</x:v>
      </x:c>
      <x:c r="G150" s="24" t="str">
        <x:v>Small to medium rays (&lt;90 cm)</x:v>
      </x:c>
      <x:c r="H150" s="24" t="str">
        <x:v>Sharks &amp; rays</x:v>
      </x:c>
      <x:c r="I150" s="31" t="n">
        <x:v>49.0710267481</x:v>
      </x:c>
      <x:c r="J150" s="31" t="n">
        <x:v>42.6630572917</x:v>
      </x:c>
      <x:c r="K150" s="31" t="n">
        <x:v>6.4079694564</x:v>
      </x:c>
      <x:c r="L150" s="31" t="n">
        <x:v>41.2684196552</x:v>
      </x:c>
      <x:c r="M150" s="31" t="n">
        <x:v>7.8026070929</x:v>
      </x:c>
      <x:c r="N150" s="24" t="str">
        <x:v>raja asterias</x:v>
      </x:c>
      <x:c r="O150" s="32" t="n">
        <x:v>3.5</x:v>
      </x:c>
      <x:c r="P150" s="24" t="str">
        <x:v>exact_2020_supplement</x:v>
      </x:c>
      <x:c r="Q150" s="32" t="str">
        <x:v>2020 supplement MeanTL</x:v>
      </x:c>
      <x:c r="R150" s="24" t="str">
        <x:v>high</x:v>
      </x:c>
      <x:c r="S150" s="24" t="str">
        <x:v>Raja asterias</x:v>
      </x:c>
      <x:c r="T150" s="32" t="n">
        <x:f>IF(O150="","",(1/'Metadata'!$B$5)^(O150-1))</x:f>
        <x:v>316.22776601683796</x:v>
      </x:c>
      <x:c r="U150" s="31" t="n">
        <x:f>IF(T150="","",I150*T150)</x:f>
        <x:v>15517.621164704165</x:v>
      </x:c>
    </x:row>
    <x:row r="151" ht="18" customHeight="1">
      <x:c r="A151" s="24" t="str">
        <x:v>EEZ_962</x:v>
      </x:c>
      <x:c r="B151" s="24" t="str">
        <x:v>Spain (mainland, Med and Gulf of Cadiz)</x:v>
      </x:c>
      <x:c r="C151" s="24" t="str">
        <x:v>EEZ</x:v>
      </x:c>
      <x:c r="D151" s="30" t="n">
        <x:v>2019</x:v>
      </x:c>
      <x:c r="E151" s="24" t="str">
        <x:v>Portunidae</x:v>
      </x:c>
      <x:c r="F151" s="24" t="str">
        <x:v>Swimming crabs</x:v>
      </x:c>
      <x:c r="G151" s="24" t="str">
        <x:v>Lobsters, crabs</x:v>
      </x:c>
      <x:c r="H151" s="24" t="str">
        <x:v>Crustaceans</x:v>
      </x:c>
      <x:c r="I151" s="31" t="n">
        <x:v>46.9959187311</x:v>
      </x:c>
      <x:c r="J151" s="31" t="n">
        <x:v>42.7311501585</x:v>
      </x:c>
      <x:c r="K151" s="31" t="n">
        <x:v>4.2647685726</x:v>
      </x:c>
      <x:c r="L151" s="31" t="n">
        <x:v>42.2410575514</x:v>
      </x:c>
      <x:c r="M151" s="31" t="n">
        <x:v>4.754861179700001</x:v>
      </x:c>
      <x:c r="N151" s="24" t="str">
        <x:v>portunidae</x:v>
      </x:c>
      <x:c r="O151" s="32" t="n">
        <x:v>3.56</x:v>
      </x:c>
      <x:c r="P151" s="24" t="str">
        <x:v>exact_sea_around_us</x:v>
      </x:c>
      <x:c r="Q151" s="32" t="str">
        <x:v>Sea Around Us exploited organisms</x:v>
      </x:c>
      <x:c r="R151" s="24" t="str">
        <x:v>high</x:v>
      </x:c>
      <x:c r="S151" s="24" t="str">
        <x:v>Portunidae</x:v>
      </x:c>
      <x:c r="T151" s="32" t="n">
        <x:f>IF(O151="","",(1/'Metadata'!$B$5)^(O151-1))</x:f>
        <x:v>363.0780547701014</x:v>
      </x:c>
      <x:c r="U151" s="31" t="n">
        <x:f>IF(T151="","",I151*T151)</x:f>
        <x:v>17063.18675502156</x:v>
      </x:c>
    </x:row>
    <x:row r="152" ht="18" customHeight="1">
      <x:c r="A152" s="24" t="str">
        <x:v>EEZ_962</x:v>
      </x:c>
      <x:c r="B152" s="24" t="str">
        <x:v>Spain (mainland, Med and Gulf of Cadiz)</x:v>
      </x:c>
      <x:c r="C152" s="24" t="str">
        <x:v>EEZ</x:v>
      </x:c>
      <x:c r="D152" s="30" t="n">
        <x:v>2019</x:v>
      </x:c>
      <x:c r="E152" s="24" t="str">
        <x:v>Solea</x:v>
      </x:c>
      <x:c r="F152" s="24" t="str">
        <x:v>Soles</x:v>
      </x:c>
      <x:c r="G152" s="24" t="str">
        <x:v>Small to medium flatfishes (&lt;90 cm)</x:v>
      </x:c>
      <x:c r="H152" s="24" t="str">
        <x:v>Flatfishes</x:v>
      </x:c>
      <x:c r="I152" s="31" t="n">
        <x:v>46.914915377700005</x:v>
      </x:c>
      <x:c r="J152" s="31" t="n">
        <x:v>43.7600511357</x:v>
      </x:c>
      <x:c r="K152" s="31" t="n">
        <x:v>3.154864242</x:v>
      </x:c>
      <x:c r="L152" s="31" t="n">
        <x:v>32.8855731397</x:v>
      </x:c>
      <x:c r="M152" s="31" t="n">
        <x:v>14.029342238000002</x:v>
      </x:c>
      <x:c r="N152" s="24" t="str">
        <x:v>solea</x:v>
      </x:c>
      <x:c r="O152" s="32" t="n">
        <x:v>3.13</x:v>
      </x:c>
      <x:c r="P152" s="24" t="str">
        <x:v>exact_sea_around_us</x:v>
      </x:c>
      <x:c r="Q152" s="32" t="str">
        <x:v>Sea Around Us exploited organisms</x:v>
      </x:c>
      <x:c r="R152" s="24" t="str">
        <x:v>high</x:v>
      </x:c>
      <x:c r="S152" s="24" t="str">
        <x:v>Solea</x:v>
      </x:c>
      <x:c r="T152" s="32" t="n">
        <x:f>IF(O152="","",(1/'Metadata'!$B$5)^(O152-1))</x:f>
        <x:v>134.89628825916532</x:v>
      </x:c>
      <x:c r="U152" s="31" t="n">
        <x:f>IF(T152="","",I152*T152)</x:f>
        <x:v>6328.647948444567</x:v>
      </x:c>
    </x:row>
    <x:row r="153" ht="18" customHeight="1">
      <x:c r="A153" s="24" t="str">
        <x:v>EEZ_962</x:v>
      </x:c>
      <x:c r="B153" s="24" t="str">
        <x:v>Spain (mainland, Med and Gulf of Cadiz)</x:v>
      </x:c>
      <x:c r="C153" s="24" t="str">
        <x:v>EEZ</x:v>
      </x:c>
      <x:c r="D153" s="30" t="n">
        <x:v>2019</x:v>
      </x:c>
      <x:c r="E153" s="24" t="str">
        <x:v>Gobius niger</x:v>
      </x:c>
      <x:c r="F153" s="24" t="str">
        <x:v>Black goby</x:v>
      </x:c>
      <x:c r="G153" s="24" t="str">
        <x:v>Small demersals (&lt;30 cm)</x:v>
      </x:c>
      <x:c r="H153" s="24" t="str">
        <x:v>Perch-likes</x:v>
      </x:c>
      <x:c r="I153" s="31" t="n">
        <x:v>42.6651254192</x:v>
      </x:c>
      <x:c r="J153" s="31" t="n">
        <x:v>28.8613968471</x:v>
      </x:c>
      <x:c r="K153" s="31" t="n">
        <x:v>13.8037285721</x:v>
      </x:c>
      <x:c r="L153" s="31" t="n">
        <x:v>26.164482687</x:v>
      </x:c>
      <x:c r="M153" s="31" t="n">
        <x:v>16.5006427322</x:v>
      </x:c>
      <x:c r="N153" s="24" t="str">
        <x:v>gobius niger</x:v>
      </x:c>
      <x:c r="O153" s="32" t="n">
        <x:v>3.31</x:v>
      </x:c>
      <x:c r="P153" s="24" t="str">
        <x:v>exact_2020_supplement</x:v>
      </x:c>
      <x:c r="Q153" s="32" t="str">
        <x:v>2020 supplement MeanTL</x:v>
      </x:c>
      <x:c r="R153" s="24" t="str">
        <x:v>high</x:v>
      </x:c>
      <x:c r="S153" s="24" t="str">
        <x:v>Gobius niger</x:v>
      </x:c>
      <x:c r="T153" s="32" t="n">
        <x:f>IF(O153="","",(1/'Metadata'!$B$5)^(O153-1))</x:f>
        <x:v>204.17379446695296</x:v>
      </x:c>
      <x:c r="U153" s="31" t="n">
        <x:f>IF(T153="","",I153*T153)</x:f>
        <x:v>8711.100548246512</x:v>
      </x:c>
    </x:row>
    <x:row r="154" ht="18" customHeight="1">
      <x:c r="A154" s="24" t="str">
        <x:v>EEZ_962</x:v>
      </x:c>
      <x:c r="B154" s="24" t="str">
        <x:v>Spain (mainland, Med and Gulf of Cadiz)</x:v>
      </x:c>
      <x:c r="C154" s="24" t="str">
        <x:v>EEZ</x:v>
      </x:c>
      <x:c r="D154" s="30" t="n">
        <x:v>2019</x:v>
      </x:c>
      <x:c r="E154" s="24" t="str">
        <x:v>Chelidonichthys lastoviza</x:v>
      </x:c>
      <x:c r="F154" s="24" t="str">
        <x:v>Streaked gurnard</x:v>
      </x:c>
      <x:c r="G154" s="24" t="str">
        <x:v>Medium demersals (30 - 89 cm)</x:v>
      </x:c>
      <x:c r="H154" s="24" t="str">
        <x:v>Scorpionfishes</x:v>
      </x:c>
      <x:c r="I154" s="31" t="n">
        <x:v>42.2967721832</x:v>
      </x:c>
      <x:c r="J154" s="31" t="n">
        <x:v>41.1853431173</x:v>
      </x:c>
      <x:c r="K154" s="31" t="n">
        <x:v>1.1114290659</x:v>
      </x:c>
      <x:c r="L154" s="31" t="n">
        <x:v>39.7647595582</x:v>
      </x:c>
      <x:c r="M154" s="31" t="n">
        <x:v>2.532012625</x:v>
      </x:c>
      <x:c r="N154" s="24" t="str">
        <x:v>chelidonichthys lastoviza</x:v>
      </x:c>
      <x:c r="O154" s="32" t="n">
        <x:v>3.49</x:v>
      </x:c>
      <x:c r="P154" s="24" t="str">
        <x:v>exact_sea_around_us</x:v>
      </x:c>
      <x:c r="Q154" s="32" t="str">
        <x:v>Sea Around Us exploited organisms</x:v>
      </x:c>
      <x:c r="R154" s="24" t="str">
        <x:v>high</x:v>
      </x:c>
      <x:c r="S154" s="24" t="str">
        <x:v>Chelidonichthys lastoviza</x:v>
      </x:c>
      <x:c r="T154" s="32" t="n">
        <x:f>IF(O154="","",(1/'Metadata'!$B$5)^(O154-1))</x:f>
        <x:v>309.0295432513592</x:v>
      </x:c>
      <x:c r="U154" s="31" t="n">
        <x:f>IF(T154="","",I154*T154)</x:f>
        <x:v>13070.95218878109</x:v>
      </x:c>
    </x:row>
    <x:row r="155" ht="18" customHeight="1">
      <x:c r="A155" s="24" t="str">
        <x:v>EEZ_962</x:v>
      </x:c>
      <x:c r="B155" s="24" t="str">
        <x:v>Spain (mainland, Med and Gulf of Cadiz)</x:v>
      </x:c>
      <x:c r="C155" s="24" t="str">
        <x:v>EEZ</x:v>
      </x:c>
      <x:c r="D155" s="30" t="n">
        <x:v>2019</x:v>
      </x:c>
      <x:c r="E155" s="24" t="str">
        <x:v>Scyliorhinus</x:v>
      </x:c>
      <x:c r="F155" s="24" t="str">
        <x:v>Catsharks</x:v>
      </x:c>
      <x:c r="G155" s="24" t="str">
        <x:v>Small to medium sharks (&lt;90 cm)</x:v>
      </x:c>
      <x:c r="H155" s="24" t="str">
        <x:v>Sharks &amp; rays</x:v>
      </x:c>
      <x:c r="I155" s="31" t="n">
        <x:v>41.9909264268</x:v>
      </x:c>
      <x:c r="J155" s="31" t="n">
        <x:v>22.9744828809</x:v>
      </x:c>
      <x:c r="K155" s="31" t="n">
        <x:v>19.0164435459</x:v>
      </x:c>
      <x:c r="L155" s="31" t="n">
        <x:v>13.6795346561</x:v>
      </x:c>
      <x:c r="M155" s="31" t="n">
        <x:v>28.3113917707</x:v>
      </x:c>
      <x:c r="N155" s="24" t="str">
        <x:v>scyliorhinus</x:v>
      </x:c>
      <x:c r="O155" s="32" t="n">
        <x:v>3.86</x:v>
      </x:c>
      <x:c r="P155" s="24" t="str">
        <x:v>exact_sea_around_us</x:v>
      </x:c>
      <x:c r="Q155" s="32" t="str">
        <x:v>Sea Around Us exploited organisms</x:v>
      </x:c>
      <x:c r="R155" s="24" t="str">
        <x:v>high</x:v>
      </x:c>
      <x:c r="S155" s="24" t="str">
        <x:v>Scyliorhinus</x:v>
      </x:c>
      <x:c r="T155" s="32" t="n">
        <x:f>IF(O155="","",(1/'Metadata'!$B$5)^(O155-1))</x:f>
        <x:v>724.4359600749899</x:v>
      </x:c>
      <x:c r="U155" s="31" t="n">
        <x:f>IF(T155="","",I155*T155)</x:f>
        <x:v>30419.737100437123</x:v>
      </x:c>
    </x:row>
    <x:row r="156" ht="18" customHeight="1">
      <x:c r="A156" s="24" t="str">
        <x:v>EEZ_962</x:v>
      </x:c>
      <x:c r="B156" s="24" t="str">
        <x:v>Spain (mainland, Med and Gulf of Cadiz)</x:v>
      </x:c>
      <x:c r="C156" s="24" t="str">
        <x:v>EEZ</x:v>
      </x:c>
      <x:c r="D156" s="30" t="n">
        <x:v>2019</x:v>
      </x:c>
      <x:c r="E156" s="24" t="str">
        <x:v>Spicara maena</x:v>
      </x:c>
      <x:c r="F156" s="24" t="str">
        <x:v>Blotched picarel</x:v>
      </x:c>
      <x:c r="G156" s="24" t="str">
        <x:v>Small demersals (&lt;30 cm)</x:v>
      </x:c>
      <x:c r="H156" s="24" t="str">
        <x:v>Perch-likes</x:v>
      </x:c>
      <x:c r="I156" s="31" t="n">
        <x:v>41.6439853544</x:v>
      </x:c>
      <x:c r="J156" s="31" t="n">
        <x:v>32.509232397</x:v>
      </x:c>
      <x:c r="K156" s="31" t="n">
        <x:v>9.1347529574</x:v>
      </x:c>
      <x:c r="L156" s="31" t="n">
        <x:v>31.1819740554</x:v>
      </x:c>
      <x:c r="M156" s="31" t="n">
        <x:v>10.462011299</x:v>
      </x:c>
      <x:c r="N156" s="24" t="str">
        <x:v>spicara maena</x:v>
      </x:c>
      <x:c r="O156" s="32" t="n">
        <x:v>4.15</x:v>
      </x:c>
      <x:c r="P156" s="24" t="str">
        <x:v>exact_2020_supplement</x:v>
      </x:c>
      <x:c r="Q156" s="32" t="str">
        <x:v>2020 supplement MeanTL</x:v>
      </x:c>
      <x:c r="R156" s="24" t="str">
        <x:v>high</x:v>
      </x:c>
      <x:c r="S156" s="24" t="str">
        <x:v>Spicara maena</x:v>
      </x:c>
      <x:c r="T156" s="32" t="n">
        <x:f>IF(O156="","",(1/'Metadata'!$B$5)^(O156-1))</x:f>
        <x:v>1412.5375446227554</x:v>
      </x:c>
      <x:c r="U156" s="31" t="n">
        <x:f>IF(T156="","",I156*T156)</x:f>
        <x:v>58823.69282081017</x:v>
      </x:c>
    </x:row>
    <x:row r="157" ht="18" customHeight="1">
      <x:c r="A157" s="24" t="str">
        <x:v>EEZ_962</x:v>
      </x:c>
      <x:c r="B157" s="24" t="str">
        <x:v>Spain (mainland, Med and Gulf of Cadiz)</x:v>
      </x:c>
      <x:c r="C157" s="24" t="str">
        <x:v>EEZ</x:v>
      </x:c>
      <x:c r="D157" s="30" t="n">
        <x:v>2019</x:v>
      </x:c>
      <x:c r="E157" s="24" t="str">
        <x:v>Balistes capriscus</x:v>
      </x:c>
      <x:c r="F157" s="24" t="str">
        <x:v>Grey triggerfish</x:v>
      </x:c>
      <x:c r="G157" s="24" t="str">
        <x:v>Medium benthopelagics (30 - 89 cm)</x:v>
      </x:c>
      <x:c r="H157" s="24" t="str">
        <x:v>Other fishes &amp; inverts</x:v>
      </x:c>
      <x:c r="I157" s="31" t="n">
        <x:v>41.1205743392</x:v>
      </x:c>
      <x:c r="J157" s="31" t="n">
        <x:v>34.445829343999996</x:v>
      </x:c>
      <x:c r="K157" s="31" t="n">
        <x:v>6.6747449952</x:v>
      </x:c>
      <x:c r="L157" s="31" t="n">
        <x:v>29.580615835</x:v>
      </x:c>
      <x:c r="M157" s="31" t="n">
        <x:v>11.5399585042</x:v>
      </x:c>
      <x:c r="N157" s="24" t="str">
        <x:v>balistes capriscus</x:v>
      </x:c>
      <x:c r="O157" s="32" t="n">
        <x:v>4.06</x:v>
      </x:c>
      <x:c r="P157" s="24" t="str">
        <x:v>exact_2020_supplement</x:v>
      </x:c>
      <x:c r="Q157" s="32" t="str">
        <x:v>2020 supplement MeanTL</x:v>
      </x:c>
      <x:c r="R157" s="24" t="str">
        <x:v>high</x:v>
      </x:c>
      <x:c r="S157" s="24" t="str">
        <x:v>Balistes capriscus</x:v>
      </x:c>
      <x:c r="T157" s="32" t="n">
        <x:f>IF(O157="","",(1/'Metadata'!$B$5)^(O157-1))</x:f>
        <x:v>1148.1536214968817</x:v>
      </x:c>
      <x:c r="U157" s="31" t="n">
        <x:f>IF(T157="","",I157*T157)</x:f>
        <x:v>47212.73634558422</x:v>
      </x:c>
    </x:row>
    <x:row r="158" ht="18" customHeight="1">
      <x:c r="A158" s="24" t="str">
        <x:v>EEZ_962</x:v>
      </x:c>
      <x:c r="B158" s="24" t="str">
        <x:v>Spain (mainland, Med and Gulf of Cadiz)</x:v>
      </x:c>
      <x:c r="C158" s="24" t="str">
        <x:v>EEZ</x:v>
      </x:c>
      <x:c r="D158" s="30" t="n">
        <x:v>2019</x:v>
      </x:c>
      <x:c r="E158" s="24" t="str">
        <x:v>Ommastrephidae</x:v>
      </x:c>
      <x:c r="F158" s="24" t="str">
        <x:v>Arrow squids</x:v>
      </x:c>
      <x:c r="G158" s="24" t="str">
        <x:v>Cephalopods</x:v>
      </x:c>
      <x:c r="H158" s="24" t="str">
        <x:v>Other fishes &amp; inverts</x:v>
      </x:c>
      <x:c r="I158" s="31" t="n">
        <x:v>38.796963560799995</x:v>
      </x:c>
      <x:c r="J158" s="31" t="n">
        <x:v>26.257866698199997</x:v>
      </x:c>
      <x:c r="K158" s="31" t="n">
        <x:v>12.5390968626</x:v>
      </x:c>
      <x:c r="L158" s="31" t="n">
        <x:v>23.826676212099997</x:v>
      </x:c>
      <x:c r="M158" s="31" t="n">
        <x:v>14.9702873487</x:v>
      </x:c>
      <x:c r="N158" s="24" t="str">
        <x:v>ommastrephidae</x:v>
      </x:c>
      <x:c r="O158" s="32" t="n">
        <x:v>4.09</x:v>
      </x:c>
      <x:c r="P158" s="24" t="str">
        <x:v>exact_sea_around_us</x:v>
      </x:c>
      <x:c r="Q158" s="32" t="str">
        <x:v>Sea Around Us exploited organisms</x:v>
      </x:c>
      <x:c r="R158" s="24" t="str">
        <x:v>high</x:v>
      </x:c>
      <x:c r="S158" s="24" t="str">
        <x:v>Ommastrephidae</x:v>
      </x:c>
      <x:c r="T158" s="32" t="n">
        <x:f>IF(O158="","",(1/'Metadata'!$B$5)^(O158-1))</x:f>
        <x:v>1230.268770812381</x:v>
      </x:c>
      <x:c r="U158" s="31" t="n">
        <x:f>IF(T158="","",I158*T158)</x:f>
        <x:v>47730.69267119815</x:v>
      </x:c>
    </x:row>
    <x:row r="159" ht="18" customHeight="1">
      <x:c r="A159" s="24" t="str">
        <x:v>EEZ_962</x:v>
      </x:c>
      <x:c r="B159" s="24" t="str">
        <x:v>Spain (mainland, Med and Gulf of Cadiz)</x:v>
      </x:c>
      <x:c r="C159" s="24" t="str">
        <x:v>EEZ</x:v>
      </x:c>
      <x:c r="D159" s="30" t="n">
        <x:v>2019</x:v>
      </x:c>
      <x:c r="E159" s="24" t="str">
        <x:v>Eutrigla gurnardus</x:v>
      </x:c>
      <x:c r="F159" s="24" t="str">
        <x:v>Grey gurnard</x:v>
      </x:c>
      <x:c r="G159" s="24" t="str">
        <x:v>Medium demersals (30 - 89 cm)</x:v>
      </x:c>
      <x:c r="H159" s="24" t="str">
        <x:v>Scorpionfishes</x:v>
      </x:c>
      <x:c r="I159" s="31" t="n">
        <x:v>38.5081188052</x:v>
      </x:c>
      <x:c r="J159" s="31" t="n">
        <x:v>36.1727925926</x:v>
      </x:c>
      <x:c r="K159" s="31" t="n">
        <x:v>2.3353262126</x:v>
      </x:c>
      <x:c r="L159" s="31" t="n">
        <x:v>34.5214372146</x:v>
      </x:c>
      <x:c r="M159" s="31" t="n">
        <x:v>3.9866815906</x:v>
      </x:c>
      <x:c r="N159" s="24" t="str">
        <x:v>eutrigla gurnardus</x:v>
      </x:c>
      <x:c r="O159" s="32" t="n">
        <x:v>3.87</x:v>
      </x:c>
      <x:c r="P159" s="24" t="str">
        <x:v>exact_2020_supplement</x:v>
      </x:c>
      <x:c r="Q159" s="32" t="str">
        <x:v>2020 supplement MeanTL</x:v>
      </x:c>
      <x:c r="R159" s="24" t="str">
        <x:v>high</x:v>
      </x:c>
      <x:c r="S159" s="24" t="str">
        <x:v>Eutrigla gurnardus</x:v>
      </x:c>
      <x:c r="T159" s="32" t="n">
        <x:f>IF(O159="","",(1/'Metadata'!$B$5)^(O159-1))</x:f>
        <x:v>741.3102413009177</x:v>
      </x:c>
      <x:c r="U159" s="31" t="n">
        <x:f>IF(T159="","",I159*T159)</x:f>
        <x:v>28546.462843527217</x:v>
      </x:c>
    </x:row>
    <x:row r="160" ht="18" customHeight="1">
      <x:c r="A160" s="24" t="str">
        <x:v>EEZ_962</x:v>
      </x:c>
      <x:c r="B160" s="24" t="str">
        <x:v>Spain (mainland, Med and Gulf of Cadiz)</x:v>
      </x:c>
      <x:c r="C160" s="24" t="str">
        <x:v>EEZ</x:v>
      </x:c>
      <x:c r="D160" s="30" t="n">
        <x:v>2019</x:v>
      </x:c>
      <x:c r="E160" s="24" t="str">
        <x:v>Donax trunculus</x:v>
      </x:c>
      <x:c r="F160" s="24" t="str">
        <x:v>Truncate donax</x:v>
      </x:c>
      <x:c r="G160" s="24" t="str">
        <x:v>Other demersal invertebrates</x:v>
      </x:c>
      <x:c r="H160" s="24" t="str">
        <x:v>Molluscs</x:v>
      </x:c>
      <x:c r="I160" s="31" t="n">
        <x:v>36.4356676727</x:v>
      </x:c>
      <x:c r="J160" s="31" t="n">
        <x:v>32.5516394376</x:v>
      </x:c>
      <x:c r="K160" s="31" t="n">
        <x:v>3.8840282351</x:v>
      </x:c>
      <x:c r="L160" s="31" t="n">
        <x:v>32.5307285844</x:v>
      </x:c>
      <x:c r="M160" s="31" t="n">
        <x:v>3.9049390883</x:v>
      </x:c>
      <x:c r="N160" s="24" t="str">
        <x:v>donax trunculus</x:v>
      </x:c>
      <x:c r="O160" s="32" t="n">
        <x:v>2</x:v>
      </x:c>
      <x:c r="P160" s="24" t="str">
        <x:v>exact_sea_around_us</x:v>
      </x:c>
      <x:c r="Q160" s="32" t="str">
        <x:v>Sea Around Us exploited organisms</x:v>
      </x:c>
      <x:c r="R160" s="24" t="str">
        <x:v>high</x:v>
      </x:c>
      <x:c r="S160" s="24" t="str">
        <x:v>Donax trunculus</x:v>
      </x:c>
      <x:c r="T160" s="32" t="n">
        <x:f>IF(O160="","",(1/'Metadata'!$B$5)^(O160-1))</x:f>
        <x:v>10</x:v>
      </x:c>
      <x:c r="U160" s="31" t="n">
        <x:f>IF(T160="","",I160*T160)</x:f>
        <x:v>364.356676727</x:v>
      </x:c>
    </x:row>
    <x:row r="161" ht="18" customHeight="1">
      <x:c r="A161" s="24" t="str">
        <x:v>EEZ_962</x:v>
      </x:c>
      <x:c r="B161" s="24" t="str">
        <x:v>Spain (mainland, Med and Gulf of Cadiz)</x:v>
      </x:c>
      <x:c r="C161" s="24" t="str">
        <x:v>EEZ</x:v>
      </x:c>
      <x:c r="D161" s="30" t="n">
        <x:v>2019</x:v>
      </x:c>
      <x:c r="E161" s="24" t="str">
        <x:v>Torpedo marmorata</x:v>
      </x:c>
      <x:c r="F161" s="24" t="str">
        <x:v>Marbled electric ray</x:v>
      </x:c>
      <x:c r="G161" s="24" t="str">
        <x:v>Large rays (&gt;=90 cm)</x:v>
      </x:c>
      <x:c r="H161" s="24" t="str">
        <x:v>Sharks &amp; rays</x:v>
      </x:c>
      <x:c r="I161" s="31" t="n">
        <x:v>35.5782966628</x:v>
      </x:c>
      <x:c r="J161" s="31" t="n">
        <x:v>29.235561381700002</x:v>
      </x:c>
      <x:c r="K161" s="31" t="n">
        <x:v>6.3427352811</x:v>
      </x:c>
      <x:c r="L161" s="31" t="n">
        <x:v>26.5036168701</x:v>
      </x:c>
      <x:c r="M161" s="31" t="n">
        <x:v>9.074679792700001</x:v>
      </x:c>
      <x:c r="N161" s="24" t="str">
        <x:v>torpedo marmorata</x:v>
      </x:c>
      <x:c r="O161" s="32" t="n">
        <x:v>4.5</x:v>
      </x:c>
      <x:c r="P161" s="24" t="str">
        <x:v>exact_2020_supplement</x:v>
      </x:c>
      <x:c r="Q161" s="32" t="str">
        <x:v>2020 supplement MeanTL</x:v>
      </x:c>
      <x:c r="R161" s="24" t="str">
        <x:v>high</x:v>
      </x:c>
      <x:c r="S161" s="24" t="str">
        <x:v>Torpedo marmorata</x:v>
      </x:c>
      <x:c r="T161" s="32" t="n">
        <x:f>IF(O161="","",(1/'Metadata'!$B$5)^(O161-1))</x:f>
        <x:v>3162.2776601683795</x:v>
      </x:c>
      <x:c r="U161" s="31" t="n">
        <x:f>IF(T161="","",I161*T161)</x:f>
        <x:v>112508.45272361564</x:v>
      </x:c>
    </x:row>
    <x:row r="162" ht="18" customHeight="1">
      <x:c r="A162" s="24" t="str">
        <x:v>EEZ_962</x:v>
      </x:c>
      <x:c r="B162" s="24" t="str">
        <x:v>Spain (mainland, Med and Gulf of Cadiz)</x:v>
      </x:c>
      <x:c r="C162" s="24" t="str">
        <x:v>EEZ</x:v>
      </x:c>
      <x:c r="D162" s="30" t="n">
        <x:v>2019</x:v>
      </x:c>
      <x:c r="E162" s="24" t="str">
        <x:v>Plesionika martia</x:v>
      </x:c>
      <x:c r="F162" s="24" t="str">
        <x:v>Golden shrimp</x:v>
      </x:c>
      <x:c r="G162" s="24" t="str">
        <x:v>Shrimps</x:v>
      </x:c>
      <x:c r="H162" s="24" t="str">
        <x:v>Crustaceans</x:v>
      </x:c>
      <x:c r="I162" s="31" t="n">
        <x:v>35.5243403035</x:v>
      </x:c>
      <x:c r="J162" s="31" t="n">
        <x:v>29.374271511899998</x:v>
      </x:c>
      <x:c r="K162" s="31" t="n">
        <x:v>6.1500687916</x:v>
      </x:c>
      <x:c r="L162" s="31" t="n">
        <x:v>27.093072306899998</x:v>
      </x:c>
      <x:c r="M162" s="31" t="n">
        <x:v>8.431267996599999</x:v>
      </x:c>
      <x:c r="N162" s="24" t="str">
        <x:v>plesionika martia</x:v>
      </x:c>
      <x:c r="O162" s="32" t="n">
        <x:v>3.13</x:v>
      </x:c>
      <x:c r="P162" s="24" t="str">
        <x:v>exact_2020_supplement</x:v>
      </x:c>
      <x:c r="Q162" s="32" t="str">
        <x:v>2020 supplement MeanTL</x:v>
      </x:c>
      <x:c r="R162" s="24" t="str">
        <x:v>high</x:v>
      </x:c>
      <x:c r="S162" s="24" t="str">
        <x:v>Plesionika martia</x:v>
      </x:c>
      <x:c r="T162" s="32" t="n">
        <x:f>IF(O162="","",(1/'Metadata'!$B$5)^(O162-1))</x:f>
        <x:v>134.89628825916532</x:v>
      </x:c>
      <x:c r="U162" s="31" t="n">
        <x:f>IF(T162="","",I162*T162)</x:f>
        <x:v>4792.10164979762</x:v>
      </x:c>
    </x:row>
    <x:row r="163" ht="18" customHeight="1">
      <x:c r="A163" s="24" t="str">
        <x:v>EEZ_962</x:v>
      </x:c>
      <x:c r="B163" s="24" t="str">
        <x:v>Spain (mainland, Med and Gulf of Cadiz)</x:v>
      </x:c>
      <x:c r="C163" s="24" t="str">
        <x:v>EEZ</x:v>
      </x:c>
      <x:c r="D163" s="30" t="n">
        <x:v>2019</x:v>
      </x:c>
      <x:c r="E163" s="24" t="str">
        <x:v>Caranx rhonchus</x:v>
      </x:c>
      <x:c r="F163" s="24" t="str">
        <x:v>False scad</x:v>
      </x:c>
      <x:c r="G163" s="24" t="str">
        <x:v>Medium benthopelagics (30 - 89 cm)</x:v>
      </x:c>
      <x:c r="H163" s="24" t="str">
        <x:v>Perch-likes</x:v>
      </x:c>
      <x:c r="I163" s="31" t="n">
        <x:v>34.5732864017</x:v>
      </x:c>
      <x:c r="J163" s="31" t="n">
        <x:v>30.6778905323</x:v>
      </x:c>
      <x:c r="K163" s="31" t="n">
        <x:v>3.8953958694</x:v>
      </x:c>
      <x:c r="L163" s="31" t="n">
        <x:v>29.6429502289</x:v>
      </x:c>
      <x:c r="M163" s="31" t="n">
        <x:v>4.9303361728</x:v>
      </x:c>
      <x:c r="N163" s="24" t="str">
        <x:v>caranx rhonchus</x:v>
      </x:c>
      <x:c r="O163" s="32" t="n">
        <x:v>3.6</x:v>
      </x:c>
      <x:c r="P163" s="24" t="str">
        <x:v>exact_2020_supplement</x:v>
      </x:c>
      <x:c r="Q163" s="32" t="str">
        <x:v>2020 supplement MeanTL</x:v>
      </x:c>
      <x:c r="R163" s="24" t="str">
        <x:v>high</x:v>
      </x:c>
      <x:c r="S163" s="24" t="str">
        <x:v>Caranx rhonchus</x:v>
      </x:c>
      <x:c r="T163" s="32" t="n">
        <x:f>IF(O163="","",(1/'Metadata'!$B$5)^(O163-1))</x:f>
        <x:v>398.1071705534973</x:v>
      </x:c>
      <x:c r="U163" s="31" t="n">
        <x:f>IF(T163="","",I163*T163)</x:f>
        <x:v>13763.873226116493</x:v>
      </x:c>
    </x:row>
    <x:row r="164" ht="18" customHeight="1">
      <x:c r="A164" s="24" t="str">
        <x:v>EEZ_962</x:v>
      </x:c>
      <x:c r="B164" s="24" t="str">
        <x:v>Spain (mainland, Med and Gulf of Cadiz)</x:v>
      </x:c>
      <x:c r="C164" s="24" t="str">
        <x:v>EEZ</x:v>
      </x:c>
      <x:c r="D164" s="30" t="n">
        <x:v>2019</x:v>
      </x:c>
      <x:c r="E164" s="24" t="str">
        <x:v>Trachyrincus scabrus</x:v>
      </x:c>
      <x:c r="F164" s="24" t="str">
        <x:v>Roughsnout grenadier</x:v>
      </x:c>
      <x:c r="G164" s="24" t="str">
        <x:v>Medium bathypelagics (30 - 89 cm)</x:v>
      </x:c>
      <x:c r="H164" s="24" t="str">
        <x:v>Cod-likes</x:v>
      </x:c>
      <x:c r="I164" s="31" t="n">
        <x:v>33.0413613995</x:v>
      </x:c>
      <x:c r="J164" s="31" t="n">
        <x:v>26.3968029448</x:v>
      </x:c>
      <x:c r="K164" s="31" t="n">
        <x:v>6.6445584547</x:v>
      </x:c>
      <x:c r="L164" s="31" t="n">
        <x:v>25.146981981</x:v>
      </x:c>
      <x:c r="M164" s="31" t="n">
        <x:v>7.8943794185</x:v>
      </x:c>
      <x:c r="N164" s="24" t="str">
        <x:v>trachyrincus scabrus</x:v>
      </x:c>
      <x:c r="O164" s="32" t="n">
        <x:v>3.64</x:v>
      </x:c>
      <x:c r="P164" s="24" t="str">
        <x:v>exact_2020_supplement</x:v>
      </x:c>
      <x:c r="Q164" s="32" t="str">
        <x:v>2020 supplement MeanTL</x:v>
      </x:c>
      <x:c r="R164" s="24" t="str">
        <x:v>high</x:v>
      </x:c>
      <x:c r="S164" s="24" t="str">
        <x:v>Trachyrincus scabrus</x:v>
      </x:c>
      <x:c r="T164" s="32" t="n">
        <x:f>IF(O164="","",(1/'Metadata'!$B$5)^(O164-1))</x:f>
        <x:v>436.5158322401661</x:v>
      </x:c>
      <x:c r="U164" s="31" t="n">
        <x:f>IF(T164="","",I164*T164)</x:f>
        <x:v>14423.07736965084</x:v>
      </x:c>
    </x:row>
    <x:row r="165" ht="18" customHeight="1">
      <x:c r="A165" s="24" t="str">
        <x:v>EEZ_962</x:v>
      </x:c>
      <x:c r="B165" s="24" t="str">
        <x:v>Spain (mainland, Med and Gulf of Cadiz)</x:v>
      </x:c>
      <x:c r="C165" s="24" t="str">
        <x:v>EEZ</x:v>
      </x:c>
      <x:c r="D165" s="30" t="n">
        <x:v>2019</x:v>
      </x:c>
      <x:c r="E165" s="24" t="str">
        <x:v>Dentex macrophthalmus</x:v>
      </x:c>
      <x:c r="F165" s="24" t="str">
        <x:v>Large-eye dentex</x:v>
      </x:c>
      <x:c r="G165" s="24" t="str">
        <x:v>Medium benthopelagics (30 - 89 cm)</x:v>
      </x:c>
      <x:c r="H165" s="24" t="str">
        <x:v>Perch-likes</x:v>
      </x:c>
      <x:c r="I165" s="31" t="n">
        <x:v>32.3805014364</x:v>
      </x:c>
      <x:c r="J165" s="31" t="n">
        <x:v>31.7545675537</x:v>
      </x:c>
      <x:c r="K165" s="31" t="n">
        <x:v>0.6259338827</x:v>
      </x:c>
      <x:c r="L165" s="31" t="n">
        <x:v>24.1086827456</x:v>
      </x:c>
      <x:c r="M165" s="31" t="n">
        <x:v>8.2718186908</x:v>
      </x:c>
      <x:c r="N165" s="24" t="str">
        <x:v>dentex macrophthalmus</x:v>
      </x:c>
      <x:c r="O165" s="32" t="n">
        <x:v>3.52</x:v>
      </x:c>
      <x:c r="P165" s="24" t="str">
        <x:v>exact_2020_supplement</x:v>
      </x:c>
      <x:c r="Q165" s="32" t="str">
        <x:v>2020 supplement MeanTL</x:v>
      </x:c>
      <x:c r="R165" s="24" t="str">
        <x:v>high</x:v>
      </x:c>
      <x:c r="S165" s="24" t="str">
        <x:v>Dentex macrophthalmus</x:v>
      </x:c>
      <x:c r="T165" s="32" t="n">
        <x:f>IF(O165="","",(1/'Metadata'!$B$5)^(O165-1))</x:f>
        <x:v>331.1311214825911</x:v>
      </x:c>
      <x:c r="U165" s="31" t="n">
        <x:f>IF(T165="","",I165*T165)</x:f>
        <x:v>10722.191754803784</x:v>
      </x:c>
    </x:row>
    <x:row r="166" ht="18" customHeight="1">
      <x:c r="A166" s="24" t="str">
        <x:v>EEZ_962</x:v>
      </x:c>
      <x:c r="B166" s="24" t="str">
        <x:v>Spain (mainland, Med and Gulf of Cadiz)</x:v>
      </x:c>
      <x:c r="C166" s="24" t="str">
        <x:v>EEZ</x:v>
      </x:c>
      <x:c r="D166" s="30" t="n">
        <x:v>2019</x:v>
      </x:c>
      <x:c r="E166" s="24" t="str">
        <x:v>Atherina boyeri</x:v>
      </x:c>
      <x:c r="F166" s="24" t="str">
        <x:v>Big-scale sand smelt</x:v>
      </x:c>
      <x:c r="G166" s="24" t="str">
        <x:v>Small demersals (&lt;30 cm)</x:v>
      </x:c>
      <x:c r="H166" s="24" t="str">
        <x:v>Other fishes &amp; inverts</x:v>
      </x:c>
      <x:c r="I166" s="31" t="n">
        <x:v>31.853850854</x:v>
      </x:c>
      <x:c r="J166" s="31" t="n">
        <x:v>24.9323067654</x:v>
      </x:c>
      <x:c r="K166" s="31" t="n">
        <x:v>6.9215440886</x:v>
      </x:c>
      <x:c r="L166" s="31" t="n">
        <x:v>23.595602414200002</x:v>
      </x:c>
      <x:c r="M166" s="31" t="n">
        <x:v>8.258248439800001</x:v>
      </x:c>
      <x:c r="N166" s="24" t="str">
        <x:v>atherina boyeri</x:v>
      </x:c>
      <x:c r="O166" s="32" t="n">
        <x:v>3.22</x:v>
      </x:c>
      <x:c r="P166" s="24" t="str">
        <x:v>exact_2020_supplement</x:v>
      </x:c>
      <x:c r="Q166" s="32" t="str">
        <x:v>2020 supplement MeanTL</x:v>
      </x:c>
      <x:c r="R166" s="24" t="str">
        <x:v>high</x:v>
      </x:c>
      <x:c r="S166" s="24" t="str">
        <x:v>Atherina boyeri</x:v>
      </x:c>
      <x:c r="T166" s="32" t="n">
        <x:f>IF(O166="","",(1/'Metadata'!$B$5)^(O166-1))</x:f>
        <x:v>165.95869074375614</x:v>
      </x:c>
      <x:c r="U166" s="31" t="n">
        <x:f>IF(T166="","",I166*T166)</x:f>
        <x:v>5286.423382876718</x:v>
      </x:c>
    </x:row>
    <x:row r="167" ht="18" customHeight="1">
      <x:c r="A167" s="24" t="str">
        <x:v>EEZ_962</x:v>
      </x:c>
      <x:c r="B167" s="24" t="str">
        <x:v>Spain (mainland, Med and Gulf of Cadiz)</x:v>
      </x:c>
      <x:c r="C167" s="24" t="str">
        <x:v>EEZ</x:v>
      </x:c>
      <x:c r="D167" s="30" t="n">
        <x:v>2019</x:v>
      </x:c>
      <x:c r="E167" s="24" t="str">
        <x:v>Arnoglossus imperialis</x:v>
      </x:c>
      <x:c r="F167" s="24" t="str">
        <x:v>Imperial scaldfish</x:v>
      </x:c>
      <x:c r="G167" s="24" t="str">
        <x:v>Small to medium flatfishes (&lt;90 cm)</x:v>
      </x:c>
      <x:c r="H167" s="24" t="str">
        <x:v>Flatfishes</x:v>
      </x:c>
      <x:c r="I167" s="31" t="n">
        <x:v>31.545673063000002</x:v>
      </x:c>
      <x:c r="J167" s="31" t="n">
        <x:v>25.7216561026</x:v>
      </x:c>
      <x:c r="K167" s="31" t="n">
        <x:v>5.8240169604</x:v>
      </x:c>
      <x:c r="L167" s="31" t="n">
        <x:v>24.6321995962</x:v>
      </x:c>
      <x:c r="M167" s="31" t="n">
        <x:v>6.9134734668</x:v>
      </x:c>
      <x:c r="N167" s="24" t="str">
        <x:v>arnoglossus imperialis</x:v>
      </x:c>
      <x:c r="O167" s="32" t="n">
        <x:v>3.84</x:v>
      </x:c>
      <x:c r="P167" s="24" t="str">
        <x:v>exact_2020_supplement</x:v>
      </x:c>
      <x:c r="Q167" s="32" t="str">
        <x:v>2020 supplement MeanTL</x:v>
      </x:c>
      <x:c r="R167" s="24" t="str">
        <x:v>high</x:v>
      </x:c>
      <x:c r="S167" s="24" t="str">
        <x:v>Arnoglossus imperialis</x:v>
      </x:c>
      <x:c r="T167" s="32" t="n">
        <x:f>IF(O167="","",(1/'Metadata'!$B$5)^(O167-1))</x:f>
        <x:v>691.8309709189363</x:v>
      </x:c>
      <x:c r="U167" s="31" t="n">
        <x:f>IF(T167="","",I167*T167)</x:f>
        <x:v>21824.273623466626</x:v>
      </x:c>
    </x:row>
    <x:row r="168" ht="18" customHeight="1">
      <x:c r="A168" s="24" t="str">
        <x:v>EEZ_962</x:v>
      </x:c>
      <x:c r="B168" s="24" t="str">
        <x:v>Spain (mainland, Med and Gulf of Cadiz)</x:v>
      </x:c>
      <x:c r="C168" s="24" t="str">
        <x:v>EEZ</x:v>
      </x:c>
      <x:c r="D168" s="30" t="n">
        <x:v>2019</x:v>
      </x:c>
      <x:c r="E168" s="24" t="str">
        <x:v>Maja squinado</x:v>
      </x:c>
      <x:c r="F168" s="24" t="str">
        <x:v>Spinous spider crab</x:v>
      </x:c>
      <x:c r="G168" s="24" t="str">
        <x:v>Lobsters, crabs</x:v>
      </x:c>
      <x:c r="H168" s="24" t="str">
        <x:v>Crustaceans</x:v>
      </x:c>
      <x:c r="I168" s="31" t="n">
        <x:v>30.639952404</x:v>
      </x:c>
      <x:c r="J168" s="31" t="n">
        <x:v>26.6573151136</x:v>
      </x:c>
      <x:c r="K168" s="31" t="n">
        <x:v>3.9826372904</x:v>
      </x:c>
      <x:c r="L168" s="31" t="n">
        <x:v>16.3208916493</x:v>
      </x:c>
      <x:c r="M168" s="31" t="n">
        <x:v>14.3190607547</x:v>
      </x:c>
      <x:c r="N168" s="24" t="str">
        <x:v>maja squinado</x:v>
      </x:c>
      <x:c r="O168" s="32" t="n">
        <x:v>2.94</x:v>
      </x:c>
      <x:c r="P168" s="24" t="str">
        <x:v>exact_2020_supplement</x:v>
      </x:c>
      <x:c r="Q168" s="32" t="str">
        <x:v>2020 supplement MeanTL</x:v>
      </x:c>
      <x:c r="R168" s="24" t="str">
        <x:v>high</x:v>
      </x:c>
      <x:c r="S168" s="24" t="str">
        <x:v>Maja squinado</x:v>
      </x:c>
      <x:c r="T168" s="32" t="n">
        <x:f>IF(O168="","",(1/'Metadata'!$B$5)^(O168-1))</x:f>
        <x:v>87.09635899560806</x:v>
      </x:c>
      <x:c r="U168" s="31" t="n">
        <x:f>IF(T168="","",I168*T168)</x:f>
        <x:v>2668.628294187128</x:v>
      </x:c>
    </x:row>
    <x:row r="169" ht="18" customHeight="1">
      <x:c r="A169" s="24" t="str">
        <x:v>EEZ_962</x:v>
      </x:c>
      <x:c r="B169" s="24" t="str">
        <x:v>Spain (mainland, Med and Gulf of Cadiz)</x:v>
      </x:c>
      <x:c r="C169" s="24" t="str">
        <x:v>EEZ</x:v>
      </x:c>
      <x:c r="D169" s="30" t="n">
        <x:v>2019</x:v>
      </x:c>
      <x:c r="E169" s="24" t="str">
        <x:v>Schedophilus ovalis</x:v>
      </x:c>
      <x:c r="F169" s="24" t="str">
        <x:v>Imperial blackfish</x:v>
      </x:c>
      <x:c r="G169" s="24" t="str">
        <x:v>Medium demersals (30 - 89 cm)</x:v>
      </x:c>
      <x:c r="H169" s="24" t="str">
        <x:v>Perch-likes</x:v>
      </x:c>
      <x:c r="I169" s="31" t="n">
        <x:v>30.091123310399997</x:v>
      </x:c>
      <x:c r="J169" s="31" t="n">
        <x:v>24.356185171499998</x:v>
      </x:c>
      <x:c r="K169" s="31" t="n">
        <x:v>5.7349381389</x:v>
      </x:c>
      <x:c r="L169" s="31" t="n">
        <x:v>19.7327356449</x:v>
      </x:c>
      <x:c r="M169" s="31" t="n">
        <x:v>10.358387665499999</x:v>
      </x:c>
      <x:c r="N169" s="24" t="str">
        <x:v>schedophilus ovalis</x:v>
      </x:c>
      <x:c r="O169" s="32" t="n">
        <x:v>3.54</x:v>
      </x:c>
      <x:c r="P169" s="24" t="str">
        <x:v>exact_2020_supplement</x:v>
      </x:c>
      <x:c r="Q169" s="32" t="str">
        <x:v>2020 supplement MeanTL</x:v>
      </x:c>
      <x:c r="R169" s="24" t="str">
        <x:v>high</x:v>
      </x:c>
      <x:c r="S169" s="24" t="str">
        <x:v>Schedophilus ovalis</x:v>
      </x:c>
      <x:c r="T169" s="32" t="n">
        <x:f>IF(O169="","",(1/'Metadata'!$B$5)^(O169-1))</x:f>
        <x:v>346.73685045253166</x:v>
      </x:c>
      <x:c r="U169" s="31" t="n">
        <x:f>IF(T169="","",I169*T169)</x:f>
        <x:v>10433.701323226853</x:v>
      </x:c>
    </x:row>
    <x:row r="170" ht="18" customHeight="1">
      <x:c r="A170" s="24" t="str">
        <x:v>EEZ_962</x:v>
      </x:c>
      <x:c r="B170" s="24" t="str">
        <x:v>Spain (mainland, Med and Gulf of Cadiz)</x:v>
      </x:c>
      <x:c r="C170" s="24" t="str">
        <x:v>EEZ</x:v>
      </x:c>
      <x:c r="D170" s="30" t="n">
        <x:v>2019</x:v>
      </x:c>
      <x:c r="E170" s="24" t="str">
        <x:v>Chelon ramada</x:v>
      </x:c>
      <x:c r="F170" s="24" t="str">
        <x:v>Thinlip grey mullet</x:v>
      </x:c>
      <x:c r="G170" s="24" t="str">
        <x:v>Medium pelagics (30 - 89 cm)</x:v>
      </x:c>
      <x:c r="H170" s="24" t="str">
        <x:v>Perch-likes</x:v>
      </x:c>
      <x:c r="I170" s="31" t="n">
        <x:v>29.8785316135</x:v>
      </x:c>
      <x:c r="J170" s="31" t="n">
        <x:v>26.1827031804</x:v>
      </x:c>
      <x:c r="K170" s="31" t="n">
        <x:v>3.6958284330999995</x:v>
      </x:c>
      <x:c r="L170" s="31" t="n">
        <x:v>25.31827879</x:v>
      </x:c>
      <x:c r="M170" s="31" t="n">
        <x:v>4.5602528235</x:v>
      </x:c>
      <x:c r="N170" s="24" t="str">
        <x:v>chelon ramada</x:v>
      </x:c>
      <x:c r="O170" s="32" t="n">
        <x:v>2.3</x:v>
      </x:c>
      <x:c r="P170" s="24" t="str">
        <x:v>exact_sea_around_us</x:v>
      </x:c>
      <x:c r="Q170" s="32" t="str">
        <x:v>Sea Around Us exploited organisms</x:v>
      </x:c>
      <x:c r="R170" s="24" t="str">
        <x:v>high</x:v>
      </x:c>
      <x:c r="S170" s="24" t="str">
        <x:v>Chelon ramada</x:v>
      </x:c>
      <x:c r="T170" s="32" t="n">
        <x:f>IF(O170="","",(1/'Metadata'!$B$5)^(O170-1))</x:f>
        <x:v>19.952623149688787</x:v>
      </x:c>
      <x:c r="U170" s="31" t="n">
        <x:f>IF(T170="","",I170*T170)</x:f>
        <x:v>596.1550815502284</x:v>
      </x:c>
    </x:row>
    <x:row r="171" ht="18" customHeight="1">
      <x:c r="A171" s="24" t="str">
        <x:v>EEZ_962</x:v>
      </x:c>
      <x:c r="B171" s="24" t="str">
        <x:v>Spain (mainland, Med and Gulf of Cadiz)</x:v>
      </x:c>
      <x:c r="C171" s="24" t="str">
        <x:v>EEZ</x:v>
      </x:c>
      <x:c r="D171" s="30" t="n">
        <x:v>2019</x:v>
      </x:c>
      <x:c r="E171" s="24" t="str">
        <x:v>Gobiidae</x:v>
      </x:c>
      <x:c r="F171" s="24" t="str">
        <x:v>Gobies</x:v>
      </x:c>
      <x:c r="G171" s="24" t="str">
        <x:v>Small reef assoc. fish (&lt;30 cm)</x:v>
      </x:c>
      <x:c r="H171" s="24" t="str">
        <x:v>Perch-likes</x:v>
      </x:c>
      <x:c r="I171" s="31" t="n">
        <x:v>28.903207615</x:v>
      </x:c>
      <x:c r="J171" s="31" t="n">
        <x:v>23.4612845103</x:v>
      </x:c>
      <x:c r="K171" s="31" t="n">
        <x:v>5.4419231047</x:v>
      </x:c>
      <x:c r="L171" s="31" t="n">
        <x:v>22.4463709645</x:v>
      </x:c>
      <x:c r="M171" s="31" t="n">
        <x:v>6.4568366505000006</x:v>
      </x:c>
      <x:c r="N171" s="24" t="str">
        <x:v>gobiidae</x:v>
      </x:c>
      <x:c r="O171" s="32" t="n">
        <x:v>3.11</x:v>
      </x:c>
      <x:c r="P171" s="24" t="str">
        <x:v>exact_sea_around_us</x:v>
      </x:c>
      <x:c r="Q171" s="32" t="str">
        <x:v>Sea Around Us exploited organisms</x:v>
      </x:c>
      <x:c r="R171" s="24" t="str">
        <x:v>high</x:v>
      </x:c>
      <x:c r="S171" s="24" t="str">
        <x:v>Gobiidae</x:v>
      </x:c>
      <x:c r="T171" s="32" t="n">
        <x:f>IF(O171="","",(1/'Metadata'!$B$5)^(O171-1))</x:f>
        <x:v>128.82495516931337</x:v>
      </x:c>
      <x:c r="U171" s="31" t="n">
        <x:f>IF(T171="","",I171*T171)</x:f>
        <x:v>3723.4544252517317</x:v>
      </x:c>
    </x:row>
    <x:row r="172" ht="18" customHeight="1">
      <x:c r="A172" s="24" t="str">
        <x:v>EEZ_962</x:v>
      </x:c>
      <x:c r="B172" s="24" t="str">
        <x:v>Spain (mainland, Med and Gulf of Cadiz)</x:v>
      </x:c>
      <x:c r="C172" s="24" t="str">
        <x:v>EEZ</x:v>
      </x:c>
      <x:c r="D172" s="30" t="n">
        <x:v>2019</x:v>
      </x:c>
      <x:c r="E172" s="24" t="str">
        <x:v>Phycis</x:v>
      </x:c>
      <x:c r="F172" s="24" t="str">
        <x:v>Gunnels, forkbeards</x:v>
      </x:c>
      <x:c r="G172" s="24" t="str">
        <x:v>Medium benthopelagics (30 - 89 cm)</x:v>
      </x:c>
      <x:c r="H172" s="24" t="str">
        <x:v>Cod-likes</x:v>
      </x:c>
      <x:c r="I172" s="31" t="n">
        <x:v>28.659218366700003</x:v>
      </x:c>
      <x:c r="J172" s="31" t="n">
        <x:v>24.9134452473</x:v>
      </x:c>
      <x:c r="K172" s="31" t="n">
        <x:v>3.7457731194000004</x:v>
      </x:c>
      <x:c r="L172" s="31" t="n">
        <x:v>21.958707155400003</x:v>
      </x:c>
      <x:c r="M172" s="31" t="n">
        <x:v>6.7005112113</x:v>
      </x:c>
      <x:c r="N172" s="24" t="str">
        <x:v>phycis</x:v>
      </x:c>
      <x:c r="O172" s="32" t="n">
        <x:v>3.99</x:v>
      </x:c>
      <x:c r="P172" s="24" t="str">
        <x:v>exact_sea_around_us</x:v>
      </x:c>
      <x:c r="Q172" s="32" t="str">
        <x:v>Sea Around Us exploited organisms</x:v>
      </x:c>
      <x:c r="R172" s="24" t="str">
        <x:v>high</x:v>
      </x:c>
      <x:c r="S172" s="24" t="str">
        <x:v>Phycis</x:v>
      </x:c>
      <x:c r="T172" s="32" t="n">
        <x:f>IF(O172="","",(1/'Metadata'!$B$5)^(O172-1))</x:f>
        <x:v>977.2372209558112</x:v>
      </x:c>
      <x:c r="U172" s="31" t="n">
        <x:f>IF(T172="","",I172*T172)</x:f>
        <x:v>28006.854911439652</x:v>
      </x:c>
    </x:row>
    <x:row r="173" ht="18" customHeight="1">
      <x:c r="A173" s="24" t="str">
        <x:v>EEZ_962</x:v>
      </x:c>
      <x:c r="B173" s="24" t="str">
        <x:v>Spain (mainland, Med and Gulf of Cadiz)</x:v>
      </x:c>
      <x:c r="C173" s="24" t="str">
        <x:v>EEZ</x:v>
      </x:c>
      <x:c r="D173" s="30" t="n">
        <x:v>2019</x:v>
      </x:c>
      <x:c r="E173" s="24" t="str">
        <x:v>Octopodidae</x:v>
      </x:c>
      <x:c r="F173" s="24" t="str">
        <x:v>Octopuses</x:v>
      </x:c>
      <x:c r="G173" s="24" t="str">
        <x:v>Cephalopods</x:v>
      </x:c>
      <x:c r="H173" s="24" t="str">
        <x:v>Other fishes &amp; inverts</x:v>
      </x:c>
      <x:c r="I173" s="31" t="n">
        <x:v>28.387587319</x:v>
      </x:c>
      <x:c r="J173" s="31" t="n">
        <x:v>27.0210743931</x:v>
      </x:c>
      <x:c r="K173" s="31" t="n">
        <x:v>1.3665129259</x:v>
      </x:c>
      <x:c r="L173" s="31" t="n">
        <x:v>25.4721204764</x:v>
      </x:c>
      <x:c r="M173" s="31" t="n">
        <x:v>2.9154668426</x:v>
      </x:c>
      <x:c r="N173" s="24" t="str">
        <x:v>octopodidae</x:v>
      </x:c>
      <x:c r="O173" s="32" t="n">
        <x:v>3.59</x:v>
      </x:c>
      <x:c r="P173" s="24" t="str">
        <x:v>exact_sea_around_us</x:v>
      </x:c>
      <x:c r="Q173" s="32" t="str">
        <x:v>Sea Around Us exploited organisms</x:v>
      </x:c>
      <x:c r="R173" s="24" t="str">
        <x:v>high</x:v>
      </x:c>
      <x:c r="S173" s="24" t="str">
        <x:v>Octopodidae</x:v>
      </x:c>
      <x:c r="T173" s="32" t="n">
        <x:f>IF(O173="","",(1/'Metadata'!$B$5)^(O173-1))</x:f>
        <x:v>389.04514499428046</x:v>
      </x:c>
      <x:c r="U173" s="31" t="n">
        <x:f>IF(T173="","",I173*T173)</x:f>
        <x:v>11044.053024558152</x:v>
      </x:c>
    </x:row>
    <x:row r="174" ht="18" customHeight="1">
      <x:c r="A174" s="24" t="str">
        <x:v>EEZ_962</x:v>
      </x:c>
      <x:c r="B174" s="24" t="str">
        <x:v>Spain (mainland, Med and Gulf of Cadiz)</x:v>
      </x:c>
      <x:c r="C174" s="24" t="str">
        <x:v>EEZ</x:v>
      </x:c>
      <x:c r="D174" s="30" t="n">
        <x:v>2019</x:v>
      </x:c>
      <x:c r="E174" s="24" t="str">
        <x:v>Atherinidae</x:v>
      </x:c>
      <x:c r="F174" s="24" t="str">
        <x:v>Silversides</x:v>
      </x:c>
      <x:c r="G174" s="24" t="str">
        <x:v>Small pelagics (&lt;30 cm)</x:v>
      </x:c>
      <x:c r="H174" s="24" t="str">
        <x:v>Other fishes &amp; inverts</x:v>
      </x:c>
      <x:c r="I174" s="31" t="n">
        <x:v>27.302611615100002</x:v>
      </x:c>
      <x:c r="J174" s="31" t="n">
        <x:v>18.3910799988</x:v>
      </x:c>
      <x:c r="K174" s="31" t="n">
        <x:v>8.9115316163</x:v>
      </x:c>
      <x:c r="L174" s="31" t="n">
        <x:v>16.637362063199998</x:v>
      </x:c>
      <x:c r="M174" s="31" t="n">
        <x:v>10.6652495519</x:v>
      </x:c>
      <x:c r="N174" s="24" t="str">
        <x:v>atherinidae</x:v>
      </x:c>
      <x:c r="O174" s="32" t="n">
        <x:v>3.2</x:v>
      </x:c>
      <x:c r="P174" s="24" t="str">
        <x:v>exact_sea_around_us</x:v>
      </x:c>
      <x:c r="Q174" s="32" t="str">
        <x:v>Sea Around Us exploited organisms</x:v>
      </x:c>
      <x:c r="R174" s="24" t="str">
        <x:v>high</x:v>
      </x:c>
      <x:c r="S174" s="24" t="str">
        <x:v>Atherinidae</x:v>
      </x:c>
      <x:c r="T174" s="32" t="n">
        <x:f>IF(O174="","",(1/'Metadata'!$B$5)^(O174-1))</x:f>
        <x:v>158.48931924611142</x:v>
      </x:c>
      <x:c r="U174" s="31" t="n">
        <x:f>IF(T174="","",I174*T174)</x:f>
        <x:v>4327.172328518174</x:v>
      </x:c>
    </x:row>
    <x:row r="175" ht="18" customHeight="1">
      <x:c r="A175" s="24" t="str">
        <x:v>EEZ_962</x:v>
      </x:c>
      <x:c r="B175" s="24" t="str">
        <x:v>Spain (mainland, Med and Gulf of Cadiz)</x:v>
      </x:c>
      <x:c r="C175" s="24" t="str">
        <x:v>EEZ</x:v>
      </x:c>
      <x:c r="D175" s="30" t="n">
        <x:v>2019</x:v>
      </x:c>
      <x:c r="E175" s="24" t="str">
        <x:v>Scorpaenidae</x:v>
      </x:c>
      <x:c r="F175" s="24" t="str">
        <x:v>Scorpionfishes, rockfishes</x:v>
      </x:c>
      <x:c r="G175" s="24" t="str">
        <x:v>Large reef assoc. fish (&gt;=90 cm)</x:v>
      </x:c>
      <x:c r="H175" s="24" t="str">
        <x:v>Scorpionfishes</x:v>
      </x:c>
      <x:c r="I175" s="31" t="n">
        <x:v>26.0744705807</x:v>
      </x:c>
      <x:c r="J175" s="31" t="n">
        <x:v>25.406655003900003</x:v>
      </x:c>
      <x:c r="K175" s="31" t="n">
        <x:v>0.6678155768</x:v>
      </x:c>
      <x:c r="L175" s="31" t="n">
        <x:v>24.738666618</x:v>
      </x:c>
      <x:c r="M175" s="31" t="n">
        <x:v>1.3358039627</x:v>
      </x:c>
      <x:c r="N175" s="24" t="str">
        <x:v>scorpaenidae</x:v>
      </x:c>
      <x:c r="O175" s="32" t="n">
        <x:v>3.92</x:v>
      </x:c>
      <x:c r="P175" s="24" t="str">
        <x:v>exact_sea_around_us</x:v>
      </x:c>
      <x:c r="Q175" s="32" t="str">
        <x:v>Sea Around Us exploited organisms</x:v>
      </x:c>
      <x:c r="R175" s="24" t="str">
        <x:v>high</x:v>
      </x:c>
      <x:c r="S175" s="24" t="str">
        <x:v>Scorpaenidae</x:v>
      </x:c>
      <x:c r="T175" s="32" t="n">
        <x:f>IF(O175="","",(1/'Metadata'!$B$5)^(O175-1))</x:f>
        <x:v>831.7637711026708</x:v>
      </x:c>
      <x:c r="U175" s="31" t="n">
        <x:f>IF(T175="","",I175*T175)</x:f>
        <x:v>21687.79997970868</x:v>
      </x:c>
    </x:row>
    <x:row r="176" ht="18" customHeight="1">
      <x:c r="A176" s="24" t="str">
        <x:v>EEZ_962</x:v>
      </x:c>
      <x:c r="B176" s="24" t="str">
        <x:v>Spain (mainland, Med and Gulf of Cadiz)</x:v>
      </x:c>
      <x:c r="C176" s="24" t="str">
        <x:v>EEZ</x:v>
      </x:c>
      <x:c r="D176" s="30" t="n">
        <x:v>2019</x:v>
      </x:c>
      <x:c r="E176" s="24" t="str">
        <x:v>Stromateidae</x:v>
      </x:c>
      <x:c r="F176" s="24" t="str">
        <x:v>Butterfishes</x:v>
      </x:c>
      <x:c r="G176" s="24" t="str">
        <x:v>Small benthopelagics (&lt;30 cm)</x:v>
      </x:c>
      <x:c r="H176" s="24" t="str">
        <x:v>Perch-likes</x:v>
      </x:c>
      <x:c r="I176" s="31" t="n">
        <x:v>25.7225970043</x:v>
      </x:c>
      <x:c r="J176" s="31" t="n">
        <x:v>20.9225819806</x:v>
      </x:c>
      <x:c r="K176" s="31" t="n">
        <x:v>4.8000150237</x:v>
      </x:c>
      <x:c r="L176" s="31" t="n">
        <x:v>19.4304219177</x:v>
      </x:c>
      <x:c r="M176" s="31" t="n">
        <x:v>6.2921750866</x:v>
      </x:c>
      <x:c r="N176" s="24" t="str">
        <x:v>stromateidae</x:v>
      </x:c>
      <x:c r="O176" s="32" t="n">
        <x:v>3.62</x:v>
      </x:c>
      <x:c r="P176" s="24" t="str">
        <x:v>exact_sea_around_us</x:v>
      </x:c>
      <x:c r="Q176" s="32" t="str">
        <x:v>Sea Around Us exploited organisms</x:v>
      </x:c>
      <x:c r="R176" s="24" t="str">
        <x:v>high</x:v>
      </x:c>
      <x:c r="S176" s="24" t="str">
        <x:v>Stromateidae</x:v>
      </x:c>
      <x:c r="T176" s="32" t="n">
        <x:f>IF(O176="","",(1/'Metadata'!$B$5)^(O176-1))</x:f>
        <x:v>416.8693834703355</x:v>
      </x:c>
      <x:c r="U176" s="31" t="n">
        <x:f>IF(T176="","",I176*T176)</x:f>
        <x:v>10722.96315443844</x:v>
      </x:c>
    </x:row>
    <x:row r="177" ht="18" customHeight="1">
      <x:c r="A177" s="24" t="str">
        <x:v>EEZ_962</x:v>
      </x:c>
      <x:c r="B177" s="24" t="str">
        <x:v>Spain (mainland, Med and Gulf of Cadiz)</x:v>
      </x:c>
      <x:c r="C177" s="24" t="str">
        <x:v>EEZ</x:v>
      </x:c>
      <x:c r="D177" s="30" t="n">
        <x:v>2019</x:v>
      </x:c>
      <x:c r="E177" s="24" t="str">
        <x:v>Brama brama</x:v>
      </x:c>
      <x:c r="F177" s="24" t="str">
        <x:v>Atlantic pomfret</x:v>
      </x:c>
      <x:c r="G177" s="24" t="str">
        <x:v>Medium bathypelagics (30 - 89 cm)</x:v>
      </x:c>
      <x:c r="H177" s="24" t="str">
        <x:v>Perch-likes</x:v>
      </x:c>
      <x:c r="I177" s="31" t="n">
        <x:v>25.4574465933</x:v>
      </x:c>
      <x:c r="J177" s="31" t="n">
        <x:v>25.2767297814</x:v>
      </x:c>
      <x:c r="K177" s="31" t="n">
        <x:v>0.1807168119</x:v>
      </x:c>
      <x:c r="L177" s="31" t="n">
        <x:v>14.732584163099999</x:v>
      </x:c>
      <x:c r="M177" s="31" t="n">
        <x:v>10.724862430199998</x:v>
      </x:c>
      <x:c r="N177" s="24" t="str">
        <x:v>brama brama</x:v>
      </x:c>
      <x:c r="O177" s="32" t="n">
        <x:v>4.08</x:v>
      </x:c>
      <x:c r="P177" s="24" t="str">
        <x:v>exact_2020_supplement</x:v>
      </x:c>
      <x:c r="Q177" s="32" t="str">
        <x:v>2020 supplement MeanTL</x:v>
      </x:c>
      <x:c r="R177" s="24" t="str">
        <x:v>high</x:v>
      </x:c>
      <x:c r="S177" s="24" t="str">
        <x:v>Brama brama</x:v>
      </x:c>
      <x:c r="T177" s="32" t="n">
        <x:f>IF(O177="","",(1/'Metadata'!$B$5)^(O177-1))</x:f>
        <x:v>1202.2644346174131</x:v>
      </x:c>
      <x:c r="U177" s="31" t="n">
        <x:f>IF(T177="","",I177*T177)</x:f>
        <x:v>30606.582635296814</x:v>
      </x:c>
    </x:row>
    <x:row r="178" ht="18" customHeight="1">
      <x:c r="A178" s="24" t="str">
        <x:v>EEZ_962</x:v>
      </x:c>
      <x:c r="B178" s="24" t="str">
        <x:v>Spain (mainland, Med and Gulf of Cadiz)</x:v>
      </x:c>
      <x:c r="C178" s="24" t="str">
        <x:v>EEZ</x:v>
      </x:c>
      <x:c r="D178" s="30" t="n">
        <x:v>2019</x:v>
      </x:c>
      <x:c r="E178" s="24" t="str">
        <x:v>Istiophorus albicans</x:v>
      </x:c>
      <x:c r="F178" s="24" t="str">
        <x:v>Atlantic sailfish</x:v>
      </x:c>
      <x:c r="G178" s="24" t="str">
        <x:v>Large pelagics (&gt;=90 cm)</x:v>
      </x:c>
      <x:c r="H178" s="24" t="str">
        <x:v>Tuna &amp; billfishes</x:v>
      </x:c>
      <x:c r="I178" s="31" t="n">
        <x:v>24.0347664722</x:v>
      </x:c>
      <x:c r="J178" s="31" t="n">
        <x:v>24.0347664722</x:v>
      </x:c>
      <x:c r="K178" s="31" t="n">
        <x:v>0</x:v>
      </x:c>
      <x:c r="L178" s="31" t="n">
        <x:v>24.0347664722</x:v>
      </x:c>
      <x:c r="M178" s="31" t="n">
        <x:v>0</x:v>
      </x:c>
      <x:c r="N178" s="24" t="str">
        <x:v>istiophorus albicans</x:v>
      </x:c>
      <x:c r="O178" s="32" t="n">
        <x:v>4.5</x:v>
      </x:c>
      <x:c r="P178" s="24" t="str">
        <x:v>exact_2020_supplement</x:v>
      </x:c>
      <x:c r="Q178" s="32" t="str">
        <x:v>2020 supplement MeanTL</x:v>
      </x:c>
      <x:c r="R178" s="24" t="str">
        <x:v>high</x:v>
      </x:c>
      <x:c r="S178" s="24" t="str">
        <x:v>Istiophorus albicans</x:v>
      </x:c>
      <x:c r="T178" s="32" t="n">
        <x:f>IF(O178="","",(1/'Metadata'!$B$5)^(O178-1))</x:f>
        <x:v>3162.2776601683795</x:v>
      </x:c>
      <x:c r="U178" s="31" t="n">
        <x:f>IF(T178="","",I178*T178)</x:f>
        <x:v>76004.60508240203</x:v>
      </x:c>
    </x:row>
    <x:row r="179" ht="18" customHeight="1">
      <x:c r="A179" s="24" t="str">
        <x:v>EEZ_962</x:v>
      </x:c>
      <x:c r="B179" s="24" t="str">
        <x:v>Spain (mainland, Med and Gulf of Cadiz)</x:v>
      </x:c>
      <x:c r="C179" s="24" t="str">
        <x:v>EEZ</x:v>
      </x:c>
      <x:c r="D179" s="30" t="n">
        <x:v>2019</x:v>
      </x:c>
      <x:c r="E179" s="24" t="str">
        <x:v>Squillidae</x:v>
      </x:c>
      <x:c r="F179" s="24" t="str">
        <x:v>Squilla mantis shrimps</x:v>
      </x:c>
      <x:c r="G179" s="24" t="str">
        <x:v>Shrimps</x:v>
      </x:c>
      <x:c r="H179" s="24" t="str">
        <x:v>Crustaceans</x:v>
      </x:c>
      <x:c r="I179" s="31" t="n">
        <x:v>23.652202683499997</x:v>
      </x:c>
      <x:c r="J179" s="31" t="n">
        <x:v>5.3283594735</x:v>
      </x:c>
      <x:c r="K179" s="31" t="n">
        <x:v>18.32384321</x:v>
      </x:c>
      <x:c r="L179" s="31" t="n">
        <x:v>3.1526125047</x:v>
      </x:c>
      <x:c r="M179" s="31" t="n">
        <x:v>20.4995901788</x:v>
      </x:c>
      <x:c r="N179" s="24" t="str">
        <x:v>squillidae</x:v>
      </x:c>
      <x:c r="O179" s="32" t="n">
        <x:v>3.5</x:v>
      </x:c>
      <x:c r="P179" s="24" t="str">
        <x:v>exact_sea_around_us</x:v>
      </x:c>
      <x:c r="Q179" s="32" t="str">
        <x:v>Sea Around Us exploited organisms</x:v>
      </x:c>
      <x:c r="R179" s="24" t="str">
        <x:v>high</x:v>
      </x:c>
      <x:c r="S179" s="24" t="str">
        <x:v>Squillidae</x:v>
      </x:c>
      <x:c r="T179" s="32" t="n">
        <x:f>IF(O179="","",(1/'Metadata'!$B$5)^(O179-1))</x:f>
        <x:v>316.22776601683796</x:v>
      </x:c>
      <x:c r="U179" s="31" t="n">
        <x:f>IF(T179="","",I179*T179)</x:f>
        <x:v>7479.483215980664</x:v>
      </x:c>
    </x:row>
    <x:row r="180" ht="18" customHeight="1">
      <x:c r="A180" s="24" t="str">
        <x:v>EEZ_962</x:v>
      </x:c>
      <x:c r="B180" s="24" t="str">
        <x:v>Spain (mainland, Med and Gulf of Cadiz)</x:v>
      </x:c>
      <x:c r="C180" s="24" t="str">
        <x:v>EEZ</x:v>
      </x:c>
      <x:c r="D180" s="30" t="n">
        <x:v>2019</x:v>
      </x:c>
      <x:c r="E180" s="24" t="str">
        <x:v>Alloteuthis</x:v>
      </x:c>
      <x:c r="F180" s="24" t="str">
        <x:v>Atlantic common squids</x:v>
      </x:c>
      <x:c r="G180" s="24" t="str">
        <x:v>Cephalopods</x:v>
      </x:c>
      <x:c r="H180" s="24" t="str">
        <x:v>Other fishes &amp; inverts</x:v>
      </x:c>
      <x:c r="I180" s="31" t="n">
        <x:v>22.6701011689</x:v>
      </x:c>
      <x:c r="J180" s="31" t="n">
        <x:v>19.033634637299997</x:v>
      </x:c>
      <x:c r="K180" s="31" t="n">
        <x:v>3.6364665316</x:v>
      </x:c>
      <x:c r="L180" s="31" t="n">
        <x:v>18.3654020936</x:v>
      </x:c>
      <x:c r="M180" s="31" t="n">
        <x:v>4.304699075299999</x:v>
      </x:c>
      <x:c r="N180" s="24" t="str">
        <x:v>alloteuthis</x:v>
      </x:c>
      <x:c r="O180" s="32" t="n">
        <x:v>3.98</x:v>
      </x:c>
      <x:c r="P180" s="24" t="str">
        <x:v>exact_sea_around_us</x:v>
      </x:c>
      <x:c r="Q180" s="32" t="str">
        <x:v>Sea Around Us exploited organisms</x:v>
      </x:c>
      <x:c r="R180" s="24" t="str">
        <x:v>high</x:v>
      </x:c>
      <x:c r="S180" s="24" t="str">
        <x:v>Alloteuthis</x:v>
      </x:c>
      <x:c r="T180" s="32" t="n">
        <x:f>IF(O180="","",(1/'Metadata'!$B$5)^(O180-1))</x:f>
        <x:v>954.992586021436</x:v>
      </x:c>
      <x:c r="U180" s="31" t="n">
        <x:f>IF(T180="","",I180*T180)</x:f>
        <x:v>21649.77854065539</x:v>
      </x:c>
    </x:row>
    <x:row r="181" ht="18" customHeight="1">
      <x:c r="A181" s="24" t="str">
        <x:v>EEZ_962</x:v>
      </x:c>
      <x:c r="B181" s="24" t="str">
        <x:v>Spain (mainland, Med and Gulf of Cadiz)</x:v>
      </x:c>
      <x:c r="C181" s="24" t="str">
        <x:v>EEZ</x:v>
      </x:c>
      <x:c r="D181" s="30" t="n">
        <x:v>2019</x:v>
      </x:c>
      <x:c r="E181" s="24" t="str">
        <x:v>Anguilla anguilla</x:v>
      </x:c>
      <x:c r="F181" s="24" t="str">
        <x:v>European eel</x:v>
      </x:c>
      <x:c r="G181" s="24" t="str">
        <x:v>Large demersals (&gt;=90 cm)</x:v>
      </x:c>
      <x:c r="H181" s="24" t="str">
        <x:v>Other fishes &amp; inverts</x:v>
      </x:c>
      <x:c r="I181" s="31" t="n">
        <x:v>21.6498756209</x:v>
      </x:c>
      <x:c r="J181" s="31" t="n">
        <x:v>18.8879476481</x:v>
      </x:c>
      <x:c r="K181" s="31" t="n">
        <x:v>2.7619279728</x:v>
      </x:c>
      <x:c r="L181" s="31" t="n">
        <x:v>18.4277567956</x:v>
      </x:c>
      <x:c r="M181" s="31" t="n">
        <x:v>3.2221188253</x:v>
      </x:c>
      <x:c r="N181" s="24" t="str">
        <x:v>anguilla anguilla</x:v>
      </x:c>
      <x:c r="O181" s="32" t="n">
        <x:v>3.55</x:v>
      </x:c>
      <x:c r="P181" s="24" t="str">
        <x:v>exact_2020_supplement</x:v>
      </x:c>
      <x:c r="Q181" s="32" t="str">
        <x:v>2020 supplement MeanTL</x:v>
      </x:c>
      <x:c r="R181" s="24" t="str">
        <x:v>high</x:v>
      </x:c>
      <x:c r="S181" s="24" t="str">
        <x:v>Anguilla anguilla</x:v>
      </x:c>
      <x:c r="T181" s="32" t="n">
        <x:f>IF(O181="","",(1/'Metadata'!$B$5)^(O181-1))</x:f>
        <x:v>354.8133892335753</x:v>
      </x:c>
      <x:c r="U181" s="31" t="n">
        <x:f>IF(T181="","",I181*T181)</x:f>
        <x:v>7681.665745536885</x:v>
      </x:c>
    </x:row>
    <x:row r="182" ht="18" customHeight="1">
      <x:c r="A182" s="24" t="str">
        <x:v>EEZ_962</x:v>
      </x:c>
      <x:c r="B182" s="24" t="str">
        <x:v>Spain (mainland, Med and Gulf of Cadiz)</x:v>
      </x:c>
      <x:c r="C182" s="24" t="str">
        <x:v>EEZ</x:v>
      </x:c>
      <x:c r="D182" s="30" t="n">
        <x:v>2019</x:v>
      </x:c>
      <x:c r="E182" s="24" t="str">
        <x:v>Decapoda</x:v>
      </x:c>
      <x:c r="F182" s="24" t="str">
        <x:v>Crabs, lobsters, shrimps</x:v>
      </x:c>
      <x:c r="G182" s="24" t="str">
        <x:v>Lobsters, crabs</x:v>
      </x:c>
      <x:c r="H182" s="24" t="str">
        <x:v>Crustaceans</x:v>
      </x:c>
      <x:c r="I182" s="31" t="n">
        <x:v>21.1966080183</x:v>
      </x:c>
      <x:c r="J182" s="31" t="n">
        <x:v>17.0973182505</x:v>
      </x:c>
      <x:c r="K182" s="31" t="n">
        <x:v>4.0992897678</x:v>
      </x:c>
      <x:c r="L182" s="31" t="n">
        <x:v>16.325341827</x:v>
      </x:c>
      <x:c r="M182" s="31" t="n">
        <x:v>4.8712661913</x:v>
      </x:c>
      <x:c r="N182" s="24" t="str">
        <x:v>decapoda</x:v>
      </x:c>
      <x:c r="O182" s="32" t="n">
        <x:v>3.43</x:v>
      </x:c>
      <x:c r="P182" s="24" t="str">
        <x:v>exact_sea_around_us</x:v>
      </x:c>
      <x:c r="Q182" s="32" t="str">
        <x:v>Sea Around Us exploited organisms</x:v>
      </x:c>
      <x:c r="R182" s="24" t="str">
        <x:v>high</x:v>
      </x:c>
      <x:c r="S182" s="24" t="str">
        <x:v>Decapoda</x:v>
      </x:c>
      <x:c r="T182" s="32" t="n">
        <x:f>IF(O182="","",(1/'Metadata'!$B$5)^(O182-1))</x:f>
        <x:v>269.1534803926917</x:v>
      </x:c>
      <x:c r="U182" s="31" t="n">
        <x:f>IF(T182="","",I182*T182)</x:f>
        <x:v>5705.140820645081</x:v>
      </x:c>
    </x:row>
    <x:row r="183" ht="18" customHeight="1">
      <x:c r="A183" s="24" t="str">
        <x:v>EEZ_962</x:v>
      </x:c>
      <x:c r="B183" s="24" t="str">
        <x:v>Spain (mainland, Med and Gulf of Cadiz)</x:v>
      </x:c>
      <x:c r="C183" s="24" t="str">
        <x:v>EEZ</x:v>
      </x:c>
      <x:c r="D183" s="30" t="n">
        <x:v>2019</x:v>
      </x:c>
      <x:c r="E183" s="24" t="str">
        <x:v>Crangon crangon</x:v>
      </x:c>
      <x:c r="F183" s="24" t="str">
        <x:v>Common shrimp</x:v>
      </x:c>
      <x:c r="G183" s="24" t="str">
        <x:v>Shrimps</x:v>
      </x:c>
      <x:c r="H183" s="24" t="str">
        <x:v>Crustaceans</x:v>
      </x:c>
      <x:c r="I183" s="31" t="n">
        <x:v>20.8443121757</x:v>
      </x:c>
      <x:c r="J183" s="31" t="n">
        <x:v>13.1732515029</x:v>
      </x:c>
      <x:c r="K183" s="31" t="n">
        <x:v>7.6710606728</x:v>
      </x:c>
      <x:c r="L183" s="31" t="n">
        <x:v>11.6147606162</x:v>
      </x:c>
      <x:c r="M183" s="31" t="n">
        <x:v>9.2295515595</x:v>
      </x:c>
      <x:c r="N183" s="24" t="str">
        <x:v>crangon crangon</x:v>
      </x:c>
      <x:c r="O183" s="32" t="n">
        <x:v>3.19</x:v>
      </x:c>
      <x:c r="P183" s="24" t="str">
        <x:v>exact_2020_supplement</x:v>
      </x:c>
      <x:c r="Q183" s="32" t="str">
        <x:v>2020 supplement MeanTL</x:v>
      </x:c>
      <x:c r="R183" s="24" t="str">
        <x:v>high</x:v>
      </x:c>
      <x:c r="S183" s="24" t="str">
        <x:v>Crangon crangon</x:v>
      </x:c>
      <x:c r="T183" s="32" t="n">
        <x:f>IF(O183="","",(1/'Metadata'!$B$5)^(O183-1))</x:f>
        <x:v>154.88166189124811</x:v>
      </x:c>
      <x:c r="U183" s="31" t="n">
        <x:f>IF(T183="","",I183*T183)</x:f>
        <x:v>3228.4017107523937</x:v>
      </x:c>
    </x:row>
    <x:row r="184" ht="18" customHeight="1">
      <x:c r="A184" s="24" t="str">
        <x:v>EEZ_962</x:v>
      </x:c>
      <x:c r="B184" s="24" t="str">
        <x:v>Spain (mainland, Med and Gulf of Cadiz)</x:v>
      </x:c>
      <x:c r="C184" s="24" t="str">
        <x:v>EEZ</x:v>
      </x:c>
      <x:c r="D184" s="30" t="n">
        <x:v>2019</x:v>
      </x:c>
      <x:c r="E184" s="24" t="str">
        <x:v>Scophthalmus rhombus</x:v>
      </x:c>
      <x:c r="F184" s="24" t="str">
        <x:v>Brill</x:v>
      </x:c>
      <x:c r="G184" s="24" t="str">
        <x:v>Small to medium flatfishes (&lt;90 cm)</x:v>
      </x:c>
      <x:c r="H184" s="24" t="str">
        <x:v>Flatfishes</x:v>
      </x:c>
      <x:c r="I184" s="31" t="n">
        <x:v>20.6883443948</x:v>
      </x:c>
      <x:c r="J184" s="31" t="n">
        <x:v>18.8275101544</x:v>
      </x:c>
      <x:c r="K184" s="31" t="n">
        <x:v>1.8608342403999998</x:v>
      </x:c>
      <x:c r="L184" s="31" t="n">
        <x:v>17.8937502797</x:v>
      </x:c>
      <x:c r="M184" s="31" t="n">
        <x:v>2.7945941150999998</x:v>
      </x:c>
      <x:c r="N184" s="24" t="str">
        <x:v>scophthalmus rhombus</x:v>
      </x:c>
      <x:c r="O184" s="32" t="n">
        <x:v>4.42</x:v>
      </x:c>
      <x:c r="P184" s="24" t="str">
        <x:v>exact_2020_supplement</x:v>
      </x:c>
      <x:c r="Q184" s="32" t="str">
        <x:v>2020 supplement MeanTL</x:v>
      </x:c>
      <x:c r="R184" s="24" t="str">
        <x:v>high</x:v>
      </x:c>
      <x:c r="S184" s="24" t="str">
        <x:v>Scophthalmus rhombus</x:v>
      </x:c>
      <x:c r="T184" s="32" t="n">
        <x:f>IF(O184="","",(1/'Metadata'!$B$5)^(O184-1))</x:f>
        <x:v>2630.2679918953813</x:v>
      </x:c>
      <x:c r="U184" s="31" t="n">
        <x:f>IF(T184="","",I184*T184)</x:f>
        <x:v>54415.89006695067</x:v>
      </x:c>
    </x:row>
    <x:row r="185" ht="18" customHeight="1">
      <x:c r="A185" s="24" t="str">
        <x:v>EEZ_962</x:v>
      </x:c>
      <x:c r="B185" s="24" t="str">
        <x:v>Spain (mainland, Med and Gulf of Cadiz)</x:v>
      </x:c>
      <x:c r="C185" s="24" t="str">
        <x:v>EEZ</x:v>
      </x:c>
      <x:c r="D185" s="30" t="n">
        <x:v>2019</x:v>
      </x:c>
      <x:c r="E185" s="24" t="str">
        <x:v>Aristaeopsis edwardsiana</x:v>
      </x:c>
      <x:c r="F185" s="24" t="str">
        <x:v>Scarlet shrimp</x:v>
      </x:c>
      <x:c r="G185" s="24" t="str">
        <x:v>Shrimps</x:v>
      </x:c>
      <x:c r="H185" s="24" t="str">
        <x:v>Crustaceans</x:v>
      </x:c>
      <x:c r="I185" s="31" t="n">
        <x:v>20.6203965031</x:v>
      </x:c>
      <x:c r="J185" s="31" t="n">
        <x:v>18.6817977265</x:v>
      </x:c>
      <x:c r="K185" s="31" t="n">
        <x:v>1.9385987766000001</x:v>
      </x:c>
      <x:c r="L185" s="31" t="n">
        <x:v>17.1713298118</x:v>
      </x:c>
      <x:c r="M185" s="31" t="n">
        <x:v>3.4490666913</x:v>
      </x:c>
      <x:c r="N185" s="24" t="str">
        <x:v>aristaeopsis edwardsiana</x:v>
      </x:c>
      <x:c r="O185" s="32" t="n">
        <x:v>2.3</x:v>
      </x:c>
      <x:c r="P185" s="24" t="str">
        <x:v>exact_sea_around_us</x:v>
      </x:c>
      <x:c r="Q185" s="32" t="str">
        <x:v>Sea Around Us exploited organisms</x:v>
      </x:c>
      <x:c r="R185" s="24" t="str">
        <x:v>high</x:v>
      </x:c>
      <x:c r="S185" s="24" t="str">
        <x:v>Aristaeopsis edwardsiana</x:v>
      </x:c>
      <x:c r="T185" s="32" t="n">
        <x:f>IF(O185="","",(1/'Metadata'!$B$5)^(O185-1))</x:f>
        <x:v>19.952623149688787</x:v>
      </x:c>
      <x:c r="U185" s="31" t="n">
        <x:f>IF(T185="","",I185*T185)</x:f>
        <x:v>411.43100062351476</x:v>
      </x:c>
    </x:row>
    <x:row r="186" ht="18" customHeight="1">
      <x:c r="A186" s="24" t="str">
        <x:v>EEZ_962</x:v>
      </x:c>
      <x:c r="B186" s="24" t="str">
        <x:v>Spain (mainland, Med and Gulf of Cadiz)</x:v>
      </x:c>
      <x:c r="C186" s="24" t="str">
        <x:v>EEZ</x:v>
      </x:c>
      <x:c r="D186" s="30" t="n">
        <x:v>2019</x:v>
      </x:c>
      <x:c r="E186" s="24" t="str">
        <x:v>Aetomylaeus bovinus</x:v>
      </x:c>
      <x:c r="F186" s="24" t="str">
        <x:v>Bull ray</x:v>
      </x:c>
      <x:c r="G186" s="24" t="str">
        <x:v>Large rays (&gt;=90 cm)</x:v>
      </x:c>
      <x:c r="H186" s="24" t="str">
        <x:v>Sharks &amp; rays</x:v>
      </x:c>
      <x:c r="I186" s="31" t="n">
        <x:v>20.5393464043</x:v>
      </x:c>
      <x:c r="J186" s="31" t="n">
        <x:v>18.2790002936</x:v>
      </x:c>
      <x:c r="K186" s="31" t="n">
        <x:v>2.2603461107</x:v>
      </x:c>
      <x:c r="L186" s="31" t="n">
        <x:v>17.2830740622</x:v>
      </x:c>
      <x:c r="M186" s="31" t="n">
        <x:v>3.2562723421</x:v>
      </x:c>
      <x:c r="N186" s="24" t="str">
        <x:v>aetomylaeus bovinus</x:v>
      </x:c>
      <x:c r="O186" s="32" t="n">
        <x:v>3.8</x:v>
      </x:c>
      <x:c r="P186" s="24" t="str">
        <x:v>exact_sea_around_us</x:v>
      </x:c>
      <x:c r="Q186" s="32" t="str">
        <x:v>Sea Around Us exploited organisms</x:v>
      </x:c>
      <x:c r="R186" s="24" t="str">
        <x:v>high</x:v>
      </x:c>
      <x:c r="S186" s="24" t="str">
        <x:v>Aetomylaeus bovinus</x:v>
      </x:c>
      <x:c r="T186" s="32" t="n">
        <x:f>IF(O186="","",(1/'Metadata'!$B$5)^(O186-1))</x:f>
        <x:v>630.957344480193</x:v>
      </x:c>
      <x:c r="U186" s="31" t="n">
        <x:f>IF(T186="","",I186*T186)</x:f>
        <x:v>12959.45146461593</x:v>
      </x:c>
    </x:row>
    <x:row r="187" ht="18" customHeight="1">
      <x:c r="A187" s="24" t="str">
        <x:v>EEZ_962</x:v>
      </x:c>
      <x:c r="B187" s="24" t="str">
        <x:v>Spain (mainland, Med and Gulf of Cadiz)</x:v>
      </x:c>
      <x:c r="C187" s="24" t="str">
        <x:v>EEZ</x:v>
      </x:c>
      <x:c r="D187" s="30" t="n">
        <x:v>2019</x:v>
      </x:c>
      <x:c r="E187" s="24" t="str">
        <x:v>Umbrina ronchus</x:v>
      </x:c>
      <x:c r="F187" s="24" t="str">
        <x:v>Fusca drum</x:v>
      </x:c>
      <x:c r="G187" s="24" t="str">
        <x:v>Large demersals (&gt;=90 cm)</x:v>
      </x:c>
      <x:c r="H187" s="24" t="str">
        <x:v>Perch-likes</x:v>
      </x:c>
      <x:c r="I187" s="31" t="n">
        <x:v>20.413789377300002</x:v>
      </x:c>
      <x:c r="J187" s="31" t="n">
        <x:v>19.4862659494</x:v>
      </x:c>
      <x:c r="K187" s="31" t="n">
        <x:v>0.9275234279</x:v>
      </x:c>
      <x:c r="L187" s="31" t="n">
        <x:v>18.078343211</x:v>
      </x:c>
      <x:c r="M187" s="31" t="n">
        <x:v>2.3354461663</x:v>
      </x:c>
      <x:c r="N187" s="24" t="str">
        <x:v>umbrina ronchus</x:v>
      </x:c>
      <x:c r="O187" s="32" t="n">
        <x:v>3.38</x:v>
      </x:c>
      <x:c r="P187" s="24" t="str">
        <x:v>exact_2020_supplement</x:v>
      </x:c>
      <x:c r="Q187" s="32" t="str">
        <x:v>2020 supplement MeanTL</x:v>
      </x:c>
      <x:c r="R187" s="24" t="str">
        <x:v>high</x:v>
      </x:c>
      <x:c r="S187" s="24" t="str">
        <x:v>Umbrina ronchus</x:v>
      </x:c>
      <x:c r="T187" s="32" t="n">
        <x:f>IF(O187="","",(1/'Metadata'!$B$5)^(O187-1))</x:f>
        <x:v>239.88329190194898</x:v>
      </x:c>
      <x:c r="U187" s="31" t="n">
        <x:f>IF(T187="","",I187*T187)</x:f>
        <x:v>4896.926996019762</x:v>
      </x:c>
    </x:row>
    <x:row r="188" ht="18" customHeight="1">
      <x:c r="A188" s="24" t="str">
        <x:v>EEZ_962</x:v>
      </x:c>
      <x:c r="B188" s="24" t="str">
        <x:v>Spain (mainland, Med and Gulf of Cadiz)</x:v>
      </x:c>
      <x:c r="C188" s="24" t="str">
        <x:v>EEZ</x:v>
      </x:c>
      <x:c r="D188" s="30" t="n">
        <x:v>2019</x:v>
      </x:c>
      <x:c r="E188" s="24" t="str">
        <x:v>Pasiphaea sivado</x:v>
      </x:c>
      <x:c r="F188" s="24" t="str">
        <x:v>White glass shrimp</x:v>
      </x:c>
      <x:c r="G188" s="24" t="str">
        <x:v>Shrimps</x:v>
      </x:c>
      <x:c r="H188" s="24" t="str">
        <x:v>Crustaceans</x:v>
      </x:c>
      <x:c r="I188" s="31" t="n">
        <x:v>20.1043566285</x:v>
      </x:c>
      <x:c r="J188" s="31" t="n">
        <x:v>16.1383889305</x:v>
      </x:c>
      <x:c r="K188" s="31" t="n">
        <x:v>3.965967698</x:v>
      </x:c>
      <x:c r="L188" s="31" t="n">
        <x:v>15.506413342</x:v>
      </x:c>
      <x:c r="M188" s="31" t="n">
        <x:v>4.5979432865</x:v>
      </x:c>
      <x:c r="N188" s="24" t="str">
        <x:v>pasiphaea sivado</x:v>
      </x:c>
      <x:c r="O188" s="32" t="n">
        <x:v>3.19</x:v>
      </x:c>
      <x:c r="P188" s="24" t="str">
        <x:v>exact_sea_around_us</x:v>
      </x:c>
      <x:c r="Q188" s="32" t="str">
        <x:v>Sea Around Us exploited organisms</x:v>
      </x:c>
      <x:c r="R188" s="24" t="str">
        <x:v>high</x:v>
      </x:c>
      <x:c r="S188" s="24" t="str">
        <x:v>Pasiphaea sivado</x:v>
      </x:c>
      <x:c r="T188" s="32" t="n">
        <x:f>IF(O188="","",(1/'Metadata'!$B$5)^(O188-1))</x:f>
        <x:v>154.88166189124811</x:v>
      </x:c>
      <x:c r="U188" s="31" t="n">
        <x:f>IF(T188="","",I188*T188)</x:f>
        <x:v>3113.7961658764098</x:v>
      </x:c>
    </x:row>
    <x:row r="189" ht="18" customHeight="1">
      <x:c r="A189" s="24" t="str">
        <x:v>EEZ_962</x:v>
      </x:c>
      <x:c r="B189" s="24" t="str">
        <x:v>Spain (mainland, Med and Gulf of Cadiz)</x:v>
      </x:c>
      <x:c r="C189" s="24" t="str">
        <x:v>EEZ</x:v>
      </x:c>
      <x:c r="D189" s="30" t="n">
        <x:v>2019</x:v>
      </x:c>
      <x:c r="E189" s="24" t="str">
        <x:v>Diplodus cervinus</x:v>
      </x:c>
      <x:c r="F189" s="24" t="str">
        <x:v>Zebra seabream</x:v>
      </x:c>
      <x:c r="G189" s="24" t="str">
        <x:v>Medium benthopelagics (30 - 89 cm)</x:v>
      </x:c>
      <x:c r="H189" s="24" t="str">
        <x:v>Perch-likes</x:v>
      </x:c>
      <x:c r="I189" s="31" t="n">
        <x:v>19.6232908108</x:v>
      </x:c>
      <x:c r="J189" s="31" t="n">
        <x:v>18.824957423</x:v>
      </x:c>
      <x:c r="K189" s="31" t="n">
        <x:v>0.7983333878</x:v>
      </x:c>
      <x:c r="L189" s="31" t="n">
        <x:v>17.2453064302</x:v>
      </x:c>
      <x:c r="M189" s="31" t="n">
        <x:v>2.3779843806</x:v>
      </x:c>
      <x:c r="N189" s="24" t="str">
        <x:v>diplodus cervinus</x:v>
      </x:c>
      <x:c r="O189" s="32" t="n">
        <x:v>2.99</x:v>
      </x:c>
      <x:c r="P189" s="24" t="str">
        <x:v>exact_2020_supplement</x:v>
      </x:c>
      <x:c r="Q189" s="32" t="str">
        <x:v>2020 supplement MeanTL</x:v>
      </x:c>
      <x:c r="R189" s="24" t="str">
        <x:v>high</x:v>
      </x:c>
      <x:c r="S189" s="24" t="str">
        <x:v>Diplodus cervinus</x:v>
      </x:c>
      <x:c r="T189" s="32" t="n">
        <x:f>IF(O189="","",(1/'Metadata'!$B$5)^(O189-1))</x:f>
        <x:v>97.72372209558111</x:v>
      </x:c>
      <x:c r="U189" s="31" t="n">
        <x:f>IF(T189="","",I189*T189)</x:f>
        <x:v>1917.6610177953899</x:v>
      </x:c>
    </x:row>
    <x:row r="190" ht="18" customHeight="1">
      <x:c r="A190" s="24" t="str">
        <x:v>EEZ_962</x:v>
      </x:c>
      <x:c r="B190" s="24" t="str">
        <x:v>Spain (mainland, Med and Gulf of Cadiz)</x:v>
      </x:c>
      <x:c r="C190" s="24" t="str">
        <x:v>EEZ</x:v>
      </x:c>
      <x:c r="D190" s="30" t="n">
        <x:v>2019</x:v>
      </x:c>
      <x:c r="E190" s="24" t="str">
        <x:v>Sepia elegans</x:v>
      </x:c>
      <x:c r="F190" s="24" t="str">
        <x:v>Elegant cuttlefish</x:v>
      </x:c>
      <x:c r="G190" s="24" t="str">
        <x:v>Cephalopods</x:v>
      </x:c>
      <x:c r="H190" s="24" t="str">
        <x:v>Other fishes &amp; inverts</x:v>
      </x:c>
      <x:c r="I190" s="31" t="n">
        <x:v>19.543810665</x:v>
      </x:c>
      <x:c r="J190" s="31" t="n">
        <x:v>19.543810665</x:v>
      </x:c>
      <x:c r="K190" s="31" t="n">
        <x:v>0</x:v>
      </x:c>
      <x:c r="L190" s="31" t="n">
        <x:v>18.541894920599997</x:v>
      </x:c>
      <x:c r="M190" s="31" t="n">
        <x:v>1.0019157444000002</x:v>
      </x:c>
      <x:c r="N190" s="24" t="str">
        <x:v>sepia elegans</x:v>
      </x:c>
      <x:c r="O190" s="32" t="n">
        <x:v>3.84</x:v>
      </x:c>
      <x:c r="P190" s="24" t="str">
        <x:v>exact_sea_around_us</x:v>
      </x:c>
      <x:c r="Q190" s="32" t="str">
        <x:v>Sea Around Us exploited organisms</x:v>
      </x:c>
      <x:c r="R190" s="24" t="str">
        <x:v>high</x:v>
      </x:c>
      <x:c r="S190" s="24" t="str">
        <x:v>Sepia elegans</x:v>
      </x:c>
      <x:c r="T190" s="32" t="n">
        <x:f>IF(O190="","",(1/'Metadata'!$B$5)^(O190-1))</x:f>
        <x:v>691.8309709189363</x:v>
      </x:c>
      <x:c r="U190" s="31" t="n">
        <x:f>IF(T190="","",I190*T190)</x:f>
        <x:v>13521.01350782281</x:v>
      </x:c>
    </x:row>
    <x:row r="191" ht="18" customHeight="1">
      <x:c r="A191" s="24" t="str">
        <x:v>EEZ_962</x:v>
      </x:c>
      <x:c r="B191" s="24" t="str">
        <x:v>Spain (mainland, Med and Gulf of Cadiz)</x:v>
      </x:c>
      <x:c r="C191" s="24" t="str">
        <x:v>EEZ</x:v>
      </x:c>
      <x:c r="D191" s="30" t="n">
        <x:v>2019</x:v>
      </x:c>
      <x:c r="E191" s="24" t="str">
        <x:v>Carcinus aestuarii</x:v>
      </x:c>
      <x:c r="F191" s="24" t="str">
        <x:v>Mediterranean shore crab</x:v>
      </x:c>
      <x:c r="G191" s="24" t="str">
        <x:v>Lobsters, crabs</x:v>
      </x:c>
      <x:c r="H191" s="24" t="str">
        <x:v>Crustaceans</x:v>
      </x:c>
      <x:c r="I191" s="31" t="n">
        <x:v>18.667419901</x:v>
      </x:c>
      <x:c r="J191" s="31" t="n">
        <x:v>12.5602302185</x:v>
      </x:c>
      <x:c r="K191" s="31" t="n">
        <x:v>6.1071896825</x:v>
      </x:c>
      <x:c r="L191" s="31" t="n">
        <x:v>11.3715348257</x:v>
      </x:c>
      <x:c r="M191" s="31" t="n">
        <x:v>7.295885075299999</x:v>
      </x:c>
      <x:c r="N191" s="24" t="str">
        <x:v>carcinus aestuarii</x:v>
      </x:c>
      <x:c r="O191" s="32" t="n">
        <x:v>3.43</x:v>
      </x:c>
      <x:c r="P191" s="24" t="str">
        <x:v>exact_2020_supplement</x:v>
      </x:c>
      <x:c r="Q191" s="32" t="str">
        <x:v>2020 supplement MeanTL</x:v>
      </x:c>
      <x:c r="R191" s="24" t="str">
        <x:v>high</x:v>
      </x:c>
      <x:c r="S191" s="24" t="str">
        <x:v>Carcinus aestuarii</x:v>
      </x:c>
      <x:c r="T191" s="32" t="n">
        <x:f>IF(O191="","",(1/'Metadata'!$B$5)^(O191-1))</x:f>
        <x:v>269.1534803926917</x:v>
      </x:c>
      <x:c r="U191" s="31" t="n">
        <x:f>IF(T191="","",I191*T191)</x:f>
        <x:v>5024.401036305945</x:v>
      </x:c>
    </x:row>
    <x:row r="192" ht="18" customHeight="1">
      <x:c r="A192" s="24" t="str">
        <x:v>EEZ_962</x:v>
      </x:c>
      <x:c r="B192" s="24" t="str">
        <x:v>Spain (mainland, Med and Gulf of Cadiz)</x:v>
      </x:c>
      <x:c r="C192" s="24" t="str">
        <x:v>EEZ</x:v>
      </x:c>
      <x:c r="D192" s="30" t="n">
        <x:v>2019</x:v>
      </x:c>
      <x:c r="E192" s="24" t="str">
        <x:v>Alloteuthis media</x:v>
      </x:c>
      <x:c r="F192" s="24" t="str">
        <x:v>Midsize squid</x:v>
      </x:c>
      <x:c r="G192" s="24" t="str">
        <x:v>Cephalopods</x:v>
      </x:c>
      <x:c r="H192" s="24" t="str">
        <x:v>Other fishes &amp; inverts</x:v>
      </x:c>
      <x:c r="I192" s="31" t="n">
        <x:v>18.632917535900003</x:v>
      </x:c>
      <x:c r="J192" s="31" t="n">
        <x:v>14.316169164</x:v>
      </x:c>
      <x:c r="K192" s="31" t="n">
        <x:v>4.3167483719</x:v>
      </x:c>
      <x:c r="L192" s="31" t="n">
        <x:v>13.4936189512</x:v>
      </x:c>
      <x:c r="M192" s="31" t="n">
        <x:v>5.139298584700001</x:v>
      </x:c>
      <x:c r="N192" s="24" t="str">
        <x:v>alloteuthis media</x:v>
      </x:c>
      <x:c r="O192" s="32" t="n">
        <x:v>3.47</x:v>
      </x:c>
      <x:c r="P192" s="24" t="str">
        <x:v>exact_sea_around_us</x:v>
      </x:c>
      <x:c r="Q192" s="32" t="str">
        <x:v>Sea Around Us exploited organisms</x:v>
      </x:c>
      <x:c r="R192" s="24" t="str">
        <x:v>high</x:v>
      </x:c>
      <x:c r="S192" s="24" t="str">
        <x:v>Alloteuthis media</x:v>
      </x:c>
      <x:c r="T192" s="32" t="n">
        <x:f>IF(O192="","",(1/'Metadata'!$B$5)^(O192-1))</x:f>
        <x:v>295.1209226666387</x:v>
      </x:c>
      <x:c r="U192" s="31" t="n">
        <x:f>IF(T192="","",I192*T192)</x:f>
        <x:v>5498.963815166201</x:v>
      </x:c>
    </x:row>
    <x:row r="193" ht="18" customHeight="1">
      <x:c r="A193" s="24" t="str">
        <x:v>EEZ_962</x:v>
      </x:c>
      <x:c r="B193" s="24" t="str">
        <x:v>Spain (mainland, Med and Gulf of Cadiz)</x:v>
      </x:c>
      <x:c r="C193" s="24" t="str">
        <x:v>EEZ</x:v>
      </x:c>
      <x:c r="D193" s="30" t="n">
        <x:v>2019</x:v>
      </x:c>
      <x:c r="E193" s="24" t="str">
        <x:v>Gadiformes</x:v>
      </x:c>
      <x:c r="F193" s="24" t="str">
        <x:v>Cods</x:v>
      </x:c>
      <x:c r="G193" s="24" t="str">
        <x:v>Medium benthopelagics (30 - 89 cm)</x:v>
      </x:c>
      <x:c r="H193" s="24" t="str">
        <x:v>Cod-likes</x:v>
      </x:c>
      <x:c r="I193" s="31" t="n">
        <x:v>18.4298810264</x:v>
      </x:c>
      <x:c r="J193" s="31" t="n">
        <x:v>8.9236514493</x:v>
      </x:c>
      <x:c r="K193" s="31" t="n">
        <x:v>9.506229577100001</x:v>
      </x:c>
      <x:c r="L193" s="31" t="n">
        <x:v>7.0060173264</x:v>
      </x:c>
      <x:c r="M193" s="31" t="n">
        <x:v>11.4238637</x:v>
      </x:c>
      <x:c r="N193" s="24" t="str">
        <x:v>gadiformes</x:v>
      </x:c>
      <x:c r="O193" s="32" t="n">
        <x:v>3.91</x:v>
      </x:c>
      <x:c r="P193" s="24" t="str">
        <x:v>exact_sea_around_us</x:v>
      </x:c>
      <x:c r="Q193" s="32" t="str">
        <x:v>Sea Around Us exploited organisms</x:v>
      </x:c>
      <x:c r="R193" s="24" t="str">
        <x:v>high</x:v>
      </x:c>
      <x:c r="S193" s="24" t="str">
        <x:v>Gadiformes</x:v>
      </x:c>
      <x:c r="T193" s="32" t="n">
        <x:f>IF(O193="","",(1/'Metadata'!$B$5)^(O193-1))</x:f>
        <x:v>812.8305161640995</x:v>
      </x:c>
      <x:c r="U193" s="31" t="n">
        <x:f>IF(T193="","",I193*T193)</x:f>
        <x:v>14980.369707531658</x:v>
      </x:c>
    </x:row>
    <x:row r="194" ht="18" customHeight="1">
      <x:c r="A194" s="24" t="str">
        <x:v>EEZ_962</x:v>
      </x:c>
      <x:c r="B194" s="24" t="str">
        <x:v>Spain (mainland, Med and Gulf of Cadiz)</x:v>
      </x:c>
      <x:c r="C194" s="24" t="str">
        <x:v>EEZ</x:v>
      </x:c>
      <x:c r="D194" s="30" t="n">
        <x:v>2019</x:v>
      </x:c>
      <x:c r="E194" s="24" t="str">
        <x:v>Caranx hippos</x:v>
      </x:c>
      <x:c r="F194" s="24" t="str">
        <x:v>Crevalle jack</x:v>
      </x:c>
      <x:c r="G194" s="24" t="str">
        <x:v>Large reef assoc. fish (&gt;=90 cm)</x:v>
      </x:c>
      <x:c r="H194" s="24" t="str">
        <x:v>Perch-likes</x:v>
      </x:c>
      <x:c r="I194" s="31" t="n">
        <x:v>18.353726755</x:v>
      </x:c>
      <x:c r="J194" s="31" t="n">
        <x:v>18.353726755</x:v>
      </x:c>
      <x:c r="K194" s="31" t="n">
        <x:v>0</x:v>
      </x:c>
      <x:c r="L194" s="31" t="n">
        <x:v>18.353726755</x:v>
      </x:c>
      <x:c r="M194" s="31" t="n">
        <x:v>0</x:v>
      </x:c>
      <x:c r="N194" s="24" t="str">
        <x:v>caranx hippos</x:v>
      </x:c>
      <x:c r="O194" s="32" t="n">
        <x:v>3.56</x:v>
      </x:c>
      <x:c r="P194" s="24" t="str">
        <x:v>exact_2020_supplement</x:v>
      </x:c>
      <x:c r="Q194" s="32" t="str">
        <x:v>2020 supplement MeanTL</x:v>
      </x:c>
      <x:c r="R194" s="24" t="str">
        <x:v>high</x:v>
      </x:c>
      <x:c r="S194" s="24" t="str">
        <x:v>Caranx hippos</x:v>
      </x:c>
      <x:c r="T194" s="32" t="n">
        <x:f>IF(O194="","",(1/'Metadata'!$B$5)^(O194-1))</x:f>
        <x:v>363.0780547701014</x:v>
      </x:c>
      <x:c r="U194" s="31" t="n">
        <x:f>IF(T194="","",I194*T194)</x:f>
        <x:v>6663.835407987365</x:v>
      </x:c>
    </x:row>
    <x:row r="195" ht="18" customHeight="1">
      <x:c r="A195" s="24" t="str">
        <x:v>EEZ_962</x:v>
      </x:c>
      <x:c r="B195" s="24" t="str">
        <x:v>Spain (mainland, Med and Gulf of Cadiz)</x:v>
      </x:c>
      <x:c r="C195" s="24" t="str">
        <x:v>EEZ</x:v>
      </x:c>
      <x:c r="D195" s="30" t="n">
        <x:v>2019</x:v>
      </x:c>
      <x:c r="E195" s="24" t="str">
        <x:v>Cephalopoda</x:v>
      </x:c>
      <x:c r="F195" s="24" t="str">
        <x:v>Squids, cuttlefishes, octopuses</x:v>
      </x:c>
      <x:c r="G195" s="24" t="str">
        <x:v>Cephalopods</x:v>
      </x:c>
      <x:c r="H195" s="24" t="str">
        <x:v>Other fishes &amp; inverts</x:v>
      </x:c>
      <x:c r="I195" s="31" t="n">
        <x:v>18.1844201443</x:v>
      </x:c>
      <x:c r="J195" s="31" t="n">
        <x:v>10.8806895208</x:v>
      </x:c>
      <x:c r="K195" s="31" t="n">
        <x:v>7.303730623500001</x:v>
      </x:c>
      <x:c r="L195" s="31" t="n">
        <x:v>9.4605502055</x:v>
      </x:c>
      <x:c r="M195" s="31" t="n">
        <x:v>8.7238699388</x:v>
      </x:c>
      <x:c r="N195" s="24" t="str">
        <x:v>cephalopoda</x:v>
      </x:c>
      <x:c r="O195" s="32" t="n">
        <x:v>3.81</x:v>
      </x:c>
      <x:c r="P195" s="24" t="str">
        <x:v>exact_sea_around_us</x:v>
      </x:c>
      <x:c r="Q195" s="32" t="str">
        <x:v>Sea Around Us exploited organisms</x:v>
      </x:c>
      <x:c r="R195" s="24" t="str">
        <x:v>high</x:v>
      </x:c>
      <x:c r="S195" s="24" t="str">
        <x:v>Cephalopoda</x:v>
      </x:c>
      <x:c r="T195" s="32" t="n">
        <x:f>IF(O195="","",(1/'Metadata'!$B$5)^(O195-1))</x:f>
        <x:v>645.6542290346556</x:v>
      </x:c>
      <x:c r="U195" s="31" t="n">
        <x:f>IF(T195="","",I195*T195)</x:f>
        <x:v>11740.847768710277</x:v>
      </x:c>
    </x:row>
    <x:row r="196" ht="18" customHeight="1">
      <x:c r="A196" s="24" t="str">
        <x:v>EEZ_962</x:v>
      </x:c>
      <x:c r="B196" s="24" t="str">
        <x:v>Spain (mainland, Med and Gulf of Cadiz)</x:v>
      </x:c>
      <x:c r="C196" s="24" t="str">
        <x:v>EEZ</x:v>
      </x:c>
      <x:c r="D196" s="30" t="n">
        <x:v>2019</x:v>
      </x:c>
      <x:c r="E196" s="24" t="str">
        <x:v>Caranx</x:v>
      </x:c>
      <x:c r="F196" s="24" t="str">
        <x:v>Jacks</x:v>
      </x:c>
      <x:c r="G196" s="24" t="str">
        <x:v>Medium reef assoc. fish (30 - 89 cm)</x:v>
      </x:c>
      <x:c r="H196" s="24" t="str">
        <x:v>Perch-likes</x:v>
      </x:c>
      <x:c r="I196" s="31" t="n">
        <x:v>17.9511562511</x:v>
      </x:c>
      <x:c r="J196" s="31" t="n">
        <x:v>14.6162477699</x:v>
      </x:c>
      <x:c r="K196" s="31" t="n">
        <x:v>3.3349084812</x:v>
      </x:c>
      <x:c r="L196" s="31" t="n">
        <x:v>14.0138442933</x:v>
      </x:c>
      <x:c r="M196" s="31" t="n">
        <x:v>3.9373119578</x:v>
      </x:c>
      <x:c r="N196" s="24" t="str">
        <x:v>caranx</x:v>
      </x:c>
      <x:c r="O196" s="32" t="n">
        <x:v>4.12</x:v>
      </x:c>
      <x:c r="P196" s="24" t="str">
        <x:v>exact_sea_around_us</x:v>
      </x:c>
      <x:c r="Q196" s="32" t="str">
        <x:v>Sea Around Us exploited organisms</x:v>
      </x:c>
      <x:c r="R196" s="24" t="str">
        <x:v>high</x:v>
      </x:c>
      <x:c r="S196" s="24" t="str">
        <x:v>Caranx</x:v>
      </x:c>
      <x:c r="T196" s="32" t="n">
        <x:f>IF(O196="","",(1/'Metadata'!$B$5)^(O196-1))</x:f>
        <x:v>1318.2567385564075</x:v>
      </x:c>
      <x:c r="U196" s="31" t="n">
        <x:f>IF(T196="","",I196*T196)</x:f>
        <x:v>23664.23269289155</x:v>
      </x:c>
    </x:row>
    <x:row r="197" ht="18" customHeight="1">
      <x:c r="A197" s="24" t="str">
        <x:v>EEZ_962</x:v>
      </x:c>
      <x:c r="B197" s="24" t="str">
        <x:v>Spain (mainland, Med and Gulf of Cadiz)</x:v>
      </x:c>
      <x:c r="C197" s="24" t="str">
        <x:v>EEZ</x:v>
      </x:c>
      <x:c r="D197" s="30" t="n">
        <x:v>2019</x:v>
      </x:c>
      <x:c r="E197" s="24" t="str">
        <x:v>Epinephelus marginatus</x:v>
      </x:c>
      <x:c r="F197" s="24" t="str">
        <x:v>Dusky grouper</x:v>
      </x:c>
      <x:c r="G197" s="24" t="str">
        <x:v>Large reef assoc. fish (&gt;=90 cm)</x:v>
      </x:c>
      <x:c r="H197" s="24" t="str">
        <x:v>Perch-likes</x:v>
      </x:c>
      <x:c r="I197" s="31" t="n">
        <x:v>17.939539133</x:v>
      </x:c>
      <x:c r="J197" s="31" t="n">
        <x:v>16.6185827831</x:v>
      </x:c>
      <x:c r="K197" s="31" t="n">
        <x:v>1.3209563499</x:v>
      </x:c>
      <x:c r="L197" s="31" t="n">
        <x:v>13.2004914482</x:v>
      </x:c>
      <x:c r="M197" s="31" t="n">
        <x:v>4.7390476848</x:v>
      </x:c>
      <x:c r="N197" s="24" t="str">
        <x:v>epinephelus marginatus</x:v>
      </x:c>
      <x:c r="O197" s="32" t="n">
        <x:v>4.43</x:v>
      </x:c>
      <x:c r="P197" s="24" t="str">
        <x:v>exact_2020_supplement</x:v>
      </x:c>
      <x:c r="Q197" s="32" t="str">
        <x:v>2020 supplement MeanTL</x:v>
      </x:c>
      <x:c r="R197" s="24" t="str">
        <x:v>high</x:v>
      </x:c>
      <x:c r="S197" s="24" t="str">
        <x:v>Epinephelus marginatus</x:v>
      </x:c>
      <x:c r="T197" s="32" t="n">
        <x:f>IF(O197="","",(1/'Metadata'!$B$5)^(O197-1))</x:f>
        <x:v>2691.534803926914</x:v>
      </x:c>
      <x:c r="U197" s="31" t="n">
        <x:f>IF(T197="","",I197*T197)</x:f>
        <x:v>48284.893942878356</x:v>
      </x:c>
    </x:row>
    <x:row r="198" ht="18" customHeight="1">
      <x:c r="A198" s="24" t="str">
        <x:v>EEZ_962</x:v>
      </x:c>
      <x:c r="B198" s="24" t="str">
        <x:v>Spain (mainland, Med and Gulf of Cadiz)</x:v>
      </x:c>
      <x:c r="C198" s="24" t="str">
        <x:v>EEZ</x:v>
      </x:c>
      <x:c r="D198" s="30" t="n">
        <x:v>2019</x:v>
      </x:c>
      <x:c r="E198" s="24" t="str">
        <x:v>Pagellus</x:v>
      </x:c>
      <x:c r="F198" s="24" t="str">
        <x:v>Pandoras</x:v>
      </x:c>
      <x:c r="G198" s="24" t="str">
        <x:v>Medium benthopelagics (30 - 89 cm)</x:v>
      </x:c>
      <x:c r="H198" s="24" t="str">
        <x:v>Perch-likes</x:v>
      </x:c>
      <x:c r="I198" s="31" t="n">
        <x:v>17.7358905935</x:v>
      </x:c>
      <x:c r="J198" s="31" t="n">
        <x:v>14.6026691815</x:v>
      </x:c>
      <x:c r="K198" s="31" t="n">
        <x:v>3.133221412</x:v>
      </x:c>
      <x:c r="L198" s="31" t="n">
        <x:v>14.194228491099999</x:v>
      </x:c>
      <x:c r="M198" s="31" t="n">
        <x:v>3.5416621024</x:v>
      </x:c>
      <x:c r="N198" s="24" t="str">
        <x:v>pagellus</x:v>
      </x:c>
      <x:c r="O198" s="32" t="n">
        <x:v>3.44</x:v>
      </x:c>
      <x:c r="P198" s="24" t="str">
        <x:v>exact_sea_around_us</x:v>
      </x:c>
      <x:c r="Q198" s="32" t="str">
        <x:v>Sea Around Us exploited organisms</x:v>
      </x:c>
      <x:c r="R198" s="24" t="str">
        <x:v>high</x:v>
      </x:c>
      <x:c r="S198" s="24" t="str">
        <x:v>Pagellus</x:v>
      </x:c>
      <x:c r="T198" s="32" t="n">
        <x:f>IF(O198="","",(1/'Metadata'!$B$5)^(O198-1))</x:f>
        <x:v>275.4228703338166</x:v>
      </x:c>
      <x:c r="U198" s="31" t="n">
        <x:f>IF(T198="","",I198*T198)</x:f>
        <x:v>4884.869895188308</x:v>
      </x:c>
    </x:row>
    <x:row r="199" ht="18" customHeight="1">
      <x:c r="A199" s="24" t="str">
        <x:v>EEZ_962</x:v>
      </x:c>
      <x:c r="B199" s="24" t="str">
        <x:v>Spain (mainland, Med and Gulf of Cadiz)</x:v>
      </x:c>
      <x:c r="C199" s="24" t="str">
        <x:v>EEZ</x:v>
      </x:c>
      <x:c r="D199" s="30" t="n">
        <x:v>2019</x:v>
      </x:c>
      <x:c r="E199" s="24" t="str">
        <x:v>Diplodus puntazzo</x:v>
      </x:c>
      <x:c r="F199" s="24" t="str">
        <x:v>Sharpsnout seabream</x:v>
      </x:c>
      <x:c r="G199" s="24" t="str">
        <x:v>Medium benthopelagics (30 - 89 cm)</x:v>
      </x:c>
      <x:c r="H199" s="24" t="str">
        <x:v>Perch-likes</x:v>
      </x:c>
      <x:c r="I199" s="31" t="n">
        <x:v>15.961856219200001</x:v>
      </x:c>
      <x:c r="J199" s="31" t="n">
        <x:v>14.2906054745</x:v>
      </x:c>
      <x:c r="K199" s="31" t="n">
        <x:v>1.6712507446999998</x:v>
      </x:c>
      <x:c r="L199" s="31" t="n">
        <x:v>13.271897042900001</x:v>
      </x:c>
      <x:c r="M199" s="31" t="n">
        <x:v>2.6899591763</x:v>
      </x:c>
      <x:c r="N199" s="24" t="str">
        <x:v>diplodus puntazzo</x:v>
      </x:c>
      <x:c r="O199" s="32" t="n">
        <x:v>3.22</x:v>
      </x:c>
      <x:c r="P199" s="24" t="str">
        <x:v>exact_2020_supplement</x:v>
      </x:c>
      <x:c r="Q199" s="32" t="str">
        <x:v>2020 supplement MeanTL</x:v>
      </x:c>
      <x:c r="R199" s="24" t="str">
        <x:v>high</x:v>
      </x:c>
      <x:c r="S199" s="24" t="str">
        <x:v>Diplodus puntazzo</x:v>
      </x:c>
      <x:c r="T199" s="32" t="n">
        <x:f>IF(O199="","",(1/'Metadata'!$B$5)^(O199-1))</x:f>
        <x:v>165.95869074375614</x:v>
      </x:c>
      <x:c r="U199" s="31" t="n">
        <x:f>IF(T199="","",I199*T199)</x:f>
        <x:v>2649.0087599785134</x:v>
      </x:c>
    </x:row>
    <x:row r="200" ht="18" customHeight="1">
      <x:c r="A200" s="24" t="str">
        <x:v>EEZ_962</x:v>
      </x:c>
      <x:c r="B200" s="24" t="str">
        <x:v>Spain (mainland, Med and Gulf of Cadiz)</x:v>
      </x:c>
      <x:c r="C200" s="24" t="str">
        <x:v>EEZ</x:v>
      </x:c>
      <x:c r="D200" s="30" t="n">
        <x:v>2019</x:v>
      </x:c>
      <x:c r="E200" s="24" t="str">
        <x:v>Palaemonidae</x:v>
      </x:c>
      <x:c r="F200" s="24" t="str">
        <x:v>Clawed shrimps</x:v>
      </x:c>
      <x:c r="G200" s="24" t="str">
        <x:v>Shrimps</x:v>
      </x:c>
      <x:c r="H200" s="24" t="str">
        <x:v>Crustaceans</x:v>
      </x:c>
      <x:c r="I200" s="31" t="n">
        <x:v>15.7131583241</x:v>
      </x:c>
      <x:c r="J200" s="31" t="n">
        <x:v>12.884180492</x:v>
      </x:c>
      <x:c r="K200" s="31" t="n">
        <x:v>2.8289778321</x:v>
      </x:c>
      <x:c r="L200" s="31" t="n">
        <x:v>12.18216774</x:v>
      </x:c>
      <x:c r="M200" s="31" t="n">
        <x:v>3.5309905841</x:v>
      </x:c>
      <x:c r="N200" s="24" t="str">
        <x:v>palaemonidae</x:v>
      </x:c>
      <x:c r="O200" s="32" t="n">
        <x:v>3.14</x:v>
      </x:c>
      <x:c r="P200" s="24" t="str">
        <x:v>exact_sea_around_us</x:v>
      </x:c>
      <x:c r="Q200" s="32" t="str">
        <x:v>Sea Around Us exploited organisms</x:v>
      </x:c>
      <x:c r="R200" s="24" t="str">
        <x:v>high</x:v>
      </x:c>
      <x:c r="S200" s="24" t="str">
        <x:v>Palaemonidae</x:v>
      </x:c>
      <x:c r="T200" s="32" t="n">
        <x:f>IF(O200="","",(1/'Metadata'!$B$5)^(O200-1))</x:f>
        <x:v>138.03842646028852</x:v>
      </x:c>
      <x:c r="U200" s="31" t="n">
        <x:f>IF(T200="","",I200*T200)</x:f>
        <x:v>2169.0196497801485</x:v>
      </x:c>
    </x:row>
    <x:row r="201" ht="18" customHeight="1">
      <x:c r="A201" s="24" t="str">
        <x:v>EEZ_962</x:v>
      </x:c>
      <x:c r="B201" s="24" t="str">
        <x:v>Spain (mainland, Med and Gulf of Cadiz)</x:v>
      </x:c>
      <x:c r="C201" s="24" t="str">
        <x:v>EEZ</x:v>
      </x:c>
      <x:c r="D201" s="30" t="n">
        <x:v>2019</x:v>
      </x:c>
      <x:c r="E201" s="24" t="str">
        <x:v>Labrus</x:v>
      </x:c>
      <x:c r="F201" s="24" t="str">
        <x:v>Wrasse</x:v>
      </x:c>
      <x:c r="G201" s="24" t="str">
        <x:v>Medium reef assoc. fish (30 - 89 cm)</x:v>
      </x:c>
      <x:c r="H201" s="24" t="str">
        <x:v>Perch-likes</x:v>
      </x:c>
      <x:c r="I201" s="31" t="n">
        <x:v>15.5187466621</x:v>
      </x:c>
      <x:c r="J201" s="31" t="n">
        <x:v>15.5187466621</x:v>
      </x:c>
      <x:c r="K201" s="31" t="n">
        <x:v>0</x:v>
      </x:c>
      <x:c r="L201" s="31" t="n">
        <x:v>0</x:v>
      </x:c>
      <x:c r="M201" s="31" t="n">
        <x:v>15.5187466621</x:v>
      </x:c>
      <x:c r="N201" s="24" t="str">
        <x:v>labrus</x:v>
      </x:c>
      <x:c r="O201" s="32" t="n">
        <x:v>3.56</x:v>
      </x:c>
      <x:c r="P201" s="24" t="str">
        <x:v>exact_sea_around_us</x:v>
      </x:c>
      <x:c r="Q201" s="32" t="str">
        <x:v>Sea Around Us exploited organisms</x:v>
      </x:c>
      <x:c r="R201" s="24" t="str">
        <x:v>high</x:v>
      </x:c>
      <x:c r="S201" s="24" t="str">
        <x:v>Labrus</x:v>
      </x:c>
      <x:c r="T201" s="32" t="n">
        <x:f>IF(O201="","",(1/'Metadata'!$B$5)^(O201-1))</x:f>
        <x:v>363.0780547701014</x:v>
      </x:c>
      <x:c r="U201" s="31" t="n">
        <x:f>IF(T201="","",I201*T201)</x:f>
        <x:v>5634.516350545272</x:v>
      </x:c>
    </x:row>
    <x:row r="202" ht="18" customHeight="1">
      <x:c r="A202" s="24" t="str">
        <x:v>EEZ_962</x:v>
      </x:c>
      <x:c r="B202" s="24" t="str">
        <x:v>Spain (mainland, Med and Gulf of Cadiz)</x:v>
      </x:c>
      <x:c r="C202" s="24" t="str">
        <x:v>EEZ</x:v>
      </x:c>
      <x:c r="D202" s="30" t="n">
        <x:v>2019</x:v>
      </x:c>
      <x:c r="E202" s="24" t="str">
        <x:v>Squaliformes</x:v>
      </x:c>
      <x:c r="F202" s="24" t="str">
        <x:v>Bramble, sleeper, dogfish sharks</x:v>
      </x:c>
      <x:c r="G202" s="24" t="str">
        <x:v>Large sharks (&gt;=90 cm)</x:v>
      </x:c>
      <x:c r="H202" s="24" t="str">
        <x:v>Sharks &amp; rays</x:v>
      </x:c>
      <x:c r="I202" s="31" t="n">
        <x:v>15.398107607</x:v>
      </x:c>
      <x:c r="J202" s="31" t="n">
        <x:v>10.9214964438</x:v>
      </x:c>
      <x:c r="K202" s="31" t="n">
        <x:v>4.4766111632</x:v>
      </x:c>
      <x:c r="L202" s="31" t="n">
        <x:v>10.1037504716</x:v>
      </x:c>
      <x:c r="M202" s="31" t="n">
        <x:v>5.2943571354</x:v>
      </x:c>
      <x:c r="N202" s="24" t="str">
        <x:v>squaliformes</x:v>
      </x:c>
      <x:c r="O202" s="32" t="n">
        <x:v>4.19</x:v>
      </x:c>
      <x:c r="P202" s="24" t="str">
        <x:v>exact_sea_around_us</x:v>
      </x:c>
      <x:c r="Q202" s="32" t="str">
        <x:v>Sea Around Us exploited organisms</x:v>
      </x:c>
      <x:c r="R202" s="24" t="str">
        <x:v>high</x:v>
      </x:c>
      <x:c r="S202" s="24" t="str">
        <x:v>Squaliformes</x:v>
      </x:c>
      <x:c r="T202" s="32" t="n">
        <x:f>IF(O202="","",(1/'Metadata'!$B$5)^(O202-1))</x:f>
        <x:v>1548.8166189124827</x:v>
      </x:c>
      <x:c r="U202" s="31" t="n">
        <x:f>IF(T202="","",I202*T202)</x:f>
        <x:v>23848.84496152432</x:v>
      </x:c>
    </x:row>
    <x:row r="203" ht="18" customHeight="1">
      <x:c r="A203" s="24" t="str">
        <x:v>EEZ_962</x:v>
      </x:c>
      <x:c r="B203" s="24" t="str">
        <x:v>Spain (mainland, Med and Gulf of Cadiz)</x:v>
      </x:c>
      <x:c r="C203" s="24" t="str">
        <x:v>EEZ</x:v>
      </x:c>
      <x:c r="D203" s="30" t="n">
        <x:v>2019</x:v>
      </x:c>
      <x:c r="E203" s="24" t="str">
        <x:v>Dicentrarchus punctatus</x:v>
      </x:c>
      <x:c r="F203" s="24" t="str">
        <x:v>Spotted seabass</x:v>
      </x:c>
      <x:c r="G203" s="24" t="str">
        <x:v>Medium pelagics (30 - 89 cm)</x:v>
      </x:c>
      <x:c r="H203" s="24" t="str">
        <x:v>Perch-likes</x:v>
      </x:c>
      <x:c r="I203" s="31" t="n">
        <x:v>14.967769513499999</x:v>
      </x:c>
      <x:c r="J203" s="31" t="n">
        <x:v>14.4734538481</x:v>
      </x:c>
      <x:c r="K203" s="31" t="n">
        <x:v>0.4943156654</x:v>
      </x:c>
      <x:c r="L203" s="31" t="n">
        <x:v>12.0560858828</x:v>
      </x:c>
      <x:c r="M203" s="31" t="n">
        <x:v>2.9116836307000002</x:v>
      </x:c>
      <x:c r="N203" s="24" t="str">
        <x:v>dicentrarchus punctatus</x:v>
      </x:c>
      <x:c r="O203" s="32" t="n">
        <x:v>3.94</x:v>
      </x:c>
      <x:c r="P203" s="24" t="str">
        <x:v>exact_2020_supplement</x:v>
      </x:c>
      <x:c r="Q203" s="32" t="str">
        <x:v>2020 supplement MeanTL</x:v>
      </x:c>
      <x:c r="R203" s="24" t="str">
        <x:v>high</x:v>
      </x:c>
      <x:c r="S203" s="24" t="str">
        <x:v>Dicentrarchus punctatus</x:v>
      </x:c>
      <x:c r="T203" s="32" t="n">
        <x:f>IF(O203="","",(1/'Metadata'!$B$5)^(O203-1))</x:f>
        <x:v>870.9635899560806</x:v>
      </x:c>
      <x:c r="U203" s="31" t="n">
        <x:f>IF(T203="","",I203*T203)</x:f>
        <x:v>13036.382269113137</x:v>
      </x:c>
    </x:row>
    <x:row r="204" ht="18" customHeight="1">
      <x:c r="A204" s="24" t="str">
        <x:v>EEZ_962</x:v>
      </x:c>
      <x:c r="B204" s="24" t="str">
        <x:v>Spain (mainland, Med and Gulf of Cadiz)</x:v>
      </x:c>
      <x:c r="C204" s="24" t="str">
        <x:v>EEZ</x:v>
      </x:c>
      <x:c r="D204" s="30" t="n">
        <x:v>2019</x:v>
      </x:c>
      <x:c r="E204" s="24" t="str">
        <x:v>Pleuronectiformes</x:v>
      </x:c>
      <x:c r="F204" s="24" t="str">
        <x:v>Flatfishes</x:v>
      </x:c>
      <x:c r="G204" s="24" t="str">
        <x:v>Small to medium flatfishes (&lt;90 cm)</x:v>
      </x:c>
      <x:c r="H204" s="24" t="str">
        <x:v>Flatfishes</x:v>
      </x:c>
      <x:c r="I204" s="31" t="n">
        <x:v>14.7915376632</x:v>
      </x:c>
      <x:c r="J204" s="31" t="n">
        <x:v>13.541947868000001</x:v>
      </x:c>
      <x:c r="K204" s="31" t="n">
        <x:v>1.2495897952000001</x:v>
      </x:c>
      <x:c r="L204" s="31" t="n">
        <x:v>13.4303812613</x:v>
      </x:c>
      <x:c r="M204" s="31" t="n">
        <x:v>1.3611564019</x:v>
      </x:c>
      <x:c r="N204" s="24" t="str">
        <x:v>pleuronectiformes</x:v>
      </x:c>
      <x:c r="O204" s="32" t="n">
        <x:v>3.57</x:v>
      </x:c>
      <x:c r="P204" s="24" t="str">
        <x:v>exact_sea_around_us</x:v>
      </x:c>
      <x:c r="Q204" s="32" t="str">
        <x:v>Sea Around Us exploited organisms</x:v>
      </x:c>
      <x:c r="R204" s="24" t="str">
        <x:v>high</x:v>
      </x:c>
      <x:c r="S204" s="24" t="str">
        <x:v>Pleuronectiformes</x:v>
      </x:c>
      <x:c r="T204" s="32" t="n">
        <x:f>IF(O204="","",(1/'Metadata'!$B$5)^(O204-1))</x:f>
        <x:v>371.5352290971724</x:v>
      </x:c>
      <x:c r="U204" s="31" t="n">
        <x:f>IF(T204="","",I204*T204)</x:f>
        <x:v>5495.5773343964665</x:v>
      </x:c>
    </x:row>
    <x:row r="205" ht="18" customHeight="1">
      <x:c r="A205" s="24" t="str">
        <x:v>EEZ_962</x:v>
      </x:c>
      <x:c r="B205" s="24" t="str">
        <x:v>Spain (mainland, Med and Gulf of Cadiz)</x:v>
      </x:c>
      <x:c r="C205" s="24" t="str">
        <x:v>EEZ</x:v>
      </x:c>
      <x:c r="D205" s="30" t="n">
        <x:v>2019</x:v>
      </x:c>
      <x:c r="E205" s="24" t="str">
        <x:v>Liocarcinus</x:v>
      </x:c>
      <x:c r="F205" s="24" t="str">
        <x:v>Flying and swimcrabs</x:v>
      </x:c>
      <x:c r="G205" s="24" t="str">
        <x:v>Lobsters, crabs</x:v>
      </x:c>
      <x:c r="H205" s="24" t="str">
        <x:v>Crustaceans</x:v>
      </x:c>
      <x:c r="I205" s="31" t="n">
        <x:v>14.7023294628</x:v>
      </x:c>
      <x:c r="J205" s="31" t="n">
        <x:v>8.4485391366</x:v>
      </x:c>
      <x:c r="K205" s="31" t="n">
        <x:v>6.2537903262</x:v>
      </x:c>
      <x:c r="L205" s="31" t="n">
        <x:v>7.1841593798000005</x:v>
      </x:c>
      <x:c r="M205" s="31" t="n">
        <x:v>7.518170083</x:v>
      </x:c>
      <x:c r="N205" s="24" t="str">
        <x:v>liocarcinus</x:v>
      </x:c>
      <x:c r="O205" s="32" t="n">
        <x:v>3.56</x:v>
      </x:c>
      <x:c r="P205" s="24" t="str">
        <x:v>exact_sea_around_us</x:v>
      </x:c>
      <x:c r="Q205" s="32" t="str">
        <x:v>Sea Around Us exploited organisms</x:v>
      </x:c>
      <x:c r="R205" s="24" t="str">
        <x:v>high</x:v>
      </x:c>
      <x:c r="S205" s="24" t="str">
        <x:v>Liocarcinus</x:v>
      </x:c>
      <x:c r="T205" s="32" t="n">
        <x:f>IF(O205="","",(1/'Metadata'!$B$5)^(O205-1))</x:f>
        <x:v>363.0780547701014</x:v>
      </x:c>
      <x:c r="U205" s="31" t="n">
        <x:f>IF(T205="","",I205*T205)</x:f>
        <x:v>5338.093181942574</x:v>
      </x:c>
    </x:row>
    <x:row r="206" ht="18" customHeight="1">
      <x:c r="A206" s="24" t="str">
        <x:v>EEZ_962</x:v>
      </x:c>
      <x:c r="B206" s="24" t="str">
        <x:v>Spain (mainland, Med and Gulf of Cadiz)</x:v>
      </x:c>
      <x:c r="C206" s="24" t="str">
        <x:v>EEZ</x:v>
      </x:c>
      <x:c r="D206" s="30" t="n">
        <x:v>2019</x:v>
      </x:c>
      <x:c r="E206" s="24" t="str">
        <x:v>Squalus blainville</x:v>
      </x:c>
      <x:c r="F206" s="24" t="str">
        <x:v>Longnose spurdog</x:v>
      </x:c>
      <x:c r="G206" s="24" t="str">
        <x:v>Small to medium sharks (&lt;90 cm)</x:v>
      </x:c>
      <x:c r="H206" s="24" t="str">
        <x:v>Sharks &amp; rays</x:v>
      </x:c>
      <x:c r="I206" s="31" t="n">
        <x:v>14.5967503579</x:v>
      </x:c>
      <x:c r="J206" s="31" t="n">
        <x:v>12.6848380959</x:v>
      </x:c>
      <x:c r="K206" s="31" t="n">
        <x:v>1.911912262</x:v>
      </x:c>
      <x:c r="L206" s="31" t="n">
        <x:v>6.5784945415000005</x:v>
      </x:c>
      <x:c r="M206" s="31" t="n">
        <x:v>8.0182558164</x:v>
      </x:c>
      <x:c r="N206" s="24" t="str">
        <x:v>squalus blainville</x:v>
      </x:c>
      <x:c r="O206" s="32" t="n">
        <x:v>3.97</x:v>
      </x:c>
      <x:c r="P206" s="24" t="str">
        <x:v>exact_2020_supplement</x:v>
      </x:c>
      <x:c r="Q206" s="32" t="str">
        <x:v>2020 supplement MeanTL</x:v>
      </x:c>
      <x:c r="R206" s="24" t="str">
        <x:v>high</x:v>
      </x:c>
      <x:c r="S206" s="24" t="str">
        <x:v>Squalus blainville</x:v>
      </x:c>
      <x:c r="T206" s="32" t="n">
        <x:f>IF(O206="","",(1/'Metadata'!$B$5)^(O206-1))</x:f>
        <x:v>933.2543007969915</x:v>
      </x:c>
      <x:c r="U206" s="31" t="n">
        <x:f>IF(T206="","",I206*T206)</x:f>
        <x:v>13622.480049170199</x:v>
      </x:c>
    </x:row>
    <x:row r="207" ht="18" customHeight="1">
      <x:c r="A207" s="24" t="str">
        <x:v>EEZ_962</x:v>
      </x:c>
      <x:c r="B207" s="24" t="str">
        <x:v>Spain (mainland, Med and Gulf of Cadiz)</x:v>
      </x:c>
      <x:c r="C207" s="24" t="str">
        <x:v>EEZ</x:v>
      </x:c>
      <x:c r="D207" s="30" t="n">
        <x:v>2019</x:v>
      </x:c>
      <x:c r="E207" s="24" t="str">
        <x:v>Halobatrachus didactylus</x:v>
      </x:c>
      <x:c r="F207" s="24" t="str">
        <x:v>Lusitanian toadfish</x:v>
      </x:c>
      <x:c r="G207" s="24" t="str">
        <x:v>Medium demersals (30 - 89 cm)</x:v>
      </x:c>
      <x:c r="H207" s="24" t="str">
        <x:v>Other fishes &amp; inverts</x:v>
      </x:c>
      <x:c r="I207" s="31" t="n">
        <x:v>14.4389417934</x:v>
      </x:c>
      <x:c r="J207" s="31" t="n">
        <x:v>11.4967476625</x:v>
      </x:c>
      <x:c r="K207" s="31" t="n">
        <x:v>2.9421941309</x:v>
      </x:c>
      <x:c r="L207" s="31" t="n">
        <x:v>10.32010587</x:v>
      </x:c>
      <x:c r="M207" s="31" t="n">
        <x:v>4.1188359234</x:v>
      </x:c>
      <x:c r="N207" s="24" t="str">
        <x:v>halobatrachus didactylus</x:v>
      </x:c>
      <x:c r="O207" s="32" t="n">
        <x:v>3.95</x:v>
      </x:c>
      <x:c r="P207" s="24" t="str">
        <x:v>exact_2020_supplement</x:v>
      </x:c>
      <x:c r="Q207" s="32" t="str">
        <x:v>2020 supplement MeanTL</x:v>
      </x:c>
      <x:c r="R207" s="24" t="str">
        <x:v>high</x:v>
      </x:c>
      <x:c r="S207" s="24" t="str">
        <x:v>Halobatrachus didactylus</x:v>
      </x:c>
      <x:c r="T207" s="32" t="n">
        <x:f>IF(O207="","",(1/'Metadata'!$B$5)^(O207-1))</x:f>
        <x:v>891.2509381337459</x:v>
      </x:c>
      <x:c r="U207" s="31" t="n">
        <x:f>IF(T207="","",I207*T207)</x:f>
        <x:v>12868.7204190263</x:v>
      </x:c>
    </x:row>
    <x:row r="208" ht="18" customHeight="1">
      <x:c r="A208" s="24" t="str">
        <x:v>EEZ_962</x:v>
      </x:c>
      <x:c r="B208" s="24" t="str">
        <x:v>Spain (mainland, Med and Gulf of Cadiz)</x:v>
      </x:c>
      <x:c r="C208" s="24" t="str">
        <x:v>EEZ</x:v>
      </x:c>
      <x:c r="D208" s="30" t="n">
        <x:v>2019</x:v>
      </x:c>
      <x:c r="E208" s="24" t="str">
        <x:v>Pagrus</x:v>
      </x:c>
      <x:c r="F208" s="24" t="str">
        <x:v>Subtropical seabreams</x:v>
      </x:c>
      <x:c r="G208" s="24" t="str">
        <x:v>Medium benthopelagics (30 - 89 cm)</x:v>
      </x:c>
      <x:c r="H208" s="24" t="str">
        <x:v>Perch-likes</x:v>
      </x:c>
      <x:c r="I208" s="31" t="n">
        <x:v>13.9026175722</x:v>
      </x:c>
      <x:c r="J208" s="31" t="n">
        <x:v>7.143098691800001</x:v>
      </x:c>
      <x:c r="K208" s="31" t="n">
        <x:v>6.7595188804</x:v>
      </x:c>
      <x:c r="L208" s="31" t="n">
        <x:v>5.8099176432</x:v>
      </x:c>
      <x:c r="M208" s="31" t="n">
        <x:v>8.092699929</x:v>
      </x:c>
      <x:c r="N208" s="24" t="str">
        <x:v>pagrus</x:v>
      </x:c>
      <x:c r="O208" s="32" t="n">
        <x:v>3.55</x:v>
      </x:c>
      <x:c r="P208" s="24" t="str">
        <x:v>exact_sea_around_us</x:v>
      </x:c>
      <x:c r="Q208" s="32" t="str">
        <x:v>Sea Around Us exploited organisms</x:v>
      </x:c>
      <x:c r="R208" s="24" t="str">
        <x:v>high</x:v>
      </x:c>
      <x:c r="S208" s="24" t="str">
        <x:v>Pagrus</x:v>
      </x:c>
      <x:c r="T208" s="32" t="n">
        <x:f>IF(O208="","",(1/'Metadata'!$B$5)^(O208-1))</x:f>
        <x:v>354.8133892335753</x:v>
      </x:c>
      <x:c r="U208" s="31" t="n">
        <x:f>IF(T208="","",I208*T208)</x:f>
        <x:v>4932.834860010543</x:v>
      </x:c>
    </x:row>
    <x:row r="209" ht="18" customHeight="1">
      <x:c r="A209" s="24" t="str">
        <x:v>EEZ_962</x:v>
      </x:c>
      <x:c r="B209" s="24" t="str">
        <x:v>Spain (mainland, Med and Gulf of Cadiz)</x:v>
      </x:c>
      <x:c r="C209" s="24" t="str">
        <x:v>EEZ</x:v>
      </x:c>
      <x:c r="D209" s="30" t="n">
        <x:v>2019</x:v>
      </x:c>
      <x:c r="E209" s="24" t="str">
        <x:v>Raja clavata</x:v>
      </x:c>
      <x:c r="F209" s="24" t="str">
        <x:v>Thornback ray</x:v>
      </x:c>
      <x:c r="G209" s="24" t="str">
        <x:v>Large rays (&gt;=90 cm)</x:v>
      </x:c>
      <x:c r="H209" s="24" t="str">
        <x:v>Sharks &amp; rays</x:v>
      </x:c>
      <x:c r="I209" s="31" t="n">
        <x:v>13.1722790727</x:v>
      </x:c>
      <x:c r="J209" s="31" t="n">
        <x:v>10.930551429100001</x:v>
      </x:c>
      <x:c r="K209" s="31" t="n">
        <x:v>2.2417276436</x:v>
      </x:c>
      <x:c r="L209" s="31" t="n">
        <x:v>10.3241888278</x:v>
      </x:c>
      <x:c r="M209" s="31" t="n">
        <x:v>2.8480902449</x:v>
      </x:c>
      <x:c r="N209" s="24" t="str">
        <x:v>raja clavata</x:v>
      </x:c>
      <x:c r="O209" s="32" t="n">
        <x:v>3.84</x:v>
      </x:c>
      <x:c r="P209" s="24" t="str">
        <x:v>exact_2020_supplement</x:v>
      </x:c>
      <x:c r="Q209" s="32" t="str">
        <x:v>2020 supplement MeanTL</x:v>
      </x:c>
      <x:c r="R209" s="24" t="str">
        <x:v>high</x:v>
      </x:c>
      <x:c r="S209" s="24" t="str">
        <x:v>Raja clavata</x:v>
      </x:c>
      <x:c r="T209" s="32" t="n">
        <x:f>IF(O209="","",(1/'Metadata'!$B$5)^(O209-1))</x:f>
        <x:v>691.8309709189363</x:v>
      </x:c>
      <x:c r="U209" s="31" t="n">
        <x:f>IF(T209="","",I209*T209)</x:f>
        <x:v>9112.990620081227</x:v>
      </x:c>
    </x:row>
    <x:row r="210" ht="18" customHeight="1">
      <x:c r="A210" s="24" t="str">
        <x:v>EEZ_962</x:v>
      </x:c>
      <x:c r="B210" s="24" t="str">
        <x:v>Spain (mainland, Med and Gulf of Cadiz)</x:v>
      </x:c>
      <x:c r="C210" s="24" t="str">
        <x:v>EEZ</x:v>
      </x:c>
      <x:c r="D210" s="30" t="n">
        <x:v>2019</x:v>
      </x:c>
      <x:c r="E210" s="24" t="str">
        <x:v>Aphia minuta</x:v>
      </x:c>
      <x:c r="F210" s="24" t="str">
        <x:v>Transparent goby</x:v>
      </x:c>
      <x:c r="G210" s="24" t="str">
        <x:v>Small demersals (&lt;30 cm)</x:v>
      </x:c>
      <x:c r="H210" s="24" t="str">
        <x:v>Perch-likes</x:v>
      </x:c>
      <x:c r="I210" s="31" t="n">
        <x:v>12.784652774800001</x:v>
      </x:c>
      <x:c r="J210" s="31" t="n">
        <x:v>11.612924459000002</x:v>
      </x:c>
      <x:c r="K210" s="31" t="n">
        <x:v>1.1717283157999998</x:v>
      </x:c>
      <x:c r="L210" s="31" t="n">
        <x:v>11.612898368200002</x:v>
      </x:c>
      <x:c r="M210" s="31" t="n">
        <x:v>1.1717544065999999</x:v>
      </x:c>
      <x:c r="N210" s="24" t="str">
        <x:v>aphia minuta</x:v>
      </x:c>
      <x:c r="O210" s="32" t="n">
        <x:v>3.1</x:v>
      </x:c>
      <x:c r="P210" s="24" t="str">
        <x:v>exact_2020_supplement</x:v>
      </x:c>
      <x:c r="Q210" s="32" t="str">
        <x:v>2020 supplement MeanTL</x:v>
      </x:c>
      <x:c r="R210" s="24" t="str">
        <x:v>high</x:v>
      </x:c>
      <x:c r="S210" s="24" t="str">
        <x:v>Aphia minuta</x:v>
      </x:c>
      <x:c r="T210" s="32" t="n">
        <x:f>IF(O210="","",(1/'Metadata'!$B$5)^(O210-1))</x:f>
        <x:v>125.89254117941675</x:v>
      </x:c>
      <x:c r="U210" s="31" t="n">
        <x:f>IF(T210="","",I210*T210)</x:f>
        <x:v>1609.492425916054</x:v>
      </x:c>
    </x:row>
    <x:row r="211" ht="18" customHeight="1">
      <x:c r="A211" s="24" t="str">
        <x:v>EEZ_962</x:v>
      </x:c>
      <x:c r="B211" s="24" t="str">
        <x:v>Spain (mainland, Med and Gulf of Cadiz)</x:v>
      </x:c>
      <x:c r="C211" s="24" t="str">
        <x:v>EEZ</x:v>
      </x:c>
      <x:c r="D211" s="30" t="n">
        <x:v>2019</x:v>
      </x:c>
      <x:c r="E211" s="24" t="str">
        <x:v>Katsuwonus pelamis</x:v>
      </x:c>
      <x:c r="F211" s="24" t="str">
        <x:v>Skipjack tuna</x:v>
      </x:c>
      <x:c r="G211" s="24" t="str">
        <x:v>Large pelagics (&gt;=90 cm)</x:v>
      </x:c>
      <x:c r="H211" s="24" t="str">
        <x:v>Tuna &amp; billfishes</x:v>
      </x:c>
      <x:c r="I211" s="31" t="n">
        <x:v>12.191068269399999</x:v>
      </x:c>
      <x:c r="J211" s="31" t="n">
        <x:v>12.191068269399999</x:v>
      </x:c>
      <x:c r="K211" s="31" t="n">
        <x:v>0</x:v>
      </x:c>
      <x:c r="L211" s="31" t="n">
        <x:v>11.796898494799999</x:v>
      </x:c>
      <x:c r="M211" s="31" t="n">
        <x:v>0.3941697746</x:v>
      </x:c>
      <x:c r="N211" s="24" t="str">
        <x:v>katsuwonus pelamis</x:v>
      </x:c>
      <x:c r="O211" s="32" t="n">
        <x:v>4.43</x:v>
      </x:c>
      <x:c r="P211" s="24" t="str">
        <x:v>exact_2020_supplement</x:v>
      </x:c>
      <x:c r="Q211" s="32" t="str">
        <x:v>2020 supplement MeanTL</x:v>
      </x:c>
      <x:c r="R211" s="24" t="str">
        <x:v>high</x:v>
      </x:c>
      <x:c r="S211" s="24" t="str">
        <x:v>Katsuwonus pelamis</x:v>
      </x:c>
      <x:c r="T211" s="32" t="n">
        <x:f>IF(O211="","",(1/'Metadata'!$B$5)^(O211-1))</x:f>
        <x:v>2691.534803926914</x:v>
      </x:c>
      <x:c r="U211" s="31" t="n">
        <x:f>IF(T211="","",I211*T211)</x:f>
        <x:v>32812.68454413915</x:v>
      </x:c>
    </x:row>
    <x:row r="212" ht="18" customHeight="1">
      <x:c r="A212" s="24" t="str">
        <x:v>EEZ_962</x:v>
      </x:c>
      <x:c r="B212" s="24" t="str">
        <x:v>Spain (mainland, Med and Gulf of Cadiz)</x:v>
      </x:c>
      <x:c r="C212" s="24" t="str">
        <x:v>EEZ</x:v>
      </x:c>
      <x:c r="D212" s="30" t="n">
        <x:v>2019</x:v>
      </x:c>
      <x:c r="E212" s="24" t="str">
        <x:v>Centrolophidae</x:v>
      </x:c>
      <x:c r="F212" s="24" t="str">
        <x:v>Medusafishes</x:v>
      </x:c>
      <x:c r="G212" s="24" t="str">
        <x:v>Medium benthopelagics (30 - 89 cm)</x:v>
      </x:c>
      <x:c r="H212" s="24" t="str">
        <x:v>Perch-likes</x:v>
      </x:c>
      <x:c r="I212" s="31" t="n">
        <x:v>12.1066316327</x:v>
      </x:c>
      <x:c r="J212" s="31" t="n">
        <x:v>10.3780969708</x:v>
      </x:c>
      <x:c r="K212" s="31" t="n">
        <x:v>1.7285346619000002</x:v>
      </x:c>
      <x:c r="L212" s="31" t="n">
        <x:v>10.067450965899999</x:v>
      </x:c>
      <x:c r="M212" s="31" t="n">
        <x:v>2.0391806668</x:v>
      </x:c>
      <x:c r="N212" s="24" t="str">
        <x:v>centrolophidae</x:v>
      </x:c>
      <x:c r="O212" s="32" t="n">
        <x:v>3.65</x:v>
      </x:c>
      <x:c r="P212" s="24" t="str">
        <x:v>exact_sea_around_us</x:v>
      </x:c>
      <x:c r="Q212" s="32" t="str">
        <x:v>Sea Around Us exploited organisms</x:v>
      </x:c>
      <x:c r="R212" s="24" t="str">
        <x:v>high</x:v>
      </x:c>
      <x:c r="S212" s="24" t="str">
        <x:v>Centrolophidae</x:v>
      </x:c>
      <x:c r="T212" s="32" t="n">
        <x:f>IF(O212="","",(1/'Metadata'!$B$5)^(O212-1))</x:f>
        <x:v>446.683592150963</x:v>
      </x:c>
      <x:c r="U212" s="31" t="n">
        <x:f>IF(T212="","",I212*T212)</x:f>
        <x:v>5407.833706542914</x:v>
      </x:c>
    </x:row>
    <x:row r="213" ht="18" customHeight="1">
      <x:c r="A213" s="24" t="str">
        <x:v>EEZ_962</x:v>
      </x:c>
      <x:c r="B213" s="24" t="str">
        <x:v>Spain (mainland, Med and Gulf of Cadiz)</x:v>
      </x:c>
      <x:c r="C213" s="24" t="str">
        <x:v>EEZ</x:v>
      </x:c>
      <x:c r="D213" s="30" t="n">
        <x:v>2019</x:v>
      </x:c>
      <x:c r="E213" s="24" t="str">
        <x:v>Pasiphaea multidentata</x:v>
      </x:c>
      <x:c r="F213" s="24" t="str">
        <x:v>Pink glass shrimp</x:v>
      </x:c>
      <x:c r="G213" s="24" t="str">
        <x:v>Shrimps</x:v>
      </x:c>
      <x:c r="H213" s="24" t="str">
        <x:v>Crustaceans</x:v>
      </x:c>
      <x:c r="I213" s="31" t="n">
        <x:v>11.7711197087</x:v>
      </x:c>
      <x:c r="J213" s="31" t="n">
        <x:v>9.0525320299</x:v>
      </x:c>
      <x:c r="K213" s="31" t="n">
        <x:v>2.7185876788</x:v>
      </x:c>
      <x:c r="L213" s="31" t="n">
        <x:v>8.6074425341</x:v>
      </x:c>
      <x:c r="M213" s="31" t="n">
        <x:v>3.1636771746</x:v>
      </x:c>
      <x:c r="N213" s="24" t="str">
        <x:v>pasiphaea multidentata</x:v>
      </x:c>
      <x:c r="O213" s="32" t="n">
        <x:v>3.69</x:v>
      </x:c>
      <x:c r="P213" s="24" t="str">
        <x:v>exact_sea_around_us</x:v>
      </x:c>
      <x:c r="Q213" s="32" t="str">
        <x:v>Sea Around Us exploited organisms</x:v>
      </x:c>
      <x:c r="R213" s="24" t="str">
        <x:v>high</x:v>
      </x:c>
      <x:c r="S213" s="24" t="str">
        <x:v>Pasiphaea multidentata</x:v>
      </x:c>
      <x:c r="T213" s="32" t="n">
        <x:f>IF(O213="","",(1/'Metadata'!$B$5)^(O213-1))</x:f>
        <x:v>489.77881936844614</x:v>
      </x:c>
      <x:c r="U213" s="31" t="n">
        <x:f>IF(T213="","",I213*T213)</x:f>
        <x:v>5765.245113571734</x:v>
      </x:c>
    </x:row>
    <x:row r="214" ht="18" customHeight="1">
      <x:c r="A214" s="24" t="str">
        <x:v>EEZ_962</x:v>
      </x:c>
      <x:c r="B214" s="24" t="str">
        <x:v>Spain (mainland, Med and Gulf of Cadiz)</x:v>
      </x:c>
      <x:c r="C214" s="24" t="str">
        <x:v>EEZ</x:v>
      </x:c>
      <x:c r="D214" s="30" t="n">
        <x:v>2019</x:v>
      </x:c>
      <x:c r="E214" s="24" t="str">
        <x:v>Chelidonichthys cuculus</x:v>
      </x:c>
      <x:c r="F214" s="24" t="str">
        <x:v>Red gurnard</x:v>
      </x:c>
      <x:c r="G214" s="24" t="str">
        <x:v>Medium demersals (30 - 89 cm)</x:v>
      </x:c>
      <x:c r="H214" s="24" t="str">
        <x:v>Scorpionfishes</x:v>
      </x:c>
      <x:c r="I214" s="31" t="n">
        <x:v>11.517301031199999</x:v>
      </x:c>
      <x:c r="J214" s="31" t="n">
        <x:v>11.1286707327</x:v>
      </x:c>
      <x:c r="K214" s="31" t="n">
        <x:v>0.3886302985</x:v>
      </x:c>
      <x:c r="L214" s="31" t="n">
        <x:v>10.779399826199999</x:v>
      </x:c>
      <x:c r="M214" s="31" t="n">
        <x:v>0.737901205</x:v>
      </x:c>
      <x:c r="N214" s="24" t="str">
        <x:v>chelidonichthys cuculus</x:v>
      </x:c>
      <x:c r="O214" s="32" t="n">
        <x:v>3.81</x:v>
      </x:c>
      <x:c r="P214" s="24" t="str">
        <x:v>exact_2020_supplement</x:v>
      </x:c>
      <x:c r="Q214" s="32" t="str">
        <x:v>2020 supplement MeanTL</x:v>
      </x:c>
      <x:c r="R214" s="24" t="str">
        <x:v>high</x:v>
      </x:c>
      <x:c r="S214" s="24" t="str">
        <x:v>Chelidonichthys cuculus</x:v>
      </x:c>
      <x:c r="T214" s="32" t="n">
        <x:f>IF(O214="","",(1/'Metadata'!$B$5)^(O214-1))</x:f>
        <x:v>645.6542290346556</x:v>
      </x:c>
      <x:c r="U214" s="31" t="n">
        <x:f>IF(T214="","",I214*T214)</x:f>
        <x:v>7436.194117859479</x:v>
      </x:c>
    </x:row>
    <x:row r="215" ht="18" customHeight="1">
      <x:c r="A215" s="24" t="str">
        <x:v>EEZ_962</x:v>
      </x:c>
      <x:c r="B215" s="24" t="str">
        <x:v>Spain (mainland, Med and Gulf of Cadiz)</x:v>
      </x:c>
      <x:c r="C215" s="24" t="str">
        <x:v>EEZ</x:v>
      </x:c>
      <x:c r="D215" s="30" t="n">
        <x:v>2019</x:v>
      </x:c>
      <x:c r="E215" s="24" t="str">
        <x:v>Lepidocybium flavobrunneum</x:v>
      </x:c>
      <x:c r="F215" s="24" t="str">
        <x:v>Escolar</x:v>
      </x:c>
      <x:c r="G215" s="24" t="str">
        <x:v>Large bathypelagics (&gt;=90 cm)</x:v>
      </x:c>
      <x:c r="H215" s="24" t="str">
        <x:v>Perch-likes</x:v>
      </x:c>
      <x:c r="I215" s="31" t="n">
        <x:v>10.983485991</x:v>
      </x:c>
      <x:c r="J215" s="31" t="n">
        <x:v>10.8724077849</x:v>
      </x:c>
      <x:c r="K215" s="31" t="n">
        <x:v>0.1110782061</x:v>
      </x:c>
      <x:c r="L215" s="31" t="n">
        <x:v>9.8948683046</x:v>
      </x:c>
      <x:c r="M215" s="31" t="n">
        <x:v>1.0886176864</x:v>
      </x:c>
      <x:c r="N215" s="24" t="str">
        <x:v>lepidocybium flavobrunneum</x:v>
      </x:c>
      <x:c r="O215" s="32" t="n">
        <x:v>4.34</x:v>
      </x:c>
      <x:c r="P215" s="24" t="str">
        <x:v>exact_2020_supplement</x:v>
      </x:c>
      <x:c r="Q215" s="32" t="str">
        <x:v>2020 supplement MeanTL</x:v>
      </x:c>
      <x:c r="R215" s="24" t="str">
        <x:v>high</x:v>
      </x:c>
      <x:c r="S215" s="24" t="str">
        <x:v>Lepidocybium flavobrunneum</x:v>
      </x:c>
      <x:c r="T215" s="32" t="n">
        <x:f>IF(O215="","",(1/'Metadata'!$B$5)^(O215-1))</x:f>
        <x:v>2187.761623949552</x:v>
      </x:c>
      <x:c r="U215" s="31" t="n">
        <x:f>IF(T215="","",I215*T215)</x:f>
        <x:v>24029.249148297313</x:v>
      </x:c>
    </x:row>
    <x:row r="216" ht="18" customHeight="1">
      <x:c r="A216" s="24" t="str">
        <x:v>EEZ_962</x:v>
      </x:c>
      <x:c r="B216" s="24" t="str">
        <x:v>Spain (mainland, Med and Gulf of Cadiz)</x:v>
      </x:c>
      <x:c r="C216" s="24" t="str">
        <x:v>EEZ</x:v>
      </x:c>
      <x:c r="D216" s="30" t="n">
        <x:v>2019</x:v>
      </x:c>
      <x:c r="E216" s="24" t="str">
        <x:v>Arnoglossus kessleri</x:v>
      </x:c>
      <x:c r="F216" s="24" t="str">
        <x:v>Scaldback</x:v>
      </x:c>
      <x:c r="G216" s="24" t="str">
        <x:v>Small to medium flatfishes (&lt;90 cm)</x:v>
      </x:c>
      <x:c r="H216" s="24" t="str">
        <x:v>Flatfishes</x:v>
      </x:c>
      <x:c r="I216" s="31" t="n">
        <x:v>10.4951156737</x:v>
      </x:c>
      <x:c r="J216" s="31" t="n">
        <x:v>2.2931379767</x:v>
      </x:c>
      <x:c r="K216" s="31" t="n">
        <x:v>8.201977697</x:v>
      </x:c>
      <x:c r="L216" s="31" t="n">
        <x:v>0.6270652963</x:v>
      </x:c>
      <x:c r="M216" s="31" t="n">
        <x:v>9.8680503774</x:v>
      </x:c>
      <x:c r="N216" s="24" t="str">
        <x:v>arnoglossus kessleri</x:v>
      </x:c>
      <x:c r="O216" s="32" t="n">
        <x:v>4.05</x:v>
      </x:c>
      <x:c r="P216" s="24" t="str">
        <x:v>exact_2020_supplement</x:v>
      </x:c>
      <x:c r="Q216" s="32" t="str">
        <x:v>2020 supplement MeanTL</x:v>
      </x:c>
      <x:c r="R216" s="24" t="str">
        <x:v>high</x:v>
      </x:c>
      <x:c r="S216" s="24" t="str">
        <x:v>Arnoglossus kessleri</x:v>
      </x:c>
      <x:c r="T216" s="32" t="n">
        <x:f>IF(O216="","",(1/'Metadata'!$B$5)^(O216-1))</x:f>
        <x:v>1122.018454301963</x:v>
      </x:c>
      <x:c r="U216" s="31" t="n">
        <x:f>IF(T216="","",I216*T216)</x:f>
        <x:v>11775.713465925179</x:v>
      </x:c>
    </x:row>
    <x:row r="217" ht="18" customHeight="1">
      <x:c r="A217" s="24" t="str">
        <x:v>EEZ_962</x:v>
      </x:c>
      <x:c r="B217" s="24" t="str">
        <x:v>Spain (mainland, Med and Gulf of Cadiz)</x:v>
      </x:c>
      <x:c r="C217" s="24" t="str">
        <x:v>EEZ</x:v>
      </x:c>
      <x:c r="D217" s="30" t="n">
        <x:v>2019</x:v>
      </x:c>
      <x:c r="E217" s="24" t="str">
        <x:v>Centrolophus niger</x:v>
      </x:c>
      <x:c r="F217" s="24" t="str">
        <x:v>Rudderfish</x:v>
      </x:c>
      <x:c r="G217" s="24" t="str">
        <x:v>Large bathypelagics (&gt;=90 cm)</x:v>
      </x:c>
      <x:c r="H217" s="24" t="str">
        <x:v>Perch-likes</x:v>
      </x:c>
      <x:c r="I217" s="31" t="n">
        <x:v>10.0684965799</x:v>
      </x:c>
      <x:c r="J217" s="31" t="n">
        <x:v>7.7377904182999995</x:v>
      </x:c>
      <x:c r="K217" s="31" t="n">
        <x:v>2.3307061616</x:v>
      </x:c>
      <x:c r="L217" s="31" t="n">
        <x:v>7.2694007402</x:v>
      </x:c>
      <x:c r="M217" s="31" t="n">
        <x:v>2.7990958397</x:v>
      </x:c>
      <x:c r="N217" s="24" t="str">
        <x:v>centrolophus niger</x:v>
      </x:c>
      <x:c r="O217" s="32" t="n">
        <x:v>3.92</x:v>
      </x:c>
      <x:c r="P217" s="24" t="str">
        <x:v>exact_2020_supplement</x:v>
      </x:c>
      <x:c r="Q217" s="32" t="str">
        <x:v>2020 supplement MeanTL</x:v>
      </x:c>
      <x:c r="R217" s="24" t="str">
        <x:v>high</x:v>
      </x:c>
      <x:c r="S217" s="24" t="str">
        <x:v>Centrolophus niger</x:v>
      </x:c>
      <x:c r="T217" s="32" t="n">
        <x:f>IF(O217="","",(1/'Metadata'!$B$5)^(O217-1))</x:f>
        <x:v>831.7637711026708</x:v>
      </x:c>
      <x:c r="U217" s="31" t="n">
        <x:f>IF(T217="","",I217*T217)</x:f>
        <x:v>8374.610684631967</x:v>
      </x:c>
    </x:row>
    <x:row r="218" ht="18" customHeight="1">
      <x:c r="A218" s="24" t="str">
        <x:v>EEZ_962</x:v>
      </x:c>
      <x:c r="B218" s="24" t="str">
        <x:v>Spain (mainland, Med and Gulf of Cadiz)</x:v>
      </x:c>
      <x:c r="C218" s="24" t="str">
        <x:v>EEZ</x:v>
      </x:c>
      <x:c r="D218" s="30" t="n">
        <x:v>2019</x:v>
      </x:c>
      <x:c r="E218" s="24" t="str">
        <x:v>Carangidae</x:v>
      </x:c>
      <x:c r="F218" s="24" t="str">
        <x:v>Jacks, pompanos</x:v>
      </x:c>
      <x:c r="G218" s="24" t="str">
        <x:v>Medium pelagics (30 - 89 cm)</x:v>
      </x:c>
      <x:c r="H218" s="24" t="str">
        <x:v>Perch-likes</x:v>
      </x:c>
      <x:c r="I218" s="31" t="n">
        <x:v>9.87622888</x:v>
      </x:c>
      <x:c r="J218" s="31" t="n">
        <x:v>9.6578412894</x:v>
      </x:c>
      <x:c r="K218" s="31" t="n">
        <x:v>0.2183875906</x:v>
      </x:c>
      <x:c r="L218" s="31" t="n">
        <x:v>1.4554999381</x:v>
      </x:c>
      <x:c r="M218" s="31" t="n">
        <x:v>8.4207289419</x:v>
      </x:c>
      <x:c r="N218" s="24" t="str">
        <x:v>carangidae</x:v>
      </x:c>
      <x:c r="O218" s="32" t="n">
        <x:v>4.05</x:v>
      </x:c>
      <x:c r="P218" s="24" t="str">
        <x:v>exact_sea_around_us</x:v>
      </x:c>
      <x:c r="Q218" s="32" t="str">
        <x:v>Sea Around Us exploited organisms</x:v>
      </x:c>
      <x:c r="R218" s="24" t="str">
        <x:v>high</x:v>
      </x:c>
      <x:c r="S218" s="24" t="str">
        <x:v>Carangidae</x:v>
      </x:c>
      <x:c r="T218" s="32" t="n">
        <x:f>IF(O218="","",(1/'Metadata'!$B$5)^(O218-1))</x:f>
        <x:v>1122.018454301963</x:v>
      </x:c>
      <x:c r="U218" s="31" t="n">
        <x:f>IF(T218="","",I218*T218)</x:f>
        <x:v>11081.311062270006</x:v>
      </x:c>
    </x:row>
    <x:row r="219" ht="18" customHeight="1">
      <x:c r="A219" s="24" t="str">
        <x:v>EEZ_962</x:v>
      </x:c>
      <x:c r="B219" s="24" t="str">
        <x:v>Spain (mainland, Med and Gulf of Cadiz)</x:v>
      </x:c>
      <x:c r="C219" s="24" t="str">
        <x:v>EEZ</x:v>
      </x:c>
      <x:c r="D219" s="30" t="n">
        <x:v>2019</x:v>
      </x:c>
      <x:c r="E219" s="24" t="str">
        <x:v>Umbrina cirrosa</x:v>
      </x:c>
      <x:c r="F219" s="24" t="str">
        <x:v>Shi drum</x:v>
      </x:c>
      <x:c r="G219" s="24" t="str">
        <x:v>Medium demersals (30 - 89 cm)</x:v>
      </x:c>
      <x:c r="H219" s="24" t="str">
        <x:v>Perch-likes</x:v>
      </x:c>
      <x:c r="I219" s="31" t="n">
        <x:v>9.264920216</x:v>
      </x:c>
      <x:c r="J219" s="31" t="n">
        <x:v>8.694634968499999</x:v>
      </x:c>
      <x:c r="K219" s="31" t="n">
        <x:v>0.5702852475</x:v>
      </x:c>
      <x:c r="L219" s="31" t="n">
        <x:v>8.6319132237</x:v>
      </x:c>
      <x:c r="M219" s="31" t="n">
        <x:v>0.6330069923</x:v>
      </x:c>
      <x:c r="N219" s="24" t="str">
        <x:v>umbrina cirrosa</x:v>
      </x:c>
      <x:c r="O219" s="32" t="n">
        <x:v>3.46</x:v>
      </x:c>
      <x:c r="P219" s="24" t="str">
        <x:v>exact_2020_supplement</x:v>
      </x:c>
      <x:c r="Q219" s="32" t="str">
        <x:v>2020 supplement MeanTL</x:v>
      </x:c>
      <x:c r="R219" s="24" t="str">
        <x:v>high</x:v>
      </x:c>
      <x:c r="S219" s="24" t="str">
        <x:v>Umbrina cirrosa</x:v>
      </x:c>
      <x:c r="T219" s="32" t="n">
        <x:f>IF(O219="","",(1/'Metadata'!$B$5)^(O219-1))</x:f>
        <x:v>288.40315031266056</x:v>
      </x:c>
      <x:c r="U219" s="31" t="n">
        <x:f>IF(T219="","",I219*T219)</x:f>
        <x:v>2672.0321776898554</x:v>
      </x:c>
    </x:row>
    <x:row r="220" ht="18" customHeight="1">
      <x:c r="A220" s="24" t="str">
        <x:v>EEZ_962</x:v>
      </x:c>
      <x:c r="B220" s="24" t="str">
        <x:v>Spain (mainland, Med and Gulf of Cadiz)</x:v>
      </x:c>
      <x:c r="C220" s="24" t="str">
        <x:v>EEZ</x:v>
      </x:c>
      <x:c r="D220" s="30" t="n">
        <x:v>2019</x:v>
      </x:c>
      <x:c r="E220" s="24" t="str">
        <x:v>Centracanthus cirrus</x:v>
      </x:c>
      <x:c r="F220" s="24" t="str">
        <x:v>Curled picarel</x:v>
      </x:c>
      <x:c r="G220" s="24" t="str">
        <x:v>Medium benthopelagics (30 - 89 cm)</x:v>
      </x:c>
      <x:c r="H220" s="24" t="str">
        <x:v>Perch-likes</x:v>
      </x:c>
      <x:c r="I220" s="31" t="n">
        <x:v>9.2413609652</x:v>
      </x:c>
      <x:c r="J220" s="31" t="n">
        <x:v>7.985275966200001</x:v>
      </x:c>
      <x:c r="K220" s="31" t="n">
        <x:v>1.2560849989999998</x:v>
      </x:c>
      <x:c r="L220" s="31" t="n">
        <x:v>7.761300834</x:v>
      </x:c>
      <x:c r="M220" s="31" t="n">
        <x:v>1.4800601312</x:v>
      </x:c>
      <x:c r="N220" s="24" t="str">
        <x:v>centracanthus cirrus</x:v>
      </x:c>
      <x:c r="O220" s="32" t="n">
        <x:v>3.4</x:v>
      </x:c>
      <x:c r="P220" s="24" t="str">
        <x:v>exact_2020_supplement</x:v>
      </x:c>
      <x:c r="Q220" s="32" t="str">
        <x:v>2020 supplement MeanTL</x:v>
      </x:c>
      <x:c r="R220" s="24" t="str">
        <x:v>high</x:v>
      </x:c>
      <x:c r="S220" s="24" t="str">
        <x:v>Centracanthus cirrus</x:v>
      </x:c>
      <x:c r="T220" s="32" t="n">
        <x:f>IF(O220="","",(1/'Metadata'!$B$5)^(O220-1))</x:f>
        <x:v>251.18864315095797</x:v>
      </x:c>
      <x:c r="U220" s="31" t="n">
        <x:f>IF(T220="","",I220*T220)</x:f>
        <x:v>2321.3249217168154</x:v>
      </x:c>
    </x:row>
    <x:row r="221" ht="18" customHeight="1">
      <x:c r="A221" s="24" t="str">
        <x:v>EEZ_962</x:v>
      </x:c>
      <x:c r="B221" s="24" t="str">
        <x:v>Spain (mainland, Med and Gulf of Cadiz)</x:v>
      </x:c>
      <x:c r="C221" s="24" t="str">
        <x:v>EEZ</x:v>
      </x:c>
      <x:c r="D221" s="30" t="n">
        <x:v>2019</x:v>
      </x:c>
      <x:c r="E221" s="24" t="str">
        <x:v>Nassarius mutabilis</x:v>
      </x:c>
      <x:c r="F221" s="24" t="str">
        <x:v>Changeable nassa</x:v>
      </x:c>
      <x:c r="G221" s="24" t="str">
        <x:v>Other demersal invertebrates</x:v>
      </x:c>
      <x:c r="H221" s="24" t="str">
        <x:v>Molluscs</x:v>
      </x:c>
      <x:c r="I221" s="31" t="n">
        <x:v>9.2279628273</x:v>
      </x:c>
      <x:c r="J221" s="31" t="n">
        <x:v>8.353401021100002</x:v>
      </x:c>
      <x:c r="K221" s="31" t="n">
        <x:v>0.8745618062</x:v>
      </x:c>
      <x:c r="L221" s="31" t="n">
        <x:v>8.353401021100002</x:v>
      </x:c>
      <x:c r="M221" s="31" t="n">
        <x:v>0.8745618062</x:v>
      </x:c>
      <x:c r="N221" s="24" t="str">
        <x:v>nassarius mutabilis</x:v>
      </x:c>
      <x:c r="O221" s="32" t="n">
        <x:v>3.33</x:v>
      </x:c>
      <x:c r="P221" s="24" t="str">
        <x:v>exact_sea_around_us</x:v>
      </x:c>
      <x:c r="Q221" s="32" t="str">
        <x:v>Sea Around Us exploited organisms</x:v>
      </x:c>
      <x:c r="R221" s="24" t="str">
        <x:v>high</x:v>
      </x:c>
      <x:c r="S221" s="24" t="str">
        <x:v>Nassarius mutabilis</x:v>
      </x:c>
      <x:c r="T221" s="32" t="n">
        <x:f>IF(O221="","",(1/'Metadata'!$B$5)^(O221-1))</x:f>
        <x:v>213.79620895022325</x:v>
      </x:c>
      <x:c r="U221" s="31" t="n">
        <x:f>IF(T221="","",I221*T221)</x:f>
        <x:v>1972.9034688103238</x:v>
      </x:c>
    </x:row>
    <x:row r="222" ht="18" customHeight="1">
      <x:c r="A222" s="24" t="str">
        <x:v>EEZ_962</x:v>
      </x:c>
      <x:c r="B222" s="24" t="str">
        <x:v>Spain (mainland, Med and Gulf of Cadiz)</x:v>
      </x:c>
      <x:c r="C222" s="24" t="str">
        <x:v>EEZ</x:v>
      </x:c>
      <x:c r="D222" s="30" t="n">
        <x:v>2019</x:v>
      </x:c>
      <x:c r="E222" s="24" t="str">
        <x:v>Hexaplex trunculus</x:v>
      </x:c>
      <x:c r="F222" s="24" t="str">
        <x:v>Banded dye-murex</x:v>
      </x:c>
      <x:c r="G222" s="24" t="str">
        <x:v>Other demersal invertebrates</x:v>
      </x:c>
      <x:c r="H222" s="24" t="str">
        <x:v>Molluscs</x:v>
      </x:c>
      <x:c r="I222" s="31" t="n">
        <x:v>9.1193338143</x:v>
      </x:c>
      <x:c r="J222" s="31" t="n">
        <x:v>7.3701161506</x:v>
      </x:c>
      <x:c r="K222" s="31" t="n">
        <x:v>1.7492176637</x:v>
      </x:c>
      <x:c r="L222" s="31" t="n">
        <x:v>7.0956773712</x:v>
      </x:c>
      <x:c r="M222" s="31" t="n">
        <x:v>2.0236564431</x:v>
      </x:c>
      <x:c r="N222" s="24" t="str">
        <x:v>hexaplex trunculus</x:v>
      </x:c>
      <x:c r="O222" s="32" t="n">
        <x:v>3.48</x:v>
      </x:c>
      <x:c r="P222" s="24" t="str">
        <x:v>exact_sea_around_us</x:v>
      </x:c>
      <x:c r="Q222" s="32" t="str">
        <x:v>Sea Around Us exploited organisms</x:v>
      </x:c>
      <x:c r="R222" s="24" t="str">
        <x:v>high</x:v>
      </x:c>
      <x:c r="S222" s="24" t="str">
        <x:v>Hexaplex trunculus</x:v>
      </x:c>
      <x:c r="T222" s="32" t="n">
        <x:f>IF(O222="","",(1/'Metadata'!$B$5)^(O222-1))</x:f>
        <x:v>301.9951720402016</x:v>
      </x:c>
      <x:c r="U222" s="31" t="n">
        <x:f>IF(T222="","",I222*T222)</x:f>
        <x:v>2753.9947841415565</x:v>
      </x:c>
    </x:row>
    <x:row r="223" ht="18" customHeight="1">
      <x:c r="A223" s="24" t="str">
        <x:v>EEZ_962</x:v>
      </x:c>
      <x:c r="B223" s="24" t="str">
        <x:v>Spain (mainland, Med and Gulf of Cadiz)</x:v>
      </x:c>
      <x:c r="C223" s="24" t="str">
        <x:v>EEZ</x:v>
      </x:c>
      <x:c r="D223" s="30" t="n">
        <x:v>2019</x:v>
      </x:c>
      <x:c r="E223" s="24" t="str">
        <x:v>Squalus</x:v>
      </x:c>
      <x:c r="F223" s="24" t="str">
        <x:v>Dogfishes</x:v>
      </x:c>
      <x:c r="G223" s="24" t="str">
        <x:v>Large sharks (&gt;=90 cm)</x:v>
      </x:c>
      <x:c r="H223" s="24" t="str">
        <x:v>Sharks &amp; rays</x:v>
      </x:c>
      <x:c r="I223" s="31" t="n">
        <x:v>9.0762222647</x:v>
      </x:c>
      <x:c r="J223" s="31" t="n">
        <x:v>9.0762222647</x:v>
      </x:c>
      <x:c r="K223" s="31" t="n">
        <x:v>0</x:v>
      </x:c>
      <x:c r="L223" s="31" t="n">
        <x:v>0</x:v>
      </x:c>
      <x:c r="M223" s="31" t="n">
        <x:v>9.0762222647</x:v>
      </x:c>
      <x:c r="N223" s="24" t="str">
        <x:v>squalus</x:v>
      </x:c>
      <x:c r="O223" s="32" t="n">
        <x:v>4.23</x:v>
      </x:c>
      <x:c r="P223" s="24" t="str">
        <x:v>exact_sea_around_us</x:v>
      </x:c>
      <x:c r="Q223" s="32" t="str">
        <x:v>Sea Around Us exploited organisms</x:v>
      </x:c>
      <x:c r="R223" s="24" t="str">
        <x:v>high</x:v>
      </x:c>
      <x:c r="S223" s="24" t="str">
        <x:v>Squalus</x:v>
      </x:c>
      <x:c r="T223" s="32" t="n">
        <x:f>IF(O223="","",(1/'Metadata'!$B$5)^(O223-1))</x:f>
        <x:v>1698.243652461746</x:v>
      </x:c>
      <x:c r="U223" s="31" t="n">
        <x:f>IF(T223="","",I223*T223)</x:f>
        <x:v>15413.636849358749</x:v>
      </x:c>
    </x:row>
    <x:row r="224" ht="18" customHeight="1">
      <x:c r="A224" s="24" t="str">
        <x:v>EEZ_962</x:v>
      </x:c>
      <x:c r="B224" s="24" t="str">
        <x:v>Spain (mainland, Med and Gulf of Cadiz)</x:v>
      </x:c>
      <x:c r="C224" s="24" t="str">
        <x:v>EEZ</x:v>
      </x:c>
      <x:c r="D224" s="30" t="n">
        <x:v>2019</x:v>
      </x:c>
      <x:c r="E224" s="24" t="str">
        <x:v>Bothus podas</x:v>
      </x:c>
      <x:c r="F224" s="24" t="str">
        <x:v>Wide-eyed flounder</x:v>
      </x:c>
      <x:c r="G224" s="24" t="str">
        <x:v>Small to medium flatfishes (&lt;90 cm)</x:v>
      </x:c>
      <x:c r="H224" s="24" t="str">
        <x:v>Flatfishes</x:v>
      </x:c>
      <x:c r="I224" s="31" t="n">
        <x:v>9.030814656</x:v>
      </x:c>
      <x:c r="J224" s="31" t="n">
        <x:v>8.500799814</x:v>
      </x:c>
      <x:c r="K224" s="31" t="n">
        <x:v>0.5300148419999999</x:v>
      </x:c>
      <x:c r="L224" s="31" t="n">
        <x:v>8.500799814</x:v>
      </x:c>
      <x:c r="M224" s="31" t="n">
        <x:v>0.5300148419999999</x:v>
      </x:c>
      <x:c r="N224" s="24" t="str">
        <x:v>bothus podas</x:v>
      </x:c>
      <x:c r="O224" s="32" t="n">
        <x:v>3.37</x:v>
      </x:c>
      <x:c r="P224" s="24" t="str">
        <x:v>exact_2020_supplement</x:v>
      </x:c>
      <x:c r="Q224" s="32" t="str">
        <x:v>2020 supplement MeanTL</x:v>
      </x:c>
      <x:c r="R224" s="24" t="str">
        <x:v>high</x:v>
      </x:c>
      <x:c r="S224" s="24" t="str">
        <x:v>Bothus podas</x:v>
      </x:c>
      <x:c r="T224" s="32" t="n">
        <x:f>IF(O224="","",(1/'Metadata'!$B$5)^(O224-1))</x:f>
        <x:v>234.42288153199226</x:v>
      </x:c>
      <x:c r="U224" s="31" t="n">
        <x:f>IF(T224="","",I224*T224)</x:f>
        <x:v>2117.0295942408675</x:v>
      </x:c>
    </x:row>
    <x:row r="225" ht="18" customHeight="1">
      <x:c r="A225" s="24" t="str">
        <x:v>EEZ_962</x:v>
      </x:c>
      <x:c r="B225" s="24" t="str">
        <x:v>Spain (mainland, Med and Gulf of Cadiz)</x:v>
      </x:c>
      <x:c r="C225" s="24" t="str">
        <x:v>EEZ</x:v>
      </x:c>
      <x:c r="D225" s="30" t="n">
        <x:v>2019</x:v>
      </x:c>
      <x:c r="E225" s="24" t="str">
        <x:v>Palinurus mauritanicus</x:v>
      </x:c>
      <x:c r="F225" s="24" t="str">
        <x:v>Pink spiny lobster</x:v>
      </x:c>
      <x:c r="G225" s="24" t="str">
        <x:v>Lobsters, crabs</x:v>
      </x:c>
      <x:c r="H225" s="24" t="str">
        <x:v>Crustaceans</x:v>
      </x:c>
      <x:c r="I225" s="31" t="n">
        <x:v>9.0051480187</x:v>
      </x:c>
      <x:c r="J225" s="31" t="n">
        <x:v>9.0051480187</x:v>
      </x:c>
      <x:c r="K225" s="31" t="n">
        <x:v>0</x:v>
      </x:c>
      <x:c r="L225" s="31" t="n">
        <x:v>7.0213137074</x:v>
      </x:c>
      <x:c r="M225" s="31" t="n">
        <x:v>1.9838343113</x:v>
      </x:c>
      <x:c r="N225" s="24" t="str">
        <x:v>palinurus mauritanicus</x:v>
      </x:c>
      <x:c r="O225" s="32" t="n">
        <x:v>3.54</x:v>
      </x:c>
      <x:c r="P225" s="24" t="str">
        <x:v>exact_2020_supplement</x:v>
      </x:c>
      <x:c r="Q225" s="32" t="str">
        <x:v>2020 supplement MeanTL</x:v>
      </x:c>
      <x:c r="R225" s="24" t="str">
        <x:v>high</x:v>
      </x:c>
      <x:c r="S225" s="24" t="str">
        <x:v>Palinurus mauritanicus</x:v>
      </x:c>
      <x:c r="T225" s="32" t="n">
        <x:f>IF(O225="","",(1/'Metadata'!$B$5)^(O225-1))</x:f>
        <x:v>346.73685045253166</x:v>
      </x:c>
      <x:c r="U225" s="31" t="n">
        <x:f>IF(T225="","",I225*T225)</x:f>
        <x:v>3122.4166618628938</x:v>
      </x:c>
    </x:row>
    <x:row r="226" ht="18" customHeight="1">
      <x:c r="A226" s="24" t="str">
        <x:v>EEZ_962</x:v>
      </x:c>
      <x:c r="B226" s="24" t="str">
        <x:v>Spain (mainland, Med and Gulf of Cadiz)</x:v>
      </x:c>
      <x:c r="C226" s="24" t="str">
        <x:v>EEZ</x:v>
      </x:c>
      <x:c r="D226" s="30" t="n">
        <x:v>2019</x:v>
      </x:c>
      <x:c r="E226" s="24" t="str">
        <x:v>Homarus gammarus</x:v>
      </x:c>
      <x:c r="F226" s="24" t="str">
        <x:v>European lobster</x:v>
      </x:c>
      <x:c r="G226" s="24" t="str">
        <x:v>Lobsters, crabs</x:v>
      </x:c>
      <x:c r="H226" s="24" t="str">
        <x:v>Crustaceans</x:v>
      </x:c>
      <x:c r="I226" s="31" t="n">
        <x:v>8.8999089822</x:v>
      </x:c>
      <x:c r="J226" s="31" t="n">
        <x:v>8.899599295</x:v>
      </x:c>
      <x:c r="K226" s="31" t="n">
        <x:v>0.0003096872</x:v>
      </x:c>
      <x:c r="L226" s="31" t="n">
        <x:v>6.9974255841</x:v>
      </x:c>
      <x:c r="M226" s="31" t="n">
        <x:v>1.9024833981</x:v>
      </x:c>
      <x:c r="N226" s="24" t="str">
        <x:v>homarus gammarus</x:v>
      </x:c>
      <x:c r="O226" s="32" t="n">
        <x:v>3.7</x:v>
      </x:c>
      <x:c r="P226" s="24" t="str">
        <x:v>exact_2020_supplement</x:v>
      </x:c>
      <x:c r="Q226" s="32" t="str">
        <x:v>2020 supplement MeanTL</x:v>
      </x:c>
      <x:c r="R226" s="24" t="str">
        <x:v>high</x:v>
      </x:c>
      <x:c r="S226" s="24" t="str">
        <x:v>Homarus gammarus</x:v>
      </x:c>
      <x:c r="T226" s="32" t="n">
        <x:f>IF(O226="","",(1/'Metadata'!$B$5)^(O226-1))</x:f>
        <x:v>501.18723362727246</x:v>
      </x:c>
      <x:c r="U226" s="31" t="n">
        <x:f>IF(T226="","",I226*T226)</x:f>
        <x:v>4460.520762323332</x:v>
      </x:c>
    </x:row>
    <x:row r="227" ht="18" customHeight="1">
      <x:c r="A227" s="24" t="str">
        <x:v>EEZ_962</x:v>
      </x:c>
      <x:c r="B227" s="24" t="str">
        <x:v>Spain (mainland, Med and Gulf of Cadiz)</x:v>
      </x:c>
      <x:c r="C227" s="24" t="str">
        <x:v>EEZ</x:v>
      </x:c>
      <x:c r="D227" s="30" t="n">
        <x:v>2019</x:v>
      </x:c>
      <x:c r="E227" s="24" t="str">
        <x:v>Trisopterus</x:v>
      </x:c>
      <x:c r="F227" s="24" t="str">
        <x:v>Pouts</x:v>
      </x:c>
      <x:c r="G227" s="24" t="str">
        <x:v>Medium benthopelagics (30 - 89 cm)</x:v>
      </x:c>
      <x:c r="H227" s="24" t="str">
        <x:v>Cod-likes</x:v>
      </x:c>
      <x:c r="I227" s="31" t="n">
        <x:v>8.841788919</x:v>
      </x:c>
      <x:c r="J227" s="31" t="n">
        <x:v>5.373505258400001</x:v>
      </x:c>
      <x:c r="K227" s="31" t="n">
        <x:v>3.4682836606</x:v>
      </x:c>
      <x:c r="L227" s="31" t="n">
        <x:v>4.673850363100001</x:v>
      </x:c>
      <x:c r="M227" s="31" t="n">
        <x:v>4.1679385559</x:v>
      </x:c>
      <x:c r="N227" s="24" t="str">
        <x:v>trisopterus</x:v>
      </x:c>
      <x:c r="O227" s="32" t="n">
        <x:v>3.57</x:v>
      </x:c>
      <x:c r="P227" s="24" t="str">
        <x:v>exact_sea_around_us</x:v>
      </x:c>
      <x:c r="Q227" s="32" t="str">
        <x:v>Sea Around Us exploited organisms</x:v>
      </x:c>
      <x:c r="R227" s="24" t="str">
        <x:v>high</x:v>
      </x:c>
      <x:c r="S227" s="24" t="str">
        <x:v>Trisopterus</x:v>
      </x:c>
      <x:c r="T227" s="32" t="n">
        <x:f>IF(O227="","",(1/'Metadata'!$B$5)^(O227-1))</x:f>
        <x:v>371.5352290971724</x:v>
      </x:c>
      <x:c r="U227" s="31" t="n">
        <x:f>IF(T227="","",I227*T227)</x:f>
        <x:v>3285.0360716495056</x:v>
      </x:c>
    </x:row>
    <x:row r="228" ht="18" customHeight="1">
      <x:c r="A228" s="24" t="str">
        <x:v>EEZ_962</x:v>
      </x:c>
      <x:c r="B228" s="24" t="str">
        <x:v>Spain (mainland, Med and Gulf of Cadiz)</x:v>
      </x:c>
      <x:c r="C228" s="24" t="str">
        <x:v>EEZ</x:v>
      </x:c>
      <x:c r="D228" s="30" t="n">
        <x:v>2019</x:v>
      </x:c>
      <x:c r="E228" s="24" t="str">
        <x:v>Squalus acanthias</x:v>
      </x:c>
      <x:c r="F228" s="24" t="str">
        <x:v>Picked dogfish</x:v>
      </x:c>
      <x:c r="G228" s="24" t="str">
        <x:v>Large sharks (&gt;=90 cm)</x:v>
      </x:c>
      <x:c r="H228" s="24" t="str">
        <x:v>Sharks &amp; rays</x:v>
      </x:c>
      <x:c r="I228" s="31" t="n">
        <x:v>8.5299573707</x:v>
      </x:c>
      <x:c r="J228" s="31" t="n">
        <x:v>7.5627531473</x:v>
      </x:c>
      <x:c r="K228" s="31" t="n">
        <x:v>0.9672042234</x:v>
      </x:c>
      <x:c r="L228" s="31" t="n">
        <x:v>7.239885564</x:v>
      </x:c>
      <x:c r="M228" s="31" t="n">
        <x:v>1.2900718067</x:v>
      </x:c>
      <x:c r="N228" s="24" t="str">
        <x:v>squalus acanthias</x:v>
      </x:c>
      <x:c r="O228" s="32" t="n">
        <x:v>4.37</x:v>
      </x:c>
      <x:c r="P228" s="24" t="str">
        <x:v>exact_2020_supplement</x:v>
      </x:c>
      <x:c r="Q228" s="32" t="str">
        <x:v>2020 supplement MeanTL</x:v>
      </x:c>
      <x:c r="R228" s="24" t="str">
        <x:v>high</x:v>
      </x:c>
      <x:c r="S228" s="24" t="str">
        <x:v>Squalus acanthias</x:v>
      </x:c>
      <x:c r="T228" s="32" t="n">
        <x:f>IF(O228="","",(1/'Metadata'!$B$5)^(O228-1))</x:f>
        <x:v>2344.228815319923</x:v>
      </x:c>
      <x:c r="U228" s="31" t="n">
        <x:f>IF(T228="","",I228*T228)</x:f>
        <x:v>19996.171861845505</x:v>
      </x:c>
    </x:row>
    <x:row r="229" ht="18" customHeight="1">
      <x:c r="A229" s="24" t="str">
        <x:v>EEZ_962</x:v>
      </x:c>
      <x:c r="B229" s="24" t="str">
        <x:v>Spain (mainland, Med and Gulf of Cadiz)</x:v>
      </x:c>
      <x:c r="C229" s="24" t="str">
        <x:v>EEZ</x:v>
      </x:c>
      <x:c r="D229" s="30" t="n">
        <x:v>2019</x:v>
      </x:c>
      <x:c r="E229" s="24" t="str">
        <x:v>Pseudaphya ferreri</x:v>
      </x:c>
      <x:c r="F229" s="24" t="str">
        <x:v>Ferrer's goby</x:v>
      </x:c>
      <x:c r="G229" s="24" t="str">
        <x:v>Small benthopelagics (&lt;30 cm)</x:v>
      </x:c>
      <x:c r="H229" s="24" t="str">
        <x:v>Perch-likes</x:v>
      </x:c>
      <x:c r="I229" s="31" t="n">
        <x:v>8.266858744199999</x:v>
      </x:c>
      <x:c r="J229" s="31" t="n">
        <x:v>6.2361667111</x:v>
      </x:c>
      <x:c r="K229" s="31" t="n">
        <x:v>2.0306920331</x:v>
      </x:c>
      <x:c r="L229" s="31" t="n">
        <x:v>5.8465070329</x:v>
      </x:c>
      <x:c r="M229" s="31" t="n">
        <x:v>2.4203517113</x:v>
      </x:c>
      <x:c r="N229" s="24" t="str">
        <x:v>pseudaphya ferreri</x:v>
      </x:c>
      <x:c r="O229" s="32" t="n">
        <x:v>3.1</x:v>
      </x:c>
      <x:c r="P229" s="24" t="str">
        <x:v>exact_sea_around_us</x:v>
      </x:c>
      <x:c r="Q229" s="32" t="str">
        <x:v>Sea Around Us exploited organisms</x:v>
      </x:c>
      <x:c r="R229" s="24" t="str">
        <x:v>high</x:v>
      </x:c>
      <x:c r="S229" s="24" t="str">
        <x:v>Pseudaphya ferreri</x:v>
      </x:c>
      <x:c r="T229" s="32" t="n">
        <x:f>IF(O229="","",(1/'Metadata'!$B$5)^(O229-1))</x:f>
        <x:v>125.89254117941675</x:v>
      </x:c>
      <x:c r="U229" s="31" t="n">
        <x:f>IF(T229="","",I229*T229)</x:f>
        <x:v>1040.7358548786199</x:v>
      </x:c>
    </x:row>
    <x:row r="230" ht="18" customHeight="1">
      <x:c r="A230" s="24" t="str">
        <x:v>EEZ_962</x:v>
      </x:c>
      <x:c r="B230" s="24" t="str">
        <x:v>Spain (mainland, Med and Gulf of Cadiz)</x:v>
      </x:c>
      <x:c r="C230" s="24" t="str">
        <x:v>EEZ</x:v>
      </x:c>
      <x:c r="D230" s="30" t="n">
        <x:v>2019</x:v>
      </x:c>
      <x:c r="E230" s="24" t="str">
        <x:v>Elasmobranchii</x:v>
      </x:c>
      <x:c r="F230" s="24" t="str">
        <x:v>Sharks, rays, skates</x:v>
      </x:c>
      <x:c r="G230" s="24" t="str">
        <x:v>Large sharks (&gt;=90 cm)</x:v>
      </x:c>
      <x:c r="H230" s="24" t="str">
        <x:v>Sharks &amp; rays</x:v>
      </x:c>
      <x:c r="I230" s="31" t="n">
        <x:v>8.0676360333</x:v>
      </x:c>
      <x:c r="J230" s="31" t="n">
        <x:v>8.0461652546</x:v>
      </x:c>
      <x:c r="K230" s="31" t="n">
        <x:v>0.0214707787</x:v>
      </x:c>
      <x:c r="L230" s="31" t="n">
        <x:v>2.5616535449</x:v>
      </x:c>
      <x:c r="M230" s="31" t="n">
        <x:v>5.5059824884</x:v>
      </x:c>
      <x:c r="N230" s="24" t="str">
        <x:v>elasmobranchii</x:v>
      </x:c>
      <x:c r="O230" s="32" t="n">
        <x:v>4.05</x:v>
      </x:c>
      <x:c r="P230" s="24" t="str">
        <x:v>exact_sea_around_us</x:v>
      </x:c>
      <x:c r="Q230" s="32" t="str">
        <x:v>Sea Around Us exploited organisms</x:v>
      </x:c>
      <x:c r="R230" s="24" t="str">
        <x:v>high</x:v>
      </x:c>
      <x:c r="S230" s="24" t="str">
        <x:v>Elasmobranchii</x:v>
      </x:c>
      <x:c r="T230" s="32" t="n">
        <x:f>IF(O230="","",(1/'Metadata'!$B$5)^(O230-1))</x:f>
        <x:v>1122.018454301963</x:v>
      </x:c>
      <x:c r="U230" s="31" t="n">
        <x:f>IF(T230="","",I230*T230)</x:f>
        <x:v>9052.036511954086</x:v>
      </x:c>
    </x:row>
    <x:row r="231" ht="18" customHeight="1">
      <x:c r="A231" s="24" t="str">
        <x:v>EEZ_962</x:v>
      </x:c>
      <x:c r="B231" s="24" t="str">
        <x:v>Spain (mainland, Med and Gulf of Cadiz)</x:v>
      </x:c>
      <x:c r="C231" s="24" t="str">
        <x:v>EEZ</x:v>
      </x:c>
      <x:c r="D231" s="30" t="n">
        <x:v>2019</x:v>
      </x:c>
      <x:c r="E231" s="24" t="str">
        <x:v>Calappa granulata</x:v>
      </x:c>
      <x:c r="F231" s="24" t="str">
        <x:v>Shamfaced crab</x:v>
      </x:c>
      <x:c r="G231" s="24" t="str">
        <x:v>Lobsters, crabs</x:v>
      </x:c>
      <x:c r="H231" s="24" t="str">
        <x:v>Crustaceans</x:v>
      </x:c>
      <x:c r="I231" s="31" t="n">
        <x:v>7.9723582210999995</x:v>
      </x:c>
      <x:c r="J231" s="31" t="n">
        <x:v>6.614650342</x:v>
      </x:c>
      <x:c r="K231" s="31" t="n">
        <x:v>1.3577078791</x:v>
      </x:c>
      <x:c r="L231" s="31" t="n">
        <x:v>5.8476228356</x:v>
      </x:c>
      <x:c r="M231" s="31" t="n">
        <x:v>2.1247353854999997</x:v>
      </x:c>
      <x:c r="N231" s="24" t="str">
        <x:v>calappa granulata</x:v>
      </x:c>
      <x:c r="O231" s="32" t="n">
        <x:v>3.94</x:v>
      </x:c>
      <x:c r="P231" s="24" t="str">
        <x:v>exact_sea_around_us</x:v>
      </x:c>
      <x:c r="Q231" s="32" t="str">
        <x:v>Sea Around Us exploited organisms</x:v>
      </x:c>
      <x:c r="R231" s="24" t="str">
        <x:v>high</x:v>
      </x:c>
      <x:c r="S231" s="24" t="str">
        <x:v>Calappa granulata</x:v>
      </x:c>
      <x:c r="T231" s="32" t="n">
        <x:f>IF(O231="","",(1/'Metadata'!$B$5)^(O231-1))</x:f>
        <x:v>870.9635899560806</x:v>
      </x:c>
      <x:c r="U231" s="31" t="n">
        <x:f>IF(T231="","",I231*T231)</x:f>
        <x:v>6943.633736665128</x:v>
      </x:c>
    </x:row>
    <x:row r="232" ht="18" customHeight="1">
      <x:c r="A232" s="24" t="str">
        <x:v>EEZ_962</x:v>
      </x:c>
      <x:c r="B232" s="24" t="str">
        <x:v>Spain (mainland, Med and Gulf of Cadiz)</x:v>
      </x:c>
      <x:c r="C232" s="24" t="str">
        <x:v>EEZ</x:v>
      </x:c>
      <x:c r="D232" s="30" t="n">
        <x:v>2019</x:v>
      </x:c>
      <x:c r="E232" s="24" t="str">
        <x:v>Sparidae</x:v>
      </x:c>
      <x:c r="F232" s="24" t="str">
        <x:v>Porgies, seabreams</x:v>
      </x:c>
      <x:c r="G232" s="24" t="str">
        <x:v>Medium benthopelagics (30 - 89 cm)</x:v>
      </x:c>
      <x:c r="H232" s="24" t="str">
        <x:v>Perch-likes</x:v>
      </x:c>
      <x:c r="I232" s="31" t="n">
        <x:v>7.8785548925999995</x:v>
      </x:c>
      <x:c r="J232" s="31" t="n">
        <x:v>7.1930709924</x:v>
      </x:c>
      <x:c r="K232" s="31" t="n">
        <x:v>0.6854839002</x:v>
      </x:c>
      <x:c r="L232" s="31" t="n">
        <x:v>7.0727508706</x:v>
      </x:c>
      <x:c r="M232" s="31" t="n">
        <x:v>0.805804022</x:v>
      </x:c>
      <x:c r="N232" s="24" t="str">
        <x:v>sparidae</x:v>
      </x:c>
      <x:c r="O232" s="32" t="n">
        <x:v>3.31</x:v>
      </x:c>
      <x:c r="P232" s="24" t="str">
        <x:v>exact_sea_around_us</x:v>
      </x:c>
      <x:c r="Q232" s="32" t="str">
        <x:v>Sea Around Us exploited organisms</x:v>
      </x:c>
      <x:c r="R232" s="24" t="str">
        <x:v>high</x:v>
      </x:c>
      <x:c r="S232" s="24" t="str">
        <x:v>Sparidae</x:v>
      </x:c>
      <x:c r="T232" s="32" t="n">
        <x:f>IF(O232="","",(1/'Metadata'!$B$5)^(O232-1))</x:f>
        <x:v>204.17379446695296</x:v>
      </x:c>
      <x:c r="U232" s="31" t="n">
        <x:f>IF(T232="","",I232*T232)</x:f>
        <x:v>1608.594447338319</x:v>
      </x:c>
    </x:row>
    <x:row r="233" ht="18" customHeight="1">
      <x:c r="A233" s="24" t="str">
        <x:v>EEZ_962</x:v>
      </x:c>
      <x:c r="B233" s="24" t="str">
        <x:v>Spain (mainland, Med and Gulf of Cadiz)</x:v>
      </x:c>
      <x:c r="C233" s="24" t="str">
        <x:v>EEZ</x:v>
      </x:c>
      <x:c r="D233" s="30" t="n">
        <x:v>2019</x:v>
      </x:c>
      <x:c r="E233" s="24" t="str">
        <x:v>Myliobatis aquila</x:v>
      </x:c>
      <x:c r="F233" s="24" t="str">
        <x:v>Common eagle ray</x:v>
      </x:c>
      <x:c r="G233" s="24" t="str">
        <x:v>Large rays (&gt;=90 cm)</x:v>
      </x:c>
      <x:c r="H233" s="24" t="str">
        <x:v>Sharks &amp; rays</x:v>
      </x:c>
      <x:c r="I233" s="31" t="n">
        <x:v>7.7713565115000005</x:v>
      </x:c>
      <x:c r="J233" s="31" t="n">
        <x:v>6.7265382304</x:v>
      </x:c>
      <x:c r="K233" s="31" t="n">
        <x:v>1.0448182811</x:v>
      </x:c>
      <x:c r="L233" s="31" t="n">
        <x:v>6.5896842451</x:v>
      </x:c>
      <x:c r="M233" s="31" t="n">
        <x:v>1.1816722664000001</x:v>
      </x:c>
      <x:c r="N233" s="24" t="str">
        <x:v>myliobatis aquila</x:v>
      </x:c>
      <x:c r="O233" s="32" t="n">
        <x:v>3.61</x:v>
      </x:c>
      <x:c r="P233" s="24" t="str">
        <x:v>exact_2020_supplement</x:v>
      </x:c>
      <x:c r="Q233" s="32" t="str">
        <x:v>2020 supplement MeanTL</x:v>
      </x:c>
      <x:c r="R233" s="24" t="str">
        <x:v>high</x:v>
      </x:c>
      <x:c r="S233" s="24" t="str">
        <x:v>Myliobatis aquila</x:v>
      </x:c>
      <x:c r="T233" s="32" t="n">
        <x:f>IF(O233="","",(1/'Metadata'!$B$5)^(O233-1))</x:f>
        <x:v>407.3802778041126</x:v>
      </x:c>
      <x:c r="U233" s="31" t="n">
        <x:f>IF(T233="","",I233*T233)</x:f>
        <x:v>3165.89737456967</x:v>
      </x:c>
    </x:row>
    <x:row r="234" ht="18" customHeight="1">
      <x:c r="A234" s="24" t="str">
        <x:v>EEZ_962</x:v>
      </x:c>
      <x:c r="B234" s="24" t="str">
        <x:v>Spain (mainland, Med and Gulf of Cadiz)</x:v>
      </x:c>
      <x:c r="C234" s="24" t="str">
        <x:v>EEZ</x:v>
      </x:c>
      <x:c r="D234" s="30" t="n">
        <x:v>2019</x:v>
      </x:c>
      <x:c r="E234" s="24" t="str">
        <x:v>Parapristipoma octolineatum</x:v>
      </x:c>
      <x:c r="F234" s="24" t="str">
        <x:v>African striped grunt</x:v>
      </x:c>
      <x:c r="G234" s="24" t="str">
        <x:v>Medium demersals (30 - 89 cm)</x:v>
      </x:c>
      <x:c r="H234" s="24" t="str">
        <x:v>Perch-likes</x:v>
      </x:c>
      <x:c r="I234" s="31" t="n">
        <x:v>7.5840152407</x:v>
      </x:c>
      <x:c r="J234" s="31" t="n">
        <x:v>7.2246359165</x:v>
      </x:c>
      <x:c r="K234" s="31" t="n">
        <x:v>0.3593793242</x:v>
      </x:c>
      <x:c r="L234" s="31" t="n">
        <x:v>6.1827495168</x:v>
      </x:c>
      <x:c r="M234" s="31" t="n">
        <x:v>1.4012657239000001</x:v>
      </x:c>
      <x:c r="N234" s="24" t="str">
        <x:v>parapristipoma octolineatum</x:v>
      </x:c>
      <x:c r="O234" s="32" t="n">
        <x:v>3.55</x:v>
      </x:c>
      <x:c r="P234" s="24" t="str">
        <x:v>exact_2020_supplement</x:v>
      </x:c>
      <x:c r="Q234" s="32" t="str">
        <x:v>2020 supplement MeanTL</x:v>
      </x:c>
      <x:c r="R234" s="24" t="str">
        <x:v>high</x:v>
      </x:c>
      <x:c r="S234" s="24" t="str">
        <x:v>Parapristipoma octolineatum</x:v>
      </x:c>
      <x:c r="T234" s="32" t="n">
        <x:f>IF(O234="","",(1/'Metadata'!$B$5)^(O234-1))</x:f>
        <x:v>354.8133892335753</x:v>
      </x:c>
      <x:c r="U234" s="31" t="n">
        <x:f>IF(T234="","",I234*T234)</x:f>
        <x:v>2690.910151551857</x:v>
      </x:c>
    </x:row>
    <x:row r="235" ht="18" customHeight="1">
      <x:c r="A235" s="24" t="str">
        <x:v>EEZ_962</x:v>
      </x:c>
      <x:c r="B235" s="24" t="str">
        <x:v>Spain (mainland, Med and Gulf of Cadiz)</x:v>
      </x:c>
      <x:c r="C235" s="24" t="str">
        <x:v>EEZ</x:v>
      </x:c>
      <x:c r="D235" s="30" t="n">
        <x:v>2019</x:v>
      </x:c>
      <x:c r="E235" s="24" t="str">
        <x:v>Dasyatis pastinaca</x:v>
      </x:c>
      <x:c r="F235" s="24" t="str">
        <x:v>Common stingray</x:v>
      </x:c>
      <x:c r="G235" s="24" t="str">
        <x:v>Large rays (&gt;=90 cm)</x:v>
      </x:c>
      <x:c r="H235" s="24" t="str">
        <x:v>Sharks &amp; rays</x:v>
      </x:c>
      <x:c r="I235" s="31" t="n">
        <x:v>7.4665647284</x:v>
      </x:c>
      <x:c r="J235" s="31" t="n">
        <x:v>5.6210472027</x:v>
      </x:c>
      <x:c r="K235" s="31" t="n">
        <x:v>1.8455175257</x:v>
      </x:c>
      <x:c r="L235" s="31" t="n">
        <x:v>5.1797242231</x:v>
      </x:c>
      <x:c r="M235" s="31" t="n">
        <x:v>2.2868405053</x:v>
      </x:c>
      <x:c r="N235" s="24" t="str">
        <x:v>dasyatis pastinaca</x:v>
      </x:c>
      <x:c r="O235" s="32" t="n">
        <x:v>4.05</x:v>
      </x:c>
      <x:c r="P235" s="24" t="str">
        <x:v>exact_2020_supplement</x:v>
      </x:c>
      <x:c r="Q235" s="32" t="str">
        <x:v>2020 supplement MeanTL</x:v>
      </x:c>
      <x:c r="R235" s="24" t="str">
        <x:v>high</x:v>
      </x:c>
      <x:c r="S235" s="24" t="str">
        <x:v>Dasyatis pastinaca</x:v>
      </x:c>
      <x:c r="T235" s="32" t="n">
        <x:f>IF(O235="","",(1/'Metadata'!$B$5)^(O235-1))</x:f>
        <x:v>1122.018454301963</x:v>
      </x:c>
      <x:c r="U235" s="31" t="n">
        <x:f>IF(T235="","",I235*T235)</x:f>
        <x:v>8377.623415504924</x:v>
      </x:c>
    </x:row>
    <x:row r="236" ht="18" customHeight="1">
      <x:c r="A236" s="24" t="str">
        <x:v>EEZ_962</x:v>
      </x:c>
      <x:c r="B236" s="24" t="str">
        <x:v>Spain (mainland, Med and Gulf of Cadiz)</x:v>
      </x:c>
      <x:c r="C236" s="24" t="str">
        <x:v>EEZ</x:v>
      </x:c>
      <x:c r="D236" s="30" t="n">
        <x:v>2019</x:v>
      </x:c>
      <x:c r="E236" s="24" t="str">
        <x:v>Acanthocybium solandri</x:v>
      </x:c>
      <x:c r="F236" s="24" t="str">
        <x:v>Wahoo</x:v>
      </x:c>
      <x:c r="G236" s="24" t="str">
        <x:v>Large pelagics (&gt;=90 cm)</x:v>
      </x:c>
      <x:c r="H236" s="24" t="str">
        <x:v>Perch-likes</x:v>
      </x:c>
      <x:c r="I236" s="31" t="n">
        <x:v>7.365702857900001</x:v>
      </x:c>
      <x:c r="J236" s="31" t="n">
        <x:v>7.365702857900001</x:v>
      </x:c>
      <x:c r="K236" s="31" t="n">
        <x:v>0</x:v>
      </x:c>
      <x:c r="L236" s="31" t="n">
        <x:v>7.365702857900001</x:v>
      </x:c>
      <x:c r="M236" s="31" t="n">
        <x:v>0</x:v>
      </x:c>
      <x:c r="N236" s="24" t="str">
        <x:v>acanthocybium solandri</x:v>
      </x:c>
      <x:c r="O236" s="32" t="n">
        <x:v>4.26</x:v>
      </x:c>
      <x:c r="P236" s="24" t="str">
        <x:v>exact_2020_supplement</x:v>
      </x:c>
      <x:c r="Q236" s="32" t="str">
        <x:v>2020 supplement MeanTL</x:v>
      </x:c>
      <x:c r="R236" s="24" t="str">
        <x:v>high</x:v>
      </x:c>
      <x:c r="S236" s="24" t="str">
        <x:v>Acanthocybium solandri</x:v>
      </x:c>
      <x:c r="T236" s="32" t="n">
        <x:f>IF(O236="","",(1/'Metadata'!$B$5)^(O236-1))</x:f>
        <x:v>1819.7008586099826</x:v>
      </x:c>
      <x:c r="U236" s="31" t="n">
        <x:f>IF(T236="","",I236*T236)</x:f>
        <x:v>13403.375814786634</x:v>
      </x:c>
    </x:row>
    <x:row r="237" ht="18" customHeight="1">
      <x:c r="A237" s="24" t="str">
        <x:v>EEZ_962</x:v>
      </x:c>
      <x:c r="B237" s="24" t="str">
        <x:v>Spain (mainland, Med and Gulf of Cadiz)</x:v>
      </x:c>
      <x:c r="C237" s="24" t="str">
        <x:v>EEZ</x:v>
      </x:c>
      <x:c r="D237" s="30" t="n">
        <x:v>2019</x:v>
      </x:c>
      <x:c r="E237" s="24" t="str">
        <x:v>Thunnus</x:v>
      </x:c>
      <x:c r="F237" s="24" t="str">
        <x:v>Tunas</x:v>
      </x:c>
      <x:c r="G237" s="24" t="str">
        <x:v>Large pelagics (&gt;=90 cm)</x:v>
      </x:c>
      <x:c r="H237" s="24" t="str">
        <x:v>Tuna &amp; billfishes</x:v>
      </x:c>
      <x:c r="I237" s="31" t="n">
        <x:v>7.0081208125</x:v>
      </x:c>
      <x:c r="J237" s="31" t="n">
        <x:v>6.7018898222</x:v>
      </x:c>
      <x:c r="K237" s="31" t="n">
        <x:v>0.3062309903</x:v>
      </x:c>
      <x:c r="L237" s="31" t="n">
        <x:v>6.5325979307</x:v>
      </x:c>
      <x:c r="M237" s="31" t="n">
        <x:v>0.4755228818</x:v>
      </x:c>
      <x:c r="N237" s="24" t="str">
        <x:v>thunnus</x:v>
      </x:c>
      <x:c r="O237" s="32" t="n">
        <x:v>4.34</x:v>
      </x:c>
      <x:c r="P237" s="24" t="str">
        <x:v>exact_sea_around_us</x:v>
      </x:c>
      <x:c r="Q237" s="32" t="str">
        <x:v>Sea Around Us exploited organisms</x:v>
      </x:c>
      <x:c r="R237" s="24" t="str">
        <x:v>high</x:v>
      </x:c>
      <x:c r="S237" s="24" t="str">
        <x:v>Thunnus</x:v>
      </x:c>
      <x:c r="T237" s="32" t="n">
        <x:f>IF(O237="","",(1/'Metadata'!$B$5)^(O237-1))</x:f>
        <x:v>2187.761623949552</x:v>
      </x:c>
      <x:c r="U237" s="31" t="n">
        <x:f>IF(T237="","",I237*T237)</x:f>
        <x:v>15332.097769589653</x:v>
      </x:c>
    </x:row>
    <x:row r="238" ht="18" customHeight="1">
      <x:c r="A238" s="24" t="str">
        <x:v>EEZ_962</x:v>
      </x:c>
      <x:c r="B238" s="24" t="str">
        <x:v>Spain (mainland, Med and Gulf of Cadiz)</x:v>
      </x:c>
      <x:c r="C238" s="24" t="str">
        <x:v>EEZ</x:v>
      </x:c>
      <x:c r="D238" s="30" t="n">
        <x:v>2019</x:v>
      </x:c>
      <x:c r="E238" s="24" t="str">
        <x:v>Scophthalmus maximus</x:v>
      </x:c>
      <x:c r="F238" s="24" t="str">
        <x:v>Turbot</x:v>
      </x:c>
      <x:c r="G238" s="24" t="str">
        <x:v>Large flatfishes (&gt;=90 cm)</x:v>
      </x:c>
      <x:c r="H238" s="24" t="str">
        <x:v>Flatfishes</x:v>
      </x:c>
      <x:c r="I238" s="31" t="n">
        <x:v>6.9313463133</x:v>
      </x:c>
      <x:c r="J238" s="31" t="n">
        <x:v>5.8225453954</x:v>
      </x:c>
      <x:c r="K238" s="31" t="n">
        <x:v>1.1088009179</x:v>
      </x:c>
      <x:c r="L238" s="31" t="n">
        <x:v>5.3705843612</x:v>
      </x:c>
      <x:c r="M238" s="31" t="n">
        <x:v>1.5607619521</x:v>
      </x:c>
      <x:c r="N238" s="24" t="str">
        <x:v>scophthalmus maximus</x:v>
      </x:c>
      <x:c r="O238" s="32" t="n">
        <x:v>4.36</x:v>
      </x:c>
      <x:c r="P238" s="24" t="str">
        <x:v>exact_2020_supplement</x:v>
      </x:c>
      <x:c r="Q238" s="32" t="str">
        <x:v>2020 supplement MeanTL</x:v>
      </x:c>
      <x:c r="R238" s="24" t="str">
        <x:v>high</x:v>
      </x:c>
      <x:c r="S238" s="24" t="str">
        <x:v>Scophthalmus maximus</x:v>
      </x:c>
      <x:c r="T238" s="32" t="n">
        <x:f>IF(O238="","",(1/'Metadata'!$B$5)^(O238-1))</x:f>
        <x:v>2290.867652767775</x:v>
      </x:c>
      <x:c r="U238" s="31" t="n">
        <x:f>IF(T238="","",I238*T238)</x:f>
        <x:v>15878.79705927014</x:v>
      </x:c>
    </x:row>
    <x:row r="239" ht="18" customHeight="1">
      <x:c r="A239" s="24" t="str">
        <x:v>EEZ_962</x:v>
      </x:c>
      <x:c r="B239" s="24" t="str">
        <x:v>Spain (mainland, Med and Gulf of Cadiz)</x:v>
      </x:c>
      <x:c r="C239" s="24" t="str">
        <x:v>EEZ</x:v>
      </x:c>
      <x:c r="D239" s="30" t="n">
        <x:v>2019</x:v>
      </x:c>
      <x:c r="E239" s="24" t="str">
        <x:v>Veneridae</x:v>
      </x:c>
      <x:c r="F239" s="24" t="str">
        <x:v>Venus clams</x:v>
      </x:c>
      <x:c r="G239" s="24" t="str">
        <x:v>Other demersal invertebrates</x:v>
      </x:c>
      <x:c r="H239" s="24" t="str">
        <x:v>Molluscs</x:v>
      </x:c>
      <x:c r="I239" s="31" t="n">
        <x:v>6.8618699682</x:v>
      </x:c>
      <x:c r="J239" s="31" t="n">
        <x:v>3.8522171755000003</x:v>
      </x:c>
      <x:c r="K239" s="31" t="n">
        <x:v>3.0096527927</x:v>
      </x:c>
      <x:c r="L239" s="31" t="n">
        <x:v>3.2438261352</x:v>
      </x:c>
      <x:c r="M239" s="31" t="n">
        <x:v>3.6180438329999998</x:v>
      </x:c>
      <x:c r="N239" s="24" t="str">
        <x:v>veneridae</x:v>
      </x:c>
      <x:c r="O239" s="32" t="n">
        <x:v>2</x:v>
      </x:c>
      <x:c r="P239" s="24" t="str">
        <x:v>exact_sea_around_us</x:v>
      </x:c>
      <x:c r="Q239" s="32" t="str">
        <x:v>Sea Around Us exploited organisms</x:v>
      </x:c>
      <x:c r="R239" s="24" t="str">
        <x:v>high</x:v>
      </x:c>
      <x:c r="S239" s="24" t="str">
        <x:v>Veneridae</x:v>
      </x:c>
      <x:c r="T239" s="32" t="n">
        <x:f>IF(O239="","",(1/'Metadata'!$B$5)^(O239-1))</x:f>
        <x:v>10</x:v>
      </x:c>
      <x:c r="U239" s="31" t="n">
        <x:f>IF(T239="","",I239*T239)</x:f>
        <x:v>68.618699682</x:v>
      </x:c>
    </x:row>
    <x:row r="240" ht="18" customHeight="1">
      <x:c r="A240" s="24" t="str">
        <x:v>EEZ_962</x:v>
      </x:c>
      <x:c r="B240" s="24" t="str">
        <x:v>Spain (mainland, Med and Gulf of Cadiz)</x:v>
      </x:c>
      <x:c r="C240" s="24" t="str">
        <x:v>EEZ</x:v>
      </x:c>
      <x:c r="D240" s="30" t="n">
        <x:v>2019</x:v>
      </x:c>
      <x:c r="E240" s="24" t="str">
        <x:v>Liza</x:v>
      </x:c>
      <x:c r="F240" s="24" t="str">
        <x:v>Mullets</x:v>
      </x:c>
      <x:c r="G240" s="24" t="str">
        <x:v>Medium pelagics (30 - 89 cm)</x:v>
      </x:c>
      <x:c r="H240" s="24" t="str">
        <x:v>Perch-likes</x:v>
      </x:c>
      <x:c r="I240" s="31" t="n">
        <x:v>6.3604873371</x:v>
      </x:c>
      <x:c r="J240" s="31" t="n">
        <x:v>5.2192189291</x:v>
      </x:c>
      <x:c r="K240" s="31" t="n">
        <x:v>1.141268408</x:v>
      </x:c>
      <x:c r="L240" s="31" t="n">
        <x:v>4.619845267</x:v>
      </x:c>
      <x:c r="M240" s="31" t="n">
        <x:v>1.7406420701</x:v>
      </x:c>
      <x:c r="N240" s="24" t="str">
        <x:v>liza</x:v>
      </x:c>
      <x:c r="O240" s="32" t="n">
        <x:v>2.57</x:v>
      </x:c>
      <x:c r="P240" s="24" t="str">
        <x:v>exact_sea_around_us</x:v>
      </x:c>
      <x:c r="Q240" s="32" t="str">
        <x:v>Sea Around Us exploited organisms</x:v>
      </x:c>
      <x:c r="R240" s="24" t="str">
        <x:v>high</x:v>
      </x:c>
      <x:c r="S240" s="24" t="str">
        <x:v>Liza</x:v>
      </x:c>
      <x:c r="T240" s="32" t="n">
        <x:f>IF(O240="","",(1/'Metadata'!$B$5)^(O240-1))</x:f>
        <x:v>37.15352290971724</x:v>
      </x:c>
      <x:c r="U240" s="31" t="n">
        <x:f>IF(T240="","",I240*T240)</x:f>
        <x:v>236.31451199591126</x:v>
      </x:c>
    </x:row>
    <x:row r="241" ht="18" customHeight="1">
      <x:c r="A241" s="24" t="str">
        <x:v>EEZ_962</x:v>
      </x:c>
      <x:c r="B241" s="24" t="str">
        <x:v>Spain (mainland, Med and Gulf of Cadiz)</x:v>
      </x:c>
      <x:c r="C241" s="24" t="str">
        <x:v>EEZ</x:v>
      </x:c>
      <x:c r="D241" s="30" t="n">
        <x:v>2019</x:v>
      </x:c>
      <x:c r="E241" s="24" t="str">
        <x:v>Parastichopus regalis</x:v>
      </x:c>
      <x:c r="F241" s="24" t="str">
        <x:v>Royal cucumber</x:v>
      </x:c>
      <x:c r="G241" s="24" t="str">
        <x:v>Other demersal invertebrates</x:v>
      </x:c>
      <x:c r="H241" s="24" t="str">
        <x:v>Other fishes &amp; inverts</x:v>
      </x:c>
      <x:c r="I241" s="31" t="n">
        <x:v>6.3080026023</x:v>
      </x:c>
      <x:c r="J241" s="31" t="n">
        <x:v>4.7609057639</x:v>
      </x:c>
      <x:c r="K241" s="31" t="n">
        <x:v>1.5470968384</x:v>
      </x:c>
      <x:c r="L241" s="31" t="n">
        <x:v>4.4636361893</x:v>
      </x:c>
      <x:c r="M241" s="31" t="n">
        <x:v>1.844366413</x:v>
      </x:c>
      <x:c r="N241" s="24" t="str">
        <x:v>parastichopus regalis</x:v>
      </x:c>
      <x:c r="O241" s="32" t="n">
        <x:v>2.3</x:v>
      </x:c>
      <x:c r="P241" s="24" t="str">
        <x:v>exact_sea_around_us</x:v>
      </x:c>
      <x:c r="Q241" s="32" t="str">
        <x:v>Sea Around Us exploited organisms</x:v>
      </x:c>
      <x:c r="R241" s="24" t="str">
        <x:v>high</x:v>
      </x:c>
      <x:c r="S241" s="24" t="str">
        <x:v>Parastichopus regalis</x:v>
      </x:c>
      <x:c r="T241" s="32" t="n">
        <x:f>IF(O241="","",(1/'Metadata'!$B$5)^(O241-1))</x:f>
        <x:v>19.952623149688787</x:v>
      </x:c>
      <x:c r="U241" s="31" t="n">
        <x:f>IF(T241="","",I241*T241)</x:f>
        <x:v>125.86119875094809</x:v>
      </x:c>
    </x:row>
    <x:row r="242" ht="18" customHeight="1">
      <x:c r="A242" s="24" t="str">
        <x:v>EEZ_962</x:v>
      </x:c>
      <x:c r="B242" s="24" t="str">
        <x:v>Spain (mainland, Med and Gulf of Cadiz)</x:v>
      </x:c>
      <x:c r="C242" s="24" t="str">
        <x:v>EEZ</x:v>
      </x:c>
      <x:c r="D242" s="30" t="n">
        <x:v>2019</x:v>
      </x:c>
      <x:c r="E242" s="24" t="str">
        <x:v>Argentina</x:v>
      </x:c>
      <x:c r="F242" s="24" t="str">
        <x:v>Argentines</x:v>
      </x:c>
      <x:c r="G242" s="24" t="str">
        <x:v>Medium bathydemersals (30 - 89 cm)</x:v>
      </x:c>
      <x:c r="H242" s="24" t="str">
        <x:v>Salmon, smelts, etc</x:v>
      </x:c>
      <x:c r="I242" s="31" t="n">
        <x:v>6.021294741799999</x:v>
      </x:c>
      <x:c r="J242" s="31" t="n">
        <x:v>4.0760929397</x:v>
      </x:c>
      <x:c r="K242" s="31" t="n">
        <x:v>1.9452018021000002</x:v>
      </x:c>
      <x:c r="L242" s="31" t="n">
        <x:v>3.6832678235</x:v>
      </x:c>
      <x:c r="M242" s="31" t="n">
        <x:v>2.3380269183</x:v>
      </x:c>
      <x:c r="N242" s="24" t="str">
        <x:v>argentina</x:v>
      </x:c>
      <x:c r="O242" s="32" t="n">
        <x:v>3.35</x:v>
      </x:c>
      <x:c r="P242" s="24" t="str">
        <x:v>exact_sea_around_us</x:v>
      </x:c>
      <x:c r="Q242" s="32" t="str">
        <x:v>Sea Around Us exploited organisms</x:v>
      </x:c>
      <x:c r="R242" s="24" t="str">
        <x:v>high</x:v>
      </x:c>
      <x:c r="S242" s="24" t="str">
        <x:v>Argentina</x:v>
      </x:c>
      <x:c r="T242" s="32" t="n">
        <x:f>IF(O242="","",(1/'Metadata'!$B$5)^(O242-1))</x:f>
        <x:v>223.872113856834</x:v>
      </x:c>
      <x:c r="U242" s="31" t="n">
        <x:f>IF(T242="","",I242*T242)</x:f>
        <x:v>1347.9999820018054</x:v>
      </x:c>
    </x:row>
    <x:row r="243" ht="18" customHeight="1">
      <x:c r="A243" s="24" t="str">
        <x:v>EEZ_962</x:v>
      </x:c>
      <x:c r="B243" s="24" t="str">
        <x:v>Spain (mainland, Med and Gulf of Cadiz)</x:v>
      </x:c>
      <x:c r="C243" s="24" t="str">
        <x:v>EEZ</x:v>
      </x:c>
      <x:c r="D243" s="30" t="n">
        <x:v>2019</x:v>
      </x:c>
      <x:c r="E243" s="24" t="str">
        <x:v>Etmopterus spinax</x:v>
      </x:c>
      <x:c r="F243" s="24" t="str">
        <x:v>Velvet belly</x:v>
      </x:c>
      <x:c r="G243" s="24" t="str">
        <x:v>Small to medium sharks (&lt;90 cm)</x:v>
      </x:c>
      <x:c r="H243" s="24" t="str">
        <x:v>Sharks &amp; rays</x:v>
      </x:c>
      <x:c r="I243" s="31" t="n">
        <x:v>5.8487619608</x:v>
      </x:c>
      <x:c r="J243" s="31" t="n">
        <x:v>4.6801841242</x:v>
      </x:c>
      <x:c r="K243" s="31" t="n">
        <x:v>1.1685778366</x:v>
      </x:c>
      <x:c r="L243" s="31" t="n">
        <x:v>4.4627791075</x:v>
      </x:c>
      <x:c r="M243" s="31" t="n">
        <x:v>1.3859828533</x:v>
      </x:c>
      <x:c r="N243" s="24" t="str">
        <x:v>etmopterus spinax</x:v>
      </x:c>
      <x:c r="O243" s="32" t="n">
        <x:v>4.14</x:v>
      </x:c>
      <x:c r="P243" s="24" t="str">
        <x:v>exact_2020_supplement</x:v>
      </x:c>
      <x:c r="Q243" s="32" t="str">
        <x:v>2020 supplement MeanTL</x:v>
      </x:c>
      <x:c r="R243" s="24" t="str">
        <x:v>high</x:v>
      </x:c>
      <x:c r="S243" s="24" t="str">
        <x:v>Etmopterus spinax</x:v>
      </x:c>
      <x:c r="T243" s="32" t="n">
        <x:f>IF(O243="","",(1/'Metadata'!$B$5)^(O243-1))</x:f>
        <x:v>1380.3842646028838</x:v>
      </x:c>
      <x:c r="U243" s="31" t="n">
        <x:f>IF(T243="","",I243*T243)</x:f>
        <x:v>8073.538978096229</x:v>
      </x:c>
    </x:row>
    <x:row r="244" ht="18" customHeight="1">
      <x:c r="A244" s="24" t="str">
        <x:v>EEZ_962</x:v>
      </x:c>
      <x:c r="B244" s="24" t="str">
        <x:v>Spain (mainland, Med and Gulf of Cadiz)</x:v>
      </x:c>
      <x:c r="C244" s="24" t="str">
        <x:v>EEZ</x:v>
      </x:c>
      <x:c r="D244" s="30" t="n">
        <x:v>2019</x:v>
      </x:c>
      <x:c r="E244" s="24" t="str">
        <x:v>Centrophorus granulosus</x:v>
      </x:c>
      <x:c r="F244" s="24" t="str">
        <x:v>Gulper shark</x:v>
      </x:c>
      <x:c r="G244" s="24" t="str">
        <x:v>Large sharks (&gt;=90 cm)</x:v>
      </x:c>
      <x:c r="H244" s="24" t="str">
        <x:v>Sharks &amp; rays</x:v>
      </x:c>
      <x:c r="I244" s="31" t="n">
        <x:v>5.738579472600001</x:v>
      </x:c>
      <x:c r="J244" s="31" t="n">
        <x:v>4.0098265363</x:v>
      </x:c>
      <x:c r="K244" s="31" t="n">
        <x:v>1.7287529363</x:v>
      </x:c>
      <x:c r="L244" s="31" t="n">
        <x:v>3.6831458456</x:v>
      </x:c>
      <x:c r="M244" s="31" t="n">
        <x:v>2.055433627</x:v>
      </x:c>
      <x:c r="N244" s="24" t="str">
        <x:v>centrophorus granulosus</x:v>
      </x:c>
      <x:c r="O244" s="32" t="n">
        <x:v>4.11</x:v>
      </x:c>
      <x:c r="P244" s="24" t="str">
        <x:v>exact_2020_supplement</x:v>
      </x:c>
      <x:c r="Q244" s="32" t="str">
        <x:v>2020 supplement MeanTL</x:v>
      </x:c>
      <x:c r="R244" s="24" t="str">
        <x:v>high</x:v>
      </x:c>
      <x:c r="S244" s="24" t="str">
        <x:v>Centrophorus granulosus</x:v>
      </x:c>
      <x:c r="T244" s="32" t="n">
        <x:f>IF(O244="","",(1/'Metadata'!$B$5)^(O244-1))</x:f>
        <x:v>1288.249551693135</x:v>
      </x:c>
      <x:c r="U244" s="31" t="n">
        <x:f>IF(T244="","",I244*T244)</x:f>
        <x:v>7392.722432932377</x:v>
      </x:c>
    </x:row>
    <x:row r="245" ht="18" customHeight="1">
      <x:c r="A245" s="24" t="str">
        <x:v>EEZ_962</x:v>
      </x:c>
      <x:c r="B245" s="24" t="str">
        <x:v>Spain (mainland, Med and Gulf of Cadiz)</x:v>
      </x:c>
      <x:c r="C245" s="24" t="str">
        <x:v>EEZ</x:v>
      </x:c>
      <x:c r="D245" s="30" t="n">
        <x:v>2019</x:v>
      </x:c>
      <x:c r="E245" s="24" t="str">
        <x:v>Ommastrephes</x:v>
      </x:c>
      <x:c r="F245" s="24" t="str">
        <x:v>Flying squids</x:v>
      </x:c>
      <x:c r="G245" s="24" t="str">
        <x:v>Cephalopods</x:v>
      </x:c>
      <x:c r="H245" s="24" t="str">
        <x:v>Other fishes &amp; inverts</x:v>
      </x:c>
      <x:c r="I245" s="31" t="n">
        <x:v>5.3501937474</x:v>
      </x:c>
      <x:c r="J245" s="31" t="n">
        <x:v>5.3501937474</x:v>
      </x:c>
      <x:c r="K245" s="31" t="n">
        <x:v>0</x:v>
      </x:c>
      <x:c r="L245" s="31" t="n">
        <x:v>0</x:v>
      </x:c>
      <x:c r="M245" s="31" t="n">
        <x:v>5.3501937474</x:v>
      </x:c>
      <x:c r="N245" s="24" t="str">
        <x:v>ommastrephes</x:v>
      </x:c>
      <x:c r="O245" s="32" t="n">
        <x:v>4.21</x:v>
      </x:c>
      <x:c r="P245" s="24" t="str">
        <x:v>exact_sea_around_us</x:v>
      </x:c>
      <x:c r="Q245" s="32" t="str">
        <x:v>Sea Around Us exploited organisms</x:v>
      </x:c>
      <x:c r="R245" s="24" t="str">
        <x:v>high</x:v>
      </x:c>
      <x:c r="S245" s="24" t="str">
        <x:v>Ommastrephes</x:v>
      </x:c>
      <x:c r="T245" s="32" t="n">
        <x:f>IF(O245="","",(1/'Metadata'!$B$5)^(O245-1))</x:f>
        <x:v>1621.8100973589299</x:v>
      </x:c>
      <x:c r="U245" s="31" t="n">
        <x:f>IF(T245="","",I245*T245)</x:f>
        <x:v>8676.99824235993</x:v>
      </x:c>
    </x:row>
    <x:row r="246" ht="18" customHeight="1">
      <x:c r="A246" s="24" t="str">
        <x:v>EEZ_962</x:v>
      </x:c>
      <x:c r="B246" s="24" t="str">
        <x:v>Spain (mainland, Med and Gulf of Cadiz)</x:v>
      </x:c>
      <x:c r="C246" s="24" t="str">
        <x:v>EEZ</x:v>
      </x:c>
      <x:c r="D246" s="30" t="n">
        <x:v>2019</x:v>
      </x:c>
      <x:c r="E246" s="24" t="str">
        <x:v>Paracentrotus lividus</x:v>
      </x:c>
      <x:c r="F246" s="24" t="str">
        <x:v>Stony sea urchin</x:v>
      </x:c>
      <x:c r="G246" s="24" t="str">
        <x:v>Other demersal invertebrates</x:v>
      </x:c>
      <x:c r="H246" s="24" t="str">
        <x:v>Other fishes &amp; inverts</x:v>
      </x:c>
      <x:c r="I246" s="31" t="n">
        <x:v>5.0950045411</x:v>
      </x:c>
      <x:c r="J246" s="31" t="n">
        <x:v>5.0950045411</x:v>
      </x:c>
      <x:c r="K246" s="31" t="n">
        <x:v>0</x:v>
      </x:c>
      <x:c r="L246" s="31" t="n">
        <x:v>5.0763855634</x:v>
      </x:c>
      <x:c r="M246" s="31" t="n">
        <x:v>0.0186189777</x:v>
      </x:c>
      <x:c r="N246" s="24" t="str">
        <x:v>paracentrotus lividus</x:v>
      </x:c>
      <x:c r="O246" s="32" t="n">
        <x:v>2.3</x:v>
      </x:c>
      <x:c r="P246" s="24" t="str">
        <x:v>exact_sea_around_us</x:v>
      </x:c>
      <x:c r="Q246" s="32" t="str">
        <x:v>Sea Around Us exploited organisms</x:v>
      </x:c>
      <x:c r="R246" s="24" t="str">
        <x:v>high</x:v>
      </x:c>
      <x:c r="S246" s="24" t="str">
        <x:v>Paracentrotus lividus</x:v>
      </x:c>
      <x:c r="T246" s="32" t="n">
        <x:f>IF(O246="","",(1/'Metadata'!$B$5)^(O246-1))</x:f>
        <x:v>19.952623149688787</x:v>
      </x:c>
      <x:c r="U246" s="31" t="n">
        <x:f>IF(T246="","",I246*T246)</x:f>
        <x:v>101.65870555452135</x:v>
      </x:c>
    </x:row>
    <x:row r="247" ht="18" customHeight="1">
      <x:c r="A247" s="24" t="str">
        <x:v>EEZ_962</x:v>
      </x:c>
      <x:c r="B247" s="24" t="str">
        <x:v>Spain (mainland, Med and Gulf of Cadiz)</x:v>
      </x:c>
      <x:c r="C247" s="24" t="str">
        <x:v>EEZ</x:v>
      </x:c>
      <x:c r="D247" s="30" t="n">
        <x:v>2019</x:v>
      </x:c>
      <x:c r="E247" s="24" t="str">
        <x:v>Scyris alexandrina</x:v>
      </x:c>
      <x:c r="F247" s="24" t="str">
        <x:v>Alexandria pompano</x:v>
      </x:c>
      <x:c r="G247" s="24" t="str">
        <x:v>Medium pelagics (30 - 89 cm)</x:v>
      </x:c>
      <x:c r="H247" s="24" t="str">
        <x:v>Perch-likes</x:v>
      </x:c>
      <x:c r="I247" s="31" t="n">
        <x:v>4.7685682233</x:v>
      </x:c>
      <x:c r="J247" s="31" t="n">
        <x:v>4.5055594165</x:v>
      </x:c>
      <x:c r="K247" s="31" t="n">
        <x:v>0.2630088068</x:v>
      </x:c>
      <x:c r="L247" s="31" t="n">
        <x:v>4.5055594165</x:v>
      </x:c>
      <x:c r="M247" s="31" t="n">
        <x:v>0.2630088068</x:v>
      </x:c>
      <x:c r="N247" s="24" t="str">
        <x:v>scyris alexandrina</x:v>
      </x:c>
      <x:c r="O247" s="32" t="n">
        <x:v>3.6</x:v>
      </x:c>
      <x:c r="P247" s="24" t="str">
        <x:v>exact_sea_around_us</x:v>
      </x:c>
      <x:c r="Q247" s="32" t="str">
        <x:v>Sea Around Us exploited organisms</x:v>
      </x:c>
      <x:c r="R247" s="24" t="str">
        <x:v>high</x:v>
      </x:c>
      <x:c r="S247" s="24" t="str">
        <x:v>Scyris alexandrina</x:v>
      </x:c>
      <x:c r="T247" s="32" t="n">
        <x:f>IF(O247="","",(1/'Metadata'!$B$5)^(O247-1))</x:f>
        <x:v>398.1071705534973</x:v>
      </x:c>
      <x:c r="U247" s="31" t="n">
        <x:f>IF(T247="","",I247*T247)</x:f>
        <x:v>1898.4012029692808</x:v>
      </x:c>
    </x:row>
    <x:row r="248" ht="18" customHeight="1">
      <x:c r="A248" s="24" t="str">
        <x:v>EEZ_962</x:v>
      </x:c>
      <x:c r="B248" s="24" t="str">
        <x:v>Spain (mainland, Med and Gulf of Cadiz)</x:v>
      </x:c>
      <x:c r="C248" s="24" t="str">
        <x:v>EEZ</x:v>
      </x:c>
      <x:c r="D248" s="30" t="n">
        <x:v>2019</x:v>
      </x:c>
      <x:c r="E248" s="24" t="str">
        <x:v>Solenoceridae</x:v>
      </x:c>
      <x:c r="F248" s="24" t="str">
        <x:v>Solenocerid shrimps</x:v>
      </x:c>
      <x:c r="G248" s="24" t="str">
        <x:v>Shrimps</x:v>
      </x:c>
      <x:c r="H248" s="24" t="str">
        <x:v>Crustaceans</x:v>
      </x:c>
      <x:c r="I248" s="31" t="n">
        <x:v>4.6714946917999995</x:v>
      </x:c>
      <x:c r="J248" s="31" t="n">
        <x:v>3.9476493051999997</x:v>
      </x:c>
      <x:c r="K248" s="31" t="n">
        <x:v>0.7238453866</x:v>
      </x:c>
      <x:c r="L248" s="31" t="n">
        <x:v>3.8131625815</x:v>
      </x:c>
      <x:c r="M248" s="31" t="n">
        <x:v>0.8583321103</x:v>
      </x:c>
      <x:c r="N248" s="24" t="str">
        <x:v>solenoceridae</x:v>
      </x:c>
      <x:c r="O248" s="32" t="n">
        <x:v>2.16</x:v>
      </x:c>
      <x:c r="P248" s="24" t="str">
        <x:v>exact_sea_around_us</x:v>
      </x:c>
      <x:c r="Q248" s="32" t="str">
        <x:v>Sea Around Us exploited organisms</x:v>
      </x:c>
      <x:c r="R248" s="24" t="str">
        <x:v>high</x:v>
      </x:c>
      <x:c r="S248" s="24" t="str">
        <x:v>Solenoceridae</x:v>
      </x:c>
      <x:c r="T248" s="32" t="n">
        <x:f>IF(O248="","",(1/'Metadata'!$B$5)^(O248-1))</x:f>
        <x:v>14.45439770745928</x:v>
      </x:c>
      <x:c r="U248" s="31" t="n">
        <x:f>IF(T248="","",I248*T248)</x:f>
        <x:v>67.52364216356212</x:v>
      </x:c>
    </x:row>
    <x:row r="249" ht="18" customHeight="1">
      <x:c r="A249" s="24" t="str">
        <x:v>EEZ_962</x:v>
      </x:c>
      <x:c r="B249" s="24" t="str">
        <x:v>Spain (mainland, Med and Gulf of Cadiz)</x:v>
      </x:c>
      <x:c r="C249" s="24" t="str">
        <x:v>EEZ</x:v>
      </x:c>
      <x:c r="D249" s="30" t="n">
        <x:v>2019</x:v>
      </x:c>
      <x:c r="E249" s="24" t="str">
        <x:v>Gastropoda</x:v>
      </x:c>
      <x:c r="F249" s="24" t="str">
        <x:v>Sea snails</x:v>
      </x:c>
      <x:c r="G249" s="24" t="str">
        <x:v>Other demersal invertebrates</x:v>
      </x:c>
      <x:c r="H249" s="24" t="str">
        <x:v>Molluscs</x:v>
      </x:c>
      <x:c r="I249" s="31" t="n">
        <x:v>4.3694509672</x:v>
      </x:c>
      <x:c r="J249" s="31" t="n">
        <x:v>4.1826177248</x:v>
      </x:c>
      <x:c r="K249" s="31" t="n">
        <x:v>0.1868332424</x:v>
      </x:c>
      <x:c r="L249" s="31" t="n">
        <x:v>4.1514815898</x:v>
      </x:c>
      <x:c r="M249" s="31" t="n">
        <x:v>0.2179693774</x:v>
      </x:c>
      <x:c r="N249" s="24" t="str">
        <x:v>gastropoda</x:v>
      </x:c>
      <x:c r="O249" s="32" t="n">
        <x:v>3.06</x:v>
      </x:c>
      <x:c r="P249" s="24" t="str">
        <x:v>exact_sea_around_us</x:v>
      </x:c>
      <x:c r="Q249" s="32" t="str">
        <x:v>Sea Around Us exploited organisms</x:v>
      </x:c>
      <x:c r="R249" s="24" t="str">
        <x:v>high</x:v>
      </x:c>
      <x:c r="S249" s="24" t="str">
        <x:v>Gastropoda</x:v>
      </x:c>
      <x:c r="T249" s="32" t="n">
        <x:f>IF(O249="","",(1/'Metadata'!$B$5)^(O249-1))</x:f>
        <x:v>114.81536214968828</x:v>
      </x:c>
      <x:c r="U249" s="31" t="n">
        <x:f>IF(T249="","",I249*T249)</x:f>
        <x:v>501.68009519437373</x:v>
      </x:c>
    </x:row>
    <x:row r="250" ht="18" customHeight="1">
      <x:c r="A250" s="24" t="str">
        <x:v>EEZ_962</x:v>
      </x:c>
      <x:c r="B250" s="24" t="str">
        <x:v>Spain (mainland, Med and Gulf of Cadiz)</x:v>
      </x:c>
      <x:c r="C250" s="24" t="str">
        <x:v>EEZ</x:v>
      </x:c>
      <x:c r="D250" s="30" t="n">
        <x:v>2019</x:v>
      </x:c>
      <x:c r="E250" s="24" t="str">
        <x:v>Carcharhinidae</x:v>
      </x:c>
      <x:c r="F250" s="24" t="str">
        <x:v>Requiem sharks</x:v>
      </x:c>
      <x:c r="G250" s="24" t="str">
        <x:v>Large sharks (&gt;=90 cm)</x:v>
      </x:c>
      <x:c r="H250" s="24" t="str">
        <x:v>Sharks &amp; rays</x:v>
      </x:c>
      <x:c r="I250" s="31" t="n">
        <x:v>4.3453494866</x:v>
      </x:c>
      <x:c r="J250" s="31" t="n">
        <x:v>4.3148242028</x:v>
      </x:c>
      <x:c r="K250" s="31" t="n">
        <x:v>0.0305252838</x:v>
      </x:c>
      <x:c r="L250" s="31" t="n">
        <x:v>4.1466682102</x:v>
      </x:c>
      <x:c r="M250" s="31" t="n">
        <x:v>0.1986812764</x:v>
      </x:c>
      <x:c r="N250" s="24" t="str">
        <x:v>carcharhinidae</x:v>
      </x:c>
      <x:c r="O250" s="32" t="n">
        <x:v>4.24</x:v>
      </x:c>
      <x:c r="P250" s="24" t="str">
        <x:v>exact_sea_around_us</x:v>
      </x:c>
      <x:c r="Q250" s="32" t="str">
        <x:v>Sea Around Us exploited organisms</x:v>
      </x:c>
      <x:c r="R250" s="24" t="str">
        <x:v>high</x:v>
      </x:c>
      <x:c r="S250" s="24" t="str">
        <x:v>Carcharhinidae</x:v>
      </x:c>
      <x:c r="T250" s="32" t="n">
        <x:f>IF(O250="","",(1/'Metadata'!$B$5)^(O250-1))</x:f>
        <x:v>1737.8008287493763</x:v>
      </x:c>
      <x:c r="U250" s="31" t="n">
        <x:f>IF(T250="","",I250*T250)</x:f>
        <x:v>7551.351939019157</x:v>
      </x:c>
    </x:row>
    <x:row r="251" ht="18" customHeight="1">
      <x:c r="A251" s="24" t="str">
        <x:v>EEZ_962</x:v>
      </x:c>
      <x:c r="B251" s="24" t="str">
        <x:v>Spain (mainland, Med and Gulf of Cadiz)</x:v>
      </x:c>
      <x:c r="C251" s="24" t="str">
        <x:v>EEZ</x:v>
      </x:c>
      <x:c r="D251" s="30" t="n">
        <x:v>2019</x:v>
      </x:c>
      <x:c r="E251" s="24" t="str">
        <x:v>Epigonus</x:v>
      </x:c>
      <x:c r="F251" s="24" t="str">
        <x:v>Deepwater cardinalfishes</x:v>
      </x:c>
      <x:c r="G251" s="24" t="str">
        <x:v>Medium bathydemersals (30 - 89 cm)</x:v>
      </x:c>
      <x:c r="H251" s="24" t="str">
        <x:v>Perch-likes</x:v>
      </x:c>
      <x:c r="I251" s="31" t="n">
        <x:v>4.324160619500001</x:v>
      </x:c>
      <x:c r="J251" s="31" t="n">
        <x:v>2.987393992</x:v>
      </x:c>
      <x:c r="K251" s="31" t="n">
        <x:v>1.3367666275</x:v>
      </x:c>
      <x:c r="L251" s="31" t="n">
        <x:v>2.7266258856</x:v>
      </x:c>
      <x:c r="M251" s="31" t="n">
        <x:v>1.5975347339000001</x:v>
      </x:c>
      <x:c r="N251" s="24" t="str">
        <x:v>epigonus</x:v>
      </x:c>
      <x:c r="O251" s="32" t="n">
        <x:v>3.5</x:v>
      </x:c>
      <x:c r="P251" s="24" t="str">
        <x:v>exact_sea_around_us</x:v>
      </x:c>
      <x:c r="Q251" s="32" t="str">
        <x:v>Sea Around Us exploited organisms</x:v>
      </x:c>
      <x:c r="R251" s="24" t="str">
        <x:v>high</x:v>
      </x:c>
      <x:c r="S251" s="24" t="str">
        <x:v>Epigonus</x:v>
      </x:c>
      <x:c r="T251" s="32" t="n">
        <x:f>IF(O251="","",(1/'Metadata'!$B$5)^(O251-1))</x:f>
        <x:v>316.22776601683796</x:v>
      </x:c>
      <x:c r="U251" s="31" t="n">
        <x:f>IF(T251="","",I251*T251)</x:f>
        <x:v>1367.4196526024714</x:v>
      </x:c>
    </x:row>
    <x:row r="252" ht="18" customHeight="1">
      <x:c r="A252" s="24" t="str">
        <x:v>EEZ_962</x:v>
      </x:c>
      <x:c r="B252" s="24" t="str">
        <x:v>Spain (mainland, Med and Gulf of Cadiz)</x:v>
      </x:c>
      <x:c r="C252" s="24" t="str">
        <x:v>EEZ</x:v>
      </x:c>
      <x:c r="D252" s="30" t="n">
        <x:v>2019</x:v>
      </x:c>
      <x:c r="E252" s="24" t="str">
        <x:v>Myliobatidae</x:v>
      </x:c>
      <x:c r="F252" s="24" t="str">
        <x:v>Eagle/manta rays</x:v>
      </x:c>
      <x:c r="G252" s="24" t="str">
        <x:v>Large rays (&gt;=90 cm)</x:v>
      </x:c>
      <x:c r="H252" s="24" t="str">
        <x:v>Sharks &amp; rays</x:v>
      </x:c>
      <x:c r="I252" s="31" t="n">
        <x:v>4.1166192845000005</x:v>
      </x:c>
      <x:c r="J252" s="31" t="n">
        <x:v>3.3906069905</x:v>
      </x:c>
      <x:c r="K252" s="31" t="n">
        <x:v>0.726012294</x:v>
      </x:c>
      <x:c r="L252" s="31" t="n">
        <x:v>3.1221154462</x:v>
      </x:c>
      <x:c r="M252" s="31" t="n">
        <x:v>0.9945038383</x:v>
      </x:c>
      <x:c r="N252" s="24" t="str">
        <x:v>myliobatidae</x:v>
      </x:c>
      <x:c r="O252" s="32" t="n">
        <x:v>3.36</x:v>
      </x:c>
      <x:c r="P252" s="24" t="str">
        <x:v>exact_sea_around_us</x:v>
      </x:c>
      <x:c r="Q252" s="32" t="str">
        <x:v>Sea Around Us exploited organisms</x:v>
      </x:c>
      <x:c r="R252" s="24" t="str">
        <x:v>high</x:v>
      </x:c>
      <x:c r="S252" s="24" t="str">
        <x:v>Myliobatidae</x:v>
      </x:c>
      <x:c r="T252" s="32" t="n">
        <x:f>IF(O252="","",(1/'Metadata'!$B$5)^(O252-1))</x:f>
        <x:v>229.08676527677724</x:v>
      </x:c>
      <x:c r="U252" s="31" t="n">
        <x:f>IF(T252="","",I252*T252)</x:f>
        <x:v>943.0629957621063</x:v>
      </x:c>
    </x:row>
    <x:row r="253" ht="18" customHeight="1">
      <x:c r="A253" s="24" t="str">
        <x:v>EEZ_962</x:v>
      </x:c>
      <x:c r="B253" s="24" t="str">
        <x:v>Spain (mainland, Med and Gulf of Cadiz)</x:v>
      </x:c>
      <x:c r="C253" s="24" t="str">
        <x:v>EEZ</x:v>
      </x:c>
      <x:c r="D253" s="30" t="n">
        <x:v>2019</x:v>
      </x:c>
      <x:c r="E253" s="24" t="str">
        <x:v>Holothuroidea</x:v>
      </x:c>
      <x:c r="F253" s="24" t="str">
        <x:v>Sea cucumbers</x:v>
      </x:c>
      <x:c r="G253" s="24" t="str">
        <x:v>Other demersal invertebrates</x:v>
      </x:c>
      <x:c r="H253" s="24" t="str">
        <x:v>Other fishes &amp; inverts</x:v>
      </x:c>
      <x:c r="I253" s="31" t="n">
        <x:v>3.9357061898000003</x:v>
      </x:c>
      <x:c r="J253" s="31" t="n">
        <x:v>0.770341865</x:v>
      </x:c>
      <x:c r="K253" s="31" t="n">
        <x:v>3.1653643248</x:v>
      </x:c>
      <x:c r="L253" s="31" t="n">
        <x:v>0.1196004716</x:v>
      </x:c>
      <x:c r="M253" s="31" t="n">
        <x:v>3.8161057182</x:v>
      </x:c>
      <x:c r="N253" s="24" t="str">
        <x:v>holothuroidea</x:v>
      </x:c>
      <x:c r="O253" s="32" t="n">
        <x:v>2</x:v>
      </x:c>
      <x:c r="P253" s="24" t="str">
        <x:v>exact_sea_around_us</x:v>
      </x:c>
      <x:c r="Q253" s="32" t="str">
        <x:v>Sea Around Us exploited organisms</x:v>
      </x:c>
      <x:c r="R253" s="24" t="str">
        <x:v>high</x:v>
      </x:c>
      <x:c r="S253" s="24" t="str">
        <x:v>Holothuroidea</x:v>
      </x:c>
      <x:c r="T253" s="32" t="n">
        <x:f>IF(O253="","",(1/'Metadata'!$B$5)^(O253-1))</x:f>
        <x:v>10</x:v>
      </x:c>
      <x:c r="U253" s="31" t="n">
        <x:f>IF(T253="","",I253*T253)</x:f>
        <x:v>39.357061898000005</x:v>
      </x:c>
    </x:row>
    <x:row r="254" ht="18" customHeight="1">
      <x:c r="A254" s="24" t="str">
        <x:v>EEZ_962</x:v>
      </x:c>
      <x:c r="B254" s="24" t="str">
        <x:v>Spain (mainland, Med and Gulf of Cadiz)</x:v>
      </x:c>
      <x:c r="C254" s="24" t="str">
        <x:v>EEZ</x:v>
      </x:c>
      <x:c r="D254" s="30" t="n">
        <x:v>2019</x:v>
      </x:c>
      <x:c r="E254" s="24" t="str">
        <x:v>Cheilopogon heterurus</x:v>
      </x:c>
      <x:c r="F254" s="24" t="str">
        <x:v>Mediterranean flyingfish</x:v>
      </x:c>
      <x:c r="G254" s="24" t="str">
        <x:v>Medium pelagics (30 - 89 cm)</x:v>
      </x:c>
      <x:c r="H254" s="24" t="str">
        <x:v>Other fishes &amp; inverts</x:v>
      </x:c>
      <x:c r="I254" s="31" t="n">
        <x:v>3.9278531327</x:v>
      </x:c>
      <x:c r="J254" s="31" t="n">
        <x:v>3.7905570853</x:v>
      </x:c>
      <x:c r="K254" s="31" t="n">
        <x:v>0.1372960474</x:v>
      </x:c>
      <x:c r="L254" s="31" t="n">
        <x:v>3.7905570853</x:v>
      </x:c>
      <x:c r="M254" s="31" t="n">
        <x:v>0.1372960474</x:v>
      </x:c>
      <x:c r="N254" s="24" t="str">
        <x:v>cheilopogon heterurus</x:v>
      </x:c>
      <x:c r="O254" s="32" t="n">
        <x:v>3.4</x:v>
      </x:c>
      <x:c r="P254" s="24" t="str">
        <x:v>exact_2020_supplement</x:v>
      </x:c>
      <x:c r="Q254" s="32" t="str">
        <x:v>2020 supplement MeanTL</x:v>
      </x:c>
      <x:c r="R254" s="24" t="str">
        <x:v>high</x:v>
      </x:c>
      <x:c r="S254" s="24" t="str">
        <x:v>Cheilopogon heterurus</x:v>
      </x:c>
      <x:c r="T254" s="32" t="n">
        <x:f>IF(O254="","",(1/'Metadata'!$B$5)^(O254-1))</x:f>
        <x:v>251.18864315095797</x:v>
      </x:c>
      <x:c r="U254" s="31" t="n">
        <x:f>IF(T254="","",I254*T254)</x:f>
        <x:v>986.6320988991527</x:v>
      </x:c>
    </x:row>
    <x:row r="255" ht="18" customHeight="1">
      <x:c r="A255" s="24" t="str">
        <x:v>EEZ_962</x:v>
      </x:c>
      <x:c r="B255" s="24" t="str">
        <x:v>Spain (mainland, Med and Gulf of Cadiz)</x:v>
      </x:c>
      <x:c r="C255" s="24" t="str">
        <x:v>EEZ</x:v>
      </x:c>
      <x:c r="D255" s="30" t="n">
        <x:v>2019</x:v>
      </x:c>
      <x:c r="E255" s="24" t="str">
        <x:v>Necora puber</x:v>
      </x:c>
      <x:c r="F255" s="24" t="str">
        <x:v>Velvet swimcrab</x:v>
      </x:c>
      <x:c r="G255" s="24" t="str">
        <x:v>Lobsters, crabs</x:v>
      </x:c>
      <x:c r="H255" s="24" t="str">
        <x:v>Crustaceans</x:v>
      </x:c>
      <x:c r="I255" s="31" t="n">
        <x:v>3.6954971212</x:v>
      </x:c>
      <x:c r="J255" s="31" t="n">
        <x:v>3.4271723439999997</x:v>
      </x:c>
      <x:c r="K255" s="31" t="n">
        <x:v>0.2683247772</x:v>
      </x:c>
      <x:c r="L255" s="31" t="n">
        <x:v>3.4271723439999997</x:v>
      </x:c>
      <x:c r="M255" s="31" t="n">
        <x:v>0.2683247772</x:v>
      </x:c>
      <x:c r="N255" s="24" t="str">
        <x:v>necora puber</x:v>
      </x:c>
      <x:c r="O255" s="32" t="n">
        <x:v>2.6</x:v>
      </x:c>
      <x:c r="P255" s="24" t="str">
        <x:v>exact_sea_around_us</x:v>
      </x:c>
      <x:c r="Q255" s="32" t="str">
        <x:v>Sea Around Us exploited organisms</x:v>
      </x:c>
      <x:c r="R255" s="24" t="str">
        <x:v>high</x:v>
      </x:c>
      <x:c r="S255" s="24" t="str">
        <x:v>Necora puber</x:v>
      </x:c>
      <x:c r="T255" s="32" t="n">
        <x:f>IF(O255="","",(1/'Metadata'!$B$5)^(O255-1))</x:f>
        <x:v>39.810717055349734</x:v>
      </x:c>
      <x:c r="U255" s="31" t="n">
        <x:f>IF(T255="","",I255*T255)</x:f>
        <x:v>147.12039027095267</x:v>
      </x:c>
    </x:row>
    <x:row r="256" ht="18" customHeight="1">
      <x:c r="A256" s="24" t="str">
        <x:v>EEZ_962</x:v>
      </x:c>
      <x:c r="B256" s="24" t="str">
        <x:v>Spain (mainland, Med and Gulf of Cadiz)</x:v>
      </x:c>
      <x:c r="C256" s="24" t="str">
        <x:v>EEZ</x:v>
      </x:c>
      <x:c r="D256" s="30" t="n">
        <x:v>2019</x:v>
      </x:c>
      <x:c r="E256" s="24" t="str">
        <x:v>Naucrates ductor</x:v>
      </x:c>
      <x:c r="F256" s="24" t="str">
        <x:v>Pilotfish</x:v>
      </x:c>
      <x:c r="G256" s="24" t="str">
        <x:v>Medium pelagics (30 - 89 cm)</x:v>
      </x:c>
      <x:c r="H256" s="24" t="str">
        <x:v>Perch-likes</x:v>
      </x:c>
      <x:c r="I256" s="31" t="n">
        <x:v>3.5441416446</x:v>
      </x:c>
      <x:c r="J256" s="31" t="n">
        <x:v>3.3361976026</x:v>
      </x:c>
      <x:c r="K256" s="31" t="n">
        <x:v>0.207944042</x:v>
      </x:c>
      <x:c r="L256" s="31" t="n">
        <x:v>3.3361976026</x:v>
      </x:c>
      <x:c r="M256" s="31" t="n">
        <x:v>0.207944042</x:v>
      </x:c>
      <x:c r="N256" s="24" t="str">
        <x:v>naucrates ductor</x:v>
      </x:c>
      <x:c r="O256" s="32" t="n">
        <x:v>3.98</x:v>
      </x:c>
      <x:c r="P256" s="24" t="str">
        <x:v>exact_2020_supplement</x:v>
      </x:c>
      <x:c r="Q256" s="32" t="str">
        <x:v>2020 supplement MeanTL</x:v>
      </x:c>
      <x:c r="R256" s="24" t="str">
        <x:v>high</x:v>
      </x:c>
      <x:c r="S256" s="24" t="str">
        <x:v>Naucrates ductor</x:v>
      </x:c>
      <x:c r="T256" s="32" t="n">
        <x:f>IF(O256="","",(1/'Metadata'!$B$5)^(O256-1))</x:f>
        <x:v>954.992586021436</x:v>
      </x:c>
      <x:c r="U256" s="31" t="n">
        <x:f>IF(T256="","",I256*T256)</x:f>
        <x:v>3384.628994402819</x:v>
      </x:c>
    </x:row>
    <x:row r="257" ht="18" customHeight="1">
      <x:c r="A257" s="24" t="str">
        <x:v>EEZ_962</x:v>
      </x:c>
      <x:c r="B257" s="24" t="str">
        <x:v>Spain (mainland, Med and Gulf of Cadiz)</x:v>
      </x:c>
      <x:c r="C257" s="24" t="str">
        <x:v>EEZ</x:v>
      </x:c>
      <x:c r="D257" s="30" t="n">
        <x:v>2019</x:v>
      </x:c>
      <x:c r="E257" s="24" t="str">
        <x:v>Aristeidae</x:v>
      </x:c>
      <x:c r="F257" s="24" t="str">
        <x:v>Aristeid shrimps</x:v>
      </x:c>
      <x:c r="G257" s="24" t="str">
        <x:v>Shrimps</x:v>
      </x:c>
      <x:c r="H257" s="24" t="str">
        <x:v>Crustaceans</x:v>
      </x:c>
      <x:c r="I257" s="31" t="n">
        <x:v>3.4676340747</x:v>
      </x:c>
      <x:c r="J257" s="31" t="n">
        <x:v>3.3472040102</x:v>
      </x:c>
      <x:c r="K257" s="31" t="n">
        <x:v>0.1204300645</x:v>
      </x:c>
      <x:c r="L257" s="31" t="n">
        <x:v>2.6144888234</x:v>
      </x:c>
      <x:c r="M257" s="31" t="n">
        <x:v>0.8531452513</x:v>
      </x:c>
      <x:c r="N257" s="24" t="str">
        <x:v>aristeidae</x:v>
      </x:c>
      <x:c r="O257" s="32" t="n">
        <x:v>3.47</x:v>
      </x:c>
      <x:c r="P257" s="24" t="str">
        <x:v>exact_sea_around_us</x:v>
      </x:c>
      <x:c r="Q257" s="32" t="str">
        <x:v>Sea Around Us exploited organisms</x:v>
      </x:c>
      <x:c r="R257" s="24" t="str">
        <x:v>high</x:v>
      </x:c>
      <x:c r="S257" s="24" t="str">
        <x:v>Aristeidae</x:v>
      </x:c>
      <x:c r="T257" s="32" t="n">
        <x:f>IF(O257="","",(1/'Metadata'!$B$5)^(O257-1))</x:f>
        <x:v>295.1209226666387</x:v>
      </x:c>
      <x:c r="U257" s="31" t="n">
        <x:f>IF(T257="","",I257*T257)</x:f>
        <x:v>1023.3713675957399</x:v>
      </x:c>
    </x:row>
    <x:row r="258" ht="18" customHeight="1">
      <x:c r="A258" s="24" t="str">
        <x:v>EEZ_962</x:v>
      </x:c>
      <x:c r="B258" s="24" t="str">
        <x:v>Spain (mainland, Med and Gulf of Cadiz)</x:v>
      </x:c>
      <x:c r="C258" s="24" t="str">
        <x:v>EEZ</x:v>
      </x:c>
      <x:c r="D258" s="30" t="n">
        <x:v>2019</x:v>
      </x:c>
      <x:c r="E258" s="24" t="str">
        <x:v>Miscellaneous marine crustaceans</x:v>
      </x:c>
      <x:c r="F258" s="24" t="str">
        <x:v>Marine crabs, shrimps, lobsters nei</x:v>
      </x:c>
      <x:c r="G258" s="24" t="str">
        <x:v>Shrimps</x:v>
      </x:c>
      <x:c r="H258" s="24" t="str">
        <x:v>Crustaceans</x:v>
      </x:c>
      <x:c r="I258" s="31" t="n">
        <x:v>3.3963346019</x:v>
      </x:c>
      <x:c r="J258" s="31" t="n">
        <x:v>0.8250120749</x:v>
      </x:c>
      <x:c r="K258" s="31" t="n">
        <x:v>2.571322527</x:v>
      </x:c>
      <x:c r="L258" s="31" t="n">
        <x:v>0.553665045</x:v>
      </x:c>
      <x:c r="M258" s="31" t="n">
        <x:v>2.8426695569000002</x:v>
      </x:c>
      <x:c r="N258" s="24" t="str">
        <x:v>miscellaneous marine crustaceans</x:v>
      </x:c>
      <x:c r="O258" s="32" t="n">
        <x:v>2.7</x:v>
      </x:c>
      <x:c r="P258" s="24" t="str">
        <x:v>exact_sea_around_us</x:v>
      </x:c>
      <x:c r="Q258" s="32" t="str">
        <x:v>Sea Around Us exploited organisms</x:v>
      </x:c>
      <x:c r="R258" s="24" t="str">
        <x:v>high</x:v>
      </x:c>
      <x:c r="S258" s="24" t="str">
        <x:v>Miscellaneous marine crustaceans</x:v>
      </x:c>
      <x:c r="T258" s="32" t="n">
        <x:f>IF(O258="","",(1/'Metadata'!$B$5)^(O258-1))</x:f>
        <x:v>50.11872336272725</x:v>
      </x:c>
      <x:c r="U258" s="31" t="n">
        <x:f>IF(T258="","",I258*T258)</x:f>
        <x:v>170.2199543598845</x:v>
      </x:c>
    </x:row>
    <x:row r="259" ht="18" customHeight="1">
      <x:c r="A259" s="24" t="str">
        <x:v>EEZ_962</x:v>
      </x:c>
      <x:c r="B259" s="24" t="str">
        <x:v>Spain (mainland, Med and Gulf of Cadiz)</x:v>
      </x:c>
      <x:c r="C259" s="24" t="str">
        <x:v>EEZ</x:v>
      </x:c>
      <x:c r="D259" s="30" t="n">
        <x:v>2019</x:v>
      </x:c>
      <x:c r="E259" s="24" t="str">
        <x:v>Chelidonichthys</x:v>
      </x:c>
      <x:c r="F259" s="24" t="str">
        <x:v>Smallscaled gurnards</x:v>
      </x:c>
      <x:c r="G259" s="24" t="str">
        <x:v>Medium demersals (30 - 89 cm)</x:v>
      </x:c>
      <x:c r="H259" s="24" t="str">
        <x:v>Scorpionfishes</x:v>
      </x:c>
      <x:c r="I259" s="31" t="n">
        <x:v>3.3531839811</x:v>
      </x:c>
      <x:c r="J259" s="31" t="n">
        <x:v>2.9412106767</x:v>
      </x:c>
      <x:c r="K259" s="31" t="n">
        <x:v>0.4119733044</x:v>
      </x:c>
      <x:c r="L259" s="31" t="n">
        <x:v>2.2593008105</x:v>
      </x:c>
      <x:c r="M259" s="31" t="n">
        <x:v>1.0938831706</x:v>
      </x:c>
      <x:c r="N259" s="24" t="str">
        <x:v>chelidonichthys</x:v>
      </x:c>
      <x:c r="O259" s="32" t="n">
        <x:v>3.72</x:v>
      </x:c>
      <x:c r="P259" s="24" t="str">
        <x:v>exact_sea_around_us</x:v>
      </x:c>
      <x:c r="Q259" s="32" t="str">
        <x:v>Sea Around Us exploited organisms</x:v>
      </x:c>
      <x:c r="R259" s="24" t="str">
        <x:v>high</x:v>
      </x:c>
      <x:c r="S259" s="24" t="str">
        <x:v>Chelidonichthys</x:v>
      </x:c>
      <x:c r="T259" s="32" t="n">
        <x:f>IF(O259="","",(1/'Metadata'!$B$5)^(O259-1))</x:f>
        <x:v>524.8074602497728</x:v>
      </x:c>
      <x:c r="U259" s="31" t="n">
        <x:f>IF(T259="","",I259*T259)</x:f>
        <x:v>1759.7759688713131</x:v>
      </x:c>
    </x:row>
    <x:row r="260" ht="18" customHeight="1">
      <x:c r="A260" s="24" t="str">
        <x:v>EEZ_962</x:v>
      </x:c>
      <x:c r="B260" s="24" t="str">
        <x:v>Spain (mainland, Med and Gulf of Cadiz)</x:v>
      </x:c>
      <x:c r="C260" s="24" t="str">
        <x:v>EEZ</x:v>
      </x:c>
      <x:c r="D260" s="30" t="n">
        <x:v>2019</x:v>
      </x:c>
      <x:c r="E260" s="24" t="str">
        <x:v>Beryx</x:v>
      </x:c>
      <x:c r="F260" s="24" t="str">
        <x:v>Alfonsinos</x:v>
      </x:c>
      <x:c r="G260" s="24" t="str">
        <x:v>Medium benthopelagics (30 - 89 cm)</x:v>
      </x:c>
      <x:c r="H260" s="24" t="str">
        <x:v>Other fishes &amp; inverts</x:v>
      </x:c>
      <x:c r="I260" s="31" t="n">
        <x:v>3.2692435009</x:v>
      </x:c>
      <x:c r="J260" s="31" t="n">
        <x:v>2.6046366114</x:v>
      </x:c>
      <x:c r="K260" s="31" t="n">
        <x:v>0.6646068895</x:v>
      </x:c>
      <x:c r="L260" s="31" t="n">
        <x:v>2.2867748075</x:v>
      </x:c>
      <x:c r="M260" s="31" t="n">
        <x:v>0.9824686934</x:v>
      </x:c>
      <x:c r="N260" s="24" t="str">
        <x:v>beryx</x:v>
      </x:c>
      <x:c r="O260" s="32" t="n">
        <x:v>3.97</x:v>
      </x:c>
      <x:c r="P260" s="24" t="str">
        <x:v>exact_sea_around_us</x:v>
      </x:c>
      <x:c r="Q260" s="32" t="str">
        <x:v>Sea Around Us exploited organisms</x:v>
      </x:c>
      <x:c r="R260" s="24" t="str">
        <x:v>high</x:v>
      </x:c>
      <x:c r="S260" s="24" t="str">
        <x:v>Beryx</x:v>
      </x:c>
      <x:c r="T260" s="32" t="n">
        <x:f>IF(O260="","",(1/'Metadata'!$B$5)^(O260-1))</x:f>
        <x:v>933.2543007969915</x:v>
      </x:c>
      <x:c r="U260" s="31" t="n">
        <x:f>IF(T260="","",I260*T260)</x:f>
        <x:v>3051.035557567538</x:v>
      </x:c>
    </x:row>
    <x:row r="261" ht="18" customHeight="1">
      <x:c r="A261" s="24" t="str">
        <x:v>EEZ_962</x:v>
      </x:c>
      <x:c r="B261" s="24" t="str">
        <x:v>Spain (mainland, Med and Gulf of Cadiz)</x:v>
      </x:c>
      <x:c r="C261" s="24" t="str">
        <x:v>EEZ</x:v>
      </x:c>
      <x:c r="D261" s="30" t="n">
        <x:v>2019</x:v>
      </x:c>
      <x:c r="E261" s="24" t="str">
        <x:v>Muraenidae</x:v>
      </x:c>
      <x:c r="F261" s="24" t="str">
        <x:v>Moray eels</x:v>
      </x:c>
      <x:c r="G261" s="24" t="str">
        <x:v>Large reef assoc. fish (&gt;=90 cm)</x:v>
      </x:c>
      <x:c r="H261" s="24" t="str">
        <x:v>Other fishes &amp; inverts</x:v>
      </x:c>
      <x:c r="I261" s="31" t="n">
        <x:v>3.2520489503</x:v>
      </x:c>
      <x:c r="J261" s="31" t="n">
        <x:v>2.2723569243</x:v>
      </x:c>
      <x:c r="K261" s="31" t="n">
        <x:v>0.9796920259999999</x:v>
      </x:c>
      <x:c r="L261" s="31" t="n">
        <x:v>2.2317307169</x:v>
      </x:c>
      <x:c r="M261" s="31" t="n">
        <x:v>1.0203182334</x:v>
      </x:c>
      <x:c r="N261" s="24" t="str">
        <x:v>muraenidae</x:v>
      </x:c>
      <x:c r="O261" s="32" t="n">
        <x:v>4.07</x:v>
      </x:c>
      <x:c r="P261" s="24" t="str">
        <x:v>exact_sea_around_us</x:v>
      </x:c>
      <x:c r="Q261" s="32" t="str">
        <x:v>Sea Around Us exploited organisms</x:v>
      </x:c>
      <x:c r="R261" s="24" t="str">
        <x:v>high</x:v>
      </x:c>
      <x:c r="S261" s="24" t="str">
        <x:v>Muraenidae</x:v>
      </x:c>
      <x:c r="T261" s="32" t="n">
        <x:f>IF(O261="","",(1/'Metadata'!$B$5)^(O261-1))</x:f>
        <x:v>1174.8975549395302</x:v>
      </x:c>
      <x:c r="U261" s="31" t="n">
        <x:f>IF(T261="","",I261*T261)</x:f>
        <x:v>3820.8243602511357</x:v>
      </x:c>
    </x:row>
    <x:row r="262" ht="18" customHeight="1">
      <x:c r="A262" s="24" t="str">
        <x:v>EEZ_962</x:v>
      </x:c>
      <x:c r="B262" s="24" t="str">
        <x:v>Spain (mainland, Med and Gulf of Cadiz)</x:v>
      </x:c>
      <x:c r="C262" s="24" t="str">
        <x:v>EEZ</x:v>
      </x:c>
      <x:c r="D262" s="30" t="n">
        <x:v>2019</x:v>
      </x:c>
      <x:c r="E262" s="24" t="str">
        <x:v>Pectinidae</x:v>
      </x:c>
      <x:c r="F262" s="24" t="str">
        <x:v>Scallops</x:v>
      </x:c>
      <x:c r="G262" s="24" t="str">
        <x:v>Other demersal invertebrates</x:v>
      </x:c>
      <x:c r="H262" s="24" t="str">
        <x:v>Molluscs</x:v>
      </x:c>
      <x:c r="I262" s="31" t="n">
        <x:v>3.0587548513</x:v>
      </x:c>
      <x:c r="J262" s="31" t="n">
        <x:v>2.5718069135999997</x:v>
      </x:c>
      <x:c r="K262" s="31" t="n">
        <x:v>0.4869479377</x:v>
      </x:c>
      <x:c r="L262" s="31" t="n">
        <x:v>2.4816851605999997</x:v>
      </x:c>
      <x:c r="M262" s="31" t="n">
        <x:v>0.5770696907</x:v>
      </x:c>
      <x:c r="N262" s="24" t="str">
        <x:v>pectinidae</x:v>
      </x:c>
      <x:c r="O262" s="32" t="n">
        <x:v>2</x:v>
      </x:c>
      <x:c r="P262" s="24" t="str">
        <x:v>exact_sea_around_us</x:v>
      </x:c>
      <x:c r="Q262" s="32" t="str">
        <x:v>Sea Around Us exploited organisms</x:v>
      </x:c>
      <x:c r="R262" s="24" t="str">
        <x:v>high</x:v>
      </x:c>
      <x:c r="S262" s="24" t="str">
        <x:v>Pectinidae</x:v>
      </x:c>
      <x:c r="T262" s="32" t="n">
        <x:f>IF(O262="","",(1/'Metadata'!$B$5)^(O262-1))</x:f>
        <x:v>10</x:v>
      </x:c>
      <x:c r="U262" s="31" t="n">
        <x:f>IF(T262="","",I262*T262)</x:f>
        <x:v>30.587548512999998</x:v>
      </x:c>
    </x:row>
    <x:row r="263" ht="18" customHeight="1">
      <x:c r="A263" s="24" t="str">
        <x:v>EEZ_962</x:v>
      </x:c>
      <x:c r="B263" s="24" t="str">
        <x:v>Spain (mainland, Med and Gulf of Cadiz)</x:v>
      </x:c>
      <x:c r="C263" s="24" t="str">
        <x:v>EEZ</x:v>
      </x:c>
      <x:c r="D263" s="30" t="n">
        <x:v>2019</x:v>
      </x:c>
      <x:c r="E263" s="24" t="str">
        <x:v>Dendrobranchiata</x:v>
      </x:c>
      <x:c r="F263" s="24" t="str">
        <x:v>Shrimps and prawns</x:v>
      </x:c>
      <x:c r="G263" s="24" t="str">
        <x:v>Shrimps</x:v>
      </x:c>
      <x:c r="H263" s="24" t="str">
        <x:v>Crustaceans</x:v>
      </x:c>
      <x:c r="I263" s="31" t="n">
        <x:v>2.9694459263999997</x:v>
      </x:c>
      <x:c r="J263" s="31" t="n">
        <x:v>2.9694459263999997</x:v>
      </x:c>
      <x:c r="K263" s="31" t="n">
        <x:v>0</x:v>
      </x:c>
      <x:c r="L263" s="31" t="n">
        <x:v>2.9694459263999997</x:v>
      </x:c>
      <x:c r="M263" s="31" t="n">
        <x:v>0</x:v>
      </x:c>
      <x:c r="N263" s="24" t="str">
        <x:v>dendrobranchiata</x:v>
      </x:c>
      <x:c r="O263" s="32" t="n">
        <x:v>3.24</x:v>
      </x:c>
      <x:c r="P263" s="24" t="str">
        <x:v>exact_sea_around_us</x:v>
      </x:c>
      <x:c r="Q263" s="32" t="str">
        <x:v>Sea Around Us exploited organisms</x:v>
      </x:c>
      <x:c r="R263" s="24" t="str">
        <x:v>high</x:v>
      </x:c>
      <x:c r="S263" s="24" t="str">
        <x:v>Dendrobranchiata</x:v>
      </x:c>
      <x:c r="T263" s="32" t="n">
        <x:f>IF(O263="","",(1/'Metadata'!$B$5)^(O263-1))</x:f>
        <x:v>173.78008287493762</x:v>
      </x:c>
      <x:c r="U263" s="31" t="n">
        <x:f>IF(T263="","",I263*T263)</x:f>
        <x:v>516.0305591824379</x:v>
      </x:c>
    </x:row>
    <x:row r="264" ht="18" customHeight="1">
      <x:c r="A264" s="24" t="str">
        <x:v>EEZ_962</x:v>
      </x:c>
      <x:c r="B264" s="24" t="str">
        <x:v>Spain (mainland, Med and Gulf of Cadiz)</x:v>
      </x:c>
      <x:c r="C264" s="24" t="str">
        <x:v>EEZ</x:v>
      </x:c>
      <x:c r="D264" s="30" t="n">
        <x:v>2019</x:v>
      </x:c>
      <x:c r="E264" s="24" t="str">
        <x:v>Moridae</x:v>
      </x:c>
      <x:c r="F264" s="24" t="str">
        <x:v>Codlings, moras</x:v>
      </x:c>
      <x:c r="G264" s="24" t="str">
        <x:v>Medium benthopelagics (30 - 89 cm)</x:v>
      </x:c>
      <x:c r="H264" s="24" t="str">
        <x:v>Cod-likes</x:v>
      </x:c>
      <x:c r="I264" s="31" t="n">
        <x:v>2.8941698731</x:v>
      </x:c>
      <x:c r="J264" s="31" t="n">
        <x:v>2.6570189308</x:v>
      </x:c>
      <x:c r="K264" s="31" t="n">
        <x:v>0.2371509423</x:v>
      </x:c>
      <x:c r="L264" s="31" t="n">
        <x:v>2.6198546387</x:v>
      </x:c>
      <x:c r="M264" s="31" t="n">
        <x:v>0.2743152344</x:v>
      </x:c>
      <x:c r="N264" s="24" t="str">
        <x:v>moridae</x:v>
      </x:c>
      <x:c r="O264" s="32" t="n">
        <x:v>3.87</x:v>
      </x:c>
      <x:c r="P264" s="24" t="str">
        <x:v>exact_sea_around_us</x:v>
      </x:c>
      <x:c r="Q264" s="32" t="str">
        <x:v>Sea Around Us exploited organisms</x:v>
      </x:c>
      <x:c r="R264" s="24" t="str">
        <x:v>high</x:v>
      </x:c>
      <x:c r="S264" s="24" t="str">
        <x:v>Moridae</x:v>
      </x:c>
      <x:c r="T264" s="32" t="n">
        <x:f>IF(O264="","",(1/'Metadata'!$B$5)^(O264-1))</x:f>
        <x:v>741.3102413009177</x:v>
      </x:c>
      <x:c r="U264" s="31" t="n">
        <x:f>IF(T264="","",I264*T264)</x:f>
        <x:v>2145.4777669936075</x:v>
      </x:c>
    </x:row>
    <x:row r="265" ht="18" customHeight="1">
      <x:c r="A265" s="24" t="str">
        <x:v>EEZ_962</x:v>
      </x:c>
      <x:c r="B265" s="24" t="str">
        <x:v>Spain (mainland, Med and Gulf of Cadiz)</x:v>
      </x:c>
      <x:c r="C265" s="24" t="str">
        <x:v>EEZ</x:v>
      </x:c>
      <x:c r="D265" s="30" t="n">
        <x:v>2019</x:v>
      </x:c>
      <x:c r="E265" s="24" t="str">
        <x:v>Ruditapes decussatus</x:v>
      </x:c>
      <x:c r="F265" s="24" t="str">
        <x:v>Grooved carpet shell</x:v>
      </x:c>
      <x:c r="G265" s="24" t="str">
        <x:v>Other demersal invertebrates</x:v>
      </x:c>
      <x:c r="H265" s="24" t="str">
        <x:v>Molluscs</x:v>
      </x:c>
      <x:c r="I265" s="31" t="n">
        <x:v>2.7673480404</x:v>
      </x:c>
      <x:c r="J265" s="31" t="n">
        <x:v>2.7673480404</x:v>
      </x:c>
      <x:c r="K265" s="31" t="n">
        <x:v>0</x:v>
      </x:c>
      <x:c r="L265" s="31" t="n">
        <x:v>0.0167572914</x:v>
      </x:c>
      <x:c r="M265" s="31" t="n">
        <x:v>2.750590749</x:v>
      </x:c>
      <x:c r="N265" s="24" t="str">
        <x:v>ruditapes decussatus</x:v>
      </x:c>
      <x:c r="O265" s="32" t="n">
        <x:v>2</x:v>
      </x:c>
      <x:c r="P265" s="24" t="str">
        <x:v>exact_2020_supplement</x:v>
      </x:c>
      <x:c r="Q265" s="32" t="str">
        <x:v>2020 supplement MeanTL</x:v>
      </x:c>
      <x:c r="R265" s="24" t="str">
        <x:v>high</x:v>
      </x:c>
      <x:c r="S265" s="24" t="str">
        <x:v>Ruditapes decussatus</x:v>
      </x:c>
      <x:c r="T265" s="32" t="n">
        <x:f>IF(O265="","",(1/'Metadata'!$B$5)^(O265-1))</x:f>
        <x:v>10</x:v>
      </x:c>
      <x:c r="U265" s="31" t="n">
        <x:f>IF(T265="","",I265*T265)</x:f>
        <x:v>27.673480404</x:v>
      </x:c>
    </x:row>
    <x:row r="266" ht="18" customHeight="1">
      <x:c r="A266" s="24" t="str">
        <x:v>EEZ_962</x:v>
      </x:c>
      <x:c r="B266" s="24" t="str">
        <x:v>Spain (mainland, Med and Gulf of Cadiz)</x:v>
      </x:c>
      <x:c r="C266" s="24" t="str">
        <x:v>EEZ</x:v>
      </x:c>
      <x:c r="D266" s="30" t="n">
        <x:v>2019</x:v>
      </x:c>
      <x:c r="E266" s="24" t="str">
        <x:v>Symphodus</x:v>
      </x:c>
      <x:c r="F266" s="24" t="str">
        <x:v>Eastern Atlantic wrasses</x:v>
      </x:c>
      <x:c r="G266" s="24" t="str">
        <x:v>Small reef assoc. fish (&lt;30 cm)</x:v>
      </x:c>
      <x:c r="H266" s="24" t="str">
        <x:v>Perch-likes</x:v>
      </x:c>
      <x:c r="I266" s="31" t="n">
        <x:v>2.7070890555999996</x:v>
      </x:c>
      <x:c r="J266" s="31" t="n">
        <x:v>2.6736925298</x:v>
      </x:c>
      <x:c r="K266" s="31" t="n">
        <x:v>0.0333965258</x:v>
      </x:c>
      <x:c r="L266" s="31" t="n">
        <x:v>2.2982107216</x:v>
      </x:c>
      <x:c r="M266" s="31" t="n">
        <x:v>0.408878334</x:v>
      </x:c>
      <x:c r="N266" s="24" t="str">
        <x:v>symphodus</x:v>
      </x:c>
      <x:c r="O266" s="32" t="n">
        <x:v>3.39</x:v>
      </x:c>
      <x:c r="P266" s="24" t="str">
        <x:v>exact_sea_around_us</x:v>
      </x:c>
      <x:c r="Q266" s="32" t="str">
        <x:v>Sea Around Us exploited organisms</x:v>
      </x:c>
      <x:c r="R266" s="24" t="str">
        <x:v>high</x:v>
      </x:c>
      <x:c r="S266" s="24" t="str">
        <x:v>Symphodus</x:v>
      </x:c>
      <x:c r="T266" s="32" t="n">
        <x:f>IF(O266="","",(1/'Metadata'!$B$5)^(O266-1))</x:f>
        <x:v>245.4708915685031</x:v>
      </x:c>
      <x:c r="U266" s="31" t="n">
        <x:f>IF(T266="","",I266*T266)</x:f>
        <x:v>664.511564033469</x:v>
      </x:c>
    </x:row>
    <x:row r="267" ht="18" customHeight="1">
      <x:c r="A267" s="24" t="str">
        <x:v>EEZ_962</x:v>
      </x:c>
      <x:c r="B267" s="24" t="str">
        <x:v>Spain (mainland, Med and Gulf of Cadiz)</x:v>
      </x:c>
      <x:c r="C267" s="24" t="str">
        <x:v>EEZ</x:v>
      </x:c>
      <x:c r="D267" s="30" t="n">
        <x:v>2019</x:v>
      </x:c>
      <x:c r="E267" s="24" t="str">
        <x:v>Scomberomorus</x:v>
      </x:c>
      <x:c r="F267" s="24" t="str">
        <x:v>Spanish mackerels</x:v>
      </x:c>
      <x:c r="G267" s="24" t="str">
        <x:v>Large pelagics (&gt;=90 cm)</x:v>
      </x:c>
      <x:c r="H267" s="24" t="str">
        <x:v>Perch-likes</x:v>
      </x:c>
      <x:c r="I267" s="31" t="n">
        <x:v>2.6562214388</x:v>
      </x:c>
      <x:c r="J267" s="31" t="n">
        <x:v>2.6562214388</x:v>
      </x:c>
      <x:c r="K267" s="31" t="n">
        <x:v>0</x:v>
      </x:c>
      <x:c r="L267" s="31" t="n">
        <x:v>0</x:v>
      </x:c>
      <x:c r="M267" s="31" t="n">
        <x:v>2.6562214388</x:v>
      </x:c>
      <x:c r="N267" s="24" t="str">
        <x:v>scomberomorus</x:v>
      </x:c>
      <x:c r="O267" s="32" t="n">
        <x:v>4.35</x:v>
      </x:c>
      <x:c r="P267" s="24" t="str">
        <x:v>exact_sea_around_us</x:v>
      </x:c>
      <x:c r="Q267" s="32" t="str">
        <x:v>Sea Around Us exploited organisms</x:v>
      </x:c>
      <x:c r="R267" s="24" t="str">
        <x:v>high</x:v>
      </x:c>
      <x:c r="S267" s="24" t="str">
        <x:v>Scomberomorus</x:v>
      </x:c>
      <x:c r="T267" s="32" t="n">
        <x:f>IF(O267="","",(1/'Metadata'!$B$5)^(O267-1))</x:f>
        <x:v>2238.7211385683377</x:v>
      </x:c>
      <x:c r="U267" s="31" t="n">
        <x:f>IF(T267="","",I267*T267)</x:f>
        <x:v>5946.539083759963</x:v>
      </x:c>
    </x:row>
    <x:row r="268" ht="18" customHeight="1">
      <x:c r="A268" s="24" t="str">
        <x:v>EEZ_962</x:v>
      </x:c>
      <x:c r="B268" s="24" t="str">
        <x:v>Spain (mainland, Med and Gulf of Cadiz)</x:v>
      </x:c>
      <x:c r="C268" s="24" t="str">
        <x:v>EEZ</x:v>
      </x:c>
      <x:c r="D268" s="30" t="n">
        <x:v>2019</x:v>
      </x:c>
      <x:c r="E268" s="24" t="str">
        <x:v>Mora moro</x:v>
      </x:c>
      <x:c r="F268" s="24" t="str">
        <x:v>Common mora</x:v>
      </x:c>
      <x:c r="G268" s="24" t="str">
        <x:v>Medium bathypelagics (30 - 89 cm)</x:v>
      </x:c>
      <x:c r="H268" s="24" t="str">
        <x:v>Cod-likes</x:v>
      </x:c>
      <x:c r="I268" s="31" t="n">
        <x:v>2.564666803</x:v>
      </x:c>
      <x:c r="J268" s="31" t="n">
        <x:v>2.0816931826</x:v>
      </x:c>
      <x:c r="K268" s="31" t="n">
        <x:v>0.4829736204</x:v>
      </x:c>
      <x:c r="L268" s="31" t="n">
        <x:v>1.9550733014000001</x:v>
      </x:c>
      <x:c r="M268" s="31" t="n">
        <x:v>0.6095935016</x:v>
      </x:c>
      <x:c r="N268" s="24" t="str">
        <x:v>mora moro</x:v>
      </x:c>
      <x:c r="O268" s="32" t="n">
        <x:v>3.75</x:v>
      </x:c>
      <x:c r="P268" s="24" t="str">
        <x:v>exact_2020_supplement</x:v>
      </x:c>
      <x:c r="Q268" s="32" t="str">
        <x:v>2020 supplement MeanTL</x:v>
      </x:c>
      <x:c r="R268" s="24" t="str">
        <x:v>high</x:v>
      </x:c>
      <x:c r="S268" s="24" t="str">
        <x:v>Mora moro</x:v>
      </x:c>
      <x:c r="T268" s="32" t="n">
        <x:f>IF(O268="","",(1/'Metadata'!$B$5)^(O268-1))</x:f>
        <x:v>562.341325190349</x:v>
      </x:c>
      <x:c r="U268" s="31" t="n">
        <x:f>IF(T268="","",I268*T268)</x:f>
        <x:v>1442.218128670716</x:v>
      </x:c>
    </x:row>
    <x:row r="269" ht="18" customHeight="1">
      <x:c r="A269" s="24" t="str">
        <x:v>EEZ_962</x:v>
      </x:c>
      <x:c r="B269" s="24" t="str">
        <x:v>Spain (mainland, Med and Gulf of Cadiz)</x:v>
      </x:c>
      <x:c r="C269" s="24" t="str">
        <x:v>EEZ</x:v>
      </x:c>
      <x:c r="D269" s="30" t="n">
        <x:v>2019</x:v>
      </x:c>
      <x:c r="E269" s="24" t="str">
        <x:v>Paromola cuvieri</x:v>
      </x:c>
      <x:c r="F269" s="24" t="str">
        <x:v>Paromola</x:v>
      </x:c>
      <x:c r="G269" s="24" t="str">
        <x:v>Lobsters, crabs</x:v>
      </x:c>
      <x:c r="H269" s="24" t="str">
        <x:v>Crustaceans</x:v>
      </x:c>
      <x:c r="I269" s="31" t="n">
        <x:v>2.5376890929</x:v>
      </x:c>
      <x:c r="J269" s="31" t="n">
        <x:v>2.0836645758</x:v>
      </x:c>
      <x:c r="K269" s="31" t="n">
        <x:v>0.4540245171</x:v>
      </x:c>
      <x:c r="L269" s="31" t="n">
        <x:v>1.9989932351</x:v>
      </x:c>
      <x:c r="M269" s="31" t="n">
        <x:v>0.5386958578</x:v>
      </x:c>
      <x:c r="N269" s="24" t="str">
        <x:v>paromola cuvieri</x:v>
      </x:c>
      <x:c r="O269" s="32" t="n">
        <x:v>3.42</x:v>
      </x:c>
      <x:c r="P269" s="24" t="str">
        <x:v>exact_2020_supplement</x:v>
      </x:c>
      <x:c r="Q269" s="32" t="str">
        <x:v>2020 supplement MeanTL</x:v>
      </x:c>
      <x:c r="R269" s="24" t="str">
        <x:v>high</x:v>
      </x:c>
      <x:c r="S269" s="24" t="str">
        <x:v>Paromola cuvieri</x:v>
      </x:c>
      <x:c r="T269" s="32" t="n">
        <x:f>IF(O269="","",(1/'Metadata'!$B$5)^(O269-1))</x:f>
        <x:v>263.02679918953817</x:v>
      </x:c>
      <x:c r="U269" s="31" t="n">
        <x:f>IF(T269="","",I269*T269)</x:f>
        <x:v>667.4802394436896</x:v>
      </x:c>
    </x:row>
    <x:row r="270" ht="18" customHeight="1">
      <x:c r="A270" s="24" t="str">
        <x:v>EEZ_962</x:v>
      </x:c>
      <x:c r="B270" s="24" t="str">
        <x:v>Spain (mainland, Med and Gulf of Cadiz)</x:v>
      </x:c>
      <x:c r="C270" s="24" t="str">
        <x:v>EEZ</x:v>
      </x:c>
      <x:c r="D270" s="30" t="n">
        <x:v>2019</x:v>
      </x:c>
      <x:c r="E270" s="24" t="str">
        <x:v>Scorpaeniformes</x:v>
      </x:c>
      <x:c r="F270" s="24" t="str">
        <x:v>Scorpionfishes, flatheads</x:v>
      </x:c>
      <x:c r="G270" s="24" t="str">
        <x:v>Medium demersals (30 - 89 cm)</x:v>
      </x:c>
      <x:c r="H270" s="24" t="str">
        <x:v>Scorpionfishes</x:v>
      </x:c>
      <x:c r="I270" s="31" t="n">
        <x:v>2.528472744</x:v>
      </x:c>
      <x:c r="J270" s="31" t="n">
        <x:v>2.3104786255</x:v>
      </x:c>
      <x:c r="K270" s="31" t="n">
        <x:v>0.2179941185</x:v>
      </x:c>
      <x:c r="L270" s="31" t="n">
        <x:v>2.3089251375</x:v>
      </x:c>
      <x:c r="M270" s="31" t="n">
        <x:v>0.21954760650000002</x:v>
      </x:c>
      <x:c r="N270" s="24" t="str">
        <x:v>scorpaeniformes</x:v>
      </x:c>
      <x:c r="O270" s="32" t="n">
        <x:v>3.78</x:v>
      </x:c>
      <x:c r="P270" s="24" t="str">
        <x:v>exact_sea_around_us</x:v>
      </x:c>
      <x:c r="Q270" s="32" t="str">
        <x:v>Sea Around Us exploited organisms</x:v>
      </x:c>
      <x:c r="R270" s="24" t="str">
        <x:v>high</x:v>
      </x:c>
      <x:c r="S270" s="24" t="str">
        <x:v>Scorpaeniformes</x:v>
      </x:c>
      <x:c r="T270" s="32" t="n">
        <x:f>IF(O270="","",(1/'Metadata'!$B$5)^(O270-1))</x:f>
        <x:v>602.5595860743575</x:v>
      </x:c>
      <x:c r="U270" s="31" t="n">
        <x:f>IF(T270="","",I270*T270)</x:f>
        <x:v>1523.5554900249351</x:v>
      </x:c>
    </x:row>
    <x:row r="271" ht="18" customHeight="1">
      <x:c r="A271" s="24" t="str">
        <x:v>EEZ_962</x:v>
      </x:c>
      <x:c r="B271" s="24" t="str">
        <x:v>Spain (mainland, Med and Gulf of Cadiz)</x:v>
      </x:c>
      <x:c r="C271" s="24" t="str">
        <x:v>EEZ</x:v>
      </x:c>
      <x:c r="D271" s="30" t="n">
        <x:v>2019</x:v>
      </x:c>
      <x:c r="E271" s="24" t="str">
        <x:v>Heptranchias perlo</x:v>
      </x:c>
      <x:c r="F271" s="24" t="str">
        <x:v>Sharpnose sevengill shark</x:v>
      </x:c>
      <x:c r="G271" s="24" t="str">
        <x:v>Large sharks (&gt;=90 cm)</x:v>
      </x:c>
      <x:c r="H271" s="24" t="str">
        <x:v>Sharks &amp; rays</x:v>
      </x:c>
      <x:c r="I271" s="31" t="n">
        <x:v>2.493384615</x:v>
      </x:c>
      <x:c r="J271" s="31" t="n">
        <x:v>1.8864034405</x:v>
      </x:c>
      <x:c r="K271" s="31" t="n">
        <x:v>0.6069811745</x:v>
      </x:c>
      <x:c r="L271" s="31" t="n">
        <x:v>1.7565074847000002</x:v>
      </x:c>
      <x:c r="M271" s="31" t="n">
        <x:v>0.7368771303</x:v>
      </x:c>
      <x:c r="N271" s="24" t="str">
        <x:v>heptranchias perlo</x:v>
      </x:c>
      <x:c r="O271" s="32" t="n">
        <x:v>4.16</x:v>
      </x:c>
      <x:c r="P271" s="24" t="str">
        <x:v>exact_2020_supplement</x:v>
      </x:c>
      <x:c r="Q271" s="32" t="str">
        <x:v>2020 supplement MeanTL</x:v>
      </x:c>
      <x:c r="R271" s="24" t="str">
        <x:v>high</x:v>
      </x:c>
      <x:c r="S271" s="24" t="str">
        <x:v>Heptranchias perlo</x:v>
      </x:c>
      <x:c r="T271" s="32" t="n">
        <x:f>IF(O271="","",(1/'Metadata'!$B$5)^(O271-1))</x:f>
        <x:v>1445.439770745928</x:v>
      </x:c>
      <x:c r="U271" s="31" t="n">
        <x:f>IF(T271="","",I271*T271)</x:f>
        <x:v>3604.037286287024</x:v>
      </x:c>
    </x:row>
    <x:row r="272" ht="18" customHeight="1">
      <x:c r="A272" s="24" t="str">
        <x:v>EEZ_962</x:v>
      </x:c>
      <x:c r="B272" s="24" t="str">
        <x:v>Spain (mainland, Med and Gulf of Cadiz)</x:v>
      </x:c>
      <x:c r="C272" s="24" t="str">
        <x:v>EEZ</x:v>
      </x:c>
      <x:c r="D272" s="30" t="n">
        <x:v>2019</x:v>
      </x:c>
      <x:c r="E272" s="24" t="str">
        <x:v>Scyllarides latus</x:v>
      </x:c>
      <x:c r="F272" s="24" t="str">
        <x:v>Mediterranean slipper lobster</x:v>
      </x:c>
      <x:c r="G272" s="24" t="str">
        <x:v>Lobsters, crabs</x:v>
      </x:c>
      <x:c r="H272" s="24" t="str">
        <x:v>Crustaceans</x:v>
      </x:c>
      <x:c r="I272" s="31" t="n">
        <x:v>2.4379355001</x:v>
      </x:c>
      <x:c r="J272" s="31" t="n">
        <x:v>2.3641423085</x:v>
      </x:c>
      <x:c r="K272" s="31" t="n">
        <x:v>0.0737931916</x:v>
      </x:c>
      <x:c r="L272" s="31" t="n">
        <x:v>2.3248048153</x:v>
      </x:c>
      <x:c r="M272" s="31" t="n">
        <x:v>0.11313068479999999</x:v>
      </x:c>
      <x:c r="N272" s="24" t="str">
        <x:v>scyllarides latus</x:v>
      </x:c>
      <x:c r="O272" s="32" t="n">
        <x:v>3.37</x:v>
      </x:c>
      <x:c r="P272" s="24" t="str">
        <x:v>exact_sea_around_us</x:v>
      </x:c>
      <x:c r="Q272" s="32" t="str">
        <x:v>Sea Around Us exploited organisms</x:v>
      </x:c>
      <x:c r="R272" s="24" t="str">
        <x:v>high</x:v>
      </x:c>
      <x:c r="S272" s="24" t="str">
        <x:v>Scyllarides latus</x:v>
      </x:c>
      <x:c r="T272" s="32" t="n">
        <x:f>IF(O272="","",(1/'Metadata'!$B$5)^(O272-1))</x:f>
        <x:v>234.42288153199226</x:v>
      </x:c>
      <x:c r="U272" s="31" t="n">
        <x:f>IF(T272="","",I272*T272)</x:f>
        <x:v>571.5078649225807</x:v>
      </x:c>
    </x:row>
    <x:row r="273" ht="18" customHeight="1">
      <x:c r="A273" s="24" t="str">
        <x:v>EEZ_962</x:v>
      </x:c>
      <x:c r="B273" s="24" t="str">
        <x:v>Spain (mainland, Med and Gulf of Cadiz)</x:v>
      </x:c>
      <x:c r="C273" s="24" t="str">
        <x:v>EEZ</x:v>
      </x:c>
      <x:c r="D273" s="30" t="n">
        <x:v>2019</x:v>
      </x:c>
      <x:c r="E273" s="24" t="str">
        <x:v>Mimachlamys varia</x:v>
      </x:c>
      <x:c r="F273" s="24" t="str">
        <x:v>Variegated scallop</x:v>
      </x:c>
      <x:c r="G273" s="24" t="str">
        <x:v>Other demersal invertebrates</x:v>
      </x:c>
      <x:c r="H273" s="24" t="str">
        <x:v>Molluscs</x:v>
      </x:c>
      <x:c r="I273" s="31" t="n">
        <x:v>2.3191378658</x:v>
      </x:c>
      <x:c r="J273" s="31" t="n">
        <x:v>0</x:v>
      </x:c>
      <x:c r="K273" s="31" t="n">
        <x:v>2.3191378658</x:v>
      </x:c>
      <x:c r="L273" s="31" t="n">
        <x:v>0</x:v>
      </x:c>
      <x:c r="M273" s="31" t="n">
        <x:v>2.3191378658</x:v>
      </x:c>
      <x:c r="N273" s="24" t="str">
        <x:v>mimachlamys varia</x:v>
      </x:c>
      <x:c r="O273" s="32" t="n">
        <x:v>2.1</x:v>
      </x:c>
      <x:c r="P273" s="24" t="str">
        <x:v>exact_sea_around_us</x:v>
      </x:c>
      <x:c r="Q273" s="32" t="str">
        <x:v>Sea Around Us exploited organisms</x:v>
      </x:c>
      <x:c r="R273" s="24" t="str">
        <x:v>high</x:v>
      </x:c>
      <x:c r="S273" s="24" t="str">
        <x:v>Mimachlamys varia</x:v>
      </x:c>
      <x:c r="T273" s="32" t="n">
        <x:f>IF(O273="","",(1/'Metadata'!$B$5)^(O273-1))</x:f>
        <x:v>12.589254117941675</x:v>
      </x:c>
      <x:c r="U273" s="31" t="n">
        <x:f>IF(T273="","",I273*T273)</x:f>
        <x:v>29.196215927097118</x:v>
      </x:c>
    </x:row>
    <x:row r="274" ht="18" customHeight="1">
      <x:c r="A274" s="24" t="str">
        <x:v>EEZ_962</x:v>
      </x:c>
      <x:c r="B274" s="24" t="str">
        <x:v>Spain (mainland, Med and Gulf of Cadiz)</x:v>
      </x:c>
      <x:c r="C274" s="24" t="str">
        <x:v>EEZ</x:v>
      </x:c>
      <x:c r="D274" s="30" t="n">
        <x:v>2019</x:v>
      </x:c>
      <x:c r="E274" s="24" t="str">
        <x:v>Molva</x:v>
      </x:c>
      <x:c r="F274" s="24" t="str">
        <x:v>Lings</x:v>
      </x:c>
      <x:c r="G274" s="24" t="str">
        <x:v>Large demersals (&gt;=90 cm)</x:v>
      </x:c>
      <x:c r="H274" s="24" t="str">
        <x:v>Cod-likes</x:v>
      </x:c>
      <x:c r="I274" s="31" t="n">
        <x:v>2.2116113529000003</x:v>
      </x:c>
      <x:c r="J274" s="31" t="n">
        <x:v>1.9305153373000001</x:v>
      </x:c>
      <x:c r="K274" s="31" t="n">
        <x:v>0.2810960156</x:v>
      </x:c>
      <x:c r="L274" s="31" t="n">
        <x:v>1.8831507442</x:v>
      </x:c>
      <x:c r="M274" s="31" t="n">
        <x:v>0.32846060870000005</x:v>
      </x:c>
      <x:c r="N274" s="24" t="str">
        <x:v>molva</x:v>
      </x:c>
      <x:c r="O274" s="32" t="n">
        <x:v>4.19</x:v>
      </x:c>
      <x:c r="P274" s="24" t="str">
        <x:v>exact_sea_around_us</x:v>
      </x:c>
      <x:c r="Q274" s="32" t="str">
        <x:v>Sea Around Us exploited organisms</x:v>
      </x:c>
      <x:c r="R274" s="24" t="str">
        <x:v>high</x:v>
      </x:c>
      <x:c r="S274" s="24" t="str">
        <x:v>Molva</x:v>
      </x:c>
      <x:c r="T274" s="32" t="n">
        <x:f>IF(O274="","",(1/'Metadata'!$B$5)^(O274-1))</x:f>
        <x:v>1548.8166189124827</x:v>
      </x:c>
      <x:c r="U274" s="31" t="n">
        <x:f>IF(T274="","",I274*T274)</x:f>
        <x:v>3425.38041794704</x:v>
      </x:c>
    </x:row>
    <x:row r="275" ht="18" customHeight="1">
      <x:c r="A275" s="24" t="str">
        <x:v>EEZ_962</x:v>
      </x:c>
      <x:c r="B275" s="24" t="str">
        <x:v>Spain (mainland, Med and Gulf of Cadiz)</x:v>
      </x:c>
      <x:c r="C275" s="24" t="str">
        <x:v>EEZ</x:v>
      </x:c>
      <x:c r="D275" s="30" t="n">
        <x:v>2019</x:v>
      </x:c>
      <x:c r="E275" s="24" t="str">
        <x:v>Odontaspis ferox</x:v>
      </x:c>
      <x:c r="F275" s="24" t="str">
        <x:v>Smalltooth sand tiger</x:v>
      </x:c>
      <x:c r="G275" s="24" t="str">
        <x:v>Large sharks (&gt;=90 cm)</x:v>
      </x:c>
      <x:c r="H275" s="24" t="str">
        <x:v>Sharks &amp; rays</x:v>
      </x:c>
      <x:c r="I275" s="31" t="n">
        <x:v>2.1863548379999997</x:v>
      </x:c>
      <x:c r="J275" s="31" t="n">
        <x:v>1.0027145272</x:v>
      </x:c>
      <x:c r="K275" s="31" t="n">
        <x:v>1.1836403108</x:v>
      </x:c>
      <x:c r="L275" s="31" t="n">
        <x:v>0.7644566823</x:v>
      </x:c>
      <x:c r="M275" s="31" t="n">
        <x:v>1.4218981556999999</x:v>
      </x:c>
      <x:c r="N275" s="24" t="str">
        <x:v>odontaspis ferox</x:v>
      </x:c>
      <x:c r="O275" s="32" t="n">
        <x:v>4.16</x:v>
      </x:c>
      <x:c r="P275" s="24" t="str">
        <x:v>exact_2020_supplement</x:v>
      </x:c>
      <x:c r="Q275" s="32" t="str">
        <x:v>2020 supplement MeanTL</x:v>
      </x:c>
      <x:c r="R275" s="24" t="str">
        <x:v>high</x:v>
      </x:c>
      <x:c r="S275" s="24" t="str">
        <x:v>Odontaspis ferox</x:v>
      </x:c>
      <x:c r="T275" s="32" t="n">
        <x:f>IF(O275="","",(1/'Metadata'!$B$5)^(O275-1))</x:f>
        <x:v>1445.439770745928</x:v>
      </x:c>
      <x:c r="U275" s="31" t="n">
        <x:f>IF(T275="","",I275*T275)</x:f>
        <x:v>3160.24423580797</x:v>
      </x:c>
    </x:row>
    <x:row r="276" ht="18" customHeight="1">
      <x:c r="A276" s="24" t="str">
        <x:v>EEZ_962</x:v>
      </x:c>
      <x:c r="B276" s="24" t="str">
        <x:v>Spain (mainland, Med and Gulf of Cadiz)</x:v>
      </x:c>
      <x:c r="C276" s="24" t="str">
        <x:v>EEZ</x:v>
      </x:c>
      <x:c r="D276" s="30" t="n">
        <x:v>2019</x:v>
      </x:c>
      <x:c r="E276" s="24" t="str">
        <x:v>Murex</x:v>
      </x:c>
      <x:c r="F276" s="24" t="str">
        <x:v>Murex shells</x:v>
      </x:c>
      <x:c r="G276" s="24" t="str">
        <x:v>Other demersal invertebrates</x:v>
      </x:c>
      <x:c r="H276" s="24" t="str">
        <x:v>Molluscs</x:v>
      </x:c>
      <x:c r="I276" s="31" t="n">
        <x:v>1.9350561145</x:v>
      </x:c>
      <x:c r="J276" s="31" t="n">
        <x:v>1.9350561145</x:v>
      </x:c>
      <x:c r="K276" s="31" t="n">
        <x:v>0</x:v>
      </x:c>
      <x:c r="L276" s="31" t="n">
        <x:v>1.9350561145</x:v>
      </x:c>
      <x:c r="M276" s="31" t="n">
        <x:v>0</x:v>
      </x:c>
      <x:c r="N276" s="24" t="str">
        <x:v>murex</x:v>
      </x:c>
      <x:c r="O276" s="32" t="n">
        <x:v>2</x:v>
      </x:c>
      <x:c r="P276" s="24" t="str">
        <x:v>exact_sea_around_us</x:v>
      </x:c>
      <x:c r="Q276" s="32" t="str">
        <x:v>Sea Around Us exploited organisms</x:v>
      </x:c>
      <x:c r="R276" s="24" t="str">
        <x:v>high</x:v>
      </x:c>
      <x:c r="S276" s="24" t="str">
        <x:v>Murex</x:v>
      </x:c>
      <x:c r="T276" s="32" t="n">
        <x:f>IF(O276="","",(1/'Metadata'!$B$5)^(O276-1))</x:f>
        <x:v>10</x:v>
      </x:c>
      <x:c r="U276" s="31" t="n">
        <x:f>IF(T276="","",I276*T276)</x:f>
        <x:v>19.350561145</x:v>
      </x:c>
    </x:row>
    <x:row r="277" ht="18" customHeight="1">
      <x:c r="A277" s="24" t="str">
        <x:v>EEZ_962</x:v>
      </x:c>
      <x:c r="B277" s="24" t="str">
        <x:v>Spain (mainland, Med and Gulf of Cadiz)</x:v>
      </x:c>
      <x:c r="C277" s="24" t="str">
        <x:v>EEZ</x:v>
      </x:c>
      <x:c r="D277" s="30" t="n">
        <x:v>2019</x:v>
      </x:c>
      <x:c r="E277" s="24" t="str">
        <x:v>Penaeidae</x:v>
      </x:c>
      <x:c r="F277" s="24" t="str">
        <x:v>Commercial shrimps and prawns</x:v>
      </x:c>
      <x:c r="G277" s="24" t="str">
        <x:v>Shrimps</x:v>
      </x:c>
      <x:c r="H277" s="24" t="str">
        <x:v>Crustaceans</x:v>
      </x:c>
      <x:c r="I277" s="31" t="n">
        <x:v>1.8967024191</x:v>
      </x:c>
      <x:c r="J277" s="31" t="n">
        <x:v>1.4668517644</x:v>
      </x:c>
      <x:c r="K277" s="31" t="n">
        <x:v>0.4298506547</x:v>
      </x:c>
      <x:c r="L277" s="31" t="n">
        <x:v>1.4222181522</x:v>
      </x:c>
      <x:c r="M277" s="31" t="n">
        <x:v>0.4744842669</x:v>
      </x:c>
      <x:c r="N277" s="24" t="str">
        <x:v>penaeidae</x:v>
      </x:c>
      <x:c r="O277" s="32" t="n">
        <x:v>3.31</x:v>
      </x:c>
      <x:c r="P277" s="24" t="str">
        <x:v>exact_sea_around_us</x:v>
      </x:c>
      <x:c r="Q277" s="32" t="str">
        <x:v>Sea Around Us exploited organisms</x:v>
      </x:c>
      <x:c r="R277" s="24" t="str">
        <x:v>high</x:v>
      </x:c>
      <x:c r="S277" s="24" t="str">
        <x:v>Penaeidae</x:v>
      </x:c>
      <x:c r="T277" s="32" t="n">
        <x:f>IF(O277="","",(1/'Metadata'!$B$5)^(O277-1))</x:f>
        <x:v>204.17379446695296</x:v>
      </x:c>
      <x:c r="U277" s="31" t="n">
        <x:f>IF(T277="","",I277*T277)</x:f>
        <x:v>387.2569298822959</x:v>
      </x:c>
    </x:row>
    <x:row r="278" ht="18" customHeight="1">
      <x:c r="A278" s="24" t="str">
        <x:v>EEZ_962</x:v>
      </x:c>
      <x:c r="B278" s="24" t="str">
        <x:v>Spain (mainland, Med and Gulf of Cadiz)</x:v>
      </x:c>
      <x:c r="C278" s="24" t="str">
        <x:v>EEZ</x:v>
      </x:c>
      <x:c r="D278" s="30" t="n">
        <x:v>2019</x:v>
      </x:c>
      <x:c r="E278" s="24" t="str">
        <x:v>Plesionika heterocarpus</x:v>
      </x:c>
      <x:c r="F278" s="24" t="str">
        <x:v>Arrow shrimp</x:v>
      </x:c>
      <x:c r="G278" s="24" t="str">
        <x:v>Shrimps</x:v>
      </x:c>
      <x:c r="H278" s="24" t="str">
        <x:v>Crustaceans</x:v>
      </x:c>
      <x:c r="I278" s="31" t="n">
        <x:v>1.8741496067</x:v>
      </x:c>
      <x:c r="J278" s="31" t="n">
        <x:v>1.726061607</x:v>
      </x:c>
      <x:c r="K278" s="31" t="n">
        <x:v>0.1480879997</x:v>
      </x:c>
      <x:c r="L278" s="31" t="n">
        <x:v>0.5095401692</x:v>
      </x:c>
      <x:c r="M278" s="31" t="n">
        <x:v>1.3646094375</x:v>
      </x:c>
      <x:c r="N278" s="24" t="str">
        <x:v>plesionika heterocarpus</x:v>
      </x:c>
      <x:c r="O278" s="32" t="n">
        <x:v>3.37</x:v>
      </x:c>
      <x:c r="P278" s="24" t="str">
        <x:v>exact_sea_around_us</x:v>
      </x:c>
      <x:c r="Q278" s="32" t="str">
        <x:v>Sea Around Us exploited organisms</x:v>
      </x:c>
      <x:c r="R278" s="24" t="str">
        <x:v>high</x:v>
      </x:c>
      <x:c r="S278" s="24" t="str">
        <x:v>Plesionika heterocarpus</x:v>
      </x:c>
      <x:c r="T278" s="32" t="n">
        <x:f>IF(O278="","",(1/'Metadata'!$B$5)^(O278-1))</x:f>
        <x:v>234.42288153199226</x:v>
      </x:c>
      <x:c r="U278" s="31" t="n">
        <x:f>IF(T278="","",I278*T278)</x:f>
        <x:v>439.343551224664</x:v>
      </x:c>
    </x:row>
    <x:row r="279" ht="18" customHeight="1">
      <x:c r="A279" s="24" t="str">
        <x:v>EEZ_962</x:v>
      </x:c>
      <x:c r="B279" s="24" t="str">
        <x:v>Spain (mainland, Med and Gulf of Cadiz)</x:v>
      </x:c>
      <x:c r="C279" s="24" t="str">
        <x:v>EEZ</x:v>
      </x:c>
      <x:c r="D279" s="30" t="n">
        <x:v>2019</x:v>
      </x:c>
      <x:c r="E279" s="24" t="str">
        <x:v>Thysanoteuthis rhombus</x:v>
      </x:c>
      <x:c r="F279" s="24" t="str">
        <x:v>Rhomboid squid</x:v>
      </x:c>
      <x:c r="G279" s="24" t="str">
        <x:v>Cephalopods</x:v>
      </x:c>
      <x:c r="H279" s="24" t="str">
        <x:v>Other fishes &amp; inverts</x:v>
      </x:c>
      <x:c r="I279" s="31" t="n">
        <x:v>1.8713030727</x:v>
      </x:c>
      <x:c r="J279" s="31" t="n">
        <x:v>0.6553303563</x:v>
      </x:c>
      <x:c r="K279" s="31" t="n">
        <x:v>1.2159727164</x:v>
      </x:c>
      <x:c r="L279" s="31" t="n">
        <x:v>0.40807797669999996</x:v>
      </x:c>
      <x:c r="M279" s="31" t="n">
        <x:v>1.463225096</x:v>
      </x:c>
      <x:c r="N279" s="24" t="str">
        <x:v>thysanoteuthis rhombus</x:v>
      </x:c>
      <x:c r="O279" s="32" t="n">
        <x:v>4.49</x:v>
      </x:c>
      <x:c r="P279" s="24" t="str">
        <x:v>exact_sea_around_us</x:v>
      </x:c>
      <x:c r="Q279" s="32" t="str">
        <x:v>Sea Around Us exploited organisms</x:v>
      </x:c>
      <x:c r="R279" s="24" t="str">
        <x:v>high</x:v>
      </x:c>
      <x:c r="S279" s="24" t="str">
        <x:v>Thysanoteuthis rhombus</x:v>
      </x:c>
      <x:c r="T279" s="32" t="n">
        <x:f>IF(O279="","",(1/'Metadata'!$B$5)^(O279-1))</x:f>
        <x:v>3090.295432513592</x:v>
      </x:c>
      <x:c r="U279" s="31" t="n">
        <x:f>IF(T279="","",I279*T279)</x:f>
        <x:v>5782.87933841346</x:v>
      </x:c>
    </x:row>
    <x:row r="280" ht="18" customHeight="1">
      <x:c r="A280" s="24" t="str">
        <x:v>EEZ_962</x:v>
      </x:c>
      <x:c r="B280" s="24" t="str">
        <x:v>Spain (mainland, Med and Gulf of Cadiz)</x:v>
      </x:c>
      <x:c r="C280" s="24" t="str">
        <x:v>EEZ</x:v>
      </x:c>
      <x:c r="D280" s="30" t="n">
        <x:v>2019</x:v>
      </x:c>
      <x:c r="E280" s="24" t="str">
        <x:v>Peristedion cataphractum</x:v>
      </x:c>
      <x:c r="F280" s="24" t="str">
        <x:v>African armoured searobin</x:v>
      </x:c>
      <x:c r="G280" s="24" t="str">
        <x:v>Medium demersals (30 - 89 cm)</x:v>
      </x:c>
      <x:c r="H280" s="24" t="str">
        <x:v>Scorpionfishes</x:v>
      </x:c>
      <x:c r="I280" s="31" t="n">
        <x:v>1.8441209433999999</x:v>
      </x:c>
      <x:c r="J280" s="31" t="n">
        <x:v>1.171223234</x:v>
      </x:c>
      <x:c r="K280" s="31" t="n">
        <x:v>0.6728977094</x:v>
      </x:c>
      <x:c r="L280" s="31" t="n">
        <x:v>1.1361387935</x:v>
      </x:c>
      <x:c r="M280" s="31" t="n">
        <x:v>0.7079821499000001</x:v>
      </x:c>
      <x:c r="N280" s="24" t="str">
        <x:v>peristedion cataphractum</x:v>
      </x:c>
      <x:c r="O280" s="32" t="n">
        <x:v>3.6</x:v>
      </x:c>
      <x:c r="P280" s="24" t="str">
        <x:v>exact_sea_around_us</x:v>
      </x:c>
      <x:c r="Q280" s="32" t="str">
        <x:v>Sea Around Us exploited organisms</x:v>
      </x:c>
      <x:c r="R280" s="24" t="str">
        <x:v>high</x:v>
      </x:c>
      <x:c r="S280" s="24" t="str">
        <x:v>Peristedion cataphractum</x:v>
      </x:c>
      <x:c r="T280" s="32" t="n">
        <x:f>IF(O280="","",(1/'Metadata'!$B$5)^(O280-1))</x:f>
        <x:v>398.1071705534973</x:v>
      </x:c>
      <x:c r="U280" s="31" t="n">
        <x:f>IF(T280="","",I280*T280)</x:f>
        <x:v>734.1577709354201</x:v>
      </x:c>
    </x:row>
    <x:row r="281" ht="18" customHeight="1">
      <x:c r="A281" s="24" t="str">
        <x:v>EEZ_962</x:v>
      </x:c>
      <x:c r="B281" s="24" t="str">
        <x:v>Spain (mainland, Med and Gulf of Cadiz)</x:v>
      </x:c>
      <x:c r="C281" s="24" t="str">
        <x:v>EEZ</x:v>
      </x:c>
      <x:c r="D281" s="30" t="n">
        <x:v>2019</x:v>
      </x:c>
      <x:c r="E281" s="24" t="str">
        <x:v>Palaemon serratus</x:v>
      </x:c>
      <x:c r="F281" s="24" t="str">
        <x:v>Common prawn</x:v>
      </x:c>
      <x:c r="G281" s="24" t="str">
        <x:v>Shrimps</x:v>
      </x:c>
      <x:c r="H281" s="24" t="str">
        <x:v>Crustaceans</x:v>
      </x:c>
      <x:c r="I281" s="31" t="n">
        <x:v>1.7934513673999999</x:v>
      </x:c>
      <x:c r="J281" s="31" t="n">
        <x:v>0.3611162585</x:v>
      </x:c>
      <x:c r="K281" s="31" t="n">
        <x:v>1.4323351088999998</x:v>
      </x:c>
      <x:c r="L281" s="31" t="n">
        <x:v>0.0751057395</x:v>
      </x:c>
      <x:c r="M281" s="31" t="n">
        <x:v>1.7183456279</x:v>
      </x:c>
      <x:c r="N281" s="24" t="str">
        <x:v>palaemon serratus</x:v>
      </x:c>
      <x:c r="O281" s="32" t="n">
        <x:v>2.69</x:v>
      </x:c>
      <x:c r="P281" s="24" t="str">
        <x:v>exact_2020_supplement</x:v>
      </x:c>
      <x:c r="Q281" s="32" t="str">
        <x:v>2020 supplement MeanTL</x:v>
      </x:c>
      <x:c r="R281" s="24" t="str">
        <x:v>high</x:v>
      </x:c>
      <x:c r="S281" s="24" t="str">
        <x:v>Palaemon serratus</x:v>
      </x:c>
      <x:c r="T281" s="32" t="n">
        <x:f>IF(O281="","",(1/'Metadata'!$B$5)^(O281-1))</x:f>
        <x:v>48.97788193684461</x:v>
      </x:c>
      <x:c r="U281" s="31" t="n">
        <x:f>IF(T281="","",I281*T281)</x:f>
        <x:v>87.83944933198973</x:v>
      </x:c>
    </x:row>
    <x:row r="282" ht="18" customHeight="1">
      <x:c r="A282" s="24" t="str">
        <x:v>EEZ_962</x:v>
      </x:c>
      <x:c r="B282" s="24" t="str">
        <x:v>Spain (mainland, Med and Gulf of Cadiz)</x:v>
      </x:c>
      <x:c r="C282" s="24" t="str">
        <x:v>EEZ</x:v>
      </x:c>
      <x:c r="D282" s="30" t="n">
        <x:v>2019</x:v>
      </x:c>
      <x:c r="E282" s="24" t="str">
        <x:v>Dalatias licha</x:v>
      </x:c>
      <x:c r="F282" s="24" t="str">
        <x:v>Kitefin shark</x:v>
      </x:c>
      <x:c r="G282" s="24" t="str">
        <x:v>Large sharks (&gt;=90 cm)</x:v>
      </x:c>
      <x:c r="H282" s="24" t="str">
        <x:v>Sharks &amp; rays</x:v>
      </x:c>
      <x:c r="I282" s="31" t="n">
        <x:v>1.724113798</x:v>
      </x:c>
      <x:c r="J282" s="31" t="n">
        <x:v>1.3325289389000001</x:v>
      </x:c>
      <x:c r="K282" s="31" t="n">
        <x:v>0.3915848591</x:v>
      </x:c>
      <x:c r="L282" s="31" t="n">
        <x:v>1.3315699890000001</x:v>
      </x:c>
      <x:c r="M282" s="31" t="n">
        <x:v>0.392543809</x:v>
      </x:c>
      <x:c r="N282" s="24" t="str">
        <x:v>dalatias licha</x:v>
      </x:c>
      <x:c r="O282" s="32" t="n">
        <x:v>4.23</x:v>
      </x:c>
      <x:c r="P282" s="24" t="str">
        <x:v>exact_2020_supplement</x:v>
      </x:c>
      <x:c r="Q282" s="32" t="str">
        <x:v>2020 supplement MeanTL</x:v>
      </x:c>
      <x:c r="R282" s="24" t="str">
        <x:v>high</x:v>
      </x:c>
      <x:c r="S282" s="24" t="str">
        <x:v>Dalatias licha</x:v>
      </x:c>
      <x:c r="T282" s="32" t="n">
        <x:f>IF(O282="","",(1/'Metadata'!$B$5)^(O282-1))</x:f>
        <x:v>1698.243652461746</x:v>
      </x:c>
      <x:c r="U282" s="31" t="n">
        <x:f>IF(T282="","",I282*T282)</x:f>
        <x:v>2927.9653135752133</x:v>
      </x:c>
    </x:row>
    <x:row r="283" ht="18" customHeight="1">
      <x:c r="A283" s="24" t="str">
        <x:v>EEZ_962</x:v>
      </x:c>
      <x:c r="B283" s="24" t="str">
        <x:v>Spain (mainland, Med and Gulf of Cadiz)</x:v>
      </x:c>
      <x:c r="C283" s="24" t="str">
        <x:v>EEZ</x:v>
      </x:c>
      <x:c r="D283" s="30" t="n">
        <x:v>2019</x:v>
      </x:c>
      <x:c r="E283" s="24" t="str">
        <x:v>Alosa</x:v>
      </x:c>
      <x:c r="F283" s="24" t="str">
        <x:v>Shads</x:v>
      </x:c>
      <x:c r="G283" s="24" t="str">
        <x:v>Medium pelagics (30 - 89 cm)</x:v>
      </x:c>
      <x:c r="H283" s="24" t="str">
        <x:v>Herring-likes</x:v>
      </x:c>
      <x:c r="I283" s="31" t="n">
        <x:v>1.5382841097</x:v>
      </x:c>
      <x:c r="J283" s="31" t="n">
        <x:v>1.2898864191000001</x:v>
      </x:c>
      <x:c r="K283" s="31" t="n">
        <x:v>0.2483976906</x:v>
      </x:c>
      <x:c r="L283" s="31" t="n">
        <x:v>1.2467615605</x:v>
      </x:c>
      <x:c r="M283" s="31" t="n">
        <x:v>0.2915225492</x:v>
      </x:c>
      <x:c r="N283" s="24" t="str">
        <x:v>alosa</x:v>
      </x:c>
      <x:c r="O283" s="32" t="n">
        <x:v>3.89</x:v>
      </x:c>
      <x:c r="P283" s="24" t="str">
        <x:v>exact_sea_around_us</x:v>
      </x:c>
      <x:c r="Q283" s="32" t="str">
        <x:v>Sea Around Us exploited organisms</x:v>
      </x:c>
      <x:c r="R283" s="24" t="str">
        <x:v>high</x:v>
      </x:c>
      <x:c r="S283" s="24" t="str">
        <x:v>Alosa</x:v>
      </x:c>
      <x:c r="T283" s="32" t="n">
        <x:f>IF(O283="","",(1/'Metadata'!$B$5)^(O283-1))</x:f>
        <x:v>776.247116628692</x:v>
      </x:c>
      <x:c r="U283" s="31" t="n">
        <x:f>IF(T283="","",I283*T283)</x:f>
        <x:v>1194.0886047103595</x:v>
      </x:c>
    </x:row>
    <x:row r="284" ht="18" customHeight="1">
      <x:c r="A284" s="24" t="str">
        <x:v>EEZ_962</x:v>
      </x:c>
      <x:c r="B284" s="24" t="str">
        <x:v>Spain (mainland, Med and Gulf of Cadiz)</x:v>
      </x:c>
      <x:c r="C284" s="24" t="str">
        <x:v>EEZ</x:v>
      </x:c>
      <x:c r="D284" s="30" t="n">
        <x:v>2019</x:v>
      </x:c>
      <x:c r="E284" s="24" t="str">
        <x:v>Mytilus edulis</x:v>
      </x:c>
      <x:c r="F284" s="24" t="str">
        <x:v>Blue mussel</x:v>
      </x:c>
      <x:c r="G284" s="24" t="str">
        <x:v>Other demersal invertebrates</x:v>
      </x:c>
      <x:c r="H284" s="24" t="str">
        <x:v>Molluscs</x:v>
      </x:c>
      <x:c r="I284" s="31" t="n">
        <x:v>1.5282753465</x:v>
      </x:c>
      <x:c r="J284" s="31" t="n">
        <x:v>0.1342156478</x:v>
      </x:c>
      <x:c r="K284" s="31" t="n">
        <x:v>1.3940596987</x:v>
      </x:c>
      <x:c r="L284" s="31" t="n">
        <x:v>0.033258902300000004</x:v>
      </x:c>
      <x:c r="M284" s="31" t="n">
        <x:v>1.4950164442</x:v>
      </x:c>
      <x:c r="N284" s="24" t="str">
        <x:v>mytilus edulis</x:v>
      </x:c>
      <x:c r="O284" s="32" t="n">
        <x:v>2</x:v>
      </x:c>
      <x:c r="P284" s="24" t="str">
        <x:v>exact_2020_supplement</x:v>
      </x:c>
      <x:c r="Q284" s="32" t="str">
        <x:v>2020 supplement MeanTL</x:v>
      </x:c>
      <x:c r="R284" s="24" t="str">
        <x:v>high</x:v>
      </x:c>
      <x:c r="S284" s="24" t="str">
        <x:v>Mytilus edulis</x:v>
      </x:c>
      <x:c r="T284" s="32" t="n">
        <x:f>IF(O284="","",(1/'Metadata'!$B$5)^(O284-1))</x:f>
        <x:v>10</x:v>
      </x:c>
      <x:c r="U284" s="31" t="n">
        <x:f>IF(T284="","",I284*T284)</x:f>
        <x:v>15.282753465</x:v>
      </x:c>
    </x:row>
    <x:row r="285" ht="18" customHeight="1">
      <x:c r="A285" s="24" t="str">
        <x:v>EEZ_962</x:v>
      </x:c>
      <x:c r="B285" s="24" t="str">
        <x:v>Spain (mainland, Med and Gulf of Cadiz)</x:v>
      </x:c>
      <x:c r="C285" s="24" t="str">
        <x:v>EEZ</x:v>
      </x:c>
      <x:c r="D285" s="30" t="n">
        <x:v>2019</x:v>
      </x:c>
      <x:c r="E285" s="24" t="str">
        <x:v>Caranx crysos</x:v>
      </x:c>
      <x:c r="F285" s="24" t="str">
        <x:v>Blue runner</x:v>
      </x:c>
      <x:c r="G285" s="24" t="str">
        <x:v>Medium reef assoc. fish (30 - 89 cm)</x:v>
      </x:c>
      <x:c r="H285" s="24" t="str">
        <x:v>Perch-likes</x:v>
      </x:c>
      <x:c r="I285" s="31" t="n">
        <x:v>1.4835318007999998</x:v>
      </x:c>
      <x:c r="J285" s="31" t="n">
        <x:v>1.4835318007999998</x:v>
      </x:c>
      <x:c r="K285" s="31" t="n">
        <x:v>0</x:v>
      </x:c>
      <x:c r="L285" s="31" t="n">
        <x:v>1.4835318007999998</x:v>
      </x:c>
      <x:c r="M285" s="31" t="n">
        <x:v>0</x:v>
      </x:c>
      <x:c r="N285" s="24" t="str">
        <x:v>caranx crysos</x:v>
      </x:c>
      <x:c r="O285" s="32" t="n">
        <x:v>4.13</x:v>
      </x:c>
      <x:c r="P285" s="24" t="str">
        <x:v>exact_2020_supplement</x:v>
      </x:c>
      <x:c r="Q285" s="32" t="str">
        <x:v>2020 supplement MeanTL</x:v>
      </x:c>
      <x:c r="R285" s="24" t="str">
        <x:v>high</x:v>
      </x:c>
      <x:c r="S285" s="24" t="str">
        <x:v>Caranx crysos</x:v>
      </x:c>
      <x:c r="T285" s="32" t="n">
        <x:f>IF(O285="","",(1/'Metadata'!$B$5)^(O285-1))</x:f>
        <x:v>1348.9628825916532</x:v>
      </x:c>
      <x:c r="U285" s="31" t="n">
        <x:f>IF(T285="","",I285*T285)</x:f>
        <x:v>2001.2293344235538</x:v>
      </x:c>
    </x:row>
    <x:row r="286" ht="18" customHeight="1">
      <x:c r="A286" s="24" t="str">
        <x:v>EEZ_962</x:v>
      </x:c>
      <x:c r="B286" s="24" t="str">
        <x:v>Spain (mainland, Med and Gulf of Cadiz)</x:v>
      </x:c>
      <x:c r="C286" s="24" t="str">
        <x:v>EEZ</x:v>
      </x:c>
      <x:c r="D286" s="30" t="n">
        <x:v>2019</x:v>
      </x:c>
      <x:c r="E286" s="24" t="str">
        <x:v>Lepidorhombus whiffiagonis</x:v>
      </x:c>
      <x:c r="F286" s="24" t="str">
        <x:v>Megrim</x:v>
      </x:c>
      <x:c r="G286" s="24" t="str">
        <x:v>Small to medium flatfishes (&lt;90 cm)</x:v>
      </x:c>
      <x:c r="H286" s="24" t="str">
        <x:v>Flatfishes</x:v>
      </x:c>
      <x:c r="I286" s="31" t="n">
        <x:v>1.2636018769000001</x:v>
      </x:c>
      <x:c r="J286" s="31" t="n">
        <x:v>0.5203759536</x:v>
      </x:c>
      <x:c r="K286" s="31" t="n">
        <x:v>0.7432259233</x:v>
      </x:c>
      <x:c r="L286" s="31" t="n">
        <x:v>0.2836523702</x:v>
      </x:c>
      <x:c r="M286" s="31" t="n">
        <x:v>0.9799495067</x:v>
      </x:c>
      <x:c r="N286" s="24" t="str">
        <x:v>lepidorhombus whiffiagonis</x:v>
      </x:c>
      <x:c r="O286" s="32" t="n">
        <x:v>4.34</x:v>
      </x:c>
      <x:c r="P286" s="24" t="str">
        <x:v>exact_2020_supplement</x:v>
      </x:c>
      <x:c r="Q286" s="32" t="str">
        <x:v>2020 supplement MeanTL</x:v>
      </x:c>
      <x:c r="R286" s="24" t="str">
        <x:v>high</x:v>
      </x:c>
      <x:c r="S286" s="24" t="str">
        <x:v>Lepidorhombus whiffiagonis</x:v>
      </x:c>
      <x:c r="T286" s="32" t="n">
        <x:f>IF(O286="","",(1/'Metadata'!$B$5)^(O286-1))</x:f>
        <x:v>2187.761623949552</x:v>
      </x:c>
      <x:c r="U286" s="31" t="n">
        <x:f>IF(T286="","",I286*T286)</x:f>
        <x:v>2764.459694232446</x:v>
      </x:c>
    </x:row>
    <x:row r="287" ht="18" customHeight="1">
      <x:c r="A287" s="24" t="str">
        <x:v>EEZ_962</x:v>
      </x:c>
      <x:c r="B287" s="24" t="str">
        <x:v>Spain (mainland, Med and Gulf of Cadiz)</x:v>
      </x:c>
      <x:c r="C287" s="24" t="str">
        <x:v>EEZ</x:v>
      </x:c>
      <x:c r="D287" s="30" t="n">
        <x:v>2019</x:v>
      </x:c>
      <x:c r="E287" s="24" t="str">
        <x:v>Synapturichthys kleinii</x:v>
      </x:c>
      <x:c r="F287" s="24" t="str">
        <x:v>Klein's sole</x:v>
      </x:c>
      <x:c r="G287" s="24" t="str">
        <x:v>Small to medium flatfishes (&lt;90 cm)</x:v>
      </x:c>
      <x:c r="H287" s="24" t="str">
        <x:v>Flatfishes</x:v>
      </x:c>
      <x:c r="I287" s="31" t="n">
        <x:v>1.2216304099000002</x:v>
      </x:c>
      <x:c r="J287" s="31" t="n">
        <x:v>1.1910830313</x:v>
      </x:c>
      <x:c r="K287" s="31" t="n">
        <x:v>0.0305473786</x:v>
      </x:c>
      <x:c r="L287" s="31" t="n">
        <x:v>1.0510720977</x:v>
      </x:c>
      <x:c r="M287" s="31" t="n">
        <x:v>0.17055831220000003</x:v>
      </x:c>
      <x:c r="N287" s="24" t="str">
        <x:v>synapturichthys kleinii</x:v>
      </x:c>
      <x:c r="O287" s="32" t="n">
        <x:v>3.6</x:v>
      </x:c>
      <x:c r="P287" s="24" t="str">
        <x:v>exact_sea_around_us</x:v>
      </x:c>
      <x:c r="Q287" s="32" t="str">
        <x:v>Sea Around Us exploited organisms</x:v>
      </x:c>
      <x:c r="R287" s="24" t="str">
        <x:v>high</x:v>
      </x:c>
      <x:c r="S287" s="24" t="str">
        <x:v>Synapturichthys kleinii</x:v>
      </x:c>
      <x:c r="T287" s="32" t="n">
        <x:f>IF(O287="","",(1/'Metadata'!$B$5)^(O287-1))</x:f>
        <x:v>398.1071705534973</x:v>
      </x:c>
      <x:c r="U287" s="31" t="n">
        <x:f>IF(T287="","",I287*T287)</x:f>
        <x:v>486.3398259473982</x:v>
      </x:c>
    </x:row>
    <x:row r="288" ht="18" customHeight="1">
      <x:c r="A288" s="24" t="str">
        <x:v>EEZ_962</x:v>
      </x:c>
      <x:c r="B288" s="24" t="str">
        <x:v>Spain (mainland, Med and Gulf of Cadiz)</x:v>
      </x:c>
      <x:c r="C288" s="24" t="str">
        <x:v>EEZ</x:v>
      </x:c>
      <x:c r="D288" s="30" t="n">
        <x:v>2019</x:v>
      </x:c>
      <x:c r="E288" s="24" t="str">
        <x:v>Ruvettus pretiosus</x:v>
      </x:c>
      <x:c r="F288" s="24" t="str">
        <x:v>Oilfish</x:v>
      </x:c>
      <x:c r="G288" s="24" t="str">
        <x:v>Large benthopelagics (&gt;=90 cm)</x:v>
      </x:c>
      <x:c r="H288" s="24" t="str">
        <x:v>Perch-likes</x:v>
      </x:c>
      <x:c r="I288" s="31" t="n">
        <x:v>1.2117682117</x:v>
      </x:c>
      <x:c r="J288" s="31" t="n">
        <x:v>1.1450654873</x:v>
      </x:c>
      <x:c r="K288" s="31" t="n">
        <x:v>0.0667027244</x:v>
      </x:c>
      <x:c r="L288" s="31" t="n">
        <x:v>1.1292348828</x:v>
      </x:c>
      <x:c r="M288" s="31" t="n">
        <x:v>0.0825333289</x:v>
      </x:c>
      <x:c r="N288" s="24" t="str">
        <x:v>ruvettus pretiosus</x:v>
      </x:c>
      <x:c r="O288" s="32" t="n">
        <x:v>4.18</x:v>
      </x:c>
      <x:c r="P288" s="24" t="str">
        <x:v>exact_2020_supplement</x:v>
      </x:c>
      <x:c r="Q288" s="32" t="str">
        <x:v>2020 supplement MeanTL</x:v>
      </x:c>
      <x:c r="R288" s="24" t="str">
        <x:v>high</x:v>
      </x:c>
      <x:c r="S288" s="24" t="str">
        <x:v>Ruvettus pretiosus</x:v>
      </x:c>
      <x:c r="T288" s="32" t="n">
        <x:f>IF(O288="","",(1/'Metadata'!$B$5)^(O288-1))</x:f>
        <x:v>1513.5612484362073</x:v>
      </x:c>
      <x:c r="U288" s="31" t="n">
        <x:f>IF(T288="","",I288*T288)</x:f>
        <x:v>1834.0854073159621</x:v>
      </x:c>
    </x:row>
    <x:row r="289" ht="18" customHeight="1">
      <x:c r="A289" s="24" t="str">
        <x:v>EEZ_962</x:v>
      </x:c>
      <x:c r="B289" s="24" t="str">
        <x:v>Spain (mainland, Med and Gulf of Cadiz)</x:v>
      </x:c>
      <x:c r="C289" s="24" t="str">
        <x:v>EEZ</x:v>
      </x:c>
      <x:c r="D289" s="30" t="n">
        <x:v>2019</x:v>
      </x:c>
      <x:c r="E289" s="24" t="str">
        <x:v>Dasyatidae</x:v>
      </x:c>
      <x:c r="F289" s="24" t="str">
        <x:v>Whiptail stingrays</x:v>
      </x:c>
      <x:c r="G289" s="24" t="str">
        <x:v>Large rays (&gt;=90 cm)</x:v>
      </x:c>
      <x:c r="H289" s="24" t="str">
        <x:v>Sharks &amp; rays</x:v>
      </x:c>
      <x:c r="I289" s="31" t="n">
        <x:v>1.1517348814</x:v>
      </x:c>
      <x:c r="J289" s="31" t="n">
        <x:v>0.9763089341000001</x:v>
      </x:c>
      <x:c r="K289" s="31" t="n">
        <x:v>0.1754259473</x:v>
      </x:c>
      <x:c r="L289" s="31" t="n">
        <x:v>0.944374193</x:v>
      </x:c>
      <x:c r="M289" s="31" t="n">
        <x:v>0.20736068840000002</x:v>
      </x:c>
      <x:c r="N289" s="24" t="str">
        <x:v>dasyatidae</x:v>
      </x:c>
      <x:c r="O289" s="32" t="n">
        <x:v>3.38</x:v>
      </x:c>
      <x:c r="P289" s="24" t="str">
        <x:v>exact_sea_around_us</x:v>
      </x:c>
      <x:c r="Q289" s="32" t="str">
        <x:v>Sea Around Us exploited organisms</x:v>
      </x:c>
      <x:c r="R289" s="24" t="str">
        <x:v>high</x:v>
      </x:c>
      <x:c r="S289" s="24" t="str">
        <x:v>Dasyatidae</x:v>
      </x:c>
      <x:c r="T289" s="32" t="n">
        <x:f>IF(O289="","",(1/'Metadata'!$B$5)^(O289-1))</x:f>
        <x:v>239.88329190194898</x:v>
      </x:c>
      <x:c r="U289" s="31" t="n">
        <x:f>IF(T289="","",I289*T289)</x:f>
        <x:v>276.28195474853277</x:v>
      </x:c>
    </x:row>
    <x:row r="290" ht="18" customHeight="1">
      <x:c r="A290" s="24" t="str">
        <x:v>EEZ_962</x:v>
      </x:c>
      <x:c r="B290" s="24" t="str">
        <x:v>Spain (mainland, Med and Gulf of Cadiz)</x:v>
      </x:c>
      <x:c r="C290" s="24" t="str">
        <x:v>EEZ</x:v>
      </x:c>
      <x:c r="D290" s="30" t="n">
        <x:v>2019</x:v>
      </x:c>
      <x:c r="E290" s="24" t="str">
        <x:v>Trichiurus lepturus</x:v>
      </x:c>
      <x:c r="F290" s="24" t="str">
        <x:v>Largehead hairtail</x:v>
      </x:c>
      <x:c r="G290" s="24" t="str">
        <x:v>Large benthopelagics (&gt;=90 cm)</x:v>
      </x:c>
      <x:c r="H290" s="24" t="str">
        <x:v>Perch-likes</x:v>
      </x:c>
      <x:c r="I290" s="31" t="n">
        <x:v>1.0051461476999999</x:v>
      </x:c>
      <x:c r="J290" s="31" t="n">
        <x:v>0.2155912508</x:v>
      </x:c>
      <x:c r="K290" s="31" t="n">
        <x:v>0.7895548968999999</x:v>
      </x:c>
      <x:c r="L290" s="31" t="n">
        <x:v>0.0596404013</x:v>
      </x:c>
      <x:c r="M290" s="31" t="n">
        <x:v>0.9455057464</x:v>
      </x:c>
      <x:c r="N290" s="24" t="str">
        <x:v>trichiurus lepturus</x:v>
      </x:c>
      <x:c r="O290" s="32" t="n">
        <x:v>4.42</x:v>
      </x:c>
      <x:c r="P290" s="24" t="str">
        <x:v>exact_2020_supplement</x:v>
      </x:c>
      <x:c r="Q290" s="32" t="str">
        <x:v>2020 supplement MeanTL</x:v>
      </x:c>
      <x:c r="R290" s="24" t="str">
        <x:v>high</x:v>
      </x:c>
      <x:c r="S290" s="24" t="str">
        <x:v>Trichiurus lepturus</x:v>
      </x:c>
      <x:c r="T290" s="32" t="n">
        <x:f>IF(O290="","",(1/'Metadata'!$B$5)^(O290-1))</x:f>
        <x:v>2630.2679918953813</x:v>
      </x:c>
      <x:c r="U290" s="31" t="n">
        <x:f>IF(T290="","",I290*T290)</x:f>
        <x:v>2643.803739472257</x:v>
      </x:c>
    </x:row>
    <x:row r="291" ht="18" customHeight="1">
      <x:c r="A291" s="24" t="str">
        <x:v>EEZ_962</x:v>
      </x:c>
      <x:c r="B291" s="24" t="str">
        <x:v>Spain (mainland, Med and Gulf of Cadiz)</x:v>
      </x:c>
      <x:c r="C291" s="24" t="str">
        <x:v>EEZ</x:v>
      </x:c>
      <x:c r="D291" s="30" t="n">
        <x:v>2019</x:v>
      </x:c>
      <x:c r="E291" s="24" t="str">
        <x:v>Hoplostethus mediterraneus</x:v>
      </x:c>
      <x:c r="F291" s="24" t="str">
        <x:v>Mediterranean slimehead</x:v>
      </x:c>
      <x:c r="G291" s="24" t="str">
        <x:v>Medium benthopelagics (30 - 89 cm)</x:v>
      </x:c>
      <x:c r="H291" s="24" t="str">
        <x:v>Other fishes &amp; inverts</x:v>
      </x:c>
      <x:c r="I291" s="31" t="n">
        <x:v>0.9301150917</x:v>
      </x:c>
      <x:c r="J291" s="31" t="n">
        <x:v>0.7004928974</x:v>
      </x:c>
      <x:c r="K291" s="31" t="n">
        <x:v>0.2296221943</x:v>
      </x:c>
      <x:c r="L291" s="31" t="n">
        <x:v>0.6564048782999999</x:v>
      </x:c>
      <x:c r="M291" s="31" t="n">
        <x:v>0.2737102134</x:v>
      </x:c>
      <x:c r="N291" s="24" t="str">
        <x:v>hoplostethus mediterraneus</x:v>
      </x:c>
      <x:c r="O291" s="32" t="n">
        <x:v>3.49</x:v>
      </x:c>
      <x:c r="P291" s="24" t="str">
        <x:v>exact_2020_supplement</x:v>
      </x:c>
      <x:c r="Q291" s="32" t="str">
        <x:v>2020 supplement MeanTL</x:v>
      </x:c>
      <x:c r="R291" s="24" t="str">
        <x:v>high</x:v>
      </x:c>
      <x:c r="S291" s="24" t="str">
        <x:v>Hoplostethus mediterraneus</x:v>
      </x:c>
      <x:c r="T291" s="32" t="n">
        <x:f>IF(O291="","",(1/'Metadata'!$B$5)^(O291-1))</x:f>
        <x:v>309.0295432513592</x:v>
      </x:c>
      <x:c r="U291" s="31" t="n">
        <x:f>IF(T291="","",I291*T291)</x:f>
        <x:v>287.4330419592471</x:v>
      </x:c>
    </x:row>
    <x:row r="292" ht="18" customHeight="1">
      <x:c r="A292" s="24" t="str">
        <x:v>EEZ_962</x:v>
      </x:c>
      <x:c r="B292" s="24" t="str">
        <x:v>Spain (mainland, Med and Gulf of Cadiz)</x:v>
      </x:c>
      <x:c r="C292" s="24" t="str">
        <x:v>EEZ</x:v>
      </x:c>
      <x:c r="D292" s="30" t="n">
        <x:v>2019</x:v>
      </x:c>
      <x:c r="E292" s="24" t="str">
        <x:v>Campogramma glaycos</x:v>
      </x:c>
      <x:c r="F292" s="24" t="str">
        <x:v>Vadigo</x:v>
      </x:c>
      <x:c r="G292" s="24" t="str">
        <x:v>Medium benthopelagics (30 - 89 cm)</x:v>
      </x:c>
      <x:c r="H292" s="24" t="str">
        <x:v>Perch-likes</x:v>
      </x:c>
      <x:c r="I292" s="31" t="n">
        <x:v>0.9273603131</x:v>
      </x:c>
      <x:c r="J292" s="31" t="n">
        <x:v>0.8135028589</x:v>
      </x:c>
      <x:c r="K292" s="31" t="n">
        <x:v>0.1138574542</x:v>
      </x:c>
      <x:c r="L292" s="31" t="n">
        <x:v>0.7938426909999999</x:v>
      </x:c>
      <x:c r="M292" s="31" t="n">
        <x:v>0.1335176221</x:v>
      </x:c>
      <x:c r="N292" s="24" t="str">
        <x:v>campogramma glaycos</x:v>
      </x:c>
      <x:c r="O292" s="32" t="n">
        <x:v>4.5</x:v>
      </x:c>
      <x:c r="P292" s="24" t="str">
        <x:v>exact_2020_supplement</x:v>
      </x:c>
      <x:c r="Q292" s="32" t="str">
        <x:v>2020 supplement MeanTL</x:v>
      </x:c>
      <x:c r="R292" s="24" t="str">
        <x:v>high</x:v>
      </x:c>
      <x:c r="S292" s="24" t="str">
        <x:v>Campogramma glaycos</x:v>
      </x:c>
      <x:c r="T292" s="32" t="n">
        <x:f>IF(O292="","",(1/'Metadata'!$B$5)^(O292-1))</x:f>
        <x:v>3162.2776601683795</x:v>
      </x:c>
      <x:c r="U292" s="31" t="n">
        <x:f>IF(T292="","",I292*T292)</x:f>
        <x:v>2932.570801042884</x:v>
      </x:c>
    </x:row>
    <x:row r="293" ht="18" customHeight="1">
      <x:c r="A293" s="24" t="str">
        <x:v>EEZ_962</x:v>
      </x:c>
      <x:c r="B293" s="24" t="str">
        <x:v>Spain (mainland, Med and Gulf of Cadiz)</x:v>
      </x:c>
      <x:c r="C293" s="24" t="str">
        <x:v>EEZ</x:v>
      </x:c>
      <x:c r="D293" s="30" t="n">
        <x:v>2019</x:v>
      </x:c>
      <x:c r="E293" s="24" t="str">
        <x:v>Ensis siliqua</x:v>
      </x:c>
      <x:c r="F293" s="24" t="str">
        <x:v>Sword razor shell</x:v>
      </x:c>
      <x:c r="G293" s="24" t="str">
        <x:v>Other demersal invertebrates</x:v>
      </x:c>
      <x:c r="H293" s="24" t="str">
        <x:v>Molluscs</x:v>
      </x:c>
      <x:c r="I293" s="31" t="n">
        <x:v>0.871113467</x:v>
      </x:c>
      <x:c r="J293" s="31" t="n">
        <x:v>0.6625772257</x:v>
      </x:c>
      <x:c r="K293" s="31" t="n">
        <x:v>0.2085362413</x:v>
      </x:c>
      <x:c r="L293" s="31" t="n">
        <x:v>0.6625772257</x:v>
      </x:c>
      <x:c r="M293" s="31" t="n">
        <x:v>0.2085362413</x:v>
      </x:c>
      <x:c r="N293" s="24" t="str">
        <x:v>ensis siliqua</x:v>
      </x:c>
      <x:c r="O293" s="32" t="n">
        <x:v>2</x:v>
      </x:c>
      <x:c r="P293" s="24" t="str">
        <x:v>exact_2020_supplement</x:v>
      </x:c>
      <x:c r="Q293" s="32" t="str">
        <x:v>2020 supplement MeanTL</x:v>
      </x:c>
      <x:c r="R293" s="24" t="str">
        <x:v>high</x:v>
      </x:c>
      <x:c r="S293" s="24" t="str">
        <x:v>Ensis siliqua</x:v>
      </x:c>
      <x:c r="T293" s="32" t="n">
        <x:f>IF(O293="","",(1/'Metadata'!$B$5)^(O293-1))</x:f>
        <x:v>10</x:v>
      </x:c>
      <x:c r="U293" s="31" t="n">
        <x:f>IF(T293="","",I293*T293)</x:f>
        <x:v>8.71113467</x:v>
      </x:c>
    </x:row>
    <x:row r="294" ht="18" customHeight="1">
      <x:c r="A294" s="24" t="str">
        <x:v>EEZ_962</x:v>
      </x:c>
      <x:c r="B294" s="24" t="str">
        <x:v>Spain (mainland, Med and Gulf of Cadiz)</x:v>
      </x:c>
      <x:c r="C294" s="24" t="str">
        <x:v>EEZ</x:v>
      </x:c>
      <x:c r="D294" s="30" t="n">
        <x:v>2019</x:v>
      </x:c>
      <x:c r="E294" s="24" t="str">
        <x:v>Uranoscopus</x:v>
      </x:c>
      <x:c r="F294" s="24" t="str">
        <x:v>Stargazers</x:v>
      </x:c>
      <x:c r="G294" s="24" t="str">
        <x:v>Medium demersals (30 - 89 cm)</x:v>
      </x:c>
      <x:c r="H294" s="24" t="str">
        <x:v>Perch-likes</x:v>
      </x:c>
      <x:c r="I294" s="31" t="n">
        <x:v>0.8632086398000001</x:v>
      </x:c>
      <x:c r="J294" s="31" t="n">
        <x:v>0.42753549490000003</x:v>
      </x:c>
      <x:c r="K294" s="31" t="n">
        <x:v>0.43567314490000003</x:v>
      </x:c>
      <x:c r="L294" s="31" t="n">
        <x:v>0.34212993560000005</x:v>
      </x:c>
      <x:c r="M294" s="31" t="n">
        <x:v>0.5210787042</x:v>
      </x:c>
      <x:c r="N294" s="24" t="str">
        <x:v>uranoscopus</x:v>
      </x:c>
      <x:c r="O294" s="32" t="n">
        <x:v>4.2</x:v>
      </x:c>
      <x:c r="P294" s="24" t="str">
        <x:v>exact_sea_around_us</x:v>
      </x:c>
      <x:c r="Q294" s="32" t="str">
        <x:v>Sea Around Us exploited organisms</x:v>
      </x:c>
      <x:c r="R294" s="24" t="str">
        <x:v>high</x:v>
      </x:c>
      <x:c r="S294" s="24" t="str">
        <x:v>Uranoscopus</x:v>
      </x:c>
      <x:c r="T294" s="32" t="n">
        <x:f>IF(O294="","",(1/'Metadata'!$B$5)^(O294-1))</x:f>
        <x:v>1584.893192461114</x:v>
      </x:c>
      <x:c r="U294" s="31" t="n">
        <x:f>IF(T294="","",I294*T294)</x:f>
        <x:v>1368.0934968926379</x:v>
      </x:c>
    </x:row>
    <x:row r="295" ht="18" customHeight="1">
      <x:c r="A295" s="24" t="str">
        <x:v>EEZ_962</x:v>
      </x:c>
      <x:c r="B295" s="24" t="str">
        <x:v>Spain (mainland, Med and Gulf of Cadiz)</x:v>
      </x:c>
      <x:c r="C295" s="24" t="str">
        <x:v>EEZ</x:v>
      </x:c>
      <x:c r="D295" s="30" t="n">
        <x:v>2019</x:v>
      </x:c>
      <x:c r="E295" s="24" t="str">
        <x:v>Capros aper</x:v>
      </x:c>
      <x:c r="F295" s="24" t="str">
        <x:v>Boarfish</x:v>
      </x:c>
      <x:c r="G295" s="24" t="str">
        <x:v>Small demersals (&lt;30 cm)</x:v>
      </x:c>
      <x:c r="H295" s="24" t="str">
        <x:v>Perch-likes</x:v>
      </x:c>
      <x:c r="I295" s="31" t="n">
        <x:v>0.8611439197</x:v>
      </x:c>
      <x:c r="J295" s="31" t="n">
        <x:v>0.7495434333000001</x:v>
      </x:c>
      <x:c r="K295" s="31" t="n">
        <x:v>0.1116004864</x:v>
      </x:c>
      <x:c r="L295" s="31" t="n">
        <x:v>0.7302016826000001</x:v>
      </x:c>
      <x:c r="M295" s="31" t="n">
        <x:v>0.1309422371</x:v>
      </x:c>
      <x:c r="N295" s="24" t="str">
        <x:v>capros aper</x:v>
      </x:c>
      <x:c r="O295" s="32" t="n">
        <x:v>3.14</x:v>
      </x:c>
      <x:c r="P295" s="24" t="str">
        <x:v>exact_2020_supplement</x:v>
      </x:c>
      <x:c r="Q295" s="32" t="str">
        <x:v>2020 supplement MeanTL</x:v>
      </x:c>
      <x:c r="R295" s="24" t="str">
        <x:v>high</x:v>
      </x:c>
      <x:c r="S295" s="24" t="str">
        <x:v>Capros aper</x:v>
      </x:c>
      <x:c r="T295" s="32" t="n">
        <x:f>IF(O295="","",(1/'Metadata'!$B$5)^(O295-1))</x:f>
        <x:v>138.03842646028852</x:v>
      </x:c>
      <x:c r="U295" s="31" t="n">
        <x:f>IF(T295="","",I295*T295)</x:f>
        <x:v>118.87095163123305</x:v>
      </x:c>
    </x:row>
    <x:row r="296" ht="18" customHeight="1">
      <x:c r="A296" s="24" t="str">
        <x:v>EEZ_962</x:v>
      </x:c>
      <x:c r="B296" s="24" t="str">
        <x:v>Spain (mainland, Med and Gulf of Cadiz)</x:v>
      </x:c>
      <x:c r="C296" s="24" t="str">
        <x:v>EEZ</x:v>
      </x:c>
      <x:c r="D296" s="30" t="n">
        <x:v>2019</x:v>
      </x:c>
      <x:c r="E296" s="24" t="str">
        <x:v>Stromateus fiatola</x:v>
      </x:c>
      <x:c r="F296" s="24" t="str">
        <x:v>Blue butterfish</x:v>
      </x:c>
      <x:c r="G296" s="24" t="str">
        <x:v>Medium benthopelagics (30 - 89 cm)</x:v>
      </x:c>
      <x:c r="H296" s="24" t="str">
        <x:v>Perch-likes</x:v>
      </x:c>
      <x:c r="I296" s="31" t="n">
        <x:v>0.8249955546</x:v>
      </x:c>
      <x:c r="J296" s="31" t="n">
        <x:v>0.45448825989999997</x:v>
      </x:c>
      <x:c r="K296" s="31" t="n">
        <x:v>0.3705072947</x:v>
      </x:c>
      <x:c r="L296" s="31" t="n">
        <x:v>0.3860770979</x:v>
      </x:c>
      <x:c r="M296" s="31" t="n">
        <x:v>0.4389184567</x:v>
      </x:c>
      <x:c r="N296" s="24" t="str">
        <x:v>stromateus fiatola</x:v>
      </x:c>
      <x:c r="O296" s="32" t="n">
        <x:v>4.03</x:v>
      </x:c>
      <x:c r="P296" s="24" t="str">
        <x:v>exact_2020_supplement</x:v>
      </x:c>
      <x:c r="Q296" s="32" t="str">
        <x:v>2020 supplement MeanTL</x:v>
      </x:c>
      <x:c r="R296" s="24" t="str">
        <x:v>high</x:v>
      </x:c>
      <x:c r="S296" s="24" t="str">
        <x:v>Stromateus fiatola</x:v>
      </x:c>
      <x:c r="T296" s="32" t="n">
        <x:f>IF(O296="","",(1/'Metadata'!$B$5)^(O296-1))</x:f>
        <x:v>1071.519305237607</x:v>
      </x:c>
      <x:c r="U296" s="31" t="n">
        <x:f>IF(T296="","",I296*T296)</x:f>
        <x:v>883.9986634891063</x:v>
      </x:c>
    </x:row>
    <x:row r="297" ht="18" customHeight="1">
      <x:c r="A297" s="24" t="str">
        <x:v>EEZ_962</x:v>
      </x:c>
      <x:c r="B297" s="24" t="str">
        <x:v>Spain (mainland, Med and Gulf of Cadiz)</x:v>
      </x:c>
      <x:c r="C297" s="24" t="str">
        <x:v>EEZ</x:v>
      </x:c>
      <x:c r="D297" s="30" t="n">
        <x:v>2019</x:v>
      </x:c>
      <x:c r="E297" s="24" t="str">
        <x:v>Pontinus kuhlii</x:v>
      </x:c>
      <x:c r="F297" s="24" t="str">
        <x:v>Offshore rockfish</x:v>
      </x:c>
      <x:c r="G297" s="24" t="str">
        <x:v>Medium bathydemersals (30 - 89 cm)</x:v>
      </x:c>
      <x:c r="H297" s="24" t="str">
        <x:v>Scorpionfishes</x:v>
      </x:c>
      <x:c r="I297" s="31" t="n">
        <x:v>0.7857781967</x:v>
      </x:c>
      <x:c r="J297" s="31" t="n">
        <x:v>0.6170509247</x:v>
      </x:c>
      <x:c r="K297" s="31" t="n">
        <x:v>0.168727272</x:v>
      </x:c>
      <x:c r="L297" s="31" t="n">
        <x:v>0.5805556352000001</x:v>
      </x:c>
      <x:c r="M297" s="31" t="n">
        <x:v>0.2052225615</x:v>
      </x:c>
      <x:c r="N297" s="24" t="str">
        <x:v>pontinus kuhlii</x:v>
      </x:c>
      <x:c r="O297" s="32" t="n">
        <x:v>4.05</x:v>
      </x:c>
      <x:c r="P297" s="24" t="str">
        <x:v>exact_2020_supplement</x:v>
      </x:c>
      <x:c r="Q297" s="32" t="str">
        <x:v>2020 supplement MeanTL</x:v>
      </x:c>
      <x:c r="R297" s="24" t="str">
        <x:v>high</x:v>
      </x:c>
      <x:c r="S297" s="24" t="str">
        <x:v>Pontinus kuhlii</x:v>
      </x:c>
      <x:c r="T297" s="32" t="n">
        <x:f>IF(O297="","",(1/'Metadata'!$B$5)^(O297-1))</x:f>
        <x:v>1122.018454301963</x:v>
      </x:c>
      <x:c r="U297" s="31" t="n">
        <x:f>IF(T297="","",I297*T297)</x:f>
        <x:v>881.6576376855179</x:v>
      </x:c>
    </x:row>
    <x:row r="298" ht="18" customHeight="1">
      <x:c r="A298" s="24" t="str">
        <x:v>EEZ_962</x:v>
      </x:c>
      <x:c r="B298" s="24" t="str">
        <x:v>Spain (mainland, Med and Gulf of Cadiz)</x:v>
      </x:c>
      <x:c r="C298" s="24" t="str">
        <x:v>EEZ</x:v>
      </x:c>
      <x:c r="D298" s="30" t="n">
        <x:v>2019</x:v>
      </x:c>
      <x:c r="E298" s="24" t="str">
        <x:v>Gymnura altavela</x:v>
      </x:c>
      <x:c r="F298" s="24" t="str">
        <x:v>Spiny butterfly ray</x:v>
      </x:c>
      <x:c r="G298" s="24" t="str">
        <x:v>Large rays (&gt;=90 cm)</x:v>
      </x:c>
      <x:c r="H298" s="24" t="str">
        <x:v>Sharks &amp; rays</x:v>
      </x:c>
      <x:c r="I298" s="31" t="n">
        <x:v>0.7791567549</x:v>
      </x:c>
      <x:c r="J298" s="31" t="n">
        <x:v>0.6592459585</x:v>
      </x:c>
      <x:c r="K298" s="31" t="n">
        <x:v>0.1199107964</x:v>
      </x:c>
      <x:c r="L298" s="31" t="n">
        <x:v>0.6392570525</x:v>
      </x:c>
      <x:c r="M298" s="31" t="n">
        <x:v>0.1398997024</x:v>
      </x:c>
      <x:c r="N298" s="24" t="str">
        <x:v>gymnura altavela</x:v>
      </x:c>
      <x:c r="O298" s="32" t="n">
        <x:v>4.5</x:v>
      </x:c>
      <x:c r="P298" s="24" t="str">
        <x:v>exact_2020_supplement</x:v>
      </x:c>
      <x:c r="Q298" s="32" t="str">
        <x:v>2020 supplement MeanTL</x:v>
      </x:c>
      <x:c r="R298" s="24" t="str">
        <x:v>high</x:v>
      </x:c>
      <x:c r="S298" s="24" t="str">
        <x:v>Gymnura altavela</x:v>
      </x:c>
      <x:c r="T298" s="32" t="n">
        <x:f>IF(O298="","",(1/'Metadata'!$B$5)^(O298-1))</x:f>
        <x:v>3162.2776601683795</x:v>
      </x:c>
      <x:c r="U298" s="31" t="n">
        <x:f>IF(T298="","",I298*T298)</x:f>
        <x:v>2463.9099997895596</x:v>
      </x:c>
    </x:row>
    <x:row r="299" ht="18" customHeight="1">
      <x:c r="A299" s="24" t="str">
        <x:v>EEZ_962</x:v>
      </x:c>
      <x:c r="B299" s="24" t="str">
        <x:v>Spain (mainland, Med and Gulf of Cadiz)</x:v>
      </x:c>
      <x:c r="C299" s="24" t="str">
        <x:v>EEZ</x:v>
      </x:c>
      <x:c r="D299" s="30" t="n">
        <x:v>2019</x:v>
      </x:c>
      <x:c r="E299" s="24" t="str">
        <x:v>Haemulidae</x:v>
      </x:c>
      <x:c r="F299" s="24" t="str">
        <x:v>Grunts, sweetlips, bonnetmouths</x:v>
      </x:c>
      <x:c r="G299" s="24" t="str">
        <x:v>Medium demersals (30 - 89 cm)</x:v>
      </x:c>
      <x:c r="H299" s="24" t="str">
        <x:v>Perch-likes</x:v>
      </x:c>
      <x:c r="I299" s="31" t="n">
        <x:v>0.7204032311</x:v>
      </x:c>
      <x:c r="J299" s="31" t="n">
        <x:v>0.6348777097</x:v>
      </x:c>
      <x:c r="K299" s="31" t="n">
        <x:v>0.0855255214</x:v>
      </x:c>
      <x:c r="L299" s="31" t="n">
        <x:v>0.6348777097</x:v>
      </x:c>
      <x:c r="M299" s="31" t="n">
        <x:v>0.0855255214</x:v>
      </x:c>
      <x:c r="N299" s="24" t="str">
        <x:v>haemulidae</x:v>
      </x:c>
      <x:c r="O299" s="32" t="n">
        <x:v>3.36</x:v>
      </x:c>
      <x:c r="P299" s="24" t="str">
        <x:v>exact_sea_around_us</x:v>
      </x:c>
      <x:c r="Q299" s="32" t="str">
        <x:v>Sea Around Us exploited organisms</x:v>
      </x:c>
      <x:c r="R299" s="24" t="str">
        <x:v>high</x:v>
      </x:c>
      <x:c r="S299" s="24" t="str">
        <x:v>Haemulidae</x:v>
      </x:c>
      <x:c r="T299" s="32" t="n">
        <x:f>IF(O299="","",(1/'Metadata'!$B$5)^(O299-1))</x:f>
        <x:v>229.08676527677724</x:v>
      </x:c>
      <x:c r="U299" s="31" t="n">
        <x:f>IF(T299="","",I299*T299)</x:f>
        <x:v>165.03484590763762</x:v>
      </x:c>
    </x:row>
    <x:row r="300" ht="18" customHeight="1">
      <x:c r="A300" s="24" t="str">
        <x:v>EEZ_962</x:v>
      </x:c>
      <x:c r="B300" s="24" t="str">
        <x:v>Spain (mainland, Med and Gulf of Cadiz)</x:v>
      </x:c>
      <x:c r="C300" s="24" t="str">
        <x:v>EEZ</x:v>
      </x:c>
      <x:c r="D300" s="30" t="n">
        <x:v>2019</x:v>
      </x:c>
      <x:c r="E300" s="24" t="str">
        <x:v>Mustelus</x:v>
      </x:c>
      <x:c r="F300" s="24" t="str">
        <x:v>Smoothhounds</x:v>
      </x:c>
      <x:c r="G300" s="24" t="str">
        <x:v>Large sharks (&gt;=90 cm)</x:v>
      </x:c>
      <x:c r="H300" s="24" t="str">
        <x:v>Sharks &amp; rays</x:v>
      </x:c>
      <x:c r="I300" s="31" t="n">
        <x:v>0.6034566522</x:v>
      </x:c>
      <x:c r="J300" s="31" t="n">
        <x:v>0.36905143160000003</x:v>
      </x:c>
      <x:c r="K300" s="31" t="n">
        <x:v>0.2344052206</x:v>
      </x:c>
      <x:c r="L300" s="31" t="n">
        <x:v>0.3547277029</x:v>
      </x:c>
      <x:c r="M300" s="31" t="n">
        <x:v>0.2487289493</x:v>
      </x:c>
      <x:c r="N300" s="24" t="str">
        <x:v>mustelus</x:v>
      </x:c>
      <x:c r="O300" s="32" t="n">
        <x:v>3.73</x:v>
      </x:c>
      <x:c r="P300" s="24" t="str">
        <x:v>exact_sea_around_us</x:v>
      </x:c>
      <x:c r="Q300" s="32" t="str">
        <x:v>Sea Around Us exploited organisms</x:v>
      </x:c>
      <x:c r="R300" s="24" t="str">
        <x:v>high</x:v>
      </x:c>
      <x:c r="S300" s="24" t="str">
        <x:v>Mustelus</x:v>
      </x:c>
      <x:c r="T300" s="32" t="n">
        <x:f>IF(O300="","",(1/'Metadata'!$B$5)^(O300-1))</x:f>
        <x:v>537.0317963702527</x:v>
      </x:c>
      <x:c r="U300" s="31" t="n">
        <x:f>IF(T300="","",I300*T300)</x:f>
        <x:v>324.07540996254477</x:v>
      </x:c>
    </x:row>
    <x:row r="301" ht="18" customHeight="1">
      <x:c r="A301" s="24" t="str">
        <x:v>EEZ_962</x:v>
      </x:c>
      <x:c r="B301" s="24" t="str">
        <x:v>Spain (mainland, Med and Gulf of Cadiz)</x:v>
      </x:c>
      <x:c r="C301" s="24" t="str">
        <x:v>EEZ</x:v>
      </x:c>
      <x:c r="D301" s="30" t="n">
        <x:v>2019</x:v>
      </x:c>
      <x:c r="E301" s="24" t="str">
        <x:v>Sardinella</x:v>
      </x:c>
      <x:c r="F301" s="24" t="str">
        <x:v>Sardinellas</x:v>
      </x:c>
      <x:c r="G301" s="24" t="str">
        <x:v>Small pelagics (&lt;30 cm)</x:v>
      </x:c>
      <x:c r="H301" s="24" t="str">
        <x:v>Herring-likes</x:v>
      </x:c>
      <x:c r="I301" s="31" t="n">
        <x:v>0.5978219435</x:v>
      </x:c>
      <x:c r="J301" s="31" t="n">
        <x:v>0.5978219435</x:v>
      </x:c>
      <x:c r="K301" s="31" t="n">
        <x:v>0</x:v>
      </x:c>
      <x:c r="L301" s="31" t="n">
        <x:v>0.5978219435</x:v>
      </x:c>
      <x:c r="M301" s="31" t="n">
        <x:v>0</x:v>
      </x:c>
      <x:c r="N301" s="24" t="str">
        <x:v>sardinella</x:v>
      </x:c>
      <x:c r="O301" s="32" t="n">
        <x:v>2.77</x:v>
      </x:c>
      <x:c r="P301" s="24" t="str">
        <x:v>exact_sea_around_us</x:v>
      </x:c>
      <x:c r="Q301" s="32" t="str">
        <x:v>Sea Around Us exploited organisms</x:v>
      </x:c>
      <x:c r="R301" s="24" t="str">
        <x:v>high</x:v>
      </x:c>
      <x:c r="S301" s="24" t="str">
        <x:v>Sardinella</x:v>
      </x:c>
      <x:c r="T301" s="32" t="n">
        <x:f>IF(O301="","",(1/'Metadata'!$B$5)^(O301-1))</x:f>
        <x:v>58.8843655355589</x:v>
      </x:c>
      <x:c r="U301" s="31" t="n">
        <x:f>IF(T301="","",I301*T301)</x:f>
        <x:v>35.20236584623224</x:v>
      </x:c>
    </x:row>
    <x:row r="302" ht="18" customHeight="1">
      <x:c r="A302" s="24" t="str">
        <x:v>EEZ_962</x:v>
      </x:c>
      <x:c r="B302" s="24" t="str">
        <x:v>Spain (mainland, Med and Gulf of Cadiz)</x:v>
      </x:c>
      <x:c r="C302" s="24" t="str">
        <x:v>EEZ</x:v>
      </x:c>
      <x:c r="D302" s="30" t="n">
        <x:v>2019</x:v>
      </x:c>
      <x:c r="E302" s="24" t="str">
        <x:v>Gempylidae</x:v>
      </x:c>
      <x:c r="F302" s="24" t="str">
        <x:v>Snake mackerels</x:v>
      </x:c>
      <x:c r="G302" s="24" t="str">
        <x:v>Large benthopelagics (&gt;=90 cm)</x:v>
      </x:c>
      <x:c r="H302" s="24" t="str">
        <x:v>Perch-likes</x:v>
      </x:c>
      <x:c r="I302" s="31" t="n">
        <x:v>0.581525086</x:v>
      </x:c>
      <x:c r="J302" s="31" t="n">
        <x:v>0.5795464719</x:v>
      </x:c>
      <x:c r="K302" s="31" t="n">
        <x:v>0.0019786141</x:v>
      </x:c>
      <x:c r="L302" s="31" t="n">
        <x:v>0.3484375754</x:v>
      </x:c>
      <x:c r="M302" s="31" t="n">
        <x:v>0.2330875106</x:v>
      </x:c>
      <x:c r="N302" s="24" t="str">
        <x:v>gempylidae</x:v>
      </x:c>
      <x:c r="O302" s="32" t="n">
        <x:v>4.21</x:v>
      </x:c>
      <x:c r="P302" s="24" t="str">
        <x:v>exact_sea_around_us</x:v>
      </x:c>
      <x:c r="Q302" s="32" t="str">
        <x:v>Sea Around Us exploited organisms</x:v>
      </x:c>
      <x:c r="R302" s="24" t="str">
        <x:v>high</x:v>
      </x:c>
      <x:c r="S302" s="24" t="str">
        <x:v>Gempylidae</x:v>
      </x:c>
      <x:c r="T302" s="32" t="n">
        <x:f>IF(O302="","",(1/'Metadata'!$B$5)^(O302-1))</x:f>
        <x:v>1621.8100973589299</x:v>
      </x:c>
      <x:c r="U302" s="31" t="n">
        <x:f>IF(T302="","",I302*T302)</x:f>
        <x:v>943.12325634232</x:v>
      </x:c>
    </x:row>
    <x:row r="303" ht="18" customHeight="1">
      <x:c r="A303" s="24" t="str">
        <x:v>EEZ_962</x:v>
      </x:c>
      <x:c r="B303" s="24" t="str">
        <x:v>Spain (mainland, Med and Gulf of Cadiz)</x:v>
      </x:c>
      <x:c r="C303" s="24" t="str">
        <x:v>EEZ</x:v>
      </x:c>
      <x:c r="D303" s="30" t="n">
        <x:v>2019</x:v>
      </x:c>
      <x:c r="E303" s="24" t="str">
        <x:v>Cerastoderma glaucum</x:v>
      </x:c>
      <x:c r="F303" s="24" t="str">
        <x:v>Olive green cockle</x:v>
      </x:c>
      <x:c r="G303" s="24" t="str">
        <x:v>Other demersal invertebrates</x:v>
      </x:c>
      <x:c r="H303" s="24" t="str">
        <x:v>Molluscs</x:v>
      </x:c>
      <x:c r="I303" s="31" t="n">
        <x:v>0.5772442322</x:v>
      </x:c>
      <x:c r="J303" s="31" t="n">
        <x:v>0.0037709738000000002</x:v>
      </x:c>
      <x:c r="K303" s="31" t="n">
        <x:v>0.5734732584</x:v>
      </x:c>
      <x:c r="L303" s="31" t="n">
        <x:v>0.0037709738000000002</x:v>
      </x:c>
      <x:c r="M303" s="31" t="n">
        <x:v>0.5734732584</x:v>
      </x:c>
      <x:c r="N303" s="24" t="str">
        <x:v>cerastoderma glaucum</x:v>
      </x:c>
      <x:c r="O303" s="32" t="n">
        <x:v>2</x:v>
      </x:c>
      <x:c r="P303" s="24" t="str">
        <x:v>exact_sea_around_us</x:v>
      </x:c>
      <x:c r="Q303" s="32" t="str">
        <x:v>Sea Around Us exploited organisms</x:v>
      </x:c>
      <x:c r="R303" s="24" t="str">
        <x:v>high</x:v>
      </x:c>
      <x:c r="S303" s="24" t="str">
        <x:v>Cerastoderma glaucum</x:v>
      </x:c>
      <x:c r="T303" s="32" t="n">
        <x:f>IF(O303="","",(1/'Metadata'!$B$5)^(O303-1))</x:f>
        <x:v>10</x:v>
      </x:c>
      <x:c r="U303" s="31" t="n">
        <x:f>IF(T303="","",I303*T303)</x:f>
        <x:v>5.772442322</x:v>
      </x:c>
    </x:row>
    <x:row r="304" ht="18" customHeight="1">
      <x:c r="A304" s="24" t="str">
        <x:v>EEZ_962</x:v>
      </x:c>
      <x:c r="B304" s="24" t="str">
        <x:v>Spain (mainland, Med and Gulf of Cadiz)</x:v>
      </x:c>
      <x:c r="C304" s="24" t="str">
        <x:v>EEZ</x:v>
      </x:c>
      <x:c r="D304" s="30" t="n">
        <x:v>2019</x:v>
      </x:c>
      <x:c r="E304" s="24" t="str">
        <x:v>Bivalvia</x:v>
      </x:c>
      <x:c r="F304" s="24" t="str">
        <x:v>Clams</x:v>
      </x:c>
      <x:c r="G304" s="24" t="str">
        <x:v>Other demersal invertebrates</x:v>
      </x:c>
      <x:c r="H304" s="24" t="str">
        <x:v>Molluscs</x:v>
      </x:c>
      <x:c r="I304" s="31" t="n">
        <x:v>0.5627054039</x:v>
      </x:c>
      <x:c r="J304" s="31" t="n">
        <x:v>0.3788971563</x:v>
      </x:c>
      <x:c r="K304" s="31" t="n">
        <x:v>0.1838082476</x:v>
      </x:c>
      <x:c r="L304" s="31" t="n">
        <x:v>0.3788971563</x:v>
      </x:c>
      <x:c r="M304" s="31" t="n">
        <x:v>0.1838082476</x:v>
      </x:c>
      <x:c r="N304" s="24" t="str">
        <x:v>bivalvia</x:v>
      </x:c>
      <x:c r="O304" s="32" t="n">
        <x:v>2.23</x:v>
      </x:c>
      <x:c r="P304" s="24" t="str">
        <x:v>exact_sea_around_us</x:v>
      </x:c>
      <x:c r="Q304" s="32" t="str">
        <x:v>Sea Around Us exploited organisms</x:v>
      </x:c>
      <x:c r="R304" s="24" t="str">
        <x:v>high</x:v>
      </x:c>
      <x:c r="S304" s="24" t="str">
        <x:v>Bivalvia</x:v>
      </x:c>
      <x:c r="T304" s="32" t="n">
        <x:f>IF(O304="","",(1/'Metadata'!$B$5)^(O304-1))</x:f>
        <x:v>16.982436524617444</x:v>
      </x:c>
      <x:c r="U304" s="31" t="n">
        <x:f>IF(T304="","",I304*T304)</x:f>
        <x:v>9.556108803790972</x:v>
      </x:c>
    </x:row>
    <x:row r="305" ht="18" customHeight="1">
      <x:c r="A305" s="24" t="str">
        <x:v>EEZ_962</x:v>
      </x:c>
      <x:c r="B305" s="24" t="str">
        <x:v>Spain (mainland, Med and Gulf of Cadiz)</x:v>
      </x:c>
      <x:c r="C305" s="24" t="str">
        <x:v>EEZ</x:v>
      </x:c>
      <x:c r="D305" s="30" t="n">
        <x:v>2019</x:v>
      </x:c>
      <x:c r="E305" s="24" t="str">
        <x:v>Istiophoridae</x:v>
      </x:c>
      <x:c r="F305" s="24" t="str">
        <x:v>Billfishes</x:v>
      </x:c>
      <x:c r="G305" s="24" t="str">
        <x:v>Large pelagics (&gt;=90 cm)</x:v>
      </x:c>
      <x:c r="H305" s="24" t="str">
        <x:v>Tuna &amp; billfishes</x:v>
      </x:c>
      <x:c r="I305" s="31" t="n">
        <x:v>0.5534610723</x:v>
      </x:c>
      <x:c r="J305" s="31" t="n">
        <x:v>0.5534610723</x:v>
      </x:c>
      <x:c r="K305" s="31" t="n">
        <x:v>0</x:v>
      </x:c>
      <x:c r="L305" s="31" t="n">
        <x:v>0.5534610723</x:v>
      </x:c>
      <x:c r="M305" s="31" t="n">
        <x:v>0</x:v>
      </x:c>
      <x:c r="N305" s="24" t="str">
        <x:v>istiophoridae</x:v>
      </x:c>
      <x:c r="O305" s="32" t="n">
        <x:v>4.48</x:v>
      </x:c>
      <x:c r="P305" s="24" t="str">
        <x:v>exact_sea_around_us</x:v>
      </x:c>
      <x:c r="Q305" s="32" t="str">
        <x:v>Sea Around Us exploited organisms</x:v>
      </x:c>
      <x:c r="R305" s="24" t="str">
        <x:v>high</x:v>
      </x:c>
      <x:c r="S305" s="24" t="str">
        <x:v>Istiophoridae</x:v>
      </x:c>
      <x:c r="T305" s="32" t="n">
        <x:f>IF(O305="","",(1/'Metadata'!$B$5)^(O305-1))</x:f>
        <x:v>3019.951720402019</x:v>
      </x:c>
      <x:c r="U305" s="31" t="n">
        <x:f>IF(T305="","",I305*T305)</x:f>
        <x:v>1671.425717467931</x:v>
      </x:c>
    </x:row>
    <x:row r="306" ht="18" customHeight="1">
      <x:c r="A306" s="24" t="str">
        <x:v>EEZ_962</x:v>
      </x:c>
      <x:c r="B306" s="24" t="str">
        <x:v>Spain (mainland, Med and Gulf of Cadiz)</x:v>
      </x:c>
      <x:c r="C306" s="24" t="str">
        <x:v>EEZ</x:v>
      </x:c>
      <x:c r="D306" s="30" t="n">
        <x:v>2019</x:v>
      </x:c>
      <x:c r="E306" s="24" t="str">
        <x:v>Venus verrucosa</x:v>
      </x:c>
      <x:c r="F306" s="24" t="str">
        <x:v>Warty venus</x:v>
      </x:c>
      <x:c r="G306" s="24" t="str">
        <x:v>Other demersal invertebrates</x:v>
      </x:c>
      <x:c r="H306" s="24" t="str">
        <x:v>Molluscs</x:v>
      </x:c>
      <x:c r="I306" s="31" t="n">
        <x:v>0.5461247518000001</x:v>
      </x:c>
      <x:c r="J306" s="31" t="n">
        <x:v>0.5461247518000001</x:v>
      </x:c>
      <x:c r="K306" s="31" t="n">
        <x:v>0</x:v>
      </x:c>
      <x:c r="L306" s="31" t="n">
        <x:v>0.5461247518000001</x:v>
      </x:c>
      <x:c r="M306" s="31" t="n">
        <x:v>0</x:v>
      </x:c>
      <x:c r="N306" s="24" t="str">
        <x:v>venus verrucosa</x:v>
      </x:c>
      <x:c r="O306" s="32" t="n">
        <x:v>2</x:v>
      </x:c>
      <x:c r="P306" s="24" t="str">
        <x:v>exact_sea_around_us</x:v>
      </x:c>
      <x:c r="Q306" s="32" t="str">
        <x:v>Sea Around Us exploited organisms</x:v>
      </x:c>
      <x:c r="R306" s="24" t="str">
        <x:v>high</x:v>
      </x:c>
      <x:c r="S306" s="24" t="str">
        <x:v>Venus verrucosa</x:v>
      </x:c>
      <x:c r="T306" s="32" t="n">
        <x:f>IF(O306="","",(1/'Metadata'!$B$5)^(O306-1))</x:f>
        <x:v>10</x:v>
      </x:c>
      <x:c r="U306" s="31" t="n">
        <x:f>IF(T306="","",I306*T306)</x:f>
        <x:v>5.461247518</x:v>
      </x:c>
    </x:row>
    <x:row r="307" ht="18" customHeight="1">
      <x:c r="A307" s="24" t="str">
        <x:v>EEZ_962</x:v>
      </x:c>
      <x:c r="B307" s="24" t="str">
        <x:v>Spain (mainland, Med and Gulf of Cadiz)</x:v>
      </x:c>
      <x:c r="C307" s="24" t="str">
        <x:v>EEZ</x:v>
      </x:c>
      <x:c r="D307" s="30" t="n">
        <x:v>2019</x:v>
      </x:c>
      <x:c r="E307" s="24" t="str">
        <x:v>Anomura</x:v>
      </x:c>
      <x:c r="F307" s="24" t="str">
        <x:v>Craylets, squat lobsters, hermits</x:v>
      </x:c>
      <x:c r="G307" s="24" t="str">
        <x:v>Lobsters, crabs</x:v>
      </x:c>
      <x:c r="H307" s="24" t="str">
        <x:v>Crustaceans</x:v>
      </x:c>
      <x:c r="I307" s="31" t="n">
        <x:v>0.48196017560000004</x:v>
      </x:c>
      <x:c r="J307" s="31" t="n">
        <x:v>0.36258932650000003</x:v>
      </x:c>
      <x:c r="K307" s="31" t="n">
        <x:v>0.1193708491</x:v>
      </x:c>
      <x:c r="L307" s="31" t="n">
        <x:v>0.3397645939</x:v>
      </x:c>
      <x:c r="M307" s="31" t="n">
        <x:v>0.1421955817</x:v>
      </x:c>
      <x:c r="N307" s="24" t="str">
        <x:v>anomura</x:v>
      </x:c>
      <x:c r="O307" s="32" t="n">
        <x:v>3.1</x:v>
      </x:c>
      <x:c r="P307" s="24" t="str">
        <x:v>exact_sea_around_us</x:v>
      </x:c>
      <x:c r="Q307" s="32" t="str">
        <x:v>Sea Around Us exploited organisms</x:v>
      </x:c>
      <x:c r="R307" s="24" t="str">
        <x:v>high</x:v>
      </x:c>
      <x:c r="S307" s="24" t="str">
        <x:v>Anomura</x:v>
      </x:c>
      <x:c r="T307" s="32" t="n">
        <x:f>IF(O307="","",(1/'Metadata'!$B$5)^(O307-1))</x:f>
        <x:v>125.89254117941675</x:v>
      </x:c>
      <x:c r="U307" s="31" t="n">
        <x:f>IF(T307="","",I307*T307)</x:f>
        <x:v>60.675191253561934</x:v>
      </x:c>
    </x:row>
    <x:row r="308" ht="18" customHeight="1">
      <x:c r="A308" s="24" t="str">
        <x:v>EEZ_962</x:v>
      </x:c>
      <x:c r="B308" s="24" t="str">
        <x:v>Spain (mainland, Med and Gulf of Cadiz)</x:v>
      </x:c>
      <x:c r="C308" s="24" t="str">
        <x:v>EEZ</x:v>
      </x:c>
      <x:c r="D308" s="30" t="n">
        <x:v>2019</x:v>
      </x:c>
      <x:c r="E308" s="24" t="str">
        <x:v>Mollusca</x:v>
      </x:c>
      <x:c r="F308" s="24" t="str">
        <x:v>Clams, seasnails, squids, octopuses</x:v>
      </x:c>
      <x:c r="G308" s="24" t="str">
        <x:v>Other demersal invertebrates</x:v>
      </x:c>
      <x:c r="H308" s="24" t="str">
        <x:v>Molluscs</x:v>
      </x:c>
      <x:c r="I308" s="31" t="n">
        <x:v>0.46628869069999995</x:v>
      </x:c>
      <x:c r="J308" s="31" t="n">
        <x:v>0.4361097562</x:v>
      </x:c>
      <x:c r="K308" s="31" t="n">
        <x:v>0.0301789345</x:v>
      </x:c>
      <x:c r="L308" s="31" t="n">
        <x:v>0.42780165189999997</x:v>
      </x:c>
      <x:c r="M308" s="31" t="n">
        <x:v>0.0384870388</x:v>
      </x:c>
      <x:c r="N308" s="24" t="str">
        <x:v>mollusca</x:v>
      </x:c>
      <x:c r="O308" s="32" t="n">
        <x:v>2.1</x:v>
      </x:c>
      <x:c r="P308" s="24" t="str">
        <x:v>exact_sea_around_us</x:v>
      </x:c>
      <x:c r="Q308" s="32" t="str">
        <x:v>Sea Around Us exploited organisms</x:v>
      </x:c>
      <x:c r="R308" s="24" t="str">
        <x:v>high</x:v>
      </x:c>
      <x:c r="S308" s="24" t="str">
        <x:v>Mollusca</x:v>
      </x:c>
      <x:c r="T308" s="32" t="n">
        <x:f>IF(O308="","",(1/'Metadata'!$B$5)^(O308-1))</x:f>
        <x:v>12.589254117941675</x:v>
      </x:c>
      <x:c r="U308" s="31" t="n">
        <x:f>IF(T308="","",I308*T308)</x:f>
        <x:v>5.870226819544606</x:v>
      </x:c>
    </x:row>
    <x:row r="309" ht="18" customHeight="1">
      <x:c r="A309" s="24" t="str">
        <x:v>EEZ_962</x:v>
      </x:c>
      <x:c r="B309" s="24" t="str">
        <x:v>Spain (mainland, Med and Gulf of Cadiz)</x:v>
      </x:c>
      <x:c r="C309" s="24" t="str">
        <x:v>EEZ</x:v>
      </x:c>
      <x:c r="D309" s="30" t="n">
        <x:v>2019</x:v>
      </x:c>
      <x:c r="E309" s="24" t="str">
        <x:v>Palinurus</x:v>
      </x:c>
      <x:c r="F309" s="24" t="str">
        <x:v>Spiny lobsters</x:v>
      </x:c>
      <x:c r="G309" s="24" t="str">
        <x:v>Lobsters, crabs</x:v>
      </x:c>
      <x:c r="H309" s="24" t="str">
        <x:v>Crustaceans</x:v>
      </x:c>
      <x:c r="I309" s="31" t="n">
        <x:v>0.4596972981</x:v>
      </x:c>
      <x:c r="J309" s="31" t="n">
        <x:v>0.4596972981</x:v>
      </x:c>
      <x:c r="K309" s="31" t="n">
        <x:v>0</x:v>
      </x:c>
      <x:c r="L309" s="31" t="n">
        <x:v>0.0737851424</x:v>
      </x:c>
      <x:c r="M309" s="31" t="n">
        <x:v>0.3859121557</x:v>
      </x:c>
      <x:c r="N309" s="24" t="str">
        <x:v>palinurus</x:v>
      </x:c>
      <x:c r="O309" s="32" t="n">
        <x:v>2.7</x:v>
      </x:c>
      <x:c r="P309" s="24" t="str">
        <x:v>exact_sea_around_us</x:v>
      </x:c>
      <x:c r="Q309" s="32" t="str">
        <x:v>Sea Around Us exploited organisms</x:v>
      </x:c>
      <x:c r="R309" s="24" t="str">
        <x:v>high</x:v>
      </x:c>
      <x:c r="S309" s="24" t="str">
        <x:v>Palinurus</x:v>
      </x:c>
      <x:c r="T309" s="32" t="n">
        <x:f>IF(O309="","",(1/'Metadata'!$B$5)^(O309-1))</x:f>
        <x:v>50.11872336272725</x:v>
      </x:c>
      <x:c r="U309" s="31" t="n">
        <x:f>IF(T309="","",I309*T309)</x:f>
        <x:v>23.039441714067063</x:v>
      </x:c>
    </x:row>
    <x:row r="310" ht="18" customHeight="1">
      <x:c r="A310" s="24" t="str">
        <x:v>EEZ_962</x:v>
      </x:c>
      <x:c r="B310" s="24" t="str">
        <x:v>Spain (mainland, Med and Gulf of Cadiz)</x:v>
      </x:c>
      <x:c r="C310" s="24" t="str">
        <x:v>EEZ</x:v>
      </x:c>
      <x:c r="D310" s="30" t="n">
        <x:v>2019</x:v>
      </x:c>
      <x:c r="E310" s="24" t="str">
        <x:v>Mytilus galloprovincialis</x:v>
      </x:c>
      <x:c r="F310" s="24" t="str">
        <x:v>Mediterranean mussel</x:v>
      </x:c>
      <x:c r="G310" s="24" t="str">
        <x:v>Other demersal invertebrates</x:v>
      </x:c>
      <x:c r="H310" s="24" t="str">
        <x:v>Molluscs</x:v>
      </x:c>
      <x:c r="I310" s="31" t="n">
        <x:v>0.4138578923</x:v>
      </x:c>
      <x:c r="J310" s="31" t="n">
        <x:v>0.4114150305</x:v>
      </x:c>
      <x:c r="K310" s="31" t="n">
        <x:v>0.0024428618</x:v>
      </x:c>
      <x:c r="L310" s="31" t="n">
        <x:v>0.4109398421</x:v>
      </x:c>
      <x:c r="M310" s="31" t="n">
        <x:v>0.0029180502</x:v>
      </x:c>
      <x:c r="N310" s="24" t="str">
        <x:v>mytilus galloprovincialis</x:v>
      </x:c>
      <x:c r="O310" s="32" t="n">
        <x:v>2.69</x:v>
      </x:c>
      <x:c r="P310" s="24" t="str">
        <x:v>exact_2020_supplement</x:v>
      </x:c>
      <x:c r="Q310" s="32" t="str">
        <x:v>2020 supplement MeanTL</x:v>
      </x:c>
      <x:c r="R310" s="24" t="str">
        <x:v>high</x:v>
      </x:c>
      <x:c r="S310" s="24" t="str">
        <x:v>Mytilus galloprovincialis</x:v>
      </x:c>
      <x:c r="T310" s="32" t="n">
        <x:f>IF(O310="","",(1/'Metadata'!$B$5)^(O310-1))</x:f>
        <x:v>48.97788193684461</x:v>
      </x:c>
      <x:c r="U310" s="31" t="n">
        <x:f>IF(T310="","",I310*T310)</x:f>
        <x:v>20.26988298770075</x:v>
      </x:c>
    </x:row>
    <x:row r="311" ht="18" customHeight="1">
      <x:c r="A311" s="24" t="str">
        <x:v>EEZ_962</x:v>
      </x:c>
      <x:c r="B311" s="24" t="str">
        <x:v>Spain (mainland, Med and Gulf of Cadiz)</x:v>
      </x:c>
      <x:c r="C311" s="24" t="str">
        <x:v>EEZ</x:v>
      </x:c>
      <x:c r="D311" s="30" t="n">
        <x:v>2019</x:v>
      </x:c>
      <x:c r="E311" s="24" t="str">
        <x:v>Sciaenidae</x:v>
      </x:c>
      <x:c r="F311" s="24" t="str">
        <x:v>Drums, croakers</x:v>
      </x:c>
      <x:c r="G311" s="24" t="str">
        <x:v>Medium demersals (30 - 89 cm)</x:v>
      </x:c>
      <x:c r="H311" s="24" t="str">
        <x:v>Perch-likes</x:v>
      </x:c>
      <x:c r="I311" s="31" t="n">
        <x:v>0.3841085616</x:v>
      </x:c>
      <x:c r="J311" s="31" t="n">
        <x:v>0.2597885656</x:v>
      </x:c>
      <x:c r="K311" s="31" t="n">
        <x:v>0.124319996</x:v>
      </x:c>
      <x:c r="L311" s="31" t="n">
        <x:v>0.2557716058</x:v>
      </x:c>
      <x:c r="M311" s="31" t="n">
        <x:v>0.1283369558</x:v>
      </x:c>
      <x:c r="N311" s="24" t="str">
        <x:v>sciaenidae</x:v>
      </x:c>
      <x:c r="O311" s="32" t="n">
        <x:v>3.76</x:v>
      </x:c>
      <x:c r="P311" s="24" t="str">
        <x:v>exact_sea_around_us</x:v>
      </x:c>
      <x:c r="Q311" s="32" t="str">
        <x:v>Sea Around Us exploited organisms</x:v>
      </x:c>
      <x:c r="R311" s="24" t="str">
        <x:v>high</x:v>
      </x:c>
      <x:c r="S311" s="24" t="str">
        <x:v>Sciaenidae</x:v>
      </x:c>
      <x:c r="T311" s="32" t="n">
        <x:f>IF(O311="","",(1/'Metadata'!$B$5)^(O311-1))</x:f>
        <x:v>575.4399373371566</x:v>
      </x:c>
      <x:c r="U311" s="31" t="n">
        <x:f>IF(T311="","",I311*T311)</x:f>
        <x:v>221.03140661776936</x:v>
      </x:c>
    </x:row>
    <x:row r="312" ht="18" customHeight="1">
      <x:c r="A312" s="24" t="str">
        <x:v>EEZ_962</x:v>
      </x:c>
      <x:c r="B312" s="24" t="str">
        <x:v>Spain (mainland, Med and Gulf of Cadiz)</x:v>
      </x:c>
      <x:c r="C312" s="24" t="str">
        <x:v>EEZ</x:v>
      </x:c>
      <x:c r="D312" s="30" t="n">
        <x:v>2019</x:v>
      </x:c>
      <x:c r="E312" s="24" t="str">
        <x:v>Makaira nigricans</x:v>
      </x:c>
      <x:c r="F312" s="24" t="str">
        <x:v>Blue marlin</x:v>
      </x:c>
      <x:c r="G312" s="24" t="str">
        <x:v>Large pelagics (&gt;=90 cm)</x:v>
      </x:c>
      <x:c r="H312" s="24" t="str">
        <x:v>Tuna &amp; billfishes</x:v>
      </x:c>
      <x:c r="I312" s="31" t="n">
        <x:v>0.3799733482</x:v>
      </x:c>
      <x:c r="J312" s="31" t="n">
        <x:v>0.3799733482</x:v>
      </x:c>
      <x:c r="K312" s="31" t="n">
        <x:v>0</x:v>
      </x:c>
      <x:c r="L312" s="31" t="n">
        <x:v>0.3799733482</x:v>
      </x:c>
      <x:c r="M312" s="31" t="n">
        <x:v>0</x:v>
      </x:c>
      <x:c r="N312" s="24" t="str">
        <x:v>makaira nigricans</x:v>
      </x:c>
      <x:c r="O312" s="32" t="n">
        <x:v>4.49</x:v>
      </x:c>
      <x:c r="P312" s="24" t="str">
        <x:v>exact_2020_supplement</x:v>
      </x:c>
      <x:c r="Q312" s="32" t="str">
        <x:v>2020 supplement MeanTL</x:v>
      </x:c>
      <x:c r="R312" s="24" t="str">
        <x:v>high</x:v>
      </x:c>
      <x:c r="S312" s="24" t="str">
        <x:v>Makaira nigricans</x:v>
      </x:c>
      <x:c r="T312" s="32" t="n">
        <x:f>IF(O312="","",(1/'Metadata'!$B$5)^(O312-1))</x:f>
        <x:v>3090.295432513592</x:v>
      </x:c>
      <x:c r="U312" s="31" t="n">
        <x:f>IF(T312="","",I312*T312)</x:f>
        <x:v>1174.2299024193567</x:v>
      </x:c>
    </x:row>
    <x:row r="313" ht="18" customHeight="1">
      <x:c r="A313" s="24" t="str">
        <x:v>EEZ_962</x:v>
      </x:c>
      <x:c r="B313" s="24" t="str">
        <x:v>Spain (mainland, Med and Gulf of Cadiz)</x:v>
      </x:c>
      <x:c r="C313" s="24" t="str">
        <x:v>EEZ</x:v>
      </x:c>
      <x:c r="D313" s="30" t="n">
        <x:v>2019</x:v>
      </x:c>
      <x:c r="E313" s="24" t="str">
        <x:v>Kajikia albida</x:v>
      </x:c>
      <x:c r="F313" s="24" t="str">
        <x:v>Atlantic white marlin</x:v>
      </x:c>
      <x:c r="G313" s="24" t="str">
        <x:v>Large pelagics (&gt;=90 cm)</x:v>
      </x:c>
      <x:c r="H313" s="24" t="str">
        <x:v>Tuna &amp; billfishes</x:v>
      </x:c>
      <x:c r="I313" s="31" t="n">
        <x:v>0.3769147931</x:v>
      </x:c>
      <x:c r="J313" s="31" t="n">
        <x:v>0.3769147931</x:v>
      </x:c>
      <x:c r="K313" s="31" t="n">
        <x:v>0</x:v>
      </x:c>
      <x:c r="L313" s="31" t="n">
        <x:v>0.3769147931</x:v>
      </x:c>
      <x:c r="M313" s="31" t="n">
        <x:v>0</x:v>
      </x:c>
      <x:c r="N313" s="24" t="str">
        <x:v>kajikia albida</x:v>
      </x:c>
      <x:c r="O313" s="32" t="n">
        <x:v>4.49</x:v>
      </x:c>
      <x:c r="P313" s="24" t="str">
        <x:v>exact_2020_supplement</x:v>
      </x:c>
      <x:c r="Q313" s="32" t="str">
        <x:v>2020 supplement MeanTL</x:v>
      </x:c>
      <x:c r="R313" s="24" t="str">
        <x:v>high</x:v>
      </x:c>
      <x:c r="S313" s="24" t="str">
        <x:v>Kajikia albida</x:v>
      </x:c>
      <x:c r="T313" s="32" t="n">
        <x:f>IF(O313="","",(1/'Metadata'!$B$5)^(O313-1))</x:f>
        <x:v>3090.295432513592</x:v>
      </x:c>
      <x:c r="U313" s="31" t="n">
        <x:f>IF(T313="","",I313*T313)</x:f>
        <x:v>1164.7780635637355</x:v>
      </x:c>
    </x:row>
    <x:row r="314" ht="18" customHeight="1">
      <x:c r="A314" s="24" t="str">
        <x:v>EEZ_962</x:v>
      </x:c>
      <x:c r="B314" s="24" t="str">
        <x:v>Spain (mainland, Med and Gulf of Cadiz)</x:v>
      </x:c>
      <x:c r="C314" s="24" t="str">
        <x:v>EEZ</x:v>
      </x:c>
      <x:c r="D314" s="30" t="n">
        <x:v>2019</x:v>
      </x:c>
      <x:c r="E314" s="24" t="str">
        <x:v>Torpedinidae</x:v>
      </x:c>
      <x:c r="F314" s="24" t="str">
        <x:v>Electric rays</x:v>
      </x:c>
      <x:c r="G314" s="24" t="str">
        <x:v>Small to medium rays (&lt;90 cm)</x:v>
      </x:c>
      <x:c r="H314" s="24" t="str">
        <x:v>Sharks &amp; rays</x:v>
      </x:c>
      <x:c r="I314" s="31" t="n">
        <x:v>0.35987619890000005</x:v>
      </x:c>
      <x:c r="J314" s="31" t="n">
        <x:v>0.25860156500000003</x:v>
      </x:c>
      <x:c r="K314" s="31" t="n">
        <x:v>0.10127463390000001</x:v>
      </x:c>
      <x:c r="L314" s="31" t="n">
        <x:v>0.25788983590000003</x:v>
      </x:c>
      <x:c r="M314" s="31" t="n">
        <x:v>0.10198636300000001</x:v>
      </x:c>
      <x:c r="N314" s="24" t="str">
        <x:v>torpedinidae</x:v>
      </x:c>
      <x:c r="O314" s="32" t="n">
        <x:v>4</x:v>
      </x:c>
      <x:c r="P314" s="24" t="str">
        <x:v>exact_sea_around_us</x:v>
      </x:c>
      <x:c r="Q314" s="32" t="str">
        <x:v>Sea Around Us exploited organisms</x:v>
      </x:c>
      <x:c r="R314" s="24" t="str">
        <x:v>high</x:v>
      </x:c>
      <x:c r="S314" s="24" t="str">
        <x:v>Torpedinidae</x:v>
      </x:c>
      <x:c r="T314" s="32" t="n">
        <x:f>IF(O314="","",(1/'Metadata'!$B$5)^(O314-1))</x:f>
        <x:v>1000</x:v>
      </x:c>
      <x:c r="U314" s="31" t="n">
        <x:f>IF(T314="","",I314*T314)</x:f>
        <x:v>359.8761989000001</x:v>
      </x:c>
    </x:row>
    <x:row r="315" ht="18" customHeight="1">
      <x:c r="A315" s="24" t="str">
        <x:v>EEZ_962</x:v>
      </x:c>
      <x:c r="B315" s="24" t="str">
        <x:v>Spain (mainland, Med and Gulf of Cadiz)</x:v>
      </x:c>
      <x:c r="C315" s="24" t="str">
        <x:v>EEZ</x:v>
      </x:c>
      <x:c r="D315" s="30" t="n">
        <x:v>2019</x:v>
      </x:c>
      <x:c r="E315" s="24" t="str">
        <x:v>Hexanchus griseus</x:v>
      </x:c>
      <x:c r="F315" s="24" t="str">
        <x:v>Bluntnose sixgill shark</x:v>
      </x:c>
      <x:c r="G315" s="24" t="str">
        <x:v>Large sharks (&gt;=90 cm)</x:v>
      </x:c>
      <x:c r="H315" s="24" t="str">
        <x:v>Sharks &amp; rays</x:v>
      </x:c>
      <x:c r="I315" s="31" t="n">
        <x:v>0.31154672559999996</x:v>
      </x:c>
      <x:c r="J315" s="31" t="n">
        <x:v>0.279107042</x:v>
      </x:c>
      <x:c r="K315" s="31" t="n">
        <x:v>0.032439683600000005</x:v>
      </x:c>
      <x:c r="L315" s="31" t="n">
        <x:v>0.2713683022</x:v>
      </x:c>
      <x:c r="M315" s="31" t="n">
        <x:v>0.0401784234</x:v>
      </x:c>
      <x:c r="N315" s="24" t="str">
        <x:v>hexanchus griseus</x:v>
      </x:c>
      <x:c r="O315" s="32" t="n">
        <x:v>4.48</x:v>
      </x:c>
      <x:c r="P315" s="24" t="str">
        <x:v>exact_2020_supplement</x:v>
      </x:c>
      <x:c r="Q315" s="32" t="str">
        <x:v>2020 supplement MeanTL</x:v>
      </x:c>
      <x:c r="R315" s="24" t="str">
        <x:v>high</x:v>
      </x:c>
      <x:c r="S315" s="24" t="str">
        <x:v>Hexanchus griseus</x:v>
      </x:c>
      <x:c r="T315" s="32" t="n">
        <x:f>IF(O315="","",(1/'Metadata'!$B$5)^(O315-1))</x:f>
        <x:v>3019.951720402019</x:v>
      </x:c>
      <x:c r="U315" s="31" t="n">
        <x:f>IF(T315="","",I315*T315)</x:f>
        <x:v>940.8560699613356</x:v>
      </x:c>
    </x:row>
    <x:row r="316" ht="18" customHeight="1">
      <x:c r="A316" s="24" t="str">
        <x:v>EEZ_962</x:v>
      </x:c>
      <x:c r="B316" s="24" t="str">
        <x:v>Spain (mainland, Med and Gulf of Cadiz)</x:v>
      </x:c>
      <x:c r="C316" s="24" t="str">
        <x:v>EEZ</x:v>
      </x:c>
      <x:c r="D316" s="30" t="n">
        <x:v>2019</x:v>
      </x:c>
      <x:c r="E316" s="24" t="str">
        <x:v>Arbacia lixula</x:v>
      </x:c>
      <x:c r="F316" s="24" t="str">
        <x:v>Black sea urchin</x:v>
      </x:c>
      <x:c r="G316" s="24" t="str">
        <x:v>Other demersal invertebrates</x:v>
      </x:c>
      <x:c r="H316" s="24" t="str">
        <x:v>Other fishes &amp; inverts</x:v>
      </x:c>
      <x:c r="I316" s="31" t="n">
        <x:v>0.2967934478</x:v>
      </x:c>
      <x:c r="J316" s="31" t="n">
        <x:v>0.000007280599999999999</x:v>
      </x:c>
      <x:c r="K316" s="31" t="n">
        <x:v>0.2967861672</x:v>
      </x:c>
      <x:c r="L316" s="31" t="n">
        <x:v>0</x:v>
      </x:c>
      <x:c r="M316" s="31" t="n">
        <x:v>0.2967934478</x:v>
      </x:c>
      <x:c r="N316" s="24" t="str">
        <x:v>arbacia lixula</x:v>
      </x:c>
      <x:c r="O316" s="32" t="n">
        <x:v>2.51</x:v>
      </x:c>
      <x:c r="P316" s="24" t="str">
        <x:v>exact_sea_around_us</x:v>
      </x:c>
      <x:c r="Q316" s="32" t="str">
        <x:v>Sea Around Us exploited organisms</x:v>
      </x:c>
      <x:c r="R316" s="24" t="str">
        <x:v>high</x:v>
      </x:c>
      <x:c r="S316" s="24" t="str">
        <x:v>Arbacia lixula</x:v>
      </x:c>
      <x:c r="T316" s="32" t="n">
        <x:f>IF(O316="","",(1/'Metadata'!$B$5)^(O316-1))</x:f>
        <x:v>32.35936569296281</x:v>
      </x:c>
      <x:c r="U316" s="31" t="n">
        <x:f>IF(T316="","",I316*T316)</x:f>
        <x:v>9.604047712635468</x:v>
      </x:c>
    </x:row>
    <x:row r="317" ht="18" customHeight="1">
      <x:c r="A317" s="24" t="str">
        <x:v>EEZ_962</x:v>
      </x:c>
      <x:c r="B317" s="24" t="str">
        <x:v>Spain (mainland, Med and Gulf of Cadiz)</x:v>
      </x:c>
      <x:c r="C317" s="24" t="str">
        <x:v>EEZ</x:v>
      </x:c>
      <x:c r="D317" s="30" t="n">
        <x:v>2019</x:v>
      </x:c>
      <x:c r="E317" s="24" t="str">
        <x:v>Spisula</x:v>
      </x:c>
      <x:c r="F317" s="24" t="str">
        <x:v>Surf clams</x:v>
      </x:c>
      <x:c r="G317" s="24" t="str">
        <x:v>Other demersal invertebrates</x:v>
      </x:c>
      <x:c r="H317" s="24" t="str">
        <x:v>Molluscs</x:v>
      </x:c>
      <x:c r="I317" s="31" t="n">
        <x:v>0.2899193686</x:v>
      </x:c>
      <x:c r="J317" s="31" t="n">
        <x:v>0.2899193686</x:v>
      </x:c>
      <x:c r="K317" s="31" t="n">
        <x:v>0</x:v>
      </x:c>
      <x:c r="L317" s="31" t="n">
        <x:v>0.0187558589</x:v>
      </x:c>
      <x:c r="M317" s="31" t="n">
        <x:v>0.2711635097</x:v>
      </x:c>
      <x:c r="N317" s="24" t="str">
        <x:v>spisula</x:v>
      </x:c>
      <x:c r="O317" s="32" t="n">
        <x:v>2</x:v>
      </x:c>
      <x:c r="P317" s="24" t="str">
        <x:v>exact_sea_around_us</x:v>
      </x:c>
      <x:c r="Q317" s="32" t="str">
        <x:v>Sea Around Us exploited organisms</x:v>
      </x:c>
      <x:c r="R317" s="24" t="str">
        <x:v>high</x:v>
      </x:c>
      <x:c r="S317" s="24" t="str">
        <x:v>Spisula</x:v>
      </x:c>
      <x:c r="T317" s="32" t="n">
        <x:f>IF(O317="","",(1/'Metadata'!$B$5)^(O317-1))</x:f>
        <x:v>10</x:v>
      </x:c>
      <x:c r="U317" s="31" t="n">
        <x:f>IF(T317="","",I317*T317)</x:f>
        <x:v>2.8991936860000003</x:v>
      </x:c>
    </x:row>
    <x:row r="318" ht="18" customHeight="1">
      <x:c r="A318" s="24" t="str">
        <x:v>EEZ_962</x:v>
      </x:c>
      <x:c r="B318" s="24" t="str">
        <x:v>Spain (mainland, Med and Gulf of Cadiz)</x:v>
      </x:c>
      <x:c r="C318" s="24" t="str">
        <x:v>EEZ</x:v>
      </x:c>
      <x:c r="D318" s="30" t="n">
        <x:v>2019</x:v>
      </x:c>
      <x:c r="E318" s="24" t="str">
        <x:v>Trachinotus</x:v>
      </x:c>
      <x:c r="F318" s="24" t="str">
        <x:v>Pompanos</x:v>
      </x:c>
      <x:c r="G318" s="24" t="str">
        <x:v>Medium pelagics (30 - 89 cm)</x:v>
      </x:c>
      <x:c r="H318" s="24" t="str">
        <x:v>Perch-likes</x:v>
      </x:c>
      <x:c r="I318" s="31" t="n">
        <x:v>0.2758023278</x:v>
      </x:c>
      <x:c r="J318" s="31" t="n">
        <x:v>0.0960181733</x:v>
      </x:c>
      <x:c r="K318" s="31" t="n">
        <x:v>0.17978415450000002</x:v>
      </x:c>
      <x:c r="L318" s="31" t="n">
        <x:v>0.0785095845</x:v>
      </x:c>
      <x:c r="M318" s="31" t="n">
        <x:v>0.19729274330000002</x:v>
      </x:c>
      <x:c r="N318" s="24" t="str">
        <x:v>trachinotus</x:v>
      </x:c>
      <x:c r="O318" s="32" t="n">
        <x:v>3.69</x:v>
      </x:c>
      <x:c r="P318" s="24" t="str">
        <x:v>exact_sea_around_us</x:v>
      </x:c>
      <x:c r="Q318" s="32" t="str">
        <x:v>Sea Around Us exploited organisms</x:v>
      </x:c>
      <x:c r="R318" s="24" t="str">
        <x:v>high</x:v>
      </x:c>
      <x:c r="S318" s="24" t="str">
        <x:v>Trachinotus</x:v>
      </x:c>
      <x:c r="T318" s="32" t="n">
        <x:f>IF(O318="","",(1/'Metadata'!$B$5)^(O318-1))</x:f>
        <x:v>489.77881936844614</x:v>
      </x:c>
      <x:c r="U318" s="31" t="n">
        <x:f>IF(T318="","",I318*T318)</x:f>
        <x:v>135.08213848895318</x:v>
      </x:c>
    </x:row>
    <x:row r="319" ht="18" customHeight="1">
      <x:c r="A319" s="24" t="str">
        <x:v>EEZ_962</x:v>
      </x:c>
      <x:c r="B319" s="24" t="str">
        <x:v>Spain (mainland, Med and Gulf of Cadiz)</x:v>
      </x:c>
      <x:c r="C319" s="24" t="str">
        <x:v>EEZ</x:v>
      </x:c>
      <x:c r="D319" s="30" t="n">
        <x:v>2019</x:v>
      </x:c>
      <x:c r="E319" s="24" t="str">
        <x:v>Cerastoderma edule</x:v>
      </x:c>
      <x:c r="F319" s="24" t="str">
        <x:v>Common cockle</x:v>
      </x:c>
      <x:c r="G319" s="24" t="str">
        <x:v>Other demersal invertebrates</x:v>
      </x:c>
      <x:c r="H319" s="24" t="str">
        <x:v>Molluscs</x:v>
      </x:c>
      <x:c r="I319" s="31" t="n">
        <x:v>0.2717465155</x:v>
      </x:c>
      <x:c r="J319" s="31" t="n">
        <x:v>0.10074459</x:v>
      </x:c>
      <x:c r="K319" s="31" t="n">
        <x:v>0.1710019255</x:v>
      </x:c>
      <x:c r="L319" s="31" t="n">
        <x:v>0.0608747174</x:v>
      </x:c>
      <x:c r="M319" s="31" t="n">
        <x:v>0.2108717981</x:v>
      </x:c>
      <x:c r="N319" s="24" t="str">
        <x:v>cerastoderma edule</x:v>
      </x:c>
      <x:c r="O319" s="32" t="n">
        <x:v>2</x:v>
      </x:c>
      <x:c r="P319" s="24" t="str">
        <x:v>exact_2020_supplement</x:v>
      </x:c>
      <x:c r="Q319" s="32" t="str">
        <x:v>2020 supplement MeanTL</x:v>
      </x:c>
      <x:c r="R319" s="24" t="str">
        <x:v>high</x:v>
      </x:c>
      <x:c r="S319" s="24" t="str">
        <x:v>Cerastoderma edule</x:v>
      </x:c>
      <x:c r="T319" s="32" t="n">
        <x:f>IF(O319="","",(1/'Metadata'!$B$5)^(O319-1))</x:f>
        <x:v>10</x:v>
      </x:c>
      <x:c r="U319" s="31" t="n">
        <x:f>IF(T319="","",I319*T319)</x:f>
        <x:v>2.717465155</x:v>
      </x:c>
    </x:row>
    <x:row r="320" ht="18" customHeight="1">
      <x:c r="A320" s="24" t="str">
        <x:v>EEZ_962</x:v>
      </x:c>
      <x:c r="B320" s="24" t="str">
        <x:v>Spain (mainland, Med and Gulf of Cadiz)</x:v>
      </x:c>
      <x:c r="C320" s="24" t="str">
        <x:v>EEZ</x:v>
      </x:c>
      <x:c r="D320" s="30" t="n">
        <x:v>2019</x:v>
      </x:c>
      <x:c r="E320" s="24" t="str">
        <x:v>Tetrapturus pfluegeri</x:v>
      </x:c>
      <x:c r="F320" s="24" t="str">
        <x:v>Longbill spearfish</x:v>
      </x:c>
      <x:c r="G320" s="24" t="str">
        <x:v>Large pelagics (&gt;=90 cm)</x:v>
      </x:c>
      <x:c r="H320" s="24" t="str">
        <x:v>Tuna &amp; billfishes</x:v>
      </x:c>
      <x:c r="I320" s="31" t="n">
        <x:v>0.2506002634</x:v>
      </x:c>
      <x:c r="J320" s="31" t="n">
        <x:v>0.2506002634</x:v>
      </x:c>
      <x:c r="K320" s="31" t="n">
        <x:v>0</x:v>
      </x:c>
      <x:c r="L320" s="31" t="n">
        <x:v>0.2506002634</x:v>
      </x:c>
      <x:c r="M320" s="31" t="n">
        <x:v>0</x:v>
      </x:c>
      <x:c r="N320" s="24" t="str">
        <x:v>tetrapturus pfluegeri</x:v>
      </x:c>
      <x:c r="O320" s="32" t="n">
        <x:v>4.4</x:v>
      </x:c>
      <x:c r="P320" s="24" t="str">
        <x:v>exact_2020_supplement</x:v>
      </x:c>
      <x:c r="Q320" s="32" t="str">
        <x:v>2020 supplement MeanTL</x:v>
      </x:c>
      <x:c r="R320" s="24" t="str">
        <x:v>high</x:v>
      </x:c>
      <x:c r="S320" s="24" t="str">
        <x:v>Tetrapturus pfluegeri</x:v>
      </x:c>
      <x:c r="T320" s="32" t="n">
        <x:f>IF(O320="","",(1/'Metadata'!$B$5)^(O320-1))</x:f>
        <x:v>2511.886431509582</x:v>
      </x:c>
      <x:c r="U320" s="31" t="n">
        <x:f>IF(T320="","",I320*T320)</x:f>
        <x:v>629.4794013671874</x:v>
      </x:c>
    </x:row>
    <x:row r="321" ht="18" customHeight="1">
      <x:c r="A321" s="24" t="str">
        <x:v>EEZ_962</x:v>
      </x:c>
      <x:c r="B321" s="24" t="str">
        <x:v>Spain (mainland, Med and Gulf of Cadiz)</x:v>
      </x:c>
      <x:c r="C321" s="24" t="str">
        <x:v>EEZ</x:v>
      </x:c>
      <x:c r="D321" s="30" t="n">
        <x:v>2019</x:v>
      </x:c>
      <x:c r="E321" s="24" t="str">
        <x:v>Bothidae</x:v>
      </x:c>
      <x:c r="F321" s="24" t="str">
        <x:v>Lefteye flounders</x:v>
      </x:c>
      <x:c r="G321" s="24" t="str">
        <x:v>Small to medium flatfishes (&lt;90 cm)</x:v>
      </x:c>
      <x:c r="H321" s="24" t="str">
        <x:v>Flatfishes</x:v>
      </x:c>
      <x:c r="I321" s="31" t="n">
        <x:v>0.2273876162</x:v>
      </x:c>
      <x:c r="J321" s="31" t="n">
        <x:v>0.2176193586</x:v>
      </x:c>
      <x:c r="K321" s="31" t="n">
        <x:v>0.0097682576</x:v>
      </x:c>
      <x:c r="L321" s="31" t="n">
        <x:v>0.21718956730000002</x:v>
      </x:c>
      <x:c r="M321" s="31" t="n">
        <x:v>0.010198048900000001</x:v>
      </x:c>
      <x:c r="N321" s="24" t="str">
        <x:v>bothidae</x:v>
      </x:c>
      <x:c r="O321" s="32" t="n">
        <x:v>3.77</x:v>
      </x:c>
      <x:c r="P321" s="24" t="str">
        <x:v>exact_sea_around_us</x:v>
      </x:c>
      <x:c r="Q321" s="32" t="str">
        <x:v>Sea Around Us exploited organisms</x:v>
      </x:c>
      <x:c r="R321" s="24" t="str">
        <x:v>high</x:v>
      </x:c>
      <x:c r="S321" s="24" t="str">
        <x:v>Bothidae</x:v>
      </x:c>
      <x:c r="T321" s="32" t="n">
        <x:f>IF(O321="","",(1/'Metadata'!$B$5)^(O321-1))</x:f>
        <x:v>588.843655355589</x:v>
      </x:c>
      <x:c r="U321" s="31" t="n">
        <x:f>IF(T321="","",I321*T321)</x:f>
        <x:v>133.89575510580175</x:v>
      </x:c>
    </x:row>
    <x:row r="322" ht="18" customHeight="1">
      <x:c r="A322" s="24" t="str">
        <x:v>EEZ_962</x:v>
      </x:c>
      <x:c r="B322" s="24" t="str">
        <x:v>Spain (mainland, Med and Gulf of Cadiz)</x:v>
      </x:c>
      <x:c r="C322" s="24" t="str">
        <x:v>EEZ</x:v>
      </x:c>
      <x:c r="D322" s="30" t="n">
        <x:v>2019</x:v>
      </x:c>
      <x:c r="E322" s="24" t="str">
        <x:v>Acipenseridae</x:v>
      </x:c>
      <x:c r="F322" s="24" t="str">
        <x:v>Sturgeons</x:v>
      </x:c>
      <x:c r="G322" s="24" t="str">
        <x:v>Large demersals (&gt;=90 cm)</x:v>
      </x:c>
      <x:c r="H322" s="24" t="str">
        <x:v>Other fishes &amp; inverts</x:v>
      </x:c>
      <x:c r="I322" s="31" t="n">
        <x:v>0.21946009489999999</x:v>
      </x:c>
      <x:c r="J322" s="31" t="n">
        <x:v>0.1958163815</x:v>
      </x:c>
      <x:c r="K322" s="31" t="n">
        <x:v>0.0236437134</x:v>
      </x:c>
      <x:c r="L322" s="31" t="n">
        <x:v>0.1958163815</x:v>
      </x:c>
      <x:c r="M322" s="31" t="n">
        <x:v>0.0236437134</x:v>
      </x:c>
      <x:c r="N322" s="24" t="str">
        <x:v>acipenseridae</x:v>
      </x:c>
      <x:c r="O322" s="32" t="n">
        <x:v>3.6</x:v>
      </x:c>
      <x:c r="P322" s="24" t="str">
        <x:v>exact_sea_around_us</x:v>
      </x:c>
      <x:c r="Q322" s="32" t="str">
        <x:v>Sea Around Us exploited organisms</x:v>
      </x:c>
      <x:c r="R322" s="24" t="str">
        <x:v>high</x:v>
      </x:c>
      <x:c r="S322" s="24" t="str">
        <x:v>Acipenseridae</x:v>
      </x:c>
      <x:c r="T322" s="32" t="n">
        <x:f>IF(O322="","",(1/'Metadata'!$B$5)^(O322-1))</x:f>
        <x:v>398.1071705534973</x:v>
      </x:c>
      <x:c r="U322" s="31" t="n">
        <x:f>IF(T322="","",I322*T322)</x:f>
        <x:v>87.368637430041</x:v>
      </x:c>
    </x:row>
    <x:row r="323" ht="18" customHeight="1">
      <x:c r="A323" s="24" t="str">
        <x:v>EEZ_962</x:v>
      </x:c>
      <x:c r="B323" s="24" t="str">
        <x:v>Spain (mainland, Med and Gulf of Cadiz)</x:v>
      </x:c>
      <x:c r="C323" s="24" t="str">
        <x:v>EEZ</x:v>
      </x:c>
      <x:c r="D323" s="30" t="n">
        <x:v>2019</x:v>
      </x:c>
      <x:c r="E323" s="24" t="str">
        <x:v>Coryphaena</x:v>
      </x:c>
      <x:c r="F323" s="24" t="str">
        <x:v>Dolphinfishes</x:v>
      </x:c>
      <x:c r="G323" s="24" t="str">
        <x:v>Large pelagics (&gt;=90 cm)</x:v>
      </x:c>
      <x:c r="H323" s="24" t="str">
        <x:v>Perch-likes</x:v>
      </x:c>
      <x:c r="I323" s="31" t="n">
        <x:v>0.2003338669</x:v>
      </x:c>
      <x:c r="J323" s="31" t="n">
        <x:v>0.2003338669</x:v>
      </x:c>
      <x:c r="K323" s="31" t="n">
        <x:v>0</x:v>
      </x:c>
      <x:c r="L323" s="31" t="n">
        <x:v>0.2003338669</x:v>
      </x:c>
      <x:c r="M323" s="31" t="n">
        <x:v>0</x:v>
      </x:c>
      <x:c r="N323" s="24" t="str">
        <x:v>coryphaena</x:v>
      </x:c>
      <x:c r="O323" s="32" t="n">
        <x:v>4.49</x:v>
      </x:c>
      <x:c r="P323" s="24" t="str">
        <x:v>exact_sea_around_us</x:v>
      </x:c>
      <x:c r="Q323" s="32" t="str">
        <x:v>Sea Around Us exploited organisms</x:v>
      </x:c>
      <x:c r="R323" s="24" t="str">
        <x:v>high</x:v>
      </x:c>
      <x:c r="S323" s="24" t="str">
        <x:v>Coryphaena</x:v>
      </x:c>
      <x:c r="T323" s="32" t="n">
        <x:f>IF(O323="","",(1/'Metadata'!$B$5)^(O323-1))</x:f>
        <x:v>3090.295432513592</x:v>
      </x:c>
      <x:c r="U323" s="31" t="n">
        <x:f>IF(T323="","",I323*T323)</x:f>
        <x:v>619.0908338588558</x:v>
      </x:c>
    </x:row>
    <x:row r="324" ht="18" customHeight="1">
      <x:c r="A324" s="24" t="str">
        <x:v>EEZ_962</x:v>
      </x:c>
      <x:c r="B324" s="24" t="str">
        <x:v>Spain (mainland, Med and Gulf of Cadiz)</x:v>
      </x:c>
      <x:c r="C324" s="24" t="str">
        <x:v>EEZ</x:v>
      </x:c>
      <x:c r="D324" s="30" t="n">
        <x:v>2019</x:v>
      </x:c>
      <x:c r="E324" s="24" t="str">
        <x:v>Thunnus obesus</x:v>
      </x:c>
      <x:c r="F324" s="24" t="str">
        <x:v>Bigeye tuna</x:v>
      </x:c>
      <x:c r="G324" s="24" t="str">
        <x:v>Large pelagics (&gt;=90 cm)</x:v>
      </x:c>
      <x:c r="H324" s="24" t="str">
        <x:v>Tuna &amp; billfishes</x:v>
      </x:c>
      <x:c r="I324" s="31" t="n">
        <x:v>0.1940514261</x:v>
      </x:c>
      <x:c r="J324" s="31" t="n">
        <x:v>0.1940514261</x:v>
      </x:c>
      <x:c r="K324" s="31" t="n">
        <x:v>0</x:v>
      </x:c>
      <x:c r="L324" s="31" t="n">
        <x:v>0.1940514261</x:v>
      </x:c>
      <x:c r="M324" s="31" t="n">
        <x:v>0</x:v>
      </x:c>
      <x:c r="N324" s="24" t="str">
        <x:v>thunnus obesus</x:v>
      </x:c>
      <x:c r="O324" s="32" t="n">
        <x:v>4.49</x:v>
      </x:c>
      <x:c r="P324" s="24" t="str">
        <x:v>exact_2020_supplement</x:v>
      </x:c>
      <x:c r="Q324" s="32" t="str">
        <x:v>2020 supplement MeanTL</x:v>
      </x:c>
      <x:c r="R324" s="24" t="str">
        <x:v>high</x:v>
      </x:c>
      <x:c r="S324" s="24" t="str">
        <x:v>Thunnus obesus</x:v>
      </x:c>
      <x:c r="T324" s="32" t="n">
        <x:f>IF(O324="","",(1/'Metadata'!$B$5)^(O324-1))</x:f>
        <x:v>3090.295432513592</x:v>
      </x:c>
      <x:c r="U324" s="31" t="n">
        <x:f>IF(T324="","",I324*T324)</x:f>
        <x:v>599.6762357495788</x:v>
      </x:c>
    </x:row>
    <x:row r="325" ht="18" customHeight="1">
      <x:c r="A325" s="24" t="str">
        <x:v>EEZ_962</x:v>
      </x:c>
      <x:c r="B325" s="24" t="str">
        <x:v>Spain (mainland, Med and Gulf of Cadiz)</x:v>
      </x:c>
      <x:c r="C325" s="24" t="str">
        <x:v>EEZ</x:v>
      </x:c>
      <x:c r="D325" s="30" t="n">
        <x:v>2019</x:v>
      </x:c>
      <x:c r="E325" s="24" t="str">
        <x:v>Mactridae</x:v>
      </x:c>
      <x:c r="F325" s="24" t="str">
        <x:v>Mactra surf clams</x:v>
      </x:c>
      <x:c r="G325" s="24" t="str">
        <x:v>Other demersal invertebrates</x:v>
      </x:c>
      <x:c r="H325" s="24" t="str">
        <x:v>Molluscs</x:v>
      </x:c>
      <x:c r="I325" s="31" t="n">
        <x:v>0.1800700061</x:v>
      </x:c>
      <x:c r="J325" s="31" t="n">
        <x:v>0.1564868395</x:v>
      </x:c>
      <x:c r="K325" s="31" t="n">
        <x:v>0.0235831666</x:v>
      </x:c>
      <x:c r="L325" s="31" t="n">
        <x:v>0.1564868395</x:v>
      </x:c>
      <x:c r="M325" s="31" t="n">
        <x:v>0.0235831666</x:v>
      </x:c>
      <x:c r="N325" s="24" t="str">
        <x:v>mactridae</x:v>
      </x:c>
      <x:c r="O325" s="32" t="n">
        <x:v>2</x:v>
      </x:c>
      <x:c r="P325" s="24" t="str">
        <x:v>exact_sea_around_us</x:v>
      </x:c>
      <x:c r="Q325" s="32" t="str">
        <x:v>Sea Around Us exploited organisms</x:v>
      </x:c>
      <x:c r="R325" s="24" t="str">
        <x:v>high</x:v>
      </x:c>
      <x:c r="S325" s="24" t="str">
        <x:v>Mactridae</x:v>
      </x:c>
      <x:c r="T325" s="32" t="n">
        <x:f>IF(O325="","",(1/'Metadata'!$B$5)^(O325-1))</x:f>
        <x:v>10</x:v>
      </x:c>
      <x:c r="U325" s="31" t="n">
        <x:f>IF(T325="","",I325*T325)</x:f>
        <x:v>1.8007000610000001</x:v>
      </x:c>
    </x:row>
    <x:row r="326" ht="18" customHeight="1">
      <x:c r="A326" s="24" t="str">
        <x:v>EEZ_962</x:v>
      </x:c>
      <x:c r="B326" s="24" t="str">
        <x:v>Spain (mainland, Med and Gulf of Cadiz)</x:v>
      </x:c>
      <x:c r="C326" s="24" t="str">
        <x:v>EEZ</x:v>
      </x:c>
      <x:c r="D326" s="30" t="n">
        <x:v>2019</x:v>
      </x:c>
      <x:c r="E326" s="24" t="str">
        <x:v>Chondrichthyes</x:v>
      </x:c>
      <x:c r="F326" s="24" t="str">
        <x:v>Sharks, rays, chimaeras</x:v>
      </x:c>
      <x:c r="G326" s="24" t="str">
        <x:v>Large sharks (&gt;=90 cm)</x:v>
      </x:c>
      <x:c r="H326" s="24" t="str">
        <x:v>Sharks &amp; rays</x:v>
      </x:c>
      <x:c r="I326" s="31" t="n">
        <x:v>0.175350842</x:v>
      </x:c>
      <x:c r="J326" s="31" t="n">
        <x:v>0.0555331497</x:v>
      </x:c>
      <x:c r="K326" s="31" t="n">
        <x:v>0.1198176923</x:v>
      </x:c>
      <x:c r="L326" s="31" t="n">
        <x:v>0.0318665327</x:v>
      </x:c>
      <x:c r="M326" s="31" t="n">
        <x:v>0.1434843093</x:v>
      </x:c>
      <x:c r="N326" s="24" t="str">
        <x:v>chondrichthyes</x:v>
      </x:c>
      <x:c r="O326" s="32" t="n">
        <x:v>4</x:v>
      </x:c>
      <x:c r="P326" s="24" t="str">
        <x:v>exact_sea_around_us</x:v>
      </x:c>
      <x:c r="Q326" s="32" t="str">
        <x:v>Sea Around Us exploited organisms</x:v>
      </x:c>
      <x:c r="R326" s="24" t="str">
        <x:v>high</x:v>
      </x:c>
      <x:c r="S326" s="24" t="str">
        <x:v>Chondrichthyes</x:v>
      </x:c>
      <x:c r="T326" s="32" t="n">
        <x:f>IF(O326="","",(1/'Metadata'!$B$5)^(O326-1))</x:f>
        <x:v>1000</x:v>
      </x:c>
      <x:c r="U326" s="31" t="n">
        <x:f>IF(T326="","",I326*T326)</x:f>
        <x:v>175.350842</x:v>
      </x:c>
    </x:row>
    <x:row r="327" ht="18" customHeight="1">
      <x:c r="A327" s="24" t="str">
        <x:v>EEZ_962</x:v>
      </x:c>
      <x:c r="B327" s="24" t="str">
        <x:v>Spain (mainland, Med and Gulf of Cadiz)</x:v>
      </x:c>
      <x:c r="C327" s="24" t="str">
        <x:v>EEZ</x:v>
      </x:c>
      <x:c r="D327" s="30" t="n">
        <x:v>2019</x:v>
      </x:c>
      <x:c r="E327" s="24" t="str">
        <x:v>Sprattus sprattus</x:v>
      </x:c>
      <x:c r="F327" s="24" t="str">
        <x:v>European sprat</x:v>
      </x:c>
      <x:c r="G327" s="24" t="str">
        <x:v>Small pelagics (&lt;30 cm)</x:v>
      </x:c>
      <x:c r="H327" s="24" t="str">
        <x:v>Herring-likes</x:v>
      </x:c>
      <x:c r="I327" s="31" t="n">
        <x:v>0.1524229056</x:v>
      </x:c>
      <x:c r="J327" s="31" t="n">
        <x:v>0.1448784319</x:v>
      </x:c>
      <x:c r="K327" s="31" t="n">
        <x:v>0.0075444737</x:v>
      </x:c>
      <x:c r="L327" s="31" t="n">
        <x:v>0.14026417459999999</x:v>
      </x:c>
      <x:c r="M327" s="31" t="n">
        <x:v>0.012158730999999999</x:v>
      </x:c>
      <x:c r="N327" s="24" t="str">
        <x:v>sprattus sprattus</x:v>
      </x:c>
      <x:c r="O327" s="32" t="n">
        <x:v>3.01</x:v>
      </x:c>
      <x:c r="P327" s="24" t="str">
        <x:v>exact_2020_supplement</x:v>
      </x:c>
      <x:c r="Q327" s="32" t="str">
        <x:v>2020 supplement MeanTL</x:v>
      </x:c>
      <x:c r="R327" s="24" t="str">
        <x:v>high</x:v>
      </x:c>
      <x:c r="S327" s="24" t="str">
        <x:v>Sprattus sprattus</x:v>
      </x:c>
      <x:c r="T327" s="32" t="n">
        <x:f>IF(O327="","",(1/'Metadata'!$B$5)^(O327-1))</x:f>
        <x:v>102.32929922807536</x:v>
      </x:c>
      <x:c r="U327" s="31" t="n">
        <x:f>IF(T327="","",I327*T327)</x:f>
        <x:v>15.597329116355082</x:v>
      </x:c>
    </x:row>
    <x:row r="328" ht="18" customHeight="1">
      <x:c r="A328" s="24" t="str">
        <x:v>EEZ_962</x:v>
      </x:c>
      <x:c r="B328" s="24" t="str">
        <x:v>Spain (mainland, Med and Gulf of Cadiz)</x:v>
      </x:c>
      <x:c r="C328" s="24" t="str">
        <x:v>EEZ</x:v>
      </x:c>
      <x:c r="D328" s="30" t="n">
        <x:v>2019</x:v>
      </x:c>
      <x:c r="E328" s="24" t="str">
        <x:v>Aphanopus</x:v>
      </x:c>
      <x:c r="F328" s="24" t="str">
        <x:v>Scabbardfishes</x:v>
      </x:c>
      <x:c r="G328" s="24" t="str">
        <x:v>Large benthopelagics (&gt;=90 cm)</x:v>
      </x:c>
      <x:c r="H328" s="24" t="str">
        <x:v>Perch-likes</x:v>
      </x:c>
      <x:c r="I328" s="31" t="n">
        <x:v>0.1375917394</x:v>
      </x:c>
      <x:c r="J328" s="31" t="n">
        <x:v>0.11917055169999999</x:v>
      </x:c>
      <x:c r="K328" s="31" t="n">
        <x:v>0.0184211877</x:v>
      </x:c>
      <x:c r="L328" s="31" t="n">
        <x:v>0.1159601649</x:v>
      </x:c>
      <x:c r="M328" s="31" t="n">
        <x:v>0.0216315745</x:v>
      </x:c>
      <x:c r="N328" s="24" t="str">
        <x:v>aphanopus</x:v>
      </x:c>
      <x:c r="O328" s="32" t="n">
        <x:v>4.3</x:v>
      </x:c>
      <x:c r="P328" s="24" t="str">
        <x:v>exact_sea_around_us</x:v>
      </x:c>
      <x:c r="Q328" s="32" t="str">
        <x:v>Sea Around Us exploited organisms</x:v>
      </x:c>
      <x:c r="R328" s="24" t="str">
        <x:v>high</x:v>
      </x:c>
      <x:c r="S328" s="24" t="str">
        <x:v>Aphanopus</x:v>
      </x:c>
      <x:c r="T328" s="32" t="n">
        <x:f>IF(O328="","",(1/'Metadata'!$B$5)^(O328-1))</x:f>
        <x:v>1995.2623149688789</x:v>
      </x:c>
      <x:c r="U328" s="31" t="n">
        <x:f>IF(T328="","",I328*T328)</x:f>
        <x:v>274.5316124758387</x:v>
      </x:c>
    </x:row>
    <x:row r="329" ht="18" customHeight="1">
      <x:c r="A329" s="24" t="str">
        <x:v>EEZ_962</x:v>
      </x:c>
      <x:c r="B329" s="24" t="str">
        <x:v>Spain (mainland, Med and Gulf of Cadiz)</x:v>
      </x:c>
      <x:c r="C329" s="24" t="str">
        <x:v>EEZ</x:v>
      </x:c>
      <x:c r="D329" s="30" t="n">
        <x:v>2019</x:v>
      </x:c>
      <x:c r="E329" s="24" t="str">
        <x:v>Arca noae</x:v>
      </x:c>
      <x:c r="F329" s="24" t="str">
        <x:v>Noah's ark</x:v>
      </x:c>
      <x:c r="G329" s="24" t="str">
        <x:v>Other demersal invertebrates</x:v>
      </x:c>
      <x:c r="H329" s="24" t="str">
        <x:v>Molluscs</x:v>
      </x:c>
      <x:c r="I329" s="31" t="n">
        <x:v>0.1296398171</x:v>
      </x:c>
      <x:c r="J329" s="31" t="n">
        <x:v>0.005999276299999999</x:v>
      </x:c>
      <x:c r="K329" s="31" t="n">
        <x:v>0.1236405408</x:v>
      </x:c>
      <x:c r="L329" s="31" t="n">
        <x:v>0.005999276299999999</x:v>
      </x:c>
      <x:c r="M329" s="31" t="n">
        <x:v>0.1236405408</x:v>
      </x:c>
      <x:c r="N329" s="24" t="str">
        <x:v>arca noae</x:v>
      </x:c>
      <x:c r="O329" s="32" t="n">
        <x:v>2</x:v>
      </x:c>
      <x:c r="P329" s="24" t="str">
        <x:v>exact_sea_around_us</x:v>
      </x:c>
      <x:c r="Q329" s="32" t="str">
        <x:v>Sea Around Us exploited organisms</x:v>
      </x:c>
      <x:c r="R329" s="24" t="str">
        <x:v>high</x:v>
      </x:c>
      <x:c r="S329" s="24" t="str">
        <x:v>Arca noae</x:v>
      </x:c>
      <x:c r="T329" s="32" t="n">
        <x:f>IF(O329="","",(1/'Metadata'!$B$5)^(O329-1))</x:f>
        <x:v>10</x:v>
      </x:c>
      <x:c r="U329" s="31" t="n">
        <x:f>IF(T329="","",I329*T329)</x:f>
        <x:v>1.2963981709999999</x:v>
      </x:c>
    </x:row>
    <x:row r="330" ht="18" customHeight="1">
      <x:c r="A330" s="24" t="str">
        <x:v>EEZ_962</x:v>
      </x:c>
      <x:c r="B330" s="24" t="str">
        <x:v>Spain (mainland, Med and Gulf of Cadiz)</x:v>
      </x:c>
      <x:c r="C330" s="24" t="str">
        <x:v>EEZ</x:v>
      </x:c>
      <x:c r="D330" s="30" t="n">
        <x:v>2019</x:v>
      </x:c>
      <x:c r="E330" s="24" t="str">
        <x:v>Cardiidae</x:v>
      </x:c>
      <x:c r="F330" s="24" t="str">
        <x:v>Cockles</x:v>
      </x:c>
      <x:c r="G330" s="24" t="str">
        <x:v>Other demersal invertebrates</x:v>
      </x:c>
      <x:c r="H330" s="24" t="str">
        <x:v>Molluscs</x:v>
      </x:c>
      <x:c r="I330" s="31" t="n">
        <x:v>0.1197674421</x:v>
      </x:c>
      <x:c r="J330" s="31" t="n">
        <x:v>0.1197674421</x:v>
      </x:c>
      <x:c r="K330" s="31" t="n">
        <x:v>0</x:v>
      </x:c>
      <x:c r="L330" s="31" t="n">
        <x:v>0.1197674421</x:v>
      </x:c>
      <x:c r="M330" s="31" t="n">
        <x:v>0</x:v>
      </x:c>
      <x:c r="N330" s="24" t="str">
        <x:v>cardiidae</x:v>
      </x:c>
      <x:c r="O330" s="32" t="n">
        <x:v>2</x:v>
      </x:c>
      <x:c r="P330" s="24" t="str">
        <x:v>exact_sea_around_us</x:v>
      </x:c>
      <x:c r="Q330" s="32" t="str">
        <x:v>Sea Around Us exploited organisms</x:v>
      </x:c>
      <x:c r="R330" s="24" t="str">
        <x:v>high</x:v>
      </x:c>
      <x:c r="S330" s="24" t="str">
        <x:v>Cardiidae</x:v>
      </x:c>
      <x:c r="T330" s="32" t="n">
        <x:f>IF(O330="","",(1/'Metadata'!$B$5)^(O330-1))</x:f>
        <x:v>10</x:v>
      </x:c>
      <x:c r="U330" s="31" t="n">
        <x:f>IF(T330="","",I330*T330)</x:f>
        <x:v>1.1976744209999999</x:v>
      </x:c>
    </x:row>
    <x:row r="331" ht="18" customHeight="1">
      <x:c r="A331" s="24" t="str">
        <x:v>EEZ_962</x:v>
      </x:c>
      <x:c r="B331" s="24" t="str">
        <x:v>Spain (mainland, Med and Gulf of Cadiz)</x:v>
      </x:c>
      <x:c r="C331" s="24" t="str">
        <x:v>EEZ</x:v>
      </x:c>
      <x:c r="D331" s="30" t="n">
        <x:v>2019</x:v>
      </x:c>
      <x:c r="E331" s="24" t="str">
        <x:v>Arnoglossus laterna</x:v>
      </x:c>
      <x:c r="F331" s="24" t="str">
        <x:v>Mediterranean scaldfish</x:v>
      </x:c>
      <x:c r="G331" s="24" t="str">
        <x:v>Small to medium flatfishes (&lt;90 cm)</x:v>
      </x:c>
      <x:c r="H331" s="24" t="str">
        <x:v>Flatfishes</x:v>
      </x:c>
      <x:c r="I331" s="31" t="n">
        <x:v>0.11365423499999999</x:v>
      </x:c>
      <x:c r="J331" s="31" t="n">
        <x:v>0.11365423499999999</x:v>
      </x:c>
      <x:c r="K331" s="31" t="n">
        <x:v>0</x:v>
      </x:c>
      <x:c r="L331" s="31" t="n">
        <x:v>0.0470117538</x:v>
      </x:c>
      <x:c r="M331" s="31" t="n">
        <x:v>0.06664248119999999</x:v>
      </x:c>
      <x:c r="N331" s="24" t="str">
        <x:v>arnoglossus laterna</x:v>
      </x:c>
      <x:c r="O331" s="32" t="n">
        <x:v>3.59</x:v>
      </x:c>
      <x:c r="P331" s="24" t="str">
        <x:v>exact_2020_supplement</x:v>
      </x:c>
      <x:c r="Q331" s="32" t="str">
        <x:v>2020 supplement MeanTL</x:v>
      </x:c>
      <x:c r="R331" s="24" t="str">
        <x:v>high</x:v>
      </x:c>
      <x:c r="S331" s="24" t="str">
        <x:v>Arnoglossus laterna</x:v>
      </x:c>
      <x:c r="T331" s="32" t="n">
        <x:f>IF(O331="","",(1/'Metadata'!$B$5)^(O331-1))</x:f>
        <x:v>389.04514499428046</x:v>
      </x:c>
      <x:c r="U331" s="31" t="n">
        <x:f>IF(T331="","",I331*T331)</x:f>
        <x:v>44.21662833478902</x:v>
      </x:c>
    </x:row>
    <x:row r="332" ht="18" customHeight="1">
      <x:c r="A332" s="24" t="str">
        <x:v>EEZ_962</x:v>
      </x:c>
      <x:c r="B332" s="24" t="str">
        <x:v>Spain (mainland, Med and Gulf of Cadiz)</x:v>
      </x:c>
      <x:c r="C332" s="24" t="str">
        <x:v>EEZ</x:v>
      </x:c>
      <x:c r="D332" s="30" t="n">
        <x:v>2019</x:v>
      </x:c>
      <x:c r="E332" s="24" t="str">
        <x:v>Oxynotus centrina</x:v>
      </x:c>
      <x:c r="F332" s="24" t="str">
        <x:v>Angular roughshark</x:v>
      </x:c>
      <x:c r="G332" s="24" t="str">
        <x:v>Large sharks (&gt;=90 cm)</x:v>
      </x:c>
      <x:c r="H332" s="24" t="str">
        <x:v>Sharks &amp; rays</x:v>
      </x:c>
      <x:c r="I332" s="31" t="n">
        <x:v>0.1084327019</x:v>
      </x:c>
      <x:c r="J332" s="31" t="n">
        <x:v>0.013550229399999999</x:v>
      </x:c>
      <x:c r="K332" s="31" t="n">
        <x:v>0.0948824725</x:v>
      </x:c>
      <x:c r="L332" s="31" t="n">
        <x:v>0.0027708804</x:v>
      </x:c>
      <x:c r="M332" s="31" t="n">
        <x:v>0.1056618215</x:v>
      </x:c>
      <x:c r="N332" s="24" t="str">
        <x:v>oxynotus centrina</x:v>
      </x:c>
      <x:c r="O332" s="32" t="n">
        <x:v>3.061</x:v>
      </x:c>
      <x:c r="P332" s="24" t="str">
        <x:v>exact_2020_supplement</x:v>
      </x:c>
      <x:c r="Q332" s="32" t="str">
        <x:v>2020 supplement MeanTL</x:v>
      </x:c>
      <x:c r="R332" s="24" t="str">
        <x:v>high</x:v>
      </x:c>
      <x:c r="S332" s="24" t="str">
        <x:v>Oxynotus centrina</x:v>
      </x:c>
      <x:c r="T332" s="32" t="n">
        <x:f>IF(O332="","",(1/'Metadata'!$B$5)^(O332-1))</x:f>
        <x:v>115.08003889444356</x:v>
      </x:c>
      <x:c r="U332" s="31" t="n">
        <x:f>IF(T332="","",I332*T332)</x:f>
        <x:v>12.478439552081603</x:v>
      </x:c>
    </x:row>
    <x:row r="333" ht="18" customHeight="1">
      <x:c r="A333" s="24" t="str">
        <x:v>EEZ_962</x:v>
      </x:c>
      <x:c r="B333" s="24" t="str">
        <x:v>Spain (mainland, Med and Gulf of Cadiz)</x:v>
      </x:c>
      <x:c r="C333" s="24" t="str">
        <x:v>EEZ</x:v>
      </x:c>
      <x:c r="D333" s="30" t="n">
        <x:v>2019</x:v>
      </x:c>
      <x:c r="E333" s="24" t="str">
        <x:v>Gobius cruentatus</x:v>
      </x:c>
      <x:c r="F333" s="24" t="str">
        <x:v>Red-mouthed goby</x:v>
      </x:c>
      <x:c r="G333" s="24" t="str">
        <x:v>Small demersals (&lt;30 cm)</x:v>
      </x:c>
      <x:c r="H333" s="24" t="str">
        <x:v>Perch-likes</x:v>
      </x:c>
      <x:c r="I333" s="31" t="n">
        <x:v>0.0941219947</x:v>
      </x:c>
      <x:c r="J333" s="31" t="n">
        <x:v>0.0239236395</x:v>
      </x:c>
      <x:c r="K333" s="31" t="n">
        <x:v>0.0701983552</x:v>
      </x:c>
      <x:c r="L333" s="31" t="n">
        <x:v>0.0091536</x:v>
      </x:c>
      <x:c r="M333" s="31" t="n">
        <x:v>0.0849683947</x:v>
      </x:c>
      <x:c r="N333" s="24" t="str">
        <x:v>gobius cruentatus</x:v>
      </x:c>
      <x:c r="O333" s="32" t="n">
        <x:v>3.37</x:v>
      </x:c>
      <x:c r="P333" s="24" t="str">
        <x:v>exact_2020_supplement</x:v>
      </x:c>
      <x:c r="Q333" s="32" t="str">
        <x:v>2020 supplement MeanTL</x:v>
      </x:c>
      <x:c r="R333" s="24" t="str">
        <x:v>high</x:v>
      </x:c>
      <x:c r="S333" s="24" t="str">
        <x:v>Gobius cruentatus</x:v>
      </x:c>
      <x:c r="T333" s="32" t="n">
        <x:f>IF(O333="","",(1/'Metadata'!$B$5)^(O333-1))</x:f>
        <x:v>234.42288153199226</x:v>
      </x:c>
      <x:c r="U333" s="31" t="n">
        <x:f>IF(T333="","",I333*T333)</x:f>
        <x:v>22.064349213112905</x:v>
      </x:c>
    </x:row>
    <x:row r="334" ht="18" customHeight="1">
      <x:c r="A334" s="24" t="str">
        <x:v>EEZ_962</x:v>
      </x:c>
      <x:c r="B334" s="24" t="str">
        <x:v>Spain (mainland, Med and Gulf of Cadiz)</x:v>
      </x:c>
      <x:c r="C334" s="24" t="str">
        <x:v>EEZ</x:v>
      </x:c>
      <x:c r="D334" s="30" t="n">
        <x:v>2019</x:v>
      </x:c>
      <x:c r="E334" s="24" t="str">
        <x:v>Sarda</x:v>
      </x:c>
      <x:c r="F334" s="24" t="str">
        <x:v>Bonitos</x:v>
      </x:c>
      <x:c r="G334" s="24" t="str">
        <x:v>Large pelagics (&gt;=90 cm)</x:v>
      </x:c>
      <x:c r="H334" s="24" t="str">
        <x:v>Tuna &amp; billfishes</x:v>
      </x:c>
      <x:c r="I334" s="31" t="n">
        <x:v>0.0938854225</x:v>
      </x:c>
      <x:c r="J334" s="31" t="n">
        <x:v>0.0772746578</x:v>
      </x:c>
      <x:c r="K334" s="31" t="n">
        <x:v>0.016610764700000002</x:v>
      </x:c>
      <x:c r="L334" s="31" t="n">
        <x:v>0.0772746578</x:v>
      </x:c>
      <x:c r="M334" s="31" t="n">
        <x:v>0.016610764700000002</x:v>
      </x:c>
      <x:c r="N334" s="24" t="str">
        <x:v>sarda</x:v>
      </x:c>
      <x:c r="O334" s="32" t="n">
        <x:v>4.37</x:v>
      </x:c>
      <x:c r="P334" s="24" t="str">
        <x:v>exact_sea_around_us</x:v>
      </x:c>
      <x:c r="Q334" s="32" t="str">
        <x:v>Sea Around Us exploited organisms</x:v>
      </x:c>
      <x:c r="R334" s="24" t="str">
        <x:v>high</x:v>
      </x:c>
      <x:c r="S334" s="24" t="str">
        <x:v>Sarda</x:v>
      </x:c>
      <x:c r="T334" s="32" t="n">
        <x:f>IF(O334="","",(1/'Metadata'!$B$5)^(O334-1))</x:f>
        <x:v>2344.228815319923</x:v>
      </x:c>
      <x:c r="U334" s="31" t="n">
        <x:f>IF(T334="","",I334*T334)</x:f>
        <x:v>220.08891276298542</x:v>
      </x:c>
    </x:row>
    <x:row r="335" ht="18" customHeight="1">
      <x:c r="A335" s="24" t="str">
        <x:v>EEZ_962</x:v>
      </x:c>
      <x:c r="B335" s="24" t="str">
        <x:v>Spain (mainland, Med and Gulf of Cadiz)</x:v>
      </x:c>
      <x:c r="C335" s="24" t="str">
        <x:v>EEZ</x:v>
      </x:c>
      <x:c r="D335" s="30" t="n">
        <x:v>2019</x:v>
      </x:c>
      <x:c r="E335" s="24" t="str">
        <x:v>Serranus</x:v>
      </x:c>
      <x:c r="F335" s="24" t="str">
        <x:v>Groupers</x:v>
      </x:c>
      <x:c r="G335" s="24" t="str">
        <x:v>Small reef assoc. fish (&lt;30 cm)</x:v>
      </x:c>
      <x:c r="H335" s="24" t="str">
        <x:v>Perch-likes</x:v>
      </x:c>
      <x:c r="I335" s="31" t="n">
        <x:v>0.0918505625</x:v>
      </x:c>
      <x:c r="J335" s="31" t="n">
        <x:v>0.0746569815</x:v>
      </x:c>
      <x:c r="K335" s="31" t="n">
        <x:v>0.017193581</x:v>
      </x:c>
      <x:c r="L335" s="31" t="n">
        <x:v>0.0695994769</x:v>
      </x:c>
      <x:c r="M335" s="31" t="n">
        <x:v>0.022251085599999998</x:v>
      </x:c>
      <x:c r="N335" s="24" t="str">
        <x:v>serranus</x:v>
      </x:c>
      <x:c r="O335" s="32" t="n">
        <x:v>3.73</x:v>
      </x:c>
      <x:c r="P335" s="24" t="str">
        <x:v>exact_sea_around_us</x:v>
      </x:c>
      <x:c r="Q335" s="32" t="str">
        <x:v>Sea Around Us exploited organisms</x:v>
      </x:c>
      <x:c r="R335" s="24" t="str">
        <x:v>high</x:v>
      </x:c>
      <x:c r="S335" s="24" t="str">
        <x:v>Serranus</x:v>
      </x:c>
      <x:c r="T335" s="32" t="n">
        <x:f>IF(O335="","",(1/'Metadata'!$B$5)^(O335-1))</x:f>
        <x:v>537.0317963702527</x:v>
      </x:c>
      <x:c r="U335" s="31" t="n">
        <x:f>IF(T335="","",I335*T335)</x:f>
        <x:v>49.32667257699316</x:v>
      </x:c>
    </x:row>
    <x:row r="336" ht="18" customHeight="1">
      <x:c r="A336" s="24" t="str">
        <x:v>EEZ_962</x:v>
      </x:c>
      <x:c r="B336" s="24" t="str">
        <x:v>Spain (mainland, Med and Gulf of Cadiz)</x:v>
      </x:c>
      <x:c r="C336" s="24" t="str">
        <x:v>EEZ</x:v>
      </x:c>
      <x:c r="D336" s="30" t="n">
        <x:v>2019</x:v>
      </x:c>
      <x:c r="E336" s="24" t="str">
        <x:v>Kyphosidae</x:v>
      </x:c>
      <x:c r="F336" s="24" t="str">
        <x:v>Sea chubs, knifefishes, niblers</x:v>
      </x:c>
      <x:c r="G336" s="24" t="str">
        <x:v>Medium reef assoc. fish (30 - 89 cm)</x:v>
      </x:c>
      <x:c r="H336" s="24" t="str">
        <x:v>Perch-likes</x:v>
      </x:c>
      <x:c r="I336" s="31" t="n">
        <x:v>0.08725519</x:v>
      </x:c>
      <x:c r="J336" s="31" t="n">
        <x:v>0.08725519</x:v>
      </x:c>
      <x:c r="K336" s="31" t="n">
        <x:v>0</x:v>
      </x:c>
      <x:c r="L336" s="31" t="n">
        <x:v>0.08725519</x:v>
      </x:c>
      <x:c r="M336" s="31" t="n">
        <x:v>0</x:v>
      </x:c>
      <x:c r="N336" s="24" t="str">
        <x:v>kyphosidae</x:v>
      </x:c>
      <x:c r="O336" s="32" t="n">
        <x:v>2.19</x:v>
      </x:c>
      <x:c r="P336" s="24" t="str">
        <x:v>exact_sea_around_us</x:v>
      </x:c>
      <x:c r="Q336" s="32" t="str">
        <x:v>Sea Around Us exploited organisms</x:v>
      </x:c>
      <x:c r="R336" s="24" t="str">
        <x:v>high</x:v>
      </x:c>
      <x:c r="S336" s="24" t="str">
        <x:v>Kyphosidae</x:v>
      </x:c>
      <x:c r="T336" s="32" t="n">
        <x:f>IF(O336="","",(1/'Metadata'!$B$5)^(O336-1))</x:f>
        <x:v>15.488166189124811</x:v>
      </x:c>
      <x:c r="U336" s="31" t="n">
        <x:f>IF(T336="","",I336*T336)</x:f>
        <x:v>1.3514228835836612</x:v>
      </x:c>
    </x:row>
    <x:row r="337" ht="18" customHeight="1">
      <x:c r="A337" s="24" t="str">
        <x:v>EEZ_962</x:v>
      </x:c>
      <x:c r="B337" s="24" t="str">
        <x:v>Spain (mainland, Med and Gulf of Cadiz)</x:v>
      </x:c>
      <x:c r="C337" s="24" t="str">
        <x:v>EEZ</x:v>
      </x:c>
      <x:c r="D337" s="30" t="n">
        <x:v>2019</x:v>
      </x:c>
      <x:c r="E337" s="24" t="str">
        <x:v>Ascidiacea</x:v>
      </x:c>
      <x:c r="F337" s="24" t="str">
        <x:v>Sea squirts</x:v>
      </x:c>
      <x:c r="G337" s="24" t="str">
        <x:v>Other demersal invertebrates</x:v>
      </x:c>
      <x:c r="H337" s="24" t="str">
        <x:v>Other fishes &amp; inverts</x:v>
      </x:c>
      <x:c r="I337" s="31" t="n">
        <x:v>0.0773440319</x:v>
      </x:c>
      <x:c r="J337" s="31" t="n">
        <x:v>0.0414278438</x:v>
      </x:c>
      <x:c r="K337" s="31" t="n">
        <x:v>0.0359161881</x:v>
      </x:c>
      <x:c r="L337" s="31" t="n">
        <x:v>0.0340037673</x:v>
      </x:c>
      <x:c r="M337" s="31" t="n">
        <x:v>0.043340264600000004</x:v>
      </x:c>
      <x:c r="N337" s="24" t="str">
        <x:v>ascidiacea</x:v>
      </x:c>
      <x:c r="O337" s="32" t="n">
        <x:v>3</x:v>
      </x:c>
      <x:c r="P337" s="24" t="str">
        <x:v>exact_sea_around_us</x:v>
      </x:c>
      <x:c r="Q337" s="32" t="str">
        <x:v>Sea Around Us exploited organisms</x:v>
      </x:c>
      <x:c r="R337" s="24" t="str">
        <x:v>high</x:v>
      </x:c>
      <x:c r="S337" s="24" t="str">
        <x:v>Ascidiacea</x:v>
      </x:c>
      <x:c r="T337" s="32" t="n">
        <x:f>IF(O337="","",(1/'Metadata'!$B$5)^(O337-1))</x:f>
        <x:v>100</x:v>
      </x:c>
      <x:c r="U337" s="31" t="n">
        <x:f>IF(T337="","",I337*T337)</x:f>
        <x:v>7.73440319</x:v>
      </x:c>
    </x:row>
    <x:row r="338" ht="18" customHeight="1">
      <x:c r="A338" s="24" t="str">
        <x:v>EEZ_962</x:v>
      </x:c>
      <x:c r="B338" s="24" t="str">
        <x:v>Spain (mainland, Med and Gulf of Cadiz)</x:v>
      </x:c>
      <x:c r="C338" s="24" t="str">
        <x:v>EEZ</x:v>
      </x:c>
      <x:c r="D338" s="30" t="n">
        <x:v>2019</x:v>
      </x:c>
      <x:c r="E338" s="24" t="str">
        <x:v>Macroramphosus scolopax</x:v>
      </x:c>
      <x:c r="F338" s="24" t="str">
        <x:v>Longspine snipefish</x:v>
      </x:c>
      <x:c r="G338" s="24" t="str">
        <x:v>Small demersals (&lt;30 cm)</x:v>
      </x:c>
      <x:c r="H338" s="24" t="str">
        <x:v>Other fishes &amp; inverts</x:v>
      </x:c>
      <x:c r="I338" s="31" t="n">
        <x:v>0.0623201042</x:v>
      </x:c>
      <x:c r="J338" s="31" t="n">
        <x:v>0.053221036299999996</x:v>
      </x:c>
      <x:c r="K338" s="31" t="n">
        <x:v>0.0090990679</x:v>
      </x:c>
      <x:c r="L338" s="31" t="n">
        <x:v>0.051590039399999996</x:v>
      </x:c>
      <x:c r="M338" s="31" t="n">
        <x:v>0.010730064800000001</x:v>
      </x:c>
      <x:c r="N338" s="24" t="str">
        <x:v>macroramphosus scolopax</x:v>
      </x:c>
      <x:c r="O338" s="32" t="n">
        <x:v>3.47</x:v>
      </x:c>
      <x:c r="P338" s="24" t="str">
        <x:v>exact_2020_supplement</x:v>
      </x:c>
      <x:c r="Q338" s="32" t="str">
        <x:v>2020 supplement MeanTL</x:v>
      </x:c>
      <x:c r="R338" s="24" t="str">
        <x:v>high</x:v>
      </x:c>
      <x:c r="S338" s="24" t="str">
        <x:v>Macroramphosus scolopax</x:v>
      </x:c>
      <x:c r="T338" s="32" t="n">
        <x:f>IF(O338="","",(1/'Metadata'!$B$5)^(O338-1))</x:f>
        <x:v>295.1209226666387</x:v>
      </x:c>
      <x:c r="U338" s="31" t="n">
        <x:f>IF(T338="","",I338*T338)</x:f>
        <x:v>18.391966652185065</x:v>
      </x:c>
    </x:row>
    <x:row r="339" ht="18" customHeight="1">
      <x:c r="A339" s="24" t="str">
        <x:v>EEZ_962</x:v>
      </x:c>
      <x:c r="B339" s="24" t="str">
        <x:v>Spain (mainland, Med and Gulf of Cadiz)</x:v>
      </x:c>
      <x:c r="C339" s="24" t="str">
        <x:v>EEZ</x:v>
      </x:c>
      <x:c r="D339" s="30" t="n">
        <x:v>2019</x:v>
      </x:c>
      <x:c r="E339" s="24" t="str">
        <x:v>Scyllaridae</x:v>
      </x:c>
      <x:c r="F339" s="24" t="str">
        <x:v>Slipper lobsters</x:v>
      </x:c>
      <x:c r="G339" s="24" t="str">
        <x:v>Lobsters, crabs</x:v>
      </x:c>
      <x:c r="H339" s="24" t="str">
        <x:v>Crustaceans</x:v>
      </x:c>
      <x:c r="I339" s="31" t="n">
        <x:v>0.056727277900000005</x:v>
      </x:c>
      <x:c r="J339" s="31" t="n">
        <x:v>0.0434709619</x:v>
      </x:c>
      <x:c r="K339" s="31" t="n">
        <x:v>0.013256316</x:v>
      </x:c>
      <x:c r="L339" s="31" t="n">
        <x:v>0.0404636556</x:v>
      </x:c>
      <x:c r="M339" s="31" t="n">
        <x:v>0.0162636223</x:v>
      </x:c>
      <x:c r="N339" s="24" t="str">
        <x:v>scyllaridae</x:v>
      </x:c>
      <x:c r="O339" s="32" t="n">
        <x:v>2.87</x:v>
      </x:c>
      <x:c r="P339" s="24" t="str">
        <x:v>exact_sea_around_us</x:v>
      </x:c>
      <x:c r="Q339" s="32" t="str">
        <x:v>Sea Around Us exploited organisms</x:v>
      </x:c>
      <x:c r="R339" s="24" t="str">
        <x:v>high</x:v>
      </x:c>
      <x:c r="S339" s="24" t="str">
        <x:v>Scyllaridae</x:v>
      </x:c>
      <x:c r="T339" s="32" t="n">
        <x:f>IF(O339="","",(1/'Metadata'!$B$5)^(O339-1))</x:f>
        <x:v>74.13102413009177</x:v>
      </x:c>
      <x:c r="U339" s="31" t="n">
        <x:f>IF(T339="","",I339*T339)</x:f>
        <x:v>4.205251206839322</x:v>
      </x:c>
    </x:row>
    <x:row r="340" ht="18" customHeight="1">
      <x:c r="A340" s="24" t="str">
        <x:v>EEZ_962</x:v>
      </x:c>
      <x:c r="B340" s="24" t="str">
        <x:v>Spain (mainland, Med and Gulf of Cadiz)</x:v>
      </x:c>
      <x:c r="C340" s="24" t="str">
        <x:v>EEZ</x:v>
      </x:c>
      <x:c r="D340" s="30" t="n">
        <x:v>2019</x:v>
      </x:c>
      <x:c r="E340" s="24" t="str">
        <x:v>Orcynopsis unicolor</x:v>
      </x:c>
      <x:c r="F340" s="24" t="str">
        <x:v>Plain bonito</x:v>
      </x:c>
      <x:c r="G340" s="24" t="str">
        <x:v>Large pelagics (&gt;=90 cm)</x:v>
      </x:c>
      <x:c r="H340" s="24" t="str">
        <x:v>Tuna &amp; billfishes</x:v>
      </x:c>
      <x:c r="I340" s="31" t="n">
        <x:v>0.0563364125</x:v>
      </x:c>
      <x:c r="J340" s="31" t="n">
        <x:v>0.0563364125</x:v>
      </x:c>
      <x:c r="K340" s="31" t="n">
        <x:v>0</x:v>
      </x:c>
      <x:c r="L340" s="31" t="n">
        <x:v>0.0563364125</x:v>
      </x:c>
      <x:c r="M340" s="31" t="n">
        <x:v>0</x:v>
      </x:c>
      <x:c r="N340" s="24" t="str">
        <x:v>orcynopsis unicolor</x:v>
      </x:c>
      <x:c r="O340" s="32" t="n">
        <x:v>4.5</x:v>
      </x:c>
      <x:c r="P340" s="24" t="str">
        <x:v>exact_2020_supplement</x:v>
      </x:c>
      <x:c r="Q340" s="32" t="str">
        <x:v>2020 supplement MeanTL</x:v>
      </x:c>
      <x:c r="R340" s="24" t="str">
        <x:v>high</x:v>
      </x:c>
      <x:c r="S340" s="24" t="str">
        <x:v>Orcynopsis unicolor</x:v>
      </x:c>
      <x:c r="T340" s="32" t="n">
        <x:f>IF(O340="","",(1/'Metadata'!$B$5)^(O340-1))</x:f>
        <x:v>3162.2776601683795</x:v>
      </x:c>
      <x:c r="U340" s="31" t="n">
        <x:f>IF(T340="","",I340*T340)</x:f>
        <x:v>178.15137870278065</x:v>
      </x:c>
    </x:row>
    <x:row r="341" ht="18" customHeight="1">
      <x:c r="A341" s="24" t="str">
        <x:v>EEZ_962</x:v>
      </x:c>
      <x:c r="B341" s="24" t="str">
        <x:v>Spain (mainland, Med and Gulf of Cadiz)</x:v>
      </x:c>
      <x:c r="C341" s="24" t="str">
        <x:v>EEZ</x:v>
      </x:c>
      <x:c r="D341" s="30" t="n">
        <x:v>2019</x:v>
      </x:c>
      <x:c r="E341" s="24" t="str">
        <x:v>Sepia</x:v>
      </x:c>
      <x:c r="F341" s="24" t="str">
        <x:v>Sepia cuttlefishes</x:v>
      </x:c>
      <x:c r="G341" s="24" t="str">
        <x:v>Cephalopods</x:v>
      </x:c>
      <x:c r="H341" s="24" t="str">
        <x:v>Other fishes &amp; inverts</x:v>
      </x:c>
      <x:c r="I341" s="31" t="n">
        <x:v>0.054376818</x:v>
      </x:c>
      <x:c r="J341" s="31" t="n">
        <x:v>0</x:v>
      </x:c>
      <x:c r="K341" s="31" t="n">
        <x:v>0.054376818</x:v>
      </x:c>
      <x:c r="L341" s="31" t="n">
        <x:v>0</x:v>
      </x:c>
      <x:c r="M341" s="31" t="n">
        <x:v>0.054376818</x:v>
      </x:c>
      <x:c r="N341" s="24" t="str">
        <x:v>sepia</x:v>
      </x:c>
      <x:c r="O341" s="32" t="n">
        <x:v>3.69</x:v>
      </x:c>
      <x:c r="P341" s="24" t="str">
        <x:v>exact_sea_around_us</x:v>
      </x:c>
      <x:c r="Q341" s="32" t="str">
        <x:v>Sea Around Us exploited organisms</x:v>
      </x:c>
      <x:c r="R341" s="24" t="str">
        <x:v>high</x:v>
      </x:c>
      <x:c r="S341" s="24" t="str">
        <x:v>Sepia</x:v>
      </x:c>
      <x:c r="T341" s="32" t="n">
        <x:f>IF(O341="","",(1/'Metadata'!$B$5)^(O341-1))</x:f>
        <x:v>489.77881936844614</x:v>
      </x:c>
      <x:c r="U341" s="31" t="n">
        <x:f>IF(T341="","",I341*T341)</x:f>
        <x:v>26.63261372105287</x:v>
      </x:c>
    </x:row>
    <x:row r="342" ht="18" customHeight="1">
      <x:c r="A342" s="24" t="str">
        <x:v>EEZ_962</x:v>
      </x:c>
      <x:c r="B342" s="24" t="str">
        <x:v>Spain (mainland, Med and Gulf of Cadiz)</x:v>
      </x:c>
      <x:c r="C342" s="24" t="str">
        <x:v>EEZ</x:v>
      </x:c>
      <x:c r="D342" s="30" t="n">
        <x:v>2019</x:v>
      </x:c>
      <x:c r="E342" s="24" t="str">
        <x:v>Ruditapes</x:v>
      </x:c>
      <x:c r="F342" s="24" t="str">
        <x:v>Carpet shells</x:v>
      </x:c>
      <x:c r="G342" s="24" t="str">
        <x:v>Other demersal invertebrates</x:v>
      </x:c>
      <x:c r="H342" s="24" t="str">
        <x:v>Molluscs</x:v>
      </x:c>
      <x:c r="I342" s="31" t="n">
        <x:v>0.0479474805</x:v>
      </x:c>
      <x:c r="J342" s="31" t="n">
        <x:v>0.0479474805</x:v>
      </x:c>
      <x:c r="K342" s="31" t="n">
        <x:v>0</x:v>
      </x:c>
      <x:c r="L342" s="31" t="n">
        <x:v>0.035387734000000004</x:v>
      </x:c>
      <x:c r="M342" s="31" t="n">
        <x:v>0.012559746500000002</x:v>
      </x:c>
      <x:c r="N342" s="24" t="str">
        <x:v>ruditapes</x:v>
      </x:c>
      <x:c r="O342" s="32" t="n">
        <x:v>2</x:v>
      </x:c>
      <x:c r="P342" s="24" t="str">
        <x:v>exact_sea_around_us</x:v>
      </x:c>
      <x:c r="Q342" s="32" t="str">
        <x:v>Sea Around Us exploited organisms</x:v>
      </x:c>
      <x:c r="R342" s="24" t="str">
        <x:v>high</x:v>
      </x:c>
      <x:c r="S342" s="24" t="str">
        <x:v>Ruditapes</x:v>
      </x:c>
      <x:c r="T342" s="32" t="n">
        <x:f>IF(O342="","",(1/'Metadata'!$B$5)^(O342-1))</x:f>
        <x:v>10</x:v>
      </x:c>
      <x:c r="U342" s="31" t="n">
        <x:f>IF(T342="","",I342*T342)</x:f>
        <x:v>0.479474805</x:v>
      </x:c>
    </x:row>
    <x:row r="343" ht="18" customHeight="1">
      <x:c r="A343" s="24" t="str">
        <x:v>EEZ_962</x:v>
      </x:c>
      <x:c r="B343" s="24" t="str">
        <x:v>Spain (mainland, Med and Gulf of Cadiz)</x:v>
      </x:c>
      <x:c r="C343" s="24" t="str">
        <x:v>EEZ</x:v>
      </x:c>
      <x:c r="D343" s="30" t="n">
        <x:v>2019</x:v>
      </x:c>
      <x:c r="E343" s="24" t="str">
        <x:v>Thunnus albacares</x:v>
      </x:c>
      <x:c r="F343" s="24" t="str">
        <x:v>Yellowfin tuna</x:v>
      </x:c>
      <x:c r="G343" s="24" t="str">
        <x:v>Large pelagics (&gt;=90 cm)</x:v>
      </x:c>
      <x:c r="H343" s="24" t="str">
        <x:v>Tuna &amp; billfishes</x:v>
      </x:c>
      <x:c r="I343" s="31" t="n">
        <x:v>0.046028341</x:v>
      </x:c>
      <x:c r="J343" s="31" t="n">
        <x:v>0.046028341</x:v>
      </x:c>
      <x:c r="K343" s="31" t="n">
        <x:v>0</x:v>
      </x:c>
      <x:c r="L343" s="31" t="n">
        <x:v>0.046028341</x:v>
      </x:c>
      <x:c r="M343" s="31" t="n">
        <x:v>0</x:v>
      </x:c>
      <x:c r="N343" s="24" t="str">
        <x:v>thunnus albacares</x:v>
      </x:c>
      <x:c r="O343" s="32" t="n">
        <x:v>4.41</x:v>
      </x:c>
      <x:c r="P343" s="24" t="str">
        <x:v>exact_2020_supplement</x:v>
      </x:c>
      <x:c r="Q343" s="32" t="str">
        <x:v>2020 supplement MeanTL</x:v>
      </x:c>
      <x:c r="R343" s="24" t="str">
        <x:v>high</x:v>
      </x:c>
      <x:c r="S343" s="24" t="str">
        <x:v>Thunnus albacares</x:v>
      </x:c>
      <x:c r="T343" s="32" t="n">
        <x:f>IF(O343="","",(1/'Metadata'!$B$5)^(O343-1))</x:f>
        <x:v>2570.3957827688646</x:v>
      </x:c>
      <x:c r="U343" s="31" t="n">
        <x:f>IF(T343="","",I343*T343)</x:f>
        <x:v>118.31105359424723</x:v>
      </x:c>
    </x:row>
    <x:row r="344" ht="18" customHeight="1">
      <x:c r="A344" s="24" t="str">
        <x:v>EEZ_962</x:v>
      </x:c>
      <x:c r="B344" s="24" t="str">
        <x:v>Spain (mainland, Med and Gulf of Cadiz)</x:v>
      </x:c>
      <x:c r="C344" s="24" t="str">
        <x:v>EEZ</x:v>
      </x:c>
      <x:c r="D344" s="30" t="n">
        <x:v>2019</x:v>
      </x:c>
      <x:c r="E344" s="24" t="str">
        <x:v>Chimaera monstrosa</x:v>
      </x:c>
      <x:c r="F344" s="24" t="str">
        <x:v>Rabbit fish</x:v>
      </x:c>
      <x:c r="G344" s="24" t="str">
        <x:v>Large rays (&gt;=90 cm)</x:v>
      </x:c>
      <x:c r="H344" s="24" t="str">
        <x:v>Sharks &amp; rays</x:v>
      </x:c>
      <x:c r="I344" s="31" t="n">
        <x:v>0.0445606473</x:v>
      </x:c>
      <x:c r="J344" s="31" t="n">
        <x:v>0.0441649587</x:v>
      </x:c>
      <x:c r="K344" s="31" t="n">
        <x:v>0.0003956886</x:v>
      </x:c>
      <x:c r="L344" s="31" t="n">
        <x:v>0.0441649587</x:v>
      </x:c>
      <x:c r="M344" s="31" t="n">
        <x:v>0.0003956886</x:v>
      </x:c>
      <x:c r="N344" s="24" t="str">
        <x:v>chimaera monstrosa</x:v>
      </x:c>
      <x:c r="O344" s="32" t="n">
        <x:v>3.52</x:v>
      </x:c>
      <x:c r="P344" s="24" t="str">
        <x:v>exact_2020_supplement</x:v>
      </x:c>
      <x:c r="Q344" s="32" t="str">
        <x:v>2020 supplement MeanTL</x:v>
      </x:c>
      <x:c r="R344" s="24" t="str">
        <x:v>high</x:v>
      </x:c>
      <x:c r="S344" s="24" t="str">
        <x:v>Chimaera monstrosa</x:v>
      </x:c>
      <x:c r="T344" s="32" t="n">
        <x:f>IF(O344="","",(1/'Metadata'!$B$5)^(O344-1))</x:f>
        <x:v>331.1311214825911</x:v>
      </x:c>
      <x:c r="U344" s="31" t="n">
        <x:f>IF(T344="","",I344*T344)</x:f>
        <x:v>14.755417114439194</x:v>
      </x:c>
    </x:row>
    <x:row r="345" ht="18" customHeight="1">
      <x:c r="A345" s="24" t="str">
        <x:v>EEZ_962</x:v>
      </x:c>
      <x:c r="B345" s="24" t="str">
        <x:v>Spain (mainland, Med and Gulf of Cadiz)</x:v>
      </x:c>
      <x:c r="C345" s="24" t="str">
        <x:v>EEZ</x:v>
      </x:c>
      <x:c r="D345" s="30" t="n">
        <x:v>2019</x:v>
      </x:c>
      <x:c r="E345" s="24" t="str">
        <x:v>Isurus paucus</x:v>
      </x:c>
      <x:c r="F345" s="24" t="str">
        <x:v>Longfin mako</x:v>
      </x:c>
      <x:c r="G345" s="24" t="str">
        <x:v>Large sharks (&gt;=90 cm)</x:v>
      </x:c>
      <x:c r="H345" s="24" t="str">
        <x:v>Sharks &amp; rays</x:v>
      </x:c>
      <x:c r="I345" s="31" t="n">
        <x:v>0.0424202374</x:v>
      </x:c>
      <x:c r="J345" s="31" t="n">
        <x:v>0.0424202374</x:v>
      </x:c>
      <x:c r="K345" s="31" t="n">
        <x:v>0</x:v>
      </x:c>
      <x:c r="L345" s="31" t="n">
        <x:v>0.0424202374</x:v>
      </x:c>
      <x:c r="M345" s="31" t="n">
        <x:v>0</x:v>
      </x:c>
      <x:c r="N345" s="24" t="str">
        <x:v>isurus paucus</x:v>
      </x:c>
      <x:c r="O345" s="32" t="n">
        <x:v>4.51</x:v>
      </x:c>
      <x:c r="P345" s="24" t="str">
        <x:v>exact_2020_supplement</x:v>
      </x:c>
      <x:c r="Q345" s="32" t="str">
        <x:v>2020 supplement MeanTL</x:v>
      </x:c>
      <x:c r="R345" s="24" t="str">
        <x:v>high</x:v>
      </x:c>
      <x:c r="S345" s="24" t="str">
        <x:v>Isurus paucus</x:v>
      </x:c>
      <x:c r="T345" s="32" t="n">
        <x:f>IF(O345="","",(1/'Metadata'!$B$5)^(O345-1))</x:f>
        <x:v>3235.936569296281</x:v>
      </x:c>
      <x:c r="U345" s="31" t="n">
        <x:f>IF(T345="","",I345*T345)</x:f>
        <x:v>137.26919748088977</x:v>
      </x:c>
    </x:row>
    <x:row r="346" ht="18" customHeight="1">
      <x:c r="A346" s="24" t="str">
        <x:v>EEZ_962</x:v>
      </x:c>
      <x:c r="B346" s="24" t="str">
        <x:v>Spain (mainland, Med and Gulf of Cadiz)</x:v>
      </x:c>
      <x:c r="C346" s="24" t="str">
        <x:v>EEZ</x:v>
      </x:c>
      <x:c r="D346" s="30" t="n">
        <x:v>2019</x:v>
      </x:c>
      <x:c r="E346" s="24" t="str">
        <x:v>Sphyrna</x:v>
      </x:c>
      <x:c r="F346" s="24" t="str">
        <x:v>Hammerhead sharks</x:v>
      </x:c>
      <x:c r="G346" s="24" t="str">
        <x:v>Large sharks (&gt;=90 cm)</x:v>
      </x:c>
      <x:c r="H346" s="24" t="str">
        <x:v>Sharks &amp; rays</x:v>
      </x:c>
      <x:c r="I346" s="31" t="n">
        <x:v>0.036498414199999996</x:v>
      </x:c>
      <x:c r="J346" s="31" t="n">
        <x:v>0.0358018844</x:v>
      </x:c>
      <x:c r="K346" s="31" t="n">
        <x:v>0.0006965298</x:v>
      </x:c>
      <x:c r="L346" s="31" t="n">
        <x:v>0.0316225206</x:v>
      </x:c>
      <x:c r="M346" s="31" t="n">
        <x:v>0.0048758936</x:v>
      </x:c>
      <x:c r="N346" s="24" t="str">
        <x:v>sphyrna</x:v>
      </x:c>
      <x:c r="O346" s="32" t="n">
        <x:v>4.2</x:v>
      </x:c>
      <x:c r="P346" s="24" t="str">
        <x:v>exact_sea_around_us</x:v>
      </x:c>
      <x:c r="Q346" s="32" t="str">
        <x:v>Sea Around Us exploited organisms</x:v>
      </x:c>
      <x:c r="R346" s="24" t="str">
        <x:v>high</x:v>
      </x:c>
      <x:c r="S346" s="24" t="str">
        <x:v>Sphyrna</x:v>
      </x:c>
      <x:c r="T346" s="32" t="n">
        <x:f>IF(O346="","",(1/'Metadata'!$B$5)^(O346-1))</x:f>
        <x:v>1584.893192461114</x:v>
      </x:c>
      <x:c r="U346" s="31" t="n">
        <x:f>IF(T346="","",I346*T346)</x:f>
        <x:v>57.84608820120605</x:v>
      </x:c>
    </x:row>
    <x:row r="347" ht="18" customHeight="1">
      <x:c r="A347" s="24" t="str">
        <x:v>EEZ_962</x:v>
      </x:c>
      <x:c r="B347" s="24" t="str">
        <x:v>Spain (mainland, Med and Gulf of Cadiz)</x:v>
      </x:c>
      <x:c r="C347" s="24" t="str">
        <x:v>EEZ</x:v>
      </x:c>
      <x:c r="D347" s="30" t="n">
        <x:v>2019</x:v>
      </x:c>
      <x:c r="E347" s="24" t="str">
        <x:v>Echinoidea</x:v>
      </x:c>
      <x:c r="F347" s="24" t="str">
        <x:v>Sea urchins, sea hedgehogs</x:v>
      </x:c>
      <x:c r="G347" s="24" t="str">
        <x:v>Other demersal invertebrates</x:v>
      </x:c>
      <x:c r="H347" s="24" t="str">
        <x:v>Other fishes &amp; inverts</x:v>
      </x:c>
      <x:c r="I347" s="31" t="n">
        <x:v>0.0338641297</x:v>
      </x:c>
      <x:c r="J347" s="31" t="n">
        <x:v>0.0124185694</x:v>
      </x:c>
      <x:c r="K347" s="31" t="n">
        <x:v>0.0214455603</x:v>
      </x:c>
      <x:c r="L347" s="31" t="n">
        <x:v>0.0080907328</x:v>
      </x:c>
      <x:c r="M347" s="31" t="n">
        <x:v>0.0257733969</x:v>
      </x:c>
      <x:c r="N347" s="24" t="str">
        <x:v>echinoidea</x:v>
      </x:c>
      <x:c r="O347" s="32" t="n">
        <x:v>2.51</x:v>
      </x:c>
      <x:c r="P347" s="24" t="str">
        <x:v>exact_sea_around_us</x:v>
      </x:c>
      <x:c r="Q347" s="32" t="str">
        <x:v>Sea Around Us exploited organisms</x:v>
      </x:c>
      <x:c r="R347" s="24" t="str">
        <x:v>high</x:v>
      </x:c>
      <x:c r="S347" s="24" t="str">
        <x:v>Echinoidea</x:v>
      </x:c>
      <x:c r="T347" s="32" t="n">
        <x:f>IF(O347="","",(1/'Metadata'!$B$5)^(O347-1))</x:f>
        <x:v>32.35936569296281</x:v>
      </x:c>
      <x:c r="U347" s="31" t="n">
        <x:f>IF(T347="","",I347*T347)</x:f>
        <x:v>1.0958217568362232</x:v>
      </x:c>
    </x:row>
    <x:row r="348" ht="18" customHeight="1">
      <x:c r="A348" s="24" t="str">
        <x:v>EEZ_962</x:v>
      </x:c>
      <x:c r="B348" s="24" t="str">
        <x:v>Spain (mainland, Med and Gulf of Cadiz)</x:v>
      </x:c>
      <x:c r="C348" s="24" t="str">
        <x:v>EEZ</x:v>
      </x:c>
      <x:c r="D348" s="30" t="n">
        <x:v>2019</x:v>
      </x:c>
      <x:c r="E348" s="24" t="str">
        <x:v>Mola mola</x:v>
      </x:c>
      <x:c r="F348" s="24" t="str">
        <x:v>Ocean sunfish</x:v>
      </x:c>
      <x:c r="G348" s="24" t="str">
        <x:v>Large pelagics (&gt;=90 cm)</x:v>
      </x:c>
      <x:c r="H348" s="24" t="str">
        <x:v>Other fishes &amp; inverts</x:v>
      </x:c>
      <x:c r="I348" s="31" t="n">
        <x:v>0.0319178901</x:v>
      </x:c>
      <x:c r="J348" s="31" t="n">
        <x:v>0.0235969977</x:v>
      </x:c>
      <x:c r="K348" s="31" t="n">
        <x:v>0.0083208924</x:v>
      </x:c>
      <x:c r="L348" s="31" t="n">
        <x:v>0.022827102699999997</x:v>
      </x:c>
      <x:c r="M348" s="31" t="n">
        <x:v>0.0090907874</x:v>
      </x:c>
      <x:c r="N348" s="24" t="str">
        <x:v>mola mola</x:v>
      </x:c>
      <x:c r="O348" s="32" t="n">
        <x:v>3.68</x:v>
      </x:c>
      <x:c r="P348" s="24" t="str">
        <x:v>exact_2020_supplement</x:v>
      </x:c>
      <x:c r="Q348" s="32" t="str">
        <x:v>2020 supplement MeanTL</x:v>
      </x:c>
      <x:c r="R348" s="24" t="str">
        <x:v>high</x:v>
      </x:c>
      <x:c r="S348" s="24" t="str">
        <x:v>Mola mola</x:v>
      </x:c>
      <x:c r="T348" s="32" t="n">
        <x:f>IF(O348="","",(1/'Metadata'!$B$5)^(O348-1))</x:f>
        <x:v>478.6300923226385</x:v>
      </x:c>
      <x:c r="U348" s="31" t="n">
        <x:f>IF(T348="","",I348*T348)</x:f>
        <x:v>15.27686268530683</x:v>
      </x:c>
    </x:row>
    <x:row r="349" ht="18" customHeight="1">
      <x:c r="A349" s="24" t="str">
        <x:v>EEZ_962</x:v>
      </x:c>
      <x:c r="B349" s="24" t="str">
        <x:v>Spain (mainland, Med and Gulf of Cadiz)</x:v>
      </x:c>
      <x:c r="C349" s="24" t="str">
        <x:v>EEZ</x:v>
      </x:c>
      <x:c r="D349" s="30" t="n">
        <x:v>2019</x:v>
      </x:c>
      <x:c r="E349" s="24" t="str">
        <x:v>Ammodytes tobianus</x:v>
      </x:c>
      <x:c r="F349" s="24" t="str">
        <x:v>Small sandeel</x:v>
      </x:c>
      <x:c r="G349" s="24" t="str">
        <x:v>Small demersals (&lt;30 cm)</x:v>
      </x:c>
      <x:c r="H349" s="24" t="str">
        <x:v>Perch-likes</x:v>
      </x:c>
      <x:c r="I349" s="31" t="n">
        <x:v>0.0311241008</x:v>
      </x:c>
      <x:c r="J349" s="31" t="n">
        <x:v>0.022506099300000002</x:v>
      </x:c>
      <x:c r="K349" s="31" t="n">
        <x:v>0.0086180015</x:v>
      </x:c>
      <x:c r="L349" s="31" t="n">
        <x:v>0.0225059804</x:v>
      </x:c>
      <x:c r="M349" s="31" t="n">
        <x:v>0.0086181204</x:v>
      </x:c>
      <x:c r="N349" s="24" t="str">
        <x:v>ammodytes tobianus</x:v>
      </x:c>
      <x:c r="O349" s="32" t="n">
        <x:v>3.08</x:v>
      </x:c>
      <x:c r="P349" s="24" t="str">
        <x:v>exact_2020_supplement</x:v>
      </x:c>
      <x:c r="Q349" s="32" t="str">
        <x:v>2020 supplement MeanTL</x:v>
      </x:c>
      <x:c r="R349" s="24" t="str">
        <x:v>high</x:v>
      </x:c>
      <x:c r="S349" s="24" t="str">
        <x:v>Ammodytes tobianus</x:v>
      </x:c>
      <x:c r="T349" s="32" t="n">
        <x:f>IF(O349="","",(1/'Metadata'!$B$5)^(O349-1))</x:f>
        <x:v>120.22644346174131</x:v>
      </x:c>
      <x:c r="U349" s="31" t="n">
        <x:f>IF(T349="","",I349*T349)</x:f>
        <x:v>3.7419399451287374</x:v>
      </x:c>
    </x:row>
    <x:row r="350" ht="18" customHeight="1">
      <x:c r="A350" s="24" t="str">
        <x:v>EEZ_962</x:v>
      </x:c>
      <x:c r="B350" s="24" t="str">
        <x:v>Spain (mainland, Med and Gulf of Cadiz)</x:v>
      </x:c>
      <x:c r="C350" s="24" t="str">
        <x:v>EEZ</x:v>
      </x:c>
      <x:c r="D350" s="30" t="n">
        <x:v>2019</x:v>
      </x:c>
      <x:c r="E350" s="24" t="str">
        <x:v>Chiroteuthis veranii</x:v>
      </x:c>
      <x:c r="F350" s="24" t="str">
        <x:v>Verany's long-armed squid</x:v>
      </x:c>
      <x:c r="G350" s="24" t="str">
        <x:v>Cephalopods</x:v>
      </x:c>
      <x:c r="H350" s="24" t="str">
        <x:v>Other fishes &amp; inverts</x:v>
      </x:c>
      <x:c r="I350" s="31" t="n">
        <x:v>0.0263555653</x:v>
      </x:c>
      <x:c r="J350" s="31" t="n">
        <x:v>0.0045038501</x:v>
      </x:c>
      <x:c r="K350" s="31" t="n">
        <x:v>0.0218517152</x:v>
      </x:c>
      <x:c r="L350" s="31" t="n">
        <x:v>0</x:v>
      </x:c>
      <x:c r="M350" s="31" t="n">
        <x:v>0.0263555653</x:v>
      </x:c>
      <x:c r="N350" s="24" t="str">
        <x:v>chiroteuthis veranii</x:v>
      </x:c>
      <x:c r="O350" s="32" t="n">
        <x:v>4.04</x:v>
      </x:c>
      <x:c r="P350" s="24" t="str">
        <x:v>exact_sea_around_us</x:v>
      </x:c>
      <x:c r="Q350" s="32" t="str">
        <x:v>Sea Around Us exploited organisms</x:v>
      </x:c>
      <x:c r="R350" s="24" t="str">
        <x:v>high</x:v>
      </x:c>
      <x:c r="S350" s="24" t="str">
        <x:v>Chiroteuthis veranii</x:v>
      </x:c>
      <x:c r="T350" s="32" t="n">
        <x:f>IF(O350="","",(1/'Metadata'!$B$5)^(O350-1))</x:f>
        <x:v>1096.4781961431852</x:v>
      </x:c>
      <x:c r="U350" s="31" t="n">
        <x:f>IF(T350="","",I350*T350)</x:f>
        <x:v>28.898302698477927</x:v>
      </x:c>
    </x:row>
    <x:row r="351" ht="18" customHeight="1">
      <x:c r="A351" s="24" t="str">
        <x:v>EEZ_962</x:v>
      </x:c>
      <x:c r="B351" s="24" t="str">
        <x:v>Spain (mainland, Med and Gulf of Cadiz)</x:v>
      </x:c>
      <x:c r="C351" s="24" t="str">
        <x:v>EEZ</x:v>
      </x:c>
      <x:c r="D351" s="30" t="n">
        <x:v>2019</x:v>
      </x:c>
      <x:c r="E351" s="24" t="str">
        <x:v>Squatinidae</x:v>
      </x:c>
      <x:c r="F351" s="24" t="str">
        <x:v>Angel sharks</x:v>
      </x:c>
      <x:c r="G351" s="24" t="str">
        <x:v>Large sharks (&gt;=90 cm)</x:v>
      </x:c>
      <x:c r="H351" s="24" t="str">
        <x:v>Sharks &amp; rays</x:v>
      </x:c>
      <x:c r="I351" s="31" t="n">
        <x:v>0.0240965537</x:v>
      </x:c>
      <x:c r="J351" s="31" t="n">
        <x:v>0.023881327299999998</x:v>
      </x:c>
      <x:c r="K351" s="31" t="n">
        <x:v>0.0002152264</x:v>
      </x:c>
      <x:c r="L351" s="31" t="n">
        <x:v>0.023878039099999998</x:v>
      </x:c>
      <x:c r="M351" s="31" t="n">
        <x:v>0.0002185146</x:v>
      </x:c>
      <x:c r="N351" s="24" t="str">
        <x:v>squatinidae</x:v>
      </x:c>
      <x:c r="O351" s="32" t="n">
        <x:v>4.13</x:v>
      </x:c>
      <x:c r="P351" s="24" t="str">
        <x:v>exact_sea_around_us</x:v>
      </x:c>
      <x:c r="Q351" s="32" t="str">
        <x:v>Sea Around Us exploited organisms</x:v>
      </x:c>
      <x:c r="R351" s="24" t="str">
        <x:v>high</x:v>
      </x:c>
      <x:c r="S351" s="24" t="str">
        <x:v>Squatinidae</x:v>
      </x:c>
      <x:c r="T351" s="32" t="n">
        <x:f>IF(O351="","",(1/'Metadata'!$B$5)^(O351-1))</x:f>
        <x:v>1348.9628825916532</x:v>
      </x:c>
      <x:c r="U351" s="31" t="n">
        <x:f>IF(T351="","",I351*T351)</x:f>
        <x:v>32.50535653967656</x:v>
      </x:c>
    </x:row>
    <x:row r="352" ht="18" customHeight="1">
      <x:c r="A352" s="24" t="str">
        <x:v>EEZ_962</x:v>
      </x:c>
      <x:c r="B352" s="24" t="str">
        <x:v>Spain (mainland, Med and Gulf of Cadiz)</x:v>
      </x:c>
      <x:c r="C352" s="24" t="str">
        <x:v>EEZ</x:v>
      </x:c>
      <x:c r="D352" s="30" t="n">
        <x:v>2019</x:v>
      </x:c>
      <x:c r="E352" s="24" t="str">
        <x:v>Anguilla</x:v>
      </x:c>
      <x:c r="F352" s="24" t="str">
        <x:v>Eels</x:v>
      </x:c>
      <x:c r="G352" s="24" t="str">
        <x:v>Large demersals (&gt;=90 cm)</x:v>
      </x:c>
      <x:c r="H352" s="24" t="str">
        <x:v>Other fishes &amp; inverts</x:v>
      </x:c>
      <x:c r="I352" s="31" t="n">
        <x:v>0.0217577443</x:v>
      </x:c>
      <x:c r="J352" s="31" t="n">
        <x:v>0.018396102799999998</x:v>
      </x:c>
      <x:c r="K352" s="31" t="n">
        <x:v>0.0033616415</x:v>
      </x:c>
      <x:c r="L352" s="31" t="n">
        <x:v>0.0136078978</x:v>
      </x:c>
      <x:c r="M352" s="31" t="n">
        <x:v>0.0081498465</x:v>
      </x:c>
      <x:c r="N352" s="24" t="str">
        <x:v>anguilla</x:v>
      </x:c>
      <x:c r="O352" s="32" t="n">
        <x:v>3.63</x:v>
      </x:c>
      <x:c r="P352" s="24" t="str">
        <x:v>exact_sea_around_us</x:v>
      </x:c>
      <x:c r="Q352" s="32" t="str">
        <x:v>Sea Around Us exploited organisms</x:v>
      </x:c>
      <x:c r="R352" s="24" t="str">
        <x:v>high</x:v>
      </x:c>
      <x:c r="S352" s="24" t="str">
        <x:v>Anguilla</x:v>
      </x:c>
      <x:c r="T352" s="32" t="n">
        <x:f>IF(O352="","",(1/'Metadata'!$B$5)^(O352-1))</x:f>
        <x:v>426.57951880159254</x:v>
      </x:c>
      <x:c r="U352" s="31" t="n">
        <x:f>IF(T352="","",I352*T352)</x:f>
        <x:v>9.281408093702092</x:v>
      </x:c>
    </x:row>
    <x:row r="353" ht="18" customHeight="1">
      <x:c r="A353" s="24" t="str">
        <x:v>EEZ_962</x:v>
      </x:c>
      <x:c r="B353" s="24" t="str">
        <x:v>Spain (mainland, Med and Gulf of Cadiz)</x:v>
      </x:c>
      <x:c r="C353" s="24" t="str">
        <x:v>EEZ</x:v>
      </x:c>
      <x:c r="D353" s="30" t="n">
        <x:v>2019</x:v>
      </x:c>
      <x:c r="E353" s="24" t="str">
        <x:v>Tellina</x:v>
      </x:c>
      <x:c r="F353" s="24" t="str">
        <x:v>Tellins</x:v>
      </x:c>
      <x:c r="G353" s="24" t="str">
        <x:v>Other demersal invertebrates</x:v>
      </x:c>
      <x:c r="H353" s="24" t="str">
        <x:v>Molluscs</x:v>
      </x:c>
      <x:c r="I353" s="31" t="n">
        <x:v>0.0182848792</x:v>
      </x:c>
      <x:c r="J353" s="31" t="n">
        <x:v>0</x:v>
      </x:c>
      <x:c r="K353" s="31" t="n">
        <x:v>0.0182848792</x:v>
      </x:c>
      <x:c r="L353" s="31" t="n">
        <x:v>0</x:v>
      </x:c>
      <x:c r="M353" s="31" t="n">
        <x:v>0.0182848792</x:v>
      </x:c>
      <x:c r="N353" s="24" t="str">
        <x:v>tellina</x:v>
      </x:c>
      <x:c r="O353" s="32" t="n">
        <x:v>2</x:v>
      </x:c>
      <x:c r="P353" s="24" t="str">
        <x:v>exact_sea_around_us</x:v>
      </x:c>
      <x:c r="Q353" s="32" t="str">
        <x:v>Sea Around Us exploited organisms</x:v>
      </x:c>
      <x:c r="R353" s="24" t="str">
        <x:v>high</x:v>
      </x:c>
      <x:c r="S353" s="24" t="str">
        <x:v>Tellina</x:v>
      </x:c>
      <x:c r="T353" s="32" t="n">
        <x:f>IF(O353="","",(1/'Metadata'!$B$5)^(O353-1))</x:f>
        <x:v>10</x:v>
      </x:c>
      <x:c r="U353" s="31" t="n">
        <x:f>IF(T353="","",I353*T353)</x:f>
        <x:v>0.18284879199999998</x:v>
      </x:c>
    </x:row>
    <x:row r="354" ht="18" customHeight="1">
      <x:c r="A354" s="24" t="str">
        <x:v>EEZ_962</x:v>
      </x:c>
      <x:c r="B354" s="24" t="str">
        <x:v>Spain (mainland, Med and Gulf of Cadiz)</x:v>
      </x:c>
      <x:c r="C354" s="24" t="str">
        <x:v>EEZ</x:v>
      </x:c>
      <x:c r="D354" s="30" t="n">
        <x:v>2019</x:v>
      </x:c>
      <x:c r="E354" s="24" t="str">
        <x:v>Molva molva</x:v>
      </x:c>
      <x:c r="F354" s="24" t="str">
        <x:v>Ling</x:v>
      </x:c>
      <x:c r="G354" s="24" t="str">
        <x:v>Large demersals (&gt;=90 cm)</x:v>
      </x:c>
      <x:c r="H354" s="24" t="str">
        <x:v>Cod-likes</x:v>
      </x:c>
      <x:c r="I354" s="31" t="n">
        <x:v>0.0145718611</x:v>
      </x:c>
      <x:c r="J354" s="31" t="n">
        <x:v>0.0145718611</x:v>
      </x:c>
      <x:c r="K354" s="31" t="n">
        <x:v>0</x:v>
      </x:c>
      <x:c r="L354" s="31" t="n">
        <x:v>0.0145718611</x:v>
      </x:c>
      <x:c r="M354" s="31" t="n">
        <x:v>0</x:v>
      </x:c>
      <x:c r="N354" s="24" t="str">
        <x:v>molva molva</x:v>
      </x:c>
      <x:c r="O354" s="32" t="n">
        <x:v>4.4</x:v>
      </x:c>
      <x:c r="P354" s="24" t="str">
        <x:v>exact_2020_supplement</x:v>
      </x:c>
      <x:c r="Q354" s="32" t="str">
        <x:v>2020 supplement MeanTL</x:v>
      </x:c>
      <x:c r="R354" s="24" t="str">
        <x:v>high</x:v>
      </x:c>
      <x:c r="S354" s="24" t="str">
        <x:v>Molva molva</x:v>
      </x:c>
      <x:c r="T354" s="32" t="n">
        <x:f>IF(O354="","",(1/'Metadata'!$B$5)^(O354-1))</x:f>
        <x:v>2511.886431509582</x:v>
      </x:c>
      <x:c r="U354" s="31" t="n">
        <x:f>IF(T354="","",I354*T354)</x:f>
        <x:v>36.60286017893229</x:v>
      </x:c>
    </x:row>
    <x:row r="355" ht="18" customHeight="1">
      <x:c r="A355" s="24" t="str">
        <x:v>EEZ_962</x:v>
      </x:c>
      <x:c r="B355" s="24" t="str">
        <x:v>Spain (mainland, Med and Gulf of Cadiz)</x:v>
      </x:c>
      <x:c r="C355" s="24" t="str">
        <x:v>EEZ</x:v>
      </x:c>
      <x:c r="D355" s="30" t="n">
        <x:v>2019</x:v>
      </x:c>
      <x:c r="E355" s="24" t="str">
        <x:v>Apogon imberbis</x:v>
      </x:c>
      <x:c r="F355" s="24" t="str">
        <x:v>Cardinal fish</x:v>
      </x:c>
      <x:c r="G355" s="24" t="str">
        <x:v>Small reef assoc. fish (&lt;30 cm)</x:v>
      </x:c>
      <x:c r="H355" s="24" t="str">
        <x:v>Perch-likes</x:v>
      </x:c>
      <x:c r="I355" s="31" t="n">
        <x:v>0.0141366827</x:v>
      </x:c>
      <x:c r="J355" s="31" t="n">
        <x:v>0</x:v>
      </x:c>
      <x:c r="K355" s="31" t="n">
        <x:v>0.0141366827</x:v>
      </x:c>
      <x:c r="L355" s="31" t="n">
        <x:v>0</x:v>
      </x:c>
      <x:c r="M355" s="31" t="n">
        <x:v>0.0141366827</x:v>
      </x:c>
      <x:c r="N355" s="24" t="str">
        <x:v>apogon imberbis</x:v>
      </x:c>
      <x:c r="O355" s="32" t="n">
        <x:v>3.8</x:v>
      </x:c>
      <x:c r="P355" s="24" t="str">
        <x:v>exact_2020_supplement</x:v>
      </x:c>
      <x:c r="Q355" s="32" t="str">
        <x:v>2020 supplement MeanTL</x:v>
      </x:c>
      <x:c r="R355" s="24" t="str">
        <x:v>high</x:v>
      </x:c>
      <x:c r="S355" s="24" t="str">
        <x:v>Apogon imberbis</x:v>
      </x:c>
      <x:c r="T355" s="32" t="n">
        <x:f>IF(O355="","",(1/'Metadata'!$B$5)^(O355-1))</x:f>
        <x:v>630.957344480193</x:v>
      </x:c>
      <x:c r="U355" s="31" t="n">
        <x:f>IF(T355="","",I355*T355)</x:f>
        <x:v>8.919643776151085</x:v>
      </x:c>
    </x:row>
    <x:row r="356" ht="18" customHeight="1">
      <x:c r="A356" s="24" t="str">
        <x:v>EEZ_962</x:v>
      </x:c>
      <x:c r="B356" s="24" t="str">
        <x:v>Spain (mainland, Med and Gulf of Cadiz)</x:v>
      </x:c>
      <x:c r="C356" s="24" t="str">
        <x:v>EEZ</x:v>
      </x:c>
      <x:c r="D356" s="30" t="n">
        <x:v>2019</x:v>
      </x:c>
      <x:c r="E356" s="24" t="str">
        <x:v>Elagatis bipinnulata</x:v>
      </x:c>
      <x:c r="F356" s="24" t="str">
        <x:v>Rainbow runner</x:v>
      </x:c>
      <x:c r="G356" s="24" t="str">
        <x:v>Large pelagics (&gt;=90 cm)</x:v>
      </x:c>
      <x:c r="H356" s="24" t="str">
        <x:v>Perch-likes</x:v>
      </x:c>
      <x:c r="I356" s="31" t="n">
        <x:v>0.0100805996</x:v>
      </x:c>
      <x:c r="J356" s="31" t="n">
        <x:v>0.0100805996</x:v>
      </x:c>
      <x:c r="K356" s="31" t="n">
        <x:v>0</x:v>
      </x:c>
      <x:c r="L356" s="31" t="n">
        <x:v>0.0100805996</x:v>
      </x:c>
      <x:c r="M356" s="31" t="n">
        <x:v>0</x:v>
      </x:c>
      <x:c r="N356" s="24" t="str">
        <x:v>elagatis bipinnulata</x:v>
      </x:c>
      <x:c r="O356" s="32" t="n">
        <x:v>4.27</x:v>
      </x:c>
      <x:c r="P356" s="24" t="str">
        <x:v>exact_2020_supplement</x:v>
      </x:c>
      <x:c r="Q356" s="32" t="str">
        <x:v>2020 supplement MeanTL</x:v>
      </x:c>
      <x:c r="R356" s="24" t="str">
        <x:v>high</x:v>
      </x:c>
      <x:c r="S356" s="24" t="str">
        <x:v>Elagatis bipinnulata</x:v>
      </x:c>
      <x:c r="T356" s="32" t="n">
        <x:f>IF(O356="","",(1/'Metadata'!$B$5)^(O356-1))</x:f>
        <x:v>1862.0871366628655</x:v>
      </x:c>
      <x:c r="U356" s="31" t="n">
        <x:f>IF(T356="","",I356*T356)</x:f>
        <x:v>18.770954845008827</x:v>
      </x:c>
    </x:row>
    <x:row r="357" ht="18" customHeight="1">
      <x:c r="A357" s="24" t="str">
        <x:v>EEZ_962</x:v>
      </x:c>
      <x:c r="B357" s="24" t="str">
        <x:v>Spain (mainland, Med and Gulf of Cadiz)</x:v>
      </x:c>
      <x:c r="C357" s="24" t="str">
        <x:v>EEZ</x:v>
      </x:c>
      <x:c r="D357" s="30" t="n">
        <x:v>2019</x:v>
      </x:c>
      <x:c r="E357" s="24" t="str">
        <x:v>Galeoides decadactylus</x:v>
      </x:c>
      <x:c r="F357" s="24" t="str">
        <x:v>Lesser African threadfin</x:v>
      </x:c>
      <x:c r="G357" s="24" t="str">
        <x:v>Medium demersals (30 - 89 cm)</x:v>
      </x:c>
      <x:c r="H357" s="24" t="str">
        <x:v>Perch-likes</x:v>
      </x:c>
      <x:c r="I357" s="31" t="n">
        <x:v>0.008351722</x:v>
      </x:c>
      <x:c r="J357" s="31" t="n">
        <x:v>0</x:v>
      </x:c>
      <x:c r="K357" s="31" t="n">
        <x:v>0.008351722</x:v>
      </x:c>
      <x:c r="L357" s="31" t="n">
        <x:v>0</x:v>
      </x:c>
      <x:c r="M357" s="31" t="n">
        <x:v>0.008351722</x:v>
      </x:c>
      <x:c r="N357" s="24" t="str">
        <x:v>galeoides decadactylus</x:v>
      </x:c>
      <x:c r="O357" s="32" t="n">
        <x:v>3.57</x:v>
      </x:c>
      <x:c r="P357" s="24" t="str">
        <x:v>exact_2020_supplement</x:v>
      </x:c>
      <x:c r="Q357" s="32" t="str">
        <x:v>2020 supplement MeanTL</x:v>
      </x:c>
      <x:c r="R357" s="24" t="str">
        <x:v>high</x:v>
      </x:c>
      <x:c r="S357" s="24" t="str">
        <x:v>Galeoides decadactylus</x:v>
      </x:c>
      <x:c r="T357" s="32" t="n">
        <x:f>IF(O357="","",(1/'Metadata'!$B$5)^(O357-1))</x:f>
        <x:v>371.5352290971724</x:v>
      </x:c>
      <x:c r="U357" s="31" t="n">
        <x:f>IF(T357="","",I357*T357)</x:f>
        <x:v>3.102958946625895</x:v>
      </x:c>
    </x:row>
    <x:row r="358" ht="18" customHeight="1">
      <x:c r="A358" s="24" t="str">
        <x:v>EEZ_962</x:v>
      </x:c>
      <x:c r="B358" s="24" t="str">
        <x:v>Spain (mainland, Med and Gulf of Cadiz)</x:v>
      </x:c>
      <x:c r="C358" s="24" t="str">
        <x:v>EEZ</x:v>
      </x:c>
      <x:c r="D358" s="30" t="n">
        <x:v>2019</x:v>
      </x:c>
      <x:c r="E358" s="24" t="str">
        <x:v>Tetrapturus</x:v>
      </x:c>
      <x:c r="F358" s="24" t="str">
        <x:v>Spearfishes</x:v>
      </x:c>
      <x:c r="G358" s="24" t="str">
        <x:v>Large pelagics (&gt;=90 cm)</x:v>
      </x:c>
      <x:c r="H358" s="24" t="str">
        <x:v>Tuna &amp; billfishes</x:v>
      </x:c>
      <x:c r="I358" s="31" t="n">
        <x:v>0.0083204779</x:v>
      </x:c>
      <x:c r="J358" s="31" t="n">
        <x:v>0.0083204779</x:v>
      </x:c>
      <x:c r="K358" s="31" t="n">
        <x:v>0</x:v>
      </x:c>
      <x:c r="L358" s="31" t="n">
        <x:v>0</x:v>
      </x:c>
      <x:c r="M358" s="31" t="n">
        <x:v>0.0083204779</x:v>
      </x:c>
      <x:c r="N358" s="24" t="str">
        <x:v>tetrapturus</x:v>
      </x:c>
      <x:c r="O358" s="32" t="n">
        <x:v>4.47</x:v>
      </x:c>
      <x:c r="P358" s="24" t="str">
        <x:v>exact_sea_around_us</x:v>
      </x:c>
      <x:c r="Q358" s="32" t="str">
        <x:v>Sea Around Us exploited organisms</x:v>
      </x:c>
      <x:c r="R358" s="24" t="str">
        <x:v>high</x:v>
      </x:c>
      <x:c r="S358" s="24" t="str">
        <x:v>Tetrapturus</x:v>
      </x:c>
      <x:c r="T358" s="32" t="n">
        <x:f>IF(O358="","",(1/'Metadata'!$B$5)^(O358-1))</x:f>
        <x:v>2951.209226666384</x:v>
      </x:c>
      <x:c r="U358" s="31" t="n">
        <x:f>IF(T358="","",I358*T358)</x:f>
        <x:v>24.55547114875374</x:v>
      </x:c>
    </x:row>
    <x:row r="359" ht="18" customHeight="1">
      <x:c r="A359" s="24" t="str">
        <x:v>EEZ_962</x:v>
      </x:c>
      <x:c r="B359" s="24" t="str">
        <x:v>Spain (mainland, Med and Gulf of Cadiz)</x:v>
      </x:c>
      <x:c r="C359" s="24" t="str">
        <x:v>EEZ</x:v>
      </x:c>
      <x:c r="D359" s="30" t="n">
        <x:v>2019</x:v>
      </x:c>
      <x:c r="E359" s="24" t="str">
        <x:v>Triakidae</x:v>
      </x:c>
      <x:c r="F359" s="24" t="str">
        <x:v>Houndsharks</x:v>
      </x:c>
      <x:c r="G359" s="24" t="str">
        <x:v>Large sharks (&gt;=90 cm)</x:v>
      </x:c>
      <x:c r="H359" s="24" t="str">
        <x:v>Sharks &amp; rays</x:v>
      </x:c>
      <x:c r="I359" s="31" t="n">
        <x:v>0.0078056707000000005</x:v>
      </x:c>
      <x:c r="J359" s="31" t="n">
        <x:v>0.0012163977</x:v>
      </x:c>
      <x:c r="K359" s="31" t="n">
        <x:v>0.0065892730000000005</x:v>
      </x:c>
      <x:c r="L359" s="31" t="n">
        <x:v>0</x:v>
      </x:c>
      <x:c r="M359" s="31" t="n">
        <x:v>0.0078056707000000005</x:v>
      </x:c>
      <x:c r="N359" s="24" t="str">
        <x:v>triakidae</x:v>
      </x:c>
      <x:c r="O359" s="32" t="n">
        <x:v>3.82</x:v>
      </x:c>
      <x:c r="P359" s="24" t="str">
        <x:v>exact_sea_around_us</x:v>
      </x:c>
      <x:c r="Q359" s="32" t="str">
        <x:v>Sea Around Us exploited organisms</x:v>
      </x:c>
      <x:c r="R359" s="24" t="str">
        <x:v>high</x:v>
      </x:c>
      <x:c r="S359" s="24" t="str">
        <x:v>Triakidae</x:v>
      </x:c>
      <x:c r="T359" s="32" t="n">
        <x:f>IF(O359="","",(1/'Metadata'!$B$5)^(O359-1))</x:f>
        <x:v>660.6934480075957</x:v>
      </x:c>
      <x:c r="U359" s="31" t="n">
        <x:f>IF(T359="","",I359*T359)</x:f>
        <x:v>5.157155488794864</x:v>
      </x:c>
    </x:row>
    <x:row r="360" ht="18" customHeight="1">
      <x:c r="A360" s="24" t="str">
        <x:v>EEZ_962</x:v>
      </x:c>
      <x:c r="B360" s="24" t="str">
        <x:v>Spain (mainland, Med and Gulf of Cadiz)</x:v>
      </x:c>
      <x:c r="C360" s="24" t="str">
        <x:v>EEZ</x:v>
      </x:c>
      <x:c r="D360" s="30" t="n">
        <x:v>2019</x:v>
      </x:c>
      <x:c r="E360" s="24" t="str">
        <x:v>Sphyraena barracuda</x:v>
      </x:c>
      <x:c r="F360" s="24" t="str">
        <x:v>Great barracuda</x:v>
      </x:c>
      <x:c r="G360" s="24" t="str">
        <x:v>Large pelagics (&gt;=90 cm)</x:v>
      </x:c>
      <x:c r="H360" s="24" t="str">
        <x:v>Perch-likes</x:v>
      </x:c>
      <x:c r="I360" s="31" t="n">
        <x:v>0.0077293571000000005</x:v>
      </x:c>
      <x:c r="J360" s="31" t="n">
        <x:v>0.0077293571000000005</x:v>
      </x:c>
      <x:c r="K360" s="31" t="n">
        <x:v>0</x:v>
      </x:c>
      <x:c r="L360" s="31" t="n">
        <x:v>0.0077293571000000005</x:v>
      </x:c>
      <x:c r="M360" s="31" t="n">
        <x:v>0</x:v>
      </x:c>
      <x:c r="N360" s="24" t="str">
        <x:v>sphyraena barracuda</x:v>
      </x:c>
      <x:c r="O360" s="32" t="n">
        <x:v>4.49</x:v>
      </x:c>
      <x:c r="P360" s="24" t="str">
        <x:v>exact_2020_supplement</x:v>
      </x:c>
      <x:c r="Q360" s="32" t="str">
        <x:v>2020 supplement MeanTL</x:v>
      </x:c>
      <x:c r="R360" s="24" t="str">
        <x:v>high</x:v>
      </x:c>
      <x:c r="S360" s="24" t="str">
        <x:v>Sphyraena barracuda</x:v>
      </x:c>
      <x:c r="T360" s="32" t="n">
        <x:f>IF(O360="","",(1/'Metadata'!$B$5)^(O360-1))</x:f>
        <x:v>3090.295432513592</x:v>
      </x:c>
      <x:c r="U360" s="31" t="n">
        <x:f>IF(T360="","",I360*T360)</x:f>
        <x:v>23.885996942396506</x:v>
      </x:c>
    </x:row>
    <x:row r="361" ht="18" customHeight="1">
      <x:c r="A361" s="24" t="str">
        <x:v>EEZ_962</x:v>
      </x:c>
      <x:c r="B361" s="24" t="str">
        <x:v>Spain (mainland, Med and Gulf of Cadiz)</x:v>
      </x:c>
      <x:c r="C361" s="24" t="str">
        <x:v>EEZ</x:v>
      </x:c>
      <x:c r="D361" s="30" t="n">
        <x:v>2019</x:v>
      </x:c>
      <x:c r="E361" s="24" t="str">
        <x:v>Platichthys flesus</x:v>
      </x:c>
      <x:c r="F361" s="24" t="str">
        <x:v>European flounder</x:v>
      </x:c>
      <x:c r="G361" s="24" t="str">
        <x:v>Small to medium flatfishes (&lt;90 cm)</x:v>
      </x:c>
      <x:c r="H361" s="24" t="str">
        <x:v>Flatfishes</x:v>
      </x:c>
      <x:c r="I361" s="31" t="n">
        <x:v>0.0077002256</x:v>
      </x:c>
      <x:c r="J361" s="31" t="n">
        <x:v>0.0013365252</x:v>
      </x:c>
      <x:c r="K361" s="31" t="n">
        <x:v>0.0063637004</x:v>
      </x:c>
      <x:c r="L361" s="31" t="n">
        <x:v>0</x:v>
      </x:c>
      <x:c r="M361" s="31" t="n">
        <x:v>0.0077002256</x:v>
      </x:c>
      <x:c r="N361" s="24" t="str">
        <x:v>platichthys flesus</x:v>
      </x:c>
      <x:c r="O361" s="32" t="n">
        <x:v>3.32</x:v>
      </x:c>
      <x:c r="P361" s="24" t="str">
        <x:v>exact_2020_supplement</x:v>
      </x:c>
      <x:c r="Q361" s="32" t="str">
        <x:v>2020 supplement MeanTL</x:v>
      </x:c>
      <x:c r="R361" s="24" t="str">
        <x:v>high</x:v>
      </x:c>
      <x:c r="S361" s="24" t="str">
        <x:v>Platichthys flesus</x:v>
      </x:c>
      <x:c r="T361" s="32" t="n">
        <x:f>IF(O361="","",(1/'Metadata'!$B$5)^(O361-1))</x:f>
        <x:v>208.92961308540387</x:v>
      </x:c>
      <x:c r="U361" s="31" t="n">
        <x:f>IF(T361="","",I361*T361)</x:f>
        <x:v>1.6088051552783218</x:v>
      </x:c>
    </x:row>
    <x:row r="362" ht="18" customHeight="1">
      <x:c r="A362" s="24" t="str">
        <x:v>EEZ_962</x:v>
      </x:c>
      <x:c r="B362" s="24" t="str">
        <x:v>Spain (mainland, Med and Gulf of Cadiz)</x:v>
      </x:c>
      <x:c r="C362" s="24" t="str">
        <x:v>EEZ</x:v>
      </x:c>
      <x:c r="D362" s="30" t="n">
        <x:v>2019</x:v>
      </x:c>
      <x:c r="E362" s="24" t="str">
        <x:v>Scyllarus arctus</x:v>
      </x:c>
      <x:c r="F362" s="24" t="str">
        <x:v>Small European locust lobster</x:v>
      </x:c>
      <x:c r="G362" s="24" t="str">
        <x:v>Lobsters, crabs</x:v>
      </x:c>
      <x:c r="H362" s="24" t="str">
        <x:v>Crustaceans</x:v>
      </x:c>
      <x:c r="I362" s="31" t="n">
        <x:v>0.0076485285</x:v>
      </x:c>
      <x:c r="J362" s="31" t="n">
        <x:v>0.0074905252</x:v>
      </x:c>
      <x:c r="K362" s="31" t="n">
        <x:v>0.0001580033</x:v>
      </x:c>
      <x:c r="L362" s="31" t="n">
        <x:v>0.0074905252</x:v>
      </x:c>
      <x:c r="M362" s="31" t="n">
        <x:v>0.0001580033</x:v>
      </x:c>
      <x:c r="N362" s="24" t="str">
        <x:v>scyllarus arctus</x:v>
      </x:c>
      <x:c r="O362" s="32" t="n">
        <x:v>2.87</x:v>
      </x:c>
      <x:c r="P362" s="24" t="str">
        <x:v>exact_sea_around_us</x:v>
      </x:c>
      <x:c r="Q362" s="32" t="str">
        <x:v>Sea Around Us exploited organisms</x:v>
      </x:c>
      <x:c r="R362" s="24" t="str">
        <x:v>high</x:v>
      </x:c>
      <x:c r="S362" s="24" t="str">
        <x:v>Scyllarus arctus</x:v>
      </x:c>
      <x:c r="T362" s="32" t="n">
        <x:f>IF(O362="","",(1/'Metadata'!$B$5)^(O362-1))</x:f>
        <x:v>74.13102413009177</x:v>
      </x:c>
      <x:c r="U362" s="31" t="n">
        <x:f>IF(T362="","",I362*T362)</x:f>
        <x:v>0.5669932507931946</x:v>
      </x:c>
    </x:row>
    <x:row r="363" ht="18" customHeight="1">
      <x:c r="A363" s="24" t="str">
        <x:v>EEZ_962</x:v>
      </x:c>
      <x:c r="B363" s="24" t="str">
        <x:v>Spain (mainland, Med and Gulf of Cadiz)</x:v>
      </x:c>
      <x:c r="C363" s="24" t="str">
        <x:v>EEZ</x:v>
      </x:c>
      <x:c r="D363" s="30" t="n">
        <x:v>2019</x:v>
      </x:c>
      <x:c r="E363" s="24" t="str">
        <x:v>Mobula mobular</x:v>
      </x:c>
      <x:c r="F363" s="24" t="str">
        <x:v>Devil fish</x:v>
      </x:c>
      <x:c r="G363" s="24" t="str">
        <x:v>Large rays (&gt;=90 cm)</x:v>
      </x:c>
      <x:c r="H363" s="24" t="str">
        <x:v>Sharks &amp; rays</x:v>
      </x:c>
      <x:c r="I363" s="31" t="n">
        <x:v>0.0057787301</x:v>
      </x:c>
      <x:c r="J363" s="31" t="n">
        <x:v>0.0055160852</x:v>
      </x:c>
      <x:c r="K363" s="31" t="n">
        <x:v>0.0002626449</x:v>
      </x:c>
      <x:c r="L363" s="31" t="n">
        <x:v>0.0054948832</x:v>
      </x:c>
      <x:c r="M363" s="31" t="n">
        <x:v>0.0002838469</x:v>
      </x:c>
      <x:c r="N363" s="24" t="str">
        <x:v>mobula mobular</x:v>
      </x:c>
      <x:c r="O363" s="32" t="n">
        <x:v>3.71</x:v>
      </x:c>
      <x:c r="P363" s="24" t="str">
        <x:v>exact_2020_supplement</x:v>
      </x:c>
      <x:c r="Q363" s="32" t="str">
        <x:v>2020 supplement MeanTL</x:v>
      </x:c>
      <x:c r="R363" s="24" t="str">
        <x:v>high</x:v>
      </x:c>
      <x:c r="S363" s="24" t="str">
        <x:v>Mobula mobular</x:v>
      </x:c>
      <x:c r="T363" s="32" t="n">
        <x:f>IF(O363="","",(1/'Metadata'!$B$5)^(O363-1))</x:f>
        <x:v>512.8613839913648</x:v>
      </x:c>
      <x:c r="U363" s="31" t="n">
        <x:f>IF(T363="","",I363*T363)</x:f>
        <x:v>2.963687516798558</x:v>
      </x:c>
    </x:row>
    <x:row r="364" ht="18" customHeight="1">
      <x:c r="A364" s="24" t="str">
        <x:v>EEZ_962</x:v>
      </x:c>
      <x:c r="B364" s="24" t="str">
        <x:v>Spain (mainland, Med and Gulf of Cadiz)</x:v>
      </x:c>
      <x:c r="C364" s="24" t="str">
        <x:v>EEZ</x:v>
      </x:c>
      <x:c r="D364" s="30" t="n">
        <x:v>2019</x:v>
      </x:c>
      <x:c r="E364" s="24" t="str">
        <x:v>Carcinus maenas</x:v>
      </x:c>
      <x:c r="F364" s="24" t="str">
        <x:v>Green crab</x:v>
      </x:c>
      <x:c r="G364" s="24" t="str">
        <x:v>Lobsters, crabs</x:v>
      </x:c>
      <x:c r="H364" s="24" t="str">
        <x:v>Crustaceans</x:v>
      </x:c>
      <x:c r="I364" s="31" t="n">
        <x:v>0.0052153877999999996</x:v>
      </x:c>
      <x:c r="J364" s="31" t="n">
        <x:v>0.0052153877999999996</x:v>
      </x:c>
      <x:c r="K364" s="31" t="n">
        <x:v>0</x:v>
      </x:c>
      <x:c r="L364" s="31" t="n">
        <x:v>0.004739964399999999</x:v>
      </x:c>
      <x:c r="M364" s="31" t="n">
        <x:v>0.0004754234</x:v>
      </x:c>
      <x:c r="N364" s="24" t="str">
        <x:v>carcinus maenas</x:v>
      </x:c>
      <x:c r="O364" s="32" t="n">
        <x:v>3.5</x:v>
      </x:c>
      <x:c r="P364" s="24" t="str">
        <x:v>exact_2020_supplement</x:v>
      </x:c>
      <x:c r="Q364" s="32" t="str">
        <x:v>2020 supplement MeanTL</x:v>
      </x:c>
      <x:c r="R364" s="24" t="str">
        <x:v>high</x:v>
      </x:c>
      <x:c r="S364" s="24" t="str">
        <x:v>Carcinus maenas</x:v>
      </x:c>
      <x:c r="T364" s="32" t="n">
        <x:f>IF(O364="","",(1/'Metadata'!$B$5)^(O364-1))</x:f>
        <x:v>316.22776601683796</x:v>
      </x:c>
      <x:c r="U364" s="31" t="n">
        <x:f>IF(T364="","",I364*T364)</x:f>
        <x:v>1.6492504329054711</x:v>
      </x:c>
    </x:row>
    <x:row r="365" ht="18" customHeight="1">
      <x:c r="A365" s="24" t="str">
        <x:v>EEZ_962</x:v>
      </x:c>
      <x:c r="B365" s="24" t="str">
        <x:v>Spain (mainland, Med and Gulf of Cadiz)</x:v>
      </x:c>
      <x:c r="C365" s="24" t="str">
        <x:v>EEZ</x:v>
      </x:c>
      <x:c r="D365" s="30" t="n">
        <x:v>2019</x:v>
      </x:c>
      <x:c r="E365" s="24" t="str">
        <x:v>Epinephelus aeneus</x:v>
      </x:c>
      <x:c r="F365" s="24" t="str">
        <x:v>White grouper</x:v>
      </x:c>
      <x:c r="G365" s="24" t="str">
        <x:v>Large demersals (&gt;=90 cm)</x:v>
      </x:c>
      <x:c r="H365" s="24" t="str">
        <x:v>Perch-likes</x:v>
      </x:c>
      <x:c r="I365" s="31" t="n">
        <x:v>0.0050221952</x:v>
      </x:c>
      <x:c r="J365" s="31" t="n">
        <x:v>0.0050221952</x:v>
      </x:c>
      <x:c r="K365" s="31" t="n">
        <x:v>0</x:v>
      </x:c>
      <x:c r="L365" s="31" t="n">
        <x:v>0.0050221952</x:v>
      </x:c>
      <x:c r="M365" s="31" t="n">
        <x:v>0</x:v>
      </x:c>
      <x:c r="N365" s="24" t="str">
        <x:v>epinephelus aeneus</x:v>
      </x:c>
      <x:c r="O365" s="32" t="n">
        <x:v>4.02</x:v>
      </x:c>
      <x:c r="P365" s="24" t="str">
        <x:v>exact_2020_supplement</x:v>
      </x:c>
      <x:c r="Q365" s="32" t="str">
        <x:v>2020 supplement MeanTL</x:v>
      </x:c>
      <x:c r="R365" s="24" t="str">
        <x:v>high</x:v>
      </x:c>
      <x:c r="S365" s="24" t="str">
        <x:v>Epinephelus aeneus</x:v>
      </x:c>
      <x:c r="T365" s="32" t="n">
        <x:f>IF(O365="","",(1/'Metadata'!$B$5)^(O365-1))</x:f>
        <x:v>1047.1285480508984</x:v>
      </x:c>
      <x:c r="U365" s="31" t="n">
        <x:f>IF(T365="","",I365*T365)</x:f>
        <x:v>5.258883967804191</x:v>
      </x:c>
    </x:row>
    <x:row r="366" ht="18" customHeight="1">
      <x:c r="A366" s="24" t="str">
        <x:v>EEZ_962</x:v>
      </x:c>
      <x:c r="B366" s="24" t="str">
        <x:v>Spain (mainland, Med and Gulf of Cadiz)</x:v>
      </x:c>
      <x:c r="C366" s="24" t="str">
        <x:v>EEZ</x:v>
      </x:c>
      <x:c r="D366" s="30" t="n">
        <x:v>2019</x:v>
      </x:c>
      <x:c r="E366" s="24" t="str">
        <x:v>Alopias</x:v>
      </x:c>
      <x:c r="F366" s="24" t="str">
        <x:v>Thresher sharks</x:v>
      </x:c>
      <x:c r="G366" s="24" t="str">
        <x:v>Large sharks (&gt;=90 cm)</x:v>
      </x:c>
      <x:c r="H366" s="24" t="str">
        <x:v>Sharks &amp; rays</x:v>
      </x:c>
      <x:c r="I366" s="31" t="n">
        <x:v>0.0035280952</x:v>
      </x:c>
      <x:c r="J366" s="31" t="n">
        <x:v>0.003426696</x:v>
      </x:c>
      <x:c r="K366" s="31" t="n">
        <x:v>0.0001013992</x:v>
      </x:c>
      <x:c r="L366" s="31" t="n">
        <x:v>0.0010923151</x:v>
      </x:c>
      <x:c r="M366" s="31" t="n">
        <x:v>0.0024357801</x:v>
      </x:c>
      <x:c r="N366" s="24" t="str">
        <x:v>alopias</x:v>
      </x:c>
      <x:c r="O366" s="32" t="n">
        <x:v>4.5</x:v>
      </x:c>
      <x:c r="P366" s="24" t="str">
        <x:v>exact_sea_around_us</x:v>
      </x:c>
      <x:c r="Q366" s="32" t="str">
        <x:v>Sea Around Us exploited organisms</x:v>
      </x:c>
      <x:c r="R366" s="24" t="str">
        <x:v>high</x:v>
      </x:c>
      <x:c r="S366" s="24" t="str">
        <x:v>Alopias</x:v>
      </x:c>
      <x:c r="T366" s="32" t="n">
        <x:f>IF(O366="","",(1/'Metadata'!$B$5)^(O366-1))</x:f>
        <x:v>3162.2776601683795</x:v>
      </x:c>
      <x:c r="U366" s="31" t="n">
        <x:f>IF(T366="","",I366*T366)</x:f>
        <x:v>11.15681663390729</x:v>
      </x:c>
    </x:row>
    <x:row r="367" ht="18" customHeight="1">
      <x:c r="A367" s="24" t="str">
        <x:v>EEZ_962</x:v>
      </x:c>
      <x:c r="B367" s="24" t="str">
        <x:v>Spain (mainland, Med and Gulf of Cadiz)</x:v>
      </x:c>
      <x:c r="C367" s="24" t="str">
        <x:v>EEZ</x:v>
      </x:c>
      <x:c r="D367" s="30" t="n">
        <x:v>2019</x:v>
      </x:c>
      <x:c r="E367" s="24" t="str">
        <x:v>Teuthida</x:v>
      </x:c>
      <x:c r="F367" s="24" t="str">
        <x:v>Squids</x:v>
      </x:c>
      <x:c r="G367" s="24" t="str">
        <x:v>Cephalopods</x:v>
      </x:c>
      <x:c r="H367" s="24" t="str">
        <x:v>Other fishes &amp; inverts</x:v>
      </x:c>
      <x:c r="I367" s="31" t="n">
        <x:v>0.0033738313</x:v>
      </x:c>
      <x:c r="J367" s="31" t="n">
        <x:v>0.0033738313</x:v>
      </x:c>
      <x:c r="K367" s="31" t="n">
        <x:v>0</x:v>
      </x:c>
      <x:c r="L367" s="31" t="n">
        <x:v>0.0033738313</x:v>
      </x:c>
      <x:c r="M367" s="31" t="n">
        <x:v>0</x:v>
      </x:c>
      <x:c r="N367" s="24" t="str">
        <x:v>teuthida</x:v>
      </x:c>
      <x:c r="O367" s="32" t="n">
        <x:v>4.13</x:v>
      </x:c>
      <x:c r="P367" s="24" t="str">
        <x:v>exact_sea_around_us</x:v>
      </x:c>
      <x:c r="Q367" s="32" t="str">
        <x:v>Sea Around Us exploited organisms</x:v>
      </x:c>
      <x:c r="R367" s="24" t="str">
        <x:v>high</x:v>
      </x:c>
      <x:c r="S367" s="24" t="str">
        <x:v>Teuthida</x:v>
      </x:c>
      <x:c r="T367" s="32" t="n">
        <x:f>IF(O367="","",(1/'Metadata'!$B$5)^(O367-1))</x:f>
        <x:v>1348.9628825916532</x:v>
      </x:c>
      <x:c r="U367" s="31" t="n">
        <x:f>IF(T367="","",I367*T367)</x:f>
        <x:v>4.551173195825944</x:v>
      </x:c>
    </x:row>
    <x:row r="368" ht="18" customHeight="1">
      <x:c r="A368" s="24" t="str">
        <x:v>EEZ_962</x:v>
      </x:c>
      <x:c r="B368" s="24" t="str">
        <x:v>Spain (mainland, Med and Gulf of Cadiz)</x:v>
      </x:c>
      <x:c r="C368" s="24" t="str">
        <x:v>EEZ</x:v>
      </x:c>
      <x:c r="D368" s="30" t="n">
        <x:v>2019</x:v>
      </x:c>
      <x:c r="E368" s="24" t="str">
        <x:v>Cetorhinus maximus</x:v>
      </x:c>
      <x:c r="F368" s="24" t="str">
        <x:v>Basking shark</x:v>
      </x:c>
      <x:c r="G368" s="24" t="str">
        <x:v>Large sharks (&gt;=90 cm)</x:v>
      </x:c>
      <x:c r="H368" s="24" t="str">
        <x:v>Sharks &amp; rays</x:v>
      </x:c>
      <x:c r="I368" s="31" t="n">
        <x:v>0.0032805065</x:v>
      </x:c>
      <x:c r="J368" s="31" t="n">
        <x:v>0</x:v>
      </x:c>
      <x:c r="K368" s="31" t="n">
        <x:v>0.0032805065</x:v>
      </x:c>
      <x:c r="L368" s="31" t="n">
        <x:v>0</x:v>
      </x:c>
      <x:c r="M368" s="31" t="n">
        <x:v>0.0032805065</x:v>
      </x:c>
      <x:c r="N368" s="24" t="str">
        <x:v>cetorhinus maximus</x:v>
      </x:c>
      <x:c r="O368" s="32" t="n">
        <x:v>3.2</x:v>
      </x:c>
      <x:c r="P368" s="24" t="str">
        <x:v>exact_2020_supplement</x:v>
      </x:c>
      <x:c r="Q368" s="32" t="str">
        <x:v>2020 supplement MeanTL</x:v>
      </x:c>
      <x:c r="R368" s="24" t="str">
        <x:v>high</x:v>
      </x:c>
      <x:c r="S368" s="24" t="str">
        <x:v>Cetorhinus maximus</x:v>
      </x:c>
      <x:c r="T368" s="32" t="n">
        <x:f>IF(O368="","",(1/'Metadata'!$B$5)^(O368-1))</x:f>
        <x:v>158.48931924611142</x:v>
      </x:c>
      <x:c r="U368" s="31" t="n">
        <x:f>IF(T368="","",I368*T368)</x:f>
        <x:v>0.5199252419674436</x:v>
      </x:c>
    </x:row>
    <x:row r="369" ht="18" customHeight="1">
      <x:c r="A369" s="24" t="str">
        <x:v>EEZ_962</x:v>
      </x:c>
      <x:c r="B369" s="24" t="str">
        <x:v>Spain (mainland, Med and Gulf of Cadiz)</x:v>
      </x:c>
      <x:c r="C369" s="24" t="str">
        <x:v>EEZ</x:v>
      </x:c>
      <x:c r="D369" s="30" t="n">
        <x:v>2019</x:v>
      </x:c>
      <x:c r="E369" s="24" t="str">
        <x:v>Hirundichthys rondeletii</x:v>
      </x:c>
      <x:c r="F369" s="24" t="str">
        <x:v>Black wing flyingfish</x:v>
      </x:c>
      <x:c r="G369" s="24" t="str">
        <x:v>Medium pelagics (30 - 89 cm)</x:v>
      </x:c>
      <x:c r="H369" s="24" t="str">
        <x:v>Other fishes &amp; inverts</x:v>
      </x:c>
      <x:c r="I369" s="31" t="n">
        <x:v>0.0028290082</x:v>
      </x:c>
      <x:c r="J369" s="31" t="n">
        <x:v>0.0027425264</x:v>
      </x:c>
      <x:c r="K369" s="31" t="n">
        <x:v>0.0000864818</x:v>
      </x:c>
      <x:c r="L369" s="31" t="n">
        <x:v>0.0027425264</x:v>
      </x:c>
      <x:c r="M369" s="31" t="n">
        <x:v>0.0000864818</x:v>
      </x:c>
      <x:c r="N369" s="24" t="str">
        <x:v>hirundichthys rondeletii</x:v>
      </x:c>
      <x:c r="O369" s="32" t="n">
        <x:v>3</x:v>
      </x:c>
      <x:c r="P369" s="24" t="str">
        <x:v>exact_sea_around_us</x:v>
      </x:c>
      <x:c r="Q369" s="32" t="str">
        <x:v>Sea Around Us exploited organisms</x:v>
      </x:c>
      <x:c r="R369" s="24" t="str">
        <x:v>high</x:v>
      </x:c>
      <x:c r="S369" s="24" t="str">
        <x:v>Hirundichthys rondeletii</x:v>
      </x:c>
      <x:c r="T369" s="32" t="n">
        <x:f>IF(O369="","",(1/'Metadata'!$B$5)^(O369-1))</x:f>
        <x:v>100</x:v>
      </x:c>
      <x:c r="U369" s="31" t="n">
        <x:f>IF(T369="","",I369*T369)</x:f>
        <x:v>0.28290082</x:v>
      </x:c>
    </x:row>
    <x:row r="370" ht="18" customHeight="1">
      <x:c r="A370" s="24" t="str">
        <x:v>EEZ_962</x:v>
      </x:c>
      <x:c r="B370" s="24" t="str">
        <x:v>Spain (mainland, Med and Gulf of Cadiz)</x:v>
      </x:c>
      <x:c r="C370" s="24" t="str">
        <x:v>EEZ</x:v>
      </x:c>
      <x:c r="D370" s="30" t="n">
        <x:v>2019</x:v>
      </x:c>
      <x:c r="E370" s="24" t="str">
        <x:v>Pecten maximus</x:v>
      </x:c>
      <x:c r="F370" s="24" t="str">
        <x:v>Great Atlantic scallop</x:v>
      </x:c>
      <x:c r="G370" s="24" t="str">
        <x:v>Other demersal invertebrates</x:v>
      </x:c>
      <x:c r="H370" s="24" t="str">
        <x:v>Molluscs</x:v>
      </x:c>
      <x:c r="I370" s="31" t="n">
        <x:v>0.0025719877</x:v>
      </x:c>
      <x:c r="J370" s="31" t="n">
        <x:v>0.0025719877</x:v>
      </x:c>
      <x:c r="K370" s="31" t="n">
        <x:v>0</x:v>
      </x:c>
      <x:c r="L370" s="31" t="n">
        <x:v>0.0020399847</x:v>
      </x:c>
      <x:c r="M370" s="31" t="n">
        <x:v>0.0005320030000000001</x:v>
      </x:c>
      <x:c r="N370" s="24" t="str">
        <x:v>pecten maximus</x:v>
      </x:c>
      <x:c r="O370" s="32" t="n">
        <x:v>2</x:v>
      </x:c>
      <x:c r="P370" s="24" t="str">
        <x:v>exact_2020_supplement</x:v>
      </x:c>
      <x:c r="Q370" s="32" t="str">
        <x:v>2020 supplement MeanTL</x:v>
      </x:c>
      <x:c r="R370" s="24" t="str">
        <x:v>high</x:v>
      </x:c>
      <x:c r="S370" s="24" t="str">
        <x:v>Pecten maximus</x:v>
      </x:c>
      <x:c r="T370" s="32" t="n">
        <x:f>IF(O370="","",(1/'Metadata'!$B$5)^(O370-1))</x:f>
        <x:v>10</x:v>
      </x:c>
      <x:c r="U370" s="31" t="n">
        <x:f>IF(T370="","",I370*T370)</x:f>
        <x:v>0.025719877000000002</x:v>
      </x:c>
    </x:row>
    <x:row r="371" ht="18" customHeight="1">
      <x:c r="A371" s="24" t="str">
        <x:v>EEZ_962</x:v>
      </x:c>
      <x:c r="B371" s="24" t="str">
        <x:v>Spain (mainland, Med and Gulf of Cadiz)</x:v>
      </x:c>
      <x:c r="C371" s="24" t="str">
        <x:v>EEZ</x:v>
      </x:c>
      <x:c r="D371" s="30" t="n">
        <x:v>2019</x:v>
      </x:c>
      <x:c r="E371" s="24" t="str">
        <x:v>Solen</x:v>
      </x:c>
      <x:c r="F371" s="24" t="str">
        <x:v>Razor clams</x:v>
      </x:c>
      <x:c r="G371" s="24" t="str">
        <x:v>Other demersal invertebrates</x:v>
      </x:c>
      <x:c r="H371" s="24" t="str">
        <x:v>Molluscs</x:v>
      </x:c>
      <x:c r="I371" s="31" t="n">
        <x:v>0.0019664592</x:v>
      </x:c>
      <x:c r="J371" s="31" t="n">
        <x:v>0.0019664592</x:v>
      </x:c>
      <x:c r="K371" s="31" t="n">
        <x:v>0</x:v>
      </x:c>
      <x:c r="L371" s="31" t="n">
        <x:v>0</x:v>
      </x:c>
      <x:c r="M371" s="31" t="n">
        <x:v>0.0019664592</x:v>
      </x:c>
      <x:c r="N371" s="24" t="str">
        <x:v>solen</x:v>
      </x:c>
      <x:c r="O371" s="32" t="n">
        <x:v>2</x:v>
      </x:c>
      <x:c r="P371" s="24" t="str">
        <x:v>exact_sea_around_us</x:v>
      </x:c>
      <x:c r="Q371" s="32" t="str">
        <x:v>Sea Around Us exploited organisms</x:v>
      </x:c>
      <x:c r="R371" s="24" t="str">
        <x:v>high</x:v>
      </x:c>
      <x:c r="S371" s="24" t="str">
        <x:v>Solen</x:v>
      </x:c>
      <x:c r="T371" s="32" t="n">
        <x:f>IF(O371="","",(1/'Metadata'!$B$5)^(O371-1))</x:f>
        <x:v>10</x:v>
      </x:c>
      <x:c r="U371" s="31" t="n">
        <x:f>IF(T371="","",I371*T371)</x:f>
        <x:v>0.019664591999999998</x:v>
      </x:c>
    </x:row>
    <x:row r="372" ht="18" customHeight="1">
      <x:c r="A372" s="24" t="str">
        <x:v>EEZ_962</x:v>
      </x:c>
      <x:c r="B372" s="24" t="str">
        <x:v>Spain (mainland, Med and Gulf of Cadiz)</x:v>
      </x:c>
      <x:c r="C372" s="24" t="str">
        <x:v>EEZ</x:v>
      </x:c>
      <x:c r="D372" s="30" t="n">
        <x:v>2019</x:v>
      </x:c>
      <x:c r="E372" s="24" t="str">
        <x:v>Bathysolea profundicola</x:v>
      </x:c>
      <x:c r="F372" s="24" t="str">
        <x:v>Deepwater sole</x:v>
      </x:c>
      <x:c r="G372" s="24" t="str">
        <x:v>Small to medium flatfishes (&lt;90 cm)</x:v>
      </x:c>
      <x:c r="H372" s="24" t="str">
        <x:v>Flatfishes</x:v>
      </x:c>
      <x:c r="I372" s="31" t="n">
        <x:v>0.0006998404</x:v>
      </x:c>
      <x:c r="J372" s="31" t="n">
        <x:v>0.00012094869999999999</x:v>
      </x:c>
      <x:c r="K372" s="31" t="n">
        <x:v>0.0005788917</x:v>
      </x:c>
      <x:c r="L372" s="31" t="n">
        <x:v>0</x:v>
      </x:c>
      <x:c r="M372" s="31" t="n">
        <x:v>0.0006998404</x:v>
      </x:c>
      <x:c r="N372" s="24" t="str">
        <x:v>bathysolea profundicola</x:v>
      </x:c>
      <x:c r="O372" s="32" t="n">
        <x:v>3.17</x:v>
      </x:c>
      <x:c r="P372" s="24" t="str">
        <x:v>exact_2020_supplement</x:v>
      </x:c>
      <x:c r="Q372" s="32" t="str">
        <x:v>2020 supplement MeanTL</x:v>
      </x:c>
      <x:c r="R372" s="24" t="str">
        <x:v>high</x:v>
      </x:c>
      <x:c r="S372" s="24" t="str">
        <x:v>Bathysolea profundicola</x:v>
      </x:c>
      <x:c r="T372" s="32" t="n">
        <x:f>IF(O372="","",(1/'Metadata'!$B$5)^(O372-1))</x:f>
        <x:v>147.91083881682073</x:v>
      </x:c>
      <x:c r="U372" s="31" t="n">
        <x:f>IF(T372="","",I372*T372)</x:f>
        <x:v>0.10351398060189934</x:v>
      </x:c>
    </x:row>
    <x:row r="373" ht="18" customHeight="1">
      <x:c r="A373" s="24" t="str">
        <x:v>EEZ_962</x:v>
      </x:c>
      <x:c r="B373" s="24" t="str">
        <x:v>Spain (mainland, Med and Gulf of Cadiz)</x:v>
      </x:c>
      <x:c r="C373" s="24" t="str">
        <x:v>EEZ</x:v>
      </x:c>
      <x:c r="D373" s="30" t="n">
        <x:v>2019</x:v>
      </x:c>
      <x:c r="E373" s="24" t="str">
        <x:v>Venerupis</x:v>
      </x:c>
      <x:c r="F373" s="24" t="str">
        <x:v>Rhomboid carpet shells</x:v>
      </x:c>
      <x:c r="G373" s="24" t="str">
        <x:v>Other demersal invertebrates</x:v>
      </x:c>
      <x:c r="H373" s="24" t="str">
        <x:v>Molluscs</x:v>
      </x:c>
      <x:c r="I373" s="31" t="n">
        <x:v>0.0006494694</x:v>
      </x:c>
      <x:c r="J373" s="31" t="n">
        <x:v>0.0006494694</x:v>
      </x:c>
      <x:c r="K373" s="31" t="n">
        <x:v>0</x:v>
      </x:c>
      <x:c r="L373" s="31" t="n">
        <x:v>0</x:v>
      </x:c>
      <x:c r="M373" s="31" t="n">
        <x:v>0.0006494694</x:v>
      </x:c>
      <x:c r="N373" s="24" t="str">
        <x:v>venerupis</x:v>
      </x:c>
      <x:c r="O373" s="32" t="n">
        <x:v>2</x:v>
      </x:c>
      <x:c r="P373" s="24" t="str">
        <x:v>exact_sea_around_us</x:v>
      </x:c>
      <x:c r="Q373" s="32" t="str">
        <x:v>Sea Around Us exploited organisms</x:v>
      </x:c>
      <x:c r="R373" s="24" t="str">
        <x:v>high</x:v>
      </x:c>
      <x:c r="S373" s="24" t="str">
        <x:v>Venerupis</x:v>
      </x:c>
      <x:c r="T373" s="32" t="n">
        <x:f>IF(O373="","",(1/'Metadata'!$B$5)^(O373-1))</x:f>
        <x:v>10</x:v>
      </x:c>
      <x:c r="U373" s="31" t="n">
        <x:f>IF(T373="","",I373*T373)</x:f>
        <x:v>0.006494694</x:v>
      </x:c>
    </x:row>
    <x:row r="374" ht="18" customHeight="1">
      <x:c r="A374" s="24" t="str">
        <x:v>EEZ_962</x:v>
      </x:c>
      <x:c r="B374" s="24" t="str">
        <x:v>Spain (mainland, Med and Gulf of Cadiz)</x:v>
      </x:c>
      <x:c r="C374" s="24" t="str">
        <x:v>EEZ</x:v>
      </x:c>
      <x:c r="D374" s="30" t="n">
        <x:v>2019</x:v>
      </x:c>
      <x:c r="E374" s="24" t="str">
        <x:v>Sphyrna zygaena</x:v>
      </x:c>
      <x:c r="F374" s="24" t="str">
        <x:v>Smooth hammerhead</x:v>
      </x:c>
      <x:c r="G374" s="24" t="str">
        <x:v>Large sharks (&gt;=90 cm)</x:v>
      </x:c>
      <x:c r="H374" s="24" t="str">
        <x:v>Sharks &amp; rays</x:v>
      </x:c>
      <x:c r="I374" s="31" t="n">
        <x:v>0.0004321377</x:v>
      </x:c>
      <x:c r="J374" s="31" t="n">
        <x:v>0.0004321377</x:v>
      </x:c>
      <x:c r="K374" s="31" t="n">
        <x:v>0</x:v>
      </x:c>
      <x:c r="L374" s="31" t="n">
        <x:v>0</x:v>
      </x:c>
      <x:c r="M374" s="31" t="n">
        <x:v>0.0004321377</x:v>
      </x:c>
      <x:c r="N374" s="24" t="str">
        <x:v>sphyrna zygaena</x:v>
      </x:c>
      <x:c r="O374" s="32" t="n">
        <x:v>4.94</x:v>
      </x:c>
      <x:c r="P374" s="24" t="str">
        <x:v>exact_2020_supplement</x:v>
      </x:c>
      <x:c r="Q374" s="32" t="str">
        <x:v>2020 supplement MeanTL</x:v>
      </x:c>
      <x:c r="R374" s="24" t="str">
        <x:v>high</x:v>
      </x:c>
      <x:c r="S374" s="24" t="str">
        <x:v>Sphyrna zygaena</x:v>
      </x:c>
      <x:c r="T374" s="32" t="n">
        <x:f>IF(O374="","",(1/'Metadata'!$B$5)^(O374-1))</x:f>
        <x:v>8709.635899560813</x:v>
      </x:c>
      <x:c r="U374" s="31" t="n">
        <x:f>IF(T374="","",I374*T374)</x:f>
        <x:v>3.763762025473641</x:v>
      </x:c>
    </x:row>
    <x:row r="375" ht="18" customHeight="1">
      <x:c r="A375" s="24" t="str">
        <x:v>EEZ_962</x:v>
      </x:c>
      <x:c r="B375" s="24" t="str">
        <x:v>Spain (mainland, Med and Gulf of Cadiz)</x:v>
      </x:c>
      <x:c r="C375" s="24" t="str">
        <x:v>EEZ</x:v>
      </x:c>
      <x:c r="D375" s="30" t="n">
        <x:v>2019</x:v>
      </x:c>
      <x:c r="E375" s="24" t="str">
        <x:v>Deltentosteus quadrimaculatus</x:v>
      </x:c>
      <x:c r="F375" s="24" t="str">
        <x:v>Four-spotted goby</x:v>
      </x:c>
      <x:c r="G375" s="24" t="str">
        <x:v>Small demersals (&lt;30 cm)</x:v>
      </x:c>
      <x:c r="H375" s="24" t="str">
        <x:v>Perch-likes</x:v>
      </x:c>
      <x:c r="I375" s="31" t="n">
        <x:v>0.000088672</x:v>
      </x:c>
      <x:c r="J375" s="31" t="n">
        <x:v>3.432e-7</x:v>
      </x:c>
      <x:c r="K375" s="31" t="n">
        <x:v>0.0000883288</x:v>
      </x:c>
      <x:c r="L375" s="31" t="n">
        <x:v>0</x:v>
      </x:c>
      <x:c r="M375" s="31" t="n">
        <x:v>0.000088672</x:v>
      </x:c>
      <x:c r="N375" s="24" t="str">
        <x:v>deltentosteus quadrimaculatus</x:v>
      </x:c>
      <x:c r="O375" s="32" t="n">
        <x:v>3.1</x:v>
      </x:c>
      <x:c r="P375" s="24" t="str">
        <x:v>exact_2020_supplement</x:v>
      </x:c>
      <x:c r="Q375" s="32" t="str">
        <x:v>2020 supplement MeanTL</x:v>
      </x:c>
      <x:c r="R375" s="24" t="str">
        <x:v>high</x:v>
      </x:c>
      <x:c r="S375" s="24" t="str">
        <x:v>Deltentosteus quadrimaculatus</x:v>
      </x:c>
      <x:c r="T375" s="32" t="n">
        <x:f>IF(O375="","",(1/'Metadata'!$B$5)^(O375-1))</x:f>
        <x:v>125.89254117941675</x:v>
      </x:c>
      <x:c r="U375" s="31" t="n">
        <x:f>IF(T375="","",I375*T375)</x:f>
        <x:v>0.011163143411461242</x:v>
      </x:c>
    </x:row>
    <x:row r="376" ht="18" customHeight="1">
      <x:c r="A376" s="24" t="str">
        <x:v>EEZ_962</x:v>
      </x:c>
      <x:c r="B376" s="24" t="str">
        <x:v>Spain (mainland, Med and Gulf of Cadiz)</x:v>
      </x:c>
      <x:c r="C376" s="24" t="str">
        <x:v>EEZ</x:v>
      </x:c>
      <x:c r="D376" s="30" t="n">
        <x:v>2019</x:v>
      </x:c>
      <x:c r="E376" s="24" t="str">
        <x:v>Sparisoma cretense</x:v>
      </x:c>
      <x:c r="F376" s="24" t="str">
        <x:v>Old parrotfish</x:v>
      </x:c>
      <x:c r="G376" s="24" t="str">
        <x:v>Medium reef assoc. fish (30 - 89 cm)</x:v>
      </x:c>
      <x:c r="H376" s="24" t="str">
        <x:v>Perch-likes</x:v>
      </x:c>
      <x:c r="I376" s="31" t="n">
        <x:v>0.000034969</x:v>
      </x:c>
      <x:c r="J376" s="31" t="n">
        <x:v>0.000034969</x:v>
      </x:c>
      <x:c r="K376" s="31" t="n">
        <x:v>0</x:v>
      </x:c>
      <x:c r="L376" s="31" t="n">
        <x:v>0</x:v>
      </x:c>
      <x:c r="M376" s="31" t="n">
        <x:v>0.000034969</x:v>
      </x:c>
      <x:c r="N376" s="24" t="str">
        <x:v>sparisoma cretense</x:v>
      </x:c>
      <x:c r="O376" s="32" t="n">
        <x:v>2.86</x:v>
      </x:c>
      <x:c r="P376" s="24" t="str">
        <x:v>exact_2020_supplement</x:v>
      </x:c>
      <x:c r="Q376" s="32" t="str">
        <x:v>2020 supplement MeanTL</x:v>
      </x:c>
      <x:c r="R376" s="24" t="str">
        <x:v>high</x:v>
      </x:c>
      <x:c r="S376" s="24" t="str">
        <x:v>Sparisoma cretense</x:v>
      </x:c>
      <x:c r="T376" s="32" t="n">
        <x:f>IF(O376="","",(1/'Metadata'!$B$5)^(O376-1))</x:f>
        <x:v>72.44359600749898</x:v>
      </x:c>
      <x:c r="U376" s="31" t="n">
        <x:f>IF(T376="","",I376*T376)</x:f>
        <x:v>0.0025332801087862315</x:v>
      </x:c>
    </x:row>
  </x:sheetData>
  <x:conditionalFormatting sqref="R2:R376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5d8e128e276641a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1</x:v>
      </x:c>
      <x:c r="C2" s="33" t="n">
        <x:v>1</x:v>
      </x:c>
      <x:c r="D2" s="31" t="n">
        <x:v>37663.9962414135</x:v>
      </x:c>
      <x:c r="E2" s="31" t="n">
        <x:v>37663.9962414135</x:v>
      </x:c>
      <x:c r="F2" s="32" t="n">
        <x:v>0</x:v>
      </x:c>
      <x:c r="G2" s="34" t="n">
        <x:v>1</x:v>
      </x:c>
      <x:c r="H2" s="32" t="n">
        <x:f>IF(E2=0,"",I2/E2)</x:f>
        <x:v>128.82495516931337</x:v>
      </x:c>
      <x:c r="I2" s="31" t="n">
        <x:f>IF(C2=0,"",SUMIF('Species'!$H$2:$H$376,A2,'Species'!$U$2:$U$376))</x:f>
        <x:v>4852062.627297281</x:v>
      </x:c>
      <x:c r="J2" s="32" t="n">
        <x:v>3.11</x:v>
      </x:c>
      <x:c r="K2" s="32" t="n">
        <x:f>IF(J2="","",(1/'Metadata'!$B$5)^(J2-1))</x:f>
        <x:v>128.82495516931337</x:v>
      </x:c>
      <x:c r="L2" s="31" t="n">
        <x:f>IF(E2=0,"",E2*K2)</x:f>
        <x:v>4852062.627297281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Cod-likes</x:v>
      </x:c>
      <x:c r="B3" s="33" t="n">
        <x:v>14</x:v>
      </x:c>
      <x:c r="C3" s="33" t="n">
        <x:v>14</x:v>
      </x:c>
      <x:c r="D3" s="31" t="n">
        <x:v>8929.392409867502</x:v>
      </x:c>
      <x:c r="E3" s="31" t="n">
        <x:v>8929.392409867502</x:v>
      </x:c>
      <x:c r="F3" s="32" t="n">
        <x:v>0</x:v>
      </x:c>
      <x:c r="G3" s="34" t="n">
        <x:v>1</x:v>
      </x:c>
      <x:c r="H3" s="32" t="n">
        <x:f>IF(E3=0,"",I3/E3)</x:f>
        <x:v>1896.3795032681696</x:v>
      </x:c>
      <x:c r="I3" s="31" t="n">
        <x:f>IF(C3=0,"",SUMIF('Species'!$H$2:$H$376,A3,'Species'!$U$2:$U$376))</x:f>
        <x:v>16933516.742711097</x:v>
      </x:c>
      <x:c r="J3" s="32" t="n">
        <x:v>4.2213481036890865</x:v>
      </x:c>
      <x:c r="K3" s="32" t="n">
        <x:f>IF(J3="","",(1/'Metadata'!$B$5)^(J3-1))</x:f>
        <x:v>1664.746473910737</x:v>
      </x:c>
      <x:c r="L3" s="31" t="n">
        <x:f>IF(E3=0,"",E3*K3)</x:f>
        <x:v>14865174.528492222</x:v>
      </x:c>
      <x:c r="M3" s="31" t="n">
        <x:f>IF(E3=0,"",I3-L3)</x:f>
        <x:v>2068342.2142188754</x:v>
      </x:c>
      <x:c r="N3" s="32" t="n">
        <x:f>IF(L3=0,"",I3/L3)</x:f>
        <x:v>1.1391401231283538</x:v>
      </x:c>
      <x:c r="O3" s="34" t="n">
        <x:f>IF(L3=0,"",M3/L3)</x:f>
        <x:v>0.13914012312835375</x:v>
      </x:c>
    </x:row>
    <x:row r="4" ht="18" customHeight="1">
      <x:c r="A4" s="24" t="str">
        <x:v>Crustaceans</x:v>
      </x:c>
      <x:c r="B4" s="33" t="n">
        <x:v>39</x:v>
      </x:c>
      <x:c r="C4" s="33" t="n">
        <x:v>39</x:v>
      </x:c>
      <x:c r="D4" s="31" t="n">
        <x:v>12359.532361244903</x:v>
      </x:c>
      <x:c r="E4" s="31" t="n">
        <x:v>12359.532361244903</x:v>
      </x:c>
      <x:c r="F4" s="32" t="n">
        <x:v>0</x:v>
      </x:c>
      <x:c r="G4" s="34" t="n">
        <x:v>1</x:v>
      </x:c>
      <x:c r="H4" s="32" t="n">
        <x:f>IF(E4=0,"",I4/E4)</x:f>
        <x:v>215.24978060362602</x:v>
      </x:c>
      <x:c r="I4" s="31" t="n">
        <x:f>IF(C4=0,"",SUMIF('Species'!$H$2:$H$376,A4,'Species'!$U$2:$U$376))</x:f>
        <x:v>2660386.6291213813</x:v>
      </x:c>
      <x:c r="J4" s="32" t="n">
        <x:v>3.254381133859064</x:v>
      </x:c>
      <x:c r="K4" s="32" t="n">
        <x:f>IF(J4="","",(1/'Metadata'!$B$5)^(J4-1))</x:f>
        <x:v>179.63093640826884</x:v>
      </x:c>
      <x:c r="L4" s="31" t="n">
        <x:f>IF(E4=0,"",E4*K4)</x:f>
        <x:v>2220154.371618724</x:v>
      </x:c>
      <x:c r="M4" s="31" t="n">
        <x:f>IF(E4=0,"",I4-L4)</x:f>
        <x:v>440232.25750265736</x:v>
      </x:c>
      <x:c r="N4" s="32" t="n">
        <x:f>IF(L4=0,"",I4/L4)</x:f>
        <x:v>1.1982890303171496</x:v>
      </x:c>
      <x:c r="O4" s="34" t="n">
        <x:f>IF(L4=0,"",M4/L4)</x:f>
        <x:v>0.1982890303171496</x:v>
      </x:c>
    </x:row>
    <x:row r="5" ht="18" customHeight="1">
      <x:c r="A5" s="24" t="str">
        <x:v>Flatfishes</x:v>
      </x:c>
      <x:c r="B5" s="33" t="n">
        <x:v>21</x:v>
      </x:c>
      <x:c r="C5" s="33" t="n">
        <x:v>21</x:v>
      </x:c>
      <x:c r="D5" s="31" t="n">
        <x:v>1721.6899969467997</x:v>
      </x:c>
      <x:c r="E5" s="31" t="n">
        <x:v>1721.6899969467997</x:v>
      </x:c>
      <x:c r="F5" s="32" t="n">
        <x:v>0</x:v>
      </x:c>
      <x:c r="G5" s="34" t="n">
        <x:v>1</x:v>
      </x:c>
      <x:c r="H5" s="32" t="n">
        <x:f>IF(E5=0,"",I5/E5)</x:f>
        <x:v>604.0527860931153</x:v>
      </x:c>
      <x:c r="I5" s="31" t="n">
        <x:f>IF(C5=0,"",SUMIF('Species'!$H$2:$H$376,A5,'Species'!$U$2:$U$376))</x:f>
        <x:v>1039991.6394443614</x:v>
      </x:c>
      <x:c r="J5" s="32" t="n">
        <x:v>3.6466528341862268</x:v>
      </x:c>
      <x:c r="K5" s="32" t="n">
        <x:f>IF(J5="","",(1/'Metadata'!$B$5)^(J5-1))</x:f>
        <x:v>443.25417427038394</x:v>
      </x:c>
      <x:c r="L5" s="31" t="n">
        <x:f>IF(E5=0,"",E5*K5)</x:f>
        <x:v>763146.2779462335</x:v>
      </x:c>
      <x:c r="M5" s="31" t="n">
        <x:f>IF(E5=0,"",I5-L5)</x:f>
        <x:v>276845.3614981279</x:v>
      </x:c>
      <x:c r="N5" s="32" t="n">
        <x:f>IF(L5=0,"",I5/L5)</x:f>
        <x:v>1.362768409541575</x:v>
      </x:c>
      <x:c r="O5" s="34" t="n">
        <x:f>IF(L5=0,"",M5/L5)</x:f>
        <x:v>0.3627684095415751</x:v>
      </x:c>
    </x:row>
    <x:row r="6" ht="18" customHeight="1">
      <x:c r="A6" s="24" t="str">
        <x:v>Herring-likes</x:v>
      </x:c>
      <x:c r="B6" s="33" t="n">
        <x:v>5</x:v>
      </x:c>
      <x:c r="C6" s="33" t="n">
        <x:v>5</x:v>
      </x:c>
      <x:c r="D6" s="31" t="n">
        <x:v>21878.6922732003</x:v>
      </x:c>
      <x:c r="E6" s="31" t="n">
        <x:v>21878.6922732003</x:v>
      </x:c>
      <x:c r="F6" s="32" t="n">
        <x:v>0</x:v>
      </x:c>
      <x:c r="G6" s="34" t="n">
        <x:v>1</x:v>
      </x:c>
      <x:c r="H6" s="32" t="n">
        <x:f>IF(E6=0,"",I6/E6)</x:f>
        <x:v>143.69590188558442</x:v>
      </x:c>
      <x:c r="I6" s="31" t="n">
        <x:f>IF(C6=0,"",SUMIF('Species'!$H$2:$H$376,A6,'Species'!$U$2:$U$376))</x:f>
        <x:v>3143878.4182746843</x:v>
      </x:c>
      <x:c r="J6" s="32" t="n">
        <x:v>3.131941887103302</x:v>
      </x:c>
      <x:c r="K6" s="32" t="n">
        <x:f>IF(J6="","",(1/'Metadata'!$B$5)^(J6-1))</x:f>
        <x:v>135.5008086737168</x:v>
      </x:c>
      <x:c r="L6" s="31" t="n">
        <x:f>IF(E6=0,"",E6*K6)</x:f>
        <x:v>2964580.4957420398</x:v>
      </x:c>
      <x:c r="M6" s="31" t="n">
        <x:f>IF(E6=0,"",I6-L6)</x:f>
        <x:v>179297.9225326446</x:v>
      </x:c>
      <x:c r="N6" s="32" t="n">
        <x:f>IF(L6=0,"",I6/L6)</x:f>
        <x:v>1.0604800317583436</x:v>
      </x:c>
      <x:c r="O6" s="34" t="n">
        <x:f>IF(L6=0,"",M6/L6)</x:f>
        <x:v>0.06048003175834361</x:v>
      </x:c>
    </x:row>
    <x:row r="7" ht="18" customHeight="1">
      <x:c r="A7" s="24" t="str">
        <x:v>Molluscs</x:v>
      </x:c>
      <x:c r="B7" s="33" t="n">
        <x:v>31</x:v>
      </x:c>
      <x:c r="C7" s="33" t="n">
        <x:v>31</x:v>
      </x:c>
      <x:c r="D7" s="31" t="n">
        <x:v>1913.1323869670002</x:v>
      </x:c>
      <x:c r="E7" s="31" t="n">
        <x:v>1913.1323869670002</x:v>
      </x:c>
      <x:c r="F7" s="32" t="n">
        <x:v>0</x:v>
      </x:c>
      <x:c r="G7" s="34" t="n">
        <x:v>1</x:v>
      </x:c>
      <x:c r="H7" s="32" t="n">
        <x:f>IF(E7=0,"",I7/E7)</x:f>
        <x:v>29.119455431139123</x:v>
      </x:c>
      <x:c r="I7" s="31" t="n">
        <x:f>IF(C7=0,"",SUMIF('Species'!$H$2:$H$376,A7,'Species'!$U$2:$U$376))</x:f>
        <x:v>55709.37327615437</x:v>
      </x:c>
      <x:c r="J7" s="32" t="n">
        <x:v>2.228262018401765</x:v>
      </x:c>
      <x:c r="K7" s="32" t="n">
        <x:f>IF(J7="","",(1/'Metadata'!$B$5)^(J7-1))</x:f>
        <x:v>16.914611156191086</x:v>
      </x:c>
      <x:c r="L7" s="31" t="n">
        <x:f>IF(E7=0,"",E7*K7)</x:f>
        <x:v>32359.890415862505</x:v>
      </x:c>
      <x:c r="M7" s="31" t="n">
        <x:f>IF(E7=0,"",I7-L7)</x:f>
        <x:v>23349.482860291868</x:v>
      </x:c>
      <x:c r="N7" s="32" t="n">
        <x:f>IF(L7=0,"",I7/L7)</x:f>
        <x:v>1.7215563019597302</x:v>
      </x:c>
      <x:c r="O7" s="34" t="n">
        <x:f>IF(L7=0,"",M7/L7)</x:f>
        <x:v>0.7215563019597303</x:v>
      </x:c>
    </x:row>
    <x:row r="8" ht="18" customHeight="1">
      <x:c r="A8" s="24" t="str">
        <x:v>Other fishes &amp; inverts</x:v>
      </x:c>
      <x:c r="B8" s="33" t="n">
        <x:v>61</x:v>
      </x:c>
      <x:c r="C8" s="33" t="n">
        <x:v>61</x:v>
      </x:c>
      <x:c r="D8" s="31" t="n">
        <x:v>30678.223666201407</x:v>
      </x:c>
      <x:c r="E8" s="31" t="n">
        <x:v>30678.223666201407</x:v>
      </x:c>
      <x:c r="F8" s="32" t="n">
        <x:v>0</x:v>
      </x:c>
      <x:c r="G8" s="34" t="n">
        <x:v>1</x:v>
      </x:c>
      <x:c r="H8" s="32" t="n">
        <x:f>IF(E8=0,"",I8/E8)</x:f>
        <x:v>710.4145799935933</x:v>
      </x:c>
      <x:c r="I8" s="31" t="n">
        <x:f>IF(C8=0,"",SUMIF('Species'!$H$2:$H$376,A8,'Species'!$U$2:$U$376))</x:f>
        <x:v>21794257.380773988</x:v>
      </x:c>
      <x:c r="J8" s="32" t="n">
        <x:v>3.576607106817769</x:v>
      </x:c>
      <x:c r="K8" s="32" t="n">
        <x:f>IF(J8="","",(1/'Metadata'!$B$5)^(J8-1))</x:f>
        <x:v>377.2307671584901</x:v>
      </x:c>
      <x:c r="L8" s="31" t="n">
        <x:f>IF(E8=0,"",E8*K8)</x:f>
        <x:v>11572769.848660903</x:v>
      </x:c>
      <x:c r="M8" s="31" t="n">
        <x:f>IF(E8=0,"",I8-L8)</x:f>
        <x:v>10221487.532113085</x:v>
      </x:c>
      <x:c r="N8" s="32" t="n">
        <x:f>IF(L8=0,"",I8/L8)</x:f>
        <x:v>1.8832360502957572</x:v>
      </x:c>
      <x:c r="O8" s="34" t="n">
        <x:f>IF(L8=0,"",M8/L8)</x:f>
        <x:v>0.8832360502957572</x:v>
      </x:c>
    </x:row>
    <x:row r="9" ht="18" customHeight="1">
      <x:c r="A9" s="24" t="str">
        <x:v>Perch-likes</x:v>
      </x:c>
      <x:c r="B9" s="33" t="n">
        <x:v>121</x:v>
      </x:c>
      <x:c r="C9" s="33" t="n">
        <x:v>121</x:v>
      </x:c>
      <x:c r="D9" s="31" t="n">
        <x:v>57029.024177274696</x:v>
      </x:c>
      <x:c r="E9" s="31" t="n">
        <x:v>57029.024177274696</x:v>
      </x:c>
      <x:c r="F9" s="32" t="n">
        <x:v>0</x:v>
      </x:c>
      <x:c r="G9" s="34" t="n">
        <x:v>1</x:v>
      </x:c>
      <x:c r="H9" s="32" t="n">
        <x:f>IF(E9=0,"",I9/E9)</x:f>
        <x:v>858.9429431296492</x:v>
      </x:c>
      <x:c r="I9" s="31" t="n">
        <x:f>IF(C9=0,"",SUMIF('Species'!$H$2:$H$376,A9,'Species'!$U$2:$U$376))</x:f>
        <x:v>48984677.87064025</x:v>
      </x:c>
      <x:c r="J9" s="32" t="n">
        <x:v>3.7314672906836956</x:v>
      </x:c>
      <x:c r="K9" s="32" t="n">
        <x:f>IF(J9="","",(1/'Metadata'!$B$5)^(J9-1))</x:f>
        <x:v>538.8492598826352</x:v>
      </x:c>
      <x:c r="L9" s="31" t="n">
        <x:f>IF(E9=0,"",E9*K9)</x:f>
        <x:v>30730047.46975338</x:v>
      </x:c>
      <x:c r="M9" s="31" t="n">
        <x:f>IF(E9=0,"",I9-L9)</x:f>
        <x:v>18254630.400886867</x:v>
      </x:c>
      <x:c r="N9" s="32" t="n">
        <x:f>IF(L9=0,"",I9/L9)</x:f>
        <x:v>1.5940319623278918</x:v>
      </x:c>
      <x:c r="O9" s="34" t="n">
        <x:f>IF(L9=0,"",M9/L9)</x:f>
        <x:v>0.5940319623278918</x:v>
      </x:c>
    </x:row>
    <x:row r="10" ht="18" customHeight="1">
      <x:c r="A10" s="24" t="str">
        <x:v>Salmon, smelts, etc</x:v>
      </x:c>
      <x:c r="B10" s="33" t="n">
        <x:v>2</x:v>
      </x:c>
      <x:c r="C10" s="33" t="n">
        <x:v>2</x:v>
      </x:c>
      <x:c r="D10" s="31" t="n">
        <x:v>112.19537917240001</x:v>
      </x:c>
      <x:c r="E10" s="31" t="n">
        <x:v>112.19537917240001</x:v>
      </x:c>
      <x:c r="F10" s="32" t="n">
        <x:v>0</x:v>
      </x:c>
      <x:c r="G10" s="34" t="n">
        <x:v>1</x:v>
      </x:c>
      <x:c r="H10" s="32" t="n">
        <x:f>IF(E10=0,"",I10/E10)</x:f>
        <x:v>406.51161781833076</x:v>
      </x:c>
      <x:c r="I10" s="31" t="n">
        <x:f>IF(C10=0,"",SUMIF('Species'!$H$2:$H$376,A10,'Species'!$U$2:$U$376))</x:f>
        <x:v>45608.72509911338</x:v>
      </x:c>
      <x:c r="J10" s="32" t="n">
        <x:v>3.6055096565270492</x:v>
      </x:c>
      <x:c r="K10" s="32" t="n">
        <x:f>IF(J10="","",(1/'Metadata'!$B$5)^(J10-1))</x:f>
        <x:v>403.18991126149</x:v>
      </x:c>
      <x:c r="L10" s="31" t="n">
        <x:f>IF(E10=0,"",E10*K10)</x:f>
        <x:v>45236.044972469186</x:v>
      </x:c>
      <x:c r="M10" s="31" t="n">
        <x:f>IF(E10=0,"",I10-L10)</x:f>
        <x:v>372.68012664419075</x:v>
      </x:c>
      <x:c r="N10" s="32" t="n">
        <x:f>IF(L10=0,"",I10/L10)</x:f>
        <x:v>1.008238565658669</x:v>
      </x:c>
      <x:c r="O10" s="34" t="n">
        <x:f>IF(L10=0,"",M10/L10)</x:f>
        <x:v>0.008238565658668992</x:v>
      </x:c>
    </x:row>
    <x:row r="11" ht="18" customHeight="1">
      <x:c r="A11" s="24" t="str">
        <x:v>Scorpionfishes</x:v>
      </x:c>
      <x:c r="B11" s="33" t="n">
        <x:v>16</x:v>
      </x:c>
      <x:c r="C11" s="33" t="n">
        <x:v>16</x:v>
      </x:c>
      <x:c r="D11" s="31" t="n">
        <x:v>1869.7674859862</x:v>
      </x:c>
      <x:c r="E11" s="31" t="n">
        <x:v>1869.7674859862</x:v>
      </x:c>
      <x:c r="F11" s="32" t="n">
        <x:v>0</x:v>
      </x:c>
      <x:c r="G11" s="34" t="n">
        <x:v>1</x:v>
      </x:c>
      <x:c r="H11" s="32" t="n">
        <x:f>IF(E11=0,"",I11/E11)</x:f>
        <x:v>605.2867634121502</x:v>
      </x:c>
      <x:c r="I11" s="31" t="n">
        <x:f>IF(C11=0,"",SUMIF('Species'!$H$2:$H$376,A11,'Species'!$U$2:$U$376))</x:f>
        <x:v>1131745.50992586</x:v>
      </x:c>
      <x:c r="J11" s="32" t="n">
        <x:v>3.7205878246774122</x:v>
      </x:c>
      <x:c r="K11" s="32" t="n">
        <x:f>IF(J11="","",(1/'Metadata'!$B$5)^(J11-1))</x:f>
        <x:v>525.5182766646116</x:v>
      </x:c>
      <x:c r="L11" s="31" t="n">
        <x:f>IF(E11=0,"",E11*K11)</x:f>
        <x:v>982596.9869989911</x:v>
      </x:c>
      <x:c r="M11" s="31" t="n">
        <x:f>IF(E11=0,"",I11-L11)</x:f>
        <x:v>149148.52292686887</x:v>
      </x:c>
      <x:c r="N11" s="32" t="n">
        <x:f>IF(L11=0,"",I11/L11)</x:f>
        <x:v>1.1517901285066956</x:v>
      </x:c>
      <x:c r="O11" s="34" t="n">
        <x:f>IF(L11=0,"",M11/L11)</x:f>
        <x:v>0.1517901285066957</x:v>
      </x:c>
    </x:row>
    <x:row r="12" ht="18" customHeight="1">
      <x:c r="A12" s="24" t="str">
        <x:v>Sharks &amp; rays</x:v>
      </x:c>
      <x:c r="B12" s="33" t="n">
        <x:v>44</x:v>
      </x:c>
      <x:c r="C12" s="33" t="n">
        <x:v>44</x:v>
      </x:c>
      <x:c r="D12" s="31" t="n">
        <x:v>18237.707346765197</x:v>
      </x:c>
      <x:c r="E12" s="31" t="n">
        <x:v>18237.707346765197</x:v>
      </x:c>
      <x:c r="F12" s="32" t="n">
        <x:v>0</x:v>
      </x:c>
      <x:c r="G12" s="34" t="n">
        <x:v>1</x:v>
      </x:c>
      <x:c r="H12" s="32" t="n">
        <x:f>IF(E12=0,"",I12/E12)</x:f>
        <x:v>2146.743242441066</x:v>
      </x:c>
      <x:c r="I12" s="31" t="n">
        <x:f>IF(C12=0,"",SUMIF('Species'!$H$2:$H$376,A12,'Species'!$U$2:$U$376))</x:f>
        <x:v>39151675.00428597</x:v>
      </x:c>
      <x:c r="J12" s="32" t="n">
        <x:v>4.307181955458646</x:v>
      </x:c>
      <x:c r="K12" s="32" t="n">
        <x:f>IF(J12="","",(1/'Metadata'!$B$5)^(J12-1))</x:f>
        <x:v>2028.5324315348312</x:v>
      </x:c>
      <x:c r="L12" s="31" t="n">
        <x:f>IF(E12=0,"",E12*K12)</x:f>
        <x:v>36995780.82975426</x:v>
      </x:c>
      <x:c r="M12" s="31" t="n">
        <x:f>IF(E12=0,"",I12-L12)</x:f>
        <x:v>2155894.1745317057</x:v>
      </x:c>
      <x:c r="N12" s="32" t="n">
        <x:f>IF(L12=0,"",I12/L12)</x:f>
        <x:v>1.0582740552078793</x:v>
      </x:c>
      <x:c r="O12" s="34" t="n">
        <x:f>IF(L12=0,"",M12/L12)</x:f>
        <x:v>0.058274055207879386</x:v>
      </x:c>
    </x:row>
    <x:row r="13" ht="18" customHeight="1">
      <x:c r="A13" s="24" t="str">
        <x:v>Tuna &amp; billfishes</x:v>
      </x:c>
      <x:c r="B13" s="33" t="n">
        <x:v>20</x:v>
      </x:c>
      <x:c r="C13" s="33" t="n">
        <x:v>20</x:v>
      </x:c>
      <x:c r="D13" s="31" t="n">
        <x:v>8274.4762623008</x:v>
      </x:c>
      <x:c r="E13" s="31" t="n">
        <x:v>8274.4762623008</x:v>
      </x:c>
      <x:c r="F13" s="32" t="n">
        <x:v>0</x:v>
      </x:c>
      <x:c r="G13" s="34" t="n">
        <x:v>1</x:v>
      </x:c>
      <x:c r="H13" s="32" t="n">
        <x:f>IF(E13=0,"",I13/E13)</x:f>
        <x:v>2603.7219133777335</x:v>
      </x:c>
      <x:c r="I13" s="31" t="n">
        <x:f>IF(C13=0,"",SUMIF('Species'!$H$2:$H$376,A13,'Species'!$U$2:$U$376))</x:f>
        <x:v>21544435.165876474</x:v>
      </x:c>
      <x:c r="J13" s="32" t="n">
        <x:v>4.4006841646490304</x:v>
      </x:c>
      <x:c r="K13" s="32" t="n">
        <x:f>IF(J13="","",(1/'Metadata'!$B$5)^(J13-1))</x:f>
        <x:v>2515.8466436084054</x:v>
      </x:c>
      <x:c r="L13" s="31" t="n">
        <x:f>IF(E13=0,"",E13*K13)</x:f>
        <x:v>20817313.33212689</x:v>
      </x:c>
      <x:c r="M13" s="31" t="n">
        <x:f>IF(E13=0,"",I13-L13)</x:f>
        <x:v>727121.8337495849</x:v>
      </x:c>
      <x:c r="N13" s="32" t="n">
        <x:f>IF(L13=0,"",I13/L13)</x:f>
        <x:v>1.034928706800384</x:v>
      </x:c>
      <x:c r="O13" s="34" t="n">
        <x:f>IF(L13=0,"",M13/L13)</x:f>
        <x:v>0.03492870680038399</x:v>
      </x:c>
    </x:row>
  </x:sheetData>
  <x:conditionalFormatting sqref="G2:G13">
    <x:cfRule type="cellIs" dxfId="1" priority="1" operator="lessThan">
      <x:formula>0.9</x:formula>
    </x:cfRule>
  </x:conditionalFormatting>
  <x:conditionalFormatting sqref="O2:O1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2c5a5baa1579404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24</x:v>
      </x:c>
      <x:c r="C2" s="33" t="n">
        <x:v>24</x:v>
      </x:c>
      <x:c r="D2" s="31" t="n">
        <x:v>11621.914083307</x:v>
      </x:c>
      <x:c r="E2" s="31" t="n">
        <x:v>11621.914083307</x:v>
      </x:c>
      <x:c r="F2" s="32" t="n">
        <x:v>0</x:v>
      </x:c>
      <x:c r="G2" s="34" t="n">
        <x:v>1</x:v>
      </x:c>
      <x:c r="H2" s="32" t="n">
        <x:f>IF(E2=0,"",I2/E2)</x:f>
        <x:v>892.8662813147882</x:v>
      </x:c>
      <x:c r="I2" s="31" t="n">
        <x:f>IF(C2=0,"",SUMIF('Species'!$G$2:$G$376,A2,'Species'!$U$2:$U$376))</x:f>
        <x:v>10376815.209322287</x:v>
      </x:c>
      <x:c r="J2" s="32" t="n">
        <x:v>3.8482672353554728</x:v>
      </x:c>
      <x:c r="K2" s="32" t="n">
        <x:f>IF(J2="","",(1/'Metadata'!$B$5)^(J2-1))</x:f>
        <x:v>705.1268227030502</x:v>
      </x:c>
      <x:c r="L2" s="31" t="n">
        <x:f>IF(E2=0,"",E2*K2)</x:f>
        <x:v>8194923.3512900965</x:v>
      </x:c>
      <x:c r="M2" s="31" t="n">
        <x:f>IF(E2=0,"",I2-L2)</x:f>
        <x:v>2181891.8580321902</x:v>
      </x:c>
      <x:c r="N2" s="32" t="n">
        <x:f>IF(L2=0,"",I2/L2)</x:f>
        <x:v>1.2662492087480846</x:v>
      </x:c>
      <x:c r="O2" s="34" t="n">
        <x:f>IF(L2=0,"",M2/L2)</x:f>
        <x:v>0.26624920874808466</x:v>
      </x:c>
    </x:row>
    <x:row r="3" ht="18" customHeight="1">
      <x:c r="A3" s="24" t="str">
        <x:v>Large bathydemersals (&gt;=90 cm)</x:v>
      </x:c>
      <x:c r="B3" s="33" t="n">
        <x:v>4</x:v>
      </x:c>
      <x:c r="C3" s="33" t="n">
        <x:v>4</x:v>
      </x:c>
      <x:c r="D3" s="31" t="n">
        <x:v>1412.8864063861997</x:v>
      </x:c>
      <x:c r="E3" s="31" t="n">
        <x:v>1412.8864063861997</x:v>
      </x:c>
      <x:c r="F3" s="32" t="n">
        <x:v>0</x:v>
      </x:c>
      <x:c r="G3" s="34" t="n">
        <x:v>1</x:v>
      </x:c>
      <x:c r="H3" s="32" t="n">
        <x:f>IF(E3=0,"",I3/E3)</x:f>
        <x:v>2316.618139290886</x:v>
      </x:c>
      <x:c r="I3" s="31" t="n">
        <x:f>IF(C3=0,"",SUMIF('Species'!$G$2:$G$376,A3,'Species'!$U$2:$U$376))</x:f>
        <x:v>3273118.2777917846</x:v>
      </x:c>
      <x:c r="J3" s="32" t="n">
        <x:v>4.331578918004016</x:v>
      </x:c>
      <x:c r="K3" s="32" t="n">
        <x:f>IF(J3="","",(1/'Metadata'!$B$5)^(J3-1))</x:f>
        <x:v>2145.7489960702223</x:v>
      </x:c>
      <x:c r="L3" s="31" t="n">
        <x:f>IF(E3=0,"",E3*K3)</x:f>
        <x:v>3031699.588064452</x:v>
      </x:c>
      <x:c r="M3" s="31" t="n">
        <x:f>IF(E3=0,"",I3-L3)</x:f>
        <x:v>241418.68972733244</x:v>
      </x:c>
      <x:c r="N3" s="32" t="n">
        <x:f>IF(L3=0,"",I3/L3)</x:f>
        <x:v>1.0796314683281212</x:v>
      </x:c>
      <x:c r="O3" s="34" t="n">
        <x:f>IF(L3=0,"",M3/L3)</x:f>
        <x:v>0.07963146832812118</x:v>
      </x:c>
    </x:row>
    <x:row r="4" ht="18" customHeight="1">
      <x:c r="A4" s="24" t="str">
        <x:v>Large bathypelagics (&gt;=90 cm)</x:v>
      </x:c>
      <x:c r="B4" s="33" t="n">
        <x:v>2</x:v>
      </x:c>
      <x:c r="C4" s="33" t="n">
        <x:v>2</x:v>
      </x:c>
      <x:c r="D4" s="31" t="n">
        <x:v>21.0519825709</x:v>
      </x:c>
      <x:c r="E4" s="31" t="n">
        <x:v>21.0519825709</x:v>
      </x:c>
      <x:c r="F4" s="32" t="n">
        <x:v>0</x:v>
      </x:c>
      <x:c r="G4" s="34" t="n">
        <x:v>1</x:v>
      </x:c>
      <x:c r="H4" s="32" t="n">
        <x:f>IF(E4=0,"",I4/E4)</x:f>
        <x:v>1539.2307932897918</x:v>
      </x:c>
      <x:c r="I4" s="31" t="n">
        <x:f>IF(C4=0,"",SUMIF('Species'!$G$2:$G$376,A4,'Species'!$U$2:$U$376))</x:f>
        <x:v>32403.85983292928</x:v>
      </x:c>
      <x:c r="J4" s="32" t="n">
        <x:v>4.139127300751075</x:v>
      </x:c>
      <x:c r="K4" s="32" t="n">
        <x:f>IF(J4="","",(1/'Metadata'!$B$5)^(J4-1))</x:f>
        <x:v>1377.6132168219908</x:v>
      </x:c>
      <x:c r="L4" s="31" t="n">
        <x:f>IF(E4=0,"",E4*K4)</x:f>
        <x:v>29001.489429978035</x:v>
      </x:c>
      <x:c r="M4" s="31" t="n">
        <x:f>IF(E4=0,"",I4-L4)</x:f>
        <x:v>3402.3704029512446</x:v>
      </x:c>
      <x:c r="N4" s="32" t="n">
        <x:f>IF(L4=0,"",I4/L4)</x:f>
        <x:v>1.1173170919778455</x:v>
      </x:c>
      <x:c r="O4" s="34" t="n">
        <x:f>IF(L4=0,"",M4/L4)</x:f>
        <x:v>0.11731709197784541</x:v>
      </x:c>
    </x:row>
    <x:row r="5" ht="18" customHeight="1">
      <x:c r="A5" s="24" t="str">
        <x:v>Large benthopelagics (&gt;=90 cm)</x:v>
      </x:c>
      <x:c r="B5" s="33" t="n">
        <x:v>10</x:v>
      </x:c>
      <x:c r="C5" s="33" t="n">
        <x:v>10</x:v>
      </x:c>
      <x:c r="D5" s="31" t="n">
        <x:v>4267.598494265299</x:v>
      </x:c>
      <x:c r="E5" s="31" t="n">
        <x:v>4267.598494265299</x:v>
      </x:c>
      <x:c r="F5" s="32" t="n">
        <x:v>0</x:v>
      </x:c>
      <x:c r="G5" s="34" t="n">
        <x:v>1</x:v>
      </x:c>
      <x:c r="H5" s="32" t="n">
        <x:f>IF(E5=0,"",I5/E5)</x:f>
        <x:v>2226.324523475397</x:v>
      </x:c>
      <x:c r="I5" s="31" t="n">
        <x:f>IF(C5=0,"",SUMIF('Species'!$G$2:$G$376,A5,'Species'!$U$2:$U$376))</x:f>
        <x:v>9501059.184129516</x:v>
      </x:c>
      <x:c r="J5" s="32" t="n">
        <x:v>4.235368105333291</x:v>
      </x:c>
      <x:c r="K5" s="32" t="n">
        <x:f>IF(J5="","",(1/'Metadata'!$B$5)^(J5-1))</x:f>
        <x:v>1719.3650930069614</x:v>
      </x:c>
      <x:c r="L5" s="31" t="n">
        <x:f>IF(E5=0,"",E5*K5)</x:f>
        <x:v>7337559.882008825</x:v>
      </x:c>
      <x:c r="M5" s="31" t="n">
        <x:f>IF(E5=0,"",I5-L5)</x:f>
        <x:v>2163499.3021206902</x:v>
      </x:c>
      <x:c r="N5" s="32" t="n">
        <x:f>IF(L5=0,"",I5/L5)</x:f>
        <x:v>1.2948526944802776</x:v>
      </x:c>
      <x:c r="O5" s="34" t="n">
        <x:f>IF(L5=0,"",M5/L5)</x:f>
        <x:v>0.2948526944802776</x:v>
      </x:c>
    </x:row>
    <x:row r="6" ht="18" customHeight="1">
      <x:c r="A6" s="24" t="str">
        <x:v>Large demersals (&gt;=90 cm)</x:v>
      </x:c>
      <x:c r="B6" s="33" t="n">
        <x:v>10</x:v>
      </x:c>
      <x:c r="C6" s="33" t="n">
        <x:v>10</x:v>
      </x:c>
      <x:c r="D6" s="31" t="n">
        <x:v>8709.1981867549</x:v>
      </x:c>
      <x:c r="E6" s="31" t="n">
        <x:v>8709.1981867549</x:v>
      </x:c>
      <x:c r="F6" s="32" t="n">
        <x:v>0</x:v>
      </x:c>
      <x:c r="G6" s="34" t="n">
        <x:v>1</x:v>
      </x:c>
      <x:c r="H6" s="32" t="n">
        <x:f>IF(E6=0,"",I6/E6)</x:f>
        <x:v>1805.4842990962431</x:v>
      </x:c>
      <x:c r="I6" s="31" t="n">
        <x:f>IF(C6=0,"",SUMIF('Species'!$G$2:$G$376,A6,'Species'!$U$2:$U$376))</x:f>
        <x:v>15724320.583903443</x:v>
      </x:c>
      <x:c r="J6" s="32" t="n">
        <x:v>4.166210267550869</x:v>
      </x:c>
      <x:c r="K6" s="32" t="n">
        <x:f>IF(J6="","",(1/'Metadata'!$B$5)^(J6-1))</x:f>
        <x:v>1466.2575708249349</x:v>
      </x:c>
      <x:c r="L6" s="31" t="n">
        <x:f>IF(E6=0,"",E6*K6)</x:f>
        <x:v>12769927.777144168</x:v>
      </x:c>
      <x:c r="M6" s="31" t="n">
        <x:f>IF(E6=0,"",I6-L6)</x:f>
        <x:v>2954392.8067592755</x:v>
      </x:c>
      <x:c r="N6" s="32" t="n">
        <x:f>IF(L6=0,"",I6/L6)</x:f>
        <x:v>1.2313554828436146</x:v>
      </x:c>
      <x:c r="O6" s="34" t="n">
        <x:f>IF(L6=0,"",M6/L6)</x:f>
        <x:v>0.23135548284361465</x:v>
      </x:c>
    </x:row>
    <x:row r="7" ht="18" customHeight="1">
      <x:c r="A7" s="24" t="str">
        <x:v>Large flatfishes (&gt;=90 cm)</x:v>
      </x:c>
      <x:c r="B7" s="33" t="n">
        <x:v>1</x:v>
      </x:c>
      <x:c r="C7" s="33" t="n">
        <x:v>1</x:v>
      </x:c>
      <x:c r="D7" s="31" t="n">
        <x:v>6.9313463133</x:v>
      </x:c>
      <x:c r="E7" s="31" t="n">
        <x:v>6.9313463133</x:v>
      </x:c>
      <x:c r="F7" s="32" t="n">
        <x:v>0</x:v>
      </x:c>
      <x:c r="G7" s="34" t="n">
        <x:v>1</x:v>
      </x:c>
      <x:c r="H7" s="32" t="n">
        <x:f>IF(E7=0,"",I7/E7)</x:f>
        <x:v>2290.867652767775</x:v>
      </x:c>
      <x:c r="I7" s="31" t="n">
        <x:f>IF(C7=0,"",SUMIF('Species'!$G$2:$G$376,A7,'Species'!$U$2:$U$376))</x:f>
        <x:v>15878.79705927014</x:v>
      </x:c>
      <x:c r="J7" s="32" t="n">
        <x:v>4.36</x:v>
      </x:c>
      <x:c r="K7" s="32" t="n">
        <x:f>IF(J7="","",(1/'Metadata'!$B$5)^(J7-1))</x:f>
        <x:v>2290.867652767775</x:v>
      </x:c>
      <x:c r="L7" s="31" t="n">
        <x:f>IF(E7=0,"",E7*K7)</x:f>
        <x:v>15878.79705927014</x:v>
      </x:c>
      <x:c r="M7" s="31" t="n">
        <x:f>IF(E7=0,"",I7-L7)</x:f>
        <x:v>0</x:v>
      </x:c>
      <x:c r="N7" s="32" t="n">
        <x:f>IF(L7=0,"",I7/L7)</x:f>
        <x:v>1</x:v>
      </x:c>
      <x:c r="O7" s="34" t="n">
        <x:f>IF(L7=0,"",M7/L7)</x:f>
        <x:v>0</x:v>
      </x:c>
    </x:row>
    <x:row r="8" ht="18" customHeight="1">
      <x:c r="A8" s="24" t="str">
        <x:v>Large pelagics (&gt;=90 cm)</x:v>
      </x:c>
      <x:c r="B8" s="33" t="n">
        <x:v>27</x:v>
      </x:c>
      <x:c r="C8" s="33" t="n">
        <x:v>27</x:v>
      </x:c>
      <x:c r="D8" s="31" t="n">
        <x:v>8364.2860268065</x:v>
      </x:c>
      <x:c r="E8" s="31" t="n">
        <x:v>8364.2860268065</x:v>
      </x:c>
      <x:c r="F8" s="32" t="n">
        <x:v>0</x:v>
      </x:c>
      <x:c r="G8" s="34" t="n">
        <x:v>1</x:v>
      </x:c>
      <x:c r="H8" s="32" t="n">
        <x:f>IF(E8=0,"",I8/E8)</x:f>
        <x:v>2812.9148014734797</x:v>
      </x:c>
      <x:c r="I8" s="31" t="n">
        <x:f>IF(C8=0,"",SUMIF('Species'!$G$2:$G$376,A8,'Species'!$U$2:$U$376))</x:f>
        <x:v>23528023.968561806</x:v>
      </x:c>
      <x:c r="J8" s="32" t="n">
        <x:v>4.443261256899767</x:v>
      </x:c>
      <x:c r="K8" s="32" t="n">
        <x:f>IF(J8="","",(1/'Metadata'!$B$5)^(J8-1))</x:f>
        <x:v>2774.9889423152777</x:v>
      </x:c>
      <x:c r="L8" s="31" t="n">
        <x:f>IF(E8=0,"",E8*K8)</x:f>
        <x:v>23210801.234750226</x:v>
      </x:c>
      <x:c r="M8" s="31" t="n">
        <x:f>IF(E8=0,"",I8-L8)</x:f>
        <x:v>317222.73381157964</x:v>
      </x:c>
      <x:c r="N8" s="32" t="n">
        <x:f>IF(L8=0,"",I8/L8)</x:f>
        <x:v>1.0136670307329438</x:v>
      </x:c>
      <x:c r="O8" s="34" t="n">
        <x:f>IF(L8=0,"",M8/L8)</x:f>
        <x:v>0.013667030732943732</x:v>
      </x:c>
    </x:row>
    <x:row r="9" ht="18" customHeight="1">
      <x:c r="A9" s="24" t="str">
        <x:v>Large rays (&gt;=90 cm)</x:v>
      </x:c>
      <x:c r="B9" s="33" t="n">
        <x:v>10</x:v>
      </x:c>
      <x:c r="C9" s="33" t="n">
        <x:v>10</x:v>
      </x:c>
      <x:c r="D9" s="31" t="n">
        <x:v>90.6256936779</x:v>
      </x:c>
      <x:c r="E9" s="31" t="n">
        <x:v>90.6256936779</x:v>
      </x:c>
      <x:c r="F9" s="32" t="n">
        <x:v>0</x:v>
      </x:c>
      <x:c r="G9" s="34" t="n">
        <x:v>1</x:v>
      </x:c>
      <x:c r="H9" s="32" t="n">
        <x:f>IF(E9=0,"",I9/E9)</x:f>
        <x:v>1653.23302446462</x:v>
      </x:c>
      <x:c r="I9" s="31" t="n">
        <x:f>IF(C9=0,"",SUMIF('Species'!$G$2:$G$376,A9,'Species'!$U$2:$U$376))</x:f>
        <x:v>149825.38965331882</x:v>
      </x:c>
      <x:c r="J9" s="32" t="n">
        <x:v>4.065478285699004</x:v>
      </x:c>
      <x:c r="K9" s="32" t="n">
        <x:f>IF(J9="","",(1/'Metadata'!$B$5)^(J9-1))</x:f>
        <x:v>1162.728414262018</x:v>
      </x:c>
      <x:c r="L9" s="31" t="n">
        <x:f>IF(E9=0,"",E9*K9)</x:f>
        <x:v>105373.06910150006</x:v>
      </x:c>
      <x:c r="M9" s="31" t="n">
        <x:f>IF(E9=0,"",I9-L9)</x:f>
        <x:v>44452.32055181876</x:v>
      </x:c>
      <x:c r="N9" s="32" t="n">
        <x:f>IF(L9=0,"",I9/L9)</x:f>
        <x:v>1.421856560987137</x:v>
      </x:c>
      <x:c r="O9" s="34" t="n">
        <x:f>IF(L9=0,"",M9/L9)</x:f>
        <x:v>0.421856560987137</x:v>
      </x:c>
    </x:row>
    <x:row r="10" ht="18" customHeight="1">
      <x:c r="A10" s="24" t="str">
        <x:v>Large reef assoc. fish (&gt;=90 cm)</x:v>
      </x:c>
      <x:c r="B10" s="33" t="n">
        <x:v>7</x:v>
      </x:c>
      <x:c r="C10" s="33" t="n">
        <x:v>7</x:v>
      </x:c>
      <x:c r="D10" s="31" t="n">
        <x:v>761.4811576957001</x:v>
      </x:c>
      <x:c r="E10" s="31" t="n">
        <x:v>761.4811576957001</x:v>
      </x:c>
      <x:c r="F10" s="32" t="n">
        <x:v>0</x:v>
      </x:c>
      <x:c r="G10" s="34" t="n">
        <x:v>1</x:v>
      </x:c>
      <x:c r="H10" s="32" t="n">
        <x:f>IF(E10=0,"",I10/E10)</x:f>
        <x:v>2198.601606749248</x:v>
      </x:c>
      <x:c r="I10" s="31" t="n">
        <x:f>IF(C10=0,"",SUMIF('Species'!$G$2:$G$376,A10,'Species'!$U$2:$U$376))</x:f>
        <x:v>1674193.6968190435</x:v>
      </x:c>
      <x:c r="J10" s="32" t="n">
        <x:v>4.258405358069558</x:v>
      </x:c>
      <x:c r="K10" s="32" t="n">
        <x:f>IF(J10="","",(1/'Metadata'!$B$5)^(J10-1))</x:f>
        <x:v>1813.0315349944074</x:v>
      </x:c>
      <x:c r="L10" s="31" t="n">
        <x:f>IF(E10=0,"",E10*K10)</x:f>
        <x:v>1380589.3522063536</x:v>
      </x:c>
      <x:c r="M10" s="31" t="n">
        <x:f>IF(E10=0,"",I10-L10)</x:f>
        <x:v>293604.3446126899</x:v>
      </x:c>
      <x:c r="N10" s="32" t="n">
        <x:f>IF(L10=0,"",I10/L10)</x:f>
        <x:v>1.2126659488887652</x:v>
      </x:c>
      <x:c r="O10" s="34" t="n">
        <x:f>IF(L10=0,"",M10/L10)</x:f>
        <x:v>0.21266594888876525</x:v>
      </x:c>
    </x:row>
    <x:row r="11" ht="18" customHeight="1">
      <x:c r="A11" s="24" t="str">
        <x:v>Large sharks (&gt;=90 cm)</x:v>
      </x:c>
      <x:c r="B11" s="33" t="n">
        <x:v>26</x:v>
      </x:c>
      <x:c r="C11" s="33" t="n">
        <x:v>26</x:v>
      </x:c>
      <x:c r="D11" s="31" t="n">
        <x:v>16386.290920610598</x:v>
      </x:c>
      <x:c r="E11" s="31" t="n">
        <x:v>16386.290920610598</x:v>
      </x:c>
      <x:c r="F11" s="32" t="n">
        <x:v>0</x:v>
      </x:c>
      <x:c r="G11" s="34" t="n">
        <x:v>1</x:v>
      </x:c>
      <x:c r="H11" s="32" t="n">
        <x:f>IF(E11=0,"",I11/E11)</x:f>
        <x:v>2300.242750438105</x:v>
      </x:c>
      <x:c r="I11" s="31" t="n">
        <x:f>IF(C11=0,"",SUMIF('Species'!$G$2:$G$376,A11,'Species'!$U$2:$U$376))</x:f>
        <x:v>37692446.896704264</x:v>
      </x:c>
      <x:c r="J11" s="32" t="n">
        <x:v>4.357772427922245</x:v>
      </x:c>
      <x:c r="K11" s="32" t="n">
        <x:f>IF(J11="","",(1/'Metadata'!$B$5)^(J11-1))</x:f>
        <x:v>2279.14747647878</x:v>
      </x:c>
      <x:c r="L11" s="31" t="n">
        <x:f>IF(E11=0,"",E11*K11)</x:f>
        <x:v>37346773.60055679</x:v>
      </x:c>
      <x:c r="M11" s="31" t="n">
        <x:f>IF(E11=0,"",I11-L11)</x:f>
        <x:v>345673.29614747316</x:v>
      </x:c>
      <x:c r="N11" s="32" t="n">
        <x:f>IF(L11=0,"",I11/L11)</x:f>
        <x:v>1.009255774001916</x:v>
      </x:c>
      <x:c r="O11" s="34" t="n">
        <x:f>IF(L11=0,"",M11/L11)</x:f>
        <x:v>0.009255774001915915</x:v>
      </x:c>
    </x:row>
    <x:row r="12" ht="18" customHeight="1">
      <x:c r="A12" s="24" t="str">
        <x:v>Lobsters, crabs</x:v>
      </x:c>
      <x:c r="B12" s="33" t="n">
        <x:v>20</x:v>
      </x:c>
      <x:c r="C12" s="33" t="n">
        <x:v>20</x:v>
      </x:c>
      <x:c r="D12" s="31" t="n">
        <x:v>2495.8565319968993</x:v>
      </x:c>
      <x:c r="E12" s="31" t="n">
        <x:v>2495.8565319968993</x:v>
      </x:c>
      <x:c r="F12" s="32" t="n">
        <x:v>0</x:v>
      </x:c>
      <x:c r="G12" s="34" t="n">
        <x:v>1</x:v>
      </x:c>
      <x:c r="H12" s="32" t="n">
        <x:f>IF(E12=0,"",I12/E12)</x:f>
        <x:v>97.75448682117587</x:v>
      </x:c>
      <x:c r="I12" s="31" t="n">
        <x:f>IF(C12=0,"",SUMIF('Species'!$G$2:$G$376,A12,'Species'!$U$2:$U$376))</x:f>
        <x:v>243981.1744646366</x:v>
      </x:c>
      <x:c r="J12" s="32" t="n">
        <x:v>2.8966891231795158</x:v>
      </x:c>
      <x:c r="K12" s="32" t="n">
        <x:f>IF(J12="","",(1/'Metadata'!$B$5)^(J12-1))</x:f>
        <x:v>78.82956375640357</x:v>
      </x:c>
      <x:c r="L12" s="31" t="n">
        <x:f>IF(E12=0,"",E12*K12)</x:f>
        <x:v>196747.28161588588</x:v>
      </x:c>
      <x:c r="M12" s="31" t="n">
        <x:f>IF(E12=0,"",I12-L12)</x:f>
        <x:v>47233.89284875072</x:v>
      </x:c>
      <x:c r="N12" s="32" t="n">
        <x:f>IF(L12=0,"",I12/L12)</x:f>
        <x:v>1.2400739286500868</x:v>
      </x:c>
      <x:c r="O12" s="34" t="n">
        <x:f>IF(L12=0,"",M12/L12)</x:f>
        <x:v>0.2400739286500868</x:v>
      </x:c>
    </x:row>
    <x:row r="13" ht="18" customHeight="1">
      <x:c r="A13" s="24" t="str">
        <x:v>Medium bathydemersals (30 - 89 cm)</x:v>
      </x:c>
      <x:c r="B13" s="33" t="n">
        <x:v>7</x:v>
      </x:c>
      <x:c r="C13" s="33" t="n">
        <x:v>7</x:v>
      </x:c>
      <x:c r="D13" s="31" t="n">
        <x:v>1817.8326751684997</x:v>
      </x:c>
      <x:c r="E13" s="31" t="n">
        <x:v>1817.8326751684997</x:v>
      </x:c>
      <x:c r="F13" s="32" t="n">
        <x:v>0</x:v>
      </x:c>
      <x:c r="G13" s="34" t="n">
        <x:v>1</x:v>
      </x:c>
      <x:c r="H13" s="32" t="n">
        <x:f>IF(E13=0,"",I13/E13)</x:f>
        <x:v>1011.7499640446529</x:v>
      </x:c>
      <x:c r="I13" s="31" t="n">
        <x:f>IF(C13=0,"",SUMIF('Species'!$G$2:$G$376,A13,'Species'!$U$2:$U$376))</x:f>
        <x:v>1839192.1437409248</x:v>
      </x:c>
      <x:c r="J13" s="32" t="n">
        <x:v>3.7365004357030007</x:v>
      </x:c>
      <x:c r="K13" s="32" t="n">
        <x:f>IF(J13="","",(1/'Metadata'!$B$5)^(J13-1))</x:f>
        <x:v>545.1304425870647</x:v>
      </x:c>
      <x:c r="L13" s="31" t="n">
        <x:f>IF(E13=0,"",E13*K13)</x:f>
        <x:v>990955.9307638322</x:v>
      </x:c>
      <x:c r="M13" s="31" t="n">
        <x:f>IF(E13=0,"",I13-L13)</x:f>
        <x:v>848236.2129770926</x:v>
      </x:c>
      <x:c r="N13" s="32" t="n">
        <x:f>IF(L13=0,"",I13/L13)</x:f>
        <x:v>1.8559777348759285</x:v>
      </x:c>
      <x:c r="O13" s="34" t="n">
        <x:f>IF(L13=0,"",M13/L13)</x:f>
        <x:v>0.8559777348759287</x:v>
      </x:c>
    </x:row>
    <x:row r="14" ht="18" customHeight="1">
      <x:c r="A14" s="24" t="str">
        <x:v>Medium bathypelagics (30 - 89 cm)</x:v>
      </x:c>
      <x:c r="B14" s="33" t="n">
        <x:v>3</x:v>
      </x:c>
      <x:c r="C14" s="33" t="n">
        <x:v>3</x:v>
      </x:c>
      <x:c r="D14" s="31" t="n">
        <x:v>61.0634747958</x:v>
      </x:c>
      <x:c r="E14" s="31" t="n">
        <x:v>61.0634747958</x:v>
      </x:c>
      <x:c r="F14" s="32" t="n">
        <x:v>0</x:v>
      </x:c>
      <x:c r="G14" s="34" t="n">
        <x:v>1</x:v>
      </x:c>
      <x:c r="H14" s="32" t="n">
        <x:f>IF(E14=0,"",I14/E14)</x:f>
        <x:v>761.0421498125218</x:v>
      </x:c>
      <x:c r="I14" s="31" t="n">
        <x:f>IF(C14=0,"",SUMIF('Species'!$G$2:$G$376,A14,'Species'!$U$2:$U$376))</x:f>
        <x:v>46471.87813361837</x:v>
      </x:c>
      <x:c r="J14" s="32" t="n">
        <x:v>3.828056606470286</x:v>
      </x:c>
      <x:c r="K14" s="32" t="n">
        <x:f>IF(J14="","",(1/'Metadata'!$B$5)^(J14-1))</x:f>
        <x:v>673.0643785959196</x:v>
      </x:c>
      <x:c r="L14" s="31" t="n">
        <x:f>IF(E14=0,"",E14*K14)</x:f>
        <x:v>41099.64971834273</x:v>
      </x:c>
      <x:c r="M14" s="31" t="n">
        <x:f>IF(E14=0,"",I14-L14)</x:f>
        <x:v>5372.22841527564</x:v>
      </x:c>
      <x:c r="N14" s="32" t="n">
        <x:f>IF(L14=0,"",I14/L14)</x:f>
        <x:v>1.1307122676736103</x:v>
      </x:c>
      <x:c r="O14" s="34" t="n">
        <x:f>IF(L14=0,"",M14/L14)</x:f>
        <x:v>0.13071226767361038</x:v>
      </x:c>
    </x:row>
    <x:row r="15" ht="18" customHeight="1">
      <x:c r="A15" s="24" t="str">
        <x:v>Medium benthopelagics (30 - 89 cm)</x:v>
      </x:c>
      <x:c r="B15" s="33" t="n">
        <x:v>35</x:v>
      </x:c>
      <x:c r="C15" s="33" t="n">
        <x:v>35</x:v>
      </x:c>
      <x:c r="D15" s="31" t="n">
        <x:v>15343.5005844606</x:v>
      </x:c>
      <x:c r="E15" s="31" t="n">
        <x:v>15343.5005844606</x:v>
      </x:c>
      <x:c r="F15" s="32" t="n">
        <x:v>0</x:v>
      </x:c>
      <x:c r="G15" s="34" t="n">
        <x:v>1</x:v>
      </x:c>
      <x:c r="H15" s="32" t="n">
        <x:f>IF(E15=0,"",I15/E15)</x:f>
        <x:v>721.2445033187436</x:v>
      </x:c>
      <x:c r="I15" s="31" t="n">
        <x:f>IF(C15=0,"",SUMIF('Species'!$G$2:$G$376,A15,'Species'!$U$2:$U$376))</x:f>
        <x:v>11066415.458210137</x:v>
      </x:c>
      <x:c r="J15" s="32" t="n">
        <x:v>3.6405039970176505</x:v>
      </x:c>
      <x:c r="K15" s="32" t="n">
        <x:f>IF(J15="","",(1/'Metadata'!$B$5)^(J15-1))</x:f>
        <x:v>437.02270117884837</x:v>
      </x:c>
      <x:c r="L15" s="31" t="n">
        <x:f>IF(E15=0,"",E15*K15)</x:f>
        <x:v>6705458.07096021</x:v>
      </x:c>
      <x:c r="M15" s="31" t="n">
        <x:f>IF(E15=0,"",I15-L15)</x:f>
        <x:v>4360957.387249927</x:v>
      </x:c>
      <x:c r="N15" s="32" t="n">
        <x:f>IF(L15=0,"",I15/L15)</x:f>
        <x:v>1.6503593551850284</x:v>
      </x:c>
      <x:c r="O15" s="34" t="n">
        <x:f>IF(L15=0,"",M15/L15)</x:f>
        <x:v>0.6503593551850285</x:v>
      </x:c>
    </x:row>
    <x:row r="16" ht="18" customHeight="1">
      <x:c r="A16" s="24" t="str">
        <x:v>Medium demersals (30 - 89 cm)</x:v>
      </x:c>
      <x:c r="B16" s="33" t="n">
        <x:v>37</x:v>
      </x:c>
      <x:c r="C16" s="33" t="n">
        <x:v>37</x:v>
      </x:c>
      <x:c r="D16" s="31" t="n">
        <x:v>22195.1684702086</x:v>
      </x:c>
      <x:c r="E16" s="31" t="n">
        <x:v>22195.1684702086</x:v>
      </x:c>
      <x:c r="F16" s="32" t="n">
        <x:v>0</x:v>
      </x:c>
      <x:c r="G16" s="34" t="n">
        <x:v>1</x:v>
      </x:c>
      <x:c r="H16" s="32" t="n">
        <x:f>IF(E16=0,"",I16/E16)</x:f>
        <x:v>338.960599114715</x:v>
      </x:c>
      <x:c r="I16" s="31" t="n">
        <x:f>IF(C16=0,"",SUMIF('Species'!$G$2:$G$376,A16,'Species'!$U$2:$U$376))</x:f>
        <x:v>7523287.60211394</x:v>
      </x:c>
      <x:c r="J16" s="32" t="n">
        <x:v>3.423265894719886</x:v>
      </x:c>
      <x:c r="K16" s="32" t="n">
        <x:f>IF(J16="","",(1/'Metadata'!$B$5)^(J16-1))</x:f>
        <x:v>265.01221666410567</x:v>
      </x:c>
      <x:c r="L16" s="31" t="n">
        <x:f>IF(E16=0,"",E16*K16)</x:f>
        <x:v>5881990.795523248</x:v>
      </x:c>
      <x:c r="M16" s="31" t="n">
        <x:f>IF(E16=0,"",I16-L16)</x:f>
        <x:v>1641296.8065906921</x:v>
      </x:c>
      <x:c r="N16" s="32" t="n">
        <x:f>IF(L16=0,"",I16/L16)</x:f>
        <x:v>1.2790376360058018</x:v>
      </x:c>
      <x:c r="O16" s="34" t="n">
        <x:f>IF(L16=0,"",M16/L16)</x:f>
        <x:v>0.2790376360058017</x:v>
      </x:c>
    </x:row>
    <x:row r="17" ht="18" customHeight="1">
      <x:c r="A17" s="24" t="str">
        <x:v>Medium pelagics (30 - 89 cm)</x:v>
      </x:c>
      <x:c r="B17" s="33" t="n">
        <x:v>26</x:v>
      </x:c>
      <x:c r="C17" s="33" t="n">
        <x:v>26</x:v>
      </x:c>
      <x:c r="D17" s="31" t="n">
        <x:v>26194.2099437701</x:v>
      </x:c>
      <x:c r="E17" s="31" t="n">
        <x:v>26194.2099437701</x:v>
      </x:c>
      <x:c r="F17" s="32" t="n">
        <x:v>0</x:v>
      </x:c>
      <x:c r="G17" s="34" t="n">
        <x:v>1</x:v>
      </x:c>
      <x:c r="H17" s="32" t="n">
        <x:f>IF(E17=0,"",I17/E17)</x:f>
        <x:v>941.0645014957131</x:v>
      </x:c>
      <x:c r="I17" s="31" t="n">
        <x:f>IF(C17=0,"",SUMIF('Species'!$G$2:$G$376,A17,'Species'!$U$2:$U$376))</x:f>
        <x:v>24650441.12280806</x:v>
      </x:c>
      <x:c r="J17" s="32" t="n">
        <x:v>3.8754456474890437</x:v>
      </x:c>
      <x:c r="K17" s="32" t="n">
        <x:f>IF(J17="","",(1/'Metadata'!$B$5)^(J17-1))</x:f>
        <x:v>750.6641016666291</x:v>
      </x:c>
      <x:c r="L17" s="31" t="n">
        <x:f>IF(E17=0,"",E17*K17)</x:f>
        <x:v>19663053.076307267</x:v>
      </x:c>
      <x:c r="M17" s="31" t="n">
        <x:f>IF(E17=0,"",I17-L17)</x:f>
        <x:v>4987388.046500795</x:v>
      </x:c>
      <x:c r="N17" s="32" t="n">
        <x:f>IF(L17=0,"",I17/L17)</x:f>
        <x:v>1.2536426071346103</x:v>
      </x:c>
      <x:c r="O17" s="34" t="n">
        <x:f>IF(L17=0,"",M17/L17)</x:f>
        <x:v>0.2536426071346103</x:v>
      </x:c>
    </x:row>
    <x:row r="18" ht="18" customHeight="1">
      <x:c r="A18" s="24" t="str">
        <x:v>Medium reef assoc. fish (30 - 89 cm)</x:v>
      </x:c>
      <x:c r="B18" s="33" t="n">
        <x:v>12</x:v>
      </x:c>
      <x:c r="C18" s="33" t="n">
        <x:v>12</x:v>
      </x:c>
      <x:c r="D18" s="31" t="n">
        <x:v>1803.6461408050998</x:v>
      </x:c>
      <x:c r="E18" s="31" t="n">
        <x:v>1803.6461408050998</x:v>
      </x:c>
      <x:c r="F18" s="32" t="n">
        <x:v>0</x:v>
      </x:c>
      <x:c r="G18" s="34" t="n">
        <x:v>1</x:v>
      </x:c>
      <x:c r="H18" s="32" t="n">
        <x:f>IF(E18=0,"",I18/E18)</x:f>
        <x:v>343.4937465017338</x:v>
      </x:c>
      <x:c r="I18" s="31" t="n">
        <x:f>IF(C18=0,"",SUMIF('Species'!$G$2:$G$376,A18,'Species'!$U$2:$U$376))</x:f>
        <x:v>619541.1702685375</x:v>
      </x:c>
      <x:c r="J18" s="32" t="n">
        <x:v>3.2134757122777957</x:v>
      </x:c>
      <x:c r="K18" s="32" t="n">
        <x:f>IF(J18="","",(1/'Metadata'!$B$5)^(J18-1))</x:f>
        <x:v>163.48417207904527</x:v>
      </x:c>
      <x:c r="L18" s="31" t="n">
        <x:f>IF(E18=0,"",E18*K18)</x:f>
        <x:v>294867.59605308686</x:v>
      </x:c>
      <x:c r="M18" s="31" t="n">
        <x:f>IF(E18=0,"",I18-L18)</x:f>
        <x:v>324673.5742154506</x:v>
      </x:c>
      <x:c r="N18" s="32" t="n">
        <x:f>IF(L18=0,"",I18/L18)</x:f>
        <x:v>2.1010825826958537</x:v>
      </x:c>
      <x:c r="O18" s="34" t="n">
        <x:f>IF(L18=0,"",M18/L18)</x:f>
        <x:v>1.1010825826958537</x:v>
      </x:c>
    </x:row>
    <x:row r="19" ht="18" customHeight="1">
      <x:c r="A19" s="24" t="str">
        <x:v>Other demersal invertebrates</x:v>
      </x:c>
      <x:c r="B19" s="33" t="n">
        <x:v>38</x:v>
      </x:c>
      <x:c r="C19" s="33" t="n">
        <x:v>38</x:v>
      </x:c>
      <x:c r="D19" s="31" t="n">
        <x:v>4468.204694366</x:v>
      </x:c>
      <x:c r="E19" s="31" t="n">
        <x:v>4468.204694366</x:v>
      </x:c>
      <x:c r="F19" s="32" t="n">
        <x:v>0</x:v>
      </x:c>
      <x:c r="G19" s="34" t="n">
        <x:v>1</x:v>
      </x:c>
      <x:c r="H19" s="32" t="n">
        <x:f>IF(E19=0,"",I19/E19)</x:f>
        <x:v>27.828070808346823</x:v>
      </x:c>
      <x:c r="I19" s="31" t="n">
        <x:f>IF(C19=0,"",SUMIF('Species'!$G$2:$G$376,A19,'Species'!$U$2:$U$376))</x:f>
        <x:v>124341.51662100472</x:v>
      </x:c>
      <x:c r="J19" s="32" t="n">
        <x:v>2.3429279657547086</x:v>
      </x:c>
      <x:c r="K19" s="32" t="n">
        <x:f>IF(J19="","",(1/'Metadata'!$B$5)^(J19-1))</x:f>
        <x:v>22.02561105001948</x:v>
      </x:c>
      <x:c r="L19" s="31" t="n">
        <x:f>IF(E19=0,"",E19*K19)</x:f>
        <x:v>98414.93868997668</x:v>
      </x:c>
      <x:c r="M19" s="31" t="n">
        <x:f>IF(E19=0,"",I19-L19)</x:f>
        <x:v>25926.577931028034</x:v>
      </x:c>
      <x:c r="N19" s="32" t="n">
        <x:f>IF(L19=0,"",I19/L19)</x:f>
        <x:v>1.2634414884177394</x:v>
      </x:c>
      <x:c r="O19" s="34" t="n">
        <x:f>IF(L19=0,"",M19/L19)</x:f>
        <x:v>0.2634414884177395</x:v>
      </x:c>
    </x:row>
    <x:row r="20" ht="18" customHeight="1">
      <x:c r="A20" s="24" t="str">
        <x:v>Shrimps</x:v>
      </x:c>
      <x:c r="B20" s="33" t="n">
        <x:v>19</x:v>
      </x:c>
      <x:c r="C20" s="33" t="n">
        <x:v>19</x:v>
      </x:c>
      <x:c r="D20" s="31" t="n">
        <x:v>9863.675829248</x:v>
      </x:c>
      <x:c r="E20" s="31" t="n">
        <x:v>9863.675829248</x:v>
      </x:c>
      <x:c r="F20" s="32" t="n">
        <x:v>0</x:v>
      </x:c>
      <x:c r="G20" s="34" t="n">
        <x:v>1</x:v>
      </x:c>
      <x:c r="H20" s="32" t="n">
        <x:f>IF(E20=0,"",I20/E20)</x:f>
        <x:v>244.98021797224553</x:v>
      </x:c>
      <x:c r="I20" s="31" t="n">
        <x:f>IF(C20=0,"",SUMIF('Species'!$G$2:$G$376,A20,'Species'!$U$2:$U$376))</x:f>
        <x:v>2416405.454656745</x:v>
      </x:c>
      <x:c r="J20" s="32" t="n">
        <x:v>3.3448897795964334</x:v>
      </x:c>
      <x:c r="K20" s="32" t="n">
        <x:f>IF(J20="","",(1/'Metadata'!$B$5)^(J20-1))</x:f>
        <x:v>221.25331154539487</x:v>
      </x:c>
      <x:c r="L20" s="31" t="n">
        <x:f>IF(E20=0,"",E20*K20)</x:f>
        <x:v>2182370.941231389</x:v>
      </x:c>
      <x:c r="M20" s="31" t="n">
        <x:f>IF(E20=0,"",I20-L20)</x:f>
        <x:v>234034.51342535578</x:v>
      </x:c>
      <x:c r="N20" s="32" t="n">
        <x:f>IF(L20=0,"",I20/L20)</x:f>
        <x:v>1.107238649948896</x:v>
      </x:c>
      <x:c r="O20" s="34" t="n">
        <x:f>IF(L20=0,"",M20/L20)</x:f>
        <x:v>0.10723864994889608</x:v>
      </x:c>
    </x:row>
    <x:row r="21" ht="18" customHeight="1">
      <x:c r="A21" s="24" t="str">
        <x:v>Small benthopelagics (&lt;30 cm)</x:v>
      </x:c>
      <x:c r="B21" s="33" t="n">
        <x:v>4</x:v>
      </x:c>
      <x:c r="C21" s="33" t="n">
        <x:v>4</x:v>
      </x:c>
      <x:c r="D21" s="31" t="n">
        <x:v>410.3341699955</x:v>
      </x:c>
      <x:c r="E21" s="31" t="n">
        <x:v>410.3341699955</x:v>
      </x:c>
      <x:c r="F21" s="32" t="n">
        <x:v>0</x:v>
      </x:c>
      <x:c r="G21" s="34" t="n">
        <x:v>1</x:v>
      </x:c>
      <x:c r="H21" s="32" t="n">
        <x:f>IF(E21=0,"",I21/E21)</x:f>
        <x:v>313.2808076980544</x:v>
      </x:c>
      <x:c r="I21" s="31" t="n">
        <x:f>IF(C21=0,"",SUMIF('Species'!$G$2:$G$376,A21,'Species'!$U$2:$U$376))</x:f>
        <x:v>128549.820202301</x:v>
      </x:c>
      <x:c r="J21" s="32" t="n">
        <x:v>3.474821131090595</x:v>
      </x:c>
      <x:c r="K21" s="32" t="n">
        <x:f>IF(J21="","",(1/'Metadata'!$B$5)^(J21-1))</x:f>
        <x:v>298.4153309761828</x:v>
      </x:c>
      <x:c r="L21" s="31" t="n">
        <x:f>IF(E21=0,"",E21*K21)</x:f>
        <x:v>122450.0071500444</x:v>
      </x:c>
      <x:c r="M21" s="31" t="n">
        <x:f>IF(E21=0,"",I21-L21)</x:f>
        <x:v>6099.813052256592</x:v>
      </x:c>
      <x:c r="N21" s="32" t="n">
        <x:f>IF(L21=0,"",I21/L21)</x:f>
        <x:v>1.049814721895297</x:v>
      </x:c>
      <x:c r="O21" s="34" t="n">
        <x:f>IF(L21=0,"",M21/L21)</x:f>
        <x:v>0.049814721895297</x:v>
      </x:c>
    </x:row>
    <x:row r="22" ht="18" customHeight="1">
      <x:c r="A22" s="24" t="str">
        <x:v>Small demersals (&lt;30 cm)</x:v>
      </x:c>
      <x:c r="B22" s="33" t="n">
        <x:v>14</x:v>
      </x:c>
      <x:c r="C22" s="33" t="n">
        <x:v>14</x:v>
      </x:c>
      <x:c r="D22" s="31" t="n">
        <x:v>921.6152375855999</x:v>
      </x:c>
      <x:c r="E22" s="31" t="n">
        <x:v>921.6152375855999</x:v>
      </x:c>
      <x:c r="F22" s="32" t="n">
        <x:v>0</x:v>
      </x:c>
      <x:c r="G22" s="34" t="n">
        <x:v>1</x:v>
      </x:c>
      <x:c r="H22" s="32" t="n">
        <x:f>IF(E22=0,"",I22/E22)</x:f>
        <x:v>335.36091685359645</x:v>
      </x:c>
      <x:c r="I22" s="31" t="n">
        <x:f>IF(C22=0,"",SUMIF('Species'!$G$2:$G$376,A22,'Species'!$U$2:$U$376))</x:f>
        <x:v>309073.7310629519</x:v>
      </x:c>
      <x:c r="J22" s="32" t="n">
        <x:v>3.3588614835563195</x:v>
      </x:c>
      <x:c r="K22" s="32" t="n">
        <x:f>IF(J22="","",(1/'Metadata'!$B$5)^(J22-1))</x:f>
        <x:v>228.48699372524214</x:v>
      </x:c>
      <x:c r="L22" s="31" t="n">
        <x:f>IF(E22=0,"",E22*K22)</x:f>
        <x:v>210577.0950073085</x:v>
      </x:c>
      <x:c r="M22" s="31" t="n">
        <x:f>IF(E22=0,"",I22-L22)</x:f>
        <x:v>98496.63605564341</x:v>
      </x:c>
      <x:c r="N22" s="32" t="n">
        <x:f>IF(L22=0,"",I22/L22)</x:f>
        <x:v>1.467746200279878</x:v>
      </x:c>
      <x:c r="O22" s="34" t="n">
        <x:f>IF(L22=0,"",M22/L22)</x:f>
        <x:v>0.46774620027987796</x:v>
      </x:c>
    </x:row>
    <x:row r="23" ht="18" customHeight="1">
      <x:c r="A23" s="24" t="str">
        <x:v>Small pelagics (&lt;30 cm)</x:v>
      </x:c>
      <x:c r="B23" s="33" t="n">
        <x:v>7</x:v>
      </x:c>
      <x:c r="C23" s="33" t="n">
        <x:v>7</x:v>
      </x:c>
      <x:c r="D23" s="31" t="n">
        <x:v>59943.1922695257</x:v>
      </x:c>
      <x:c r="E23" s="31" t="n">
        <x:v>59943.1922695257</x:v>
      </x:c>
      <x:c r="F23" s="32" t="n">
        <x:v>0</x:v>
      </x:c>
      <x:c r="G23" s="34" t="n">
        <x:v>1</x:v>
      </x:c>
      <x:c r="H23" s="32" t="n">
        <x:f>IF(E23=0,"",I23/E23)</x:f>
        <x:v>134.53064597873788</x:v>
      </x:c>
      <x:c r="I23" s="31" t="n">
        <x:f>IF(C23=0,"",SUMIF('Species'!$G$2:$G$376,A23,'Species'!$U$2:$U$376))</x:f>
        <x:v>8064196.37804698</x:v>
      </x:c>
      <x:c r="J23" s="32" t="n">
        <x:v>3.118842260059255</x:v>
      </x:c>
      <x:c r="K23" s="32" t="n">
        <x:f>IF(J23="","",(1/'Metadata'!$B$5)^(J23-1))</x:f>
        <x:v>131.47472166020523</x:v>
      </x:c>
      <x:c r="L23" s="31" t="n">
        <x:f>IF(E23=0,"",E23*K23)</x:f>
        <x:v>7881014.519060058</x:v>
      </x:c>
      <x:c r="M23" s="31" t="n">
        <x:f>IF(E23=0,"",I23-L23)</x:f>
        <x:v>183181.85898692254</x:v>
      </x:c>
      <x:c r="N23" s="32" t="n">
        <x:f>IF(L23=0,"",I23/L23)</x:f>
        <x:v>1.0232434363042857</x:v>
      </x:c>
      <x:c r="O23" s="34" t="n">
        <x:f>IF(L23=0,"",M23/L23)</x:f>
        <x:v>0.02324343630428561</x:v>
      </x:c>
    </x:row>
    <x:row r="24" ht="18" customHeight="1">
      <x:c r="A24" s="24" t="str">
        <x:v>Small reef assoc. fish (&lt;30 cm)</x:v>
      </x:c>
      <x:c r="B24" s="33" t="n">
        <x:v>4</x:v>
      </x:c>
      <x:c r="C24" s="33" t="n">
        <x:v>4</x:v>
      </x:c>
      <x:c r="D24" s="31" t="n">
        <x:v>31.7162839158</x:v>
      </x:c>
      <x:c r="E24" s="31" t="n">
        <x:v>31.7162839158</x:v>
      </x:c>
      <x:c r="F24" s="32" t="n">
        <x:v>0</x:v>
      </x:c>
      <x:c r="G24" s="34" t="n">
        <x:v>1</x:v>
      </x:c>
      <x:c r="H24" s="32" t="n">
        <x:f>IF(E24=0,"",I24/E24)</x:f>
        <x:v>140.18705083616024</x:v>
      </x:c>
      <x:c r="I24" s="31" t="n">
        <x:f>IF(C24=0,"",SUMIF('Species'!$G$2:$G$376,A24,'Species'!$U$2:$U$376))</x:f>
        <x:v>4446.212305638345</x:v>
      </x:c>
      <x:c r="J24" s="32" t="n">
        <x:v>3.1360019930951046</x:v>
      </x:c>
      <x:c r="K24" s="32" t="n">
        <x:f>IF(J24="","",(1/'Metadata'!$B$5)^(J24-1))</x:f>
        <x:v>136.77351024885925</x:v>
      </x:c>
      <x:c r="L24" s="31" t="n">
        <x:f>IF(E24=0,"",E24*K24)</x:f>
        <x:v>4337.947483213401</x:v>
      </x:c>
      <x:c r="M24" s="31" t="n">
        <x:f>IF(E24=0,"",I24-L24)</x:f>
        <x:v>108.26482242494421</x:v>
      </x:c>
      <x:c r="N24" s="32" t="n">
        <x:f>IF(L24=0,"",I24/L24)</x:f>
        <x:v>1.024957614826804</x:v>
      </x:c>
      <x:c r="O24" s="34" t="n">
        <x:f>IF(L24=0,"",M24/L24)</x:f>
        <x:v>0.02495761482680408</x:v>
      </x:c>
    </x:row>
    <x:row r="25" ht="18" customHeight="1">
      <x:c r="A25" s="24" t="str">
        <x:v>Small to medium flatfishes (&lt;90 cm)</x:v>
      </x:c>
      <x:c r="B25" s="33" t="n">
        <x:v>20</x:v>
      </x:c>
      <x:c r="C25" s="33" t="n">
        <x:v>20</x:v>
      </x:c>
      <x:c r="D25" s="31" t="n">
        <x:v>1714.7586506334999</x:v>
      </x:c>
      <x:c r="E25" s="31" t="n">
        <x:v>1714.7586506334999</x:v>
      </x:c>
      <x:c r="F25" s="32" t="n">
        <x:v>0</x:v>
      </x:c>
      <x:c r="G25" s="34" t="n">
        <x:v>1</x:v>
      </x:c>
      <x:c r="H25" s="32" t="n">
        <x:f>IF(E25=0,"",I25/E25)</x:f>
        <x:v>597.2343933105358</x:v>
      </x:c>
      <x:c r="I25" s="31" t="n">
        <x:f>IF(C25=0,"",SUMIF('Species'!$G$2:$G$376,A25,'Species'!$U$2:$U$376))</x:f>
        <x:v>1024112.8423850914</x:v>
      </x:c>
      <x:c r="J25" s="32" t="n">
        <x:v>3.643769363532185</x:v>
      </x:c>
      <x:c r="K25" s="32" t="n">
        <x:f>IF(J25="","",(1/'Metadata'!$B$5)^(J25-1))</x:f>
        <x:v>440.3209645126116</x:v>
      </x:c>
      <x:c r="L25" s="31" t="n">
        <x:f>IF(E25=0,"",E25*K25)</x:f>
        <x:v>755044.1829532871</x:v>
      </x:c>
      <x:c r="M25" s="31" t="n">
        <x:f>IF(E25=0,"",I25-L25)</x:f>
        <x:v>269068.6594318042</x:v>
      </x:c>
      <x:c r="N25" s="32" t="n">
        <x:f>IF(L25=0,"",I25/L25)</x:f>
        <x:v>1.3563614759329268</x:v>
      </x:c>
      <x:c r="O25" s="34" t="n">
        <x:f>IF(L25=0,"",M25/L25)</x:f>
        <x:v>0.3563614759329268</x:v>
      </x:c>
    </x:row>
    <x:row r="26" ht="18" customHeight="1">
      <x:c r="A26" s="24" t="str">
        <x:v>Small to medium rays (&lt;90 cm)</x:v>
      </x:c>
      <x:c r="B26" s="33" t="n">
        <x:v>3</x:v>
      </x:c>
      <x:c r="C26" s="33" t="n">
        <x:v>3</x:v>
      </x:c>
      <x:c r="D26" s="31" t="n">
        <x:v>647.6111878366</x:v>
      </x:c>
      <x:c r="E26" s="31" t="n">
        <x:v>647.6111878366</x:v>
      </x:c>
      <x:c r="F26" s="32" t="n">
        <x:v>0</x:v>
      </x:c>
      <x:c r="G26" s="34" t="n">
        <x:v>1</x:v>
      </x:c>
      <x:c r="H26" s="32" t="n">
        <x:f>IF(E26=0,"",I26/E26)</x:f>
        <x:v>607.3146184392149</x:v>
      </x:c>
      <x:c r="I26" s="31" t="n">
        <x:f>IF(C26=0,"",SUMIF('Species'!$G$2:$G$376,A26,'Species'!$U$2:$U$376))</x:f>
        <x:v>393303.74143795145</x:v>
      </x:c>
      <x:c r="J26" s="32" t="n">
        <x:v>3.7773794321966747</x:v>
      </x:c>
      <x:c r="K26" s="32" t="n">
        <x:f>IF(J26="","",(1/'Metadata'!$B$5)^(J26-1))</x:f>
        <x:v>598.9346407153454</x:v>
      </x:c>
      <x:c r="L26" s="31" t="n">
        <x:f>IF(E26=0,"",E26*K26)</x:f>
        <x:v>387876.7741101521</x:v>
      </x:c>
      <x:c r="M26" s="31" t="n">
        <x:f>IF(E26=0,"",I26-L26)</x:f>
        <x:v>5426.967327799357</x:v>
      </x:c>
      <x:c r="N26" s="32" t="n">
        <x:f>IF(L26=0,"",I26/L26)</x:f>
        <x:v>1.0139914727821733</x:v>
      </x:c>
      <x:c r="O26" s="34" t="n">
        <x:f>IF(L26=0,"",M26/L26)</x:f>
        <x:v>0.013991472782173255</x:v>
      </x:c>
    </x:row>
    <x:row r="27" ht="18" customHeight="1">
      <x:c r="A27" s="24" t="str">
        <x:v>Small to medium sharks (&lt;90 cm)</x:v>
      </x:c>
      <x:c r="B27" s="33" t="n">
        <x:v>5</x:v>
      </x:c>
      <x:c r="C27" s="33" t="n">
        <x:v>5</x:v>
      </x:c>
      <x:c r="D27" s="31" t="n">
        <x:v>1113.1795446400997</x:v>
      </x:c>
      <x:c r="E27" s="31" t="n">
        <x:v>1113.1795446400997</x:v>
      </x:c>
      <x:c r="F27" s="32" t="n">
        <x:v>0</x:v>
      </x:c>
      <x:c r="G27" s="34" t="n">
        <x:v>1</x:v>
      </x:c>
      <x:c r="H27" s="32" t="n">
        <x:f>IF(E27=0,"",I27/E27)</x:f>
        <x:v>822.9570700444444</x:v>
      </x:c>
      <x:c r="I27" s="31" t="n">
        <x:f>IF(C27=0,"",SUMIF('Species'!$G$2:$G$376,A27,'Species'!$U$2:$U$376))</x:f>
        <x:v>916098.9764904253</x:v>
      </x:c>
      <x:c r="J27" s="32" t="n">
        <x:v>3.8903762409728406</x:v>
      </x:c>
      <x:c r="K27" s="32" t="n">
        <x:f>IF(J27="","",(1/'Metadata'!$B$5)^(J27-1))</x:f>
        <x:v>776.9198917317742</x:v>
      </x:c>
      <x:c r="L27" s="31" t="n">
        <x:f>IF(E27=0,"",E27*K27)</x:f>
        <x:v>864851.331299812</x:v>
      </x:c>
      <x:c r="M27" s="31" t="n">
        <x:f>IF(E27=0,"",I27-L27)</x:f>
        <x:v>51247.645190613344</x:v>
      </x:c>
      <x:c r="N27" s="32" t="n">
        <x:f>IF(L27=0,"",I27/L27)</x:f>
        <x:v>1.059256017000739</x:v>
      </x:c>
      <x:c r="O27" s="34" t="n">
        <x:f>IF(L27=0,"",M27/L27)</x:f>
        <x:v>0.05925601700073892</x:v>
      </x:c>
    </x:row>
  </x:sheetData>
  <x:conditionalFormatting sqref="G2:G27">
    <x:cfRule type="cellIs" dxfId="2" priority="1" operator="lessThan">
      <x:formula>0.9</x:formula>
    </x:cfRule>
  </x:conditionalFormatting>
  <x:conditionalFormatting sqref="O2:O27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b0b892dca21d4b5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EEZ_962</x:v>
      </x:c>
      <x:c r="B2" s="24" t="str">
        <x:v>raw_filtered_tonnes</x:v>
      </x:c>
      <x:c r="C2" s="24" t="n">
        <x:v>200667.82998734072</x:v>
      </x:c>
      <x:c r="D2" s="24" t="str">
        <x:v>tonnes</x:v>
      </x:c>
    </x:row>
    <x:row r="3" ht="18" customHeight="1">
      <x:c r="A3" s="24" t="str">
        <x:v>EEZ_962</x:v>
      </x:c>
      <x:c r="B3" s="24" t="str">
        <x:v>species_catch_tonnes</x:v>
      </x:c>
      <x:c r="C3" s="24" t="n">
        <x:v>200667.8299873407</x:v>
      </x:c>
      <x:c r="D3" s="24" t="str">
        <x:v>tonnes</x:v>
      </x:c>
    </x:row>
    <x:row r="4" ht="18" customHeight="1">
      <x:c r="A4" s="24" t="str">
        <x:v>EEZ_962</x:v>
      </x:c>
      <x:c r="B4" s="24" t="str">
        <x:v>catch_difference_tonnes</x:v>
      </x:c>
      <x:c r="C4" s="24" t="n">
        <x:v>-2.9103830456733704e-11</x:v>
      </x:c>
      <x:c r="D4" s="24" t="str">
        <x:v>tonnes</x:v>
      </x:c>
    </x:row>
    <x:row r="5" ht="18" customHeight="1">
      <x:c r="A5" s="24" t="str">
        <x:v>EEZ_962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EEZ_962</x:v>
      </x:c>
      <x:c r="B6" s="24" t="str">
        <x:v>matched_catch_tonnes</x:v>
      </x:c>
      <x:c r="C6" s="24" t="n">
        <x:v>200667.8299873407</x:v>
      </x:c>
      <x:c r="D6" s="24" t="str">
        <x:v>tonnes</x:v>
      </x:c>
    </x:row>
    <x:row r="7" ht="18" customHeight="1">
      <x:c r="A7" s="24" t="str">
        <x:v>EEZ_962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EEZ_962</x:v>
      </x:c>
      <x:c r="B8" s="24" t="str">
        <x:v>taxa_count</x:v>
      </x:c>
      <x:c r="C8" s="24" t="n">
        <x:v>375</x:v>
      </x:c>
      <x:c r="D8" s="24" t="str">
        <x:v>count</x:v>
      </x:c>
    </x:row>
    <x:row r="9" ht="18" customHeight="1">
      <x:c r="A9" s="24" t="str">
        <x:v>EEZ_962</x:v>
      </x:c>
      <x:c r="B9" s="24" t="str">
        <x:v>matched_taxa_count</x:v>
      </x:c>
      <x:c r="C9" s="24" t="n">
        <x:v>375</x:v>
      </x:c>
      <x:c r="D9" s="24" t="str">
        <x:v>count</x:v>
      </x:c>
    </x:row>
    <x:row r="10" ht="18" customHeight="1">
      <x:c r="A10" s="24" t="str">
        <x:v>EEZ_962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EEZ_962</x:v>
      </x:c>
      <x:c r="B11" s="24" t="str">
        <x:v>species_ppr</x:v>
      </x:c>
      <x:c r="C11" s="24" t="n">
        <x:v>161337945.08672658</x:v>
      </x:c>
      <x:c r="D11" s="24" t="str">
        <x:v>tonnes_primary_production_equivalent</x:v>
      </x:c>
    </x:row>
    <x:row r="12" ht="18" customHeight="1">
      <x:c r="A12" s="24" t="str">
        <x:v>EEZ_962</x:v>
      </x:c>
      <x:c r="B12" s="24" t="str">
        <x:v>commercial_ppr</x:v>
      </x:c>
      <x:c r="C12" s="24" t="n">
        <x:v>161337945.0867266</x:v>
      </x:c>
      <x:c r="D12" s="24" t="str">
        <x:v>tonnes_primary_production_equivalent</x:v>
      </x:c>
    </x:row>
    <x:row r="13" ht="18" customHeight="1">
      <x:c r="A13" s="24" t="str">
        <x:v>EEZ_962</x:v>
      </x:c>
      <x:c r="B13" s="24" t="str">
        <x:v>functional_ppr</x:v>
      </x:c>
      <x:c r="C13" s="24" t="n">
        <x:v>161337945.08672658</x:v>
      </x:c>
      <x:c r="D13" s="24" t="str">
        <x:v>tonnes_primary_production_equivalent</x:v>
      </x:c>
    </x:row>
    <x:row r="14" ht="18" customHeight="1">
      <x:c r="A14" s="24" t="str">
        <x:v>EEZ_962</x:v>
      </x:c>
      <x:c r="B14" s="24" t="str">
        <x:v>commercial_ppr_difference</x:v>
      </x:c>
      <x:c r="C14" s="24" t="n">
        <x:v>2.9802322387695312e-8</x:v>
      </x:c>
      <x:c r="D14" s="24" t="str">
        <x:v>tonnes_primary_production_equivalent</x:v>
      </x:c>
    </x:row>
    <x:row r="15" ht="18" customHeight="1">
      <x:c r="A15" s="24" t="str">
        <x:v>EEZ_962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EEZ_962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EEZ_962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EEZ_962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EEZ_962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046c8902cbdf4b9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EEZ_962 - Spain (mainland, Med and Gulf of Cadiz)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EEZ_962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raw_data/SAU_downloads/EEZ_962-catch.zip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