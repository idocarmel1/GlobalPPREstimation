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97e9d1dda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cd3424f59474c6c"/>
    <x:sheet xmlns:r="http://schemas.openxmlformats.org/officeDocument/2006/relationships" name="Commercial" sheetId="2" r:id="Red5e6cc1a89b4935"/>
    <x:sheet xmlns:r="http://schemas.openxmlformats.org/officeDocument/2006/relationships" name="Functional" sheetId="3" r:id="Rdb8d6e57e4df4300"/>
    <x:sheet xmlns:r="http://schemas.openxmlformats.org/officeDocument/2006/relationships" name="Missing TL" sheetId="4" r:id="Rc043b73bea544e2a"/>
    <x:sheet xmlns:r="http://schemas.openxmlformats.org/officeDocument/2006/relationships" name="Validation" sheetId="5" r:id="R59db5740b91c46a1"/>
    <x:sheet xmlns:r="http://schemas.openxmlformats.org/officeDocument/2006/relationships" name="Metadata" sheetId="6" r:id="R64c8d36f1a6f4d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7e775b809491e" /><Relationship Type="http://schemas.openxmlformats.org/officeDocument/2006/relationships/theme" Target="/xl/theme/theme1.xml" Id="Re91368075afe4ef5" /><Relationship Type="http://schemas.microsoft.com/office/2022/11/relationships/FeaturePropertyBag" Target="/xl/featurePropertyBag/featurePropertyBag.xml" Id="Red51e21678e94aed" /><Relationship Type="http://schemas.openxmlformats.org/officeDocument/2006/relationships/sharedStrings" Target="/xl/sharedStrings.xml" Id="Rb6349ffb4feb4154" /><Relationship Type="http://schemas.openxmlformats.org/officeDocument/2006/relationships/worksheet" Target="/xl/worksheets/sheet1.xml" Id="R3cd3424f59474c6c" /><Relationship Type="http://schemas.openxmlformats.org/officeDocument/2006/relationships/worksheet" Target="/xl/worksheets/sheet2.xml" Id="Red5e6cc1a89b4935" /><Relationship Type="http://schemas.openxmlformats.org/officeDocument/2006/relationships/worksheet" Target="/xl/worksheets/sheet3.xml" Id="Rdb8d6e57e4df4300" /><Relationship Type="http://schemas.openxmlformats.org/officeDocument/2006/relationships/worksheet" Target="/xl/worksheets/sheet4.xml" Id="Rc043b73bea544e2a" /><Relationship Type="http://schemas.openxmlformats.org/officeDocument/2006/relationships/worksheet" Target="/xl/worksheets/sheet5.xml" Id="R59db5740b91c46a1" /><Relationship Type="http://schemas.openxmlformats.org/officeDocument/2006/relationships/worksheet" Target="/xl/worksheets/sheet6.xml" Id="R64c8d36f1a6f4d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54SpeciesTable" displayName="EEZ554SpeciesTable" ref="A1:U198" headerRowCount="1" totalsRowCount="0" totalsRowShown="0">
  <x:autoFilter ref="A1:U1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54CommercialTable" displayName="EEZ55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54FunctionalTable" displayName="EEZ554FunctionalTable" ref="A1:E29" headerRowCount="1" totalsRowCount="0" totalsRowShown="0">
  <x:autoFilter ref="A1:E2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54ValidationTable" displayName="EEZ5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bbc5a563e4c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8084737a81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3e68f3346446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2b32ef834446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EEZ_554</x:v>
      </x:c>
      <x:c r="B2" s="24" t="str">
        <x:v>New Zealand</x:v>
      </x:c>
      <x:c r="C2" s="24" t="str">
        <x:v>EEZ</x:v>
      </x:c>
      <x:c r="D2" s="30" t="n">
        <x:v>2019</x:v>
      </x:c>
      <x:c r="E2" s="24" t="str">
        <x:v>Macruronus novaezelandiae</x:v>
      </x:c>
      <x:c r="F2" s="24" t="str">
        <x:v>Blue grenadier</x:v>
      </x:c>
      <x:c r="G2" s="24" t="str">
        <x:v>Large demersals (&gt;=90 cm)</x:v>
      </x:c>
      <x:c r="H2" s="24" t="str">
        <x:v>Cod-likes</x:v>
      </x:c>
      <x:c r="I2" s="31" t="n">
        <x:v>149870.88232617348</x:v>
      </x:c>
      <x:c r="J2" s="31" t="n">
        <x:v>149870.88232617348</x:v>
      </x:c>
      <x:c r="K2" s="31" t="n">
        <x:v>0</x:v>
      </x:c>
      <x:c r="L2" s="31" t="n">
        <x:v>137633.2727395447</x:v>
      </x:c>
      <x:c r="M2" s="31" t="n">
        <x:v>12237.6095866288</x:v>
      </x:c>
      <x:c r="N2" s="24" t="str">
        <x:v>macruronus novaezelandiae</x:v>
      </x:c>
      <x:c r="O2" s="32" t="n">
        <x:v>4.53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Macruronus novaezelandiae</x:v>
      </x:c>
      <x:c r="T2" s="32" t="n">
        <x:f>IF(O2="","",(1/'Metadata'!$B$5)^(O2-1))</x:f>
        <x:v>3388.4415613920273</x:v>
      </x:c>
      <x:c r="U2" s="31" t="n">
        <x:f>IF(T2="","",I2*T2)</x:f>
        <x:v>507828726.51650006</x:v>
      </x:c>
    </x:row>
    <x:row r="3" ht="18" customHeight="1">
      <x:c r="A3" s="24" t="str">
        <x:v>EEZ_554</x:v>
      </x:c>
      <x:c r="B3" s="24" t="str">
        <x:v>New Zealand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52709.9429798657</x:v>
      </x:c>
      <x:c r="J3" s="31" t="n">
        <x:v>32722.3568100479</x:v>
      </x:c>
      <x:c r="K3" s="31" t="n">
        <x:v>19987.586169817798</x:v>
      </x:c>
      <x:c r="L3" s="31" t="n">
        <x:v>26689.8960104475</x:v>
      </x:c>
      <x:c r="M3" s="31" t="n">
        <x:v>26020.0469694182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10043672.579421667</x:v>
      </x:c>
    </x:row>
    <x:row r="4" ht="18" customHeight="1">
      <x:c r="A4" s="24" t="str">
        <x:v>EEZ_554</x:v>
      </x:c>
      <x:c r="B4" s="24" t="str">
        <x:v>New Zealand</x:v>
      </x:c>
      <x:c r="C4" s="24" t="str">
        <x:v>EEZ</x:v>
      </x:c>
      <x:c r="D4" s="30" t="n">
        <x:v>2019</x:v>
      </x:c>
      <x:c r="E4" s="24" t="str">
        <x:v>Trachurus</x:v>
      </x:c>
      <x:c r="F4" s="24" t="str">
        <x:v>Jacks, horse mackerels</x:v>
      </x:c>
      <x:c r="G4" s="24" t="str">
        <x:v>Medium pelagics (30 - 89 cm)</x:v>
      </x:c>
      <x:c r="H4" s="24" t="str">
        <x:v>Perch-likes</x:v>
      </x:c>
      <x:c r="I4" s="31" t="n">
        <x:v>50041.771427139196</x:v>
      </x:c>
      <x:c r="J4" s="31" t="n">
        <x:v>50041.771427139196</x:v>
      </x:c>
      <x:c r="K4" s="31" t="n">
        <x:v>0</x:v>
      </x:c>
      <x:c r="L4" s="31" t="n">
        <x:v>45038.5133759126</x:v>
      </x:c>
      <x:c r="M4" s="31" t="n">
        <x:v>5003.2580512266</x:v>
      </x:c>
      <x:c r="N4" s="24" t="str">
        <x:v>trachurus</x:v>
      </x:c>
      <x:c r="O4" s="32" t="n">
        <x:v>3.69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Trachurus</x:v>
      </x:c>
      <x:c r="T4" s="32" t="n">
        <x:f>IF(O4="","",(1/'Metadata'!$B$5)^(O4-1))</x:f>
        <x:v>489.77881936844614</x:v>
      </x:c>
      <x:c r="U4" s="31" t="n">
        <x:f>IF(T4="","",I4*T4)</x:f>
        <x:v>24509399.728689875</x:v>
      </x:c>
    </x:row>
    <x:row r="5" ht="18" customHeight="1">
      <x:c r="A5" s="24" t="str">
        <x:v>EEZ_554</x:v>
      </x:c>
      <x:c r="B5" s="24" t="str">
        <x:v>New Zealand</x:v>
      </x:c>
      <x:c r="C5" s="24" t="str">
        <x:v>EEZ</x:v>
      </x:c>
      <x:c r="D5" s="30" t="n">
        <x:v>2019</x:v>
      </x:c>
      <x:c r="E5" s="24" t="str">
        <x:v>Thyrsites atun</x:v>
      </x:c>
      <x:c r="F5" s="24" t="str">
        <x:v>Snoek</x:v>
      </x:c>
      <x:c r="G5" s="24" t="str">
        <x:v>Large benthopelagics (&gt;=90 cm)</x:v>
      </x:c>
      <x:c r="H5" s="24" t="str">
        <x:v>Perch-likes</x:v>
      </x:c>
      <x:c r="I5" s="31" t="n">
        <x:v>29071.2310657208</x:v>
      </x:c>
      <x:c r="J5" s="31" t="n">
        <x:v>29071.2310657208</x:v>
      </x:c>
      <x:c r="K5" s="31" t="n">
        <x:v>0</x:v>
      </x:c>
      <x:c r="L5" s="31" t="n">
        <x:v>25219.965997434498</x:v>
      </x:c>
      <x:c r="M5" s="31" t="n">
        <x:v>3851.2650682863</x:v>
      </x:c>
      <x:c r="N5" s="24" t="str">
        <x:v>thyrsites atun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Thyrsites atun</x:v>
      </x:c>
      <x:c r="T5" s="32" t="n">
        <x:f>IF(O5="","",(1/'Metadata'!$B$5)^(O5-1))</x:f>
        <x:v>426.57951880159254</x:v>
      </x:c>
      <x:c r="U5" s="31" t="n">
        <x:f>IF(T5="","",I5*T5)</x:f>
        <x:v>12401191.758985087</x:v>
      </x:c>
    </x:row>
    <x:row r="6" ht="18" customHeight="1">
      <x:c r="A6" s="24" t="str">
        <x:v>EEZ_554</x:v>
      </x:c>
      <x:c r="B6" s="24" t="str">
        <x:v>New Zealand</x:v>
      </x:c>
      <x:c r="C6" s="24" t="str">
        <x:v>EEZ</x:v>
      </x:c>
      <x:c r="D6" s="30" t="n">
        <x:v>2019</x:v>
      </x:c>
      <x:c r="E6" s="24" t="str">
        <x:v>Micromesistius australis</x:v>
      </x:c>
      <x:c r="F6" s="24" t="str">
        <x:v>Southern blue whiting</x:v>
      </x:c>
      <x:c r="G6" s="24" t="str">
        <x:v>Medium benthopelagics (30 - 89 cm)</x:v>
      </x:c>
      <x:c r="H6" s="24" t="str">
        <x:v>Cod-likes</x:v>
      </x:c>
      <x:c r="I6" s="31" t="n">
        <x:v>22036.080301674898</x:v>
      </x:c>
      <x:c r="J6" s="31" t="n">
        <x:v>22036.080301674898</x:v>
      </x:c>
      <x:c r="K6" s="31" t="n">
        <x:v>0</x:v>
      </x:c>
      <x:c r="L6" s="31" t="n">
        <x:v>21194.407911064798</x:v>
      </x:c>
      <x:c r="M6" s="31" t="n">
        <x:v>841.6723906101</x:v>
      </x:c>
      <x:c r="N6" s="24" t="str">
        <x:v>micromesistius australis</x:v>
      </x:c>
      <x:c r="O6" s="32" t="n">
        <x:v>3.76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Micromesistius australis</x:v>
      </x:c>
      <x:c r="T6" s="32" t="n">
        <x:f>IF(O6="","",(1/'Metadata'!$B$5)^(O6-1))</x:f>
        <x:v>575.4399373371566</x:v>
      </x:c>
      <x:c r="U6" s="31" t="n">
        <x:f>IF(T6="","",I6*T6)</x:f>
        <x:v>12680440.667952355</x:v>
      </x:c>
    </x:row>
    <x:row r="7" ht="18" customHeight="1">
      <x:c r="A7" s="24" t="str">
        <x:v>EEZ_554</x:v>
      </x:c>
      <x:c r="B7" s="24" t="str">
        <x:v>New Zealand</x:v>
      </x:c>
      <x:c r="C7" s="24" t="str">
        <x:v>EEZ</x:v>
      </x:c>
      <x:c r="D7" s="30" t="n">
        <x:v>2019</x:v>
      </x:c>
      <x:c r="E7" s="24" t="str">
        <x:v>Genypterus blacodes</x:v>
      </x:c>
      <x:c r="F7" s="24" t="str">
        <x:v>Pink cusk-eel</x:v>
      </x:c>
      <x:c r="G7" s="24" t="str">
        <x:v>Large bathydemersals (&gt;=90 cm)</x:v>
      </x:c>
      <x:c r="H7" s="24" t="str">
        <x:v>Other fishes &amp; inverts</x:v>
      </x:c>
      <x:c r="I7" s="31" t="n">
        <x:v>18187.792540760198</x:v>
      </x:c>
      <x:c r="J7" s="31" t="n">
        <x:v>18187.792540760198</x:v>
      </x:c>
      <x:c r="K7" s="31" t="n">
        <x:v>0</x:v>
      </x:c>
      <x:c r="L7" s="31" t="n">
        <x:v>15722.5354349561</x:v>
      </x:c>
      <x:c r="M7" s="31" t="n">
        <x:v>2465.2571058041</x:v>
      </x:c>
      <x:c r="N7" s="24" t="str">
        <x:v>genypterus blacodes</x:v>
      </x:c>
      <x:c r="O7" s="32" t="n">
        <x:v>4.22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Genypterus blacodes</x:v>
      </x:c>
      <x:c r="T7" s="32" t="n">
        <x:f>IF(O7="","",(1/'Metadata'!$B$5)^(O7-1))</x:f>
        <x:v>1659.5869074375596</x:v>
      </x:c>
      <x:c r="U7" s="31" t="n">
        <x:f>IF(T7="","",I7*T7)</x:f>
        <x:v>30184222.37583613</x:v>
      </x:c>
    </x:row>
    <x:row r="8" ht="18" customHeight="1">
      <x:c r="A8" s="24" t="str">
        <x:v>EEZ_554</x:v>
      </x:c>
      <x:c r="B8" s="24" t="str">
        <x:v>New Zealand</x:v>
      </x:c>
      <x:c r="C8" s="24" t="str">
        <x:v>EEZ</x:v>
      </x:c>
      <x:c r="D8" s="30" t="n">
        <x:v>2019</x:v>
      </x:c>
      <x:c r="E8" s="24" t="str">
        <x:v>Pagrus auratus</x:v>
      </x:c>
      <x:c r="F8" s="24" t="str">
        <x:v>Silver seabream</x:v>
      </x:c>
      <x:c r="G8" s="24" t="str">
        <x:v>Large demersals (&gt;=90 cm)</x:v>
      </x:c>
      <x:c r="H8" s="24" t="str">
        <x:v>Perch-likes</x:v>
      </x:c>
      <x:c r="I8" s="31" t="n">
        <x:v>10893.4836999236</x:v>
      </x:c>
      <x:c r="J8" s="31" t="n">
        <x:v>10893.4836999236</x:v>
      </x:c>
      <x:c r="K8" s="31" t="n">
        <x:v>0</x:v>
      </x:c>
      <x:c r="L8" s="31" t="n">
        <x:v>6251.8864902429</x:v>
      </x:c>
      <x:c r="M8" s="31" t="n">
        <x:v>4641.5972096807</x:v>
      </x:c>
      <x:c r="N8" s="24" t="str">
        <x:v>pagrus auratus</x:v>
      </x:c>
      <x:c r="O8" s="32" t="n">
        <x:v>3.59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Pagrus auratus</x:v>
      </x:c>
      <x:c r="T8" s="32" t="n">
        <x:f>IF(O8="","",(1/'Metadata'!$B$5)^(O8-1))</x:f>
        <x:v>389.04514499428046</x:v>
      </x:c>
      <x:c r="U8" s="31" t="n">
        <x:f>IF(T8="","",I8*T8)</x:f>
        <x:v>4238056.945529607</x:v>
      </x:c>
    </x:row>
    <x:row r="9" ht="18" customHeight="1">
      <x:c r="A9" s="24" t="str">
        <x:v>EEZ_554</x:v>
      </x:c>
      <x:c r="B9" s="24" t="str">
        <x:v>New Zealand</x:v>
      </x:c>
      <x:c r="C9" s="24" t="str">
        <x:v>EEZ</x:v>
      </x:c>
      <x:c r="D9" s="30" t="n">
        <x:v>2019</x:v>
      </x:c>
      <x:c r="E9" s="24" t="str">
        <x:v>Scomber australasicus</x:v>
      </x:c>
      <x:c r="F9" s="24" t="str">
        <x:v>Blue mackerel</x:v>
      </x:c>
      <x:c r="G9" s="24" t="str">
        <x:v>Medium pelagics (30 - 89 cm)</x:v>
      </x:c>
      <x:c r="H9" s="24" t="str">
        <x:v>Perch-likes</x:v>
      </x:c>
      <x:c r="I9" s="31" t="n">
        <x:v>10552.1237677791</x:v>
      </x:c>
      <x:c r="J9" s="31" t="n">
        <x:v>10552.1237677791</x:v>
      </x:c>
      <x:c r="K9" s="31" t="n">
        <x:v>0</x:v>
      </x:c>
      <x:c r="L9" s="31" t="n">
        <x:v>8998.0898905783</x:v>
      </x:c>
      <x:c r="M9" s="31" t="n">
        <x:v>1554.0338772008</x:v>
      </x:c>
      <x:c r="N9" s="24" t="str">
        <x:v>scomber australasicus</x:v>
      </x:c>
      <x:c r="O9" s="32" t="n">
        <x:v>4.23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australasicus</x:v>
      </x:c>
      <x:c r="T9" s="32" t="n">
        <x:f>IF(O9="","",(1/'Metadata'!$B$5)^(O9-1))</x:f>
        <x:v>1698.243652461746</x:v>
      </x:c>
      <x:c r="U9" s="31" t="n">
        <x:f>IF(T9="","",I9*T9)</x:f>
        <x:v>17920077.20862158</x:v>
      </x:c>
    </x:row>
    <x:row r="10" ht="18" customHeight="1">
      <x:c r="A10" s="24" t="str">
        <x:v>EEZ_554</x:v>
      </x:c>
      <x:c r="B10" s="24" t="str">
        <x:v>New Zealand</x:v>
      </x:c>
      <x:c r="C10" s="24" t="str">
        <x:v>EEZ</x:v>
      </x:c>
      <x:c r="D10" s="30" t="n">
        <x:v>2019</x:v>
      </x:c>
      <x:c r="E10" s="24" t="str">
        <x:v>Merlucciidae</x:v>
      </x:c>
      <x:c r="F10" s="24" t="str">
        <x:v>Merluccid hakes</x:v>
      </x:c>
      <x:c r="G10" s="24" t="str">
        <x:v>Large bathydemersals (&gt;=90 cm)</x:v>
      </x:c>
      <x:c r="H10" s="24" t="str">
        <x:v>Cod-likes</x:v>
      </x:c>
      <x:c r="I10" s="31" t="n">
        <x:v>10285.612288414</x:v>
      </x:c>
      <x:c r="J10" s="31" t="n">
        <x:v>0</x:v>
      </x:c>
      <x:c r="K10" s="31" t="n">
        <x:v>10285.612288414</x:v>
      </x:c>
      <x:c r="L10" s="31" t="n">
        <x:v>0</x:v>
      </x:c>
      <x:c r="M10" s="31" t="n">
        <x:v>10285.612288414</x:v>
      </x:c>
      <x:c r="N10" s="24" t="str">
        <x:v>merlucciidae</x:v>
      </x:c>
      <x:c r="O10" s="32" t="n">
        <x:v>4.35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Merlucciidae</x:v>
      </x:c>
      <x:c r="T10" s="32" t="n">
        <x:f>IF(O10="","",(1/'Metadata'!$B$5)^(O10-1))</x:f>
        <x:v>2238.7211385683377</x:v>
      </x:c>
      <x:c r="U10" s="31" t="n">
        <x:f>IF(T10="","",I10*T10)</x:f>
        <x:v>23026617.653190676</x:v>
      </x:c>
    </x:row>
    <x:row r="11" ht="18" customHeight="1">
      <x:c r="A11" s="24" t="str">
        <x:v>EEZ_554</x:v>
      </x:c>
      <x:c r="B11" s="24" t="str">
        <x:v>New Zealand</x:v>
      </x:c>
      <x:c r="C11" s="24" t="str">
        <x:v>EEZ</x:v>
      </x:c>
      <x:c r="D11" s="30" t="n">
        <x:v>2019</x:v>
      </x:c>
      <x:c r="E11" s="24" t="str">
        <x:v>Oreosomatidae</x:v>
      </x:c>
      <x:c r="F11" s="24" t="str">
        <x:v>Oreos</x:v>
      </x:c>
      <x:c r="G11" s="24" t="str">
        <x:v>Medium bathypelagics (30 - 89 cm)</x:v>
      </x:c>
      <x:c r="H11" s="24" t="str">
        <x:v>Other fishes &amp; inverts</x:v>
      </x:c>
      <x:c r="I11" s="31" t="n">
        <x:v>10157.810895410501</x:v>
      </x:c>
      <x:c r="J11" s="31" t="n">
        <x:v>9787.1479932</x:v>
      </x:c>
      <x:c r="K11" s="31" t="n">
        <x:v>370.6629022105</x:v>
      </x:c>
      <x:c r="L11" s="31" t="n">
        <x:v>9103.4931816278</x:v>
      </x:c>
      <x:c r="M11" s="31" t="n">
        <x:v>1054.3177137827</x:v>
      </x:c>
      <x:c r="N11" s="24" t="str">
        <x:v>oreosomatidae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Oreosomatidae</x:v>
      </x:c>
      <x:c r="T11" s="32" t="n">
        <x:f>IF(O11="","",(1/'Metadata'!$B$5)^(O11-1))</x:f>
        <x:v>489.77881936844614</x:v>
      </x:c>
      <x:c r="U11" s="31" t="n">
        <x:f>IF(T11="","",I11*T11)</x:f>
        <x:v>4975080.627722094</x:v>
      </x:c>
    </x:row>
    <x:row r="12" ht="18" customHeight="1">
      <x:c r="A12" s="24" t="str">
        <x:v>EEZ_554</x:v>
      </x:c>
      <x:c r="B12" s="24" t="str">
        <x:v>New Zealand</x:v>
      </x:c>
      <x:c r="C12" s="24" t="str">
        <x:v>EEZ</x:v>
      </x:c>
      <x:c r="D12" s="30" t="n">
        <x:v>2019</x:v>
      </x:c>
      <x:c r="E12" s="24" t="str">
        <x:v>Macrouridae</x:v>
      </x:c>
      <x:c r="F12" s="24" t="str">
        <x:v>Grenadiers, rattails</x:v>
      </x:c>
      <x:c r="G12" s="24" t="str">
        <x:v>Medium benthopelagics (30 - 89 cm)</x:v>
      </x:c>
      <x:c r="H12" s="24" t="str">
        <x:v>Cod-likes</x:v>
      </x:c>
      <x:c r="I12" s="31" t="n">
        <x:v>9598.9563579744</x:v>
      </x:c>
      <x:c r="J12" s="31" t="n">
        <x:v>1923.3485646312001</x:v>
      </x:c>
      <x:c r="K12" s="31" t="n">
        <x:v>7675.6077933432</x:v>
      </x:c>
      <x:c r="L12" s="31" t="n">
        <x:v>1735.6165281114002</x:v>
      </x:c>
      <x:c r="M12" s="31" t="n">
        <x:v>7863.339829863</x:v>
      </x:c>
      <x:c r="N12" s="24" t="str">
        <x:v>macrouridae</x:v>
      </x:c>
      <x:c r="O12" s="32" t="n">
        <x:v>3.88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Macrouridae</x:v>
      </x:c>
      <x:c r="T12" s="32" t="n">
        <x:f>IF(O12="","",(1/'Metadata'!$B$5)^(O12-1))</x:f>
        <x:v>758.5775750291835</x:v>
      </x:c>
      <x:c r="U12" s="31" t="n">
        <x:f>IF(T12="","",I12*T12)</x:f>
        <x:v>7281553.036843184</x:v>
      </x:c>
    </x:row>
    <x:row r="13" ht="18" customHeight="1">
      <x:c r="A13" s="24" t="str">
        <x:v>EEZ_554</x:v>
      </x:c>
      <x:c r="B13" s="24" t="str">
        <x:v>New Zealand</x:v>
      </x:c>
      <x:c r="C13" s="24" t="str">
        <x:v>EEZ</x:v>
      </x:c>
      <x:c r="D13" s="30" t="n">
        <x:v>2019</x:v>
      </x:c>
      <x:c r="E13" s="24" t="str">
        <x:v>Seriolella punctata</x:v>
      </x:c>
      <x:c r="F13" s="24" t="str">
        <x:v>Silver warehou</x:v>
      </x:c>
      <x:c r="G13" s="24" t="str">
        <x:v>Medium benthopelagics (30 - 89 cm)</x:v>
      </x:c>
      <x:c r="H13" s="24" t="str">
        <x:v>Perch-likes</x:v>
      </x:c>
      <x:c r="I13" s="31" t="n">
        <x:v>9413.6668838292</x:v>
      </x:c>
      <x:c r="J13" s="31" t="n">
        <x:v>9413.6668838292</x:v>
      </x:c>
      <x:c r="K13" s="31" t="n">
        <x:v>0</x:v>
      </x:c>
      <x:c r="L13" s="31" t="n">
        <x:v>8287.9718428143</x:v>
      </x:c>
      <x:c r="M13" s="31" t="n">
        <x:v>1125.6950410149</x:v>
      </x:c>
      <x:c r="N13" s="24" t="str">
        <x:v>seriolella punctata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Seriolella punctata</x:v>
      </x:c>
      <x:c r="T13" s="32" t="n">
        <x:f>IF(O13="","",(1/'Metadata'!$B$5)^(O13-1))</x:f>
        <x:v>251.18864315095797</x:v>
      </x:c>
      <x:c r="U13" s="31" t="n">
        <x:f>IF(T13="","",I13*T13)</x:f>
        <x:v>2364606.2116241637</x:v>
      </x:c>
    </x:row>
    <x:row r="14" ht="18" customHeight="1">
      <x:c r="A14" s="24" t="str">
        <x:v>EEZ_554</x:v>
      </x:c>
      <x:c r="B14" s="24" t="str">
        <x:v>New Zealand</x:v>
      </x:c>
      <x:c r="C14" s="24" t="str">
        <x:v>EEZ</x:v>
      </x:c>
      <x:c r="D14" s="30" t="n">
        <x:v>2019</x:v>
      </x:c>
      <x:c r="E14" s="24" t="str">
        <x:v>Hoplostethus atlanticus</x:v>
      </x:c>
      <x:c r="F14" s="24" t="str">
        <x:v>Orange roughy</x:v>
      </x:c>
      <x:c r="G14" s="24" t="str">
        <x:v>Medium bathypelagics (30 - 89 cm)</x:v>
      </x:c>
      <x:c r="H14" s="24" t="str">
        <x:v>Other fishes &amp; inverts</x:v>
      </x:c>
      <x:c r="I14" s="31" t="n">
        <x:v>8641.0628784775</x:v>
      </x:c>
      <x:c r="J14" s="31" t="n">
        <x:v>8641.0628784775</x:v>
      </x:c>
      <x:c r="K14" s="31" t="n">
        <x:v>0</x:v>
      </x:c>
      <x:c r="L14" s="31" t="n">
        <x:v>7645.8846202118</x:v>
      </x:c>
      <x:c r="M14" s="31" t="n">
        <x:v>995.1782582656999</x:v>
      </x:c>
      <x:c r="N14" s="24" t="str">
        <x:v>hoplostethus atlanticus</x:v>
      </x:c>
      <x:c r="O14" s="32" t="n">
        <x:v>4.25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Hoplostethus atlanticus</x:v>
      </x:c>
      <x:c r="T14" s="32" t="n">
        <x:f>IF(O14="","",(1/'Metadata'!$B$5)^(O14-1))</x:f>
        <x:v>1778.2794100389228</x:v>
      </x:c>
      <x:c r="U14" s="31" t="n">
        <x:f>IF(T14="","",I14*T14)</x:f>
        <x:v>15366224.197648205</x:v>
      </x:c>
    </x:row>
    <x:row r="15" ht="18" customHeight="1">
      <x:c r="A15" s="24" t="str">
        <x:v>EEZ_554</x:v>
      </x:c>
      <x:c r="B15" s="24" t="str">
        <x:v>New Zealand</x:v>
      </x:c>
      <x:c r="C15" s="24" t="str">
        <x:v>EEZ</x:v>
      </x:c>
      <x:c r="D15" s="30" t="n">
        <x:v>2019</x:v>
      </x:c>
      <x:c r="E15" s="24" t="str">
        <x:v>Katsuwonus pelamis</x:v>
      </x:c>
      <x:c r="F15" s="24" t="str">
        <x:v>Skipjack tuna</x:v>
      </x:c>
      <x:c r="G15" s="24" t="str">
        <x:v>Large pelagics (&gt;=90 cm)</x:v>
      </x:c>
      <x:c r="H15" s="24" t="str">
        <x:v>Tuna &amp; billfishes</x:v>
      </x:c>
      <x:c r="I15" s="31" t="n">
        <x:v>8047.6607011652</x:v>
      </x:c>
      <x:c r="J15" s="31" t="n">
        <x:v>8026.0708360315</x:v>
      </x:c>
      <x:c r="K15" s="31" t="n">
        <x:v>21.5898651337</x:v>
      </x:c>
      <x:c r="L15" s="31" t="n">
        <x:v>7890.6298017850995</x:v>
      </x:c>
      <x:c r="M15" s="31" t="n">
        <x:v>157.03089938009998</x:v>
      </x:c>
      <x:c r="N15" s="24" t="str">
        <x:v>katsuwonus pelamis</x:v>
      </x:c>
      <x:c r="O15" s="32" t="n">
        <x:v>4.43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Katsuwonus pelamis</x:v>
      </x:c>
      <x:c r="T15" s="32" t="n">
        <x:f>IF(O15="","",(1/'Metadata'!$B$5)^(O15-1))</x:f>
        <x:v>2691.534803926914</x:v>
      </x:c>
      <x:c r="U15" s="31" t="n">
        <x:f>IF(T15="","",I15*T15)</x:f>
        <x:v>21660558.867381006</x:v>
      </x:c>
    </x:row>
    <x:row r="16" ht="18" customHeight="1">
      <x:c r="A16" s="24" t="str">
        <x:v>EEZ_554</x:v>
      </x:c>
      <x:c r="B16" s="24" t="str">
        <x:v>New Zealand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6911.8932227107</x:v>
      </x:c>
      <x:c r="J16" s="31" t="n">
        <x:v>3863.8647951341</x:v>
      </x:c>
      <x:c r="K16" s="31" t="n">
        <x:v>3048.0284275766003</x:v>
      </x:c>
      <x:c r="L16" s="31" t="n">
        <x:v>3486.7250399471</x:v>
      </x:c>
      <x:c r="M16" s="31" t="n">
        <x:v>3425.1681827636003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7755271.7500460725</x:v>
      </x:c>
    </x:row>
    <x:row r="17" ht="18" customHeight="1">
      <x:c r="A17" s="24" t="str">
        <x:v>EEZ_554</x:v>
      </x:c>
      <x:c r="B17" s="24" t="str">
        <x:v>New Zealand</x:v>
      </x:c>
      <x:c r="C17" s="24" t="str">
        <x:v>EEZ</x:v>
      </x:c>
      <x:c r="D17" s="30" t="n">
        <x:v>2019</x:v>
      </x:c>
      <x:c r="E17" s="24" t="str">
        <x:v>Nemadactylus</x:v>
      </x:c>
      <x:c r="F17" s="24" t="str">
        <x:v>Porae</x:v>
      </x:c>
      <x:c r="G17" s="24" t="str">
        <x:v>Medium demersals (30 - 89 cm)</x:v>
      </x:c>
      <x:c r="H17" s="24" t="str">
        <x:v>Perch-likes</x:v>
      </x:c>
      <x:c r="I17" s="31" t="n">
        <x:v>6633.3287494147</x:v>
      </x:c>
      <x:c r="J17" s="31" t="n">
        <x:v>6633.3287494147</x:v>
      </x:c>
      <x:c r="K17" s="31" t="n">
        <x:v>0</x:v>
      </x:c>
      <x:c r="L17" s="31" t="n">
        <x:v>5906.3104650204</x:v>
      </x:c>
      <x:c r="M17" s="31" t="n">
        <x:v>727.0182843942999</x:v>
      </x:c>
      <x:c r="N17" s="24" t="str">
        <x:v>nemadactylus</x:v>
      </x:c>
      <x:c r="O17" s="32" t="n">
        <x:v>3.32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Nemadactylus</x:v>
      </x:c>
      <x:c r="T17" s="32" t="n">
        <x:f>IF(O17="","",(1/'Metadata'!$B$5)^(O17-1))</x:f>
        <x:v>208.92961308540387</x:v>
      </x:c>
      <x:c r="U17" s="31" t="n">
        <x:f>IF(T17="","",I17*T17)</x:f>
        <x:v>1385898.8090834992</x:v>
      </x:c>
    </x:row>
    <x:row r="18" ht="18" customHeight="1">
      <x:c r="A18" s="24" t="str">
        <x:v>EEZ_554</x:v>
      </x:c>
      <x:c r="B18" s="24" t="str">
        <x:v>New Zealand</x:v>
      </x:c>
      <x:c r="C18" s="24" t="str">
        <x:v>EEZ</x:v>
      </x:c>
      <x:c r="D18" s="30" t="n">
        <x:v>2019</x:v>
      </x:c>
      <x:c r="E18" s="24" t="str">
        <x:v>Squalus acanthias</x:v>
      </x:c>
      <x:c r="F18" s="24" t="str">
        <x:v>Picked dogfish</x:v>
      </x:c>
      <x:c r="G18" s="24" t="str">
        <x:v>Large sharks (&gt;=90 cm)</x:v>
      </x:c>
      <x:c r="H18" s="24" t="str">
        <x:v>Sharks &amp; rays</x:v>
      </x:c>
      <x:c r="I18" s="31" t="n">
        <x:v>6482.1588189371</x:v>
      </x:c>
      <x:c r="J18" s="31" t="n">
        <x:v>6482.1588189371</x:v>
      </x:c>
      <x:c r="K18" s="31" t="n">
        <x:v>0</x:v>
      </x:c>
      <x:c r="L18" s="31" t="n">
        <x:v>5711.7353587169</x:v>
      </x:c>
      <x:c r="M18" s="31" t="n">
        <x:v>770.4234602202</x:v>
      </x:c>
      <x:c r="N18" s="24" t="str">
        <x:v>squalus acanthias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Squalus acanthias</x:v>
      </x:c>
      <x:c r="T18" s="32" t="n">
        <x:f>IF(O18="","",(1/'Metadata'!$B$5)^(O18-1))</x:f>
        <x:v>2344.228815319923</x:v>
      </x:c>
      <x:c r="U18" s="31" t="n">
        <x:f>IF(T18="","",I18*T18)</x:f>
        <x:v>15195663.488832507</x:v>
      </x:c>
    </x:row>
    <x:row r="19" ht="18" customHeight="1">
      <x:c r="A19" s="24" t="str">
        <x:v>EEZ_554</x:v>
      </x:c>
      <x:c r="B19" s="24" t="str">
        <x:v>New Zealand</x:v>
      </x:c>
      <x:c r="C19" s="24" t="str">
        <x:v>EEZ</x:v>
      </x:c>
      <x:c r="D19" s="30" t="n">
        <x:v>2019</x:v>
      </x:c>
      <x:c r="E19" s="24" t="str">
        <x:v>Gadidae</x:v>
      </x:c>
      <x:c r="F19" s="24" t="str">
        <x:v>Cods, haddocks</x:v>
      </x:c>
      <x:c r="G19" s="24" t="str">
        <x:v>Medium demersals (30 - 89 cm)</x:v>
      </x:c>
      <x:c r="H19" s="24" t="str">
        <x:v>Cod-likes</x:v>
      </x:c>
      <x:c r="I19" s="31" t="n">
        <x:v>6170.417606847701</x:v>
      </x:c>
      <x:c r="J19" s="31" t="n">
        <x:v>0.6757539502</x:v>
      </x:c>
      <x:c r="K19" s="31" t="n">
        <x:v>6169.7418528975</x:v>
      </x:c>
      <x:c r="L19" s="31" t="n">
        <x:v>0.6097957277</x:v>
      </x:c>
      <x:c r="M19" s="31" t="n">
        <x:v>6169.80781112</x:v>
      </x:c>
      <x:c r="N19" s="24" t="str">
        <x:v>gadidae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Gadidae</x:v>
      </x:c>
      <x:c r="T19" s="32" t="n">
        <x:f>IF(O19="","",(1/'Metadata'!$B$5)^(O19-1))</x:f>
        <x:v>691.8309709189363</x:v>
      </x:c>
      <x:c r="U19" s="31" t="n">
        <x:f>IF(T19="","",I19*T19)</x:f>
        <x:v>4268886.003920744</x:v>
      </x:c>
    </x:row>
    <x:row r="20" ht="18" customHeight="1">
      <x:c r="A20" s="24" t="str">
        <x:v>EEZ_554</x:v>
      </x:c>
      <x:c r="B20" s="24" t="str">
        <x:v>New Zealand</x:v>
      </x:c>
      <x:c r="C20" s="24" t="str">
        <x:v>EEZ</x:v>
      </x:c>
      <x:c r="D20" s="30" t="n">
        <x:v>2019</x:v>
      </x:c>
      <x:c r="E20" s="24" t="str">
        <x:v>Merluccius australis</x:v>
      </x:c>
      <x:c r="F20" s="24" t="str">
        <x:v>Southern hake</x:v>
      </x:c>
      <x:c r="G20" s="24" t="str">
        <x:v>Large benthopelagics (&gt;=90 cm)</x:v>
      </x:c>
      <x:c r="H20" s="24" t="str">
        <x:v>Cod-likes</x:v>
      </x:c>
      <x:c r="I20" s="31" t="n">
        <x:v>5860.8250996703</x:v>
      </x:c>
      <x:c r="J20" s="31" t="n">
        <x:v>5860.8250996703</x:v>
      </x:c>
      <x:c r="K20" s="31" t="n">
        <x:v>0</x:v>
      </x:c>
      <x:c r="L20" s="31" t="n">
        <x:v>5561.4028127817</x:v>
      </x:c>
      <x:c r="M20" s="31" t="n">
        <x:v>299.4222868886</x:v>
      </x:c>
      <x:c r="N20" s="24" t="str">
        <x:v>merluccius australis</x:v>
      </x:c>
      <x:c r="O20" s="32" t="n">
        <x:v>4.45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Merluccius australis</x:v>
      </x:c>
      <x:c r="T20" s="32" t="n">
        <x:f>IF(O20="","",(1/'Metadata'!$B$5)^(O20-1))</x:f>
        <x:v>2818.382931264455</x:v>
      </x:c>
      <x:c r="U20" s="31" t="n">
        <x:f>IF(T20="","",I20*T20)</x:f>
        <x:v>16518049.424037071</x:v>
      </x:c>
    </x:row>
    <x:row r="21" ht="18" customHeight="1">
      <x:c r="A21" s="24" t="str">
        <x:v>EEZ_554</x:v>
      </x:c>
      <x:c r="B21" s="24" t="str">
        <x:v>New Zealand</x:v>
      </x:c>
      <x:c r="C21" s="24" t="str">
        <x:v>EEZ</x:v>
      </x:c>
      <x:c r="D21" s="30" t="n">
        <x:v>2019</x:v>
      </x:c>
      <x:c r="E21" s="24" t="str">
        <x:v>Pseudophycis bachus</x:v>
      </x:c>
      <x:c r="F21" s="24" t="str">
        <x:v>Red codling</x:v>
      </x:c>
      <x:c r="G21" s="24" t="str">
        <x:v>Medium demersals (30 - 89 cm)</x:v>
      </x:c>
      <x:c r="H21" s="24" t="str">
        <x:v>Cod-likes</x:v>
      </x:c>
      <x:c r="I21" s="31" t="n">
        <x:v>5315.3981403873995</x:v>
      </x:c>
      <x:c r="J21" s="31" t="n">
        <x:v>5315.3981403873995</x:v>
      </x:c>
      <x:c r="K21" s="31" t="n">
        <x:v>0</x:v>
      </x:c>
      <x:c r="L21" s="31" t="n">
        <x:v>4871.7762618099</x:v>
      </x:c>
      <x:c r="M21" s="31" t="n">
        <x:v>443.62187857749996</x:v>
      </x:c>
      <x:c r="N21" s="24" t="str">
        <x:v>pseudophycis bachus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Pseudophycis bachus</x:v>
      </x:c>
      <x:c r="T21" s="32" t="n">
        <x:f>IF(O21="","",(1/'Metadata'!$B$5)^(O21-1))</x:f>
        <x:v>3162.2776601683795</x:v>
      </x:c>
      <x:c r="U21" s="31" t="n">
        <x:f>IF(T21="","",I21*T21)</x:f>
        <x:v>16808764.79424762</x:v>
      </x:c>
    </x:row>
    <x:row r="22" ht="18" customHeight="1">
      <x:c r="A22" s="24" t="str">
        <x:v>EEZ_554</x:v>
      </x:c>
      <x:c r="B22" s="24" t="str">
        <x:v>New Zealand</x:v>
      </x:c>
      <x:c r="C22" s="24" t="str">
        <x:v>EEZ</x:v>
      </x:c>
      <x:c r="D22" s="30" t="n">
        <x:v>2019</x:v>
      </x:c>
      <x:c r="E22" s="24" t="str">
        <x:v>Perciformes</x:v>
      </x:c>
      <x:c r="F22" s="24" t="str">
        <x:v>Perch-likes</x:v>
      </x:c>
      <x:c r="G22" s="24" t="str">
        <x:v>Medium demersals (30 - 89 cm)</x:v>
      </x:c>
      <x:c r="H22" s="24" t="str">
        <x:v>Perch-likes</x:v>
      </x:c>
      <x:c r="I22" s="31" t="n">
        <x:v>4604.288769238599</x:v>
      </x:c>
      <x:c r="J22" s="31" t="n">
        <x:v>2661.8148996013997</x:v>
      </x:c>
      <x:c r="K22" s="31" t="n">
        <x:v>1942.4738696371999</x:v>
      </x:c>
      <x:c r="L22" s="31" t="n">
        <x:v>2402.0034735019</x:v>
      </x:c>
      <x:c r="M22" s="31" t="n">
        <x:v>2202.2852957367</x:v>
      </x:c>
      <x:c r="N22" s="24" t="str">
        <x:v>perciformes</x:v>
      </x:c>
      <x:c r="O22" s="32" t="n">
        <x:v>3.53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Perciformes</x:v>
      </x:c>
      <x:c r="T22" s="32" t="n">
        <x:f>IF(O22="","",(1/'Metadata'!$B$5)^(O22-1))</x:f>
        <x:v>338.84415613920237</x:v>
      </x:c>
      <x:c r="U22" s="31" t="n">
        <x:f>IF(T22="","",I22*T22)</x:f>
        <x:v>1560136.34263386</x:v>
      </x:c>
    </x:row>
    <x:row r="23" ht="18" customHeight="1">
      <x:c r="A23" s="24" t="str">
        <x:v>EEZ_554</x:v>
      </x:c>
      <x:c r="B23" s="24" t="str">
        <x:v>New Zealand</x:v>
      </x:c>
      <x:c r="C23" s="24" t="str">
        <x:v>EEZ</x:v>
      </x:c>
      <x:c r="D23" s="30" t="n">
        <x:v>2019</x:v>
      </x:c>
      <x:c r="E23" s="24" t="str">
        <x:v>Chelidonichthys kumu</x:v>
      </x:c>
      <x:c r="F23" s="24" t="str">
        <x:v>Bluefin gurnard</x:v>
      </x:c>
      <x:c r="G23" s="24" t="str">
        <x:v>Medium demersals (30 - 89 cm)</x:v>
      </x:c>
      <x:c r="H23" s="24" t="str">
        <x:v>Scorpionfishes</x:v>
      </x:c>
      <x:c r="I23" s="31" t="n">
        <x:v>4581.6279188479</x:v>
      </x:c>
      <x:c r="J23" s="31" t="n">
        <x:v>4581.6279188479</x:v>
      </x:c>
      <x:c r="K23" s="31" t="n">
        <x:v>0</x:v>
      </x:c>
      <x:c r="L23" s="31" t="n">
        <x:v>3820.6449921441</x:v>
      </x:c>
      <x:c r="M23" s="31" t="n">
        <x:v>760.9829267038</x:v>
      </x:c>
      <x:c r="N23" s="24" t="str">
        <x:v>chelidonichthys kumu</x:v>
      </x:c>
      <x:c r="O23" s="32" t="n">
        <x:v>3.68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Chelidonichthys kumu</x:v>
      </x:c>
      <x:c r="T23" s="32" t="n">
        <x:f>IF(O23="","",(1/'Metadata'!$B$5)^(O23-1))</x:f>
        <x:v>478.6300923226385</x:v>
      </x:c>
      <x:c r="U23" s="31" t="n">
        <x:f>IF(T23="","",I23*T23)</x:f>
        <x:v>2192904.9937861487</x:v>
      </x:c>
    </x:row>
    <x:row r="24" ht="18" customHeight="1">
      <x:c r="A24" s="24" t="str">
        <x:v>EEZ_554</x:v>
      </x:c>
      <x:c r="B24" s="24" t="str">
        <x:v>New Zealand</x:v>
      </x:c>
      <x:c r="C24" s="24" t="str">
        <x:v>EEZ</x:v>
      </x:c>
      <x:c r="D24" s="30" t="n">
        <x:v>2019</x:v>
      </x:c>
      <x:c r="E24" s="24" t="str">
        <x:v>Carcharhinidae</x:v>
      </x:c>
      <x:c r="F24" s="24" t="str">
        <x:v>Requiem sharks</x:v>
      </x:c>
      <x:c r="G24" s="24" t="str">
        <x:v>Large sharks (&gt;=90 cm)</x:v>
      </x:c>
      <x:c r="H24" s="24" t="str">
        <x:v>Sharks &amp; rays</x:v>
      </x:c>
      <x:c r="I24" s="31" t="n">
        <x:v>4332.6123780457</x:v>
      </x:c>
      <x:c r="J24" s="31" t="n">
        <x:v>0</x:v>
      </x:c>
      <x:c r="K24" s="31" t="n">
        <x:v>4332.6123780457</x:v>
      </x:c>
      <x:c r="L24" s="31" t="n">
        <x:v>0</x:v>
      </x:c>
      <x:c r="M24" s="31" t="n">
        <x:v>4332.6123780457</x:v>
      </x:c>
      <x:c r="N24" s="24" t="str">
        <x:v>carcharhinidae</x:v>
      </x:c>
      <x:c r="O24" s="32" t="n">
        <x:v>4.24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Carcharhinidae</x:v>
      </x:c>
      <x:c r="T24" s="32" t="n">
        <x:f>IF(O24="","",(1/'Metadata'!$B$5)^(O24-1))</x:f>
        <x:v>1737.8008287493763</x:v>
      </x:c>
      <x:c r="U24" s="31" t="n">
        <x:f>IF(T24="","",I24*T24)</x:f>
        <x:v>7529217.381217623</x:v>
      </x:c>
    </x:row>
    <x:row r="25" ht="18" customHeight="1">
      <x:c r="A25" s="24" t="str">
        <x:v>EEZ_554</x:v>
      </x:c>
      <x:c r="B25" s="24" t="str">
        <x:v>New Zealand</x:v>
      </x:c>
      <x:c r="C25" s="24" t="str">
        <x:v>EEZ</x:v>
      </x:c>
      <x:c r="D25" s="30" t="n">
        <x:v>2019</x:v>
      </x:c>
      <x:c r="E25" s="24" t="str">
        <x:v>Squalidae</x:v>
      </x:c>
      <x:c r="F25" s="24" t="str">
        <x:v>Dogfish sharks</x:v>
      </x:c>
      <x:c r="G25" s="24" t="str">
        <x:v>Large sharks (&gt;=90 cm)</x:v>
      </x:c>
      <x:c r="H25" s="24" t="str">
        <x:v>Sharks &amp; rays</x:v>
      </x:c>
      <x:c r="I25" s="31" t="n">
        <x:v>3602.6469842357</x:v>
      </x:c>
      <x:c r="J25" s="31" t="n">
        <x:v>53.79919830990001</x:v>
      </x:c>
      <x:c r="K25" s="31" t="n">
        <x:v>3548.8477859258</x:v>
      </x:c>
      <x:c r="L25" s="31" t="n">
        <x:v>48.54802686720001</x:v>
      </x:c>
      <x:c r="M25" s="31" t="n">
        <x:v>3554.0989573685</x:v>
      </x:c>
      <x:c r="N25" s="24" t="str">
        <x:v>squalidae</x:v>
      </x:c>
      <x:c r="O25" s="32" t="n">
        <x:v>4.23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Squalidae</x:v>
      </x:c>
      <x:c r="T25" s="32" t="n">
        <x:f>IF(O25="","",(1/'Metadata'!$B$5)^(O25-1))</x:f>
        <x:v>1698.243652461746</x:v>
      </x:c>
      <x:c r="U25" s="31" t="n">
        <x:f>IF(T25="","",I25*T25)</x:f>
        <x:v>6118172.37303873</x:v>
      </x:c>
    </x:row>
    <x:row r="26" ht="18" customHeight="1">
      <x:c r="A26" s="24" t="str">
        <x:v>EEZ_554</x:v>
      </x:c>
      <x:c r="B26" s="24" t="str">
        <x:v>New Zealand</x:v>
      </x:c>
      <x:c r="C26" s="24" t="str">
        <x:v>EEZ</x:v>
      </x:c>
      <x:c r="D26" s="30" t="n">
        <x:v>2019</x:v>
      </x:c>
      <x:c r="E26" s="24" t="str">
        <x:v>Galeorhinus galeus</x:v>
      </x:c>
      <x:c r="F26" s="24" t="str">
        <x:v>Tope shark</x:v>
      </x:c>
      <x:c r="G26" s="24" t="str">
        <x:v>Large sharks (&gt;=90 cm)</x:v>
      </x:c>
      <x:c r="H26" s="24" t="str">
        <x:v>Sharks &amp; rays</x:v>
      </x:c>
      <x:c r="I26" s="31" t="n">
        <x:v>3280.144835209</x:v>
      </x:c>
      <x:c r="J26" s="31" t="n">
        <x:v>3280.144835209</x:v>
      </x:c>
      <x:c r="K26" s="31" t="n">
        <x:v>0</x:v>
      </x:c>
      <x:c r="L26" s="31" t="n">
        <x:v>2937.9778576882</x:v>
      </x:c>
      <x:c r="M26" s="31" t="n">
        <x:v>342.1669775208</x:v>
      </x:c>
      <x:c r="N26" s="24" t="str">
        <x:v>galeorhinus galeus</x:v>
      </x:c>
      <x:c r="O26" s="32" t="n">
        <x:v>4.34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Galeorhinus galeus</x:v>
      </x:c>
      <x:c r="T26" s="32" t="n">
        <x:f>IF(O26="","",(1/'Metadata'!$B$5)^(O26-1))</x:f>
        <x:v>2187.761623949552</x:v>
      </x:c>
      <x:c r="U26" s="31" t="n">
        <x:f>IF(T26="","",I26*T26)</x:f>
        <x:v>7176174.991466577</x:v>
      </x:c>
    </x:row>
    <x:row r="27" ht="18" customHeight="1">
      <x:c r="A27" s="24" t="str">
        <x:v>EEZ_554</x:v>
      </x:c>
      <x:c r="B27" s="24" t="str">
        <x:v>New Zealand</x:v>
      </x:c>
      <x:c r="C27" s="24" t="str">
        <x:v>EEZ</x:v>
      </x:c>
      <x:c r="D27" s="30" t="n">
        <x:v>2019</x:v>
      </x:c>
      <x:c r="E27" s="24" t="str">
        <x:v>Seriolella brama</x:v>
      </x:c>
      <x:c r="F27" s="24" t="str">
        <x:v>Common warehou</x:v>
      </x:c>
      <x:c r="G27" s="24" t="str">
        <x:v>Medium benthopelagics (30 - 89 cm)</x:v>
      </x:c>
      <x:c r="H27" s="24" t="str">
        <x:v>Perch-likes</x:v>
      </x:c>
      <x:c r="I27" s="31" t="n">
        <x:v>3260.0176196597</x:v>
      </x:c>
      <x:c r="J27" s="31" t="n">
        <x:v>3260.0176196597</x:v>
      </x:c>
      <x:c r="K27" s="31" t="n">
        <x:v>0</x:v>
      </x:c>
      <x:c r="L27" s="31" t="n">
        <x:v>2971.2616782687</x:v>
      </x:c>
      <x:c r="M27" s="31" t="n">
        <x:v>288.75594139099996</x:v>
      </x:c>
      <x:c r="N27" s="24" t="str">
        <x:v>seriolella brama</x:v>
      </x:c>
      <x:c r="O27" s="32" t="n">
        <x:v>3.28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Seriolella brama</x:v>
      </x:c>
      <x:c r="T27" s="32" t="n">
        <x:f>IF(O27="","",(1/'Metadata'!$B$5)^(O27-1))</x:f>
        <x:v>190.54607179632464</x:v>
      </x:c>
      <x:c r="U27" s="31" t="n">
        <x:f>IF(T27="","",I27*T27)</x:f>
        <x:v>621183.5514129605</x:v>
      </x:c>
    </x:row>
    <x:row r="28" ht="18" customHeight="1">
      <x:c r="A28" s="24" t="str">
        <x:v>EEZ_554</x:v>
      </x:c>
      <x:c r="B28" s="24" t="str">
        <x:v>New Zealand</x:v>
      </x:c>
      <x:c r="C28" s="24" t="str">
        <x:v>EEZ</x:v>
      </x:c>
      <x:c r="D28" s="30" t="n">
        <x:v>2019</x:v>
      </x:c>
      <x:c r="E28" s="24" t="str">
        <x:v>Kathetostoma giganteum</x:v>
      </x:c>
      <x:c r="F28" s="24" t="str">
        <x:v>Giant stargazer</x:v>
      </x:c>
      <x:c r="G28" s="24" t="str">
        <x:v>Medium demersals (30 - 89 cm)</x:v>
      </x:c>
      <x:c r="H28" s="24" t="str">
        <x:v>Perch-likes</x:v>
      </x:c>
      <x:c r="I28" s="31" t="n">
        <x:v>3256.5938093122</x:v>
      </x:c>
      <x:c r="J28" s="31" t="n">
        <x:v>3256.5938093122</x:v>
      </x:c>
      <x:c r="K28" s="31" t="n">
        <x:v>0</x:v>
      </x:c>
      <x:c r="L28" s="31" t="n">
        <x:v>2895.7213288154</x:v>
      </x:c>
      <x:c r="M28" s="31" t="n">
        <x:v>360.8724804968</x:v>
      </x:c>
      <x:c r="N28" s="24" t="str">
        <x:v>kathetostoma giganteum</x:v>
      </x:c>
      <x:c r="O28" s="32" t="n">
        <x:v>3.84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Kathetostoma giganteum</x:v>
      </x:c>
      <x:c r="T28" s="32" t="n">
        <x:f>IF(O28="","",(1/'Metadata'!$B$5)^(O28-1))</x:f>
        <x:v>691.8309709189363</x:v>
      </x:c>
      <x:c r="U28" s="31" t="n">
        <x:f>IF(T28="","",I28*T28)</x:f>
        <x:v>2253012.4569850564</x:v>
      </x:c>
    </x:row>
    <x:row r="29" ht="18" customHeight="1">
      <x:c r="A29" s="24" t="str">
        <x:v>EEZ_554</x:v>
      </x:c>
      <x:c r="B29" s="24" t="str">
        <x:v>New Zealand</x:v>
      </x:c>
      <x:c r="C29" s="24" t="str">
        <x:v>EEZ</x:v>
      </x:c>
      <x:c r="D29" s="30" t="n">
        <x:v>2019</x:v>
      </x:c>
      <x:c r="E29" s="24" t="str">
        <x:v>Rajidae</x:v>
      </x:c>
      <x:c r="F29" s="24" t="str">
        <x:v>Stingrays</x:v>
      </x:c>
      <x:c r="G29" s="24" t="str">
        <x:v>Large rays (&gt;=90 cm)</x:v>
      </x:c>
      <x:c r="H29" s="24" t="str">
        <x:v>Sharks &amp; rays</x:v>
      </x:c>
      <x:c r="I29" s="31" t="n">
        <x:v>3228.1125746879998</x:v>
      </x:c>
      <x:c r="J29" s="31" t="n">
        <x:v>2727.1214786135</x:v>
      </x:c>
      <x:c r="K29" s="31" t="n">
        <x:v>500.9910960745</x:v>
      </x:c>
      <x:c r="L29" s="31" t="n">
        <x:v>2460.9356824441998</x:v>
      </x:c>
      <x:c r="M29" s="31" t="n">
        <x:v>767.1768922438</x:v>
      </x:c>
      <x:c r="N29" s="24" t="str">
        <x:v>rajidae</x:v>
      </x:c>
      <x:c r="O29" s="32" t="n">
        <x:v>3.82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Rajidae</x:v>
      </x:c>
      <x:c r="T29" s="32" t="n">
        <x:f>IF(O29="","",(1/'Metadata'!$B$5)^(O29-1))</x:f>
        <x:v>660.6934480075957</x:v>
      </x:c>
      <x:c r="U29" s="31" t="n">
        <x:f>IF(T29="","",I29*T29)</x:f>
        <x:v>2132792.827527292</x:v>
      </x:c>
    </x:row>
    <x:row r="30" ht="18" customHeight="1">
      <x:c r="A30" s="24" t="str">
        <x:v>EEZ_554</x:v>
      </x:c>
      <x:c r="B30" s="24" t="str">
        <x:v>New Zealand</x:v>
      </x:c>
      <x:c r="C30" s="24" t="str">
        <x:v>EEZ</x:v>
      </x:c>
      <x:c r="D30" s="30" t="n">
        <x:v>2019</x:v>
      </x:c>
      <x:c r="E30" s="24" t="str">
        <x:v>Jasus edwardsii</x:v>
      </x:c>
      <x:c r="F30" s="24" t="str">
        <x:v>Red rock lobster</x:v>
      </x:c>
      <x:c r="G30" s="24" t="str">
        <x:v>Lobsters, crabs</x:v>
      </x:c>
      <x:c r="H30" s="24" t="str">
        <x:v>Crustaceans</x:v>
      </x:c>
      <x:c r="I30" s="31" t="n">
        <x:v>3227.2783312318</x:v>
      </x:c>
      <x:c r="J30" s="31" t="n">
        <x:v>3227.2783312318</x:v>
      </x:c>
      <x:c r="K30" s="31" t="n">
        <x:v>0</x:v>
      </x:c>
      <x:c r="L30" s="31" t="n">
        <x:v>2686.0873237781</x:v>
      </x:c>
      <x:c r="M30" s="31" t="n">
        <x:v>541.1910074537</x:v>
      </x:c>
      <x:c r="N30" s="24" t="str">
        <x:v>jasus edwardsii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Jasus edwardsii</x:v>
      </x:c>
      <x:c r="T30" s="32" t="n">
        <x:f>IF(O30="","",(1/'Metadata'!$B$5)^(O30-1))</x:f>
        <x:v>39.810717055349734</x:v>
      </x:c>
      <x:c r="U30" s="31" t="n">
        <x:f>IF(T30="","",I30*T30)</x:f>
        <x:v>128480.26450353046</x:v>
      </x:c>
    </x:row>
    <x:row r="31" ht="18" customHeight="1">
      <x:c r="A31" s="24" t="str">
        <x:v>EEZ_554</x:v>
      </x:c>
      <x:c r="B31" s="24" t="str">
        <x:v>New Zealand</x:v>
      </x:c>
      <x:c r="C31" s="24" t="str">
        <x:v>EEZ</x:v>
      </x:c>
      <x:c r="D31" s="30" t="n">
        <x:v>2019</x:v>
      </x:c>
      <x:c r="E31" s="24" t="str">
        <x:v>Beryx splendens</x:v>
      </x:c>
      <x:c r="F31" s="24" t="str">
        <x:v>Splendid alfonsino</x:v>
      </x:c>
      <x:c r="G31" s="24" t="str">
        <x:v>Medium benthopelagics (30 - 89 cm)</x:v>
      </x:c>
      <x:c r="H31" s="24" t="str">
        <x:v>Other fishes &amp; inverts</x:v>
      </x:c>
      <x:c r="I31" s="31" t="n">
        <x:v>2886.2233647209</x:v>
      </x:c>
      <x:c r="J31" s="31" t="n">
        <x:v>2886.2233647209</x:v>
      </x:c>
      <x:c r="K31" s="31" t="n">
        <x:v>0</x:v>
      </x:c>
      <x:c r="L31" s="31" t="n">
        <x:v>2578.4067069804</x:v>
      </x:c>
      <x:c r="M31" s="31" t="n">
        <x:v>307.8166577405</x:v>
      </x:c>
      <x:c r="N31" s="24" t="str">
        <x:v>beryx splendens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Beryx splendens</x:v>
      </x:c>
      <x:c r="T31" s="32" t="n">
        <x:f>IF(O31="","",(1/'Metadata'!$B$5)^(O31-1))</x:f>
        <x:v>1862.0871366628655</x:v>
      </x:c>
      <x:c r="U31" s="31" t="n">
        <x:f>IF(T31="","",I31*T31)</x:f>
        <x:v>5374399.4009826025</x:v>
      </x:c>
    </x:row>
    <x:row r="32" ht="18" customHeight="1">
      <x:c r="A32" s="24" t="str">
        <x:v>EEZ_554</x:v>
      </x:c>
      <x:c r="B32" s="24" t="str">
        <x:v>New Zealand</x:v>
      </x:c>
      <x:c r="C32" s="24" t="str">
        <x:v>EEZ</x:v>
      </x:c>
      <x:c r="D32" s="30" t="n">
        <x:v>2019</x:v>
      </x:c>
      <x:c r="E32" s="24" t="str">
        <x:v>Lepidorhynchus denticulatus</x:v>
      </x:c>
      <x:c r="F32" s="24" t="str">
        <x:v>Thorntooth grenadier</x:v>
      </x:c>
      <x:c r="G32" s="24" t="str">
        <x:v>Medium bathypelagics (30 - 89 cm)</x:v>
      </x:c>
      <x:c r="H32" s="24" t="str">
        <x:v>Cod-likes</x:v>
      </x:c>
      <x:c r="I32" s="31" t="n">
        <x:v>2850.5467487507</x:v>
      </x:c>
      <x:c r="J32" s="31" t="n">
        <x:v>2850.5467487507</x:v>
      </x:c>
      <x:c r="K32" s="31" t="n">
        <x:v>0</x:v>
      </x:c>
      <x:c r="L32" s="31" t="n">
        <x:v>2572.3137980542</x:v>
      </x:c>
      <x:c r="M32" s="31" t="n">
        <x:v>278.2329506965</x:v>
      </x:c>
      <x:c r="N32" s="24" t="str">
        <x:v>lepidorhynchus denticulatus</x:v>
      </x:c>
      <x:c r="O32" s="32" t="n">
        <x:v>3.88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Lepidorhynchus denticulatus</x:v>
      </x:c>
      <x:c r="T32" s="32" t="n">
        <x:f>IF(O32="","",(1/'Metadata'!$B$5)^(O32-1))</x:f>
        <x:v>758.5775750291835</x:v>
      </x:c>
      <x:c r="U32" s="31" t="n">
        <x:f>IF(T32="","",I32*T32)</x:f>
        <x:v>2162360.8401746294</x:v>
      </x:c>
    </x:row>
    <x:row r="33" ht="18" customHeight="1">
      <x:c r="A33" s="24" t="str">
        <x:v>EEZ_554</x:v>
      </x:c>
      <x:c r="B33" s="24" t="str">
        <x:v>New Zealand</x:v>
      </x:c>
      <x:c r="C33" s="24" t="str">
        <x:v>EEZ</x:v>
      </x:c>
      <x:c r="D33" s="30" t="n">
        <x:v>2019</x:v>
      </x:c>
      <x:c r="E33" s="24" t="str">
        <x:v>Pleuronectiformes</x:v>
      </x:c>
      <x:c r="F33" s="24" t="str">
        <x:v>Flatfishes</x:v>
      </x:c>
      <x:c r="G33" s="24" t="str">
        <x:v>Small to medium flatfishes (&lt;90 cm)</x:v>
      </x:c>
      <x:c r="H33" s="24" t="str">
        <x:v>Flatfishes</x:v>
      </x:c>
      <x:c r="I33" s="31" t="n">
        <x:v>2842.1509400593</x:v>
      </x:c>
      <x:c r="J33" s="31" t="n">
        <x:v>2838.5085947049</x:v>
      </x:c>
      <x:c r="K33" s="31" t="n">
        <x:v>3.6423453544</x:v>
      </x:c>
      <x:c r="L33" s="31" t="n">
        <x:v>2473.2547847509</x:v>
      </x:c>
      <x:c r="M33" s="31" t="n">
        <x:v>368.8961553084</x:v>
      </x:c>
      <x:c r="N33" s="24" t="str">
        <x:v>pleuronectiformes</x:v>
      </x:c>
      <x:c r="O33" s="32" t="n">
        <x:v>3.57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Pleuronectiformes</x:v>
      </x:c>
      <x:c r="T33" s="32" t="n">
        <x:f>IF(O33="","",(1/'Metadata'!$B$5)^(O33-1))</x:f>
        <x:v>371.5352290971724</x:v>
      </x:c>
      <x:c r="U33" s="31" t="n">
        <x:f>IF(T33="","",I33*T33)</x:f>
        <x:v>1055959.2006436759</x:v>
      </x:c>
    </x:row>
    <x:row r="34" ht="18" customHeight="1">
      <x:c r="A34" s="24" t="str">
        <x:v>EEZ_554</x:v>
      </x:c>
      <x:c r="B34" s="24" t="str">
        <x:v>New Zealand</x:v>
      </x:c>
      <x:c r="C34" s="24" t="str">
        <x:v>EEZ</x:v>
      </x:c>
      <x:c r="D34" s="30" t="n">
        <x:v>2019</x:v>
      </x:c>
      <x:c r="E34" s="24" t="str">
        <x:v>Parapercis colias</x:v>
      </x:c>
      <x:c r="F34" s="24" t="str">
        <x:v>New Zealand blue cod</x:v>
      </x:c>
      <x:c r="G34" s="24" t="str">
        <x:v>Medium demersals (30 - 89 cm)</x:v>
      </x:c>
      <x:c r="H34" s="24" t="str">
        <x:v>Perch-likes</x:v>
      </x:c>
      <x:c r="I34" s="31" t="n">
        <x:v>2734.4603455049</x:v>
      </x:c>
      <x:c r="J34" s="31" t="n">
        <x:v>2734.4603455049</x:v>
      </x:c>
      <x:c r="K34" s="31" t="n">
        <x:v>0</x:v>
      </x:c>
      <x:c r="L34" s="31" t="n">
        <x:v>2071.2972901243</x:v>
      </x:c>
      <x:c r="M34" s="31" t="n">
        <x:v>663.1630553806</x:v>
      </x:c>
      <x:c r="N34" s="24" t="str">
        <x:v>parapercis colias</x:v>
      </x:c>
      <x:c r="O34" s="32" t="n">
        <x:v>3.89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Parapercis colias</x:v>
      </x:c>
      <x:c r="T34" s="32" t="n">
        <x:f>IF(O34="","",(1/'Metadata'!$B$5)^(O34-1))</x:f>
        <x:v>776.247116628692</x:v>
      </x:c>
      <x:c r="U34" s="31" t="n">
        <x:f>IF(T34="","",I34*T34)</x:f>
        <x:v>2122616.9587336755</x:v>
      </x:c>
    </x:row>
    <x:row r="35" ht="18" customHeight="1">
      <x:c r="A35" s="24" t="str">
        <x:v>EEZ_554</x:v>
      </x:c>
      <x:c r="B35" s="24" t="str">
        <x:v>New Zealand</x:v>
      </x:c>
      <x:c r="C35" s="24" t="str">
        <x:v>EEZ</x:v>
      </x:c>
      <x:c r="D35" s="30" t="n">
        <x:v>2019</x:v>
      </x:c>
      <x:c r="E35" s="24" t="str">
        <x:v>Lepidopus caudatus</x:v>
      </x:c>
      <x:c r="F35" s="24" t="str">
        <x:v>Silver scabbardfish</x:v>
      </x:c>
      <x:c r="G35" s="24" t="str">
        <x:v>Large bathydemersals (&gt;=90 cm)</x:v>
      </x:c>
      <x:c r="H35" s="24" t="str">
        <x:v>Perch-likes</x:v>
      </x:c>
      <x:c r="I35" s="31" t="n">
        <x:v>2590.3524946641</x:v>
      </x:c>
      <x:c r="J35" s="31" t="n">
        <x:v>2590.3524946641</x:v>
      </x:c>
      <x:c r="K35" s="31" t="n">
        <x:v>0</x:v>
      </x:c>
      <x:c r="L35" s="31" t="n">
        <x:v>2248.4658405596</x:v>
      </x:c>
      <x:c r="M35" s="31" t="n">
        <x:v>341.8866541045</x:v>
      </x:c>
      <x:c r="N35" s="24" t="str">
        <x:v>lepidopus caudatus</x:v>
      </x:c>
      <x:c r="O35" s="32" t="n">
        <x:v>3.82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Lepidopus caudatus</x:v>
      </x:c>
      <x:c r="T35" s="32" t="n">
        <x:f>IF(O35="","",(1/'Metadata'!$B$5)^(O35-1))</x:f>
        <x:v>660.6934480075957</x:v>
      </x:c>
      <x:c r="U35" s="31" t="n">
        <x:f>IF(T35="","",I35*T35)</x:f>
        <x:v>1711428.9212547014</x:v>
      </x:c>
    </x:row>
    <x:row r="36" ht="18" customHeight="1">
      <x:c r="A36" s="24" t="str">
        <x:v>EEZ_554</x:v>
      </x:c>
      <x:c r="B36" s="24" t="str">
        <x:v>New Zealand</x:v>
      </x:c>
      <x:c r="C36" s="24" t="str">
        <x:v>EEZ</x:v>
      </x:c>
      <x:c r="D36" s="30" t="n">
        <x:v>2019</x:v>
      </x:c>
      <x:c r="E36" s="24" t="str">
        <x:v>Squaliformes</x:v>
      </x:c>
      <x:c r="F36" s="24" t="str">
        <x:v>Bramble, sleeper, dogfish sharks</x:v>
      </x:c>
      <x:c r="G36" s="24" t="str">
        <x:v>Large sharks (&gt;=90 cm)</x:v>
      </x:c>
      <x:c r="H36" s="24" t="str">
        <x:v>Sharks &amp; rays</x:v>
      </x:c>
      <x:c r="I36" s="31" t="n">
        <x:v>2501.2502321556</x:v>
      </x:c>
      <x:c r="J36" s="31" t="n">
        <x:v>0.5342436978</x:v>
      </x:c>
      <x:c r="K36" s="31" t="n">
        <x:v>2500.7159884578</x:v>
      </x:c>
      <x:c r="L36" s="31" t="n">
        <x:v>0.4820978473</x:v>
      </x:c>
      <x:c r="M36" s="31" t="n">
        <x:v>2500.7681343083</x:v>
      </x:c>
      <x:c r="N36" s="24" t="str">
        <x:v>squaliformes</x:v>
      </x:c>
      <x:c r="O36" s="32" t="n">
        <x:v>4.19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Squaliformes</x:v>
      </x:c>
      <x:c r="T36" s="32" t="n">
        <x:f>IF(O36="","",(1/'Metadata'!$B$5)^(O36-1))</x:f>
        <x:v>1548.8166189124827</x:v>
      </x:c>
      <x:c r="U36" s="31" t="n">
        <x:f>IF(T36="","",I36*T36)</x:f>
        <x:v>3873977.9276212985</x:v>
      </x:c>
    </x:row>
    <x:row r="37" ht="18" customHeight="1">
      <x:c r="A37" s="24" t="str">
        <x:v>EEZ_554</x:v>
      </x:c>
      <x:c r="B37" s="24" t="str">
        <x:v>New Zealand</x:v>
      </x:c>
      <x:c r="C37" s="24" t="str">
        <x:v>EEZ</x:v>
      </x:c>
      <x:c r="D37" s="30" t="n">
        <x:v>2019</x:v>
      </x:c>
      <x:c r="E37" s="24" t="str">
        <x:v>Hydrolagus novaezealandiae</x:v>
      </x:c>
      <x:c r="F37" s="24" t="str">
        <x:v>Dark ghost shark</x:v>
      </x:c>
      <x:c r="G37" s="24" t="str">
        <x:v>Small to medium rays (&lt;90 cm)</x:v>
      </x:c>
      <x:c r="H37" s="24" t="str">
        <x:v>Sharks &amp; rays</x:v>
      </x:c>
      <x:c r="I37" s="31" t="n">
        <x:v>2406.5199157867</x:v>
      </x:c>
      <x:c r="J37" s="31" t="n">
        <x:v>2406.5199157867</x:v>
      </x:c>
      <x:c r="K37" s="31" t="n">
        <x:v>0</x:v>
      </x:c>
      <x:c r="L37" s="31" t="n">
        <x:v>2171.6270351464</x:v>
      </x:c>
      <x:c r="M37" s="31" t="n">
        <x:v>234.89288064029998</x:v>
      </x:c>
      <x:c r="N37" s="24" t="str">
        <x:v>hydrolagus novaezealandiae</x:v>
      </x:c>
      <x:c r="O37" s="32" t="n">
        <x:v>3.52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Hydrolagus novaezealandiae</x:v>
      </x:c>
      <x:c r="T37" s="32" t="n">
        <x:f>IF(O37="","",(1/'Metadata'!$B$5)^(O37-1))</x:f>
        <x:v>331.1311214825911</x:v>
      </x:c>
      <x:c r="U37" s="31" t="n">
        <x:f>IF(T37="","",I37*T37)</x:f>
        <x:v>796873.6385846407</x:v>
      </x:c>
    </x:row>
    <x:row r="38" ht="18" customHeight="1">
      <x:c r="A38" s="24" t="str">
        <x:v>EEZ_554</x:v>
      </x:c>
      <x:c r="B38" s="24" t="str">
        <x:v>New Zealand</x:v>
      </x:c>
      <x:c r="C38" s="24" t="str">
        <x:v>EEZ</x:v>
      </x:c>
      <x:c r="D38" s="30" t="n">
        <x:v>2019</x:v>
      </x:c>
      <x:c r="E38" s="24" t="str">
        <x:v>Emmelichthys nitidus</x:v>
      </x:c>
      <x:c r="F38" s="24" t="str">
        <x:v>Cape bonnetmouth</x:v>
      </x:c>
      <x:c r="G38" s="24" t="str">
        <x:v>Medium bathydemersals (30 - 89 cm)</x:v>
      </x:c>
      <x:c r="H38" s="24" t="str">
        <x:v>Perch-likes</x:v>
      </x:c>
      <x:c r="I38" s="31" t="n">
        <x:v>2338.4100598993</x:v>
      </x:c>
      <x:c r="J38" s="31" t="n">
        <x:v>2338.4100598993</x:v>
      </x:c>
      <x:c r="K38" s="31" t="n">
        <x:v>0</x:v>
      </x:c>
      <x:c r="L38" s="31" t="n">
        <x:v>2124.9111398461</x:v>
      </x:c>
      <x:c r="M38" s="31" t="n">
        <x:v>213.4989200532</x:v>
      </x:c>
      <x:c r="N38" s="24" t="str">
        <x:v>emmelichthys nitidus</x:v>
      </x:c>
      <x:c r="O38" s="32" t="n">
        <x:v>3.61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Emmelichthys nitidus</x:v>
      </x:c>
      <x:c r="T38" s="32" t="n">
        <x:f>IF(O38="","",(1/'Metadata'!$B$5)^(O38-1))</x:f>
        <x:v>407.3802778041126</x:v>
      </x:c>
      <x:c r="U38" s="31" t="n">
        <x:f>IF(T38="","",I38*T38)</x:f>
        <x:v>952622.1398217084</x:v>
      </x:c>
    </x:row>
    <x:row r="39" ht="18" customHeight="1">
      <x:c r="A39" s="24" t="str">
        <x:v>EEZ_554</x:v>
      </x:c>
      <x:c r="B39" s="24" t="str">
        <x:v>New Zealand</x:v>
      </x:c>
      <x:c r="C39" s="24" t="str">
        <x:v>EEZ</x:v>
      </x:c>
      <x:c r="D39" s="30" t="n">
        <x:v>2019</x:v>
      </x:c>
      <x:c r="E39" s="24" t="str">
        <x:v>Bivalvia</x:v>
      </x:c>
      <x:c r="F39" s="24" t="str">
        <x:v>Clams</x:v>
      </x:c>
      <x:c r="G39" s="24" t="str">
        <x:v>Other demersal invertebrates</x:v>
      </x:c>
      <x:c r="H39" s="24" t="str">
        <x:v>Molluscs</x:v>
      </x:c>
      <x:c r="I39" s="31" t="n">
        <x:v>2040.7738223519</x:v>
      </x:c>
      <x:c r="J39" s="31" t="n">
        <x:v>2040.7738223519</x:v>
      </x:c>
      <x:c r="K39" s="31" t="n">
        <x:v>0</x:v>
      </x:c>
      <x:c r="L39" s="31" t="n">
        <x:v>1650.3510511625</x:v>
      </x:c>
      <x:c r="M39" s="31" t="n">
        <x:v>390.4227711894</x:v>
      </x:c>
      <x:c r="N39" s="24" t="str">
        <x:v>bivalvia</x:v>
      </x:c>
      <x:c r="O39" s="32" t="n">
        <x:v>2.23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Bivalvia</x:v>
      </x:c>
      <x:c r="T39" s="32" t="n">
        <x:f>IF(O39="","",(1/'Metadata'!$B$5)^(O39-1))</x:f>
        <x:v>16.982436524617444</x:v>
      </x:c>
      <x:c r="U39" s="31" t="n">
        <x:f>IF(T39="","",I39*T39)</x:f>
        <x:v>34657.31189919206</x:v>
      </x:c>
    </x:row>
    <x:row r="40" ht="18" customHeight="1">
      <x:c r="A40" s="24" t="str">
        <x:v>EEZ_554</x:v>
      </x:c>
      <x:c r="B40" s="24" t="str">
        <x:v>New Zealand</x:v>
      </x:c>
      <x:c r="C40" s="24" t="str">
        <x:v>EEZ</x:v>
      </x:c>
      <x:c r="D40" s="30" t="n">
        <x:v>2019</x:v>
      </x:c>
      <x:c r="E40" s="24" t="str">
        <x:v>Gempylidae</x:v>
      </x:c>
      <x:c r="F40" s="24" t="str">
        <x:v>Snake mackerels</x:v>
      </x:c>
      <x:c r="G40" s="24" t="str">
        <x:v>Large benthopelagics (&gt;=90 cm)</x:v>
      </x:c>
      <x:c r="H40" s="24" t="str">
        <x:v>Perch-likes</x:v>
      </x:c>
      <x:c r="I40" s="31" t="n">
        <x:v>1957.2351329865999</x:v>
      </x:c>
      <x:c r="J40" s="31" t="n">
        <x:v>1292.0291350897999</x:v>
      </x:c>
      <x:c r="K40" s="31" t="n">
        <x:v>665.2059978968</x:v>
      </x:c>
      <x:c r="L40" s="31" t="n">
        <x:v>987.8139611275999</x:v>
      </x:c>
      <x:c r="M40" s="31" t="n">
        <x:v>969.421171859</x:v>
      </x:c>
      <x:c r="N40" s="24" t="str">
        <x:v>gempylidae</x:v>
      </x:c>
      <x:c r="O40" s="32" t="n">
        <x:v>4.21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Gempylidae</x:v>
      </x:c>
      <x:c r="T40" s="32" t="n">
        <x:f>IF(O40="","",(1/'Metadata'!$B$5)^(O40-1))</x:f>
        <x:v>1621.8100973589299</x:v>
      </x:c>
      <x:c r="U40" s="31" t="n">
        <x:f>IF(T40="","",I40*T40)</x:f>
        <x:v>3174263.7015833156</x:v>
      </x:c>
    </x:row>
    <x:row r="41" ht="18" customHeight="1">
      <x:c r="A41" s="24" t="str">
        <x:v>EEZ_554</x:v>
      </x:c>
      <x:c r="B41" s="24" t="str">
        <x:v>New Zealand</x:v>
      </x:c>
      <x:c r="C41" s="24" t="str">
        <x:v>EEZ</x:v>
      </x:c>
      <x:c r="D41" s="30" t="n">
        <x:v>2019</x:v>
      </x:c>
      <x:c r="E41" s="24" t="str">
        <x:v>Ommastrephidae</x:v>
      </x:c>
      <x:c r="F41" s="24" t="str">
        <x:v>Arrow squids</x:v>
      </x:c>
      <x:c r="G41" s="24" t="str">
        <x:v>Cephalopods</x:v>
      </x:c>
      <x:c r="H41" s="24" t="str">
        <x:v>Other fishes &amp; inverts</x:v>
      </x:c>
      <x:c r="I41" s="31" t="n">
        <x:v>1745.0263397755</x:v>
      </x:c>
      <x:c r="J41" s="31" t="n">
        <x:v>0.1081735726</x:v>
      </x:c>
      <x:c r="K41" s="31" t="n">
        <x:v>1744.9181662029</x:v>
      </x:c>
      <x:c r="L41" s="31" t="n">
        <x:v>0.0906959882</x:v>
      </x:c>
      <x:c r="M41" s="31" t="n">
        <x:v>1744.9356437873</x:v>
      </x:c>
      <x:c r="N41" s="24" t="str">
        <x:v>ommastrephidae</x:v>
      </x:c>
      <x:c r="O41" s="32" t="n">
        <x:v>4.09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Ommastrephidae</x:v>
      </x:c>
      <x:c r="T41" s="32" t="n">
        <x:f>IF(O41="","",(1/'Metadata'!$B$5)^(O41-1))</x:f>
        <x:v>1230.268770812381</x:v>
      </x:c>
      <x:c r="U41" s="31" t="n">
        <x:f>IF(T41="","",I41*T41)</x:f>
        <x:v>2146851.410070833</x:v>
      </x:c>
    </x:row>
    <x:row r="42" ht="18" customHeight="1">
      <x:c r="A42" s="24" t="str">
        <x:v>EEZ_554</x:v>
      </x:c>
      <x:c r="B42" s="24" t="str">
        <x:v>New Zealand</x:v>
      </x:c>
      <x:c r="C42" s="24" t="str">
        <x:v>EEZ</x:v>
      </x:c>
      <x:c r="D42" s="30" t="n">
        <x:v>2019</x:v>
      </x:c>
      <x:c r="E42" s="24" t="str">
        <x:v>Mustelus lenticulatus</x:v>
      </x:c>
      <x:c r="F42" s="24" t="str">
        <x:v>Spotted estuary smooth-hound</x:v>
      </x:c>
      <x:c r="G42" s="24" t="str">
        <x:v>Large sharks (&gt;=90 cm)</x:v>
      </x:c>
      <x:c r="H42" s="24" t="str">
        <x:v>Sharks &amp; rays</x:v>
      </x:c>
      <x:c r="I42" s="31" t="n">
        <x:v>1716.9316169464</x:v>
      </x:c>
      <x:c r="J42" s="31" t="n">
        <x:v>1716.9316169464</x:v>
      </x:c>
      <x:c r="K42" s="31" t="n">
        <x:v>0</x:v>
      </x:c>
      <x:c r="L42" s="31" t="n">
        <x:v>1396.9264827261</x:v>
      </x:c>
      <x:c r="M42" s="31" t="n">
        <x:v>320.00513422029996</x:v>
      </x:c>
      <x:c r="N42" s="24" t="str">
        <x:v>mustelus lenticulatus</x:v>
      </x:c>
      <x:c r="O42" s="32" t="n">
        <x:v>3.51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Mustelus lenticulatus</x:v>
      </x:c>
      <x:c r="T42" s="32" t="n">
        <x:f>IF(O42="","",(1/'Metadata'!$B$5)^(O42-1))</x:f>
        <x:v>323.5936569296281</x:v>
      </x:c>
      <x:c r="U42" s="31" t="n">
        <x:f>IF(T42="","",I42*T42)</x:f>
        <x:v>555588.180625785</x:v>
      </x:c>
    </x:row>
    <x:row r="43" ht="18" customHeight="1">
      <x:c r="A43" s="24" t="str">
        <x:v>EEZ_554</x:v>
      </x:c>
      <x:c r="B43" s="24" t="str">
        <x:v>New Zealand</x:v>
      </x:c>
      <x:c r="C43" s="24" t="str">
        <x:v>EEZ</x:v>
      </x:c>
      <x:c r="D43" s="30" t="n">
        <x:v>2019</x:v>
      </x:c>
      <x:c r="E43" s="24" t="str">
        <x:v>Polyprion</x:v>
      </x:c>
      <x:c r="F43" s="24" t="str">
        <x:v>Wreckfishes</x:v>
      </x:c>
      <x:c r="G43" s="24" t="str">
        <x:v>Large demersals (&gt;=90 cm)</x:v>
      </x:c>
      <x:c r="H43" s="24" t="str">
        <x:v>Perch-likes</x:v>
      </x:c>
      <x:c r="I43" s="31" t="n">
        <x:v>1665.4668689453001</x:v>
      </x:c>
      <x:c r="J43" s="31" t="n">
        <x:v>1665.4668689453001</x:v>
      </x:c>
      <x:c r="K43" s="31" t="n">
        <x:v>0</x:v>
      </x:c>
      <x:c r="L43" s="31" t="n">
        <x:v>1256.8844519644001</x:v>
      </x:c>
      <x:c r="M43" s="31" t="n">
        <x:v>408.5824169809</x:v>
      </x:c>
      <x:c r="N43" s="24" t="str">
        <x:v>polyprion</x:v>
      </x:c>
      <x:c r="O43" s="32" t="n">
        <x:v>3.83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Polyprion</x:v>
      </x:c>
      <x:c r="T43" s="32" t="n">
        <x:f>IF(O43="","",(1/'Metadata'!$B$5)^(O43-1))</x:f>
        <x:v>676.0829753919819</x:v>
      </x:c>
      <x:c r="U43" s="31" t="n">
        <x:f>IF(T43="","",I43*T43)</x:f>
        <x:v>1125993.7961733064</x:v>
      </x:c>
    </x:row>
    <x:row r="44" ht="18" customHeight="1">
      <x:c r="A44" s="24" t="str">
        <x:v>EEZ_554</x:v>
      </x:c>
      <x:c r="B44" s="24" t="str">
        <x:v>New Zealand</x:v>
      </x:c>
      <x:c r="C44" s="24" t="str">
        <x:v>EEZ</x:v>
      </x:c>
      <x:c r="D44" s="30" t="n">
        <x:v>2019</x:v>
      </x:c>
      <x:c r="E44" s="24" t="str">
        <x:v>Echinoidea</x:v>
      </x:c>
      <x:c r="F44" s="24" t="str">
        <x:v>Sea urchins, sea hedgehogs</x:v>
      </x:c>
      <x:c r="G44" s="24" t="str">
        <x:v>Other demersal invertebrates</x:v>
      </x:c>
      <x:c r="H44" s="24" t="str">
        <x:v>Other fishes &amp; inverts</x:v>
      </x:c>
      <x:c r="I44" s="31" t="n">
        <x:v>1655.4321705346</x:v>
      </x:c>
      <x:c r="J44" s="31" t="n">
        <x:v>1640.5048796049</x:v>
      </x:c>
      <x:c r="K44" s="31" t="n">
        <x:v>14.9272909297</x:v>
      </x:c>
      <x:c r="L44" s="31" t="n">
        <x:v>917.2244317993</x:v>
      </x:c>
      <x:c r="M44" s="31" t="n">
        <x:v>738.2077387353</x:v>
      </x:c>
      <x:c r="N44" s="24" t="str">
        <x:v>echinoidea</x:v>
      </x:c>
      <x:c r="O44" s="32" t="n">
        <x:v>2.51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Echinoidea</x:v>
      </x:c>
      <x:c r="T44" s="32" t="n">
        <x:f>IF(O44="","",(1/'Metadata'!$B$5)^(O44-1))</x:f>
        <x:v>32.35936569296281</x:v>
      </x:c>
      <x:c r="U44" s="31" t="n">
        <x:f>IF(T44="","",I44*T44)</x:f>
        <x:v>53568.73498622429</x:v>
      </x:c>
    </x:row>
    <x:row r="45" ht="18" customHeight="1">
      <x:c r="A45" s="24" t="str">
        <x:v>EEZ_554</x:v>
      </x:c>
      <x:c r="B45" s="24" t="str">
        <x:v>New Zealand</x:v>
      </x:c>
      <x:c r="C45" s="24" t="str">
        <x:v>EEZ</x:v>
      </x:c>
      <x:c r="D45" s="30" t="n">
        <x:v>2019</x:v>
      </x:c>
      <x:c r="E45" s="24" t="str">
        <x:v>Elasmobranchii</x:v>
      </x:c>
      <x:c r="F45" s="24" t="str">
        <x:v>Sharks, rays, skates</x:v>
      </x:c>
      <x:c r="G45" s="24" t="str">
        <x:v>Large sharks (&gt;=90 cm)</x:v>
      </x:c>
      <x:c r="H45" s="24" t="str">
        <x:v>Sharks &amp; rays</x:v>
      </x:c>
      <x:c r="I45" s="31" t="n">
        <x:v>1648.5860098761</x:v>
      </x:c>
      <x:c r="J45" s="31" t="n">
        <x:v>396.9839894044</x:v>
      </x:c>
      <x:c r="K45" s="31" t="n">
        <x:v>1251.6020204717001</x:v>
      </x:c>
      <x:c r="L45" s="31" t="n">
        <x:v>358.2356241018</x:v>
      </x:c>
      <x:c r="M45" s="31" t="n">
        <x:v>1290.3503857743</x:v>
      </x:c>
      <x:c r="N45" s="24" t="str">
        <x:v>elasmobranchii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Elasmobranchii</x:v>
      </x:c>
      <x:c r="T45" s="32" t="n">
        <x:f>IF(O45="","",(1/'Metadata'!$B$5)^(O45-1))</x:f>
        <x:v>1122.018454301963</x:v>
      </x:c>
      <x:c r="U45" s="31" t="n">
        <x:f>IF(T45="","",I45*T45)</x:f>
        <x:v>1849743.9265850224</x:v>
      </x:c>
    </x:row>
    <x:row r="46" ht="18" customHeight="1">
      <x:c r="A46" s="24" t="str">
        <x:v>EEZ_554</x:v>
      </x:c>
      <x:c r="B46" s="24" t="str">
        <x:v>New Zealand</x:v>
      </x:c>
      <x:c r="C46" s="24" t="str">
        <x:v>EEZ</x:v>
      </x:c>
      <x:c r="D46" s="30" t="n">
        <x:v>2019</x:v>
      </x:c>
      <x:c r="E46" s="24" t="str">
        <x:v>Callorhinchus milii</x:v>
      </x:c>
      <x:c r="F46" s="24" t="str">
        <x:v>Ghost shark</x:v>
      </x:c>
      <x:c r="G46" s="24" t="str">
        <x:v>Large rays (&gt;=90 cm)</x:v>
      </x:c>
      <x:c r="H46" s="24" t="str">
        <x:v>Sharks &amp; rays</x:v>
      </x:c>
      <x:c r="I46" s="31" t="n">
        <x:v>1617.146250226</x:v>
      </x:c>
      <x:c r="J46" s="31" t="n">
        <x:v>1617.146250226</x:v>
      </x:c>
      <x:c r="K46" s="31" t="n">
        <x:v>0</x:v>
      </x:c>
      <x:c r="L46" s="31" t="n">
        <x:v>1459.3016637480998</x:v>
      </x:c>
      <x:c r="M46" s="31" t="n">
        <x:v>157.8445864779</x:v>
      </x:c>
      <x:c r="N46" s="24" t="str">
        <x:v>callorhinchus milii</x:v>
      </x:c>
      <x:c r="O46" s="32" t="n">
        <x:v>3.6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Callorhinchus milii</x:v>
      </x:c>
      <x:c r="T46" s="32" t="n">
        <x:f>IF(O46="","",(1/'Metadata'!$B$5)^(O46-1))</x:f>
        <x:v>398.1071705534973</x:v>
      </x:c>
      <x:c r="U46" s="31" t="n">
        <x:f>IF(T46="","",I46*T46)</x:f>
        <x:v>643797.5180486708</x:v>
      </x:c>
    </x:row>
    <x:row r="47" ht="18" customHeight="1">
      <x:c r="A47" s="24" t="str">
        <x:v>EEZ_554</x:v>
      </x:c>
      <x:c r="B47" s="24" t="str">
        <x:v>New Zealand</x:v>
      </x:c>
      <x:c r="C47" s="24" t="str">
        <x:v>EEZ</x:v>
      </x:c>
      <x:c r="D47" s="30" t="n">
        <x:v>2019</x:v>
      </x:c>
      <x:c r="E47" s="24" t="str">
        <x:v>Prionace glauca</x:v>
      </x:c>
      <x:c r="F47" s="24" t="str">
        <x:v>Blue shark</x:v>
      </x:c>
      <x:c r="G47" s="24" t="str">
        <x:v>Large sharks (&gt;=90 cm)</x:v>
      </x:c>
      <x:c r="H47" s="24" t="str">
        <x:v>Sharks &amp; rays</x:v>
      </x:c>
      <x:c r="I47" s="31" t="n">
        <x:v>1369.619233844</x:v>
      </x:c>
      <x:c r="J47" s="31" t="n">
        <x:v>1147.8541137897</x:v>
      </x:c>
      <x:c r="K47" s="31" t="n">
        <x:v>221.76512005429998</x:v>
      </x:c>
      <x:c r="L47" s="31" t="n">
        <x:v>1054.9672581583</x:v>
      </x:c>
      <x:c r="M47" s="31" t="n">
        <x:v>314.6519756857</x:v>
      </x:c>
      <x:c r="N47" s="24" t="str">
        <x:v>prionace glauca</x:v>
      </x:c>
      <x:c r="O47" s="32" t="n">
        <x:v>4.35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Prionace glauca</x:v>
      </x:c>
      <x:c r="T47" s="32" t="n">
        <x:f>IF(O47="","",(1/'Metadata'!$B$5)^(O47-1))</x:f>
        <x:v>2238.7211385683377</x:v>
      </x:c>
      <x:c r="U47" s="31" t="n">
        <x:f>IF(T47="","",I47*T47)</x:f>
        <x:v>3066195.530596334</x:v>
      </x:c>
    </x:row>
    <x:row r="48" ht="18" customHeight="1">
      <x:c r="A48" s="24" t="str">
        <x:v>EEZ_554</x:v>
      </x:c>
      <x:c r="B48" s="24" t="str">
        <x:v>New Zealand</x:v>
      </x:c>
      <x:c r="C48" s="24" t="str">
        <x:v>EEZ</x:v>
      </x:c>
      <x:c r="D48" s="30" t="n">
        <x:v>2019</x:v>
      </x:c>
      <x:c r="E48" s="24" t="str">
        <x:v>Thunnus alalunga</x:v>
      </x:c>
      <x:c r="F48" s="24" t="str">
        <x:v>Albacore</x:v>
      </x:c>
      <x:c r="G48" s="24" t="str">
        <x:v>Large pelagics (&gt;=90 cm)</x:v>
      </x:c>
      <x:c r="H48" s="24" t="str">
        <x:v>Tuna &amp; billfishes</x:v>
      </x:c>
      <x:c r="I48" s="31" t="n">
        <x:v>1319.7931807099</x:v>
      </x:c>
      <x:c r="J48" s="31" t="n">
        <x:v>1319.7207466389</x:v>
      </x:c>
      <x:c r="K48" s="31" t="n">
        <x:v>0.072434071</x:v>
      </x:c>
      <x:c r="L48" s="31" t="n">
        <x:v>1137.1610218494</x:v>
      </x:c>
      <x:c r="M48" s="31" t="n">
        <x:v>182.6321588605</x:v>
      </x:c>
      <x:c r="N48" s="24" t="str">
        <x:v>thunnus alalunga</x:v>
      </x:c>
      <x:c r="O48" s="32" t="n">
        <x:v>4.3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alalunga</x:v>
      </x:c>
      <x:c r="T48" s="32" t="n">
        <x:f>IF(O48="","",(1/'Metadata'!$B$5)^(O48-1))</x:f>
        <x:v>1995.2623149688789</x:v>
      </x:c>
      <x:c r="U48" s="31" t="n">
        <x:f>IF(T48="","",I48*T48)</x:f>
        <x:v>2633333.597023375</x:v>
      </x:c>
    </x:row>
    <x:row r="49" ht="18" customHeight="1">
      <x:c r="A49" s="24" t="str">
        <x:v>EEZ_554</x:v>
      </x:c>
      <x:c r="B49" s="24" t="str">
        <x:v>New Zealand</x:v>
      </x:c>
      <x:c r="C49" s="24" t="str">
        <x:v>EEZ</x:v>
      </x:c>
      <x:c r="D49" s="30" t="n">
        <x:v>2019</x:v>
      </x:c>
      <x:c r="E49" s="24" t="str">
        <x:v>Thunnus maccoyii</x:v>
      </x:c>
      <x:c r="F49" s="24" t="str">
        <x:v>Southern bluefin tuna</x:v>
      </x:c>
      <x:c r="G49" s="24" t="str">
        <x:v>Large pelagics (&gt;=90 cm)</x:v>
      </x:c>
      <x:c r="H49" s="24" t="str">
        <x:v>Tuna &amp; billfishes</x:v>
      </x:c>
      <x:c r="I49" s="31" t="n">
        <x:v>1237.2144215247001</x:v>
      </x:c>
      <x:c r="J49" s="31" t="n">
        <x:v>1237.0211405414</x:v>
      </x:c>
      <x:c r="K49" s="31" t="n">
        <x:v>0.19328098330000001</x:v>
      </x:c>
      <x:c r="L49" s="31" t="n">
        <x:v>1217.5512393705</x:v>
      </x:c>
      <x:c r="M49" s="31" t="n">
        <x:v>19.6631821542</x:v>
      </x:c>
      <x:c r="N49" s="24" t="str">
        <x:v>thunnus maccoyii</x:v>
      </x:c>
      <x:c r="O49" s="32" t="n">
        <x:v>3.93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maccoyii</x:v>
      </x:c>
      <x:c r="T49" s="32" t="n">
        <x:f>IF(O49="","",(1/'Metadata'!$B$5)^(O49-1))</x:f>
        <x:v>851.1380382023768</x:v>
      </x:c>
      <x:c r="U49" s="31" t="n">
        <x:f>IF(T49="","",I49*T49)</x:f>
        <x:v>1053040.2555722217</x:v>
      </x:c>
    </x:row>
    <x:row r="50" ht="18" customHeight="1">
      <x:c r="A50" s="24" t="str">
        <x:v>EEZ_554</x:v>
      </x:c>
      <x:c r="B50" s="24" t="str">
        <x:v>New Zealand</x:v>
      </x:c>
      <x:c r="C50" s="24" t="str">
        <x:v>EEZ</x:v>
      </x:c>
      <x:c r="D50" s="30" t="n">
        <x:v>2019</x:v>
      </x:c>
      <x:c r="E50" s="24" t="str">
        <x:v>Seriolella caerulea</x:v>
      </x:c>
      <x:c r="F50" s="24" t="str">
        <x:v>White warehou</x:v>
      </x:c>
      <x:c r="G50" s="24" t="str">
        <x:v>Medium bathypelagics (30 - 89 cm)</x:v>
      </x:c>
      <x:c r="H50" s="24" t="str">
        <x:v>Perch-likes</x:v>
      </x:c>
      <x:c r="I50" s="31" t="n">
        <x:v>1208.9677545193001</x:v>
      </x:c>
      <x:c r="J50" s="31" t="n">
        <x:v>1208.9677545193001</x:v>
      </x:c>
      <x:c r="K50" s="31" t="n">
        <x:v>0</x:v>
      </x:c>
      <x:c r="L50" s="31" t="n">
        <x:v>1129.0599028752001</x:v>
      </x:c>
      <x:c r="M50" s="31" t="n">
        <x:v>79.90785164409999</x:v>
      </x:c>
      <x:c r="N50" s="24" t="str">
        <x:v>seriolella caerulea</x:v>
      </x:c>
      <x:c r="O50" s="32" t="n">
        <x:v>3.42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Seriolella caerulea</x:v>
      </x:c>
      <x:c r="T50" s="32" t="n">
        <x:f>IF(O50="","",(1/'Metadata'!$B$5)^(O50-1))</x:f>
        <x:v>263.02679918953817</x:v>
      </x:c>
      <x:c r="U50" s="31" t="n">
        <x:f>IF(T50="","",I50*T50)</x:f>
        <x:v>317990.9187945748</x:v>
      </x:c>
    </x:row>
    <x:row r="51" ht="18" customHeight="1">
      <x:c r="A51" s="24" t="str">
        <x:v>EEZ_554</x:v>
      </x:c>
      <x:c r="B51" s="24" t="str">
        <x:v>New Zealand</x:v>
      </x:c>
      <x:c r="C51" s="24" t="str">
        <x:v>EEZ</x:v>
      </x:c>
      <x:c r="D51" s="30" t="n">
        <x:v>2019</x:v>
      </x:c>
      <x:c r="E51" s="24" t="str">
        <x:v>Seriola lalandi</x:v>
      </x:c>
      <x:c r="F51" s="24" t="str">
        <x:v>Yellowtail amberjack</x:v>
      </x:c>
      <x:c r="G51" s="24" t="str">
        <x:v>Large benthopelagics (&gt;=90 cm)</x:v>
      </x:c>
      <x:c r="H51" s="24" t="str">
        <x:v>Perch-likes</x:v>
      </x:c>
      <x:c r="I51" s="31" t="n">
        <x:v>1195.9040159578</x:v>
      </x:c>
      <x:c r="J51" s="31" t="n">
        <x:v>1195.9040159578</x:v>
      </x:c>
      <x:c r="K51" s="31" t="n">
        <x:v>0</x:v>
      </x:c>
      <x:c r="L51" s="31" t="n">
        <x:v>246.7763784238</x:v>
      </x:c>
      <x:c r="M51" s="31" t="n">
        <x:v>949.127637534</x:v>
      </x:c>
      <x:c r="N51" s="24" t="str">
        <x:v>seriola lalandi</x:v>
      </x:c>
      <x:c r="O51" s="32" t="n">
        <x:v>4.16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Seriola lalandi</x:v>
      </x:c>
      <x:c r="T51" s="32" t="n">
        <x:f>IF(O51="","",(1/'Metadata'!$B$5)^(O51-1))</x:f>
        <x:v>1445.439770745928</x:v>
      </x:c>
      <x:c r="U51" s="31" t="n">
        <x:f>IF(T51="","",I51*T51)</x:f>
        <x:v>1728607.226660177</x:v>
      </x:c>
    </x:row>
    <x:row r="52" ht="18" customHeight="1">
      <x:c r="A52" s="24" t="str">
        <x:v>EEZ_554</x:v>
      </x:c>
      <x:c r="B52" s="24" t="str">
        <x:v>New Zealand</x:v>
      </x:c>
      <x:c r="C52" s="24" t="str">
        <x:v>EEZ</x:v>
      </x:c>
      <x:c r="D52" s="30" t="n">
        <x:v>2019</x:v>
      </x:c>
      <x:c r="E52" s="24" t="str">
        <x:v>Mora moro</x:v>
      </x:c>
      <x:c r="F52" s="24" t="str">
        <x:v>Common mora</x:v>
      </x:c>
      <x:c r="G52" s="24" t="str">
        <x:v>Medium bathypelagics (30 - 89 cm)</x:v>
      </x:c>
      <x:c r="H52" s="24" t="str">
        <x:v>Cod-likes</x:v>
      </x:c>
      <x:c r="I52" s="31" t="n">
        <x:v>1192.6480616383</x:v>
      </x:c>
      <x:c r="J52" s="31" t="n">
        <x:v>1192.6480616383</x:v>
      </x:c>
      <x:c r="K52" s="31" t="n">
        <x:v>0</x:v>
      </x:c>
      <x:c r="L52" s="31" t="n">
        <x:v>1087.3487606951</x:v>
      </x:c>
      <x:c r="M52" s="31" t="n">
        <x:v>105.2993009432</x:v>
      </x:c>
      <x:c r="N52" s="24" t="str">
        <x:v>mora moro</x:v>
      </x:c>
      <x:c r="O52" s="32" t="n">
        <x:v>3.75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Mora moro</x:v>
      </x:c>
      <x:c r="T52" s="32" t="n">
        <x:f>IF(O52="","",(1/'Metadata'!$B$5)^(O52-1))</x:f>
        <x:v>562.341325190349</x:v>
      </x:c>
      <x:c r="U52" s="31" t="n">
        <x:f>IF(T52="","",I52*T52)</x:f>
        <x:v>670675.2914673828</x:v>
      </x:c>
    </x:row>
    <x:row r="53" ht="18" customHeight="1">
      <x:c r="A53" s="24" t="str">
        <x:v>EEZ_554</x:v>
      </x:c>
      <x:c r="B53" s="24" t="str">
        <x:v>New Zealand</x:v>
      </x:c>
      <x:c r="C53" s="24" t="str">
        <x:v>EEZ</x:v>
      </x:c>
      <x:c r="D53" s="30" t="n">
        <x:v>2019</x:v>
      </x:c>
      <x:c r="E53" s="24" t="str">
        <x:v>Veneridae</x:v>
      </x:c>
      <x:c r="F53" s="24" t="str">
        <x:v>Venus clams</x:v>
      </x:c>
      <x:c r="G53" s="24" t="str">
        <x:v>Other demersal invertebrates</x:v>
      </x:c>
      <x:c r="H53" s="24" t="str">
        <x:v>Molluscs</x:v>
      </x:c>
      <x:c r="I53" s="31" t="n">
        <x:v>1167.9719741955</x:v>
      </x:c>
      <x:c r="J53" s="31" t="n">
        <x:v>1167.9719741955</x:v>
      </x:c>
      <x:c r="K53" s="31" t="n">
        <x:v>0</x:v>
      </x:c>
      <x:c r="L53" s="31" t="n">
        <x:v>1167.8052059686</x:v>
      </x:c>
      <x:c r="M53" s="31" t="n">
        <x:v>0.1667682269</x:v>
      </x:c>
      <x:c r="N53" s="24" t="str">
        <x:v>veneridae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Veneridae</x:v>
      </x:c>
      <x:c r="T53" s="32" t="n">
        <x:f>IF(O53="","",(1/'Metadata'!$B$5)^(O53-1))</x:f>
        <x:v>10</x:v>
      </x:c>
      <x:c r="U53" s="31" t="n">
        <x:f>IF(T53="","",I53*T53)</x:f>
        <x:v>11679.719741955</x:v>
      </x:c>
    </x:row>
    <x:row r="54" ht="18" customHeight="1">
      <x:c r="A54" s="24" t="str">
        <x:v>EEZ_554</x:v>
      </x:c>
      <x:c r="B54" s="24" t="str">
        <x:v>New Zealand</x:v>
      </x:c>
      <x:c r="C54" s="24" t="str">
        <x:v>EEZ</x:v>
      </x:c>
      <x:c r="D54" s="30" t="n">
        <x:v>2019</x:v>
      </x:c>
      <x:c r="E54" s="24" t="str">
        <x:v>Metanephrops challengeri</x:v>
      </x:c>
      <x:c r="F54" s="24" t="str">
        <x:v>New Zealand lobster</x:v>
      </x:c>
      <x:c r="G54" s="24" t="str">
        <x:v>Lobsters, crabs</x:v>
      </x:c>
      <x:c r="H54" s="24" t="str">
        <x:v>Crustaceans</x:v>
      </x:c>
      <x:c r="I54" s="31" t="n">
        <x:v>1097.3122649637999</x:v>
      </x:c>
      <x:c r="J54" s="31" t="n">
        <x:v>1097.3122649637999</x:v>
      </x:c>
      <x:c r="K54" s="31" t="n">
        <x:v>0</x:v>
      </x:c>
      <x:c r="L54" s="31" t="n">
        <x:v>937.8305380377</x:v>
      </x:c>
      <x:c r="M54" s="31" t="n">
        <x:v>159.4817269261</x:v>
      </x:c>
      <x:c r="N54" s="24" t="str">
        <x:v>metanephrops challengeri</x:v>
      </x:c>
      <x:c r="O54" s="32" t="n">
        <x:v>2.6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Metanephrops challengeri</x:v>
      </x:c>
      <x:c r="T54" s="32" t="n">
        <x:f>IF(O54="","",(1/'Metadata'!$B$5)^(O54-1))</x:f>
        <x:v>39.810717055349734</x:v>
      </x:c>
      <x:c r="U54" s="31" t="n">
        <x:f>IF(T54="","",I54*T54)</x:f>
        <x:v>43684.78810183879</x:v>
      </x:c>
    </x:row>
    <x:row r="55" ht="18" customHeight="1">
      <x:c r="A55" s="24" t="str">
        <x:v>EEZ_554</x:v>
      </x:c>
      <x:c r="B55" s="24" t="str">
        <x:v>New Zealand</x:v>
      </x:c>
      <x:c r="C55" s="24" t="str">
        <x:v>EEZ</x:v>
      </x:c>
      <x:c r="D55" s="30" t="n">
        <x:v>2019</x:v>
      </x:c>
      <x:c r="E55" s="24" t="str">
        <x:v>Lamnidae</x:v>
      </x:c>
      <x:c r="F55" s="24" t="str">
        <x:v>Mackerel/white sharks</x:v>
      </x:c>
      <x:c r="G55" s="24" t="str">
        <x:v>Large sharks (&gt;=90 cm)</x:v>
      </x:c>
      <x:c r="H55" s="24" t="str">
        <x:v>Sharks &amp; rays</x:v>
      </x:c>
      <x:c r="I55" s="31" t="n">
        <x:v>1056.6784596252999</x:v>
      </x:c>
      <x:c r="J55" s="31" t="n">
        <x:v>0</x:v>
      </x:c>
      <x:c r="K55" s="31" t="n">
        <x:v>1056.6784596252999</x:v>
      </x:c>
      <x:c r="L55" s="31" t="n">
        <x:v>0</x:v>
      </x:c>
      <x:c r="M55" s="31" t="n">
        <x:v>1056.6784596252999</x:v>
      </x:c>
      <x:c r="N55" s="24" t="str">
        <x:v>lamnidae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Lamnidae</x:v>
      </x:c>
      <x:c r="T55" s="32" t="n">
        <x:f>IF(O55="","",(1/'Metadata'!$B$5)^(O55-1))</x:f>
        <x:v>3162.2776601683795</x:v>
      </x:c>
      <x:c r="U55" s="31" t="n">
        <x:f>IF(T55="","",I55*T55)</x:f>
        <x:v>3341510.686854221</x:v>
      </x:c>
    </x:row>
    <x:row r="56" ht="18" customHeight="1">
      <x:c r="A56" s="24" t="str">
        <x:v>EEZ_554</x:v>
      </x:c>
      <x:c r="B56" s="24" t="str">
        <x:v>New Zealand</x:v>
      </x:c>
      <x:c r="C56" s="24" t="str">
        <x:v>EEZ</x:v>
      </x:c>
      <x:c r="D56" s="30" t="n">
        <x:v>2019</x:v>
      </x:c>
      <x:c r="E56" s="24" t="str">
        <x:v>Haliotis</x:v>
      </x:c>
      <x:c r="F56" s="24" t="str">
        <x:v>Abalones</x:v>
      </x:c>
      <x:c r="G56" s="24" t="str">
        <x:v>Other demersal invertebrates</x:v>
      </x:c>
      <x:c r="H56" s="24" t="str">
        <x:v>Molluscs</x:v>
      </x:c>
      <x:c r="I56" s="31" t="n">
        <x:v>1038.5000574464</x:v>
      </x:c>
      <x:c r="J56" s="31" t="n">
        <x:v>1038.5000574464</x:v>
      </x:c>
      <x:c r="K56" s="31" t="n">
        <x:v>0</x:v>
      </x:c>
      <x:c r="L56" s="31" t="n">
        <x:v>822.8825765529</x:v>
      </x:c>
      <x:c r="M56" s="31" t="n">
        <x:v>215.61748089350002</x:v>
      </x:c>
      <x:c r="N56" s="24" t="str">
        <x:v>haliotis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Haliotis</x:v>
      </x:c>
      <x:c r="T56" s="32" t="n">
        <x:f>IF(O56="","",(1/'Metadata'!$B$5)^(O56-1))</x:f>
        <x:v>10</x:v>
      </x:c>
      <x:c r="U56" s="31" t="n">
        <x:f>IF(T56="","",I56*T56)</x:f>
        <x:v>10385.000574464</x:v>
      </x:c>
    </x:row>
    <x:row r="57" ht="18" customHeight="1">
      <x:c r="A57" s="24" t="str">
        <x:v>EEZ_554</x:v>
      </x:c>
      <x:c r="B57" s="24" t="str">
        <x:v>New Zealand</x:v>
      </x:c>
      <x:c r="C57" s="24" t="str">
        <x:v>EEZ</x:v>
      </x:c>
      <x:c r="D57" s="30" t="n">
        <x:v>2019</x:v>
      </x:c>
      <x:c r="E57" s="24" t="str">
        <x:v>Arripis trutta</x:v>
      </x:c>
      <x:c r="F57" s="24" t="str">
        <x:v>Australian salmon</x:v>
      </x:c>
      <x:c r="G57" s="24" t="str">
        <x:v>Medium pelagics (30 - 89 cm)</x:v>
      </x:c>
      <x:c r="H57" s="24" t="str">
        <x:v>Perch-likes</x:v>
      </x:c>
      <x:c r="I57" s="31" t="n">
        <x:v>983.4746050117</x:v>
      </x:c>
      <x:c r="J57" s="31" t="n">
        <x:v>983.4746050117</x:v>
      </x:c>
      <x:c r="K57" s="31" t="n">
        <x:v>0</x:v>
      </x:c>
      <x:c r="L57" s="31" t="n">
        <x:v>0</x:v>
      </x:c>
      <x:c r="M57" s="31" t="n">
        <x:v>983.4746050117</x:v>
      </x:c>
      <x:c r="N57" s="24" t="str">
        <x:v>arripis trutta</x:v>
      </x:c>
      <x:c r="O57" s="32" t="n">
        <x:v>4.07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Arripis trutta</x:v>
      </x:c>
      <x:c r="T57" s="32" t="n">
        <x:f>IF(O57="","",(1/'Metadata'!$B$5)^(O57-1))</x:f>
        <x:v>1174.8975549395302</x:v>
      </x:c>
      <x:c r="U57" s="31" t="n">
        <x:f>IF(T57="","",I57*T57)</x:f>
        <x:v>1155481.9087733666</x:v>
      </x:c>
    </x:row>
    <x:row r="58" ht="18" customHeight="1">
      <x:c r="A58" s="24" t="str">
        <x:v>EEZ_554</x:v>
      </x:c>
      <x:c r="B58" s="24" t="str">
        <x:v>New Zealand</x:v>
      </x:c>
      <x:c r="C58" s="24" t="str">
        <x:v>EEZ</x:v>
      </x:c>
      <x:c r="D58" s="30" t="n">
        <x:v>2019</x:v>
      </x:c>
      <x:c r="E58" s="24" t="str">
        <x:v>Hydrolagus</x:v>
      </x:c>
      <x:c r="F58" s="24" t="str">
        <x:v>Ghostsharks</x:v>
      </x:c>
      <x:c r="G58" s="24" t="str">
        <x:v>Small to medium rays (&lt;90 cm)</x:v>
      </x:c>
      <x:c r="H58" s="24" t="str">
        <x:v>Sharks &amp; rays</x:v>
      </x:c>
      <x:c r="I58" s="31" t="n">
        <x:v>976.7347666956999</x:v>
      </x:c>
      <x:c r="J58" s="31" t="n">
        <x:v>976.7347666956999</x:v>
      </x:c>
      <x:c r="K58" s="31" t="n">
        <x:v>0</x:v>
      </x:c>
      <x:c r="L58" s="31" t="n">
        <x:v>822.7008519594</x:v>
      </x:c>
      <x:c r="M58" s="31" t="n">
        <x:v>154.0339147363</x:v>
      </x:c>
      <x:c r="N58" s="24" t="str">
        <x:v>hydrolagus</x:v>
      </x:c>
      <x:c r="O58" s="32" t="n">
        <x:v>3.51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Hydrolagus</x:v>
      </x:c>
      <x:c r="T58" s="32" t="n">
        <x:f>IF(O58="","",(1/'Metadata'!$B$5)^(O58-1))</x:f>
        <x:v>323.5936569296281</x:v>
      </x:c>
      <x:c r="U58" s="31" t="n">
        <x:f>IF(T58="","",I58*T58)</x:f>
        <x:v>316065.17500536866</x:v>
      </x:c>
    </x:row>
    <x:row r="59" ht="18" customHeight="1">
      <x:c r="A59" s="24" t="str">
        <x:v>EEZ_554</x:v>
      </x:c>
      <x:c r="B59" s="24" t="str">
        <x:v>New Zealand</x:v>
      </x:c>
      <x:c r="C59" s="24" t="str">
        <x:v>EEZ</x:v>
      </x:c>
      <x:c r="D59" s="30" t="n">
        <x:v>2019</x:v>
      </x:c>
      <x:c r="E59" s="24" t="str">
        <x:v>Hyperoglyphe antarctica</x:v>
      </x:c>
      <x:c r="F59" s="24" t="str">
        <x:v>Bluenose warehou</x:v>
      </x:c>
      <x:c r="G59" s="24" t="str">
        <x:v>Large benthopelagics (&gt;=90 cm)</x:v>
      </x:c>
      <x:c r="H59" s="24" t="str">
        <x:v>Perch-likes</x:v>
      </x:c>
      <x:c r="I59" s="31" t="n">
        <x:v>938.0740712691</x:v>
      </x:c>
      <x:c r="J59" s="31" t="n">
        <x:v>938.0740712691</x:v>
      </x:c>
      <x:c r="K59" s="31" t="n">
        <x:v>0</x:v>
      </x:c>
      <x:c r="L59" s="31" t="n">
        <x:v>894.3421475756</x:v>
      </x:c>
      <x:c r="M59" s="31" t="n">
        <x:v>43.7319236935</x:v>
      </x:c>
      <x:c r="N59" s="24" t="str">
        <x:v>hyperoglyphe antarctica</x:v>
      </x:c>
      <x:c r="O59" s="32" t="n">
        <x:v>3.95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Hyperoglyphe antarctica</x:v>
      </x:c>
      <x:c r="T59" s="32" t="n">
        <x:f>IF(O59="","",(1/'Metadata'!$B$5)^(O59-1))</x:f>
        <x:v>891.2509381337459</x:v>
      </x:c>
      <x:c r="U59" s="31" t="n">
        <x:f>IF(T59="","",I59*T59)</x:f>
        <x:v>836059.3960575279</x:v>
      </x:c>
    </x:row>
    <x:row r="60" ht="18" customHeight="1">
      <x:c r="A60" s="24" t="str">
        <x:v>EEZ_554</x:v>
      </x:c>
      <x:c r="B60" s="24" t="str">
        <x:v>New Zealand</x:v>
      </x:c>
      <x:c r="C60" s="24" t="str">
        <x:v>EEZ</x:v>
      </x:c>
      <x:c r="D60" s="30" t="n">
        <x:v>2019</x:v>
      </x:c>
      <x:c r="E60" s="24" t="str">
        <x:v>Mugil cephalus</x:v>
      </x:c>
      <x:c r="F60" s="24" t="str">
        <x:v>Flathead grey mullet</x:v>
      </x:c>
      <x:c r="G60" s="24" t="str">
        <x:v>Large benthopelagics (&gt;=90 cm)</x:v>
      </x:c>
      <x:c r="H60" s="24" t="str">
        <x:v>Perch-likes</x:v>
      </x:c>
      <x:c r="I60" s="31" t="n">
        <x:v>933.1991521627</x:v>
      </x:c>
      <x:c r="J60" s="31" t="n">
        <x:v>933.1991521627</x:v>
      </x:c>
      <x:c r="K60" s="31" t="n">
        <x:v>0</x:v>
      </x:c>
      <x:c r="L60" s="31" t="n">
        <x:v>848.1401073418999</x:v>
      </x:c>
      <x:c r="M60" s="31" t="n">
        <x:v>85.0590448208</x:v>
      </x:c>
      <x:c r="N60" s="24" t="str">
        <x:v>mugil cephalus</x:v>
      </x:c>
      <x:c r="O60" s="32" t="n">
        <x:v>2.14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Mugil cephalus</x:v>
      </x:c>
      <x:c r="T60" s="32" t="n">
        <x:f>IF(O60="","",(1/'Metadata'!$B$5)^(O60-1))</x:f>
        <x:v>13.803842646028853</x:v>
      </x:c>
      <x:c r="U60" s="31" t="n">
        <x:f>IF(T60="","",I60*T60)</x:f>
        <x:v>12881.734253861447</x:v>
      </x:c>
    </x:row>
    <x:row r="61" ht="18" customHeight="1">
      <x:c r="A61" s="24" t="str">
        <x:v>EEZ_554</x:v>
      </x:c>
      <x:c r="B61" s="24" t="str">
        <x:v>New Zealand</x:v>
      </x:c>
      <x:c r="C61" s="24" t="str">
        <x:v>EEZ</x:v>
      </x:c>
      <x:c r="D61" s="30" t="n">
        <x:v>2019</x:v>
      </x:c>
      <x:c r="E61" s="24" t="str">
        <x:v>Portunidae</x:v>
      </x:c>
      <x:c r="F61" s="24" t="str">
        <x:v>Swimming crabs</x:v>
      </x:c>
      <x:c r="G61" s="24" t="str">
        <x:v>Lobsters, crabs</x:v>
      </x:c>
      <x:c r="H61" s="24" t="str">
        <x:v>Crustaceans</x:v>
      </x:c>
      <x:c r="I61" s="31" t="n">
        <x:v>749.8831367404</x:v>
      </x:c>
      <x:c r="J61" s="31" t="n">
        <x:v>178.0173319262</x:v>
      </x:c>
      <x:c r="K61" s="31" t="n">
        <x:v>571.8658048142</x:v>
      </x:c>
      <x:c r="L61" s="31" t="n">
        <x:v>160.6416170568</x:v>
      </x:c>
      <x:c r="M61" s="31" t="n">
        <x:v>589.2415196836</x:v>
      </x:c>
      <x:c r="N61" s="24" t="str">
        <x:v>portunidae</x:v>
      </x:c>
      <x:c r="O61" s="32" t="n">
        <x:v>3.56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Portunidae</x:v>
      </x:c>
      <x:c r="T61" s="32" t="n">
        <x:f>IF(O61="","",(1/'Metadata'!$B$5)^(O61-1))</x:f>
        <x:v>363.0780547701014</x:v>
      </x:c>
      <x:c r="U61" s="31" t="n">
        <x:f>IF(T61="","",I61*T61)</x:f>
        <x:v>272266.1105926064</x:v>
      </x:c>
    </x:row>
    <x:row r="62" ht="18" customHeight="1">
      <x:c r="A62" s="24" t="str">
        <x:v>EEZ_554</x:v>
      </x:c>
      <x:c r="B62" s="24" t="str">
        <x:v>New Zealand</x:v>
      </x:c>
      <x:c r="C62" s="24" t="str">
        <x:v>EEZ</x:v>
      </x:c>
      <x:c r="D62" s="30" t="n">
        <x:v>2019</x:v>
      </x:c>
      <x:c r="E62" s="24" t="str">
        <x:v>Latridae</x:v>
      </x:c>
      <x:c r="F62" s="24" t="str">
        <x:v>Trumpeters</x:v>
      </x:c>
      <x:c r="G62" s="24" t="str">
        <x:v>Medium demersals (30 - 89 cm)</x:v>
      </x:c>
      <x:c r="H62" s="24" t="str">
        <x:v>Perch-likes</x:v>
      </x:c>
      <x:c r="I62" s="31" t="n">
        <x:v>735.4967119286</x:v>
      </x:c>
      <x:c r="J62" s="31" t="n">
        <x:v>735.49045216</x:v>
      </x:c>
      <x:c r="K62" s="31" t="n">
        <x:v>0.0062597686</x:v>
      </x:c>
      <x:c r="L62" s="31" t="n">
        <x:v>529.4751004706</x:v>
      </x:c>
      <x:c r="M62" s="31" t="n">
        <x:v>206.021611458</x:v>
      </x:c>
      <x:c r="N62" s="24" t="str">
        <x:v>latridae</x:v>
      </x:c>
      <x:c r="O62" s="32" t="n">
        <x:v>3.3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Latridae</x:v>
      </x:c>
      <x:c r="T62" s="32" t="n">
        <x:f>IF(O62="","",(1/'Metadata'!$B$5)^(O62-1))</x:f>
        <x:v>199.52623149688787</x:v>
      </x:c>
      <x:c r="U62" s="31" t="n">
        <x:f>IF(T62="","",I62*T62)</x:f>
        <x:v>146750.8872094657</x:v>
      </x:c>
    </x:row>
    <x:row r="63" ht="18" customHeight="1">
      <x:c r="A63" s="24" t="str">
        <x:v>EEZ_554</x:v>
      </x:c>
      <x:c r="B63" s="24" t="str">
        <x:v>New Zealand</x:v>
      </x:c>
      <x:c r="C63" s="24" t="str">
        <x:v>EEZ</x:v>
      </x:c>
      <x:c r="D63" s="30" t="n">
        <x:v>2019</x:v>
      </x:c>
      <x:c r="E63" s="24" t="str">
        <x:v>Centrolophidae</x:v>
      </x:c>
      <x:c r="F63" s="24" t="str">
        <x:v>Medusafishes</x:v>
      </x:c>
      <x:c r="G63" s="24" t="str">
        <x:v>Medium benthopelagics (30 - 89 cm)</x:v>
      </x:c>
      <x:c r="H63" s="24" t="str">
        <x:v>Perch-likes</x:v>
      </x:c>
      <x:c r="I63" s="31" t="n">
        <x:v>731.8140054277</x:v>
      </x:c>
      <x:c r="J63" s="31" t="n">
        <x:v>0</x:v>
      </x:c>
      <x:c r="K63" s="31" t="n">
        <x:v>731.8140054277</x:v>
      </x:c>
      <x:c r="L63" s="31" t="n">
        <x:v>0</x:v>
      </x:c>
      <x:c r="M63" s="31" t="n">
        <x:v>731.8140054277</x:v>
      </x:c>
      <x:c r="N63" s="24" t="str">
        <x:v>centrolophidae</x:v>
      </x:c>
      <x:c r="O63" s="32" t="n">
        <x:v>3.65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Centrolophidae</x:v>
      </x:c>
      <x:c r="T63" s="32" t="n">
        <x:f>IF(O63="","",(1/'Metadata'!$B$5)^(O63-1))</x:f>
        <x:v>446.683592150963</x:v>
      </x:c>
      <x:c r="U63" s="31" t="n">
        <x:f>IF(T63="","",I63*T63)</x:f>
        <x:v>326889.3087308294</x:v>
      </x:c>
    </x:row>
    <x:row r="64" ht="18" customHeight="1">
      <x:c r="A64" s="24" t="str">
        <x:v>EEZ_554</x:v>
      </x:c>
      <x:c r="B64" s="24" t="str">
        <x:v>New Zealand</x:v>
      </x:c>
      <x:c r="C64" s="24" t="str">
        <x:v>EEZ</x:v>
      </x:c>
      <x:c r="D64" s="30" t="n">
        <x:v>2019</x:v>
      </x:c>
      <x:c r="E64" s="24" t="str">
        <x:v>Epigonus telescopus</x:v>
      </x:c>
      <x:c r="F64" s="24" t="str">
        <x:v>Black cardinal fish</x:v>
      </x:c>
      <x:c r="G64" s="24" t="str">
        <x:v>Medium bathydemersals (30 - 89 cm)</x:v>
      </x:c>
      <x:c r="H64" s="24" t="str">
        <x:v>Perch-likes</x:v>
      </x:c>
      <x:c r="I64" s="31" t="n">
        <x:v>588.6222448914</x:v>
      </x:c>
      <x:c r="J64" s="31" t="n">
        <x:v>588.6222448914</x:v>
      </x:c>
      <x:c r="K64" s="31" t="n">
        <x:v>0</x:v>
      </x:c>
      <x:c r="L64" s="31" t="n">
        <x:v>540.0652900786</x:v>
      </x:c>
      <x:c r="M64" s="31" t="n">
        <x:v>48.5569548128</x:v>
      </x:c>
      <x:c r="N64" s="24" t="str">
        <x:v>epigonus telescopus</x:v>
      </x:c>
      <x:c r="O64" s="32" t="n">
        <x:v>3.59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Epigonus telescopus</x:v>
      </x:c>
      <x:c r="T64" s="32" t="n">
        <x:f>IF(O64="","",(1/'Metadata'!$B$5)^(O64-1))</x:f>
        <x:v>389.04514499428046</x:v>
      </x:c>
      <x:c r="U64" s="31" t="n">
        <x:f>IF(T64="","",I64*T64)</x:f>
        <x:v>229000.62661063357</x:v>
      </x:c>
    </x:row>
    <x:row r="65" ht="18" customHeight="1">
      <x:c r="A65" s="24" t="str">
        <x:v>EEZ_554</x:v>
      </x:c>
      <x:c r="B65" s="24" t="str">
        <x:v>New Zealand</x:v>
      </x:c>
      <x:c r="C65" s="24" t="str">
        <x:v>EEZ</x:v>
      </x:c>
      <x:c r="D65" s="30" t="n">
        <x:v>2019</x:v>
      </x:c>
      <x:c r="E65" s="24" t="str">
        <x:v>Pecten novaezelandiae</x:v>
      </x:c>
      <x:c r="F65" s="24" t="str">
        <x:v>New Zealand scallop</x:v>
      </x:c>
      <x:c r="G65" s="24" t="str">
        <x:v>Other demersal invertebrates</x:v>
      </x:c>
      <x:c r="H65" s="24" t="str">
        <x:v>Molluscs</x:v>
      </x:c>
      <x:c r="I65" s="31" t="n">
        <x:v>573.3159627512</x:v>
      </x:c>
      <x:c r="J65" s="31" t="n">
        <x:v>573.3159627512</x:v>
      </x:c>
      <x:c r="K65" s="31" t="n">
        <x:v>0</x:v>
      </x:c>
      <x:c r="L65" s="31" t="n">
        <x:v>517.3563851485</x:v>
      </x:c>
      <x:c r="M65" s="31" t="n">
        <x:v>55.9595776027</x:v>
      </x:c>
      <x:c r="N65" s="24" t="str">
        <x:v>pecten novaezelandiae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Pecten novaezelandiae</x:v>
      </x:c>
      <x:c r="T65" s="32" t="n">
        <x:f>IF(O65="","",(1/'Metadata'!$B$5)^(O65-1))</x:f>
        <x:v>10</x:v>
      </x:c>
      <x:c r="U65" s="31" t="n">
        <x:f>IF(T65="","",I65*T65)</x:f>
        <x:v>5733.159627512</x:v>
      </x:c>
    </x:row>
    <x:row r="66" ht="18" customHeight="1">
      <x:c r="A66" s="24" t="str">
        <x:v>EEZ_554</x:v>
      </x:c>
      <x:c r="B66" s="24" t="str">
        <x:v>New Zealand</x:v>
      </x:c>
      <x:c r="C66" s="24" t="str">
        <x:v>EEZ</x:v>
      </x:c>
      <x:c r="D66" s="30" t="n">
        <x:v>2019</x:v>
      </x:c>
      <x:c r="E66" s="24" t="str">
        <x:v>Cyttus traversi</x:v>
      </x:c>
      <x:c r="F66" s="24" t="str">
        <x:v>King dory</x:v>
      </x:c>
      <x:c r="G66" s="24" t="str">
        <x:v>Medium bathydemersals (30 - 89 cm)</x:v>
      </x:c>
      <x:c r="H66" s="24" t="str">
        <x:v>Other fishes &amp; inverts</x:v>
      </x:c>
      <x:c r="I66" s="31" t="n">
        <x:v>572.0008425464</x:v>
      </x:c>
      <x:c r="J66" s="31" t="n">
        <x:v>572.0008425464</x:v>
      </x:c>
      <x:c r="K66" s="31" t="n">
        <x:v>0</x:v>
      </x:c>
      <x:c r="L66" s="31" t="n">
        <x:v>505.81939922839996</x:v>
      </x:c>
      <x:c r="M66" s="31" t="n">
        <x:v>66.181443318</x:v>
      </x:c>
      <x:c r="N66" s="24" t="str">
        <x:v>cyttus traversi</x:v>
      </x:c>
      <x:c r="O66" s="32" t="n">
        <x:v>4.25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Cyttus traversi</x:v>
      </x:c>
      <x:c r="T66" s="32" t="n">
        <x:f>IF(O66="","",(1/'Metadata'!$B$5)^(O66-1))</x:f>
        <x:v>1778.2794100389228</x:v>
      </x:c>
      <x:c r="U66" s="31" t="n">
        <x:f>IF(T66="","",I66*T66)</x:f>
        <x:v>1017177.320825179</x:v>
      </x:c>
    </x:row>
    <x:row r="67" ht="18" customHeight="1">
      <x:c r="A67" s="24" t="str">
        <x:v>EEZ_554</x:v>
      </x:c>
      <x:c r="B67" s="24" t="str">
        <x:v>New Zealand</x:v>
      </x:c>
      <x:c r="C67" s="24" t="str">
        <x:v>EEZ</x:v>
      </x:c>
      <x:c r="D67" s="30" t="n">
        <x:v>2019</x:v>
      </x:c>
      <x:c r="E67" s="24" t="str">
        <x:v>Marine pelagic fishes not identified</x:v>
      </x:c>
      <x:c r="F67" s="24" t="str">
        <x:v>Pelagic fishes</x:v>
      </x:c>
      <x:c r="G67" s="24" t="str">
        <x:v>Medium pelagics (30 - 89 cm)</x:v>
      </x:c>
      <x:c r="H67" s="24" t="str">
        <x:v>Other fishes &amp; inverts</x:v>
      </x:c>
      <x:c r="I67" s="31" t="n">
        <x:v>521.2051540724</x:v>
      </x:c>
      <x:c r="J67" s="31" t="n">
        <x:v>1.6560133808</x:v>
      </x:c>
      <x:c r="K67" s="31" t="n">
        <x:v>519.5491406916</x:v>
      </x:c>
      <x:c r="L67" s="31" t="n">
        <x:v>1.5489979039</x:v>
      </x:c>
      <x:c r="M67" s="31" t="n">
        <x:v>519.6561561685</x:v>
      </x:c>
      <x:c r="N67" s="24" t="str">
        <x:v>marine pelagic fishes not identified</x:v>
      </x:c>
      <x:c r="O67" s="32" t="n">
        <x:v>3.35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Marine pelagic fishes not identified</x:v>
      </x:c>
      <x:c r="T67" s="32" t="n">
        <x:f>IF(O67="","",(1/'Metadata'!$B$5)^(O67-1))</x:f>
        <x:v>223.872113856834</x:v>
      </x:c>
      <x:c r="U67" s="31" t="n">
        <x:f>IF(T67="","",I67*T67)</x:f>
        <x:v>116683.29959526504</x:v>
      </x:c>
    </x:row>
    <x:row r="68" ht="18" customHeight="1">
      <x:c r="A68" s="24" t="str">
        <x:v>EEZ_554</x:v>
      </x:c>
      <x:c r="B68" s="24" t="str">
        <x:v>New Zealand</x:v>
      </x:c>
      <x:c r="C68" s="24" t="str">
        <x:v>EEZ</x:v>
      </x:c>
      <x:c r="D68" s="30" t="n">
        <x:v>2019</x:v>
      </x:c>
      <x:c r="E68" s="24" t="str">
        <x:v>Moridae</x:v>
      </x:c>
      <x:c r="F68" s="24" t="str">
        <x:v>Codlings, moras</x:v>
      </x:c>
      <x:c r="G68" s="24" t="str">
        <x:v>Medium benthopelagics (30 - 89 cm)</x:v>
      </x:c>
      <x:c r="H68" s="24" t="str">
        <x:v>Cod-likes</x:v>
      </x:c>
      <x:c r="I68" s="31" t="n">
        <x:v>501.3011541538</x:v>
      </x:c>
      <x:c r="J68" s="31" t="n">
        <x:v>23.707944844</x:v>
      </x:c>
      <x:c r="K68" s="31" t="n">
        <x:v>477.5932093098</x:v>
      </x:c>
      <x:c r="L68" s="31" t="n">
        <x:v>21.3938865189</x:v>
      </x:c>
      <x:c r="M68" s="31" t="n">
        <x:v>479.9072676349</x:v>
      </x:c>
      <x:c r="N68" s="24" t="str">
        <x:v>moridae</x:v>
      </x:c>
      <x:c r="O68" s="32" t="n">
        <x:v>3.87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Moridae</x:v>
      </x:c>
      <x:c r="T68" s="32" t="n">
        <x:f>IF(O68="","",(1/'Metadata'!$B$5)^(O68-1))</x:f>
        <x:v>741.3102413009177</x:v>
      </x:c>
      <x:c r="U68" s="31" t="n">
        <x:f>IF(T68="","",I68*T68)</x:f>
        <x:v>371619.679550182</x:v>
      </x:c>
    </x:row>
    <x:row r="69" ht="18" customHeight="1">
      <x:c r="A69" s="24" t="str">
        <x:v>EEZ_554</x:v>
      </x:c>
      <x:c r="B69" s="24" t="str">
        <x:v>New Zealand</x:v>
      </x:c>
      <x:c r="C69" s="24" t="str">
        <x:v>EEZ</x:v>
      </x:c>
      <x:c r="D69" s="30" t="n">
        <x:v>2019</x:v>
      </x:c>
      <x:c r="E69" s="24" t="str">
        <x:v>Cetorhinus maximus</x:v>
      </x:c>
      <x:c r="F69" s="24" t="str">
        <x:v>Basking shark</x:v>
      </x:c>
      <x:c r="G69" s="24" t="str">
        <x:v>Large sharks (&gt;=90 cm)</x:v>
      </x:c>
      <x:c r="H69" s="24" t="str">
        <x:v>Sharks &amp; rays</x:v>
      </x:c>
      <x:c r="I69" s="31" t="n">
        <x:v>466.53147268140003</x:v>
      </x:c>
      <x:c r="J69" s="31" t="n">
        <x:v>0</x:v>
      </x:c>
      <x:c r="K69" s="31" t="n">
        <x:v>466.53147268140003</x:v>
      </x:c>
      <x:c r="L69" s="31" t="n">
        <x:v>0</x:v>
      </x:c>
      <x:c r="M69" s="31" t="n">
        <x:v>466.53147268140003</x:v>
      </x:c>
      <x:c r="N69" s="24" t="str">
        <x:v>cetorhinus maximus</x:v>
      </x:c>
      <x:c r="O69" s="32" t="n">
        <x:v>3.2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Cetorhinus maximus</x:v>
      </x:c>
      <x:c r="T69" s="32" t="n">
        <x:f>IF(O69="","",(1/'Metadata'!$B$5)^(O69-1))</x:f>
        <x:v>158.48931924611142</x:v>
      </x:c>
      <x:c r="U69" s="31" t="n">
        <x:f>IF(T69="","",I69*T69)</x:f>
        <x:v>73940.25551216092</x:v>
      </x:c>
    </x:row>
    <x:row r="70" ht="18" customHeight="1">
      <x:c r="A70" s="24" t="str">
        <x:v>EEZ_554</x:v>
      </x:c>
      <x:c r="B70" s="24" t="str">
        <x:v>New Zealand</x:v>
      </x:c>
      <x:c r="C70" s="24" t="str">
        <x:v>EEZ</x:v>
      </x:c>
      <x:c r="D70" s="30" t="n">
        <x:v>2019</x:v>
      </x:c>
      <x:c r="E70" s="24" t="str">
        <x:v>Sardinops sagax</x:v>
      </x:c>
      <x:c r="F70" s="24" t="str">
        <x:v>South American pilchard</x:v>
      </x:c>
      <x:c r="G70" s="24" t="str">
        <x:v>Medium pelagics (30 - 89 cm)</x:v>
      </x:c>
      <x:c r="H70" s="24" t="str">
        <x:v>Herring-likes</x:v>
      </x:c>
      <x:c r="I70" s="31" t="n">
        <x:v>456.8206995426</x:v>
      </x:c>
      <x:c r="J70" s="31" t="n">
        <x:v>456.8206995426</x:v>
      </x:c>
      <x:c r="K70" s="31" t="n">
        <x:v>0</x:v>
      </x:c>
      <x:c r="L70" s="31" t="n">
        <x:v>367.90670210030004</x:v>
      </x:c>
      <x:c r="M70" s="31" t="n">
        <x:v>88.9139974423</x:v>
      </x:c>
      <x:c r="N70" s="24" t="str">
        <x:v>sardinops sagax</x:v>
      </x:c>
      <x:c r="O70" s="32" t="n">
        <x:v>2.84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Sardinops sagax</x:v>
      </x:c>
      <x:c r="T70" s="32" t="n">
        <x:f>IF(O70="","",(1/'Metadata'!$B$5)^(O70-1))</x:f>
        <x:v>69.18309709189363</x:v>
      </x:c>
      <x:c r="U70" s="31" t="n">
        <x:f>IF(T70="","",I70*T70)</x:f>
        <x:v>31604.27081004246</x:v>
      </x:c>
    </x:row>
    <x:row r="71" ht="18" customHeight="1">
      <x:c r="A71" s="24" t="str">
        <x:v>EEZ_554</x:v>
      </x:c>
      <x:c r="B71" s="24" t="str">
        <x:v>New Zealand</x:v>
      </x:c>
      <x:c r="C71" s="24" t="str">
        <x:v>EEZ</x:v>
      </x:c>
      <x:c r="D71" s="30" t="n">
        <x:v>2019</x:v>
      </x:c>
      <x:c r="E71" s="24" t="str">
        <x:v>Xiphias gladius</x:v>
      </x:c>
      <x:c r="F71" s="24" t="str">
        <x:v>Swordfish</x:v>
      </x:c>
      <x:c r="G71" s="24" t="str">
        <x:v>Large pelagics (&gt;=90 cm)</x:v>
      </x:c>
      <x:c r="H71" s="24" t="str">
        <x:v>Tuna &amp; billfishes</x:v>
      </x:c>
      <x:c r="I71" s="31" t="n">
        <x:v>436.0527148315</x:v>
      </x:c>
      <x:c r="J71" s="31" t="n">
        <x:v>400.5771017817</x:v>
      </x:c>
      <x:c r="K71" s="31" t="n">
        <x:v>35.4756130498</x:v>
      </x:c>
      <x:c r="L71" s="31" t="n">
        <x:v>392.87249119940003</x:v>
      </x:c>
      <x:c r="M71" s="31" t="n">
        <x:v>43.180223632099995</x:v>
      </x:c>
      <x:c r="N71" s="24" t="str">
        <x:v>xiphias gladius</x:v>
      </x:c>
      <x:c r="O71" s="32" t="n">
        <x:v>4.53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Xiphias gladius</x:v>
      </x:c>
      <x:c r="T71" s="32" t="n">
        <x:f>IF(O71="","",(1/'Metadata'!$B$5)^(O71-1))</x:f>
        <x:v>3388.4415613920273</x:v>
      </x:c>
      <x:c r="U71" s="31" t="n">
        <x:f>IF(T71="","",I71*T71)</x:f>
        <x:v>1477539.1418928802</x:v>
      </x:c>
    </x:row>
    <x:row r="72" ht="18" customHeight="1">
      <x:c r="A72" s="24" t="str">
        <x:v>EEZ_554</x:v>
      </x:c>
      <x:c r="B72" s="24" t="str">
        <x:v>New Zealand</x:v>
      </x:c>
      <x:c r="C72" s="24" t="str">
        <x:v>EEZ</x:v>
      </x:c>
      <x:c r="D72" s="30" t="n">
        <x:v>2019</x:v>
      </x:c>
      <x:c r="E72" s="24" t="str">
        <x:v>Plagiogeneion rubiginosum</x:v>
      </x:c>
      <x:c r="F72" s="24" t="str">
        <x:v>Rubyfish</x:v>
      </x:c>
      <x:c r="G72" s="24" t="str">
        <x:v>Medium bathydemersals (30 - 89 cm)</x:v>
      </x:c>
      <x:c r="H72" s="24" t="str">
        <x:v>Perch-likes</x:v>
      </x:c>
      <x:c r="I72" s="31" t="n">
        <x:v>415.87274536359996</x:v>
      </x:c>
      <x:c r="J72" s="31" t="n">
        <x:v>415.87274536359996</x:v>
      </x:c>
      <x:c r="K72" s="31" t="n">
        <x:v>0</x:v>
      </x:c>
      <x:c r="L72" s="31" t="n">
        <x:v>402.71799994599996</x:v>
      </x:c>
      <x:c r="M72" s="31" t="n">
        <x:v>13.1547454176</x:v>
      </x:c>
      <x:c r="N72" s="24" t="str">
        <x:v>plagiogeneion rubiginosum</x:v>
      </x:c>
      <x:c r="O72" s="32" t="n">
        <x:v>3.4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Plagiogeneion rubiginosum</x:v>
      </x:c>
      <x:c r="T72" s="32" t="n">
        <x:f>IF(O72="","",(1/'Metadata'!$B$5)^(O72-1))</x:f>
        <x:v>251.18864315095797</x:v>
      </x:c>
      <x:c r="U72" s="31" t="n">
        <x:f>IF(T72="","",I72*T72)</x:f>
        <x:v>104462.51063134652</x:v>
      </x:c>
    </x:row>
    <x:row r="73" ht="18" customHeight="1">
      <x:c r="A73" s="24" t="str">
        <x:v>EEZ_554</x:v>
      </x:c>
      <x:c r="B73" s="24" t="str">
        <x:v>New Zealand</x:v>
      </x:c>
      <x:c r="C73" s="24" t="str">
        <x:v>EEZ</x:v>
      </x:c>
      <x:c r="D73" s="30" t="n">
        <x:v>2019</x:v>
      </x:c>
      <x:c r="E73" s="24" t="str">
        <x:v>Zeus faber</x:v>
      </x:c>
      <x:c r="F73" s="24" t="str">
        <x:v>John dory</x:v>
      </x:c>
      <x:c r="G73" s="24" t="str">
        <x:v>Medium benthopelagics (30 - 89 cm)</x:v>
      </x:c>
      <x:c r="H73" s="24" t="str">
        <x:v>Other fishes &amp; inverts</x:v>
      </x:c>
      <x:c r="I73" s="31" t="n">
        <x:v>400.57901056019995</x:v>
      </x:c>
      <x:c r="J73" s="31" t="n">
        <x:v>400.57901056019995</x:v>
      </x:c>
      <x:c r="K73" s="31" t="n">
        <x:v>0</x:v>
      </x:c>
      <x:c r="L73" s="31" t="n">
        <x:v>382.06711899439995</x:v>
      </x:c>
      <x:c r="M73" s="31" t="n">
        <x:v>18.5118915658</x:v>
      </x:c>
      <x:c r="N73" s="24" t="str">
        <x:v>zeus faber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Zeus faber</x:v>
      </x:c>
      <x:c r="T73" s="32" t="n">
        <x:f>IF(O73="","",(1/'Metadata'!$B$5)^(O73-1))</x:f>
        <x:v>3162.2776601683795</x:v>
      </x:c>
      <x:c r="U73" s="31" t="n">
        <x:f>IF(T73="","",I73*T73)</x:f>
        <x:v>1266742.0562268738</x:v>
      </x:c>
    </x:row>
    <x:row r="74" ht="18" customHeight="1">
      <x:c r="A74" s="24" t="str">
        <x:v>EEZ_554</x:v>
      </x:c>
      <x:c r="B74" s="24" t="str">
        <x:v>New Zealand</x:v>
      </x:c>
      <x:c r="C74" s="24" t="str">
        <x:v>EEZ</x:v>
      </x:c>
      <x:c r="D74" s="30" t="n">
        <x:v>2019</x:v>
      </x:c>
      <x:c r="E74" s="24" t="str">
        <x:v>Teuthida</x:v>
      </x:c>
      <x:c r="F74" s="24" t="str">
        <x:v>Squids</x:v>
      </x:c>
      <x:c r="G74" s="24" t="str">
        <x:v>Cephalopods</x:v>
      </x:c>
      <x:c r="H74" s="24" t="str">
        <x:v>Other fishes &amp; inverts</x:v>
      </x:c>
      <x:c r="I74" s="31" t="n">
        <x:v>392.7157301385</x:v>
      </x:c>
      <x:c r="J74" s="31" t="n">
        <x:v>69.0136711634</x:v>
      </x:c>
      <x:c r="K74" s="31" t="n">
        <x:v>323.7020589751</x:v>
      </x:c>
      <x:c r="L74" s="31" t="n">
        <x:v>62.2774626176</x:v>
      </x:c>
      <x:c r="M74" s="31" t="n">
        <x:v>330.4382675209</x:v>
      </x:c>
      <x:c r="N74" s="24" t="str">
        <x:v>teuthida</x:v>
      </x:c>
      <x:c r="O74" s="32" t="n">
        <x:v>4.13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Teuthida</x:v>
      </x:c>
      <x:c r="T74" s="32" t="n">
        <x:f>IF(O74="","",(1/'Metadata'!$B$5)^(O74-1))</x:f>
        <x:v>1348.9628825916532</x:v>
      </x:c>
      <x:c r="U74" s="31" t="n">
        <x:f>IF(T74="","",I74*T74)</x:f>
        <x:v>529758.9433667167</x:v>
      </x:c>
    </x:row>
    <x:row r="75" ht="18" customHeight="1">
      <x:c r="A75" s="24" t="str">
        <x:v>EEZ_554</x:v>
      </x:c>
      <x:c r="B75" s="24" t="str">
        <x:v>New Zealand</x:v>
      </x:c>
      <x:c r="C75" s="24" t="str">
        <x:v>EEZ</x:v>
      </x:c>
      <x:c r="D75" s="30" t="n">
        <x:v>2019</x:v>
      </x:c>
      <x:c r="E75" s="24" t="str">
        <x:v>Marine groundfishes not identified</x:v>
      </x:c>
      <x:c r="F75" s="24" t="str">
        <x:v>Groundfishes</x:v>
      </x:c>
      <x:c r="G75" s="24" t="str">
        <x:v>Medium demersals (30 - 89 cm)</x:v>
      </x:c>
      <x:c r="H75" s="24" t="str">
        <x:v>Other fishes &amp; inverts</x:v>
      </x:c>
      <x:c r="I75" s="31" t="n">
        <x:v>384.45172545959997</x:v>
      </x:c>
      <x:c r="J75" s="31" t="n">
        <x:v>14.9177477085</x:v>
      </x:c>
      <x:c r="K75" s="31" t="n">
        <x:v>369.5339777511</x:v>
      </x:c>
      <x:c r="L75" s="31" t="n">
        <x:v>13.461673027700002</x:v>
      </x:c>
      <x:c r="M75" s="31" t="n">
        <x:v>370.9900524319</x:v>
      </x:c>
      <x:c r="N75" s="24" t="str">
        <x:v>marine groundfishes not identified</x:v>
      </x:c>
      <x:c r="O75" s="32" t="n">
        <x:v>3.22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Marine groundfishes not identified</x:v>
      </x:c>
      <x:c r="T75" s="32" t="n">
        <x:f>IF(O75="","",(1/'Metadata'!$B$5)^(O75-1))</x:f>
        <x:v>165.95869074375614</x:v>
      </x:c>
      <x:c r="U75" s="31" t="n">
        <x:f>IF(T75="","",I75*T75)</x:f>
        <x:v>63803.10501145319</x:v>
      </x:c>
    </x:row>
    <x:row r="76" ht="18" customHeight="1">
      <x:c r="A76" s="24" t="str">
        <x:v>EEZ_554</x:v>
      </x:c>
      <x:c r="B76" s="24" t="str">
        <x:v>New Zealand</x:v>
      </x:c>
      <x:c r="C76" s="24" t="str">
        <x:v>EEZ</x:v>
      </x:c>
      <x:c r="D76" s="30" t="n">
        <x:v>2019</x:v>
      </x:c>
      <x:c r="E76" s="24" t="str">
        <x:v>Meuschenia scabra</x:v>
      </x:c>
      <x:c r="F76" s="24" t="str">
        <x:v>Velvet leatherjacket</x:v>
      </x:c>
      <x:c r="G76" s="24" t="str">
        <x:v>Small demersals (&lt;30 cm)</x:v>
      </x:c>
      <x:c r="H76" s="24" t="str">
        <x:v>Other fishes &amp; inverts</x:v>
      </x:c>
      <x:c r="I76" s="31" t="n">
        <x:v>369.2167224874</x:v>
      </x:c>
      <x:c r="J76" s="31" t="n">
        <x:v>369.2167224874</x:v>
      </x:c>
      <x:c r="K76" s="31" t="n">
        <x:v>0</x:v>
      </x:c>
      <x:c r="L76" s="31" t="n">
        <x:v>340.3109098781</x:v>
      </x:c>
      <x:c r="M76" s="31" t="n">
        <x:v>28.9058126093</x:v>
      </x:c>
      <x:c r="N76" s="24" t="str">
        <x:v>meuschenia scabra</x:v>
      </x:c>
      <x:c r="O76" s="32" t="n">
        <x:v>3.11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Meuschenia scabra</x:v>
      </x:c>
      <x:c r="T76" s="32" t="n">
        <x:f>IF(O76="","",(1/'Metadata'!$B$5)^(O76-1))</x:f>
        <x:v>128.82495516931337</x:v>
      </x:c>
      <x:c r="U76" s="31" t="n">
        <x:f>IF(T76="","",I76*T76)</x:f>
        <x:v>47564.32772220012</x:v>
      </x:c>
    </x:row>
    <x:row r="77" ht="18" customHeight="1">
      <x:c r="A77" s="24" t="str">
        <x:v>EEZ_554</x:v>
      </x:c>
      <x:c r="B77" s="24" t="str">
        <x:v>New Zealand</x:v>
      </x:c>
      <x:c r="C77" s="24" t="str">
        <x:v>EEZ</x:v>
      </x:c>
      <x:c r="D77" s="30" t="n">
        <x:v>2019</x:v>
      </x:c>
      <x:c r="E77" s="24" t="str">
        <x:v>Bramidae</x:v>
      </x:c>
      <x:c r="F77" s="24" t="str">
        <x:v>Pomfrets</x:v>
      </x:c>
      <x:c r="G77" s="24" t="str">
        <x:v>Medium pelagics (30 - 89 cm)</x:v>
      </x:c>
      <x:c r="H77" s="24" t="str">
        <x:v>Perch-likes</x:v>
      </x:c>
      <x:c r="I77" s="31" t="n">
        <x:v>349.9988962545</x:v>
      </x:c>
      <x:c r="J77" s="31" t="n">
        <x:v>1.7556567738</x:v>
      </x:c>
      <x:c r="K77" s="31" t="n">
        <x:v>348.2432394807</x:v>
      </x:c>
      <x:c r="L77" s="31" t="n">
        <x:v>1.5842926021</x:v>
      </x:c>
      <x:c r="M77" s="31" t="n">
        <x:v>348.4146036524</x:v>
      </x:c>
      <x:c r="N77" s="24" t="str">
        <x:v>bramidae</x:v>
      </x:c>
      <x:c r="O77" s="32" t="n">
        <x:v>4.14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Bramidae</x:v>
      </x:c>
      <x:c r="T77" s="32" t="n">
        <x:f>IF(O77="","",(1/'Metadata'!$B$5)^(O77-1))</x:f>
        <x:v>1380.3842646028838</x:v>
      </x:c>
      <x:c r="U77" s="31" t="n">
        <x:f>IF(T77="","",I77*T77)</x:f>
        <x:v>483132.969018089</x:v>
      </x:c>
    </x:row>
    <x:row r="78" ht="18" customHeight="1">
      <x:c r="A78" s="24" t="str">
        <x:v>EEZ_554</x:v>
      </x:c>
      <x:c r="B78" s="24" t="str">
        <x:v>New Zealand</x:v>
      </x:c>
      <x:c r="C78" s="24" t="str">
        <x:v>EEZ</x:v>
      </x:c>
      <x:c r="D78" s="30" t="n">
        <x:v>2019</x:v>
      </x:c>
      <x:c r="E78" s="24" t="str">
        <x:v>Chimaeriformes</x:v>
      </x:c>
      <x:c r="F78" s="24" t="str">
        <x:v>Chimaeras</x:v>
      </x:c>
      <x:c r="G78" s="24" t="str">
        <x:v>Large rays (&gt;=90 cm)</x:v>
      </x:c>
      <x:c r="H78" s="24" t="str">
        <x:v>Sharks &amp; rays</x:v>
      </x:c>
      <x:c r="I78" s="31" t="n">
        <x:v>347.1229951715</x:v>
      </x:c>
      <x:c r="J78" s="31" t="n">
        <x:v>1.4507231455</x:v>
      </x:c>
      <x:c r="K78" s="31" t="n">
        <x:v>345.672272026</x:v>
      </x:c>
      <x:c r="L78" s="31" t="n">
        <x:v>1.3091225972</x:v>
      </x:c>
      <x:c r="M78" s="31" t="n">
        <x:v>345.8138725743</x:v>
      </x:c>
      <x:c r="N78" s="24" t="str">
        <x:v>chimaeriformes</x:v>
      </x:c>
      <x:c r="O78" s="32" t="n">
        <x:v>3.37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Chimaeriformes</x:v>
      </x:c>
      <x:c r="T78" s="32" t="n">
        <x:f>IF(O78="","",(1/'Metadata'!$B$5)^(O78-1))</x:f>
        <x:v>234.42288153199226</x:v>
      </x:c>
      <x:c r="U78" s="31" t="n">
        <x:f>IF(T78="","",I78*T78)</x:f>
        <x:v>81373.57277411887</x:v>
      </x:c>
    </x:row>
    <x:row r="79" ht="18" customHeight="1">
      <x:c r="A79" s="24" t="str">
        <x:v>EEZ_554</x:v>
      </x:c>
      <x:c r="B79" s="24" t="str">
        <x:v>New Zealand</x:v>
      </x:c>
      <x:c r="C79" s="24" t="str">
        <x:v>EEZ</x:v>
      </x:c>
      <x:c r="D79" s="30" t="n">
        <x:v>2019</x:v>
      </x:c>
      <x:c r="E79" s="24" t="str">
        <x:v>Scombridae</x:v>
      </x:c>
      <x:c r="F79" s="24" t="str">
        <x:v>Mackerels, tunas, bonitos</x:v>
      </x:c>
      <x:c r="G79" s="24" t="str">
        <x:v>Medium pelagics (30 - 89 cm)</x:v>
      </x:c>
      <x:c r="H79" s="24" t="str">
        <x:v>Perch-likes</x:v>
      </x:c>
      <x:c r="I79" s="31" t="n">
        <x:v>302.5841471242</x:v>
      </x:c>
      <x:c r="J79" s="31" t="n">
        <x:v>8.547269695</x:v>
      </x:c>
      <x:c r="K79" s="31" t="n">
        <x:v>294.0368774292</x:v>
      </x:c>
      <x:c r="L79" s="31" t="n">
        <x:v>7.7129974446</x:v>
      </x:c>
      <x:c r="M79" s="31" t="n">
        <x:v>294.8711496796</x:v>
      </x:c>
      <x:c r="N79" s="24" t="str">
        <x:v>scombridae</x:v>
      </x:c>
      <x:c r="O79" s="32" t="n">
        <x:v>4.26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Scombridae</x:v>
      </x:c>
      <x:c r="T79" s="32" t="n">
        <x:f>IF(O79="","",(1/'Metadata'!$B$5)^(O79-1))</x:f>
        <x:v>1819.7008586099826</x:v>
      </x:c>
      <x:c r="U79" s="31" t="n">
        <x:f>IF(T79="","",I79*T79)</x:f>
        <x:v>550612.632323676</x:v>
      </x:c>
    </x:row>
    <x:row r="80" ht="18" customHeight="1">
      <x:c r="A80" s="24" t="str">
        <x:v>EEZ_554</x:v>
      </x:c>
      <x:c r="B80" s="24" t="str">
        <x:v>New Zealand</x:v>
      </x:c>
      <x:c r="C80" s="24" t="str">
        <x:v>EEZ</x:v>
      </x:c>
      <x:c r="D80" s="30" t="n">
        <x:v>2019</x:v>
      </x:c>
      <x:c r="E80" s="24" t="str">
        <x:v>Eptatretus cirrhatus</x:v>
      </x:c>
      <x:c r="F80" s="24" t="str">
        <x:v>Broadgilled hagfish</x:v>
      </x:c>
      <x:c r="G80" s="24" t="str">
        <x:v>Medium bathydemersals (30 - 89 cm)</x:v>
      </x:c>
      <x:c r="H80" s="24" t="str">
        <x:v>Other fishes &amp; inverts</x:v>
      </x:c>
      <x:c r="I80" s="31" t="n">
        <x:v>288.60140464989996</x:v>
      </x:c>
      <x:c r="J80" s="31" t="n">
        <x:v>288.60140464989996</x:v>
      </x:c>
      <x:c r="K80" s="31" t="n">
        <x:v>0</x:v>
      </x:c>
      <x:c r="L80" s="31" t="n">
        <x:v>260.4319243877</x:v>
      </x:c>
      <x:c r="M80" s="31" t="n">
        <x:v>28.1694802622</x:v>
      </x:c>
      <x:c r="N80" s="24" t="str">
        <x:v>eptatretus cirrhatus</x:v>
      </x:c>
      <x:c r="O80" s="32" t="n">
        <x:v>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Eptatretus cirrhatus</x:v>
      </x:c>
      <x:c r="T80" s="32" t="n">
        <x:f>IF(O80="","",(1/'Metadata'!$B$5)^(O80-1))</x:f>
        <x:v>10000</x:v>
      </x:c>
      <x:c r="U80" s="31" t="n">
        <x:f>IF(T80="","",I80*T80)</x:f>
        <x:v>2886014.0464989995</x:v>
      </x:c>
    </x:row>
    <x:row r="81" ht="18" customHeight="1">
      <x:c r="A81" s="24" t="str">
        <x:v>EEZ_554</x:v>
      </x:c>
      <x:c r="B81" s="24" t="str">
        <x:v>New Zealand</x:v>
      </x:c>
      <x:c r="C81" s="24" t="str">
        <x:v>EEZ</x:v>
      </x:c>
      <x:c r="D81" s="30" t="n">
        <x:v>2019</x:v>
      </x:c>
      <x:c r="E81" s="24" t="str">
        <x:v>Scorpaeniformes</x:v>
      </x:c>
      <x:c r="F81" s="24" t="str">
        <x:v>Scorpionfishes, flatheads</x:v>
      </x:c>
      <x:c r="G81" s="24" t="str">
        <x:v>Medium demersals (30 - 89 cm)</x:v>
      </x:c>
      <x:c r="H81" s="24" t="str">
        <x:v>Scorpionfishes</x:v>
      </x:c>
      <x:c r="I81" s="31" t="n">
        <x:v>273.7211171235</x:v>
      </x:c>
      <x:c r="J81" s="31" t="n">
        <x:v>37.2237005966</x:v>
      </x:c>
      <x:c r="K81" s="31" t="n">
        <x:v>236.4974165269</x:v>
      </x:c>
      <x:c r="L81" s="31" t="n">
        <x:v>33.5904116291</x:v>
      </x:c>
      <x:c r="M81" s="31" t="n">
        <x:v>240.1307054944</x:v>
      </x:c>
      <x:c r="N81" s="24" t="str">
        <x:v>scorpaeniformes</x:v>
      </x:c>
      <x:c r="O81" s="32" t="n">
        <x:v>3.78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Scorpaeniformes</x:v>
      </x:c>
      <x:c r="T81" s="32" t="n">
        <x:f>IF(O81="","",(1/'Metadata'!$B$5)^(O81-1))</x:f>
        <x:v>602.5595860743575</x:v>
      </x:c>
      <x:c r="U81" s="31" t="n">
        <x:f>IF(T81="","",I81*T81)</x:f>
        <x:v>164933.2830337469</x:v>
      </x:c>
    </x:row>
    <x:row r="82" ht="18" customHeight="1">
      <x:c r="A82" s="24" t="str">
        <x:v>EEZ_554</x:v>
      </x:c>
      <x:c r="B82" s="24" t="str">
        <x:v>New Zealand</x:v>
      </x:c>
      <x:c r="C82" s="24" t="str">
        <x:v>EEZ</x:v>
      </x:c>
      <x:c r="D82" s="30" t="n">
        <x:v>2019</x:v>
      </x:c>
      <x:c r="E82" s="24" t="str">
        <x:v>Nemadactylus macropterus</x:v>
      </x:c>
      <x:c r="F82" s="24" t="str">
        <x:v>Tarakihi</x:v>
      </x:c>
      <x:c r="G82" s="24" t="str">
        <x:v>Medium demersals (30 - 89 cm)</x:v>
      </x:c>
      <x:c r="H82" s="24" t="str">
        <x:v>Perch-likes</x:v>
      </x:c>
      <x:c r="I82" s="31" t="n">
        <x:v>262.5199645181</x:v>
      </x:c>
      <x:c r="J82" s="31" t="n">
        <x:v>262.5199645181</x:v>
      </x:c>
      <x:c r="K82" s="31" t="n">
        <x:v>0</x:v>
      </x:c>
      <x:c r="L82" s="31" t="n">
        <x:v>0</x:v>
      </x:c>
      <x:c r="M82" s="31" t="n">
        <x:v>262.5199645181</x:v>
      </x:c>
      <x:c r="N82" s="24" t="str">
        <x:v>nemadactylus macropterus</x:v>
      </x:c>
      <x:c r="O82" s="32" t="n">
        <x:v>3.41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Nemadactylus macropterus</x:v>
      </x:c>
      <x:c r="T82" s="32" t="n">
        <x:f>IF(O82="","",(1/'Metadata'!$B$5)^(O82-1))</x:f>
        <x:v>257.03957827688646</x:v>
      </x:c>
      <x:c r="U82" s="31" t="n">
        <x:f>IF(T82="","",I82*T82)</x:f>
        <x:v>67478.02096899561</x:v>
      </x:c>
    </x:row>
    <x:row r="83" ht="18" customHeight="1">
      <x:c r="A83" s="24" t="str">
        <x:v>EEZ_554</x:v>
      </x:c>
      <x:c r="B83" s="24" t="str">
        <x:v>New Zealand</x:v>
      </x:c>
      <x:c r="C83" s="24" t="str">
        <x:v>EEZ</x:v>
      </x:c>
      <x:c r="D83" s="30" t="n">
        <x:v>2019</x:v>
      </x:c>
      <x:c r="E83" s="24" t="str">
        <x:v>Pseudocaranx dentex</x:v>
      </x:c>
      <x:c r="F83" s="24" t="str">
        <x:v>White trevally</x:v>
      </x:c>
      <x:c r="G83" s="24" t="str">
        <x:v>Large reef assoc. fish (&gt;=90 cm)</x:v>
      </x:c>
      <x:c r="H83" s="24" t="str">
        <x:v>Perch-likes</x:v>
      </x:c>
      <x:c r="I83" s="31" t="n">
        <x:v>262.5199645181</x:v>
      </x:c>
      <x:c r="J83" s="31" t="n">
        <x:v>262.5199645181</x:v>
      </x:c>
      <x:c r="K83" s="31" t="n">
        <x:v>0</x:v>
      </x:c>
      <x:c r="L83" s="31" t="n">
        <x:v>0</x:v>
      </x:c>
      <x:c r="M83" s="31" t="n">
        <x:v>262.5199645181</x:v>
      </x:c>
      <x:c r="N83" s="24" t="str">
        <x:v>pseudocaranx dentex</x:v>
      </x:c>
      <x:c r="O83" s="32" t="n">
        <x:v>3.92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Pseudocaranx dentex</x:v>
      </x:c>
      <x:c r="T83" s="32" t="n">
        <x:f>IF(O83="","",(1/'Metadata'!$B$5)^(O83-1))</x:f>
        <x:v>831.7637711026708</x:v>
      </x:c>
      <x:c r="U83" s="31" t="n">
        <x:f>IF(T83="","",I83*T83)</x:f>
        <x:v>218354.59567731418</x:v>
      </x:c>
    </x:row>
    <x:row r="84" ht="18" customHeight="1">
      <x:c r="A84" s="24" t="str">
        <x:v>EEZ_554</x:v>
      </x:c>
      <x:c r="B84" s="24" t="str">
        <x:v>New Zealand</x:v>
      </x:c>
      <x:c r="C84" s="24" t="str">
        <x:v>EEZ</x:v>
      </x:c>
      <x:c r="D84" s="30" t="n">
        <x:v>2019</x:v>
      </x:c>
      <x:c r="E84" s="24" t="str">
        <x:v>Odax pullus</x:v>
      </x:c>
      <x:c r="F84" s="24" t="str">
        <x:v>Butterfish</x:v>
      </x:c>
      <x:c r="G84" s="24" t="str">
        <x:v>Small pelagics (&lt;30 cm)</x:v>
      </x:c>
      <x:c r="H84" s="24" t="str">
        <x:v>Perch-likes</x:v>
      </x:c>
      <x:c r="I84" s="31" t="n">
        <x:v>258.8991983396</x:v>
      </x:c>
      <x:c r="J84" s="31" t="n">
        <x:v>258.8991983396</x:v>
      </x:c>
      <x:c r="K84" s="31" t="n">
        <x:v>0</x:v>
      </x:c>
      <x:c r="L84" s="31" t="n">
        <x:v>115.1807514269</x:v>
      </x:c>
      <x:c r="M84" s="31" t="n">
        <x:v>143.7184469127</x:v>
      </x:c>
      <x:c r="N84" s="24" t="str">
        <x:v>odax pullus</x:v>
      </x:c>
      <x:c r="O84" s="32" t="n">
        <x:v>2.06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Odax pullus</x:v>
      </x:c>
      <x:c r="T84" s="32" t="n">
        <x:f>IF(O84="","",(1/'Metadata'!$B$5)^(O84-1))</x:f>
        <x:v>11.481536214968829</x:v>
      </x:c>
      <x:c r="U84" s="31" t="n">
        <x:f>IF(T84="","",I84*T84)</x:f>
        <x:v>2972.560521762515</x:v>
      </x:c>
    </x:row>
    <x:row r="85" ht="18" customHeight="1">
      <x:c r="A85" s="24" t="str">
        <x:v>EEZ_554</x:v>
      </x:c>
      <x:c r="B85" s="24" t="str">
        <x:v>New Zealand</x:v>
      </x:c>
      <x:c r="C85" s="24" t="str">
        <x:v>EEZ</x:v>
      </x:c>
      <x:c r="D85" s="30" t="n">
        <x:v>2019</x:v>
      </x:c>
      <x:c r="E85" s="24" t="str">
        <x:v>Brama brama</x:v>
      </x:c>
      <x:c r="F85" s="24" t="str">
        <x:v>Atlantic pomfret</x:v>
      </x:c>
      <x:c r="G85" s="24" t="str">
        <x:v>Medium bathypelagics (30 - 89 cm)</x:v>
      </x:c>
      <x:c r="H85" s="24" t="str">
        <x:v>Perch-likes</x:v>
      </x:c>
      <x:c r="I85" s="31" t="n">
        <x:v>251.21743463340002</x:v>
      </x:c>
      <x:c r="J85" s="31" t="n">
        <x:v>251.21743463340002</x:v>
      </x:c>
      <x:c r="K85" s="31" t="n">
        <x:v>0</x:v>
      </x:c>
      <x:c r="L85" s="31" t="n">
        <x:v>243.97438011990002</x:v>
      </x:c>
      <x:c r="M85" s="31" t="n">
        <x:v>7.2430545135</x:v>
      </x:c>
      <x:c r="N85" s="24" t="str">
        <x:v>brama brama</x:v>
      </x:c>
      <x:c r="O85" s="32" t="n">
        <x:v>4.08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Brama brama</x:v>
      </x:c>
      <x:c r="T85" s="32" t="n">
        <x:f>IF(O85="","",(1/'Metadata'!$B$5)^(O85-1))</x:f>
        <x:v>1202.2644346174131</x:v>
      </x:c>
      <x:c r="U85" s="31" t="n">
        <x:f>IF(T85="","",I85*T85)</x:f>
        <x:v>302029.7870155616</x:v>
      </x:c>
    </x:row>
    <x:row r="86" ht="18" customHeight="1">
      <x:c r="A86" s="24" t="str">
        <x:v>EEZ_554</x:v>
      </x:c>
      <x:c r="B86" s="24" t="str">
        <x:v>New Zealand</x:v>
      </x:c>
      <x:c r="C86" s="24" t="str">
        <x:v>EEZ</x:v>
      </x:c>
      <x:c r="D86" s="30" t="n">
        <x:v>2019</x:v>
      </x:c>
      <x:c r="E86" s="24" t="str">
        <x:v>Alopias</x:v>
      </x:c>
      <x:c r="F86" s="24" t="str">
        <x:v>Thresher sharks</x:v>
      </x:c>
      <x:c r="G86" s="24" t="str">
        <x:v>Large sharks (&gt;=90 cm)</x:v>
      </x:c>
      <x:c r="H86" s="24" t="str">
        <x:v>Sharks &amp; rays</x:v>
      </x:c>
      <x:c r="I86" s="31" t="n">
        <x:v>206.5981094919</x:v>
      </x:c>
      <x:c r="J86" s="31" t="n">
        <x:v>1.5837326351</x:v>
      </x:c>
      <x:c r="K86" s="31" t="n">
        <x:v>205.0143768568</x:v>
      </x:c>
      <x:c r="L86" s="31" t="n">
        <x:v>1.5837326351</x:v>
      </x:c>
      <x:c r="M86" s="31" t="n">
        <x:v>205.0143768568</x:v>
      </x:c>
      <x:c r="N86" s="24" t="str">
        <x:v>alopias</x:v>
      </x:c>
      <x:c r="O86" s="32" t="n">
        <x:v>4.5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Alopias</x:v>
      </x:c>
      <x:c r="T86" s="32" t="n">
        <x:f>IF(O86="","",(1/'Metadata'!$B$5)^(O86-1))</x:f>
        <x:v>3162.2776601683795</x:v>
      </x:c>
      <x:c r="U86" s="31" t="n">
        <x:f>IF(T86="","",I86*T86)</x:f>
        <x:v>653320.5862792563</x:v>
      </x:c>
    </x:row>
    <x:row r="87" ht="18" customHeight="1">
      <x:c r="A87" s="24" t="str">
        <x:v>EEZ_554</x:v>
      </x:c>
      <x:c r="B87" s="24" t="str">
        <x:v>New Zealand</x:v>
      </x:c>
      <x:c r="C87" s="24" t="str">
        <x:v>EEZ</x:v>
      </x:c>
      <x:c r="D87" s="30" t="n">
        <x:v>2019</x:v>
      </x:c>
      <x:c r="E87" s="24" t="str">
        <x:v>Pectinidae</x:v>
      </x:c>
      <x:c r="F87" s="24" t="str">
        <x:v>Scallops</x:v>
      </x:c>
      <x:c r="G87" s="24" t="str">
        <x:v>Other demersal invertebrates</x:v>
      </x:c>
      <x:c r="H87" s="24" t="str">
        <x:v>Molluscs</x:v>
      </x:c>
      <x:c r="I87" s="31" t="n">
        <x:v>203.7820279213</x:v>
      </x:c>
      <x:c r="J87" s="31" t="n">
        <x:v>193.5124874929</x:v>
      </x:c>
      <x:c r="K87" s="31" t="n">
        <x:v>10.2695404284</x:v>
      </x:c>
      <x:c r="L87" s="31" t="n">
        <x:v>0</x:v>
      </x:c>
      <x:c r="M87" s="31" t="n">
        <x:v>203.7820279213</x:v>
      </x:c>
      <x:c r="N87" s="24" t="str">
        <x:v>pectinidae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Pectinidae</x:v>
      </x:c>
      <x:c r="T87" s="32" t="n">
        <x:f>IF(O87="","",(1/'Metadata'!$B$5)^(O87-1))</x:f>
        <x:v>10</x:v>
      </x:c>
      <x:c r="U87" s="31" t="n">
        <x:f>IF(T87="","",I87*T87)</x:f>
        <x:v>2037.820279213</x:v>
      </x:c>
    </x:row>
    <x:row r="88" ht="18" customHeight="1">
      <x:c r="A88" s="24" t="str">
        <x:v>EEZ_554</x:v>
      </x:c>
      <x:c r="B88" s="24" t="str">
        <x:v>New Zealand</x:v>
      </x:c>
      <x:c r="C88" s="24" t="str">
        <x:v>EEZ</x:v>
      </x:c>
      <x:c r="D88" s="30" t="n">
        <x:v>2019</x:v>
      </x:c>
      <x:c r="E88" s="24" t="str">
        <x:v>Centriscidae</x:v>
      </x:c>
      <x:c r="F88" s="24" t="str">
        <x:v>Snipefishes, shrimpfishes</x:v>
      </x:c>
      <x:c r="G88" s="24" t="str">
        <x:v>Small benthopelagics (&lt;30 cm)</x:v>
      </x:c>
      <x:c r="H88" s="24" t="str">
        <x:v>Other fishes &amp; inverts</x:v>
      </x:c>
      <x:c r="I88" s="31" t="n">
        <x:v>188.0407541085</x:v>
      </x:c>
      <x:c r="J88" s="31" t="n">
        <x:v>0</x:v>
      </x:c>
      <x:c r="K88" s="31" t="n">
        <x:v>188.0407541085</x:v>
      </x:c>
      <x:c r="L88" s="31" t="n">
        <x:v>0</x:v>
      </x:c>
      <x:c r="M88" s="31" t="n">
        <x:v>188.0407541085</x:v>
      </x:c>
      <x:c r="N88" s="24" t="str">
        <x:v>centriscidae</x:v>
      </x:c>
      <x:c r="O88" s="32" t="n">
        <x:v>3.15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Centriscidae</x:v>
      </x:c>
      <x:c r="T88" s="32" t="n">
        <x:f>IF(O88="","",(1/'Metadata'!$B$5)^(O88-1))</x:f>
        <x:v>141.2537544622754</x:v>
      </x:c>
      <x:c r="U88" s="31" t="n">
        <x:f>IF(T88="","",I88*T88)</x:f>
        <x:v>26561.462509743164</x:v>
      </x:c>
    </x:row>
    <x:row r="89" ht="18" customHeight="1">
      <x:c r="A89" s="24" t="str">
        <x:v>EEZ_554</x:v>
      </x:c>
      <x:c r="B89" s="24" t="str">
        <x:v>New Zealand</x:v>
      </x:c>
      <x:c r="C89" s="24" t="str">
        <x:v>EEZ</x:v>
      </x:c>
      <x:c r="D89" s="30" t="n">
        <x:v>2019</x:v>
      </x:c>
      <x:c r="E89" s="24" t="str">
        <x:v>Dalatias licha</x:v>
      </x:c>
      <x:c r="F89" s="24" t="str">
        <x:v>Kitefin shark</x:v>
      </x:c>
      <x:c r="G89" s="24" t="str">
        <x:v>Large sharks (&gt;=90 cm)</x:v>
      </x:c>
      <x:c r="H89" s="24" t="str">
        <x:v>Sharks &amp; rays</x:v>
      </x:c>
      <x:c r="I89" s="31" t="n">
        <x:v>172.8463224523</x:v>
      </x:c>
      <x:c r="J89" s="31" t="n">
        <x:v>172.8463224523</x:v>
      </x:c>
      <x:c r="K89" s="31" t="n">
        <x:v>0</x:v>
      </x:c>
      <x:c r="L89" s="31" t="n">
        <x:v>155.9753336401</x:v>
      </x:c>
      <x:c r="M89" s="31" t="n">
        <x:v>16.8709888122</x:v>
      </x:c>
      <x:c r="N89" s="24" t="str">
        <x:v>dalatias licha</x:v>
      </x:c>
      <x:c r="O89" s="32" t="n">
        <x:v>4.23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Dalatias licha</x:v>
      </x:c>
      <x:c r="T89" s="32" t="n">
        <x:f>IF(O89="","",(1/'Metadata'!$B$5)^(O89-1))</x:f>
        <x:v>1698.243652461746</x:v>
      </x:c>
      <x:c r="U89" s="31" t="n">
        <x:f>IF(T89="","",I89*T89)</x:f>
        <x:v>293535.1699559747</x:v>
      </x:c>
    </x:row>
    <x:row r="90" ht="18" customHeight="1">
      <x:c r="A90" s="24" t="str">
        <x:v>EEZ_554</x:v>
      </x:c>
      <x:c r="B90" s="24" t="str">
        <x:v>New Zealand</x:v>
      </x:c>
      <x:c r="C90" s="24" t="str">
        <x:v>EEZ</x:v>
      </x:c>
      <x:c r="D90" s="30" t="n">
        <x:v>2019</x:v>
      </x:c>
      <x:c r="E90" s="24" t="str">
        <x:v>Jacquinotia edwardsii</x:v>
      </x:c>
      <x:c r="F90" s="24" t="str">
        <x:v>Southern spider crab</x:v>
      </x:c>
      <x:c r="G90" s="24" t="str">
        <x:v>Lobsters, crabs</x:v>
      </x:c>
      <x:c r="H90" s="24" t="str">
        <x:v>Crustaceans</x:v>
      </x:c>
      <x:c r="I90" s="31" t="n">
        <x:v>171.8505806627</x:v>
      </x:c>
      <x:c r="J90" s="31" t="n">
        <x:v>171.8505806627</x:v>
      </x:c>
      <x:c r="K90" s="31" t="n">
        <x:v>0</x:v>
      </x:c>
      <x:c r="L90" s="31" t="n">
        <x:v>148.17694726940002</x:v>
      </x:c>
      <x:c r="M90" s="31" t="n">
        <x:v>23.673633393299998</x:v>
      </x:c>
      <x:c r="N90" s="24" t="str">
        <x:v>jacquinotia edwardsii</x:v>
      </x:c>
      <x:c r="O90" s="32" t="n">
        <x:v>2.8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Jacquinotia edwardsii</x:v>
      </x:c>
      <x:c r="T90" s="32" t="n">
        <x:f>IF(O90="","",(1/'Metadata'!$B$5)^(O90-1))</x:f>
        <x:v>63.0957344480193</x:v>
      </x:c>
      <x:c r="U90" s="31" t="n">
        <x:f>IF(T90="","",I90*T90)</x:f>
        <x:v>10843.03860223164</x:v>
      </x:c>
    </x:row>
    <x:row r="91" ht="18" customHeight="1">
      <x:c r="A91" s="24" t="str">
        <x:v>EEZ_554</x:v>
      </x:c>
      <x:c r="B91" s="24" t="str">
        <x:v>New Zealand</x:v>
      </x:c>
      <x:c r="C91" s="24" t="str">
        <x:v>EEZ</x:v>
      </x:c>
      <x:c r="D91" s="30" t="n">
        <x:v>2019</x:v>
      </x:c>
      <x:c r="E91" s="24" t="str">
        <x:v>Mytilidae</x:v>
      </x:c>
      <x:c r="F91" s="24" t="str">
        <x:v>Sea mussels</x:v>
      </x:c>
      <x:c r="G91" s="24" t="str">
        <x:v>Other demersal invertebrates</x:v>
      </x:c>
      <x:c r="H91" s="24" t="str">
        <x:v>Molluscs</x:v>
      </x:c>
      <x:c r="I91" s="31" t="n">
        <x:v>148.855759645</x:v>
      </x:c>
      <x:c r="J91" s="31" t="n">
        <x:v>148.855759645</x:v>
      </x:c>
      <x:c r="K91" s="31" t="n">
        <x:v>0</x:v>
      </x:c>
      <x:c r="L91" s="31" t="n">
        <x:v>0</x:v>
      </x:c>
      <x:c r="M91" s="31" t="n">
        <x:v>148.855759645</x:v>
      </x:c>
      <x:c r="N91" s="24" t="str">
        <x:v>mytilidae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Mytilidae</x:v>
      </x:c>
      <x:c r="T91" s="32" t="n">
        <x:f>IF(O91="","",(1/'Metadata'!$B$5)^(O91-1))</x:f>
        <x:v>10</x:v>
      </x:c>
      <x:c r="U91" s="31" t="n">
        <x:f>IF(T91="","",I91*T91)</x:f>
        <x:v>1488.5575964500001</x:v>
      </x:c>
    </x:row>
    <x:row r="92" ht="18" customHeight="1">
      <x:c r="A92" s="24" t="str">
        <x:v>EEZ_554</x:v>
      </x:c>
      <x:c r="B92" s="24" t="str">
        <x:v>New Zealand</x:v>
      </x:c>
      <x:c r="C92" s="24" t="str">
        <x:v>EEZ</x:v>
      </x:c>
      <x:c r="D92" s="30" t="n">
        <x:v>2019</x:v>
      </x:c>
      <x:c r="E92" s="24" t="str">
        <x:v>Zenopsis nebulosa</x:v>
      </x:c>
      <x:c r="F92" s="24" t="str">
        <x:v>Mirror dory</x:v>
      </x:c>
      <x:c r="G92" s="24" t="str">
        <x:v>Medium bathydemersals (30 - 89 cm)</x:v>
      </x:c>
      <x:c r="H92" s="24" t="str">
        <x:v>Other fishes &amp; inverts</x:v>
      </x:c>
      <x:c r="I92" s="31" t="n">
        <x:v>147.94461202530002</x:v>
      </x:c>
      <x:c r="J92" s="31" t="n">
        <x:v>147.94461202530002</x:v>
      </x:c>
      <x:c r="K92" s="31" t="n">
        <x:v>0</x:v>
      </x:c>
      <x:c r="L92" s="31" t="n">
        <x:v>133.5042012586</x:v>
      </x:c>
      <x:c r="M92" s="31" t="n">
        <x:v>14.4404107667</x:v>
      </x:c>
      <x:c r="N92" s="24" t="str">
        <x:v>zenopsis nebulosa</x:v>
      </x:c>
      <x:c r="O92" s="32" t="n">
        <x:v>3.98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Zenopsis nebulosa</x:v>
      </x:c>
      <x:c r="T92" s="32" t="n">
        <x:f>IF(O92="","",(1/'Metadata'!$B$5)^(O92-1))</x:f>
        <x:v>954.992586021436</x:v>
      </x:c>
      <x:c r="U92" s="31" t="n">
        <x:f>IF(T92="","",I92*T92)</x:f>
        <x:v>141286.00762597928</x:v>
      </x:c>
    </x:row>
    <x:row r="93" ht="18" customHeight="1">
      <x:c r="A93" s="24" t="str">
        <x:v>EEZ_554</x:v>
      </x:c>
      <x:c r="B93" s="24" t="str">
        <x:v>New Zealand</x:v>
      </x:c>
      <x:c r="C93" s="24" t="str">
        <x:v>EEZ</x:v>
      </x:c>
      <x:c r="D93" s="30" t="n">
        <x:v>2019</x:v>
      </x:c>
      <x:c r="E93" s="24" t="str">
        <x:v>Anguilliformes</x:v>
      </x:c>
      <x:c r="F93" s="24" t="str">
        <x:v>Eels, morays</x:v>
      </x:c>
      <x:c r="G93" s="24" t="str">
        <x:v>Large demersals (&gt;=90 cm)</x:v>
      </x:c>
      <x:c r="H93" s="24" t="str">
        <x:v>Other fishes &amp; inverts</x:v>
      </x:c>
      <x:c r="I93" s="31" t="n">
        <x:v>147.0232122513</x:v>
      </x:c>
      <x:c r="J93" s="31" t="n">
        <x:v>0.5388039627</x:v>
      </x:c>
      <x:c r="K93" s="31" t="n">
        <x:v>146.4844082886</x:v>
      </x:c>
      <x:c r="L93" s="31" t="n">
        <x:v>0.486212986</x:v>
      </x:c>
      <x:c r="M93" s="31" t="n">
        <x:v>146.53699926529998</x:v>
      </x:c>
      <x:c r="N93" s="24" t="str">
        <x:v>anguilliformes</x:v>
      </x:c>
      <x:c r="O93" s="32" t="n">
        <x:v>3.89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Anguilliformes</x:v>
      </x:c>
      <x:c r="T93" s="32" t="n">
        <x:f>IF(O93="","",(1/'Metadata'!$B$5)^(O93-1))</x:f>
        <x:v>776.247116628692</x:v>
      </x:c>
      <x:c r="U93" s="31" t="n">
        <x:f>IF(T93="","",I93*T93)</x:f>
        <x:v>114126.34458755981</x:v>
      </x:c>
    </x:row>
    <x:row r="94" ht="18" customHeight="1">
      <x:c r="A94" s="24" t="str">
        <x:v>EEZ_554</x:v>
      </x:c>
      <x:c r="B94" s="24" t="str">
        <x:v>New Zealand</x:v>
      </x:c>
      <x:c r="C94" s="24" t="str">
        <x:v>EEZ</x:v>
      </x:c>
      <x:c r="D94" s="30" t="n">
        <x:v>2019</x:v>
      </x:c>
      <x:c r="E94" s="24" t="str">
        <x:v>Decapoda</x:v>
      </x:c>
      <x:c r="F94" s="24" t="str">
        <x:v>Crabs, lobsters, shrimps</x:v>
      </x:c>
      <x:c r="G94" s="24" t="str">
        <x:v>Lobsters, crabs</x:v>
      </x:c>
      <x:c r="H94" s="24" t="str">
        <x:v>Crustaceans</x:v>
      </x:c>
      <x:c r="I94" s="31" t="n">
        <x:v>137.5255340219</x:v>
      </x:c>
      <x:c r="J94" s="31" t="n">
        <x:v>0</x:v>
      </x:c>
      <x:c r="K94" s="31" t="n">
        <x:v>137.5255340219</x:v>
      </x:c>
      <x:c r="L94" s="31" t="n">
        <x:v>0</x:v>
      </x:c>
      <x:c r="M94" s="31" t="n">
        <x:v>137.5255340219</x:v>
      </x:c>
      <x:c r="N94" s="24" t="str">
        <x:v>decapoda</x:v>
      </x:c>
      <x:c r="O94" s="32" t="n">
        <x:v>3.43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Decapoda</x:v>
      </x:c>
      <x:c r="T94" s="32" t="n">
        <x:f>IF(O94="","",(1/'Metadata'!$B$5)^(O94-1))</x:f>
        <x:v>269.1534803926917</x:v>
      </x:c>
      <x:c r="U94" s="31" t="n">
        <x:f>IF(T94="","",I94*T94)</x:f>
        <x:v>37015.476124857916</x:v>
      </x:c>
    </x:row>
    <x:row r="95" ht="18" customHeight="1">
      <x:c r="A95" s="24" t="str">
        <x:v>EEZ_554</x:v>
      </x:c>
      <x:c r="B95" s="24" t="str">
        <x:v>New Zealand</x:v>
      </x:c>
      <x:c r="C95" s="24" t="str">
        <x:v>EEZ</x:v>
      </x:c>
      <x:c r="D95" s="30" t="n">
        <x:v>2019</x:v>
      </x:c>
      <x:c r="E95" s="24" t="str">
        <x:v>Scyliorhinidae</x:v>
      </x:c>
      <x:c r="F95" s="24" t="str">
        <x:v>Cat/swellsharks</x:v>
      </x:c>
      <x:c r="G95" s="24" t="str">
        <x:v>Large sharks (&gt;=90 cm)</x:v>
      </x:c>
      <x:c r="H95" s="24" t="str">
        <x:v>Sharks &amp; rays</x:v>
      </x:c>
      <x:c r="I95" s="31" t="n">
        <x:v>134.975007258</x:v>
      </x:c>
      <x:c r="J95" s="31" t="n">
        <x:v>0.6421107801</x:v>
      </x:c>
      <x:c r="K95" s="31" t="n">
        <x:v>134.3328964779</x:v>
      </x:c>
      <x:c r="L95" s="31" t="n">
        <x:v>0.5794363496</x:v>
      </x:c>
      <x:c r="M95" s="31" t="n">
        <x:v>134.3955709084</x:v>
      </x:c>
      <x:c r="N95" s="24" t="str">
        <x:v>scyliorhinidae</x:v>
      </x:c>
      <x:c r="O95" s="32" t="n">
        <x:v>3.97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Scyliorhinidae</x:v>
      </x:c>
      <x:c r="T95" s="32" t="n">
        <x:f>IF(O95="","",(1/'Metadata'!$B$5)^(O95-1))</x:f>
        <x:v>933.2543007969915</x:v>
      </x:c>
      <x:c r="U95" s="31" t="n">
        <x:f>IF(T95="","",I95*T95)</x:f>
        <x:v>125966.00602363364</x:v>
      </x:c>
    </x:row>
    <x:row r="96" ht="18" customHeight="1">
      <x:c r="A96" s="24" t="str">
        <x:v>EEZ_554</x:v>
      </x:c>
      <x:c r="B96" s="24" t="str">
        <x:v>New Zealand</x:v>
      </x:c>
      <x:c r="C96" s="24" t="str">
        <x:v>EEZ</x:v>
      </x:c>
      <x:c r="D96" s="30" t="n">
        <x:v>2019</x:v>
      </x:c>
      <x:c r="E96" s="24" t="str">
        <x:v>Deania calceus</x:v>
      </x:c>
      <x:c r="F96" s="24" t="str">
        <x:v>Birdbeak dogfish</x:v>
      </x:c>
      <x:c r="G96" s="24" t="str">
        <x:v>Large sharks (&gt;=90 cm)</x:v>
      </x:c>
      <x:c r="H96" s="24" t="str">
        <x:v>Sharks &amp; rays</x:v>
      </x:c>
      <x:c r="I96" s="31" t="n">
        <x:v>129.5152717463</x:v>
      </x:c>
      <x:c r="J96" s="31" t="n">
        <x:v>129.5152717463</x:v>
      </x:c>
      <x:c r="K96" s="31" t="n">
        <x:v>0</x:v>
      </x:c>
      <x:c r="L96" s="31" t="n">
        <x:v>116.8736912327</x:v>
      </x:c>
      <x:c r="M96" s="31" t="n">
        <x:v>12.641580513600001</x:v>
      </x:c>
      <x:c r="N96" s="24" t="str">
        <x:v>deania calceus</x:v>
      </x:c>
      <x:c r="O96" s="32" t="n">
        <x:v>4.33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Deania calceus</x:v>
      </x:c>
      <x:c r="T96" s="32" t="n">
        <x:f>IF(O96="","",(1/'Metadata'!$B$5)^(O96-1))</x:f>
        <x:v>2137.9620895022326</x:v>
      </x:c>
      <x:c r="U96" s="31" t="n">
        <x:f>IF(T96="","",I96*T96)</x:f>
        <x:v>276898.741005169</x:v>
      </x:c>
    </x:row>
    <x:row r="97" ht="18" customHeight="1">
      <x:c r="A97" s="24" t="str">
        <x:v>EEZ_554</x:v>
      </x:c>
      <x:c r="B97" s="24" t="str">
        <x:v>New Zealand</x:v>
      </x:c>
      <x:c r="C97" s="24" t="str">
        <x:v>EEZ</x:v>
      </x:c>
      <x:c r="D97" s="30" t="n">
        <x:v>2019</x:v>
      </x:c>
      <x:c r="E97" s="24" t="str">
        <x:v>Neocyttus rhomboidalis</x:v>
      </x:c>
      <x:c r="F97" s="24" t="str">
        <x:v>Spiky oreo</x:v>
      </x:c>
      <x:c r="G97" s="24" t="str">
        <x:v>Medium bathypelagics (30 - 89 cm)</x:v>
      </x:c>
      <x:c r="H97" s="24" t="str">
        <x:v>Other fishes &amp; inverts</x:v>
      </x:c>
      <x:c r="I97" s="31" t="n">
        <x:v>126.7864423077</x:v>
      </x:c>
      <x:c r="J97" s="31" t="n">
        <x:v>126.7864423077</x:v>
      </x:c>
      <x:c r="K97" s="31" t="n">
        <x:v>0</x:v>
      </x:c>
      <x:c r="L97" s="31" t="n">
        <x:v>114.4112142937</x:v>
      </x:c>
      <x:c r="M97" s="31" t="n">
        <x:v>12.375228014</x:v>
      </x:c>
      <x:c r="N97" s="24" t="str">
        <x:v>neocyttus rhomboidalis</x:v>
      </x:c>
      <x:c r="O97" s="32" t="n">
        <x:v>3.58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Neocyttus rhomboidalis</x:v>
      </x:c>
      <x:c r="T97" s="32" t="n">
        <x:f>IF(O97="","",(1/'Metadata'!$B$5)^(O97-1))</x:f>
        <x:v>380.1893963205613</x:v>
      </x:c>
      <x:c r="U97" s="31" t="n">
        <x:f>IF(T97="","",I97*T97)</x:f>
        <x:v>48202.86096259613</x:v>
      </x:c>
    </x:row>
    <x:row r="98" ht="18" customHeight="1">
      <x:c r="A98" s="24" t="str">
        <x:v>EEZ_554</x:v>
      </x:c>
      <x:c r="B98" s="24" t="str">
        <x:v>New Zealand</x:v>
      </x:c>
      <x:c r="C98" s="24" t="str">
        <x:v>EEZ</x:v>
      </x:c>
      <x:c r="D98" s="30" t="n">
        <x:v>2019</x:v>
      </x:c>
      <x:c r="E98" s="24" t="str">
        <x:v>Austrovenus stutchburyi</x:v>
      </x:c>
      <x:c r="F98" s="24" t="str">
        <x:v>Stutchbury's venus</x:v>
      </x:c>
      <x:c r="G98" s="24" t="str">
        <x:v>Other demersal invertebrates</x:v>
      </x:c>
      <x:c r="H98" s="24" t="str">
        <x:v>Molluscs</x:v>
      </x:c>
      <x:c r="I98" s="31" t="n">
        <x:v>126.1482593573</x:v>
      </x:c>
      <x:c r="J98" s="31" t="n">
        <x:v>126.1482593573</x:v>
      </x:c>
      <x:c r="K98" s="31" t="n">
        <x:v>0</x:v>
      </x:c>
      <x:c r="L98" s="31" t="n">
        <x:v>0</x:v>
      </x:c>
      <x:c r="M98" s="31" t="n">
        <x:v>126.1482593573</x:v>
      </x:c>
      <x:c r="N98" s="24" t="str">
        <x:v>austrovenus stutchburyi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Austrovenus stutchburyi</x:v>
      </x:c>
      <x:c r="T98" s="32" t="n">
        <x:f>IF(O98="","",(1/'Metadata'!$B$5)^(O98-1))</x:f>
        <x:v>10</x:v>
      </x:c>
      <x:c r="U98" s="31" t="n">
        <x:f>IF(T98="","",I98*T98)</x:f>
        <x:v>1261.482593573</x:v>
      </x:c>
    </x:row>
    <x:row r="99" ht="18" customHeight="1">
      <x:c r="A99" s="24" t="str">
        <x:v>EEZ_554</x:v>
      </x:c>
      <x:c r="B99" s="24" t="str">
        <x:v>New Zealand</x:v>
      </x:c>
      <x:c r="C99" s="24" t="str">
        <x:v>EEZ</x:v>
      </x:c>
      <x:c r="D99" s="30" t="n">
        <x:v>2019</x:v>
      </x:c>
      <x:c r="E99" s="24" t="str">
        <x:v>Pterygotrigla</x:v>
      </x:c>
      <x:c r="F99" s="24" t="str">
        <x:v>Latchets</x:v>
      </x:c>
      <x:c r="G99" s="24" t="str">
        <x:v>Medium bathydemersals (30 - 89 cm)</x:v>
      </x:c>
      <x:c r="H99" s="24" t="str">
        <x:v>Scorpionfishes</x:v>
      </x:c>
      <x:c r="I99" s="31" t="n">
        <x:v>124.0777788601</x:v>
      </x:c>
      <x:c r="J99" s="31" t="n">
        <x:v>124.0777788601</x:v>
      </x:c>
      <x:c r="K99" s="31" t="n">
        <x:v>0</x:v>
      </x:c>
      <x:c r="L99" s="31" t="n">
        <x:v>111.9669350288</x:v>
      </x:c>
      <x:c r="M99" s="31" t="n">
        <x:v>12.1108438313</x:v>
      </x:c>
      <x:c r="N99" s="24" t="str">
        <x:v>pterygotrigla</x:v>
      </x:c>
      <x:c r="O99" s="32" t="n">
        <x:v>3.56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Pterygotrigla</x:v>
      </x:c>
      <x:c r="T99" s="32" t="n">
        <x:f>IF(O99="","",(1/'Metadata'!$B$5)^(O99-1))</x:f>
        <x:v>363.0780547701014</x:v>
      </x:c>
      <x:c r="U99" s="31" t="n">
        <x:f>IF(T99="","",I99*T99)</x:f>
        <x:v>45049.91858871992</x:v>
      </x:c>
    </x:row>
    <x:row r="100" ht="18" customHeight="1">
      <x:c r="A100" s="24" t="str">
        <x:v>EEZ_554</x:v>
      </x:c>
      <x:c r="B100" s="24" t="str">
        <x:v>New Zealand</x:v>
      </x:c>
      <x:c r="C100" s="24" t="str">
        <x:v>EEZ</x:v>
      </x:c>
      <x:c r="D100" s="30" t="n">
        <x:v>2019</x:v>
      </x:c>
      <x:c r="E100" s="24" t="str">
        <x:v>Nototheniidae</x:v>
      </x:c>
      <x:c r="F100" s="24" t="str">
        <x:v>Cod icefishes</x:v>
      </x:c>
      <x:c r="G100" s="24" t="str">
        <x:v>Large bathydemersals (&gt;=90 cm)</x:v>
      </x:c>
      <x:c r="H100" s="24" t="str">
        <x:v>Perch-likes</x:v>
      </x:c>
      <x:c r="I100" s="31" t="n">
        <x:v>118.256985617</x:v>
      </x:c>
      <x:c r="J100" s="31" t="n">
        <x:v>0.6140403426</x:v>
      </x:c>
      <x:c r="K100" s="31" t="n">
        <x:v>117.64294527439999</x:v>
      </x:c>
      <x:c r="L100" s="31" t="n">
        <x:v>0.5541057808</x:v>
      </x:c>
      <x:c r="M100" s="31" t="n">
        <x:v>117.7028798362</x:v>
      </x:c>
      <x:c r="N100" s="24" t="str">
        <x:v>nototheniidae</x:v>
      </x:c>
      <x:c r="O100" s="32" t="n">
        <x:v>3.43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Nototheniidae</x:v>
      </x:c>
      <x:c r="T100" s="32" t="n">
        <x:f>IF(O100="","",(1/'Metadata'!$B$5)^(O100-1))</x:f>
        <x:v>269.1534803926917</x:v>
      </x:c>
      <x:c r="U100" s="31" t="n">
        <x:f>IF(T100="","",I100*T100)</x:f>
        <x:v>31829.27925956403</x:v>
      </x:c>
    </x:row>
    <x:row r="101" ht="18" customHeight="1">
      <x:c r="A101" s="24" t="str">
        <x:v>EEZ_554</x:v>
      </x:c>
      <x:c r="B101" s="24" t="str">
        <x:v>New Zealand</x:v>
      </x:c>
      <x:c r="C101" s="24" t="str">
        <x:v>EEZ</x:v>
      </x:c>
      <x:c r="D101" s="30" t="n">
        <x:v>2019</x:v>
      </x:c>
      <x:c r="E101" s="24" t="str">
        <x:v>Harriotta raleighana</x:v>
      </x:c>
      <x:c r="F101" s="24" t="str">
        <x:v>Pacific longnose chimaera</x:v>
      </x:c>
      <x:c r="G101" s="24" t="str">
        <x:v>Small to medium rays (&lt;90 cm)</x:v>
      </x:c>
      <x:c r="H101" s="24" t="str">
        <x:v>Sharks &amp; rays</x:v>
      </x:c>
      <x:c r="I101" s="31" t="n">
        <x:v>104.2389074122</x:v>
      </x:c>
      <x:c r="J101" s="31" t="n">
        <x:v>104.2389074122</x:v>
      </x:c>
      <x:c r="K101" s="31" t="n">
        <x:v>0</x:v>
      </x:c>
      <x:c r="L101" s="31" t="n">
        <x:v>94.064473753</x:v>
      </x:c>
      <x:c r="M101" s="31" t="n">
        <x:v>10.1744336592</x:v>
      </x:c>
      <x:c r="N101" s="24" t="str">
        <x:v>harriotta raleighana</x:v>
      </x:c>
      <x:c r="O101" s="32" t="n">
        <x:v>3.55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Harriotta raleighana</x:v>
      </x:c>
      <x:c r="T101" s="32" t="n">
        <x:f>IF(O101="","",(1/'Metadata'!$B$5)^(O101-1))</x:f>
        <x:v>354.8133892335753</x:v>
      </x:c>
      <x:c r="U101" s="31" t="n">
        <x:f>IF(T101="","",I101*T101)</x:f>
        <x:v>36985.36002892754</x:v>
      </x:c>
    </x:row>
    <x:row r="102" ht="18" customHeight="1">
      <x:c r="A102" s="24" t="str">
        <x:v>EEZ_554</x:v>
      </x:c>
      <x:c r="B102" s="24" t="str">
        <x:v>New Zealand</x:v>
      </x:c>
      <x:c r="C102" s="24" t="str">
        <x:v>EEZ</x:v>
      </x:c>
      <x:c r="D102" s="30" t="n">
        <x:v>2019</x:v>
      </x:c>
      <x:c r="E102" s="24" t="str">
        <x:v>Latris lineata</x:v>
      </x:c>
      <x:c r="F102" s="24" t="str">
        <x:v>Striped trumpeter</x:v>
      </x:c>
      <x:c r="G102" s="24" t="str">
        <x:v>Small pelagics (&lt;30 cm)</x:v>
      </x:c>
      <x:c r="H102" s="24" t="str">
        <x:v>Perch-likes</x:v>
      </x:c>
      <x:c r="I102" s="31" t="n">
        <x:v>102.1786110872</x:v>
      </x:c>
      <x:c r="J102" s="31" t="n">
        <x:v>102.1786110872</x:v>
      </x:c>
      <x:c r="K102" s="31" t="n">
        <x:v>0</x:v>
      </x:c>
      <x:c r="L102" s="31" t="n">
        <x:v>89.53707743119999</x:v>
      </x:c>
      <x:c r="M102" s="31" t="n">
        <x:v>12.641533656</x:v>
      </x:c>
      <x:c r="N102" s="24" t="str">
        <x:v>latris lineata</x:v>
      </x:c>
      <x:c r="O102" s="32" t="n">
        <x:v>3.7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Latris lineata</x:v>
      </x:c>
      <x:c r="T102" s="32" t="n">
        <x:f>IF(O102="","",(1/'Metadata'!$B$5)^(O102-1))</x:f>
        <x:v>501.18723362727246</x:v>
      </x:c>
      <x:c r="U102" s="31" t="n">
        <x:f>IF(T102="","",I102*T102)</x:f>
        <x:v>51210.615426670716</x:v>
      </x:c>
    </x:row>
    <x:row r="103" ht="18" customHeight="1">
      <x:c r="A103" s="24" t="str">
        <x:v>EEZ_554</x:v>
      </x:c>
      <x:c r="B103" s="24" t="str">
        <x:v>New Zealand</x:v>
      </x:c>
      <x:c r="C103" s="24" t="str">
        <x:v>EEZ</x:v>
      </x:c>
      <x:c r="D103" s="30" t="n">
        <x:v>2019</x:v>
      </x:c>
      <x:c r="E103" s="24" t="str">
        <x:v>Cephaloscyllium isabella</x:v>
      </x:c>
      <x:c r="F103" s="24" t="str">
        <x:v>Draughtsboard shark</x:v>
      </x:c>
      <x:c r="G103" s="24" t="str">
        <x:v>Small to medium sharks (&lt;90 cm)</x:v>
      </x:c>
      <x:c r="H103" s="24" t="str">
        <x:v>Sharks &amp; rays</x:v>
      </x:c>
      <x:c r="I103" s="31" t="n">
        <x:v>92.4714100314</x:v>
      </x:c>
      <x:c r="J103" s="31" t="n">
        <x:v>92.4714100314</x:v>
      </x:c>
      <x:c r="K103" s="31" t="n">
        <x:v>0</x:v>
      </x:c>
      <x:c r="L103" s="31" t="n">
        <x:v>83.4455649771</x:v>
      </x:c>
      <x:c r="M103" s="31" t="n">
        <x:v>9.0258450543</x:v>
      </x:c>
      <x:c r="N103" s="24" t="str">
        <x:v>cephaloscyllium isabella</x:v>
      </x:c>
      <x:c r="O103" s="32" t="n">
        <x:v>4.22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Cephaloscyllium isabella</x:v>
      </x:c>
      <x:c r="T103" s="32" t="n">
        <x:f>IF(O103="","",(1/'Metadata'!$B$5)^(O103-1))</x:f>
        <x:v>1659.5869074375596</x:v>
      </x:c>
      <x:c r="U103" s="31" t="n">
        <x:f>IF(T103="","",I103*T103)</x:f>
        <x:v>153464.34140040164</x:v>
      </x:c>
    </x:row>
    <x:row r="104" ht="18" customHeight="1">
      <x:c r="A104" s="24" t="str">
        <x:v>EEZ_554</x:v>
      </x:c>
      <x:c r="B104" s="24" t="str">
        <x:v>New Zealand</x:v>
      </x:c>
      <x:c r="C104" s="24" t="str">
        <x:v>EEZ</x:v>
      </x:c>
      <x:c r="D104" s="30" t="n">
        <x:v>2019</x:v>
      </x:c>
      <x:c r="E104" s="24" t="str">
        <x:v>Thunnus obesus</x:v>
      </x:c>
      <x:c r="F104" s="24" t="str">
        <x:v>Bigeye tuna</x:v>
      </x:c>
      <x:c r="G104" s="24" t="str">
        <x:v>Large pelagics (&gt;=90 cm)</x:v>
      </x:c>
      <x:c r="H104" s="24" t="str">
        <x:v>Tuna &amp; billfishes</x:v>
      </x:c>
      <x:c r="I104" s="31" t="n">
        <x:v>88.4558711874</x:v>
      </x:c>
      <x:c r="J104" s="31" t="n">
        <x:v>82.9073924927</x:v>
      </x:c>
      <x:c r="K104" s="31" t="n">
        <x:v>5.5484786947</x:v>
      </x:c>
      <x:c r="L104" s="31" t="n">
        <x:v>80.22735437380001</x:v>
      </x:c>
      <x:c r="M104" s="31" t="n">
        <x:v>8.2285168136</x:v>
      </x:c>
      <x:c r="N104" s="24" t="str">
        <x:v>thunnus obesus</x:v>
      </x:c>
      <x:c r="O104" s="32" t="n">
        <x:v>4.49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Thunnus obesus</x:v>
      </x:c>
      <x:c r="T104" s="32" t="n">
        <x:f>IF(O104="","",(1/'Metadata'!$B$5)^(O104-1))</x:f>
        <x:v>3090.295432513592</x:v>
      </x:c>
      <x:c r="U104" s="31" t="n">
        <x:f>IF(T104="","",I104*T104)</x:f>
        <x:v>273354.7747094329</x:v>
      </x:c>
    </x:row>
    <x:row r="105" ht="18" customHeight="1">
      <x:c r="A105" s="24" t="str">
        <x:v>EEZ_554</x:v>
      </x:c>
      <x:c r="B105" s="24" t="str">
        <x:v>New Zealand</x:v>
      </x:c>
      <x:c r="C105" s="24" t="str">
        <x:v>EEZ</x:v>
      </x:c>
      <x:c r="D105" s="30" t="n">
        <x:v>2019</x:v>
      </x:c>
      <x:c r="E105" s="24" t="str">
        <x:v>Pentaceros richardsoni</x:v>
      </x:c>
      <x:c r="F105" s="24" t="str">
        <x:v>Pelagic armourhead</x:v>
      </x:c>
      <x:c r="G105" s="24" t="str">
        <x:v>Medium pelagics (30 - 89 cm)</x:v>
      </x:c>
      <x:c r="H105" s="24" t="str">
        <x:v>Perch-likes</x:v>
      </x:c>
      <x:c r="I105" s="31" t="n">
        <x:v>85.3436390864</x:v>
      </x:c>
      <x:c r="J105" s="31" t="n">
        <x:v>85.3436390864</x:v>
      </x:c>
      <x:c r="K105" s="31" t="n">
        <x:v>0</x:v>
      </x:c>
      <x:c r="L105" s="31" t="n">
        <x:v>77.0135134596</x:v>
      </x:c>
      <x:c r="M105" s="31" t="n">
        <x:v>8.3301256268</x:v>
      </x:c>
      <x:c r="N105" s="24" t="str">
        <x:v>pentaceros richardsoni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Pentaceros richardsoni</x:v>
      </x:c>
      <x:c r="T105" s="32" t="n">
        <x:f>IF(O105="","",(1/'Metadata'!$B$5)^(O105-1))</x:f>
        <x:v>316.22776601683796</x:v>
      </x:c>
      <x:c r="U105" s="31" t="n">
        <x:f>IF(T105="","",I105*T105)</x:f>
        <x:v>26988.02833203957</x:v>
      </x:c>
    </x:row>
    <x:row r="106" ht="18" customHeight="1">
      <x:c r="A106" s="24" t="str">
        <x:v>EEZ_554</x:v>
      </x:c>
      <x:c r="B106" s="24" t="str">
        <x:v>New Zealand</x:v>
      </x:c>
      <x:c r="C106" s="24" t="str">
        <x:v>EEZ</x:v>
      </x:c>
      <x:c r="D106" s="30" t="n">
        <x:v>2019</x:v>
      </x:c>
      <x:c r="E106" s="24" t="str">
        <x:v>Cyttus novaezealandiae</x:v>
      </x:c>
      <x:c r="F106" s="24" t="str">
        <x:v>New Zealand dory</x:v>
      </x:c>
      <x:c r="G106" s="24" t="str">
        <x:v>Medium demersals (30 - 89 cm)</x:v>
      </x:c>
      <x:c r="H106" s="24" t="str">
        <x:v>Other fishes &amp; inverts</x:v>
      </x:c>
      <x:c r="I106" s="31" t="n">
        <x:v>77.9088124548</x:v>
      </x:c>
      <x:c r="J106" s="31" t="n">
        <x:v>77.9088124548</x:v>
      </x:c>
      <x:c r="K106" s="31" t="n">
        <x:v>0</x:v>
      </x:c>
      <x:c r="L106" s="31" t="n">
        <x:v>70.30437699950001</x:v>
      </x:c>
      <x:c r="M106" s="31" t="n">
        <x:v>7.6044354553</x:v>
      </x:c>
      <x:c r="N106" s="24" t="str">
        <x:v>cyttus novaezealandiae</x:v>
      </x:c>
      <x:c r="O106" s="32" t="n">
        <x:v>3.82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Cyttus novaezealandiae</x:v>
      </x:c>
      <x:c r="T106" s="32" t="n">
        <x:f>IF(O106="","",(1/'Metadata'!$B$5)^(O106-1))</x:f>
        <x:v>660.6934480075957</x:v>
      </x:c>
      <x:c r="U106" s="31" t="n">
        <x:f>IF(T106="","",I106*T106)</x:f>
        <x:v>51473.84193093893</x:v>
      </x:c>
    </x:row>
    <x:row r="107" ht="18" customHeight="1">
      <x:c r="A107" s="24" t="str">
        <x:v>EEZ_554</x:v>
      </x:c>
      <x:c r="B107" s="24" t="str">
        <x:v>New Zealand</x:v>
      </x:c>
      <x:c r="C107" s="24" t="str">
        <x:v>EEZ</x:v>
      </x:c>
      <x:c r="D107" s="30" t="n">
        <x:v>2019</x:v>
      </x:c>
      <x:c r="E107" s="24" t="str">
        <x:v>Myliobatidae</x:v>
      </x:c>
      <x:c r="F107" s="24" t="str">
        <x:v>Eagle/manta rays</x:v>
      </x:c>
      <x:c r="G107" s="24" t="str">
        <x:v>Large rays (&gt;=90 cm)</x:v>
      </x:c>
      <x:c r="H107" s="24" t="str">
        <x:v>Sharks &amp; rays</x:v>
      </x:c>
      <x:c r="I107" s="31" t="n">
        <x:v>73.0090626281</x:v>
      </x:c>
      <x:c r="J107" s="31" t="n">
        <x:v>73.0090626281</x:v>
      </x:c>
      <x:c r="K107" s="31" t="n">
        <x:v>0</x:v>
      </x:c>
      <x:c r="L107" s="31" t="n">
        <x:v>65.8828764186</x:v>
      </x:c>
      <x:c r="M107" s="31" t="n">
        <x:v>7.1261862095</x:v>
      </x:c>
      <x:c r="N107" s="24" t="str">
        <x:v>myliobatidae</x:v>
      </x:c>
      <x:c r="O107" s="32" t="n">
        <x:v>3.36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Myliobatidae</x:v>
      </x:c>
      <x:c r="T107" s="32" t="n">
        <x:f>IF(O107="","",(1/'Metadata'!$B$5)^(O107-1))</x:f>
        <x:v>229.08676527677724</x:v>
      </x:c>
      <x:c r="U107" s="31" t="n">
        <x:f>IF(T107="","",I107*T107)</x:f>
        <x:v>16725.409993361074</x:v>
      </x:c>
    </x:row>
    <x:row r="108" ht="18" customHeight="1">
      <x:c r="A108" s="24" t="str">
        <x:v>EEZ_554</x:v>
      </x:c>
      <x:c r="B108" s="24" t="str">
        <x:v>New Zealand</x:v>
      </x:c>
      <x:c r="C108" s="24" t="str">
        <x:v>EEZ</x:v>
      </x:c>
      <x:c r="D108" s="30" t="n">
        <x:v>2019</x:v>
      </x:c>
      <x:c r="E108" s="24" t="str">
        <x:v>Girella tricuspidata</x:v>
      </x:c>
      <x:c r="F108" s="24" t="str">
        <x:v>Parore</x:v>
      </x:c>
      <x:c r="G108" s="24" t="str">
        <x:v>Medium benthopelagics (30 - 89 cm)</x:v>
      </x:c>
      <x:c r="H108" s="24" t="str">
        <x:v>Perch-likes</x:v>
      </x:c>
      <x:c r="I108" s="31" t="n">
        <x:v>72.9915062151</x:v>
      </x:c>
      <x:c r="J108" s="31" t="n">
        <x:v>72.9915062151</x:v>
      </x:c>
      <x:c r="K108" s="31" t="n">
        <x:v>0</x:v>
      </x:c>
      <x:c r="L108" s="31" t="n">
        <x:v>65.7722653349</x:v>
      </x:c>
      <x:c r="M108" s="31" t="n">
        <x:v>7.2192408802</x:v>
      </x:c>
      <x:c r="N108" s="24" t="str">
        <x:v>girella tricuspidata</x:v>
      </x:c>
      <x:c r="O108" s="32" t="n">
        <x:v>2.09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Girella tricuspidata</x:v>
      </x:c>
      <x:c r="T108" s="32" t="n">
        <x:f>IF(O108="","",(1/'Metadata'!$B$5)^(O108-1))</x:f>
        <x:v>12.30268770812381</x:v>
      </x:c>
      <x:c r="U108" s="31" t="n">
        <x:f>IF(T108="","",I108*T108)</x:f>
        <x:v>897.9917063099535</x:v>
      </x:c>
    </x:row>
    <x:row r="109" ht="18" customHeight="1">
      <x:c r="A109" s="24" t="str">
        <x:v>EEZ_554</x:v>
      </x:c>
      <x:c r="B109" s="24" t="str">
        <x:v>New Zealand</x:v>
      </x:c>
      <x:c r="C109" s="24" t="str">
        <x:v>EEZ</x:v>
      </x:c>
      <x:c r="D109" s="30" t="n">
        <x:v>2019</x:v>
      </x:c>
      <x:c r="E109" s="24" t="str">
        <x:v>Triakidae</x:v>
      </x:c>
      <x:c r="F109" s="24" t="str">
        <x:v>Houndsharks</x:v>
      </x:c>
      <x:c r="G109" s="24" t="str">
        <x:v>Large sharks (&gt;=90 cm)</x:v>
      </x:c>
      <x:c r="H109" s="24" t="str">
        <x:v>Sharks &amp; rays</x:v>
      </x:c>
      <x:c r="I109" s="31" t="n">
        <x:v>72.2092004673</x:v>
      </x:c>
      <x:c r="J109" s="31" t="n">
        <x:v>0</x:v>
      </x:c>
      <x:c r="K109" s="31" t="n">
        <x:v>72.2092004673</x:v>
      </x:c>
      <x:c r="L109" s="31" t="n">
        <x:v>0</x:v>
      </x:c>
      <x:c r="M109" s="31" t="n">
        <x:v>72.2092004673</x:v>
      </x:c>
      <x:c r="N109" s="24" t="str">
        <x:v>triakidae</x:v>
      </x:c>
      <x:c r="O109" s="32" t="n">
        <x:v>3.82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Triakidae</x:v>
      </x:c>
      <x:c r="T109" s="32" t="n">
        <x:f>IF(O109="","",(1/'Metadata'!$B$5)^(O109-1))</x:f>
        <x:v>660.6934480075957</x:v>
      </x:c>
      <x:c r="U109" s="31" t="n">
        <x:f>IF(T109="","",I109*T109)</x:f>
        <x:v>47708.14563461213</x:v>
      </x:c>
    </x:row>
    <x:row r="110" ht="18" customHeight="1">
      <x:c r="A110" s="24" t="str">
        <x:v>EEZ_554</x:v>
      </x:c>
      <x:c r="B110" s="24" t="str">
        <x:v>New Zealand</x:v>
      </x:c>
      <x:c r="C110" s="24" t="str">
        <x:v>EEZ</x:v>
      </x:c>
      <x:c r="D110" s="30" t="n">
        <x:v>2019</x:v>
      </x:c>
      <x:c r="E110" s="24" t="str">
        <x:v>Serranidae</x:v>
      </x:c>
      <x:c r="F110" s="24" t="str">
        <x:v>Basses, groupers, hinds</x:v>
      </x:c>
      <x:c r="G110" s="24" t="str">
        <x:v>Medium reef assoc. fish (30 - 89 cm)</x:v>
      </x:c>
      <x:c r="H110" s="24" t="str">
        <x:v>Perch-likes</x:v>
      </x:c>
      <x:c r="I110" s="31" t="n">
        <x:v>68.75498751859999</x:v>
      </x:c>
      <x:c r="J110" s="31" t="n">
        <x:v>62.6336805116</x:v>
      </x:c>
      <x:c r="K110" s="31" t="n">
        <x:v>6.121307007</x:v>
      </x:c>
      <x:c r="L110" s="31" t="n">
        <x:v>56.520202909199995</x:v>
      </x:c>
      <x:c r="M110" s="31" t="n">
        <x:v>12.2347846094</x:v>
      </x:c>
      <x:c r="N110" s="24" t="str">
        <x:v>serranidae</x:v>
      </x:c>
      <x:c r="O110" s="32" t="n">
        <x:v>3.98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Serranidae</x:v>
      </x:c>
      <x:c r="T110" s="32" t="n">
        <x:f>IF(O110="","",(1/'Metadata'!$B$5)^(O110-1))</x:f>
        <x:v>954.992586021436</x:v>
      </x:c>
      <x:c r="U110" s="31" t="n">
        <x:f>IF(T110="","",I110*T110)</x:f>
        <x:v>65660.50333225935</x:v>
      </x:c>
    </x:row>
    <x:row r="111" ht="18" customHeight="1">
      <x:c r="A111" s="24" t="str">
        <x:v>EEZ_554</x:v>
      </x:c>
      <x:c r="B111" s="24" t="str">
        <x:v>New Zealand</x:v>
      </x:c>
      <x:c r="C111" s="24" t="str">
        <x:v>EEZ</x:v>
      </x:c>
      <x:c r="D111" s="30" t="n">
        <x:v>2019</x:v>
      </x:c>
      <x:c r="E111" s="24" t="str">
        <x:v>Lamna nasus</x:v>
      </x:c>
      <x:c r="F111" s="24" t="str">
        <x:v>Porbeagle</x:v>
      </x:c>
      <x:c r="G111" s="24" t="str">
        <x:v>Large sharks (&gt;=90 cm)</x:v>
      </x:c>
      <x:c r="H111" s="24" t="str">
        <x:v>Sharks &amp; rays</x:v>
      </x:c>
      <x:c r="I111" s="31" t="n">
        <x:v>66.7249937223</x:v>
      </x:c>
      <x:c r="J111" s="31" t="n">
        <x:v>66.7249937223</x:v>
      </x:c>
      <x:c r="K111" s="31" t="n">
        <x:v>0</x:v>
      </x:c>
      <x:c r="L111" s="31" t="n">
        <x:v>64.5046607504</x:v>
      </x:c>
      <x:c r="M111" s="31" t="n">
        <x:v>2.2203329719</x:v>
      </x:c>
      <x:c r="N111" s="24" t="str">
        <x:v>lamna nasus</x:v>
      </x:c>
      <x:c r="O111" s="32" t="n">
        <x:v>4.57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Lamna nasus</x:v>
      </x:c>
      <x:c r="T111" s="32" t="n">
        <x:f>IF(O111="","",(1/'Metadata'!$B$5)^(O111-1))</x:f>
        <x:v>3715.3522909717276</x:v>
      </x:c>
      <x:c r="U111" s="31" t="n">
        <x:f>IF(T111="","",I111*T111)</x:f>
        <x:v>247906.85829122143</x:v>
      </x:c>
    </x:row>
    <x:row r="112" ht="18" customHeight="1">
      <x:c r="A112" s="24" t="str">
        <x:v>EEZ_554</x:v>
      </x:c>
      <x:c r="B112" s="24" t="str">
        <x:v>New Zealand</x:v>
      </x:c>
      <x:c r="C112" s="24" t="str">
        <x:v>EEZ</x:v>
      </x:c>
      <x:c r="D112" s="30" t="n">
        <x:v>2019</x:v>
      </x:c>
      <x:c r="E112" s="24" t="str">
        <x:v>Lampris guttatus</x:v>
      </x:c>
      <x:c r="F112" s="24" t="str">
        <x:v>Opah</x:v>
      </x:c>
      <x:c r="G112" s="24" t="str">
        <x:v>Large bathypelagics (&gt;=90 cm)</x:v>
      </x:c>
      <x:c r="H112" s="24" t="str">
        <x:v>Other fishes &amp; inverts</x:v>
      </x:c>
      <x:c r="I112" s="31" t="n">
        <x:v>62.5976389344</x:v>
      </x:c>
      <x:c r="J112" s="31" t="n">
        <x:v>62.5976389344</x:v>
      </x:c>
      <x:c r="K112" s="31" t="n">
        <x:v>0</x:v>
      </x:c>
      <x:c r="L112" s="31" t="n">
        <x:v>53.1793209297</x:v>
      </x:c>
      <x:c r="M112" s="31" t="n">
        <x:v>9.4183180047</x:v>
      </x:c>
      <x:c r="N112" s="24" t="str">
        <x:v>lampris guttatus</x:v>
      </x:c>
      <x:c r="O112" s="32" t="n">
        <x:v>4.22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Lampris guttatus</x:v>
      </x:c>
      <x:c r="T112" s="32" t="n">
        <x:f>IF(O112="","",(1/'Metadata'!$B$5)^(O112-1))</x:f>
        <x:v>1659.5869074375596</x:v>
      </x:c>
      <x:c r="U112" s="31" t="n">
        <x:f>IF(T112="","",I112*T112)</x:f>
        <x:v>103886.22201203388</x:v>
      </x:c>
    </x:row>
    <x:row r="113" ht="18" customHeight="1">
      <x:c r="A113" s="24" t="str">
        <x:v>EEZ_554</x:v>
      </x:c>
      <x:c r="B113" s="24" t="str">
        <x:v>New Zealand</x:v>
      </x:c>
      <x:c r="C113" s="24" t="str">
        <x:v>EEZ</x:v>
      </x:c>
      <x:c r="D113" s="30" t="n">
        <x:v>2019</x:v>
      </x:c>
      <x:c r="E113" s="24" t="str">
        <x:v>Coryphaena hippurus</x:v>
      </x:c>
      <x:c r="F113" s="24" t="str">
        <x:v>Common dolphinfish</x:v>
      </x:c>
      <x:c r="G113" s="24" t="str">
        <x:v>Large pelagics (&gt;=90 cm)</x:v>
      </x:c>
      <x:c r="H113" s="24" t="str">
        <x:v>Perch-likes</x:v>
      </x:c>
      <x:c r="I113" s="31" t="n">
        <x:v>60.1534397872</x:v>
      </x:c>
      <x:c r="J113" s="31" t="n">
        <x:v>1.9888787544000002</x:v>
      </x:c>
      <x:c r="K113" s="31" t="n">
        <x:v>58.1645610328</x:v>
      </x:c>
      <x:c r="L113" s="31" t="n">
        <x:v>1.7947505214</x:v>
      </x:c>
      <x:c r="M113" s="31" t="n">
        <x:v>58.3586892658</x:v>
      </x:c>
      <x:c r="N113" s="24" t="str">
        <x:v>coryphaena hippurus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Coryphaena hippurus</x:v>
      </x:c>
      <x:c r="T113" s="32" t="n">
        <x:f>IF(O113="","",(1/'Metadata'!$B$5)^(O113-1))</x:f>
        <x:v>2344.228815319923</x:v>
      </x:c>
      <x:c r="U113" s="31" t="n">
        <x:f>IF(T113="","",I113*T113)</x:f>
        <x:v>141013.42688976618</x:v>
      </x:c>
    </x:row>
    <x:row r="114" ht="18" customHeight="1">
      <x:c r="A114" s="24" t="str">
        <x:v>EEZ_554</x:v>
      </x:c>
      <x:c r="B114" s="24" t="str">
        <x:v>New Zealand</x:v>
      </x:c>
      <x:c r="C114" s="24" t="str">
        <x:v>EEZ</x:v>
      </x:c>
      <x:c r="D114" s="30" t="n">
        <x:v>2019</x:v>
      </x:c>
      <x:c r="E114" s="24" t="str">
        <x:v>Argentina elongata</x:v>
      </x:c>
      <x:c r="F114" s="24" t="str">
        <x:v>Argentine</x:v>
      </x:c>
      <x:c r="G114" s="24" t="str">
        <x:v>Small pelagics (&lt;30 cm)</x:v>
      </x:c>
      <x:c r="H114" s="24" t="str">
        <x:v>Salmon, smelts, etc</x:v>
      </x:c>
      <x:c r="I114" s="31" t="n">
        <x:v>58.2650416063</x:v>
      </x:c>
      <x:c r="J114" s="31" t="n">
        <x:v>58.2650416063</x:v>
      </x:c>
      <x:c r="K114" s="31" t="n">
        <x:v>0</x:v>
      </x:c>
      <x:c r="L114" s="31" t="n">
        <x:v>52.5779731614</x:v>
      </x:c>
      <x:c r="M114" s="31" t="n">
        <x:v>5.6870684449</x:v>
      </x:c>
      <x:c r="N114" s="24" t="str">
        <x:v>argentina elongata</x:v>
      </x:c>
      <x:c r="O114" s="32" t="n">
        <x:v>3.4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Argentina elongata</x:v>
      </x:c>
      <x:c r="T114" s="32" t="n">
        <x:f>IF(O114="","",(1/'Metadata'!$B$5)^(O114-1))</x:f>
        <x:v>251.18864315095797</x:v>
      </x:c>
      <x:c r="U114" s="31" t="n">
        <x:f>IF(T114="","",I114*T114)</x:f>
        <x:v>14635.516744220611</x:v>
      </x:c>
    </x:row>
    <x:row r="115" ht="18" customHeight="1">
      <x:c r="A115" s="24" t="str">
        <x:v>EEZ_554</x:v>
      </x:c>
      <x:c r="B115" s="24" t="str">
        <x:v>New Zealand</x:v>
      </x:c>
      <x:c r="C115" s="24" t="str">
        <x:v>EEZ</x:v>
      </x:c>
      <x:c r="D115" s="30" t="n">
        <x:v>2019</x:v>
      </x:c>
      <x:c r="E115" s="24" t="str">
        <x:v>Centroberyx affinis</x:v>
      </x:c>
      <x:c r="F115" s="24" t="str">
        <x:v>Redfish</x:v>
      </x:c>
      <x:c r="G115" s="24" t="str">
        <x:v>Medium benthopelagics (30 - 89 cm)</x:v>
      </x:c>
      <x:c r="H115" s="24" t="str">
        <x:v>Other fishes &amp; inverts</x:v>
      </x:c>
      <x:c r="I115" s="31" t="n">
        <x:v>58.0676603319</x:v>
      </x:c>
      <x:c r="J115" s="31" t="n">
        <x:v>58.0676603319</x:v>
      </x:c>
      <x:c r="K115" s="31" t="n">
        <x:v>0</x:v>
      </x:c>
      <x:c r="L115" s="31" t="n">
        <x:v>53.1713797438</x:v>
      </x:c>
      <x:c r="M115" s="31" t="n">
        <x:v>4.8962805881</x:v>
      </x:c>
      <x:c r="N115" s="24" t="str">
        <x:v>centroberyx affinis</x:v>
      </x:c>
      <x:c r="O115" s="32" t="n">
        <x:v>3.81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Centroberyx affinis</x:v>
      </x:c>
      <x:c r="T115" s="32" t="n">
        <x:f>IF(O115="","",(1/'Metadata'!$B$5)^(O115-1))</x:f>
        <x:v>645.6542290346556</x:v>
      </x:c>
      <x:c r="U115" s="31" t="n">
        <x:f>IF(T115="","",I115*T115)</x:f>
        <x:v>37491.63046343915</x:v>
      </x:c>
    </x:row>
    <x:row r="116" ht="18" customHeight="1">
      <x:c r="A116" s="24" t="str">
        <x:v>EEZ_554</x:v>
      </x:c>
      <x:c r="B116" s="24" t="str">
        <x:v>New Zealand</x:v>
      </x:c>
      <x:c r="C116" s="24" t="str">
        <x:v>EEZ</x:v>
      </x:c>
      <x:c r="D116" s="30" t="n">
        <x:v>2019</x:v>
      </x:c>
      <x:c r="E116" s="24" t="str">
        <x:v>Etmopterus</x:v>
      </x:c>
      <x:c r="F116" s="24" t="str">
        <x:v>Lanternsharks</x:v>
      </x:c>
      <x:c r="G116" s="24" t="str">
        <x:v>Small to medium sharks (&lt;90 cm)</x:v>
      </x:c>
      <x:c r="H116" s="24" t="str">
        <x:v>Sharks &amp; rays</x:v>
      </x:c>
      <x:c r="I116" s="31" t="n">
        <x:v>52.7417417786</x:v>
      </x:c>
      <x:c r="J116" s="31" t="n">
        <x:v>52.7417417786</x:v>
      </x:c>
      <x:c r="K116" s="31" t="n">
        <x:v>0</x:v>
      </x:c>
      <x:c r="L116" s="31" t="n">
        <x:v>47.59378536</x:v>
      </x:c>
      <x:c r="M116" s="31" t="n">
        <x:v>5.1479564186</x:v>
      </x:c>
      <x:c r="N116" s="24" t="str">
        <x:v>etmopterus</x:v>
      </x:c>
      <x:c r="O116" s="32" t="n">
        <x:v>4.02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Etmopterus</x:v>
      </x:c>
      <x:c r="T116" s="32" t="n">
        <x:f>IF(O116="","",(1/'Metadata'!$B$5)^(O116-1))</x:f>
        <x:v>1047.1285480508984</x:v>
      </x:c>
      <x:c r="U116" s="31" t="n">
        <x:f>IF(T116="","",I116*T116)</x:f>
        <x:v>55227.383490300825</x:v>
      </x:c>
    </x:row>
    <x:row r="117" ht="18" customHeight="1">
      <x:c r="A117" s="24" t="str">
        <x:v>EEZ_554</x:v>
      </x:c>
      <x:c r="B117" s="24" t="str">
        <x:v>New Zealand</x:v>
      </x:c>
      <x:c r="C117" s="24" t="str">
        <x:v>EEZ</x:v>
      </x:c>
      <x:c r="D117" s="30" t="n">
        <x:v>2019</x:v>
      </x:c>
      <x:c r="E117" s="24" t="str">
        <x:v>Thunnus orientalis</x:v>
      </x:c>
      <x:c r="F117" s="24" t="str">
        <x:v>Pacific bluefin tuna</x:v>
      </x:c>
      <x:c r="G117" s="24" t="str">
        <x:v>Large pelagics (&gt;=90 cm)</x:v>
      </x:c>
      <x:c r="H117" s="24" t="str">
        <x:v>Tuna &amp; billfishes</x:v>
      </x:c>
      <x:c r="I117" s="31" t="n">
        <x:v>52.6281848065</x:v>
      </x:c>
      <x:c r="J117" s="31" t="n">
        <x:v>52.3333969107</x:v>
      </x:c>
      <x:c r="K117" s="31" t="n">
        <x:v>0.2947878958</x:v>
      </x:c>
      <x:c r="L117" s="31" t="n">
        <x:v>51.88833713660001</x:v>
      </x:c>
      <x:c r="M117" s="31" t="n">
        <x:v>0.7398476699000001</x:v>
      </x:c>
      <x:c r="N117" s="24" t="str">
        <x:v>thunnus orientalis</x:v>
      </x:c>
      <x:c r="O117" s="32" t="n">
        <x:v>4.05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Thunnus orientalis</x:v>
      </x:c>
      <x:c r="T117" s="32" t="n">
        <x:f>IF(O117="","",(1/'Metadata'!$B$5)^(O117-1))</x:f>
        <x:v>1122.018454301963</x:v>
      </x:c>
      <x:c r="U117" s="31" t="n">
        <x:f>IF(T117="","",I117*T117)</x:f>
        <x:v>59049.79456930718</x:v>
      </x:c>
    </x:row>
    <x:row r="118" ht="18" customHeight="1">
      <x:c r="A118" s="24" t="str">
        <x:v>EEZ_554</x:v>
      </x:c>
      <x:c r="B118" s="24" t="str">
        <x:v>New Zealand</x:v>
      </x:c>
      <x:c r="C118" s="24" t="str">
        <x:v>EEZ</x:v>
      </x:c>
      <x:c r="D118" s="30" t="n">
        <x:v>2019</x:v>
      </x:c>
      <x:c r="E118" s="24" t="str">
        <x:v>Mugilidae</x:v>
      </x:c>
      <x:c r="F118" s="24" t="str">
        <x:v>Mullets, grey mullets</x:v>
      </x:c>
      <x:c r="G118" s="24" t="str">
        <x:v>Medium reef assoc. fish (30 - 89 cm)</x:v>
      </x:c>
      <x:c r="H118" s="24" t="str">
        <x:v>Perch-likes</x:v>
      </x:c>
      <x:c r="I118" s="31" t="n">
        <x:v>49.7513227324</x:v>
      </x:c>
      <x:c r="J118" s="31" t="n">
        <x:v>0</x:v>
      </x:c>
      <x:c r="K118" s="31" t="n">
        <x:v>49.7513227324</x:v>
      </x:c>
      <x:c r="L118" s="31" t="n">
        <x:v>0</x:v>
      </x:c>
      <x:c r="M118" s="31" t="n">
        <x:v>49.7513227324</x:v>
      </x:c>
      <x:c r="N118" s="24" t="str">
        <x:v>mugilidae</x:v>
      </x:c>
      <x:c r="O118" s="32" t="n">
        <x:v>2.53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Mugilidae</x:v>
      </x:c>
      <x:c r="T118" s="32" t="n">
        <x:f>IF(O118="","",(1/'Metadata'!$B$5)^(O118-1))</x:f>
        <x:v>33.88441561392024</x:v>
      </x:c>
      <x:c r="U118" s="31" t="n">
        <x:f>IF(T118="","",I118*T118)</x:f>
        <x:v>1685.7944968069194</x:v>
      </x:c>
    </x:row>
    <x:row r="119" ht="18" customHeight="1">
      <x:c r="A119" s="24" t="str">
        <x:v>EEZ_554</x:v>
      </x:c>
      <x:c r="B119" s="24" t="str">
        <x:v>New Zealand</x:v>
      </x:c>
      <x:c r="C119" s="24" t="str">
        <x:v>EEZ</x:v>
      </x:c>
      <x:c r="D119" s="30" t="n">
        <x:v>2019</x:v>
      </x:c>
      <x:c r="E119" s="24" t="str">
        <x:v>Isurus oxyrinchus</x:v>
      </x:c>
      <x:c r="F119" s="24" t="str">
        <x:v>Shortfin mako</x:v>
      </x:c>
      <x:c r="G119" s="24" t="str">
        <x:v>Large sharks (&gt;=90 cm)</x:v>
      </x:c>
      <x:c r="H119" s="24" t="str">
        <x:v>Sharks &amp; rays</x:v>
      </x:c>
      <x:c r="I119" s="31" t="n">
        <x:v>47.6214289537</x:v>
      </x:c>
      <x:c r="J119" s="31" t="n">
        <x:v>47.6214289537</x:v>
      </x:c>
      <x:c r="K119" s="31" t="n">
        <x:v>0</x:v>
      </x:c>
      <x:c r="L119" s="31" t="n">
        <x:v>45.1124116118</x:v>
      </x:c>
      <x:c r="M119" s="31" t="n">
        <x:v>2.5090173419</x:v>
      </x:c>
      <x:c r="N119" s="24" t="str">
        <x:v>isurus oxyrinchus</x:v>
      </x:c>
      <x:c r="O119" s="32" t="n">
        <x:v>4.5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Isurus oxyrinchus</x:v>
      </x:c>
      <x:c r="T119" s="32" t="n">
        <x:f>IF(O119="","",(1/'Metadata'!$B$5)^(O119-1))</x:f>
        <x:v>3162.2776601683795</x:v>
      </x:c>
      <x:c r="U119" s="31" t="n">
        <x:f>IF(T119="","",I119*T119)</x:f>
        <x:v>150592.18092558114</x:v>
      </x:c>
    </x:row>
    <x:row r="120" ht="18" customHeight="1">
      <x:c r="A120" s="24" t="str">
        <x:v>EEZ_554</x:v>
      </x:c>
      <x:c r="B120" s="24" t="str">
        <x:v>New Zealand</x:v>
      </x:c>
      <x:c r="C120" s="24" t="str">
        <x:v>EEZ</x:v>
      </x:c>
      <x:c r="D120" s="30" t="n">
        <x:v>2019</x:v>
      </x:c>
      <x:c r="E120" s="24" t="str">
        <x:v>Trachichthyidae</x:v>
      </x:c>
      <x:c r="F120" s="24" t="str">
        <x:v>Slimeheads</x:v>
      </x:c>
      <x:c r="G120" s="24" t="str">
        <x:v>Medium bathypelagics (30 - 89 cm)</x:v>
      </x:c>
      <x:c r="H120" s="24" t="str">
        <x:v>Other fishes &amp; inverts</x:v>
      </x:c>
      <x:c r="I120" s="31" t="n">
        <x:v>46.462458184</x:v>
      </x:c>
      <x:c r="J120" s="31" t="n">
        <x:v>0</x:v>
      </x:c>
      <x:c r="K120" s="31" t="n">
        <x:v>46.462458184</x:v>
      </x:c>
      <x:c r="L120" s="31" t="n">
        <x:v>0</x:v>
      </x:c>
      <x:c r="M120" s="31" t="n">
        <x:v>46.462458184</x:v>
      </x:c>
      <x:c r="N120" s="24" t="str">
        <x:v>trachichthyidae</x:v>
      </x:c>
      <x:c r="O120" s="32" t="n">
        <x:v>3.72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Trachichthyidae</x:v>
      </x:c>
      <x:c r="T120" s="32" t="n">
        <x:f>IF(O120="","",(1/'Metadata'!$B$5)^(O120-1))</x:f>
        <x:v>524.8074602497728</x:v>
      </x:c>
      <x:c r="U120" s="31" t="n">
        <x:f>IF(T120="","",I120*T120)</x:f>
        <x:v>24383.844676506313</x:v>
      </x:c>
    </x:row>
    <x:row r="121" ht="18" customHeight="1">
      <x:c r="A121" s="24" t="str">
        <x:v>EEZ_554</x:v>
      </x:c>
      <x:c r="B121" s="24" t="str">
        <x:v>New Zealand</x:v>
      </x:c>
      <x:c r="C121" s="24" t="str">
        <x:v>EEZ</x:v>
      </x:c>
      <x:c r="D121" s="30" t="n">
        <x:v>2019</x:v>
      </x:c>
      <x:c r="E121" s="24" t="str">
        <x:v>Paphies australis</x:v>
      </x:c>
      <x:c r="F121" s="24" t="str">
        <x:v>Pipi wedge clam</x:v>
      </x:c>
      <x:c r="G121" s="24" t="str">
        <x:v>Other demersal invertebrates</x:v>
      </x:c>
      <x:c r="H121" s="24" t="str">
        <x:v>Molluscs</x:v>
      </x:c>
      <x:c r="I121" s="31" t="n">
        <x:v>44.6567278914</x:v>
      </x:c>
      <x:c r="J121" s="31" t="n">
        <x:v>44.6567278914</x:v>
      </x:c>
      <x:c r="K121" s="31" t="n">
        <x:v>0</x:v>
      </x:c>
      <x:c r="L121" s="31" t="n">
        <x:v>0</x:v>
      </x:c>
      <x:c r="M121" s="31" t="n">
        <x:v>44.6567278914</x:v>
      </x:c>
      <x:c r="N121" s="24" t="str">
        <x:v>paphies australis</x:v>
      </x:c>
      <x:c r="O121" s="32" t="n">
        <x:v>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Paphies australis</x:v>
      </x:c>
      <x:c r="T121" s="32" t="n">
        <x:f>IF(O121="","",(1/'Metadata'!$B$5)^(O121-1))</x:f>
        <x:v>10</x:v>
      </x:c>
      <x:c r="U121" s="31" t="n">
        <x:f>IF(T121="","",I121*T121)</x:f>
        <x:v>446.56727891400004</x:v>
      </x:c>
    </x:row>
    <x:row r="122" ht="18" customHeight="1">
      <x:c r="A122" s="24" t="str">
        <x:v>EEZ_554</x:v>
      </x:c>
      <x:c r="B122" s="24" t="str">
        <x:v>New Zealand</x:v>
      </x:c>
      <x:c r="C122" s="24" t="str">
        <x:v>EEZ</x:v>
      </x:c>
      <x:c r="D122" s="30" t="n">
        <x:v>2019</x:v>
      </x:c>
      <x:c r="E122" s="24" t="str">
        <x:v>Bothidae</x:v>
      </x:c>
      <x:c r="F122" s="24" t="str">
        <x:v>Lefteye flounders</x:v>
      </x:c>
      <x:c r="G122" s="24" t="str">
        <x:v>Small to medium flatfishes (&lt;90 cm)</x:v>
      </x:c>
      <x:c r="H122" s="24" t="str">
        <x:v>Flatfishes</x:v>
      </x:c>
      <x:c r="I122" s="31" t="n">
        <x:v>42.5733369102</x:v>
      </x:c>
      <x:c r="J122" s="31" t="n">
        <x:v>21.1496126525</x:v>
      </x:c>
      <x:c r="K122" s="31" t="n">
        <x:v>21.4237242577</x:v>
      </x:c>
      <x:c r="L122" s="31" t="n">
        <x:v>19.0852651185</x:v>
      </x:c>
      <x:c r="M122" s="31" t="n">
        <x:v>23.4880717917</x:v>
      </x:c>
      <x:c r="N122" s="24" t="str">
        <x:v>bothidae</x:v>
      </x:c>
      <x:c r="O122" s="32" t="n">
        <x:v>3.77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Bothidae</x:v>
      </x:c>
      <x:c r="T122" s="32" t="n">
        <x:f>IF(O122="","",(1/'Metadata'!$B$5)^(O122-1))</x:f>
        <x:v>588.843655355589</x:v>
      </x:c>
      <x:c r="U122" s="31" t="n">
        <x:f>IF(T122="","",I122*T122)</x:f>
        <x:v>25069.039326887185</x:v>
      </x:c>
    </x:row>
    <x:row r="123" ht="18" customHeight="1">
      <x:c r="A123" s="24" t="str">
        <x:v>EEZ_554</x:v>
      </x:c>
      <x:c r="B123" s="24" t="str">
        <x:v>New Zealand</x:v>
      </x:c>
      <x:c r="C123" s="24" t="str">
        <x:v>EEZ</x:v>
      </x:c>
      <x:c r="D123" s="30" t="n">
        <x:v>2019</x:v>
      </x:c>
      <x:c r="E123" s="24" t="str">
        <x:v>Allothunnus fallai</x:v>
      </x:c>
      <x:c r="F123" s="24" t="str">
        <x:v>Slender tuna</x:v>
      </x:c>
      <x:c r="G123" s="24" t="str">
        <x:v>Large pelagics (&gt;=90 cm)</x:v>
      </x:c>
      <x:c r="H123" s="24" t="str">
        <x:v>Tuna &amp; billfishes</x:v>
      </x:c>
      <x:c r="I123" s="31" t="n">
        <x:v>38.6120547212</x:v>
      </x:c>
      <x:c r="J123" s="31" t="n">
        <x:v>38.6120547212</x:v>
      </x:c>
      <x:c r="K123" s="31" t="n">
        <x:v>0</x:v>
      </x:c>
      <x:c r="L123" s="31" t="n">
        <x:v>36.6514457248</x:v>
      </x:c>
      <x:c r="M123" s="31" t="n">
        <x:v>1.9606089964</x:v>
      </x:c>
      <x:c r="N123" s="24" t="str">
        <x:v>allothunnus fallai</x:v>
      </x:c>
      <x:c r="O123" s="32" t="n">
        <x:v>3.7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Allothunnus fallai</x:v>
      </x:c>
      <x:c r="T123" s="32" t="n">
        <x:f>IF(O123="","",(1/'Metadata'!$B$5)^(O123-1))</x:f>
        <x:v>501.18723362727246</x:v>
      </x:c>
      <x:c r="U123" s="31" t="n">
        <x:f>IF(T123="","",I123*T123)</x:f>
        <x:v>19351.868890383095</x:v>
      </x:c>
    </x:row>
    <x:row r="124" ht="18" customHeight="1">
      <x:c r="A124" s="24" t="str">
        <x:v>EEZ_554</x:v>
      </x:c>
      <x:c r="B124" s="24" t="str">
        <x:v>New Zealand</x:v>
      </x:c>
      <x:c r="C124" s="24" t="str">
        <x:v>EEZ</x:v>
      </x:c>
      <x:c r="D124" s="30" t="n">
        <x:v>2019</x:v>
      </x:c>
      <x:c r="E124" s="24" t="str">
        <x:v>Genyagnus monopterygius</x:v>
      </x:c>
      <x:c r="F124" s="24" t="str">
        <x:v>Spotted stargazer</x:v>
      </x:c>
      <x:c r="G124" s="24" t="str">
        <x:v>Small pelagics (&lt;30 cm)</x:v>
      </x:c>
      <x:c r="H124" s="24" t="str">
        <x:v>Perch-likes</x:v>
      </x:c>
      <x:c r="I124" s="31" t="n">
        <x:v>36.1160963684</x:v>
      </x:c>
      <x:c r="J124" s="31" t="n">
        <x:v>36.1160963684</x:v>
      </x:c>
      <x:c r="K124" s="31" t="n">
        <x:v>0</x:v>
      </x:c>
      <x:c r="L124" s="31" t="n">
        <x:v>32.5909171642</x:v>
      </x:c>
      <x:c r="M124" s="31" t="n">
        <x:v>3.5251792042</x:v>
      </x:c>
      <x:c r="N124" s="24" t="str">
        <x:v>genyagnus monopterygius</x:v>
      </x:c>
      <x:c r="O124" s="32" t="n">
        <x:v>4.5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Genyagnus monopterygius</x:v>
      </x:c>
      <x:c r="T124" s="32" t="n">
        <x:f>IF(O124="","",(1/'Metadata'!$B$5)^(O124-1))</x:f>
        <x:v>3162.2776601683795</x:v>
      </x:c>
      <x:c r="U124" s="31" t="n">
        <x:f>IF(T124="","",I124*T124)</x:f>
        <x:v>114209.12471827967</x:v>
      </x:c>
    </x:row>
    <x:row r="125" ht="18" customHeight="1">
      <x:c r="A125" s="24" t="str">
        <x:v>EEZ_554</x:v>
      </x:c>
      <x:c r="B125" s="24" t="str">
        <x:v>New Zealand</x:v>
      </x:c>
      <x:c r="C125" s="24" t="str">
        <x:v>EEZ</x:v>
      </x:c>
      <x:c r="D125" s="30" t="n">
        <x:v>2019</x:v>
      </x:c>
      <x:c r="E125" s="24" t="str">
        <x:v>Monacanthidae</x:v>
      </x:c>
      <x:c r="F125" s="24" t="str">
        <x:v>Filefishes</x:v>
      </x:c>
      <x:c r="G125" s="24" t="str">
        <x:v>Medium reef assoc. fish (30 - 89 cm)</x:v>
      </x:c>
      <x:c r="H125" s="24" t="str">
        <x:v>Other fishes &amp; inverts</x:v>
      </x:c>
      <x:c r="I125" s="31" t="n">
        <x:v>33.8595776827</x:v>
      </x:c>
      <x:c r="J125" s="31" t="n">
        <x:v>0</x:v>
      </x:c>
      <x:c r="K125" s="31" t="n">
        <x:v>33.8595776827</x:v>
      </x:c>
      <x:c r="L125" s="31" t="n">
        <x:v>0</x:v>
      </x:c>
      <x:c r="M125" s="31" t="n">
        <x:v>33.8595776827</x:v>
      </x:c>
      <x:c r="N125" s="24" t="str">
        <x:v>monacanthidae</x:v>
      </x:c>
      <x:c r="O125" s="32" t="n">
        <x:v>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Monacanthidae</x:v>
      </x:c>
      <x:c r="T125" s="32" t="n">
        <x:f>IF(O125="","",(1/'Metadata'!$B$5)^(O125-1))</x:f>
        <x:v>100</x:v>
      </x:c>
      <x:c r="U125" s="31" t="n">
        <x:f>IF(T125="","",I125*T125)</x:f>
        <x:v>3385.95776827</x:v>
      </x:c>
    </x:row>
    <x:row r="126" ht="18" customHeight="1">
      <x:c r="A126" s="24" t="str">
        <x:v>EEZ_554</x:v>
      </x:c>
      <x:c r="B126" s="24" t="str">
        <x:v>New Zealand</x:v>
      </x:c>
      <x:c r="C126" s="24" t="str">
        <x:v>EEZ</x:v>
      </x:c>
      <x:c r="D126" s="30" t="n">
        <x:v>2019</x:v>
      </x:c>
      <x:c r="E126" s="24" t="str">
        <x:v>Squalus mitsukurii</x:v>
      </x:c>
      <x:c r="F126" s="24" t="str">
        <x:v>Shortspine spurdog</x:v>
      </x:c>
      <x:c r="G126" s="24" t="str">
        <x:v>Small to medium sharks (&lt;90 cm)</x:v>
      </x:c>
      <x:c r="H126" s="24" t="str">
        <x:v>Sharks &amp; rays</x:v>
      </x:c>
      <x:c r="I126" s="31" t="n">
        <x:v>33.4608057325</x:v>
      </x:c>
      <x:c r="J126" s="31" t="n">
        <x:v>33.4608057325</x:v>
      </x:c>
      <x:c r="K126" s="31" t="n">
        <x:v>0</x:v>
      </x:c>
      <x:c r="L126" s="31" t="n">
        <x:v>33.1981129005</x:v>
      </x:c>
      <x:c r="M126" s="31" t="n">
        <x:v>0.262692832</x:v>
      </x:c>
      <x:c r="N126" s="24" t="str">
        <x:v>squalus mitsukurii</x:v>
      </x:c>
      <x:c r="O126" s="32" t="n">
        <x:v>4.37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Squalus mitsukurii</x:v>
      </x:c>
      <x:c r="T126" s="32" t="n">
        <x:f>IF(O126="","",(1/'Metadata'!$B$5)^(O126-1))</x:f>
        <x:v>2344.228815319923</x:v>
      </x:c>
      <x:c r="U126" s="31" t="n">
        <x:f>IF(T126="","",I126*T126)</x:f>
        <x:v>78439.78498194856</x:v>
      </x:c>
    </x:row>
    <x:row r="127" ht="18" customHeight="1">
      <x:c r="A127" s="24" t="str">
        <x:v>EEZ_554</x:v>
      </x:c>
      <x:c r="B127" s="24" t="str">
        <x:v>New Zealand</x:v>
      </x:c>
      <x:c r="C127" s="24" t="str">
        <x:v>EEZ</x:v>
      </x:c>
      <x:c r="D127" s="30" t="n">
        <x:v>2019</x:v>
      </x:c>
      <x:c r="E127" s="24" t="str">
        <x:v>Isurus</x:v>
      </x:c>
      <x:c r="F127" s="24" t="str">
        <x:v>Mako sharks</x:v>
      </x:c>
      <x:c r="G127" s="24" t="str">
        <x:v>Large sharks (&gt;=90 cm)</x:v>
      </x:c>
      <x:c r="H127" s="24" t="str">
        <x:v>Sharks &amp; rays</x:v>
      </x:c>
      <x:c r="I127" s="31" t="n">
        <x:v>33.348866248</x:v>
      </x:c>
      <x:c r="J127" s="31" t="n">
        <x:v>7.9364506165</x:v>
      </x:c>
      <x:c r="K127" s="31" t="n">
        <x:v>25.4124156315</x:v>
      </x:c>
      <x:c r="L127" s="31" t="n">
        <x:v>7.9364506165</x:v>
      </x:c>
      <x:c r="M127" s="31" t="n">
        <x:v>25.4124156315</x:v>
      </x:c>
      <x:c r="N127" s="24" t="str">
        <x:v>isurus</x:v>
      </x:c>
      <x:c r="O127" s="32" t="n">
        <x:v>4.5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Isurus</x:v>
      </x:c>
      <x:c r="T127" s="32" t="n">
        <x:f>IF(O127="","",(1/'Metadata'!$B$5)^(O127-1))</x:f>
        <x:v>3162.2776601683795</x:v>
      </x:c>
      <x:c r="U127" s="31" t="n">
        <x:f>IF(T127="","",I127*T127)</x:f>
        <x:v>105458.37472799368</x:v>
      </x:c>
    </x:row>
    <x:row r="128" ht="18" customHeight="1">
      <x:c r="A128" s="24" t="str">
        <x:v>EEZ_554</x:v>
      </x:c>
      <x:c r="B128" s="24" t="str">
        <x:v>New Zealand</x:v>
      </x:c>
      <x:c r="C128" s="24" t="str">
        <x:v>EEZ</x:v>
      </x:c>
      <x:c r="D128" s="30" t="n">
        <x:v>2019</x:v>
      </x:c>
      <x:c r="E128" s="24" t="str">
        <x:v>Aldrichetta forsteri</x:v>
      </x:c>
      <x:c r="F128" s="24" t="str">
        <x:v>Yellow-eye mullet</x:v>
      </x:c>
      <x:c r="G128" s="24" t="str">
        <x:v>Small pelagics (&lt;30 cm)</x:v>
      </x:c>
      <x:c r="H128" s="24" t="str">
        <x:v>Other fishes &amp; inverts</x:v>
      </x:c>
      <x:c r="I128" s="31" t="n">
        <x:v>31.7763693793</x:v>
      </x:c>
      <x:c r="J128" s="31" t="n">
        <x:v>31.7763693793</x:v>
      </x:c>
      <x:c r="K128" s="31" t="n">
        <x:v>0</x:v>
      </x:c>
      <x:c r="L128" s="31" t="n">
        <x:v>30.1878777046</x:v>
      </x:c>
      <x:c r="M128" s="31" t="n">
        <x:v>1.5884916747</x:v>
      </x:c>
      <x:c r="N128" s="24" t="str">
        <x:v>aldrichetta forsteri</x:v>
      </x:c>
      <x:c r="O128" s="32" t="n">
        <x:v>2.51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Aldrichetta forsteri</x:v>
      </x:c>
      <x:c r="T128" s="32" t="n">
        <x:f>IF(O128="","",(1/'Metadata'!$B$5)^(O128-1))</x:f>
        <x:v>32.35936569296281</x:v>
      </x:c>
      <x:c r="U128" s="31" t="n">
        <x:f>IF(T128="","",I128*T128)</x:f>
        <x:v>1028.2631571394345</x:v>
      </x:c>
    </x:row>
    <x:row r="129" ht="18" customHeight="1">
      <x:c r="A129" s="24" t="str">
        <x:v>EEZ_554</x:v>
      </x:c>
      <x:c r="B129" s="24" t="str">
        <x:v>New Zealand</x:v>
      </x:c>
      <x:c r="C129" s="24" t="str">
        <x:v>EEZ</x:v>
      </x:c>
      <x:c r="D129" s="30" t="n">
        <x:v>2019</x:v>
      </x:c>
      <x:c r="E129" s="24" t="str">
        <x:v>Centrolophus niger</x:v>
      </x:c>
      <x:c r="F129" s="24" t="str">
        <x:v>Rudderfish</x:v>
      </x:c>
      <x:c r="G129" s="24" t="str">
        <x:v>Large bathypelagics (&gt;=90 cm)</x:v>
      </x:c>
      <x:c r="H129" s="24" t="str">
        <x:v>Perch-likes</x:v>
      </x:c>
      <x:c r="I129" s="31" t="n">
        <x:v>31.613047653</x:v>
      </x:c>
      <x:c r="J129" s="31" t="n">
        <x:v>31.613047653</x:v>
      </x:c>
      <x:c r="K129" s="31" t="n">
        <x:v>0</x:v>
      </x:c>
      <x:c r="L129" s="31" t="n">
        <x:v>28.5273969624</x:v>
      </x:c>
      <x:c r="M129" s="31" t="n">
        <x:v>3.0856506906</x:v>
      </x:c>
      <x:c r="N129" s="24" t="str">
        <x:v>centrolophus niger</x:v>
      </x:c>
      <x:c r="O129" s="32" t="n">
        <x:v>3.92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Centrolophus niger</x:v>
      </x:c>
      <x:c r="T129" s="32" t="n">
        <x:f>IF(O129="","",(1/'Metadata'!$B$5)^(O129-1))</x:f>
        <x:v>831.7637711026708</x:v>
      </x:c>
      <x:c r="U129" s="31" t="n">
        <x:f>IF(T129="","",I129*T129)</x:f>
        <x:v>26294.587731907715</x:v>
      </x:c>
    </x:row>
    <x:row r="130" ht="18" customHeight="1">
      <x:c r="A130" s="24" t="str">
        <x:v>EEZ_554</x:v>
      </x:c>
      <x:c r="B130" s="24" t="str">
        <x:v>New Zealand</x:v>
      </x:c>
      <x:c r="C130" s="24" t="str">
        <x:v>EEZ</x:v>
      </x:c>
      <x:c r="D130" s="30" t="n">
        <x:v>2019</x:v>
      </x:c>
      <x:c r="E130" s="24" t="str">
        <x:v>Lepidocybium flavobrunneum</x:v>
      </x:c>
      <x:c r="F130" s="24" t="str">
        <x:v>Escolar</x:v>
      </x:c>
      <x:c r="G130" s="24" t="str">
        <x:v>Large bathypelagics (&gt;=90 cm)</x:v>
      </x:c>
      <x:c r="H130" s="24" t="str">
        <x:v>Perch-likes</x:v>
      </x:c>
      <x:c r="I130" s="31" t="n">
        <x:v>31.578610107499998</x:v>
      </x:c>
      <x:c r="J130" s="31" t="n">
        <x:v>31.578610107499998</x:v>
      </x:c>
      <x:c r="K130" s="31" t="n">
        <x:v>0</x:v>
      </x:c>
      <x:c r="L130" s="31" t="n">
        <x:v>28.496320758099998</x:v>
      </x:c>
      <x:c r="M130" s="31" t="n">
        <x:v>3.0822893494</x:v>
      </x:c>
      <x:c r="N130" s="24" t="str">
        <x:v>lepidocybium flavobrunneum</x:v>
      </x:c>
      <x:c r="O130" s="32" t="n">
        <x:v>4.34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Lepidocybium flavobrunneum</x:v>
      </x:c>
      <x:c r="T130" s="32" t="n">
        <x:f>IF(O130="","",(1/'Metadata'!$B$5)^(O130-1))</x:f>
        <x:v>2187.761623949552</x:v>
      </x:c>
      <x:c r="U130" s="31" t="n">
        <x:f>IF(T130="","",I130*T130)</x:f>
        <x:v>69086.47133085394</x:v>
      </x:c>
    </x:row>
    <x:row r="131" ht="18" customHeight="1">
      <x:c r="A131" s="24" t="str">
        <x:v>EEZ_554</x:v>
      </x:c>
      <x:c r="B131" s="24" t="str">
        <x:v>New Zealand</x:v>
      </x:c>
      <x:c r="C131" s="24" t="str">
        <x:v>EEZ</x:v>
      </x:c>
      <x:c r="D131" s="30" t="n">
        <x:v>2019</x:v>
      </x:c>
      <x:c r="E131" s="24" t="str">
        <x:v>Chlamys delicatula</x:v>
      </x:c>
      <x:c r="F131" s="24" t="str">
        <x:v>Delicate scallop</x:v>
      </x:c>
      <x:c r="G131" s="24" t="str">
        <x:v>Other demersal invertebrates</x:v>
      </x:c>
      <x:c r="H131" s="24" t="str">
        <x:v>Molluscs</x:v>
      </x:c>
      <x:c r="I131" s="31" t="n">
        <x:v>29.609568187100002</x:v>
      </x:c>
      <x:c r="J131" s="31" t="n">
        <x:v>29.609568187100002</x:v>
      </x:c>
      <x:c r="K131" s="31" t="n">
        <x:v>0</x:v>
      </x:c>
      <x:c r="L131" s="31" t="n">
        <x:v>26.719470858700003</x:v>
      </x:c>
      <x:c r="M131" s="31" t="n">
        <x:v>2.8900973284</x:v>
      </x:c>
      <x:c r="N131" s="24" t="str">
        <x:v>chlamys delicatula</x:v>
      </x:c>
      <x:c r="O131" s="32" t="n">
        <x:v>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Chlamys delicatula</x:v>
      </x:c>
      <x:c r="T131" s="32" t="n">
        <x:f>IF(O131="","",(1/'Metadata'!$B$5)^(O131-1))</x:f>
        <x:v>10</x:v>
      </x:c>
      <x:c r="U131" s="31" t="n">
        <x:f>IF(T131="","",I131*T131)</x:f>
        <x:v>296.095681871</x:v>
      </x:c>
    </x:row>
    <x:row r="132" ht="18" customHeight="1">
      <x:c r="A132" s="24" t="str">
        <x:v>EEZ_554</x:v>
      </x:c>
      <x:c r="B132" s="24" t="str">
        <x:v>New Zealand</x:v>
      </x:c>
      <x:c r="C132" s="24" t="str">
        <x:v>EEZ</x:v>
      </x:c>
      <x:c r="D132" s="30" t="n">
        <x:v>2019</x:v>
      </x:c>
      <x:c r="E132" s="24" t="str">
        <x:v>Centriscops humerosus</x:v>
      </x:c>
      <x:c r="F132" s="24" t="str">
        <x:v>Banded yellowfish</x:v>
      </x:c>
      <x:c r="G132" s="24" t="str">
        <x:v>Medium bathydemersals (30 - 89 cm)</x:v>
      </x:c>
      <x:c r="H132" s="24" t="str">
        <x:v>Other fishes &amp; inverts</x:v>
      </x:c>
      <x:c r="I132" s="31" t="n">
        <x:v>29.4538039752</x:v>
      </x:c>
      <x:c r="J132" s="31" t="n">
        <x:v>29.4538039752</x:v>
      </x:c>
      <x:c r="K132" s="31" t="n">
        <x:v>0</x:v>
      </x:c>
      <x:c r="L132" s="31" t="n">
        <x:v>26.5789103029</x:v>
      </x:c>
      <x:c r="M132" s="31" t="n">
        <x:v>2.8748936723000003</x:v>
      </x:c>
      <x:c r="N132" s="24" t="str">
        <x:v>centriscops humerosus</x:v>
      </x:c>
      <x:c r="O132" s="32" t="n">
        <x:v>3.57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Centriscops humerosus</x:v>
      </x:c>
      <x:c r="T132" s="32" t="n">
        <x:f>IF(O132="","",(1/'Metadata'!$B$5)^(O132-1))</x:f>
        <x:v>371.5352290971724</x:v>
      </x:c>
      <x:c r="U132" s="31" t="n">
        <x:f>IF(T132="","",I132*T132)</x:f>
        <x:v>10943.125807709139</x:v>
      </x:c>
    </x:row>
    <x:row r="133" ht="18" customHeight="1">
      <x:c r="A133" s="24" t="str">
        <x:v>EEZ_554</x:v>
      </x:c>
      <x:c r="B133" s="24" t="str">
        <x:v>New Zealand</x:v>
      </x:c>
      <x:c r="C133" s="24" t="str">
        <x:v>EEZ</x:v>
      </x:c>
      <x:c r="D133" s="30" t="n">
        <x:v>2019</x:v>
      </x:c>
      <x:c r="E133" s="24" t="str">
        <x:v>Hyporhamphus ihi</x:v>
      </x:c>
      <x:c r="F133" s="24" t="str">
        <x:v>Halfbeak</x:v>
      </x:c>
      <x:c r="G133" s="24" t="str">
        <x:v>Small pelagics (&lt;30 cm)</x:v>
      </x:c>
      <x:c r="H133" s="24" t="str">
        <x:v>Other fishes &amp; inverts</x:v>
      </x:c>
      <x:c r="I133" s="31" t="n">
        <x:v>23.7516033624</x:v>
      </x:c>
      <x:c r="J133" s="31" t="n">
        <x:v>23.7516033624</x:v>
      </x:c>
      <x:c r="K133" s="31" t="n">
        <x:v>0</x:v>
      </x:c>
      <x:c r="L133" s="31" t="n">
        <x:v>20.3086315532</x:v>
      </x:c>
      <x:c r="M133" s="31" t="n">
        <x:v>3.4429718092</x:v>
      </x:c>
      <x:c r="N133" s="24" t="str">
        <x:v>hyporhamphus ihi</x:v>
      </x:c>
      <x:c r="O133" s="32" t="n">
        <x:v>3.2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Hyporhamphus ihi</x:v>
      </x:c>
      <x:c r="T133" s="32" t="n">
        <x:f>IF(O133="","",(1/'Metadata'!$B$5)^(O133-1))</x:f>
        <x:v>158.48931924611142</x:v>
      </x:c>
      <x:c r="U133" s="31" t="n">
        <x:f>IF(T133="","",I133*T133)</x:f>
        <x:v>3764.3754479104273</x:v>
      </x:c>
    </x:row>
    <x:row r="134" ht="18" customHeight="1">
      <x:c r="A134" s="24" t="str">
        <x:v>EEZ_554</x:v>
      </x:c>
      <x:c r="B134" s="24" t="str">
        <x:v>New Zealand</x:v>
      </x:c>
      <x:c r="C134" s="24" t="str">
        <x:v>EEZ</x:v>
      </x:c>
      <x:c r="D134" s="30" t="n">
        <x:v>2019</x:v>
      </x:c>
      <x:c r="E134" s="24" t="str">
        <x:v>Alopias vulpinus</x:v>
      </x:c>
      <x:c r="F134" s="24" t="str">
        <x:v>Thresher</x:v>
      </x:c>
      <x:c r="G134" s="24" t="str">
        <x:v>Large sharks (&gt;=90 cm)</x:v>
      </x:c>
      <x:c r="H134" s="24" t="str">
        <x:v>Sharks &amp; rays</x:v>
      </x:c>
      <x:c r="I134" s="31" t="n">
        <x:v>23.3234959587</x:v>
      </x:c>
      <x:c r="J134" s="31" t="n">
        <x:v>23.3234959587</x:v>
      </x:c>
      <x:c r="K134" s="31" t="n">
        <x:v>0</x:v>
      </x:c>
      <x:c r="L134" s="31" t="n">
        <x:v>21.0469624885</x:v>
      </x:c>
      <x:c r="M134" s="31" t="n">
        <x:v>2.2765334702</x:v>
      </x:c>
      <x:c r="N134" s="24" t="str">
        <x:v>alopias vulpinus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Alopias vulpinus</x:v>
      </x:c>
      <x:c r="T134" s="32" t="n">
        <x:f>IF(O134="","",(1/'Metadata'!$B$5)^(O134-1))</x:f>
        <x:v>3162.2776601683795</x:v>
      </x:c>
      <x:c r="U134" s="31" t="n">
        <x:f>IF(T134="","",I134*T134)</x:f>
        <x:v>73755.3702272245</x:v>
      </x:c>
    </x:row>
    <x:row r="135" ht="18" customHeight="1">
      <x:c r="A135" s="24" t="str">
        <x:v>EEZ_554</x:v>
      </x:c>
      <x:c r="B135" s="24" t="str">
        <x:v>New Zealand</x:v>
      </x:c>
      <x:c r="C135" s="24" t="str">
        <x:v>EEZ</x:v>
      </x:c>
      <x:c r="D135" s="30" t="n">
        <x:v>2019</x:v>
      </x:c>
      <x:c r="E135" s="24" t="str">
        <x:v>Nephropidae</x:v>
      </x:c>
      <x:c r="F135" s="24" t="str">
        <x:v>Clawed lobsters</x:v>
      </x:c>
      <x:c r="G135" s="24" t="str">
        <x:v>Lobsters, crabs</x:v>
      </x:c>
      <x:c r="H135" s="24" t="str">
        <x:v>Crustaceans</x:v>
      </x:c>
      <x:c r="I135" s="31" t="n">
        <x:v>21.878490592400002</x:v>
      </x:c>
      <x:c r="J135" s="31" t="n">
        <x:v>0</x:v>
      </x:c>
      <x:c r="K135" s="31" t="n">
        <x:v>21.878490592400002</x:v>
      </x:c>
      <x:c r="L135" s="31" t="n">
        <x:v>0</x:v>
      </x:c>
      <x:c r="M135" s="31" t="n">
        <x:v>21.878490592400002</x:v>
      </x:c>
      <x:c r="N135" s="24" t="str">
        <x:v>nephropidae</x:v>
      </x:c>
      <x:c r="O135" s="32" t="n">
        <x:v>2.88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Nephropidae</x:v>
      </x:c>
      <x:c r="T135" s="32" t="n">
        <x:f>IF(O135="","",(1/'Metadata'!$B$5)^(O135-1))</x:f>
        <x:v>75.85775750291836</x:v>
      </x:c>
      <x:c r="U135" s="31" t="n">
        <x:f>IF(T135="","",I135*T135)</x:f>
        <x:v>1659.65323388816</x:v>
      </x:c>
    </x:row>
    <x:row r="136" ht="18" customHeight="1">
      <x:c r="A136" s="24" t="str">
        <x:v>EEZ_554</x:v>
      </x:c>
      <x:c r="B136" s="24" t="str">
        <x:v>New Zealand</x:v>
      </x:c>
      <x:c r="C136" s="24" t="str">
        <x:v>EEZ</x:v>
      </x:c>
      <x:c r="D136" s="30" t="n">
        <x:v>2019</x:v>
      </x:c>
      <x:c r="E136" s="24" t="str">
        <x:v>Dissostichus eleginoides</x:v>
      </x:c>
      <x:c r="F136" s="24" t="str">
        <x:v>Patagonian toothfish</x:v>
      </x:c>
      <x:c r="G136" s="24" t="str">
        <x:v>Large bathydemersals (&gt;=90 cm)</x:v>
      </x:c>
      <x:c r="H136" s="24" t="str">
        <x:v>Perch-likes</x:v>
      </x:c>
      <x:c r="I136" s="31" t="n">
        <x:v>21.8431282549</x:v>
      </x:c>
      <x:c r="J136" s="31" t="n">
        <x:v>21.8431282549</x:v>
      </x:c>
      <x:c r="K136" s="31" t="n">
        <x:v>0</x:v>
      </x:c>
      <x:c r="L136" s="31" t="n">
        <x:v>19.399046771600002</x:v>
      </x:c>
      <x:c r="M136" s="31" t="n">
        <x:v>2.4440814833</x:v>
      </x:c>
      <x:c r="N136" s="24" t="str">
        <x:v>dissostichus eleginoides</x:v>
      </x:c>
      <x:c r="O136" s="32" t="n">
        <x:v>3.96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Dissostichus eleginoides</x:v>
      </x:c>
      <x:c r="T136" s="32" t="n">
        <x:f>IF(O136="","",(1/'Metadata'!$B$5)^(O136-1))</x:f>
        <x:v>912.0108393559096</x:v>
      </x:c>
      <x:c r="U136" s="31" t="n">
        <x:f>IF(T136="","",I136*T136)</x:f>
        <x:v>19921.169733910137</x:v>
      </x:c>
    </x:row>
    <x:row r="137" ht="18" customHeight="1">
      <x:c r="A137" s="24" t="str">
        <x:v>EEZ_554</x:v>
      </x:c>
      <x:c r="B137" s="24" t="str">
        <x:v>New Zealand</x:v>
      </x:c>
      <x:c r="C137" s="24" t="str">
        <x:v>EEZ</x:v>
      </x:c>
      <x:c r="D137" s="30" t="n">
        <x:v>2019</x:v>
      </x:c>
      <x:c r="E137" s="24" t="str">
        <x:v>Carcharhinus falciformis</x:v>
      </x:c>
      <x:c r="F137" s="24" t="str">
        <x:v>Silky shark</x:v>
      </x:c>
      <x:c r="G137" s="24" t="str">
        <x:v>Large sharks (&gt;=90 cm)</x:v>
      </x:c>
      <x:c r="H137" s="24" t="str">
        <x:v>Sharks &amp; rays</x:v>
      </x:c>
      <x:c r="I137" s="31" t="n">
        <x:v>21.3377519214</x:v>
      </x:c>
      <x:c r="J137" s="31" t="n">
        <x:v>0.17718097840000002</x:v>
      </x:c>
      <x:c r="K137" s="31" t="n">
        <x:v>21.160570943</x:v>
      </x:c>
      <x:c r="L137" s="31" t="n">
        <x:v>0.17718097840000002</x:v>
      </x:c>
      <x:c r="M137" s="31" t="n">
        <x:v>21.160570943</x:v>
      </x:c>
      <x:c r="N137" s="24" t="str">
        <x:v>carcharhinus falciformis</x:v>
      </x:c>
      <x:c r="O137" s="32" t="n">
        <x:v>4.51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Carcharhinus falciformis</x:v>
      </x:c>
      <x:c r="T137" s="32" t="n">
        <x:f>IF(O137="","",(1/'Metadata'!$B$5)^(O137-1))</x:f>
        <x:v>3235.936569296281</x:v>
      </x:c>
      <x:c r="U137" s="31" t="n">
        <x:f>IF(T137="","",I137*T137)</x:f>
        <x:v>69047.61174903024</x:v>
      </x:c>
    </x:row>
    <x:row r="138" ht="18" customHeight="1">
      <x:c r="A138" s="24" t="str">
        <x:v>EEZ_554</x:v>
      </x:c>
      <x:c r="B138" s="24" t="str">
        <x:v>New Zealand</x:v>
      </x:c>
      <x:c r="C138" s="24" t="str">
        <x:v>EEZ</x:v>
      </x:c>
      <x:c r="D138" s="30" t="n">
        <x:v>2019</x:v>
      </x:c>
      <x:c r="E138" s="24" t="str">
        <x:v>Dosinia</x:v>
      </x:c>
      <x:c r="F138" s="24" t="str">
        <x:v>Dosinia clams</x:v>
      </x:c>
      <x:c r="G138" s="24" t="str">
        <x:v>Other demersal invertebrates</x:v>
      </x:c>
      <x:c r="H138" s="24" t="str">
        <x:v>Molluscs</x:v>
      </x:c>
      <x:c r="I138" s="31" t="n">
        <x:v>19.5896162503</x:v>
      </x:c>
      <x:c r="J138" s="31" t="n">
        <x:v>19.5896162503</x:v>
      </x:c>
      <x:c r="K138" s="31" t="n">
        <x:v>0</x:v>
      </x:c>
      <x:c r="L138" s="31" t="n">
        <x:v>14.9820911063</x:v>
      </x:c>
      <x:c r="M138" s="31" t="n">
        <x:v>4.607525144</x:v>
      </x:c>
      <x:c r="N138" s="24" t="str">
        <x:v>dosinia</x:v>
      </x:c>
      <x:c r="O138" s="32" t="n">
        <x:v>2.02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Dosinia</x:v>
      </x:c>
      <x:c r="T138" s="32" t="n">
        <x:f>IF(O138="","",(1/'Metadata'!$B$5)^(O138-1))</x:f>
        <x:v>10.471285480508996</x:v>
      </x:c>
      <x:c r="U138" s="31" t="n">
        <x:f>IF(T138="","",I138*T138)</x:f>
        <x:v>205.1284642105095</x:v>
      </x:c>
    </x:row>
    <x:row r="139" ht="18" customHeight="1">
      <x:c r="A139" s="24" t="str">
        <x:v>EEZ_554</x:v>
      </x:c>
      <x:c r="B139" s="24" t="str">
        <x:v>New Zealand</x:v>
      </x:c>
      <x:c r="C139" s="24" t="str">
        <x:v>EEZ</x:v>
      </x:c>
      <x:c r="D139" s="30" t="n">
        <x:v>2019</x:v>
      </x:c>
      <x:c r="E139" s="24" t="str">
        <x:v>Berycidae</x:v>
      </x:c>
      <x:c r="F139" s="24" t="str">
        <x:v>Alfonsinos, redfishes</x:v>
      </x:c>
      <x:c r="G139" s="24" t="str">
        <x:v>Medium benthopelagics (30 - 89 cm)</x:v>
      </x:c>
      <x:c r="H139" s="24" t="str">
        <x:v>Other fishes &amp; inverts</x:v>
      </x:c>
      <x:c r="I139" s="31" t="n">
        <x:v>19.4409493551</x:v>
      </x:c>
      <x:c r="J139" s="31" t="n">
        <x:v>0</x:v>
      </x:c>
      <x:c r="K139" s="31" t="n">
        <x:v>19.4409493551</x:v>
      </x:c>
      <x:c r="L139" s="31" t="n">
        <x:v>0</x:v>
      </x:c>
      <x:c r="M139" s="31" t="n">
        <x:v>19.4409493551</x:v>
      </x:c>
      <x:c r="N139" s="24" t="str">
        <x:v>berycidae</x:v>
      </x:c>
      <x:c r="O139" s="32" t="n">
        <x:v>3.99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Berycidae</x:v>
      </x:c>
      <x:c r="T139" s="32" t="n">
        <x:f>IF(O139="","",(1/'Metadata'!$B$5)^(O139-1))</x:f>
        <x:v>977.2372209558112</x:v>
      </x:c>
      <x:c r="U139" s="31" t="n">
        <x:f>IF(T139="","",I139*T139)</x:f>
        <x:v>18998.419320520592</x:v>
      </x:c>
    </x:row>
    <x:row r="140" ht="18" customHeight="1">
      <x:c r="A140" s="24" t="str">
        <x:v>EEZ_554</x:v>
      </x:c>
      <x:c r="B140" s="24" t="str">
        <x:v>New Zealand</x:v>
      </x:c>
      <x:c r="C140" s="24" t="str">
        <x:v>EEZ</x:v>
      </x:c>
      <x:c r="D140" s="30" t="n">
        <x:v>2019</x:v>
      </x:c>
      <x:c r="E140" s="24" t="str">
        <x:v>Istiophoridae</x:v>
      </x:c>
      <x:c r="F140" s="24" t="str">
        <x:v>Billfishes</x:v>
      </x:c>
      <x:c r="G140" s="24" t="str">
        <x:v>Large pelagics (&gt;=90 cm)</x:v>
      </x:c>
      <x:c r="H140" s="24" t="str">
        <x:v>Tuna &amp; billfishes</x:v>
      </x:c>
      <x:c r="I140" s="31" t="n">
        <x:v>18.8060281815</x:v>
      </x:c>
      <x:c r="J140" s="31" t="n">
        <x:v>0</x:v>
      </x:c>
      <x:c r="K140" s="31" t="n">
        <x:v>18.8060281815</x:v>
      </x:c>
      <x:c r="L140" s="31" t="n">
        <x:v>0</x:v>
      </x:c>
      <x:c r="M140" s="31" t="n">
        <x:v>18.8060281815</x:v>
      </x:c>
      <x:c r="N140" s="24" t="str">
        <x:v>istiophoridae</x:v>
      </x:c>
      <x:c r="O140" s="32" t="n">
        <x:v>4.48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Istiophoridae</x:v>
      </x:c>
      <x:c r="T140" s="32" t="n">
        <x:f>IF(O140="","",(1/'Metadata'!$B$5)^(O140-1))</x:f>
        <x:v>3019.951720402019</x:v>
      </x:c>
      <x:c r="U140" s="31" t="n">
        <x:f>IF(T140="","",I140*T140)</x:f>
        <x:v>56793.29716064978</x:v>
      </x:c>
    </x:row>
    <x:row r="141" ht="18" customHeight="1">
      <x:c r="A141" s="24" t="str">
        <x:v>EEZ_554</x:v>
      </x:c>
      <x:c r="B141" s="24" t="str">
        <x:v>New Zealand</x:v>
      </x:c>
      <x:c r="C141" s="24" t="str">
        <x:v>EEZ</x:v>
      </x:c>
      <x:c r="D141" s="30" t="n">
        <x:v>2019</x:v>
      </x:c>
      <x:c r="E141" s="24" t="str">
        <x:v>Magallana gigas</x:v>
      </x:c>
      <x:c r="F141" s="24" t="str">
        <x:v>Pacific cupped oyster</x:v>
      </x:c>
      <x:c r="G141" s="24" t="str">
        <x:v>Other demersal invertebrates</x:v>
      </x:c>
      <x:c r="H141" s="24" t="str">
        <x:v>Molluscs</x:v>
      </x:c>
      <x:c r="I141" s="31" t="n">
        <x:v>18.3657083089</x:v>
      </x:c>
      <x:c r="J141" s="31" t="n">
        <x:v>18.3657083089</x:v>
      </x:c>
      <x:c r="K141" s="31" t="n">
        <x:v>0</x:v>
      </x:c>
      <x:c r="L141" s="31" t="n">
        <x:v>18.3657083089</x:v>
      </x:c>
      <x:c r="M141" s="31" t="n">
        <x:v>0</x:v>
      </x:c>
      <x:c r="N141" s="24" t="str">
        <x:v>magallana gigas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Magallana gigas</x:v>
      </x:c>
      <x:c r="T141" s="32" t="n">
        <x:f>IF(O141="","",(1/'Metadata'!$B$5)^(O141-1))</x:f>
        <x:v>10</x:v>
      </x:c>
      <x:c r="U141" s="31" t="n">
        <x:f>IF(T141="","",I141*T141)</x:f>
        <x:v>183.657083089</x:v>
      </x:c>
    </x:row>
    <x:row r="142" ht="18" customHeight="1">
      <x:c r="A142" s="24" t="str">
        <x:v>EEZ_554</x:v>
      </x:c>
      <x:c r="B142" s="24" t="str">
        <x:v>New Zealand</x:v>
      </x:c>
      <x:c r="C142" s="24" t="str">
        <x:v>EEZ</x:v>
      </x:c>
      <x:c r="D142" s="30" t="n">
        <x:v>2019</x:v>
      </x:c>
      <x:c r="E142" s="24" t="str">
        <x:v>Benthodesmus</x:v>
      </x:c>
      <x:c r="F142" s="24" t="str">
        <x:v>Frostfishes</x:v>
      </x:c>
      <x:c r="G142" s="24" t="str">
        <x:v>Large benthopelagics (&gt;=90 cm)</x:v>
      </x:c>
      <x:c r="H142" s="24" t="str">
        <x:v>Perch-likes</x:v>
      </x:c>
      <x:c r="I142" s="31" t="n">
        <x:v>18.029008598599997</x:v>
      </x:c>
      <x:c r="J142" s="31" t="n">
        <x:v>18.029008598599997</x:v>
      </x:c>
      <x:c r="K142" s="31" t="n">
        <x:v>0</x:v>
      </x:c>
      <x:c r="L142" s="31" t="n">
        <x:v>16.2692534619</x:v>
      </x:c>
      <x:c r="M142" s="31" t="n">
        <x:v>1.7597551367</x:v>
      </x:c>
      <x:c r="N142" s="24" t="str">
        <x:v>benthodesmus</x:v>
      </x:c>
      <x:c r="O142" s="32" t="n">
        <x:v>3.73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Benthodesmus</x:v>
      </x:c>
      <x:c r="T142" s="32" t="n">
        <x:f>IF(O142="","",(1/'Metadata'!$B$5)^(O142-1))</x:f>
        <x:v>537.0317963702527</x:v>
      </x:c>
      <x:c r="U142" s="31" t="n">
        <x:f>IF(T142="","",I142*T142)</x:f>
        <x:v>9682.150874480889</x:v>
      </x:c>
    </x:row>
    <x:row r="143" ht="18" customHeight="1">
      <x:c r="A143" s="24" t="str">
        <x:v>EEZ_554</x:v>
      </x:c>
      <x:c r="B143" s="24" t="str">
        <x:v>New Zealand</x:v>
      </x:c>
      <x:c r="C143" s="24" t="str">
        <x:v>EEZ</x:v>
      </x:c>
      <x:c r="D143" s="30" t="n">
        <x:v>2019</x:v>
      </x:c>
      <x:c r="E143" s="24" t="str">
        <x:v>Triglidae</x:v>
      </x:c>
      <x:c r="F143" s="24" t="str">
        <x:v>Searobins, gurnards</x:v>
      </x:c>
      <x:c r="G143" s="24" t="str">
        <x:v>Medium demersals (30 - 89 cm)</x:v>
      </x:c>
      <x:c r="H143" s="24" t="str">
        <x:v>Scorpionfishes</x:v>
      </x:c>
      <x:c r="I143" s="31" t="n">
        <x:v>16.5366195365</x:v>
      </x:c>
      <x:c r="J143" s="31" t="n">
        <x:v>9.1992199056</x:v>
      </x:c>
      <x:c r="K143" s="31" t="n">
        <x:v>7.3373996309</x:v>
      </x:c>
      <x:c r="L143" s="31" t="n">
        <x:v>8.3013128306</x:v>
      </x:c>
      <x:c r="M143" s="31" t="n">
        <x:v>8.2353067059</x:v>
      </x:c>
      <x:c r="N143" s="24" t="str">
        <x:v>triglidae</x:v>
      </x:c>
      <x:c r="O143" s="32" t="n">
        <x:v>3.74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Triglidae</x:v>
      </x:c>
      <x:c r="T143" s="32" t="n">
        <x:f>IF(O143="","",(1/'Metadata'!$B$5)^(O143-1))</x:f>
        <x:v>549.5408738576248</x:v>
      </x:c>
      <x:c r="U143" s="31" t="n">
        <x:f>IF(T143="","",I143*T143)</x:f>
        <x:v>9087.54835073928</x:v>
      </x:c>
    </x:row>
    <x:row r="144" ht="18" customHeight="1">
      <x:c r="A144" s="24" t="str">
        <x:v>EEZ_554</x:v>
      </x:c>
      <x:c r="B144" s="24" t="str">
        <x:v>New Zealand</x:v>
      </x:c>
      <x:c r="C144" s="24" t="str">
        <x:v>EEZ</x:v>
      </x:c>
      <x:c r="D144" s="30" t="n">
        <x:v>2019</x:v>
      </x:c>
      <x:c r="E144" s="24" t="str">
        <x:v>Ruvettus pretiosus</x:v>
      </x:c>
      <x:c r="F144" s="24" t="str">
        <x:v>Oilfish</x:v>
      </x:c>
      <x:c r="G144" s="24" t="str">
        <x:v>Large benthopelagics (&gt;=90 cm)</x:v>
      </x:c>
      <x:c r="H144" s="24" t="str">
        <x:v>Perch-likes</x:v>
      </x:c>
      <x:c r="I144" s="31" t="n">
        <x:v>15.4702569244</x:v>
      </x:c>
      <x:c r="J144" s="31" t="n">
        <x:v>15.4702569244</x:v>
      </x:c>
      <x:c r="K144" s="31" t="n">
        <x:v>0</x:v>
      </x:c>
      <x:c r="L144" s="31" t="n">
        <x:v>13.9602535379</x:v>
      </x:c>
      <x:c r="M144" s="31" t="n">
        <x:v>1.5100033865</x:v>
      </x:c>
      <x:c r="N144" s="24" t="str">
        <x:v>ruvettus pretiosus</x:v>
      </x:c>
      <x:c r="O144" s="32" t="n">
        <x:v>4.18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Ruvettus pretiosus</x:v>
      </x:c>
      <x:c r="T144" s="32" t="n">
        <x:f>IF(O144="","",(1/'Metadata'!$B$5)^(O144-1))</x:f>
        <x:v>1513.5612484362073</x:v>
      </x:c>
      <x:c r="U144" s="31" t="n">
        <x:f>IF(T144="","",I144*T144)</x:f>
        <x:v>23415.18138412374</x:v>
      </x:c>
    </x:row>
    <x:row r="145" ht="18" customHeight="1">
      <x:c r="A145" s="24" t="str">
        <x:v>EEZ_554</x:v>
      </x:c>
      <x:c r="B145" s="24" t="str">
        <x:v>New Zealand</x:v>
      </x:c>
      <x:c r="C145" s="24" t="str">
        <x:v>EEZ</x:v>
      </x:c>
      <x:c r="D145" s="30" t="n">
        <x:v>2019</x:v>
      </x:c>
      <x:c r="E145" s="24" t="str">
        <x:v>Notorynchus cepedianus</x:v>
      </x:c>
      <x:c r="F145" s="24" t="str">
        <x:v>Broadnose sevengill shark</x:v>
      </x:c>
      <x:c r="G145" s="24" t="str">
        <x:v>Large sharks (&gt;=90 cm)</x:v>
      </x:c>
      <x:c r="H145" s="24" t="str">
        <x:v>Sharks &amp; rays</x:v>
      </x:c>
      <x:c r="I145" s="31" t="n">
        <x:v>15.0758086684</x:v>
      </x:c>
      <x:c r="J145" s="31" t="n">
        <x:v>15.0758086684</x:v>
      </x:c>
      <x:c r="K145" s="31" t="n">
        <x:v>0</x:v>
      </x:c>
      <x:c r="L145" s="31" t="n">
        <x:v>13.6043061518</x:v>
      </x:c>
      <x:c r="M145" s="31" t="n">
        <x:v>1.4715025166</x:v>
      </x:c>
      <x:c r="N145" s="24" t="str">
        <x:v>notorynchus cepedianus</x:v>
      </x:c>
      <x:c r="O145" s="32" t="n">
        <x:v>4.68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Notorynchus cepedianus</x:v>
      </x:c>
      <x:c r="T145" s="32" t="n">
        <x:f>IF(O145="","",(1/'Metadata'!$B$5)^(O145-1))</x:f>
        <x:v>4786.30092322638</x:v>
      </x:c>
      <x:c r="U145" s="31" t="n">
        <x:f>IF(T145="","",I145*T145)</x:f>
        <x:v>72157.35694794719</x:v>
      </x:c>
    </x:row>
    <x:row r="146" ht="18" customHeight="1">
      <x:c r="A146" s="24" t="str">
        <x:v>EEZ_554</x:v>
      </x:c>
      <x:c r="B146" s="24" t="str">
        <x:v>New Zealand</x:v>
      </x:c>
      <x:c r="C146" s="24" t="str">
        <x:v>EEZ</x:v>
      </x:c>
      <x:c r="D146" s="30" t="n">
        <x:v>2019</x:v>
      </x:c>
      <x:c r="E146" s="24" t="str">
        <x:v>Carcharhinus brachyurus</x:v>
      </x:c>
      <x:c r="F146" s="24" t="str">
        <x:v>Copper shark</x:v>
      </x:c>
      <x:c r="G146" s="24" t="str">
        <x:v>Large sharks (&gt;=90 cm)</x:v>
      </x:c>
      <x:c r="H146" s="24" t="str">
        <x:v>Sharks &amp; rays</x:v>
      </x:c>
      <x:c r="I146" s="31" t="n">
        <x:v>13.766216281099998</x:v>
      </x:c>
      <x:c r="J146" s="31" t="n">
        <x:v>13.766216281099998</x:v>
      </x:c>
      <x:c r="K146" s="31" t="n">
        <x:v>0</x:v>
      </x:c>
      <x:c r="L146" s="31" t="n">
        <x:v>12.422538983399999</x:v>
      </x:c>
      <x:c r="M146" s="31" t="n">
        <x:v>1.3436772977</x:v>
      </x:c>
      <x:c r="N146" s="24" t="str">
        <x:v>carcharhinus brachyurus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Carcharhinus brachyurus</x:v>
      </x:c>
      <x:c r="T146" s="32" t="n">
        <x:f>IF(O146="","",(1/'Metadata'!$B$5)^(O146-1))</x:f>
        <x:v>3162.2776601683795</x:v>
      </x:c>
      <x:c r="U146" s="31" t="n">
        <x:f>IF(T146="","",I146*T146)</x:f>
        <x:v>43532.59821076875</x:v>
      </x:c>
    </x:row>
    <x:row r="147" ht="18" customHeight="1">
      <x:c r="A147" s="24" t="str">
        <x:v>EEZ_554</x:v>
      </x:c>
      <x:c r="B147" s="24" t="str">
        <x:v>New Zealand</x:v>
      </x:c>
      <x:c r="C147" s="24" t="str">
        <x:v>EEZ</x:v>
      </x:c>
      <x:c r="D147" s="30" t="n">
        <x:v>2019</x:v>
      </x:c>
      <x:c r="E147" s="24" t="str">
        <x:v>Sphyrna zygaena</x:v>
      </x:c>
      <x:c r="F147" s="24" t="str">
        <x:v>Smooth hammerhead</x:v>
      </x:c>
      <x:c r="G147" s="24" t="str">
        <x:v>Large sharks (&gt;=90 cm)</x:v>
      </x:c>
      <x:c r="H147" s="24" t="str">
        <x:v>Sharks &amp; rays</x:v>
      </x:c>
      <x:c r="I147" s="31" t="n">
        <x:v>13.6308385952</x:v>
      </x:c>
      <x:c r="J147" s="31" t="n">
        <x:v>13.6308385952</x:v>
      </x:c>
      <x:c r="K147" s="31" t="n">
        <x:v>0</x:v>
      </x:c>
      <x:c r="L147" s="31" t="n">
        <x:v>12.3003750805</x:v>
      </x:c>
      <x:c r="M147" s="31" t="n">
        <x:v>1.3304635147</x:v>
      </x:c>
      <x:c r="N147" s="24" t="str">
        <x:v>sphyrna zygaena</x:v>
      </x:c>
      <x:c r="O147" s="32" t="n">
        <x:v>4.94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Sphyrna zygaena</x:v>
      </x:c>
      <x:c r="T147" s="32" t="n">
        <x:f>IF(O147="","",(1/'Metadata'!$B$5)^(O147-1))</x:f>
        <x:v>8709.635899560813</x:v>
      </x:c>
      <x:c r="U147" s="31" t="n">
        <x:f>IF(T147="","",I147*T147)</x:f>
        <x:v>118719.64116987301</x:v>
      </x:c>
    </x:row>
    <x:row r="148" ht="18" customHeight="1">
      <x:c r="A148" s="24" t="str">
        <x:v>EEZ_554</x:v>
      </x:c>
      <x:c r="B148" s="24" t="str">
        <x:v>New Zealand</x:v>
      </x:c>
      <x:c r="C148" s="24" t="str">
        <x:v>EEZ</x:v>
      </x:c>
      <x:c r="D148" s="30" t="n">
        <x:v>2019</x:v>
      </x:c>
      <x:c r="E148" s="24" t="str">
        <x:v>Myctophidae</x:v>
      </x:c>
      <x:c r="F148" s="24" t="str">
        <x:v>Lanternfishes</x:v>
      </x:c>
      <x:c r="G148" s="24" t="str">
        <x:v>Small pelagics (&lt;30 cm)</x:v>
      </x:c>
      <x:c r="H148" s="24" t="str">
        <x:v>Other fishes &amp; inverts</x:v>
      </x:c>
      <x:c r="I148" s="31" t="n">
        <x:v>11.5591496197</x:v>
      </x:c>
      <x:c r="J148" s="31" t="n">
        <x:v>4.4886468999</x:v>
      </x:c>
      <x:c r="K148" s="31" t="n">
        <x:v>7.0705027198</x:v>
      </x:c>
      <x:c r="L148" s="31" t="n">
        <x:v>4.0505241138</x:v>
      </x:c>
      <x:c r="M148" s="31" t="n">
        <x:v>7.5086255058999996</x:v>
      </x:c>
      <x:c r="N148" s="24" t="str">
        <x:v>myctophidae</x:v>
      </x:c>
      <x:c r="O148" s="32" t="n">
        <x:v>3.3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Myctophidae</x:v>
      </x:c>
      <x:c r="T148" s="32" t="n">
        <x:f>IF(O148="","",(1/'Metadata'!$B$5)^(O148-1))</x:f>
        <x:v>199.52623149688787</x:v>
      </x:c>
      <x:c r="U148" s="31" t="n">
        <x:f>IF(T148="","",I148*T148)</x:f>
        <x:v>2306.3535629274256</x:v>
      </x:c>
    </x:row>
    <x:row r="149" ht="18" customHeight="1">
      <x:c r="A149" s="24" t="str">
        <x:v>EEZ_554</x:v>
      </x:c>
      <x:c r="B149" s="24" t="str">
        <x:v>New Zealand</x:v>
      </x:c>
      <x:c r="C149" s="24" t="str">
        <x:v>EEZ</x:v>
      </x:c>
      <x:c r="D149" s="30" t="n">
        <x:v>2019</x:v>
      </x:c>
      <x:c r="E149" s="24" t="str">
        <x:v>Paratrachichthys trailli</x:v>
      </x:c>
      <x:c r="F149" s="24" t="str">
        <x:v>Sandpaper fish</x:v>
      </x:c>
      <x:c r="G149" s="24" t="str">
        <x:v>Small bathypelagics (&lt;30 cm)</x:v>
      </x:c>
      <x:c r="H149" s="24" t="str">
        <x:v>Other fishes &amp; inverts</x:v>
      </x:c>
      <x:c r="I149" s="31" t="n">
        <x:v>11.2497428084</x:v>
      </x:c>
      <x:c r="J149" s="31" t="n">
        <x:v>11.2497428084</x:v>
      </x:c>
      <x:c r="K149" s="31" t="n">
        <x:v>0</x:v>
      </x:c>
      <x:c r="L149" s="31" t="n">
        <x:v>10.1516906056</x:v>
      </x:c>
      <x:c r="M149" s="31" t="n">
        <x:v>1.0980522028</x:v>
      </x:c>
      <x:c r="N149" s="24" t="str">
        <x:v>paratrachichthys trailli</x:v>
      </x:c>
      <x:c r="O149" s="32" t="n">
        <x:v>3.5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Paratrachichthys trailli</x:v>
      </x:c>
      <x:c r="T149" s="32" t="n">
        <x:f>IF(O149="","",(1/'Metadata'!$B$5)^(O149-1))</x:f>
        <x:v>316.22776601683796</x:v>
      </x:c>
      <x:c r="U149" s="31" t="n">
        <x:f>IF(T149="","",I149*T149)</x:f>
        <x:v>3557.481036564321</x:v>
      </x:c>
    </x:row>
    <x:row r="150" ht="18" customHeight="1">
      <x:c r="A150" s="24" t="str">
        <x:v>EEZ_554</x:v>
      </x:c>
      <x:c r="B150" s="24" t="str">
        <x:v>New Zealand</x:v>
      </x:c>
      <x:c r="C150" s="24" t="str">
        <x:v>EEZ</x:v>
      </x:c>
      <x:c r="D150" s="30" t="n">
        <x:v>2019</x:v>
      </x:c>
      <x:c r="E150" s="24" t="str">
        <x:v>Scyphozoa</x:v>
      </x:c>
      <x:c r="F150" s="24" t="str">
        <x:v>True jellyfishes</x:v>
      </x:c>
      <x:c r="G150" s="24" t="str">
        <x:v>Jellyfish</x:v>
      </x:c>
      <x:c r="H150" s="24" t="str">
        <x:v>Other fishes &amp; inverts</x:v>
      </x:c>
      <x:c r="I150" s="31" t="n">
        <x:v>9.8309797592</x:v>
      </x:c>
      <x:c r="J150" s="31" t="n">
        <x:v>0</x:v>
      </x:c>
      <x:c r="K150" s="31" t="n">
        <x:v>9.8309797592</x:v>
      </x:c>
      <x:c r="L150" s="31" t="n">
        <x:v>0</x:v>
      </x:c>
      <x:c r="M150" s="31" t="n">
        <x:v>9.8309797592</x:v>
      </x:c>
      <x:c r="N150" s="24" t="str">
        <x:v>scyphozoa</x:v>
      </x:c>
      <x:c r="O150" s="32" t="n">
        <x:v>3.46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Scyphozoa</x:v>
      </x:c>
      <x:c r="T150" s="32" t="n">
        <x:f>IF(O150="","",(1/'Metadata'!$B$5)^(O150-1))</x:f>
        <x:v>288.40315031266056</x:v>
      </x:c>
      <x:c r="U150" s="31" t="n">
        <x:f>IF(T150="","",I150*T150)</x:f>
        <x:v>2835.2855332132813</x:v>
      </x:c>
    </x:row>
    <x:row r="151" ht="18" customHeight="1">
      <x:c r="A151" s="24" t="str">
        <x:v>EEZ_554</x:v>
      </x:c>
      <x:c r="B151" s="24" t="str">
        <x:v>New Zealand</x:v>
      </x:c>
      <x:c r="C151" s="24" t="str">
        <x:v>EEZ</x:v>
      </x:c>
      <x:c r="D151" s="30" t="n">
        <x:v>2019</x:v>
      </x:c>
      <x:c r="E151" s="24" t="str">
        <x:v>Thunnus albacares</x:v>
      </x:c>
      <x:c r="F151" s="24" t="str">
        <x:v>Yellowfin tuna</x:v>
      </x:c>
      <x:c r="G151" s="24" t="str">
        <x:v>Large pelagics (&gt;=90 cm)</x:v>
      </x:c>
      <x:c r="H151" s="24" t="str">
        <x:v>Tuna &amp; billfishes</x:v>
      </x:c>
      <x:c r="I151" s="31" t="n">
        <x:v>9.5978951824</x:v>
      </x:c>
      <x:c r="J151" s="31" t="n">
        <x:v>5.2896702821</x:v>
      </x:c>
      <x:c r="K151" s="31" t="n">
        <x:v>4.3082249003</x:v>
      </x:c>
      <x:c r="L151" s="31" t="n">
        <x:v>5.2648149595</x:v>
      </x:c>
      <x:c r="M151" s="31" t="n">
        <x:v>4.3330802229</x:v>
      </x:c>
      <x:c r="N151" s="24" t="str">
        <x:v>thunnus albacares</x:v>
      </x:c>
      <x:c r="O151" s="32" t="n">
        <x:v>4.41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Thunnus albacares</x:v>
      </x:c>
      <x:c r="T151" s="32" t="n">
        <x:f>IF(O151="","",(1/'Metadata'!$B$5)^(O151-1))</x:f>
        <x:v>2570.3957827688646</x:v>
      </x:c>
      <x:c r="U151" s="31" t="n">
        <x:f>IF(T151="","",I151*T151)</x:f>
        <x:v>24670.389300298564</x:v>
      </x:c>
    </x:row>
    <x:row r="152" ht="18" customHeight="1">
      <x:c r="A152" s="24" t="str">
        <x:v>EEZ_554</x:v>
      </x:c>
      <x:c r="B152" s="24" t="str">
        <x:v>New Zealand</x:v>
      </x:c>
      <x:c r="C152" s="24" t="str">
        <x:v>EEZ</x:v>
      </x:c>
      <x:c r="D152" s="30" t="n">
        <x:v>2019</x:v>
      </x:c>
      <x:c r="E152" s="24" t="str">
        <x:v>Kajikia audax</x:v>
      </x:c>
      <x:c r="F152" s="24" t="str">
        <x:v>Striped marlin</x:v>
      </x:c>
      <x:c r="G152" s="24" t="str">
        <x:v>Large pelagics (&gt;=90 cm)</x:v>
      </x:c>
      <x:c r="H152" s="24" t="str">
        <x:v>Tuna &amp; billfishes</x:v>
      </x:c>
      <x:c r="I152" s="31" t="n">
        <x:v>9.5488188867</x:v>
      </x:c>
      <x:c r="J152" s="31" t="n">
        <x:v>9.5488188867</x:v>
      </x:c>
      <x:c r="K152" s="31" t="n">
        <x:v>0</x:v>
      </x:c>
      <x:c r="L152" s="31" t="n">
        <x:v>9.5488188867</x:v>
      </x:c>
      <x:c r="M152" s="31" t="n">
        <x:v>0</x:v>
      </x:c>
      <x:c r="N152" s="24" t="str">
        <x:v>kajikia audax</x:v>
      </x:c>
      <x:c r="O152" s="32" t="n">
        <x:v>4.58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Kajikia audax</x:v>
      </x:c>
      <x:c r="T152" s="32" t="n">
        <x:f>IF(O152="","",(1/'Metadata'!$B$5)^(O152-1))</x:f>
        <x:v>3801.8939632056126</x:v>
      </x:c>
      <x:c r="U152" s="31" t="n">
        <x:f>IF(T152="","",I152*T152)</x:f>
        <x:v>36303.596881088466</x:v>
      </x:c>
    </x:row>
    <x:row r="153" ht="18" customHeight="1">
      <x:c r="A153" s="24" t="str">
        <x:v>EEZ_554</x:v>
      </x:c>
      <x:c r="B153" s="24" t="str">
        <x:v>New Zealand</x:v>
      </x:c>
      <x:c r="C153" s="24" t="str">
        <x:v>EEZ</x:v>
      </x:c>
      <x:c r="D153" s="30" t="n">
        <x:v>2019</x:v>
      </x:c>
      <x:c r="E153" s="24" t="str">
        <x:v>Centrophorus squamosus</x:v>
      </x:c>
      <x:c r="F153" s="24" t="str">
        <x:v>Leafscale gulper shark</x:v>
      </x:c>
      <x:c r="G153" s="24" t="str">
        <x:v>Large sharks (&gt;=90 cm)</x:v>
      </x:c>
      <x:c r="H153" s="24" t="str">
        <x:v>Sharks &amp; rays</x:v>
      </x:c>
      <x:c r="I153" s="31" t="n">
        <x:v>9.429962312799999</x:v>
      </x:c>
      <x:c r="J153" s="31" t="n">
        <x:v>9.429962312799999</x:v>
      </x:c>
      <x:c r="K153" s="31" t="n">
        <x:v>0</x:v>
      </x:c>
      <x:c r="L153" s="31" t="n">
        <x:v>8.5095331934</x:v>
      </x:c>
      <x:c r="M153" s="31" t="n">
        <x:v>0.9204291193999999</x:v>
      </x:c>
      <x:c r="N153" s="24" t="str">
        <x:v>centrophorus squamosus</x:v>
      </x:c>
      <x:c r="O153" s="32" t="n">
        <x:v>4.47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Centrophorus squamosus</x:v>
      </x:c>
      <x:c r="T153" s="32" t="n">
        <x:f>IF(O153="","",(1/'Metadata'!$B$5)^(O153-1))</x:f>
        <x:v>2951.209226666384</x:v>
      </x:c>
      <x:c r="U153" s="31" t="n">
        <x:f>IF(T153="","",I153*T153)</x:f>
        <x:v>27829.791784651632</x:v>
      </x:c>
    </x:row>
    <x:row r="154" ht="18" customHeight="1">
      <x:c r="A154" s="24" t="str">
        <x:v>EEZ_554</x:v>
      </x:c>
      <x:c r="B154" s="24" t="str">
        <x:v>New Zealand</x:v>
      </x:c>
      <x:c r="C154" s="24" t="str">
        <x:v>EEZ</x:v>
      </x:c>
      <x:c r="D154" s="30" t="n">
        <x:v>2019</x:v>
      </x:c>
      <x:c r="E154" s="24" t="str">
        <x:v>Antimora rostrata</x:v>
      </x:c>
      <x:c r="F154" s="24" t="str">
        <x:v>Blue antimora</x:v>
      </x:c>
      <x:c r="G154" s="24" t="str">
        <x:v>Medium bathypelagics (30 - 89 cm)</x:v>
      </x:c>
      <x:c r="H154" s="24" t="str">
        <x:v>Cod-likes</x:v>
      </x:c>
      <x:c r="I154" s="31" t="n">
        <x:v>9.1687474172</x:v>
      </x:c>
      <x:c r="J154" s="31" t="n">
        <x:v>9.1687474172</x:v>
      </x:c>
      <x:c r="K154" s="31" t="n">
        <x:v>0</x:v>
      </x:c>
      <x:c r="L154" s="31" t="n">
        <x:v>8.2738146622</x:v>
      </x:c>
      <x:c r="M154" s="31" t="n">
        <x:v>0.894932755</x:v>
      </x:c>
      <x:c r="N154" s="24" t="str">
        <x:v>antimora rostrata</x:v>
      </x:c>
      <x:c r="O154" s="32" t="n">
        <x:v>3.58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Antimora rostrata</x:v>
      </x:c>
      <x:c r="T154" s="32" t="n">
        <x:f>IF(O154="","",(1/'Metadata'!$B$5)^(O154-1))</x:f>
        <x:v>380.1893963205613</x:v>
      </x:c>
      <x:c r="U154" s="31" t="n">
        <x:f>IF(T154="","",I154*T154)</x:f>
        <x:v>3485.8605455609736</x:v>
      </x:c>
    </x:row>
    <x:row r="155" ht="18" customHeight="1">
      <x:c r="A155" s="24" t="str">
        <x:v>EEZ_554</x:v>
      </x:c>
      <x:c r="B155" s="24" t="str">
        <x:v>New Zealand</x:v>
      </x:c>
      <x:c r="C155" s="24" t="str">
        <x:v>EEZ</x:v>
      </x:c>
      <x:c r="D155" s="30" t="n">
        <x:v>2019</x:v>
      </x:c>
      <x:c r="E155" s="24" t="str">
        <x:v>Decapterus</x:v>
      </x:c>
      <x:c r="F155" s="24" t="str">
        <x:v>Scads</x:v>
      </x:c>
      <x:c r="G155" s="24" t="str">
        <x:v>Medium pelagics (30 - 89 cm)</x:v>
      </x:c>
      <x:c r="H155" s="24" t="str">
        <x:v>Perch-likes</x:v>
      </x:c>
      <x:c r="I155" s="31" t="n">
        <x:v>9.0637468565</x:v>
      </x:c>
      <x:c r="J155" s="31" t="n">
        <x:v>9.0637468565</x:v>
      </x:c>
      <x:c r="K155" s="31" t="n">
        <x:v>0</x:v>
      </x:c>
      <x:c r="L155" s="31" t="n">
        <x:v>8.1790628842</x:v>
      </x:c>
      <x:c r="M155" s="31" t="n">
        <x:v>0.8846839723</x:v>
      </x:c>
      <x:c r="N155" s="24" t="str">
        <x:v>decapterus</x:v>
      </x:c>
      <x:c r="O155" s="32" t="n">
        <x:v>3.63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Decapterus</x:v>
      </x:c>
      <x:c r="T155" s="32" t="n">
        <x:f>IF(O155="","",(1/'Metadata'!$B$5)^(O155-1))</x:f>
        <x:v>426.57951880159254</x:v>
      </x:c>
      <x:c r="U155" s="31" t="n">
        <x:f>IF(T155="","",I155*T155)</x:f>
        <x:v>3866.408772585217</x:v>
      </x:c>
    </x:row>
    <x:row r="156" ht="18" customHeight="1">
      <x:c r="A156" s="24" t="str">
        <x:v>EEZ_554</x:v>
      </x:c>
      <x:c r="B156" s="24" t="str">
        <x:v>New Zealand</x:v>
      </x:c>
      <x:c r="C156" s="24" t="str">
        <x:v>EEZ</x:v>
      </x:c>
      <x:c r="D156" s="30" t="n">
        <x:v>2019</x:v>
      </x:c>
      <x:c r="E156" s="24" t="str">
        <x:v>Xiphiidae</x:v>
      </x:c>
      <x:c r="F156" s="24" t="str">
        <x:v>Swordfishes</x:v>
      </x:c>
      <x:c r="G156" s="24" t="str">
        <x:v>Large pelagics (&gt;=90 cm)</x:v>
      </x:c>
      <x:c r="H156" s="24" t="str">
        <x:v>Tuna &amp; billfishes</x:v>
      </x:c>
      <x:c r="I156" s="31" t="n">
        <x:v>8.7260719913</x:v>
      </x:c>
      <x:c r="J156" s="31" t="n">
        <x:v>0</x:v>
      </x:c>
      <x:c r="K156" s="31" t="n">
        <x:v>8.7260719913</x:v>
      </x:c>
      <x:c r="L156" s="31" t="n">
        <x:v>0</x:v>
      </x:c>
      <x:c r="M156" s="31" t="n">
        <x:v>8.7260719913</x:v>
      </x:c>
      <x:c r="N156" s="24" t="str">
        <x:v>xiphiidae</x:v>
      </x:c>
      <x:c r="O156" s="32" t="n">
        <x:v>4.5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Xiphiidae</x:v>
      </x:c>
      <x:c r="T156" s="32" t="n">
        <x:f>IF(O156="","",(1/'Metadata'!$B$5)^(O156-1))</x:f>
        <x:v>3162.2776601683795</x:v>
      </x:c>
      <x:c r="U156" s="31" t="n">
        <x:f>IF(T156="","",I156*T156)</x:f>
        <x:v>27594.262519108994</x:v>
      </x:c>
    </x:row>
    <x:row r="157" ht="18" customHeight="1">
      <x:c r="A157" s="24" t="str">
        <x:v>EEZ_554</x:v>
      </x:c>
      <x:c r="B157" s="24" t="str">
        <x:v>New Zealand</x:v>
      </x:c>
      <x:c r="C157" s="24" t="str">
        <x:v>EEZ</x:v>
      </x:c>
      <x:c r="D157" s="30" t="n">
        <x:v>2019</x:v>
      </x:c>
      <x:c r="E157" s="24" t="str">
        <x:v>Lampris</x:v>
      </x:c>
      <x:c r="F157" s="24" t="str">
        <x:v>Opahs</x:v>
      </x:c>
      <x:c r="G157" s="24" t="str">
        <x:v>Large pelagics (&gt;=90 cm)</x:v>
      </x:c>
      <x:c r="H157" s="24" t="str">
        <x:v>Other fishes &amp; inverts</x:v>
      </x:c>
      <x:c r="I157" s="31" t="n">
        <x:v>6.985204813299999</x:v>
      </x:c>
      <x:c r="J157" s="31" t="n">
        <x:v>6.985204813299999</x:v>
      </x:c>
      <x:c r="K157" s="31" t="n">
        <x:v>0</x:v>
      </x:c>
      <x:c r="L157" s="31" t="n">
        <x:v>6.303400820699999</x:v>
      </x:c>
      <x:c r="M157" s="31" t="n">
        <x:v>0.6818039926</x:v>
      </x:c>
      <x:c r="N157" s="24" t="str">
        <x:v>lampris</x:v>
      </x:c>
      <x:c r="O157" s="32" t="n">
        <x:v>4.22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Lampris</x:v>
      </x:c>
      <x:c r="T157" s="32" t="n">
        <x:f>IF(O157="","",(1/'Metadata'!$B$5)^(O157-1))</x:f>
        <x:v>1659.5869074375596</x:v>
      </x:c>
      <x:c r="U157" s="31" t="n">
        <x:f>IF(T157="","",I157*T157)</x:f>
        <x:v>11592.554453922501</x:v>
      </x:c>
    </x:row>
    <x:row r="158" ht="18" customHeight="1">
      <x:c r="A158" s="24" t="str">
        <x:v>EEZ_554</x:v>
      </x:c>
      <x:c r="B158" s="24" t="str">
        <x:v>New Zealand</x:v>
      </x:c>
      <x:c r="C158" s="24" t="str">
        <x:v>EEZ</x:v>
      </x:c>
      <x:c r="D158" s="30" t="n">
        <x:v>2019</x:v>
      </x:c>
      <x:c r="E158" s="24" t="str">
        <x:v>Carcharhiniformes</x:v>
      </x:c>
      <x:c r="F158" s="24" t="str">
        <x:v>Ground sharks</x:v>
      </x:c>
      <x:c r="G158" s="24" t="str">
        <x:v>Large sharks (&gt;=90 cm)</x:v>
      </x:c>
      <x:c r="H158" s="24" t="str">
        <x:v>Sharks &amp; rays</x:v>
      </x:c>
      <x:c r="I158" s="31" t="n">
        <x:v>6.9383767339</x:v>
      </x:c>
      <x:c r="J158" s="31" t="n">
        <x:v>0</x:v>
      </x:c>
      <x:c r="K158" s="31" t="n">
        <x:v>6.9383767339</x:v>
      </x:c>
      <x:c r="L158" s="31" t="n">
        <x:v>0</x:v>
      </x:c>
      <x:c r="M158" s="31" t="n">
        <x:v>6.9383767339</x:v>
      </x:c>
      <x:c r="N158" s="24" t="str">
        <x:v>carcharhiniformes</x:v>
      </x:c>
      <x:c r="O158" s="32" t="n">
        <x:v>4.08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Carcharhiniformes</x:v>
      </x:c>
      <x:c r="T158" s="32" t="n">
        <x:f>IF(O158="","",(1/'Metadata'!$B$5)^(O158-1))</x:f>
        <x:v>1202.2644346174131</x:v>
      </x:c>
      <x:c r="U158" s="31" t="n">
        <x:f>IF(T158="","",I158*T158)</x:f>
        <x:v>8341.763581144898</x:v>
      </x:c>
    </x:row>
    <x:row r="159" ht="18" customHeight="1">
      <x:c r="A159" s="24" t="str">
        <x:v>EEZ_554</x:v>
      </x:c>
      <x:c r="B159" s="24" t="str">
        <x:v>New Zealand</x:v>
      </x:c>
      <x:c r="C159" s="24" t="str">
        <x:v>EEZ</x:v>
      </x:c>
      <x:c r="D159" s="30" t="n">
        <x:v>2019</x:v>
      </x:c>
      <x:c r="E159" s="24" t="str">
        <x:v>Miscellaneous marine crustaceans</x:v>
      </x:c>
      <x:c r="F159" s="24" t="str">
        <x:v>Marine crabs, shrimps, lobsters nei</x:v>
      </x:c>
      <x:c r="G159" s="24" t="str">
        <x:v>Shrimps</x:v>
      </x:c>
      <x:c r="H159" s="24" t="str">
        <x:v>Crustaceans</x:v>
      </x:c>
      <x:c r="I159" s="31" t="n">
        <x:v>6.9023066499</x:v>
      </x:c>
      <x:c r="J159" s="31" t="n">
        <x:v>0</x:v>
      </x:c>
      <x:c r="K159" s="31" t="n">
        <x:v>6.9023066499</x:v>
      </x:c>
      <x:c r="L159" s="31" t="n">
        <x:v>0</x:v>
      </x:c>
      <x:c r="M159" s="31" t="n">
        <x:v>6.9023066499</x:v>
      </x:c>
      <x:c r="N159" s="24" t="str">
        <x:v>miscellaneous marine crustaceans</x:v>
      </x:c>
      <x:c r="O159" s="32" t="n">
        <x:v>2.7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Miscellaneous marine crustaceans</x:v>
      </x:c>
      <x:c r="T159" s="32" t="n">
        <x:f>IF(O159="","",(1/'Metadata'!$B$5)^(O159-1))</x:f>
        <x:v>50.11872336272725</x:v>
      </x:c>
      <x:c r="U159" s="31" t="n">
        <x:f>IF(T159="","",I159*T159)</x:f>
        <x:v>345.9347975510508</x:v>
      </x:c>
    </x:row>
    <x:row r="160" ht="18" customHeight="1">
      <x:c r="A160" s="24" t="str">
        <x:v>EEZ_554</x:v>
      </x:c>
      <x:c r="B160" s="24" t="str">
        <x:v>New Zealand</x:v>
      </x:c>
      <x:c r="C160" s="24" t="str">
        <x:v>EEZ</x:v>
      </x:c>
      <x:c r="D160" s="30" t="n">
        <x:v>2019</x:v>
      </x:c>
      <x:c r="E160" s="24" t="str">
        <x:v>Paristiopterus labiosus</x:v>
      </x:c>
      <x:c r="F160" s="24" t="str">
        <x:v>Giant boarfish</x:v>
      </x:c>
      <x:c r="G160" s="24" t="str">
        <x:v>Medium demersals (30 - 89 cm)</x:v>
      </x:c>
      <x:c r="H160" s="24" t="str">
        <x:v>Perch-likes</x:v>
      </x:c>
      <x:c r="I160" s="31" t="n">
        <x:v>6.3311509943</x:v>
      </x:c>
      <x:c r="J160" s="31" t="n">
        <x:v>6.3311509943</x:v>
      </x:c>
      <x:c r="K160" s="31" t="n">
        <x:v>0</x:v>
      </x:c>
      <x:c r="L160" s="31" t="n">
        <x:v>5.7131871479</x:v>
      </x:c>
      <x:c r="M160" s="31" t="n">
        <x:v>0.6179638464</x:v>
      </x:c>
      <x:c r="N160" s="24" t="str">
        <x:v>paristiopterus labiosus</x:v>
      </x:c>
      <x:c r="O160" s="32" t="n">
        <x:v>3.33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Paristiopterus labiosus</x:v>
      </x:c>
      <x:c r="T160" s="32" t="n">
        <x:f>IF(O160="","",(1/'Metadata'!$B$5)^(O160-1))</x:f>
        <x:v>213.79620895022325</x:v>
      </x:c>
      <x:c r="U160" s="31" t="n">
        <x:f>IF(T160="","",I160*T160)</x:f>
        <x:v>1353.5760808727764</x:v>
      </x:c>
    </x:row>
    <x:row r="161" ht="18" customHeight="1">
      <x:c r="A161" s="24" t="str">
        <x:v>EEZ_554</x:v>
      </x:c>
      <x:c r="B161" s="24" t="str">
        <x:v>New Zealand</x:v>
      </x:c>
      <x:c r="C161" s="24" t="str">
        <x:v>EEZ</x:v>
      </x:c>
      <x:c r="D161" s="30" t="n">
        <x:v>2019</x:v>
      </x:c>
      <x:c r="E161" s="24" t="str">
        <x:v>Gadiformes</x:v>
      </x:c>
      <x:c r="F161" s="24" t="str">
        <x:v>Cods</x:v>
      </x:c>
      <x:c r="G161" s="24" t="str">
        <x:v>Medium benthopelagics (30 - 89 cm)</x:v>
      </x:c>
      <x:c r="H161" s="24" t="str">
        <x:v>Cod-likes</x:v>
      </x:c>
      <x:c r="I161" s="31" t="n">
        <x:v>6.2388602658</x:v>
      </x:c>
      <x:c r="J161" s="31" t="n">
        <x:v>4.15904518</x:v>
      </x:c>
      <x:c r="K161" s="31" t="n">
        <x:v>2.0798150858</x:v>
      </x:c>
      <x:c r="L161" s="31" t="n">
        <x:v>3.7530937894</x:v>
      </x:c>
      <x:c r="M161" s="31" t="n">
        <x:v>2.4857664764</x:v>
      </x:c>
      <x:c r="N161" s="24" t="str">
        <x:v>gadiformes</x:v>
      </x:c>
      <x:c r="O161" s="32" t="n">
        <x:v>3.91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Gadiformes</x:v>
      </x:c>
      <x:c r="T161" s="32" t="n">
        <x:f>IF(O161="","",(1/'Metadata'!$B$5)^(O161-1))</x:f>
        <x:v>812.8305161640995</x:v>
      </x:c>
      <x:c r="U161" s="31" t="n">
        <x:f>IF(T161="","",I161*T161)</x:f>
        <x:v>5071.136010125905</x:v>
      </x:c>
    </x:row>
    <x:row r="162" ht="18" customHeight="1">
      <x:c r="A162" s="24" t="str">
        <x:v>EEZ_554</x:v>
      </x:c>
      <x:c r="B162" s="24" t="str">
        <x:v>New Zealand</x:v>
      </x:c>
      <x:c r="C162" s="24" t="str">
        <x:v>EEZ</x:v>
      </x:c>
      <x:c r="D162" s="30" t="n">
        <x:v>2019</x:v>
      </x:c>
      <x:c r="E162" s="24" t="str">
        <x:v>Halargyreus johnsonii</x:v>
      </x:c>
      <x:c r="F162" s="24" t="str">
        <x:v>Slender codling</x:v>
      </x:c>
      <x:c r="G162" s="24" t="str">
        <x:v>Medium bathypelagics (30 - 89 cm)</x:v>
      </x:c>
      <x:c r="H162" s="24" t="str">
        <x:v>Cod-likes</x:v>
      </x:c>
      <x:c r="I162" s="31" t="n">
        <x:v>5.8207616885</x:v>
      </x:c>
      <x:c r="J162" s="31" t="n">
        <x:v>5.8207616885</x:v>
      </x:c>
      <x:c r="K162" s="31" t="n">
        <x:v>0</x:v>
      </x:c>
      <x:c r="L162" s="31" t="n">
        <x:v>5.2526153475</x:v>
      </x:c>
      <x:c r="M162" s="31" t="n">
        <x:v>0.568146341</x:v>
      </x:c>
      <x:c r="N162" s="24" t="str">
        <x:v>halargyreus johnsonii</x:v>
      </x:c>
      <x:c r="O162" s="32" t="n">
        <x:v>3.38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Halargyreus johnsonii</x:v>
      </x:c>
      <x:c r="T162" s="32" t="n">
        <x:f>IF(O162="","",(1/'Metadata'!$B$5)^(O162-1))</x:f>
        <x:v>239.88329190194898</x:v>
      </x:c>
      <x:c r="U162" s="31" t="n">
        <x:f>IF(T162="","",I162*T162)</x:f>
        <x:v>1396.303475214127</x:v>
      </x:c>
    </x:row>
    <x:row r="163" ht="18" customHeight="1">
      <x:c r="A163" s="24" t="str">
        <x:v>EEZ_554</x:v>
      </x:c>
      <x:c r="B163" s="24" t="str">
        <x:v>New Zealand</x:v>
      </x:c>
      <x:c r="C163" s="24" t="str">
        <x:v>EEZ</x:v>
      </x:c>
      <x:c r="D163" s="30" t="n">
        <x:v>2019</x:v>
      </x:c>
      <x:c r="E163" s="24" t="str">
        <x:v>Sparidae</x:v>
      </x:c>
      <x:c r="F163" s="24" t="str">
        <x:v>Porgies, seabreams</x:v>
      </x:c>
      <x:c r="G163" s="24" t="str">
        <x:v>Medium benthopelagics (30 - 89 cm)</x:v>
      </x:c>
      <x:c r="H163" s="24" t="str">
        <x:v>Perch-likes</x:v>
      </x:c>
      <x:c r="I163" s="31" t="n">
        <x:v>5.1924184708</x:v>
      </x:c>
      <x:c r="J163" s="31" t="n">
        <x:v>0</x:v>
      </x:c>
      <x:c r="K163" s="31" t="n">
        <x:v>5.1924184708</x:v>
      </x:c>
      <x:c r="L163" s="31" t="n">
        <x:v>0</x:v>
      </x:c>
      <x:c r="M163" s="31" t="n">
        <x:v>5.1924184708</x:v>
      </x:c>
      <x:c r="N163" s="24" t="str">
        <x:v>sparidae</x:v>
      </x:c>
      <x:c r="O163" s="32" t="n">
        <x:v>3.31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Sparidae</x:v>
      </x:c>
      <x:c r="T163" s="32" t="n">
        <x:f>IF(O163="","",(1/'Metadata'!$B$5)^(O163-1))</x:f>
        <x:v>204.17379446695296</x:v>
      </x:c>
      <x:c r="U163" s="31" t="n">
        <x:f>IF(T163="","",I163*T163)</x:f>
        <x:v>1060.1557816435293</x:v>
      </x:c>
    </x:row>
    <x:row r="164" ht="18" customHeight="1">
      <x:c r="A164" s="24" t="str">
        <x:v>EEZ_554</x:v>
      </x:c>
      <x:c r="B164" s="24" t="str">
        <x:v>New Zealand</x:v>
      </x:c>
      <x:c r="C164" s="24" t="str">
        <x:v>EEZ</x:v>
      </x:c>
      <x:c r="D164" s="30" t="n">
        <x:v>2019</x:v>
      </x:c>
      <x:c r="E164" s="24" t="str">
        <x:v>Zeidae</x:v>
      </x:c>
      <x:c r="F164" s="24" t="str">
        <x:v>Dories</x:v>
      </x:c>
      <x:c r="G164" s="24" t="str">
        <x:v>Medium bathydemersals (30 - 89 cm)</x:v>
      </x:c>
      <x:c r="H164" s="24" t="str">
        <x:v>Other fishes &amp; inverts</x:v>
      </x:c>
      <x:c r="I164" s="31" t="n">
        <x:v>4.9511076586</x:v>
      </x:c>
      <x:c r="J164" s="31" t="n">
        <x:v>0</x:v>
      </x:c>
      <x:c r="K164" s="31" t="n">
        <x:v>4.9511076586</x:v>
      </x:c>
      <x:c r="L164" s="31" t="n">
        <x:v>0</x:v>
      </x:c>
      <x:c r="M164" s="31" t="n">
        <x:v>4.9511076586</x:v>
      </x:c>
      <x:c r="N164" s="24" t="str">
        <x:v>zeidae</x:v>
      </x:c>
      <x:c r="O164" s="32" t="n">
        <x:v>4.49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Zeidae</x:v>
      </x:c>
      <x:c r="T164" s="32" t="n">
        <x:f>IF(O164="","",(1/'Metadata'!$B$5)^(O164-1))</x:f>
        <x:v>3090.295432513592</x:v>
      </x:c>
      <x:c r="U164" s="31" t="n">
        <x:f>IF(T164="","",I164*T164)</x:f>
        <x:v>15300.385383254645</x:v>
      </x:c>
    </x:row>
    <x:row r="165" ht="18" customHeight="1">
      <x:c r="A165" s="24" t="str">
        <x:v>EEZ_554</x:v>
      </x:c>
      <x:c r="B165" s="24" t="str">
        <x:v>New Zealand</x:v>
      </x:c>
      <x:c r="C165" s="24" t="str">
        <x:v>EEZ</x:v>
      </x:c>
      <x:c r="D165" s="30" t="n">
        <x:v>2019</x:v>
      </x:c>
      <x:c r="E165" s="24" t="str">
        <x:v>Diastobranchus capensis</x:v>
      </x:c>
      <x:c r="F165" s="24" t="str">
        <x:v>Basketwork eel</x:v>
      </x:c>
      <x:c r="G165" s="24" t="str">
        <x:v>Large bathydemersals (&gt;=90 cm)</x:v>
      </x:c>
      <x:c r="H165" s="24" t="str">
        <x:v>Other fishes &amp; inverts</x:v>
      </x:c>
      <x:c r="I165" s="31" t="n">
        <x:v>4.5780653165</x:v>
      </x:c>
      <x:c r="J165" s="31" t="n">
        <x:v>4.5780653165</x:v>
      </x:c>
      <x:c r="K165" s="31" t="n">
        <x:v>0</x:v>
      </x:c>
      <x:c r="L165" s="31" t="n">
        <x:v>4.1312146867</x:v>
      </x:c>
      <x:c r="M165" s="31" t="n">
        <x:v>0.4468506298</x:v>
      </x:c>
      <x:c r="N165" s="24" t="str">
        <x:v>diastobranchus capensis</x:v>
      </x:c>
      <x:c r="O165" s="32" t="n">
        <x:v>3.99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Diastobranchus capensis</x:v>
      </x:c>
      <x:c r="T165" s="32" t="n">
        <x:f>IF(O165="","",(1/'Metadata'!$B$5)^(O165-1))</x:f>
        <x:v>977.2372209558112</x:v>
      </x:c>
      <x:c r="U165" s="31" t="n">
        <x:f>IF(T165="","",I165*T165)</x:f>
        <x:v>4473.855827250646</x:v>
      </x:c>
    </x:row>
    <x:row r="166" ht="18" customHeight="1">
      <x:c r="A166" s="24" t="str">
        <x:v>EEZ_554</x:v>
      </x:c>
      <x:c r="B166" s="24" t="str">
        <x:v>New Zealand</x:v>
      </x:c>
      <x:c r="C166" s="24" t="str">
        <x:v>EEZ</x:v>
      </x:c>
      <x:c r="D166" s="30" t="n">
        <x:v>2019</x:v>
      </x:c>
      <x:c r="E166" s="24" t="str">
        <x:v>Trachipterus trachypterus</x:v>
      </x:c>
      <x:c r="F166" s="24" t="str">
        <x:v>Mediterranean dealfish</x:v>
      </x:c>
      <x:c r="G166" s="24" t="str">
        <x:v>Large bathypelagics (&gt;=90 cm)</x:v>
      </x:c>
      <x:c r="H166" s="24" t="str">
        <x:v>Other fishes &amp; inverts</x:v>
      </x:c>
      <x:c r="I166" s="31" t="n">
        <x:v>4.4620121693</x:v>
      </x:c>
      <x:c r="J166" s="31" t="n">
        <x:v>4.4620121693</x:v>
      </x:c>
      <x:c r="K166" s="31" t="n">
        <x:v>0</x:v>
      </x:c>
      <x:c r="L166" s="31" t="n">
        <x:v>4.026489118</x:v>
      </x:c>
      <x:c r="M166" s="31" t="n">
        <x:v>0.4355230513</x:v>
      </x:c>
      <x:c r="N166" s="24" t="str">
        <x:v>trachipterus trachypterus</x:v>
      </x:c>
      <x:c r="O166" s="32" t="n">
        <x:v>2.88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Trachipterus trachypterus</x:v>
      </x:c>
      <x:c r="T166" s="32" t="n">
        <x:f>IF(O166="","",(1/'Metadata'!$B$5)^(O166-1))</x:f>
        <x:v>75.85775750291836</x:v>
      </x:c>
      <x:c r="U166" s="31" t="n">
        <x:f>IF(T166="","",I166*T166)</x:f>
        <x:v>338.4782371138301</x:v>
      </x:c>
    </x:row>
    <x:row r="167" ht="18" customHeight="1">
      <x:c r="A167" s="24" t="str">
        <x:v>EEZ_554</x:v>
      </x:c>
      <x:c r="B167" s="24" t="str">
        <x:v>New Zealand</x:v>
      </x:c>
      <x:c r="C167" s="24" t="str">
        <x:v>EEZ</x:v>
      </x:c>
      <x:c r="D167" s="30" t="n">
        <x:v>2019</x:v>
      </x:c>
      <x:c r="E167" s="24" t="str">
        <x:v>Capromimus abbreviatus</x:v>
      </x:c>
      <x:c r="F167" s="24" t="str">
        <x:v>Capro dory</x:v>
      </x:c>
      <x:c r="G167" s="24" t="str">
        <x:v>Small bathydemersals (&lt;30 cm)</x:v>
      </x:c>
      <x:c r="H167" s="24" t="str">
        <x:v>Other fishes &amp; inverts</x:v>
      </x:c>
      <x:c r="I167" s="31" t="n">
        <x:v>4.2847021827</x:v>
      </x:c>
      <x:c r="J167" s="31" t="n">
        <x:v>4.2847021827</x:v>
      </x:c>
      <x:c r="K167" s="31" t="n">
        <x:v>0</x:v>
      </x:c>
      <x:c r="L167" s="31" t="n">
        <x:v>3.8664858078</x:v>
      </x:c>
      <x:c r="M167" s="31" t="n">
        <x:v>0.41821637489999997</x:v>
      </x:c>
      <x:c r="N167" s="24" t="str">
        <x:v>capromimus abbreviatus</x:v>
      </x:c>
      <x:c r="O167" s="32" t="n">
        <x:v>3.51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Capromimus abbreviatus</x:v>
      </x:c>
      <x:c r="T167" s="32" t="n">
        <x:f>IF(O167="","",(1/'Metadata'!$B$5)^(O167-1))</x:f>
        <x:v>323.5936569296281</x:v>
      </x:c>
      <x:c r="U167" s="31" t="n">
        <x:f>IF(T167="","",I167*T167)</x:f>
        <x:v>1386.5024481542525</x:v>
      </x:c>
    </x:row>
    <x:row r="168" ht="18" customHeight="1">
      <x:c r="A168" s="24" t="str">
        <x:v>EEZ_554</x:v>
      </x:c>
      <x:c r="B168" s="24" t="str">
        <x:v>New Zealand</x:v>
      </x:c>
      <x:c r="C168" s="24" t="str">
        <x:v>EEZ</x:v>
      </x:c>
      <x:c r="D168" s="30" t="n">
        <x:v>2019</x:v>
      </x:c>
      <x:c r="E168" s="24" t="str">
        <x:v>Hoplostethus mediterraneus</x:v>
      </x:c>
      <x:c r="F168" s="24" t="str">
        <x:v>Mediterranean slimehead</x:v>
      </x:c>
      <x:c r="G168" s="24" t="str">
        <x:v>Medium benthopelagics (30 - 89 cm)</x:v>
      </x:c>
      <x:c r="H168" s="24" t="str">
        <x:v>Other fishes &amp; inverts</x:v>
      </x:c>
      <x:c r="I168" s="31" t="n">
        <x:v>4.2457150776</x:v>
      </x:c>
      <x:c r="J168" s="31" t="n">
        <x:v>4.2457150776</x:v>
      </x:c>
      <x:c r="K168" s="31" t="n">
        <x:v>0</x:v>
      </x:c>
      <x:c r="L168" s="31" t="n">
        <x:v>3.8313041092</x:v>
      </x:c>
      <x:c r="M168" s="31" t="n">
        <x:v>0.4144109684</x:v>
      </x:c>
      <x:c r="N168" s="24" t="str">
        <x:v>hoplostethus mediterraneus</x:v>
      </x:c>
      <x:c r="O168" s="32" t="n">
        <x:v>3.49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Hoplostethus mediterraneus</x:v>
      </x:c>
      <x:c r="T168" s="32" t="n">
        <x:f>IF(O168="","",(1/'Metadata'!$B$5)^(O168-1))</x:f>
        <x:v>309.0295432513592</x:v>
      </x:c>
      <x:c r="U168" s="31" t="n">
        <x:f>IF(T168="","",I168*T168)</x:f>
        <x:v>1312.051391206137</x:v>
      </x:c>
    </x:row>
    <x:row r="169" ht="18" customHeight="1">
      <x:c r="A169" s="24" t="str">
        <x:v>EEZ_554</x:v>
      </x:c>
      <x:c r="B169" s="24" t="str">
        <x:v>New Zealand</x:v>
      </x:c>
      <x:c r="C169" s="24" t="str">
        <x:v>EEZ</x:v>
      </x:c>
      <x:c r="D169" s="30" t="n">
        <x:v>2019</x:v>
      </x:c>
      <x:c r="E169" s="24" t="str">
        <x:v>Australostichopus mollis</x:v>
      </x:c>
      <x:c r="F169" s="24" t="str">
        <x:v>Brown mottled sea cucumber</x:v>
      </x:c>
      <x:c r="G169" s="24" t="str">
        <x:v>Other demersal invertebrates</x:v>
      </x:c>
      <x:c r="H169" s="24" t="str">
        <x:v>Other fishes &amp; inverts</x:v>
      </x:c>
      <x:c r="I169" s="31" t="n">
        <x:v>4.1676384116</x:v>
      </x:c>
      <x:c r="J169" s="31" t="n">
        <x:v>4.1676384116</x:v>
      </x:c>
      <x:c r="K169" s="31" t="n">
        <x:v>0</x:v>
      </x:c>
      <x:c r="L169" s="31" t="n">
        <x:v>0</x:v>
      </x:c>
      <x:c r="M169" s="31" t="n">
        <x:v>4.1676384116</x:v>
      </x:c>
      <x:c r="N169" s="24" t="str">
        <x:v>australostichopus mollis</x:v>
      </x:c>
      <x:c r="O169" s="32" t="n">
        <x:v>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Australostichopus mollis</x:v>
      </x:c>
      <x:c r="T169" s="32" t="n">
        <x:f>IF(O169="","",(1/'Metadata'!$B$5)^(O169-1))</x:f>
        <x:v>10</x:v>
      </x:c>
      <x:c r="U169" s="31" t="n">
        <x:f>IF(T169="","",I169*T169)</x:f>
        <x:v>41.676384115999994</x:v>
      </x:c>
    </x:row>
    <x:row r="170" ht="18" customHeight="1">
      <x:c r="A170" s="24" t="str">
        <x:v>EEZ_554</x:v>
      </x:c>
      <x:c r="B170" s="24" t="str">
        <x:v>New Zealand</x:v>
      </x:c>
      <x:c r="C170" s="24" t="str">
        <x:v>EEZ</x:v>
      </x:c>
      <x:c r="D170" s="30" t="n">
        <x:v>2019</x:v>
      </x:c>
      <x:c r="E170" s="24" t="str">
        <x:v>Scorpis violacea</x:v>
      </x:c>
      <x:c r="F170" s="24" t="str">
        <x:v>Blue maomao</x:v>
      </x:c>
      <x:c r="G170" s="24" t="str">
        <x:v>Small pelagics (&lt;30 cm)</x:v>
      </x:c>
      <x:c r="H170" s="24" t="str">
        <x:v>Perch-likes</x:v>
      </x:c>
      <x:c r="I170" s="31" t="n">
        <x:v>4.166335997</x:v>
      </x:c>
      <x:c r="J170" s="31" t="n">
        <x:v>4.166335997</x:v>
      </x:c>
      <x:c r="K170" s="31" t="n">
        <x:v>0</x:v>
      </x:c>
      <x:c r="L170" s="31" t="n">
        <x:v>3.5559232835</x:v>
      </x:c>
      <x:c r="M170" s="31" t="n">
        <x:v>0.6104127135</x:v>
      </x:c>
      <x:c r="N170" s="24" t="str">
        <x:v>scorpis violacea</x:v>
      </x:c>
      <x:c r="O170" s="32" t="n">
        <x:v>3.1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Scorpis violacea</x:v>
      </x:c>
      <x:c r="T170" s="32" t="n">
        <x:f>IF(O170="","",(1/'Metadata'!$B$5)^(O170-1))</x:f>
        <x:v>125.89254117941675</x:v>
      </x:c>
      <x:c r="U170" s="31" t="n">
        <x:f>IF(T170="","",I170*T170)</x:f>
        <x:v>524.5106260696089</x:v>
      </x:c>
    </x:row>
    <x:row r="171" ht="18" customHeight="1">
      <x:c r="A171" s="24" t="str">
        <x:v>EEZ_554</x:v>
      </x:c>
      <x:c r="B171" s="24" t="str">
        <x:v>New Zealand</x:v>
      </x:c>
      <x:c r="C171" s="24" t="str">
        <x:v>EEZ</x:v>
      </x:c>
      <x:c r="D171" s="30" t="n">
        <x:v>2019</x:v>
      </x:c>
      <x:c r="E171" s="24" t="str">
        <x:v>Pinguipedidae</x:v>
      </x:c>
      <x:c r="F171" s="24" t="str">
        <x:v>Sandperches</x:v>
      </x:c>
      <x:c r="G171" s="24" t="str">
        <x:v>Medium demersals (30 - 89 cm)</x:v>
      </x:c>
      <x:c r="H171" s="24" t="str">
        <x:v>Perch-likes</x:v>
      </x:c>
      <x:c r="I171" s="31" t="n">
        <x:v>3.2252212126</x:v>
      </x:c>
      <x:c r="J171" s="31" t="n">
        <x:v>0</x:v>
      </x:c>
      <x:c r="K171" s="31" t="n">
        <x:v>3.2252212126</x:v>
      </x:c>
      <x:c r="L171" s="31" t="n">
        <x:v>0</x:v>
      </x:c>
      <x:c r="M171" s="31" t="n">
        <x:v>3.2252212126</x:v>
      </x:c>
      <x:c r="N171" s="24" t="str">
        <x:v>pinguipedidae</x:v>
      </x:c>
      <x:c r="O171" s="32" t="n">
        <x:v>3.49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Pinguipedidae</x:v>
      </x:c>
      <x:c r="T171" s="32" t="n">
        <x:f>IF(O171="","",(1/'Metadata'!$B$5)^(O171-1))</x:f>
        <x:v>309.0295432513592</x:v>
      </x:c>
      <x:c r="U171" s="31" t="n">
        <x:f>IF(T171="","",I171*T171)</x:f>
        <x:v>996.6886382143729</x:v>
      </x:c>
    </x:row>
    <x:row r="172" ht="18" customHeight="1">
      <x:c r="A172" s="24" t="str">
        <x:v>EEZ_554</x:v>
      </x:c>
      <x:c r="B172" s="24" t="str">
        <x:v>New Zealand</x:v>
      </x:c>
      <x:c r="C172" s="24" t="str">
        <x:v>EEZ</x:v>
      </x:c>
      <x:c r="D172" s="30" t="n">
        <x:v>2019</x:v>
      </x:c>
      <x:c r="E172" s="24" t="str">
        <x:v>Miscellaneous aquatic invertebrates</x:v>
      </x:c>
      <x:c r="F172" s="24" t="str">
        <x:v>Aquatic invertebrates</x:v>
      </x:c>
      <x:c r="G172" s="24" t="str">
        <x:v>Other demersal invertebrates</x:v>
      </x:c>
      <x:c r="H172" s="24" t="str">
        <x:v>Other fishes &amp; inverts</x:v>
      </x:c>
      <x:c r="I172" s="31" t="n">
        <x:v>3.1763687984</x:v>
      </x:c>
      <x:c r="J172" s="31" t="n">
        <x:v>0</x:v>
      </x:c>
      <x:c r="K172" s="31" t="n">
        <x:v>3.1763687984</x:v>
      </x:c>
      <x:c r="L172" s="31" t="n">
        <x:v>0</x:v>
      </x:c>
      <x:c r="M172" s="31" t="n">
        <x:v>3.1763687984</x:v>
      </x:c>
      <x:c r="N172" s="24" t="str">
        <x:v>miscellaneous aquatic invertebrates</x:v>
      </x:c>
      <x:c r="O172" s="32" t="n">
        <x:v>2.43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Miscellaneous aquatic invertebrates</x:v>
      </x:c>
      <x:c r="T172" s="32" t="n">
        <x:f>IF(O172="","",(1/'Metadata'!$B$5)^(O172-1))</x:f>
        <x:v>26.915348039269166</x:v>
      </x:c>
      <x:c r="U172" s="31" t="n">
        <x:f>IF(T172="","",I172*T172)</x:f>
        <x:v>85.4930717100112</x:v>
      </x:c>
    </x:row>
    <x:row r="173" ht="18" customHeight="1">
      <x:c r="A173" s="24" t="str">
        <x:v>EEZ_554</x:v>
      </x:c>
      <x:c r="B173" s="24" t="str">
        <x:v>New Zealand</x:v>
      </x:c>
      <x:c r="C173" s="24" t="str">
        <x:v>EEZ</x:v>
      </x:c>
      <x:c r="D173" s="30" t="n">
        <x:v>2019</x:v>
      </x:c>
      <x:c r="E173" s="24" t="str">
        <x:v>Carcharhinus longimanus</x:v>
      </x:c>
      <x:c r="F173" s="24" t="str">
        <x:v>Oceanic whitetip shark</x:v>
      </x:c>
      <x:c r="G173" s="24" t="str">
        <x:v>Large sharks (&gt;=90 cm)</x:v>
      </x:c>
      <x:c r="H173" s="24" t="str">
        <x:v>Sharks &amp; rays</x:v>
      </x:c>
      <x:c r="I173" s="31" t="n">
        <x:v>3.1354912907999997</x:v>
      </x:c>
      <x:c r="J173" s="31" t="n">
        <x:v>0.0036532835</x:v>
      </x:c>
      <x:c r="K173" s="31" t="n">
        <x:v>3.1318380073</x:v>
      </x:c>
      <x:c r="L173" s="31" t="n">
        <x:v>0.0036532835</x:v>
      </x:c>
      <x:c r="M173" s="31" t="n">
        <x:v>3.1318380073</x:v>
      </x:c>
      <x:c r="N173" s="24" t="str">
        <x:v>carcharhinus longimanus</x:v>
      </x:c>
      <x:c r="O173" s="32" t="n">
        <x:v>4.16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Carcharhinus longimanus</x:v>
      </x:c>
      <x:c r="T173" s="32" t="n">
        <x:f>IF(O173="","",(1/'Metadata'!$B$5)^(O173-1))</x:f>
        <x:v>1445.439770745928</x:v>
      </x:c>
      <x:c r="U173" s="31" t="n">
        <x:f>IF(T173="","",I173*T173)</x:f>
        <x:v>4532.163812549805</x:v>
      </x:c>
    </x:row>
    <x:row r="174" ht="18" customHeight="1">
      <x:c r="A174" s="24" t="str">
        <x:v>EEZ_554</x:v>
      </x:c>
      <x:c r="B174" s="24" t="str">
        <x:v>New Zealand</x:v>
      </x:c>
      <x:c r="C174" s="24" t="str">
        <x:v>EEZ</x:v>
      </x:c>
      <x:c r="D174" s="30" t="n">
        <x:v>2019</x:v>
      </x:c>
      <x:c r="E174" s="24" t="str">
        <x:v>Gastropoda</x:v>
      </x:c>
      <x:c r="F174" s="24" t="str">
        <x:v>Sea snails</x:v>
      </x:c>
      <x:c r="G174" s="24" t="str">
        <x:v>Other demersal invertebrates</x:v>
      </x:c>
      <x:c r="H174" s="24" t="str">
        <x:v>Molluscs</x:v>
      </x:c>
      <x:c r="I174" s="31" t="n">
        <x:v>3.0416796108999997</x:v>
      </x:c>
      <x:c r="J174" s="31" t="n">
        <x:v>0</x:v>
      </x:c>
      <x:c r="K174" s="31" t="n">
        <x:v>3.0416796108999997</x:v>
      </x:c>
      <x:c r="L174" s="31" t="n">
        <x:v>0</x:v>
      </x:c>
      <x:c r="M174" s="31" t="n">
        <x:v>3.0416796108999997</x:v>
      </x:c>
      <x:c r="N174" s="24" t="str">
        <x:v>gastropoda</x:v>
      </x:c>
      <x:c r="O174" s="32" t="n">
        <x:v>3.06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Gastropoda</x:v>
      </x:c>
      <x:c r="T174" s="32" t="n">
        <x:f>IF(O174="","",(1/'Metadata'!$B$5)^(O174-1))</x:f>
        <x:v>114.81536214968828</x:v>
      </x:c>
      <x:c r="U174" s="31" t="n">
        <x:f>IF(T174="","",I174*T174)</x:f>
        <x:v>349.23154606880644</x:v>
      </x:c>
    </x:row>
    <x:row r="175" ht="18" customHeight="1">
      <x:c r="A175" s="24" t="str">
        <x:v>EEZ_554</x:v>
      </x:c>
      <x:c r="B175" s="24" t="str">
        <x:v>New Zealand</x:v>
      </x:c>
      <x:c r="C175" s="24" t="str">
        <x:v>EEZ</x:v>
      </x:c>
      <x:c r="D175" s="30" t="n">
        <x:v>2019</x:v>
      </x:c>
      <x:c r="E175" s="24" t="str">
        <x:v>Mullidae</x:v>
      </x:c>
      <x:c r="F175" s="24" t="str">
        <x:v>Goatfishes</x:v>
      </x:c>
      <x:c r="G175" s="24" t="str">
        <x:v>Medium reef assoc. fish (30 - 89 cm)</x:v>
      </x:c>
      <x:c r="H175" s="24" t="str">
        <x:v>Perch-likes</x:v>
      </x:c>
      <x:c r="I175" s="31" t="n">
        <x:v>2.8781226878</x:v>
      </x:c>
      <x:c r="J175" s="31" t="n">
        <x:v>0.3486167346</x:v>
      </x:c>
      <x:c r="K175" s="31" t="n">
        <x:v>2.5295059532</x:v>
      </x:c>
      <x:c r="L175" s="31" t="n">
        <x:v>0.3145893501</x:v>
      </x:c>
      <x:c r="M175" s="31" t="n">
        <x:v>2.5635333377</x:v>
      </x:c>
      <x:c r="N175" s="24" t="str">
        <x:v>mullidae</x:v>
      </x:c>
      <x:c r="O175" s="32" t="n">
        <x:v>3.46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Mullidae</x:v>
      </x:c>
      <x:c r="T175" s="32" t="n">
        <x:f>IF(O175="","",(1/'Metadata'!$B$5)^(O175-1))</x:f>
        <x:v>288.40315031266056</x:v>
      </x:c>
      <x:c r="U175" s="31" t="n">
        <x:f>IF(T175="","",I175*T175)</x:f>
        <x:v>830.059650147862</x:v>
      </x:c>
    </x:row>
    <x:row r="176" ht="18" customHeight="1">
      <x:c r="A176" s="24" t="str">
        <x:v>EEZ_554</x:v>
      </x:c>
      <x:c r="B176" s="24" t="str">
        <x:v>New Zealand</x:v>
      </x:c>
      <x:c r="C176" s="24" t="str">
        <x:v>EEZ</x:v>
      </x:c>
      <x:c r="D176" s="30" t="n">
        <x:v>2019</x:v>
      </x:c>
      <x:c r="E176" s="24" t="str">
        <x:v>Lithodidae</x:v>
      </x:c>
      <x:c r="F176" s="24" t="str">
        <x:v>Stone/king crabs</x:v>
      </x:c>
      <x:c r="G176" s="24" t="str">
        <x:v>Lobsters, crabs</x:v>
      </x:c>
      <x:c r="H176" s="24" t="str">
        <x:v>Crustaceans</x:v>
      </x:c>
      <x:c r="I176" s="31" t="n">
        <x:v>2.6971312745</x:v>
      </x:c>
      <x:c r="J176" s="31" t="n">
        <x:v>2.6287896119</x:v>
      </x:c>
      <x:c r="K176" s="31" t="n">
        <x:v>0.0683416626</x:v>
      </x:c>
      <x:c r="L176" s="31" t="n">
        <x:v>2.6287896119</x:v>
      </x:c>
      <x:c r="M176" s="31" t="n">
        <x:v>0.0683416626</x:v>
      </x:c>
      <x:c r="N176" s="24" t="str">
        <x:v>lithodidae</x:v>
      </x:c>
      <x:c r="O176" s="32" t="n">
        <x:v>2.82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Lithodidae</x:v>
      </x:c>
      <x:c r="T176" s="32" t="n">
        <x:f>IF(O176="","",(1/'Metadata'!$B$5)^(O176-1))</x:f>
        <x:v>66.06934480075958</x:v>
      </x:c>
      <x:c r="U176" s="31" t="n">
        <x:f>IF(T176="","",I176*T176)</x:f>
        <x:v>178.1976961478526</x:v>
      </x:c>
    </x:row>
    <x:row r="177" ht="18" customHeight="1">
      <x:c r="A177" s="24" t="str">
        <x:v>EEZ_554</x:v>
      </x:c>
      <x:c r="B177" s="24" t="str">
        <x:v>New Zealand</x:v>
      </x:c>
      <x:c r="C177" s="24" t="str">
        <x:v>EEZ</x:v>
      </x:c>
      <x:c r="D177" s="30" t="n">
        <x:v>2019</x:v>
      </x:c>
      <x:c r="E177" s="24" t="str">
        <x:v>Notopogon lilliei</x:v>
      </x:c>
      <x:c r="F177" s="24" t="str">
        <x:v>Crested bellowfish</x:v>
      </x:c>
      <x:c r="G177" s="24" t="str">
        <x:v>Small demersals (&lt;30 cm)</x:v>
      </x:c>
      <x:c r="H177" s="24" t="str">
        <x:v>Other fishes &amp; inverts</x:v>
      </x:c>
      <x:c r="I177" s="31" t="n">
        <x:v>2.6259764885</x:v>
      </x:c>
      <x:c r="J177" s="31" t="n">
        <x:v>2.6259764885</x:v>
      </x:c>
      <x:c r="K177" s="31" t="n">
        <x:v>0</x:v>
      </x:c>
      <x:c r="L177" s="31" t="n">
        <x:v>2.3696631388</x:v>
      </x:c>
      <x:c r="M177" s="31" t="n">
        <x:v>0.25631334969999997</x:v>
      </x:c>
      <x:c r="N177" s="24" t="str">
        <x:v>notopogon lilliei</x:v>
      </x:c>
      <x:c r="O177" s="32" t="n">
        <x:v>3.5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Notopogon lilliei</x:v>
      </x:c>
      <x:c r="T177" s="32" t="n">
        <x:f>IF(O177="","",(1/'Metadata'!$B$5)^(O177-1))</x:f>
        <x:v>316.22776601683796</x:v>
      </x:c>
      <x:c r="U177" s="31" t="n">
        <x:f>IF(T177="","",I177*T177)</x:f>
        <x:v>830.4066785710958</x:v>
      </x:c>
    </x:row>
    <x:row r="178" ht="18" customHeight="1">
      <x:c r="A178" s="24" t="str">
        <x:v>EEZ_554</x:v>
      </x:c>
      <x:c r="B178" s="24" t="str">
        <x:v>New Zealand</x:v>
      </x:c>
      <x:c r="C178" s="24" t="str">
        <x:v>EEZ</x:v>
      </x:c>
      <x:c r="D178" s="30" t="n">
        <x:v>2019</x:v>
      </x:c>
      <x:c r="E178" s="24" t="str">
        <x:v>Lamniformes</x:v>
      </x:c>
      <x:c r="F178" s="24" t="str">
        <x:v>Mackerel sharks</x:v>
      </x:c>
      <x:c r="G178" s="24" t="str">
        <x:v>Large sharks (&gt;=90 cm)</x:v>
      </x:c>
      <x:c r="H178" s="24" t="str">
        <x:v>Sharks &amp; rays</x:v>
      </x:c>
      <x:c r="I178" s="31" t="n">
        <x:v>2.2177247856</x:v>
      </x:c>
      <x:c r="J178" s="31" t="n">
        <x:v>0</x:v>
      </x:c>
      <x:c r="K178" s="31" t="n">
        <x:v>2.2177247856</x:v>
      </x:c>
      <x:c r="L178" s="31" t="n">
        <x:v>0</x:v>
      </x:c>
      <x:c r="M178" s="31" t="n">
        <x:v>2.2177247856</x:v>
      </x:c>
      <x:c r="N178" s="24" t="str">
        <x:v>lamniformes</x:v>
      </x:c>
      <x:c r="O178" s="32" t="n">
        <x:v>4.34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Lamniformes</x:v>
      </x:c>
      <x:c r="T178" s="32" t="n">
        <x:f>IF(O178="","",(1/'Metadata'!$B$5)^(O178-1))</x:f>
        <x:v>2187.761623949552</x:v>
      </x:c>
      <x:c r="U178" s="31" t="n">
        <x:f>IF(T178="","",I178*T178)</x:f>
        <x:v>4851.853178417428</x:v>
      </x:c>
    </x:row>
    <x:row r="179" ht="18" customHeight="1">
      <x:c r="A179" s="24" t="str">
        <x:v>EEZ_554</x:v>
      </x:c>
      <x:c r="B179" s="24" t="str">
        <x:v>New Zealand</x:v>
      </x:c>
      <x:c r="C179" s="24" t="str">
        <x:v>EEZ</x:v>
      </x:c>
      <x:c r="D179" s="30" t="n">
        <x:v>2019</x:v>
      </x:c>
      <x:c r="E179" s="24" t="str">
        <x:v>Clupeidae</x:v>
      </x:c>
      <x:c r="F179" s="24" t="str">
        <x:v>Herrings, sardines, menhadens</x:v>
      </x:c>
      <x:c r="G179" s="24" t="str">
        <x:v>Small pelagics (&lt;30 cm)</x:v>
      </x:c>
      <x:c r="H179" s="24" t="str">
        <x:v>Herring-likes</x:v>
      </x:c>
      <x:c r="I179" s="31" t="n">
        <x:v>1.502838929</x:v>
      </x:c>
      <x:c r="J179" s="31" t="n">
        <x:v>0</x:v>
      </x:c>
      <x:c r="K179" s="31" t="n">
        <x:v>1.502838929</x:v>
      </x:c>
      <x:c r="L179" s="31" t="n">
        <x:v>0</x:v>
      </x:c>
      <x:c r="M179" s="31" t="n">
        <x:v>1.502838929</x:v>
      </x:c>
      <x:c r="N179" s="24" t="str">
        <x:v>clupeidae</x:v>
      </x:c>
      <x:c r="O179" s="32" t="n">
        <x:v>3.16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Clupeidae</x:v>
      </x:c>
      <x:c r="T179" s="32" t="n">
        <x:f>IF(O179="","",(1/'Metadata'!$B$5)^(O179-1))</x:f>
        <x:v>144.5439770745928</x:v>
      </x:c>
      <x:c r="U179" s="31" t="n">
        <x:f>IF(T179="","",I179*T179)</x:f>
        <x:v>217.22631570018157</x:v>
      </x:c>
    </x:row>
    <x:row r="180" ht="18" customHeight="1">
      <x:c r="A180" s="24" t="str">
        <x:v>EEZ_554</x:v>
      </x:c>
      <x:c r="B180" s="24" t="str">
        <x:v>New Zealand</x:v>
      </x:c>
      <x:c r="C180" s="24" t="str">
        <x:v>EEZ</x:v>
      </x:c>
      <x:c r="D180" s="30" t="n">
        <x:v>2019</x:v>
      </x:c>
      <x:c r="E180" s="24" t="str">
        <x:v>Solenoceridae</x:v>
      </x:c>
      <x:c r="F180" s="24" t="str">
        <x:v>Solenocerid shrimps</x:v>
      </x:c>
      <x:c r="G180" s="24" t="str">
        <x:v>Shrimps</x:v>
      </x:c>
      <x:c r="H180" s="24" t="str">
        <x:v>Crustaceans</x:v>
      </x:c>
      <x:c r="I180" s="31" t="n">
        <x:v>1.3869178458</x:v>
      </x:c>
      <x:c r="J180" s="31" t="n">
        <x:v>0</x:v>
      </x:c>
      <x:c r="K180" s="31" t="n">
        <x:v>1.3869178458</x:v>
      </x:c>
      <x:c r="L180" s="31" t="n">
        <x:v>0</x:v>
      </x:c>
      <x:c r="M180" s="31" t="n">
        <x:v>1.3869178458</x:v>
      </x:c>
      <x:c r="N180" s="24" t="str">
        <x:v>solenoceridae</x:v>
      </x:c>
      <x:c r="O180" s="32" t="n">
        <x:v>2.16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Solenoceridae</x:v>
      </x:c>
      <x:c r="T180" s="32" t="n">
        <x:f>IF(O180="","",(1/'Metadata'!$B$5)^(O180-1))</x:f>
        <x:v>14.45439770745928</x:v>
      </x:c>
      <x:c r="U180" s="31" t="n">
        <x:f>IF(T180="","",I180*T180)</x:f>
        <x:v>20.047062130765884</x:v>
      </x:c>
    </x:row>
    <x:row r="181" ht="18" customHeight="1">
      <x:c r="A181" s="24" t="str">
        <x:v>EEZ_554</x:v>
      </x:c>
      <x:c r="B181" s="24" t="str">
        <x:v>New Zealand</x:v>
      </x:c>
      <x:c r="C181" s="24" t="str">
        <x:v>EEZ</x:v>
      </x:c>
      <x:c r="D181" s="30" t="n">
        <x:v>2019</x:v>
      </x:c>
      <x:c r="E181" s="24" t="str">
        <x:v>Istiompax indica</x:v>
      </x:c>
      <x:c r="F181" s="24" t="str">
        <x:v>Black marlin</x:v>
      </x:c>
      <x:c r="G181" s="24" t="str">
        <x:v>Large pelagics (&gt;=90 cm)</x:v>
      </x:c>
      <x:c r="H181" s="24" t="str">
        <x:v>Tuna &amp; billfishes</x:v>
      </x:c>
      <x:c r="I181" s="31" t="n">
        <x:v>1.3563113466</x:v>
      </x:c>
      <x:c r="J181" s="31" t="n">
        <x:v>1.3563113466</x:v>
      </x:c>
      <x:c r="K181" s="31" t="n">
        <x:v>0</x:v>
      </x:c>
      <x:c r="L181" s="31" t="n">
        <x:v>1.3563113466</x:v>
      </x:c>
      <x:c r="M181" s="31" t="n">
        <x:v>0</x:v>
      </x:c>
      <x:c r="N181" s="24" t="str">
        <x:v>istiompax indica</x:v>
      </x:c>
      <x:c r="O181" s="32" t="n">
        <x:v>4.5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Istiompax indica</x:v>
      </x:c>
      <x:c r="T181" s="32" t="n">
        <x:f>IF(O181="","",(1/'Metadata'!$B$5)^(O181-1))</x:f>
        <x:v>3162.2776601683795</x:v>
      </x:c>
      <x:c r="U181" s="31" t="n">
        <x:f>IF(T181="","",I181*T181)</x:f>
        <x:v>4289.033071586072</x:v>
      </x:c>
    </x:row>
    <x:row r="182" ht="18" customHeight="1">
      <x:c r="A182" s="24" t="str">
        <x:v>EEZ_554</x:v>
      </x:c>
      <x:c r="B182" s="24" t="str">
        <x:v>New Zealand</x:v>
      </x:c>
      <x:c r="C182" s="24" t="str">
        <x:v>EEZ</x:v>
      </x:c>
      <x:c r="D182" s="30" t="n">
        <x:v>2019</x:v>
      </x:c>
      <x:c r="E182" s="24" t="str">
        <x:v>Labridae</x:v>
      </x:c>
      <x:c r="F182" s="24" t="str">
        <x:v>Wrasses, gropers, tuskfishes</x:v>
      </x:c>
      <x:c r="G182" s="24" t="str">
        <x:v>Medium reef assoc. fish (30 - 89 cm)</x:v>
      </x:c>
      <x:c r="H182" s="24" t="str">
        <x:v>Perch-likes</x:v>
      </x:c>
      <x:c r="I182" s="31" t="n">
        <x:v>1.144414974</x:v>
      </x:c>
      <x:c r="J182" s="31" t="n">
        <x:v>0.9814416987</x:v>
      </x:c>
      <x:c r="K182" s="31" t="n">
        <x:v>0.1629732753</x:v>
      </x:c>
      <x:c r="L182" s="31" t="n">
        <x:v>0.8856462472000001</x:v>
      </x:c>
      <x:c r="M182" s="31" t="n">
        <x:v>0.2587687268</x:v>
      </x:c>
      <x:c r="N182" s="24" t="str">
        <x:v>labridae</x:v>
      </x:c>
      <x:c r="O182" s="32" t="n">
        <x:v>3.46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Labridae</x:v>
      </x:c>
      <x:c r="T182" s="32" t="n">
        <x:f>IF(O182="","",(1/'Metadata'!$B$5)^(O182-1))</x:f>
        <x:v>288.40315031266056</x:v>
      </x:c>
      <x:c r="U182" s="31" t="n">
        <x:f>IF(T182="","",I182*T182)</x:f>
        <x:v>330.05288376658154</x:v>
      </x:c>
    </x:row>
    <x:row r="183" ht="18" customHeight="1">
      <x:c r="A183" s="24" t="str">
        <x:v>EEZ_554</x:v>
      </x:c>
      <x:c r="B183" s="24" t="str">
        <x:v>New Zealand</x:v>
      </x:c>
      <x:c r="C183" s="24" t="str">
        <x:v>EEZ</x:v>
      </x:c>
      <x:c r="D183" s="30" t="n">
        <x:v>2019</x:v>
      </x:c>
      <x:c r="E183" s="24" t="str">
        <x:v>Sphyrna</x:v>
      </x:c>
      <x:c r="F183" s="24" t="str">
        <x:v>Hammerhead sharks</x:v>
      </x:c>
      <x:c r="G183" s="24" t="str">
        <x:v>Large sharks (&gt;=90 cm)</x:v>
      </x:c>
      <x:c r="H183" s="24" t="str">
        <x:v>Sharks &amp; rays</x:v>
      </x:c>
      <x:c r="I183" s="31" t="n">
        <x:v>0.7166155282</x:v>
      </x:c>
      <x:c r="J183" s="31" t="n">
        <x:v>0.7166155282</x:v>
      </x:c>
      <x:c r="K183" s="31" t="n">
        <x:v>0</x:v>
      </x:c>
      <x:c r="L183" s="31" t="n">
        <x:v>0.7166155282</x:v>
      </x:c>
      <x:c r="M183" s="31" t="n">
        <x:v>0</x:v>
      </x:c>
      <x:c r="N183" s="24" t="str">
        <x:v>sphyrna</x:v>
      </x:c>
      <x:c r="O183" s="32" t="n">
        <x:v>4.2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Sphyrna</x:v>
      </x:c>
      <x:c r="T183" s="32" t="n">
        <x:f>IF(O183="","",(1/'Metadata'!$B$5)^(O183-1))</x:f>
        <x:v>1584.893192461114</x:v>
      </x:c>
      <x:c r="U183" s="31" t="n">
        <x:f>IF(T183="","",I183*T183)</x:f>
        <x:v>1135.7590722561054</x:v>
      </x:c>
    </x:row>
    <x:row r="184" ht="18" customHeight="1">
      <x:c r="A184" s="24" t="str">
        <x:v>EEZ_554</x:v>
      </x:c>
      <x:c r="B184" s="24" t="str">
        <x:v>New Zealand</x:v>
      </x:c>
      <x:c r="C184" s="24" t="str">
        <x:v>EEZ</x:v>
      </x:c>
      <x:c r="D184" s="30" t="n">
        <x:v>2019</x:v>
      </x:c>
      <x:c r="E184" s="24" t="str">
        <x:v>Mola mola</x:v>
      </x:c>
      <x:c r="F184" s="24" t="str">
        <x:v>Ocean sunfish</x:v>
      </x:c>
      <x:c r="G184" s="24" t="str">
        <x:v>Large pelagics (&gt;=90 cm)</x:v>
      </x:c>
      <x:c r="H184" s="24" t="str">
        <x:v>Other fishes &amp; inverts</x:v>
      </x:c>
      <x:c r="I184" s="31" t="n">
        <x:v>0.6928220383</x:v>
      </x:c>
      <x:c r="J184" s="31" t="n">
        <x:v>0.6928220383</x:v>
      </x:c>
      <x:c r="K184" s="31" t="n">
        <x:v>0</x:v>
      </x:c>
      <x:c r="L184" s="31" t="n">
        <x:v>0.6251978498999999</x:v>
      </x:c>
      <x:c r="M184" s="31" t="n">
        <x:v>0.06762418840000001</x:v>
      </x:c>
      <x:c r="N184" s="24" t="str">
        <x:v>mola mola</x:v>
      </x:c>
      <x:c r="O184" s="32" t="n">
        <x:v>3.68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Mola mola</x:v>
      </x:c>
      <x:c r="T184" s="32" t="n">
        <x:f>IF(O184="","",(1/'Metadata'!$B$5)^(O184-1))</x:f>
        <x:v>478.6300923226385</x:v>
      </x:c>
      <x:c r="U184" s="31" t="n">
        <x:f>IF(T184="","",I184*T184)</x:f>
        <x:v>331.6054761546876</x:v>
      </x:c>
    </x:row>
    <x:row r="185" ht="18" customHeight="1">
      <x:c r="A185" s="24" t="str">
        <x:v>EEZ_554</x:v>
      </x:c>
      <x:c r="B185" s="24" t="str">
        <x:v>New Zealand</x:v>
      </x:c>
      <x:c r="C185" s="24" t="str">
        <x:v>EEZ</x:v>
      </x:c>
      <x:c r="D185" s="30" t="n">
        <x:v>2019</x:v>
      </x:c>
      <x:c r="E185" s="24" t="str">
        <x:v>Mollusca</x:v>
      </x:c>
      <x:c r="F185" s="24" t="str">
        <x:v>Clams, seasnails, squids, octopuses</x:v>
      </x:c>
      <x:c r="G185" s="24" t="str">
        <x:v>Other demersal invertebrates</x:v>
      </x:c>
      <x:c r="H185" s="24" t="str">
        <x:v>Molluscs</x:v>
      </x:c>
      <x:c r="I185" s="31" t="n">
        <x:v>0.687955279</x:v>
      </x:c>
      <x:c r="J185" s="31" t="n">
        <x:v>0</x:v>
      </x:c>
      <x:c r="K185" s="31" t="n">
        <x:v>0.687955279</x:v>
      </x:c>
      <x:c r="L185" s="31" t="n">
        <x:v>0</x:v>
      </x:c>
      <x:c r="M185" s="31" t="n">
        <x:v>0.687955279</x:v>
      </x:c>
      <x:c r="N185" s="24" t="str">
        <x:v>mollusca</x:v>
      </x:c>
      <x:c r="O185" s="32" t="n">
        <x:v>2.1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Mollusca</x:v>
      </x:c>
      <x:c r="T185" s="32" t="n">
        <x:f>IF(O185="","",(1/'Metadata'!$B$5)^(O185-1))</x:f>
        <x:v>12.589254117941675</x:v>
      </x:c>
      <x:c r="U185" s="31" t="n">
        <x:f>IF(T185="","",I185*T185)</x:f>
        <x:v>8.660843829110464</x:v>
      </x:c>
    </x:row>
    <x:row r="186" ht="18" customHeight="1">
      <x:c r="A186" s="24" t="str">
        <x:v>EEZ_554</x:v>
      </x:c>
      <x:c r="B186" s="24" t="str">
        <x:v>New Zealand</x:v>
      </x:c>
      <x:c r="C186" s="24" t="str">
        <x:v>EEZ</x:v>
      </x:c>
      <x:c r="D186" s="30" t="n">
        <x:v>2019</x:v>
      </x:c>
      <x:c r="E186" s="24" t="str">
        <x:v>Batoidea</x:v>
      </x:c>
      <x:c r="F186" s="24" t="str">
        <x:v>Batoids, skates, rays, sawfishes</x:v>
      </x:c>
      <x:c r="G186" s="24" t="str">
        <x:v>Large rays (&gt;=90 cm)</x:v>
      </x:c>
      <x:c r="H186" s="24" t="str">
        <x:v>Sharks &amp; rays</x:v>
      </x:c>
      <x:c r="I186" s="31" t="n">
        <x:v>0.6806170911</x:v>
      </x:c>
      <x:c r="J186" s="31" t="n">
        <x:v>0</x:v>
      </x:c>
      <x:c r="K186" s="31" t="n">
        <x:v>0.6806170911</x:v>
      </x:c>
      <x:c r="L186" s="31" t="n">
        <x:v>0</x:v>
      </x:c>
      <x:c r="M186" s="31" t="n">
        <x:v>0.6806170911</x:v>
      </x:c>
      <x:c r="N186" s="24" t="str">
        <x:v>batoidea</x:v>
      </x:c>
      <x:c r="O186" s="32" t="n">
        <x:v>3.72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Batoidea</x:v>
      </x:c>
      <x:c r="T186" s="32" t="n">
        <x:f>IF(O186="","",(1/'Metadata'!$B$5)^(O186-1))</x:f>
        <x:v>524.8074602497728</x:v>
      </x:c>
      <x:c r="U186" s="31" t="n">
        <x:f>IF(T186="","",I186*T186)</x:f>
        <x:v>357.1929269827793</x:v>
      </x:c>
    </x:row>
    <x:row r="187" ht="18" customHeight="1">
      <x:c r="A187" s="24" t="str">
        <x:v>EEZ_554</x:v>
      </x:c>
      <x:c r="B187" s="24" t="str">
        <x:v>New Zealand</x:v>
      </x:c>
      <x:c r="C187" s="24" t="str">
        <x:v>EEZ</x:v>
      </x:c>
      <x:c r="D187" s="30" t="n">
        <x:v>2019</x:v>
      </x:c>
      <x:c r="E187" s="24" t="str">
        <x:v>Epigonus</x:v>
      </x:c>
      <x:c r="F187" s="24" t="str">
        <x:v>Deepwater cardinalfishes</x:v>
      </x:c>
      <x:c r="G187" s="24" t="str">
        <x:v>Medium bathydemersals (30 - 89 cm)</x:v>
      </x:c>
      <x:c r="H187" s="24" t="str">
        <x:v>Perch-likes</x:v>
      </x:c>
      <x:c r="I187" s="31" t="n">
        <x:v>0.652384442</x:v>
      </x:c>
      <x:c r="J187" s="31" t="n">
        <x:v>0.652384442</x:v>
      </x:c>
      <x:c r="K187" s="31" t="n">
        <x:v>0</x:v>
      </x:c>
      <x:c r="L187" s="31" t="n">
        <x:v>0.5887072363</x:v>
      </x:c>
      <x:c r="M187" s="31" t="n">
        <x:v>0.0636772057</x:v>
      </x:c>
      <x:c r="N187" s="24" t="str">
        <x:v>epigonus</x:v>
      </x:c>
      <x:c r="O187" s="32" t="n">
        <x:v>3.5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Epigonus</x:v>
      </x:c>
      <x:c r="T187" s="32" t="n">
        <x:f>IF(O187="","",(1/'Metadata'!$B$5)^(O187-1))</x:f>
        <x:v>316.22776601683796</x:v>
      </x:c>
      <x:c r="U187" s="31" t="n">
        <x:f>IF(T187="","",I187*T187)</x:f>
        <x:v>206.3020746778014</x:v>
      </x:c>
    </x:row>
    <x:row r="188" ht="18" customHeight="1">
      <x:c r="A188" s="24" t="str">
        <x:v>EEZ_554</x:v>
      </x:c>
      <x:c r="B188" s="24" t="str">
        <x:v>New Zealand</x:v>
      </x:c>
      <x:c r="C188" s="24" t="str">
        <x:v>EEZ</x:v>
      </x:c>
      <x:c r="D188" s="30" t="n">
        <x:v>2019</x:v>
      </x:c>
      <x:c r="E188" s="24" t="str">
        <x:v>Dendrobranchiata</x:v>
      </x:c>
      <x:c r="F188" s="24" t="str">
        <x:v>Shrimps and prawns</x:v>
      </x:c>
      <x:c r="G188" s="24" t="str">
        <x:v>Shrimps</x:v>
      </x:c>
      <x:c r="H188" s="24" t="str">
        <x:v>Crustaceans</x:v>
      </x:c>
      <x:c r="I188" s="31" t="n">
        <x:v>0.6380979032</x:v>
      </x:c>
      <x:c r="J188" s="31" t="n">
        <x:v>0</x:v>
      </x:c>
      <x:c r="K188" s="31" t="n">
        <x:v>0.6380979032</x:v>
      </x:c>
      <x:c r="L188" s="31" t="n">
        <x:v>0</x:v>
      </x:c>
      <x:c r="M188" s="31" t="n">
        <x:v>0.6380979032</x:v>
      </x:c>
      <x:c r="N188" s="24" t="str">
        <x:v>dendrobranchiata</x:v>
      </x:c>
      <x:c r="O188" s="32" t="n">
        <x:v>3.24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Dendrobranchiata</x:v>
      </x:c>
      <x:c r="T188" s="32" t="n">
        <x:f>IF(O188="","",(1/'Metadata'!$B$5)^(O188-1))</x:f>
        <x:v>173.78008287493762</x:v>
      </x:c>
      <x:c r="U188" s="31" t="n">
        <x:f>IF(T188="","",I188*T188)</x:f>
        <x:v>110.88870650041993</x:v>
      </x:c>
    </x:row>
    <x:row r="189" ht="18" customHeight="1">
      <x:c r="A189" s="24" t="str">
        <x:v>EEZ_554</x:v>
      </x:c>
      <x:c r="B189" s="24" t="str">
        <x:v>New Zealand</x:v>
      </x:c>
      <x:c r="C189" s="24" t="str">
        <x:v>EEZ</x:v>
      </x:c>
      <x:c r="D189" s="30" t="n">
        <x:v>2019</x:v>
      </x:c>
      <x:c r="E189" s="24" t="str">
        <x:v>Palinuridae</x:v>
      </x:c>
      <x:c r="F189" s="24" t="str">
        <x:v>Spiny lobsters</x:v>
      </x:c>
      <x:c r="G189" s="24" t="str">
        <x:v>Lobsters, crabs</x:v>
      </x:c>
      <x:c r="H189" s="24" t="str">
        <x:v>Crustaceans</x:v>
      </x:c>
      <x:c r="I189" s="31" t="n">
        <x:v>0.5544311969</x:v>
      </x:c>
      <x:c r="J189" s="31" t="n">
        <x:v>0</x:v>
      </x:c>
      <x:c r="K189" s="31" t="n">
        <x:v>0.5544311969</x:v>
      </x:c>
      <x:c r="L189" s="31" t="n">
        <x:v>0</x:v>
      </x:c>
      <x:c r="M189" s="31" t="n">
        <x:v>0.5544311969</x:v>
      </x:c>
      <x:c r="N189" s="24" t="str">
        <x:v>palinuridae</x:v>
      </x:c>
      <x:c r="O189" s="32" t="n">
        <x:v>3.14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Palinuridae</x:v>
      </x:c>
      <x:c r="T189" s="32" t="n">
        <x:f>IF(O189="","",(1/'Metadata'!$B$5)^(O189-1))</x:f>
        <x:v>138.03842646028852</x:v>
      </x:c>
      <x:c r="U189" s="31" t="n">
        <x:f>IF(T189="","",I189*T189)</x:f>
        <x:v>76.5328100005704</x:v>
      </x:c>
    </x:row>
    <x:row r="190" ht="18" customHeight="1">
      <x:c r="A190" s="24" t="str">
        <x:v>EEZ_554</x:v>
      </x:c>
      <x:c r="B190" s="24" t="str">
        <x:v>New Zealand</x:v>
      </x:c>
      <x:c r="C190" s="24" t="str">
        <x:v>EEZ</x:v>
      </x:c>
      <x:c r="D190" s="30" t="n">
        <x:v>2019</x:v>
      </x:c>
      <x:c r="E190" s="24" t="str">
        <x:v>Sphyrnidae</x:v>
      </x:c>
      <x:c r="F190" s="24" t="str">
        <x:v>Hammer, bonnet, scoophead sharks</x:v>
      </x:c>
      <x:c r="G190" s="24" t="str">
        <x:v>Large sharks (&gt;=90 cm)</x:v>
      </x:c>
      <x:c r="H190" s="24" t="str">
        <x:v>Sharks &amp; rays</x:v>
      </x:c>
      <x:c r="I190" s="31" t="n">
        <x:v>0.4793696951</x:v>
      </x:c>
      <x:c r="J190" s="31" t="n">
        <x:v>0</x:v>
      </x:c>
      <x:c r="K190" s="31" t="n">
        <x:v>0.4793696951</x:v>
      </x:c>
      <x:c r="L190" s="31" t="n">
        <x:v>0</x:v>
      </x:c>
      <x:c r="M190" s="31" t="n">
        <x:v>0.4793696951</x:v>
      </x:c>
      <x:c r="N190" s="24" t="str">
        <x:v>sphyrnidae</x:v>
      </x:c>
      <x:c r="O190" s="32" t="n">
        <x:v>4.19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Sphyrnidae</x:v>
      </x:c>
      <x:c r="T190" s="32" t="n">
        <x:f>IF(O190="","",(1/'Metadata'!$B$5)^(O190-1))</x:f>
        <x:v>1548.8166189124827</x:v>
      </x:c>
      <x:c r="U190" s="31" t="n">
        <x:f>IF(T190="","",I190*T190)</x:f>
        <x:v>742.4557503738897</x:v>
      </x:c>
    </x:row>
    <x:row r="191" ht="18" customHeight="1">
      <x:c r="A191" s="24" t="str">
        <x:v>EEZ_554</x:v>
      </x:c>
      <x:c r="B191" s="24" t="str">
        <x:v>New Zealand</x:v>
      </x:c>
      <x:c r="C191" s="24" t="str">
        <x:v>EEZ</x:v>
      </x:c>
      <x:c r="D191" s="30" t="n">
        <x:v>2019</x:v>
      </x:c>
      <x:c r="E191" s="24" t="str">
        <x:v>Kyphosidae</x:v>
      </x:c>
      <x:c r="F191" s="24" t="str">
        <x:v>Sea chubs, knifefishes, niblers</x:v>
      </x:c>
      <x:c r="G191" s="24" t="str">
        <x:v>Medium reef assoc. fish (30 - 89 cm)</x:v>
      </x:c>
      <x:c r="H191" s="24" t="str">
        <x:v>Perch-likes</x:v>
      </x:c>
      <x:c r="I191" s="31" t="n">
        <x:v>0.4321945679</x:v>
      </x:c>
      <x:c r="J191" s="31" t="n">
        <x:v>0.4321945679</x:v>
      </x:c>
      <x:c r="K191" s="31" t="n">
        <x:v>0</x:v>
      </x:c>
      <x:c r="L191" s="31" t="n">
        <x:v>0.3688734522</x:v>
      </x:c>
      <x:c r="M191" s="31" t="n">
        <x:v>0.0633211157</x:v>
      </x:c>
      <x:c r="N191" s="24" t="str">
        <x:v>kyphosidae</x:v>
      </x:c>
      <x:c r="O191" s="32" t="n">
        <x:v>2.19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Kyphosidae</x:v>
      </x:c>
      <x:c r="T191" s="32" t="n">
        <x:f>IF(O191="","",(1/'Metadata'!$B$5)^(O191-1))</x:f>
        <x:v>15.488166189124811</x:v>
      </x:c>
      <x:c r="U191" s="31" t="n">
        <x:f>IF(T191="","",I191*T191)</x:f>
        <x:v>6.693901293672187</x:v>
      </x:c>
    </x:row>
    <x:row r="192" ht="18" customHeight="1">
      <x:c r="A192" s="24" t="str">
        <x:v>EEZ_554</x:v>
      </x:c>
      <x:c r="B192" s="24" t="str">
        <x:v>New Zealand</x:v>
      </x:c>
      <x:c r="C192" s="24" t="str">
        <x:v>EEZ</x:v>
      </x:c>
      <x:c r="D192" s="30" t="n">
        <x:v>2019</x:v>
      </x:c>
      <x:c r="E192" s="24" t="str">
        <x:v>Callorhinchidae</x:v>
      </x:c>
      <x:c r="F192" s="24" t="str">
        <x:v>Plownose chimaeras</x:v>
      </x:c>
      <x:c r="G192" s="24" t="str">
        <x:v>Large rays (&gt;=90 cm)</x:v>
      </x:c>
      <x:c r="H192" s="24" t="str">
        <x:v>Sharks &amp; rays</x:v>
      </x:c>
      <x:c r="I192" s="31" t="n">
        <x:v>0.3896531967</x:v>
      </x:c>
      <x:c r="J192" s="31" t="n">
        <x:v>0</x:v>
      </x:c>
      <x:c r="K192" s="31" t="n">
        <x:v>0.3896531967</x:v>
      </x:c>
      <x:c r="L192" s="31" t="n">
        <x:v>0</x:v>
      </x:c>
      <x:c r="M192" s="31" t="n">
        <x:v>0.3896531967</x:v>
      </x:c>
      <x:c r="N192" s="24" t="str">
        <x:v>callorhinchidae</x:v>
      </x:c>
      <x:c r="O192" s="32" t="n">
        <x:v>3.5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Callorhinchidae</x:v>
      </x:c>
      <x:c r="T192" s="32" t="n">
        <x:f>IF(O192="","",(1/'Metadata'!$B$5)^(O192-1))</x:f>
        <x:v>316.22776601683796</x:v>
      </x:c>
      <x:c r="U192" s="31" t="n">
        <x:f>IF(T192="","",I192*T192)</x:f>
        <x:v>123.21915991376054</x:v>
      </x:c>
    </x:row>
    <x:row r="193" ht="18" customHeight="1">
      <x:c r="A193" s="24" t="str">
        <x:v>EEZ_554</x:v>
      </x:c>
      <x:c r="B193" s="24" t="str">
        <x:v>New Zealand</x:v>
      </x:c>
      <x:c r="C193" s="24" t="str">
        <x:v>EEZ</x:v>
      </x:c>
      <x:c r="D193" s="30" t="n">
        <x:v>2019</x:v>
      </x:c>
      <x:c r="E193" s="24" t="str">
        <x:v>Pentaceros decacanthus</x:v>
      </x:c>
      <x:c r="F193" s="24" t="str">
        <x:v>Bigspined boarfish</x:v>
      </x:c>
      <x:c r="G193" s="24" t="str">
        <x:v>Medium bathydemersals (30 - 89 cm)</x:v>
      </x:c>
      <x:c r="H193" s="24" t="str">
        <x:v>Perch-likes</x:v>
      </x:c>
      <x:c r="I193" s="31" t="n">
        <x:v>0.3822169728</x:v>
      </x:c>
      <x:c r="J193" s="31" t="n">
        <x:v>0.3822169728</x:v>
      </x:c>
      <x:c r="K193" s="31" t="n">
        <x:v>0</x:v>
      </x:c>
      <x:c r="L193" s="31" t="n">
        <x:v>0.34490996230000004</x:v>
      </x:c>
      <x:c r="M193" s="31" t="n">
        <x:v>0.0373070105</x:v>
      </x:c>
      <x:c r="N193" s="24" t="str">
        <x:v>pentaceros decacanthus</x:v>
      </x:c>
      <x:c r="O193" s="32" t="n">
        <x:v>3.33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Pentaceros decacanthus</x:v>
      </x:c>
      <x:c r="T193" s="32" t="n">
        <x:f>IF(O193="","",(1/'Metadata'!$B$5)^(O193-1))</x:f>
        <x:v>213.79620895022325</x:v>
      </x:c>
      <x:c r="U193" s="31" t="n">
        <x:f>IF(T193="","",I193*T193)</x:f>
        <x:v>81.7165397810706</x:v>
      </x:c>
    </x:row>
    <x:row r="194" ht="18" customHeight="1">
      <x:c r="A194" s="24" t="str">
        <x:v>EEZ_554</x:v>
      </x:c>
      <x:c r="B194" s="24" t="str">
        <x:v>New Zealand</x:v>
      </x:c>
      <x:c r="C194" s="24" t="str">
        <x:v>EEZ</x:v>
      </x:c>
      <x:c r="D194" s="30" t="n">
        <x:v>2019</x:v>
      </x:c>
      <x:c r="E194" s="24" t="str">
        <x:v>Haliporoides sibogae</x:v>
      </x:c>
      <x:c r="F194" s="24" t="str">
        <x:v>Jackknife shrimp</x:v>
      </x:c>
      <x:c r="G194" s="24" t="str">
        <x:v>Shrimps</x:v>
      </x:c>
      <x:c r="H194" s="24" t="str">
        <x:v>Crustaceans</x:v>
      </x:c>
      <x:c r="I194" s="31" t="n">
        <x:v>0.243037087</x:v>
      </x:c>
      <x:c r="J194" s="31" t="n">
        <x:v>0.243037087</x:v>
      </x:c>
      <x:c r="K194" s="31" t="n">
        <x:v>0</x:v>
      </x:c>
      <x:c r="L194" s="31" t="n">
        <x:v>0.243037087</x:v>
      </x:c>
      <x:c r="M194" s="31" t="n">
        <x:v>0</x:v>
      </x:c>
      <x:c r="N194" s="24" t="str">
        <x:v>haliporoides sibogae</x:v>
      </x:c>
      <x:c r="O194" s="32" t="n">
        <x:v>3.65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Haliporoides sibogae</x:v>
      </x:c>
      <x:c r="T194" s="32" t="n">
        <x:f>IF(O194="","",(1/'Metadata'!$B$5)^(O194-1))</x:f>
        <x:v>446.683592150963</x:v>
      </x:c>
      <x:c r="U194" s="31" t="n">
        <x:f>IF(T194="","",I194*T194)</x:f>
        <x:v>108.56067904706612</x:v>
      </x:c>
    </x:row>
    <x:row r="195" ht="18" customHeight="1">
      <x:c r="A195" s="24" t="str">
        <x:v>EEZ_554</x:v>
      </x:c>
      <x:c r="B195" s="24" t="str">
        <x:v>New Zealand</x:v>
      </x:c>
      <x:c r="C195" s="24" t="str">
        <x:v>EEZ</x:v>
      </x:c>
      <x:c r="D195" s="30" t="n">
        <x:v>2019</x:v>
      </x:c>
      <x:c r="E195" s="24" t="str">
        <x:v>Pleuronectoidei</x:v>
      </x:c>
      <x:c r="F195" s="24" t="str">
        <x:v>Flounders, halibuts, soles, turbots</x:v>
      </x:c>
      <x:c r="G195" s="24" t="str">
        <x:v>Large flatfishes (&gt;=90 cm)</x:v>
      </x:c>
      <x:c r="H195" s="24" t="str">
        <x:v>Flatfishes</x:v>
      </x:c>
      <x:c r="I195" s="31" t="n">
        <x:v>0.1264752968</x:v>
      </x:c>
      <x:c r="J195" s="31" t="n">
        <x:v>0</x:v>
      </x:c>
      <x:c r="K195" s="31" t="n">
        <x:v>0.1264752968</x:v>
      </x:c>
      <x:c r="L195" s="31" t="n">
        <x:v>0</x:v>
      </x:c>
      <x:c r="M195" s="31" t="n">
        <x:v>0.1264752968</x:v>
      </x:c>
      <x:c r="N195" s="24" t="str">
        <x:v>pleuronectoidei</x:v>
      </x:c>
      <x:c r="O195" s="32" t="n">
        <x:v>3.4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Pleuronectoidei</x:v>
      </x:c>
      <x:c r="T195" s="32" t="n">
        <x:f>IF(O195="","",(1/'Metadata'!$B$5)^(O195-1))</x:f>
        <x:v>251.18864315095797</x:v>
      </x:c>
      <x:c r="U195" s="31" t="n">
        <x:f>IF(T195="","",I195*T195)</x:f>
        <x:v>31.769158195306698</x:v>
      </x:c>
    </x:row>
    <x:row r="196" ht="18" customHeight="1">
      <x:c r="A196" s="24" t="str">
        <x:v>EEZ_554</x:v>
      </x:c>
      <x:c r="B196" s="24" t="str">
        <x:v>New Zealand</x:v>
      </x:c>
      <x:c r="C196" s="24" t="str">
        <x:v>EEZ</x:v>
      </x:c>
      <x:c r="D196" s="30" t="n">
        <x:v>2019</x:v>
      </x:c>
      <x:c r="E196" s="24" t="str">
        <x:v>Coryphaena</x:v>
      </x:c>
      <x:c r="F196" s="24" t="str">
        <x:v>Dolphinfishes</x:v>
      </x:c>
      <x:c r="G196" s="24" t="str">
        <x:v>Large pelagics (&gt;=90 cm)</x:v>
      </x:c>
      <x:c r="H196" s="24" t="str">
        <x:v>Perch-likes</x:v>
      </x:c>
      <x:c r="I196" s="31" t="n">
        <x:v>0.051869309100000004</x:v>
      </x:c>
      <x:c r="J196" s="31" t="n">
        <x:v>0</x:v>
      </x:c>
      <x:c r="K196" s="31" t="n">
        <x:v>0.051869309100000004</x:v>
      </x:c>
      <x:c r="L196" s="31" t="n">
        <x:v>0</x:v>
      </x:c>
      <x:c r="M196" s="31" t="n">
        <x:v>0.051869309100000004</x:v>
      </x:c>
      <x:c r="N196" s="24" t="str">
        <x:v>coryphaena</x:v>
      </x:c>
      <x:c r="O196" s="32" t="n">
        <x:v>4.49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Coryphaena</x:v>
      </x:c>
      <x:c r="T196" s="32" t="n">
        <x:f>IF(O196="","",(1/'Metadata'!$B$5)^(O196-1))</x:f>
        <x:v>3090.295432513592</x:v>
      </x:c>
      <x:c r="U196" s="31" t="n">
        <x:f>IF(T196="","",I196*T196)</x:f>
        <x:v>160.2914889993657</x:v>
      </x:c>
    </x:row>
    <x:row r="197" ht="18" customHeight="1">
      <x:c r="A197" s="24" t="str">
        <x:v>EEZ_554</x:v>
      </x:c>
      <x:c r="B197" s="24" t="str">
        <x:v>New Zealand</x:v>
      </x:c>
      <x:c r="C197" s="24" t="str">
        <x:v>EEZ</x:v>
      </x:c>
      <x:c r="D197" s="30" t="n">
        <x:v>2019</x:v>
      </x:c>
      <x:c r="E197" s="24" t="str">
        <x:v>Regalecus glesne</x:v>
      </x:c>
      <x:c r="F197" s="24" t="str">
        <x:v>King of herrings</x:v>
      </x:c>
      <x:c r="G197" s="24" t="str">
        <x:v>Large pelagics (&gt;=90 cm)</x:v>
      </x:c>
      <x:c r="H197" s="24" t="str">
        <x:v>Other fishes &amp; inverts</x:v>
      </x:c>
      <x:c r="I197" s="31" t="n">
        <x:v>0.028345886</x:v>
      </x:c>
      <x:c r="J197" s="31" t="n">
        <x:v>0.028345886</x:v>
      </x:c>
      <x:c r="K197" s="31" t="n">
        <x:v>0</x:v>
      </x:c>
      <x:c r="L197" s="31" t="n">
        <x:v>0.025579132</x:v>
      </x:c>
      <x:c r="M197" s="31" t="n">
        <x:v>0.002766754</x:v>
      </x:c>
      <x:c r="N197" s="24" t="str">
        <x:v>regalecus glesne</x:v>
      </x:c>
      <x:c r="O197" s="32" t="n">
        <x:v>3.2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Regalecus glesne</x:v>
      </x:c>
      <x:c r="T197" s="32" t="n">
        <x:f>IF(O197="","",(1/'Metadata'!$B$5)^(O197-1))</x:f>
        <x:v>158.48931924611142</x:v>
      </x:c>
      <x:c r="U197" s="31" t="n">
        <x:f>IF(T197="","",I197*T197)</x:f>
        <x:v>4.49252017556788</x:v>
      </x:c>
    </x:row>
    <x:row r="198" ht="18" customHeight="1">
      <x:c r="A198" s="24" t="str">
        <x:v>EEZ_554</x:v>
      </x:c>
      <x:c r="B198" s="24" t="str">
        <x:v>New Zealand</x:v>
      </x:c>
      <x:c r="C198" s="24" t="str">
        <x:v>EEZ</x:v>
      </x:c>
      <x:c r="D198" s="30" t="n">
        <x:v>2019</x:v>
      </x:c>
      <x:c r="E198" s="24" t="str">
        <x:v>Tripterophycis gilchristi</x:v>
      </x:c>
      <x:c r="F198" s="24" t="str">
        <x:v>Grenadier cod</x:v>
      </x:c>
      <x:c r="G198" s="24" t="str">
        <x:v>Medium benthopelagics (30 - 89 cm)</x:v>
      </x:c>
      <x:c r="H198" s="24" t="str">
        <x:v>Cod-likes</x:v>
      </x:c>
      <x:c r="I198" s="31" t="n">
        <x:v>0.0258072524</x:v>
      </x:c>
      <x:c r="J198" s="31" t="n">
        <x:v>0.0258072524</x:v>
      </x:c>
      <x:c r="K198" s="31" t="n">
        <x:v>0</x:v>
      </x:c>
      <x:c r="L198" s="31" t="n">
        <x:v>0.0232882863</x:v>
      </x:c>
      <x:c r="M198" s="31" t="n">
        <x:v>0.0025189661</x:v>
      </x:c>
      <x:c r="N198" s="24" t="str">
        <x:v>tripterophycis gilchristi</x:v>
      </x:c>
      <x:c r="O198" s="32" t="n">
        <x:v>3.03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Tripterophycis gilchristi</x:v>
      </x:c>
      <x:c r="T198" s="32" t="n">
        <x:f>IF(O198="","",(1/'Metadata'!$B$5)^(O198-1))</x:f>
        <x:v>107.1519305237606</x:v>
      </x:c>
      <x:c r="U198" s="31" t="n">
        <x:f>IF(T198="","",I198*T198)</x:f>
        <x:v>2.7652969161739542</x:v>
      </x:c>
    </x:row>
  </x:sheetData>
  <x:conditionalFormatting sqref="R2:R1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14bbc5a563e4c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213703.92226230883</x:v>
      </x:c>
      <x:c r="C2" s="32" t="n">
        <x:v>4.375217064551883</x:v>
      </x:c>
      <x:c r="D2" s="32" t="n">
        <x:f>IF(C2="","",(1/'Metadata'!$B$5)^(C2-1))</x:f>
        <x:v>2372.55923725357</x:v>
      </x:c>
      <x:c r="E2" s="31" t="n">
        <x:f>IF(B2=0,"",B2*D2)</x:f>
        <x:v>507025214.8007596</x:v>
      </x:c>
    </x:row>
    <x:row r="3" ht="18" customHeight="1">
      <x:c r="A3" s="24" t="str">
        <x:v>Crustaceans</x:v>
      </x:c>
      <x:c r="B3" s="31" t="n">
        <x:v>5418.150260170299</x:v>
      </x:c>
      <x:c r="C3" s="32" t="n">
        <x:v>2.761709508978954</x:v>
      </x:c>
      <x:c r="D3" s="32" t="n">
        <x:f>IF(C3="","",(1/'Metadata'!$B$5)^(C3-1))</x:f>
        <x:v>57.77094996426616</x:v>
      </x:c>
      <x:c r="E3" s="31" t="n">
        <x:f>IF(B3=0,"",B3*D3)</x:f>
        <x:v>313011.687579174</x:v>
      </x:c>
    </x:row>
    <x:row r="4" ht="18" customHeight="1">
      <x:c r="A4" s="24" t="str">
        <x:v>Flatfishes</x:v>
      </x:c>
      <x:c r="B4" s="31" t="n">
        <x:v>2884.8507522663</x:v>
      </x:c>
      <x:c r="C4" s="32" t="n">
        <x:v>3.5729440575305023</x:v>
      </x:c>
      <x:c r="D4" s="32" t="n">
        <x:f>IF(C4="","",(1/'Metadata'!$B$5)^(C4-1))</x:f>
        <x:v>374.0624013316982</x:v>
      </x:c>
      <x:c r="E4" s="31" t="n">
        <x:f>IF(B4=0,"",B4*D4)</x:f>
        <x:v>1079114.1998762882</x:v>
      </x:c>
    </x:row>
    <x:row r="5" ht="18" customHeight="1">
      <x:c r="A5" s="24" t="str">
        <x:v>Herring-likes</x:v>
      </x:c>
      <x:c r="B5" s="31" t="n">
        <x:v>458.3235384716</x:v>
      </x:c>
      <x:c r="C5" s="32" t="n">
        <x:v>2.8410492772395757</x:v>
      </x:c>
      <x:c r="D5" s="32" t="n">
        <x:f>IF(C5="","",(1/'Metadata'!$B$5)^(C5-1))</x:f>
        <x:v>69.35044900653531</x:v>
      </x:c>
      <x:c r="E5" s="31" t="n">
        <x:f>IF(B5=0,"",B5*D5)</x:f>
        <x:v>31784.943183269523</x:v>
      </x:c>
    </x:row>
    <x:row r="6" ht="18" customHeight="1">
      <x:c r="A6" s="24" t="str">
        <x:v>Molluscs</x:v>
      </x:c>
      <x:c r="B6" s="31" t="n">
        <x:v>5415.299119196201</x:v>
      </x:c>
      <x:c r="C6" s="32" t="n">
        <x:v>2.087356716031526</x:v>
      </x:c>
      <x:c r="D6" s="32" t="n">
        <x:f>IF(C6="","",(1/'Metadata'!$B$5)^(C6-1))</x:f>
        <x:v>12.228036208048907</x:v>
      </x:c>
      <x:c r="E6" s="31" t="n">
        <x:f>IF(B6=0,"",B6*D6)</x:f>
        <x:v>66218.4737069465</x:v>
      </x:c>
    </x:row>
    <x:row r="7" ht="18" customHeight="1">
      <x:c r="A7" s="24" t="str">
        <x:v>Other fishes &amp; inverts</x:v>
      </x:c>
      <x:c r="B7" s="31" t="n">
        <x:v>99978.01348484</x:v>
      </x:c>
      <x:c r="C7" s="32" t="n">
        <x:v>3.6282992383048587</x:v>
      </x:c>
      <x:c r="D7" s="32" t="n">
        <x:f>IF(C7="","",(1/'Metadata'!$B$5)^(C7-1))</x:f>
        <x:v>424.91223684054313</x:v>
      </x:c>
      <x:c r="E7" s="31" t="n">
        <x:f>IF(B7=0,"",B7*D7)</x:f>
        <x:v>42481881.34471735</x:v>
      </x:c>
    </x:row>
    <x:row r="8" ht="18" customHeight="1">
      <x:c r="A8" s="24" t="str">
        <x:v>Perch-likes</x:v>
      </x:c>
      <x:c r="B8" s="31" t="n">
        <x:v>156089.0895450833</x:v>
      </x:c>
      <x:c r="C8" s="32" t="n">
        <x:v>3.685753774310017</x:v>
      </x:c>
      <x:c r="D8" s="32" t="n">
        <x:f>IF(C8="","",(1/'Metadata'!$B$5)^(C8-1))</x:f>
        <x:v>485.0134411082569</x:v>
      </x:c>
      <x:c r="E8" s="31" t="n">
        <x:f>IF(B8=0,"",B8*D8)</x:f>
        <x:v>75705306.4397157</x:v>
      </x:c>
    </x:row>
    <x:row r="9" ht="18" customHeight="1">
      <x:c r="A9" s="24" t="str">
        <x:v>Salmon, smelts, etc</x:v>
      </x:c>
      <x:c r="B9" s="31" t="n">
        <x:v>58.2650416063</x:v>
      </x:c>
      <x:c r="C9" s="32" t="n">
        <x:v>3.4</x:v>
      </x:c>
      <x:c r="D9" s="32" t="n">
        <x:f>IF(C9="","",(1/'Metadata'!$B$5)^(C9-1))</x:f>
        <x:v>251.18864315095797</x:v>
      </x:c>
      <x:c r="E9" s="31" t="n">
        <x:f>IF(B9=0,"",B9*D9)</x:f>
        <x:v>14635.516744220611</x:v>
      </x:c>
    </x:row>
    <x:row r="10" ht="18" customHeight="1">
      <x:c r="A10" s="24" t="str">
        <x:v>Scorpionfishes</x:v>
      </x:c>
      <x:c r="B10" s="31" t="n">
        <x:v>4995.963434368001</x:v>
      </x:c>
      <x:c r="C10" s="32" t="n">
        <x:v>3.6826971725470665</x:v>
      </x:c>
      <x:c r="D10" s="32" t="n">
        <x:f>IF(C10="","",(1/'Metadata'!$B$5)^(C10-1))</x:f>
        <x:v>481.6118593194406</x:v>
      </x:c>
      <x:c r="E10" s="31" t="n">
        <x:f>IF(B10=0,"",B10*D10)</x:f>
        <x:v>2406115.238717911</x:v>
      </x:c>
    </x:row>
    <x:row r="11" ht="18" customHeight="1">
      <x:c r="A11" s="24" t="str">
        <x:v>Sharks &amp; rays</x:v>
      </x:c>
      <x:c r="B11" s="31" t="n">
        <x:v>36363.6795941058</x:v>
      </x:c>
      <x:c r="C11" s="32" t="n">
        <x:v>4.079711227982126</x:v>
      </x:c>
      <x:c r="D11" s="32" t="n">
        <x:f>IF(C11="","",(1/'Metadata'!$B$5)^(C11-1))</x:f>
        <x:v>1201.4652880868923</x:v>
      </x:c>
      <x:c r="E11" s="31" t="n">
        <x:f>IF(B11=0,"",B11*D11)</x:f>
        <x:v>43689698.779431775</x:v>
      </x:c>
    </x:row>
    <x:row r="12" ht="18" customHeight="1">
      <x:c r="A12" s="24" t="str">
        <x:v>Tuna &amp; billfishes</x:v>
      </x:c>
      <x:c r="B12" s="31" t="n">
        <x:v>11268.452254534901</x:v>
      </x:c>
      <x:c r="C12" s="32" t="n">
        <x:v>4.360197443292662</x:v>
      </x:c>
      <x:c r="D12" s="32" t="n">
        <x:f>IF(C12="","",(1/'Metadata'!$B$5)^(C12-1))</x:f>
        <x:v>2291.9093866722087</x:v>
      </x:c>
      <x:c r="E12" s="31" t="n">
        <x:f>IF(B12=0,"",B12*D12)</x:f>
        <x:v>25826271.49543615</x:v>
      </x:c>
    </x:row>
  </x:sheetData>
  <x:pageMargins left="0.7" right="0.7" top="0.75" bottom="0.75" header="0.3" footer="0.3"/>
  <x:tableParts count="1">
    <x:tablePart xmlns:r="http://schemas.openxmlformats.org/officeDocument/2006/relationships" r:id="R4c8084737a8149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2137.7420699140002</x:v>
      </x:c>
      <x:c r="C2" s="32" t="n">
        <x:v>4.097348234114217</x:v>
      </x:c>
      <x:c r="D2" s="32" t="n">
        <x:f>IF(C2="","",(1/'Metadata'!$B$5)^(C2-1))</x:f>
        <x:v>1251.2619383000153</x:v>
      </x:c>
      <x:c r="E2" s="31" t="n">
        <x:f>IF(B2=0,"",B2*D2)</x:f>
        <x:v>2674875.285986079</x:v>
      </x:c>
    </x:row>
    <x:row r="3" ht="18" customHeight="1">
      <x:c r="A3" s="24" t="str">
        <x:v>Jellyfish</x:v>
      </x:c>
      <x:c r="B3" s="31" t="n">
        <x:v>9.8309797592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2835.285533213278</x:v>
      </x:c>
    </x:row>
    <x:row r="4" ht="18" customHeight="1">
      <x:c r="A4" s="24" t="str">
        <x:v>Large bathydemersals (&gt;=90 cm)</x:v>
      </x:c>
      <x:c r="B4" s="31" t="n">
        <x:v>31208.4355030267</x:v>
      </x:c>
      <x:c r="C4" s="32" t="n">
        <x:v>4.226435228468988</x:v>
      </x:c>
      <x:c r="D4" s="32" t="n">
        <x:f>IF(C4="","",(1/'Metadata'!$B$5)^(C4-1))</x:f>
        <x:v>1684.3611991066782</x:v>
      </x:c>
      <x:c r="E4" s="31" t="n">
        <x:f>IF(B4=0,"",B4*D4)</x:f>
        <x:v>52566277.84612148</x:v>
      </x:c>
    </x:row>
    <x:row r="5" ht="18" customHeight="1">
      <x:c r="A5" s="24" t="str">
        <x:v>Large bathypelagics (&gt;=90 cm)</x:v>
      </x:c>
      <x:c r="B5" s="31" t="n">
        <x:v>130.2513088642</x:v>
      </x:c>
      <x:c r="C5" s="32" t="n">
        <x:v>4.130376506066185</x:v>
      </x:c>
      <x:c r="D5" s="32" t="n">
        <x:f>IF(C5="","",(1/'Metadata'!$B$5)^(C5-1))</x:f>
        <x:v>1350.1328558441717</x:v>
      </x:c>
      <x:c r="E5" s="31" t="n">
        <x:f>IF(B5=0,"",B5*D5)</x:f>
        <x:v>175856.57161426364</x:v>
      </x:c>
    </x:row>
    <x:row r="6" ht="18" customHeight="1">
      <x:c r="A6" s="24" t="str">
        <x:v>Large benthopelagics (&gt;=90 cm)</x:v>
      </x:c>
      <x:c r="B6" s="31" t="n">
        <x:v>39989.967803290296</x:v>
      </x:c>
      <x:c r="C6" s="32" t="n">
        <x:v>3.7674077274230604</x:v>
      </x:c>
      <x:c r="D6" s="32" t="n">
        <x:f>IF(C6="","",(1/'Metadata'!$B$5)^(C6-1))</x:f>
        <x:v>585.3393587118776</x:v>
      </x:c>
      <x:c r="E6" s="31" t="n">
        <x:f>IF(B6=0,"",B6*D6)</x:f>
        <x:v>23407702.108886573</x:v>
      </x:c>
    </x:row>
    <x:row r="7" ht="18" customHeight="1">
      <x:c r="A7" s="24" t="str">
        <x:v>Large demersals (&gt;=90 cm)</x:v>
      </x:c>
      <x:c r="B7" s="31" t="n">
        <x:v>162576.85610729372</x:v>
      </x:c>
      <x:c r="C7" s="32" t="n">
        <x:v>4.459265477157207</x:v>
      </x:c>
      <x:c r="D7" s="32" t="n">
        <x:f>IF(C7="","",(1/'Metadata'!$B$5)^(C7-1))</x:f>
        <x:v>2879.1578593188183</x:v>
      </x:c>
      <x:c r="E7" s="31" t="n">
        <x:f>IF(B7=0,"",B7*D7)</x:f>
        <x:v>468084433.0046593</x:v>
      </x:c>
    </x:row>
    <x:row r="8" ht="18" customHeight="1">
      <x:c r="A8" s="24" t="str">
        <x:v>Large flatfishes (&gt;=90 cm)</x:v>
      </x:c>
      <x:c r="B8" s="31" t="n">
        <x:v>0.1264752968</x:v>
      </x:c>
      <x:c r="C8" s="32" t="n">
        <x:v>3.4</x:v>
      </x:c>
      <x:c r="D8" s="32" t="n">
        <x:f>IF(C8="","",(1/'Metadata'!$B$5)^(C8-1))</x:f>
        <x:v>251.18864315095797</x:v>
      </x:c>
      <x:c r="E8" s="31" t="n">
        <x:f>IF(B8=0,"",B8*D8)</x:f>
        <x:v>31.769158195306698</x:v>
      </x:c>
    </x:row>
    <x:row r="9" ht="18" customHeight="1">
      <x:c r="A9" s="24" t="str">
        <x:v>Large pelagics (&gt;=90 cm)</x:v>
      </x:c>
      <x:c r="B9" s="31" t="n">
        <x:v>11336.3639363688</x:v>
      </x:c>
      <x:c r="C9" s="32" t="n">
        <x:v>4.360119194200568</x:v>
      </x:c>
      <x:c r="D9" s="32" t="n">
        <x:f>IF(C9="","",(1/'Metadata'!$B$5)^(C9-1))</x:f>
        <x:v>2291.4964786551445</x:v>
      </x:c>
      <x:c r="E9" s="31" t="n">
        <x:f>IF(B9=0,"",B9*D9)</x:f>
        <x:v>25977238.040942278</x:v>
      </x:c>
    </x:row>
    <x:row r="10" ht="18" customHeight="1">
      <x:c r="A10" s="24" t="str">
        <x:v>Large rays (&gt;=90 cm)</x:v>
      </x:c>
      <x:c r="B10" s="31" t="n">
        <x:v>5266.461153001401</x:v>
      </x:c>
      <x:c r="C10" s="32" t="n">
        <x:v>3.7163716950410146</x:v>
      </x:c>
      <x:c r="D10" s="32" t="n">
        <x:f>IF(C10="","",(1/'Metadata'!$B$5)^(C10-1))</x:f>
        <x:v>520.4412305282985</x:v>
      </x:c>
      <x:c r="E10" s="31" t="n">
        <x:f>IF(B10=0,"",B10*D10)</x:f>
        <x:v>2740883.522997531</x:v>
      </x:c>
    </x:row>
    <x:row r="11" ht="18" customHeight="1">
      <x:c r="A11" s="24" t="str">
        <x:v>Large reef assoc. fish (&gt;=90 cm)</x:v>
      </x:c>
      <x:c r="B11" s="31" t="n">
        <x:v>262.5199645181</x:v>
      </x:c>
      <x:c r="C11" s="32" t="n">
        <x:v>3.92</x:v>
      </x:c>
      <x:c r="D11" s="32" t="n">
        <x:f>IF(C11="","",(1/'Metadata'!$B$5)^(C11-1))</x:f>
        <x:v>831.7637711026708</x:v>
      </x:c>
      <x:c r="E11" s="31" t="n">
        <x:f>IF(B11=0,"",B11*D11)</x:f>
        <x:v>218354.59567731418</x:v>
      </x:c>
    </x:row>
    <x:row r="12" ht="18" customHeight="1">
      <x:c r="A12" s="24" t="str">
        <x:v>Large sharks (&gt;=90 cm)</x:v>
      </x:c>
      <x:c r="B12" s="31" t="n">
        <x:v>27431.050893667296</x:v>
      </x:c>
      <x:c r="C12" s="32" t="n">
        <x:v>4.220158137148787</x:v>
      </x:c>
      <x:c r="D12" s="32" t="n">
        <x:f>IF(C12="","",(1/'Metadata'!$B$5)^(C12-1))</x:f>
        <x:v>1660.1913132940786</x:v>
      </x:c>
      <x:c r="E12" s="31" t="n">
        <x:f>IF(B12=0,"",B12*D12)</x:f>
        <x:v>45540792.408194214</x:v>
      </x:c>
    </x:row>
    <x:row r="13" ht="18" customHeight="1">
      <x:c r="A13" s="24" t="str">
        <x:v>Lobsters, crabs</x:v>
      </x:c>
      <x:c r="B13" s="31" t="n">
        <x:v>5408.9799006844</x:v>
      </x:c>
      <x:c r="C13" s="32" t="n">
        <x:v>2.7618462031303395</x:v>
      </x:c>
      <x:c r="D13" s="32" t="n">
        <x:f>IF(C13="","",(1/'Metadata'!$B$5)^(C13-1))</x:f>
        <x:v>57.78913622778537</x:v>
      </x:c>
      <x:c r="E13" s="31" t="n">
        <x:f>IF(B13=0,"",B13*D13)</x:f>
        <x:v>312580.2763340038</x:v>
      </x:c>
    </x:row>
    <x:row r="14" ht="18" customHeight="1">
      <x:c r="A14" s="24" t="str">
        <x:v>Medium bathydemersals (30 - 89 cm)</x:v>
      </x:c>
      <x:c r="B14" s="31" t="n">
        <x:v>4510.969201284601</x:v>
      </x:c>
      <x:c r="C14" s="32" t="n">
        <x:v>3.769536985335621</x:v>
      </x:c>
      <x:c r="D14" s="32" t="n">
        <x:f>IF(C14="","",(1/'Metadata'!$B$5)^(C14-1))</x:f>
        <x:v>588.2162056094301</x:v>
      </x:c>
      <x:c r="E14" s="31" t="n">
        <x:f>IF(B14=0,"",B14*D14)</x:f>
        <x:v>2653425.187200629</x:v>
      </x:c>
    </x:row>
    <x:row r="15" ht="18" customHeight="1">
      <x:c r="A15" s="24" t="str">
        <x:v>Medium bathypelagics (30 - 89 cm)</x:v>
      </x:c>
      <x:c r="B15" s="31" t="n">
        <x:v>24490.492183027105</x:v>
      </x:c>
      <x:c r="C15" s="32" t="n">
        <x:v>3.902668075901597</x:v>
      </x:c>
      <x:c r="D15" s="32" t="n">
        <x:f>IF(C15="","",(1/'Metadata'!$B$5)^(C15-1))</x:f>
        <x:v>799.2231884421834</x:v>
      </x:c>
      <x:c r="E15" s="31" t="n">
        <x:f>IF(B15=0,"",B15*D15)</x:f>
        <x:v>19573369.24903729</x:v>
      </x:c>
    </x:row>
    <x:row r="16" ht="18" customHeight="1">
      <x:c r="A16" s="24" t="str">
        <x:v>Medium benthopelagics (30 - 89 cm)</x:v>
      </x:c>
      <x:c r="B16" s="31" t="n">
        <x:v>48994.8416149695</x:v>
      </x:c>
      <x:c r="C16" s="32" t="n">
        <x:v>3.7155893092741517</x:v>
      </x:c>
      <x:c r="D16" s="32" t="n">
        <x:f>IF(C16="","",(1/'Metadata'!$B$5)^(C16-1))</x:f>
        <x:v>519.504494572074</x:v>
      </x:c>
      <x:c r="E16" s="31" t="n">
        <x:f>IF(B16=0,"",B16*D16)</x:f>
        <x:v>25453040.429823548</x:v>
      </x:c>
    </x:row>
    <x:row r="17" ht="18" customHeight="1">
      <x:c r="A17" s="24" t="str">
        <x:v>Medium demersals (30 - 89 cm)</x:v>
      </x:c>
      <x:c r="B17" s="31" t="n">
        <x:v>87766.2496426471</x:v>
      </x:c>
      <x:c r="C17" s="32" t="n">
        <x:v>3.4724918970113214</x:v>
      </x:c>
      <x:c r="D17" s="32" t="n">
        <x:f>IF(C17="","",(1/'Metadata'!$B$5)^(C17-1))</x:f>
        <x:v>296.8191362963638</x:v>
      </x:c>
      <x:c r="E17" s="31" t="n">
        <x:f>IF(B17=0,"",B17*D17)</x:f>
        <x:v>26050702.414901562</x:v>
      </x:c>
    </x:row>
    <x:row r="18" ht="18" customHeight="1">
      <x:c r="A18" s="24" t="str">
        <x:v>Medium pelagics (30 - 89 cm)</x:v>
      </x:c>
      <x:c r="B18" s="31" t="n">
        <x:v>70214.27930557728</x:v>
      </x:c>
      <x:c r="C18" s="32" t="n">
        <x:v>3.8083214416040136</x:v>
      </x:c>
      <x:c r="D18" s="32" t="n">
        <x:f>IF(C18="","",(1/'Metadata'!$B$5)^(C18-1))</x:f>
        <x:v>643.1635765562913</x:v>
      </x:c>
      <x:c r="E18" s="31" t="n">
        <x:f>IF(B18=0,"",B18*D18)</x:f>
        <x:v>45159267.003497474</x:v>
      </x:c>
    </x:row>
    <x:row r="19" ht="18" customHeight="1">
      <x:c r="A19" s="24" t="str">
        <x:v>Medium reef assoc. fish (30 - 89 cm)</x:v>
      </x:c>
      <x:c r="B19" s="31" t="n">
        <x:v>156.82062016339998</x:v>
      </x:c>
      <x:c r="C19" s="32" t="n">
        <x:v>3.2901216419181556</x:v>
      </x:c>
      <x:c r="D19" s="32" t="n">
        <x:f>IF(C19="","",(1/'Metadata'!$B$5)^(C19-1))</x:f>
        <x:v>195.0390809914009</x:v>
      </x:c>
      <x:c r="E19" s="31" t="n">
        <x:f>IF(B19=0,"",B19*D19)</x:f>
        <x:v>30586.149637171085</x:v>
      </x:c>
    </x:row>
    <x:row r="20" ht="18" customHeight="1">
      <x:c r="A20" s="24" t="str">
        <x:v>Other demersal invertebrates</x:v>
      </x:c>
      <x:c r="B20" s="31" t="n">
        <x:v>7078.0752969407995</x:v>
      </x:c>
      <x:c r="C20" s="32" t="n">
        <x:v>2.18630756775183</x:v>
      </x:c>
      <x:c r="D20" s="32" t="n">
        <x:f>IF(C20="","",(1/'Metadata'!$B$5)^(C20-1))</x:f>
        <x:v>15.35704184892372</x:v>
      </x:c>
      <x:c r="E20" s="31" t="n">
        <x:f>IF(B20=0,"",B20*D20)</x:f>
        <x:v>108698.29854495304</x:v>
      </x:c>
    </x:row>
    <x:row r="21" ht="18" customHeight="1">
      <x:c r="A21" s="24" t="str">
        <x:v>Shrimps</x:v>
      </x:c>
      <x:c r="B21" s="31" t="n">
        <x:v>9.170359485899999</x:v>
      </x:c>
      <x:c r="C21" s="32" t="n">
        <x:v>2.6810827987037227</x:v>
      </x:c>
      <x:c r="D21" s="32" t="n">
        <x:f>IF(C21="","",(1/'Metadata'!$B$5)^(C21-1))</x:f>
        <x:v>47.98249190468145</x:v>
      </x:c>
      <x:c r="E21" s="31" t="n">
        <x:f>IF(B21=0,"",B21*D21)</x:f>
        <x:v>440.01669979521546</x:v>
      </x:c>
    </x:row>
    <x:row r="22" ht="18" customHeight="1">
      <x:c r="A22" s="24" t="str">
        <x:v>Small bathydemersals (&lt;30 cm)</x:v>
      </x:c>
      <x:c r="B22" s="31" t="n">
        <x:v>4.2847021827</x:v>
      </x:c>
      <x:c r="C22" s="32" t="n">
        <x:v>3.51</x:v>
      </x:c>
      <x:c r="D22" s="32" t="n">
        <x:f>IF(C22="","",(1/'Metadata'!$B$5)^(C22-1))</x:f>
        <x:v>323.5936569296281</x:v>
      </x:c>
      <x:c r="E22" s="31" t="n">
        <x:f>IF(B22=0,"",B22*D22)</x:f>
        <x:v>1386.5024481542525</x:v>
      </x:c>
    </x:row>
    <x:row r="23" ht="18" customHeight="1">
      <x:c r="A23" s="24" t="str">
        <x:v>Small bathypelagics (&lt;30 cm)</x:v>
      </x:c>
      <x:c r="B23" s="31" t="n">
        <x:v>11.2497428084</x:v>
      </x:c>
      <x:c r="C23" s="32" t="n">
        <x:v>3.5</x:v>
      </x:c>
      <x:c r="D23" s="32" t="n">
        <x:f>IF(C23="","",(1/'Metadata'!$B$5)^(C23-1))</x:f>
        <x:v>316.22776601683796</x:v>
      </x:c>
      <x:c r="E23" s="31" t="n">
        <x:f>IF(B23=0,"",B23*D23)</x:f>
        <x:v>3557.481036564321</x:v>
      </x:c>
    </x:row>
    <x:row r="24" ht="18" customHeight="1">
      <x:c r="A24" s="24" t="str">
        <x:v>Small benthopelagics (&lt;30 cm)</x:v>
      </x:c>
      <x:c r="B24" s="31" t="n">
        <x:v>188.0407541085</x:v>
      </x:c>
      <x:c r="C24" s="32" t="n">
        <x:v>3.15</x:v>
      </x:c>
      <x:c r="D24" s="32" t="n">
        <x:f>IF(C24="","",(1/'Metadata'!$B$5)^(C24-1))</x:f>
        <x:v>141.2537544622754</x:v>
      </x:c>
      <x:c r="E24" s="31" t="n">
        <x:f>IF(B24=0,"",B24*D24)</x:f>
        <x:v>26561.462509743164</x:v>
      </x:c>
    </x:row>
    <x:row r="25" ht="18" customHeight="1">
      <x:c r="A25" s="24" t="str">
        <x:v>Small demersals (&lt;30 cm)</x:v>
      </x:c>
      <x:c r="B25" s="31" t="n">
        <x:v>371.84269897589996</x:v>
      </x:c>
      <x:c r="C25" s="32" t="n">
        <x:v>3.1127542044884455</x:v>
      </x:c>
      <x:c r="D25" s="32" t="n">
        <x:f>IF(C25="","",(1/'Metadata'!$B$5)^(C25-1))</x:f>
        <x:v>129.64453205277582</x:v>
      </x:c>
      <x:c r="E25" s="31" t="n">
        <x:f>IF(B25=0,"",B25*D25)</x:f>
        <x:v>48207.372705971735</x:v>
      </x:c>
    </x:row>
    <x:row r="26" ht="18" customHeight="1">
      <x:c r="A26" s="24" t="str">
        <x:v>Small pelagics (&lt;30 cm)</x:v>
      </x:c>
      <x:c r="B26" s="31" t="n">
        <x:v>528.2152446889</x:v>
      </x:c>
      <x:c r="C26" s="32" t="n">
        <x:v>2.8086853302545087</x:v>
      </x:c>
      <x:c r="D26" s="32" t="n">
        <x:f>IF(C26="","",(1/'Metadata'!$B$5)^(C26-1))</x:f>
        <x:v>64.3702699230629</x:v>
      </x:c>
      <x:c r="E26" s="31" t="n">
        <x:f>IF(B26=0,"",B26*D26)</x:f>
        <x:v>34001.35787810122</x:v>
      </x:c>
    </x:row>
    <x:row r="27" ht="18" customHeight="1">
      <x:c r="A27" s="24" t="str">
        <x:v>Small to medium flatfishes (&lt;90 cm)</x:v>
      </x:c>
      <x:c r="B27" s="31" t="n">
        <x:v>2884.7242769695</x:v>
      </x:c>
      <x:c r="C27" s="32" t="n">
        <x:v>3.57295163993662</x:v>
      </x:c>
      <x:c r="D27" s="32" t="n">
        <x:f>IF(C27="","",(1/'Metadata'!$B$5)^(C27-1))</x:f>
        <x:v>374.0689321947835</x:v>
      </x:c>
      <x:c r="E27" s="31" t="n">
        <x:f>IF(B27=0,"",B27*D27)</x:f>
        <x:v>1079085.7299623496</x:v>
      </x:c>
    </x:row>
    <x:row r="28" ht="18" customHeight="1">
      <x:c r="A28" s="24" t="str">
        <x:v>Small to medium rays (&lt;90 cm)</x:v>
      </x:c>
      <x:c r="B28" s="31" t="n">
        <x:v>3487.4935898946</x:v>
      </x:c>
      <x:c r="C28" s="32" t="n">
        <x:v>3.5180960021076935</x:v>
      </x:c>
      <x:c r="D28" s="32" t="n">
        <x:f>IF(C28="","",(1/'Metadata'!$B$5)^(C28-1))</x:f>
        <x:v>329.68258145412875</x:v>
      </x:c>
      <x:c r="E28" s="31" t="n">
        <x:f>IF(B28=0,"",B28*D28)</x:f>
        <x:v>1149765.8895211783</x:v>
      </x:c>
    </x:row>
    <x:row r="29" ht="18" customHeight="1">
      <x:c r="A29" s="24" t="str">
        <x:v>Small to medium sharks (&lt;90 cm)</x:v>
      </x:c>
      <x:c r="B29" s="31" t="n">
        <x:v>178.6739575425</x:v>
      </x:c>
      <x:c r="C29" s="32" t="n">
        <x:v>4.189054093993917</x:v>
      </x:c>
      <x:c r="D29" s="32" t="n">
        <x:f>IF(C29="","",(1/'Metadata'!$B$5)^(C29-1))</x:f>
        <x:v>1545.4469222746864</x:v>
      </x:c>
      <x:c r="E29" s="31" t="n">
        <x:f>IF(B29=0,"",B29*D29)</x:f>
        <x:v>276131.11777469463</x:v>
      </x:c>
    </x:row>
  </x:sheetData>
  <x:pageMargins left="0.7" right="0.7" top="0.75" bottom="0.75" header="0.3" footer="0.3"/>
  <x:tableParts count="1">
    <x:tablePart xmlns:r="http://schemas.openxmlformats.org/officeDocument/2006/relationships" r:id="R923e68f3346446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EEZ_554</x:v>
      </x:c>
      <x:c r="B2" s="24" t="str">
        <x:v>raw_filtered_tonnes</x:v>
      </x:c>
      <x:c r="C2" s="24" t="n">
        <x:v>536634.0092869515</x:v>
      </x:c>
      <x:c r="D2" s="24" t="str">
        <x:v>tonnes</x:v>
      </x:c>
    </x:row>
    <x:row r="3" ht="18" customHeight="1">
      <x:c r="A3" s="24" t="str">
        <x:v>EEZ_554</x:v>
      </x:c>
      <x:c r="B3" s="24" t="str">
        <x:v>species_catch_tonnes</x:v>
      </x:c>
      <x:c r="C3" s="24" t="n">
        <x:v>536634.0092869516</x:v>
      </x:c>
      <x:c r="D3" s="24" t="str">
        <x:v>tonnes</x:v>
      </x:c>
    </x:row>
    <x:row r="4" ht="18" customHeight="1">
      <x:c r="A4" s="24" t="str">
        <x:v>EEZ_554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EEZ_554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EEZ_554</x:v>
      </x:c>
      <x:c r="B6" s="24" t="str">
        <x:v>matched_catch_tonnes</x:v>
      </x:c>
      <x:c r="C6" s="24" t="n">
        <x:v>536634.0092869516</x:v>
      </x:c>
      <x:c r="D6" s="24" t="str">
        <x:v>tonnes</x:v>
      </x:c>
    </x:row>
    <x:row r="7" ht="18" customHeight="1">
      <x:c r="A7" s="24" t="str">
        <x:v>EEZ_554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EEZ_554</x:v>
      </x:c>
      <x:c r="B8" s="24" t="str">
        <x:v>taxa_count</x:v>
      </x:c>
      <x:c r="C8" s="24" t="n">
        <x:v>197</x:v>
      </x:c>
      <x:c r="D8" s="24" t="str">
        <x:v>count</x:v>
      </x:c>
    </x:row>
    <x:row r="9" ht="18" customHeight="1">
      <x:c r="A9" s="24" t="str">
        <x:v>EEZ_554</x:v>
      </x:c>
      <x:c r="B9" s="24" t="str">
        <x:v>matched_taxa_count</x:v>
      </x:c>
      <x:c r="C9" s="24" t="n">
        <x:v>197</x:v>
      </x:c>
      <x:c r="D9" s="24" t="str">
        <x:v>count</x:v>
      </x:c>
    </x:row>
    <x:row r="10" ht="18" customHeight="1">
      <x:c r="A10" s="24" t="str">
        <x:v>EEZ_554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EEZ_554</x:v>
      </x:c>
      <x:c r="B11" s="24" t="str">
        <x:v>species_ppr</x:v>
      </x:c>
      <x:c r="C11" s="24" t="n">
        <x:v>844346453.6499316</x:v>
      </x:c>
      <x:c r="D11" s="24" t="str">
        <x:v>tonnes_primary_production_equivalent</x:v>
      </x:c>
    </x:row>
    <x:row r="12" ht="18" customHeight="1">
      <x:c r="A12" s="24" t="str">
        <x:v>EEZ_554</x:v>
      </x:c>
      <x:c r="B12" s="24" t="str">
        <x:v>commercial_ppr</x:v>
      </x:c>
      <x:c r="C12" s="24" t="n">
        <x:v>698639252.9198685</x:v>
      </x:c>
      <x:c r="D12" s="24" t="str">
        <x:v>tonnes_primary_production_equivalent</x:v>
      </x:c>
    </x:row>
    <x:row r="13" ht="18" customHeight="1">
      <x:c r="A13" s="24" t="str">
        <x:v>EEZ_554</x:v>
      </x:c>
      <x:c r="B13" s="24" t="str">
        <x:v>functional_ppr</x:v>
      </x:c>
      <x:c r="C13" s="24" t="n">
        <x:v>743350086.3792835</x:v>
      </x:c>
      <x:c r="D13" s="24" t="str">
        <x:v>tonnes_primary_production_equivalent</x:v>
      </x:c>
    </x:row>
    <x:row r="14" ht="18" customHeight="1">
      <x:c r="A14" s="24" t="str">
        <x:v>EEZ_554</x:v>
      </x:c>
      <x:c r="B14" s="24" t="str">
        <x:v>commercial_ppr_difference</x:v>
      </x:c>
      <x:c r="C14" s="24" t="n">
        <x:v>-145707200.73006308</x:v>
      </x:c>
      <x:c r="D14" s="24" t="str">
        <x:v>tonnes_primary_production_equivalent</x:v>
      </x:c>
    </x:row>
    <x:row r="15" ht="18" customHeight="1">
      <x:c r="A15" s="24" t="str">
        <x:v>EEZ_554</x:v>
      </x:c>
      <x:c r="B15" s="24" t="str">
        <x:v>functional_ppr_difference</x:v>
      </x:c>
      <x:c r="C15" s="24" t="n">
        <x:v>-100996367.270648</x:v>
      </x:c>
      <x:c r="D15" s="24" t="str">
        <x:v>tonnes_primary_production_equivalent</x:v>
      </x:c>
    </x:row>
    <x:row r="16" ht="18" customHeight="1">
      <x:c r="A16" s="24" t="str">
        <x:v>EEZ_554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92b32ef834446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EEZ_554 - New Zealand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