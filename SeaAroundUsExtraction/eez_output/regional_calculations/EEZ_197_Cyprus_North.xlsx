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5beb3a6ee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d10b7f8b09d43cf"/>
    <x:sheet xmlns:r="http://schemas.openxmlformats.org/officeDocument/2006/relationships" name="Commercial" sheetId="2" r:id="R3a76a62742f34f9f"/>
    <x:sheet xmlns:r="http://schemas.openxmlformats.org/officeDocument/2006/relationships" name="Functional" sheetId="3" r:id="Reb79f11ee5184267"/>
    <x:sheet xmlns:r="http://schemas.openxmlformats.org/officeDocument/2006/relationships" name="Missing TL" sheetId="4" r:id="R4de7fcdf0c354c4e"/>
    <x:sheet xmlns:r="http://schemas.openxmlformats.org/officeDocument/2006/relationships" name="Validation" sheetId="5" r:id="Rbb88686224014b26"/>
    <x:sheet xmlns:r="http://schemas.openxmlformats.org/officeDocument/2006/relationships" name="Metadata" sheetId="6" r:id="R52d3c6347e26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baadc992b4f8e" /><Relationship Type="http://schemas.openxmlformats.org/officeDocument/2006/relationships/theme" Target="/xl/theme/theme1.xml" Id="R436ae4523179447b" /><Relationship Type="http://schemas.microsoft.com/office/2022/11/relationships/FeaturePropertyBag" Target="/xl/featurePropertyBag/featurePropertyBag.xml" Id="R5ba69003bc6647f2" /><Relationship Type="http://schemas.openxmlformats.org/officeDocument/2006/relationships/sharedStrings" Target="/xl/sharedStrings.xml" Id="Rc98fc36bb58d44f7" /><Relationship Type="http://schemas.openxmlformats.org/officeDocument/2006/relationships/worksheet" Target="/xl/worksheets/sheet1.xml" Id="R7d10b7f8b09d43cf" /><Relationship Type="http://schemas.openxmlformats.org/officeDocument/2006/relationships/worksheet" Target="/xl/worksheets/sheet2.xml" Id="R3a76a62742f34f9f" /><Relationship Type="http://schemas.openxmlformats.org/officeDocument/2006/relationships/worksheet" Target="/xl/worksheets/sheet3.xml" Id="Reb79f11ee5184267" /><Relationship Type="http://schemas.openxmlformats.org/officeDocument/2006/relationships/worksheet" Target="/xl/worksheets/sheet4.xml" Id="R4de7fcdf0c354c4e" /><Relationship Type="http://schemas.openxmlformats.org/officeDocument/2006/relationships/worksheet" Target="/xl/worksheets/sheet5.xml" Id="Rbb88686224014b26" /><Relationship Type="http://schemas.openxmlformats.org/officeDocument/2006/relationships/worksheet" Target="/xl/worksheets/sheet6.xml" Id="R52d3c6347e2646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97SpeciesTable" displayName="EEZ197SpeciesTable" ref="A1:U46" headerRowCount="1" totalsRowCount="0" totalsRowShown="0">
  <x:autoFilter ref="A1:U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97CommercialTable" displayName="EEZ197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97FunctionalTable" displayName="EEZ197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97ValidationTable" displayName="EEZ19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e1a6ba92a946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0c665f29d5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eec9a6c0e747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386d7d2c3447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EEZ_197</x:v>
      </x:c>
      <x:c r="B2" s="24" t="str">
        <x:v>Cyprus (North)</x:v>
      </x:c>
      <x:c r="C2" s="24" t="str">
        <x:v>EEZ</x:v>
      </x:c>
      <x:c r="D2" s="30" t="n">
        <x:v>2019</x:v>
      </x:c>
      <x:c r="E2" s="24" t="str">
        <x:v>Thunnus thynnus</x:v>
      </x:c>
      <x:c r="F2" s="24" t="str">
        <x:v>Atlantic bluefin tuna</x:v>
      </x:c>
      <x:c r="G2" s="24" t="str">
        <x:v>Large pelagics (&gt;=90 cm)</x:v>
      </x:c>
      <x:c r="H2" s="24" t="str">
        <x:v>Tuna &amp; billfishes</x:v>
      </x:c>
      <x:c r="I2" s="31" t="n">
        <x:v>1802.6214851382001</x:v>
      </x:c>
      <x:c r="J2" s="31" t="n">
        <x:v>1802.6214851382001</x:v>
      </x:c>
      <x:c r="K2" s="31" t="n">
        <x:v>0</x:v>
      </x:c>
      <x:c r="L2" s="31" t="n">
        <x:v>1802.6214851382001</x:v>
      </x:c>
      <x:c r="M2" s="31" t="n">
        <x:v>0</x:v>
      </x:c>
      <x:c r="N2" s="24" t="str">
        <x:v>thunnus thynnus</x:v>
      </x:c>
      <x:c r="O2" s="32" t="n">
        <x:v>4.45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thynnus</x:v>
      </x:c>
      <x:c r="T2" s="32" t="n">
        <x:f>IF(O2="","",(1/'Metadata'!$B$5)^(O2-1))</x:f>
        <x:v>2818.382931264455</x:v>
      </x:c>
      <x:c r="U2" s="31" t="n">
        <x:f>IF(T2="","",I2*T2)</x:f>
        <x:v>5080477.625244086</x:v>
      </x:c>
    </x:row>
    <x:row r="3" ht="18" customHeight="1">
      <x:c r="A3" s="24" t="str">
        <x:v>EEZ_197</x:v>
      </x:c>
      <x:c r="B3" s="24" t="str">
        <x:v>Cyprus (North)</x:v>
      </x:c>
      <x:c r="C3" s="24" t="str">
        <x:v>EEZ</x:v>
      </x:c>
      <x:c r="D3" s="30" t="n">
        <x:v>2019</x:v>
      </x:c>
      <x:c r="E3" s="24" t="str">
        <x:v>Sarda sarda</x:v>
      </x:c>
      <x:c r="F3" s="24" t="str">
        <x:v>Atlantic bonito</x:v>
      </x:c>
      <x:c r="G3" s="24" t="str">
        <x:v>Medium pelagics (30 - 89 cm)</x:v>
      </x:c>
      <x:c r="H3" s="24" t="str">
        <x:v>Tuna &amp; billfishes</x:v>
      </x:c>
      <x:c r="I3" s="31" t="n">
        <x:v>1140.0220728958</x:v>
      </x:c>
      <x:c r="J3" s="31" t="n">
        <x:v>1140.0220728958</x:v>
      </x:c>
      <x:c r="K3" s="31" t="n">
        <x:v>0</x:v>
      </x:c>
      <x:c r="L3" s="31" t="n">
        <x:v>1082.6258799598</x:v>
      </x:c>
      <x:c r="M3" s="31" t="n">
        <x:v>57.396192936000006</x:v>
      </x:c>
      <x:c r="N3" s="24" t="str">
        <x:v>sarda sarda</x:v>
      </x:c>
      <x:c r="O3" s="32" t="n">
        <x:v>4.5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Sarda sarda</x:v>
      </x:c>
      <x:c r="T3" s="32" t="n">
        <x:f>IF(O3="","",(1/'Metadata'!$B$5)^(O3-1))</x:f>
        <x:v>3162.2776601683795</x:v>
      </x:c>
      <x:c r="U3" s="31" t="n">
        <x:f>IF(T3="","",I3*T3)</x:f>
        <x:v>3605066.333217236</x:v>
      </x:c>
    </x:row>
    <x:row r="4" ht="18" customHeight="1">
      <x:c r="A4" s="24" t="str">
        <x:v>EEZ_197</x:v>
      </x:c>
      <x:c r="B4" s="24" t="str">
        <x:v>Cyprus (North)</x:v>
      </x:c>
      <x:c r="C4" s="24" t="str">
        <x:v>EEZ</x:v>
      </x:c>
      <x:c r="D4" s="30" t="n">
        <x:v>2019</x:v>
      </x:c>
      <x:c r="E4" s="24" t="str">
        <x:v>Auxis rochei</x:v>
      </x:c>
      <x:c r="F4" s="24" t="str">
        <x:v>Bullet tuna</x:v>
      </x:c>
      <x:c r="G4" s="24" t="str">
        <x:v>Medium pelagics (30 - 89 cm)</x:v>
      </x:c>
      <x:c r="H4" s="24" t="str">
        <x:v>Tuna &amp; billfishes</x:v>
      </x:c>
      <x:c r="I4" s="31" t="n">
        <x:v>450.1848931515</x:v>
      </x:c>
      <x:c r="J4" s="31" t="n">
        <x:v>450.1848931515</x:v>
      </x:c>
      <x:c r="K4" s="31" t="n">
        <x:v>0</x:v>
      </x:c>
      <x:c r="L4" s="31" t="n">
        <x:v>450.1848931515</x:v>
      </x:c>
      <x:c r="M4" s="31" t="n">
        <x:v>0</x:v>
      </x:c>
      <x:c r="N4" s="24" t="str">
        <x:v>auxis rochei</x:v>
      </x:c>
      <x:c r="O4" s="32" t="n">
        <x:v>4.13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Auxis rochei</x:v>
      </x:c>
      <x:c r="T4" s="32" t="n">
        <x:f>IF(O4="","",(1/'Metadata'!$B$5)^(O4-1))</x:f>
        <x:v>1348.9628825916532</x:v>
      </x:c>
      <x:c r="U4" s="31" t="n">
        <x:f>IF(T4="","",I4*T4)</x:f>
        <x:v>607282.7111648628</x:v>
      </x:c>
    </x:row>
    <x:row r="5" ht="18" customHeight="1">
      <x:c r="A5" s="24" t="str">
        <x:v>EEZ_197</x:v>
      </x:c>
      <x:c r="B5" s="24" t="str">
        <x:v>Cyprus (North)</x:v>
      </x:c>
      <x:c r="C5" s="24" t="str">
        <x:v>EEZ</x:v>
      </x:c>
      <x:c r="D5" s="30" t="n">
        <x:v>2019</x:v>
      </x:c>
      <x:c r="E5" s="24" t="str">
        <x:v>Euthynnus alletteratus</x:v>
      </x:c>
      <x:c r="F5" s="24" t="str">
        <x:v>Little tunny </x:v>
      </x:c>
      <x:c r="G5" s="24" t="str">
        <x:v>Large pelagics (&gt;=90 cm)</x:v>
      </x:c>
      <x:c r="H5" s="24" t="str">
        <x:v>Tuna &amp; billfishes</x:v>
      </x:c>
      <x:c r="I5" s="31" t="n">
        <x:v>442.9069391383</x:v>
      </x:c>
      <x:c r="J5" s="31" t="n">
        <x:v>442.9069391383</x:v>
      </x:c>
      <x:c r="K5" s="31" t="n">
        <x:v>0</x:v>
      </x:c>
      <x:c r="L5" s="31" t="n">
        <x:v>442.9069391383</x:v>
      </x:c>
      <x:c r="M5" s="31" t="n">
        <x:v>0</x:v>
      </x:c>
      <x:c r="N5" s="24" t="str">
        <x:v>euthynnus alletteratus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Euthynnus alletteratus</x:v>
      </x:c>
      <x:c r="T5" s="32" t="n">
        <x:f>IF(O5="","",(1/'Metadata'!$B$5)^(O5-1))</x:f>
        <x:v>3090.295432513592</x:v>
      </x:c>
      <x:c r="U5" s="31" t="n">
        <x:f>IF(T5="","",I5*T5)</x:f>
        <x:v>1368713.291047664</x:v>
      </x:c>
    </x:row>
    <x:row r="6" ht="18" customHeight="1">
      <x:c r="A6" s="24" t="str">
        <x:v>EEZ_197</x:v>
      </x:c>
      <x:c r="B6" s="24" t="str">
        <x:v>Cyprus (North)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166.94273386400002</x:v>
      </x:c>
      <x:c r="J6" s="31" t="n">
        <x:v>164.8974584198</x:v>
      </x:c>
      <x:c r="K6" s="31" t="n">
        <x:v>2.0452754442</x:v>
      </x:c>
      <x:c r="L6" s="31" t="n">
        <x:v>0</x:v>
      </x:c>
      <x:c r="M6" s="31" t="n">
        <x:v>166.94273386400002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31810.282152724463</x:v>
      </x:c>
    </x:row>
    <x:row r="7" ht="18" customHeight="1">
      <x:c r="A7" s="24" t="str">
        <x:v>EEZ_197</x:v>
      </x:c>
      <x:c r="B7" s="24" t="str">
        <x:v>Cyprus (North)</x:v>
      </x:c>
      <x:c r="C7" s="24" t="str">
        <x:v>EEZ</x:v>
      </x:c>
      <x:c r="D7" s="30" t="n">
        <x:v>2019</x:v>
      </x:c>
      <x:c r="E7" s="24" t="str">
        <x:v>Sparisoma cretense</x:v>
      </x:c>
      <x:c r="F7" s="24" t="str">
        <x:v>Old parrotfish</x:v>
      </x:c>
      <x:c r="G7" s="24" t="str">
        <x:v>Medium reef assoc. fish (30 - 89 cm)</x:v>
      </x:c>
      <x:c r="H7" s="24" t="str">
        <x:v>Perch-likes</x:v>
      </x:c>
      <x:c r="I7" s="31" t="n">
        <x:v>107.61786175499999</x:v>
      </x:c>
      <x:c r="J7" s="31" t="n">
        <x:v>107.61786175499999</x:v>
      </x:c>
      <x:c r="K7" s="31" t="n">
        <x:v>0</x:v>
      </x:c>
      <x:c r="L7" s="31" t="n">
        <x:v>0</x:v>
      </x:c>
      <x:c r="M7" s="31" t="n">
        <x:v>107.61786175499999</x:v>
      </x:c>
      <x:c r="N7" s="24" t="str">
        <x:v>sparisoma cretense</x:v>
      </x:c>
      <x:c r="O7" s="32" t="n">
        <x:v>2.86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Sparisoma cretense</x:v>
      </x:c>
      <x:c r="T7" s="32" t="n">
        <x:f>IF(O7="","",(1/'Metadata'!$B$5)^(O7-1))</x:f>
        <x:v>72.44359600749898</x:v>
      </x:c>
      <x:c r="U7" s="31" t="n">
        <x:f>IF(T7="","",I7*T7)</x:f>
        <x:v>7796.224900170095</x:v>
      </x:c>
    </x:row>
    <x:row r="8" ht="18" customHeight="1">
      <x:c r="A8" s="24" t="str">
        <x:v>EEZ_197</x:v>
      </x:c>
      <x:c r="B8" s="24" t="str">
        <x:v>Cyprus (North)</x:v>
      </x:c>
      <x:c r="C8" s="24" t="str">
        <x:v>EEZ</x:v>
      </x:c>
      <x:c r="D8" s="30" t="n">
        <x:v>2019</x:v>
      </x:c>
      <x:c r="E8" s="24" t="str">
        <x:v>Sparidae</x:v>
      </x:c>
      <x:c r="F8" s="24" t="str">
        <x:v>Porgies, seabreams</x:v>
      </x:c>
      <x:c r="G8" s="24" t="str">
        <x:v>Medium benthopelagics (30 - 89 cm)</x:v>
      </x:c>
      <x:c r="H8" s="24" t="str">
        <x:v>Perch-likes</x:v>
      </x:c>
      <x:c r="I8" s="31" t="n">
        <x:v>100.443337638</x:v>
      </x:c>
      <x:c r="J8" s="31" t="n">
        <x:v>100.443337638</x:v>
      </x:c>
      <x:c r="K8" s="31" t="n">
        <x:v>0</x:v>
      </x:c>
      <x:c r="L8" s="31" t="n">
        <x:v>0</x:v>
      </x:c>
      <x:c r="M8" s="31" t="n">
        <x:v>100.443337638</x:v>
      </x:c>
      <x:c r="N8" s="24" t="str">
        <x:v>sparidae</x:v>
      </x:c>
      <x:c r="O8" s="32" t="n">
        <x:v>3.31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Sparidae</x:v>
      </x:c>
      <x:c r="T8" s="32" t="n">
        <x:f>IF(O8="","",(1/'Metadata'!$B$5)^(O8-1))</x:f>
        <x:v>204.17379446695296</x:v>
      </x:c>
      <x:c r="U8" s="31" t="n">
        <x:f>IF(T8="","",I8*T8)</x:f>
        <x:v>20507.89737447577</x:v>
      </x:c>
    </x:row>
    <x:row r="9" ht="18" customHeight="1">
      <x:c r="A9" s="24" t="str">
        <x:v>EEZ_197</x:v>
      </x:c>
      <x:c r="B9" s="24" t="str">
        <x:v>Cyprus (North)</x:v>
      </x:c>
      <x:c r="C9" s="24" t="str">
        <x:v>EEZ</x:v>
      </x:c>
      <x:c r="D9" s="30" t="n">
        <x:v>2019</x:v>
      </x:c>
      <x:c r="E9" s="24" t="str">
        <x:v>Epinephelus marginatus</x:v>
      </x:c>
      <x:c r="F9" s="24" t="str">
        <x:v>Dusky grouper</x:v>
      </x:c>
      <x:c r="G9" s="24" t="str">
        <x:v>Large reef assoc. fish (&gt;=90 cm)</x:v>
      </x:c>
      <x:c r="H9" s="24" t="str">
        <x:v>Perch-likes</x:v>
      </x:c>
      <x:c r="I9" s="31" t="n">
        <x:v>94.2426397644</x:v>
      </x:c>
      <x:c r="J9" s="31" t="n">
        <x:v>94.2426397644</x:v>
      </x:c>
      <x:c r="K9" s="31" t="n">
        <x:v>0</x:v>
      </x:c>
      <x:c r="L9" s="31" t="n">
        <x:v>0</x:v>
      </x:c>
      <x:c r="M9" s="31" t="n">
        <x:v>94.2426397644</x:v>
      </x:c>
      <x:c r="N9" s="24" t="str">
        <x:v>epinephelus marginatus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Epinephelus marginatus</x:v>
      </x:c>
      <x:c r="T9" s="32" t="n">
        <x:f>IF(O9="","",(1/'Metadata'!$B$5)^(O9-1))</x:f>
        <x:v>2691.534803926914</x:v>
      </x:c>
      <x:c r="U9" s="31" t="n">
        <x:f>IF(T9="","",I9*T9)</x:f>
        <x:v>253657.3449398291</x:v>
      </x:c>
    </x:row>
    <x:row r="10" ht="18" customHeight="1">
      <x:c r="A10" s="24" t="str">
        <x:v>EEZ_197</x:v>
      </x:c>
      <x:c r="B10" s="24" t="str">
        <x:v>Cyprus (North)</x:v>
      </x:c>
      <x:c r="C10" s="24" t="str">
        <x:v>EEZ</x:v>
      </x:c>
      <x:c r="D10" s="30" t="n">
        <x:v>2019</x:v>
      </x:c>
      <x:c r="E10" s="24" t="str">
        <x:v>Mycteroperca rubra</x:v>
      </x:c>
      <x:c r="F10" s="24" t="str">
        <x:v>Mottled grouper</x:v>
      </x:c>
      <x:c r="G10" s="24" t="str">
        <x:v>Large demersals (&gt;=90 cm)</x:v>
      </x:c>
      <x:c r="H10" s="24" t="str">
        <x:v>Perch-likes</x:v>
      </x:c>
      <x:c r="I10" s="31" t="n">
        <x:v>78.8071448157</x:v>
      </x:c>
      <x:c r="J10" s="31" t="n">
        <x:v>78.8071448157</x:v>
      </x:c>
      <x:c r="K10" s="31" t="n">
        <x:v>0</x:v>
      </x:c>
      <x:c r="L10" s="31" t="n">
        <x:v>0</x:v>
      </x:c>
      <x:c r="M10" s="31" t="n">
        <x:v>78.8071448157</x:v>
      </x:c>
      <x:c r="N10" s="24" t="str">
        <x:v>mycteroperca rubra</x:v>
      </x:c>
      <x:c r="O10" s="32" t="n">
        <x:v>4.13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Mycteroperca rubra</x:v>
      </x:c>
      <x:c r="T10" s="32" t="n">
        <x:f>IF(O10="","",(1/'Metadata'!$B$5)^(O10-1))</x:f>
        <x:v>1348.9628825916532</x:v>
      </x:c>
      <x:c r="U10" s="31" t="n">
        <x:f>IF(T10="","",I10*T10)</x:f>
        <x:v>106307.91323940453</x:v>
      </x:c>
    </x:row>
    <x:row r="11" ht="18" customHeight="1">
      <x:c r="A11" s="24" t="str">
        <x:v>EEZ_197</x:v>
      </x:c>
      <x:c r="B11" s="24" t="str">
        <x:v>Cyprus (North)</x:v>
      </x:c>
      <x:c r="C11" s="24" t="str">
        <x:v>EEZ</x:v>
      </x:c>
      <x:c r="D11" s="30" t="n">
        <x:v>2019</x:v>
      </x:c>
      <x:c r="E11" s="24" t="str">
        <x:v>Thunnus alalunga</x:v>
      </x:c>
      <x:c r="F11" s="24" t="str">
        <x:v>Albacore</x:v>
      </x:c>
      <x:c r="G11" s="24" t="str">
        <x:v>Large pelagics (&gt;=90 cm)</x:v>
      </x:c>
      <x:c r="H11" s="24" t="str">
        <x:v>Tuna &amp; billfishes</x:v>
      </x:c>
      <x:c r="I11" s="31" t="n">
        <x:v>76.8409158078</x:v>
      </x:c>
      <x:c r="J11" s="31" t="n">
        <x:v>76.8409158078</x:v>
      </x:c>
      <x:c r="K11" s="31" t="n">
        <x:v>0</x:v>
      </x:c>
      <x:c r="L11" s="31" t="n">
        <x:v>5.0956746378</x:v>
      </x:c>
      <x:c r="M11" s="31" t="n">
        <x:v>71.74524117</x:v>
      </x:c>
      <x:c r="N11" s="24" t="str">
        <x:v>thunnus alalunga</x:v>
      </x:c>
      <x:c r="O11" s="32" t="n">
        <x:v>4.3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alalunga</x:v>
      </x:c>
      <x:c r="T11" s="32" t="n">
        <x:f>IF(O11="","",(1/'Metadata'!$B$5)^(O11-1))</x:f>
        <x:v>1995.2623149688789</x:v>
      </x:c>
      <x:c r="U11" s="31" t="n">
        <x:f>IF(T11="","",I11*T11)</x:f>
        <x:v>153317.78355899974</x:v>
      </x:c>
    </x:row>
    <x:row r="12" ht="18" customHeight="1">
      <x:c r="A12" s="24" t="str">
        <x:v>EEZ_197</x:v>
      </x:c>
      <x:c r="B12" s="24" t="str">
        <x:v>Cyprus (North)</x:v>
      </x:c>
      <x:c r="C12" s="24" t="str">
        <x:v>EEZ</x:v>
      </x:c>
      <x:c r="D12" s="30" t="n">
        <x:v>2019</x:v>
      </x:c>
      <x:c r="E12" s="24" t="str">
        <x:v>Tetraodontidae</x:v>
      </x:c>
      <x:c r="F12" s="24" t="str">
        <x:v>Puffers, tobies</x:v>
      </x:c>
      <x:c r="G12" s="24" t="str">
        <x:v>Large reef assoc. fish (&gt;=90 cm)</x:v>
      </x:c>
      <x:c r="H12" s="24" t="str">
        <x:v>Other fishes &amp; inverts</x:v>
      </x:c>
      <x:c r="I12" s="31" t="n">
        <x:v>53.6259092455</x:v>
      </x:c>
      <x:c r="J12" s="31" t="n">
        <x:v>0</x:v>
      </x:c>
      <x:c r="K12" s="31" t="n">
        <x:v>53.6259092455</x:v>
      </x:c>
      <x:c r="L12" s="31" t="n">
        <x:v>0</x:v>
      </x:c>
      <x:c r="M12" s="31" t="n">
        <x:v>53.6259092455</x:v>
      </x:c>
      <x:c r="N12" s="24" t="str">
        <x:v>tetraodontidae</x:v>
      </x:c>
      <x:c r="O12" s="32" t="n">
        <x:v>3.5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Tetraodontidae</x:v>
      </x:c>
      <x:c r="T12" s="32" t="n">
        <x:f>IF(O12="","",(1/'Metadata'!$B$5)^(O12-1))</x:f>
        <x:v>316.22776601683796</x:v>
      </x:c>
      <x:c r="U12" s="31" t="n">
        <x:f>IF(T12="","",I12*T12)</x:f>
        <x:v>16958.001481326162</x:v>
      </x:c>
    </x:row>
    <x:row r="13" ht="18" customHeight="1">
      <x:c r="A13" s="24" t="str">
        <x:v>EEZ_197</x:v>
      </x:c>
      <x:c r="B13" s="24" t="str">
        <x:v>Cyprus (North)</x:v>
      </x:c>
      <x:c r="C13" s="24" t="str">
        <x:v>EEZ</x:v>
      </x:c>
      <x:c r="D13" s="30" t="n">
        <x:v>2019</x:v>
      </x:c>
      <x:c r="E13" s="24" t="str">
        <x:v>Seriola dumerili</x:v>
      </x:c>
      <x:c r="F13" s="24" t="str">
        <x:v>Greater amberjack</x:v>
      </x:c>
      <x:c r="G13" s="24" t="str">
        <x:v>Large reef assoc. fish (&gt;=90 cm)</x:v>
      </x:c>
      <x:c r="H13" s="24" t="str">
        <x:v>Perch-likes</x:v>
      </x:c>
      <x:c r="I13" s="31" t="n">
        <x:v>47.392931560899996</x:v>
      </x:c>
      <x:c r="J13" s="31" t="n">
        <x:v>47.392931560899996</x:v>
      </x:c>
      <x:c r="K13" s="31" t="n">
        <x:v>0</x:v>
      </x:c>
      <x:c r="L13" s="31" t="n">
        <x:v>0</x:v>
      </x:c>
      <x:c r="M13" s="31" t="n">
        <x:v>47.392931560899996</x:v>
      </x:c>
      <x:c r="N13" s="24" t="str">
        <x:v>seriola dumerili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Seriola dumerili</x:v>
      </x:c>
      <x:c r="T13" s="32" t="n">
        <x:f>IF(O13="","",(1/'Metadata'!$B$5)^(O13-1))</x:f>
        <x:v>3162.2776601683795</x:v>
      </x:c>
      <x:c r="U13" s="31" t="n">
        <x:f>IF(T13="","",I13*T13)</x:f>
        <x:v>149869.608724923</x:v>
      </x:c>
    </x:row>
    <x:row r="14" ht="18" customHeight="1">
      <x:c r="A14" s="24" t="str">
        <x:v>EEZ_197</x:v>
      </x:c>
      <x:c r="B14" s="24" t="str">
        <x:v>Cyprus (North)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36.9414904715</x:v>
      </x:c>
      <x:c r="J14" s="31" t="n">
        <x:v>36.9414904715</x:v>
      </x:c>
      <x:c r="K14" s="31" t="n">
        <x:v>0</x:v>
      </x:c>
      <x:c r="L14" s="31" t="n">
        <x:v>36.9414904715</x:v>
      </x:c>
      <x:c r="M14" s="31" t="n">
        <x:v>0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8270.169560876797</x:v>
      </x:c>
    </x:row>
    <x:row r="15" ht="18" customHeight="1">
      <x:c r="A15" s="24" t="str">
        <x:v>EEZ_197</x:v>
      </x:c>
      <x:c r="B15" s="24" t="str">
        <x:v>Cyprus (North)</x:v>
      </x:c>
      <x:c r="C15" s="24" t="str">
        <x:v>EEZ</x:v>
      </x:c>
      <x:c r="D15" s="30" t="n">
        <x:v>2019</x:v>
      </x:c>
      <x:c r="E15" s="24" t="str">
        <x:v>Lichia amia</x:v>
      </x:c>
      <x:c r="F15" s="24" t="str">
        <x:v>Leerfish</x:v>
      </x:c>
      <x:c r="G15" s="24" t="str">
        <x:v>Large pelagics (&gt;=90 cm)</x:v>
      </x:c>
      <x:c r="H15" s="24" t="str">
        <x:v>Perch-likes</x:v>
      </x:c>
      <x:c r="I15" s="31" t="n">
        <x:v>31.9574366121</x:v>
      </x:c>
      <x:c r="J15" s="31" t="n">
        <x:v>31.9574366121</x:v>
      </x:c>
      <x:c r="K15" s="31" t="n">
        <x:v>0</x:v>
      </x:c>
      <x:c r="L15" s="31" t="n">
        <x:v>0</x:v>
      </x:c>
      <x:c r="M15" s="31" t="n">
        <x:v>31.9574366121</x:v>
      </x:c>
      <x:c r="N15" s="24" t="str">
        <x:v>lichia amia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Lichia amia</x:v>
      </x:c>
      <x:c r="T15" s="32" t="n">
        <x:f>IF(O15="","",(1/'Metadata'!$B$5)^(O15-1))</x:f>
        <x:v>3162.2776601683795</x:v>
      </x:c>
      <x:c r="U15" s="31" t="n">
        <x:f>IF(T15="","",I15*T15)</x:f>
        <x:v>101058.2878746909</x:v>
      </x:c>
    </x:row>
    <x:row r="16" ht="18" customHeight="1">
      <x:c r="A16" s="24" t="str">
        <x:v>EEZ_197</x:v>
      </x:c>
      <x:c r="B16" s="24" t="str">
        <x:v>Cyprus (North)</x:v>
      </x:c>
      <x:c r="C16" s="24" t="str">
        <x:v>EEZ</x:v>
      </x:c>
      <x:c r="D16" s="30" t="n">
        <x:v>2019</x:v>
      </x:c>
      <x:c r="E16" s="24" t="str">
        <x:v>Mullus barbatus</x:v>
      </x:c>
      <x:c r="F16" s="24" t="str">
        <x:v>Red mullet</x:v>
      </x:c>
      <x:c r="G16" s="24" t="str">
        <x:v>Medium demersals (30 - 89 cm)</x:v>
      </x:c>
      <x:c r="H16" s="24" t="str">
        <x:v>Perch-likes</x:v>
      </x:c>
      <x:c r="I16" s="31" t="n">
        <x:v>14.123807291299999</x:v>
      </x:c>
      <x:c r="J16" s="31" t="n">
        <x:v>14.123807291299999</x:v>
      </x:c>
      <x:c r="K16" s="31" t="n">
        <x:v>0</x:v>
      </x:c>
      <x:c r="L16" s="31" t="n">
        <x:v>0</x:v>
      </x:c>
      <x:c r="M16" s="31" t="n">
        <x:v>14.123807291299999</x:v>
      </x:c>
      <x:c r="N16" s="24" t="str">
        <x:v>mullus barbatus</x:v>
      </x:c>
      <x:c r="O16" s="32" t="n">
        <x:v>3.14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Mullus barbatus</x:v>
      </x:c>
      <x:c r="T16" s="32" t="n">
        <x:f>IF(O16="","",(1/'Metadata'!$B$5)^(O16-1))</x:f>
        <x:v>138.03842646028852</x:v>
      </x:c>
      <x:c r="U16" s="31" t="n">
        <x:f>IF(T16="","",I16*T16)</x:f>
        <x:v>1949.6281341194017</x:v>
      </x:c>
    </x:row>
    <x:row r="17" ht="18" customHeight="1">
      <x:c r="A17" s="24" t="str">
        <x:v>EEZ_197</x:v>
      </x:c>
      <x:c r="B17" s="24" t="str">
        <x:v>Cyprus (North)</x:v>
      </x:c>
      <x:c r="C17" s="24" t="str">
        <x:v>EEZ</x:v>
      </x:c>
      <x:c r="D17" s="30" t="n">
        <x:v>2019</x:v>
      </x:c>
      <x:c r="E17" s="24" t="str">
        <x:v>Mullus surmuletus</x:v>
      </x:c>
      <x:c r="F17" s="24" t="str">
        <x:v>Surmullet</x:v>
      </x:c>
      <x:c r="G17" s="24" t="str">
        <x:v>Medium demersals (30 - 89 cm)</x:v>
      </x:c>
      <x:c r="H17" s="24" t="str">
        <x:v>Perch-likes</x:v>
      </x:c>
      <x:c r="I17" s="31" t="n">
        <x:v>13.037360576600001</x:v>
      </x:c>
      <x:c r="J17" s="31" t="n">
        <x:v>13.037360576600001</x:v>
      </x:c>
      <x:c r="K17" s="31" t="n">
        <x:v>0</x:v>
      </x:c>
      <x:c r="L17" s="31" t="n">
        <x:v>0</x:v>
      </x:c>
      <x:c r="M17" s="31" t="n">
        <x:v>13.037360576600001</x:v>
      </x:c>
      <x:c r="N17" s="24" t="str">
        <x:v>mullus surmuletus</x:v>
      </x:c>
      <x:c r="O17" s="32" t="n">
        <x:v>3.45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Mullus surmuletus</x:v>
      </x:c>
      <x:c r="T17" s="32" t="n">
        <x:f>IF(O17="","",(1/'Metadata'!$B$5)^(O17-1))</x:f>
        <x:v>281.8382931264455</x:v>
      </x:c>
      <x:c r="U17" s="31" t="n">
        <x:f>IF(T17="","",I17*T17)</x:f>
        <x:v>3674.4274517829554</x:v>
      </x:c>
    </x:row>
    <x:row r="18" ht="18" customHeight="1">
      <x:c r="A18" s="24" t="str">
        <x:v>EEZ_197</x:v>
      </x:c>
      <x:c r="B18" s="24" t="str">
        <x:v>Cyprus (North)</x:v>
      </x:c>
      <x:c r="C18" s="24" t="str">
        <x:v>EEZ</x:v>
      </x:c>
      <x:c r="D18" s="30" t="n">
        <x:v>2019</x:v>
      </x:c>
      <x:c r="E18" s="24" t="str">
        <x:v>Diplodus</x:v>
      </x:c>
      <x:c r="F18" s="24" t="str">
        <x:v>Two-toothed seabreams</x:v>
      </x:c>
      <x:c r="G18" s="24" t="str">
        <x:v>Medium benthopelagics (30 - 89 cm)</x:v>
      </x:c>
      <x:c r="H18" s="24" t="str">
        <x:v>Perch-likes</x:v>
      </x:c>
      <x:c r="I18" s="31" t="n">
        <x:v>10.8644671471</x:v>
      </x:c>
      <x:c r="J18" s="31" t="n">
        <x:v>10.8644671471</x:v>
      </x:c>
      <x:c r="K18" s="31" t="n">
        <x:v>0</x:v>
      </x:c>
      <x:c r="L18" s="31" t="n">
        <x:v>0</x:v>
      </x:c>
      <x:c r="M18" s="31" t="n">
        <x:v>10.8644671471</x:v>
      </x:c>
      <x:c r="N18" s="24" t="str">
        <x:v>diplodus</x:v>
      </x:c>
      <x:c r="O18" s="32" t="n">
        <x:v>2.97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Diplodus</x:v>
      </x:c>
      <x:c r="T18" s="32" t="n">
        <x:f>IF(O18="","",(1/'Metadata'!$B$5)^(O18-1))</x:f>
        <x:v>93.32543007969915</x:v>
      </x:c>
      <x:c r="U18" s="31" t="n">
        <x:f>IF(T18="","",I18*T18)</x:f>
        <x:v>1013.9310690898694</x:v>
      </x:c>
    </x:row>
    <x:row r="19" ht="18" customHeight="1">
      <x:c r="A19" s="24" t="str">
        <x:v>EEZ_197</x:v>
      </x:c>
      <x:c r="B19" s="24" t="str">
        <x:v>Cyprus (North)</x:v>
      </x:c>
      <x:c r="C19" s="24" t="str">
        <x:v>EEZ</x:v>
      </x:c>
      <x:c r="D19" s="30" t="n">
        <x:v>2019</x:v>
      </x:c>
      <x:c r="E19" s="24" t="str">
        <x:v>Boops boops</x:v>
      </x:c>
      <x:c r="F19" s="24" t="str">
        <x:v>Bogue</x:v>
      </x:c>
      <x:c r="G19" s="24" t="str">
        <x:v>Medium demersals (30 - 89 cm)</x:v>
      </x:c>
      <x:c r="H19" s="24" t="str">
        <x:v>Perch-likes</x:v>
      </x:c>
      <x:c r="I19" s="31" t="n">
        <x:v>7.605127003</x:v>
      </x:c>
      <x:c r="J19" s="31" t="n">
        <x:v>7.605127003</x:v>
      </x:c>
      <x:c r="K19" s="31" t="n">
        <x:v>0</x:v>
      </x:c>
      <x:c r="L19" s="31" t="n">
        <x:v>0</x:v>
      </x:c>
      <x:c r="M19" s="31" t="n">
        <x:v>7.605127003</x:v>
      </x:c>
      <x:c r="N19" s="24" t="str">
        <x:v>boops boops</x:v>
      </x:c>
      <x:c r="O19" s="32" t="n">
        <x:v>2.79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Boops boops</x:v>
      </x:c>
      <x:c r="T19" s="32" t="n">
        <x:f>IF(O19="","",(1/'Metadata'!$B$5)^(O19-1))</x:f>
        <x:v>61.65950018614822</x:v>
      </x:c>
      <x:c r="U19" s="31" t="n">
        <x:f>IF(T19="","",I19*T19)</x:f>
        <x:v>468.9283298571593</x:v>
      </x:c>
    </x:row>
    <x:row r="20" ht="18" customHeight="1">
      <x:c r="A20" s="24" t="str">
        <x:v>EEZ_197</x:v>
      </x:c>
      <x:c r="B20" s="24" t="str">
        <x:v>Cyprus (North)</x:v>
      </x:c>
      <x:c r="C20" s="24" t="str">
        <x:v>EEZ</x:v>
      </x:c>
      <x:c r="D20" s="30" t="n">
        <x:v>2019</x:v>
      </x:c>
      <x:c r="E20" s="24" t="str">
        <x:v>Pagellus erythrinus</x:v>
      </x:c>
      <x:c r="F20" s="24" t="str">
        <x:v>Common pandora</x:v>
      </x:c>
      <x:c r="G20" s="24" t="str">
        <x:v>Medium benthopelagics (30 - 89 cm)</x:v>
      </x:c>
      <x:c r="H20" s="24" t="str">
        <x:v>Perch-likes</x:v>
      </x:c>
      <x:c r="I20" s="31" t="n">
        <x:v>5.4322335736</x:v>
      </x:c>
      <x:c r="J20" s="31" t="n">
        <x:v>5.4322335736</x:v>
      </x:c>
      <x:c r="K20" s="31" t="n">
        <x:v>0</x:v>
      </x:c>
      <x:c r="L20" s="31" t="n">
        <x:v>0</x:v>
      </x:c>
      <x:c r="M20" s="31" t="n">
        <x:v>5.4322335736</x:v>
      </x:c>
      <x:c r="N20" s="24" t="str">
        <x:v>pagellus erythrinus</x:v>
      </x:c>
      <x:c r="O20" s="32" t="n">
        <x:v>3.48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Pagellus erythrinus</x:v>
      </x:c>
      <x:c r="T20" s="32" t="n">
        <x:f>IF(O20="","",(1/'Metadata'!$B$5)^(O20-1))</x:f>
        <x:v>301.9951720402016</x:v>
      </x:c>
      <x:c r="U20" s="31" t="n">
        <x:f>IF(T20="","",I20*T20)</x:f>
        <x:v>1640.508312621891</x:v>
      </x:c>
    </x:row>
    <x:row r="21" ht="18" customHeight="1">
      <x:c r="A21" s="24" t="str">
        <x:v>EEZ_197</x:v>
      </x:c>
      <x:c r="B21" s="24" t="str">
        <x:v>Cyprus (North)</x:v>
      </x:c>
      <x:c r="C21" s="24" t="str">
        <x:v>EEZ</x:v>
      </x:c>
      <x:c r="D21" s="30" t="n">
        <x:v>2019</x:v>
      </x:c>
      <x:c r="E21" s="24" t="str">
        <x:v>Sepia officinalis</x:v>
      </x:c>
      <x:c r="F21" s="24" t="str">
        <x:v>Common cuttlefish</x:v>
      </x:c>
      <x:c r="G21" s="24" t="str">
        <x:v>Cephalopods</x:v>
      </x:c>
      <x:c r="H21" s="24" t="str">
        <x:v>Other fishes &amp; inverts</x:v>
      </x:c>
      <x:c r="I21" s="31" t="n">
        <x:v>4.7081818856</x:v>
      </x:c>
      <x:c r="J21" s="31" t="n">
        <x:v>4.3457868589</x:v>
      </x:c>
      <x:c r="K21" s="31" t="n">
        <x:v>0.3623950267</x:v>
      </x:c>
      <x:c r="L21" s="31" t="n">
        <x:v>0</x:v>
      </x:c>
      <x:c r="M21" s="31" t="n">
        <x:v>4.7081818856</x:v>
      </x:c>
      <x:c r="N21" s="24" t="str">
        <x:v>sepia officinalis</x:v>
      </x:c>
      <x:c r="O21" s="32" t="n">
        <x:v>4.27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Sepia officinalis</x:v>
      </x:c>
      <x:c r="T21" s="32" t="n">
        <x:f>IF(O21="","",(1/'Metadata'!$B$5)^(O21-1))</x:f>
        <x:v>1862.0871366628655</x:v>
      </x:c>
      <x:c r="U21" s="31" t="n">
        <x:f>IF(T21="","",I21*T21)</x:f>
        <x:v>8767.044926244875</x:v>
      </x:c>
    </x:row>
    <x:row r="22" ht="18" customHeight="1">
      <x:c r="A22" s="24" t="str">
        <x:v>EEZ_197</x:v>
      </x:c>
      <x:c r="B22" s="24" t="str">
        <x:v>Cyprus (North)</x:v>
      </x:c>
      <x:c r="C22" s="24" t="str">
        <x:v>EEZ</x:v>
      </x:c>
      <x:c r="D22" s="30" t="n">
        <x:v>2019</x:v>
      </x:c>
      <x:c r="E22" s="24" t="str">
        <x:v>Dentex dentex</x:v>
      </x:c>
      <x:c r="F22" s="24" t="str">
        <x:v>Common dentex</x:v>
      </x:c>
      <x:c r="G22" s="24" t="str">
        <x:v>Large benthopelagics (&gt;=90 cm)</x:v>
      </x:c>
      <x:c r="H22" s="24" t="str">
        <x:v>Perch-likes</x:v>
      </x:c>
      <x:c r="I22" s="31" t="n">
        <x:v>4.3457868589</x:v>
      </x:c>
      <x:c r="J22" s="31" t="n">
        <x:v>4.3457868589</x:v>
      </x:c>
      <x:c r="K22" s="31" t="n">
        <x:v>0</x:v>
      </x:c>
      <x:c r="L22" s="31" t="n">
        <x:v>0</x:v>
      </x:c>
      <x:c r="M22" s="31" t="n">
        <x:v>4.3457868589</x:v>
      </x:c>
      <x:c r="N22" s="24" t="str">
        <x:v>dentex dentex</x:v>
      </x:c>
      <x:c r="O22" s="32" t="n">
        <x:v>4.53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Dentex dentex</x:v>
      </x:c>
      <x:c r="T22" s="32" t="n">
        <x:f>IF(O22="","",(1/'Metadata'!$B$5)^(O22-1))</x:f>
        <x:v>3388.4415613920273</x:v>
      </x:c>
      <x:c r="U22" s="31" t="n">
        <x:f>IF(T22="","",I22*T22)</x:f>
        <x:v>14725.444809648072</x:v>
      </x:c>
    </x:row>
    <x:row r="23" ht="18" customHeight="1">
      <x:c r="A23" s="24" t="str">
        <x:v>EEZ_197</x:v>
      </x:c>
      <x:c r="B23" s="24" t="str">
        <x:v>Cyprus (North)</x:v>
      </x:c>
      <x:c r="C23" s="24" t="str">
        <x:v>EEZ</x:v>
      </x:c>
      <x:c r="D23" s="30" t="n">
        <x:v>2019</x:v>
      </x:c>
      <x:c r="E23" s="24" t="str">
        <x:v>Loligo</x:v>
      </x:c>
      <x:c r="F23" s="24" t="str">
        <x:v>Common squids</x:v>
      </x:c>
      <x:c r="G23" s="24" t="str">
        <x:v>Cephalopods</x:v>
      </x:c>
      <x:c r="H23" s="24" t="str">
        <x:v>Other fishes &amp; inverts</x:v>
      </x:c>
      <x:c r="I23" s="31" t="n">
        <x:v>4.164958528200001</x:v>
      </x:c>
      <x:c r="J23" s="31" t="n">
        <x:v>3.8025635015000003</x:v>
      </x:c>
      <x:c r="K23" s="31" t="n">
        <x:v>0.3623950267</x:v>
      </x:c>
      <x:c r="L23" s="31" t="n">
        <x:v>0</x:v>
      </x:c>
      <x:c r="M23" s="31" t="n">
        <x:v>4.164958528200001</x:v>
      </x:c>
      <x:c r="N23" s="24" t="str">
        <x:v>loligo</x:v>
      </x:c>
      <x:c r="O23" s="32" t="n">
        <x:v>3.99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Loligo</x:v>
      </x:c>
      <x:c r="T23" s="32" t="n">
        <x:f>IF(O23="","",(1/'Metadata'!$B$5)^(O23-1))</x:f>
        <x:v>977.2372209558112</x:v>
      </x:c>
      <x:c r="U23" s="31" t="n">
        <x:f>IF(T23="","",I23*T23)</x:f>
        <x:v>4070.152497494374</x:v>
      </x:c>
    </x:row>
    <x:row r="24" ht="18" customHeight="1">
      <x:c r="A24" s="24" t="str">
        <x:v>EEZ_197</x:v>
      </x:c>
      <x:c r="B24" s="24" t="str">
        <x:v>Cyprus (North)</x:v>
      </x:c>
      <x:c r="C24" s="24" t="str">
        <x:v>EEZ</x:v>
      </x:c>
      <x:c r="D24" s="30" t="n">
        <x:v>2019</x:v>
      </x:c>
      <x:c r="E24" s="24" t="str">
        <x:v>Octopoda</x:v>
      </x:c>
      <x:c r="F24" s="24" t="str">
        <x:v>Octopuses, argonauts</x:v>
      </x:c>
      <x:c r="G24" s="24" t="str">
        <x:v>Cephalopods</x:v>
      </x:c>
      <x:c r="H24" s="24" t="str">
        <x:v>Other fishes &amp; inverts</x:v>
      </x:c>
      <x:c r="I24" s="31" t="n">
        <x:v>3.6939188300000003</x:v>
      </x:c>
      <x:c r="J24" s="31" t="n">
        <x:v>3.6939188300000003</x:v>
      </x:c>
      <x:c r="K24" s="31" t="n">
        <x:v>0</x:v>
      </x:c>
      <x:c r="L24" s="31" t="n">
        <x:v>0</x:v>
      </x:c>
      <x:c r="M24" s="31" t="n">
        <x:v>3.6939188300000003</x:v>
      </x:c>
      <x:c r="N24" s="24" t="str">
        <x:v>octopoda</x:v>
      </x:c>
      <x:c r="O24" s="32" t="n">
        <x:v>3.58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Octopoda</x:v>
      </x:c>
      <x:c r="T24" s="32" t="n">
        <x:f>IF(O24="","",(1/'Metadata'!$B$5)^(O24-1))</x:f>
        <x:v>380.1893963205613</x:v>
      </x:c>
      <x:c r="U24" s="31" t="n">
        <x:f>IF(T24="","",I24*T24)</x:f>
        <x:v>1404.3887700348541</x:v>
      </x:c>
    </x:row>
    <x:row r="25" ht="18" customHeight="1">
      <x:c r="A25" s="24" t="str">
        <x:v>EEZ_197</x:v>
      </x:c>
      <x:c r="B25" s="24" t="str">
        <x:v>Cyprus (North)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2.7129793592</x:v>
      </x:c>
      <x:c r="J25" s="31" t="n">
        <x:v>2.7129793592</x:v>
      </x:c>
      <x:c r="K25" s="31" t="n">
        <x:v>0</x:v>
      </x:c>
      <x:c r="L25" s="31" t="n">
        <x:v>0.8464921955</x:v>
      </x:c>
      <x:c r="M25" s="31" t="n">
        <x:v>1.8664871637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9192.77201591199</x:v>
      </x:c>
    </x:row>
    <x:row r="26" ht="18" customHeight="1">
      <x:c r="A26" s="24" t="str">
        <x:v>EEZ_197</x:v>
      </x:c>
      <x:c r="B26" s="24" t="str">
        <x:v>Cyprus (North)</x:v>
      </x:c>
      <x:c r="C26" s="24" t="str">
        <x:v>EEZ</x:v>
      </x:c>
      <x:c r="D26" s="30" t="n">
        <x:v>2019</x:v>
      </x:c>
      <x:c r="E26" s="24" t="str">
        <x:v>Sardinella maderensis</x:v>
      </x:c>
      <x:c r="F26" s="24" t="str">
        <x:v>Madeiran sardinella</x:v>
      </x:c>
      <x:c r="G26" s="24" t="str">
        <x:v>Medium pelagics (30 - 89 cm)</x:v>
      </x:c>
      <x:c r="H26" s="24" t="str">
        <x:v>Herring-likes</x:v>
      </x:c>
      <x:c r="I26" s="31" t="n">
        <x:v>1.6509106772</x:v>
      </x:c>
      <x:c r="J26" s="31" t="n">
        <x:v>0</x:v>
      </x:c>
      <x:c r="K26" s="31" t="n">
        <x:v>1.6509106772</x:v>
      </x:c>
      <x:c r="L26" s="31" t="n">
        <x:v>0</x:v>
      </x:c>
      <x:c r="M26" s="31" t="n">
        <x:v>1.6509106772</x:v>
      </x:c>
      <x:c r="N26" s="24" t="str">
        <x:v>sardinella maderensis</x:v>
      </x:c>
      <x:c r="O26" s="32" t="n">
        <x:v>3.2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Sardinella maderensis</x:v>
      </x:c>
      <x:c r="T26" s="32" t="n">
        <x:f>IF(O26="","",(1/'Metadata'!$B$5)^(O26-1))</x:f>
        <x:v>158.48931924611142</x:v>
      </x:c>
      <x:c r="U26" s="31" t="n">
        <x:f>IF(T26="","",I26*T26)</x:f>
        <x:v>261.6517093655648</x:v>
      </x:c>
    </x:row>
    <x:row r="27" ht="18" customHeight="1">
      <x:c r="A27" s="24" t="str">
        <x:v>EEZ_197</x:v>
      </x:c>
      <x:c r="B27" s="24" t="str">
        <x:v>Cyprus (North)</x:v>
      </x:c>
      <x:c r="C27" s="24" t="str">
        <x:v>EEZ</x:v>
      </x:c>
      <x:c r="D27" s="30" t="n">
        <x:v>2019</x:v>
      </x:c>
      <x:c r="E27" s="24" t="str">
        <x:v>Spicara maena</x:v>
      </x:c>
      <x:c r="F27" s="24" t="str">
        <x:v>Blotched picarel</x:v>
      </x:c>
      <x:c r="G27" s="24" t="str">
        <x:v>Small demersals (&lt;30 cm)</x:v>
      </x:c>
      <x:c r="H27" s="24" t="str">
        <x:v>Perch-likes</x:v>
      </x:c>
      <x:c r="I27" s="31" t="n">
        <x:v>1.4093139928</x:v>
      </x:c>
      <x:c r="J27" s="31" t="n">
        <x:v>0</x:v>
      </x:c>
      <x:c r="K27" s="31" t="n">
        <x:v>1.4093139928</x:v>
      </x:c>
      <x:c r="L27" s="31" t="n">
        <x:v>0</x:v>
      </x:c>
      <x:c r="M27" s="31" t="n">
        <x:v>1.4093139928</x:v>
      </x:c>
      <x:c r="N27" s="24" t="str">
        <x:v>spicara maena</x:v>
      </x:c>
      <x:c r="O27" s="32" t="n">
        <x:v>4.15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Spicara maena</x:v>
      </x:c>
      <x:c r="T27" s="32" t="n">
        <x:f>IF(O27="","",(1/'Metadata'!$B$5)^(O27-1))</x:f>
        <x:v>1412.5375446227554</x:v>
      </x:c>
      <x:c r="U27" s="31" t="n">
        <x:f>IF(T27="","",I27*T27)</x:f>
        <x:v>1990.7089269922035</x:v>
      </x:c>
    </x:row>
    <x:row r="28" ht="18" customHeight="1">
      <x:c r="A28" s="24" t="str">
        <x:v>EEZ_197</x:v>
      </x:c>
      <x:c r="B28" s="24" t="str">
        <x:v>Cyprus (North)</x:v>
      </x:c>
      <x:c r="C28" s="24" t="str">
        <x:v>EEZ</x:v>
      </x:c>
      <x:c r="D28" s="30" t="n">
        <x:v>2019</x:v>
      </x:c>
      <x:c r="E28" s="24" t="str">
        <x:v>Muraena helena</x:v>
      </x:c>
      <x:c r="F28" s="24" t="str">
        <x:v>Mediterranean moray</x:v>
      </x:c>
      <x:c r="G28" s="24" t="str">
        <x:v>Large reef assoc. fish (&gt;=90 cm)</x:v>
      </x:c>
      <x:c r="H28" s="24" t="str">
        <x:v>Other fishes &amp; inverts</x:v>
      </x:c>
      <x:c r="I28" s="31" t="n">
        <x:v>1.4093139927</x:v>
      </x:c>
      <x:c r="J28" s="31" t="n">
        <x:v>0</x:v>
      </x:c>
      <x:c r="K28" s="31" t="n">
        <x:v>1.4093139927</x:v>
      </x:c>
      <x:c r="L28" s="31" t="n">
        <x:v>0</x:v>
      </x:c>
      <x:c r="M28" s="31" t="n">
        <x:v>1.4093139927</x:v>
      </x:c>
      <x:c r="N28" s="24" t="str">
        <x:v>muraena helena</x:v>
      </x:c>
      <x:c r="O28" s="32" t="n">
        <x:v>4.18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Muraena helena</x:v>
      </x:c>
      <x:c r="T28" s="32" t="n">
        <x:f>IF(O28="","",(1/'Metadata'!$B$5)^(O28-1))</x:f>
        <x:v>1513.5612484362073</x:v>
      </x:c>
      <x:c r="U28" s="31" t="n">
        <x:f>IF(T28="","",I28*T28)</x:f>
        <x:v>2133.083046229628</x:v>
      </x:c>
    </x:row>
    <x:row r="29" ht="18" customHeight="1">
      <x:c r="A29" s="24" t="str">
        <x:v>EEZ_197</x:v>
      </x:c>
      <x:c r="B29" s="24" t="str">
        <x:v>Cyprus (North)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1.4093139927</x:v>
      </x:c>
      <x:c r="J29" s="31" t="n">
        <x:v>0</x:v>
      </x:c>
      <x:c r="K29" s="31" t="n">
        <x:v>1.4093139927</x:v>
      </x:c>
      <x:c r="L29" s="31" t="n">
        <x:v>0</x:v>
      </x:c>
      <x:c r="M29" s="31" t="n">
        <x:v>1.4093139927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1581.276307715382</x:v>
      </x:c>
    </x:row>
    <x:row r="30" ht="18" customHeight="1">
      <x:c r="A30" s="24" t="str">
        <x:v>EEZ_197</x:v>
      </x:c>
      <x:c r="B30" s="24" t="str">
        <x:v>Cyprus (North)</x:v>
      </x:c>
      <x:c r="C30" s="24" t="str">
        <x:v>EEZ</x:v>
      </x:c>
      <x:c r="D30" s="30" t="n">
        <x:v>2019</x:v>
      </x:c>
      <x:c r="E30" s="24" t="str">
        <x:v>Diplodus annularis</x:v>
      </x:c>
      <x:c r="F30" s="24" t="str">
        <x:v>Annular seabream</x:v>
      </x:c>
      <x:c r="G30" s="24" t="str">
        <x:v>Small benthopelagics (&lt;30 cm)</x:v>
      </x:c>
      <x:c r="H30" s="24" t="str">
        <x:v>Perch-likes</x:v>
      </x:c>
      <x:c r="I30" s="31" t="n">
        <x:v>1.4093139927</x:v>
      </x:c>
      <x:c r="J30" s="31" t="n">
        <x:v>0</x:v>
      </x:c>
      <x:c r="K30" s="31" t="n">
        <x:v>1.4093139927</x:v>
      </x:c>
      <x:c r="L30" s="31" t="n">
        <x:v>0</x:v>
      </x:c>
      <x:c r="M30" s="31" t="n">
        <x:v>1.4093139927</x:v>
      </x:c>
      <x:c r="N30" s="24" t="str">
        <x:v>diplodus annularis</x:v>
      </x:c>
      <x:c r="O30" s="32" t="n">
        <x:v>3.64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Diplodus annularis</x:v>
      </x:c>
      <x:c r="T30" s="32" t="n">
        <x:f>IF(O30="","",(1/'Metadata'!$B$5)^(O30-1))</x:f>
        <x:v>436.5158322401661</x:v>
      </x:c>
      <x:c r="U30" s="31" t="n">
        <x:f>IF(T30="","",I30*T30)</x:f>
        <x:v>615.1878704111518</x:v>
      </x:c>
    </x:row>
    <x:row r="31" ht="18" customHeight="1">
      <x:c r="A31" s="24" t="str">
        <x:v>EEZ_197</x:v>
      </x:c>
      <x:c r="B31" s="24" t="str">
        <x:v>Cyprus (North)</x:v>
      </x:c>
      <x:c r="C31" s="24" t="str">
        <x:v>EEZ</x:v>
      </x:c>
      <x:c r="D31" s="30" t="n">
        <x:v>2019</x:v>
      </x:c>
      <x:c r="E31" s="24" t="str">
        <x:v>Batoidea</x:v>
      </x:c>
      <x:c r="F31" s="24" t="str">
        <x:v>Batoids, skates, rays, sawfishes</x:v>
      </x:c>
      <x:c r="G31" s="24" t="str">
        <x:v>Large rays (&gt;=90 cm)</x:v>
      </x:c>
      <x:c r="H31" s="24" t="str">
        <x:v>Sharks &amp; rays</x:v>
      </x:c>
      <x:c r="I31" s="31" t="n">
        <x:v>1.4093139926</x:v>
      </x:c>
      <x:c r="J31" s="31" t="n">
        <x:v>0</x:v>
      </x:c>
      <x:c r="K31" s="31" t="n">
        <x:v>1.4093139926</x:v>
      </x:c>
      <x:c r="L31" s="31" t="n">
        <x:v>0</x:v>
      </x:c>
      <x:c r="M31" s="31" t="n">
        <x:v>1.4093139926</x:v>
      </x:c>
      <x:c r="N31" s="24" t="str">
        <x:v>batoidea</x:v>
      </x:c>
      <x:c r="O31" s="32" t="n">
        <x:v>3.72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Batoidea</x:v>
      </x:c>
      <x:c r="T31" s="32" t="n">
        <x:f>IF(O31="","",(1/'Metadata'!$B$5)^(O31-1))</x:f>
        <x:v>524.8074602497728</x:v>
      </x:c>
      <x:c r="U31" s="31" t="n">
        <x:f>IF(T31="","",I31*T31)</x:f>
        <x:v>739.6184971508732</x:v>
      </x:c>
    </x:row>
    <x:row r="32" ht="18" customHeight="1">
      <x:c r="A32" s="24" t="str">
        <x:v>EEZ_197</x:v>
      </x:c>
      <x:c r="B32" s="24" t="str">
        <x:v>Cyprus (North)</x:v>
      </x:c>
      <x:c r="C32" s="24" t="str">
        <x:v>EEZ</x:v>
      </x:c>
      <x:c r="D32" s="30" t="n">
        <x:v>2019</x:v>
      </x:c>
      <x:c r="E32" s="24" t="str">
        <x:v>Serranus scriba</x:v>
      </x:c>
      <x:c r="F32" s="24" t="str">
        <x:v>Painted comber</x:v>
      </x:c>
      <x:c r="G32" s="24" t="str">
        <x:v>Medium demersals (30 - 89 cm)</x:v>
      </x:c>
      <x:c r="H32" s="24" t="str">
        <x:v>Perch-likes</x:v>
      </x:c>
      <x:c r="I32" s="31" t="n">
        <x:v>1.1677173082</x:v>
      </x:c>
      <x:c r="J32" s="31" t="n">
        <x:v>0</x:v>
      </x:c>
      <x:c r="K32" s="31" t="n">
        <x:v>1.1677173082</x:v>
      </x:c>
      <x:c r="L32" s="31" t="n">
        <x:v>0</x:v>
      </x:c>
      <x:c r="M32" s="31" t="n">
        <x:v>1.1677173082</x:v>
      </x:c>
      <x:c r="N32" s="24" t="str">
        <x:v>serranus scriba</x:v>
      </x:c>
      <x:c r="O32" s="32" t="n">
        <x:v>3.82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Serranus scriba</x:v>
      </x:c>
      <x:c r="T32" s="32" t="n">
        <x:f>IF(O32="","",(1/'Metadata'!$B$5)^(O32-1))</x:f>
        <x:v>660.6934480075957</x:v>
      </x:c>
      <x:c r="U32" s="31" t="n">
        <x:f>IF(T32="","",I32*T32)</x:f>
        <x:v>771.5031746528064</x:v>
      </x:c>
    </x:row>
    <x:row r="33" ht="18" customHeight="1">
      <x:c r="A33" s="24" t="str">
        <x:v>EEZ_197</x:v>
      </x:c>
      <x:c r="B33" s="24" t="str">
        <x:v>Cyprus (North)</x:v>
      </x:c>
      <x:c r="C33" s="24" t="str">
        <x:v>EEZ</x:v>
      </x:c>
      <x:c r="D33" s="30" t="n">
        <x:v>2019</x:v>
      </x:c>
      <x:c r="E33" s="24" t="str">
        <x:v>Serranus cabrilla</x:v>
      </x:c>
      <x:c r="F33" s="24" t="str">
        <x:v>Comber</x:v>
      </x:c>
      <x:c r="G33" s="24" t="str">
        <x:v>Medium bathydemersals (30 - 89 cm)</x:v>
      </x:c>
      <x:c r="H33" s="24" t="str">
        <x:v>Perch-likes</x:v>
      </x:c>
      <x:c r="I33" s="31" t="n">
        <x:v>1.1677173082</x:v>
      </x:c>
      <x:c r="J33" s="31" t="n">
        <x:v>0</x:v>
      </x:c>
      <x:c r="K33" s="31" t="n">
        <x:v>1.1677173082</x:v>
      </x:c>
      <x:c r="L33" s="31" t="n">
        <x:v>0</x:v>
      </x:c>
      <x:c r="M33" s="31" t="n">
        <x:v>1.1677173082</x:v>
      </x:c>
      <x:c r="N33" s="24" t="str">
        <x:v>serranus cabrilla</x:v>
      </x:c>
      <x:c r="O33" s="32" t="n">
        <x:v>3.35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Serranus cabrilla</x:v>
      </x:c>
      <x:c r="T33" s="32" t="n">
        <x:f>IF(O33="","",(1/'Metadata'!$B$5)^(O33-1))</x:f>
        <x:v>223.872113856834</x:v>
      </x:c>
      <x:c r="U33" s="31" t="n">
        <x:f>IF(T33="","",I33*T33)</x:f>
        <x:v>261.4193421739461</x:v>
      </x:c>
    </x:row>
    <x:row r="34" ht="18" customHeight="1">
      <x:c r="A34" s="24" t="str">
        <x:v>EEZ_197</x:v>
      </x:c>
      <x:c r="B34" s="24" t="str">
        <x:v>Cyprus (North)</x:v>
      </x:c>
      <x:c r="C34" s="24" t="str">
        <x:v>EEZ</x:v>
      </x:c>
      <x:c r="D34" s="30" t="n">
        <x:v>2019</x:v>
      </x:c>
      <x:c r="E34" s="24" t="str">
        <x:v>Trachurus mediterraneus</x:v>
      </x:c>
      <x:c r="F34" s="24" t="str">
        <x:v>Mediterranean horse mackerel</x:v>
      </x:c>
      <x:c r="G34" s="24" t="str">
        <x:v>Medium pelagics (30 - 89 cm)</x:v>
      </x:c>
      <x:c r="H34" s="24" t="str">
        <x:v>Perch-likes</x:v>
      </x:c>
      <x:c r="I34" s="31" t="n">
        <x:v>0.6518680288</x:v>
      </x:c>
      <x:c r="J34" s="31" t="n">
        <x:v>0.6518680288</x:v>
      </x:c>
      <x:c r="K34" s="31" t="n">
        <x:v>0</x:v>
      </x:c>
      <x:c r="L34" s="31" t="n">
        <x:v>0</x:v>
      </x:c>
      <x:c r="M34" s="31" t="n">
        <x:v>0.6518680288</x:v>
      </x:c>
      <x:c r="N34" s="24" t="str">
        <x:v>trachurus mediterraneus</x:v>
      </x:c>
      <x:c r="O34" s="32" t="n">
        <x:v>3.77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Trachurus mediterraneus</x:v>
      </x:c>
      <x:c r="T34" s="32" t="n">
        <x:f>IF(O34="","",(1/'Metadata'!$B$5)^(O34-1))</x:f>
        <x:v>588.843655355589</x:v>
      </x:c>
      <x:c r="U34" s="31" t="n">
        <x:f>IF(T34="","",I34*T34)</x:f>
        <x:v>383.8483528880344</x:v>
      </x:c>
    </x:row>
    <x:row r="35" ht="18" customHeight="1">
      <x:c r="A35" s="24" t="str">
        <x:v>EEZ_197</x:v>
      </x:c>
      <x:c r="B35" s="24" t="str">
        <x:v>Cyprus (North)</x:v>
      </x:c>
      <x:c r="C35" s="24" t="str">
        <x:v>EEZ</x:v>
      </x:c>
      <x:c r="D35" s="30" t="n">
        <x:v>2019</x:v>
      </x:c>
      <x:c r="E35" s="24" t="str">
        <x:v>Illex coindetii</x:v>
      </x:c>
      <x:c r="F35" s="24" t="str">
        <x:v>Broadtail shortfin squid</x:v>
      </x:c>
      <x:c r="G35" s="24" t="str">
        <x:v>Cephalopods</x:v>
      </x:c>
      <x:c r="H35" s="24" t="str">
        <x:v>Other fishes &amp; inverts</x:v>
      </x:c>
      <x:c r="I35" s="31" t="n">
        <x:v>0.3623950267</x:v>
      </x:c>
      <x:c r="J35" s="31" t="n">
        <x:v>0</x:v>
      </x:c>
      <x:c r="K35" s="31" t="n">
        <x:v>0.3623950267</x:v>
      </x:c>
      <x:c r="L35" s="31" t="n">
        <x:v>0</x:v>
      </x:c>
      <x:c r="M35" s="31" t="n">
        <x:v>0.3623950267</x:v>
      </x:c>
      <x:c r="N35" s="24" t="str">
        <x:v>illex coindetii</x:v>
      </x:c>
      <x:c r="O35" s="32" t="n">
        <x:v>4.11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Illex coindetii</x:v>
      </x:c>
      <x:c r="T35" s="32" t="n">
        <x:f>IF(O35="","",(1/'Metadata'!$B$5)^(O35-1))</x:f>
        <x:v>1288.249551693135</x:v>
      </x:c>
      <x:c r="U35" s="31" t="n">
        <x:f>IF(T35="","",I35*T35)</x:f>
        <x:v>466.85523068209665</x:v>
      </x:c>
    </x:row>
    <x:row r="36" ht="18" customHeight="1">
      <x:c r="A36" s="24" t="str">
        <x:v>EEZ_197</x:v>
      </x:c>
      <x:c r="B36" s="24" t="str">
        <x:v>Cyprus (North)</x:v>
      </x:c>
      <x:c r="C36" s="24" t="str">
        <x:v>EEZ</x:v>
      </x:c>
      <x:c r="D36" s="30" t="n">
        <x:v>2019</x:v>
      </x:c>
      <x:c r="E36" s="24" t="str">
        <x:v>Octopus vulgaris</x:v>
      </x:c>
      <x:c r="F36" s="24" t="str">
        <x:v>Common octopus</x:v>
      </x:c>
      <x:c r="G36" s="24" t="str">
        <x:v>Cephalopods</x:v>
      </x:c>
      <x:c r="H36" s="24" t="str">
        <x:v>Other fishes &amp; inverts</x:v>
      </x:c>
      <x:c r="I36" s="31" t="n">
        <x:v>0.3623950267</x:v>
      </x:c>
      <x:c r="J36" s="31" t="n">
        <x:v>0</x:v>
      </x:c>
      <x:c r="K36" s="31" t="n">
        <x:v>0.3623950267</x:v>
      </x:c>
      <x:c r="L36" s="31" t="n">
        <x:v>0</x:v>
      </x:c>
      <x:c r="M36" s="31" t="n">
        <x:v>0.3623950267</x:v>
      </x:c>
      <x:c r="N36" s="24" t="str">
        <x:v>octopus vulgaris</x:v>
      </x:c>
      <x:c r="O36" s="32" t="n">
        <x:v>3.6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Octopus vulgaris</x:v>
      </x:c>
      <x:c r="T36" s="32" t="n">
        <x:f>IF(O36="","",(1/'Metadata'!$B$5)^(O36-1))</x:f>
        <x:v>398.1071705534973</x:v>
      </x:c>
      <x:c r="U36" s="31" t="n">
        <x:f>IF(T36="","",I36*T36)</x:f>
        <x:v>144.27205870219612</x:v>
      </x:c>
    </x:row>
    <x:row r="37" ht="18" customHeight="1">
      <x:c r="A37" s="24" t="str">
        <x:v>EEZ_197</x:v>
      </x:c>
      <x:c r="B37" s="24" t="str">
        <x:v>Cyprus (North)</x:v>
      </x:c>
      <x:c r="C37" s="24" t="str">
        <x:v>EEZ</x:v>
      </x:c>
      <x:c r="D37" s="30" t="n">
        <x:v>2019</x:v>
      </x:c>
      <x:c r="E37" s="24" t="str">
        <x:v>Anguilla anguilla</x:v>
      </x:c>
      <x:c r="F37" s="24" t="str">
        <x:v>European eel</x:v>
      </x:c>
      <x:c r="G37" s="24" t="str">
        <x:v>Large demersals (&gt;=90 cm)</x:v>
      </x:c>
      <x:c r="H37" s="24" t="str">
        <x:v>Other fishes &amp; inverts</x:v>
      </x:c>
      <x:c r="I37" s="31" t="n">
        <x:v>0.3623950267</x:v>
      </x:c>
      <x:c r="J37" s="31" t="n">
        <x:v>0</x:v>
      </x:c>
      <x:c r="K37" s="31" t="n">
        <x:v>0.3623950267</x:v>
      </x:c>
      <x:c r="L37" s="31" t="n">
        <x:v>0</x:v>
      </x:c>
      <x:c r="M37" s="31" t="n">
        <x:v>0.3623950267</x:v>
      </x:c>
      <x:c r="N37" s="24" t="str">
        <x:v>anguilla anguilla</x:v>
      </x:c>
      <x:c r="O37" s="32" t="n">
        <x:v>3.55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Anguilla anguilla</x:v>
      </x:c>
      <x:c r="T37" s="32" t="n">
        <x:f>IF(O37="","",(1/'Metadata'!$B$5)^(O37-1))</x:f>
        <x:v>354.8133892335753</x:v>
      </x:c>
      <x:c r="U37" s="31" t="n">
        <x:f>IF(T37="","",I37*T37)</x:f>
        <x:v>128.58260766481902</x:v>
      </x:c>
    </x:row>
    <x:row r="38" ht="18" customHeight="1">
      <x:c r="A38" s="24" t="str">
        <x:v>EEZ_197</x:v>
      </x:c>
      <x:c r="B38" s="24" t="str">
        <x:v>Cyprus (North)</x:v>
      </x:c>
      <x:c r="C38" s="24" t="str">
        <x:v>EEZ</x:v>
      </x:c>
      <x:c r="D38" s="30" t="n">
        <x:v>2019</x:v>
      </x:c>
      <x:c r="E38" s="24" t="str">
        <x:v>Eledone</x:v>
      </x:c>
      <x:c r="F38" s="24" t="str">
        <x:v>Horned, musky octopuses</x:v>
      </x:c>
      <x:c r="G38" s="24" t="str">
        <x:v>Cephalopods</x:v>
      </x:c>
      <x:c r="H38" s="24" t="str">
        <x:v>Other fishes &amp; inverts</x:v>
      </x:c>
      <x:c r="I38" s="31" t="n">
        <x:v>0.3623950267</x:v>
      </x:c>
      <x:c r="J38" s="31" t="n">
        <x:v>0</x:v>
      </x:c>
      <x:c r="K38" s="31" t="n">
        <x:v>0.3623950267</x:v>
      </x:c>
      <x:c r="L38" s="31" t="n">
        <x:v>0</x:v>
      </x:c>
      <x:c r="M38" s="31" t="n">
        <x:v>0.3623950267</x:v>
      </x:c>
      <x:c r="N38" s="24" t="str">
        <x:v>eledone</x:v>
      </x:c>
      <x:c r="O38" s="32" t="n">
        <x:v>3.67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Eledone</x:v>
      </x:c>
      <x:c r="T38" s="32" t="n">
        <x:f>IF(O38="","",(1/'Metadata'!$B$5)^(O38-1))</x:f>
        <x:v>467.73514128719813</x:v>
      </x:c>
      <x:c r="U38" s="31" t="n">
        <x:f>IF(T38="","",I38*T38)</x:f>
        <x:v>169.50488901530244</x:v>
      </x:c>
    </x:row>
    <x:row r="39" ht="18" customHeight="1">
      <x:c r="A39" s="24" t="str">
        <x:v>EEZ_197</x:v>
      </x:c>
      <x:c r="B39" s="24" t="str">
        <x:v>Cyprus (North)</x:v>
      </x:c>
      <x:c r="C39" s="24" t="str">
        <x:v>EEZ</x:v>
      </x:c>
      <x:c r="D39" s="30" t="n">
        <x:v>2019</x:v>
      </x:c>
      <x:c r="E39" s="24" t="str">
        <x:v>Thalassoma pavo</x:v>
      </x:c>
      <x:c r="F39" s="24" t="str">
        <x:v>Ornate wrasse</x:v>
      </x:c>
      <x:c r="G39" s="24" t="str">
        <x:v>Small reef assoc. fish (&lt;30 cm)</x:v>
      </x:c>
      <x:c r="H39" s="24" t="str">
        <x:v>Perch-likes</x:v>
      </x:c>
      <x:c r="I39" s="31" t="n">
        <x:v>0.28186279849999996</x:v>
      </x:c>
      <x:c r="J39" s="31" t="n">
        <x:v>0</x:v>
      </x:c>
      <x:c r="K39" s="31" t="n">
        <x:v>0.28186279849999996</x:v>
      </x:c>
      <x:c r="L39" s="31" t="n">
        <x:v>0</x:v>
      </x:c>
      <x:c r="M39" s="31" t="n">
        <x:v>0.28186279849999996</x:v>
      </x:c>
      <x:c r="N39" s="24" t="str">
        <x:v>thalassoma pavo</x:v>
      </x:c>
      <x:c r="O39" s="32" t="n">
        <x:v>3.5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Thalassoma pavo</x:v>
      </x:c>
      <x:c r="T39" s="32" t="n">
        <x:f>IF(O39="","",(1/'Metadata'!$B$5)^(O39-1))</x:f>
        <x:v>316.22776601683796</x:v>
      </x:c>
      <x:c r="U39" s="31" t="n">
        <x:f>IF(T39="","",I39*T39)</x:f>
        <x:v>89.13284309290913</x:v>
      </x:c>
    </x:row>
    <x:row r="40" ht="18" customHeight="1">
      <x:c r="A40" s="24" t="str">
        <x:v>EEZ_197</x:v>
      </x:c>
      <x:c r="B40" s="24" t="str">
        <x:v>Cyprus (North)</x:v>
      </x:c>
      <x:c r="C40" s="24" t="str">
        <x:v>EEZ</x:v>
      </x:c>
      <x:c r="D40" s="30" t="n">
        <x:v>2019</x:v>
      </x:c>
      <x:c r="E40" s="24" t="str">
        <x:v>Coris julis</x:v>
      </x:c>
      <x:c r="F40" s="24" t="str">
        <x:v>Rainbow wrasse</x:v>
      </x:c>
      <x:c r="G40" s="24" t="str">
        <x:v>Medium reef assoc. fish (30 - 89 cm)</x:v>
      </x:c>
      <x:c r="H40" s="24" t="str">
        <x:v>Perch-likes</x:v>
      </x:c>
      <x:c r="I40" s="31" t="n">
        <x:v>0.28186279849999996</x:v>
      </x:c>
      <x:c r="J40" s="31" t="n">
        <x:v>0</x:v>
      </x:c>
      <x:c r="K40" s="31" t="n">
        <x:v>0.28186279849999996</x:v>
      </x:c>
      <x:c r="L40" s="31" t="n">
        <x:v>0</x:v>
      </x:c>
      <x:c r="M40" s="31" t="n">
        <x:v>0.28186279849999996</x:v>
      </x:c>
      <x:c r="N40" s="24" t="str">
        <x:v>coris julis</x:v>
      </x:c>
      <x:c r="O40" s="32" t="n">
        <x:v>3.44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Coris julis</x:v>
      </x:c>
      <x:c r="T40" s="32" t="n">
        <x:f>IF(O40="","",(1/'Metadata'!$B$5)^(O40-1))</x:f>
        <x:v>275.4228703338166</x:v>
      </x:c>
      <x:c r="U40" s="31" t="n">
        <x:f>IF(T40="","",I40*T40)</x:f>
        <x:v>77.63146100319217</x:v>
      </x:c>
    </x:row>
    <x:row r="41" ht="18" customHeight="1">
      <x:c r="A41" s="24" t="str">
        <x:v>EEZ_197</x:v>
      </x:c>
      <x:c r="B41" s="24" t="str">
        <x:v>Cyprus (North)</x:v>
      </x:c>
      <x:c r="C41" s="24" t="str">
        <x:v>EEZ</x:v>
      </x:c>
      <x:c r="D41" s="30" t="n">
        <x:v>2019</x:v>
      </x:c>
      <x:c r="E41" s="24" t="str">
        <x:v>Trachurus trachurus</x:v>
      </x:c>
      <x:c r="F41" s="24" t="str">
        <x:v>Atlantic horse mackerel</x:v>
      </x:c>
      <x:c r="G41" s="24" t="str">
        <x:v>Medium pelagics (30 - 89 cm)</x:v>
      </x:c>
      <x:c r="H41" s="24" t="str">
        <x:v>Perch-likes</x:v>
      </x:c>
      <x:c r="I41" s="31" t="n">
        <x:v>0.21728934290000002</x:v>
      </x:c>
      <x:c r="J41" s="31" t="n">
        <x:v>0.21728934290000002</x:v>
      </x:c>
      <x:c r="K41" s="31" t="n">
        <x:v>0</x:v>
      </x:c>
      <x:c r="L41" s="31" t="n">
        <x:v>0</x:v>
      </x:c>
      <x:c r="M41" s="31" t="n">
        <x:v>0.21728934290000002</x:v>
      </x:c>
      <x:c r="N41" s="24" t="str">
        <x:v>trachurus trachurus</x:v>
      </x:c>
      <x:c r="O41" s="32" t="n">
        <x:v>3.71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Trachurus trachurus</x:v>
      </x:c>
      <x:c r="T41" s="32" t="n">
        <x:f>IF(O41="","",(1/'Metadata'!$B$5)^(O41-1))</x:f>
        <x:v>512.8613839913648</x:v>
      </x:c>
      <x:c r="U41" s="31" t="n">
        <x:f>IF(T41="","",I41*T41)</x:f>
        <x:v>111.43931312626826</x:v>
      </x:c>
    </x:row>
    <x:row r="42" ht="18" customHeight="1">
      <x:c r="A42" s="24" t="str">
        <x:v>EEZ_197</x:v>
      </x:c>
      <x:c r="B42" s="24" t="str">
        <x:v>Cyprus (North)</x:v>
      </x:c>
      <x:c r="C42" s="24" t="str">
        <x:v>EEZ</x:v>
      </x:c>
      <x:c r="D42" s="30" t="n">
        <x:v>2019</x:v>
      </x:c>
      <x:c r="E42" s="24" t="str">
        <x:v>Sphyraena</x:v>
      </x:c>
      <x:c r="F42" s="24" t="str">
        <x:v>Barracudas, sennets</x:v>
      </x:c>
      <x:c r="G42" s="24" t="str">
        <x:v>Large pelagics (&gt;=90 cm)</x:v>
      </x:c>
      <x:c r="H42" s="24" t="str">
        <x:v>Perch-likes</x:v>
      </x:c>
      <x:c r="I42" s="31" t="n">
        <x:v>0.21728934290000002</x:v>
      </x:c>
      <x:c r="J42" s="31" t="n">
        <x:v>0.21728934290000002</x:v>
      </x:c>
      <x:c r="K42" s="31" t="n">
        <x:v>0</x:v>
      </x:c>
      <x:c r="L42" s="31" t="n">
        <x:v>0</x:v>
      </x:c>
      <x:c r="M42" s="31" t="n">
        <x:v>0.21728934290000002</x:v>
      </x:c>
      <x:c r="N42" s="24" t="str">
        <x:v>sphyraena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Sphyraena</x:v>
      </x:c>
      <x:c r="T42" s="32" t="n">
        <x:f>IF(O42="","",(1/'Metadata'!$B$5)^(O42-1))</x:f>
        <x:v>2511.886431509582</x:v>
      </x:c>
      <x:c r="U42" s="31" t="n">
        <x:f>IF(T42="","",I42*T42)</x:f>
        <x:v>545.806152142143</x:v>
      </x:c>
    </x:row>
    <x:row r="43" ht="18" customHeight="1">
      <x:c r="A43" s="24" t="str">
        <x:v>EEZ_197</x:v>
      </x:c>
      <x:c r="B43" s="24" t="str">
        <x:v>Cyprus (North)</x:v>
      </x:c>
      <x:c r="C43" s="24" t="str">
        <x:v>EEZ</x:v>
      </x:c>
      <x:c r="D43" s="30" t="n">
        <x:v>2019</x:v>
      </x:c>
      <x:c r="E43" s="24" t="str">
        <x:v>Scorpaena scrofa</x:v>
      </x:c>
      <x:c r="F43" s="24" t="str">
        <x:v>Red scorpionfish</x:v>
      </x:c>
      <x:c r="G43" s="24" t="str">
        <x:v>Medium demersals (30 - 89 cm)</x:v>
      </x:c>
      <x:c r="H43" s="24" t="str">
        <x:v>Scorpionfishes</x:v>
      </x:c>
      <x:c r="I43" s="31" t="n">
        <x:v>0.2013305703</x:v>
      </x:c>
      <x:c r="J43" s="31" t="n">
        <x:v>0</x:v>
      </x:c>
      <x:c r="K43" s="31" t="n">
        <x:v>0.2013305703</x:v>
      </x:c>
      <x:c r="L43" s="31" t="n">
        <x:v>0</x:v>
      </x:c>
      <x:c r="M43" s="31" t="n">
        <x:v>0.2013305703</x:v>
      </x:c>
      <x:c r="N43" s="24" t="str">
        <x:v>scorpaena scrofa</x:v>
      </x:c>
      <x:c r="O43" s="32" t="n">
        <x:v>4.25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Scorpaena scrofa</x:v>
      </x:c>
      <x:c r="T43" s="32" t="n">
        <x:f>IF(O43="","",(1/'Metadata'!$B$5)^(O43-1))</x:f>
        <x:v>1778.2794100389228</x:v>
      </x:c>
      <x:c r="U43" s="31" t="n">
        <x:f>IF(T43="","",I43*T43)</x:f>
        <x:v>358.0220077758839</x:v>
      </x:c>
    </x:row>
    <x:row r="44" ht="18" customHeight="1">
      <x:c r="A44" s="24" t="str">
        <x:v>EEZ_197</x:v>
      </x:c>
      <x:c r="B44" s="24" t="str">
        <x:v>Cyprus (North)</x:v>
      </x:c>
      <x:c r="C44" s="24" t="str">
        <x:v>EEZ</x:v>
      </x:c>
      <x:c r="D44" s="30" t="n">
        <x:v>2019</x:v>
      </x:c>
      <x:c r="E44" s="24" t="str">
        <x:v>Prionace glauca</x:v>
      </x:c>
      <x:c r="F44" s="24" t="str">
        <x:v>Blue shark</x:v>
      </x:c>
      <x:c r="G44" s="24" t="str">
        <x:v>Large sharks (&gt;=90 cm)</x:v>
      </x:c>
      <x:c r="H44" s="24" t="str">
        <x:v>Sharks &amp; rays</x:v>
      </x:c>
      <x:c r="I44" s="31" t="n">
        <x:v>0.1959360842</x:v>
      </x:c>
      <x:c r="J44" s="31" t="n">
        <x:v>0.1959360842</x:v>
      </x:c>
      <x:c r="K44" s="31" t="n">
        <x:v>0</x:v>
      </x:c>
      <x:c r="L44" s="31" t="n">
        <x:v>0.1959360842</x:v>
      </x:c>
      <x:c r="M44" s="31" t="n">
        <x:v>0</x:v>
      </x:c>
      <x:c r="N44" s="24" t="str">
        <x:v>prionace glauca</x:v>
      </x:c>
      <x:c r="O44" s="32" t="n">
        <x:v>4.35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Prionace glauca</x:v>
      </x:c>
      <x:c r="T44" s="32" t="n">
        <x:f>IF(O44="","",(1/'Metadata'!$B$5)^(O44-1))</x:f>
        <x:v>2238.7211385683377</x:v>
      </x:c>
      <x:c r="U44" s="31" t="n">
        <x:f>IF(T44="","",I44*T44)</x:f>
        <x:v>438.64625350684565</x:v>
      </x:c>
    </x:row>
    <x:row r="45" ht="18" customHeight="1">
      <x:c r="A45" s="24" t="str">
        <x:v>EEZ_197</x:v>
      </x:c>
      <x:c r="B45" s="24" t="str">
        <x:v>Cyprus (North)</x:v>
      </x:c>
      <x:c r="C45" s="24" t="str">
        <x:v>EEZ</x:v>
      </x:c>
      <x:c r="D45" s="30" t="n">
        <x:v>2019</x:v>
      </x:c>
      <x:c r="E45" s="24" t="str">
        <x:v>Echinoidea</x:v>
      </x:c>
      <x:c r="F45" s="24" t="str">
        <x:v>Sea urchins, sea hedgehogs</x:v>
      </x:c>
      <x:c r="G45" s="24" t="str">
        <x:v>Other demersal invertebrates</x:v>
      </x:c>
      <x:c r="H45" s="24" t="str">
        <x:v>Other fishes &amp; inverts</x:v>
      </x:c>
      <x:c r="I45" s="31" t="n">
        <x:v>0.0805322282</x:v>
      </x:c>
      <x:c r="J45" s="31" t="n">
        <x:v>0</x:v>
      </x:c>
      <x:c r="K45" s="31" t="n">
        <x:v>0.0805322282</x:v>
      </x:c>
      <x:c r="L45" s="31" t="n">
        <x:v>0</x:v>
      </x:c>
      <x:c r="M45" s="31" t="n">
        <x:v>0.0805322282</x:v>
      </x:c>
      <x:c r="N45" s="24" t="str">
        <x:v>echinoidea</x:v>
      </x:c>
      <x:c r="O45" s="32" t="n">
        <x:v>2.51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Echinoidea</x:v>
      </x:c>
      <x:c r="T45" s="32" t="n">
        <x:f>IF(O45="","",(1/'Metadata'!$B$5)^(O45-1))</x:f>
        <x:v>32.35936569296281</x:v>
      </x:c>
      <x:c r="U45" s="31" t="n">
        <x:f>IF(T45="","",I45*T45)</x:f>
        <x:v>2.6059718223929322</x:v>
      </x:c>
    </x:row>
    <x:row r="46" ht="18" customHeight="1">
      <x:c r="A46" s="24" t="str">
        <x:v>EEZ_197</x:v>
      </x:c>
      <x:c r="B46" s="24" t="str">
        <x:v>Cyprus (North)</x:v>
      </x:c>
      <x:c r="C46" s="24" t="str">
        <x:v>EEZ</x:v>
      </x:c>
      <x:c r="D46" s="30" t="n">
        <x:v>2019</x:v>
      </x:c>
      <x:c r="E46" s="24" t="str">
        <x:v>Macroramphosus scolopax</x:v>
      </x:c>
      <x:c r="F46" s="24" t="str">
        <x:v>Longspine snipefish</x:v>
      </x:c>
      <x:c r="G46" s="24" t="str">
        <x:v>Small demersals (&lt;30 cm)</x:v>
      </x:c>
      <x:c r="H46" s="24" t="str">
        <x:v>Other fishes &amp; inverts</x:v>
      </x:c>
      <x:c r="I46" s="31" t="n">
        <x:v>0.0805322282</x:v>
      </x:c>
      <x:c r="J46" s="31" t="n">
        <x:v>0</x:v>
      </x:c>
      <x:c r="K46" s="31" t="n">
        <x:v>0.0805322282</x:v>
      </x:c>
      <x:c r="L46" s="31" t="n">
        <x:v>0</x:v>
      </x:c>
      <x:c r="M46" s="31" t="n">
        <x:v>0.0805322282</x:v>
      </x:c>
      <x:c r="N46" s="24" t="str">
        <x:v>macroramphosus scolopax</x:v>
      </x:c>
      <x:c r="O46" s="32" t="n">
        <x:v>3.47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Macroramphosus scolopax</x:v>
      </x:c>
      <x:c r="T46" s="32" t="n">
        <x:f>IF(O46="","",(1/'Metadata'!$B$5)^(O46-1))</x:f>
        <x:v>295.1209226666387</x:v>
      </x:c>
      <x:c r="U46" s="31" t="n">
        <x:f>IF(T46="","",I46*T46)</x:f>
        <x:v>23.766745490784302</x:v>
      </x:c>
    </x:row>
  </x:sheetData>
  <x:conditionalFormatting sqref="R2:R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7e1a6ba92a946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Herring-likes</x:v>
      </x:c>
      <x:c r="B2" s="33" t="n">
        <x:v>1</x:v>
      </x:c>
      <x:c r="C2" s="33" t="n">
        <x:v>1</x:v>
      </x:c>
      <x:c r="D2" s="31" t="n">
        <x:v>1.6509106772</x:v>
      </x:c>
      <x:c r="E2" s="31" t="n">
        <x:v>1.6509106772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IF(C2=0,"",SUMIF('Species'!$H$2:$H$46,A2,'Species'!$U$2:$U$46))</x:f>
        <x:v>261.6517093655648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261.6517093655648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13</x:v>
      </x:c>
      <x:c r="C3" s="33" t="n">
        <x:v>13</x:v>
      </x:c>
      <x:c r="D3" s="31" t="n">
        <x:v>273.09715138070015</x:v>
      </x:c>
      <x:c r="E3" s="31" t="n">
        <x:v>273.09715138070015</x:v>
      </x:c>
      <x:c r="F3" s="32" t="n">
        <x:v>0</x:v>
      </x:c>
      <x:c r="G3" s="34" t="n">
        <x:v>1</x:v>
      </x:c>
      <x:c r="H3" s="32" t="n">
        <x:f>IF(E3=0,"",I3/E3)</x:f>
        <x:v>272.24271495481804</x:v>
      </x:c>
      <x:c r="I3" s="31" t="n">
        <x:f>IF(C3=0,"",SUMIF('Species'!$H$2:$H$46,A3,'Species'!$U$2:$U$46))</x:f>
        <x:v>74348.70993830875</x:v>
      </x:c>
      <x:c r="J3" s="32" t="n">
        <x:v>3.371497144554059</x:v>
      </x:c>
      <x:c r="K3" s="32" t="n">
        <x:f>IF(J3="","",(1/'Metadata'!$B$5)^(J3-1))</x:f>
        <x:v>235.23240270257853</x:v>
      </x:c>
      <x:c r="L3" s="31" t="n">
        <x:f>IF(E3=0,"",E3*K3)</x:f>
        <x:v>64241.29909051191</x:v>
      </x:c>
      <x:c r="M3" s="31" t="n">
        <x:f>IF(E3=0,"",I3-L3)</x:f>
        <x:v>10107.41084779684</x:v>
      </x:c>
      <x:c r="N3" s="32" t="n">
        <x:f>IF(L3=0,"",I3/L3)</x:f>
        <x:v>1.157335094260098</x:v>
      </x:c>
      <x:c r="O3" s="34" t="n">
        <x:f>IF(L3=0,"",M3/L3)</x:f>
        <x:v>0.157335094260098</x:v>
      </x:c>
    </x:row>
    <x:row r="4" ht="18" customHeight="1">
      <x:c r="A4" s="24" t="str">
        <x:v>Perch-likes</x:v>
      </x:c>
      <x:c r="B4" s="33" t="n">
        <x:v>21</x:v>
      </x:c>
      <x:c r="C4" s="33" t="n">
        <x:v>21</x:v>
      </x:c>
      <x:c r="D4" s="31" t="n">
        <x:v>522.6743695101001</x:v>
      </x:c>
      <x:c r="E4" s="31" t="n">
        <x:v>522.6743695101001</x:v>
      </x:c>
      <x:c r="F4" s="32" t="n">
        <x:v>0</x:v>
      </x:c>
      <x:c r="G4" s="34" t="n">
        <x:v>1</x:v>
      </x:c>
      <x:c r="H4" s="32" t="n">
        <x:f>IF(E4=0,"",I4/E4)</x:f>
        <x:v>1277.1179562961074</x:v>
      </x:c>
      <x:c r="I4" s="31" t="n">
        <x:f>IF(C4=0,"",SUMIF('Species'!$H$2:$H$46,A4,'Species'!$U$2:$U$46))</x:f>
        <x:v>667516.8225970955</x:v>
      </x:c>
      <x:c r="J4" s="32" t="n">
        <x:v>3.7255137973771753</x:v>
      </x:c>
      <x:c r="K4" s="32" t="n">
        <x:f>IF(J4="","",(1/'Metadata'!$B$5)^(J4-1))</x:f>
        <x:v>531.5128852087844</x:v>
      </x:c>
      <x:c r="L4" s="31" t="n">
        <x:f>IF(E4=0,"",E4*K4)</x:f>
        <x:v>277808.16216299555</x:v>
      </x:c>
      <x:c r="M4" s="31" t="n">
        <x:f>IF(E4=0,"",I4-L4)</x:f>
        <x:v>389708.66043409996</x:v>
      </x:c>
      <x:c r="N4" s="32" t="n">
        <x:f>IF(L4=0,"",I4/L4)</x:f>
        <x:v>2.4027977342344973</x:v>
      </x:c>
      <x:c r="O4" s="34" t="n">
        <x:f>IF(L4=0,"",M4/L4)</x:f>
        <x:v>1.4027977342344973</x:v>
      </x:c>
    </x:row>
    <x:row r="5" ht="18" customHeight="1">
      <x:c r="A5" s="24" t="str">
        <x:v>Scorpionfishes</x:v>
      </x:c>
      <x:c r="B5" s="33" t="n">
        <x:v>1</x:v>
      </x:c>
      <x:c r="C5" s="33" t="n">
        <x:v>1</x:v>
      </x:c>
      <x:c r="D5" s="31" t="n">
        <x:v>0.2013305703</x:v>
      </x:c>
      <x:c r="E5" s="31" t="n">
        <x:v>0.2013305703</x:v>
      </x:c>
      <x:c r="F5" s="32" t="n">
        <x:v>0</x:v>
      </x:c>
      <x:c r="G5" s="34" t="n">
        <x:v>1</x:v>
      </x:c>
      <x:c r="H5" s="32" t="n">
        <x:f>IF(E5=0,"",I5/E5)</x:f>
        <x:v>1778.2794100389228</x:v>
      </x:c>
      <x:c r="I5" s="31" t="n">
        <x:f>IF(C5=0,"",SUMIF('Species'!$H$2:$H$46,A5,'Species'!$U$2:$U$46))</x:f>
        <x:v>358.0220077758839</x:v>
      </x:c>
      <x:c r="J5" s="32" t="n">
        <x:v>4.25</x:v>
      </x:c>
      <x:c r="K5" s="32" t="n">
        <x:f>IF(J5="","",(1/'Metadata'!$B$5)^(J5-1))</x:f>
        <x:v>1778.2794100389228</x:v>
      </x:c>
      <x:c r="L5" s="31" t="n">
        <x:f>IF(E5=0,"",E5*K5)</x:f>
        <x:v>358.0220077758839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Sharks &amp; rays</x:v>
      </x:c>
      <x:c r="B6" s="33" t="n">
        <x:v>3</x:v>
      </x:c>
      <x:c r="C6" s="33" t="n">
        <x:v>3</x:v>
      </x:c>
      <x:c r="D6" s="31" t="n">
        <x:v>3.0145640695</x:v>
      </x:c>
      <x:c r="E6" s="31" t="n">
        <x:v>3.0145640695</x:v>
      </x:c>
      <x:c r="F6" s="32" t="n">
        <x:v>0</x:v>
      </x:c>
      <x:c r="G6" s="34" t="n">
        <x:v>1</x:v>
      </x:c>
      <x:c r="H6" s="32" t="n">
        <x:f>IF(E6=0,"",I6/E6)</x:f>
        <x:v>915.4030217147789</x:v>
      </x:c>
      <x:c r="I6" s="31" t="n">
        <x:f>IF(C6=0,"",SUMIF('Species'!$H$2:$H$46,A6,'Species'!$U$2:$U$46))</x:f>
        <x:v>2759.541058373101</x:v>
      </x:c>
      <x:c r="J6" s="32" t="n">
        <x:v>3.915223367979242</x:v>
      </x:c>
      <x:c r="K6" s="32" t="n">
        <x:f>IF(J6="","",(1/'Metadata'!$B$5)^(J6-1))</x:f>
        <x:v>822.6656576663958</x:v>
      </x:c>
      <x:c r="L6" s="31" t="n">
        <x:f>IF(E6=0,"",E6*K6)</x:f>
        <x:v>2479.9783328127037</x:v>
      </x:c>
      <x:c r="M6" s="31" t="n">
        <x:f>IF(E6=0,"",I6-L6)</x:f>
        <x:v>279.5627255603972</x:v>
      </x:c>
      <x:c r="N6" s="32" t="n">
        <x:f>IF(L6=0,"",I6/L6)</x:f>
        <x:v>1.1127278903454478</x:v>
      </x:c>
      <x:c r="O6" s="34" t="n">
        <x:f>IF(L6=0,"",M6/L6)</x:f>
        <x:v>0.11272789034544792</x:v>
      </x:c>
    </x:row>
    <x:row r="7" ht="18" customHeight="1">
      <x:c r="A7" s="24" t="str">
        <x:v>Tuna &amp; billfishes</x:v>
      </x:c>
      <x:c r="B7" s="33" t="n">
        <x:v>6</x:v>
      </x:c>
      <x:c r="C7" s="33" t="n">
        <x:v>6</x:v>
      </x:c>
      <x:c r="D7" s="31" t="n">
        <x:v>3915.2892854908</x:v>
      </x:c>
      <x:c r="E7" s="31" t="n">
        <x:v>3915.2892854908</x:v>
      </x:c>
      <x:c r="F7" s="32" t="n">
        <x:v>0</x:v>
      </x:c>
      <x:c r="G7" s="34" t="n">
        <x:v>1</x:v>
      </x:c>
      <x:c r="H7" s="32" t="n">
        <x:f>IF(E7=0,"",I7/E7)</x:f>
        <x:v>2764.559583466874</x:v>
      </x:c>
      <x:c r="I7" s="31" t="n">
        <x:f>IF(C7=0,"",SUMIF('Species'!$H$2:$H$46,A7,'Species'!$U$2:$U$46))</x:f>
        <x:v>10824050.51624876</x:v>
      </x:c>
      <x:c r="J7" s="32" t="n">
        <x:v>4.429401040960251</x:v>
      </x:c>
      <x:c r="K7" s="32" t="n">
        <x:f>IF(J7="","",(1/'Metadata'!$B$5)^(J7-1))</x:f>
        <x:v>2687.825321077731</x:v>
      </x:c>
      <x:c r="L7" s="31" t="n">
        <x:f>IF(E7=0,"",E7*K7)</x:f>
        <x:v>10523613.68088651</x:v>
      </x:c>
      <x:c r="M7" s="31" t="n">
        <x:f>IF(E7=0,"",I7-L7)</x:f>
        <x:v>300436.83536225</x:v>
      </x:c>
      <x:c r="N7" s="32" t="n">
        <x:f>IF(L7=0,"",I7/L7)</x:f>
        <x:v>1.0285488278525388</x:v>
      </x:c>
      <x:c r="O7" s="34" t="n">
        <x:f>IF(L7=0,"",M7/L7)</x:f>
        <x:v>0.028548827852538688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20c665f29d54d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13.654244323900002</x:v>
      </x:c>
      <x:c r="E2" s="31" t="n">
        <x:v>13.654244323900002</x:v>
      </x:c>
      <x:c r="F2" s="32" t="n">
        <x:v>0</x:v>
      </x:c>
      <x:c r="G2" s="34" t="n">
        <x:v>1</x:v>
      </x:c>
      <x:c r="H2" s="32" t="n">
        <x:f>IF(E2=0,"",I2/E2)</x:f>
        <x:v>1100.1867269856327</x:v>
      </x:c>
      <x:c r="I2" s="31" t="n">
        <x:f>IF(C2=0,"",SUMIF('Species'!$G$2:$G$46,A2,'Species'!$U$2:$U$46))</x:f>
        <x:v>15022.218372173698</x:v>
      </x:c>
      <x:c r="J2" s="32" t="n">
        <x:v>3.9599705931460956</x:v>
      </x:c>
      <x:c r="K2" s="32" t="n">
        <x:f>IF(J2="","",(1/'Metadata'!$B$5)^(J2-1))</x:f>
        <x:v>911.9490875661529</x:v>
      </x:c>
      <x:c r="L2" s="31" t="n">
        <x:f>IF(E2=0,"",E2*K2)</x:f>
        <x:v>12451.97565258593</x:v>
      </x:c>
      <x:c r="M2" s="31" t="n">
        <x:f>IF(E2=0,"",I2-L2)</x:f>
        <x:v>2570.242719587768</x:v>
      </x:c>
      <x:c r="N2" s="32" t="n">
        <x:f>IF(L2=0,"",I2/L2)</x:f>
        <x:v>1.2064124433984096</x:v>
      </x:c>
      <x:c r="O2" s="34" t="n">
        <x:f>IF(L2=0,"",M2/L2)</x:f>
        <x:v>0.2064124433984096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4.3457868589</x:v>
      </x:c>
      <x:c r="E3" s="31" t="n">
        <x:v>4.3457868589</x:v>
      </x:c>
      <x:c r="F3" s="32" t="n">
        <x:v>0</x:v>
      </x:c>
      <x:c r="G3" s="34" t="n">
        <x:v>1</x:v>
      </x:c>
      <x:c r="H3" s="32" t="n">
        <x:f>IF(E3=0,"",I3/E3)</x:f>
        <x:v>3388.4415613920273</x:v>
      </x:c>
      <x:c r="I3" s="31" t="n">
        <x:f>IF(C3=0,"",SUMIF('Species'!$G$2:$G$46,A3,'Species'!$U$2:$U$46))</x:f>
        <x:v>14725.444809648072</x:v>
      </x:c>
      <x:c r="J3" s="32" t="n">
        <x:v>4.53</x:v>
      </x:c>
      <x:c r="K3" s="32" t="n">
        <x:f>IF(J3="","",(1/'Metadata'!$B$5)^(J3-1))</x:f>
        <x:v>3388.4415613920273</x:v>
      </x:c>
      <x:c r="L3" s="31" t="n">
        <x:f>IF(E3=0,"",E3*K3)</x:f>
        <x:v>14725.444809648072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79.1695398424</x:v>
      </x:c>
      <x:c r="E4" s="31" t="n">
        <x:v>79.1695398424</x:v>
      </x:c>
      <x:c r="F4" s="32" t="n">
        <x:v>0</x:v>
      </x:c>
      <x:c r="G4" s="34" t="n">
        <x:v>1</x:v>
      </x:c>
      <x:c r="H4" s="32" t="n">
        <x:f>IF(E4=0,"",I4/E4)</x:f>
        <x:v>1344.4122077625905</x:v>
      </x:c>
      <x:c r="I4" s="31" t="n">
        <x:f>IF(C4=0,"",SUMIF('Species'!$G$2:$G$46,A4,'Species'!$U$2:$U$46))</x:f>
        <x:v>106436.49584706935</x:v>
      </x:c>
      <x:c r="J4" s="32" t="n">
        <x:v>4.127345075948345</x:v>
      </x:c>
      <x:c r="K4" s="32" t="n">
        <x:f>IF(J4="","",(1/'Metadata'!$B$5)^(J4-1))</x:f>
        <x:v>1340.7415729621841</x:v>
      </x:c>
      <x:c r="L4" s="31" t="n">
        <x:f>IF(E4=0,"",E4*K4)</x:f>
        <x:v>106145.89337899168</x:v>
      </x:c>
      <x:c r="M4" s="31" t="n">
        <x:f>IF(E4=0,"",I4-L4)</x:f>
        <x:v>290.60246807767544</x:v>
      </x:c>
      <x:c r="N4" s="32" t="n">
        <x:f>IF(L4=0,"",I4/L4)</x:f>
        <x:v>1.0027377645882172</x:v>
      </x:c>
      <x:c r="O4" s="34" t="n">
        <x:f>IF(L4=0,"",M4/L4)</x:f>
        <x:v>0.0027377645882171384</x:v>
      </x:c>
    </x:row>
    <x:row r="5" ht="18" customHeight="1">
      <x:c r="A5" s="24" t="str">
        <x:v>Large pelagics (&gt;=90 cm)</x:v>
      </x:c>
      <x:c r="B5" s="33" t="n">
        <x:v>6</x:v>
      </x:c>
      <x:c r="C5" s="33" t="n">
        <x:v>6</x:v>
      </x:c>
      <x:c r="D5" s="31" t="n">
        <x:v>2357.2570453985004</x:v>
      </x:c>
      <x:c r="E5" s="31" t="n">
        <x:v>2357.2570453985004</x:v>
      </x:c>
      <x:c r="F5" s="32" t="n">
        <x:v>0</x:v>
      </x:c>
      <x:c r="G5" s="34" t="n">
        <x:v>1</x:v>
      </x:c>
      <x:c r="H5" s="32" t="n">
        <x:f>IF(E5=0,"",I5/E5)</x:f>
        <x:v>2847.931064199489</x:v>
      </x:c>
      <x:c r="I5" s="31" t="n">
        <x:f>IF(C5=0,"",SUMIF('Species'!$G$2:$G$46,A5,'Species'!$U$2:$U$46))</x:f>
        <x:v>6713305.5658934945</x:v>
      </x:c>
      <x:c r="J5" s="32" t="n">
        <x:v>4.453391308521979</x:v>
      </x:c>
      <x:c r="K5" s="32" t="n">
        <x:f>IF(J5="","",(1/'Metadata'!$B$5)^(J5-1))</x:f>
        <x:v>2840.4772058763706</x:v>
      </x:c>
      <x:c r="L5" s="31" t="n">
        <x:f>IF(E5=0,"",E5*K5)</x:f>
        <x:v>6695734.9058459215</x:v>
      </x:c>
      <x:c r="M5" s="31" t="n">
        <x:f>IF(E5=0,"",I5-L5)</x:f>
        <x:v>17570.660047573037</x:v>
      </x:c>
      <x:c r="N5" s="32" t="n">
        <x:f>IF(L5=0,"",I5/L5)</x:f>
        <x:v>1.0026241570633616</x:v>
      </x:c>
      <x:c r="O5" s="34" t="n">
        <x:f>IF(L5=0,"",M5/L5)</x:f>
        <x:v>0.0026241570633616963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1.4093139926</x:v>
      </x:c>
      <x:c r="E6" s="31" t="n">
        <x:v>1.4093139926</x:v>
      </x:c>
      <x:c r="F6" s="32" t="n">
        <x:v>0</x:v>
      </x:c>
      <x:c r="G6" s="34" t="n">
        <x:v>1</x:v>
      </x:c>
      <x:c r="H6" s="32" t="n">
        <x:f>IF(E6=0,"",I6/E6)</x:f>
        <x:v>524.8074602497728</x:v>
      </x:c>
      <x:c r="I6" s="31" t="n">
        <x:f>IF(C6=0,"",SUMIF('Species'!$G$2:$G$46,A6,'Species'!$U$2:$U$46))</x:f>
        <x:v>739.6184971508732</x:v>
      </x:c>
      <x:c r="J6" s="32" t="n">
        <x:v>3.72</x:v>
      </x:c>
      <x:c r="K6" s="32" t="n">
        <x:f>IF(J6="","",(1/'Metadata'!$B$5)^(J6-1))</x:f>
        <x:v>524.8074602497728</x:v>
      </x:c>
      <x:c r="L6" s="31" t="n">
        <x:f>IF(E6=0,"",E6*K6)</x:f>
        <x:v>739.6184971508732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196.67079456349998</x:v>
      </x:c>
      <x:c r="E7" s="31" t="n">
        <x:v>196.67079456349998</x:v>
      </x:c>
      <x:c r="F7" s="32" t="n">
        <x:v>0</x:v>
      </x:c>
      <x:c r="G7" s="34" t="n">
        <x:v>1</x:v>
      </x:c>
      <x:c r="H7" s="32" t="n">
        <x:f>IF(E7=0,"",I7/E7)</x:f>
        <x:v>2148.8601758603018</x:v>
      </x:c>
      <x:c r="I7" s="31" t="n">
        <x:f>IF(C7=0,"",SUMIF('Species'!$G$2:$G$46,A7,'Species'!$U$2:$U$46))</x:f>
        <x:v>422618.03819230787</x:v>
      </x:c>
      <x:c r="J7" s="32" t="n">
        <x:v>4.191495248995488</x:v>
      </x:c>
      <x:c r="K7" s="32" t="n">
        <x:f>IF(J7="","",(1/'Metadata'!$B$5)^(J7-1))</x:f>
        <x:v>1554.1582888207465</x:v>
      </x:c>
      <x:c r="L7" s="31" t="n">
        <x:f>IF(E7=0,"",E7*K7)</x:f>
        <x:v>305657.5455398257</x:v>
      </x:c>
      <x:c r="M7" s="31" t="n">
        <x:f>IF(E7=0,"",I7-L7)</x:f>
        <x:v>116960.49265248218</x:v>
      </x:c>
      <x:c r="N7" s="32" t="n">
        <x:f>IF(L7=0,"",I7/L7)</x:f>
        <x:v>1.3826520704598237</x:v>
      </x:c>
      <x:c r="O7" s="34" t="n">
        <x:f>IF(L7=0,"",M7/L7)</x:f>
        <x:v>0.3826520704598238</x:v>
      </x:c>
    </x:row>
    <x:row r="8" ht="18" customHeight="1">
      <x:c r="A8" s="24" t="str">
        <x:v>Large sharks (&gt;=90 cm)</x:v>
      </x:c>
      <x:c r="B8" s="33" t="n">
        <x:v>2</x:v>
      </x:c>
      <x:c r="C8" s="33" t="n">
        <x:v>2</x:v>
      </x:c>
      <x:c r="D8" s="31" t="n">
        <x:v>1.6052500769</x:v>
      </x:c>
      <x:c r="E8" s="31" t="n">
        <x:v>1.6052500769</x:v>
      </x:c>
      <x:c r="F8" s="32" t="n">
        <x:v>0</x:v>
      </x:c>
      <x:c r="G8" s="34" t="n">
        <x:v>1</x:v>
      </x:c>
      <x:c r="H8" s="32" t="n">
        <x:f>IF(E8=0,"",I8/E8)</x:f>
        <x:v>1258.3226690280108</x:v>
      </x:c>
      <x:c r="I8" s="31" t="n">
        <x:f>IF(C8=0,"",SUMIF('Species'!$G$2:$G$46,A8,'Species'!$U$2:$U$46))</x:f>
        <x:v>2019.9225612222276</x:v>
      </x:c>
      <x:c r="J8" s="32" t="n">
        <x:v>4.086617861668953</x:v>
      </x:c>
      <x:c r="K8" s="32" t="n">
        <x:f>IF(J8="","",(1/'Metadata'!$B$5)^(J8-1))</x:f>
        <x:v>1220.7250641242197</x:v>
      </x:c>
      <x:c r="L8" s="31" t="n">
        <x:f>IF(E8=0,"",E8*K8)</x:f>
        <x:v>1959.569003059161</x:v>
      </x:c>
      <x:c r="M8" s="31" t="n">
        <x:f>IF(E8=0,"",I8-L8)</x:f>
        <x:v>60.35355816306651</x:v>
      </x:c>
      <x:c r="N8" s="32" t="n">
        <x:f>IF(L8=0,"",I8/L8)</x:f>
        <x:v>1.030799404393949</x:v>
      </x:c>
      <x:c r="O8" s="34" t="n">
        <x:f>IF(L8=0,"",M8/L8)</x:f>
        <x:v>0.03079940439394896</x:v>
      </x:c>
    </x:row>
    <x:row r="9" ht="18" customHeight="1">
      <x:c r="A9" s="24" t="str">
        <x:v>Medium bathydemersals (30 - 89 cm)</x:v>
      </x:c>
      <x:c r="B9" s="33" t="n">
        <x:v>1</x:v>
      </x:c>
      <x:c r="C9" s="33" t="n">
        <x:v>1</x:v>
      </x:c>
      <x:c r="D9" s="31" t="n">
        <x:v>1.1677173082</x:v>
      </x:c>
      <x:c r="E9" s="31" t="n">
        <x:v>1.1677173082</x:v>
      </x:c>
      <x:c r="F9" s="32" t="n">
        <x:v>0</x:v>
      </x:c>
      <x:c r="G9" s="34" t="n">
        <x:v>1</x:v>
      </x:c>
      <x:c r="H9" s="32" t="n">
        <x:f>IF(E9=0,"",I9/E9)</x:f>
        <x:v>223.87211385683398</x:v>
      </x:c>
      <x:c r="I9" s="31" t="n">
        <x:f>IF(C9=0,"",SUMIF('Species'!$G$2:$G$46,A9,'Species'!$U$2:$U$46))</x:f>
        <x:v>261.4193421739461</x:v>
      </x:c>
      <x:c r="J9" s="32" t="n">
        <x:v>3.35</x:v>
      </x:c>
      <x:c r="K9" s="32" t="n">
        <x:f>IF(J9="","",(1/'Metadata'!$B$5)^(J9-1))</x:f>
        <x:v>223.872113856834</x:v>
      </x:c>
      <x:c r="L9" s="31" t="n">
        <x:f>IF(E9=0,"",E9*K9)</x:f>
        <x:v>261.4193421739461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3</x:v>
      </x:c>
      <x:c r="C10" s="33" t="n">
        <x:v>3</x:v>
      </x:c>
      <x:c r="D10" s="31" t="n">
        <x:v>116.7400383587</x:v>
      </x:c>
      <x:c r="E10" s="31" t="n">
        <x:v>116.7400383587</x:v>
      </x:c>
      <x:c r="F10" s="32" t="n">
        <x:v>0</x:v>
      </x:c>
      <x:c r="G10" s="34" t="n">
        <x:v>1</x:v>
      </x:c>
      <x:c r="H10" s="32" t="n">
        <x:f>IF(E10=0,"",I10/E10)</x:f>
        <x:v>198.4095352531754</x:v>
      </x:c>
      <x:c r="I10" s="31" t="n">
        <x:f>IF(C10=0,"",SUMIF('Species'!$G$2:$G$46,A10,'Species'!$U$2:$U$46))</x:f>
        <x:v>23162.336756187535</x:v>
      </x:c>
      <x:c r="J10" s="32" t="n">
        <x:v>3.2862683038188707</x:v>
      </x:c>
      <x:c r="K10" s="32" t="n">
        <x:f>IF(J10="","",(1/'Metadata'!$B$5)^(J10-1))</x:f>
        <x:v>193.31622410700695</x:v>
      </x:c>
      <x:c r="L10" s="31" t="n">
        <x:f>IF(E10=0,"",E10*K10)</x:f>
        <x:v>22567.743417611036</x:v>
      </x:c>
      <x:c r="M10" s="31" t="n">
        <x:f>IF(E10=0,"",I10-L10)</x:f>
        <x:v>594.5933385764984</x:v>
      </x:c>
      <x:c r="N10" s="32" t="n">
        <x:f>IF(L10=0,"",I10/L10)</x:f>
        <x:v>1.026347044433007</x:v>
      </x:c>
      <x:c r="O10" s="34" t="n">
        <x:f>IF(L10=0,"",M10/L10)</x:f>
        <x:v>0.02634704443300696</x:v>
      </x:c>
    </x:row>
    <x:row r="11" ht="18" customHeight="1">
      <x:c r="A11" s="24" t="str">
        <x:v>Medium demersals (30 - 89 cm)</x:v>
      </x:c>
      <x:c r="B11" s="33" t="n">
        <x:v>6</x:v>
      </x:c>
      <x:c r="C11" s="33" t="n">
        <x:v>6</x:v>
      </x:c>
      <x:c r="D11" s="31" t="n">
        <x:v>203.07807661340004</x:v>
      </x:c>
      <x:c r="E11" s="31" t="n">
        <x:v>203.07807661340004</x:v>
      </x:c>
      <x:c r="F11" s="32" t="n">
        <x:v>0</x:v>
      </x:c>
      <x:c r="G11" s="34" t="n">
        <x:v>1</x:v>
      </x:c>
      <x:c r="H11" s="32" t="n">
        <x:f>IF(E11=0,"",I11/E11)</x:f>
        <x:v>192.205834828835</x:v>
      </x:c>
      <x:c r="I11" s="31" t="n">
        <x:f>IF(C11=0,"",SUMIF('Species'!$G$2:$G$46,A11,'Species'!$U$2:$U$46))</x:f>
        <x:v>39032.79125091267</x:v>
      </x:c>
      <x:c r="J11" s="32" t="n">
        <x:v>3.2668935337629867</x:v>
      </x:c>
      <x:c r="K11" s="32" t="n">
        <x:f>IF(J11="","",(1/'Metadata'!$B$5)^(J11-1))</x:f>
        <x:v>184.88153308329026</x:v>
      </x:c>
      <x:c r="L11" s="31" t="n">
        <x:f>IF(E11=0,"",E11*K11)</x:f>
        <x:v>37545.38613989128</x:v>
      </x:c>
      <x:c r="M11" s="31" t="n">
        <x:f>IF(E11=0,"",I11-L11)</x:f>
        <x:v>1487.4051110213913</x:v>
      </x:c>
      <x:c r="N11" s="32" t="n">
        <x:f>IF(L11=0,"",I11/L11)</x:f>
        <x:v>1.039616188936756</x:v>
      </x:c>
      <x:c r="O11" s="34" t="n">
        <x:f>IF(L11=0,"",M11/L11)</x:f>
        <x:v>0.03961618893675596</x:v>
      </x:c>
    </x:row>
    <x:row r="12" ht="18" customHeight="1">
      <x:c r="A12" s="24" t="str">
        <x:v>Medium pelagics (30 - 89 cm)</x:v>
      </x:c>
      <x:c r="B12" s="33" t="n">
        <x:v>6</x:v>
      </x:c>
      <x:c r="C12" s="33" t="n">
        <x:v>6</x:v>
      </x:c>
      <x:c r="D12" s="31" t="n">
        <x:v>1629.6685245676997</x:v>
      </x:c>
      <x:c r="E12" s="31" t="n">
        <x:v>1629.6685245676997</x:v>
      </x:c>
      <x:c r="F12" s="32" t="n">
        <x:v>0</x:v>
      </x:c>
      <x:c r="G12" s="34" t="n">
        <x:v>1</x:v>
      </x:c>
      <x:c r="H12" s="32" t="n">
        <x:f>IF(E12=0,"",I12/E12)</x:f>
        <x:v>2590.3280880006905</x:v>
      </x:c>
      <x:c r="I12" s="31" t="n">
        <x:f>IF(C12=0,"",SUMIF('Species'!$G$2:$G$46,A12,'Species'!$U$2:$U$46))</x:f>
        <x:v>4221376.153318356</x:v>
      </x:c>
      <x:c r="J12" s="32" t="n">
        <x:v>4.37000741105511</x:v>
      </x:c>
      <x:c r="K12" s="32" t="n">
        <x:f>IF(J12="","",(1/'Metadata'!$B$5)^(J12-1))</x:f>
        <x:v>2344.268818953169</x:v>
      </x:c>
      <x:c r="L12" s="31" t="n">
        <x:f>IF(E12=0,"",E12*K12)</x:f>
        <x:v>3820381.107373475</x:v>
      </x:c>
      <x:c r="M12" s="31" t="n">
        <x:f>IF(E12=0,"",I12-L12)</x:f>
        <x:v>400995.0459448807</x:v>
      </x:c>
      <x:c r="N12" s="32" t="n">
        <x:f>IF(L12=0,"",I12/L12)</x:f>
        <x:v>1.104962053437796</x:v>
      </x:c>
      <x:c r="O12" s="34" t="n">
        <x:f>IF(L12=0,"",M12/L12)</x:f>
        <x:v>0.10496205343779594</x:v>
      </x:c>
    </x:row>
    <x:row r="13" ht="18" customHeight="1">
      <x:c r="A13" s="24" t="str">
        <x:v>Medium reef assoc. fish (30 - 89 cm)</x:v>
      </x:c>
      <x:c r="B13" s="33" t="n">
        <x:v>2</x:v>
      </x:c>
      <x:c r="C13" s="33" t="n">
        <x:v>2</x:v>
      </x:c>
      <x:c r="D13" s="31" t="n">
        <x:v>107.8997245535</x:v>
      </x:c>
      <x:c r="E13" s="31" t="n">
        <x:v>107.8997245535</x:v>
      </x:c>
      <x:c r="F13" s="32" t="n">
        <x:v>0</x:v>
      </x:c>
      <x:c r="G13" s="34" t="n">
        <x:v>1</x:v>
      </x:c>
      <x:c r="H13" s="32" t="n">
        <x:f>IF(E13=0,"",I13/E13)</x:f>
        <x:v>72.97383189582831</x:v>
      </x:c>
      <x:c r="I13" s="31" t="n">
        <x:f>IF(C13=0,"",SUMIF('Species'!$G$2:$G$46,A13,'Species'!$U$2:$U$46))</x:f>
        <x:v>7873.856361173287</x:v>
      </x:c>
      <x:c r="J13" s="32" t="n">
        <x:v>2.861515114369443</x:v>
      </x:c>
      <x:c r="K13" s="32" t="n">
        <x:f>IF(J13="","",(1/'Metadata'!$B$5)^(J13-1))</x:f>
        <x:v>72.69676987922534</x:v>
      </x:c>
      <x:c r="L13" s="31" t="n">
        <x:f>IF(E13=0,"",E13*K13)</x:f>
        <x:v>7843.961445897589</x:v>
      </x:c>
      <x:c r="M13" s="31" t="n">
        <x:f>IF(E13=0,"",I13-L13)</x:f>
        <x:v>29.894915275697713</x:v>
      </x:c>
      <x:c r="N13" s="32" t="n">
        <x:f>IF(L13=0,"",I13/L13)</x:f>
        <x:v>1.0038112012000433</x:v>
      </x:c>
      <x:c r="O13" s="34" t="n">
        <x:f>IF(L13=0,"",M13/L13)</x:f>
        <x:v>0.0038112012000432287</x:v>
      </x:c>
    </x:row>
    <x:row r="14" ht="18" customHeight="1">
      <x:c r="A14" s="24" t="str">
        <x:v>Other demersal invertebrates</x:v>
      </x:c>
      <x:c r="B14" s="33" t="n">
        <x:v>1</x:v>
      </x:c>
      <x:c r="C14" s="33" t="n">
        <x:v>1</x:v>
      </x:c>
      <x:c r="D14" s="31" t="n">
        <x:v>0.0805322282</x:v>
      </x:c>
      <x:c r="E14" s="31" t="n">
        <x:v>0.0805322282</x:v>
      </x:c>
      <x:c r="F14" s="32" t="n">
        <x:v>0</x:v>
      </x:c>
      <x:c r="G14" s="34" t="n">
        <x:v>1</x:v>
      </x:c>
      <x:c r="H14" s="32" t="n">
        <x:f>IF(E14=0,"",I14/E14)</x:f>
        <x:v>32.35936569296281</x:v>
      </x:c>
      <x:c r="I14" s="31" t="n">
        <x:f>IF(C14=0,"",SUMIF('Species'!$G$2:$G$46,A14,'Species'!$U$2:$U$46))</x:f>
        <x:v>2.6059718223929322</x:v>
      </x:c>
      <x:c r="J14" s="32" t="n">
        <x:v>2.51</x:v>
      </x:c>
      <x:c r="K14" s="32" t="n">
        <x:f>IF(J14="","",(1/'Metadata'!$B$5)^(J14-1))</x:f>
        <x:v>32.35936569296281</x:v>
      </x:c>
      <x:c r="L14" s="31" t="n">
        <x:f>IF(E14=0,"",E14*K14)</x:f>
        <x:v>2.6059718223929322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1.4093139927</x:v>
      </x:c>
      <x:c r="E15" s="31" t="n">
        <x:v>1.4093139927</x:v>
      </x:c>
      <x:c r="F15" s="32" t="n">
        <x:v>0</x:v>
      </x:c>
      <x:c r="G15" s="34" t="n">
        <x:v>1</x:v>
      </x:c>
      <x:c r="H15" s="32" t="n">
        <x:f>IF(E15=0,"",I15/E15)</x:f>
        <x:v>436.51583224016605</x:v>
      </x:c>
      <x:c r="I15" s="31" t="n">
        <x:f>IF(C15=0,"",SUMIF('Species'!$G$2:$G$46,A15,'Species'!$U$2:$U$46))</x:f>
        <x:v>615.1878704111518</x:v>
      </x:c>
      <x:c r="J15" s="32" t="n">
        <x:v>3.64</x:v>
      </x:c>
      <x:c r="K15" s="32" t="n">
        <x:f>IF(J15="","",(1/'Metadata'!$B$5)^(J15-1))</x:f>
        <x:v>436.5158322401661</x:v>
      </x:c>
      <x:c r="L15" s="31" t="n">
        <x:f>IF(E15=0,"",E15*K15)</x:f>
        <x:v>615.1878704111518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demersals (&lt;30 cm)</x:v>
      </x:c>
      <x:c r="B16" s="33" t="n">
        <x:v>2</x:v>
      </x:c>
      <x:c r="C16" s="33" t="n">
        <x:v>2</x:v>
      </x:c>
      <x:c r="D16" s="31" t="n">
        <x:v>1.489846221</x:v>
      </x:c>
      <x:c r="E16" s="31" t="n">
        <x:v>1.489846221</x:v>
      </x:c>
      <x:c r="F16" s="32" t="n">
        <x:v>0</x:v>
      </x:c>
      <x:c r="G16" s="34" t="n">
        <x:v>1</x:v>
      </x:c>
      <x:c r="H16" s="32" t="n">
        <x:f>IF(E16=0,"",I16/E16)</x:f>
        <x:v>1352.1366461102616</x:v>
      </x:c>
      <x:c r="I16" s="31" t="n">
        <x:f>IF(C16=0,"",SUMIF('Species'!$G$2:$G$46,A16,'Species'!$U$2:$U$46))</x:f>
        <x:v>2014.4756724829879</x:v>
      </x:c>
      <x:c r="J16" s="32" t="n">
        <x:v>4.113243243225973</x:v>
      </x:c>
      <x:c r="K16" s="32" t="n">
        <x:f>IF(J16="","",(1/'Metadata'!$B$5)^(J16-1))</x:f>
        <x:v>1297.9060093205674</x:v>
      </x:c>
      <x:c r="L16" s="31" t="n">
        <x:f>IF(E16=0,"",E16*K16)</x:f>
        <x:v>1933.6803631994383</x:v>
      </x:c>
      <x:c r="M16" s="31" t="n">
        <x:f>IF(E16=0,"",I16-L16)</x:f>
        <x:v>80.79530928354961</x:v>
      </x:c>
      <x:c r="N16" s="32" t="n">
        <x:f>IF(L16=0,"",I16/L16)</x:f>
        <x:v>1.0417831772102535</x:v>
      </x:c>
      <x:c r="O16" s="34" t="n">
        <x:f>IF(L16=0,"",M16/L16)</x:f>
        <x:v>0.04178317721025357</x:v>
      </x:c>
    </x:row>
    <x:row r="17" ht="18" customHeight="1">
      <x:c r="A17" s="24" t="str">
        <x:v>Small reef assoc. fish (&lt;30 cm)</x:v>
      </x:c>
      <x:c r="B17" s="33" t="n">
        <x:v>1</x:v>
      </x:c>
      <x:c r="C17" s="33" t="n">
        <x:v>1</x:v>
      </x:c>
      <x:c r="D17" s="31" t="n">
        <x:v>0.28186279849999996</x:v>
      </x:c>
      <x:c r="E17" s="31" t="n">
        <x:v>0.28186279849999996</x:v>
      </x:c>
      <x:c r="F17" s="32" t="n">
        <x:v>0</x:v>
      </x:c>
      <x:c r="G17" s="34" t="n">
        <x:v>1</x:v>
      </x:c>
      <x:c r="H17" s="32" t="n">
        <x:f>IF(E17=0,"",I17/E17)</x:f>
        <x:v>316.22776601683796</x:v>
      </x:c>
      <x:c r="I17" s="31" t="n">
        <x:f>IF(C17=0,"",SUMIF('Species'!$G$2:$G$46,A17,'Species'!$U$2:$U$46))</x:f>
        <x:v>89.13284309290913</x:v>
      </x:c>
      <x:c r="J17" s="32" t="n">
        <x:v>3.5</x:v>
      </x:c>
      <x:c r="K17" s="32" t="n">
        <x:f>IF(J17="","",(1/'Metadata'!$B$5)^(J17-1))</x:f>
        <x:v>316.22776601683796</x:v>
      </x:c>
      <x:c r="L17" s="31" t="n">
        <x:f>IF(E17=0,"",E17*K17)</x:f>
        <x:v>89.13284309290913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2eec9a6c0e747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EEZ_197</x:v>
      </x:c>
      <x:c r="B2" s="24" t="str">
        <x:v>raw_filtered_tonnes</x:v>
      </x:c>
      <x:c r="C2" s="24" t="n">
        <x:v>4715.9276116986</x:v>
      </x:c>
      <x:c r="D2" s="24" t="str">
        <x:v>tonnes</x:v>
      </x:c>
    </x:row>
    <x:row r="3" ht="18" customHeight="1">
      <x:c r="A3" s="24" t="str">
        <x:v>EEZ_197</x:v>
      </x:c>
      <x:c r="B3" s="24" t="str">
        <x:v>species_catch_tonnes</x:v>
      </x:c>
      <x:c r="C3" s="24" t="n">
        <x:v>4715.927611698601</x:v>
      </x:c>
      <x:c r="D3" s="24" t="str">
        <x:v>tonnes</x:v>
      </x:c>
    </x:row>
    <x:row r="4" ht="18" customHeight="1">
      <x:c r="A4" s="24" t="str">
        <x:v>EEZ_197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EEZ_197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EEZ_197</x:v>
      </x:c>
      <x:c r="B6" s="24" t="str">
        <x:v>matched_catch_tonnes</x:v>
      </x:c>
      <x:c r="C6" s="24" t="n">
        <x:v>4715.927611698601</x:v>
      </x:c>
      <x:c r="D6" s="24" t="str">
        <x:v>tonnes</x:v>
      </x:c>
    </x:row>
    <x:row r="7" ht="18" customHeight="1">
      <x:c r="A7" s="24" t="str">
        <x:v>EEZ_197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EEZ_197</x:v>
      </x:c>
      <x:c r="B8" s="24" t="str">
        <x:v>taxa_count</x:v>
      </x:c>
      <x:c r="C8" s="24" t="n">
        <x:v>45</x:v>
      </x:c>
      <x:c r="D8" s="24" t="str">
        <x:v>count</x:v>
      </x:c>
    </x:row>
    <x:row r="9" ht="18" customHeight="1">
      <x:c r="A9" s="24" t="str">
        <x:v>EEZ_197</x:v>
      </x:c>
      <x:c r="B9" s="24" t="str">
        <x:v>matched_taxa_count</x:v>
      </x:c>
      <x:c r="C9" s="24" t="n">
        <x:v>45</x:v>
      </x:c>
      <x:c r="D9" s="24" t="str">
        <x:v>count</x:v>
      </x:c>
    </x:row>
    <x:row r="10" ht="18" customHeight="1">
      <x:c r="A10" s="24" t="str">
        <x:v>EEZ_197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EEZ_197</x:v>
      </x:c>
      <x:c r="B11" s="24" t="str">
        <x:v>species_ppr</x:v>
      </x:c>
      <x:c r="C11" s="24" t="n">
        <x:v>11569295.26355968</x:v>
      </x:c>
      <x:c r="D11" s="24" t="str">
        <x:v>tonnes_primary_production_equivalent</x:v>
      </x:c>
    </x:row>
    <x:row r="12" ht="18" customHeight="1">
      <x:c r="A12" s="24" t="str">
        <x:v>EEZ_197</x:v>
      </x:c>
      <x:c r="B12" s="24" t="str">
        <x:v>commercial_ppr</x:v>
      </x:c>
      <x:c r="C12" s="24" t="n">
        <x:v>11569295.263559679</x:v>
      </x:c>
      <x:c r="D12" s="24" t="str">
        <x:v>tonnes_primary_production_equivalent</x:v>
      </x:c>
    </x:row>
    <x:row r="13" ht="18" customHeight="1">
      <x:c r="A13" s="24" t="str">
        <x:v>EEZ_197</x:v>
      </x:c>
      <x:c r="B13" s="24" t="str">
        <x:v>functional_ppr</x:v>
      </x:c>
      <x:c r="C13" s="24" t="n">
        <x:v>11569295.263559679</x:v>
      </x:c>
      <x:c r="D13" s="24" t="str">
        <x:v>tonnes_primary_production_equivalent</x:v>
      </x:c>
    </x:row>
    <x:row r="14" ht="18" customHeight="1">
      <x:c r="A14" s="24" t="str">
        <x:v>EEZ_197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EEZ_197</x:v>
      </x:c>
      <x:c r="B15" s="24" t="str">
        <x:v>functional_ppr_difference</x:v>
      </x:c>
      <x:c r="C15" s="24" t="n">
        <x:v>-1.862645149230957e-9</x:v>
      </x:c>
      <x:c r="D15" s="24" t="str">
        <x:v>tonnes_primary_production_equivalent</x:v>
      </x:c>
    </x:row>
    <x:row r="16" ht="18" customHeight="1">
      <x:c r="A16" s="24" t="str">
        <x:v>EEZ_197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EEZ_197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EEZ_197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EEZ_197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5386d7d2c3447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EEZ_197 - Cyprus (North)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EEZ_197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raw_data/SAU_downloads/EEZ_197-catch.zip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