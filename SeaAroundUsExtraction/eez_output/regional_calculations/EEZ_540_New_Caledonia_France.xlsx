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7ddc8147c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c9c3c0b7404973"/>
    <x:sheet xmlns:r="http://schemas.openxmlformats.org/officeDocument/2006/relationships" name="Commercial" sheetId="2" r:id="Rce467d2fc0db4e6f"/>
    <x:sheet xmlns:r="http://schemas.openxmlformats.org/officeDocument/2006/relationships" name="Functional" sheetId="3" r:id="R2b3b5bee903d4cbe"/>
    <x:sheet xmlns:r="http://schemas.openxmlformats.org/officeDocument/2006/relationships" name="Missing TL" sheetId="4" r:id="Rd995d2c254a9456b"/>
    <x:sheet xmlns:r="http://schemas.openxmlformats.org/officeDocument/2006/relationships" name="Validation" sheetId="5" r:id="R74bd9e946b794d74"/>
    <x:sheet xmlns:r="http://schemas.openxmlformats.org/officeDocument/2006/relationships" name="Metadata" sheetId="6" r:id="Rf1bef9bcf99a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4d134e3824311" /><Relationship Type="http://schemas.openxmlformats.org/officeDocument/2006/relationships/theme" Target="/xl/theme/theme1.xml" Id="Re194b7c930d24533" /><Relationship Type="http://schemas.microsoft.com/office/2022/11/relationships/FeaturePropertyBag" Target="/xl/featurePropertyBag/featurePropertyBag.xml" Id="R67c4c42727ed4fe0" /><Relationship Type="http://schemas.openxmlformats.org/officeDocument/2006/relationships/sharedStrings" Target="/xl/sharedStrings.xml" Id="Rc35e188ae8724327" /><Relationship Type="http://schemas.openxmlformats.org/officeDocument/2006/relationships/worksheet" Target="/xl/worksheets/sheet1.xml" Id="R59c9c3c0b7404973" /><Relationship Type="http://schemas.openxmlformats.org/officeDocument/2006/relationships/worksheet" Target="/xl/worksheets/sheet2.xml" Id="Rce467d2fc0db4e6f" /><Relationship Type="http://schemas.openxmlformats.org/officeDocument/2006/relationships/worksheet" Target="/xl/worksheets/sheet3.xml" Id="R2b3b5bee903d4cbe" /><Relationship Type="http://schemas.openxmlformats.org/officeDocument/2006/relationships/worksheet" Target="/xl/worksheets/sheet4.xml" Id="Rd995d2c254a9456b" /><Relationship Type="http://schemas.openxmlformats.org/officeDocument/2006/relationships/worksheet" Target="/xl/worksheets/sheet5.xml" Id="R74bd9e946b794d74" /><Relationship Type="http://schemas.openxmlformats.org/officeDocument/2006/relationships/worksheet" Target="/xl/worksheets/sheet6.xml" Id="Rf1bef9bcf99a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40SpeciesTable" displayName="EEZ540SpeciesTable" ref="A1:U56" headerRowCount="1" totalsRowCount="0" totalsRowShown="0">
  <x:autoFilter ref="A1:U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40CommercialTable" displayName="EEZ540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40FunctionalTable" displayName="EEZ540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40ValidationTable" displayName="EEZ5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42f68fb49940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7103d39393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9279bc55c8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8a5cd959c942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EEZ_540</x:v>
      </x:c>
      <x:c r="B2" s="24" t="str">
        <x:v>New Caledonia (France)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2508.2835554171</x:v>
      </x:c>
      <x:c r="J2" s="31" t="n">
        <x:v>2485.746431</x:v>
      </x:c>
      <x:c r="K2" s="31" t="n">
        <x:v>22.5371244171</x:v>
      </x:c>
      <x:c r="L2" s="31" t="n">
        <x:v>0</x:v>
      </x:c>
      <x:c r="M2" s="31" t="n">
        <x:v>2508.2835554171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4564325.739429797</x:v>
      </x:c>
    </x:row>
    <x:row r="3" ht="18" customHeight="1">
      <x:c r="A3" s="24" t="str">
        <x:v>EEZ_540</x:v>
      </x:c>
      <x:c r="B3" s="24" t="str">
        <x:v>New Caledonia (France)</x:v>
      </x:c>
      <x:c r="C3" s="24" t="str">
        <x:v>EEZ</x:v>
      </x:c>
      <x:c r="D3" s="30" t="n">
        <x:v>2019</x:v>
      </x:c>
      <x:c r="E3" s="24" t="str">
        <x:v>Lethrinus nebulosus</x:v>
      </x:c>
      <x:c r="F3" s="24" t="str">
        <x:v>Spangled emperor</x:v>
      </x:c>
      <x:c r="G3" s="24" t="str">
        <x:v>Medium demersals (30 - 89 cm)</x:v>
      </x:c>
      <x:c r="H3" s="24" t="str">
        <x:v>Perch-likes</x:v>
      </x:c>
      <x:c r="I3" s="31" t="n">
        <x:v>1264.3835718189998</x:v>
      </x:c>
      <x:c r="J3" s="31" t="n">
        <x:v>1264.3835718189998</x:v>
      </x:c>
      <x:c r="K3" s="31" t="n">
        <x:v>0</x:v>
      </x:c>
      <x:c r="L3" s="31" t="n">
        <x:v>4.894259819</x:v>
      </x:c>
      <x:c r="M3" s="31" t="n">
        <x:v>1259.489312</x:v>
      </x:c>
      <x:c r="N3" s="24" t="str">
        <x:v>lethrinus nebulosus</x:v>
      </x:c>
      <x:c r="O3" s="32" t="n">
        <x:v>3.76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Lethrinus nebulosus</x:v>
      </x:c>
      <x:c r="T3" s="32" t="n">
        <x:f>IF(O3="","",(1/'Metadata'!$B$5)^(O3-1))</x:f>
        <x:v>575.4399373371566</x:v>
      </x:c>
      <x:c r="U3" s="31" t="n">
        <x:f>IF(T3="","",I3*T3)</x:f>
        <x:v>727576.8033376555</x:v>
      </x:c>
    </x:row>
    <x:row r="4" ht="18" customHeight="1">
      <x:c r="A4" s="24" t="str">
        <x:v>EEZ_540</x:v>
      </x:c>
      <x:c r="B4" s="24" t="str">
        <x:v>New Caledonia (France)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1173.459439493</x:v>
      </x:c>
      <x:c r="J4" s="31" t="n">
        <x:v>1173.459439493</x:v>
      </x:c>
      <x:c r="K4" s="31" t="n">
        <x:v>0</x:v>
      </x:c>
      <x:c r="L4" s="31" t="n">
        <x:v>23.087613293</x:v>
      </x:c>
      <x:c r="M4" s="31" t="n">
        <x:v>1150.3718262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1228762.8790729262</x:v>
      </x:c>
    </x:row>
    <x:row r="5" ht="18" customHeight="1">
      <x:c r="A5" s="24" t="str">
        <x:v>EEZ_540</x:v>
      </x:c>
      <x:c r="B5" s="24" t="str">
        <x:v>New Caledonia (France)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910.20861186</x:v>
      </x:c>
      <x:c r="J5" s="31" t="n">
        <x:v>910.20861186</x:v>
      </x:c>
      <x:c r="K5" s="31" t="n">
        <x:v>0</x:v>
      </x:c>
      <x:c r="L5" s="31" t="n">
        <x:v>2.21550856</x:v>
      </x:c>
      <x:c r="M5" s="31" t="n">
        <x:v>907.9931033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869242.4760591629</x:v>
      </x:c>
    </x:row>
    <x:row r="6" ht="18" customHeight="1">
      <x:c r="A6" s="24" t="str">
        <x:v>EEZ_540</x:v>
      </x:c>
      <x:c r="B6" s="24" t="str">
        <x:v>New Caledonia (France)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758.9627641376001</x:v>
      </x:c>
      <x:c r="J6" s="31" t="n">
        <x:v>647.847805128</x:v>
      </x:c>
      <x:c r="K6" s="31" t="n">
        <x:v>111.1149590096</x:v>
      </x:c>
      <x:c r="L6" s="31" t="n">
        <x:v>3.021148038</x:v>
      </x:c>
      <x:c r="M6" s="31" t="n">
        <x:v>755.9416160996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144617.37334610015</x:v>
      </x:c>
    </x:row>
    <x:row r="7" ht="18" customHeight="1">
      <x:c r="A7" s="24" t="str">
        <x:v>EEZ_540</x:v>
      </x:c>
      <x:c r="B7" s="24" t="str">
        <x:v>New Caledonia (France)</x:v>
      </x:c>
      <x:c r="C7" s="24" t="str">
        <x:v>EEZ</x:v>
      </x:c>
      <x:c r="D7" s="30" t="n">
        <x:v>2019</x:v>
      </x:c>
      <x:c r="E7" s="24" t="str">
        <x:v>Thunnus alalunga</x:v>
      </x:c>
      <x:c r="F7" s="24" t="str">
        <x:v>Albacore</x:v>
      </x:c>
      <x:c r="G7" s="24" t="str">
        <x:v>Large pelagics (&gt;=90 cm)</x:v>
      </x:c>
      <x:c r="H7" s="24" t="str">
        <x:v>Tuna &amp; billfishes</x:v>
      </x:c>
      <x:c r="I7" s="31" t="n">
        <x:v>643.2844919834</x:v>
      </x:c>
      <x:c r="J7" s="31" t="n">
        <x:v>643.2830263705999</x:v>
      </x:c>
      <x:c r="K7" s="31" t="n">
        <x:v>0.0014656128</x:v>
      </x:c>
      <x:c r="L7" s="31" t="n">
        <x:v>643.2830263705999</x:v>
      </x:c>
      <x:c r="M7" s="31" t="n">
        <x:v>0.0014656128</x:v>
      </x:c>
      <x:c r="N7" s="24" t="str">
        <x:v>thunnus alalunga</x:v>
      </x:c>
      <x:c r="O7" s="32" t="n">
        <x:v>4.3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alalunga</x:v>
      </x:c>
      <x:c r="T7" s="32" t="n">
        <x:f>IF(O7="","",(1/'Metadata'!$B$5)^(O7-1))</x:f>
        <x:v>1995.2623149688789</x:v>
      </x:c>
      <x:c r="U7" s="31" t="n">
        <x:f>IF(T7="","",I7*T7)</x:f>
        <x:v>1283521.304658378</x:v>
      </x:c>
    </x:row>
    <x:row r="8" ht="18" customHeight="1">
      <x:c r="A8" s="24" t="str">
        <x:v>EEZ_540</x:v>
      </x:c>
      <x:c r="B8" s="24" t="str">
        <x:v>New Caledonia (France)</x:v>
      </x:c>
      <x:c r="C8" s="24" t="str">
        <x:v>EEZ</x:v>
      </x:c>
      <x:c r="D8" s="30" t="n">
        <x:v>2019</x:v>
      </x:c>
      <x:c r="E8" s="24" t="str">
        <x:v>Valamugil</x:v>
      </x:c>
      <x:c r="F8" s="24" t="str">
        <x:v>Indo-Pacific mullets</x:v>
      </x:c>
      <x:c r="G8" s="24" t="str">
        <x:v>Medium reef assoc. fish (30 - 89 cm)</x:v>
      </x:c>
      <x:c r="H8" s="24" t="str">
        <x:v>Perch-likes</x:v>
      </x:c>
      <x:c r="I8" s="31" t="n">
        <x:v>620.055605569</x:v>
      </x:c>
      <x:c r="J8" s="31" t="n">
        <x:v>620.055605569</x:v>
      </x:c>
      <x:c r="K8" s="31" t="n">
        <x:v>0</x:v>
      </x:c>
      <x:c r="L8" s="31" t="n">
        <x:v>133.194240769</x:v>
      </x:c>
      <x:c r="M8" s="31" t="n">
        <x:v>486.8613648</x:v>
      </x:c>
      <x:c r="N8" s="24" t="str">
        <x:v>valamugil</x:v>
      </x:c>
      <x:c r="O8" s="32" t="n">
        <x:v>2.34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Valamugil</x:v>
      </x:c>
      <x:c r="T8" s="32" t="n">
        <x:f>IF(O8="","",(1/'Metadata'!$B$5)^(O8-1))</x:f>
        <x:v>21.87761623949552</x:v>
      </x:c>
      <x:c r="U8" s="31" t="n">
        <x:f>IF(T8="","",I8*T8)</x:f>
        <x:v>13565.338585786583</x:v>
      </x:c>
    </x:row>
    <x:row r="9" ht="18" customHeight="1">
      <x:c r="A9" s="24" t="str">
        <x:v>EEZ_540</x:v>
      </x:c>
      <x:c r="B9" s="24" t="str">
        <x:v>New Caledonia (France)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546.4654448192</x:v>
      </x:c>
      <x:c r="J9" s="31" t="n">
        <x:v>311.7936045751</x:v>
      </x:c>
      <x:c r="K9" s="31" t="n">
        <x:v>234.6718402441</x:v>
      </x:c>
      <x:c r="L9" s="31" t="n">
        <x:v>311.7936045751</x:v>
      </x:c>
      <x:c r="M9" s="31" t="n">
        <x:v>234.6718402441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1223383.7428138924</x:v>
      </x:c>
    </x:row>
    <x:row r="10" ht="18" customHeight="1">
      <x:c r="A10" s="24" t="str">
        <x:v>EEZ_540</x:v>
      </x:c>
      <x:c r="B10" s="24" t="str">
        <x:v>New Caledonia (France)</x:v>
      </x:c>
      <x:c r="C10" s="24" t="str">
        <x:v>EEZ</x:v>
      </x:c>
      <x:c r="D10" s="30" t="n">
        <x:v>2019</x:v>
      </x:c>
      <x:c r="E10" s="24" t="str">
        <x:v>Lethrinidae</x:v>
      </x:c>
      <x:c r="F10" s="24" t="str">
        <x:v>Emperors, scavengers</x:v>
      </x:c>
      <x:c r="G10" s="24" t="str">
        <x:v>Medium reef assoc. fish (30 - 89 cm)</x:v>
      </x:c>
      <x:c r="H10" s="24" t="str">
        <x:v>Perch-likes</x:v>
      </x:c>
      <x:c r="I10" s="31" t="n">
        <x:v>482.63507520499996</x:v>
      </x:c>
      <x:c r="J10" s="31" t="n">
        <x:v>482.63507520499996</x:v>
      </x:c>
      <x:c r="K10" s="31" t="n">
        <x:v>0</x:v>
      </x:c>
      <x:c r="L10" s="31" t="n">
        <x:v>0.161127895</x:v>
      </x:c>
      <x:c r="M10" s="31" t="n">
        <x:v>482.47394730999997</x:v>
      </x:c>
      <x:c r="N10" s="24" t="str">
        <x:v>lethrinidae</x:v>
      </x:c>
      <x:c r="O10" s="32" t="n">
        <x:v>3.59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Lethrinidae</x:v>
      </x:c>
      <x:c r="T10" s="32" t="n">
        <x:f>IF(O10="","",(1/'Metadata'!$B$5)^(O10-1))</x:f>
        <x:v>389.04514499428046</x:v>
      </x:c>
      <x:c r="U10" s="31" t="n">
        <x:f>IF(T10="","",I10*T10)</x:f>
        <x:v>187766.83281245467</x:v>
      </x:c>
    </x:row>
    <x:row r="11" ht="18" customHeight="1">
      <x:c r="A11" s="24" t="str">
        <x:v>EEZ_540</x:v>
      </x:c>
      <x:c r="B11" s="24" t="str">
        <x:v>New Caledonia (France)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376.09006370599997</x:v>
      </x:c>
      <x:c r="J11" s="31" t="n">
        <x:v>372.372152976</x:v>
      </x:c>
      <x:c r="K11" s="31" t="n">
        <x:v>3.7179107300000003</x:v>
      </x:c>
      <x:c r="L11" s="31" t="n">
        <x:v>372.372152976</x:v>
      </x:c>
      <x:c r="M11" s="31" t="n">
        <x:v>3.7179107300000003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966700.3136911759</x:v>
      </x:c>
    </x:row>
    <x:row r="12" ht="18" customHeight="1">
      <x:c r="A12" s="24" t="str">
        <x:v>EEZ_540</x:v>
      </x:c>
      <x:c r="B12" s="24" t="str">
        <x:v>New Caledonia (France)</x:v>
      </x:c>
      <x:c r="C12" s="24" t="str">
        <x:v>EEZ</x:v>
      </x:c>
      <x:c r="D12" s="30" t="n">
        <x:v>2019</x:v>
      </x:c>
      <x:c r="E12" s="24" t="str">
        <x:v>Sphyraenidae</x:v>
      </x:c>
      <x:c r="F12" s="24" t="str">
        <x:v>Barracudas</x:v>
      </x:c>
      <x:c r="G12" s="24" t="str">
        <x:v>Medium reef assoc. fish (30 - 89 cm)</x:v>
      </x:c>
      <x:c r="H12" s="24" t="str">
        <x:v>Perch-likes</x:v>
      </x:c>
      <x:c r="I12" s="31" t="n">
        <x:v>345.191832431</x:v>
      </x:c>
      <x:c r="J12" s="31" t="n">
        <x:v>345.191832431</x:v>
      </x:c>
      <x:c r="K12" s="31" t="n">
        <x:v>0</x:v>
      </x:c>
      <x:c r="L12" s="31" t="n">
        <x:v>0.060422961</x:v>
      </x:c>
      <x:c r="M12" s="31" t="n">
        <x:v>345.13140947</x:v>
      </x:c>
      <x:c r="N12" s="24" t="str">
        <x:v>sphyraenidae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Sphyraenidae</x:v>
      </x:c>
      <x:c r="T12" s="32" t="n">
        <x:f>IF(O12="","",(1/'Metadata'!$B$5)^(O12-1))</x:f>
        <x:v>2511.886431509582</x:v>
      </x:c>
      <x:c r="U12" s="31" t="n">
        <x:f>IF(T12="","",I12*T12)</x:f>
        <x:v>867082.6801513582</x:v>
      </x:c>
    </x:row>
    <x:row r="13" ht="18" customHeight="1">
      <x:c r="A13" s="24" t="str">
        <x:v>EEZ_540</x:v>
      </x:c>
      <x:c r="B13" s="24" t="str">
        <x:v>New Caledonia (France)</x:v>
      </x:c>
      <x:c r="C13" s="24" t="str">
        <x:v>EEZ</x:v>
      </x:c>
      <x:c r="D13" s="30" t="n">
        <x:v>2019</x:v>
      </x:c>
      <x:c r="E13" s="24" t="str">
        <x:v>Holothuriidae</x:v>
      </x:c>
      <x:c r="F13" s="24" t="str">
        <x:v>Fleshy sea cucumbers</x:v>
      </x:c>
      <x:c r="G13" s="24" t="str">
        <x:v>Other demersal invertebrates</x:v>
      </x:c>
      <x:c r="H13" s="24" t="str">
        <x:v>Other fishes &amp; inverts</x:v>
      </x:c>
      <x:c r="I13" s="31" t="n">
        <x:v>279</x:v>
      </x:c>
      <x:c r="J13" s="31" t="n">
        <x:v>279</x:v>
      </x:c>
      <x:c r="K13" s="31" t="n">
        <x:v>0</x:v>
      </x:c>
      <x:c r="L13" s="31" t="n">
        <x:v>279</x:v>
      </x:c>
      <x:c r="M13" s="31" t="n">
        <x:v>0</x:v>
      </x:c>
      <x:c r="N13" s="24" t="str">
        <x:v>holothuriidae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Holothuriidae</x:v>
      </x:c>
      <x:c r="T13" s="32" t="n">
        <x:f>IF(O13="","",(1/'Metadata'!$B$5)^(O13-1))</x:f>
        <x:v>10</x:v>
      </x:c>
      <x:c r="U13" s="31" t="n">
        <x:f>IF(T13="","",I13*T13)</x:f>
        <x:v>2790</x:v>
      </x:c>
    </x:row>
    <x:row r="14" ht="18" customHeight="1">
      <x:c r="A14" s="24" t="str">
        <x:v>EEZ_540</x:v>
      </x:c>
      <x:c r="B14" s="24" t="str">
        <x:v>New Caledonia (France)</x:v>
      </x:c>
      <x:c r="C14" s="24" t="str">
        <x:v>EEZ</x:v>
      </x:c>
      <x:c r="D14" s="30" t="n">
        <x:v>2019</x:v>
      </x:c>
      <x:c r="E14" s="24" t="str">
        <x:v>Plectropomus leopardus</x:v>
      </x:c>
      <x:c r="F14" s="24" t="str">
        <x:v>Leopard coralgrouper</x:v>
      </x:c>
      <x:c r="G14" s="24" t="str">
        <x:v>Large reef assoc. fish (&gt;=90 cm)</x:v>
      </x:c>
      <x:c r="H14" s="24" t="str">
        <x:v>Perch-likes</x:v>
      </x:c>
      <x:c r="I14" s="31" t="n">
        <x:v>209.996812806</x:v>
      </x:c>
      <x:c r="J14" s="31" t="n">
        <x:v>209.996812806</x:v>
      </x:c>
      <x:c r="K14" s="31" t="n">
        <x:v>0</x:v>
      </x:c>
      <x:c r="L14" s="31" t="n">
        <x:v>1.067472306</x:v>
      </x:c>
      <x:c r="M14" s="31" t="n">
        <x:v>208.9293405</x:v>
      </x:c>
      <x:c r="N14" s="24" t="str">
        <x:v>plectropomus leopardus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Plectropomus leopardus</x:v>
      </x:c>
      <x:c r="T14" s="32" t="n">
        <x:f>IF(O14="","",(1/'Metadata'!$B$5)^(O14-1))</x:f>
        <x:v>2630.2679918953813</x:v>
      </x:c>
      <x:c r="U14" s="31" t="n">
        <x:f>IF(T14="","",I14*T14)</x:f>
        <x:v>552347.8951236679</x:v>
      </x:c>
    </x:row>
    <x:row r="15" ht="18" customHeight="1">
      <x:c r="A15" s="24" t="str">
        <x:v>EEZ_540</x:v>
      </x:c>
      <x:c r="B15" s="24" t="str">
        <x:v>New Caledonia (France)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204.788855017</x:v>
      </x:c>
      <x:c r="J15" s="31" t="n">
        <x:v>204.788855017</x:v>
      </x:c>
      <x:c r="K15" s="31" t="n">
        <x:v>0</x:v>
      </x:c>
      <x:c r="L15" s="31" t="n">
        <x:v>0.221550857</x:v>
      </x:c>
      <x:c r="M15" s="31" t="n">
        <x:v>204.56730416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229776.87456444313</x:v>
      </x:c>
    </x:row>
    <x:row r="16" ht="18" customHeight="1">
      <x:c r="A16" s="24" t="str">
        <x:v>EEZ_540</x:v>
      </x:c>
      <x:c r="B16" s="24" t="str">
        <x:v>New Caledonia (France)</x:v>
      </x:c>
      <x:c r="C16" s="24" t="str">
        <x:v>EEZ</x:v>
      </x:c>
      <x:c r="D16" s="30" t="n">
        <x:v>2019</x:v>
      </x:c>
      <x:c r="E16" s="24" t="str">
        <x:v>Naso unicornis</x:v>
      </x:c>
      <x:c r="F16" s="24" t="str">
        <x:v>Bluespine unicornfish</x:v>
      </x:c>
      <x:c r="G16" s="24" t="str">
        <x:v>Medium reef assoc. fish (30 - 89 cm)</x:v>
      </x:c>
      <x:c r="H16" s="24" t="str">
        <x:v>Perch-likes</x:v>
      </x:c>
      <x:c r="I16" s="31" t="n">
        <x:v>153.464651489</x:v>
      </x:c>
      <x:c r="J16" s="31" t="n">
        <x:v>153.464651489</x:v>
      </x:c>
      <x:c r="K16" s="31" t="n">
        <x:v>0</x:v>
      </x:c>
      <x:c r="L16" s="31" t="n">
        <x:v>0.785498489</x:v>
      </x:c>
      <x:c r="M16" s="31" t="n">
        <x:v>152.679153</x:v>
      </x:c>
      <x:c r="N16" s="24" t="str">
        <x:v>naso unicornis</x:v>
      </x:c>
      <x:c r="O16" s="32" t="n">
        <x:v>2.17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Naso unicornis</x:v>
      </x:c>
      <x:c r="T16" s="32" t="n">
        <x:f>IF(O16="","",(1/'Metadata'!$B$5)^(O16-1))</x:f>
        <x:v>14.791083881682072</x:v>
      </x:c>
      <x:c r="U16" s="31" t="n">
        <x:f>IF(T16="","",I16*T16)</x:f>
        <x:v>2269.9085330469047</x:v>
      </x:c>
    </x:row>
    <x:row r="17" ht="18" customHeight="1">
      <x:c r="A17" s="24" t="str">
        <x:v>EEZ_540</x:v>
      </x:c>
      <x:c r="B17" s="24" t="str">
        <x:v>New Caledonia (France)</x:v>
      </x:c>
      <x:c r="C17" s="24" t="str">
        <x:v>EEZ</x:v>
      </x:c>
      <x:c r="D17" s="30" t="n">
        <x:v>2019</x:v>
      </x:c>
      <x:c r="E17" s="24" t="str">
        <x:v>Lethrinus xanthochilus</x:v>
      </x:c>
      <x:c r="F17" s="24" t="str">
        <x:v>Yellowlip emperor</x:v>
      </x:c>
      <x:c r="G17" s="24" t="str">
        <x:v>Medium reef assoc. fish (30 - 89 cm)</x:v>
      </x:c>
      <x:c r="H17" s="24" t="str">
        <x:v>Perch-likes</x:v>
      </x:c>
      <x:c r="I17" s="31" t="n">
        <x:v>152.679153</x:v>
      </x:c>
      <x:c r="J17" s="31" t="n">
        <x:v>152.679153</x:v>
      </x:c>
      <x:c r="K17" s="31" t="n">
        <x:v>0</x:v>
      </x:c>
      <x:c r="L17" s="31" t="n">
        <x:v>0</x:v>
      </x:c>
      <x:c r="M17" s="31" t="n">
        <x:v>152.679153</x:v>
      </x:c>
      <x:c r="N17" s="24" t="str">
        <x:v>lethrinus xanthochilus</x:v>
      </x:c>
      <x:c r="O17" s="32" t="n">
        <x:v>3.78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Lethrinus xanthochilus</x:v>
      </x:c>
      <x:c r="T17" s="32" t="n">
        <x:f>IF(O17="","",(1/'Metadata'!$B$5)^(O17-1))</x:f>
        <x:v>602.5595860743575</x:v>
      </x:c>
      <x:c r="U17" s="31" t="n">
        <x:f>IF(T17="","",I17*T17)</x:f>
        <x:v>91998.2872338635</x:v>
      </x:c>
    </x:row>
    <x:row r="18" ht="18" customHeight="1">
      <x:c r="A18" s="24" t="str">
        <x:v>EEZ_540</x:v>
      </x:c>
      <x:c r="B18" s="24" t="str">
        <x:v>New Caledonia (France)</x:v>
      </x:c>
      <x:c r="C18" s="24" t="str">
        <x:v>EEZ</x:v>
      </x:c>
      <x:c r="D18" s="30" t="n">
        <x:v>2019</x:v>
      </x:c>
      <x:c r="E18" s="24" t="str">
        <x:v>Scomberomorus commerson</x:v>
      </x:c>
      <x:c r="F18" s="24" t="str">
        <x:v>Narrow-barred Spanish mackerel</x:v>
      </x:c>
      <x:c r="G18" s="24" t="str">
        <x:v>Large pelagics (&gt;=90 cm)</x:v>
      </x:c>
      <x:c r="H18" s="24" t="str">
        <x:v>Perch-likes</x:v>
      </x:c>
      <x:c r="I18" s="31" t="n">
        <x:v>143.19850738099998</x:v>
      </x:c>
      <x:c r="J18" s="31" t="n">
        <x:v>143.19850738099998</x:v>
      </x:c>
      <x:c r="K18" s="31" t="n">
        <x:v>0</x:v>
      </x:c>
      <x:c r="L18" s="31" t="n">
        <x:v>18.644511581</x:v>
      </x:c>
      <x:c r="M18" s="31" t="n">
        <x:v>124.5539958</x:v>
      </x:c>
      <x:c r="N18" s="24" t="str">
        <x:v>scomberomorus commerson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commerson</x:v>
      </x:c>
      <x:c r="T18" s="32" t="n">
        <x:f>IF(O18="","",(1/'Metadata'!$B$5)^(O18-1))</x:f>
        <x:v>3162.2776601683795</x:v>
      </x:c>
      <x:c r="U18" s="31" t="n">
        <x:f>IF(T18="","",I18*T18)</x:f>
        <x:v>452833.44086039305</x:v>
      </x:c>
    </x:row>
    <x:row r="19" ht="18" customHeight="1">
      <x:c r="A19" s="24" t="str">
        <x:v>EEZ_540</x:v>
      </x:c>
      <x:c r="B19" s="24" t="str">
        <x:v>New Caledonia (France)</x:v>
      </x:c>
      <x:c r="C19" s="24" t="str">
        <x:v>EEZ</x:v>
      </x:c>
      <x:c r="D19" s="30" t="n">
        <x:v>2019</x:v>
      </x:c>
      <x:c r="E19" s="24" t="str">
        <x:v>Scylla serrata</x:v>
      </x:c>
      <x:c r="F19" s="24" t="str">
        <x:v>Indo-Pacific swamp crab</x:v>
      </x:c>
      <x:c r="G19" s="24" t="str">
        <x:v>Lobsters, crabs</x:v>
      </x:c>
      <x:c r="H19" s="24" t="str">
        <x:v>Crustaceans</x:v>
      </x:c>
      <x:c r="I19" s="31" t="n">
        <x:v>124.5539958</x:v>
      </x:c>
      <x:c r="J19" s="31" t="n">
        <x:v>124.5539958</x:v>
      </x:c>
      <x:c r="K19" s="31" t="n">
        <x:v>0</x:v>
      </x:c>
      <x:c r="L19" s="31" t="n">
        <x:v>0</x:v>
      </x:c>
      <x:c r="M19" s="31" t="n">
        <x:v>124.5539958</x:v>
      </x:c>
      <x:c r="N19" s="24" t="str">
        <x:v>scylla serrata</x:v>
      </x:c>
      <x:c r="O19" s="32" t="n">
        <x:v>3.17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Scylla serrata</x:v>
      </x:c>
      <x:c r="T19" s="32" t="n">
        <x:f>IF(O19="","",(1/'Metadata'!$B$5)^(O19-1))</x:f>
        <x:v>147.91083881682073</x:v>
      </x:c>
      <x:c r="U19" s="31" t="n">
        <x:f>IF(T19="","",I19*T19)</x:f>
        <x:v>18422.885996764766</x:v>
      </x:c>
    </x:row>
    <x:row r="20" ht="18" customHeight="1">
      <x:c r="A20" s="24" t="str">
        <x:v>EEZ_540</x:v>
      </x:c>
      <x:c r="B20" s="24" t="str">
        <x:v>New Caledonia (France)</x:v>
      </x:c>
      <x:c r="C20" s="24" t="str">
        <x:v>EEZ</x:v>
      </x:c>
      <x:c r="D20" s="30" t="n">
        <x:v>2019</x:v>
      </x:c>
      <x:c r="E20" s="24" t="str">
        <x:v>Siganus lineatus</x:v>
      </x:c>
      <x:c r="F20" s="24" t="str">
        <x:v>Golden-lined spinefoot</x:v>
      </x:c>
      <x:c r="G20" s="24" t="str">
        <x:v>Medium reef assoc. fish (30 - 89 cm)</x:v>
      </x:c>
      <x:c r="H20" s="24" t="str">
        <x:v>Perch-likes</x:v>
      </x:c>
      <x:c r="I20" s="31" t="n">
        <x:v>113.08447642</x:v>
      </x:c>
      <x:c r="J20" s="31" t="n">
        <x:v>113.08447642</x:v>
      </x:c>
      <x:c r="K20" s="31" t="n">
        <x:v>0</x:v>
      </x:c>
      <x:c r="L20" s="31" t="n">
        <x:v>0.58408862</x:v>
      </x:c>
      <x:c r="M20" s="31" t="n">
        <x:v>112.5003878</x:v>
      </x:c>
      <x:c r="N20" s="24" t="str">
        <x:v>siganus lineatus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Siganus lineatus</x:v>
      </x:c>
      <x:c r="T20" s="32" t="n">
        <x:f>IF(O20="","",(1/'Metadata'!$B$5)^(O20-1))</x:f>
        <x:v>10</x:v>
      </x:c>
      <x:c r="U20" s="31" t="n">
        <x:f>IF(T20="","",I20*T20)</x:f>
        <x:v>1130.8447642</x:v>
      </x:c>
    </x:row>
    <x:row r="21" ht="18" customHeight="1">
      <x:c r="A21" s="24" t="str">
        <x:v>EEZ_540</x:v>
      </x:c>
      <x:c r="B21" s="24" t="str">
        <x:v>New Caledonia (France)</x:v>
      </x:c>
      <x:c r="C21" s="24" t="str">
        <x:v>EEZ</x:v>
      </x:c>
      <x:c r="D21" s="30" t="n">
        <x:v>2019</x:v>
      </x:c>
      <x:c r="E21" s="24" t="str">
        <x:v>Miscellaneous marine crustaceans</x:v>
      </x:c>
      <x:c r="F21" s="24" t="str">
        <x:v>Marine crabs, shrimps, lobsters nei</x:v>
      </x:c>
      <x:c r="G21" s="24" t="str">
        <x:v>Shrimps</x:v>
      </x:c>
      <x:c r="H21" s="24" t="str">
        <x:v>Crustaceans</x:v>
      </x:c>
      <x:c r="I21" s="31" t="n">
        <x:v>86</x:v>
      </x:c>
      <x:c r="J21" s="31" t="n">
        <x:v>86</x:v>
      </x:c>
      <x:c r="K21" s="31" t="n">
        <x:v>0</x:v>
      </x:c>
      <x:c r="L21" s="31" t="n">
        <x:v>86</x:v>
      </x:c>
      <x:c r="M21" s="31" t="n">
        <x:v>0</x:v>
      </x:c>
      <x:c r="N21" s="24" t="str">
        <x:v>miscellaneous marine crustaceans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Miscellaneous marine crustaceans</x:v>
      </x:c>
      <x:c r="T21" s="32" t="n">
        <x:f>IF(O21="","",(1/'Metadata'!$B$5)^(O21-1))</x:f>
        <x:v>50.11872336272725</x:v>
      </x:c>
      <x:c r="U21" s="31" t="n">
        <x:f>IF(T21="","",I21*T21)</x:f>
        <x:v>4310.2102091945435</x:v>
      </x:c>
    </x:row>
    <x:row r="22" ht="18" customHeight="1">
      <x:c r="A22" s="24" t="str">
        <x:v>EEZ_540</x:v>
      </x:c>
      <x:c r="B22" s="24" t="str">
        <x:v>New Caledonia (France)</x:v>
      </x:c>
      <x:c r="C22" s="24" t="str">
        <x:v>EEZ</x:v>
      </x:c>
      <x:c r="D22" s="30" t="n">
        <x:v>2019</x:v>
      </x:c>
      <x:c r="E22" s="24" t="str">
        <x:v>Gymnocranius euanus</x:v>
      </x:c>
      <x:c r="F22" s="24" t="str">
        <x:v>Japanese large-eye bream</x:v>
      </x:c>
      <x:c r="G22" s="24" t="str">
        <x:v>Medium reef assoc. fish (30 - 89 cm)</x:v>
      </x:c>
      <x:c r="H22" s="24" t="str">
        <x:v>Perch-likes</x:v>
      </x:c>
      <x:c r="I22" s="31" t="n">
        <x:v>68.646205007</x:v>
      </x:c>
      <x:c r="J22" s="31" t="n">
        <x:v>68.646205007</x:v>
      </x:c>
      <x:c r="K22" s="31" t="n">
        <x:v>0</x:v>
      </x:c>
      <x:c r="L22" s="31" t="n">
        <x:v>0.342396777</x:v>
      </x:c>
      <x:c r="M22" s="31" t="n">
        <x:v>68.30380823</x:v>
      </x:c>
      <x:c r="N22" s="24" t="str">
        <x:v>gymnocranius euanus</x:v>
      </x:c>
      <x:c r="O22" s="32" t="n">
        <x:v>3.8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Gymnocranius euanus</x:v>
      </x:c>
      <x:c r="T22" s="32" t="n">
        <x:f>IF(O22="","",(1/'Metadata'!$B$5)^(O22-1))</x:f>
        <x:v>630.957344480193</x:v>
      </x:c>
      <x:c r="U22" s="31" t="n">
        <x:f>IF(T22="","",I22*T22)</x:f>
        <x:v>43312.82721985965</x:v>
      </x:c>
    </x:row>
    <x:row r="23" ht="18" customHeight="1">
      <x:c r="A23" s="24" t="str">
        <x:v>EEZ_540</x:v>
      </x:c>
      <x:c r="B23" s="24" t="str">
        <x:v>New Caledonia (France)</x:v>
      </x:c>
      <x:c r="C23" s="24" t="str">
        <x:v>EEZ</x:v>
      </x:c>
      <x:c r="D23" s="30" t="n">
        <x:v>2019</x:v>
      </x:c>
      <x:c r="E23" s="24" t="str">
        <x:v>Lethrinus variegatus</x:v>
      </x:c>
      <x:c r="F23" s="24" t="str">
        <x:v>Slender emperor</x:v>
      </x:c>
      <x:c r="G23" s="24" t="str">
        <x:v>Small reef assoc. fish (&lt;30 cm)</x:v>
      </x:c>
      <x:c r="H23" s="24" t="str">
        <x:v>Perch-likes</x:v>
      </x:c>
      <x:c r="I23" s="31" t="n">
        <x:v>68.646205007</x:v>
      </x:c>
      <x:c r="J23" s="31" t="n">
        <x:v>68.646205007</x:v>
      </x:c>
      <x:c r="K23" s="31" t="n">
        <x:v>0</x:v>
      </x:c>
      <x:c r="L23" s="31" t="n">
        <x:v>0.342396777</x:v>
      </x:c>
      <x:c r="M23" s="31" t="n">
        <x:v>68.30380823</x:v>
      </x:c>
      <x:c r="N23" s="24" t="str">
        <x:v>lethrinus variegatus</x:v>
      </x:c>
      <x:c r="O23" s="32" t="n">
        <x:v>3.84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variegatus</x:v>
      </x:c>
      <x:c r="T23" s="32" t="n">
        <x:f>IF(O23="","",(1/'Metadata'!$B$5)^(O23-1))</x:f>
        <x:v>691.8309709189363</x:v>
      </x:c>
      <x:c r="U23" s="31" t="n">
        <x:f>IF(T23="","",I23*T23)</x:f>
        <x:v>47491.57065989316</x:v>
      </x:c>
    </x:row>
    <x:row r="24" ht="18" customHeight="1">
      <x:c r="A24" s="24" t="str">
        <x:v>EEZ_540</x:v>
      </x:c>
      <x:c r="B24" s="24" t="str">
        <x:v>New Caledonia (France)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60.11714241600001</x:v>
      </x:c>
      <x:c r="J24" s="31" t="n">
        <x:v>60.11714241600001</x:v>
      </x:c>
      <x:c r="K24" s="31" t="n">
        <x:v>0</x:v>
      </x:c>
      <x:c r="L24" s="31" t="n">
        <x:v>15.920562856</x:v>
      </x:c>
      <x:c r="M24" s="31" t="n">
        <x:v>44.19657956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2037.0342391449774</x:v>
      </x:c>
    </x:row>
    <x:row r="25" ht="18" customHeight="1">
      <x:c r="A25" s="24" t="str">
        <x:v>EEZ_540</x:v>
      </x:c>
      <x:c r="B25" s="24" t="str">
        <x:v>New Caledonia (France)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55.84074176200001</x:v>
      </x:c>
      <x:c r="J25" s="31" t="n">
        <x:v>21.6447686688</x:v>
      </x:c>
      <x:c r="K25" s="31" t="n">
        <x:v>34.1959730932</x:v>
      </x:c>
      <x:c r="L25" s="31" t="n">
        <x:v>21.6447686688</x:v>
      </x:c>
      <x:c r="M25" s="31" t="n">
        <x:v>34.1959730932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189213.0902053203</x:v>
      </x:c>
    </x:row>
    <x:row r="26" ht="18" customHeight="1">
      <x:c r="A26" s="24" t="str">
        <x:v>EEZ_540</x:v>
      </x:c>
      <x:c r="B26" s="24" t="str">
        <x:v>New Caledonia (France)</x:v>
      </x:c>
      <x:c r="C26" s="24" t="str">
        <x:v>EEZ</x:v>
      </x:c>
      <x:c r="D26" s="30" t="n">
        <x:v>2019</x:v>
      </x:c>
      <x:c r="E26" s="24" t="str">
        <x:v>Miscellaneous aquatic invertebrates</x:v>
      </x:c>
      <x:c r="F26" s="24" t="str">
        <x:v>Aquatic invertebrates</x:v>
      </x:c>
      <x:c r="G26" s="24" t="str">
        <x:v>Other demersal invertebrates</x:v>
      </x:c>
      <x:c r="H26" s="24" t="str">
        <x:v>Other fishes &amp; inverts</x:v>
      </x:c>
      <x:c r="I26" s="31" t="n">
        <x:v>53.121117369000004</x:v>
      </x:c>
      <x:c r="J26" s="31" t="n">
        <x:v>53.121117369000004</x:v>
      </x:c>
      <x:c r="K26" s="31" t="n">
        <x:v>0</x:v>
      </x:c>
      <x:c r="L26" s="31" t="n">
        <x:v>0.201409869</x:v>
      </x:c>
      <x:c r="M26" s="31" t="n">
        <x:v>52.9197075</x:v>
      </x:c>
      <x:c r="N26" s="24" t="str">
        <x:v>miscellaneous aquatic invertebrates</x:v>
      </x:c>
      <x:c r="O26" s="32" t="n">
        <x:v>2.43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aquatic invertebrates</x:v>
      </x:c>
      <x:c r="T26" s="32" t="n">
        <x:f>IF(O26="","",(1/'Metadata'!$B$5)^(O26-1))</x:f>
        <x:v>26.915348039269166</x:v>
      </x:c>
      <x:c r="U26" s="31" t="n">
        <x:f>IF(T26="","",I26*T26)</x:f>
        <x:v>1429.7733622215014</x:v>
      </x:c>
    </x:row>
    <x:row r="27" ht="18" customHeight="1">
      <x:c r="A27" s="24" t="str">
        <x:v>EEZ_540</x:v>
      </x:c>
      <x:c r="B27" s="24" t="str">
        <x:v>New Caledonia (France)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46.7376858163</x:v>
      </x:c>
      <x:c r="J27" s="31" t="n">
        <x:v>4.619902884</x:v>
      </x:c>
      <x:c r="K27" s="31" t="n">
        <x:v>42.1177829323</x:v>
      </x:c>
      <x:c r="L27" s="31" t="n">
        <x:v>4.619902884</x:v>
      </x:c>
      <x:c r="M27" s="31" t="n">
        <x:v>42.1177829323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151240.18669724528</x:v>
      </x:c>
    </x:row>
    <x:row r="28" ht="18" customHeight="1">
      <x:c r="A28" s="24" t="str">
        <x:v>EEZ_540</x:v>
      </x:c>
      <x:c r="B28" s="24" t="str">
        <x:v>New Caledonia (France)</x:v>
      </x:c>
      <x:c r="C28" s="24" t="str">
        <x:v>EEZ</x:v>
      </x:c>
      <x:c r="D28" s="30" t="n">
        <x:v>2019</x:v>
      </x:c>
      <x:c r="E28" s="24" t="str">
        <x:v>Scaridae</x:v>
      </x:c>
      <x:c r="F28" s="24" t="str">
        <x:v>Parrotfishes</x:v>
      </x:c>
      <x:c r="G28" s="24" t="str">
        <x:v>Medium reef assoc. fish (30 - 89 cm)</x:v>
      </x:c>
      <x:c r="H28" s="24" t="str">
        <x:v>Perch-likes</x:v>
      </x:c>
      <x:c r="I28" s="31" t="n">
        <x:v>44.418130417</x:v>
      </x:c>
      <x:c r="J28" s="31" t="n">
        <x:v>44.418130417</x:v>
      </x:c>
      <x:c r="K28" s="31" t="n">
        <x:v>0</x:v>
      </x:c>
      <x:c r="L28" s="31" t="n">
        <x:v>0.22155085700000002</x:v>
      </x:c>
      <x:c r="M28" s="31" t="n">
        <x:v>44.19657956</x:v>
      </x:c>
      <x:c r="N28" s="24" t="str">
        <x:v>scaridae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Scaridae</x:v>
      </x:c>
      <x:c r="T28" s="32" t="n">
        <x:f>IF(O28="","",(1/'Metadata'!$B$5)^(O28-1))</x:f>
        <x:v>10</x:v>
      </x:c>
      <x:c r="U28" s="31" t="n">
        <x:f>IF(T28="","",I28*T28)</x:f>
        <x:v>444.18130417</x:v>
      </x:c>
    </x:row>
    <x:row r="29" ht="18" customHeight="1">
      <x:c r="A29" s="24" t="str">
        <x:v>EEZ_540</x:v>
      </x:c>
      <x:c r="B29" s="24" t="str">
        <x:v>New Caledonia (France)</x:v>
      </x:c>
      <x:c r="C29" s="24" t="str">
        <x:v>EEZ</x:v>
      </x:c>
      <x:c r="D29" s="30" t="n">
        <x:v>2019</x:v>
      </x:c>
      <x:c r="E29" s="24" t="str">
        <x:v>Labridae</x:v>
      </x:c>
      <x:c r="F29" s="24" t="str">
        <x:v>Wrasses, gropers, tuskfishes</x:v>
      </x:c>
      <x:c r="G29" s="24" t="str">
        <x:v>Medium reef assoc. fish (30 - 89 cm)</x:v>
      </x:c>
      <x:c r="H29" s="24" t="str">
        <x:v>Perch-likes</x:v>
      </x:c>
      <x:c r="I29" s="31" t="n">
        <x:v>40.380124329000004</x:v>
      </x:c>
      <x:c r="J29" s="31" t="n">
        <x:v>40.380124329000004</x:v>
      </x:c>
      <x:c r="K29" s="31" t="n">
        <x:v>0</x:v>
      </x:c>
      <x:c r="L29" s="31" t="n">
        <x:v>0.20140986900000002</x:v>
      </x:c>
      <x:c r="M29" s="31" t="n">
        <x:v>40.17871446</x:v>
      </x:c>
      <x:c r="N29" s="24" t="str">
        <x:v>labridae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Labridae</x:v>
      </x:c>
      <x:c r="T29" s="32" t="n">
        <x:f>IF(O29="","",(1/'Metadata'!$B$5)^(O29-1))</x:f>
        <x:v>288.40315031266056</x:v>
      </x:c>
      <x:c r="U29" s="31" t="n">
        <x:f>IF(T29="","",I29*T29)</x:f>
        <x:v>11645.75506650051</x:v>
      </x:c>
    </x:row>
    <x:row r="30" ht="18" customHeight="1">
      <x:c r="A30" s="24" t="str">
        <x:v>EEZ_540</x:v>
      </x:c>
      <x:c r="B30" s="24" t="str">
        <x:v>New Caledonia (France)</x:v>
      </x:c>
      <x:c r="C30" s="24" t="str">
        <x:v>EEZ</x:v>
      </x:c>
      <x:c r="D30" s="30" t="n">
        <x:v>2019</x:v>
      </x:c>
      <x:c r="E30" s="24" t="str">
        <x:v>Isurus</x:v>
      </x:c>
      <x:c r="F30" s="24" t="str">
        <x:v>Mako sharks</x:v>
      </x:c>
      <x:c r="G30" s="24" t="str">
        <x:v>Large sharks (&gt;=90 cm)</x:v>
      </x:c>
      <x:c r="H30" s="24" t="str">
        <x:v>Sharks &amp; rays</x:v>
      </x:c>
      <x:c r="I30" s="31" t="n">
        <x:v>36.155654186700005</x:v>
      </x:c>
      <x:c r="J30" s="31" t="n">
        <x:v>13.4091610838</x:v>
      </x:c>
      <x:c r="K30" s="31" t="n">
        <x:v>22.7464931029</x:v>
      </x:c>
      <x:c r="L30" s="31" t="n">
        <x:v>13.4091610838</x:v>
      </x:c>
      <x:c r="M30" s="31" t="n">
        <x:v>22.7464931029</x:v>
      </x:c>
      <x:c r="N30" s="24" t="str">
        <x:v>isurus</x:v>
      </x:c>
      <x:c r="O30" s="32" t="n">
        <x:v>4.5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Isurus</x:v>
      </x:c>
      <x:c r="T30" s="32" t="n">
        <x:f>IF(O30="","",(1/'Metadata'!$B$5)^(O30-1))</x:f>
        <x:v>3162.2776601683795</x:v>
      </x:c>
      <x:c r="U30" s="31" t="n">
        <x:f>IF(T30="","",I30*T30)</x:f>
        <x:v>114334.21752337477</x:v>
      </x:c>
    </x:row>
    <x:row r="31" ht="18" customHeight="1">
      <x:c r="A31" s="24" t="str">
        <x:v>EEZ_540</x:v>
      </x:c>
      <x:c r="B31" s="24" t="str">
        <x:v>New Caledonia (France)</x:v>
      </x:c>
      <x:c r="C31" s="24" t="str">
        <x:v>EEZ</x:v>
      </x:c>
      <x:c r="D31" s="30" t="n">
        <x:v>2019</x:v>
      </x:c>
      <x:c r="E31" s="24" t="str">
        <x:v>Marine pelagic fishes not identified</x:v>
      </x:c>
      <x:c r="F31" s="24" t="str">
        <x:v>Pelagic fishes</x:v>
      </x:c>
      <x:c r="G31" s="24" t="str">
        <x:v>Medium pelagics (30 - 89 cm)</x:v>
      </x:c>
      <x:c r="H31" s="24" t="str">
        <x:v>Other fishes &amp; inverts</x:v>
      </x:c>
      <x:c r="I31" s="31" t="n">
        <x:v>33.508113501800004</x:v>
      </x:c>
      <x:c r="J31" s="31" t="n">
        <x:v>25.456386759</x:v>
      </x:c>
      <x:c r="K31" s="31" t="n">
        <x:v>8.0517267428</x:v>
      </x:c>
      <x:c r="L31" s="31" t="n">
        <x:v>25.456386759</x:v>
      </x:c>
      <x:c r="M31" s="31" t="n">
        <x:v>8.0517267428</x:v>
      </x:c>
      <x:c r="N31" s="24" t="str">
        <x:v>marine pelagic fishes not identified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pelagic fishes not identified</x:v>
      </x:c>
      <x:c r="T31" s="32" t="n">
        <x:f>IF(O31="","",(1/'Metadata'!$B$5)^(O31-1))</x:f>
        <x:v>223.872113856834</x:v>
      </x:c>
      <x:c r="U31" s="31" t="n">
        <x:f>IF(T31="","",I31*T31)</x:f>
        <x:v>7501.5322010026875</x:v>
      </x:c>
    </x:row>
    <x:row r="32" ht="18" customHeight="1">
      <x:c r="A32" s="24" t="str">
        <x:v>EEZ_540</x:v>
      </x:c>
      <x:c r="B32" s="24" t="str">
        <x:v>New Caledonia (France)</x:v>
      </x:c>
      <x:c r="C32" s="24" t="str">
        <x:v>EEZ</x:v>
      </x:c>
      <x:c r="D32" s="30" t="n">
        <x:v>2019</x:v>
      </x:c>
      <x:c r="E32" s="24" t="str">
        <x:v>Cephalopoda</x:v>
      </x:c>
      <x:c r="F32" s="24" t="str">
        <x:v>Squids, cuttlefishes, octopuses</x:v>
      </x:c>
      <x:c r="G32" s="24" t="str">
        <x:v>Cephalopods</x:v>
      </x:c>
      <x:c r="H32" s="24" t="str">
        <x:v>Other fishes &amp; inverts</x:v>
      </x:c>
      <x:c r="I32" s="31" t="n">
        <x:v>31.872672961</x:v>
      </x:c>
      <x:c r="J32" s="31" t="n">
        <x:v>31.872672961</x:v>
      </x:c>
      <x:c r="K32" s="31" t="n">
        <x:v>0</x:v>
      </x:c>
      <x:c r="L32" s="31" t="n">
        <x:v>0.120845921</x:v>
      </x:c>
      <x:c r="M32" s="31" t="n">
        <x:v>31.75182704</x:v>
      </x:c>
      <x:c r="N32" s="24" t="str">
        <x:v>cephalopoda</x:v>
      </x:c>
      <x:c r="O32" s="32" t="n">
        <x:v>3.81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Cephalopoda</x:v>
      </x:c>
      <x:c r="T32" s="32" t="n">
        <x:f>IF(O32="","",(1/'Metadata'!$B$5)^(O32-1))</x:f>
        <x:v>645.6542290346556</x:v>
      </x:c>
      <x:c r="U32" s="31" t="n">
        <x:f>IF(T32="","",I32*T32)</x:f>
        <x:v>20578.72608790817</x:v>
      </x:c>
    </x:row>
    <x:row r="33" ht="18" customHeight="1">
      <x:c r="A33" s="24" t="str">
        <x:v>EEZ_540</x:v>
      </x:c>
      <x:c r="B33" s="24" t="str">
        <x:v>New Caledonia (France)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28.9654701603</x:v>
      </x:c>
      <x:c r="J33" s="31" t="n">
        <x:v>26.466055305199998</x:v>
      </x:c>
      <x:c r="K33" s="31" t="n">
        <x:v>2.4994148551000004</x:v>
      </x:c>
      <x:c r="L33" s="31" t="n">
        <x:v>26.466055305199998</x:v>
      </x:c>
      <x:c r="M33" s="31" t="n">
        <x:v>2.4994148551000004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89511.86013698383</x:v>
      </x:c>
    </x:row>
    <x:row r="34" ht="18" customHeight="1">
      <x:c r="A34" s="24" t="str">
        <x:v>EEZ_540</x:v>
      </x:c>
      <x:c r="B34" s="24" t="str">
        <x:v>New Caledonia (France)</x:v>
      </x:c>
      <x:c r="C34" s="24" t="str">
        <x:v>EEZ</x:v>
      </x:c>
      <x:c r="D34" s="30" t="n">
        <x:v>2019</x:v>
      </x:c>
      <x:c r="E34" s="24" t="str">
        <x:v>Tridacnidae</x:v>
      </x:c>
      <x:c r="F34" s="24" t="str">
        <x:v>Giant clams</x:v>
      </x:c>
      <x:c r="G34" s="24" t="str">
        <x:v>Other demersal invertebrates</x:v>
      </x:c>
      <x:c r="H34" s="24" t="str">
        <x:v>Molluscs</x:v>
      </x:c>
      <x:c r="I34" s="31" t="n">
        <x:v>28.12509378</x:v>
      </x:c>
      <x:c r="J34" s="31" t="n">
        <x:v>28.12509378</x:v>
      </x:c>
      <x:c r="K34" s="31" t="n">
        <x:v>0</x:v>
      </x:c>
      <x:c r="L34" s="31" t="n">
        <x:v>0</x:v>
      </x:c>
      <x:c r="M34" s="31" t="n">
        <x:v>28.12509378</x:v>
      </x:c>
      <x:c r="N34" s="24" t="str">
        <x:v>tridacnidae</x:v>
      </x:c>
      <x:c r="O34" s="32" t="n">
        <x:v>2.15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Tridacnidae</x:v>
      </x:c>
      <x:c r="T34" s="32" t="n">
        <x:f>IF(O34="","",(1/'Metadata'!$B$5)^(O34-1))</x:f>
        <x:v>14.12537544622754</x:v>
      </x:c>
      <x:c r="U34" s="31" t="n">
        <x:f>IF(T34="","",I34*T34)</x:f>
        <x:v>397.2775091028589</x:v>
      </x:c>
    </x:row>
    <x:row r="35" ht="18" customHeight="1">
      <x:c r="A35" s="24" t="str">
        <x:v>EEZ_540</x:v>
      </x:c>
      <x:c r="B35" s="24" t="str">
        <x:v>New Caledonia (France)</x:v>
      </x:c>
      <x:c r="C35" s="24" t="str">
        <x:v>EEZ</x:v>
      </x:c>
      <x:c r="D35" s="30" t="n">
        <x:v>2019</x:v>
      </x:c>
      <x:c r="E35" s="24" t="str">
        <x:v>Kajikia audax</x:v>
      </x:c>
      <x:c r="F35" s="24" t="str">
        <x:v>Striped marlin</x:v>
      </x:c>
      <x:c r="G35" s="24" t="str">
        <x:v>Large pelagics (&gt;=90 cm)</x:v>
      </x:c>
      <x:c r="H35" s="24" t="str">
        <x:v>Tuna &amp; billfishes</x:v>
      </x:c>
      <x:c r="I35" s="31" t="n">
        <x:v>24.970495757699997</x:v>
      </x:c>
      <x:c r="J35" s="31" t="n">
        <x:v>24.970495757699997</x:v>
      </x:c>
      <x:c r="K35" s="31" t="n">
        <x:v>0</x:v>
      </x:c>
      <x:c r="L35" s="31" t="n">
        <x:v>24.970495757699997</x:v>
      </x:c>
      <x:c r="M35" s="31" t="n">
        <x:v>0</x:v>
      </x:c>
      <x:c r="N35" s="24" t="str">
        <x:v>kajikia audax</x:v>
      </x:c>
      <x:c r="O35" s="32" t="n">
        <x:v>4.58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Kajikia audax</x:v>
      </x:c>
      <x:c r="T35" s="32" t="n">
        <x:f>IF(O35="","",(1/'Metadata'!$B$5)^(O35-1))</x:f>
        <x:v>3801.8939632056126</x:v>
      </x:c>
      <x:c r="U35" s="31" t="n">
        <x:f>IF(T35="","",I35*T35)</x:f>
        <x:v>94935.17707945098</x:v>
      </x:c>
    </x:row>
    <x:row r="36" ht="18" customHeight="1">
      <x:c r="A36" s="24" t="str">
        <x:v>EEZ_540</x:v>
      </x:c>
      <x:c r="B36" s="24" t="str">
        <x:v>New Caledonia (France)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23.0818657708</x:v>
      </x:c>
      <x:c r="J36" s="31" t="n">
        <x:v>12.737973526200001</x:v>
      </x:c>
      <x:c r="K36" s="31" t="n">
        <x:v>10.3438922446</x:v>
      </x:c>
      <x:c r="L36" s="31" t="n">
        <x:v>12.737973526200001</x:v>
      </x:c>
      <x:c r="M36" s="31" t="n">
        <x:v>10.3438922446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33363.446768133435</x:v>
      </x:c>
    </x:row>
    <x:row r="37" ht="18" customHeight="1">
      <x:c r="A37" s="24" t="str">
        <x:v>EEZ_540</x:v>
      </x:c>
      <x:c r="B37" s="24" t="str">
        <x:v>New Caledonia (France)</x:v>
      </x:c>
      <x:c r="C37" s="24" t="str">
        <x:v>EEZ</x:v>
      </x:c>
      <x:c r="D37" s="30" t="n">
        <x:v>2019</x:v>
      </x:c>
      <x:c r="E37" s="24" t="str">
        <x:v>Istiompax indica</x:v>
      </x:c>
      <x:c r="F37" s="24" t="str">
        <x:v>Black marlin</x:v>
      </x:c>
      <x:c r="G37" s="24" t="str">
        <x:v>Large pelagics (&gt;=90 cm)</x:v>
      </x:c>
      <x:c r="H37" s="24" t="str">
        <x:v>Tuna &amp; billfishes</x:v>
      </x:c>
      <x:c r="I37" s="31" t="n">
        <x:v>22.831611543</x:v>
      </x:c>
      <x:c r="J37" s="31" t="n">
        <x:v>22.831611543</x:v>
      </x:c>
      <x:c r="K37" s="31" t="n">
        <x:v>0</x:v>
      </x:c>
      <x:c r="L37" s="31" t="n">
        <x:v>22.831611543</x:v>
      </x:c>
      <x:c r="M37" s="31" t="n">
        <x:v>0</x:v>
      </x:c>
      <x:c r="N37" s="24" t="str">
        <x:v>istiompax indica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Istiompax indica</x:v>
      </x:c>
      <x:c r="T37" s="32" t="n">
        <x:f>IF(O37="","",(1/'Metadata'!$B$5)^(O37-1))</x:f>
        <x:v>3162.2776601683795</x:v>
      </x:c>
      <x:c r="U37" s="31" t="n">
        <x:f>IF(T37="","",I37*T37)</x:f>
        <x:v>72199.89512807141</x:v>
      </x:c>
    </x:row>
    <x:row r="38" ht="18" customHeight="1">
      <x:c r="A38" s="24" t="str">
        <x:v>EEZ_540</x:v>
      </x:c>
      <x:c r="B38" s="24" t="str">
        <x:v>New Caledonia (France)</x:v>
      </x:c>
      <x:c r="C38" s="24" t="str">
        <x:v>EEZ</x:v>
      </x:c>
      <x:c r="D38" s="30" t="n">
        <x:v>2019</x:v>
      </x:c>
      <x:c r="E38" s="24" t="str">
        <x:v>Katsuwonus pelamis</x:v>
      </x:c>
      <x:c r="F38" s="24" t="str">
        <x:v>Skipjack tuna</x:v>
      </x:c>
      <x:c r="G38" s="24" t="str">
        <x:v>Large pelagics (&gt;=90 cm)</x:v>
      </x:c>
      <x:c r="H38" s="24" t="str">
        <x:v>Tuna &amp; billfishes</x:v>
      </x:c>
      <x:c r="I38" s="31" t="n">
        <x:v>22.4666023467</x:v>
      </x:c>
      <x:c r="J38" s="31" t="n">
        <x:v>21.9819410924</x:v>
      </x:c>
      <x:c r="K38" s="31" t="n">
        <x:v>0.4846612543</x:v>
      </x:c>
      <x:c r="L38" s="31" t="n">
        <x:v>21.9819410924</x:v>
      </x:c>
      <x:c r="M38" s="31" t="n">
        <x:v>0.4846612543</x:v>
      </x:c>
      <x:c r="N38" s="24" t="str">
        <x:v>katsuwonus pelamis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Katsuwonus pelamis</x:v>
      </x:c>
      <x:c r="T38" s="32" t="n">
        <x:f>IF(O38="","",(1/'Metadata'!$B$5)^(O38-1))</x:f>
        <x:v>2691.534803926914</x:v>
      </x:c>
      <x:c r="U38" s="31" t="n">
        <x:f>IF(T38="","",I38*T38)</x:f>
        <x:v>60469.64214212912</x:v>
      </x:c>
    </x:row>
    <x:row r="39" ht="18" customHeight="1">
      <x:c r="A39" s="24" t="str">
        <x:v>EEZ_540</x:v>
      </x:c>
      <x:c r="B39" s="24" t="str">
        <x:v>New Caledonia (France)</x:v>
      </x:c>
      <x:c r="C39" s="24" t="str">
        <x:v>EEZ</x:v>
      </x:c>
      <x:c r="D39" s="30" t="n">
        <x:v>2019</x:v>
      </x:c>
      <x:c r="E39" s="24" t="str">
        <x:v>Rastrelliger kanagurta</x:v>
      </x:c>
      <x:c r="F39" s="24" t="str">
        <x:v>Indian mackerel</x:v>
      </x:c>
      <x:c r="G39" s="24" t="str">
        <x:v>Medium pelagics (30 - 89 cm)</x:v>
      </x:c>
      <x:c r="H39" s="24" t="str">
        <x:v>Perch-likes</x:v>
      </x:c>
      <x:c r="I39" s="31" t="n">
        <x:v>18.644511581</x:v>
      </x:c>
      <x:c r="J39" s="31" t="n">
        <x:v>18.644511581</x:v>
      </x:c>
      <x:c r="K39" s="31" t="n">
        <x:v>0</x:v>
      </x:c>
      <x:c r="L39" s="31" t="n">
        <x:v>18.644511581</x:v>
      </x:c>
      <x:c r="M39" s="31" t="n">
        <x:v>0</x:v>
      </x:c>
      <x:c r="N39" s="24" t="str">
        <x:v>rastrelliger kanagurta</x:v>
      </x:c>
      <x:c r="O39" s="32" t="n">
        <x:v>3.19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Rastrelliger kanagurta</x:v>
      </x:c>
      <x:c r="T39" s="32" t="n">
        <x:f>IF(O39="","",(1/'Metadata'!$B$5)^(O39-1))</x:f>
        <x:v>154.88166189124811</x:v>
      </x:c>
      <x:c r="U39" s="31" t="n">
        <x:f>IF(T39="","",I39*T39)</x:f>
        <x:v>2887.692938815902</x:v>
      </x:c>
    </x:row>
    <x:row r="40" ht="18" customHeight="1">
      <x:c r="A40" s="24" t="str">
        <x:v>EEZ_540</x:v>
      </x:c>
      <x:c r="B40" s="24" t="str">
        <x:v>New Caledonia (France)</x:v>
      </x:c>
      <x:c r="C40" s="24" t="str">
        <x:v>EEZ</x:v>
      </x:c>
      <x:c r="D40" s="30" t="n">
        <x:v>2019</x:v>
      </x:c>
      <x:c r="E40" s="24" t="str">
        <x:v>Mollusca</x:v>
      </x:c>
      <x:c r="F40" s="24" t="str">
        <x:v>Clams, seasnails, squids, octopuses</x:v>
      </x:c>
      <x:c r="G40" s="24" t="str">
        <x:v>Other demersal invertebrates</x:v>
      </x:c>
      <x:c r="H40" s="24" t="str">
        <x:v>Molluscs</x:v>
      </x:c>
      <x:c r="I40" s="31" t="n">
        <x:v>18</x:v>
      </x:c>
      <x:c r="J40" s="31" t="n">
        <x:v>18</x:v>
      </x:c>
      <x:c r="K40" s="31" t="n">
        <x:v>0</x:v>
      </x:c>
      <x:c r="L40" s="31" t="n">
        <x:v>18</x:v>
      </x:c>
      <x:c r="M40" s="31" t="n">
        <x:v>0</x:v>
      </x:c>
      <x:c r="N40" s="24" t="str">
        <x:v>mollusca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Mollusca</x:v>
      </x:c>
      <x:c r="T40" s="32" t="n">
        <x:f>IF(O40="","",(1/'Metadata'!$B$5)^(O40-1))</x:f>
        <x:v>12.589254117941675</x:v>
      </x:c>
      <x:c r="U40" s="31" t="n">
        <x:f>IF(T40="","",I40*T40)</x:f>
        <x:v>226.60657412295015</x:v>
      </x:c>
    </x:row>
    <x:row r="41" ht="18" customHeight="1">
      <x:c r="A41" s="24" t="str">
        <x:v>EEZ_540</x:v>
      </x:c>
      <x:c r="B41" s="24" t="str">
        <x:v>New Caledonia (France)</x:v>
      </x:c>
      <x:c r="C41" s="24" t="str">
        <x:v>EEZ</x:v>
      </x:c>
      <x:c r="D41" s="30" t="n">
        <x:v>2019</x:v>
      </x:c>
      <x:c r="E41" s="24" t="str">
        <x:v>Gerreidae</x:v>
      </x:c>
      <x:c r="F41" s="24" t="str">
        <x:v>Mojarras, silverbellies</x:v>
      </x:c>
      <x:c r="G41" s="24" t="str">
        <x:v>Small benthopelagics (&lt;30 cm)</x:v>
      </x:c>
      <x:c r="H41" s="24" t="str">
        <x:v>Perch-likes</x:v>
      </x:c>
      <x:c r="I41" s="31" t="n">
        <x:v>16.152049728</x:v>
      </x:c>
      <x:c r="J41" s="31" t="n">
        <x:v>16.152049728</x:v>
      </x:c>
      <x:c r="K41" s="31" t="n">
        <x:v>0</x:v>
      </x:c>
      <x:c r="L41" s="31" t="n">
        <x:v>0.080563948</x:v>
      </x:c>
      <x:c r="M41" s="31" t="n">
        <x:v>16.07148578</x:v>
      </x:c>
      <x:c r="N41" s="24" t="str">
        <x:v>gerreidae</x:v>
      </x:c>
      <x:c r="O41" s="32" t="n">
        <x:v>3.03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Gerreidae</x:v>
      </x:c>
      <x:c r="T41" s="32" t="n">
        <x:f>IF(O41="","",(1/'Metadata'!$B$5)^(O41-1))</x:f>
        <x:v>107.1519305237606</x:v>
      </x:c>
      <x:c r="U41" s="31" t="n">
        <x:f>IF(T41="","",I41*T41)</x:f>
        <x:v>1730.7233102709824</x:v>
      </x:c>
    </x:row>
    <x:row r="42" ht="18" customHeight="1">
      <x:c r="A42" s="24" t="str">
        <x:v>EEZ_540</x:v>
      </x:c>
      <x:c r="B42" s="24" t="str">
        <x:v>New Caledonia (France)</x:v>
      </x:c>
      <x:c r="C42" s="24" t="str">
        <x:v>EEZ</x:v>
      </x:c>
      <x:c r="D42" s="30" t="n">
        <x:v>2019</x:v>
      </x:c>
      <x:c r="E42" s="24" t="str">
        <x:v>Pomadasys argenteus</x:v>
      </x:c>
      <x:c r="F42" s="24" t="str">
        <x:v>Silver grunt</x:v>
      </x:c>
      <x:c r="G42" s="24" t="str">
        <x:v>Medium demersals (30 - 89 cm)</x:v>
      </x:c>
      <x:c r="H42" s="24" t="str">
        <x:v>Perch-likes</x:v>
      </x:c>
      <x:c r="I42" s="31" t="n">
        <x:v>12.05361307</x:v>
      </x:c>
      <x:c r="J42" s="31" t="n">
        <x:v>12.05361307</x:v>
      </x:c>
      <x:c r="K42" s="31" t="n">
        <x:v>0</x:v>
      </x:c>
      <x:c r="L42" s="31" t="n">
        <x:v>0</x:v>
      </x:c>
      <x:c r="M42" s="31" t="n">
        <x:v>12.05361307</x:v>
      </x:c>
      <x:c r="N42" s="24" t="str">
        <x:v>pomadasys argenteus</x:v>
      </x:c>
      <x:c r="O42" s="32" t="n">
        <x:v>3.47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Pomadasys argenteus</x:v>
      </x:c>
      <x:c r="T42" s="32" t="n">
        <x:f>IF(O42="","",(1/'Metadata'!$B$5)^(O42-1))</x:f>
        <x:v>295.1209226666387</x:v>
      </x:c>
      <x:c r="U42" s="31" t="n">
        <x:f>IF(T42="","",I42*T42)</x:f>
        <x:v>3557.2734106850558</x:v>
      </x:c>
    </x:row>
    <x:row r="43" ht="18" customHeight="1">
      <x:c r="A43" s="24" t="str">
        <x:v>EEZ_540</x:v>
      </x:c>
      <x:c r="B43" s="24" t="str">
        <x:v>New Caledonia (France)</x:v>
      </x:c>
      <x:c r="C43" s="24" t="str">
        <x:v>EEZ</x:v>
      </x:c>
      <x:c r="D43" s="30" t="n">
        <x:v>2019</x:v>
      </x:c>
      <x:c r="E43" s="24" t="str">
        <x:v>Istiophoridae</x:v>
      </x:c>
      <x:c r="F43" s="24" t="str">
        <x:v>Billfishes</x:v>
      </x:c>
      <x:c r="G43" s="24" t="str">
        <x:v>Large pelagics (&gt;=90 cm)</x:v>
      </x:c>
      <x:c r="H43" s="24" t="str">
        <x:v>Tuna &amp; billfishes</x:v>
      </x:c>
      <x:c r="I43" s="31" t="n">
        <x:v>11.8473365258</x:v>
      </x:c>
      <x:c r="J43" s="31" t="n">
        <x:v>6.168104029</x:v>
      </x:c>
      <x:c r="K43" s="31" t="n">
        <x:v>5.679232496799999</x:v>
      </x:c>
      <x:c r="L43" s="31" t="n">
        <x:v>0</x:v>
      </x:c>
      <x:c r="M43" s="31" t="n">
        <x:v>11.8473365258</x:v>
      </x:c>
      <x:c r="N43" s="24" t="str">
        <x:v>istiophoridae</x:v>
      </x:c>
      <x:c r="O43" s="32" t="n">
        <x:v>4.48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Istiophoridae</x:v>
      </x:c>
      <x:c r="T43" s="32" t="n">
        <x:f>IF(O43="","",(1/'Metadata'!$B$5)^(O43-1))</x:f>
        <x:v>3019.951720402019</x:v>
      </x:c>
      <x:c r="U43" s="31" t="n">
        <x:f>IF(T43="","",I43*T43)</x:f>
        <x:v>35778.384323271384</x:v>
      </x:c>
    </x:row>
    <x:row r="44" ht="18" customHeight="1">
      <x:c r="A44" s="24" t="str">
        <x:v>EEZ_540</x:v>
      </x:c>
      <x:c r="B44" s="24" t="str">
        <x:v>New Caledonia (France)</x:v>
      </x:c>
      <x:c r="C44" s="24" t="str">
        <x:v>EEZ</x:v>
      </x:c>
      <x:c r="D44" s="30" t="n">
        <x:v>2019</x:v>
      </x:c>
      <x:c r="E44" s="24" t="str">
        <x:v>Coryphaena hippurus</x:v>
      </x:c>
      <x:c r="F44" s="24" t="str">
        <x:v>Common dolphinfish</x:v>
      </x:c>
      <x:c r="G44" s="24" t="str">
        <x:v>Large pelagics (&gt;=90 cm)</x:v>
      </x:c>
      <x:c r="H44" s="24" t="str">
        <x:v>Perch-likes</x:v>
      </x:c>
      <x:c r="I44" s="31" t="n">
        <x:v>10.7758321134</x:v>
      </x:c>
      <x:c r="J44" s="31" t="n">
        <x:v>0</x:v>
      </x:c>
      <x:c r="K44" s="31" t="n">
        <x:v>10.7758321134</x:v>
      </x:c>
      <x:c r="L44" s="31" t="n">
        <x:v>0</x:v>
      </x:c>
      <x:c r="M44" s="31" t="n">
        <x:v>10.7758321134</x:v>
      </x:c>
      <x:c r="N44" s="24" t="str">
        <x:v>coryphaena hippurus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Coryphaena hippurus</x:v>
      </x:c>
      <x:c r="T44" s="32" t="n">
        <x:f>IF(O44="","",(1/'Metadata'!$B$5)^(O44-1))</x:f>
        <x:v>2344.228815319923</x:v>
      </x:c>
      <x:c r="U44" s="31" t="n">
        <x:f>IF(T44="","",I44*T44)</x:f>
        <x:v>25261.016149282063</x:v>
      </x:c>
    </x:row>
    <x:row r="45" ht="18" customHeight="1">
      <x:c r="A45" s="24" t="str">
        <x:v>EEZ_540</x:v>
      </x:c>
      <x:c r="B45" s="24" t="str">
        <x:v>New Caledonia (France)</x:v>
      </x:c>
      <x:c r="C45" s="24" t="str">
        <x:v>EEZ</x:v>
      </x:c>
      <x:c r="D45" s="30" t="n">
        <x:v>2019</x:v>
      </x:c>
      <x:c r="E45" s="24" t="str">
        <x:v>Thunnus orientalis</x:v>
      </x:c>
      <x:c r="F45" s="24" t="str">
        <x:v>Pacific bluefin tuna</x:v>
      </x:c>
      <x:c r="G45" s="24" t="str">
        <x:v>Large pelagics (&gt;=90 cm)</x:v>
      </x:c>
      <x:c r="H45" s="24" t="str">
        <x:v>Tuna &amp; billfishes</x:v>
      </x:c>
      <x:c r="I45" s="31" t="n">
        <x:v>7.888025126699999</x:v>
      </x:c>
      <x:c r="J45" s="31" t="n">
        <x:v>7.766971143799999</x:v>
      </x:c>
      <x:c r="K45" s="31" t="n">
        <x:v>0.1210539829</x:v>
      </x:c>
      <x:c r="L45" s="31" t="n">
        <x:v>7.766971143799999</x:v>
      </x:c>
      <x:c r="M45" s="31" t="n">
        <x:v>0.1210539829</x:v>
      </x:c>
      <x:c r="N45" s="24" t="str">
        <x:v>thunnus orientalis</x:v>
      </x:c>
      <x:c r="O45" s="32" t="n">
        <x:v>4.05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orientalis</x:v>
      </x:c>
      <x:c r="T45" s="32" t="n">
        <x:f>IF(O45="","",(1/'Metadata'!$B$5)^(O45-1))</x:f>
        <x:v>1122.018454301963</x:v>
      </x:c>
      <x:c r="U45" s="31" t="n">
        <x:f>IF(T45="","",I45*T45)</x:f>
        <x:v>8850.509760154979</x:v>
      </x:c>
    </x:row>
    <x:row r="46" ht="18" customHeight="1">
      <x:c r="A46" s="24" t="str">
        <x:v>EEZ_540</x:v>
      </x:c>
      <x:c r="B46" s="24" t="str">
        <x:v>New Caledonia (France)</x:v>
      </x:c>
      <x:c r="C46" s="24" t="str">
        <x:v>EEZ</x:v>
      </x:c>
      <x:c r="D46" s="30" t="n">
        <x:v>2019</x:v>
      </x:c>
      <x:c r="E46" s="24" t="str">
        <x:v>Trochus</x:v>
      </x:c>
      <x:c r="F46" s="24" t="str">
        <x:v>Trochus</x:v>
      </x:c>
      <x:c r="G46" s="24" t="str">
        <x:v>Other demersal invertebrates</x:v>
      </x:c>
      <x:c r="H46" s="24" t="str">
        <x:v>Molluscs</x:v>
      </x:c>
      <x:c r="I46" s="31" t="n">
        <x:v>7.27</x:v>
      </x:c>
      <x:c r="J46" s="31" t="n">
        <x:v>7.27</x:v>
      </x:c>
      <x:c r="K46" s="31" t="n">
        <x:v>0</x:v>
      </x:c>
      <x:c r="L46" s="31" t="n">
        <x:v>7.27</x:v>
      </x:c>
      <x:c r="M46" s="31" t="n">
        <x:v>0</x:v>
      </x:c>
      <x:c r="N46" s="24" t="str">
        <x:v>trochus</x:v>
      </x:c>
      <x:c r="O46" s="32" t="n">
        <x:v>2.1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Trochus</x:v>
      </x:c>
      <x:c r="T46" s="32" t="n">
        <x:f>IF(O46="","",(1/'Metadata'!$B$5)^(O46-1))</x:f>
        <x:v>12.589254117941675</x:v>
      </x:c>
      <x:c r="U46" s="31" t="n">
        <x:f>IF(T46="","",I46*T46)</x:f>
        <x:v>91.52387743743597</x:v>
      </x:c>
    </x:row>
    <x:row r="47" ht="18" customHeight="1">
      <x:c r="A47" s="24" t="str">
        <x:v>EEZ_540</x:v>
      </x:c>
      <x:c r="B47" s="24" t="str">
        <x:v>New Caledonia (France)</x:v>
      </x:c>
      <x:c r="C47" s="24" t="str">
        <x:v>EEZ</x:v>
      </x:c>
      <x:c r="D47" s="30" t="n">
        <x:v>2019</x:v>
      </x:c>
      <x:c r="E47" s="24" t="str">
        <x:v>Scomberomorus</x:v>
      </x:c>
      <x:c r="F47" s="24" t="str">
        <x:v>Spanish mackerels</x:v>
      </x:c>
      <x:c r="G47" s="24" t="str">
        <x:v>Large pelagics (&gt;=90 cm)</x:v>
      </x:c>
      <x:c r="H47" s="24" t="str">
        <x:v>Perch-likes</x:v>
      </x:c>
      <x:c r="I47" s="31" t="n">
        <x:v>7</x:v>
      </x:c>
      <x:c r="J47" s="31" t="n">
        <x:v>7</x:v>
      </x:c>
      <x:c r="K47" s="31" t="n">
        <x:v>0</x:v>
      </x:c>
      <x:c r="L47" s="31" t="n">
        <x:v>7</x:v>
      </x:c>
      <x:c r="M47" s="31" t="n">
        <x:v>0</x:v>
      </x:c>
      <x:c r="N47" s="24" t="str">
        <x:v>scomberomorus</x:v>
      </x:c>
      <x:c r="O47" s="32" t="n">
        <x:v>4.35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Scomberomorus</x:v>
      </x:c>
      <x:c r="T47" s="32" t="n">
        <x:f>IF(O47="","",(1/'Metadata'!$B$5)^(O47-1))</x:f>
        <x:v>2238.7211385683377</x:v>
      </x:c>
      <x:c r="U47" s="31" t="n">
        <x:f>IF(T47="","",I47*T47)</x:f>
        <x:v>15671.047969978365</x:v>
      </x:c>
    </x:row>
    <x:row r="48" ht="18" customHeight="1">
      <x:c r="A48" s="24" t="str">
        <x:v>EEZ_540</x:v>
      </x:c>
      <x:c r="B48" s="24" t="str">
        <x:v>New Caledonia (France)</x:v>
      </x:c>
      <x:c r="C48" s="24" t="str">
        <x:v>EEZ</x:v>
      </x:c>
      <x:c r="D48" s="30" t="n">
        <x:v>2019</x:v>
      </x:c>
      <x:c r="E48" s="24" t="str">
        <x:v>Alopias</x:v>
      </x:c>
      <x:c r="F48" s="24" t="str">
        <x:v>Thresher sharks</x:v>
      </x:c>
      <x:c r="G48" s="24" t="str">
        <x:v>Large sharks (&gt;=90 cm)</x:v>
      </x:c>
      <x:c r="H48" s="24" t="str">
        <x:v>Sharks &amp; rays</x:v>
      </x:c>
      <x:c r="I48" s="31" t="n">
        <x:v>3.4470338654</x:v>
      </x:c>
      <x:c r="J48" s="31" t="n">
        <x:v>2.3218463155</x:v>
      </x:c>
      <x:c r="K48" s="31" t="n">
        <x:v>1.1251875499</x:v>
      </x:c>
      <x:c r="L48" s="31" t="n">
        <x:v>2.3218463155</x:v>
      </x:c>
      <x:c r="M48" s="31" t="n">
        <x:v>1.1251875499</x:v>
      </x:c>
      <x:c r="N48" s="24" t="str">
        <x:v>alopias</x:v>
      </x:c>
      <x:c r="O48" s="32" t="n">
        <x:v>4.5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Alopias</x:v>
      </x:c>
      <x:c r="T48" s="32" t="n">
        <x:f>IF(O48="","",(1/'Metadata'!$B$5)^(O48-1))</x:f>
        <x:v>3162.2776601683795</x:v>
      </x:c>
      <x:c r="U48" s="31" t="n">
        <x:f>IF(T48="","",I48*T48)</x:f>
        <x:v>10900.478186398277</x:v>
      </x:c>
    </x:row>
    <x:row r="49" ht="18" customHeight="1">
      <x:c r="A49" s="24" t="str">
        <x:v>EEZ_540</x:v>
      </x:c>
      <x:c r="B49" s="24" t="str">
        <x:v>New Caledonia (France)</x:v>
      </x:c>
      <x:c r="C49" s="24" t="str">
        <x:v>EEZ</x:v>
      </x:c>
      <x:c r="D49" s="30" t="n">
        <x:v>2019</x:v>
      </x:c>
      <x:c r="E49" s="24" t="str">
        <x:v>Palinuridae</x:v>
      </x:c>
      <x:c r="F49" s="24" t="str">
        <x:v>Spiny lobsters</x:v>
      </x:c>
      <x:c r="G49" s="24" t="str">
        <x:v>Lobsters, crabs</x:v>
      </x:c>
      <x:c r="H49" s="24" t="str">
        <x:v>Crustaceans</x:v>
      </x:c>
      <x:c r="I49" s="31" t="n">
        <x:v>2</x:v>
      </x:c>
      <x:c r="J49" s="31" t="n">
        <x:v>2</x:v>
      </x:c>
      <x:c r="K49" s="31" t="n">
        <x:v>0</x:v>
      </x:c>
      <x:c r="L49" s="31" t="n">
        <x:v>2</x:v>
      </x:c>
      <x:c r="M49" s="31" t="n">
        <x:v>0</x:v>
      </x:c>
      <x:c r="N49" s="24" t="str">
        <x:v>palinuridae</x:v>
      </x:c>
      <x:c r="O49" s="32" t="n">
        <x:v>3.14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Palinuridae</x:v>
      </x:c>
      <x:c r="T49" s="32" t="n">
        <x:f>IF(O49="","",(1/'Metadata'!$B$5)^(O49-1))</x:f>
        <x:v>138.03842646028852</x:v>
      </x:c>
      <x:c r="U49" s="31" t="n">
        <x:f>IF(T49="","",I49*T49)</x:f>
        <x:v>276.07685292057704</x:v>
      </x:c>
    </x:row>
    <x:row r="50" ht="18" customHeight="1">
      <x:c r="A50" s="24" t="str">
        <x:v>EEZ_540</x:v>
      </x:c>
      <x:c r="B50" s="24" t="str">
        <x:v>New Caledonia (France)</x:v>
      </x:c>
      <x:c r="C50" s="24" t="str">
        <x:v>EEZ</x:v>
      </x:c>
      <x:c r="D50" s="30" t="n">
        <x:v>2019</x:v>
      </x:c>
      <x:c r="E50" s="24" t="str">
        <x:v>Thunnus maccoyii</x:v>
      </x:c>
      <x:c r="F50" s="24" t="str">
        <x:v>Southern bluefin tuna</x:v>
      </x:c>
      <x:c r="G50" s="24" t="str">
        <x:v>Large pelagics (&gt;=90 cm)</x:v>
      </x:c>
      <x:c r="H50" s="24" t="str">
        <x:v>Tuna &amp; billfishes</x:v>
      </x:c>
      <x:c r="I50" s="31" t="n">
        <x:v>1.8725406411</x:v>
      </x:c>
      <x:c r="J50" s="31" t="n">
        <x:v>1.786321005</x:v>
      </x:c>
      <x:c r="K50" s="31" t="n">
        <x:v>0.0862196361</x:v>
      </x:c>
      <x:c r="L50" s="31" t="n">
        <x:v>1.786321005</x:v>
      </x:c>
      <x:c r="M50" s="31" t="n">
        <x:v>0.0862196361</x:v>
      </x:c>
      <x:c r="N50" s="24" t="str">
        <x:v>thunnus maccoyii</x:v>
      </x:c>
      <x:c r="O50" s="32" t="n">
        <x:v>3.93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maccoyii</x:v>
      </x:c>
      <x:c r="T50" s="32" t="n">
        <x:f>IF(O50="","",(1/'Metadata'!$B$5)^(O50-1))</x:f>
        <x:v>851.1380382023768</x:v>
      </x:c>
      <x:c r="U50" s="31" t="n">
        <x:f>IF(T50="","",I50*T50)</x:f>
        <x:v>1593.7905677200752</x:v>
      </x:c>
    </x:row>
    <x:row r="51" ht="18" customHeight="1">
      <x:c r="A51" s="24" t="str">
        <x:v>EEZ_540</x:v>
      </x:c>
      <x:c r="B51" s="24" t="str">
        <x:v>New Caledonia (France)</x:v>
      </x:c>
      <x:c r="C51" s="24" t="str">
        <x:v>EEZ</x:v>
      </x:c>
      <x:c r="D51" s="30" t="n">
        <x:v>2019</x:v>
      </x:c>
      <x:c r="E51" s="24" t="str">
        <x:v>Acanthocybium solandri</x:v>
      </x:c>
      <x:c r="F51" s="24" t="str">
        <x:v>Wahoo</x:v>
      </x:c>
      <x:c r="G51" s="24" t="str">
        <x:v>Large pelagics (&gt;=90 cm)</x:v>
      </x:c>
      <x:c r="H51" s="24" t="str">
        <x:v>Perch-likes</x:v>
      </x:c>
      <x:c r="I51" s="31" t="n">
        <x:v>1.5504538896</x:v>
      </x:c>
      <x:c r="J51" s="31" t="n">
        <x:v>0</x:v>
      </x:c>
      <x:c r="K51" s="31" t="n">
        <x:v>1.5504538896</x:v>
      </x:c>
      <x:c r="L51" s="31" t="n">
        <x:v>0</x:v>
      </x:c>
      <x:c r="M51" s="31" t="n">
        <x:v>1.5504538896</x:v>
      </x:c>
      <x:c r="N51" s="24" t="str">
        <x:v>acanthocybium solandri</x:v>
      </x:c>
      <x:c r="O51" s="32" t="n">
        <x:v>4.26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Acanthocybium solandri</x:v>
      </x:c>
      <x:c r="T51" s="32" t="n">
        <x:f>IF(O51="","",(1/'Metadata'!$B$5)^(O51-1))</x:f>
        <x:v>1819.7008586099826</x:v>
      </x:c>
      <x:c r="U51" s="31" t="n">
        <x:f>IF(T51="","",I51*T51)</x:f>
        <x:v>2821.362274140307</x:v>
      </x:c>
    </x:row>
    <x:row r="52" ht="18" customHeight="1">
      <x:c r="A52" s="24" t="str">
        <x:v>EEZ_540</x:v>
      </x:c>
      <x:c r="B52" s="24" t="str">
        <x:v>New Caledonia (France)</x:v>
      </x:c>
      <x:c r="C52" s="24" t="str">
        <x:v>EEZ</x:v>
      </x:c>
      <x:c r="D52" s="30" t="n">
        <x:v>2019</x:v>
      </x:c>
      <x:c r="E52" s="24" t="str">
        <x:v>Elasmobranchii</x:v>
      </x:c>
      <x:c r="F52" s="24" t="str">
        <x:v>Sharks, rays, skates</x:v>
      </x:c>
      <x:c r="G52" s="24" t="str">
        <x:v>Large sharks (&gt;=90 cm)</x:v>
      </x:c>
      <x:c r="H52" s="24" t="str">
        <x:v>Sharks &amp; rays</x:v>
      </x:c>
      <x:c r="I52" s="31" t="n">
        <x:v>1.254922077</x:v>
      </x:c>
      <x:c r="J52" s="31" t="n">
        <x:v>0</x:v>
      </x:c>
      <x:c r="K52" s="31" t="n">
        <x:v>1.254922077</x:v>
      </x:c>
      <x:c r="L52" s="31" t="n">
        <x:v>0</x:v>
      </x:c>
      <x:c r="M52" s="31" t="n">
        <x:v>1.254922077</x:v>
      </x:c>
      <x:c r="N52" s="24" t="str">
        <x:v>elasmobranchii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Elasmobranchii</x:v>
      </x:c>
      <x:c r="T52" s="32" t="n">
        <x:f>IF(O52="","",(1/'Metadata'!$B$5)^(O52-1))</x:f>
        <x:v>1122.018454301963</x:v>
      </x:c>
      <x:c r="U52" s="31" t="n">
        <x:f>IF(T52="","",I52*T52)</x:f>
        <x:v>1408.045729104949</x:v>
      </x:c>
    </x:row>
    <x:row r="53" ht="18" customHeight="1">
      <x:c r="A53" s="24" t="str">
        <x:v>EEZ_540</x:v>
      </x:c>
      <x:c r="B53" s="24" t="str">
        <x:v>New Caledonia (France)</x:v>
      </x:c>
      <x:c r="C53" s="24" t="str">
        <x:v>EEZ</x:v>
      </x:c>
      <x:c r="D53" s="30" t="n">
        <x:v>2019</x:v>
      </x:c>
      <x:c r="E53" s="24" t="str">
        <x:v>Sphyrna</x:v>
      </x:c>
      <x:c r="F53" s="24" t="str">
        <x:v>Hammerhead sharks</x:v>
      </x:c>
      <x:c r="G53" s="24" t="str">
        <x:v>Large sharks (&gt;=90 cm)</x:v>
      </x:c>
      <x:c r="H53" s="24" t="str">
        <x:v>Sharks &amp; rays</x:v>
      </x:c>
      <x:c r="I53" s="31" t="n">
        <x:v>1.2493661131</x:v>
      </x:c>
      <x:c r="J53" s="31" t="n">
        <x:v>1.2493661131</x:v>
      </x:c>
      <x:c r="K53" s="31" t="n">
        <x:v>0</x:v>
      </x:c>
      <x:c r="L53" s="31" t="n">
        <x:v>1.2493661131</x:v>
      </x:c>
      <x:c r="M53" s="31" t="n">
        <x:v>0</x:v>
      </x:c>
      <x:c r="N53" s="24" t="str">
        <x:v>sphyrna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Sphyrna</x:v>
      </x:c>
      <x:c r="T53" s="32" t="n">
        <x:f>IF(O53="","",(1/'Metadata'!$B$5)^(O53-1))</x:f>
        <x:v>1584.893192461114</x:v>
      </x:c>
      <x:c r="U53" s="31" t="n">
        <x:f>IF(T53="","",I53*T53)</x:f>
        <x:v>1980.1118475437922</x:v>
      </x:c>
    </x:row>
    <x:row r="54" ht="18" customHeight="1">
      <x:c r="A54" s="24" t="str">
        <x:v>EEZ_540</x:v>
      </x:c>
      <x:c r="B54" s="24" t="str">
        <x:v>New Caledonia (France)</x:v>
      </x:c>
      <x:c r="C54" s="24" t="str">
        <x:v>EEZ</x:v>
      </x:c>
      <x:c r="D54" s="30" t="n">
        <x:v>2019</x:v>
      </x:c>
      <x:c r="E54" s="24" t="str">
        <x:v>Lethrinus miniatus</x:v>
      </x:c>
      <x:c r="F54" s="24" t="str">
        <x:v>Trumpet emperor</x:v>
      </x:c>
      <x:c r="G54" s="24" t="str">
        <x:v>Medium reef assoc. fish (30 - 89 cm)</x:v>
      </x:c>
      <x:c r="H54" s="24" t="str">
        <x:v>Perch-likes</x:v>
      </x:c>
      <x:c r="I54" s="31" t="n">
        <x:v>0.785498489</x:v>
      </x:c>
      <x:c r="J54" s="31" t="n">
        <x:v>0.785498489</x:v>
      </x:c>
      <x:c r="K54" s="31" t="n">
        <x:v>0</x:v>
      </x:c>
      <x:c r="L54" s="31" t="n">
        <x:v>0.785498489</x:v>
      </x:c>
      <x:c r="M54" s="31" t="n">
        <x:v>0</x:v>
      </x:c>
      <x:c r="N54" s="24" t="str">
        <x:v>lethrinus miniatus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Lethrinus miniatus</x:v>
      </x:c>
      <x:c r="T54" s="32" t="n">
        <x:f>IF(O54="","",(1/'Metadata'!$B$5)^(O54-1))</x:f>
        <x:v>1548.8166189124827</x:v>
      </x:c>
      <x:c r="U54" s="31" t="n">
        <x:f>IF(T54="","",I54*T54)</x:f>
        <x:v>1216.593113893844</x:v>
      </x:c>
    </x:row>
    <x:row r="55" ht="18" customHeight="1">
      <x:c r="A55" s="24" t="str">
        <x:v>EEZ_540</x:v>
      </x:c>
      <x:c r="B55" s="24" t="str">
        <x:v>New Caledonia (France)</x:v>
      </x:c>
      <x:c r="C55" s="24" t="str">
        <x:v>EEZ</x:v>
      </x:c>
      <x:c r="D55" s="30" t="n">
        <x:v>2019</x:v>
      </x:c>
      <x:c r="E55" s="24" t="str">
        <x:v>Tridacna gigas</x:v>
      </x:c>
      <x:c r="F55" s="24" t="str">
        <x:v>Giant clam</x:v>
      </x:c>
      <x:c r="G55" s="24" t="str">
        <x:v>Other demersal invertebrates</x:v>
      </x:c>
      <x:c r="H55" s="24" t="str">
        <x:v>Molluscs</x:v>
      </x:c>
      <x:c r="I55" s="31" t="n">
        <x:v>0.140986908</x:v>
      </x:c>
      <x:c r="J55" s="31" t="n">
        <x:v>0.140986908</x:v>
      </x:c>
      <x:c r="K55" s="31" t="n">
        <x:v>0</x:v>
      </x:c>
      <x:c r="L55" s="31" t="n">
        <x:v>0.140986908</x:v>
      </x:c>
      <x:c r="M55" s="31" t="n">
        <x:v>0</x:v>
      </x:c>
      <x:c r="N55" s="24" t="str">
        <x:v>tridacna gigas</x:v>
      </x:c>
      <x:c r="O55" s="32" t="n">
        <x:v>2.1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Tridacna gigas</x:v>
      </x:c>
      <x:c r="T55" s="32" t="n">
        <x:f>IF(O55="","",(1/'Metadata'!$B$5)^(O55-1))</x:f>
        <x:v>12.589254117941675</x:v>
      </x:c>
      <x:c r="U55" s="31" t="n">
        <x:f>IF(T55="","",I55*T55)</x:f>
        <x:v>1.774920012114864</x:v>
      </x:c>
    </x:row>
    <x:row r="56" ht="18" customHeight="1">
      <x:c r="A56" s="24" t="str">
        <x:v>EEZ_540</x:v>
      </x:c>
      <x:c r="B56" s="24" t="str">
        <x:v>New Caledonia (France)</x:v>
      </x:c>
      <x:c r="C56" s="24" t="str">
        <x:v>EEZ</x:v>
      </x:c>
      <x:c r="D56" s="30" t="n">
        <x:v>2019</x:v>
      </x:c>
      <x:c r="E56" s="24" t="str">
        <x:v>Pomadasys</x:v>
      </x:c>
      <x:c r="F56" s="24" t="str">
        <x:v>Grunters</x:v>
      </x:c>
      <x:c r="G56" s="24" t="str">
        <x:v>Medium demersals (30 - 89 cm)</x:v>
      </x:c>
      <x:c r="H56" s="24" t="str">
        <x:v>Perch-likes</x:v>
      </x:c>
      <x:c r="I56" s="31" t="n">
        <x:v>0.060422961</x:v>
      </x:c>
      <x:c r="J56" s="31" t="n">
        <x:v>0.060422961</x:v>
      </x:c>
      <x:c r="K56" s="31" t="n">
        <x:v>0</x:v>
      </x:c>
      <x:c r="L56" s="31" t="n">
        <x:v>0.060422961</x:v>
      </x:c>
      <x:c r="M56" s="31" t="n">
        <x:v>0</x:v>
      </x:c>
      <x:c r="N56" s="24" t="str">
        <x:v>pomadasys</x:v>
      </x:c>
      <x:c r="O56" s="32" t="n">
        <x:v>3.59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Pomadasys</x:v>
      </x:c>
      <x:c r="T56" s="32" t="n">
        <x:f>IF(O56="","",(1/'Metadata'!$B$5)^(O56-1))</x:f>
        <x:v>389.04514499428046</x:v>
      </x:c>
      <x:c r="U56" s="31" t="n">
        <x:f>IF(T56="","",I56*T56)</x:f>
        <x:v>23.50725962322875</x:v>
      </x:c>
    </x:row>
  </x:sheetData>
  <x:conditionalFormatting sqref="R2:R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f42f68fb49940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212.5539958</x:v>
      </x:c>
      <x:c r="E2" s="31" t="n">
        <x:v>212.5539958</x:v>
      </x:c>
      <x:c r="F2" s="32" t="n">
        <x:v>0</x:v>
      </x:c>
      <x:c r="G2" s="34" t="n">
        <x:v>1</x:v>
      </x:c>
      <x:c r="H2" s="32" t="n">
        <x:f>IF(E2=0,"",I2/E2)</x:f>
        <x:v>108.25095511509498</x:v>
      </x:c>
      <x:c r="I2" s="31" t="n">
        <x:f>IF(C2=0,"",SUMIF('Species'!$H$2:$H$56,A2,'Species'!$U$2:$U$56))</x:f>
        <x:v>23009.173058879886</x:v>
      </x:c>
      <x:c r="J2" s="32" t="n">
        <x:v>2.979554274208568</x:v>
      </x:c>
      <x:c r="K2" s="32" t="n">
        <x:f>IF(J2="","",(1/'Metadata'!$B$5)^(J2-1))</x:f>
        <x:v>95.40129593299673</x:v>
      </x:c>
      <x:c r="L2" s="31" t="n">
        <x:f>IF(E2=0,"",E2*K2)</x:f>
        <x:v>20277.926655056744</x:v>
      </x:c>
      <x:c r="M2" s="31" t="n">
        <x:f>IF(E2=0,"",I2-L2)</x:f>
        <x:v>2731.246403823141</x:v>
      </x:c>
      <x:c r="N2" s="32" t="n">
        <x:f>IF(L2=0,"",I2/L2)</x:f>
        <x:v>1.134690614592101</x:v>
      </x:c>
      <x:c r="O2" s="34" t="n">
        <x:f>IF(L2=0,"",M2/L2)</x:f>
        <x:v>0.13469061459210105</x:v>
      </x:c>
    </x:row>
    <x:row r="3" ht="18" customHeight="1">
      <x:c r="A3" s="24" t="str">
        <x:v>Molluscs</x:v>
      </x:c>
      <x:c r="B3" s="33" t="n">
        <x:v>4</x:v>
      </x:c>
      <x:c r="C3" s="33" t="n">
        <x:v>4</x:v>
      </x:c>
      <x:c r="D3" s="31" t="n">
        <x:v>53.536080688</x:v>
      </x:c>
      <x:c r="E3" s="31" t="n">
        <x:v>53.536080688</x:v>
      </x:c>
      <x:c r="F3" s="32" t="n">
        <x:v>0</x:v>
      </x:c>
      <x:c r="G3" s="34" t="n">
        <x:v>1</x:v>
      </x:c>
      <x:c r="H3" s="32" t="n">
        <x:f>IF(E3=0,"",I3/E3)</x:f>
        <x:v>13.396252984132158</x:v>
      </x:c>
      <x:c r="I3" s="31" t="n">
        <x:f>IF(C3=0,"",SUMIF('Species'!$H$2:$H$56,A3,'Species'!$U$2:$U$56))</x:f>
        <x:v>717.1828806753599</x:v>
      </x:c>
      <x:c r="J3" s="32" t="n">
        <x:v>2.126267419484729</x:v>
      </x:c>
      <x:c r="K3" s="32" t="n">
        <x:f>IF(J3="","",(1/'Metadata'!$B$5)^(J3-1))</x:f>
        <x:v>13.37418786855388</x:v>
      </x:c>
      <x:c r="L3" s="31" t="n">
        <x:f>IF(E3=0,"",E3*K3)</x:f>
        <x:v>716.0016008673713</x:v>
      </x:c>
      <x:c r="M3" s="31" t="n">
        <x:f>IF(E3=0,"",I3-L3)</x:f>
        <x:v>1.1812798079886306</x:v>
      </x:c>
      <x:c r="N3" s="32" t="n">
        <x:f>IF(L3=0,"",I3/L3)</x:f>
        <x:v>1.0016498284452962</x:v>
      </x:c>
      <x:c r="O3" s="34" t="n">
        <x:f>IF(L3=0,"",M3/L3)</x:f>
        <x:v>0.001649828445296235</x:v>
      </x:c>
    </x:row>
    <x:row r="4" ht="18" customHeight="1">
      <x:c r="A4" s="24" t="str">
        <x:v>Other fishes &amp; inverts</x:v>
      </x:c>
      <x:c r="B4" s="33" t="n">
        <x:v>5</x:v>
      </x:c>
      <x:c r="C4" s="33" t="n">
        <x:v>5</x:v>
      </x:c>
      <x:c r="D4" s="31" t="n">
        <x:v>1156.4646679694001</x:v>
      </x:c>
      <x:c r="E4" s="31" t="n">
        <x:v>1156.4646679694001</x:v>
      </x:c>
      <x:c r="F4" s="32" t="n">
        <x:v>0</x:v>
      </x:c>
      <x:c r="G4" s="34" t="n">
        <x:v>1</x:v>
      </x:c>
      <x:c r="H4" s="32" t="n">
        <x:f>IF(E4=0,"",I4/E4)</x:f>
        <x:v>152.98124525315262</x:v>
      </x:c>
      <x:c r="I4" s="31" t="n">
        <x:f>IF(C4=0,"",SUMIF('Species'!$H$2:$H$56,A4,'Species'!$U$2:$U$56))</x:f>
        <x:v>176917.40499723252</x:v>
      </x:c>
      <x:c r="J4" s="32" t="n">
        <x:v>2.9487880955137578</x:v>
      </x:c>
      <x:c r="K4" s="32" t="n">
        <x:f>IF(J4="","",(1/'Metadata'!$B$5)^(J4-1))</x:f>
        <x:v>88.87673574666205</x:v>
      </x:c>
      <x:c r="L4" s="31" t="n">
        <x:f>IF(E4=0,"",E4*K4)</x:f>
        <x:v>102782.80469546764</x:v>
      </x:c>
      <x:c r="M4" s="31" t="n">
        <x:f>IF(E4=0,"",I4-L4)</x:f>
        <x:v>74134.60030176488</x:v>
      </x:c>
      <x:c r="N4" s="32" t="n">
        <x:f>IF(L4=0,"",I4/L4)</x:f>
        <x:v>1.72127434663236</x:v>
      </x:c>
      <x:c r="O4" s="34" t="n">
        <x:f>IF(L4=0,"",M4/L4)</x:f>
        <x:v>0.7212743466323599</x:v>
      </x:c>
    </x:row>
    <x:row r="5" ht="18" customHeight="1">
      <x:c r="A5" s="24" t="str">
        <x:v>Perch-likes</x:v>
      </x:c>
      <x:c r="B5" s="33" t="n">
        <x:v>26</x:v>
      </x:c>
      <x:c r="C5" s="33" t="n">
        <x:v>26</x:v>
      </x:c>
      <x:c r="D5" s="31" t="n">
        <x:v>8630.6603369151</x:v>
      </x:c>
      <x:c r="E5" s="31" t="n">
        <x:v>8630.6603369151</x:v>
      </x:c>
      <x:c r="F5" s="32" t="n">
        <x:v>0</x:v>
      </x:c>
      <x:c r="G5" s="34" t="n">
        <x:v>1</x:v>
      </x:c>
      <x:c r="H5" s="32" t="n">
        <x:f>IF(E5=0,"",I5/E5)</x:f>
        <x:v>1152.4935749007054</x:v>
      </x:c>
      <x:c r="I5" s="31" t="n">
        <x:f>IF(C5=0,"",SUMIF('Species'!$H$2:$H$56,A5,'Species'!$U$2:$U$56))</x:f>
        <x:v>9946780.585445011</x:v>
      </x:c>
      <x:c r="J5" s="32" t="n">
        <x:v>3.8424674116824264</x:v>
      </x:c>
      <x:c r="K5" s="32" t="n">
        <x:f>IF(J5="","",(1/'Metadata'!$B$5)^(J5-1))</x:f>
        <x:v>695.772743781976</x:v>
      </x:c>
      <x:c r="L5" s="31" t="n">
        <x:f>IF(E5=0,"",E5*K5)</x:f>
        <x:v>6004978.223265693</x:v>
      </x:c>
      <x:c r="M5" s="31" t="n">
        <x:f>IF(E5=0,"",I5-L5)</x:f>
        <x:v>3941802.3621793184</x:v>
      </x:c>
      <x:c r="N5" s="32" t="n">
        <x:f>IF(L5=0,"",I5/L5)</x:f>
        <x:v>1.6564224241325631</x:v>
      </x:c>
      <x:c r="O5" s="34" t="n">
        <x:f>IF(L5=0,"",M5/L5)</x:f>
        <x:v>0.6564224241325632</x:v>
      </x:c>
    </x:row>
    <x:row r="6" ht="18" customHeight="1">
      <x:c r="A6" s="24" t="str">
        <x:v>Sharks &amp; rays</x:v>
      </x:c>
      <x:c r="B6" s="33" t="n">
        <x:v>7</x:v>
      </x:c>
      <x:c r="C6" s="33" t="n">
        <x:v>7</x:v>
      </x:c>
      <x:c r="D6" s="31" t="n">
        <x:v>658.3919726485</x:v>
      </x:c>
      <x:c r="E6" s="31" t="n">
        <x:v>658.3919726485</x:v>
      </x:c>
      <x:c r="F6" s="32" t="n">
        <x:v>0</x:v>
      </x:c>
      <x:c r="G6" s="34" t="n">
        <x:v>1</x:v>
      </x:c>
      <x:c r="H6" s="32" t="n">
        <x:f>IF(E6=0,"",I6/E6)</x:f>
        <x:v>2333.8836033866</x:v>
      </x:c>
      <x:c r="I6" s="31" t="n">
        <x:f>IF(C6=0,"",SUMIF('Species'!$H$2:$H$56,A6,'Species'!$U$2:$U$56))</x:f>
        <x:v>1536610.229565693</x:v>
      </x:c>
      <x:c r="J6" s="32" t="n">
        <x:v>4.362863153339854</x:v>
      </x:c>
      <x:c r="K6" s="32" t="n">
        <x:f>IF(J6="","",(1/'Metadata'!$B$5)^(J6-1))</x:f>
        <x:v>2306.0204446952835</x:v>
      </x:c>
      <x:c r="L6" s="31" t="n">
        <x:f>IF(E6=0,"",E6*K6)</x:f>
        <x:v>1518265.349550699</x:v>
      </x:c>
      <x:c r="M6" s="31" t="n">
        <x:f>IF(E6=0,"",I6-L6)</x:f>
        <x:v>18344.88001499418</x:v>
      </x:c>
      <x:c r="N6" s="32" t="n">
        <x:f>IF(L6=0,"",I6/L6)</x:f>
        <x:v>1.0120827890990354</x:v>
      </x:c>
      <x:c r="O6" s="34" t="n">
        <x:f>IF(L6=0,"",M6/L6)</x:f>
        <x:v>0.012082789099035285</x:v>
      </x:c>
    </x:row>
    <x:row r="7" ht="18" customHeight="1">
      <x:c r="A7" s="24" t="str">
        <x:v>Tuna &amp; billfishes</x:v>
      </x:c>
      <x:c r="B7" s="33" t="n">
        <x:v>10</x:v>
      </x:c>
      <x:c r="C7" s="33" t="n">
        <x:v>10</x:v>
      </x:c>
      <x:c r="D7" s="31" t="n">
        <x:v>1196.0573795527</x:v>
      </x:c>
      <x:c r="E7" s="31" t="n">
        <x:v>1196.0573795527</x:v>
      </x:c>
      <x:c r="F7" s="32" t="n">
        <x:v>0</x:v>
      </x:c>
      <x:c r="G7" s="34" t="n">
        <x:v>1</x:v>
      </x:c>
      <x:c r="H7" s="32" t="n">
        <x:f>IF(E7=0,"",I7/E7)</x:f>
        <x:v>2343.344069948244</x:v>
      </x:c>
      <x:c r="I7" s="31" t="n">
        <x:f>IF(C7=0,"",SUMIF('Species'!$H$2:$H$56,A7,'Species'!$U$2:$U$56))</x:f>
        <x:v>2802773.9676926555</x:v>
      </x:c>
      <x:c r="J7" s="32" t="n">
        <x:v>4.361588274847242</x:v>
      </x:c>
      <x:c r="K7" s="32" t="n">
        <x:f>IF(J7="","",(1/'Metadata'!$B$5)^(J7-1))</x:f>
        <x:v>2299.2610103621187</x:v>
      </x:c>
      <x:c r="L7" s="31" t="n">
        <x:f>IF(E7=0,"",E7*K7)</x:f>
        <x:v>2750048.098961409</x:v>
      </x:c>
      <x:c r="M7" s="31" t="n">
        <x:f>IF(E7=0,"",I7-L7)</x:f>
        <x:v>52725.86873124633</x:v>
      </x:c>
      <x:c r="N7" s="32" t="n">
        <x:f>IF(L7=0,"",I7/L7)</x:f>
        <x:v>1.01917270783415</x:v>
      </x:c>
      <x:c r="O7" s="34" t="n">
        <x:f>IF(L7=0,"",M7/L7)</x:f>
        <x:v>0.019172707834149857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47103d3939341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31.872672961</x:v>
      </x:c>
      <x:c r="E2" s="31" t="n">
        <x:v>31.872672961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IF(C2=0,"",SUMIF('Species'!$G$2:$G$56,A2,'Species'!$U$2:$U$56))</x:f>
        <x:v>20578.72608790817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20578.72608790817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14</x:v>
      </x:c>
      <x:c r="C3" s="33" t="n">
        <x:v>14</x:v>
      </x:c>
      <x:c r="D3" s="31" t="n">
        <x:v>1358.5821729367</x:v>
      </x:c>
      <x:c r="E3" s="31" t="n">
        <x:v>1358.5821729367</x:v>
      </x:c>
      <x:c r="F3" s="32" t="n">
        <x:v>0</x:v>
      </x:c>
      <x:c r="G3" s="34" t="n">
        <x:v>1</x:v>
      </x:c>
      <x:c r="H3" s="32" t="n">
        <x:f>IF(E3=0,"",I3/E3)</x:f>
        <x:v>2428.5324072923595</x:v>
      </x:c>
      <x:c r="I3" s="31" t="n">
        <x:f>IF(C3=0,"",SUMIF('Species'!$G$2:$G$56,A3,'Species'!$U$2:$U$56))</x:f>
        <x:v>3299360.834946449</x:v>
      </x:c>
      <x:c r="J3" s="32" t="n">
        <x:v>4.376068348497558</x:v>
      </x:c>
      <x:c r="K3" s="32" t="n">
        <x:f>IF(J3="","",(1/'Metadata'!$B$5)^(J3-1))</x:f>
        <x:v>2377.2143789822194</x:v>
      </x:c>
      <x:c r="L3" s="31" t="n">
        <x:f>IF(E3=0,"",E3*K3)</x:f>
        <x:v>3229641.076534032</x:v>
      </x:c>
      <x:c r="M3" s="31" t="n">
        <x:f>IF(E3=0,"",I3-L3)</x:f>
        <x:v>69719.75841241702</x:v>
      </x:c>
      <x:c r="N3" s="32" t="n">
        <x:f>IF(L3=0,"",I3/L3)</x:f>
        <x:v>1.0215874633621016</x:v>
      </x:c>
      <x:c r="O3" s="34" t="n">
        <x:f>IF(L3=0,"",M3/L3)</x:f>
        <x:v>0.021587463362101676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209.996812806</x:v>
      </x:c>
      <x:c r="E4" s="31" t="n">
        <x:v>209.996812806</x:v>
      </x:c>
      <x:c r="F4" s="32" t="n">
        <x:v>0</x:v>
      </x:c>
      <x:c r="G4" s="34" t="n">
        <x:v>1</x:v>
      </x:c>
      <x:c r="H4" s="32" t="n">
        <x:f>IF(E4=0,"",I4/E4)</x:f>
        <x:v>2630.2679918953813</x:v>
      </x:c>
      <x:c r="I4" s="31" t="n">
        <x:f>IF(C4=0,"",SUMIF('Species'!$G$2:$G$56,A4,'Species'!$U$2:$U$56))</x:f>
        <x:v>552347.8951236679</x:v>
      </x:c>
      <x:c r="J4" s="32" t="n">
        <x:v>4.42</x:v>
      </x:c>
      <x:c r="K4" s="32" t="n">
        <x:f>IF(J4="","",(1/'Metadata'!$B$5)^(J4-1))</x:f>
        <x:v>2630.2679918953813</x:v>
      </x:c>
      <x:c r="L4" s="31" t="n">
        <x:f>IF(E4=0,"",E4*K4)</x:f>
        <x:v>552347.8951236679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7</x:v>
      </x:c>
      <x:c r="C5" s="33" t="n">
        <x:v>7</x:v>
      </x:c>
      <x:c r="D5" s="31" t="n">
        <x:v>658.3919726485</x:v>
      </x:c>
      <x:c r="E5" s="31" t="n">
        <x:v>658.3919726485</x:v>
      </x:c>
      <x:c r="F5" s="32" t="n">
        <x:v>0</x:v>
      </x:c>
      <x:c r="G5" s="34" t="n">
        <x:v>1</x:v>
      </x:c>
      <x:c r="H5" s="32" t="n">
        <x:f>IF(E5=0,"",I5/E5)</x:f>
        <x:v>2333.8836033866</x:v>
      </x:c>
      <x:c r="I5" s="31" t="n">
        <x:f>IF(C5=0,"",SUMIF('Species'!$G$2:$G$56,A5,'Species'!$U$2:$U$56))</x:f>
        <x:v>1536610.229565693</x:v>
      </x:c>
      <x:c r="J5" s="32" t="n">
        <x:v>4.362863153339854</x:v>
      </x:c>
      <x:c r="K5" s="32" t="n">
        <x:f>IF(J5="","",(1/'Metadata'!$B$5)^(J5-1))</x:f>
        <x:v>2306.0204446952835</x:v>
      </x:c>
      <x:c r="L5" s="31" t="n">
        <x:f>IF(E5=0,"",E5*K5)</x:f>
        <x:v>1518265.349550699</x:v>
      </x:c>
      <x:c r="M5" s="31" t="n">
        <x:f>IF(E5=0,"",I5-L5)</x:f>
        <x:v>18344.88001499418</x:v>
      </x:c>
      <x:c r="N5" s="32" t="n">
        <x:f>IF(L5=0,"",I5/L5)</x:f>
        <x:v>1.0120827890990354</x:v>
      </x:c>
      <x:c r="O5" s="34" t="n">
        <x:f>IF(L5=0,"",M5/L5)</x:f>
        <x:v>0.012082789099035285</x:v>
      </x:c>
    </x:row>
    <x:row r="6" ht="18" customHeight="1">
      <x:c r="A6" s="24" t="str">
        <x:v>Lobsters, crabs</x:v>
      </x:c>
      <x:c r="B6" s="33" t="n">
        <x:v>2</x:v>
      </x:c>
      <x:c r="C6" s="33" t="n">
        <x:v>2</x:v>
      </x:c>
      <x:c r="D6" s="31" t="n">
        <x:v>126.5539958</x:v>
      </x:c>
      <x:c r="E6" s="31" t="n">
        <x:v>126.5539958</x:v>
      </x:c>
      <x:c r="F6" s="32" t="n">
        <x:v>0</x:v>
      </x:c>
      <x:c r="G6" s="34" t="n">
        <x:v>1</x:v>
      </x:c>
      <x:c r="H6" s="32" t="n">
        <x:f>IF(E6=0,"",I6/E6)</x:f>
        <x:v>147.7548198417718</x:v>
      </x:c>
      <x:c r="I6" s="31" t="n">
        <x:f>IF(C6=0,"",SUMIF('Species'!$G$2:$G$56,A6,'Species'!$U$2:$U$56))</x:f>
        <x:v>18698.962849685344</x:v>
      </x:c>
      <x:c r="J6" s="32" t="n">
        <x:v>3.169525894069004</x:v>
      </x:c>
      <x:c r="K6" s="32" t="n">
        <x:f>IF(J6="","",(1/'Metadata'!$B$5)^(J6-1))</x:f>
        <x:v>147.74945720615727</x:v>
      </x:c>
      <x:c r="L6" s="31" t="n">
        <x:f>IF(E6=0,"",E6*K6)</x:f>
        <x:v>18698.284186720306</x:v>
      </x:c>
      <x:c r="M6" s="31" t="n">
        <x:f>IF(E6=0,"",I6-L6)</x:f>
        <x:v>0.6786629650378018</x:v>
      </x:c>
      <x:c r="N6" s="32" t="n">
        <x:f>IF(L6=0,"",I6/L6)</x:f>
        <x:v>1.0000362954674482</x:v>
      </x:c>
      <x:c r="O6" s="34" t="n">
        <x:f>IF(L6=0,"",M6/L6)</x:f>
        <x:v>0.00003629546744828033</x:v>
      </x:c>
    </x:row>
    <x:row r="7" ht="18" customHeight="1">
      <x:c r="A7" s="24" t="str">
        <x:v>Medium demersals (30 - 89 cm)</x:v>
      </x:c>
      <x:c r="B7" s="33" t="n">
        <x:v>4</x:v>
      </x:c>
      <x:c r="C7" s="33" t="n">
        <x:v>4</x:v>
      </x:c>
      <x:c r="D7" s="31" t="n">
        <x:v>2035.4603719876</x:v>
      </x:c>
      <x:c r="E7" s="31" t="n">
        <x:v>2035.4603719876</x:v>
      </x:c>
      <x:c r="F7" s="32" t="n">
        <x:v>0</x:v>
      </x:c>
      <x:c r="G7" s="34" t="n">
        <x:v>1</x:v>
      </x:c>
      <x:c r="H7" s="32" t="n">
        <x:f>IF(E7=0,"",I7/E7)</x:f>
        <x:v>430.2589082089971</x:v>
      </x:c>
      <x:c r="I7" s="31" t="n">
        <x:f>IF(C7=0,"",SUMIF('Species'!$G$2:$G$56,A7,'Species'!$U$2:$U$56))</x:f>
        <x:v>875774.9573540639</x:v>
      </x:c>
      <x:c r="J7" s="32" t="n">
        <x:v>3.579299873610136</x:v>
      </x:c>
      <x:c r="K7" s="32" t="n">
        <x:f>IF(J7="","",(1/'Metadata'!$B$5)^(J7-1))</x:f>
        <x:v>379.57698653672406</x:v>
      </x:c>
      <x:c r="L7" s="31" t="n">
        <x:f>IF(E7=0,"",E7*K7)</x:f>
        <x:v>772613.9142139726</x:v>
      </x:c>
      <x:c r="M7" s="31" t="n">
        <x:f>IF(E7=0,"",I7-L7)</x:f>
        <x:v>103161.04314009123</x:v>
      </x:c>
      <x:c r="N7" s="32" t="n">
        <x:f>IF(L7=0,"",I7/L7)</x:f>
        <x:v>1.133522114010907</x:v>
      </x:c>
      <x:c r="O7" s="34" t="n">
        <x:f>IF(L7=0,"",M7/L7)</x:f>
        <x:v>0.13352211401090708</x:v>
      </x:c>
    </x:row>
    <x:row r="8" ht="18" customHeight="1">
      <x:c r="A8" s="24" t="str">
        <x:v>Medium pelagics (30 - 89 cm)</x:v>
      </x:c>
      <x:c r="B8" s="33" t="n">
        <x:v>4</x:v>
      </x:c>
      <x:c r="C8" s="33" t="n">
        <x:v>4</x:v>
      </x:c>
      <x:c r="D8" s="31" t="n">
        <x:v>2765.2250355169003</x:v>
      </x:c>
      <x:c r="E8" s="31" t="n">
        <x:v>2765.2250355169003</x:v>
      </x:c>
      <x:c r="F8" s="32" t="n">
        <x:v>0</x:v>
      </x:c>
      <x:c r="G8" s="34" t="n">
        <x:v>1</x:v>
      </x:c>
      <x:c r="H8" s="32" t="n">
        <x:f>IF(E8=0,"",I8/E8)</x:f>
        <x:v>1737.468660750773</x:v>
      </x:c>
      <x:c r="I8" s="31" t="n">
        <x:f>IF(C8=0,"",SUMIF('Species'!$G$2:$G$56,A8,'Species'!$U$2:$U$56))</x:f>
        <x:v>4804491.839134058</x:v>
      </x:c>
      <x:c r="J8" s="32" t="n">
        <x:v>4.226206124625799</x:v>
      </x:c>
      <x:c r="K8" s="32" t="n">
        <x:f>IF(J8="","",(1/'Metadata'!$B$5)^(J8-1))</x:f>
        <x:v>1683.4728805289324</x:v>
      </x:c>
      <x:c r="L8" s="31" t="n">
        <x:f>IF(E8=0,"",E8*K8)</x:f>
        <x:v>4655181.355852355</x:v>
      </x:c>
      <x:c r="M8" s="31" t="n">
        <x:f>IF(E8=0,"",I8-L8)</x:f>
        <x:v>149310.48328170273</x:v>
      </x:c>
      <x:c r="N8" s="32" t="n">
        <x:f>IF(L8=0,"",I8/L8)</x:f>
        <x:v>1.032074042205465</x:v>
      </x:c>
      <x:c r="O8" s="34" t="n">
        <x:f>IF(L8=0,"",M8/L8)</x:f>
        <x:v>0.03207404220546511</x:v>
      </x:c>
    </x:row>
    <x:row r="9" ht="18" customHeight="1">
      <x:c r="A9" s="24" t="str">
        <x:v>Medium reef assoc. fish (30 - 89 cm)</x:v>
      </x:c>
      <x:c r="B9" s="33" t="n">
        <x:v>13</x:v>
      </x:c>
      <x:c r="C9" s="33" t="n">
        <x:v>13</x:v>
      </x:c>
      <x:c r="D9" s="31" t="n">
        <x:v>4165.125946125</x:v>
      </x:c>
      <x:c r="E9" s="31" t="n">
        <x:v>4165.125946125</x:v>
      </x:c>
      <x:c r="F9" s="32" t="n">
        <x:v>0</x:v>
      </x:c>
      <x:c r="G9" s="34" t="n">
        <x:v>1</x:v>
      </x:c>
      <x:c r="H9" s="32" t="n">
        <x:f>IF(E9=0,"",I9/E9)</x:f>
        <x:v>797.2089394428881</x:v>
      </x:c>
      <x:c r="I9" s="31" t="n">
        <x:f>IF(C9=0,"",SUMIF('Species'!$G$2:$G$56,A9,'Species'!$U$2:$U$56))</x:f>
        <x:v>3320475.6381563675</x:v>
      </x:c>
      <x:c r="J9" s="32" t="n">
        <x:v>3.5589513108003046</x:v>
      </x:c>
      <x:c r="K9" s="32" t="n">
        <x:f>IF(J9="","",(1/'Metadata'!$B$5)^(J9-1))</x:f>
        <x:v>362.20238925910877</x:v>
      </x:c>
      <x:c r="L9" s="31" t="n">
        <x:f>IF(E9=0,"",E9*K9)</x:f>
        <x:v>1508618.569251581</x:v>
      </x:c>
      <x:c r="M9" s="31" t="n">
        <x:f>IF(E9=0,"",I9-L9)</x:f>
        <x:v>1811857.0689047864</x:v>
      </x:c>
      <x:c r="N9" s="32" t="n">
        <x:f>IF(L9=0,"",I9/L9)</x:f>
        <x:v>2.201004088000614</x:v>
      </x:c>
      <x:c r="O9" s="34" t="n">
        <x:f>IF(L9=0,"",M9/L9)</x:f>
        <x:v>1.201004088000614</x:v>
      </x:c>
    </x:row>
    <x:row r="10" ht="18" customHeight="1">
      <x:c r="A10" s="24" t="str">
        <x:v>Other demersal invertebrates</x:v>
      </x:c>
      <x:c r="B10" s="33" t="n">
        <x:v>6</x:v>
      </x:c>
      <x:c r="C10" s="33" t="n">
        <x:v>6</x:v>
      </x:c>
      <x:c r="D10" s="31" t="n">
        <x:v>385.65719805699996</x:v>
      </x:c>
      <x:c r="E10" s="31" t="n">
        <x:v>385.65719805699996</x:v>
      </x:c>
      <x:c r="F10" s="32" t="n">
        <x:v>0</x:v>
      </x:c>
      <x:c r="G10" s="34" t="n">
        <x:v>1</x:v>
      </x:c>
      <x:c r="H10" s="32" t="n">
        <x:f>IF(E10=0,"",I10/E10)</x:f>
        <x:v>12.801410858581153</x:v>
      </x:c>
      <x:c r="I10" s="31" t="n">
        <x:f>IF(C10=0,"",SUMIF('Species'!$G$2:$G$56,A10,'Species'!$U$2:$U$56))</x:f>
        <x:v>4936.956242896862</x:v>
      </x:c>
      <x:c r="J10" s="32" t="n">
        <x:v>2.0767571391785484</x:v>
      </x:c>
      <x:c r="K10" s="32" t="n">
        <x:f>IF(J10="","",(1/'Metadata'!$B$5)^(J10-1))</x:f>
        <x:v>11.933206037671772</x:v>
      </x:c>
      <x:c r="L10" s="31" t="n">
        <x:f>IF(E10=0,"",E10*K10)</x:f>
        <x:v>4602.12680432537</x:v>
      </x:c>
      <x:c r="M10" s="31" t="n">
        <x:f>IF(E10=0,"",I10-L10)</x:f>
        <x:v>334.82943857149166</x:v>
      </x:c>
      <x:c r="N10" s="32" t="n">
        <x:f>IF(L10=0,"",I10/L10)</x:f>
        <x:v>1.0727553700295258</x:v>
      </x:c>
      <x:c r="O10" s="34" t="n">
        <x:f>IF(L10=0,"",M10/L10)</x:f>
        <x:v>0.07275537002952585</x:v>
      </x:c>
    </x:row>
    <x:row r="11" ht="18" customHeight="1">
      <x:c r="A11" s="24" t="str">
        <x:v>Shrimps</x:v>
      </x:c>
      <x:c r="B11" s="33" t="n">
        <x:v>1</x:v>
      </x:c>
      <x:c r="C11" s="33" t="n">
        <x:v>1</x:v>
      </x:c>
      <x:c r="D11" s="31" t="n">
        <x:v>86</x:v>
      </x:c>
      <x:c r="E11" s="31" t="n">
        <x:v>86</x:v>
      </x:c>
      <x:c r="F11" s="32" t="n">
        <x:v>0</x:v>
      </x:c>
      <x:c r="G11" s="34" t="n">
        <x:v>1</x:v>
      </x:c>
      <x:c r="H11" s="32" t="n">
        <x:f>IF(E11=0,"",I11/E11)</x:f>
        <x:v>50.11872336272725</x:v>
      </x:c>
      <x:c r="I11" s="31" t="n">
        <x:f>IF(C11=0,"",SUMIF('Species'!$G$2:$G$56,A11,'Species'!$U$2:$U$56))</x:f>
        <x:v>4310.2102091945435</x:v>
      </x:c>
      <x:c r="J11" s="32" t="n">
        <x:v>2.7</x:v>
      </x:c>
      <x:c r="K11" s="32" t="n">
        <x:f>IF(J11="","",(1/'Metadata'!$B$5)^(J11-1))</x:f>
        <x:v>50.11872336272725</x:v>
      </x:c>
      <x:c r="L11" s="31" t="n">
        <x:f>IF(E11=0,"",E11*K11)</x:f>
        <x:v>4310.2102091945435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16.152049728</x:v>
      </x:c>
      <x:c r="E12" s="31" t="n">
        <x:v>16.152049728</x:v>
      </x:c>
      <x:c r="F12" s="32" t="n">
        <x:v>0</x:v>
      </x:c>
      <x:c r="G12" s="34" t="n">
        <x:v>1</x:v>
      </x:c>
      <x:c r="H12" s="32" t="n">
        <x:f>IF(E12=0,"",I12/E12)</x:f>
        <x:v>107.1519305237606</x:v>
      </x:c>
      <x:c r="I12" s="31" t="n">
        <x:f>IF(C12=0,"",SUMIF('Species'!$G$2:$G$56,A12,'Species'!$U$2:$U$56))</x:f>
        <x:v>1730.7233102709824</x:v>
      </x:c>
      <x:c r="J12" s="32" t="n">
        <x:v>3.03</x:v>
      </x:c>
      <x:c r="K12" s="32" t="n">
        <x:f>IF(J12="","",(1/'Metadata'!$B$5)^(J12-1))</x:f>
        <x:v>107.1519305237606</x:v>
      </x:c>
      <x:c r="L12" s="31" t="n">
        <x:f>IF(E12=0,"",E12*K12)</x:f>
        <x:v>1730.7233102709824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1</x:v>
      </x:c>
      <x:c r="C13" s="33" t="n">
        <x:v>1</x:v>
      </x:c>
      <x:c r="D13" s="31" t="n">
        <x:v>68.646205007</x:v>
      </x:c>
      <x:c r="E13" s="31" t="n">
        <x:v>68.646205007</x:v>
      </x:c>
      <x:c r="F13" s="32" t="n">
        <x:v>0</x:v>
      </x:c>
      <x:c r="G13" s="34" t="n">
        <x:v>1</x:v>
      </x:c>
      <x:c r="H13" s="32" t="n">
        <x:f>IF(E13=0,"",I13/E13)</x:f>
        <x:v>691.8309709189363</x:v>
      </x:c>
      <x:c r="I13" s="31" t="n">
        <x:f>IF(C13=0,"",SUMIF('Species'!$G$2:$G$56,A13,'Species'!$U$2:$U$56))</x:f>
        <x:v>47491.57065989316</x:v>
      </x:c>
      <x:c r="J13" s="32" t="n">
        <x:v>3.8399999999999994</x:v>
      </x:c>
      <x:c r="K13" s="32" t="n">
        <x:f>IF(J13="","",(1/'Metadata'!$B$5)^(J13-1))</x:f>
        <x:v>691.8309709189356</x:v>
      </x:c>
      <x:c r="L13" s="31" t="n">
        <x:f>IF(E13=0,"",E13*K13)</x:f>
        <x:v>47491.570659893114</x:v>
      </x:c>
      <x:c r="M13" s="31" t="n">
        <x:f>IF(E13=0,"",I13-L13)</x:f>
        <x:v>4.3655745685100555e-11</x:v>
      </x:c>
      <x:c r="N13" s="32" t="n">
        <x:f>IF(L13=0,"",I13/L13)</x:f>
        <x:v>1.0000000000000009</x:v>
      </x:c>
      <x:c r="O13" s="34" t="n">
        <x:f>IF(L13=0,"",M13/L13)</x:f>
        <x:v>9.192314568355195e-16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9279bc55c845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EEZ_540</x:v>
      </x:c>
      <x:c r="B2" s="24" t="str">
        <x:v>raw_filtered_tonnes</x:v>
      </x:c>
      <x:c r="C2" s="24" t="n">
        <x:v>11907.6644335737</x:v>
      </x:c>
      <x:c r="D2" s="24" t="str">
        <x:v>tonnes</x:v>
      </x:c>
    </x:row>
    <x:row r="3" ht="18" customHeight="1">
      <x:c r="A3" s="24" t="str">
        <x:v>EEZ_540</x:v>
      </x:c>
      <x:c r="B3" s="24" t="str">
        <x:v>species_catch_tonnes</x:v>
      </x:c>
      <x:c r="C3" s="24" t="n">
        <x:v>11907.664433573698</x:v>
      </x:c>
      <x:c r="D3" s="24" t="str">
        <x:v>tonnes</x:v>
      </x:c>
    </x:row>
    <x:row r="4" ht="18" customHeight="1">
      <x:c r="A4" s="24" t="str">
        <x:v>EEZ_540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EEZ_540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EEZ_540</x:v>
      </x:c>
      <x:c r="B6" s="24" t="str">
        <x:v>matched_catch_tonnes</x:v>
      </x:c>
      <x:c r="C6" s="24" t="n">
        <x:v>11907.664433573698</x:v>
      </x:c>
      <x:c r="D6" s="24" t="str">
        <x:v>tonnes</x:v>
      </x:c>
    </x:row>
    <x:row r="7" ht="18" customHeight="1">
      <x:c r="A7" s="24" t="str">
        <x:v>EEZ_540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EEZ_540</x:v>
      </x:c>
      <x:c r="B8" s="24" t="str">
        <x:v>taxa_count</x:v>
      </x:c>
      <x:c r="C8" s="24" t="n">
        <x:v>55</x:v>
      </x:c>
      <x:c r="D8" s="24" t="str">
        <x:v>count</x:v>
      </x:c>
    </x:row>
    <x:row r="9" ht="18" customHeight="1">
      <x:c r="A9" s="24" t="str">
        <x:v>EEZ_540</x:v>
      </x:c>
      <x:c r="B9" s="24" t="str">
        <x:v>matched_taxa_count</x:v>
      </x:c>
      <x:c r="C9" s="24" t="n">
        <x:v>55</x:v>
      </x:c>
      <x:c r="D9" s="24" t="str">
        <x:v>count</x:v>
      </x:c>
    </x:row>
    <x:row r="10" ht="18" customHeight="1">
      <x:c r="A10" s="24" t="str">
        <x:v>EEZ_540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EEZ_540</x:v>
      </x:c>
      <x:c r="B11" s="24" t="str">
        <x:v>species_ppr</x:v>
      </x:c>
      <x:c r="C11" s="24" t="n">
        <x:v>14486808.543640152</x:v>
      </x:c>
      <x:c r="D11" s="24" t="str">
        <x:v>tonnes_primary_production_equivalent</x:v>
      </x:c>
    </x:row>
    <x:row r="12" ht="18" customHeight="1">
      <x:c r="A12" s="24" t="str">
        <x:v>EEZ_540</x:v>
      </x:c>
      <x:c r="B12" s="24" t="str">
        <x:v>commercial_ppr</x:v>
      </x:c>
      <x:c r="C12" s="24" t="n">
        <x:v>14486808.543640148</x:v>
      </x:c>
      <x:c r="D12" s="24" t="str">
        <x:v>tonnes_primary_production_equivalent</x:v>
      </x:c>
    </x:row>
    <x:row r="13" ht="18" customHeight="1">
      <x:c r="A13" s="24" t="str">
        <x:v>EEZ_540</x:v>
      </x:c>
      <x:c r="B13" s="24" t="str">
        <x:v>functional_ppr</x:v>
      </x:c>
      <x:c r="C13" s="24" t="n">
        <x:v>14486808.543640148</x:v>
      </x:c>
      <x:c r="D13" s="24" t="str">
        <x:v>tonnes_primary_production_equivalent</x:v>
      </x:c>
    </x:row>
    <x:row r="14" ht="18" customHeight="1">
      <x:c r="A14" s="24" t="str">
        <x:v>EEZ_540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EEZ_540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EEZ_540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EEZ_540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EEZ_540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EEZ_540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a8a5cd959c942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EEZ_540 - New Caledonia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EEZ_540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