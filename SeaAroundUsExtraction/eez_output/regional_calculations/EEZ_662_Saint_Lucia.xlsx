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e142a3332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206f4f2a2094dce"/>
    <x:sheet xmlns:r="http://schemas.openxmlformats.org/officeDocument/2006/relationships" name="Commercial" sheetId="2" r:id="Ra364284fb3234431"/>
    <x:sheet xmlns:r="http://schemas.openxmlformats.org/officeDocument/2006/relationships" name="Functional" sheetId="3" r:id="Rdcc7c658ba074294"/>
    <x:sheet xmlns:r="http://schemas.openxmlformats.org/officeDocument/2006/relationships" name="Missing TL" sheetId="4" r:id="R8af450f697fa482a"/>
    <x:sheet xmlns:r="http://schemas.openxmlformats.org/officeDocument/2006/relationships" name="Validation" sheetId="5" r:id="R137075acffb34fa2"/>
    <x:sheet xmlns:r="http://schemas.openxmlformats.org/officeDocument/2006/relationships" name="Metadata" sheetId="6" r:id="R81cc4b839959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eb029b38443cd" /><Relationship Type="http://schemas.openxmlformats.org/officeDocument/2006/relationships/theme" Target="/xl/theme/theme1.xml" Id="R872d8c0b446b4308" /><Relationship Type="http://schemas.microsoft.com/office/2022/11/relationships/FeaturePropertyBag" Target="/xl/featurePropertyBag/featurePropertyBag.xml" Id="R8fbbd650559e469f" /><Relationship Type="http://schemas.openxmlformats.org/officeDocument/2006/relationships/sharedStrings" Target="/xl/sharedStrings.xml" Id="R536540a5341a4e35" /><Relationship Type="http://schemas.openxmlformats.org/officeDocument/2006/relationships/worksheet" Target="/xl/worksheets/sheet1.xml" Id="R4206f4f2a2094dce" /><Relationship Type="http://schemas.openxmlformats.org/officeDocument/2006/relationships/worksheet" Target="/xl/worksheets/sheet2.xml" Id="Ra364284fb3234431" /><Relationship Type="http://schemas.openxmlformats.org/officeDocument/2006/relationships/worksheet" Target="/xl/worksheets/sheet3.xml" Id="Rdcc7c658ba074294" /><Relationship Type="http://schemas.openxmlformats.org/officeDocument/2006/relationships/worksheet" Target="/xl/worksheets/sheet4.xml" Id="R8af450f697fa482a" /><Relationship Type="http://schemas.openxmlformats.org/officeDocument/2006/relationships/worksheet" Target="/xl/worksheets/sheet5.xml" Id="R137075acffb34fa2" /><Relationship Type="http://schemas.openxmlformats.org/officeDocument/2006/relationships/worksheet" Target="/xl/worksheets/sheet6.xml" Id="R81cc4b83995944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62SpeciesTable" displayName="EEZ662SpeciesTable" ref="A1:U73" headerRowCount="1" totalsRowCount="0" totalsRowShown="0">
  <x:autoFilter ref="A1:U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62CommercialTable" displayName="EEZ662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62FunctionalTable" displayName="EEZ662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62ValidationTable" displayName="EEZ66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183d80d70b48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8c8c3ca0394c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aa67448e964a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b8d7bdd7bc4f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EEZ_662</x:v>
      </x:c>
      <x:c r="B2" s="24" t="str">
        <x:v>Saint Lucia</x:v>
      </x:c>
      <x:c r="C2" s="24" t="str">
        <x:v>EEZ</x:v>
      </x:c>
      <x:c r="D2" s="30" t="n">
        <x:v>2019</x:v>
      </x:c>
      <x:c r="E2" s="24" t="str">
        <x:v>Coryphaena hippurus</x:v>
      </x:c>
      <x:c r="F2" s="24" t="str">
        <x:v>Common dolphinfish</x:v>
      </x:c>
      <x:c r="G2" s="24" t="str">
        <x:v>Large pelagics (&gt;=90 cm)</x:v>
      </x:c>
      <x:c r="H2" s="24" t="str">
        <x:v>Perch-likes</x:v>
      </x:c>
      <x:c r="I2" s="31" t="n">
        <x:v>406.8070721158</x:v>
      </x:c>
      <x:c r="J2" s="31" t="n">
        <x:v>406.8070721158</x:v>
      </x:c>
      <x:c r="K2" s="31" t="n">
        <x:v>0</x:v>
      </x:c>
      <x:c r="L2" s="31" t="n">
        <x:v>406.10671189019996</x:v>
      </x:c>
      <x:c r="M2" s="31" t="n">
        <x:v>0.7003602256</x:v>
      </x:c>
      <x:c r="N2" s="24" t="str">
        <x:v>coryphaena hippurus</x:v>
      </x:c>
      <x:c r="O2" s="32" t="n">
        <x:v>4.37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Coryphaena hippurus</x:v>
      </x:c>
      <x:c r="T2" s="32" t="n">
        <x:f>IF(O2="","",(1/'Metadata'!$B$5)^(O2-1))</x:f>
        <x:v>2344.228815319923</x:v>
      </x:c>
      <x:c r="U2" s="31" t="n">
        <x:f>IF(T2="","",I2*T2)</x:f>
        <x:v>953648.8607297883</x:v>
      </x:c>
    </x:row>
    <x:row r="3" ht="18" customHeight="1">
      <x:c r="A3" s="24" t="str">
        <x:v>EEZ_662</x:v>
      </x:c>
      <x:c r="B3" s="24" t="str">
        <x:v>Saint Lucia</x:v>
      </x:c>
      <x:c r="C3" s="24" t="str">
        <x:v>EEZ</x:v>
      </x:c>
      <x:c r="D3" s="30" t="n">
        <x:v>2019</x:v>
      </x:c>
      <x:c r="E3" s="24" t="str">
        <x:v>Aliger gigas</x:v>
      </x:c>
      <x:c r="F3" s="24" t="str">
        <x:v>Pink conch</x:v>
      </x:c>
      <x:c r="G3" s="24" t="str">
        <x:v>Other demersal invertebrates</x:v>
      </x:c>
      <x:c r="H3" s="24" t="str">
        <x:v>Molluscs</x:v>
      </x:c>
      <x:c r="I3" s="31" t="n">
        <x:v>365.22</x:v>
      </x:c>
      <x:c r="J3" s="31" t="n">
        <x:v>365.22</x:v>
      </x:c>
      <x:c r="K3" s="31" t="n">
        <x:v>0</x:v>
      </x:c>
      <x:c r="L3" s="31" t="n">
        <x:v>365.22</x:v>
      </x:c>
      <x:c r="M3" s="31" t="n">
        <x:v>0</x:v>
      </x:c>
      <x:c r="N3" s="24" t="str">
        <x:v>aliger gigas</x:v>
      </x:c>
      <x:c r="O3" s="32" t="n">
        <x:v>2.19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Aliger gigas</x:v>
      </x:c>
      <x:c r="T3" s="32" t="n">
        <x:f>IF(O3="","",(1/'Metadata'!$B$5)^(O3-1))</x:f>
        <x:v>15.488166189124811</x:v>
      </x:c>
      <x:c r="U3" s="31" t="n">
        <x:f>IF(T3="","",I3*T3)</x:f>
        <x:v>5656.588055592164</x:v>
      </x:c>
    </x:row>
    <x:row r="4" ht="18" customHeight="1">
      <x:c r="A4" s="24" t="str">
        <x:v>EEZ_662</x:v>
      </x:c>
      <x:c r="B4" s="24" t="str">
        <x:v>Saint Lucia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106.620369317</x:v>
      </x:c>
      <x:c r="J4" s="31" t="n">
        <x:v>54.7245153065</x:v>
      </x:c>
      <x:c r="K4" s="31" t="n">
        <x:v>51.8958540105</x:v>
      </x:c>
      <x:c r="L4" s="31" t="n">
        <x:v>53.0436500693</x:v>
      </x:c>
      <x:c r="M4" s="31" t="n">
        <x:v>53.5767192477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20316.09254682773</x:v>
      </x:c>
    </x:row>
    <x:row r="5" ht="18" customHeight="1">
      <x:c r="A5" s="24" t="str">
        <x:v>EEZ_662</x:v>
      </x:c>
      <x:c r="B5" s="24" t="str">
        <x:v>Saint Lucia</x:v>
      </x:c>
      <x:c r="C5" s="24" t="str">
        <x:v>EEZ</x:v>
      </x:c>
      <x:c r="D5" s="30" t="n">
        <x:v>2019</x:v>
      </x:c>
      <x:c r="E5" s="24" t="str">
        <x:v>Lutjanus purpureus</x:v>
      </x:c>
      <x:c r="F5" s="24" t="str">
        <x:v>Southern red snapper</x:v>
      </x:c>
      <x:c r="G5" s="24" t="str">
        <x:v>Medium demersals (30 - 89 cm)</x:v>
      </x:c>
      <x:c r="H5" s="24" t="str">
        <x:v>Perch-likes</x:v>
      </x:c>
      <x:c r="I5" s="31" t="n">
        <x:v>102.5778825078</x:v>
      </x:c>
      <x:c r="J5" s="31" t="n">
        <x:v>102.5778825078</x:v>
      </x:c>
      <x:c r="K5" s="31" t="n">
        <x:v>0</x:v>
      </x:c>
      <x:c r="L5" s="31" t="n">
        <x:v>102.5778825078</x:v>
      </x:c>
      <x:c r="M5" s="31" t="n">
        <x:v>0</x:v>
      </x:c>
      <x:c r="N5" s="24" t="str">
        <x:v>lutjanus purpureus</x:v>
      </x:c>
      <x:c r="O5" s="32" t="n">
        <x:v>3.58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Lutjanus purpureus</x:v>
      </x:c>
      <x:c r="T5" s="32" t="n">
        <x:f>IF(O5="","",(1/'Metadata'!$B$5)^(O5-1))</x:f>
        <x:v>380.1893963205613</x:v>
      </x:c>
      <x:c r="U5" s="31" t="n">
        <x:f>IF(T5="","",I5*T5)</x:f>
        <x:v>38999.02322648194</x:v>
      </x:c>
    </x:row>
    <x:row r="6" ht="18" customHeight="1">
      <x:c r="A6" s="24" t="str">
        <x:v>EEZ_662</x:v>
      </x:c>
      <x:c r="B6" s="24" t="str">
        <x:v>Saint Lucia</x:v>
      </x:c>
      <x:c r="C6" s="24" t="str">
        <x:v>EEZ</x:v>
      </x:c>
      <x:c r="D6" s="30" t="n">
        <x:v>2019</x:v>
      </x:c>
      <x:c r="E6" s="24" t="str">
        <x:v>Carangidae</x:v>
      </x:c>
      <x:c r="F6" s="24" t="str">
        <x:v>Jacks, pompanos</x:v>
      </x:c>
      <x:c r="G6" s="24" t="str">
        <x:v>Medium pelagics (30 - 89 cm)</x:v>
      </x:c>
      <x:c r="H6" s="24" t="str">
        <x:v>Perch-likes</x:v>
      </x:c>
      <x:c r="I6" s="31" t="n">
        <x:v>90.9432226565</x:v>
      </x:c>
      <x:c r="J6" s="31" t="n">
        <x:v>90.9432226565</x:v>
      </x:c>
      <x:c r="K6" s="31" t="n">
        <x:v>0</x:v>
      </x:c>
      <x:c r="L6" s="31" t="n">
        <x:v>90.0327543258</x:v>
      </x:c>
      <x:c r="M6" s="31" t="n">
        <x:v>0.9104683307</x:v>
      </x:c>
      <x:c r="N6" s="24" t="str">
        <x:v>carangidae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Carangidae</x:v>
      </x:c>
      <x:c r="T6" s="32" t="n">
        <x:f>IF(O6="","",(1/'Metadata'!$B$5)^(O6-1))</x:f>
        <x:v>1122.018454301963</x:v>
      </x:c>
      <x:c r="U6" s="31" t="n">
        <x:f>IF(T6="","",I6*T6)</x:f>
        <x:v>102039.97411428539</x:v>
      </x:c>
    </x:row>
    <x:row r="7" ht="18" customHeight="1">
      <x:c r="A7" s="24" t="str">
        <x:v>EEZ_662</x:v>
      </x:c>
      <x:c r="B7" s="24" t="str">
        <x:v>Saint Lucia</x:v>
      </x:c>
      <x:c r="C7" s="24" t="str">
        <x:v>EEZ</x:v>
      </x:c>
      <x:c r="D7" s="30" t="n">
        <x:v>2019</x:v>
      </x:c>
      <x:c r="E7" s="24" t="str">
        <x:v>Hemiramphidae</x:v>
      </x:c>
      <x:c r="F7" s="24" t="str">
        <x:v>Halfbeaks, garfishes</x:v>
      </x:c>
      <x:c r="G7" s="24" t="str">
        <x:v>Medium pelagics (30 - 89 cm)</x:v>
      </x:c>
      <x:c r="H7" s="24" t="str">
        <x:v>Other fishes &amp; inverts</x:v>
      </x:c>
      <x:c r="I7" s="31" t="n">
        <x:v>81.1364030239</x:v>
      </x:c>
      <x:c r="J7" s="31" t="n">
        <x:v>81.1364030239</x:v>
      </x:c>
      <x:c r="K7" s="31" t="n">
        <x:v>0</x:v>
      </x:c>
      <x:c r="L7" s="31" t="n">
        <x:v>81.1364030239</x:v>
      </x:c>
      <x:c r="M7" s="31" t="n">
        <x:v>0</x:v>
      </x:c>
      <x:c r="N7" s="24" t="str">
        <x:v>hemiramphidae</x:v>
      </x:c>
      <x:c r="O7" s="32" t="n">
        <x:v>2.82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Hemiramphidae</x:v>
      </x:c>
      <x:c r="T7" s="32" t="n">
        <x:f>IF(O7="","",(1/'Metadata'!$B$5)^(O7-1))</x:f>
        <x:v>66.06934480075958</x:v>
      </x:c>
      <x:c r="U7" s="31" t="n">
        <x:f>IF(T7="","",I7*T7)</x:f>
        <x:v>5360.628987279441</x:v>
      </x:c>
    </x:row>
    <x:row r="8" ht="18" customHeight="1">
      <x:c r="A8" s="24" t="str">
        <x:v>EEZ_662</x:v>
      </x:c>
      <x:c r="B8" s="24" t="str">
        <x:v>Saint Lucia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41.0305041785</x:v>
      </x:c>
      <x:c r="J8" s="31" t="n">
        <x:v>41.0305041785</x:v>
      </x:c>
      <x:c r="K8" s="31" t="n">
        <x:v>0</x:v>
      </x:c>
      <x:c r="L8" s="31" t="n">
        <x:v>40.050000000000004</x:v>
      </x:c>
      <x:c r="M8" s="31" t="n">
        <x:v>0.9805041785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42964.21226622903</x:v>
      </x:c>
    </x:row>
    <x:row r="9" ht="18" customHeight="1">
      <x:c r="A9" s="24" t="str">
        <x:v>EEZ_662</x:v>
      </x:c>
      <x:c r="B9" s="24" t="str">
        <x:v>Saint Lucia</x:v>
      </x:c>
      <x:c r="C9" s="24" t="str">
        <x:v>EEZ</x:v>
      </x:c>
      <x:c r="D9" s="30" t="n">
        <x:v>2019</x:v>
      </x:c>
      <x:c r="E9" s="24" t="str">
        <x:v>Balistidae</x:v>
      </x:c>
      <x:c r="F9" s="24" t="str">
        <x:v>Triggerfishes</x:v>
      </x:c>
      <x:c r="G9" s="24" t="str">
        <x:v>Medium reef assoc. fish (30 - 89 cm)</x:v>
      </x:c>
      <x:c r="H9" s="24" t="str">
        <x:v>Other fishes &amp; inverts</x:v>
      </x:c>
      <x:c r="I9" s="31" t="n">
        <x:v>37.4103205177</x:v>
      </x:c>
      <x:c r="J9" s="31" t="n">
        <x:v>37.4103205177</x:v>
      </x:c>
      <x:c r="K9" s="31" t="n">
        <x:v>0</x:v>
      </x:c>
      <x:c r="L9" s="31" t="n">
        <x:v>37.4103205177</x:v>
      </x:c>
      <x:c r="M9" s="31" t="n">
        <x:v>0</x:v>
      </x:c>
      <x:c r="N9" s="24" t="str">
        <x:v>balistidae</x:v>
      </x:c>
      <x:c r="O9" s="32" t="n">
        <x:v>3.25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Balistidae</x:v>
      </x:c>
      <x:c r="T9" s="32" t="n">
        <x:f>IF(O9="","",(1/'Metadata'!$B$5)^(O9-1))</x:f>
        <x:v>177.82794100389228</x:v>
      </x:c>
      <x:c r="U9" s="31" t="n">
        <x:f>IF(T9="","",I9*T9)</x:f>
        <x:v>6652.600269958257</x:v>
      </x:c>
    </x:row>
    <x:row r="10" ht="18" customHeight="1">
      <x:c r="A10" s="24" t="str">
        <x:v>EEZ_662</x:v>
      </x:c>
      <x:c r="B10" s="24" t="str">
        <x:v>Saint Lucia</x:v>
      </x:c>
      <x:c r="C10" s="24" t="str">
        <x:v>EEZ</x:v>
      </x:c>
      <x:c r="D10" s="30" t="n">
        <x:v>2019</x:v>
      </x:c>
      <x:c r="E10" s="24" t="str">
        <x:v>Clupeidae</x:v>
      </x:c>
      <x:c r="F10" s="24" t="str">
        <x:v>Herrings, sardines, menhadens</x:v>
      </x:c>
      <x:c r="G10" s="24" t="str">
        <x:v>Small pelagics (&lt;30 cm)</x:v>
      </x:c>
      <x:c r="H10" s="24" t="str">
        <x:v>Herring-likes</x:v>
      </x:c>
      <x:c r="I10" s="31" t="n">
        <x:v>33.7528045985</x:v>
      </x:c>
      <x:c r="J10" s="31" t="n">
        <x:v>33.7528045985</x:v>
      </x:c>
      <x:c r="K10" s="31" t="n">
        <x:v>0</x:v>
      </x:c>
      <x:c r="L10" s="31" t="n">
        <x:v>33.7528045985</x:v>
      </x:c>
      <x:c r="M10" s="31" t="n">
        <x:v>0</x:v>
      </x:c>
      <x:c r="N10" s="24" t="str">
        <x:v>clupeidae</x:v>
      </x:c>
      <x:c r="O10" s="32" t="n">
        <x:v>3.16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Clupeidae</x:v>
      </x:c>
      <x:c r="T10" s="32" t="n">
        <x:f>IF(O10="","",(1/'Metadata'!$B$5)^(O10-1))</x:f>
        <x:v>144.5439770745928</x:v>
      </x:c>
      <x:c r="U10" s="31" t="n">
        <x:f>IF(T10="","",I10*T10)</x:f>
        <x:v>4878.764614088794</x:v>
      </x:c>
    </x:row>
    <x:row r="11" ht="18" customHeight="1">
      <x:c r="A11" s="24" t="str">
        <x:v>EEZ_662</x:v>
      </x:c>
      <x:c r="B11" s="24" t="str">
        <x:v>Saint Lucia</x:v>
      </x:c>
      <x:c r="C11" s="24" t="str">
        <x:v>EEZ</x:v>
      </x:c>
      <x:c r="D11" s="30" t="n">
        <x:v>2019</x:v>
      </x:c>
      <x:c r="E11" s="24" t="str">
        <x:v>Holocentridae</x:v>
      </x:c>
      <x:c r="F11" s="24" t="str">
        <x:v>Squirrel-, soldierfishes</x:v>
      </x:c>
      <x:c r="G11" s="24" t="str">
        <x:v>Small reef assoc. fish (&lt;30 cm)</x:v>
      </x:c>
      <x:c r="H11" s="24" t="str">
        <x:v>Other fishes &amp; inverts</x:v>
      </x:c>
      <x:c r="I11" s="31" t="n">
        <x:v>28.8943712622</x:v>
      </x:c>
      <x:c r="J11" s="31" t="n">
        <x:v>28.8943712622</x:v>
      </x:c>
      <x:c r="K11" s="31" t="n">
        <x:v>0</x:v>
      </x:c>
      <x:c r="L11" s="31" t="n">
        <x:v>28.8943712622</x:v>
      </x:c>
      <x:c r="M11" s="31" t="n">
        <x:v>0</x:v>
      </x:c>
      <x:c r="N11" s="24" t="str">
        <x:v>holocentridae</x:v>
      </x:c>
      <x:c r="O11" s="32" t="n">
        <x:v>3.49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Holocentridae</x:v>
      </x:c>
      <x:c r="T11" s="32" t="n">
        <x:f>IF(O11="","",(1/'Metadata'!$B$5)^(O11-1))</x:f>
        <x:v>309.0295432513592</x:v>
      </x:c>
      <x:c r="U11" s="31" t="n">
        <x:f>IF(T11="","",I11*T11)</x:f>
        <x:v>8929.214353692865</x:v>
      </x:c>
    </x:row>
    <x:row r="12" ht="18" customHeight="1">
      <x:c r="A12" s="24" t="str">
        <x:v>EEZ_662</x:v>
      </x:c>
      <x:c r="B12" s="24" t="str">
        <x:v>Saint Lucia</x:v>
      </x:c>
      <x:c r="C12" s="24" t="str">
        <x:v>EEZ</x:v>
      </x:c>
      <x:c r="D12" s="30" t="n">
        <x:v>2019</x:v>
      </x:c>
      <x:c r="E12" s="24" t="str">
        <x:v>Serranidae</x:v>
      </x:c>
      <x:c r="F12" s="24" t="str">
        <x:v>Basses, groupers, hinds</x:v>
      </x:c>
      <x:c r="G12" s="24" t="str">
        <x:v>Medium reef assoc. fish (30 - 89 cm)</x:v>
      </x:c>
      <x:c r="H12" s="24" t="str">
        <x:v>Perch-likes</x:v>
      </x:c>
      <x:c r="I12" s="31" t="n">
        <x:v>19.7298390125</x:v>
      </x:c>
      <x:c r="J12" s="31" t="n">
        <x:v>19.7298390125</x:v>
      </x:c>
      <x:c r="K12" s="31" t="n">
        <x:v>0</x:v>
      </x:c>
      <x:c r="L12" s="31" t="n">
        <x:v>19.7298390125</x:v>
      </x:c>
      <x:c r="M12" s="31" t="n">
        <x:v>0</x:v>
      </x:c>
      <x:c r="N12" s="24" t="str">
        <x:v>serranidae</x:v>
      </x:c>
      <x:c r="O12" s="32" t="n">
        <x:v>3.98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Serranidae</x:v>
      </x:c>
      <x:c r="T12" s="32" t="n">
        <x:f>IF(O12="","",(1/'Metadata'!$B$5)^(O12-1))</x:f>
        <x:v>954.992586021436</x:v>
      </x:c>
      <x:c r="U12" s="31" t="n">
        <x:f>IF(T12="","",I12*T12)</x:f>
        <x:v>18841.84998033399</x:v>
      </x:c>
    </x:row>
    <x:row r="13" ht="18" customHeight="1">
      <x:c r="A13" s="24" t="str">
        <x:v>EEZ_662</x:v>
      </x:c>
      <x:c r="B13" s="24" t="str">
        <x:v>Saint Lucia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18.7445854314</x:v>
      </x:c>
      <x:c r="J13" s="31" t="n">
        <x:v>18.7445854314</x:v>
      </x:c>
      <x:c r="K13" s="31" t="n">
        <x:v>0</x:v>
      </x:c>
      <x:c r="L13" s="31" t="n">
        <x:v>18.7445854314</x:v>
      </x:c>
      <x:c r="M13" s="31" t="n">
        <x:v>0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34109.538203806755</x:v>
      </x:c>
    </x:row>
    <x:row r="14" ht="18" customHeight="1">
      <x:c r="A14" s="24" t="str">
        <x:v>EEZ_662</x:v>
      </x:c>
      <x:c r="B14" s="24" t="str">
        <x:v>Saint Lucia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17.4609645351</x:v>
      </x:c>
      <x:c r="J14" s="31" t="n">
        <x:v>17.4609645351</x:v>
      </x:c>
      <x:c r="K14" s="31" t="n">
        <x:v>0</x:v>
      </x:c>
      <x:c r="L14" s="31" t="n">
        <x:v>17.4609645351</x:v>
      </x:c>
      <x:c r="M14" s="31" t="n">
        <x:v>0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5035.7971794204805</x:v>
      </x:c>
    </x:row>
    <x:row r="15" ht="18" customHeight="1">
      <x:c r="A15" s="24" t="str">
        <x:v>EEZ_662</x:v>
      </x:c>
      <x:c r="B15" s="24" t="str">
        <x:v>Saint Lucia</x:v>
      </x:c>
      <x:c r="C15" s="24" t="str">
        <x:v>EEZ</x:v>
      </x:c>
      <x:c r="D15" s="30" t="n">
        <x:v>2019</x:v>
      </x:c>
      <x:c r="E15" s="24" t="str">
        <x:v>Pomacentridae</x:v>
      </x:c>
      <x:c r="F15" s="24" t="str">
        <x:v>Damselfishes</x:v>
      </x:c>
      <x:c r="G15" s="24" t="str">
        <x:v>Small reef assoc. fish (&lt;30 cm)</x:v>
      </x:c>
      <x:c r="H15" s="24" t="str">
        <x:v>Perch-likes</x:v>
      </x:c>
      <x:c r="I15" s="31" t="n">
        <x:v>13.5347581049</x:v>
      </x:c>
      <x:c r="J15" s="31" t="n">
        <x:v>13.5347581049</x:v>
      </x:c>
      <x:c r="K15" s="31" t="n">
        <x:v>0</x:v>
      </x:c>
      <x:c r="L15" s="31" t="n">
        <x:v>13.5347581049</x:v>
      </x:c>
      <x:c r="M15" s="31" t="n">
        <x:v>0</x:v>
      </x:c>
      <x:c r="N15" s="24" t="str">
        <x:v>pomacentridae</x:v>
      </x:c>
      <x:c r="O15" s="32" t="n">
        <x:v>2.57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Pomacentridae</x:v>
      </x:c>
      <x:c r="T15" s="32" t="n">
        <x:f>IF(O15="","",(1/'Metadata'!$B$5)^(O15-1))</x:f>
        <x:v>37.15352290971724</x:v>
      </x:c>
      <x:c r="U15" s="31" t="n">
        <x:f>IF(T15="","",I15*T15)</x:f>
        <x:v>502.86394532788324</x:v>
      </x:c>
    </x:row>
    <x:row r="16" ht="18" customHeight="1">
      <x:c r="A16" s="24" t="str">
        <x:v>EEZ_662</x:v>
      </x:c>
      <x:c r="B16" s="24" t="str">
        <x:v>Saint Lucia</x:v>
      </x:c>
      <x:c r="C16" s="24" t="str">
        <x:v>EEZ</x:v>
      </x:c>
      <x:c r="D16" s="30" t="n">
        <x:v>2019</x:v>
      </x:c>
      <x:c r="E16" s="24" t="str">
        <x:v>Panulirus argus</x:v>
      </x:c>
      <x:c r="F16" s="24" t="str">
        <x:v>Caribbean spiny lobster</x:v>
      </x:c>
      <x:c r="G16" s="24" t="str">
        <x:v>Lobsters, crabs</x:v>
      </x:c>
      <x:c r="H16" s="24" t="str">
        <x:v>Crustaceans</x:v>
      </x:c>
      <x:c r="I16" s="31" t="n">
        <x:v>13.329955483700001</x:v>
      </x:c>
      <x:c r="J16" s="31" t="n">
        <x:v>13.329955483700001</x:v>
      </x:c>
      <x:c r="K16" s="31" t="n">
        <x:v>0</x:v>
      </x:c>
      <x:c r="L16" s="31" t="n">
        <x:v>13.329955483700001</x:v>
      </x:c>
      <x:c r="M16" s="31" t="n">
        <x:v>0</x:v>
      </x:c>
      <x:c r="N16" s="24" t="str">
        <x:v>panulirus argus</x:v>
      </x:c>
      <x:c r="O16" s="32" t="n">
        <x:v>3.2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Panulirus argus</x:v>
      </x:c>
      <x:c r="T16" s="32" t="n">
        <x:f>IF(O16="","",(1/'Metadata'!$B$5)^(O16-1))</x:f>
        <x:v>158.48931924611142</x:v>
      </x:c>
      <x:c r="U16" s="31" t="n">
        <x:f>IF(T16="","",I16*T16)</x:f>
        <x:v>2112.655570192583</x:v>
      </x:c>
    </x:row>
    <x:row r="17" ht="18" customHeight="1">
      <x:c r="A17" s="24" t="str">
        <x:v>EEZ_662</x:v>
      </x:c>
      <x:c r="B17" s="24" t="str">
        <x:v>Saint Lucia</x:v>
      </x:c>
      <x:c r="C17" s="24" t="str">
        <x:v>EEZ</x:v>
      </x:c>
      <x:c r="D17" s="30" t="n">
        <x:v>2019</x:v>
      </x:c>
      <x:c r="E17" s="24" t="str">
        <x:v>Thunnus albacares</x:v>
      </x:c>
      <x:c r="F17" s="24" t="str">
        <x:v>Yellowfin tuna</x:v>
      </x:c>
      <x:c r="G17" s="24" t="str">
        <x:v>Large pelagics (&gt;=90 cm)</x:v>
      </x:c>
      <x:c r="H17" s="24" t="str">
        <x:v>Tuna &amp; billfishes</x:v>
      </x:c>
      <x:c r="I17" s="31" t="n">
        <x:v>12.8184031328</x:v>
      </x:c>
      <x:c r="J17" s="31" t="n">
        <x:v>12.8184031328</x:v>
      </x:c>
      <x:c r="K17" s="31" t="n">
        <x:v>0</x:v>
      </x:c>
      <x:c r="L17" s="31" t="n">
        <x:v>12.8184031328</x:v>
      </x:c>
      <x:c r="M17" s="31" t="n">
        <x:v>0</x:v>
      </x:c>
      <x:c r="N17" s="24" t="str">
        <x:v>thunnus albacares</x:v>
      </x:c>
      <x:c r="O17" s="32" t="n">
        <x:v>4.41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albacares</x:v>
      </x:c>
      <x:c r="T17" s="32" t="n">
        <x:f>IF(O17="","",(1/'Metadata'!$B$5)^(O17-1))</x:f>
        <x:v>2570.3957827688646</x:v>
      </x:c>
      <x:c r="U17" s="31" t="n">
        <x:f>IF(T17="","",I17*T17)</x:f>
        <x:v>32948.369354380324</x:v>
      </x:c>
    </x:row>
    <x:row r="18" ht="18" customHeight="1">
      <x:c r="A18" s="24" t="str">
        <x:v>EEZ_662</x:v>
      </x:c>
      <x:c r="B18" s="24" t="str">
        <x:v>Saint Lucia</x:v>
      </x:c>
      <x:c r="C18" s="24" t="str">
        <x:v>EEZ</x:v>
      </x:c>
      <x:c r="D18" s="30" t="n">
        <x:v>2019</x:v>
      </x:c>
      <x:c r="E18" s="24" t="str">
        <x:v>Sphyraenidae</x:v>
      </x:c>
      <x:c r="F18" s="24" t="str">
        <x:v>Barracudas</x:v>
      </x:c>
      <x:c r="G18" s="24" t="str">
        <x:v>Medium reef assoc. fish (30 - 89 cm)</x:v>
      </x:c>
      <x:c r="H18" s="24" t="str">
        <x:v>Perch-likes</x:v>
      </x:c>
      <x:c r="I18" s="31" t="n">
        <x:v>8.4108024838</x:v>
      </x:c>
      <x:c r="J18" s="31" t="n">
        <x:v>8.4108024838</x:v>
      </x:c>
      <x:c r="K18" s="31" t="n">
        <x:v>0</x:v>
      </x:c>
      <x:c r="L18" s="31" t="n">
        <x:v>8.270730412199999</x:v>
      </x:c>
      <x:c r="M18" s="31" t="n">
        <x:v>0.1400720716</x:v>
      </x:c>
      <x:c r="N18" s="24" t="str">
        <x:v>sphyraenidae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Sphyraenidae</x:v>
      </x:c>
      <x:c r="T18" s="32" t="n">
        <x:f>IF(O18="","",(1/'Metadata'!$B$5)^(O18-1))</x:f>
        <x:v>2511.886431509582</x:v>
      </x:c>
      <x:c r="U18" s="31" t="n">
        <x:f>IF(T18="","",I18*T18)</x:f>
        <x:v>21126.98063716431</x:v>
      </x:c>
    </x:row>
    <x:row r="19" ht="18" customHeight="1">
      <x:c r="A19" s="24" t="str">
        <x:v>EEZ_662</x:v>
      </x:c>
      <x:c r="B19" s="24" t="str">
        <x:v>Saint Lucia</x:v>
      </x:c>
      <x:c r="C19" s="24" t="str">
        <x:v>EEZ</x:v>
      </x:c>
      <x:c r="D19" s="30" t="n">
        <x:v>2019</x:v>
      </x:c>
      <x:c r="E19" s="24" t="str">
        <x:v>Acanthuridae</x:v>
      </x:c>
      <x:c r="F19" s="24" t="str">
        <x:v>Surgeons, tangs, unicornfishes</x:v>
      </x:c>
      <x:c r="G19" s="24" t="str">
        <x:v>Small reef assoc. fish (&lt;30 cm)</x:v>
      </x:c>
      <x:c r="H19" s="24" t="str">
        <x:v>Perch-likes</x:v>
      </x:c>
      <x:c r="I19" s="31" t="n">
        <x:v>7.927790273599999</x:v>
      </x:c>
      <x:c r="J19" s="31" t="n">
        <x:v>7.927790273599999</x:v>
      </x:c>
      <x:c r="K19" s="31" t="n">
        <x:v>0</x:v>
      </x:c>
      <x:c r="L19" s="31" t="n">
        <x:v>7.927790273599999</x:v>
      </x:c>
      <x:c r="M19" s="31" t="n">
        <x:v>0</x:v>
      </x:c>
      <x:c r="N19" s="24" t="str">
        <x:v>acanthuridae</x:v>
      </x:c>
      <x:c r="O19" s="32" t="n">
        <x:v>2.28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Acanthuridae</x:v>
      </x:c>
      <x:c r="T19" s="32" t="n">
        <x:f>IF(O19="","",(1/'Metadata'!$B$5)^(O19-1))</x:f>
        <x:v>19.054607179632463</x:v>
      </x:c>
      <x:c r="U19" s="31" t="n">
        <x:f>IF(T19="","",I19*T19)</x:f>
        <x:v>151.06092946595896</x:v>
      </x:c>
    </x:row>
    <x:row r="20" ht="18" customHeight="1">
      <x:c r="A20" s="24" t="str">
        <x:v>EEZ_662</x:v>
      </x:c>
      <x:c r="B20" s="24" t="str">
        <x:v>Saint Lucia</x:v>
      </x:c>
      <x:c r="C20" s="24" t="str">
        <x:v>EEZ</x:v>
      </x:c>
      <x:c r="D20" s="30" t="n">
        <x:v>2019</x:v>
      </x:c>
      <x:c r="E20" s="24" t="str">
        <x:v>Muraenidae</x:v>
      </x:c>
      <x:c r="F20" s="24" t="str">
        <x:v>Moray eels</x:v>
      </x:c>
      <x:c r="G20" s="24" t="str">
        <x:v>Large reef assoc. fish (&gt;=90 cm)</x:v>
      </x:c>
      <x:c r="H20" s="24" t="str">
        <x:v>Other fishes &amp; inverts</x:v>
      </x:c>
      <x:c r="I20" s="31" t="n">
        <x:v>7.352659531</x:v>
      </x:c>
      <x:c r="J20" s="31" t="n">
        <x:v>7.352659531</x:v>
      </x:c>
      <x:c r="K20" s="31" t="n">
        <x:v>0</x:v>
      </x:c>
      <x:c r="L20" s="31" t="n">
        <x:v>7.352659531</x:v>
      </x:c>
      <x:c r="M20" s="31" t="n">
        <x:v>0</x:v>
      </x:c>
      <x:c r="N20" s="24" t="str">
        <x:v>muraenidae</x:v>
      </x:c>
      <x:c r="O20" s="32" t="n">
        <x:v>4.07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Muraenidae</x:v>
      </x:c>
      <x:c r="T20" s="32" t="n">
        <x:f>IF(O20="","",(1/'Metadata'!$B$5)^(O20-1))</x:f>
        <x:v>1174.8975549395302</x:v>
      </x:c>
      <x:c r="U20" s="31" t="n">
        <x:f>IF(T20="","",I20*T20)</x:f>
        <x:v>8638.621705274732</x:v>
      </x:c>
    </x:row>
    <x:row r="21" ht="18" customHeight="1">
      <x:c r="A21" s="24" t="str">
        <x:v>EEZ_662</x:v>
      </x:c>
      <x:c r="B21" s="24" t="str">
        <x:v>Saint Lucia</x:v>
      </x:c>
      <x:c r="C21" s="24" t="str">
        <x:v>EEZ</x:v>
      </x:c>
      <x:c r="D21" s="30" t="n">
        <x:v>2019</x:v>
      </x:c>
      <x:c r="E21" s="24" t="str">
        <x:v>Istiophorus albicans</x:v>
      </x:c>
      <x:c r="F21" s="24" t="str">
        <x:v>Atlantic sailfish</x:v>
      </x:c>
      <x:c r="G21" s="24" t="str">
        <x:v>Large pelagics (&gt;=90 cm)</x:v>
      </x:c>
      <x:c r="H21" s="24" t="str">
        <x:v>Tuna &amp; billfishes</x:v>
      </x:c>
      <x:c r="I21" s="31" t="n">
        <x:v>5.4486028762</x:v>
      </x:c>
      <x:c r="J21" s="31" t="n">
        <x:v>5.4486028762</x:v>
      </x:c>
      <x:c r="K21" s="31" t="n">
        <x:v>0</x:v>
      </x:c>
      <x:c r="L21" s="31" t="n">
        <x:v>5.4486028762</x:v>
      </x:c>
      <x:c r="M21" s="31" t="n">
        <x:v>0</x:v>
      </x:c>
      <x:c r="N21" s="24" t="str">
        <x:v>istiophorus albicans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Istiophorus albicans</x:v>
      </x:c>
      <x:c r="T21" s="32" t="n">
        <x:f>IF(O21="","",(1/'Metadata'!$B$5)^(O21-1))</x:f>
        <x:v>3162.2776601683795</x:v>
      </x:c>
      <x:c r="U21" s="31" t="n">
        <x:f>IF(T21="","",I21*T21)</x:f>
        <x:v>17229.99515453644</x:v>
      </x:c>
    </x:row>
    <x:row r="22" ht="18" customHeight="1">
      <x:c r="A22" s="24" t="str">
        <x:v>EEZ_662</x:v>
      </x:c>
      <x:c r="B22" s="24" t="str">
        <x:v>Saint Lucia</x:v>
      </x:c>
      <x:c r="C22" s="24" t="str">
        <x:v>EEZ</x:v>
      </x:c>
      <x:c r="D22" s="30" t="n">
        <x:v>2019</x:v>
      </x:c>
      <x:c r="E22" s="24" t="str">
        <x:v>Malacanthidae</x:v>
      </x:c>
      <x:c r="F22" s="24" t="str">
        <x:v>Tilefishes</x:v>
      </x:c>
      <x:c r="G22" s="24" t="str">
        <x:v>Medium demersals (30 - 89 cm)</x:v>
      </x:c>
      <x:c r="H22" s="24" t="str">
        <x:v>Perch-likes</x:v>
      </x:c>
      <x:c r="I22" s="31" t="n">
        <x:v>5.3015442137</x:v>
      </x:c>
      <x:c r="J22" s="31" t="n">
        <x:v>5.3015442137</x:v>
      </x:c>
      <x:c r="K22" s="31" t="n">
        <x:v>0</x:v>
      </x:c>
      <x:c r="L22" s="31" t="n">
        <x:v>5.3015442137</x:v>
      </x:c>
      <x:c r="M22" s="31" t="n">
        <x:v>0</x:v>
      </x:c>
      <x:c r="N22" s="24" t="str">
        <x:v>malacanthidae</x:v>
      </x:c>
      <x:c r="O22" s="32" t="n">
        <x:v>3.62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Malacanthidae</x:v>
      </x:c>
      <x:c r="T22" s="32" t="n">
        <x:f>IF(O22="","",(1/'Metadata'!$B$5)^(O22-1))</x:f>
        <x:v>416.8693834703355</x:v>
      </x:c>
      <x:c r="U22" s="31" t="n">
        <x:f>IF(T22="","",I22*T22)</x:f>
        <x:v>2210.0514678058435</x:v>
      </x:c>
    </x:row>
    <x:row r="23" ht="18" customHeight="1">
      <x:c r="A23" s="24" t="str">
        <x:v>EEZ_662</x:v>
      </x:c>
      <x:c r="B23" s="24" t="str">
        <x:v>Saint Lucia</x:v>
      </x:c>
      <x:c r="C23" s="24" t="str">
        <x:v>EEZ</x:v>
      </x:c>
      <x:c r="D23" s="30" t="n">
        <x:v>2019</x:v>
      </x:c>
      <x:c r="E23" s="24" t="str">
        <x:v>Labridae</x:v>
      </x:c>
      <x:c r="F23" s="24" t="str">
        <x:v>Wrasses, gropers, tuskfishes</x:v>
      </x:c>
      <x:c r="G23" s="24" t="str">
        <x:v>Medium reef assoc. fish (30 - 89 cm)</x:v>
      </x:c>
      <x:c r="H23" s="24" t="str">
        <x:v>Perch-likes</x:v>
      </x:c>
      <x:c r="I23" s="31" t="n">
        <x:v>3.3033675289</x:v>
      </x:c>
      <x:c r="J23" s="31" t="n">
        <x:v>3.3033675289</x:v>
      </x:c>
      <x:c r="K23" s="31" t="n">
        <x:v>0</x:v>
      </x:c>
      <x:c r="L23" s="31" t="n">
        <x:v>3.3033675289</x:v>
      </x:c>
      <x:c r="M23" s="31" t="n">
        <x:v>0</x:v>
      </x:c>
      <x:c r="N23" s="24" t="str">
        <x:v>labridae</x:v>
      </x:c>
      <x:c r="O23" s="32" t="n">
        <x:v>3.46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Labridae</x:v>
      </x:c>
      <x:c r="T23" s="32" t="n">
        <x:f>IF(O23="","",(1/'Metadata'!$B$5)^(O23-1))</x:f>
        <x:v>288.40315031266056</x:v>
      </x:c>
      <x:c r="U23" s="31" t="n">
        <x:f>IF(T23="","",I23*T23)</x:f>
        <x:v>952.7016019753088</x:v>
      </x:c>
    </x:row>
    <x:row r="24" ht="18" customHeight="1">
      <x:c r="A24" s="24" t="str">
        <x:v>EEZ_662</x:v>
      </x:c>
      <x:c r="B24" s="24" t="str">
        <x:v>Saint Lucia</x:v>
      </x:c>
      <x:c r="C24" s="24" t="str">
        <x:v>EEZ</x:v>
      </x:c>
      <x:c r="D24" s="30" t="n">
        <x:v>2019</x:v>
      </x:c>
      <x:c r="E24" s="24" t="str">
        <x:v>Ostraciidae</x:v>
      </x:c>
      <x:c r="F24" s="24" t="str">
        <x:v>Box-, cow-, trunkfishes</x:v>
      </x:c>
      <x:c r="G24" s="24" t="str">
        <x:v>Medium reef assoc. fish (30 - 89 cm)</x:v>
      </x:c>
      <x:c r="H24" s="24" t="str">
        <x:v>Other fishes &amp; inverts</x:v>
      </x:c>
      <x:c r="I24" s="31" t="n">
        <x:v>2.1999531431</x:v>
      </x:c>
      <x:c r="J24" s="31" t="n">
        <x:v>2.1999531431</x:v>
      </x:c>
      <x:c r="K24" s="31" t="n">
        <x:v>0</x:v>
      </x:c>
      <x:c r="L24" s="31" t="n">
        <x:v>2.1999531431</x:v>
      </x:c>
      <x:c r="M24" s="31" t="n">
        <x:v>0</x:v>
      </x:c>
      <x:c r="N24" s="24" t="str">
        <x:v>ostraciidae</x:v>
      </x:c>
      <x:c r="O24" s="32" t="n">
        <x:v>2.83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Ostraciidae</x:v>
      </x:c>
      <x:c r="T24" s="32" t="n">
        <x:f>IF(O24="","",(1/'Metadata'!$B$5)^(O24-1))</x:f>
        <x:v>67.60829753919819</x:v>
      </x:c>
      <x:c r="U24" s="31" t="n">
        <x:f>IF(T24="","",I24*T24)</x:f>
        <x:v>148.73508667099907</x:v>
      </x:c>
    </x:row>
    <x:row r="25" ht="18" customHeight="1">
      <x:c r="A25" s="24" t="str">
        <x:v>EEZ_662</x:v>
      </x:c>
      <x:c r="B25" s="24" t="str">
        <x:v>Saint Lucia</x:v>
      </x:c>
      <x:c r="C25" s="24" t="str">
        <x:v>EEZ</x:v>
      </x:c>
      <x:c r="D25" s="30" t="n">
        <x:v>2019</x:v>
      </x:c>
      <x:c r="E25" s="24" t="str">
        <x:v>Kyphosus sectatrix</x:v>
      </x:c>
      <x:c r="F25" s="24" t="str">
        <x:v>Bermuda sea chub</x:v>
      </x:c>
      <x:c r="G25" s="24" t="str">
        <x:v>Medium reef assoc. fish (30 - 89 cm)</x:v>
      </x:c>
      <x:c r="H25" s="24" t="str">
        <x:v>Perch-likes</x:v>
      </x:c>
      <x:c r="I25" s="31" t="n">
        <x:v>2.1684795225</x:v>
      </x:c>
      <x:c r="J25" s="31" t="n">
        <x:v>2.1684795225</x:v>
      </x:c>
      <x:c r="K25" s="31" t="n">
        <x:v>0</x:v>
      </x:c>
      <x:c r="L25" s="31" t="n">
        <x:v>2.1684795225</x:v>
      </x:c>
      <x:c r="M25" s="31" t="n">
        <x:v>0</x:v>
      </x:c>
      <x:c r="N25" s="24" t="str">
        <x:v>kyphosus sectatrix</x:v>
      </x:c>
      <x:c r="O25" s="32" t="n">
        <x:v>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Kyphosus sectatrix</x:v>
      </x:c>
      <x:c r="T25" s="32" t="n">
        <x:f>IF(O25="","",(1/'Metadata'!$B$5)^(O25-1))</x:f>
        <x:v>10</x:v>
      </x:c>
      <x:c r="U25" s="31" t="n">
        <x:f>IF(T25="","",I25*T25)</x:f>
        <x:v>21.684795225000002</x:v>
      </x:c>
    </x:row>
    <x:row r="26" ht="18" customHeight="1">
      <x:c r="A26" s="24" t="str">
        <x:v>EEZ_662</x:v>
      </x:c>
      <x:c r="B26" s="24" t="str">
        <x:v>Saint Lucia</x:v>
      </x:c>
      <x:c r="C26" s="24" t="str">
        <x:v>EEZ</x:v>
      </x:c>
      <x:c r="D26" s="30" t="n">
        <x:v>2019</x:v>
      </x:c>
      <x:c r="E26" s="24" t="str">
        <x:v>Prionace glauca</x:v>
      </x:c>
      <x:c r="F26" s="24" t="str">
        <x:v>Blue shark</x:v>
      </x:c>
      <x:c r="G26" s="24" t="str">
        <x:v>Large sharks (&gt;=90 cm)</x:v>
      </x:c>
      <x:c r="H26" s="24" t="str">
        <x:v>Sharks &amp; rays</x:v>
      </x:c>
      <x:c r="I26" s="31" t="n">
        <x:v>1.592596563</x:v>
      </x:c>
      <x:c r="J26" s="31" t="n">
        <x:v>1.592596563</x:v>
      </x:c>
      <x:c r="K26" s="31" t="n">
        <x:v>0</x:v>
      </x:c>
      <x:c r="L26" s="31" t="n">
        <x:v>1.592596563</x:v>
      </x:c>
      <x:c r="M26" s="31" t="n">
        <x:v>0</x:v>
      </x:c>
      <x:c r="N26" s="24" t="str">
        <x:v>prionace glauca</x:v>
      </x:c>
      <x:c r="O26" s="32" t="n">
        <x:v>4.35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Prionace glauca</x:v>
      </x:c>
      <x:c r="T26" s="32" t="n">
        <x:f>IF(O26="","",(1/'Metadata'!$B$5)^(O26-1))</x:f>
        <x:v>2238.7211385683377</x:v>
      </x:c>
      <x:c r="U26" s="31" t="n">
        <x:f>IF(T26="","",I26*T26)</x:f>
        <x:v>3565.3795907993813</x:v>
      </x:c>
    </x:row>
    <x:row r="27" ht="18" customHeight="1">
      <x:c r="A27" s="24" t="str">
        <x:v>EEZ_662</x:v>
      </x:c>
      <x:c r="B27" s="24" t="str">
        <x:v>Saint Lucia</x:v>
      </x:c>
      <x:c r="C27" s="24" t="str">
        <x:v>EEZ</x:v>
      </x:c>
      <x:c r="D27" s="30" t="n">
        <x:v>2019</x:v>
      </x:c>
      <x:c r="E27" s="24" t="str">
        <x:v>Makaira nigricans</x:v>
      </x:c>
      <x:c r="F27" s="24" t="str">
        <x:v>Blue marlin</x:v>
      </x:c>
      <x:c r="G27" s="24" t="str">
        <x:v>Large pelagics (&gt;=90 cm)</x:v>
      </x:c>
      <x:c r="H27" s="24" t="str">
        <x:v>Tuna &amp; billfishes</x:v>
      </x:c>
      <x:c r="I27" s="31" t="n">
        <x:v>1.4431923628</x:v>
      </x:c>
      <x:c r="J27" s="31" t="n">
        <x:v>1.4431923628</x:v>
      </x:c>
      <x:c r="K27" s="31" t="n">
        <x:v>0</x:v>
      </x:c>
      <x:c r="L27" s="31" t="n">
        <x:v>1.4431923628</x:v>
      </x:c>
      <x:c r="M27" s="31" t="n">
        <x:v>0</x:v>
      </x:c>
      <x:c r="N27" s="24" t="str">
        <x:v>makaira nigricans</x:v>
      </x:c>
      <x:c r="O27" s="32" t="n">
        <x:v>4.49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Makaira nigricans</x:v>
      </x:c>
      <x:c r="T27" s="32" t="n">
        <x:f>IF(O27="","",(1/'Metadata'!$B$5)^(O27-1))</x:f>
        <x:v>3090.295432513592</x:v>
      </x:c>
      <x:c r="U27" s="31" t="n">
        <x:f>IF(T27="","",I27*T27)</x:f>
        <x:v>4459.890766999339</x:v>
      </x:c>
    </x:row>
    <x:row r="28" ht="18" customHeight="1">
      <x:c r="A28" s="24" t="str">
        <x:v>EEZ_662</x:v>
      </x:c>
      <x:c r="B28" s="24" t="str">
        <x:v>Saint Lucia</x:v>
      </x:c>
      <x:c r="C28" s="24" t="str">
        <x:v>EEZ</x:v>
      </x:c>
      <x:c r="D28" s="30" t="n">
        <x:v>2019</x:v>
      </x:c>
      <x:c r="E28" s="24" t="str">
        <x:v>Sciaenidae</x:v>
      </x:c>
      <x:c r="F28" s="24" t="str">
        <x:v>Drums, croakers</x:v>
      </x:c>
      <x:c r="G28" s="24" t="str">
        <x:v>Medium demersals (30 - 89 cm)</x:v>
      </x:c>
      <x:c r="H28" s="24" t="str">
        <x:v>Perch-likes</x:v>
      </x:c>
      <x:c r="I28" s="31" t="n">
        <x:v>1.4058280992999999</x:v>
      </x:c>
      <x:c r="J28" s="31" t="n">
        <x:v>1.4058280992999999</x:v>
      </x:c>
      <x:c r="K28" s="31" t="n">
        <x:v>0</x:v>
      </x:c>
      <x:c r="L28" s="31" t="n">
        <x:v>1.1957200582</x:v>
      </x:c>
      <x:c r="M28" s="31" t="n">
        <x:v>0.2101080411</x:v>
      </x:c>
      <x:c r="N28" s="24" t="str">
        <x:v>sciaenidae</x:v>
      </x:c>
      <x:c r="O28" s="32" t="n">
        <x:v>3.76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Sciaenidae</x:v>
      </x:c>
      <x:c r="T28" s="32" t="n">
        <x:f>IF(O28="","",(1/'Metadata'!$B$5)^(O28-1))</x:f>
        <x:v>575.4399373371566</x:v>
      </x:c>
      <x:c r="U28" s="31" t="n">
        <x:f>IF(T28="","",I28*T28)</x:f>
        <x:v>808.9696333680059</x:v>
      </x:c>
    </x:row>
    <x:row r="29" ht="18" customHeight="1">
      <x:c r="A29" s="24" t="str">
        <x:v>EEZ_662</x:v>
      </x:c>
      <x:c r="B29" s="24" t="str">
        <x:v>Saint Lucia</x:v>
      </x:c>
      <x:c r="C29" s="24" t="str">
        <x:v>EEZ</x:v>
      </x:c>
      <x:c r="D29" s="30" t="n">
        <x:v>2019</x:v>
      </x:c>
      <x:c r="E29" s="24" t="str">
        <x:v>Scomberomorus cavalla</x:v>
      </x:c>
      <x:c r="F29" s="24" t="str">
        <x:v>King mackerel</x:v>
      </x:c>
      <x:c r="G29" s="24" t="str">
        <x:v>Large pelagics (&gt;=90 cm)</x:v>
      </x:c>
      <x:c r="H29" s="24" t="str">
        <x:v>Perch-likes</x:v>
      </x:c>
      <x:c r="I29" s="31" t="n">
        <x:v>1.28275261</x:v>
      </x:c>
      <x:c r="J29" s="31" t="n">
        <x:v>1.28275261</x:v>
      </x:c>
      <x:c r="K29" s="31" t="n">
        <x:v>0</x:v>
      </x:c>
      <x:c r="L29" s="31" t="n">
        <x:v>0.0221029695</x:v>
      </x:c>
      <x:c r="M29" s="31" t="n">
        <x:v>1.2606496405</x:v>
      </x:c>
      <x:c r="N29" s="24" t="str">
        <x:v>scomberomorus cavalla</x:v>
      </x:c>
      <x:c r="O29" s="32" t="n">
        <x:v>4.42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Scomberomorus cavalla</x:v>
      </x:c>
      <x:c r="T29" s="32" t="n">
        <x:f>IF(O29="","",(1/'Metadata'!$B$5)^(O29-1))</x:f>
        <x:v>2630.2679918953813</x:v>
      </x:c>
      <x:c r="U29" s="31" t="n">
        <x:f>IF(T29="","",I29*T29)</x:f>
        <x:v>3373.983131603259</x:v>
      </x:c>
    </x:row>
    <x:row r="30" ht="18" customHeight="1">
      <x:c r="A30" s="24" t="str">
        <x:v>EEZ_662</x:v>
      </x:c>
      <x:c r="B30" s="24" t="str">
        <x:v>Saint Lucia</x:v>
      </x:c>
      <x:c r="C30" s="24" t="str">
        <x:v>EEZ</x:v>
      </x:c>
      <x:c r="D30" s="30" t="n">
        <x:v>2019</x:v>
      </x:c>
      <x:c r="E30" s="24" t="str">
        <x:v>Dasyatidae</x:v>
      </x:c>
      <x:c r="F30" s="24" t="str">
        <x:v>Whiptail stingrays</x:v>
      </x:c>
      <x:c r="G30" s="24" t="str">
        <x:v>Large rays (&gt;=90 cm)</x:v>
      </x:c>
      <x:c r="H30" s="24" t="str">
        <x:v>Sharks &amp; rays</x:v>
      </x:c>
      <x:c r="I30" s="31" t="n">
        <x:v>1.1642677755</x:v>
      </x:c>
      <x:c r="J30" s="31" t="n">
        <x:v>1.1642677755</x:v>
      </x:c>
      <x:c r="K30" s="31" t="n">
        <x:v>0</x:v>
      </x:c>
      <x:c r="L30" s="31" t="n">
        <x:v>1.1642677755</x:v>
      </x:c>
      <x:c r="M30" s="31" t="n">
        <x:v>0</x:v>
      </x:c>
      <x:c r="N30" s="24" t="str">
        <x:v>dasyatidae</x:v>
      </x:c>
      <x:c r="O30" s="32" t="n">
        <x:v>3.38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Dasyatidae</x:v>
      </x:c>
      <x:c r="T30" s="32" t="n">
        <x:f>IF(O30="","",(1/'Metadata'!$B$5)^(O30-1))</x:f>
        <x:v>239.88329190194898</x:v>
      </x:c>
      <x:c r="U30" s="31" t="n">
        <x:f>IF(T30="","",I30*T30)</x:f>
        <x:v>279.2883866422993</x:v>
      </x:c>
    </x:row>
    <x:row r="31" ht="18" customHeight="1">
      <x:c r="A31" s="24" t="str">
        <x:v>EEZ_662</x:v>
      </x:c>
      <x:c r="B31" s="24" t="str">
        <x:v>Saint Lucia</x:v>
      </x:c>
      <x:c r="C31" s="24" t="str">
        <x:v>EEZ</x:v>
      </x:c>
      <x:c r="D31" s="30" t="n">
        <x:v>2019</x:v>
      </x:c>
      <x:c r="E31" s="24" t="str">
        <x:v>Thunnus alalunga</x:v>
      </x:c>
      <x:c r="F31" s="24" t="str">
        <x:v>Albacore</x:v>
      </x:c>
      <x:c r="G31" s="24" t="str">
        <x:v>Large pelagics (&gt;=90 cm)</x:v>
      </x:c>
      <x:c r="H31" s="24" t="str">
        <x:v>Tuna &amp; billfishes</x:v>
      </x:c>
      <x:c r="I31" s="31" t="n">
        <x:v>1.0239292961</x:v>
      </x:c>
      <x:c r="J31" s="31" t="n">
        <x:v>1.0239292961</x:v>
      </x:c>
      <x:c r="K31" s="31" t="n">
        <x:v>0</x:v>
      </x:c>
      <x:c r="L31" s="31" t="n">
        <x:v>1.0239292961</x:v>
      </x:c>
      <x:c r="M31" s="31" t="n">
        <x:v>0</x:v>
      </x:c>
      <x:c r="N31" s="24" t="str">
        <x:v>thunnus alalunga</x:v>
      </x:c>
      <x:c r="O31" s="32" t="n">
        <x:v>4.3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alalunga</x:v>
      </x:c>
      <x:c r="T31" s="32" t="n">
        <x:f>IF(O31="","",(1/'Metadata'!$B$5)^(O31-1))</x:f>
        <x:v>1995.2623149688789</x:v>
      </x:c>
      <x:c r="U31" s="31" t="n">
        <x:f>IF(T31="","",I31*T31)</x:f>
        <x:v>2043.0075377009405</x:v>
      </x:c>
    </x:row>
    <x:row r="32" ht="18" customHeight="1">
      <x:c r="A32" s="24" t="str">
        <x:v>EEZ_662</x:v>
      </x:c>
      <x:c r="B32" s="24" t="str">
        <x:v>Saint Lucia</x:v>
      </x:c>
      <x:c r="C32" s="24" t="str">
        <x:v>EEZ</x:v>
      </x:c>
      <x:c r="D32" s="30" t="n">
        <x:v>2019</x:v>
      </x:c>
      <x:c r="E32" s="24" t="str">
        <x:v>Acanthocybium solandri</x:v>
      </x:c>
      <x:c r="F32" s="24" t="str">
        <x:v>Wahoo</x:v>
      </x:c>
      <x:c r="G32" s="24" t="str">
        <x:v>Large pelagics (&gt;=90 cm)</x:v>
      </x:c>
      <x:c r="H32" s="24" t="str">
        <x:v>Perch-likes</x:v>
      </x:c>
      <x:c r="I32" s="31" t="n">
        <x:v>0.9742445809</x:v>
      </x:c>
      <x:c r="J32" s="31" t="n">
        <x:v>0.9742445809</x:v>
      </x:c>
      <x:c r="K32" s="31" t="n">
        <x:v>0</x:v>
      </x:c>
      <x:c r="L32" s="31" t="n">
        <x:v>0.694100508</x:v>
      </x:c>
      <x:c r="M32" s="31" t="n">
        <x:v>0.2801440729</x:v>
      </x:c>
      <x:c r="N32" s="24" t="str">
        <x:v>acanthocybium solandri</x:v>
      </x:c>
      <x:c r="O32" s="32" t="n">
        <x:v>4.26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Acanthocybium solandri</x:v>
      </x:c>
      <x:c r="T32" s="32" t="n">
        <x:f>IF(O32="","",(1/'Metadata'!$B$5)^(O32-1))</x:f>
        <x:v>1819.7008586099826</x:v>
      </x:c>
      <x:c r="U32" s="31" t="n">
        <x:f>IF(T32="","",I32*T32)</x:f>
        <x:v>1772.8337003598526</x:v>
      </x:c>
    </x:row>
    <x:row r="33" ht="18" customHeight="1">
      <x:c r="A33" s="24" t="str">
        <x:v>EEZ_662</x:v>
      </x:c>
      <x:c r="B33" s="24" t="str">
        <x:v>Saint Lucia</x:v>
      </x:c>
      <x:c r="C33" s="24" t="str">
        <x:v>EEZ</x:v>
      </x:c>
      <x:c r="D33" s="30" t="n">
        <x:v>2019</x:v>
      </x:c>
      <x:c r="E33" s="24" t="str">
        <x:v>Lepidocybium flavobrunneum</x:v>
      </x:c>
      <x:c r="F33" s="24" t="str">
        <x:v>Escolar</x:v>
      </x:c>
      <x:c r="G33" s="24" t="str">
        <x:v>Large bathypelagics (&gt;=90 cm)</x:v>
      </x:c>
      <x:c r="H33" s="24" t="str">
        <x:v>Perch-likes</x:v>
      </x:c>
      <x:c r="I33" s="31" t="n">
        <x:v>0.9713699048</x:v>
      </x:c>
      <x:c r="J33" s="31" t="n">
        <x:v>0.9713699048</x:v>
      </x:c>
      <x:c r="K33" s="31" t="n">
        <x:v>0</x:v>
      </x:c>
      <x:c r="L33" s="31" t="n">
        <x:v>0.9713699048</x:v>
      </x:c>
      <x:c r="M33" s="31" t="n">
        <x:v>0</x:v>
      </x:c>
      <x:c r="N33" s="24" t="str">
        <x:v>lepidocybium flavobrunneum</x:v>
      </x:c>
      <x:c r="O33" s="32" t="n">
        <x:v>4.34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Lepidocybium flavobrunneum</x:v>
      </x:c>
      <x:c r="T33" s="32" t="n">
        <x:f>IF(O33="","",(1/'Metadata'!$B$5)^(O33-1))</x:f>
        <x:v>2187.761623949552</x:v>
      </x:c>
      <x:c r="U33" s="31" t="n">
        <x:f>IF(T33="","",I33*T33)</x:f>
        <x:v>2125.1258003809694</x:v>
      </x:c>
    </x:row>
    <x:row r="34" ht="18" customHeight="1">
      <x:c r="A34" s="24" t="str">
        <x:v>EEZ_662</x:v>
      </x:c>
      <x:c r="B34" s="24" t="str">
        <x:v>Saint Lucia</x:v>
      </x:c>
      <x:c r="C34" s="24" t="str">
        <x:v>EEZ</x:v>
      </x:c>
      <x:c r="D34" s="30" t="n">
        <x:v>2019</x:v>
      </x:c>
      <x:c r="E34" s="24" t="str">
        <x:v>Albulidae</x:v>
      </x:c>
      <x:c r="F34" s="24" t="str">
        <x:v>Bonefishes</x:v>
      </x:c>
      <x:c r="G34" s="24" t="str">
        <x:v>Medium reef assoc. fish (30 - 89 cm)</x:v>
      </x:c>
      <x:c r="H34" s="24" t="str">
        <x:v>Other fishes &amp; inverts</x:v>
      </x:c>
      <x:c r="I34" s="31" t="n">
        <x:v>0.9679796907</x:v>
      </x:c>
      <x:c r="J34" s="31" t="n">
        <x:v>0.9679796907</x:v>
      </x:c>
      <x:c r="K34" s="31" t="n">
        <x:v>0</x:v>
      </x:c>
      <x:c r="L34" s="31" t="n">
        <x:v>0.9679796907</x:v>
      </x:c>
      <x:c r="M34" s="31" t="n">
        <x:v>0</x:v>
      </x:c>
      <x:c r="N34" s="24" t="str">
        <x:v>albulidae</x:v>
      </x:c>
      <x:c r="O34" s="32" t="n">
        <x:v>3.47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Albulidae</x:v>
      </x:c>
      <x:c r="T34" s="32" t="n">
        <x:f>IF(O34="","",(1/'Metadata'!$B$5)^(O34-1))</x:f>
        <x:v>295.1209226666387</x:v>
      </x:c>
      <x:c r="U34" s="31" t="n">
        <x:f>IF(T34="","",I34*T34)</x:f>
        <x:v>285.67105944195157</x:v>
      </x:c>
    </x:row>
    <x:row r="35" ht="18" customHeight="1">
      <x:c r="A35" s="24" t="str">
        <x:v>EEZ_662</x:v>
      </x:c>
      <x:c r="B35" s="24" t="str">
        <x:v>Saint Lucia</x:v>
      </x:c>
      <x:c r="C35" s="24" t="str">
        <x:v>EEZ</x:v>
      </x:c>
      <x:c r="D35" s="30" t="n">
        <x:v>2019</x:v>
      </x:c>
      <x:c r="E35" s="24" t="str">
        <x:v>Katsuwonus pelamis</x:v>
      </x:c>
      <x:c r="F35" s="24" t="str">
        <x:v>Skipjack tuna</x:v>
      </x:c>
      <x:c r="G35" s="24" t="str">
        <x:v>Large pelagics (&gt;=90 cm)</x:v>
      </x:c>
      <x:c r="H35" s="24" t="str">
        <x:v>Tuna &amp; billfishes</x:v>
      </x:c>
      <x:c r="I35" s="31" t="n">
        <x:v>0.9489096217</x:v>
      </x:c>
      <x:c r="J35" s="31" t="n">
        <x:v>0.9489096217</x:v>
      </x:c>
      <x:c r="K35" s="31" t="n">
        <x:v>0</x:v>
      </x:c>
      <x:c r="L35" s="31" t="n">
        <x:v>0.9489096217</x:v>
      </x:c>
      <x:c r="M35" s="31" t="n">
        <x:v>0</x:v>
      </x:c>
      <x:c r="N35" s="24" t="str">
        <x:v>katsuwonus pelamis</x:v>
      </x:c>
      <x:c r="O35" s="32" t="n">
        <x:v>4.43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Katsuwonus pelamis</x:v>
      </x:c>
      <x:c r="T35" s="32" t="n">
        <x:f>IF(O35="","",(1/'Metadata'!$B$5)^(O35-1))</x:f>
        <x:v>2691.534803926914</x:v>
      </x:c>
      <x:c r="U35" s="31" t="n">
        <x:f>IF(T35="","",I35*T35)</x:f>
        <x:v>2554.0232725866717</x:v>
      </x:c>
    </x:row>
    <x:row r="36" ht="18" customHeight="1">
      <x:c r="A36" s="24" t="str">
        <x:v>EEZ_662</x:v>
      </x:c>
      <x:c r="B36" s="24" t="str">
        <x:v>Saint Lucia</x:v>
      </x:c>
      <x:c r="C36" s="24" t="str">
        <x:v>EEZ</x:v>
      </x:c>
      <x:c r="D36" s="30" t="n">
        <x:v>2019</x:v>
      </x:c>
      <x:c r="E36" s="24" t="str">
        <x:v>Galeocerdo cuvier</x:v>
      </x:c>
      <x:c r="F36" s="24" t="str">
        <x:v>Tiger shark</x:v>
      </x:c>
      <x:c r="G36" s="24" t="str">
        <x:v>Large sharks (&gt;=90 cm)</x:v>
      </x:c>
      <x:c r="H36" s="24" t="str">
        <x:v>Sharks &amp; rays</x:v>
      </x:c>
      <x:c r="I36" s="31" t="n">
        <x:v>0.8369501457</x:v>
      </x:c>
      <x:c r="J36" s="31" t="n">
        <x:v>0.8369501457</x:v>
      </x:c>
      <x:c r="K36" s="31" t="n">
        <x:v>0</x:v>
      </x:c>
      <x:c r="L36" s="31" t="n">
        <x:v>0.8369501457</x:v>
      </x:c>
      <x:c r="M36" s="31" t="n">
        <x:v>0</x:v>
      </x:c>
      <x:c r="N36" s="24" t="str">
        <x:v>galeocerdo cuvier</x:v>
      </x:c>
      <x:c r="O36" s="32" t="n">
        <x:v>4.54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Galeocerdo cuvier</x:v>
      </x:c>
      <x:c r="T36" s="32" t="n">
        <x:f>IF(O36="","",(1/'Metadata'!$B$5)^(O36-1))</x:f>
        <x:v>3467.368504525317</x:v>
      </x:c>
      <x:c r="U36" s="31" t="n">
        <x:f>IF(T36="","",I36*T36)</x:f>
        <x:v>2902.014575058055</x:v>
      </x:c>
    </x:row>
    <x:row r="37" ht="18" customHeight="1">
      <x:c r="A37" s="24" t="str">
        <x:v>EEZ_662</x:v>
      </x:c>
      <x:c r="B37" s="24" t="str">
        <x:v>Saint Lucia</x:v>
      </x:c>
      <x:c r="C37" s="24" t="str">
        <x:v>EEZ</x:v>
      </x:c>
      <x:c r="D37" s="30" t="n">
        <x:v>2019</x:v>
      </x:c>
      <x:c r="E37" s="24" t="str">
        <x:v>Octopus vulgaris</x:v>
      </x:c>
      <x:c r="F37" s="24" t="str">
        <x:v>Common octopus</x:v>
      </x:c>
      <x:c r="G37" s="24" t="str">
        <x:v>Cephalopods</x:v>
      </x:c>
      <x:c r="H37" s="24" t="str">
        <x:v>Other fishes &amp; inverts</x:v>
      </x:c>
      <x:c r="I37" s="31" t="n">
        <x:v>0.8303087442</x:v>
      </x:c>
      <x:c r="J37" s="31" t="n">
        <x:v>0.8303087442</x:v>
      </x:c>
      <x:c r="K37" s="31" t="n">
        <x:v>0</x:v>
      </x:c>
      <x:c r="L37" s="31" t="n">
        <x:v>0.8303087442</x:v>
      </x:c>
      <x:c r="M37" s="31" t="n">
        <x:v>0</x:v>
      </x:c>
      <x:c r="N37" s="24" t="str">
        <x:v>octopus vulgaris</x:v>
      </x:c>
      <x:c r="O37" s="32" t="n">
        <x:v>3.6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Octopus vulgaris</x:v>
      </x:c>
      <x:c r="T37" s="32" t="n">
        <x:f>IF(O37="","",(1/'Metadata'!$B$5)^(O37-1))</x:f>
        <x:v>398.1071705534973</x:v>
      </x:c>
      <x:c r="U37" s="31" t="n">
        <x:f>IF(T37="","",I37*T37)</x:f>
        <x:v>330.5518648392896</x:v>
      </x:c>
    </x:row>
    <x:row r="38" ht="18" customHeight="1">
      <x:c r="A38" s="24" t="str">
        <x:v>EEZ_662</x:v>
      </x:c>
      <x:c r="B38" s="24" t="str">
        <x:v>Saint Lucia</x:v>
      </x:c>
      <x:c r="C38" s="24" t="str">
        <x:v>EEZ</x:v>
      </x:c>
      <x:c r="D38" s="30" t="n">
        <x:v>2019</x:v>
      </x:c>
      <x:c r="E38" s="24" t="str">
        <x:v>Ginglymostoma cirratum</x:v>
      </x:c>
      <x:c r="F38" s="24" t="str">
        <x:v>Nurse shark</x:v>
      </x:c>
      <x:c r="G38" s="24" t="str">
        <x:v>Large sharks (&gt;=90 cm)</x:v>
      </x:c>
      <x:c r="H38" s="24" t="str">
        <x:v>Sharks &amp; rays</x:v>
      </x:c>
      <x:c r="I38" s="31" t="n">
        <x:v>0.8</x:v>
      </x:c>
      <x:c r="J38" s="31" t="n">
        <x:v>0.8</x:v>
      </x:c>
      <x:c r="K38" s="31" t="n">
        <x:v>0</x:v>
      </x:c>
      <x:c r="L38" s="31" t="n">
        <x:v>0.8</x:v>
      </x:c>
      <x:c r="M38" s="31" t="n">
        <x:v>0</x:v>
      </x:c>
      <x:c r="N38" s="24" t="str">
        <x:v>ginglymostoma cirratum</x:v>
      </x:c>
      <x:c r="O38" s="32" t="n">
        <x:v>4.15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Ginglymostoma cirratum</x:v>
      </x:c>
      <x:c r="T38" s="32" t="n">
        <x:f>IF(O38="","",(1/'Metadata'!$B$5)^(O38-1))</x:f>
        <x:v>1412.5375446227554</x:v>
      </x:c>
      <x:c r="U38" s="31" t="n">
        <x:f>IF(T38="","",I38*T38)</x:f>
        <x:v>1130.0300356982043</x:v>
      </x:c>
    </x:row>
    <x:row r="39" ht="18" customHeight="1">
      <x:c r="A39" s="24" t="str">
        <x:v>EEZ_662</x:v>
      </x:c>
      <x:c r="B39" s="24" t="str">
        <x:v>Saint Lucia</x:v>
      </x:c>
      <x:c r="C39" s="24" t="str">
        <x:v>EEZ</x:v>
      </x:c>
      <x:c r="D39" s="30" t="n">
        <x:v>2019</x:v>
      </x:c>
      <x:c r="E39" s="24" t="str">
        <x:v>Sparidae</x:v>
      </x:c>
      <x:c r="F39" s="24" t="str">
        <x:v>Porgies, seabreams</x:v>
      </x:c>
      <x:c r="G39" s="24" t="str">
        <x:v>Medium benthopelagics (30 - 89 cm)</x:v>
      </x:c>
      <x:c r="H39" s="24" t="str">
        <x:v>Perch-likes</x:v>
      </x:c>
      <x:c r="I39" s="31" t="n">
        <x:v>0.7103717455999999</x:v>
      </x:c>
      <x:c r="J39" s="31" t="n">
        <x:v>0.7103717455999999</x:v>
      </x:c>
      <x:c r="K39" s="31" t="n">
        <x:v>0</x:v>
      </x:c>
      <x:c r="L39" s="31" t="n">
        <x:v>0.7103717455999999</x:v>
      </x:c>
      <x:c r="M39" s="31" t="n">
        <x:v>0</x:v>
      </x:c>
      <x:c r="N39" s="24" t="str">
        <x:v>sparidae</x:v>
      </x:c>
      <x:c r="O39" s="32" t="n">
        <x:v>3.31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Sparidae</x:v>
      </x:c>
      <x:c r="T39" s="32" t="n">
        <x:f>IF(O39="","",(1/'Metadata'!$B$5)^(O39-1))</x:f>
        <x:v>204.17379446695296</x:v>
      </x:c>
      <x:c r="U39" s="31" t="n">
        <x:f>IF(T39="","",I39*T39)</x:f>
        <x:v>145.03929478126497</x:v>
      </x:c>
    </x:row>
    <x:row r="40" ht="18" customHeight="1">
      <x:c r="A40" s="24" t="str">
        <x:v>EEZ_662</x:v>
      </x:c>
      <x:c r="B40" s="24" t="str">
        <x:v>Saint Lucia</x:v>
      </x:c>
      <x:c r="C40" s="24" t="str">
        <x:v>EEZ</x:v>
      </x:c>
      <x:c r="D40" s="30" t="n">
        <x:v>2019</x:v>
      </x:c>
      <x:c r="E40" s="24" t="str">
        <x:v>Monacanthidae</x:v>
      </x:c>
      <x:c r="F40" s="24" t="str">
        <x:v>Filefishes</x:v>
      </x:c>
      <x:c r="G40" s="24" t="str">
        <x:v>Medium reef assoc. fish (30 - 89 cm)</x:v>
      </x:c>
      <x:c r="H40" s="24" t="str">
        <x:v>Other fishes &amp; inverts</x:v>
      </x:c>
      <x:c r="I40" s="31" t="n">
        <x:v>0.6556954572</x:v>
      </x:c>
      <x:c r="J40" s="31" t="n">
        <x:v>0.6556954572</x:v>
      </x:c>
      <x:c r="K40" s="31" t="n">
        <x:v>0</x:v>
      </x:c>
      <x:c r="L40" s="31" t="n">
        <x:v>0.6556954572</x:v>
      </x:c>
      <x:c r="M40" s="31" t="n">
        <x:v>0</x:v>
      </x:c>
      <x:c r="N40" s="24" t="str">
        <x:v>monacanthidae</x:v>
      </x:c>
      <x:c r="O40" s="32" t="n">
        <x:v>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Monacanthidae</x:v>
      </x:c>
      <x:c r="T40" s="32" t="n">
        <x:f>IF(O40="","",(1/'Metadata'!$B$5)^(O40-1))</x:f>
        <x:v>100</x:v>
      </x:c>
      <x:c r="U40" s="31" t="n">
        <x:f>IF(T40="","",I40*T40)</x:f>
        <x:v>65.56954572</x:v>
      </x:c>
    </x:row>
    <x:row r="41" ht="18" customHeight="1">
      <x:c r="A41" s="24" t="str">
        <x:v>EEZ_662</x:v>
      </x:c>
      <x:c r="B41" s="24" t="str">
        <x:v>Saint Lucia</x:v>
      </x:c>
      <x:c r="C41" s="24" t="str">
        <x:v>EEZ</x:v>
      </x:c>
      <x:c r="D41" s="30" t="n">
        <x:v>2019</x:v>
      </x:c>
      <x:c r="E41" s="24" t="str">
        <x:v>Epinephelus</x:v>
      </x:c>
      <x:c r="F41" s="24" t="str">
        <x:v>Seabasses, hinds</x:v>
      </x:c>
      <x:c r="G41" s="24" t="str">
        <x:v>Medium reef assoc. fish (30 - 89 cm)</x:v>
      </x:c>
      <x:c r="H41" s="24" t="str">
        <x:v>Perch-likes</x:v>
      </x:c>
      <x:c r="I41" s="31" t="n">
        <x:v>0.6303242304</x:v>
      </x:c>
      <x:c r="J41" s="31" t="n">
        <x:v>0.6303242304</x:v>
      </x:c>
      <x:c r="K41" s="31" t="n">
        <x:v>0</x:v>
      </x:c>
      <x:c r="L41" s="31" t="n">
        <x:v>0</x:v>
      </x:c>
      <x:c r="M41" s="31" t="n">
        <x:v>0.6303242304</x:v>
      </x:c>
      <x:c r="N41" s="24" t="str">
        <x:v>epinephelus</x:v>
      </x:c>
      <x:c r="O41" s="32" t="n">
        <x:v>3.84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Epinephelus</x:v>
      </x:c>
      <x:c r="T41" s="32" t="n">
        <x:f>IF(O41="","",(1/'Metadata'!$B$5)^(O41-1))</x:f>
        <x:v>691.8309709189363</x:v>
      </x:c>
      <x:c r="U41" s="31" t="n">
        <x:f>IF(T41="","",I41*T41)</x:f>
        <x:v>436.07782431136326</x:v>
      </x:c>
    </x:row>
    <x:row r="42" ht="18" customHeight="1">
      <x:c r="A42" s="24" t="str">
        <x:v>EEZ_662</x:v>
      </x:c>
      <x:c r="B42" s="24" t="str">
        <x:v>Saint Lucia</x:v>
      </x:c>
      <x:c r="C42" s="24" t="str">
        <x:v>EEZ</x:v>
      </x:c>
      <x:c r="D42" s="30" t="n">
        <x:v>2019</x:v>
      </x:c>
      <x:c r="E42" s="24" t="str">
        <x:v>Chondrichthyes</x:v>
      </x:c>
      <x:c r="F42" s="24" t="str">
        <x:v>Sharks, rays, chimaeras</x:v>
      </x:c>
      <x:c r="G42" s="24" t="str">
        <x:v>Large sharks (&gt;=90 cm)</x:v>
      </x:c>
      <x:c r="H42" s="24" t="str">
        <x:v>Sharks &amp; rays</x:v>
      </x:c>
      <x:c r="I42" s="31" t="n">
        <x:v>0.59</x:v>
      </x:c>
      <x:c r="J42" s="31" t="n">
        <x:v>0.59</x:v>
      </x:c>
      <x:c r="K42" s="31" t="n">
        <x:v>0</x:v>
      </x:c>
      <x:c r="L42" s="31" t="n">
        <x:v>0.59</x:v>
      </x:c>
      <x:c r="M42" s="31" t="n">
        <x:v>0</x:v>
      </x:c>
      <x:c r="N42" s="24" t="str">
        <x:v>chondrichthyes</x:v>
      </x:c>
      <x:c r="O42" s="32" t="n">
        <x:v>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Chondrichthyes</x:v>
      </x:c>
      <x:c r="T42" s="32" t="n">
        <x:f>IF(O42="","",(1/'Metadata'!$B$5)^(O42-1))</x:f>
        <x:v>1000</x:v>
      </x:c>
      <x:c r="U42" s="31" t="n">
        <x:f>IF(T42="","",I42*T42)</x:f>
        <x:v>590</x:v>
      </x:c>
    </x:row>
    <x:row r="43" ht="18" customHeight="1">
      <x:c r="A43" s="24" t="str">
        <x:v>EEZ_662</x:v>
      </x:c>
      <x:c r="B43" s="24" t="str">
        <x:v>Saint Lucia</x:v>
      </x:c>
      <x:c r="C43" s="24" t="str">
        <x:v>EEZ</x:v>
      </x:c>
      <x:c r="D43" s="30" t="n">
        <x:v>2019</x:v>
      </x:c>
      <x:c r="E43" s="24" t="str">
        <x:v>Xiphias gladius</x:v>
      </x:c>
      <x:c r="F43" s="24" t="str">
        <x:v>Swordfish</x:v>
      </x:c>
      <x:c r="G43" s="24" t="str">
        <x:v>Large pelagics (&gt;=90 cm)</x:v>
      </x:c>
      <x:c r="H43" s="24" t="str">
        <x:v>Tuna &amp; billfishes</x:v>
      </x:c>
      <x:c r="I43" s="31" t="n">
        <x:v>0.5549254309</x:v>
      </x:c>
      <x:c r="J43" s="31" t="n">
        <x:v>0.5549254309</x:v>
      </x:c>
      <x:c r="K43" s="31" t="n">
        <x:v>0</x:v>
      </x:c>
      <x:c r="L43" s="31" t="n">
        <x:v>0.5549254309</x:v>
      </x:c>
      <x:c r="M43" s="31" t="n">
        <x:v>0</x:v>
      </x:c>
      <x:c r="N43" s="24" t="str">
        <x:v>xiphias gladius</x:v>
      </x:c>
      <x:c r="O43" s="32" t="n">
        <x:v>4.53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Xiphias gladius</x:v>
      </x:c>
      <x:c r="T43" s="32" t="n">
        <x:f>IF(O43="","",(1/'Metadata'!$B$5)^(O43-1))</x:f>
        <x:v>3388.4415613920273</x:v>
      </x:c>
      <x:c r="U43" s="31" t="n">
        <x:f>IF(T43="","",I43*T43)</x:f>
        <x:v>1880.3323935349397</x:v>
      </x:c>
    </x:row>
    <x:row r="44" ht="18" customHeight="1">
      <x:c r="A44" s="24" t="str">
        <x:v>EEZ_662</x:v>
      </x:c>
      <x:c r="B44" s="24" t="str">
        <x:v>Saint Lucia</x:v>
      </x:c>
      <x:c r="C44" s="24" t="str">
        <x:v>EEZ</x:v>
      </x:c>
      <x:c r="D44" s="30" t="n">
        <x:v>2019</x:v>
      </x:c>
      <x:c r="E44" s="24" t="str">
        <x:v>Anguilliformes</x:v>
      </x:c>
      <x:c r="F44" s="24" t="str">
        <x:v>Eels, morays</x:v>
      </x:c>
      <x:c r="G44" s="24" t="str">
        <x:v>Large demersals (&gt;=90 cm)</x:v>
      </x:c>
      <x:c r="H44" s="24" t="str">
        <x:v>Other fishes &amp; inverts</x:v>
      </x:c>
      <x:c r="I44" s="31" t="n">
        <x:v>0.5061712673000001</x:v>
      </x:c>
      <x:c r="J44" s="31" t="n">
        <x:v>0.5061712673000001</x:v>
      </x:c>
      <x:c r="K44" s="31" t="n">
        <x:v>0</x:v>
      </x:c>
      <x:c r="L44" s="31" t="n">
        <x:v>0.5061712673000001</x:v>
      </x:c>
      <x:c r="M44" s="31" t="n">
        <x:v>0</x:v>
      </x:c>
      <x:c r="N44" s="24" t="str">
        <x:v>anguilliformes</x:v>
      </x:c>
      <x:c r="O44" s="32" t="n">
        <x:v>3.89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Anguilliformes</x:v>
      </x:c>
      <x:c r="T44" s="32" t="n">
        <x:f>IF(O44="","",(1/'Metadata'!$B$5)^(O44-1))</x:f>
        <x:v>776.247116628692</x:v>
      </x:c>
      <x:c r="U44" s="31" t="n">
        <x:f>IF(T44="","",I44*T44)</x:f>
        <x:v>392.91398676191596</x:v>
      </x:c>
    </x:row>
    <x:row r="45" ht="18" customHeight="1">
      <x:c r="A45" s="24" t="str">
        <x:v>EEZ_662</x:v>
      </x:c>
      <x:c r="B45" s="24" t="str">
        <x:v>Saint Lucia</x:v>
      </x:c>
      <x:c r="C45" s="24" t="str">
        <x:v>EEZ</x:v>
      </x:c>
      <x:c r="D45" s="30" t="n">
        <x:v>2019</x:v>
      </x:c>
      <x:c r="E45" s="24" t="str">
        <x:v>Centropomidae</x:v>
      </x:c>
      <x:c r="F45" s="24" t="str">
        <x:v>Snooks</x:v>
      </x:c>
      <x:c r="G45" s="24" t="str">
        <x:v>Large reef assoc. fish (&gt;=90 cm)</x:v>
      </x:c>
      <x:c r="H45" s="24" t="str">
        <x:v>Perch-likes</x:v>
      </x:c>
      <x:c r="I45" s="31" t="n">
        <x:v>0.4347012968</x:v>
      </x:c>
      <x:c r="J45" s="31" t="n">
        <x:v>0.4347012968</x:v>
      </x:c>
      <x:c r="K45" s="31" t="n">
        <x:v>0</x:v>
      </x:c>
      <x:c r="L45" s="31" t="n">
        <x:v>0.4347012968</x:v>
      </x:c>
      <x:c r="M45" s="31" t="n">
        <x:v>0</x:v>
      </x:c>
      <x:c r="N45" s="24" t="str">
        <x:v>centropomidae</x:v>
      </x:c>
      <x:c r="O45" s="32" t="n">
        <x:v>3.92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Centropomidae</x:v>
      </x:c>
      <x:c r="T45" s="32" t="n">
        <x:f>IF(O45="","",(1/'Metadata'!$B$5)^(O45-1))</x:f>
        <x:v>831.7637711026708</x:v>
      </x:c>
      <x:c r="U45" s="31" t="n">
        <x:f>IF(T45="","",I45*T45)</x:f>
        <x:v>361.5687899295894</x:v>
      </x:c>
    </x:row>
    <x:row r="46" ht="18" customHeight="1">
      <x:c r="A46" s="24" t="str">
        <x:v>EEZ_662</x:v>
      </x:c>
      <x:c r="B46" s="24" t="str">
        <x:v>Saint Lucia</x:v>
      </x:c>
      <x:c r="C46" s="24" t="str">
        <x:v>EEZ</x:v>
      </x:c>
      <x:c r="D46" s="30" t="n">
        <x:v>2019</x:v>
      </x:c>
      <x:c r="E46" s="24" t="str">
        <x:v>Diodon hystrix</x:v>
      </x:c>
      <x:c r="F46" s="24" t="str">
        <x:v>Spotted porcupinefish</x:v>
      </x:c>
      <x:c r="G46" s="24" t="str">
        <x:v>Medium reef assoc. fish (30 - 89 cm)</x:v>
      </x:c>
      <x:c r="H46" s="24" t="str">
        <x:v>Other fishes &amp; inverts</x:v>
      </x:c>
      <x:c r="I46" s="31" t="n">
        <x:v>0.426834727</x:v>
      </x:c>
      <x:c r="J46" s="31" t="n">
        <x:v>0.426834727</x:v>
      </x:c>
      <x:c r="K46" s="31" t="n">
        <x:v>0</x:v>
      </x:c>
      <x:c r="L46" s="31" t="n">
        <x:v>0.426834727</x:v>
      </x:c>
      <x:c r="M46" s="31" t="n">
        <x:v>0</x:v>
      </x:c>
      <x:c r="N46" s="24" t="str">
        <x:v>diodon hystrix</x:v>
      </x:c>
      <x:c r="O46" s="32" t="n">
        <x:v>3.67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Diodon hystrix</x:v>
      </x:c>
      <x:c r="T46" s="32" t="n">
        <x:f>IF(O46="","",(1/'Metadata'!$B$5)^(O46-1))</x:f>
        <x:v>467.73514128719813</x:v>
      </x:c>
      <x:c r="U46" s="31" t="n">
        <x:f>IF(T46="","",I46*T46)</x:f>
        <x:v>199.64560133962766</x:v>
      </x:c>
    </x:row>
    <x:row r="47" ht="18" customHeight="1">
      <x:c r="A47" s="24" t="str">
        <x:v>EEZ_662</x:v>
      </x:c>
      <x:c r="B47" s="24" t="str">
        <x:v>Saint Lucia</x:v>
      </x:c>
      <x:c r="C47" s="24" t="str">
        <x:v>EEZ</x:v>
      </x:c>
      <x:c r="D47" s="30" t="n">
        <x:v>2019</x:v>
      </x:c>
      <x:c r="E47" s="24" t="str">
        <x:v>Chaetodontidae</x:v>
      </x:c>
      <x:c r="F47" s="24" t="str">
        <x:v>Butterflyfishes</x:v>
      </x:c>
      <x:c r="G47" s="24" t="str">
        <x:v>Small reef assoc. fish (&lt;30 cm)</x:v>
      </x:c>
      <x:c r="H47" s="24" t="str">
        <x:v>Perch-likes</x:v>
      </x:c>
      <x:c r="I47" s="31" t="n">
        <x:v>0.4207480364</x:v>
      </x:c>
      <x:c r="J47" s="31" t="n">
        <x:v>0.4207480364</x:v>
      </x:c>
      <x:c r="K47" s="31" t="n">
        <x:v>0</x:v>
      </x:c>
      <x:c r="L47" s="31" t="n">
        <x:v>0.4207480364</x:v>
      </x:c>
      <x:c r="M47" s="31" t="n">
        <x:v>0</x:v>
      </x:c>
      <x:c r="N47" s="24" t="str">
        <x:v>chaetodontidae</x:v>
      </x:c>
      <x:c r="O47" s="32" t="n">
        <x:v>3.24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Chaetodontidae</x:v>
      </x:c>
      <x:c r="T47" s="32" t="n">
        <x:f>IF(O47="","",(1/'Metadata'!$B$5)^(O47-1))</x:f>
        <x:v>173.78008287493762</x:v>
      </x:c>
      <x:c r="U47" s="31" t="n">
        <x:f>IF(T47="","",I47*T47)</x:f>
        <x:v>73.11762863505928</x:v>
      </x:c>
    </x:row>
    <x:row r="48" ht="18" customHeight="1">
      <x:c r="A48" s="24" t="str">
        <x:v>EEZ_662</x:v>
      </x:c>
      <x:c r="B48" s="24" t="str">
        <x:v>Saint Lucia</x:v>
      </x:c>
      <x:c r="C48" s="24" t="str">
        <x:v>EEZ</x:v>
      </x:c>
      <x:c r="D48" s="30" t="n">
        <x:v>2019</x:v>
      </x:c>
      <x:c r="E48" s="24" t="str">
        <x:v>Lobotes surinamensis</x:v>
      </x:c>
      <x:c r="F48" s="24" t="str">
        <x:v>Tripletail</x:v>
      </x:c>
      <x:c r="G48" s="24" t="str">
        <x:v>Large benthopelagics (&gt;=90 cm)</x:v>
      </x:c>
      <x:c r="H48" s="24" t="str">
        <x:v>Perch-likes</x:v>
      </x:c>
      <x:c r="I48" s="31" t="n">
        <x:v>0.3121795821</x:v>
      </x:c>
      <x:c r="J48" s="31" t="n">
        <x:v>0.3121795821</x:v>
      </x:c>
      <x:c r="K48" s="31" t="n">
        <x:v>0</x:v>
      </x:c>
      <x:c r="L48" s="31" t="n">
        <x:v>0.3121795821</x:v>
      </x:c>
      <x:c r="M48" s="31" t="n">
        <x:v>0</x:v>
      </x:c>
      <x:c r="N48" s="24" t="str">
        <x:v>lobotes surinamensis</x:v>
      </x:c>
      <x:c r="O48" s="32" t="n">
        <x:v>4.04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Lobotes surinamensis</x:v>
      </x:c>
      <x:c r="T48" s="32" t="n">
        <x:f>IF(O48="","",(1/'Metadata'!$B$5)^(O48-1))</x:f>
        <x:v>1096.4781961431852</x:v>
      </x:c>
      <x:c r="U48" s="31" t="n">
        <x:f>IF(T48="","",I48*T48)</x:f>
        <x:v>342.2981050537414</x:v>
      </x:c>
    </x:row>
    <x:row r="49" ht="18" customHeight="1">
      <x:c r="A49" s="24" t="str">
        <x:v>EEZ_662</x:v>
      </x:c>
      <x:c r="B49" s="24" t="str">
        <x:v>Saint Lucia</x:v>
      </x:c>
      <x:c r="C49" s="24" t="str">
        <x:v>EEZ</x:v>
      </x:c>
      <x:c r="D49" s="30" t="n">
        <x:v>2019</x:v>
      </x:c>
      <x:c r="E49" s="24" t="str">
        <x:v>Ephippidae</x:v>
      </x:c>
      <x:c r="F49" s="24" t="str">
        <x:v>Spade-, batfishes, scats</x:v>
      </x:c>
      <x:c r="G49" s="24" t="str">
        <x:v>Medium reef assoc. fish (30 - 89 cm)</x:v>
      </x:c>
      <x:c r="H49" s="24" t="str">
        <x:v>Perch-likes</x:v>
      </x:c>
      <x:c r="I49" s="31" t="n">
        <x:v>0.3008613022</x:v>
      </x:c>
      <x:c r="J49" s="31" t="n">
        <x:v>0.3008613022</x:v>
      </x:c>
      <x:c r="K49" s="31" t="n">
        <x:v>0</x:v>
      </x:c>
      <x:c r="L49" s="31" t="n">
        <x:v>0.3008613022</x:v>
      </x:c>
      <x:c r="M49" s="31" t="n">
        <x:v>0</x:v>
      </x:c>
      <x:c r="N49" s="24" t="str">
        <x:v>ephippidae</x:v>
      </x:c>
      <x:c r="O49" s="32" t="n">
        <x:v>3.57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Ephippidae</x:v>
      </x:c>
      <x:c r="T49" s="32" t="n">
        <x:f>IF(O49="","",(1/'Metadata'!$B$5)^(O49-1))</x:f>
        <x:v>371.5352290971724</x:v>
      </x:c>
      <x:c r="U49" s="31" t="n">
        <x:f>IF(T49="","",I49*T49)</x:f>
        <x:v>111.78057283935063</x:v>
      </x:c>
    </x:row>
    <x:row r="50" ht="18" customHeight="1">
      <x:c r="A50" s="24" t="str">
        <x:v>EEZ_662</x:v>
      </x:c>
      <x:c r="B50" s="24" t="str">
        <x:v>Saint Lucia</x:v>
      </x:c>
      <x:c r="C50" s="24" t="str">
        <x:v>EEZ</x:v>
      </x:c>
      <x:c r="D50" s="30" t="n">
        <x:v>2019</x:v>
      </x:c>
      <x:c r="E50" s="24" t="str">
        <x:v>Thunnus obesus</x:v>
      </x:c>
      <x:c r="F50" s="24" t="str">
        <x:v>Bigeye tuna</x:v>
      </x:c>
      <x:c r="G50" s="24" t="str">
        <x:v>Large pelagics (&gt;=90 cm)</x:v>
      </x:c>
      <x:c r="H50" s="24" t="str">
        <x:v>Tuna &amp; billfishes</x:v>
      </x:c>
      <x:c r="I50" s="31" t="n">
        <x:v>0.2976050764</x:v>
      </x:c>
      <x:c r="J50" s="31" t="n">
        <x:v>0.2976050764</x:v>
      </x:c>
      <x:c r="K50" s="31" t="n">
        <x:v>0</x:v>
      </x:c>
      <x:c r="L50" s="31" t="n">
        <x:v>0.2976050764</x:v>
      </x:c>
      <x:c r="M50" s="31" t="n">
        <x:v>0</x:v>
      </x:c>
      <x:c r="N50" s="24" t="str">
        <x:v>thunnus obesus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obesus</x:v>
      </x:c>
      <x:c r="T50" s="32" t="n">
        <x:f>IF(O50="","",(1/'Metadata'!$B$5)^(O50-1))</x:f>
        <x:v>3090.295432513592</x:v>
      </x:c>
      <x:c r="U50" s="31" t="n">
        <x:f>IF(T50="","",I50*T50)</x:f>
        <x:v>919.6876082917786</x:v>
      </x:c>
    </x:row>
    <x:row r="51" ht="18" customHeight="1">
      <x:c r="A51" s="24" t="str">
        <x:v>EEZ_662</x:v>
      </x:c>
      <x:c r="B51" s="24" t="str">
        <x:v>Saint Lucia</x:v>
      </x:c>
      <x:c r="C51" s="24" t="str">
        <x:v>EEZ</x:v>
      </x:c>
      <x:c r="D51" s="30" t="n">
        <x:v>2019</x:v>
      </x:c>
      <x:c r="E51" s="24" t="str">
        <x:v>Carcharhinus</x:v>
      </x:c>
      <x:c r="F51" s="24" t="str">
        <x:v>Sharp-nosed sharks</x:v>
      </x:c>
      <x:c r="G51" s="24" t="str">
        <x:v>Large sharks (&gt;=90 cm)</x:v>
      </x:c>
      <x:c r="H51" s="24" t="str">
        <x:v>Sharks &amp; rays</x:v>
      </x:c>
      <x:c r="I51" s="31" t="n">
        <x:v>0.2824421713</x:v>
      </x:c>
      <x:c r="J51" s="31" t="n">
        <x:v>0.2824421713</x:v>
      </x:c>
      <x:c r="K51" s="31" t="n">
        <x:v>0</x:v>
      </x:c>
      <x:c r="L51" s="31" t="n">
        <x:v>0.0022980984</x:v>
      </x:c>
      <x:c r="M51" s="31" t="n">
        <x:v>0.2801440729</x:v>
      </x:c>
      <x:c r="N51" s="24" t="str">
        <x:v>carcharhinus</x:v>
      </x:c>
      <x:c r="O51" s="32" t="n">
        <x:v>4.26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Carcharhinus</x:v>
      </x:c>
      <x:c r="T51" s="32" t="n">
        <x:f>IF(O51="","",(1/'Metadata'!$B$5)^(O51-1))</x:f>
        <x:v>1819.7008586099826</x:v>
      </x:c>
      <x:c r="U51" s="31" t="n">
        <x:f>IF(T51="","",I51*T51)</x:f>
        <x:v>513.9602616222777</x:v>
      </x:c>
    </x:row>
    <x:row r="52" ht="18" customHeight="1">
      <x:c r="A52" s="24" t="str">
        <x:v>EEZ_662</x:v>
      </x:c>
      <x:c r="B52" s="24" t="str">
        <x:v>Saint Lucia</x:v>
      </x:c>
      <x:c r="C52" s="24" t="str">
        <x:v>EEZ</x:v>
      </x:c>
      <x:c r="D52" s="30" t="n">
        <x:v>2019</x:v>
      </x:c>
      <x:c r="E52" s="24" t="str">
        <x:v>Gerres cinereus</x:v>
      </x:c>
      <x:c r="F52" s="24" t="str">
        <x:v>Yellow fin mojarra</x:v>
      </x:c>
      <x:c r="G52" s="24" t="str">
        <x:v>Small reef assoc. fish (&lt;30 cm)</x:v>
      </x:c>
      <x:c r="H52" s="24" t="str">
        <x:v>Perch-likes</x:v>
      </x:c>
      <x:c r="I52" s="31" t="n">
        <x:v>0.2747415363</x:v>
      </x:c>
      <x:c r="J52" s="31" t="n">
        <x:v>0.2747415363</x:v>
      </x:c>
      <x:c r="K52" s="31" t="n">
        <x:v>0</x:v>
      </x:c>
      <x:c r="L52" s="31" t="n">
        <x:v>0.2747415363</x:v>
      </x:c>
      <x:c r="M52" s="31" t="n">
        <x:v>0</x:v>
      </x:c>
      <x:c r="N52" s="24" t="str">
        <x:v>gerres cinereus</x:v>
      </x:c>
      <x:c r="O52" s="32" t="n">
        <x:v>3.47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Gerres cinereus</x:v>
      </x:c>
      <x:c r="T52" s="32" t="n">
        <x:f>IF(O52="","",(1/'Metadata'!$B$5)^(O52-1))</x:f>
        <x:v>295.1209226666387</x:v>
      </x:c>
      <x:c r="U52" s="31" t="n">
        <x:f>IF(T52="","",I52*T52)</x:f>
        <x:v>81.0819756877058</x:v>
      </x:c>
    </x:row>
    <x:row r="53" ht="18" customHeight="1">
      <x:c r="A53" s="24" t="str">
        <x:v>EEZ_662</x:v>
      </x:c>
      <x:c r="B53" s="24" t="str">
        <x:v>Saint Lucia</x:v>
      </x:c>
      <x:c r="C53" s="24" t="str">
        <x:v>EEZ</x:v>
      </x:c>
      <x:c r="D53" s="30" t="n">
        <x:v>2019</x:v>
      </x:c>
      <x:c r="E53" s="24" t="str">
        <x:v>Haemulidae</x:v>
      </x:c>
      <x:c r="F53" s="24" t="str">
        <x:v>Grunts, sweetlips, bonnetmouths</x:v>
      </x:c>
      <x:c r="G53" s="24" t="str">
        <x:v>Medium demersals (30 - 89 cm)</x:v>
      </x:c>
      <x:c r="H53" s="24" t="str">
        <x:v>Perch-likes</x:v>
      </x:c>
      <x:c r="I53" s="31" t="n">
        <x:v>0.2101080411</x:v>
      </x:c>
      <x:c r="J53" s="31" t="n">
        <x:v>0.2101080411</x:v>
      </x:c>
      <x:c r="K53" s="31" t="n">
        <x:v>0</x:v>
      </x:c>
      <x:c r="L53" s="31" t="n">
        <x:v>0</x:v>
      </x:c>
      <x:c r="M53" s="31" t="n">
        <x:v>0.2101080411</x:v>
      </x:c>
      <x:c r="N53" s="24" t="str">
        <x:v>haemulidae</x:v>
      </x:c>
      <x:c r="O53" s="32" t="n">
        <x:v>3.36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Haemulidae</x:v>
      </x:c>
      <x:c r="T53" s="32" t="n">
        <x:f>IF(O53="","",(1/'Metadata'!$B$5)^(O53-1))</x:f>
        <x:v>229.08676527677724</x:v>
      </x:c>
      <x:c r="U53" s="31" t="n">
        <x:f>IF(T53="","",I53*T53)</x:f>
        <x:v>48.132971494239165</x:v>
      </x:c>
    </x:row>
    <x:row r="54" ht="18" customHeight="1">
      <x:c r="A54" s="24" t="str">
        <x:v>EEZ_662</x:v>
      </x:c>
      <x:c r="B54" s="24" t="str">
        <x:v>Saint Lucia</x:v>
      </x:c>
      <x:c r="C54" s="24" t="str">
        <x:v>EEZ</x:v>
      </x:c>
      <x:c r="D54" s="30" t="n">
        <x:v>2019</x:v>
      </x:c>
      <x:c r="E54" s="24" t="str">
        <x:v>Isurus oxyrinchus</x:v>
      </x:c>
      <x:c r="F54" s="24" t="str">
        <x:v>Shortfin mako</x:v>
      </x:c>
      <x:c r="G54" s="24" t="str">
        <x:v>Large sharks (&gt;=90 cm)</x:v>
      </x:c>
      <x:c r="H54" s="24" t="str">
        <x:v>Sharks &amp; rays</x:v>
      </x:c>
      <x:c r="I54" s="31" t="n">
        <x:v>0.2045537832</x:v>
      </x:c>
      <x:c r="J54" s="31" t="n">
        <x:v>0.2045537832</x:v>
      </x:c>
      <x:c r="K54" s="31" t="n">
        <x:v>0</x:v>
      </x:c>
      <x:c r="L54" s="31" t="n">
        <x:v>0.2045537832</x:v>
      </x:c>
      <x:c r="M54" s="31" t="n">
        <x:v>0</x:v>
      </x:c>
      <x:c r="N54" s="24" t="str">
        <x:v>isurus oxyrinchus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Isurus oxyrinchus</x:v>
      </x:c>
      <x:c r="T54" s="32" t="n">
        <x:f>IF(O54="","",(1/'Metadata'!$B$5)^(O54-1))</x:f>
        <x:v>3162.2776601683795</x:v>
      </x:c>
      <x:c r="U54" s="31" t="n">
        <x:f>IF(T54="","",I54*T54)</x:f>
        <x:v>646.855858916286</x:v>
      </x:c>
    </x:row>
    <x:row r="55" ht="18" customHeight="1">
      <x:c r="A55" s="24" t="str">
        <x:v>EEZ_662</x:v>
      </x:c>
      <x:c r="B55" s="24" t="str">
        <x:v>Saint Lucia</x:v>
      </x:c>
      <x:c r="C55" s="24" t="str">
        <x:v>EEZ</x:v>
      </x:c>
      <x:c r="D55" s="30" t="n">
        <x:v>2019</x:v>
      </x:c>
      <x:c r="E55" s="24" t="str">
        <x:v>Kajikia albida</x:v>
      </x:c>
      <x:c r="F55" s="24" t="str">
        <x:v>Atlantic white marlin</x:v>
      </x:c>
      <x:c r="G55" s="24" t="str">
        <x:v>Large pelagics (&gt;=90 cm)</x:v>
      </x:c>
      <x:c r="H55" s="24" t="str">
        <x:v>Tuna &amp; billfishes</x:v>
      </x:c>
      <x:c r="I55" s="31" t="n">
        <x:v>0.1950802982</x:v>
      </x:c>
      <x:c r="J55" s="31" t="n">
        <x:v>0.1950802982</x:v>
      </x:c>
      <x:c r="K55" s="31" t="n">
        <x:v>0</x:v>
      </x:c>
      <x:c r="L55" s="31" t="n">
        <x:v>0.1950802982</x:v>
      </x:c>
      <x:c r="M55" s="31" t="n">
        <x:v>0</x:v>
      </x:c>
      <x:c r="N55" s="24" t="str">
        <x:v>kajikia albida</x:v>
      </x:c>
      <x:c r="O55" s="32" t="n">
        <x:v>4.49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Kajikia albida</x:v>
      </x:c>
      <x:c r="T55" s="32" t="n">
        <x:f>IF(O55="","",(1/'Metadata'!$B$5)^(O55-1))</x:f>
        <x:v>3090.295432513592</x:v>
      </x:c>
      <x:c r="U55" s="31" t="n">
        <x:f>IF(T55="","",I55*T55)</x:f>
        <x:v>602.8557545008495</x:v>
      </x:c>
    </x:row>
    <x:row r="56" ht="18" customHeight="1">
      <x:c r="A56" s="24" t="str">
        <x:v>EEZ_662</x:v>
      </x:c>
      <x:c r="B56" s="24" t="str">
        <x:v>Saint Lucia</x:v>
      </x:c>
      <x:c r="C56" s="24" t="str">
        <x:v>EEZ</x:v>
      </x:c>
      <x:c r="D56" s="30" t="n">
        <x:v>2019</x:v>
      </x:c>
      <x:c r="E56" s="24" t="str">
        <x:v>Callinectes</x:v>
      </x:c>
      <x:c r="F56" s="24" t="str">
        <x:v>Beautiful swimming crabs</x:v>
      </x:c>
      <x:c r="G56" s="24" t="str">
        <x:v>Lobsters, crabs</x:v>
      </x:c>
      <x:c r="H56" s="24" t="str">
        <x:v>Crustaceans</x:v>
      </x:c>
      <x:c r="I56" s="31" t="n">
        <x:v>0.1700445163</x:v>
      </x:c>
      <x:c r="J56" s="31" t="n">
        <x:v>0.1700445163</x:v>
      </x:c>
      <x:c r="K56" s="31" t="n">
        <x:v>0</x:v>
      </x:c>
      <x:c r="L56" s="31" t="n">
        <x:v>0.1700445163</x:v>
      </x:c>
      <x:c r="M56" s="31" t="n">
        <x:v>0</x:v>
      </x:c>
      <x:c r="N56" s="24" t="str">
        <x:v>callinectes</x:v>
      </x:c>
      <x:c r="O56" s="32" t="n">
        <x:v>3.63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Callinectes</x:v>
      </x:c>
      <x:c r="T56" s="32" t="n">
        <x:f>IF(O56="","",(1/'Metadata'!$B$5)^(O56-1))</x:f>
        <x:v>426.57951880159254</x:v>
      </x:c>
      <x:c r="U56" s="31" t="n">
        <x:f>IF(T56="","",I56*T56)</x:f>
        <x:v>72.53750793810356</x:v>
      </x:c>
    </x:row>
    <x:row r="57" ht="18" customHeight="1">
      <x:c r="A57" s="24" t="str">
        <x:v>EEZ_662</x:v>
      </x:c>
      <x:c r="B57" s="24" t="str">
        <x:v>Saint Lucia</x:v>
      </x:c>
      <x:c r="C57" s="24" t="str">
        <x:v>EEZ</x:v>
      </x:c>
      <x:c r="D57" s="30" t="n">
        <x:v>2019</x:v>
      </x:c>
      <x:c r="E57" s="24" t="str">
        <x:v>Scomberomorus</x:v>
      </x:c>
      <x:c r="F57" s="24" t="str">
        <x:v>Spanish mackerels</x:v>
      </x:c>
      <x:c r="G57" s="24" t="str">
        <x:v>Large pelagics (&gt;=90 cm)</x:v>
      </x:c>
      <x:c r="H57" s="24" t="str">
        <x:v>Perch-likes</x:v>
      </x:c>
      <x:c r="I57" s="31" t="n">
        <x:v>0.17</x:v>
      </x:c>
      <x:c r="J57" s="31" t="n">
        <x:v>0.17</x:v>
      </x:c>
      <x:c r="K57" s="31" t="n">
        <x:v>0</x:v>
      </x:c>
      <x:c r="L57" s="31" t="n">
        <x:v>0.17</x:v>
      </x:c>
      <x:c r="M57" s="31" t="n">
        <x:v>0</x:v>
      </x:c>
      <x:c r="N57" s="24" t="str">
        <x:v>scomberomorus</x:v>
      </x:c>
      <x:c r="O57" s="32" t="n">
        <x:v>4.35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Scomberomorus</x:v>
      </x:c>
      <x:c r="T57" s="32" t="n">
        <x:f>IF(O57="","",(1/'Metadata'!$B$5)^(O57-1))</x:f>
        <x:v>2238.7211385683377</x:v>
      </x:c>
      <x:c r="U57" s="31" t="n">
        <x:f>IF(T57="","",I57*T57)</x:f>
        <x:v>380.58259355661744</x:v>
      </x:c>
    </x:row>
    <x:row r="58" ht="18" customHeight="1">
      <x:c r="A58" s="24" t="str">
        <x:v>EEZ_662</x:v>
      </x:c>
      <x:c r="B58" s="24" t="str">
        <x:v>Saint Lucia</x:v>
      </x:c>
      <x:c r="C58" s="24" t="str">
        <x:v>EEZ</x:v>
      </x:c>
      <x:c r="D58" s="30" t="n">
        <x:v>2019</x:v>
      </x:c>
      <x:c r="E58" s="24" t="str">
        <x:v>Istiophoridae</x:v>
      </x:c>
      <x:c r="F58" s="24" t="str">
        <x:v>Billfishes</x:v>
      </x:c>
      <x:c r="G58" s="24" t="str">
        <x:v>Large pelagics (&gt;=90 cm)</x:v>
      </x:c>
      <x:c r="H58" s="24" t="str">
        <x:v>Tuna &amp; billfishes</x:v>
      </x:c>
      <x:c r="I58" s="31" t="n">
        <x:v>0.16104021030000001</x:v>
      </x:c>
      <x:c r="J58" s="31" t="n">
        <x:v>0.16104021030000001</x:v>
      </x:c>
      <x:c r="K58" s="31" t="n">
        <x:v>0</x:v>
      </x:c>
      <x:c r="L58" s="31" t="n">
        <x:v>0.0209680939</x:v>
      </x:c>
      <x:c r="M58" s="31" t="n">
        <x:v>0.1400721164</x:v>
      </x:c>
      <x:c r="N58" s="24" t="str">
        <x:v>istiophoridae</x:v>
      </x:c>
      <x:c r="O58" s="32" t="n">
        <x:v>4.48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Istiophoridae</x:v>
      </x:c>
      <x:c r="T58" s="32" t="n">
        <x:f>IF(O58="","",(1/'Metadata'!$B$5)^(O58-1))</x:f>
        <x:v>3019.951720402019</x:v>
      </x:c>
      <x:c r="U58" s="31" t="n">
        <x:f>IF(T58="","",I58*T58)</x:f>
        <x:v>486.333660149388</x:v>
      </x:c>
    </x:row>
    <x:row r="59" ht="18" customHeight="1">
      <x:c r="A59" s="24" t="str">
        <x:v>EEZ_662</x:v>
      </x:c>
      <x:c r="B59" s="24" t="str">
        <x:v>Saint Lucia</x:v>
      </x:c>
      <x:c r="C59" s="24" t="str">
        <x:v>EEZ</x:v>
      </x:c>
      <x:c r="D59" s="30" t="n">
        <x:v>2019</x:v>
      </x:c>
      <x:c r="E59" s="24" t="str">
        <x:v>Palinuridae</x:v>
      </x:c>
      <x:c r="F59" s="24" t="str">
        <x:v>Spiny lobsters</x:v>
      </x:c>
      <x:c r="G59" s="24" t="str">
        <x:v>Lobsters, crabs</x:v>
      </x:c>
      <x:c r="H59" s="24" t="str">
        <x:v>Crustaceans</x:v>
      </x:c>
      <x:c r="I59" s="31" t="n">
        <x:v>0.1400721164</x:v>
      </x:c>
      <x:c r="J59" s="31" t="n">
        <x:v>0.1400721164</x:v>
      </x:c>
      <x:c r="K59" s="31" t="n">
        <x:v>0</x:v>
      </x:c>
      <x:c r="L59" s="31" t="n">
        <x:v>0</x:v>
      </x:c>
      <x:c r="M59" s="31" t="n">
        <x:v>0.1400721164</x:v>
      </x:c>
      <x:c r="N59" s="24" t="str">
        <x:v>palinuridae</x:v>
      </x:c>
      <x:c r="O59" s="32" t="n">
        <x:v>3.14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Palinuridae</x:v>
      </x:c>
      <x:c r="T59" s="32" t="n">
        <x:f>IF(O59="","",(1/'Metadata'!$B$5)^(O59-1))</x:f>
        <x:v>138.03842646028852</x:v>
      </x:c>
      <x:c r="U59" s="31" t="n">
        <x:f>IF(T59="","",I59*T59)</x:f>
        <x:v>19.335334538818373</x:v>
      </x:c>
    </x:row>
    <x:row r="60" ht="18" customHeight="1">
      <x:c r="A60" s="24" t="str">
        <x:v>EEZ_662</x:v>
      </x:c>
      <x:c r="B60" s="24" t="str">
        <x:v>Saint Lucia</x:v>
      </x:c>
      <x:c r="C60" s="24" t="str">
        <x:v>EEZ</x:v>
      </x:c>
      <x:c r="D60" s="30" t="n">
        <x:v>2019</x:v>
      </x:c>
      <x:c r="E60" s="24" t="str">
        <x:v>Thunnus atlanticus</x:v>
      </x:c>
      <x:c r="F60" s="24" t="str">
        <x:v>Blackfin tuna</x:v>
      </x:c>
      <x:c r="G60" s="24" t="str">
        <x:v>Large pelagics (&gt;=90 cm)</x:v>
      </x:c>
      <x:c r="H60" s="24" t="str">
        <x:v>Tuna &amp; billfishes</x:v>
      </x:c>
      <x:c r="I60" s="31" t="n">
        <x:v>0.1212741944</x:v>
      </x:c>
      <x:c r="J60" s="31" t="n">
        <x:v>0.1212741944</x:v>
      </x:c>
      <x:c r="K60" s="31" t="n">
        <x:v>0</x:v>
      </x:c>
      <x:c r="L60" s="31" t="n">
        <x:v>0.1212741944</x:v>
      </x:c>
      <x:c r="M60" s="31" t="n">
        <x:v>0</x:v>
      </x:c>
      <x:c r="N60" s="24" t="str">
        <x:v>thunnus atlanticus</x:v>
      </x:c>
      <x:c r="O60" s="32" t="n">
        <x:v>4.35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atlanticus</x:v>
      </x:c>
      <x:c r="T60" s="32" t="n">
        <x:f>IF(O60="","",(1/'Metadata'!$B$5)^(O60-1))</x:f>
        <x:v>2238.7211385683377</x:v>
      </x:c>
      <x:c r="U60" s="31" t="n">
        <x:f>IF(T60="","",I60*T60)</x:f>
        <x:v>271.4991025661259</x:v>
      </x:c>
    </x:row>
    <x:row r="61" ht="18" customHeight="1">
      <x:c r="A61" s="24" t="str">
        <x:v>EEZ_662</x:v>
      </x:c>
      <x:c r="B61" s="24" t="str">
        <x:v>Saint Lucia</x:v>
      </x:c>
      <x:c r="C61" s="24" t="str">
        <x:v>EEZ</x:v>
      </x:c>
      <x:c r="D61" s="30" t="n">
        <x:v>2019</x:v>
      </x:c>
      <x:c r="E61" s="24" t="str">
        <x:v>Thunnus</x:v>
      </x:c>
      <x:c r="F61" s="24" t="str">
        <x:v>Tunas</x:v>
      </x:c>
      <x:c r="G61" s="24" t="str">
        <x:v>Large pelagics (&gt;=90 cm)</x:v>
      </x:c>
      <x:c r="H61" s="24" t="str">
        <x:v>Tuna &amp; billfishes</x:v>
      </x:c>
      <x:c r="I61" s="31" t="n">
        <x:v>0.1051100329</x:v>
      </x:c>
      <x:c r="J61" s="31" t="n">
        <x:v>0.1051100329</x:v>
      </x:c>
      <x:c r="K61" s="31" t="n">
        <x:v>0</x:v>
      </x:c>
      <x:c r="L61" s="31" t="n">
        <x:v>0.0000558921</x:v>
      </x:c>
      <x:c r="M61" s="31" t="n">
        <x:v>0.1050541408</x:v>
      </x:c>
      <x:c r="N61" s="24" t="str">
        <x:v>thunnus</x:v>
      </x:c>
      <x:c r="O61" s="32" t="n">
        <x:v>4.34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Thunnus</x:v>
      </x:c>
      <x:c r="T61" s="32" t="n">
        <x:f>IF(O61="","",(1/'Metadata'!$B$5)^(O61-1))</x:f>
        <x:v>2187.761623949552</x:v>
      </x:c>
      <x:c r="U61" s="31" t="n">
        <x:f>IF(T61="","",I61*T61)</x:f>
        <x:v>229.95569627069483</x:v>
      </x:c>
    </x:row>
    <x:row r="62" ht="18" customHeight="1">
      <x:c r="A62" s="24" t="str">
        <x:v>EEZ_662</x:v>
      </x:c>
      <x:c r="B62" s="24" t="str">
        <x:v>Saint Lucia</x:v>
      </x:c>
      <x:c r="C62" s="24" t="str">
        <x:v>EEZ</x:v>
      </x:c>
      <x:c r="D62" s="30" t="n">
        <x:v>2019</x:v>
      </x:c>
      <x:c r="E62" s="24" t="str">
        <x:v>Auxis</x:v>
      </x:c>
      <x:c r="F62" s="24" t="str">
        <x:v>Bullet and frigate tunas</x:v>
      </x:c>
      <x:c r="G62" s="24" t="str">
        <x:v>Medium pelagics (30 - 89 cm)</x:v>
      </x:c>
      <x:c r="H62" s="24" t="str">
        <x:v>Tuna &amp; billfishes</x:v>
      </x:c>
      <x:c r="I62" s="31" t="n">
        <x:v>0.1050540699</x:v>
      </x:c>
      <x:c r="J62" s="31" t="n">
        <x:v>0.1050540699</x:v>
      </x:c>
      <x:c r="K62" s="31" t="n">
        <x:v>0</x:v>
      </x:c>
      <x:c r="L62" s="31" t="n">
        <x:v>0</x:v>
      </x:c>
      <x:c r="M62" s="31" t="n">
        <x:v>0.1050540699</x:v>
      </x:c>
      <x:c r="N62" s="24" t="str">
        <x:v>auxis</x:v>
      </x:c>
      <x:c r="O62" s="32" t="n">
        <x:v>4.24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Auxis</x:v>
      </x:c>
      <x:c r="T62" s="32" t="n">
        <x:f>IF(O62="","",(1/'Metadata'!$B$5)^(O62-1))</x:f>
        <x:v>1737.8008287493763</x:v>
      </x:c>
      <x:c r="U62" s="31" t="n">
        <x:f>IF(T62="","",I62*T62)</x:f>
        <x:v>182.5630497357149</x:v>
      </x:c>
    </x:row>
    <x:row r="63" ht="18" customHeight="1">
      <x:c r="A63" s="24" t="str">
        <x:v>EEZ_662</x:v>
      </x:c>
      <x:c r="B63" s="24" t="str">
        <x:v>Saint Lucia</x:v>
      </x:c>
      <x:c r="C63" s="24" t="str">
        <x:v>EEZ</x:v>
      </x:c>
      <x:c r="D63" s="30" t="n">
        <x:v>2019</x:v>
      </x:c>
      <x:c r="E63" s="24" t="str">
        <x:v>Sphyraena barracuda</x:v>
      </x:c>
      <x:c r="F63" s="24" t="str">
        <x:v>Great barracuda</x:v>
      </x:c>
      <x:c r="G63" s="24" t="str">
        <x:v>Large pelagics (&gt;=90 cm)</x:v>
      </x:c>
      <x:c r="H63" s="24" t="str">
        <x:v>Perch-likes</x:v>
      </x:c>
      <x:c r="I63" s="31" t="n">
        <x:v>0.0881430282</x:v>
      </x:c>
      <x:c r="J63" s="31" t="n">
        <x:v>0.0881430282</x:v>
      </x:c>
      <x:c r="K63" s="31" t="n">
        <x:v>0</x:v>
      </x:c>
      <x:c r="L63" s="31" t="n">
        <x:v>0.0881430282</x:v>
      </x:c>
      <x:c r="M63" s="31" t="n">
        <x:v>0</x:v>
      </x:c>
      <x:c r="N63" s="24" t="str">
        <x:v>sphyraena barracuda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Sphyraena barracuda</x:v>
      </x:c>
      <x:c r="T63" s="32" t="n">
        <x:f>IF(O63="","",(1/'Metadata'!$B$5)^(O63-1))</x:f>
        <x:v>3090.295432513592</x:v>
      </x:c>
      <x:c r="U63" s="31" t="n">
        <x:f>IF(T63="","",I63*T63)</x:f>
        <x:v>272.3879974543767</x:v>
      </x:c>
    </x:row>
    <x:row r="64" ht="18" customHeight="1">
      <x:c r="A64" s="24" t="str">
        <x:v>EEZ_662</x:v>
      </x:c>
      <x:c r="B64" s="24" t="str">
        <x:v>Saint Lucia</x:v>
      </x:c>
      <x:c r="C64" s="24" t="str">
        <x:v>EEZ</x:v>
      </x:c>
      <x:c r="D64" s="30" t="n">
        <x:v>2019</x:v>
      </x:c>
      <x:c r="E64" s="24" t="str">
        <x:v>Brotula barbata</x:v>
      </x:c>
      <x:c r="F64" s="24" t="str">
        <x:v>Bearded brotula</x:v>
      </x:c>
      <x:c r="G64" s="24" t="str">
        <x:v>Medium benthopelagics (30 - 89 cm)</x:v>
      </x:c>
      <x:c r="H64" s="24" t="str">
        <x:v>Other fishes &amp; inverts</x:v>
      </x:c>
      <x:c r="I64" s="31" t="n">
        <x:v>0.086801745</x:v>
      </x:c>
      <x:c r="J64" s="31" t="n">
        <x:v>0.086801745</x:v>
      </x:c>
      <x:c r="K64" s="31" t="n">
        <x:v>0</x:v>
      </x:c>
      <x:c r="L64" s="31" t="n">
        <x:v>0.086801745</x:v>
      </x:c>
      <x:c r="M64" s="31" t="n">
        <x:v>0</x:v>
      </x:c>
      <x:c r="N64" s="24" t="str">
        <x:v>brotula barbata</x:v>
      </x:c>
      <x:c r="O64" s="32" t="n">
        <x:v>3.8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Brotula barbata</x:v>
      </x:c>
      <x:c r="T64" s="32" t="n">
        <x:f>IF(O64="","",(1/'Metadata'!$B$5)^(O64-1))</x:f>
        <x:v>630.957344480193</x:v>
      </x:c>
      <x:c r="U64" s="31" t="n">
        <x:f>IF(T64="","",I64*T64)</x:f>
        <x:v>54.76819852144687</x:v>
      </x:c>
    </x:row>
    <x:row r="65" ht="18" customHeight="1">
      <x:c r="A65" s="24" t="str">
        <x:v>EEZ_662</x:v>
      </x:c>
      <x:c r="B65" s="24" t="str">
        <x:v>Saint Lucia</x:v>
      </x:c>
      <x:c r="C65" s="24" t="str">
        <x:v>EEZ</x:v>
      </x:c>
      <x:c r="D65" s="30" t="n">
        <x:v>2019</x:v>
      </x:c>
      <x:c r="E65" s="24" t="str">
        <x:v>Isurus paucus</x:v>
      </x:c>
      <x:c r="F65" s="24" t="str">
        <x:v>Longfin mako</x:v>
      </x:c>
      <x:c r="G65" s="24" t="str">
        <x:v>Large sharks (&gt;=90 cm)</x:v>
      </x:c>
      <x:c r="H65" s="24" t="str">
        <x:v>Sharks &amp; rays</x:v>
      </x:c>
      <x:c r="I65" s="31" t="n">
        <x:v>0.0724134876</x:v>
      </x:c>
      <x:c r="J65" s="31" t="n">
        <x:v>0.0724134876</x:v>
      </x:c>
      <x:c r="K65" s="31" t="n">
        <x:v>0</x:v>
      </x:c>
      <x:c r="L65" s="31" t="n">
        <x:v>0.0724134876</x:v>
      </x:c>
      <x:c r="M65" s="31" t="n">
        <x:v>0</x:v>
      </x:c>
      <x:c r="N65" s="24" t="str">
        <x:v>isurus paucus</x:v>
      </x:c>
      <x:c r="O65" s="32" t="n">
        <x:v>4.51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Isurus paucus</x:v>
      </x:c>
      <x:c r="T65" s="32" t="n">
        <x:f>IF(O65="","",(1/'Metadata'!$B$5)^(O65-1))</x:f>
        <x:v>3235.936569296281</x:v>
      </x:c>
      <x:c r="U65" s="31" t="n">
        <x:f>IF(T65="","",I65*T65)</x:f>
        <x:v>234.32545263512282</x:v>
      </x:c>
    </x:row>
    <x:row r="66" ht="18" customHeight="1">
      <x:c r="A66" s="24" t="str">
        <x:v>EEZ_662</x:v>
      </x:c>
      <x:c r="B66" s="24" t="str">
        <x:v>Saint Lucia</x:v>
      </x:c>
      <x:c r="C66" s="24" t="str">
        <x:v>EEZ</x:v>
      </x:c>
      <x:c r="D66" s="30" t="n">
        <x:v>2019</x:v>
      </x:c>
      <x:c r="E66" s="24" t="str">
        <x:v>Megalops atlanticus</x:v>
      </x:c>
      <x:c r="F66" s="24" t="str">
        <x:v>Tarpon</x:v>
      </x:c>
      <x:c r="G66" s="24" t="str">
        <x:v>Large pelagics (&gt;=90 cm)</x:v>
      </x:c>
      <x:c r="H66" s="24" t="str">
        <x:v>Other fishes &amp; inverts</x:v>
      </x:c>
      <x:c r="I66" s="31" t="n">
        <x:v>0.0610906816</x:v>
      </x:c>
      <x:c r="J66" s="31" t="n">
        <x:v>0.0610906816</x:v>
      </x:c>
      <x:c r="K66" s="31" t="n">
        <x:v>0</x:v>
      </x:c>
      <x:c r="L66" s="31" t="n">
        <x:v>0.0610906816</x:v>
      </x:c>
      <x:c r="M66" s="31" t="n">
        <x:v>0</x:v>
      </x:c>
      <x:c r="N66" s="24" t="str">
        <x:v>megalops atlanticus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Megalops atlanticus</x:v>
      </x:c>
      <x:c r="T66" s="32" t="n">
        <x:f>IF(O66="","",(1/'Metadata'!$B$5)^(O66-1))</x:f>
        <x:v>3162.2776601683795</x:v>
      </x:c>
      <x:c r="U66" s="31" t="n">
        <x:f>IF(T66="","",I66*T66)</x:f>
        <x:v>193.18569766813948</x:v>
      </x:c>
    </x:row>
    <x:row r="67" ht="18" customHeight="1">
      <x:c r="A67" s="24" t="str">
        <x:v>EEZ_662</x:v>
      </x:c>
      <x:c r="B67" s="24" t="str">
        <x:v>Saint Lucia</x:v>
      </x:c>
      <x:c r="C67" s="24" t="str">
        <x:v>EEZ</x:v>
      </x:c>
      <x:c r="D67" s="30" t="n">
        <x:v>2019</x:v>
      </x:c>
      <x:c r="E67" s="24" t="str">
        <x:v>Mugilidae</x:v>
      </x:c>
      <x:c r="F67" s="24" t="str">
        <x:v>Mullets, grey mullets</x:v>
      </x:c>
      <x:c r="G67" s="24" t="str">
        <x:v>Medium reef assoc. fish (30 - 89 cm)</x:v>
      </x:c>
      <x:c r="H67" s="24" t="str">
        <x:v>Perch-likes</x:v>
      </x:c>
      <x:c r="I67" s="31" t="n">
        <x:v>0.0291041371</x:v>
      </x:c>
      <x:c r="J67" s="31" t="n">
        <x:v>0.0291041371</x:v>
      </x:c>
      <x:c r="K67" s="31" t="n">
        <x:v>0</x:v>
      </x:c>
      <x:c r="L67" s="31" t="n">
        <x:v>0.0291041371</x:v>
      </x:c>
      <x:c r="M67" s="31" t="n">
        <x:v>0</x:v>
      </x:c>
      <x:c r="N67" s="24" t="str">
        <x:v>mugilidae</x:v>
      </x:c>
      <x:c r="O67" s="32" t="n">
        <x:v>2.53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Mugilidae</x:v>
      </x:c>
      <x:c r="T67" s="32" t="n">
        <x:f>IF(O67="","",(1/'Metadata'!$B$5)^(O67-1))</x:f>
        <x:v>33.88441561392024</x:v>
      </x:c>
      <x:c r="U67" s="31" t="n">
        <x:f>IF(T67="","",I67*T67)</x:f>
        <x:v>0.9861766775809153</x:v>
      </x:c>
    </x:row>
    <x:row r="68" ht="18" customHeight="1">
      <x:c r="A68" s="24" t="str">
        <x:v>EEZ_662</x:v>
      </x:c>
      <x:c r="B68" s="24" t="str">
        <x:v>Saint Lucia</x:v>
      </x:c>
      <x:c r="C68" s="24" t="str">
        <x:v>EEZ</x:v>
      </x:c>
      <x:c r="D68" s="30" t="n">
        <x:v>2019</x:v>
      </x:c>
      <x:c r="E68" s="24" t="str">
        <x:v>Tetrapturus pfluegeri</x:v>
      </x:c>
      <x:c r="F68" s="24" t="str">
        <x:v>Longbill spearfish</x:v>
      </x:c>
      <x:c r="G68" s="24" t="str">
        <x:v>Large pelagics (&gt;=90 cm)</x:v>
      </x:c>
      <x:c r="H68" s="24" t="str">
        <x:v>Tuna &amp; billfishes</x:v>
      </x:c>
      <x:c r="I68" s="31" t="n">
        <x:v>0.0258386607</x:v>
      </x:c>
      <x:c r="J68" s="31" t="n">
        <x:v>0.0258386607</x:v>
      </x:c>
      <x:c r="K68" s="31" t="n">
        <x:v>0</x:v>
      </x:c>
      <x:c r="L68" s="31" t="n">
        <x:v>0.0258386607</x:v>
      </x:c>
      <x:c r="M68" s="31" t="n">
        <x:v>0</x:v>
      </x:c>
      <x:c r="N68" s="24" t="str">
        <x:v>tetrapturus pfluegeri</x:v>
      </x:c>
      <x:c r="O68" s="32" t="n">
        <x:v>4.4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Tetrapturus pfluegeri</x:v>
      </x:c>
      <x:c r="T68" s="32" t="n">
        <x:f>IF(O68="","",(1/'Metadata'!$B$5)^(O68-1))</x:f>
        <x:v>2511.886431509582</x:v>
      </x:c>
      <x:c r="U68" s="31" t="n">
        <x:f>IF(T68="","",I68*T68)</x:f>
        <x:v>64.90378122070987</x:v>
      </x:c>
    </x:row>
    <x:row r="69" ht="18" customHeight="1">
      <x:c r="A69" s="24" t="str">
        <x:v>EEZ_662</x:v>
      </x:c>
      <x:c r="B69" s="24" t="str">
        <x:v>Saint Lucia</x:v>
      </x:c>
      <x:c r="C69" s="24" t="str">
        <x:v>EEZ</x:v>
      </x:c>
      <x:c r="D69" s="30" t="n">
        <x:v>2019</x:v>
      </x:c>
      <x:c r="E69" s="24" t="str">
        <x:v>Mobula birostris</x:v>
      </x:c>
      <x:c r="F69" s="24" t="str">
        <x:v>Giant manta</x:v>
      </x:c>
      <x:c r="G69" s="24" t="str">
        <x:v>Large rays (&gt;=90 cm)</x:v>
      </x:c>
      <x:c r="H69" s="24" t="str">
        <x:v>Sharks &amp; rays</x:v>
      </x:c>
      <x:c r="I69" s="31" t="n">
        <x:v>0.024318037</x:v>
      </x:c>
      <x:c r="J69" s="31" t="n">
        <x:v>0.024318037</x:v>
      </x:c>
      <x:c r="K69" s="31" t="n">
        <x:v>0</x:v>
      </x:c>
      <x:c r="L69" s="31" t="n">
        <x:v>0.024318037</x:v>
      </x:c>
      <x:c r="M69" s="31" t="n">
        <x:v>0</x:v>
      </x:c>
      <x:c r="N69" s="24" t="str">
        <x:v>mobula birostris</x:v>
      </x:c>
      <x:c r="O69" s="32" t="n">
        <x:v>3.46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Mobula birostris</x:v>
      </x:c>
      <x:c r="T69" s="32" t="n">
        <x:f>IF(O69="","",(1/'Metadata'!$B$5)^(O69-1))</x:f>
        <x:v>288.40315031266056</x:v>
      </x:c>
      <x:c r="U69" s="31" t="n">
        <x:f>IF(T69="","",I69*T69)</x:f>
        <x:v>7.013398480219841</x:v>
      </x:c>
    </x:row>
    <x:row r="70" ht="18" customHeight="1">
      <x:c r="A70" s="24" t="str">
        <x:v>EEZ_662</x:v>
      </x:c>
      <x:c r="B70" s="24" t="str">
        <x:v>Saint Lucia</x:v>
      </x:c>
      <x:c r="C70" s="24" t="str">
        <x:v>EEZ</x:v>
      </x:c>
      <x:c r="D70" s="30" t="n">
        <x:v>2019</x:v>
      </x:c>
      <x:c r="E70" s="24" t="str">
        <x:v>Elasmobranchii</x:v>
      </x:c>
      <x:c r="F70" s="24" t="str">
        <x:v>Sharks, rays, skates</x:v>
      </x:c>
      <x:c r="G70" s="24" t="str">
        <x:v>Large sharks (&gt;=90 cm)</x:v>
      </x:c>
      <x:c r="H70" s="24" t="str">
        <x:v>Sharks &amp; rays</x:v>
      </x:c>
      <x:c r="I70" s="31" t="n">
        <x:v>0.0222883388</x:v>
      </x:c>
      <x:c r="J70" s="31" t="n">
        <x:v>0.0222883388</x:v>
      </x:c>
      <x:c r="K70" s="31" t="n">
        <x:v>0</x:v>
      </x:c>
      <x:c r="L70" s="31" t="n">
        <x:v>0.0222883388</x:v>
      </x:c>
      <x:c r="M70" s="31" t="n">
        <x:v>0</x:v>
      </x:c>
      <x:c r="N70" s="24" t="str">
        <x:v>elasmobranchii</x:v>
      </x:c>
      <x:c r="O70" s="32" t="n">
        <x:v>4.05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Elasmobranchii</x:v>
      </x:c>
      <x:c r="T70" s="32" t="n">
        <x:f>IF(O70="","",(1/'Metadata'!$B$5)^(O70-1))</x:f>
        <x:v>1122.018454301963</x:v>
      </x:c>
      <x:c r="U70" s="31" t="n">
        <x:f>IF(T70="","",I70*T70)</x:f>
        <x:v>25.00792744933447</x:v>
      </x:c>
    </x:row>
    <x:row r="71" ht="18" customHeight="1">
      <x:c r="A71" s="24" t="str">
        <x:v>EEZ_662</x:v>
      </x:c>
      <x:c r="B71" s="24" t="str">
        <x:v>Saint Lucia</x:v>
      </x:c>
      <x:c r="C71" s="24" t="str">
        <x:v>EEZ</x:v>
      </x:c>
      <x:c r="D71" s="30" t="n">
        <x:v>2019</x:v>
      </x:c>
      <x:c r="E71" s="24" t="str">
        <x:v>Ruvettus pretiosus</x:v>
      </x:c>
      <x:c r="F71" s="24" t="str">
        <x:v>Oilfish</x:v>
      </x:c>
      <x:c r="G71" s="24" t="str">
        <x:v>Large benthopelagics (&gt;=90 cm)</x:v>
      </x:c>
      <x:c r="H71" s="24" t="str">
        <x:v>Perch-likes</x:v>
      </x:c>
      <x:c r="I71" s="31" t="n">
        <x:v>0.0161771726</x:v>
      </x:c>
      <x:c r="J71" s="31" t="n">
        <x:v>0.0161771726</x:v>
      </x:c>
      <x:c r="K71" s="31" t="n">
        <x:v>0</x:v>
      </x:c>
      <x:c r="L71" s="31" t="n">
        <x:v>0.0161771726</x:v>
      </x:c>
      <x:c r="M71" s="31" t="n">
        <x:v>0</x:v>
      </x:c>
      <x:c r="N71" s="24" t="str">
        <x:v>ruvettus pretiosus</x:v>
      </x:c>
      <x:c r="O71" s="32" t="n">
        <x:v>4.18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Ruvettus pretiosus</x:v>
      </x:c>
      <x:c r="T71" s="32" t="n">
        <x:f>IF(O71="","",(1/'Metadata'!$B$5)^(O71-1))</x:f>
        <x:v>1513.5612484362073</x:v>
      </x:c>
      <x:c r="U71" s="31" t="n">
        <x:f>IF(T71="","",I71*T71)</x:f>
        <x:v>24.485141556624008</x:v>
      </x:c>
    </x:row>
    <x:row r="72" ht="18" customHeight="1">
      <x:c r="A72" s="24" t="str">
        <x:v>EEZ_662</x:v>
      </x:c>
      <x:c r="B72" s="24" t="str">
        <x:v>Saint Lucia</x:v>
      </x:c>
      <x:c r="C72" s="24" t="str">
        <x:v>EEZ</x:v>
      </x:c>
      <x:c r="D72" s="30" t="n">
        <x:v>2019</x:v>
      </x:c>
      <x:c r="E72" s="24" t="str">
        <x:v>Marine pelagic fishes not identified</x:v>
      </x:c>
      <x:c r="F72" s="24" t="str">
        <x:v>Pelagic fishes</x:v>
      </x:c>
      <x:c r="G72" s="24" t="str">
        <x:v>Medium pelagics (30 - 89 cm)</x:v>
      </x:c>
      <x:c r="H72" s="24" t="str">
        <x:v>Other fishes &amp; inverts</x:v>
      </x:c>
      <x:c r="I72" s="31" t="n">
        <x:v>0.0090694814</x:v>
      </x:c>
      <x:c r="J72" s="31" t="n">
        <x:v>0.0090694814</x:v>
      </x:c>
      <x:c r="K72" s="31" t="n">
        <x:v>0</x:v>
      </x:c>
      <x:c r="L72" s="31" t="n">
        <x:v>0.0090694814</x:v>
      </x:c>
      <x:c r="M72" s="31" t="n">
        <x:v>0</x:v>
      </x:c>
      <x:c r="N72" s="24" t="str">
        <x:v>marine pelagic fishes not identified</x:v>
      </x:c>
      <x:c r="O72" s="32" t="n">
        <x:v>3.35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Marine pelagic fishes not identified</x:v>
      </x:c>
      <x:c r="T72" s="32" t="n">
        <x:f>IF(O72="","",(1/'Metadata'!$B$5)^(O72-1))</x:f>
        <x:v>223.872113856834</x:v>
      </x:c>
      <x:c r="U72" s="31" t="n">
        <x:f>IF(T72="","",I72*T72)</x:f>
        <x:v>2.030403972603238</x:v>
      </x:c>
    </x:row>
    <x:row r="73" ht="18" customHeight="1">
      <x:c r="A73" s="24" t="str">
        <x:v>EEZ_662</x:v>
      </x:c>
      <x:c r="B73" s="24" t="str">
        <x:v>Saint Lucia</x:v>
      </x:c>
      <x:c r="C73" s="24" t="str">
        <x:v>EEZ</x:v>
      </x:c>
      <x:c r="D73" s="30" t="n">
        <x:v>2019</x:v>
      </x:c>
      <x:c r="E73" s="24" t="str">
        <x:v>Caranx hippos</x:v>
      </x:c>
      <x:c r="F73" s="24" t="str">
        <x:v>Crevalle jack</x:v>
      </x:c>
      <x:c r="G73" s="24" t="str">
        <x:v>Large reef assoc. fish (&gt;=90 cm)</x:v>
      </x:c>
      <x:c r="H73" s="24" t="str">
        <x:v>Perch-likes</x:v>
      </x:c>
      <x:c r="I73" s="31" t="n">
        <x:v>0.0008664265</x:v>
      </x:c>
      <x:c r="J73" s="31" t="n">
        <x:v>0.0008664265</x:v>
      </x:c>
      <x:c r="K73" s="31" t="n">
        <x:v>0</x:v>
      </x:c>
      <x:c r="L73" s="31" t="n">
        <x:v>0.0008664265</x:v>
      </x:c>
      <x:c r="M73" s="31" t="n">
        <x:v>0</x:v>
      </x:c>
      <x:c r="N73" s="24" t="str">
        <x:v>caranx hippos</x:v>
      </x:c>
      <x:c r="O73" s="32" t="n">
        <x:v>3.56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Caranx hippos</x:v>
      </x:c>
      <x:c r="T73" s="32" t="n">
        <x:f>IF(O73="","",(1/'Metadata'!$B$5)^(O73-1))</x:f>
        <x:v>363.0780547701014</x:v>
      </x:c>
      <x:c r="U73" s="31" t="n">
        <x:f>IF(T73="","",I73*T73)</x:f>
        <x:v>0.31458044822126724</x:v>
      </x:c>
    </x:row>
  </x:sheetData>
  <x:conditionalFormatting sqref="R2:R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f183d80d70b481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13.640072116400002</x:v>
      </x:c>
      <x:c r="C2" s="32" t="n">
        <x:v>3.2047444628204858</x:v>
      </x:c>
      <x:c r="D2" s="32" t="n">
        <x:f>IF(C2="","",(1/'Metadata'!$B$5)^(C2-1))</x:f>
        <x:v>160.23023248297528</x:v>
      </x:c>
      <x:c r="E2" s="31" t="n">
        <x:f>IF(B2=0,"",B2*D2)</x:f>
        <x:v>2185.551926295321</x:v>
      </x:c>
    </x:row>
    <x:row r="3" ht="18" customHeight="1">
      <x:c r="A3" s="24" t="str">
        <x:v>Herring-likes</x:v>
      </x:c>
      <x:c r="B3" s="31" t="n">
        <x:v>33.7528045985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4878.764614088794</x:v>
      </x:c>
    </x:row>
    <x:row r="4" ht="18" customHeight="1">
      <x:c r="A4" s="24" t="str">
        <x:v>Molluscs</x:v>
      </x:c>
      <x:c r="B4" s="31" t="n">
        <x:v>365.22</x:v>
      </x:c>
      <x:c r="C4" s="32" t="n">
        <x:v>2.19</x:v>
      </x:c>
      <x:c r="D4" s="32" t="n">
        <x:f>IF(C4="","",(1/'Metadata'!$B$5)^(C4-1))</x:f>
        <x:v>15.488166189124811</x:v>
      </x:c>
      <x:c r="E4" s="31" t="n">
        <x:f>IF(B4=0,"",B4*D4)</x:f>
        <x:v>5656.588055592164</x:v>
      </x:c>
    </x:row>
    <x:row r="5" ht="18" customHeight="1">
      <x:c r="A5" s="24" t="str">
        <x:v>Other fishes &amp; inverts</x:v>
      </x:c>
      <x:c r="B5" s="31" t="n">
        <x:v>267.1580285893</x:v>
      </x:c>
      <x:c r="C5" s="32" t="n">
        <x:v>3.180070147856888</x:v>
      </x:c>
      <x:c r="D5" s="32" t="n">
        <x:f>IF(C5="","",(1/'Metadata'!$B$5)^(C5-1))</x:f>
        <x:v>151.38057407273723</x:v>
      </x:c>
      <x:c r="E5" s="31" t="n">
        <x:f>IF(B5=0,"",B5*D5)</x:f>
        <x:v>40442.535735988975</x:v>
      </x:c>
    </x:row>
    <x:row r="6" ht="18" customHeight="1">
      <x:c r="A6" s="24" t="str">
        <x:v>Perch-likes</x:v>
      </x:c>
      <x:c r="B6" s="31" t="n">
        <x:v>746.1733342953</x:v>
      </x:c>
      <x:c r="C6" s="32" t="n">
        <x:v>4.093271962422169</x:v>
      </x:c>
      <x:c r="D6" s="32" t="n">
        <x:f>IF(C6="","",(1/'Metadata'!$B$5)^(C6-1))</x:f>
        <x:v>1239.5725844866395</x:v>
      </x:c>
      <x:c r="E6" s="31" t="n">
        <x:f>IF(B6=0,"",B6*D6)</x:f>
        <x:v>924936.0084674383</x:v>
      </x:c>
    </x:row>
    <x:row r="7" ht="18" customHeight="1">
      <x:c r="A7" s="24" t="str">
        <x:v>Sharks &amp; rays</x:v>
      </x:c>
      <x:c r="B7" s="31" t="n">
        <x:v>5.589830302099999</x:v>
      </x:c>
      <x:c r="C7" s="32" t="n">
        <x:v>4.108794226984589</x:v>
      </x:c>
      <x:c r="D7" s="32" t="n">
        <x:f>IF(C7="","",(1/'Metadata'!$B$5)^(C7-1))</x:f>
        <x:v>1284.6778226762422</x:v>
      </x:c>
      <x:c r="E7" s="31" t="n">
        <x:f>IF(B7=0,"",B7*D7)</x:f>
        <x:v>7181.131021631508</x:v>
      </x:c>
    </x:row>
    <x:row r="8" ht="18" customHeight="1">
      <x:c r="A8" s="24" t="str">
        <x:v>Tuna &amp; billfishes</x:v>
      </x:c>
      <x:c r="B8" s="31" t="n">
        <x:v>23.2489652633</x:v>
      </x:c>
      <x:c r="C8" s="32" t="n">
        <x:v>4.435665769419293</x:v>
      </x:c>
      <x:c r="D8" s="32" t="n">
        <x:f>IF(C8="","",(1/'Metadata'!$B$5)^(C8-1))</x:f>
        <x:v>2726.8783848636067</x:v>
      </x:c>
      <x:c r="E8" s="31" t="n">
        <x:f>IF(B8=0,"",B8*D8)</x:f>
        <x:v>63397.1008469376</x:v>
      </x:c>
    </x:row>
  </x:sheetData>
  <x:pageMargins left="0.7" right="0.7" top="0.75" bottom="0.75" header="0.3" footer="0.3"/>
  <x:tableParts count="1">
    <x:tablePart xmlns:r="http://schemas.openxmlformats.org/officeDocument/2006/relationships" r:id="Rc08c8c3ca0394c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0.8303087442</x:v>
      </x:c>
      <x:c r="C2" s="32" t="n">
        <x:v>3.6</x:v>
      </x:c>
      <x:c r="D2" s="32" t="n">
        <x:f>IF(C2="","",(1/'Metadata'!$B$5)^(C2-1))</x:f>
        <x:v>398.1071705534973</x:v>
      </x:c>
      <x:c r="E2" s="31" t="n">
        <x:f>IF(B2=0,"",B2*D2)</x:f>
        <x:v>330.5518648392896</x:v>
      </x:c>
    </x:row>
    <x:row r="3" ht="18" customHeight="1">
      <x:c r="A3" s="24" t="str">
        <x:v>Large bathypelagics (&gt;=90 cm)</x:v>
      </x:c>
      <x:c r="B3" s="31" t="n">
        <x:v>0.9713699048</x:v>
      </x:c>
      <x:c r="C3" s="32" t="n">
        <x:v>4.34</x:v>
      </x:c>
      <x:c r="D3" s="32" t="n">
        <x:f>IF(C3="","",(1/'Metadata'!$B$5)^(C3-1))</x:f>
        <x:v>2187.761623949552</x:v>
      </x:c>
      <x:c r="E3" s="31" t="n">
        <x:f>IF(B3=0,"",B3*D3)</x:f>
        <x:v>2125.1258003809694</x:v>
      </x:c>
    </x:row>
    <x:row r="4" ht="18" customHeight="1">
      <x:c r="A4" s="24" t="str">
        <x:v>Large benthopelagics (&gt;=90 cm)</x:v>
      </x:c>
      <x:c r="B4" s="31" t="n">
        <x:v>0.32835675470000003</x:v>
      </x:c>
      <x:c r="C4" s="32" t="n">
        <x:v>4.046897388683443</x:v>
      </x:c>
      <x:c r="D4" s="32" t="n">
        <x:f>IF(C4="","",(1/'Metadata'!$B$5)^(C4-1))</x:f>
        <x:v>1114.0312888870121</x:v>
      </x:c>
      <x:c r="E4" s="31" t="n">
        <x:f>IF(B4=0,"",B4*D4)</x:f>
        <x:v>365.79969865319754</x:v>
      </x:c>
    </x:row>
    <x:row r="5" ht="18" customHeight="1">
      <x:c r="A5" s="24" t="str">
        <x:v>Large demersals (&gt;=90 cm)</x:v>
      </x:c>
      <x:c r="B5" s="31" t="n">
        <x:v>0.5061712673000001</x:v>
      </x:c>
      <x:c r="C5" s="32" t="n">
        <x:v>3.89</x:v>
      </x:c>
      <x:c r="D5" s="32" t="n">
        <x:f>IF(C5="","",(1/'Metadata'!$B$5)^(C5-1))</x:f>
        <x:v>776.247116628692</x:v>
      </x:c>
      <x:c r="E5" s="31" t="n">
        <x:f>IF(B5=0,"",B5*D5)</x:f>
        <x:v>392.91398676191596</x:v>
      </x:c>
    </x:row>
    <x:row r="6" ht="18" customHeight="1">
      <x:c r="A6" s="24" t="str">
        <x:v>Large pelagics (&gt;=90 cm)</x:v>
      </x:c>
      <x:c r="B6" s="31" t="n">
        <x:v>432.5272142099</x:v>
      </x:c>
      <x:c r="C6" s="32" t="n">
        <x:v>4.373496676856876</x:v>
      </x:c>
      <x:c r="D6" s="32" t="n">
        <x:f>IF(C6="","",(1/'Metadata'!$B$5)^(C6-1))</x:f>
        <x:v>2363.1793164625024</x:v>
      </x:c>
      <x:c r="E6" s="31" t="n">
        <x:f>IF(B6=0,"",B6*D6)</x:f>
        <x:v>1022139.3664279819</x:v>
      </x:c>
    </x:row>
    <x:row r="7" ht="18" customHeight="1">
      <x:c r="A7" s="24" t="str">
        <x:v>Large rays (&gt;=90 cm)</x:v>
      </x:c>
      <x:c r="B7" s="31" t="n">
        <x:v>1.1885858125</x:v>
      </x:c>
      <x:c r="C7" s="32" t="n">
        <x:v>3.3816367711439423</x:v>
      </x:c>
      <x:c r="D7" s="32" t="n">
        <x:f>IF(C7="","",(1/'Metadata'!$B$5)^(C7-1))</x:f>
        <x:v>240.7890709928864</x:v>
      </x:c>
      <x:c r="E7" s="31" t="n">
        <x:f>IF(B7=0,"",B7*D7)</x:f>
        <x:v>286.19847358720006</x:v>
      </x:c>
    </x:row>
    <x:row r="8" ht="18" customHeight="1">
      <x:c r="A8" s="24" t="str">
        <x:v>Large reef assoc. fish (&gt;=90 cm)</x:v>
      </x:c>
      <x:c r="B8" s="31" t="n">
        <x:v>7.7882272543</x:v>
      </x:c>
      <x:c r="C8" s="32" t="n">
        <x:v>4.061570986581221</x:v>
      </x:c>
      <x:c r="D8" s="32" t="n">
        <x:f>IF(C8="","",(1/'Metadata'!$B$5)^(C8-1))</x:f>
        <x:v>1152.3143932675666</x:v>
      </x:c>
      <x:c r="E8" s="31" t="n">
        <x:f>IF(B8=0,"",B8*D8)</x:f>
        <x:v>8974.486363168631</x:v>
      </x:c>
    </x:row>
    <x:row r="9" ht="18" customHeight="1">
      <x:c r="A9" s="24" t="str">
        <x:v>Large sharks (&gt;=90 cm)</x:v>
      </x:c>
      <x:c r="B9" s="31" t="n">
        <x:v>4.401244489600001</x:v>
      </x:c>
      <x:c r="C9" s="32" t="n">
        <x:v>4.305168011151333</x:v>
      </x:c>
      <x:c r="D9" s="32" t="n">
        <x:f>IF(C9="","",(1/'Metadata'!$B$5)^(C9-1))</x:f>
        <x:v>2019.1473398920211</x:v>
      </x:c>
      <x:c r="E9" s="31" t="n">
        <x:f>IF(B9=0,"",B9*D9)</x:f>
        <x:v>8886.761103390258</x:v>
      </x:c>
    </x:row>
    <x:row r="10" ht="18" customHeight="1">
      <x:c r="A10" s="24" t="str">
        <x:v>Lobsters, crabs</x:v>
      </x:c>
      <x:c r="B10" s="31" t="n">
        <x:v>13.640072116400002</x:v>
      </x:c>
      <x:c r="C10" s="32" t="n">
        <x:v>3.2047444628204858</x:v>
      </x:c>
      <x:c r="D10" s="32" t="n">
        <x:f>IF(C10="","",(1/'Metadata'!$B$5)^(C10-1))</x:f>
        <x:v>160.23023248297528</x:v>
      </x:c>
      <x:c r="E10" s="31" t="n">
        <x:f>IF(B10=0,"",B10*D10)</x:f>
        <x:v>2185.551926295321</x:v>
      </x:c>
    </x:row>
    <x:row r="11" ht="18" customHeight="1">
      <x:c r="A11" s="24" t="str">
        <x:v>Medium benthopelagics (30 - 89 cm)</x:v>
      </x:c>
      <x:c r="B11" s="31" t="n">
        <x:v>0.7971734906</x:v>
      </x:c>
      <x:c r="C11" s="32" t="n">
        <x:v>3.36335457783222</x:v>
      </x:c>
      <x:c r="D11" s="32" t="n">
        <x:f>IF(C11="","",(1/'Metadata'!$B$5)^(C11-1))</x:f>
        <x:v>230.86312914126506</x:v>
      </x:c>
      <x:c r="E11" s="31" t="n">
        <x:f>IF(B11=0,"",B11*D11)</x:f>
        <x:v>184.03796650838083</x:v>
      </x:c>
    </x:row>
    <x:row r="12" ht="18" customHeight="1">
      <x:c r="A12" s="24" t="str">
        <x:v>Medium demersals (30 - 89 cm)</x:v>
      </x:c>
      <x:c r="B12" s="31" t="n">
        <x:v>216.1157321789</x:v>
      </x:c>
      <x:c r="C12" s="32" t="n">
        <x:v>3.4339337075581855</x:v>
      </x:c>
      <x:c r="D12" s="32" t="n">
        <x:f>IF(C12="","",(1/'Metadata'!$B$5)^(C12-1))</x:f>
        <x:v>271.6024652360273</x:v>
      </x:c>
      <x:c r="E12" s="31" t="n">
        <x:f>IF(B12=0,"",B12*D12)</x:f>
        <x:v>58697.565636078274</x:v>
      </x:c>
    </x:row>
    <x:row r="13" ht="18" customHeight="1">
      <x:c r="A13" s="24" t="str">
        <x:v>Medium pelagics (30 - 89 cm)</x:v>
      </x:c>
      <x:c r="B13" s="31" t="n">
        <x:v>190.9383346631</x:v>
      </x:c>
      <x:c r="C13" s="32" t="n">
        <x:v>3.548016983799403</x:v>
      </x:c>
      <x:c r="D13" s="32" t="n">
        <x:f>IF(C13="","",(1/'Metadata'!$B$5)^(C13-1))</x:f>
        <x:v>353.19698187027757</x:v>
      </x:c>
      <x:c r="E13" s="31" t="n">
        <x:f>IF(B13=0,"",B13*D13)</x:f>
        <x:v>67438.84352634392</x:v>
      </x:c>
    </x:row>
    <x:row r="14" ht="18" customHeight="1">
      <x:c r="A14" s="24" t="str">
        <x:v>Medium reef assoc. fish (30 - 89 cm)</x:v>
      </x:c>
      <x:c r="B14" s="31" t="n">
        <x:v>134.7250304667</x:v>
      </x:c>
      <x:c r="C14" s="32" t="n">
        <x:v>3.6736045636982144</x:v>
      </x:c>
      <x:c r="D14" s="32" t="n">
        <x:f>IF(C14="","",(1/'Metadata'!$B$5)^(C14-1))</x:f>
        <x:v>471.63341134081446</x:v>
      </x:c>
      <x:c r="E14" s="31" t="n">
        <x:f>IF(B14=0,"",B14*D14)</x:f>
        <x:v>63540.82571200488</x:v>
      </x:c>
    </x:row>
    <x:row r="15" ht="18" customHeight="1">
      <x:c r="A15" s="24" t="str">
        <x:v>Other demersal invertebrates</x:v>
      </x:c>
      <x:c r="B15" s="31" t="n">
        <x:v>365.22</x:v>
      </x:c>
      <x:c r="C15" s="32" t="n">
        <x:v>2.19</x:v>
      </x:c>
      <x:c r="D15" s="32" t="n">
        <x:f>IF(C15="","",(1/'Metadata'!$B$5)^(C15-1))</x:f>
        <x:v>15.488166189124811</x:v>
      </x:c>
      <x:c r="E15" s="31" t="n">
        <x:f>IF(B15=0,"",B15*D15)</x:f>
        <x:v>5656.588055592164</x:v>
      </x:c>
    </x:row>
    <x:row r="16" ht="18" customHeight="1">
      <x:c r="A16" s="24" t="str">
        <x:v>Small pelagics (&lt;30 cm)</x:v>
      </x:c>
      <x:c r="B16" s="31" t="n">
        <x:v>33.7528045985</x:v>
      </x:c>
      <x:c r="C16" s="32" t="n">
        <x:v>3.16</x:v>
      </x:c>
      <x:c r="D16" s="32" t="n">
        <x:f>IF(C16="","",(1/'Metadata'!$B$5)^(C16-1))</x:f>
        <x:v>144.5439770745928</x:v>
      </x:c>
      <x:c r="E16" s="31" t="n">
        <x:f>IF(B16=0,"",B16*D16)</x:f>
        <x:v>4878.764614088794</x:v>
      </x:c>
    </x:row>
    <x:row r="17" ht="18" customHeight="1">
      <x:c r="A17" s="24" t="str">
        <x:v>Small reef assoc. fish (&lt;30 cm)</x:v>
      </x:c>
      <x:c r="B17" s="31" t="n">
        <x:v>51.0524092134</x:v>
      </x:c>
      <x:c r="C17" s="32" t="n">
        <x:v>3.056028599457853</x:v>
      </x:c>
      <x:c r="D17" s="32" t="n">
        <x:f>IF(C17="","",(1/'Metadata'!$B$5)^(C17-1))</x:f>
        <x:v>113.77022041018537</x:v>
      </x:c>
      <x:c r="E17" s="31" t="n">
        <x:f>IF(B17=0,"",B17*D17)</x:f>
        <x:v>5808.243848679496</x:v>
      </x:c>
    </x:row>
  </x:sheetData>
  <x:pageMargins left="0.7" right="0.7" top="0.75" bottom="0.75" header="0.3" footer="0.3"/>
  <x:tableParts count="1">
    <x:tablePart xmlns:r="http://schemas.openxmlformats.org/officeDocument/2006/relationships" r:id="R63aa67448e964aa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EEZ_662</x:v>
      </x:c>
      <x:c r="B2" s="24" t="str">
        <x:v>raw_filtered_tonnes</x:v>
      </x:c>
      <x:c r="C2" s="24" t="n">
        <x:v>1454.7830351649</x:v>
      </x:c>
      <x:c r="D2" s="24" t="str">
        <x:v>tonnes</x:v>
      </x:c>
    </x:row>
    <x:row r="3" ht="18" customHeight="1">
      <x:c r="A3" s="24" t="str">
        <x:v>EEZ_662</x:v>
      </x:c>
      <x:c r="B3" s="24" t="str">
        <x:v>species_catch_tonnes</x:v>
      </x:c>
      <x:c r="C3" s="24" t="n">
        <x:v>1454.7830351649</x:v>
      </x:c>
      <x:c r="D3" s="24" t="str">
        <x:v>tonnes</x:v>
      </x:c>
    </x:row>
    <x:row r="4" ht="18" customHeight="1">
      <x:c r="A4" s="24" t="str">
        <x:v>EEZ_662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EEZ_662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EEZ_662</x:v>
      </x:c>
      <x:c r="B6" s="24" t="str">
        <x:v>matched_catch_tonnes</x:v>
      </x:c>
      <x:c r="C6" s="24" t="n">
        <x:v>1454.7830351649</x:v>
      </x:c>
      <x:c r="D6" s="24" t="str">
        <x:v>tonnes</x:v>
      </x:c>
    </x:row>
    <x:row r="7" ht="18" customHeight="1">
      <x:c r="A7" s="24" t="str">
        <x:v>EEZ_662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EEZ_662</x:v>
      </x:c>
      <x:c r="B8" s="24" t="str">
        <x:v>taxa_count</x:v>
      </x:c>
      <x:c r="C8" s="24" t="n">
        <x:v>72</x:v>
      </x:c>
      <x:c r="D8" s="24" t="str">
        <x:v>count</x:v>
      </x:c>
    </x:row>
    <x:row r="9" ht="18" customHeight="1">
      <x:c r="A9" s="24" t="str">
        <x:v>EEZ_662</x:v>
      </x:c>
      <x:c r="B9" s="24" t="str">
        <x:v>matched_taxa_count</x:v>
      </x:c>
      <x:c r="C9" s="24" t="n">
        <x:v>72</x:v>
      </x:c>
      <x:c r="D9" s="24" t="str">
        <x:v>count</x:v>
      </x:c>
    </x:row>
    <x:row r="10" ht="18" customHeight="1">
      <x:c r="A10" s="24" t="str">
        <x:v>EEZ_662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EEZ_662</x:v>
      </x:c>
      <x:c r="B11" s="24" t="str">
        <x:v>species_ppr</x:v>
      </x:c>
      <x:c r="C11" s="24" t="n">
        <x:v>1369040.7680055425</x:v>
      </x:c>
      <x:c r="D11" s="24" t="str">
        <x:v>tonnes_primary_production_equivalent</x:v>
      </x:c>
    </x:row>
    <x:row r="12" ht="18" customHeight="1">
      <x:c r="A12" s="24" t="str">
        <x:v>EEZ_662</x:v>
      </x:c>
      <x:c r="B12" s="24" t="str">
        <x:v>commercial_ppr</x:v>
      </x:c>
      <x:c r="C12" s="24" t="n">
        <x:v>1048677.6806679727</x:v>
      </x:c>
      <x:c r="D12" s="24" t="str">
        <x:v>tonnes_primary_production_equivalent</x:v>
      </x:c>
    </x:row>
    <x:row r="13" ht="18" customHeight="1">
      <x:c r="A13" s="24" t="str">
        <x:v>EEZ_662</x:v>
      </x:c>
      <x:c r="B13" s="24" t="str">
        <x:v>functional_ppr</x:v>
      </x:c>
      <x:c r="C13" s="24" t="n">
        <x:v>1251891.6250043544</x:v>
      </x:c>
      <x:c r="D13" s="24" t="str">
        <x:v>tonnes_primary_production_equivalent</x:v>
      </x:c>
    </x:row>
    <x:row r="14" ht="18" customHeight="1">
      <x:c r="A14" s="24" t="str">
        <x:v>EEZ_662</x:v>
      </x:c>
      <x:c r="B14" s="24" t="str">
        <x:v>commercial_ppr_difference</x:v>
      </x:c>
      <x:c r="C14" s="24" t="n">
        <x:v>-320363.0873375698</x:v>
      </x:c>
      <x:c r="D14" s="24" t="str">
        <x:v>tonnes_primary_production_equivalent</x:v>
      </x:c>
    </x:row>
    <x:row r="15" ht="18" customHeight="1">
      <x:c r="A15" s="24" t="str">
        <x:v>EEZ_662</x:v>
      </x:c>
      <x:c r="B15" s="24" t="str">
        <x:v>functional_ppr_difference</x:v>
      </x:c>
      <x:c r="C15" s="24" t="n">
        <x:v>-117149.14300118806</x:v>
      </x:c>
      <x:c r="D15" s="24" t="str">
        <x:v>tonnes_primary_production_equivalent</x:v>
      </x:c>
    </x:row>
    <x:row r="16" ht="18" customHeight="1">
      <x:c r="A16" s="24" t="str">
        <x:v>EEZ_662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EEZ_662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0b8d7bdd7bc4f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EEZ_662 - Saint Lucia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EEZ_662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