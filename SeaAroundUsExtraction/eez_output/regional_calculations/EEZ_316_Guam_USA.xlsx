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24ebc7e14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e50d46a37864f74"/>
    <x:sheet xmlns:r="http://schemas.openxmlformats.org/officeDocument/2006/relationships" name="Commercial" sheetId="2" r:id="R743557954b3b4cd7"/>
    <x:sheet xmlns:r="http://schemas.openxmlformats.org/officeDocument/2006/relationships" name="Functional" sheetId="3" r:id="Ree6e24d644664be3"/>
    <x:sheet xmlns:r="http://schemas.openxmlformats.org/officeDocument/2006/relationships" name="Missing TL" sheetId="4" r:id="R50a222021a5f4428"/>
    <x:sheet xmlns:r="http://schemas.openxmlformats.org/officeDocument/2006/relationships" name="Validation" sheetId="5" r:id="R4c38229730914e22"/>
    <x:sheet xmlns:r="http://schemas.openxmlformats.org/officeDocument/2006/relationships" name="Metadata" sheetId="6" r:id="R6be6d2500c59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a5288368649fb" /><Relationship Type="http://schemas.openxmlformats.org/officeDocument/2006/relationships/theme" Target="/xl/theme/theme1.xml" Id="R924d2133bfa94721" /><Relationship Type="http://schemas.microsoft.com/office/2022/11/relationships/FeaturePropertyBag" Target="/xl/featurePropertyBag/featurePropertyBag.xml" Id="R398e49a0ab8346c5" /><Relationship Type="http://schemas.openxmlformats.org/officeDocument/2006/relationships/sharedStrings" Target="/xl/sharedStrings.xml" Id="R43fdc88c97154c73" /><Relationship Type="http://schemas.openxmlformats.org/officeDocument/2006/relationships/worksheet" Target="/xl/worksheets/sheet1.xml" Id="R4e50d46a37864f74" /><Relationship Type="http://schemas.openxmlformats.org/officeDocument/2006/relationships/worksheet" Target="/xl/worksheets/sheet2.xml" Id="R743557954b3b4cd7" /><Relationship Type="http://schemas.openxmlformats.org/officeDocument/2006/relationships/worksheet" Target="/xl/worksheets/sheet3.xml" Id="Ree6e24d644664be3" /><Relationship Type="http://schemas.openxmlformats.org/officeDocument/2006/relationships/worksheet" Target="/xl/worksheets/sheet4.xml" Id="R50a222021a5f4428" /><Relationship Type="http://schemas.openxmlformats.org/officeDocument/2006/relationships/worksheet" Target="/xl/worksheets/sheet5.xml" Id="R4c38229730914e22" /><Relationship Type="http://schemas.openxmlformats.org/officeDocument/2006/relationships/worksheet" Target="/xl/worksheets/sheet6.xml" Id="R6be6d2500c5946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16SpeciesTable" displayName="EEZ316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16CommercialTable" displayName="EEZ316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16FunctionalTable" displayName="EEZ316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16ValidationTable" displayName="EEZ3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7987bf03b45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389acb419d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e80d6428ab4c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f07da8366748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EEZ_316</x:v>
      </x:c>
      <x:c r="B2" s="24" t="str">
        <x:v>Guam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838.0703199717999</x:v>
      </x:c>
      <x:c r="J2" s="31" t="n">
        <x:v>838.0617596902999</x:v>
      </x:c>
      <x:c r="K2" s="31" t="n">
        <x:v>0.0085602815</x:v>
      </x:c>
      <x:c r="L2" s="31" t="n">
        <x:v>838.0617596902999</x:v>
      </x:c>
      <x:c r="M2" s="31" t="n">
        <x:v>0.0085602815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2255695.434342264</x:v>
      </x:c>
    </x:row>
    <x:row r="3" ht="18" customHeight="1">
      <x:c r="A3" s="24" t="str">
        <x:v>EEZ_316</x:v>
      </x:c>
      <x:c r="B3" s="24" t="str">
        <x:v>Guam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158.7920671476</x:v>
      </x:c>
      <x:c r="J3" s="31" t="n">
        <x:v>157.58261995369998</x:v>
      </x:c>
      <x:c r="K3" s="31" t="n">
        <x:v>1.2094471939</x:v>
      </x:c>
      <x:c r="L3" s="31" t="n">
        <x:v>157.58261995369998</x:v>
      </x:c>
      <x:c r="M3" s="31" t="n">
        <x:v>1.2094471939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408158.4597333414</x:v>
      </x:c>
    </x:row>
    <x:row r="4" ht="18" customHeight="1">
      <x:c r="A4" s="24" t="str">
        <x:v>EEZ_316</x:v>
      </x:c>
      <x:c r="B4" s="24" t="str">
        <x:v>Guam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86.7326211489</x:v>
      </x:c>
      <x:c r="J4" s="31" t="n">
        <x:v>3.0870944248</x:v>
      </x:c>
      <x:c r="K4" s="31" t="n">
        <x:v>83.6455267241</x:v>
      </x:c>
      <x:c r="L4" s="31" t="n">
        <x:v>3.0870944248</x:v>
      </x:c>
      <x:c r="M4" s="31" t="n">
        <x:v>83.6455267241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16526.560256521723</x:v>
      </x:c>
    </x:row>
    <x:row r="5" ht="18" customHeight="1">
      <x:c r="A5" s="24" t="str">
        <x:v>EEZ_316</x:v>
      </x:c>
      <x:c r="B5" s="24" t="str">
        <x:v>Guam (USA)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50.6718003811</x:v>
      </x:c>
      <x:c r="J5" s="31" t="n">
        <x:v>0</x:v>
      </x:c>
      <x:c r="K5" s="31" t="n">
        <x:v>50.6718003811</x:v>
      </x:c>
      <x:c r="L5" s="31" t="n">
        <x:v>0</x:v>
      </x:c>
      <x:c r="M5" s="31" t="n">
        <x:v>50.6718003811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118786.29457751366</x:v>
      </x:c>
    </x:row>
    <x:row r="6" ht="18" customHeight="1">
      <x:c r="A6" s="24" t="str">
        <x:v>EEZ_316</x:v>
      </x:c>
      <x:c r="B6" s="24" t="str">
        <x:v>Guam (USA)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49.8705584402</x:v>
      </x:c>
      <x:c r="J6" s="31" t="n">
        <x:v>0.0013665242</x:v>
      </x:c>
      <x:c r="K6" s="31" t="n">
        <x:v>49.869191916</x:v>
      </x:c>
      <x:c r="L6" s="31" t="n">
        <x:v>0.0013665242</x:v>
      </x:c>
      <x:c r="M6" s="31" t="n">
        <x:v>49.869191916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90749.49801299126</x:v>
      </x:c>
    </x:row>
    <x:row r="7" ht="18" customHeight="1">
      <x:c r="A7" s="24" t="str">
        <x:v>EEZ_316</x:v>
      </x:c>
      <x:c r="B7" s="24" t="str">
        <x:v>Guam (USA)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40.369374542100005</x:v>
      </x:c>
      <x:c r="J7" s="31" t="n">
        <x:v>0</x:v>
      </x:c>
      <x:c r="K7" s="31" t="n">
        <x:v>40.369374542100005</x:v>
      </x:c>
      <x:c r="L7" s="31" t="n">
        <x:v>0</x:v>
      </x:c>
      <x:c r="M7" s="31" t="n">
        <x:v>40.369374542100005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45295.18322486406</x:v>
      </x:c>
    </x:row>
    <x:row r="8" ht="18" customHeight="1">
      <x:c r="A8" s="24" t="str">
        <x:v>EEZ_316</x:v>
      </x:c>
      <x:c r="B8" s="24" t="str">
        <x:v>Guam (USA)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34.233788819299996</x:v>
      </x:c>
      <x:c r="J8" s="31" t="n">
        <x:v>24.2884885342</x:v>
      </x:c>
      <x:c r="K8" s="31" t="n">
        <x:v>9.9453002851</x:v>
      </x:c>
      <x:c r="L8" s="31" t="n">
        <x:v>24.2884885342</x:v>
      </x:c>
      <x:c r="M8" s="31" t="n">
        <x:v>9.9453002851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76639.90668305132</x:v>
      </x:c>
    </x:row>
    <x:row r="9" ht="18" customHeight="1">
      <x:c r="A9" s="24" t="str">
        <x:v>EEZ_316</x:v>
      </x:c>
      <x:c r="B9" s="24" t="str">
        <x:v>Guam (USA)</x:v>
      </x:c>
      <x:c r="C9" s="24" t="str">
        <x:v>EEZ</x:v>
      </x:c>
      <x:c r="D9" s="30" t="n">
        <x:v>2019</x:v>
      </x:c>
      <x:c r="E9" s="24" t="str">
        <x:v>Thunnus orientalis</x:v>
      </x:c>
      <x:c r="F9" s="24" t="str">
        <x:v>Pacific bluefin tuna</x:v>
      </x:c>
      <x:c r="G9" s="24" t="str">
        <x:v>Large pelagics (&gt;=90 cm)</x:v>
      </x:c>
      <x:c r="H9" s="24" t="str">
        <x:v>Tuna &amp; billfishes</x:v>
      </x:c>
      <x:c r="I9" s="31" t="n">
        <x:v>27.855898219900002</x:v>
      </x:c>
      <x:c r="J9" s="31" t="n">
        <x:v>27.8218144922</x:v>
      </x:c>
      <x:c r="K9" s="31" t="n">
        <x:v>0.0340837277</x:v>
      </x:c>
      <x:c r="L9" s="31" t="n">
        <x:v>27.8218144922</x:v>
      </x:c>
      <x:c r="M9" s="31" t="n">
        <x:v>0.0340837277</x:v>
      </x:c>
      <x:c r="N9" s="24" t="str">
        <x:v>thunnus orientalis</x:v>
      </x:c>
      <x:c r="O9" s="32" t="n">
        <x:v>4.05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orientalis</x:v>
      </x:c>
      <x:c r="T9" s="32" t="n">
        <x:f>IF(O9="","",(1/'Metadata'!$B$5)^(O9-1))</x:f>
        <x:v>1122.018454301963</x:v>
      </x:c>
      <x:c r="U9" s="31" t="n">
        <x:f>IF(T9="","",I9*T9)</x:f>
        <x:v>31254.831863885003</x:v>
      </x:c>
    </x:row>
    <x:row r="10" ht="18" customHeight="1">
      <x:c r="A10" s="24" t="str">
        <x:v>EEZ_316</x:v>
      </x:c>
      <x:c r="B10" s="24" t="str">
        <x:v>Guam (USA)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21.784979700199997</x:v>
      </x:c>
      <x:c r="J10" s="31" t="n">
        <x:v>3.2496359604</x:v>
      </x:c>
      <x:c r="K10" s="31" t="n">
        <x:v>18.5353437398</x:v>
      </x:c>
      <x:c r="L10" s="31" t="n">
        <x:v>3.2496359604</x:v>
      </x:c>
      <x:c r="M10" s="31" t="n">
        <x:v>18.5353437398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24443.14925021804</x:v>
      </x:c>
    </x:row>
    <x:row r="11" ht="18" customHeight="1">
      <x:c r="A11" s="24" t="str">
        <x:v>EEZ_316</x:v>
      </x:c>
      <x:c r="B11" s="24" t="str">
        <x:v>Guam (USA)</x:v>
      </x:c>
      <x:c r="C11" s="24" t="str">
        <x:v>EEZ</x:v>
      </x:c>
      <x:c r="D11" s="30" t="n">
        <x:v>2019</x:v>
      </x:c>
      <x:c r="E11" s="24" t="str">
        <x:v>Thunnus alalunga</x:v>
      </x:c>
      <x:c r="F11" s="24" t="str">
        <x:v>Albacore</x:v>
      </x:c>
      <x:c r="G11" s="24" t="str">
        <x:v>Large pelagics (&gt;=90 cm)</x:v>
      </x:c>
      <x:c r="H11" s="24" t="str">
        <x:v>Tuna &amp; billfishes</x:v>
      </x:c>
      <x:c r="I11" s="31" t="n">
        <x:v>12.2177024538</x:v>
      </x:c>
      <x:c r="J11" s="31" t="n">
        <x:v>12.2168259474</x:v>
      </x:c>
      <x:c r="K11" s="31" t="n">
        <x:v>0.0008765064</x:v>
      </x:c>
      <x:c r="L11" s="31" t="n">
        <x:v>12.2168259474</x:v>
      </x:c>
      <x:c r="M11" s="31" t="n">
        <x:v>0.0008765064</x:v>
      </x:c>
      <x:c r="N11" s="24" t="str">
        <x:v>thunnus alalunga</x:v>
      </x:c>
      <x:c r="O11" s="32" t="n">
        <x:v>4.3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alalunga</x:v>
      </x:c>
      <x:c r="T11" s="32" t="n">
        <x:f>IF(O11="","",(1/'Metadata'!$B$5)^(O11-1))</x:f>
        <x:v>1995.2623149688789</x:v>
      </x:c>
      <x:c r="U11" s="31" t="n">
        <x:f>IF(T11="","",I11*T11)</x:f>
        <x:v>24377.521281569938</x:v>
      </x:c>
    </x:row>
    <x:row r="12" ht="18" customHeight="1">
      <x:c r="A12" s="24" t="str">
        <x:v>EEZ_316</x:v>
      </x:c>
      <x:c r="B12" s="24" t="str">
        <x:v>Guam (USA)</x:v>
      </x:c>
      <x:c r="C12" s="24" t="str">
        <x:v>EEZ</x:v>
      </x:c>
      <x:c r="D12" s="30" t="n">
        <x:v>2019</x:v>
      </x:c>
      <x:c r="E12" s="24" t="str">
        <x:v>Istiophoridae</x:v>
      </x:c>
      <x:c r="F12" s="24" t="str">
        <x:v>Billfishes</x:v>
      </x:c>
      <x:c r="G12" s="24" t="str">
        <x:v>Large pelagics (&gt;=90 cm)</x:v>
      </x:c>
      <x:c r="H12" s="24" t="str">
        <x:v>Tuna &amp; billfishes</x:v>
      </x:c>
      <x:c r="I12" s="31" t="n">
        <x:v>11.6445537564</x:v>
      </x:c>
      <x:c r="J12" s="31" t="n">
        <x:v>0.0047659278</x:v>
      </x:c>
      <x:c r="K12" s="31" t="n">
        <x:v>11.6397878286</x:v>
      </x:c>
      <x:c r="L12" s="31" t="n">
        <x:v>0.0047659278</x:v>
      </x:c>
      <x:c r="M12" s="31" t="n">
        <x:v>11.6397878286</x:v>
      </x:c>
      <x:c r="N12" s="24" t="str">
        <x:v>istiophoridae</x:v>
      </x:c>
      <x:c r="O12" s="32" t="n">
        <x:v>4.48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Istiophoridae</x:v>
      </x:c>
      <x:c r="T12" s="32" t="n">
        <x:f>IF(O12="","",(1/'Metadata'!$B$5)^(O12-1))</x:f>
        <x:v>3019.951720402019</x:v>
      </x:c>
      <x:c r="U12" s="31" t="n">
        <x:f>IF(T12="","",I12*T12)</x:f>
        <x:v>35165.99014995398</x:v>
      </x:c>
    </x:row>
    <x:row r="13" ht="18" customHeight="1">
      <x:c r="A13" s="24" t="str">
        <x:v>EEZ_316</x:v>
      </x:c>
      <x:c r="B13" s="24" t="str">
        <x:v>Guam (USA)</x:v>
      </x:c>
      <x:c r="C13" s="24" t="str">
        <x:v>EEZ</x:v>
      </x:c>
      <x:c r="D13" s="30" t="n">
        <x:v>2019</x:v>
      </x:c>
      <x:c r="E13" s="24" t="str">
        <x:v>Thunnus obesus</x:v>
      </x:c>
      <x:c r="F13" s="24" t="str">
        <x:v>Bigeye tuna</x:v>
      </x:c>
      <x:c r="G13" s="24" t="str">
        <x:v>Large pelagics (&gt;=90 cm)</x:v>
      </x:c>
      <x:c r="H13" s="24" t="str">
        <x:v>Tuna &amp; billfishes</x:v>
      </x:c>
      <x:c r="I13" s="31" t="n">
        <x:v>10.279670807699999</x:v>
      </x:c>
      <x:c r="J13" s="31" t="n">
        <x:v>8.0582441462</x:v>
      </x:c>
      <x:c r="K13" s="31" t="n">
        <x:v>2.2214266615</x:v>
      </x:c>
      <x:c r="L13" s="31" t="n">
        <x:v>8.0582441462</x:v>
      </x:c>
      <x:c r="M13" s="31" t="n">
        <x:v>2.2214266615</x:v>
      </x:c>
      <x:c r="N13" s="24" t="str">
        <x:v>thunnus obesus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obesus</x:v>
      </x:c>
      <x:c r="T13" s="32" t="n">
        <x:f>IF(O13="","",(1/'Metadata'!$B$5)^(O13-1))</x:f>
        <x:v>3090.295432513592</x:v>
      </x:c>
      <x:c r="U13" s="31" t="n">
        <x:f>IF(T13="","",I13*T13)</x:f>
        <x:v>31767.219744778613</x:v>
      </x:c>
    </x:row>
    <x:row r="14" ht="18" customHeight="1">
      <x:c r="A14" s="24" t="str">
        <x:v>EEZ_316</x:v>
      </x:c>
      <x:c r="B14" s="24" t="str">
        <x:v>Guam (USA)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8.690647652600001</x:v>
      </x:c>
      <x:c r="J14" s="31" t="n">
        <x:v>8.4123128764</x:v>
      </x:c>
      <x:c r="K14" s="31" t="n">
        <x:v>0.2783347762</x:v>
      </x:c>
      <x:c r="L14" s="31" t="n">
        <x:v>8.4123128764</x:v>
      </x:c>
      <x:c r="M14" s="31" t="n">
        <x:v>0.2783347762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1945.5936607724946</x:v>
      </x:c>
    </x:row>
    <x:row r="15" ht="18" customHeight="1">
      <x:c r="A15" s="24" t="str">
        <x:v>EEZ_316</x:v>
      </x:c>
      <x:c r="B15" s="24" t="str">
        <x:v>Guam (USA)</x:v>
      </x:c>
      <x:c r="C15" s="24" t="str">
        <x:v>EEZ</x:v>
      </x:c>
      <x:c r="D15" s="30" t="n">
        <x:v>2019</x:v>
      </x:c>
      <x:c r="E15" s="24" t="str">
        <x:v>Selar crumenophthalmus</x:v>
      </x:c>
      <x:c r="F15" s="24" t="str">
        <x:v>Bigeye scad</x:v>
      </x:c>
      <x:c r="G15" s="24" t="str">
        <x:v>Medium pelagics (30 - 89 cm)</x:v>
      </x:c>
      <x:c r="H15" s="24" t="str">
        <x:v>Perch-likes</x:v>
      </x:c>
      <x:c r="I15" s="31" t="n">
        <x:v>6.2513512535</x:v>
      </x:c>
      <x:c r="J15" s="31" t="n">
        <x:v>6.2513512535</x:v>
      </x:c>
      <x:c r="K15" s="31" t="n">
        <x:v>0</x:v>
      </x:c>
      <x:c r="L15" s="31" t="n">
        <x:v>6.2513512535</x:v>
      </x:c>
      <x:c r="M15" s="31" t="n">
        <x:v>0</x:v>
      </x:c>
      <x:c r="N15" s="24" t="str">
        <x:v>selar crumenophthalmus</x:v>
      </x:c>
      <x:c r="O15" s="32" t="n">
        <x:v>3.81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Selar crumenophthalmus</x:v>
      </x:c>
      <x:c r="T15" s="32" t="n">
        <x:f>IF(O15="","",(1/'Metadata'!$B$5)^(O15-1))</x:f>
        <x:v>645.6542290346556</x:v>
      </x:c>
      <x:c r="U15" s="31" t="n">
        <x:f>IF(T15="","",I15*T15)</x:f>
        <x:v>4036.2113740033706</x:v>
      </x:c>
    </x:row>
    <x:row r="16" ht="18" customHeight="1">
      <x:c r="A16" s="24" t="str">
        <x:v>EEZ_316</x:v>
      </x:c>
      <x:c r="B16" s="24" t="str">
        <x:v>Guam (USA)</x:v>
      </x:c>
      <x:c r="C16" s="24" t="str">
        <x:v>EEZ</x:v>
      </x:c>
      <x:c r="D16" s="30" t="n">
        <x:v>2019</x:v>
      </x:c>
      <x:c r="E16" s="24" t="str">
        <x:v>Acanthuridae</x:v>
      </x:c>
      <x:c r="F16" s="24" t="str">
        <x:v>Surgeons, tangs, unicornfishes</x:v>
      </x:c>
      <x:c r="G16" s="24" t="str">
        <x:v>Small reef assoc. fish (&lt;30 cm)</x:v>
      </x:c>
      <x:c r="H16" s="24" t="str">
        <x:v>Perch-likes</x:v>
      </x:c>
      <x:c r="I16" s="31" t="n">
        <x:v>4.8774254882</x:v>
      </x:c>
      <x:c r="J16" s="31" t="n">
        <x:v>4.8774254882</x:v>
      </x:c>
      <x:c r="K16" s="31" t="n">
        <x:v>0</x:v>
      </x:c>
      <x:c r="L16" s="31" t="n">
        <x:v>4.8774254882</x:v>
      </x:c>
      <x:c r="M16" s="31" t="n">
        <x:v>0</x:v>
      </x:c>
      <x:c r="N16" s="24" t="str">
        <x:v>acanthuridae</x:v>
      </x:c>
      <x:c r="O16" s="32" t="n">
        <x:v>2.28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Acanthuridae</x:v>
      </x:c>
      <x:c r="T16" s="32" t="n">
        <x:f>IF(O16="","",(1/'Metadata'!$B$5)^(O16-1))</x:f>
        <x:v>19.054607179632463</x:v>
      </x:c>
      <x:c r="U16" s="31" t="n">
        <x:f>IF(T16="","",I16*T16)</x:f>
        <x:v>92.93742672557809</x:v>
      </x:c>
    </x:row>
    <x:row r="17" ht="18" customHeight="1">
      <x:c r="A17" s="24" t="str">
        <x:v>EEZ_316</x:v>
      </x:c>
      <x:c r="B17" s="24" t="str">
        <x:v>Guam (USA)</x:v>
      </x:c>
      <x:c r="C17" s="24" t="str">
        <x:v>EEZ</x:v>
      </x:c>
      <x:c r="D17" s="30" t="n">
        <x:v>2019</x:v>
      </x:c>
      <x:c r="E17" s="24" t="str">
        <x:v>Scaridae</x:v>
      </x:c>
      <x:c r="F17" s="24" t="str">
        <x:v>Parrotfishes</x:v>
      </x:c>
      <x:c r="G17" s="24" t="str">
        <x:v>Medium reef assoc. fish (30 - 89 cm)</x:v>
      </x:c>
      <x:c r="H17" s="24" t="str">
        <x:v>Perch-likes</x:v>
      </x:c>
      <x:c r="I17" s="31" t="n">
        <x:v>2.0678049011999997</x:v>
      </x:c>
      <x:c r="J17" s="31" t="n">
        <x:v>2.0678049011999997</x:v>
      </x:c>
      <x:c r="K17" s="31" t="n">
        <x:v>0</x:v>
      </x:c>
      <x:c r="L17" s="31" t="n">
        <x:v>2.0678049011999997</x:v>
      </x:c>
      <x:c r="M17" s="31" t="n">
        <x:v>0</x:v>
      </x:c>
      <x:c r="N17" s="24" t="str">
        <x:v>scaridae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Scaridae</x:v>
      </x:c>
      <x:c r="T17" s="32" t="n">
        <x:f>IF(O17="","",(1/'Metadata'!$B$5)^(O17-1))</x:f>
        <x:v>10</x:v>
      </x:c>
      <x:c r="U17" s="31" t="n">
        <x:f>IF(T17="","",I17*T17)</x:f>
        <x:v>20.678049011999995</x:v>
      </x:c>
    </x:row>
    <x:row r="18" ht="18" customHeight="1">
      <x:c r="A18" s="24" t="str">
        <x:v>EEZ_316</x:v>
      </x:c>
      <x:c r="B18" s="24" t="str">
        <x:v>Guam (USA)</x:v>
      </x:c>
      <x:c r="C18" s="24" t="str">
        <x:v>EEZ</x:v>
      </x:c>
      <x:c r="D18" s="30" t="n">
        <x:v>2019</x:v>
      </x:c>
      <x:c r="E18" s="24" t="str">
        <x:v>Carcharhinus falciformis</x:v>
      </x:c>
      <x:c r="F18" s="24" t="str">
        <x:v>Silky shark</x:v>
      </x:c>
      <x:c r="G18" s="24" t="str">
        <x:v>Large sharks (&gt;=90 cm)</x:v>
      </x:c>
      <x:c r="H18" s="24" t="str">
        <x:v>Sharks &amp; rays</x:v>
      </x:c>
      <x:c r="I18" s="31" t="n">
        <x:v>2.0259716405000003</x:v>
      </x:c>
      <x:c r="J18" s="31" t="n">
        <x:v>0</x:v>
      </x:c>
      <x:c r="K18" s="31" t="n">
        <x:v>2.0259716405000003</x:v>
      </x:c>
      <x:c r="L18" s="31" t="n">
        <x:v>0</x:v>
      </x:c>
      <x:c r="M18" s="31" t="n">
        <x:v>2.0259716405000003</x:v>
      </x:c>
      <x:c r="N18" s="24" t="str">
        <x:v>carcharhinus falciformis</x:v>
      </x:c>
      <x:c r="O18" s="32" t="n">
        <x:v>4.51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falciformis</x:v>
      </x:c>
      <x:c r="T18" s="32" t="n">
        <x:f>IF(O18="","",(1/'Metadata'!$B$5)^(O18-1))</x:f>
        <x:v>3235.936569296281</x:v>
      </x:c>
      <x:c r="U18" s="31" t="n">
        <x:f>IF(T18="","",I18*T18)</x:f>
        <x:v>6555.915719851129</x:v>
      </x:c>
    </x:row>
    <x:row r="19" ht="18" customHeight="1">
      <x:c r="A19" s="24" t="str">
        <x:v>EEZ_316</x:v>
      </x:c>
      <x:c r="B19" s="24" t="str">
        <x:v>Guam (USA)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2.0241386247</x:v>
      </x:c>
      <x:c r="J19" s="31" t="n">
        <x:v>0.43082023799999997</x:v>
      </x:c>
      <x:c r="K19" s="31" t="n">
        <x:v>1.5933183867</x:v>
      </x:c>
      <x:c r="L19" s="31" t="n">
        <x:v>0.43082023799999997</x:v>
      </x:c>
      <x:c r="M19" s="31" t="n">
        <x:v>1.5933183867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6858.675441952379</x:v>
      </x:c>
    </x:row>
    <x:row r="20" ht="18" customHeight="1">
      <x:c r="A20" s="24" t="str">
        <x:v>EEZ_316</x:v>
      </x:c>
      <x:c r="B20" s="24" t="str">
        <x:v>Guam (USA)</x:v>
      </x:c>
      <x:c r="C20" s="24" t="str">
        <x:v>EEZ</x:v>
      </x:c>
      <x:c r="D20" s="30" t="n">
        <x:v>2019</x:v>
      </x:c>
      <x:c r="E20" s="24" t="str">
        <x:v>Isurus</x:v>
      </x:c>
      <x:c r="F20" s="24" t="str">
        <x:v>Mako sharks</x:v>
      </x:c>
      <x:c r="G20" s="24" t="str">
        <x:v>Large sharks (&gt;=90 cm)</x:v>
      </x:c>
      <x:c r="H20" s="24" t="str">
        <x:v>Sharks &amp; rays</x:v>
      </x:c>
      <x:c r="I20" s="31" t="n">
        <x:v>2.0014299539</x:v>
      </x:c>
      <x:c r="J20" s="31" t="n">
        <x:v>0.9584738997000001</x:v>
      </x:c>
      <x:c r="K20" s="31" t="n">
        <x:v>1.0429560542</x:v>
      </x:c>
      <x:c r="L20" s="31" t="n">
        <x:v>0.9584738997000001</x:v>
      </x:c>
      <x:c r="M20" s="31" t="n">
        <x:v>1.0429560542</x:v>
      </x:c>
      <x:c r="N20" s="24" t="str">
        <x:v>isurus</x:v>
      </x:c>
      <x:c r="O20" s="32" t="n">
        <x:v>4.5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Isurus</x:v>
      </x:c>
      <x:c r="T20" s="32" t="n">
        <x:f>IF(O20="","",(1/'Metadata'!$B$5)^(O20-1))</x:f>
        <x:v>3162.2776601683795</x:v>
      </x:c>
      <x:c r="U20" s="31" t="n">
        <x:f>IF(T20="","",I20*T20)</x:f>
        <x:v>6329.077231609799</x:v>
      </x:c>
    </x:row>
    <x:row r="21" ht="18" customHeight="1">
      <x:c r="A21" s="24" t="str">
        <x:v>EEZ_316</x:v>
      </x:c>
      <x:c r="B21" s="24" t="str">
        <x:v>Guam (USA)</x:v>
      </x:c>
      <x:c r="C21" s="24" t="str">
        <x:v>EEZ</x:v>
      </x:c>
      <x:c r="D21" s="30" t="n">
        <x:v>2019</x:v>
      </x:c>
      <x:c r="E21" s="24" t="str">
        <x:v>Lutjanidae</x:v>
      </x:c>
      <x:c r="F21" s="24" t="str">
        <x:v>Snappers</x:v>
      </x:c>
      <x:c r="G21" s="24" t="str">
        <x:v>Medium reef assoc. fish (30 - 89 cm)</x:v>
      </x:c>
      <x:c r="H21" s="24" t="str">
        <x:v>Perch-likes</x:v>
      </x:c>
      <x:c r="I21" s="31" t="n">
        <x:v>1.8611707567</x:v>
      </x:c>
      <x:c r="J21" s="31" t="n">
        <x:v>1.8611707567</x:v>
      </x:c>
      <x:c r="K21" s="31" t="n">
        <x:v>0</x:v>
      </x:c>
      <x:c r="L21" s="31" t="n">
        <x:v>1.8611707567</x:v>
      </x:c>
      <x:c r="M21" s="31" t="n">
        <x:v>0</x:v>
      </x:c>
      <x:c r="N21" s="24" t="str">
        <x:v>lutjanidae</x:v>
      </x:c>
      <x:c r="O21" s="32" t="n">
        <x:v>4.02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Lutjanidae</x:v>
      </x:c>
      <x:c r="T21" s="32" t="n">
        <x:f>IF(O21="","",(1/'Metadata'!$B$5)^(O21-1))</x:f>
        <x:v>1047.1285480508984</x:v>
      </x:c>
      <x:c r="U21" s="31" t="n">
        <x:f>IF(T21="","",I21*T21)</x:f>
        <x:v>1948.8850321380628</x:v>
      </x:c>
    </x:row>
    <x:row r="22" ht="18" customHeight="1">
      <x:c r="A22" s="24" t="str">
        <x:v>EEZ_316</x:v>
      </x:c>
      <x:c r="B22" s="24" t="str">
        <x:v>Guam (USA)</x:v>
      </x:c>
      <x:c r="C22" s="24" t="str">
        <x:v>EEZ</x:v>
      </x:c>
      <x:c r="D22" s="30" t="n">
        <x:v>2019</x:v>
      </x:c>
      <x:c r="E22" s="24" t="str">
        <x:v>Lethrinidae</x:v>
      </x:c>
      <x:c r="F22" s="24" t="str">
        <x:v>Emperors, scavengers</x:v>
      </x:c>
      <x:c r="G22" s="24" t="str">
        <x:v>Medium reef assoc. fish (30 - 89 cm)</x:v>
      </x:c>
      <x:c r="H22" s="24" t="str">
        <x:v>Perch-likes</x:v>
      </x:c>
      <x:c r="I22" s="31" t="n">
        <x:v>1.6123961808</x:v>
      </x:c>
      <x:c r="J22" s="31" t="n">
        <x:v>1.6123961808</x:v>
      </x:c>
      <x:c r="K22" s="31" t="n">
        <x:v>0</x:v>
      </x:c>
      <x:c r="L22" s="31" t="n">
        <x:v>1.6123961808</x:v>
      </x:c>
      <x:c r="M22" s="31" t="n">
        <x:v>0</x:v>
      </x:c>
      <x:c r="N22" s="24" t="str">
        <x:v>lethrinidae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Lethrinidae</x:v>
      </x:c>
      <x:c r="T22" s="32" t="n">
        <x:f>IF(O22="","",(1/'Metadata'!$B$5)^(O22-1))</x:f>
        <x:v>389.04514499428046</x:v>
      </x:c>
      <x:c r="U22" s="31" t="n">
        <x:f>IF(T22="","",I22*T22)</x:f>
        <x:v>627.2949059475601</x:v>
      </x:c>
    </x:row>
    <x:row r="23" ht="18" customHeight="1">
      <x:c r="A23" s="24" t="str">
        <x:v>EEZ_316</x:v>
      </x:c>
      <x:c r="B23" s="24" t="str">
        <x:v>Guam (USA)</x:v>
      </x:c>
      <x:c r="C23" s="24" t="str">
        <x:v>EEZ</x:v>
      </x:c>
      <x:c r="D23" s="30" t="n">
        <x:v>2019</x:v>
      </x:c>
      <x:c r="E23" s="24" t="str">
        <x:v>Siganidae</x:v>
      </x:c>
      <x:c r="F23" s="24" t="str">
        <x:v>Rabbitfishes</x:v>
      </x:c>
      <x:c r="G23" s="24" t="str">
        <x:v>Medium reef assoc. fish (30 - 89 cm)</x:v>
      </x:c>
      <x:c r="H23" s="24" t="str">
        <x:v>Perch-likes</x:v>
      </x:c>
      <x:c r="I23" s="31" t="n">
        <x:v>1.2642436028000001</x:v>
      </x:c>
      <x:c r="J23" s="31" t="n">
        <x:v>1.2642436028000001</x:v>
      </x:c>
      <x:c r="K23" s="31" t="n">
        <x:v>0</x:v>
      </x:c>
      <x:c r="L23" s="31" t="n">
        <x:v>1.2642436028000001</x:v>
      </x:c>
      <x:c r="M23" s="31" t="n">
        <x:v>0</x:v>
      </x:c>
      <x:c r="N23" s="24" t="str">
        <x:v>siganidae</x:v>
      </x:c>
      <x:c r="O23" s="32" t="n">
        <x:v>2.11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Siganidae</x:v>
      </x:c>
      <x:c r="T23" s="32" t="n">
        <x:f>IF(O23="","",(1/'Metadata'!$B$5)^(O23-1))</x:f>
        <x:v>12.882495516931336</x:v>
      </x:c>
      <x:c r="U23" s="31" t="n">
        <x:f>IF(T23="","",I23*T23)</x:f>
        <x:v>16.286612545380123</x:v>
      </x:c>
    </x:row>
    <x:row r="24" ht="18" customHeight="1">
      <x:c r="A24" s="24" t="str">
        <x:v>EEZ_316</x:v>
      </x:c>
      <x:c r="B24" s="24" t="str">
        <x:v>Guam (USA)</x:v>
      </x:c>
      <x:c r="C24" s="24" t="str">
        <x:v>EEZ</x:v>
      </x:c>
      <x:c r="D24" s="30" t="n">
        <x:v>2019</x:v>
      </x:c>
      <x:c r="E24" s="24" t="str">
        <x:v>Octopus</x:v>
      </x:c>
      <x:c r="F24" s="24" t="str">
        <x:v>Octopuses, pikas</x:v>
      </x:c>
      <x:c r="G24" s="24" t="str">
        <x:v>Cephalopods</x:v>
      </x:c>
      <x:c r="H24" s="24" t="str">
        <x:v>Other fishes &amp; inverts</x:v>
      </x:c>
      <x:c r="I24" s="31" t="n">
        <x:v>1.2162700834</x:v>
      </x:c>
      <x:c r="J24" s="31" t="n">
        <x:v>1.2162700834</x:v>
      </x:c>
      <x:c r="K24" s="31" t="n">
        <x:v>0</x:v>
      </x:c>
      <x:c r="L24" s="31" t="n">
        <x:v>1.2162700834</x:v>
      </x:c>
      <x:c r="M24" s="31" t="n">
        <x:v>0</x:v>
      </x:c>
      <x:c r="N24" s="24" t="str">
        <x:v>octopus</x:v>
      </x:c>
      <x:c r="O24" s="32" t="n">
        <x:v>3.8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Octopus</x:v>
      </x:c>
      <x:c r="T24" s="32" t="n">
        <x:f>IF(O24="","",(1/'Metadata'!$B$5)^(O24-1))</x:f>
        <x:v>630.957344480193</x:v>
      </x:c>
      <x:c r="U24" s="31" t="n">
        <x:f>IF(T24="","",I24*T24)</x:f>
        <x:v>767.4145419927669</x:v>
      </x:c>
    </x:row>
    <x:row r="25" ht="18" customHeight="1">
      <x:c r="A25" s="24" t="str">
        <x:v>EEZ_316</x:v>
      </x:c>
      <x:c r="B25" s="24" t="str">
        <x:v>Guam (USA)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0.8904755719999999</x:v>
      </x:c>
      <x:c r="J25" s="31" t="n">
        <x:v>0.8904755719999999</x:v>
      </x:c>
      <x:c r="K25" s="31" t="n">
        <x:v>0</x:v>
      </x:c>
      <x:c r="L25" s="31" t="n">
        <x:v>0.8904755719999999</x:v>
      </x:c>
      <x:c r="M25" s="31" t="n">
        <x:v>0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256.8159602412684</x:v>
      </x:c>
    </x:row>
    <x:row r="26" ht="18" customHeight="1">
      <x:c r="A26" s="24" t="str">
        <x:v>EEZ_316</x:v>
      </x:c>
      <x:c r="B26" s="24" t="str">
        <x:v>Guam (USA)</x:v>
      </x:c>
      <x:c r="C26" s="24" t="str">
        <x:v>EEZ</x:v>
      </x:c>
      <x:c r="D26" s="30" t="n">
        <x:v>2019</x:v>
      </x:c>
      <x:c r="E26" s="24" t="str">
        <x:v>Carcharhinidae</x:v>
      </x:c>
      <x:c r="F26" s="24" t="str">
        <x:v>Requiem sharks</x:v>
      </x:c>
      <x:c r="G26" s="24" t="str">
        <x:v>Large sharks (&gt;=90 cm)</x:v>
      </x:c>
      <x:c r="H26" s="24" t="str">
        <x:v>Sharks &amp; rays</x:v>
      </x:c>
      <x:c r="I26" s="31" t="n">
        <x:v>0.8496304305</x:v>
      </x:c>
      <x:c r="J26" s="31" t="n">
        <x:v>0.8496304305</x:v>
      </x:c>
      <x:c r="K26" s="31" t="n">
        <x:v>0</x:v>
      </x:c>
      <x:c r="L26" s="31" t="n">
        <x:v>0.8496304305</x:v>
      </x:c>
      <x:c r="M26" s="31" t="n">
        <x:v>0</x:v>
      </x:c>
      <x:c r="N26" s="24" t="str">
        <x:v>carcharhinidae</x:v>
      </x:c>
      <x:c r="O26" s="32" t="n">
        <x:v>4.24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Carcharhinidae</x:v>
      </x:c>
      <x:c r="T26" s="32" t="n">
        <x:f>IF(O26="","",(1/'Metadata'!$B$5)^(O26-1))</x:f>
        <x:v>1737.8008287493763</x:v>
      </x:c>
      <x:c r="U26" s="31" t="n">
        <x:f>IF(T26="","",I26*T26)</x:f>
        <x:v>1476.4884662535892</x:v>
      </x:c>
    </x:row>
    <x:row r="27" ht="18" customHeight="1">
      <x:c r="A27" s="24" t="str">
        <x:v>EEZ_316</x:v>
      </x:c>
      <x:c r="B27" s="24" t="str">
        <x:v>Guam (USA)</x:v>
      </x:c>
      <x:c r="C27" s="24" t="str">
        <x:v>EEZ</x:v>
      </x:c>
      <x:c r="D27" s="30" t="n">
        <x:v>2019</x:v>
      </x:c>
      <x:c r="E27" s="24" t="str">
        <x:v>Kajikia audax</x:v>
      </x:c>
      <x:c r="F27" s="24" t="str">
        <x:v>Striped marlin</x:v>
      </x:c>
      <x:c r="G27" s="24" t="str">
        <x:v>Large pelagics (&gt;=90 cm)</x:v>
      </x:c>
      <x:c r="H27" s="24" t="str">
        <x:v>Tuna &amp; billfishes</x:v>
      </x:c>
      <x:c r="I27" s="31" t="n">
        <x:v>0.7595544371</x:v>
      </x:c>
      <x:c r="J27" s="31" t="n">
        <x:v>0.7595544371</x:v>
      </x:c>
      <x:c r="K27" s="31" t="n">
        <x:v>0</x:v>
      </x:c>
      <x:c r="L27" s="31" t="n">
        <x:v>0.7595544371</x:v>
      </x:c>
      <x:c r="M27" s="31" t="n">
        <x:v>0</x:v>
      </x:c>
      <x:c r="N27" s="24" t="str">
        <x:v>kajikia audax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Kajikia audax</x:v>
      </x:c>
      <x:c r="T27" s="32" t="n">
        <x:f>IF(O27="","",(1/'Metadata'!$B$5)^(O27-1))</x:f>
        <x:v>3801.8939632056126</x:v>
      </x:c>
      <x:c r="U27" s="31" t="n">
        <x:f>IF(T27="","",I27*T27)</x:f>
        <x:v>2887.7454291365275</x:v>
      </x:c>
    </x:row>
    <x:row r="28" ht="18" customHeight="1">
      <x:c r="A28" s="24" t="str">
        <x:v>EEZ_316</x:v>
      </x:c>
      <x:c r="B28" s="24" t="str">
        <x:v>Guam (USA)</x:v>
      </x:c>
      <x:c r="C28" s="24" t="str">
        <x:v>EEZ</x:v>
      </x:c>
      <x:c r="D28" s="30" t="n">
        <x:v>2019</x:v>
      </x:c>
      <x:c r="E28" s="24" t="str">
        <x:v>Serranidae</x:v>
      </x:c>
      <x:c r="F28" s="24" t="str">
        <x:v>Basses, groupers, hinds</x:v>
      </x:c>
      <x:c r="G28" s="24" t="str">
        <x:v>Medium reef assoc. fish (30 - 89 cm)</x:v>
      </x:c>
      <x:c r="H28" s="24" t="str">
        <x:v>Perch-likes</x:v>
      </x:c>
      <x:c r="I28" s="31" t="n">
        <x:v>0.7467669127000001</x:v>
      </x:c>
      <x:c r="J28" s="31" t="n">
        <x:v>0.7467669127000001</x:v>
      </x:c>
      <x:c r="K28" s="31" t="n">
        <x:v>0</x:v>
      </x:c>
      <x:c r="L28" s="31" t="n">
        <x:v>0.7467669127000001</x:v>
      </x:c>
      <x:c r="M28" s="31" t="n">
        <x:v>0</x:v>
      </x:c>
      <x:c r="N28" s="24" t="str">
        <x:v>serranidae</x:v>
      </x:c>
      <x:c r="O28" s="32" t="n">
        <x:v>3.98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Serranidae</x:v>
      </x:c>
      <x:c r="T28" s="32" t="n">
        <x:f>IF(O28="","",(1/'Metadata'!$B$5)^(O28-1))</x:f>
        <x:v>954.992586021436</x:v>
      </x:c>
      <x:c r="U28" s="31" t="n">
        <x:f>IF(T28="","",I28*T28)</x:f>
        <x:v>713.156865114617</x:v>
      </x:c>
    </x:row>
    <x:row r="29" ht="18" customHeight="1">
      <x:c r="A29" s="24" t="str">
        <x:v>EEZ_316</x:v>
      </x:c>
      <x:c r="B29" s="24" t="str">
        <x:v>Guam (USA)</x:v>
      </x:c>
      <x:c r="C29" s="24" t="str">
        <x:v>EEZ</x:v>
      </x:c>
      <x:c r="D29" s="30" t="n">
        <x:v>2019</x:v>
      </x:c>
      <x:c r="E29" s="24" t="str">
        <x:v>Labridae</x:v>
      </x:c>
      <x:c r="F29" s="24" t="str">
        <x:v>Wrasses, gropers, tuskfishes</x:v>
      </x:c>
      <x:c r="G29" s="24" t="str">
        <x:v>Medium reef assoc. fish (30 - 89 cm)</x:v>
      </x:c>
      <x:c r="H29" s="24" t="str">
        <x:v>Perch-likes</x:v>
      </x:c>
      <x:c r="I29" s="31" t="n">
        <x:v>0.5859295874</x:v>
      </x:c>
      <x:c r="J29" s="31" t="n">
        <x:v>0.5859295874</x:v>
      </x:c>
      <x:c r="K29" s="31" t="n">
        <x:v>0</x:v>
      </x:c>
      <x:c r="L29" s="31" t="n">
        <x:v>0.5859295874</x:v>
      </x:c>
      <x:c r="M29" s="31" t="n">
        <x:v>0</x:v>
      </x:c>
      <x:c r="N29" s="24" t="str">
        <x:v>labridae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Labridae</x:v>
      </x:c>
      <x:c r="T29" s="32" t="n">
        <x:f>IF(O29="","",(1/'Metadata'!$B$5)^(O29-1))</x:f>
        <x:v>288.40315031266056</x:v>
      </x:c>
      <x:c r="U29" s="31" t="n">
        <x:f>IF(T29="","",I29*T29)</x:f>
        <x:v>168.98393886755738</x:v>
      </x:c>
    </x:row>
    <x:row r="30" ht="18" customHeight="1">
      <x:c r="A30" s="24" t="str">
        <x:v>EEZ_316</x:v>
      </x:c>
      <x:c r="B30" s="24" t="str">
        <x:v>Guam (USA)</x:v>
      </x:c>
      <x:c r="C30" s="24" t="str">
        <x:v>EEZ</x:v>
      </x:c>
      <x:c r="D30" s="30" t="n">
        <x:v>2019</x:v>
      </x:c>
      <x:c r="E30" s="24" t="str">
        <x:v>Carcharhinus longimanus</x:v>
      </x:c>
      <x:c r="F30" s="24" t="str">
        <x:v>Oceanic whitetip shark</x:v>
      </x:c>
      <x:c r="G30" s="24" t="str">
        <x:v>Large sharks (&gt;=90 cm)</x:v>
      </x:c>
      <x:c r="H30" s="24" t="str">
        <x:v>Sharks &amp; rays</x:v>
      </x:c>
      <x:c r="I30" s="31" t="n">
        <x:v>0.5380702302</x:v>
      </x:c>
      <x:c r="J30" s="31" t="n">
        <x:v>0</x:v>
      </x:c>
      <x:c r="K30" s="31" t="n">
        <x:v>0.5380702302</x:v>
      </x:c>
      <x:c r="L30" s="31" t="n">
        <x:v>0</x:v>
      </x:c>
      <x:c r="M30" s="31" t="n">
        <x:v>0.5380702302</x:v>
      </x:c>
      <x:c r="N30" s="24" t="str">
        <x:v>carcharhinus longimanus</x:v>
      </x:c>
      <x:c r="O30" s="32" t="n">
        <x:v>4.16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Carcharhinus longimanus</x:v>
      </x:c>
      <x:c r="T30" s="32" t="n">
        <x:f>IF(O30="","",(1/'Metadata'!$B$5)^(O30-1))</x:f>
        <x:v>1445.439770745928</x:v>
      </x:c>
      <x:c r="U30" s="31" t="n">
        <x:f>IF(T30="","",I30*T30)</x:f>
        <x:v>777.7481101854967</x:v>
      </x:c>
    </x:row>
    <x:row r="31" ht="18" customHeight="1">
      <x:c r="A31" s="24" t="str">
        <x:v>EEZ_316</x:v>
      </x:c>
      <x:c r="B31" s="24" t="str">
        <x:v>Guam (USA)</x:v>
      </x:c>
      <x:c r="C31" s="24" t="str">
        <x:v>EEZ</x:v>
      </x:c>
      <x:c r="D31" s="30" t="n">
        <x:v>2019</x:v>
      </x:c>
      <x:c r="E31" s="24" t="str">
        <x:v>Mugilidae</x:v>
      </x:c>
      <x:c r="F31" s="24" t="str">
        <x:v>Mullets, grey mullets</x:v>
      </x:c>
      <x:c r="G31" s="24" t="str">
        <x:v>Medium reef assoc. fish (30 - 89 cm)</x:v>
      </x:c>
      <x:c r="H31" s="24" t="str">
        <x:v>Perch-likes</x:v>
      </x:c>
      <x:c r="I31" s="31" t="n">
        <x:v>0.5329345086</x:v>
      </x:c>
      <x:c r="J31" s="31" t="n">
        <x:v>0.5329345086</x:v>
      </x:c>
      <x:c r="K31" s="31" t="n">
        <x:v>0</x:v>
      </x:c>
      <x:c r="L31" s="31" t="n">
        <x:v>0.5329345086</x:v>
      </x:c>
      <x:c r="M31" s="31" t="n">
        <x:v>0</x:v>
      </x:c>
      <x:c r="N31" s="24" t="str">
        <x:v>mugilidae</x:v>
      </x:c>
      <x:c r="O31" s="32" t="n">
        <x:v>2.53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Mugilidae</x:v>
      </x:c>
      <x:c r="T31" s="32" t="n">
        <x:f>IF(O31="","",(1/'Metadata'!$B$5)^(O31-1))</x:f>
        <x:v>33.88441561392024</x:v>
      </x:c>
      <x:c r="U31" s="31" t="n">
        <x:f>IF(T31="","",I31*T31)</x:f>
        <x:v>18.05817438440275</x:v>
      </x:c>
    </x:row>
    <x:row r="32" ht="18" customHeight="1">
      <x:c r="A32" s="24" t="str">
        <x:v>EEZ_316</x:v>
      </x:c>
      <x:c r="B32" s="24" t="str">
        <x:v>Guam (USA)</x:v>
      </x:c>
      <x:c r="C32" s="24" t="str">
        <x:v>EEZ</x:v>
      </x:c>
      <x:c r="D32" s="30" t="n">
        <x:v>2019</x:v>
      </x:c>
      <x:c r="E32" s="24" t="str">
        <x:v>Sphyraenidae</x:v>
      </x:c>
      <x:c r="F32" s="24" t="str">
        <x:v>Barracudas</x:v>
      </x:c>
      <x:c r="G32" s="24" t="str">
        <x:v>Medium reef assoc. fish (30 - 89 cm)</x:v>
      </x:c>
      <x:c r="H32" s="24" t="str">
        <x:v>Perch-likes</x:v>
      </x:c>
      <x:c r="I32" s="31" t="n">
        <x:v>0.5108501074</x:v>
      </x:c>
      <x:c r="J32" s="31" t="n">
        <x:v>0.5108501074</x:v>
      </x:c>
      <x:c r="K32" s="31" t="n">
        <x:v>0</x:v>
      </x:c>
      <x:c r="L32" s="31" t="n">
        <x:v>0.5108501074</x:v>
      </x:c>
      <x:c r="M32" s="31" t="n">
        <x:v>0</x:v>
      </x:c>
      <x:c r="N32" s="24" t="str">
        <x:v>sphyraenidae</x:v>
      </x:c>
      <x:c r="O32" s="32" t="n">
        <x:v>4.4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Sphyraenidae</x:v>
      </x:c>
      <x:c r="T32" s="32" t="n">
        <x:f>IF(O32="","",(1/'Metadata'!$B$5)^(O32-1))</x:f>
        <x:v>2511.886431509582</x:v>
      </x:c>
      <x:c r="U32" s="31" t="n">
        <x:f>IF(T32="","",I32*T32)</x:f>
        <x:v>1283.1974533132727</x:v>
      </x:c>
    </x:row>
    <x:row r="33" ht="18" customHeight="1">
      <x:c r="A33" s="24" t="str">
        <x:v>EEZ_316</x:v>
      </x:c>
      <x:c r="B33" s="24" t="str">
        <x:v>Guam (USA)</x:v>
      </x:c>
      <x:c r="C33" s="24" t="str">
        <x:v>EEZ</x:v>
      </x:c>
      <x:c r="D33" s="30" t="n">
        <x:v>2019</x:v>
      </x:c>
      <x:c r="E33" s="24" t="str">
        <x:v>Holocentridae</x:v>
      </x:c>
      <x:c r="F33" s="24" t="str">
        <x:v>Squirrel-, soldierfishes</x:v>
      </x:c>
      <x:c r="G33" s="24" t="str">
        <x:v>Small reef assoc. fish (&lt;30 cm)</x:v>
      </x:c>
      <x:c r="H33" s="24" t="str">
        <x:v>Other fishes &amp; inverts</x:v>
      </x:c>
      <x:c r="I33" s="31" t="n">
        <x:v>0.4584641259</x:v>
      </x:c>
      <x:c r="J33" s="31" t="n">
        <x:v>0.4584641259</x:v>
      </x:c>
      <x:c r="K33" s="31" t="n">
        <x:v>0</x:v>
      </x:c>
      <x:c r="L33" s="31" t="n">
        <x:v>0.4584641259</x:v>
      </x:c>
      <x:c r="M33" s="31" t="n">
        <x:v>0</x:v>
      </x:c>
      <x:c r="N33" s="24" t="str">
        <x:v>holocentridae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Holocentridae</x:v>
      </x:c>
      <x:c r="T33" s="32" t="n">
        <x:f>IF(O33="","",(1/'Metadata'!$B$5)^(O33-1))</x:f>
        <x:v>309.0295432513592</x:v>
      </x:c>
      <x:c r="U33" s="31" t="n">
        <x:f>IF(T33="","",I33*T33)</x:f>
        <x:v>141.67895942401066</x:v>
      </x:c>
    </x:row>
    <x:row r="34" ht="18" customHeight="1">
      <x:c r="A34" s="24" t="str">
        <x:v>EEZ_316</x:v>
      </x:c>
      <x:c r="B34" s="24" t="str">
        <x:v>Guam (USA)</x:v>
      </x:c>
      <x:c r="C34" s="24" t="str">
        <x:v>EEZ</x:v>
      </x:c>
      <x:c r="D34" s="30" t="n">
        <x:v>2019</x:v>
      </x:c>
      <x:c r="E34" s="24" t="str">
        <x:v>Balistidae</x:v>
      </x:c>
      <x:c r="F34" s="24" t="str">
        <x:v>Triggerfishes</x:v>
      </x:c>
      <x:c r="G34" s="24" t="str">
        <x:v>Medium reef assoc. fish (30 - 89 cm)</x:v>
      </x:c>
      <x:c r="H34" s="24" t="str">
        <x:v>Other fishes &amp; inverts</x:v>
      </x:c>
      <x:c r="I34" s="31" t="n">
        <x:v>0.4516062575</x:v>
      </x:c>
      <x:c r="J34" s="31" t="n">
        <x:v>0.4516062575</x:v>
      </x:c>
      <x:c r="K34" s="31" t="n">
        <x:v>0</x:v>
      </x:c>
      <x:c r="L34" s="31" t="n">
        <x:v>0.4516062575</x:v>
      </x:c>
      <x:c r="M34" s="31" t="n">
        <x:v>0</x:v>
      </x:c>
      <x:c r="N34" s="24" t="str">
        <x:v>balistidae</x:v>
      </x:c>
      <x:c r="O34" s="32" t="n">
        <x:v>3.25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Balistidae</x:v>
      </x:c>
      <x:c r="T34" s="32" t="n">
        <x:f>IF(O34="","",(1/'Metadata'!$B$5)^(O34-1))</x:f>
        <x:v>177.82794100389228</x:v>
      </x:c>
      <x:c r="U34" s="31" t="n">
        <x:f>IF(T34="","",I34*T34)</x:f>
        <x:v>80.30821091569858</x:v>
      </x:c>
    </x:row>
    <x:row r="35" ht="18" customHeight="1">
      <x:c r="A35" s="24" t="str">
        <x:v>EEZ_316</x:v>
      </x:c>
      <x:c r="B35" s="24" t="str">
        <x:v>Guam (USA)</x:v>
      </x:c>
      <x:c r="C35" s="24" t="str">
        <x:v>EEZ</x:v>
      </x:c>
      <x:c r="D35" s="30" t="n">
        <x:v>2019</x:v>
      </x:c>
      <x:c r="E35" s="24" t="str">
        <x:v>Kyphosidae</x:v>
      </x:c>
      <x:c r="F35" s="24" t="str">
        <x:v>Sea chubs, knifefishes, niblers</x:v>
      </x:c>
      <x:c r="G35" s="24" t="str">
        <x:v>Medium reef assoc. fish (30 - 89 cm)</x:v>
      </x:c>
      <x:c r="H35" s="24" t="str">
        <x:v>Perch-likes</x:v>
      </x:c>
      <x:c r="I35" s="31" t="n">
        <x:v>0.3568088842</x:v>
      </x:c>
      <x:c r="J35" s="31" t="n">
        <x:v>0.3568088842</x:v>
      </x:c>
      <x:c r="K35" s="31" t="n">
        <x:v>0</x:v>
      </x:c>
      <x:c r="L35" s="31" t="n">
        <x:v>0.3568088842</x:v>
      </x:c>
      <x:c r="M35" s="31" t="n">
        <x:v>0</x:v>
      </x:c>
      <x:c r="N35" s="24" t="str">
        <x:v>kyphosidae</x:v>
      </x:c>
      <x:c r="O35" s="32" t="n">
        <x:v>2.19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Kyphosidae</x:v>
      </x:c>
      <x:c r="T35" s="32" t="n">
        <x:f>IF(O35="","",(1/'Metadata'!$B$5)^(O35-1))</x:f>
        <x:v>15.488166189124811</x:v>
      </x:c>
      <x:c r="U35" s="31" t="n">
        <x:f>IF(T35="","",I35*T35)</x:f>
        <x:v>5.52631529624579</x:v>
      </x:c>
    </x:row>
    <x:row r="36" ht="18" customHeight="1">
      <x:c r="A36" s="24" t="str">
        <x:v>EEZ_316</x:v>
      </x:c>
      <x:c r="B36" s="24" t="str">
        <x:v>Guam (USA)</x:v>
      </x:c>
      <x:c r="C36" s="24" t="str">
        <x:v>EEZ</x:v>
      </x:c>
      <x:c r="D36" s="30" t="n">
        <x:v>2019</x:v>
      </x:c>
      <x:c r="E36" s="24" t="str">
        <x:v>Palinuridae</x:v>
      </x:c>
      <x:c r="F36" s="24" t="str">
        <x:v>Spiny lobsters</x:v>
      </x:c>
      <x:c r="G36" s="24" t="str">
        <x:v>Lobsters, crabs</x:v>
      </x:c>
      <x:c r="H36" s="24" t="str">
        <x:v>Crustaceans</x:v>
      </x:c>
      <x:c r="I36" s="31" t="n">
        <x:v>0.3209357085</x:v>
      </x:c>
      <x:c r="J36" s="31" t="n">
        <x:v>0.3209357085</x:v>
      </x:c>
      <x:c r="K36" s="31" t="n">
        <x:v>0</x:v>
      </x:c>
      <x:c r="L36" s="31" t="n">
        <x:v>0.3209357085</x:v>
      </x:c>
      <x:c r="M36" s="31" t="n">
        <x:v>0</x:v>
      </x:c>
      <x:c r="N36" s="24" t="str">
        <x:v>palinuridae</x:v>
      </x:c>
      <x:c r="O36" s="32" t="n">
        <x:v>3.14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Palinuridae</x:v>
      </x:c>
      <x:c r="T36" s="32" t="n">
        <x:f>IF(O36="","",(1/'Metadata'!$B$5)^(O36-1))</x:f>
        <x:v>138.03842646028852</x:v>
      </x:c>
      <x:c r="U36" s="31" t="n">
        <x:f>IF(T36="","",I36*T36)</x:f>
        <x:v>44.30146019625785</x:v>
      </x:c>
    </x:row>
    <x:row r="37" ht="18" customHeight="1">
      <x:c r="A37" s="24" t="str">
        <x:v>EEZ_316</x:v>
      </x:c>
      <x:c r="B37" s="24" t="str">
        <x:v>Guam (USA)</x:v>
      </x:c>
      <x:c r="C37" s="24" t="str">
        <x:v>EEZ</x:v>
      </x:c>
      <x:c r="D37" s="30" t="n">
        <x:v>2019</x:v>
      </x:c>
      <x:c r="E37" s="24" t="str">
        <x:v>Acanthocybium solandri</x:v>
      </x:c>
      <x:c r="F37" s="24" t="str">
        <x:v>Wahoo</x:v>
      </x:c>
      <x:c r="G37" s="24" t="str">
        <x:v>Large pelagics (&gt;=90 cm)</x:v>
      </x:c>
      <x:c r="H37" s="24" t="str">
        <x:v>Perch-likes</x:v>
      </x:c>
      <x:c r="I37" s="31" t="n">
        <x:v>0.2961385861</x:v>
      </x:c>
      <x:c r="J37" s="31" t="n">
        <x:v>0</x:v>
      </x:c>
      <x:c r="K37" s="31" t="n">
        <x:v>0.2961385861</x:v>
      </x:c>
      <x:c r="L37" s="31" t="n">
        <x:v>0</x:v>
      </x:c>
      <x:c r="M37" s="31" t="n">
        <x:v>0.2961385861</x:v>
      </x:c>
      <x:c r="N37" s="24" t="str">
        <x:v>acanthocybium solandri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Acanthocybium solandri</x:v>
      </x:c>
      <x:c r="T37" s="32" t="n">
        <x:f>IF(O37="","",(1/'Metadata'!$B$5)^(O37-1))</x:f>
        <x:v>1819.7008586099826</x:v>
      </x:c>
      <x:c r="U37" s="31" t="n">
        <x:f>IF(T37="","",I37*T37)</x:f>
        <x:v>538.8836393937162</x:v>
      </x:c>
    </x:row>
    <x:row r="38" ht="18" customHeight="1">
      <x:c r="A38" s="24" t="str">
        <x:v>EEZ_316</x:v>
      </x:c>
      <x:c r="B38" s="24" t="str">
        <x:v>Guam (USA)</x:v>
      </x:c>
      <x:c r="C38" s="24" t="str">
        <x:v>EEZ</x:v>
      </x:c>
      <x:c r="D38" s="30" t="n">
        <x:v>2019</x:v>
      </x:c>
      <x:c r="E38" s="24" t="str">
        <x:v>Muraenidae</x:v>
      </x:c>
      <x:c r="F38" s="24" t="str">
        <x:v>Moray eels</x:v>
      </x:c>
      <x:c r="G38" s="24" t="str">
        <x:v>Large reef assoc. fish (&gt;=90 cm)</x:v>
      </x:c>
      <x:c r="H38" s="24" t="str">
        <x:v>Other fishes &amp; inverts</x:v>
      </x:c>
      <x:c r="I38" s="31" t="n">
        <x:v>0.2213047801</x:v>
      </x:c>
      <x:c r="J38" s="31" t="n">
        <x:v>0.2213047801</x:v>
      </x:c>
      <x:c r="K38" s="31" t="n">
        <x:v>0</x:v>
      </x:c>
      <x:c r="L38" s="31" t="n">
        <x:v>0.2213047801</x:v>
      </x:c>
      <x:c r="M38" s="31" t="n">
        <x:v>0</x:v>
      </x:c>
      <x:c r="N38" s="24" t="str">
        <x:v>muraenidae</x:v>
      </x:c>
      <x:c r="O38" s="32" t="n">
        <x:v>4.07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Muraenidae</x:v>
      </x:c>
      <x:c r="T38" s="32" t="n">
        <x:f>IF(O38="","",(1/'Metadata'!$B$5)^(O38-1))</x:f>
        <x:v>1174.8975549395302</x:v>
      </x:c>
      <x:c r="U38" s="31" t="n">
        <x:f>IF(T38="","",I38*T38)</x:f>
        <x:v>260.0104450359204</x:v>
      </x:c>
    </x:row>
    <x:row r="39" ht="18" customHeight="1">
      <x:c r="A39" s="24" t="str">
        <x:v>EEZ_316</x:v>
      </x:c>
      <x:c r="B39" s="24" t="str">
        <x:v>Guam (USA)</x:v>
      </x:c>
      <x:c r="C39" s="24" t="str">
        <x:v>EEZ</x:v>
      </x:c>
      <x:c r="D39" s="30" t="n">
        <x:v>2019</x:v>
      </x:c>
      <x:c r="E39" s="24" t="str">
        <x:v>Hemiramphidae</x:v>
      </x:c>
      <x:c r="F39" s="24" t="str">
        <x:v>Halfbeaks, garfishes</x:v>
      </x:c>
      <x:c r="G39" s="24" t="str">
        <x:v>Medium pelagics (30 - 89 cm)</x:v>
      </x:c>
      <x:c r="H39" s="24" t="str">
        <x:v>Other fishes &amp; inverts</x:v>
      </x:c>
      <x:c r="I39" s="31" t="n">
        <x:v>0.1392515634</x:v>
      </x:c>
      <x:c r="J39" s="31" t="n">
        <x:v>0.1392515634</x:v>
      </x:c>
      <x:c r="K39" s="31" t="n">
        <x:v>0</x:v>
      </x:c>
      <x:c r="L39" s="31" t="n">
        <x:v>0.1392515634</x:v>
      </x:c>
      <x:c r="M39" s="31" t="n">
        <x:v>0</x:v>
      </x:c>
      <x:c r="N39" s="24" t="str">
        <x:v>hemiramphidae</x:v>
      </x:c>
      <x:c r="O39" s="32" t="n">
        <x:v>2.82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Hemiramphidae</x:v>
      </x:c>
      <x:c r="T39" s="32" t="n">
        <x:f>IF(O39="","",(1/'Metadata'!$B$5)^(O39-1))</x:f>
        <x:v>66.06934480075958</x:v>
      </x:c>
      <x:c r="U39" s="31" t="n">
        <x:f>IF(T39="","",I39*T39)</x:f>
        <x:v>9.200259556319432</x:v>
      </x:c>
    </x:row>
    <x:row r="40" ht="18" customHeight="1">
      <x:c r="A40" s="24" t="str">
        <x:v>EEZ_316</x:v>
      </x:c>
      <x:c r="B40" s="24" t="str">
        <x:v>Guam (USA)</x:v>
      </x:c>
      <x:c r="C40" s="24" t="str">
        <x:v>EEZ</x:v>
      </x:c>
      <x:c r="D40" s="30" t="n">
        <x:v>2019</x:v>
      </x:c>
      <x:c r="E40" s="24" t="str">
        <x:v>Gerreidae</x:v>
      </x:c>
      <x:c r="F40" s="24" t="str">
        <x:v>Mojarras, silverbellies</x:v>
      </x:c>
      <x:c r="G40" s="24" t="str">
        <x:v>Small benthopelagics (&lt;30 cm)</x:v>
      </x:c>
      <x:c r="H40" s="24" t="str">
        <x:v>Perch-likes</x:v>
      </x:c>
      <x:c r="I40" s="31" t="n">
        <x:v>0.11561398640000001</x:v>
      </x:c>
      <x:c r="J40" s="31" t="n">
        <x:v>0.11561398640000001</x:v>
      </x:c>
      <x:c r="K40" s="31" t="n">
        <x:v>0</x:v>
      </x:c>
      <x:c r="L40" s="31" t="n">
        <x:v>0.11561398640000001</x:v>
      </x:c>
      <x:c r="M40" s="31" t="n">
        <x:v>0</x:v>
      </x:c>
      <x:c r="N40" s="24" t="str">
        <x:v>gerreidae</x:v>
      </x:c>
      <x:c r="O40" s="32" t="n">
        <x:v>3.03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Gerreidae</x:v>
      </x:c>
      <x:c r="T40" s="32" t="n">
        <x:f>IF(O40="","",(1/'Metadata'!$B$5)^(O40-1))</x:f>
        <x:v>107.1519305237606</x:v>
      </x:c>
      <x:c r="U40" s="31" t="n">
        <x:f>IF(T40="","",I40*T40)</x:f>
        <x:v>12.388261838307804</x:v>
      </x:c>
    </x:row>
    <x:row r="41" ht="18" customHeight="1">
      <x:c r="A41" s="24" t="str">
        <x:v>EEZ_316</x:v>
      </x:c>
      <x:c r="B41" s="24" t="str">
        <x:v>Guam (USA)</x:v>
      </x:c>
      <x:c r="C41" s="24" t="str">
        <x:v>EEZ</x:v>
      </x:c>
      <x:c r="D41" s="30" t="n">
        <x:v>2019</x:v>
      </x:c>
      <x:c r="E41" s="24" t="str">
        <x:v>Alopias</x:v>
      </x:c>
      <x:c r="F41" s="24" t="str">
        <x:v>Thresher sharks</x:v>
      </x:c>
      <x:c r="G41" s="24" t="str">
        <x:v>Large sharks (&gt;=90 cm)</x:v>
      </x:c>
      <x:c r="H41" s="24" t="str">
        <x:v>Sharks &amp; rays</x:v>
      </x:c>
      <x:c r="I41" s="31" t="n">
        <x:v>0.1082571009</x:v>
      </x:c>
      <x:c r="J41" s="31" t="n">
        <x:v>0.0589135045</x:v>
      </x:c>
      <x:c r="K41" s="31" t="n">
        <x:v>0.0493435964</x:v>
      </x:c>
      <x:c r="L41" s="31" t="n">
        <x:v>0.0589135045</x:v>
      </x:c>
      <x:c r="M41" s="31" t="n">
        <x:v>0.0493435964</x:v>
      </x:c>
      <x:c r="N41" s="24" t="str">
        <x:v>alopias</x:v>
      </x:c>
      <x:c r="O41" s="32" t="n">
        <x:v>4.5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Alopias</x:v>
      </x:c>
      <x:c r="T41" s="32" t="n">
        <x:f>IF(O41="","",(1/'Metadata'!$B$5)^(O41-1))</x:f>
        <x:v>3162.2776601683795</x:v>
      </x:c>
      <x:c r="U41" s="31" t="n">
        <x:f>IF(T41="","",I41*T41)</x:f>
        <x:v>342.3390117306642</x:v>
      </x:c>
    </x:row>
    <x:row r="42" ht="18" customHeight="1">
      <x:c r="A42" s="24" t="str">
        <x:v>EEZ_316</x:v>
      </x:c>
      <x:c r="B42" s="24" t="str">
        <x:v>Guam (USA)</x:v>
      </x:c>
      <x:c r="C42" s="24" t="str">
        <x:v>EEZ</x:v>
      </x:c>
      <x:c r="D42" s="30" t="n">
        <x:v>2019</x:v>
      </x:c>
      <x:c r="E42" s="24" t="str">
        <x:v>Istiompax indica</x:v>
      </x:c>
      <x:c r="F42" s="24" t="str">
        <x:v>Black marlin</x:v>
      </x:c>
      <x:c r="G42" s="24" t="str">
        <x:v>Large pelagics (&gt;=90 cm)</x:v>
      </x:c>
      <x:c r="H42" s="24" t="str">
        <x:v>Tuna &amp; billfishes</x:v>
      </x:c>
      <x:c r="I42" s="31" t="n">
        <x:v>0.0682231541</x:v>
      </x:c>
      <x:c r="J42" s="31" t="n">
        <x:v>0.0682231541</x:v>
      </x:c>
      <x:c r="K42" s="31" t="n">
        <x:v>0</x:v>
      </x:c>
      <x:c r="L42" s="31" t="n">
        <x:v>0.0682231541</x:v>
      </x:c>
      <x:c r="M42" s="31" t="n">
        <x:v>0</x:v>
      </x:c>
      <x:c r="N42" s="24" t="str">
        <x:v>istiompax indica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Istiompax indica</x:v>
      </x:c>
      <x:c r="T42" s="32" t="n">
        <x:f>IF(O42="","",(1/'Metadata'!$B$5)^(O42-1))</x:f>
        <x:v>3162.2776601683795</x:v>
      </x:c>
      <x:c r="U42" s="31" t="n">
        <x:f>IF(T42="","",I42*T42)</x:f>
        <x:v>215.7405561166548</x:v>
      </x:c>
    </x:row>
    <x:row r="43" ht="18" customHeight="1">
      <x:c r="A43" s="24" t="str">
        <x:v>EEZ_316</x:v>
      </x:c>
      <x:c r="B43" s="24" t="str">
        <x:v>Guam (USA)</x:v>
      </x:c>
      <x:c r="C43" s="24" t="str">
        <x:v>EEZ</x:v>
      </x:c>
      <x:c r="D43" s="30" t="n">
        <x:v>2019</x:v>
      </x:c>
      <x:c r="E43" s="24" t="str">
        <x:v>Lambis</x:v>
      </x:c>
      <x:c r="F43" s="24" t="str">
        <x:v>Spider conches</x:v>
      </x:c>
      <x:c r="G43" s="24" t="str">
        <x:v>Other demersal invertebrates</x:v>
      </x:c>
      <x:c r="H43" s="24" t="str">
        <x:v>Molluscs</x:v>
      </x:c>
      <x:c r="I43" s="31" t="n">
        <x:v>0.0643587349</x:v>
      </x:c>
      <x:c r="J43" s="31" t="n">
        <x:v>0.0643587349</x:v>
      </x:c>
      <x:c r="K43" s="31" t="n">
        <x:v>0</x:v>
      </x:c>
      <x:c r="L43" s="31" t="n">
        <x:v>0.0643587349</x:v>
      </x:c>
      <x:c r="M43" s="31" t="n">
        <x:v>0</x:v>
      </x:c>
      <x:c r="N43" s="24" t="str">
        <x:v>lambis</x:v>
      </x:c>
      <x:c r="O43" s="32" t="n">
        <x:v>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Lambis</x:v>
      </x:c>
      <x:c r="T43" s="32" t="n">
        <x:f>IF(O43="","",(1/'Metadata'!$B$5)^(O43-1))</x:f>
        <x:v>10</x:v>
      </x:c>
      <x:c r="U43" s="31" t="n">
        <x:f>IF(T43="","",I43*T43)</x:f>
        <x:v>0.643587349</x:v>
      </x:c>
    </x:row>
    <x:row r="44" ht="18" customHeight="1">
      <x:c r="A44" s="24" t="str">
        <x:v>EEZ_316</x:v>
      </x:c>
      <x:c r="B44" s="24" t="str">
        <x:v>Guam (USA)</x:v>
      </x:c>
      <x:c r="C44" s="24" t="str">
        <x:v>EEZ</x:v>
      </x:c>
      <x:c r="D44" s="30" t="n">
        <x:v>2019</x:v>
      </x:c>
      <x:c r="E44" s="24" t="str">
        <x:v>Portunidae</x:v>
      </x:c>
      <x:c r="F44" s="24" t="str">
        <x:v>Swimming crabs</x:v>
      </x:c>
      <x:c r="G44" s="24" t="str">
        <x:v>Lobsters, crabs</x:v>
      </x:c>
      <x:c r="H44" s="24" t="str">
        <x:v>Crustaceans</x:v>
      </x:c>
      <x:c r="I44" s="31" t="n">
        <x:v>0.0572262992</x:v>
      </x:c>
      <x:c r="J44" s="31" t="n">
        <x:v>0.0572262992</x:v>
      </x:c>
      <x:c r="K44" s="31" t="n">
        <x:v>0</x:v>
      </x:c>
      <x:c r="L44" s="31" t="n">
        <x:v>0.0572262992</x:v>
      </x:c>
      <x:c r="M44" s="31" t="n">
        <x:v>0</x:v>
      </x:c>
      <x:c r="N44" s="24" t="str">
        <x:v>portunidae</x:v>
      </x:c>
      <x:c r="O44" s="32" t="n">
        <x:v>3.56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Portunidae</x:v>
      </x:c>
      <x:c r="T44" s="32" t="n">
        <x:f>IF(O44="","",(1/'Metadata'!$B$5)^(O44-1))</x:f>
        <x:v>363.0780547701014</x:v>
      </x:c>
      <x:c r="U44" s="31" t="n">
        <x:f>IF(T44="","",I44*T44)</x:f>
        <x:v>20.77761339522781</x:v>
      </x:c>
    </x:row>
    <x:row r="45" ht="18" customHeight="1">
      <x:c r="A45" s="24" t="str">
        <x:v>EEZ_316</x:v>
      </x:c>
      <x:c r="B45" s="24" t="str">
        <x:v>Guam (USA)</x:v>
      </x:c>
      <x:c r="C45" s="24" t="str">
        <x:v>EEZ</x:v>
      </x:c>
      <x:c r="D45" s="30" t="n">
        <x:v>2019</x:v>
      </x:c>
      <x:c r="E45" s="24" t="str">
        <x:v>Trochus niloticus</x:v>
      </x:c>
      <x:c r="F45" s="24" t="str">
        <x:v>Commercial top</x:v>
      </x:c>
      <x:c r="G45" s="24" t="str">
        <x:v>Other demersal invertebrates</x:v>
      </x:c>
      <x:c r="H45" s="24" t="str">
        <x:v>Molluscs</x:v>
      </x:c>
      <x:c r="I45" s="31" t="n">
        <x:v>0.0517579483</x:v>
      </x:c>
      <x:c r="J45" s="31" t="n">
        <x:v>0.0517579483</x:v>
      </x:c>
      <x:c r="K45" s="31" t="n">
        <x:v>0</x:v>
      </x:c>
      <x:c r="L45" s="31" t="n">
        <x:v>0.0517579483</x:v>
      </x:c>
      <x:c r="M45" s="31" t="n">
        <x:v>0</x:v>
      </x:c>
      <x:c r="N45" s="24" t="str">
        <x:v>trochus niloticus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Trochus niloticus</x:v>
      </x:c>
      <x:c r="T45" s="32" t="n">
        <x:f>IF(O45="","",(1/'Metadata'!$B$5)^(O45-1))</x:f>
        <x:v>10</x:v>
      </x:c>
      <x:c r="U45" s="31" t="n">
        <x:f>IF(T45="","",I45*T45)</x:f>
        <x:v>0.517579483</x:v>
      </x:c>
    </x:row>
    <x:row r="46" ht="18" customHeight="1">
      <x:c r="A46" s="24" t="str">
        <x:v>EEZ_316</x:v>
      </x:c>
      <x:c r="B46" s="24" t="str">
        <x:v>Guam (USA)</x:v>
      </x:c>
      <x:c r="C46" s="24" t="str">
        <x:v>EEZ</x:v>
      </x:c>
      <x:c r="D46" s="30" t="n">
        <x:v>2019</x:v>
      </x:c>
      <x:c r="E46" s="24" t="str">
        <x:v>Priacanthidae</x:v>
      </x:c>
      <x:c r="F46" s="24" t="str">
        <x:v>Bigeyes, catalufas</x:v>
      </x:c>
      <x:c r="G46" s="24" t="str">
        <x:v>Medium reef assoc. fish (30 - 89 cm)</x:v>
      </x:c>
      <x:c r="H46" s="24" t="str">
        <x:v>Perch-likes</x:v>
      </x:c>
      <x:c r="I46" s="31" t="n">
        <x:v>0.050340929</x:v>
      </x:c>
      <x:c r="J46" s="31" t="n">
        <x:v>0.050340929</x:v>
      </x:c>
      <x:c r="K46" s="31" t="n">
        <x:v>0</x:v>
      </x:c>
      <x:c r="L46" s="31" t="n">
        <x:v>0.050340929</x:v>
      </x:c>
      <x:c r="M46" s="31" t="n">
        <x:v>0</x:v>
      </x:c>
      <x:c r="N46" s="24" t="str">
        <x:v>priacanthidae</x:v>
      </x:c>
      <x:c r="O46" s="32" t="n">
        <x:v>3.79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Priacanthidae</x:v>
      </x:c>
      <x:c r="T46" s="32" t="n">
        <x:f>IF(O46="","",(1/'Metadata'!$B$5)^(O46-1))</x:f>
        <x:v>616.5950018614822</x:v>
      </x:c>
      <x:c r="U46" s="31" t="n">
        <x:f>IF(T46="","",I46*T46)</x:f>
        <x:v>31.03996521046374</x:v>
      </x:c>
    </x:row>
    <x:row r="47" ht="18" customHeight="1">
      <x:c r="A47" s="24" t="str">
        <x:v>EEZ_316</x:v>
      </x:c>
      <x:c r="B47" s="24" t="str">
        <x:v>Guam (USA)</x:v>
      </x:c>
      <x:c r="C47" s="24" t="str">
        <x:v>EEZ</x:v>
      </x:c>
      <x:c r="D47" s="30" t="n">
        <x:v>2019</x:v>
      </x:c>
      <x:c r="E47" s="24" t="str">
        <x:v>Xanthidae</x:v>
      </x:c>
      <x:c r="F47" s="24" t="str">
        <x:v>Xanthidae</x:v>
      </x:c>
      <x:c r="G47" s="24" t="str">
        <x:v>Lobsters, crabs</x:v>
      </x:c>
      <x:c r="H47" s="24" t="str">
        <x:v>Crustaceans</x:v>
      </x:c>
      <x:c r="I47" s="31" t="n">
        <x:v>0.0434871183</x:v>
      </x:c>
      <x:c r="J47" s="31" t="n">
        <x:v>0.0434871183</x:v>
      </x:c>
      <x:c r="K47" s="31" t="n">
        <x:v>0</x:v>
      </x:c>
      <x:c r="L47" s="31" t="n">
        <x:v>0.0434871183</x:v>
      </x:c>
      <x:c r="M47" s="31" t="n">
        <x:v>0</x:v>
      </x:c>
      <x:c r="N47" s="24" t="str">
        <x:v>xanthidae</x:v>
      </x:c>
      <x:c r="O47" s="32" t="n">
        <x:v>3.38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Xanthidae</x:v>
      </x:c>
      <x:c r="T47" s="32" t="n">
        <x:f>IF(O47="","",(1/'Metadata'!$B$5)^(O47-1))</x:f>
        <x:v>239.88329190194898</x:v>
      </x:c>
      <x:c r="U47" s="31" t="n">
        <x:f>IF(T47="","",I47*T47)</x:f>
        <x:v>10.431833093133488</x:v>
      </x:c>
    </x:row>
    <x:row r="48" ht="18" customHeight="1">
      <x:c r="A48" s="24" t="str">
        <x:v>EEZ_316</x:v>
      </x:c>
      <x:c r="B48" s="24" t="str">
        <x:v>Guam (USA)</x:v>
      </x:c>
      <x:c r="C48" s="24" t="str">
        <x:v>EEZ</x:v>
      </x:c>
      <x:c r="D48" s="30" t="n">
        <x:v>2019</x:v>
      </x:c>
      <x:c r="E48" s="24" t="str">
        <x:v>Pomacentridae</x:v>
      </x:c>
      <x:c r="F48" s="24" t="str">
        <x:v>Damselfishes</x:v>
      </x:c>
      <x:c r="G48" s="24" t="str">
        <x:v>Small reef assoc. fish (&lt;30 cm)</x:v>
      </x:c>
      <x:c r="H48" s="24" t="str">
        <x:v>Perch-likes</x:v>
      </x:c>
      <x:c r="I48" s="31" t="n">
        <x:v>0.0425461958</x:v>
      </x:c>
      <x:c r="J48" s="31" t="n">
        <x:v>0.0425461958</x:v>
      </x:c>
      <x:c r="K48" s="31" t="n">
        <x:v>0</x:v>
      </x:c>
      <x:c r="L48" s="31" t="n">
        <x:v>0.0425461958</x:v>
      </x:c>
      <x:c r="M48" s="31" t="n">
        <x:v>0</x:v>
      </x:c>
      <x:c r="N48" s="24" t="str">
        <x:v>pomacentridae</x:v>
      </x:c>
      <x:c r="O48" s="32" t="n">
        <x:v>2.57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Pomacentridae</x:v>
      </x:c>
      <x:c r="T48" s="32" t="n">
        <x:f>IF(O48="","",(1/'Metadata'!$B$5)^(O48-1))</x:f>
        <x:v>37.15352290971724</x:v>
      </x:c>
      <x:c r="U48" s="31" t="n">
        <x:f>IF(T48="","",I48*T48)</x:f>
        <x:v>1.5807410603766154</x:v>
      </x:c>
    </x:row>
    <x:row r="49" ht="18" customHeight="1">
      <x:c r="A49" s="24" t="str">
        <x:v>EEZ_316</x:v>
      </x:c>
      <x:c r="B49" s="24" t="str">
        <x:v>Guam (USA)</x:v>
      </x:c>
      <x:c r="C49" s="24" t="str">
        <x:v>EEZ</x:v>
      </x:c>
      <x:c r="D49" s="30" t="n">
        <x:v>2019</x:v>
      </x:c>
      <x:c r="E49" s="24" t="str">
        <x:v>Haemulidae</x:v>
      </x:c>
      <x:c r="F49" s="24" t="str">
        <x:v>Grunts, sweetlips, bonnetmouths</x:v>
      </x:c>
      <x:c r="G49" s="24" t="str">
        <x:v>Medium demersals (30 - 89 cm)</x:v>
      </x:c>
      <x:c r="H49" s="24" t="str">
        <x:v>Perch-likes</x:v>
      </x:c>
      <x:c r="I49" s="31" t="n">
        <x:v>0.042323476400000004</x:v>
      </x:c>
      <x:c r="J49" s="31" t="n">
        <x:v>0.042323476400000004</x:v>
      </x:c>
      <x:c r="K49" s="31" t="n">
        <x:v>0</x:v>
      </x:c>
      <x:c r="L49" s="31" t="n">
        <x:v>0.042323476400000004</x:v>
      </x:c>
      <x:c r="M49" s="31" t="n">
        <x:v>0</x:v>
      </x:c>
      <x:c r="N49" s="24" t="str">
        <x:v>haemulidae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Haemulidae</x:v>
      </x:c>
      <x:c r="T49" s="32" t="n">
        <x:f>IF(O49="","",(1/'Metadata'!$B$5)^(O49-1))</x:f>
        <x:v>229.08676527677724</x:v>
      </x:c>
      <x:c r="U49" s="31" t="n">
        <x:f>IF(T49="","",I49*T49)</x:f>
        <x:v>9.695748303744022</x:v>
      </x:c>
    </x:row>
    <x:row r="50" ht="18" customHeight="1">
      <x:c r="A50" s="24" t="str">
        <x:v>EEZ_316</x:v>
      </x:c>
      <x:c r="B50" s="24" t="str">
        <x:v>Guam (USA)</x:v>
      </x:c>
      <x:c r="C50" s="24" t="str">
        <x:v>EEZ</x:v>
      </x:c>
      <x:c r="D50" s="30" t="n">
        <x:v>2019</x:v>
      </x:c>
      <x:c r="E50" s="24" t="str">
        <x:v>Monacanthidae</x:v>
      </x:c>
      <x:c r="F50" s="24" t="str">
        <x:v>Filefishes</x:v>
      </x:c>
      <x:c r="G50" s="24" t="str">
        <x:v>Medium reef assoc. fish (30 - 89 cm)</x:v>
      </x:c>
      <x:c r="H50" s="24" t="str">
        <x:v>Other fishes &amp; inverts</x:v>
      </x:c>
      <x:c r="I50" s="31" t="n">
        <x:v>0.0419600918</x:v>
      </x:c>
      <x:c r="J50" s="31" t="n">
        <x:v>0.0419600918</x:v>
      </x:c>
      <x:c r="K50" s="31" t="n">
        <x:v>0</x:v>
      </x:c>
      <x:c r="L50" s="31" t="n">
        <x:v>0.0419600918</x:v>
      </x:c>
      <x:c r="M50" s="31" t="n">
        <x:v>0</x:v>
      </x:c>
      <x:c r="N50" s="24" t="str">
        <x:v>monacanthidae</x:v>
      </x:c>
      <x:c r="O50" s="32" t="n">
        <x:v>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Monacanthidae</x:v>
      </x:c>
      <x:c r="T50" s="32" t="n">
        <x:f>IF(O50="","",(1/'Metadata'!$B$5)^(O50-1))</x:f>
        <x:v>100</x:v>
      </x:c>
      <x:c r="U50" s="31" t="n">
        <x:f>IF(T50="","",I50*T50)</x:f>
        <x:v>4.19600918</x:v>
      </x:c>
    </x:row>
    <x:row r="51" ht="18" customHeight="1">
      <x:c r="A51" s="24" t="str">
        <x:v>EEZ_316</x:v>
      </x:c>
      <x:c r="B51" s="24" t="str">
        <x:v>Guam (USA)</x:v>
      </x:c>
      <x:c r="C51" s="24" t="str">
        <x:v>EEZ</x:v>
      </x:c>
      <x:c r="D51" s="30" t="n">
        <x:v>2019</x:v>
      </x:c>
      <x:c r="E51" s="24" t="str">
        <x:v>Tripneustes gratilla</x:v>
      </x:c>
      <x:c r="F51" s="24" t="str">
        <x:v>Shortspine urchin</x:v>
      </x:c>
      <x:c r="G51" s="24" t="str">
        <x:v>Other demersal invertebrates</x:v>
      </x:c>
      <x:c r="H51" s="24" t="str">
        <x:v>Other fishes &amp; inverts</x:v>
      </x:c>
      <x:c r="I51" s="31" t="n">
        <x:v>0.0401476777</x:v>
      </x:c>
      <x:c r="J51" s="31" t="n">
        <x:v>0.0401476777</x:v>
      </x:c>
      <x:c r="K51" s="31" t="n">
        <x:v>0</x:v>
      </x:c>
      <x:c r="L51" s="31" t="n">
        <x:v>0.0401476777</x:v>
      </x:c>
      <x:c r="M51" s="31" t="n">
        <x:v>0</x:v>
      </x:c>
      <x:c r="N51" s="24" t="str">
        <x:v>tripneustes gratilla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Tripneustes gratilla</x:v>
      </x:c>
      <x:c r="T51" s="32" t="n">
        <x:f>IF(O51="","",(1/'Metadata'!$B$5)^(O51-1))</x:f>
        <x:v>10</x:v>
      </x:c>
      <x:c r="U51" s="31" t="n">
        <x:f>IF(T51="","",I51*T51)</x:f>
        <x:v>0.401476777</x:v>
      </x:c>
    </x:row>
    <x:row r="52" ht="18" customHeight="1">
      <x:c r="A52" s="24" t="str">
        <x:v>EEZ_316</x:v>
      </x:c>
      <x:c r="B52" s="24" t="str">
        <x:v>Guam (USA)</x:v>
      </x:c>
      <x:c r="C52" s="24" t="str">
        <x:v>EEZ</x:v>
      </x:c>
      <x:c r="D52" s="30" t="n">
        <x:v>2019</x:v>
      </x:c>
      <x:c r="E52" s="24" t="str">
        <x:v>Chanos chanos</x:v>
      </x:c>
      <x:c r="F52" s="24" t="str">
        <x:v>Milkfish</x:v>
      </x:c>
      <x:c r="G52" s="24" t="str">
        <x:v>Large benthopelagics (&gt;=90 cm)</x:v>
      </x:c>
      <x:c r="H52" s="24" t="str">
        <x:v>Other fishes &amp; inverts</x:v>
      </x:c>
      <x:c r="I52" s="31" t="n">
        <x:v>0.0379299501</x:v>
      </x:c>
      <x:c r="J52" s="31" t="n">
        <x:v>0.0379299501</x:v>
      </x:c>
      <x:c r="K52" s="31" t="n">
        <x:v>0</x:v>
      </x:c>
      <x:c r="L52" s="31" t="n">
        <x:v>0.0379299501</x:v>
      </x:c>
      <x:c r="M52" s="31" t="n">
        <x:v>0</x:v>
      </x:c>
      <x:c r="N52" s="24" t="str">
        <x:v>chanos chanos</x:v>
      </x:c>
      <x:c r="O52" s="32" t="n">
        <x:v>2.03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Chanos chanos</x:v>
      </x:c>
      <x:c r="T52" s="32" t="n">
        <x:f>IF(O52="","",(1/'Metadata'!$B$5)^(O52-1))</x:f>
        <x:v>10.71519305237606</x:v>
      </x:c>
      <x:c r="U52" s="31" t="n">
        <x:f>IF(T52="","",I52*T52)</x:f>
        <x:v>0.40642673778849064</x:v>
      </x:c>
    </x:row>
    <x:row r="53" ht="18" customHeight="1">
      <x:c r="A53" s="24" t="str">
        <x:v>EEZ_316</x:v>
      </x:c>
      <x:c r="B53" s="24" t="str">
        <x:v>Guam (USA)</x:v>
      </x:c>
      <x:c r="C53" s="24" t="str">
        <x:v>EEZ</x:v>
      </x:c>
      <x:c r="D53" s="30" t="n">
        <x:v>2019</x:v>
      </x:c>
      <x:c r="E53" s="24" t="str">
        <x:v>Diodontidae</x:v>
      </x:c>
      <x:c r="F53" s="24" t="str">
        <x:v>Porcupine-, burrfishes</x:v>
      </x:c>
      <x:c r="G53" s="24" t="str">
        <x:v>Medium reef assoc. fish (30 - 89 cm)</x:v>
      </x:c>
      <x:c r="H53" s="24" t="str">
        <x:v>Other fishes &amp; inverts</x:v>
      </x:c>
      <x:c r="I53" s="31" t="n">
        <x:v>0.0252191563</x:v>
      </x:c>
      <x:c r="J53" s="31" t="n">
        <x:v>0.0252191563</x:v>
      </x:c>
      <x:c r="K53" s="31" t="n">
        <x:v>0</x:v>
      </x:c>
      <x:c r="L53" s="31" t="n">
        <x:v>0.0252191563</x:v>
      </x:c>
      <x:c r="M53" s="31" t="n">
        <x:v>0</x:v>
      </x:c>
      <x:c r="N53" s="24" t="str">
        <x:v>diodontidae</x:v>
      </x:c>
      <x:c r="O53" s="32" t="n">
        <x:v>3.36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Diodontidae</x:v>
      </x:c>
      <x:c r="T53" s="32" t="n">
        <x:f>IF(O53="","",(1/'Metadata'!$B$5)^(O53-1))</x:f>
        <x:v>229.08676527677724</x:v>
      </x:c>
      <x:c r="U53" s="31" t="n">
        <x:f>IF(T53="","",I53*T53)</x:f>
        <x:v>5.777374939776458</x:v>
      </x:c>
    </x:row>
    <x:row r="54" ht="18" customHeight="1">
      <x:c r="A54" s="24" t="str">
        <x:v>EEZ_316</x:v>
      </x:c>
      <x:c r="B54" s="24" t="str">
        <x:v>Guam (USA)</x:v>
      </x:c>
      <x:c r="C54" s="24" t="str">
        <x:v>EEZ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0.023434244</x:v>
      </x:c>
      <x:c r="J54" s="31" t="n">
        <x:v>0.023434244</x:v>
      </x:c>
      <x:c r="K54" s="31" t="n">
        <x:v>0</x:v>
      </x:c>
      <x:c r="L54" s="31" t="n">
        <x:v>0.023434244</x:v>
      </x:c>
      <x:c r="M54" s="31" t="n">
        <x:v>0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7.940556632940166</x:v>
      </x:c>
    </x:row>
    <x:row r="55" ht="18" customHeight="1">
      <x:c r="A55" s="24" t="str">
        <x:v>EEZ_316</x:v>
      </x:c>
      <x:c r="B55" s="24" t="str">
        <x:v>Guam (USA)</x:v>
      </x:c>
      <x:c r="C55" s="24" t="str">
        <x:v>EEZ</x:v>
      </x:c>
      <x:c r="D55" s="30" t="n">
        <x:v>2019</x:v>
      </x:c>
      <x:c r="E55" s="24" t="str">
        <x:v>Leiognathidae</x:v>
      </x:c>
      <x:c r="F55" s="24" t="str">
        <x:v>Slipmouths, ponyfishes</x:v>
      </x:c>
      <x:c r="G55" s="24" t="str">
        <x:v>Small benthopelagics (&lt;30 cm)</x:v>
      </x:c>
      <x:c r="H55" s="24" t="str">
        <x:v>Perch-likes</x:v>
      </x:c>
      <x:c r="I55" s="31" t="n">
        <x:v>0.0201430443</x:v>
      </x:c>
      <x:c r="J55" s="31" t="n">
        <x:v>0.0201430443</x:v>
      </x:c>
      <x:c r="K55" s="31" t="n">
        <x:v>0</x:v>
      </x:c>
      <x:c r="L55" s="31" t="n">
        <x:v>0.0201430443</x:v>
      </x:c>
      <x:c r="M55" s="31" t="n">
        <x:v>0</x:v>
      </x:c>
      <x:c r="N55" s="24" t="str">
        <x:v>leiognathidae</x:v>
      </x:c>
      <x:c r="O55" s="32" t="n">
        <x:v>3.24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Leiognathidae</x:v>
      </x:c>
      <x:c r="T55" s="32" t="n">
        <x:f>IF(O55="","",(1/'Metadata'!$B$5)^(O55-1))</x:f>
        <x:v>173.78008287493762</x:v>
      </x:c>
      <x:c r="U55" s="31" t="n">
        <x:f>IF(T55="","",I55*T55)</x:f>
        <x:v>3.5004599078075396</x:v>
      </x:c>
    </x:row>
    <x:row r="56" ht="18" customHeight="1">
      <x:c r="A56" s="24" t="str">
        <x:v>EEZ_316</x:v>
      </x:c>
      <x:c r="B56" s="24" t="str">
        <x:v>Guam (USA)</x:v>
      </x:c>
      <x:c r="C56" s="24" t="str">
        <x:v>EEZ</x:v>
      </x:c>
      <x:c r="D56" s="30" t="n">
        <x:v>2019</x:v>
      </x:c>
      <x:c r="E56" s="24" t="str">
        <x:v>Chaetodontidae</x:v>
      </x:c>
      <x:c r="F56" s="24" t="str">
        <x:v>Butterflyfishes</x:v>
      </x:c>
      <x:c r="G56" s="24" t="str">
        <x:v>Small reef assoc. fish (&lt;30 cm)</x:v>
      </x:c>
      <x:c r="H56" s="24" t="str">
        <x:v>Perch-likes</x:v>
      </x:c>
      <x:c r="I56" s="31" t="n">
        <x:v>0.016112000799999998</x:v>
      </x:c>
      <x:c r="J56" s="31" t="n">
        <x:v>0.016112000799999998</x:v>
      </x:c>
      <x:c r="K56" s="31" t="n">
        <x:v>0</x:v>
      </x:c>
      <x:c r="L56" s="31" t="n">
        <x:v>0.016112000799999998</x:v>
      </x:c>
      <x:c r="M56" s="31" t="n">
        <x:v>0</x:v>
      </x:c>
      <x:c r="N56" s="24" t="str">
        <x:v>chaetodontidae</x:v>
      </x:c>
      <x:c r="O56" s="32" t="n">
        <x:v>3.24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Chaetodontidae</x:v>
      </x:c>
      <x:c r="T56" s="32" t="n">
        <x:f>IF(O56="","",(1/'Metadata'!$B$5)^(O56-1))</x:f>
        <x:v>173.78008287493762</x:v>
      </x:c>
      <x:c r="U56" s="31" t="n">
        <x:f>IF(T56="","",I56*T56)</x:f>
        <x:v>2.799944834305061</x:v>
      </x:c>
    </x:row>
    <x:row r="57" ht="18" customHeight="1">
      <x:c r="A57" s="24" t="str">
        <x:v>EEZ_316</x:v>
      </x:c>
      <x:c r="B57" s="24" t="str">
        <x:v>Guam (USA)</x:v>
      </x:c>
      <x:c r="C57" s="24" t="str">
        <x:v>EEZ</x:v>
      </x:c>
      <x:c r="D57" s="30" t="n">
        <x:v>2019</x:v>
      </x:c>
      <x:c r="E57" s="24" t="str">
        <x:v>Scorpaenidae</x:v>
      </x:c>
      <x:c r="F57" s="24" t="str">
        <x:v>Scorpionfishes, rockfishes</x:v>
      </x:c>
      <x:c r="G57" s="24" t="str">
        <x:v>Large reef assoc. fish (&gt;=90 cm)</x:v>
      </x:c>
      <x:c r="H57" s="24" t="str">
        <x:v>Scorpionfishes</x:v>
      </x:c>
      <x:c r="I57" s="31" t="n">
        <x:v>0.0157621416</x:v>
      </x:c>
      <x:c r="J57" s="31" t="n">
        <x:v>0.0157621416</x:v>
      </x:c>
      <x:c r="K57" s="31" t="n">
        <x:v>0</x:v>
      </x:c>
      <x:c r="L57" s="31" t="n">
        <x:v>0.0157621416</x:v>
      </x:c>
      <x:c r="M57" s="31" t="n">
        <x:v>0</x:v>
      </x:c>
      <x:c r="N57" s="24" t="str">
        <x:v>scorpaenidae</x:v>
      </x:c>
      <x:c r="O57" s="32" t="n">
        <x:v>3.92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Scorpaenidae</x:v>
      </x:c>
      <x:c r="T57" s="32" t="n">
        <x:f>IF(O57="","",(1/'Metadata'!$B$5)^(O57-1))</x:f>
        <x:v>831.7637711026708</x:v>
      </x:c>
      <x:c r="U57" s="31" t="n">
        <x:f>IF(T57="","",I57*T57)</x:f>
        <x:v>13.110378337870287</x:v>
      </x:c>
    </x:row>
    <x:row r="58" ht="18" customHeight="1">
      <x:c r="A58" s="24" t="str">
        <x:v>EEZ_316</x:v>
      </x:c>
      <x:c r="B58" s="24" t="str">
        <x:v>Guam (USA)</x:v>
      </x:c>
      <x:c r="C58" s="24" t="str">
        <x:v>EEZ</x:v>
      </x:c>
      <x:c r="D58" s="30" t="n">
        <x:v>2019</x:v>
      </x:c>
      <x:c r="E58" s="24" t="str">
        <x:v>Pempheridae</x:v>
      </x:c>
      <x:c r="F58" s="24" t="str">
        <x:v>Sweepers</x:v>
      </x:c>
      <x:c r="G58" s="24" t="str">
        <x:v>Small reef assoc. fish (&lt;30 cm)</x:v>
      </x:c>
      <x:c r="H58" s="24" t="str">
        <x:v>Perch-likes</x:v>
      </x:c>
      <x:c r="I58" s="31" t="n">
        <x:v>0.0157107449</x:v>
      </x:c>
      <x:c r="J58" s="31" t="n">
        <x:v>0.0157107449</x:v>
      </x:c>
      <x:c r="K58" s="31" t="n">
        <x:v>0</x:v>
      </x:c>
      <x:c r="L58" s="31" t="n">
        <x:v>0.0157107449</x:v>
      </x:c>
      <x:c r="M58" s="31" t="n">
        <x:v>0</x:v>
      </x:c>
      <x:c r="N58" s="24" t="str">
        <x:v>pempheridae</x:v>
      </x:c>
      <x:c r="O58" s="32" t="n">
        <x:v>3.58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Pempheridae</x:v>
      </x:c>
      <x:c r="T58" s="32" t="n">
        <x:f>IF(O58="","",(1/'Metadata'!$B$5)^(O58-1))</x:f>
        <x:v>380.1893963205613</x:v>
      </x:c>
      <x:c r="U58" s="31" t="n">
        <x:f>IF(T58="","",I58*T58)</x:f>
        <x:v>5.973058619277337</x:v>
      </x:c>
    </x:row>
    <x:row r="59" ht="18" customHeight="1">
      <x:c r="A59" s="24" t="str">
        <x:v>EEZ_316</x:v>
      </x:c>
      <x:c r="B59" s="24" t="str">
        <x:v>Guam (USA)</x:v>
      </x:c>
      <x:c r="C59" s="24" t="str">
        <x:v>EEZ</x:v>
      </x:c>
      <x:c r="D59" s="30" t="n">
        <x:v>2019</x:v>
      </x:c>
      <x:c r="E59" s="24" t="str">
        <x:v>Caesionidae</x:v>
      </x:c>
      <x:c r="F59" s="24" t="str">
        <x:v>Fusiliers</x:v>
      </x:c>
      <x:c r="G59" s="24" t="str">
        <x:v>Medium reef assoc. fish (30 - 89 cm)</x:v>
      </x:c>
      <x:c r="H59" s="24" t="str">
        <x:v>Perch-likes</x:v>
      </x:c>
      <x:c r="I59" s="31" t="n">
        <x:v>0.0131327887</x:v>
      </x:c>
      <x:c r="J59" s="31" t="n">
        <x:v>0.0131327887</x:v>
      </x:c>
      <x:c r="K59" s="31" t="n">
        <x:v>0</x:v>
      </x:c>
      <x:c r="L59" s="31" t="n">
        <x:v>0.0131327887</x:v>
      </x:c>
      <x:c r="M59" s="31" t="n">
        <x:v>0</x:v>
      </x:c>
      <x:c r="N59" s="24" t="str">
        <x:v>caesionidae</x:v>
      </x:c>
      <x:c r="O59" s="32" t="n">
        <x:v>3.39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Caesionidae</x:v>
      </x:c>
      <x:c r="T59" s="32" t="n">
        <x:f>IF(O59="","",(1/'Metadata'!$B$5)^(O59-1))</x:f>
        <x:v>245.4708915685031</x:v>
      </x:c>
      <x:c r="U59" s="31" t="n">
        <x:f>IF(T59="","",I59*T59)</x:f>
        <x:v>3.2237173509697628</x:v>
      </x:c>
    </x:row>
    <x:row r="60" ht="18" customHeight="1">
      <x:c r="A60" s="24" t="str">
        <x:v>EEZ_316</x:v>
      </x:c>
      <x:c r="B60" s="24" t="str">
        <x:v>Guam (USA)</x:v>
      </x:c>
      <x:c r="C60" s="24" t="str">
        <x:v>EEZ</x:v>
      </x:c>
      <x:c r="D60" s="30" t="n">
        <x:v>2019</x:v>
      </x:c>
      <x:c r="E60" s="24" t="str">
        <x:v>Synodontidae</x:v>
      </x:c>
      <x:c r="F60" s="24" t="str">
        <x:v>Lizardfishes, sauries</x:v>
      </x:c>
      <x:c r="G60" s="24" t="str">
        <x:v>Medium demersals (30 - 89 cm)</x:v>
      </x:c>
      <x:c r="H60" s="24" t="str">
        <x:v>Other fishes &amp; inverts</x:v>
      </x:c>
      <x:c r="I60" s="31" t="n">
        <x:v>0.0117392136</x:v>
      </x:c>
      <x:c r="J60" s="31" t="n">
        <x:v>0.0117392136</x:v>
      </x:c>
      <x:c r="K60" s="31" t="n">
        <x:v>0</x:v>
      </x:c>
      <x:c r="L60" s="31" t="n">
        <x:v>0.0117392136</x:v>
      </x:c>
      <x:c r="M60" s="31" t="n">
        <x:v>0</x:v>
      </x:c>
      <x:c r="N60" s="24" t="str">
        <x:v>synodontidae</x:v>
      </x:c>
      <x:c r="O60" s="32" t="n">
        <x:v>4.3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Synodontidae</x:v>
      </x:c>
      <x:c r="T60" s="32" t="n">
        <x:f>IF(O60="","",(1/'Metadata'!$B$5)^(O60-1))</x:f>
        <x:v>1995.2623149688789</x:v>
      </x:c>
      <x:c r="U60" s="31" t="n">
        <x:f>IF(T60="","",I60*T60)</x:f>
        <x:v>23.422810503450144</x:v>
      </x:c>
    </x:row>
    <x:row r="61" ht="18" customHeight="1">
      <x:c r="A61" s="24" t="str">
        <x:v>EEZ_316</x:v>
      </x:c>
      <x:c r="B61" s="24" t="str">
        <x:v>Guam (USA)</x:v>
      </x:c>
      <x:c r="C61" s="24" t="str">
        <x:v>EEZ</x:v>
      </x:c>
      <x:c r="D61" s="30" t="n">
        <x:v>2019</x:v>
      </x:c>
      <x:c r="E61" s="24" t="str">
        <x:v>Bothidae</x:v>
      </x:c>
      <x:c r="F61" s="24" t="str">
        <x:v>Lefteye flounders</x:v>
      </x:c>
      <x:c r="G61" s="24" t="str">
        <x:v>Small to medium flatfishes (&lt;90 cm)</x:v>
      </x:c>
      <x:c r="H61" s="24" t="str">
        <x:v>Flatfishes</x:v>
      </x:c>
      <x:c r="I61" s="31" t="n">
        <x:v>0.0104714254</x:v>
      </x:c>
      <x:c r="J61" s="31" t="n">
        <x:v>0.0104714254</x:v>
      </x:c>
      <x:c r="K61" s="31" t="n">
        <x:v>0</x:v>
      </x:c>
      <x:c r="L61" s="31" t="n">
        <x:v>0.0104714254</x:v>
      </x:c>
      <x:c r="M61" s="31" t="n">
        <x:v>0</x:v>
      </x:c>
      <x:c r="N61" s="24" t="str">
        <x:v>bothidae</x:v>
      </x:c>
      <x:c r="O61" s="32" t="n">
        <x:v>3.77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Bothidae</x:v>
      </x:c>
      <x:c r="T61" s="32" t="n">
        <x:f>IF(O61="","",(1/'Metadata'!$B$5)^(O61-1))</x:f>
        <x:v>588.843655355589</x:v>
      </x:c>
      <x:c r="U61" s="31" t="n">
        <x:f>IF(T61="","",I61*T61)</x:f>
        <x:v>6.166032409319361</x:v>
      </x:c>
    </x:row>
    <x:row r="62" ht="18" customHeight="1">
      <x:c r="A62" s="24" t="str">
        <x:v>EEZ_316</x:v>
      </x:c>
      <x:c r="B62" s="24" t="str">
        <x:v>Guam (USA)</x:v>
      </x:c>
      <x:c r="C62" s="24" t="str">
        <x:v>EEZ</x:v>
      </x:c>
      <x:c r="D62" s="30" t="n">
        <x:v>2019</x:v>
      </x:c>
      <x:c r="E62" s="24" t="str">
        <x:v>Kuhliidae</x:v>
      </x:c>
      <x:c r="F62" s="24" t="str">
        <x:v>Aholeholes</x:v>
      </x:c>
      <x:c r="G62" s="24" t="str">
        <x:v>Medium benthopelagics (30 - 89 cm)</x:v>
      </x:c>
      <x:c r="H62" s="24" t="str">
        <x:v>Perch-likes</x:v>
      </x:c>
      <x:c r="I62" s="31" t="n">
        <x:v>0.0075530781</x:v>
      </x:c>
      <x:c r="J62" s="31" t="n">
        <x:v>0.0075530781</x:v>
      </x:c>
      <x:c r="K62" s="31" t="n">
        <x:v>0</x:v>
      </x:c>
      <x:c r="L62" s="31" t="n">
        <x:v>0.0075530781</x:v>
      </x:c>
      <x:c r="M62" s="31" t="n">
        <x:v>0</x:v>
      </x:c>
      <x:c r="N62" s="24" t="str">
        <x:v>kuhliidae</x:v>
      </x:c>
      <x:c r="O62" s="32" t="n">
        <x:v>3.83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Kuhliidae</x:v>
      </x:c>
      <x:c r="T62" s="32" t="n">
        <x:f>IF(O62="","",(1/'Metadata'!$B$5)^(O62-1))</x:f>
        <x:v>676.0829753919819</x:v>
      </x:c>
      <x:c r="U62" s="31" t="n">
        <x:f>IF(T62="","",I62*T62)</x:f>
        <x:v>5.106507515216017</x:v>
      </x:c>
    </x:row>
    <x:row r="63" ht="18" customHeight="1">
      <x:c r="A63" s="24" t="str">
        <x:v>EEZ_316</x:v>
      </x:c>
      <x:c r="B63" s="24" t="str">
        <x:v>Guam (USA)</x:v>
      </x:c>
      <x:c r="C63" s="24" t="str">
        <x:v>EEZ</x:v>
      </x:c>
      <x:c r="D63" s="30" t="n">
        <x:v>2019</x:v>
      </x:c>
      <x:c r="E63" s="24" t="str">
        <x:v>Scyllaridae</x:v>
      </x:c>
      <x:c r="F63" s="24" t="str">
        <x:v>Slipper lobsters</x:v>
      </x:c>
      <x:c r="G63" s="24" t="str">
        <x:v>Lobsters, crabs</x:v>
      </x:c>
      <x:c r="H63" s="24" t="str">
        <x:v>Crustaceans</x:v>
      </x:c>
      <x:c r="I63" s="31" t="n">
        <x:v>0.0066153115</x:v>
      </x:c>
      <x:c r="J63" s="31" t="n">
        <x:v>0.0066153115</x:v>
      </x:c>
      <x:c r="K63" s="31" t="n">
        <x:v>0</x:v>
      </x:c>
      <x:c r="L63" s="31" t="n">
        <x:v>0.0066153115</x:v>
      </x:c>
      <x:c r="M63" s="31" t="n">
        <x:v>0</x:v>
      </x:c>
      <x:c r="N63" s="24" t="str">
        <x:v>scyllaridae</x:v>
      </x:c>
      <x:c r="O63" s="32" t="n">
        <x:v>2.87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Scyllaridae</x:v>
      </x:c>
      <x:c r="T63" s="32" t="n">
        <x:f>IF(O63="","",(1/'Metadata'!$B$5)^(O63-1))</x:f>
        <x:v>74.13102413009177</x:v>
      </x:c>
      <x:c r="U63" s="31" t="n">
        <x:f>IF(T63="","",I63*T63)</x:f>
        <x:v>0.49039981643457364</x:v>
      </x:c>
    </x:row>
    <x:row r="64" ht="18" customHeight="1">
      <x:c r="A64" s="24" t="str">
        <x:v>EEZ_316</x:v>
      </x:c>
      <x:c r="B64" s="24" t="str">
        <x:v>Guam (USA)</x:v>
      </x:c>
      <x:c r="C64" s="24" t="str">
        <x:v>EEZ</x:v>
      </x:c>
      <x:c r="D64" s="30" t="n">
        <x:v>2019</x:v>
      </x:c>
      <x:c r="E64" s="24" t="str">
        <x:v>Tetraodontidae</x:v>
      </x:c>
      <x:c r="F64" s="24" t="str">
        <x:v>Puffers, tobies</x:v>
      </x:c>
      <x:c r="G64" s="24" t="str">
        <x:v>Large reef assoc. fish (&gt;=90 cm)</x:v>
      </x:c>
      <x:c r="H64" s="24" t="str">
        <x:v>Other fishes &amp; inverts</x:v>
      </x:c>
      <x:c r="I64" s="31" t="n">
        <x:v>0.006373656199999999</x:v>
      </x:c>
      <x:c r="J64" s="31" t="n">
        <x:v>0.006373656199999999</x:v>
      </x:c>
      <x:c r="K64" s="31" t="n">
        <x:v>0</x:v>
      </x:c>
      <x:c r="L64" s="31" t="n">
        <x:v>0.006373656199999999</x:v>
      </x:c>
      <x:c r="M64" s="31" t="n">
        <x:v>0</x:v>
      </x:c>
      <x:c r="N64" s="24" t="str">
        <x:v>tetraodontidae</x:v>
      </x:c>
      <x:c r="O64" s="32" t="n">
        <x:v>3.5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Tetraodontidae</x:v>
      </x:c>
      <x:c r="T64" s="32" t="n">
        <x:f>IF(O64="","",(1/'Metadata'!$B$5)^(O64-1))</x:f>
        <x:v>316.22776601683796</x:v>
      </x:c>
      <x:c r="U64" s="31" t="n">
        <x:f>IF(T64="","",I64*T64)</x:f>
        <x:v>2.0155270614853684</x:v>
      </x:c>
    </x:row>
    <x:row r="65" ht="18" customHeight="1">
      <x:c r="A65" s="24" t="str">
        <x:v>EEZ_316</x:v>
      </x:c>
      <x:c r="B65" s="24" t="str">
        <x:v>Guam (USA)</x:v>
      </x:c>
      <x:c r="C65" s="24" t="str">
        <x:v>EEZ</x:v>
      </x:c>
      <x:c r="D65" s="30" t="n">
        <x:v>2019</x:v>
      </x:c>
      <x:c r="E65" s="24" t="str">
        <x:v>Tridacnidae</x:v>
      </x:c>
      <x:c r="F65" s="24" t="str">
        <x:v>Giant clams</x:v>
      </x:c>
      <x:c r="G65" s="24" t="str">
        <x:v>Other demersal invertebrates</x:v>
      </x:c>
      <x:c r="H65" s="24" t="str">
        <x:v>Molluscs</x:v>
      </x:c>
      <x:c r="I65" s="31" t="n">
        <x:v>0.0062289337</x:v>
      </x:c>
      <x:c r="J65" s="31" t="n">
        <x:v>0.0062289337</x:v>
      </x:c>
      <x:c r="K65" s="31" t="n">
        <x:v>0</x:v>
      </x:c>
      <x:c r="L65" s="31" t="n">
        <x:v>0.0062289337</x:v>
      </x:c>
      <x:c r="M65" s="31" t="n">
        <x:v>0</x:v>
      </x:c>
      <x:c r="N65" s="24" t="str">
        <x:v>tridacnidae</x:v>
      </x:c>
      <x:c r="O65" s="32" t="n">
        <x:v>2.15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Tridacnidae</x:v>
      </x:c>
      <x:c r="T65" s="32" t="n">
        <x:f>IF(O65="","",(1/'Metadata'!$B$5)^(O65-1))</x:f>
        <x:v>14.12537544622754</x:v>
      </x:c>
      <x:c r="U65" s="31" t="n">
        <x:f>IF(T65="","",I65*T65)</x:f>
        <x:v>0.08798602714215926</x:v>
      </x:c>
    </x:row>
    <x:row r="66" ht="18" customHeight="1">
      <x:c r="A66" s="24" t="str">
        <x:v>EEZ_316</x:v>
      </x:c>
      <x:c r="B66" s="24" t="str">
        <x:v>Guam (USA)</x:v>
      </x:c>
      <x:c r="C66" s="24" t="str">
        <x:v>EEZ</x:v>
      </x:c>
      <x:c r="D66" s="30" t="n">
        <x:v>2019</x:v>
      </x:c>
      <x:c r="E66" s="24" t="str">
        <x:v>Ephippidae</x:v>
      </x:c>
      <x:c r="F66" s="24" t="str">
        <x:v>Spade-, batfishes, scats</x:v>
      </x:c>
      <x:c r="G66" s="24" t="str">
        <x:v>Medium reef assoc. fish (30 - 89 cm)</x:v>
      </x:c>
      <x:c r="H66" s="24" t="str">
        <x:v>Perch-likes</x:v>
      </x:c>
      <x:c r="I66" s="31" t="n">
        <x:v>0.005959776700000001</x:v>
      </x:c>
      <x:c r="J66" s="31" t="n">
        <x:v>0.005959776700000001</x:v>
      </x:c>
      <x:c r="K66" s="31" t="n">
        <x:v>0</x:v>
      </x:c>
      <x:c r="L66" s="31" t="n">
        <x:v>0.005959776700000001</x:v>
      </x:c>
      <x:c r="M66" s="31" t="n">
        <x:v>0</x:v>
      </x:c>
      <x:c r="N66" s="24" t="str">
        <x:v>ephippidae</x:v>
      </x:c>
      <x:c r="O66" s="32" t="n">
        <x:v>3.57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Ephippidae</x:v>
      </x:c>
      <x:c r="T66" s="32" t="n">
        <x:f>IF(O66="","",(1/'Metadata'!$B$5)^(O66-1))</x:f>
        <x:v>371.5352290971724</x:v>
      </x:c>
      <x:c r="U66" s="31" t="n">
        <x:f>IF(T66="","",I66*T66)</x:f>
        <x:v>2.2142670016024906</x:v>
      </x:c>
    </x:row>
    <x:row r="67" ht="18" customHeight="1">
      <x:c r="A67" s="24" t="str">
        <x:v>EEZ_316</x:v>
      </x:c>
      <x:c r="B67" s="24" t="str">
        <x:v>Guam (USA)</x:v>
      </x:c>
      <x:c r="C67" s="24" t="str">
        <x:v>EEZ</x:v>
      </x:c>
      <x:c r="D67" s="30" t="n">
        <x:v>2019</x:v>
      </x:c>
      <x:c r="E67" s="24" t="str">
        <x:v>Epinephelus</x:v>
      </x:c>
      <x:c r="F67" s="24" t="str">
        <x:v>Seabasses, hinds</x:v>
      </x:c>
      <x:c r="G67" s="24" t="str">
        <x:v>Medium reef assoc. fish (30 - 89 cm)</x:v>
      </x:c>
      <x:c r="H67" s="24" t="str">
        <x:v>Perch-likes</x:v>
      </x:c>
      <x:c r="I67" s="31" t="n">
        <x:v>0.0059385867999999994</x:v>
      </x:c>
      <x:c r="J67" s="31" t="n">
        <x:v>0.0059385867999999994</x:v>
      </x:c>
      <x:c r="K67" s="31" t="n">
        <x:v>0</x:v>
      </x:c>
      <x:c r="L67" s="31" t="n">
        <x:v>0.0059385867999999994</x:v>
      </x:c>
      <x:c r="M67" s="31" t="n">
        <x:v>0</x:v>
      </x:c>
      <x:c r="N67" s="24" t="str">
        <x:v>epinephelus</x:v>
      </x:c>
      <x:c r="O67" s="32" t="n">
        <x:v>3.84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Epinephelus</x:v>
      </x:c>
      <x:c r="T67" s="32" t="n">
        <x:f>IF(O67="","",(1/'Metadata'!$B$5)^(O67-1))</x:f>
        <x:v>691.8309709189363</x:v>
      </x:c>
      <x:c r="U67" s="31" t="n">
        <x:f>IF(T67="","",I67*T67)</x:f>
        <x:v>4.108498271730379</x:v>
      </x:c>
    </x:row>
    <x:row r="68" ht="18" customHeight="1">
      <x:c r="A68" s="24" t="str">
        <x:v>EEZ_316</x:v>
      </x:c>
      <x:c r="B68" s="24" t="str">
        <x:v>Guam (USA)</x:v>
      </x:c>
      <x:c r="C68" s="24" t="str">
        <x:v>EEZ</x:v>
      </x:c>
      <x:c r="D68" s="30" t="n">
        <x:v>2019</x:v>
      </x:c>
      <x:c r="E68" s="24" t="str">
        <x:v>Diogenidae</x:v>
      </x:c>
      <x:c r="F68" s="24" t="str">
        <x:v>Hermit crabs</x:v>
      </x:c>
      <x:c r="G68" s="24" t="str">
        <x:v>Lobsters, crabs</x:v>
      </x:c>
      <x:c r="H68" s="24" t="str">
        <x:v>Crustaceans</x:v>
      </x:c>
      <x:c r="I68" s="31" t="n">
        <x:v>0.0050323796</x:v>
      </x:c>
      <x:c r="J68" s="31" t="n">
        <x:v>0.0050323796</x:v>
      </x:c>
      <x:c r="K68" s="31" t="n">
        <x:v>0</x:v>
      </x:c>
      <x:c r="L68" s="31" t="n">
        <x:v>0.0050323796</x:v>
      </x:c>
      <x:c r="M68" s="31" t="n">
        <x:v>0</x:v>
      </x:c>
      <x:c r="N68" s="24" t="str">
        <x:v>diogenidae</x:v>
      </x:c>
      <x:c r="O68" s="32" t="n">
        <x:v>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Diogenidae</x:v>
      </x:c>
      <x:c r="T68" s="32" t="n">
        <x:f>IF(O68="","",(1/'Metadata'!$B$5)^(O68-1))</x:f>
        <x:v>1000</x:v>
      </x:c>
      <x:c r="U68" s="31" t="n">
        <x:f>IF(T68="","",I68*T68)</x:f>
        <x:v>5.0323796000000005</x:v>
      </x:c>
    </x:row>
    <x:row r="69" ht="18" customHeight="1">
      <x:c r="A69" s="24" t="str">
        <x:v>EEZ_316</x:v>
      </x:c>
      <x:c r="B69" s="24" t="str">
        <x:v>Guam (USA)</x:v>
      </x:c>
      <x:c r="C69" s="24" t="str">
        <x:v>EEZ</x:v>
      </x:c>
      <x:c r="D69" s="30" t="n">
        <x:v>2019</x:v>
      </x:c>
      <x:c r="E69" s="24" t="str">
        <x:v>Clupeidae</x:v>
      </x:c>
      <x:c r="F69" s="24" t="str">
        <x:v>Herrings, sardines, menhadens</x:v>
      </x:c>
      <x:c r="G69" s="24" t="str">
        <x:v>Small pelagics (&lt;30 cm)</x:v>
      </x:c>
      <x:c r="H69" s="24" t="str">
        <x:v>Herring-likes</x:v>
      </x:c>
      <x:c r="I69" s="31" t="n">
        <x:v>0.0036149095</x:v>
      </x:c>
      <x:c r="J69" s="31" t="n">
        <x:v>0.0036149095</x:v>
      </x:c>
      <x:c r="K69" s="31" t="n">
        <x:v>0</x:v>
      </x:c>
      <x:c r="L69" s="31" t="n">
        <x:v>0.0036149095</x:v>
      </x:c>
      <x:c r="M69" s="31" t="n">
        <x:v>0</x:v>
      </x:c>
      <x:c r="N69" s="24" t="str">
        <x:v>clupeidae</x:v>
      </x:c>
      <x:c r="O69" s="32" t="n">
        <x:v>3.16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Clupeidae</x:v>
      </x:c>
      <x:c r="T69" s="32" t="n">
        <x:f>IF(O69="","",(1/'Metadata'!$B$5)^(O69-1))</x:f>
        <x:v>144.5439770745928</x:v>
      </x:c>
      <x:c r="U69" s="31" t="n">
        <x:f>IF(T69="","",I69*T69)</x:f>
        <x:v>0.5225133958947277</x:v>
      </x:c>
    </x:row>
    <x:row r="70" ht="18" customHeight="1">
      <x:c r="A70" s="24" t="str">
        <x:v>EEZ_316</x:v>
      </x:c>
      <x:c r="B70" s="24" t="str">
        <x:v>Guam (USA)</x:v>
      </x:c>
      <x:c r="C70" s="24" t="str">
        <x:v>EEZ</x:v>
      </x:c>
      <x:c r="D70" s="30" t="n">
        <x:v>2019</x:v>
      </x:c>
      <x:c r="E70" s="24" t="str">
        <x:v>Holothuriidae</x:v>
      </x:c>
      <x:c r="F70" s="24" t="str">
        <x:v>Fleshy sea cucumbers</x:v>
      </x:c>
      <x:c r="G70" s="24" t="str">
        <x:v>Other demersal invertebrates</x:v>
      </x:c>
      <x:c r="H70" s="24" t="str">
        <x:v>Other fishes &amp; inverts</x:v>
      </x:c>
      <x:c r="I70" s="31" t="n">
        <x:v>0.0025594714</x:v>
      </x:c>
      <x:c r="J70" s="31" t="n">
        <x:v>0.0025594714</x:v>
      </x:c>
      <x:c r="K70" s="31" t="n">
        <x:v>0</x:v>
      </x:c>
      <x:c r="L70" s="31" t="n">
        <x:v>0.0025594714</x:v>
      </x:c>
      <x:c r="M70" s="31" t="n">
        <x:v>0</x:v>
      </x:c>
      <x:c r="N70" s="24" t="str">
        <x:v>holothuriidae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Holothuriidae</x:v>
      </x:c>
      <x:c r="T70" s="32" t="n">
        <x:f>IF(O70="","",(1/'Metadata'!$B$5)^(O70-1))</x:f>
        <x:v>10</x:v>
      </x:c>
      <x:c r="U70" s="31" t="n">
        <x:f>IF(T70="","",I70*T70)</x:f>
        <x:v>0.025594713999999998</x:v>
      </x:c>
    </x:row>
    <x:row r="71" ht="18" customHeight="1">
      <x:c r="A71" s="24" t="str">
        <x:v>EEZ_316</x:v>
      </x:c>
      <x:c r="B71" s="24" t="str">
        <x:v>Guam (USA)</x:v>
      </x:c>
      <x:c r="C71" s="24" t="str">
        <x:v>EEZ</x:v>
      </x:c>
      <x:c r="D71" s="30" t="n">
        <x:v>2019</x:v>
      </x:c>
      <x:c r="E71" s="24" t="str">
        <x:v>Engraulidae</x:v>
      </x:c>
      <x:c r="F71" s="24" t="str">
        <x:v>Anchovies, round herrings</x:v>
      </x:c>
      <x:c r="G71" s="24" t="str">
        <x:v>Small pelagics (&lt;30 cm)</x:v>
      </x:c>
      <x:c r="H71" s="24" t="str">
        <x:v>Anchovies</x:v>
      </x:c>
      <x:c r="I71" s="31" t="n">
        <x:v>0.0020423472</x:v>
      </x:c>
      <x:c r="J71" s="31" t="n">
        <x:v>0.0020423472</x:v>
      </x:c>
      <x:c r="K71" s="31" t="n">
        <x:v>0</x:v>
      </x:c>
      <x:c r="L71" s="31" t="n">
        <x:v>0.0020423472</x:v>
      </x:c>
      <x:c r="M71" s="31" t="n">
        <x:v>0</x:v>
      </x:c>
      <x:c r="N71" s="24" t="str">
        <x:v>engraulidae</x:v>
      </x:c>
      <x:c r="O71" s="32" t="n">
        <x:v>3.2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Engraulidae</x:v>
      </x:c>
      <x:c r="T71" s="32" t="n">
        <x:f>IF(O71="","",(1/'Metadata'!$B$5)^(O71-1))</x:f>
        <x:v>158.48931924611142</x:v>
      </x:c>
      <x:c r="U71" s="31" t="n">
        <x:f>IF(T71="","",I71*T71)</x:f>
        <x:v>0.3236902173922018</x:v>
      </x:c>
    </x:row>
    <x:row r="72" ht="18" customHeight="1">
      <x:c r="A72" s="24" t="str">
        <x:v>EEZ_316</x:v>
      </x:c>
      <x:c r="B72" s="24" t="str">
        <x:v>Guam (USA)</x:v>
      </x:c>
      <x:c r="C72" s="24" t="str">
        <x:v>EEZ</x:v>
      </x:c>
      <x:c r="D72" s="30" t="n">
        <x:v>2019</x:v>
      </x:c>
      <x:c r="E72" s="24" t="str">
        <x:v>Marine finfishes not identified</x:v>
      </x:c>
      <x:c r="F72" s="24" t="str">
        <x:v>Finfishes</x:v>
      </x:c>
      <x:c r="G72" s="24" t="str">
        <x:v>Medium demersals (30 - 89 cm)</x:v>
      </x:c>
      <x:c r="H72" s="24" t="str">
        <x:v>Other fishes &amp; inverts</x:v>
      </x:c>
      <x:c r="I72" s="31" t="n">
        <x:v>0.0018318007</x:v>
      </x:c>
      <x:c r="J72" s="31" t="n">
        <x:v>0.0018318007</x:v>
      </x:c>
      <x:c r="K72" s="31" t="n">
        <x:v>0</x:v>
      </x:c>
      <x:c r="L72" s="31" t="n">
        <x:v>0.0018318007</x:v>
      </x:c>
      <x:c r="M72" s="31" t="n">
        <x:v>0</x:v>
      </x:c>
      <x:c r="N72" s="24" t="str">
        <x:v>marine finfishes not identified</x:v>
      </x:c>
      <x:c r="O72" s="32" t="n">
        <x:v>3.23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Marine finfishes not identified</x:v>
      </x:c>
      <x:c r="T72" s="32" t="n">
        <x:f>IF(O72="","",(1/'Metadata'!$B$5)^(O72-1))</x:f>
        <x:v>169.82436524617444</x:v>
      </x:c>
      <x:c r="U72" s="31" t="n">
        <x:f>IF(T72="","",I72*T72)</x:f>
        <x:v>0.31108439113499803</x:v>
      </x:c>
    </x:row>
    <x:row r="73" ht="18" customHeight="1">
      <x:c r="A73" s="24" t="str">
        <x:v>EEZ_316</x:v>
      </x:c>
      <x:c r="B73" s="24" t="str">
        <x:v>Guam (USA)</x:v>
      </x:c>
      <x:c r="C73" s="24" t="str">
        <x:v>EEZ</x:v>
      </x:c>
      <x:c r="D73" s="30" t="n">
        <x:v>2019</x:v>
      </x:c>
      <x:c r="E73" s="24" t="str">
        <x:v>Exocoetidae</x:v>
      </x:c>
      <x:c r="F73" s="24" t="str">
        <x:v>Flyingfishes</x:v>
      </x:c>
      <x:c r="G73" s="24" t="str">
        <x:v>Small pelagics (&lt;30 cm)</x:v>
      </x:c>
      <x:c r="H73" s="24" t="str">
        <x:v>Other fishes &amp; inverts</x:v>
      </x:c>
      <x:c r="I73" s="31" t="n">
        <x:v>0.0012718459</x:v>
      </x:c>
      <x:c r="J73" s="31" t="n">
        <x:v>0.0012718459</x:v>
      </x:c>
      <x:c r="K73" s="31" t="n">
        <x:v>0</x:v>
      </x:c>
      <x:c r="L73" s="31" t="n">
        <x:v>0.0012718459</x:v>
      </x:c>
      <x:c r="M73" s="31" t="n">
        <x:v>0</x:v>
      </x:c>
      <x:c r="N73" s="24" t="str">
        <x:v>exocoetidae</x:v>
      </x:c>
      <x:c r="O73" s="32" t="n">
        <x:v>3.57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Exocoetidae</x:v>
      </x:c>
      <x:c r="T73" s="32" t="n">
        <x:f>IF(O73="","",(1/'Metadata'!$B$5)^(O73-1))</x:f>
        <x:v>371.5352290971724</x:v>
      </x:c>
      <x:c r="U73" s="31" t="n">
        <x:f>IF(T73="","",I73*T73)</x:f>
        <x:v>0.47253555783279944</x:v>
      </x:c>
    </x:row>
    <x:row r="74" ht="18" customHeight="1">
      <x:c r="A74" s="24" t="str">
        <x:v>EEZ_316</x:v>
      </x:c>
      <x:c r="B74" s="24" t="str">
        <x:v>Guam (USA)</x:v>
      </x:c>
      <x:c r="C74" s="24" t="str">
        <x:v>EEZ</x:v>
      </x:c>
      <x:c r="D74" s="30" t="n">
        <x:v>2019</x:v>
      </x:c>
      <x:c r="E74" s="24" t="str">
        <x:v>Anomalops katoptron</x:v>
      </x:c>
      <x:c r="F74" s="24" t="str">
        <x:v>Splitfin flashlightfish</x:v>
      </x:c>
      <x:c r="G74" s="24" t="str">
        <x:v>Medium reef assoc. fish (30 - 89 cm)</x:v>
      </x:c>
      <x:c r="H74" s="24" t="str">
        <x:v>Other fishes &amp; inverts</x:v>
      </x:c>
      <x:c r="I74" s="31" t="n">
        <x:v>0.0012502051</x:v>
      </x:c>
      <x:c r="J74" s="31" t="n">
        <x:v>0.0012502051</x:v>
      </x:c>
      <x:c r="K74" s="31" t="n">
        <x:v>0</x:v>
      </x:c>
      <x:c r="L74" s="31" t="n">
        <x:v>0.0012502051</x:v>
      </x:c>
      <x:c r="M74" s="31" t="n">
        <x:v>0</x:v>
      </x:c>
      <x:c r="N74" s="24" t="str">
        <x:v>anomalops katoptron</x:v>
      </x:c>
      <x:c r="O74" s="32" t="n">
        <x:v>3.4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Anomalops katoptron</x:v>
      </x:c>
      <x:c r="T74" s="32" t="n">
        <x:f>IF(O74="","",(1/'Metadata'!$B$5)^(O74-1))</x:f>
        <x:v>251.18864315095797</x:v>
      </x:c>
      <x:c r="U74" s="31" t="n">
        <x:f>IF(T74="","",I74*T74)</x:f>
        <x:v>0.3140373227294077</x:v>
      </x:c>
    </x:row>
    <x:row r="75" ht="18" customHeight="1">
      <x:c r="A75" s="24" t="str">
        <x:v>EEZ_316</x:v>
      </x:c>
      <x:c r="B75" s="24" t="str">
        <x:v>Guam (USA)</x:v>
      </x:c>
      <x:c r="C75" s="24" t="str">
        <x:v>EEZ</x:v>
      </x:c>
      <x:c r="D75" s="30" t="n">
        <x:v>2019</x:v>
      </x:c>
      <x:c r="E75" s="24" t="str">
        <x:v>Veneridae</x:v>
      </x:c>
      <x:c r="F75" s="24" t="str">
        <x:v>Venus clams</x:v>
      </x:c>
      <x:c r="G75" s="24" t="str">
        <x:v>Other demersal invertebrates</x:v>
      </x:c>
      <x:c r="H75" s="24" t="str">
        <x:v>Molluscs</x:v>
      </x:c>
      <x:c r="I75" s="31" t="n">
        <x:v>0.0009305528999999999</x:v>
      </x:c>
      <x:c r="J75" s="31" t="n">
        <x:v>0.0009305528999999999</x:v>
      </x:c>
      <x:c r="K75" s="31" t="n">
        <x:v>0</x:v>
      </x:c>
      <x:c r="L75" s="31" t="n">
        <x:v>0.0009305528999999999</x:v>
      </x:c>
      <x:c r="M75" s="31" t="n">
        <x:v>0</x:v>
      </x:c>
      <x:c r="N75" s="24" t="str">
        <x:v>veneridae</x:v>
      </x:c>
      <x:c r="O75" s="32" t="n">
        <x:v>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Veneridae</x:v>
      </x:c>
      <x:c r="T75" s="32" t="n">
        <x:f>IF(O75="","",(1/'Metadata'!$B$5)^(O75-1))</x:f>
        <x:v>10</x:v>
      </x:c>
      <x:c r="U75" s="31" t="n">
        <x:f>IF(T75="","",I75*T75)</x:f>
        <x:v>0.009305529</x:v>
      </x:c>
    </x:row>
    <x:row r="76" ht="18" customHeight="1">
      <x:c r="A76" s="24" t="str">
        <x:v>EEZ_316</x:v>
      </x:c>
      <x:c r="B76" s="24" t="str">
        <x:v>Guam (USA)</x:v>
      </x:c>
      <x:c r="C76" s="24" t="str">
        <x:v>EEZ</x:v>
      </x:c>
      <x:c r="D76" s="30" t="n">
        <x:v>2019</x:v>
      </x:c>
      <x:c r="E76" s="24" t="str">
        <x:v>Monodactylus argenteus</x:v>
      </x:c>
      <x:c r="F76" s="24" t="str">
        <x:v>Silver moony</x:v>
      </x:c>
      <x:c r="G76" s="24" t="str">
        <x:v>Small pelagics (&lt;30 cm)</x:v>
      </x:c>
      <x:c r="H76" s="24" t="str">
        <x:v>Perch-likes</x:v>
      </x:c>
      <x:c r="I76" s="31" t="n">
        <x:v>0.0008723933000000001</x:v>
      </x:c>
      <x:c r="J76" s="31" t="n">
        <x:v>0.0008723933000000001</x:v>
      </x:c>
      <x:c r="K76" s="31" t="n">
        <x:v>0</x:v>
      </x:c>
      <x:c r="L76" s="31" t="n">
        <x:v>0.0008723933000000001</x:v>
      </x:c>
      <x:c r="M76" s="31" t="n">
        <x:v>0</x:v>
      </x:c>
      <x:c r="N76" s="24" t="str">
        <x:v>monodactylus argenteus</x:v>
      </x:c>
      <x:c r="O76" s="32" t="n">
        <x:v>2.95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Monodactylus argenteus</x:v>
      </x:c>
      <x:c r="T76" s="32" t="n">
        <x:f>IF(O76="","",(1/'Metadata'!$B$5)^(O76-1))</x:f>
        <x:v>89.12509381337459</x:v>
      </x:c>
      <x:c r="U76" s="31" t="n">
        <x:f>IF(T76="","",I76*T76)</x:f>
        <x:v>0.07775213470465944</x:v>
      </x:c>
    </x:row>
    <x:row r="77" ht="18" customHeight="1">
      <x:c r="A77" s="24" t="str">
        <x:v>EEZ_316</x:v>
      </x:c>
      <x:c r="B77" s="24" t="str">
        <x:v>Guam (USA)</x:v>
      </x:c>
      <x:c r="C77" s="24" t="str">
        <x:v>EEZ</x:v>
      </x:c>
      <x:c r="D77" s="30" t="n">
        <x:v>2019</x:v>
      </x:c>
      <x:c r="E77" s="24" t="str">
        <x:v>Cypraeidae</x:v>
      </x:c>
      <x:c r="F77" s="24" t="str">
        <x:v>Cowrys</x:v>
      </x:c>
      <x:c r="G77" s="24" t="str">
        <x:v>Other demersal invertebrates</x:v>
      </x:c>
      <x:c r="H77" s="24" t="str">
        <x:v>Molluscs</x:v>
      </x:c>
      <x:c r="I77" s="31" t="n">
        <x:v>0.0007398437</x:v>
      </x:c>
      <x:c r="J77" s="31" t="n">
        <x:v>0.0007398437</x:v>
      </x:c>
      <x:c r="K77" s="31" t="n">
        <x:v>0</x:v>
      </x:c>
      <x:c r="L77" s="31" t="n">
        <x:v>0.0007398437</x:v>
      </x:c>
      <x:c r="M77" s="31" t="n">
        <x:v>0</x:v>
      </x:c>
      <x:c r="N77" s="24" t="str">
        <x:v>cypraeidae</x:v>
      </x:c>
      <x:c r="O77" s="32" t="n">
        <x:v>2.28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Cypraeidae</x:v>
      </x:c>
      <x:c r="T77" s="32" t="n">
        <x:f>IF(O77="","",(1/'Metadata'!$B$5)^(O77-1))</x:f>
        <x:v>19.054607179632463</x:v>
      </x:c>
      <x:c r="U77" s="31" t="n">
        <x:f>IF(T77="","",I77*T77)</x:f>
        <x:v>0.014097431077825847</x:v>
      </x:c>
    </x:row>
    <x:row r="78" ht="18" customHeight="1">
      <x:c r="A78" s="24" t="str">
        <x:v>EEZ_316</x:v>
      </x:c>
      <x:c r="B78" s="24" t="str">
        <x:v>Guam (USA)</x:v>
      </x:c>
      <x:c r="C78" s="24" t="str">
        <x:v>EEZ</x:v>
      </x:c>
      <x:c r="D78" s="30" t="n">
        <x:v>2019</x:v>
      </x:c>
      <x:c r="E78" s="24" t="str">
        <x:v>Polynemidae</x:v>
      </x:c>
      <x:c r="F78" s="24" t="str">
        <x:v>Threadfins</x:v>
      </x:c>
      <x:c r="G78" s="24" t="str">
        <x:v>Small demersals (&lt;30 cm)</x:v>
      </x:c>
      <x:c r="H78" s="24" t="str">
        <x:v>Perch-likes</x:v>
      </x:c>
      <x:c r="I78" s="31" t="n">
        <x:v>0.0007006197</x:v>
      </x:c>
      <x:c r="J78" s="31" t="n">
        <x:v>0.0007006197</x:v>
      </x:c>
      <x:c r="K78" s="31" t="n">
        <x:v>0</x:v>
      </x:c>
      <x:c r="L78" s="31" t="n">
        <x:v>0.0007006197</x:v>
      </x:c>
      <x:c r="M78" s="31" t="n">
        <x:v>0</x:v>
      </x:c>
      <x:c r="N78" s="24" t="str">
        <x:v>polynemidae</x:v>
      </x:c>
      <x:c r="O78" s="32" t="n">
        <x:v>3.62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Polynemidae</x:v>
      </x:c>
      <x:c r="T78" s="32" t="n">
        <x:f>IF(O78="","",(1/'Metadata'!$B$5)^(O78-1))</x:f>
        <x:v>416.8693834703355</x:v>
      </x:c>
      <x:c r="U78" s="31" t="n">
        <x:f>IF(T78="","",I78*T78)</x:f>
        <x:v>0.2920669023861714</x:v>
      </x:c>
    </x:row>
    <x:row r="79" ht="18" customHeight="1">
      <x:c r="A79" s="24" t="str">
        <x:v>EEZ_316</x:v>
      </x:c>
      <x:c r="B79" s="24" t="str">
        <x:v>Guam (USA)</x:v>
      </x:c>
      <x:c r="C79" s="24" t="str">
        <x:v>EEZ</x:v>
      </x:c>
      <x:c r="D79" s="30" t="n">
        <x:v>2019</x:v>
      </x:c>
      <x:c r="E79" s="24" t="str">
        <x:v>Penaeidae</x:v>
      </x:c>
      <x:c r="F79" s="24" t="str">
        <x:v>Commercial shrimps and prawns</x:v>
      </x:c>
      <x:c r="G79" s="24" t="str">
        <x:v>Shrimps</x:v>
      </x:c>
      <x:c r="H79" s="24" t="str">
        <x:v>Crustaceans</x:v>
      </x:c>
      <x:c r="I79" s="31" t="n">
        <x:v>0.0006510263</x:v>
      </x:c>
      <x:c r="J79" s="31" t="n">
        <x:v>0.0006510263</x:v>
      </x:c>
      <x:c r="K79" s="31" t="n">
        <x:v>0</x:v>
      </x:c>
      <x:c r="L79" s="31" t="n">
        <x:v>0.0006510263</x:v>
      </x:c>
      <x:c r="M79" s="31" t="n">
        <x:v>0</x:v>
      </x:c>
      <x:c r="N79" s="24" t="str">
        <x:v>penaeidae</x:v>
      </x:c>
      <x:c r="O79" s="32" t="n">
        <x:v>3.31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Penaeidae</x:v>
      </x:c>
      <x:c r="T79" s="32" t="n">
        <x:f>IF(O79="","",(1/'Metadata'!$B$5)^(O79-1))</x:f>
        <x:v>204.17379446695296</x:v>
      </x:c>
      <x:c r="U79" s="31" t="n">
        <x:f>IF(T79="","",I79*T79)</x:f>
        <x:v>0.13292250996878086</x:v>
      </x:c>
    </x:row>
    <x:row r="80" ht="18" customHeight="1">
      <x:c r="A80" s="24" t="str">
        <x:v>EEZ_316</x:v>
      </x:c>
      <x:c r="B80" s="24" t="str">
        <x:v>Guam (USA)</x:v>
      </x:c>
      <x:c r="C80" s="24" t="str">
        <x:v>EEZ</x:v>
      </x:c>
      <x:c r="D80" s="30" t="n">
        <x:v>2019</x:v>
      </x:c>
      <x:c r="E80" s="24" t="str">
        <x:v>Hexabranchus sanguineus</x:v>
      </x:c>
      <x:c r="F80" s="24" t="str">
        <x:v>Spanish dancer</x:v>
      </x:c>
      <x:c r="G80" s="24" t="str">
        <x:v>Other demersal invertebrates</x:v>
      </x:c>
      <x:c r="H80" s="24" t="str">
        <x:v>Molluscs</x:v>
      </x:c>
      <x:c r="I80" s="31" t="n">
        <x:v>0.0006361483999999999</x:v>
      </x:c>
      <x:c r="J80" s="31" t="n">
        <x:v>0.0006361483999999999</x:v>
      </x:c>
      <x:c r="K80" s="31" t="n">
        <x:v>0</x:v>
      </x:c>
      <x:c r="L80" s="31" t="n">
        <x:v>0.0006361483999999999</x:v>
      </x:c>
      <x:c r="M80" s="31" t="n">
        <x:v>0</x:v>
      </x:c>
      <x:c r="N80" s="24" t="str">
        <x:v>hexabranchus sanguineus</x:v>
      </x:c>
      <x:c r="O80" s="32" t="n">
        <x:v>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Hexabranchus sanguineus</x:v>
      </x:c>
      <x:c r="T80" s="32" t="n">
        <x:f>IF(O80="","",(1/'Metadata'!$B$5)^(O80-1))</x:f>
        <x:v>100</x:v>
      </x:c>
      <x:c r="U80" s="31" t="n">
        <x:f>IF(T80="","",I80*T80)</x:f>
        <x:v>0.06361483999999999</x:v>
      </x:c>
    </x:row>
    <x:row r="81" ht="18" customHeight="1">
      <x:c r="A81" s="24" t="str">
        <x:v>EEZ_316</x:v>
      </x:c>
      <x:c r="B81" s="24" t="str">
        <x:v>Guam (USA)</x:v>
      </x:c>
      <x:c r="C81" s="24" t="str">
        <x:v>EEZ</x:v>
      </x:c>
      <x:c r="D81" s="30" t="n">
        <x:v>2019</x:v>
      </x:c>
      <x:c r="E81" s="24" t="str">
        <x:v>Cirrhitidae</x:v>
      </x:c>
      <x:c r="F81" s="24" t="str">
        <x:v>Hawkfishes</x:v>
      </x:c>
      <x:c r="G81" s="24" t="str">
        <x:v>Small reef assoc. fish (&lt;30 cm)</x:v>
      </x:c>
      <x:c r="H81" s="24" t="str">
        <x:v>Perch-likes</x:v>
      </x:c>
      <x:c r="I81" s="31" t="n">
        <x:v>0.0004711375</x:v>
      </x:c>
      <x:c r="J81" s="31" t="n">
        <x:v>0.0004711375</x:v>
      </x:c>
      <x:c r="K81" s="31" t="n">
        <x:v>0</x:v>
      </x:c>
      <x:c r="L81" s="31" t="n">
        <x:v>0.0004711375</x:v>
      </x:c>
      <x:c r="M81" s="31" t="n">
        <x:v>0</x:v>
      </x:c>
      <x:c r="N81" s="24" t="str">
        <x:v>cirrhitidae</x:v>
      </x:c>
      <x:c r="O81" s="32" t="n">
        <x:v>3.83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Cirrhitidae</x:v>
      </x:c>
      <x:c r="T81" s="32" t="n">
        <x:f>IF(O81="","",(1/'Metadata'!$B$5)^(O81-1))</x:f>
        <x:v>676.0829753919819</x:v>
      </x:c>
      <x:c r="U81" s="31" t="n">
        <x:f>IF(T81="","",I81*T81)</x:f>
        <x:v>0.31852804281873986</x:v>
      </x:c>
    </x:row>
    <x:row r="82" ht="18" customHeight="1">
      <x:c r="A82" s="24" t="str">
        <x:v>EEZ_316</x:v>
      </x:c>
      <x:c r="B82" s="24" t="str">
        <x:v>Guam (USA)</x:v>
      </x:c>
      <x:c r="C82" s="24" t="str">
        <x:v>EEZ</x:v>
      </x:c>
      <x:c r="D82" s="30" t="n">
        <x:v>2019</x:v>
      </x:c>
      <x:c r="E82" s="24" t="str">
        <x:v>Aulostomidae</x:v>
      </x:c>
      <x:c r="F82" s="24" t="str">
        <x:v>Trumpetfishes</x:v>
      </x:c>
      <x:c r="G82" s="24" t="str">
        <x:v>Medium demersals (30 - 89 cm)</x:v>
      </x:c>
      <x:c r="H82" s="24" t="str">
        <x:v>Other fishes &amp; inverts</x:v>
      </x:c>
      <x:c r="I82" s="31" t="n">
        <x:v>0.0004382255</x:v>
      </x:c>
      <x:c r="J82" s="31" t="n">
        <x:v>0.0004382255</x:v>
      </x:c>
      <x:c r="K82" s="31" t="n">
        <x:v>0</x:v>
      </x:c>
      <x:c r="L82" s="31" t="n">
        <x:v>0.0004382255</x:v>
      </x:c>
      <x:c r="M82" s="31" t="n">
        <x:v>0</x:v>
      </x:c>
      <x:c r="N82" s="24" t="str">
        <x:v>aulostomidae</x:v>
      </x:c>
      <x:c r="O82" s="32" t="n">
        <x:v>4.34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Aulostomidae</x:v>
      </x:c>
      <x:c r="T82" s="32" t="n">
        <x:f>IF(O82="","",(1/'Metadata'!$B$5)^(O82-1))</x:f>
        <x:v>2187.761623949552</x:v>
      </x:c>
      <x:c r="U82" s="31" t="n">
        <x:f>IF(T82="","",I82*T82)</x:f>
        <x:v>0.9587329315361044</x:v>
      </x:c>
    </x:row>
    <x:row r="83" ht="18" customHeight="1">
      <x:c r="A83" s="24" t="str">
        <x:v>EEZ_316</x:v>
      </x:c>
      <x:c r="B83" s="24" t="str">
        <x:v>Guam (USA)</x:v>
      </x:c>
      <x:c r="C83" s="24" t="str">
        <x:v>EEZ</x:v>
      </x:c>
      <x:c r="D83" s="30" t="n">
        <x:v>2019</x:v>
      </x:c>
      <x:c r="E83" s="24" t="str">
        <x:v>Tonna perdix</x:v>
      </x:c>
      <x:c r="F83" s="24" t="str">
        <x:v>Pacific partridge tun</x:v>
      </x:c>
      <x:c r="G83" s="24" t="str">
        <x:v>Other demersal invertebrates</x:v>
      </x:c>
      <x:c r="H83" s="24" t="str">
        <x:v>Molluscs</x:v>
      </x:c>
      <x:c r="I83" s="31" t="n">
        <x:v>0.0003548183</x:v>
      </x:c>
      <x:c r="J83" s="31" t="n">
        <x:v>0.0003548183</x:v>
      </x:c>
      <x:c r="K83" s="31" t="n">
        <x:v>0</x:v>
      </x:c>
      <x:c r="L83" s="31" t="n">
        <x:v>0.0003548183</x:v>
      </x:c>
      <x:c r="M83" s="31" t="n">
        <x:v>0</x:v>
      </x:c>
      <x:c r="N83" s="24" t="str">
        <x:v>tonna perdix</x:v>
      </x:c>
      <x:c r="O83" s="32" t="n">
        <x:v>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Tonna perdix</x:v>
      </x:c>
      <x:c r="T83" s="32" t="n">
        <x:f>IF(O83="","",(1/'Metadata'!$B$5)^(O83-1))</x:f>
        <x:v>100</x:v>
      </x:c>
      <x:c r="U83" s="31" t="n">
        <x:f>IF(T83="","",I83*T83)</x:f>
        <x:v>0.03548183</x:v>
      </x:c>
    </x:row>
    <x:row r="84" ht="18" customHeight="1">
      <x:c r="A84" s="24" t="str">
        <x:v>EEZ_316</x:v>
      </x:c>
      <x:c r="B84" s="24" t="str">
        <x:v>Guam (USA)</x:v>
      </x:c>
      <x:c r="C84" s="24" t="str">
        <x:v>EEZ</x:v>
      </x:c>
      <x:c r="D84" s="30" t="n">
        <x:v>2019</x:v>
      </x:c>
      <x:c r="E84" s="24" t="str">
        <x:v>Calappa hepatica</x:v>
      </x:c>
      <x:c r="F84" s="24" t="str">
        <x:v>Box crab</x:v>
      </x:c>
      <x:c r="G84" s="24" t="str">
        <x:v>Lobsters, crabs</x:v>
      </x:c>
      <x:c r="H84" s="24" t="str">
        <x:v>Crustaceans</x:v>
      </x:c>
      <x:c r="I84" s="31" t="n">
        <x:v>0.0001997263</x:v>
      </x:c>
      <x:c r="J84" s="31" t="n">
        <x:v>0.0001997263</x:v>
      </x:c>
      <x:c r="K84" s="31" t="n">
        <x:v>0</x:v>
      </x:c>
      <x:c r="L84" s="31" t="n">
        <x:v>0.0001997263</x:v>
      </x:c>
      <x:c r="M84" s="31" t="n">
        <x:v>0</x:v>
      </x:c>
      <x:c r="N84" s="24" t="str">
        <x:v>calappa hepatica</x:v>
      </x:c>
      <x:c r="O84" s="32" t="n">
        <x:v>4.41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Calappa hepatica</x:v>
      </x:c>
      <x:c r="T84" s="32" t="n">
        <x:f>IF(O84="","",(1/'Metadata'!$B$5)^(O84-1))</x:f>
        <x:v>2570.3957827688646</x:v>
      </x:c>
      <x:c r="U84" s="31" t="n">
        <x:f>IF(T84="","",I84*T84)</x:f>
        <x:v>0.5133756392280291</x:v>
      </x:c>
    </x:row>
    <x:row r="85" ht="18" customHeight="1">
      <x:c r="A85" s="24" t="str">
        <x:v>EEZ_316</x:v>
      </x:c>
      <x:c r="B85" s="24" t="str">
        <x:v>Guam (USA)</x:v>
      </x:c>
      <x:c r="C85" s="24" t="str">
        <x:v>EEZ</x:v>
      </x:c>
      <x:c r="D85" s="30" t="n">
        <x:v>2019</x:v>
      </x:c>
      <x:c r="E85" s="24" t="str">
        <x:v>Megalops cyprinoides</x:v>
      </x:c>
      <x:c r="F85" s="24" t="str">
        <x:v>Indo-Pacific tarpon</x:v>
      </x:c>
      <x:c r="G85" s="24" t="str">
        <x:v>Large pelagics (&gt;=90 cm)</x:v>
      </x:c>
      <x:c r="H85" s="24" t="str">
        <x:v>Other fishes &amp; inverts</x:v>
      </x:c>
      <x:c r="I85" s="31" t="n">
        <x:v>0.0001442718</x:v>
      </x:c>
      <x:c r="J85" s="31" t="n">
        <x:v>0.0001442718</x:v>
      </x:c>
      <x:c r="K85" s="31" t="n">
        <x:v>0</x:v>
      </x:c>
      <x:c r="L85" s="31" t="n">
        <x:v>0.0001442718</x:v>
      </x:c>
      <x:c r="M85" s="31" t="n">
        <x:v>0</x:v>
      </x:c>
      <x:c r="N85" s="24" t="str">
        <x:v>megalops cyprinoides</x:v>
      </x:c>
      <x:c r="O85" s="32" t="n">
        <x:v>3.48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Megalops cyprinoides</x:v>
      </x:c>
      <x:c r="T85" s="32" t="n">
        <x:f>IF(O85="","",(1/'Metadata'!$B$5)^(O85-1))</x:f>
        <x:v>301.9951720402016</x:v>
      </x:c>
      <x:c r="U85" s="31" t="n">
        <x:f>IF(T85="","",I85*T85)</x:f>
        <x:v>0.04356938706154956</x:v>
      </x:c>
    </x:row>
    <x:row r="86" ht="18" customHeight="1">
      <x:c r="A86" s="24" t="str">
        <x:v>EEZ_316</x:v>
      </x:c>
      <x:c r="B86" s="24" t="str">
        <x:v>Guam (USA)</x:v>
      </x:c>
      <x:c r="C86" s="24" t="str">
        <x:v>EEZ</x:v>
      </x:c>
      <x:c r="D86" s="30" t="n">
        <x:v>2019</x:v>
      </x:c>
      <x:c r="E86" s="24" t="str">
        <x:v>Ostreidae</x:v>
      </x:c>
      <x:c r="F86" s="24" t="str">
        <x:v>True oysters</x:v>
      </x:c>
      <x:c r="G86" s="24" t="str">
        <x:v>Other demersal invertebrates</x:v>
      </x:c>
      <x:c r="H86" s="24" t="str">
        <x:v>Molluscs</x:v>
      </x:c>
      <x:c r="I86" s="31" t="n">
        <x:v>0.0000991869</x:v>
      </x:c>
      <x:c r="J86" s="31" t="n">
        <x:v>0.0000991869</x:v>
      </x:c>
      <x:c r="K86" s="31" t="n">
        <x:v>0</x:v>
      </x:c>
      <x:c r="L86" s="31" t="n">
        <x:v>0.0000991869</x:v>
      </x:c>
      <x:c r="M86" s="31" t="n">
        <x:v>0</x:v>
      </x:c>
      <x:c r="N86" s="24" t="str">
        <x:v>ostreidae</x:v>
      </x:c>
      <x:c r="O86" s="32" t="n">
        <x:v>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Ostreidae</x:v>
      </x:c>
      <x:c r="T86" s="32" t="n">
        <x:f>IF(O86="","",(1/'Metadata'!$B$5)^(O86-1))</x:f>
        <x:v>10</x:v>
      </x:c>
      <x:c r="U86" s="31" t="n">
        <x:f>IF(T86="","",I86*T86)</x:f>
        <x:v>0.000991869</x:v>
      </x:c>
    </x:row>
    <x:row r="87" ht="18" customHeight="1">
      <x:c r="A87" s="24" t="str">
        <x:v>EEZ_316</x:v>
      </x:c>
      <x:c r="B87" s="24" t="str">
        <x:v>Guam (USA)</x:v>
      </x:c>
      <x:c r="C87" s="24" t="str">
        <x:v>EEZ</x:v>
      </x:c>
      <x:c r="D87" s="30" t="n">
        <x:v>2019</x:v>
      </x:c>
      <x:c r="E87" s="24" t="str">
        <x:v>Terebridae</x:v>
      </x:c>
      <x:c r="F87" s="24" t="str">
        <x:v>Augur shells</x:v>
      </x:c>
      <x:c r="G87" s="24" t="str">
        <x:v>Other demersal invertebrates</x:v>
      </x:c>
      <x:c r="H87" s="24" t="str">
        <x:v>Molluscs</x:v>
      </x:c>
      <x:c r="I87" s="31" t="n">
        <x:v>0.0000477901</x:v>
      </x:c>
      <x:c r="J87" s="31" t="n">
        <x:v>0.0000477901</x:v>
      </x:c>
      <x:c r="K87" s="31" t="n">
        <x:v>0</x:v>
      </x:c>
      <x:c r="L87" s="31" t="n">
        <x:v>0.0000477901</x:v>
      </x:c>
      <x:c r="M87" s="31" t="n">
        <x:v>0</x:v>
      </x:c>
      <x:c r="N87" s="24" t="str">
        <x:v>terebridae</x:v>
      </x:c>
      <x:c r="O87" s="32" t="n">
        <x:v>3.06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Terebridae</x:v>
      </x:c>
      <x:c r="T87" s="32" t="n">
        <x:f>IF(O87="","",(1/'Metadata'!$B$5)^(O87-1))</x:f>
        <x:v>114.81536214968828</x:v>
      </x:c>
      <x:c r="U87" s="31" t="n">
        <x:f>IF(T87="","",I87*T87)</x:f>
        <x:v>0.005487037638669819</x:v>
      </x:c>
    </x:row>
    <x:row r="88" ht="18" customHeight="1">
      <x:c r="A88" s="24" t="str">
        <x:v>EEZ_316</x:v>
      </x:c>
      <x:c r="B88" s="24" t="str">
        <x:v>Guam (USA)</x:v>
      </x:c>
      <x:c r="C88" s="24" t="str">
        <x:v>EEZ</x:v>
      </x:c>
      <x:c r="D88" s="30" t="n">
        <x:v>2019</x:v>
      </x:c>
      <x:c r="E88" s="24" t="str">
        <x:v>Tellinidae</x:v>
      </x:c>
      <x:c r="F88" s="24" t="str">
        <x:v>Tellin clams</x:v>
      </x:c>
      <x:c r="G88" s="24" t="str">
        <x:v>Other demersal invertebrates</x:v>
      </x:c>
      <x:c r="H88" s="24" t="str">
        <x:v>Molluscs</x:v>
      </x:c>
      <x:c r="I88" s="31" t="n">
        <x:v>0.000039674699999999995</x:v>
      </x:c>
      <x:c r="J88" s="31" t="n">
        <x:v>0.000039674699999999995</x:v>
      </x:c>
      <x:c r="K88" s="31" t="n">
        <x:v>0</x:v>
      </x:c>
      <x:c r="L88" s="31" t="n">
        <x:v>0.000039674699999999995</x:v>
      </x:c>
      <x:c r="M88" s="31" t="n">
        <x:v>0</x:v>
      </x:c>
      <x:c r="N88" s="24" t="str">
        <x:v>tellinidae</x:v>
      </x:c>
      <x:c r="O88" s="32" t="n">
        <x:v>2.15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Tellinidae</x:v>
      </x:c>
      <x:c r="T88" s="32" t="n">
        <x:f>IF(O88="","",(1/'Metadata'!$B$5)^(O88-1))</x:f>
        <x:v>14.12537544622754</x:v>
      </x:c>
      <x:c r="U88" s="31" t="n">
        <x:f>IF(T88="","",I88*T88)</x:f>
        <x:v>0.0005604200332164438</x:v>
      </x:c>
    </x:row>
    <x:row r="89" ht="18" customHeight="1">
      <x:c r="A89" s="24" t="str">
        <x:v>EEZ_316</x:v>
      </x:c>
      <x:c r="B89" s="24" t="str">
        <x:v>Guam (USA)</x:v>
      </x:c>
      <x:c r="C89" s="24" t="str">
        <x:v>EEZ</x:v>
      </x:c>
      <x:c r="D89" s="30" t="n">
        <x:v>2019</x:v>
      </x:c>
      <x:c r="E89" s="24" t="str">
        <x:v>Scorpaeniformes</x:v>
      </x:c>
      <x:c r="F89" s="24" t="str">
        <x:v>Scorpionfishes, flatheads</x:v>
      </x:c>
      <x:c r="G89" s="24" t="str">
        <x:v>Medium demersals (30 - 89 cm)</x:v>
      </x:c>
      <x:c r="H89" s="24" t="str">
        <x:v>Scorpionfishes</x:v>
      </x:c>
      <x:c r="I89" s="31" t="n">
        <x:v>0.0000356171</x:v>
      </x:c>
      <x:c r="J89" s="31" t="n">
        <x:v>0.0000356171</x:v>
      </x:c>
      <x:c r="K89" s="31" t="n">
        <x:v>0</x:v>
      </x:c>
      <x:c r="L89" s="31" t="n">
        <x:v>0.0000356171</x:v>
      </x:c>
      <x:c r="M89" s="31" t="n">
        <x:v>0</x:v>
      </x:c>
      <x:c r="N89" s="24" t="str">
        <x:v>scorpaeniformes</x:v>
      </x:c>
      <x:c r="O89" s="32" t="n">
        <x:v>3.78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Scorpaeniformes</x:v>
      </x:c>
      <x:c r="T89" s="32" t="n">
        <x:f>IF(O89="","",(1/'Metadata'!$B$5)^(O89-1))</x:f>
        <x:v>602.5595860743575</x:v>
      </x:c>
      <x:c r="U89" s="31" t="n">
        <x:f>IF(T89="","",I89*T89)</x:f>
        <x:v>0.021461425033169</x:v>
      </x:c>
    </x:row>
    <x:row r="90" ht="18" customHeight="1">
      <x:c r="A90" s="24" t="str">
        <x:v>EEZ_316</x:v>
      </x:c>
      <x:c r="B90" s="24" t="str">
        <x:v>Guam (USA)</x:v>
      </x:c>
      <x:c r="C90" s="24" t="str">
        <x:v>EEZ</x:v>
      </x:c>
      <x:c r="D90" s="30" t="n">
        <x:v>2019</x:v>
      </x:c>
      <x:c r="E90" s="24" t="str">
        <x:v>Carditidae</x:v>
      </x:c>
      <x:c r="F90" s="24" t="str">
        <x:v>Cardita clams</x:v>
      </x:c>
      <x:c r="G90" s="24" t="str">
        <x:v>Other demersal invertebrates</x:v>
      </x:c>
      <x:c r="H90" s="24" t="str">
        <x:v>Molluscs</x:v>
      </x:c>
      <x:c r="I90" s="31" t="n">
        <x:v>0.0000117221</x:v>
      </x:c>
      <x:c r="J90" s="31" t="n">
        <x:v>0.0000117221</x:v>
      </x:c>
      <x:c r="K90" s="31" t="n">
        <x:v>0</x:v>
      </x:c>
      <x:c r="L90" s="31" t="n">
        <x:v>0.0000117221</x:v>
      </x:c>
      <x:c r="M90" s="31" t="n">
        <x:v>0</x:v>
      </x:c>
      <x:c r="N90" s="24" t="str">
        <x:v>carditidae</x:v>
      </x:c>
      <x:c r="O90" s="32" t="n">
        <x:v>2.05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Carditidae</x:v>
      </x:c>
      <x:c r="T90" s="32" t="n">
        <x:f>IF(O90="","",(1/'Metadata'!$B$5)^(O90-1))</x:f>
        <x:v>11.220184543019629</x:v>
      </x:c>
      <x:c r="U90" s="31" t="n">
        <x:f>IF(T90="","",I90*T90)</x:f>
        <x:v>0.0001315241252317304</x:v>
      </x:c>
    </x:row>
    <x:row r="91" ht="18" customHeight="1">
      <x:c r="A91" s="24" t="str">
        <x:v>EEZ_316</x:v>
      </x:c>
      <x:c r="B91" s="24" t="str">
        <x:v>Guam (USA)</x:v>
      </x:c>
      <x:c r="C91" s="24" t="str">
        <x:v>EEZ</x:v>
      </x:c>
      <x:c r="D91" s="30" t="n">
        <x:v>2019</x:v>
      </x:c>
      <x:c r="E91" s="24" t="str">
        <x:v>Ambassidae</x:v>
      </x:c>
      <x:c r="F91" s="24" t="str">
        <x:v>Asiatic glassfishes</x:v>
      </x:c>
      <x:c r="G91" s="24" t="str">
        <x:v>Small demersals (&lt;30 cm)</x:v>
      </x:c>
      <x:c r="H91" s="24" t="str">
        <x:v>Perch-likes</x:v>
      </x:c>
      <x:c r="I91" s="31" t="n">
        <x:v>0.0000099187</x:v>
      </x:c>
      <x:c r="J91" s="31" t="n">
        <x:v>0.0000099187</x:v>
      </x:c>
      <x:c r="K91" s="31" t="n">
        <x:v>0</x:v>
      </x:c>
      <x:c r="L91" s="31" t="n">
        <x:v>0.0000099187</x:v>
      </x:c>
      <x:c r="M91" s="31" t="n">
        <x:v>0</x:v>
      </x:c>
      <x:c r="N91" s="24" t="str">
        <x:v>ambassidae</x:v>
      </x:c>
      <x:c r="O91" s="32" t="n">
        <x:v>3.3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Ambassidae</x:v>
      </x:c>
      <x:c r="T91" s="32" t="n">
        <x:f>IF(O91="","",(1/'Metadata'!$B$5)^(O91-1))</x:f>
        <x:v>199.52623149688787</x:v>
      </x:c>
      <x:c r="U91" s="31" t="n">
        <x:f>IF(T91="","",I91*T91)</x:f>
        <x:v>0.0019790408323481818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7d7987bf03b45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0.0020423472</x:v>
      </x:c>
      <x:c r="E2" s="31" t="n">
        <x:v>0.0020423472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IF(C2=0,"",SUMIF('Species'!$H$2:$H$91,A2,'Species'!$U$2:$U$91))</x:f>
        <x:v>0.3236902173922018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0.3236902173922018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7</x:v>
      </x:c>
      <x:c r="C3" s="33" t="n">
        <x:v>7</x:v>
      </x:c>
      <x:c r="D3" s="31" t="n">
        <x:v>0.43414756970000007</x:v>
      </x:c>
      <x:c r="E3" s="31" t="n">
        <x:v>0.43414756970000007</x:v>
      </x:c>
      <x:c r="F3" s="32" t="n">
        <x:v>0</x:v>
      </x:c>
      <x:c r="G3" s="34" t="n">
        <x:v>1</x:v>
      </x:c>
      <x:c r="H3" s="32" t="n">
        <x:f>IF(E3=0,"",I3/E3)</x:f>
        <x:v>188.138757304785</x:v>
      </x:c>
      <x:c r="I3" s="31" t="n">
        <x:f>IF(C3=0,"",SUMIF('Species'!$H$2:$H$91,A3,'Species'!$U$2:$U$91))</x:f>
        <x:v>81.67998425025054</x:v>
      </x:c>
      <x:c r="J3" s="32" t="n">
        <x:v>3.2260951342070823</x:v>
      </x:c>
      <x:c r="K3" s="32" t="n">
        <x:f>IF(J3="","",(1/'Metadata'!$B$5)^(J3-1))</x:f>
        <x:v>168.30426989501666</x:v>
      </x:c>
      <x:c r="L3" s="31" t="n">
        <x:f>IF(E3=0,"",E3*K3)</x:f>
        <x:v>73.06888974505436</x:v>
      </x:c>
      <x:c r="M3" s="31" t="n">
        <x:f>IF(E3=0,"",I3-L3)</x:f>
        <x:v>8.611094505196178</x:v>
      </x:c>
      <x:c r="N3" s="32" t="n">
        <x:f>IF(L3=0,"",I3/L3)</x:f>
        <x:v>1.11784898518701</x:v>
      </x:c>
      <x:c r="O3" s="34" t="n">
        <x:f>IF(L3=0,"",M3/L3)</x:f>
        <x:v>0.11784898518701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0.0104714254</x:v>
      </x:c>
      <x:c r="E4" s="31" t="n">
        <x:v>0.0104714254</x:v>
      </x:c>
      <x:c r="F4" s="32" t="n">
        <x:v>0</x:v>
      </x:c>
      <x:c r="G4" s="34" t="n">
        <x:v>1</x:v>
      </x:c>
      <x:c r="H4" s="32" t="n">
        <x:f>IF(E4=0,"",I4/E4)</x:f>
        <x:v>588.843655355589</x:v>
      </x:c>
      <x:c r="I4" s="31" t="n">
        <x:f>IF(C4=0,"",SUMIF('Species'!$H$2:$H$91,A4,'Species'!$U$2:$U$91))</x:f>
        <x:v>6.166032409319361</x:v>
      </x:c>
      <x:c r="J4" s="32" t="n">
        <x:v>3.7699999999999996</x:v>
      </x:c>
      <x:c r="K4" s="32" t="n">
        <x:f>IF(J4="","",(1/'Metadata'!$B$5)^(J4-1))</x:f>
        <x:v>588.8436553555883</x:v>
      </x:c>
      <x:c r="L4" s="31" t="n">
        <x:f>IF(E4=0,"",E4*K4)</x:f>
        <x:v>6.166032409319354</x:v>
      </x:c>
      <x:c r="M4" s="31" t="n">
        <x:f>IF(E4=0,"",I4-L4)</x:f>
        <x:v>7.105427357601002e-15</x:v>
      </x:c>
      <x:c r="N4" s="32" t="n">
        <x:f>IF(L4=0,"",I4/L4)</x:f>
        <x:v>1.000000000000001</x:v>
      </x:c>
      <x:c r="O4" s="34" t="n">
        <x:f>IF(L4=0,"",M4/L4)</x:f>
        <x:v>1.1523499855209721e-15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0.0036149095</x:v>
      </x:c>
      <x:c r="E5" s="31" t="n">
        <x:v>0.0036149095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IF(C5=0,"",SUMIF('Species'!$H$2:$H$91,A5,'Species'!$U$2:$U$91))</x:f>
        <x:v>0.5225133958947277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0.5225133958947277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11</x:v>
      </x:c>
      <x:c r="C6" s="33" t="n">
        <x:v>11</x:v>
      </x:c>
      <x:c r="D6" s="31" t="n">
        <x:v>0.12520535400000002</x:v>
      </x:c>
      <x:c r="E6" s="31" t="n">
        <x:v>0.12520535400000002</x:v>
      </x:c>
      <x:c r="F6" s="32" t="n">
        <x:v>0</x:v>
      </x:c>
      <x:c r="G6" s="34" t="n">
        <x:v>1</x:v>
      </x:c>
      <x:c r="H6" s="32" t="n">
        <x:f>IF(E6=0,"",I6/E6)</x:f>
        <x:v>11.012495040883818</x:v>
      </x:c>
      <x:c r="I6" s="31" t="n">
        <x:f>IF(C6=0,"",SUMIF('Species'!$H$2:$H$91,A6,'Species'!$U$2:$U$91))</x:f>
        <x:v>1.3788233400171033</x:v>
      </x:c>
      <x:c r="J6" s="32" t="n">
        <x:v>2.01748853173643</x:v>
      </x:c>
      <x:c r="K6" s="32" t="n">
        <x:f>IF(J6="","",(1/'Metadata'!$B$5)^(J6-1))</x:f>
        <x:v>10.410906155420003</x:v>
      </x:c>
      <x:c r="L6" s="31" t="n">
        <x:f>IF(E6=0,"",E6*K6)</x:f>
        <x:v>1.3035011906501406</x:v>
      </x:c>
      <x:c r="M6" s="31" t="n">
        <x:f>IF(E6=0,"",I6-L6)</x:f>
        <x:v>0.07532214936696269</x:v>
      </x:c>
      <x:c r="N6" s="32" t="n">
        <x:f>IF(L6=0,"",I6/L6)</x:f>
        <x:v>1.0577844883512493</x:v>
      </x:c>
      <x:c r="O6" s="34" t="n">
        <x:f>IF(L6=0,"",M6/L6)</x:f>
        <x:v>0.05778448835124934</x:v>
      </x:c>
    </x:row>
    <x:row r="7" ht="18" customHeight="1">
      <x:c r="A7" s="24" t="str">
        <x:v>Other fishes &amp; inverts</x:v>
      </x:c>
      <x:c r="B7" s="33" t="n">
        <x:v>19</x:v>
      </x:c>
      <x:c r="C7" s="33" t="n">
        <x:v>19</x:v>
      </x:c>
      <x:c r="D7" s="31" t="n">
        <x:v>98.08103117790002</x:v>
      </x:c>
      <x:c r="E7" s="31" t="n">
        <x:v>98.08103117790002</x:v>
      </x:c>
      <x:c r="F7" s="32" t="n">
        <x:v>0</x:v>
      </x:c>
      <x:c r="G7" s="34" t="n">
        <x:v>1</x:v>
      </x:c>
      <x:c r="H7" s="32" t="n">
        <x:f>IF(E7=0,"",I7/E7)</x:f>
        <x:v>201.558968908732</x:v>
      </x:c>
      <x:c r="I7" s="31" t="n">
        <x:f>IF(C7=0,"",SUMIF('Species'!$H$2:$H$91,A7,'Species'!$U$2:$U$91))</x:f>
        <x:v>19769.111513722724</x:v>
      </x:c>
      <x:c r="J7" s="32" t="n">
        <x:v>3.293629527164077</x:v>
      </x:c>
      <x:c r="K7" s="32" t="n">
        <x:f>IF(J7="","",(1/'Metadata'!$B$5)^(J7-1))</x:f>
        <x:v>196.62083094937577</x:v>
      </x:c>
      <x:c r="L7" s="31" t="n">
        <x:f>IF(E7=0,"",E7*K7)</x:f>
        <x:v>19284.773850570335</x:v>
      </x:c>
      <x:c r="M7" s="31" t="n">
        <x:f>IF(E7=0,"",I7-L7)</x:f>
        <x:v>484.3376631523897</x:v>
      </x:c>
      <x:c r="N7" s="32" t="n">
        <x:f>IF(L7=0,"",I7/L7)</x:f>
        <x:v>1.0251150294478597</x:v>
      </x:c>
      <x:c r="O7" s="34" t="n">
        <x:f>IF(L7=0,"",M7/L7)</x:f>
        <x:v>0.025115029447859757</x:v>
      </x:c>
    </x:row>
    <x:row r="8" ht="18" customHeight="1">
      <x:c r="A8" s="24" t="str">
        <x:v>Perch-likes</x:v>
      </x:c>
      <x:c r="B8" s="33" t="n">
        <x:v>32</x:v>
      </x:c>
      <x:c r="C8" s="33" t="n">
        <x:v>32</x:v>
      </x:c>
      <x:c r="D8" s="31" t="n">
        <x:v>144.54249778419998</x:v>
      </x:c>
      <x:c r="E8" s="31" t="n">
        <x:v>144.54249778419998</x:v>
      </x:c>
      <x:c r="F8" s="32" t="n">
        <x:v>0</x:v>
      </x:c>
      <x:c r="G8" s="34" t="n">
        <x:v>1</x:v>
      </x:c>
      <x:c r="H8" s="32" t="n">
        <x:f>IF(E8=0,"",I8/E8)</x:f>
        <x:v>1686.6743233146408</x:v>
      </x:c>
      <x:c r="I8" s="31" t="n">
        <x:f>IF(C8=0,"",SUMIF('Species'!$H$2:$H$91,A8,'Species'!$U$2:$U$91))</x:f>
        <x:v>243796.11964037348</x:v>
      </x:c>
      <x:c r="J8" s="32" t="n">
        <x:v>4.0958082085989025</x:v>
      </x:c>
      <x:c r="K8" s="32" t="n">
        <x:f>IF(J8="","",(1/'Metadata'!$B$5)^(J8-1))</x:f>
        <x:v>1246.8327713159588</x:v>
      </x:c>
      <x:c r="L8" s="31" t="n">
        <x:f>IF(E8=0,"",E8*K8)</x:f>
        <x:v>180220.3230852049</x:v>
      </x:c>
      <x:c r="M8" s="31" t="n">
        <x:f>IF(E8=0,"",I8-L8)</x:f>
        <x:v>63575.79655516858</x:v>
      </x:c>
      <x:c r="N8" s="32" t="n">
        <x:f>IF(L8=0,"",I8/L8)</x:f>
        <x:v>1.352767076802493</x:v>
      </x:c>
      <x:c r="O8" s="34" t="n">
        <x:f>IF(L8=0,"",M8/L8)</x:f>
        <x:v>0.352767076802493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0.0157977587</x:v>
      </x:c>
      <x:c r="E9" s="31" t="n">
        <x:v>0.0157977587</x:v>
      </x:c>
      <x:c r="F9" s="32" t="n">
        <x:v>0</x:v>
      </x:c>
      <x:c r="G9" s="34" t="n">
        <x:v>1</x:v>
      </x:c>
      <x:c r="H9" s="32" t="n">
        <x:f>IF(E9=0,"",I9/E9)</x:f>
        <x:v>831.2470149897564</x:v>
      </x:c>
      <x:c r="I9" s="31" t="n">
        <x:f>IF(C9=0,"",SUMIF('Species'!$H$2:$H$91,A9,'Species'!$U$2:$U$91))</x:f>
        <x:v>13.131839762903455</x:v>
      </x:c>
      <x:c r="J9" s="32" t="n">
        <x:v>3.9196843606682004</x:v>
      </x:c>
      <x:c r="K9" s="32" t="n">
        <x:f>IF(J9="","",(1/'Metadata'!$B$5)^(J9-1))</x:f>
        <x:v>831.1594761123451</x:v>
      </x:c>
      <x:c r="L9" s="31" t="n">
        <x:f>IF(E9=0,"",E9*K9)</x:f>
        <x:v>13.130456844841243</x:v>
      </x:c>
      <x:c r="M9" s="31" t="n">
        <x:f>IF(E9=0,"",I9-L9)</x:f>
        <x:v>0.0013829180622124682</x:v>
      </x:c>
      <x:c r="N9" s="32" t="n">
        <x:f>IF(L9=0,"",I9/L9)</x:f>
        <x:v>1.0001053213973097</x:v>
      </x:c>
      <x:c r="O9" s="34" t="n">
        <x:f>IF(L9=0,"",M9/L9)</x:f>
        <x:v>0.00010532139730962945</x:v>
      </x:c>
    </x:row>
    <x:row r="10" ht="18" customHeight="1">
      <x:c r="A10" s="24" t="str">
        <x:v>Sharks &amp; rays</x:v>
      </x:c>
      <x:c r="B10" s="33" t="n">
        <x:v>7</x:v>
      </x:c>
      <x:c r="C10" s="33" t="n">
        <x:v>7</x:v>
      </x:c>
      <x:c r="D10" s="31" t="n">
        <x:v>80.12652271740001</x:v>
      </x:c>
      <x:c r="E10" s="31" t="n">
        <x:v>80.12652271740001</x:v>
      </x:c>
      <x:c r="F10" s="32" t="n">
        <x:v>0</x:v>
      </x:c>
      <x:c r="G10" s="34" t="n">
        <x:v>1</x:v>
      </x:c>
      <x:c r="H10" s="32" t="n">
        <x:f>IF(E10=0,"",I10/E10)</x:f>
        <x:v>1714.9959063143658</x:v>
      </x:c>
      <x:c r="I10" s="31" t="n">
        <x:f>IF(C10=0,"",SUMIF('Species'!$H$2:$H$91,A10,'Species'!$U$2:$U$91))</x:f>
        <x:v>137416.65844754604</x:v>
      </x:c>
      <x:c r="J10" s="32" t="n">
        <x:v>4.204406554317005</x:v>
      </x:c>
      <x:c r="K10" s="32" t="n">
        <x:f>IF(J10="","",(1/'Metadata'!$B$5)^(J10-1))</x:f>
        <x:v>1601.0561174200006</x:v>
      </x:c>
      <x:c r="L10" s="31" t="n">
        <x:f>IF(E10=0,"",E10*K10)</x:f>
        <x:v>128287.05936428593</x:v>
      </x:c>
      <x:c r="M10" s="31" t="n">
        <x:f>IF(E10=0,"",I10-L10)</x:f>
        <x:v>9129.59908326011</x:v>
      </x:c>
      <x:c r="N10" s="32" t="n">
        <x:f>IF(L10=0,"",I10/L10)</x:f>
        <x:v>1.0711653936765013</x:v>
      </x:c>
      <x:c r="O10" s="34" t="n">
        <x:f>IF(L10=0,"",M10/L10)</x:f>
        <x:v>0.07116539367650136</x:v>
      </x:c>
    </x:row>
    <x:row r="11" ht="18" customHeight="1">
      <x:c r="A11" s="24" t="str">
        <x:v>Tuna &amp; billfishes</x:v>
      </x:c>
      <x:c r="B11" s="33" t="n">
        <x:v>9</x:v>
      </x:c>
      <x:c r="C11" s="33" t="n">
        <x:v>9</x:v>
      </x:c>
      <x:c r="D11" s="31" t="n">
        <x:v>1061.7121285731</x:v>
      </x:c>
      <x:c r="E11" s="31" t="n">
        <x:v>1061.7121285731</x:v>
      </x:c>
      <x:c r="F11" s="32" t="n">
        <x:v>0</x:v>
      </x:c>
      <x:c r="G11" s="34" t="n">
        <x:v>1</x:v>
      </x:c>
      <x:c r="H11" s="32" t="n">
        <x:f>IF(E11=0,"",I11/E11)</x:f>
        <x:v>2633.8416443459364</x:v>
      </x:c>
      <x:c r="I11" s="31" t="n">
        <x:f>IF(C11=0,"",SUMIF('Species'!$H$2:$H$91,A11,'Species'!$U$2:$U$91))</x:f>
        <x:v>2796381.618542998</x:v>
      </x:c>
      <x:c r="J11" s="32" t="n">
        <x:v>4.4169745734006165</x:v>
      </x:c>
      <x:c r="K11" s="32" t="n">
        <x:f>IF(J11="","",(1/'Metadata'!$B$5)^(J11-1))</x:f>
        <x:v>2612.008424903683</x:v>
      </x:c>
      <x:c r="L11" s="31" t="n">
        <x:f>IF(E11=0,"",E11*K11)</x:f>
        <x:v>2773201.02465536</x:v>
      </x:c>
      <x:c r="M11" s="31" t="n">
        <x:f>IF(E11=0,"",I11-L11)</x:f>
        <x:v>23180.5938876383</x:v>
      </x:c>
      <x:c r="N11" s="32" t="n">
        <x:f>IF(L11=0,"",I11/L11)</x:f>
        <x:v>1.0083587859955154</x:v>
      </x:c>
      <x:c r="O11" s="34" t="n">
        <x:f>IF(L11=0,"",M11/L11)</x:f>
        <x:v>0.008358785995515443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b389acb419d48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1.2162700834</x:v>
      </x:c>
      <x:c r="E2" s="31" t="n">
        <x:v>1.2162700834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IF(C2=0,"",SUMIF('Species'!$G$2:$G$91,A2,'Species'!$U$2:$U$91))</x:f>
        <x:v>767.4145419927669</x:v>
      </x:c>
      <x:c r="J2" s="32" t="n">
        <x:v>3.8000000000000003</x:v>
      </x:c>
      <x:c r="K2" s="32" t="n">
        <x:f>IF(J2="","",(1/'Metadata'!$B$5)^(J2-1))</x:f>
        <x:v>630.9573444801937</x:v>
      </x:c>
      <x:c r="L2" s="31" t="n">
        <x:f>IF(E2=0,"",E2*K2)</x:f>
        <x:v>767.4145419927677</x:v>
      </x:c>
      <x:c r="M2" s="31" t="n">
        <x:f>IF(E2=0,"",I2-L2)</x:f>
        <x:v>-7.958078640513122e-13</x:v>
      </x:c>
      <x:c r="N2" s="32" t="n">
        <x:f>IF(L2=0,"",I2/L2)</x:f>
        <x:v>0.999999999999999</x:v>
      </x:c>
      <x:c r="O2" s="34" t="n">
        <x:f>IF(L2=0,"",M2/L2)</x:f>
        <x:v>-1.0369986760803552e-15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0.0379299501</x:v>
      </x:c>
      <x:c r="E3" s="31" t="n">
        <x:v>0.0379299501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IF(C3=0,"",SUMIF('Species'!$G$2:$G$91,A3,'Species'!$U$2:$U$91))</x:f>
        <x:v>0.40642673778849064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0.40642673778849064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12</x:v>
      </x:c>
      <x:c r="C4" s="33" t="n">
        <x:v>12</x:v>
      </x:c>
      <x:c r="D4" s="31" t="n">
        <x:v>1112.6802118120997</x:v>
      </x:c>
      <x:c r="E4" s="31" t="n">
        <x:v>1112.6802118120997</x:v>
      </x:c>
      <x:c r="F4" s="32" t="n">
        <x:v>0</x:v>
      </x:c>
      <x:c r="G4" s="34" t="n">
        <x:v>1</x:v>
      </x:c>
      <x:c r="H4" s="32" t="n">
        <x:f>IF(E4=0,"",I4/E4)</x:f>
        <x:v>2620.4356016908055</x:v>
      </x:c>
      <x:c r="I4" s="31" t="n">
        <x:f>IF(C4=0,"",SUMIF('Species'!$G$2:$G$91,A4,'Species'!$U$2:$U$91))</x:f>
        <x:v>2915706.8403292927</x:v>
      </x:c>
      <x:c r="J4" s="32" t="n">
        <x:v>4.414793436729173</x:v>
      </x:c>
      <x:c r="K4" s="32" t="n">
        <x:f>IF(J4="","",(1/'Metadata'!$B$5)^(J4-1))</x:f>
        <x:v>2598.923144612974</x:v>
      </x:c>
      <x:c r="L4" s="31" t="n">
        <x:f>IF(E4=0,"",E4*K4)</x:f>
        <x:v>2891770.355031332</x:v>
      </x:c>
      <x:c r="M4" s="31" t="n">
        <x:f>IF(E4=0,"",I4-L4)</x:f>
        <x:v>23936.485297960695</x:v>
      </x:c>
      <x:c r="N4" s="32" t="n">
        <x:f>IF(L4=0,"",I4/L4)</x:f>
        <x:v>1.008277450267209</x:v>
      </x:c>
      <x:c r="O4" s="34" t="n">
        <x:f>IF(L4=0,"",M4/L4)</x:f>
        <x:v>0.008277450267208837</x:v>
      </x:c>
    </x:row>
    <x:row r="5" ht="18" customHeight="1">
      <x:c r="A5" s="24" t="str">
        <x:v>Large reef assoc. fish (&gt;=90 cm)</x:v>
      </x:c>
      <x:c r="B5" s="33" t="n">
        <x:v>3</x:v>
      </x:c>
      <x:c r="C5" s="33" t="n">
        <x:v>3</x:v>
      </x:c>
      <x:c r="D5" s="31" t="n">
        <x:v>0.24344057789999998</x:v>
      </x:c>
      <x:c r="E5" s="31" t="n">
        <x:v>0.24344057789999998</x:v>
      </x:c>
      <x:c r="F5" s="32" t="n">
        <x:v>0</x:v>
      </x:c>
      <x:c r="G5" s="34" t="n">
        <x:v>1</x:v>
      </x:c>
      <x:c r="H5" s="32" t="n">
        <x:f>IF(E5=0,"",I5/E5)</x:f>
        <x:v>1130.1992166166153</x:v>
      </x:c>
      <x:c r="I5" s="31" t="n">
        <x:f>IF(C5=0,"",SUMIF('Species'!$G$2:$G$91,A5,'Species'!$U$2:$U$91))</x:f>
        <x:v>275.1363504352761</x:v>
      </x:c>
      <x:c r="J5" s="32" t="n">
        <x:v>4.045364397645887</x:v>
      </x:c>
      <x:c r="K5" s="32" t="n">
        <x:f>IF(J5="","",(1/'Metadata'!$B$5)^(J5-1))</x:f>
        <x:v>1110.1058662452676</x:v>
      </x:c>
      <x:c r="L5" s="31" t="n">
        <x:f>IF(E5=0,"",E5*K5)</x:f>
        <x:v>270.24481360892804</x:v>
      </x:c>
      <x:c r="M5" s="31" t="n">
        <x:f>IF(E5=0,"",I5-L5)</x:f>
        <x:v>4.8915368263480445</x:v>
      </x:c>
      <x:c r="N5" s="32" t="n">
        <x:f>IF(L5=0,"",I5/L5)</x:f>
        <x:v>1.018100391126938</x:v>
      </x:c>
      <x:c r="O5" s="34" t="n">
        <x:f>IF(L5=0,"",M5/L5)</x:f>
        <x:v>0.01810039112693796</x:v>
      </x:c>
    </x:row>
    <x:row r="6" ht="18" customHeight="1">
      <x:c r="A6" s="24" t="str">
        <x:v>Large sharks (&gt;=90 cm)</x:v>
      </x:c>
      <x:c r="B6" s="33" t="n">
        <x:v>7</x:v>
      </x:c>
      <x:c r="C6" s="33" t="n">
        <x:v>7</x:v>
      </x:c>
      <x:c r="D6" s="31" t="n">
        <x:v>80.12652271740001</x:v>
      </x:c>
      <x:c r="E6" s="31" t="n">
        <x:v>80.12652271740001</x:v>
      </x:c>
      <x:c r="F6" s="32" t="n">
        <x:v>0</x:v>
      </x:c>
      <x:c r="G6" s="34" t="n">
        <x:v>1</x:v>
      </x:c>
      <x:c r="H6" s="32" t="n">
        <x:f>IF(E6=0,"",I6/E6)</x:f>
        <x:v>1714.9959063143658</x:v>
      </x:c>
      <x:c r="I6" s="31" t="n">
        <x:f>IF(C6=0,"",SUMIF('Species'!$G$2:$G$91,A6,'Species'!$U$2:$U$91))</x:f>
        <x:v>137416.65844754604</x:v>
      </x:c>
      <x:c r="J6" s="32" t="n">
        <x:v>4.204406554317005</x:v>
      </x:c>
      <x:c r="K6" s="32" t="n">
        <x:f>IF(J6="","",(1/'Metadata'!$B$5)^(J6-1))</x:f>
        <x:v>1601.0561174200006</x:v>
      </x:c>
      <x:c r="L6" s="31" t="n">
        <x:f>IF(E6=0,"",E6*K6)</x:f>
        <x:v>128287.05936428593</x:v>
      </x:c>
      <x:c r="M6" s="31" t="n">
        <x:f>IF(E6=0,"",I6-L6)</x:f>
        <x:v>9129.59908326011</x:v>
      </x:c>
      <x:c r="N6" s="32" t="n">
        <x:f>IF(L6=0,"",I6/L6)</x:f>
        <x:v>1.0711653936765013</x:v>
      </x:c>
      <x:c r="O6" s="34" t="n">
        <x:f>IF(L6=0,"",M6/L6)</x:f>
        <x:v>0.07116539367650136</x:v>
      </x:c>
    </x:row>
    <x:row r="7" ht="18" customHeight="1">
      <x:c r="A7" s="24" t="str">
        <x:v>Lobsters, crabs</x:v>
      </x:c>
      <x:c r="B7" s="33" t="n">
        <x:v>6</x:v>
      </x:c>
      <x:c r="C7" s="33" t="n">
        <x:v>6</x:v>
      </x:c>
      <x:c r="D7" s="31" t="n">
        <x:v>0.43349654340000005</x:v>
      </x:c>
      <x:c r="E7" s="31" t="n">
        <x:v>0.43349654340000005</x:v>
      </x:c>
      <x:c r="F7" s="32" t="n">
        <x:v>0</x:v>
      </x:c>
      <x:c r="G7" s="34" t="n">
        <x:v>1</x:v>
      </x:c>
      <x:c r="H7" s="32" t="n">
        <x:f>IF(E7=0,"",I7/E7)</x:f>
        <x:v>188.11467584191527</x:v>
      </x:c>
      <x:c r="I7" s="31" t="n">
        <x:f>IF(C7=0,"",SUMIF('Species'!$G$2:$G$91,A7,'Species'!$U$2:$U$91))</x:f>
        <x:v>81.54706174028176</x:v>
      </x:c>
      <x:c r="J7" s="32" t="n">
        <x:v>3.2259691256490886</x:v>
      </x:c>
      <x:c r="K7" s="32" t="n">
        <x:f>IF(J7="","",(1/'Metadata'!$B$5)^(J7-1))</x:f>
        <x:v>168.25544426433328</x:v>
      </x:c>
      <x:c r="L7" s="31" t="n">
        <x:f>IF(E7=0,"",E7*K7)</x:f>
        <x:v>72.93815349681984</x:v>
      </x:c>
      <x:c r="M7" s="31" t="n">
        <x:f>IF(E7=0,"",I7-L7)</x:f>
        <x:v>8.608908243461926</x:v>
      </x:c>
      <x:c r="N7" s="32" t="n">
        <x:f>IF(L7=0,"",I7/L7)</x:f>
        <x:v>1.1180302465956624</x:v>
      </x:c>
      <x:c r="O7" s="34" t="n">
        <x:f>IF(L7=0,"",M7/L7)</x:f>
        <x:v>0.11803024659566247</x:v>
      </x:c>
    </x:row>
    <x:row r="8" ht="18" customHeight="1">
      <x:c r="A8" s="24" t="str">
        <x:v>Medium benthopelagics (30 - 89 cm)</x:v>
      </x:c>
      <x:c r="B8" s="33" t="n">
        <x:v>1</x:v>
      </x:c>
      <x:c r="C8" s="33" t="n">
        <x:v>1</x:v>
      </x:c>
      <x:c r="D8" s="31" t="n">
        <x:v>0.0075530781</x:v>
      </x:c>
      <x:c r="E8" s="31" t="n">
        <x:v>0.0075530781</x:v>
      </x:c>
      <x:c r="F8" s="32" t="n">
        <x:v>0</x:v>
      </x:c>
      <x:c r="G8" s="34" t="n">
        <x:v>1</x:v>
      </x:c>
      <x:c r="H8" s="32" t="n">
        <x:f>IF(E8=0,"",I8/E8)</x:f>
        <x:v>676.0829753919819</x:v>
      </x:c>
      <x:c r="I8" s="31" t="n">
        <x:f>IF(C8=0,"",SUMIF('Species'!$G$2:$G$91,A8,'Species'!$U$2:$U$91))</x:f>
        <x:v>5.106507515216017</x:v>
      </x:c>
      <x:c r="J8" s="32" t="n">
        <x:v>3.83</x:v>
      </x:c>
      <x:c r="K8" s="32" t="n">
        <x:f>IF(J8="","",(1/'Metadata'!$B$5)^(J8-1))</x:f>
        <x:v>676.0829753919819</x:v>
      </x:c>
      <x:c r="L8" s="31" t="n">
        <x:f>IF(E8=0,"",E8*K8)</x:f>
        <x:v>5.106507515216017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demersals (30 - 89 cm)</x:v>
      </x:c>
      <x:c r="B9" s="33" t="n">
        <x:v>7</x:v>
      </x:c>
      <x:c r="C9" s="33" t="n">
        <x:v>7</x:v>
      </x:c>
      <x:c r="D9" s="31" t="n">
        <x:v>86.8124237262</x:v>
      </x:c>
      <x:c r="E9" s="31" t="n">
        <x:v>86.8124237262</x:v>
      </x:c>
      <x:c r="F9" s="32" t="n">
        <x:v>0</x:v>
      </x:c>
      <x:c r="G9" s="34" t="n">
        <x:v>1</x:v>
      </x:c>
      <x:c r="H9" s="32" t="n">
        <x:f>IF(E9=0,"",I9/E9)</x:f>
        <x:v>190.85874969885285</x:v>
      </x:c>
      <x:c r="I9" s="31" t="n">
        <x:f>IF(C9=0,"",SUMIF('Species'!$G$2:$G$91,A9,'Species'!$U$2:$U$91))</x:f>
        <x:v>16568.91065070956</x:v>
      </x:c>
      <x:c r="J9" s="32" t="n">
        <x:v>3.280248917995852</x:v>
      </x:c>
      <x:c r="K9" s="32" t="n">
        <x:f>IF(J9="","",(1/'Metadata'!$B$5)^(J9-1))</x:f>
        <x:v>190.65531550848345</x:v>
      </x:c>
      <x:c r="L9" s="31" t="n">
        <x:f>IF(E9=0,"",E9*K9)</x:f>
        <x:v>16551.250035574816</x:v>
      </x:c>
      <x:c r="M9" s="31" t="n">
        <x:f>IF(E9=0,"",I9-L9)</x:f>
        <x:v>17.66061513474415</x:v>
      </x:c>
      <x:c r="N9" s="32" t="n">
        <x:f>IF(L9=0,"",I9/L9)</x:f>
        <x:v>1.0010670260612815</x:v>
      </x:c>
      <x:c r="O9" s="34" t="n">
        <x:f>IF(L9=0,"",M9/L9)</x:f>
        <x:v>0.0010670260612814677</x:v>
      </x:c>
    </x:row>
    <x:row r="10" ht="18" customHeight="1">
      <x:c r="A10" s="24" t="str">
        <x:v>Medium pelagics (30 - 89 cm)</x:v>
      </x:c>
      <x:c r="B10" s="33" t="n">
        <x:v>5</x:v>
      </x:c>
      <x:c r="C10" s="33" t="n">
        <x:v>5</x:v>
      </x:c>
      <x:c r="D10" s="31" t="n">
        <x:v>86.7367886099</x:v>
      </x:c>
      <x:c r="E10" s="31" t="n">
        <x:v>86.7367886099</x:v>
      </x:c>
      <x:c r="F10" s="32" t="n">
        <x:v>0</x:v>
      </x:c>
      <x:c r="G10" s="34" t="n">
        <x:v>1</x:v>
      </x:c>
      <x:c r="H10" s="32" t="n">
        <x:f>IF(E10=0,"",I10/E10)</x:f>
        <x:v>1397.1424870543315</x:v>
      </x:c>
      <x:c r="I10" s="31" t="n">
        <x:f>IF(C10=0,"",SUMIF('Species'!$G$2:$G$91,A10,'Species'!$U$2:$U$91))</x:f>
        <x:v>121183.6525575415</x:v>
      </x:c>
      <x:c r="J10" s="32" t="n">
        <x:v>4.081333419594575</x:v>
      </x:c>
      <x:c r="K10" s="32" t="n">
        <x:f>IF(J10="","",(1/'Metadata'!$B$5)^(J10-1))</x:f>
        <x:v>1205.9614342027864</x:v>
      </x:c>
      <x:c r="L10" s="31" t="n">
        <x:f>IF(E10=0,"",E10*K10)</x:f>
        <x:v>104601.22199013892</x:v>
      </x:c>
      <x:c r="M10" s="31" t="n">
        <x:f>IF(E10=0,"",I10-L10)</x:f>
        <x:v>16582.43056740258</x:v>
      </x:c>
      <x:c r="N10" s="32" t="n">
        <x:f>IF(L10=0,"",I10/L10)</x:f>
        <x:v>1.1585299889609881</x:v>
      </x:c>
      <x:c r="O10" s="34" t="n">
        <x:f>IF(L10=0,"",M10/L10)</x:f>
        <x:v>0.15852998896098805</x:v>
      </x:c>
    </x:row>
    <x:row r="11" ht="18" customHeight="1">
      <x:c r="A11" s="24" t="str">
        <x:v>Medium reef assoc. fish (30 - 89 cm)</x:v>
      </x:c>
      <x:c r="B11" s="33" t="n">
        <x:v>18</x:v>
      </x:c>
      <x:c r="C11" s="33" t="n">
        <x:v>18</x:v>
      </x:c>
      <x:c r="D11" s="31" t="n">
        <x:v>11.0247888057</x:v>
      </x:c>
      <x:c r="E11" s="31" t="n">
        <x:v>11.0247888057</x:v>
      </x:c>
      <x:c r="F11" s="32" t="n">
        <x:v>0</x:v>
      </x:c>
      <x:c r="G11" s="34" t="n">
        <x:v>1</x:v>
      </x:c>
      <x:c r="H11" s="32" t="n">
        <x:f>IF(E11=0,"",I11/E11)</x:f>
        <x:v>470.76324803337616</x:v>
      </x:c>
      <x:c r="I11" s="31" t="n">
        <x:f>IF(C11=0,"",SUMIF('Species'!$G$2:$G$91,A11,'Species'!$U$2:$U$91))</x:f>
        <x:v>5190.065387053338</x:v>
      </x:c>
      <x:c r="J11" s="32" t="n">
        <x:v>3.1287241931367666</x:v>
      </x:c>
      <x:c r="K11" s="32" t="n">
        <x:f>IF(J11="","",(1/'Metadata'!$B$5)^(J11-1))</x:f>
        <x:v>134.5005911517452</x:v>
      </x:c>
      <x:c r="L11" s="31" t="n">
        <x:f>IF(E11=0,"",E11*K11)</x:f>
        <x:v>1482.840611689793</x:v>
      </x:c>
      <x:c r="M11" s="31" t="n">
        <x:f>IF(E11=0,"",I11-L11)</x:f>
        <x:v>3707.2247753635447</x:v>
      </x:c>
      <x:c r="N11" s="32" t="n">
        <x:f>IF(L11=0,"",I11/L11)</x:f>
        <x:v>3.500083114893193</x:v>
      </x:c>
      <x:c r="O11" s="34" t="n">
        <x:f>IF(L11=0,"",M11/L11)</x:f>
        <x:v>2.500083114893193</x:v>
      </x:c>
    </x:row>
    <x:row r="12" ht="18" customHeight="1">
      <x:c r="A12" s="24" t="str">
        <x:v>Other demersal invertebrates</x:v>
      </x:c>
      <x:c r="B12" s="33" t="n">
        <x:v>13</x:v>
      </x:c>
      <x:c r="C12" s="33" t="n">
        <x:v>13</x:v>
      </x:c>
      <x:c r="D12" s="31" t="n">
        <x:v>0.1679125031</x:v>
      </x:c>
      <x:c r="E12" s="31" t="n">
        <x:v>0.1679125031</x:v>
      </x:c>
      <x:c r="F12" s="32" t="n">
        <x:v>0</x:v>
      </x:c>
      <x:c r="G12" s="34" t="n">
        <x:v>1</x:v>
      </x:c>
      <x:c r="H12" s="32" t="n">
        <x:f>IF(E12=0,"",I12/E12)</x:f>
        <x:v>10.75497534535356</x:v>
      </x:c>
      <x:c r="I12" s="31" t="n">
        <x:f>IF(C12=0,"",SUMIF('Species'!$G$2:$G$91,A12,'Species'!$U$2:$U$91))</x:f>
        <x:v>1.8058948310171032</x:v>
      </x:c>
      <x:c r="J12" s="32" t="n">
        <x:v>2.013040469092977</x:v>
      </x:c>
      <x:c r="K12" s="32" t="n">
        <x:f>IF(J12="","",(1/'Metadata'!$B$5)^(J12-1))</x:f>
        <x:v>10.304821399314525</x:v>
      </x:c>
      <x:c r="L12" s="31" t="n">
        <x:f>IF(E12=0,"",E12*K12)</x:f>
        <x:v>1.7303083551573466</x:v>
      </x:c>
      <x:c r="M12" s="31" t="n">
        <x:f>IF(E12=0,"",I12-L12)</x:f>
        <x:v>0.07558647585975664</x:v>
      </x:c>
      <x:c r="N12" s="32" t="n">
        <x:f>IF(L12=0,"",I12/L12)</x:f>
        <x:v>1.043683818340508</x:v>
      </x:c>
      <x:c r="O12" s="34" t="n">
        <x:f>IF(L12=0,"",M12/L12)</x:f>
        <x:v>0.04368381834050795</x:v>
      </x:c>
    </x:row>
    <x:row r="13" ht="18" customHeight="1">
      <x:c r="A13" s="24" t="str">
        <x:v>Shrimps</x:v>
      </x:c>
      <x:c r="B13" s="33" t="n">
        <x:v>1</x:v>
      </x:c>
      <x:c r="C13" s="33" t="n">
        <x:v>1</x:v>
      </x:c>
      <x:c r="D13" s="31" t="n">
        <x:v>0.0006510263</x:v>
      </x:c>
      <x:c r="E13" s="31" t="n">
        <x:v>0.0006510263</x:v>
      </x:c>
      <x:c r="F13" s="32" t="n">
        <x:v>0</x:v>
      </x:c>
      <x:c r="G13" s="34" t="n">
        <x:v>1</x:v>
      </x:c>
      <x:c r="H13" s="32" t="n">
        <x:f>IF(E13=0,"",I13/E13)</x:f>
        <x:v>204.17379446695296</x:v>
      </x:c>
      <x:c r="I13" s="31" t="n">
        <x:f>IF(C13=0,"",SUMIF('Species'!$G$2:$G$91,A13,'Species'!$U$2:$U$91))</x:f>
        <x:v>0.13292250996878086</x:v>
      </x:c>
      <x:c r="J13" s="32" t="n">
        <x:v>3.31</x:v>
      </x:c>
      <x:c r="K13" s="32" t="n">
        <x:f>IF(J13="","",(1/'Metadata'!$B$5)^(J13-1))</x:f>
        <x:v>204.17379446695296</x:v>
      </x:c>
      <x:c r="L13" s="31" t="n">
        <x:f>IF(E13=0,"",E13*K13)</x:f>
        <x:v>0.13292250996878086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benthopelagics (&lt;30 cm)</x:v>
      </x:c>
      <x:c r="B14" s="33" t="n">
        <x:v>2</x:v>
      </x:c>
      <x:c r="C14" s="33" t="n">
        <x:v>2</x:v>
      </x:c>
      <x:c r="D14" s="31" t="n">
        <x:v>0.1357570307</x:v>
      </x:c>
      <x:c r="E14" s="31" t="n">
        <x:v>0.1357570307</x:v>
      </x:c>
      <x:c r="F14" s="32" t="n">
        <x:v>0</x:v>
      </x:c>
      <x:c r="G14" s="34" t="n">
        <x:v>1</x:v>
      </x:c>
      <x:c r="H14" s="32" t="n">
        <x:f>IF(E14=0,"",I14/E14)</x:f>
        <x:v>117.03792919003011</x:v>
      </x:c>
      <x:c r="I14" s="31" t="n">
        <x:f>IF(C14=0,"",SUMIF('Species'!$G$2:$G$91,A14,'Species'!$U$2:$U$91))</x:f>
        <x:v>15.888721746115344</x:v>
      </x:c>
      <x:c r="J14" s="32" t="n">
        <x:v>3.0611588967524463</x:v>
      </x:c>
      <x:c r="K14" s="32" t="n">
        <x:f>IF(J14="","",(1/'Metadata'!$B$5)^(J14-1))</x:f>
        <x:v>115.12215131072537</x:v>
      </x:c>
      <x:c r="L14" s="31" t="n">
        <x:f>IF(E14=0,"",E14*K14)</x:f>
        <x:v>15.62864142974019</x:v>
      </x:c>
      <x:c r="M14" s="31" t="n">
        <x:f>IF(E14=0,"",I14-L14)</x:f>
        <x:v>0.26008031637515394</x:v>
      </x:c>
      <x:c r="N14" s="32" t="n">
        <x:f>IF(L14=0,"",I14/L14)</x:f>
        <x:v>1.016641261976888</x:v>
      </x:c>
      <x:c r="O14" s="34" t="n">
        <x:f>IF(L14=0,"",M14/L14)</x:f>
        <x:v>0.016641261976888127</x:v>
      </x:c>
    </x:row>
    <x:row r="15" ht="18" customHeight="1">
      <x:c r="A15" s="24" t="str">
        <x:v>Small demersals (&lt;30 cm)</x:v>
      </x:c>
      <x:c r="B15" s="33" t="n">
        <x:v>2</x:v>
      </x:c>
      <x:c r="C15" s="33" t="n">
        <x:v>2</x:v>
      </x:c>
      <x:c r="D15" s="31" t="n">
        <x:v>0.0007105384</x:v>
      </x:c>
      <x:c r="E15" s="31" t="n">
        <x:v>0.0007105384</x:v>
      </x:c>
      <x:c r="F15" s="32" t="n">
        <x:v>0</x:v>
      </x:c>
      <x:c r="G15" s="34" t="n">
        <x:v>1</x:v>
      </x:c>
      <x:c r="H15" s="32" t="n">
        <x:f>IF(E15=0,"",I15/E15)</x:f>
        <x:v>413.83540033658926</x:v>
      </x:c>
      <x:c r="I15" s="31" t="n">
        <x:f>IF(C15=0,"",SUMIF('Species'!$G$2:$G$91,A15,'Species'!$U$2:$U$91))</x:f>
        <x:v>0.29404594321851957</x:v>
      </x:c>
      <x:c r="J15" s="32" t="n">
        <x:v>3.6155329873797113</x:v>
      </x:c>
      <x:c r="K15" s="32" t="n">
        <x:f>IF(J15="","",(1/'Metadata'!$B$5)^(J15-1))</x:f>
        <x:v>412.6035757463696</x:v>
      </x:c>
      <x:c r="L15" s="31" t="n">
        <x:f>IF(E15=0,"",E15*K15)</x:f>
        <x:v>0.29317068454510425</x:v>
      </x:c>
      <x:c r="M15" s="31" t="n">
        <x:f>IF(E15=0,"",I15-L15)</x:f>
        <x:v>0.0008752586734153134</x:v>
      </x:c>
      <x:c r="N15" s="32" t="n">
        <x:f>IF(L15=0,"",I15/L15)</x:f>
        <x:v>1.0029854917955845</x:v>
      </x:c>
      <x:c r="O15" s="34" t="n">
        <x:f>IF(L15=0,"",M15/L15)</x:f>
        <x:v>0.0029854917955845447</x:v>
      </x:c>
    </x:row>
    <x:row r="16" ht="18" customHeight="1">
      <x:c r="A16" s="24" t="str">
        <x:v>Small pelagics (&lt;30 cm)</x:v>
      </x:c>
      <x:c r="B16" s="33" t="n">
        <x:v>4</x:v>
      </x:c>
      <x:c r="C16" s="33" t="n">
        <x:v>4</x:v>
      </x:c>
      <x:c r="D16" s="31" t="n">
        <x:v>0.0078014959</x:v>
      </x:c>
      <x:c r="E16" s="31" t="n">
        <x:v>0.0078014959</x:v>
      </x:c>
      <x:c r="F16" s="32" t="n">
        <x:v>0</x:v>
      </x:c>
      <x:c r="G16" s="34" t="n">
        <x:v>1</x:v>
      </x:c>
      <x:c r="H16" s="32" t="n">
        <x:f>IF(E16=0,"",I16/E16)</x:f>
        <x:v>179.0030173347125</x:v>
      </x:c>
      <x:c r="I16" s="31" t="n">
        <x:f>IF(C16=0,"",SUMIF('Species'!$G$2:$G$91,A16,'Species'!$U$2:$U$91))</x:f>
        <x:v>1.3964913058243884</x:v>
      </x:c>
      <x:c r="J16" s="32" t="n">
        <x:v>3.213829178324634</x:v>
      </x:c>
      <x:c r="K16" s="32" t="n">
        <x:f>IF(J16="","",(1/'Metadata'!$B$5)^(J16-1))</x:f>
        <x:v>163.61728366221232</x:v>
      </x:c>
      <x:c r="L16" s="31" t="n">
        <x:f>IF(E16=0,"",E16*K16)</x:f>
        <x:v>1.2764595676598864</x:v>
      </x:c>
      <x:c r="M16" s="31" t="n">
        <x:f>IF(E16=0,"",I16-L16)</x:f>
        <x:v>0.12003173816450197</x:v>
      </x:c>
      <x:c r="N16" s="32" t="n">
        <x:f>IF(L16=0,"",I16/L16)</x:f>
        <x:v>1.0940348924522179</x:v>
      </x:c>
      <x:c r="O16" s="34" t="n">
        <x:f>IF(L16=0,"",M16/L16)</x:f>
        <x:v>0.0940348924522179</x:v>
      </x:c>
    </x:row>
    <x:row r="17" ht="18" customHeight="1">
      <x:c r="A17" s="24" t="str">
        <x:v>Small reef assoc. fish (&lt;30 cm)</x:v>
      </x:c>
      <x:c r="B17" s="33" t="n">
        <x:v>6</x:v>
      </x:c>
      <x:c r="C17" s="33" t="n">
        <x:v>6</x:v>
      </x:c>
      <x:c r="D17" s="31" t="n">
        <x:v>5.4107296930999995</x:v>
      </x:c>
      <x:c r="E17" s="31" t="n">
        <x:v>5.4107296930999995</x:v>
      </x:c>
      <x:c r="F17" s="32" t="n">
        <x:v>0</x:v>
      </x:c>
      <x:c r="G17" s="34" t="n">
        <x:v>1</x:v>
      </x:c>
      <x:c r="H17" s="32" t="n">
        <x:f>IF(E17=0,"",I17/E17)</x:f>
        <x:v>45.33374842568266</x:v>
      </x:c>
      <x:c r="I17" s="31" t="n">
        <x:f>IF(C17=0,"",SUMIF('Species'!$G$2:$G$91,A17,'Species'!$U$2:$U$91))</x:f>
        <x:v>245.2886587063665</x:v>
      </x:c>
      <x:c r="J17" s="32" t="n">
        <x:v>2.3915749216143376</x:v>
      </x:c>
      <x:c r="K17" s="32" t="n">
        <x:f>IF(J17="","",(1/'Metadata'!$B$5)^(J17-1))</x:f>
        <x:v>24.636268101958546</x:v>
      </x:c>
      <x:c r="L17" s="31" t="n">
        <x:f>IF(E17=0,"",E17*K17)</x:f>
        <x:v>133.30018734643946</x:v>
      </x:c>
      <x:c r="M17" s="31" t="n">
        <x:f>IF(E17=0,"",I17-L17)</x:f>
        <x:v>111.98847135992705</x:v>
      </x:c>
      <x:c r="N17" s="32" t="n">
        <x:f>IF(L17=0,"",I17/L17)</x:f>
        <x:v>1.840122385341256</x:v>
      </x:c>
      <x:c r="O17" s="34" t="n">
        <x:f>IF(L17=0,"",M17/L17)</x:f>
        <x:v>0.8401223853412562</x:v>
      </x:c>
    </x:row>
    <x:row r="18" ht="18" customHeight="1">
      <x:c r="A18" s="24" t="str">
        <x:v>Small to medium flatfishes (&lt;90 cm)</x:v>
      </x:c>
      <x:c r="B18" s="33" t="n">
        <x:v>1</x:v>
      </x:c>
      <x:c r="C18" s="33" t="n">
        <x:v>1</x:v>
      </x:c>
      <x:c r="D18" s="31" t="n">
        <x:v>0.0104714254</x:v>
      </x:c>
      <x:c r="E18" s="31" t="n">
        <x:v>0.0104714254</x:v>
      </x:c>
      <x:c r="F18" s="32" t="n">
        <x:v>0</x:v>
      </x:c>
      <x:c r="G18" s="34" t="n">
        <x:v>1</x:v>
      </x:c>
      <x:c r="H18" s="32" t="n">
        <x:f>IF(E18=0,"",I18/E18)</x:f>
        <x:v>588.843655355589</x:v>
      </x:c>
      <x:c r="I18" s="31" t="n">
        <x:f>IF(C18=0,"",SUMIF('Species'!$G$2:$G$91,A18,'Species'!$U$2:$U$91))</x:f>
        <x:v>6.166032409319361</x:v>
      </x:c>
      <x:c r="J18" s="32" t="n">
        <x:v>3.7699999999999996</x:v>
      </x:c>
      <x:c r="K18" s="32" t="n">
        <x:f>IF(J18="","",(1/'Metadata'!$B$5)^(J18-1))</x:f>
        <x:v>588.8436553555883</x:v>
      </x:c>
      <x:c r="L18" s="31" t="n">
        <x:f>IF(E18=0,"",E18*K18)</x:f>
        <x:v>6.166032409319354</x:v>
      </x:c>
      <x:c r="M18" s="31" t="n">
        <x:f>IF(E18=0,"",I18-L18)</x:f>
        <x:v>7.105427357601002e-15</x:v>
      </x:c>
      <x:c r="N18" s="32" t="n">
        <x:f>IF(L18=0,"",I18/L18)</x:f>
        <x:v>1.000000000000001</x:v>
      </x:c>
      <x:c r="O18" s="34" t="n">
        <x:f>IF(L18=0,"",M18/L18)</x:f>
        <x:v>1.1523499855209721e-15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6e80d6428ab4c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EEZ_316</x:v>
      </x:c>
      <x:c r="B2" s="24" t="str">
        <x:v>raw_filtered_tonnes</x:v>
      </x:c>
      <x:c r="C2" s="24" t="n">
        <x:v>1385.0534596170999</x:v>
      </x:c>
      <x:c r="D2" s="24" t="str">
        <x:v>tonnes</x:v>
      </x:c>
    </x:row>
    <x:row r="3" ht="18" customHeight="1">
      <x:c r="A3" s="24" t="str">
        <x:v>EEZ_316</x:v>
      </x:c>
      <x:c r="B3" s="24" t="str">
        <x:v>species_catch_tonnes</x:v>
      </x:c>
      <x:c r="C3" s="24" t="n">
        <x:v>1385.0534596170999</x:v>
      </x:c>
      <x:c r="D3" s="24" t="str">
        <x:v>tonnes</x:v>
      </x:c>
    </x:row>
    <x:row r="4" ht="18" customHeight="1">
      <x:c r="A4" s="24" t="str">
        <x:v>EEZ_316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EEZ_316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EEZ_316</x:v>
      </x:c>
      <x:c r="B6" s="24" t="str">
        <x:v>matched_catch_tonnes</x:v>
      </x:c>
      <x:c r="C6" s="24" t="n">
        <x:v>1385.0534596170999</x:v>
      </x:c>
      <x:c r="D6" s="24" t="str">
        <x:v>tonnes</x:v>
      </x:c>
    </x:row>
    <x:row r="7" ht="18" customHeight="1">
      <x:c r="A7" s="24" t="str">
        <x:v>EEZ_316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EEZ_316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EEZ_316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EEZ_316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EEZ_316</x:v>
      </x:c>
      <x:c r="B11" s="24" t="str">
        <x:v>species_ppr</x:v>
      </x:c>
      <x:c r="C11" s="24" t="n">
        <x:v>3197466.711028016</x:v>
      </x:c>
      <x:c r="D11" s="24" t="str">
        <x:v>tonnes_primary_production_equivalent</x:v>
      </x:c>
    </x:row>
    <x:row r="12" ht="18" customHeight="1">
      <x:c r="A12" s="24" t="str">
        <x:v>EEZ_316</x:v>
      </x:c>
      <x:c r="B12" s="24" t="str">
        <x:v>commercial_ppr</x:v>
      </x:c>
      <x:c r="C12" s="24" t="n">
        <x:v>3197466.7110280166</x:v>
      </x:c>
      <x:c r="D12" s="24" t="str">
        <x:v>tonnes_primary_production_equivalent</x:v>
      </x:c>
    </x:row>
    <x:row r="13" ht="18" customHeight="1">
      <x:c r="A13" s="24" t="str">
        <x:v>EEZ_316</x:v>
      </x:c>
      <x:c r="B13" s="24" t="str">
        <x:v>functional_ppr</x:v>
      </x:c>
      <x:c r="C13" s="24" t="n">
        <x:v>3197466.7110280166</x:v>
      </x:c>
      <x:c r="D13" s="24" t="str">
        <x:v>tonnes_primary_production_equivalent</x:v>
      </x:c>
    </x:row>
    <x:row r="14" ht="18" customHeight="1">
      <x:c r="A14" s="24" t="str">
        <x:v>EEZ_316</x:v>
      </x:c>
      <x:c r="B14" s="24" t="str">
        <x:v>commercial_ppr_difference</x:v>
      </x:c>
      <x:c r="C14" s="24" t="n">
        <x:v>4.656612873077393e-10</x:v>
      </x:c>
      <x:c r="D14" s="24" t="str">
        <x:v>tonnes_primary_production_equivalent</x:v>
      </x:c>
    </x:row>
    <x:row r="15" ht="18" customHeight="1">
      <x:c r="A15" s="24" t="str">
        <x:v>EEZ_316</x:v>
      </x:c>
      <x:c r="B15" s="24" t="str">
        <x:v>functional_ppr_difference</x:v>
      </x:c>
      <x:c r="C15" s="24" t="n">
        <x:v>4.656612873077393e-10</x:v>
      </x:c>
      <x:c r="D15" s="24" t="str">
        <x:v>tonnes_primary_production_equivalent</x:v>
      </x:c>
    </x:row>
    <x:row r="16" ht="18" customHeight="1">
      <x:c r="A16" s="24" t="str">
        <x:v>EEZ_316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EEZ_316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EEZ_316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EEZ_316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df07da8366748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EEZ_316 - Guam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EEZ_316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