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034058107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5da8f41fa44435c"/>
    <x:sheet xmlns:r="http://schemas.openxmlformats.org/officeDocument/2006/relationships" name="Commercial" sheetId="2" r:id="R902addc2beb04bba"/>
    <x:sheet xmlns:r="http://schemas.openxmlformats.org/officeDocument/2006/relationships" name="Functional" sheetId="3" r:id="R3fa5a371174e4033"/>
    <x:sheet xmlns:r="http://schemas.openxmlformats.org/officeDocument/2006/relationships" name="Missing TL" sheetId="4" r:id="R7896f46507e44e13"/>
    <x:sheet xmlns:r="http://schemas.openxmlformats.org/officeDocument/2006/relationships" name="Validation" sheetId="5" r:id="R5811cfdffd9448dd"/>
    <x:sheet xmlns:r="http://schemas.openxmlformats.org/officeDocument/2006/relationships" name="Metadata" sheetId="6" r:id="R9a1d153263d1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a22b31b5b464c" /><Relationship Type="http://schemas.openxmlformats.org/officeDocument/2006/relationships/theme" Target="/xl/theme/theme1.xml" Id="Rba903b67639f42b3" /><Relationship Type="http://schemas.microsoft.com/office/2022/11/relationships/FeaturePropertyBag" Target="/xl/featurePropertyBag/featurePropertyBag.xml" Id="R1b077ce7586e4377" /><Relationship Type="http://schemas.openxmlformats.org/officeDocument/2006/relationships/sharedStrings" Target="/xl/sharedStrings.xml" Id="R51174c6529ac4695" /><Relationship Type="http://schemas.openxmlformats.org/officeDocument/2006/relationships/worksheet" Target="/xl/worksheets/sheet1.xml" Id="Rc5da8f41fa44435c" /><Relationship Type="http://schemas.openxmlformats.org/officeDocument/2006/relationships/worksheet" Target="/xl/worksheets/sheet2.xml" Id="R902addc2beb04bba" /><Relationship Type="http://schemas.openxmlformats.org/officeDocument/2006/relationships/worksheet" Target="/xl/worksheets/sheet3.xml" Id="R3fa5a371174e4033" /><Relationship Type="http://schemas.openxmlformats.org/officeDocument/2006/relationships/worksheet" Target="/xl/worksheets/sheet4.xml" Id="R7896f46507e44e13" /><Relationship Type="http://schemas.openxmlformats.org/officeDocument/2006/relationships/worksheet" Target="/xl/worksheets/sheet5.xml" Id="R5811cfdffd9448dd" /><Relationship Type="http://schemas.openxmlformats.org/officeDocument/2006/relationships/worksheet" Target="/xl/worksheets/sheet6.xml" Id="R9a1d153263d14f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96SpeciesTable" displayName="EEZ796SpeciesTable" ref="A1:U22" headerRowCount="1" totalsRowCount="0" totalsRowShown="0">
  <x:autoFilter ref="A1:U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96CommercialTable" displayName="EEZ796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96FunctionalTable" displayName="EEZ796FunctionalTable" ref="A1:O9" headerRowCount="1" totalsRowCount="0" totalsRowShown="0">
  <x:autoFilter ref="A1:O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96ValidationTable" displayName="EEZ79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5e3f47a8304f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cd275b67894e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aa32208ce84c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78df48bcdf43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EEZ_796</x:v>
      </x:c>
      <x:c r="B2" s="24" t="str">
        <x:v>Turks &amp; Caicos Isl. (UK)</x:v>
      </x:c>
      <x:c r="C2" s="24" t="str">
        <x:v>EEZ</x:v>
      </x:c>
      <x:c r="D2" s="30" t="n">
        <x:v>2019</x:v>
      </x:c>
      <x:c r="E2" s="24" t="str">
        <x:v>Aliger gigas</x:v>
      </x:c>
      <x:c r="F2" s="24" t="str">
        <x:v>Pink conch</x:v>
      </x:c>
      <x:c r="G2" s="24" t="str">
        <x:v>Other demersal invertebrates</x:v>
      </x:c>
      <x:c r="H2" s="24" t="str">
        <x:v>Molluscs</x:v>
      </x:c>
      <x:c r="I2" s="31" t="n">
        <x:v>5090.946982097799</x:v>
      </x:c>
      <x:c r="J2" s="31" t="n">
        <x:v>5090.946982097799</x:v>
      </x:c>
      <x:c r="K2" s="31" t="n">
        <x:v>0</x:v>
      </x:c>
      <x:c r="L2" s="31" t="n">
        <x:v>765</x:v>
      </x:c>
      <x:c r="M2" s="31" t="n">
        <x:v>4325.946982097799</x:v>
      </x:c>
      <x:c r="N2" s="24" t="str">
        <x:v>aliger gigas</x:v>
      </x:c>
      <x:c r="O2" s="32" t="n">
        <x:v>2.19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Aliger gigas</x:v>
      </x:c>
      <x:c r="T2" s="32" t="n">
        <x:f>IF(O2="","",(1/'Metadata'!$B$5)^(O2-1))</x:f>
        <x:v>15.488166189124811</x:v>
      </x:c>
      <x:c r="U2" s="31" t="n">
        <x:f>IF(T2="","",I2*T2)</x:f>
        <x:v>78849.43291875413</x:v>
      </x:c>
    </x:row>
    <x:row r="3" ht="18" customHeight="1">
      <x:c r="A3" s="24" t="str">
        <x:v>EEZ_796</x:v>
      </x:c>
      <x:c r="B3" s="24" t="str">
        <x:v>Turks &amp; Caicos Isl. (UK)</x:v>
      </x:c>
      <x:c r="C3" s="24" t="str">
        <x:v>EEZ</x:v>
      </x:c>
      <x:c r="D3" s="30" t="n">
        <x:v>2019</x:v>
      </x:c>
      <x:c r="E3" s="24" t="str">
        <x:v>Panulirus argus</x:v>
      </x:c>
      <x:c r="F3" s="24" t="str">
        <x:v>Caribbean spiny lobster</x:v>
      </x:c>
      <x:c r="G3" s="24" t="str">
        <x:v>Lobsters, crabs</x:v>
      </x:c>
      <x:c r="H3" s="24" t="str">
        <x:v>Crustaceans</x:v>
      </x:c>
      <x:c r="I3" s="31" t="n">
        <x:v>813.2955987316</x:v>
      </x:c>
      <x:c r="J3" s="31" t="n">
        <x:v>813.2955987316</x:v>
      </x:c>
      <x:c r="K3" s="31" t="n">
        <x:v>0</x:v>
      </x:c>
      <x:c r="L3" s="31" t="n">
        <x:v>129</x:v>
      </x:c>
      <x:c r="M3" s="31" t="n">
        <x:v>684.2955987316</x:v>
      </x:c>
      <x:c r="N3" s="24" t="str">
        <x:v>panulirus argus</x:v>
      </x:c>
      <x:c r="O3" s="32" t="n">
        <x:v>3.2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Panulirus argus</x:v>
      </x:c>
      <x:c r="T3" s="32" t="n">
        <x:f>IF(O3="","",(1/'Metadata'!$B$5)^(O3-1))</x:f>
        <x:v>158.48931924611142</x:v>
      </x:c>
      <x:c r="U3" s="31" t="n">
        <x:f>IF(T3="","",I3*T3)</x:f>
        <x:v>128898.66578882988</x:v>
      </x:c>
    </x:row>
    <x:row r="4" ht="18" customHeight="1">
      <x:c r="A4" s="24" t="str">
        <x:v>EEZ_796</x:v>
      </x:c>
      <x:c r="B4" s="24" t="str">
        <x:v>Turks &amp; Caicos Isl. (UK)</x:v>
      </x:c>
      <x:c r="C4" s="24" t="str">
        <x:v>EEZ</x:v>
      </x:c>
      <x:c r="D4" s="30" t="n">
        <x:v>2019</x:v>
      </x:c>
      <x:c r="E4" s="24" t="str">
        <x:v>Lutjanidae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287.7781322489</x:v>
      </x:c>
      <x:c r="J4" s="31" t="n">
        <x:v>287.7781322489</x:v>
      </x:c>
      <x:c r="K4" s="31" t="n">
        <x:v>0</x:v>
      </x:c>
      <x:c r="L4" s="31" t="n">
        <x:v>0</x:v>
      </x:c>
      <x:c r="M4" s="31" t="n">
        <x:v>287.7781322489</x:v>
      </x:c>
      <x:c r="N4" s="24" t="str">
        <x:v>lutjanidae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Lutjanidae</x:v>
      </x:c>
      <x:c r="T4" s="32" t="n">
        <x:f>IF(O4="","",(1/'Metadata'!$B$5)^(O4-1))</x:f>
        <x:v>1047.1285480508984</x:v>
      </x:c>
      <x:c r="U4" s="31" t="n">
        <x:f>IF(T4="","",I4*T4)</x:f>
        <x:v>301340.6977825901</x:v>
      </x:c>
    </x:row>
    <x:row r="5" ht="18" customHeight="1">
      <x:c r="A5" s="24" t="str">
        <x:v>EEZ_796</x:v>
      </x:c>
      <x:c r="B5" s="24" t="str">
        <x:v>Turks &amp; Caicos Isl. (UK)</x:v>
      </x:c>
      <x:c r="C5" s="24" t="str">
        <x:v>EEZ</x:v>
      </x:c>
      <x:c r="D5" s="30" t="n">
        <x:v>2019</x:v>
      </x:c>
      <x:c r="E5" s="24" t="str">
        <x:v>Haemulon</x:v>
      </x:c>
      <x:c r="F5" s="24" t="str">
        <x:v>Grunts</x:v>
      </x:c>
      <x:c r="G5" s="24" t="str">
        <x:v>Small reef assoc. fish (&lt;30 cm)</x:v>
      </x:c>
      <x:c r="H5" s="24" t="str">
        <x:v>Perch-likes</x:v>
      </x:c>
      <x:c r="I5" s="31" t="n">
        <x:v>268.3269843502</x:v>
      </x:c>
      <x:c r="J5" s="31" t="n">
        <x:v>268.3269843502</x:v>
      </x:c>
      <x:c r="K5" s="31" t="n">
        <x:v>0</x:v>
      </x:c>
      <x:c r="L5" s="31" t="n">
        <x:v>0</x:v>
      </x:c>
      <x:c r="M5" s="31" t="n">
        <x:v>268.3269843502</x:v>
      </x:c>
      <x:c r="N5" s="24" t="str">
        <x:v>haemulon</x:v>
      </x:c>
      <x:c r="O5" s="32" t="n">
        <x:v>3.25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Haemulon</x:v>
      </x:c>
      <x:c r="T5" s="32" t="n">
        <x:f>IF(O5="","",(1/'Metadata'!$B$5)^(O5-1))</x:f>
        <x:v>177.82794100389228</x:v>
      </x:c>
      <x:c r="U5" s="31" t="n">
        <x:f>IF(T5="","",I5*T5)</x:f>
        <x:v>47716.03514277969</x:v>
      </x:c>
    </x:row>
    <x:row r="6" ht="18" customHeight="1">
      <x:c r="A6" s="24" t="str">
        <x:v>EEZ_796</x:v>
      </x:c>
      <x:c r="B6" s="24" t="str">
        <x:v>Turks &amp; Caicos Isl. (UK)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249.46603145039998</x:v>
      </x:c>
      <x:c r="J6" s="31" t="n">
        <x:v>249.46603145039998</x:v>
      </x:c>
      <x:c r="K6" s="31" t="n">
        <x:v>0</x:v>
      </x:c>
      <x:c r="L6" s="31" t="n">
        <x:v>29.999999999899998</x:v>
      </x:c>
      <x:c r="M6" s="31" t="n">
        <x:v>219.4660314505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47534.7723394921</x:v>
      </x:c>
    </x:row>
    <x:row r="7" ht="18" customHeight="1">
      <x:c r="A7" s="24" t="str">
        <x:v>EEZ_796</x:v>
      </x:c>
      <x:c r="B7" s="24" t="str">
        <x:v>Turks &amp; Caicos Isl. (UK)</x:v>
      </x:c>
      <x:c r="C7" s="24" t="str">
        <x:v>EEZ</x:v>
      </x:c>
      <x:c r="D7" s="30" t="n">
        <x:v>2019</x:v>
      </x:c>
      <x:c r="E7" s="24" t="str">
        <x:v>Albula vulpes</x:v>
      </x:c>
      <x:c r="F7" s="24" t="str">
        <x:v>Bonefish</x:v>
      </x:c>
      <x:c r="G7" s="24" t="str">
        <x:v>Medium reef assoc. fish (30 - 89 cm)</x:v>
      </x:c>
      <x:c r="H7" s="24" t="str">
        <x:v>Other fishes &amp; inverts</x:v>
      </x:c>
      <x:c r="I7" s="31" t="n">
        <x:v>116.5080429831</x:v>
      </x:c>
      <x:c r="J7" s="31" t="n">
        <x:v>116.5080429831</x:v>
      </x:c>
      <x:c r="K7" s="31" t="n">
        <x:v>0</x:v>
      </x:c>
      <x:c r="L7" s="31" t="n">
        <x:v>0</x:v>
      </x:c>
      <x:c r="M7" s="31" t="n">
        <x:v>116.5080429831</x:v>
      </x:c>
      <x:c r="N7" s="24" t="str">
        <x:v>albula vulpes</x:v>
      </x:c>
      <x:c r="O7" s="32" t="n">
        <x:v>3.73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Albula vulpes</x:v>
      </x:c>
      <x:c r="T7" s="32" t="n">
        <x:f>IF(O7="","",(1/'Metadata'!$B$5)^(O7-1))</x:f>
        <x:v>537.0317963702527</x:v>
      </x:c>
      <x:c r="U7" s="31" t="n">
        <x:f>IF(T7="","",I7*T7)</x:f>
        <x:v>62568.5236147968</x:v>
      </x:c>
    </x:row>
    <x:row r="8" ht="18" customHeight="1">
      <x:c r="A8" s="24" t="str">
        <x:v>EEZ_796</x:v>
      </x:c>
      <x:c r="B8" s="24" t="str">
        <x:v>Turks &amp; Caicos Isl. (UK)</x:v>
      </x:c>
      <x:c r="C8" s="24" t="str">
        <x:v>EEZ</x:v>
      </x:c>
      <x:c r="D8" s="30" t="n">
        <x:v>2019</x:v>
      </x:c>
      <x:c r="E8" s="24" t="str">
        <x:v>Serranidae</x:v>
      </x:c>
      <x:c r="F8" s="24" t="str">
        <x:v>Basses, groupers, hinds</x:v>
      </x:c>
      <x:c r="G8" s="24" t="str">
        <x:v>Medium reef assoc. fish (30 - 89 cm)</x:v>
      </x:c>
      <x:c r="H8" s="24" t="str">
        <x:v>Perch-likes</x:v>
      </x:c>
      <x:c r="I8" s="31" t="n">
        <x:v>100.7013695323</x:v>
      </x:c>
      <x:c r="J8" s="31" t="n">
        <x:v>100.7013695323</x:v>
      </x:c>
      <x:c r="K8" s="31" t="n">
        <x:v>0</x:v>
      </x:c>
      <x:c r="L8" s="31" t="n">
        <x:v>0</x:v>
      </x:c>
      <x:c r="M8" s="31" t="n">
        <x:v>100.7013695323</x:v>
      </x:c>
      <x:c r="N8" s="24" t="str">
        <x:v>serranidae</x:v>
      </x:c>
      <x:c r="O8" s="32" t="n">
        <x:v>3.98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Serranidae</x:v>
      </x:c>
      <x:c r="T8" s="32" t="n">
        <x:f>IF(O8="","",(1/'Metadata'!$B$5)^(O8-1))</x:f>
        <x:v>954.992586021436</x:v>
      </x:c>
      <x:c r="U8" s="31" t="n">
        <x:f>IF(T8="","",I8*T8)</x:f>
        <x:v>96169.06130555143</x:v>
      </x:c>
    </x:row>
    <x:row r="9" ht="18" customHeight="1">
      <x:c r="A9" s="24" t="str">
        <x:v>EEZ_796</x:v>
      </x:c>
      <x:c r="B9" s="24" t="str">
        <x:v>Turks &amp; Caicos Isl. (UK)</x:v>
      </x:c>
      <x:c r="C9" s="24" t="str">
        <x:v>EEZ</x:v>
      </x:c>
      <x:c r="D9" s="30" t="n">
        <x:v>2019</x:v>
      </x:c>
      <x:c r="E9" s="24" t="str">
        <x:v>Labridae</x:v>
      </x:c>
      <x:c r="F9" s="24" t="str">
        <x:v>Wrasses, gropers, tuskfishes</x:v>
      </x:c>
      <x:c r="G9" s="24" t="str">
        <x:v>Medium reef assoc. fish (30 - 89 cm)</x:v>
      </x:c>
      <x:c r="H9" s="24" t="str">
        <x:v>Perch-likes</x:v>
      </x:c>
      <x:c r="I9" s="31" t="n">
        <x:v>94.334738422</x:v>
      </x:c>
      <x:c r="J9" s="31" t="n">
        <x:v>94.334738422</x:v>
      </x:c>
      <x:c r="K9" s="31" t="n">
        <x:v>0</x:v>
      </x:c>
      <x:c r="L9" s="31" t="n">
        <x:v>0</x:v>
      </x:c>
      <x:c r="M9" s="31" t="n">
        <x:v>94.334738422</x:v>
      </x:c>
      <x:c r="N9" s="24" t="str">
        <x:v>labridae</x:v>
      </x:c>
      <x:c r="O9" s="32" t="n">
        <x:v>3.46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Labridae</x:v>
      </x:c>
      <x:c r="T9" s="32" t="n">
        <x:f>IF(O9="","",(1/'Metadata'!$B$5)^(O9-1))</x:f>
        <x:v>288.40315031266056</x:v>
      </x:c>
      <x:c r="U9" s="31" t="n">
        <x:f>IF(T9="","",I9*T9)</x:f>
        <x:v>27206.435744825583</x:v>
      </x:c>
    </x:row>
    <x:row r="10" ht="18" customHeight="1">
      <x:c r="A10" s="24" t="str">
        <x:v>EEZ_796</x:v>
      </x:c>
      <x:c r="B10" s="24" t="str">
        <x:v>Turks &amp; Caicos Isl. (UK)</x:v>
      </x:c>
      <x:c r="C10" s="24" t="str">
        <x:v>EEZ</x:v>
      </x:c>
      <x:c r="D10" s="30" t="n">
        <x:v>2019</x:v>
      </x:c>
      <x:c r="E10" s="24" t="str">
        <x:v>Coryphaena hippurus</x:v>
      </x:c>
      <x:c r="F10" s="24" t="str">
        <x:v>Common dolphinfish</x:v>
      </x:c>
      <x:c r="G10" s="24" t="str">
        <x:v>Large pelagics (&gt;=90 cm)</x:v>
      </x:c>
      <x:c r="H10" s="24" t="str">
        <x:v>Perch-likes</x:v>
      </x:c>
      <x:c r="I10" s="31" t="n">
        <x:v>87.3026425281</x:v>
      </x:c>
      <x:c r="J10" s="31" t="n">
        <x:v>87.3026425281</x:v>
      </x:c>
      <x:c r="K10" s="31" t="n">
        <x:v>0</x:v>
      </x:c>
      <x:c r="L10" s="31" t="n">
        <x:v>0</x:v>
      </x:c>
      <x:c r="M10" s="31" t="n">
        <x:v>87.3026425281</x:v>
      </x:c>
      <x:c r="N10" s="24" t="str">
        <x:v>coryphaena hippurus</x:v>
      </x:c>
      <x:c r="O10" s="32" t="n">
        <x:v>4.37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Coryphaena hippurus</x:v>
      </x:c>
      <x:c r="T10" s="32" t="n">
        <x:f>IF(O10="","",(1/'Metadata'!$B$5)^(O10-1))</x:f>
        <x:v>2344.228815319923</x:v>
      </x:c>
      <x:c r="U10" s="31" t="n">
        <x:f>IF(T10="","",I10*T10)</x:f>
        <x:v>204657.37026794656</x:v>
      </x:c>
    </x:row>
    <x:row r="11" ht="18" customHeight="1">
      <x:c r="A11" s="24" t="str">
        <x:v>EEZ_796</x:v>
      </x:c>
      <x:c r="B11" s="24" t="str">
        <x:v>Turks &amp; Caicos Isl. (UK)</x:v>
      </x:c>
      <x:c r="C11" s="24" t="str">
        <x:v>EEZ</x:v>
      </x:c>
      <x:c r="D11" s="30" t="n">
        <x:v>2019</x:v>
      </x:c>
      <x:c r="E11" s="24" t="str">
        <x:v>Elasmobranchii</x:v>
      </x:c>
      <x:c r="F11" s="24" t="str">
        <x:v>Sharks, rays, skates</x:v>
      </x:c>
      <x:c r="G11" s="24" t="str">
        <x:v>Large sharks (&gt;=90 cm)</x:v>
      </x:c>
      <x:c r="H11" s="24" t="str">
        <x:v>Sharks &amp; rays</x:v>
      </x:c>
      <x:c r="I11" s="31" t="n">
        <x:v>63.193304254500006</x:v>
      </x:c>
      <x:c r="J11" s="31" t="n">
        <x:v>63.193304254500006</x:v>
      </x:c>
      <x:c r="K11" s="31" t="n">
        <x:v>0</x:v>
      </x:c>
      <x:c r="L11" s="31" t="n">
        <x:v>0</x:v>
      </x:c>
      <x:c r="M11" s="31" t="n">
        <x:v>63.193304254500006</x:v>
      </x:c>
      <x:c r="N11" s="24" t="str">
        <x:v>elasmobranchii</x:v>
      </x:c>
      <x:c r="O11" s="32" t="n">
        <x:v>4.05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Elasmobranchii</x:v>
      </x:c>
      <x:c r="T11" s="32" t="n">
        <x:f>IF(O11="","",(1/'Metadata'!$B$5)^(O11-1))</x:f>
        <x:v>1122.018454301963</x:v>
      </x:c>
      <x:c r="U11" s="31" t="n">
        <x:f>IF(T11="","",I11*T11)</x:f>
        <x:v>70904.05356186775</x:v>
      </x:c>
    </x:row>
    <x:row r="12" ht="18" customHeight="1">
      <x:c r="A12" s="24" t="str">
        <x:v>EEZ_796</x:v>
      </x:c>
      <x:c r="B12" s="24" t="str">
        <x:v>Turks &amp; Caicos Isl. (UK)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58.2835190076</x:v>
      </x:c>
      <x:c r="J12" s="31" t="n">
        <x:v>58.2835190076</x:v>
      </x:c>
      <x:c r="K12" s="31" t="n">
        <x:v>0</x:v>
      </x:c>
      <x:c r="L12" s="31" t="n">
        <x:v>0</x:v>
      </x:c>
      <x:c r="M12" s="31" t="n">
        <x:v>58.2835190076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106058.56958094095</x:v>
      </x:c>
    </x:row>
    <x:row r="13" ht="18" customHeight="1">
      <x:c r="A13" s="24" t="str">
        <x:v>EEZ_796</x:v>
      </x:c>
      <x:c r="B13" s="24" t="str">
        <x:v>Turks &amp; Caicos Isl. (UK)</x:v>
      </x:c>
      <x:c r="C13" s="24" t="str">
        <x:v>EEZ</x:v>
      </x:c>
      <x:c r="D13" s="30" t="n">
        <x:v>2019</x:v>
      </x:c>
      <x:c r="E13" s="24" t="str">
        <x:v>Haemulidae</x:v>
      </x:c>
      <x:c r="F13" s="24" t="str">
        <x:v>Grunts, sweetlips, bonnetmouths</x:v>
      </x:c>
      <x:c r="G13" s="24" t="str">
        <x:v>Medium demersals (30 - 89 cm)</x:v>
      </x:c>
      <x:c r="H13" s="24" t="str">
        <x:v>Perch-likes</x:v>
      </x:c>
      <x:c r="I13" s="31" t="n">
        <x:v>44.7211640584</x:v>
      </x:c>
      <x:c r="J13" s="31" t="n">
        <x:v>44.7211640584</x:v>
      </x:c>
      <x:c r="K13" s="31" t="n">
        <x:v>0</x:v>
      </x:c>
      <x:c r="L13" s="31" t="n">
        <x:v>0</x:v>
      </x:c>
      <x:c r="M13" s="31" t="n">
        <x:v>44.7211640584</x:v>
      </x:c>
      <x:c r="N13" s="24" t="str">
        <x:v>haemulidae</x:v>
      </x:c>
      <x:c r="O13" s="32" t="n">
        <x:v>3.36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Haemulidae</x:v>
      </x:c>
      <x:c r="T13" s="32" t="n">
        <x:f>IF(O13="","",(1/'Metadata'!$B$5)^(O13-1))</x:f>
        <x:v>229.08676527677724</x:v>
      </x:c>
      <x:c r="U13" s="31" t="n">
        <x:f>IF(T13="","",I13*T13)</x:f>
        <x:v>10245.026813550927</x:v>
      </x:c>
    </x:row>
    <x:row r="14" ht="18" customHeight="1">
      <x:c r="A14" s="24" t="str">
        <x:v>EEZ_796</x:v>
      </x:c>
      <x:c r="B14" s="24" t="str">
        <x:v>Turks &amp; Caicos Isl. (UK)</x:v>
      </x:c>
      <x:c r="C14" s="24" t="str">
        <x:v>EEZ</x:v>
      </x:c>
      <x:c r="D14" s="30" t="n">
        <x:v>2019</x:v>
      </x:c>
      <x:c r="E14" s="24" t="str">
        <x:v>Makaira nigricans</x:v>
      </x:c>
      <x:c r="F14" s="24" t="str">
        <x:v>Blue marlin</x:v>
      </x:c>
      <x:c r="G14" s="24" t="str">
        <x:v>Large pelagics (&gt;=90 cm)</x:v>
      </x:c>
      <x:c r="H14" s="24" t="str">
        <x:v>Tuna &amp; billfishes</x:v>
      </x:c>
      <x:c r="I14" s="31" t="n">
        <x:v>27.373726255</x:v>
      </x:c>
      <x:c r="J14" s="31" t="n">
        <x:v>27.373726255</x:v>
      </x:c>
      <x:c r="K14" s="31" t="n">
        <x:v>0</x:v>
      </x:c>
      <x:c r="L14" s="31" t="n">
        <x:v>0</x:v>
      </x:c>
      <x:c r="M14" s="31" t="n">
        <x:v>27.373726255</x:v>
      </x:c>
      <x:c r="N14" s="24" t="str">
        <x:v>makaira nigricans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Makaira nigricans</x:v>
      </x:c>
      <x:c r="T14" s="32" t="n">
        <x:f>IF(O14="","",(1/'Metadata'!$B$5)^(O14-1))</x:f>
        <x:v>3090.295432513592</x:v>
      </x:c>
      <x:c r="U14" s="31" t="n">
        <x:f>IF(T14="","",I14*T14)</x:f>
        <x:v>84592.9012167039</x:v>
      </x:c>
    </x:row>
    <x:row r="15" ht="18" customHeight="1">
      <x:c r="A15" s="24" t="str">
        <x:v>EEZ_796</x:v>
      </x:c>
      <x:c r="B15" s="24" t="str">
        <x:v>Turks &amp; Caicos Isl. (UK)</x:v>
      </x:c>
      <x:c r="C15" s="24" t="str">
        <x:v>EEZ</x:v>
      </x:c>
      <x:c r="D15" s="30" t="n">
        <x:v>2019</x:v>
      </x:c>
      <x:c r="E15" s="24" t="str">
        <x:v>Acanthocybium solandri</x:v>
      </x:c>
      <x:c r="F15" s="24" t="str">
        <x:v>Wahoo</x:v>
      </x:c>
      <x:c r="G15" s="24" t="str">
        <x:v>Large pelagics (&gt;=90 cm)</x:v>
      </x:c>
      <x:c r="H15" s="24" t="str">
        <x:v>Perch-likes</x:v>
      </x:c>
      <x:c r="I15" s="31" t="n">
        <x:v>24.408173682700003</x:v>
      </x:c>
      <x:c r="J15" s="31" t="n">
        <x:v>24.408173682700003</x:v>
      </x:c>
      <x:c r="K15" s="31" t="n">
        <x:v>0</x:v>
      </x:c>
      <x:c r="L15" s="31" t="n">
        <x:v>0</x:v>
      </x:c>
      <x:c r="M15" s="31" t="n">
        <x:v>24.408173682700003</x:v>
      </x:c>
      <x:c r="N15" s="24" t="str">
        <x:v>acanthocybium solandri</x:v>
      </x:c>
      <x:c r="O15" s="32" t="n">
        <x:v>4.26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Acanthocybium solandri</x:v>
      </x:c>
      <x:c r="T15" s="32" t="n">
        <x:f>IF(O15="","",(1/'Metadata'!$B$5)^(O15-1))</x:f>
        <x:v>1819.7008586099826</x:v>
      </x:c>
      <x:c r="U15" s="31" t="n">
        <x:f>IF(T15="","",I15*T15)</x:f>
        <x:v>44415.574607510775</x:v>
      </x:c>
    </x:row>
    <x:row r="16" ht="18" customHeight="1">
      <x:c r="A16" s="24" t="str">
        <x:v>EEZ_796</x:v>
      </x:c>
      <x:c r="B16" s="24" t="str">
        <x:v>Turks &amp; Caicos Isl. (UK)</x:v>
      </x:c>
      <x:c r="C16" s="24" t="str">
        <x:v>EEZ</x:v>
      </x:c>
      <x:c r="D16" s="30" t="n">
        <x:v>2019</x:v>
      </x:c>
      <x:c r="E16" s="24" t="str">
        <x:v>Istiophorus albicans</x:v>
      </x:c>
      <x:c r="F16" s="24" t="str">
        <x:v>Atlantic sailfish</x:v>
      </x:c>
      <x:c r="G16" s="24" t="str">
        <x:v>Large pelagics (&gt;=90 cm)</x:v>
      </x:c>
      <x:c r="H16" s="24" t="str">
        <x:v>Tuna &amp; billfishes</x:v>
      </x:c>
      <x:c r="I16" s="31" t="n">
        <x:v>18.14448</x:v>
      </x:c>
      <x:c r="J16" s="31" t="n">
        <x:v>18.14448</x:v>
      </x:c>
      <x:c r="K16" s="31" t="n">
        <x:v>0</x:v>
      </x:c>
      <x:c r="L16" s="31" t="n">
        <x:v>0</x:v>
      </x:c>
      <x:c r="M16" s="31" t="n">
        <x:v>18.14448</x:v>
      </x:c>
      <x:c r="N16" s="24" t="str">
        <x:v>istiophorus albicans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Istiophorus albicans</x:v>
      </x:c>
      <x:c r="T16" s="32" t="n">
        <x:f>IF(O16="","",(1/'Metadata'!$B$5)^(O16-1))</x:f>
        <x:v>3162.2776601683795</x:v>
      </x:c>
      <x:c r="U16" s="31" t="n">
        <x:f>IF(T16="","",I16*T16)</x:f>
        <x:v>57377.883759371965</x:v>
      </x:c>
    </x:row>
    <x:row r="17" ht="18" customHeight="1">
      <x:c r="A17" s="24" t="str">
        <x:v>EEZ_796</x:v>
      </x:c>
      <x:c r="B17" s="24" t="str">
        <x:v>Turks &amp; Caicos Isl. (UK)</x:v>
      </x:c>
      <x:c r="C17" s="24" t="str">
        <x:v>EEZ</x:v>
      </x:c>
      <x:c r="D17" s="30" t="n">
        <x:v>2019</x:v>
      </x:c>
      <x:c r="E17" s="24" t="str">
        <x:v>Thunnus atlanticus</x:v>
      </x:c>
      <x:c r="F17" s="24" t="str">
        <x:v>Blackfin tuna</x:v>
      </x:c>
      <x:c r="G17" s="24" t="str">
        <x:v>Large pelagics (&gt;=90 cm)</x:v>
      </x:c>
      <x:c r="H17" s="24" t="str">
        <x:v>Tuna &amp; billfishes</x:v>
      </x:c>
      <x:c r="I17" s="31" t="n">
        <x:v>18.14448</x:v>
      </x:c>
      <x:c r="J17" s="31" t="n">
        <x:v>18.14448</x:v>
      </x:c>
      <x:c r="K17" s="31" t="n">
        <x:v>0</x:v>
      </x:c>
      <x:c r="L17" s="31" t="n">
        <x:v>0</x:v>
      </x:c>
      <x:c r="M17" s="31" t="n">
        <x:v>18.14448</x:v>
      </x:c>
      <x:c r="N17" s="24" t="str">
        <x:v>thunnus atlanticus</x:v>
      </x:c>
      <x:c r="O17" s="32" t="n">
        <x:v>4.35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atlanticus</x:v>
      </x:c>
      <x:c r="T17" s="32" t="n">
        <x:f>IF(O17="","",(1/'Metadata'!$B$5)^(O17-1))</x:f>
        <x:v>2238.7211385683377</x:v>
      </x:c>
      <x:c r="U17" s="31" t="n">
        <x:f>IF(T17="","",I17*T17)</x:f>
        <x:v>40620.43092433044</x:v>
      </x:c>
    </x:row>
    <x:row r="18" ht="18" customHeight="1">
      <x:c r="A18" s="24" t="str">
        <x:v>EEZ_796</x:v>
      </x:c>
      <x:c r="B18" s="24" t="str">
        <x:v>Turks &amp; Caicos Isl. (UK)</x:v>
      </x:c>
      <x:c r="C18" s="24" t="str">
        <x:v>EEZ</x:v>
      </x:c>
      <x:c r="D18" s="30" t="n">
        <x:v>2019</x:v>
      </x:c>
      <x:c r="E18" s="24" t="str">
        <x:v>Sphyraenidae</x:v>
      </x:c>
      <x:c r="F18" s="24" t="str">
        <x:v>Barracudas</x:v>
      </x:c>
      <x:c r="G18" s="24" t="str">
        <x:v>Medium reef assoc. fish (30 - 89 cm)</x:v>
      </x:c>
      <x:c r="H18" s="24" t="str">
        <x:v>Perch-likes</x:v>
      </x:c>
      <x:c r="I18" s="31" t="n">
        <x:v>18.14448</x:v>
      </x:c>
      <x:c r="J18" s="31" t="n">
        <x:v>18.14448</x:v>
      </x:c>
      <x:c r="K18" s="31" t="n">
        <x:v>0</x:v>
      </x:c>
      <x:c r="L18" s="31" t="n">
        <x:v>0</x:v>
      </x:c>
      <x:c r="M18" s="31" t="n">
        <x:v>18.14448</x:v>
      </x:c>
      <x:c r="N18" s="24" t="str">
        <x:v>sphyraenidae</x:v>
      </x:c>
      <x:c r="O18" s="32" t="n">
        <x:v>4.4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Sphyraenidae</x:v>
      </x:c>
      <x:c r="T18" s="32" t="n">
        <x:f>IF(O18="","",(1/'Metadata'!$B$5)^(O18-1))</x:f>
        <x:v>2511.886431509582</x:v>
      </x:c>
      <x:c r="U18" s="31" t="n">
        <x:f>IF(T18="","",I18*T18)</x:f>
        <x:v>45576.87311879698</x:v>
      </x:c>
    </x:row>
    <x:row r="19" ht="18" customHeight="1">
      <x:c r="A19" s="24" t="str">
        <x:v>EEZ_796</x:v>
      </x:c>
      <x:c r="B19" s="24" t="str">
        <x:v>Turks &amp; Caicos Isl. (UK)</x:v>
      </x:c>
      <x:c r="C19" s="24" t="str">
        <x:v>EEZ</x:v>
      </x:c>
      <x:c r="D19" s="30" t="n">
        <x:v>2019</x:v>
      </x:c>
      <x:c r="E19" s="24" t="str">
        <x:v>Xiphias gladius</x:v>
      </x:c>
      <x:c r="F19" s="24" t="str">
        <x:v>Swordfish</x:v>
      </x:c>
      <x:c r="G19" s="24" t="str">
        <x:v>Large pelagics (&gt;=90 cm)</x:v>
      </x:c>
      <x:c r="H19" s="24" t="str">
        <x:v>Tuna &amp; billfishes</x:v>
      </x:c>
      <x:c r="I19" s="31" t="n">
        <x:v>18.14448</x:v>
      </x:c>
      <x:c r="J19" s="31" t="n">
        <x:v>18.14448</x:v>
      </x:c>
      <x:c r="K19" s="31" t="n">
        <x:v>0</x:v>
      </x:c>
      <x:c r="L19" s="31" t="n">
        <x:v>0</x:v>
      </x:c>
      <x:c r="M19" s="31" t="n">
        <x:v>18.14448</x:v>
      </x:c>
      <x:c r="N19" s="24" t="str">
        <x:v>xiphias gladius</x:v>
      </x:c>
      <x:c r="O19" s="32" t="n">
        <x:v>4.53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Xiphias gladius</x:v>
      </x:c>
      <x:c r="T19" s="32" t="n">
        <x:f>IF(O19="","",(1/'Metadata'!$B$5)^(O19-1))</x:f>
        <x:v>3388.4415613920273</x:v>
      </x:c>
      <x:c r="U19" s="31" t="n">
        <x:f>IF(T19="","",I19*T19)</x:f>
        <x:v>61481.51014184642</x:v>
      </x:c>
    </x:row>
    <x:row r="20" ht="18" customHeight="1">
      <x:c r="A20" s="24" t="str">
        <x:v>EEZ_796</x:v>
      </x:c>
      <x:c r="B20" s="24" t="str">
        <x:v>Turks &amp; Caicos Isl. (UK)</x:v>
      </x:c>
      <x:c r="C20" s="24" t="str">
        <x:v>EEZ</x:v>
      </x:c>
      <x:c r="D20" s="30" t="n">
        <x:v>2019</x:v>
      </x:c>
      <x:c r="E20" s="24" t="str">
        <x:v>Thunnus obesus</x:v>
      </x:c>
      <x:c r="F20" s="24" t="str">
        <x:v>Bigeye tuna</x:v>
      </x:c>
      <x:c r="G20" s="24" t="str">
        <x:v>Large pelagics (&gt;=90 cm)</x:v>
      </x:c>
      <x:c r="H20" s="24" t="str">
        <x:v>Tuna &amp; billfishes</x:v>
      </x:c>
      <x:c r="I20" s="31" t="n">
        <x:v>18.14448</x:v>
      </x:c>
      <x:c r="J20" s="31" t="n">
        <x:v>18.14448</x:v>
      </x:c>
      <x:c r="K20" s="31" t="n">
        <x:v>0</x:v>
      </x:c>
      <x:c r="L20" s="31" t="n">
        <x:v>0</x:v>
      </x:c>
      <x:c r="M20" s="31" t="n">
        <x:v>18.14448</x:v>
      </x:c>
      <x:c r="N20" s="24" t="str">
        <x:v>thunnus obesus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Thunnus obesus</x:v>
      </x:c>
      <x:c r="T20" s="32" t="n">
        <x:f>IF(O20="","",(1/'Metadata'!$B$5)^(O20-1))</x:f>
        <x:v>3090.295432513592</x:v>
      </x:c>
      <x:c r="U20" s="31" t="n">
        <x:f>IF(T20="","",I20*T20)</x:f>
        <x:v>56071.80366933422</x:v>
      </x:c>
    </x:row>
    <x:row r="21" ht="18" customHeight="1">
      <x:c r="A21" s="24" t="str">
        <x:v>EEZ_796</x:v>
      </x:c>
      <x:c r="B21" s="24" t="str">
        <x:v>Turks &amp; Caicos Isl. (UK)</x:v>
      </x:c>
      <x:c r="C21" s="24" t="str">
        <x:v>EEZ</x:v>
      </x:c>
      <x:c r="D21" s="30" t="n">
        <x:v>2019</x:v>
      </x:c>
      <x:c r="E21" s="24" t="str">
        <x:v>Ostraciidae</x:v>
      </x:c>
      <x:c r="F21" s="24" t="str">
        <x:v>Box-, cow-, trunkfishes</x:v>
      </x:c>
      <x:c r="G21" s="24" t="str">
        <x:v>Medium reef assoc. fish (30 - 89 cm)</x:v>
      </x:c>
      <x:c r="H21" s="24" t="str">
        <x:v>Other fishes &amp; inverts</x:v>
      </x:c>
      <x:c r="I21" s="31" t="n">
        <x:v>16.7888198407</x:v>
      </x:c>
      <x:c r="J21" s="31" t="n">
        <x:v>16.7888198407</x:v>
      </x:c>
      <x:c r="K21" s="31" t="n">
        <x:v>0</x:v>
      </x:c>
      <x:c r="L21" s="31" t="n">
        <x:v>0</x:v>
      </x:c>
      <x:c r="M21" s="31" t="n">
        <x:v>16.7888198407</x:v>
      </x:c>
      <x:c r="N21" s="24" t="str">
        <x:v>ostraciidae</x:v>
      </x:c>
      <x:c r="O21" s="32" t="n">
        <x:v>2.83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Ostraciidae</x:v>
      </x:c>
      <x:c r="T21" s="32" t="n">
        <x:f>IF(O21="","",(1/'Metadata'!$B$5)^(O21-1))</x:f>
        <x:v>67.60829753919819</x:v>
      </x:c>
      <x:c r="U21" s="31" t="n">
        <x:f>IF(T21="","",I21*T21)</x:f>
        <x:v>1135.0635271220397</x:v>
      </x:c>
    </x:row>
    <x:row r="22" ht="18" customHeight="1">
      <x:c r="A22" s="24" t="str">
        <x:v>EEZ_796</x:v>
      </x:c>
      <x:c r="B22" s="24" t="str">
        <x:v>Turks &amp; Caicos Isl. (UK)</x:v>
      </x:c>
      <x:c r="C22" s="24" t="str">
        <x:v>EEZ</x:v>
      </x:c>
      <x:c r="D22" s="30" t="n">
        <x:v>2019</x:v>
      </x:c>
      <x:c r="E22" s="24" t="str">
        <x:v>Xiphiidae</x:v>
      </x:c>
      <x:c r="F22" s="24" t="str">
        <x:v>Swordfishes</x:v>
      </x:c>
      <x:c r="G22" s="24" t="str">
        <x:v>Large pelagics (&gt;=90 cm)</x:v>
      </x:c>
      <x:c r="H22" s="24" t="str">
        <x:v>Tuna &amp; billfishes</x:v>
      </x:c>
      <x:c r="I22" s="31" t="n">
        <x:v>12.5273873652</x:v>
      </x:c>
      <x:c r="J22" s="31" t="n">
        <x:v>12.5273873652</x:v>
      </x:c>
      <x:c r="K22" s="31" t="n">
        <x:v>0</x:v>
      </x:c>
      <x:c r="L22" s="31" t="n">
        <x:v>0</x:v>
      </x:c>
      <x:c r="M22" s="31" t="n">
        <x:v>12.5273873652</x:v>
      </x:c>
      <x:c r="N22" s="24" t="str">
        <x:v>xiphiidae</x:v>
      </x:c>
      <x:c r="O22" s="32" t="n">
        <x:v>4.5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Xiphiidae</x:v>
      </x:c>
      <x:c r="T22" s="32" t="n">
        <x:f>IF(O22="","",(1/'Metadata'!$B$5)^(O22-1))</x:f>
        <x:v>3162.2776601683795</x:v>
      </x:c>
      <x:c r="U22" s="31" t="n">
        <x:f>IF(T22="","",I22*T22)</x:f>
        <x:v>39615.07720524757</x:v>
      </x:c>
    </x:row>
  </x:sheetData>
  <x:conditionalFormatting sqref="R2:R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45e3f47a8304f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813.2955987316</x:v>
      </x:c>
      <x:c r="E2" s="31" t="n">
        <x:v>813.2955987316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IF(C2=0,"",SUMIF('Species'!$H$2:$H$22,A2,'Species'!$U$2:$U$22))</x:f>
        <x:v>128898.66578882988</x:v>
      </x:c>
      <x:c r="J2" s="32" t="n">
        <x:v>3.2000000000000006</x:v>
      </x:c>
      <x:c r="K2" s="32" t="n">
        <x:f>IF(J2="","",(1/'Metadata'!$B$5)^(J2-1))</x:f>
        <x:v>158.48931924611156</x:v>
      </x:c>
      <x:c r="L2" s="31" t="n">
        <x:f>IF(E2=0,"",E2*K2)</x:f>
        <x:v>128898.66578883</x:v>
      </x:c>
      <x:c r="M2" s="31" t="n">
        <x:f>IF(E2=0,"",I2-L2)</x:f>
        <x:v>-1.1641532182693481e-10</x:v>
      </x:c>
      <x:c r="N2" s="32" t="n">
        <x:f>IF(L2=0,"",I2/L2)</x:f>
        <x:v>0.9999999999999991</x:v>
      </x:c>
      <x:c r="O2" s="34" t="n">
        <x:f>IF(L2=0,"",M2/L2)</x:f>
        <x:v>-9.031538155534814e-16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5090.946982097799</x:v>
      </x:c>
      <x:c r="E3" s="31" t="n">
        <x:v>5090.946982097799</x:v>
      </x:c>
      <x:c r="F3" s="32" t="n">
        <x:v>0</x:v>
      </x:c>
      <x:c r="G3" s="34" t="n">
        <x:v>1</x:v>
      </x:c>
      <x:c r="H3" s="32" t="n">
        <x:f>IF(E3=0,"",I3/E3)</x:f>
        <x:v>15.488166189124811</x:v>
      </x:c>
      <x:c r="I3" s="31" t="n">
        <x:f>IF(C3=0,"",SUMIF('Species'!$H$2:$H$22,A3,'Species'!$U$2:$U$22))</x:f>
        <x:v>78849.43291875413</x:v>
      </x:c>
      <x:c r="J3" s="32" t="n">
        <x:v>2.19</x:v>
      </x:c>
      <x:c r="K3" s="32" t="n">
        <x:f>IF(J3="","",(1/'Metadata'!$B$5)^(J3-1))</x:f>
        <x:v>15.488166189124811</x:v>
      </x:c>
      <x:c r="L3" s="31" t="n">
        <x:f>IF(E3=0,"",E3*K3)</x:f>
        <x:v>78849.43291875413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3</x:v>
      </x:c>
      <x:c r="C4" s="33" t="n">
        <x:v>3</x:v>
      </x:c>
      <x:c r="D4" s="31" t="n">
        <x:v>382.7628942742</x:v>
      </x:c>
      <x:c r="E4" s="31" t="n">
        <x:v>382.7628942742</x:v>
      </x:c>
      <x:c r="F4" s="32" t="n">
        <x:v>0</x:v>
      </x:c>
      <x:c r="G4" s="34" t="n">
        <x:v>1</x:v>
      </x:c>
      <x:c r="H4" s="32" t="n">
        <x:f>IF(E4=0,"",I4/E4)</x:f>
        <x:v>290.61949615660257</x:v>
      </x:c>
      <x:c r="I4" s="31" t="n">
        <x:f>IF(C4=0,"",SUMIF('Species'!$H$2:$H$22,A4,'Species'!$U$2:$U$22))</x:f>
        <x:v>111238.35948141094</x:v>
      </x:c>
      <x:c r="J4" s="32" t="n">
        <x:v>3.397236156078216</x:v>
      </x:c>
      <x:c r="K4" s="32" t="n">
        <x:f>IF(J4="","",(1/'Metadata'!$B$5)^(J4-1))</x:f>
        <x:v>249.59515802580825</x:v>
      </x:c>
      <x:c r="L4" s="31" t="n">
        <x:f>IF(E4=0,"",E4*K4)</x:f>
        <x:v>95535.76508278468</x:v>
      </x:c>
      <x:c r="M4" s="31" t="n">
        <x:f>IF(E4=0,"",I4-L4)</x:f>
        <x:v>15702.594398626257</x:v>
      </x:c>
      <x:c r="N4" s="32" t="n">
        <x:f>IF(L4=0,"",I4/L4)</x:f>
        <x:v>1.16436351752686</x:v>
      </x:c>
      <x:c r="O4" s="34" t="n">
        <x:f>IF(L4=0,"",M4/L4)</x:f>
        <x:v>0.16436351752686</x:v>
      </x:c>
    </x:row>
    <x:row r="5" ht="18" customHeight="1">
      <x:c r="A5" s="24" t="str">
        <x:v>Perch-likes</x:v>
      </x:c>
      <x:c r="B5" s="33" t="n">
        <x:v>9</x:v>
      </x:c>
      <x:c r="C5" s="33" t="n">
        <x:v>9</x:v>
      </x:c>
      <x:c r="D5" s="31" t="n">
        <x:v>984.0012038302001</x:v>
      </x:c>
      <x:c r="E5" s="31" t="n">
        <x:v>984.0012038302001</x:v>
      </x:c>
      <x:c r="F5" s="32" t="n">
        <x:v>0</x:v>
      </x:c>
      <x:c r="G5" s="34" t="n">
        <x:v>1</x:v>
      </x:c>
      <x:c r="H5" s="32" t="n">
        <x:f>IF(E5=0,"",I5/E5)</x:f>
        <x:v>897.7485402720409</x:v>
      </x:c>
      <x:c r="I5" s="31" t="n">
        <x:f>IF(C5=0,"",SUMIF('Species'!$H$2:$H$22,A5,'Species'!$U$2:$U$22))</x:f>
        <x:v>883385.6443644932</x:v>
      </x:c>
      <x:c r="J5" s="32" t="n">
        <x:v>3.7804815725042817</x:v>
      </x:c>
      <x:c r="K5" s="32" t="n">
        <x:f>IF(J5="","",(1/'Metadata'!$B$5)^(J5-1))</x:f>
        <x:v>603.228111885802</x:v>
      </x:c>
      <x:c r="L5" s="31" t="n">
        <x:f>IF(E5=0,"",E5*K5)</x:f>
        <x:v>593577.1882798478</x:v>
      </x:c>
      <x:c r="M5" s="31" t="n">
        <x:f>IF(E5=0,"",I5-L5)</x:f>
        <x:v>289808.45608464535</x:v>
      </x:c>
      <x:c r="N5" s="32" t="n">
        <x:f>IF(L5=0,"",I5/L5)</x:f>
        <x:v>1.4882405554103137</x:v>
      </x:c>
      <x:c r="O5" s="34" t="n">
        <x:f>IF(L5=0,"",M5/L5)</x:f>
        <x:v>0.48824055541031386</x:v>
      </x:c>
    </x:row>
    <x:row r="6" ht="18" customHeight="1">
      <x:c r="A6" s="24" t="str">
        <x:v>Sharks &amp; rays</x:v>
      </x:c>
      <x:c r="B6" s="33" t="n">
        <x:v>1</x:v>
      </x:c>
      <x:c r="C6" s="33" t="n">
        <x:v>1</x:v>
      </x:c>
      <x:c r="D6" s="31" t="n">
        <x:v>63.193304254500006</x:v>
      </x:c>
      <x:c r="E6" s="31" t="n">
        <x:v>63.193304254500006</x:v>
      </x:c>
      <x:c r="F6" s="32" t="n">
        <x:v>0</x:v>
      </x:c>
      <x:c r="G6" s="34" t="n">
        <x:v>1</x:v>
      </x:c>
      <x:c r="H6" s="32" t="n">
        <x:f>IF(E6=0,"",I6/E6)</x:f>
        <x:v>1122.018454301963</x:v>
      </x:c>
      <x:c r="I6" s="31" t="n">
        <x:f>IF(C6=0,"",SUMIF('Species'!$H$2:$H$22,A6,'Species'!$U$2:$U$22))</x:f>
        <x:v>70904.05356186775</x:v>
      </x:c>
      <x:c r="J6" s="32" t="n">
        <x:v>4.05</x:v>
      </x:c>
      <x:c r="K6" s="32" t="n">
        <x:f>IF(J6="","",(1/'Metadata'!$B$5)^(J6-1))</x:f>
        <x:v>1122.018454301963</x:v>
      </x:c>
      <x:c r="L6" s="31" t="n">
        <x:f>IF(E6=0,"",E6*K6)</x:f>
        <x:v>70904.05356186775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Tuna &amp; billfishes</x:v>
      </x:c>
      <x:c r="B7" s="33" t="n">
        <x:v>6</x:v>
      </x:c>
      <x:c r="C7" s="33" t="n">
        <x:v>6</x:v>
      </x:c>
      <x:c r="D7" s="31" t="n">
        <x:v>112.4790336202</x:v>
      </x:c>
      <x:c r="E7" s="31" t="n">
        <x:v>112.4790336202</x:v>
      </x:c>
      <x:c r="F7" s="32" t="n">
        <x:v>0</x:v>
      </x:c>
      <x:c r="G7" s="34" t="n">
        <x:v>1</x:v>
      </x:c>
      <x:c r="H7" s="32" t="n">
        <x:f>IF(E7=0,"",I7/E7)</x:f>
        <x:v>3020.648346464967</x:v>
      </x:c>
      <x:c r="I7" s="31" t="n">
        <x:f>IF(C7=0,"",SUMIF('Species'!$H$2:$H$22,A7,'Species'!$U$2:$U$22))</x:f>
        <x:v>339759.60691683454</x:v>
      </x:c>
      <x:c r="J7" s="32" t="n">
        <x:v>4.476595463369297</x:v>
      </x:c>
      <x:c r="K7" s="32" t="n">
        <x:f>IF(J7="","",(1/'Metadata'!$B$5)^(J7-1))</x:f>
        <x:v>2996.3701597535105</x:v>
      </x:c>
      <x:c r="L7" s="31" t="n">
        <x:f>IF(E7=0,"",E7*K7)</x:f>
        <x:v>337028.81993747916</x:v>
      </x:c>
      <x:c r="M7" s="31" t="n">
        <x:f>IF(E7=0,"",I7-L7)</x:f>
        <x:v>2730.7869793553837</x:v>
      </x:c>
      <x:c r="N7" s="32" t="n">
        <x:f>IF(L7=0,"",I7/L7)</x:f>
        <x:v>1.0081025325367188</x:v>
      </x:c>
      <x:c r="O7" s="34" t="n">
        <x:f>IF(L7=0,"",M7/L7)</x:f>
        <x:v>0.00810253253671885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4cd275b67894e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8</x:v>
      </x:c>
      <x:c r="C2" s="33" t="n">
        <x:v>8</x:v>
      </x:c>
      <x:c r="D2" s="31" t="n">
        <x:v>224.189849831</x:v>
      </x:c>
      <x:c r="E2" s="31" t="n">
        <x:v>224.189849831</x:v>
      </x:c>
      <x:c r="F2" s="32" t="n">
        <x:v>0</x:v>
      </x:c>
      <x:c r="G2" s="34" t="n">
        <x:v>1</x:v>
      </x:c>
      <x:c r="H2" s="32" t="n">
        <x:f>IF(E2=0,"",I2/E2)</x:f>
        <x:v>2626.49068294648</x:v>
      </x:c>
      <x:c r="I2" s="31" t="n">
        <x:f>IF(C2=0,"",SUMIF('Species'!$G$2:$G$22,A2,'Species'!$U$2:$U$22))</x:f>
        <x:v>588832.5517922919</x:v>
      </x:c>
      <x:c r="J2" s="32" t="n">
        <x:v>4.411504357177603</x:v>
      </x:c>
      <x:c r="K2" s="32" t="n">
        <x:f>IF(J2="","",(1/'Metadata'!$B$5)^(J2-1))</x:f>
        <x:v>2579.3148419759054</x:v>
      </x:c>
      <x:c r="L2" s="31" t="n">
        <x:f>IF(E2=0,"",E2*K2)</x:f>
        <x:v>578256.2070894478</x:v>
      </x:c>
      <x:c r="M2" s="31" t="n">
        <x:f>IF(E2=0,"",I2-L2)</x:f>
        <x:v>10576.344702844159</x:v>
      </x:c>
      <x:c r="N2" s="32" t="n">
        <x:f>IF(L2=0,"",I2/L2)</x:f>
        <x:v>1.0182900668824264</x:v>
      </x:c>
      <x:c r="O2" s="34" t="n">
        <x:f>IF(L2=0,"",M2/L2)</x:f>
        <x:v>0.01829006688242631</x:v>
      </x:c>
    </x:row>
    <x:row r="3" ht="18" customHeight="1">
      <x:c r="A3" s="24" t="str">
        <x:v>Large sharks (&gt;=90 cm)</x:v>
      </x:c>
      <x:c r="B3" s="33" t="n">
        <x:v>1</x:v>
      </x:c>
      <x:c r="C3" s="33" t="n">
        <x:v>1</x:v>
      </x:c>
      <x:c r="D3" s="31" t="n">
        <x:v>63.193304254500006</x:v>
      </x:c>
      <x:c r="E3" s="31" t="n">
        <x:v>63.193304254500006</x:v>
      </x:c>
      <x:c r="F3" s="32" t="n">
        <x:v>0</x:v>
      </x:c>
      <x:c r="G3" s="34" t="n">
        <x:v>1</x:v>
      </x:c>
      <x:c r="H3" s="32" t="n">
        <x:f>IF(E3=0,"",I3/E3)</x:f>
        <x:v>1122.018454301963</x:v>
      </x:c>
      <x:c r="I3" s="31" t="n">
        <x:f>IF(C3=0,"",SUMIF('Species'!$G$2:$G$22,A3,'Species'!$U$2:$U$22))</x:f>
        <x:v>70904.05356186775</x:v>
      </x:c>
      <x:c r="J3" s="32" t="n">
        <x:v>4.05</x:v>
      </x:c>
      <x:c r="K3" s="32" t="n">
        <x:f>IF(J3="","",(1/'Metadata'!$B$5)^(J3-1))</x:f>
        <x:v>1122.018454301963</x:v>
      </x:c>
      <x:c r="L3" s="31" t="n">
        <x:f>IF(E3=0,"",E3*K3)</x:f>
        <x:v>70904.05356186775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Lobsters, crabs</x:v>
      </x:c>
      <x:c r="B4" s="33" t="n">
        <x:v>1</x:v>
      </x:c>
      <x:c r="C4" s="33" t="n">
        <x:v>1</x:v>
      </x:c>
      <x:c r="D4" s="31" t="n">
        <x:v>813.2955987316</x:v>
      </x:c>
      <x:c r="E4" s="31" t="n">
        <x:v>813.2955987316</x:v>
      </x:c>
      <x:c r="F4" s="32" t="n">
        <x:v>0</x:v>
      </x:c>
      <x:c r="G4" s="34" t="n">
        <x:v>1</x:v>
      </x:c>
      <x:c r="H4" s="32" t="n">
        <x:f>IF(E4=0,"",I4/E4)</x:f>
        <x:v>158.48931924611142</x:v>
      </x:c>
      <x:c r="I4" s="31" t="n">
        <x:f>IF(C4=0,"",SUMIF('Species'!$G$2:$G$22,A4,'Species'!$U$2:$U$22))</x:f>
        <x:v>128898.66578882988</x:v>
      </x:c>
      <x:c r="J4" s="32" t="n">
        <x:v>3.2000000000000006</x:v>
      </x:c>
      <x:c r="K4" s="32" t="n">
        <x:f>IF(J4="","",(1/'Metadata'!$B$5)^(J4-1))</x:f>
        <x:v>158.48931924611156</x:v>
      </x:c>
      <x:c r="L4" s="31" t="n">
        <x:f>IF(E4=0,"",E4*K4)</x:f>
        <x:v>128898.66578883</x:v>
      </x:c>
      <x:c r="M4" s="31" t="n">
        <x:f>IF(E4=0,"",I4-L4)</x:f>
        <x:v>-1.1641532182693481e-10</x:v>
      </x:c>
      <x:c r="N4" s="32" t="n">
        <x:f>IF(L4=0,"",I4/L4)</x:f>
        <x:v>0.9999999999999991</x:v>
      </x:c>
      <x:c r="O4" s="34" t="n">
        <x:f>IF(L4=0,"",M4/L4)</x:f>
        <x:v>-9.031538155534814e-16</x:v>
      </x:c>
    </x:row>
    <x:row r="5" ht="18" customHeight="1">
      <x:c r="A5" s="24" t="str">
        <x:v>Medium demersals (30 - 89 cm)</x:v>
      </x:c>
      <x:c r="B5" s="33" t="n">
        <x:v>2</x:v>
      </x:c>
      <x:c r="C5" s="33" t="n">
        <x:v>2</x:v>
      </x:c>
      <x:c r="D5" s="31" t="n">
        <x:v>294.18719550879996</x:v>
      </x:c>
      <x:c r="E5" s="31" t="n">
        <x:v>294.18719550879996</x:v>
      </x:c>
      <x:c r="F5" s="32" t="n">
        <x:v>0</x:v>
      </x:c>
      <x:c r="G5" s="34" t="n">
        <x:v>1</x:v>
      </x:c>
      <x:c r="H5" s="32" t="n">
        <x:f>IF(E5=0,"",I5/E5)</x:f>
        <x:v>196.40487429479123</x:v>
      </x:c>
      <x:c r="I5" s="31" t="n">
        <x:f>IF(C5=0,"",SUMIF('Species'!$G$2:$G$22,A5,'Species'!$U$2:$U$22))</x:f>
        <x:v>57779.79915304302</x:v>
      </x:c>
      <x:c r="J5" s="32" t="n">
        <x:v>3.292161280909879</x:v>
      </x:c>
      <x:c r="K5" s="32" t="n">
        <x:f>IF(J5="","",(1/'Metadata'!$B$5)^(J5-1))</x:f>
        <x:v>195.95722510667824</x:v>
      </x:c>
      <x:c r="L5" s="31" t="n">
        <x:f>IF(E5=0,"",E5*K5)</x:f>
        <x:v>57648.106493820276</x:v>
      </x:c>
      <x:c r="M5" s="31" t="n">
        <x:f>IF(E5=0,"",I5-L5)</x:f>
        <x:v>131.69265922274644</x:v>
      </x:c>
      <x:c r="N5" s="32" t="n">
        <x:f>IF(L5=0,"",I5/L5)</x:f>
        <x:v>1.0022844229799095</x:v>
      </x:c>
      <x:c r="O5" s="34" t="n">
        <x:f>IF(L5=0,"",M5/L5)</x:f>
        <x:v>0.0022844229799093845</x:v>
      </x:c>
    </x:row>
    <x:row r="6" ht="18" customHeight="1">
      <x:c r="A6" s="24" t="str">
        <x:v>Medium pelagics (30 - 89 cm)</x:v>
      </x:c>
      <x:c r="B6" s="33" t="n">
        <x:v>1</x:v>
      </x:c>
      <x:c r="C6" s="33" t="n">
        <x:v>1</x:v>
      </x:c>
      <x:c r="D6" s="31" t="n">
        <x:v>58.2835190076</x:v>
      </x:c>
      <x:c r="E6" s="31" t="n">
        <x:v>58.2835190076</x:v>
      </x:c>
      <x:c r="F6" s="32" t="n">
        <x:v>0</x:v>
      </x:c>
      <x:c r="G6" s="34" t="n">
        <x:v>1</x:v>
      </x:c>
      <x:c r="H6" s="32" t="n">
        <x:f>IF(E6=0,"",I6/E6)</x:f>
        <x:v>1819.7008586099826</x:v>
      </x:c>
      <x:c r="I6" s="31" t="n">
        <x:f>IF(C6=0,"",SUMIF('Species'!$G$2:$G$22,A6,'Species'!$U$2:$U$22))</x:f>
        <x:v>106058.56958094095</x:v>
      </x:c>
      <x:c r="J6" s="32" t="n">
        <x:v>4.26</x:v>
      </x:c>
      <x:c r="K6" s="32" t="n">
        <x:f>IF(J6="","",(1/'Metadata'!$B$5)^(J6-1))</x:f>
        <x:v>1819.7008586099826</x:v>
      </x:c>
      <x:c r="L6" s="31" t="n">
        <x:f>IF(E6=0,"",E6*K6)</x:f>
        <x:v>106058.56958094095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reef assoc. fish (30 - 89 cm)</x:v>
      </x:c>
      <x:c r="B7" s="33" t="n">
        <x:v>6</x:v>
      </x:c>
      <x:c r="C7" s="33" t="n">
        <x:v>6</x:v>
      </x:c>
      <x:c r="D7" s="31" t="n">
        <x:v>634.2555830270001</x:v>
      </x:c>
      <x:c r="E7" s="31" t="n">
        <x:v>634.2555830270001</x:v>
      </x:c>
      <x:c r="F7" s="32" t="n">
        <x:v>0</x:v>
      </x:c>
      <x:c r="G7" s="34" t="n">
        <x:v>1</x:v>
      </x:c>
      <x:c r="H7" s="32" t="n">
        <x:f>IF(E7=0,"",I7/E7)</x:f>
        <x:v>841.9266134720817</x:v>
      </x:c>
      <x:c r="I7" s="31" t="n">
        <x:f>IF(C7=0,"",SUMIF('Species'!$G$2:$G$22,A7,'Species'!$U$2:$U$22))</x:f>
        <x:v>533996.6550936829</x:v>
      </x:c>
      <x:c r="J7" s="32" t="n">
        <x:v>3.8564592496322914</x:v>
      </x:c>
      <x:c r="K7" s="32" t="n">
        <x:f>IF(J7="","",(1/'Metadata'!$B$5)^(J7-1))</x:f>
        <x:v>718.5537324659447</x:v>
      </x:c>
      <x:c r="L7" s="31" t="n">
        <x:f>IF(E7=0,"",E7*K7)</x:f>
        <x:v>455746.71652141475</x:v>
      </x:c>
      <x:c r="M7" s="31" t="n">
        <x:f>IF(E7=0,"",I7-L7)</x:f>
        <x:v>78249.93857226818</x:v>
      </x:c>
      <x:c r="N7" s="32" t="n">
        <x:f>IF(L7=0,"",I7/L7)</x:f>
        <x:v>1.1716961104394295</x:v>
      </x:c>
      <x:c r="O7" s="34" t="n">
        <x:f>IF(L7=0,"",M7/L7)</x:f>
        <x:v>0.17169611043942945</x:v>
      </x:c>
    </x:row>
    <x:row r="8" ht="18" customHeight="1">
      <x:c r="A8" s="24" t="str">
        <x:v>Other demersal invertebrates</x:v>
      </x:c>
      <x:c r="B8" s="33" t="n">
        <x:v>1</x:v>
      </x:c>
      <x:c r="C8" s="33" t="n">
        <x:v>1</x:v>
      </x:c>
      <x:c r="D8" s="31" t="n">
        <x:v>5090.946982097799</x:v>
      </x:c>
      <x:c r="E8" s="31" t="n">
        <x:v>5090.946982097799</x:v>
      </x:c>
      <x:c r="F8" s="32" t="n">
        <x:v>0</x:v>
      </x:c>
      <x:c r="G8" s="34" t="n">
        <x:v>1</x:v>
      </x:c>
      <x:c r="H8" s="32" t="n">
        <x:f>IF(E8=0,"",I8/E8)</x:f>
        <x:v>15.488166189124811</x:v>
      </x:c>
      <x:c r="I8" s="31" t="n">
        <x:f>IF(C8=0,"",SUMIF('Species'!$G$2:$G$22,A8,'Species'!$U$2:$U$22))</x:f>
        <x:v>78849.43291875413</x:v>
      </x:c>
      <x:c r="J8" s="32" t="n">
        <x:v>2.19</x:v>
      </x:c>
      <x:c r="K8" s="32" t="n">
        <x:f>IF(J8="","",(1/'Metadata'!$B$5)^(J8-1))</x:f>
        <x:v>15.488166189124811</x:v>
      </x:c>
      <x:c r="L8" s="31" t="n">
        <x:f>IF(E8=0,"",E8*K8)</x:f>
        <x:v>78849.43291875413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Small reef assoc. fish (&lt;30 cm)</x:v>
      </x:c>
      <x:c r="B9" s="33" t="n">
        <x:v>1</x:v>
      </x:c>
      <x:c r="C9" s="33" t="n">
        <x:v>1</x:v>
      </x:c>
      <x:c r="D9" s="31" t="n">
        <x:v>268.3269843502</x:v>
      </x:c>
      <x:c r="E9" s="31" t="n">
        <x:v>268.3269843502</x:v>
      </x:c>
      <x:c r="F9" s="32" t="n">
        <x:v>0</x:v>
      </x:c>
      <x:c r="G9" s="34" t="n">
        <x:v>1</x:v>
      </x:c>
      <x:c r="H9" s="32" t="n">
        <x:f>IF(E9=0,"",I9/E9)</x:f>
        <x:v>177.82794100389228</x:v>
      </x:c>
      <x:c r="I9" s="31" t="n">
        <x:f>IF(C9=0,"",SUMIF('Species'!$G$2:$G$22,A9,'Species'!$U$2:$U$22))</x:f>
        <x:v>47716.03514277969</x:v>
      </x:c>
      <x:c r="J9" s="32" t="n">
        <x:v>3.25</x:v>
      </x:c>
      <x:c r="K9" s="32" t="n">
        <x:f>IF(J9="","",(1/'Metadata'!$B$5)^(J9-1))</x:f>
        <x:v>177.82794100389228</x:v>
      </x:c>
      <x:c r="L9" s="31" t="n">
        <x:f>IF(E9=0,"",E9*K9)</x:f>
        <x:v>47716.03514277969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</x:sheetData>
  <x:conditionalFormatting sqref="G2:G9">
    <x:cfRule type="cellIs" dxfId="2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eaa32208ce84c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EEZ_796</x:v>
      </x:c>
      <x:c r="B2" s="24" t="str">
        <x:v>raw_filtered_tonnes</x:v>
      </x:c>
      <x:c r="C2" s="24" t="n">
        <x:v>7446.6790168085</x:v>
      </x:c>
      <x:c r="D2" s="24" t="str">
        <x:v>tonnes</x:v>
      </x:c>
    </x:row>
    <x:row r="3" ht="18" customHeight="1">
      <x:c r="A3" s="24" t="str">
        <x:v>EEZ_796</x:v>
      </x:c>
      <x:c r="B3" s="24" t="str">
        <x:v>species_catch_tonnes</x:v>
      </x:c>
      <x:c r="C3" s="24" t="n">
        <x:v>7446.679016808498</x:v>
      </x:c>
      <x:c r="D3" s="24" t="str">
        <x:v>tonnes</x:v>
      </x:c>
    </x:row>
    <x:row r="4" ht="18" customHeight="1">
      <x:c r="A4" s="24" t="str">
        <x:v>EEZ_796</x:v>
      </x:c>
      <x:c r="B4" s="24" t="str">
        <x:v>catch_difference_tonnes</x:v>
      </x:c>
      <x:c r="C4" s="24" t="n">
        <x:v>-1.8189894035458565e-12</x:v>
      </x:c>
      <x:c r="D4" s="24" t="str">
        <x:v>tonnes</x:v>
      </x:c>
    </x:row>
    <x:row r="5" ht="18" customHeight="1">
      <x:c r="A5" s="24" t="str">
        <x:v>EEZ_796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EEZ_796</x:v>
      </x:c>
      <x:c r="B6" s="24" t="str">
        <x:v>matched_catch_tonnes</x:v>
      </x:c>
      <x:c r="C6" s="24" t="n">
        <x:v>7446.679016808498</x:v>
      </x:c>
      <x:c r="D6" s="24" t="str">
        <x:v>tonnes</x:v>
      </x:c>
    </x:row>
    <x:row r="7" ht="18" customHeight="1">
      <x:c r="A7" s="24" t="str">
        <x:v>EEZ_796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EEZ_796</x:v>
      </x:c>
      <x:c r="B8" s="24" t="str">
        <x:v>taxa_count</x:v>
      </x:c>
      <x:c r="C8" s="24" t="n">
        <x:v>21</x:v>
      </x:c>
      <x:c r="D8" s="24" t="str">
        <x:v>count</x:v>
      </x:c>
    </x:row>
    <x:row r="9" ht="18" customHeight="1">
      <x:c r="A9" s="24" t="str">
        <x:v>EEZ_796</x:v>
      </x:c>
      <x:c r="B9" s="24" t="str">
        <x:v>matched_taxa_count</x:v>
      </x:c>
      <x:c r="C9" s="24" t="n">
        <x:v>21</x:v>
      </x:c>
      <x:c r="D9" s="24" t="str">
        <x:v>count</x:v>
      </x:c>
    </x:row>
    <x:row r="10" ht="18" customHeight="1">
      <x:c r="A10" s="24" t="str">
        <x:v>EEZ_796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EEZ_796</x:v>
      </x:c>
      <x:c r="B11" s="24" t="str">
        <x:v>species_ppr</x:v>
      </x:c>
      <x:c r="C11" s="24" t="n">
        <x:v>1613035.7630321903</x:v>
      </x:c>
      <x:c r="D11" s="24" t="str">
        <x:v>tonnes_primary_production_equivalent</x:v>
      </x:c>
    </x:row>
    <x:row r="12" ht="18" customHeight="1">
      <x:c r="A12" s="24" t="str">
        <x:v>EEZ_796</x:v>
      </x:c>
      <x:c r="B12" s="24" t="str">
        <x:v>commercial_ppr</x:v>
      </x:c>
      <x:c r="C12" s="24" t="n">
        <x:v>1613035.7630321903</x:v>
      </x:c>
      <x:c r="D12" s="24" t="str">
        <x:v>tonnes_primary_production_equivalent</x:v>
      </x:c>
    </x:row>
    <x:row r="13" ht="18" customHeight="1">
      <x:c r="A13" s="24" t="str">
        <x:v>EEZ_796</x:v>
      </x:c>
      <x:c r="B13" s="24" t="str">
        <x:v>functional_ppr</x:v>
      </x:c>
      <x:c r="C13" s="24" t="n">
        <x:v>1613035.7630321903</x:v>
      </x:c>
      <x:c r="D13" s="24" t="str">
        <x:v>tonnes_primary_production_equivalent</x:v>
      </x:c>
    </x:row>
    <x:row r="14" ht="18" customHeight="1">
      <x:c r="A14" s="24" t="str">
        <x:v>EEZ_796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EEZ_796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EEZ_796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EEZ_796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EEZ_796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EEZ_796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578df48bcdf43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EEZ_796 - Turks &amp; Caicos Isl.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EEZ_796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raw_data/SAU_downloads/EEZ_796-catch.zip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