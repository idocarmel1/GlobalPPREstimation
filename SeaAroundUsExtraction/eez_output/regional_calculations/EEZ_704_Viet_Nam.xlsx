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f34aaa2f7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54f6b501c824420"/>
    <x:sheet xmlns:r="http://schemas.openxmlformats.org/officeDocument/2006/relationships" name="Commercial" sheetId="2" r:id="Re2c02f9bedde49a4"/>
    <x:sheet xmlns:r="http://schemas.openxmlformats.org/officeDocument/2006/relationships" name="Functional" sheetId="3" r:id="R400eff422d474ebf"/>
    <x:sheet xmlns:r="http://schemas.openxmlformats.org/officeDocument/2006/relationships" name="Missing TL" sheetId="4" r:id="Rb5c632929b4c4f9e"/>
    <x:sheet xmlns:r="http://schemas.openxmlformats.org/officeDocument/2006/relationships" name="Validation" sheetId="5" r:id="R916ebeb0faa74254"/>
    <x:sheet xmlns:r="http://schemas.openxmlformats.org/officeDocument/2006/relationships" name="Metadata" sheetId="6" r:id="R935a3eb5b1ad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3e9946e6e4224" /><Relationship Type="http://schemas.openxmlformats.org/officeDocument/2006/relationships/theme" Target="/xl/theme/theme1.xml" Id="R80436ff5479742d4" /><Relationship Type="http://schemas.microsoft.com/office/2022/11/relationships/FeaturePropertyBag" Target="/xl/featurePropertyBag/featurePropertyBag.xml" Id="Rdf69576ea6744c68" /><Relationship Type="http://schemas.openxmlformats.org/officeDocument/2006/relationships/sharedStrings" Target="/xl/sharedStrings.xml" Id="R55768d8d84f5419d" /><Relationship Type="http://schemas.openxmlformats.org/officeDocument/2006/relationships/worksheet" Target="/xl/worksheets/sheet1.xml" Id="R754f6b501c824420" /><Relationship Type="http://schemas.openxmlformats.org/officeDocument/2006/relationships/worksheet" Target="/xl/worksheets/sheet2.xml" Id="Re2c02f9bedde49a4" /><Relationship Type="http://schemas.openxmlformats.org/officeDocument/2006/relationships/worksheet" Target="/xl/worksheets/sheet3.xml" Id="R400eff422d474ebf" /><Relationship Type="http://schemas.openxmlformats.org/officeDocument/2006/relationships/worksheet" Target="/xl/worksheets/sheet4.xml" Id="Rb5c632929b4c4f9e" /><Relationship Type="http://schemas.openxmlformats.org/officeDocument/2006/relationships/worksheet" Target="/xl/worksheets/sheet5.xml" Id="R916ebeb0faa74254" /><Relationship Type="http://schemas.openxmlformats.org/officeDocument/2006/relationships/worksheet" Target="/xl/worksheets/sheet6.xml" Id="R935a3eb5b1ad4c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04SpeciesTable" displayName="EEZ704SpeciesTable" ref="A1:U70" headerRowCount="1" totalsRowCount="0" totalsRowShown="0">
  <x:autoFilter ref="A1:U7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04CommercialTable" displayName="EEZ704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04FunctionalTable" displayName="EEZ704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04ValidationTable" displayName="EEZ70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87223743fb47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d2fb74048245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53e1395da848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ab5cc95f2f42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EEZ_704</x:v>
      </x:c>
      <x:c r="B2" s="24" t="str">
        <x:v>Viet Nam</x:v>
      </x:c>
      <x:c r="C2" s="24" t="str">
        <x:v>EEZ</x:v>
      </x:c>
      <x:c r="D2" s="30" t="n">
        <x:v>2019</x:v>
      </x:c>
      <x:c r="E2" s="24" t="str">
        <x:v>Synodontidae</x:v>
      </x:c>
      <x:c r="F2" s="24" t="str">
        <x:v>Lizardfishes, sauries</x:v>
      </x:c>
      <x:c r="G2" s="24" t="str">
        <x:v>Medium demersals (30 - 89 cm)</x:v>
      </x:c>
      <x:c r="H2" s="24" t="str">
        <x:v>Other fishes &amp; inverts</x:v>
      </x:c>
      <x:c r="I2" s="31" t="n">
        <x:v>804865.9952611201</x:v>
      </x:c>
      <x:c r="J2" s="31" t="n">
        <x:v>582977.919033347</x:v>
      </x:c>
      <x:c r="K2" s="31" t="n">
        <x:v>221888.076227773</x:v>
      </x:c>
      <x:c r="L2" s="31" t="n">
        <x:v>496535.8910600012</x:v>
      </x:c>
      <x:c r="M2" s="31" t="n">
        <x:v>308330.1042011189</x:v>
      </x:c>
      <x:c r="N2" s="24" t="str">
        <x:v>synodontidae</x:v>
      </x:c>
      <x:c r="O2" s="32" t="n">
        <x:v>4.3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Synodontidae</x:v>
      </x:c>
      <x:c r="T2" s="32" t="n">
        <x:f>IF(O2="","",(1/'Metadata'!$B$5)^(O2-1))</x:f>
        <x:v>1995.2623149688789</x:v>
      </x:c>
      <x:c r="U2" s="31" t="n">
        <x:f>IF(T2="","",I2*T2)</x:f>
        <x:v>1605918788.9444332</x:v>
      </x:c>
    </x:row>
    <x:row r="3" ht="18" customHeight="1">
      <x:c r="A3" s="24" t="str">
        <x:v>EEZ_704</x:v>
      </x:c>
      <x:c r="B3" s="24" t="str">
        <x:v>Viet Nam</x:v>
      </x:c>
      <x:c r="C3" s="24" t="str">
        <x:v>EEZ</x:v>
      </x:c>
      <x:c r="D3" s="30" t="n">
        <x:v>2019</x:v>
      </x:c>
      <x:c r="E3" s="24" t="str">
        <x:v>Perciformes</x:v>
      </x:c>
      <x:c r="F3" s="24" t="str">
        <x:v>Perch-likes</x:v>
      </x:c>
      <x:c r="G3" s="24" t="str">
        <x:v>Medium demersals (30 - 89 cm)</x:v>
      </x:c>
      <x:c r="H3" s="24" t="str">
        <x:v>Perch-likes</x:v>
      </x:c>
      <x:c r="I3" s="31" t="n">
        <x:v>461427.3052421261</x:v>
      </x:c>
      <x:c r="J3" s="31" t="n">
        <x:v>318784.9705242701</x:v>
      </x:c>
      <x:c r="K3" s="31" t="n">
        <x:v>142642.334717856</x:v>
      </x:c>
      <x:c r="L3" s="31" t="n">
        <x:v>269985.1740000011</x:v>
      </x:c>
      <x:c r="M3" s="31" t="n">
        <x:v>191442.131242125</x:v>
      </x:c>
      <x:c r="N3" s="24" t="str">
        <x:v>perciformes</x:v>
      </x:c>
      <x:c r="O3" s="32" t="n">
        <x:v>3.53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Perciformes</x:v>
      </x:c>
      <x:c r="T3" s="32" t="n">
        <x:f>IF(O3="","",(1/'Metadata'!$B$5)^(O3-1))</x:f>
        <x:v>338.84415613920237</x:v>
      </x:c>
      <x:c r="U3" s="31" t="n">
        <x:f>IF(T3="","",I3*T3)</x:f>
        <x:v>156351945.86435437</x:v>
      </x:c>
    </x:row>
    <x:row r="4" ht="18" customHeight="1">
      <x:c r="A4" s="24" t="str">
        <x:v>EEZ_704</x:v>
      </x:c>
      <x:c r="B4" s="24" t="str">
        <x:v>Viet Nam</x:v>
      </x:c>
      <x:c r="C4" s="24" t="str">
        <x:v>EEZ</x:v>
      </x:c>
      <x:c r="D4" s="30" t="n">
        <x:v>2019</x:v>
      </x:c>
      <x:c r="E4" s="24" t="str">
        <x:v>Leiognathidae</x:v>
      </x:c>
      <x:c r="F4" s="24" t="str">
        <x:v>Slipmouths, ponyfishes</x:v>
      </x:c>
      <x:c r="G4" s="24" t="str">
        <x:v>Small benthopelagics (&lt;30 cm)</x:v>
      </x:c>
      <x:c r="H4" s="24" t="str">
        <x:v>Perch-likes</x:v>
      </x:c>
      <x:c r="I4" s="31" t="n">
        <x:v>435672.2818216477</x:v>
      </x:c>
      <x:c r="J4" s="31" t="n">
        <x:v>300954.52125478274</x:v>
      </x:c>
      <x:c r="K4" s="31" t="n">
        <x:v>134717.760566865</x:v>
      </x:c>
      <x:c r="L4" s="31" t="n">
        <x:v>255775.42800000092</x:v>
      </x:c>
      <x:c r="M4" s="31" t="n">
        <x:v>179896.8538216468</x:v>
      </x:c>
      <x:c r="N4" s="24" t="str">
        <x:v>leiognathidae</x:v>
      </x:c>
      <x:c r="O4" s="32" t="n">
        <x:v>3.24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Leiognathidae</x:v>
      </x:c>
      <x:c r="T4" s="32" t="n">
        <x:f>IF(O4="","",(1/'Metadata'!$B$5)^(O4-1))</x:f>
        <x:v>173.78008287493762</x:v>
      </x:c>
      <x:c r="U4" s="31" t="n">
        <x:f>IF(T4="","",I4*T4)</x:f>
        <x:v>75711165.24127913</x:v>
      </x:c>
    </x:row>
    <x:row r="5" ht="18" customHeight="1">
      <x:c r="A5" s="24" t="str">
        <x:v>EEZ_704</x:v>
      </x:c>
      <x:c r="B5" s="24" t="str">
        <x:v>Viet Nam</x:v>
      </x:c>
      <x:c r="C5" s="24" t="str">
        <x:v>EEZ</x:v>
      </x:c>
      <x:c r="D5" s="30" t="n">
        <x:v>2019</x:v>
      </x:c>
      <x:c r="E5" s="24" t="str">
        <x:v>Sparidae</x:v>
      </x:c>
      <x:c r="F5" s="24" t="str">
        <x:v>Porgies, seabreams</x:v>
      </x:c>
      <x:c r="G5" s="24" t="str">
        <x:v>Medium benthopelagics (30 - 89 cm)</x:v>
      </x:c>
      <x:c r="H5" s="24" t="str">
        <x:v>Perch-likes</x:v>
      </x:c>
      <x:c r="I5" s="31" t="n">
        <x:v>341380.76163105073</x:v>
      </x:c>
      <x:c r="J5" s="31" t="n">
        <x:v>238361.2976681547</x:v>
      </x:c>
      <x:c r="K5" s="31" t="n">
        <x:v>103019.463962896</x:v>
      </x:c>
      <x:c r="L5" s="31" t="n">
        <x:v>203222.00291443622</x:v>
      </x:c>
      <x:c r="M5" s="31" t="n">
        <x:v>138158.7587166145</x:v>
      </x:c>
      <x:c r="N5" s="24" t="str">
        <x:v>sparidae</x:v>
      </x:c>
      <x:c r="O5" s="32" t="n">
        <x:v>3.31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Sparidae</x:v>
      </x:c>
      <x:c r="T5" s="32" t="n">
        <x:f>IF(O5="","",(1/'Metadata'!$B$5)^(O5-1))</x:f>
        <x:v>204.17379446695296</x:v>
      </x:c>
      <x:c r="U5" s="31" t="n">
        <x:f>IF(T5="","",I5*T5)</x:f>
        <x:v>69701005.46023001</x:v>
      </x:c>
    </x:row>
    <x:row r="6" ht="18" customHeight="1">
      <x:c r="A6" s="24" t="str">
        <x:v>EEZ_704</x:v>
      </x:c>
      <x:c r="B6" s="24" t="str">
        <x:v>Viet Nam</x:v>
      </x:c>
      <x:c r="C6" s="24" t="str">
        <x:v>EEZ</x:v>
      </x:c>
      <x:c r="D6" s="30" t="n">
        <x:v>2019</x:v>
      </x:c>
      <x:c r="E6" s="24" t="str">
        <x:v>Scombroidei</x:v>
      </x:c>
      <x:c r="F6" s="24" t="str">
        <x:v>Tunas, bonitos, billfishes</x:v>
      </x:c>
      <x:c r="G6" s="24" t="str">
        <x:v>Large pelagics (&gt;=90 cm)</x:v>
      </x:c>
      <x:c r="H6" s="24" t="str">
        <x:v>Tuna &amp; billfishes</x:v>
      </x:c>
      <x:c r="I6" s="31" t="n">
        <x:v>334799.9999999998</x:v>
      </x:c>
      <x:c r="J6" s="31" t="n">
        <x:v>334799.9999999998</x:v>
      </x:c>
      <x:c r="K6" s="31" t="n">
        <x:v>0</x:v>
      </x:c>
      <x:c r="L6" s="31" t="n">
        <x:v>334799.9999999998</x:v>
      </x:c>
      <x:c r="M6" s="31" t="n">
        <x:v>0</x:v>
      </x:c>
      <x:c r="N6" s="24" t="str">
        <x:v>scombroidei</x:v>
      </x:c>
      <x:c r="O6" s="32" t="n">
        <x:v>4.2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Scombroidei</x:v>
      </x:c>
      <x:c r="T6" s="32" t="n">
        <x:f>IF(O6="","",(1/'Metadata'!$B$5)^(O6-1))</x:f>
        <x:v>1584.893192461114</x:v>
      </x:c>
      <x:c r="U6" s="31" t="n">
        <x:f>IF(T6="","",I6*T6)</x:f>
        <x:v>530622240.8359807</x:v>
      </x:c>
    </x:row>
    <x:row r="7" ht="18" customHeight="1">
      <x:c r="A7" s="24" t="str">
        <x:v>EEZ_704</x:v>
      </x:c>
      <x:c r="B7" s="24" t="str">
        <x:v>Viet Nam</x:v>
      </x:c>
      <x:c r="C7" s="24" t="str">
        <x:v>EEZ</x:v>
      </x:c>
      <x:c r="D7" s="30" t="n">
        <x:v>2019</x:v>
      </x:c>
      <x:c r="E7" s="24" t="str">
        <x:v>Carangidae</x:v>
      </x:c>
      <x:c r="F7" s="24" t="str">
        <x:v>Jacks, pompanos</x:v>
      </x:c>
      <x:c r="G7" s="24" t="str">
        <x:v>Medium pelagics (30 - 89 cm)</x:v>
      </x:c>
      <x:c r="H7" s="24" t="str">
        <x:v>Perch-likes</x:v>
      </x:c>
      <x:c r="I7" s="31" t="n">
        <x:v>326113.9809330676</x:v>
      </x:c>
      <x:c r="J7" s="31" t="n">
        <x:v>326113.9809330676</x:v>
      </x:c>
      <x:c r="K7" s="31" t="n">
        <x:v>0</x:v>
      </x:c>
      <x:c r="L7" s="31" t="n">
        <x:v>277090.0469999997</x:v>
      </x:c>
      <x:c r="M7" s="31" t="n">
        <x:v>49023.93393306791</x:v>
      </x:c>
      <x:c r="N7" s="24" t="str">
        <x:v>carangidae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Carangidae</x:v>
      </x:c>
      <x:c r="T7" s="32" t="n">
        <x:f>IF(O7="","",(1/'Metadata'!$B$5)^(O7-1))</x:f>
        <x:v>1122.018454301963</x:v>
      </x:c>
      <x:c r="U7" s="31" t="n">
        <x:f>IF(T7="","",I7*T7)</x:f>
        <x:v>365905904.8127803</x:v>
      </x:c>
    </x:row>
    <x:row r="8" ht="18" customHeight="1">
      <x:c r="A8" s="24" t="str">
        <x:v>EEZ_704</x:v>
      </x:c>
      <x:c r="B8" s="24" t="str">
        <x:v>Viet Nam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256025.6939634294</x:v>
      </x:c>
      <x:c r="J8" s="31" t="n">
        <x:v>256025.6939634294</x:v>
      </x:c>
      <x:c r="K8" s="31" t="n">
        <x:v>0</x:v>
      </x:c>
      <x:c r="L8" s="31" t="n">
        <x:v>216752.4911573524</x:v>
      </x:c>
      <x:c r="M8" s="31" t="n">
        <x:v>39273.202806077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465890175.1314691</x:v>
      </x:c>
    </x:row>
    <x:row r="9" ht="18" customHeight="1">
      <x:c r="A9" s="24" t="str">
        <x:v>EEZ_704</x:v>
      </x:c>
      <x:c r="B9" s="24" t="str">
        <x:v>Viet Nam</x:v>
      </x:c>
      <x:c r="C9" s="24" t="str">
        <x:v>EEZ</x:v>
      </x:c>
      <x:c r="D9" s="30" t="n">
        <x:v>2019</x:v>
      </x:c>
      <x:c r="E9" s="24" t="str">
        <x:v>Sciaenidae</x:v>
      </x:c>
      <x:c r="F9" s="24" t="str">
        <x:v>Drums, croakers</x:v>
      </x:c>
      <x:c r="G9" s="24" t="str">
        <x:v>Medium demersals (30 - 89 cm)</x:v>
      </x:c>
      <x:c r="H9" s="24" t="str">
        <x:v>Perch-likes</x:v>
      </x:c>
      <x:c r="I9" s="31" t="n">
        <x:v>218756.03932895028</x:v>
      </x:c>
      <x:c r="J9" s="31" t="n">
        <x:v>179133.1685739901</x:v>
      </x:c>
      <x:c r="K9" s="31" t="n">
        <x:v>39622.8707549602</x:v>
      </x:c>
      <x:c r="L9" s="31" t="n">
        <x:v>149269.2243698906</x:v>
      </x:c>
      <x:c r="M9" s="31" t="n">
        <x:v>69486.8149590597</x:v>
      </x:c>
      <x:c r="N9" s="24" t="str">
        <x:v>sciaenidae</x:v>
      </x:c>
      <x:c r="O9" s="32" t="n">
        <x:v>3.76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Sciaenidae</x:v>
      </x:c>
      <x:c r="T9" s="32" t="n">
        <x:f>IF(O9="","",(1/'Metadata'!$B$5)^(O9-1))</x:f>
        <x:v>575.4399373371566</x:v>
      </x:c>
      <x:c r="U9" s="31" t="n">
        <x:f>IF(T9="","",I9*T9)</x:f>
        <x:v>125880961.56357571</x:v>
      </x:c>
    </x:row>
    <x:row r="10" ht="18" customHeight="1">
      <x:c r="A10" s="24" t="str">
        <x:v>EEZ_704</x:v>
      </x:c>
      <x:c r="B10" s="24" t="str">
        <x:v>Viet Nam</x:v>
      </x:c>
      <x:c r="C10" s="24" t="str">
        <x:v>EEZ</x:v>
      </x:c>
      <x:c r="D10" s="30" t="n">
        <x:v>2019</x:v>
      </x:c>
      <x:c r="E10" s="24" t="str">
        <x:v>Loliginidae</x:v>
      </x:c>
      <x:c r="F10" s="24" t="str">
        <x:v>Common pencil squids</x:v>
      </x:c>
      <x:c r="G10" s="24" t="str">
        <x:v>Cephalopods</x:v>
      </x:c>
      <x:c r="H10" s="24" t="str">
        <x:v>Other fishes &amp; inverts</x:v>
      </x:c>
      <x:c r="I10" s="31" t="n">
        <x:v>202879.5700804013</x:v>
      </x:c>
      <x:c r="J10" s="31" t="n">
        <x:v>202879.5700804013</x:v>
      </x:c>
      <x:c r="K10" s="31" t="n">
        <x:v>0</x:v>
      </x:c>
      <x:c r="L10" s="31" t="n">
        <x:v>167261.8500000003</x:v>
      </x:c>
      <x:c r="M10" s="31" t="n">
        <x:v>35617.720080401</x:v>
      </x:c>
      <x:c r="N10" s="24" t="str">
        <x:v>loliginidae</x:v>
      </x:c>
      <x:c r="O10" s="32" t="n">
        <x:v>3.9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Loliginidae</x:v>
      </x:c>
      <x:c r="T10" s="32" t="n">
        <x:f>IF(O10="","",(1/'Metadata'!$B$5)^(O10-1))</x:f>
        <x:v>794.3282347242813</x:v>
      </x:c>
      <x:c r="U10" s="31" t="n">
        <x:f>IF(T10="","",I10*T10)</x:f>
        <x:v>161152970.76358628</x:v>
      </x:c>
    </x:row>
    <x:row r="11" ht="18" customHeight="1">
      <x:c r="A11" s="24" t="str">
        <x:v>EEZ_704</x:v>
      </x:c>
      <x:c r="B11" s="24" t="str">
        <x:v>Viet Nam</x:v>
      </x:c>
      <x:c r="C11" s="24" t="str">
        <x:v>EEZ</x:v>
      </x:c>
      <x:c r="D11" s="30" t="n">
        <x:v>2019</x:v>
      </x:c>
      <x:c r="E11" s="24" t="str">
        <x:v>Sepiidae</x:v>
      </x:c>
      <x:c r="F11" s="24" t="str">
        <x:v>Cuttlefishes</x:v>
      </x:c>
      <x:c r="G11" s="24" t="str">
        <x:v>Cephalopods</x:v>
      </x:c>
      <x:c r="H11" s="24" t="str">
        <x:v>Other fishes &amp; inverts</x:v>
      </x:c>
      <x:c r="I11" s="31" t="n">
        <x:v>189862.4417733455</x:v>
      </x:c>
      <x:c r="J11" s="31" t="n">
        <x:v>189862.4417733455</x:v>
      </x:c>
      <x:c r="K11" s="31" t="n">
        <x:v>0</x:v>
      </x:c>
      <x:c r="L11" s="31" t="n">
        <x:v>156111.06000000008</x:v>
      </x:c>
      <x:c r="M11" s="31" t="n">
        <x:v>33751.3817733454</x:v>
      </x:c>
      <x:c r="N11" s="24" t="str">
        <x:v>sepiidae</x:v>
      </x:c>
      <x:c r="O11" s="32" t="n">
        <x:v>3.6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Sepiidae</x:v>
      </x:c>
      <x:c r="T11" s="32" t="n">
        <x:f>IF(O11="","",(1/'Metadata'!$B$5)^(O11-1))</x:f>
        <x:v>398.1071705534973</x:v>
      </x:c>
      <x:c r="U11" s="31" t="n">
        <x:f>IF(T11="","",I11*T11)</x:f>
        <x:v>75585599.4887647</x:v>
      </x:c>
    </x:row>
    <x:row r="12" ht="18" customHeight="1">
      <x:c r="A12" s="24" t="str">
        <x:v>EEZ_704</x:v>
      </x:c>
      <x:c r="B12" s="24" t="str">
        <x:v>Viet Nam</x:v>
      </x:c>
      <x:c r="C12" s="24" t="str">
        <x:v>EEZ</x:v>
      </x:c>
      <x:c r="D12" s="30" t="n">
        <x:v>2019</x:v>
      </x:c>
      <x:c r="E12" s="24" t="str">
        <x:v>Marine fishes not identified</x:v>
      </x:c>
      <x:c r="F12" s="24" t="str">
        <x:v>Marine fishes nei</x:v>
      </x:c>
      <x:c r="G12" s="24" t="str">
        <x:v>Medium demersals (30 - 89 cm)</x:v>
      </x:c>
      <x:c r="H12" s="24" t="str">
        <x:v>Other fishes &amp; inverts</x:v>
      </x:c>
      <x:c r="I12" s="31" t="n">
        <x:v>155992.8841074474</x:v>
      </x:c>
      <x:c r="J12" s="31" t="n">
        <x:v>151314.5977972747</x:v>
      </x:c>
      <x:c r="K12" s="31" t="n">
        <x:v>4678.2863101727</x:v>
      </x:c>
      <x:c r="L12" s="31" t="n">
        <x:v>59597.4073169279</x:v>
      </x:c>
      <x:c r="M12" s="31" t="n">
        <x:v>96395.4767905195</x:v>
      </x:c>
      <x:c r="N12" s="24" t="str">
        <x:v>marine fishes not identified</x:v>
      </x:c>
      <x:c r="O12" s="32" t="n">
        <x:v>3.28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fishes not identified</x:v>
      </x:c>
      <x:c r="T12" s="32" t="n">
        <x:f>IF(O12="","",(1/'Metadata'!$B$5)^(O12-1))</x:f>
        <x:v>190.54607179632464</x:v>
      </x:c>
      <x:c r="U12" s="31" t="n">
        <x:f>IF(T12="","",I12*T12)</x:f>
        <x:v>29723831.294853423</x:v>
      </x:c>
    </x:row>
    <x:row r="13" ht="18" customHeight="1">
      <x:c r="A13" s="24" t="str">
        <x:v>EEZ_704</x:v>
      </x:c>
      <x:c r="B13" s="24" t="str">
        <x:v>Viet Nam</x:v>
      </x:c>
      <x:c r="C13" s="24" t="str">
        <x:v>EEZ</x:v>
      </x:c>
      <x:c r="D13" s="30" t="n">
        <x:v>2019</x:v>
      </x:c>
      <x:c r="E13" s="24" t="str">
        <x:v>Nemipterus</x:v>
      </x:c>
      <x:c r="F13" s="24" t="str">
        <x:v>Threadfin breams</x:v>
      </x:c>
      <x:c r="G13" s="24" t="str">
        <x:v>Small demersals (&lt;30 cm)</x:v>
      </x:c>
      <x:c r="H13" s="24" t="str">
        <x:v>Perch-likes</x:v>
      </x:c>
      <x:c r="I13" s="31" t="n">
        <x:v>151959.327846235</x:v>
      </x:c>
      <x:c r="J13" s="31" t="n">
        <x:v>151959.327846235</x:v>
      </x:c>
      <x:c r="K13" s="31" t="n">
        <x:v>0</x:v>
      </x:c>
      <x:c r="L13" s="31" t="n">
        <x:v>133132.8768814812</x:v>
      </x:c>
      <x:c r="M13" s="31" t="n">
        <x:v>18826.4509647538</x:v>
      </x:c>
      <x:c r="N13" s="24" t="str">
        <x:v>nemipterus</x:v>
      </x:c>
      <x:c r="O13" s="32" t="n">
        <x:v>3.72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Nemipterus</x:v>
      </x:c>
      <x:c r="T13" s="32" t="n">
        <x:f>IF(O13="","",(1/'Metadata'!$B$5)^(O13-1))</x:f>
        <x:v>524.8074602497728</x:v>
      </x:c>
      <x:c r="U13" s="31" t="n">
        <x:f>IF(T13="","",I13*T13)</x:f>
        <x:v>79749388.90824518</x:v>
      </x:c>
    </x:row>
    <x:row r="14" ht="18" customHeight="1">
      <x:c r="A14" s="24" t="str">
        <x:v>EEZ_704</x:v>
      </x:c>
      <x:c r="B14" s="24" t="str">
        <x:v>Viet Nam</x:v>
      </x:c>
      <x:c r="C14" s="24" t="str">
        <x:v>EEZ</x:v>
      </x:c>
      <x:c r="D14" s="30" t="n">
        <x:v>2019</x:v>
      </x:c>
      <x:c r="E14" s="24" t="str">
        <x:v>Priacanthidae</x:v>
      </x:c>
      <x:c r="F14" s="24" t="str">
        <x:v>Bigeyes, catalufas</x:v>
      </x:c>
      <x:c r="G14" s="24" t="str">
        <x:v>Medium reef assoc. fish (30 - 89 cm)</x:v>
      </x:c>
      <x:c r="H14" s="24" t="str">
        <x:v>Perch-likes</x:v>
      </x:c>
      <x:c r="I14" s="31" t="n">
        <x:v>139941.0445065539</x:v>
      </x:c>
      <x:c r="J14" s="31" t="n">
        <x:v>100318.1737515937</x:v>
      </x:c>
      <x:c r="K14" s="31" t="n">
        <x:v>39622.8707549602</x:v>
      </x:c>
      <x:c r="L14" s="31" t="n">
        <x:v>85258.4760000001</x:v>
      </x:c>
      <x:c r="M14" s="31" t="n">
        <x:v>54682.5685065538</x:v>
      </x:c>
      <x:c r="N14" s="24" t="str">
        <x:v>priacanthidae</x:v>
      </x:c>
      <x:c r="O14" s="32" t="n">
        <x:v>3.79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Priacanthidae</x:v>
      </x:c>
      <x:c r="T14" s="32" t="n">
        <x:f>IF(O14="","",(1/'Metadata'!$B$5)^(O14-1))</x:f>
        <x:v>616.5950018614822</x:v>
      </x:c>
      <x:c r="U14" s="31" t="n">
        <x:f>IF(T14="","",I14*T14)</x:f>
        <x:v>86286948.59801637</x:v>
      </x:c>
    </x:row>
    <x:row r="15" ht="18" customHeight="1">
      <x:c r="A15" s="24" t="str">
        <x:v>EEZ_704</x:v>
      </x:c>
      <x:c r="B15" s="24" t="str">
        <x:v>Viet Nam</x:v>
      </x:c>
      <x:c r="C15" s="24" t="str">
        <x:v>EEZ</x:v>
      </x:c>
      <x:c r="D15" s="30" t="n">
        <x:v>2019</x:v>
      </x:c>
      <x:c r="E15" s="24" t="str">
        <x:v>Clupeidae</x:v>
      </x:c>
      <x:c r="F15" s="24" t="str">
        <x:v>Herrings, sardines, menhadens</x:v>
      </x:c>
      <x:c r="G15" s="24" t="str">
        <x:v>Small pelagics (&lt;30 cm)</x:v>
      </x:c>
      <x:c r="H15" s="24" t="str">
        <x:v>Herring-likes</x:v>
      </x:c>
      <x:c r="I15" s="31" t="n">
        <x:v>112074.8851311117</x:v>
      </x:c>
      <x:c r="J15" s="31" t="n">
        <x:v>72452.0143761515</x:v>
      </x:c>
      <x:c r="K15" s="31" t="n">
        <x:v>39622.8707549602</x:v>
      </x:c>
      <x:c r="L15" s="31" t="n">
        <x:v>61575.5660000003</x:v>
      </x:c>
      <x:c r="M15" s="31" t="n">
        <x:v>50499.3191311114</x:v>
      </x:c>
      <x:c r="N15" s="24" t="str">
        <x:v>clupeidae</x:v>
      </x:c>
      <x:c r="O15" s="32" t="n">
        <x:v>3.16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Clupeidae</x:v>
      </x:c>
      <x:c r="T15" s="32" t="n">
        <x:f>IF(O15="","",(1/'Metadata'!$B$5)^(O15-1))</x:f>
        <x:v>144.5439770745928</x:v>
      </x:c>
      <x:c r="U15" s="31" t="n">
        <x:f>IF(T15="","",I15*T15)</x:f>
        <x:v>16199749.62702903</x:v>
      </x:c>
    </x:row>
    <x:row r="16" ht="18" customHeight="1">
      <x:c r="A16" s="24" t="str">
        <x:v>EEZ_704</x:v>
      </x:c>
      <x:c r="B16" s="24" t="str">
        <x:v>Viet Nam</x:v>
      </x:c>
      <x:c r="C16" s="24" t="str">
        <x:v>EEZ</x:v>
      </x:c>
      <x:c r="D16" s="30" t="n">
        <x:v>2019</x:v>
      </x:c>
      <x:c r="E16" s="24" t="str">
        <x:v>Alepes</x:v>
      </x:c>
      <x:c r="F16" s="24" t="str">
        <x:v>Crevalles</x:v>
      </x:c>
      <x:c r="G16" s="24" t="str">
        <x:v>Medium reef assoc. fish (30 - 89 cm)</x:v>
      </x:c>
      <x:c r="H16" s="24" t="str">
        <x:v>Perch-likes</x:v>
      </x:c>
      <x:c r="I16" s="31" t="n">
        <x:v>81461.5978094219</x:v>
      </x:c>
      <x:c r="J16" s="31" t="n">
        <x:v>81461.5978094219</x:v>
      </x:c>
      <x:c r="K16" s="31" t="n">
        <x:v>0</x:v>
      </x:c>
      <x:c r="L16" s="31" t="n">
        <x:v>81461.5978094219</x:v>
      </x:c>
      <x:c r="M16" s="31" t="n">
        <x:v>0</x:v>
      </x:c>
      <x:c r="N16" s="24" t="str">
        <x:v>alepes</x:v>
      </x:c>
      <x:c r="O16" s="32" t="n">
        <x:v>3.32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Alepes</x:v>
      </x:c>
      <x:c r="T16" s="32" t="n">
        <x:f>IF(O16="","",(1/'Metadata'!$B$5)^(O16-1))</x:f>
        <x:v>208.92961308540387</x:v>
      </x:c>
      <x:c r="U16" s="31" t="n">
        <x:f>IF(T16="","",I16*T16)</x:f>
        <x:v>17019740.111641303</x:v>
      </x:c>
    </x:row>
    <x:row r="17" ht="18" customHeight="1">
      <x:c r="A17" s="24" t="str">
        <x:v>EEZ_704</x:v>
      </x:c>
      <x:c r="B17" s="24" t="str">
        <x:v>Viet Nam</x:v>
      </x:c>
      <x:c r="C17" s="24" t="str">
        <x:v>EEZ</x:v>
      </x:c>
      <x:c r="D17" s="30" t="n">
        <x:v>2019</x:v>
      </x:c>
      <x:c r="E17" s="24" t="str">
        <x:v>Portunus pelagicus</x:v>
      </x:c>
      <x:c r="F17" s="24" t="str">
        <x:v>Blue swimming crab</x:v>
      </x:c>
      <x:c r="G17" s="24" t="str">
        <x:v>Lobsters, crabs</x:v>
      </x:c>
      <x:c r="H17" s="24" t="str">
        <x:v>Crustaceans</x:v>
      </x:c>
      <x:c r="I17" s="31" t="n">
        <x:v>76288.9116099838</x:v>
      </x:c>
      <x:c r="J17" s="31" t="n">
        <x:v>76288.9116099838</x:v>
      </x:c>
      <x:c r="K17" s="31" t="n">
        <x:v>0</x:v>
      </x:c>
      <x:c r="L17" s="31" t="n">
        <x:v>56213.7481712051</x:v>
      </x:c>
      <x:c r="M17" s="31" t="n">
        <x:v>20075.163438778698</x:v>
      </x:c>
      <x:c r="N17" s="24" t="str">
        <x:v>portunus pelagicus</x:v>
      </x:c>
      <x:c r="O17" s="32" t="n">
        <x:v>2.48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Portunus pelagicus</x:v>
      </x:c>
      <x:c r="T17" s="32" t="n">
        <x:f>IF(O17="","",(1/'Metadata'!$B$5)^(O17-1))</x:f>
        <x:v>30.19951720402016</x:v>
      </x:c>
      <x:c r="U17" s="31" t="n">
        <x:f>IF(T17="","",I17*T17)</x:f>
        <x:v>2303888.2986416793</x:v>
      </x:c>
    </x:row>
    <x:row r="18" ht="18" customHeight="1">
      <x:c r="A18" s="24" t="str">
        <x:v>EEZ_704</x:v>
      </x:c>
      <x:c r="B18" s="24" t="str">
        <x:v>Viet Nam</x:v>
      </x:c>
      <x:c r="C18" s="24" t="str">
        <x:v>EEZ</x:v>
      </x:c>
      <x:c r="D18" s="30" t="n">
        <x:v>2019</x:v>
      </x:c>
      <x:c r="E18" s="24" t="str">
        <x:v>Priacanthus</x:v>
      </x:c>
      <x:c r="F18" s="24" t="str">
        <x:v>Bigeyes</x:v>
      </x:c>
      <x:c r="G18" s="24" t="str">
        <x:v>Medium reef assoc. fish (30 - 89 cm)</x:v>
      </x:c>
      <x:c r="H18" s="24" t="str">
        <x:v>Perch-likes</x:v>
      </x:c>
      <x:c r="I18" s="31" t="n">
        <x:v>75937.2384381325</x:v>
      </x:c>
      <x:c r="J18" s="31" t="n">
        <x:v>75937.2384381325</x:v>
      </x:c>
      <x:c r="K18" s="31" t="n">
        <x:v>0</x:v>
      </x:c>
      <x:c r="L18" s="31" t="n">
        <x:v>75264.2879800001</x:v>
      </x:c>
      <x:c r="M18" s="31" t="n">
        <x:v>672.9504581324001</x:v>
      </x:c>
      <x:c r="N18" s="24" t="str">
        <x:v>priacanthus</x:v>
      </x:c>
      <x:c r="O18" s="32" t="n">
        <x:v>3.81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Priacanthus</x:v>
      </x:c>
      <x:c r="T18" s="32" t="n">
        <x:f>IF(O18="","",(1/'Metadata'!$B$5)^(O18-1))</x:f>
        <x:v>645.6542290346556</x:v>
      </x:c>
      <x:c r="U18" s="31" t="n">
        <x:f>IF(T18="","",I18*T18)</x:f>
        <x:v>49029199.13879325</x:v>
      </x:c>
    </x:row>
    <x:row r="19" ht="18" customHeight="1">
      <x:c r="A19" s="24" t="str">
        <x:v>EEZ_704</x:v>
      </x:c>
      <x:c r="B19" s="24" t="str">
        <x:v>Viet Nam</x:v>
      </x:c>
      <x:c r="C19" s="24" t="str">
        <x:v>EEZ</x:v>
      </x:c>
      <x:c r="D19" s="30" t="n">
        <x:v>2019</x:v>
      </x:c>
      <x:c r="E19" s="24" t="str">
        <x:v>Engraulidae</x:v>
      </x:c>
      <x:c r="F19" s="24" t="str">
        <x:v>Anchovies, round herrings</x:v>
      </x:c>
      <x:c r="G19" s="24" t="str">
        <x:v>Small pelagics (&lt;30 cm)</x:v>
      </x:c>
      <x:c r="H19" s="24" t="str">
        <x:v>Anchovies</x:v>
      </x:c>
      <x:c r="I19" s="31" t="n">
        <x:v>72452.0143761509</x:v>
      </x:c>
      <x:c r="J19" s="31" t="n">
        <x:v>72452.0143761509</x:v>
      </x:c>
      <x:c r="K19" s="31" t="n">
        <x:v>0</x:v>
      </x:c>
      <x:c r="L19" s="31" t="n">
        <x:v>61575.5659999999</x:v>
      </x:c>
      <x:c r="M19" s="31" t="n">
        <x:v>10876.448376150998</x:v>
      </x:c>
      <x:c r="N19" s="24" t="str">
        <x:v>engraulidae</x:v>
      </x:c>
      <x:c r="O19" s="32" t="n">
        <x:v>3.2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Engraulidae</x:v>
      </x:c>
      <x:c r="T19" s="32" t="n">
        <x:f>IF(O19="","",(1/'Metadata'!$B$5)^(O19-1))</x:f>
        <x:v>158.48931924611142</x:v>
      </x:c>
      <x:c r="U19" s="31" t="n">
        <x:f>IF(T19="","",I19*T19)</x:f>
        <x:v>11482870.436485633</x:v>
      </x:c>
    </x:row>
    <x:row r="20" ht="18" customHeight="1">
      <x:c r="A20" s="24" t="str">
        <x:v>EEZ_704</x:v>
      </x:c>
      <x:c r="B20" s="24" t="str">
        <x:v>Viet Nam</x:v>
      </x:c>
      <x:c r="C20" s="24" t="str">
        <x:v>EEZ</x:v>
      </x:c>
      <x:c r="D20" s="30" t="n">
        <x:v>2019</x:v>
      </x:c>
      <x:c r="E20" s="24" t="str">
        <x:v>Ariidae</x:v>
      </x:c>
      <x:c r="F20" s="24" t="str">
        <x:v>Sea catfishes, coblers</x:v>
      </x:c>
      <x:c r="G20" s="24" t="str">
        <x:v>Medium demersals (30 - 89 cm)</x:v>
      </x:c>
      <x:c r="H20" s="24" t="str">
        <x:v>Other fishes &amp; inverts</x:v>
      </x:c>
      <x:c r="I20" s="31" t="n">
        <x:v>66369.3996327081</x:v>
      </x:c>
      <x:c r="J20" s="31" t="n">
        <x:v>50520.2513307241</x:v>
      </x:c>
      <x:c r="K20" s="31" t="n">
        <x:v>15849.148301984</x:v>
      </x:c>
      <x:c r="L20" s="31" t="n">
        <x:v>42629.2380000002</x:v>
      </x:c>
      <x:c r="M20" s="31" t="n">
        <x:v>23740.1616327079</x:v>
      </x:c>
      <x:c r="N20" s="24" t="str">
        <x:v>ariidae</x:v>
      </x:c>
      <x:c r="O20" s="32" t="n">
        <x:v>3.48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Ariidae</x:v>
      </x:c>
      <x:c r="T20" s="32" t="n">
        <x:f>IF(O20="","",(1/'Metadata'!$B$5)^(O20-1))</x:f>
        <x:v>301.9951720402016</x:v>
      </x:c>
      <x:c r="U20" s="31" t="n">
        <x:f>IF(T20="","",I20*T20)</x:f>
        <x:v>20043238.260284577</x:v>
      </x:c>
    </x:row>
    <x:row r="21" ht="18" customHeight="1">
      <x:c r="A21" s="24" t="str">
        <x:v>EEZ_704</x:v>
      </x:c>
      <x:c r="B21" s="24" t="str">
        <x:v>Viet Nam</x:v>
      </x:c>
      <x:c r="C21" s="24" t="str">
        <x:v>EEZ</x:v>
      </x:c>
      <x:c r="D21" s="30" t="n">
        <x:v>2019</x:v>
      </x:c>
      <x:c r="E21" s="24" t="str">
        <x:v>Mullidae</x:v>
      </x:c>
      <x:c r="F21" s="24" t="str">
        <x:v>Goatfishes</x:v>
      </x:c>
      <x:c r="G21" s="24" t="str">
        <x:v>Medium reef assoc. fish (30 - 89 cm)</x:v>
      </x:c>
      <x:c r="H21" s="24" t="str">
        <x:v>Perch-likes</x:v>
      </x:c>
      <x:c r="I21" s="31" t="n">
        <x:v>66183.61727044541</x:v>
      </x:c>
      <x:c r="J21" s="31" t="n">
        <x:v>50334.4689684614</x:v>
      </x:c>
      <x:c r="K21" s="31" t="n">
        <x:v>15849.148301984</x:v>
      </x:c>
      <x:c r="L21" s="31" t="n">
        <x:v>42629.2380000002</x:v>
      </x:c>
      <x:c r="M21" s="31" t="n">
        <x:v>23554.3792704452</x:v>
      </x:c>
      <x:c r="N21" s="24" t="str">
        <x:v>mullidae</x:v>
      </x:c>
      <x:c r="O21" s="32" t="n">
        <x:v>3.46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Mullidae</x:v>
      </x:c>
      <x:c r="T21" s="32" t="n">
        <x:f>IF(O21="","",(1/'Metadata'!$B$5)^(O21-1))</x:f>
        <x:v>288.40315031266056</x:v>
      </x:c>
      <x:c r="U21" s="31" t="n">
        <x:f>IF(T21="","",I21*T21)</x:f>
        <x:v>19087563.719883863</x:v>
      </x:c>
    </x:row>
    <x:row r="22" ht="18" customHeight="1">
      <x:c r="A22" s="24" t="str">
        <x:v>EEZ_704</x:v>
      </x:c>
      <x:c r="B22" s="24" t="str">
        <x:v>Viet Nam</x:v>
      </x:c>
      <x:c r="C22" s="24" t="str">
        <x:v>EEZ</x:v>
      </x:c>
      <x:c r="D22" s="30" t="n">
        <x:v>2019</x:v>
      </x:c>
      <x:c r="E22" s="24" t="str">
        <x:v>Octopodidae</x:v>
      </x:c>
      <x:c r="F22" s="24" t="str">
        <x:v>Octopuses</x:v>
      </x:c>
      <x:c r="G22" s="24" t="str">
        <x:v>Cephalopods</x:v>
      </x:c>
      <x:c r="H22" s="24" t="str">
        <x:v>Other fishes &amp; inverts</x:v>
      </x:c>
      <x:c r="I22" s="31" t="n">
        <x:v>58609.2048832126</x:v>
      </x:c>
      <x:c r="J22" s="31" t="n">
        <x:v>58609.2048832126</x:v>
      </x:c>
      <x:c r="K22" s="31" t="n">
        <x:v>0</x:v>
      </x:c>
      <x:c r="L22" s="31" t="n">
        <x:v>48320.0899999999</x:v>
      </x:c>
      <x:c r="M22" s="31" t="n">
        <x:v>10289.1148832127</x:v>
      </x:c>
      <x:c r="N22" s="24" t="str">
        <x:v>octopodidae</x:v>
      </x:c>
      <x:c r="O22" s="32" t="n">
        <x:v>3.59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Octopodidae</x:v>
      </x:c>
      <x:c r="T22" s="32" t="n">
        <x:f>IF(O22="","",(1/'Metadata'!$B$5)^(O22-1))</x:f>
        <x:v>389.04514499428046</x:v>
      </x:c>
      <x:c r="U22" s="31" t="n">
        <x:f>IF(T22="","",I22*T22)</x:f>
        <x:v>22801626.611788936</x:v>
      </x:c>
    </x:row>
    <x:row r="23" ht="18" customHeight="1">
      <x:c r="A23" s="24" t="str">
        <x:v>EEZ_704</x:v>
      </x:c>
      <x:c r="B23" s="24" t="str">
        <x:v>Viet Nam</x:v>
      </x:c>
      <x:c r="C23" s="24" t="str">
        <x:v>EEZ</x:v>
      </x:c>
      <x:c r="D23" s="30" t="n">
        <x:v>2019</x:v>
      </x:c>
      <x:c r="E23" s="24" t="str">
        <x:v>Trichiurus lepturus</x:v>
      </x:c>
      <x:c r="F23" s="24" t="str">
        <x:v>Largehead hairtail</x:v>
      </x:c>
      <x:c r="G23" s="24" t="str">
        <x:v>Large benthopelagics (&gt;=90 cm)</x:v>
      </x:c>
      <x:c r="H23" s="24" t="str">
        <x:v>Perch-likes</x:v>
      </x:c>
      <x:c r="I23" s="31" t="n">
        <x:v>47045.951447753505</x:v>
      </x:c>
      <x:c r="J23" s="31" t="n">
        <x:v>47045.951447753505</x:v>
      </x:c>
      <x:c r="K23" s="31" t="n">
        <x:v>0</x:v>
      </x:c>
      <x:c r="L23" s="31" t="n">
        <x:v>47045.951447753505</x:v>
      </x:c>
      <x:c r="M23" s="31" t="n">
        <x:v>0</x:v>
      </x:c>
      <x:c r="N23" s="24" t="str">
        <x:v>trichiurus lepturus</x:v>
      </x:c>
      <x:c r="O23" s="32" t="n">
        <x:v>4.42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Trichiurus lepturus</x:v>
      </x:c>
      <x:c r="T23" s="32" t="n">
        <x:f>IF(O23="","",(1/'Metadata'!$B$5)^(O23-1))</x:f>
        <x:v>2630.2679918953813</x:v>
      </x:c>
      <x:c r="U23" s="31" t="n">
        <x:f>IF(T23="","",I23*T23)</x:f>
        <x:v>123743460.24129023</x:v>
      </x:c>
    </x:row>
    <x:row r="24" ht="18" customHeight="1">
      <x:c r="A24" s="24" t="str">
        <x:v>EEZ_704</x:v>
      </x:c>
      <x:c r="B24" s="24" t="str">
        <x:v>Viet Nam</x:v>
      </x:c>
      <x:c r="C24" s="24" t="str">
        <x:v>EEZ</x:v>
      </x:c>
      <x:c r="D24" s="30" t="n">
        <x:v>2019</x:v>
      </x:c>
      <x:c r="E24" s="24" t="str">
        <x:v>Dendrobranchiata</x:v>
      </x:c>
      <x:c r="F24" s="24" t="str">
        <x:v>Shrimps and prawns</x:v>
      </x:c>
      <x:c r="G24" s="24" t="str">
        <x:v>Shrimps</x:v>
      </x:c>
      <x:c r="H24" s="24" t="str">
        <x:v>Crustaceans</x:v>
      </x:c>
      <x:c r="I24" s="31" t="n">
        <x:v>44345.4813771896</x:v>
      </x:c>
      <x:c r="J24" s="31" t="n">
        <x:v>44345.4813771896</x:v>
      </x:c>
      <x:c r="K24" s="31" t="n">
        <x:v>0</x:v>
      </x:c>
      <x:c r="L24" s="31" t="n">
        <x:v>8644.521158129</x:v>
      </x:c>
      <x:c r="M24" s="31" t="n">
        <x:v>35700.9602190606</x:v>
      </x:c>
      <x:c r="N24" s="24" t="str">
        <x:v>dendrobranchiata</x:v>
      </x:c>
      <x:c r="O24" s="32" t="n">
        <x:v>3.24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Dendrobranchiata</x:v>
      </x:c>
      <x:c r="T24" s="32" t="n">
        <x:f>IF(O24="","",(1/'Metadata'!$B$5)^(O24-1))</x:f>
        <x:v>173.78008287493762</x:v>
      </x:c>
      <x:c r="U24" s="31" t="n">
        <x:f>IF(T24="","",I24*T24)</x:f>
        <x:v>7706361.428857012</x:v>
      </x:c>
    </x:row>
    <x:row r="25" ht="18" customHeight="1">
      <x:c r="A25" s="24" t="str">
        <x:v>EEZ_704</x:v>
      </x:c>
      <x:c r="B25" s="24" t="str">
        <x:v>Viet Nam</x:v>
      </x:c>
      <x:c r="C25" s="24" t="str">
        <x:v>EEZ</x:v>
      </x:c>
      <x:c r="D25" s="30" t="n">
        <x:v>2019</x:v>
      </x:c>
      <x:c r="E25" s="24" t="str">
        <x:v>Penaeidae</x:v>
      </x:c>
      <x:c r="F25" s="24" t="str">
        <x:v>Commercial shrimps and prawns</x:v>
      </x:c>
      <x:c r="G25" s="24" t="str">
        <x:v>Shrimps</x:v>
      </x:c>
      <x:c r="H25" s="24" t="str">
        <x:v>Crustaceans</x:v>
      </x:c>
      <x:c r="I25" s="31" t="n">
        <x:v>42929.7416926807</x:v>
      </x:c>
      <x:c r="J25" s="31" t="n">
        <x:v>42929.7416926807</x:v>
      </x:c>
      <x:c r="K25" s="31" t="n">
        <x:v>0</x:v>
      </x:c>
      <x:c r="L25" s="31" t="n">
        <x:v>7295.4788418707</x:v>
      </x:c>
      <x:c r="M25" s="31" t="n">
        <x:v>35634.26285081</x:v>
      </x:c>
      <x:c r="N25" s="24" t="str">
        <x:v>penaeidae</x:v>
      </x:c>
      <x:c r="O25" s="32" t="n">
        <x:v>3.31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Penaeidae</x:v>
      </x:c>
      <x:c r="T25" s="32" t="n">
        <x:f>IF(O25="","",(1/'Metadata'!$B$5)^(O25-1))</x:f>
        <x:v>204.17379446695296</x:v>
      </x:c>
      <x:c r="U25" s="31" t="n">
        <x:f>IF(T25="","",I25*T25)</x:f>
        <x:v>8765128.25688077</x:v>
      </x:c>
    </x:row>
    <x:row r="26" ht="18" customHeight="1">
      <x:c r="A26" s="24" t="str">
        <x:v>EEZ_704</x:v>
      </x:c>
      <x:c r="B26" s="24" t="str">
        <x:v>Viet Nam</x:v>
      </x:c>
      <x:c r="C26" s="24" t="str">
        <x:v>EEZ</x:v>
      </x:c>
      <x:c r="D26" s="30" t="n">
        <x:v>2019</x:v>
      </x:c>
      <x:c r="E26" s="24" t="str">
        <x:v>Rastrelliger kanagurta</x:v>
      </x:c>
      <x:c r="F26" s="24" t="str">
        <x:v>Indian mackerel</x:v>
      </x:c>
      <x:c r="G26" s="24" t="str">
        <x:v>Medium pelagics (30 - 89 cm)</x:v>
      </x:c>
      <x:c r="H26" s="24" t="str">
        <x:v>Perch-likes</x:v>
      </x:c>
      <x:c r="I26" s="31" t="n">
        <x:v>39622.8707549602</x:v>
      </x:c>
      <x:c r="J26" s="31" t="n">
        <x:v>0</x:v>
      </x:c>
      <x:c r="K26" s="31" t="n">
        <x:v>39622.8707549602</x:v>
      </x:c>
      <x:c r="L26" s="31" t="n">
        <x:v>0</x:v>
      </x:c>
      <x:c r="M26" s="31" t="n">
        <x:v>39622.8707549602</x:v>
      </x:c>
      <x:c r="N26" s="24" t="str">
        <x:v>rastrelliger kanagurta</x:v>
      </x:c>
      <x:c r="O26" s="32" t="n">
        <x:v>3.19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Rastrelliger kanagurta</x:v>
      </x:c>
      <x:c r="T26" s="32" t="n">
        <x:f>IF(O26="","",(1/'Metadata'!$B$5)^(O26-1))</x:f>
        <x:v>154.88166189124811</x:v>
      </x:c>
      <x:c r="U26" s="31" t="n">
        <x:f>IF(T26="","",I26*T26)</x:f>
        <x:v>6136856.071430368</x:v>
      </x:c>
    </x:row>
    <x:row r="27" ht="18" customHeight="1">
      <x:c r="A27" s="24" t="str">
        <x:v>EEZ_704</x:v>
      </x:c>
      <x:c r="B27" s="24" t="str">
        <x:v>Viet Nam</x:v>
      </x:c>
      <x:c r="C27" s="24" t="str">
        <x:v>EEZ</x:v>
      </x:c>
      <x:c r="D27" s="30" t="n">
        <x:v>2019</x:v>
      </x:c>
      <x:c r="E27" s="24" t="str">
        <x:v>Portunus trituberculatus</x:v>
      </x:c>
      <x:c r="F27" s="24" t="str">
        <x:v>Gazami crab</x:v>
      </x:c>
      <x:c r="G27" s="24" t="str">
        <x:v>Lobsters, crabs</x:v>
      </x:c>
      <x:c r="H27" s="24" t="str">
        <x:v>Crustaceans</x:v>
      </x:c>
      <x:c r="I27" s="31" t="n">
        <x:v>33117.6328095593</x:v>
      </x:c>
      <x:c r="J27" s="31" t="n">
        <x:v>33117.6328095593</x:v>
      </x:c>
      <x:c r="K27" s="31" t="n">
        <x:v>0</x:v>
      </x:c>
      <x:c r="L27" s="31" t="n">
        <x:v>33117.6328095593</x:v>
      </x:c>
      <x:c r="M27" s="31" t="n">
        <x:v>0</x:v>
      </x:c>
      <x:c r="N27" s="24" t="str">
        <x:v>portunus trituberculatus</x:v>
      </x:c>
      <x:c r="O27" s="32" t="n">
        <x:v>3.73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Portunus trituberculatus</x:v>
      </x:c>
      <x:c r="T27" s="32" t="n">
        <x:f>IF(O27="","",(1/'Metadata'!$B$5)^(O27-1))</x:f>
        <x:v>537.0317963702527</x:v>
      </x:c>
      <x:c r="U27" s="31" t="n">
        <x:f>IF(T27="","",I27*T27)</x:f>
        <x:v>17785221.839248046</x:v>
      </x:c>
    </x:row>
    <x:row r="28" ht="18" customHeight="1">
      <x:c r="A28" s="24" t="str">
        <x:v>EEZ_704</x:v>
      </x:c>
      <x:c r="B28" s="24" t="str">
        <x:v>Viet Nam</x:v>
      </x:c>
      <x:c r="C28" s="24" t="str">
        <x:v>EEZ</x:v>
      </x:c>
      <x:c r="D28" s="30" t="n">
        <x:v>2019</x:v>
      </x:c>
      <x:c r="E28" s="24" t="str">
        <x:v>Mollusca</x:v>
      </x:c>
      <x:c r="F28" s="24" t="str">
        <x:v>Clams, seasnails, squids, octopuses</x:v>
      </x:c>
      <x:c r="G28" s="24" t="str">
        <x:v>Other demersal invertebrates</x:v>
      </x:c>
      <x:c r="H28" s="24" t="str">
        <x:v>Molluscs</x:v>
      </x:c>
      <x:c r="I28" s="31" t="n">
        <x:v>30984</x:v>
      </x:c>
      <x:c r="J28" s="31" t="n">
        <x:v>30984</x:v>
      </x:c>
      <x:c r="K28" s="31" t="n">
        <x:v>0</x:v>
      </x:c>
      <x:c r="L28" s="31" t="n">
        <x:v>30984</x:v>
      </x:c>
      <x:c r="M28" s="31" t="n">
        <x:v>0</x:v>
      </x:c>
      <x:c r="N28" s="24" t="str">
        <x:v>mollusca</x:v>
      </x:c>
      <x:c r="O28" s="32" t="n">
        <x:v>2.1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Mollusca</x:v>
      </x:c>
      <x:c r="T28" s="32" t="n">
        <x:f>IF(O28="","",(1/'Metadata'!$B$5)^(O28-1))</x:f>
        <x:v>12.589254117941675</x:v>
      </x:c>
      <x:c r="U28" s="31" t="n">
        <x:f>IF(T28="","",I28*T28)</x:f>
        <x:v>390065.44959030487</x:v>
      </x:c>
    </x:row>
    <x:row r="29" ht="18" customHeight="1">
      <x:c r="A29" s="24" t="str">
        <x:v>EEZ_704</x:v>
      </x:c>
      <x:c r="B29" s="24" t="str">
        <x:v>Viet Nam</x:v>
      </x:c>
      <x:c r="C29" s="24" t="str">
        <x:v>EEZ</x:v>
      </x:c>
      <x:c r="D29" s="30" t="n">
        <x:v>2019</x:v>
      </x:c>
      <x:c r="E29" s="24" t="str">
        <x:v>Engraulis japonicus</x:v>
      </x:c>
      <x:c r="F29" s="24" t="str">
        <x:v>Japanese anchovy</x:v>
      </x:c>
      <x:c r="G29" s="24" t="str">
        <x:v>Small pelagics (&lt;30 cm)</x:v>
      </x:c>
      <x:c r="H29" s="24" t="str">
        <x:v>Anchovies</x:v>
      </x:c>
      <x:c r="I29" s="31" t="n">
        <x:v>26578.6089316534</x:v>
      </x:c>
      <x:c r="J29" s="31" t="n">
        <x:v>26578.6089316534</x:v>
      </x:c>
      <x:c r="K29" s="31" t="n">
        <x:v>0</x:v>
      </x:c>
      <x:c r="L29" s="31" t="n">
        <x:v>26578.6089316534</x:v>
      </x:c>
      <x:c r="M29" s="31" t="n">
        <x:v>0</x:v>
      </x:c>
      <x:c r="N29" s="24" t="str">
        <x:v>engraulis japonicus</x:v>
      </x:c>
      <x:c r="O29" s="32" t="n">
        <x:v>3.14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Engraulis japonicus</x:v>
      </x:c>
      <x:c r="T29" s="32" t="n">
        <x:f>IF(O29="","",(1/'Metadata'!$B$5)^(O29-1))</x:f>
        <x:v>138.03842646028852</x:v>
      </x:c>
      <x:c r="U29" s="31" t="n">
        <x:f>IF(T29="","",I29*T29)</x:f>
        <x:v>3668869.354428806</x:v>
      </x:c>
    </x:row>
    <x:row r="30" ht="18" customHeight="1">
      <x:c r="A30" s="24" t="str">
        <x:v>EEZ_704</x:v>
      </x:c>
      <x:c r="B30" s="24" t="str">
        <x:v>Viet Nam</x:v>
      </x:c>
      <x:c r="C30" s="24" t="str">
        <x:v>EEZ</x:v>
      </x:c>
      <x:c r="D30" s="30" t="n">
        <x:v>2019</x:v>
      </x:c>
      <x:c r="E30" s="24" t="str">
        <x:v>Muraenesox cinereus</x:v>
      </x:c>
      <x:c r="F30" s="24" t="str">
        <x:v>Daggertooth pike conger</x:v>
      </x:c>
      <x:c r="G30" s="24" t="str">
        <x:v>Large demersals (&gt;=90 cm)</x:v>
      </x:c>
      <x:c r="H30" s="24" t="str">
        <x:v>Other fishes &amp; inverts</x:v>
      </x:c>
      <x:c r="I30" s="31" t="n">
        <x:v>25647.4950050216</x:v>
      </x:c>
      <x:c r="J30" s="31" t="n">
        <x:v>25647.4950050216</x:v>
      </x:c>
      <x:c r="K30" s="31" t="n">
        <x:v>0</x:v>
      </x:c>
      <x:c r="L30" s="31" t="n">
        <x:v>22915.4008975644</x:v>
      </x:c>
      <x:c r="M30" s="31" t="n">
        <x:v>2732.0941074572</x:v>
      </x:c>
      <x:c r="N30" s="24" t="str">
        <x:v>muraenesox cinereus</x:v>
      </x:c>
      <x:c r="O30" s="32" t="n">
        <x:v>4.38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Muraenesox cinereus</x:v>
      </x:c>
      <x:c r="T30" s="32" t="n">
        <x:f>IF(O30="","",(1/'Metadata'!$B$5)^(O30-1))</x:f>
        <x:v>2398.83291901949</x:v>
      </x:c>
      <x:c r="U30" s="31" t="n">
        <x:f>IF(T30="","",I30*T30)</x:f>
        <x:v>61524055.30843375</x:v>
      </x:c>
    </x:row>
    <x:row r="31" ht="18" customHeight="1">
      <x:c r="A31" s="24" t="str">
        <x:v>EEZ_704</x:v>
      </x:c>
      <x:c r="B31" s="24" t="str">
        <x:v>Viet Nam</x:v>
      </x:c>
      <x:c r="C31" s="24" t="str">
        <x:v>EEZ</x:v>
      </x:c>
      <x:c r="D31" s="30" t="n">
        <x:v>2019</x:v>
      </x:c>
      <x:c r="E31" s="24" t="str">
        <x:v>Chondrichthyes</x:v>
      </x:c>
      <x:c r="F31" s="24" t="str">
        <x:v>Sharks, rays, chimaeras</x:v>
      </x:c>
      <x:c r="G31" s="24" t="str">
        <x:v>Large sharks (&gt;=90 cm)</x:v>
      </x:c>
      <x:c r="H31" s="24" t="str">
        <x:v>Sharks &amp; rays</x:v>
      </x:c>
      <x:c r="I31" s="31" t="n">
        <x:v>25110.9512972178</x:v>
      </x:c>
      <x:c r="J31" s="31" t="n">
        <x:v>25110.9512972178</x:v>
      </x:c>
      <x:c r="K31" s="31" t="n">
        <x:v>0</x:v>
      </x:c>
      <x:c r="L31" s="31" t="n">
        <x:v>18235.8406999999</x:v>
      </x:c>
      <x:c r="M31" s="31" t="n">
        <x:v>6875.1105972179</x:v>
      </x:c>
      <x:c r="N31" s="24" t="str">
        <x:v>chondrichthyes</x:v>
      </x:c>
      <x:c r="O31" s="32" t="n">
        <x:v>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Chondrichthyes</x:v>
      </x:c>
      <x:c r="T31" s="32" t="n">
        <x:f>IF(O31="","",(1/'Metadata'!$B$5)^(O31-1))</x:f>
        <x:v>1000</x:v>
      </x:c>
      <x:c r="U31" s="31" t="n">
        <x:f>IF(T31="","",I31*T31)</x:f>
        <x:v>25110951.2972178</x:v>
      </x:c>
    </x:row>
    <x:row r="32" ht="18" customHeight="1">
      <x:c r="A32" s="24" t="str">
        <x:v>EEZ_704</x:v>
      </x:c>
      <x:c r="B32" s="24" t="str">
        <x:v>Viet Nam</x:v>
      </x:c>
      <x:c r="C32" s="24" t="str">
        <x:v>EEZ</x:v>
      </x:c>
      <x:c r="D32" s="30" t="n">
        <x:v>2019</x:v>
      </x:c>
      <x:c r="E32" s="24" t="str">
        <x:v>Pampus</x:v>
      </x:c>
      <x:c r="F32" s="24" t="str">
        <x:v>Silver pomfrets</x:v>
      </x:c>
      <x:c r="G32" s="24" t="str">
        <x:v>Medium benthopelagics (30 - 89 cm)</x:v>
      </x:c>
      <x:c r="H32" s="24" t="str">
        <x:v>Perch-likes</x:v>
      </x:c>
      <x:c r="I32" s="31" t="n">
        <x:v>23948.6939157896</x:v>
      </x:c>
      <x:c r="J32" s="31" t="n">
        <x:v>23948.6939157896</x:v>
      </x:c>
      <x:c r="K32" s="31" t="n">
        <x:v>0</x:v>
      </x:c>
      <x:c r="L32" s="31" t="n">
        <x:v>23948.6939157896</x:v>
      </x:c>
      <x:c r="M32" s="31" t="n">
        <x:v>0</x:v>
      </x:c>
      <x:c r="N32" s="24" t="str">
        <x:v>pampus</x:v>
      </x:c>
      <x:c r="O32" s="32" t="n">
        <x:v>3.41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Pampus</x:v>
      </x:c>
      <x:c r="T32" s="32" t="n">
        <x:f>IF(O32="","",(1/'Metadata'!$B$5)^(O32-1))</x:f>
        <x:v>257.03957827688646</x:v>
      </x:c>
      <x:c r="U32" s="31" t="n">
        <x:f>IF(T32="","",I32*T32)</x:f>
        <x:v>6155762.184396796</x:v>
      </x:c>
    </x:row>
    <x:row r="33" ht="18" customHeight="1">
      <x:c r="A33" s="24" t="str">
        <x:v>EEZ_704</x:v>
      </x:c>
      <x:c r="B33" s="24" t="str">
        <x:v>Viet Nam</x:v>
      </x:c>
      <x:c r="C33" s="24" t="str">
        <x:v>EEZ</x:v>
      </x:c>
      <x:c r="D33" s="30" t="n">
        <x:v>2019</x:v>
      </x:c>
      <x:c r="E33" s="24" t="str">
        <x:v>Scomberomorus</x:v>
      </x:c>
      <x:c r="F33" s="24" t="str">
        <x:v>Spanish mackerels</x:v>
      </x:c>
      <x:c r="G33" s="24" t="str">
        <x:v>Large pelagics (&gt;=90 cm)</x:v>
      </x:c>
      <x:c r="H33" s="24" t="str">
        <x:v>Perch-likes</x:v>
      </x:c>
      <x:c r="I33" s="31" t="n">
        <x:v>22152.4364595197</x:v>
      </x:c>
      <x:c r="J33" s="31" t="n">
        <x:v>22152.4364595197</x:v>
      </x:c>
      <x:c r="K33" s="31" t="n">
        <x:v>0</x:v>
      </x:c>
      <x:c r="L33" s="31" t="n">
        <x:v>22152.4364595197</x:v>
      </x:c>
      <x:c r="M33" s="31" t="n">
        <x:v>0</x:v>
      </x:c>
      <x:c r="N33" s="24" t="str">
        <x:v>scomberomorus</x:v>
      </x:c>
      <x:c r="O33" s="32" t="n">
        <x:v>4.35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Scomberomorus</x:v>
      </x:c>
      <x:c r="T33" s="32" t="n">
        <x:f>IF(O33="","",(1/'Metadata'!$B$5)^(O33-1))</x:f>
        <x:v>2238.7211385683377</x:v>
      </x:c>
      <x:c r="U33" s="31" t="n">
        <x:f>IF(T33="","",I33*T33)</x:f>
        <x:v>49593127.7727187</x:v>
      </x:c>
    </x:row>
    <x:row r="34" ht="18" customHeight="1">
      <x:c r="A34" s="24" t="str">
        <x:v>EEZ_704</x:v>
      </x:c>
      <x:c r="B34" s="24" t="str">
        <x:v>Viet Nam</x:v>
      </x:c>
      <x:c r="C34" s="24" t="str">
        <x:v>EEZ</x:v>
      </x:c>
      <x:c r="D34" s="30" t="n">
        <x:v>2019</x:v>
      </x:c>
      <x:c r="E34" s="24" t="str">
        <x:v>Trachysalambria curvirostris</x:v>
      </x:c>
      <x:c r="F34" s="24" t="str">
        <x:v>Southern rough shrimp</x:v>
      </x:c>
      <x:c r="G34" s="24" t="str">
        <x:v>Shrimps</x:v>
      </x:c>
      <x:c r="H34" s="24" t="str">
        <x:v>Crustaceans</x:v>
      </x:c>
      <x:c r="I34" s="31" t="n">
        <x:v>21572.0611003204</x:v>
      </x:c>
      <x:c r="J34" s="31" t="n">
        <x:v>21572.0611003204</x:v>
      </x:c>
      <x:c r="K34" s="31" t="n">
        <x:v>0</x:v>
      </x:c>
      <x:c r="L34" s="31" t="n">
        <x:v>21572.0611003204</x:v>
      </x:c>
      <x:c r="M34" s="31" t="n">
        <x:v>0</x:v>
      </x:c>
      <x:c r="N34" s="24" t="str">
        <x:v>trachysalambria curvirostris</x:v>
      </x:c>
      <x:c r="O34" s="32" t="n">
        <x:v>2.7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Trachysalambria curvirostris</x:v>
      </x:c>
      <x:c r="T34" s="32" t="n">
        <x:f>IF(O34="","",(1/'Metadata'!$B$5)^(O34-1))</x:f>
        <x:v>50.11872336272725</x:v>
      </x:c>
      <x:c r="U34" s="31" t="n">
        <x:f>IF(T34="","",I34*T34)</x:f>
        <x:v>1081164.1626508078</x:v>
      </x:c>
    </x:row>
    <x:row r="35" ht="18" customHeight="1">
      <x:c r="A35" s="24" t="str">
        <x:v>EEZ_704</x:v>
      </x:c>
      <x:c r="B35" s="24" t="str">
        <x:v>Viet Nam</x:v>
      </x:c>
      <x:c r="C35" s="24" t="str">
        <x:v>EEZ</x:v>
      </x:c>
      <x:c r="D35" s="30" t="n">
        <x:v>2019</x:v>
      </x:c>
      <x:c r="E35" s="24" t="str">
        <x:v>Mugilidae</x:v>
      </x:c>
      <x:c r="F35" s="24" t="str">
        <x:v>Mullets, grey mullets</x:v>
      </x:c>
      <x:c r="G35" s="24" t="str">
        <x:v>Medium reef assoc. fish (30 - 89 cm)</x:v>
      </x:c>
      <x:c r="H35" s="24" t="str">
        <x:v>Perch-likes</x:v>
      </x:c>
      <x:c r="I35" s="31" t="n">
        <x:v>17986.246821417</x:v>
      </x:c>
      <x:c r="J35" s="31" t="n">
        <x:v>17986.246821417</x:v>
      </x:c>
      <x:c r="K35" s="31" t="n">
        <x:v>0</x:v>
      </x:c>
      <x:c r="L35" s="31" t="n">
        <x:v>10941.50442</x:v>
      </x:c>
      <x:c r="M35" s="31" t="n">
        <x:v>7044.742401417</x:v>
      </x:c>
      <x:c r="N35" s="24" t="str">
        <x:v>mugilidae</x:v>
      </x:c>
      <x:c r="O35" s="32" t="n">
        <x:v>2.53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Mugilidae</x:v>
      </x:c>
      <x:c r="T35" s="32" t="n">
        <x:f>IF(O35="","",(1/'Metadata'!$B$5)^(O35-1))</x:f>
        <x:v>33.88441561392024</x:v>
      </x:c>
      <x:c r="U35" s="31" t="n">
        <x:f>IF(T35="","",I35*T35)</x:f>
        <x:v>609453.4626314455</x:v>
      </x:c>
    </x:row>
    <x:row r="36" ht="18" customHeight="1">
      <x:c r="A36" s="24" t="str">
        <x:v>EEZ_704</x:v>
      </x:c>
      <x:c r="B36" s="24" t="str">
        <x:v>Viet Nam</x:v>
      </x:c>
      <x:c r="C36" s="24" t="str">
        <x:v>EEZ</x:v>
      </x:c>
      <x:c r="D36" s="30" t="n">
        <x:v>2019</x:v>
      </x:c>
      <x:c r="E36" s="24" t="str">
        <x:v>Rhizostomeae</x:v>
      </x:c>
      <x:c r="F36" s="24" t="str">
        <x:v>Oral arm jellyfishes</x:v>
      </x:c>
      <x:c r="G36" s="24" t="str">
        <x:v>Jellyfish</x:v>
      </x:c>
      <x:c r="H36" s="24" t="str">
        <x:v>Other fishes &amp; inverts</x:v>
      </x:c>
      <x:c r="I36" s="31" t="n">
        <x:v>16606.949519653597</x:v>
      </x:c>
      <x:c r="J36" s="31" t="n">
        <x:v>16606.949519653597</x:v>
      </x:c>
      <x:c r="K36" s="31" t="n">
        <x:v>0</x:v>
      </x:c>
      <x:c r="L36" s="31" t="n">
        <x:v>0</x:v>
      </x:c>
      <x:c r="M36" s="31" t="n">
        <x:v>16606.949519653597</x:v>
      </x:c>
      <x:c r="N36" s="24" t="str">
        <x:v>rhizostomeae</x:v>
      </x:c>
      <x:c r="O36" s="32" t="n">
        <x:v>3.46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Rhizostomeae</x:v>
      </x:c>
      <x:c r="T36" s="32" t="n">
        <x:f>IF(O36="","",(1/'Metadata'!$B$5)^(O36-1))</x:f>
        <x:v>288.40315031266056</x:v>
      </x:c>
      <x:c r="U36" s="31" t="n">
        <x:f>IF(T36="","",I36*T36)</x:f>
        <x:v>4789496.558551422</x:v>
      </x:c>
    </x:row>
    <x:row r="37" ht="18" customHeight="1">
      <x:c r="A37" s="24" t="str">
        <x:v>EEZ_704</x:v>
      </x:c>
      <x:c r="B37" s="24" t="str">
        <x:v>Viet Nam</x:v>
      </x:c>
      <x:c r="C37" s="24" t="str">
        <x:v>EEZ</x:v>
      </x:c>
      <x:c r="D37" s="30" t="n">
        <x:v>2019</x:v>
      </x:c>
      <x:c r="E37" s="24" t="str">
        <x:v>Squillidae</x:v>
      </x:c>
      <x:c r="F37" s="24" t="str">
        <x:v>Squilla mantis shrimps</x:v>
      </x:c>
      <x:c r="G37" s="24" t="str">
        <x:v>Shrimps</x:v>
      </x:c>
      <x:c r="H37" s="24" t="str">
        <x:v>Crustaceans</x:v>
      </x:c>
      <x:c r="I37" s="31" t="n">
        <x:v>13976.0326241866</x:v>
      </x:c>
      <x:c r="J37" s="31" t="n">
        <x:v>13976.0326241866</x:v>
      </x:c>
      <x:c r="K37" s="31" t="n">
        <x:v>0</x:v>
      </x:c>
      <x:c r="L37" s="31" t="n">
        <x:v>13976.0326241866</x:v>
      </x:c>
      <x:c r="M37" s="31" t="n">
        <x:v>0</x:v>
      </x:c>
      <x:c r="N37" s="24" t="str">
        <x:v>squillidae</x:v>
      </x:c>
      <x:c r="O37" s="32" t="n">
        <x:v>3.5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Squillidae</x:v>
      </x:c>
      <x:c r="T37" s="32" t="n">
        <x:f>IF(O37="","",(1/'Metadata'!$B$5)^(O37-1))</x:f>
        <x:v>316.22776601683796</x:v>
      </x:c>
      <x:c r="U37" s="31" t="n">
        <x:f>IF(T37="","",I37*T37)</x:f>
        <x:v>4419609.574524974</x:v>
      </x:c>
    </x:row>
    <x:row r="38" ht="18" customHeight="1">
      <x:c r="A38" s="24" t="str">
        <x:v>EEZ_704</x:v>
      </x:c>
      <x:c r="B38" s="24" t="str">
        <x:v>Viet Nam</x:v>
      </x:c>
      <x:c r="C38" s="24" t="str">
        <x:v>EEZ</x:v>
      </x:c>
      <x:c r="D38" s="30" t="n">
        <x:v>2019</x:v>
      </x:c>
      <x:c r="E38" s="24" t="str">
        <x:v>Katsuwonus pelamis</x:v>
      </x:c>
      <x:c r="F38" s="24" t="str">
        <x:v>Skipjack tuna</x:v>
      </x:c>
      <x:c r="G38" s="24" t="str">
        <x:v>Large pelagics (&gt;=90 cm)</x:v>
      </x:c>
      <x:c r="H38" s="24" t="str">
        <x:v>Tuna &amp; billfishes</x:v>
      </x:c>
      <x:c r="I38" s="31" t="n">
        <x:v>11786.8556724666</x:v>
      </x:c>
      <x:c r="J38" s="31" t="n">
        <x:v>11786.8556724666</x:v>
      </x:c>
      <x:c r="K38" s="31" t="n">
        <x:v>0</x:v>
      </x:c>
      <x:c r="L38" s="31" t="n">
        <x:v>11511.2292909554</x:v>
      </x:c>
      <x:c r="M38" s="31" t="n">
        <x:v>275.6263815112</x:v>
      </x:c>
      <x:c r="N38" s="24" t="str">
        <x:v>katsuwonus pelamis</x:v>
      </x:c>
      <x:c r="O38" s="32" t="n">
        <x:v>4.43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Katsuwonus pelamis</x:v>
      </x:c>
      <x:c r="T38" s="32" t="n">
        <x:f>IF(O38="","",(1/'Metadata'!$B$5)^(O38-1))</x:f>
        <x:v>2691.534803926914</x:v>
      </x:c>
      <x:c r="U38" s="31" t="n">
        <x:f>IF(T38="","",I38*T38)</x:f>
        <x:v>31724732.271307223</x:v>
      </x:c>
    </x:row>
    <x:row r="39" ht="18" customHeight="1">
      <x:c r="A39" s="24" t="str">
        <x:v>EEZ_704</x:v>
      </x:c>
      <x:c r="B39" s="24" t="str">
        <x:v>Viet Nam</x:v>
      </x:c>
      <x:c r="C39" s="24" t="str">
        <x:v>EEZ</x:v>
      </x:c>
      <x:c r="D39" s="30" t="n">
        <x:v>2019</x:v>
      </x:c>
      <x:c r="E39" s="24" t="str">
        <x:v>Serranidae</x:v>
      </x:c>
      <x:c r="F39" s="24" t="str">
        <x:v>Basses, groupers, hinds</x:v>
      </x:c>
      <x:c r="G39" s="24" t="str">
        <x:v>Medium reef assoc. fish (30 - 89 cm)</x:v>
      </x:c>
      <x:c r="H39" s="24" t="str">
        <x:v>Perch-likes</x:v>
      </x:c>
      <x:c r="I39" s="31" t="n">
        <x:v>10199.327889389</x:v>
      </x:c>
      <x:c r="J39" s="31" t="n">
        <x:v>10199.327889389</x:v>
      </x:c>
      <x:c r="K39" s="31" t="n">
        <x:v>0</x:v>
      </x:c>
      <x:c r="L39" s="31" t="n">
        <x:v>7294.3362800002</x:v>
      </x:c>
      <x:c r="M39" s="31" t="n">
        <x:v>2904.9916093888</x:v>
      </x:c>
      <x:c r="N39" s="24" t="str">
        <x:v>serranidae</x:v>
      </x:c>
      <x:c r="O39" s="32" t="n">
        <x:v>3.98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Serranidae</x:v>
      </x:c>
      <x:c r="T39" s="32" t="n">
        <x:f>IF(O39="","",(1/'Metadata'!$B$5)^(O39-1))</x:f>
        <x:v>954.992586021436</x:v>
      </x:c>
      <x:c r="U39" s="31" t="n">
        <x:f>IF(T39="","",I39*T39)</x:f>
        <x:v>9740282.516768156</x:v>
      </x:c>
    </x:row>
    <x:row r="40" ht="18" customHeight="1">
      <x:c r="A40" s="24" t="str">
        <x:v>EEZ_704</x:v>
      </x:c>
      <x:c r="B40" s="24" t="str">
        <x:v>Viet Nam</x:v>
      </x:c>
      <x:c r="C40" s="24" t="str">
        <x:v>EEZ</x:v>
      </x:c>
      <x:c r="D40" s="30" t="n">
        <x:v>2019</x:v>
      </x:c>
      <x:c r="E40" s="24" t="str">
        <x:v>Monacanthidae</x:v>
      </x:c>
      <x:c r="F40" s="24" t="str">
        <x:v>Filefishes</x:v>
      </x:c>
      <x:c r="G40" s="24" t="str">
        <x:v>Medium reef assoc. fish (30 - 89 cm)</x:v>
      </x:c>
      <x:c r="H40" s="24" t="str">
        <x:v>Other fishes &amp; inverts</x:v>
      </x:c>
      <x:c r="I40" s="31" t="n">
        <x:v>9042.3070423848</x:v>
      </x:c>
      <x:c r="J40" s="31" t="n">
        <x:v>9042.3070423848</x:v>
      </x:c>
      <x:c r="K40" s="31" t="n">
        <x:v>0</x:v>
      </x:c>
      <x:c r="L40" s="31" t="n">
        <x:v>9042.3070423848</x:v>
      </x:c>
      <x:c r="M40" s="31" t="n">
        <x:v>0</x:v>
      </x:c>
      <x:c r="N40" s="24" t="str">
        <x:v>monacanthidae</x:v>
      </x:c>
      <x:c r="O40" s="32" t="n">
        <x:v>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Monacanthidae</x:v>
      </x:c>
      <x:c r="T40" s="32" t="n">
        <x:f>IF(O40="","",(1/'Metadata'!$B$5)^(O40-1))</x:f>
        <x:v>100</x:v>
      </x:c>
      <x:c r="U40" s="31" t="n">
        <x:f>IF(T40="","",I40*T40)</x:f>
        <x:v>904230.7042384801</x:v>
      </x:c>
    </x:row>
    <x:row r="41" ht="18" customHeight="1">
      <x:c r="A41" s="24" t="str">
        <x:v>EEZ_704</x:v>
      </x:c>
      <x:c r="B41" s="24" t="str">
        <x:v>Viet Nam</x:v>
      </x:c>
      <x:c r="C41" s="24" t="str">
        <x:v>EEZ</x:v>
      </x:c>
      <x:c r="D41" s="30" t="n">
        <x:v>2019</x:v>
      </x:c>
      <x:c r="E41" s="24" t="str">
        <x:v>Miscellaneous marine crustaceans</x:v>
      </x:c>
      <x:c r="F41" s="24" t="str">
        <x:v>Marine crabs, shrimps, lobsters nei</x:v>
      </x:c>
      <x:c r="G41" s="24" t="str">
        <x:v>Shrimps</x:v>
      </x:c>
      <x:c r="H41" s="24" t="str">
        <x:v>Crustaceans</x:v>
      </x:c>
      <x:c r="I41" s="31" t="n">
        <x:v>7449.3339384574</x:v>
      </x:c>
      <x:c r="J41" s="31" t="n">
        <x:v>7449.3339384574</x:v>
      </x:c>
      <x:c r="K41" s="31" t="n">
        <x:v>0</x:v>
      </x:c>
      <x:c r="L41" s="31" t="n">
        <x:v>7449.3339384574</x:v>
      </x:c>
      <x:c r="M41" s="31" t="n">
        <x:v>0</x:v>
      </x:c>
      <x:c r="N41" s="24" t="str">
        <x:v>miscellaneous marine crustaceans</x:v>
      </x:c>
      <x:c r="O41" s="32" t="n">
        <x:v>2.7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Miscellaneous marine crustaceans</x:v>
      </x:c>
      <x:c r="T41" s="32" t="n">
        <x:f>IF(O41="","",(1/'Metadata'!$B$5)^(O41-1))</x:f>
        <x:v>50.11872336272725</x:v>
      </x:c>
      <x:c r="U41" s="31" t="n">
        <x:f>IF(T41="","",I41*T41)</x:f>
        <x:v>373351.1068981219</x:v>
      </x:c>
    </x:row>
    <x:row r="42" ht="18" customHeight="1">
      <x:c r="A42" s="24" t="str">
        <x:v>EEZ_704</x:v>
      </x:c>
      <x:c r="B42" s="24" t="str">
        <x:v>Viet Nam</x:v>
      </x:c>
      <x:c r="C42" s="24" t="str">
        <x:v>EEZ</x:v>
      </x:c>
      <x:c r="D42" s="30" t="n">
        <x:v>2019</x:v>
      </x:c>
      <x:c r="E42" s="24" t="str">
        <x:v>Sepiida</x:v>
      </x:c>
      <x:c r="F42" s="24" t="str">
        <x:v>Cuttlefishes, bobtail squids</x:v>
      </x:c>
      <x:c r="G42" s="24" t="str">
        <x:v>Cephalopods</x:v>
      </x:c>
      <x:c r="H42" s="24" t="str">
        <x:v>Other fishes &amp; inverts</x:v>
      </x:c>
      <x:c r="I42" s="31" t="n">
        <x:v>6025.7270597497</x:v>
      </x:c>
      <x:c r="J42" s="31" t="n">
        <x:v>6025.7270597497</x:v>
      </x:c>
      <x:c r="K42" s="31" t="n">
        <x:v>0</x:v>
      </x:c>
      <x:c r="L42" s="31" t="n">
        <x:v>6025.7270597497</x:v>
      </x:c>
      <x:c r="M42" s="31" t="n">
        <x:v>0</x:v>
      </x:c>
      <x:c r="N42" s="24" t="str">
        <x:v>sepiida</x:v>
      </x:c>
      <x:c r="O42" s="32" t="n">
        <x:v>3.7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Sepiida</x:v>
      </x:c>
      <x:c r="T42" s="32" t="n">
        <x:f>IF(O42="","",(1/'Metadata'!$B$5)^(O42-1))</x:f>
        <x:v>501.18723362727246</x:v>
      </x:c>
      <x:c r="U42" s="31" t="n">
        <x:f>IF(T42="","",I42*T42)</x:f>
        <x:v>3020017.4756689505</x:v>
      </x:c>
    </x:row>
    <x:row r="43" ht="18" customHeight="1">
      <x:c r="A43" s="24" t="str">
        <x:v>EEZ_704</x:v>
      </x:c>
      <x:c r="B43" s="24" t="str">
        <x:v>Viet Nam</x:v>
      </x:c>
      <x:c r="C43" s="24" t="str">
        <x:v>EEZ</x:v>
      </x:c>
      <x:c r="D43" s="30" t="n">
        <x:v>2019</x:v>
      </x:c>
      <x:c r="E43" s="24" t="str">
        <x:v>Psettodes erumei</x:v>
      </x:c>
      <x:c r="F43" s="24" t="str">
        <x:v>Indian halibut</x:v>
      </x:c>
      <x:c r="G43" s="24" t="str">
        <x:v>Small to medium flatfishes (&lt;90 cm)</x:v>
      </x:c>
      <x:c r="H43" s="24" t="str">
        <x:v>Flatfishes</x:v>
      </x:c>
      <x:c r="I43" s="31" t="n">
        <x:v>5004.8238130052005</x:v>
      </x:c>
      <x:c r="J43" s="31" t="n">
        <x:v>5004.8238130052005</x:v>
      </x:c>
      <x:c r="K43" s="31" t="n">
        <x:v>0</x:v>
      </x:c>
      <x:c r="L43" s="31" t="n">
        <x:v>3647.1681399997997</x:v>
      </x:c>
      <x:c r="M43" s="31" t="n">
        <x:v>1357.6556730054</x:v>
      </x:c>
      <x:c r="N43" s="24" t="str">
        <x:v>psettodes erumei</x:v>
      </x:c>
      <x:c r="O43" s="32" t="n">
        <x:v>4.39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Psettodes erumei</x:v>
      </x:c>
      <x:c r="T43" s="32" t="n">
        <x:f>IF(O43="","",(1/'Metadata'!$B$5)^(O43-1))</x:f>
        <x:v>2454.7089156850284</x:v>
      </x:c>
      <x:c r="U43" s="31" t="n">
        <x:f>IF(T43="","",I43*T43)</x:f>
        <x:v>12285385.635216605</x:v>
      </x:c>
    </x:row>
    <x:row r="44" ht="18" customHeight="1">
      <x:c r="A44" s="24" t="str">
        <x:v>EEZ_704</x:v>
      </x:c>
      <x:c r="B44" s="24" t="str">
        <x:v>Viet Nam</x:v>
      </x:c>
      <x:c r="C44" s="24" t="str">
        <x:v>EEZ</x:v>
      </x:c>
      <x:c r="D44" s="30" t="n">
        <x:v>2019</x:v>
      </x:c>
      <x:c r="E44" s="24" t="str">
        <x:v>Epinephelus</x:v>
      </x:c>
      <x:c r="F44" s="24" t="str">
        <x:v>Seabasses, hinds</x:v>
      </x:c>
      <x:c r="G44" s="24" t="str">
        <x:v>Medium reef assoc. fish (30 - 89 cm)</x:v>
      </x:c>
      <x:c r="H44" s="24" t="str">
        <x:v>Perch-likes</x:v>
      </x:c>
      <x:c r="I44" s="31" t="n">
        <x:v>4751.3875828747</x:v>
      </x:c>
      <x:c r="J44" s="31" t="n">
        <x:v>4751.3875828747</x:v>
      </x:c>
      <x:c r="K44" s="31" t="n">
        <x:v>0</x:v>
      </x:c>
      <x:c r="L44" s="31" t="n">
        <x:v>4751.3875828747</x:v>
      </x:c>
      <x:c r="M44" s="31" t="n">
        <x:v>0</x:v>
      </x:c>
      <x:c r="N44" s="24" t="str">
        <x:v>epinephelus</x:v>
      </x:c>
      <x:c r="O44" s="32" t="n">
        <x:v>3.84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Epinephelus</x:v>
      </x:c>
      <x:c r="T44" s="32" t="n">
        <x:f>IF(O44="","",(1/'Metadata'!$B$5)^(O44-1))</x:f>
        <x:v>691.8309709189363</x:v>
      </x:c>
      <x:c r="U44" s="31" t="n">
        <x:f>IF(T44="","",I44*T44)</x:f>
        <x:v>3287157.084672381</x:v>
      </x:c>
    </x:row>
    <x:row r="45" ht="18" customHeight="1">
      <x:c r="A45" s="24" t="str">
        <x:v>EEZ_704</x:v>
      </x:c>
      <x:c r="B45" s="24" t="str">
        <x:v>Viet Nam</x:v>
      </x:c>
      <x:c r="C45" s="24" t="str">
        <x:v>EEZ</x:v>
      </x:c>
      <x:c r="D45" s="30" t="n">
        <x:v>2019</x:v>
      </x:c>
      <x:c r="E45" s="24" t="str">
        <x:v>Decapoda</x:v>
      </x:c>
      <x:c r="F45" s="24" t="str">
        <x:v>Crabs, lobsters, shrimps</x:v>
      </x:c>
      <x:c r="G45" s="24" t="str">
        <x:v>Lobsters, crabs</x:v>
      </x:c>
      <x:c r="H45" s="24" t="str">
        <x:v>Crustaceans</x:v>
      </x:c>
      <x:c r="I45" s="31" t="n">
        <x:v>4029.8621034385</x:v>
      </x:c>
      <x:c r="J45" s="31" t="n">
        <x:v>4029.8621034385</x:v>
      </x:c>
      <x:c r="K45" s="31" t="n">
        <x:v>0</x:v>
      </x:c>
      <x:c r="L45" s="31" t="n">
        <x:v>4029.8621034385</x:v>
      </x:c>
      <x:c r="M45" s="31" t="n">
        <x:v>0</x:v>
      </x:c>
      <x:c r="N45" s="24" t="str">
        <x:v>decapoda</x:v>
      </x:c>
      <x:c r="O45" s="32" t="n">
        <x:v>3.43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Decapoda</x:v>
      </x:c>
      <x:c r="T45" s="32" t="n">
        <x:f>IF(O45="","",(1/'Metadata'!$B$5)^(O45-1))</x:f>
        <x:v>269.1534803926917</x:v>
      </x:c>
      <x:c r="U45" s="31" t="n">
        <x:f>IF(T45="","",I45*T45)</x:f>
        <x:v>1084651.4106430856</x:v>
      </x:c>
    </x:row>
    <x:row r="46" ht="18" customHeight="1">
      <x:c r="A46" s="24" t="str">
        <x:v>EEZ_704</x:v>
      </x:c>
      <x:c r="B46" s="24" t="str">
        <x:v>Viet Nam</x:v>
      </x:c>
      <x:c r="C46" s="24" t="str">
        <x:v>EEZ</x:v>
      </x:c>
      <x:c r="D46" s="30" t="n">
        <x:v>2019</x:v>
      </x:c>
      <x:c r="E46" s="24" t="str">
        <x:v>Sardinops sagax</x:v>
      </x:c>
      <x:c r="F46" s="24" t="str">
        <x:v>South American pilchard</x:v>
      </x:c>
      <x:c r="G46" s="24" t="str">
        <x:v>Medium pelagics (30 - 89 cm)</x:v>
      </x:c>
      <x:c r="H46" s="24" t="str">
        <x:v>Herring-likes</x:v>
      </x:c>
      <x:c r="I46" s="31" t="n">
        <x:v>3907.0163815873</x:v>
      </x:c>
      <x:c r="J46" s="31" t="n">
        <x:v>3907.0163815873</x:v>
      </x:c>
      <x:c r="K46" s="31" t="n">
        <x:v>0</x:v>
      </x:c>
      <x:c r="L46" s="31" t="n">
        <x:v>3907.0163815873</x:v>
      </x:c>
      <x:c r="M46" s="31" t="n">
        <x:v>0</x:v>
      </x:c>
      <x:c r="N46" s="24" t="str">
        <x:v>sardinops sagax</x:v>
      </x:c>
      <x:c r="O46" s="32" t="n">
        <x:v>2.84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Sardinops sagax</x:v>
      </x:c>
      <x:c r="T46" s="32" t="n">
        <x:f>IF(O46="","",(1/'Metadata'!$B$5)^(O46-1))</x:f>
        <x:v>69.18309709189363</x:v>
      </x:c>
      <x:c r="U46" s="31" t="n">
        <x:f>IF(T46="","",I46*T46)</x:f>
        <x:v>270299.49366697314</x:v>
      </x:c>
    </x:row>
    <x:row r="47" ht="18" customHeight="1">
      <x:c r="A47" s="24" t="str">
        <x:v>EEZ_704</x:v>
      </x:c>
      <x:c r="B47" s="24" t="str">
        <x:v>Viet Nam</x:v>
      </x:c>
      <x:c r="C47" s="24" t="str">
        <x:v>EEZ</x:v>
      </x:c>
      <x:c r="D47" s="30" t="n">
        <x:v>2019</x:v>
      </x:c>
      <x:c r="E47" s="24" t="str">
        <x:v>Teuthida</x:v>
      </x:c>
      <x:c r="F47" s="24" t="str">
        <x:v>Squids</x:v>
      </x:c>
      <x:c r="G47" s="24" t="str">
        <x:v>Cephalopods</x:v>
      </x:c>
      <x:c r="H47" s="24" t="str">
        <x:v>Other fishes &amp; inverts</x:v>
      </x:c>
      <x:c r="I47" s="31" t="n">
        <x:v>3566.7622221869</x:v>
      </x:c>
      <x:c r="J47" s="31" t="n">
        <x:v>3566.7622221869</x:v>
      </x:c>
      <x:c r="K47" s="31" t="n">
        <x:v>0</x:v>
      </x:c>
      <x:c r="L47" s="31" t="n">
        <x:v>3566.7622221869</x:v>
      </x:c>
      <x:c r="M47" s="31" t="n">
        <x:v>0</x:v>
      </x:c>
      <x:c r="N47" s="24" t="str">
        <x:v>teuthida</x:v>
      </x:c>
      <x:c r="O47" s="32" t="n">
        <x:v>4.13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Teuthida</x:v>
      </x:c>
      <x:c r="T47" s="32" t="n">
        <x:f>IF(O47="","",(1/'Metadata'!$B$5)^(O47-1))</x:f>
        <x:v>1348.9628825916532</x:v>
      </x:c>
      <x:c r="U47" s="31" t="n">
        <x:f>IF(T47="","",I47*T47)</x:f>
        <x:v>4811429.848760251</x:v>
      </x:c>
    </x:row>
    <x:row r="48" ht="18" customHeight="1">
      <x:c r="A48" s="24" t="str">
        <x:v>EEZ_704</x:v>
      </x:c>
      <x:c r="B48" s="24" t="str">
        <x:v>Viet Nam</x:v>
      </x:c>
      <x:c r="C48" s="24" t="str">
        <x:v>EEZ</x:v>
      </x:c>
      <x:c r="D48" s="30" t="n">
        <x:v>2019</x:v>
      </x:c>
      <x:c r="E48" s="24" t="str">
        <x:v>Octopoda</x:v>
      </x:c>
      <x:c r="F48" s="24" t="str">
        <x:v>Octopuses, argonauts</x:v>
      </x:c>
      <x:c r="G48" s="24" t="str">
        <x:v>Cephalopods</x:v>
      </x:c>
      <x:c r="H48" s="24" t="str">
        <x:v>Other fishes &amp; inverts</x:v>
      </x:c>
      <x:c r="I48" s="31" t="n">
        <x:v>3546.5654853956003</x:v>
      </x:c>
      <x:c r="J48" s="31" t="n">
        <x:v>3546.5654853956003</x:v>
      </x:c>
      <x:c r="K48" s="31" t="n">
        <x:v>0</x:v>
      </x:c>
      <x:c r="L48" s="31" t="n">
        <x:v>3546.5654853956003</x:v>
      </x:c>
      <x:c r="M48" s="31" t="n">
        <x:v>0</x:v>
      </x:c>
      <x:c r="N48" s="24" t="str">
        <x:v>octopoda</x:v>
      </x:c>
      <x:c r="O48" s="32" t="n">
        <x:v>3.58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Octopoda</x:v>
      </x:c>
      <x:c r="T48" s="32" t="n">
        <x:f>IF(O48="","",(1/'Metadata'!$B$5)^(O48-1))</x:f>
        <x:v>380.1893963205613</x:v>
      </x:c>
      <x:c r="U48" s="31" t="n">
        <x:f>IF(T48="","",I48*T48)</x:f>
        <x:v>1348366.5909038917</x:v>
      </x:c>
    </x:row>
    <x:row r="49" ht="18" customHeight="1">
      <x:c r="A49" s="24" t="str">
        <x:v>EEZ_704</x:v>
      </x:c>
      <x:c r="B49" s="24" t="str">
        <x:v>Viet Nam</x:v>
      </x:c>
      <x:c r="C49" s="24" t="str">
        <x:v>EEZ</x:v>
      </x:c>
      <x:c r="D49" s="30" t="n">
        <x:v>2019</x:v>
      </x:c>
      <x:c r="E49" s="24" t="str">
        <x:v>Ilisha elongata</x:v>
      </x:c>
      <x:c r="F49" s="24" t="str">
        <x:v>Elongate ilisha</x:v>
      </x:c>
      <x:c r="G49" s="24" t="str">
        <x:v>Medium pelagics (30 - 89 cm)</x:v>
      </x:c>
      <x:c r="H49" s="24" t="str">
        <x:v>Herring-likes</x:v>
      </x:c>
      <x:c r="I49" s="31" t="n">
        <x:v>3140.7613216695</x:v>
      </x:c>
      <x:c r="J49" s="31" t="n">
        <x:v>3140.7613216695</x:v>
      </x:c>
      <x:c r="K49" s="31" t="n">
        <x:v>0</x:v>
      </x:c>
      <x:c r="L49" s="31" t="n">
        <x:v>3140.7613216695</x:v>
      </x:c>
      <x:c r="M49" s="31" t="n">
        <x:v>0</x:v>
      </x:c>
      <x:c r="N49" s="24" t="str">
        <x:v>ilisha elongata</x:v>
      </x:c>
      <x:c r="O49" s="32" t="n">
        <x:v>3.79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Ilisha elongata</x:v>
      </x:c>
      <x:c r="T49" s="32" t="n">
        <x:f>IF(O49="","",(1/'Metadata'!$B$5)^(O49-1))</x:f>
        <x:v>616.5950018614822</x:v>
      </x:c>
      <x:c r="U49" s="31" t="n">
        <x:f>IF(T49="","",I49*T49)</x:f>
        <x:v>1936577.7329812765</x:v>
      </x:c>
    </x:row>
    <x:row r="50" ht="18" customHeight="1">
      <x:c r="A50" s="24" t="str">
        <x:v>EEZ_704</x:v>
      </x:c>
      <x:c r="B50" s="24" t="str">
        <x:v>Viet Nam</x:v>
      </x:c>
      <x:c r="C50" s="24" t="str">
        <x:v>EEZ</x:v>
      </x:c>
      <x:c r="D50" s="30" t="n">
        <x:v>2019</x:v>
      </x:c>
      <x:c r="E50" s="24" t="str">
        <x:v>Larimichthys crocea</x:v>
      </x:c>
      <x:c r="F50" s="24" t="str">
        <x:v>Large yellow croaker</x:v>
      </x:c>
      <x:c r="G50" s="24" t="str">
        <x:v>Medium benthopelagics (30 - 89 cm)</x:v>
      </x:c>
      <x:c r="H50" s="24" t="str">
        <x:v>Perch-likes</x:v>
      </x:c>
      <x:c r="I50" s="31" t="n">
        <x:v>2785.3050959477996</x:v>
      </x:c>
      <x:c r="J50" s="31" t="n">
        <x:v>2785.3050959477996</x:v>
      </x:c>
      <x:c r="K50" s="31" t="n">
        <x:v>0</x:v>
      </x:c>
      <x:c r="L50" s="31" t="n">
        <x:v>2785.3050959477996</x:v>
      </x:c>
      <x:c r="M50" s="31" t="n">
        <x:v>0</x:v>
      </x:c>
      <x:c r="N50" s="24" t="str">
        <x:v>larimichthys crocea</x:v>
      </x:c>
      <x:c r="O50" s="32" t="n">
        <x:v>3.72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Larimichthys crocea</x:v>
      </x:c>
      <x:c r="T50" s="32" t="n">
        <x:f>IF(O50="","",(1/'Metadata'!$B$5)^(O50-1))</x:f>
        <x:v>524.8074602497728</x:v>
      </x:c>
      <x:c r="U50" s="31" t="n">
        <x:f>IF(T50="","",I50*T50)</x:f>
        <x:v>1461748.8934251145</x:v>
      </x:c>
    </x:row>
    <x:row r="51" ht="18" customHeight="1">
      <x:c r="A51" s="24" t="str">
        <x:v>EEZ_704</x:v>
      </x:c>
      <x:c r="B51" s="24" t="str">
        <x:v>Viet Nam</x:v>
      </x:c>
      <x:c r="C51" s="24" t="str">
        <x:v>EEZ</x:v>
      </x:c>
      <x:c r="D51" s="30" t="n">
        <x:v>2019</x:v>
      </x:c>
      <x:c r="E51" s="24" t="str">
        <x:v>Thunnus albacares</x:v>
      </x:c>
      <x:c r="F51" s="24" t="str">
        <x:v>Yellowfin tuna</x:v>
      </x:c>
      <x:c r="G51" s="24" t="str">
        <x:v>Large pelagics (&gt;=90 cm)</x:v>
      </x:c>
      <x:c r="H51" s="24" t="str">
        <x:v>Tuna &amp; billfishes</x:v>
      </x:c>
      <x:c r="I51" s="31" t="n">
        <x:v>2702.2147874154</x:v>
      </x:c>
      <x:c r="J51" s="31" t="n">
        <x:v>2702.2147874154</x:v>
      </x:c>
      <x:c r="K51" s="31" t="n">
        <x:v>0</x:v>
      </x:c>
      <x:c r="L51" s="31" t="n">
        <x:v>2569.4272919666</x:v>
      </x:c>
      <x:c r="M51" s="31" t="n">
        <x:v>132.7874954488</x:v>
      </x:c>
      <x:c r="N51" s="24" t="str">
        <x:v>thunnus albacares</x:v>
      </x:c>
      <x:c r="O51" s="32" t="n">
        <x:v>4.41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albacares</x:v>
      </x:c>
      <x:c r="T51" s="32" t="n">
        <x:f>IF(O51="","",(1/'Metadata'!$B$5)^(O51-1))</x:f>
        <x:v>2570.3957827688646</x:v>
      </x:c>
      <x:c r="U51" s="31" t="n">
        <x:f>IF(T51="","",I51*T51)</x:f>
        <x:v>6945761.493708209</x:v>
      </x:c>
    </x:row>
    <x:row r="52" ht="18" customHeight="1">
      <x:c r="A52" s="24" t="str">
        <x:v>EEZ_704</x:v>
      </x:c>
      <x:c r="B52" s="24" t="str">
        <x:v>Viet Nam</x:v>
      </x:c>
      <x:c r="C52" s="24" t="str">
        <x:v>EEZ</x:v>
      </x:c>
      <x:c r="D52" s="30" t="n">
        <x:v>2019</x:v>
      </x:c>
      <x:c r="E52" s="24" t="str">
        <x:v>Charybdis</x:v>
      </x:c>
      <x:c r="F52" s="24" t="str">
        <x:v>Whirlpool swimming crabs</x:v>
      </x:c>
      <x:c r="G52" s="24" t="str">
        <x:v>Lobsters, crabs</x:v>
      </x:c>
      <x:c r="H52" s="24" t="str">
        <x:v>Crustaceans</x:v>
      </x:c>
      <x:c r="I52" s="31" t="n">
        <x:v>1991.4702374817998</x:v>
      </x:c>
      <x:c r="J52" s="31" t="n">
        <x:v>1991.4702374817998</x:v>
      </x:c>
      <x:c r="K52" s="31" t="n">
        <x:v>0</x:v>
      </x:c>
      <x:c r="L52" s="31" t="n">
        <x:v>1991.4702374817998</x:v>
      </x:c>
      <x:c r="M52" s="31" t="n">
        <x:v>0</x:v>
      </x:c>
      <x:c r="N52" s="24" t="str">
        <x:v>charybdis</x:v>
      </x:c>
      <x:c r="O52" s="32" t="n">
        <x:v>2.7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Charybdis</x:v>
      </x:c>
      <x:c r="T52" s="32" t="n">
        <x:f>IF(O52="","",(1/'Metadata'!$B$5)^(O52-1))</x:f>
        <x:v>50.11872336272725</x:v>
      </x:c>
      <x:c r="U52" s="31" t="n">
        <x:f>IF(T52="","",I52*T52)</x:f>
        <x:v>99809.94591745507</x:v>
      </x:c>
    </x:row>
    <x:row r="53" ht="18" customHeight="1">
      <x:c r="A53" s="24" t="str">
        <x:v>EEZ_704</x:v>
      </x:c>
      <x:c r="B53" s="24" t="str">
        <x:v>Viet Nam</x:v>
      </x:c>
      <x:c r="C53" s="24" t="str">
        <x:v>EEZ</x:v>
      </x:c>
      <x:c r="D53" s="30" t="n">
        <x:v>2019</x:v>
      </x:c>
      <x:c r="E53" s="24" t="str">
        <x:v>Mugil cephalus</x:v>
      </x:c>
      <x:c r="F53" s="24" t="str">
        <x:v>Flathead grey mullet</x:v>
      </x:c>
      <x:c r="G53" s="24" t="str">
        <x:v>Large benthopelagics (&gt;=90 cm)</x:v>
      </x:c>
      <x:c r="H53" s="24" t="str">
        <x:v>Perch-likes</x:v>
      </x:c>
      <x:c r="I53" s="31" t="n">
        <x:v>1707.8783080025</x:v>
      </x:c>
      <x:c r="J53" s="31" t="n">
        <x:v>1707.8783080025</x:v>
      </x:c>
      <x:c r="K53" s="31" t="n">
        <x:v>0</x:v>
      </x:c>
      <x:c r="L53" s="31" t="n">
        <x:v>1707.8783080025</x:v>
      </x:c>
      <x:c r="M53" s="31" t="n">
        <x:v>0</x:v>
      </x:c>
      <x:c r="N53" s="24" t="str">
        <x:v>mugil cephalus</x:v>
      </x:c>
      <x:c r="O53" s="32" t="n">
        <x:v>2.14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Mugil cephalus</x:v>
      </x:c>
      <x:c r="T53" s="32" t="n">
        <x:f>IF(O53="","",(1/'Metadata'!$B$5)^(O53-1))</x:f>
        <x:v>13.803842646028853</x:v>
      </x:c>
      <x:c r="U53" s="31" t="n">
        <x:f>IF(T53="","",I53*T53)</x:f>
        <x:v>23575.28342223251</x:v>
      </x:c>
    </x:row>
    <x:row r="54" ht="18" customHeight="1">
      <x:c r="A54" s="24" t="str">
        <x:v>EEZ_704</x:v>
      </x:c>
      <x:c r="B54" s="24" t="str">
        <x:v>Viet Nam</x:v>
      </x:c>
      <x:c r="C54" s="24" t="str">
        <x:v>EEZ</x:v>
      </x:c>
      <x:c r="D54" s="30" t="n">
        <x:v>2019</x:v>
      </x:c>
      <x:c r="E54" s="24" t="str">
        <x:v>Miscellaneous aquatic invertebrates</x:v>
      </x:c>
      <x:c r="F54" s="24" t="str">
        <x:v>Aquatic invertebrates</x:v>
      </x:c>
      <x:c r="G54" s="24" t="str">
        <x:v>Other demersal invertebrates</x:v>
      </x:c>
      <x:c r="H54" s="24" t="str">
        <x:v>Other fishes &amp; inverts</x:v>
      </x:c>
      <x:c r="I54" s="31" t="n">
        <x:v>1479.2663679198</x:v>
      </x:c>
      <x:c r="J54" s="31" t="n">
        <x:v>1479.2663679198</x:v>
      </x:c>
      <x:c r="K54" s="31" t="n">
        <x:v>0</x:v>
      </x:c>
      <x:c r="L54" s="31" t="n">
        <x:v>1479.2663679198</x:v>
      </x:c>
      <x:c r="M54" s="31" t="n">
        <x:v>0</x:v>
      </x:c>
      <x:c r="N54" s="24" t="str">
        <x:v>miscellaneous aquatic invertebrates</x:v>
      </x:c>
      <x:c r="O54" s="32" t="n">
        <x:v>2.43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Miscellaneous aquatic invertebrates</x:v>
      </x:c>
      <x:c r="T54" s="32" t="n">
        <x:f>IF(O54="","",(1/'Metadata'!$B$5)^(O54-1))</x:f>
        <x:v>26.915348039269166</x:v>
      </x:c>
      <x:c r="U54" s="31" t="n">
        <x:f>IF(T54="","",I54*T54)</x:f>
        <x:v>39814.969135347004</x:v>
      </x:c>
    </x:row>
    <x:row r="55" ht="18" customHeight="1">
      <x:c r="A55" s="24" t="str">
        <x:v>EEZ_704</x:v>
      </x:c>
      <x:c r="B55" s="24" t="str">
        <x:v>Viet Nam</x:v>
      </x:c>
      <x:c r="C55" s="24" t="str">
        <x:v>EEZ</x:v>
      </x:c>
      <x:c r="D55" s="30" t="n">
        <x:v>2019</x:v>
      </x:c>
      <x:c r="E55" s="24" t="str">
        <x:v>Scomberomorus commerson</x:v>
      </x:c>
      <x:c r="F55" s="24" t="str">
        <x:v>Narrow-barred Spanish mackerel</x:v>
      </x:c>
      <x:c r="G55" s="24" t="str">
        <x:v>Large pelagics (&gt;=90 cm)</x:v>
      </x:c>
      <x:c r="H55" s="24" t="str">
        <x:v>Perch-likes</x:v>
      </x:c>
      <x:c r="I55" s="31" t="n">
        <x:v>1079.4502775939</x:v>
      </x:c>
      <x:c r="J55" s="31" t="n">
        <x:v>1079.4502775939</x:v>
      </x:c>
      <x:c r="K55" s="31" t="n">
        <x:v>0</x:v>
      </x:c>
      <x:c r="L55" s="31" t="n">
        <x:v>1079.4502775939</x:v>
      </x:c>
      <x:c r="M55" s="31" t="n">
        <x:v>0</x:v>
      </x:c>
      <x:c r="N55" s="24" t="str">
        <x:v>scomberomorus commerson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Scomberomorus commerson</x:v>
      </x:c>
      <x:c r="T55" s="32" t="n">
        <x:f>IF(O55="","",(1/'Metadata'!$B$5)^(O55-1))</x:f>
        <x:v>3162.2776601683795</x:v>
      </x:c>
      <x:c r="U55" s="31" t="n">
        <x:f>IF(T55="","",I55*T55)</x:f>
        <x:v>3413521.4980977457</x:v>
      </x:c>
    </x:row>
    <x:row r="56" ht="18" customHeight="1">
      <x:c r="A56" s="24" t="str">
        <x:v>EEZ_704</x:v>
      </x:c>
      <x:c r="B56" s="24" t="str">
        <x:v>Viet Nam</x:v>
      </x:c>
      <x:c r="C56" s="24" t="str">
        <x:v>EEZ</x:v>
      </x:c>
      <x:c r="D56" s="30" t="n">
        <x:v>2019</x:v>
      </x:c>
      <x:c r="E56" s="24" t="str">
        <x:v>Cephalopoda</x:v>
      </x:c>
      <x:c r="F56" s="24" t="str">
        <x:v>Squids, cuttlefishes, octopuses</x:v>
      </x:c>
      <x:c r="G56" s="24" t="str">
        <x:v>Cephalopods</x:v>
      </x:c>
      <x:c r="H56" s="24" t="str">
        <x:v>Other fishes &amp; inverts</x:v>
      </x:c>
      <x:c r="I56" s="31" t="n">
        <x:v>788.078557827</x:v>
      </x:c>
      <x:c r="J56" s="31" t="n">
        <x:v>788.078557827</x:v>
      </x:c>
      <x:c r="K56" s="31" t="n">
        <x:v>0</x:v>
      </x:c>
      <x:c r="L56" s="31" t="n">
        <x:v>788.078557827</x:v>
      </x:c>
      <x:c r="M56" s="31" t="n">
        <x:v>0</x:v>
      </x:c>
      <x:c r="N56" s="24" t="str">
        <x:v>cephalopoda</x:v>
      </x:c>
      <x:c r="O56" s="32" t="n">
        <x:v>3.81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Cephalopoda</x:v>
      </x:c>
      <x:c r="T56" s="32" t="n">
        <x:f>IF(O56="","",(1/'Metadata'!$B$5)^(O56-1))</x:f>
        <x:v>645.6542290346556</x:v>
      </x:c>
      <x:c r="U56" s="31" t="n">
        <x:f>IF(T56="","",I56*T56)</x:f>
        <x:v>508826.25367253495</x:v>
      </x:c>
    </x:row>
    <x:row r="57" ht="18" customHeight="1">
      <x:c r="A57" s="24" t="str">
        <x:v>EEZ_704</x:v>
      </x:c>
      <x:c r="B57" s="24" t="str">
        <x:v>Viet Nam</x:v>
      </x:c>
      <x:c r="C57" s="24" t="str">
        <x:v>EEZ</x:v>
      </x:c>
      <x:c r="D57" s="30" t="n">
        <x:v>2019</x:v>
      </x:c>
      <x:c r="E57" s="24" t="str">
        <x:v>Palinuridae</x:v>
      </x:c>
      <x:c r="F57" s="24" t="str">
        <x:v>Spiny lobsters</x:v>
      </x:c>
      <x:c r="G57" s="24" t="str">
        <x:v>Lobsters, crabs</x:v>
      </x:c>
      <x:c r="H57" s="24" t="str">
        <x:v>Crustaceans</x:v>
      </x:c>
      <x:c r="I57" s="31" t="n">
        <x:v>638.7770759419001</x:v>
      </x:c>
      <x:c r="J57" s="31" t="n">
        <x:v>638.7770759419001</x:v>
      </x:c>
      <x:c r="K57" s="31" t="n">
        <x:v>0</x:v>
      </x:c>
      <x:c r="L57" s="31" t="n">
        <x:v>172.1428571429</x:v>
      </x:c>
      <x:c r="M57" s="31" t="n">
        <x:v>466.63421879900005</x:v>
      </x:c>
      <x:c r="N57" s="24" t="str">
        <x:v>palinuridae</x:v>
      </x:c>
      <x:c r="O57" s="32" t="n">
        <x:v>3.14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Palinuridae</x:v>
      </x:c>
      <x:c r="T57" s="32" t="n">
        <x:f>IF(O57="","",(1/'Metadata'!$B$5)^(O57-1))</x:f>
        <x:v>138.03842646028852</x:v>
      </x:c>
      <x:c r="U57" s="31" t="n">
        <x:f>IF(T57="","",I57*T57)</x:f>
        <x:v>88175.78242192412</x:v>
      </x:c>
    </x:row>
    <x:row r="58" ht="18" customHeight="1">
      <x:c r="A58" s="24" t="str">
        <x:v>EEZ_704</x:v>
      </x:c>
      <x:c r="B58" s="24" t="str">
        <x:v>Viet Nam</x:v>
      </x:c>
      <x:c r="C58" s="24" t="str">
        <x:v>EEZ</x:v>
      </x:c>
      <x:c r="D58" s="30" t="n">
        <x:v>2019</x:v>
      </x:c>
      <x:c r="E58" s="24" t="str">
        <x:v>Xiphias gladius</x:v>
      </x:c>
      <x:c r="F58" s="24" t="str">
        <x:v>Swordfish</x:v>
      </x:c>
      <x:c r="G58" s="24" t="str">
        <x:v>Large pelagics (&gt;=90 cm)</x:v>
      </x:c>
      <x:c r="H58" s="24" t="str">
        <x:v>Tuna &amp; billfishes</x:v>
      </x:c>
      <x:c r="I58" s="31" t="n">
        <x:v>583.2526507623</x:v>
      </x:c>
      <x:c r="J58" s="31" t="n">
        <x:v>583.2526507623</x:v>
      </x:c>
      <x:c r="K58" s="31" t="n">
        <x:v>0</x:v>
      </x:c>
      <x:c r="L58" s="31" t="n">
        <x:v>530.7786620873001</x:v>
      </x:c>
      <x:c r="M58" s="31" t="n">
        <x:v>52.473988675</x:v>
      </x:c>
      <x:c r="N58" s="24" t="str">
        <x:v>xiphias gladius</x:v>
      </x:c>
      <x:c r="O58" s="32" t="n">
        <x:v>4.53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Xiphias gladius</x:v>
      </x:c>
      <x:c r="T58" s="32" t="n">
        <x:f>IF(O58="","",(1/'Metadata'!$B$5)^(O58-1))</x:f>
        <x:v>3388.4415613920273</x:v>
      </x:c>
      <x:c r="U58" s="31" t="n">
        <x:f>IF(T58="","",I58*T58)</x:f>
        <x:v>1976317.5226350469</x:v>
      </x:c>
    </x:row>
    <x:row r="59" ht="18" customHeight="1">
      <x:c r="A59" s="24" t="str">
        <x:v>EEZ_704</x:v>
      </x:c>
      <x:c r="B59" s="24" t="str">
        <x:v>Viet Nam</x:v>
      </x:c>
      <x:c r="C59" s="24" t="str">
        <x:v>EEZ</x:v>
      </x:c>
      <x:c r="D59" s="30" t="n">
        <x:v>2019</x:v>
      </x:c>
      <x:c r="E59" s="24" t="str">
        <x:v>Scomberomorus guttatus</x:v>
      </x:c>
      <x:c r="F59" s="24" t="str">
        <x:v>Indo-Pacific king mackerel</x:v>
      </x:c>
      <x:c r="G59" s="24" t="str">
        <x:v>Medium pelagics (30 - 89 cm)</x:v>
      </x:c>
      <x:c r="H59" s="24" t="str">
        <x:v>Perch-likes</x:v>
      </x:c>
      <x:c r="I59" s="31" t="n">
        <x:v>510.18269724059996</x:v>
      </x:c>
      <x:c r="J59" s="31" t="n">
        <x:v>510.18269724059996</x:v>
      </x:c>
      <x:c r="K59" s="31" t="n">
        <x:v>0</x:v>
      </x:c>
      <x:c r="L59" s="31" t="n">
        <x:v>510.18269724059996</x:v>
      </x:c>
      <x:c r="M59" s="31" t="n">
        <x:v>0</x:v>
      </x:c>
      <x:c r="N59" s="24" t="str">
        <x:v>scomberomorus guttatus</x:v>
      </x:c>
      <x:c r="O59" s="32" t="n">
        <x:v>4.28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Scomberomorus guttatus</x:v>
      </x:c>
      <x:c r="T59" s="32" t="n">
        <x:f>IF(O59="","",(1/'Metadata'!$B$5)^(O59-1))</x:f>
        <x:v>1905.4607179632483</x:v>
      </x:c>
      <x:c r="U59" s="31" t="n">
        <x:f>IF(T59="","",I59*T59)</x:f>
        <x:v>972133.0885765002</x:v>
      </x:c>
    </x:row>
    <x:row r="60" ht="18" customHeight="1">
      <x:c r="A60" s="24" t="str">
        <x:v>EEZ_704</x:v>
      </x:c>
      <x:c r="B60" s="24" t="str">
        <x:v>Viet Nam</x:v>
      </x:c>
      <x:c r="C60" s="24" t="str">
        <x:v>EEZ</x:v>
      </x:c>
      <x:c r="D60" s="30" t="n">
        <x:v>2019</x:v>
      </x:c>
      <x:c r="E60" s="24" t="str">
        <x:v>Thunnus obesus</x:v>
      </x:c>
      <x:c r="F60" s="24" t="str">
        <x:v>Bigeye tuna</x:v>
      </x:c>
      <x:c r="G60" s="24" t="str">
        <x:v>Large pelagics (&gt;=90 cm)</x:v>
      </x:c>
      <x:c r="H60" s="24" t="str">
        <x:v>Tuna &amp; billfishes</x:v>
      </x:c>
      <x:c r="I60" s="31" t="n">
        <x:v>334.04735486609997</x:v>
      </x:c>
      <x:c r="J60" s="31" t="n">
        <x:v>334.04735486609997</x:v>
      </x:c>
      <x:c r="K60" s="31" t="n">
        <x:v>0</x:v>
      </x:c>
      <x:c r="L60" s="31" t="n">
        <x:v>323.89621435209995</x:v>
      </x:c>
      <x:c r="M60" s="31" t="n">
        <x:v>10.151140514</x:v>
      </x:c>
      <x:c r="N60" s="24" t="str">
        <x:v>thunnus obesus</x:v>
      </x:c>
      <x:c r="O60" s="32" t="n">
        <x:v>4.49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obesus</x:v>
      </x:c>
      <x:c r="T60" s="32" t="n">
        <x:f>IF(O60="","",(1/'Metadata'!$B$5)^(O60-1))</x:f>
        <x:v>3090.295432513592</x:v>
      </x:c>
      <x:c r="U60" s="31" t="n">
        <x:f>IF(T60="","",I60*T60)</x:f>
        <x:v>1032305.0149859558</x:v>
      </x:c>
    </x:row>
    <x:row r="61" ht="18" customHeight="1">
      <x:c r="A61" s="24" t="str">
        <x:v>EEZ_704</x:v>
      </x:c>
      <x:c r="B61" s="24" t="str">
        <x:v>Viet Nam</x:v>
      </x:c>
      <x:c r="C61" s="24" t="str">
        <x:v>EEZ</x:v>
      </x:c>
      <x:c r="D61" s="30" t="n">
        <x:v>2019</x:v>
      </x:c>
      <x:c r="E61" s="24" t="str">
        <x:v>Scyllaridae</x:v>
      </x:c>
      <x:c r="F61" s="24" t="str">
        <x:v>Slipper lobsters</x:v>
      </x:c>
      <x:c r="G61" s="24" t="str">
        <x:v>Lobsters, crabs</x:v>
      </x:c>
      <x:c r="H61" s="24" t="str">
        <x:v>Crustaceans</x:v>
      </x:c>
      <x:c r="I61" s="31" t="n">
        <x:v>255.5108303768</x:v>
      </x:c>
      <x:c r="J61" s="31" t="n">
        <x:v>255.5108303768</x:v>
      </x:c>
      <x:c r="K61" s="31" t="n">
        <x:v>0</x:v>
      </x:c>
      <x:c r="L61" s="31" t="n">
        <x:v>68.8571428571</x:v>
      </x:c>
      <x:c r="M61" s="31" t="n">
        <x:v>186.65368751970001</x:v>
      </x:c>
      <x:c r="N61" s="24" t="str">
        <x:v>scyllaridae</x:v>
      </x:c>
      <x:c r="O61" s="32" t="n">
        <x:v>2.87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Scyllaridae</x:v>
      </x:c>
      <x:c r="T61" s="32" t="n">
        <x:f>IF(O61="","",(1/'Metadata'!$B$5)^(O61-1))</x:f>
        <x:v>74.13102413009177</x:v>
      </x:c>
      <x:c r="U61" s="31" t="n">
        <x:f>IF(T61="","",I61*T61)</x:f>
        <x:v>18941.279532162345</x:v>
      </x:c>
    </x:row>
    <x:row r="62" ht="18" customHeight="1">
      <x:c r="A62" s="24" t="str">
        <x:v>EEZ_704</x:v>
      </x:c>
      <x:c r="B62" s="24" t="str">
        <x:v>Viet Nam</x:v>
      </x:c>
      <x:c r="C62" s="24" t="str">
        <x:v>EEZ</x:v>
      </x:c>
      <x:c r="D62" s="30" t="n">
        <x:v>2019</x:v>
      </x:c>
      <x:c r="E62" s="24" t="str">
        <x:v>Makaira mazara</x:v>
      </x:c>
      <x:c r="F62" s="24" t="str">
        <x:v>Indo-Pacific blue marlin</x:v>
      </x:c>
      <x:c r="G62" s="24" t="str">
        <x:v>Large pelagics (&gt;=90 cm)</x:v>
      </x:c>
      <x:c r="H62" s="24" t="str">
        <x:v>Tuna &amp; billfishes</x:v>
      </x:c>
      <x:c r="I62" s="31" t="n">
        <x:v>136.0143904107</x:v>
      </x:c>
      <x:c r="J62" s="31" t="n">
        <x:v>136.0143904107</x:v>
      </x:c>
      <x:c r="K62" s="31" t="n">
        <x:v>0</x:v>
      </x:c>
      <x:c r="L62" s="31" t="n">
        <x:v>135.330110716</x:v>
      </x:c>
      <x:c r="M62" s="31" t="n">
        <x:v>0.6842796947</x:v>
      </x:c>
      <x:c r="N62" s="24" t="str">
        <x:v>makaira mazara</x:v>
      </x:c>
      <x:c r="O62" s="32" t="n">
        <x:v>4.46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Makaira mazara</x:v>
      </x:c>
      <x:c r="T62" s="32" t="n">
        <x:f>IF(O62="","",(1/'Metadata'!$B$5)^(O62-1))</x:f>
        <x:v>2884.031503126606</x:v>
      </x:c>
      <x:c r="U62" s="31" t="n">
        <x:f>IF(T62="","",I62*T62)</x:f>
        <x:v>392269.78682302014</x:v>
      </x:c>
    </x:row>
    <x:row r="63" ht="18" customHeight="1">
      <x:c r="A63" s="24" t="str">
        <x:v>EEZ_704</x:v>
      </x:c>
      <x:c r="B63" s="24" t="str">
        <x:v>Viet Nam</x:v>
      </x:c>
      <x:c r="C63" s="24" t="str">
        <x:v>EEZ</x:v>
      </x:c>
      <x:c r="D63" s="30" t="n">
        <x:v>2019</x:v>
      </x:c>
      <x:c r="E63" s="24" t="str">
        <x:v>Trachurus japonicus</x:v>
      </x:c>
      <x:c r="F63" s="24" t="str">
        <x:v>Japanese jack mackerel</x:v>
      </x:c>
      <x:c r="G63" s="24" t="str">
        <x:v>Medium demersals (30 - 89 cm)</x:v>
      </x:c>
      <x:c r="H63" s="24" t="str">
        <x:v>Perch-likes</x:v>
      </x:c>
      <x:c r="I63" s="31" t="n">
        <x:v>135.4912686875</x:v>
      </x:c>
      <x:c r="J63" s="31" t="n">
        <x:v>135.4912686875</x:v>
      </x:c>
      <x:c r="K63" s="31" t="n">
        <x:v>0</x:v>
      </x:c>
      <x:c r="L63" s="31" t="n">
        <x:v>135.4912686875</x:v>
      </x:c>
      <x:c r="M63" s="31" t="n">
        <x:v>0</x:v>
      </x:c>
      <x:c r="N63" s="24" t="str">
        <x:v>trachurus japonicus</x:v>
      </x:c>
      <x:c r="O63" s="32" t="n">
        <x:v>3.4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Trachurus japonicus</x:v>
      </x:c>
      <x:c r="T63" s="32" t="n">
        <x:f>IF(O63="","",(1/'Metadata'!$B$5)^(O63-1))</x:f>
        <x:v>251.18864315095797</x:v>
      </x:c>
      <x:c r="U63" s="31" t="n">
        <x:f>IF(T63="","",I63*T63)</x:f>
        <x:v>34033.867940415</x:v>
      </x:c>
    </x:row>
    <x:row r="64" ht="18" customHeight="1">
      <x:c r="A64" s="24" t="str">
        <x:v>EEZ_704</x:v>
      </x:c>
      <x:c r="B64" s="24" t="str">
        <x:v>Viet Nam</x:v>
      </x:c>
      <x:c r="C64" s="24" t="str">
        <x:v>EEZ</x:v>
      </x:c>
      <x:c r="D64" s="30" t="n">
        <x:v>2019</x:v>
      </x:c>
      <x:c r="E64" s="24" t="str">
        <x:v>Istiompax indica</x:v>
      </x:c>
      <x:c r="F64" s="24" t="str">
        <x:v>Black marlin</x:v>
      </x:c>
      <x:c r="G64" s="24" t="str">
        <x:v>Large pelagics (&gt;=90 cm)</x:v>
      </x:c>
      <x:c r="H64" s="24" t="str">
        <x:v>Tuna &amp; billfishes</x:v>
      </x:c>
      <x:c r="I64" s="31" t="n">
        <x:v>37.0869659939</x:v>
      </x:c>
      <x:c r="J64" s="31" t="n">
        <x:v>37.0869659939</x:v>
      </x:c>
      <x:c r="K64" s="31" t="n">
        <x:v>0</x:v>
      </x:c>
      <x:c r="L64" s="31" t="n">
        <x:v>36.500915938</x:v>
      </x:c>
      <x:c r="M64" s="31" t="n">
        <x:v>0.5860500559</x:v>
      </x:c>
      <x:c r="N64" s="24" t="str">
        <x:v>istiompax indica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Istiompax indica</x:v>
      </x:c>
      <x:c r="T64" s="32" t="n">
        <x:f>IF(O64="","",(1/'Metadata'!$B$5)^(O64-1))</x:f>
        <x:v>3162.2776601683795</x:v>
      </x:c>
      <x:c r="U64" s="31" t="n">
        <x:f>IF(T64="","",I64*T64)</x:f>
        <x:v>117279.28404593436</x:v>
      </x:c>
    </x:row>
    <x:row r="65" ht="18" customHeight="1">
      <x:c r="A65" s="24" t="str">
        <x:v>EEZ_704</x:v>
      </x:c>
      <x:c r="B65" s="24" t="str">
        <x:v>Viet Nam</x:v>
      </x:c>
      <x:c r="C65" s="24" t="str">
        <x:v>EEZ</x:v>
      </x:c>
      <x:c r="D65" s="30" t="n">
        <x:v>2019</x:v>
      </x:c>
      <x:c r="E65" s="24" t="str">
        <x:v>Prionace glauca</x:v>
      </x:c>
      <x:c r="F65" s="24" t="str">
        <x:v>Blue shark</x:v>
      </x:c>
      <x:c r="G65" s="24" t="str">
        <x:v>Large sharks (&gt;=90 cm)</x:v>
      </x:c>
      <x:c r="H65" s="24" t="str">
        <x:v>Sharks &amp; rays</x:v>
      </x:c>
      <x:c r="I65" s="31" t="n">
        <x:v>5.4798170297999995</x:v>
      </x:c>
      <x:c r="J65" s="31" t="n">
        <x:v>5.4798170297999995</x:v>
      </x:c>
      <x:c r="K65" s="31" t="n">
        <x:v>0</x:v>
      </x:c>
      <x:c r="L65" s="31" t="n">
        <x:v>5.4798170297999995</x:v>
      </x:c>
      <x:c r="M65" s="31" t="n">
        <x:v>0</x:v>
      </x:c>
      <x:c r="N65" s="24" t="str">
        <x:v>prionace glauca</x:v>
      </x:c>
      <x:c r="O65" s="32" t="n">
        <x:v>4.35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Prionace glauca</x:v>
      </x:c>
      <x:c r="T65" s="32" t="n">
        <x:f>IF(O65="","",(1/'Metadata'!$B$5)^(O65-1))</x:f>
        <x:v>2238.7211385683377</x:v>
      </x:c>
      <x:c r="U65" s="31" t="n">
        <x:f>IF(T65="","",I65*T65)</x:f>
        <x:v>12267.782220100022</x:v>
      </x:c>
    </x:row>
    <x:row r="66" ht="18" customHeight="1">
      <x:c r="A66" s="24" t="str">
        <x:v>EEZ_704</x:v>
      </x:c>
      <x:c r="B66" s="24" t="str">
        <x:v>Viet Nam</x:v>
      </x:c>
      <x:c r="C66" s="24" t="str">
        <x:v>EEZ</x:v>
      </x:c>
      <x:c r="D66" s="30" t="n">
        <x:v>2019</x:v>
      </x:c>
      <x:c r="E66" s="24" t="str">
        <x:v>Echinoidea</x:v>
      </x:c>
      <x:c r="F66" s="24" t="str">
        <x:v>Sea urchins, sea hedgehogs</x:v>
      </x:c>
      <x:c r="G66" s="24" t="str">
        <x:v>Other demersal invertebrates</x:v>
      </x:c>
      <x:c r="H66" s="24" t="str">
        <x:v>Other fishes &amp; inverts</x:v>
      </x:c>
      <x:c r="I66" s="31" t="n">
        <x:v>4.1155318652</x:v>
      </x:c>
      <x:c r="J66" s="31" t="n">
        <x:v>4.1155318652</x:v>
      </x:c>
      <x:c r="K66" s="31" t="n">
        <x:v>0</x:v>
      </x:c>
      <x:c r="L66" s="31" t="n">
        <x:v>4.1155318652</x:v>
      </x:c>
      <x:c r="M66" s="31" t="n">
        <x:v>0</x:v>
      </x:c>
      <x:c r="N66" s="24" t="str">
        <x:v>echinoidea</x:v>
      </x:c>
      <x:c r="O66" s="32" t="n">
        <x:v>2.51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Echinoidea</x:v>
      </x:c>
      <x:c r="T66" s="32" t="n">
        <x:f>IF(O66="","",(1/'Metadata'!$B$5)^(O66-1))</x:f>
        <x:v>32.35936569296281</x:v>
      </x:c>
      <x:c r="U66" s="31" t="n">
        <x:f>IF(T66="","",I66*T66)</x:f>
        <x:v>133.17600064704814</x:v>
      </x:c>
    </x:row>
    <x:row r="67" ht="18" customHeight="1">
      <x:c r="A67" s="24" t="str">
        <x:v>EEZ_704</x:v>
      </x:c>
      <x:c r="B67" s="24" t="str">
        <x:v>Viet Nam</x:v>
      </x:c>
      <x:c r="C67" s="24" t="str">
        <x:v>EEZ</x:v>
      </x:c>
      <x:c r="D67" s="30" t="n">
        <x:v>2019</x:v>
      </x:c>
      <x:c r="E67" s="24" t="str">
        <x:v>Carcharhinus longimanus</x:v>
      </x:c>
      <x:c r="F67" s="24" t="str">
        <x:v>Oceanic whitetip shark</x:v>
      </x:c>
      <x:c r="G67" s="24" t="str">
        <x:v>Large sharks (&gt;=90 cm)</x:v>
      </x:c>
      <x:c r="H67" s="24" t="str">
        <x:v>Sharks &amp; rays</x:v>
      </x:c>
      <x:c r="I67" s="31" t="n">
        <x:v>0.8831097734</x:v>
      </x:c>
      <x:c r="J67" s="31" t="n">
        <x:v>0.8831097734</x:v>
      </x:c>
      <x:c r="K67" s="31" t="n">
        <x:v>0</x:v>
      </x:c>
      <x:c r="L67" s="31" t="n">
        <x:v>0.8831097734</x:v>
      </x:c>
      <x:c r="M67" s="31" t="n">
        <x:v>0</x:v>
      </x:c>
      <x:c r="N67" s="24" t="str">
        <x:v>carcharhinus longimanus</x:v>
      </x:c>
      <x:c r="O67" s="32" t="n">
        <x:v>4.16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Carcharhinus longimanus</x:v>
      </x:c>
      <x:c r="T67" s="32" t="n">
        <x:f>IF(O67="","",(1/'Metadata'!$B$5)^(O67-1))</x:f>
        <x:v>1445.439770745928</x:v>
      </x:c>
      <x:c r="U67" s="31" t="n">
        <x:f>IF(T67="","",I67*T67)</x:f>
        <x:v>1276.4819884067842</x:v>
      </x:c>
    </x:row>
    <x:row r="68" ht="18" customHeight="1">
      <x:c r="A68" s="24" t="str">
        <x:v>EEZ_704</x:v>
      </x:c>
      <x:c r="B68" s="24" t="str">
        <x:v>Viet Nam</x:v>
      </x:c>
      <x:c r="C68" s="24" t="str">
        <x:v>EEZ</x:v>
      </x:c>
      <x:c r="D68" s="30" t="n">
        <x:v>2019</x:v>
      </x:c>
      <x:c r="E68" s="24" t="str">
        <x:v>Elasmobranchii</x:v>
      </x:c>
      <x:c r="F68" s="24" t="str">
        <x:v>Sharks, rays, skates</x:v>
      </x:c>
      <x:c r="G68" s="24" t="str">
        <x:v>Large sharks (&gt;=90 cm)</x:v>
      </x:c>
      <x:c r="H68" s="24" t="str">
        <x:v>Sharks &amp; rays</x:v>
      </x:c>
      <x:c r="I68" s="31" t="n">
        <x:v>0.24322574219999998</x:v>
      </x:c>
      <x:c r="J68" s="31" t="n">
        <x:v>0.24322574219999998</x:v>
      </x:c>
      <x:c r="K68" s="31" t="n">
        <x:v>0</x:v>
      </x:c>
      <x:c r="L68" s="31" t="n">
        <x:v>0.24322574219999998</x:v>
      </x:c>
      <x:c r="M68" s="31" t="n">
        <x:v>0</x:v>
      </x:c>
      <x:c r="N68" s="24" t="str">
        <x:v>elasmobranchii</x:v>
      </x:c>
      <x:c r="O68" s="32" t="n">
        <x:v>4.05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Elasmobranchii</x:v>
      </x:c>
      <x:c r="T68" s="32" t="n">
        <x:f>IF(O68="","",(1/'Metadata'!$B$5)^(O68-1))</x:f>
        <x:v>1122.018454301963</x:v>
      </x:c>
      <x:c r="U68" s="31" t="n">
        <x:f>IF(T68="","",I68*T68)</x:f>
        <x:v>272.9037713096917</x:v>
      </x:c>
    </x:row>
    <x:row r="69" ht="18" customHeight="1">
      <x:c r="A69" s="24" t="str">
        <x:v>EEZ_704</x:v>
      </x:c>
      <x:c r="B69" s="24" t="str">
        <x:v>Viet Nam</x:v>
      </x:c>
      <x:c r="C69" s="24" t="str">
        <x:v>EEZ</x:v>
      </x:c>
      <x:c r="D69" s="30" t="n">
        <x:v>2019</x:v>
      </x:c>
      <x:c r="E69" s="24" t="str">
        <x:v>Isurus oxyrinchus</x:v>
      </x:c>
      <x:c r="F69" s="24" t="str">
        <x:v>Shortfin mako</x:v>
      </x:c>
      <x:c r="G69" s="24" t="str">
        <x:v>Large sharks (&gt;=90 cm)</x:v>
      </x:c>
      <x:c r="H69" s="24" t="str">
        <x:v>Sharks &amp; rays</x:v>
      </x:c>
      <x:c r="I69" s="31" t="n">
        <x:v>0.1559032274</x:v>
      </x:c>
      <x:c r="J69" s="31" t="n">
        <x:v>0.1559032274</x:v>
      </x:c>
      <x:c r="K69" s="31" t="n">
        <x:v>0</x:v>
      </x:c>
      <x:c r="L69" s="31" t="n">
        <x:v>0.1559032274</x:v>
      </x:c>
      <x:c r="M69" s="31" t="n">
        <x:v>0</x:v>
      </x:c>
      <x:c r="N69" s="24" t="str">
        <x:v>isurus oxyrinchus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Isurus oxyrinchus</x:v>
      </x:c>
      <x:c r="T69" s="32" t="n">
        <x:f>IF(O69="","",(1/'Metadata'!$B$5)^(O69-1))</x:f>
        <x:v>3162.2776601683795</x:v>
      </x:c>
      <x:c r="U69" s="31" t="n">
        <x:f>IF(T69="","",I69*T69)</x:f>
        <x:v>493.00929315517084</x:v>
      </x:c>
    </x:row>
    <x:row r="70" ht="18" customHeight="1">
      <x:c r="A70" s="24" t="str">
        <x:v>EEZ_704</x:v>
      </x:c>
      <x:c r="B70" s="24" t="str">
        <x:v>Viet Nam</x:v>
      </x:c>
      <x:c r="C70" s="24" t="str">
        <x:v>EEZ</x:v>
      </x:c>
      <x:c r="D70" s="30" t="n">
        <x:v>2019</x:v>
      </x:c>
      <x:c r="E70" s="24" t="str">
        <x:v>Thunnus alalunga</x:v>
      </x:c>
      <x:c r="F70" s="24" t="str">
        <x:v>Albacore</x:v>
      </x:c>
      <x:c r="G70" s="24" t="str">
        <x:v>Large pelagics (&gt;=90 cm)</x:v>
      </x:c>
      <x:c r="H70" s="24" t="str">
        <x:v>Tuna &amp; billfishes</x:v>
      </x:c>
      <x:c r="I70" s="31" t="n">
        <x:v>0.1526199235</x:v>
      </x:c>
      <x:c r="J70" s="31" t="n">
        <x:v>0.1526199235</x:v>
      </x:c>
      <x:c r="K70" s="31" t="n">
        <x:v>0</x:v>
      </x:c>
      <x:c r="L70" s="31" t="n">
        <x:v>0.1317722599</x:v>
      </x:c>
      <x:c r="M70" s="31" t="n">
        <x:v>0.0208476636</x:v>
      </x:c>
      <x:c r="N70" s="24" t="str">
        <x:v>thunnus alalunga</x:v>
      </x:c>
      <x:c r="O70" s="32" t="n">
        <x:v>4.3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Thunnus alalunga</x:v>
      </x:c>
      <x:c r="T70" s="32" t="n">
        <x:f>IF(O70="","",(1/'Metadata'!$B$5)^(O70-1))</x:f>
        <x:v>1995.2623149688789</x:v>
      </x:c>
      <x:c r="U70" s="31" t="n">
        <x:f>IF(T70="","",I70*T70)</x:f>
        <x:v>304.5167818729832</x:v>
      </x:c>
    </x:row>
  </x:sheetData>
  <x:conditionalFormatting sqref="R2:R7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387223743fb47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99030.6233078043</x:v>
      </x:c>
      <x:c r="E2" s="31" t="n">
        <x:v>99030.6233078043</x:v>
      </x:c>
      <x:c r="F2" s="32" t="n">
        <x:v>0</x:v>
      </x:c>
      <x:c r="G2" s="34" t="n">
        <x:v>1</x:v>
      </x:c>
      <x:c r="H2" s="32" t="n">
        <x:f>IF(E2=0,"",I2/E2)</x:f>
        <x:v>153.00054957566218</x:v>
      </x:c>
      <x:c r="I2" s="31" t="n">
        <x:f>IF(C2=0,"",SUMIF('Species'!$H$2:$H$70,A2,'Species'!$U$2:$U$70))</x:f>
        <x:v>15151739.790914439</x:v>
      </x:c>
      <x:c r="J2" s="32" t="n">
        <x:v>3.1838967333272</x:v>
      </x:c>
      <x:c r="K2" s="32" t="n">
        <x:f>IF(J2="","",(1/'Metadata'!$B$5)^(J2-1))</x:f>
        <x:v>152.7202876300815</x:v>
      </x:c>
      <x:c r="L2" s="31" t="n">
        <x:f>IF(E2=0,"",E2*K2)</x:f>
        <x:v>15123985.275754124</x:v>
      </x:c>
      <x:c r="M2" s="31" t="n">
        <x:f>IF(E2=0,"",I2-L2)</x:f>
        <x:v>27754.51516031474</x:v>
      </x:c>
      <x:c r="N2" s="32" t="n">
        <x:f>IF(L2=0,"",I2/L2)</x:f>
        <x:v>1.0018351323843728</x:v>
      </x:c>
      <x:c r="O2" s="34" t="n">
        <x:f>IF(L2=0,"",M2/L2)</x:f>
        <x:v>0.0018351323843728631</x:v>
      </x:c>
    </x:row>
    <x:row r="3" ht="18" customHeight="1">
      <x:c r="A3" s="24" t="str">
        <x:v>Crustaceans</x:v>
      </x:c>
      <x:c r="B3" s="33" t="n">
        <x:v>11</x:v>
      </x:c>
      <x:c r="C3" s="33" t="n">
        <x:v>11</x:v>
      </x:c>
      <x:c r="D3" s="31" t="n">
        <x:v>246594.81539961678</x:v>
      </x:c>
      <x:c r="E3" s="31" t="n">
        <x:v>246594.81539961678</x:v>
      </x:c>
      <x:c r="F3" s="32" t="n">
        <x:v>0</x:v>
      </x:c>
      <x:c r="G3" s="34" t="n">
        <x:v>1</x:v>
      </x:c>
      <x:c r="H3" s="32" t="n">
        <x:f>IF(E3=0,"",I3/E3)</x:f>
        <x:v>177.3204477772812</x:v>
      </x:c>
      <x:c r="I3" s="31" t="n">
        <x:f>IF(C3=0,"",SUMIF('Species'!$H$2:$H$70,A3,'Species'!$U$2:$U$70))</x:f>
        <x:v>43726303.08621605</x:v>
      </x:c>
      <x:c r="J3" s="32" t="n">
        <x:v>3.032157947735313</x:v>
      </x:c>
      <x:c r="K3" s="32" t="n">
        <x:f>IF(J3="","",(1/'Metadata'!$B$5)^(J3-1))</x:f>
        <x:v>107.68567824191003</x:v>
      </x:c>
      <x:c r="L3" s="31" t="n">
        <x:f>IF(E3=0,"",E3*K3)</x:f>
        <x:v>26554729.94724633</x:v>
      </x:c>
      <x:c r="M3" s="31" t="n">
        <x:f>IF(E3=0,"",I3-L3)</x:f>
        <x:v>17171573.138969716</x:v>
      </x:c>
      <x:c r="N3" s="32" t="n">
        <x:f>IF(L3=0,"",I3/L3)</x:f>
        <x:v>1.6466483814025896</x:v>
      </x:c>
      <x:c r="O3" s="34" t="n">
        <x:f>IF(L3=0,"",M3/L3)</x:f>
        <x:v>0.6466483814025896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5004.8238130052005</x:v>
      </x:c>
      <x:c r="E4" s="31" t="n">
        <x:v>5004.8238130052005</x:v>
      </x:c>
      <x:c r="F4" s="32" t="n">
        <x:v>0</x:v>
      </x:c>
      <x:c r="G4" s="34" t="n">
        <x:v>1</x:v>
      </x:c>
      <x:c r="H4" s="32" t="n">
        <x:f>IF(E4=0,"",I4/E4)</x:f>
        <x:v>2454.7089156850284</x:v>
      </x:c>
      <x:c r="I4" s="31" t="n">
        <x:f>IF(C4=0,"",SUMIF('Species'!$H$2:$H$70,A4,'Species'!$U$2:$U$70))</x:f>
        <x:v>12285385.635216605</x:v>
      </x:c>
      <x:c r="J4" s="32" t="n">
        <x:v>4.39</x:v>
      </x:c>
      <x:c r="K4" s="32" t="n">
        <x:f>IF(J4="","",(1/'Metadata'!$B$5)^(J4-1))</x:f>
        <x:v>2454.7089156850284</x:v>
      </x:c>
      <x:c r="L4" s="31" t="n">
        <x:f>IF(E4=0,"",E4*K4)</x:f>
        <x:v>12285385.635216605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3</x:v>
      </x:c>
      <x:c r="C5" s="33" t="n">
        <x:v>3</x:v>
      </x:c>
      <x:c r="D5" s="31" t="n">
        <x:v>119122.6628343685</x:v>
      </x:c>
      <x:c r="E5" s="31" t="n">
        <x:v>119122.6628343685</x:v>
      </x:c>
      <x:c r="F5" s="32" t="n">
        <x:v>0</x:v>
      </x:c>
      <x:c r="G5" s="34" t="n">
        <x:v>1</x:v>
      </x:c>
      <x:c r="H5" s="32" t="n">
        <x:f>IF(E5=0,"",I5/E5)</x:f>
        <x:v>154.5182622325222</x:v>
      </x:c>
      <x:c r="I5" s="31" t="n">
        <x:f>IF(C5=0,"",SUMIF('Species'!$H$2:$H$70,A5,'Species'!$U$2:$U$70))</x:f>
        <x:v>18406626.85367728</x:v>
      </x:c>
      <x:c r="J5" s="32" t="n">
        <x:v>3.1661149941850844</x:v>
      </x:c>
      <x:c r="K5" s="32" t="n">
        <x:f>IF(J5="","",(1/'Metadata'!$B$5)^(J5-1))</x:f>
        <x:v>146.59359458032256</x:v>
      </x:c>
      <x:c r="L5" s="31" t="n">
        <x:f>IF(E5=0,"",E5*K5)</x:f>
        <x:v>17462619.340869874</x:v>
      </x:c>
      <x:c r="M5" s="31" t="n">
        <x:f>IF(E5=0,"",I5-L5)</x:f>
        <x:v>944007.5128074065</x:v>
      </x:c>
      <x:c r="N5" s="32" t="n">
        <x:f>IF(L5=0,"",I5/L5)</x:f>
        <x:v>1.054058757989303</x:v>
      </x:c>
      <x:c r="O5" s="34" t="n">
        <x:f>IF(L5=0,"",M5/L5)</x:f>
        <x:v>0.054058757989303007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30984</x:v>
      </x:c>
      <x:c r="E6" s="31" t="n">
        <x:v>30984</x:v>
      </x:c>
      <x:c r="F6" s="32" t="n">
        <x:v>0</x:v>
      </x:c>
      <x:c r="G6" s="34" t="n">
        <x:v>1</x:v>
      </x:c>
      <x:c r="H6" s="32" t="n">
        <x:f>IF(E6=0,"",I6/E6)</x:f>
        <x:v>12.589254117941675</x:v>
      </x:c>
      <x:c r="I6" s="31" t="n">
        <x:f>IF(C6=0,"",SUMIF('Species'!$H$2:$H$70,A6,'Species'!$U$2:$U$70))</x:f>
        <x:v>390065.44959030487</x:v>
      </x:c>
      <x:c r="J6" s="32" t="n">
        <x:v>2.1</x:v>
      </x:c>
      <x:c r="K6" s="32" t="n">
        <x:f>IF(J6="","",(1/'Metadata'!$B$5)^(J6-1))</x:f>
        <x:v>12.589254117941675</x:v>
      </x:c>
      <x:c r="L6" s="31" t="n">
        <x:f>IF(E6=0,"",E6*K6)</x:f>
        <x:v>390065.44959030487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15</x:v>
      </x:c>
      <x:c r="C7" s="33" t="n">
        <x:v>15</x:v>
      </x:c>
      <x:c r="D7" s="31" t="n">
        <x:v>1545286.7625302393</x:v>
      </x:c>
      <x:c r="E7" s="31" t="n">
        <x:v>1545286.7625302393</x:v>
      </x:c>
      <x:c r="F7" s="32" t="n">
        <x:v>0</x:v>
      </x:c>
      <x:c r="G7" s="34" t="n">
        <x:v>1</x:v>
      </x:c>
      <x:c r="H7" s="32" t="n">
        <x:f>IF(E7=0,"",I7/E7)</x:f>
        <x:v>1289.1927081463575</x:v>
      </x:c>
      <x:c r="I7" s="31" t="n">
        <x:f>IF(C7=0,"",SUMIF('Species'!$H$2:$H$70,A7,'Species'!$U$2:$U$70))</x:f>
        <x:v>1992172426.2490766</x:v>
      </x:c>
      <x:c r="J7" s="32" t="n">
        <x:v>3.9746287886894005</x:v>
      </x:c>
      <x:c r="K7" s="32" t="n">
        <x:f>IF(J7="","",(1/'Metadata'!$B$5)^(J7-1))</x:f>
        <x:v>943.2542891398608</x:v>
      </x:c>
      <x:c r="L7" s="31" t="n">
        <x:f>IF(E7=0,"",E7*K7)</x:f>
        <x:v>1457598366.7076979</x:v>
      </x:c>
      <x:c r="M7" s="31" t="n">
        <x:f>IF(E7=0,"",I7-L7)</x:f>
        <x:v>534574059.54137874</x:v>
      </x:c>
      <x:c r="N7" s="32" t="n">
        <x:f>IF(L7=0,"",I7/L7)</x:f>
        <x:v>1.3667499029577195</x:v>
      </x:c>
      <x:c r="O7" s="34" t="n">
        <x:f>IF(L7=0,"",M7/L7)</x:f>
        <x:v>0.3667499029577196</x:v>
      </x:c>
    </x:row>
    <x:row r="8" ht="18" customHeight="1">
      <x:c r="A8" s="24" t="str">
        <x:v>Perch-likes</x:v>
      </x:c>
      <x:c r="B8" s="33" t="n">
        <x:v>23</x:v>
      </x:c>
      <x:c r="C8" s="33" t="n">
        <x:v>23</x:v>
      </x:c>
      <x:c r="D8" s="31" t="n">
        <x:v>2726784.1113102366</x:v>
      </x:c>
      <x:c r="E8" s="31" t="n">
        <x:v>2726784.1113102366</x:v>
      </x:c>
      <x:c r="F8" s="32" t="n">
        <x:v>0</x:v>
      </x:c>
      <x:c r="G8" s="34" t="n">
        <x:v>1</x:v>
      </x:c>
      <x:c r="H8" s="32" t="n">
        <x:f>IF(E8=0,"",I8/E8)</x:f>
        <x:v>629.2339402297579</x:v>
      </x:c>
      <x:c r="I8" s="31" t="n">
        <x:f>IF(C8=0,"",SUMIF('Species'!$H$2:$H$70,A8,'Species'!$U$2:$U$70))</x:f>
        <x:v>1715785110.5156388</x:v>
      </x:c>
      <x:c r="J8" s="32" t="n">
        <x:v>3.6405539563431186</x:v>
      </x:c>
      <x:c r="K8" s="32" t="n">
        <x:f>IF(J8="","",(1/'Metadata'!$B$5)^(J8-1))</x:f>
        <x:v>437.0729772383654</x:v>
      </x:c>
      <x:c r="L8" s="31" t="n">
        <x:f>IF(E8=0,"",E8*K8)</x:f>
        <x:v>1191803649.8166356</x:v>
      </x:c>
      <x:c r="M8" s="31" t="n">
        <x:f>IF(E8=0,"",I8-L8)</x:f>
        <x:v>523981460.6990032</x:v>
      </x:c>
      <x:c r="N8" s="32" t="n">
        <x:f>IF(L8=0,"",I8/L8)</x:f>
        <x:v>1.4396541836229653</x:v>
      </x:c>
      <x:c r="O8" s="34" t="n">
        <x:f>IF(L8=0,"",M8/L8)</x:f>
        <x:v>0.4396541836229652</x:v>
      </x:c>
    </x:row>
    <x:row r="9" ht="18" customHeight="1">
      <x:c r="A9" s="24" t="str">
        <x:v>Sharks &amp; rays</x:v>
      </x:c>
      <x:c r="B9" s="33" t="n">
        <x:v>5</x:v>
      </x:c>
      <x:c r="C9" s="33" t="n">
        <x:v>5</x:v>
      </x:c>
      <x:c r="D9" s="31" t="n">
        <x:v>25117.713352990606</x:v>
      </x:c>
      <x:c r="E9" s="31" t="n">
        <x:v>25117.713352990606</x:v>
      </x:c>
      <x:c r="F9" s="32" t="n">
        <x:v>0</x:v>
      </x:c>
      <x:c r="G9" s="34" t="n">
        <x:v>1</x:v>
      </x:c>
      <x:c r="H9" s="32" t="n">
        <x:f>IF(E9=0,"",I9/E9)</x:f>
        <x:v>1000.3005098988945</x:v>
      </x:c>
      <x:c r="I9" s="31" t="n">
        <x:f>IF(C9=0,"",SUMIF('Species'!$H$2:$H$70,A9,'Species'!$U$2:$U$70))</x:f>
        <x:v>25125261.474490773</x:v>
      </x:c>
      <x:c r="J9" s="32" t="n">
        <x:v>4.000085570943292</x:v>
      </x:c>
      <x:c r="K9" s="32" t="n">
        <x:f>IF(J9="","",(1/'Metadata'!$B$5)^(J9-1))</x:f>
        <x:v>1000.1970537909659</x:v>
      </x:c>
      <x:c r="L9" s="31" t="n">
        <x:f>IF(E9=0,"",E9*K9)</x:f>
        <x:v>25122662.893627208</x:v>
      </x:c>
      <x:c r="M9" s="31" t="n">
        <x:f>IF(E9=0,"",I9-L9)</x:f>
        <x:v>2598.5808635652065</x:v>
      </x:c>
      <x:c r="N9" s="32" t="n">
        <x:f>IF(L9=0,"",I9/L9)</x:f>
        <x:v>1.0001034357255267</x:v>
      </x:c>
      <x:c r="O9" s="34" t="n">
        <x:f>IF(L9=0,"",M9/L9)</x:f>
        <x:v>0.00010343572552670684</x:v>
      </x:c>
    </x:row>
    <x:row r="10" ht="18" customHeight="1">
      <x:c r="A10" s="24" t="str">
        <x:v>Tuna &amp; billfishes</x:v>
      </x:c>
      <x:c r="B10" s="33" t="n">
        <x:v>8</x:v>
      </x:c>
      <x:c r="C10" s="33" t="n">
        <x:v>8</x:v>
      </x:c>
      <x:c r="D10" s="31" t="n">
        <x:v>350379.6244418383</x:v>
      </x:c>
      <x:c r="E10" s="31" t="n">
        <x:v>350379.6244418383</x:v>
      </x:c>
      <x:c r="F10" s="32" t="n">
        <x:v>0</x:v>
      </x:c>
      <x:c r="G10" s="34" t="n">
        <x:v>1</x:v>
      </x:c>
      <x:c r="H10" s="32" t="n">
        <x:f>IF(E10=0,"",I10/E10)</x:f>
        <x:v>1634.8302548664685</x:v>
      </x:c>
      <x:c r="I10" s="31" t="n">
        <x:f>IF(C10=0,"",SUMIF('Species'!$H$2:$H$70,A10,'Species'!$U$2:$U$70))</x:f>
        <x:v>572811210.726268</x:v>
      </x:c>
      <x:c r="J10" s="32" t="n">
        <x:v>4.210315366131071</x:v>
      </x:c>
      <x:c r="K10" s="32" t="n">
        <x:f>IF(J10="","",(1/'Metadata'!$B$5)^(J10-1))</x:f>
        <x:v>1622.9882143824627</x:v>
      </x:c>
      <x:c r="L10" s="31" t="n">
        <x:f>IF(E10=0,"",E10*K10)</x:f>
        <x:v>568662001.028857</x:v>
      </x:c>
      <x:c r="M10" s="31" t="n">
        <x:f>IF(E10=0,"",I10-L10)</x:f>
        <x:v>4149209.6974110603</x:v>
      </x:c>
      <x:c r="N10" s="32" t="n">
        <x:f>IF(L10=0,"",I10/L10)</x:f>
        <x:v>1.0072964426845896</x:v>
      </x:c>
      <x:c r="O10" s="34" t="n">
        <x:f>IF(L10=0,"",M10/L10)</x:f>
        <x:v>0.007296442684589553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3d2fb74048245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7</x:v>
      </x:c>
      <x:c r="C2" s="33" t="n">
        <x:v>7</x:v>
      </x:c>
      <x:c r="D2" s="31" t="n">
        <x:v>465278.3500621186</x:v>
      </x:c>
      <x:c r="E2" s="31" t="n">
        <x:v>465278.3500621186</x:v>
      </x:c>
      <x:c r="F2" s="32" t="n">
        <x:v>0</x:v>
      </x:c>
      <x:c r="G2" s="34" t="n">
        <x:v>1</x:v>
      </x:c>
      <x:c r="H2" s="32" t="n">
        <x:f>IF(E2=0,"",I2/E2)</x:f>
        <x:v>578.6403708601555</x:v>
      </x:c>
      <x:c r="I2" s="31" t="n">
        <x:f>IF(C2=0,"",SUMIF('Species'!$G$2:$G$70,A2,'Species'!$U$2:$U$70))</x:f>
        <x:v>269228837.03314555</x:v>
      </x:c>
      <x:c r="J2" s="32" t="n">
        <x:v>3.7351133162290164</x:v>
      </x:c>
      <x:c r="K2" s="32" t="n">
        <x:f>IF(J2="","",(1/'Metadata'!$B$5)^(J2-1))</x:f>
        <x:v>543.3920950037051</x:v>
      </x:c>
      <x:c r="L2" s="31" t="n">
        <x:f>IF(E2=0,"",E2*K2)</x:f>
        <x:v>252828577.4001219</x:v>
      </x:c>
      <x:c r="M2" s="31" t="n">
        <x:f>IF(E2=0,"",I2-L2)</x:f>
        <x:v>16400259.63302365</x:v>
      </x:c>
      <x:c r="N2" s="32" t="n">
        <x:f>IF(L2=0,"",I2/L2)</x:f>
        <x:v>1.064867111944663</x:v>
      </x:c>
      <x:c r="O2" s="34" t="n">
        <x:f>IF(L2=0,"",M2/L2)</x:f>
        <x:v>0.06486711194466319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16606.949519653597</x:v>
      </x:c>
      <x:c r="E3" s="31" t="n">
        <x:v>16606.949519653597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IF(C3=0,"",SUMIF('Species'!$G$2:$G$70,A3,'Species'!$U$2:$U$70))</x:f>
        <x:v>4789496.558551422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4789496.558551422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2</x:v>
      </x:c>
      <x:c r="C4" s="33" t="n">
        <x:v>2</x:v>
      </x:c>
      <x:c r="D4" s="31" t="n">
        <x:v>48753.82975575601</x:v>
      </x:c>
      <x:c r="E4" s="31" t="n">
        <x:v>48753.82975575601</x:v>
      </x:c>
      <x:c r="F4" s="32" t="n">
        <x:v>0</x:v>
      </x:c>
      <x:c r="G4" s="34" t="n">
        <x:v>1</x:v>
      </x:c>
      <x:c r="H4" s="32" t="n">
        <x:f>IF(E4=0,"",I4/E4)</x:f>
        <x:v>2538.611554102582</x:v>
      </x:c>
      <x:c r="I4" s="31" t="n">
        <x:f>IF(C4=0,"",SUMIF('Species'!$G$2:$G$70,A4,'Species'!$U$2:$U$70))</x:f>
        <x:v>123767035.52471246</x:v>
      </x:c>
      <x:c r="J4" s="32" t="n">
        <x:v>4.340130119792569</x:v>
      </x:c>
      <x:c r="K4" s="32" t="n">
        <x:f>IF(J4="","",(1/'Metadata'!$B$5)^(J4-1))</x:f>
        <x:v>2188.4172015593176</x:v>
      </x:c>
      <x:c r="L4" s="31" t="n">
        <x:f>IF(E4=0,"",E4*K4)</x:f>
        <x:v>106693719.67939095</x:v>
      </x:c>
      <x:c r="M4" s="31" t="n">
        <x:f>IF(E4=0,"",I4-L4)</x:f>
        <x:v>17073315.845321506</x:v>
      </x:c>
      <x:c r="N4" s="32" t="n">
        <x:f>IF(L4=0,"",I4/L4)</x:f>
        <x:v>1.160021751014267</x:v>
      </x:c>
      <x:c r="O4" s="34" t="n">
        <x:f>IF(L4=0,"",M4/L4)</x:f>
        <x:v>0.16002175101426708</x:v>
      </x:c>
    </x:row>
    <x:row r="5" ht="18" customHeight="1">
      <x:c r="A5" s="24" t="str">
        <x:v>Large demersals (&gt;=90 cm)</x:v>
      </x:c>
      <x:c r="B5" s="33" t="n">
        <x:v>1</x:v>
      </x:c>
      <x:c r="C5" s="33" t="n">
        <x:v>1</x:v>
      </x:c>
      <x:c r="D5" s="31" t="n">
        <x:v>25647.4950050216</x:v>
      </x:c>
      <x:c r="E5" s="31" t="n">
        <x:v>25647.4950050216</x:v>
      </x:c>
      <x:c r="F5" s="32" t="n">
        <x:v>0</x:v>
      </x:c>
      <x:c r="G5" s="34" t="n">
        <x:v>1</x:v>
      </x:c>
      <x:c r="H5" s="32" t="n">
        <x:f>IF(E5=0,"",I5/E5)</x:f>
        <x:v>2398.83291901949</x:v>
      </x:c>
      <x:c r="I5" s="31" t="n">
        <x:f>IF(C5=0,"",SUMIF('Species'!$G$2:$G$70,A5,'Species'!$U$2:$U$70))</x:f>
        <x:v>61524055.30843375</x:v>
      </x:c>
      <x:c r="J5" s="32" t="n">
        <x:v>4.38</x:v>
      </x:c>
      <x:c r="K5" s="32" t="n">
        <x:f>IF(J5="","",(1/'Metadata'!$B$5)^(J5-1))</x:f>
        <x:v>2398.83291901949</x:v>
      </x:c>
      <x:c r="L5" s="31" t="n">
        <x:f>IF(E5=0,"",E5*K5)</x:f>
        <x:v>61524055.30843375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pelagics (&gt;=90 cm)</x:v>
      </x:c>
      <x:c r="B6" s="33" t="n">
        <x:v>10</x:v>
      </x:c>
      <x:c r="C6" s="33" t="n">
        <x:v>10</x:v>
      </x:c>
      <x:c r="D6" s="31" t="n">
        <x:v>373611.51117895194</x:v>
      </x:c>
      <x:c r="E6" s="31" t="n">
        <x:v>373611.51117895194</x:v>
      </x:c>
      <x:c r="F6" s="32" t="n">
        <x:v>0</x:v>
      </x:c>
      <x:c r="G6" s="34" t="n">
        <x:v>1</x:v>
      </x:c>
      <x:c r="H6" s="32" t="n">
        <x:f>IF(E6=0,"",I6/E6)</x:f>
        <x:v>1675.0497275158398</x:v>
      </x:c>
      <x:c r="I6" s="31" t="n">
        <x:f>IF(C6=0,"",SUMIF('Species'!$G$2:$G$70,A6,'Species'!$U$2:$U$70))</x:f>
        <x:v>625817859.9970846</x:v>
      </x:c>
      <x:c r="J6" s="32" t="n">
        <x:v>4.219434611744907</x:v>
      </x:c>
      <x:c r="K6" s="32" t="n">
        <x:f>IF(J6="","",(1/'Metadata'!$B$5)^(J6-1))</x:f>
        <x:v>1657.427772386095</x:v>
      </x:c>
      <x:c r="L6" s="31" t="n">
        <x:f>IF(E6=0,"",E6*K6)</x:f>
        <x:v>619234094.711133</x:v>
      </x:c>
      <x:c r="M6" s="31" t="n">
        <x:f>IF(E6=0,"",I6-L6)</x:f>
        <x:v>6583765.285951614</x:v>
      </x:c>
      <x:c r="N6" s="32" t="n">
        <x:f>IF(L6=0,"",I6/L6)</x:f>
        <x:v>1.0106321104444724</x:v>
      </x:c>
      <x:c r="O6" s="34" t="n">
        <x:f>IF(L6=0,"",M6/L6)</x:f>
        <x:v>0.010632110444472345</x:v>
      </x:c>
    </x:row>
    <x:row r="7" ht="18" customHeight="1">
      <x:c r="A7" s="24" t="str">
        <x:v>Large sharks (&gt;=90 cm)</x:v>
      </x:c>
      <x:c r="B7" s="33" t="n">
        <x:v>5</x:v>
      </x:c>
      <x:c r="C7" s="33" t="n">
        <x:v>5</x:v>
      </x:c>
      <x:c r="D7" s="31" t="n">
        <x:v>25117.713352990606</x:v>
      </x:c>
      <x:c r="E7" s="31" t="n">
        <x:v>25117.713352990606</x:v>
      </x:c>
      <x:c r="F7" s="32" t="n">
        <x:v>0</x:v>
      </x:c>
      <x:c r="G7" s="34" t="n">
        <x:v>1</x:v>
      </x:c>
      <x:c r="H7" s="32" t="n">
        <x:f>IF(E7=0,"",I7/E7)</x:f>
        <x:v>1000.3005098988945</x:v>
      </x:c>
      <x:c r="I7" s="31" t="n">
        <x:f>IF(C7=0,"",SUMIF('Species'!$G$2:$G$70,A7,'Species'!$U$2:$U$70))</x:f>
        <x:v>25125261.474490773</x:v>
      </x:c>
      <x:c r="J7" s="32" t="n">
        <x:v>4.000085570943292</x:v>
      </x:c>
      <x:c r="K7" s="32" t="n">
        <x:f>IF(J7="","",(1/'Metadata'!$B$5)^(J7-1))</x:f>
        <x:v>1000.1970537909659</x:v>
      </x:c>
      <x:c r="L7" s="31" t="n">
        <x:f>IF(E7=0,"",E7*K7)</x:f>
        <x:v>25122662.893627208</x:v>
      </x:c>
      <x:c r="M7" s="31" t="n">
        <x:f>IF(E7=0,"",I7-L7)</x:f>
        <x:v>2598.5808635652065</x:v>
      </x:c>
      <x:c r="N7" s="32" t="n">
        <x:f>IF(L7=0,"",I7/L7)</x:f>
        <x:v>1.0001034357255267</x:v>
      </x:c>
      <x:c r="O7" s="34" t="n">
        <x:f>IF(L7=0,"",M7/L7)</x:f>
        <x:v>0.00010343572552670684</x:v>
      </x:c>
    </x:row>
    <x:row r="8" ht="18" customHeight="1">
      <x:c r="A8" s="24" t="str">
        <x:v>Lobsters, crabs</x:v>
      </x:c>
      <x:c r="B8" s="33" t="n">
        <x:v>6</x:v>
      </x:c>
      <x:c r="C8" s="33" t="n">
        <x:v>6</x:v>
      </x:c>
      <x:c r="D8" s="31" t="n">
        <x:v>116322.1646667821</x:v>
      </x:c>
      <x:c r="E8" s="31" t="n">
        <x:v>116322.1646667821</x:v>
      </x:c>
      <x:c r="F8" s="32" t="n">
        <x:v>0</x:v>
      </x:c>
      <x:c r="G8" s="34" t="n">
        <x:v>1</x:v>
      </x:c>
      <x:c r="H8" s="32" t="n">
        <x:f>IF(E8=0,"",I8/E8)</x:f>
        <x:v>183.80580018994428</x:v>
      </x:c>
      <x:c r="I8" s="31" t="n">
        <x:f>IF(C8=0,"",SUMIF('Species'!$G$2:$G$70,A8,'Species'!$U$2:$U$70))</x:f>
        <x:v>21380688.55640435</x:v>
      </x:c>
      <x:c r="J8" s="32" t="n">
        <x:v>2.877041919643876</x:v>
      </x:c>
      <x:c r="K8" s="32" t="n">
        <x:f>IF(J8="","",(1/'Metadata'!$B$5)^(J8-1))</x:f>
        <x:v>75.34282837944933</x:v>
      </x:c>
      <x:c r="L8" s="31" t="n">
        <x:f>IF(E8=0,"",E8*K8)</x:f>
        <x:v>8764040.889215408</x:v>
      </x:c>
      <x:c r="M8" s="31" t="n">
        <x:f>IF(E8=0,"",I8-L8)</x:f>
        <x:v>12616647.66718894</x:v>
      </x:c>
      <x:c r="N8" s="32" t="n">
        <x:f>IF(L8=0,"",I8/L8)</x:f>
        <x:v>2.4395925152191333</x:v>
      </x:c>
      <x:c r="O8" s="34" t="n">
        <x:f>IF(L8=0,"",M8/L8)</x:f>
        <x:v>1.4395925152191336</x:v>
      </x:c>
    </x:row>
    <x:row r="9" ht="18" customHeight="1">
      <x:c r="A9" s="24" t="str">
        <x:v>Medium benthopelagics (30 - 89 cm)</x:v>
      </x:c>
      <x:c r="B9" s="33" t="n">
        <x:v>3</x:v>
      </x:c>
      <x:c r="C9" s="33" t="n">
        <x:v>3</x:v>
      </x:c>
      <x:c r="D9" s="31" t="n">
        <x:v>368114.76064278814</x:v>
      </x:c>
      <x:c r="E9" s="31" t="n">
        <x:v>368114.76064278814</x:v>
      </x:c>
      <x:c r="F9" s="32" t="n">
        <x:v>0</x:v>
      </x:c>
      <x:c r="G9" s="34" t="n">
        <x:v>1</x:v>
      </x:c>
      <x:c r="H9" s="32" t="n">
        <x:f>IF(E9=0,"",I9/E9)</x:f>
        <x:v>210.03916388204922</x:v>
      </x:c>
      <x:c r="I9" s="31" t="n">
        <x:f>IF(C9=0,"",SUMIF('Species'!$G$2:$G$70,A9,'Species'!$U$2:$U$70))</x:f>
        <x:v>77318516.5380519</x:v>
      </x:c>
      <x:c r="J9" s="32" t="n">
        <x:v>3.319607994188393</x:v>
      </x:c>
      <x:c r="K9" s="32" t="n">
        <x:f>IF(J9="","",(1/'Metadata'!$B$5)^(J9-1))</x:f>
        <x:v>208.74111271577186</x:v>
      </x:c>
      <x:c r="L9" s="31" t="n">
        <x:f>IF(E9=0,"",E9*K9)</x:f>
        <x:v>76840684.74367562</x:v>
      </x:c>
      <x:c r="M9" s="31" t="n">
        <x:f>IF(E9=0,"",I9-L9)</x:f>
        <x:v>477831.7943762839</x:v>
      </x:c>
      <x:c r="N9" s="32" t="n">
        <x:f>IF(L9=0,"",I9/L9)</x:f>
        <x:v>1.0062184739239406</x:v>
      </x:c>
      <x:c r="O9" s="34" t="n">
        <x:f>IF(L9=0,"",M9/L9)</x:f>
        <x:v>0.006218473923940558</x:v>
      </x:c>
    </x:row>
    <x:row r="10" ht="18" customHeight="1">
      <x:c r="A10" s="24" t="str">
        <x:v>Medium demersals (30 - 89 cm)</x:v>
      </x:c>
      <x:c r="B10" s="33" t="n">
        <x:v>6</x:v>
      </x:c>
      <x:c r="C10" s="33" t="n">
        <x:v>6</x:v>
      </x:c>
      <x:c r="D10" s="31" t="n">
        <x:v>1707547.1148410395</x:v>
      </x:c>
      <x:c r="E10" s="31" t="n">
        <x:v>1707547.1148410395</x:v>
      </x:c>
      <x:c r="F10" s="32" t="n">
        <x:v>0</x:v>
      </x:c>
      <x:c r="G10" s="34" t="n">
        <x:v>1</x:v>
      </x:c>
      <x:c r="H10" s="32" t="n">
        <x:f>IF(E10=0,"",I10/E10)</x:f>
        <x:v>1134.9337203945038</x:v>
      </x:c>
      <x:c r="I10" s="31" t="n">
        <x:f>IF(C10=0,"",SUMIF('Species'!$G$2:$G$70,A10,'Species'!$U$2:$U$70))</x:f>
        <x:v>1937952799.7954419</x:v>
      </x:c>
      <x:c r="J10" s="32" t="n">
        <x:v>3.8976187878316497</x:v>
      </x:c>
      <x:c r="K10" s="32" t="n">
        <x:f>IF(J10="","",(1/'Metadata'!$B$5)^(J10-1))</x:f>
        <x:v>789.9848958022493</x:v>
      </x:c>
      <x:c r="L10" s="31" t="n">
        <x:f>IF(E10=0,"",E10*K10)</x:f>
        <x:v>1348936429.59513</x:v>
      </x:c>
      <x:c r="M10" s="31" t="n">
        <x:f>IF(E10=0,"",I10-L10)</x:f>
        <x:v>589016370.2003119</x:v>
      </x:c>
      <x:c r="N10" s="32" t="n">
        <x:f>IF(L10=0,"",I10/L10)</x:f>
        <x:v>1.4366524302239354</x:v>
      </x:c>
      <x:c r="O10" s="34" t="n">
        <x:f>IF(L10=0,"",M10/L10)</x:f>
        <x:v>0.4366524302239353</x:v>
      </x:c>
    </x:row>
    <x:row r="11" ht="18" customHeight="1">
      <x:c r="A11" s="24" t="str">
        <x:v>Medium pelagics (30 - 89 cm)</x:v>
      </x:c>
      <x:c r="B11" s="33" t="n">
        <x:v>6</x:v>
      </x:c>
      <x:c r="C11" s="33" t="n">
        <x:v>6</x:v>
      </x:c>
      <x:c r="D11" s="31" t="n">
        <x:v>629320.5060519546</x:v>
      </x:c>
      <x:c r="E11" s="31" t="n">
        <x:v>629320.5060519546</x:v>
      </x:c>
      <x:c r="F11" s="32" t="n">
        <x:v>0</x:v>
      </x:c>
      <x:c r="G11" s="34" t="n">
        <x:v>1</x:v>
      </x:c>
      <x:c r="H11" s="32" t="n">
        <x:f>IF(E11=0,"",I11/E11)</x:f>
        <x:v>1336.539868385387</x:v>
      </x:c>
      <x:c r="I11" s="31" t="n">
        <x:f>IF(C11=0,"",SUMIF('Species'!$G$2:$G$70,A11,'Species'!$U$2:$U$70))</x:f>
        <x:v>841111946.3309046</x:v>
      </x:c>
      <x:c r="J11" s="32" t="n">
        <x:v>4.0726640972301125</x:v>
      </x:c>
      <x:c r="K11" s="32" t="n">
        <x:f>IF(J11="","",(1/'Metadata'!$B$5)^(J11-1))</x:f>
        <x:v>1182.1268922578313</x:v>
      </x:c>
      <x:c r="L11" s="31" t="n">
        <x:f>IF(E11=0,"",E11*K11)</x:f>
        <x:v>743936694.0533228</x:v>
      </x:c>
      <x:c r="M11" s="31" t="n">
        <x:f>IF(E11=0,"",I11-L11)</x:f>
        <x:v>97175252.27758181</x:v>
      </x:c>
      <x:c r="N11" s="32" t="n">
        <x:f>IF(L11=0,"",I11/L11)</x:f>
        <x:v>1.130623012756804</x:v>
      </x:c>
      <x:c r="O11" s="34" t="n">
        <x:f>IF(L11=0,"",M11/L11)</x:f>
        <x:v>0.13062301275680405</x:v>
      </x:c>
    </x:row>
    <x:row r="12" ht="18" customHeight="1">
      <x:c r="A12" s="24" t="str">
        <x:v>Medium reef assoc. fish (30 - 89 cm)</x:v>
      </x:c>
      <x:c r="B12" s="33" t="n">
        <x:v>8</x:v>
      </x:c>
      <x:c r="C12" s="33" t="n">
        <x:v>8</x:v>
      </x:c>
      <x:c r="D12" s="31" t="n">
        <x:v>405502.7673606192</x:v>
      </x:c>
      <x:c r="E12" s="31" t="n">
        <x:v>405502.7673606192</x:v>
      </x:c>
      <x:c r="F12" s="32" t="n">
        <x:v>0</x:v>
      </x:c>
      <x:c r="G12" s="34" t="n">
        <x:v>1</x:v>
      </x:c>
      <x:c r="H12" s="32" t="n">
        <x:f>IF(E12=0,"",I12/E12)</x:f>
        <x:v>458.6024814258897</x:v>
      </x:c>
      <x:c r="I12" s="31" t="n">
        <x:f>IF(C12=0,"",SUMIF('Species'!$G$2:$G$70,A12,'Species'!$U$2:$U$70))</x:f>
        <x:v>185964575.33664525</x:v>
      </x:c>
      <x:c r="J12" s="32" t="n">
        <x:v>3.5773270943560282</x:v>
      </x:c>
      <x:c r="K12" s="32" t="n">
        <x:f>IF(J12="","",(1/'Metadata'!$B$5)^(J12-1))</x:f>
        <x:v>377.8566712904995</x:v>
      </x:c>
      <x:c r="L12" s="31" t="n">
        <x:f>IF(E12=0,"",E12*K12)</x:f>
        <x:v>153221925.87396938</x:v>
      </x:c>
      <x:c r="M12" s="31" t="n">
        <x:f>IF(E12=0,"",I12-L12)</x:f>
        <x:v>32742649.46267587</x:v>
      </x:c>
      <x:c r="N12" s="32" t="n">
        <x:f>IF(L12=0,"",I12/L12)</x:f>
        <x:v>1.2136942821721735</x:v>
      </x:c>
      <x:c r="O12" s="34" t="n">
        <x:f>IF(L12=0,"",M12/L12)</x:f>
        <x:v>0.21369428217217354</x:v>
      </x:c>
    </x:row>
    <x:row r="13" ht="18" customHeight="1">
      <x:c r="A13" s="24" t="str">
        <x:v>Other demersal invertebrates</x:v>
      </x:c>
      <x:c r="B13" s="33" t="n">
        <x:v>3</x:v>
      </x:c>
      <x:c r="C13" s="33" t="n">
        <x:v>3</x:v>
      </x:c>
      <x:c r="D13" s="31" t="n">
        <x:v>32467.381899785003</x:v>
      </x:c>
      <x:c r="E13" s="31" t="n">
        <x:v>32467.381899785003</x:v>
      </x:c>
      <x:c r="F13" s="32" t="n">
        <x:v>0</x:v>
      </x:c>
      <x:c r="G13" s="34" t="n">
        <x:v>1</x:v>
      </x:c>
      <x:c r="H13" s="32" t="n">
        <x:f>IF(E13=0,"",I13/E13)</x:f>
        <x:v>13.244480138669465</x:v>
      </x:c>
      <x:c r="I13" s="31" t="n">
        <x:f>IF(C13=0,"",SUMIF('Species'!$G$2:$G$70,A13,'Species'!$U$2:$U$70))</x:f>
        <x:v>430013.59472629894</x:v>
      </x:c>
      <x:c r="J13" s="32" t="n">
        <x:v>2.115087304267102</x:v>
      </x:c>
      <x:c r="K13" s="32" t="n">
        <x:f>IF(J13="","",(1/'Metadata'!$B$5)^(J13-1))</x:f>
        <x:v>13.03428774543779</x:v>
      </x:c>
      <x:c r="L13" s="31" t="n">
        <x:f>IF(E13=0,"",E13*K13)</x:f>
        <x:v>423189.1980228164</x:v>
      </x:c>
      <x:c r="M13" s="31" t="n">
        <x:f>IF(E13=0,"",I13-L13)</x:f>
        <x:v>6824.396703482547</x:v>
      </x:c>
      <x:c r="N13" s="32" t="n">
        <x:f>IF(L13=0,"",I13/L13)</x:f>
        <x:v>1.016126112706484</x:v>
      </x:c>
      <x:c r="O13" s="34" t="n">
        <x:f>IF(L13=0,"",M13/L13)</x:f>
        <x:v>0.01612611270648408</x:v>
      </x:c>
    </x:row>
    <x:row r="14" ht="18" customHeight="1">
      <x:c r="A14" s="24" t="str">
        <x:v>Shrimps</x:v>
      </x:c>
      <x:c r="B14" s="33" t="n">
        <x:v>5</x:v>
      </x:c>
      <x:c r="C14" s="33" t="n">
        <x:v>5</x:v>
      </x:c>
      <x:c r="D14" s="31" t="n">
        <x:v>130272.65073283469</x:v>
      </x:c>
      <x:c r="E14" s="31" t="n">
        <x:v>130272.65073283469</x:v>
      </x:c>
      <x:c r="F14" s="32" t="n">
        <x:v>0</x:v>
      </x:c>
      <x:c r="G14" s="34" t="n">
        <x:v>1</x:v>
      </x:c>
      <x:c r="H14" s="32" t="n">
        <x:f>IF(E14=0,"",I14/E14)</x:f>
        <x:v>171.52959123890435</x:v>
      </x:c>
      <x:c r="I14" s="31" t="n">
        <x:f>IF(C14=0,"",SUMIF('Species'!$G$2:$G$70,A14,'Species'!$U$2:$U$70))</x:f>
        <x:v>22345614.529811688</x:v>
      </x:c>
      <x:c r="J14" s="32" t="n">
        <x:v>3.170663091068223</x:v>
      </x:c>
      <x:c r="K14" s="32" t="n">
        <x:f>IF(J14="","",(1/'Metadata'!$B$5)^(J14-1))</x:f>
        <x:v>148.13684506948732</x:v>
      </x:c>
      <x:c r="L14" s="31" t="n">
        <x:f>IF(E14=0,"",E14*K14)</x:f>
        <x:v>19298179.478401367</x:v>
      </x:c>
      <x:c r="M14" s="31" t="n">
        <x:f>IF(E14=0,"",I14-L14)</x:f>
        <x:v>3047435.051410321</x:v>
      </x:c>
      <x:c r="N14" s="32" t="n">
        <x:f>IF(L14=0,"",I14/L14)</x:f>
        <x:v>1.1579130847456895</x:v>
      </x:c>
      <x:c r="O14" s="34" t="n">
        <x:f>IF(L14=0,"",M14/L14)</x:f>
        <x:v>0.15791308474568952</x:v>
      </x:c>
    </x:row>
    <x:row r="15" ht="18" customHeight="1">
      <x:c r="A15" s="24" t="str">
        <x:v>Small benthopelagics (&lt;30 cm)</x:v>
      </x:c>
      <x:c r="B15" s="33" t="n">
        <x:v>1</x:v>
      </x:c>
      <x:c r="C15" s="33" t="n">
        <x:v>1</x:v>
      </x:c>
      <x:c r="D15" s="31" t="n">
        <x:v>435672.2818216477</x:v>
      </x:c>
      <x:c r="E15" s="31" t="n">
        <x:v>435672.2818216477</x:v>
      </x:c>
      <x:c r="F15" s="32" t="n">
        <x:v>0</x:v>
      </x:c>
      <x:c r="G15" s="34" t="n">
        <x:v>1</x:v>
      </x:c>
      <x:c r="H15" s="32" t="n">
        <x:f>IF(E15=0,"",I15/E15)</x:f>
        <x:v>173.78008287493765</x:v>
      </x:c>
      <x:c r="I15" s="31" t="n">
        <x:f>IF(C15=0,"",SUMIF('Species'!$G$2:$G$70,A15,'Species'!$U$2:$U$70))</x:f>
        <x:v>75711165.24127913</x:v>
      </x:c>
      <x:c r="J15" s="32" t="n">
        <x:v>3.2399999999999998</x:v>
      </x:c>
      <x:c r="K15" s="32" t="n">
        <x:f>IF(J15="","",(1/'Metadata'!$B$5)^(J15-1))</x:f>
        <x:v>173.78008287493745</x:v>
      </x:c>
      <x:c r="L15" s="31" t="n">
        <x:f>IF(E15=0,"",E15*K15)</x:f>
        <x:v>75711165.24127905</x:v>
      </x:c>
      <x:c r="M15" s="31" t="n">
        <x:f>IF(E15=0,"",I15-L15)</x:f>
        <x:v>7.450580596923828e-8</x:v>
      </x:c>
      <x:c r="N15" s="32" t="n">
        <x:f>IF(L15=0,"",I15/L15)</x:f>
        <x:v>1.0000000000000009</x:v>
      </x:c>
      <x:c r="O15" s="34" t="n">
        <x:f>IF(L15=0,"",M15/L15)</x:f>
        <x:v>9.840795044139198e-16</x:v>
      </x:c>
    </x:row>
    <x:row r="16" ht="18" customHeight="1">
      <x:c r="A16" s="24" t="str">
        <x:v>Small demersals (&lt;30 cm)</x:v>
      </x:c>
      <x:c r="B16" s="33" t="n">
        <x:v>1</x:v>
      </x:c>
      <x:c r="C16" s="33" t="n">
        <x:v>1</x:v>
      </x:c>
      <x:c r="D16" s="31" t="n">
        <x:v>151959.327846235</x:v>
      </x:c>
      <x:c r="E16" s="31" t="n">
        <x:v>151959.327846235</x:v>
      </x:c>
      <x:c r="F16" s="32" t="n">
        <x:v>0</x:v>
      </x:c>
      <x:c r="G16" s="34" t="n">
        <x:v>1</x:v>
      </x:c>
      <x:c r="H16" s="32" t="n">
        <x:f>IF(E16=0,"",I16/E16)</x:f>
        <x:v>524.8074602497728</x:v>
      </x:c>
      <x:c r="I16" s="31" t="n">
        <x:f>IF(C16=0,"",SUMIF('Species'!$G$2:$G$70,A16,'Species'!$U$2:$U$70))</x:f>
        <x:v>79749388.90824518</x:v>
      </x:c>
      <x:c r="J16" s="32" t="n">
        <x:v>3.72</x:v>
      </x:c>
      <x:c r="K16" s="32" t="n">
        <x:f>IF(J16="","",(1/'Metadata'!$B$5)^(J16-1))</x:f>
        <x:v>524.8074602497728</x:v>
      </x:c>
      <x:c r="L16" s="31" t="n">
        <x:f>IF(E16=0,"",E16*K16)</x:f>
        <x:v>79749388.90824518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pelagics (&lt;30 cm)</x:v>
      </x:c>
      <x:c r="B17" s="33" t="n">
        <x:v>3</x:v>
      </x:c>
      <x:c r="C17" s="33" t="n">
        <x:v>3</x:v>
      </x:c>
      <x:c r="D17" s="31" t="n">
        <x:v>211105.508438916</x:v>
      </x:c>
      <x:c r="E17" s="31" t="n">
        <x:v>211105.508438916</x:v>
      </x:c>
      <x:c r="F17" s="32" t="n">
        <x:v>0</x:v>
      </x:c>
      <x:c r="G17" s="34" t="n">
        <x:v>1</x:v>
      </x:c>
      <x:c r="H17" s="32" t="n">
        <x:f>IF(E17=0,"",I17/E17)</x:f>
        <x:v>148.51099646703494</x:v>
      </x:c>
      <x:c r="I17" s="31" t="n">
        <x:f>IF(C17=0,"",SUMIF('Species'!$G$2:$G$70,A17,'Species'!$U$2:$U$70))</x:f>
        <x:v>31351489.41794347</x:v>
      </x:c>
      <x:c r="J17" s="32" t="n">
        <x:v>3.1712100741184486</x:v>
      </x:c>
      <x:c r="K17" s="32" t="n">
        <x:f>IF(J17="","",(1/'Metadata'!$B$5)^(J17-1))</x:f>
        <x:v>148.3235372674348</x:v>
      </x:c>
      <x:c r="L17" s="31" t="n">
        <x:f>IF(E17=0,"",E17*K17)</x:f>
        <x:v>31311915.74830033</x:v>
      </x:c>
      <x:c r="M17" s="31" t="n">
        <x:f>IF(E17=0,"",I17-L17)</x:f>
        <x:v>39573.66964314133</x:v>
      </x:c>
      <x:c r="N17" s="32" t="n">
        <x:f>IF(L17=0,"",I17/L17)</x:f>
        <x:v>1.0012638533509497</x:v>
      </x:c>
      <x:c r="O17" s="34" t="n">
        <x:f>IF(L17=0,"",M17/L17)</x:f>
        <x:v>0.001263853350949613</x:v>
      </x:c>
    </x:row>
    <x:row r="18" ht="18" customHeight="1">
      <x:c r="A18" s="24" t="str">
        <x:v>Small to medium flatfishes (&lt;90 cm)</x:v>
      </x:c>
      <x:c r="B18" s="33" t="n">
        <x:v>1</x:v>
      </x:c>
      <x:c r="C18" s="33" t="n">
        <x:v>1</x:v>
      </x:c>
      <x:c r="D18" s="31" t="n">
        <x:v>5004.8238130052005</x:v>
      </x:c>
      <x:c r="E18" s="31" t="n">
        <x:v>5004.8238130052005</x:v>
      </x:c>
      <x:c r="F18" s="32" t="n">
        <x:v>0</x:v>
      </x:c>
      <x:c r="G18" s="34" t="n">
        <x:v>1</x:v>
      </x:c>
      <x:c r="H18" s="32" t="n">
        <x:f>IF(E18=0,"",I18/E18)</x:f>
        <x:v>2454.7089156850284</x:v>
      </x:c>
      <x:c r="I18" s="31" t="n">
        <x:f>IF(C18=0,"",SUMIF('Species'!$G$2:$G$70,A18,'Species'!$U$2:$U$70))</x:f>
        <x:v>12285385.635216605</x:v>
      </x:c>
      <x:c r="J18" s="32" t="n">
        <x:v>4.39</x:v>
      </x:c>
      <x:c r="K18" s="32" t="n">
        <x:f>IF(J18="","",(1/'Metadata'!$B$5)^(J18-1))</x:f>
        <x:v>2454.7089156850284</x:v>
      </x:c>
      <x:c r="L18" s="31" t="n">
        <x:f>IF(E18=0,"",E18*K18)</x:f>
        <x:v>12285385.635216605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453e1395da848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EEZ_704</x:v>
      </x:c>
      <x:c r="B2" s="24" t="str">
        <x:v>raw_filtered_tonnes</x:v>
      </x:c>
      <x:c r="C2" s="24" t="n">
        <x:v>5148305.1369901</x:v>
      </x:c>
      <x:c r="D2" s="24" t="str">
        <x:v>tonnes</x:v>
      </x:c>
    </x:row>
    <x:row r="3" ht="18" customHeight="1">
      <x:c r="A3" s="24" t="str">
        <x:v>EEZ_704</x:v>
      </x:c>
      <x:c r="B3" s="24" t="str">
        <x:v>species_catch_tonnes</x:v>
      </x:c>
      <x:c r="C3" s="24" t="n">
        <x:v>5148305.1369901</x:v>
      </x:c>
      <x:c r="D3" s="24" t="str">
        <x:v>tonnes</x:v>
      </x:c>
    </x:row>
    <x:row r="4" ht="18" customHeight="1">
      <x:c r="A4" s="24" t="str">
        <x:v>EEZ_704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EEZ_704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EEZ_704</x:v>
      </x:c>
      <x:c r="B6" s="24" t="str">
        <x:v>matched_catch_tonnes</x:v>
      </x:c>
      <x:c r="C6" s="24" t="n">
        <x:v>5148305.1369901</x:v>
      </x:c>
      <x:c r="D6" s="24" t="str">
        <x:v>tonnes</x:v>
      </x:c>
    </x:row>
    <x:row r="7" ht="18" customHeight="1">
      <x:c r="A7" s="24" t="str">
        <x:v>EEZ_704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EEZ_704</x:v>
      </x:c>
      <x:c r="B8" s="24" t="str">
        <x:v>taxa_count</x:v>
      </x:c>
      <x:c r="C8" s="24" t="n">
        <x:v>69</x:v>
      </x:c>
      <x:c r="D8" s="24" t="str">
        <x:v>count</x:v>
      </x:c>
    </x:row>
    <x:row r="9" ht="18" customHeight="1">
      <x:c r="A9" s="24" t="str">
        <x:v>EEZ_704</x:v>
      </x:c>
      <x:c r="B9" s="24" t="str">
        <x:v>matched_taxa_count</x:v>
      </x:c>
      <x:c r="C9" s="24" t="n">
        <x:v>69</x:v>
      </x:c>
      <x:c r="D9" s="24" t="str">
        <x:v>count</x:v>
      </x:c>
    </x:row>
    <x:row r="10" ht="18" customHeight="1">
      <x:c r="A10" s="24" t="str">
        <x:v>EEZ_704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EEZ_704</x:v>
      </x:c>
      <x:c r="B11" s="24" t="str">
        <x:v>species_ppr</x:v>
      </x:c>
      <x:c r="C11" s="24" t="n">
        <x:v>4395854129.781088</x:v>
      </x:c>
      <x:c r="D11" s="24" t="str">
        <x:v>tonnes_primary_production_equivalent</x:v>
      </x:c>
    </x:row>
    <x:row r="12" ht="18" customHeight="1">
      <x:c r="A12" s="24" t="str">
        <x:v>EEZ_704</x:v>
      </x:c>
      <x:c r="B12" s="24" t="str">
        <x:v>commercial_ppr</x:v>
      </x:c>
      <x:c r="C12" s="24" t="n">
        <x:v>4395854129.781089</x:v>
      </x:c>
      <x:c r="D12" s="24" t="str">
        <x:v>tonnes_primary_production_equivalent</x:v>
      </x:c>
    </x:row>
    <x:row r="13" ht="18" customHeight="1">
      <x:c r="A13" s="24" t="str">
        <x:v>EEZ_704</x:v>
      </x:c>
      <x:c r="B13" s="24" t="str">
        <x:v>functional_ppr</x:v>
      </x:c>
      <x:c r="C13" s="24" t="n">
        <x:v>4395854129.781089</x:v>
      </x:c>
      <x:c r="D13" s="24" t="str">
        <x:v>tonnes_primary_production_equivalent</x:v>
      </x:c>
    </x:row>
    <x:row r="14" ht="18" customHeight="1">
      <x:c r="A14" s="24" t="str">
        <x:v>EEZ_704</x:v>
      </x:c>
      <x:c r="B14" s="24" t="str">
        <x:v>commercial_ppr_difference</x:v>
      </x:c>
      <x:c r="C14" s="24" t="n">
        <x:v>9.5367431640625e-7</x:v>
      </x:c>
      <x:c r="D14" s="24" t="str">
        <x:v>tonnes_primary_production_equivalent</x:v>
      </x:c>
    </x:row>
    <x:row r="15" ht="18" customHeight="1">
      <x:c r="A15" s="24" t="str">
        <x:v>EEZ_704</x:v>
      </x:c>
      <x:c r="B15" s="24" t="str">
        <x:v>functional_ppr_difference</x:v>
      </x:c>
      <x:c r="C15" s="24" t="n">
        <x:v>9.5367431640625e-7</x:v>
      </x:c>
      <x:c r="D15" s="24" t="str">
        <x:v>tonnes_primary_production_equivalent</x:v>
      </x:c>
    </x:row>
    <x:row r="16" ht="18" customHeight="1">
      <x:c r="A16" s="24" t="str">
        <x:v>EEZ_704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EEZ_704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EEZ_704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EEZ_704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cab5cc95f2f42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EEZ_704 - Viet Nam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EEZ_704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