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95805046e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05cb52f48334c28"/>
    <x:sheet xmlns:r="http://schemas.openxmlformats.org/officeDocument/2006/relationships" name="Commercial" sheetId="2" r:id="Re9e1492e8fab44a1"/>
    <x:sheet xmlns:r="http://schemas.openxmlformats.org/officeDocument/2006/relationships" name="Functional" sheetId="3" r:id="Rc7401fa8c5934478"/>
    <x:sheet xmlns:r="http://schemas.openxmlformats.org/officeDocument/2006/relationships" name="Missing TL" sheetId="4" r:id="R20683b88cee84fda"/>
    <x:sheet xmlns:r="http://schemas.openxmlformats.org/officeDocument/2006/relationships" name="Validation" sheetId="5" r:id="R023b98ffc4a442ad"/>
    <x:sheet xmlns:r="http://schemas.openxmlformats.org/officeDocument/2006/relationships" name="Metadata" sheetId="6" r:id="R7a1f5c4f0ac0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6c951489a46a0" /><Relationship Type="http://schemas.openxmlformats.org/officeDocument/2006/relationships/theme" Target="/xl/theme/theme1.xml" Id="Ra846a3b507e14f26" /><Relationship Type="http://schemas.microsoft.com/office/2022/11/relationships/FeaturePropertyBag" Target="/xl/featurePropertyBag/featurePropertyBag.xml" Id="R22430124dbd04064" /><Relationship Type="http://schemas.openxmlformats.org/officeDocument/2006/relationships/sharedStrings" Target="/xl/sharedStrings.xml" Id="R45052b5541814038" /><Relationship Type="http://schemas.openxmlformats.org/officeDocument/2006/relationships/worksheet" Target="/xl/worksheets/sheet1.xml" Id="R105cb52f48334c28" /><Relationship Type="http://schemas.openxmlformats.org/officeDocument/2006/relationships/worksheet" Target="/xl/worksheets/sheet2.xml" Id="Re9e1492e8fab44a1" /><Relationship Type="http://schemas.openxmlformats.org/officeDocument/2006/relationships/worksheet" Target="/xl/worksheets/sheet3.xml" Id="Rc7401fa8c5934478" /><Relationship Type="http://schemas.openxmlformats.org/officeDocument/2006/relationships/worksheet" Target="/xl/worksheets/sheet4.xml" Id="R20683b88cee84fda" /><Relationship Type="http://schemas.openxmlformats.org/officeDocument/2006/relationships/worksheet" Target="/xl/worksheets/sheet5.xml" Id="R023b98ffc4a442ad" /><Relationship Type="http://schemas.openxmlformats.org/officeDocument/2006/relationships/worksheet" Target="/xl/worksheets/sheet6.xml" Id="R7a1f5c4f0ac04b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16SpeciesTable" displayName="EEZ516SpeciesTable" ref="A1:U58" headerRowCount="1" totalsRowCount="0" totalsRowShown="0">
  <x:autoFilter ref="A1:U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16CommercialTable" displayName="EEZ51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16FunctionalTable" displayName="EEZ516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16ValidationTable" displayName="EEZ51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85bdcc5e1349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3af1010d774e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af65e8897b4b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83eb2a8e4b4d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EEZ_516</x:v>
      </x:c>
      <x:c r="B2" s="24" t="str">
        <x:v>Namibia</x:v>
      </x:c>
      <x:c r="C2" s="24" t="str">
        <x:v>EEZ</x:v>
      </x:c>
      <x:c r="D2" s="30" t="n">
        <x:v>2019</x:v>
      </x:c>
      <x:c r="E2" s="24" t="str">
        <x:v>Trachurus capensis</x:v>
      </x:c>
      <x:c r="F2" s="24" t="str">
        <x:v>Cape horse mackerel</x:v>
      </x:c>
      <x:c r="G2" s="24" t="str">
        <x:v>Medium pelagics (30 - 89 cm)</x:v>
      </x:c>
      <x:c r="H2" s="24" t="str">
        <x:v>Perch-likes</x:v>
      </x:c>
      <x:c r="I2" s="31" t="n">
        <x:v>317032.1188722524</x:v>
      </x:c>
      <x:c r="J2" s="31" t="n">
        <x:v>317032.1188722524</x:v>
      </x:c>
      <x:c r="K2" s="31" t="n">
        <x:v>0</x:v>
      </x:c>
      <x:c r="L2" s="31" t="n">
        <x:v>296523.1871065488</x:v>
      </x:c>
      <x:c r="M2" s="31" t="n">
        <x:v>20508.931765703597</x:v>
      </x:c>
      <x:c r="N2" s="24" t="str">
        <x:v>trachurus capensis</x:v>
      </x:c>
      <x:c r="O2" s="32" t="n">
        <x:v>3.47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Trachurus capensis</x:v>
      </x:c>
      <x:c r="T2" s="32" t="n">
        <x:f>IF(O2="","",(1/'Metadata'!$B$5)^(O2-1))</x:f>
        <x:v>295.1209226666387</x:v>
      </x:c>
      <x:c r="U2" s="31" t="n">
        <x:f>IF(T2="","",I2*T2)</x:f>
        <x:v>93562811.4365386</x:v>
      </x:c>
    </x:row>
    <x:row r="3" ht="18" customHeight="1">
      <x:c r="A3" s="24" t="str">
        <x:v>EEZ_516</x:v>
      </x:c>
      <x:c r="B3" s="24" t="str">
        <x:v>Namibia</x:v>
      </x:c>
      <x:c r="C3" s="24" t="str">
        <x:v>EEZ</x:v>
      </x:c>
      <x:c r="D3" s="30" t="n">
        <x:v>2019</x:v>
      </x:c>
      <x:c r="E3" s="24" t="str">
        <x:v>Merluccius</x:v>
      </x:c>
      <x:c r="F3" s="24" t="str">
        <x:v>Hakes</x:v>
      </x:c>
      <x:c r="G3" s="24" t="str">
        <x:v>Medium bathydemersals (30 - 89 cm)</x:v>
      </x:c>
      <x:c r="H3" s="24" t="str">
        <x:v>Cod-likes</x:v>
      </x:c>
      <x:c r="I3" s="31" t="n">
        <x:v>166304.5902303447</x:v>
      </x:c>
      <x:c r="J3" s="31" t="n">
        <x:v>166304.5902303447</x:v>
      </x:c>
      <x:c r="K3" s="31" t="n">
        <x:v>0</x:v>
      </x:c>
      <x:c r="L3" s="31" t="n">
        <x:v>152453.2253219844</x:v>
      </x:c>
      <x:c r="M3" s="31" t="n">
        <x:v>13851.3649083603</x:v>
      </x:c>
      <x:c r="N3" s="24" t="str">
        <x:v>merluccius</x:v>
      </x:c>
      <x:c r="O3" s="32" t="n">
        <x:v>4.27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Merluccius</x:v>
      </x:c>
      <x:c r="T3" s="32" t="n">
        <x:f>IF(O3="","",(1/'Metadata'!$B$5)^(O3-1))</x:f>
        <x:v>1862.0871366628655</x:v>
      </x:c>
      <x:c r="U3" s="31" t="n">
        <x:f>IF(T3="","",I3*T3)</x:f>
        <x:v>309673638.23591375</x:v>
      </x:c>
    </x:row>
    <x:row r="4" ht="18" customHeight="1">
      <x:c r="A4" s="24" t="str">
        <x:v>EEZ_516</x:v>
      </x:c>
      <x:c r="B4" s="24" t="str">
        <x:v>Namibia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146604.11221158618</x:v>
      </x:c>
      <x:c r="J4" s="31" t="n">
        <x:v>145841.194548061</x:v>
      </x:c>
      <x:c r="K4" s="31" t="n">
        <x:v>762.9176635252</x:v>
      </x:c>
      <x:c r="L4" s="31" t="n">
        <x:v>1656.5886899437</x:v>
      </x:c>
      <x:c r="M4" s="31" t="n">
        <x:v>144947.5235216425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27934837.691105332</x:v>
      </x:c>
    </x:row>
    <x:row r="5" ht="18" customHeight="1">
      <x:c r="A5" s="24" t="str">
        <x:v>EEZ_516</x:v>
      </x:c>
      <x:c r="B5" s="24" t="str">
        <x:v>Namibia</x:v>
      </x:c>
      <x:c r="C5" s="24" t="str">
        <x:v>EEZ</x:v>
      </x:c>
      <x:c r="D5" s="30" t="n">
        <x:v>2019</x:v>
      </x:c>
      <x:c r="E5" s="24" t="str">
        <x:v>Lophius vomerinus</x:v>
      </x:c>
      <x:c r="F5" s="24" t="str">
        <x:v>Devil anglerfish</x:v>
      </x:c>
      <x:c r="G5" s="24" t="str">
        <x:v>Medium demersals (30 - 89 cm)</x:v>
      </x:c>
      <x:c r="H5" s="24" t="str">
        <x:v>Other fishes &amp; inverts</x:v>
      </x:c>
      <x:c r="I5" s="31" t="n">
        <x:v>17666.0522305444</x:v>
      </x:c>
      <x:c r="J5" s="31" t="n">
        <x:v>3458.5173768060004</x:v>
      </x:c>
      <x:c r="K5" s="31" t="n">
        <x:v>14207.5348537384</x:v>
      </x:c>
      <x:c r="L5" s="31" t="n">
        <x:v>1055</x:v>
      </x:c>
      <x:c r="M5" s="31" t="n">
        <x:v>16611.0522305444</x:v>
      </x:c>
      <x:c r="N5" s="24" t="str">
        <x:v>lophius vomerinus</x:v>
      </x:c>
      <x:c r="O5" s="32" t="n">
        <x:v>4.46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Lophius vomerinus</x:v>
      </x:c>
      <x:c r="T5" s="32" t="n">
        <x:f>IF(O5="","",(1/'Metadata'!$B$5)^(O5-1))</x:f>
        <x:v>2884.031503126606</x:v>
      </x:c>
      <x:c r="U5" s="31" t="n">
        <x:f>IF(T5="","",I5*T5)</x:f>
        <x:v>50949451.16877009</x:v>
      </x:c>
    </x:row>
    <x:row r="6" ht="18" customHeight="1">
      <x:c r="A6" s="24" t="str">
        <x:v>EEZ_516</x:v>
      </x:c>
      <x:c r="B6" s="24" t="str">
        <x:v>Namibia</x:v>
      </x:c>
      <x:c r="C6" s="24" t="str">
        <x:v>EEZ</x:v>
      </x:c>
      <x:c r="D6" s="30" t="n">
        <x:v>2019</x:v>
      </x:c>
      <x:c r="E6" s="24" t="str">
        <x:v>Engraulis capensis</x:v>
      </x:c>
      <x:c r="F6" s="24" t="str">
        <x:v>Southern African anchovy</x:v>
      </x:c>
      <x:c r="G6" s="24" t="str">
        <x:v>Small pelagics (&lt;30 cm)</x:v>
      </x:c>
      <x:c r="H6" s="24" t="str">
        <x:v>Anchovies</x:v>
      </x:c>
      <x:c r="I6" s="31" t="n">
        <x:v>8791.565121908</x:v>
      </x:c>
      <x:c r="J6" s="31" t="n">
        <x:v>0</x:v>
      </x:c>
      <x:c r="K6" s="31" t="n">
        <x:v>8791.565121908</x:v>
      </x:c>
      <x:c r="L6" s="31" t="n">
        <x:v>0</x:v>
      </x:c>
      <x:c r="M6" s="31" t="n">
        <x:v>8791.565121908</x:v>
      </x:c>
      <x:c r="N6" s="24" t="str">
        <x:v>engraulis capensis</x:v>
      </x:c>
      <x:c r="O6" s="32" t="n">
        <x:v>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capensis</x:v>
      </x:c>
      <x:c r="T6" s="32" t="n">
        <x:f>IF(O6="","",(1/'Metadata'!$B$5)^(O6-1))</x:f>
        <x:v>100</x:v>
      </x:c>
      <x:c r="U6" s="31" t="n">
        <x:f>IF(T6="","",I6*T6)</x:f>
        <x:v>879156.5121907999</x:v>
      </x:c>
    </x:row>
    <x:row r="7" ht="18" customHeight="1">
      <x:c r="A7" s="24" t="str">
        <x:v>EEZ_516</x:v>
      </x:c>
      <x:c r="B7" s="24" t="str">
        <x:v>Namibia</x:v>
      </x:c>
      <x:c r="C7" s="24" t="str">
        <x:v>EEZ</x:v>
      </x:c>
      <x:c r="D7" s="30" t="n">
        <x:v>2019</x:v>
      </x:c>
      <x:c r="E7" s="24" t="str">
        <x:v>Sardinops sagax</x:v>
      </x:c>
      <x:c r="F7" s="24" t="str">
        <x:v>South American pilchard</x:v>
      </x:c>
      <x:c r="G7" s="24" t="str">
        <x:v>Medium pelagics (30 - 89 cm)</x:v>
      </x:c>
      <x:c r="H7" s="24" t="str">
        <x:v>Herring-likes</x:v>
      </x:c>
      <x:c r="I7" s="31" t="n">
        <x:v>5521.4540698535</x:v>
      </x:c>
      <x:c r="J7" s="31" t="n">
        <x:v>5521.4540698535</x:v>
      </x:c>
      <x:c r="K7" s="31" t="n">
        <x:v>0</x:v>
      </x:c>
      <x:c r="L7" s="31" t="n">
        <x:v>0</x:v>
      </x:c>
      <x:c r="M7" s="31" t="n">
        <x:v>5521.4540698535</x:v>
      </x:c>
      <x:c r="N7" s="24" t="str">
        <x:v>sardinops sagax</x:v>
      </x:c>
      <x:c r="O7" s="32" t="n">
        <x:v>2.84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Sardinops sagax</x:v>
      </x:c>
      <x:c r="T7" s="32" t="n">
        <x:f>IF(O7="","",(1/'Metadata'!$B$5)^(O7-1))</x:f>
        <x:v>69.18309709189363</x:v>
      </x:c>
      <x:c r="U7" s="31" t="n">
        <x:f>IF(T7="","",I7*T7)</x:f>
        <x:v>381991.2930031059</x:v>
      </x:c>
    </x:row>
    <x:row r="8" ht="18" customHeight="1">
      <x:c r="A8" s="24" t="str">
        <x:v>EEZ_516</x:v>
      </x:c>
      <x:c r="B8" s="24" t="str">
        <x:v>Namibia</x:v>
      </x:c>
      <x:c r="C8" s="24" t="str">
        <x:v>EEZ</x:v>
      </x:c>
      <x:c r="D8" s="30" t="n">
        <x:v>2019</x:v>
      </x:c>
      <x:c r="E8" s="24" t="str">
        <x:v>Chaceon maritae</x:v>
      </x:c>
      <x:c r="F8" s="24" t="str">
        <x:v>West African geryon</x:v>
      </x:c>
      <x:c r="G8" s="24" t="str">
        <x:v>Lobsters, crabs</x:v>
      </x:c>
      <x:c r="H8" s="24" t="str">
        <x:v>Crustaceans</x:v>
      </x:c>
      <x:c r="I8" s="31" t="n">
        <x:v>5208.8237981715</x:v>
      </x:c>
      <x:c r="J8" s="31" t="n">
        <x:v>5208.8237981715</x:v>
      </x:c>
      <x:c r="K8" s="31" t="n">
        <x:v>0</x:v>
      </x:c>
      <x:c r="L8" s="31" t="n">
        <x:v>3834</x:v>
      </x:c>
      <x:c r="M8" s="31" t="n">
        <x:v>1374.8237981715</x:v>
      </x:c>
      <x:c r="N8" s="24" t="str">
        <x:v>chaceon maritae</x:v>
      </x:c>
      <x:c r="O8" s="32" t="n">
        <x:v>2.85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Chaceon maritae</x:v>
      </x:c>
      <x:c r="T8" s="32" t="n">
        <x:f>IF(O8="","",(1/'Metadata'!$B$5)^(O8-1))</x:f>
        <x:v>70.79457843841381</x:v>
      </x:c>
      <x:c r="U8" s="31" t="n">
        <x:f>IF(T8="","",I8*T8)</x:f>
        <x:v>368756.4849515288</x:v>
      </x:c>
    </x:row>
    <x:row r="9" ht="18" customHeight="1">
      <x:c r="A9" s="24" t="str">
        <x:v>EEZ_516</x:v>
      </x:c>
      <x:c r="B9" s="24" t="str">
        <x:v>Namibia</x:v>
      </x:c>
      <x:c r="C9" s="24" t="str">
        <x:v>EEZ</x:v>
      </x:c>
      <x:c r="D9" s="30" t="n">
        <x:v>2019</x:v>
      </x:c>
      <x:c r="E9" s="24" t="str">
        <x:v>Thyrsites atun</x:v>
      </x:c>
      <x:c r="F9" s="24" t="str">
        <x:v>Snoek</x:v>
      </x:c>
      <x:c r="G9" s="24" t="str">
        <x:v>Large benthopelagics (&gt;=90 cm)</x:v>
      </x:c>
      <x:c r="H9" s="24" t="str">
        <x:v>Perch-likes</x:v>
      </x:c>
      <x:c r="I9" s="31" t="n">
        <x:v>4713.6983471925005</x:v>
      </x:c>
      <x:c r="J9" s="31" t="n">
        <x:v>4713.6983471925005</x:v>
      </x:c>
      <x:c r="K9" s="31" t="n">
        <x:v>0</x:v>
      </x:c>
      <x:c r="L9" s="31" t="n">
        <x:v>3218</x:v>
      </x:c>
      <x:c r="M9" s="31" t="n">
        <x:v>1495.6983471925</x:v>
      </x:c>
      <x:c r="N9" s="24" t="str">
        <x:v>thyrsites atun</x:v>
      </x:c>
      <x:c r="O9" s="32" t="n">
        <x:v>3.63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Thyrsites atun</x:v>
      </x:c>
      <x:c r="T9" s="32" t="n">
        <x:f>IF(O9="","",(1/'Metadata'!$B$5)^(O9-1))</x:f>
        <x:v>426.57951880159254</x:v>
      </x:c>
      <x:c r="U9" s="31" t="n">
        <x:f>IF(T9="","",I9*T9)</x:f>
        <x:v>2010767.172721239</x:v>
      </x:c>
    </x:row>
    <x:row r="10" ht="18" customHeight="1">
      <x:c r="A10" s="24" t="str">
        <x:v>EEZ_516</x:v>
      </x:c>
      <x:c r="B10" s="24" t="str">
        <x:v>Namibia</x:v>
      </x:c>
      <x:c r="C10" s="24" t="str">
        <x:v>EEZ</x:v>
      </x:c>
      <x:c r="D10" s="30" t="n">
        <x:v>2019</x:v>
      </x:c>
      <x:c r="E10" s="24" t="str">
        <x:v>Genypterus capensis</x:v>
      </x:c>
      <x:c r="F10" s="24" t="str">
        <x:v>Kingklip</x:v>
      </x:c>
      <x:c r="G10" s="24" t="str">
        <x:v>Large bathydemersals (&gt;=90 cm)</x:v>
      </x:c>
      <x:c r="H10" s="24" t="str">
        <x:v>Other fishes &amp; inverts</x:v>
      </x:c>
      <x:c r="I10" s="31" t="n">
        <x:v>3112.4108476981996</x:v>
      </x:c>
      <x:c r="J10" s="31" t="n">
        <x:v>3112.4108476981996</x:v>
      </x:c>
      <x:c r="K10" s="31" t="n">
        <x:v>0</x:v>
      </x:c>
      <x:c r="L10" s="31" t="n">
        <x:v>2505</x:v>
      </x:c>
      <x:c r="M10" s="31" t="n">
        <x:v>607.4108476982</x:v>
      </x:c>
      <x:c r="N10" s="24" t="str">
        <x:v>genypterus capensis</x:v>
      </x:c>
      <x:c r="O10" s="32" t="n">
        <x:v>4.44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Genypterus capensis</x:v>
      </x:c>
      <x:c r="T10" s="32" t="n">
        <x:f>IF(O10="","",(1/'Metadata'!$B$5)^(O10-1))</x:f>
        <x:v>2754.228703338169</x:v>
      </x:c>
      <x:c r="U10" s="31" t="n">
        <x:f>IF(T10="","",I10*T10)</x:f>
        <x:v>8572291.293311464</x:v>
      </x:c>
    </x:row>
    <x:row r="11" ht="18" customHeight="1">
      <x:c r="A11" s="24" t="str">
        <x:v>EEZ_516</x:v>
      </x:c>
      <x:c r="B11" s="24" t="str">
        <x:v>Namibia</x:v>
      </x:c>
      <x:c r="C11" s="24" t="str">
        <x:v>EEZ</x:v>
      </x:c>
      <x:c r="D11" s="30" t="n">
        <x:v>2019</x:v>
      </x:c>
      <x:c r="E11" s="24" t="str">
        <x:v>Elasmobranchii</x:v>
      </x:c>
      <x:c r="F11" s="24" t="str">
        <x:v>Sharks, rays, skates</x:v>
      </x:c>
      <x:c r="G11" s="24" t="str">
        <x:v>Large sharks (&gt;=90 cm)</x:v>
      </x:c>
      <x:c r="H11" s="24" t="str">
        <x:v>Sharks &amp; rays</x:v>
      </x:c>
      <x:c r="I11" s="31" t="n">
        <x:v>2203.9083934196</x:v>
      </x:c>
      <x:c r="J11" s="31" t="n">
        <x:v>2203.9083934196</x:v>
      </x:c>
      <x:c r="K11" s="31" t="n">
        <x:v>0</x:v>
      </x:c>
      <x:c r="L11" s="31" t="n">
        <x:v>2203.9083934196</x:v>
      </x:c>
      <x:c r="M11" s="31" t="n">
        <x:v>0</x:v>
      </x:c>
      <x:c r="N11" s="24" t="str">
        <x:v>elasmobranchii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Elasmobranchii</x:v>
      </x:c>
      <x:c r="T11" s="32" t="n">
        <x:f>IF(O11="","",(1/'Metadata'!$B$5)^(O11-1))</x:f>
        <x:v>1122.018454301963</x:v>
      </x:c>
      <x:c r="U11" s="31" t="n">
        <x:f>IF(T11="","",I11*T11)</x:f>
        <x:v>2472825.889007782</x:v>
      </x:c>
    </x:row>
    <x:row r="12" ht="18" customHeight="1">
      <x:c r="A12" s="24" t="str">
        <x:v>EEZ_516</x:v>
      </x:c>
      <x:c r="B12" s="24" t="str">
        <x:v>Namibia</x:v>
      </x:c>
      <x:c r="C12" s="24" t="str">
        <x:v>EEZ</x:v>
      </x:c>
      <x:c r="D12" s="30" t="n">
        <x:v>2019</x:v>
      </x:c>
      <x:c r="E12" s="24" t="str">
        <x:v>Pterogymnus laniarius</x:v>
      </x:c>
      <x:c r="F12" s="24" t="str">
        <x:v>Panga seabream</x:v>
      </x:c>
      <x:c r="G12" s="24" t="str">
        <x:v>Medium benthopelagics (30 - 89 cm)</x:v>
      </x:c>
      <x:c r="H12" s="24" t="str">
        <x:v>Perch-likes</x:v>
      </x:c>
      <x:c r="I12" s="31" t="n">
        <x:v>1929.7177437771</x:v>
      </x:c>
      <x:c r="J12" s="31" t="n">
        <x:v>1929.7177437771</x:v>
      </x:c>
      <x:c r="K12" s="31" t="n">
        <x:v>0</x:v>
      </x:c>
      <x:c r="L12" s="31" t="n">
        <x:v>1559</x:v>
      </x:c>
      <x:c r="M12" s="31" t="n">
        <x:v>370.7177437771</x:v>
      </x:c>
      <x:c r="N12" s="24" t="str">
        <x:v>pterogymnus laniarius</x:v>
      </x:c>
      <x:c r="O12" s="32" t="n">
        <x:v>3.54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Pterogymnus laniarius</x:v>
      </x:c>
      <x:c r="T12" s="32" t="n">
        <x:f>IF(O12="","",(1/'Metadata'!$B$5)^(O12-1))</x:f>
        <x:v>346.73685045253166</x:v>
      </x:c>
      <x:c r="U12" s="31" t="n">
        <x:f>IF(T12="","",I12*T12)</x:f>
        <x:v>669104.252739637</x:v>
      </x:c>
    </x:row>
    <x:row r="13" ht="18" customHeight="1">
      <x:c r="A13" s="24" t="str">
        <x:v>EEZ_516</x:v>
      </x:c>
      <x:c r="B13" s="24" t="str">
        <x:v>Namibia</x:v>
      </x:c>
      <x:c r="C13" s="24" t="str">
        <x:v>EEZ</x:v>
      </x:c>
      <x:c r="D13" s="30" t="n">
        <x:v>2019</x:v>
      </x:c>
      <x:c r="E13" s="24" t="str">
        <x:v>Sardinella</x:v>
      </x:c>
      <x:c r="F13" s="24" t="str">
        <x:v>Sardinellas</x:v>
      </x:c>
      <x:c r="G13" s="24" t="str">
        <x:v>Small pelagics (&lt;30 cm)</x:v>
      </x:c>
      <x:c r="H13" s="24" t="str">
        <x:v>Herring-likes</x:v>
      </x:c>
      <x:c r="I13" s="31" t="n">
        <x:v>1431.2270867524</x:v>
      </x:c>
      <x:c r="J13" s="31" t="n">
        <x:v>1431.2270867524</x:v>
      </x:c>
      <x:c r="K13" s="31" t="n">
        <x:v>0</x:v>
      </x:c>
      <x:c r="L13" s="31" t="n">
        <x:v>142</x:v>
      </x:c>
      <x:c r="M13" s="31" t="n">
        <x:v>1289.2270867524</x:v>
      </x:c>
      <x:c r="N13" s="24" t="str">
        <x:v>sardinella</x:v>
      </x:c>
      <x:c r="O13" s="32" t="n">
        <x:v>2.77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Sardinella</x:v>
      </x:c>
      <x:c r="T13" s="32" t="n">
        <x:f>IF(O13="","",(1/'Metadata'!$B$5)^(O13-1))</x:f>
        <x:v>58.8843655355589</x:v>
      </x:c>
      <x:c r="U13" s="31" t="n">
        <x:f>IF(T13="","",I13*T13)</x:f>
        <x:v>84276.8989407214</x:v>
      </x:c>
    </x:row>
    <x:row r="14" ht="18" customHeight="1">
      <x:c r="A14" s="24" t="str">
        <x:v>EEZ_516</x:v>
      </x:c>
      <x:c r="B14" s="24" t="str">
        <x:v>Namibia</x:v>
      </x:c>
      <x:c r="C14" s="24" t="str">
        <x:v>EEZ</x:v>
      </x:c>
      <x:c r="D14" s="30" t="n">
        <x:v>2019</x:v>
      </x:c>
      <x:c r="E14" s="24" t="str">
        <x:v>Isurus oxyrinchus</x:v>
      </x:c>
      <x:c r="F14" s="24" t="str">
        <x:v>Shortfin mako</x:v>
      </x:c>
      <x:c r="G14" s="24" t="str">
        <x:v>Large sharks (&gt;=90 cm)</x:v>
      </x:c>
      <x:c r="H14" s="24" t="str">
        <x:v>Sharks &amp; rays</x:v>
      </x:c>
      <x:c r="I14" s="31" t="n">
        <x:v>966.0215540836</x:v>
      </x:c>
      <x:c r="J14" s="31" t="n">
        <x:v>966.0215540836</x:v>
      </x:c>
      <x:c r="K14" s="31" t="n">
        <x:v>0</x:v>
      </x:c>
      <x:c r="L14" s="31" t="n">
        <x:v>688.7427991314</x:v>
      </x:c>
      <x:c r="M14" s="31" t="n">
        <x:v>277.2787549522</x:v>
      </x:c>
      <x:c r="N14" s="24" t="str">
        <x:v>isurus oxyrinchus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Isurus oxyrinchus</x:v>
      </x:c>
      <x:c r="T14" s="32" t="n">
        <x:f>IF(O14="","",(1/'Metadata'!$B$5)^(O14-1))</x:f>
        <x:v>3162.2776601683795</x:v>
      </x:c>
      <x:c r="U14" s="31" t="n">
        <x:f>IF(T14="","",I14*T14)</x:f>
        <x:v>3054828.379719708</x:v>
      </x:c>
    </x:row>
    <x:row r="15" ht="18" customHeight="1">
      <x:c r="A15" s="24" t="str">
        <x:v>EEZ_516</x:v>
      </x:c>
      <x:c r="B15" s="24" t="str">
        <x:v>Namibia</x:v>
      </x:c>
      <x:c r="C15" s="24" t="str">
        <x:v>EEZ</x:v>
      </x:c>
      <x:c r="D15" s="30" t="n">
        <x:v>2019</x:v>
      </x:c>
      <x:c r="E15" s="24" t="str">
        <x:v>Teuthida</x:v>
      </x:c>
      <x:c r="F15" s="24" t="str">
        <x:v>Squids</x:v>
      </x:c>
      <x:c r="G15" s="24" t="str">
        <x:v>Cephalopods</x:v>
      </x:c>
      <x:c r="H15" s="24" t="str">
        <x:v>Other fishes &amp; inverts</x:v>
      </x:c>
      <x:c r="I15" s="31" t="n">
        <x:v>755.8197616321</x:v>
      </x:c>
      <x:c r="J15" s="31" t="n">
        <x:v>755.8197616321</x:v>
      </x:c>
      <x:c r="K15" s="31" t="n">
        <x:v>0</x:v>
      </x:c>
      <x:c r="L15" s="31" t="n">
        <x:v>644.0426665012</x:v>
      </x:c>
      <x:c r="M15" s="31" t="n">
        <x:v>111.7770951309</x:v>
      </x:c>
      <x:c r="N15" s="24" t="str">
        <x:v>teuthida</x:v>
      </x:c>
      <x:c r="O15" s="32" t="n">
        <x:v>4.13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Teuthida</x:v>
      </x:c>
      <x:c r="T15" s="32" t="n">
        <x:f>IF(O15="","",(1/'Metadata'!$B$5)^(O15-1))</x:f>
        <x:v>1348.9628825916532</x:v>
      </x:c>
      <x:c r="U15" s="31" t="n">
        <x:f>IF(T15="","",I15*T15)</x:f>
        <x:v>1019572.8043709738</x:v>
      </x:c>
    </x:row>
    <x:row r="16" ht="18" customHeight="1">
      <x:c r="A16" s="24" t="str">
        <x:v>EEZ_516</x:v>
      </x:c>
      <x:c r="B16" s="24" t="str">
        <x:v>Namibia</x:v>
      </x:c>
      <x:c r="C16" s="24" t="str">
        <x:v>EEZ</x:v>
      </x:c>
      <x:c r="D16" s="30" t="n">
        <x:v>2019</x:v>
      </x:c>
      <x:c r="E16" s="24" t="str">
        <x:v>Dentex macrophthalmus</x:v>
      </x:c>
      <x:c r="F16" s="24" t="str">
        <x:v>Large-eye dentex</x:v>
      </x:c>
      <x:c r="G16" s="24" t="str">
        <x:v>Medium benthopelagics (30 - 89 cm)</x:v>
      </x:c>
      <x:c r="H16" s="24" t="str">
        <x:v>Perch-likes</x:v>
      </x:c>
      <x:c r="I16" s="31" t="n">
        <x:v>411.6894537318</x:v>
      </x:c>
      <x:c r="J16" s="31" t="n">
        <x:v>411.6894537318</x:v>
      </x:c>
      <x:c r="K16" s="31" t="n">
        <x:v>0</x:v>
      </x:c>
      <x:c r="L16" s="31" t="n">
        <x:v>410.5229190725</x:v>
      </x:c>
      <x:c r="M16" s="31" t="n">
        <x:v>1.1665346593</x:v>
      </x:c>
      <x:c r="N16" s="24" t="str">
        <x:v>dentex macrophthalmus</x:v>
      </x:c>
      <x:c r="O16" s="32" t="n">
        <x:v>3.52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Dentex macrophthalmus</x:v>
      </x:c>
      <x:c r="T16" s="32" t="n">
        <x:f>IF(O16="","",(1/'Metadata'!$B$5)^(O16-1))</x:f>
        <x:v>331.1311214825911</x:v>
      </x:c>
      <x:c r="U16" s="31" t="n">
        <x:f>IF(T16="","",I16*T16)</x:f>
        <x:v>136323.19051676622</x:v>
      </x:c>
    </x:row>
    <x:row r="17" ht="18" customHeight="1">
      <x:c r="A17" s="24" t="str">
        <x:v>EEZ_516</x:v>
      </x:c>
      <x:c r="B17" s="24" t="str">
        <x:v>Namibia</x:v>
      </x:c>
      <x:c r="C17" s="24" t="str">
        <x:v>EEZ</x:v>
      </x:c>
      <x:c r="D17" s="30" t="n">
        <x:v>2019</x:v>
      </x:c>
      <x:c r="E17" s="24" t="str">
        <x:v>Hoplostethus atlanticus</x:v>
      </x:c>
      <x:c r="F17" s="24" t="str">
        <x:v>Orange roughy</x:v>
      </x:c>
      <x:c r="G17" s="24" t="str">
        <x:v>Medium bathypelagics (30 - 89 cm)</x:v>
      </x:c>
      <x:c r="H17" s="24" t="str">
        <x:v>Other fishes &amp; inverts</x:v>
      </x:c>
      <x:c r="I17" s="31" t="n">
        <x:v>343.4562666394</x:v>
      </x:c>
      <x:c r="J17" s="31" t="n">
        <x:v>343.4562666394</x:v>
      </x:c>
      <x:c r="K17" s="31" t="n">
        <x:v>0</x:v>
      </x:c>
      <x:c r="L17" s="31" t="n">
        <x:v>343</x:v>
      </x:c>
      <x:c r="M17" s="31" t="n">
        <x:v>0.45626663939999995</x:v>
      </x:c>
      <x:c r="N17" s="24" t="str">
        <x:v>hoplostethus atlanticus</x:v>
      </x:c>
      <x:c r="O17" s="32" t="n">
        <x:v>4.25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Hoplostethus atlanticus</x:v>
      </x:c>
      <x:c r="T17" s="32" t="n">
        <x:f>IF(O17="","",(1/'Metadata'!$B$5)^(O17-1))</x:f>
        <x:v>1778.2794100389228</x:v>
      </x:c>
      <x:c r="U17" s="31" t="n">
        <x:f>IF(T17="","",I17*T17)</x:f>
        <x:v>610761.2072136832</x:v>
      </x:c>
    </x:row>
    <x:row r="18" ht="18" customHeight="1">
      <x:c r="A18" s="24" t="str">
        <x:v>EEZ_516</x:v>
      </x:c>
      <x:c r="B18" s="24" t="str">
        <x:v>Namibia</x:v>
      </x:c>
      <x:c r="C18" s="24" t="str">
        <x:v>EEZ</x:v>
      </x:c>
      <x:c r="D18" s="30" t="n">
        <x:v>2019</x:v>
      </x:c>
      <x:c r="E18" s="24" t="str">
        <x:v>Dentex</x:v>
      </x:c>
      <x:c r="F18" s="24" t="str">
        <x:v>Toothed seabreams</x:v>
      </x:c>
      <x:c r="G18" s="24" t="str">
        <x:v>Large benthopelagics (&gt;=90 cm)</x:v>
      </x:c>
      <x:c r="H18" s="24" t="str">
        <x:v>Perch-likes</x:v>
      </x:c>
      <x:c r="I18" s="31" t="n">
        <x:v>329.4786623517</x:v>
      </x:c>
      <x:c r="J18" s="31" t="n">
        <x:v>329.4786623517</x:v>
      </x:c>
      <x:c r="K18" s="31" t="n">
        <x:v>0</x:v>
      </x:c>
      <x:c r="L18" s="31" t="n">
        <x:v>329.4786623517</x:v>
      </x:c>
      <x:c r="M18" s="31" t="n">
        <x:v>0</x:v>
      </x:c>
      <x:c r="N18" s="24" t="str">
        <x:v>dentex</x:v>
      </x:c>
      <x:c r="O18" s="32" t="n">
        <x:v>3.96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Dentex</x:v>
      </x:c>
      <x:c r="T18" s="32" t="n">
        <x:f>IF(O18="","",(1/'Metadata'!$B$5)^(O18-1))</x:f>
        <x:v>912.0108393559096</x:v>
      </x:c>
      <x:c r="U18" s="31" t="n">
        <x:f>IF(T18="","",I18*T18)</x:f>
        <x:v>300488.11140123627</x:v>
      </x:c>
    </x:row>
    <x:row r="19" ht="18" customHeight="1">
      <x:c r="A19" s="24" t="str">
        <x:v>EEZ_516</x:v>
      </x:c>
      <x:c r="B19" s="24" t="str">
        <x:v>Namibia</x:v>
      </x:c>
      <x:c r="C19" s="24" t="str">
        <x:v>EEZ</x:v>
      </x:c>
      <x:c r="D19" s="30" t="n">
        <x:v>2019</x:v>
      </x:c>
      <x:c r="E19" s="24" t="str">
        <x:v>Katsuwonus pelamis</x:v>
      </x:c>
      <x:c r="F19" s="24" t="str">
        <x:v>Skipjack tuna</x:v>
      </x:c>
      <x:c r="G19" s="24" t="str">
        <x:v>Large pelagics (&gt;=90 cm)</x:v>
      </x:c>
      <x:c r="H19" s="24" t="str">
        <x:v>Tuna &amp; billfishes</x:v>
      </x:c>
      <x:c r="I19" s="31" t="n">
        <x:v>327.3709582813</x:v>
      </x:c>
      <x:c r="J19" s="31" t="n">
        <x:v>327.3709582813</x:v>
      </x:c>
      <x:c r="K19" s="31" t="n">
        <x:v>0</x:v>
      </x:c>
      <x:c r="L19" s="31" t="n">
        <x:v>327.3709582813</x:v>
      </x:c>
      <x:c r="M19" s="31" t="n">
        <x:v>0</x:v>
      </x:c>
      <x:c r="N19" s="24" t="str">
        <x:v>katsuwonus pelamis</x:v>
      </x:c>
      <x:c r="O19" s="32" t="n">
        <x:v>4.43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Katsuwonus pelamis</x:v>
      </x:c>
      <x:c r="T19" s="32" t="n">
        <x:f>IF(O19="","",(1/'Metadata'!$B$5)^(O19-1))</x:f>
        <x:v>2691.534803926914</x:v>
      </x:c>
      <x:c r="U19" s="31" t="n">
        <x:f>IF(T19="","",I19*T19)</x:f>
        <x:v>881130.3280090246</x:v>
      </x:c>
    </x:row>
    <x:row r="20" ht="18" customHeight="1">
      <x:c r="A20" s="24" t="str">
        <x:v>EEZ_516</x:v>
      </x:c>
      <x:c r="B20" s="24" t="str">
        <x:v>Namibia</x:v>
      </x:c>
      <x:c r="C20" s="24" t="str">
        <x:v>EEZ</x:v>
      </x:c>
      <x:c r="D20" s="30" t="n">
        <x:v>2019</x:v>
      </x:c>
      <x:c r="E20" s="24" t="str">
        <x:v>Jasus lalandii</x:v>
      </x:c>
      <x:c r="F20" s="24" t="str">
        <x:v>Cape rock lobster</x:v>
      </x:c>
      <x:c r="G20" s="24" t="str">
        <x:v>Lobsters, crabs</x:v>
      </x:c>
      <x:c r="H20" s="24" t="str">
        <x:v>Crustaceans</x:v>
      </x:c>
      <x:c r="I20" s="31" t="n">
        <x:v>326.3561635414</x:v>
      </x:c>
      <x:c r="J20" s="31" t="n">
        <x:v>326.3561635414</x:v>
      </x:c>
      <x:c r="K20" s="31" t="n">
        <x:v>0</x:v>
      </x:c>
      <x:c r="L20" s="31" t="n">
        <x:v>282</x:v>
      </x:c>
      <x:c r="M20" s="31" t="n">
        <x:v>44.3561635414</x:v>
      </x:c>
      <x:c r="N20" s="24" t="str">
        <x:v>jasus lalandii</x:v>
      </x:c>
      <x:c r="O20" s="32" t="n">
        <x:v>2.6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Jasus lalandii</x:v>
      </x:c>
      <x:c r="T20" s="32" t="n">
        <x:f>IF(O20="","",(1/'Metadata'!$B$5)^(O20-1))</x:f>
        <x:v>39.810717055349734</x:v>
      </x:c>
      <x:c r="U20" s="31" t="n">
        <x:f>IF(T20="","",I20*T20)</x:f>
        <x:v>12992.47288601612</x:v>
      </x:c>
    </x:row>
    <x:row r="21" ht="18" customHeight="1">
      <x:c r="A21" s="24" t="str">
        <x:v>EEZ_516</x:v>
      </x:c>
      <x:c r="B21" s="24" t="str">
        <x:v>Namibia</x:v>
      </x:c>
      <x:c r="C21" s="24" t="str">
        <x:v>EEZ</x:v>
      </x:c>
      <x:c r="D21" s="30" t="n">
        <x:v>2019</x:v>
      </x:c>
      <x:c r="E21" s="24" t="str">
        <x:v>Chelidonichthys capensis</x:v>
      </x:c>
      <x:c r="F21" s="24" t="str">
        <x:v>Cape gurnard</x:v>
      </x:c>
      <x:c r="G21" s="24" t="str">
        <x:v>Medium demersals (30 - 89 cm)</x:v>
      </x:c>
      <x:c r="H21" s="24" t="str">
        <x:v>Scorpionfishes</x:v>
      </x:c>
      <x:c r="I21" s="31" t="n">
        <x:v>326.2039637619</x:v>
      </x:c>
      <x:c r="J21" s="31" t="n">
        <x:v>326.2039637619</x:v>
      </x:c>
      <x:c r="K21" s="31" t="n">
        <x:v>0</x:v>
      </x:c>
      <x:c r="L21" s="31" t="n">
        <x:v>237</x:v>
      </x:c>
      <x:c r="M21" s="31" t="n">
        <x:v>89.2039637619</x:v>
      </x:c>
      <x:c r="N21" s="24" t="str">
        <x:v>chelidonichthys capensis</x:v>
      </x:c>
      <x:c r="O21" s="32" t="n">
        <x:v>4.1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Chelidonichthys capensis</x:v>
      </x:c>
      <x:c r="T21" s="32" t="n">
        <x:f>IF(O21="","",(1/'Metadata'!$B$5)^(O21-1))</x:f>
        <x:v>1258.9254117941662</x:v>
      </x:c>
      <x:c r="U21" s="31" t="n">
        <x:f>IF(T21="","",I21*T21)</x:f>
        <x:v>410666.4594078392</x:v>
      </x:c>
    </x:row>
    <x:row r="22" ht="18" customHeight="1">
      <x:c r="A22" s="24" t="str">
        <x:v>EEZ_516</x:v>
      </x:c>
      <x:c r="B22" s="24" t="str">
        <x:v>Namibia</x:v>
      </x:c>
      <x:c r="C22" s="24" t="str">
        <x:v>EEZ</x:v>
      </x:c>
      <x:c r="D22" s="30" t="n">
        <x:v>2019</x:v>
      </x:c>
      <x:c r="E22" s="24" t="str">
        <x:v>Beryx</x:v>
      </x:c>
      <x:c r="F22" s="24" t="str">
        <x:v>Alfonsinos</x:v>
      </x:c>
      <x:c r="G22" s="24" t="str">
        <x:v>Medium benthopelagics (30 - 89 cm)</x:v>
      </x:c>
      <x:c r="H22" s="24" t="str">
        <x:v>Other fishes &amp; inverts</x:v>
      </x:c>
      <x:c r="I22" s="31" t="n">
        <x:v>319.4563730558</x:v>
      </x:c>
      <x:c r="J22" s="31" t="n">
        <x:v>319.4563730558</x:v>
      </x:c>
      <x:c r="K22" s="31" t="n">
        <x:v>0</x:v>
      </x:c>
      <x:c r="L22" s="31" t="n">
        <x:v>319</x:v>
      </x:c>
      <x:c r="M22" s="31" t="n">
        <x:v>0.4563730558</x:v>
      </x:c>
      <x:c r="N22" s="24" t="str">
        <x:v>beryx</x:v>
      </x:c>
      <x:c r="O22" s="32" t="n">
        <x:v>3.97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Beryx</x:v>
      </x:c>
      <x:c r="T22" s="32" t="n">
        <x:f>IF(O22="","",(1/'Metadata'!$B$5)^(O22-1))</x:f>
        <x:v>933.2543007969915</x:v>
      </x:c>
      <x:c r="U22" s="31" t="n">
        <x:f>IF(T22="","",I22*T22)</x:f>
        <x:v>298134.0340713335</x:v>
      </x:c>
    </x:row>
    <x:row r="23" ht="18" customHeight="1">
      <x:c r="A23" s="24" t="str">
        <x:v>EEZ_516</x:v>
      </x:c>
      <x:c r="B23" s="24" t="str">
        <x:v>Namibia</x:v>
      </x:c>
      <x:c r="C23" s="24" t="str">
        <x:v>EEZ</x:v>
      </x:c>
      <x:c r="D23" s="30" t="n">
        <x:v>2019</x:v>
      </x:c>
      <x:c r="E23" s="24" t="str">
        <x:v>Mollusca</x:v>
      </x:c>
      <x:c r="F23" s="24" t="str">
        <x:v>Clams, seasnails, squids, octopuses</x:v>
      </x:c>
      <x:c r="G23" s="24" t="str">
        <x:v>Other demersal invertebrates</x:v>
      </x:c>
      <x:c r="H23" s="24" t="str">
        <x:v>Molluscs</x:v>
      </x:c>
      <x:c r="I23" s="31" t="n">
        <x:v>304.7673743773</x:v>
      </x:c>
      <x:c r="J23" s="31" t="n">
        <x:v>304.7673743773</x:v>
      </x:c>
      <x:c r="K23" s="31" t="n">
        <x:v>0</x:v>
      </x:c>
      <x:c r="L23" s="31" t="n">
        <x:v>304.7673743773</x:v>
      </x:c>
      <x:c r="M23" s="31" t="n">
        <x:v>0</x:v>
      </x:c>
      <x:c r="N23" s="24" t="str">
        <x:v>mollusca</x:v>
      </x:c>
      <x:c r="O23" s="32" t="n">
        <x:v>2.1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Mollusca</x:v>
      </x:c>
      <x:c r="T23" s="32" t="n">
        <x:f>IF(O23="","",(1/'Metadata'!$B$5)^(O23-1))</x:f>
        <x:v>12.589254117941675</x:v>
      </x:c>
      <x:c r="U23" s="31" t="n">
        <x:f>IF(T23="","",I23*T23)</x:f>
        <x:v>3836.7939228936957</x:v>
      </x:c>
    </x:row>
    <x:row r="24" ht="18" customHeight="1">
      <x:c r="A24" s="24" t="str">
        <x:v>EEZ_516</x:v>
      </x:c>
      <x:c r="B24" s="24" t="str">
        <x:v>Namibia</x:v>
      </x:c>
      <x:c r="C24" s="24" t="str">
        <x:v>EEZ</x:v>
      </x:c>
      <x:c r="D24" s="30" t="n">
        <x:v>2019</x:v>
      </x:c>
      <x:c r="E24" s="24" t="str">
        <x:v>Marine finfishes not identified</x:v>
      </x:c>
      <x:c r="F24" s="24" t="str">
        <x:v>Finfishes</x:v>
      </x:c>
      <x:c r="G24" s="24" t="str">
        <x:v>Medium demersals (30 - 89 cm)</x:v>
      </x:c>
      <x:c r="H24" s="24" t="str">
        <x:v>Other fishes &amp; inverts</x:v>
      </x:c>
      <x:c r="I24" s="31" t="n">
        <x:v>284.1506970748</x:v>
      </x:c>
      <x:c r="J24" s="31" t="n">
        <x:v>0</x:v>
      </x:c>
      <x:c r="K24" s="31" t="n">
        <x:v>284.1506970748</x:v>
      </x:c>
      <x:c r="L24" s="31" t="n">
        <x:v>0</x:v>
      </x:c>
      <x:c r="M24" s="31" t="n">
        <x:v>284.1506970748</x:v>
      </x:c>
      <x:c r="N24" s="24" t="str">
        <x:v>marine finfishes not identified</x:v>
      </x:c>
      <x:c r="O24" s="32" t="n">
        <x:v>3.23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Marine finfishes not identified</x:v>
      </x:c>
      <x:c r="T24" s="32" t="n">
        <x:f>IF(O24="","",(1/'Metadata'!$B$5)^(O24-1))</x:f>
        <x:v>169.82436524617444</x:v>
      </x:c>
      <x:c r="U24" s="31" t="n">
        <x:f>IF(T24="","",I24*T24)</x:f>
        <x:v>48255.71176498591</x:v>
      </x:c>
    </x:row>
    <x:row r="25" ht="18" customHeight="1">
      <x:c r="A25" s="24" t="str">
        <x:v>EEZ_516</x:v>
      </x:c>
      <x:c r="B25" s="24" t="str">
        <x:v>Namibia</x:v>
      </x:c>
      <x:c r="C25" s="24" t="str">
        <x:v>EEZ</x:v>
      </x:c>
      <x:c r="D25" s="30" t="n">
        <x:v>2019</x:v>
      </x:c>
      <x:c r="E25" s="24" t="str">
        <x:v>Zeidae</x:v>
      </x:c>
      <x:c r="F25" s="24" t="str">
        <x:v>Dories</x:v>
      </x:c>
      <x:c r="G25" s="24" t="str">
        <x:v>Medium bathydemersals (30 - 89 cm)</x:v>
      </x:c>
      <x:c r="H25" s="24" t="str">
        <x:v>Other fishes &amp; inverts</x:v>
      </x:c>
      <x:c r="I25" s="31" t="n">
        <x:v>261</x:v>
      </x:c>
      <x:c r="J25" s="31" t="n">
        <x:v>261</x:v>
      </x:c>
      <x:c r="K25" s="31" t="n">
        <x:v>0</x:v>
      </x:c>
      <x:c r="L25" s="31" t="n">
        <x:v>261</x:v>
      </x:c>
      <x:c r="M25" s="31" t="n">
        <x:v>0</x:v>
      </x:c>
      <x:c r="N25" s="24" t="str">
        <x:v>zeidae</x:v>
      </x:c>
      <x:c r="O25" s="32" t="n">
        <x:v>4.49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Zeidae</x:v>
      </x:c>
      <x:c r="T25" s="32" t="n">
        <x:f>IF(O25="","",(1/'Metadata'!$B$5)^(O25-1))</x:f>
        <x:v>3090.295432513592</x:v>
      </x:c>
      <x:c r="U25" s="31" t="n">
        <x:f>IF(T25="","",I25*T25)</x:f>
        <x:v>806567.1078860476</x:v>
      </x:c>
    </x:row>
    <x:row r="26" ht="18" customHeight="1">
      <x:c r="A26" s="24" t="str">
        <x:v>EEZ_516</x:v>
      </x:c>
      <x:c r="B26" s="24" t="str">
        <x:v>Namibia</x:v>
      </x:c>
      <x:c r="C26" s="24" t="str">
        <x:v>EEZ</x:v>
      </x:c>
      <x:c r="D26" s="30" t="n">
        <x:v>2019</x:v>
      </x:c>
      <x:c r="E26" s="24" t="str">
        <x:v>Zeus faber</x:v>
      </x:c>
      <x:c r="F26" s="24" t="str">
        <x:v>John dory</x:v>
      </x:c>
      <x:c r="G26" s="24" t="str">
        <x:v>Medium benthopelagics (30 - 89 cm)</x:v>
      </x:c>
      <x:c r="H26" s="24" t="str">
        <x:v>Other fishes &amp; inverts</x:v>
      </x:c>
      <x:c r="I26" s="31" t="n">
        <x:v>254.6565437019</x:v>
      </x:c>
      <x:c r="J26" s="31" t="n">
        <x:v>254.6565437019</x:v>
      </x:c>
      <x:c r="K26" s="31" t="n">
        <x:v>0</x:v>
      </x:c>
      <x:c r="L26" s="31" t="n">
        <x:v>203.3827532251</x:v>
      </x:c>
      <x:c r="M26" s="31" t="n">
        <x:v>51.2737904768</x:v>
      </x:c>
      <x:c r="N26" s="24" t="str">
        <x:v>zeus faber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Zeus faber</x:v>
      </x:c>
      <x:c r="T26" s="32" t="n">
        <x:f>IF(O26="","",(1/'Metadata'!$B$5)^(O26-1))</x:f>
        <x:v>3162.2776601683795</x:v>
      </x:c>
      <x:c r="U26" s="31" t="n">
        <x:f>IF(T26="","",I26*T26)</x:f>
        <x:v>805294.699164211</x:v>
      </x:c>
    </x:row>
    <x:row r="27" ht="18" customHeight="1">
      <x:c r="A27" s="24" t="str">
        <x:v>EEZ_516</x:v>
      </x:c>
      <x:c r="B27" s="24" t="str">
        <x:v>Namibia</x:v>
      </x:c>
      <x:c r="C27" s="24" t="str">
        <x:v>EEZ</x:v>
      </x:c>
      <x:c r="D27" s="30" t="n">
        <x:v>2019</x:v>
      </x:c>
      <x:c r="E27" s="24" t="str">
        <x:v>Prionace glauca</x:v>
      </x:c>
      <x:c r="F27" s="24" t="str">
        <x:v>Blue shark</x:v>
      </x:c>
      <x:c r="G27" s="24" t="str">
        <x:v>Large sharks (&gt;=90 cm)</x:v>
      </x:c>
      <x:c r="H27" s="24" t="str">
        <x:v>Sharks &amp; rays</x:v>
      </x:c>
      <x:c r="I27" s="31" t="n">
        <x:v>246.05322640190002</x:v>
      </x:c>
      <x:c r="J27" s="31" t="n">
        <x:v>246.05322640190002</x:v>
      </x:c>
      <x:c r="K27" s="31" t="n">
        <x:v>0</x:v>
      </x:c>
      <x:c r="L27" s="31" t="n">
        <x:v>127.51562482120002</x:v>
      </x:c>
      <x:c r="M27" s="31" t="n">
        <x:v>118.5376015807</x:v>
      </x:c>
      <x:c r="N27" s="24" t="str">
        <x:v>prionace glauca</x:v>
      </x:c>
      <x:c r="O27" s="32" t="n">
        <x:v>4.35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Prionace glauca</x:v>
      </x:c>
      <x:c r="T27" s="32" t="n">
        <x:f>IF(O27="","",(1/'Metadata'!$B$5)^(O27-1))</x:f>
        <x:v>2238.7211385683377</x:v>
      </x:c>
      <x:c r="U27" s="31" t="n">
        <x:f>IF(T27="","",I27*T27)</x:f>
        <x:v>550844.5591588746</x:v>
      </x:c>
    </x:row>
    <x:row r="28" ht="18" customHeight="1">
      <x:c r="A28" s="24" t="str">
        <x:v>EEZ_516</x:v>
      </x:c>
      <x:c r="B28" s="24" t="str">
        <x:v>Namibia</x:v>
      </x:c>
      <x:c r="C28" s="24" t="str">
        <x:v>EEZ</x:v>
      </x:c>
      <x:c r="D28" s="30" t="n">
        <x:v>2019</x:v>
      </x:c>
      <x:c r="E28" s="24" t="str">
        <x:v>Thunnus alalunga</x:v>
      </x:c>
      <x:c r="F28" s="24" t="str">
        <x:v>Albacore</x:v>
      </x:c>
      <x:c r="G28" s="24" t="str">
        <x:v>Large pelagics (&gt;=90 cm)</x:v>
      </x:c>
      <x:c r="H28" s="24" t="str">
        <x:v>Tuna &amp; billfishes</x:v>
      </x:c>
      <x:c r="I28" s="31" t="n">
        <x:v>223.6530478255</x:v>
      </x:c>
      <x:c r="J28" s="31" t="n">
        <x:v>223.6530478255</x:v>
      </x:c>
      <x:c r="K28" s="31" t="n">
        <x:v>0</x:v>
      </x:c>
      <x:c r="L28" s="31" t="n">
        <x:v>223.6530478255</x:v>
      </x:c>
      <x:c r="M28" s="31" t="n">
        <x:v>0</x:v>
      </x:c>
      <x:c r="N28" s="24" t="str">
        <x:v>thunnus alalunga</x:v>
      </x:c>
      <x:c r="O28" s="32" t="n">
        <x:v>4.3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Thunnus alalunga</x:v>
      </x:c>
      <x:c r="T28" s="32" t="n">
        <x:f>IF(O28="","",(1/'Metadata'!$B$5)^(O28-1))</x:f>
        <x:v>1995.2623149688789</x:v>
      </x:c>
      <x:c r="U28" s="31" t="n">
        <x:f>IF(T28="","",I28*T28)</x:f>
        <x:v>446246.4979541525</x:v>
      </x:c>
    </x:row>
    <x:row r="29" ht="18" customHeight="1">
      <x:c r="A29" s="24" t="str">
        <x:v>EEZ_516</x:v>
      </x:c>
      <x:c r="B29" s="24" t="str">
        <x:v>Namibia</x:v>
      </x:c>
      <x:c r="C29" s="24" t="str">
        <x:v>EEZ</x:v>
      </x:c>
      <x:c r="D29" s="30" t="n">
        <x:v>2019</x:v>
      </x:c>
      <x:c r="E29" s="24" t="str">
        <x:v>Xiphias gladius</x:v>
      </x:c>
      <x:c r="F29" s="24" t="str">
        <x:v>Swordfish</x:v>
      </x:c>
      <x:c r="G29" s="24" t="str">
        <x:v>Large pelagics (&gt;=90 cm)</x:v>
      </x:c>
      <x:c r="H29" s="24" t="str">
        <x:v>Tuna &amp; billfishes</x:v>
      </x:c>
      <x:c r="I29" s="31" t="n">
        <x:v>128.420054304</x:v>
      </x:c>
      <x:c r="J29" s="31" t="n">
        <x:v>128.420054304</x:v>
      </x:c>
      <x:c r="K29" s="31" t="n">
        <x:v>0</x:v>
      </x:c>
      <x:c r="L29" s="31" t="n">
        <x:v>128.420054304</x:v>
      </x:c>
      <x:c r="M29" s="31" t="n">
        <x:v>0</x:v>
      </x:c>
      <x:c r="N29" s="24" t="str">
        <x:v>xiphias gladius</x:v>
      </x:c>
      <x:c r="O29" s="32" t="n">
        <x:v>4.53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Xiphias gladius</x:v>
      </x:c>
      <x:c r="T29" s="32" t="n">
        <x:f>IF(O29="","",(1/'Metadata'!$B$5)^(O29-1))</x:f>
        <x:v>3388.4415613920273</x:v>
      </x:c>
      <x:c r="U29" s="31" t="n">
        <x:f>IF(T29="","",I29*T29)</x:f>
        <x:v>435143.8493198947</x:v>
      </x:c>
    </x:row>
    <x:row r="30" ht="18" customHeight="1">
      <x:c r="A30" s="24" t="str">
        <x:v>EEZ_516</x:v>
      </x:c>
      <x:c r="B30" s="24" t="str">
        <x:v>Namibia</x:v>
      </x:c>
      <x:c r="C30" s="24" t="str">
        <x:v>EEZ</x:v>
      </x:c>
      <x:c r="D30" s="30" t="n">
        <x:v>2019</x:v>
      </x:c>
      <x:c r="E30" s="24" t="str">
        <x:v>Thunnus obesus</x:v>
      </x:c>
      <x:c r="F30" s="24" t="str">
        <x:v>Bigeye tuna</x:v>
      </x:c>
      <x:c r="G30" s="24" t="str">
        <x:v>Large pelagics (&gt;=90 cm)</x:v>
      </x:c>
      <x:c r="H30" s="24" t="str">
        <x:v>Tuna &amp; billfishes</x:v>
      </x:c>
      <x:c r="I30" s="31" t="n">
        <x:v>123.9989291242</x:v>
      </x:c>
      <x:c r="J30" s="31" t="n">
        <x:v>123.9989291242</x:v>
      </x:c>
      <x:c r="K30" s="31" t="n">
        <x:v>0</x:v>
      </x:c>
      <x:c r="L30" s="31" t="n">
        <x:v>123.9989291242</x:v>
      </x:c>
      <x:c r="M30" s="31" t="n">
        <x:v>0</x:v>
      </x:c>
      <x:c r="N30" s="24" t="str">
        <x:v>thunnus obesus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obesus</x:v>
      </x:c>
      <x:c r="T30" s="32" t="n">
        <x:f>IF(O30="","",(1/'Metadata'!$B$5)^(O30-1))</x:f>
        <x:v>3090.295432513592</x:v>
      </x:c>
      <x:c r="U30" s="31" t="n">
        <x:f>IF(T30="","",I30*T30)</x:f>
        <x:v>383193.3243090919</x:v>
      </x:c>
    </x:row>
    <x:row r="31" ht="18" customHeight="1">
      <x:c r="A31" s="24" t="str">
        <x:v>EEZ_516</x:v>
      </x:c>
      <x:c r="B31" s="24" t="str">
        <x:v>Namibia</x:v>
      </x:c>
      <x:c r="C31" s="24" t="str">
        <x:v>EEZ</x:v>
      </x:c>
      <x:c r="D31" s="30" t="n">
        <x:v>2019</x:v>
      </x:c>
      <x:c r="E31" s="24" t="str">
        <x:v>Lithognathus</x:v>
      </x:c>
      <x:c r="F31" s="24" t="str">
        <x:v>Steenbrases</x:v>
      </x:c>
      <x:c r="G31" s="24" t="str">
        <x:v>Large benthopelagics (&gt;=90 cm)</x:v>
      </x:c>
      <x:c r="H31" s="24" t="str">
        <x:v>Perch-likes</x:v>
      </x:c>
      <x:c r="I31" s="31" t="n">
        <x:v>122.6712123161</x:v>
      </x:c>
      <x:c r="J31" s="31" t="n">
        <x:v>122.6712123161</x:v>
      </x:c>
      <x:c r="K31" s="31" t="n">
        <x:v>0</x:v>
      </x:c>
      <x:c r="L31" s="31" t="n">
        <x:v>0</x:v>
      </x:c>
      <x:c r="M31" s="31" t="n">
        <x:v>122.6712123161</x:v>
      </x:c>
      <x:c r="N31" s="24" t="str">
        <x:v>lithognathus</x:v>
      </x:c>
      <x:c r="O31" s="32" t="n">
        <x:v>3.2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Lithognathus</x:v>
      </x:c>
      <x:c r="T31" s="32" t="n">
        <x:f>IF(O31="","",(1/'Metadata'!$B$5)^(O31-1))</x:f>
        <x:v>158.48931924611142</x:v>
      </x:c>
      <x:c r="U31" s="31" t="n">
        <x:f>IF(T31="","",I31*T31)</x:f>
        <x:v>19442.076931073887</x:v>
      </x:c>
    </x:row>
    <x:row r="32" ht="18" customHeight="1">
      <x:c r="A32" s="24" t="str">
        <x:v>EEZ_516</x:v>
      </x:c>
      <x:c r="B32" s="24" t="str">
        <x:v>Namibia</x:v>
      </x:c>
      <x:c r="C32" s="24" t="str">
        <x:v>EEZ</x:v>
      </x:c>
      <x:c r="D32" s="30" t="n">
        <x:v>2019</x:v>
      </x:c>
      <x:c r="E32" s="24" t="str">
        <x:v>Austroglossus microlepis</x:v>
      </x:c>
      <x:c r="F32" s="24" t="str">
        <x:v>West coast sole</x:v>
      </x:c>
      <x:c r="G32" s="24" t="str">
        <x:v>Small to medium flatfishes (&lt;90 cm)</x:v>
      </x:c>
      <x:c r="H32" s="24" t="str">
        <x:v>Flatfishes</x:v>
      </x:c>
      <x:c r="I32" s="31" t="n">
        <x:v>117</x:v>
      </x:c>
      <x:c r="J32" s="31" t="n">
        <x:v>117</x:v>
      </x:c>
      <x:c r="K32" s="31" t="n">
        <x:v>0</x:v>
      </x:c>
      <x:c r="L32" s="31" t="n">
        <x:v>117</x:v>
      </x:c>
      <x:c r="M32" s="31" t="n">
        <x:v>0</x:v>
      </x:c>
      <x:c r="N32" s="24" t="str">
        <x:v>austroglossus microlepis</x:v>
      </x:c>
      <x:c r="O32" s="32" t="n">
        <x:v>3.48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Austroglossus microlepis</x:v>
      </x:c>
      <x:c r="T32" s="32" t="n">
        <x:f>IF(O32="","",(1/'Metadata'!$B$5)^(O32-1))</x:f>
        <x:v>301.9951720402016</x:v>
      </x:c>
      <x:c r="U32" s="31" t="n">
        <x:f>IF(T32="","",I32*T32)</x:f>
        <x:v>35333.43512870359</x:v>
      </x:c>
    </x:row>
    <x:row r="33" ht="18" customHeight="1">
      <x:c r="A33" s="24" t="str">
        <x:v>EEZ_516</x:v>
      </x:c>
      <x:c r="B33" s="24" t="str">
        <x:v>Namibia</x:v>
      </x:c>
      <x:c r="C33" s="24" t="str">
        <x:v>EEZ</x:v>
      </x:c>
      <x:c r="D33" s="30" t="n">
        <x:v>2019</x:v>
      </x:c>
      <x:c r="E33" s="24" t="str">
        <x:v>Chondrichthyes</x:v>
      </x:c>
      <x:c r="F33" s="24" t="str">
        <x:v>Sharks, rays, chimaeras</x:v>
      </x:c>
      <x:c r="G33" s="24" t="str">
        <x:v>Large sharks (&gt;=90 cm)</x:v>
      </x:c>
      <x:c r="H33" s="24" t="str">
        <x:v>Sharks &amp; rays</x:v>
      </x:c>
      <x:c r="I33" s="31" t="n">
        <x:v>116.17121477650001</x:v>
      </x:c>
      <x:c r="J33" s="31" t="n">
        <x:v>116.17121477650001</x:v>
      </x:c>
      <x:c r="K33" s="31" t="n">
        <x:v>0</x:v>
      </x:c>
      <x:c r="L33" s="31" t="n">
        <x:v>12</x:v>
      </x:c>
      <x:c r="M33" s="31" t="n">
        <x:v>104.17121477650001</x:v>
      </x:c>
      <x:c r="N33" s="24" t="str">
        <x:v>chondrichthyes</x:v>
      </x:c>
      <x:c r="O33" s="32" t="n">
        <x:v>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Chondrichthyes</x:v>
      </x:c>
      <x:c r="T33" s="32" t="n">
        <x:f>IF(O33="","",(1/'Metadata'!$B$5)^(O33-1))</x:f>
        <x:v>1000</x:v>
      </x:c>
      <x:c r="U33" s="31" t="n">
        <x:f>IF(T33="","",I33*T33)</x:f>
        <x:v>116171.21477650001</x:v>
      </x:c>
    </x:row>
    <x:row r="34" ht="18" customHeight="1">
      <x:c r="A34" s="24" t="str">
        <x:v>EEZ_516</x:v>
      </x:c>
      <x:c r="B34" s="24" t="str">
        <x:v>Namibia</x:v>
      </x:c>
      <x:c r="C34" s="24" t="str">
        <x:v>EEZ</x:v>
      </x:c>
      <x:c r="D34" s="30" t="n">
        <x:v>2019</x:v>
      </x:c>
      <x:c r="E34" s="24" t="str">
        <x:v>Perciformes</x:v>
      </x:c>
      <x:c r="F34" s="24" t="str">
        <x:v>Perch-likes</x:v>
      </x:c>
      <x:c r="G34" s="24" t="str">
        <x:v>Medium demersals (30 - 89 cm)</x:v>
      </x:c>
      <x:c r="H34" s="24" t="str">
        <x:v>Perch-likes</x:v>
      </x:c>
      <x:c r="I34" s="31" t="n">
        <x:v>114.7211957243</x:v>
      </x:c>
      <x:c r="J34" s="31" t="n">
        <x:v>114.7211957243</x:v>
      </x:c>
      <x:c r="K34" s="31" t="n">
        <x:v>0</x:v>
      </x:c>
      <x:c r="L34" s="31" t="n">
        <x:v>0</x:v>
      </x:c>
      <x:c r="M34" s="31" t="n">
        <x:v>114.7211957243</x:v>
      </x:c>
      <x:c r="N34" s="24" t="str">
        <x:v>perciformes</x:v>
      </x:c>
      <x:c r="O34" s="32" t="n">
        <x:v>3.53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Perciformes</x:v>
      </x:c>
      <x:c r="T34" s="32" t="n">
        <x:f>IF(O34="","",(1/'Metadata'!$B$5)^(O34-1))</x:f>
        <x:v>338.84415613920237</x:v>
      </x:c>
      <x:c r="U34" s="31" t="n">
        <x:f>IF(T34="","",I34*T34)</x:f>
        <x:v>38872.6067564807</x:v>
      </x:c>
    </x:row>
    <x:row r="35" ht="18" customHeight="1">
      <x:c r="A35" s="24" t="str">
        <x:v>EEZ_516</x:v>
      </x:c>
      <x:c r="B35" s="24" t="str">
        <x:v>Namibia</x:v>
      </x:c>
      <x:c r="C35" s="24" t="str">
        <x:v>EEZ</x:v>
      </x:c>
      <x:c r="D35" s="30" t="n">
        <x:v>2019</x:v>
      </x:c>
      <x:c r="E35" s="24" t="str">
        <x:v>Thunnus albacares</x:v>
      </x:c>
      <x:c r="F35" s="24" t="str">
        <x:v>Yellowfin tuna</x:v>
      </x:c>
      <x:c r="G35" s="24" t="str">
        <x:v>Large pelagics (&gt;=90 cm)</x:v>
      </x:c>
      <x:c r="H35" s="24" t="str">
        <x:v>Tuna &amp; billfishes</x:v>
      </x:c>
      <x:c r="I35" s="31" t="n">
        <x:v>62.691321078</x:v>
      </x:c>
      <x:c r="J35" s="31" t="n">
        <x:v>62.691321078</x:v>
      </x:c>
      <x:c r="K35" s="31" t="n">
        <x:v>0</x:v>
      </x:c>
      <x:c r="L35" s="31" t="n">
        <x:v>62.691321078</x:v>
      </x:c>
      <x:c r="M35" s="31" t="n">
        <x:v>0</x:v>
      </x:c>
      <x:c r="N35" s="24" t="str">
        <x:v>thunnus albacares</x:v>
      </x:c>
      <x:c r="O35" s="32" t="n">
        <x:v>4.41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albacares</x:v>
      </x:c>
      <x:c r="T35" s="32" t="n">
        <x:f>IF(O35="","",(1/'Metadata'!$B$5)^(O35-1))</x:f>
        <x:v>2570.3957827688646</x:v>
      </x:c>
      <x:c r="U35" s="31" t="n">
        <x:f>IF(T35="","",I35*T35)</x:f>
        <x:v>161141.50731510003</x:v>
      </x:c>
    </x:row>
    <x:row r="36" ht="18" customHeight="1">
      <x:c r="A36" s="24" t="str">
        <x:v>EEZ_516</x:v>
      </x:c>
      <x:c r="B36" s="24" t="str">
        <x:v>Namibia</x:v>
      </x:c>
      <x:c r="C36" s="24" t="str">
        <x:v>EEZ</x:v>
      </x:c>
      <x:c r="D36" s="30" t="n">
        <x:v>2019</x:v>
      </x:c>
      <x:c r="E36" s="24" t="str">
        <x:v>Ruvettus pretiosus</x:v>
      </x:c>
      <x:c r="F36" s="24" t="str">
        <x:v>Oilfish</x:v>
      </x:c>
      <x:c r="G36" s="24" t="str">
        <x:v>Large benthopelagics (&gt;=90 cm)</x:v>
      </x:c>
      <x:c r="H36" s="24" t="str">
        <x:v>Perch-likes</x:v>
      </x:c>
      <x:c r="I36" s="31" t="n">
        <x:v>58.9572647854</x:v>
      </x:c>
      <x:c r="J36" s="31" t="n">
        <x:v>58.9572647854</x:v>
      </x:c>
      <x:c r="K36" s="31" t="n">
        <x:v>0</x:v>
      </x:c>
      <x:c r="L36" s="31" t="n">
        <x:v>58.9572647854</x:v>
      </x:c>
      <x:c r="M36" s="31" t="n">
        <x:v>0</x:v>
      </x:c>
      <x:c r="N36" s="24" t="str">
        <x:v>ruvettus pretiosus</x:v>
      </x:c>
      <x:c r="O36" s="32" t="n">
        <x:v>4.18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Ruvettus pretiosus</x:v>
      </x:c>
      <x:c r="T36" s="32" t="n">
        <x:f>IF(O36="","",(1/'Metadata'!$B$5)^(O36-1))</x:f>
        <x:v>1513.5612484362073</x:v>
      </x:c>
      <x:c r="U36" s="31" t="n">
        <x:f>IF(T36="","",I36*T36)</x:f>
        <x:v>89235.43129297407</x:v>
      </x:c>
    </x:row>
    <x:row r="37" ht="18" customHeight="1">
      <x:c r="A37" s="24" t="str">
        <x:v>EEZ_516</x:v>
      </x:c>
      <x:c r="B37" s="24" t="str">
        <x:v>Namibia</x:v>
      </x:c>
      <x:c r="C37" s="24" t="str">
        <x:v>EEZ</x:v>
      </x:c>
      <x:c r="D37" s="30" t="n">
        <x:v>2019</x:v>
      </x:c>
      <x:c r="E37" s="24" t="str">
        <x:v>Ophidiidae</x:v>
      </x:c>
      <x:c r="F37" s="24" t="str">
        <x:v>Cuskeels</x:v>
      </x:c>
      <x:c r="G37" s="24" t="str">
        <x:v>Large bathydemersals (&gt;=90 cm)</x:v>
      </x:c>
      <x:c r="H37" s="24" t="str">
        <x:v>Other fishes &amp; inverts</x:v>
      </x:c>
      <x:c r="I37" s="31" t="n">
        <x:v>39.062783944500005</x:v>
      </x:c>
      <x:c r="J37" s="31" t="n">
        <x:v>39.062783944500005</x:v>
      </x:c>
      <x:c r="K37" s="31" t="n">
        <x:v>0</x:v>
      </x:c>
      <x:c r="L37" s="31" t="n">
        <x:v>39.062783944500005</x:v>
      </x:c>
      <x:c r="M37" s="31" t="n">
        <x:v>0</x:v>
      </x:c>
      <x:c r="N37" s="24" t="str">
        <x:v>ophidiidae</x:v>
      </x:c>
      <x:c r="O37" s="32" t="n">
        <x:v>3.67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Ophidiidae</x:v>
      </x:c>
      <x:c r="T37" s="32" t="n">
        <x:f>IF(O37="","",(1/'Metadata'!$B$5)^(O37-1))</x:f>
        <x:v>467.73514128719813</x:v>
      </x:c>
      <x:c r="U37" s="31" t="n">
        <x:f>IF(T37="","",I37*T37)</x:f>
        <x:v>18271.036767352005</x:v>
      </x:c>
    </x:row>
    <x:row r="38" ht="18" customHeight="1">
      <x:c r="A38" s="24" t="str">
        <x:v>EEZ_516</x:v>
      </x:c>
      <x:c r="B38" s="24" t="str">
        <x:v>Namibia</x:v>
      </x:c>
      <x:c r="C38" s="24" t="str">
        <x:v>EEZ</x:v>
      </x:c>
      <x:c r="D38" s="30" t="n">
        <x:v>2019</x:v>
      </x:c>
      <x:c r="E38" s="24" t="str">
        <x:v>Helicolenus dactylopterus</x:v>
      </x:c>
      <x:c r="F38" s="24" t="str">
        <x:v>Blackbelly rosefish</x:v>
      </x:c>
      <x:c r="G38" s="24" t="str">
        <x:v>Medium bathydemersals (30 - 89 cm)</x:v>
      </x:c>
      <x:c r="H38" s="24" t="str">
        <x:v>Scorpionfishes</x:v>
      </x:c>
      <x:c r="I38" s="31" t="n">
        <x:v>36.453421040799995</x:v>
      </x:c>
      <x:c r="J38" s="31" t="n">
        <x:v>36.453421040799995</x:v>
      </x:c>
      <x:c r="K38" s="31" t="n">
        <x:v>0</x:v>
      </x:c>
      <x:c r="L38" s="31" t="n">
        <x:v>36.453421040799995</x:v>
      </x:c>
      <x:c r="M38" s="31" t="n">
        <x:v>0</x:v>
      </x:c>
      <x:c r="N38" s="24" t="str">
        <x:v>helicolenus dactylopterus</x:v>
      </x:c>
      <x:c r="O38" s="32" t="n">
        <x:v>3.54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Helicolenus dactylopterus</x:v>
      </x:c>
      <x:c r="T38" s="32" t="n">
        <x:f>IF(O38="","",(1/'Metadata'!$B$5)^(O38-1))</x:f>
        <x:v>346.73685045253166</x:v>
      </x:c>
      <x:c r="U38" s="31" t="n">
        <x:f>IF(T38="","",I38*T38)</x:f>
        <x:v>12639.744399907038</x:v>
      </x:c>
    </x:row>
    <x:row r="39" ht="18" customHeight="1">
      <x:c r="A39" s="24" t="str">
        <x:v>EEZ_516</x:v>
      </x:c>
      <x:c r="B39" s="24" t="str">
        <x:v>Namibia</x:v>
      </x:c>
      <x:c r="C39" s="24" t="str">
        <x:v>EEZ</x:v>
      </x:c>
      <x:c r="D39" s="30" t="n">
        <x:v>2019</x:v>
      </x:c>
      <x:c r="E39" s="24" t="str">
        <x:v>Aristaeopsis edwardsiana</x:v>
      </x:c>
      <x:c r="F39" s="24" t="str">
        <x:v>Scarlet shrimp</x:v>
      </x:c>
      <x:c r="G39" s="24" t="str">
        <x:v>Shrimps</x:v>
      </x:c>
      <x:c r="H39" s="24" t="str">
        <x:v>Crustaceans</x:v>
      </x:c>
      <x:c r="I39" s="31" t="n">
        <x:v>32.337461698700004</x:v>
      </x:c>
      <x:c r="J39" s="31" t="n">
        <x:v>32.337461698700004</x:v>
      </x:c>
      <x:c r="K39" s="31" t="n">
        <x:v>0</x:v>
      </x:c>
      <x:c r="L39" s="31" t="n">
        <x:v>32.337461698700004</x:v>
      </x:c>
      <x:c r="M39" s="31" t="n">
        <x:v>0</x:v>
      </x:c>
      <x:c r="N39" s="24" t="str">
        <x:v>aristaeopsis edwardsiana</x:v>
      </x:c>
      <x:c r="O39" s="32" t="n">
        <x:v>2.3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Aristaeopsis edwardsiana</x:v>
      </x:c>
      <x:c r="T39" s="32" t="n">
        <x:f>IF(O39="","",(1/'Metadata'!$B$5)^(O39-1))</x:f>
        <x:v>19.952623149688787</x:v>
      </x:c>
      <x:c r="U39" s="31" t="n">
        <x:f>IF(T39="","",I39*T39)</x:f>
        <x:v>645.2171868916562</x:v>
      </x:c>
    </x:row>
    <x:row r="40" ht="18" customHeight="1">
      <x:c r="A40" s="24" t="str">
        <x:v>EEZ_516</x:v>
      </x:c>
      <x:c r="B40" s="24" t="str">
        <x:v>Namibia</x:v>
      </x:c>
      <x:c r="C40" s="24" t="str">
        <x:v>EEZ</x:v>
      </x:c>
      <x:c r="D40" s="30" t="n">
        <x:v>2019</x:v>
      </x:c>
      <x:c r="E40" s="24" t="str">
        <x:v>Sciaenidae</x:v>
      </x:c>
      <x:c r="F40" s="24" t="str">
        <x:v>Drums, croakers</x:v>
      </x:c>
      <x:c r="G40" s="24" t="str">
        <x:v>Medium demersals (30 - 89 cm)</x:v>
      </x:c>
      <x:c r="H40" s="24" t="str">
        <x:v>Perch-likes</x:v>
      </x:c>
      <x:c r="I40" s="31" t="n">
        <x:v>16.1527233375</x:v>
      </x:c>
      <x:c r="J40" s="31" t="n">
        <x:v>16.1527233375</x:v>
      </x:c>
      <x:c r="K40" s="31" t="n">
        <x:v>0</x:v>
      </x:c>
      <x:c r="L40" s="31" t="n">
        <x:v>0</x:v>
      </x:c>
      <x:c r="M40" s="31" t="n">
        <x:v>16.1527233375</x:v>
      </x:c>
      <x:c r="N40" s="24" t="str">
        <x:v>sciaenidae</x:v>
      </x:c>
      <x:c r="O40" s="32" t="n">
        <x:v>3.76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Sciaenidae</x:v>
      </x:c>
      <x:c r="T40" s="32" t="n">
        <x:f>IF(O40="","",(1/'Metadata'!$B$5)^(O40-1))</x:f>
        <x:v>575.4399373371566</x:v>
      </x:c>
      <x:c r="U40" s="31" t="n">
        <x:f>IF(T40="","",I40*T40)</x:f>
        <x:v>9294.922105155427</x:v>
      </x:c>
    </x:row>
    <x:row r="41" ht="18" customHeight="1">
      <x:c r="A41" s="24" t="str">
        <x:v>EEZ_516</x:v>
      </x:c>
      <x:c r="B41" s="24" t="str">
        <x:v>Namibia</x:v>
      </x:c>
      <x:c r="C41" s="24" t="str">
        <x:v>EEZ</x:v>
      </x:c>
      <x:c r="D41" s="30" t="n">
        <x:v>2019</x:v>
      </x:c>
      <x:c r="E41" s="24" t="str">
        <x:v>Sparidae</x:v>
      </x:c>
      <x:c r="F41" s="24" t="str">
        <x:v>Porgies, seabreams</x:v>
      </x:c>
      <x:c r="G41" s="24" t="str">
        <x:v>Medium benthopelagics (30 - 89 cm)</x:v>
      </x:c>
      <x:c r="H41" s="24" t="str">
        <x:v>Perch-likes</x:v>
      </x:c>
      <x:c r="I41" s="31" t="n">
        <x:v>16.1527233375</x:v>
      </x:c>
      <x:c r="J41" s="31" t="n">
        <x:v>16.1527233375</x:v>
      </x:c>
      <x:c r="K41" s="31" t="n">
        <x:v>0</x:v>
      </x:c>
      <x:c r="L41" s="31" t="n">
        <x:v>0</x:v>
      </x:c>
      <x:c r="M41" s="31" t="n">
        <x:v>16.1527233375</x:v>
      </x:c>
      <x:c r="N41" s="24" t="str">
        <x:v>sparidae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Sparidae</x:v>
      </x:c>
      <x:c r="T41" s="32" t="n">
        <x:f>IF(O41="","",(1/'Metadata'!$B$5)^(O41-1))</x:f>
        <x:v>204.17379446695296</x:v>
      </x:c>
      <x:c r="U41" s="31" t="n">
        <x:f>IF(T41="","",I41*T41)</x:f>
        <x:v>3297.9628147922795</x:v>
      </x:c>
    </x:row>
    <x:row r="42" ht="18" customHeight="1">
      <x:c r="A42" s="24" t="str">
        <x:v>EEZ_516</x:v>
      </x:c>
      <x:c r="B42" s="24" t="str">
        <x:v>Namibia</x:v>
      </x:c>
      <x:c r="C42" s="24" t="str">
        <x:v>EEZ</x:v>
      </x:c>
      <x:c r="D42" s="30" t="n">
        <x:v>2019</x:v>
      </x:c>
      <x:c r="E42" s="24" t="str">
        <x:v>Carcharhinus brachyurus</x:v>
      </x:c>
      <x:c r="F42" s="24" t="str">
        <x:v>Copper shark</x:v>
      </x:c>
      <x:c r="G42" s="24" t="str">
        <x:v>Large sharks (&gt;=90 cm)</x:v>
      </x:c>
      <x:c r="H42" s="24" t="str">
        <x:v>Sharks &amp; rays</x:v>
      </x:c>
      <x:c r="I42" s="31" t="n">
        <x:v>15.7709555819</x:v>
      </x:c>
      <x:c r="J42" s="31" t="n">
        <x:v>15.7709555819</x:v>
      </x:c>
      <x:c r="K42" s="31" t="n">
        <x:v>0</x:v>
      </x:c>
      <x:c r="L42" s="31" t="n">
        <x:v>0</x:v>
      </x:c>
      <x:c r="M42" s="31" t="n">
        <x:v>15.7709555819</x:v>
      </x:c>
      <x:c r="N42" s="24" t="str">
        <x:v>carcharhinus brachyurus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Carcharhinus brachyurus</x:v>
      </x:c>
      <x:c r="T42" s="32" t="n">
        <x:f>IF(O42="","",(1/'Metadata'!$B$5)^(O42-1))</x:f>
        <x:v>3162.2776601683795</x:v>
      </x:c>
      <x:c r="U42" s="31" t="n">
        <x:f>IF(T42="","",I42*T42)</x:f>
        <x:v>49872.140516150175</x:v>
      </x:c>
    </x:row>
    <x:row r="43" ht="18" customHeight="1">
      <x:c r="A43" s="24" t="str">
        <x:v>EEZ_516</x:v>
      </x:c>
      <x:c r="B43" s="24" t="str">
        <x:v>Namibia</x:v>
      </x:c>
      <x:c r="C43" s="24" t="str">
        <x:v>EEZ</x:v>
      </x:c>
      <x:c r="D43" s="30" t="n">
        <x:v>2019</x:v>
      </x:c>
      <x:c r="E43" s="24" t="str">
        <x:v>Mustelus mustelus</x:v>
      </x:c>
      <x:c r="F43" s="24" t="str">
        <x:v>Smooth-hound</x:v>
      </x:c>
      <x:c r="G43" s="24" t="str">
        <x:v>Large sharks (&gt;=90 cm)</x:v>
      </x:c>
      <x:c r="H43" s="24" t="str">
        <x:v>Sharks &amp; rays</x:v>
      </x:c>
      <x:c r="I43" s="31" t="n">
        <x:v>15.7709555819</x:v>
      </x:c>
      <x:c r="J43" s="31" t="n">
        <x:v>15.7709555819</x:v>
      </x:c>
      <x:c r="K43" s="31" t="n">
        <x:v>0</x:v>
      </x:c>
      <x:c r="L43" s="31" t="n">
        <x:v>0</x:v>
      </x:c>
      <x:c r="M43" s="31" t="n">
        <x:v>15.7709555819</x:v>
      </x:c>
      <x:c r="N43" s="24" t="str">
        <x:v>mustelus mustelus</x:v>
      </x:c>
      <x:c r="O43" s="32" t="n">
        <x:v>3.75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Mustelus mustelus</x:v>
      </x:c>
      <x:c r="T43" s="32" t="n">
        <x:f>IF(O43="","",(1/'Metadata'!$B$5)^(O43-1))</x:f>
        <x:v>562.341325190349</x:v>
      </x:c>
      <x:c r="U43" s="31" t="n">
        <x:f>IF(T43="","",I43*T43)</x:f>
        <x:v>8868.660061443778</x:v>
      </x:c>
    </x:row>
    <x:row r="44" ht="18" customHeight="1">
      <x:c r="A44" s="24" t="str">
        <x:v>EEZ_516</x:v>
      </x:c>
      <x:c r="B44" s="24" t="str">
        <x:v>Namibia</x:v>
      </x:c>
      <x:c r="C44" s="24" t="str">
        <x:v>EEZ</x:v>
      </x:c>
      <x:c r="D44" s="30" t="n">
        <x:v>2019</x:v>
      </x:c>
      <x:c r="E44" s="24" t="str">
        <x:v>Marine pelagic fishes not identified</x:v>
      </x:c>
      <x:c r="F44" s="24" t="str">
        <x:v>Pelagic fishes</x:v>
      </x:c>
      <x:c r="G44" s="24" t="str">
        <x:v>Medium pelagics (30 - 89 cm)</x:v>
      </x:c>
      <x:c r="H44" s="24" t="str">
        <x:v>Other fishes &amp; inverts</x:v>
      </x:c>
      <x:c r="I44" s="31" t="n">
        <x:v>10.070678662699999</x:v>
      </x:c>
      <x:c r="J44" s="31" t="n">
        <x:v>10.070678662699999</x:v>
      </x:c>
      <x:c r="K44" s="31" t="n">
        <x:v>0</x:v>
      </x:c>
      <x:c r="L44" s="31" t="n">
        <x:v>10.070678662699999</x:v>
      </x:c>
      <x:c r="M44" s="31" t="n">
        <x:v>0</x:v>
      </x:c>
      <x:c r="N44" s="24" t="str">
        <x:v>marine pelagic fishes not identified</x:v>
      </x:c>
      <x:c r="O44" s="32" t="n">
        <x:v>3.35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Marine pelagic fishes not identified</x:v>
      </x:c>
      <x:c r="T44" s="32" t="n">
        <x:f>IF(O44="","",(1/'Metadata'!$B$5)^(O44-1))</x:f>
        <x:v>223.872113856834</x:v>
      </x:c>
      <x:c r="U44" s="31" t="n">
        <x:f>IF(T44="","",I44*T44)</x:f>
        <x:v>2254.544120191563</x:v>
      </x:c>
    </x:row>
    <x:row r="45" ht="18" customHeight="1">
      <x:c r="A45" s="24" t="str">
        <x:v>EEZ_516</x:v>
      </x:c>
      <x:c r="B45" s="24" t="str">
        <x:v>Namibia</x:v>
      </x:c>
      <x:c r="C45" s="24" t="str">
        <x:v>EEZ</x:v>
      </x:c>
      <x:c r="D45" s="30" t="n">
        <x:v>2019</x:v>
      </x:c>
      <x:c r="E45" s="24" t="str">
        <x:v>Makaira nigricans</x:v>
      </x:c>
      <x:c r="F45" s="24" t="str">
        <x:v>Blue marlin</x:v>
      </x:c>
      <x:c r="G45" s="24" t="str">
        <x:v>Large pelagics (&gt;=90 cm)</x:v>
      </x:c>
      <x:c r="H45" s="24" t="str">
        <x:v>Tuna &amp; billfishes</x:v>
      </x:c>
      <x:c r="I45" s="31" t="n">
        <x:v>7.9879635102</x:v>
      </x:c>
      <x:c r="J45" s="31" t="n">
        <x:v>7.9879635102</x:v>
      </x:c>
      <x:c r="K45" s="31" t="n">
        <x:v>0</x:v>
      </x:c>
      <x:c r="L45" s="31" t="n">
        <x:v>7.9879635102</x:v>
      </x:c>
      <x:c r="M45" s="31" t="n">
        <x:v>0</x:v>
      </x:c>
      <x:c r="N45" s="24" t="str">
        <x:v>makaira nigricans</x:v>
      </x:c>
      <x:c r="O45" s="32" t="n">
        <x:v>4.49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Makaira nigricans</x:v>
      </x:c>
      <x:c r="T45" s="32" t="n">
        <x:f>IF(O45="","",(1/'Metadata'!$B$5)^(O45-1))</x:f>
        <x:v>3090.295432513592</x:v>
      </x:c>
      <x:c r="U45" s="31" t="n">
        <x:f>IF(T45="","",I45*T45)</x:f>
        <x:v>24685.1671506563</x:v>
      </x:c>
    </x:row>
    <x:row r="46" ht="18" customHeight="1">
      <x:c r="A46" s="24" t="str">
        <x:v>EEZ_516</x:v>
      </x:c>
      <x:c r="B46" s="24" t="str">
        <x:v>Namibia</x:v>
      </x:c>
      <x:c r="C46" s="24" t="str">
        <x:v>EEZ</x:v>
      </x:c>
      <x:c r="D46" s="30" t="n">
        <x:v>2019</x:v>
      </x:c>
      <x:c r="E46" s="24" t="str">
        <x:v>Auxis thazard</x:v>
      </x:c>
      <x:c r="F46" s="24" t="str">
        <x:v>Frigate tuna</x:v>
      </x:c>
      <x:c r="G46" s="24" t="str">
        <x:v>Medium pelagics (30 - 89 cm)</x:v>
      </x:c>
      <x:c r="H46" s="24" t="str">
        <x:v>Tuna &amp; billfishes</x:v>
      </x:c>
      <x:c r="I46" s="31" t="n">
        <x:v>5.8339894514</x:v>
      </x:c>
      <x:c r="J46" s="31" t="n">
        <x:v>5.8339894514</x:v>
      </x:c>
      <x:c r="K46" s="31" t="n">
        <x:v>0</x:v>
      </x:c>
      <x:c r="L46" s="31" t="n">
        <x:v>5.8339894514</x:v>
      </x:c>
      <x:c r="M46" s="31" t="n">
        <x:v>0</x:v>
      </x:c>
      <x:c r="N46" s="24" t="str">
        <x:v>auxis thazard</x:v>
      </x:c>
      <x:c r="O46" s="32" t="n">
        <x:v>4.37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Auxis thazard</x:v>
      </x:c>
      <x:c r="T46" s="32" t="n">
        <x:f>IF(O46="","",(1/'Metadata'!$B$5)^(O46-1))</x:f>
        <x:v>2344.228815319923</x:v>
      </x:c>
      <x:c r="U46" s="31" t="n">
        <x:f>IF(T46="","",I46*T46)</x:f>
        <x:v>13676.20618024435</x:v>
      </x:c>
    </x:row>
    <x:row r="47" ht="18" customHeight="1">
      <x:c r="A47" s="24" t="str">
        <x:v>EEZ_516</x:v>
      </x:c>
      <x:c r="B47" s="24" t="str">
        <x:v>Namibia</x:v>
      </x:c>
      <x:c r="C47" s="24" t="str">
        <x:v>EEZ</x:v>
      </x:c>
      <x:c r="D47" s="30" t="n">
        <x:v>2019</x:v>
      </x:c>
      <x:c r="E47" s="24" t="str">
        <x:v>Epigonus telescopus</x:v>
      </x:c>
      <x:c r="F47" s="24" t="str">
        <x:v>Black cardinal fish</x:v>
      </x:c>
      <x:c r="G47" s="24" t="str">
        <x:v>Medium bathydemersals (30 - 89 cm)</x:v>
      </x:c>
      <x:c r="H47" s="24" t="str">
        <x:v>Perch-likes</x:v>
      </x:c>
      <x:c r="I47" s="31" t="n">
        <x:v>1</x:v>
      </x:c>
      <x:c r="J47" s="31" t="n">
        <x:v>1</x:v>
      </x:c>
      <x:c r="K47" s="31" t="n">
        <x:v>0</x:v>
      </x:c>
      <x:c r="L47" s="31" t="n">
        <x:v>1</x:v>
      </x:c>
      <x:c r="M47" s="31" t="n">
        <x:v>0</x:v>
      </x:c>
      <x:c r="N47" s="24" t="str">
        <x:v>epigonus telescopus</x:v>
      </x:c>
      <x:c r="O47" s="32" t="n">
        <x:v>3.59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Epigonus telescopus</x:v>
      </x:c>
      <x:c r="T47" s="32" t="n">
        <x:f>IF(O47="","",(1/'Metadata'!$B$5)^(O47-1))</x:f>
        <x:v>389.04514499428046</x:v>
      </x:c>
      <x:c r="U47" s="31" t="n">
        <x:f>IF(T47="","",I47*T47)</x:f>
        <x:v>389.04514499428046</x:v>
      </x:c>
    </x:row>
    <x:row r="48" ht="18" customHeight="1">
      <x:c r="A48" s="24" t="str">
        <x:v>EEZ_516</x:v>
      </x:c>
      <x:c r="B48" s="24" t="str">
        <x:v>Namibia</x:v>
      </x:c>
      <x:c r="C48" s="24" t="str">
        <x:v>EEZ</x:v>
      </x:c>
      <x:c r="D48" s="30" t="n">
        <x:v>2019</x:v>
      </x:c>
      <x:c r="E48" s="24" t="str">
        <x:v>Thunnus maccoyii</x:v>
      </x:c>
      <x:c r="F48" s="24" t="str">
        <x:v>Southern bluefin tuna</x:v>
      </x:c>
      <x:c r="G48" s="24" t="str">
        <x:v>Large pelagics (&gt;=90 cm)</x:v>
      </x:c>
      <x:c r="H48" s="24" t="str">
        <x:v>Tuna &amp; billfishes</x:v>
      </x:c>
      <x:c r="I48" s="31" t="n">
        <x:v>0.9082008779999999</x:v>
      </x:c>
      <x:c r="J48" s="31" t="n">
        <x:v>0.9082008779999999</x:v>
      </x:c>
      <x:c r="K48" s="31" t="n">
        <x:v>0</x:v>
      </x:c>
      <x:c r="L48" s="31" t="n">
        <x:v>0.9082008779999999</x:v>
      </x:c>
      <x:c r="M48" s="31" t="n">
        <x:v>0</x:v>
      </x:c>
      <x:c r="N48" s="24" t="str">
        <x:v>thunnus maccoyii</x:v>
      </x:c>
      <x:c r="O48" s="32" t="n">
        <x:v>3.93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maccoyii</x:v>
      </x:c>
      <x:c r="T48" s="32" t="n">
        <x:f>IF(O48="","",(1/'Metadata'!$B$5)^(O48-1))</x:f>
        <x:v>851.1380382023768</x:v>
      </x:c>
      <x:c r="U48" s="31" t="n">
        <x:f>IF(T48="","",I48*T48)</x:f>
        <x:v>773.0043135945962</x:v>
      </x:c>
    </x:row>
    <x:row r="49" ht="18" customHeight="1">
      <x:c r="A49" s="24" t="str">
        <x:v>EEZ_516</x:v>
      </x:c>
      <x:c r="B49" s="24" t="str">
        <x:v>Namibia</x:v>
      </x:c>
      <x:c r="C49" s="24" t="str">
        <x:v>EEZ</x:v>
      </x:c>
      <x:c r="D49" s="30" t="n">
        <x:v>2019</x:v>
      </x:c>
      <x:c r="E49" s="24" t="str">
        <x:v>Istiophorus albicans</x:v>
      </x:c>
      <x:c r="F49" s="24" t="str">
        <x:v>Atlantic sailfish</x:v>
      </x:c>
      <x:c r="G49" s="24" t="str">
        <x:v>Large pelagics (&gt;=90 cm)</x:v>
      </x:c>
      <x:c r="H49" s="24" t="str">
        <x:v>Tuna &amp; billfishes</x:v>
      </x:c>
      <x:c r="I49" s="31" t="n">
        <x:v>0.7968200266000001</x:v>
      </x:c>
      <x:c r="J49" s="31" t="n">
        <x:v>0.7968200266000001</x:v>
      </x:c>
      <x:c r="K49" s="31" t="n">
        <x:v>0</x:v>
      </x:c>
      <x:c r="L49" s="31" t="n">
        <x:v>0.7968200266000001</x:v>
      </x:c>
      <x:c r="M49" s="31" t="n">
        <x:v>0</x:v>
      </x:c>
      <x:c r="N49" s="24" t="str">
        <x:v>istiophorus albicans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Istiophorus albicans</x:v>
      </x:c>
      <x:c r="T49" s="32" t="n">
        <x:f>IF(O49="","",(1/'Metadata'!$B$5)^(O49-1))</x:f>
        <x:v>3162.2776601683795</x:v>
      </x:c>
      <x:c r="U49" s="31" t="n">
        <x:f>IF(T49="","",I49*T49)</x:f>
        <x:v>2519.766169291954</x:v>
      </x:c>
    </x:row>
    <x:row r="50" ht="18" customHeight="1">
      <x:c r="A50" s="24" t="str">
        <x:v>EEZ_516</x:v>
      </x:c>
      <x:c r="B50" s="24" t="str">
        <x:v>Namibia</x:v>
      </x:c>
      <x:c r="C50" s="24" t="str">
        <x:v>EEZ</x:v>
      </x:c>
      <x:c r="D50" s="30" t="n">
        <x:v>2019</x:v>
      </x:c>
      <x:c r="E50" s="24" t="str">
        <x:v>Lepidocybium flavobrunneum</x:v>
      </x:c>
      <x:c r="F50" s="24" t="str">
        <x:v>Escolar</x:v>
      </x:c>
      <x:c r="G50" s="24" t="str">
        <x:v>Large bathypelagics (&gt;=90 cm)</x:v>
      </x:c>
      <x:c r="H50" s="24" t="str">
        <x:v>Perch-likes</x:v>
      </x:c>
      <x:c r="I50" s="31" t="n">
        <x:v>0.346479582</x:v>
      </x:c>
      <x:c r="J50" s="31" t="n">
        <x:v>0.346479582</x:v>
      </x:c>
      <x:c r="K50" s="31" t="n">
        <x:v>0</x:v>
      </x:c>
      <x:c r="L50" s="31" t="n">
        <x:v>0.346479582</x:v>
      </x:c>
      <x:c r="M50" s="31" t="n">
        <x:v>0</x:v>
      </x:c>
      <x:c r="N50" s="24" t="str">
        <x:v>lepidocybium flavobrunneum</x:v>
      </x:c>
      <x:c r="O50" s="32" t="n">
        <x:v>4.34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Lepidocybium flavobrunneum</x:v>
      </x:c>
      <x:c r="T50" s="32" t="n">
        <x:f>IF(O50="","",(1/'Metadata'!$B$5)^(O50-1))</x:f>
        <x:v>2187.761623949552</x:v>
      </x:c>
      <x:c r="U50" s="31" t="n">
        <x:f>IF(T50="","",I50*T50)</x:f>
        <x:v>758.014732981682</x:v>
      </x:c>
    </x:row>
    <x:row r="51" ht="18" customHeight="1">
      <x:c r="A51" s="24" t="str">
        <x:v>EEZ_516</x:v>
      </x:c>
      <x:c r="B51" s="24" t="str">
        <x:v>Namibia</x:v>
      </x:c>
      <x:c r="C51" s="24" t="str">
        <x:v>EEZ</x:v>
      </x:c>
      <x:c r="D51" s="30" t="n">
        <x:v>2019</x:v>
      </x:c>
      <x:c r="E51" s="24" t="str">
        <x:v>Pseudocyttus maculatus</x:v>
      </x:c>
      <x:c r="F51" s="24" t="str">
        <x:v>Smooth oreo dory</x:v>
      </x:c>
      <x:c r="G51" s="24" t="str">
        <x:v>Medium benthopelagics (30 - 89 cm)</x:v>
      </x:c>
      <x:c r="H51" s="24" t="str">
        <x:v>Other fishes &amp; inverts</x:v>
      </x:c>
      <x:c r="I51" s="31" t="n">
        <x:v>0.1747091168</x:v>
      </x:c>
      <x:c r="J51" s="31" t="n">
        <x:v>0.1747091168</x:v>
      </x:c>
      <x:c r="K51" s="31" t="n">
        <x:v>0</x:v>
      </x:c>
      <x:c r="L51" s="31" t="n">
        <x:v>0</x:v>
      </x:c>
      <x:c r="M51" s="31" t="n">
        <x:v>0.1747091168</x:v>
      </x:c>
      <x:c r="N51" s="24" t="str">
        <x:v>pseudocyttus maculatus</x:v>
      </x:c>
      <x:c r="O51" s="32" t="n">
        <x:v>3.61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Pseudocyttus maculatus</x:v>
      </x:c>
      <x:c r="T51" s="32" t="n">
        <x:f>IF(O51="","",(1/'Metadata'!$B$5)^(O51-1))</x:f>
        <x:v>407.3802778041126</x:v>
      </x:c>
      <x:c r="U51" s="31" t="n">
        <x:f>IF(T51="","",I51*T51)</x:f>
        <x:v>71.17304853689517</x:v>
      </x:c>
    </x:row>
    <x:row r="52" ht="18" customHeight="1">
      <x:c r="A52" s="24" t="str">
        <x:v>EEZ_516</x:v>
      </x:c>
      <x:c r="B52" s="24" t="str">
        <x:v>Namibia</x:v>
      </x:c>
      <x:c r="C52" s="24" t="str">
        <x:v>EEZ</x:v>
      </x:c>
      <x:c r="D52" s="30" t="n">
        <x:v>2019</x:v>
      </x:c>
      <x:c r="E52" s="24" t="str">
        <x:v>Tetrapturus pfluegeri</x:v>
      </x:c>
      <x:c r="F52" s="24" t="str">
        <x:v>Longbill spearfish</x:v>
      </x:c>
      <x:c r="G52" s="24" t="str">
        <x:v>Large pelagics (&gt;=90 cm)</x:v>
      </x:c>
      <x:c r="H52" s="24" t="str">
        <x:v>Tuna &amp; billfishes</x:v>
      </x:c>
      <x:c r="I52" s="31" t="n">
        <x:v>0.0474242197</x:v>
      </x:c>
      <x:c r="J52" s="31" t="n">
        <x:v>0.0474242197</x:v>
      </x:c>
      <x:c r="K52" s="31" t="n">
        <x:v>0</x:v>
      </x:c>
      <x:c r="L52" s="31" t="n">
        <x:v>0.0474242197</x:v>
      </x:c>
      <x:c r="M52" s="31" t="n">
        <x:v>0</x:v>
      </x:c>
      <x:c r="N52" s="24" t="str">
        <x:v>tetrapturus pfluegeri</x:v>
      </x:c>
      <x:c r="O52" s="32" t="n">
        <x:v>4.4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Tetrapturus pfluegeri</x:v>
      </x:c>
      <x:c r="T52" s="32" t="n">
        <x:f>IF(O52="","",(1/'Metadata'!$B$5)^(O52-1))</x:f>
        <x:v>2511.886431509582</x:v>
      </x:c>
      <x:c r="U52" s="31" t="n">
        <x:f>IF(T52="","",I52*T52)</x:f>
        <x:v>119.12425398935942</x:v>
      </x:c>
    </x:row>
    <x:row r="53" ht="18" customHeight="1">
      <x:c r="A53" s="24" t="str">
        <x:v>EEZ_516</x:v>
      </x:c>
      <x:c r="B53" s="24" t="str">
        <x:v>Namibia</x:v>
      </x:c>
      <x:c r="C53" s="24" t="str">
        <x:v>EEZ</x:v>
      </x:c>
      <x:c r="D53" s="30" t="n">
        <x:v>2019</x:v>
      </x:c>
      <x:c r="E53" s="24" t="str">
        <x:v>Coryphaena hippurus</x:v>
      </x:c>
      <x:c r="F53" s="24" t="str">
        <x:v>Common dolphinfish</x:v>
      </x:c>
      <x:c r="G53" s="24" t="str">
        <x:v>Large pelagics (&gt;=90 cm)</x:v>
      </x:c>
      <x:c r="H53" s="24" t="str">
        <x:v>Perch-likes</x:v>
      </x:c>
      <x:c r="I53" s="31" t="n">
        <x:v>0.0363275706</x:v>
      </x:c>
      <x:c r="J53" s="31" t="n">
        <x:v>0.0363275706</x:v>
      </x:c>
      <x:c r="K53" s="31" t="n">
        <x:v>0</x:v>
      </x:c>
      <x:c r="L53" s="31" t="n">
        <x:v>0.0363275706</x:v>
      </x:c>
      <x:c r="M53" s="31" t="n">
        <x:v>0</x:v>
      </x:c>
      <x:c r="N53" s="24" t="str">
        <x:v>coryphaena hippurus</x:v>
      </x:c>
      <x:c r="O53" s="32" t="n">
        <x:v>4.37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Coryphaena hippurus</x:v>
      </x:c>
      <x:c r="T53" s="32" t="n">
        <x:f>IF(O53="","",(1/'Metadata'!$B$5)^(O53-1))</x:f>
        <x:v>2344.228815319923</x:v>
      </x:c>
      <x:c r="U53" s="31" t="n">
        <x:f>IF(T53="","",I53*T53)</x:f>
        <x:v>85.16013779108886</x:v>
      </x:c>
    </x:row>
    <x:row r="54" ht="18" customHeight="1">
      <x:c r="A54" s="24" t="str">
        <x:v>EEZ_516</x:v>
      </x:c>
      <x:c r="B54" s="24" t="str">
        <x:v>Namibia</x:v>
      </x:c>
      <x:c r="C54" s="24" t="str">
        <x:v>EEZ</x:v>
      </x:c>
      <x:c r="D54" s="30" t="n">
        <x:v>2019</x:v>
      </x:c>
      <x:c r="E54" s="24" t="str">
        <x:v>Istiophoridae</x:v>
      </x:c>
      <x:c r="F54" s="24" t="str">
        <x:v>Billfishes</x:v>
      </x:c>
      <x:c r="G54" s="24" t="str">
        <x:v>Large pelagics (&gt;=90 cm)</x:v>
      </x:c>
      <x:c r="H54" s="24" t="str">
        <x:v>Tuna &amp; billfishes</x:v>
      </x:c>
      <x:c r="I54" s="31" t="n">
        <x:v>0.018770504</x:v>
      </x:c>
      <x:c r="J54" s="31" t="n">
        <x:v>0.018770504</x:v>
      </x:c>
      <x:c r="K54" s="31" t="n">
        <x:v>0</x:v>
      </x:c>
      <x:c r="L54" s="31" t="n">
        <x:v>0.018770504</x:v>
      </x:c>
      <x:c r="M54" s="31" t="n">
        <x:v>0</x:v>
      </x:c>
      <x:c r="N54" s="24" t="str">
        <x:v>istiophoridae</x:v>
      </x:c>
      <x:c r="O54" s="32" t="n">
        <x:v>4.48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Istiophoridae</x:v>
      </x:c>
      <x:c r="T54" s="32" t="n">
        <x:f>IF(O54="","",(1/'Metadata'!$B$5)^(O54-1))</x:f>
        <x:v>3019.951720402019</x:v>
      </x:c>
      <x:c r="U54" s="31" t="n">
        <x:f>IF(T54="","",I54*T54)</x:f>
        <x:v>56.68601584761298</x:v>
      </x:c>
    </x:row>
    <x:row r="55" ht="18" customHeight="1">
      <x:c r="A55" s="24" t="str">
        <x:v>EEZ_516</x:v>
      </x:c>
      <x:c r="B55" s="24" t="str">
        <x:v>Namibia</x:v>
      </x:c>
      <x:c r="C55" s="24" t="str">
        <x:v>EEZ</x:v>
      </x:c>
      <x:c r="D55" s="30" t="n">
        <x:v>2019</x:v>
      </x:c>
      <x:c r="E55" s="24" t="str">
        <x:v>Octopodidae</x:v>
      </x:c>
      <x:c r="F55" s="24" t="str">
        <x:v>Octopuses</x:v>
      </x:c>
      <x:c r="G55" s="24" t="str">
        <x:v>Cephalopods</x:v>
      </x:c>
      <x:c r="H55" s="24" t="str">
        <x:v>Other fishes &amp; inverts</x:v>
      </x:c>
      <x:c r="I55" s="31" t="n">
        <x:v>0.0155319221</x:v>
      </x:c>
      <x:c r="J55" s="31" t="n">
        <x:v>0.0155319221</x:v>
      </x:c>
      <x:c r="K55" s="31" t="n">
        <x:v>0</x:v>
      </x:c>
      <x:c r="L55" s="31" t="n">
        <x:v>0.0155319221</x:v>
      </x:c>
      <x:c r="M55" s="31" t="n">
        <x:v>0</x:v>
      </x:c>
      <x:c r="N55" s="24" t="str">
        <x:v>octopodidae</x:v>
      </x:c>
      <x:c r="O55" s="32" t="n">
        <x:v>3.59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Octopodidae</x:v>
      </x:c>
      <x:c r="T55" s="32" t="n">
        <x:f>IF(O55="","",(1/'Metadata'!$B$5)^(O55-1))</x:f>
        <x:v>389.04514499428046</x:v>
      </x:c>
      <x:c r="U55" s="31" t="n">
        <x:f>IF(T55="","",I55*T55)</x:f>
        <x:v>6.0426188854343685</x:v>
      </x:c>
    </x:row>
    <x:row r="56" ht="18" customHeight="1">
      <x:c r="A56" s="24" t="str">
        <x:v>EEZ_516</x:v>
      </x:c>
      <x:c r="B56" s="24" t="str">
        <x:v>Namibia</x:v>
      </x:c>
      <x:c r="C56" s="24" t="str">
        <x:v>EEZ</x:v>
      </x:c>
      <x:c r="D56" s="30" t="n">
        <x:v>2019</x:v>
      </x:c>
      <x:c r="E56" s="24" t="str">
        <x:v>Scombridae</x:v>
      </x:c>
      <x:c r="F56" s="24" t="str">
        <x:v>Mackerels, tunas, bonitos</x:v>
      </x:c>
      <x:c r="G56" s="24" t="str">
        <x:v>Medium pelagics (30 - 89 cm)</x:v>
      </x:c>
      <x:c r="H56" s="24" t="str">
        <x:v>Perch-likes</x:v>
      </x:c>
      <x:c r="I56" s="31" t="n">
        <x:v>0.0049410663</x:v>
      </x:c>
      <x:c r="J56" s="31" t="n">
        <x:v>0.0049410663</x:v>
      </x:c>
      <x:c r="K56" s="31" t="n">
        <x:v>0</x:v>
      </x:c>
      <x:c r="L56" s="31" t="n">
        <x:v>0.0049410663</x:v>
      </x:c>
      <x:c r="M56" s="31" t="n">
        <x:v>0</x:v>
      </x:c>
      <x:c r="N56" s="24" t="str">
        <x:v>scombridae</x:v>
      </x:c>
      <x:c r="O56" s="32" t="n">
        <x:v>4.26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Scombridae</x:v>
      </x:c>
      <x:c r="T56" s="32" t="n">
        <x:f>IF(O56="","",(1/'Metadata'!$B$5)^(O56-1))</x:f>
        <x:v>1819.7008586099826</x:v>
      </x:c>
      <x:c r="U56" s="31" t="n">
        <x:f>IF(T56="","",I56*T56)</x:f>
        <x:v>8.991262588558849</x:v>
      </x:c>
    </x:row>
    <x:row r="57" ht="18" customHeight="1">
      <x:c r="A57" s="24" t="str">
        <x:v>EEZ_516</x:v>
      </x:c>
      <x:c r="B57" s="24" t="str">
        <x:v>Namibia</x:v>
      </x:c>
      <x:c r="C57" s="24" t="str">
        <x:v>EEZ</x:v>
      </x:c>
      <x:c r="D57" s="30" t="n">
        <x:v>2019</x:v>
      </x:c>
      <x:c r="E57" s="24" t="str">
        <x:v>Kajikia albida</x:v>
      </x:c>
      <x:c r="F57" s="24" t="str">
        <x:v>Atlantic white marlin</x:v>
      </x:c>
      <x:c r="G57" s="24" t="str">
        <x:v>Large pelagics (&gt;=90 cm)</x:v>
      </x:c>
      <x:c r="H57" s="24" t="str">
        <x:v>Tuna &amp; billfishes</x:v>
      </x:c>
      <x:c r="I57" s="31" t="n">
        <x:v>0.0046217578</x:v>
      </x:c>
      <x:c r="J57" s="31" t="n">
        <x:v>0.0046217578</x:v>
      </x:c>
      <x:c r="K57" s="31" t="n">
        <x:v>0</x:v>
      </x:c>
      <x:c r="L57" s="31" t="n">
        <x:v>0.0046217578</x:v>
      </x:c>
      <x:c r="M57" s="31" t="n">
        <x:v>0</x:v>
      </x:c>
      <x:c r="N57" s="24" t="str">
        <x:v>kajikia albida</x:v>
      </x:c>
      <x:c r="O57" s="32" t="n">
        <x:v>4.49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Kajikia albida</x:v>
      </x:c>
      <x:c r="T57" s="32" t="n">
        <x:f>IF(O57="","",(1/'Metadata'!$B$5)^(O57-1))</x:f>
        <x:v>3090.295432513592</x:v>
      </x:c>
      <x:c r="U57" s="31" t="n">
        <x:f>IF(T57="","",I57*T57)</x:f>
        <x:v>14.282597019524067</x:v>
      </x:c>
    </x:row>
    <x:row r="58" ht="18" customHeight="1">
      <x:c r="A58" s="24" t="str">
        <x:v>EEZ_516</x:v>
      </x:c>
      <x:c r="B58" s="24" t="str">
        <x:v>Namibia</x:v>
      </x:c>
      <x:c r="C58" s="24" t="str">
        <x:v>EEZ</x:v>
      </x:c>
      <x:c r="D58" s="30" t="n">
        <x:v>2019</x:v>
      </x:c>
      <x:c r="E58" s="24" t="str">
        <x:v>Brama brama</x:v>
      </x:c>
      <x:c r="F58" s="24" t="str">
        <x:v>Atlantic pomfret</x:v>
      </x:c>
      <x:c r="G58" s="24" t="str">
        <x:v>Medium bathypelagics (30 - 89 cm)</x:v>
      </x:c>
      <x:c r="H58" s="24" t="str">
        <x:v>Perch-likes</x:v>
      </x:c>
      <x:c r="I58" s="31" t="n">
        <x:v>0.0007203315999999999</x:v>
      </x:c>
      <x:c r="J58" s="31" t="n">
        <x:v>0.0007203315999999999</x:v>
      </x:c>
      <x:c r="K58" s="31" t="n">
        <x:v>0</x:v>
      </x:c>
      <x:c r="L58" s="31" t="n">
        <x:v>0.0007203315999999999</x:v>
      </x:c>
      <x:c r="M58" s="31" t="n">
        <x:v>0</x:v>
      </x:c>
      <x:c r="N58" s="24" t="str">
        <x:v>brama brama</x:v>
      </x:c>
      <x:c r="O58" s="32" t="n">
        <x:v>4.08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Brama brama</x:v>
      </x:c>
      <x:c r="T58" s="32" t="n">
        <x:f>IF(O58="","",(1/'Metadata'!$B$5)^(O58-1))</x:f>
        <x:v>1202.2644346174131</x:v>
      </x:c>
      <x:c r="U58" s="31" t="n">
        <x:f>IF(T58="","",I58*T58)</x:f>
        <x:v>0.8660290638110565</x:v>
      </x:c>
    </x:row>
  </x:sheetData>
  <x:conditionalFormatting sqref="R2:R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385bdcc5e1349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8791.565121908</x:v>
      </x:c>
      <x:c r="E2" s="31" t="n">
        <x:v>8791.565121908</x:v>
      </x:c>
      <x:c r="F2" s="32" t="n">
        <x:v>0</x:v>
      </x:c>
      <x:c r="G2" s="34" t="n">
        <x:v>1</x:v>
      </x:c>
      <x:c r="H2" s="32" t="n">
        <x:f>IF(E2=0,"",I2/E2)</x:f>
        <x:v>100</x:v>
      </x:c>
      <x:c r="I2" s="31" t="n">
        <x:f>IF(C2=0,"",SUMIF('Species'!$H$2:$H$58,A2,'Species'!$U$2:$U$58))</x:f>
        <x:v>879156.5121907999</x:v>
      </x:c>
      <x:c r="J2" s="32" t="n">
        <x:v>3</x:v>
      </x:c>
      <x:c r="K2" s="32" t="n">
        <x:f>IF(J2="","",(1/'Metadata'!$B$5)^(J2-1))</x:f>
        <x:v>100</x:v>
      </x:c>
      <x:c r="L2" s="31" t="n">
        <x:f>IF(E2=0,"",E2*K2)</x:f>
        <x:v>879156.5121907999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166304.5902303447</x:v>
      </x:c>
      <x:c r="E3" s="31" t="n">
        <x:v>166304.5902303447</x:v>
      </x:c>
      <x:c r="F3" s="32" t="n">
        <x:v>0</x:v>
      </x:c>
      <x:c r="G3" s="34" t="n">
        <x:v>1</x:v>
      </x:c>
      <x:c r="H3" s="32" t="n">
        <x:f>IF(E3=0,"",I3/E3)</x:f>
        <x:v>1862.0871366628655</x:v>
      </x:c>
      <x:c r="I3" s="31" t="n">
        <x:f>IF(C3=0,"",SUMIF('Species'!$H$2:$H$58,A3,'Species'!$U$2:$U$58))</x:f>
        <x:v>309673638.23591375</x:v>
      </x:c>
      <x:c r="J3" s="32" t="n">
        <x:v>4.27</x:v>
      </x:c>
      <x:c r="K3" s="32" t="n">
        <x:f>IF(J3="","",(1/'Metadata'!$B$5)^(J3-1))</x:f>
        <x:v>1862.0871366628655</x:v>
      </x:c>
      <x:c r="L3" s="31" t="n">
        <x:f>IF(E3=0,"",E3*K3)</x:f>
        <x:v>309673638.23591375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3</x:v>
      </x:c>
      <x:c r="C4" s="33" t="n">
        <x:v>3</x:v>
      </x:c>
      <x:c r="D4" s="31" t="n">
        <x:v>5567.5174234116</x:v>
      </x:c>
      <x:c r="E4" s="31" t="n">
        <x:v>5567.5174234116</x:v>
      </x:c>
      <x:c r="F4" s="32" t="n">
        <x:v>0</x:v>
      </x:c>
      <x:c r="G4" s="34" t="n">
        <x:v>1</x:v>
      </x:c>
      <x:c r="H4" s="32" t="n">
        <x:f>IF(E4=0,"",I4/E4)</x:f>
        <x:v>68.68306750446007</x:v>
      </x:c>
      <x:c r="I4" s="31" t="n">
        <x:f>IF(C4=0,"",SUMIF('Species'!$H$2:$H$58,A4,'Species'!$U$2:$U$58))</x:f>
        <x:v>382394.17502443655</x:v>
      </x:c>
      <x:c r="J4" s="32" t="n">
        <x:v>2.832150995270933</x:v>
      </x:c>
      <x:c r="K4" s="32" t="n">
        <x:f>IF(J4="","",(1/'Metadata'!$B$5)^(J4-1))</x:f>
        <x:v>67.94398188255455</x:v>
      </x:c>
      <x:c r="L4" s="31" t="n">
        <x:f>IF(E4=0,"",E4*K4)</x:f>
        <x:v>378279.3029470846</x:v>
      </x:c>
      <x:c r="M4" s="31" t="n">
        <x:f>IF(E4=0,"",I4-L4)</x:f>
        <x:v>4114.87207735196</x:v>
      </x:c>
      <x:c r="N4" s="32" t="n">
        <x:f>IF(L4=0,"",I4/L4)</x:f>
        <x:v>1.010877867346413</x:v>
      </x:c>
      <x:c r="O4" s="34" t="n">
        <x:f>IF(L4=0,"",M4/L4)</x:f>
        <x:v>0.010877867346412993</x:v>
      </x:c>
    </x:row>
    <x:row r="5" ht="18" customHeight="1">
      <x:c r="A5" s="24" t="str">
        <x:v>Flatfishes</x:v>
      </x:c>
      <x:c r="B5" s="33" t="n">
        <x:v>1</x:v>
      </x:c>
      <x:c r="C5" s="33" t="n">
        <x:v>1</x:v>
      </x:c>
      <x:c r="D5" s="31" t="n">
        <x:v>117</x:v>
      </x:c>
      <x:c r="E5" s="31" t="n">
        <x:v>117</x:v>
      </x:c>
      <x:c r="F5" s="32" t="n">
        <x:v>0</x:v>
      </x:c>
      <x:c r="G5" s="34" t="n">
        <x:v>1</x:v>
      </x:c>
      <x:c r="H5" s="32" t="n">
        <x:f>IF(E5=0,"",I5/E5)</x:f>
        <x:v>301.9951720402016</x:v>
      </x:c>
      <x:c r="I5" s="31" t="n">
        <x:f>IF(C5=0,"",SUMIF('Species'!$H$2:$H$58,A5,'Species'!$U$2:$U$58))</x:f>
        <x:v>35333.43512870359</x:v>
      </x:c>
      <x:c r="J5" s="32" t="n">
        <x:v>3.4800000000000004</x:v>
      </x:c>
      <x:c r="K5" s="32" t="n">
        <x:f>IF(J5="","",(1/'Metadata'!$B$5)^(J5-1))</x:f>
        <x:v>301.9951720402019</x:v>
      </x:c>
      <x:c r="L5" s="31" t="n">
        <x:f>IF(E5=0,"",E5*K5)</x:f>
        <x:v>35333.435128703626</x:v>
      </x:c>
      <x:c r="M5" s="31" t="n">
        <x:f>IF(E5=0,"",I5-L5)</x:f>
        <x:v>-3.637978807091713e-11</x:v>
      </x:c>
      <x:c r="N5" s="32" t="n">
        <x:f>IF(L5=0,"",I5/L5)</x:f>
        <x:v>0.999999999999999</x:v>
      </x:c>
      <x:c r="O5" s="34" t="n">
        <x:f>IF(L5=0,"",M5/L5)</x:f>
        <x:v>-1.0296136771984415e-15</x:v>
      </x:c>
    </x:row>
    <x:row r="6" ht="18" customHeight="1">
      <x:c r="A6" s="24" t="str">
        <x:v>Herring-likes</x:v>
      </x:c>
      <x:c r="B6" s="33" t="n">
        <x:v>2</x:v>
      </x:c>
      <x:c r="C6" s="33" t="n">
        <x:v>2</x:v>
      </x:c>
      <x:c r="D6" s="31" t="n">
        <x:v>6952.6811566059005</x:v>
      </x:c>
      <x:c r="E6" s="31" t="n">
        <x:v>6952.6811566059005</x:v>
      </x:c>
      <x:c r="F6" s="32" t="n">
        <x:v>0</x:v>
      </x:c>
      <x:c r="G6" s="34" t="n">
        <x:v>1</x:v>
      </x:c>
      <x:c r="H6" s="32" t="n">
        <x:f>IF(E6=0,"",I6/E6)</x:f>
        <x:v>67.06307702616498</x:v>
      </x:c>
      <x:c r="I6" s="31" t="n">
        <x:f>IF(C6=0,"",SUMIF('Species'!$H$2:$H$58,A6,'Species'!$U$2:$U$58))</x:f>
        <x:v>466268.1919438273</x:v>
      </x:c>
      <x:c r="J6" s="32" t="n">
        <x:v>2.8255903220907115</x:v>
      </x:c>
      <x:c r="K6" s="32" t="n">
        <x:f>IF(J6="","",(1/'Metadata'!$B$5)^(J6-1))</x:f>
        <x:v>66.92529929956596</x:v>
      </x:c>
      <x:c r="L6" s="31" t="n">
        <x:f>IF(E6=0,"",E6*K6)</x:f>
        <x:v>465310.26734030235</x:v>
      </x:c>
      <x:c r="M6" s="31" t="n">
        <x:f>IF(E6=0,"",I6-L6)</x:f>
        <x:v>957.9246035249671</x:v>
      </x:c>
      <x:c r="N6" s="32" t="n">
        <x:f>IF(L6=0,"",I6/L6)</x:f>
        <x:v>1.0020586792743698</x:v>
      </x:c>
      <x:c r="O6" s="34" t="n">
        <x:f>IF(L6=0,"",M6/L6)</x:f>
        <x:v>0.002058679274369834</x:v>
      </x:c>
    </x:row>
    <x:row r="7" ht="18" customHeight="1">
      <x:c r="A7" s="24" t="str">
        <x:v>Molluscs</x:v>
      </x:c>
      <x:c r="B7" s="33" t="n">
        <x:v>1</x:v>
      </x:c>
      <x:c r="C7" s="33" t="n">
        <x:v>1</x:v>
      </x:c>
      <x:c r="D7" s="31" t="n">
        <x:v>304.7673743773</x:v>
      </x:c>
      <x:c r="E7" s="31" t="n">
        <x:v>304.7673743773</x:v>
      </x:c>
      <x:c r="F7" s="32" t="n">
        <x:v>0</x:v>
      </x:c>
      <x:c r="G7" s="34" t="n">
        <x:v>1</x:v>
      </x:c>
      <x:c r="H7" s="32" t="n">
        <x:f>IF(E7=0,"",I7/E7)</x:f>
        <x:v>12.589254117941675</x:v>
      </x:c>
      <x:c r="I7" s="31" t="n">
        <x:f>IF(C7=0,"",SUMIF('Species'!$H$2:$H$58,A7,'Species'!$U$2:$U$58))</x:f>
        <x:v>3836.7939228936957</x:v>
      </x:c>
      <x:c r="J7" s="32" t="n">
        <x:v>2.1</x:v>
      </x:c>
      <x:c r="K7" s="32" t="n">
        <x:f>IF(J7="","",(1/'Metadata'!$B$5)^(J7-1))</x:f>
        <x:v>12.589254117941675</x:v>
      </x:c>
      <x:c r="L7" s="31" t="n">
        <x:f>IF(E7=0,"",E7*K7)</x:f>
        <x:v>3836.7939228936957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Other fishes &amp; inverts</x:v>
      </x:c>
      <x:c r="B8" s="33" t="n">
        <x:v>13</x:v>
      </x:c>
      <x:c r="C8" s="33" t="n">
        <x:v>13</x:v>
      </x:c>
      <x:c r="D8" s="31" t="n">
        <x:v>169650.43863557887</x:v>
      </x:c>
      <x:c r="E8" s="31" t="n">
        <x:v>169650.43863557887</x:v>
      </x:c>
      <x:c r="F8" s="32" t="n">
        <x:v>0</x:v>
      </x:c>
      <x:c r="G8" s="34" t="n">
        <x:v>1</x:v>
      </x:c>
      <x:c r="H8" s="32" t="n">
        <x:f>IF(E8=0,"",I8/E8)</x:f>
        <x:v>536.7847513193219</x:v>
      </x:c>
      <x:c r="I8" s="31" t="n">
        <x:f>IF(C8=0,"",SUMIF('Species'!$H$2:$H$58,A8,'Species'!$U$2:$U$58))</x:f>
        <x:v>91065768.51421309</x:v>
      </x:c>
      <x:c r="J8" s="32" t="n">
        <x:v>3.4349105799594923</x:v>
      </x:c>
      <x:c r="K8" s="32" t="n">
        <x:f>IF(J8="","",(1/'Metadata'!$B$5)^(J8-1))</x:f>
        <x:v>272.214076906848</x:v>
      </x:c>
      <x:c r="L8" s="31" t="n">
        <x:f>IF(E8=0,"",E8*K8)</x:f>
        <x:v>46181237.55002596</x:v>
      </x:c>
      <x:c r="M8" s="31" t="n">
        <x:f>IF(E8=0,"",I8-L8)</x:f>
        <x:v>44884530.96418712</x:v>
      </x:c>
      <x:c r="N8" s="32" t="n">
        <x:f>IF(L8=0,"",I8/L8)</x:f>
        <x:v>1.97192135476157</x:v>
      </x:c>
      <x:c r="O8" s="34" t="n">
        <x:f>IF(L8=0,"",M8/L8)</x:f>
        <x:v>0.97192135476157</x:v>
      </x:c>
    </x:row>
    <x:row r="9" ht="18" customHeight="1">
      <x:c r="A9" s="24" t="str">
        <x:v>Perch-likes</x:v>
      </x:c>
      <x:c r="B9" s="33" t="n">
        <x:v>15</x:v>
      </x:c>
      <x:c r="C9" s="33" t="n">
        <x:v>15</x:v>
      </x:c>
      <x:c r="D9" s="31" t="n">
        <x:v>324746.7466673569</x:v>
      </x:c>
      <x:c r="E9" s="31" t="n">
        <x:v>324746.7466673569</x:v>
      </x:c>
      <x:c r="F9" s="32" t="n">
        <x:v>0</x:v>
      </x:c>
      <x:c r="G9" s="34" t="n">
        <x:v>1</x:v>
      </x:c>
      <x:c r="H9" s="32" t="n">
        <x:f>IF(E9=0,"",I9/E9)</x:f>
        <x:v>298.20430915762483</x:v>
      </x:c>
      <x:c r="I9" s="31" t="n">
        <x:f>IF(C9=0,"",SUMIF('Species'!$H$2:$H$58,A9,'Species'!$U$2:$U$58))</x:f>
        <x:v>96840879.24112538</x:v>
      </x:c>
      <x:c r="J9" s="32" t="n">
        <x:v>3.473354863558692</x:v>
      </x:c>
      <x:c r="K9" s="32" t="n">
        <x:f>IF(J9="","",(1/'Metadata'!$B$5)^(J9-1))</x:f>
        <x:v>297.40951828719653</x:v>
      </x:c>
      <x:c r="L9" s="31" t="n">
        <x:f>IF(E9=0,"",E9*K9)</x:f>
        <x:v>96582773.49167287</x:v>
      </x:c>
      <x:c r="M9" s="31" t="n">
        <x:f>IF(E9=0,"",I9-L9)</x:f>
        <x:v>258105.74945250154</x:v>
      </x:c>
      <x:c r="N9" s="32" t="n">
        <x:f>IF(L9=0,"",I9/L9)</x:f>
        <x:v>1.0026723787288503</x:v>
      </x:c>
      <x:c r="O9" s="34" t="n">
        <x:f>IF(L9=0,"",M9/L9)</x:f>
        <x:v>0.002672378728850179</x:v>
      </x:c>
    </x:row>
    <x:row r="10" ht="18" customHeight="1">
      <x:c r="A10" s="24" t="str">
        <x:v>Scorpionfishes</x:v>
      </x:c>
      <x:c r="B10" s="33" t="n">
        <x:v>2</x:v>
      </x:c>
      <x:c r="C10" s="33" t="n">
        <x:v>2</x:v>
      </x:c>
      <x:c r="D10" s="31" t="n">
        <x:v>362.6573848027</x:v>
      </x:c>
      <x:c r="E10" s="31" t="n">
        <x:v>362.6573848027</x:v>
      </x:c>
      <x:c r="F10" s="32" t="n">
        <x:v>0</x:v>
      </x:c>
      <x:c r="G10" s="34" t="n">
        <x:v>1</x:v>
      </x:c>
      <x:c r="H10" s="32" t="n">
        <x:f>IF(E10=0,"",I10/E10)</x:f>
        <x:v>1167.2344795571767</x:v>
      </x:c>
      <x:c r="I10" s="31" t="n">
        <x:f>IF(C10=0,"",SUMIF('Species'!$H$2:$H$58,A10,'Species'!$U$2:$U$58))</x:f>
        <x:v>423306.2038077463</x:v>
      </x:c>
      <x:c r="J10" s="32" t="n">
        <x:v>4.043710188628989</x:v>
      </x:c>
      <x:c r="K10" s="32" t="n">
        <x:f>IF(J10="","",(1/'Metadata'!$B$5)^(J10-1))</x:f>
        <x:v>1105.8855632884447</x:v>
      </x:c>
      <x:c r="L10" s="31" t="n">
        <x:f>IF(E10=0,"",E10*K10)</x:f>
        <x:v>401057.5662732481</x:v>
      </x:c>
      <x:c r="M10" s="31" t="n">
        <x:f>IF(E10=0,"",I10-L10)</x:f>
        <x:v>22248.63753449818</x:v>
      </x:c>
      <x:c r="N10" s="32" t="n">
        <x:f>IF(L10=0,"",I10/L10)</x:f>
        <x:v>1.0554749228177875</x:v>
      </x:c>
      <x:c r="O10" s="34" t="n">
        <x:f>IF(L10=0,"",M10/L10)</x:f>
        <x:v>0.05547492281778761</x:v>
      </x:c>
    </x:row>
    <x:row r="11" ht="18" customHeight="1">
      <x:c r="A11" s="24" t="str">
        <x:v>Sharks &amp; rays</x:v>
      </x:c>
      <x:c r="B11" s="33" t="n">
        <x:v>6</x:v>
      </x:c>
      <x:c r="C11" s="33" t="n">
        <x:v>6</x:v>
      </x:c>
      <x:c r="D11" s="31" t="n">
        <x:v>3563.696299845401</x:v>
      </x:c>
      <x:c r="E11" s="31" t="n">
        <x:v>3563.696299845401</x:v>
      </x:c>
      <x:c r="F11" s="32" t="n">
        <x:v>0</x:v>
      </x:c>
      <x:c r="G11" s="34" t="n">
        <x:v>1</x:v>
      </x:c>
      <x:c r="H11" s="32" t="n">
        <x:f>IF(E11=0,"",I11/E11)</x:f>
        <x:v>1754.7541420720231</x:v>
      </x:c>
      <x:c r="I11" s="31" t="n">
        <x:f>IF(C11=0,"",SUMIF('Species'!$H$2:$H$58,A11,'Species'!$U$2:$U$58))</x:f>
        <x:v>6253410.843240459</x:v>
      </x:c>
      <x:c r="J11" s="32" t="n">
        <x:v>4.191730020562795</x:v>
      </x:c>
      <x:c r="K11" s="32" t="n">
        <x:f>IF(J11="","",(1/'Metadata'!$B$5)^(J11-1))</x:f>
        <x:v>1554.9986651825639</x:v>
      </x:c>
      <x:c r="L11" s="31" t="n">
        <x:f>IF(E11=0,"",E11*K11)</x:f>
        <x:v>5541542.989375641</x:v>
      </x:c>
      <x:c r="M11" s="31" t="n">
        <x:f>IF(E11=0,"",I11-L11)</x:f>
        <x:v>711867.8538648188</x:v>
      </x:c>
      <x:c r="N11" s="32" t="n">
        <x:f>IF(L11=0,"",I11/L11)</x:f>
        <x:v>1.1284602240259844</x:v>
      </x:c>
      <x:c r="O11" s="34" t="n">
        <x:f>IF(L11=0,"",M11/L11)</x:f>
        <x:v>0.12846022402598453</x:v>
      </x:c>
    </x:row>
    <x:row r="12" ht="18" customHeight="1">
      <x:c r="A12" s="24" t="str">
        <x:v>Tuna &amp; billfishes</x:v>
      </x:c>
      <x:c r="B12" s="33" t="n">
        <x:v>12</x:v>
      </x:c>
      <x:c r="C12" s="33" t="n">
        <x:v>12</x:v>
      </x:c>
      <x:c r="D12" s="31" t="n">
        <x:v>881.7321009607001</x:v>
      </x:c>
      <x:c r="E12" s="31" t="n">
        <x:v>881.7321009607001</x:v>
      </x:c>
      <x:c r="F12" s="32" t="n">
        <x:v>0</x:v>
      </x:c>
      <x:c r="G12" s="34" t="n">
        <x:v>1</x:v>
      </x:c>
      <x:c r="H12" s="32" t="n">
        <x:f>IF(E12=0,"",I12/E12)</x:f>
        <x:v>2663.733962990412</x:v>
      </x:c>
      <x:c r="I12" s="31" t="n">
        <x:f>IF(C12=0,"",SUMIF('Species'!$H$2:$H$58,A12,'Species'!$U$2:$U$58))</x:f>
        <x:v>2348699.7435879074</x:v>
      </x:c>
      <x:c r="J12" s="32" t="n">
        <x:v>4.418300218468494</x:v>
      </x:c>
      <x:c r="K12" s="32" t="n">
        <x:f>IF(J12="","",(1/'Metadata'!$B$5)^(J12-1))</x:f>
        <x:v>2619.9935277399936</x:v>
      </x:c>
      <x:c r="L12" s="31" t="n">
        <x:f>IF(E12=0,"",E12*K12)</x:f>
        <x:v>2310132.3977176207</x:v>
      </x:c>
      <x:c r="M12" s="31" t="n">
        <x:f>IF(E12=0,"",I12-L12)</x:f>
        <x:v>38567.34587028669</x:v>
      </x:c>
      <x:c r="N12" s="32" t="n">
        <x:f>IF(L12=0,"",I12/L12)</x:f>
        <x:v>1.0166948638564572</x:v>
      </x:c>
      <x:c r="O12" s="34" t="n">
        <x:f>IF(L12=0,"",M12/L12)</x:f>
        <x:v>0.01669486385645719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83af1010d774e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755.8352935542</x:v>
      </x:c>
      <x:c r="E2" s="31" t="n">
        <x:v>755.8352935542</x:v>
      </x:c>
      <x:c r="F2" s="32" t="n">
        <x:v>0</x:v>
      </x:c>
      <x:c r="G2" s="34" t="n">
        <x:v>1</x:v>
      </x:c>
      <x:c r="H2" s="32" t="n">
        <x:f>IF(E2=0,"",I2/E2)</x:f>
        <x:v>1348.9431569084918</x:v>
      </x:c>
      <x:c r="I2" s="31" t="n">
        <x:f>IF(C2=0,"",SUMIF('Species'!$G$2:$G$58,A2,'Species'!$U$2:$U$58))</x:f>
        <x:v>1019578.8469898592</x:v>
      </x:c>
      <x:c r="J2" s="32" t="n">
        <x:v>4.12998890335235</x:v>
      </x:c>
      <x:c r="K2" s="32" t="n">
        <x:f>IF(J2="","",(1/'Metadata'!$B$5)^(J2-1))</x:f>
        <x:v>1348.9284157144764</x:v>
      </x:c>
      <x:c r="L2" s="31" t="n">
        <x:f>IF(E2=0,"",E2*K2)</x:f>
        <x:v>1019567.7050751531</x:v>
      </x:c>
      <x:c r="M2" s="31" t="n">
        <x:f>IF(E2=0,"",I2-L2)</x:f>
        <x:v>11.141914706095122</x:v>
      </x:c>
      <x:c r="N2" s="32" t="n">
        <x:f>IF(L2=0,"",I2/L2)</x:f>
        <x:v>1.0000109280773122</x:v>
      </x:c>
      <x:c r="O2" s="34" t="n">
        <x:f>IF(L2=0,"",M2/L2)</x:f>
        <x:v>0.0000109280773122113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3151.4736316426997</x:v>
      </x:c>
      <x:c r="E3" s="31" t="n">
        <x:v>3151.4736316426997</x:v>
      </x:c>
      <x:c r="F3" s="32" t="n">
        <x:v>0</x:v>
      </x:c>
      <x:c r="G3" s="34" t="n">
        <x:v>1</x:v>
      </x:c>
      <x:c r="H3" s="32" t="n">
        <x:f>IF(E3=0,"",I3/E3)</x:f>
        <x:v>2725.887420990732</x:v>
      </x:c>
      <x:c r="I3" s="31" t="n">
        <x:f>IF(C3=0,"",SUMIF('Species'!$G$2:$G$58,A3,'Species'!$U$2:$U$58))</x:f>
        <x:v>8590562.330078816</x:v>
      </x:c>
      <x:c r="J3" s="32" t="n">
        <x:v>4.4304557844510395</x:v>
      </x:c>
      <x:c r="K3" s="32" t="n">
        <x:f>IF(J3="","",(1/'Metadata'!$B$5)^(J3-1))</x:f>
        <x:v>2694.3610053199227</x:v>
      </x:c>
      <x:c r="L3" s="31" t="n">
        <x:f>IF(E3=0,"",E3*K3)</x:f>
        <x:v>8491207.662392052</x:v>
      </x:c>
      <x:c r="M3" s="31" t="n">
        <x:f>IF(E3=0,"",I3-L3)</x:f>
        <x:v>99354.66768676415</x:v>
      </x:c>
      <x:c r="N3" s="32" t="n">
        <x:f>IF(L3=0,"",I3/L3)</x:f>
        <x:v>1.0117008877461342</x:v>
      </x:c>
      <x:c r="O3" s="34" t="n">
        <x:f>IF(L3=0,"",M3/L3)</x:f>
        <x:v>0.011700887746134219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0.346479582</x:v>
      </x:c>
      <x:c r="E4" s="31" t="n">
        <x:v>0.346479582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IF(C4=0,"",SUMIF('Species'!$G$2:$G$58,A4,'Species'!$U$2:$U$58))</x:f>
        <x:v>758.014732981682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758.014732981682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5224.8054866457005</x:v>
      </x:c>
      <x:c r="E5" s="31" t="n">
        <x:v>5224.8054866457005</x:v>
      </x:c>
      <x:c r="F5" s="32" t="n">
        <x:v>0</x:v>
      </x:c>
      <x:c r="G5" s="34" t="n">
        <x:v>1</x:v>
      </x:c>
      <x:c r="H5" s="32" t="n">
        <x:f>IF(E5=0,"",I5/E5)</x:f>
        <x:v>463.16227437207584</x:v>
      </x:c>
      <x:c r="I5" s="31" t="n">
        <x:f>IF(C5=0,"",SUMIF('Species'!$G$2:$G$58,A5,'Species'!$U$2:$U$58))</x:f>
        <x:v>2419932.792346523</x:v>
      </x:c>
      <x:c r="J5" s="32" t="n">
        <x:v>3.6469204065372507</x:v>
      </x:c>
      <x:c r="K5" s="32" t="n">
        <x:f>IF(J5="","",(1/'Metadata'!$B$5)^(J5-1))</x:f>
        <x:v>443.52735090503774</x:v>
      </x:c>
      <x:c r="L5" s="31" t="n">
        <x:f>IF(E5=0,"",E5*K5)</x:f>
        <x:v>2317344.136486074</x:v>
      </x:c>
      <x:c r="M5" s="31" t="n">
        <x:f>IF(E5=0,"",I5-L5)</x:f>
        <x:v>102588.65586044919</x:v>
      </x:c>
      <x:c r="N5" s="32" t="n">
        <x:f>IF(L5=0,"",I5/L5)</x:f>
        <x:v>1.0442699270450224</x:v>
      </x:c>
      <x:c r="O5" s="34" t="n">
        <x:f>IF(L5=0,"",M5/L5)</x:f>
        <x:v>0.044269927045022514</x:v>
      </x:c>
    </x:row>
    <x:row r="6" ht="18" customHeight="1">
      <x:c r="A6" s="24" t="str">
        <x:v>Large pelagics (&gt;=90 cm)</x:v>
      </x:c>
      <x:c r="B6" s="33" t="n">
        <x:v>12</x:v>
      </x:c>
      <x:c r="C6" s="33" t="n">
        <x:v>12</x:v>
      </x:c>
      <x:c r="D6" s="31" t="n">
        <x:v>875.9344390799</x:v>
      </x:c>
      <x:c r="E6" s="31" t="n">
        <x:v>875.9344390799</x:v>
      </x:c>
      <x:c r="F6" s="32" t="n">
        <x:v>0</x:v>
      </x:c>
      <x:c r="G6" s="34" t="n">
        <x:v>1</x:v>
      </x:c>
      <x:c r="H6" s="32" t="n">
        <x:f>IF(E6=0,"",I6/E6)</x:f>
        <x:v>2665.8487135159357</x:v>
      </x:c>
      <x:c r="I6" s="31" t="n">
        <x:f>IF(C6=0,"",SUMIF('Species'!$G$2:$G$58,A6,'Species'!$U$2:$U$58))</x:f>
        <x:v>2335108.6975454544</x:v>
      </x:c>
      <x:c r="J6" s="32" t="n">
        <x:v>4.4186199094441605</x:v>
      </x:c>
      <x:c r="K6" s="32" t="n">
        <x:f>IF(J6="","",(1/'Metadata'!$B$5)^(J6-1))</x:f>
        <x:v>2621.922856061278</x:v>
      </x:c>
      <x:c r="L6" s="31" t="n">
        <x:f>IF(E6=0,"",E6*K6)</x:f>
        <x:v>2296632.5262348047</x:v>
      </x:c>
      <x:c r="M6" s="31" t="n">
        <x:f>IF(E6=0,"",I6-L6)</x:f>
        <x:v>38476.17131064972</x:v>
      </x:c>
      <x:c r="N6" s="32" t="n">
        <x:f>IF(L6=0,"",I6/L6)</x:f>
        <x:v>1.0167532989588584</x:v>
      </x:c>
      <x:c r="O6" s="34" t="n">
        <x:f>IF(L6=0,"",M6/L6)</x:f>
        <x:v>0.016753298958858326</x:v>
      </x:c>
    </x:row>
    <x:row r="7" ht="18" customHeight="1">
      <x:c r="A7" s="24" t="str">
        <x:v>Large sharks (&gt;=90 cm)</x:v>
      </x:c>
      <x:c r="B7" s="33" t="n">
        <x:v>6</x:v>
      </x:c>
      <x:c r="C7" s="33" t="n">
        <x:v>6</x:v>
      </x:c>
      <x:c r="D7" s="31" t="n">
        <x:v>3563.696299845401</x:v>
      </x:c>
      <x:c r="E7" s="31" t="n">
        <x:v>3563.696299845401</x:v>
      </x:c>
      <x:c r="F7" s="32" t="n">
        <x:v>0</x:v>
      </x:c>
      <x:c r="G7" s="34" t="n">
        <x:v>1</x:v>
      </x:c>
      <x:c r="H7" s="32" t="n">
        <x:f>IF(E7=0,"",I7/E7)</x:f>
        <x:v>1754.7541420720231</x:v>
      </x:c>
      <x:c r="I7" s="31" t="n">
        <x:f>IF(C7=0,"",SUMIF('Species'!$G$2:$G$58,A7,'Species'!$U$2:$U$58))</x:f>
        <x:v>6253410.843240459</x:v>
      </x:c>
      <x:c r="J7" s="32" t="n">
        <x:v>4.191730020562795</x:v>
      </x:c>
      <x:c r="K7" s="32" t="n">
        <x:f>IF(J7="","",(1/'Metadata'!$B$5)^(J7-1))</x:f>
        <x:v>1554.9986651825639</x:v>
      </x:c>
      <x:c r="L7" s="31" t="n">
        <x:f>IF(E7=0,"",E7*K7)</x:f>
        <x:v>5541542.989375641</x:v>
      </x:c>
      <x:c r="M7" s="31" t="n">
        <x:f>IF(E7=0,"",I7-L7)</x:f>
        <x:v>711867.8538648188</x:v>
      </x:c>
      <x:c r="N7" s="32" t="n">
        <x:f>IF(L7=0,"",I7/L7)</x:f>
        <x:v>1.1284602240259844</x:v>
      </x:c>
      <x:c r="O7" s="34" t="n">
        <x:f>IF(L7=0,"",M7/L7)</x:f>
        <x:v>0.12846022402598453</x:v>
      </x:c>
    </x:row>
    <x:row r="8" ht="18" customHeight="1">
      <x:c r="A8" s="24" t="str">
        <x:v>Lobsters, crabs</x:v>
      </x:c>
      <x:c r="B8" s="33" t="n">
        <x:v>2</x:v>
      </x:c>
      <x:c r="C8" s="33" t="n">
        <x:v>2</x:v>
      </x:c>
      <x:c r="D8" s="31" t="n">
        <x:v>5535.1799617129</x:v>
      </x:c>
      <x:c r="E8" s="31" t="n">
        <x:v>5535.1799617129</x:v>
      </x:c>
      <x:c r="F8" s="32" t="n">
        <x:v>0</x:v>
      </x:c>
      <x:c r="G8" s="34" t="n">
        <x:v>1</x:v>
      </x:c>
      <x:c r="H8" s="32" t="n">
        <x:f>IF(E8=0,"",I8/E8)</x:f>
        <x:v>68.96775903911352</x:v>
      </x:c>
      <x:c r="I8" s="31" t="n">
        <x:f>IF(C8=0,"",SUMIF('Species'!$G$2:$G$58,A8,'Species'!$U$2:$U$58))</x:f>
        <x:v>381748.9578375449</x:v>
      </x:c>
      <x:c r="J8" s="32" t="n">
        <x:v>2.83525991179154</x:v>
      </x:c>
      <x:c r="K8" s="32" t="n">
        <x:f>IF(J8="","",(1/'Metadata'!$B$5)^(J8-1))</x:f>
        <x:v>68.43210697135828</x:v>
      </x:c>
      <x:c r="L8" s="31" t="n">
        <x:f>IF(E8=0,"",E8*K8)</x:f>
        <x:v>378784.027245656</x:v>
      </x:c>
      <x:c r="M8" s="31" t="n">
        <x:f>IF(E8=0,"",I8-L8)</x:f>
        <x:v>2964.9305918889004</x:v>
      </x:c>
      <x:c r="N8" s="32" t="n">
        <x:f>IF(L8=0,"",I8/L8)</x:f>
        <x:v>1.007827496353129</x:v>
      </x:c>
      <x:c r="O8" s="34" t="n">
        <x:f>IF(L8=0,"",M8/L8)</x:f>
        <x:v>0.007827496353129033</x:v>
      </x:c>
    </x:row>
    <x:row r="9" ht="18" customHeight="1">
      <x:c r="A9" s="24" t="str">
        <x:v>Medium bathydemersals (30 - 89 cm)</x:v>
      </x:c>
      <x:c r="B9" s="33" t="n">
        <x:v>4</x:v>
      </x:c>
      <x:c r="C9" s="33" t="n">
        <x:v>4</x:v>
      </x:c>
      <x:c r="D9" s="31" t="n">
        <x:v>166603.0436513855</x:v>
      </x:c>
      <x:c r="E9" s="31" t="n">
        <x:v>166603.0436513855</x:v>
      </x:c>
      <x:c r="F9" s="32" t="n">
        <x:v>0</x:v>
      </x:c>
      <x:c r="G9" s="34" t="n">
        <x:v>1</x:v>
      </x:c>
      <x:c r="H9" s="32" t="n">
        <x:f>IF(E9=0,"",I9/E9)</x:f>
        <x:v>1863.6708389496616</x:v>
      </x:c>
      <x:c r="I9" s="31" t="n">
        <x:f>IF(C9=0,"",SUMIF('Species'!$G$2:$G$58,A9,'Species'!$U$2:$U$58))</x:f>
        <x:v>310493234.1333447</x:v>
      </x:c>
      <x:c r="J9" s="32" t="n">
        <x:v>4.270180843050523</x:v>
      </x:c>
      <x:c r="K9" s="32" t="n">
        <x:f>IF(J9="","",(1/'Metadata'!$B$5)^(J9-1))</x:f>
        <x:v>1862.862683333189</x:v>
      </x:c>
      <x:c r="L9" s="31" t="n">
        <x:f>IF(E9=0,"",E9*K9)</x:f>
        <x:v>310358592.94789636</x:v>
      </x:c>
      <x:c r="M9" s="31" t="n">
        <x:f>IF(E9=0,"",I9-L9)</x:f>
        <x:v>134641.18544834852</x:v>
      </x:c>
      <x:c r="N9" s="32" t="n">
        <x:f>IF(L9=0,"",I9/L9)</x:f>
        <x:v>1.0004338245774653</x:v>
      </x:c>
      <x:c r="O9" s="34" t="n">
        <x:f>IF(L9=0,"",M9/L9)</x:f>
        <x:v>0.0004338245774653076</x:v>
      </x:c>
    </x:row>
    <x:row r="10" ht="18" customHeight="1">
      <x:c r="A10" s="24" t="str">
        <x:v>Medium bathypelagics (30 - 89 cm)</x:v>
      </x:c>
      <x:c r="B10" s="33" t="n">
        <x:v>2</x:v>
      </x:c>
      <x:c r="C10" s="33" t="n">
        <x:v>2</x:v>
      </x:c>
      <x:c r="D10" s="31" t="n">
        <x:v>343.456986971</x:v>
      </x:c>
      <x:c r="E10" s="31" t="n">
        <x:v>343.456986971</x:v>
      </x:c>
      <x:c r="F10" s="32" t="n">
        <x:v>0</x:v>
      </x:c>
      <x:c r="G10" s="34" t="n">
        <x:v>1</x:v>
      </x:c>
      <x:c r="H10" s="32" t="n">
        <x:f>IF(E10=0,"",I10/E10)</x:f>
        <x:v>1778.278201963954</x:v>
      </x:c>
      <x:c r="I10" s="31" t="n">
        <x:f>IF(C10=0,"",SUMIF('Species'!$G$2:$G$58,A10,'Species'!$U$2:$U$58))</x:f>
        <x:v>610762.073242747</x:v>
      </x:c>
      <x:c r="J10" s="32" t="n">
        <x:v>4.249999643459366</x:v>
      </x:c>
      <x:c r="K10" s="32" t="n">
        <x:f>IF(J10="","",(1/'Metadata'!$B$5)^(J10-1))</x:f>
        <x:v>1778.2779501341</x:v>
      </x:c>
      <x:c r="L10" s="31" t="n">
        <x:f>IF(E10=0,"",E10*K10)</x:f>
        <x:v>610761.9867500241</x:v>
      </x:c>
      <x:c r="M10" s="31" t="n">
        <x:f>IF(E10=0,"",I10-L10)</x:f>
        <x:v>0.08649272285401821</x:v>
      </x:c>
      <x:c r="N10" s="32" t="n">
        <x:f>IF(L10=0,"",I10/L10)</x:f>
        <x:v>1.00000014161445</x:v>
      </x:c>
      <x:c r="O10" s="34" t="n">
        <x:f>IF(L10=0,"",M10/L10)</x:f>
        <x:v>1.4161445003193757e-7</x:v>
      </x:c>
    </x:row>
    <x:row r="11" ht="18" customHeight="1">
      <x:c r="A11" s="24" t="str">
        <x:v>Medium benthopelagics (30 - 89 cm)</x:v>
      </x:c>
      <x:c r="B11" s="33" t="n">
        <x:v>6</x:v>
      </x:c>
      <x:c r="C11" s="33" t="n">
        <x:v>6</x:v>
      </x:c>
      <x:c r="D11" s="31" t="n">
        <x:v>2931.8475467209</x:v>
      </x:c>
      <x:c r="E11" s="31" t="n">
        <x:v>2931.8475467209</x:v>
      </x:c>
      <x:c r="F11" s="32" t="n">
        <x:v>0</x:v>
      </x:c>
      <x:c r="G11" s="34" t="n">
        <x:v>1</x:v>
      </x:c>
      <x:c r="H11" s="32" t="n">
        <x:f>IF(E11=0,"",I11/E11)</x:f>
        <x:v>652.2253568382125</x:v>
      </x:c>
      <x:c r="I11" s="31" t="n">
        <x:f>IF(C11=0,"",SUMIF('Species'!$G$2:$G$58,A11,'Species'!$U$2:$U$58))</x:f>
        <x:v>1912225.3123552771</x:v>
      </x:c>
      <x:c r="J11" s="32" t="n">
        <x:v>3.6661661224429776</x:v>
      </x:c>
      <x:c r="K11" s="32" t="n">
        <x:f>IF(J11="","",(1/'Metadata'!$B$5)^(J11-1))</x:f>
        <x:v>463.6242272180609</x:v>
      </x:c>
      <x:c r="L11" s="31" t="n">
        <x:f>IF(E11=0,"",E11*K11)</x:f>
        <x:v>1359275.5531696451</x:v>
      </x:c>
      <x:c r="M11" s="31" t="n">
        <x:f>IF(E11=0,"",I11-L11)</x:f>
        <x:v>552949.759185632</x:v>
      </x:c>
      <x:c r="N11" s="32" t="n">
        <x:f>IF(L11=0,"",I11/L11)</x:f>
        <x:v>1.406797398729219</x:v>
      </x:c>
      <x:c r="O11" s="34" t="n">
        <x:f>IF(L11=0,"",M11/L11)</x:f>
        <x:v>0.4067973987292191</x:v>
      </x:c>
    </x:row>
    <x:row r="12" ht="18" customHeight="1">
      <x:c r="A12" s="24" t="str">
        <x:v>Medium demersals (30 - 89 cm)</x:v>
      </x:c>
      <x:c r="B12" s="33" t="n">
        <x:v>6</x:v>
      </x:c>
      <x:c r="C12" s="33" t="n">
        <x:v>6</x:v>
      </x:c>
      <x:c r="D12" s="31" t="n">
        <x:v>165011.39302202905</x:v>
      </x:c>
      <x:c r="E12" s="31" t="n">
        <x:v>165011.39302202905</x:v>
      </x:c>
      <x:c r="F12" s="32" t="n">
        <x:v>0</x:v>
      </x:c>
      <x:c r="G12" s="34" t="n">
        <x:v>1</x:v>
      </x:c>
      <x:c r="H12" s="32" t="n">
        <x:f>IF(E12=0,"",I12/E12)</x:f>
        <x:v>481.1266489296961</x:v>
      </x:c>
      <x:c r="I12" s="31" t="n">
        <x:f>IF(C12=0,"",SUMIF('Species'!$G$2:$G$58,A12,'Species'!$U$2:$U$58))</x:f>
        <x:v>79391378.55990988</x:v>
      </x:c>
      <x:c r="J12" s="32" t="n">
        <x:v>3.408086034343004</x:v>
      </x:c>
      <x:c r="K12" s="32" t="n">
        <x:f>IF(J12="","",(1/'Metadata'!$B$5)^(J12-1))</x:f>
        <x:v>255.90927965489215</x:v>
      </x:c>
      <x:c r="L12" s="31" t="n">
        <x:f>IF(E12=0,"",E12*K12)</x:f>
        <x:v>42227946.723117754</x:v>
      </x:c>
      <x:c r="M12" s="31" t="n">
        <x:f>IF(E12=0,"",I12-L12)</x:f>
        <x:v>37163431.83679213</x:v>
      </x:c>
      <x:c r="N12" s="32" t="n">
        <x:f>IF(L12=0,"",I12/L12)</x:f>
        <x:v>1.880067223738514</x:v>
      </x:c>
      <x:c r="O12" s="34" t="n">
        <x:f>IF(L12=0,"",M12/L12)</x:f>
        <x:v>0.8800672237385141</x:v>
      </x:c>
    </x:row>
    <x:row r="13" ht="18" customHeight="1">
      <x:c r="A13" s="24" t="str">
        <x:v>Medium pelagics (30 - 89 cm)</x:v>
      </x:c>
      <x:c r="B13" s="33" t="n">
        <x:v>5</x:v>
      </x:c>
      <x:c r="C13" s="33" t="n">
        <x:v>5</x:v>
      </x:c>
      <x:c r="D13" s="31" t="n">
        <x:v>322569.48255128635</x:v>
      </x:c>
      <x:c r="E13" s="31" t="n">
        <x:v>322569.48255128635</x:v>
      </x:c>
      <x:c r="F13" s="32" t="n">
        <x:v>0</x:v>
      </x:c>
      <x:c r="G13" s="34" t="n">
        <x:v>1</x:v>
      </x:c>
      <x:c r="H13" s="32" t="n">
        <x:f>IF(E13=0,"",I13/E13)</x:f>
        <x:v>291.28838143008653</x:v>
      </x:c>
      <x:c r="I13" s="31" t="n">
        <x:f>IF(C13=0,"",SUMIF('Species'!$G$2:$G$58,A13,'Species'!$U$2:$U$58))</x:f>
        <x:v>93960742.47110474</x:v>
      </x:c>
      <x:c r="J13" s="32" t="n">
        <x:v>3.4592287701117352</x:v>
      </x:c>
      <x:c r="K13" s="32" t="n">
        <x:f>IF(J13="","",(1/'Metadata'!$B$5)^(J13-1))</x:f>
        <x:v>287.8914520025618</x:v>
      </x:c>
      <x:c r="L13" s="31" t="n">
        <x:f>IF(E13=0,"",E13*K13)</x:f>
        <x:v>92864996.70340484</x:v>
      </x:c>
      <x:c r="M13" s="31" t="n">
        <x:f>IF(E13=0,"",I13-L13)</x:f>
        <x:v>1095745.7676998973</x:v>
      </x:c>
      <x:c r="N13" s="32" t="n">
        <x:f>IF(L13=0,"",I13/L13)</x:f>
        <x:v>1.0117993410498847</x:v>
      </x:c>
      <x:c r="O13" s="34" t="n">
        <x:f>IF(L13=0,"",M13/L13)</x:f>
        <x:v>0.011799341049884756</x:v>
      </x:c>
    </x:row>
    <x:row r="14" ht="18" customHeight="1">
      <x:c r="A14" s="24" t="str">
        <x:v>Other demersal invertebrates</x:v>
      </x:c>
      <x:c r="B14" s="33" t="n">
        <x:v>1</x:v>
      </x:c>
      <x:c r="C14" s="33" t="n">
        <x:v>1</x:v>
      </x:c>
      <x:c r="D14" s="31" t="n">
        <x:v>304.7673743773</x:v>
      </x:c>
      <x:c r="E14" s="31" t="n">
        <x:v>304.7673743773</x:v>
      </x:c>
      <x:c r="F14" s="32" t="n">
        <x:v>0</x:v>
      </x:c>
      <x:c r="G14" s="34" t="n">
        <x:v>1</x:v>
      </x:c>
      <x:c r="H14" s="32" t="n">
        <x:f>IF(E14=0,"",I14/E14)</x:f>
        <x:v>12.589254117941675</x:v>
      </x:c>
      <x:c r="I14" s="31" t="n">
        <x:f>IF(C14=0,"",SUMIF('Species'!$G$2:$G$58,A14,'Species'!$U$2:$U$58))</x:f>
        <x:v>3836.7939228936957</x:v>
      </x:c>
      <x:c r="J14" s="32" t="n">
        <x:v>2.1</x:v>
      </x:c>
      <x:c r="K14" s="32" t="n">
        <x:f>IF(J14="","",(1/'Metadata'!$B$5)^(J14-1))</x:f>
        <x:v>12.589254117941675</x:v>
      </x:c>
      <x:c r="L14" s="31" t="n">
        <x:f>IF(E14=0,"",E14*K14)</x:f>
        <x:v>3836.7939228936957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Shrimps</x:v>
      </x:c>
      <x:c r="B15" s="33" t="n">
        <x:v>1</x:v>
      </x:c>
      <x:c r="C15" s="33" t="n">
        <x:v>1</x:v>
      </x:c>
      <x:c r="D15" s="31" t="n">
        <x:v>32.337461698700004</x:v>
      </x:c>
      <x:c r="E15" s="31" t="n">
        <x:v>32.337461698700004</x:v>
      </x:c>
      <x:c r="F15" s="32" t="n">
        <x:v>0</x:v>
      </x:c>
      <x:c r="G15" s="34" t="n">
        <x:v>1</x:v>
      </x:c>
      <x:c r="H15" s="32" t="n">
        <x:f>IF(E15=0,"",I15/E15)</x:f>
        <x:v>19.952623149688787</x:v>
      </x:c>
      <x:c r="I15" s="31" t="n">
        <x:f>IF(C15=0,"",SUMIF('Species'!$G$2:$G$58,A15,'Species'!$U$2:$U$58))</x:f>
        <x:v>645.2171868916562</x:v>
      </x:c>
      <x:c r="J15" s="32" t="n">
        <x:v>2.3</x:v>
      </x:c>
      <x:c r="K15" s="32" t="n">
        <x:f>IF(J15="","",(1/'Metadata'!$B$5)^(J15-1))</x:f>
        <x:v>19.952623149688787</x:v>
      </x:c>
      <x:c r="L15" s="31" t="n">
        <x:f>IF(E15=0,"",E15*K15)</x:f>
        <x:v>645.2171868916562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pelagics (&lt;30 cm)</x:v>
      </x:c>
      <x:c r="B16" s="33" t="n">
        <x:v>2</x:v>
      </x:c>
      <x:c r="C16" s="33" t="n">
        <x:v>2</x:v>
      </x:c>
      <x:c r="D16" s="31" t="n">
        <x:v>10222.7922086604</x:v>
      </x:c>
      <x:c r="E16" s="31" t="n">
        <x:v>10222.7922086604</x:v>
      </x:c>
      <x:c r="F16" s="32" t="n">
        <x:v>0</x:v>
      </x:c>
      <x:c r="G16" s="34" t="n">
        <x:v>1</x:v>
      </x:c>
      <x:c r="H16" s="32" t="n">
        <x:f>IF(E16=0,"",I16/E16)</x:f>
        <x:v>94.24366567045485</x:v>
      </x:c>
      <x:c r="I16" s="31" t="n">
        <x:f>IF(C16=0,"",SUMIF('Species'!$G$2:$G$58,A16,'Species'!$U$2:$U$58))</x:f>
        <x:v>963433.4111315213</x:v>
      </x:c>
      <x:c r="J16" s="32" t="n">
        <x:v>2.967799186050737</x:v>
      </x:c>
      <x:c r="K16" s="32" t="n">
        <x:f>IF(J16="","",(1/'Metadata'!$B$5)^(J16-1))</x:f>
        <x:v>92.85369401857997</x:v>
      </x:c>
      <x:c r="L16" s="31" t="n">
        <x:f>IF(E16=0,"",E16*K16)</x:f>
        <x:v>949224.0197584761</x:v>
      </x:c>
      <x:c r="M16" s="31" t="n">
        <x:f>IF(E16=0,"",I16-L16)</x:f>
        <x:v>14209.391373045277</x:v>
      </x:c>
      <x:c r="N16" s="32" t="n">
        <x:f>IF(L16=0,"",I16/L16)</x:f>
        <x:v>1.014969481468306</x:v>
      </x:c>
      <x:c r="O16" s="34" t="n">
        <x:f>IF(L16=0,"",M16/L16)</x:f>
        <x:v>0.014969481468305833</x:v>
      </x:c>
    </x:row>
    <x:row r="17" ht="18" customHeight="1">
      <x:c r="A17" s="24" t="str">
        <x:v>Small to medium flatfishes (&lt;90 cm)</x:v>
      </x:c>
      <x:c r="B17" s="33" t="n">
        <x:v>1</x:v>
      </x:c>
      <x:c r="C17" s="33" t="n">
        <x:v>1</x:v>
      </x:c>
      <x:c r="D17" s="31" t="n">
        <x:v>117</x:v>
      </x:c>
      <x:c r="E17" s="31" t="n">
        <x:v>117</x:v>
      </x:c>
      <x:c r="F17" s="32" t="n">
        <x:v>0</x:v>
      </x:c>
      <x:c r="G17" s="34" t="n">
        <x:v>1</x:v>
      </x:c>
      <x:c r="H17" s="32" t="n">
        <x:f>IF(E17=0,"",I17/E17)</x:f>
        <x:v>301.9951720402016</x:v>
      </x:c>
      <x:c r="I17" s="31" t="n">
        <x:f>IF(C17=0,"",SUMIF('Species'!$G$2:$G$58,A17,'Species'!$U$2:$U$58))</x:f>
        <x:v>35333.43512870359</x:v>
      </x:c>
      <x:c r="J17" s="32" t="n">
        <x:v>3.4800000000000004</x:v>
      </x:c>
      <x:c r="K17" s="32" t="n">
        <x:f>IF(J17="","",(1/'Metadata'!$B$5)^(J17-1))</x:f>
        <x:v>301.9951720402019</x:v>
      </x:c>
      <x:c r="L17" s="31" t="n">
        <x:f>IF(E17=0,"",E17*K17)</x:f>
        <x:v>35333.435128703626</x:v>
      </x:c>
      <x:c r="M17" s="31" t="n">
        <x:f>IF(E17=0,"",I17-L17)</x:f>
        <x:v>-3.637978807091713e-11</x:v>
      </x:c>
      <x:c r="N17" s="32" t="n">
        <x:f>IF(L17=0,"",I17/L17)</x:f>
        <x:v>0.999999999999999</x:v>
      </x:c>
      <x:c r="O17" s="34" t="n">
        <x:f>IF(L17=0,"",M17/L17)</x:f>
        <x:v>-1.0296136771984415e-15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baf65e8897b4b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EEZ_516</x:v>
      </x:c>
      <x:c r="B2" s="24" t="str">
        <x:v>raw_filtered_tonnes</x:v>
      </x:c>
      <x:c r="C2" s="24" t="n">
        <x:v>687243.3923951921</x:v>
      </x:c>
      <x:c r="D2" s="24" t="str">
        <x:v>tonnes</x:v>
      </x:c>
    </x:row>
    <x:row r="3" ht="18" customHeight="1">
      <x:c r="A3" s="24" t="str">
        <x:v>EEZ_516</x:v>
      </x:c>
      <x:c r="B3" s="24" t="str">
        <x:v>species_catch_tonnes</x:v>
      </x:c>
      <x:c r="C3" s="24" t="n">
        <x:v>687243.3923951921</x:v>
      </x:c>
      <x:c r="D3" s="24" t="str">
        <x:v>tonnes</x:v>
      </x:c>
    </x:row>
    <x:row r="4" ht="18" customHeight="1">
      <x:c r="A4" s="24" t="str">
        <x:v>EEZ_516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EEZ_516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EEZ_516</x:v>
      </x:c>
      <x:c r="B6" s="24" t="str">
        <x:v>matched_catch_tonnes</x:v>
      </x:c>
      <x:c r="C6" s="24" t="n">
        <x:v>687243.3923951921</x:v>
      </x:c>
      <x:c r="D6" s="24" t="str">
        <x:v>tonnes</x:v>
      </x:c>
    </x:row>
    <x:row r="7" ht="18" customHeight="1">
      <x:c r="A7" s="24" t="str">
        <x:v>EEZ_516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EEZ_516</x:v>
      </x:c>
      <x:c r="B8" s="24" t="str">
        <x:v>taxa_count</x:v>
      </x:c>
      <x:c r="C8" s="24" t="n">
        <x:v>57</x:v>
      </x:c>
      <x:c r="D8" s="24" t="str">
        <x:v>count</x:v>
      </x:c>
    </x:row>
    <x:row r="9" ht="18" customHeight="1">
      <x:c r="A9" s="24" t="str">
        <x:v>EEZ_516</x:v>
      </x:c>
      <x:c r="B9" s="24" t="str">
        <x:v>matched_taxa_count</x:v>
      </x:c>
      <x:c r="C9" s="24" t="n">
        <x:v>57</x:v>
      </x:c>
      <x:c r="D9" s="24" t="str">
        <x:v>count</x:v>
      </x:c>
    </x:row>
    <x:row r="10" ht="18" customHeight="1">
      <x:c r="A10" s="24" t="str">
        <x:v>EEZ_516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EEZ_516</x:v>
      </x:c>
      <x:c r="B11" s="24" t="str">
        <x:v>species_ppr</x:v>
      </x:c>
      <x:c r="C11" s="24" t="n">
        <x:v>508372691.890099</x:v>
      </x:c>
      <x:c r="D11" s="24" t="str">
        <x:v>tonnes_primary_production_equivalent</x:v>
      </x:c>
    </x:row>
    <x:row r="12" ht="18" customHeight="1">
      <x:c r="A12" s="24" t="str">
        <x:v>EEZ_516</x:v>
      </x:c>
      <x:c r="B12" s="24" t="str">
        <x:v>commercial_ppr</x:v>
      </x:c>
      <x:c r="C12" s="24" t="n">
        <x:v>508372691.890099</x:v>
      </x:c>
      <x:c r="D12" s="24" t="str">
        <x:v>tonnes_primary_production_equivalent</x:v>
      </x:c>
    </x:row>
    <x:row r="13" ht="18" customHeight="1">
      <x:c r="A13" s="24" t="str">
        <x:v>EEZ_516</x:v>
      </x:c>
      <x:c r="B13" s="24" t="str">
        <x:v>functional_ppr</x:v>
      </x:c>
      <x:c r="C13" s="24" t="n">
        <x:v>508372691.890099</x:v>
      </x:c>
      <x:c r="D13" s="24" t="str">
        <x:v>tonnes_primary_production_equivalent</x:v>
      </x:c>
    </x:row>
    <x:row r="14" ht="18" customHeight="1">
      <x:c r="A14" s="24" t="str">
        <x:v>EEZ_516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EEZ_516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EEZ_516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EEZ_516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EEZ_516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EEZ_516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d83eb2a8e4b4d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EEZ_516 - Namibia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EEZ_516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