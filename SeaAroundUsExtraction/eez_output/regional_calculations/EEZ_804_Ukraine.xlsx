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99aa7c442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e16a733d4e64a6a"/>
    <x:sheet xmlns:r="http://schemas.openxmlformats.org/officeDocument/2006/relationships" name="Commercial" sheetId="2" r:id="R8d20328bc33b443c"/>
    <x:sheet xmlns:r="http://schemas.openxmlformats.org/officeDocument/2006/relationships" name="Functional" sheetId="3" r:id="R7aca4c21660f471b"/>
    <x:sheet xmlns:r="http://schemas.openxmlformats.org/officeDocument/2006/relationships" name="Missing TL" sheetId="4" r:id="R5487d91e60c24dc1"/>
    <x:sheet xmlns:r="http://schemas.openxmlformats.org/officeDocument/2006/relationships" name="Validation" sheetId="5" r:id="Ree71a169c7a84e00"/>
    <x:sheet xmlns:r="http://schemas.openxmlformats.org/officeDocument/2006/relationships" name="Metadata" sheetId="6" r:id="Ra2bab0cadcb0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54e8c46374c95" /><Relationship Type="http://schemas.openxmlformats.org/officeDocument/2006/relationships/theme" Target="/xl/theme/theme1.xml" Id="Rbe58efc68dc4499c" /><Relationship Type="http://schemas.microsoft.com/office/2022/11/relationships/FeaturePropertyBag" Target="/xl/featurePropertyBag/featurePropertyBag.xml" Id="R3207050d11ab4911" /><Relationship Type="http://schemas.openxmlformats.org/officeDocument/2006/relationships/sharedStrings" Target="/xl/sharedStrings.xml" Id="R5c7556a526534336" /><Relationship Type="http://schemas.openxmlformats.org/officeDocument/2006/relationships/worksheet" Target="/xl/worksheets/sheet1.xml" Id="R2e16a733d4e64a6a" /><Relationship Type="http://schemas.openxmlformats.org/officeDocument/2006/relationships/worksheet" Target="/xl/worksheets/sheet2.xml" Id="R8d20328bc33b443c" /><Relationship Type="http://schemas.openxmlformats.org/officeDocument/2006/relationships/worksheet" Target="/xl/worksheets/sheet3.xml" Id="R7aca4c21660f471b" /><Relationship Type="http://schemas.openxmlformats.org/officeDocument/2006/relationships/worksheet" Target="/xl/worksheets/sheet4.xml" Id="R5487d91e60c24dc1" /><Relationship Type="http://schemas.openxmlformats.org/officeDocument/2006/relationships/worksheet" Target="/xl/worksheets/sheet5.xml" Id="Ree71a169c7a84e00" /><Relationship Type="http://schemas.openxmlformats.org/officeDocument/2006/relationships/worksheet" Target="/xl/worksheets/sheet6.xml" Id="Ra2bab0cadcb04a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04SpeciesTable" displayName="EEZ804SpeciesTable" ref="A1:U29" headerRowCount="1" totalsRowCount="0" totalsRowShown="0">
  <x:autoFilter ref="A1:U2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04CommercialTable" displayName="EEZ80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04FunctionalTable" displayName="EEZ804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04ValidationTable" displayName="EEZ8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c7ccbac94a41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e18427ee9c4f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8dbdeba3d743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3a785c94b442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EEZ_804</x:v>
      </x:c>
      <x:c r="B2" s="24" t="str">
        <x:v>Ukraine</x:v>
      </x:c>
      <x:c r="C2" s="24" t="str">
        <x:v>EEZ</x:v>
      </x:c>
      <x:c r="D2" s="30" t="n">
        <x:v>2019</x:v>
      </x:c>
      <x:c r="E2" s="24" t="str">
        <x:v>Gobiidae</x:v>
      </x:c>
      <x:c r="F2" s="24" t="str">
        <x:v>Gobies</x:v>
      </x:c>
      <x:c r="G2" s="24" t="str">
        <x:v>Small reef assoc. fish (&lt;30 cm)</x:v>
      </x:c>
      <x:c r="H2" s="24" t="str">
        <x:v>Perch-likes</x:v>
      </x:c>
      <x:c r="I2" s="31" t="n">
        <x:v>21262.244305961998</x:v>
      </x:c>
      <x:c r="J2" s="31" t="n">
        <x:v>21110.4930108</x:v>
      </x:c>
      <x:c r="K2" s="31" t="n">
        <x:v>151.75129516200002</x:v>
      </x:c>
      <x:c r="L2" s="31" t="n">
        <x:v>10794.06</x:v>
      </x:c>
      <x:c r="M2" s="31" t="n">
        <x:v>10468.184305962</x:v>
      </x:c>
      <x:c r="N2" s="24" t="str">
        <x:v>gobiidae</x:v>
      </x:c>
      <x:c r="O2" s="32" t="n">
        <x:v>3.11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Gobiidae</x:v>
      </x:c>
      <x:c r="T2" s="32" t="n">
        <x:f>IF(O2="","",(1/'Metadata'!$B$5)^(O2-1))</x:f>
        <x:v>128.82495516931337</x:v>
      </x:c>
      <x:c r="U2" s="31" t="n">
        <x:f>IF(T2="","",I2*T2)</x:f>
        <x:v>2739107.669514543</x:v>
      </x:c>
    </x:row>
    <x:row r="3" ht="18" customHeight="1">
      <x:c r="A3" s="24" t="str">
        <x:v>EEZ_804</x:v>
      </x:c>
      <x:c r="B3" s="24" t="str">
        <x:v>Ukraine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18570.639077278</x:v>
      </x:c>
      <x:c r="J3" s="31" t="n">
        <x:v>18554.551428663</x:v>
      </x:c>
      <x:c r="K3" s="31" t="n">
        <x:v>16.087648615</x:v>
      </x:c>
      <x:c r="L3" s="31" t="n">
        <x:v>11338.39</x:v>
      </x:c>
      <x:c r="M3" s="31" t="n">
        <x:v>7232.249077278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3538562.326922646</x:v>
      </x:c>
    </x:row>
    <x:row r="4" ht="18" customHeight="1">
      <x:c r="A4" s="24" t="str">
        <x:v>EEZ_804</x:v>
      </x:c>
      <x:c r="B4" s="24" t="str">
        <x:v>Ukraine</x:v>
      </x:c>
      <x:c r="C4" s="24" t="str">
        <x:v>EEZ</x:v>
      </x:c>
      <x:c r="D4" s="30" t="n">
        <x:v>2019</x:v>
      </x:c>
      <x:c r="E4" s="24" t="str">
        <x:v>Clupeonella cultriventris</x:v>
      </x:c>
      <x:c r="F4" s="24" t="str">
        <x:v>Black and Caspian Sea sprat</x:v>
      </x:c>
      <x:c r="G4" s="24" t="str">
        <x:v>Small pelagics (&lt;30 cm)</x:v>
      </x:c>
      <x:c r="H4" s="24" t="str">
        <x:v>Herring-likes</x:v>
      </x:c>
      <x:c r="I4" s="31" t="n">
        <x:v>7209.130623655001</x:v>
      </x:c>
      <x:c r="J4" s="31" t="n">
        <x:v>7118.2359292950005</x:v>
      </x:c>
      <x:c r="K4" s="31" t="n">
        <x:v>90.89469436</x:v>
      </x:c>
      <x:c r="L4" s="31" t="n">
        <x:v>4239.79884</x:v>
      </x:c>
      <x:c r="M4" s="31" t="n">
        <x:v>2969.331783655</x:v>
      </x:c>
      <x:c r="N4" s="24" t="str">
        <x:v>clupeonella cultriventris</x:v>
      </x:c>
      <x:c r="O4" s="32" t="n">
        <x:v>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Clupeonella cultriventris</x:v>
      </x:c>
      <x:c r="T4" s="32" t="n">
        <x:f>IF(O4="","",(1/'Metadata'!$B$5)^(O4-1))</x:f>
        <x:v>100</x:v>
      </x:c>
      <x:c r="U4" s="31" t="n">
        <x:f>IF(T4="","",I4*T4)</x:f>
        <x:v>720913.0623655</x:v>
      </x:c>
    </x:row>
    <x:row r="5" ht="18" customHeight="1">
      <x:c r="A5" s="24" t="str">
        <x:v>EEZ_804</x:v>
      </x:c>
      <x:c r="B5" s="24" t="str">
        <x:v>Ukraine</x:v>
      </x:c>
      <x:c r="C5" s="24" t="str">
        <x:v>EEZ</x:v>
      </x:c>
      <x:c r="D5" s="30" t="n">
        <x:v>2019</x:v>
      </x:c>
      <x:c r="E5" s="24" t="str">
        <x:v>Mytilus galloprovincialis</x:v>
      </x:c>
      <x:c r="F5" s="24" t="str">
        <x:v>Mediterranean mussel</x:v>
      </x:c>
      <x:c r="G5" s="24" t="str">
        <x:v>Other demersal invertebrates</x:v>
      </x:c>
      <x:c r="H5" s="24" t="str">
        <x:v>Molluscs</x:v>
      </x:c>
      <x:c r="I5" s="31" t="n">
        <x:v>2718.8566269312996</x:v>
      </x:c>
      <x:c r="J5" s="31" t="n">
        <x:v>2713.3656710423</x:v>
      </x:c>
      <x:c r="K5" s="31" t="n">
        <x:v>5.490955888999999</x:v>
      </x:c>
      <x:c r="L5" s="31" t="n">
        <x:v>236.13</x:v>
      </x:c>
      <x:c r="M5" s="31" t="n">
        <x:v>2482.7266269313</x:v>
      </x:c>
      <x:c r="N5" s="24" t="str">
        <x:v>mytilus galloprovincialis</x:v>
      </x:c>
      <x:c r="O5" s="32" t="n">
        <x:v>2.69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Mytilus galloprovincialis</x:v>
      </x:c>
      <x:c r="T5" s="32" t="n">
        <x:f>IF(O5="","",(1/'Metadata'!$B$5)^(O5-1))</x:f>
        <x:v>48.97788193684461</x:v>
      </x:c>
      <x:c r="U5" s="31" t="n">
        <x:f>IF(T5="","",I5*T5)</x:f>
        <x:v>133163.83887704878</x:v>
      </x:c>
    </x:row>
    <x:row r="6" ht="18" customHeight="1">
      <x:c r="A6" s="24" t="str">
        <x:v>EEZ_804</x:v>
      </x:c>
      <x:c r="B6" s="24" t="str">
        <x:v>Ukraine</x:v>
      </x:c>
      <x:c r="C6" s="24" t="str">
        <x:v>EEZ</x:v>
      </x:c>
      <x:c r="D6" s="30" t="n">
        <x:v>2019</x:v>
      </x:c>
      <x:c r="E6" s="24" t="str">
        <x:v>Merlangius merlangus</x:v>
      </x:c>
      <x:c r="F6" s="24" t="str">
        <x:v>Whiting</x:v>
      </x:c>
      <x:c r="G6" s="24" t="str">
        <x:v>Medium benthopelagics (30 - 89 cm)</x:v>
      </x:c>
      <x:c r="H6" s="24" t="str">
        <x:v>Cod-likes</x:v>
      </x:c>
      <x:c r="I6" s="31" t="n">
        <x:v>2652.4900788192</x:v>
      </x:c>
      <x:c r="J6" s="31" t="n">
        <x:v>2570.2588033452002</x:v>
      </x:c>
      <x:c r="K6" s="31" t="n">
        <x:v>82.231275474</x:v>
      </x:c>
      <x:c r="L6" s="31" t="n">
        <x:v>16.16</x:v>
      </x:c>
      <x:c r="M6" s="31" t="n">
        <x:v>2636.3300788192</x:v>
      </x:c>
      <x:c r="N6" s="24" t="str">
        <x:v>merlangius merlangus</x:v>
      </x:c>
      <x:c r="O6" s="32" t="n">
        <x:v>4.36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Merlangius merlangus</x:v>
      </x:c>
      <x:c r="T6" s="32" t="n">
        <x:f>IF(O6="","",(1/'Metadata'!$B$5)^(O6-1))</x:f>
        <x:v>2290.867652767775</x:v>
      </x:c>
      <x:c r="U6" s="31" t="n">
        <x:f>IF(T6="","",I6*T6)</x:f>
        <x:v>6076503.72085435</x:v>
      </x:c>
    </x:row>
    <x:row r="7" ht="18" customHeight="1">
      <x:c r="A7" s="24" t="str">
        <x:v>EEZ_804</x:v>
      </x:c>
      <x:c r="B7" s="24" t="str">
        <x:v>Ukraine</x:v>
      </x:c>
      <x:c r="C7" s="24" t="str">
        <x:v>EEZ</x:v>
      </x:c>
      <x:c r="D7" s="30" t="n">
        <x:v>2019</x:v>
      </x:c>
      <x:c r="E7" s="24" t="str">
        <x:v>Trachurus mediterraneus</x:v>
      </x:c>
      <x:c r="F7" s="24" t="str">
        <x:v>Mediterranean horse mackerel</x:v>
      </x:c>
      <x:c r="G7" s="24" t="str">
        <x:v>Medium pelagics (30 - 89 cm)</x:v>
      </x:c>
      <x:c r="H7" s="24" t="str">
        <x:v>Perch-likes</x:v>
      </x:c>
      <x:c r="I7" s="31" t="n">
        <x:v>2425.388362789</x:v>
      </x:c>
      <x:c r="J7" s="31" t="n">
        <x:v>2423.61640026</x:v>
      </x:c>
      <x:c r="K7" s="31" t="n">
        <x:v>1.771962529</x:v>
      </x:c>
      <x:c r="L7" s="31" t="n">
        <x:v>11.65</x:v>
      </x:c>
      <x:c r="M7" s="31" t="n">
        <x:v>2413.738362789</x:v>
      </x:c>
      <x:c r="N7" s="24" t="str">
        <x:v>trachurus mediterraneus</x:v>
      </x:c>
      <x:c r="O7" s="32" t="n">
        <x:v>3.77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mediterraneus</x:v>
      </x:c>
      <x:c r="T7" s="32" t="n">
        <x:f>IF(O7="","",(1/'Metadata'!$B$5)^(O7-1))</x:f>
        <x:v>588.843655355589</x:v>
      </x:c>
      <x:c r="U7" s="31" t="n">
        <x:f>IF(T7="","",I7*T7)</x:f>
        <x:v>1428174.5492015823</x:v>
      </x:c>
    </x:row>
    <x:row r="8" ht="18" customHeight="1">
      <x:c r="A8" s="24" t="str">
        <x:v>EEZ_804</x:v>
      </x:c>
      <x:c r="B8" s="24" t="str">
        <x:v>Ukraine</x:v>
      </x:c>
      <x:c r="C8" s="24" t="str">
        <x:v>EEZ</x:v>
      </x:c>
      <x:c r="D8" s="30" t="n">
        <x:v>2019</x:v>
      </x:c>
      <x:c r="E8" s="24" t="str">
        <x:v>Sprattus sprattus</x:v>
      </x:c>
      <x:c r="F8" s="24" t="str">
        <x:v>European sprat</x:v>
      </x:c>
      <x:c r="G8" s="24" t="str">
        <x:v>Small pelagics (&lt;30 cm)</x:v>
      </x:c>
      <x:c r="H8" s="24" t="str">
        <x:v>Herring-likes</x:v>
      </x:c>
      <x:c r="I8" s="31" t="n">
        <x:v>1449.5239446799999</x:v>
      </x:c>
      <x:c r="J8" s="31" t="n">
        <x:v>1370.2547849999999</x:v>
      </x:c>
      <x:c r="K8" s="31" t="n">
        <x:v>79.26915968</x:v>
      </x:c>
      <x:c r="L8" s="31" t="n">
        <x:v>1370.2547849999999</x:v>
      </x:c>
      <x:c r="M8" s="31" t="n">
        <x:v>79.26915968</x:v>
      </x:c>
      <x:c r="N8" s="24" t="str">
        <x:v>sprattus sprattus</x:v>
      </x:c>
      <x:c r="O8" s="32" t="n">
        <x:v>3.01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Sprattus sprattus</x:v>
      </x:c>
      <x:c r="T8" s="32" t="n">
        <x:f>IF(O8="","",(1/'Metadata'!$B$5)^(O8-1))</x:f>
        <x:v>102.32929922807536</x:v>
      </x:c>
      <x:c r="U8" s="31" t="n">
        <x:f>IF(T8="","",I8*T8)</x:f>
        <x:v>148328.76947341984</x:v>
      </x:c>
    </x:row>
    <x:row r="9" ht="18" customHeight="1">
      <x:c r="A9" s="24" t="str">
        <x:v>EEZ_804</x:v>
      </x:c>
      <x:c r="B9" s="24" t="str">
        <x:v>Ukraine</x:v>
      </x:c>
      <x:c r="C9" s="24" t="str">
        <x:v>EEZ</x:v>
      </x:c>
      <x:c r="D9" s="30" t="n">
        <x:v>2019</x:v>
      </x:c>
      <x:c r="E9" s="24" t="str">
        <x:v>Engraulis encrasicolus</x:v>
      </x:c>
      <x:c r="F9" s="24" t="str">
        <x:v>European anchovy</x:v>
      </x:c>
      <x:c r="G9" s="24" t="str">
        <x:v>Small pelagics (&lt;30 cm)</x:v>
      </x:c>
      <x:c r="H9" s="24" t="str">
        <x:v>Anchovies</x:v>
      </x:c>
      <x:c r="I9" s="31" t="n">
        <x:v>1171.733787871</x:v>
      </x:c>
      <x:c r="J9" s="31" t="n">
        <x:v>1168.4288556000001</x:v>
      </x:c>
      <x:c r="K9" s="31" t="n">
        <x:v>3.304932271</x:v>
      </x:c>
      <x:c r="L9" s="31" t="n">
        <x:v>766.98</x:v>
      </x:c>
      <x:c r="M9" s="31" t="n">
        <x:v>404.753787871</x:v>
      </x:c>
      <x:c r="N9" s="24" t="str">
        <x:v>engraulis encrasicolus</x:v>
      </x:c>
      <x:c r="O9" s="32" t="n">
        <x:v>3.11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Engraulis encrasicolus</x:v>
      </x:c>
      <x:c r="T9" s="32" t="n">
        <x:f>IF(O9="","",(1/'Metadata'!$B$5)^(O9-1))</x:f>
        <x:v>128.82495516931337</x:v>
      </x:c>
      <x:c r="U9" s="31" t="n">
        <x:f>IF(T9="","",I9*T9)</x:f>
        <x:v>150948.5526928513</x:v>
      </x:c>
    </x:row>
    <x:row r="10" ht="18" customHeight="1">
      <x:c r="A10" s="24" t="str">
        <x:v>EEZ_804</x:v>
      </x:c>
      <x:c r="B10" s="24" t="str">
        <x:v>Ukraine</x:v>
      </x:c>
      <x:c r="C10" s="24" t="str">
        <x:v>EEZ</x:v>
      </x:c>
      <x:c r="D10" s="30" t="n">
        <x:v>2019</x:v>
      </x:c>
      <x:c r="E10" s="24" t="str">
        <x:v>Mugil</x:v>
      </x:c>
      <x:c r="F10" s="24" t="str">
        <x:v>Grey mullets</x:v>
      </x:c>
      <x:c r="G10" s="24" t="str">
        <x:v>Medium demersals (30 - 89 cm)</x:v>
      </x:c>
      <x:c r="H10" s="24" t="str">
        <x:v>Perch-likes</x:v>
      </x:c>
      <x:c r="I10" s="31" t="n">
        <x:v>1170.473752646</x:v>
      </x:c>
      <x:c r="J10" s="31" t="n">
        <x:v>1169.88495063</x:v>
      </x:c>
      <x:c r="K10" s="31" t="n">
        <x:v>0.588802016</x:v>
      </x:c>
      <x:c r="L10" s="31" t="n">
        <x:v>0</x:v>
      </x:c>
      <x:c r="M10" s="31" t="n">
        <x:v>1170.473752646</x:v>
      </x:c>
      <x:c r="N10" s="24" t="str">
        <x:v>mugil</x:v>
      </x:c>
      <x:c r="O10" s="32" t="n">
        <x:v>2.26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Mugil</x:v>
      </x:c>
      <x:c r="T10" s="32" t="n">
        <x:f>IF(O10="","",(1/'Metadata'!$B$5)^(O10-1))</x:f>
        <x:v>18.197008586099827</x:v>
      </x:c>
      <x:c r="U10" s="31" t="n">
        <x:f>IF(T10="","",I10*T10)</x:f>
        <x:v>21299.12092670375</x:v>
      </x:c>
    </x:row>
    <x:row r="11" ht="18" customHeight="1">
      <x:c r="A11" s="24" t="str">
        <x:v>EEZ_804</x:v>
      </x:c>
      <x:c r="B11" s="24" t="str">
        <x:v>Ukraine</x:v>
      </x:c>
      <x:c r="C11" s="24" t="str">
        <x:v>EEZ</x:v>
      </x:c>
      <x:c r="D11" s="30" t="n">
        <x:v>2019</x:v>
      </x:c>
      <x:c r="E11" s="24" t="str">
        <x:v>Dendrobranchiata</x:v>
      </x:c>
      <x:c r="F11" s="24" t="str">
        <x:v>Shrimps and prawns</x:v>
      </x:c>
      <x:c r="G11" s="24" t="str">
        <x:v>Shrimps</x:v>
      </x:c>
      <x:c r="H11" s="24" t="str">
        <x:v>Crustaceans</x:v>
      </x:c>
      <x:c r="I11" s="31" t="n">
        <x:v>1098.3633956</x:v>
      </x:c>
      <x:c r="J11" s="31" t="n">
        <x:v>1098.3633956</x:v>
      </x:c>
      <x:c r="K11" s="31" t="n">
        <x:v>0</x:v>
      </x:c>
      <x:c r="L11" s="31" t="n">
        <x:v>0</x:v>
      </x:c>
      <x:c r="M11" s="31" t="n">
        <x:v>1098.3633956</x:v>
      </x:c>
      <x:c r="N11" s="24" t="str">
        <x:v>dendrobranchiata</x:v>
      </x:c>
      <x:c r="O11" s="32" t="n">
        <x:v>3.24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Dendrobranchiata</x:v>
      </x:c>
      <x:c r="T11" s="32" t="n">
        <x:f>IF(O11="","",(1/'Metadata'!$B$5)^(O11-1))</x:f>
        <x:v>173.78008287493762</x:v>
      </x:c>
      <x:c r="U11" s="31" t="n">
        <x:f>IF(T11="","",I11*T11)</x:f>
        <x:v>190873.6819141659</x:v>
      </x:c>
    </x:row>
    <x:row r="12" ht="18" customHeight="1">
      <x:c r="A12" s="24" t="str">
        <x:v>EEZ_804</x:v>
      </x:c>
      <x:c r="B12" s="24" t="str">
        <x:v>Ukraine</x:v>
      </x:c>
      <x:c r="C12" s="24" t="str">
        <x:v>EEZ</x:v>
      </x:c>
      <x:c r="D12" s="30" t="n">
        <x:v>2019</x:v>
      </x:c>
      <x:c r="E12" s="24" t="str">
        <x:v>Pomatomus saltatrix</x:v>
      </x:c>
      <x:c r="F12" s="24" t="str">
        <x:v>Bluefish</x:v>
      </x:c>
      <x:c r="G12" s="24" t="str">
        <x:v>Large pelagics (&gt;=90 cm)</x:v>
      </x:c>
      <x:c r="H12" s="24" t="str">
        <x:v>Perch-likes</x:v>
      </x:c>
      <x:c r="I12" s="31" t="n">
        <x:v>992.5558898298</x:v>
      </x:c>
      <x:c r="J12" s="31" t="n">
        <x:v>991.6261476078</x:v>
      </x:c>
      <x:c r="K12" s="31" t="n">
        <x:v>0.929742222</x:v>
      </x:c>
      <x:c r="L12" s="31" t="n">
        <x:v>0</x:v>
      </x:c>
      <x:c r="M12" s="31" t="n">
        <x:v>992.5558898298</x:v>
      </x:c>
      <x:c r="N12" s="24" t="str">
        <x:v>pomatomus saltatrix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Pomatomus saltatrix</x:v>
      </x:c>
      <x:c r="T12" s="32" t="n">
        <x:f>IF(O12="","",(1/'Metadata'!$B$5)^(O12-1))</x:f>
        <x:v>3388.4415613920273</x:v>
      </x:c>
      <x:c r="U12" s="31" t="n">
        <x:f>IF(T12="","",I12*T12)</x:f>
        <x:v>3363217.6291037407</x:v>
      </x:c>
    </x:row>
    <x:row r="13" ht="18" customHeight="1">
      <x:c r="A13" s="24" t="str">
        <x:v>EEZ_804</x:v>
      </x:c>
      <x:c r="B13" s="24" t="str">
        <x:v>Ukraine</x:v>
      </x:c>
      <x:c r="C13" s="24" t="str">
        <x:v>EEZ</x:v>
      </x:c>
      <x:c r="D13" s="30" t="n">
        <x:v>2019</x:v>
      </x:c>
      <x:c r="E13" s="24" t="str">
        <x:v>Squalus acanthias</x:v>
      </x:c>
      <x:c r="F13" s="24" t="str">
        <x:v>Picked dogfish</x:v>
      </x:c>
      <x:c r="G13" s="24" t="str">
        <x:v>Large sharks (&gt;=90 cm)</x:v>
      </x:c>
      <x:c r="H13" s="24" t="str">
        <x:v>Sharks &amp; rays</x:v>
      </x:c>
      <x:c r="I13" s="31" t="n">
        <x:v>979.9884907442</x:v>
      </x:c>
      <x:c r="J13" s="31" t="n">
        <x:v>975.5604989642</x:v>
      </x:c>
      <x:c r="K13" s="31" t="n">
        <x:v>4.42799178</x:v>
      </x:c>
      <x:c r="L13" s="31" t="n">
        <x:v>0.95</x:v>
      </x:c>
      <x:c r="M13" s="31" t="n">
        <x:v>979.0384907442</x:v>
      </x:c>
      <x:c r="N13" s="24" t="str">
        <x:v>squalus acanthias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Squalus acanthias</x:v>
      </x:c>
      <x:c r="T13" s="32" t="n">
        <x:f>IF(O13="","",(1/'Metadata'!$B$5)^(O13-1))</x:f>
        <x:v>2344.228815319923</x:v>
      </x:c>
      <x:c r="U13" s="31" t="n">
        <x:f>IF(T13="","",I13*T13)</x:f>
        <x:v>2297317.2586844354</x:v>
      </x:c>
    </x:row>
    <x:row r="14" ht="18" customHeight="1">
      <x:c r="A14" s="24" t="str">
        <x:v>EEZ_804</x:v>
      </x:c>
      <x:c r="B14" s="24" t="str">
        <x:v>Ukraine</x:v>
      </x:c>
      <x:c r="C14" s="24" t="str">
        <x:v>EEZ</x:v>
      </x:c>
      <x:c r="D14" s="30" t="n">
        <x:v>2019</x:v>
      </x:c>
      <x:c r="E14" s="24" t="str">
        <x:v>Scophthalmus maximus</x:v>
      </x:c>
      <x:c r="F14" s="24" t="str">
        <x:v>Turbot</x:v>
      </x:c>
      <x:c r="G14" s="24" t="str">
        <x:v>Large flatfishes (&gt;=90 cm)</x:v>
      </x:c>
      <x:c r="H14" s="24" t="str">
        <x:v>Flatfishes</x:v>
      </x:c>
      <x:c r="I14" s="31" t="n">
        <x:v>953.1986626651001</x:v>
      </x:c>
      <x:c r="J14" s="31" t="n">
        <x:v>952.1127589101001</x:v>
      </x:c>
      <x:c r="K14" s="31" t="n">
        <x:v>1.085903755</x:v>
      </x:c>
      <x:c r="L14" s="31" t="n">
        <x:v>130.05</x:v>
      </x:c>
      <x:c r="M14" s="31" t="n">
        <x:v>823.1486626651</x:v>
      </x:c>
      <x:c r="N14" s="24" t="str">
        <x:v>scophthalmus maximus</x:v>
      </x:c>
      <x:c r="O14" s="32" t="n">
        <x:v>4.36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Scophthalmus maximus</x:v>
      </x:c>
      <x:c r="T14" s="32" t="n">
        <x:f>IF(O14="","",(1/'Metadata'!$B$5)^(O14-1))</x:f>
        <x:v>2290.867652767775</x:v>
      </x:c>
      <x:c r="U14" s="31" t="n">
        <x:f>IF(T14="","",I14*T14)</x:f>
        <x:v>2183651.98296098</x:v>
      </x:c>
    </x:row>
    <x:row r="15" ht="18" customHeight="1">
      <x:c r="A15" s="24" t="str">
        <x:v>EEZ_804</x:v>
      </x:c>
      <x:c r="B15" s="24" t="str">
        <x:v>Ukraine</x:v>
      </x:c>
      <x:c r="C15" s="24" t="str">
        <x:v>EEZ</x:v>
      </x:c>
      <x:c r="D15" s="30" t="n">
        <x:v>2019</x:v>
      </x:c>
      <x:c r="E15" s="24" t="str">
        <x:v>Palaemon</x:v>
      </x:c>
      <x:c r="F15" s="24" t="str">
        <x:v>Carnivorous shrimps</x:v>
      </x:c>
      <x:c r="G15" s="24" t="str">
        <x:v>Shrimps</x:v>
      </x:c>
      <x:c r="H15" s="24" t="str">
        <x:v>Crustaceans</x:v>
      </x:c>
      <x:c r="I15" s="31" t="n">
        <x:v>943.3327796961</x:v>
      </x:c>
      <x:c r="J15" s="31" t="n">
        <x:v>939.5709225001</x:v>
      </x:c>
      <x:c r="K15" s="31" t="n">
        <x:v>3.761857196</x:v>
      </x:c>
      <x:c r="L15" s="31" t="n">
        <x:v>718.53</x:v>
      </x:c>
      <x:c r="M15" s="31" t="n">
        <x:v>224.8027796961</x:v>
      </x:c>
      <x:c r="N15" s="24" t="str">
        <x:v>palaemon</x:v>
      </x:c>
      <x:c r="O15" s="32" t="n">
        <x:v>2.65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Palaemon</x:v>
      </x:c>
      <x:c r="T15" s="32" t="n">
        <x:f>IF(O15="","",(1/'Metadata'!$B$5)^(O15-1))</x:f>
        <x:v>44.6683592150963</x:v>
      </x:c>
      <x:c r="U15" s="31" t="n">
        <x:f>IF(T15="","",I15*T15)</x:f>
        <x:v>42137.1274628407</x:v>
      </x:c>
    </x:row>
    <x:row r="16" ht="18" customHeight="1">
      <x:c r="A16" s="24" t="str">
        <x:v>EEZ_804</x:v>
      </x:c>
      <x:c r="B16" s="24" t="str">
        <x:v>Ukraine</x:v>
      </x:c>
      <x:c r="C16" s="24" t="str">
        <x:v>EEZ</x:v>
      </x:c>
      <x:c r="D16" s="30" t="n">
        <x:v>2019</x:v>
      </x:c>
      <x:c r="E16" s="24" t="str">
        <x:v>Rajiformes</x:v>
      </x:c>
      <x:c r="F16" s="24" t="str">
        <x:v>Skates and rays</x:v>
      </x:c>
      <x:c r="G16" s="24" t="str">
        <x:v>Large rays (&gt;=90 cm)</x:v>
      </x:c>
      <x:c r="H16" s="24" t="str">
        <x:v>Sharks &amp; rays</x:v>
      </x:c>
      <x:c r="I16" s="31" t="n">
        <x:v>649.640851568</x:v>
      </x:c>
      <x:c r="J16" s="31" t="n">
        <x:v>648.171992781</x:v>
      </x:c>
      <x:c r="K16" s="31" t="n">
        <x:v>1.4688587869999998</x:v>
      </x:c>
      <x:c r="L16" s="31" t="n">
        <x:v>21.7</x:v>
      </x:c>
      <x:c r="M16" s="31" t="n">
        <x:v>627.940851568</x:v>
      </x:c>
      <x:c r="N16" s="24" t="str">
        <x:v>rajiformes</x:v>
      </x:c>
      <x:c r="O16" s="32" t="n">
        <x:v>3.61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Rajiformes</x:v>
      </x:c>
      <x:c r="T16" s="32" t="n">
        <x:f>IF(O16="","",(1/'Metadata'!$B$5)^(O16-1))</x:f>
        <x:v>407.3802778041126</x:v>
      </x:c>
      <x:c r="U16" s="31" t="n">
        <x:f>IF(T16="","",I16*T16)</x:f>
        <x:v>264650.87058467214</x:v>
      </x:c>
    </x:row>
    <x:row r="17" ht="18" customHeight="1">
      <x:c r="A17" s="24" t="str">
        <x:v>EEZ_804</x:v>
      </x:c>
      <x:c r="B17" s="24" t="str">
        <x:v>Ukraine</x:v>
      </x:c>
      <x:c r="C17" s="24" t="str">
        <x:v>EEZ</x:v>
      </x:c>
      <x:c r="D17" s="30" t="n">
        <x:v>2019</x:v>
      </x:c>
      <x:c r="E17" s="24" t="str">
        <x:v>Mullidae</x:v>
      </x:c>
      <x:c r="F17" s="24" t="str">
        <x:v>Goatfishes</x:v>
      </x:c>
      <x:c r="G17" s="24" t="str">
        <x:v>Medium reef assoc. fish (30 - 89 cm)</x:v>
      </x:c>
      <x:c r="H17" s="24" t="str">
        <x:v>Perch-likes</x:v>
      </x:c>
      <x:c r="I17" s="31" t="n">
        <x:v>439.3453582</x:v>
      </x:c>
      <x:c r="J17" s="31" t="n">
        <x:v>439.3453582</x:v>
      </x:c>
      <x:c r="K17" s="31" t="n">
        <x:v>0</x:v>
      </x:c>
      <x:c r="L17" s="31" t="n">
        <x:v>0</x:v>
      </x:c>
      <x:c r="M17" s="31" t="n">
        <x:v>439.3453582</x:v>
      </x:c>
      <x:c r="N17" s="24" t="str">
        <x:v>mullidae</x:v>
      </x:c>
      <x:c r="O17" s="32" t="n">
        <x:v>3.46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Mullidae</x:v>
      </x:c>
      <x:c r="T17" s="32" t="n">
        <x:f>IF(O17="","",(1/'Metadata'!$B$5)^(O17-1))</x:f>
        <x:v>288.40315031266056</x:v>
      </x:c>
      <x:c r="U17" s="31" t="n">
        <x:f>IF(T17="","",I17*T17)</x:f>
        <x:v>126708.5853801243</x:v>
      </x:c>
    </x:row>
    <x:row r="18" ht="18" customHeight="1">
      <x:c r="A18" s="24" t="str">
        <x:v>EEZ_804</x:v>
      </x:c>
      <x:c r="B18" s="24" t="str">
        <x:v>Ukraine</x:v>
      </x:c>
      <x:c r="C18" s="24" t="str">
        <x:v>EEZ</x:v>
      </x:c>
      <x:c r="D18" s="30" t="n">
        <x:v>2019</x:v>
      </x:c>
      <x:c r="E18" s="24" t="str">
        <x:v>Miscellaneous aquatic invertebrates</x:v>
      </x:c>
      <x:c r="F18" s="24" t="str">
        <x:v>Aquatic invertebrates</x:v>
      </x:c>
      <x:c r="G18" s="24" t="str">
        <x:v>Other demersal invertebrates</x:v>
      </x:c>
      <x:c r="H18" s="24" t="str">
        <x:v>Other fishes &amp; inverts</x:v>
      </x:c>
      <x:c r="I18" s="31" t="n">
        <x:v>395.206730052</x:v>
      </x:c>
      <x:c r="J18" s="31" t="n">
        <x:v>391.85954977</x:v>
      </x:c>
      <x:c r="K18" s="31" t="n">
        <x:v>3.347180282</x:v>
      </x:c>
      <x:c r="L18" s="31" t="n">
        <x:v>349.07</x:v>
      </x:c>
      <x:c r="M18" s="31" t="n">
        <x:v>46.136730052</x:v>
      </x:c>
      <x:c r="N18" s="24" t="str">
        <x:v>miscellaneous aquatic invertebrates</x:v>
      </x:c>
      <x:c r="O18" s="32" t="n">
        <x:v>2.43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Miscellaneous aquatic invertebrates</x:v>
      </x:c>
      <x:c r="T18" s="32" t="n">
        <x:f>IF(O18="","",(1/'Metadata'!$B$5)^(O18-1))</x:f>
        <x:v>26.915348039269166</x:v>
      </x:c>
      <x:c r="U18" s="31" t="n">
        <x:f>IF(T18="","",I18*T18)</x:f>
        <x:v>10637.126686811076</x:v>
      </x:c>
    </x:row>
    <x:row r="19" ht="18" customHeight="1">
      <x:c r="A19" s="24" t="str">
        <x:v>EEZ_804</x:v>
      </x:c>
      <x:c r="B19" s="24" t="str">
        <x:v>Ukraine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291.62890808500003</x:v>
      </x:c>
      <x:c r="J19" s="31" t="n">
        <x:v>291.04136457</x:v>
      </x:c>
      <x:c r="K19" s="31" t="n">
        <x:v>0.587543515</x:v>
      </x:c>
      <x:c r="L19" s="31" t="n">
        <x:v>0</x:v>
      </x:c>
      <x:c r="M19" s="31" t="n">
        <x:v>291.62890808500003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922211.5810964933</x:v>
      </x:c>
    </x:row>
    <x:row r="20" ht="18" customHeight="1">
      <x:c r="A20" s="24" t="str">
        <x:v>EEZ_804</x:v>
      </x:c>
      <x:c r="B20" s="24" t="str">
        <x:v>Ukraine</x:v>
      </x:c>
      <x:c r="C20" s="24" t="str">
        <x:v>EEZ</x:v>
      </x:c>
      <x:c r="D20" s="30" t="n">
        <x:v>2019</x:v>
      </x:c>
      <x:c r="E20" s="24" t="str">
        <x:v>Atherina boyeri</x:v>
      </x:c>
      <x:c r="F20" s="24" t="str">
        <x:v>Big-scale sand smelt</x:v>
      </x:c>
      <x:c r="G20" s="24" t="str">
        <x:v>Small demersals (&lt;30 cm)</x:v>
      </x:c>
      <x:c r="H20" s="24" t="str">
        <x:v>Other fishes &amp; inverts</x:v>
      </x:c>
      <x:c r="I20" s="31" t="n">
        <x:v>202.75</x:v>
      </x:c>
      <x:c r="J20" s="31" t="n">
        <x:v>202.75</x:v>
      </x:c>
      <x:c r="K20" s="31" t="n">
        <x:v>0</x:v>
      </x:c>
      <x:c r="L20" s="31" t="n">
        <x:v>202.75</x:v>
      </x:c>
      <x:c r="M20" s="31" t="n">
        <x:v>0</x:v>
      </x:c>
      <x:c r="N20" s="24" t="str">
        <x:v>atherina boyeri</x:v>
      </x:c>
      <x:c r="O20" s="32" t="n">
        <x:v>3.22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Atherina boyeri</x:v>
      </x:c>
      <x:c r="T20" s="32" t="n">
        <x:f>IF(O20="","",(1/'Metadata'!$B$5)^(O20-1))</x:f>
        <x:v>165.95869074375614</x:v>
      </x:c>
      <x:c r="U20" s="31" t="n">
        <x:f>IF(T20="","",I20*T20)</x:f>
        <x:v>33648.12454829655</x:v>
      </x:c>
    </x:row>
    <x:row r="21" ht="18" customHeight="1">
      <x:c r="A21" s="24" t="str">
        <x:v>EEZ_804</x:v>
      </x:c>
      <x:c r="B21" s="24" t="str">
        <x:v>Ukraine</x:v>
      </x:c>
      <x:c r="C21" s="24" t="str">
        <x:v>EEZ</x:v>
      </x:c>
      <x:c r="D21" s="30" t="n">
        <x:v>2019</x:v>
      </x:c>
      <x:c r="E21" s="24" t="str">
        <x:v>Atherinidae</x:v>
      </x:c>
      <x:c r="F21" s="24" t="str">
        <x:v>Silversides</x:v>
      </x:c>
      <x:c r="G21" s="24" t="str">
        <x:v>Small pelagics (&lt;30 cm)</x:v>
      </x:c>
      <x:c r="H21" s="24" t="str">
        <x:v>Other fishes &amp; inverts</x:v>
      </x:c>
      <x:c r="I21" s="31" t="n">
        <x:v>143.9124579301</x:v>
      </x:c>
      <x:c r="J21" s="31" t="n">
        <x:v>142.73737090010002</x:v>
      </x:c>
      <x:c r="K21" s="31" t="n">
        <x:v>1.17508703</x:v>
      </x:c>
      <x:c r="L21" s="31" t="n">
        <x:v>0</x:v>
      </x:c>
      <x:c r="M21" s="31" t="n">
        <x:v>143.9124579301</x:v>
      </x:c>
      <x:c r="N21" s="24" t="str">
        <x:v>atherinidae</x:v>
      </x:c>
      <x:c r="O21" s="32" t="n">
        <x:v>3.2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Atherinidae</x:v>
      </x:c>
      <x:c r="T21" s="32" t="n">
        <x:f>IF(O21="","",(1/'Metadata'!$B$5)^(O21-1))</x:f>
        <x:v>158.48931924611142</x:v>
      </x:c>
      <x:c r="U21" s="31" t="n">
        <x:f>IF(T21="","",I21*T21)</x:f>
        <x:v>22808.587488376197</x:v>
      </x:c>
    </x:row>
    <x:row r="22" ht="18" customHeight="1">
      <x:c r="A22" s="24" t="str">
        <x:v>EEZ_804</x:v>
      </x:c>
      <x:c r="B22" s="24" t="str">
        <x:v>Ukraine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88.5216541261</x:v>
      </x:c>
      <x:c r="J22" s="31" t="n">
        <x:v>87.9687077001</x:v>
      </x:c>
      <x:c r="K22" s="31" t="n">
        <x:v>0.552946426</x:v>
      </x:c>
      <x:c r="L22" s="31" t="n">
        <x:v>73.67999999999999</x:v>
      </x:c>
      <x:c r="M22" s="31" t="n">
        <x:v>14.8416541261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2999.50451924047</x:v>
      </x:c>
    </x:row>
    <x:row r="23" ht="18" customHeight="1">
      <x:c r="A23" s="24" t="str">
        <x:v>EEZ_804</x:v>
      </x:c>
      <x:c r="B23" s="24" t="str">
        <x:v>Ukraine</x:v>
      </x:c>
      <x:c r="C23" s="24" t="str">
        <x:v>EEZ</x:v>
      </x:c>
      <x:c r="D23" s="30" t="n">
        <x:v>2019</x:v>
      </x:c>
      <x:c r="E23" s="24" t="str">
        <x:v>Decapoda</x:v>
      </x:c>
      <x:c r="F23" s="24" t="str">
        <x:v>Crabs, lobsters, shrimps</x:v>
      </x:c>
      <x:c r="G23" s="24" t="str">
        <x:v>Lobsters, crabs</x:v>
      </x:c>
      <x:c r="H23" s="24" t="str">
        <x:v>Crustaceans</x:v>
      </x:c>
      <x:c r="I23" s="31" t="n">
        <x:v>35.97811447710001</x:v>
      </x:c>
      <x:c r="J23" s="31" t="n">
        <x:v>35.684342720100005</x:v>
      </x:c>
      <x:c r="K23" s="31" t="n">
        <x:v>0.293771757</x:v>
      </x:c>
      <x:c r="L23" s="31" t="n">
        <x:v>0</x:v>
      </x:c>
      <x:c r="M23" s="31" t="n">
        <x:v>35.97811447710001</x:v>
      </x:c>
      <x:c r="N23" s="24" t="str">
        <x:v>decapoda</x:v>
      </x:c>
      <x:c r="O23" s="32" t="n">
        <x:v>3.43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Decapoda</x:v>
      </x:c>
      <x:c r="T23" s="32" t="n">
        <x:f>IF(O23="","",(1/'Metadata'!$B$5)^(O23-1))</x:f>
        <x:v>269.1534803926917</x:v>
      </x:c>
      <x:c r="U23" s="31" t="n">
        <x:f>IF(T23="","",I23*T23)</x:f>
        <x:v>9683.634729478154</x:v>
      </x:c>
    </x:row>
    <x:row r="24" ht="18" customHeight="1">
      <x:c r="A24" s="24" t="str">
        <x:v>EEZ_804</x:v>
      </x:c>
      <x:c r="B24" s="24" t="str">
        <x:v>Ukraine</x:v>
      </x:c>
      <x:c r="C24" s="24" t="str">
        <x:v>EEZ</x:v>
      </x:c>
      <x:c r="D24" s="30" t="n">
        <x:v>2019</x:v>
      </x:c>
      <x:c r="E24" s="24" t="str">
        <x:v>Alosa immaculata</x:v>
      </x:c>
      <x:c r="F24" s="24" t="str">
        <x:v>Pontic shad</x:v>
      </x:c>
      <x:c r="G24" s="24" t="str">
        <x:v>Medium pelagics (30 - 89 cm)</x:v>
      </x:c>
      <x:c r="H24" s="24" t="str">
        <x:v>Herring-likes</x:v>
      </x:c>
      <x:c r="I24" s="31" t="n">
        <x:v>31.550500273</x:v>
      </x:c>
      <x:c r="J24" s="31" t="n">
        <x:v>31.413168959</x:v>
      </x:c>
      <x:c r="K24" s="31" t="n">
        <x:v>0.137331314</x:v>
      </x:c>
      <x:c r="L24" s="31" t="n">
        <x:v>23.82</x:v>
      </x:c>
      <x:c r="M24" s="31" t="n">
        <x:v>7.730500273</x:v>
      </x:c>
      <x:c r="N24" s="24" t="str">
        <x:v>alosa immaculata</x:v>
      </x:c>
      <x:c r="O24" s="32" t="n">
        <x:v>3.98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Alosa immaculata</x:v>
      </x:c>
      <x:c r="T24" s="32" t="n">
        <x:f>IF(O24="","",(1/'Metadata'!$B$5)^(O24-1))</x:f>
        <x:v>954.992586021436</x:v>
      </x:c>
      <x:c r="U24" s="31" t="n">
        <x:f>IF(T24="","",I24*T24)</x:f>
        <x:v>30130.49384598229</x:v>
      </x:c>
    </x:row>
    <x:row r="25" ht="18" customHeight="1">
      <x:c r="A25" s="24" t="str">
        <x:v>EEZ_804</x:v>
      </x:c>
      <x:c r="B25" s="24" t="str">
        <x:v>Ukraine</x:v>
      </x:c>
      <x:c r="C25" s="24" t="str">
        <x:v>EEZ</x:v>
      </x:c>
      <x:c r="D25" s="30" t="n">
        <x:v>2019</x:v>
      </x:c>
      <x:c r="E25" s="24" t="str">
        <x:v>Miscellaneous marine crustaceans</x:v>
      </x:c>
      <x:c r="F25" s="24" t="str">
        <x:v>Marine crabs, shrimps, lobsters nei</x:v>
      </x:c>
      <x:c r="G25" s="24" t="str">
        <x:v>Shrimps</x:v>
      </x:c>
      <x:c r="H25" s="24" t="str">
        <x:v>Crustaceans</x:v>
      </x:c>
      <x:c r="I25" s="31" t="n">
        <x:v>21.419038785999998</x:v>
      </x:c>
      <x:c r="J25" s="31" t="n">
        <x:v>21.38</x:v>
      </x:c>
      <x:c r="K25" s="31" t="n">
        <x:v>0.039038786</x:v>
      </x:c>
      <x:c r="L25" s="31" t="n">
        <x:v>21.38</x:v>
      </x:c>
      <x:c r="M25" s="31" t="n">
        <x:v>0.039038786</x:v>
      </x:c>
      <x:c r="N25" s="24" t="str">
        <x:v>miscellaneous marine crustaceans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Miscellaneous marine crustaceans</x:v>
      </x:c>
      <x:c r="T25" s="32" t="n">
        <x:f>IF(O25="","",(1/'Metadata'!$B$5)^(O25-1))</x:f>
        <x:v>50.11872336272725</x:v>
      </x:c>
      <x:c r="U25" s="31" t="n">
        <x:f>IF(T25="","",I25*T25)</x:f>
        <x:v>1073.4948796110593</x:v>
      </x:c>
    </x:row>
    <x:row r="26" ht="18" customHeight="1">
      <x:c r="A26" s="24" t="str">
        <x:v>EEZ_804</x:v>
      </x:c>
      <x:c r="B26" s="24" t="str">
        <x:v>Ukraine</x:v>
      </x:c>
      <x:c r="C26" s="24" t="str">
        <x:v>EEZ</x:v>
      </x:c>
      <x:c r="D26" s="30" t="n">
        <x:v>2019</x:v>
      </x:c>
      <x:c r="E26" s="24" t="str">
        <x:v>Platichthys flesus</x:v>
      </x:c>
      <x:c r="F26" s="24" t="str">
        <x:v>European flounder</x:v>
      </x:c>
      <x:c r="G26" s="24" t="str">
        <x:v>Small to medium flatfishes (&lt;90 cm)</x:v>
      </x:c>
      <x:c r="H26" s="24" t="str">
        <x:v>Flatfishes</x:v>
      </x:c>
      <x:c r="I26" s="31" t="n">
        <x:v>2.6361321199</x:v>
      </x:c>
      <x:c r="J26" s="31" t="n">
        <x:v>2.5931956949000003</x:v>
      </x:c>
      <x:c r="K26" s="31" t="n">
        <x:v>0.042936425</x:v>
      </x:c>
      <x:c r="L26" s="31" t="n">
        <x:v>0.7200000000000001</x:v>
      </x:c>
      <x:c r="M26" s="31" t="n">
        <x:v>1.9161321198999999</x:v>
      </x:c>
      <x:c r="N26" s="24" t="str">
        <x:v>platichthys flesus</x:v>
      </x:c>
      <x:c r="O26" s="32" t="n">
        <x:v>3.32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Platichthys flesus</x:v>
      </x:c>
      <x:c r="T26" s="32" t="n">
        <x:f>IF(O26="","",(1/'Metadata'!$B$5)^(O26-1))</x:f>
        <x:v>208.92961308540387</x:v>
      </x:c>
      <x:c r="U26" s="31" t="n">
        <x:f>IF(T26="","",I26*T26)</x:f>
        <x:v>550.7660638527125</x:v>
      </x:c>
    </x:row>
    <x:row r="27" ht="18" customHeight="1">
      <x:c r="A27" s="24" t="str">
        <x:v>EEZ_804</x:v>
      </x:c>
      <x:c r="B27" s="24" t="str">
        <x:v>Ukraine</x:v>
      </x:c>
      <x:c r="C27" s="24" t="str">
        <x:v>EEZ</x:v>
      </x:c>
      <x:c r="D27" s="30" t="n">
        <x:v>2019</x:v>
      </x:c>
      <x:c r="E27" s="24" t="str">
        <x:v>Alosa</x:v>
      </x:c>
      <x:c r="F27" s="24" t="str">
        <x:v>Shads</x:v>
      </x:c>
      <x:c r="G27" s="24" t="str">
        <x:v>Medium pelagics (30 - 89 cm)</x:v>
      </x:c>
      <x:c r="H27" s="24" t="str">
        <x:v>Herring-likes</x:v>
      </x:c>
      <x:c r="I27" s="31" t="n">
        <x:v>1.5783582190000003</x:v>
      </x:c>
      <x:c r="J27" s="31" t="n">
        <x:v>1.5700682060000002</x:v>
      </x:c>
      <x:c r="K27" s="31" t="n">
        <x:v>0.008290013</x:v>
      </x:c>
      <x:c r="L27" s="31" t="n">
        <x:v>1.24</x:v>
      </x:c>
      <x:c r="M27" s="31" t="n">
        <x:v>0.33835821899999996</x:v>
      </x:c>
      <x:c r="N27" s="24" t="str">
        <x:v>alosa</x:v>
      </x:c>
      <x:c r="O27" s="32" t="n">
        <x:v>3.89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Alosa</x:v>
      </x:c>
      <x:c r="T27" s="32" t="n">
        <x:f>IF(O27="","",(1/'Metadata'!$B$5)^(O27-1))</x:f>
        <x:v>776.247116628692</x:v>
      </x:c>
      <x:c r="U27" s="31" t="n">
        <x:f>IF(T27="","",I27*T27)</x:f>
        <x:v>1225.1960165059477</x:v>
      </x:c>
    </x:row>
    <x:row r="28" ht="18" customHeight="1">
      <x:c r="A28" s="24" t="str">
        <x:v>EEZ_804</x:v>
      </x:c>
      <x:c r="B28" s="24" t="str">
        <x:v>Ukraine</x:v>
      </x:c>
      <x:c r="C28" s="24" t="str">
        <x:v>EEZ</x:v>
      </x:c>
      <x:c r="D28" s="30" t="n">
        <x:v>2019</x:v>
      </x:c>
      <x:c r="E28" s="24" t="str">
        <x:v>Raja clavata</x:v>
      </x:c>
      <x:c r="F28" s="24" t="str">
        <x:v>Thornback ray</x:v>
      </x:c>
      <x:c r="G28" s="24" t="str">
        <x:v>Large rays (&gt;=90 cm)</x:v>
      </x:c>
      <x:c r="H28" s="24" t="str">
        <x:v>Sharks &amp; rays</x:v>
      </x:c>
      <x:c r="I28" s="31" t="n">
        <x:v>0.8459758651</x:v>
      </x:c>
      <x:c r="J28" s="31" t="n">
        <x:v>0.8018047331</x:v>
      </x:c>
      <x:c r="K28" s="31" t="n">
        <x:v>0.044171132</x:v>
      </x:c>
      <x:c r="L28" s="31" t="n">
        <x:v>0</x:v>
      </x:c>
      <x:c r="M28" s="31" t="n">
        <x:v>0.8459758651</x:v>
      </x:c>
      <x:c r="N28" s="24" t="str">
        <x:v>raja clavata</x:v>
      </x:c>
      <x:c r="O28" s="32" t="n">
        <x:v>3.84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Raja clavata</x:v>
      </x:c>
      <x:c r="T28" s="32" t="n">
        <x:f>IF(O28="","",(1/'Metadata'!$B$5)^(O28-1))</x:f>
        <x:v>691.8309709189363</x:v>
      </x:c>
      <x:c r="U28" s="31" t="n">
        <x:f>IF(T28="","",I28*T28)</x:f>
        <x:v>585.27230412612</x:v>
      </x:c>
    </x:row>
    <x:row r="29" ht="18" customHeight="1">
      <x:c r="A29" s="24" t="str">
        <x:v>EEZ_804</x:v>
      </x:c>
      <x:c r="B29" s="24" t="str">
        <x:v>Ukraine</x:v>
      </x:c>
      <x:c r="C29" s="24" t="str">
        <x:v>EEZ</x:v>
      </x:c>
      <x:c r="D29" s="30" t="n">
        <x:v>2019</x:v>
      </x:c>
      <x:c r="E29" s="24" t="str">
        <x:v>Belone</x:v>
      </x:c>
      <x:c r="F29" s="24" t="str">
        <x:v>Garfishes</x:v>
      </x:c>
      <x:c r="G29" s="24" t="str">
        <x:v>Medium pelagics (30 - 89 cm)</x:v>
      </x:c>
      <x:c r="H29" s="24" t="str">
        <x:v>Other fishes &amp; inverts</x:v>
      </x:c>
      <x:c r="I29" s="31" t="n">
        <x:v>0.7901647889</x:v>
      </x:c>
      <x:c r="J29" s="31" t="n">
        <x:v>0.7889448779</x:v>
      </x:c>
      <x:c r="K29" s="31" t="n">
        <x:v>0.001219911</x:v>
      </x:c>
      <x:c r="L29" s="31" t="n">
        <x:v>0.6000000000000001</x:v>
      </x:c>
      <x:c r="M29" s="31" t="n">
        <x:v>0.1901647889</x:v>
      </x:c>
      <x:c r="N29" s="24" t="str">
        <x:v>belone</x:v>
      </x:c>
      <x:c r="O29" s="32" t="n">
        <x:v>4.5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Belone</x:v>
      </x:c>
      <x:c r="T29" s="32" t="n">
        <x:f>IF(O29="","",(1/'Metadata'!$B$5)^(O29-1))</x:f>
        <x:v>3162.2776601683795</x:v>
      </x:c>
      <x:c r="U29" s="31" t="n">
        <x:f>IF(T29="","",I29*T29)</x:f>
        <x:v>2498.7204597901336</x:v>
      </x:c>
    </x:row>
  </x:sheetData>
  <x:conditionalFormatting sqref="R2:R2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7c7ccbac94a41c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1171.733787871</x:v>
      </x:c>
      <x:c r="E2" s="31" t="n">
        <x:v>1171.733787871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IF(C2=0,"",SUMIF('Species'!$H$2:$H$29,A2,'Species'!$U$2:$U$29))</x:f>
        <x:v>150948.5526928513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150948.5526928513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2652.4900788192</x:v>
      </x:c>
      <x:c r="E3" s="31" t="n">
        <x:v>2652.4900788192</x:v>
      </x:c>
      <x:c r="F3" s="32" t="n">
        <x:v>0</x:v>
      </x:c>
      <x:c r="G3" s="34" t="n">
        <x:v>1</x:v>
      </x:c>
      <x:c r="H3" s="32" t="n">
        <x:f>IF(E3=0,"",I3/E3)</x:f>
        <x:v>2290.867652767775</x:v>
      </x:c>
      <x:c r="I3" s="31" t="n">
        <x:f>IF(C3=0,"",SUMIF('Species'!$H$2:$H$29,A3,'Species'!$U$2:$U$29))</x:f>
        <x:v>6076503.72085435</x:v>
      </x:c>
      <x:c r="J3" s="32" t="n">
        <x:v>4.36</x:v>
      </x:c>
      <x:c r="K3" s="32" t="n">
        <x:f>IF(J3="","",(1/'Metadata'!$B$5)^(J3-1))</x:f>
        <x:v>2290.867652767775</x:v>
      </x:c>
      <x:c r="L3" s="31" t="n">
        <x:f>IF(E3=0,"",E3*K3)</x:f>
        <x:v>6076503.72085435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4</x:v>
      </x:c>
      <x:c r="C4" s="33" t="n">
        <x:v>4</x:v>
      </x:c>
      <x:c r="D4" s="31" t="n">
        <x:v>2099.0933285592</x:v>
      </x:c>
      <x:c r="E4" s="31" t="n">
        <x:v>2099.0933285592</x:v>
      </x:c>
      <x:c r="F4" s="32" t="n">
        <x:v>0</x:v>
      </x:c>
      <x:c r="G4" s="34" t="n">
        <x:v>1</x:v>
      </x:c>
      <x:c r="H4" s="32" t="n">
        <x:f>IF(E4=0,"",I4/E4)</x:f>
        <x:v>116.13010992389562</x:v>
      </x:c>
      <x:c r="I4" s="31" t="n">
        <x:f>IF(C4=0,"",SUMIF('Species'!$H$2:$H$29,A4,'Species'!$U$2:$U$29))</x:f>
        <x:v>243767.93898609583</x:v>
      </x:c>
      <x:c r="J4" s="32" t="n">
        <x:v>2.97260037008466</x:v>
      </x:c>
      <x:c r="K4" s="32" t="n">
        <x:f>IF(J4="","",(1/'Metadata'!$B$5)^(J4-1))</x:f>
        <x:v>93.8858991922781</x:v>
      </x:c>
      <x:c r="L4" s="31" t="n">
        <x:f>IF(E4=0,"",E4*K4)</x:f>
        <x:v>197075.26464029256</x:v>
      </x:c>
      <x:c r="M4" s="31" t="n">
        <x:f>IF(E4=0,"",I4-L4)</x:f>
        <x:v>46692.67434580327</x:v>
      </x:c>
      <x:c r="N4" s="32" t="n">
        <x:f>IF(L4=0,"",I4/L4)</x:f>
        <x:v>1.2369281321581787</x:v>
      </x:c>
      <x:c r="O4" s="34" t="n">
        <x:f>IF(L4=0,"",M4/L4)</x:f>
        <x:v>0.23692813215817868</x:v>
      </x:c>
    </x:row>
    <x:row r="5" ht="18" customHeight="1">
      <x:c r="A5" s="24" t="str">
        <x:v>Flatfishes</x:v>
      </x:c>
      <x:c r="B5" s="33" t="n">
        <x:v>2</x:v>
      </x:c>
      <x:c r="C5" s="33" t="n">
        <x:v>2</x:v>
      </x:c>
      <x:c r="D5" s="31" t="n">
        <x:v>955.8347947850001</x:v>
      </x:c>
      <x:c r="E5" s="31" t="n">
        <x:v>955.8347947850001</x:v>
      </x:c>
      <x:c r="F5" s="32" t="n">
        <x:v>0</x:v>
      </x:c>
      <x:c r="G5" s="34" t="n">
        <x:v>1</x:v>
      </x:c>
      <x:c r="H5" s="32" t="n">
        <x:f>IF(E5=0,"",I5/E5)</x:f>
        <x:v>2285.1257988742022</x:v>
      </x:c>
      <x:c r="I5" s="31" t="n">
        <x:f>IF(C5=0,"",SUMIF('Species'!$H$2:$H$29,A5,'Species'!$U$2:$U$29))</x:f>
        <x:v>2184202.7490248326</x:v>
      </x:c>
      <x:c r="J5" s="32" t="n">
        <x:v>4.357131745548861</x:v>
      </x:c>
      <x:c r="K5" s="32" t="n">
        <x:f>IF(J5="","",(1/'Metadata'!$B$5)^(J5-1))</x:f>
        <x:v>2275.7876984124987</x:v>
      </x:c>
      <x:c r="L5" s="31" t="n">
        <x:f>IF(E5=0,"",E5*K5)</x:f>
        <x:v>2175277.0676863384</x:v>
      </x:c>
      <x:c r="M5" s="31" t="n">
        <x:f>IF(E5=0,"",I5-L5)</x:f>
        <x:v>8925.681338494178</x:v>
      </x:c>
      <x:c r="N5" s="32" t="n">
        <x:f>IF(L5=0,"",I5/L5)</x:f>
        <x:v>1.004103238833841</x:v>
      </x:c>
      <x:c r="O5" s="34" t="n">
        <x:f>IF(L5=0,"",M5/L5)</x:f>
        <x:v>0.004103238833840916</x:v>
      </x:c>
    </x:row>
    <x:row r="6" ht="18" customHeight="1">
      <x:c r="A6" s="24" t="str">
        <x:v>Herring-likes</x:v>
      </x:c>
      <x:c r="B6" s="33" t="n">
        <x:v>4</x:v>
      </x:c>
      <x:c r="C6" s="33" t="n">
        <x:v>4</x:v>
      </x:c>
      <x:c r="D6" s="31" t="n">
        <x:v>8691.783426827002</x:v>
      </x:c>
      <x:c r="E6" s="31" t="n">
        <x:v>8691.783426827002</x:v>
      </x:c>
      <x:c r="F6" s="32" t="n">
        <x:v>0</x:v>
      </x:c>
      <x:c r="G6" s="34" t="n">
        <x:v>1</x:v>
      </x:c>
      <x:c r="H6" s="32" t="n">
        <x:f>IF(E6=0,"",I6/E6)</x:f>
        <x:v>103.61481383920972</x:v>
      </x:c>
      <x:c r="I6" s="31" t="n">
        <x:f>IF(C6=0,"",SUMIF('Species'!$H$2:$H$29,A6,'Species'!$U$2:$U$29))</x:f>
        <x:v>900597.5217014081</x:v>
      </x:c>
      <x:c r="J6" s="32" t="n">
        <x:v>3.0053866354268264</x:v>
      </x:c>
      <x:c r="K6" s="32" t="n">
        <x:f>IF(J6="","",(1/'Metadata'!$B$5)^(J6-1))</x:f>
        <x:v>101.24804249563333</x:v>
      </x:c>
      <x:c r="L6" s="31" t="n">
        <x:f>IF(E6=0,"",E6*K6)</x:f>
        <x:v>880026.0577622218</x:v>
      </x:c>
      <x:c r="M6" s="31" t="n">
        <x:f>IF(E6=0,"",I6-L6)</x:f>
        <x:v>20571.463939186302</x:v>
      </x:c>
      <x:c r="N6" s="32" t="n">
        <x:f>IF(L6=0,"",I6/L6)</x:f>
        <x:v>1.0233759713791846</x:v>
      </x:c>
      <x:c r="O6" s="34" t="n">
        <x:f>IF(L6=0,"",M6/L6)</x:f>
        <x:v>0.023375971379184547</x:v>
      </x:c>
    </x:row>
    <x:row r="7" ht="18" customHeight="1">
      <x:c r="A7" s="24" t="str">
        <x:v>Molluscs</x:v>
      </x:c>
      <x:c r="B7" s="33" t="n">
        <x:v>1</x:v>
      </x:c>
      <x:c r="C7" s="33" t="n">
        <x:v>1</x:v>
      </x:c>
      <x:c r="D7" s="31" t="n">
        <x:v>2718.8566269312996</x:v>
      </x:c>
      <x:c r="E7" s="31" t="n">
        <x:v>2718.8566269312996</x:v>
      </x:c>
      <x:c r="F7" s="32" t="n">
        <x:v>0</x:v>
      </x:c>
      <x:c r="G7" s="34" t="n">
        <x:v>1</x:v>
      </x:c>
      <x:c r="H7" s="32" t="n">
        <x:f>IF(E7=0,"",I7/E7)</x:f>
        <x:v>48.97788193684462</x:v>
      </x:c>
      <x:c r="I7" s="31" t="n">
        <x:f>IF(C7=0,"",SUMIF('Species'!$H$2:$H$29,A7,'Species'!$U$2:$U$29))</x:f>
        <x:v>133163.83887704878</x:v>
      </x:c>
      <x:c r="J7" s="32" t="n">
        <x:v>2.69</x:v>
      </x:c>
      <x:c r="K7" s="32" t="n">
        <x:f>IF(J7="","",(1/'Metadata'!$B$5)^(J7-1))</x:f>
        <x:v>48.97788193684461</x:v>
      </x:c>
      <x:c r="L7" s="31" t="n">
        <x:f>IF(E7=0,"",E7*K7)</x:f>
        <x:v>133163.83887704878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Other fishes &amp; inverts</x:v>
      </x:c>
      <x:c r="B8" s="33" t="n">
        <x:v>5</x:v>
      </x:c>
      <x:c r="C8" s="33" t="n">
        <x:v>5</x:v>
      </x:c>
      <x:c r="D8" s="31" t="n">
        <x:v>19313.298430049</x:v>
      </x:c>
      <x:c r="E8" s="31" t="n">
        <x:v>19313.298430049</x:v>
      </x:c>
      <x:c r="F8" s="32" t="n">
        <x:v>0</x:v>
      </x:c>
      <x:c r="G8" s="34" t="n">
        <x:v>1</x:v>
      </x:c>
      <x:c r="H8" s="32" t="n">
        <x:f>IF(E8=0,"",I8/E8)</x:f>
        <x:v>186.82230273478797</x:v>
      </x:c>
      <x:c r="I8" s="31" t="n">
        <x:f>IF(C8=0,"",SUMIF('Species'!$H$2:$H$29,A8,'Species'!$U$2:$U$29))</x:f>
        <x:v>3608154.8861059193</x:v>
      </x:c>
      <x:c r="J8" s="32" t="n">
        <x:v>3.2614304264268945</x:v>
      </x:c>
      <x:c r="K8" s="32" t="n">
        <x:f>IF(J8="","",(1/'Metadata'!$B$5)^(J8-1))</x:f>
        <x:v>182.5704249519449</x:v>
      </x:c>
      <x:c r="L8" s="31" t="n">
        <x:f>IF(E8=0,"",E8*K8)</x:f>
        <x:v>3526037.1015977757</x:v>
      </x:c>
      <x:c r="M8" s="31" t="n">
        <x:f>IF(E8=0,"",I8-L8)</x:f>
        <x:v>82117.78450814355</x:v>
      </x:c>
      <x:c r="N8" s="32" t="n">
        <x:f>IF(L8=0,"",I8/L8)</x:f>
        <x:v>1.0232889734685244</x:v>
      </x:c>
      <x:c r="O8" s="34" t="n">
        <x:f>IF(L8=0,"",M8/L8)</x:f>
        <x:v>0.02328897346852448</x:v>
      </x:c>
    </x:row>
    <x:row r="9" ht="18" customHeight="1">
      <x:c r="A9" s="24" t="str">
        <x:v>Perch-likes</x:v>
      </x:c>
      <x:c r="B9" s="33" t="n">
        <x:v>6</x:v>
      </x:c>
      <x:c r="C9" s="33" t="n">
        <x:v>6</x:v>
      </x:c>
      <x:c r="D9" s="31" t="n">
        <x:v>26378.5293235529</x:v>
      </x:c>
      <x:c r="E9" s="31" t="n">
        <x:v>26378.5293235529</x:v>
      </x:c>
      <x:c r="F9" s="32" t="n">
        <x:v>0</x:v>
      </x:c>
      <x:c r="G9" s="34" t="n">
        <x:v>1</x:v>
      </x:c>
      <x:c r="H9" s="32" t="n">
        <x:f>IF(E9=0,"",I9/E9)</x:f>
        <x:v>291.203006976862</x:v>
      </x:c>
      <x:c r="I9" s="31" t="n">
        <x:f>IF(C9=0,"",SUMIF('Species'!$H$2:$H$29,A9,'Species'!$U$2:$U$29))</x:f>
        <x:v>7681507.058645934</x:v>
      </x:c>
      <x:c r="J9" s="32" t="n">
        <x:v>3.1902816291708853</x:v>
      </x:c>
      <x:c r="K9" s="32" t="n">
        <x:f>IF(J9="","",(1/'Metadata'!$B$5)^(J9-1))</x:f>
        <x:v>154.98213136963395</x:v>
      </x:c>
      <x:c r="L9" s="31" t="n">
        <x:f>IF(E9=0,"",E9*K9)</x:f>
        <x:v>4088200.696960617</x:v>
      </x:c>
      <x:c r="M9" s="31" t="n">
        <x:f>IF(E9=0,"",I9-L9)</x:f>
        <x:v>3593306.361685317</x:v>
      </x:c>
      <x:c r="N9" s="32" t="n">
        <x:f>IF(L9=0,"",I9/L9)</x:f>
        <x:v>1.8789456849211854</x:v>
      </x:c>
      <x:c r="O9" s="34" t="n">
        <x:f>IF(L9=0,"",M9/L9)</x:f>
        <x:v>0.8789456849211854</x:v>
      </x:c>
    </x:row>
    <x:row r="10" ht="18" customHeight="1">
      <x:c r="A10" s="24" t="str">
        <x:v>Sharks &amp; rays</x:v>
      </x:c>
      <x:c r="B10" s="33" t="n">
        <x:v>3</x:v>
      </x:c>
      <x:c r="C10" s="33" t="n">
        <x:v>3</x:v>
      </x:c>
      <x:c r="D10" s="31" t="n">
        <x:v>1630.4753181773</x:v>
      </x:c>
      <x:c r="E10" s="31" t="n">
        <x:v>1630.4753181773</x:v>
      </x:c>
      <x:c r="F10" s="32" t="n">
        <x:v>0</x:v>
      </x:c>
      <x:c r="G10" s="34" t="n">
        <x:v>1</x:v>
      </x:c>
      <x:c r="H10" s="32" t="n">
        <x:f>IF(E10=0,"",I10/E10)</x:f>
        <x:v>1571.66034530219</x:v>
      </x:c>
      <x:c r="I10" s="31" t="n">
        <x:f>IF(C10=0,"",SUMIF('Species'!$H$2:$H$29,A10,'Species'!$U$2:$U$29))</x:f>
        <x:v>2562553.401573234</x:v>
      </x:c>
      <x:c r="J10" s="32" t="n">
        <x:v>4.066913281120613</x:v>
      </x:c>
      <x:c r="K10" s="32" t="n">
        <x:f>IF(J10="","",(1/'Metadata'!$B$5)^(J10-1))</x:f>
        <x:v>1166.5766545776546</x:v>
      </x:c>
      <x:c r="L10" s="31" t="n">
        <x:f>IF(E10=0,"",E10*K10)</x:f>
        <x:v>1902074.4420507117</x:v>
      </x:c>
      <x:c r="M10" s="31" t="n">
        <x:f>IF(E10=0,"",I10-L10)</x:f>
        <x:v>660478.959522522</x:v>
      </x:c>
      <x:c r="N10" s="32" t="n">
        <x:f>IF(L10=0,"",I10/L10)</x:f>
        <x:v>1.347241382840111</x:v>
      </x:c>
      <x:c r="O10" s="34" t="n">
        <x:f>IF(L10=0,"",M10/L10)</x:f>
        <x:v>0.3472413828401112</x:v>
      </x:c>
    </x:row>
    <x:row r="11" ht="18" customHeight="1">
      <x:c r="A11" s="24" t="str">
        <x:v>Tuna &amp; billfishes</x:v>
      </x:c>
      <x:c r="B11" s="33" t="n">
        <x:v>1</x:v>
      </x:c>
      <x:c r="C11" s="33" t="n">
        <x:v>1</x:v>
      </x:c>
      <x:c r="D11" s="31" t="n">
        <x:v>291.62890808500003</x:v>
      </x:c>
      <x:c r="E11" s="31" t="n">
        <x:v>291.62890808500003</x:v>
      </x:c>
      <x:c r="F11" s="32" t="n">
        <x:v>0</x:v>
      </x:c>
      <x:c r="G11" s="34" t="n">
        <x:v>1</x:v>
      </x:c>
      <x:c r="H11" s="32" t="n">
        <x:f>IF(E11=0,"",I11/E11)</x:f>
        <x:v>3162.2776601683795</x:v>
      </x:c>
      <x:c r="I11" s="31" t="n">
        <x:f>IF(C11=0,"",SUMIF('Species'!$H$2:$H$29,A11,'Species'!$U$2:$U$29))</x:f>
        <x:v>922211.5810964933</x:v>
      </x:c>
      <x:c r="J11" s="32" t="n">
        <x:v>4.5</x:v>
      </x:c>
      <x:c r="K11" s="32" t="n">
        <x:f>IF(J11="","",(1/'Metadata'!$B$5)^(J11-1))</x:f>
        <x:v>3162.2776601683795</x:v>
      </x:c>
      <x:c r="L11" s="31" t="n">
        <x:f>IF(E11=0,"",E11*K11)</x:f>
        <x:v>922211.5810964933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be18427ee9c4f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flatfishes (&gt;=90 cm)</x:v>
      </x:c>
      <x:c r="B2" s="33" t="n">
        <x:v>1</x:v>
      </x:c>
      <x:c r="C2" s="33" t="n">
        <x:v>1</x:v>
      </x:c>
      <x:c r="D2" s="31" t="n">
        <x:v>953.1986626651001</x:v>
      </x:c>
      <x:c r="E2" s="31" t="n">
        <x:v>953.1986626651001</x:v>
      </x:c>
      <x:c r="F2" s="32" t="n">
        <x:v>0</x:v>
      </x:c>
      <x:c r="G2" s="34" t="n">
        <x:v>1</x:v>
      </x:c>
      <x:c r="H2" s="32" t="n">
        <x:f>IF(E2=0,"",I2/E2)</x:f>
        <x:v>2290.867652767775</x:v>
      </x:c>
      <x:c r="I2" s="31" t="n">
        <x:f>IF(C2=0,"",SUMIF('Species'!$G$2:$G$29,A2,'Species'!$U$2:$U$29))</x:f>
        <x:v>2183651.98296098</x:v>
      </x:c>
      <x:c r="J2" s="32" t="n">
        <x:v>4.36</x:v>
      </x:c>
      <x:c r="K2" s="32" t="n">
        <x:f>IF(J2="","",(1/'Metadata'!$B$5)^(J2-1))</x:f>
        <x:v>2290.867652767775</x:v>
      </x:c>
      <x:c r="L2" s="31" t="n">
        <x:f>IF(E2=0,"",E2*K2)</x:f>
        <x:v>2183651.98296098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</x:v>
      </x:c>
      <x:c r="C3" s="33" t="n">
        <x:v>1</x:v>
      </x:c>
      <x:c r="D3" s="31" t="n">
        <x:v>992.5558898298</x:v>
      </x:c>
      <x:c r="E3" s="31" t="n">
        <x:v>992.5558898298</x:v>
      </x:c>
      <x:c r="F3" s="32" t="n">
        <x:v>0</x:v>
      </x:c>
      <x:c r="G3" s="34" t="n">
        <x:v>1</x:v>
      </x:c>
      <x:c r="H3" s="32" t="n">
        <x:f>IF(E3=0,"",I3/E3)</x:f>
        <x:v>3388.4415613920273</x:v>
      </x:c>
      <x:c r="I3" s="31" t="n">
        <x:f>IF(C3=0,"",SUMIF('Species'!$G$2:$G$29,A3,'Species'!$U$2:$U$29))</x:f>
        <x:v>3363217.6291037407</x:v>
      </x:c>
      <x:c r="J3" s="32" t="n">
        <x:v>4.53</x:v>
      </x:c>
      <x:c r="K3" s="32" t="n">
        <x:f>IF(J3="","",(1/'Metadata'!$B$5)^(J3-1))</x:f>
        <x:v>3388.4415613920273</x:v>
      </x:c>
      <x:c r="L3" s="31" t="n">
        <x:f>IF(E3=0,"",E3*K3)</x:f>
        <x:v>3363217.6291037407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rays (&gt;=90 cm)</x:v>
      </x:c>
      <x:c r="B4" s="33" t="n">
        <x:v>2</x:v>
      </x:c>
      <x:c r="C4" s="33" t="n">
        <x:v>2</x:v>
      </x:c>
      <x:c r="D4" s="31" t="n">
        <x:v>650.4868274331</x:v>
      </x:c>
      <x:c r="E4" s="31" t="n">
        <x:v>650.4868274331</x:v>
      </x:c>
      <x:c r="F4" s="32" t="n">
        <x:v>0</x:v>
      </x:c>
      <x:c r="G4" s="34" t="n">
        <x:v>1</x:v>
      </x:c>
      <x:c r="H4" s="32" t="n">
        <x:f>IF(E4=0,"",I4/E4)</x:f>
        <x:v>407.75021369064814</x:v>
      </x:c>
      <x:c r="I4" s="31" t="n">
        <x:f>IF(C4=0,"",SUMIF('Species'!$G$2:$G$29,A4,'Species'!$U$2:$U$29))</x:f>
        <x:v>265236.14288879826</x:v>
      </x:c>
      <x:c r="J4" s="32" t="n">
        <x:v>3.6102991212746627</x:v>
      </x:c>
      <x:c r="K4" s="32" t="n">
        <x:f>IF(J4="","",(1/'Metadata'!$B$5)^(J4-1))</x:f>
        <x:v>407.6609585104424</x:v>
      </x:c>
      <x:c r="L4" s="31" t="n">
        <x:f>IF(E4=0,"",E4*K4)</x:f>
        <x:v>265178.08356979425</x:v>
      </x:c>
      <x:c r="M4" s="31" t="n">
        <x:f>IF(E4=0,"",I4-L4)</x:f>
        <x:v>58.05931900400901</x:v>
      </x:c>
      <x:c r="N4" s="32" t="n">
        <x:f>IF(L4=0,"",I4/L4)</x:f>
        <x:v>1.0002189446360816</x:v>
      </x:c>
      <x:c r="O4" s="34" t="n">
        <x:f>IF(L4=0,"",M4/L4)</x:f>
        <x:v>0.0002189446360816162</x:v>
      </x:c>
    </x:row>
    <x:row r="5" ht="18" customHeight="1">
      <x:c r="A5" s="24" t="str">
        <x:v>Large sharks (&gt;=90 cm)</x:v>
      </x:c>
      <x:c r="B5" s="33" t="n">
        <x:v>1</x:v>
      </x:c>
      <x:c r="C5" s="33" t="n">
        <x:v>1</x:v>
      </x:c>
      <x:c r="D5" s="31" t="n">
        <x:v>979.9884907442</x:v>
      </x:c>
      <x:c r="E5" s="31" t="n">
        <x:v>979.9884907442</x:v>
      </x:c>
      <x:c r="F5" s="32" t="n">
        <x:v>0</x:v>
      </x:c>
      <x:c r="G5" s="34" t="n">
        <x:v>1</x:v>
      </x:c>
      <x:c r="H5" s="32" t="n">
        <x:f>IF(E5=0,"",I5/E5)</x:f>
        <x:v>2344.228815319923</x:v>
      </x:c>
      <x:c r="I5" s="31" t="n">
        <x:f>IF(C5=0,"",SUMIF('Species'!$G$2:$G$29,A5,'Species'!$U$2:$U$29))</x:f>
        <x:v>2297317.2586844354</x:v>
      </x:c>
      <x:c r="J5" s="32" t="n">
        <x:v>4.37</x:v>
      </x:c>
      <x:c r="K5" s="32" t="n">
        <x:f>IF(J5="","",(1/'Metadata'!$B$5)^(J5-1))</x:f>
        <x:v>2344.228815319923</x:v>
      </x:c>
      <x:c r="L5" s="31" t="n">
        <x:f>IF(E5=0,"",E5*K5)</x:f>
        <x:v>2297317.2586844354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Lobsters, crabs</x:v>
      </x:c>
      <x:c r="B6" s="33" t="n">
        <x:v>1</x:v>
      </x:c>
      <x:c r="C6" s="33" t="n">
        <x:v>1</x:v>
      </x:c>
      <x:c r="D6" s="31" t="n">
        <x:v>35.97811447710001</x:v>
      </x:c>
      <x:c r="E6" s="31" t="n">
        <x:v>35.97811447710001</x:v>
      </x:c>
      <x:c r="F6" s="32" t="n">
        <x:v>0</x:v>
      </x:c>
      <x:c r="G6" s="34" t="n">
        <x:v>1</x:v>
      </x:c>
      <x:c r="H6" s="32" t="n">
        <x:f>IF(E6=0,"",I6/E6)</x:f>
        <x:v>269.1534803926917</x:v>
      </x:c>
      <x:c r="I6" s="31" t="n">
        <x:f>IF(C6=0,"",SUMIF('Species'!$G$2:$G$29,A6,'Species'!$U$2:$U$29))</x:f>
        <x:v>9683.634729478154</x:v>
      </x:c>
      <x:c r="J6" s="32" t="n">
        <x:v>3.43</x:v>
      </x:c>
      <x:c r="K6" s="32" t="n">
        <x:f>IF(J6="","",(1/'Metadata'!$B$5)^(J6-1))</x:f>
        <x:v>269.1534803926917</x:v>
      </x:c>
      <x:c r="L6" s="31" t="n">
        <x:f>IF(E6=0,"",E6*K6)</x:f>
        <x:v>9683.634729478154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benthopelagics (30 - 89 cm)</x:v>
      </x:c>
      <x:c r="B7" s="33" t="n">
        <x:v>1</x:v>
      </x:c>
      <x:c r="C7" s="33" t="n">
        <x:v>1</x:v>
      </x:c>
      <x:c r="D7" s="31" t="n">
        <x:v>2652.4900788192</x:v>
      </x:c>
      <x:c r="E7" s="31" t="n">
        <x:v>2652.4900788192</x:v>
      </x:c>
      <x:c r="F7" s="32" t="n">
        <x:v>0</x:v>
      </x:c>
      <x:c r="G7" s="34" t="n">
        <x:v>1</x:v>
      </x:c>
      <x:c r="H7" s="32" t="n">
        <x:f>IF(E7=0,"",I7/E7)</x:f>
        <x:v>2290.867652767775</x:v>
      </x:c>
      <x:c r="I7" s="31" t="n">
        <x:f>IF(C7=0,"",SUMIF('Species'!$G$2:$G$29,A7,'Species'!$U$2:$U$29))</x:f>
        <x:v>6076503.72085435</x:v>
      </x:c>
      <x:c r="J7" s="32" t="n">
        <x:v>4.36</x:v>
      </x:c>
      <x:c r="K7" s="32" t="n">
        <x:f>IF(J7="","",(1/'Metadata'!$B$5)^(J7-1))</x:f>
        <x:v>2290.867652767775</x:v>
      </x:c>
      <x:c r="L7" s="31" t="n">
        <x:f>IF(E7=0,"",E7*K7)</x:f>
        <x:v>6076503.72085435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2</x:v>
      </x:c>
      <x:c r="C8" s="33" t="n">
        <x:v>2</x:v>
      </x:c>
      <x:c r="D8" s="31" t="n">
        <x:v>19741.112829924</x:v>
      </x:c>
      <x:c r="E8" s="31" t="n">
        <x:v>19741.112829924</x:v>
      </x:c>
      <x:c r="F8" s="32" t="n">
        <x:v>0</x:v>
      </x:c>
      <x:c r="G8" s="34" t="n">
        <x:v>1</x:v>
      </x:c>
      <x:c r="H8" s="32" t="n">
        <x:f>IF(E8=0,"",I8/E8)</x:f>
        <x:v>180.32729352791276</x:v>
      </x:c>
      <x:c r="I8" s="31" t="n">
        <x:f>IF(C8=0,"",SUMIF('Species'!$G$2:$G$29,A8,'Species'!$U$2:$U$29))</x:f>
        <x:v>3559861.4478493496</x:v>
      </x:c>
      <x:c r="J8" s="32" t="n">
        <x:v>3.219523002680517</x:v>
      </x:c>
      <x:c r="K8" s="32" t="n">
        <x:f>IF(J8="","",(1/'Metadata'!$B$5)^(J8-1))</x:f>
        <x:v>165.7765139097362</x:v>
      </x:c>
      <x:c r="L8" s="31" t="n">
        <x:f>IF(E8=0,"",E8*K8)</x:f>
        <x:v>3272612.865643568</x:v>
      </x:c>
      <x:c r="M8" s="31" t="n">
        <x:f>IF(E8=0,"",I8-L8)</x:f>
        <x:v>287248.5822057817</x:v>
      </x:c>
      <x:c r="N8" s="32" t="n">
        <x:f>IF(L8=0,"",I8/L8)</x:f>
        <x:v>1.0877734684787697</x:v>
      </x:c>
      <x:c r="O8" s="34" t="n">
        <x:f>IF(L8=0,"",M8/L8)</x:f>
        <x:v>0.08777346847876964</x:v>
      </x:c>
    </x:row>
    <x:row r="9" ht="18" customHeight="1">
      <x:c r="A9" s="24" t="str">
        <x:v>Medium pelagics (30 - 89 cm)</x:v>
      </x:c>
      <x:c r="B9" s="33" t="n">
        <x:v>5</x:v>
      </x:c>
      <x:c r="C9" s="33" t="n">
        <x:v>5</x:v>
      </x:c>
      <x:c r="D9" s="31" t="n">
        <x:v>2750.9362941549</x:v>
      </x:c>
      <x:c r="E9" s="31" t="n">
        <x:v>2750.9362941549</x:v>
      </x:c>
      <x:c r="F9" s="32" t="n">
        <x:v>0</x:v>
      </x:c>
      <x:c r="G9" s="34" t="n">
        <x:v>1</x:v>
      </x:c>
      <x:c r="H9" s="32" t="n">
        <x:f>IF(E9=0,"",I9/E9)</x:f>
        <x:v>866.7014738532152</x:v>
      </x:c>
      <x:c r="I9" s="31" t="n">
        <x:f>IF(C9=0,"",SUMIF('Species'!$G$2:$G$29,A9,'Species'!$U$2:$U$29))</x:f>
        <x:v>2384240.540620354</x:v>
      </x:c>
      <x:c r="J9" s="32" t="n">
        <x:v>3.8500748936678764</x:v>
      </x:c>
      <x:c r="K9" s="32" t="n">
        <x:f>IF(J9="","",(1/'Metadata'!$B$5)^(J9-1))</x:f>
        <x:v>708.0678794845898</x:v>
      </x:c>
      <x:c r="L9" s="31" t="n">
        <x:f>IF(E9=0,"",E9*K9)</x:f>
        <x:v>1947849.628399456</x:v>
      </x:c>
      <x:c r="M9" s="31" t="n">
        <x:f>IF(E9=0,"",I9-L9)</x:f>
        <x:v>436390.9122208981</x:v>
      </x:c>
      <x:c r="N9" s="32" t="n">
        <x:f>IF(L9=0,"",I9/L9)</x:f>
        <x:v>1.2240372695398871</x:v>
      </x:c>
      <x:c r="O9" s="34" t="n">
        <x:f>IF(L9=0,"",M9/L9)</x:f>
        <x:v>0.22403726953988723</x:v>
      </x:c>
    </x:row>
    <x:row r="10" ht="18" customHeight="1">
      <x:c r="A10" s="24" t="str">
        <x:v>Medium reef assoc. fish (30 - 89 cm)</x:v>
      </x:c>
      <x:c r="B10" s="33" t="n">
        <x:v>2</x:v>
      </x:c>
      <x:c r="C10" s="33" t="n">
        <x:v>2</x:v>
      </x:c>
      <x:c r="D10" s="31" t="n">
        <x:v>527.8670123261</x:v>
      </x:c>
      <x:c r="E10" s="31" t="n">
        <x:v>527.8670123261</x:v>
      </x:c>
      <x:c r="F10" s="32" t="n">
        <x:v>0</x:v>
      </x:c>
      <x:c r="G10" s="34" t="n">
        <x:v>1</x:v>
      </x:c>
      <x:c r="H10" s="32" t="n">
        <x:f>IF(E10=0,"",I10/E10)</x:f>
        <x:v>245.72115110545133</x:v>
      </x:c>
      <x:c r="I10" s="31" t="n">
        <x:f>IF(C10=0,"",SUMIF('Species'!$G$2:$G$29,A10,'Species'!$U$2:$U$29))</x:f>
        <x:v>129708.08989936477</x:v>
      </x:c>
      <x:c r="J10" s="32" t="n">
        <x:v>3.304041896131188</x:v>
      </x:c>
      <x:c r="K10" s="32" t="n">
        <x:f>IF(J10="","",(1/'Metadata'!$B$5)^(J10-1))</x:f>
        <x:v>201.39185220174008</x:v>
      </x:c>
      <x:c r="L10" s="31" t="n">
        <x:f>IF(E10=0,"",E10*K10)</x:f>
        <x:v>106308.11532855206</x:v>
      </x:c>
      <x:c r="M10" s="31" t="n">
        <x:f>IF(E10=0,"",I10-L10)</x:f>
        <x:v>23399.974570812716</x:v>
      </x:c>
      <x:c r="N10" s="32" t="n">
        <x:f>IF(L10=0,"",I10/L10)</x:f>
        <x:v>1.2201146591536647</x:v>
      </x:c>
      <x:c r="O10" s="34" t="n">
        <x:f>IF(L10=0,"",M10/L10)</x:f>
        <x:v>0.2201146591536647</x:v>
      </x:c>
    </x:row>
    <x:row r="11" ht="18" customHeight="1">
      <x:c r="A11" s="24" t="str">
        <x:v>Other demersal invertebrates</x:v>
      </x:c>
      <x:c r="B11" s="33" t="n">
        <x:v>2</x:v>
      </x:c>
      <x:c r="C11" s="33" t="n">
        <x:v>2</x:v>
      </x:c>
      <x:c r="D11" s="31" t="n">
        <x:v>3114.0633569833</x:v>
      </x:c>
      <x:c r="E11" s="31" t="n">
        <x:v>3114.0633569833</x:v>
      </x:c>
      <x:c r="F11" s="32" t="n">
        <x:v>0</x:v>
      </x:c>
      <x:c r="G11" s="34" t="n">
        <x:v>1</x:v>
      </x:c>
      <x:c r="H11" s="32" t="n">
        <x:f>IF(E11=0,"",I11/E11)</x:f>
        <x:v>46.177919033466544</x:v>
      </x:c>
      <x:c r="I11" s="31" t="n">
        <x:f>IF(C11=0,"",SUMIF('Species'!$G$2:$G$29,A11,'Species'!$U$2:$U$29))</x:f>
        <x:v>143800.96556385985</x:v>
      </x:c>
      <x:c r="J11" s="32" t="n">
        <x:v>2.657003320731065</x:v>
      </x:c>
      <x:c r="K11" s="32" t="n">
        <x:f>IF(J11="","",(1/'Metadata'!$B$5)^(J11-1))</x:f>
        <x:v>45.39450876217534</x:v>
      </x:c>
      <x:c r="L11" s="31" t="n">
        <x:f>IF(E11=0,"",E11*K11)</x:f>
        <x:v>141361.37634454758</x:v>
      </x:c>
      <x:c r="M11" s="31" t="n">
        <x:f>IF(E11=0,"",I11-L11)</x:f>
        <x:v>2439.589219312271</x:v>
      </x:c>
      <x:c r="N11" s="32" t="n">
        <x:f>IF(L11=0,"",I11/L11)</x:f>
        <x:v>1.017257820222167</x:v>
      </x:c>
      <x:c r="O11" s="34" t="n">
        <x:f>IF(L11=0,"",M11/L11)</x:f>
        <x:v>0.017257820222166844</x:v>
      </x:c>
    </x:row>
    <x:row r="12" ht="18" customHeight="1">
      <x:c r="A12" s="24" t="str">
        <x:v>Shrimps</x:v>
      </x:c>
      <x:c r="B12" s="33" t="n">
        <x:v>3</x:v>
      </x:c>
      <x:c r="C12" s="33" t="n">
        <x:v>3</x:v>
      </x:c>
      <x:c r="D12" s="31" t="n">
        <x:v>2063.1152140821</x:v>
      </x:c>
      <x:c r="E12" s="31" t="n">
        <x:v>2063.1152140821</x:v>
      </x:c>
      <x:c r="F12" s="32" t="n">
        <x:v>0</x:v>
      </x:c>
      <x:c r="G12" s="34" t="n">
        <x:v>1</x:v>
      </x:c>
      <x:c r="H12" s="32" t="n">
        <x:f>IF(E12=0,"",I12/E12)</x:f>
        <x:v>113.46157628950648</x:v>
      </x:c>
      <x:c r="I12" s="31" t="n">
        <x:f>IF(C12=0,"",SUMIF('Species'!$G$2:$G$29,A12,'Species'!$U$2:$U$29))</x:f>
        <x:v>234084.30425661767</x:v>
      </x:c>
      <x:c r="J12" s="32" t="n">
        <x:v>2.9646239002614765</x:v>
      </x:c>
      <x:c r="K12" s="32" t="n">
        <x:f>IF(J12="","",(1/'Metadata'!$B$5)^(J12-1))</x:f>
        <x:v>92.17728246207763</x:v>
      </x:c>
      <x:c r="L12" s="31" t="n">
        <x:f>IF(E12=0,"",E12*K12)</x:f>
        <x:v>190172.3538402555</x:v>
      </x:c>
      <x:c r="M12" s="31" t="n">
        <x:f>IF(E12=0,"",I12-L12)</x:f>
        <x:v>43911.950416362175</x:v>
      </x:c>
      <x:c r="N12" s="32" t="n">
        <x:f>IF(L12=0,"",I12/L12)</x:f>
        <x:v>1.230906067730792</x:v>
      </x:c>
      <x:c r="O12" s="34" t="n">
        <x:f>IF(L12=0,"",M12/L12)</x:f>
        <x:v>0.23090606773079198</x:v>
      </x:c>
    </x:row>
    <x:row r="13" ht="18" customHeight="1">
      <x:c r="A13" s="24" t="str">
        <x:v>Small demersals (&lt;30 cm)</x:v>
      </x:c>
      <x:c r="B13" s="33" t="n">
        <x:v>1</x:v>
      </x:c>
      <x:c r="C13" s="33" t="n">
        <x:v>1</x:v>
      </x:c>
      <x:c r="D13" s="31" t="n">
        <x:v>202.75</x:v>
      </x:c>
      <x:c r="E13" s="31" t="n">
        <x:v>202.75</x:v>
      </x:c>
      <x:c r="F13" s="32" t="n">
        <x:v>0</x:v>
      </x:c>
      <x:c r="G13" s="34" t="n">
        <x:v>1</x:v>
      </x:c>
      <x:c r="H13" s="32" t="n">
        <x:f>IF(E13=0,"",I13/E13)</x:f>
        <x:v>165.9586907437561</x:v>
      </x:c>
      <x:c r="I13" s="31" t="n">
        <x:f>IF(C13=0,"",SUMIF('Species'!$G$2:$G$29,A13,'Species'!$U$2:$U$29))</x:f>
        <x:v>33648.12454829655</x:v>
      </x:c>
      <x:c r="J13" s="32" t="n">
        <x:v>3.22</x:v>
      </x:c>
      <x:c r="K13" s="32" t="n">
        <x:f>IF(J13="","",(1/'Metadata'!$B$5)^(J13-1))</x:f>
        <x:v>165.95869074375614</x:v>
      </x:c>
      <x:c r="L13" s="31" t="n">
        <x:f>IF(E13=0,"",E13*K13)</x:f>
        <x:v>33648.12454829655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pelagics (&lt;30 cm)</x:v>
      </x:c>
      <x:c r="B14" s="33" t="n">
        <x:v>4</x:v>
      </x:c>
      <x:c r="C14" s="33" t="n">
        <x:v>4</x:v>
      </x:c>
      <x:c r="D14" s="31" t="n">
        <x:v>9974.300814136102</x:v>
      </x:c>
      <x:c r="E14" s="31" t="n">
        <x:v>9974.300814136102</x:v>
      </x:c>
      <x:c r="F14" s="32" t="n">
        <x:v>0</x:v>
      </x:c>
      <x:c r="G14" s="34" t="n">
        <x:v>1</x:v>
      </x:c>
      <x:c r="H14" s="32" t="n">
        <x:f>IF(E14=0,"",I14/E14)</x:f>
        <x:v>104.56863006797975</x:v>
      </x:c>
      <x:c r="I14" s="31" t="n">
        <x:f>IF(C14=0,"",SUMIF('Species'!$G$2:$G$29,A14,'Species'!$U$2:$U$29))</x:f>
        <x:v>1042998.9720201474</x:v>
      </x:c>
      <x:c r="J14" s="32" t="n">
        <x:v>3.0172612046605427</x:v>
      </x:c>
      <x:c r="K14" s="32" t="n">
        <x:f>IF(J14="","",(1/'Metadata'!$B$5)^(J14-1))</x:f>
        <x:v>104.05458097356488</x:v>
      </x:c>
      <x:c r="L14" s="31" t="n">
        <x:f>IF(E14=0,"",E14*K14)</x:f>
        <x:v>1037871.6917192192</x:v>
      </x:c>
      <x:c r="M14" s="31" t="n">
        <x:f>IF(E14=0,"",I14-L14)</x:f>
        <x:v>5127.280300928163</x:v>
      </x:c>
      <x:c r="N14" s="32" t="n">
        <x:f>IF(L14=0,"",I14/L14)</x:f>
        <x:v>1.0049401870595727</x:v>
      </x:c>
      <x:c r="O14" s="34" t="n">
        <x:f>IF(L14=0,"",M14/L14)</x:f>
        <x:v>0.004940187059572748</x:v>
      </x:c>
    </x:row>
    <x:row r="15" ht="18" customHeight="1">
      <x:c r="A15" s="24" t="str">
        <x:v>Small reef assoc. fish (&lt;30 cm)</x:v>
      </x:c>
      <x:c r="B15" s="33" t="n">
        <x:v>1</x:v>
      </x:c>
      <x:c r="C15" s="33" t="n">
        <x:v>1</x:v>
      </x:c>
      <x:c r="D15" s="31" t="n">
        <x:v>21262.244305961998</x:v>
      </x:c>
      <x:c r="E15" s="31" t="n">
        <x:v>21262.244305961998</x:v>
      </x:c>
      <x:c r="F15" s="32" t="n">
        <x:v>0</x:v>
      </x:c>
      <x:c r="G15" s="34" t="n">
        <x:v>1</x:v>
      </x:c>
      <x:c r="H15" s="32" t="n">
        <x:f>IF(E15=0,"",I15/E15)</x:f>
        <x:v>128.82495516931337</x:v>
      </x:c>
      <x:c r="I15" s="31" t="n">
        <x:f>IF(C15=0,"",SUMIF('Species'!$G$2:$G$29,A15,'Species'!$U$2:$U$29))</x:f>
        <x:v>2739107.669514543</x:v>
      </x:c>
      <x:c r="J15" s="32" t="n">
        <x:v>3.11</x:v>
      </x:c>
      <x:c r="K15" s="32" t="n">
        <x:f>IF(J15="","",(1/'Metadata'!$B$5)^(J15-1))</x:f>
        <x:v>128.82495516931337</x:v>
      </x:c>
      <x:c r="L15" s="31" t="n">
        <x:f>IF(E15=0,"",E15*K15)</x:f>
        <x:v>2739107.669514543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to medium flatfishes (&lt;90 cm)</x:v>
      </x:c>
      <x:c r="B16" s="33" t="n">
        <x:v>1</x:v>
      </x:c>
      <x:c r="C16" s="33" t="n">
        <x:v>1</x:v>
      </x:c>
      <x:c r="D16" s="31" t="n">
        <x:v>2.6361321199</x:v>
      </x:c>
      <x:c r="E16" s="31" t="n">
        <x:v>2.6361321199</x:v>
      </x:c>
      <x:c r="F16" s="32" t="n">
        <x:v>0</x:v>
      </x:c>
      <x:c r="G16" s="34" t="n">
        <x:v>1</x:v>
      </x:c>
      <x:c r="H16" s="32" t="n">
        <x:f>IF(E16=0,"",I16/E16)</x:f>
        <x:v>208.92961308540387</x:v>
      </x:c>
      <x:c r="I16" s="31" t="n">
        <x:f>IF(C16=0,"",SUMIF('Species'!$G$2:$G$29,A16,'Species'!$U$2:$U$29))</x:f>
        <x:v>550.7660638527125</x:v>
      </x:c>
      <x:c r="J16" s="32" t="n">
        <x:v>3.32</x:v>
      </x:c>
      <x:c r="K16" s="32" t="n">
        <x:f>IF(J16="","",(1/'Metadata'!$B$5)^(J16-1))</x:f>
        <x:v>208.92961308540387</x:v>
      </x:c>
      <x:c r="L16" s="31" t="n">
        <x:f>IF(E16=0,"",E16*K16)</x:f>
        <x:v>550.7660638527125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68dbdeba3d743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EEZ_804</x:v>
      </x:c>
      <x:c r="B2" s="24" t="str">
        <x:v>raw_filtered_tonnes</x:v>
      </x:c>
      <x:c r="C2" s="24" t="n">
        <x:v>65903.7240236569</x:v>
      </x:c>
      <x:c r="D2" s="24" t="str">
        <x:v>tonnes</x:v>
      </x:c>
    </x:row>
    <x:row r="3" ht="18" customHeight="1">
      <x:c r="A3" s="24" t="str">
        <x:v>EEZ_804</x:v>
      </x:c>
      <x:c r="B3" s="24" t="str">
        <x:v>species_catch_tonnes</x:v>
      </x:c>
      <x:c r="C3" s="24" t="n">
        <x:v>65903.72402365689</x:v>
      </x:c>
      <x:c r="D3" s="24" t="str">
        <x:v>tonnes</x:v>
      </x:c>
    </x:row>
    <x:row r="4" ht="18" customHeight="1">
      <x:c r="A4" s="24" t="str">
        <x:v>EEZ_804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EEZ_804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EEZ_804</x:v>
      </x:c>
      <x:c r="B6" s="24" t="str">
        <x:v>matched_catch_tonnes</x:v>
      </x:c>
      <x:c r="C6" s="24" t="n">
        <x:v>65903.72402365689</x:v>
      </x:c>
      <x:c r="D6" s="24" t="str">
        <x:v>tonnes</x:v>
      </x:c>
    </x:row>
    <x:row r="7" ht="18" customHeight="1">
      <x:c r="A7" s="24" t="str">
        <x:v>EEZ_804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EEZ_804</x:v>
      </x:c>
      <x:c r="B8" s="24" t="str">
        <x:v>taxa_count</x:v>
      </x:c>
      <x:c r="C8" s="24" t="n">
        <x:v>28</x:v>
      </x:c>
      <x:c r="D8" s="24" t="str">
        <x:v>count</x:v>
      </x:c>
    </x:row>
    <x:row r="9" ht="18" customHeight="1">
      <x:c r="A9" s="24" t="str">
        <x:v>EEZ_804</x:v>
      </x:c>
      <x:c r="B9" s="24" t="str">
        <x:v>matched_taxa_count</x:v>
      </x:c>
      <x:c r="C9" s="24" t="n">
        <x:v>28</x:v>
      </x:c>
      <x:c r="D9" s="24" t="str">
        <x:v>count</x:v>
      </x:c>
    </x:row>
    <x:row r="10" ht="18" customHeight="1">
      <x:c r="A10" s="24" t="str">
        <x:v>EEZ_804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EEZ_804</x:v>
      </x:c>
      <x:c r="B11" s="24" t="str">
        <x:v>species_ppr</x:v>
      </x:c>
      <x:c r="C11" s="24" t="n">
        <x:v>24463611.249558166</x:v>
      </x:c>
      <x:c r="D11" s="24" t="str">
        <x:v>tonnes_primary_production_equivalent</x:v>
      </x:c>
    </x:row>
    <x:row r="12" ht="18" customHeight="1">
      <x:c r="A12" s="24" t="str">
        <x:v>EEZ_804</x:v>
      </x:c>
      <x:c r="B12" s="24" t="str">
        <x:v>commercial_ppr</x:v>
      </x:c>
      <x:c r="C12" s="24" t="n">
        <x:v>24463611.249558166</x:v>
      </x:c>
      <x:c r="D12" s="24" t="str">
        <x:v>tonnes_primary_production_equivalent</x:v>
      </x:c>
    </x:row>
    <x:row r="13" ht="18" customHeight="1">
      <x:c r="A13" s="24" t="str">
        <x:v>EEZ_804</x:v>
      </x:c>
      <x:c r="B13" s="24" t="str">
        <x:v>functional_ppr</x:v>
      </x:c>
      <x:c r="C13" s="24" t="n">
        <x:v>24463611.249558173</x:v>
      </x:c>
      <x:c r="D13" s="24" t="str">
        <x:v>tonnes_primary_production_equivalent</x:v>
      </x:c>
    </x:row>
    <x:row r="14" ht="18" customHeight="1">
      <x:c r="A14" s="24" t="str">
        <x:v>EEZ_804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EEZ_804</x:v>
      </x:c>
      <x:c r="B15" s="24" t="str">
        <x:v>functional_ppr_difference</x:v>
      </x:c>
      <x:c r="C15" s="24" t="n">
        <x:v>7.450580596923828e-9</x:v>
      </x:c>
      <x:c r="D15" s="24" t="str">
        <x:v>tonnes_primary_production_equivalent</x:v>
      </x:c>
    </x:row>
    <x:row r="16" ht="18" customHeight="1">
      <x:c r="A16" s="24" t="str">
        <x:v>EEZ_804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EEZ_804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EEZ_804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EEZ_804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c3a785c94b442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EEZ_804 - Ukraine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EEZ_804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