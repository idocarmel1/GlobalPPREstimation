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271769bc6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fdeec65a3f54fd7"/>
    <x:sheet xmlns:r="http://schemas.openxmlformats.org/officeDocument/2006/relationships" name="Commercial" sheetId="2" r:id="Re18ab05db2f64482"/>
    <x:sheet xmlns:r="http://schemas.openxmlformats.org/officeDocument/2006/relationships" name="Functional" sheetId="3" r:id="R751538058f254cc6"/>
    <x:sheet xmlns:r="http://schemas.openxmlformats.org/officeDocument/2006/relationships" name="Missing TL" sheetId="4" r:id="R8c6886ea22da4e8c"/>
    <x:sheet xmlns:r="http://schemas.openxmlformats.org/officeDocument/2006/relationships" name="Validation" sheetId="5" r:id="R6a432b86d3d54277"/>
    <x:sheet xmlns:r="http://schemas.openxmlformats.org/officeDocument/2006/relationships" name="Metadata" sheetId="6" r:id="R0879b8d56cd2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2d785fd6c4409" /><Relationship Type="http://schemas.openxmlformats.org/officeDocument/2006/relationships/theme" Target="/xl/theme/theme1.xml" Id="R784a997a9b234834" /><Relationship Type="http://schemas.microsoft.com/office/2022/11/relationships/FeaturePropertyBag" Target="/xl/featurePropertyBag/featurePropertyBag.xml" Id="R27930e9955f249c3" /><Relationship Type="http://schemas.openxmlformats.org/officeDocument/2006/relationships/sharedStrings" Target="/xl/sharedStrings.xml" Id="Rab1d889e9dfe4400" /><Relationship Type="http://schemas.openxmlformats.org/officeDocument/2006/relationships/worksheet" Target="/xl/worksheets/sheet1.xml" Id="R1fdeec65a3f54fd7" /><Relationship Type="http://schemas.openxmlformats.org/officeDocument/2006/relationships/worksheet" Target="/xl/worksheets/sheet2.xml" Id="Re18ab05db2f64482" /><Relationship Type="http://schemas.openxmlformats.org/officeDocument/2006/relationships/worksheet" Target="/xl/worksheets/sheet3.xml" Id="R751538058f254cc6" /><Relationship Type="http://schemas.openxmlformats.org/officeDocument/2006/relationships/worksheet" Target="/xl/worksheets/sheet4.xml" Id="R8c6886ea22da4e8c" /><Relationship Type="http://schemas.openxmlformats.org/officeDocument/2006/relationships/worksheet" Target="/xl/worksheets/sheet5.xml" Id="R6a432b86d3d54277" /><Relationship Type="http://schemas.openxmlformats.org/officeDocument/2006/relationships/worksheet" Target="/xl/worksheets/sheet6.xml" Id="R0879b8d56cd244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6SpeciesTable" displayName="EEZ956SpeciesTable" ref="A1:U70" headerRowCount="1" totalsRowCount="0" totalsRowShown="0">
  <x:autoFilter ref="A1:U7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6CommercialTable" displayName="EEZ956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6FunctionalTable" displayName="EEZ956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6ValidationTable" displayName="EEZ95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789dc5685848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1869c3b2f942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8a988bab4c4f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43a78f1eed44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EEZ_956</x:v>
      </x:c>
      <x:c r="B2" s="24" t="str">
        <x:v>Thailand (Andaman Sea)</x:v>
      </x:c>
      <x:c r="C2" s="24" t="str">
        <x:v>EEZ</x:v>
      </x:c>
      <x:c r="D2" s="30" t="n">
        <x:v>2019</x:v>
      </x:c>
      <x:c r="E2" s="24" t="str">
        <x:v>Leiognathidae</x:v>
      </x:c>
      <x:c r="F2" s="24" t="str">
        <x:v>Slipmouths, ponyfishes</x:v>
      </x:c>
      <x:c r="G2" s="24" t="str">
        <x:v>Small benthopelagics (&lt;30 cm)</x:v>
      </x:c>
      <x:c r="H2" s="24" t="str">
        <x:v>Perch-likes</x:v>
      </x:c>
      <x:c r="I2" s="31" t="n">
        <x:v>38731.1196075728</x:v>
      </x:c>
      <x:c r="J2" s="31" t="n">
        <x:v>38267.5382348527</x:v>
      </x:c>
      <x:c r="K2" s="31" t="n">
        <x:v>463.5813727201</x:v>
      </x:c>
      <x:c r="L2" s="31" t="n">
        <x:v>33799.1780963606</x:v>
      </x:c>
      <x:c r="M2" s="31" t="n">
        <x:v>4931.9415112122</x:v>
      </x:c>
      <x:c r="N2" s="24" t="str">
        <x:v>leiognathidae</x:v>
      </x:c>
      <x:c r="O2" s="32" t="n">
        <x:v>3.24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Leiognathidae</x:v>
      </x:c>
      <x:c r="T2" s="32" t="n">
        <x:f>IF(O2="","",(1/'Metadata'!$B$5)^(O2-1))</x:f>
        <x:v>173.78008287493762</x:v>
      </x:c>
      <x:c r="U2" s="31" t="n">
        <x:f>IF(T2="","",I2*T2)</x:f>
        <x:v>6730697.1752431225</x:v>
      </x:c>
    </x:row>
    <x:row r="3" ht="18" customHeight="1">
      <x:c r="A3" s="24" t="str">
        <x:v>EEZ_956</x:v>
      </x:c>
      <x:c r="B3" s="24" t="str">
        <x:v>Thailand (Andaman Sea)</x:v>
      </x:c>
      <x:c r="C3" s="24" t="str">
        <x:v>EEZ</x:v>
      </x:c>
      <x:c r="D3" s="30" t="n">
        <x:v>2019</x:v>
      </x:c>
      <x:c r="E3" s="24" t="str">
        <x:v>Nemipteridae</x:v>
      </x:c>
      <x:c r="F3" s="24" t="str">
        <x:v>Threadfins, whiptail breams</x:v>
      </x:c>
      <x:c r="G3" s="24" t="str">
        <x:v>Small demersals (&lt;30 cm)</x:v>
      </x:c>
      <x:c r="H3" s="24" t="str">
        <x:v>Perch-likes</x:v>
      </x:c>
      <x:c r="I3" s="31" t="n">
        <x:v>37453.2332144185</x:v>
      </x:c>
      <x:c r="J3" s="31" t="n">
        <x:v>36836.6584854045</x:v>
      </x:c>
      <x:c r="K3" s="31" t="n">
        <x:v>616.574729014</x:v>
      </x:c>
      <x:c r="L3" s="31" t="n">
        <x:v>33489.6562060628</x:v>
      </x:c>
      <x:c r="M3" s="31" t="n">
        <x:v>3963.5770083557</x:v>
      </x:c>
      <x:c r="N3" s="24" t="str">
        <x:v>nemipteridae</x:v>
      </x:c>
      <x:c r="O3" s="32" t="n">
        <x:v>3.51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Nemipteridae</x:v>
      </x:c>
      <x:c r="T3" s="32" t="n">
        <x:f>IF(O3="","",(1/'Metadata'!$B$5)^(O3-1))</x:f>
        <x:v>323.5936569296281</x:v>
      </x:c>
      <x:c r="U3" s="31" t="n">
        <x:f>IF(T3="","",I3*T3)</x:f>
        <x:v>12119628.699691892</x:v>
      </x:c>
    </x:row>
    <x:row r="4" ht="18" customHeight="1">
      <x:c r="A4" s="24" t="str">
        <x:v>EEZ_956</x:v>
      </x:c>
      <x:c r="B4" s="24" t="str">
        <x:v>Thailand (Andaman Sea)</x:v>
      </x:c>
      <x:c r="C4" s="24" t="str">
        <x:v>EEZ</x:v>
      </x:c>
      <x:c r="D4" s="30" t="n">
        <x:v>2019</x:v>
      </x:c>
      <x:c r="E4" s="24" t="str">
        <x:v>Decapterus russelli</x:v>
      </x:c>
      <x:c r="F4" s="24" t="str">
        <x:v>Indian scad</x:v>
      </x:c>
      <x:c r="G4" s="24" t="str">
        <x:v>Medium pelagics (30 - 89 cm)</x:v>
      </x:c>
      <x:c r="H4" s="24" t="str">
        <x:v>Perch-likes</x:v>
      </x:c>
      <x:c r="I4" s="31" t="n">
        <x:v>35528.3508384426</x:v>
      </x:c>
      <x:c r="J4" s="31" t="n">
        <x:v>35528.3508384426</x:v>
      </x:c>
      <x:c r="K4" s="31" t="n">
        <x:v>0</x:v>
      </x:c>
      <x:c r="L4" s="31" t="n">
        <x:v>22622.9801701775</x:v>
      </x:c>
      <x:c r="M4" s="31" t="n">
        <x:v>12905.3706682651</x:v>
      </x:c>
      <x:c r="N4" s="24" t="str">
        <x:v>decapterus russelli</x:v>
      </x:c>
      <x:c r="O4" s="32" t="n">
        <x:v>3.68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Decapterus russelli</x:v>
      </x:c>
      <x:c r="T4" s="32" t="n">
        <x:f>IF(O4="","",(1/'Metadata'!$B$5)^(O4-1))</x:f>
        <x:v>478.6300923226385</x:v>
      </x:c>
      <x:c r="U4" s="31" t="n">
        <x:f>IF(T4="","",I4*T4)</x:f>
        <x:v>17004937.841874875</x:v>
      </x:c>
    </x:row>
    <x:row r="5" ht="18" customHeight="1">
      <x:c r="A5" s="24" t="str">
        <x:v>EEZ_956</x:v>
      </x:c>
      <x:c r="B5" s="24" t="str">
        <x:v>Thailand (Andaman Sea)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31675.093027628</x:v>
      </x:c>
      <x:c r="J5" s="31" t="n">
        <x:v>31445.2578954214</x:v>
      </x:c>
      <x:c r="K5" s="31" t="n">
        <x:v>229.8351322066</x:v>
      </x:c>
      <x:c r="L5" s="31" t="n">
        <x:v>18105.4705301334</x:v>
      </x:c>
      <x:c r="M5" s="31" t="n">
        <x:v>13569.6224974946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35540038.91873005</x:v>
      </x:c>
    </x:row>
    <x:row r="6" ht="18" customHeight="1">
      <x:c r="A6" s="24" t="str">
        <x:v>EEZ_956</x:v>
      </x:c>
      <x:c r="B6" s="24" t="str">
        <x:v>Thailand (Andaman Sea)</x:v>
      </x:c>
      <x:c r="C6" s="24" t="str">
        <x:v>EEZ</x:v>
      </x:c>
      <x:c r="D6" s="30" t="n">
        <x:v>2019</x:v>
      </x:c>
      <x:c r="E6" s="24" t="str">
        <x:v>Engraulidae</x:v>
      </x:c>
      <x:c r="F6" s="24" t="str">
        <x:v>Anchovies, round herrings</x:v>
      </x:c>
      <x:c r="G6" s="24" t="str">
        <x:v>Small pelagics (&lt;30 cm)</x:v>
      </x:c>
      <x:c r="H6" s="24" t="str">
        <x:v>Anchovies</x:v>
      </x:c>
      <x:c r="I6" s="31" t="n">
        <x:v>26768.850256618098</x:v>
      </x:c>
      <x:c r="J6" s="31" t="n">
        <x:v>26768.850256618098</x:v>
      </x:c>
      <x:c r="K6" s="31" t="n">
        <x:v>0</x:v>
      </x:c>
      <x:c r="L6" s="31" t="n">
        <x:v>24779.1339525029</x:v>
      </x:c>
      <x:c r="M6" s="31" t="n">
        <x:v>1989.7163041152</x:v>
      </x:c>
      <x:c r="N6" s="24" t="str">
        <x:v>engraulidae</x:v>
      </x:c>
      <x:c r="O6" s="32" t="n">
        <x:v>3.2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Engraulidae</x:v>
      </x:c>
      <x:c r="T6" s="32" t="n">
        <x:f>IF(O6="","",(1/'Metadata'!$B$5)^(O6-1))</x:f>
        <x:v>158.48931924611142</x:v>
      </x:c>
      <x:c r="U6" s="31" t="n">
        <x:f>IF(T6="","",I6*T6)</x:f>
        <x:v>4242576.854172497</x:v>
      </x:c>
    </x:row>
    <x:row r="7" ht="18" customHeight="1">
      <x:c r="A7" s="24" t="str">
        <x:v>EEZ_956</x:v>
      </x:c>
      <x:c r="B7" s="24" t="str">
        <x:v>Thailand (Andaman Sea)</x:v>
      </x:c>
      <x:c r="C7" s="24" t="str">
        <x:v>EEZ</x:v>
      </x:c>
      <x:c r="D7" s="30" t="n">
        <x:v>2019</x:v>
      </x:c>
      <x:c r="E7" s="24" t="str">
        <x:v>Rastrelliger kanagurta</x:v>
      </x:c>
      <x:c r="F7" s="24" t="str">
        <x:v>Indian mackerel</x:v>
      </x:c>
      <x:c r="G7" s="24" t="str">
        <x:v>Medium pelagics (30 - 89 cm)</x:v>
      </x:c>
      <x:c r="H7" s="24" t="str">
        <x:v>Perch-likes</x:v>
      </x:c>
      <x:c r="I7" s="31" t="n">
        <x:v>25622.4668644579</x:v>
      </x:c>
      <x:c r="J7" s="31" t="n">
        <x:v>25622.4668644579</x:v>
      </x:c>
      <x:c r="K7" s="31" t="n">
        <x:v>0</x:v>
      </x:c>
      <x:c r="L7" s="31" t="n">
        <x:v>21529.0608559266</x:v>
      </x:c>
      <x:c r="M7" s="31" t="n">
        <x:v>4093.4060085313</x:v>
      </x:c>
      <x:c r="N7" s="24" t="str">
        <x:v>rastrelliger kanagurta</x:v>
      </x:c>
      <x:c r="O7" s="32" t="n">
        <x:v>3.19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Rastrelliger kanagurta</x:v>
      </x:c>
      <x:c r="T7" s="32" t="n">
        <x:f>IF(O7="","",(1/'Metadata'!$B$5)^(O7-1))</x:f>
        <x:v>154.88166189124811</x:v>
      </x:c>
      <x:c r="U7" s="31" t="n">
        <x:f>IF(T7="","",I7*T7)</x:f>
        <x:v>3968450.249720677</x:v>
      </x:c>
    </x:row>
    <x:row r="8" ht="18" customHeight="1">
      <x:c r="A8" s="24" t="str">
        <x:v>EEZ_956</x:v>
      </x:c>
      <x:c r="B8" s="24" t="str">
        <x:v>Thailand (Andaman Sea)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23751.6517835122</x:v>
      </x:c>
      <x:c r="J8" s="31" t="n">
        <x:v>23521.1264557658</x:v>
      </x:c>
      <x:c r="K8" s="31" t="n">
        <x:v>230.5253277464</x:v>
      </x:c>
      <x:c r="L8" s="31" t="n">
        <x:v>19909.6267507978</x:v>
      </x:c>
      <x:c r="M8" s="31" t="n">
        <x:v>3842.0250327144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4525783.946022417</x:v>
      </x:c>
    </x:row>
    <x:row r="9" ht="18" customHeight="1">
      <x:c r="A9" s="24" t="str">
        <x:v>EEZ_956</x:v>
      </x:c>
      <x:c r="B9" s="24" t="str">
        <x:v>Thailand (Andaman Sea)</x:v>
      </x:c>
      <x:c r="C9" s="24" t="str">
        <x:v>EEZ</x:v>
      </x:c>
      <x:c r="D9" s="30" t="n">
        <x:v>2019</x:v>
      </x:c>
      <x:c r="E9" s="24" t="str">
        <x:v>Synodontidae</x:v>
      </x:c>
      <x:c r="F9" s="24" t="str">
        <x:v>Lizardfishes, sauries</x:v>
      </x:c>
      <x:c r="G9" s="24" t="str">
        <x:v>Medium demersals (30 - 89 cm)</x:v>
      </x:c>
      <x:c r="H9" s="24" t="str">
        <x:v>Other fishes &amp; inverts</x:v>
      </x:c>
      <x:c r="I9" s="31" t="n">
        <x:v>20674.0457217762</x:v>
      </x:c>
      <x:c r="J9" s="31" t="n">
        <x:v>20347.8132719147</x:v>
      </x:c>
      <x:c r="K9" s="31" t="n">
        <x:v>326.2324498615</x:v>
      </x:c>
      <x:c r="L9" s="31" t="n">
        <x:v>13426.9527628739</x:v>
      </x:c>
      <x:c r="M9" s="31" t="n">
        <x:v>7247.092958902301</x:v>
      </x:c>
      <x:c r="N9" s="24" t="str">
        <x:v>synodontidae</x:v>
      </x:c>
      <x:c r="O9" s="32" t="n">
        <x:v>4.3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Synodontidae</x:v>
      </x:c>
      <x:c r="T9" s="32" t="n">
        <x:f>IF(O9="","",(1/'Metadata'!$B$5)^(O9-1))</x:f>
        <x:v>1995.2623149688789</x:v>
      </x:c>
      <x:c r="U9" s="31" t="n">
        <x:f>IF(T9="","",I9*T9)</x:f>
        <x:v>41250144.32660363</x:v>
      </x:c>
    </x:row>
    <x:row r="10" ht="18" customHeight="1">
      <x:c r="A10" s="24" t="str">
        <x:v>EEZ_956</x:v>
      </x:c>
      <x:c r="B10" s="24" t="str">
        <x:v>Thailand (Andaman Sea)</x:v>
      </x:c>
      <x:c r="C10" s="24" t="str">
        <x:v>EEZ</x:v>
      </x:c>
      <x:c r="D10" s="30" t="n">
        <x:v>2019</x:v>
      </x:c>
      <x:c r="E10" s="24" t="str">
        <x:v>Loliginidae</x:v>
      </x:c>
      <x:c r="F10" s="24" t="str">
        <x:v>Common pencil squids</x:v>
      </x:c>
      <x:c r="G10" s="24" t="str">
        <x:v>Cephalopods</x:v>
      </x:c>
      <x:c r="H10" s="24" t="str">
        <x:v>Other fishes &amp; inverts</x:v>
      </x:c>
      <x:c r="I10" s="31" t="n">
        <x:v>18426.1425565047</x:v>
      </x:c>
      <x:c r="J10" s="31" t="n">
        <x:v>18426.1425565047</x:v>
      </x:c>
      <x:c r="K10" s="31" t="n">
        <x:v>0</x:v>
      </x:c>
      <x:c r="L10" s="31" t="n">
        <x:v>14714.4425644685</x:v>
      </x:c>
      <x:c r="M10" s="31" t="n">
        <x:v>3711.6999920361995</x:v>
      </x:c>
      <x:c r="N10" s="24" t="str">
        <x:v>loliginidae</x:v>
      </x:c>
      <x:c r="O10" s="32" t="n">
        <x:v>3.9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Loliginidae</x:v>
      </x:c>
      <x:c r="T10" s="32" t="n">
        <x:f>IF(O10="","",(1/'Metadata'!$B$5)^(O10-1))</x:f>
        <x:v>794.3282347242813</x:v>
      </x:c>
      <x:c r="U10" s="31" t="n">
        <x:f>IF(T10="","",I10*T10)</x:f>
        <x:v>14636405.289686333</x:v>
      </x:c>
    </x:row>
    <x:row r="11" ht="18" customHeight="1">
      <x:c r="A11" s="24" t="str">
        <x:v>EEZ_956</x:v>
      </x:c>
      <x:c r="B11" s="24" t="str">
        <x:v>Thailand (Andaman Sea)</x:v>
      </x:c>
      <x:c r="C11" s="24" t="str">
        <x:v>EEZ</x:v>
      </x:c>
      <x:c r="D11" s="30" t="n">
        <x:v>2019</x:v>
      </x:c>
      <x:c r="E11" s="24" t="str">
        <x:v>Selar crumenophthalmus</x:v>
      </x:c>
      <x:c r="F11" s="24" t="str">
        <x:v>Bigeye scad</x:v>
      </x:c>
      <x:c r="G11" s="24" t="str">
        <x:v>Medium pelagics (30 - 89 cm)</x:v>
      </x:c>
      <x:c r="H11" s="24" t="str">
        <x:v>Perch-likes</x:v>
      </x:c>
      <x:c r="I11" s="31" t="n">
        <x:v>18097.1429531195</x:v>
      </x:c>
      <x:c r="J11" s="31" t="n">
        <x:v>18097.1429531195</x:v>
      </x:c>
      <x:c r="K11" s="31" t="n">
        <x:v>0</x:v>
      </x:c>
      <x:c r="L11" s="31" t="n">
        <x:v>13831.2274772926</x:v>
      </x:c>
      <x:c r="M11" s="31" t="n">
        <x:v>4265.9154758269</x:v>
      </x:c>
      <x:c r="N11" s="24" t="str">
        <x:v>selar crumenophthalmus</x:v>
      </x:c>
      <x:c r="O11" s="32" t="n">
        <x:v>3.81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Selar crumenophthalmus</x:v>
      </x:c>
      <x:c r="T11" s="32" t="n">
        <x:f>IF(O11="","",(1/'Metadata'!$B$5)^(O11-1))</x:f>
        <x:v>645.6542290346556</x:v>
      </x:c>
      <x:c r="U11" s="31" t="n">
        <x:f>IF(T11="","",I11*T11)</x:f>
        <x:v>11684496.88112632</x:v>
      </x:c>
    </x:row>
    <x:row r="12" ht="18" customHeight="1">
      <x:c r="A12" s="24" t="str">
        <x:v>EEZ_956</x:v>
      </x:c>
      <x:c r="B12" s="24" t="str">
        <x:v>Thailand (Andaman Sea)</x:v>
      </x:c>
      <x:c r="C12" s="24" t="str">
        <x:v>EEZ</x:v>
      </x:c>
      <x:c r="D12" s="30" t="n">
        <x:v>2019</x:v>
      </x:c>
      <x:c r="E12" s="24" t="str">
        <x:v>Saurida</x:v>
      </x:c>
      <x:c r="F12" s="24" t="str">
        <x:v>Lizardfishes</x:v>
      </x:c>
      <x:c r="G12" s="24" t="str">
        <x:v>Medium demersals (30 - 89 cm)</x:v>
      </x:c>
      <x:c r="H12" s="24" t="str">
        <x:v>Other fishes &amp; inverts</x:v>
      </x:c>
      <x:c r="I12" s="31" t="n">
        <x:v>14062.7807929129</x:v>
      </x:c>
      <x:c r="J12" s="31" t="n">
        <x:v>14062.7807929129</x:v>
      </x:c>
      <x:c r="K12" s="31" t="n">
        <x:v>0</x:v>
      </x:c>
      <x:c r="L12" s="31" t="n">
        <x:v>10458.375601780599</x:v>
      </x:c>
      <x:c r="M12" s="31" t="n">
        <x:v>3604.4051911323004</x:v>
      </x:c>
      <x:c r="N12" s="24" t="str">
        <x:v>saurida</x:v>
      </x:c>
      <x:c r="O12" s="32" t="n">
        <x:v>4.35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Saurida</x:v>
      </x:c>
      <x:c r="T12" s="32" t="n">
        <x:f>IF(O12="","",(1/'Metadata'!$B$5)^(O12-1))</x:f>
        <x:v>2238.7211385683377</x:v>
      </x:c>
      <x:c r="U12" s="31" t="n">
        <x:f>IF(T12="","",I12*T12)</x:f>
        <x:v>31482644.628146917</x:v>
      </x:c>
    </x:row>
    <x:row r="13" ht="18" customHeight="1">
      <x:c r="A13" s="24" t="str">
        <x:v>EEZ_956</x:v>
      </x:c>
      <x:c r="B13" s="24" t="str">
        <x:v>Thailand (Andaman Sea)</x:v>
      </x:c>
      <x:c r="C13" s="24" t="str">
        <x:v>EEZ</x:v>
      </x:c>
      <x:c r="D13" s="30" t="n">
        <x:v>2019</x:v>
      </x:c>
      <x:c r="E13" s="24" t="str">
        <x:v>Sciaenidae</x:v>
      </x:c>
      <x:c r="F13" s="24" t="str">
        <x:v>Drums, croakers</x:v>
      </x:c>
      <x:c r="G13" s="24" t="str">
        <x:v>Medium demersals (30 - 89 cm)</x:v>
      </x:c>
      <x:c r="H13" s="24" t="str">
        <x:v>Perch-likes</x:v>
      </x:c>
      <x:c r="I13" s="31" t="n">
        <x:v>12366.7004583279</x:v>
      </x:c>
      <x:c r="J13" s="31" t="n">
        <x:v>12163.0927586494</x:v>
      </x:c>
      <x:c r="K13" s="31" t="n">
        <x:v>203.6076996785</x:v>
      </x:c>
      <x:c r="L13" s="31" t="n">
        <x:v>9778.1031435808</x:v>
      </x:c>
      <x:c r="M13" s="31" t="n">
        <x:v>2588.5973147471</x:v>
      </x:c>
      <x:c r="N13" s="24" t="str">
        <x:v>sciaenidae</x:v>
      </x:c>
      <x:c r="O13" s="32" t="n">
        <x:v>3.76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Sciaenidae</x:v>
      </x:c>
      <x:c r="T13" s="32" t="n">
        <x:f>IF(O13="","",(1/'Metadata'!$B$5)^(O13-1))</x:f>
        <x:v>575.4399373371566</x:v>
      </x:c>
      <x:c r="U13" s="31" t="n">
        <x:f>IF(T13="","",I13*T13)</x:f>
        <x:v>7116293.336807593</x:v>
      </x:c>
    </x:row>
    <x:row r="14" ht="18" customHeight="1">
      <x:c r="A14" s="24" t="str">
        <x:v>EEZ_956</x:v>
      </x:c>
      <x:c r="B14" s="24" t="str">
        <x:v>Thailand (Andaman Sea)</x:v>
      </x:c>
      <x:c r="C14" s="24" t="str">
        <x:v>EEZ</x:v>
      </x:c>
      <x:c r="D14" s="30" t="n">
        <x:v>2019</x:v>
      </x:c>
      <x:c r="E14" s="24" t="str">
        <x:v>Sardinella</x:v>
      </x:c>
      <x:c r="F14" s="24" t="str">
        <x:v>Sardinellas</x:v>
      </x:c>
      <x:c r="G14" s="24" t="str">
        <x:v>Small pelagics (&lt;30 cm)</x:v>
      </x:c>
      <x:c r="H14" s="24" t="str">
        <x:v>Herring-likes</x:v>
      </x:c>
      <x:c r="I14" s="31" t="n">
        <x:v>12057.2096322079</x:v>
      </x:c>
      <x:c r="J14" s="31" t="n">
        <x:v>12057.2096322079</x:v>
      </x:c>
      <x:c r="K14" s="31" t="n">
        <x:v>0</x:v>
      </x:c>
      <x:c r="L14" s="31" t="n">
        <x:v>10604.918015348</x:v>
      </x:c>
      <x:c r="M14" s="31" t="n">
        <x:v>1452.2916168599002</x:v>
      </x:c>
      <x:c r="N14" s="24" t="str">
        <x:v>sardinella</x:v>
      </x:c>
      <x:c r="O14" s="32" t="n">
        <x:v>2.77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Sardinella</x:v>
      </x:c>
      <x:c r="T14" s="32" t="n">
        <x:f>IF(O14="","",(1/'Metadata'!$B$5)^(O14-1))</x:f>
        <x:v>58.8843655355589</x:v>
      </x:c>
      <x:c r="U14" s="31" t="n">
        <x:f>IF(T14="","",I14*T14)</x:f>
        <x:v>709981.1393217916</x:v>
      </x:c>
    </x:row>
    <x:row r="15" ht="18" customHeight="1">
      <x:c r="A15" s="24" t="str">
        <x:v>EEZ_956</x:v>
      </x:c>
      <x:c r="B15" s="24" t="str">
        <x:v>Thailand (Andaman Sea)</x:v>
      </x:c>
      <x:c r="C15" s="24" t="str">
        <x:v>EEZ</x:v>
      </x:c>
      <x:c r="D15" s="30" t="n">
        <x:v>2019</x:v>
      </x:c>
      <x:c r="E15" s="24" t="str">
        <x:v>Cephea</x:v>
      </x:c>
      <x:c r="F15" s="24" t="str">
        <x:v>Cepheid jellyfishes</x:v>
      </x:c>
      <x:c r="G15" s="24" t="str">
        <x:v>Jellyfish</x:v>
      </x:c>
      <x:c r="H15" s="24" t="str">
        <x:v>Other fishes &amp; inverts</x:v>
      </x:c>
      <x:c r="I15" s="31" t="n">
        <x:v>11996.7280563814</x:v>
      </x:c>
      <x:c r="J15" s="31" t="n">
        <x:v>11996.7280563814</x:v>
      </x:c>
      <x:c r="K15" s="31" t="n">
        <x:v>0</x:v>
      </x:c>
      <x:c r="L15" s="31" t="n">
        <x:v>4858.8711611998</x:v>
      </x:c>
      <x:c r="M15" s="31" t="n">
        <x:v>7137.8568951816</x:v>
      </x:c>
      <x:c r="N15" s="24" t="str">
        <x:v>cephea</x:v>
      </x:c>
      <x:c r="O15" s="32" t="n">
        <x:v>3.46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Cephea</x:v>
      </x:c>
      <x:c r="T15" s="32" t="n">
        <x:f>IF(O15="","",(1/'Metadata'!$B$5)^(O15-1))</x:f>
        <x:v>288.40315031266056</x:v>
      </x:c>
      <x:c r="U15" s="31" t="n">
        <x:f>IF(T15="","",I15*T15)</x:f>
        <x:v>3459894.1649046773</x:v>
      </x:c>
    </x:row>
    <x:row r="16" ht="18" customHeight="1">
      <x:c r="A16" s="24" t="str">
        <x:v>EEZ_956</x:v>
      </x:c>
      <x:c r="B16" s="24" t="str">
        <x:v>Thailand (Andaman Sea)</x:v>
      </x:c>
      <x:c r="C16" s="24" t="str">
        <x:v>EEZ</x:v>
      </x:c>
      <x:c r="D16" s="30" t="n">
        <x:v>2019</x:v>
      </x:c>
      <x:c r="E16" s="24" t="str">
        <x:v>Platycephalidae</x:v>
      </x:c>
      <x:c r="F16" s="24" t="str">
        <x:v>Flatheads</x:v>
      </x:c>
      <x:c r="G16" s="24" t="str">
        <x:v>Medium demersals (30 - 89 cm)</x:v>
      </x:c>
      <x:c r="H16" s="24" t="str">
        <x:v>Scorpionfishes</x:v>
      </x:c>
      <x:c r="I16" s="31" t="n">
        <x:v>11267.6608744789</x:v>
      </x:c>
      <x:c r="J16" s="31" t="n">
        <x:v>11037.3656118563</x:v>
      </x:c>
      <x:c r="K16" s="31" t="n">
        <x:v>230.2952626226</x:v>
      </x:c>
      <x:c r="L16" s="31" t="n">
        <x:v>9478.4060034924</x:v>
      </x:c>
      <x:c r="M16" s="31" t="n">
        <x:v>1789.2548709865</x:v>
      </x:c>
      <x:c r="N16" s="24" t="str">
        <x:v>platycephalidae</x:v>
      </x:c>
      <x:c r="O16" s="32" t="n">
        <x:v>3.9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Platycephalidae</x:v>
      </x:c>
      <x:c r="T16" s="32" t="n">
        <x:f>IF(O16="","",(1/'Metadata'!$B$5)^(O16-1))</x:f>
        <x:v>794.3282347242813</x:v>
      </x:c>
      <x:c r="U16" s="31" t="n">
        <x:f>IF(T16="","",I16*T16)</x:f>
        <x:v>8950221.171896676</x:v>
      </x:c>
    </x:row>
    <x:row r="17" ht="18" customHeight="1">
      <x:c r="A17" s="24" t="str">
        <x:v>EEZ_956</x:v>
      </x:c>
      <x:c r="B17" s="24" t="str">
        <x:v>Thailand (Andaman Sea)</x:v>
      </x:c>
      <x:c r="C17" s="24" t="str">
        <x:v>EEZ</x:v>
      </x:c>
      <x:c r="D17" s="30" t="n">
        <x:v>2019</x:v>
      </x:c>
      <x:c r="E17" s="24" t="str">
        <x:v>Megalaspis cordyla</x:v>
      </x:c>
      <x:c r="F17" s="24" t="str">
        <x:v>Torpedo scad</x:v>
      </x:c>
      <x:c r="G17" s="24" t="str">
        <x:v>Medium pelagics (30 - 89 cm)</x:v>
      </x:c>
      <x:c r="H17" s="24" t="str">
        <x:v>Perch-likes</x:v>
      </x:c>
      <x:c r="I17" s="31" t="n">
        <x:v>10623.163212084</x:v>
      </x:c>
      <x:c r="J17" s="31" t="n">
        <x:v>10623.163212084</x:v>
      </x:c>
      <x:c r="K17" s="31" t="n">
        <x:v>0</x:v>
      </x:c>
      <x:c r="L17" s="31" t="n">
        <x:v>7297.8121956526</x:v>
      </x:c>
      <x:c r="M17" s="31" t="n">
        <x:v>3325.3510164314</x:v>
      </x:c>
      <x:c r="N17" s="24" t="str">
        <x:v>megalaspis cordyla</x:v>
      </x:c>
      <x:c r="O17" s="32" t="n">
        <x:v>4.24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Megalaspis cordyla</x:v>
      </x:c>
      <x:c r="T17" s="32" t="n">
        <x:f>IF(O17="","",(1/'Metadata'!$B$5)^(O17-1))</x:f>
        <x:v>1737.8008287493763</x:v>
      </x:c>
      <x:c r="U17" s="31" t="n">
        <x:f>IF(T17="","",I17*T17)</x:f>
        <x:v>18460941.83389946</x:v>
      </x:c>
    </x:row>
    <x:row r="18" ht="18" customHeight="1">
      <x:c r="A18" s="24" t="str">
        <x:v>EEZ_956</x:v>
      </x:c>
      <x:c r="B18" s="24" t="str">
        <x:v>Thailand (Andaman Sea)</x:v>
      </x:c>
      <x:c r="C18" s="24" t="str">
        <x:v>EEZ</x:v>
      </x:c>
      <x:c r="D18" s="30" t="n">
        <x:v>2019</x:v>
      </x:c>
      <x:c r="E18" s="24" t="str">
        <x:v>Portunus pelagicus</x:v>
      </x:c>
      <x:c r="F18" s="24" t="str">
        <x:v>Blue swimming crab</x:v>
      </x:c>
      <x:c r="G18" s="24" t="str">
        <x:v>Lobsters, crabs</x:v>
      </x:c>
      <x:c r="H18" s="24" t="str">
        <x:v>Crustaceans</x:v>
      </x:c>
      <x:c r="I18" s="31" t="n">
        <x:v>8038.1632503028</x:v>
      </x:c>
      <x:c r="J18" s="31" t="n">
        <x:v>8038.1632503028</x:v>
      </x:c>
      <x:c r="K18" s="31" t="n">
        <x:v>0</x:v>
      </x:c>
      <x:c r="L18" s="31" t="n">
        <x:v>7140.9722070783</x:v>
      </x:c>
      <x:c r="M18" s="31" t="n">
        <x:v>897.1910432244999</x:v>
      </x:c>
      <x:c r="N18" s="24" t="str">
        <x:v>portunus pelagicus</x:v>
      </x:c>
      <x:c r="O18" s="32" t="n">
        <x:v>2.48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Portunus pelagicus</x:v>
      </x:c>
      <x:c r="T18" s="32" t="n">
        <x:f>IF(O18="","",(1/'Metadata'!$B$5)^(O18-1))</x:f>
        <x:v>30.19951720402016</x:v>
      </x:c>
      <x:c r="U18" s="31" t="n">
        <x:f>IF(T18="","",I18*T18)</x:f>
        <x:v>242748.64936624203</x:v>
      </x:c>
    </x:row>
    <x:row r="19" ht="18" customHeight="1">
      <x:c r="A19" s="24" t="str">
        <x:v>EEZ_956</x:v>
      </x:c>
      <x:c r="B19" s="24" t="str">
        <x:v>Thailand (Andaman Sea)</x:v>
      </x:c>
      <x:c r="C19" s="24" t="str">
        <x:v>EEZ</x:v>
      </x:c>
      <x:c r="D19" s="30" t="n">
        <x:v>2019</x:v>
      </x:c>
      <x:c r="E19" s="24" t="str">
        <x:v>Lutjanidae</x:v>
      </x:c>
      <x:c r="F19" s="24" t="str">
        <x:v>Snappers</x:v>
      </x:c>
      <x:c r="G19" s="24" t="str">
        <x:v>Medium reef assoc. fish (30 - 89 cm)</x:v>
      </x:c>
      <x:c r="H19" s="24" t="str">
        <x:v>Perch-likes</x:v>
      </x:c>
      <x:c r="I19" s="31" t="n">
        <x:v>7881.0166623011</x:v>
      </x:c>
      <x:c r="J19" s="31" t="n">
        <x:v>7881.0166623011</x:v>
      </x:c>
      <x:c r="K19" s="31" t="n">
        <x:v>0</x:v>
      </x:c>
      <x:c r="L19" s="31" t="n">
        <x:v>4699.6548091618</x:v>
      </x:c>
      <x:c r="M19" s="31" t="n">
        <x:v>3181.3618531393</x:v>
      </x:c>
      <x:c r="N19" s="24" t="str">
        <x:v>lutjanidae</x:v>
      </x:c>
      <x:c r="O19" s="32" t="n">
        <x:v>4.02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Lutjanidae</x:v>
      </x:c>
      <x:c r="T19" s="32" t="n">
        <x:f>IF(O19="","",(1/'Metadata'!$B$5)^(O19-1))</x:f>
        <x:v>1047.1285480508984</x:v>
      </x:c>
      <x:c r="U19" s="31" t="n">
        <x:f>IF(T19="","",I19*T19)</x:f>
        <x:v>8252437.534760289</x:v>
      </x:c>
    </x:row>
    <x:row r="20" ht="18" customHeight="1">
      <x:c r="A20" s="24" t="str">
        <x:v>EEZ_956</x:v>
      </x:c>
      <x:c r="B20" s="24" t="str">
        <x:v>Thailand (Andaman Sea)</x:v>
      </x:c>
      <x:c r="C20" s="24" t="str">
        <x:v>EEZ</x:v>
      </x:c>
      <x:c r="D20" s="30" t="n">
        <x:v>2019</x:v>
      </x:c>
      <x:c r="E20" s="24" t="str">
        <x:v>Sphyraena</x:v>
      </x:c>
      <x:c r="F20" s="24" t="str">
        <x:v>Barracudas, sennets</x:v>
      </x:c>
      <x:c r="G20" s="24" t="str">
        <x:v>Large pelagics (&gt;=90 cm)</x:v>
      </x:c>
      <x:c r="H20" s="24" t="str">
        <x:v>Perch-likes</x:v>
      </x:c>
      <x:c r="I20" s="31" t="n">
        <x:v>6223.1742502916</x:v>
      </x:c>
      <x:c r="J20" s="31" t="n">
        <x:v>6223.1742502916</x:v>
      </x:c>
      <x:c r="K20" s="31" t="n">
        <x:v>0</x:v>
      </x:c>
      <x:c r="L20" s="31" t="n">
        <x:v>4519.0511859545</x:v>
      </x:c>
      <x:c r="M20" s="31" t="n">
        <x:v>1704.1230643371002</x:v>
      </x:c>
      <x:c r="N20" s="24" t="str">
        <x:v>sphyraena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Sphyraena</x:v>
      </x:c>
      <x:c r="T20" s="32" t="n">
        <x:f>IF(O20="","",(1/'Metadata'!$B$5)^(O20-1))</x:f>
        <x:v>2511.886431509582</x:v>
      </x:c>
      <x:c r="U20" s="31" t="n">
        <x:f>IF(T20="","",I20*T20)</x:f>
        <x:v>15631906.960227286</x:v>
      </x:c>
    </x:row>
    <x:row r="21" ht="18" customHeight="1">
      <x:c r="A21" s="24" t="str">
        <x:v>EEZ_956</x:v>
      </x:c>
      <x:c r="B21" s="24" t="str">
        <x:v>Thailand (Andaman Sea)</x:v>
      </x:c>
      <x:c r="C21" s="24" t="str">
        <x:v>EEZ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5422.9680525801</x:v>
      </x:c>
      <x:c r="J21" s="31" t="n">
        <x:v>5422.9680525801</x:v>
      </x:c>
      <x:c r="K21" s="31" t="n">
        <x:v>0</x:v>
      </x:c>
      <x:c r="L21" s="31" t="n">
        <x:v>0</x:v>
      </x:c>
      <x:c r="M21" s="31" t="n">
        <x:v>5422.9680525801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9868179.621494513</x:v>
      </x:c>
    </x:row>
    <x:row r="22" ht="18" customHeight="1">
      <x:c r="A22" s="24" t="str">
        <x:v>EEZ_956</x:v>
      </x:c>
      <x:c r="B22" s="24" t="str">
        <x:v>Thailand (Andaman Sea)</x:v>
      </x:c>
      <x:c r="C22" s="24" t="str">
        <x:v>EEZ</x:v>
      </x:c>
      <x:c r="D22" s="30" t="n">
        <x:v>2019</x:v>
      </x:c>
      <x:c r="E22" s="24" t="str">
        <x:v>Priacanthus</x:v>
      </x:c>
      <x:c r="F22" s="24" t="str">
        <x:v>Bigeyes</x:v>
      </x:c>
      <x:c r="G22" s="24" t="str">
        <x:v>Medium reef assoc. fish (30 - 89 cm)</x:v>
      </x:c>
      <x:c r="H22" s="24" t="str">
        <x:v>Perch-likes</x:v>
      </x:c>
      <x:c r="I22" s="31" t="n">
        <x:v>4972.7470257959</x:v>
      </x:c>
      <x:c r="J22" s="31" t="n">
        <x:v>4972.7470257959</x:v>
      </x:c>
      <x:c r="K22" s="31" t="n">
        <x:v>0</x:v>
      </x:c>
      <x:c r="L22" s="31" t="n">
        <x:v>4489.7427032412</x:v>
      </x:c>
      <x:c r="M22" s="31" t="n">
        <x:v>483.0043225547</x:v>
      </x:c>
      <x:c r="N22" s="24" t="str">
        <x:v>priacanthus</x:v>
      </x:c>
      <x:c r="O22" s="32" t="n">
        <x:v>3.81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Priacanthus</x:v>
      </x:c>
      <x:c r="T22" s="32" t="n">
        <x:f>IF(O22="","",(1/'Metadata'!$B$5)^(O22-1))</x:f>
        <x:v>645.6542290346556</x:v>
      </x:c>
      <x:c r="U22" s="31" t="n">
        <x:f>IF(T22="","",I22*T22)</x:f>
        <x:v>3210675.1471246285</x:v>
      </x:c>
    </x:row>
    <x:row r="23" ht="18" customHeight="1">
      <x:c r="A23" s="24" t="str">
        <x:v>EEZ_956</x:v>
      </x:c>
      <x:c r="B23" s="24" t="str">
        <x:v>Thailand (Andaman Sea)</x:v>
      </x:c>
      <x:c r="C23" s="24" t="str">
        <x:v>EEZ</x:v>
      </x:c>
      <x:c r="D23" s="30" t="n">
        <x:v>2019</x:v>
      </x:c>
      <x:c r="E23" s="24" t="str">
        <x:v>Thunnus albacares</x:v>
      </x:c>
      <x:c r="F23" s="24" t="str">
        <x:v>Yellowfin tuna</x:v>
      </x:c>
      <x:c r="G23" s="24" t="str">
        <x:v>Large pelagics (&gt;=90 cm)</x:v>
      </x:c>
      <x:c r="H23" s="24" t="str">
        <x:v>Tuna &amp; billfishes</x:v>
      </x:c>
      <x:c r="I23" s="31" t="n">
        <x:v>3346.6064312965</x:v>
      </x:c>
      <x:c r="J23" s="31" t="n">
        <x:v>3346.6064312965</x:v>
      </x:c>
      <x:c r="K23" s="31" t="n">
        <x:v>0</x:v>
      </x:c>
      <x:c r="L23" s="31" t="n">
        <x:v>0</x:v>
      </x:c>
      <x:c r="M23" s="31" t="n">
        <x:v>3346.6064312965</x:v>
      </x:c>
      <x:c r="N23" s="24" t="str">
        <x:v>thunnus albacares</x:v>
      </x:c>
      <x:c r="O23" s="32" t="n">
        <x:v>4.41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albacares</x:v>
      </x:c>
      <x:c r="T23" s="32" t="n">
        <x:f>IF(O23="","",(1/'Metadata'!$B$5)^(O23-1))</x:f>
        <x:v>2570.3957827688646</x:v>
      </x:c>
      <x:c r="U23" s="31" t="n">
        <x:f>IF(T23="","",I23*T23)</x:f>
        <x:v>8602103.057591684</x:v>
      </x:c>
    </x:row>
    <x:row r="24" ht="18" customHeight="1">
      <x:c r="A24" s="24" t="str">
        <x:v>EEZ_956</x:v>
      </x:c>
      <x:c r="B24" s="24" t="str">
        <x:v>Thailand (Andaman Sea)</x:v>
      </x:c>
      <x:c r="C24" s="24" t="str">
        <x:v>EEZ</x:v>
      </x:c>
      <x:c r="D24" s="30" t="n">
        <x:v>2019</x:v>
      </x:c>
      <x:c r="E24" s="24" t="str">
        <x:v>Serranidae</x:v>
      </x:c>
      <x:c r="F24" s="24" t="str">
        <x:v>Basses, groupers, hinds</x:v>
      </x:c>
      <x:c r="G24" s="24" t="str">
        <x:v>Medium reef assoc. fish (30 - 89 cm)</x:v>
      </x:c>
      <x:c r="H24" s="24" t="str">
        <x:v>Perch-likes</x:v>
      </x:c>
      <x:c r="I24" s="31" t="n">
        <x:v>3298.5531559939</x:v>
      </x:c>
      <x:c r="J24" s="31" t="n">
        <x:v>3298.5531559939</x:v>
      </x:c>
      <x:c r="K24" s="31" t="n">
        <x:v>0</x:v>
      </x:c>
      <x:c r="L24" s="31" t="n">
        <x:v>1583.4501876814002</x:v>
      </x:c>
      <x:c r="M24" s="31" t="n">
        <x:v>1715.1029683124998</x:v>
      </x:c>
      <x:c r="N24" s="24" t="str">
        <x:v>serranidae</x:v>
      </x:c>
      <x:c r="O24" s="32" t="n">
        <x:v>3.98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Serranidae</x:v>
      </x:c>
      <x:c r="T24" s="32" t="n">
        <x:f>IF(O24="","",(1/'Metadata'!$B$5)^(O24-1))</x:f>
        <x:v>954.992586021436</x:v>
      </x:c>
      <x:c r="U24" s="31" t="n">
        <x:f>IF(T24="","",I24*T24)</x:f>
        <x:v>3150093.8085717834</x:v>
      </x:c>
    </x:row>
    <x:row r="25" ht="18" customHeight="1">
      <x:c r="A25" s="24" t="str">
        <x:v>EEZ_956</x:v>
      </x:c>
      <x:c r="B25" s="24" t="str">
        <x:v>Thailand (Andaman Sea)</x:v>
      </x:c>
      <x:c r="C25" s="24" t="str">
        <x:v>EEZ</x:v>
      </x:c>
      <x:c r="D25" s="30" t="n">
        <x:v>2019</x:v>
      </x:c>
      <x:c r="E25" s="24" t="str">
        <x:v>Euthynnus affinis</x:v>
      </x:c>
      <x:c r="F25" s="24" t="str">
        <x:v>Kawakawa</x:v>
      </x:c>
      <x:c r="G25" s="24" t="str">
        <x:v>Large pelagics (&gt;=90 cm)</x:v>
      </x:c>
      <x:c r="H25" s="24" t="str">
        <x:v>Tuna &amp; billfishes</x:v>
      </x:c>
      <x:c r="I25" s="31" t="n">
        <x:v>3295.8932204589</x:v>
      </x:c>
      <x:c r="J25" s="31" t="n">
        <x:v>3295.8932204589</x:v>
      </x:c>
      <x:c r="K25" s="31" t="n">
        <x:v>0</x:v>
      </x:c>
      <x:c r="L25" s="31" t="n">
        <x:v>1100.7698175435</x:v>
      </x:c>
      <x:c r="M25" s="31" t="n">
        <x:v>2195.1234029153998</x:v>
      </x:c>
      <x:c r="N25" s="24" t="str">
        <x:v>euthynnus affinis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Euthynnus affinis</x:v>
      </x:c>
      <x:c r="T25" s="32" t="n">
        <x:f>IF(O25="","",(1/'Metadata'!$B$5)^(O25-1))</x:f>
        <x:v>3162.2776601683795</x:v>
      </x:c>
      <x:c r="U25" s="31" t="n">
        <x:f>IF(T25="","",I25*T25)</x:f>
        <x:v>10422529.501357595</x:v>
      </x:c>
    </x:row>
    <x:row r="26" ht="18" customHeight="1">
      <x:c r="A26" s="24" t="str">
        <x:v>EEZ_956</x:v>
      </x:c>
      <x:c r="B26" s="24" t="str">
        <x:v>Thailand (Andaman Sea)</x:v>
      </x:c>
      <x:c r="C26" s="24" t="str">
        <x:v>EEZ</x:v>
      </x:c>
      <x:c r="D26" s="30" t="n">
        <x:v>2019</x:v>
      </x:c>
      <x:c r="E26" s="24" t="str">
        <x:v>Sepiidae</x:v>
      </x:c>
      <x:c r="F26" s="24" t="str">
        <x:v>Cuttlefishes</x:v>
      </x:c>
      <x:c r="G26" s="24" t="str">
        <x:v>Cephalopods</x:v>
      </x:c>
      <x:c r="H26" s="24" t="str">
        <x:v>Other fishes &amp; inverts</x:v>
      </x:c>
      <x:c r="I26" s="31" t="n">
        <x:v>3242.8902963766</x:v>
      </x:c>
      <x:c r="J26" s="31" t="n">
        <x:v>3242.8902963766</x:v>
      </x:c>
      <x:c r="K26" s="31" t="n">
        <x:v>0</x:v>
      </x:c>
      <x:c r="L26" s="31" t="n">
        <x:v>2263.8822593265</x:v>
      </x:c>
      <x:c r="M26" s="31" t="n">
        <x:v>979.0080370500999</x:v>
      </x:c>
      <x:c r="N26" s="24" t="str">
        <x:v>sepiidae</x:v>
      </x:c>
      <x:c r="O26" s="32" t="n">
        <x:v>3.6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Sepiidae</x:v>
      </x:c>
      <x:c r="T26" s="32" t="n">
        <x:f>IF(O26="","",(1/'Metadata'!$B$5)^(O26-1))</x:f>
        <x:v>398.1071705534973</x:v>
      </x:c>
      <x:c r="U26" s="31" t="n">
        <x:f>IF(T26="","",I26*T26)</x:f>
        <x:v>1291017.8803058807</x:v>
      </x:c>
    </x:row>
    <x:row r="27" ht="18" customHeight="1">
      <x:c r="A27" s="24" t="str">
        <x:v>EEZ_956</x:v>
      </x:c>
      <x:c r="B27" s="24" t="str">
        <x:v>Thailand (Andaman Sea)</x:v>
      </x:c>
      <x:c r="C27" s="24" t="str">
        <x:v>EEZ</x:v>
      </x:c>
      <x:c r="D27" s="30" t="n">
        <x:v>2019</x:v>
      </x:c>
      <x:c r="E27" s="24" t="str">
        <x:v>Sphyraenidae</x:v>
      </x:c>
      <x:c r="F27" s="24" t="str">
        <x:v>Barracudas</x:v>
      </x:c>
      <x:c r="G27" s="24" t="str">
        <x:v>Medium reef assoc. fish (30 - 89 cm)</x:v>
      </x:c>
      <x:c r="H27" s="24" t="str">
        <x:v>Perch-likes</x:v>
      </x:c>
      <x:c r="I27" s="31" t="n">
        <x:v>2756.5009744101</x:v>
      </x:c>
      <x:c r="J27" s="31" t="n">
        <x:v>2756.5009744101</x:v>
      </x:c>
      <x:c r="K27" s="31" t="n">
        <x:v>0</x:v>
      </x:c>
      <x:c r="L27" s="31" t="n">
        <x:v>0</x:v>
      </x:c>
      <x:c r="M27" s="31" t="n">
        <x:v>2756.5009744101</x:v>
      </x:c>
      <x:c r="N27" s="24" t="str">
        <x:v>sphyraenidae</x:v>
      </x:c>
      <x:c r="O27" s="32" t="n">
        <x:v>4.4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Sphyraenidae</x:v>
      </x:c>
      <x:c r="T27" s="32" t="n">
        <x:f>IF(O27="","",(1/'Metadata'!$B$5)^(O27-1))</x:f>
        <x:v>2511.886431509582</x:v>
      </x:c>
      <x:c r="U27" s="31" t="n">
        <x:f>IF(T27="","",I27*T27)</x:f>
        <x:v>6924017.396063671</x:v>
      </x:c>
    </x:row>
    <x:row r="28" ht="18" customHeight="1">
      <x:c r="A28" s="24" t="str">
        <x:v>EEZ_956</x:v>
      </x:c>
      <x:c r="B28" s="24" t="str">
        <x:v>Thailand (Andaman Sea)</x:v>
      </x:c>
      <x:c r="C28" s="24" t="str">
        <x:v>EEZ</x:v>
      </x:c>
      <x:c r="D28" s="30" t="n">
        <x:v>2019</x:v>
      </x:c>
      <x:c r="E28" s="24" t="str">
        <x:v>Trichiurus lepturus</x:v>
      </x:c>
      <x:c r="F28" s="24" t="str">
        <x:v>Largehead hairtail</x:v>
      </x:c>
      <x:c r="G28" s="24" t="str">
        <x:v>Large benthopelagics (&gt;=90 cm)</x:v>
      </x:c>
      <x:c r="H28" s="24" t="str">
        <x:v>Perch-likes</x:v>
      </x:c>
      <x:c r="I28" s="31" t="n">
        <x:v>2460.5229079592</x:v>
      </x:c>
      <x:c r="J28" s="31" t="n">
        <x:v>2460.5229079592</x:v>
      </x:c>
      <x:c r="K28" s="31" t="n">
        <x:v>0</x:v>
      </x:c>
      <x:c r="L28" s="31" t="n">
        <x:v>1585.0344299903</x:v>
      </x:c>
      <x:c r="M28" s="31" t="n">
        <x:v>875.4884779688999</x:v>
      </x:c>
      <x:c r="N28" s="24" t="str">
        <x:v>trichiurus lepturus</x:v>
      </x:c>
      <x:c r="O28" s="32" t="n">
        <x:v>4.42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Trichiurus lepturus</x:v>
      </x:c>
      <x:c r="T28" s="32" t="n">
        <x:f>IF(O28="","",(1/'Metadata'!$B$5)^(O28-1))</x:f>
        <x:v>2630.2679918953813</x:v>
      </x:c>
      <x:c r="U28" s="31" t="n">
        <x:f>IF(T28="","",I28*T28)</x:f>
        <x:v>6471834.648130429</x:v>
      </x:c>
    </x:row>
    <x:row r="29" ht="18" customHeight="1">
      <x:c r="A29" s="24" t="str">
        <x:v>EEZ_956</x:v>
      </x:c>
      <x:c r="B29" s="24" t="str">
        <x:v>Thailand (Andaman Sea)</x:v>
      </x:c>
      <x:c r="C29" s="24" t="str">
        <x:v>EEZ</x:v>
      </x:c>
      <x:c r="D29" s="30" t="n">
        <x:v>2019</x:v>
      </x:c>
      <x:c r="E29" s="24" t="str">
        <x:v>Scolopsis</x:v>
      </x:c>
      <x:c r="F29" s="24" t="str">
        <x:v>Monocle breams</x:v>
      </x:c>
      <x:c r="G29" s="24" t="str">
        <x:v>Small reef assoc. fish (&lt;30 cm)</x:v>
      </x:c>
      <x:c r="H29" s="24" t="str">
        <x:v>Perch-likes</x:v>
      </x:c>
      <x:c r="I29" s="31" t="n">
        <x:v>1951.6642009864</x:v>
      </x:c>
      <x:c r="J29" s="31" t="n">
        <x:v>1951.6642009864</x:v>
      </x:c>
      <x:c r="K29" s="31" t="n">
        <x:v>0</x:v>
      </x:c>
      <x:c r="L29" s="31" t="n">
        <x:v>1286.4047547748</x:v>
      </x:c>
      <x:c r="M29" s="31" t="n">
        <x:v>665.2594462116</x:v>
      </x:c>
      <x:c r="N29" s="24" t="str">
        <x:v>scolopsis</x:v>
      </x:c>
      <x:c r="O29" s="32" t="n">
        <x:v>3.3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Scolopsis</x:v>
      </x:c>
      <x:c r="T29" s="32" t="n">
        <x:f>IF(O29="","",(1/'Metadata'!$B$5)^(O29-1))</x:f>
        <x:v>199.52623149688787</x:v>
      </x:c>
      <x:c r="U29" s="31" t="n">
        <x:f>IF(T29="","",I29*T29)</x:f>
        <x:v>389408.20317020116</x:v>
      </x:c>
    </x:row>
    <x:row r="30" ht="18" customHeight="1">
      <x:c r="A30" s="24" t="str">
        <x:v>EEZ_956</x:v>
      </x:c>
      <x:c r="B30" s="24" t="str">
        <x:v>Thailand (Andaman Sea)</x:v>
      </x:c>
      <x:c r="C30" s="24" t="str">
        <x:v>EEZ</x:v>
      </x:c>
      <x:c r="D30" s="30" t="n">
        <x:v>2019</x:v>
      </x:c>
      <x:c r="E30" s="24" t="str">
        <x:v>Penaeus</x:v>
      </x:c>
      <x:c r="F30" s="24" t="str">
        <x:v>Tiger prawns</x:v>
      </x:c>
      <x:c r="G30" s="24" t="str">
        <x:v>Shrimps</x:v>
      </x:c>
      <x:c r="H30" s="24" t="str">
        <x:v>Crustaceans</x:v>
      </x:c>
      <x:c r="I30" s="31" t="n">
        <x:v>1684.261009423</x:v>
      </x:c>
      <x:c r="J30" s="31" t="n">
        <x:v>1684.261009423</x:v>
      </x:c>
      <x:c r="K30" s="31" t="n">
        <x:v>0</x:v>
      </x:c>
      <x:c r="L30" s="31" t="n">
        <x:v>1365.6168702168</x:v>
      </x:c>
      <x:c r="M30" s="31" t="n">
        <x:v>318.6441392062</x:v>
      </x:c>
      <x:c r="N30" s="24" t="str">
        <x:v>penaeus</x:v>
      </x:c>
      <x:c r="O30" s="32" t="n">
        <x:v>2.7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Penaeus</x:v>
      </x:c>
      <x:c r="T30" s="32" t="n">
        <x:f>IF(O30="","",(1/'Metadata'!$B$5)^(O30-1))</x:f>
        <x:v>50.11872336272725</x:v>
      </x:c>
      <x:c r="U30" s="31" t="n">
        <x:f>IF(T30="","",I30*T30)</x:f>
        <x:v>84413.0116018991</x:v>
      </x:c>
    </x:row>
    <x:row r="31" ht="18" customHeight="1">
      <x:c r="A31" s="24" t="str">
        <x:v>EEZ_956</x:v>
      </x:c>
      <x:c r="B31" s="24" t="str">
        <x:v>Thailand (Andaman Sea)</x:v>
      </x:c>
      <x:c r="C31" s="24" t="str">
        <x:v>EEZ</x:v>
      </x:c>
      <x:c r="D31" s="30" t="n">
        <x:v>2019</x:v>
      </x:c>
      <x:c r="E31" s="24" t="str">
        <x:v>Thunnus tonggol</x:v>
      </x:c>
      <x:c r="F31" s="24" t="str">
        <x:v>Longtail tuna</x:v>
      </x:c>
      <x:c r="G31" s="24" t="str">
        <x:v>Large pelagics (&gt;=90 cm)</x:v>
      </x:c>
      <x:c r="H31" s="24" t="str">
        <x:v>Tuna &amp; billfishes</x:v>
      </x:c>
      <x:c r="I31" s="31" t="n">
        <x:v>1637.4084730627999</x:v>
      </x:c>
      <x:c r="J31" s="31" t="n">
        <x:v>1637.4084730627999</x:v>
      </x:c>
      <x:c r="K31" s="31" t="n">
        <x:v>0</x:v>
      </x:c>
      <x:c r="L31" s="31" t="n">
        <x:v>570.5022394808999</x:v>
      </x:c>
      <x:c r="M31" s="31" t="n">
        <x:v>1066.9062335818999</x:v>
      </x:c>
      <x:c r="N31" s="24" t="str">
        <x:v>thunnus tonggol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tonggol</x:v>
      </x:c>
      <x:c r="T31" s="32" t="n">
        <x:f>IF(O31="","",(1/'Metadata'!$B$5)^(O31-1))</x:f>
        <x:v>3162.2776601683795</x:v>
      </x:c>
      <x:c r="U31" s="31" t="n">
        <x:f>IF(T31="","",I31*T31)</x:f>
        <x:v>5177940.23493691</x:v>
      </x:c>
    </x:row>
    <x:row r="32" ht="18" customHeight="1">
      <x:c r="A32" s="24" t="str">
        <x:v>EEZ_956</x:v>
      </x:c>
      <x:c r="B32" s="24" t="str">
        <x:v>Thailand (Andaman Sea)</x:v>
      </x:c>
      <x:c r="C32" s="24" t="str">
        <x:v>EEZ</x:v>
      </x:c>
      <x:c r="D32" s="30" t="n">
        <x:v>2019</x:v>
      </x:c>
      <x:c r="E32" s="24" t="str">
        <x:v>Penaeus merguiensis</x:v>
      </x:c>
      <x:c r="F32" s="24" t="str">
        <x:v>Banana prawn</x:v>
      </x:c>
      <x:c r="G32" s="24" t="str">
        <x:v>Shrimps</x:v>
      </x:c>
      <x:c r="H32" s="24" t="str">
        <x:v>Crustaceans</x:v>
      </x:c>
      <x:c r="I32" s="31" t="n">
        <x:v>1362.4483855989</x:v>
      </x:c>
      <x:c r="J32" s="31" t="n">
        <x:v>1362.4483855989</x:v>
      </x:c>
      <x:c r="K32" s="31" t="n">
        <x:v>0</x:v>
      </x:c>
      <x:c r="L32" s="31" t="n">
        <x:v>1362.4483855989</x:v>
      </x:c>
      <x:c r="M32" s="31" t="n">
        <x:v>0</x:v>
      </x:c>
      <x:c r="N32" s="24" t="str">
        <x:v>penaeus merguiensis</x:v>
      </x:c>
      <x:c r="O32" s="32" t="n">
        <x:v>3.77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Penaeus merguiensis</x:v>
      </x:c>
      <x:c r="T32" s="32" t="n">
        <x:f>IF(O32="","",(1/'Metadata'!$B$5)^(O32-1))</x:f>
        <x:v>588.843655355589</x:v>
      </x:c>
      <x:c r="U32" s="31" t="n">
        <x:f>IF(T32="","",I32*T32)</x:f>
        <x:v>802269.0876093772</x:v>
      </x:c>
    </x:row>
    <x:row r="33" ht="18" customHeight="1">
      <x:c r="A33" s="24" t="str">
        <x:v>EEZ_956</x:v>
      </x:c>
      <x:c r="B33" s="24" t="str">
        <x:v>Thailand (Andaman Sea)</x:v>
      </x:c>
      <x:c r="C33" s="24" t="str">
        <x:v>EEZ</x:v>
      </x:c>
      <x:c r="D33" s="30" t="n">
        <x:v>2019</x:v>
      </x:c>
      <x:c r="E33" s="24" t="str">
        <x:v>Chirocentrus dorab</x:v>
      </x:c>
      <x:c r="F33" s="24" t="str">
        <x:v>Dorab wolf-herring</x:v>
      </x:c>
      <x:c r="G33" s="24" t="str">
        <x:v>Large benthopelagics (&gt;=90 cm)</x:v>
      </x:c>
      <x:c r="H33" s="24" t="str">
        <x:v>Herring-likes</x:v>
      </x:c>
      <x:c r="I33" s="31" t="n">
        <x:v>1355.1890965651</x:v>
      </x:c>
      <x:c r="J33" s="31" t="n">
        <x:v>1355.1890965651</x:v>
      </x:c>
      <x:c r="K33" s="31" t="n">
        <x:v>0</x:v>
      </x:c>
      <x:c r="L33" s="31" t="n">
        <x:v>941.8320526031</x:v>
      </x:c>
      <x:c r="M33" s="31" t="n">
        <x:v>413.357043962</x:v>
      </x:c>
      <x:c r="N33" s="24" t="str">
        <x:v>chirocentrus dorab</x:v>
      </x:c>
      <x:c r="O33" s="32" t="n">
        <x:v>4.2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Chirocentrus dorab</x:v>
      </x:c>
      <x:c r="T33" s="32" t="n">
        <x:f>IF(O33="","",(1/'Metadata'!$B$5)^(O33-1))</x:f>
        <x:v>1584.893192461114</x:v>
      </x:c>
      <x:c r="U33" s="31" t="n">
        <x:f>IF(T33="","",I33*T33)</x:f>
        <x:v>2147829.9736435544</x:v>
      </x:c>
    </x:row>
    <x:row r="34" ht="18" customHeight="1">
      <x:c r="A34" s="24" t="str">
        <x:v>EEZ_956</x:v>
      </x:c>
      <x:c r="B34" s="24" t="str">
        <x:v>Thailand (Andaman Sea)</x:v>
      </x:c>
      <x:c r="C34" s="24" t="str">
        <x:v>EEZ</x:v>
      </x:c>
      <x:c r="D34" s="30" t="n">
        <x:v>2019</x:v>
      </x:c>
      <x:c r="E34" s="24" t="str">
        <x:v>Dasyatidae</x:v>
      </x:c>
      <x:c r="F34" s="24" t="str">
        <x:v>Whiptail stingrays</x:v>
      </x:c>
      <x:c r="G34" s="24" t="str">
        <x:v>Large rays (&gt;=90 cm)</x:v>
      </x:c>
      <x:c r="H34" s="24" t="str">
        <x:v>Sharks &amp; rays</x:v>
      </x:c>
      <x:c r="I34" s="31" t="n">
        <x:v>1068.9017738654</x:v>
      </x:c>
      <x:c r="J34" s="31" t="n">
        <x:v>1068.9017738654</x:v>
      </x:c>
      <x:c r="K34" s="31" t="n">
        <x:v>0</x:v>
      </x:c>
      <x:c r="L34" s="31" t="n">
        <x:v>0</x:v>
      </x:c>
      <x:c r="M34" s="31" t="n">
        <x:v>1068.9017738654</x:v>
      </x:c>
      <x:c r="N34" s="24" t="str">
        <x:v>dasyatidae</x:v>
      </x:c>
      <x:c r="O34" s="32" t="n">
        <x:v>3.38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Dasyatidae</x:v>
      </x:c>
      <x:c r="T34" s="32" t="n">
        <x:f>IF(O34="","",(1/'Metadata'!$B$5)^(O34-1))</x:f>
        <x:v>239.88329190194898</x:v>
      </x:c>
      <x:c r="U34" s="31" t="n">
        <x:f>IF(T34="","",I34*T34)</x:f>
        <x:v>256411.6762346648</x:v>
      </x:c>
    </x:row>
    <x:row r="35" ht="18" customHeight="1">
      <x:c r="A35" s="24" t="str">
        <x:v>EEZ_956</x:v>
      </x:c>
      <x:c r="B35" s="24" t="str">
        <x:v>Thailand (Andaman Sea)</x:v>
      </x:c>
      <x:c r="C35" s="24" t="str">
        <x:v>EEZ</x:v>
      </x:c>
      <x:c r="D35" s="30" t="n">
        <x:v>2019</x:v>
      </x:c>
      <x:c r="E35" s="24" t="str">
        <x:v>Holocentridae</x:v>
      </x:c>
      <x:c r="F35" s="24" t="str">
        <x:v>Squirrel-, soldierfishes</x:v>
      </x:c>
      <x:c r="G35" s="24" t="str">
        <x:v>Small reef assoc. fish (&lt;30 cm)</x:v>
      </x:c>
      <x:c r="H35" s="24" t="str">
        <x:v>Other fishes &amp; inverts</x:v>
      </x:c>
      <x:c r="I35" s="31" t="n">
        <x:v>1068.9017738654</x:v>
      </x:c>
      <x:c r="J35" s="31" t="n">
        <x:v>1068.9017738654</x:v>
      </x:c>
      <x:c r="K35" s="31" t="n">
        <x:v>0</x:v>
      </x:c>
      <x:c r="L35" s="31" t="n">
        <x:v>0</x:v>
      </x:c>
      <x:c r="M35" s="31" t="n">
        <x:v>1068.9017738654</x:v>
      </x:c>
      <x:c r="N35" s="24" t="str">
        <x:v>holocentridae</x:v>
      </x:c>
      <x:c r="O35" s="32" t="n">
        <x:v>3.49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Holocentridae</x:v>
      </x:c>
      <x:c r="T35" s="32" t="n">
        <x:f>IF(O35="","",(1/'Metadata'!$B$5)^(O35-1))</x:f>
        <x:v>309.0295432513592</x:v>
      </x:c>
      <x:c r="U35" s="31" t="n">
        <x:f>IF(T35="","",I35*T35)</x:f>
        <x:v>330322.2269581922</x:v>
      </x:c>
    </x:row>
    <x:row r="36" ht="18" customHeight="1">
      <x:c r="A36" s="24" t="str">
        <x:v>EEZ_956</x:v>
      </x:c>
      <x:c r="B36" s="24" t="str">
        <x:v>Thailand (Andaman Sea)</x:v>
      </x:c>
      <x:c r="C36" s="24" t="str">
        <x:v>EEZ</x:v>
      </x:c>
      <x:c r="D36" s="30" t="n">
        <x:v>2019</x:v>
      </x:c>
      <x:c r="E36" s="24" t="str">
        <x:v>Lethrinidae</x:v>
      </x:c>
      <x:c r="F36" s="24" t="str">
        <x:v>Emperors, scavengers</x:v>
      </x:c>
      <x:c r="G36" s="24" t="str">
        <x:v>Medium reef assoc. fish (30 - 89 cm)</x:v>
      </x:c>
      <x:c r="H36" s="24" t="str">
        <x:v>Perch-likes</x:v>
      </x:c>
      <x:c r="I36" s="31" t="n">
        <x:v>1068.9017738654</x:v>
      </x:c>
      <x:c r="J36" s="31" t="n">
        <x:v>1068.9017738654</x:v>
      </x:c>
      <x:c r="K36" s="31" t="n">
        <x:v>0</x:v>
      </x:c>
      <x:c r="L36" s="31" t="n">
        <x:v>0</x:v>
      </x:c>
      <x:c r="M36" s="31" t="n">
        <x:v>1068.9017738654</x:v>
      </x:c>
      <x:c r="N36" s="24" t="str">
        <x:v>lethrinidae</x:v>
      </x:c>
      <x:c r="O36" s="32" t="n">
        <x:v>3.59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Lethrinidae</x:v>
      </x:c>
      <x:c r="T36" s="32" t="n">
        <x:f>IF(O36="","",(1/'Metadata'!$B$5)^(O36-1))</x:f>
        <x:v>389.04514499428046</x:v>
      </x:c>
      <x:c r="U36" s="31" t="n">
        <x:f>IF(T36="","",I36*T36)</x:f>
        <x:v>415851.0455981081</x:v>
      </x:c>
    </x:row>
    <x:row r="37" ht="18" customHeight="1">
      <x:c r="A37" s="24" t="str">
        <x:v>EEZ_956</x:v>
      </x:c>
      <x:c r="B37" s="24" t="str">
        <x:v>Thailand (Andaman Sea)</x:v>
      </x:c>
      <x:c r="C37" s="24" t="str">
        <x:v>EEZ</x:v>
      </x:c>
      <x:c r="D37" s="30" t="n">
        <x:v>2019</x:v>
      </x:c>
      <x:c r="E37" s="24" t="str">
        <x:v>Auxis</x:v>
      </x:c>
      <x:c r="F37" s="24" t="str">
        <x:v>Bullet and frigate tunas</x:v>
      </x:c>
      <x:c r="G37" s="24" t="str">
        <x:v>Medium pelagics (30 - 89 cm)</x:v>
      </x:c>
      <x:c r="H37" s="24" t="str">
        <x:v>Tuna &amp; billfishes</x:v>
      </x:c>
      <x:c r="I37" s="31" t="n">
        <x:v>1041.4174178069002</x:v>
      </x:c>
      <x:c r="J37" s="31" t="n">
        <x:v>1041.4174178069002</x:v>
      </x:c>
      <x:c r="K37" s="31" t="n">
        <x:v>0</x:v>
      </x:c>
      <x:c r="L37" s="31" t="n">
        <x:v>684.3926774171</x:v>
      </x:c>
      <x:c r="M37" s="31" t="n">
        <x:v>357.0247403898</x:v>
      </x:c>
      <x:c r="N37" s="24" t="str">
        <x:v>auxis</x:v>
      </x:c>
      <x:c r="O37" s="32" t="n">
        <x:v>4.24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Auxis</x:v>
      </x:c>
      <x:c r="T37" s="32" t="n">
        <x:f>IF(O37="","",(1/'Metadata'!$B$5)^(O37-1))</x:f>
        <x:v>1737.8008287493763</x:v>
      </x:c>
      <x:c r="U37" s="31" t="n">
        <x:f>IF(T37="","",I37*T37)</x:f>
        <x:v>1809776.0517388666</x:v>
      </x:c>
    </x:row>
    <x:row r="38" ht="18" customHeight="1">
      <x:c r="A38" s="24" t="str">
        <x:v>EEZ_956</x:v>
      </x:c>
      <x:c r="B38" s="24" t="str">
        <x:v>Thailand (Andaman Sea)</x:v>
      </x:c>
      <x:c r="C38" s="24" t="str">
        <x:v>EEZ</x:v>
      </x:c>
      <x:c r="D38" s="30" t="n">
        <x:v>2019</x:v>
      </x:c>
      <x:c r="E38" s="24" t="str">
        <x:v>Octopodidae</x:v>
      </x:c>
      <x:c r="F38" s="24" t="str">
        <x:v>Octopuses</x:v>
      </x:c>
      <x:c r="G38" s="24" t="str">
        <x:v>Cephalopods</x:v>
      </x:c>
      <x:c r="H38" s="24" t="str">
        <x:v>Other fishes &amp; inverts</x:v>
      </x:c>
      <x:c r="I38" s="31" t="n">
        <x:v>999.227670509</x:v>
      </x:c>
      <x:c r="J38" s="31" t="n">
        <x:v>999.227670509</x:v>
      </x:c>
      <x:c r="K38" s="31" t="n">
        <x:v>0</x:v>
      </x:c>
      <x:c r="L38" s="31" t="n">
        <x:v>826.1823640579</x:v>
      </x:c>
      <x:c r="M38" s="31" t="n">
        <x:v>173.0453064511</x:v>
      </x:c>
      <x:c r="N38" s="24" t="str">
        <x:v>octopodidae</x:v>
      </x:c>
      <x:c r="O38" s="32" t="n">
        <x:v>3.59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Octopodidae</x:v>
      </x:c>
      <x:c r="T38" s="32" t="n">
        <x:f>IF(O38="","",(1/'Metadata'!$B$5)^(O38-1))</x:f>
        <x:v>389.04514499428046</x:v>
      </x:c>
      <x:c r="U38" s="31" t="n">
        <x:f>IF(T38="","",I38*T38)</x:f>
        <x:v>388744.67395547096</x:v>
      </x:c>
    </x:row>
    <x:row r="39" ht="18" customHeight="1">
      <x:c r="A39" s="24" t="str">
        <x:v>EEZ_956</x:v>
      </x:c>
      <x:c r="B39" s="24" t="str">
        <x:v>Thailand (Andaman Sea)</x:v>
      </x:c>
      <x:c r="C39" s="24" t="str">
        <x:v>EEZ</x:v>
      </x:c>
      <x:c r="D39" s="30" t="n">
        <x:v>2019</x:v>
      </x:c>
      <x:c r="E39" s="24" t="str">
        <x:v>Sepioteuthis lessoniana</x:v>
      </x:c>
      <x:c r="F39" s="24" t="str">
        <x:v>Bigfin reef squid</x:v>
      </x:c>
      <x:c r="G39" s="24" t="str">
        <x:v>Cephalopods</x:v>
      </x:c>
      <x:c r="H39" s="24" t="str">
        <x:v>Other fishes &amp; inverts</x:v>
      </x:c>
      <x:c r="I39" s="31" t="n">
        <x:v>989.1181793955</x:v>
      </x:c>
      <x:c r="J39" s="31" t="n">
        <x:v>989.1181793955</x:v>
      </x:c>
      <x:c r="K39" s="31" t="n">
        <x:v>0</x:v>
      </x:c>
      <x:c r="L39" s="31" t="n">
        <x:v>617.8545004461</x:v>
      </x:c>
      <x:c r="M39" s="31" t="n">
        <x:v>371.2636789494</x:v>
      </x:c>
      <x:c r="N39" s="24" t="str">
        <x:v>sepioteuthis lessoniana</x:v>
      </x:c>
      <x:c r="O39" s="32" t="n">
        <x:v>3.98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Sepioteuthis lessoniana</x:v>
      </x:c>
      <x:c r="T39" s="32" t="n">
        <x:f>IF(O39="","",(1/'Metadata'!$B$5)^(O39-1))</x:f>
        <x:v>954.992586021436</x:v>
      </x:c>
      <x:c r="U39" s="31" t="n">
        <x:f>IF(T39="","",I39*T39)</x:f>
        <x:v>944600.5280217231</x:v>
      </x:c>
    </x:row>
    <x:row r="40" ht="18" customHeight="1">
      <x:c r="A40" s="24" t="str">
        <x:v>EEZ_956</x:v>
      </x:c>
      <x:c r="B40" s="24" t="str">
        <x:v>Thailand (Andaman Sea)</x:v>
      </x:c>
      <x:c r="C40" s="24" t="str">
        <x:v>EEZ</x:v>
      </x:c>
      <x:c r="D40" s="30" t="n">
        <x:v>2019</x:v>
      </x:c>
      <x:c r="E40" s="24" t="str">
        <x:v>Plotosidae</x:v>
      </x:c>
      <x:c r="F40" s="24" t="str">
        <x:v>Eeltail catfishes</x:v>
      </x:c>
      <x:c r="G40" s="24" t="str">
        <x:v>Medium reef assoc. fish (30 - 89 cm)</x:v>
      </x:c>
      <x:c r="H40" s="24" t="str">
        <x:v>Other fishes &amp; inverts</x:v>
      </x:c>
      <x:c r="I40" s="31" t="n">
        <x:v>902.0750658337</x:v>
      </x:c>
      <x:c r="J40" s="31" t="n">
        <x:v>902.0750658337</x:v>
      </x:c>
      <x:c r="K40" s="31" t="n">
        <x:v>0</x:v>
      </x:c>
      <x:c r="L40" s="31" t="n">
        <x:v>680.4320716448001</x:v>
      </x:c>
      <x:c r="M40" s="31" t="n">
        <x:v>221.64299418889996</x:v>
      </x:c>
      <x:c r="N40" s="24" t="str">
        <x:v>plotosidae</x:v>
      </x:c>
      <x:c r="O40" s="32" t="n">
        <x:v>3.49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Plotosidae</x:v>
      </x:c>
      <x:c r="T40" s="32" t="n">
        <x:f>IF(O40="","",(1/'Metadata'!$B$5)^(O40-1))</x:f>
        <x:v>309.0295432513592</x:v>
      </x:c>
      <x:c r="U40" s="31" t="n">
        <x:f>IF(T40="","",I40*T40)</x:f>
        <x:v>278767.8455730281</x:v>
      </x:c>
    </x:row>
    <x:row r="41" ht="18" customHeight="1">
      <x:c r="A41" s="24" t="str">
        <x:v>EEZ_956</x:v>
      </x:c>
      <x:c r="B41" s="24" t="str">
        <x:v>Thailand (Andaman Sea)</x:v>
      </x:c>
      <x:c r="C41" s="24" t="str">
        <x:v>EEZ</x:v>
      </x:c>
      <x:c r="D41" s="30" t="n">
        <x:v>2019</x:v>
      </x:c>
      <x:c r="E41" s="24" t="str">
        <x:v>Penaeus semisulcatus</x:v>
      </x:c>
      <x:c r="F41" s="24" t="str">
        <x:v>Green tiger prawn</x:v>
      </x:c>
      <x:c r="G41" s="24" t="str">
        <x:v>Shrimps</x:v>
      </x:c>
      <x:c r="H41" s="24" t="str">
        <x:v>Crustaceans</x:v>
      </x:c>
      <x:c r="I41" s="31" t="n">
        <x:v>768.7853359439999</x:v>
      </x:c>
      <x:c r="J41" s="31" t="n">
        <x:v>768.7853359439999</x:v>
      </x:c>
      <x:c r="K41" s="31" t="n">
        <x:v>0</x:v>
      </x:c>
      <x:c r="L41" s="31" t="n">
        <x:v>426.16118107679995</x:v>
      </x:c>
      <x:c r="M41" s="31" t="n">
        <x:v>342.6241548672</x:v>
      </x:c>
      <x:c r="N41" s="24" t="str">
        <x:v>penaeus semisulcatus</x:v>
      </x:c>
      <x:c r="O41" s="32" t="n">
        <x:v>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Penaeus semisulcatus</x:v>
      </x:c>
      <x:c r="T41" s="32" t="n">
        <x:f>IF(O41="","",(1/'Metadata'!$B$5)^(O41-1))</x:f>
        <x:v>10</x:v>
      </x:c>
      <x:c r="U41" s="31" t="n">
        <x:f>IF(T41="","",I41*T41)</x:f>
        <x:v>7687.85335944</x:v>
      </x:c>
    </x:row>
    <x:row r="42" ht="18" customHeight="1">
      <x:c r="A42" s="24" t="str">
        <x:v>EEZ_956</x:v>
      </x:c>
      <x:c r="B42" s="24" t="str">
        <x:v>Thailand (Andaman Sea)</x:v>
      </x:c>
      <x:c r="C42" s="24" t="str">
        <x:v>EEZ</x:v>
      </x:c>
      <x:c r="D42" s="30" t="n">
        <x:v>2019</x:v>
      </x:c>
      <x:c r="E42" s="24" t="str">
        <x:v>Scomberomorus</x:v>
      </x:c>
      <x:c r="F42" s="24" t="str">
        <x:v>Spanish mackerels</x:v>
      </x:c>
      <x:c r="G42" s="24" t="str">
        <x:v>Large pelagics (&gt;=90 cm)</x:v>
      </x:c>
      <x:c r="H42" s="24" t="str">
        <x:v>Perch-likes</x:v>
      </x:c>
      <x:c r="I42" s="31" t="n">
        <x:v>633.5252886144</x:v>
      </x:c>
      <x:c r="J42" s="31" t="n">
        <x:v>633.5252886144</x:v>
      </x:c>
      <x:c r="K42" s="31" t="n">
        <x:v>0</x:v>
      </x:c>
      <x:c r="L42" s="31" t="n">
        <x:v>354.07815602470004</x:v>
      </x:c>
      <x:c r="M42" s="31" t="n">
        <x:v>279.4471325897</x:v>
      </x:c>
      <x:c r="N42" s="24" t="str">
        <x:v>scomberomorus</x:v>
      </x:c>
      <x:c r="O42" s="32" t="n">
        <x:v>4.35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Scomberomorus</x:v>
      </x:c>
      <x:c r="T42" s="32" t="n">
        <x:f>IF(O42="","",(1/'Metadata'!$B$5)^(O42-1))</x:f>
        <x:v>2238.7211385683377</x:v>
      </x:c>
      <x:c r="U42" s="31" t="n">
        <x:f>IF(T42="","",I42*T42)</x:f>
        <x:v>1418286.4554386642</x:v>
      </x:c>
    </x:row>
    <x:row r="43" ht="18" customHeight="1">
      <x:c r="A43" s="24" t="str">
        <x:v>EEZ_956</x:v>
      </x:c>
      <x:c r="B43" s="24" t="str">
        <x:v>Thailand (Andaman Sea)</x:v>
      </x:c>
      <x:c r="C43" s="24" t="str">
        <x:v>EEZ</x:v>
      </x:c>
      <x:c r="D43" s="30" t="n">
        <x:v>2019</x:v>
      </x:c>
      <x:c r="E43" s="24" t="str">
        <x:v>Batoidea</x:v>
      </x:c>
      <x:c r="F43" s="24" t="str">
        <x:v>Batoids, skates, rays, sawfishes</x:v>
      </x:c>
      <x:c r="G43" s="24" t="str">
        <x:v>Large rays (&gt;=90 cm)</x:v>
      </x:c>
      <x:c r="H43" s="24" t="str">
        <x:v>Sharks &amp; rays</x:v>
      </x:c>
      <x:c r="I43" s="31" t="n">
        <x:v>576.5950823004</x:v>
      </x:c>
      <x:c r="J43" s="31" t="n">
        <x:v>576.5950823004</x:v>
      </x:c>
      <x:c r="K43" s="31" t="n">
        <x:v>0</x:v>
      </x:c>
      <x:c r="L43" s="31" t="n">
        <x:v>352.493913716</x:v>
      </x:c>
      <x:c r="M43" s="31" t="n">
        <x:v>224.1011685844</x:v>
      </x:c>
      <x:c r="N43" s="24" t="str">
        <x:v>batoidea</x:v>
      </x:c>
      <x:c r="O43" s="32" t="n">
        <x:v>3.72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Batoidea</x:v>
      </x:c>
      <x:c r="T43" s="32" t="n">
        <x:f>IF(O43="","",(1/'Metadata'!$B$5)^(O43-1))</x:f>
        <x:v>524.8074602497728</x:v>
      </x:c>
      <x:c r="U43" s="31" t="n">
        <x:f>IF(T43="","",I43*T43)</x:f>
        <x:v>302601.40073458164</x:v>
      </x:c>
    </x:row>
    <x:row r="44" ht="18" customHeight="1">
      <x:c r="A44" s="24" t="str">
        <x:v>EEZ_956</x:v>
      </x:c>
      <x:c r="B44" s="24" t="str">
        <x:v>Thailand (Andaman Sea)</x:v>
      </x:c>
      <x:c r="C44" s="24" t="str">
        <x:v>EEZ</x:v>
      </x:c>
      <x:c r="D44" s="30" t="n">
        <x:v>2019</x:v>
      </x:c>
      <x:c r="E44" s="24" t="str">
        <x:v>Sillago</x:v>
      </x:c>
      <x:c r="F44" s="24" t="str">
        <x:v>Smelt-whitings</x:v>
      </x:c>
      <x:c r="G44" s="24" t="str">
        <x:v>Medium demersals (30 - 89 cm)</x:v>
      </x:c>
      <x:c r="H44" s="24" t="str">
        <x:v>Perch-likes</x:v>
      </x:c>
      <x:c r="I44" s="31" t="n">
        <x:v>520.7752856079</x:v>
      </x:c>
      <x:c r="J44" s="31" t="n">
        <x:v>520.7752856079</x:v>
      </x:c>
      <x:c r="K44" s="31" t="n">
        <x:v>0</x:v>
      </x:c>
      <x:c r="L44" s="31" t="n">
        <x:v>460.2223907167</x:v>
      </x:c>
      <x:c r="M44" s="31" t="n">
        <x:v>60.5528948912</x:v>
      </x:c>
      <x:c r="N44" s="24" t="str">
        <x:v>sillago</x:v>
      </x:c>
      <x:c r="O44" s="32" t="n">
        <x:v>3.33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Sillago</x:v>
      </x:c>
      <x:c r="T44" s="32" t="n">
        <x:f>IF(O44="","",(1/'Metadata'!$B$5)^(O44-1))</x:f>
        <x:v>213.79620895022325</x:v>
      </x:c>
      <x:c r="U44" s="31" t="n">
        <x:f>IF(T44="","",I44*T44)</x:f>
        <x:v>111339.78177793877</x:v>
      </x:c>
    </x:row>
    <x:row r="45" ht="18" customHeight="1">
      <x:c r="A45" s="24" t="str">
        <x:v>EEZ_956</x:v>
      </x:c>
      <x:c r="B45" s="24" t="str">
        <x:v>Thailand (Andaman Sea)</x:v>
      </x:c>
      <x:c r="C45" s="24" t="str">
        <x:v>EEZ</x:v>
      </x:c>
      <x:c r="D45" s="30" t="n">
        <x:v>2019</x:v>
      </x:c>
      <x:c r="E45" s="24" t="str">
        <x:v>Metapenaeus</x:v>
      </x:c>
      <x:c r="F45" s="24" t="str">
        <x:v>Indo-Pacific prawns</x:v>
      </x:c>
      <x:c r="G45" s="24" t="str">
        <x:v>Shrimps</x:v>
      </x:c>
      <x:c r="H45" s="24" t="str">
        <x:v>Crustaceans</x:v>
      </x:c>
      <x:c r="I45" s="31" t="n">
        <x:v>454.3664766618</x:v>
      </x:c>
      <x:c r="J45" s="31" t="n">
        <x:v>454.3664766618</x:v>
      </x:c>
      <x:c r="K45" s="31" t="n">
        <x:v>0</x:v>
      </x:c>
      <x:c r="L45" s="31" t="n">
        <x:v>301.0060386788</x:v>
      </x:c>
      <x:c r="M45" s="31" t="n">
        <x:v>153.360437983</x:v>
      </x:c>
      <x:c r="N45" s="24" t="str">
        <x:v>metapenaeus</x:v>
      </x:c>
      <x:c r="O45" s="32" t="n">
        <x:v>2.7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Metapenaeus</x:v>
      </x:c>
      <x:c r="T45" s="32" t="n">
        <x:f>IF(O45="","",(1/'Metadata'!$B$5)^(O45-1))</x:f>
        <x:v>50.11872336272725</x:v>
      </x:c>
      <x:c r="U45" s="31" t="n">
        <x:f>IF(T45="","",I45*T45)</x:f>
        <x:v>22772.267749109822</x:v>
      </x:c>
    </x:row>
    <x:row r="46" ht="18" customHeight="1">
      <x:c r="A46" s="24" t="str">
        <x:v>EEZ_956</x:v>
      </x:c>
      <x:c r="B46" s="24" t="str">
        <x:v>Thailand (Andaman Sea)</x:v>
      </x:c>
      <x:c r="C46" s="24" t="str">
        <x:v>EEZ</x:v>
      </x:c>
      <x:c r="D46" s="30" t="n">
        <x:v>2019</x:v>
      </x:c>
      <x:c r="E46" s="24" t="str">
        <x:v>Ariidae</x:v>
      </x:c>
      <x:c r="F46" s="24" t="str">
        <x:v>Sea catfishes, coblers</x:v>
      </x:c>
      <x:c r="G46" s="24" t="str">
        <x:v>Medium demersals (30 - 89 cm)</x:v>
      </x:c>
      <x:c r="H46" s="24" t="str">
        <x:v>Other fishes &amp; inverts</x:v>
      </x:c>
      <x:c r="I46" s="31" t="n">
        <x:v>374.9504197672</x:v>
      </x:c>
      <x:c r="J46" s="31" t="n">
        <x:v>374.9504197672</x:v>
      </x:c>
      <x:c r="K46" s="31" t="n">
        <x:v>0</x:v>
      </x:c>
      <x:c r="L46" s="31" t="n">
        <x:v>287.5399790537</x:v>
      </x:c>
      <x:c r="M46" s="31" t="n">
        <x:v>87.4104407135</x:v>
      </x:c>
      <x:c r="N46" s="24" t="str">
        <x:v>ariidae</x:v>
      </x:c>
      <x:c r="O46" s="32" t="n">
        <x:v>3.48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Ariidae</x:v>
      </x:c>
      <x:c r="T46" s="32" t="n">
        <x:f>IF(O46="","",(1/'Metadata'!$B$5)^(O46-1))</x:f>
        <x:v>301.9951720402016</x:v>
      </x:c>
      <x:c r="U46" s="31" t="n">
        <x:f>IF(T46="","",I46*T46)</x:f>
        <x:v>113233.21652414137</x:v>
      </x:c>
    </x:row>
    <x:row r="47" ht="18" customHeight="1">
      <x:c r="A47" s="24" t="str">
        <x:v>EEZ_956</x:v>
      </x:c>
      <x:c r="B47" s="24" t="str">
        <x:v>Thailand (Andaman Sea)</x:v>
      </x:c>
      <x:c r="C47" s="24" t="str">
        <x:v>EEZ</x:v>
      </x:c>
      <x:c r="D47" s="30" t="n">
        <x:v>2019</x:v>
      </x:c>
      <x:c r="E47" s="24" t="str">
        <x:v>Mugilidae</x:v>
      </x:c>
      <x:c r="F47" s="24" t="str">
        <x:v>Mullets, grey mullets</x:v>
      </x:c>
      <x:c r="G47" s="24" t="str">
        <x:v>Medium reef assoc. fish (30 - 89 cm)</x:v>
      </x:c>
      <x:c r="H47" s="24" t="str">
        <x:v>Perch-likes</x:v>
      </x:c>
      <x:c r="I47" s="31" t="n">
        <x:v>373.8811848853</x:v>
      </x:c>
      <x:c r="J47" s="31" t="n">
        <x:v>373.8811848853</x:v>
      </x:c>
      <x:c r="K47" s="31" t="n">
        <x:v>0</x:v>
      </x:c>
      <x:c r="L47" s="31" t="n">
        <x:v>373.8811848853</x:v>
      </x:c>
      <x:c r="M47" s="31" t="n">
        <x:v>0</x:v>
      </x:c>
      <x:c r="N47" s="24" t="str">
        <x:v>mugilidae</x:v>
      </x:c>
      <x:c r="O47" s="32" t="n">
        <x:v>2.53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Mugilidae</x:v>
      </x:c>
      <x:c r="T47" s="32" t="n">
        <x:f>IF(O47="","",(1/'Metadata'!$B$5)^(O47-1))</x:f>
        <x:v>33.88441561392024</x:v>
      </x:c>
      <x:c r="U47" s="31" t="n">
        <x:f>IF(T47="","",I47*T47)</x:f>
        <x:v>12668.745458878459</x:v>
      </x:c>
    </x:row>
    <x:row r="48" ht="18" customHeight="1">
      <x:c r="A48" s="24" t="str">
        <x:v>EEZ_956</x:v>
      </x:c>
      <x:c r="B48" s="24" t="str">
        <x:v>Thailand (Andaman Sea)</x:v>
      </x:c>
      <x:c r="C48" s="24" t="str">
        <x:v>EEZ</x:v>
      </x:c>
      <x:c r="D48" s="30" t="n">
        <x:v>2019</x:v>
      </x:c>
      <x:c r="E48" s="24" t="str">
        <x:v>Miscellaneous aquatic invertebrates</x:v>
      </x:c>
      <x:c r="F48" s="24" t="str">
        <x:v>Aquatic invertebrates</x:v>
      </x:c>
      <x:c r="G48" s="24" t="str">
        <x:v>Other demersal invertebrates</x:v>
      </x:c>
      <x:c r="H48" s="24" t="str">
        <x:v>Other fishes &amp; inverts</x:v>
      </x:c>
      <x:c r="I48" s="31" t="n">
        <x:v>346.8783286264</x:v>
      </x:c>
      <x:c r="J48" s="31" t="n">
        <x:v>346.8783286264</x:v>
      </x:c>
      <x:c r="K48" s="31" t="n">
        <x:v>0</x:v>
      </x:c>
      <x:c r="L48" s="31" t="n">
        <x:v>243.1811944065</x:v>
      </x:c>
      <x:c r="M48" s="31" t="n">
        <x:v>103.69713421990001</x:v>
      </x:c>
      <x:c r="N48" s="24" t="str">
        <x:v>miscellaneous aquatic invertebrates</x:v>
      </x:c>
      <x:c r="O48" s="32" t="n">
        <x:v>2.43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Miscellaneous aquatic invertebrates</x:v>
      </x:c>
      <x:c r="T48" s="32" t="n">
        <x:f>IF(O48="","",(1/'Metadata'!$B$5)^(O48-1))</x:f>
        <x:v>26.915348039269166</x:v>
      </x:c>
      <x:c r="U48" s="31" t="n">
        <x:f>IF(T48="","",I48*T48)</x:f>
        <x:v>9336.35094225954</x:v>
      </x:c>
    </x:row>
    <x:row r="49" ht="18" customHeight="1">
      <x:c r="A49" s="24" t="str">
        <x:v>EEZ_956</x:v>
      </x:c>
      <x:c r="B49" s="24" t="str">
        <x:v>Thailand (Andaman Sea)</x:v>
      </x:c>
      <x:c r="C49" s="24" t="str">
        <x:v>EEZ</x:v>
      </x:c>
      <x:c r="D49" s="30" t="n">
        <x:v>2019</x:v>
      </x:c>
      <x:c r="E49" s="24" t="str">
        <x:v>Muraenesox cinereus</x:v>
      </x:c>
      <x:c r="F49" s="24" t="str">
        <x:v>Daggertooth pike conger</x:v>
      </x:c>
      <x:c r="G49" s="24" t="str">
        <x:v>Large demersals (&gt;=90 cm)</x:v>
      </x:c>
      <x:c r="H49" s="24" t="str">
        <x:v>Other fishes &amp; inverts</x:v>
      </x:c>
      <x:c r="I49" s="31" t="n">
        <x:v>332.9347155828</x:v>
      </x:c>
      <x:c r="J49" s="31" t="n">
        <x:v>332.9347155828</x:v>
      </x:c>
      <x:c r="K49" s="31" t="n">
        <x:v>0</x:v>
      </x:c>
      <x:c r="L49" s="31" t="n">
        <x:v>190.9011982147</x:v>
      </x:c>
      <x:c r="M49" s="31" t="n">
        <x:v>142.0335173681</x:v>
      </x:c>
      <x:c r="N49" s="24" t="str">
        <x:v>muraenesox cinereus</x:v>
      </x:c>
      <x:c r="O49" s="32" t="n">
        <x:v>4.38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Muraenesox cinereus</x:v>
      </x:c>
      <x:c r="T49" s="32" t="n">
        <x:f>IF(O49="","",(1/'Metadata'!$B$5)^(O49-1))</x:f>
        <x:v>2398.83291901949</x:v>
      </x:c>
      <x:c r="U49" s="31" t="n">
        <x:f>IF(T49="","",I49*T49)</x:f>
        <x:v>798654.7556244117</x:v>
      </x:c>
    </x:row>
    <x:row r="50" ht="18" customHeight="1">
      <x:c r="A50" s="24" t="str">
        <x:v>EEZ_956</x:v>
      </x:c>
      <x:c r="B50" s="24" t="str">
        <x:v>Thailand (Andaman Sea)</x:v>
      </x:c>
      <x:c r="C50" s="24" t="str">
        <x:v>EEZ</x:v>
      </x:c>
      <x:c r="D50" s="30" t="n">
        <x:v>2019</x:v>
      </x:c>
      <x:c r="E50" s="24" t="str">
        <x:v>Polynemidae</x:v>
      </x:c>
      <x:c r="F50" s="24" t="str">
        <x:v>Threadfins</x:v>
      </x:c>
      <x:c r="G50" s="24" t="str">
        <x:v>Small demersals (&lt;30 cm)</x:v>
      </x:c>
      <x:c r="H50" s="24" t="str">
        <x:v>Perch-likes</x:v>
      </x:c>
      <x:c r="I50" s="31" t="n">
        <x:v>330.91165928830003</x:v>
      </x:c>
      <x:c r="J50" s="31" t="n">
        <x:v>330.91165928830003</x:v>
      </x:c>
      <x:c r="K50" s="31" t="n">
        <x:v>0</x:v>
      </x:c>
      <x:c r="L50" s="31" t="n">
        <x:v>212.2884693839</x:v>
      </x:c>
      <x:c r="M50" s="31" t="n">
        <x:v>118.62318990440001</x:v>
      </x:c>
      <x:c r="N50" s="24" t="str">
        <x:v>polynemidae</x:v>
      </x:c>
      <x:c r="O50" s="32" t="n">
        <x:v>3.62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Polynemidae</x:v>
      </x:c>
      <x:c r="T50" s="32" t="n">
        <x:f>IF(O50="","",(1/'Metadata'!$B$5)^(O50-1))</x:f>
        <x:v>416.8693834703355</x:v>
      </x:c>
      <x:c r="U50" s="31" t="n">
        <x:f>IF(T50="","",I50*T50)</x:f>
        <x:v>137946.93939065936</x:v>
      </x:c>
    </x:row>
    <x:row r="51" ht="18" customHeight="1">
      <x:c r="A51" s="24" t="str">
        <x:v>EEZ_956</x:v>
      </x:c>
      <x:c r="B51" s="24" t="str">
        <x:v>Thailand (Andaman Sea)</x:v>
      </x:c>
      <x:c r="C51" s="24" t="str">
        <x:v>EEZ</x:v>
      </x:c>
      <x:c r="D51" s="30" t="n">
        <x:v>2019</x:v>
      </x:c>
      <x:c r="E51" s="24" t="str">
        <x:v>Scylla serrata</x:v>
      </x:c>
      <x:c r="F51" s="24" t="str">
        <x:v>Indo-Pacific swamp crab</x:v>
      </x:c>
      <x:c r="G51" s="24" t="str">
        <x:v>Lobsters, crabs</x:v>
      </x:c>
      <x:c r="H51" s="24" t="str">
        <x:v>Crustaceans</x:v>
      </x:c>
      <x:c r="I51" s="31" t="n">
        <x:v>303.3824021421</x:v>
      </x:c>
      <x:c r="J51" s="31" t="n">
        <x:v>303.3824021421</x:v>
      </x:c>
      <x:c r="K51" s="31" t="n">
        <x:v>0</x:v>
      </x:c>
      <x:c r="L51" s="31" t="n">
        <x:v>303.3824021421</x:v>
      </x:c>
      <x:c r="M51" s="31" t="n">
        <x:v>0</x:v>
      </x:c>
      <x:c r="N51" s="24" t="str">
        <x:v>scylla serrata</x:v>
      </x:c>
      <x:c r="O51" s="32" t="n">
        <x:v>3.17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Scylla serrata</x:v>
      </x:c>
      <x:c r="T51" s="32" t="n">
        <x:f>IF(O51="","",(1/'Metadata'!$B$5)^(O51-1))</x:f>
        <x:v>147.91083881682073</x:v>
      </x:c>
      <x:c r="U51" s="31" t="n">
        <x:f>IF(T51="","",I51*T51)</x:f>
        <x:v>44873.545583100036</x:v>
      </x:c>
    </x:row>
    <x:row r="52" ht="18" customHeight="1">
      <x:c r="A52" s="24" t="str">
        <x:v>EEZ_956</x:v>
      </x:c>
      <x:c r="B52" s="24" t="str">
        <x:v>Thailand (Andaman Sea)</x:v>
      </x:c>
      <x:c r="C52" s="24" t="str">
        <x:v>EEZ</x:v>
      </x:c>
      <x:c r="D52" s="30" t="n">
        <x:v>2019</x:v>
      </x:c>
      <x:c r="E52" s="24" t="str">
        <x:v>Elasmobranchii</x:v>
      </x:c>
      <x:c r="F52" s="24" t="str">
        <x:v>Sharks, rays, skates</x:v>
      </x:c>
      <x:c r="G52" s="24" t="str">
        <x:v>Large sharks (&gt;=90 cm)</x:v>
      </x:c>
      <x:c r="H52" s="24" t="str">
        <x:v>Sharks &amp; rays</x:v>
      </x:c>
      <x:c r="I52" s="31" t="n">
        <x:v>194.93943531940002</x:v>
      </x:c>
      <x:c r="J52" s="31" t="n">
        <x:v>194.93943531940002</x:v>
      </x:c>
      <x:c r="K52" s="31" t="n">
        <x:v>0</x:v>
      </x:c>
      <x:c r="L52" s="31" t="n">
        <x:v>175.8508962809</x:v>
      </x:c>
      <x:c r="M52" s="31" t="n">
        <x:v>19.0885390385</x:v>
      </x:c>
      <x:c r="N52" s="24" t="str">
        <x:v>elasmobranchii</x:v>
      </x:c>
      <x:c r="O52" s="32" t="n">
        <x:v>4.05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Elasmobranchii</x:v>
      </x:c>
      <x:c r="T52" s="32" t="n">
        <x:f>IF(O52="","",(1/'Metadata'!$B$5)^(O52-1))</x:f>
        <x:v>1122.018454301963</x:v>
      </x:c>
      <x:c r="U52" s="31" t="n">
        <x:f>IF(T52="","",I52*T52)</x:f>
        <x:v>218725.64389957068</x:v>
      </x:c>
    </x:row>
    <x:row r="53" ht="18" customHeight="1">
      <x:c r="A53" s="24" t="str">
        <x:v>EEZ_956</x:v>
      </x:c>
      <x:c r="B53" s="24" t="str">
        <x:v>Thailand (Andaman Sea)</x:v>
      </x:c>
      <x:c r="C53" s="24" t="str">
        <x:v>EEZ</x:v>
      </x:c>
      <x:c r="D53" s="30" t="n">
        <x:v>2019</x:v>
      </x:c>
      <x:c r="E53" s="24" t="str">
        <x:v>Parastromateus niger</x:v>
      </x:c>
      <x:c r="F53" s="24" t="str">
        <x:v>Black pomfret</x:v>
      </x:c>
      <x:c r="G53" s="24" t="str">
        <x:v>Medium benthopelagics (30 - 89 cm)</x:v>
      </x:c>
      <x:c r="H53" s="24" t="str">
        <x:v>Perch-likes</x:v>
      </x:c>
      <x:c r="I53" s="31" t="n">
        <x:v>184.50028125859998</x:v>
      </x:c>
      <x:c r="J53" s="31" t="n">
        <x:v>184.50028125859998</x:v>
      </x:c>
      <x:c r="K53" s="31" t="n">
        <x:v>0</x:v>
      </x:c>
      <x:c r="L53" s="31" t="n">
        <x:v>102.18362891999999</x:v>
      </x:c>
      <x:c r="M53" s="31" t="n">
        <x:v>82.31665233860001</x:v>
      </x:c>
      <x:c r="N53" s="24" t="str">
        <x:v>parastromateus niger</x:v>
      </x:c>
      <x:c r="O53" s="32" t="n">
        <x:v>2.93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Parastromateus niger</x:v>
      </x:c>
      <x:c r="T53" s="32" t="n">
        <x:f>IF(O53="","",(1/'Metadata'!$B$5)^(O53-1))</x:f>
        <x:v>85.11380382023768</x:v>
      </x:c>
      <x:c r="U53" s="31" t="n">
        <x:f>IF(T53="","",I53*T53)</x:f>
        <x:v>15703.520743823154</x:v>
      </x:c>
    </x:row>
    <x:row r="54" ht="18" customHeight="1">
      <x:c r="A54" s="24" t="str">
        <x:v>EEZ_956</x:v>
      </x:c>
      <x:c r="B54" s="24" t="str">
        <x:v>Thailand (Andaman Sea)</x:v>
      </x:c>
      <x:c r="C54" s="24" t="str">
        <x:v>EEZ</x:v>
      </x:c>
      <x:c r="D54" s="30" t="n">
        <x:v>2019</x:v>
      </x:c>
      <x:c r="E54" s="24" t="str">
        <x:v>Lates calcarifer</x:v>
      </x:c>
      <x:c r="F54" s="24" t="str">
        <x:v>Barramundi</x:v>
      </x:c>
      <x:c r="G54" s="24" t="str">
        <x:v>Large demersals (&gt;=90 cm)</x:v>
      </x:c>
      <x:c r="H54" s="24" t="str">
        <x:v>Perch-likes</x:v>
      </x:c>
      <x:c r="I54" s="31" t="n">
        <x:v>152.8859570015</x:v>
      </x:c>
      <x:c r="J54" s="31" t="n">
        <x:v>152.8859570015</x:v>
      </x:c>
      <x:c r="K54" s="31" t="n">
        <x:v>0</x:v>
      </x:c>
      <x:c r="L54" s="31" t="n">
        <x:v>150.5030193395</x:v>
      </x:c>
      <x:c r="M54" s="31" t="n">
        <x:v>2.382937662</x:v>
      </x:c>
      <x:c r="N54" s="24" t="str">
        <x:v>lates calcarifer</x:v>
      </x:c>
      <x:c r="O54" s="32" t="n">
        <x:v>4.35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Lates calcarifer</x:v>
      </x:c>
      <x:c r="T54" s="32" t="n">
        <x:f>IF(O54="","",(1/'Metadata'!$B$5)^(O54-1))</x:f>
        <x:v>2238.7211385683377</x:v>
      </x:c>
      <x:c r="U54" s="31" t="n">
        <x:f>IF(T54="","",I54*T54)</x:f>
        <x:v>342269.023729508</x:v>
      </x:c>
    </x:row>
    <x:row r="55" ht="18" customHeight="1">
      <x:c r="A55" s="24" t="str">
        <x:v>EEZ_956</x:v>
      </x:c>
      <x:c r="B55" s="24" t="str">
        <x:v>Thailand (Andaman Sea)</x:v>
      </x:c>
      <x:c r="C55" s="24" t="str">
        <x:v>EEZ</x:v>
      </x:c>
      <x:c r="D55" s="30" t="n">
        <x:v>2019</x:v>
      </x:c>
      <x:c r="E55" s="24" t="str">
        <x:v>Seriolina nigrofasciata</x:v>
      </x:c>
      <x:c r="F55" s="24" t="str">
        <x:v>Blackbanded trevally</x:v>
      </x:c>
      <x:c r="G55" s="24" t="str">
        <x:v>Medium reef assoc. fish (30 - 89 cm)</x:v>
      </x:c>
      <x:c r="H55" s="24" t="str">
        <x:v>Perch-likes</x:v>
      </x:c>
      <x:c r="I55" s="31" t="n">
        <x:v>115.2218482998</x:v>
      </x:c>
      <x:c r="J55" s="31" t="n">
        <x:v>115.2218482998</x:v>
      </x:c>
      <x:c r="K55" s="31" t="n">
        <x:v>0</x:v>
      </x:c>
      <x:c r="L55" s="31" t="n">
        <x:v>93.4702962213</x:v>
      </x:c>
      <x:c r="M55" s="31" t="n">
        <x:v>21.7515520785</x:v>
      </x:c>
      <x:c r="N55" s="24" t="str">
        <x:v>seriolina nigrofasciata</x:v>
      </x:c>
      <x:c r="O55" s="32" t="n">
        <x:v>4.17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Seriolina nigrofasciata</x:v>
      </x:c>
      <x:c r="T55" s="32" t="n">
        <x:f>IF(O55="","",(1/'Metadata'!$B$5)^(O55-1))</x:f>
        <x:v>1479.1083881682073</x:v>
      </x:c>
      <x:c r="U55" s="31" t="n">
        <x:f>IF(T55="","",I55*T55)</x:f>
        <x:v>170425.60232047888</x:v>
      </x:c>
    </x:row>
    <x:row r="56" ht="18" customHeight="1">
      <x:c r="A56" s="24" t="str">
        <x:v>EEZ_956</x:v>
      </x:c>
      <x:c r="B56" s="24" t="str">
        <x:v>Thailand (Andaman Sea)</x:v>
      </x:c>
      <x:c r="C56" s="24" t="str">
        <x:v>EEZ</x:v>
      </x:c>
      <x:c r="D56" s="30" t="n">
        <x:v>2019</x:v>
      </x:c>
      <x:c r="E56" s="24" t="str">
        <x:v>Penaeus monodon</x:v>
      </x:c>
      <x:c r="F56" s="24" t="str">
        <x:v>Giant tiger prawn</x:v>
      </x:c>
      <x:c r="G56" s="24" t="str">
        <x:v>Shrimps</x:v>
      </x:c>
      <x:c r="H56" s="24" t="str">
        <x:v>Crustaceans</x:v>
      </x:c>
      <x:c r="I56" s="31" t="n">
        <x:v>104.6987034211</x:v>
      </x:c>
      <x:c r="J56" s="31" t="n">
        <x:v>104.6987034211</x:v>
      </x:c>
      <x:c r="K56" s="31" t="n">
        <x:v>0</x:v>
      </x:c>
      <x:c r="L56" s="31" t="n">
        <x:v>88.717569295</x:v>
      </x:c>
      <x:c r="M56" s="31" t="n">
        <x:v>15.9811341261</x:v>
      </x:c>
      <x:c r="N56" s="24" t="str">
        <x:v>penaeus monodon</x:v>
      </x:c>
      <x:c r="O56" s="32" t="n">
        <x:v>2.6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Penaeus monodon</x:v>
      </x:c>
      <x:c r="T56" s="32" t="n">
        <x:f>IF(O56="","",(1/'Metadata'!$B$5)^(O56-1))</x:f>
        <x:v>39.810717055349734</x:v>
      </x:c>
      <x:c r="U56" s="31" t="n">
        <x:f>IF(T56="","",I56*T56)</x:f>
        <x:v>4168.13045795939</x:v>
      </x:c>
    </x:row>
    <x:row r="57" ht="18" customHeight="1">
      <x:c r="A57" s="24" t="str">
        <x:v>EEZ_956</x:v>
      </x:c>
      <x:c r="B57" s="24" t="str">
        <x:v>Thailand (Andaman Sea)</x:v>
      </x:c>
      <x:c r="C57" s="24" t="str">
        <x:v>EEZ</x:v>
      </x:c>
      <x:c r="D57" s="30" t="n">
        <x:v>2019</x:v>
      </x:c>
      <x:c r="E57" s="24" t="str">
        <x:v>Psettodes erumei</x:v>
      </x:c>
      <x:c r="F57" s="24" t="str">
        <x:v>Indian halibut</x:v>
      </x:c>
      <x:c r="G57" s="24" t="str">
        <x:v>Small to medium flatfishes (&lt;90 cm)</x:v>
      </x:c>
      <x:c r="H57" s="24" t="str">
        <x:v>Flatfishes</x:v>
      </x:c>
      <x:c r="I57" s="31" t="n">
        <x:v>98.9329564803</x:v>
      </x:c>
      <x:c r="J57" s="31" t="n">
        <x:v>98.9329564803</x:v>
      </x:c>
      <x:c r="K57" s="31" t="n">
        <x:v>0</x:v>
      </x:c>
      <x:c r="L57" s="31" t="n">
        <x:v>75.2515096695</x:v>
      </x:c>
      <x:c r="M57" s="31" t="n">
        <x:v>23.681446810799997</x:v>
      </x:c>
      <x:c r="N57" s="24" t="str">
        <x:v>psettodes erumei</x:v>
      </x:c>
      <x:c r="O57" s="32" t="n">
        <x:v>4.39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Psettodes erumei</x:v>
      </x:c>
      <x:c r="T57" s="32" t="n">
        <x:f>IF(O57="","",(1/'Metadata'!$B$5)^(O57-1))</x:f>
        <x:v>2454.7089156850284</x:v>
      </x:c>
      <x:c r="U57" s="31" t="n">
        <x:f>IF(T57="","",I57*T57)</x:f>
        <x:v>242851.61032727134</x:v>
      </x:c>
    </x:row>
    <x:row r="58" ht="18" customHeight="1">
      <x:c r="A58" s="24" t="str">
        <x:v>EEZ_956</x:v>
      </x:c>
      <x:c r="B58" s="24" t="str">
        <x:v>Thailand (Andaman Sea)</x:v>
      </x:c>
      <x:c r="C58" s="24" t="str">
        <x:v>EEZ</x:v>
      </x:c>
      <x:c r="D58" s="30" t="n">
        <x:v>2019</x:v>
      </x:c>
      <x:c r="E58" s="24" t="str">
        <x:v>Penaeus latisulcatus</x:v>
      </x:c>
      <x:c r="F58" s="24" t="str">
        <x:v>Western king prawn</x:v>
      </x:c>
      <x:c r="G58" s="24" t="str">
        <x:v>Shrimps</x:v>
      </x:c>
      <x:c r="H58" s="24" t="str">
        <x:v>Crustaceans</x:v>
      </x:c>
      <x:c r="I58" s="31" t="n">
        <x:v>79.3938930094</x:v>
      </x:c>
      <x:c r="J58" s="31" t="n">
        <x:v>79.3938930094</x:v>
      </x:c>
      <x:c r="K58" s="31" t="n">
        <x:v>0</x:v>
      </x:c>
      <x:c r="L58" s="31" t="n">
        <x:v>58.616965427</x:v>
      </x:c>
      <x:c r="M58" s="31" t="n">
        <x:v>20.7769275824</x:v>
      </x:c>
      <x:c r="N58" s="24" t="str">
        <x:v>penaeus latisulcatus</x:v>
      </x:c>
      <x:c r="O58" s="32" t="n">
        <x:v>2.7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Penaeus latisulcatus</x:v>
      </x:c>
      <x:c r="T58" s="32" t="n">
        <x:f>IF(O58="","",(1/'Metadata'!$B$5)^(O58-1))</x:f>
        <x:v>50.11872336272725</x:v>
      </x:c>
      <x:c r="U58" s="31" t="n">
        <x:f>IF(T58="","",I58*T58)</x:f>
        <x:v>3979.120560428084</x:v>
      </x:c>
    </x:row>
    <x:row r="59" ht="18" customHeight="1">
      <x:c r="A59" s="24" t="str">
        <x:v>EEZ_956</x:v>
      </x:c>
      <x:c r="B59" s="24" t="str">
        <x:v>Thailand (Andaman Sea)</x:v>
      </x:c>
      <x:c r="C59" s="24" t="str">
        <x:v>EEZ</x:v>
      </x:c>
      <x:c r="D59" s="30" t="n">
        <x:v>2019</x:v>
      </x:c>
      <x:c r="E59" s="24" t="str">
        <x:v>Thunnus obesus</x:v>
      </x:c>
      <x:c r="F59" s="24" t="str">
        <x:v>Bigeye tuna</x:v>
      </x:c>
      <x:c r="G59" s="24" t="str">
        <x:v>Large pelagics (&gt;=90 cm)</x:v>
      </x:c>
      <x:c r="H59" s="24" t="str">
        <x:v>Tuna &amp; billfishes</x:v>
      </x:c>
      <x:c r="I59" s="31" t="n">
        <x:v>73.1119566712</x:v>
      </x:c>
      <x:c r="J59" s="31" t="n">
        <x:v>73.1119566712</x:v>
      </x:c>
      <x:c r="K59" s="31" t="n">
        <x:v>0</x:v>
      </x:c>
      <x:c r="L59" s="31" t="n">
        <x:v>0</x:v>
      </x:c>
      <x:c r="M59" s="31" t="n">
        <x:v>73.1119566712</x:v>
      </x:c>
      <x:c r="N59" s="24" t="str">
        <x:v>thunnus obesus</x:v>
      </x:c>
      <x:c r="O59" s="32" t="n">
        <x:v>4.49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Thunnus obesus</x:v>
      </x:c>
      <x:c r="T59" s="32" t="n">
        <x:f>IF(O59="","",(1/'Metadata'!$B$5)^(O59-1))</x:f>
        <x:v>3090.295432513592</x:v>
      </x:c>
      <x:c r="U59" s="31" t="n">
        <x:f>IF(T59="","",I59*T59)</x:f>
        <x:v>225937.545763141</x:v>
      </x:c>
    </x:row>
    <x:row r="60" ht="18" customHeight="1">
      <x:c r="A60" s="24" t="str">
        <x:v>EEZ_956</x:v>
      </x:c>
      <x:c r="B60" s="24" t="str">
        <x:v>Thailand (Andaman Sea)</x:v>
      </x:c>
      <x:c r="C60" s="24" t="str">
        <x:v>EEZ</x:v>
      </x:c>
      <x:c r="D60" s="30" t="n">
        <x:v>2019</x:v>
      </x:c>
      <x:c r="E60" s="24" t="str">
        <x:v>Istiophoridae</x:v>
      </x:c>
      <x:c r="F60" s="24" t="str">
        <x:v>Billfishes</x:v>
      </x:c>
      <x:c r="G60" s="24" t="str">
        <x:v>Large pelagics (&gt;=90 cm)</x:v>
      </x:c>
      <x:c r="H60" s="24" t="str">
        <x:v>Tuna &amp; billfishes</x:v>
      </x:c>
      <x:c r="I60" s="31" t="n">
        <x:v>70.2863516641</x:v>
      </x:c>
      <x:c r="J60" s="31" t="n">
        <x:v>70.2863516641</x:v>
      </x:c>
      <x:c r="K60" s="31" t="n">
        <x:v>0</x:v>
      </x:c>
      <x:c r="L60" s="31" t="n">
        <x:v>0</x:v>
      </x:c>
      <x:c r="M60" s="31" t="n">
        <x:v>70.2863516641</x:v>
      </x:c>
      <x:c r="N60" s="24" t="str">
        <x:v>istiophoridae</x:v>
      </x:c>
      <x:c r="O60" s="32" t="n">
        <x:v>4.48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Istiophoridae</x:v>
      </x:c>
      <x:c r="T60" s="32" t="n">
        <x:f>IF(O60="","",(1/'Metadata'!$B$5)^(O60-1))</x:f>
        <x:v>3019.951720402019</x:v>
      </x:c>
      <x:c r="U60" s="31" t="n">
        <x:f>IF(T60="","",I60*T60)</x:f>
        <x:v>212261.38862878009</x:v>
      </x:c>
    </x:row>
    <x:row r="61" ht="18" customHeight="1">
      <x:c r="A61" s="24" t="str">
        <x:v>EEZ_956</x:v>
      </x:c>
      <x:c r="B61" s="24" t="str">
        <x:v>Thailand (Andaman Sea)</x:v>
      </x:c>
      <x:c r="C61" s="24" t="str">
        <x:v>EEZ</x:v>
      </x:c>
      <x:c r="D61" s="30" t="n">
        <x:v>2019</x:v>
      </x:c>
      <x:c r="E61" s="24" t="str">
        <x:v>Thenus orientalis</x:v>
      </x:c>
      <x:c r="F61" s="24" t="str">
        <x:v>Flathead lobster</x:v>
      </x:c>
      <x:c r="G61" s="24" t="str">
        <x:v>Lobsters, crabs</x:v>
      </x:c>
      <x:c r="H61" s="24" t="str">
        <x:v>Crustaceans</x:v>
      </x:c>
      <x:c r="I61" s="31" t="n">
        <x:v>63.36969235350001</x:v>
      </x:c>
      <x:c r="J61" s="31" t="n">
        <x:v>63.36969235350001</x:v>
      </x:c>
      <x:c r="K61" s="31" t="n">
        <x:v>0</x:v>
      </x:c>
      <x:c r="L61" s="31" t="n">
        <x:v>63.36969235350001</x:v>
      </x:c>
      <x:c r="M61" s="31" t="n">
        <x:v>0</x:v>
      </x:c>
      <x:c r="N61" s="24" t="str">
        <x:v>thenus orientalis</x:v>
      </x:c>
      <x:c r="O61" s="32" t="n">
        <x:v>2.5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Thenus orientalis</x:v>
      </x:c>
      <x:c r="T61" s="32" t="n">
        <x:f>IF(O61="","",(1/'Metadata'!$B$5)^(O61-1))</x:f>
        <x:v>31.622776601683793</x:v>
      </x:c>
      <x:c r="U61" s="31" t="n">
        <x:f>IF(T61="","",I61*T61)</x:f>
        <x:v>2003.9256246121604</x:v>
      </x:c>
    </x:row>
    <x:row r="62" ht="18" customHeight="1">
      <x:c r="A62" s="24" t="str">
        <x:v>EEZ_956</x:v>
      </x:c>
      <x:c r="B62" s="24" t="str">
        <x:v>Thailand (Andaman Sea)</x:v>
      </x:c>
      <x:c r="C62" s="24" t="str">
        <x:v>EEZ</x:v>
      </x:c>
      <x:c r="D62" s="30" t="n">
        <x:v>2019</x:v>
      </x:c>
      <x:c r="E62" s="24" t="str">
        <x:v>Pampus argenteus</x:v>
      </x:c>
      <x:c r="F62" s="24" t="str">
        <x:v>Silver pomfret</x:v>
      </x:c>
      <x:c r="G62" s="24" t="str">
        <x:v>Medium benthopelagics (30 - 89 cm)</x:v>
      </x:c>
      <x:c r="H62" s="24" t="str">
        <x:v>Perch-likes</x:v>
      </x:c>
      <x:c r="I62" s="31" t="n">
        <x:v>63.092989929299996</x:v>
      </x:c>
      <x:c r="J62" s="31" t="n">
        <x:v>63.092989929299996</x:v>
      </x:c>
      <x:c r="K62" s="31" t="n">
        <x:v>0</x:v>
      </x:c>
      <x:c r="L62" s="31" t="n">
        <x:v>18.2187865516</x:v>
      </x:c>
      <x:c r="M62" s="31" t="n">
        <x:v>44.8742033777</x:v>
      </x:c>
      <x:c r="N62" s="24" t="str">
        <x:v>pampus argenteus</x:v>
      </x:c>
      <x:c r="O62" s="32" t="n">
        <x:v>3.3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Pampus argenteus</x:v>
      </x:c>
      <x:c r="T62" s="32" t="n">
        <x:f>IF(O62="","",(1/'Metadata'!$B$5)^(O62-1))</x:f>
        <x:v>199.52623149688787</x:v>
      </x:c>
      <x:c r="U62" s="31" t="n">
        <x:f>IF(T62="","",I62*T62)</x:f>
        <x:v>12588.706514464326</x:v>
      </x:c>
    </x:row>
    <x:row r="63" ht="18" customHeight="1">
      <x:c r="A63" s="24" t="str">
        <x:v>EEZ_956</x:v>
      </x:c>
      <x:c r="B63" s="24" t="str">
        <x:v>Thailand (Andaman Sea)</x:v>
      </x:c>
      <x:c r="C63" s="24" t="str">
        <x:v>EEZ</x:v>
      </x:c>
      <x:c r="D63" s="30" t="n">
        <x:v>2019</x:v>
      </x:c>
      <x:c r="E63" s="24" t="str">
        <x:v>Thunnus alalunga</x:v>
      </x:c>
      <x:c r="F63" s="24" t="str">
        <x:v>Albacore</x:v>
      </x:c>
      <x:c r="G63" s="24" t="str">
        <x:v>Large pelagics (&gt;=90 cm)</x:v>
      </x:c>
      <x:c r="H63" s="24" t="str">
        <x:v>Tuna &amp; billfishes</x:v>
      </x:c>
      <x:c r="I63" s="31" t="n">
        <x:v>27.3767002449</x:v>
      </x:c>
      <x:c r="J63" s="31" t="n">
        <x:v>27.3767002449</x:v>
      </x:c>
      <x:c r="K63" s="31" t="n">
        <x:v>0</x:v>
      </x:c>
      <x:c r="L63" s="31" t="n">
        <x:v>0</x:v>
      </x:c>
      <x:c r="M63" s="31" t="n">
        <x:v>27.3767002449</x:v>
      </x:c>
      <x:c r="N63" s="24" t="str">
        <x:v>thunnus alalunga</x:v>
      </x:c>
      <x:c r="O63" s="32" t="n">
        <x:v>4.3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alalunga</x:v>
      </x:c>
      <x:c r="T63" s="32" t="n">
        <x:f>IF(O63="","",(1/'Metadata'!$B$5)^(O63-1))</x:f>
        <x:v>1995.2623149688789</x:v>
      </x:c>
      <x:c r="U63" s="31" t="n">
        <x:f>IF(T63="","",I63*T63)</x:f>
        <x:v>54623.698306848244</x:v>
      </x:c>
    </x:row>
    <x:row r="64" ht="18" customHeight="1">
      <x:c r="A64" s="24" t="str">
        <x:v>EEZ_956</x:v>
      </x:c>
      <x:c r="B64" s="24" t="str">
        <x:v>Thailand (Andaman Sea)</x:v>
      </x:c>
      <x:c r="C64" s="24" t="str">
        <x:v>EEZ</x:v>
      </x:c>
      <x:c r="D64" s="30" t="n">
        <x:v>2019</x:v>
      </x:c>
      <x:c r="E64" s="24" t="str">
        <x:v>Mollusca</x:v>
      </x:c>
      <x:c r="F64" s="24" t="str">
        <x:v>Clams, seasnails, squids, octopuses</x:v>
      </x:c>
      <x:c r="G64" s="24" t="str">
        <x:v>Other demersal invertebrates</x:v>
      </x:c>
      <x:c r="H64" s="24" t="str">
        <x:v>Molluscs</x:v>
      </x:c>
      <x:c r="I64" s="31" t="n">
        <x:v>20.842445487800003</x:v>
      </x:c>
      <x:c r="J64" s="31" t="n">
        <x:v>20.842445487800003</x:v>
      </x:c>
      <x:c r="K64" s="31" t="n">
        <x:v>0</x:v>
      </x:c>
      <x:c r="L64" s="31" t="n">
        <x:v>13.466059625100002</x:v>
      </x:c>
      <x:c r="M64" s="31" t="n">
        <x:v>7.376385862699999</x:v>
      </x:c>
      <x:c r="N64" s="24" t="str">
        <x:v>mollusca</x:v>
      </x:c>
      <x:c r="O64" s="32" t="n">
        <x:v>2.1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Mollusca</x:v>
      </x:c>
      <x:c r="T64" s="32" t="n">
        <x:f>IF(O64="","",(1/'Metadata'!$B$5)^(O64-1))</x:f>
        <x:v>12.589254117941675</x:v>
      </x:c>
      <x:c r="U64" s="31" t="n">
        <x:f>IF(T64="","",I64*T64)</x:f>
        <x:v>262.3908426852611</x:v>
      </x:c>
    </x:row>
    <x:row r="65" ht="18" customHeight="1">
      <x:c r="A65" s="24" t="str">
        <x:v>EEZ_956</x:v>
      </x:c>
      <x:c r="B65" s="24" t="str">
        <x:v>Thailand (Andaman Sea)</x:v>
      </x:c>
      <x:c r="C65" s="24" t="str">
        <x:v>EEZ</x:v>
      </x:c>
      <x:c r="D65" s="30" t="n">
        <x:v>2019</x:v>
      </x:c>
      <x:c r="E65" s="24" t="str">
        <x:v>Coryphaena</x:v>
      </x:c>
      <x:c r="F65" s="24" t="str">
        <x:v>Dolphinfishes</x:v>
      </x:c>
      <x:c r="G65" s="24" t="str">
        <x:v>Large pelagics (&gt;=90 cm)</x:v>
      </x:c>
      <x:c r="H65" s="24" t="str">
        <x:v>Perch-likes</x:v>
      </x:c>
      <x:c r="I65" s="31" t="n">
        <x:v>8.1728315888</x:v>
      </x:c>
      <x:c r="J65" s="31" t="n">
        <x:v>8.1728315888</x:v>
      </x:c>
      <x:c r="K65" s="31" t="n">
        <x:v>0</x:v>
      </x:c>
      <x:c r="L65" s="31" t="n">
        <x:v>0</x:v>
      </x:c>
      <x:c r="M65" s="31" t="n">
        <x:v>8.1728315888</x:v>
      </x:c>
      <x:c r="N65" s="24" t="str">
        <x:v>coryphaena</x:v>
      </x:c>
      <x:c r="O65" s="32" t="n">
        <x:v>4.49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Coryphaena</x:v>
      </x:c>
      <x:c r="T65" s="32" t="n">
        <x:f>IF(O65="","",(1/'Metadata'!$B$5)^(O65-1))</x:f>
        <x:v>3090.295432513592</x:v>
      </x:c>
      <x:c r="U65" s="31" t="n">
        <x:f>IF(T65="","",I65*T65)</x:f>
        <x:v>25256.464129571443</x:v>
      </x:c>
    </x:row>
    <x:row r="66" ht="18" customHeight="1">
      <x:c r="A66" s="24" t="str">
        <x:v>EEZ_956</x:v>
      </x:c>
      <x:c r="B66" s="24" t="str">
        <x:v>Thailand (Andaman Sea)</x:v>
      </x:c>
      <x:c r="C66" s="24" t="str">
        <x:v>EEZ</x:v>
      </x:c>
      <x:c r="D66" s="30" t="n">
        <x:v>2019</x:v>
      </x:c>
      <x:c r="E66" s="24" t="str">
        <x:v>Sergestidae</x:v>
      </x:c>
      <x:c r="F66" s="24" t="str">
        <x:v>Sergestid shrimp</x:v>
      </x:c>
      <x:c r="G66" s="24" t="str">
        <x:v>Shrimps</x:v>
      </x:c>
      <x:c r="H66" s="24" t="str">
        <x:v>Crustaceans</x:v>
      </x:c>
      <x:c r="I66" s="31" t="n">
        <x:v>7.129090389800001</x:v>
      </x:c>
      <x:c r="J66" s="31" t="n">
        <x:v>7.129090389800001</x:v>
      </x:c>
      <x:c r="K66" s="31" t="n">
        <x:v>0</x:v>
      </x:c>
      <x:c r="L66" s="31" t="n">
        <x:v>7.129090389800001</x:v>
      </x:c>
      <x:c r="M66" s="31" t="n">
        <x:v>0</x:v>
      </x:c>
      <x:c r="N66" s="24" t="str">
        <x:v>sergestidae</x:v>
      </x:c>
      <x:c r="O66" s="32" t="n">
        <x:v>2.93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Sergestidae</x:v>
      </x:c>
      <x:c r="T66" s="32" t="n">
        <x:f>IF(O66="","",(1/'Metadata'!$B$5)^(O66-1))</x:f>
        <x:v>85.11380382023768</x:v>
      </x:c>
      <x:c r="U66" s="31" t="n">
        <x:f>IF(T66="","",I66*T66)</x:f>
        <x:v>606.784000854179</x:v>
      </x:c>
    </x:row>
    <x:row r="67" ht="18" customHeight="1">
      <x:c r="A67" s="24" t="str">
        <x:v>EEZ_956</x:v>
      </x:c>
      <x:c r="B67" s="24" t="str">
        <x:v>Thailand (Andaman Sea)</x:v>
      </x:c>
      <x:c r="C67" s="24" t="str">
        <x:v>EEZ</x:v>
      </x:c>
      <x:c r="D67" s="30" t="n">
        <x:v>2019</x:v>
      </x:c>
      <x:c r="E67" s="24" t="str">
        <x:v>Scomberomorus commerson</x:v>
      </x:c>
      <x:c r="F67" s="24" t="str">
        <x:v>Narrow-barred Spanish mackerel</x:v>
      </x:c>
      <x:c r="G67" s="24" t="str">
        <x:v>Large pelagics (&gt;=90 cm)</x:v>
      </x:c>
      <x:c r="H67" s="24" t="str">
        <x:v>Perch-likes</x:v>
      </x:c>
      <x:c r="I67" s="31" t="n">
        <x:v>1.1858935084</x:v>
      </x:c>
      <x:c r="J67" s="31" t="n">
        <x:v>1.1858935084</x:v>
      </x:c>
      <x:c r="K67" s="31" t="n">
        <x:v>0</x:v>
      </x:c>
      <x:c r="L67" s="31" t="n">
        <x:v>1.1858935084</x:v>
      </x:c>
      <x:c r="M67" s="31" t="n">
        <x:v>0</x:v>
      </x:c>
      <x:c r="N67" s="24" t="str">
        <x:v>scomberomorus commerson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Scomberomorus commerson</x:v>
      </x:c>
      <x:c r="T67" s="32" t="n">
        <x:f>IF(O67="","",(1/'Metadata'!$B$5)^(O67-1))</x:f>
        <x:v>3162.2776601683795</x:v>
      </x:c>
      <x:c r="U67" s="31" t="n">
        <x:f>IF(T67="","",I67*T67)</x:f>
        <x:v>3750.1245489520225</x:v>
      </x:c>
    </x:row>
    <x:row r="68" ht="18" customHeight="1">
      <x:c r="A68" s="24" t="str">
        <x:v>EEZ_956</x:v>
      </x:c>
      <x:c r="B68" s="24" t="str">
        <x:v>Thailand (Andaman Sea)</x:v>
      </x:c>
      <x:c r="C68" s="24" t="str">
        <x:v>EEZ</x:v>
      </x:c>
      <x:c r="D68" s="30" t="n">
        <x:v>2019</x:v>
      </x:c>
      <x:c r="E68" s="24" t="str">
        <x:v>Xiphias gladius</x:v>
      </x:c>
      <x:c r="F68" s="24" t="str">
        <x:v>Swordfish</x:v>
      </x:c>
      <x:c r="G68" s="24" t="str">
        <x:v>Large pelagics (&gt;=90 cm)</x:v>
      </x:c>
      <x:c r="H68" s="24" t="str">
        <x:v>Tuna &amp; billfishes</x:v>
      </x:c>
      <x:c r="I68" s="31" t="n">
        <x:v>0.5162024185</x:v>
      </x:c>
      <x:c r="J68" s="31" t="n">
        <x:v>0.5162024185</x:v>
      </x:c>
      <x:c r="K68" s="31" t="n">
        <x:v>0</x:v>
      </x:c>
      <x:c r="L68" s="31" t="n">
        <x:v>0</x:v>
      </x:c>
      <x:c r="M68" s="31" t="n">
        <x:v>0.5162024185</x:v>
      </x:c>
      <x:c r="N68" s="24" t="str">
        <x:v>xiphias gladius</x:v>
      </x:c>
      <x:c r="O68" s="32" t="n">
        <x:v>4.53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Xiphias gladius</x:v>
      </x:c>
      <x:c r="T68" s="32" t="n">
        <x:f>IF(O68="","",(1/'Metadata'!$B$5)^(O68-1))</x:f>
        <x:v>3388.4415613920273</x:v>
      </x:c>
      <x:c r="U68" s="31" t="n">
        <x:f>IF(T68="","",I68*T68)</x:f>
        <x:v>1749.1217289364808</x:v>
      </x:c>
    </x:row>
    <x:row r="69" ht="18" customHeight="1">
      <x:c r="A69" s="24" t="str">
        <x:v>EEZ_956</x:v>
      </x:c>
      <x:c r="B69" s="24" t="str">
        <x:v>Thailand (Andaman Sea)</x:v>
      </x:c>
      <x:c r="C69" s="24" t="str">
        <x:v>EEZ</x:v>
      </x:c>
      <x:c r="D69" s="30" t="n">
        <x:v>2019</x:v>
      </x:c>
      <x:c r="E69" s="24" t="str">
        <x:v>Scomberomorus guttatus</x:v>
      </x:c>
      <x:c r="F69" s="24" t="str">
        <x:v>Indo-Pacific king mackerel</x:v>
      </x:c>
      <x:c r="G69" s="24" t="str">
        <x:v>Medium pelagics (30 - 89 cm)</x:v>
      </x:c>
      <x:c r="H69" s="24" t="str">
        <x:v>Perch-likes</x:v>
      </x:c>
      <x:c r="I69" s="31" t="n">
        <x:v>0.3231307781</x:v>
      </x:c>
      <x:c r="J69" s="31" t="n">
        <x:v>0.3231307781</x:v>
      </x:c>
      <x:c r="K69" s="31" t="n">
        <x:v>0</x:v>
      </x:c>
      <x:c r="L69" s="31" t="n">
        <x:v>0.3231307781</x:v>
      </x:c>
      <x:c r="M69" s="31" t="n">
        <x:v>0</x:v>
      </x:c>
      <x:c r="N69" s="24" t="str">
        <x:v>scomberomorus guttatus</x:v>
      </x:c>
      <x:c r="O69" s="32" t="n">
        <x:v>4.28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Scomberomorus guttatus</x:v>
      </x:c>
      <x:c r="T69" s="32" t="n">
        <x:f>IF(O69="","",(1/'Metadata'!$B$5)^(O69-1))</x:f>
        <x:v>1905.4607179632483</x:v>
      </x:c>
      <x:c r="U69" s="31" t="n">
        <x:f>IF(T69="","",I69*T69)</x:f>
        <x:v>615.7130044344491</x:v>
      </x:c>
    </x:row>
    <x:row r="70" ht="18" customHeight="1">
      <x:c r="A70" s="24" t="str">
        <x:v>EEZ_956</x:v>
      </x:c>
      <x:c r="B70" s="24" t="str">
        <x:v>Thailand (Andaman Sea)</x:v>
      </x:c>
      <x:c r="C70" s="24" t="str">
        <x:v>EEZ</x:v>
      </x:c>
      <x:c r="D70" s="30" t="n">
        <x:v>2019</x:v>
      </x:c>
      <x:c r="E70" s="24" t="str">
        <x:v>Istiompax indica</x:v>
      </x:c>
      <x:c r="F70" s="24" t="str">
        <x:v>Black marlin</x:v>
      </x:c>
      <x:c r="G70" s="24" t="str">
        <x:v>Large pelagics (&gt;=90 cm)</x:v>
      </x:c>
      <x:c r="H70" s="24" t="str">
        <x:v>Tuna &amp; billfishes</x:v>
      </x:c>
      <x:c r="I70" s="31" t="n">
        <x:v>0.25810120940000003</x:v>
      </x:c>
      <x:c r="J70" s="31" t="n">
        <x:v>0.25810120940000003</x:v>
      </x:c>
      <x:c r="K70" s="31" t="n">
        <x:v>0</x:v>
      </x:c>
      <x:c r="L70" s="31" t="n">
        <x:v>0</x:v>
      </x:c>
      <x:c r="M70" s="31" t="n">
        <x:v>0.25810120940000003</x:v>
      </x:c>
      <x:c r="N70" s="24" t="str">
        <x:v>istiompax indica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Istiompax indica</x:v>
      </x:c>
      <x:c r="T70" s="32" t="n">
        <x:f>IF(O70="","",(1/'Metadata'!$B$5)^(O70-1))</x:f>
        <x:v>3162.2776601683795</x:v>
      </x:c>
      <x:c r="U70" s="31" t="n">
        <x:f>IF(T70="","",I70*T70)</x:f>
        <x:v>816.187688548061</x:v>
      </x:c>
    </x:row>
  </x:sheetData>
  <x:conditionalFormatting sqref="R2:R7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2789dc5685848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26768.850256618098</x:v>
      </x:c>
      <x:c r="E2" s="31" t="n">
        <x:v>26768.850256618098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IF(C2=0,"",SUMIF('Species'!$H$2:$H$70,A2,'Species'!$U$2:$U$70))</x:f>
        <x:v>4242576.854172497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4242576.854172497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10</x:v>
      </x:c>
      <x:c r="C3" s="33" t="n">
        <x:v>10</x:v>
      </x:c>
      <x:c r="D3" s="31" t="n">
        <x:v>12865.9982392464</x:v>
      </x:c>
      <x:c r="E3" s="31" t="n">
        <x:v>12865.9982392464</x:v>
      </x:c>
      <x:c r="F3" s="32" t="n">
        <x:v>0</x:v>
      </x:c>
      <x:c r="G3" s="34" t="n">
        <x:v>1</x:v>
      </x:c>
      <x:c r="H3" s="32" t="n">
        <x:f>IF(E3=0,"",I3/E3)</x:f>
        <x:v>94.47555901299572</x:v>
      </x:c>
      <x:c r="I3" s="31" t="n">
        <x:f>IF(C3=0,"",SUMIF('Species'!$H$2:$H$70,A3,'Species'!$U$2:$U$70))</x:f>
        <x:v>1215522.3759130223</x:v>
      </x:c>
      <x:c r="J3" s="32" t="n">
        <x:v>2.6434447096041587</x:v>
      </x:c>
      <x:c r="K3" s="32" t="n">
        <x:f>IF(J3="","",(1/'Metadata'!$B$5)^(J3-1))</x:f>
        <x:v>43.99919285275628</x:v>
      </x:c>
      <x:c r="L3" s="31" t="n">
        <x:f>IF(E3=0,"",E3*K3)</x:f>
        <x:v>566093.5377718251</x:v>
      </x:c>
      <x:c r="M3" s="31" t="n">
        <x:f>IF(E3=0,"",I3-L3)</x:f>
        <x:v>649428.8381411972</x:v>
      </x:c>
      <x:c r="N3" s="32" t="n">
        <x:f>IF(L3=0,"",I3/L3)</x:f>
        <x:v>2.147211184740572</x:v>
      </x:c>
      <x:c r="O3" s="34" t="n">
        <x:f>IF(L3=0,"",M3/L3)</x:f>
        <x:v>1.147211184740572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98.9329564803</x:v>
      </x:c>
      <x:c r="E4" s="31" t="n">
        <x:v>98.9329564803</x:v>
      </x:c>
      <x:c r="F4" s="32" t="n">
        <x:v>0</x:v>
      </x:c>
      <x:c r="G4" s="34" t="n">
        <x:v>1</x:v>
      </x:c>
      <x:c r="H4" s="32" t="n">
        <x:f>IF(E4=0,"",I4/E4)</x:f>
        <x:v>2454.7089156850284</x:v>
      </x:c>
      <x:c r="I4" s="31" t="n">
        <x:f>IF(C4=0,"",SUMIF('Species'!$H$2:$H$70,A4,'Species'!$U$2:$U$70))</x:f>
        <x:v>242851.61032727134</x:v>
      </x:c>
      <x:c r="J4" s="32" t="n">
        <x:v>4.39</x:v>
      </x:c>
      <x:c r="K4" s="32" t="n">
        <x:f>IF(J4="","",(1/'Metadata'!$B$5)^(J4-1))</x:f>
        <x:v>2454.7089156850284</x:v>
      </x:c>
      <x:c r="L4" s="31" t="n">
        <x:f>IF(E4=0,"",E4*K4)</x:f>
        <x:v>242851.61032727134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2</x:v>
      </x:c>
      <x:c r="C5" s="33" t="n">
        <x:v>2</x:v>
      </x:c>
      <x:c r="D5" s="31" t="n">
        <x:v>13412.398728773</x:v>
      </x:c>
      <x:c r="E5" s="31" t="n">
        <x:v>13412.398728773</x:v>
      </x:c>
      <x:c r="F5" s="32" t="n">
        <x:v>0</x:v>
      </x:c>
      <x:c r="G5" s="34" t="n">
        <x:v>1</x:v>
      </x:c>
      <x:c r="H5" s="32" t="n">
        <x:f>IF(E5=0,"",I5/E5)</x:f>
        <x:v>213.0723348415385</x:v>
      </x:c>
      <x:c r="I5" s="31" t="n">
        <x:f>IF(C5=0,"",SUMIF('Species'!$H$2:$H$70,A5,'Species'!$U$2:$U$70))</x:f>
        <x:v>2857811.112965346</x:v>
      </x:c>
      <x:c r="J5" s="32" t="n">
        <x:v>2.914487235078298</x:v>
      </x:c>
      <x:c r="K5" s="32" t="n">
        <x:f>IF(J5="","",(1/'Metadata'!$B$5)^(J5-1))</x:f>
        <x:v>82.12724133795118</x:v>
      </x:c>
      <x:c r="L5" s="31" t="n">
        <x:f>IF(E5=0,"",E5*K5)</x:f>
        <x:v>1101523.3073187696</x:v>
      </x:c>
      <x:c r="M5" s="31" t="n">
        <x:f>IF(E5=0,"",I5-L5)</x:f>
        <x:v>1756287.8056465762</x:v>
      </x:c>
      <x:c r="N5" s="32" t="n">
        <x:f>IF(L5=0,"",I5/L5)</x:f>
        <x:v>2.5944172892006945</x:v>
      </x:c>
      <x:c r="O5" s="34" t="n">
        <x:f>IF(L5=0,"",M5/L5)</x:f>
        <x:v>1.5944172892006945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20.842445487800003</x:v>
      </x:c>
      <x:c r="E6" s="31" t="n">
        <x:v>20.842445487800003</x:v>
      </x:c>
      <x:c r="F6" s="32" t="n">
        <x:v>0</x:v>
      </x:c>
      <x:c r="G6" s="34" t="n">
        <x:v>1</x:v>
      </x:c>
      <x:c r="H6" s="32" t="n">
        <x:f>IF(E6=0,"",I6/E6)</x:f>
        <x:v>12.589254117941675</x:v>
      </x:c>
      <x:c r="I6" s="31" t="n">
        <x:f>IF(C6=0,"",SUMIF('Species'!$H$2:$H$70,A6,'Species'!$U$2:$U$70))</x:f>
        <x:v>262.3908426852611</x:v>
      </x:c>
      <x:c r="J6" s="32" t="n">
        <x:v>2.1</x:v>
      </x:c>
      <x:c r="K6" s="32" t="n">
        <x:f>IF(J6="","",(1/'Metadata'!$B$5)^(J6-1))</x:f>
        <x:v>12.589254117941675</x:v>
      </x:c>
      <x:c r="L6" s="31" t="n">
        <x:f>IF(E6=0,"",E6*K6)</x:f>
        <x:v>262.3908426852611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13</x:v>
      </x:c>
      <x:c r="C7" s="33" t="n">
        <x:v>13</x:v>
      </x:c>
      <x:c r="D7" s="31" t="n">
        <x:v>97168.32536104402</x:v>
      </x:c>
      <x:c r="E7" s="31" t="n">
        <x:v>97168.32536104402</x:v>
      </x:c>
      <x:c r="F7" s="32" t="n">
        <x:v>0</x:v>
      </x:c>
      <x:c r="G7" s="34" t="n">
        <x:v>1</x:v>
      </x:c>
      <x:c r="H7" s="32" t="n">
        <x:f>IF(E7=0,"",I7/E7)</x:f>
        <x:v>1024.0945232258134</x:v>
      </x:c>
      <x:c r="I7" s="31" t="n">
        <x:f>IF(C7=0,"",SUMIF('Species'!$H$2:$H$70,A7,'Species'!$U$2:$U$70))</x:f>
        <x:v>99509549.83326907</x:v>
      </x:c>
      <x:c r="J7" s="32" t="n">
        <x:v>3.8184312876833744</x:v>
      </x:c>
      <x:c r="K7" s="32" t="n">
        <x:f>IF(J7="","",(1/'Metadata'!$B$5)^(J7-1))</x:f>
        <x:v>658.3112663570981</x:v>
      </x:c>
      <x:c r="L7" s="31" t="n">
        <x:f>IF(E7=0,"",E7*K7)</x:f>
        <x:v>63967003.31822742</x:v>
      </x:c>
      <x:c r="M7" s="31" t="n">
        <x:f>IF(E7=0,"",I7-L7)</x:f>
        <x:v>35542546.51504166</x:v>
      </x:c>
      <x:c r="N7" s="32" t="n">
        <x:f>IF(L7=0,"",I7/L7)</x:f>
        <x:v>1.5556387617256693</x:v>
      </x:c>
      <x:c r="O7" s="34" t="n">
        <x:f>IF(L7=0,"",M7/L7)</x:f>
        <x:v>0.5556387617256692</x:v>
      </x:c>
    </x:row>
    <x:row r="8" ht="18" customHeight="1">
      <x:c r="A8" s="24" t="str">
        <x:v>Perch-likes</x:v>
      </x:c>
      <x:c r="B8" s="33" t="n">
        <x:v>28</x:v>
      </x:c>
      <x:c r="C8" s="33" t="n">
        <x:v>28</x:v>
      </x:c>
      <x:c r="D8" s="31" t="n">
        <x:v>248517.79553099532</x:v>
      </x:c>
      <x:c r="E8" s="31" t="n">
        <x:v>248517.79553099532</x:v>
      </x:c>
      <x:c r="F8" s="32" t="n">
        <x:v>0</x:v>
      </x:c>
      <x:c r="G8" s="34" t="n">
        <x:v>1</x:v>
      </x:c>
      <x:c r="H8" s="32" t="n">
        <x:f>IF(E8=0,"",I8/E8)</x:f>
        <x:v>680.7992965565749</x:v>
      </x:c>
      <x:c r="I8" s="31" t="n">
        <x:f>IF(C8=0,"",SUMIF('Species'!$H$2:$H$70,A8,'Species'!$U$2:$U$70))</x:f>
        <x:v>169190740.3792923</x:v>
      </x:c>
      <x:c r="J8" s="32" t="n">
        <x:v>3.6790056234882873</x:v>
      </x:c>
      <x:c r="K8" s="32" t="n">
        <x:f>IF(J8="","",(1/'Metadata'!$B$5)^(J8-1))</x:f>
        <x:v>477.535457014319</x:v>
      </x:c>
      <x:c r="L8" s="31" t="n">
        <x:f>IF(E8=0,"",E8*K8)</x:f>
        <x:v>118676059.06508493</x:v>
      </x:c>
      <x:c r="M8" s="31" t="n">
        <x:f>IF(E8=0,"",I8-L8)</x:f>
        <x:v>50514681.314207375</x:v>
      </x:c>
      <x:c r="N8" s="32" t="n">
        <x:f>IF(L8=0,"",I8/L8)</x:f>
        <x:v>1.4256518265954876</x:v>
      </x:c>
      <x:c r="O8" s="34" t="n">
        <x:f>IF(L8=0,"",M8/L8)</x:f>
        <x:v>0.42565182659548756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11267.6608744789</x:v>
      </x:c>
      <x:c r="E9" s="31" t="n">
        <x:v>11267.6608744789</x:v>
      </x:c>
      <x:c r="F9" s="32" t="n">
        <x:v>0</x:v>
      </x:c>
      <x:c r="G9" s="34" t="n">
        <x:v>1</x:v>
      </x:c>
      <x:c r="H9" s="32" t="n">
        <x:f>IF(E9=0,"",I9/E9)</x:f>
        <x:v>794.3282347242813</x:v>
      </x:c>
      <x:c r="I9" s="31" t="n">
        <x:f>IF(C9=0,"",SUMIF('Species'!$H$2:$H$70,A9,'Species'!$U$2:$U$70))</x:f>
        <x:v>8950221.171896676</x:v>
      </x:c>
      <x:c r="J9" s="32" t="n">
        <x:v>3.9</x:v>
      </x:c>
      <x:c r="K9" s="32" t="n">
        <x:f>IF(J9="","",(1/'Metadata'!$B$5)^(J9-1))</x:f>
        <x:v>794.3282347242813</x:v>
      </x:c>
      <x:c r="L9" s="31" t="n">
        <x:f>IF(E9=0,"",E9*K9)</x:f>
        <x:v>8950221.171896676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3</x:v>
      </x:c>
      <x:c r="C10" s="33" t="n">
        <x:v>3</x:v>
      </x:c>
      <x:c r="D10" s="31" t="n">
        <x:v>1840.4362914852</x:v>
      </x:c>
      <x:c r="E10" s="31" t="n">
        <x:v>1840.4362914852</x:v>
      </x:c>
      <x:c r="F10" s="32" t="n">
        <x:v>0</x:v>
      </x:c>
      <x:c r="G10" s="34" t="n">
        <x:v>1</x:v>
      </x:c>
      <x:c r="H10" s="32" t="n">
        <x:f>IF(E10=0,"",I10/E10)</x:f>
        <x:v>422.5838864768285</x:v>
      </x:c>
      <x:c r="I10" s="31" t="n">
        <x:f>IF(C10=0,"",SUMIF('Species'!$H$2:$H$70,A10,'Species'!$U$2:$U$70))</x:f>
        <x:v>777738.7208688171</x:v>
      </x:c>
      <x:c r="J10" s="32" t="n">
        <x:v>3.5574860402163297</x:v>
      </x:c>
      <x:c r="K10" s="32" t="n">
        <x:f>IF(J10="","",(1/'Metadata'!$B$5)^(J10-1))</x:f>
        <x:v>360.98241012942003</x:v>
      </x:c>
      <x:c r="L10" s="31" t="n">
        <x:f>IF(E10=0,"",E10*K10)</x:f>
        <x:v>664365.1281899792</x:v>
      </x:c>
      <x:c r="M10" s="31" t="n">
        <x:f>IF(E10=0,"",I10-L10)</x:f>
        <x:v>113373.59267883783</x:v>
      </x:c>
      <x:c r="N10" s="32" t="n">
        <x:f>IF(L10=0,"",I10/L10)</x:f>
        <x:v>1.1706495236854424</x:v>
      </x:c>
      <x:c r="O10" s="34" t="n">
        <x:f>IF(L10=0,"",M10/L10)</x:f>
        <x:v>0.1706495236854424</x:v>
      </x:c>
    </x:row>
    <x:row r="11" ht="18" customHeight="1">
      <x:c r="A11" s="24" t="str">
        <x:v>Tuna &amp; billfishes</x:v>
      </x:c>
      <x:c r="B11" s="33" t="n">
        <x:v>9</x:v>
      </x:c>
      <x:c r="C11" s="33" t="n">
        <x:v>9</x:v>
      </x:c>
      <x:c r="D11" s="31" t="n">
        <x:v>9492.874854833199</x:v>
      </x:c>
      <x:c r="E11" s="31" t="n">
        <x:v>9492.874854833199</x:v>
      </x:c>
      <x:c r="F11" s="32" t="n">
        <x:v>0</x:v>
      </x:c>
      <x:c r="G11" s="34" t="n">
        <x:v>1</x:v>
      </x:c>
      <x:c r="H11" s="32" t="n">
        <x:f>IF(E11=0,"",I11/E11)</x:f>
        <x:v>2792.3824123990394</x:v>
      </x:c>
      <x:c r="I11" s="31" t="n">
        <x:f>IF(C11=0,"",SUMIF('Species'!$H$2:$H$70,A11,'Species'!$U$2:$U$70))</x:f>
        <x:v>26507736.787741307</x:v>
      </x:c>
      <x:c r="J11" s="32" t="n">
        <x:v>4.43894791442154</x:v>
      </x:c>
      <x:c r="K11" s="32" t="n">
        <x:f>IF(J11="","",(1/'Metadata'!$B$5)^(J11-1))</x:f>
        <x:v>2747.5646138607485</x:v>
      </x:c>
      <x:c r="L11" s="31" t="n">
        <x:f>IF(E11=0,"",E11*K11)</x:f>
        <x:v>26082287.034948185</x:v>
      </x:c>
      <x:c r="M11" s="31" t="n">
        <x:f>IF(E11=0,"",I11-L11)</x:f>
        <x:v>425449.7527931221</x:v>
      </x:c>
      <x:c r="N11" s="32" t="n">
        <x:f>IF(L11=0,"",I11/L11)</x:f>
        <x:v>1.0163118269583895</x:v>
      </x:c>
      <x:c r="O11" s="34" t="n">
        <x:f>IF(L11=0,"",M11/L11)</x:f>
        <x:v>0.01631182695838955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e1869c3b2f942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23657.3787027858</x:v>
      </x:c>
      <x:c r="E2" s="31" t="n">
        <x:v>23657.3787027858</x:v>
      </x:c>
      <x:c r="F2" s="32" t="n">
        <x:v>0</x:v>
      </x:c>
      <x:c r="G2" s="34" t="n">
        <x:v>1</x:v>
      </x:c>
      <x:c r="H2" s="32" t="n">
        <x:f>IF(E2=0,"",I2/E2)</x:f>
        <x:v>729.6145777104565</x:v>
      </x:c>
      <x:c r="I2" s="31" t="n">
        <x:f>IF(C2=0,"",SUMIF('Species'!$G$2:$G$70,A2,'Species'!$U$2:$U$70))</x:f>
        <x:v>17260768.37196941</x:v>
      </x:c>
      <x:c r="J2" s="32" t="n">
        <x:v>3.849127998180228</x:v>
      </x:c>
      <x:c r="K2" s="32" t="n">
        <x:f>IF(J2="","",(1/'Metadata'!$B$5)^(J2-1))</x:f>
        <x:v>706.5257555858367</x:v>
      </x:c>
      <x:c r="L2" s="31" t="n">
        <x:f>IF(E2=0,"",E2*K2)</x:f>
        <x:v>16714547.36316602</x:v>
      </x:c>
      <x:c r="M2" s="31" t="n">
        <x:f>IF(E2=0,"",I2-L2)</x:f>
        <x:v>546221.00880339</x:v>
      </x:c>
      <x:c r="N2" s="32" t="n">
        <x:f>IF(L2=0,"",I2/L2)</x:f>
        <x:v>1.0326793778458578</x:v>
      </x:c>
      <x:c r="O2" s="34" t="n">
        <x:f>IF(L2=0,"",M2/L2)</x:f>
        <x:v>0.032679377845857886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11996.7280563814</x:v>
      </x:c>
      <x:c r="E3" s="31" t="n">
        <x:v>11996.7280563814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IF(C3=0,"",SUMIF('Species'!$G$2:$G$70,A3,'Species'!$U$2:$U$70))</x:f>
        <x:v>3459894.1649046773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3459894.1649046773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2</x:v>
      </x:c>
      <x:c r="C4" s="33" t="n">
        <x:v>2</x:v>
      </x:c>
      <x:c r="D4" s="31" t="n">
        <x:v>3815.7120045243</x:v>
      </x:c>
      <x:c r="E4" s="31" t="n">
        <x:v>3815.7120045243</x:v>
      </x:c>
      <x:c r="F4" s="32" t="n">
        <x:v>0</x:v>
      </x:c>
      <x:c r="G4" s="34" t="n">
        <x:v>1</x:v>
      </x:c>
      <x:c r="H4" s="32" t="n">
        <x:f>IF(E4=0,"",I4/E4)</x:f>
        <x:v>2258.992453191862</x:v>
      </x:c>
      <x:c r="I4" s="31" t="n">
        <x:f>IF(C4=0,"",SUMIF('Species'!$G$2:$G$70,A4,'Species'!$U$2:$U$70))</x:f>
        <x:v>8619664.621773984</x:v>
      </x:c>
      <x:c r="J4" s="32" t="n">
        <x:v>4.341864752661937</x:v>
      </x:c>
      <x:c r="K4" s="32" t="n">
        <x:f>IF(J4="","",(1/'Metadata'!$B$5)^(J4-1))</x:f>
        <x:v>2197.175525114958</x:v>
      </x:c>
      <x:c r="L4" s="31" t="n">
        <x:f>IF(E4=0,"",E4*K4)</x:f>
        <x:v>8383789.027228128</x:v>
      </x:c>
      <x:c r="M4" s="31" t="n">
        <x:f>IF(E4=0,"",I4-L4)</x:f>
        <x:v>235875.59454585612</x:v>
      </x:c>
      <x:c r="N4" s="32" t="n">
        <x:f>IF(L4=0,"",I4/L4)</x:f>
        <x:v>1.0281347244998413</x:v>
      </x:c>
      <x:c r="O4" s="34" t="n">
        <x:f>IF(L4=0,"",M4/L4)</x:f>
        <x:v>0.028134724499841328</x:v>
      </x:c>
    </x:row>
    <x:row r="5" ht="18" customHeight="1">
      <x:c r="A5" s="24" t="str">
        <x:v>Large demersals (&gt;=90 cm)</x:v>
      </x:c>
      <x:c r="B5" s="33" t="n">
        <x:v>2</x:v>
      </x:c>
      <x:c r="C5" s="33" t="n">
        <x:v>2</x:v>
      </x:c>
      <x:c r="D5" s="31" t="n">
        <x:v>485.8206725843</x:v>
      </x:c>
      <x:c r="E5" s="31" t="n">
        <x:v>485.8206725843</x:v>
      </x:c>
      <x:c r="F5" s="32" t="n">
        <x:v>0</x:v>
      </x:c>
      <x:c r="G5" s="34" t="n">
        <x:v>1</x:v>
      </x:c>
      <x:c r="H5" s="32" t="n">
        <x:f>IF(E5=0,"",I5/E5)</x:f>
        <x:v>2348.446337791329</x:v>
      </x:c>
      <x:c r="I5" s="31" t="n">
        <x:f>IF(C5=0,"",SUMIF('Species'!$G$2:$G$70,A5,'Species'!$U$2:$U$70))</x:f>
        <x:v>1140923.7793539197</x:v>
      </x:c>
      <x:c r="J5" s="32" t="n">
        <x:v>4.370559111686938</x:v>
      </x:c>
      <x:c r="K5" s="32" t="n">
        <x:f>IF(J5="","",(1/'Metadata'!$B$5)^(J5-1))</x:f>
        <x:v>2347.248724239315</x:v>
      </x:c>
      <x:c r="L5" s="31" t="n">
        <x:f>IF(E5=0,"",E5*K5)</x:f>
        <x:v>1140341.953932584</x:v>
      </x:c>
      <x:c r="M5" s="31" t="n">
        <x:f>IF(E5=0,"",I5-L5)</x:f>
        <x:v>581.8254213356413</x:v>
      </x:c>
      <x:c r="N5" s="32" t="n">
        <x:f>IF(L5=0,"",I5/L5)</x:f>
        <x:v>1.0005102201311888</x:v>
      </x:c>
      <x:c r="O5" s="34" t="n">
        <x:f>IF(L5=0,"",M5/L5)</x:f>
        <x:v>0.0005102201311888577</x:v>
      </x:c>
    </x:row>
    <x:row r="6" ht="18" customHeight="1">
      <x:c r="A6" s="24" t="str">
        <x:v>Large pelagics (&gt;=90 cm)</x:v>
      </x:c>
      <x:c r="B6" s="33" t="n">
        <x:v>12</x:v>
      </x:c>
      <x:c r="C6" s="33" t="n">
        <x:v>12</x:v>
      </x:c>
      <x:c r="D6" s="31" t="n">
        <x:v>15317.5157010295</x:v>
      </x:c>
      <x:c r="E6" s="31" t="n">
        <x:v>15317.5157010295</x:v>
      </x:c>
      <x:c r="F6" s="32" t="n">
        <x:v>0</x:v>
      </x:c>
      <x:c r="G6" s="34" t="n">
        <x:v>1</x:v>
      </x:c>
      <x:c r="H6" s="32" t="n">
        <x:f>IF(E6=0,"",I6/E6)</x:f>
        <x:v>2727.4109950831676</x:v>
      </x:c>
      <x:c r="I6" s="31" t="n">
        <x:f>IF(C6=0,"",SUMIF('Species'!$G$2:$G$70,A6,'Species'!$U$2:$U$70))</x:f>
        <x:v>41777160.740346916</x:v>
      </x:c>
      <x:c r="J6" s="32" t="n">
        <x:v>4.433003546654675</x:v>
      </x:c>
      <x:c r="K6" s="32" t="n">
        <x:f>IF(J6="","",(1/'Metadata'!$B$5)^(J6-1))</x:f>
        <x:v>2710.2137646912115</x:v>
      </x:c>
      <x:c r="L6" s="31" t="n">
        <x:f>IF(E6=0,"",E6*K6)</x:f>
        <x:v>41513741.8938039</x:v>
      </x:c>
      <x:c r="M6" s="31" t="n">
        <x:f>IF(E6=0,"",I6-L6)</x:f>
        <x:v>263418.84654301405</x:v>
      </x:c>
      <x:c r="N6" s="32" t="n">
        <x:f>IF(L6=0,"",I6/L6)</x:f>
        <x:v>1.006345340952807</x:v>
      </x:c>
      <x:c r="O6" s="34" t="n">
        <x:f>IF(L6=0,"",M6/L6)</x:f>
        <x:v>0.006345340952807013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1645.4968561658</x:v>
      </x:c>
      <x:c r="E7" s="31" t="n">
        <x:v>1645.4968561658</x:v>
      </x:c>
      <x:c r="F7" s="32" t="n">
        <x:v>0</x:v>
      </x:c>
      <x:c r="G7" s="34" t="n">
        <x:v>1</x:v>
      </x:c>
      <x:c r="H7" s="32" t="n">
        <x:f>IF(E7=0,"",I7/E7)</x:f>
        <x:v>339.7229687036973</x:v>
      </x:c>
      <x:c r="I7" s="31" t="n">
        <x:f>IF(C7=0,"",SUMIF('Species'!$G$2:$G$70,A7,'Species'!$U$2:$U$70))</x:f>
        <x:v>559013.0769692464</x:v>
      </x:c>
      <x:c r="J7" s="32" t="n">
        <x:v>3.499138682792101</x:v>
      </x:c>
      <x:c r="K7" s="32" t="n">
        <x:f>IF(J7="","",(1/'Metadata'!$B$5)^(J7-1))</x:f>
        <x:v>315.6012268500911</x:v>
      </x:c>
      <x:c r="L7" s="31" t="n">
        <x:f>IF(E7=0,"",E7*K7)</x:f>
        <x:v>519320.8265838944</x:v>
      </x:c>
      <x:c r="M7" s="31" t="n">
        <x:f>IF(E7=0,"",I7-L7)</x:f>
        <x:v>39692.250385352</x:v>
      </x:c>
      <x:c r="N7" s="32" t="n">
        <x:f>IF(L7=0,"",I7/L7)</x:f>
        <x:v>1.0764310775796315</x:v>
      </x:c>
      <x:c r="O7" s="34" t="n">
        <x:f>IF(L7=0,"",M7/L7)</x:f>
        <x:v>0.07643107757963152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194.93943531940002</x:v>
      </x:c>
      <x:c r="E8" s="31" t="n">
        <x:v>194.93943531940002</x:v>
      </x:c>
      <x:c r="F8" s="32" t="n">
        <x:v>0</x:v>
      </x:c>
      <x:c r="G8" s="34" t="n">
        <x:v>1</x:v>
      </x:c>
      <x:c r="H8" s="32" t="n">
        <x:f>IF(E8=0,"",I8/E8)</x:f>
        <x:v>1122.018454301963</x:v>
      </x:c>
      <x:c r="I8" s="31" t="n">
        <x:f>IF(C8=0,"",SUMIF('Species'!$G$2:$G$70,A8,'Species'!$U$2:$U$70))</x:f>
        <x:v>218725.64389957068</x:v>
      </x:c>
      <x:c r="J8" s="32" t="n">
        <x:v>4.05</x:v>
      </x:c>
      <x:c r="K8" s="32" t="n">
        <x:f>IF(J8="","",(1/'Metadata'!$B$5)^(J8-1))</x:f>
        <x:v>1122.018454301963</x:v>
      </x:c>
      <x:c r="L8" s="31" t="n">
        <x:f>IF(E8=0,"",E8*K8)</x:f>
        <x:v>218725.64389957068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3</x:v>
      </x:c>
      <x:c r="C9" s="33" t="n">
        <x:v>3</x:v>
      </x:c>
      <x:c r="D9" s="31" t="n">
        <x:v>8404.9153447984</x:v>
      </x:c>
      <x:c r="E9" s="31" t="n">
        <x:v>8404.9153447984</x:v>
      </x:c>
      <x:c r="F9" s="32" t="n">
        <x:v>0</x:v>
      </x:c>
      <x:c r="G9" s="34" t="n">
        <x:v>1</x:v>
      </x:c>
      <x:c r="H9" s="32" t="n">
        <x:f>IF(E9=0,"",I9/E9)</x:f>
        <x:v>34.459135957055985</x:v>
      </x:c>
      <x:c r="I9" s="31" t="n">
        <x:f>IF(C9=0,"",SUMIF('Species'!$G$2:$G$70,A9,'Species'!$U$2:$U$70))</x:f>
        <x:v>289626.1205739542</x:v>
      </x:c>
      <x:c r="J9" s="32" t="n">
        <x:v>2.5050569152318056</x:v>
      </x:c>
      <x:c r="K9" s="32" t="n">
        <x:f>IF(J9="","",(1/'Metadata'!$B$5)^(J9-1))</x:f>
        <x:v>31.99314359290139</x:v>
      </x:c>
      <x:c r="L9" s="31" t="n">
        <x:f>IF(E9=0,"",E9*K9)</x:f>
        <x:v>268899.66351231554</x:v>
      </x:c>
      <x:c r="M9" s="31" t="n">
        <x:f>IF(E9=0,"",I9-L9)</x:f>
        <x:v>20726.457061638648</x:v>
      </x:c>
      <x:c r="N9" s="32" t="n">
        <x:f>IF(L9=0,"",I9/L9)</x:f>
        <x:v>1.077078776488277</x:v>
      </x:c>
      <x:c r="O9" s="34" t="n">
        <x:f>IF(L9=0,"",M9/L9)</x:f>
        <x:v>0.07707877648827693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247.59327118789997</x:v>
      </x:c>
      <x:c r="E10" s="31" t="n">
        <x:v>247.59327118789997</x:v>
      </x:c>
      <x:c r="F10" s="32" t="n">
        <x:v>0</x:v>
      </x:c>
      <x:c r="G10" s="34" t="n">
        <x:v>1</x:v>
      </x:c>
      <x:c r="H10" s="32" t="n">
        <x:f>IF(E10=0,"",I10/E10)</x:f>
        <x:v>114.2689666910065</x:v>
      </x:c>
      <x:c r="I10" s="31" t="n">
        <x:f>IF(C10=0,"",SUMIF('Species'!$G$2:$G$70,A10,'Species'!$U$2:$U$70))</x:f>
        <x:v>28292.22725828748</x:v>
      </x:c>
      <x:c r="J10" s="32" t="n">
        <x:v>3.024285301704039</x:v>
      </x:c>
      <x:c r="K10" s="32" t="n">
        <x:f>IF(J10="","",(1/'Metadata'!$B$5)^(J10-1))</x:f>
        <x:v>105.75119939625996</x:v>
      </x:c>
      <x:c r="L10" s="31" t="n">
        <x:f>IF(E10=0,"",E10*K10)</x:f>
        <x:v>26183.285390563877</x:v>
      </x:c>
      <x:c r="M10" s="31" t="n">
        <x:f>IF(E10=0,"",I10-L10)</x:f>
        <x:v>2108.9418677236026</x:v>
      </x:c>
      <x:c r="N10" s="32" t="n">
        <x:f>IF(L10=0,"",I10/L10)</x:f>
        <x:v>1.0805453493045467</x:v>
      </x:c>
      <x:c r="O10" s="34" t="n">
        <x:f>IF(L10=0,"",M10/L10)</x:f>
        <x:v>0.08054534930454672</x:v>
      </x:c>
    </x:row>
    <x:row r="11" ht="18" customHeight="1">
      <x:c r="A11" s="24" t="str">
        <x:v>Medium demersals (30 - 89 cm)</x:v>
      </x:c>
      <x:c r="B11" s="33" t="n">
        <x:v>7</x:v>
      </x:c>
      <x:c r="C11" s="33" t="n">
        <x:v>7</x:v>
      </x:c>
      <x:c r="D11" s="31" t="n">
        <x:v>83018.56533638321</x:v>
      </x:c>
      <x:c r="E11" s="31" t="n">
        <x:v>83018.56533638321</x:v>
      </x:c>
      <x:c r="F11" s="32" t="n">
        <x:v>0</x:v>
      </x:c>
      <x:c r="G11" s="34" t="n">
        <x:v>1</x:v>
      </x:c>
      <x:c r="H11" s="32" t="n">
        <x:f>IF(E11=0,"",I11/E11)</x:f>
        <x:v>1126.8522893490765</x:v>
      </x:c>
      <x:c r="I11" s="31" t="n">
        <x:f>IF(C11=0,"",SUMIF('Species'!$G$2:$G$70,A11,'Species'!$U$2:$U$70))</x:f>
        <x:v>93549660.4077793</x:v>
      </x:c>
      <x:c r="J11" s="32" t="n">
        <x:v>3.8721289617069914</x:v>
      </x:c>
      <x:c r="K11" s="32" t="n">
        <x:f>IF(J11="","",(1/'Metadata'!$B$5)^(J11-1))</x:f>
        <x:v>744.9531514056274</x:v>
      </x:c>
      <x:c r="L11" s="31" t="n">
        <x:f>IF(E11=0,"",E11*K11)</x:f>
        <x:v>61844941.87251265</x:v>
      </x:c>
      <x:c r="M11" s="31" t="n">
        <x:f>IF(E11=0,"",I11-L11)</x:f>
        <x:v>31704718.535266653</x:v>
      </x:c>
      <x:c r="N11" s="32" t="n">
        <x:f>IF(L11=0,"",I11/L11)</x:f>
        <x:v>1.5126485299415893</x:v>
      </x:c>
      <x:c r="O11" s="34" t="n">
        <x:f>IF(L11=0,"",M11/L11)</x:f>
        <x:v>0.5126485299415893</x:v>
      </x:c>
    </x:row>
    <x:row r="12" ht="18" customHeight="1">
      <x:c r="A12" s="24" t="str">
        <x:v>Medium pelagics (30 - 89 cm)</x:v>
      </x:c>
      <x:c r="B12" s="33" t="n">
        <x:v>8</x:v>
      </x:c>
      <x:c r="C12" s="33" t="n">
        <x:v>8</x:v>
      </x:c>
      <x:c r="D12" s="31" t="n">
        <x:v>128010.9254968971</x:v>
      </x:c>
      <x:c r="E12" s="31" t="n">
        <x:v>128010.9254968971</x:v>
      </x:c>
      <x:c r="F12" s="32" t="n">
        <x:v>0</x:v>
      </x:c>
      <x:c r="G12" s="34" t="n">
        <x:v>1</x:v>
      </x:c>
      <x:c r="H12" s="32" t="n">
        <x:f>IF(E12=0,"",I12/E12)</x:f>
        <x:v>768.1956577524537</x:v>
      </x:c>
      <x:c r="I12" s="31" t="n">
        <x:f>IF(C12=0,"",SUMIF('Species'!$G$2:$G$70,A12,'Species'!$U$2:$U$70))</x:f>
        <x:v>98337437.11158922</x:v>
      </x:c>
      <x:c r="J12" s="32" t="n">
        <x:v>3.76745413486224</x:v>
      </x:c>
      <x:c r="K12" s="32" t="n">
        <x:f>IF(J12="","",(1/'Metadata'!$B$5)^(J12-1))</x:f>
        <x:v>585.401909707137</x:v>
      </x:c>
      <x:c r="L12" s="31" t="n">
        <x:f>IF(E12=0,"",E12*K12)</x:f>
        <x:v>74937840.2492616</x:v>
      </x:c>
      <x:c r="M12" s="31" t="n">
        <x:f>IF(E12=0,"",I12-L12)</x:f>
        <x:v>23399596.86232762</x:v>
      </x:c>
      <x:c r="N12" s="32" t="n">
        <x:f>IF(L12=0,"",I12/L12)</x:f>
        <x:v>1.3122534194272857</x:v>
      </x:c>
      <x:c r="O12" s="34" t="n">
        <x:f>IF(L12=0,"",M12/L12)</x:f>
        <x:v>0.3122534194272858</x:v>
      </x:c>
    </x:row>
    <x:row r="13" ht="18" customHeight="1">
      <x:c r="A13" s="24" t="str">
        <x:v>Medium reef assoc. fish (30 - 89 cm)</x:v>
      </x:c>
      <x:c r="B13" s="33" t="n">
        <x:v>8</x:v>
      </x:c>
      <x:c r="C13" s="33" t="n">
        <x:v>8</x:v>
      </x:c>
      <x:c r="D13" s="31" t="n">
        <x:v>21368.897691385202</x:v>
      </x:c>
      <x:c r="E13" s="31" t="n">
        <x:v>21368.897691385202</x:v>
      </x:c>
      <x:c r="F13" s="32" t="n">
        <x:v>0</x:v>
      </x:c>
      <x:c r="G13" s="34" t="n">
        <x:v>1</x:v>
      </x:c>
      <x:c r="H13" s="32" t="n">
        <x:f>IF(E13=0,"",I13/E13)</x:f>
        <x:v>1048.9514924537905</x:v>
      </x:c>
      <x:c r="I13" s="31" t="n">
        <x:f>IF(C13=0,"",SUMIF('Species'!$G$2:$G$70,A13,'Species'!$U$2:$U$70))</x:f>
        <x:v>22414937.125470866</x:v>
      </x:c>
      <x:c r="J13" s="32" t="n">
        <x:v>3.9448311311857354</x:v>
      </x:c>
      <x:c r="K13" s="32" t="n">
        <x:f>IF(J13="","",(1/'Metadata'!$B$5)^(J13-1))</x:f>
        <x:v>880.7063571283678</x:v>
      </x:c>
      <x:c r="L13" s="31" t="n">
        <x:f>IF(E13=0,"",E13*K13)</x:f>
        <x:v>18819724.04162865</x:v>
      </x:c>
      <x:c r="M13" s="31" t="n">
        <x:f>IF(E13=0,"",I13-L13)</x:f>
        <x:v>3595213.083842214</x:v>
      </x:c>
      <x:c r="N13" s="32" t="n">
        <x:f>IF(L13=0,"",I13/L13)</x:f>
        <x:v>1.1910343146312727</x:v>
      </x:c>
      <x:c r="O13" s="34" t="n">
        <x:f>IF(L13=0,"",M13/L13)</x:f>
        <x:v>0.19103431463127266</x:v>
      </x:c>
    </x:row>
    <x:row r="14" ht="18" customHeight="1">
      <x:c r="A14" s="24" t="str">
        <x:v>Other demersal invertebrates</x:v>
      </x:c>
      <x:c r="B14" s="33" t="n">
        <x:v>2</x:v>
      </x:c>
      <x:c r="C14" s="33" t="n">
        <x:v>2</x:v>
      </x:c>
      <x:c r="D14" s="31" t="n">
        <x:v>367.72077411419997</x:v>
      </x:c>
      <x:c r="E14" s="31" t="n">
        <x:v>367.72077411419997</x:v>
      </x:c>
      <x:c r="F14" s="32" t="n">
        <x:v>0</x:v>
      </x:c>
      <x:c r="G14" s="34" t="n">
        <x:v>1</x:v>
      </x:c>
      <x:c r="H14" s="32" t="n">
        <x:f>IF(E14=0,"",I14/E14)</x:f>
        <x:v>26.10334378868625</x:v>
      </x:c>
      <x:c r="I14" s="31" t="n">
        <x:f>IF(C14=0,"",SUMIF('Species'!$G$2:$G$70,A14,'Species'!$U$2:$U$70))</x:f>
        <x:v>9598.741784944801</x:v>
      </x:c>
      <x:c r="J14" s="32" t="n">
        <x:v>2.4112955712726802</x:v>
      </x:c>
      <x:c r="K14" s="32" t="n">
        <x:f>IF(J14="","",(1/'Metadata'!$B$5)^(J14-1))</x:f>
        <x:v>25.780751413133014</x:v>
      </x:c>
      <x:c r="L14" s="31" t="n">
        <x:f>IF(E14=0,"",E14*K14)</x:f>
        <x:v>9480.117866883027</x:v>
      </x:c>
      <x:c r="M14" s="31" t="n">
        <x:f>IF(E14=0,"",I14-L14)</x:f>
        <x:v>118.62391806177402</x:v>
      </x:c>
      <x:c r="N14" s="32" t="n">
        <x:f>IF(L14=0,"",I14/L14)</x:f>
        <x:v>1.012512915949723</x:v>
      </x:c>
      <x:c r="O14" s="34" t="n">
        <x:f>IF(L14=0,"",M14/L14)</x:f>
        <x:v>0.012512915949722937</x:v>
      </x:c>
    </x:row>
    <x:row r="15" ht="18" customHeight="1">
      <x:c r="A15" s="24" t="str">
        <x:v>Shrimps</x:v>
      </x:c>
      <x:c r="B15" s="33" t="n">
        <x:v>7</x:v>
      </x:c>
      <x:c r="C15" s="33" t="n">
        <x:v>7</x:v>
      </x:c>
      <x:c r="D15" s="31" t="n">
        <x:v>4461.082894447999</x:v>
      </x:c>
      <x:c r="E15" s="31" t="n">
        <x:v>4461.082894447999</x:v>
      </x:c>
      <x:c r="F15" s="32" t="n">
        <x:v>0</x:v>
      </x:c>
      <x:c r="G15" s="34" t="n">
        <x:v>1</x:v>
      </x:c>
      <x:c r="H15" s="32" t="n">
        <x:f>IF(E15=0,"",I15/E15)</x:f>
        <x:v>207.54966389245615</x:v>
      </x:c>
      <x:c r="I15" s="31" t="n">
        <x:f>IF(C15=0,"",SUMIF('Species'!$G$2:$G$70,A15,'Species'!$U$2:$U$70))</x:f>
        <x:v>925896.2553390677</x:v>
      </x:c>
      <x:c r="J15" s="32" t="n">
        <x:v>2.9041746094902527</x:v>
      </x:c>
      <x:c r="K15" s="32" t="n">
        <x:f>IF(J15="","",(1/'Metadata'!$B$5)^(J15-1))</x:f>
        <x:v>80.20004454289551</x:v>
      </x:c>
      <x:c r="L15" s="31" t="n">
        <x:f>IF(E15=0,"",E15*K15)</x:f>
        <x:v>357779.04684427875</x:v>
      </x:c>
      <x:c r="M15" s="31" t="n">
        <x:f>IF(E15=0,"",I15-L15)</x:f>
        <x:v>568117.208494789</x:v>
      </x:c>
      <x:c r="N15" s="32" t="n">
        <x:f>IF(L15=0,"",I15/L15)</x:f>
        <x:v>2.5878996087271107</x:v>
      </x:c>
      <x:c r="O15" s="34" t="n">
        <x:f>IF(L15=0,"",M15/L15)</x:f>
        <x:v>1.5878996087271111</x:v>
      </x:c>
    </x:row>
    <x:row r="16" ht="18" customHeight="1">
      <x:c r="A16" s="24" t="str">
        <x:v>Small benthopelagics (&lt;30 cm)</x:v>
      </x:c>
      <x:c r="B16" s="33" t="n">
        <x:v>1</x:v>
      </x:c>
      <x:c r="C16" s="33" t="n">
        <x:v>1</x:v>
      </x:c>
      <x:c r="D16" s="31" t="n">
        <x:v>38731.1196075728</x:v>
      </x:c>
      <x:c r="E16" s="31" t="n">
        <x:v>38731.1196075728</x:v>
      </x:c>
      <x:c r="F16" s="32" t="n">
        <x:v>0</x:v>
      </x:c>
      <x:c r="G16" s="34" t="n">
        <x:v>1</x:v>
      </x:c>
      <x:c r="H16" s="32" t="n">
        <x:f>IF(E16=0,"",I16/E16)</x:f>
        <x:v>173.78008287493762</x:v>
      </x:c>
      <x:c r="I16" s="31" t="n">
        <x:f>IF(C16=0,"",SUMIF('Species'!$G$2:$G$70,A16,'Species'!$U$2:$U$70))</x:f>
        <x:v>6730697.1752431225</x:v>
      </x:c>
      <x:c r="J16" s="32" t="n">
        <x:v>3.24</x:v>
      </x:c>
      <x:c r="K16" s="32" t="n">
        <x:f>IF(J16="","",(1/'Metadata'!$B$5)^(J16-1))</x:f>
        <x:v>173.78008287493762</x:v>
      </x:c>
      <x:c r="L16" s="31" t="n">
        <x:f>IF(E16=0,"",E16*K16)</x:f>
        <x:v>6730697.1752431225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demersals (&lt;30 cm)</x:v>
      </x:c>
      <x:c r="B17" s="33" t="n">
        <x:v>2</x:v>
      </x:c>
      <x:c r="C17" s="33" t="n">
        <x:v>2</x:v>
      </x:c>
      <x:c r="D17" s="31" t="n">
        <x:v>37784.1448737068</x:v>
      </x:c>
      <x:c r="E17" s="31" t="n">
        <x:v>37784.1448737068</x:v>
      </x:c>
      <x:c r="F17" s="32" t="n">
        <x:v>0</x:v>
      </x:c>
      <x:c r="G17" s="34" t="n">
        <x:v>1</x:v>
      </x:c>
      <x:c r="H17" s="32" t="n">
        <x:f>IF(E17=0,"",I17/E17)</x:f>
        <x:v>324.4105610978732</x:v>
      </x:c>
      <x:c r="I17" s="31" t="n">
        <x:f>IF(C17=0,"",SUMIF('Species'!$G$2:$G$70,A17,'Species'!$U$2:$U$70))</x:f>
        <x:v>12257575.639082551</x:v>
      </x:c>
      <x:c r="J17" s="32" t="n">
        <x:v>3.5109633745223925</x:v>
      </x:c>
      <x:c r="K17" s="32" t="n">
        <x:f>IF(J17="","",(1/'Metadata'!$B$5)^(J17-1))</x:f>
        <x:v>324.3122658793213</x:v>
      </x:c>
      <x:c r="L17" s="31" t="n">
        <x:f>IF(E17=0,"",E17*K17)</x:f>
        <x:v>12253861.638304394</x:v>
      </x:c>
      <x:c r="M17" s="31" t="n">
        <x:f>IF(E17=0,"",I17-L17)</x:f>
        <x:v>3714.000778157264</x:v>
      </x:c>
      <x:c r="N17" s="32" t="n">
        <x:f>IF(L17=0,"",I17/L17)</x:f>
        <x:v>1.0003030881927495</x:v>
      </x:c>
      <x:c r="O17" s="34" t="n">
        <x:f>IF(L17=0,"",M17/L17)</x:f>
        <x:v>0.0003030881927495945</x:v>
      </x:c>
    </x:row>
    <x:row r="18" ht="18" customHeight="1">
      <x:c r="A18" s="24" t="str">
        <x:v>Small pelagics (&lt;30 cm)</x:v>
      </x:c>
      <x:c r="B18" s="33" t="n">
        <x:v>2</x:v>
      </x:c>
      <x:c r="C18" s="33" t="n">
        <x:v>2</x:v>
      </x:c>
      <x:c r="D18" s="31" t="n">
        <x:v>38826.059888826</x:v>
      </x:c>
      <x:c r="E18" s="31" t="n">
        <x:v>38826.059888826</x:v>
      </x:c>
      <x:c r="F18" s="32" t="n">
        <x:v>0</x:v>
      </x:c>
      <x:c r="G18" s="34" t="n">
        <x:v>1</x:v>
      </x:c>
      <x:c r="H18" s="32" t="n">
        <x:f>IF(E18=0,"",I18/E18)</x:f>
        <x:v>127.55757364191409</x:v>
      </x:c>
      <x:c r="I18" s="31" t="n">
        <x:f>IF(C18=0,"",SUMIF('Species'!$G$2:$G$70,A18,'Species'!$U$2:$U$70))</x:f>
        <x:v>4952557.993494289</x:v>
      </x:c>
      <x:c r="J18" s="32" t="n">
        <x:v>3.0664659726818813</x:v>
      </x:c>
      <x:c r="K18" s="32" t="n">
        <x:f>IF(J18="","",(1/'Metadata'!$B$5)^(J18-1))</x:f>
        <x:v>116.53757391439065</x:v>
      </x:c>
      <x:c r="L18" s="31" t="n">
        <x:f>IF(E18=0,"",E18*K18)</x:f>
        <x:v>4524694.824098618</x:v>
      </x:c>
      <x:c r="M18" s="31" t="n">
        <x:f>IF(E18=0,"",I18-L18)</x:f>
        <x:v>427863.1693956712</x:v>
      </x:c>
      <x:c r="N18" s="32" t="n">
        <x:f>IF(L18=0,"",I18/L18)</x:f>
        <x:v>1.0945617740044837</x:v>
      </x:c>
      <x:c r="O18" s="34" t="n">
        <x:f>IF(L18=0,"",M18/L18)</x:f>
        <x:v>0.09456177400448383</x:v>
      </x:c>
    </x:row>
    <x:row r="19" ht="18" customHeight="1">
      <x:c r="A19" s="24" t="str">
        <x:v>Small reef assoc. fish (&lt;30 cm)</x:v>
      </x:c>
      <x:c r="B19" s="33" t="n">
        <x:v>2</x:v>
      </x:c>
      <x:c r="C19" s="33" t="n">
        <x:v>2</x:v>
      </x:c>
      <x:c r="D19" s="31" t="n">
        <x:v>3020.5659748518</x:v>
      </x:c>
      <x:c r="E19" s="31" t="n">
        <x:v>3020.5659748518</x:v>
      </x:c>
      <x:c r="F19" s="32" t="n">
        <x:v>0</x:v>
      </x:c>
      <x:c r="G19" s="34" t="n">
        <x:v>1</x:v>
      </x:c>
      <x:c r="H19" s="32" t="n">
        <x:f>IF(E19=0,"",I19/E19)</x:f>
        <x:v>238.27667931130222</x:v>
      </x:c>
      <x:c r="I19" s="31" t="n">
        <x:f>IF(C19=0,"",SUMIF('Species'!$G$2:$G$70,A19,'Species'!$U$2:$U$70))</x:f>
        <x:v>719730.4301283933</x:v>
      </x:c>
      <x:c r="J19" s="32" t="n">
        <x:v>3.3672361864383347</x:v>
      </x:c>
      <x:c r="K19" s="32" t="n">
        <x:f>IF(J19="","",(1/'Metadata'!$B$5)^(J19-1))</x:f>
        <x:v>232.93577096947382</x:v>
      </x:c>
      <x:c r="L19" s="31" t="n">
        <x:f>IF(E19=0,"",E19*K19)</x:f>
        <x:v>703597.8641162643</x:v>
      </x:c>
      <x:c r="M19" s="31" t="n">
        <x:f>IF(E19=0,"",I19-L19)</x:f>
        <x:v>16132.566012129071</x:v>
      </x:c>
      <x:c r="N19" s="32" t="n">
        <x:f>IF(L19=0,"",I19/L19)</x:f>
        <x:v>1.0229286739413173</x:v>
      </x:c>
      <x:c r="O19" s="34" t="n">
        <x:f>IF(L19=0,"",M19/L19)</x:f>
        <x:v>0.02292867394131726</x:v>
      </x:c>
    </x:row>
    <x:row r="20" ht="18" customHeight="1">
      <x:c r="A20" s="24" t="str">
        <x:v>Small to medium flatfishes (&lt;90 cm)</x:v>
      </x:c>
      <x:c r="B20" s="33" t="n">
        <x:v>1</x:v>
      </x:c>
      <x:c r="C20" s="33" t="n">
        <x:v>1</x:v>
      </x:c>
      <x:c r="D20" s="31" t="n">
        <x:v>98.9329564803</x:v>
      </x:c>
      <x:c r="E20" s="31" t="n">
        <x:v>98.9329564803</x:v>
      </x:c>
      <x:c r="F20" s="32" t="n">
        <x:v>0</x:v>
      </x:c>
      <x:c r="G20" s="34" t="n">
        <x:v>1</x:v>
      </x:c>
      <x:c r="H20" s="32" t="n">
        <x:f>IF(E20=0,"",I20/E20)</x:f>
        <x:v>2454.7089156850284</x:v>
      </x:c>
      <x:c r="I20" s="31" t="n">
        <x:f>IF(C20=0,"",SUMIF('Species'!$G$2:$G$70,A20,'Species'!$U$2:$U$70))</x:f>
        <x:v>242851.61032727134</x:v>
      </x:c>
      <x:c r="J20" s="32" t="n">
        <x:v>4.39</x:v>
      </x:c>
      <x:c r="K20" s="32" t="n">
        <x:f>IF(J20="","",(1/'Metadata'!$B$5)^(J20-1))</x:f>
        <x:v>2454.7089156850284</x:v>
      </x:c>
      <x:c r="L20" s="31" t="n">
        <x:f>IF(E20=0,"",E20*K20)</x:f>
        <x:v>242851.61032727134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58a988bab4c4f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EEZ_956</x:v>
      </x:c>
      <x:c r="B2" s="24" t="str">
        <x:v>raw_filtered_tonnes</x:v>
      </x:c>
      <x:c r="C2" s="24" t="n">
        <x:v>421454.1155394422</x:v>
      </x:c>
      <x:c r="D2" s="24" t="str">
        <x:v>tonnes</x:v>
      </x:c>
    </x:row>
    <x:row r="3" ht="18" customHeight="1">
      <x:c r="A3" s="24" t="str">
        <x:v>EEZ_956</x:v>
      </x:c>
      <x:c r="B3" s="24" t="str">
        <x:v>species_catch_tonnes</x:v>
      </x:c>
      <x:c r="C3" s="24" t="n">
        <x:v>421454.11553944217</x:v>
      </x:c>
      <x:c r="D3" s="24" t="str">
        <x:v>tonnes</x:v>
      </x:c>
    </x:row>
    <x:row r="4" ht="18" customHeight="1">
      <x:c r="A4" s="24" t="str">
        <x:v>EEZ_956</x:v>
      </x:c>
      <x:c r="B4" s="24" t="str">
        <x:v>catch_difference_tonnes</x:v>
      </x:c>
      <x:c r="C4" s="24" t="n">
        <x:v>-5.820766091346741e-11</x:v>
      </x:c>
      <x:c r="D4" s="24" t="str">
        <x:v>tonnes</x:v>
      </x:c>
    </x:row>
    <x:row r="5" ht="18" customHeight="1">
      <x:c r="A5" s="24" t="str">
        <x:v>EEZ_956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EEZ_956</x:v>
      </x:c>
      <x:c r="B6" s="24" t="str">
        <x:v>matched_catch_tonnes</x:v>
      </x:c>
      <x:c r="C6" s="24" t="n">
        <x:v>421454.11553944217</x:v>
      </x:c>
      <x:c r="D6" s="24" t="str">
        <x:v>tonnes</x:v>
      </x:c>
    </x:row>
    <x:row r="7" ht="18" customHeight="1">
      <x:c r="A7" s="24" t="str">
        <x:v>EEZ_956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EEZ_956</x:v>
      </x:c>
      <x:c r="B8" s="24" t="str">
        <x:v>taxa_count</x:v>
      </x:c>
      <x:c r="C8" s="24" t="n">
        <x:v>69</x:v>
      </x:c>
      <x:c r="D8" s="24" t="str">
        <x:v>count</x:v>
      </x:c>
    </x:row>
    <x:row r="9" ht="18" customHeight="1">
      <x:c r="A9" s="24" t="str">
        <x:v>EEZ_956</x:v>
      </x:c>
      <x:c r="B9" s="24" t="str">
        <x:v>matched_taxa_count</x:v>
      </x:c>
      <x:c r="C9" s="24" t="n">
        <x:v>69</x:v>
      </x:c>
      <x:c r="D9" s="24" t="str">
        <x:v>count</x:v>
      </x:c>
    </x:row>
    <x:row r="10" ht="18" customHeight="1">
      <x:c r="A10" s="24" t="str">
        <x:v>EEZ_956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EEZ_956</x:v>
      </x:c>
      <x:c r="B11" s="24" t="str">
        <x:v>species_ppr</x:v>
      </x:c>
      <x:c r="C11" s="24" t="n">
        <x:v>313495011.23728895</x:v>
      </x:c>
      <x:c r="D11" s="24" t="str">
        <x:v>tonnes_primary_production_equivalent</x:v>
      </x:c>
    </x:row>
    <x:row r="12" ht="18" customHeight="1">
      <x:c r="A12" s="24" t="str">
        <x:v>EEZ_956</x:v>
      </x:c>
      <x:c r="B12" s="24" t="str">
        <x:v>commercial_ppr</x:v>
      </x:c>
      <x:c r="C12" s="24" t="n">
        <x:v>313495011.237289</x:v>
      </x:c>
      <x:c r="D12" s="24" t="str">
        <x:v>tonnes_primary_production_equivalent</x:v>
      </x:c>
    </x:row>
    <x:row r="13" ht="18" customHeight="1">
      <x:c r="A13" s="24" t="str">
        <x:v>EEZ_956</x:v>
      </x:c>
      <x:c r="B13" s="24" t="str">
        <x:v>functional_ppr</x:v>
      </x:c>
      <x:c r="C13" s="24" t="n">
        <x:v>313495011.23728895</x:v>
      </x:c>
      <x:c r="D13" s="24" t="str">
        <x:v>tonnes_primary_production_equivalent</x:v>
      </x:c>
    </x:row>
    <x:row r="14" ht="18" customHeight="1">
      <x:c r="A14" s="24" t="str">
        <x:v>EEZ_956</x:v>
      </x:c>
      <x:c r="B14" s="24" t="str">
        <x:v>commercial_ppr_difference</x:v>
      </x:c>
      <x:c r="C14" s="24" t="n">
        <x:v>5.960464477539063e-8</x:v>
      </x:c>
      <x:c r="D14" s="24" t="str">
        <x:v>tonnes_primary_production_equivalent</x:v>
      </x:c>
    </x:row>
    <x:row r="15" ht="18" customHeight="1">
      <x:c r="A15" s="24" t="str">
        <x:v>EEZ_956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EEZ_956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EEZ_956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EEZ_956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EEZ_956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d43a78f1eed44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EEZ_956 - Thailand (Andaman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