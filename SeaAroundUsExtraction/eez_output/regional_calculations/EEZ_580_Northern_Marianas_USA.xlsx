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5a95e59fa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b087db7a324354"/>
    <x:sheet xmlns:r="http://schemas.openxmlformats.org/officeDocument/2006/relationships" name="Commercial" sheetId="2" r:id="Rccbaf5f11c634b7f"/>
    <x:sheet xmlns:r="http://schemas.openxmlformats.org/officeDocument/2006/relationships" name="Functional" sheetId="3" r:id="R68b22598db024dff"/>
    <x:sheet xmlns:r="http://schemas.openxmlformats.org/officeDocument/2006/relationships" name="Missing TL" sheetId="4" r:id="Rf78f48b56a5549b4"/>
    <x:sheet xmlns:r="http://schemas.openxmlformats.org/officeDocument/2006/relationships" name="Validation" sheetId="5" r:id="Rfa03bcd8f0e1474e"/>
    <x:sheet xmlns:r="http://schemas.openxmlformats.org/officeDocument/2006/relationships" name="Metadata" sheetId="6" r:id="R3f1340cc7621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79d678024569" /><Relationship Type="http://schemas.openxmlformats.org/officeDocument/2006/relationships/theme" Target="/xl/theme/theme1.xml" Id="Rf2011bda83284c6b" /><Relationship Type="http://schemas.microsoft.com/office/2022/11/relationships/FeaturePropertyBag" Target="/xl/featurePropertyBag/featurePropertyBag.xml" Id="Rc5e74fd60fdc4ed9" /><Relationship Type="http://schemas.openxmlformats.org/officeDocument/2006/relationships/sharedStrings" Target="/xl/sharedStrings.xml" Id="Rb092b1cdfd91404d" /><Relationship Type="http://schemas.openxmlformats.org/officeDocument/2006/relationships/worksheet" Target="/xl/worksheets/sheet1.xml" Id="R3bb087db7a324354" /><Relationship Type="http://schemas.openxmlformats.org/officeDocument/2006/relationships/worksheet" Target="/xl/worksheets/sheet2.xml" Id="Rccbaf5f11c634b7f" /><Relationship Type="http://schemas.openxmlformats.org/officeDocument/2006/relationships/worksheet" Target="/xl/worksheets/sheet3.xml" Id="R68b22598db024dff" /><Relationship Type="http://schemas.openxmlformats.org/officeDocument/2006/relationships/worksheet" Target="/xl/worksheets/sheet4.xml" Id="Rf78f48b56a5549b4" /><Relationship Type="http://schemas.openxmlformats.org/officeDocument/2006/relationships/worksheet" Target="/xl/worksheets/sheet5.xml" Id="Rfa03bcd8f0e1474e" /><Relationship Type="http://schemas.openxmlformats.org/officeDocument/2006/relationships/worksheet" Target="/xl/worksheets/sheet6.xml" Id="R3f1340cc762141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0SpeciesTable" displayName="EEZ580SpeciesTable" ref="A1:U63" headerRowCount="1" totalsRowCount="0" totalsRowShown="0">
  <x:autoFilter ref="A1:U6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0CommercialTable" displayName="EEZ58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0FunctionalTable" displayName="EEZ580FunctionalTable" ref="A1:E15" headerRowCount="1" totalsRowCount="0" totalsRowShown="0">
  <x:autoFilter ref="A1:E1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0ValidationTable" displayName="EEZ58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25492700f42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160c51f082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b705418da8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c23fc92b5a46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EEZ_580</x:v>
      </x:c>
      <x:c r="B2" s="24" t="str">
        <x:v>Northern Marianas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263.89539451869996</x:v>
      </x:c>
      <x:c r="J2" s="31" t="n">
        <x:v>263.89539451869996</x:v>
      </x:c>
      <x:c r="K2" s="31" t="n">
        <x:v>0</x:v>
      </x:c>
      <x:c r="L2" s="31" t="n">
        <x:v>40.5959858823</x:v>
      </x:c>
      <x:c r="M2" s="31" t="n">
        <x:v>223.2994086364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710283.6389431047</x:v>
      </x:c>
    </x:row>
    <x:row r="3" ht="18" customHeight="1">
      <x:c r="A3" s="24" t="str">
        <x:v>EEZ_580</x:v>
      </x:c>
      <x:c r="B3" s="24" t="str">
        <x:v>Northern Marianas (USA)</x:v>
      </x:c>
      <x:c r="C3" s="24" t="str">
        <x:v>EEZ</x:v>
      </x:c>
      <x:c r="D3" s="30" t="n">
        <x:v>2019</x:v>
      </x:c>
      <x:c r="E3" s="24" t="str">
        <x:v>Coryphaena hippurus</x:v>
      </x:c>
      <x:c r="F3" s="24" t="str">
        <x:v>Common dolphinfish</x:v>
      </x:c>
      <x:c r="G3" s="24" t="str">
        <x:v>Large pelagics (&gt;=90 cm)</x:v>
      </x:c>
      <x:c r="H3" s="24" t="str">
        <x:v>Perch-likes</x:v>
      </x:c>
      <x:c r="I3" s="31" t="n">
        <x:v>44.758124790000004</x:v>
      </x:c>
      <x:c r="J3" s="31" t="n">
        <x:v>39.5147449939</x:v>
      </x:c>
      <x:c r="K3" s="31" t="n">
        <x:v>5.2433797961</x:v>
      </x:c>
      <x:c r="L3" s="31" t="n">
        <x:v>8</x:v>
      </x:c>
      <x:c r="M3" s="31" t="n">
        <x:v>36.758124790000004</x:v>
      </x:c>
      <x:c r="N3" s="24" t="str">
        <x:v>coryphaena hippurus</x:v>
      </x:c>
      <x:c r="O3" s="32" t="n">
        <x:v>4.37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Coryphaena hippurus</x:v>
      </x:c>
      <x:c r="T3" s="32" t="n">
        <x:f>IF(O3="","",(1/'Metadata'!$B$5)^(O3-1))</x:f>
        <x:v>2344.228815319923</x:v>
      </x:c>
      <x:c r="U3" s="31" t="n">
        <x:f>IF(T3="","",I3*T3)</x:f>
        <x:v>104923.28585240299</x:v>
      </x:c>
    </x:row>
    <x:row r="4" ht="18" customHeight="1">
      <x:c r="A4" s="24" t="str">
        <x:v>EEZ_580</x:v>
      </x:c>
      <x:c r="B4" s="24" t="str">
        <x:v>Northern Marianas (USA)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18.3153805432</x:v>
      </x:c>
      <x:c r="J4" s="31" t="n">
        <x:v>18.2402354758</x:v>
      </x:c>
      <x:c r="K4" s="31" t="n">
        <x:v>0.0751450674</x:v>
      </x:c>
      <x:c r="L4" s="31" t="n">
        <x:v>9.051661568</x:v>
      </x:c>
      <x:c r="M4" s="31" t="n">
        <x:v>9.2637189752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47077.776908048196</x:v>
      </x:c>
    </x:row>
    <x:row r="5" ht="18" customHeight="1">
      <x:c r="A5" s="24" t="str">
        <x:v>EEZ_580</x:v>
      </x:c>
      <x:c r="B5" s="24" t="str">
        <x:v>Northern Marianas (USA)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17.0088418232</x:v>
      </x:c>
      <x:c r="J5" s="31" t="n">
        <x:v>8.6063036693</x:v>
      </x:c>
      <x:c r="K5" s="31" t="n">
        <x:v>8.4025381539</x:v>
      </x:c>
      <x:c r="L5" s="31" t="n">
        <x:v>0</x:v>
      </x:c>
      <x:c r="M5" s="31" t="n">
        <x:v>17.0088418232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3240.9679952157967</x:v>
      </x:c>
    </x:row>
    <x:row r="6" ht="18" customHeight="1">
      <x:c r="A6" s="24" t="str">
        <x:v>EEZ_580</x:v>
      </x:c>
      <x:c r="B6" s="24" t="str">
        <x:v>Northern Marianas (USA)</x:v>
      </x:c>
      <x:c r="C6" s="24" t="str">
        <x:v>EEZ</x:v>
      </x:c>
      <x:c r="D6" s="30" t="n">
        <x:v>2019</x:v>
      </x:c>
      <x:c r="E6" s="24" t="str">
        <x:v>Acanthuridae</x:v>
      </x:c>
      <x:c r="F6" s="24" t="str">
        <x:v>Surgeons, tangs, unicornfishes</x:v>
      </x:c>
      <x:c r="G6" s="24" t="str">
        <x:v>Small reef assoc. fish (&lt;30 cm)</x:v>
      </x:c>
      <x:c r="H6" s="24" t="str">
        <x:v>Perch-likes</x:v>
      </x:c>
      <x:c r="I6" s="31" t="n">
        <x:v>15.361123545000002</x:v>
      </x:c>
      <x:c r="J6" s="31" t="n">
        <x:v>15.361123545000002</x:v>
      </x:c>
      <x:c r="K6" s="31" t="n">
        <x:v>0</x:v>
      </x:c>
      <x:c r="L6" s="31" t="n">
        <x:v>0</x:v>
      </x:c>
      <x:c r="M6" s="31" t="n">
        <x:v>15.361123545000002</x:v>
      </x:c>
      <x:c r="N6" s="24" t="str">
        <x:v>acanthuridae</x:v>
      </x:c>
      <x:c r="O6" s="32" t="n">
        <x:v>2.28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Acanthuridae</x:v>
      </x:c>
      <x:c r="T6" s="32" t="n">
        <x:f>IF(O6="","",(1/'Metadata'!$B$5)^(O6-1))</x:f>
        <x:v>19.054607179632463</x:v>
      </x:c>
      <x:c r="U6" s="31" t="n">
        <x:f>IF(T6="","",I6*T6)</x:f>
        <x:v>292.70017498777827</x:v>
      </x:c>
    </x:row>
    <x:row r="7" ht="18" customHeight="1">
      <x:c r="A7" s="24" t="str">
        <x:v>EEZ_580</x:v>
      </x:c>
      <x:c r="B7" s="24" t="str">
        <x:v>Northern Marianas (USA)</x:v>
      </x:c>
      <x:c r="C7" s="24" t="str">
        <x:v>EEZ</x:v>
      </x:c>
      <x:c r="D7" s="30" t="n">
        <x:v>2019</x:v>
      </x:c>
      <x:c r="E7" s="24" t="str">
        <x:v>Lethrinidae</x:v>
      </x:c>
      <x:c r="F7" s="24" t="str">
        <x:v>Emperors, scavengers</x:v>
      </x:c>
      <x:c r="G7" s="24" t="str">
        <x:v>Medium reef assoc. fish (30 - 89 cm)</x:v>
      </x:c>
      <x:c r="H7" s="24" t="str">
        <x:v>Perch-likes</x:v>
      </x:c>
      <x:c r="I7" s="31" t="n">
        <x:v>13.126786455600001</x:v>
      </x:c>
      <x:c r="J7" s="31" t="n">
        <x:v>13.126786455600001</x:v>
      </x:c>
      <x:c r="K7" s="31" t="n">
        <x:v>0</x:v>
      </x:c>
      <x:c r="L7" s="31" t="n">
        <x:v>0</x:v>
      </x:c>
      <x:c r="M7" s="31" t="n">
        <x:v>13.126786455600001</x:v>
      </x:c>
      <x:c r="N7" s="24" t="str">
        <x:v>lethrinidae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Lethrinidae</x:v>
      </x:c>
      <x:c r="T7" s="32" t="n">
        <x:f>IF(O7="","",(1/'Metadata'!$B$5)^(O7-1))</x:f>
        <x:v>389.04514499428046</x:v>
      </x:c>
      <x:c r="U7" s="31" t="n">
        <x:f>IF(T7="","",I7*T7)</x:f>
        <x:v>5106.912539927859</x:v>
      </x:c>
    </x:row>
    <x:row r="8" ht="18" customHeight="1">
      <x:c r="A8" s="24" t="str">
        <x:v>EEZ_580</x:v>
      </x:c>
      <x:c r="B8" s="24" t="str">
        <x:v>Northern Marianas (USA)</x:v>
      </x:c>
      <x:c r="C8" s="24" t="str">
        <x:v>EEZ</x:v>
      </x:c>
      <x:c r="D8" s="30" t="n">
        <x:v>2019</x:v>
      </x:c>
      <x:c r="E8" s="24" t="str">
        <x:v>Scaridae</x:v>
      </x:c>
      <x:c r="F8" s="24" t="str">
        <x:v>Parrotfishes</x:v>
      </x:c>
      <x:c r="G8" s="24" t="str">
        <x:v>Medium reef assoc. fish (30 - 89 cm)</x:v>
      </x:c>
      <x:c r="H8" s="24" t="str">
        <x:v>Perch-likes</x:v>
      </x:c>
      <x:c r="I8" s="31" t="n">
        <x:v>12.470698309</x:v>
      </x:c>
      <x:c r="J8" s="31" t="n">
        <x:v>12.470698309</x:v>
      </x:c>
      <x:c r="K8" s="31" t="n">
        <x:v>0</x:v>
      </x:c>
      <x:c r="L8" s="31" t="n">
        <x:v>0</x:v>
      </x:c>
      <x:c r="M8" s="31" t="n">
        <x:v>12.470698309</x:v>
      </x:c>
      <x:c r="N8" s="24" t="str">
        <x:v>scaridae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Scaridae</x:v>
      </x:c>
      <x:c r="T8" s="32" t="n">
        <x:f>IF(O8="","",(1/'Metadata'!$B$5)^(O8-1))</x:f>
        <x:v>10</x:v>
      </x:c>
      <x:c r="U8" s="31" t="n">
        <x:f>IF(T8="","",I8*T8)</x:f>
        <x:v>124.70698309</x:v>
      </x:c>
    </x:row>
    <x:row r="9" ht="18" customHeight="1">
      <x:c r="A9" s="24" t="str">
        <x:v>EEZ_580</x:v>
      </x:c>
      <x:c r="B9" s="24" t="str">
        <x:v>Northern Marianas (USA)</x:v>
      </x:c>
      <x:c r="C9" s="24" t="str">
        <x:v>EEZ</x:v>
      </x:c>
      <x:c r="D9" s="30" t="n">
        <x:v>2019</x:v>
      </x:c>
      <x:c r="E9" s="24" t="str">
        <x:v>Palinuridae</x:v>
      </x:c>
      <x:c r="F9" s="24" t="str">
        <x:v>Spiny lobsters</x:v>
      </x:c>
      <x:c r="G9" s="24" t="str">
        <x:v>Lobsters, crabs</x:v>
      </x:c>
      <x:c r="H9" s="24" t="str">
        <x:v>Crustaceans</x:v>
      </x:c>
      <x:c r="I9" s="31" t="n">
        <x:v>11.143340608599999</x:v>
      </x:c>
      <x:c r="J9" s="31" t="n">
        <x:v>11.143340608599999</x:v>
      </x:c>
      <x:c r="K9" s="31" t="n">
        <x:v>0</x:v>
      </x:c>
      <x:c r="L9" s="31" t="n">
        <x:v>0</x:v>
      </x:c>
      <x:c r="M9" s="31" t="n">
        <x:v>11.143340608599999</x:v>
      </x:c>
      <x:c r="N9" s="24" t="str">
        <x:v>palinuridae</x:v>
      </x:c>
      <x:c r="O9" s="32" t="n">
        <x:v>3.14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Palinuridae</x:v>
      </x:c>
      <x:c r="T9" s="32" t="n">
        <x:f>IF(O9="","",(1/'Metadata'!$B$5)^(O9-1))</x:f>
        <x:v>138.03842646028852</x:v>
      </x:c>
      <x:c r="U9" s="31" t="n">
        <x:f>IF(T9="","",I9*T9)</x:f>
        <x:v>1538.2092031221778</x:v>
      </x:c>
    </x:row>
    <x:row r="10" ht="18" customHeight="1">
      <x:c r="A10" s="24" t="str">
        <x:v>EEZ_580</x:v>
      </x:c>
      <x:c r="B10" s="24" t="str">
        <x:v>Northern Marianas (USA)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10.079488248</x:v>
      </x:c>
      <x:c r="J10" s="31" t="n">
        <x:v>10.079488248</x:v>
      </x:c>
      <x:c r="K10" s="31" t="n">
        <x:v>0</x:v>
      </x:c>
      <x:c r="L10" s="31" t="n">
        <x:v>0</x:v>
      </x:c>
      <x:c r="M10" s="31" t="n">
        <x:v>10.079488248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2906.95616426264</x:v>
      </x:c>
    </x:row>
    <x:row r="11" ht="18" customHeight="1">
      <x:c r="A11" s="24" t="str">
        <x:v>EEZ_580</x:v>
      </x:c>
      <x:c r="B11" s="24" t="str">
        <x:v>Northern Marianas (USA)</x:v>
      </x:c>
      <x:c r="C11" s="24" t="str">
        <x:v>EEZ</x:v>
      </x:c>
      <x:c r="D11" s="30" t="n">
        <x:v>2019</x:v>
      </x:c>
      <x:c r="E11" s="24" t="str">
        <x:v>Etelis coruscans</x:v>
      </x:c>
      <x:c r="F11" s="24" t="str">
        <x:v>Deepwater longtail red snapper</x:v>
      </x:c>
      <x:c r="G11" s="24" t="str">
        <x:v>Large bathydemersals (&gt;=90 cm)</x:v>
      </x:c>
      <x:c r="H11" s="24" t="str">
        <x:v>Perch-likes</x:v>
      </x:c>
      <x:c r="I11" s="31" t="n">
        <x:v>8.7426256657</x:v>
      </x:c>
      <x:c r="J11" s="31" t="n">
        <x:v>8.7426256657</x:v>
      </x:c>
      <x:c r="K11" s="31" t="n">
        <x:v>0</x:v>
      </x:c>
      <x:c r="L11" s="31" t="n">
        <x:v>0</x:v>
      </x:c>
      <x:c r="M11" s="31" t="n">
        <x:v>8.7426256657</x:v>
      </x:c>
      <x:c r="N11" s="24" t="str">
        <x:v>etelis coruscans</x:v>
      </x:c>
      <x:c r="O11" s="32" t="n">
        <x:v>4.42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Etelis coruscans</x:v>
      </x:c>
      <x:c r="T11" s="32" t="n">
        <x:f>IF(O11="","",(1/'Metadata'!$B$5)^(O11-1))</x:f>
        <x:v>2630.2679918953813</x:v>
      </x:c>
      <x:c r="U11" s="31" t="n">
        <x:f>IF(T11="","",I11*T11)</x:f>
        <x:v>22995.44845361376</x:v>
      </x:c>
    </x:row>
    <x:row r="12" ht="18" customHeight="1">
      <x:c r="A12" s="24" t="str">
        <x:v>EEZ_580</x:v>
      </x:c>
      <x:c r="B12" s="24" t="str">
        <x:v>Northern Marianas (USA)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7.7818981733</x:v>
      </x:c>
      <x:c r="J12" s="31" t="n">
        <x:v>7.7818981733</x:v>
      </x:c>
      <x:c r="K12" s="31" t="n">
        <x:v>0</x:v>
      </x:c>
      <x:c r="L12" s="31" t="n">
        <x:v>7.7818981733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1742.149993875306</x:v>
      </x:c>
    </x:row>
    <x:row r="13" ht="18" customHeight="1">
      <x:c r="A13" s="24" t="str">
        <x:v>EEZ_580</x:v>
      </x:c>
      <x:c r="B13" s="24" t="str">
        <x:v>Northern Marianas (USA)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5.6021561931</x:v>
      </x:c>
      <x:c r="J13" s="31" t="n">
        <x:v>0</x:v>
      </x:c>
      <x:c r="K13" s="31" t="n">
        <x:v>5.6021561931</x:v>
      </x:c>
      <x:c r="L13" s="31" t="n">
        <x:v>0</x:v>
      </x:c>
      <x:c r="M13" s="31" t="n">
        <x:v>5.6021561931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10194.248434651301</x:v>
      </x:c>
    </x:row>
    <x:row r="14" ht="18" customHeight="1">
      <x:c r="A14" s="24" t="str">
        <x:v>EEZ_580</x:v>
      </x:c>
      <x:c r="B14" s="24" t="str">
        <x:v>Northern Marianas (USA)</x:v>
      </x:c>
      <x:c r="C14" s="24" t="str">
        <x:v>EEZ</x:v>
      </x:c>
      <x:c r="D14" s="30" t="n">
        <x:v>2019</x:v>
      </x:c>
      <x:c r="E14" s="24" t="str">
        <x:v>Siganidae</x:v>
      </x:c>
      <x:c r="F14" s="24" t="str">
        <x:v>Rabbitfishes</x:v>
      </x:c>
      <x:c r="G14" s="24" t="str">
        <x:v>Medium reef assoc. fish (30 - 89 cm)</x:v>
      </x:c>
      <x:c r="H14" s="24" t="str">
        <x:v>Perch-likes</x:v>
      </x:c>
      <x:c r="I14" s="31" t="n">
        <x:v>5.1450938309</x:v>
      </x:c>
      <x:c r="J14" s="31" t="n">
        <x:v>5.1450938309</x:v>
      </x:c>
      <x:c r="K14" s="31" t="n">
        <x:v>0</x:v>
      </x:c>
      <x:c r="L14" s="31" t="n">
        <x:v>0</x:v>
      </x:c>
      <x:c r="M14" s="31" t="n">
        <x:v>5.1450938309</x:v>
      </x:c>
      <x:c r="N14" s="24" t="str">
        <x:v>siganidae</x:v>
      </x:c>
      <x:c r="O14" s="32" t="n">
        <x:v>2.11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Siganidae</x:v>
      </x:c>
      <x:c r="T14" s="32" t="n">
        <x:f>IF(O14="","",(1/'Metadata'!$B$5)^(O14-1))</x:f>
        <x:v>12.882495516931336</x:v>
      </x:c>
      <x:c r="U14" s="31" t="n">
        <x:f>IF(T14="","",I14*T14)</x:f>
        <x:v>66.28164821076031</x:v>
      </x:c>
    </x:row>
    <x:row r="15" ht="18" customHeight="1">
      <x:c r="A15" s="24" t="str">
        <x:v>EEZ_580</x:v>
      </x:c>
      <x:c r="B15" s="24" t="str">
        <x:v>Northern Marianas (USA)</x:v>
      </x:c>
      <x:c r="C15" s="24" t="str">
        <x:v>EEZ</x:v>
      </x:c>
      <x:c r="D15" s="30" t="n">
        <x:v>2019</x:v>
      </x:c>
      <x:c r="E15" s="24" t="str">
        <x:v>Prionace glauca</x:v>
      </x:c>
      <x:c r="F15" s="24" t="str">
        <x:v>Blue shark</x:v>
      </x:c>
      <x:c r="G15" s="24" t="str">
        <x:v>Large sharks (&gt;=90 cm)</x:v>
      </x:c>
      <x:c r="H15" s="24" t="str">
        <x:v>Sharks &amp; rays</x:v>
      </x:c>
      <x:c r="I15" s="31" t="n">
        <x:v>4.9552258655</x:v>
      </x:c>
      <x:c r="J15" s="31" t="n">
        <x:v>0</x:v>
      </x:c>
      <x:c r="K15" s="31" t="n">
        <x:v>4.9552258655</x:v>
      </x:c>
      <x:c r="L15" s="31" t="n">
        <x:v>0</x:v>
      </x:c>
      <x:c r="M15" s="31" t="n">
        <x:v>4.9552258655</x:v>
      </x:c>
      <x:c r="N15" s="24" t="str">
        <x:v>prionace glauca</x:v>
      </x:c>
      <x:c r="O15" s="32" t="n">
        <x:v>4.35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Prionace glauca</x:v>
      </x:c>
      <x:c r="T15" s="32" t="n">
        <x:f>IF(O15="","",(1/'Metadata'!$B$5)^(O15-1))</x:f>
        <x:v>2238.7211385683377</x:v>
      </x:c>
      <x:c r="U15" s="31" t="n">
        <x:f>IF(T15="","",I15*T15)</x:f>
        <x:v>11093.368891475437</x:v>
      </x:c>
    </x:row>
    <x:row r="16" ht="18" customHeight="1">
      <x:c r="A16" s="24" t="str">
        <x:v>EEZ_580</x:v>
      </x:c>
      <x:c r="B16" s="24" t="str">
        <x:v>Northern Marianas (USA)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4.9276795884</x:v>
      </x:c>
      <x:c r="J16" s="31" t="n">
        <x:v>4.9276795884</x:v>
      </x:c>
      <x:c r="K16" s="31" t="n">
        <x:v>0</x:v>
      </x:c>
      <x:c r="L16" s="31" t="n">
        <x:v>0</x:v>
      </x:c>
      <x:c r="M16" s="31" t="n">
        <x:v>4.9276795884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1522.7985724922978</x:v>
      </x:c>
    </x:row>
    <x:row r="17" ht="18" customHeight="1">
      <x:c r="A17" s="24" t="str">
        <x:v>EEZ_580</x:v>
      </x:c>
      <x:c r="B17" s="24" t="str">
        <x:v>Northern Marianas (USA)</x:v>
      </x:c>
      <x:c r="C17" s="24" t="str">
        <x:v>EEZ</x:v>
      </x:c>
      <x:c r="D17" s="30" t="n">
        <x:v>2019</x:v>
      </x:c>
      <x:c r="E17" s="24" t="str">
        <x:v>Elagatis bipinnulata</x:v>
      </x:c>
      <x:c r="F17" s="24" t="str">
        <x:v>Rainbow runner</x:v>
      </x:c>
      <x:c r="G17" s="24" t="str">
        <x:v>Large pelagics (&gt;=90 cm)</x:v>
      </x:c>
      <x:c r="H17" s="24" t="str">
        <x:v>Perch-likes</x:v>
      </x:c>
      <x:c r="I17" s="31" t="n">
        <x:v>4.145994695600001</x:v>
      </x:c>
      <x:c r="J17" s="31" t="n">
        <x:v>4.145994695600001</x:v>
      </x:c>
      <x:c r="K17" s="31" t="n">
        <x:v>0</x:v>
      </x:c>
      <x:c r="L17" s="31" t="n">
        <x:v>0</x:v>
      </x:c>
      <x:c r="M17" s="31" t="n">
        <x:v>4.145994695600001</x:v>
      </x:c>
      <x:c r="N17" s="24" t="str">
        <x:v>elagatis bipinnulata</x:v>
      </x:c>
      <x:c r="O17" s="32" t="n">
        <x:v>4.27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Elagatis bipinnulata</x:v>
      </x:c>
      <x:c r="T17" s="32" t="n">
        <x:f>IF(O17="","",(1/'Metadata'!$B$5)^(O17-1))</x:f>
        <x:v>1862.0871366628655</x:v>
      </x:c>
      <x:c r="U17" s="31" t="n">
        <x:f>IF(T17="","",I17*T17)</x:f>
        <x:v>7720.203391349234</x:v>
      </x:c>
    </x:row>
    <x:row r="18" ht="18" customHeight="1">
      <x:c r="A18" s="24" t="str">
        <x:v>EEZ_580</x:v>
      </x:c>
      <x:c r="B18" s="24" t="str">
        <x:v>Northern Marianas (USA)</x:v>
      </x:c>
      <x:c r="C18" s="24" t="str">
        <x:v>EEZ</x:v>
      </x:c>
      <x:c r="D18" s="30" t="n">
        <x:v>2019</x:v>
      </x:c>
      <x:c r="E18" s="24" t="str">
        <x:v>Marine groundfishes not identified</x:v>
      </x:c>
      <x:c r="F18" s="24" t="str">
        <x:v>Groundfishes</x:v>
      </x:c>
      <x:c r="G18" s="24" t="str">
        <x:v>Medium demersals (30 - 89 cm)</x:v>
      </x:c>
      <x:c r="H18" s="24" t="str">
        <x:v>Other fishes &amp; inverts</x:v>
      </x:c>
      <x:c r="I18" s="31" t="n">
        <x:v>3.9559091698</x:v>
      </x:c>
      <x:c r="J18" s="31" t="n">
        <x:v>3.9559091698</x:v>
      </x:c>
      <x:c r="K18" s="31" t="n">
        <x:v>0</x:v>
      </x:c>
      <x:c r="L18" s="31" t="n">
        <x:v>0</x:v>
      </x:c>
      <x:c r="M18" s="31" t="n">
        <x:v>3.9559091698</x:v>
      </x:c>
      <x:c r="N18" s="24" t="str">
        <x:v>marine groundfishes not identified</x:v>
      </x:c>
      <x:c r="O18" s="32" t="n">
        <x:v>3.22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groundfishes not identified</x:v>
      </x:c>
      <x:c r="T18" s="32" t="n">
        <x:f>IF(O18="","",(1/'Metadata'!$B$5)^(O18-1))</x:f>
        <x:v>165.95869074375614</x:v>
      </x:c>
      <x:c r="U18" s="31" t="n">
        <x:f>IF(T18="","",I18*T18)</x:f>
        <x:v>656.5175065212272</x:v>
      </x:c>
    </x:row>
    <x:row r="19" ht="18" customHeight="1">
      <x:c r="A19" s="24" t="str">
        <x:v>EEZ_580</x:v>
      </x:c>
      <x:c r="B19" s="24" t="str">
        <x:v>Northern Marianas (USA)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3.8679763601</x:v>
      </x:c>
      <x:c r="J19" s="31" t="n">
        <x:v>3.8679763601</x:v>
      </x:c>
      <x:c r="K19" s="31" t="n">
        <x:v>0</x:v>
      </x:c>
      <x:c r="L19" s="31" t="n">
        <x:v>3.8679763601</x:v>
      </x:c>
      <x:c r="M19" s="31" t="n">
        <x:v>0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7717.627466498024</x:v>
      </x:c>
    </x:row>
    <x:row r="20" ht="18" customHeight="1">
      <x:c r="A20" s="24" t="str">
        <x:v>EEZ_580</x:v>
      </x:c>
      <x:c r="B20" s="24" t="str">
        <x:v>Northern Marianas (USA)</x:v>
      </x:c>
      <x:c r="C20" s="24" t="str">
        <x:v>EEZ</x:v>
      </x:c>
      <x:c r="D20" s="30" t="n">
        <x:v>2019</x:v>
      </x:c>
      <x:c r="E20" s="24" t="str">
        <x:v>Serranidae</x:v>
      </x:c>
      <x:c r="F20" s="24" t="str">
        <x:v>Basses, groupers, hinds</x:v>
      </x:c>
      <x:c r="G20" s="24" t="str">
        <x:v>Medium reef assoc. fish (30 - 89 cm)</x:v>
      </x:c>
      <x:c r="H20" s="24" t="str">
        <x:v>Perch-likes</x:v>
      </x:c>
      <x:c r="I20" s="31" t="n">
        <x:v>3.7170857672</x:v>
      </x:c>
      <x:c r="J20" s="31" t="n">
        <x:v>3.7170857672</x:v>
      </x:c>
      <x:c r="K20" s="31" t="n">
        <x:v>0</x:v>
      </x:c>
      <x:c r="L20" s="31" t="n">
        <x:v>0</x:v>
      </x:c>
      <x:c r="M20" s="31" t="n">
        <x:v>3.7170857672</x:v>
      </x:c>
      <x:c r="N20" s="24" t="str">
        <x:v>serranidae</x:v>
      </x:c>
      <x:c r="O20" s="32" t="n">
        <x:v>3.98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Serranidae</x:v>
      </x:c>
      <x:c r="T20" s="32" t="n">
        <x:f>IF(O20="","",(1/'Metadata'!$B$5)^(O20-1))</x:f>
        <x:v>954.992586021436</x:v>
      </x:c>
      <x:c r="U20" s="31" t="n">
        <x:f>IF(T20="","",I20*T20)</x:f>
        <x:v>3549.789349281801</x:v>
      </x:c>
    </x:row>
    <x:row r="21" ht="18" customHeight="1">
      <x:c r="A21" s="24" t="str">
        <x:v>EEZ_580</x:v>
      </x:c>
      <x:c r="B21" s="24" t="str">
        <x:v>Northern Marianas (USA)</x:v>
      </x:c>
      <x:c r="C21" s="24" t="str">
        <x:v>EEZ</x:v>
      </x:c>
      <x:c r="D21" s="30" t="n">
        <x:v>2019</x:v>
      </x:c>
      <x:c r="E21" s="24" t="str">
        <x:v>Naso lituratus</x:v>
      </x:c>
      <x:c r="F21" s="24" t="str">
        <x:v>Orangespine unicornfish</x:v>
      </x:c>
      <x:c r="G21" s="24" t="str">
        <x:v>Medium reef assoc. fish (30 - 89 cm)</x:v>
      </x:c>
      <x:c r="H21" s="24" t="str">
        <x:v>Perch-likes</x:v>
      </x:c>
      <x:c r="I21" s="31" t="n">
        <x:v>3.5275025247</x:v>
      </x:c>
      <x:c r="J21" s="31" t="n">
        <x:v>3.5275025247</x:v>
      </x:c>
      <x:c r="K21" s="31" t="n">
        <x:v>0</x:v>
      </x:c>
      <x:c r="L21" s="31" t="n">
        <x:v>0</x:v>
      </x:c>
      <x:c r="M21" s="31" t="n">
        <x:v>3.5275025247</x:v>
      </x:c>
      <x:c r="N21" s="24" t="str">
        <x:v>naso lituratus</x:v>
      </x:c>
      <x:c r="O21" s="32" t="n">
        <x:v>2.32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Naso lituratus</x:v>
      </x:c>
      <x:c r="T21" s="32" t="n">
        <x:f>IF(O21="","",(1/'Metadata'!$B$5)^(O21-1))</x:f>
        <x:v>20.892961308540386</x:v>
      </x:c>
      <x:c r="U21" s="31" t="n">
        <x:f>IF(T21="","",I21*T21)</x:f>
        <x:v>73.69997376433562</x:v>
      </x:c>
    </x:row>
    <x:row r="22" ht="18" customHeight="1">
      <x:c r="A22" s="24" t="str">
        <x:v>EEZ_580</x:v>
      </x:c>
      <x:c r="B22" s="24" t="str">
        <x:v>Northern Marianas (USA)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3.3385225124</x:v>
      </x:c>
      <x:c r="J22" s="31" t="n">
        <x:v>1.6796240425</x:v>
      </x:c>
      <x:c r="K22" s="31" t="n">
        <x:v>1.6588984699</x:v>
      </x:c>
      <x:c r="L22" s="31" t="n">
        <x:v>0</x:v>
      </x:c>
      <x:c r="M22" s="31" t="n">
        <x:v>3.3385225124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3745.883869015354</x:v>
      </x:c>
    </x:row>
    <x:row r="23" ht="18" customHeight="1">
      <x:c r="A23" s="24" t="str">
        <x:v>EEZ_580</x:v>
      </x:c>
      <x:c r="B23" s="24" t="str">
        <x:v>Northern Marianas (USA)</x:v>
      </x:c>
      <x:c r="C23" s="24" t="str">
        <x:v>EEZ</x:v>
      </x:c>
      <x:c r="D23" s="30" t="n">
        <x:v>2019</x:v>
      </x:c>
      <x:c r="E23" s="24" t="str">
        <x:v>Pristipomoides filamentosus</x:v>
      </x:c>
      <x:c r="F23" s="24" t="str">
        <x:v>Crimson jobfish</x:v>
      </x:c>
      <x:c r="G23" s="24" t="str">
        <x:v>Medium demersals (30 - 89 cm)</x:v>
      </x:c>
      <x:c r="H23" s="24" t="str">
        <x:v>Perch-likes</x:v>
      </x:c>
      <x:c r="I23" s="31" t="n">
        <x:v>3.3359012784</x:v>
      </x:c>
      <x:c r="J23" s="31" t="n">
        <x:v>3.3359012784</x:v>
      </x:c>
      <x:c r="K23" s="31" t="n">
        <x:v>0</x:v>
      </x:c>
      <x:c r="L23" s="31" t="n">
        <x:v>0</x:v>
      </x:c>
      <x:c r="M23" s="31" t="n">
        <x:v>3.3359012784</x:v>
      </x:c>
      <x:c r="N23" s="24" t="str">
        <x:v>pristipomoides filamentosus</x:v>
      </x:c>
      <x:c r="O23" s="32" t="n">
        <x:v>4.19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Pristipomoides filamentosus</x:v>
      </x:c>
      <x:c r="T23" s="32" t="n">
        <x:f>IF(O23="","",(1/'Metadata'!$B$5)^(O23-1))</x:f>
        <x:v>1548.8166189124827</x:v>
      </x:c>
      <x:c r="U23" s="31" t="n">
        <x:f>IF(T23="","",I23*T23)</x:f>
        <x:v>5166.699339037317</x:v>
      </x:c>
    </x:row>
    <x:row r="24" ht="18" customHeight="1">
      <x:c r="A24" s="24" t="str">
        <x:v>EEZ_580</x:v>
      </x:c>
      <x:c r="B24" s="24" t="str">
        <x:v>Northern Marianas (USA)</x:v>
      </x:c>
      <x:c r="C24" s="24" t="str">
        <x:v>EEZ</x:v>
      </x:c>
      <x:c r="D24" s="30" t="n">
        <x:v>2019</x:v>
      </x:c>
      <x:c r="E24" s="24" t="str">
        <x:v>Thunnus obesus</x:v>
      </x:c>
      <x:c r="F24" s="24" t="str">
        <x:v>Bigeye tuna</x:v>
      </x:c>
      <x:c r="G24" s="24" t="str">
        <x:v>Large pelagics (&gt;=90 cm)</x:v>
      </x:c>
      <x:c r="H24" s="24" t="str">
        <x:v>Tuna &amp; billfishes</x:v>
      </x:c>
      <x:c r="I24" s="31" t="n">
        <x:v>2.5313373725</x:v>
      </x:c>
      <x:c r="J24" s="31" t="n">
        <x:v>2.1953274696</x:v>
      </x:c>
      <x:c r="K24" s="31" t="n">
        <x:v>0.3360099029</x:v>
      </x:c>
      <x:c r="L24" s="31" t="n">
        <x:v>2.1953274696</x:v>
      </x:c>
      <x:c r="M24" s="31" t="n">
        <x:v>0.3360099029</x:v>
      </x:c>
      <x:c r="N24" s="24" t="str">
        <x:v>thunnus obesus</x:v>
      </x:c>
      <x:c r="O24" s="32" t="n">
        <x:v>4.49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obesus</x:v>
      </x:c>
      <x:c r="T24" s="32" t="n">
        <x:f>IF(O24="","",(1/'Metadata'!$B$5)^(O24-1))</x:f>
        <x:v>3090.295432513592</x:v>
      </x:c>
      <x:c r="U24" s="31" t="n">
        <x:f>IF(T24="","",I24*T24)</x:f>
        <x:v>7822.580320387707</x:v>
      </x:c>
    </x:row>
    <x:row r="25" ht="18" customHeight="1">
      <x:c r="A25" s="24" t="str">
        <x:v>EEZ_580</x:v>
      </x:c>
      <x:c r="B25" s="24" t="str">
        <x:v>Northern Marianas (USA)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2.3772699642</x:v>
      </x:c>
      <x:c r="J25" s="31" t="n">
        <x:v>2.3772699642</x:v>
      </x:c>
      <x:c r="K25" s="31" t="n">
        <x:v>0</x:v>
      </x:c>
      <x:c r="L25" s="31" t="n">
        <x:v>2</x:v>
      </x:c>
      <x:c r="M25" s="31" t="n">
        <x:v>0.37726996420000003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2489.307245937757</x:v>
      </x:c>
    </x:row>
    <x:row r="26" ht="18" customHeight="1">
      <x:c r="A26" s="24" t="str">
        <x:v>EEZ_580</x:v>
      </x:c>
      <x:c r="B26" s="24" t="str">
        <x:v>Northern Marianas (USA)</x:v>
      </x:c>
      <x:c r="C26" s="24" t="str">
        <x:v>EEZ</x:v>
      </x:c>
      <x:c r="D26" s="30" t="n">
        <x:v>2019</x:v>
      </x:c>
      <x:c r="E26" s="24" t="str">
        <x:v>Elasmobranchii</x:v>
      </x:c>
      <x:c r="F26" s="24" t="str">
        <x:v>Sharks, rays, skates</x:v>
      </x:c>
      <x:c r="G26" s="24" t="str">
        <x:v>Large sharks (&gt;=90 cm)</x:v>
      </x:c>
      <x:c r="H26" s="24" t="str">
        <x:v>Sharks &amp; rays</x:v>
      </x:c>
      <x:c r="I26" s="31" t="n">
        <x:v>2.3536086152</x:v>
      </x:c>
      <x:c r="J26" s="31" t="n">
        <x:v>0</x:v>
      </x:c>
      <x:c r="K26" s="31" t="n">
        <x:v>2.3536086152</x:v>
      </x:c>
      <x:c r="L26" s="31" t="n">
        <x:v>0</x:v>
      </x:c>
      <x:c r="M26" s="31" t="n">
        <x:v>2.3536086152</x:v>
      </x:c>
      <x:c r="N26" s="24" t="str">
        <x:v>elasmobranchii</x:v>
      </x:c>
      <x:c r="O26" s="32" t="n">
        <x:v>4.05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Elasmobranchii</x:v>
      </x:c>
      <x:c r="T26" s="32" t="n">
        <x:f>IF(O26="","",(1/'Metadata'!$B$5)^(O26-1))</x:f>
        <x:v>1122.018454301963</x:v>
      </x:c>
      <x:c r="U26" s="31" t="n">
        <x:f>IF(T26="","",I26*T26)</x:f>
        <x:v>2640.7923004584877</x:v>
      </x:c>
    </x:row>
    <x:row r="27" ht="18" customHeight="1">
      <x:c r="A27" s="24" t="str">
        <x:v>EEZ_580</x:v>
      </x:c>
      <x:c r="B27" s="24" t="str">
        <x:v>Northern Marianas (USA)</x:v>
      </x:c>
      <x:c r="C27" s="24" t="str">
        <x:v>EEZ</x:v>
      </x:c>
      <x:c r="D27" s="30" t="n">
        <x:v>2019</x:v>
      </x:c>
      <x:c r="E27" s="24" t="str">
        <x:v>Makaira mazara</x:v>
      </x:c>
      <x:c r="F27" s="24" t="str">
        <x:v>Indo-Pacific blue marlin</x:v>
      </x:c>
      <x:c r="G27" s="24" t="str">
        <x:v>Large pelagics (&gt;=90 cm)</x:v>
      </x:c>
      <x:c r="H27" s="24" t="str">
        <x:v>Tuna &amp; billfishes</x:v>
      </x:c>
      <x:c r="I27" s="31" t="n">
        <x:v>2.1777989258</x:v>
      </x:c>
      <x:c r="J27" s="31" t="n">
        <x:v>2.1777989258</x:v>
      </x:c>
      <x:c r="K27" s="31" t="n">
        <x:v>0</x:v>
      </x:c>
      <x:c r="L27" s="31" t="n">
        <x:v>0</x:v>
      </x:c>
      <x:c r="M27" s="31" t="n">
        <x:v>2.1777989258</x:v>
      </x:c>
      <x:c r="N27" s="24" t="str">
        <x:v>makaira mazara</x:v>
      </x:c>
      <x:c r="O27" s="32" t="n">
        <x:v>4.46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Makaira mazara</x:v>
      </x:c>
      <x:c r="T27" s="32" t="n">
        <x:f>IF(O27="","",(1/'Metadata'!$B$5)^(O27-1))</x:f>
        <x:v>2884.031503126606</x:v>
      </x:c>
      <x:c r="U27" s="31" t="n">
        <x:f>IF(T27="","",I27*T27)</x:f>
        <x:v>6280.8407094824815</x:v>
      </x:c>
    </x:row>
    <x:row r="28" ht="18" customHeight="1">
      <x:c r="A28" s="24" t="str">
        <x:v>EEZ_580</x:v>
      </x:c>
      <x:c r="B28" s="24" t="str">
        <x:v>Northern Marianas (USA)</x:v>
      </x:c>
      <x:c r="C28" s="24" t="str">
        <x:v>EEZ</x:v>
      </x:c>
      <x:c r="D28" s="30" t="n">
        <x:v>2019</x:v>
      </x:c>
      <x:c r="E28" s="24" t="str">
        <x:v>Etelis carbunculus</x:v>
      </x:c>
      <x:c r="F28" s="24" t="str">
        <x:v>Deep-water red snapper</x:v>
      </x:c>
      <x:c r="G28" s="24" t="str">
        <x:v>Large demersals (&gt;=90 cm)</x:v>
      </x:c>
      <x:c r="H28" s="24" t="str">
        <x:v>Perch-likes</x:v>
      </x:c>
      <x:c r="I28" s="31" t="n">
        <x:v>1.9975519247999998</x:v>
      </x:c>
      <x:c r="J28" s="31" t="n">
        <x:v>1.9975519247999998</x:v>
      </x:c>
      <x:c r="K28" s="31" t="n">
        <x:v>0</x:v>
      </x:c>
      <x:c r="L28" s="31" t="n">
        <x:v>0</x:v>
      </x:c>
      <x:c r="M28" s="31" t="n">
        <x:v>1.9975519247999998</x:v>
      </x:c>
      <x:c r="N28" s="24" t="str">
        <x:v>etelis carbunculus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Etelis carbunculus</x:v>
      </x:c>
      <x:c r="T28" s="32" t="n">
        <x:f>IF(O28="","",(1/'Metadata'!$B$5)^(O28-1))</x:f>
        <x:v>3090.295432513592</x:v>
      </x:c>
      <x:c r="U28" s="31" t="n">
        <x:f>IF(T28="","",I28*T28)</x:f>
        <x:v>6173.025589418174</x:v>
      </x:c>
    </x:row>
    <x:row r="29" ht="18" customHeight="1">
      <x:c r="A29" s="24" t="str">
        <x:v>EEZ_580</x:v>
      </x:c>
      <x:c r="B29" s="24" t="str">
        <x:v>Northern Marianas (USA)</x:v>
      </x:c>
      <x:c r="C29" s="24" t="str">
        <x:v>EEZ</x:v>
      </x:c>
      <x:c r="D29" s="30" t="n">
        <x:v>2019</x:v>
      </x:c>
      <x:c r="E29" s="24" t="str">
        <x:v>Euthynnus affinis</x:v>
      </x:c>
      <x:c r="F29" s="24" t="str">
        <x:v>Kawakawa</x:v>
      </x:c>
      <x:c r="G29" s="24" t="str">
        <x:v>Large pelagics (&gt;=90 cm)</x:v>
      </x:c>
      <x:c r="H29" s="24" t="str">
        <x:v>Tuna &amp; billfishes</x:v>
      </x:c>
      <x:c r="I29" s="31" t="n">
        <x:v>1.7487617968</x:v>
      </x:c>
      <x:c r="J29" s="31" t="n">
        <x:v>1.7487617968</x:v>
      </x:c>
      <x:c r="K29" s="31" t="n">
        <x:v>0</x:v>
      </x:c>
      <x:c r="L29" s="31" t="n">
        <x:v>0</x:v>
      </x:c>
      <x:c r="M29" s="31" t="n">
        <x:v>1.7487617968</x:v>
      </x:c>
      <x:c r="N29" s="24" t="str">
        <x:v>euthynnus affinis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Euthynnus affinis</x:v>
      </x:c>
      <x:c r="T29" s="32" t="n">
        <x:f>IF(O29="","",(1/'Metadata'!$B$5)^(O29-1))</x:f>
        <x:v>3162.2776601683795</x:v>
      </x:c>
      <x:c r="U29" s="31" t="n">
        <x:f>IF(T29="","",I29*T29)</x:f>
        <x:v>5530.070362976555</x:v>
      </x:c>
    </x:row>
    <x:row r="30" ht="18" customHeight="1">
      <x:c r="A30" s="24" t="str">
        <x:v>EEZ_580</x:v>
      </x:c>
      <x:c r="B30" s="24" t="str">
        <x:v>Northern Marianas (USA)</x:v>
      </x:c>
      <x:c r="C30" s="24" t="str">
        <x:v>EEZ</x:v>
      </x:c>
      <x:c r="D30" s="30" t="n">
        <x:v>2019</x:v>
      </x:c>
      <x:c r="E30" s="24" t="str">
        <x:v>Aphareus rutilans</x:v>
      </x:c>
      <x:c r="F30" s="24" t="str">
        <x:v>Rusty jobfish</x:v>
      </x:c>
      <x:c r="G30" s="24" t="str">
        <x:v>Medium reef assoc. fish (30 - 89 cm)</x:v>
      </x:c>
      <x:c r="H30" s="24" t="str">
        <x:v>Perch-likes</x:v>
      </x:c>
      <x:c r="I30" s="31" t="n">
        <x:v>1.6743491784</x:v>
      </x:c>
      <x:c r="J30" s="31" t="n">
        <x:v>1.6743491784</x:v>
      </x:c>
      <x:c r="K30" s="31" t="n">
        <x:v>0</x:v>
      </x:c>
      <x:c r="L30" s="31" t="n">
        <x:v>0</x:v>
      </x:c>
      <x:c r="M30" s="31" t="n">
        <x:v>1.6743491784</x:v>
      </x:c>
      <x:c r="N30" s="24" t="str">
        <x:v>aphareus rutilans</x:v>
      </x:c>
      <x:c r="O30" s="32" t="n">
        <x:v>4.11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Aphareus rutilans</x:v>
      </x:c>
      <x:c r="T30" s="32" t="n">
        <x:f>IF(O30="","",(1/'Metadata'!$B$5)^(O30-1))</x:f>
        <x:v>1288.249551693135</x:v>
      </x:c>
      <x:c r="U30" s="31" t="n">
        <x:f>IF(T30="","",I30*T30)</x:f>
        <x:v>2156.9795784515686</x:v>
      </x:c>
    </x:row>
    <x:row r="31" ht="18" customHeight="1">
      <x:c r="A31" s="24" t="str">
        <x:v>EEZ_580</x:v>
      </x:c>
      <x:c r="B31" s="24" t="str">
        <x:v>Northern Marianas (USA)</x:v>
      </x:c>
      <x:c r="C31" s="24" t="str">
        <x:v>EEZ</x:v>
      </x:c>
      <x:c r="D31" s="30" t="n">
        <x:v>2019</x:v>
      </x:c>
      <x:c r="E31" s="24" t="str">
        <x:v>Pristipomoides auricilla</x:v>
      </x:c>
      <x:c r="F31" s="24" t="str">
        <x:v>Goldflag jobfish</x:v>
      </x:c>
      <x:c r="G31" s="24" t="str">
        <x:v>Medium demersals (30 - 89 cm)</x:v>
      </x:c>
      <x:c r="H31" s="24" t="str">
        <x:v>Perch-likes</x:v>
      </x:c>
      <x:c r="I31" s="31" t="n">
        <x:v>1.5911446249</x:v>
      </x:c>
      <x:c r="J31" s="31" t="n">
        <x:v>1.5911446249</x:v>
      </x:c>
      <x:c r="K31" s="31" t="n">
        <x:v>0</x:v>
      </x:c>
      <x:c r="L31" s="31" t="n">
        <x:v>0</x:v>
      </x:c>
      <x:c r="M31" s="31" t="n">
        <x:v>1.5911446249</x:v>
      </x:c>
      <x:c r="N31" s="24" t="str">
        <x:v>pristipomoides auricilla</x:v>
      </x:c>
      <x:c r="O31" s="32" t="n">
        <x:v>3.86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Pristipomoides auricilla</x:v>
      </x:c>
      <x:c r="T31" s="32" t="n">
        <x:f>IF(O31="","",(1/'Metadata'!$B$5)^(O31-1))</x:f>
        <x:v>724.4359600749899</x:v>
      </x:c>
      <x:c r="U31" s="31" t="n">
        <x:f>IF(T31="","",I31*T31)</x:f>
        <x:v>1152.6823839575914</x:v>
      </x:c>
    </x:row>
    <x:row r="32" ht="18" customHeight="1">
      <x:c r="A32" s="24" t="str">
        <x:v>EEZ_580</x:v>
      </x:c>
      <x:c r="B32" s="24" t="str">
        <x:v>Northern Marianas (USA)</x:v>
      </x:c>
      <x:c r="C32" s="24" t="str">
        <x:v>EEZ</x:v>
      </x:c>
      <x:c r="D32" s="30" t="n">
        <x:v>2019</x:v>
      </x:c>
      <x:c r="E32" s="24" t="str">
        <x:v>Istiophoridae</x:v>
      </x:c>
      <x:c r="F32" s="24" t="str">
        <x:v>Billfishes</x:v>
      </x:c>
      <x:c r="G32" s="24" t="str">
        <x:v>Large pelagics (&gt;=90 cm)</x:v>
      </x:c>
      <x:c r="H32" s="24" t="str">
        <x:v>Tuna &amp; billfishes</x:v>
      </x:c>
      <x:c r="I32" s="31" t="n">
        <x:v>1.3844565117</x:v>
      </x:c>
      <x:c r="J32" s="31" t="n">
        <x:v>0</x:v>
      </x:c>
      <x:c r="K32" s="31" t="n">
        <x:v>1.3844565117</x:v>
      </x:c>
      <x:c r="L32" s="31" t="n">
        <x:v>0</x:v>
      </x:c>
      <x:c r="M32" s="31" t="n">
        <x:v>1.3844565117</x:v>
      </x:c>
      <x:c r="N32" s="24" t="str">
        <x:v>istiophoridae</x:v>
      </x:c>
      <x:c r="O32" s="32" t="n">
        <x:v>4.48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Istiophoridae</x:v>
      </x:c>
      <x:c r="T32" s="32" t="n">
        <x:f>IF(O32="","",(1/'Metadata'!$B$5)^(O32-1))</x:f>
        <x:v>3019.951720402019</x:v>
      </x:c>
      <x:c r="U32" s="31" t="n">
        <x:f>IF(T32="","",I32*T32)</x:f>
        <x:v>4180.991824330193</x:v>
      </x:c>
    </x:row>
    <x:row r="33" ht="18" customHeight="1">
      <x:c r="A33" s="24" t="str">
        <x:v>EEZ_580</x:v>
      </x:c>
      <x:c r="B33" s="24" t="str">
        <x:v>Northern Marianas (USA)</x:v>
      </x:c>
      <x:c r="C33" s="24" t="str">
        <x:v>EEZ</x:v>
      </x:c>
      <x:c r="D33" s="30" t="n">
        <x:v>2019</x:v>
      </x:c>
      <x:c r="E33" s="24" t="str">
        <x:v>Taractichthys steindachneri</x:v>
      </x:c>
      <x:c r="F33" s="24" t="str">
        <x:v>Sickle pomfret</x:v>
      </x:c>
      <x:c r="G33" s="24" t="str">
        <x:v>Medium benthopelagics (30 - 89 cm)</x:v>
      </x:c>
      <x:c r="H33" s="24" t="str">
        <x:v>Perch-likes</x:v>
      </x:c>
      <x:c r="I33" s="31" t="n">
        <x:v>1.3837995033000001</x:v>
      </x:c>
      <x:c r="J33" s="31" t="n">
        <x:v>1.3837995033000001</x:v>
      </x:c>
      <x:c r="K33" s="31" t="n">
        <x:v>0</x:v>
      </x:c>
      <x:c r="L33" s="31" t="n">
        <x:v>0</x:v>
      </x:c>
      <x:c r="M33" s="31" t="n">
        <x:v>1.3837995033000001</x:v>
      </x:c>
      <x:c r="N33" s="24" t="str">
        <x:v>taractichthys steindachneri</x:v>
      </x:c>
      <x:c r="O33" s="32" t="n">
        <x:v>4.09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Taractichthys steindachneri</x:v>
      </x:c>
      <x:c r="T33" s="32" t="n">
        <x:f>IF(O33="","",(1/'Metadata'!$B$5)^(O33-1))</x:f>
        <x:v>1230.268770812381</x:v>
      </x:c>
      <x:c r="U33" s="31" t="n">
        <x:f>IF(T33="","",I33*T33)</x:f>
        <x:v>1702.4453139756745</x:v>
      </x:c>
    </x:row>
    <x:row r="34" ht="18" customHeight="1">
      <x:c r="A34" s="24" t="str">
        <x:v>EEZ_580</x:v>
      </x:c>
      <x:c r="B34" s="24" t="str">
        <x:v>Northern Marianas (USA)</x:v>
      </x:c>
      <x:c r="C34" s="24" t="str">
        <x:v>EEZ</x:v>
      </x:c>
      <x:c r="D34" s="30" t="n">
        <x:v>2019</x:v>
      </x:c>
      <x:c r="E34" s="24" t="str">
        <x:v>Miscellaneous aquatic invertebrates</x:v>
      </x:c>
      <x:c r="F34" s="24" t="str">
        <x:v>Aquatic invertebrates</x:v>
      </x:c>
      <x:c r="G34" s="24" t="str">
        <x:v>Other demersal invertebrates</x:v>
      </x:c>
      <x:c r="H34" s="24" t="str">
        <x:v>Other fishes &amp; inverts</x:v>
      </x:c>
      <x:c r="I34" s="31" t="n">
        <x:v>1</x:v>
      </x:c>
      <x:c r="J34" s="31" t="n">
        <x:v>1</x:v>
      </x:c>
      <x:c r="K34" s="31" t="n">
        <x:v>0</x:v>
      </x:c>
      <x:c r="L34" s="31" t="n">
        <x:v>1</x:v>
      </x:c>
      <x:c r="M34" s="31" t="n">
        <x:v>0</x:v>
      </x:c>
      <x:c r="N34" s="24" t="str">
        <x:v>miscellaneous aquatic invertebrates</x:v>
      </x:c>
      <x:c r="O34" s="32" t="n">
        <x:v>2.43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aquatic invertebrates</x:v>
      </x:c>
      <x:c r="T34" s="32" t="n">
        <x:f>IF(O34="","",(1/'Metadata'!$B$5)^(O34-1))</x:f>
        <x:v>26.915348039269166</x:v>
      </x:c>
      <x:c r="U34" s="31" t="n">
        <x:f>IF(T34="","",I34*T34)</x:f>
        <x:v>26.915348039269166</x:v>
      </x:c>
    </x:row>
    <x:row r="35" ht="18" customHeight="1">
      <x:c r="A35" s="24" t="str">
        <x:v>EEZ_580</x:v>
      </x:c>
      <x:c r="B35" s="24" t="str">
        <x:v>Northern Marianas (USA)</x:v>
      </x:c>
      <x:c r="C35" s="24" t="str">
        <x:v>EEZ</x:v>
      </x:c>
      <x:c r="D35" s="30" t="n">
        <x:v>2019</x:v>
      </x:c>
      <x:c r="E35" s="24" t="str">
        <x:v>Pristipomoides zonatus</x:v>
      </x:c>
      <x:c r="F35" s="24" t="str">
        <x:v>Oblique-banded snapper</x:v>
      </x:c>
      <x:c r="G35" s="24" t="str">
        <x:v>Medium demersals (30 - 89 cm)</x:v>
      </x:c>
      <x:c r="H35" s="24" t="str">
        <x:v>Perch-likes</x:v>
      </x:c>
      <x:c r="I35" s="31" t="n">
        <x:v>0.9132640721999999</x:v>
      </x:c>
      <x:c r="J35" s="31" t="n">
        <x:v>0.9132640721999999</x:v>
      </x:c>
      <x:c r="K35" s="31" t="n">
        <x:v>0</x:v>
      </x:c>
      <x:c r="L35" s="31" t="n">
        <x:v>0</x:v>
      </x:c>
      <x:c r="M35" s="31" t="n">
        <x:v>0.9132640721999999</x:v>
      </x:c>
      <x:c r="N35" s="24" t="str">
        <x:v>pristipomoides zonatus</x:v>
      </x:c>
      <x:c r="O35" s="32" t="n">
        <x:v>4.04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Pristipomoides zonatus</x:v>
      </x:c>
      <x:c r="T35" s="32" t="n">
        <x:f>IF(O35="","",(1/'Metadata'!$B$5)^(O35-1))</x:f>
        <x:v>1096.4781961431852</x:v>
      </x:c>
      <x:c r="U35" s="31" t="n">
        <x:f>IF(T35="","",I35*T35)</x:f>
        <x:v>1001.3741424882355</x:v>
      </x:c>
    </x:row>
    <x:row r="36" ht="18" customHeight="1">
      <x:c r="A36" s="24" t="str">
        <x:v>EEZ_580</x:v>
      </x:c>
      <x:c r="B36" s="24" t="str">
        <x:v>Northern Marianas (USA)</x:v>
      </x:c>
      <x:c r="C36" s="24" t="str">
        <x:v>EEZ</x:v>
      </x:c>
      <x:c r="D36" s="30" t="n">
        <x:v>2019</x:v>
      </x:c>
      <x:c r="E36" s="24" t="str">
        <x:v>Octopodidae</x:v>
      </x:c>
      <x:c r="F36" s="24" t="str">
        <x:v>Octopuses</x:v>
      </x:c>
      <x:c r="G36" s="24" t="str">
        <x:v>Cephalopods</x:v>
      </x:c>
      <x:c r="H36" s="24" t="str">
        <x:v>Other fishes &amp; inverts</x:v>
      </x:c>
      <x:c r="I36" s="31" t="n">
        <x:v>0.8962853254</x:v>
      </x:c>
      <x:c r="J36" s="31" t="n">
        <x:v>0.8962853254</x:v>
      </x:c>
      <x:c r="K36" s="31" t="n">
        <x:v>0</x:v>
      </x:c>
      <x:c r="L36" s="31" t="n">
        <x:v>0</x:v>
      </x:c>
      <x:c r="M36" s="31" t="n">
        <x:v>0.8962853254</x:v>
      </x:c>
      <x:c r="N36" s="24" t="str">
        <x:v>octopodidae</x:v>
      </x:c>
      <x:c r="O36" s="32" t="n">
        <x:v>3.59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Octopodidae</x:v>
      </x:c>
      <x:c r="T36" s="32" t="n">
        <x:f>IF(O36="","",(1/'Metadata'!$B$5)^(O36-1))</x:f>
        <x:v>389.04514499428046</x:v>
      </x:c>
      <x:c r="U36" s="31" t="n">
        <x:f>IF(T36="","",I36*T36)</x:f>
        <x:v>348.69545437648884</x:v>
      </x:c>
    </x:row>
    <x:row r="37" ht="18" customHeight="1">
      <x:c r="A37" s="24" t="str">
        <x:v>EEZ_580</x:v>
      </x:c>
      <x:c r="B37" s="24" t="str">
        <x:v>Northern Marianas (USA)</x:v>
      </x:c>
      <x:c r="C37" s="24" t="str">
        <x:v>EEZ</x:v>
      </x:c>
      <x:c r="D37" s="30" t="n">
        <x:v>2019</x:v>
      </x:c>
      <x:c r="E37" s="24" t="str">
        <x:v>Kajikia audax</x:v>
      </x:c>
      <x:c r="F37" s="24" t="str">
        <x:v>Striped marlin</x:v>
      </x:c>
      <x:c r="G37" s="24" t="str">
        <x:v>Large pelagics (&gt;=90 cm)</x:v>
      </x:c>
      <x:c r="H37" s="24" t="str">
        <x:v>Tuna &amp; billfishes</x:v>
      </x:c>
      <x:c r="I37" s="31" t="n">
        <x:v>0.8452673</x:v>
      </x:c>
      <x:c r="J37" s="31" t="n">
        <x:v>0.8452673</x:v>
      </x:c>
      <x:c r="K37" s="31" t="n">
        <x:v>0</x:v>
      </x:c>
      <x:c r="L37" s="31" t="n">
        <x:v>0.8452673</x:v>
      </x:c>
      <x:c r="M37" s="31" t="n">
        <x:v>0</x:v>
      </x:c>
      <x:c r="N37" s="24" t="str">
        <x:v>kajikia audax</x:v>
      </x:c>
      <x:c r="O37" s="32" t="n">
        <x:v>4.58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Kajikia audax</x:v>
      </x:c>
      <x:c r="T37" s="32" t="n">
        <x:f>IF(O37="","",(1/'Metadata'!$B$5)^(O37-1))</x:f>
        <x:v>3801.8939632056126</x:v>
      </x:c>
      <x:c r="U37" s="31" t="n">
        <x:f>IF(T37="","",I37*T37)</x:f>
        <x:v>3213.616645165108</x:v>
      </x:c>
    </x:row>
    <x:row r="38" ht="18" customHeight="1">
      <x:c r="A38" s="24" t="str">
        <x:v>EEZ_580</x:v>
      </x:c>
      <x:c r="B38" s="24" t="str">
        <x:v>Northern Marianas (USA)</x:v>
      </x:c>
      <x:c r="C38" s="24" t="str">
        <x:v>EEZ</x:v>
      </x:c>
      <x:c r="D38" s="30" t="n">
        <x:v>2019</x:v>
      </x:c>
      <x:c r="E38" s="24" t="str">
        <x:v>Scyllaridae</x:v>
      </x:c>
      <x:c r="F38" s="24" t="str">
        <x:v>Slipper lobsters</x:v>
      </x:c>
      <x:c r="G38" s="24" t="str">
        <x:v>Lobsters, crabs</x:v>
      </x:c>
      <x:c r="H38" s="24" t="str">
        <x:v>Crustaceans</x:v>
      </x:c>
      <x:c r="I38" s="31" t="n">
        <x:v>0.7510736545000001</x:v>
      </x:c>
      <x:c r="J38" s="31" t="n">
        <x:v>0.7510736545000001</x:v>
      </x:c>
      <x:c r="K38" s="31" t="n">
        <x:v>0</x:v>
      </x:c>
      <x:c r="L38" s="31" t="n">
        <x:v>0</x:v>
      </x:c>
      <x:c r="M38" s="31" t="n">
        <x:v>0.7510736545000001</x:v>
      </x:c>
      <x:c r="N38" s="24" t="str">
        <x:v>scyllaridae</x:v>
      </x:c>
      <x:c r="O38" s="32" t="n">
        <x:v>2.87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Scyllaridae</x:v>
      </x:c>
      <x:c r="T38" s="32" t="n">
        <x:f>IF(O38="","",(1/'Metadata'!$B$5)^(O38-1))</x:f>
        <x:v>74.13102413009177</x:v>
      </x:c>
      <x:c r="U38" s="31" t="n">
        <x:f>IF(T38="","",I38*T38)</x:f>
        <x:v>55.67785920521572</x:v>
      </x:c>
    </x:row>
    <x:row r="39" ht="18" customHeight="1">
      <x:c r="A39" s="24" t="str">
        <x:v>EEZ_580</x:v>
      </x:c>
      <x:c r="B39" s="24" t="str">
        <x:v>Northern Marianas (USA)</x:v>
      </x:c>
      <x:c r="C39" s="24" t="str">
        <x:v>EEZ</x:v>
      </x:c>
      <x:c r="D39" s="30" t="n">
        <x:v>2019</x:v>
      </x:c>
      <x:c r="E39" s="24" t="str">
        <x:v>Xiphias gladius</x:v>
      </x:c>
      <x:c r="F39" s="24" t="str">
        <x:v>Swordfish</x:v>
      </x:c>
      <x:c r="G39" s="24" t="str">
        <x:v>Large pelagics (&gt;=90 cm)</x:v>
      </x:c>
      <x:c r="H39" s="24" t="str">
        <x:v>Tuna &amp; billfishes</x:v>
      </x:c>
      <x:c r="I39" s="31" t="n">
        <x:v>0.7075755909</x:v>
      </x:c>
      <x:c r="J39" s="31" t="n">
        <x:v>0.2998355175</x:v>
      </x:c>
      <x:c r="K39" s="31" t="n">
        <x:v>0.4077400734</x:v>
      </x:c>
      <x:c r="L39" s="31" t="n">
        <x:v>0.2998355175</x:v>
      </x:c>
      <x:c r="M39" s="31" t="n">
        <x:v>0.4077400734</x:v>
      </x:c>
      <x:c r="N39" s="24" t="str">
        <x:v>xiphias gladius</x:v>
      </x:c>
      <x:c r="O39" s="32" t="n">
        <x:v>4.53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Xiphias gladius</x:v>
      </x:c>
      <x:c r="T39" s="32" t="n">
        <x:f>IF(O39="","",(1/'Metadata'!$B$5)^(O39-1))</x:f>
        <x:v>3388.4415613920273</x:v>
      </x:c>
      <x:c r="U39" s="31" t="n">
        <x:f>IF(T39="","",I39*T39)</x:f>
        <x:v>2397.5785400320824</x:v>
      </x:c>
    </x:row>
    <x:row r="40" ht="18" customHeight="1">
      <x:c r="A40" s="24" t="str">
        <x:v>EEZ_580</x:v>
      </x:c>
      <x:c r="B40" s="24" t="str">
        <x:v>Northern Marianas (USA)</x:v>
      </x:c>
      <x:c r="C40" s="24" t="str">
        <x:v>EEZ</x:v>
      </x:c>
      <x:c r="D40" s="30" t="n">
        <x:v>2019</x:v>
      </x:c>
      <x:c r="E40" s="24" t="str">
        <x:v>Variola louti</x:v>
      </x:c>
      <x:c r="F40" s="24" t="str">
        <x:v>Yellow-edged lyretail</x:v>
      </x:c>
      <x:c r="G40" s="24" t="str">
        <x:v>Medium reef assoc. fish (30 - 89 cm)</x:v>
      </x:c>
      <x:c r="H40" s="24" t="str">
        <x:v>Perch-likes</x:v>
      </x:c>
      <x:c r="I40" s="31" t="n">
        <x:v>0.6919565729</x:v>
      </x:c>
      <x:c r="J40" s="31" t="n">
        <x:v>0.6919565729</x:v>
      </x:c>
      <x:c r="K40" s="31" t="n">
        <x:v>0</x:v>
      </x:c>
      <x:c r="L40" s="31" t="n">
        <x:v>0</x:v>
      </x:c>
      <x:c r="M40" s="31" t="n">
        <x:v>0.6919565729</x:v>
      </x:c>
      <x:c r="N40" s="24" t="str">
        <x:v>variola louti</x:v>
      </x:c>
      <x:c r="O40" s="32" t="n">
        <x:v>4.33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Variola louti</x:v>
      </x:c>
      <x:c r="T40" s="32" t="n">
        <x:f>IF(O40="","",(1/'Metadata'!$B$5)^(O40-1))</x:f>
        <x:v>2137.9620895022326</x:v>
      </x:c>
      <x:c r="U40" s="31" t="n">
        <x:f>IF(T40="","",I40*T40)</x:f>
        <x:v>1479.376920442088</x:v>
      </x:c>
    </x:row>
    <x:row r="41" ht="18" customHeight="1">
      <x:c r="A41" s="24" t="str">
        <x:v>EEZ_580</x:v>
      </x:c>
      <x:c r="B41" s="24" t="str">
        <x:v>Northern Marianas (USA)</x:v>
      </x:c>
      <x:c r="C41" s="24" t="str">
        <x:v>EEZ</x:v>
      </x:c>
      <x:c r="D41" s="30" t="n">
        <x:v>2019</x:v>
      </x:c>
      <x:c r="E41" s="24" t="str">
        <x:v>Monotaxis grandoculis</x:v>
      </x:c>
      <x:c r="F41" s="24" t="str">
        <x:v>Humpnose big-eye bream</x:v>
      </x:c>
      <x:c r="G41" s="24" t="str">
        <x:v>Medium reef assoc. fish (30 - 89 cm)</x:v>
      </x:c>
      <x:c r="H41" s="24" t="str">
        <x:v>Perch-likes</x:v>
      </x:c>
      <x:c r="I41" s="31" t="n">
        <x:v>0.6230922112999999</x:v>
      </x:c>
      <x:c r="J41" s="31" t="n">
        <x:v>0.6230922112999999</x:v>
      </x:c>
      <x:c r="K41" s="31" t="n">
        <x:v>0</x:v>
      </x:c>
      <x:c r="L41" s="31" t="n">
        <x:v>0</x:v>
      </x:c>
      <x:c r="M41" s="31" t="n">
        <x:v>0.6230922112999999</x:v>
      </x:c>
      <x:c r="N41" s="24" t="str">
        <x:v>monotaxis grandoculis</x:v>
      </x:c>
      <x:c r="O41" s="32" t="n">
        <x:v>3.37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Monotaxis grandoculis</x:v>
      </x:c>
      <x:c r="T41" s="32" t="n">
        <x:f>IF(O41="","",(1/'Metadata'!$B$5)^(O41-1))</x:f>
        <x:v>234.42288153199226</x:v>
      </x:c>
      <x:c r="U41" s="31" t="n">
        <x:f>IF(T41="","",I41*T41)</x:f>
        <x:v>146.06707163308698</x:v>
      </x:c>
    </x:row>
    <x:row r="42" ht="18" customHeight="1">
      <x:c r="A42" s="24" t="str">
        <x:v>EEZ_580</x:v>
      </x:c>
      <x:c r="B42" s="24" t="str">
        <x:v>Northern Marianas (USA)</x:v>
      </x:c>
      <x:c r="C42" s="24" t="str">
        <x:v>EEZ</x:v>
      </x:c>
      <x:c r="D42" s="30" t="n">
        <x:v>2019</x:v>
      </x:c>
      <x:c r="E42" s="24" t="str">
        <x:v>Lutjanus kasmira</x:v>
      </x:c>
      <x:c r="F42" s="24" t="str">
        <x:v>Common bluestripe snapper</x:v>
      </x:c>
      <x:c r="G42" s="24" t="str">
        <x:v>Medium reef assoc. fish (30 - 89 cm)</x:v>
      </x:c>
      <x:c r="H42" s="24" t="str">
        <x:v>Perch-likes</x:v>
      </x:c>
      <x:c r="I42" s="31" t="n">
        <x:v>0.5911067291</x:v>
      </x:c>
      <x:c r="J42" s="31" t="n">
        <x:v>0.5911067291</x:v>
      </x:c>
      <x:c r="K42" s="31" t="n">
        <x:v>0</x:v>
      </x:c>
      <x:c r="L42" s="31" t="n">
        <x:v>0</x:v>
      </x:c>
      <x:c r="M42" s="31" t="n">
        <x:v>0.5911067291</x:v>
      </x:c>
      <x:c r="N42" s="24" t="str">
        <x:v>lutjanus kasmira</x:v>
      </x:c>
      <x:c r="O42" s="32" t="n">
        <x:v>3.87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Lutjanus kasmira</x:v>
      </x:c>
      <x:c r="T42" s="32" t="n">
        <x:f>IF(O42="","",(1/'Metadata'!$B$5)^(O42-1))</x:f>
        <x:v>741.3102413009177</x:v>
      </x:c>
      <x:c r="U42" s="31" t="n">
        <x:f>IF(T42="","",I42*T42)</x:f>
        <x:v>438.19347198371713</x:v>
      </x:c>
    </x:row>
    <x:row r="43" ht="18" customHeight="1">
      <x:c r="A43" s="24" t="str">
        <x:v>EEZ_580</x:v>
      </x:c>
      <x:c r="B43" s="24" t="str">
        <x:v>Northern Marianas (USA)</x:v>
      </x:c>
      <x:c r="C43" s="24" t="str">
        <x:v>EEZ</x:v>
      </x:c>
      <x:c r="D43" s="30" t="n">
        <x:v>2019</x:v>
      </x:c>
      <x:c r="E43" s="24" t="str">
        <x:v>Lethrinus rubrioperculatus</x:v>
      </x:c>
      <x:c r="F43" s="24" t="str">
        <x:v>Spotcheek emperor</x:v>
      </x:c>
      <x:c r="G43" s="24" t="str">
        <x:v>Medium reef assoc. fish (30 - 89 cm)</x:v>
      </x:c>
      <x:c r="H43" s="24" t="str">
        <x:v>Perch-likes</x:v>
      </x:c>
      <x:c r="I43" s="31" t="n">
        <x:v>0.5824318781</x:v>
      </x:c>
      <x:c r="J43" s="31" t="n">
        <x:v>0.5824318781</x:v>
      </x:c>
      <x:c r="K43" s="31" t="n">
        <x:v>0</x:v>
      </x:c>
      <x:c r="L43" s="31" t="n">
        <x:v>0</x:v>
      </x:c>
      <x:c r="M43" s="31" t="n">
        <x:v>0.5824318781</x:v>
      </x:c>
      <x:c r="N43" s="24" t="str">
        <x:v>lethrinus rubrioperculatus</x:v>
      </x:c>
      <x:c r="O43" s="32" t="n">
        <x:v>3.75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Lethrinus rubrioperculatus</x:v>
      </x:c>
      <x:c r="T43" s="32" t="n">
        <x:f>IF(O43="","",(1/'Metadata'!$B$5)^(O43-1))</x:f>
        <x:v>562.341325190349</x:v>
      </x:c>
      <x:c r="U43" s="31" t="n">
        <x:f>IF(T43="","",I43*T43)</x:f>
        <x:v>327.5255141638578</x:v>
      </x:c>
    </x:row>
    <x:row r="44" ht="18" customHeight="1">
      <x:c r="A44" s="24" t="str">
        <x:v>EEZ_580</x:v>
      </x:c>
      <x:c r="B44" s="24" t="str">
        <x:v>Northern Marianas (USA)</x:v>
      </x:c>
      <x:c r="C44" s="24" t="str">
        <x:v>EEZ</x:v>
      </x:c>
      <x:c r="D44" s="30" t="n">
        <x:v>2019</x:v>
      </x:c>
      <x:c r="E44" s="24" t="str">
        <x:v>Aprion virescens</x:v>
      </x:c>
      <x:c r="F44" s="24" t="str">
        <x:v>Green jobfish</x:v>
      </x:c>
      <x:c r="G44" s="24" t="str">
        <x:v>Large reef assoc. fish (&gt;=90 cm)</x:v>
      </x:c>
      <x:c r="H44" s="24" t="str">
        <x:v>Perch-likes</x:v>
      </x:c>
      <x:c r="I44" s="31" t="n">
        <x:v>0.4777671175</x:v>
      </x:c>
      <x:c r="J44" s="31" t="n">
        <x:v>0.4777671175</x:v>
      </x:c>
      <x:c r="K44" s="31" t="n">
        <x:v>0</x:v>
      </x:c>
      <x:c r="L44" s="31" t="n">
        <x:v>0</x:v>
      </x:c>
      <x:c r="M44" s="31" t="n">
        <x:v>0.4777671175</x:v>
      </x:c>
      <x:c r="N44" s="24" t="str">
        <x:v>aprion virescens</x:v>
      </x:c>
      <x:c r="O44" s="32" t="n">
        <x:v>4.28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Aprion virescens</x:v>
      </x:c>
      <x:c r="T44" s="32" t="n">
        <x:f>IF(O44="","",(1/'Metadata'!$B$5)^(O44-1))</x:f>
        <x:v>1905.4607179632483</x:v>
      </x:c>
      <x:c r="U44" s="31" t="n">
        <x:f>IF(T44="","",I44*T44)</x:f>
        <x:v>910.3664747307816</x:v>
      </x:c>
    </x:row>
    <x:row r="45" ht="18" customHeight="1">
      <x:c r="A45" s="24" t="str">
        <x:v>EEZ_580</x:v>
      </x:c>
      <x:c r="B45" s="24" t="str">
        <x:v>Northern Marianas (USA)</x:v>
      </x:c>
      <x:c r="C45" s="24" t="str">
        <x:v>EEZ</x:v>
      </x:c>
      <x:c r="D45" s="30" t="n">
        <x:v>2019</x:v>
      </x:c>
      <x:c r="E45" s="24" t="str">
        <x:v>Mugilidae</x:v>
      </x:c>
      <x:c r="F45" s="24" t="str">
        <x:v>Mullets, grey mullets</x:v>
      </x:c>
      <x:c r="G45" s="24" t="str">
        <x:v>Medium reef assoc. fish (30 - 89 cm)</x:v>
      </x:c>
      <x:c r="H45" s="24" t="str">
        <x:v>Perch-likes</x:v>
      </x:c>
      <x:c r="I45" s="31" t="n">
        <x:v>0.47522528510000006</x:v>
      </x:c>
      <x:c r="J45" s="31" t="n">
        <x:v>0.47522528510000006</x:v>
      </x:c>
      <x:c r="K45" s="31" t="n">
        <x:v>0</x:v>
      </x:c>
      <x:c r="L45" s="31" t="n">
        <x:v>0</x:v>
      </x:c>
      <x:c r="M45" s="31" t="n">
        <x:v>0.47522528510000006</x:v>
      </x:c>
      <x:c r="N45" s="24" t="str">
        <x:v>mugilidae</x:v>
      </x:c>
      <x:c r="O45" s="32" t="n">
        <x:v>2.53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Mugilidae</x:v>
      </x:c>
      <x:c r="T45" s="32" t="n">
        <x:f>IF(O45="","",(1/'Metadata'!$B$5)^(O45-1))</x:f>
        <x:v>33.88441561392024</x:v>
      </x:c>
      <x:c r="U45" s="31" t="n">
        <x:f>IF(T45="","",I45*T45)</x:f>
        <x:v>16.10273107057214</x:v>
      </x:c>
    </x:row>
    <x:row r="46" ht="18" customHeight="1">
      <x:c r="A46" s="24" t="str">
        <x:v>EEZ_580</x:v>
      </x:c>
      <x:c r="B46" s="24" t="str">
        <x:v>Northern Marianas (USA)</x:v>
      </x:c>
      <x:c r="C46" s="24" t="str">
        <x:v>EEZ</x:v>
      </x:c>
      <x:c r="D46" s="30" t="n">
        <x:v>2019</x:v>
      </x:c>
      <x:c r="E46" s="24" t="str">
        <x:v>Istiophorus platypterus</x:v>
      </x:c>
      <x:c r="F46" s="24" t="str">
        <x:v>Indo-Pacific sailfish</x:v>
      </x:c>
      <x:c r="G46" s="24" t="str">
        <x:v>Large pelagics (&gt;=90 cm)</x:v>
      </x:c>
      <x:c r="H46" s="24" t="str">
        <x:v>Tuna &amp; billfishes</x:v>
      </x:c>
      <x:c r="I46" s="31" t="n">
        <x:v>0.3107236244</x:v>
      </x:c>
      <x:c r="J46" s="31" t="n">
        <x:v>0.3107236244</x:v>
      </x:c>
      <x:c r="K46" s="31" t="n">
        <x:v>0</x:v>
      </x:c>
      <x:c r="L46" s="31" t="n">
        <x:v>0</x:v>
      </x:c>
      <x:c r="M46" s="31" t="n">
        <x:v>0.3107236244</x:v>
      </x:c>
      <x:c r="N46" s="24" t="str">
        <x:v>istiophorus platypterus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Istiophorus platypterus</x:v>
      </x:c>
      <x:c r="T46" s="32" t="n">
        <x:f>IF(O46="","",(1/'Metadata'!$B$5)^(O46-1))</x:f>
        <x:v>3162.2776601683795</x:v>
      </x:c>
      <x:c r="U46" s="31" t="n">
        <x:f>IF(T46="","",I46*T46)</x:f>
        <x:v>982.5943759266704</x:v>
      </x:c>
    </x:row>
    <x:row r="47" ht="18" customHeight="1">
      <x:c r="A47" s="24" t="str">
        <x:v>EEZ_580</x:v>
      </x:c>
      <x:c r="B47" s="24" t="str">
        <x:v>Northern Marianas (USA)</x:v>
      </x:c>
      <x:c r="C47" s="24" t="str">
        <x:v>EEZ</x:v>
      </x:c>
      <x:c r="D47" s="30" t="n">
        <x:v>2019</x:v>
      </x:c>
      <x:c r="E47" s="24" t="str">
        <x:v>Isurus</x:v>
      </x:c>
      <x:c r="F47" s="24" t="str">
        <x:v>Mako sharks</x:v>
      </x:c>
      <x:c r="G47" s="24" t="str">
        <x:v>Large sharks (&gt;=90 cm)</x:v>
      </x:c>
      <x:c r="H47" s="24" t="str">
        <x:v>Sharks &amp; rays</x:v>
      </x:c>
      <x:c r="I47" s="31" t="n">
        <x:v>0.2497560401</x:v>
      </x:c>
      <x:c r="J47" s="31" t="n">
        <x:v>0.0085208865</x:v>
      </x:c>
      <x:c r="K47" s="31" t="n">
        <x:v>0.2412351536</x:v>
      </x:c>
      <x:c r="L47" s="31" t="n">
        <x:v>0.0085208865</x:v>
      </x:c>
      <x:c r="M47" s="31" t="n">
        <x:v>0.2412351536</x:v>
      </x:c>
      <x:c r="N47" s="24" t="str">
        <x:v>isurus</x:v>
      </x:c>
      <x:c r="O47" s="32" t="n">
        <x:v>4.5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Isurus</x:v>
      </x:c>
      <x:c r="T47" s="32" t="n">
        <x:f>IF(O47="","",(1/'Metadata'!$B$5)^(O47-1))</x:f>
        <x:v>3162.2776601683795</x:v>
      </x:c>
      <x:c r="U47" s="31" t="n">
        <x:f>IF(T47="","",I47*T47)</x:f>
        <x:v>789.797946100348</x:v>
      </x:c>
    </x:row>
    <x:row r="48" ht="18" customHeight="1">
      <x:c r="A48" s="24" t="str">
        <x:v>EEZ_580</x:v>
      </x:c>
      <x:c r="B48" s="24" t="str">
        <x:v>Northern Marianas (USA)</x:v>
      </x:c>
      <x:c r="C48" s="24" t="str">
        <x:v>EEZ</x:v>
      </x:c>
      <x:c r="D48" s="30" t="n">
        <x:v>2019</x:v>
      </x:c>
      <x:c r="E48" s="24" t="str">
        <x:v>Teuthida</x:v>
      </x:c>
      <x:c r="F48" s="24" t="str">
        <x:v>Squids</x:v>
      </x:c>
      <x:c r="G48" s="24" t="str">
        <x:v>Cephalopods</x:v>
      </x:c>
      <x:c r="H48" s="24" t="str">
        <x:v>Other fishes &amp; inverts</x:v>
      </x:c>
      <x:c r="I48" s="31" t="n">
        <x:v>0.20394718650000002</x:v>
      </x:c>
      <x:c r="J48" s="31" t="n">
        <x:v>0.20394718650000002</x:v>
      </x:c>
      <x:c r="K48" s="31" t="n">
        <x:v>0</x:v>
      </x:c>
      <x:c r="L48" s="31" t="n">
        <x:v>0</x:v>
      </x:c>
      <x:c r="M48" s="31" t="n">
        <x:v>0.20394718650000002</x:v>
      </x:c>
      <x:c r="N48" s="24" t="str">
        <x:v>teuthida</x:v>
      </x:c>
      <x:c r="O48" s="32" t="n">
        <x:v>4.13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Teuthida</x:v>
      </x:c>
      <x:c r="T48" s="32" t="n">
        <x:f>IF(O48="","",(1/'Metadata'!$B$5)^(O48-1))</x:f>
        <x:v>1348.9628825916532</x:v>
      </x:c>
      <x:c r="U48" s="31" t="n">
        <x:f>IF(T48="","",I48*T48)</x:f>
        <x:v>275.1171845974975</x:v>
      </x:c>
    </x:row>
    <x:row r="49" ht="18" customHeight="1">
      <x:c r="A49" s="24" t="str">
        <x:v>EEZ_580</x:v>
      </x:c>
      <x:c r="B49" s="24" t="str">
        <x:v>Northern Marianas (USA)</x:v>
      </x:c>
      <x:c r="C49" s="24" t="str">
        <x:v>EEZ</x:v>
      </x:c>
      <x:c r="D49" s="30" t="n">
        <x:v>2019</x:v>
      </x:c>
      <x:c r="E49" s="24" t="str">
        <x:v>Sphyraena</x:v>
      </x:c>
      <x:c r="F49" s="24" t="str">
        <x:v>Barracudas, sennets</x:v>
      </x:c>
      <x:c r="G49" s="24" t="str">
        <x:v>Large pelagics (&gt;=90 cm)</x:v>
      </x:c>
      <x:c r="H49" s="24" t="str">
        <x:v>Perch-likes</x:v>
      </x:c>
      <x:c r="I49" s="31" t="n">
        <x:v>0.17876884399999998</x:v>
      </x:c>
      <x:c r="J49" s="31" t="n">
        <x:v>0.17876884399999998</x:v>
      </x:c>
      <x:c r="K49" s="31" t="n">
        <x:v>0</x:v>
      </x:c>
      <x:c r="L49" s="31" t="n">
        <x:v>0</x:v>
      </x:c>
      <x:c r="M49" s="31" t="n">
        <x:v>0.17876884399999998</x:v>
      </x:c>
      <x:c r="N49" s="24" t="str">
        <x:v>sphyraena</x:v>
      </x:c>
      <x:c r="O49" s="32" t="n">
        <x:v>4.4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Sphyraena</x:v>
      </x:c>
      <x:c r="T49" s="32" t="n">
        <x:f>IF(O49="","",(1/'Metadata'!$B$5)^(O49-1))</x:f>
        <x:v>2511.886431509582</x:v>
      </x:c>
      <x:c r="U49" s="31" t="n">
        <x:f>IF(T49="","",I49*T49)</x:f>
        <x:v>449.0470336202531</x:v>
      </x:c>
    </x:row>
    <x:row r="50" ht="18" customHeight="1">
      <x:c r="A50" s="24" t="str">
        <x:v>EEZ_580</x:v>
      </x:c>
      <x:c r="B50" s="24" t="str">
        <x:v>Northern Marianas (USA)</x:v>
      </x:c>
      <x:c r="C50" s="24" t="str">
        <x:v>EEZ</x:v>
      </x:c>
      <x:c r="D50" s="30" t="n">
        <x:v>2019</x:v>
      </x:c>
      <x:c r="E50" s="24" t="str">
        <x:v>Aphareus furca</x:v>
      </x:c>
      <x:c r="F50" s="24" t="str">
        <x:v>Small toothed jobfish</x:v>
      </x:c>
      <x:c r="G50" s="24" t="str">
        <x:v>Medium reef assoc. fish (30 - 89 cm)</x:v>
      </x:c>
      <x:c r="H50" s="24" t="str">
        <x:v>Perch-likes</x:v>
      </x:c>
      <x:c r="I50" s="31" t="n">
        <x:v>0.1413744866</x:v>
      </x:c>
      <x:c r="J50" s="31" t="n">
        <x:v>0.1413744866</x:v>
      </x:c>
      <x:c r="K50" s="31" t="n">
        <x:v>0</x:v>
      </x:c>
      <x:c r="L50" s="31" t="n">
        <x:v>0</x:v>
      </x:c>
      <x:c r="M50" s="31" t="n">
        <x:v>0.1413744866</x:v>
      </x:c>
      <x:c r="N50" s="24" t="str">
        <x:v>aphareus furca</x:v>
      </x:c>
      <x:c r="O50" s="32" t="n">
        <x:v>4.14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Aphareus furca</x:v>
      </x:c>
      <x:c r="T50" s="32" t="n">
        <x:f>IF(O50="","",(1/'Metadata'!$B$5)^(O50-1))</x:f>
        <x:v>1380.3842646028838</x:v>
      </x:c>
      <x:c r="U50" s="31" t="n">
        <x:f>IF(T50="","",I50*T50)</x:f>
        <x:v>195.15111671895124</x:v>
      </x:c>
    </x:row>
    <x:row r="51" ht="18" customHeight="1">
      <x:c r="A51" s="24" t="str">
        <x:v>EEZ_580</x:v>
      </x:c>
      <x:c r="B51" s="24" t="str">
        <x:v>Northern Marianas (USA)</x:v>
      </x:c>
      <x:c r="C51" s="24" t="str">
        <x:v>EEZ</x:v>
      </x:c>
      <x:c r="D51" s="30" t="n">
        <x:v>2019</x:v>
      </x:c>
      <x:c r="E51" s="24" t="str">
        <x:v>Carcharhinus falciformis</x:v>
      </x:c>
      <x:c r="F51" s="24" t="str">
        <x:v>Silky shark</x:v>
      </x:c>
      <x:c r="G51" s="24" t="str">
        <x:v>Large sharks (&gt;=90 cm)</x:v>
      </x:c>
      <x:c r="H51" s="24" t="str">
        <x:v>Sharks &amp; rays</x:v>
      </x:c>
      <x:c r="I51" s="31" t="n">
        <x:v>0.1356263297</x:v>
      </x:c>
      <x:c r="J51" s="31" t="n">
        <x:v>0</x:v>
      </x:c>
      <x:c r="K51" s="31" t="n">
        <x:v>0.1356263297</x:v>
      </x:c>
      <x:c r="L51" s="31" t="n">
        <x:v>0</x:v>
      </x:c>
      <x:c r="M51" s="31" t="n">
        <x:v>0.1356263297</x:v>
      </x:c>
      <x:c r="N51" s="24" t="str">
        <x:v>carcharhinus falciformis</x:v>
      </x:c>
      <x:c r="O51" s="32" t="n">
        <x:v>4.51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falciformis</x:v>
      </x:c>
      <x:c r="T51" s="32" t="n">
        <x:f>IF(O51="","",(1/'Metadata'!$B$5)^(O51-1))</x:f>
        <x:v>3235.936569296281</x:v>
      </x:c>
      <x:c r="U51" s="31" t="n">
        <x:f>IF(T51="","",I51*T51)</x:f>
        <x:v>438.8782000356643</x:v>
      </x:c>
    </x:row>
    <x:row r="52" ht="18" customHeight="1">
      <x:c r="A52" s="24" t="str">
        <x:v>EEZ_580</x:v>
      </x:c>
      <x:c r="B52" s="24" t="str">
        <x:v>Northern Marianas (USA)</x:v>
      </x:c>
      <x:c r="C52" s="24" t="str">
        <x:v>EEZ</x:v>
      </x:c>
      <x:c r="D52" s="30" t="n">
        <x:v>2019</x:v>
      </x:c>
      <x:c r="E52" s="24" t="str">
        <x:v>Lutjanus monostigma</x:v>
      </x:c>
      <x:c r="F52" s="24" t="str">
        <x:v>One-spot snapper</x:v>
      </x:c>
      <x:c r="G52" s="24" t="str">
        <x:v>Medium reef assoc. fish (30 - 89 cm)</x:v>
      </x:c>
      <x:c r="H52" s="24" t="str">
        <x:v>Perch-likes</x:v>
      </x:c>
      <x:c r="I52" s="31" t="n">
        <x:v>0.08304101189999999</x:v>
      </x:c>
      <x:c r="J52" s="31" t="n">
        <x:v>0.08304101189999999</x:v>
      </x:c>
      <x:c r="K52" s="31" t="n">
        <x:v>0</x:v>
      </x:c>
      <x:c r="L52" s="31" t="n">
        <x:v>0</x:v>
      </x:c>
      <x:c r="M52" s="31" t="n">
        <x:v>0.08304101189999999</x:v>
      </x:c>
      <x:c r="N52" s="24" t="str">
        <x:v>lutjanus monostigma</x:v>
      </x:c>
      <x:c r="O52" s="32" t="n">
        <x:v>4.27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Lutjanus monostigma</x:v>
      </x:c>
      <x:c r="T52" s="32" t="n">
        <x:f>IF(O52="","",(1/'Metadata'!$B$5)^(O52-1))</x:f>
        <x:v>1862.0871366628655</x:v>
      </x:c>
      <x:c r="U52" s="31" t="n">
        <x:f>IF(T52="","",I52*T52)</x:f>
        <x:v>154.62960007445793</x:v>
      </x:c>
    </x:row>
    <x:row r="53" ht="18" customHeight="1">
      <x:c r="A53" s="24" t="str">
        <x:v>EEZ_580</x:v>
      </x:c>
      <x:c r="B53" s="24" t="str">
        <x:v>Northern Marianas (USA)</x:v>
      </x:c>
      <x:c r="C53" s="24" t="str">
        <x:v>EEZ</x:v>
      </x:c>
      <x:c r="D53" s="30" t="n">
        <x:v>2019</x:v>
      </x:c>
      <x:c r="E53" s="24" t="str">
        <x:v>Acanthurus xanthopterus</x:v>
      </x:c>
      <x:c r="F53" s="24" t="str">
        <x:v>Yellowfin surgeonfish</x:v>
      </x:c>
      <x:c r="G53" s="24" t="str">
        <x:v>Medium reef assoc. fish (30 - 89 cm)</x:v>
      </x:c>
      <x:c r="H53" s="24" t="str">
        <x:v>Perch-likes</x:v>
      </x:c>
      <x:c r="I53" s="31" t="n">
        <x:v>0.0530539798</x:v>
      </x:c>
      <x:c r="J53" s="31" t="n">
        <x:v>0.0530539798</x:v>
      </x:c>
      <x:c r="K53" s="31" t="n">
        <x:v>0</x:v>
      </x:c>
      <x:c r="L53" s="31" t="n">
        <x:v>0</x:v>
      </x:c>
      <x:c r="M53" s="31" t="n">
        <x:v>0.0530539798</x:v>
      </x:c>
      <x:c r="N53" s="24" t="str">
        <x:v>acanthurus xanthopterus</x:v>
      </x:c>
      <x:c r="O53" s="32" t="n">
        <x:v>2.87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Acanthurus xanthopterus</x:v>
      </x:c>
      <x:c r="T53" s="32" t="n">
        <x:f>IF(O53="","",(1/'Metadata'!$B$5)^(O53-1))</x:f>
        <x:v>74.13102413009177</x:v>
      </x:c>
      <x:c r="U53" s="31" t="n">
        <x:f>IF(T53="","",I53*T53)</x:f>
        <x:v>3.9329458567512012</x:v>
      </x:c>
    </x:row>
    <x:row r="54" ht="18" customHeight="1">
      <x:c r="A54" s="24" t="str">
        <x:v>EEZ_580</x:v>
      </x:c>
      <x:c r="B54" s="24" t="str">
        <x:v>Northern Marianas (USA)</x:v>
      </x:c>
      <x:c r="C54" s="24" t="str">
        <x:v>EEZ</x:v>
      </x:c>
      <x:c r="D54" s="30" t="n">
        <x:v>2019</x:v>
      </x:c>
      <x:c r="E54" s="24" t="str">
        <x:v>Beryx splendens</x:v>
      </x:c>
      <x:c r="F54" s="24" t="str">
        <x:v>Splendid alfonsino</x:v>
      </x:c>
      <x:c r="G54" s="24" t="str">
        <x:v>Medium benthopelagics (30 - 89 cm)</x:v>
      </x:c>
      <x:c r="H54" s="24" t="str">
        <x:v>Other fishes &amp; inverts</x:v>
      </x:c>
      <x:c r="I54" s="31" t="n">
        <x:v>0.041032383199999994</x:v>
      </x:c>
      <x:c r="J54" s="31" t="n">
        <x:v>0.041032383199999994</x:v>
      </x:c>
      <x:c r="K54" s="31" t="n">
        <x:v>0</x:v>
      </x:c>
      <x:c r="L54" s="31" t="n">
        <x:v>0</x:v>
      </x:c>
      <x:c r="M54" s="31" t="n">
        <x:v>0.041032383199999994</x:v>
      </x:c>
      <x:c r="N54" s="24" t="str">
        <x:v>beryx splendens</x:v>
      </x:c>
      <x:c r="O54" s="32" t="n">
        <x:v>4.27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Beryx splendens</x:v>
      </x:c>
      <x:c r="T54" s="32" t="n">
        <x:f>IF(O54="","",(1/'Metadata'!$B$5)^(O54-1))</x:f>
        <x:v>1862.0871366628655</x:v>
      </x:c>
      <x:c r="U54" s="31" t="n">
        <x:f>IF(T54="","",I54*T54)</x:f>
        <x:v>76.40587294334146</x:v>
      </x:c>
    </x:row>
    <x:row r="55" ht="18" customHeight="1">
      <x:c r="A55" s="24" t="str">
        <x:v>EEZ_580</x:v>
      </x:c>
      <x:c r="B55" s="24" t="str">
        <x:v>Northern Marianas (USA)</x:v>
      </x:c>
      <x:c r="C55" s="24" t="str">
        <x:v>EEZ</x:v>
      </x:c>
      <x:c r="D55" s="30" t="n">
        <x:v>2019</x:v>
      </x:c>
      <x:c r="E55" s="24" t="str">
        <x:v>Selar crumenophthalmus</x:v>
      </x:c>
      <x:c r="F55" s="24" t="str">
        <x:v>Bigeye scad</x:v>
      </x:c>
      <x:c r="G55" s="24" t="str">
        <x:v>Medium pelagics (30 - 89 cm)</x:v>
      </x:c>
      <x:c r="H55" s="24" t="str">
        <x:v>Perch-likes</x:v>
      </x:c>
      <x:c r="I55" s="31" t="n">
        <x:v>0.0344679569</x:v>
      </x:c>
      <x:c r="J55" s="31" t="n">
        <x:v>0.0344679569</x:v>
      </x:c>
      <x:c r="K55" s="31" t="n">
        <x:v>0</x:v>
      </x:c>
      <x:c r="L55" s="31" t="n">
        <x:v>0</x:v>
      </x:c>
      <x:c r="M55" s="31" t="n">
        <x:v>0.0344679569</x:v>
      </x:c>
      <x:c r="N55" s="24" t="str">
        <x:v>selar crumenophthalmus</x:v>
      </x:c>
      <x:c r="O55" s="32" t="n">
        <x:v>3.81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Selar crumenophthalmus</x:v>
      </x:c>
      <x:c r="T55" s="32" t="n">
        <x:f>IF(O55="","",(1/'Metadata'!$B$5)^(O55-1))</x:f>
        <x:v>645.6542290346556</x:v>
      </x:c>
      <x:c r="U55" s="31" t="n">
        <x:f>IF(T55="","",I55*T55)</x:f>
        <x:v>22.254382138669236</x:v>
      </x:c>
    </x:row>
    <x:row r="56" ht="18" customHeight="1">
      <x:c r="A56" s="24" t="str">
        <x:v>EEZ_580</x:v>
      </x:c>
      <x:c r="B56" s="24" t="str">
        <x:v>Northern Marianas (USA)</x:v>
      </x:c>
      <x:c r="C56" s="24" t="str">
        <x:v>EEZ</x:v>
      </x:c>
      <x:c r="D56" s="30" t="n">
        <x:v>2019</x:v>
      </x:c>
      <x:c r="E56" s="24" t="str">
        <x:v>Labridae</x:v>
      </x:c>
      <x:c r="F56" s="24" t="str">
        <x:v>Wrasses, gropers, tuskfishes</x:v>
      </x:c>
      <x:c r="G56" s="24" t="str">
        <x:v>Medium reef assoc. fish (30 - 89 cm)</x:v>
      </x:c>
      <x:c r="H56" s="24" t="str">
        <x:v>Perch-likes</x:v>
      </x:c>
      <x:c r="I56" s="31" t="n">
        <x:v>0.0324017147</x:v>
      </x:c>
      <x:c r="J56" s="31" t="n">
        <x:v>0.0324017147</x:v>
      </x:c>
      <x:c r="K56" s="31" t="n">
        <x:v>0</x:v>
      </x:c>
      <x:c r="L56" s="31" t="n">
        <x:v>0</x:v>
      </x:c>
      <x:c r="M56" s="31" t="n">
        <x:v>0.0324017147</x:v>
      </x:c>
      <x:c r="N56" s="24" t="str">
        <x:v>labridae</x:v>
      </x:c>
      <x:c r="O56" s="32" t="n">
        <x:v>3.46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Labridae</x:v>
      </x:c>
      <x:c r="T56" s="32" t="n">
        <x:f>IF(O56="","",(1/'Metadata'!$B$5)^(O56-1))</x:f>
        <x:v>288.40315031266056</x:v>
      </x:c>
      <x:c r="U56" s="31" t="n">
        <x:f>IF(T56="","",I56*T56)</x:f>
        <x:v>9.344756595012043</x:v>
      </x:c>
    </x:row>
    <x:row r="57" ht="18" customHeight="1">
      <x:c r="A57" s="24" t="str">
        <x:v>EEZ_580</x:v>
      </x:c>
      <x:c r="B57" s="24" t="str">
        <x:v>Northern Marianas (USA)</x:v>
      </x:c>
      <x:c r="C57" s="24" t="str">
        <x:v>EEZ</x:v>
      </x:c>
      <x:c r="D57" s="30" t="n">
        <x:v>2019</x:v>
      </x:c>
      <x:c r="E57" s="24" t="str">
        <x:v>Pristipomoides argyrogrammicus</x:v>
      </x:c>
      <x:c r="F57" s="24" t="str">
        <x:v>Ornate jobfish</x:v>
      </x:c>
      <x:c r="G57" s="24" t="str">
        <x:v>Medium demersals (30 - 89 cm)</x:v>
      </x:c>
      <x:c r="H57" s="24" t="str">
        <x:v>Perch-likes</x:v>
      </x:c>
      <x:c r="I57" s="31" t="n">
        <x:v>0.0277698896</x:v>
      </x:c>
      <x:c r="J57" s="31" t="n">
        <x:v>0.0277698896</x:v>
      </x:c>
      <x:c r="K57" s="31" t="n">
        <x:v>0</x:v>
      </x:c>
      <x:c r="L57" s="31" t="n">
        <x:v>0</x:v>
      </x:c>
      <x:c r="M57" s="31" t="n">
        <x:v>0.0277698896</x:v>
      </x:c>
      <x:c r="N57" s="24" t="str">
        <x:v>pristipomoides argyrogrammicus</x:v>
      </x:c>
      <x:c r="O57" s="32" t="n">
        <x:v>4.18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Pristipomoides argyrogrammicus</x:v>
      </x:c>
      <x:c r="T57" s="32" t="n">
        <x:f>IF(O57="","",(1/'Metadata'!$B$5)^(O57-1))</x:f>
        <x:v>1513.5612484362073</x:v>
      </x:c>
      <x:c r="U57" s="31" t="n">
        <x:f>IF(T57="","",I57*T57)</x:f>
        <x:v>42.03142877191165</x:v>
      </x:c>
    </x:row>
    <x:row r="58" ht="18" customHeight="1">
      <x:c r="A58" s="24" t="str">
        <x:v>EEZ_580</x:v>
      </x:c>
      <x:c r="B58" s="24" t="str">
        <x:v>Northern Marianas (USA)</x:v>
      </x:c>
      <x:c r="C58" s="24" t="str">
        <x:v>EEZ</x:v>
      </x:c>
      <x:c r="D58" s="30" t="n">
        <x:v>2019</x:v>
      </x:c>
      <x:c r="E58" s="24" t="str">
        <x:v>Plectorhinchus pica</x:v>
      </x:c>
      <x:c r="F58" s="24" t="str">
        <x:v>Painted sweetlip</x:v>
      </x:c>
      <x:c r="G58" s="24" t="str">
        <x:v>Medium reef assoc. fish (30 - 89 cm)</x:v>
      </x:c>
      <x:c r="H58" s="24" t="str">
        <x:v>Perch-likes</x:v>
      </x:c>
      <x:c r="I58" s="31" t="n">
        <x:v>0.0273549215</x:v>
      </x:c>
      <x:c r="J58" s="31" t="n">
        <x:v>0.0273549215</x:v>
      </x:c>
      <x:c r="K58" s="31" t="n">
        <x:v>0</x:v>
      </x:c>
      <x:c r="L58" s="31" t="n">
        <x:v>0</x:v>
      </x:c>
      <x:c r="M58" s="31" t="n">
        <x:v>0.0273549215</x:v>
      </x:c>
      <x:c r="N58" s="24" t="str">
        <x:v>plectorhinchus pica</x:v>
      </x:c>
      <x:c r="O58" s="32" t="n">
        <x:v>3.85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Plectorhinchus pica</x:v>
      </x:c>
      <x:c r="T58" s="32" t="n">
        <x:f>IF(O58="","",(1/'Metadata'!$B$5)^(O58-1))</x:f>
        <x:v>707.945784384138</x:v>
      </x:c>
      <x:c r="U58" s="31" t="n">
        <x:f>IF(T58="","",I58*T58)</x:f>
        <x:v>19.365801358084024</x:v>
      </x:c>
    </x:row>
    <x:row r="59" ht="18" customHeight="1">
      <x:c r="A59" s="24" t="str">
        <x:v>EEZ_580</x:v>
      </x:c>
      <x:c r="B59" s="24" t="str">
        <x:v>Northern Marianas (USA)</x:v>
      </x:c>
      <x:c r="C59" s="24" t="str">
        <x:v>EEZ</x:v>
      </x:c>
      <x:c r="D59" s="30" t="n">
        <x:v>2019</x:v>
      </x:c>
      <x:c r="E59" s="24" t="str">
        <x:v>Balistidae</x:v>
      </x:c>
      <x:c r="F59" s="24" t="str">
        <x:v>Triggerfishes</x:v>
      </x:c>
      <x:c r="G59" s="24" t="str">
        <x:v>Medium reef assoc. fish (30 - 89 cm)</x:v>
      </x:c>
      <x:c r="H59" s="24" t="str">
        <x:v>Other fishes &amp; inverts</x:v>
      </x:c>
      <x:c r="I59" s="31" t="n">
        <x:v>0.017586798700000003</x:v>
      </x:c>
      <x:c r="J59" s="31" t="n">
        <x:v>0.017586798700000003</x:v>
      </x:c>
      <x:c r="K59" s="31" t="n">
        <x:v>0</x:v>
      </x:c>
      <x:c r="L59" s="31" t="n">
        <x:v>0</x:v>
      </x:c>
      <x:c r="M59" s="31" t="n">
        <x:v>0.017586798700000003</x:v>
      </x:c>
      <x:c r="N59" s="24" t="str">
        <x:v>balistidae</x:v>
      </x:c>
      <x:c r="O59" s="32" t="n">
        <x:v>3.25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Balistidae</x:v>
      </x:c>
      <x:c r="T59" s="32" t="n">
        <x:f>IF(O59="","",(1/'Metadata'!$B$5)^(O59-1))</x:f>
        <x:v>177.82794100389228</x:v>
      </x:c>
      <x:c r="U59" s="31" t="n">
        <x:f>IF(T59="","",I59*T59)</x:f>
        <x:v>3.12742420167093</x:v>
      </x:c>
    </x:row>
    <x:row r="60" ht="18" customHeight="1">
      <x:c r="A60" s="24" t="str">
        <x:v>EEZ_580</x:v>
      </x:c>
      <x:c r="B60" s="24" t="str">
        <x:v>Northern Marianas (USA)</x:v>
      </x:c>
      <x:c r="C60" s="24" t="str">
        <x:v>EEZ</x:v>
      </x:c>
      <x:c r="D60" s="30" t="n">
        <x:v>2019</x:v>
      </x:c>
      <x:c r="E60" s="24" t="str">
        <x:v>Gymnocranius grandoculis</x:v>
      </x:c>
      <x:c r="F60" s="24" t="str">
        <x:v>Blue-lined large-eye bream</x:v>
      </x:c>
      <x:c r="G60" s="24" t="str">
        <x:v>Medium reef assoc. fish (30 - 89 cm)</x:v>
      </x:c>
      <x:c r="H60" s="24" t="str">
        <x:v>Perch-likes</x:v>
      </x:c>
      <x:c r="I60" s="31" t="n">
        <x:v>0.00643777</x:v>
      </x:c>
      <x:c r="J60" s="31" t="n">
        <x:v>0.00643777</x:v>
      </x:c>
      <x:c r="K60" s="31" t="n">
        <x:v>0</x:v>
      </x:c>
      <x:c r="L60" s="31" t="n">
        <x:v>0</x:v>
      </x:c>
      <x:c r="M60" s="31" t="n">
        <x:v>0.00643777</x:v>
      </x:c>
      <x:c r="N60" s="24" t="str">
        <x:v>gymnocranius grandoculis</x:v>
      </x:c>
      <x:c r="O60" s="32" t="n">
        <x:v>3.76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Gymnocranius grandoculis</x:v>
      </x:c>
      <x:c r="T60" s="32" t="n">
        <x:f>IF(O60="","",(1/'Metadata'!$B$5)^(O60-1))</x:f>
        <x:v>575.4399373371566</x:v>
      </x:c>
      <x:c r="U60" s="31" t="n">
        <x:f>IF(T60="","",I60*T60)</x:f>
        <x:v>3.7045499653910268</x:v>
      </x:c>
    </x:row>
    <x:row r="61" ht="18" customHeight="1">
      <x:c r="A61" s="24" t="str">
        <x:v>EEZ_580</x:v>
      </x:c>
      <x:c r="B61" s="24" t="str">
        <x:v>Northern Marianas (USA)</x:v>
      </x:c>
      <x:c r="C61" s="24" t="str">
        <x:v>EEZ</x:v>
      </x:c>
      <x:c r="D61" s="30" t="n">
        <x:v>2019</x:v>
      </x:c>
      <x:c r="E61" s="24" t="str">
        <x:v>Seriola</x:v>
      </x:c>
      <x:c r="F61" s="24" t="str">
        <x:v>Amberjacks</x:v>
      </x:c>
      <x:c r="G61" s="24" t="str">
        <x:v>Large benthopelagics (&gt;=90 cm)</x:v>
      </x:c>
      <x:c r="H61" s="24" t="str">
        <x:v>Perch-likes</x:v>
      </x:c>
      <x:c r="I61" s="31" t="n">
        <x:v>0.0047361881</x:v>
      </x:c>
      <x:c r="J61" s="31" t="n">
        <x:v>0.0047361881</x:v>
      </x:c>
      <x:c r="K61" s="31" t="n">
        <x:v>0</x:v>
      </x:c>
      <x:c r="L61" s="31" t="n">
        <x:v>0</x:v>
      </x:c>
      <x:c r="M61" s="31" t="n">
        <x:v>0.0047361881</x:v>
      </x:c>
      <x:c r="N61" s="24" t="str">
        <x:v>seriola</x:v>
      </x:c>
      <x:c r="O61" s="32" t="n">
        <x:v>4.39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Seriola</x:v>
      </x:c>
      <x:c r="T61" s="32" t="n">
        <x:f>IF(O61="","",(1/'Metadata'!$B$5)^(O61-1))</x:f>
        <x:v>2454.7089156850284</x:v>
      </x:c>
      <x:c r="U61" s="31" t="n">
        <x:f>IF(T61="","",I61*T61)</x:f>
        <x:v>11.625963155431336</x:v>
      </x:c>
    </x:row>
    <x:row r="62" ht="18" customHeight="1">
      <x:c r="A62" s="24" t="str">
        <x:v>EEZ_580</x:v>
      </x:c>
      <x:c r="B62" s="24" t="str">
        <x:v>Northern Marianas (USA)</x:v>
      </x:c>
      <x:c r="C62" s="24" t="str">
        <x:v>EEZ</x:v>
      </x:c>
      <x:c r="D62" s="30" t="n">
        <x:v>2019</x:v>
      </x:c>
      <x:c r="E62" s="24" t="str">
        <x:v>Istiompax indica</x:v>
      </x:c>
      <x:c r="F62" s="24" t="str">
        <x:v>Black marlin</x:v>
      </x:c>
      <x:c r="G62" s="24" t="str">
        <x:v>Large pelagics (&gt;=90 cm)</x:v>
      </x:c>
      <x:c r="H62" s="24" t="str">
        <x:v>Tuna &amp; billfishes</x:v>
      </x:c>
      <x:c r="I62" s="31" t="n">
        <x:v>0.0042669232</x:v>
      </x:c>
      <x:c r="J62" s="31" t="n">
        <x:v>0.0042669232</x:v>
      </x:c>
      <x:c r="K62" s="31" t="n">
        <x:v>0</x:v>
      </x:c>
      <x:c r="L62" s="31" t="n">
        <x:v>0.0042669232</x:v>
      </x:c>
      <x:c r="M62" s="31" t="n">
        <x:v>0</x:v>
      </x:c>
      <x:c r="N62" s="24" t="str">
        <x:v>istiompax indica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Istiompax indica</x:v>
      </x:c>
      <x:c r="T62" s="32" t="n">
        <x:f>IF(O62="","",(1/'Metadata'!$B$5)^(O62-1))</x:f>
        <x:v>3162.2776601683795</x:v>
      </x:c>
      <x:c r="U62" s="31" t="n">
        <x:f>IF(T62="","",I62*T62)</x:f>
        <x:v>13.493195913014175</x:v>
      </x:c>
    </x:row>
    <x:row r="63" ht="18" customHeight="1">
      <x:c r="A63" s="24" t="str">
        <x:v>EEZ_580</x:v>
      </x:c>
      <x:c r="B63" s="24" t="str">
        <x:v>Northern Marianas (USA)</x:v>
      </x:c>
      <x:c r="C63" s="24" t="str">
        <x:v>EEZ</x:v>
      </x:c>
      <x:c r="D63" s="30" t="n">
        <x:v>2019</x:v>
      </x:c>
      <x:c r="E63" s="24" t="str">
        <x:v>Alopias</x:v>
      </x:c>
      <x:c r="F63" s="24" t="str">
        <x:v>Thresher sharks</x:v>
      </x:c>
      <x:c r="G63" s="24" t="str">
        <x:v>Large sharks (&gt;=90 cm)</x:v>
      </x:c>
      <x:c r="H63" s="24" t="str">
        <x:v>Sharks &amp; rays</x:v>
      </x:c>
      <x:c r="I63" s="31" t="n">
        <x:v>0.00121944</x:v>
      </x:c>
      <x:c r="J63" s="31" t="n">
        <x:v>0.00121944</x:v>
      </x:c>
      <x:c r="K63" s="31" t="n">
        <x:v>0</x:v>
      </x:c>
      <x:c r="L63" s="31" t="n">
        <x:v>0.00121944</x:v>
      </x:c>
      <x:c r="M63" s="31" t="n">
        <x:v>0</x:v>
      </x:c>
      <x:c r="N63" s="24" t="str">
        <x:v>alopias</x:v>
      </x:c>
      <x:c r="O63" s="32" t="n">
        <x:v>4.5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Alopias</x:v>
      </x:c>
      <x:c r="T63" s="32" t="n">
        <x:f>IF(O63="","",(1/'Metadata'!$B$5)^(O63-1))</x:f>
        <x:v>3162.2776601683795</x:v>
      </x:c>
      <x:c r="U63" s="31" t="n">
        <x:f>IF(T63="","",I63*T63)</x:f>
        <x:v>3.8562078699157287</x:v>
      </x:c>
    </x:row>
  </x:sheetData>
  <x:conditionalFormatting sqref="R2:R6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8d25492700f42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11.8944142631</x:v>
      </x:c>
      <x:c r="C2" s="32" t="n">
        <x:v>3.1229508303452898</x:v>
      </x:c>
      <x:c r="D2" s="32" t="n">
        <x:f>IF(C2="","",(1/'Metadata'!$B$5)^(C2-1))</x:f>
        <x:v>132.72441822017217</x:v>
      </x:c>
      <x:c r="E2" s="31" t="n">
        <x:f>IF(B2=0,"",B2*D2)</x:f>
        <x:v>1578.6792131396653</x:v>
      </x:c>
    </x:row>
    <x:row r="3" ht="18" customHeight="1">
      <x:c r="A3" s="24" t="str">
        <x:v>Other fishes &amp; inverts</x:v>
      </x:c>
      <x:c r="B3" s="31" t="n">
        <x:v>35.8331804485</x:v>
      </x:c>
      <x:c r="C3" s="32" t="n">
        <x:v>3.307446323156452</x:v>
      </x:c>
      <x:c r="D3" s="32" t="n">
        <x:f>IF(C3="","",(1/'Metadata'!$B$5)^(C3-1))</x:f>
        <x:v>202.97676342106212</x:v>
      </x:c>
      <x:c r="E3" s="31" t="n">
        <x:f>IF(B3=0,"",B3*D3)</x:f>
        <x:v>7273.3029905194135</x:v>
      </x:c>
    </x:row>
    <x:row r="4" ht="18" customHeight="1">
      <x:c r="A4" s="24" t="str">
        <x:v>Perch-likes</x:v>
      </x:c>
      <x:c r="B4" s="31" t="n">
        <x:v>147.31946964050002</x:v>
      </x:c>
      <x:c r="C4" s="32" t="n">
        <x:v>3.632942097373698</x:v>
      </x:c>
      <x:c r="D4" s="32" t="n">
        <x:f>IF(C4="","",(1/'Metadata'!$B$5)^(C4-1))</x:f>
        <x:v>429.47916232722827</x:v>
      </x:c>
      <x:c r="E4" s="31" t="n">
        <x:f>IF(B4=0,"",B4*D4)</x:f>
        <x:v>63270.64241569348</x:v>
      </x:c>
    </x:row>
    <x:row r="5" ht="18" customHeight="1">
      <x:c r="A5" s="24" t="str">
        <x:v>Sharks &amp; rays</x:v>
      </x:c>
      <x:c r="B5" s="31" t="n">
        <x:v>7.6954362905</x:v>
      </x:c>
      <x:c r="C5" s="32" t="n">
        <x:v>4.265958494700113</x:v>
      </x:c>
      <x:c r="D5" s="32" t="n">
        <x:f>IF(C5="","",(1/'Metadata'!$B$5)^(C5-1))</x:f>
        <x:v>1844.8391004318955</x:v>
      </x:c>
      <x:c r="E5" s="31" t="n">
        <x:f>IF(B5=0,"",B5*D5)</x:f>
        <x:v>14196.841763596984</x:v>
      </x:c>
    </x:row>
    <x:row r="6" ht="18" customHeight="1">
      <x:c r="A6" s="24" t="str">
        <x:v>Tuna &amp; billfishes</x:v>
      </x:c>
      <x:c r="B6" s="31" t="n">
        <x:v>295.7889394672999</x:v>
      </x:c>
      <x:c r="C6" s="32" t="n">
        <x:v>4.429186253602979</x:v>
      </x:c>
      <x:c r="D6" s="32" t="n">
        <x:f>IF(C6="","",(1/'Metadata'!$B$5)^(C6-1))</x:f>
        <x:v>2686.49634227214</x:v>
      </x:c>
      <x:c r="E6" s="31" t="n">
        <x:f>IF(B6=0,"",B6*D6)</x:f>
        <x:v>794635.9039634565</x:v>
      </x:c>
    </x:row>
  </x:sheetData>
  <x:pageMargins left="0.7" right="0.7" top="0.75" bottom="0.75" header="0.3" footer="0.3"/>
  <x:tableParts count="1">
    <x:tablePart xmlns:r="http://schemas.openxmlformats.org/officeDocument/2006/relationships" r:id="R82160c51f08248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1.1002325119</x:v>
      </x:c>
      <x:c r="C2" s="32" t="n">
        <x:v>3.6900983696798897</x:v>
      </x:c>
      <x:c r="D2" s="32" t="n">
        <x:f>IF(C2="","",(1/'Metadata'!$B$5)^(C2-1))</x:f>
        <x:v>489.8897690685301</x:v>
      </x:c>
      <x:c r="E2" s="31" t="n">
        <x:f>IF(B2=0,"",B2*D2)</x:f>
        <x:v>538.9926511763798</x:v>
      </x:c>
    </x:row>
    <x:row r="3" ht="18" customHeight="1">
      <x:c r="A3" s="24" t="str">
        <x:v>Large bathydemersals (&gt;=90 cm)</x:v>
      </x:c>
      <x:c r="B3" s="31" t="n">
        <x:v>8.7426256657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22995.44845361376</x:v>
      </x:c>
    </x:row>
    <x:row r="4" ht="18" customHeight="1">
      <x:c r="A4" s="24" t="str">
        <x:v>Large benthopelagics (&gt;=90 cm)</x:v>
      </x:c>
      <x:c r="B4" s="31" t="n">
        <x:v>0.0047361881</x:v>
      </x:c>
      <x:c r="C4" s="32" t="n">
        <x:v>4.39</x:v>
      </x:c>
      <x:c r="D4" s="32" t="n">
        <x:f>IF(C4="","",(1/'Metadata'!$B$5)^(C4-1))</x:f>
        <x:v>2454.7089156850284</x:v>
      </x:c>
      <x:c r="E4" s="31" t="n">
        <x:f>IF(B4=0,"",B4*D4)</x:f>
        <x:v>11.625963155431336</x:v>
      </x:c>
    </x:row>
    <x:row r="5" ht="18" customHeight="1">
      <x:c r="A5" s="24" t="str">
        <x:v>Large demersals (&gt;=90 cm)</x:v>
      </x:c>
      <x:c r="B5" s="31" t="n">
        <x:v>1.9975519247999998</x:v>
      </x:c>
      <x:c r="C5" s="32" t="n">
        <x:v>4.49</x:v>
      </x:c>
      <x:c r="D5" s="32" t="n">
        <x:f>IF(C5="","",(1/'Metadata'!$B$5)^(C5-1))</x:f>
        <x:v>3090.295432513592</x:v>
      </x:c>
      <x:c r="E5" s="31" t="n">
        <x:f>IF(B5=0,"",B5*D5)</x:f>
        <x:v>6173.025589418174</x:v>
      </x:c>
    </x:row>
    <x:row r="6" ht="18" customHeight="1">
      <x:c r="A6" s="24" t="str">
        <x:v>Large pelagics (&gt;=90 cm)</x:v>
      </x:c>
      <x:c r="B6" s="31" t="n">
        <x:v>344.87182779689994</x:v>
      </x:c>
      <x:c r="C6" s="32" t="n">
        <x:v>4.419576107417208</x:v>
      </x:c>
      <x:c r="D6" s="32" t="n">
        <x:f>IF(C6="","",(1/'Metadata'!$B$5)^(C6-1))</x:f>
        <x:v>2627.7019746130118</x:v>
      </x:c>
      <x:c r="E6" s="31" t="n">
        <x:f>IF(B6=0,"",B6*D6)</x:f>
        <x:v>906220.3828903125</x:v>
      </x:c>
    </x:row>
    <x:row r="7" ht="18" customHeight="1">
      <x:c r="A7" s="24" t="str">
        <x:v>Large reef assoc. fish (&gt;=90 cm)</x:v>
      </x:c>
      <x:c r="B7" s="31" t="n">
        <x:v>0.4777671175</x:v>
      </x:c>
      <x:c r="C7" s="32" t="n">
        <x:v>4.28</x:v>
      </x:c>
      <x:c r="D7" s="32" t="n">
        <x:f>IF(C7="","",(1/'Metadata'!$B$5)^(C7-1))</x:f>
        <x:v>1905.4607179632483</x:v>
      </x:c>
      <x:c r="E7" s="31" t="n">
        <x:f>IF(B7=0,"",B7*D7)</x:f>
        <x:v>910.3664747307816</x:v>
      </x:c>
    </x:row>
    <x:row r="8" ht="18" customHeight="1">
      <x:c r="A8" s="24" t="str">
        <x:v>Large sharks (&gt;=90 cm)</x:v>
      </x:c>
      <x:c r="B8" s="31" t="n">
        <x:v>7.6954362905</x:v>
      </x:c>
      <x:c r="C8" s="32" t="n">
        <x:v>4.265958494700113</x:v>
      </x:c>
      <x:c r="D8" s="32" t="n">
        <x:f>IF(C8="","",(1/'Metadata'!$B$5)^(C8-1))</x:f>
        <x:v>1844.8391004318955</x:v>
      </x:c>
      <x:c r="E8" s="31" t="n">
        <x:f>IF(B8=0,"",B8*D8)</x:f>
        <x:v>14196.841763596984</x:v>
      </x:c>
    </x:row>
    <x:row r="9" ht="18" customHeight="1">
      <x:c r="A9" s="24" t="str">
        <x:v>Lobsters, crabs</x:v>
      </x:c>
      <x:c r="B9" s="31" t="n">
        <x:v>11.8944142631</x:v>
      </x:c>
      <x:c r="C9" s="32" t="n">
        <x:v>3.1229508303452898</x:v>
      </x:c>
      <x:c r="D9" s="32" t="n">
        <x:f>IF(C9="","",(1/'Metadata'!$B$5)^(C9-1))</x:f>
        <x:v>132.72441822017217</x:v>
      </x:c>
      <x:c r="E9" s="31" t="n">
        <x:f>IF(B9=0,"",B9*D9)</x:f>
        <x:v>1578.6792131396653</x:v>
      </x:c>
    </x:row>
    <x:row r="10" ht="18" customHeight="1">
      <x:c r="A10" s="24" t="str">
        <x:v>Medium benthopelagics (30 - 89 cm)</x:v>
      </x:c>
      <x:c r="B10" s="31" t="n">
        <x:v>1.4248318865</x:v>
      </x:c>
      <x:c r="C10" s="32" t="n">
        <x:v>4.095183649415751</x:v>
      </x:c>
      <x:c r="D10" s="32" t="n">
        <x:f>IF(C10="","",(1/'Metadata'!$B$5)^(C10-1))</x:f>
        <x:v>1245.040988969109</x:v>
      </x:c>
      <x:c r="E10" s="31" t="n">
        <x:f>IF(B10=0,"",B10*D10)</x:f>
        <x:v>1773.9741010826815</x:v>
      </x:c>
    </x:row>
    <x:row r="11" ht="18" customHeight="1">
      <x:c r="A11" s="24" t="str">
        <x:v>Medium demersals (30 - 89 cm)</x:v>
      </x:c>
      <x:c r="B11" s="31" t="n">
        <x:v>26.832830858100003</x:v>
      </x:c>
      <x:c r="C11" s="32" t="n">
        <x:v>3.445478369188528</x:v>
      </x:c>
      <x:c r="D11" s="32" t="n">
        <x:f>IF(C11="","",(1/'Metadata'!$B$5)^(C11-1))</x:f>
        <x:v>278.91917322100625</x:v>
      </x:c>
      <x:c r="E11" s="31" t="n">
        <x:f>IF(B11=0,"",B11*D11)</x:f>
        <x:v>7484.190998120356</x:v>
      </x:c>
    </x:row>
    <x:row r="12" ht="18" customHeight="1">
      <x:c r="A12" s="24" t="str">
        <x:v>Medium pelagics (30 - 89 cm)</x:v>
      </x:c>
      <x:c r="B12" s="31" t="n">
        <x:v>16.7570448357</x:v>
      </x:c>
      <x:c r="C12" s="32" t="n">
        <x:v>3.7946358667431324</x:v>
      </x:c>
      <x:c r="D12" s="32" t="n">
        <x:f>IF(C12="","",(1/'Metadata'!$B$5)^(C12-1))</x:f>
        <x:v>623.2120855560224</x:v>
      </x:c>
      <x:c r="E12" s="31" t="n">
        <x:f>IF(B12=0,"",B12*D12)</x:f>
        <x:v>10443.192859812372</x:v>
      </x:c>
    </x:row>
    <x:row r="13" ht="18" customHeight="1">
      <x:c r="A13" s="24" t="str">
        <x:v>Medium reef assoc. fish (30 - 89 cm)</x:v>
      </x:c>
      <x:c r="B13" s="31" t="n">
        <x:v>55.4433376377</x:v>
      </x:c>
      <x:c r="C13" s="32" t="n">
        <x:v>3.054915113322629</x:v>
      </x:c>
      <x:c r="D13" s="32" t="n">
        <x:f>IF(C13="","",(1/'Metadata'!$B$5)^(C13-1))</x:f>
        <x:v>113.47889895023151</x:v>
      </x:c>
      <x:c r="E13" s="31" t="n">
        <x:f>IF(B13=0,"",B13*D13)</x:f>
        <x:v>6291.648909252125</x:v>
      </x:c>
    </x:row>
    <x:row r="14" ht="18" customHeight="1">
      <x:c r="A14" s="24" t="str">
        <x:v>Other demersal invertebrates</x:v>
      </x:c>
      <x:c r="B14" s="31" t="n">
        <x:v>1</x:v>
      </x:c>
      <x:c r="C14" s="32" t="n">
        <x:v>2.43</x:v>
      </x:c>
      <x:c r="D14" s="32" t="n">
        <x:f>IF(C14="","",(1/'Metadata'!$B$5)^(C14-1))</x:f>
        <x:v>26.915348039269166</x:v>
      </x:c>
      <x:c r="E14" s="31" t="n">
        <x:f>IF(B14=0,"",B14*D14)</x:f>
        <x:v>26.915348039269166</x:v>
      </x:c>
    </x:row>
    <x:row r="15" ht="18" customHeight="1">
      <x:c r="A15" s="24" t="str">
        <x:v>Small reef assoc. fish (&lt;30 cm)</x:v>
      </x:c>
      <x:c r="B15" s="31" t="n">
        <x:v>20.288803133400002</x:v>
      </x:c>
      <x:c r="C15" s="32" t="n">
        <x:v>2.57388092844907</x:v>
      </x:c>
      <x:c r="D15" s="32" t="n">
        <x:f>IF(C15="","",(1/'Metadata'!$B$5)^(C15-1))</x:f>
        <x:v>37.48702090978727</x:v>
      </x:c>
      <x:c r="E15" s="31" t="n">
        <x:f>IF(B15=0,"",B15*D15)</x:f>
        <x:v>760.5667872963234</x:v>
      </x:c>
    </x:row>
  </x:sheetData>
  <x:pageMargins left="0.7" right="0.7" top="0.75" bottom="0.75" header="0.3" footer="0.3"/>
  <x:tableParts count="1">
    <x:tablePart xmlns:r="http://schemas.openxmlformats.org/officeDocument/2006/relationships" r:id="Rd2b705418da84e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EEZ_580</x:v>
      </x:c>
      <x:c r="B2" s="24" t="str">
        <x:v>raw_filtered_tonnes</x:v>
      </x:c>
      <x:c r="C2" s="24" t="n">
        <x:v>498.5314401099</x:v>
      </x:c>
      <x:c r="D2" s="24" t="str">
        <x:v>tonnes</x:v>
      </x:c>
    </x:row>
    <x:row r="3" ht="18" customHeight="1">
      <x:c r="A3" s="24" t="str">
        <x:v>EEZ_580</x:v>
      </x:c>
      <x:c r="B3" s="24" t="str">
        <x:v>species_catch_tonnes</x:v>
      </x:c>
      <x:c r="C3" s="24" t="n">
        <x:v>498.5314401099</x:v>
      </x:c>
      <x:c r="D3" s="24" t="str">
        <x:v>tonnes</x:v>
      </x:c>
    </x:row>
    <x:row r="4" ht="18" customHeight="1">
      <x:c r="A4" s="24" t="str">
        <x:v>EEZ_580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EEZ_580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EEZ_580</x:v>
      </x:c>
      <x:c r="B6" s="24" t="str">
        <x:v>matched_catch_tonnes</x:v>
      </x:c>
      <x:c r="C6" s="24" t="n">
        <x:v>498.5314401099</x:v>
      </x:c>
      <x:c r="D6" s="24" t="str">
        <x:v>tonnes</x:v>
      </x:c>
    </x:row>
    <x:row r="7" ht="18" customHeight="1">
      <x:c r="A7" s="24" t="str">
        <x:v>EEZ_580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EEZ_580</x:v>
      </x:c>
      <x:c r="B8" s="24" t="str">
        <x:v>taxa_count</x:v>
      </x:c>
      <x:c r="C8" s="24" t="n">
        <x:v>62</x:v>
      </x:c>
      <x:c r="D8" s="24" t="str">
        <x:v>count</x:v>
      </x:c>
    </x:row>
    <x:row r="9" ht="18" customHeight="1">
      <x:c r="A9" s="24" t="str">
        <x:v>EEZ_580</x:v>
      </x:c>
      <x:c r="B9" s="24" t="str">
        <x:v>matched_taxa_count</x:v>
      </x:c>
      <x:c r="C9" s="24" t="n">
        <x:v>62</x:v>
      </x:c>
      <x:c r="D9" s="24" t="str">
        <x:v>count</x:v>
      </x:c>
    </x:row>
    <x:row r="10" ht="18" customHeight="1">
      <x:c r="A10" s="24" t="str">
        <x:v>EEZ_580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EEZ_580</x:v>
      </x:c>
      <x:c r="B11" s="24" t="str">
        <x:v>species_ppr</x:v>
      </x:c>
      <x:c r="C11" s="24" t="n">
        <x:v>1005725.4354424982</x:v>
      </x:c>
      <x:c r="D11" s="24" t="str">
        <x:v>tonnes_primary_production_equivalent</x:v>
      </x:c>
    </x:row>
    <x:row r="12" ht="18" customHeight="1">
      <x:c r="A12" s="24" t="str">
        <x:v>EEZ_580</x:v>
      </x:c>
      <x:c r="B12" s="24" t="str">
        <x:v>commercial_ppr</x:v>
      </x:c>
      <x:c r="C12" s="24" t="n">
        <x:v>880955.370346406</x:v>
      </x:c>
      <x:c r="D12" s="24" t="str">
        <x:v>tonnes_primary_production_equivalent</x:v>
      </x:c>
    </x:row>
    <x:row r="13" ht="18" customHeight="1">
      <x:c r="A13" s="24" t="str">
        <x:v>EEZ_580</x:v>
      </x:c>
      <x:c r="B13" s="24" t="str">
        <x:v>functional_ppr</x:v>
      </x:c>
      <x:c r="C13" s="24" t="n">
        <x:v>979405.8520027468</x:v>
      </x:c>
      <x:c r="D13" s="24" t="str">
        <x:v>tonnes_primary_production_equivalent</x:v>
      </x:c>
    </x:row>
    <x:row r="14" ht="18" customHeight="1">
      <x:c r="A14" s="24" t="str">
        <x:v>EEZ_580</x:v>
      </x:c>
      <x:c r="B14" s="24" t="str">
        <x:v>commercial_ppr_difference</x:v>
      </x:c>
      <x:c r="C14" s="24" t="n">
        <x:v>-124770.06509609218</x:v>
      </x:c>
      <x:c r="D14" s="24" t="str">
        <x:v>tonnes_primary_production_equivalent</x:v>
      </x:c>
    </x:row>
    <x:row r="15" ht="18" customHeight="1">
      <x:c r="A15" s="24" t="str">
        <x:v>EEZ_580</x:v>
      </x:c>
      <x:c r="B15" s="24" t="str">
        <x:v>functional_ppr_difference</x:v>
      </x:c>
      <x:c r="C15" s="24" t="n">
        <x:v>-26319.58343975141</x:v>
      </x:c>
      <x:c r="D15" s="24" t="str">
        <x:v>tonnes_primary_production_equivalent</x:v>
      </x:c>
    </x:row>
    <x:row r="16" ht="18" customHeight="1">
      <x:c r="A16" s="24" t="str">
        <x:v>EEZ_580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EEZ_580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4c23fc92b5a46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EEZ_580 - Northern Marianas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