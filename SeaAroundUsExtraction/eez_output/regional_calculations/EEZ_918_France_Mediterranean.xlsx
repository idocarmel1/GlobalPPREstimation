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8755bad54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ae0405a69a484a"/>
    <x:sheet xmlns:r="http://schemas.openxmlformats.org/officeDocument/2006/relationships" name="Commercial" sheetId="2" r:id="Rc5820b9f00e44fda"/>
    <x:sheet xmlns:r="http://schemas.openxmlformats.org/officeDocument/2006/relationships" name="Functional" sheetId="3" r:id="Rca42570faa034d63"/>
    <x:sheet xmlns:r="http://schemas.openxmlformats.org/officeDocument/2006/relationships" name="Missing TL" sheetId="4" r:id="Rb22695ccfa354574"/>
    <x:sheet xmlns:r="http://schemas.openxmlformats.org/officeDocument/2006/relationships" name="Validation" sheetId="5" r:id="R88840701ce534437"/>
    <x:sheet xmlns:r="http://schemas.openxmlformats.org/officeDocument/2006/relationships" name="Metadata" sheetId="6" r:id="R9b0edaae1373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af94696ba4cf2" /><Relationship Type="http://schemas.openxmlformats.org/officeDocument/2006/relationships/theme" Target="/xl/theme/theme1.xml" Id="Refd3391f78ff47ed" /><Relationship Type="http://schemas.microsoft.com/office/2022/11/relationships/FeaturePropertyBag" Target="/xl/featurePropertyBag/featurePropertyBag.xml" Id="R5958ac2cd706466f" /><Relationship Type="http://schemas.openxmlformats.org/officeDocument/2006/relationships/sharedStrings" Target="/xl/sharedStrings.xml" Id="R4c1e08acd8fd4e5f" /><Relationship Type="http://schemas.openxmlformats.org/officeDocument/2006/relationships/worksheet" Target="/xl/worksheets/sheet1.xml" Id="R7eae0405a69a484a" /><Relationship Type="http://schemas.openxmlformats.org/officeDocument/2006/relationships/worksheet" Target="/xl/worksheets/sheet2.xml" Id="Rc5820b9f00e44fda" /><Relationship Type="http://schemas.openxmlformats.org/officeDocument/2006/relationships/worksheet" Target="/xl/worksheets/sheet3.xml" Id="Rca42570faa034d63" /><Relationship Type="http://schemas.openxmlformats.org/officeDocument/2006/relationships/worksheet" Target="/xl/worksheets/sheet4.xml" Id="Rb22695ccfa354574" /><Relationship Type="http://schemas.openxmlformats.org/officeDocument/2006/relationships/worksheet" Target="/xl/worksheets/sheet5.xml" Id="R88840701ce534437" /><Relationship Type="http://schemas.openxmlformats.org/officeDocument/2006/relationships/worksheet" Target="/xl/worksheets/sheet6.xml" Id="R9b0edaae137344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8SpeciesTable" displayName="EEZ918SpeciesTable" ref="A1:U160" headerRowCount="1" totalsRowCount="0" totalsRowShown="0">
  <x:autoFilter ref="A1:U1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8CommercialTable" displayName="EEZ91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8FunctionalTable" displayName="EEZ918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8ValidationTable" displayName="EEZ9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a7652b46c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4d89f7b6bc48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7b8a2771974c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bbb0df6f1a49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EEZ_918</x:v>
      </x:c>
      <x:c r="B2" s="24" t="str">
        <x:v>France (Mediterranean)</x:v>
      </x:c>
      <x:c r="C2" s="24" t="str">
        <x:v>EEZ</x:v>
      </x:c>
      <x:c r="D2" s="30" t="n">
        <x:v>2019</x:v>
      </x:c>
      <x:c r="E2" s="24" t="str">
        <x:v>Octopus vulgaris</x:v>
      </x:c>
      <x:c r="F2" s="24" t="str">
        <x:v>Common octopus</x:v>
      </x:c>
      <x:c r="G2" s="24" t="str">
        <x:v>Cephalopods</x:v>
      </x:c>
      <x:c r="H2" s="24" t="str">
        <x:v>Other fishes &amp; inverts</x:v>
      </x:c>
      <x:c r="I2" s="31" t="n">
        <x:v>4513.8997725048</x:v>
      </x:c>
      <x:c r="J2" s="31" t="n">
        <x:v>4513.8997725048</x:v>
      </x:c>
      <x:c r="K2" s="31" t="n">
        <x:v>0</x:v>
      </x:c>
      <x:c r="L2" s="31" t="n">
        <x:v>1686.7</x:v>
      </x:c>
      <x:c r="M2" s="31" t="n">
        <x:v>2827.1997725048</x:v>
      </x:c>
      <x:c r="N2" s="24" t="str">
        <x:v>octopus vulgaris</x:v>
      </x:c>
      <x:c r="O2" s="32" t="n">
        <x:v>3.6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Octopus vulgaris</x:v>
      </x:c>
      <x:c r="T2" s="32" t="n">
        <x:f>IF(O2="","",(1/'Metadata'!$B$5)^(O2-1))</x:f>
        <x:v>398.1071705534973</x:v>
      </x:c>
      <x:c r="U2" s="31" t="n">
        <x:f>IF(T2="","",I2*T2)</x:f>
        <x:v>1797015.8665939614</x:v>
      </x:c>
    </x:row>
    <x:row r="3" ht="18" customHeight="1">
      <x:c r="A3" s="24" t="str">
        <x:v>EEZ_918</x:v>
      </x:c>
      <x:c r="B3" s="24" t="str">
        <x:v>France (Mediterranean)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4130.6810922012</x:v>
      </x:c>
      <x:c r="J3" s="31" t="n">
        <x:v>4130.6810922012</x:v>
      </x:c>
      <x:c r="K3" s="31" t="n">
        <x:v>0</x:v>
      </x:c>
      <x:c r="L3" s="31" t="n">
        <x:v>847.9</x:v>
      </x:c>
      <x:c r="M3" s="31" t="n">
        <x:v>3282.7810922012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532134.8065215499</x:v>
      </x:c>
    </x:row>
    <x:row r="4" ht="18" customHeight="1">
      <x:c r="A4" s="24" t="str">
        <x:v>EEZ_918</x:v>
      </x:c>
      <x:c r="B4" s="24" t="str">
        <x:v>France (Mediterranean)</x:v>
      </x:c>
      <x:c r="C4" s="24" t="str">
        <x:v>EEZ</x:v>
      </x:c>
      <x:c r="D4" s="30" t="n">
        <x:v>2019</x:v>
      </x:c>
      <x:c r="E4" s="24" t="str">
        <x:v>Merluccius merluccius</x:v>
      </x:c>
      <x:c r="F4" s="24" t="str">
        <x:v>European hake</x:v>
      </x:c>
      <x:c r="G4" s="24" t="str">
        <x:v>Large demersals (&gt;=90 cm)</x:v>
      </x:c>
      <x:c r="H4" s="24" t="str">
        <x:v>Cod-likes</x:v>
      </x:c>
      <x:c r="I4" s="31" t="n">
        <x:v>3743.0992280772</x:v>
      </x:c>
      <x:c r="J4" s="31" t="n">
        <x:v>3743.0992280772</x:v>
      </x:c>
      <x:c r="K4" s="31" t="n">
        <x:v>0</x:v>
      </x:c>
      <x:c r="L4" s="31" t="n">
        <x:v>942.4</x:v>
      </x:c>
      <x:c r="M4" s="31" t="n">
        <x:v>2800.6992280772</x:v>
      </x:c>
      <x:c r="N4" s="24" t="str">
        <x:v>merluccius merluccius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Merluccius merluccius</x:v>
      </x:c>
      <x:c r="T4" s="32" t="n">
        <x:f>IF(O4="","",(1/'Metadata'!$B$5)^(O4-1))</x:f>
        <x:v>2630.2679918953813</x:v>
      </x:c>
      <x:c r="U4" s="31" t="n">
        <x:f>IF(T4="","",I4*T4)</x:f>
        <x:v>9845354.090099769</x:v>
      </x:c>
    </x:row>
    <x:row r="5" ht="18" customHeight="1">
      <x:c r="A5" s="24" t="str">
        <x:v>EEZ_918</x:v>
      </x:c>
      <x:c r="B5" s="24" t="str">
        <x:v>France (Mediterranean)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2273.3824576144</x:v>
      </x:c>
      <x:c r="J5" s="31" t="n">
        <x:v>2273.3824576144</x:v>
      </x:c>
      <x:c r="K5" s="31" t="n">
        <x:v>0</x:v>
      </x:c>
      <x:c r="L5" s="31" t="n">
        <x:v>908</x:v>
      </x:c>
      <x:c r="M5" s="31" t="n">
        <x:v>1365.3824576144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969778.3948211326</x:v>
      </x:c>
    </x:row>
    <x:row r="6" ht="18" customHeight="1">
      <x:c r="A6" s="24" t="str">
        <x:v>EEZ_918</x:v>
      </x:c>
      <x:c r="B6" s="24" t="str">
        <x:v>France (Mediterranean)</x:v>
      </x:c>
      <x:c r="C6" s="24" t="str">
        <x:v>EEZ</x:v>
      </x:c>
      <x:c r="D6" s="30" t="n">
        <x:v>2019</x:v>
      </x:c>
      <x:c r="E6" s="24" t="str">
        <x:v>Perciformes</x:v>
      </x:c>
      <x:c r="F6" s="24" t="str">
        <x:v>Perch-likes</x:v>
      </x:c>
      <x:c r="G6" s="24" t="str">
        <x:v>Medium demersals (30 - 89 cm)</x:v>
      </x:c>
      <x:c r="H6" s="24" t="str">
        <x:v>Perch-likes</x:v>
      </x:c>
      <x:c r="I6" s="31" t="n">
        <x:v>1982.8530249213</x:v>
      </x:c>
      <x:c r="J6" s="31" t="n">
        <x:v>1692.4670776586</x:v>
      </x:c>
      <x:c r="K6" s="31" t="n">
        <x:v>290.38594726270003</x:v>
      </x:c>
      <x:c r="L6" s="31" t="n">
        <x:v>0</x:v>
      </x:c>
      <x:c r="M6" s="31" t="n">
        <x:v>1982.8530249213</x:v>
      </x:c>
      <x:c r="N6" s="24" t="str">
        <x:v>perciformes</x:v>
      </x:c>
      <x:c r="O6" s="32" t="n">
        <x:v>3.53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Perciformes</x:v>
      </x:c>
      <x:c r="T6" s="32" t="n">
        <x:f>IF(O6="","",(1/'Metadata'!$B$5)^(O6-1))</x:f>
        <x:v>338.84415613920237</x:v>
      </x:c>
      <x:c r="U6" s="31" t="n">
        <x:f>IF(T6="","",I6*T6)</x:f>
        <x:v>671878.1599775227</x:v>
      </x:c>
    </x:row>
    <x:row r="7" ht="18" customHeight="1">
      <x:c r="A7" s="24" t="str">
        <x:v>EEZ_918</x:v>
      </x:c>
      <x:c r="B7" s="24" t="str">
        <x:v>France (Mediterranean)</x:v>
      </x:c>
      <x:c r="C7" s="24" t="str">
        <x:v>EEZ</x:v>
      </x:c>
      <x:c r="D7" s="30" t="n">
        <x:v>2019</x:v>
      </x:c>
      <x:c r="E7" s="24" t="str">
        <x:v>Trisopterus minutus</x:v>
      </x:c>
      <x:c r="F7" s="24" t="str">
        <x:v>Poor cod</x:v>
      </x:c>
      <x:c r="G7" s="24" t="str">
        <x:v>Medium benthopelagics (30 - 89 cm)</x:v>
      </x:c>
      <x:c r="H7" s="24" t="str">
        <x:v>Cod-likes</x:v>
      </x:c>
      <x:c r="I7" s="31" t="n">
        <x:v>1806.9857395572</x:v>
      </x:c>
      <x:c r="J7" s="31" t="n">
        <x:v>1806.9857395572</x:v>
      </x:c>
      <x:c r="K7" s="31" t="n">
        <x:v>0</x:v>
      </x:c>
      <x:c r="L7" s="31" t="n">
        <x:v>596.8000000000001</x:v>
      </x:c>
      <x:c r="M7" s="31" t="n">
        <x:v>1210.1857395572</x:v>
      </x:c>
      <x:c r="N7" s="24" t="str">
        <x:v>trisopterus minutus</x:v>
      </x:c>
      <x:c r="O7" s="32" t="n">
        <x:v>3.73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Trisopterus minutus</x:v>
      </x:c>
      <x:c r="T7" s="32" t="n">
        <x:f>IF(O7="","",(1/'Metadata'!$B$5)^(O7-1))</x:f>
        <x:v>537.0317963702527</x:v>
      </x:c>
      <x:c r="U7" s="31" t="n">
        <x:f>IF(T7="","",I7*T7)</x:f>
        <x:v>970408.7977298327</x:v>
      </x:c>
    </x:row>
    <x:row r="8" ht="18" customHeight="1">
      <x:c r="A8" s="24" t="str">
        <x:v>EEZ_918</x:v>
      </x:c>
      <x:c r="B8" s="24" t="str">
        <x:v>France (Mediterranean)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1717.9591145749</x:v>
      </x:c>
      <x:c r="J8" s="31" t="n">
        <x:v>1350.3734045062</x:v>
      </x:c>
      <x:c r="K8" s="31" t="n">
        <x:v>367.5857100687</x:v>
      </x:c>
      <x:c r="L8" s="31" t="n">
        <x:v>229.9120483937</x:v>
      </x:c>
      <x:c r="M8" s="31" t="n">
        <x:v>1488.0470661812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327350.36078893923</x:v>
      </x:c>
    </x:row>
    <x:row r="9" ht="18" customHeight="1">
      <x:c r="A9" s="24" t="str">
        <x:v>EEZ_918</x:v>
      </x:c>
      <x:c r="B9" s="24" t="str">
        <x:v>France (Mediterranean)</x:v>
      </x:c>
      <x:c r="C9" s="24" t="str">
        <x:v>EEZ</x:v>
      </x:c>
      <x:c r="D9" s="30" t="n">
        <x:v>2019</x:v>
      </x:c>
      <x:c r="E9" s="24" t="str">
        <x:v>Sparus aurata</x:v>
      </x:c>
      <x:c r="F9" s="24" t="str">
        <x:v>Gilthead seabream</x:v>
      </x:c>
      <x:c r="G9" s="24" t="str">
        <x:v>Medium demersals (30 - 89 cm)</x:v>
      </x:c>
      <x:c r="H9" s="24" t="str">
        <x:v>Perch-likes</x:v>
      </x:c>
      <x:c r="I9" s="31" t="n">
        <x:v>1521.1314142468</x:v>
      </x:c>
      <x:c r="J9" s="31" t="n">
        <x:v>1521.1314142468</x:v>
      </x:c>
      <x:c r="K9" s="31" t="n">
        <x:v>0</x:v>
      </x:c>
      <x:c r="L9" s="31" t="n">
        <x:v>633.6999999999999</x:v>
      </x:c>
      <x:c r="M9" s="31" t="n">
        <x:v>887.4314142468</x:v>
      </x:c>
      <x:c r="N9" s="24" t="str">
        <x:v>sparus aurata</x:v>
      </x:c>
      <x:c r="O9" s="32" t="n">
        <x:v>3.7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Sparus aurata</x:v>
      </x:c>
      <x:c r="T9" s="32" t="n">
        <x:f>IF(O9="","",(1/'Metadata'!$B$5)^(O9-1))</x:f>
        <x:v>501.18723362727246</x:v>
      </x:c>
      <x:c r="U9" s="31" t="n">
        <x:f>IF(T9="","",I9*T9)</x:f>
        <x:v>762371.6454898943</x:v>
      </x:c>
    </x:row>
    <x:row r="10" ht="18" customHeight="1">
      <x:c r="A10" s="24" t="str">
        <x:v>EEZ_918</x:v>
      </x:c>
      <x:c r="B10" s="24" t="str">
        <x:v>France (Mediterranean)</x:v>
      </x:c>
      <x:c r="C10" s="24" t="str">
        <x:v>EEZ</x:v>
      </x:c>
      <x:c r="D10" s="30" t="n">
        <x:v>2019</x:v>
      </x:c>
      <x:c r="E10" s="24" t="str">
        <x:v>Lophius</x:v>
      </x:c>
      <x:c r="F10" s="24" t="str">
        <x:v>Frogfishes</x:v>
      </x:c>
      <x:c r="G10" s="24" t="str">
        <x:v>Medium bathydemersals (30 - 89 cm)</x:v>
      </x:c>
      <x:c r="H10" s="24" t="str">
        <x:v>Other fishes &amp; inverts</x:v>
      </x:c>
      <x:c r="I10" s="31" t="n">
        <x:v>1506.4913281921</x:v>
      </x:c>
      <x:c r="J10" s="31" t="n">
        <x:v>1506.4913281921</x:v>
      </x:c>
      <x:c r="K10" s="31" t="n">
        <x:v>0</x:v>
      </x:c>
      <x:c r="L10" s="31" t="n">
        <x:v>565.7</x:v>
      </x:c>
      <x:c r="M10" s="31" t="n">
        <x:v>940.7913281921</x:v>
      </x:c>
      <x:c r="N10" s="24" t="str">
        <x:v>lophius</x:v>
      </x:c>
      <x:c r="O10" s="32" t="n">
        <x:v>4.46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Lophius</x:v>
      </x:c>
      <x:c r="T10" s="32" t="n">
        <x:f>IF(O10="","",(1/'Metadata'!$B$5)^(O10-1))</x:f>
        <x:v>2884.031503126606</x:v>
      </x:c>
      <x:c r="U10" s="31" t="n">
        <x:f>IF(T10="","",I10*T10)</x:f>
        <x:v>4344768.449693059</x:v>
      </x:c>
    </x:row>
    <x:row r="11" ht="18" customHeight="1">
      <x:c r="A11" s="24" t="str">
        <x:v>EEZ_918</x:v>
      </x:c>
      <x:c r="B11" s="24" t="str">
        <x:v>France (Mediterranean)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1476.1606763534</x:v>
      </x:c>
      <x:c r="J11" s="31" t="n">
        <x:v>1401.4607137937</x:v>
      </x:c>
      <x:c r="K11" s="31" t="n">
        <x:v>74.6999625597</x:v>
      </x:c>
      <x:c r="L11" s="31" t="n">
        <x:v>0.0416505223</x:v>
      </x:c>
      <x:c r="M11" s="31" t="n">
        <x:v>1476.1190258311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2686170.8502065744</x:v>
      </x:c>
    </x:row>
    <x:row r="12" ht="18" customHeight="1">
      <x:c r="A12" s="24" t="str">
        <x:v>EEZ_918</x:v>
      </x:c>
      <x:c r="B12" s="24" t="str">
        <x:v>France (Mediterranean)</x:v>
      </x:c>
      <x:c r="C12" s="24" t="str">
        <x:v>EEZ</x:v>
      </x:c>
      <x:c r="D12" s="30" t="n">
        <x:v>2019</x:v>
      </x:c>
      <x:c r="E12" s="24" t="str">
        <x:v>Sardina pilchardus</x:v>
      </x:c>
      <x:c r="F12" s="24" t="str">
        <x:v>European pilchard</x:v>
      </x:c>
      <x:c r="G12" s="24" t="str">
        <x:v>Small pelagics (&lt;30 cm)</x:v>
      </x:c>
      <x:c r="H12" s="24" t="str">
        <x:v>Herring-likes</x:v>
      </x:c>
      <x:c r="I12" s="31" t="n">
        <x:v>1453.2305372207</x:v>
      </x:c>
      <x:c r="J12" s="31" t="n">
        <x:v>1453.2305372207</x:v>
      </x:c>
      <x:c r="K12" s="31" t="n">
        <x:v>0</x:v>
      </x:c>
      <x:c r="L12" s="31" t="n">
        <x:v>305.2</x:v>
      </x:c>
      <x:c r="M12" s="31" t="n">
        <x:v>1148.0305372207001</x:v>
      </x:c>
      <x:c r="N12" s="24" t="str">
        <x:v>sardina pilchardus</x:v>
      </x:c>
      <x:c r="O12" s="32" t="n">
        <x:v>3.06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Sardina pilchardus</x:v>
      </x:c>
      <x:c r="T12" s="32" t="n">
        <x:f>IF(O12="","",(1/'Metadata'!$B$5)^(O12-1))</x:f>
        <x:v>114.81536214968828</x:v>
      </x:c>
      <x:c r="U12" s="31" t="n">
        <x:f>IF(T12="","",I12*T12)</x:f>
        <x:v>166853.19041798072</x:v>
      </x:c>
    </x:row>
    <x:row r="13" ht="18" customHeight="1">
      <x:c r="A13" s="24" t="str">
        <x:v>EEZ_918</x:v>
      </x:c>
      <x:c r="B13" s="24" t="str">
        <x:v>France (Mediterranean)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1404.4752186102</x:v>
      </x:c>
      <x:c r="J13" s="31" t="n">
        <x:v>1404.4752186102</x:v>
      </x:c>
      <x:c r="K13" s="31" t="n">
        <x:v>0</x:v>
      </x:c>
      <x:c r="L13" s="31" t="n">
        <x:v>0</x:v>
      </x:c>
      <x:c r="M13" s="31" t="n">
        <x:v>1404.4752186102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286757.0346184478</x:v>
      </x:c>
    </x:row>
    <x:row r="14" ht="18" customHeight="1">
      <x:c r="A14" s="24" t="str">
        <x:v>EEZ_918</x:v>
      </x:c>
      <x:c r="B14" s="24" t="str">
        <x:v>France (Mediterranean)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1400.6624090968</x:v>
      </x:c>
      <x:c r="J14" s="31" t="n">
        <x:v>1400.6624090968</x:v>
      </x:c>
      <x:c r="K14" s="31" t="n">
        <x:v>0</x:v>
      </x:c>
      <x:c r="L14" s="31" t="n">
        <x:v>0</x:v>
      </x:c>
      <x:c r="M14" s="31" t="n">
        <x:v>1400.6624090968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1337622.2162063676</x:v>
      </x:c>
    </x:row>
    <x:row r="15" ht="18" customHeight="1">
      <x:c r="A15" s="24" t="str">
        <x:v>EEZ_918</x:v>
      </x:c>
      <x:c r="B15" s="24" t="str">
        <x:v>France (Mediterranean)</x:v>
      </x:c>
      <x:c r="C15" s="24" t="str">
        <x:v>EEZ</x:v>
      </x:c>
      <x:c r="D15" s="30" t="n">
        <x:v>2019</x:v>
      </x:c>
      <x:c r="E15" s="24" t="str">
        <x:v>Gadidae</x:v>
      </x:c>
      <x:c r="F15" s="24" t="str">
        <x:v>Cods, haddocks</x:v>
      </x:c>
      <x:c r="G15" s="24" t="str">
        <x:v>Medium demersals (30 - 89 cm)</x:v>
      </x:c>
      <x:c r="H15" s="24" t="str">
        <x:v>Cod-likes</x:v>
      </x:c>
      <x:c r="I15" s="31" t="n">
        <x:v>1400.6624090968</x:v>
      </x:c>
      <x:c r="J15" s="31" t="n">
        <x:v>1400.6624090968</x:v>
      </x:c>
      <x:c r="K15" s="31" t="n">
        <x:v>0</x:v>
      </x:c>
      <x:c r="L15" s="31" t="n">
        <x:v>0</x:v>
      </x:c>
      <x:c r="M15" s="31" t="n">
        <x:v>1400.6624090968</x:v>
      </x:c>
      <x:c r="N15" s="24" t="str">
        <x:v>gadidae</x:v>
      </x:c>
      <x:c r="O15" s="32" t="n">
        <x:v>3.84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Gadidae</x:v>
      </x:c>
      <x:c r="T15" s="32" t="n">
        <x:f>IF(O15="","",(1/'Metadata'!$B$5)^(O15-1))</x:f>
        <x:v>691.8309709189363</x:v>
      </x:c>
      <x:c r="U15" s="31" t="n">
        <x:f>IF(T15="","",I15*T15)</x:f>
        <x:v>969021.6344150954</x:v>
      </x:c>
    </x:row>
    <x:row r="16" ht="18" customHeight="1">
      <x:c r="A16" s="24" t="str">
        <x:v>EEZ_918</x:v>
      </x:c>
      <x:c r="B16" s="24" t="str">
        <x:v>France (Mediterranean)</x:v>
      </x:c>
      <x:c r="C16" s="24" t="str">
        <x:v>EEZ</x:v>
      </x:c>
      <x:c r="D16" s="30" t="n">
        <x:v>2019</x:v>
      </x:c>
      <x:c r="E16" s="24" t="str">
        <x:v>Mugilidae</x:v>
      </x:c>
      <x:c r="F16" s="24" t="str">
        <x:v>Mullets, grey mullets</x:v>
      </x:c>
      <x:c r="G16" s="24" t="str">
        <x:v>Medium reef assoc. fish (30 - 89 cm)</x:v>
      </x:c>
      <x:c r="H16" s="24" t="str">
        <x:v>Perch-likes</x:v>
      </x:c>
      <x:c r="I16" s="31" t="n">
        <x:v>1030.4983099847</x:v>
      </x:c>
      <x:c r="J16" s="31" t="n">
        <x:v>740.112362722</x:v>
      </x:c>
      <x:c r="K16" s="31" t="n">
        <x:v>290.38594726270003</x:v>
      </x:c>
      <x:c r="L16" s="31" t="n">
        <x:v>308.6</x:v>
      </x:c>
      <x:c r="M16" s="31" t="n">
        <x:v>721.8983099847001</x:v>
      </x:c>
      <x:c r="N16" s="24" t="str">
        <x:v>mugilidae</x:v>
      </x:c>
      <x:c r="O16" s="32" t="n">
        <x:v>2.53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Mugilidae</x:v>
      </x:c>
      <x:c r="T16" s="32" t="n">
        <x:f>IF(O16="","",(1/'Metadata'!$B$5)^(O16-1))</x:f>
        <x:v>33.88441561392024</x:v>
      </x:c>
      <x:c r="U16" s="31" t="n">
        <x:f>IF(T16="","",I16*T16)</x:f>
        <x:v>34917.833024963984</x:v>
      </x:c>
    </x:row>
    <x:row r="17" ht="18" customHeight="1">
      <x:c r="A17" s="24" t="str">
        <x:v>EEZ_918</x:v>
      </x:c>
      <x:c r="B17" s="24" t="str">
        <x:v>France (Mediterranean)</x:v>
      </x:c>
      <x:c r="C17" s="24" t="str">
        <x:v>EEZ</x:v>
      </x:c>
      <x:c r="D17" s="30" t="n">
        <x:v>2019</x:v>
      </x:c>
      <x:c r="E17" s="24" t="str">
        <x:v>Mullus surmuletus</x:v>
      </x:c>
      <x:c r="F17" s="24" t="str">
        <x:v>Surmullet</x:v>
      </x:c>
      <x:c r="G17" s="24" t="str">
        <x:v>Medium demersals (30 - 89 cm)</x:v>
      </x:c>
      <x:c r="H17" s="24" t="str">
        <x:v>Perch-likes</x:v>
      </x:c>
      <x:c r="I17" s="31" t="n">
        <x:v>910.7633386636</x:v>
      </x:c>
      <x:c r="J17" s="31" t="n">
        <x:v>910.7633386636</x:v>
      </x:c>
      <x:c r="K17" s="31" t="n">
        <x:v>0</x:v>
      </x:c>
      <x:c r="L17" s="31" t="n">
        <x:v>246.00000000000003</x:v>
      </x:c>
      <x:c r="M17" s="31" t="n">
        <x:v>664.7633386635999</x:v>
      </x:c>
      <x:c r="N17" s="24" t="str">
        <x:v>mullus surmuletus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surmuletus</x:v>
      </x:c>
      <x:c r="T17" s="32" t="n">
        <x:f>IF(O17="","",(1/'Metadata'!$B$5)^(O17-1))</x:f>
        <x:v>281.8382931264455</x:v>
      </x:c>
      <x:c r="U17" s="31" t="n">
        <x:f>IF(T17="","",I17*T17)</x:f>
        <x:v>256687.98481109185</x:v>
      </x:c>
    </x:row>
    <x:row r="18" ht="18" customHeight="1">
      <x:c r="A18" s="24" t="str">
        <x:v>EEZ_918</x:v>
      </x:c>
      <x:c r="B18" s="24" t="str">
        <x:v>France (Mediterranean)</x:v>
      </x:c>
      <x:c r="C18" s="24" t="str">
        <x:v>EEZ</x:v>
      </x:c>
      <x:c r="D18" s="30" t="n">
        <x:v>2019</x:v>
      </x:c>
      <x:c r="E18" s="24" t="str">
        <x:v>Chelidonichthys cuculus</x:v>
      </x:c>
      <x:c r="F18" s="24" t="str">
        <x:v>Red gurnard</x:v>
      </x:c>
      <x:c r="G18" s="24" t="str">
        <x:v>Medium demersals (30 - 89 cm)</x:v>
      </x:c>
      <x:c r="H18" s="24" t="str">
        <x:v>Scorpionfishes</x:v>
      </x:c>
      <x:c r="I18" s="31" t="n">
        <x:v>810.3982509701</x:v>
      </x:c>
      <x:c r="J18" s="31" t="n">
        <x:v>810.3982509701</x:v>
      </x:c>
      <x:c r="K18" s="31" t="n">
        <x:v>0</x:v>
      </x:c>
      <x:c r="L18" s="31" t="n">
        <x:v>293</x:v>
      </x:c>
      <x:c r="M18" s="31" t="n">
        <x:v>517.3982509701</x:v>
      </x:c>
      <x:c r="N18" s="24" t="str">
        <x:v>chelidonichthys cuculus</x:v>
      </x:c>
      <x:c r="O18" s="32" t="n">
        <x:v>3.81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Chelidonichthys cuculus</x:v>
      </x:c>
      <x:c r="T18" s="32" t="n">
        <x:f>IF(O18="","",(1/'Metadata'!$B$5)^(O18-1))</x:f>
        <x:v>645.6542290346556</x:v>
      </x:c>
      <x:c r="U18" s="31" t="n">
        <x:f>IF(T18="","",I18*T18)</x:f>
        <x:v>523237.0579411332</x:v>
      </x:c>
    </x:row>
    <x:row r="19" ht="18" customHeight="1">
      <x:c r="A19" s="24" t="str">
        <x:v>EEZ_918</x:v>
      </x:c>
      <x:c r="B19" s="24" t="str">
        <x:v>France (Mediterranean)</x:v>
      </x:c>
      <x:c r="C19" s="24" t="str">
        <x:v>EEZ</x:v>
      </x:c>
      <x:c r="D19" s="30" t="n">
        <x:v>2019</x:v>
      </x:c>
      <x:c r="E19" s="24" t="str">
        <x:v>Trachurus trachurus</x:v>
      </x:c>
      <x:c r="F19" s="24" t="str">
        <x:v>Atlantic horse mackerel</x:v>
      </x:c>
      <x:c r="G19" s="24" t="str">
        <x:v>Medium pelagics (30 - 89 cm)</x:v>
      </x:c>
      <x:c r="H19" s="24" t="str">
        <x:v>Perch-likes</x:v>
      </x:c>
      <x:c r="I19" s="31" t="n">
        <x:v>766.3747121961</x:v>
      </x:c>
      <x:c r="J19" s="31" t="n">
        <x:v>766.3747121961</x:v>
      </x:c>
      <x:c r="K19" s="31" t="n">
        <x:v>0</x:v>
      </x:c>
      <x:c r="L19" s="31" t="n">
        <x:v>0</x:v>
      </x:c>
      <x:c r="M19" s="31" t="n">
        <x:v>766.3747121961</x:v>
      </x:c>
      <x:c r="N19" s="24" t="str">
        <x:v>trachurus trachurus</x:v>
      </x:c>
      <x:c r="O19" s="32" t="n">
        <x:v>3.71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Trachurus trachurus</x:v>
      </x:c>
      <x:c r="T19" s="32" t="n">
        <x:f>IF(O19="","",(1/'Metadata'!$B$5)^(O19-1))</x:f>
        <x:v>512.8613839913648</x:v>
      </x:c>
      <x:c r="U19" s="31" t="n">
        <x:f>IF(T19="","",I19*T19)</x:f>
        <x:v>393043.99555287574</x:v>
      </x:c>
    </x:row>
    <x:row r="20" ht="18" customHeight="1">
      <x:c r="A20" s="24" t="str">
        <x:v>EEZ_918</x:v>
      </x:c>
      <x:c r="B20" s="24" t="str">
        <x:v>France (Mediterranean)</x:v>
      </x:c>
      <x:c r="C20" s="24" t="str">
        <x:v>EEZ</x:v>
      </x:c>
      <x:c r="D20" s="30" t="n">
        <x:v>2019</x:v>
      </x:c>
      <x:c r="E20" s="24" t="str">
        <x:v>Gastropoda</x:v>
      </x:c>
      <x:c r="F20" s="24" t="str">
        <x:v>Sea snails</x:v>
      </x:c>
      <x:c r="G20" s="24" t="str">
        <x:v>Other demersal invertebrates</x:v>
      </x:c>
      <x:c r="H20" s="24" t="str">
        <x:v>Molluscs</x:v>
      </x:c>
      <x:c r="I20" s="31" t="n">
        <x:v>697.8101486327</x:v>
      </x:c>
      <x:c r="J20" s="31" t="n">
        <x:v>697.8101486327</x:v>
      </x:c>
      <x:c r="K20" s="31" t="n">
        <x:v>0</x:v>
      </x:c>
      <x:c r="L20" s="31" t="n">
        <x:v>387</x:v>
      </x:c>
      <x:c r="M20" s="31" t="n">
        <x:v>310.8101486327</x:v>
      </x:c>
      <x:c r="N20" s="24" t="str">
        <x:v>gastropoda</x:v>
      </x:c>
      <x:c r="O20" s="32" t="n">
        <x:v>3.06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Gastropoda</x:v>
      </x:c>
      <x:c r="T20" s="32" t="n">
        <x:f>IF(O20="","",(1/'Metadata'!$B$5)^(O20-1))</x:f>
        <x:v>114.81536214968828</x:v>
      </x:c>
      <x:c r="U20" s="31" t="n">
        <x:f>IF(T20="","",I20*T20)</x:f>
        <x:v>80119.32492699126</x:v>
      </x:c>
    </x:row>
    <x:row r="21" ht="18" customHeight="1">
      <x:c r="A21" s="24" t="str">
        <x:v>EEZ_918</x:v>
      </x:c>
      <x:c r="B21" s="24" t="str">
        <x:v>France (Mediterranean)</x:v>
      </x:c>
      <x:c r="C21" s="24" t="str">
        <x:v>EEZ</x:v>
      </x:c>
      <x:c r="D21" s="30" t="n">
        <x:v>2019</x:v>
      </x:c>
      <x:c r="E21" s="24" t="str">
        <x:v>Anguilla anguilla</x:v>
      </x:c>
      <x:c r="F21" s="24" t="str">
        <x:v>European eel</x:v>
      </x:c>
      <x:c r="G21" s="24" t="str">
        <x:v>Large demersals (&gt;=90 cm)</x:v>
      </x:c>
      <x:c r="H21" s="24" t="str">
        <x:v>Other fishes &amp; inverts</x:v>
      </x:c>
      <x:c r="I21" s="31" t="n">
        <x:v>655.6363458599</x:v>
      </x:c>
      <x:c r="J21" s="31" t="n">
        <x:v>655.6363458599</x:v>
      </x:c>
      <x:c r="K21" s="31" t="n">
        <x:v>0</x:v>
      </x:c>
      <x:c r="L21" s="31" t="n">
        <x:v>233.39999999999998</x:v>
      </x:c>
      <x:c r="M21" s="31" t="n">
        <x:v>422.23634585990004</x:v>
      </x:c>
      <x:c r="N21" s="24" t="str">
        <x:v>anguilla anguilla</x:v>
      </x:c>
      <x:c r="O21" s="32" t="n">
        <x:v>3.55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Anguilla anguilla</x:v>
      </x:c>
      <x:c r="T21" s="32" t="n">
        <x:f>IF(O21="","",(1/'Metadata'!$B$5)^(O21-1))</x:f>
        <x:v>354.8133892335753</x:v>
      </x:c>
      <x:c r="U21" s="31" t="n">
        <x:f>IF(T21="","",I21*T21)</x:f>
        <x:v>232628.5539792677</x:v>
      </x:c>
    </x:row>
    <x:row r="22" ht="18" customHeight="1">
      <x:c r="A22" s="24" t="str">
        <x:v>EEZ_918</x:v>
      </x:c>
      <x:c r="B22" s="24" t="str">
        <x:v>France (Mediterranean)</x:v>
      </x:c>
      <x:c r="C22" s="24" t="str">
        <x:v>EEZ</x:v>
      </x:c>
      <x:c r="D22" s="30" t="n">
        <x:v>2019</x:v>
      </x:c>
      <x:c r="E22" s="24" t="str">
        <x:v>Illex coindetii</x:v>
      </x:c>
      <x:c r="F22" s="24" t="str">
        <x:v>Broadtail shortfin squid</x:v>
      </x:c>
      <x:c r="G22" s="24" t="str">
        <x:v>Cephalopods</x:v>
      </x:c>
      <x:c r="H22" s="24" t="str">
        <x:v>Other fishes &amp; inverts</x:v>
      </x:c>
      <x:c r="I22" s="31" t="n">
        <x:v>624.418239876</x:v>
      </x:c>
      <x:c r="J22" s="31" t="n">
        <x:v>624.418239876</x:v>
      </x:c>
      <x:c r="K22" s="31" t="n">
        <x:v>0</x:v>
      </x:c>
      <x:c r="L22" s="31" t="n">
        <x:v>212.3</x:v>
      </x:c>
      <x:c r="M22" s="31" t="n">
        <x:v>412.118239876</x:v>
      </x:c>
      <x:c r="N22" s="24" t="str">
        <x:v>illex coindetii</x:v>
      </x:c>
      <x:c r="O22" s="32" t="n">
        <x:v>4.11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Illex coindetii</x:v>
      </x:c>
      <x:c r="T22" s="32" t="n">
        <x:f>IF(O22="","",(1/'Metadata'!$B$5)^(O22-1))</x:f>
        <x:v>1288.249551693135</x:v>
      </x:c>
      <x:c r="U22" s="31" t="n">
        <x:f>IF(T22="","",I22*T22)</x:f>
        <x:v>804406.5175892734</x:v>
      </x:c>
    </x:row>
    <x:row r="23" ht="18" customHeight="1">
      <x:c r="A23" s="24" t="str">
        <x:v>EEZ_918</x:v>
      </x:c>
      <x:c r="B23" s="24" t="str">
        <x:v>France (Mediterranean)</x:v>
      </x:c>
      <x:c r="C23" s="24" t="str">
        <x:v>EEZ</x:v>
      </x:c>
      <x:c r="D23" s="30" t="n">
        <x:v>2019</x:v>
      </x:c>
      <x:c r="E23" s="24" t="str">
        <x:v>Boops boops</x:v>
      </x:c>
      <x:c r="F23" s="24" t="str">
        <x:v>Bogue</x:v>
      </x:c>
      <x:c r="G23" s="24" t="str">
        <x:v>Medium demersals (30 - 89 cm)</x:v>
      </x:c>
      <x:c r="H23" s="24" t="str">
        <x:v>Perch-likes</x:v>
      </x:c>
      <x:c r="I23" s="31" t="n">
        <x:v>613.4292677494</x:v>
      </x:c>
      <x:c r="J23" s="31" t="n">
        <x:v>613.4292677494</x:v>
      </x:c>
      <x:c r="K23" s="31" t="n">
        <x:v>0</x:v>
      </x:c>
      <x:c r="L23" s="31" t="n">
        <x:v>137.4</x:v>
      </x:c>
      <x:c r="M23" s="31" t="n">
        <x:v>476.0292677494</x:v>
      </x:c>
      <x:c r="N23" s="24" t="str">
        <x:v>boops boops</x:v>
      </x:c>
      <x:c r="O23" s="32" t="n">
        <x:v>2.79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Boops boops</x:v>
      </x:c>
      <x:c r="T23" s="32" t="n">
        <x:f>IF(O23="","",(1/'Metadata'!$B$5)^(O23-1))</x:f>
        <x:v>61.65950018614822</x:v>
      </x:c>
      <x:c r="U23" s="31" t="n">
        <x:f>IF(T23="","",I23*T23)</x:f>
        <x:v>37823.742048982895</x:v>
      </x:c>
    </x:row>
    <x:row r="24" ht="18" customHeight="1">
      <x:c r="A24" s="24" t="str">
        <x:v>EEZ_918</x:v>
      </x:c>
      <x:c r="B24" s="24" t="str">
        <x:v>France (Mediterranean)</x:v>
      </x:c>
      <x:c r="C24" s="24" t="str">
        <x:v>EEZ</x:v>
      </x:c>
      <x:c r="D24" s="30" t="n">
        <x:v>2019</x:v>
      </x:c>
      <x:c r="E24" s="24" t="str">
        <x:v>Carangidae</x:v>
      </x:c>
      <x:c r="F24" s="24" t="str">
        <x:v>Jacks, pompanos</x:v>
      </x:c>
      <x:c r="G24" s="24" t="str">
        <x:v>Medium pelagics (30 - 89 cm)</x:v>
      </x:c>
      <x:c r="H24" s="24" t="str">
        <x:v>Perch-likes</x:v>
      </x:c>
      <x:c r="I24" s="31" t="n">
        <x:v>582.1906158245</x:v>
      </x:c>
      <x:c r="J24" s="31" t="n">
        <x:v>291.8046685618</x:v>
      </x:c>
      <x:c r="K24" s="31" t="n">
        <x:v>290.38594726270003</x:v>
      </x:c>
      <x:c r="L24" s="31" t="n">
        <x:v>0</x:v>
      </x:c>
      <x:c r="M24" s="31" t="n">
        <x:v>582.1906158245</x:v>
      </x:c>
      <x:c r="N24" s="24" t="str">
        <x:v>carangidae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Carangidae</x:v>
      </x:c>
      <x:c r="T24" s="32" t="n">
        <x:f>IF(O24="","",(1/'Metadata'!$B$5)^(O24-1))</x:f>
        <x:v>1122.018454301963</x:v>
      </x:c>
      <x:c r="U24" s="31" t="n">
        <x:f>IF(T24="","",I24*T24)</x:f>
        <x:v>653228.6148765135</x:v>
      </x:c>
    </x:row>
    <x:row r="25" ht="18" customHeight="1">
      <x:c r="A25" s="24" t="str">
        <x:v>EEZ_918</x:v>
      </x:c>
      <x:c r="B25" s="24" t="str">
        <x:v>France (Mediterranean)</x:v>
      </x:c>
      <x:c r="C25" s="24" t="str">
        <x:v>EEZ</x:v>
      </x:c>
      <x:c r="D25" s="30" t="n">
        <x:v>2019</x:v>
      </x:c>
      <x:c r="E25" s="24" t="str">
        <x:v>Chelon labrosus</x:v>
      </x:c>
      <x:c r="F25" s="24" t="str">
        <x:v>Thicklip grey mullet</x:v>
      </x:c>
      <x:c r="G25" s="24" t="str">
        <x:v>Medium demersals (30 - 89 cm)</x:v>
      </x:c>
      <x:c r="H25" s="24" t="str">
        <x:v>Perch-likes</x:v>
      </x:c>
      <x:c r="I25" s="31" t="n">
        <x:v>580.3745488756</x:v>
      </x:c>
      <x:c r="J25" s="31" t="n">
        <x:v>580.3745488756</x:v>
      </x:c>
      <x:c r="K25" s="31" t="n">
        <x:v>0</x:v>
      </x:c>
      <x:c r="L25" s="31" t="n">
        <x:v>263.6</x:v>
      </x:c>
      <x:c r="M25" s="31" t="n">
        <x:v>316.77454887560003</x:v>
      </x:c>
      <x:c r="N25" s="24" t="str">
        <x:v>chelon labrosus</x:v>
      </x:c>
      <x:c r="O25" s="32" t="n">
        <x:v>2.59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Chelon labrosus</x:v>
      </x:c>
      <x:c r="T25" s="32" t="n">
        <x:f>IF(O25="","",(1/'Metadata'!$B$5)^(O25-1))</x:f>
        <x:v>38.904514499428046</x:v>
      </x:c>
      <x:c r="U25" s="31" t="n">
        <x:f>IF(T25="","",I25*T25)</x:f>
        <x:v>22579.19005182979</x:v>
      </x:c>
    </x:row>
    <x:row r="26" ht="18" customHeight="1">
      <x:c r="A26" s="24" t="str">
        <x:v>EEZ_918</x:v>
      </x:c>
      <x:c r="B26" s="24" t="str">
        <x:v>France (Mediterranean)</x:v>
      </x:c>
      <x:c r="C26" s="24" t="str">
        <x:v>EEZ</x:v>
      </x:c>
      <x:c r="D26" s="30" t="n">
        <x:v>2019</x:v>
      </x:c>
      <x:c r="E26" s="24" t="str">
        <x:v>Triglidae</x:v>
      </x:c>
      <x:c r="F26" s="24" t="str">
        <x:v>Searobins, gurnards</x:v>
      </x:c>
      <x:c r="G26" s="24" t="str">
        <x:v>Medium demersals (30 - 89 cm)</x:v>
      </x:c>
      <x:c r="H26" s="24" t="str">
        <x:v>Scorpionfishes</x:v>
      </x:c>
      <x:c r="I26" s="31" t="n">
        <x:v>545.4774847911</x:v>
      </x:c>
      <x:c r="J26" s="31" t="n">
        <x:v>545.4774847911</x:v>
      </x:c>
      <x:c r="K26" s="31" t="n">
        <x:v>0</x:v>
      </x:c>
      <x:c r="L26" s="31" t="n">
        <x:v>206.9</x:v>
      </x:c>
      <x:c r="M26" s="31" t="n">
        <x:v>338.5774847911</x:v>
      </x:c>
      <x:c r="N26" s="24" t="str">
        <x:v>triglidae</x:v>
      </x:c>
      <x:c r="O26" s="32" t="n">
        <x:v>3.74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Triglidae</x:v>
      </x:c>
      <x:c r="T26" s="32" t="n">
        <x:f>IF(O26="","",(1/'Metadata'!$B$5)^(O26-1))</x:f>
        <x:v>549.5408738576248</x:v>
      </x:c>
      <x:c r="U26" s="31" t="n">
        <x:f>IF(T26="","",I26*T26)</x:f>
        <x:v>299762.1736617603</x:v>
      </x:c>
    </x:row>
    <x:row r="27" ht="18" customHeight="1">
      <x:c r="A27" s="24" t="str">
        <x:v>EEZ_918</x:v>
      </x:c>
      <x:c r="B27" s="24" t="str">
        <x:v>France (Mediterranean)</x:v>
      </x:c>
      <x:c r="C27" s="24" t="str">
        <x:v>EEZ</x:v>
      </x:c>
      <x:c r="D27" s="30" t="n">
        <x:v>2019</x:v>
      </x:c>
      <x:c r="E27" s="24" t="str">
        <x:v>Trachurus</x:v>
      </x:c>
      <x:c r="F27" s="24" t="str">
        <x:v>Jacks, horse mackerels</x:v>
      </x:c>
      <x:c r="G27" s="24" t="str">
        <x:v>Medium pelagics (30 - 89 cm)</x:v>
      </x:c>
      <x:c r="H27" s="24" t="str">
        <x:v>Perch-likes</x:v>
      </x:c>
      <x:c r="I27" s="31" t="n">
        <x:v>533.3601023566</x:v>
      </x:c>
      <x:c r="J27" s="31" t="n">
        <x:v>533.3601023566</x:v>
      </x:c>
      <x:c r="K27" s="31" t="n">
        <x:v>0</x:v>
      </x:c>
      <x:c r="L27" s="31" t="n">
        <x:v>524.4</x:v>
      </x:c>
      <x:c r="M27" s="31" t="n">
        <x:v>8.9601023566</x:v>
      </x:c>
      <x:c r="N27" s="24" t="str">
        <x:v>trachurus</x:v>
      </x:c>
      <x:c r="O27" s="32" t="n">
        <x:v>3.69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Trachurus</x:v>
      </x:c>
      <x:c r="T27" s="32" t="n">
        <x:f>IF(O27="","",(1/'Metadata'!$B$5)^(O27-1))</x:f>
        <x:v>489.77881936844614</x:v>
      </x:c>
      <x:c r="U27" s="31" t="n">
        <x:f>IF(T27="","",I27*T27)</x:f>
        <x:v>261228.48123044914</x:v>
      </x:c>
    </x:row>
    <x:row r="28" ht="18" customHeight="1">
      <x:c r="A28" s="24" t="str">
        <x:v>EEZ_918</x:v>
      </x:c>
      <x:c r="B28" s="24" t="str">
        <x:v>France (Mediterranean)</x:v>
      </x:c>
      <x:c r="C28" s="24" t="str">
        <x:v>EEZ</x:v>
      </x:c>
      <x:c r="D28" s="30" t="n">
        <x:v>2019</x:v>
      </x:c>
      <x:c r="E28" s="24" t="str">
        <x:v>Loligo</x:v>
      </x:c>
      <x:c r="F28" s="24" t="str">
        <x:v>Common squids</x:v>
      </x:c>
      <x:c r="G28" s="24" t="str">
        <x:v>Cephalopods</x:v>
      </x:c>
      <x:c r="H28" s="24" t="str">
        <x:v>Other fishes &amp; inverts</x:v>
      </x:c>
      <x:c r="I28" s="31" t="n">
        <x:v>519.8809786028</x:v>
      </x:c>
      <x:c r="J28" s="31" t="n">
        <x:v>519.8809786028</x:v>
      </x:c>
      <x:c r="K28" s="31" t="n">
        <x:v>0</x:v>
      </x:c>
      <x:c r="L28" s="31" t="n">
        <x:v>81.3</x:v>
      </x:c>
      <x:c r="M28" s="31" t="n">
        <x:v>438.58097860280003</x:v>
      </x:c>
      <x:c r="N28" s="24" t="str">
        <x:v>loligo</x:v>
      </x:c>
      <x:c r="O28" s="32" t="n">
        <x:v>3.99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Loligo</x:v>
      </x:c>
      <x:c r="T28" s="32" t="n">
        <x:f>IF(O28="","",(1/'Metadata'!$B$5)^(O28-1))</x:f>
        <x:v>977.2372209558112</x:v>
      </x:c>
      <x:c r="U28" s="31" t="n">
        <x:f>IF(T28="","",I28*T28)</x:f>
        <x:v>508047.04275758786</x:v>
      </x:c>
    </x:row>
    <x:row r="29" ht="18" customHeight="1">
      <x:c r="A29" s="24" t="str">
        <x:v>EEZ_918</x:v>
      </x:c>
      <x:c r="B29" s="24" t="str">
        <x:v>France (Mediterranean)</x:v>
      </x:c>
      <x:c r="C29" s="24" t="str">
        <x:v>EEZ</x:v>
      </x:c>
      <x:c r="D29" s="30" t="n">
        <x:v>2019</x:v>
      </x:c>
      <x:c r="E29" s="24" t="str">
        <x:v>Pagellus erythrinus</x:v>
      </x:c>
      <x:c r="F29" s="24" t="str">
        <x:v>Common pandora</x:v>
      </x:c>
      <x:c r="G29" s="24" t="str">
        <x:v>Medium benthopelagics (30 - 89 cm)</x:v>
      </x:c>
      <x:c r="H29" s="24" t="str">
        <x:v>Perch-likes</x:v>
      </x:c>
      <x:c r="I29" s="31" t="n">
        <x:v>469.4262467377</x:v>
      </x:c>
      <x:c r="J29" s="31" t="n">
        <x:v>469.4262467377</x:v>
      </x:c>
      <x:c r="K29" s="31" t="n">
        <x:v>0</x:v>
      </x:c>
      <x:c r="L29" s="31" t="n">
        <x:v>146.1</x:v>
      </x:c>
      <x:c r="M29" s="31" t="n">
        <x:v>323.3262467377</x:v>
      </x:c>
      <x:c r="N29" s="24" t="str">
        <x:v>pagellus erythrinus</x:v>
      </x:c>
      <x:c r="O29" s="32" t="n">
        <x:v>3.48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Pagellus erythrinus</x:v>
      </x:c>
      <x:c r="T29" s="32" t="n">
        <x:f>IF(O29="","",(1/'Metadata'!$B$5)^(O29-1))</x:f>
        <x:v>301.9951720402016</x:v>
      </x:c>
      <x:c r="U29" s="31" t="n">
        <x:f>IF(T29="","",I29*T29)</x:f>
        <x:v>141764.46014373784</x:v>
      </x:c>
    </x:row>
    <x:row r="30" ht="18" customHeight="1">
      <x:c r="A30" s="24" t="str">
        <x:v>EEZ_918</x:v>
      </x:c>
      <x:c r="B30" s="24" t="str">
        <x:v>France (Mediterranean)</x:v>
      </x:c>
      <x:c r="C30" s="24" t="str">
        <x:v>EEZ</x:v>
      </x:c>
      <x:c r="D30" s="30" t="n">
        <x:v>2019</x:v>
      </x:c>
      <x:c r="E30" s="24" t="str">
        <x:v>Scorpaenidae</x:v>
      </x:c>
      <x:c r="F30" s="24" t="str">
        <x:v>Scorpionfishes, rockfishes</x:v>
      </x:c>
      <x:c r="G30" s="24" t="str">
        <x:v>Large reef assoc. fish (&gt;=90 cm)</x:v>
      </x:c>
      <x:c r="H30" s="24" t="str">
        <x:v>Scorpionfishes</x:v>
      </x:c>
      <x:c r="I30" s="31" t="n">
        <x:v>468.2864778569</x:v>
      </x:c>
      <x:c r="J30" s="31" t="n">
        <x:v>468.2864778569</x:v>
      </x:c>
      <x:c r="K30" s="31" t="n">
        <x:v>0</x:v>
      </x:c>
      <x:c r="L30" s="31" t="n">
        <x:v>92.6</x:v>
      </x:c>
      <x:c r="M30" s="31" t="n">
        <x:v>375.68647785689996</x:v>
      </x:c>
      <x:c r="N30" s="24" t="str">
        <x:v>scorpaenidae</x:v>
      </x:c>
      <x:c r="O30" s="32" t="n">
        <x:v>3.92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Scorpaenidae</x:v>
      </x:c>
      <x:c r="T30" s="32" t="n">
        <x:f>IF(O30="","",(1/'Metadata'!$B$5)^(O30-1))</x:f>
        <x:v>831.7637711026708</x:v>
      </x:c>
      <x:c r="U30" s="31" t="n">
        <x:f>IF(T30="","",I30*T30)</x:f>
        <x:v>389503.7267786425</x:v>
      </x:c>
    </x:row>
    <x:row r="31" ht="18" customHeight="1">
      <x:c r="A31" s="24" t="str">
        <x:v>EEZ_918</x:v>
      </x:c>
      <x:c r="B31" s="24" t="str">
        <x:v>France (Mediterranean)</x:v>
      </x:c>
      <x:c r="C31" s="24" t="str">
        <x:v>EEZ</x:v>
      </x:c>
      <x:c r="D31" s="30" t="n">
        <x:v>2019</x:v>
      </x:c>
      <x:c r="E31" s="24" t="str">
        <x:v>Sepia officinalis</x:v>
      </x:c>
      <x:c r="F31" s="24" t="str">
        <x:v>Common cuttlefish</x:v>
      </x:c>
      <x:c r="G31" s="24" t="str">
        <x:v>Cephalopods</x:v>
      </x:c>
      <x:c r="H31" s="24" t="str">
        <x:v>Other fishes &amp; inverts</x:v>
      </x:c>
      <x:c r="I31" s="31" t="n">
        <x:v>451.5803022658</x:v>
      </x:c>
      <x:c r="J31" s="31" t="n">
        <x:v>451.5803022658</x:v>
      </x:c>
      <x:c r="K31" s="31" t="n">
        <x:v>0</x:v>
      </x:c>
      <x:c r="L31" s="31" t="n">
        <x:v>222.00000000000003</x:v>
      </x:c>
      <x:c r="M31" s="31" t="n">
        <x:v>229.5803022658</x:v>
      </x:c>
      <x:c r="N31" s="24" t="str">
        <x:v>sepia officinalis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Sepia officinalis</x:v>
      </x:c>
      <x:c r="T31" s="32" t="n">
        <x:f>IF(O31="","",(1/'Metadata'!$B$5)^(O31-1))</x:f>
        <x:v>1862.0871366628655</x:v>
      </x:c>
      <x:c r="U31" s="31" t="n">
        <x:f>IF(T31="","",I31*T31)</x:f>
        <x:v>840881.8720194749</x:v>
      </x:c>
    </x:row>
    <x:row r="32" ht="18" customHeight="1">
      <x:c r="A32" s="24" t="str">
        <x:v>EEZ_918</x:v>
      </x:c>
      <x:c r="B32" s="24" t="str">
        <x:v>France (Mediterranean)</x:v>
      </x:c>
      <x:c r="C32" s="24" t="str">
        <x:v>EEZ</x:v>
      </x:c>
      <x:c r="D32" s="30" t="n">
        <x:v>2019</x:v>
      </x:c>
      <x:c r="E32" s="24" t="str">
        <x:v>Dicentrarchus labrax</x:v>
      </x:c>
      <x:c r="F32" s="24" t="str">
        <x:v>European seabass</x:v>
      </x:c>
      <x:c r="G32" s="24" t="str">
        <x:v>Large demersals (&gt;=90 cm)</x:v>
      </x:c>
      <x:c r="H32" s="24" t="str">
        <x:v>Perch-likes</x:v>
      </x:c>
      <x:c r="I32" s="31" t="n">
        <x:v>394.6892740733</x:v>
      </x:c>
      <x:c r="J32" s="31" t="n">
        <x:v>394.6892740733</x:v>
      </x:c>
      <x:c r="K32" s="31" t="n">
        <x:v>0</x:v>
      </x:c>
      <x:c r="L32" s="31" t="n">
        <x:v>189.70000000000002</x:v>
      </x:c>
      <x:c r="M32" s="31" t="n">
        <x:v>204.9892740733</x:v>
      </x:c>
      <x:c r="N32" s="24" t="str">
        <x:v>dicentrarchus labrax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Dicentrarchus labrax</x:v>
      </x:c>
      <x:c r="T32" s="32" t="n">
        <x:f>IF(O32="","",(1/'Metadata'!$B$5)^(O32-1))</x:f>
        <x:v>616.5950018614822</x:v>
      </x:c>
      <x:c r="U32" s="31" t="n">
        <x:f>IF(T32="","",I32*T32)</x:f>
        <x:v>243363.43368193344</x:v>
      </x:c>
    </x:row>
    <x:row r="33" ht="18" customHeight="1">
      <x:c r="A33" s="24" t="str">
        <x:v>EEZ_918</x:v>
      </x:c>
      <x:c r="B33" s="24" t="str">
        <x:v>France (Mediterranean)</x:v>
      </x:c>
      <x:c r="C33" s="24" t="str">
        <x:v>EEZ</x:v>
      </x:c>
      <x:c r="D33" s="30" t="n">
        <x:v>2019</x:v>
      </x:c>
      <x:c r="E33" s="24" t="str">
        <x:v>Solea solea</x:v>
      </x:c>
      <x:c r="F33" s="24" t="str">
        <x:v>Common sole</x:v>
      </x:c>
      <x:c r="G33" s="24" t="str">
        <x:v>Small to medium flatfishes (&lt;90 cm)</x:v>
      </x:c>
      <x:c r="H33" s="24" t="str">
        <x:v>Flatfishes</x:v>
      </x:c>
      <x:c r="I33" s="31" t="n">
        <x:v>390.3510087048</x:v>
      </x:c>
      <x:c r="J33" s="31" t="n">
        <x:v>390.3510087048</x:v>
      </x:c>
      <x:c r="K33" s="31" t="n">
        <x:v>0</x:v>
      </x:c>
      <x:c r="L33" s="31" t="n">
        <x:v>148.6</x:v>
      </x:c>
      <x:c r="M33" s="31" t="n">
        <x:v>241.7510087048</x:v>
      </x:c>
      <x:c r="N33" s="24" t="str">
        <x:v>solea solea</x:v>
      </x:c>
      <x:c r="O33" s="32" t="n">
        <x:v>3.21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Solea solea</x:v>
      </x:c>
      <x:c r="T33" s="32" t="n">
        <x:f>IF(O33="","",(1/'Metadata'!$B$5)^(O33-1))</x:f>
        <x:v>162.18100973589299</x:v>
      </x:c>
      <x:c r="U33" s="31" t="n">
        <x:f>IF(T33="","",I33*T33)</x:f>
        <x:v>63307.52074316882</x:v>
      </x:c>
    </x:row>
    <x:row r="34" ht="18" customHeight="1">
      <x:c r="A34" s="24" t="str">
        <x:v>EEZ_918</x:v>
      </x:c>
      <x:c r="B34" s="24" t="str">
        <x:v>France (Mediterranean)</x:v>
      </x:c>
      <x:c r="C34" s="24" t="str">
        <x:v>EEZ</x:v>
      </x:c>
      <x:c r="D34" s="30" t="n">
        <x:v>2019</x:v>
      </x:c>
      <x:c r="E34" s="24" t="str">
        <x:v>Thunnus thynnus</x:v>
      </x:c>
      <x:c r="F34" s="24" t="str">
        <x:v>Atlantic bluefin tuna</x:v>
      </x:c>
      <x:c r="G34" s="24" t="str">
        <x:v>Large pelagics (&gt;=90 cm)</x:v>
      </x:c>
      <x:c r="H34" s="24" t="str">
        <x:v>Tuna &amp; billfishes</x:v>
      </x:c>
      <x:c r="I34" s="31" t="n">
        <x:v>388.1867063419</x:v>
      </x:c>
      <x:c r="J34" s="31" t="n">
        <x:v>388.1867063419</x:v>
      </x:c>
      <x:c r="K34" s="31" t="n">
        <x:v>0</x:v>
      </x:c>
      <x:c r="L34" s="31" t="n">
        <x:v>388.1867063419</x:v>
      </x:c>
      <x:c r="M34" s="31" t="n">
        <x:v>0</x:v>
      </x:c>
      <x:c r="N34" s="24" t="str">
        <x:v>thunnus thynnus</x:v>
      </x:c>
      <x:c r="O34" s="32" t="n">
        <x:v>4.45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thynnus</x:v>
      </x:c>
      <x:c r="T34" s="32" t="n">
        <x:f>IF(O34="","",(1/'Metadata'!$B$5)^(O34-1))</x:f>
        <x:v>2818.382931264455</x:v>
      </x:c>
      <x:c r="U34" s="31" t="n">
        <x:f>IF(T34="","",I34*T34)</x:f>
        <x:v>1094058.7872977783</x:v>
      </x:c>
    </x:row>
    <x:row r="35" ht="18" customHeight="1">
      <x:c r="A35" s="24" t="str">
        <x:v>EEZ_918</x:v>
      </x:c>
      <x:c r="B35" s="24" t="str">
        <x:v>France (Mediterranean)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373.3780143489</x:v>
      </x:c>
      <x:c r="J35" s="31" t="n">
        <x:v>1.9064047568</x:v>
      </x:c>
      <x:c r="K35" s="31" t="n">
        <x:v>371.4716095921</x:v>
      </x:c>
      <x:c r="L35" s="31" t="n">
        <x:v>0</x:v>
      </x:c>
      <x:c r="M35" s="31" t="n">
        <x:v>373.3780143489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418937.02253008896</x:v>
      </x:c>
    </x:row>
    <x:row r="36" ht="18" customHeight="1">
      <x:c r="A36" s="24" t="str">
        <x:v>EEZ_918</x:v>
      </x:c>
      <x:c r="B36" s="24" t="str">
        <x:v>France (Mediterranean)</x:v>
      </x:c>
      <x:c r="C36" s="24" t="str">
        <x:v>EEZ</x:v>
      </x:c>
      <x:c r="D36" s="30" t="n">
        <x:v>2019</x:v>
      </x:c>
      <x:c r="E36" s="24" t="str">
        <x:v>Labridae</x:v>
      </x:c>
      <x:c r="F36" s="24" t="str">
        <x:v>Wrasses, gropers, tuskfishes</x:v>
      </x:c>
      <x:c r="G36" s="24" t="str">
        <x:v>Medium reef assoc. fish (30 - 89 cm)</x:v>
      </x:c>
      <x:c r="H36" s="24" t="str">
        <x:v>Perch-likes</x:v>
      </x:c>
      <x:c r="I36" s="31" t="n">
        <x:v>347.70446439399996</x:v>
      </x:c>
      <x:c r="J36" s="31" t="n">
        <x:v>347.70446439399996</x:v>
      </x:c>
      <x:c r="K36" s="31" t="n">
        <x:v>0</x:v>
      </x:c>
      <x:c r="L36" s="31" t="n">
        <x:v>44.5</x:v>
      </x:c>
      <x:c r="M36" s="31" t="n">
        <x:v>303.20446439399996</x:v>
      </x:c>
      <x:c r="N36" s="24" t="str">
        <x:v>labridae</x:v>
      </x:c>
      <x:c r="O36" s="32" t="n">
        <x:v>3.46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Labridae</x:v>
      </x:c>
      <x:c r="T36" s="32" t="n">
        <x:f>IF(O36="","",(1/'Metadata'!$B$5)^(O36-1))</x:f>
        <x:v>288.40315031266056</x:v>
      </x:c>
      <x:c r="U36" s="31" t="n">
        <x:f>IF(T36="","",I36*T36)</x:f>
        <x:v>100279.0629090059</x:v>
      </x:c>
    </x:row>
    <x:row r="37" ht="18" customHeight="1">
      <x:c r="A37" s="24" t="str">
        <x:v>EEZ_918</x:v>
      </x:c>
      <x:c r="B37" s="24" t="str">
        <x:v>France (Mediterranean)</x:v>
      </x:c>
      <x:c r="C37" s="24" t="str">
        <x:v>EEZ</x:v>
      </x:c>
      <x:c r="D37" s="30" t="n">
        <x:v>2019</x:v>
      </x:c>
      <x:c r="E37" s="24" t="str">
        <x:v>Rajidae</x:v>
      </x:c>
      <x:c r="F37" s="24" t="str">
        <x:v>Stingrays</x:v>
      </x:c>
      <x:c r="G37" s="24" t="str">
        <x:v>Large rays (&gt;=90 cm)</x:v>
      </x:c>
      <x:c r="H37" s="24" t="str">
        <x:v>Sharks &amp; rays</x:v>
      </x:c>
      <x:c r="I37" s="31" t="n">
        <x:v>339.3584504816</x:v>
      </x:c>
      <x:c r="J37" s="31" t="n">
        <x:v>0</x:v>
      </x:c>
      <x:c r="K37" s="31" t="n">
        <x:v>339.3584504816</x:v>
      </x:c>
      <x:c r="L37" s="31" t="n">
        <x:v>0</x:v>
      </x:c>
      <x:c r="M37" s="31" t="n">
        <x:v>339.3584504816</x:v>
      </x:c>
      <x:c r="N37" s="24" t="str">
        <x:v>rajidae</x:v>
      </x:c>
      <x:c r="O37" s="32" t="n">
        <x:v>3.82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Rajidae</x:v>
      </x:c>
      <x:c r="T37" s="32" t="n">
        <x:f>IF(O37="","",(1/'Metadata'!$B$5)^(O37-1))</x:f>
        <x:v>660.6934480075957</x:v>
      </x:c>
      <x:c r="U37" s="31" t="n">
        <x:f>IF(T37="","",I37*T37)</x:f>
        <x:v>224211.90475920326</x:v>
      </x:c>
    </x:row>
    <x:row r="38" ht="18" customHeight="1">
      <x:c r="A38" s="24" t="str">
        <x:v>EEZ_918</x:v>
      </x:c>
      <x:c r="B38" s="24" t="str">
        <x:v>France (Mediterranean)</x:v>
      </x:c>
      <x:c r="C38" s="24" t="str">
        <x:v>EEZ</x:v>
      </x:c>
      <x:c r="D38" s="30" t="n">
        <x:v>2019</x:v>
      </x:c>
      <x:c r="E38" s="24" t="str">
        <x:v>Conger conger</x:v>
      </x:c>
      <x:c r="F38" s="24" t="str">
        <x:v>European conger</x:v>
      </x:c>
      <x:c r="G38" s="24" t="str">
        <x:v>Large demersals (&gt;=90 cm)</x:v>
      </x:c>
      <x:c r="H38" s="24" t="str">
        <x:v>Other fishes &amp; inverts</x:v>
      </x:c>
      <x:c r="I38" s="31" t="n">
        <x:v>316.76396254229996</x:v>
      </x:c>
      <x:c r="J38" s="31" t="n">
        <x:v>316.76396254229996</x:v>
      </x:c>
      <x:c r="K38" s="31" t="n">
        <x:v>0</x:v>
      </x:c>
      <x:c r="L38" s="31" t="n">
        <x:v>103.69999999999999</x:v>
      </x:c>
      <x:c r="M38" s="31" t="n">
        <x:v>213.06396254229998</x:v>
      </x:c>
      <x:c r="N38" s="24" t="str">
        <x:v>conger conger</x:v>
      </x:c>
      <x:c r="O38" s="32" t="n">
        <x:v>4.31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Conger conger</x:v>
      </x:c>
      <x:c r="T38" s="32" t="n">
        <x:f>IF(O38="","",(1/'Metadata'!$B$5)^(O38-1))</x:f>
        <x:v>2041.7379446695275</x:v>
      </x:c>
      <x:c r="U38" s="31" t="n">
        <x:f>IF(T38="","",I38*T38)</x:f>
        <x:v>646749.0018264907</x:v>
      </x:c>
    </x:row>
    <x:row r="39" ht="18" customHeight="1">
      <x:c r="A39" s="24" t="str">
        <x:v>EEZ_918</x:v>
      </x:c>
      <x:c r="B39" s="24" t="str">
        <x:v>France (Mediterranean)</x:v>
      </x:c>
      <x:c r="C39" s="24" t="str">
        <x:v>EEZ</x:v>
      </x:c>
      <x:c r="D39" s="30" t="n">
        <x:v>2019</x:v>
      </x:c>
      <x:c r="E39" s="24" t="str">
        <x:v>Mytilus galloprovincialis</x:v>
      </x:c>
      <x:c r="F39" s="24" t="str">
        <x:v>Mediterranean mussel</x:v>
      </x:c>
      <x:c r="G39" s="24" t="str">
        <x:v>Other demersal invertebrates</x:v>
      </x:c>
      <x:c r="H39" s="24" t="str">
        <x:v>Molluscs</x:v>
      </x:c>
      <x:c r="I39" s="31" t="n">
        <x:v>293.7636185902</x:v>
      </x:c>
      <x:c r="J39" s="31" t="n">
        <x:v>293.7636185902</x:v>
      </x:c>
      <x:c r="K39" s="31" t="n">
        <x:v>0</x:v>
      </x:c>
      <x:c r="L39" s="31" t="n">
        <x:v>126</x:v>
      </x:c>
      <x:c r="M39" s="31" t="n">
        <x:v>167.7636185902</x:v>
      </x:c>
      <x:c r="N39" s="24" t="str">
        <x:v>mytilus galloprovincialis</x:v>
      </x:c>
      <x:c r="O39" s="32" t="n">
        <x:v>2.69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Mytilus galloprovincialis</x:v>
      </x:c>
      <x:c r="T39" s="32" t="n">
        <x:f>IF(O39="","",(1/'Metadata'!$B$5)^(O39-1))</x:f>
        <x:v>48.97788193684461</x:v>
      </x:c>
      <x:c r="U39" s="31" t="n">
        <x:f>IF(T39="","",I39*T39)</x:f>
        <x:v>14387.919828651065</x:v>
      </x:c>
    </x:row>
    <x:row r="40" ht="18" customHeight="1">
      <x:c r="A40" s="24" t="str">
        <x:v>EEZ_918</x:v>
      </x:c>
      <x:c r="B40" s="24" t="str">
        <x:v>France (Mediterranean)</x:v>
      </x:c>
      <x:c r="C40" s="24" t="str">
        <x:v>EEZ</x:v>
      </x:c>
      <x:c r="D40" s="30" t="n">
        <x:v>2019</x:v>
      </x:c>
      <x:c r="E40" s="24" t="str">
        <x:v>Mullidae</x:v>
      </x:c>
      <x:c r="F40" s="24" t="str">
        <x:v>Goatfishes</x:v>
      </x:c>
      <x:c r="G40" s="24" t="str">
        <x:v>Medium reef assoc. fish (30 - 89 cm)</x:v>
      </x:c>
      <x:c r="H40" s="24" t="str">
        <x:v>Perch-likes</x:v>
      </x:c>
      <x:c r="I40" s="31" t="n">
        <x:v>291.8046685618</x:v>
      </x:c>
      <x:c r="J40" s="31" t="n">
        <x:v>291.8046685618</x:v>
      </x:c>
      <x:c r="K40" s="31" t="n">
        <x:v>0</x:v>
      </x:c>
      <x:c r="L40" s="31" t="n">
        <x:v>0</x:v>
      </x:c>
      <x:c r="M40" s="31" t="n">
        <x:v>291.8046685618</x:v>
      </x:c>
      <x:c r="N40" s="24" t="str">
        <x:v>mullidae</x:v>
      </x:c>
      <x:c r="O40" s="32" t="n">
        <x:v>3.46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Mullidae</x:v>
      </x:c>
      <x:c r="T40" s="32" t="n">
        <x:f>IF(O40="","",(1/'Metadata'!$B$5)^(O40-1))</x:f>
        <x:v>288.40315031266056</x:v>
      </x:c>
      <x:c r="U40" s="31" t="n">
        <x:f>IF(T40="","",I40*T40)</x:f>
        <x:v>84157.38568916489</x:v>
      </x:c>
    </x:row>
    <x:row r="41" ht="18" customHeight="1">
      <x:c r="A41" s="24" t="str">
        <x:v>EEZ_918</x:v>
      </x:c>
      <x:c r="B41" s="24" t="str">
        <x:v>France (Mediterranean)</x:v>
      </x:c>
      <x:c r="C41" s="24" t="str">
        <x:v>EEZ</x:v>
      </x:c>
      <x:c r="D41" s="30" t="n">
        <x:v>2019</x:v>
      </x:c>
      <x:c r="E41" s="24" t="str">
        <x:v>Marine finfishes not identified</x:v>
      </x:c>
      <x:c r="F41" s="24" t="str">
        <x:v>Finfishes</x:v>
      </x:c>
      <x:c r="G41" s="24" t="str">
        <x:v>Medium demersals (30 - 89 cm)</x:v>
      </x:c>
      <x:c r="H41" s="24" t="str">
        <x:v>Other fishes &amp; inverts</x:v>
      </x:c>
      <x:c r="I41" s="31" t="n">
        <x:v>290.38594726270003</x:v>
      </x:c>
      <x:c r="J41" s="31" t="n">
        <x:v>0</x:v>
      </x:c>
      <x:c r="K41" s="31" t="n">
        <x:v>290.38594726270003</x:v>
      </x:c>
      <x:c r="L41" s="31" t="n">
        <x:v>0</x:v>
      </x:c>
      <x:c r="M41" s="31" t="n">
        <x:v>290.38594726270003</x:v>
      </x:c>
      <x:c r="N41" s="24" t="str">
        <x:v>marine finfishes not identified</x:v>
      </x:c>
      <x:c r="O41" s="32" t="n">
        <x:v>3.23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Marine finfishes not identified</x:v>
      </x:c>
      <x:c r="T41" s="32" t="n">
        <x:f>IF(O41="","",(1/'Metadata'!$B$5)^(O41-1))</x:f>
        <x:v>169.82436524617444</x:v>
      </x:c>
      <x:c r="U41" s="31" t="n">
        <x:f>IF(T41="","",I41*T41)</x:f>
        <x:v>49314.60917029712</x:v>
      </x:c>
    </x:row>
    <x:row r="42" ht="18" customHeight="1">
      <x:c r="A42" s="24" t="str">
        <x:v>EEZ_918</x:v>
      </x:c>
      <x:c r="B42" s="24" t="str">
        <x:v>France (Mediterranean)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267.0774185469</x:v>
      </x:c>
      <x:c r="J42" s="31" t="n">
        <x:v>267.0774185469</x:v>
      </x:c>
      <x:c r="K42" s="31" t="n">
        <x:v>0</x:v>
      </x:c>
      <x:c r="L42" s="31" t="n">
        <x:v>83.3</x:v>
      </x:c>
      <x:c r="M42" s="31" t="n">
        <x:v>183.7774185469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172439.66476446475</x:v>
      </x:c>
    </x:row>
    <x:row r="43" ht="18" customHeight="1">
      <x:c r="A43" s="24" t="str">
        <x:v>EEZ_918</x:v>
      </x:c>
      <x:c r="B43" s="24" t="str">
        <x:v>France (Mediterranean)</x:v>
      </x:c>
      <x:c r="C43" s="24" t="str">
        <x:v>EEZ</x:v>
      </x:c>
      <x:c r="D43" s="30" t="n">
        <x:v>2019</x:v>
      </x:c>
      <x:c r="E43" s="24" t="str">
        <x:v>Diplodus sargus</x:v>
      </x:c>
      <x:c r="F43" s="24" t="str">
        <x:v>White seabream</x:v>
      </x:c>
      <x:c r="G43" s="24" t="str">
        <x:v>Medium demersals (30 - 89 cm)</x:v>
      </x:c>
      <x:c r="H43" s="24" t="str">
        <x:v>Perch-likes</x:v>
      </x:c>
      <x:c r="I43" s="31" t="n">
        <x:v>225.0286400388</x:v>
      </x:c>
      <x:c r="J43" s="31" t="n">
        <x:v>225.0286400388</x:v>
      </x:c>
      <x:c r="K43" s="31" t="n">
        <x:v>0</x:v>
      </x:c>
      <x:c r="L43" s="31" t="n">
        <x:v>64.7</x:v>
      </x:c>
      <x:c r="M43" s="31" t="n">
        <x:v>160.3286400388</x:v>
      </x:c>
      <x:c r="N43" s="24" t="str">
        <x:v>diplodus sargus</x:v>
      </x:c>
      <x:c r="O43" s="32" t="n">
        <x:v>3.38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Diplodus sargus</x:v>
      </x:c>
      <x:c r="T43" s="32" t="n">
        <x:f>IF(O43="","",(1/'Metadata'!$B$5)^(O43-1))</x:f>
        <x:v>239.88329190194898</x:v>
      </x:c>
      <x:c r="U43" s="31" t="n">
        <x:f>IF(T43="","",I43*T43)</x:f>
        <x:v>53980.61094472607</x:v>
      </x:c>
    </x:row>
    <x:row r="44" ht="18" customHeight="1">
      <x:c r="A44" s="24" t="str">
        <x:v>EEZ_918</x:v>
      </x:c>
      <x:c r="B44" s="24" t="str">
        <x:v>France (Mediterranean)</x:v>
      </x:c>
      <x:c r="C44" s="24" t="str">
        <x:v>EEZ</x:v>
      </x:c>
      <x:c r="D44" s="30" t="n">
        <x:v>2019</x:v>
      </x:c>
      <x:c r="E44" s="24" t="str">
        <x:v>Sarpa salpa</x:v>
      </x:c>
      <x:c r="F44" s="24" t="str">
        <x:v>Salema</x:v>
      </x:c>
      <x:c r="G44" s="24" t="str">
        <x:v>Medium benthopelagics (30 - 89 cm)</x:v>
      </x:c>
      <x:c r="H44" s="24" t="str">
        <x:v>Perch-likes</x:v>
      </x:c>
      <x:c r="I44" s="31" t="n">
        <x:v>196.516309186</x:v>
      </x:c>
      <x:c r="J44" s="31" t="n">
        <x:v>196.516309186</x:v>
      </x:c>
      <x:c r="K44" s="31" t="n">
        <x:v>0</x:v>
      </x:c>
      <x:c r="L44" s="31" t="n">
        <x:v>72.6</x:v>
      </x:c>
      <x:c r="M44" s="31" t="n">
        <x:v>123.916309186</x:v>
      </x:c>
      <x:c r="N44" s="24" t="str">
        <x:v>sarpa salpa</x:v>
      </x:c>
      <x:c r="O44" s="32" t="n">
        <x:v>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Sarpa salpa</x:v>
      </x:c>
      <x:c r="T44" s="32" t="n">
        <x:f>IF(O44="","",(1/'Metadata'!$B$5)^(O44-1))</x:f>
        <x:v>10</x:v>
      </x:c>
      <x:c r="U44" s="31" t="n">
        <x:f>IF(T44="","",I44*T44)</x:f>
        <x:v>1965.16309186</x:v>
      </x:c>
    </x:row>
    <x:row r="45" ht="18" customHeight="1">
      <x:c r="A45" s="24" t="str">
        <x:v>EEZ_918</x:v>
      </x:c>
      <x:c r="B45" s="24" t="str">
        <x:v>France (Mediterranean)</x:v>
      </x:c>
      <x:c r="C45" s="24" t="str">
        <x:v>EEZ</x:v>
      </x:c>
      <x:c r="D45" s="30" t="n">
        <x:v>2019</x:v>
      </x:c>
      <x:c r="E45" s="24" t="str">
        <x:v>Miscellaneous marine crustaceans</x:v>
      </x:c>
      <x:c r="F45" s="24" t="str">
        <x:v>Marine crabs, shrimps, lobsters nei</x:v>
      </x:c>
      <x:c r="G45" s="24" t="str">
        <x:v>Shrimps</x:v>
      </x:c>
      <x:c r="H45" s="24" t="str">
        <x:v>Crustaceans</x:v>
      </x:c>
      <x:c r="I45" s="31" t="n">
        <x:v>186.6102583751</x:v>
      </x:c>
      <x:c r="J45" s="31" t="n">
        <x:v>186.6102583751</x:v>
      </x:c>
      <x:c r="K45" s="31" t="n">
        <x:v>0</x:v>
      </x:c>
      <x:c r="L45" s="31" t="n">
        <x:v>5</x:v>
      </x:c>
      <x:c r="M45" s="31" t="n">
        <x:v>181.6102583751</x:v>
      </x:c>
      <x:c r="N45" s="24" t="str">
        <x:v>miscellaneous marine crustaceans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marine crustaceans</x:v>
      </x:c>
      <x:c r="T45" s="32" t="n">
        <x:f>IF(O45="","",(1/'Metadata'!$B$5)^(O45-1))</x:f>
        <x:v>50.11872336272725</x:v>
      </x:c>
      <x:c r="U45" s="31" t="n">
        <x:f>IF(T45="","",I45*T45)</x:f>
        <x:v>9352.667916148692</x:v>
      </x:c>
    </x:row>
    <x:row r="46" ht="18" customHeight="1">
      <x:c r="A46" s="24" t="str">
        <x:v>EEZ_918</x:v>
      </x:c>
      <x:c r="B46" s="24" t="str">
        <x:v>France (Mediterranean)</x:v>
      </x:c>
      <x:c r="C46" s="24" t="str">
        <x:v>EEZ</x:v>
      </x:c>
      <x:c r="D46" s="30" t="n">
        <x:v>2019</x:v>
      </x:c>
      <x:c r="E46" s="24" t="str">
        <x:v>Chelon auratus</x:v>
      </x:c>
      <x:c r="F46" s="24" t="str">
        <x:v>Golden grey mullet</x:v>
      </x:c>
      <x:c r="G46" s="24" t="str">
        <x:v>Medium pelagics (30 - 89 cm)</x:v>
      </x:c>
      <x:c r="H46" s="24" t="str">
        <x:v>Other fishes &amp; inverts</x:v>
      </x:c>
      <x:c r="I46" s="31" t="n">
        <x:v>177.0949016518</x:v>
      </x:c>
      <x:c r="J46" s="31" t="n">
        <x:v>177.0949016518</x:v>
      </x:c>
      <x:c r="K46" s="31" t="n">
        <x:v>0</x:v>
      </x:c>
      <x:c r="L46" s="31" t="n">
        <x:v>80</x:v>
      </x:c>
      <x:c r="M46" s="31" t="n">
        <x:v>97.0949016518</x:v>
      </x:c>
      <x:c r="N46" s="24" t="str">
        <x:v>chelon auratus</x:v>
      </x:c>
      <x:c r="O46" s="32" t="n">
        <x:v>2.8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Chelon auratus</x:v>
      </x:c>
      <x:c r="T46" s="32" t="n">
        <x:f>IF(O46="","",(1/'Metadata'!$B$5)^(O46-1))</x:f>
        <x:v>63.0957344480193</x:v>
      </x:c>
      <x:c r="U46" s="31" t="n">
        <x:f>IF(T46="","",I46*T46)</x:f>
        <x:v>11173.932886720067</x:v>
      </x:c>
    </x:row>
    <x:row r="47" ht="18" customHeight="1">
      <x:c r="A47" s="24" t="str">
        <x:v>EEZ_918</x:v>
      </x:c>
      <x:c r="B47" s="24" t="str">
        <x:v>France (Mediterranean)</x:v>
      </x:c>
      <x:c r="C47" s="24" t="str">
        <x:v>EEZ</x:v>
      </x:c>
      <x:c r="D47" s="30" t="n">
        <x:v>2019</x:v>
      </x:c>
      <x:c r="E47" s="24" t="str">
        <x:v>Murex</x:v>
      </x:c>
      <x:c r="F47" s="24" t="str">
        <x:v>Murex shells</x:v>
      </x:c>
      <x:c r="G47" s="24" t="str">
        <x:v>Other demersal invertebrates</x:v>
      </x:c>
      <x:c r="H47" s="24" t="str">
        <x:v>Molluscs</x:v>
      </x:c>
      <x:c r="I47" s="31" t="n">
        <x:v>172.0496685994</x:v>
      </x:c>
      <x:c r="J47" s="31" t="n">
        <x:v>172.0496685994</x:v>
      </x:c>
      <x:c r="K47" s="31" t="n">
        <x:v>0</x:v>
      </x:c>
      <x:c r="L47" s="31" t="n">
        <x:v>0</x:v>
      </x:c>
      <x:c r="M47" s="31" t="n">
        <x:v>172.0496685994</x:v>
      </x:c>
      <x:c r="N47" s="24" t="str">
        <x:v>murex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Murex</x:v>
      </x:c>
      <x:c r="T47" s="32" t="n">
        <x:f>IF(O47="","",(1/'Metadata'!$B$5)^(O47-1))</x:f>
        <x:v>10</x:v>
      </x:c>
      <x:c r="U47" s="31" t="n">
        <x:f>IF(T47="","",I47*T47)</x:f>
        <x:v>1720.496685994</x:v>
      </x:c>
    </x:row>
    <x:row r="48" ht="18" customHeight="1">
      <x:c r="A48" s="24" t="str">
        <x:v>EEZ_918</x:v>
      </x:c>
      <x:c r="B48" s="24" t="str">
        <x:v>France (Mediterranean)</x:v>
      </x:c>
      <x:c r="C48" s="24" t="str">
        <x:v>EEZ</x:v>
      </x:c>
      <x:c r="D48" s="30" t="n">
        <x:v>2019</x:v>
      </x:c>
      <x:c r="E48" s="24" t="str">
        <x:v>Cephalopoda</x:v>
      </x:c>
      <x:c r="F48" s="24" t="str">
        <x:v>Squids, cuttlefishes, octopuses</x:v>
      </x:c>
      <x:c r="G48" s="24" t="str">
        <x:v>Cephalopods</x:v>
      </x:c>
      <x:c r="H48" s="24" t="str">
        <x:v>Other fishes &amp; inverts</x:v>
      </x:c>
      <x:c r="I48" s="31" t="n">
        <x:v>170.7037069631</x:v>
      </x:c>
      <x:c r="J48" s="31" t="n">
        <x:v>170.7037069631</x:v>
      </x:c>
      <x:c r="K48" s="31" t="n">
        <x:v>0</x:v>
      </x:c>
      <x:c r="L48" s="31" t="n">
        <x:v>0</x:v>
      </x:c>
      <x:c r="M48" s="31" t="n">
        <x:v>170.7037069631</x:v>
      </x:c>
      <x:c r="N48" s="24" t="str">
        <x:v>cephalopoda</x:v>
      </x:c>
      <x:c r="O48" s="32" t="n">
        <x:v>3.81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Cephalopoda</x:v>
      </x:c>
      <x:c r="T48" s="32" t="n">
        <x:f>IF(O48="","",(1/'Metadata'!$B$5)^(O48-1))</x:f>
        <x:v>645.6542290346556</x:v>
      </x:c>
      <x:c r="U48" s="31" t="n">
        <x:f>IF(T48="","",I48*T48)</x:f>
        <x:v>110215.57031261809</x:v>
      </x:c>
    </x:row>
    <x:row r="49" ht="18" customHeight="1">
      <x:c r="A49" s="24" t="str">
        <x:v>EEZ_918</x:v>
      </x:c>
      <x:c r="B49" s="24" t="str">
        <x:v>France (Mediterranean)</x:v>
      </x:c>
      <x:c r="C49" s="24" t="str">
        <x:v>EEZ</x:v>
      </x:c>
      <x:c r="D49" s="30" t="n">
        <x:v>2019</x:v>
      </x:c>
      <x:c r="E49" s="24" t="str">
        <x:v>Squilla mantis</x:v>
      </x:c>
      <x:c r="F49" s="24" t="str">
        <x:v>Spottail mantis squillid</x:v>
      </x:c>
      <x:c r="G49" s="24" t="str">
        <x:v>Shrimps</x:v>
      </x:c>
      <x:c r="H49" s="24" t="str">
        <x:v>Crustaceans</x:v>
      </x:c>
      <x:c r="I49" s="31" t="n">
        <x:v>157.3601354789</x:v>
      </x:c>
      <x:c r="J49" s="31" t="n">
        <x:v>157.3601354789</x:v>
      </x:c>
      <x:c r="K49" s="31" t="n">
        <x:v>0</x:v>
      </x:c>
      <x:c r="L49" s="31" t="n">
        <x:v>71</x:v>
      </x:c>
      <x:c r="M49" s="31" t="n">
        <x:v>86.3601354789</x:v>
      </x:c>
      <x:c r="N49" s="24" t="str">
        <x:v>squilla mantis</x:v>
      </x:c>
      <x:c r="O49" s="32" t="n">
        <x:v>3.62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Squilla mantis</x:v>
      </x:c>
      <x:c r="T49" s="32" t="n">
        <x:f>IF(O49="","",(1/'Metadata'!$B$5)^(O49-1))</x:f>
        <x:v>416.8693834703355</x:v>
      </x:c>
      <x:c r="U49" s="31" t="n">
        <x:f>IF(T49="","",I49*T49)</x:f>
        <x:v>65598.6226598975</x:v>
      </x:c>
    </x:row>
    <x:row r="50" ht="18" customHeight="1">
      <x:c r="A50" s="24" t="str">
        <x:v>EEZ_918</x:v>
      </x:c>
      <x:c r="B50" s="24" t="str">
        <x:v>France (Mediterranean)</x:v>
      </x:c>
      <x:c r="C50" s="24" t="str">
        <x:v>EEZ</x:v>
      </x:c>
      <x:c r="D50" s="30" t="n">
        <x:v>2019</x:v>
      </x:c>
      <x:c r="E50" s="24" t="str">
        <x:v>Carcharhinidae</x:v>
      </x:c>
      <x:c r="F50" s="24" t="str">
        <x:v>Requiem sharks</x:v>
      </x:c>
      <x:c r="G50" s="24" t="str">
        <x:v>Large sharks (&gt;=90 cm)</x:v>
      </x:c>
      <x:c r="H50" s="24" t="str">
        <x:v>Sharks &amp; rays</x:v>
      </x:c>
      <x:c r="I50" s="31" t="n">
        <x:v>155.7856248891</x:v>
      </x:c>
      <x:c r="J50" s="31" t="n">
        <x:v>0</x:v>
      </x:c>
      <x:c r="K50" s="31" t="n">
        <x:v>155.7856248891</x:v>
      </x:c>
      <x:c r="L50" s="31" t="n">
        <x:v>0</x:v>
      </x:c>
      <x:c r="M50" s="31" t="n">
        <x:v>155.7856248891</x:v>
      </x:c>
      <x:c r="N50" s="24" t="str">
        <x:v>carcharhinidae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Carcharhinidae</x:v>
      </x:c>
      <x:c r="T50" s="32" t="n">
        <x:f>IF(O50="","",(1/'Metadata'!$B$5)^(O50-1))</x:f>
        <x:v>1737.8008287493763</x:v>
      </x:c>
      <x:c r="U50" s="31" t="n">
        <x:f>IF(T50="","",I50*T50)</x:f>
        <x:v>270724.38803951745</x:v>
      </x:c>
    </x:row>
    <x:row r="51" ht="18" customHeight="1">
      <x:c r="A51" s="24" t="str">
        <x:v>EEZ_918</x:v>
      </x:c>
      <x:c r="B51" s="24" t="str">
        <x:v>France (Mediterranean)</x:v>
      </x:c>
      <x:c r="C51" s="24" t="str">
        <x:v>EEZ</x:v>
      </x:c>
      <x:c r="D51" s="30" t="n">
        <x:v>2019</x:v>
      </x:c>
      <x:c r="E51" s="24" t="str">
        <x:v>Triakidae</x:v>
      </x:c>
      <x:c r="F51" s="24" t="str">
        <x:v>Houndsharks</x:v>
      </x:c>
      <x:c r="G51" s="24" t="str">
        <x:v>Large sharks (&gt;=90 cm)</x:v>
      </x:c>
      <x:c r="H51" s="24" t="str">
        <x:v>Sharks &amp; rays</x:v>
      </x:c>
      <x:c r="I51" s="31" t="n">
        <x:v>151.8997253657</x:v>
      </x:c>
      <x:c r="J51" s="31" t="n">
        <x:v>0</x:v>
      </x:c>
      <x:c r="K51" s="31" t="n">
        <x:v>151.8997253657</x:v>
      </x:c>
      <x:c r="L51" s="31" t="n">
        <x:v>0</x:v>
      </x:c>
      <x:c r="M51" s="31" t="n">
        <x:v>151.8997253657</x:v>
      </x:c>
      <x:c r="N51" s="24" t="str">
        <x:v>triakidae</x:v>
      </x:c>
      <x:c r="O51" s="32" t="n">
        <x:v>3.82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Triakidae</x:v>
      </x:c>
      <x:c r="T51" s="32" t="n">
        <x:f>IF(O51="","",(1/'Metadata'!$B$5)^(O51-1))</x:f>
        <x:v>660.6934480075957</x:v>
      </x:c>
      <x:c r="U51" s="31" t="n">
        <x:f>IF(T51="","",I51*T51)</x:f>
        <x:v>100359.15330327119</x:v>
      </x:c>
    </x:row>
    <x:row r="52" ht="18" customHeight="1">
      <x:c r="A52" s="24" t="str">
        <x:v>EEZ_918</x:v>
      </x:c>
      <x:c r="B52" s="24" t="str">
        <x:v>France (Mediterranean)</x:v>
      </x:c>
      <x:c r="C52" s="24" t="str">
        <x:v>EEZ</x:v>
      </x:c>
      <x:c r="D52" s="30" t="n">
        <x:v>2019</x:v>
      </x:c>
      <x:c r="E52" s="24" t="str">
        <x:v>Scyliorhinidae</x:v>
      </x:c>
      <x:c r="F52" s="24" t="str">
        <x:v>Cat/swellsharks</x:v>
      </x:c>
      <x:c r="G52" s="24" t="str">
        <x:v>Large sharks (&gt;=90 cm)</x:v>
      </x:c>
      <x:c r="H52" s="24" t="str">
        <x:v>Sharks &amp; rays</x:v>
      </x:c>
      <x:c r="I52" s="31" t="n">
        <x:v>149.9301132507</x:v>
      </x:c>
      <x:c r="J52" s="31" t="n">
        <x:v>0</x:v>
      </x:c>
      <x:c r="K52" s="31" t="n">
        <x:v>149.9301132507</x:v>
      </x:c>
      <x:c r="L52" s="31" t="n">
        <x:v>0</x:v>
      </x:c>
      <x:c r="M52" s="31" t="n">
        <x:v>149.9301132507</x:v>
      </x:c>
      <x:c r="N52" s="24" t="str">
        <x:v>scyliorhinidae</x:v>
      </x:c>
      <x:c r="O52" s="32" t="n">
        <x:v>3.97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Scyliorhinidae</x:v>
      </x:c>
      <x:c r="T52" s="32" t="n">
        <x:f>IF(O52="","",(1/'Metadata'!$B$5)^(O52-1))</x:f>
        <x:v>933.2543007969915</x:v>
      </x:c>
      <x:c r="U52" s="31" t="n">
        <x:f>IF(T52="","",I52*T52)</x:f>
        <x:v>139922.92301019578</x:v>
      </x:c>
    </x:row>
    <x:row r="53" ht="18" customHeight="1">
      <x:c r="A53" s="24" t="str">
        <x:v>EEZ_918</x:v>
      </x:c>
      <x:c r="B53" s="24" t="str">
        <x:v>France (Mediterranean)</x:v>
      </x:c>
      <x:c r="C53" s="24" t="str">
        <x:v>EEZ</x:v>
      </x:c>
      <x:c r="D53" s="30" t="n">
        <x:v>2019</x:v>
      </x:c>
      <x:c r="E53" s="24" t="str">
        <x:v>Paracentrotus lividus</x:v>
      </x:c>
      <x:c r="F53" s="24" t="str">
        <x:v>Stony sea urchin</x:v>
      </x:c>
      <x:c r="G53" s="24" t="str">
        <x:v>Other demersal invertebrates</x:v>
      </x:c>
      <x:c r="H53" s="24" t="str">
        <x:v>Other fishes &amp; inverts</x:v>
      </x:c>
      <x:c r="I53" s="31" t="n">
        <x:v>143.55470460380002</x:v>
      </x:c>
      <x:c r="J53" s="31" t="n">
        <x:v>143.55470460380002</x:v>
      </x:c>
      <x:c r="K53" s="31" t="n">
        <x:v>0</x:v>
      </x:c>
      <x:c r="L53" s="31" t="n">
        <x:v>85.60000000000001</x:v>
      </x:c>
      <x:c r="M53" s="31" t="n">
        <x:v>57.9547046038</x:v>
      </x:c>
      <x:c r="N53" s="24" t="str">
        <x:v>paracentrotus lividus</x:v>
      </x:c>
      <x:c r="O53" s="32" t="n">
        <x:v>2.3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Paracentrotus lividus</x:v>
      </x:c>
      <x:c r="T53" s="32" t="n">
        <x:f>IF(O53="","",(1/'Metadata'!$B$5)^(O53-1))</x:f>
        <x:v>19.952623149688787</x:v>
      </x:c>
      <x:c r="U53" s="31" t="n">
        <x:f>IF(T53="","",I53*T53)</x:f>
        <x:v>2864.2929223245155</x:v>
      </x:c>
    </x:row>
    <x:row r="54" ht="18" customHeight="1">
      <x:c r="A54" s="24" t="str">
        <x:v>EEZ_918</x:v>
      </x:c>
      <x:c r="B54" s="24" t="str">
        <x:v>France (Mediterranean)</x:v>
      </x:c>
      <x:c r="C54" s="24" t="str">
        <x:v>EEZ</x:v>
      </x:c>
      <x:c r="D54" s="30" t="n">
        <x:v>2019</x:v>
      </x:c>
      <x:c r="E54" s="24" t="str">
        <x:v>Scophthalmus rhombus</x:v>
      </x:c>
      <x:c r="F54" s="24" t="str">
        <x:v>Brill</x:v>
      </x:c>
      <x:c r="G54" s="24" t="str">
        <x:v>Small to medium flatfishes (&lt;90 cm)</x:v>
      </x:c>
      <x:c r="H54" s="24" t="str">
        <x:v>Flatfishes</x:v>
      </x:c>
      <x:c r="I54" s="31" t="n">
        <x:v>142.0979268043</x:v>
      </x:c>
      <x:c r="J54" s="31" t="n">
        <x:v>142.0979268043</x:v>
      </x:c>
      <x:c r="K54" s="31" t="n">
        <x:v>0</x:v>
      </x:c>
      <x:c r="L54" s="31" t="n">
        <x:v>66.99999999999999</x:v>
      </x:c>
      <x:c r="M54" s="31" t="n">
        <x:v>75.0979268043</x:v>
      </x:c>
      <x:c r="N54" s="24" t="str">
        <x:v>scophthalmus rhombus</x:v>
      </x:c>
      <x:c r="O54" s="32" t="n">
        <x:v>4.42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Scophthalmus rhombus</x:v>
      </x:c>
      <x:c r="T54" s="32" t="n">
        <x:f>IF(O54="","",(1/'Metadata'!$B$5)^(O54-1))</x:f>
        <x:v>2630.2679918953813</x:v>
      </x:c>
      <x:c r="U54" s="31" t="n">
        <x:f>IF(T54="","",I54*T54)</x:f>
        <x:v>373755.62858804304</x:v>
      </x:c>
    </x:row>
    <x:row r="55" ht="18" customHeight="1">
      <x:c r="A55" s="24" t="str">
        <x:v>EEZ_918</x:v>
      </x:c>
      <x:c r="B55" s="24" t="str">
        <x:v>France (Mediterranean)</x:v>
      </x:c>
      <x:c r="C55" s="24" t="str">
        <x:v>EEZ</x:v>
      </x:c>
      <x:c r="D55" s="30" t="n">
        <x:v>2019</x:v>
      </x:c>
      <x:c r="E55" s="24" t="str">
        <x:v>Raja montagui</x:v>
      </x:c>
      <x:c r="F55" s="24" t="str">
        <x:v>Spotted ray</x:v>
      </x:c>
      <x:c r="G55" s="24" t="str">
        <x:v>Small to medium rays (&lt;90 cm)</x:v>
      </x:c>
      <x:c r="H55" s="24" t="str">
        <x:v>Sharks &amp; rays</x:v>
      </x:c>
      <x:c r="I55" s="31" t="n">
        <x:v>141.2435512754</x:v>
      </x:c>
      <x:c r="J55" s="31" t="n">
        <x:v>141.2435512754</x:v>
      </x:c>
      <x:c r="K55" s="31" t="n">
        <x:v>0</x:v>
      </x:c>
      <x:c r="L55" s="31" t="n">
        <x:v>52.00000000000001</x:v>
      </x:c>
      <x:c r="M55" s="31" t="n">
        <x:v>89.2435512754</x:v>
      </x:c>
      <x:c r="N55" s="24" t="str">
        <x:v>raja montagui</x:v>
      </x:c>
      <x:c r="O55" s="32" t="n">
        <x:v>3.88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montagui</x:v>
      </x:c>
      <x:c r="T55" s="32" t="n">
        <x:f>IF(O55="","",(1/'Metadata'!$B$5)^(O55-1))</x:f>
        <x:v>758.5775750291835</x:v>
      </x:c>
      <x:c r="U55" s="31" t="n">
        <x:f>IF(T55="","",I55*T55)</x:f>
        <x:v>107144.19061500307</x:v>
      </x:c>
    </x:row>
    <x:row r="56" ht="18" customHeight="1">
      <x:c r="A56" s="24" t="str">
        <x:v>EEZ_918</x:v>
      </x:c>
      <x:c r="B56" s="24" t="str">
        <x:v>France (Mediterranean)</x:v>
      </x:c>
      <x:c r="C56" s="24" t="str">
        <x:v>EEZ</x:v>
      </x:c>
      <x:c r="D56" s="30" t="n">
        <x:v>2019</x:v>
      </x:c>
      <x:c r="E56" s="24" t="str">
        <x:v>Pagellus bogaraveo</x:v>
      </x:c>
      <x:c r="F56" s="24" t="str">
        <x:v>Blackspot seabream</x:v>
      </x:c>
      <x:c r="G56" s="24" t="str">
        <x:v>Medium benthopelagics (30 - 89 cm)</x:v>
      </x:c>
      <x:c r="H56" s="24" t="str">
        <x:v>Perch-likes</x:v>
      </x:c>
      <x:c r="I56" s="31" t="n">
        <x:v>132.308418765</x:v>
      </x:c>
      <x:c r="J56" s="31" t="n">
        <x:v>132.308418765</x:v>
      </x:c>
      <x:c r="K56" s="31" t="n">
        <x:v>0</x:v>
      </x:c>
      <x:c r="L56" s="31" t="n">
        <x:v>28.599999999999998</x:v>
      </x:c>
      <x:c r="M56" s="31" t="n">
        <x:v>103.708418765</x:v>
      </x:c>
      <x:c r="N56" s="24" t="str">
        <x:v>pagellus bogaraveo</x:v>
      </x:c>
      <x:c r="O56" s="32" t="n">
        <x:v>4.21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Pagellus bogaraveo</x:v>
      </x:c>
      <x:c r="T56" s="32" t="n">
        <x:f>IF(O56="","",(1/'Metadata'!$B$5)^(O56-1))</x:f>
        <x:v>1621.8100973589299</x:v>
      </x:c>
      <x:c r="U56" s="31" t="n">
        <x:f>IF(T56="","",I56*T56)</x:f>
        <x:v>214579.1295186707</x:v>
      </x:c>
    </x:row>
    <x:row r="57" ht="18" customHeight="1">
      <x:c r="A57" s="24" t="str">
        <x:v>EEZ_918</x:v>
      </x:c>
      <x:c r="B57" s="24" t="str">
        <x:v>France (Mediterranean)</x:v>
      </x:c>
      <x:c r="C57" s="24" t="str">
        <x:v>EEZ</x:v>
      </x:c>
      <x:c r="D57" s="30" t="n">
        <x:v>2019</x:v>
      </x:c>
      <x:c r="E57" s="24" t="str">
        <x:v>Mugil cephalus</x:v>
      </x:c>
      <x:c r="F57" s="24" t="str">
        <x:v>Flathead grey mullet</x:v>
      </x:c>
      <x:c r="G57" s="24" t="str">
        <x:v>Large benthopelagics (&gt;=90 cm)</x:v>
      </x:c>
      <x:c r="H57" s="24" t="str">
        <x:v>Perch-likes</x:v>
      </x:c>
      <x:c r="I57" s="31" t="n">
        <x:v>131.4980089517</x:v>
      </x:c>
      <x:c r="J57" s="31" t="n">
        <x:v>131.4980089517</x:v>
      </x:c>
      <x:c r="K57" s="31" t="n">
        <x:v>0</x:v>
      </x:c>
      <x:c r="L57" s="31" t="n">
        <x:v>5.800000000000001</x:v>
      </x:c>
      <x:c r="M57" s="31" t="n">
        <x:v>125.69800895169999</x:v>
      </x:c>
      <x:c r="N57" s="24" t="str">
        <x:v>mugil cephalus</x:v>
      </x:c>
      <x:c r="O57" s="32" t="n">
        <x:v>2.14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Mugil cephalus</x:v>
      </x:c>
      <x:c r="T57" s="32" t="n">
        <x:f>IF(O57="","",(1/'Metadata'!$B$5)^(O57-1))</x:f>
        <x:v>13.803842646028853</x:v>
      </x:c>
      <x:c r="U57" s="31" t="n">
        <x:f>IF(T57="","",I57*T57)</x:f>
        <x:v>1815.1778238353604</x:v>
      </x:c>
    </x:row>
    <x:row r="58" ht="18" customHeight="1">
      <x:c r="A58" s="24" t="str">
        <x:v>EEZ_918</x:v>
      </x:c>
      <x:c r="B58" s="24" t="str">
        <x:v>France (Mediterranean)</x:v>
      </x:c>
      <x:c r="C58" s="24" t="str">
        <x:v>EEZ</x:v>
      </x:c>
      <x:c r="D58" s="30" t="n">
        <x:v>2019</x:v>
      </x:c>
      <x:c r="E58" s="24" t="str">
        <x:v>Marine pelagic fishes not identified</x:v>
      </x:c>
      <x:c r="F58" s="24" t="str">
        <x:v>Pelagic fishes</x:v>
      </x:c>
      <x:c r="G58" s="24" t="str">
        <x:v>Medium pelagics (30 - 89 cm)</x:v>
      </x:c>
      <x:c r="H58" s="24" t="str">
        <x:v>Other fishes &amp; inverts</x:v>
      </x:c>
      <x:c r="I58" s="31" t="n">
        <x:v>129.38806104309998</x:v>
      </x:c>
      <x:c r="J58" s="31" t="n">
        <x:v>129.38806104309998</x:v>
      </x:c>
      <x:c r="K58" s="31" t="n">
        <x:v>0</x:v>
      </x:c>
      <x:c r="L58" s="31" t="n">
        <x:v>129.38806104309998</x:v>
      </x:c>
      <x:c r="M58" s="31" t="n">
        <x:v>0</x:v>
      </x:c>
      <x:c r="N58" s="24" t="str">
        <x:v>marine pelagic fishes not identified</x:v>
      </x:c>
      <x:c r="O58" s="32" t="n">
        <x:v>3.35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Marine pelagic fishes not identified</x:v>
      </x:c>
      <x:c r="T58" s="32" t="n">
        <x:f>IF(O58="","",(1/'Metadata'!$B$5)^(O58-1))</x:f>
        <x:v>223.872113856834</x:v>
      </x:c>
      <x:c r="U58" s="31" t="n">
        <x:f>IF(T58="","",I58*T58)</x:f>
        <x:v>28966.378733555866</x:v>
      </x:c>
    </x:row>
    <x:row r="59" ht="18" customHeight="1">
      <x:c r="A59" s="24" t="str">
        <x:v>EEZ_918</x:v>
      </x:c>
      <x:c r="B59" s="24" t="str">
        <x:v>France (Mediterranean)</x:v>
      </x:c>
      <x:c r="C59" s="24" t="str">
        <x:v>EEZ</x:v>
      </x:c>
      <x:c r="D59" s="30" t="n">
        <x:v>2019</x:v>
      </x:c>
      <x:c r="E59" s="24" t="str">
        <x:v>Clupeidae</x:v>
      </x:c>
      <x:c r="F59" s="24" t="str">
        <x:v>Herrings, sardines, menhadens</x:v>
      </x:c>
      <x:c r="G59" s="24" t="str">
        <x:v>Small pelagics (&lt;30 cm)</x:v>
      </x:c>
      <x:c r="H59" s="24" t="str">
        <x:v>Herring-likes</x:v>
      </x:c>
      <x:c r="I59" s="31" t="n">
        <x:v>127.558365302</x:v>
      </x:c>
      <x:c r="J59" s="31" t="n">
        <x:v>0</x:v>
      </x:c>
      <x:c r="K59" s="31" t="n">
        <x:v>127.558365302</x:v>
      </x:c>
      <x:c r="L59" s="31" t="n">
        <x:v>0</x:v>
      </x:c>
      <x:c r="M59" s="31" t="n">
        <x:v>127.558365302</x:v>
      </x:c>
      <x:c r="N59" s="24" t="str">
        <x:v>clupeidae</x:v>
      </x:c>
      <x:c r="O59" s="32" t="n">
        <x:v>3.16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Clupeidae</x:v>
      </x:c>
      <x:c r="T59" s="32" t="n">
        <x:f>IF(O59="","",(1/'Metadata'!$B$5)^(O59-1))</x:f>
        <x:v>144.5439770745928</x:v>
      </x:c>
      <x:c r="U59" s="31" t="n">
        <x:f>IF(T59="","",I59*T59)</x:f>
        <x:v>18437.79342988482</x:v>
      </x:c>
    </x:row>
    <x:row r="60" ht="18" customHeight="1">
      <x:c r="A60" s="24" t="str">
        <x:v>EEZ_918</x:v>
      </x:c>
      <x:c r="B60" s="24" t="str">
        <x:v>France (Mediterranean)</x:v>
      </x:c>
      <x:c r="C60" s="24" t="str">
        <x:v>EEZ</x:v>
      </x:c>
      <x:c r="D60" s="30" t="n">
        <x:v>2019</x:v>
      </x:c>
      <x:c r="E60" s="24" t="str">
        <x:v>Alopias</x:v>
      </x:c>
      <x:c r="F60" s="24" t="str">
        <x:v>Thresher sharks</x:v>
      </x:c>
      <x:c r="G60" s="24" t="str">
        <x:v>Large sharks (&gt;=90 cm)</x:v>
      </x:c>
      <x:c r="H60" s="24" t="str">
        <x:v>Sharks &amp; rays</x:v>
      </x:c>
      <x:c r="I60" s="31" t="n">
        <x:v>108.7827337853</x:v>
      </x:c>
      <x:c r="J60" s="31" t="n">
        <x:v>0</x:v>
      </x:c>
      <x:c r="K60" s="31" t="n">
        <x:v>108.7827337853</x:v>
      </x:c>
      <x:c r="L60" s="31" t="n">
        <x:v>0</x:v>
      </x:c>
      <x:c r="M60" s="31" t="n">
        <x:v>108.7827337853</x:v>
      </x:c>
      <x:c r="N60" s="24" t="str">
        <x:v>alopias</x:v>
      </x:c>
      <x:c r="O60" s="32" t="n">
        <x:v>4.5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Alopias</x:v>
      </x:c>
      <x:c r="T60" s="32" t="n">
        <x:f>IF(O60="","",(1/'Metadata'!$B$5)^(O60-1))</x:f>
        <x:v>3162.2776601683795</x:v>
      </x:c>
      <x:c r="U60" s="31" t="n">
        <x:f>IF(T60="","",I60*T60)</x:f>
        <x:v>344001.2088612982</x:v>
      </x:c>
    </x:row>
    <x:row r="61" ht="18" customHeight="1">
      <x:c r="A61" s="24" t="str">
        <x:v>EEZ_918</x:v>
      </x:c>
      <x:c r="B61" s="24" t="str">
        <x:v>France (Mediterranean)</x:v>
      </x:c>
      <x:c r="C61" s="24" t="str">
        <x:v>EEZ</x:v>
      </x:c>
      <x:c r="D61" s="30" t="n">
        <x:v>2019</x:v>
      </x:c>
      <x:c r="E61" s="24" t="str">
        <x:v>Bivalvia</x:v>
      </x:c>
      <x:c r="F61" s="24" t="str">
        <x:v>Clams</x:v>
      </x:c>
      <x:c r="G61" s="24" t="str">
        <x:v>Other demersal invertebrates</x:v>
      </x:c>
      <x:c r="H61" s="24" t="str">
        <x:v>Molluscs</x:v>
      </x:c>
      <x:c r="I61" s="31" t="n">
        <x:v>104.35487597310001</x:v>
      </x:c>
      <x:c r="J61" s="31" t="n">
        <x:v>104.35487597310001</x:v>
      </x:c>
      <x:c r="K61" s="31" t="n">
        <x:v>0</x:v>
      </x:c>
      <x:c r="L61" s="31" t="n">
        <x:v>0</x:v>
      </x:c>
      <x:c r="M61" s="31" t="n">
        <x:v>104.35487597310001</x:v>
      </x:c>
      <x:c r="N61" s="24" t="str">
        <x:v>bivalvia</x:v>
      </x:c>
      <x:c r="O61" s="32" t="n">
        <x:v>2.23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Bivalvia</x:v>
      </x:c>
      <x:c r="T61" s="32" t="n">
        <x:f>IF(O61="","",(1/'Metadata'!$B$5)^(O61-1))</x:f>
        <x:v>16.982436524617444</x:v>
      </x:c>
      <x:c r="U61" s="31" t="n">
        <x:f>IF(T61="","",I61*T61)</x:f>
        <x:v>1772.200057247497</x:v>
      </x:c>
    </x:row>
    <x:row r="62" ht="18" customHeight="1">
      <x:c r="A62" s="24" t="str">
        <x:v>EEZ_918</x:v>
      </x:c>
      <x:c r="B62" s="24" t="str">
        <x:v>France (Mediterranean)</x:v>
      </x:c>
      <x:c r="C62" s="24" t="str">
        <x:v>EEZ</x:v>
      </x:c>
      <x:c r="D62" s="30" t="n">
        <x:v>2019</x:v>
      </x:c>
      <x:c r="E62" s="24" t="str">
        <x:v>Gobiidae</x:v>
      </x:c>
      <x:c r="F62" s="24" t="str">
        <x:v>Gobies</x:v>
      </x:c>
      <x:c r="G62" s="24" t="str">
        <x:v>Small reef assoc. fish (&lt;30 cm)</x:v>
      </x:c>
      <x:c r="H62" s="24" t="str">
        <x:v>Perch-likes</x:v>
      </x:c>
      <x:c r="I62" s="31" t="n">
        <x:v>97.6404007128</x:v>
      </x:c>
      <x:c r="J62" s="31" t="n">
        <x:v>97.6404007128</x:v>
      </x:c>
      <x:c r="K62" s="31" t="n">
        <x:v>0</x:v>
      </x:c>
      <x:c r="L62" s="31" t="n">
        <x:v>43</x:v>
      </x:c>
      <x:c r="M62" s="31" t="n">
        <x:v>54.6404007128</x:v>
      </x:c>
      <x:c r="N62" s="24" t="str">
        <x:v>gobiidae</x:v>
      </x:c>
      <x:c r="O62" s="32" t="n">
        <x:v>3.11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Gobiidae</x:v>
      </x:c>
      <x:c r="T62" s="32" t="n">
        <x:f>IF(O62="","",(1/'Metadata'!$B$5)^(O62-1))</x:f>
        <x:v>128.82495516931337</x:v>
      </x:c>
      <x:c r="U62" s="31" t="n">
        <x:f>IF(T62="","",I62*T62)</x:f>
        <x:v>12578.520244540254</x:v>
      </x:c>
    </x:row>
    <x:row r="63" ht="18" customHeight="1">
      <x:c r="A63" s="24" t="str">
        <x:v>EEZ_918</x:v>
      </x:c>
      <x:c r="B63" s="24" t="str">
        <x:v>France (Mediterranean)</x:v>
      </x:c>
      <x:c r="C63" s="24" t="str">
        <x:v>EEZ</x:v>
      </x:c>
      <x:c r="D63" s="30" t="n">
        <x:v>2019</x:v>
      </x:c>
      <x:c r="E63" s="24" t="str">
        <x:v>Atherinidae</x:v>
      </x:c>
      <x:c r="F63" s="24" t="str">
        <x:v>Silversides</x:v>
      </x:c>
      <x:c r="G63" s="24" t="str">
        <x:v>Small pelagics (&lt;30 cm)</x:v>
      </x:c>
      <x:c r="H63" s="24" t="str">
        <x:v>Other fishes &amp; inverts</x:v>
      </x:c>
      <x:c r="I63" s="31" t="n">
        <x:v>95.1013719964</x:v>
      </x:c>
      <x:c r="J63" s="31" t="n">
        <x:v>95.1013719964</x:v>
      </x:c>
      <x:c r="K63" s="31" t="n">
        <x:v>0</x:v>
      </x:c>
      <x:c r="L63" s="31" t="n">
        <x:v>44.9</x:v>
      </x:c>
      <x:c r="M63" s="31" t="n">
        <x:v>50.2013719964</x:v>
      </x:c>
      <x:c r="N63" s="24" t="str">
        <x:v>atherinidae</x:v>
      </x:c>
      <x:c r="O63" s="32" t="n">
        <x:v>3.2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Atherinidae</x:v>
      </x:c>
      <x:c r="T63" s="32" t="n">
        <x:f>IF(O63="","",(1/'Metadata'!$B$5)^(O63-1))</x:f>
        <x:v>158.48931924611142</x:v>
      </x:c>
      <x:c r="U63" s="31" t="n">
        <x:f>IF(T63="","",I63*T63)</x:f>
        <x:v>15072.551707080642</x:v>
      </x:c>
    </x:row>
    <x:row r="64" ht="18" customHeight="1">
      <x:c r="A64" s="24" t="str">
        <x:v>EEZ_918</x:v>
      </x:c>
      <x:c r="B64" s="24" t="str">
        <x:v>France (Mediterranean)</x:v>
      </x:c>
      <x:c r="C64" s="24" t="str">
        <x:v>EEZ</x:v>
      </x:c>
      <x:c r="D64" s="30" t="n">
        <x:v>2019</x:v>
      </x:c>
      <x:c r="E64" s="24" t="str">
        <x:v>Mullus</x:v>
      </x:c>
      <x:c r="F64" s="24" t="str">
        <x:v>Atlantic goatfishes</x:v>
      </x:c>
      <x:c r="G64" s="24" t="str">
        <x:v>Medium demersals (30 - 89 cm)</x:v>
      </x:c>
      <x:c r="H64" s="24" t="str">
        <x:v>Perch-likes</x:v>
      </x:c>
      <x:c r="I64" s="31" t="n">
        <x:v>94.3630571241</x:v>
      </x:c>
      <x:c r="J64" s="31" t="n">
        <x:v>94.3630571241</x:v>
      </x:c>
      <x:c r="K64" s="31" t="n">
        <x:v>0</x:v>
      </x:c>
      <x:c r="L64" s="31" t="n">
        <x:v>87.5</x:v>
      </x:c>
      <x:c r="M64" s="31" t="n">
        <x:v>6.863057124099999</x:v>
      </x:c>
      <x:c r="N64" s="24" t="str">
        <x:v>mullus</x:v>
      </x:c>
      <x:c r="O64" s="32" t="n">
        <x:v>3.29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Mullus</x:v>
      </x:c>
      <x:c r="T64" s="32" t="n">
        <x:f>IF(O64="","",(1/'Metadata'!$B$5)^(O64-1))</x:f>
        <x:v>194.98445997580455</x:v>
      </x:c>
      <x:c r="U64" s="31" t="n">
        <x:f>IF(T64="","",I64*T64)</x:f>
        <x:v>18399.329735008636</x:v>
      </x:c>
    </x:row>
    <x:row r="65" ht="18" customHeight="1">
      <x:c r="A65" s="24" t="str">
        <x:v>EEZ_918</x:v>
      </x:c>
      <x:c r="B65" s="24" t="str">
        <x:v>France (Mediterranean)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92.247540071</x:v>
      </x:c>
      <x:c r="J65" s="31" t="n">
        <x:v>92.247540071</x:v>
      </x:c>
      <x:c r="K65" s="31" t="n">
        <x:v>0</x:v>
      </x:c>
      <x:c r="L65" s="31" t="n">
        <x:v>44.2</x:v>
      </x:c>
      <x:c r="M65" s="31" t="n">
        <x:v>48.047540071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34273.21093392958</x:v>
      </x:c>
    </x:row>
    <x:row r="66" ht="18" customHeight="1">
      <x:c r="A66" s="24" t="str">
        <x:v>EEZ_918</x:v>
      </x:c>
      <x:c r="B66" s="24" t="str">
        <x:v>France (Mediterranean)</x:v>
      </x:c>
      <x:c r="C66" s="24" t="str">
        <x:v>EEZ</x:v>
      </x:c>
      <x:c r="D66" s="30" t="n">
        <x:v>2019</x:v>
      </x:c>
      <x:c r="E66" s="24" t="str">
        <x:v>Eutrigla gurnardus</x:v>
      </x:c>
      <x:c r="F66" s="24" t="str">
        <x:v>Grey gurnard</x:v>
      </x:c>
      <x:c r="G66" s="24" t="str">
        <x:v>Medium demersals (30 - 89 cm)</x:v>
      </x:c>
      <x:c r="H66" s="24" t="str">
        <x:v>Scorpionfishes</x:v>
      </x:c>
      <x:c r="I66" s="31" t="n">
        <x:v>84.3290855769</x:v>
      </x:c>
      <x:c r="J66" s="31" t="n">
        <x:v>84.3290855769</x:v>
      </x:c>
      <x:c r="K66" s="31" t="n">
        <x:v>0</x:v>
      </x:c>
      <x:c r="L66" s="31" t="n">
        <x:v>34</x:v>
      </x:c>
      <x:c r="M66" s="31" t="n">
        <x:v>50.3290855769</x:v>
      </x:c>
      <x:c r="N66" s="24" t="str">
        <x:v>eutrigla gurnardus</x:v>
      </x:c>
      <x:c r="O66" s="32" t="n">
        <x:v>3.87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Eutrigla gurnardus</x:v>
      </x:c>
      <x:c r="T66" s="32" t="n">
        <x:f>IF(O66="","",(1/'Metadata'!$B$5)^(O66-1))</x:f>
        <x:v>741.3102413009177</x:v>
      </x:c>
      <x:c r="U66" s="31" t="n">
        <x:f>IF(T66="","",I66*T66)</x:f>
        <x:v>62514.01477769748</x:v>
      </x:c>
    </x:row>
    <x:row r="67" ht="18" customHeight="1">
      <x:c r="A67" s="24" t="str">
        <x:v>EEZ_918</x:v>
      </x:c>
      <x:c r="B67" s="24" t="str">
        <x:v>France (Mediterranean)</x:v>
      </x:c>
      <x:c r="C67" s="24" t="str">
        <x:v>EEZ</x:v>
      </x:c>
      <x:c r="D67" s="30" t="n">
        <x:v>2019</x:v>
      </x:c>
      <x:c r="E67" s="24" t="str">
        <x:v>Scyliorhinus canicula</x:v>
      </x:c>
      <x:c r="F67" s="24" t="str">
        <x:v>Small-spotted catshark</x:v>
      </x:c>
      <x:c r="G67" s="24" t="str">
        <x:v>Small to medium sharks (&lt;90 cm)</x:v>
      </x:c>
      <x:c r="H67" s="24" t="str">
        <x:v>Sharks &amp; rays</x:v>
      </x:c>
      <x:c r="I67" s="31" t="n">
        <x:v>82.6705361779</x:v>
      </x:c>
      <x:c r="J67" s="31" t="n">
        <x:v>82.6705361779</x:v>
      </x:c>
      <x:c r="K67" s="31" t="n">
        <x:v>0</x:v>
      </x:c>
      <x:c r="L67" s="31" t="n">
        <x:v>24.3</x:v>
      </x:c>
      <x:c r="M67" s="31" t="n">
        <x:v>58.3705361779</x:v>
      </x:c>
      <x:c r="N67" s="24" t="str">
        <x:v>scyliorhinus canicula</x:v>
      </x:c>
      <x:c r="O67" s="32" t="n">
        <x:v>3.82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Scyliorhinus canicula</x:v>
      </x:c>
      <x:c r="T67" s="32" t="n">
        <x:f>IF(O67="","",(1/'Metadata'!$B$5)^(O67-1))</x:f>
        <x:v>660.6934480075957</x:v>
      </x:c>
      <x:c r="U67" s="31" t="n">
        <x:f>IF(T67="","",I67*T67)</x:f>
        <x:v>54619.88159601344</x:v>
      </x:c>
    </x:row>
    <x:row r="68" ht="18" customHeight="1">
      <x:c r="A68" s="24" t="str">
        <x:v>EEZ_918</x:v>
      </x:c>
      <x:c r="B68" s="24" t="str">
        <x:v>France (Mediterranean)</x:v>
      </x:c>
      <x:c r="C68" s="24" t="str">
        <x:v>EEZ</x:v>
      </x:c>
      <x:c r="D68" s="30" t="n">
        <x:v>2019</x:v>
      </x:c>
      <x:c r="E68" s="24" t="str">
        <x:v>Spondyliosoma cantharus</x:v>
      </x:c>
      <x:c r="F68" s="24" t="str">
        <x:v>Black seabream</x:v>
      </x:c>
      <x:c r="G68" s="24" t="str">
        <x:v>Medium benthopelagics (30 - 89 cm)</x:v>
      </x:c>
      <x:c r="H68" s="24" t="str">
        <x:v>Perch-likes</x:v>
      </x:c>
      <x:c r="I68" s="31" t="n">
        <x:v>82.0409212084</x:v>
      </x:c>
      <x:c r="J68" s="31" t="n">
        <x:v>82.0409212084</x:v>
      </x:c>
      <x:c r="K68" s="31" t="n">
        <x:v>0</x:v>
      </x:c>
      <x:c r="L68" s="31" t="n">
        <x:v>1.4</x:v>
      </x:c>
      <x:c r="M68" s="31" t="n">
        <x:v>80.6409212084</x:v>
      </x:c>
      <x:c r="N68" s="24" t="str">
        <x:v>spondyliosoma cantharus</x:v>
      </x:c>
      <x:c r="O68" s="32" t="n">
        <x:v>3.34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Spondyliosoma cantharus</x:v>
      </x:c>
      <x:c r="T68" s="32" t="n">
        <x:f>IF(O68="","",(1/'Metadata'!$B$5)^(O68-1))</x:f>
        <x:v>218.77616239495518</x:v>
      </x:c>
      <x:c r="U68" s="31" t="n">
        <x:f>IF(T68="","",I68*T68)</x:f>
        <x:v>17948.597901320638</x:v>
      </x:c>
    </x:row>
    <x:row r="69" ht="18" customHeight="1">
      <x:c r="A69" s="24" t="str">
        <x:v>EEZ_918</x:v>
      </x:c>
      <x:c r="B69" s="24" t="str">
        <x:v>France (Mediterranean)</x:v>
      </x:c>
      <x:c r="C69" s="24" t="str">
        <x:v>EEZ</x:v>
      </x:c>
      <x:c r="D69" s="30" t="n">
        <x:v>2019</x:v>
      </x:c>
      <x:c r="E69" s="24" t="str">
        <x:v>Squalidae</x:v>
      </x:c>
      <x:c r="F69" s="24" t="str">
        <x:v>Dogfish sharks</x:v>
      </x:c>
      <x:c r="G69" s="24" t="str">
        <x:v>Large sharks (&gt;=90 cm)</x:v>
      </x:c>
      <x:c r="H69" s="24" t="str">
        <x:v>Sharks &amp; rays</x:v>
      </x:c>
      <x:c r="I69" s="31" t="n">
        <x:v>81.8534950361</x:v>
      </x:c>
      <x:c r="J69" s="31" t="n">
        <x:v>4.6537322301</x:v>
      </x:c>
      <x:c r="K69" s="31" t="n">
        <x:v>77.199762806</x:v>
      </x:c>
      <x:c r="L69" s="31" t="n">
        <x:v>0.9</x:v>
      </x:c>
      <x:c r="M69" s="31" t="n">
        <x:v>80.95349503610001</x:v>
      </x:c>
      <x:c r="N69" s="24" t="str">
        <x:v>squalidae</x:v>
      </x:c>
      <x:c r="O69" s="32" t="n">
        <x:v>4.23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Squalidae</x:v>
      </x:c>
      <x:c r="T69" s="32" t="n">
        <x:f>IF(O69="","",(1/'Metadata'!$B$5)^(O69-1))</x:f>
        <x:v>1698.243652461746</x:v>
      </x:c>
      <x:c r="U69" s="31" t="n">
        <x:f>IF(T69="","",I69*T69)</x:f>
        <x:v>139007.17837686586</x:v>
      </x:c>
    </x:row>
    <x:row r="70" ht="18" customHeight="1">
      <x:c r="A70" s="24" t="str">
        <x:v>EEZ_918</x:v>
      </x:c>
      <x:c r="B70" s="24" t="str">
        <x:v>France (Mediterranean)</x:v>
      </x:c>
      <x:c r="C70" s="24" t="str">
        <x:v>EEZ</x:v>
      </x:c>
      <x:c r="D70" s="30" t="n">
        <x:v>2019</x:v>
      </x:c>
      <x:c r="E70" s="24" t="str">
        <x:v>Tellina</x:v>
      </x:c>
      <x:c r="F70" s="24" t="str">
        <x:v>Tellins</x:v>
      </x:c>
      <x:c r="G70" s="24" t="str">
        <x:v>Other demersal invertebrates</x:v>
      </x:c>
      <x:c r="H70" s="24" t="str">
        <x:v>Molluscs</x:v>
      </x:c>
      <x:c r="I70" s="31" t="n">
        <x:v>79.0651334283</x:v>
      </x:c>
      <x:c r="J70" s="31" t="n">
        <x:v>79.0651334283</x:v>
      </x:c>
      <x:c r="K70" s="31" t="n">
        <x:v>0</x:v>
      </x:c>
      <x:c r="L70" s="31" t="n">
        <x:v>13.000000000200002</x:v>
      </x:c>
      <x:c r="M70" s="31" t="n">
        <x:v>66.0651334281</x:v>
      </x:c>
      <x:c r="N70" s="24" t="str">
        <x:v>tellina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Tellina</x:v>
      </x:c>
      <x:c r="T70" s="32" t="n">
        <x:f>IF(O70="","",(1/'Metadata'!$B$5)^(O70-1))</x:f>
        <x:v>10</x:v>
      </x:c>
      <x:c r="U70" s="31" t="n">
        <x:f>IF(T70="","",I70*T70)</x:f>
        <x:v>790.651334283</x:v>
      </x:c>
    </x:row>
    <x:row r="71" ht="18" customHeight="1">
      <x:c r="A71" s="24" t="str">
        <x:v>EEZ_918</x:v>
      </x:c>
      <x:c r="B71" s="24" t="str">
        <x:v>France (Mediterranean)</x:v>
      </x:c>
      <x:c r="C71" s="24" t="str">
        <x:v>EEZ</x:v>
      </x:c>
      <x:c r="D71" s="30" t="n">
        <x:v>2019</x:v>
      </x:c>
      <x:c r="E71" s="24" t="str">
        <x:v>Merlangius merlangus</x:v>
      </x:c>
      <x:c r="F71" s="24" t="str">
        <x:v>Whiting</x:v>
      </x:c>
      <x:c r="G71" s="24" t="str">
        <x:v>Medium benthopelagics (30 - 89 cm)</x:v>
      </x:c>
      <x:c r="H71" s="24" t="str">
        <x:v>Cod-likes</x:v>
      </x:c>
      <x:c r="I71" s="31" t="n">
        <x:v>74.7310664629</x:v>
      </x:c>
      <x:c r="J71" s="31" t="n">
        <x:v>74.7310664629</x:v>
      </x:c>
      <x:c r="K71" s="31" t="n">
        <x:v>0</x:v>
      </x:c>
      <x:c r="L71" s="31" t="n">
        <x:v>0</x:v>
      </x:c>
      <x:c r="M71" s="31" t="n">
        <x:v>74.7310664629</x:v>
      </x:c>
      <x:c r="N71" s="24" t="str">
        <x:v>merlangius merlangus</x:v>
      </x:c>
      <x:c r="O71" s="32" t="n">
        <x:v>4.36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Merlangius merlangus</x:v>
      </x:c>
      <x:c r="T71" s="32" t="n">
        <x:f>IF(O71="","",(1/'Metadata'!$B$5)^(O71-1))</x:f>
        <x:v>2290.867652767775</x:v>
      </x:c>
      <x:c r="U71" s="31" t="n">
        <x:f>IF(T71="","",I71*T71)</x:f>
        <x:v>171198.9828166963</x:v>
      </x:c>
    </x:row>
    <x:row r="72" ht="18" customHeight="1">
      <x:c r="A72" s="24" t="str">
        <x:v>EEZ_918</x:v>
      </x:c>
      <x:c r="B72" s="24" t="str">
        <x:v>France (Mediterranean)</x:v>
      </x:c>
      <x:c r="C72" s="24" t="str">
        <x:v>EEZ</x:v>
      </x:c>
      <x:c r="D72" s="30" t="n">
        <x:v>2019</x:v>
      </x:c>
      <x:c r="E72" s="24" t="str">
        <x:v>Carcinus aestuarii</x:v>
      </x:c>
      <x:c r="F72" s="24" t="str">
        <x:v>Mediterranean shore crab</x:v>
      </x:c>
      <x:c r="G72" s="24" t="str">
        <x:v>Lobsters, crabs</x:v>
      </x:c>
      <x:c r="H72" s="24" t="str">
        <x:v>Crustaceans</x:v>
      </x:c>
      <x:c r="I72" s="31" t="n">
        <x:v>71.6811415269</x:v>
      </x:c>
      <x:c r="J72" s="31" t="n">
        <x:v>71.6811415269</x:v>
      </x:c>
      <x:c r="K72" s="31" t="n">
        <x:v>0</x:v>
      </x:c>
      <x:c r="L72" s="31" t="n">
        <x:v>56</x:v>
      </x:c>
      <x:c r="M72" s="31" t="n">
        <x:v>15.6811415269</x:v>
      </x:c>
      <x:c r="N72" s="24" t="str">
        <x:v>carcinus aestuarii</x:v>
      </x:c>
      <x:c r="O72" s="32" t="n">
        <x:v>3.43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Carcinus aestuarii</x:v>
      </x:c>
      <x:c r="T72" s="32" t="n">
        <x:f>IF(O72="","",(1/'Metadata'!$B$5)^(O72-1))</x:f>
        <x:v>269.1534803926917</x:v>
      </x:c>
      <x:c r="U72" s="31" t="n">
        <x:f>IF(T72="","",I72*T72)</x:f>
        <x:v>19293.228720486237</x:v>
      </x:c>
    </x:row>
    <x:row r="73" ht="18" customHeight="1">
      <x:c r="A73" s="24" t="str">
        <x:v>EEZ_918</x:v>
      </x:c>
      <x:c r="B73" s="24" t="str">
        <x:v>France (Mediterranean)</x:v>
      </x:c>
      <x:c r="C73" s="24" t="str">
        <x:v>EEZ</x:v>
      </x:c>
      <x:c r="D73" s="30" t="n">
        <x:v>2019</x:v>
      </x:c>
      <x:c r="E73" s="24" t="str">
        <x:v>Raja clavata</x:v>
      </x:c>
      <x:c r="F73" s="24" t="str">
        <x:v>Thornback ray</x:v>
      </x:c>
      <x:c r="G73" s="24" t="str">
        <x:v>Large rays (&gt;=90 cm)</x:v>
      </x:c>
      <x:c r="H73" s="24" t="str">
        <x:v>Sharks &amp; rays</x:v>
      </x:c>
      <x:c r="I73" s="31" t="n">
        <x:v>68.8728482704</x:v>
      </x:c>
      <x:c r="J73" s="31" t="n">
        <x:v>68.8728482704</x:v>
      </x:c>
      <x:c r="K73" s="31" t="n">
        <x:v>0</x:v>
      </x:c>
      <x:c r="L73" s="31" t="n">
        <x:v>36.199999999999996</x:v>
      </x:c>
      <x:c r="M73" s="31" t="n">
        <x:v>32.672848270399996</x:v>
      </x:c>
      <x:c r="N73" s="24" t="str">
        <x:v>raja clavata</x:v>
      </x:c>
      <x:c r="O73" s="32" t="n">
        <x:v>3.84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Raja clavata</x:v>
      </x:c>
      <x:c r="T73" s="32" t="n">
        <x:f>IF(O73="","",(1/'Metadata'!$B$5)^(O73-1))</x:f>
        <x:v>691.8309709189363</x:v>
      </x:c>
      <x:c r="U73" s="31" t="n">
        <x:f>IF(T73="","",I73*T73)</x:f>
        <x:v>47648.36948886341</x:v>
      </x:c>
    </x:row>
    <x:row r="74" ht="18" customHeight="1">
      <x:c r="A74" s="24" t="str">
        <x:v>EEZ_918</x:v>
      </x:c>
      <x:c r="B74" s="24" t="str">
        <x:v>France (Mediterranean)</x:v>
      </x:c>
      <x:c r="C74" s="24" t="str">
        <x:v>EEZ</x:v>
      </x:c>
      <x:c r="D74" s="30" t="n">
        <x:v>2019</x:v>
      </x:c>
      <x:c r="E74" s="24" t="str">
        <x:v>Cepola macrophthalma</x:v>
      </x:c>
      <x:c r="F74" s="24" t="str">
        <x:v>Red bandfish</x:v>
      </x:c>
      <x:c r="G74" s="24" t="str">
        <x:v>Medium demersals (30 - 89 cm)</x:v>
      </x:c>
      <x:c r="H74" s="24" t="str">
        <x:v>Perch-likes</x:v>
      </x:c>
      <x:c r="I74" s="31" t="n">
        <x:v>63.5969283718</x:v>
      </x:c>
      <x:c r="J74" s="31" t="n">
        <x:v>63.5969283718</x:v>
      </x:c>
      <x:c r="K74" s="31" t="n">
        <x:v>0</x:v>
      </x:c>
      <x:c r="L74" s="31" t="n">
        <x:v>20</x:v>
      </x:c>
      <x:c r="M74" s="31" t="n">
        <x:v>43.5969283718</x:v>
      </x:c>
      <x:c r="N74" s="24" t="str">
        <x:v>cepola macrophthalma</x:v>
      </x:c>
      <x:c r="O74" s="32" t="n">
        <x:v>3.13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Cepola macrophthalma</x:v>
      </x:c>
      <x:c r="T74" s="32" t="n">
        <x:f>IF(O74="","",(1/'Metadata'!$B$5)^(O74-1))</x:f>
        <x:v>134.89628825916532</x:v>
      </x:c>
      <x:c r="U74" s="31" t="n">
        <x:f>IF(T74="","",I74*T74)</x:f>
        <x:v>8578.989582039821</x:v>
      </x:c>
    </x:row>
    <x:row r="75" ht="18" customHeight="1">
      <x:c r="A75" s="24" t="str">
        <x:v>EEZ_918</x:v>
      </x:c>
      <x:c r="B75" s="24" t="str">
        <x:v>France (Mediterranean)</x:v>
      </x:c>
      <x:c r="C75" s="24" t="str">
        <x:v>EEZ</x:v>
      </x:c>
      <x:c r="D75" s="30" t="n">
        <x:v>2019</x:v>
      </x:c>
      <x:c r="E75" s="24" t="str">
        <x:v>Trachinus draco</x:v>
      </x:c>
      <x:c r="F75" s="24" t="str">
        <x:v>Greater weever</x:v>
      </x:c>
      <x:c r="G75" s="24" t="str">
        <x:v>Medium demersals (30 - 89 cm)</x:v>
      </x:c>
      <x:c r="H75" s="24" t="str">
        <x:v>Perch-likes</x:v>
      </x:c>
      <x:c r="I75" s="31" t="n">
        <x:v>56.7059260964</x:v>
      </x:c>
      <x:c r="J75" s="31" t="n">
        <x:v>56.7059260964</x:v>
      </x:c>
      <x:c r="K75" s="31" t="n">
        <x:v>0</x:v>
      </x:c>
      <x:c r="L75" s="31" t="n">
        <x:v>22.2</x:v>
      </x:c>
      <x:c r="M75" s="31" t="n">
        <x:v>34.505926096399996</x:v>
      </x:c>
      <x:c r="N75" s="24" t="str">
        <x:v>trachinus draco</x:v>
      </x:c>
      <x:c r="O75" s="32" t="n">
        <x:v>4.18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Trachinus draco</x:v>
      </x:c>
      <x:c r="T75" s="32" t="n">
        <x:f>IF(O75="","",(1/'Metadata'!$B$5)^(O75-1))</x:f>
        <x:v>1513.5612484362073</x:v>
      </x:c>
      <x:c r="U75" s="31" t="n">
        <x:f>IF(T75="","",I75*T75)</x:f>
        <x:v>85827.8922961985</x:v>
      </x:c>
    </x:row>
    <x:row r="76" ht="18" customHeight="1">
      <x:c r="A76" s="24" t="str">
        <x:v>EEZ_918</x:v>
      </x:c>
      <x:c r="B76" s="24" t="str">
        <x:v>France (Mediterranean)</x:v>
      </x:c>
      <x:c r="C76" s="24" t="str">
        <x:v>EEZ</x:v>
      </x:c>
      <x:c r="D76" s="30" t="n">
        <x:v>2019</x:v>
      </x:c>
      <x:c r="E76" s="24" t="str">
        <x:v>Lithognathus mormyrus</x:v>
      </x:c>
      <x:c r="F76" s="24" t="str">
        <x:v>Sand steenbras</x:v>
      </x:c>
      <x:c r="G76" s="24" t="str">
        <x:v>Medium benthopelagics (30 - 89 cm)</x:v>
      </x:c>
      <x:c r="H76" s="24" t="str">
        <x:v>Perch-likes</x:v>
      </x:c>
      <x:c r="I76" s="31" t="n">
        <x:v>49.6369594373</x:v>
      </x:c>
      <x:c r="J76" s="31" t="n">
        <x:v>49.6369594373</x:v>
      </x:c>
      <x:c r="K76" s="31" t="n">
        <x:v>0</x:v>
      </x:c>
      <x:c r="L76" s="31" t="n">
        <x:v>17.8</x:v>
      </x:c>
      <x:c r="M76" s="31" t="n">
        <x:v>31.8369594373</x:v>
      </x:c>
      <x:c r="N76" s="24" t="str">
        <x:v>lithognathus mormyrus</x:v>
      </x:c>
      <x:c r="O76" s="32" t="n">
        <x:v>3.42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Lithognathus mormyrus</x:v>
      </x:c>
      <x:c r="T76" s="32" t="n">
        <x:f>IF(O76="","",(1/'Metadata'!$B$5)^(O76-1))</x:f>
        <x:v>263.02679918953817</x:v>
      </x:c>
      <x:c r="U76" s="31" t="n">
        <x:f>IF(T76="","",I76*T76)</x:f>
        <x:v>13055.85056229396</x:v>
      </x:c>
    </x:row>
    <x:row r="77" ht="18" customHeight="1">
      <x:c r="A77" s="24" t="str">
        <x:v>EEZ_918</x:v>
      </x:c>
      <x:c r="B77" s="24" t="str">
        <x:v>France (Mediterranean)</x:v>
      </x:c>
      <x:c r="C77" s="24" t="str">
        <x:v>EEZ</x:v>
      </x:c>
      <x:c r="D77" s="30" t="n">
        <x:v>2019</x:v>
      </x:c>
      <x:c r="E77" s="24" t="str">
        <x:v>Prionace glauca</x:v>
      </x:c>
      <x:c r="F77" s="24" t="str">
        <x:v>Blue shark</x:v>
      </x:c>
      <x:c r="G77" s="24" t="str">
        <x:v>Large sharks (&gt;=90 cm)</x:v>
      </x:c>
      <x:c r="H77" s="24" t="str">
        <x:v>Sharks &amp; rays</x:v>
      </x:c>
      <x:c r="I77" s="31" t="n">
        <x:v>49.329138859800004</x:v>
      </x:c>
      <x:c r="J77" s="31" t="n">
        <x:v>49.329138859800004</x:v>
      </x:c>
      <x:c r="K77" s="31" t="n">
        <x:v>0</x:v>
      </x:c>
      <x:c r="L77" s="31" t="n">
        <x:v>41.1315984059</x:v>
      </x:c>
      <x:c r="M77" s="31" t="n">
        <x:v>8.1975404539</x:v>
      </x:c>
      <x:c r="N77" s="24" t="str">
        <x:v>prionace glauca</x:v>
      </x:c>
      <x:c r="O77" s="32" t="n">
        <x:v>4.35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Prionace glauca</x:v>
      </x:c>
      <x:c r="T77" s="32" t="n">
        <x:f>IF(O77="","",(1/'Metadata'!$B$5)^(O77-1))</x:f>
        <x:v>2238.7211385683377</x:v>
      </x:c>
      <x:c r="U77" s="31" t="n">
        <x:f>IF(T77="","",I77*T77)</x:f>
        <x:v>110434.1859128071</x:v>
      </x:c>
    </x:row>
    <x:row r="78" ht="18" customHeight="1">
      <x:c r="A78" s="24" t="str">
        <x:v>EEZ_918</x:v>
      </x:c>
      <x:c r="B78" s="24" t="str">
        <x:v>France (Mediterranean)</x:v>
      </x:c>
      <x:c r="C78" s="24" t="str">
        <x:v>EEZ</x:v>
      </x:c>
      <x:c r="D78" s="30" t="n">
        <x:v>2019</x:v>
      </x:c>
      <x:c r="E78" s="24" t="str">
        <x:v>Lepidorhombus whiffiagonis</x:v>
      </x:c>
      <x:c r="F78" s="24" t="str">
        <x:v>Megrim</x:v>
      </x:c>
      <x:c r="G78" s="24" t="str">
        <x:v>Small to medium flatfishes (&lt;90 cm)</x:v>
      </x:c>
      <x:c r="H78" s="24" t="str">
        <x:v>Flatfishes</x:v>
      </x:c>
      <x:c r="I78" s="31" t="n">
        <x:v>47.591260666400004</x:v>
      </x:c>
      <x:c r="J78" s="31" t="n">
        <x:v>47.591260666400004</x:v>
      </x:c>
      <x:c r="K78" s="31" t="n">
        <x:v>0</x:v>
      </x:c>
      <x:c r="L78" s="31" t="n">
        <x:v>23</x:v>
      </x:c>
      <x:c r="M78" s="31" t="n">
        <x:v>24.5912606664</x:v>
      </x:c>
      <x:c r="N78" s="24" t="str">
        <x:v>lepidorhombus whiffiagonis</x:v>
      </x:c>
      <x:c r="O78" s="32" t="n">
        <x:v>4.34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Lepidorhombus whiffiagonis</x:v>
      </x:c>
      <x:c r="T78" s="32" t="n">
        <x:f>IF(O78="","",(1/'Metadata'!$B$5)^(O78-1))</x:f>
        <x:v>2187.761623949552</x:v>
      </x:c>
      <x:c r="U78" s="31" t="n">
        <x:f>IF(T78="","",I78*T78)</x:f>
        <x:v>104118.3337213297</x:v>
      </x:c>
    </x:row>
    <x:row r="79" ht="18" customHeight="1">
      <x:c r="A79" s="24" t="str">
        <x:v>EEZ_918</x:v>
      </x:c>
      <x:c r="B79" s="24" t="str">
        <x:v>France (Mediterranean)</x:v>
      </x:c>
      <x:c r="C79" s="24" t="str">
        <x:v>EEZ</x:v>
      </x:c>
      <x:c r="D79" s="30" t="n">
        <x:v>2019</x:v>
      </x:c>
      <x:c r="E79" s="24" t="str">
        <x:v>Lamniformes</x:v>
      </x:c>
      <x:c r="F79" s="24" t="str">
        <x:v>Mackerel sharks</x:v>
      </x:c>
      <x:c r="G79" s="24" t="str">
        <x:v>Large sharks (&gt;=90 cm)</x:v>
      </x:c>
      <x:c r="H79" s="24" t="str">
        <x:v>Sharks &amp; rays</x:v>
      </x:c>
      <x:c r="I79" s="31" t="n">
        <x:v>47.0028911038</x:v>
      </x:c>
      <x:c r="J79" s="31" t="n">
        <x:v>0</x:v>
      </x:c>
      <x:c r="K79" s="31" t="n">
        <x:v>47.0028911038</x:v>
      </x:c>
      <x:c r="L79" s="31" t="n">
        <x:v>0</x:v>
      </x:c>
      <x:c r="M79" s="31" t="n">
        <x:v>47.0028911038</x:v>
      </x:c>
      <x:c r="N79" s="24" t="str">
        <x:v>lamniformes</x:v>
      </x:c>
      <x:c r="O79" s="32" t="n">
        <x:v>4.34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Lamniformes</x:v>
      </x:c>
      <x:c r="T79" s="32" t="n">
        <x:f>IF(O79="","",(1/'Metadata'!$B$5)^(O79-1))</x:f>
        <x:v>2187.761623949552</x:v>
      </x:c>
      <x:c r="U79" s="31" t="n">
        <x:f>IF(T79="","",I79*T79)</x:f>
        <x:v>102831.12137157345</x:v>
      </x:c>
    </x:row>
    <x:row r="80" ht="18" customHeight="1">
      <x:c r="A80" s="24" t="str">
        <x:v>EEZ_918</x:v>
      </x:c>
      <x:c r="B80" s="24" t="str">
        <x:v>France (Mediterranean)</x:v>
      </x:c>
      <x:c r="C80" s="24" t="str">
        <x:v>EEZ</x:v>
      </x:c>
      <x:c r="D80" s="30" t="n">
        <x:v>2019</x:v>
      </x:c>
      <x:c r="E80" s="24" t="str">
        <x:v>Scophthalmus maximus</x:v>
      </x:c>
      <x:c r="F80" s="24" t="str">
        <x:v>Turbot</x:v>
      </x:c>
      <x:c r="G80" s="24" t="str">
        <x:v>Large flatfishes (&gt;=90 cm)</x:v>
      </x:c>
      <x:c r="H80" s="24" t="str">
        <x:v>Flatfishes</x:v>
      </x:c>
      <x:c r="I80" s="31" t="n">
        <x:v>46.2828961022</x:v>
      </x:c>
      <x:c r="J80" s="31" t="n">
        <x:v>46.2828961022</x:v>
      </x:c>
      <x:c r="K80" s="31" t="n">
        <x:v>0</x:v>
      </x:c>
      <x:c r="L80" s="31" t="n">
        <x:v>19.8</x:v>
      </x:c>
      <x:c r="M80" s="31" t="n">
        <x:v>26.4828961022</x:v>
      </x:c>
      <x:c r="N80" s="24" t="str">
        <x:v>scophthalmus maximus</x:v>
      </x:c>
      <x:c r="O80" s="32" t="n">
        <x:v>4.36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Scophthalmus maximus</x:v>
      </x:c>
      <x:c r="T80" s="32" t="n">
        <x:f>IF(O80="","",(1/'Metadata'!$B$5)^(O80-1))</x:f>
        <x:v>2290.867652767775</x:v>
      </x:c>
      <x:c r="U80" s="31" t="n">
        <x:f>IF(T80="","",I80*T80)</x:f>
        <x:v>106027.98955694171</x:v>
      </x:c>
    </x:row>
    <x:row r="81" ht="18" customHeight="1">
      <x:c r="A81" s="24" t="str">
        <x:v>EEZ_918</x:v>
      </x:c>
      <x:c r="B81" s="24" t="str">
        <x:v>France (Mediterranean)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44.608458997</x:v>
      </x:c>
      <x:c r="J81" s="31" t="n">
        <x:v>44.608458997</x:v>
      </x:c>
      <x:c r="K81" s="31" t="n">
        <x:v>0</x:v>
      </x:c>
      <x:c r="L81" s="31" t="n">
        <x:v>44.608458997</x:v>
      </x:c>
      <x:c r="M81" s="31" t="n">
        <x:v>0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141064.33334075025</x:v>
      </x:c>
    </x:row>
    <x:row r="82" ht="18" customHeight="1">
      <x:c r="A82" s="24" t="str">
        <x:v>EEZ_918</x:v>
      </x:c>
      <x:c r="B82" s="24" t="str">
        <x:v>France (Mediterranean)</x:v>
      </x:c>
      <x:c r="C82" s="24" t="str">
        <x:v>EEZ</x:v>
      </x:c>
      <x:c r="D82" s="30" t="n">
        <x:v>2019</x:v>
      </x:c>
      <x:c r="E82" s="24" t="str">
        <x:v>Spicara</x:v>
      </x:c>
      <x:c r="F82" s="24" t="str">
        <x:v>Picarels</x:v>
      </x:c>
      <x:c r="G82" s="24" t="str">
        <x:v>Small demersals (&lt;30 cm)</x:v>
      </x:c>
      <x:c r="H82" s="24" t="str">
        <x:v>Perch-likes</x:v>
      </x:c>
      <x:c r="I82" s="31" t="n">
        <x:v>44.3745315382</x:v>
      </x:c>
      <x:c r="J82" s="31" t="n">
        <x:v>44.3745315382</x:v>
      </x:c>
      <x:c r="K82" s="31" t="n">
        <x:v>0</x:v>
      </x:c>
      <x:c r="L82" s="31" t="n">
        <x:v>16</x:v>
      </x:c>
      <x:c r="M82" s="31" t="n">
        <x:v>28.3745315382</x:v>
      </x:c>
      <x:c r="N82" s="24" t="str">
        <x:v>spicara</x:v>
      </x:c>
      <x:c r="O82" s="32" t="n">
        <x:v>3.58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Spicara</x:v>
      </x:c>
      <x:c r="T82" s="32" t="n">
        <x:f>IF(O82="","",(1/'Metadata'!$B$5)^(O82-1))</x:f>
        <x:v>380.1893963205613</x:v>
      </x:c>
      <x:c r="U82" s="31" t="n">
        <x:f>IF(T82="","",I82*T82)</x:f>
        <x:v>16870.726357515967</x:v>
      </x:c>
    </x:row>
    <x:row r="83" ht="18" customHeight="1">
      <x:c r="A83" s="24" t="str">
        <x:v>EEZ_918</x:v>
      </x:c>
      <x:c r="B83" s="24" t="str">
        <x:v>France (Mediterranean)</x:v>
      </x:c>
      <x:c r="C83" s="24" t="str">
        <x:v>EEZ</x:v>
      </x:c>
      <x:c r="D83" s="30" t="n">
        <x:v>2019</x:v>
      </x:c>
      <x:c r="E83" s="24" t="str">
        <x:v>Raja asterias</x:v>
      </x:c>
      <x:c r="F83" s="24" t="str">
        <x:v>Mediterranean starry ray</x:v>
      </x:c>
      <x:c r="G83" s="24" t="str">
        <x:v>Small to medium rays (&lt;90 cm)</x:v>
      </x:c>
      <x:c r="H83" s="24" t="str">
        <x:v>Sharks &amp; rays</x:v>
      </x:c>
      <x:c r="I83" s="31" t="n">
        <x:v>43.2632850806</x:v>
      </x:c>
      <x:c r="J83" s="31" t="n">
        <x:v>43.2632850806</x:v>
      </x:c>
      <x:c r="K83" s="31" t="n">
        <x:v>0</x:v>
      </x:c>
      <x:c r="L83" s="31" t="n">
        <x:v>25.900000000000002</x:v>
      </x:c>
      <x:c r="M83" s="31" t="n">
        <x:v>17.3632850806</x:v>
      </x:c>
      <x:c r="N83" s="24" t="str">
        <x:v>raja asterias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Raja asterias</x:v>
      </x:c>
      <x:c r="T83" s="32" t="n">
        <x:f>IF(O83="","",(1/'Metadata'!$B$5)^(O83-1))</x:f>
        <x:v>316.22776601683796</x:v>
      </x:c>
      <x:c r="U83" s="31" t="n">
        <x:f>IF(T83="","",I83*T83)</x:f>
        <x:v>13681.051991587734</x:v>
      </x:c>
    </x:row>
    <x:row r="84" ht="18" customHeight="1">
      <x:c r="A84" s="24" t="str">
        <x:v>EEZ_918</x:v>
      </x:c>
      <x:c r="B84" s="24" t="str">
        <x:v>France (Mediterranean)</x:v>
      </x:c>
      <x:c r="C84" s="24" t="str">
        <x:v>EEZ</x:v>
      </x:c>
      <x:c r="D84" s="30" t="n">
        <x:v>2019</x:v>
      </x:c>
      <x:c r="E84" s="24" t="str">
        <x:v>Miscellaneous aquatic invertebrates</x:v>
      </x:c>
      <x:c r="F84" s="24" t="str">
        <x:v>Aquatic invertebrates</x:v>
      </x:c>
      <x:c r="G84" s="24" t="str">
        <x:v>Other demersal invertebrates</x:v>
      </x:c>
      <x:c r="H84" s="24" t="str">
        <x:v>Other fishes &amp; inverts</x:v>
      </x:c>
      <x:c r="I84" s="31" t="n">
        <x:v>42.86007134</x:v>
      </x:c>
      <x:c r="J84" s="31" t="n">
        <x:v>42.86007134</x:v>
      </x:c>
      <x:c r="K84" s="31" t="n">
        <x:v>0</x:v>
      </x:c>
      <x:c r="L84" s="31" t="n">
        <x:v>39</x:v>
      </x:c>
      <x:c r="M84" s="31" t="n">
        <x:v>3.8600713399999997</x:v>
      </x:c>
      <x:c r="N84" s="24" t="str">
        <x:v>miscellaneous aquatic invertebrates</x:v>
      </x:c>
      <x:c r="O84" s="32" t="n">
        <x:v>2.43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Miscellaneous aquatic invertebrates</x:v>
      </x:c>
      <x:c r="T84" s="32" t="n">
        <x:f>IF(O84="","",(1/'Metadata'!$B$5)^(O84-1))</x:f>
        <x:v>26.915348039269166</x:v>
      </x:c>
      <x:c r="U84" s="31" t="n">
        <x:f>IF(T84="","",I84*T84)</x:f>
        <x:v>1153.5937371040054</x:v>
      </x:c>
    </x:row>
    <x:row r="85" ht="18" customHeight="1">
      <x:c r="A85" s="24" t="str">
        <x:v>EEZ_918</x:v>
      </x:c>
      <x:c r="B85" s="24" t="str">
        <x:v>France (Mediterranean)</x:v>
      </x:c>
      <x:c r="C85" s="24" t="str">
        <x:v>EEZ</x:v>
      </x:c>
      <x:c r="D85" s="30" t="n">
        <x:v>2019</x:v>
      </x:c>
      <x:c r="E85" s="24" t="str">
        <x:v>Rajiformes</x:v>
      </x:c>
      <x:c r="F85" s="24" t="str">
        <x:v>Skates and rays</x:v>
      </x:c>
      <x:c r="G85" s="24" t="str">
        <x:v>Large rays (&gt;=90 cm)</x:v>
      </x:c>
      <x:c r="H85" s="24" t="str">
        <x:v>Sharks &amp; rays</x:v>
      </x:c>
      <x:c r="I85" s="31" t="n">
        <x:v>39.044833297</x:v>
      </x:c>
      <x:c r="J85" s="31" t="n">
        <x:v>39.044833297</x:v>
      </x:c>
      <x:c r="K85" s="31" t="n">
        <x:v>0</x:v>
      </x:c>
      <x:c r="L85" s="31" t="n">
        <x:v>25.7</x:v>
      </x:c>
      <x:c r="M85" s="31" t="n">
        <x:v>13.344833297000001</x:v>
      </x:c>
      <x:c r="N85" s="24" t="str">
        <x:v>rajiformes</x:v>
      </x:c>
      <x:c r="O85" s="32" t="n">
        <x:v>3.61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Rajiformes</x:v>
      </x:c>
      <x:c r="T85" s="32" t="n">
        <x:f>IF(O85="","",(1/'Metadata'!$B$5)^(O85-1))</x:f>
        <x:v>407.3802778041126</x:v>
      </x:c>
      <x:c r="U85" s="31" t="n">
        <x:f>IF(T85="","",I85*T85)</x:f>
        <x:v>15906.095035347125</x:v>
      </x:c>
    </x:row>
    <x:row r="86" ht="18" customHeight="1">
      <x:c r="A86" s="24" t="str">
        <x:v>EEZ_918</x:v>
      </x:c>
      <x:c r="B86" s="24" t="str">
        <x:v>France (Mediterranean)</x:v>
      </x:c>
      <x:c r="C86" s="24" t="str">
        <x:v>EEZ</x:v>
      </x:c>
      <x:c r="D86" s="30" t="n">
        <x:v>2019</x:v>
      </x:c>
      <x:c r="E86" s="24" t="str">
        <x:v>Micromesistius poutassou</x:v>
      </x:c>
      <x:c r="F86" s="24" t="str">
        <x:v>Blue whiting</x:v>
      </x:c>
      <x:c r="G86" s="24" t="str">
        <x:v>Medium benthopelagics (30 - 89 cm)</x:v>
      </x:c>
      <x:c r="H86" s="24" t="str">
        <x:v>Cod-likes</x:v>
      </x:c>
      <x:c r="I86" s="31" t="n">
        <x:v>37.7837570587</x:v>
      </x:c>
      <x:c r="J86" s="31" t="n">
        <x:v>37.7837570587</x:v>
      </x:c>
      <x:c r="K86" s="31" t="n">
        <x:v>0</x:v>
      </x:c>
      <x:c r="L86" s="31" t="n">
        <x:v>6.9</x:v>
      </x:c>
      <x:c r="M86" s="31" t="n">
        <x:v>30.8837570587</x:v>
      </x:c>
      <x:c r="N86" s="24" t="str">
        <x:v>micromesistius poutassou</x:v>
      </x:c>
      <x:c r="O86" s="32" t="n">
        <x:v>4.13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Micromesistius poutassou</x:v>
      </x:c>
      <x:c r="T86" s="32" t="n">
        <x:f>IF(O86="","",(1/'Metadata'!$B$5)^(O86-1))</x:f>
        <x:v>1348.9628825916532</x:v>
      </x:c>
      <x:c r="U86" s="31" t="n">
        <x:f>IF(T86="","",I86*T86)</x:f>
        <x:v>50968.88583704667</x:v>
      </x:c>
    </x:row>
    <x:row r="87" ht="18" customHeight="1">
      <x:c r="A87" s="24" t="str">
        <x:v>EEZ_918</x:v>
      </x:c>
      <x:c r="B87" s="24" t="str">
        <x:v>France (Mediterranean)</x:v>
      </x:c>
      <x:c r="C87" s="24" t="str">
        <x:v>EEZ</x:v>
      </x:c>
      <x:c r="D87" s="30" t="n">
        <x:v>2019</x:v>
      </x:c>
      <x:c r="E87" s="24" t="str">
        <x:v>Leucoraja naevus</x:v>
      </x:c>
      <x:c r="F87" s="24" t="str">
        <x:v>Cuckoo ray</x:v>
      </x:c>
      <x:c r="G87" s="24" t="str">
        <x:v>Small to medium rays (&lt;90 cm)</x:v>
      </x:c>
      <x:c r="H87" s="24" t="str">
        <x:v>Sharks &amp; rays</x:v>
      </x:c>
      <x:c r="I87" s="31" t="n">
        <x:v>35.1100930414</x:v>
      </x:c>
      <x:c r="J87" s="31" t="n">
        <x:v>35.1100930414</x:v>
      </x:c>
      <x:c r="K87" s="31" t="n">
        <x:v>0</x:v>
      </x:c>
      <x:c r="L87" s="31" t="n">
        <x:v>17</x:v>
      </x:c>
      <x:c r="M87" s="31" t="n">
        <x:v>18.1100930414</x:v>
      </x:c>
      <x:c r="N87" s="24" t="str">
        <x:v>leucoraja naevus</x:v>
      </x:c>
      <x:c r="O87" s="32" t="n">
        <x:v>4.21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Leucoraja naevus</x:v>
      </x:c>
      <x:c r="T87" s="32" t="n">
        <x:f>IF(O87="","",(1/'Metadata'!$B$5)^(O87-1))</x:f>
        <x:v>1621.8100973589299</x:v>
      </x:c>
      <x:c r="U87" s="31" t="n">
        <x:f>IF(T87="","",I87*T87)</x:f>
        <x:v>56941.903413754015</x:v>
      </x:c>
    </x:row>
    <x:row r="88" ht="18" customHeight="1">
      <x:c r="A88" s="24" t="str">
        <x:v>EEZ_918</x:v>
      </x:c>
      <x:c r="B88" s="24" t="str">
        <x:v>France (Mediterranean)</x:v>
      </x:c>
      <x:c r="C88" s="24" t="str">
        <x:v>EEZ</x:v>
      </x:c>
      <x:c r="D88" s="30" t="n">
        <x:v>2019</x:v>
      </x:c>
      <x:c r="E88" s="24" t="str">
        <x:v>Parapenaeus longirostris</x:v>
      </x:c>
      <x:c r="F88" s="24" t="str">
        <x:v>Deepwater rose shrimp</x:v>
      </x:c>
      <x:c r="G88" s="24" t="str">
        <x:v>Shrimps</x:v>
      </x:c>
      <x:c r="H88" s="24" t="str">
        <x:v>Crustaceans</x:v>
      </x:c>
      <x:c r="I88" s="31" t="n">
        <x:v>34.7881809295</x:v>
      </x:c>
      <x:c r="J88" s="31" t="n">
        <x:v>34.7881809295</x:v>
      </x:c>
      <x:c r="K88" s="31" t="n">
        <x:v>0</x:v>
      </x:c>
      <x:c r="L88" s="31" t="n">
        <x:v>26.4</x:v>
      </x:c>
      <x:c r="M88" s="31" t="n">
        <x:v>8.3881809295</x:v>
      </x:c>
      <x:c r="N88" s="24" t="str">
        <x:v>parapenaeus longirostris</x:v>
      </x:c>
      <x:c r="O88" s="32" t="n">
        <x:v>3.3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Parapenaeus longirostris</x:v>
      </x:c>
      <x:c r="T88" s="32" t="n">
        <x:f>IF(O88="","",(1/'Metadata'!$B$5)^(O88-1))</x:f>
        <x:v>199.52623149688787</x:v>
      </x:c>
      <x:c r="U88" s="31" t="n">
        <x:f>IF(T88="","",I88*T88)</x:f>
        <x:v>6941.154641495037</x:v>
      </x:c>
    </x:row>
    <x:row r="89" ht="18" customHeight="1">
      <x:c r="A89" s="24" t="str">
        <x:v>EEZ_918</x:v>
      </x:c>
      <x:c r="B89" s="24" t="str">
        <x:v>France (Mediterranean)</x:v>
      </x:c>
      <x:c r="C89" s="24" t="str">
        <x:v>EEZ</x:v>
      </x:c>
      <x:c r="D89" s="30" t="n">
        <x:v>2019</x:v>
      </x:c>
      <x:c r="E89" s="24" t="str">
        <x:v>Phycis blennoides</x:v>
      </x:c>
      <x:c r="F89" s="24" t="str">
        <x:v>Greater forkbeard</x:v>
      </x:c>
      <x:c r="G89" s="24" t="str">
        <x:v>Large benthopelagics (&gt;=90 cm)</x:v>
      </x:c>
      <x:c r="H89" s="24" t="str">
        <x:v>Cod-likes</x:v>
      </x:c>
      <x:c r="I89" s="31" t="n">
        <x:v>34.1039452105</x:v>
      </x:c>
      <x:c r="J89" s="31" t="n">
        <x:v>34.1039452105</x:v>
      </x:c>
      <x:c r="K89" s="31" t="n">
        <x:v>0</x:v>
      </x:c>
      <x:c r="L89" s="31" t="n">
        <x:v>24</x:v>
      </x:c>
      <x:c r="M89" s="31" t="n">
        <x:v>10.1039452105</x:v>
      </x:c>
      <x:c r="N89" s="24" t="str">
        <x:v>phycis blennoides</x:v>
      </x:c>
      <x:c r="O89" s="32" t="n">
        <x:v>3.87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Phycis blennoides</x:v>
      </x:c>
      <x:c r="T89" s="32" t="n">
        <x:f>IF(O89="","",(1/'Metadata'!$B$5)^(O89-1))</x:f>
        <x:v>741.3102413009177</x:v>
      </x:c>
      <x:c r="U89" s="31" t="n">
        <x:f>IF(T89="","",I89*T89)</x:f>
        <x:v>25281.603853309032</x:v>
      </x:c>
    </x:row>
    <x:row r="90" ht="18" customHeight="1">
      <x:c r="A90" s="24" t="str">
        <x:v>EEZ_918</x:v>
      </x:c>
      <x:c r="B90" s="24" t="str">
        <x:v>France (Mediterranean)</x:v>
      </x:c>
      <x:c r="C90" s="24" t="str">
        <x:v>EEZ</x:v>
      </x:c>
      <x:c r="D90" s="30" t="n">
        <x:v>2019</x:v>
      </x:c>
      <x:c r="E90" s="24" t="str">
        <x:v>Microcosmus vulgaris</x:v>
      </x:c>
      <x:c r="F90" s="24" t="str">
        <x:v>Grooved sea squirt</x:v>
      </x:c>
      <x:c r="G90" s="24" t="str">
        <x:v>Other demersal invertebrates</x:v>
      </x:c>
      <x:c r="H90" s="24" t="str">
        <x:v>Other fishes &amp; inverts</x:v>
      </x:c>
      <x:c r="I90" s="31" t="n">
        <x:v>29.675290009900003</x:v>
      </x:c>
      <x:c r="J90" s="31" t="n">
        <x:v>29.675290009900003</x:v>
      </x:c>
      <x:c r="K90" s="31" t="n">
        <x:v>0</x:v>
      </x:c>
      <x:c r="L90" s="31" t="n">
        <x:v>16.0000000002</x:v>
      </x:c>
      <x:c r="M90" s="31" t="n">
        <x:v>13.6752900097</x:v>
      </x:c>
      <x:c r="N90" s="24" t="str">
        <x:v>microcosmus vulgaris</x:v>
      </x:c>
      <x:c r="O90" s="32" t="n">
        <x:v>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Microcosmus vulgaris</x:v>
      </x:c>
      <x:c r="T90" s="32" t="n">
        <x:f>IF(O90="","",(1/'Metadata'!$B$5)^(O90-1))</x:f>
        <x:v>100</x:v>
      </x:c>
      <x:c r="U90" s="31" t="n">
        <x:f>IF(T90="","",I90*T90)</x:f>
        <x:v>2967.5290009900004</x:v>
      </x:c>
    </x:row>
    <x:row r="91" ht="18" customHeight="1">
      <x:c r="A91" s="24" t="str">
        <x:v>EEZ_918</x:v>
      </x:c>
      <x:c r="B91" s="24" t="str">
        <x:v>France (Mediterranean)</x:v>
      </x:c>
      <x:c r="C91" s="24" t="str">
        <x:v>EEZ</x:v>
      </x:c>
      <x:c r="D91" s="30" t="n">
        <x:v>2019</x:v>
      </x:c>
      <x:c r="E91" s="24" t="str">
        <x:v>Uranoscopus scaber</x:v>
      </x:c>
      <x:c r="F91" s="24" t="str">
        <x:v>Stargazer</x:v>
      </x:c>
      <x:c r="G91" s="24" t="str">
        <x:v>Medium demersals (30 - 89 cm)</x:v>
      </x:c>
      <x:c r="H91" s="24" t="str">
        <x:v>Perch-likes</x:v>
      </x:c>
      <x:c r="I91" s="31" t="n">
        <x:v>29.342543288199998</x:v>
      </x:c>
      <x:c r="J91" s="31" t="n">
        <x:v>29.342543288199998</x:v>
      </x:c>
      <x:c r="K91" s="31" t="n">
        <x:v>0</x:v>
      </x:c>
      <x:c r="L91" s="31" t="n">
        <x:v>15.899999999999999</x:v>
      </x:c>
      <x:c r="M91" s="31" t="n">
        <x:v>13.4425432882</x:v>
      </x:c>
      <x:c r="N91" s="24" t="str">
        <x:v>uranoscopus scaber</x:v>
      </x:c>
      <x:c r="O91" s="32" t="n">
        <x:v>4.38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Uranoscopus scaber</x:v>
      </x:c>
      <x:c r="T91" s="32" t="n">
        <x:f>IF(O91="","",(1/'Metadata'!$B$5)^(O91-1))</x:f>
        <x:v>2398.83291901949</x:v>
      </x:c>
      <x:c r="U91" s="31" t="n">
        <x:f>IF(T91="","",I91*T91)</x:f>
        <x:v>70387.85876748855</x:v>
      </x:c>
    </x:row>
    <x:row r="92" ht="18" customHeight="1">
      <x:c r="A92" s="24" t="str">
        <x:v>EEZ_918</x:v>
      </x:c>
      <x:c r="B92" s="24" t="str">
        <x:v>France (Mediterranean)</x:v>
      </x:c>
      <x:c r="C92" s="24" t="str">
        <x:v>EEZ</x:v>
      </x:c>
      <x:c r="D92" s="30" t="n">
        <x:v>2019</x:v>
      </x:c>
      <x:c r="E92" s="24" t="str">
        <x:v>Chelidonichthys lucerna</x:v>
      </x:c>
      <x:c r="F92" s="24" t="str">
        <x:v>Tub gurnard</x:v>
      </x:c>
      <x:c r="G92" s="24" t="str">
        <x:v>Medium demersals (30 - 89 cm)</x:v>
      </x:c>
      <x:c r="H92" s="24" t="str">
        <x:v>Scorpionfishes</x:v>
      </x:c>
      <x:c r="I92" s="31" t="n">
        <x:v>28.0640475669</x:v>
      </x:c>
      <x:c r="J92" s="31" t="n">
        <x:v>28.0640475669</x:v>
      </x:c>
      <x:c r="K92" s="31" t="n">
        <x:v>0</x:v>
      </x:c>
      <x:c r="L92" s="31" t="n">
        <x:v>9</x:v>
      </x:c>
      <x:c r="M92" s="31" t="n">
        <x:v>19.0640475669</x:v>
      </x:c>
      <x:c r="N92" s="24" t="str">
        <x:v>chelidonichthys lucerna</x:v>
      </x:c>
      <x:c r="O92" s="32" t="n">
        <x:v>3.98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Chelidonichthys lucerna</x:v>
      </x:c>
      <x:c r="T92" s="32" t="n">
        <x:f>IF(O92="","",(1/'Metadata'!$B$5)^(O92-1))</x:f>
        <x:v>954.992586021436</x:v>
      </x:c>
      <x:c r="U92" s="31" t="n">
        <x:f>IF(T92="","",I92*T92)</x:f>
        <x:v>26800.95736014242</x:v>
      </x:c>
    </x:row>
    <x:row r="93" ht="18" customHeight="1">
      <x:c r="A93" s="24" t="str">
        <x:v>EEZ_918</x:v>
      </x:c>
      <x:c r="B93" s="24" t="str">
        <x:v>France (Mediterranean)</x:v>
      </x:c>
      <x:c r="C93" s="24" t="str">
        <x:v>EEZ</x:v>
      </x:c>
      <x:c r="D93" s="30" t="n">
        <x:v>2019</x:v>
      </x:c>
      <x:c r="E93" s="24" t="str">
        <x:v>Zeus faber</x:v>
      </x:c>
      <x:c r="F93" s="24" t="str">
        <x:v>John dory</x:v>
      </x:c>
      <x:c r="G93" s="24" t="str">
        <x:v>Medium benthopelagics (30 - 89 cm)</x:v>
      </x:c>
      <x:c r="H93" s="24" t="str">
        <x:v>Other fishes &amp; inverts</x:v>
      </x:c>
      <x:c r="I93" s="31" t="n">
        <x:v>23.0670023347</x:v>
      </x:c>
      <x:c r="J93" s="31" t="n">
        <x:v>23.0670023347</x:v>
      </x:c>
      <x:c r="K93" s="31" t="n">
        <x:v>0</x:v>
      </x:c>
      <x:c r="L93" s="31" t="n">
        <x:v>6.1</x:v>
      </x:c>
      <x:c r="M93" s="31" t="n">
        <x:v>16.967002334700002</x:v>
      </x:c>
      <x:c r="N93" s="24" t="str">
        <x:v>zeus faber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Zeus faber</x:v>
      </x:c>
      <x:c r="T93" s="32" t="n">
        <x:f>IF(O93="","",(1/'Metadata'!$B$5)^(O93-1))</x:f>
        <x:v>3162.2776601683795</x:v>
      </x:c>
      <x:c r="U93" s="31" t="n">
        <x:f>IF(T93="","",I93*T93)</x:f>
        <x:v>72944.26617007366</x:v>
      </x:c>
    </x:row>
    <x:row r="94" ht="18" customHeight="1">
      <x:c r="A94" s="24" t="str">
        <x:v>EEZ_918</x:v>
      </x:c>
      <x:c r="B94" s="24" t="str">
        <x:v>France (Mediterranean)</x:v>
      </x:c>
      <x:c r="C94" s="24" t="str">
        <x:v>EEZ</x:v>
      </x:c>
      <x:c r="D94" s="30" t="n">
        <x:v>2019</x:v>
      </x:c>
      <x:c r="E94" s="24" t="str">
        <x:v>Diplodus</x:v>
      </x:c>
      <x:c r="F94" s="24" t="str">
        <x:v>Two-toothed seabreams</x:v>
      </x:c>
      <x:c r="G94" s="24" t="str">
        <x:v>Medium benthopelagics (30 - 89 cm)</x:v>
      </x:c>
      <x:c r="H94" s="24" t="str">
        <x:v>Perch-likes</x:v>
      </x:c>
      <x:c r="I94" s="31" t="n">
        <x:v>23.0605975781</x:v>
      </x:c>
      <x:c r="J94" s="31" t="n">
        <x:v>23.0605975781</x:v>
      </x:c>
      <x:c r="K94" s="31" t="n">
        <x:v>0</x:v>
      </x:c>
      <x:c r="L94" s="31" t="n">
        <x:v>8</x:v>
      </x:c>
      <x:c r="M94" s="31" t="n">
        <x:v>15.0605975781</x:v>
      </x:c>
      <x:c r="N94" s="24" t="str">
        <x:v>diplodus</x:v>
      </x:c>
      <x:c r="O94" s="32" t="n">
        <x:v>2.97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Diplodus</x:v>
      </x:c>
      <x:c r="T94" s="32" t="n">
        <x:f>IF(O94="","",(1/'Metadata'!$B$5)^(O94-1))</x:f>
        <x:v>93.32543007969915</x:v>
      </x:c>
      <x:c r="U94" s="31" t="n">
        <x:f>IF(T94="","",I94*T94)</x:f>
        <x:v>2152.140186871051</x:v>
      </x:c>
    </x:row>
    <x:row r="95" ht="18" customHeight="1">
      <x:c r="A95" s="24" t="str">
        <x:v>EEZ_918</x:v>
      </x:c>
      <x:c r="B95" s="24" t="str">
        <x:v>France (Mediterranean)</x:v>
      </x:c>
      <x:c r="C95" s="24" t="str">
        <x:v>EEZ</x:v>
      </x:c>
      <x:c r="D95" s="30" t="n">
        <x:v>2019</x:v>
      </x:c>
      <x:c r="E95" s="24" t="str">
        <x:v>Pagrus pagrus</x:v>
      </x:c>
      <x:c r="F95" s="24" t="str">
        <x:v>Red porgy</x:v>
      </x:c>
      <x:c r="G95" s="24" t="str">
        <x:v>Medium benthopelagics (30 - 89 cm)</x:v>
      </x:c>
      <x:c r="H95" s="24" t="str">
        <x:v>Perch-likes</x:v>
      </x:c>
      <x:c r="I95" s="31" t="n">
        <x:v>22.4167547242</x:v>
      </x:c>
      <x:c r="J95" s="31" t="n">
        <x:v>22.4167547242</x:v>
      </x:c>
      <x:c r="K95" s="31" t="n">
        <x:v>0</x:v>
      </x:c>
      <x:c r="L95" s="31" t="n">
        <x:v>8.5</x:v>
      </x:c>
      <x:c r="M95" s="31" t="n">
        <x:v>13.916754724199999</x:v>
      </x:c>
      <x:c r="N95" s="24" t="str">
        <x:v>pagrus pagrus</x:v>
      </x:c>
      <x:c r="O95" s="32" t="n">
        <x:v>3.86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Pagrus pagrus</x:v>
      </x:c>
      <x:c r="T95" s="32" t="n">
        <x:f>IF(O95="","",(1/'Metadata'!$B$5)^(O95-1))</x:f>
        <x:v>724.4359600749899</x:v>
      </x:c>
      <x:c r="U95" s="31" t="n">
        <x:f>IF(T95="","",I95*T95)</x:f>
        <x:v>16239.503230391392</x:v>
      </x:c>
    </x:row>
    <x:row r="96" ht="18" customHeight="1">
      <x:c r="A96" s="24" t="str">
        <x:v>EEZ_918</x:v>
      </x:c>
      <x:c r="B96" s="24" t="str">
        <x:v>France (Mediterranean)</x:v>
      </x:c>
      <x:c r="C96" s="24" t="str">
        <x:v>EEZ</x:v>
      </x:c>
      <x:c r="D96" s="30" t="n">
        <x:v>2019</x:v>
      </x:c>
      <x:c r="E96" s="24" t="str">
        <x:v>Ruditapes decussatus</x:v>
      </x:c>
      <x:c r="F96" s="24" t="str">
        <x:v>Grooved carpet shell</x:v>
      </x:c>
      <x:c r="G96" s="24" t="str">
        <x:v>Other demersal invertebrates</x:v>
      </x:c>
      <x:c r="H96" s="24" t="str">
        <x:v>Molluscs</x:v>
      </x:c>
      <x:c r="I96" s="31" t="n">
        <x:v>19.6893383604</x:v>
      </x:c>
      <x:c r="J96" s="31" t="n">
        <x:v>19.6893383604</x:v>
      </x:c>
      <x:c r="K96" s="31" t="n">
        <x:v>0</x:v>
      </x:c>
      <x:c r="L96" s="31" t="n">
        <x:v>2</x:v>
      </x:c>
      <x:c r="M96" s="31" t="n">
        <x:v>17.6893383604</x:v>
      </x:c>
      <x:c r="N96" s="24" t="str">
        <x:v>ruditapes decussatus</x:v>
      </x:c>
      <x:c r="O96" s="32" t="n">
        <x:v>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Ruditapes decussatus</x:v>
      </x:c>
      <x:c r="T96" s="32" t="n">
        <x:f>IF(O96="","",(1/'Metadata'!$B$5)^(O96-1))</x:f>
        <x:v>10</x:v>
      </x:c>
      <x:c r="U96" s="31" t="n">
        <x:f>IF(T96="","",I96*T96)</x:f>
        <x:v>196.893383604</x:v>
      </x:c>
    </x:row>
    <x:row r="97" ht="18" customHeight="1">
      <x:c r="A97" s="24" t="str">
        <x:v>EEZ_918</x:v>
      </x:c>
      <x:c r="B97" s="24" t="str">
        <x:v>France (Mediterranean)</x:v>
      </x:c>
      <x:c r="C97" s="24" t="str">
        <x:v>EEZ</x:v>
      </x:c>
      <x:c r="D97" s="30" t="n">
        <x:v>2019</x:v>
      </x:c>
      <x:c r="E97" s="24" t="str">
        <x:v>Cardiidae</x:v>
      </x:c>
      <x:c r="F97" s="24" t="str">
        <x:v>Cockles</x:v>
      </x:c>
      <x:c r="G97" s="24" t="str">
        <x:v>Other demersal invertebrates</x:v>
      </x:c>
      <x:c r="H97" s="24" t="str">
        <x:v>Molluscs</x:v>
      </x:c>
      <x:c r="I97" s="31" t="n">
        <x:v>18.5196316989</x:v>
      </x:c>
      <x:c r="J97" s="31" t="n">
        <x:v>18.5196316989</x:v>
      </x:c>
      <x:c r="K97" s="31" t="n">
        <x:v>0</x:v>
      </x:c>
      <x:c r="L97" s="31" t="n">
        <x:v>6</x:v>
      </x:c>
      <x:c r="M97" s="31" t="n">
        <x:v>12.5196316989</x:v>
      </x:c>
      <x:c r="N97" s="24" t="str">
        <x:v>cardiidae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Cardiidae</x:v>
      </x:c>
      <x:c r="T97" s="32" t="n">
        <x:f>IF(O97="","",(1/'Metadata'!$B$5)^(O97-1))</x:f>
        <x:v>10</x:v>
      </x:c>
      <x:c r="U97" s="31" t="n">
        <x:f>IF(T97="","",I97*T97)</x:f>
        <x:v>185.196316989</x:v>
      </x:c>
    </x:row>
    <x:row r="98" ht="18" customHeight="1">
      <x:c r="A98" s="24" t="str">
        <x:v>EEZ_918</x:v>
      </x:c>
      <x:c r="B98" s="24" t="str">
        <x:v>France (Mediterranean)</x:v>
      </x:c>
      <x:c r="C98" s="24" t="str">
        <x:v>EEZ</x:v>
      </x:c>
      <x:c r="D98" s="30" t="n">
        <x:v>2019</x:v>
      </x:c>
      <x:c r="E98" s="24" t="str">
        <x:v>Palinurus elephas</x:v>
      </x:c>
      <x:c r="F98" s="24" t="str">
        <x:v>Common spiny lobster</x:v>
      </x:c>
      <x:c r="G98" s="24" t="str">
        <x:v>Lobsters, crabs</x:v>
      </x:c>
      <x:c r="H98" s="24" t="str">
        <x:v>Crustaceans</x:v>
      </x:c>
      <x:c r="I98" s="31" t="n">
        <x:v>15.8906723954</x:v>
      </x:c>
      <x:c r="J98" s="31" t="n">
        <x:v>15.8906723954</x:v>
      </x:c>
      <x:c r="K98" s="31" t="n">
        <x:v>0</x:v>
      </x:c>
      <x:c r="L98" s="31" t="n">
        <x:v>12.700000000000001</x:v>
      </x:c>
      <x:c r="M98" s="31" t="n">
        <x:v>3.1906723954</x:v>
      </x:c>
      <x:c r="N98" s="24" t="str">
        <x:v>palinurus elephas</x:v>
      </x:c>
      <x:c r="O98" s="32" t="n">
        <x:v>3.34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Palinurus elephas</x:v>
      </x:c>
      <x:c r="T98" s="32" t="n">
        <x:f>IF(O98="","",(1/'Metadata'!$B$5)^(O98-1))</x:f>
        <x:v>218.77616239495518</x:v>
      </x:c>
      <x:c r="U98" s="31" t="n">
        <x:f>IF(T98="","",I98*T98)</x:f>
        <x:v>3476.5003245410617</x:v>
      </x:c>
    </x:row>
    <x:row r="99" ht="18" customHeight="1">
      <x:c r="A99" s="24" t="str">
        <x:v>EEZ_918</x:v>
      </x:c>
      <x:c r="B99" s="24" t="str">
        <x:v>France (Mediterranean)</x:v>
      </x:c>
      <x:c r="C99" s="24" t="str">
        <x:v>EEZ</x:v>
      </x:c>
      <x:c r="D99" s="30" t="n">
        <x:v>2019</x:v>
      </x:c>
      <x:c r="E99" s="24" t="str">
        <x:v>Nephrops norvegicus</x:v>
      </x:c>
      <x:c r="F99" s="24" t="str">
        <x:v>Norway lobster</x:v>
      </x:c>
      <x:c r="G99" s="24" t="str">
        <x:v>Lobsters, crabs</x:v>
      </x:c>
      <x:c r="H99" s="24" t="str">
        <x:v>Crustaceans</x:v>
      </x:c>
      <x:c r="I99" s="31" t="n">
        <x:v>15.1989339723</x:v>
      </x:c>
      <x:c r="J99" s="31" t="n">
        <x:v>15.1989339723</x:v>
      </x:c>
      <x:c r="K99" s="31" t="n">
        <x:v>0</x:v>
      </x:c>
      <x:c r="L99" s="31" t="n">
        <x:v>6.1</x:v>
      </x:c>
      <x:c r="M99" s="31" t="n">
        <x:v>9.0989339723</x:v>
      </x:c>
      <x:c r="N99" s="24" t="str">
        <x:v>nephrops norvegicus</x:v>
      </x:c>
      <x:c r="O99" s="32" t="n">
        <x:v>2.87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Nephrops norvegicus</x:v>
      </x:c>
      <x:c r="T99" s="32" t="n">
        <x:f>IF(O99="","",(1/'Metadata'!$B$5)^(O99-1))</x:f>
        <x:v>74.13102413009177</x:v>
      </x:c>
      <x:c r="U99" s="31" t="n">
        <x:f>IF(T99="","",I99*T99)</x:f>
        <x:v>1126.712541052243</x:v>
      </x:c>
    </x:row>
    <x:row r="100" ht="18" customHeight="1">
      <x:c r="A100" s="24" t="str">
        <x:v>EEZ_918</x:v>
      </x:c>
      <x:c r="B100" s="24" t="str">
        <x:v>France (Mediterranean)</x:v>
      </x:c>
      <x:c r="C100" s="24" t="str">
        <x:v>EEZ</x:v>
      </x:c>
      <x:c r="D100" s="30" t="n">
        <x:v>2019</x:v>
      </x:c>
      <x:c r="E100" s="24" t="str">
        <x:v>Solen</x:v>
      </x:c>
      <x:c r="F100" s="24" t="str">
        <x:v>Razor clams</x:v>
      </x:c>
      <x:c r="G100" s="24" t="str">
        <x:v>Other demersal invertebrates</x:v>
      </x:c>
      <x:c r="H100" s="24" t="str">
        <x:v>Molluscs</x:v>
      </x:c>
      <x:c r="I100" s="31" t="n">
        <x:v>15.0235580392</x:v>
      </x:c>
      <x:c r="J100" s="31" t="n">
        <x:v>15.0235580392</x:v>
      </x:c>
      <x:c r="K100" s="31" t="n">
        <x:v>0</x:v>
      </x:c>
      <x:c r="L100" s="31" t="n">
        <x:v>0</x:v>
      </x:c>
      <x:c r="M100" s="31" t="n">
        <x:v>15.0235580392</x:v>
      </x:c>
      <x:c r="N100" s="24" t="str">
        <x:v>solen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Solen</x:v>
      </x:c>
      <x:c r="T100" s="32" t="n">
        <x:f>IF(O100="","",(1/'Metadata'!$B$5)^(O100-1))</x:f>
        <x:v>10</x:v>
      </x:c>
      <x:c r="U100" s="31" t="n">
        <x:f>IF(T100="","",I100*T100)</x:f>
        <x:v>150.235580392</x:v>
      </x:c>
    </x:row>
    <x:row r="101" ht="18" customHeight="1">
      <x:c r="A101" s="24" t="str">
        <x:v>EEZ_918</x:v>
      </x:c>
      <x:c r="B101" s="24" t="str">
        <x:v>France (Mediterranean)</x:v>
      </x:c>
      <x:c r="C101" s="24" t="str">
        <x:v>EEZ</x:v>
      </x:c>
      <x:c r="D101" s="30" t="n">
        <x:v>2019</x:v>
      </x:c>
      <x:c r="E101" s="24" t="str">
        <x:v>Solea</x:v>
      </x:c>
      <x:c r="F101" s="24" t="str">
        <x:v>Soles</x:v>
      </x:c>
      <x:c r="G101" s="24" t="str">
        <x:v>Small to medium flatfishes (&lt;90 cm)</x:v>
      </x:c>
      <x:c r="H101" s="24" t="str">
        <x:v>Flatfishes</x:v>
      </x:c>
      <x:c r="I101" s="31" t="n">
        <x:v>14.674906307599999</x:v>
      </x:c>
      <x:c r="J101" s="31" t="n">
        <x:v>14.674906307599999</x:v>
      </x:c>
      <x:c r="K101" s="31" t="n">
        <x:v>0</x:v>
      </x:c>
      <x:c r="L101" s="31" t="n">
        <x:v>9</x:v>
      </x:c>
      <x:c r="M101" s="31" t="n">
        <x:v>5.6749063076</x:v>
      </x:c>
      <x:c r="N101" s="24" t="str">
        <x:v>solea</x:v>
      </x:c>
      <x:c r="O101" s="32" t="n">
        <x:v>3.13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Solea</x:v>
      </x:c>
      <x:c r="T101" s="32" t="n">
        <x:f>IF(O101="","",(1/'Metadata'!$B$5)^(O101-1))</x:f>
        <x:v>134.89628825916532</x:v>
      </x:c>
      <x:c r="U101" s="31" t="n">
        <x:f>IF(T101="","",I101*T101)</x:f>
        <x:v>1979.5903914462529</x:v>
      </x:c>
    </x:row>
    <x:row r="102" ht="18" customHeight="1">
      <x:c r="A102" s="24" t="str">
        <x:v>EEZ_918</x:v>
      </x:c>
      <x:c r="B102" s="24" t="str">
        <x:v>France (Mediterranean)</x:v>
      </x:c>
      <x:c r="C102" s="24" t="str">
        <x:v>EEZ</x:v>
      </x:c>
      <x:c r="D102" s="30" t="n">
        <x:v>2019</x:v>
      </x:c>
      <x:c r="E102" s="24" t="str">
        <x:v>Palaemon serratus</x:v>
      </x:c>
      <x:c r="F102" s="24" t="str">
        <x:v>Common prawn</x:v>
      </x:c>
      <x:c r="G102" s="24" t="str">
        <x:v>Shrimps</x:v>
      </x:c>
      <x:c r="H102" s="24" t="str">
        <x:v>Crustaceans</x:v>
      </x:c>
      <x:c r="I102" s="31" t="n">
        <x:v>14.4256190273</x:v>
      </x:c>
      <x:c r="J102" s="31" t="n">
        <x:v>14.4256190273</x:v>
      </x:c>
      <x:c r="K102" s="31" t="n">
        <x:v>0</x:v>
      </x:c>
      <x:c r="L102" s="31" t="n">
        <x:v>6.8</x:v>
      </x:c>
      <x:c r="M102" s="31" t="n">
        <x:v>7.6256190273</x:v>
      </x:c>
      <x:c r="N102" s="24" t="str">
        <x:v>palaemon serratus</x:v>
      </x:c>
      <x:c r="O102" s="32" t="n">
        <x:v>2.69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Palaemon serratus</x:v>
      </x:c>
      <x:c r="T102" s="32" t="n">
        <x:f>IF(O102="","",(1/'Metadata'!$B$5)^(O102-1))</x:f>
        <x:v>48.97788193684461</x:v>
      </x:c>
      <x:c r="U102" s="31" t="n">
        <x:f>IF(T102="","",I102*T102)</x:f>
        <x:v>706.5362655849985</x:v>
      </x:c>
    </x:row>
    <x:row r="103" ht="18" customHeight="1">
      <x:c r="A103" s="24" t="str">
        <x:v>EEZ_918</x:v>
      </x:c>
      <x:c r="B103" s="24" t="str">
        <x:v>France (Mediterranean)</x:v>
      </x:c>
      <x:c r="C103" s="24" t="str">
        <x:v>EEZ</x:v>
      </x:c>
      <x:c r="D103" s="30" t="n">
        <x:v>2019</x:v>
      </x:c>
      <x:c r="E103" s="24" t="str">
        <x:v>Sprattus sprattus</x:v>
      </x:c>
      <x:c r="F103" s="24" t="str">
        <x:v>European sprat</x:v>
      </x:c>
      <x:c r="G103" s="24" t="str">
        <x:v>Small pelagics (&lt;30 cm)</x:v>
      </x:c>
      <x:c r="H103" s="24" t="str">
        <x:v>Herring-likes</x:v>
      </x:c>
      <x:c r="I103" s="31" t="n">
        <x:v>13.000000000000002</x:v>
      </x:c>
      <x:c r="J103" s="31" t="n">
        <x:v>13.000000000000002</x:v>
      </x:c>
      <x:c r="K103" s="31" t="n">
        <x:v>0</x:v>
      </x:c>
      <x:c r="L103" s="31" t="n">
        <x:v>13.000000000000002</x:v>
      </x:c>
      <x:c r="M103" s="31" t="n">
        <x:v>0</x:v>
      </x:c>
      <x:c r="N103" s="24" t="str">
        <x:v>sprattus sprattus</x:v>
      </x:c>
      <x:c r="O103" s="32" t="n">
        <x:v>3.01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Sprattus sprattus</x:v>
      </x:c>
      <x:c r="T103" s="32" t="n">
        <x:f>IF(O103="","",(1/'Metadata'!$B$5)^(O103-1))</x:f>
        <x:v>102.32929922807536</x:v>
      </x:c>
      <x:c r="U103" s="31" t="n">
        <x:f>IF(T103="","",I103*T103)</x:f>
        <x:v>1330.28088996498</x:v>
      </x:c>
    </x:row>
    <x:row r="104" ht="18" customHeight="1">
      <x:c r="A104" s="24" t="str">
        <x:v>EEZ_918</x:v>
      </x:c>
      <x:c r="B104" s="24" t="str">
        <x:v>France (Mediterranean)</x:v>
      </x:c>
      <x:c r="C104" s="24" t="str">
        <x:v>EEZ</x:v>
      </x:c>
      <x:c r="D104" s="30" t="n">
        <x:v>2019</x:v>
      </x:c>
      <x:c r="E104" s="24" t="str">
        <x:v>Malacostraca</x:v>
      </x:c>
      <x:c r="F104" s="24" t="str">
        <x:v>Lobsters, crabs, shrimps, krill</x:v>
      </x:c>
      <x:c r="G104" s="24" t="str">
        <x:v>Shrimps</x:v>
      </x:c>
      <x:c r="H104" s="24" t="str">
        <x:v>Crustaceans</x:v>
      </x:c>
      <x:c r="I104" s="31" t="n">
        <x:v>12.439082041099999</x:v>
      </x:c>
      <x:c r="J104" s="31" t="n">
        <x:v>12.439082041099999</x:v>
      </x:c>
      <x:c r="K104" s="31" t="n">
        <x:v>0</x:v>
      </x:c>
      <x:c r="L104" s="31" t="n">
        <x:v>8</x:v>
      </x:c>
      <x:c r="M104" s="31" t="n">
        <x:v>4.4390820411</x:v>
      </x:c>
      <x:c r="N104" s="24" t="str">
        <x:v>malacostraca</x:v>
      </x:c>
      <x:c r="O104" s="32" t="n">
        <x:v>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Malacostraca</x:v>
      </x:c>
      <x:c r="T104" s="32" t="n">
        <x:f>IF(O104="","",(1/'Metadata'!$B$5)^(O104-1))</x:f>
        <x:v>100</x:v>
      </x:c>
      <x:c r="U104" s="31" t="n">
        <x:f>IF(T104="","",I104*T104)</x:f>
        <x:v>1243.9082041099998</x:v>
      </x:c>
    </x:row>
    <x:row r="105" ht="18" customHeight="1">
      <x:c r="A105" s="24" t="str">
        <x:v>EEZ_918</x:v>
      </x:c>
      <x:c r="B105" s="24" t="str">
        <x:v>France (Mediterranean)</x:v>
      </x:c>
      <x:c r="C105" s="24" t="str">
        <x:v>EEZ</x:v>
      </x:c>
      <x:c r="D105" s="30" t="n">
        <x:v>2019</x:v>
      </x:c>
      <x:c r="E105" s="24" t="str">
        <x:v>Alosa</x:v>
      </x:c>
      <x:c r="F105" s="24" t="str">
        <x:v>Shads</x:v>
      </x:c>
      <x:c r="G105" s="24" t="str">
        <x:v>Medium pelagics (30 - 89 cm)</x:v>
      </x:c>
      <x:c r="H105" s="24" t="str">
        <x:v>Herring-likes</x:v>
      </x:c>
      <x:c r="I105" s="31" t="n">
        <x:v>10.601059703499999</x:v>
      </x:c>
      <x:c r="J105" s="31" t="n">
        <x:v>10.601059703499999</x:v>
      </x:c>
      <x:c r="K105" s="31" t="n">
        <x:v>0</x:v>
      </x:c>
      <x:c r="L105" s="31" t="n">
        <x:v>5</x:v>
      </x:c>
      <x:c r="M105" s="31" t="n">
        <x:v>5.6010597035</x:v>
      </x:c>
      <x:c r="N105" s="24" t="str">
        <x:v>alosa</x:v>
      </x:c>
      <x:c r="O105" s="32" t="n">
        <x:v>3.89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Alosa</x:v>
      </x:c>
      <x:c r="T105" s="32" t="n">
        <x:f>IF(O105="","",(1/'Metadata'!$B$5)^(O105-1))</x:f>
        <x:v>776.247116628692</x:v>
      </x:c>
      <x:c r="U105" s="31" t="n">
        <x:f>IF(T105="","",I105*T105)</x:f>
        <x:v>8229.04202805049</x:v>
      </x:c>
    </x:row>
    <x:row r="106" ht="18" customHeight="1">
      <x:c r="A106" s="24" t="str">
        <x:v>EEZ_918</x:v>
      </x:c>
      <x:c r="B106" s="24" t="str">
        <x:v>France (Mediterranean)</x:v>
      </x:c>
      <x:c r="C106" s="24" t="str">
        <x:v>EEZ</x:v>
      </x:c>
      <x:c r="D106" s="30" t="n">
        <x:v>2019</x:v>
      </x:c>
      <x:c r="E106" s="24" t="str">
        <x:v>Diplodus annularis</x:v>
      </x:c>
      <x:c r="F106" s="24" t="str">
        <x:v>Annular seabream</x:v>
      </x:c>
      <x:c r="G106" s="24" t="str">
        <x:v>Small benthopelagics (&lt;30 cm)</x:v>
      </x:c>
      <x:c r="H106" s="24" t="str">
        <x:v>Perch-likes</x:v>
      </x:c>
      <x:c r="I106" s="31" t="n">
        <x:v>10.1911356972</x:v>
      </x:c>
      <x:c r="J106" s="31" t="n">
        <x:v>10.1911356972</x:v>
      </x:c>
      <x:c r="K106" s="31" t="n">
        <x:v>0</x:v>
      </x:c>
      <x:c r="L106" s="31" t="n">
        <x:v>3.9</x:v>
      </x:c>
      <x:c r="M106" s="31" t="n">
        <x:v>6.2911356972</x:v>
      </x:c>
      <x:c r="N106" s="24" t="str">
        <x:v>diplodus annularis</x:v>
      </x:c>
      <x:c r="O106" s="32" t="n">
        <x:v>3.64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Diplodus annularis</x:v>
      </x:c>
      <x:c r="T106" s="32" t="n">
        <x:f>IF(O106="","",(1/'Metadata'!$B$5)^(O106-1))</x:f>
        <x:v>436.5158322401661</x:v>
      </x:c>
      <x:c r="U106" s="31" t="n">
        <x:f>IF(T106="","",I106*T106)</x:f>
        <x:v>4448.592080335723</x:v>
      </x:c>
    </x:row>
    <x:row r="107" ht="18" customHeight="1">
      <x:c r="A107" s="24" t="str">
        <x:v>EEZ_918</x:v>
      </x:c>
      <x:c r="B107" s="24" t="str">
        <x:v>France (Mediterranean)</x:v>
      </x:c>
      <x:c r="C107" s="24" t="str">
        <x:v>EEZ</x:v>
      </x:c>
      <x:c r="D107" s="30" t="n">
        <x:v>2019</x:v>
      </x:c>
      <x:c r="E107" s="24" t="str">
        <x:v>Trisopterus luscus</x:v>
      </x:c>
      <x:c r="F107" s="24" t="str">
        <x:v>Pouting</x:v>
      </x:c>
      <x:c r="G107" s="24" t="str">
        <x:v>Medium benthopelagics (30 - 89 cm)</x:v>
      </x:c>
      <x:c r="H107" s="24" t="str">
        <x:v>Cod-likes</x:v>
      </x:c>
      <x:c r="I107" s="31" t="n">
        <x:v>10.1472928431</x:v>
      </x:c>
      <x:c r="J107" s="31" t="n">
        <x:v>10.1472928431</x:v>
      </x:c>
      <x:c r="K107" s="31" t="n">
        <x:v>0</x:v>
      </x:c>
      <x:c r="L107" s="31" t="n">
        <x:v>5</x:v>
      </x:c>
      <x:c r="M107" s="31" t="n">
        <x:v>5.147292843100001</x:v>
      </x:c>
      <x:c r="N107" s="24" t="str">
        <x:v>trisopterus luscus</x:v>
      </x:c>
      <x:c r="O107" s="32" t="n">
        <x:v>3.73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Trisopterus luscus</x:v>
      </x:c>
      <x:c r="T107" s="32" t="n">
        <x:f>IF(O107="","",(1/'Metadata'!$B$5)^(O107-1))</x:f>
        <x:v>537.0317963702527</x:v>
      </x:c>
      <x:c r="U107" s="31" t="n">
        <x:f>IF(T107="","",I107*T107)</x:f>
        <x:v>5449.4189038250015</x:v>
      </x:c>
    </x:row>
    <x:row r="108" ht="18" customHeight="1">
      <x:c r="A108" s="24" t="str">
        <x:v>EEZ_918</x:v>
      </x:c>
      <x:c r="B108" s="24" t="str">
        <x:v>France (Mediterranean)</x:v>
      </x:c>
      <x:c r="C108" s="24" t="str">
        <x:v>EEZ</x:v>
      </x:c>
      <x:c r="D108" s="30" t="n">
        <x:v>2019</x:v>
      </x:c>
      <x:c r="E108" s="24" t="str">
        <x:v>Argentina</x:v>
      </x:c>
      <x:c r="F108" s="24" t="str">
        <x:v>Argentines</x:v>
      </x:c>
      <x:c r="G108" s="24" t="str">
        <x:v>Medium bathydemersals (30 - 89 cm)</x:v>
      </x:c>
      <x:c r="H108" s="24" t="str">
        <x:v>Salmon, smelts, etc</x:v>
      </x:c>
      <x:c r="I108" s="31" t="n">
        <x:v>9.165646156900001</x:v>
      </x:c>
      <x:c r="J108" s="31" t="n">
        <x:v>9.165646156900001</x:v>
      </x:c>
      <x:c r="K108" s="31" t="n">
        <x:v>0</x:v>
      </x:c>
      <x:c r="L108" s="31" t="n">
        <x:v>2.7</x:v>
      </x:c>
      <x:c r="M108" s="31" t="n">
        <x:v>6.4656461569</x:v>
      </x:c>
      <x:c r="N108" s="24" t="str">
        <x:v>argentina</x:v>
      </x:c>
      <x:c r="O108" s="32" t="n">
        <x:v>3.35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Argentina</x:v>
      </x:c>
      <x:c r="T108" s="32" t="n">
        <x:f>IF(O108="","",(1/'Metadata'!$B$5)^(O108-1))</x:f>
        <x:v>223.872113856834</x:v>
      </x:c>
      <x:c r="U108" s="31" t="n">
        <x:f>IF(T108="","",I108*T108)</x:f>
        <x:v>2051.93258000897</x:v>
      </x:c>
    </x:row>
    <x:row r="109" ht="18" customHeight="1">
      <x:c r="A109" s="24" t="str">
        <x:v>EEZ_918</x:v>
      </x:c>
      <x:c r="B109" s="24" t="str">
        <x:v>France (Mediterranean)</x:v>
      </x:c>
      <x:c r="C109" s="24" t="str">
        <x:v>EEZ</x:v>
      </x:c>
      <x:c r="D109" s="30" t="n">
        <x:v>2019</x:v>
      </x:c>
      <x:c r="E109" s="24" t="str">
        <x:v>Dentex dentex</x:v>
      </x:c>
      <x:c r="F109" s="24" t="str">
        <x:v>Common dentex</x:v>
      </x:c>
      <x:c r="G109" s="24" t="str">
        <x:v>Large benthopelagics (&gt;=90 cm)</x:v>
      </x:c>
      <x:c r="H109" s="24" t="str">
        <x:v>Perch-likes</x:v>
      </x:c>
      <x:c r="I109" s="31" t="n">
        <x:v>8.937933318699999</x:v>
      </x:c>
      <x:c r="J109" s="31" t="n">
        <x:v>8.937933318699999</x:v>
      </x:c>
      <x:c r="K109" s="31" t="n">
        <x:v>0</x:v>
      </x:c>
      <x:c r="L109" s="31" t="n">
        <x:v>3.6</x:v>
      </x:c>
      <x:c r="M109" s="31" t="n">
        <x:v>5.337933318699999</x:v>
      </x:c>
      <x:c r="N109" s="24" t="str">
        <x:v>dentex dentex</x:v>
      </x:c>
      <x:c r="O109" s="32" t="n">
        <x:v>4.53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Dentex dentex</x:v>
      </x:c>
      <x:c r="T109" s="32" t="n">
        <x:f>IF(O109="","",(1/'Metadata'!$B$5)^(O109-1))</x:f>
        <x:v>3388.4415613920273</x:v>
      </x:c>
      <x:c r="U109" s="31" t="n">
        <x:f>IF(T109="","",I109*T109)</x:f>
        <x:v>30285.664730033648</x:v>
      </x:c>
    </x:row>
    <x:row r="110" ht="18" customHeight="1">
      <x:c r="A110" s="24" t="str">
        <x:v>EEZ_918</x:v>
      </x:c>
      <x:c r="B110" s="24" t="str">
        <x:v>France (Mediterranean)</x:v>
      </x:c>
      <x:c r="C110" s="24" t="str">
        <x:v>EEZ</x:v>
      </x:c>
      <x:c r="D110" s="30" t="n">
        <x:v>2019</x:v>
      </x:c>
      <x:c r="E110" s="24" t="str">
        <x:v>Xiphias gladius</x:v>
      </x:c>
      <x:c r="F110" s="24" t="str">
        <x:v>Swordfish</x:v>
      </x:c>
      <x:c r="G110" s="24" t="str">
        <x:v>Large pelagics (&gt;=90 cm)</x:v>
      </x:c>
      <x:c r="H110" s="24" t="str">
        <x:v>Tuna &amp; billfishes</x:v>
      </x:c>
      <x:c r="I110" s="31" t="n">
        <x:v>8.6037815971</x:v>
      </x:c>
      <x:c r="J110" s="31" t="n">
        <x:v>8.6037815971</x:v>
      </x:c>
      <x:c r="K110" s="31" t="n">
        <x:v>0</x:v>
      </x:c>
      <x:c r="L110" s="31" t="n">
        <x:v>8.6037815971</x:v>
      </x:c>
      <x:c r="M110" s="31" t="n">
        <x:v>0</x:v>
      </x:c>
      <x:c r="N110" s="24" t="str">
        <x:v>xiphias gladius</x:v>
      </x:c>
      <x:c r="O110" s="32" t="n">
        <x:v>4.53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Xiphias gladius</x:v>
      </x:c>
      <x:c r="T110" s="32" t="n">
        <x:f>IF(O110="","",(1/'Metadata'!$B$5)^(O110-1))</x:f>
        <x:v>3388.4415613920273</x:v>
      </x:c>
      <x:c r="U110" s="31" t="n">
        <x:f>IF(T110="","",I110*T110)</x:f>
        <x:v>29153.411148753512</x:v>
      </x:c>
    </x:row>
    <x:row r="111" ht="18" customHeight="1">
      <x:c r="A111" s="24" t="str">
        <x:v>EEZ_918</x:v>
      </x:c>
      <x:c r="B111" s="24" t="str">
        <x:v>France (Mediterranean)</x:v>
      </x:c>
      <x:c r="C111" s="24" t="str">
        <x:v>EEZ</x:v>
      </x:c>
      <x:c r="D111" s="30" t="n">
        <x:v>2019</x:v>
      </x:c>
      <x:c r="E111" s="24" t="str">
        <x:v>Rostroraja alba</x:v>
      </x:c>
      <x:c r="F111" s="24" t="str">
        <x:v>White skate</x:v>
      </x:c>
      <x:c r="G111" s="24" t="str">
        <x:v>Large rays (&gt;=90 cm)</x:v>
      </x:c>
      <x:c r="H111" s="24" t="str">
        <x:v>Sharks &amp; rays</x:v>
      </x:c>
      <x:c r="I111" s="31" t="n">
        <x:v>8.4271258715</x:v>
      </x:c>
      <x:c r="J111" s="31" t="n">
        <x:v>8.4271258715</x:v>
      </x:c>
      <x:c r="K111" s="31" t="n">
        <x:v>0</x:v>
      </x:c>
      <x:c r="L111" s="31" t="n">
        <x:v>6</x:v>
      </x:c>
      <x:c r="M111" s="31" t="n">
        <x:v>2.4271258715</x:v>
      </x:c>
      <x:c r="N111" s="24" t="str">
        <x:v>rostroraja alba</x:v>
      </x:c>
      <x:c r="O111" s="32" t="n">
        <x:v>4.41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Rostroraja alba</x:v>
      </x:c>
      <x:c r="T111" s="32" t="n">
        <x:f>IF(O111="","",(1/'Metadata'!$B$5)^(O111-1))</x:f>
        <x:v>2570.3957827688646</x:v>
      </x:c>
      <x:c r="U111" s="31" t="n">
        <x:f>IF(T111="","",I111*T111)</x:f>
        <x:v>21661.048800965993</x:v>
      </x:c>
    </x:row>
    <x:row r="112" ht="18" customHeight="1">
      <x:c r="A112" s="24" t="str">
        <x:v>EEZ_918</x:v>
      </x:c>
      <x:c r="B112" s="24" t="str">
        <x:v>France (Mediterranean)</x:v>
      </x:c>
      <x:c r="C112" s="24" t="str">
        <x:v>EEZ</x:v>
      </x:c>
      <x:c r="D112" s="30" t="n">
        <x:v>2019</x:v>
      </x:c>
      <x:c r="E112" s="24" t="str">
        <x:v>Seriola dumerili</x:v>
      </x:c>
      <x:c r="F112" s="24" t="str">
        <x:v>Greater amberjack</x:v>
      </x:c>
      <x:c r="G112" s="24" t="str">
        <x:v>Large reef assoc. fish (&gt;=90 cm)</x:v>
      </x:c>
      <x:c r="H112" s="24" t="str">
        <x:v>Perch-likes</x:v>
      </x:c>
      <x:c r="I112" s="31" t="n">
        <x:v>8.2532023782</x:v>
      </x:c>
      <x:c r="J112" s="31" t="n">
        <x:v>8.2532023782</x:v>
      </x:c>
      <x:c r="K112" s="31" t="n">
        <x:v>0</x:v>
      </x:c>
      <x:c r="L112" s="31" t="n">
        <x:v>7.3</x:v>
      </x:c>
      <x:c r="M112" s="31" t="n">
        <x:v>0.9532023782</x:v>
      </x:c>
      <x:c r="N112" s="24" t="str">
        <x:v>seriola dumerili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Seriola dumerili</x:v>
      </x:c>
      <x:c r="T112" s="32" t="n">
        <x:f>IF(O112="","",(1/'Metadata'!$B$5)^(O112-1))</x:f>
        <x:v>3162.2776601683795</x:v>
      </x:c>
      <x:c r="U112" s="31" t="n">
        <x:f>IF(T112="","",I112*T112)</x:f>
        <x:v>26098.9175054304</x:v>
      </x:c>
    </x:row>
    <x:row r="113" ht="18" customHeight="1">
      <x:c r="A113" s="24" t="str">
        <x:v>EEZ_918</x:v>
      </x:c>
      <x:c r="B113" s="24" t="str">
        <x:v>France (Mediterranean)</x:v>
      </x:c>
      <x:c r="C113" s="24" t="str">
        <x:v>EEZ</x:v>
      </x:c>
      <x:c r="D113" s="30" t="n">
        <x:v>2019</x:v>
      </x:c>
      <x:c r="E113" s="24" t="str">
        <x:v>Gadiformes</x:v>
      </x:c>
      <x:c r="F113" s="24" t="str">
        <x:v>Cods</x:v>
      </x:c>
      <x:c r="G113" s="24" t="str">
        <x:v>Medium benthopelagics (30 - 89 cm)</x:v>
      </x:c>
      <x:c r="H113" s="24" t="str">
        <x:v>Cod-likes</x:v>
      </x:c>
      <x:c r="I113" s="31" t="n">
        <x:v>8.0379333187</x:v>
      </x:c>
      <x:c r="J113" s="31" t="n">
        <x:v>8.0379333187</x:v>
      </x:c>
      <x:c r="K113" s="31" t="n">
        <x:v>0</x:v>
      </x:c>
      <x:c r="L113" s="31" t="n">
        <x:v>2.6999999999999997</x:v>
      </x:c>
      <x:c r="M113" s="31" t="n">
        <x:v>5.3379333187</x:v>
      </x:c>
      <x:c r="N113" s="24" t="str">
        <x:v>gadiformes</x:v>
      </x:c>
      <x:c r="O113" s="32" t="n">
        <x:v>3.91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Gadiformes</x:v>
      </x:c>
      <x:c r="T113" s="32" t="n">
        <x:f>IF(O113="","",(1/'Metadata'!$B$5)^(O113-1))</x:f>
        <x:v>812.8305161640995</x:v>
      </x:c>
      <x:c r="U113" s="31" t="n">
        <x:f>IF(T113="","",I113*T113)</x:f>
        <x:v>6533.477488331535</x:v>
      </x:c>
    </x:row>
    <x:row r="114" ht="18" customHeight="1">
      <x:c r="A114" s="24" t="str">
        <x:v>EEZ_918</x:v>
      </x:c>
      <x:c r="B114" s="24" t="str">
        <x:v>France (Mediterranean)</x:v>
      </x:c>
      <x:c r="C114" s="24" t="str">
        <x:v>EEZ</x:v>
      </x:c>
      <x:c r="D114" s="30" t="n">
        <x:v>2019</x:v>
      </x:c>
      <x:c r="E114" s="24" t="str">
        <x:v>Euthynnus alletteratus</x:v>
      </x:c>
      <x:c r="F114" s="24" t="str">
        <x:v>Little tunny </x:v>
      </x:c>
      <x:c r="G114" s="24" t="str">
        <x:v>Large pelagics (&gt;=90 cm)</x:v>
      </x:c>
      <x:c r="H114" s="24" t="str">
        <x:v>Tuna &amp; billfishes</x:v>
      </x:c>
      <x:c r="I114" s="31" t="n">
        <x:v>7.9942373767</x:v>
      </x:c>
      <x:c r="J114" s="31" t="n">
        <x:v>7.9942373767</x:v>
      </x:c>
      <x:c r="K114" s="31" t="n">
        <x:v>0</x:v>
      </x:c>
      <x:c r="L114" s="31" t="n">
        <x:v>7.9942373767</x:v>
      </x:c>
      <x:c r="M114" s="31" t="n">
        <x:v>0</x:v>
      </x:c>
      <x:c r="N114" s="24" t="str">
        <x:v>euthynnus alletteratus</x:v>
      </x:c>
      <x:c r="O114" s="32" t="n">
        <x:v>4.49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Euthynnus alletteratus</x:v>
      </x:c>
      <x:c r="T114" s="32" t="n">
        <x:f>IF(O114="","",(1/'Metadata'!$B$5)^(O114-1))</x:f>
        <x:v>3090.295432513592</x:v>
      </x:c>
      <x:c r="U114" s="31" t="n">
        <x:f>IF(T114="","",I114*T114)</x:f>
        <x:v>24704.55525164545</x:v>
      </x:c>
    </x:row>
    <x:row r="115" ht="18" customHeight="1">
      <x:c r="A115" s="24" t="str">
        <x:v>EEZ_918</x:v>
      </x:c>
      <x:c r="B115" s="24" t="str">
        <x:v>France (Mediterranean)</x:v>
      </x:c>
      <x:c r="C115" s="24" t="str">
        <x:v>EEZ</x:v>
      </x:c>
      <x:c r="D115" s="30" t="n">
        <x:v>2019</x:v>
      </x:c>
      <x:c r="E115" s="24" t="str">
        <x:v>Scyliorhinus</x:v>
      </x:c>
      <x:c r="F115" s="24" t="str">
        <x:v>Catsharks</x:v>
      </x:c>
      <x:c r="G115" s="24" t="str">
        <x:v>Small to medium sharks (&lt;90 cm)</x:v>
      </x:c>
      <x:c r="H115" s="24" t="str">
        <x:v>Sharks &amp; rays</x:v>
      </x:c>
      <x:c r="I115" s="31" t="n">
        <x:v>7.2138062806</x:v>
      </x:c>
      <x:c r="J115" s="31" t="n">
        <x:v>7.2138062806</x:v>
      </x:c>
      <x:c r="K115" s="31" t="n">
        <x:v>0</x:v>
      </x:c>
      <x:c r="L115" s="31" t="n">
        <x:v>5.8999999999999995</x:v>
      </x:c>
      <x:c r="M115" s="31" t="n">
        <x:v>1.3138062806</x:v>
      </x:c>
      <x:c r="N115" s="24" t="str">
        <x:v>scyliorhinus</x:v>
      </x:c>
      <x:c r="O115" s="32" t="n">
        <x:v>3.86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Scyliorhinus</x:v>
      </x:c>
      <x:c r="T115" s="32" t="n">
        <x:f>IF(O115="","",(1/'Metadata'!$B$5)^(O115-1))</x:f>
        <x:v>724.4359600749899</x:v>
      </x:c>
      <x:c r="U115" s="31" t="n">
        <x:f>IF(T115="","",I115*T115)</x:f>
        <x:v>5225.940678681453</x:v>
      </x:c>
    </x:row>
    <x:row r="116" ht="18" customHeight="1">
      <x:c r="A116" s="24" t="str">
        <x:v>EEZ_918</x:v>
      </x:c>
      <x:c r="B116" s="24" t="str">
        <x:v>France (Mediterranean)</x:v>
      </x:c>
      <x:c r="C116" s="24" t="str">
        <x:v>EEZ</x:v>
      </x:c>
      <x:c r="D116" s="30" t="n">
        <x:v>2019</x:v>
      </x:c>
      <x:c r="E116" s="24" t="str">
        <x:v>Muraena helena</x:v>
      </x:c>
      <x:c r="F116" s="24" t="str">
        <x:v>Mediterranean moray</x:v>
      </x:c>
      <x:c r="G116" s="24" t="str">
        <x:v>Large reef assoc. fish (&gt;=90 cm)</x:v>
      </x:c>
      <x:c r="H116" s="24" t="str">
        <x:v>Other fishes &amp; inverts</x:v>
      </x:c>
      <x:c r="I116" s="31" t="n">
        <x:v>7.0078423409</x:v>
      </x:c>
      <x:c r="J116" s="31" t="n">
        <x:v>7.0078423409</x:v>
      </x:c>
      <x:c r="K116" s="31" t="n">
        <x:v>0</x:v>
      </x:c>
      <x:c r="L116" s="31" t="n">
        <x:v>3.6999999999999997</x:v>
      </x:c>
      <x:c r="M116" s="31" t="n">
        <x:v>3.3078423409</x:v>
      </x:c>
      <x:c r="N116" s="24" t="str">
        <x:v>muraena helena</x:v>
      </x:c>
      <x:c r="O116" s="32" t="n">
        <x:v>4.18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Muraena helena</x:v>
      </x:c>
      <x:c r="T116" s="32" t="n">
        <x:f>IF(O116="","",(1/'Metadata'!$B$5)^(O116-1))</x:f>
        <x:v>1513.5612484362073</x:v>
      </x:c>
      <x:c r="U116" s="31" t="n">
        <x:f>IF(T116="","",I116*T116)</x:f>
        <x:v>10606.798602336718</x:v>
      </x:c>
    </x:row>
    <x:row r="117" ht="18" customHeight="1">
      <x:c r="A117" s="24" t="str">
        <x:v>EEZ_918</x:v>
      </x:c>
      <x:c r="B117" s="24" t="str">
        <x:v>France (Mediterranean)</x:v>
      </x:c>
      <x:c r="C117" s="24" t="str">
        <x:v>EEZ</x:v>
      </x:c>
      <x:c r="D117" s="30" t="n">
        <x:v>2019</x:v>
      </x:c>
      <x:c r="E117" s="24" t="str">
        <x:v>Lepidopus caudatus</x:v>
      </x:c>
      <x:c r="F117" s="24" t="str">
        <x:v>Silver scabbardfish</x:v>
      </x:c>
      <x:c r="G117" s="24" t="str">
        <x:v>Large bathydemersals (&gt;=90 cm)</x:v>
      </x:c>
      <x:c r="H117" s="24" t="str">
        <x:v>Perch-likes</x:v>
      </x:c>
      <x:c r="I117" s="31" t="n">
        <x:v>6.8752753339</x:v>
      </x:c>
      <x:c r="J117" s="31" t="n">
        <x:v>6.8752753339</x:v>
      </x:c>
      <x:c r="K117" s="31" t="n">
        <x:v>0</x:v>
      </x:c>
      <x:c r="L117" s="31" t="n">
        <x:v>4.2063086746</x:v>
      </x:c>
      <x:c r="M117" s="31" t="n">
        <x:v>2.6689666593</x:v>
      </x:c>
      <x:c r="N117" s="24" t="str">
        <x:v>lepidopus caudatus</x:v>
      </x:c>
      <x:c r="O117" s="32" t="n">
        <x:v>3.82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Lepidopus caudatus</x:v>
      </x:c>
      <x:c r="T117" s="32" t="n">
        <x:f>IF(O117="","",(1/'Metadata'!$B$5)^(O117-1))</x:f>
        <x:v>660.6934480075957</x:v>
      </x:c>
      <x:c r="U117" s="31" t="n">
        <x:f>IF(T117="","",I117*T117)</x:f>
        <x:v>4542.449366355965</x:v>
      </x:c>
    </x:row>
    <x:row r="118" ht="18" customHeight="1">
      <x:c r="A118" s="24" t="str">
        <x:v>EEZ_918</x:v>
      </x:c>
      <x:c r="B118" s="24" t="str">
        <x:v>France (Mediterranean)</x:v>
      </x:c>
      <x:c r="C118" s="24" t="str">
        <x:v>EEZ</x:v>
      </x:c>
      <x:c r="D118" s="30" t="n">
        <x:v>2019</x:v>
      </x:c>
      <x:c r="E118" s="24" t="str">
        <x:v>Sarda sarda</x:v>
      </x:c>
      <x:c r="F118" s="24" t="str">
        <x:v>Atlantic bonito</x:v>
      </x:c>
      <x:c r="G118" s="24" t="str">
        <x:v>Medium pelagics (30 - 89 cm)</x:v>
      </x:c>
      <x:c r="H118" s="24" t="str">
        <x:v>Tuna &amp; billfishes</x:v>
      </x:c>
      <x:c r="I118" s="31" t="n">
        <x:v>6.2835706116</x:v>
      </x:c>
      <x:c r="J118" s="31" t="n">
        <x:v>6.2835706116</x:v>
      </x:c>
      <x:c r="K118" s="31" t="n">
        <x:v>0</x:v>
      </x:c>
      <x:c r="L118" s="31" t="n">
        <x:v>6.2835706116</x:v>
      </x:c>
      <x:c r="M118" s="31" t="n">
        <x:v>0</x:v>
      </x:c>
      <x:c r="N118" s="24" t="str">
        <x:v>sarda sarda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Sarda sarda</x:v>
      </x:c>
      <x:c r="T118" s="32" t="n">
        <x:f>IF(O118="","",(1/'Metadata'!$B$5)^(O118-1))</x:f>
        <x:v>3162.2776601683795</x:v>
      </x:c>
      <x:c r="U118" s="31" t="n">
        <x:f>IF(T118="","",I118*T118)</x:f>
        <x:v>19870.39497115324</x:v>
      </x:c>
    </x:row>
    <x:row r="119" ht="18" customHeight="1">
      <x:c r="A119" s="24" t="str">
        <x:v>EEZ_918</x:v>
      </x:c>
      <x:c r="B119" s="24" t="str">
        <x:v>France (Mediterranean)</x:v>
      </x:c>
      <x:c r="C119" s="24" t="str">
        <x:v>EEZ</x:v>
      </x:c>
      <x:c r="D119" s="30" t="n">
        <x:v>2019</x:v>
      </x:c>
      <x:c r="E119" s="24" t="str">
        <x:v>Squalus acanthias</x:v>
      </x:c>
      <x:c r="F119" s="24" t="str">
        <x:v>Picked dogfish</x:v>
      </x:c>
      <x:c r="G119" s="24" t="str">
        <x:v>Large sharks (&gt;=90 cm)</x:v>
      </x:c>
      <x:c r="H119" s="24" t="str">
        <x:v>Sharks &amp; rays</x:v>
      </x:c>
      <x:c r="I119" s="31" t="n">
        <x:v>6.2429117337</x:v>
      </x:c>
      <x:c r="J119" s="31" t="n">
        <x:v>6.2429117337</x:v>
      </x:c>
      <x:c r="K119" s="31" t="n">
        <x:v>0</x:v>
      </x:c>
      <x:c r="L119" s="31" t="n">
        <x:v>0.7999999999999999</x:v>
      </x:c>
      <x:c r="M119" s="31" t="n">
        <x:v>5.4429117337</x:v>
      </x:c>
      <x:c r="N119" s="24" t="str">
        <x:v>squalus acanthias</x:v>
      </x:c>
      <x:c r="O119" s="32" t="n">
        <x:v>4.37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Squalus acanthias</x:v>
      </x:c>
      <x:c r="T119" s="32" t="n">
        <x:f>IF(O119="","",(1/'Metadata'!$B$5)^(O119-1))</x:f>
        <x:v>2344.228815319923</x:v>
      </x:c>
      <x:c r="U119" s="31" t="n">
        <x:f>IF(T119="","",I119*T119)</x:f>
        <x:v>14634.813577638397</x:v>
      </x:c>
    </x:row>
    <x:row r="120" ht="18" customHeight="1">
      <x:c r="A120" s="24" t="str">
        <x:v>EEZ_918</x:v>
      </x:c>
      <x:c r="B120" s="24" t="str">
        <x:v>France (Mediterranean)</x:v>
      </x:c>
      <x:c r="C120" s="24" t="str">
        <x:v>EEZ</x:v>
      </x:c>
      <x:c r="D120" s="30" t="n">
        <x:v>2019</x:v>
      </x:c>
      <x:c r="E120" s="24" t="str">
        <x:v>Argyrosomus regius</x:v>
      </x:c>
      <x:c r="F120" s="24" t="str">
        <x:v>Meagre</x:v>
      </x:c>
      <x:c r="G120" s="24" t="str">
        <x:v>Large benthopelagics (&gt;=90 cm)</x:v>
      </x:c>
      <x:c r="H120" s="24" t="str">
        <x:v>Perch-likes</x:v>
      </x:c>
      <x:c r="I120" s="31" t="n">
        <x:v>6.2285737944</x:v>
      </x:c>
      <x:c r="J120" s="31" t="n">
        <x:v>6.2285737944</x:v>
      </x:c>
      <x:c r="K120" s="31" t="n">
        <x:v>0</x:v>
      </x:c>
      <x:c r="L120" s="31" t="n">
        <x:v>0.7</x:v>
      </x:c>
      <x:c r="M120" s="31" t="n">
        <x:v>5.5285737944</x:v>
      </x:c>
      <x:c r="N120" s="24" t="str">
        <x:v>argyrosomus regius</x:v>
      </x:c>
      <x:c r="O120" s="32" t="n">
        <x:v>4.29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Argyrosomus regius</x:v>
      </x:c>
      <x:c r="T120" s="32" t="n">
        <x:f>IF(O120="","",(1/'Metadata'!$B$5)^(O120-1))</x:f>
        <x:v>1949.8445997580454</x:v>
      </x:c>
      <x:c r="U120" s="31" t="n">
        <x:f>IF(T120="","",I120*T120)</x:f>
        <x:v>12144.750977205318</x:v>
      </x:c>
    </x:row>
    <x:row r="121" ht="18" customHeight="1">
      <x:c r="A121" s="24" t="str">
        <x:v>EEZ_918</x:v>
      </x:c>
      <x:c r="B121" s="24" t="str">
        <x:v>France (Mediterranean)</x:v>
      </x:c>
      <x:c r="C121" s="24" t="str">
        <x:v>EEZ</x:v>
      </x:c>
      <x:c r="D121" s="30" t="n">
        <x:v>2019</x:v>
      </x:c>
      <x:c r="E121" s="24" t="str">
        <x:v>Palinuridae</x:v>
      </x:c>
      <x:c r="F121" s="24" t="str">
        <x:v>Spiny lobsters</x:v>
      </x:c>
      <x:c r="G121" s="24" t="str">
        <x:v>Lobsters, crabs</x:v>
      </x:c>
      <x:c r="H121" s="24" t="str">
        <x:v>Crustaceans</x:v>
      </x:c>
      <x:c r="I121" s="31" t="n">
        <x:v>6.1936581796</x:v>
      </x:c>
      <x:c r="J121" s="31" t="n">
        <x:v>6.1936581796</x:v>
      </x:c>
      <x:c r="K121" s="31" t="n">
        <x:v>0</x:v>
      </x:c>
      <x:c r="L121" s="31" t="n">
        <x:v>0</x:v>
      </x:c>
      <x:c r="M121" s="31" t="n">
        <x:v>6.1936581796</x:v>
      </x:c>
      <x:c r="N121" s="24" t="str">
        <x:v>palinuridae</x:v>
      </x:c>
      <x:c r="O121" s="32" t="n">
        <x:v>3.14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Palinuridae</x:v>
      </x:c>
      <x:c r="T121" s="32" t="n">
        <x:f>IF(O121="","",(1/'Metadata'!$B$5)^(O121-1))</x:f>
        <x:v>138.03842646028852</x:v>
      </x:c>
      <x:c r="U121" s="31" t="n">
        <x:f>IF(T121="","",I121*T121)</x:f>
        <x:v>854.962829144879</x:v>
      </x:c>
    </x:row>
    <x:row r="122" ht="18" customHeight="1">
      <x:c r="A122" s="24" t="str">
        <x:v>EEZ_918</x:v>
      </x:c>
      <x:c r="B122" s="24" t="str">
        <x:v>France (Mediterranean)</x:v>
      </x:c>
      <x:c r="C122" s="24" t="str">
        <x:v>EEZ</x:v>
      </x:c>
      <x:c r="D122" s="30" t="n">
        <x:v>2019</x:v>
      </x:c>
      <x:c r="E122" s="24" t="str">
        <x:v>Thunnus alalunga</x:v>
      </x:c>
      <x:c r="F122" s="24" t="str">
        <x:v>Albacore</x:v>
      </x:c>
      <x:c r="G122" s="24" t="str">
        <x:v>Large pelagics (&gt;=90 cm)</x:v>
      </x:c>
      <x:c r="H122" s="24" t="str">
        <x:v>Tuna &amp; billfishes</x:v>
      </x:c>
      <x:c r="I122" s="31" t="n">
        <x:v>5.8004024004</x:v>
      </x:c>
      <x:c r="J122" s="31" t="n">
        <x:v>5.8004024004</x:v>
      </x:c>
      <x:c r="K122" s="31" t="n">
        <x:v>0</x:v>
      </x:c>
      <x:c r="L122" s="31" t="n">
        <x:v>5.8004024004</x:v>
      </x:c>
      <x:c r="M122" s="31" t="n">
        <x:v>0</x:v>
      </x:c>
      <x:c r="N122" s="24" t="str">
        <x:v>thunnus alalunga</x:v>
      </x:c>
      <x:c r="O122" s="32" t="n">
        <x:v>4.3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Thunnus alalunga</x:v>
      </x:c>
      <x:c r="T122" s="32" t="n">
        <x:f>IF(O122="","",(1/'Metadata'!$B$5)^(O122-1))</x:f>
        <x:v>1995.2623149688789</x:v>
      </x:c>
      <x:c r="U122" s="31" t="n">
        <x:f>IF(T122="","",I122*T122)</x:f>
        <x:v>11573.324321173146</x:v>
      </x:c>
    </x:row>
    <x:row r="123" ht="18" customHeight="1">
      <x:c r="A123" s="24" t="str">
        <x:v>EEZ_918</x:v>
      </x:c>
      <x:c r="B123" s="24" t="str">
        <x:v>France (Mediterranean)</x:v>
      </x:c>
      <x:c r="C123" s="24" t="str">
        <x:v>EEZ</x:v>
      </x:c>
      <x:c r="D123" s="30" t="n">
        <x:v>2019</x:v>
      </x:c>
      <x:c r="E123" s="24" t="str">
        <x:v>Oblada melanurus</x:v>
      </x:c>
      <x:c r="F123" s="24" t="str">
        <x:v>Saddled seabream</x:v>
      </x:c>
      <x:c r="G123" s="24" t="str">
        <x:v>Small benthopelagics (&lt;30 cm)</x:v>
      </x:c>
      <x:c r="H123" s="24" t="str">
        <x:v>Perch-likes</x:v>
      </x:c>
      <x:c r="I123" s="31" t="n">
        <x:v>5.4315285621</x:v>
      </x:c>
      <x:c r="J123" s="31" t="n">
        <x:v>5.4315285621</x:v>
      </x:c>
      <x:c r="K123" s="31" t="n">
        <x:v>0</x:v>
      </x:c>
      <x:c r="L123" s="31" t="n">
        <x:v>2</x:v>
      </x:c>
      <x:c r="M123" s="31" t="n">
        <x:v>3.4315285621</x:v>
      </x:c>
      <x:c r="N123" s="24" t="str">
        <x:v>oblada melanurus</x:v>
      </x:c>
      <x:c r="O123" s="32" t="n">
        <x:v>3.38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Oblada melanurus</x:v>
      </x:c>
      <x:c r="T123" s="32" t="n">
        <x:f>IF(O123="","",(1/'Metadata'!$B$5)^(O123-1))</x:f>
        <x:v>239.88329190194898</x:v>
      </x:c>
      <x:c r="U123" s="31" t="n">
        <x:f>IF(T123="","",I123*T123)</x:f>
        <x:v>1302.9329515360075</x:v>
      </x:c>
    </x:row>
    <x:row r="124" ht="18" customHeight="1">
      <x:c r="A124" s="24" t="str">
        <x:v>EEZ_918</x:v>
      </x:c>
      <x:c r="B124" s="24" t="str">
        <x:v>France (Mediterranean)</x:v>
      </x:c>
      <x:c r="C124" s="24" t="str">
        <x:v>EEZ</x:v>
      </x:c>
      <x:c r="D124" s="30" t="n">
        <x:v>2019</x:v>
      </x:c>
      <x:c r="E124" s="24" t="str">
        <x:v>Penaeus kerathurus</x:v>
      </x:c>
      <x:c r="F124" s="24" t="str">
        <x:v>Caramote prawn</x:v>
      </x:c>
      <x:c r="G124" s="24" t="str">
        <x:v>Shrimps</x:v>
      </x:c>
      <x:c r="H124" s="24" t="str">
        <x:v>Crustaceans</x:v>
      </x:c>
      <x:c r="I124" s="31" t="n">
        <x:v>5.287685708</x:v>
      </x:c>
      <x:c r="J124" s="31" t="n">
        <x:v>5.287685708</x:v>
      </x:c>
      <x:c r="K124" s="31" t="n">
        <x:v>0</x:v>
      </x:c>
      <x:c r="L124" s="31" t="n">
        <x:v>3</x:v>
      </x:c>
      <x:c r="M124" s="31" t="n">
        <x:v>2.2876857079999997</x:v>
      </x:c>
      <x:c r="N124" s="24" t="str">
        <x:v>penaeus kerathurus</x:v>
      </x:c>
      <x:c r="O124" s="32" t="n">
        <x:v>2.7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Penaeus kerathurus</x:v>
      </x:c>
      <x:c r="T124" s="32" t="n">
        <x:f>IF(O124="","",(1/'Metadata'!$B$5)^(O124-1))</x:f>
        <x:v>50.11872336272725</x:v>
      </x:c>
      <x:c r="U124" s="31" t="n">
        <x:f>IF(T124="","",I124*T124)</x:f>
        <x:v>265.0120572282986</x:v>
      </x:c>
    </x:row>
    <x:row r="125" ht="18" customHeight="1">
      <x:c r="A125" s="24" t="str">
        <x:v>EEZ_918</x:v>
      </x:c>
      <x:c r="B125" s="24" t="str">
        <x:v>France (Mediterranean)</x:v>
      </x:c>
      <x:c r="C125" s="24" t="str">
        <x:v>EEZ</x:v>
      </x:c>
      <x:c r="D125" s="30" t="n">
        <x:v>2019</x:v>
      </x:c>
      <x:c r="E125" s="24" t="str">
        <x:v>Penaeus japonicus</x:v>
      </x:c>
      <x:c r="F125" s="24" t="str">
        <x:v>Kuruma prawn</x:v>
      </x:c>
      <x:c r="G125" s="24" t="str">
        <x:v>Shrimps</x:v>
      </x:c>
      <x:c r="H125" s="24" t="str">
        <x:v>Crustaceans</x:v>
      </x:c>
      <x:c r="I125" s="31" t="n">
        <x:v>5.1906404756999995</x:v>
      </x:c>
      <x:c r="J125" s="31" t="n">
        <x:v>5.1906404756999995</x:v>
      </x:c>
      <x:c r="K125" s="31" t="n">
        <x:v>0</x:v>
      </x:c>
      <x:c r="L125" s="31" t="n">
        <x:v>5</x:v>
      </x:c>
      <x:c r="M125" s="31" t="n">
        <x:v>0.1906404757</x:v>
      </x:c>
      <x:c r="N125" s="24" t="str">
        <x:v>penaeus japonicus</x:v>
      </x:c>
      <x:c r="O125" s="32" t="n">
        <x:v>2.7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Penaeus japonicus</x:v>
      </x:c>
      <x:c r="T125" s="32" t="n">
        <x:f>IF(O125="","",(1/'Metadata'!$B$5)^(O125-1))</x:f>
        <x:v>50.11872336272725</x:v>
      </x:c>
      <x:c r="U125" s="31" t="n">
        <x:f>IF(T125="","",I125*T125)</x:f>
        <x:v>260.1482740769833</x:v>
      </x:c>
    </x:row>
    <x:row r="126" ht="18" customHeight="1">
      <x:c r="A126" s="24" t="str">
        <x:v>EEZ_918</x:v>
      </x:c>
      <x:c r="B126" s="24" t="str">
        <x:v>France (Mediterranean)</x:v>
      </x:c>
      <x:c r="C126" s="24" t="str">
        <x:v>EEZ</x:v>
      </x:c>
      <x:c r="D126" s="30" t="n">
        <x:v>2019</x:v>
      </x:c>
      <x:c r="E126" s="24" t="str">
        <x:v>Veneridae</x:v>
      </x:c>
      <x:c r="F126" s="24" t="str">
        <x:v>Venus clams</x:v>
      </x:c>
      <x:c r="G126" s="24" t="str">
        <x:v>Other demersal invertebrates</x:v>
      </x:c>
      <x:c r="H126" s="24" t="str">
        <x:v>Molluscs</x:v>
      </x:c>
      <x:c r="I126" s="31" t="n">
        <x:v>5.1556583108</x:v>
      </x:c>
      <x:c r="J126" s="31" t="n">
        <x:v>5.1556583108</x:v>
      </x:c>
      <x:c r="K126" s="31" t="n">
        <x:v>0</x:v>
      </x:c>
      <x:c r="L126" s="31" t="n">
        <x:v>4.0000000002</x:v>
      </x:c>
      <x:c r="M126" s="31" t="n">
        <x:v>1.1556583106</x:v>
      </x:c>
      <x:c r="N126" s="24" t="str">
        <x:v>veneridae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Veneridae</x:v>
      </x:c>
      <x:c r="T126" s="32" t="n">
        <x:f>IF(O126="","",(1/'Metadata'!$B$5)^(O126-1))</x:f>
        <x:v>10</x:v>
      </x:c>
      <x:c r="U126" s="31" t="n">
        <x:f>IF(T126="","",I126*T126)</x:f>
        <x:v>51.556583108</x:v>
      </x:c>
    </x:row>
    <x:row r="127" ht="18" customHeight="1">
      <x:c r="A127" s="24" t="str">
        <x:v>EEZ_918</x:v>
      </x:c>
      <x:c r="B127" s="24" t="str">
        <x:v>France (Mediterranean)</x:v>
      </x:c>
      <x:c r="C127" s="24" t="str">
        <x:v>EEZ</x:v>
      </x:c>
      <x:c r="D127" s="30" t="n">
        <x:v>2019</x:v>
      </x:c>
      <x:c r="E127" s="24" t="str">
        <x:v>Trachurus mediterraneus</x:v>
      </x:c>
      <x:c r="F127" s="24" t="str">
        <x:v>Mediterranean horse mackerel</x:v>
      </x:c>
      <x:c r="G127" s="24" t="str">
        <x:v>Medium pelagics (30 - 89 cm)</x:v>
      </x:c>
      <x:c r="H127" s="24" t="str">
        <x:v>Perch-likes</x:v>
      </x:c>
      <x:c r="I127" s="31" t="n">
        <x:v>4.7660118918</x:v>
      </x:c>
      <x:c r="J127" s="31" t="n">
        <x:v>4.7660118918</x:v>
      </x:c>
      <x:c r="K127" s="31" t="n">
        <x:v>0</x:v>
      </x:c>
      <x:c r="L127" s="31" t="n">
        <x:v>0</x:v>
      </x:c>
      <x:c r="M127" s="31" t="n">
        <x:v>4.7660118918</x:v>
      </x:c>
      <x:c r="N127" s="24" t="str">
        <x:v>trachurus mediterraneus</x:v>
      </x:c>
      <x:c r="O127" s="32" t="n">
        <x:v>3.77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Trachurus mediterraneus</x:v>
      </x:c>
      <x:c r="T127" s="32" t="n">
        <x:f>IF(O127="","",(1/'Metadata'!$B$5)^(O127-1))</x:f>
        <x:v>588.843655355589</x:v>
      </x:c>
      <x:c r="U127" s="31" t="n">
        <x:f>IF(T127="","",I127*T127)</x:f>
        <x:v>2806.435863835718</x:v>
      </x:c>
    </x:row>
    <x:row r="128" ht="18" customHeight="1">
      <x:c r="A128" s="24" t="str">
        <x:v>EEZ_918</x:v>
      </x:c>
      <x:c r="B128" s="24" t="str">
        <x:v>France (Mediterranean)</x:v>
      </x:c>
      <x:c r="C128" s="24" t="str">
        <x:v>EEZ</x:v>
      </x:c>
      <x:c r="D128" s="30" t="n">
        <x:v>2019</x:v>
      </x:c>
      <x:c r="E128" s="24" t="str">
        <x:v>Diplodus vulgaris</x:v>
      </x:c>
      <x:c r="F128" s="24" t="str">
        <x:v>Common two-banded seabream</x:v>
      </x:c>
      <x:c r="G128" s="24" t="str">
        <x:v>Medium benthopelagics (30 - 89 cm)</x:v>
      </x:c>
      <x:c r="H128" s="24" t="str">
        <x:v>Perch-likes</x:v>
      </x:c>
      <x:c r="I128" s="31" t="n">
        <x:v>4.7</x:v>
      </x:c>
      <x:c r="J128" s="31" t="n">
        <x:v>4.7</x:v>
      </x:c>
      <x:c r="K128" s="31" t="n">
        <x:v>0</x:v>
      </x:c>
      <x:c r="L128" s="31" t="n">
        <x:v>4.7</x:v>
      </x:c>
      <x:c r="M128" s="31" t="n">
        <x:v>0</x:v>
      </x:c>
      <x:c r="N128" s="24" t="str">
        <x:v>diplodus vulgaris</x:v>
      </x:c>
      <x:c r="O128" s="32" t="n">
        <x:v>3.52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Diplodus vulgaris</x:v>
      </x:c>
      <x:c r="T128" s="32" t="n">
        <x:f>IF(O128="","",(1/'Metadata'!$B$5)^(O128-1))</x:f>
        <x:v>331.1311214825911</x:v>
      </x:c>
      <x:c r="U128" s="31" t="n">
        <x:f>IF(T128="","",I128*T128)</x:f>
        <x:v>1556.316270968178</x:v>
      </x:c>
    </x:row>
    <x:row r="129" ht="18" customHeight="1">
      <x:c r="A129" s="24" t="str">
        <x:v>EEZ_918</x:v>
      </x:c>
      <x:c r="B129" s="24" t="str">
        <x:v>France (Mediterranean)</x:v>
      </x:c>
      <x:c r="C129" s="24" t="str">
        <x:v>EEZ</x:v>
      </x:c>
      <x:c r="D129" s="30" t="n">
        <x:v>2019</x:v>
      </x:c>
      <x:c r="E129" s="24" t="str">
        <x:v>Alopias vulpinus</x:v>
      </x:c>
      <x:c r="F129" s="24" t="str">
        <x:v>Thresher</x:v>
      </x:c>
      <x:c r="G129" s="24" t="str">
        <x:v>Large sharks (&gt;=90 cm)</x:v>
      </x:c>
      <x:c r="H129" s="24" t="str">
        <x:v>Sharks &amp; rays</x:v>
      </x:c>
      <x:c r="I129" s="31" t="n">
        <x:v>4.4732067308</x:v>
      </x:c>
      <x:c r="J129" s="31" t="n">
        <x:v>4.4732067308</x:v>
      </x:c>
      <x:c r="K129" s="31" t="n">
        <x:v>0</x:v>
      </x:c>
      <x:c r="L129" s="31" t="n">
        <x:v>1.0416781687</x:v>
      </x:c>
      <x:c r="M129" s="31" t="n">
        <x:v>3.4315285621</x:v>
      </x:c>
      <x:c r="N129" s="24" t="str">
        <x:v>alopias vulpinus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Alopias vulpinus</x:v>
      </x:c>
      <x:c r="T129" s="32" t="n">
        <x:f>IF(O129="","",(1/'Metadata'!$B$5)^(O129-1))</x:f>
        <x:v>3162.2776601683795</x:v>
      </x:c>
      <x:c r="U129" s="31" t="n">
        <x:f>IF(T129="","",I129*T129)</x:f>
        <x:v>14145.521714123672</x:v>
      </x:c>
    </x:row>
    <x:row r="130" ht="18" customHeight="1">
      <x:c r="A130" s="24" t="str">
        <x:v>EEZ_918</x:v>
      </x:c>
      <x:c r="B130" s="24" t="str">
        <x:v>France (Mediterranean)</x:v>
      </x:c>
      <x:c r="C130" s="24" t="str">
        <x:v>EEZ</x:v>
      </x:c>
      <x:c r="D130" s="30" t="n">
        <x:v>2019</x:v>
      </x:c>
      <x:c r="E130" s="24" t="str">
        <x:v>Crangon crangon</x:v>
      </x:c>
      <x:c r="F130" s="24" t="str">
        <x:v>Common shrimp</x:v>
      </x:c>
      <x:c r="G130" s="24" t="str">
        <x:v>Shrimps</x:v>
      </x:c>
      <x:c r="H130" s="24" t="str">
        <x:v>Crustaceans</x:v>
      </x:c>
      <x:c r="I130" s="31" t="n">
        <x:v>4.1295377382</x:v>
      </x:c>
      <x:c r="J130" s="31" t="n">
        <x:v>4.1295377382</x:v>
      </x:c>
      <x:c r="K130" s="31" t="n">
        <x:v>0</x:v>
      </x:c>
      <x:c r="L130" s="31" t="n">
        <x:v>2</x:v>
      </x:c>
      <x:c r="M130" s="31" t="n">
        <x:v>2.1295377382000003</x:v>
      </x:c>
      <x:c r="N130" s="24" t="str">
        <x:v>crangon crangon</x:v>
      </x:c>
      <x:c r="O130" s="32" t="n">
        <x:v>3.19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Crangon crangon</x:v>
      </x:c>
      <x:c r="T130" s="32" t="n">
        <x:f>IF(O130="","",(1/'Metadata'!$B$5)^(O130-1))</x:f>
        <x:v>154.88166189124811</x:v>
      </x:c>
      <x:c r="U130" s="31" t="n">
        <x:f>IF(T130="","",I130*T130)</x:f>
        <x:v>639.5896677350419</x:v>
      </x:c>
    </x:row>
    <x:row r="131" ht="18" customHeight="1">
      <x:c r="A131" s="24" t="str">
        <x:v>EEZ_918</x:v>
      </x:c>
      <x:c r="B131" s="24" t="str">
        <x:v>France (Mediterranean)</x:v>
      </x:c>
      <x:c r="C131" s="24" t="str">
        <x:v>EEZ</x:v>
      </x:c>
      <x:c r="D131" s="30" t="n">
        <x:v>2019</x:v>
      </x:c>
      <x:c r="E131" s="24" t="str">
        <x:v>Maja squinado</x:v>
      </x:c>
      <x:c r="F131" s="24" t="str">
        <x:v>Spinous spider crab</x:v>
      </x:c>
      <x:c r="G131" s="24" t="str">
        <x:v>Lobsters, crabs</x:v>
      </x:c>
      <x:c r="H131" s="24" t="str">
        <x:v>Crustaceans</x:v>
      </x:c>
      <x:c r="I131" s="31" t="n">
        <x:v>3.9566316899</x:v>
      </x:c>
      <x:c r="J131" s="31" t="n">
        <x:v>3.9566316899</x:v>
      </x:c>
      <x:c r="K131" s="31" t="n">
        <x:v>0</x:v>
      </x:c>
      <x:c r="L131" s="31" t="n">
        <x:v>2.4</x:v>
      </x:c>
      <x:c r="M131" s="31" t="n">
        <x:v>1.5566316899000001</x:v>
      </x:c>
      <x:c r="N131" s="24" t="str">
        <x:v>maja squinado</x:v>
      </x:c>
      <x:c r="O131" s="32" t="n">
        <x:v>2.94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Maja squinado</x:v>
      </x:c>
      <x:c r="T131" s="32" t="n">
        <x:f>IF(O131="","",(1/'Metadata'!$B$5)^(O131-1))</x:f>
        <x:v>87.09635899560806</x:v>
      </x:c>
      <x:c r="U131" s="31" t="n">
        <x:f>IF(T131="","",I131*T131)</x:f>
        <x:v>344.60821407692976</x:v>
      </x:c>
    </x:row>
    <x:row r="132" ht="18" customHeight="1">
      <x:c r="A132" s="24" t="str">
        <x:v>EEZ_918</x:v>
      </x:c>
      <x:c r="B132" s="24" t="str">
        <x:v>France (Mediterranean)</x:v>
      </x:c>
      <x:c r="C132" s="24" t="str">
        <x:v>EEZ</x:v>
      </x:c>
      <x:c r="D132" s="30" t="n">
        <x:v>2019</x:v>
      </x:c>
      <x:c r="E132" s="24" t="str">
        <x:v>Sardinella aurita</x:v>
      </x:c>
      <x:c r="F132" s="24" t="str">
        <x:v>Round sardinella</x:v>
      </x:c>
      <x:c r="G132" s="24" t="str">
        <x:v>Small pelagics (&lt;30 cm)</x:v>
      </x:c>
      <x:c r="H132" s="24" t="str">
        <x:v>Herring-likes</x:v>
      </x:c>
      <x:c r="I132" s="31" t="n">
        <x:v>3.7670199012</x:v>
      </x:c>
      <x:c r="J132" s="31" t="n">
        <x:v>3.7670199012</x:v>
      </x:c>
      <x:c r="K132" s="31" t="n">
        <x:v>0</x:v>
      </x:c>
      <x:c r="L132" s="31" t="n">
        <x:v>1.9000000000000001</x:v>
      </x:c>
      <x:c r="M132" s="31" t="n">
        <x:v>1.8670199012</x:v>
      </x:c>
      <x:c r="N132" s="24" t="str">
        <x:v>sardinella aurita</x:v>
      </x:c>
      <x:c r="O132" s="32" t="n">
        <x:v>3.4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Sardinella aurita</x:v>
      </x:c>
      <x:c r="T132" s="32" t="n">
        <x:f>IF(O132="","",(1/'Metadata'!$B$5)^(O132-1))</x:f>
        <x:v>251.18864315095797</x:v>
      </x:c>
      <x:c r="U132" s="31" t="n">
        <x:f>IF(T132="","",I132*T132)</x:f>
        <x:v>946.2326177050837</x:v>
      </x:c>
    </x:row>
    <x:row r="133" ht="18" customHeight="1">
      <x:c r="A133" s="24" t="str">
        <x:v>EEZ_918</x:v>
      </x:c>
      <x:c r="B133" s="24" t="str">
        <x:v>France (Mediterranean)</x:v>
      </x:c>
      <x:c r="C133" s="24" t="str">
        <x:v>EEZ</x:v>
      </x:c>
      <x:c r="D133" s="30" t="n">
        <x:v>2019</x:v>
      </x:c>
      <x:c r="E133" s="24" t="str">
        <x:v>Sphyraena</x:v>
      </x:c>
      <x:c r="F133" s="24" t="str">
        <x:v>Barracudas, sennets</x:v>
      </x:c>
      <x:c r="G133" s="24" t="str">
        <x:v>Large pelagics (&gt;=90 cm)</x:v>
      </x:c>
      <x:c r="H133" s="24" t="str">
        <x:v>Perch-likes</x:v>
      </x:c>
      <x:c r="I133" s="31" t="n">
        <x:v>3.6359433984</x:v>
      </x:c>
      <x:c r="J133" s="31" t="n">
        <x:v>3.6359433984</x:v>
      </x:c>
      <x:c r="K133" s="31" t="n">
        <x:v>0</x:v>
      </x:c>
      <x:c r="L133" s="31" t="n">
        <x:v>1.7000000000000002</x:v>
      </x:c>
      <x:c r="M133" s="31" t="n">
        <x:v>1.9359433983999998</x:v>
      </x:c>
      <x:c r="N133" s="24" t="str">
        <x:v>sphyraena</x:v>
      </x:c>
      <x:c r="O133" s="32" t="n">
        <x:v>4.4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Sphyraena</x:v>
      </x:c>
      <x:c r="T133" s="32" t="n">
        <x:f>IF(O133="","",(1/'Metadata'!$B$5)^(O133-1))</x:f>
        <x:v>2511.886431509582</x:v>
      </x:c>
      <x:c r="U133" s="31" t="n">
        <x:f>IF(T133="","",I133*T133)</x:f>
        <x:v>9133.076888177799</x:v>
      </x:c>
    </x:row>
    <x:row r="134" ht="18" customHeight="1">
      <x:c r="A134" s="24" t="str">
        <x:v>EEZ_918</x:v>
      </x:c>
      <x:c r="B134" s="24" t="str">
        <x:v>France (Mediterranean)</x:v>
      </x:c>
      <x:c r="C134" s="24" t="str">
        <x:v>EEZ</x:v>
      </x:c>
      <x:c r="D134" s="30" t="n">
        <x:v>2019</x:v>
      </x:c>
      <x:c r="E134" s="24" t="str">
        <x:v>Pagrus</x:v>
      </x:c>
      <x:c r="F134" s="24" t="str">
        <x:v>Subtropical seabreams</x:v>
      </x:c>
      <x:c r="G134" s="24" t="str">
        <x:v>Medium benthopelagics (30 - 89 cm)</x:v>
      </x:c>
      <x:c r="H134" s="24" t="str">
        <x:v>Perch-likes</x:v>
      </x:c>
      <x:c r="I134" s="31" t="n">
        <x:v>3.6221690375</x:v>
      </x:c>
      <x:c r="J134" s="31" t="n">
        <x:v>3.6221690375</x:v>
      </x:c>
      <x:c r="K134" s="31" t="n">
        <x:v>0</x:v>
      </x:c>
      <x:c r="L134" s="31" t="n">
        <x:v>0</x:v>
      </x:c>
      <x:c r="M134" s="31" t="n">
        <x:v>3.6221690375</x:v>
      </x:c>
      <x:c r="N134" s="24" t="str">
        <x:v>pagrus</x:v>
      </x:c>
      <x:c r="O134" s="32" t="n">
        <x:v>3.55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Pagrus</x:v>
      </x:c>
      <x:c r="T134" s="32" t="n">
        <x:f>IF(O134="","",(1/'Metadata'!$B$5)^(O134-1))</x:f>
        <x:v>354.8133892335753</x:v>
      </x:c>
      <x:c r="U134" s="31" t="n">
        <x:f>IF(T134="","",I134*T134)</x:f>
        <x:v>1285.1940725722923</x:v>
      </x:c>
    </x:row>
    <x:row r="135" ht="18" customHeight="1">
      <x:c r="A135" s="24" t="str">
        <x:v>EEZ_918</x:v>
      </x:c>
      <x:c r="B135" s="24" t="str">
        <x:v>France (Mediterranean)</x:v>
      </x:c>
      <x:c r="C135" s="24" t="str">
        <x:v>EEZ</x:v>
      </x:c>
      <x:c r="D135" s="30" t="n">
        <x:v>2019</x:v>
      </x:c>
      <x:c r="E135" s="24" t="str">
        <x:v>Homarus gammarus</x:v>
      </x:c>
      <x:c r="F135" s="24" t="str">
        <x:v>European lobster</x:v>
      </x:c>
      <x:c r="G135" s="24" t="str">
        <x:v>Lobsters, crabs</x:v>
      </x:c>
      <x:c r="H135" s="24" t="str">
        <x:v>Crustaceans</x:v>
      </x:c>
      <x:c r="I135" s="31" t="n">
        <x:v>3.4359433984</x:v>
      </x:c>
      <x:c r="J135" s="31" t="n">
        <x:v>3.4359433984</x:v>
      </x:c>
      <x:c r="K135" s="31" t="n">
        <x:v>0</x:v>
      </x:c>
      <x:c r="L135" s="31" t="n">
        <x:v>1.5</x:v>
      </x:c>
      <x:c r="M135" s="31" t="n">
        <x:v>1.9359433983999998</x:v>
      </x:c>
      <x:c r="N135" s="24" t="str">
        <x:v>homarus gammarus</x:v>
      </x:c>
      <x:c r="O135" s="32" t="n">
        <x:v>3.7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Homarus gammarus</x:v>
      </x:c>
      <x:c r="T135" s="32" t="n">
        <x:f>IF(O135="","",(1/'Metadata'!$B$5)^(O135-1))</x:f>
        <x:v>501.18723362727246</x:v>
      </x:c>
      <x:c r="U135" s="31" t="n">
        <x:f>IF(T135="","",I135*T135)</x:f>
        <x:v>1722.0509667439853</x:v>
      </x:c>
    </x:row>
    <x:row r="136" ht="18" customHeight="1">
      <x:c r="A136" s="24" t="str">
        <x:v>EEZ_918</x:v>
      </x:c>
      <x:c r="B136" s="24" t="str">
        <x:v>France (Mediterranean)</x:v>
      </x:c>
      <x:c r="C136" s="24" t="str">
        <x:v>EEZ</x:v>
      </x:c>
      <x:c r="D136" s="30" t="n">
        <x:v>2019</x:v>
      </x:c>
      <x:c r="E136" s="24" t="str">
        <x:v>Pecten jacobaeus</x:v>
      </x:c>
      <x:c r="F136" s="24" t="str">
        <x:v>Great Mediterranean scallop</x:v>
      </x:c>
      <x:c r="G136" s="24" t="str">
        <x:v>Other demersal invertebrates</x:v>
      </x:c>
      <x:c r="H136" s="24" t="str">
        <x:v>Molluscs</x:v>
      </x:c>
      <x:c r="I136" s="31" t="n">
        <x:v>3.108396484</x:v>
      </x:c>
      <x:c r="J136" s="31" t="n">
        <x:v>3.108396484</x:v>
      </x:c>
      <x:c r="K136" s="31" t="n">
        <x:v>0</x:v>
      </x:c>
      <x:c r="L136" s="31" t="n">
        <x:v>2</x:v>
      </x:c>
      <x:c r="M136" s="31" t="n">
        <x:v>1.108396484</x:v>
      </x:c>
      <x:c r="N136" s="24" t="str">
        <x:v>pecten jacobaeus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Pecten jacobaeus</x:v>
      </x:c>
      <x:c r="T136" s="32" t="n">
        <x:f>IF(O136="","",(1/'Metadata'!$B$5)^(O136-1))</x:f>
        <x:v>10</x:v>
      </x:c>
      <x:c r="U136" s="31" t="n">
        <x:f>IF(T136="","",I136*T136)</x:f>
        <x:v>31.08396484</x:v>
      </x:c>
    </x:row>
    <x:row r="137" ht="18" customHeight="1">
      <x:c r="A137" s="24" t="str">
        <x:v>EEZ_918</x:v>
      </x:c>
      <x:c r="B137" s="24" t="str">
        <x:v>France (Mediterranean)</x:v>
      </x:c>
      <x:c r="C137" s="24" t="str">
        <x:v>EEZ</x:v>
      </x:c>
      <x:c r="D137" s="30" t="n">
        <x:v>2019</x:v>
      </x:c>
      <x:c r="E137" s="24" t="str">
        <x:v>Auxis rochei</x:v>
      </x:c>
      <x:c r="F137" s="24" t="str">
        <x:v>Bullet tuna</x:v>
      </x:c>
      <x:c r="G137" s="24" t="str">
        <x:v>Medium pelagics (30 - 89 cm)</x:v>
      </x:c>
      <x:c r="H137" s="24" t="str">
        <x:v>Tuna &amp; billfishes</x:v>
      </x:c>
      <x:c r="I137" s="31" t="n">
        <x:v>3.0535558488</x:v>
      </x:c>
      <x:c r="J137" s="31" t="n">
        <x:v>3.0535558488</x:v>
      </x:c>
      <x:c r="K137" s="31" t="n">
        <x:v>0</x:v>
      </x:c>
      <x:c r="L137" s="31" t="n">
        <x:v>3.0535558488</x:v>
      </x:c>
      <x:c r="M137" s="31" t="n">
        <x:v>0</x:v>
      </x:c>
      <x:c r="N137" s="24" t="str">
        <x:v>auxis rochei</x:v>
      </x:c>
      <x:c r="O137" s="32" t="n">
        <x:v>4.13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Auxis rochei</x:v>
      </x:c>
      <x:c r="T137" s="32" t="n">
        <x:f>IF(O137="","",(1/'Metadata'!$B$5)^(O137-1))</x:f>
        <x:v>1348.9628825916532</x:v>
      </x:c>
      <x:c r="U137" s="31" t="n">
        <x:f>IF(T137="","",I137*T137)</x:f>
        <x:v>4119.13349995185</x:v>
      </x:c>
    </x:row>
    <x:row r="138" ht="18" customHeight="1">
      <x:c r="A138" s="24" t="str">
        <x:v>EEZ_918</x:v>
      </x:c>
      <x:c r="B138" s="24" t="str">
        <x:v>France (Mediterranean)</x:v>
      </x:c>
      <x:c r="C138" s="24" t="str">
        <x:v>EEZ</x:v>
      </x:c>
      <x:c r="D138" s="30" t="n">
        <x:v>2019</x:v>
      </x:c>
      <x:c r="E138" s="24" t="str">
        <x:v>Belone belone</x:v>
      </x:c>
      <x:c r="F138" s="24" t="str">
        <x:v>Garfish</x:v>
      </x:c>
      <x:c r="G138" s="24" t="str">
        <x:v>Medium pelagics (30 - 89 cm)</x:v>
      </x:c>
      <x:c r="H138" s="24" t="str">
        <x:v>Other fishes &amp; inverts</x:v>
      </x:c>
      <x:c r="I138" s="31" t="n">
        <x:v>1.9064047567</x:v>
      </x:c>
      <x:c r="J138" s="31" t="n">
        <x:v>1.9064047567</x:v>
      </x:c>
      <x:c r="K138" s="31" t="n">
        <x:v>0</x:v>
      </x:c>
      <x:c r="L138" s="31" t="n">
        <x:v>0</x:v>
      </x:c>
      <x:c r="M138" s="31" t="n">
        <x:v>1.9064047567</x:v>
      </x:c>
      <x:c r="N138" s="24" t="str">
        <x:v>belone belone</x:v>
      </x:c>
      <x:c r="O138" s="32" t="n">
        <x:v>4.16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Belone belone</x:v>
      </x:c>
      <x:c r="T138" s="32" t="n">
        <x:f>IF(O138="","",(1/'Metadata'!$B$5)^(O138-1))</x:f>
        <x:v>1445.439770745928</x:v>
      </x:c>
      <x:c r="U138" s="31" t="n">
        <x:f>IF(T138="","",I138*T138)</x:f>
        <x:v>2755.5932544733946</x:v>
      </x:c>
    </x:row>
    <x:row r="139" ht="18" customHeight="1">
      <x:c r="A139" s="24" t="str">
        <x:v>EEZ_918</x:v>
      </x:c>
      <x:c r="B139" s="24" t="str">
        <x:v>France (Mediterranean)</x:v>
      </x:c>
      <x:c r="C139" s="24" t="str">
        <x:v>EEZ</x:v>
      </x:c>
      <x:c r="D139" s="30" t="n">
        <x:v>2019</x:v>
      </x:c>
      <x:c r="E139" s="24" t="str">
        <x:v>Centrolophidae</x:v>
      </x:c>
      <x:c r="F139" s="24" t="str">
        <x:v>Medusafishes</x:v>
      </x:c>
      <x:c r="G139" s="24" t="str">
        <x:v>Medium benthopelagics (30 - 89 cm)</x:v>
      </x:c>
      <x:c r="H139" s="24" t="str">
        <x:v>Perch-likes</x:v>
      </x:c>
      <x:c r="I139" s="31" t="n">
        <x:v>1.9000000000000001</x:v>
      </x:c>
      <x:c r="J139" s="31" t="n">
        <x:v>1.9000000000000001</x:v>
      </x:c>
      <x:c r="K139" s="31" t="n">
        <x:v>0</x:v>
      </x:c>
      <x:c r="L139" s="31" t="n">
        <x:v>1.9000000000000001</x:v>
      </x:c>
      <x:c r="M139" s="31" t="n">
        <x:v>0</x:v>
      </x:c>
      <x:c r="N139" s="24" t="str">
        <x:v>centrolophidae</x:v>
      </x:c>
      <x:c r="O139" s="32" t="n">
        <x:v>3.65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Centrolophidae</x:v>
      </x:c>
      <x:c r="T139" s="32" t="n">
        <x:f>IF(O139="","",(1/'Metadata'!$B$5)^(O139-1))</x:f>
        <x:v>446.683592150963</x:v>
      </x:c>
      <x:c r="U139" s="31" t="n">
        <x:f>IF(T139="","",I139*T139)</x:f>
        <x:v>848.6988250868299</x:v>
      </x:c>
    </x:row>
    <x:row r="140" ht="18" customHeight="1">
      <x:c r="A140" s="24" t="str">
        <x:v>EEZ_918</x:v>
      </x:c>
      <x:c r="B140" s="24" t="str">
        <x:v>France (Mediterranean)</x:v>
      </x:c>
      <x:c r="C140" s="24" t="str">
        <x:v>EEZ</x:v>
      </x:c>
      <x:c r="D140" s="30" t="n">
        <x:v>2019</x:v>
      </x:c>
      <x:c r="E140" s="24" t="str">
        <x:v>Dendrobranchiata</x:v>
      </x:c>
      <x:c r="F140" s="24" t="str">
        <x:v>Shrimps and prawns</x:v>
      </x:c>
      <x:c r="G140" s="24" t="str">
        <x:v>Shrimps</x:v>
      </x:c>
      <x:c r="H140" s="24" t="str">
        <x:v>Crustaceans</x:v>
      </x:c>
      <x:c r="I140" s="31" t="n">
        <x:v>1.0628966212</x:v>
      </x:c>
      <x:c r="J140" s="31" t="n">
        <x:v>1.0628966212</x:v>
      </x:c>
      <x:c r="K140" s="31" t="n">
        <x:v>0</x:v>
      </x:c>
      <x:c r="L140" s="31" t="n">
        <x:v>1.0628966212</x:v>
      </x:c>
      <x:c r="M140" s="31" t="n">
        <x:v>0</x:v>
      </x:c>
      <x:c r="N140" s="24" t="str">
        <x:v>dendrobranchiata</x:v>
      </x:c>
      <x:c r="O140" s="32" t="n">
        <x:v>3.24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Dendrobranchiata</x:v>
      </x:c>
      <x:c r="T140" s="32" t="n">
        <x:f>IF(O140="","",(1/'Metadata'!$B$5)^(O140-1))</x:f>
        <x:v>173.78008287493762</x:v>
      </x:c>
      <x:c r="U140" s="31" t="n">
        <x:f>IF(T140="","",I140*T140)</x:f>
        <x:v>184.71026291962716</x:v>
      </x:c>
    </x:row>
    <x:row r="141" ht="18" customHeight="1">
      <x:c r="A141" s="24" t="str">
        <x:v>EEZ_918</x:v>
      </x:c>
      <x:c r="B141" s="24" t="str">
        <x:v>France (Mediterranean)</x:v>
      </x:c>
      <x:c r="C141" s="24" t="str">
        <x:v>EEZ</x:v>
      </x:c>
      <x:c r="D141" s="30" t="n">
        <x:v>2019</x:v>
      </x:c>
      <x:c r="E141" s="24" t="str">
        <x:v>Raja brachyura</x:v>
      </x:c>
      <x:c r="F141" s="24" t="str">
        <x:v>Blonde ray</x:v>
      </x:c>
      <x:c r="G141" s="24" t="str">
        <x:v>Large rays (&gt;=90 cm)</x:v>
      </x:c>
      <x:c r="H141" s="24" t="str">
        <x:v>Sharks &amp; rays</x:v>
      </x:c>
      <x:c r="I141" s="31" t="n">
        <x:v>1</x:v>
      </x:c>
      <x:c r="J141" s="31" t="n">
        <x:v>1</x:v>
      </x:c>
      <x:c r="K141" s="31" t="n">
        <x:v>0</x:v>
      </x:c>
      <x:c r="L141" s="31" t="n">
        <x:v>1</x:v>
      </x:c>
      <x:c r="M141" s="31" t="n">
        <x:v>0</x:v>
      </x:c>
      <x:c r="N141" s="24" t="str">
        <x:v>raja brachyura</x:v>
      </x:c>
      <x:c r="O141" s="32" t="n">
        <x:v>3.89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Raja brachyura</x:v>
      </x:c>
      <x:c r="T141" s="32" t="n">
        <x:f>IF(O141="","",(1/'Metadata'!$B$5)^(O141-1))</x:f>
        <x:v>776.247116628692</x:v>
      </x:c>
      <x:c r="U141" s="31" t="n">
        <x:f>IF(T141="","",I141*T141)</x:f>
        <x:v>776.247116628692</x:v>
      </x:c>
    </x:row>
    <x:row r="142" ht="18" customHeight="1">
      <x:c r="A142" s="24" t="str">
        <x:v>EEZ_918</x:v>
      </x:c>
      <x:c r="B142" s="24" t="str">
        <x:v>France (Mediterranean)</x:v>
      </x:c>
      <x:c r="C142" s="24" t="str">
        <x:v>EEZ</x:v>
      </x:c>
      <x:c r="D142" s="30" t="n">
        <x:v>2019</x:v>
      </x:c>
      <x:c r="E142" s="24" t="str">
        <x:v>Raja undulata</x:v>
      </x:c>
      <x:c r="F142" s="24" t="str">
        <x:v>Undulate ray</x:v>
      </x:c>
      <x:c r="G142" s="24" t="str">
        <x:v>Small to medium rays (&lt;90 cm)</x:v>
      </x:c>
      <x:c r="H142" s="24" t="str">
        <x:v>Sharks &amp; rays</x:v>
      </x:c>
      <x:c r="I142" s="31" t="n">
        <x:v>1</x:v>
      </x:c>
      <x:c r="J142" s="31" t="n">
        <x:v>1</x:v>
      </x:c>
      <x:c r="K142" s="31" t="n">
        <x:v>0</x:v>
      </x:c>
      <x:c r="L142" s="31" t="n">
        <x:v>1</x:v>
      </x:c>
      <x:c r="M142" s="31" t="n">
        <x:v>0</x:v>
      </x:c>
      <x:c r="N142" s="24" t="str">
        <x:v>raja undulata</x:v>
      </x:c>
      <x:c r="O142" s="32" t="n">
        <x:v>3.5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Raja undulata</x:v>
      </x:c>
      <x:c r="T142" s="32" t="n">
        <x:f>IF(O142="","",(1/'Metadata'!$B$5)^(O142-1))</x:f>
        <x:v>316.22776601683796</x:v>
      </x:c>
      <x:c r="U142" s="31" t="n">
        <x:f>IF(T142="","",I142*T142)</x:f>
        <x:v>316.22776601683796</x:v>
      </x:c>
    </x:row>
    <x:row r="143" ht="18" customHeight="1">
      <x:c r="A143" s="24" t="str">
        <x:v>EEZ_918</x:v>
      </x:c>
      <x:c r="B143" s="24" t="str">
        <x:v>France (Mediterranean)</x:v>
      </x:c>
      <x:c r="C143" s="24" t="str">
        <x:v>EEZ</x:v>
      </x:c>
      <x:c r="D143" s="30" t="n">
        <x:v>2019</x:v>
      </x:c>
      <x:c r="E143" s="24" t="str">
        <x:v>Mustelus</x:v>
      </x:c>
      <x:c r="F143" s="24" t="str">
        <x:v>Smoothhounds</x:v>
      </x:c>
      <x:c r="G143" s="24" t="str">
        <x:v>Large sharks (&gt;=90 cm)</x:v>
      </x:c>
      <x:c r="H143" s="24" t="str">
        <x:v>Sharks &amp; rays</x:v>
      </x:c>
      <x:c r="I143" s="31" t="n">
        <x:v>0.8906404755999999</x:v>
      </x:c>
      <x:c r="J143" s="31" t="n">
        <x:v>0.8906404755999999</x:v>
      </x:c>
      <x:c r="K143" s="31" t="n">
        <x:v>0</x:v>
      </x:c>
      <x:c r="L143" s="31" t="n">
        <x:v>0.7</x:v>
      </x:c>
      <x:c r="M143" s="31" t="n">
        <x:v>0.1906404756</x:v>
      </x:c>
      <x:c r="N143" s="24" t="str">
        <x:v>mustelus</x:v>
      </x:c>
      <x:c r="O143" s="32" t="n">
        <x:v>3.73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Mustelus</x:v>
      </x:c>
      <x:c r="T143" s="32" t="n">
        <x:f>IF(O143="","",(1/'Metadata'!$B$5)^(O143-1))</x:f>
        <x:v>537.0317963702527</x:v>
      </x:c>
      <x:c r="U143" s="31" t="n">
        <x:f>IF(T143="","",I143*T143)</x:f>
        <x:v>478.30225453152417</x:v>
      </x:c>
    </x:row>
    <x:row r="144" ht="18" customHeight="1">
      <x:c r="A144" s="24" t="str">
        <x:v>EEZ_918</x:v>
      </x:c>
      <x:c r="B144" s="24" t="str">
        <x:v>France (Mediterranean)</x:v>
      </x:c>
      <x:c r="C144" s="24" t="str">
        <x:v>EEZ</x:v>
      </x:c>
      <x:c r="D144" s="30" t="n">
        <x:v>2019</x:v>
      </x:c>
      <x:c r="E144" s="24" t="str">
        <x:v>Epinephelus</x:v>
      </x:c>
      <x:c r="F144" s="24" t="str">
        <x:v>Seabasses, hinds</x:v>
      </x:c>
      <x:c r="G144" s="24" t="str">
        <x:v>Medium reef assoc. fish (30 - 89 cm)</x:v>
      </x:c>
      <x:c r="H144" s="24" t="str">
        <x:v>Perch-likes</x:v>
      </x:c>
      <x:c r="I144" s="31" t="n">
        <x:v>0.8719214271</x:v>
      </x:c>
      <x:c r="J144" s="31" t="n">
        <x:v>0.8719214271</x:v>
      </x:c>
      <x:c r="K144" s="31" t="n">
        <x:v>0</x:v>
      </x:c>
      <x:c r="L144" s="31" t="n">
        <x:v>0.3</x:v>
      </x:c>
      <x:c r="M144" s="31" t="n">
        <x:v>0.5719214270999999</x:v>
      </x:c>
      <x:c r="N144" s="24" t="str">
        <x:v>epinephelus</x:v>
      </x:c>
      <x:c r="O144" s="32" t="n">
        <x:v>3.84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Epinephelus</x:v>
      </x:c>
      <x:c r="T144" s="32" t="n">
        <x:f>IF(O144="","",(1/'Metadata'!$B$5)^(O144-1))</x:f>
        <x:v>691.8309709189363</x:v>
      </x:c>
      <x:c r="U144" s="31" t="n">
        <x:f>IF(T144="","",I144*T144)</x:f>
        <x:v>603.2222474756175</x:v>
      </x:c>
    </x:row>
    <x:row r="145" ht="18" customHeight="1">
      <x:c r="A145" s="24" t="str">
        <x:v>EEZ_918</x:v>
      </x:c>
      <x:c r="B145" s="24" t="str">
        <x:v>France (Mediterranean)</x:v>
      </x:c>
      <x:c r="C145" s="24" t="str">
        <x:v>EEZ</x:v>
      </x:c>
      <x:c r="D145" s="30" t="n">
        <x:v>2019</x:v>
      </x:c>
      <x:c r="E145" s="24" t="str">
        <x:v>Phycis phycis</x:v>
      </x:c>
      <x:c r="F145" s="24" t="str">
        <x:v>Forkbeard</x:v>
      </x:c>
      <x:c r="G145" s="24" t="str">
        <x:v>Medium benthopelagics (30 - 89 cm)</x:v>
      </x:c>
      <x:c r="H145" s="24" t="str">
        <x:v>Cod-likes</x:v>
      </x:c>
      <x:c r="I145" s="31" t="n">
        <x:v>0.8</x:v>
      </x:c>
      <x:c r="J145" s="31" t="n">
        <x:v>0.8</x:v>
      </x:c>
      <x:c r="K145" s="31" t="n">
        <x:v>0</x:v>
      </x:c>
      <x:c r="L145" s="31" t="n">
        <x:v>0.8</x:v>
      </x:c>
      <x:c r="M145" s="31" t="n">
        <x:v>0</x:v>
      </x:c>
      <x:c r="N145" s="24" t="str">
        <x:v>phycis phycis</x:v>
      </x:c>
      <x:c r="O145" s="32" t="n">
        <x:v>4.25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Phycis phycis</x:v>
      </x:c>
      <x:c r="T145" s="32" t="n">
        <x:f>IF(O145="","",(1/'Metadata'!$B$5)^(O145-1))</x:f>
        <x:v>1778.2794100389228</x:v>
      </x:c>
      <x:c r="U145" s="31" t="n">
        <x:f>IF(T145="","",I145*T145)</x:f>
        <x:v>1422.6235280311384</x:v>
      </x:c>
    </x:row>
    <x:row r="146" ht="18" customHeight="1">
      <x:c r="A146" s="24" t="str">
        <x:v>EEZ_918</x:v>
      </x:c>
      <x:c r="B146" s="24" t="str">
        <x:v>France (Mediterranean)</x:v>
      </x:c>
      <x:c r="C146" s="24" t="str">
        <x:v>EEZ</x:v>
      </x:c>
      <x:c r="D146" s="30" t="n">
        <x:v>2019</x:v>
      </x:c>
      <x:c r="E146" s="24" t="str">
        <x:v>Teuthida</x:v>
      </x:c>
      <x:c r="F146" s="24" t="str">
        <x:v>Squids</x:v>
      </x:c>
      <x:c r="G146" s="24" t="str">
        <x:v>Cephalopods</x:v>
      </x:c>
      <x:c r="H146" s="24" t="str">
        <x:v>Other fishes &amp; inverts</x:v>
      </x:c>
      <x:c r="I146" s="31" t="n">
        <x:v>0.7783158450000001</x:v>
      </x:c>
      <x:c r="J146" s="31" t="n">
        <x:v>0.7783158450000001</x:v>
      </x:c>
      <x:c r="K146" s="31" t="n">
        <x:v>0</x:v>
      </x:c>
      <x:c r="L146" s="31" t="n">
        <x:v>0</x:v>
      </x:c>
      <x:c r="M146" s="31" t="n">
        <x:v>0.7783158450000001</x:v>
      </x:c>
      <x:c r="N146" s="24" t="str">
        <x:v>teuthida</x:v>
      </x:c>
      <x:c r="O146" s="32" t="n">
        <x:v>4.13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Teuthida</x:v>
      </x:c>
      <x:c r="T146" s="32" t="n">
        <x:f>IF(O146="","",(1/'Metadata'!$B$5)^(O146-1))</x:f>
        <x:v>1348.9628825916532</x:v>
      </x:c>
      <x:c r="U146" s="31" t="n">
        <x:f>IF(T146="","",I146*T146)</x:f>
        <x:v>1049.9191858379584</x:v>
      </x:c>
    </x:row>
    <x:row r="147" ht="18" customHeight="1">
      <x:c r="A147" s="24" t="str">
        <x:v>EEZ_918</x:v>
      </x:c>
      <x:c r="B147" s="24" t="str">
        <x:v>France (Mediterranean)</x:v>
      </x:c>
      <x:c r="C147" s="24" t="str">
        <x:v>EEZ</x:v>
      </x:c>
      <x:c r="D147" s="30" t="n">
        <x:v>2019</x:v>
      </x:c>
      <x:c r="E147" s="24" t="str">
        <x:v>Galeorhinus galeus</x:v>
      </x:c>
      <x:c r="F147" s="24" t="str">
        <x:v>Tope shark</x:v>
      </x:c>
      <x:c r="G147" s="24" t="str">
        <x:v>Large sharks (&gt;=90 cm)</x:v>
      </x:c>
      <x:c r="H147" s="24" t="str">
        <x:v>Sharks &amp; rays</x:v>
      </x:c>
      <x:c r="I147" s="31" t="n">
        <x:v>0.5719214268</x:v>
      </x:c>
      <x:c r="J147" s="31" t="n">
        <x:v>0.5719214268</x:v>
      </x:c>
      <x:c r="K147" s="31" t="n">
        <x:v>0</x:v>
      </x:c>
      <x:c r="L147" s="31" t="n">
        <x:v>0</x:v>
      </x:c>
      <x:c r="M147" s="31" t="n">
        <x:v>0.5719214268</x:v>
      </x:c>
      <x:c r="N147" s="24" t="str">
        <x:v>galeorhinus galeus</x:v>
      </x:c>
      <x:c r="O147" s="32" t="n">
        <x:v>4.34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Galeorhinus galeus</x:v>
      </x:c>
      <x:c r="T147" s="32" t="n">
        <x:f>IF(O147="","",(1/'Metadata'!$B$5)^(O147-1))</x:f>
        <x:v>2187.761623949552</x:v>
      </x:c>
      <x:c r="U147" s="31" t="n">
        <x:f>IF(T147="","",I147*T147)</x:f>
        <x:v>1251.227749467513</x:v>
      </x:c>
    </x:row>
    <x:row r="148" ht="18" customHeight="1">
      <x:c r="A148" s="24" t="str">
        <x:v>EEZ_918</x:v>
      </x:c>
      <x:c r="B148" s="24" t="str">
        <x:v>France (Mediterranean)</x:v>
      </x:c>
      <x:c r="C148" s="24" t="str">
        <x:v>EEZ</x:v>
      </x:c>
      <x:c r="D148" s="30" t="n">
        <x:v>2019</x:v>
      </x:c>
      <x:c r="E148" s="24" t="str">
        <x:v>Istiophorus albicans</x:v>
      </x:c>
      <x:c r="F148" s="24" t="str">
        <x:v>Atlantic sailfish</x:v>
      </x:c>
      <x:c r="G148" s="24" t="str">
        <x:v>Large pelagics (&gt;=90 cm)</x:v>
      </x:c>
      <x:c r="H148" s="24" t="str">
        <x:v>Tuna &amp; billfishes</x:v>
      </x:c>
      <x:c r="I148" s="31" t="n">
        <x:v>0.4278740825</x:v>
      </x:c>
      <x:c r="J148" s="31" t="n">
        <x:v>0.4278740825</x:v>
      </x:c>
      <x:c r="K148" s="31" t="n">
        <x:v>0</x:v>
      </x:c>
      <x:c r="L148" s="31" t="n">
        <x:v>0.4278740825</x:v>
      </x:c>
      <x:c r="M148" s="31" t="n">
        <x:v>0</x:v>
      </x:c>
      <x:c r="N148" s="24" t="str">
        <x:v>istiophorus albicans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Istiophorus albicans</x:v>
      </x:c>
      <x:c r="T148" s="32" t="n">
        <x:f>IF(O148="","",(1/'Metadata'!$B$5)^(O148-1))</x:f>
        <x:v>3162.2776601683795</x:v>
      </x:c>
      <x:c r="U148" s="31" t="n">
        <x:f>IF(T148="","",I148*T148)</x:f>
        <x:v>1353.0566524547921</x:v>
      </x:c>
    </x:row>
    <x:row r="149" ht="18" customHeight="1">
      <x:c r="A149" s="24" t="str">
        <x:v>EEZ_918</x:v>
      </x:c>
      <x:c r="B149" s="24" t="str">
        <x:v>France (Mediterranean)</x:v>
      </x:c>
      <x:c r="C149" s="24" t="str">
        <x:v>EEZ</x:v>
      </x:c>
      <x:c r="D149" s="30" t="n">
        <x:v>2019</x:v>
      </x:c>
      <x:c r="E149" s="24" t="str">
        <x:v>Palinurus mauritanicus</x:v>
      </x:c>
      <x:c r="F149" s="24" t="str">
        <x:v>Pink spiny lobster</x:v>
      </x:c>
      <x:c r="G149" s="24" t="str">
        <x:v>Lobsters, crabs</x:v>
      </x:c>
      <x:c r="H149" s="24" t="str">
        <x:v>Crustaceans</x:v>
      </x:c>
      <x:c r="I149" s="31" t="n">
        <x:v>0.39999999999999997</x:v>
      </x:c>
      <x:c r="J149" s="31" t="n">
        <x:v>0.39999999999999997</x:v>
      </x:c>
      <x:c r="K149" s="31" t="n">
        <x:v>0</x:v>
      </x:c>
      <x:c r="L149" s="31" t="n">
        <x:v>0.39999999999999997</x:v>
      </x:c>
      <x:c r="M149" s="31" t="n">
        <x:v>0</x:v>
      </x:c>
      <x:c r="N149" s="24" t="str">
        <x:v>palinurus mauritanicus</x:v>
      </x:c>
      <x:c r="O149" s="32" t="n">
        <x:v>3.54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Palinurus mauritanicus</x:v>
      </x:c>
      <x:c r="T149" s="32" t="n">
        <x:f>IF(O149="","",(1/'Metadata'!$B$5)^(O149-1))</x:f>
        <x:v>346.73685045253166</x:v>
      </x:c>
      <x:c r="U149" s="31" t="n">
        <x:f>IF(T149="","",I149*T149)</x:f>
        <x:v>138.69474018101266</x:v>
      </x:c>
    </x:row>
    <x:row r="150" ht="18" customHeight="1">
      <x:c r="A150" s="24" t="str">
        <x:v>EEZ_918</x:v>
      </x:c>
      <x:c r="B150" s="24" t="str">
        <x:v>France (Mediterranean)</x:v>
      </x:c>
      <x:c r="C150" s="24" t="str">
        <x:v>EEZ</x:v>
      </x:c>
      <x:c r="D150" s="30" t="n">
        <x:v>2019</x:v>
      </x:c>
      <x:c r="E150" s="24" t="str">
        <x:v>Platichthys flesus</x:v>
      </x:c>
      <x:c r="F150" s="24" t="str">
        <x:v>European flounder</x:v>
      </x:c>
      <x:c r="G150" s="24" t="str">
        <x:v>Small to medium flatfishes (&lt;90 cm)</x:v>
      </x:c>
      <x:c r="H150" s="24" t="str">
        <x:v>Flatfishes</x:v>
      </x:c>
      <x:c r="I150" s="31" t="n">
        <x:v>0.3871886795</x:v>
      </x:c>
      <x:c r="J150" s="31" t="n">
        <x:v>0.3871886795</x:v>
      </x:c>
      <x:c r="K150" s="31" t="n">
        <x:v>0</x:v>
      </x:c>
      <x:c r="L150" s="31" t="n">
        <x:v>0</x:v>
      </x:c>
      <x:c r="M150" s="31" t="n">
        <x:v>0.3871886795</x:v>
      </x:c>
      <x:c r="N150" s="24" t="str">
        <x:v>platichthys flesus</x:v>
      </x:c>
      <x:c r="O150" s="32" t="n">
        <x:v>3.32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Platichthys flesus</x:v>
      </x:c>
      <x:c r="T150" s="32" t="n">
        <x:f>IF(O150="","",(1/'Metadata'!$B$5)^(O150-1))</x:f>
        <x:v>208.92961308540387</x:v>
      </x:c>
      <x:c r="U150" s="31" t="n">
        <x:f>IF(T150="","",I150*T150)</x:f>
        <x:v>80.89518099898345</x:v>
      </x:c>
    </x:row>
    <x:row r="151" ht="18" customHeight="1">
      <x:c r="A151" s="24" t="str">
        <x:v>EEZ_918</x:v>
      </x:c>
      <x:c r="B151" s="24" t="str">
        <x:v>France (Mediterranean)</x:v>
      </x:c>
      <x:c r="C151" s="24" t="str">
        <x:v>EEZ</x:v>
      </x:c>
      <x:c r="D151" s="30" t="n">
        <x:v>2019</x:v>
      </x:c>
      <x:c r="E151" s="24" t="str">
        <x:v>Ostrea edulis</x:v>
      </x:c>
      <x:c r="F151" s="24" t="str">
        <x:v>European flat oyster</x:v>
      </x:c>
      <x:c r="G151" s="24" t="str">
        <x:v>Other demersal invertebrates</x:v>
      </x:c>
      <x:c r="H151" s="24" t="str">
        <x:v>Molluscs</x:v>
      </x:c>
      <x:c r="I151" s="31" t="n">
        <x:v>0.38521943680000004</x:v>
      </x:c>
      <x:c r="J151" s="31" t="n">
        <x:v>0.38521943680000004</x:v>
      </x:c>
      <x:c r="K151" s="31" t="n">
        <x:v>0</x:v>
      </x:c>
      <x:c r="L151" s="31" t="n">
        <x:v>0</x:v>
      </x:c>
      <x:c r="M151" s="31" t="n">
        <x:v>0.38521943680000004</x:v>
      </x:c>
      <x:c r="N151" s="24" t="str">
        <x:v>ostrea edulis</x:v>
      </x:c>
      <x:c r="O151" s="32" t="n">
        <x:v>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Ostrea edulis</x:v>
      </x:c>
      <x:c r="T151" s="32" t="n">
        <x:f>IF(O151="","",(1/'Metadata'!$B$5)^(O151-1))</x:f>
        <x:v>10</x:v>
      </x:c>
      <x:c r="U151" s="31" t="n">
        <x:f>IF(T151="","",I151*T151)</x:f>
        <x:v>3.852194368</x:v>
      </x:c>
    </x:row>
    <x:row r="152" ht="18" customHeight="1">
      <x:c r="A152" s="24" t="str">
        <x:v>EEZ_918</x:v>
      </x:c>
      <x:c r="B152" s="24" t="str">
        <x:v>France (Mediterranean)</x:v>
      </x:c>
      <x:c r="C152" s="24" t="str">
        <x:v>EEZ</x:v>
      </x:c>
      <x:c r="D152" s="30" t="n">
        <x:v>2019</x:v>
      </x:c>
      <x:c r="E152" s="24" t="str">
        <x:v>Pagellus</x:v>
      </x:c>
      <x:c r="F152" s="24" t="str">
        <x:v>Pandoras</x:v>
      </x:c>
      <x:c r="G152" s="24" t="str">
        <x:v>Medium benthopelagics (30 - 89 cm)</x:v>
      </x:c>
      <x:c r="H152" s="24" t="str">
        <x:v>Perch-likes</x:v>
      </x:c>
      <x:c r="I152" s="31" t="n">
        <x:v>0.38128095089999997</x:v>
      </x:c>
      <x:c r="J152" s="31" t="n">
        <x:v>0.38128095089999997</x:v>
      </x:c>
      <x:c r="K152" s="31" t="n">
        <x:v>0</x:v>
      </x:c>
      <x:c r="L152" s="31" t="n">
        <x:v>0</x:v>
      </x:c>
      <x:c r="M152" s="31" t="n">
        <x:v>0.38128095089999997</x:v>
      </x:c>
      <x:c r="N152" s="24" t="str">
        <x:v>pagellus</x:v>
      </x:c>
      <x:c r="O152" s="32" t="n">
        <x:v>3.44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Pagellus</x:v>
      </x:c>
      <x:c r="T152" s="32" t="n">
        <x:f>IF(O152="","",(1/'Metadata'!$B$5)^(O152-1))</x:f>
        <x:v>275.4228703338166</x:v>
      </x:c>
      <x:c r="U152" s="31" t="n">
        <x:f>IF(T152="","",I152*T152)</x:f>
        <x:v>105.01349390048499</x:v>
      </x:c>
    </x:row>
    <x:row r="153" ht="18" customHeight="1">
      <x:c r="A153" s="24" t="str">
        <x:v>EEZ_918</x:v>
      </x:c>
      <x:c r="B153" s="24" t="str">
        <x:v>France (Mediterranean)</x:v>
      </x:c>
      <x:c r="C153" s="24" t="str">
        <x:v>EEZ</x:v>
      </x:c>
      <x:c r="D153" s="30" t="n">
        <x:v>2019</x:v>
      </x:c>
      <x:c r="E153" s="24" t="str">
        <x:v>Brama brama</x:v>
      </x:c>
      <x:c r="F153" s="24" t="str">
        <x:v>Atlantic pomfret</x:v>
      </x:c>
      <x:c r="G153" s="24" t="str">
        <x:v>Medium bathypelagics (30 - 89 cm)</x:v>
      </x:c>
      <x:c r="H153" s="24" t="str">
        <x:v>Perch-likes</x:v>
      </x:c>
      <x:c r="I153" s="31" t="n">
        <x:v>0.3530681481</x:v>
      </x:c>
      <x:c r="J153" s="31" t="n">
        <x:v>0.3530681481</x:v>
      </x:c>
      <x:c r="K153" s="31" t="n">
        <x:v>0</x:v>
      </x:c>
      <x:c r="L153" s="31" t="n">
        <x:v>0.3530681481</x:v>
      </x:c>
      <x:c r="M153" s="31" t="n">
        <x:v>0</x:v>
      </x:c>
      <x:c r="N153" s="24" t="str">
        <x:v>brama brama</x:v>
      </x:c>
      <x:c r="O153" s="32" t="n">
        <x:v>4.08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Brama brama</x:v>
      </x:c>
      <x:c r="T153" s="32" t="n">
        <x:f>IF(O153="","",(1/'Metadata'!$B$5)^(O153-1))</x:f>
        <x:v>1202.2644346174131</x:v>
      </x:c>
      <x:c r="U153" s="31" t="n">
        <x:f>IF(T153="","",I153*T153)</x:f>
        <x:v>424.48127745686355</x:v>
      </x:c>
    </x:row>
    <x:row r="154" ht="18" customHeight="1">
      <x:c r="A154" s="24" t="str">
        <x:v>EEZ_918</x:v>
      </x:c>
      <x:c r="B154" s="24" t="str">
        <x:v>France (Mediterranean)</x:v>
      </x:c>
      <x:c r="C154" s="24" t="str">
        <x:v>EEZ</x:v>
      </x:c>
      <x:c r="D154" s="30" t="n">
        <x:v>2019</x:v>
      </x:c>
      <x:c r="E154" s="24" t="str">
        <x:v>Coryphaena hippurus</x:v>
      </x:c>
      <x:c r="F154" s="24" t="str">
        <x:v>Common dolphinfish</x:v>
      </x:c>
      <x:c r="G154" s="24" t="str">
        <x:v>Large pelagics (&gt;=90 cm)</x:v>
      </x:c>
      <x:c r="H154" s="24" t="str">
        <x:v>Perch-likes</x:v>
      </x:c>
      <x:c r="I154" s="31" t="n">
        <x:v>0.1536405978</x:v>
      </x:c>
      <x:c r="J154" s="31" t="n">
        <x:v>0.1536405978</x:v>
      </x:c>
      <x:c r="K154" s="31" t="n">
        <x:v>0</x:v>
      </x:c>
      <x:c r="L154" s="31" t="n">
        <x:v>0.1536405978</x:v>
      </x:c>
      <x:c r="M154" s="31" t="n">
        <x:v>0</x:v>
      </x:c>
      <x:c r="N154" s="24" t="str">
        <x:v>coryphaena hippurus</x:v>
      </x:c>
      <x:c r="O154" s="32" t="n">
        <x:v>4.37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Coryphaena hippurus</x:v>
      </x:c>
      <x:c r="T154" s="32" t="n">
        <x:f>IF(O154="","",(1/'Metadata'!$B$5)^(O154-1))</x:f>
        <x:v>2344.228815319923</x:v>
      </x:c>
      <x:c r="U154" s="31" t="n">
        <x:f>IF(T154="","",I154*T154)</x:f>
        <x:v>360.16871656573875</x:v>
      </x:c>
    </x:row>
    <x:row r="155" ht="18" customHeight="1">
      <x:c r="A155" s="24" t="str">
        <x:v>EEZ_918</x:v>
      </x:c>
      <x:c r="B155" s="24" t="str">
        <x:v>France (Mediterranean)</x:v>
      </x:c>
      <x:c r="C155" s="24" t="str">
        <x:v>EEZ</x:v>
      </x:c>
      <x:c r="D155" s="30" t="n">
        <x:v>2019</x:v>
      </x:c>
      <x:c r="E155" s="24" t="str">
        <x:v>Scomberesox saurus</x:v>
      </x:c>
      <x:c r="F155" s="24" t="str">
        <x:v>Atlantic saury</x:v>
      </x:c>
      <x:c r="G155" s="24" t="str">
        <x:v>Medium pelagics (30 - 89 cm)</x:v>
      </x:c>
      <x:c r="H155" s="24" t="str">
        <x:v>Other fishes &amp; inverts</x:v>
      </x:c>
      <x:c r="I155" s="31" t="n">
        <x:v>0.0914491047</x:v>
      </x:c>
      <x:c r="J155" s="31" t="n">
        <x:v>0.0914491047</x:v>
      </x:c>
      <x:c r="K155" s="31" t="n">
        <x:v>0</x:v>
      </x:c>
      <x:c r="L155" s="31" t="n">
        <x:v>0.0914491047</x:v>
      </x:c>
      <x:c r="M155" s="31" t="n">
        <x:v>0</x:v>
      </x:c>
      <x:c r="N155" s="24" t="str">
        <x:v>scomberesox saurus</x:v>
      </x:c>
      <x:c r="O155" s="32" t="n">
        <x:v>3.91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Scomberesox saurus</x:v>
      </x:c>
      <x:c r="T155" s="32" t="n">
        <x:f>IF(O155="","",(1/'Metadata'!$B$5)^(O155-1))</x:f>
        <x:v>812.8305161640995</x:v>
      </x:c>
      <x:c r="U155" s="31" t="n">
        <x:f>IF(T155="","",I155*T155)</x:f>
        <x:v>74.33262297604578</x:v>
      </x:c>
    </x:row>
    <x:row r="156" ht="18" customHeight="1">
      <x:c r="A156" s="24" t="str">
        <x:v>EEZ_918</x:v>
      </x:c>
      <x:c r="B156" s="24" t="str">
        <x:v>France (Mediterranean)</x:v>
      </x:c>
      <x:c r="C156" s="24" t="str">
        <x:v>EEZ</x:v>
      </x:c>
      <x:c r="D156" s="30" t="n">
        <x:v>2019</x:v>
      </x:c>
      <x:c r="E156" s="24" t="str">
        <x:v>Acanthocybium solandri</x:v>
      </x:c>
      <x:c r="F156" s="24" t="str">
        <x:v>Wahoo</x:v>
      </x:c>
      <x:c r="G156" s="24" t="str">
        <x:v>Large pelagics (&gt;=90 cm)</x:v>
      </x:c>
      <x:c r="H156" s="24" t="str">
        <x:v>Perch-likes</x:v>
      </x:c>
      <x:c r="I156" s="31" t="n">
        <x:v>0.0797088313</x:v>
      </x:c>
      <x:c r="J156" s="31" t="n">
        <x:v>0.0797088313</x:v>
      </x:c>
      <x:c r="K156" s="31" t="n">
        <x:v>0</x:v>
      </x:c>
      <x:c r="L156" s="31" t="n">
        <x:v>0.0797088313</x:v>
      </x:c>
      <x:c r="M156" s="31" t="n">
        <x:v>0</x:v>
      </x:c>
      <x:c r="N156" s="24" t="str">
        <x:v>acanthocybium solandri</x:v>
      </x:c>
      <x:c r="O156" s="32" t="n">
        <x:v>4.26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Acanthocybium solandri</x:v>
      </x:c>
      <x:c r="T156" s="32" t="n">
        <x:f>IF(O156="","",(1/'Metadata'!$B$5)^(O156-1))</x:f>
        <x:v>1819.7008586099826</x:v>
      </x:c>
      <x:c r="U156" s="31" t="n">
        <x:f>IF(T156="","",I156*T156)</x:f>
        <x:v>145.04622875540826</x:v>
      </x:c>
    </x:row>
    <x:row r="157" ht="18" customHeight="1">
      <x:c r="A157" s="24" t="str">
        <x:v>EEZ_918</x:v>
      </x:c>
      <x:c r="B157" s="24" t="str">
        <x:v>France (Mediterranean)</x:v>
      </x:c>
      <x:c r="C157" s="24" t="str">
        <x:v>EEZ</x:v>
      </x:c>
      <x:c r="D157" s="30" t="n">
        <x:v>2019</x:v>
      </x:c>
      <x:c r="E157" s="24" t="str">
        <x:v>Ruvettus pretiosus</x:v>
      </x:c>
      <x:c r="F157" s="24" t="str">
        <x:v>Oilfish</x:v>
      </x:c>
      <x:c r="G157" s="24" t="str">
        <x:v>Large benthopelagics (&gt;=90 cm)</x:v>
      </x:c>
      <x:c r="H157" s="24" t="str">
        <x:v>Perch-likes</x:v>
      </x:c>
      <x:c r="I157" s="31" t="n">
        <x:v>0.0389443988</x:v>
      </x:c>
      <x:c r="J157" s="31" t="n">
        <x:v>0.0389443988</x:v>
      </x:c>
      <x:c r="K157" s="31" t="n">
        <x:v>0</x:v>
      </x:c>
      <x:c r="L157" s="31" t="n">
        <x:v>0.0389443988</x:v>
      </x:c>
      <x:c r="M157" s="31" t="n">
        <x:v>0</x:v>
      </x:c>
      <x:c r="N157" s="24" t="str">
        <x:v>ruvettus pretiosus</x:v>
      </x:c>
      <x:c r="O157" s="32" t="n">
        <x:v>4.18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Ruvettus pretiosus</x:v>
      </x:c>
      <x:c r="T157" s="32" t="n">
        <x:f>IF(O157="","",(1/'Metadata'!$B$5)^(O157-1))</x:f>
        <x:v>1513.5612484362073</x:v>
      </x:c>
      <x:c r="U157" s="31" t="n">
        <x:f>IF(T157="","",I157*T157)</x:f>
        <x:v>58.944732867325534</x:v>
      </x:c>
    </x:row>
    <x:row r="158" ht="18" customHeight="1">
      <x:c r="A158" s="24" t="str">
        <x:v>EEZ_918</x:v>
      </x:c>
      <x:c r="B158" s="24" t="str">
        <x:v>France (Mediterranean)</x:v>
      </x:c>
      <x:c r="C158" s="24" t="str">
        <x:v>EEZ</x:v>
      </x:c>
      <x:c r="D158" s="30" t="n">
        <x:v>2019</x:v>
      </x:c>
      <x:c r="E158" s="24" t="str">
        <x:v>Katsuwonus pelamis</x:v>
      </x:c>
      <x:c r="F158" s="24" t="str">
        <x:v>Skipjack tuna</x:v>
      </x:c>
      <x:c r="G158" s="24" t="str">
        <x:v>Large pelagics (&gt;=90 cm)</x:v>
      </x:c>
      <x:c r="H158" s="24" t="str">
        <x:v>Tuna &amp; billfishes</x:v>
      </x:c>
      <x:c r="I158" s="31" t="n">
        <x:v>0.0134427433</x:v>
      </x:c>
      <x:c r="J158" s="31" t="n">
        <x:v>0.0134427433</x:v>
      </x:c>
      <x:c r="K158" s="31" t="n">
        <x:v>0</x:v>
      </x:c>
      <x:c r="L158" s="31" t="n">
        <x:v>0.0134427433</x:v>
      </x:c>
      <x:c r="M158" s="31" t="n">
        <x:v>0</x:v>
      </x:c>
      <x:c r="N158" s="24" t="str">
        <x:v>katsuwonus pelamis</x:v>
      </x:c>
      <x:c r="O158" s="32" t="n">
        <x:v>4.43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Katsuwonus pelamis</x:v>
      </x:c>
      <x:c r="T158" s="32" t="n">
        <x:f>IF(O158="","",(1/'Metadata'!$B$5)^(O158-1))</x:f>
        <x:v>2691.534803926914</x:v>
      </x:c>
      <x:c r="U158" s="31" t="n">
        <x:f>IF(T158="","",I158*T158)</x:f>
        <x:v>36.18161145220534</x:v>
      </x:c>
    </x:row>
    <x:row r="159" ht="18" customHeight="1">
      <x:c r="A159" s="24" t="str">
        <x:v>EEZ_918</x:v>
      </x:c>
      <x:c r="B159" s="24" t="str">
        <x:v>France (Mediterranean)</x:v>
      </x:c>
      <x:c r="C159" s="24" t="str">
        <x:v>EEZ</x:v>
      </x:c>
      <x:c r="D159" s="30" t="n">
        <x:v>2019</x:v>
      </x:c>
      <x:c r="E159" s="24" t="str">
        <x:v>Istiophoridae</x:v>
      </x:c>
      <x:c r="F159" s="24" t="str">
        <x:v>Billfishes</x:v>
      </x:c>
      <x:c r="G159" s="24" t="str">
        <x:v>Large pelagics (&gt;=90 cm)</x:v>
      </x:c>
      <x:c r="H159" s="24" t="str">
        <x:v>Tuna &amp; billfishes</x:v>
      </x:c>
      <x:c r="I159" s="31" t="n">
        <x:v>0.0130552323</x:v>
      </x:c>
      <x:c r="J159" s="31" t="n">
        <x:v>0.0130552323</x:v>
      </x:c>
      <x:c r="K159" s="31" t="n">
        <x:v>0</x:v>
      </x:c>
      <x:c r="L159" s="31" t="n">
        <x:v>0.0130552323</x:v>
      </x:c>
      <x:c r="M159" s="31" t="n">
        <x:v>0</x:v>
      </x:c>
      <x:c r="N159" s="24" t="str">
        <x:v>istiophoridae</x:v>
      </x:c>
      <x:c r="O159" s="32" t="n">
        <x:v>4.48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Istiophoridae</x:v>
      </x:c>
      <x:c r="T159" s="32" t="n">
        <x:f>IF(O159="","",(1/'Metadata'!$B$5)^(O159-1))</x:f>
        <x:v>3019.951720402019</x:v>
      </x:c>
      <x:c r="U159" s="31" t="n">
        <x:f>IF(T159="","",I159*T159)</x:f>
        <x:v>39.42617124463301</x:v>
      </x:c>
    </x:row>
    <x:row r="160" ht="18" customHeight="1">
      <x:c r="A160" s="24" t="str">
        <x:v>EEZ_918</x:v>
      </x:c>
      <x:c r="B160" s="24" t="str">
        <x:v>France (Mediterranean)</x:v>
      </x:c>
      <x:c r="C160" s="24" t="str">
        <x:v>EEZ</x:v>
      </x:c>
      <x:c r="D160" s="30" t="n">
        <x:v>2019</x:v>
      </x:c>
      <x:c r="E160" s="24" t="str">
        <x:v>Dasyatidae</x:v>
      </x:c>
      <x:c r="F160" s="24" t="str">
        <x:v>Whiptail stingrays</x:v>
      </x:c>
      <x:c r="G160" s="24" t="str">
        <x:v>Large rays (&gt;=90 cm)</x:v>
      </x:c>
      <x:c r="H160" s="24" t="str">
        <x:v>Sharks &amp; rays</x:v>
      </x:c>
      <x:c r="I160" s="31" t="n">
        <x:v>0.0026950737</x:v>
      </x:c>
      <x:c r="J160" s="31" t="n">
        <x:v>0.0026950737</x:v>
      </x:c>
      <x:c r="K160" s="31" t="n">
        <x:v>0</x:v>
      </x:c>
      <x:c r="L160" s="31" t="n">
        <x:v>0.0026950737</x:v>
      </x:c>
      <x:c r="M160" s="31" t="n">
        <x:v>0</x:v>
      </x:c>
      <x:c r="N160" s="24" t="str">
        <x:v>dasyatidae</x:v>
      </x:c>
      <x:c r="O160" s="32" t="n">
        <x:v>3.38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Dasyatidae</x:v>
      </x:c>
      <x:c r="T160" s="32" t="n">
        <x:f>IF(O160="","",(1/'Metadata'!$B$5)^(O160-1))</x:f>
        <x:v>239.88329190194898</x:v>
      </x:c>
      <x:c r="U160" s="31" t="n">
        <x:f>IF(T160="","",I160*T160)</x:f>
        <x:v>0.6465031510743656</x:v>
      </x:c>
    </x:row>
  </x:sheetData>
  <x:conditionalFormatting sqref="R2:R1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ba7652b46c40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4130.6810922012</x:v>
      </x:c>
      <x:c r="E2" s="31" t="n">
        <x:v>4130.6810922012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IF(C2=0,"",SUMIF('Species'!$H$2:$H$160,A2,'Species'!$U$2:$U$160))</x:f>
        <x:v>532134.8065215499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532134.8065215499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9</x:v>
      </x:c>
      <x:c r="C3" s="33" t="n">
        <x:v>9</x:v>
      </x:c>
      <x:c r="D3" s="31" t="n">
        <x:v>7116.351371625101</x:v>
      </x:c>
      <x:c r="E3" s="31" t="n">
        <x:v>7116.351371625101</x:v>
      </x:c>
      <x:c r="F3" s="32" t="n">
        <x:v>0</x:v>
      </x:c>
      <x:c r="G3" s="34" t="n">
        <x:v>1</x:v>
      </x:c>
      <x:c r="H3" s="32" t="n">
        <x:f>IF(E3=0,"",I3/E3)</x:f>
        <x:v>1692.6707080121562</x:v>
      </x:c>
      <x:c r="I3" s="31" t="n">
        <x:f>IF(C3=0,"",SUMIF('Species'!$H$2:$H$160,A3,'Species'!$U$2:$U$160))</x:f>
        <x:v>12045639.514671938</x:v>
      </x:c>
      <x:c r="J3" s="32" t="n">
        <x:v>4.124252987364108</x:v>
      </x:c>
      <x:c r="K3" s="32" t="n">
        <x:f>IF(J3="","",(1/'Metadata'!$B$5)^(J3-1))</x:f>
        <x:v>1331.2296666281088</x:v>
      </x:c>
      <x:c r="L3" s="31" t="n">
        <x:f>IF(E3=0,"",E3*K3)</x:f>
        <x:v>9473498.064056968</x:v>
      </x:c>
      <x:c r="M3" s="31" t="n">
        <x:f>IF(E3=0,"",I3-L3)</x:f>
        <x:v>2572141.45061497</x:v>
      </x:c>
      <x:c r="N3" s="32" t="n">
        <x:f>IF(L3=0,"",I3/L3)</x:f>
        <x:v>1.2715091546145803</x:v>
      </x:c>
      <x:c r="O3" s="34" t="n">
        <x:f>IF(L3=0,"",M3/L3)</x:f>
        <x:v>0.27150915461458025</x:v>
      </x:c>
    </x:row>
    <x:row r="4" ht="18" customHeight="1">
      <x:c r="A4" s="24" t="str">
        <x:v>Crustaceans</x:v>
      </x:c>
      <x:c r="B4" s="33" t="n">
        <x:v>16</x:v>
      </x:c>
      <x:c r="C4" s="33" t="n">
        <x:v>16</x:v>
      </x:c>
      <x:c r="D4" s="31" t="n">
        <x:v>538.0510175575</x:v>
      </x:c>
      <x:c r="E4" s="31" t="n">
        <x:v>538.0510175575</x:v>
      </x:c>
      <x:c r="F4" s="32" t="n">
        <x:v>0</x:v>
      </x:c>
      <x:c r="G4" s="34" t="n">
        <x:v>1</x:v>
      </x:c>
      <x:c r="H4" s="32" t="n">
        <x:f>IF(E4=0,"",I4/E4)</x:f>
        <x:v>208.43582601985787</x:v>
      </x:c>
      <x:c r="I4" s="31" t="n">
        <x:f>IF(C4=0,"",SUMIF('Species'!$H$2:$H$160,A4,'Species'!$U$2:$U$160))</x:f>
        <x:v>112149.10828542257</x:v>
      </x:c>
      <x:c r="J4" s="32" t="n">
        <x:v>3.1541520382635118</x:v>
      </x:c>
      <x:c r="K4" s="32" t="n">
        <x:f>IF(J4="","",(1/'Metadata'!$B$5)^(J4-1))</x:f>
        <x:v>142.6106759159044</x:v>
      </x:c>
      <x:c r="L4" s="31" t="n">
        <x:f>IF(E4=0,"",E4*K4)</x:f>
        <x:v>76731.81929111523</x:v>
      </x:c>
      <x:c r="M4" s="31" t="n">
        <x:f>IF(E4=0,"",I4-L4)</x:f>
        <x:v>35417.28899430734</x:v>
      </x:c>
      <x:c r="N4" s="32" t="n">
        <x:f>IF(L4=0,"",I4/L4)</x:f>
        <x:v>1.4615723870684805</x:v>
      </x:c>
      <x:c r="O4" s="34" t="n">
        <x:f>IF(L4=0,"",M4/L4)</x:f>
        <x:v>0.4615723870684805</x:v>
      </x:c>
    </x:row>
    <x:row r="5" ht="18" customHeight="1">
      <x:c r="A5" s="24" t="str">
        <x:v>Flatfishes</x:v>
      </x:c>
      <x:c r="B5" s="33" t="n">
        <x:v>7</x:v>
      </x:c>
      <x:c r="C5" s="33" t="n">
        <x:v>7</x:v>
      </x:c>
      <x:c r="D5" s="31" t="n">
        <x:v>733.6327273358</x:v>
      </x:c>
      <x:c r="E5" s="31" t="n">
        <x:v>733.6327273358</x:v>
      </x:c>
      <x:c r="F5" s="32" t="n">
        <x:v>0</x:v>
      </x:c>
      <x:c r="G5" s="34" t="n">
        <x:v>1</x:v>
      </x:c>
      <x:c r="H5" s="32" t="n">
        <x:f>IF(E5=0,"",I5/E5)</x:f>
        <x:v>931.7239316710378</x:v>
      </x:c>
      <x:c r="I5" s="31" t="n">
        <x:f>IF(C5=0,"",SUMIF('Species'!$H$2:$H$160,A5,'Species'!$U$2:$U$160))</x:f>
        <x:v>683543.169115858</x:v>
      </x:c>
      <x:c r="J5" s="32" t="n">
        <x:v>3.633944635497567</x:v>
      </x:c>
      <x:c r="K5" s="32" t="n">
        <x:f>IF(J5="","",(1/'Metadata'!$B$5)^(J5-1))</x:f>
        <x:v>430.4717298213029</x:v>
      </x:c>
      <x:c r="L5" s="31" t="n">
        <x:f>IF(E5=0,"",E5*K5)</x:f>
        <x:v>315808.14918976213</x:v>
      </x:c>
      <x:c r="M5" s="31" t="n">
        <x:f>IF(E5=0,"",I5-L5)</x:f>
        <x:v>367735.0199260959</x:v>
      </x:c>
      <x:c r="N5" s="32" t="n">
        <x:f>IF(L5=0,"",I5/L5)</x:f>
        <x:v>2.1644253666967033</x:v>
      </x:c>
      <x:c r="O5" s="34" t="n">
        <x:f>IF(L5=0,"",M5/L5)</x:f>
        <x:v>1.164425366696703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1608.1569821274</x:v>
      </x:c>
      <x:c r="E6" s="31" t="n">
        <x:v>1608.1569821274</x:v>
      </x:c>
      <x:c r="F6" s="32" t="n">
        <x:v>0</x:v>
      </x:c>
      <x:c r="G6" s="34" t="n">
        <x:v>1</x:v>
      </x:c>
      <x:c r="H6" s="32" t="n">
        <x:f>IF(E6=0,"",I6/E6)</x:f>
        <x:v>121.75213089245219</x:v>
      </x:c>
      <x:c r="I6" s="31" t="n">
        <x:f>IF(C6=0,"",SUMIF('Species'!$H$2:$H$160,A6,'Species'!$U$2:$U$160))</x:f>
        <x:v>195796.5393835861</x:v>
      </x:c>
      <x:c r="J6" s="32" t="n">
        <x:v>3.0737956077031514</x:v>
      </x:c>
      <x:c r="K6" s="32" t="n">
        <x:f>IF(J6="","",(1/'Metadata'!$B$5)^(J6-1))</x:f>
        <x:v>118.5210820342795</x:v>
      </x:c>
      <x:c r="L6" s="31" t="n">
        <x:f>IF(E6=0,"",E6*K6)</x:f>
        <x:v>190600.50560272092</x:v>
      </x:c>
      <x:c r="M6" s="31" t="n">
        <x:f>IF(E6=0,"",I6-L6)</x:f>
        <x:v>5196.0337808651675</x:v>
      </x:c>
      <x:c r="N6" s="32" t="n">
        <x:f>IF(L6=0,"",I6/L6)</x:f>
        <x:v>1.027261385086226</x:v>
      </x:c>
      <x:c r="O6" s="34" t="n">
        <x:f>IF(L6=0,"",M6/L6)</x:f>
        <x:v>0.027261385086226084</x:v>
      </x:c>
    </x:row>
    <x:row r="7" ht="18" customHeight="1">
      <x:c r="A7" s="24" t="str">
        <x:v>Molluscs</x:v>
      </x:c>
      <x:c r="B7" s="33" t="n">
        <x:v>11</x:v>
      </x:c>
      <x:c r="C7" s="33" t="n">
        <x:v>11</x:v>
      </x:c>
      <x:c r="D7" s="31" t="n">
        <x:v>1408.9252475538</x:v>
      </x:c>
      <x:c r="E7" s="31" t="n">
        <x:v>1408.9252475538</x:v>
      </x:c>
      <x:c r="F7" s="32" t="n">
        <x:v>0</x:v>
      </x:c>
      <x:c r="G7" s="34" t="n">
        <x:v>1</x:v>
      </x:c>
      <x:c r="H7" s="32" t="n">
        <x:f>IF(E7=0,"",I7/E7)</x:f>
        <x:v>70.55690926758827</x:v>
      </x:c>
      <x:c r="I7" s="31" t="n">
        <x:f>IF(C7=0,"",SUMIF('Species'!$H$2:$H$160,A7,'Species'!$U$2:$U$160))</x:f>
        <x:v>99409.41085646782</x:v>
      </x:c>
      <x:c r="J7" s="32" t="n">
        <x:v>2.6858967695621563</x:v>
      </x:c>
      <x:c r="K7" s="32" t="n">
        <x:f>IF(J7="","",(1/'Metadata'!$B$5)^(J7-1))</x:f>
        <x:v>48.517316231415066</x:v>
      </x:c>
      <x:c r="L7" s="31" t="n">
        <x:f>IF(E7=0,"",E7*K7)</x:f>
        <x:v>68357.27178199247</x:v>
      </x:c>
      <x:c r="M7" s="31" t="n">
        <x:f>IF(E7=0,"",I7-L7)</x:f>
        <x:v>31052.139074475344</x:v>
      </x:c>
      <x:c r="N7" s="32" t="n">
        <x:f>IF(L7=0,"",I7/L7)</x:f>
        <x:v>1.454262410786492</x:v>
      </x:c>
      <x:c r="O7" s="34" t="n">
        <x:f>IF(L7=0,"",M7/L7)</x:f>
        <x:v>0.45426241078649204</x:v>
      </x:c>
    </x:row>
    <x:row r="8" ht="18" customHeight="1">
      <x:c r="A8" s="24" t="str">
        <x:v>Other fishes &amp; inverts</x:v>
      </x:c>
      <x:c r="B8" s="33" t="n">
        <x:v>21</x:v>
      </x:c>
      <x:c r="C8" s="33" t="n">
        <x:v>21</x:v>
      </x:c>
      <x:c r="D8" s="31" t="n">
        <x:v>11418.245113671399</x:v>
      </x:c>
      <x:c r="E8" s="31" t="n">
        <x:v>11418.245113671399</x:v>
      </x:c>
      <x:c r="F8" s="32" t="n">
        <x:v>0</x:v>
      </x:c>
      <x:c r="G8" s="34" t="n">
        <x:v>1</x:v>
      </x:c>
      <x:c r="H8" s="32" t="n">
        <x:f>IF(E8=0,"",I8/E8)</x:f>
        <x:v>859.2394834655844</x:v>
      </x:c>
      <x:c r="I8" s="31" t="n">
        <x:f>IF(C8=0,"",SUMIF('Species'!$H$2:$H$160,A8,'Species'!$U$2:$U$160))</x:f>
        <x:v>9811007.033554446</x:v>
      </x:c>
      <x:c r="J8" s="32" t="n">
        <x:v>3.709458512130325</x:v>
      </x:c>
      <x:c r="K8" s="32" t="n">
        <x:f>IF(J8="","",(1/'Metadata'!$B$5)^(J8-1))</x:f>
        <x:v>512.2223356603195</x:v>
      </x:c>
      <x:c r="L8" s="31" t="n">
        <x:f>IF(E8=0,"",E8*K8)</x:f>
        <x:v>5848680.181266794</x:v>
      </x:c>
      <x:c r="M8" s="31" t="n">
        <x:f>IF(E8=0,"",I8-L8)</x:f>
        <x:v>3962326.852287652</x:v>
      </x:c>
      <x:c r="N8" s="32" t="n">
        <x:f>IF(L8=0,"",I8/L8)</x:f>
        <x:v>1.6774736743135497</x:v>
      </x:c>
      <x:c r="O8" s="34" t="n">
        <x:f>IF(L8=0,"",M8/L8)</x:f>
        <x:v>0.6774736743135495</x:v>
      </x:c>
    </x:row>
    <x:row r="9" ht="18" customHeight="1">
      <x:c r="A9" s="24" t="str">
        <x:v>Perch-likes</x:v>
      </x:c>
      <x:c r="B9" s="33" t="n">
        <x:v>49</x:v>
      </x:c>
      <x:c r="C9" s="33" t="n">
        <x:v>49</x:v>
      </x:c>
      <x:c r="D9" s="31" t="n">
        <x:v>18161.308503594297</x:v>
      </x:c>
      <x:c r="E9" s="31" t="n">
        <x:v>18161.308503594297</x:v>
      </x:c>
      <x:c r="F9" s="32" t="n">
        <x:v>0</x:v>
      </x:c>
      <x:c r="G9" s="34" t="n">
        <x:v>1</x:v>
      </x:c>
      <x:c r="H9" s="32" t="n">
        <x:f>IF(E9=0,"",I9/E9)</x:f>
        <x:v>536.6695656674364</x:v>
      </x:c>
      <x:c r="I9" s="31" t="n">
        <x:f>IF(C9=0,"",SUMIF('Species'!$H$2:$H$160,A9,'Species'!$U$2:$U$160))</x:f>
        <x:v>9746621.546576269</x:v>
      </x:c>
      <x:c r="J9" s="32" t="n">
        <x:v>3.5282095979427233</x:v>
      </x:c>
      <x:c r="K9" s="32" t="n">
        <x:f>IF(J9="","",(1/'Metadata'!$B$5)^(J9-1))</x:f>
        <x:v>337.4501285677891</x:v>
      </x:c>
      <x:c r="L9" s="31" t="n">
        <x:f>IF(E9=0,"",E9*K9)</x:f>
        <x:v>6128535.889497177</x:v>
      </x:c>
      <x:c r="M9" s="31" t="n">
        <x:f>IF(E9=0,"",I9-L9)</x:f>
        <x:v>3618085.657079092</x:v>
      </x:c>
      <x:c r="N9" s="32" t="n">
        <x:f>IF(L9=0,"",I9/L9)</x:f>
        <x:v>1.590367050518479</x:v>
      </x:c>
      <x:c r="O9" s="34" t="n">
        <x:f>IF(L9=0,"",M9/L9)</x:f>
        <x:v>0.5903670505184792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9.165646156900001</x:v>
      </x:c>
      <x:c r="E10" s="31" t="n">
        <x:v>9.165646156900001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IF(C10=0,"",SUMIF('Species'!$H$2:$H$160,A10,'Species'!$U$2:$U$160))</x:f>
        <x:v>2051.93258000897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2051.93258000897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5</x:v>
      </x:c>
      <x:c r="C11" s="33" t="n">
        <x:v>5</x:v>
      </x:c>
      <x:c r="D11" s="31" t="n">
        <x:v>1936.5553467619</x:v>
      </x:c>
      <x:c r="E11" s="31" t="n">
        <x:v>1936.5553467619</x:v>
      </x:c>
      <x:c r="F11" s="32" t="n">
        <x:v>0</x:v>
      </x:c>
      <x:c r="G11" s="34" t="n">
        <x:v>1</x:v>
      </x:c>
      <x:c r="H11" s="32" t="n">
        <x:f>IF(E11=0,"",I11/E11)</x:f>
        <x:v>672.2337849502396</x:v>
      </x:c>
      <x:c r="I11" s="31" t="n">
        <x:f>IF(C11=0,"",SUMIF('Species'!$H$2:$H$160,A11,'Species'!$U$2:$U$160))</x:f>
        <x:v>1301817.9305193757</x:v>
      </x:c>
      <x:c r="J11" s="32" t="n">
        <x:v>3.8219587193253175</x:v>
      </x:c>
      <x:c r="K11" s="32" t="n">
        <x:f>IF(J11="","",(1/'Metadata'!$B$5)^(J11-1))</x:f>
        <x:v>663.6799831172661</x:v>
      </x:c>
      <x:c r="L11" s="31" t="n">
        <x:f>IF(E11=0,"",E11*K11)</x:f>
        <x:v>1285253.0198445893</x:v>
      </x:c>
      <x:c r="M11" s="31" t="n">
        <x:f>IF(E11=0,"",I11-L11)</x:f>
        <x:v>16564.910674786428</x:v>
      </x:c>
      <x:c r="N11" s="32" t="n">
        <x:f>IF(L11=0,"",I11/L11)</x:f>
        <x:v>1.0128884433018406</x:v>
      </x:c>
      <x:c r="O11" s="34" t="n">
        <x:f>IF(L11=0,"",M11/L11)</x:f>
        <x:v>0.012888443301840621</x:v>
      </x:c>
    </x:row>
    <x:row r="12" ht="18" customHeight="1">
      <x:c r="A12" s="24" t="str">
        <x:v>Sharks &amp; rays</x:v>
      </x:c>
      <x:c r="B12" s="33" t="n">
        <x:v>25</x:v>
      </x:c>
      <x:c r="C12" s="33" t="n">
        <x:v>25</x:v>
      </x:c>
      <x:c r="D12" s="31" t="n">
        <x:v>1941.9561008534</x:v>
      </x:c>
      <x:c r="E12" s="31" t="n">
        <x:v>1941.9561008534</x:v>
      </x:c>
      <x:c r="F12" s="32" t="n">
        <x:v>0</x:v>
      </x:c>
      <x:c r="G12" s="34" t="n">
        <x:v>1</x:v>
      </x:c>
      <x:c r="H12" s="32" t="n">
        <x:f>IF(E12=0,"",I12/E12)</x:f>
        <x:v>1208.0215854397632</x:v>
      </x:c>
      <x:c r="I12" s="31" t="n">
        <x:f>IF(C12=0,"",SUMIF('Species'!$H$2:$H$160,A12,'Species'!$U$2:$U$160))</x:f>
        <x:v>2345924.8878073446</x:v>
      </x:c>
      <x:c r="J12" s="32" t="n">
        <x:v>4.013336835948673</x:v>
      </x:c>
      <x:c r="K12" s="32" t="n">
        <x:f>IF(J12="","",(1/'Metadata'!$B$5)^(J12-1))</x:f>
        <x:v>1031.1855911433568</x:v>
      </x:c>
      <x:c r="L12" s="31" t="n">
        <x:f>IF(E12=0,"",E12*K12)</x:f>
        <x:v>2002517.1498329614</x:v>
      </x:c>
      <x:c r="M12" s="31" t="n">
        <x:f>IF(E12=0,"",I12-L12)</x:f>
        <x:v>343407.73797438317</x:v>
      </x:c>
      <x:c r="N12" s="32" t="n">
        <x:f>IF(L12=0,"",I12/L12)</x:f>
        <x:v>1.17148803844353</x:v>
      </x:c>
      <x:c r="O12" s="34" t="n">
        <x:f>IF(L12=0,"",M12/L12)</x:f>
        <x:v>0.17148803844353008</x:v>
      </x:c>
    </x:row>
    <x:row r="13" ht="18" customHeight="1">
      <x:c r="A13" s="24" t="str">
        <x:v>Tuna &amp; billfishes</x:v>
      </x:c>
      <x:c r="B13" s="33" t="n">
        <x:v>9</x:v>
      </x:c>
      <x:c r="C13" s="33" t="n">
        <x:v>9</x:v>
      </x:c>
      <x:c r="D13" s="31" t="n">
        <x:v>420.37662623460005</x:v>
      </x:c>
      <x:c r="E13" s="31" t="n">
        <x:v>420.37662623460005</x:v>
      </x:c>
      <x:c r="F13" s="32" t="n">
        <x:v>0</x:v>
      </x:c>
      <x:c r="G13" s="34" t="n">
        <x:v>1</x:v>
      </x:c>
      <x:c r="H13" s="32" t="n">
        <x:f>IF(E13=0,"",I13/E13)</x:f>
        <x:v>2818.6825740980757</x:v>
      </x:c>
      <x:c r="I13" s="31" t="n">
        <x:f>IF(C13=0,"",SUMIF('Species'!$H$2:$H$160,A13,'Species'!$U$2:$U$160))</x:f>
        <x:v>1184908.270925607</x:v>
      </x:c>
      <x:c r="J13" s="32" t="n">
        <x:v>4.4488024282497785</x:v>
      </x:c>
      <x:c r="K13" s="32" t="n">
        <x:f>IF(J13="","",(1/'Metadata'!$B$5)^(J13-1))</x:f>
        <x:v>2810.6219151851446</x:v>
      </x:c>
      <x:c r="L13" s="31" t="n">
        <x:f>IF(E13=0,"",E13*K13)</x:f>
        <x:v>1181519.7583265614</x:v>
      </x:c>
      <x:c r="M13" s="31" t="n">
        <x:f>IF(E13=0,"",I13-L13)</x:f>
        <x:v>3388.5125990456436</x:v>
      </x:c>
      <x:c r="N13" s="32" t="n">
        <x:f>IF(L13=0,"",I13/L13)</x:f>
        <x:v>1.002867927154976</x:v>
      </x:c>
      <x:c r="O13" s="34" t="n">
        <x:f>IF(L13=0,"",M13/L13)</x:f>
        <x:v>0.002867927154976184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e4d89f7b6bc48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6281.261316057501</x:v>
      </x:c>
      <x:c r="E2" s="31" t="n">
        <x:v>6281.261316057501</x:v>
      </x:c>
      <x:c r="F2" s="32" t="n">
        <x:v>0</x:v>
      </x:c>
      <x:c r="G2" s="34" t="n">
        <x:v>1</x:v>
      </x:c>
      <x:c r="H2" s="32" t="n">
        <x:f>IF(E2=0,"",I2/E2)</x:f>
        <x:v>646.6243934280495</x:v>
      </x:c>
      <x:c r="I2" s="31" t="n">
        <x:f>IF(C2=0,"",SUMIF('Species'!$G$2:$G$160,A2,'Species'!$U$2:$U$160))</x:f>
        <x:v>4061616.7884587534</x:v>
      </x:c>
      <x:c r="J2" s="32" t="n">
        <x:v>3.73691931112171</x:v>
      </x:c>
      <x:c r="K2" s="32" t="n">
        <x:f>IF(J2="","",(1/'Metadata'!$B$5)^(J2-1))</x:f>
        <x:v>545.65647251538</x:v>
      </x:c>
      <x:c r="L2" s="31" t="n">
        <x:f>IF(E2=0,"",E2*K2)</x:f>
        <x:v>3427410.8926672493</x:v>
      </x:c>
      <x:c r="M2" s="31" t="n">
        <x:f>IF(E2=0,"",I2-L2)</x:f>
        <x:v>634205.8957915041</x:v>
      </x:c>
      <x:c r="N2" s="32" t="n">
        <x:f>IF(L2=0,"",I2/L2)</x:f>
        <x:v>1.1850393535097736</x:v>
      </x:c>
      <x:c r="O2" s="34" t="n">
        <x:f>IF(L2=0,"",M2/L2)</x:f>
        <x:v>0.18503935350977366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6.8752753339</x:v>
      </x:c>
      <x:c r="E3" s="31" t="n">
        <x:v>6.8752753339</x:v>
      </x:c>
      <x:c r="F3" s="32" t="n">
        <x:v>0</x:v>
      </x:c>
      <x:c r="G3" s="34" t="n">
        <x:v>1</x:v>
      </x:c>
      <x:c r="H3" s="32" t="n">
        <x:f>IF(E3=0,"",I3/E3)</x:f>
        <x:v>660.6934480075957</x:v>
      </x:c>
      <x:c r="I3" s="31" t="n">
        <x:f>IF(C3=0,"",SUMIF('Species'!$G$2:$G$160,A3,'Species'!$U$2:$U$160))</x:f>
        <x:v>4542.449366355965</x:v>
      </x:c>
      <x:c r="J3" s="32" t="n">
        <x:v>3.82</x:v>
      </x:c>
      <x:c r="K3" s="32" t="n">
        <x:f>IF(J3="","",(1/'Metadata'!$B$5)^(J3-1))</x:f>
        <x:v>660.6934480075957</x:v>
      </x:c>
      <x:c r="L3" s="31" t="n">
        <x:f>IF(E3=0,"",E3*K3)</x:f>
        <x:v>4542.449366355965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5</x:v>
      </x:c>
      <x:c r="C4" s="33" t="n">
        <x:v>5</x:v>
      </x:c>
      <x:c r="D4" s="31" t="n">
        <x:v>180.8074056741</x:v>
      </x:c>
      <x:c r="E4" s="31" t="n">
        <x:v>180.8074056741</x:v>
      </x:c>
      <x:c r="F4" s="32" t="n">
        <x:v>0</x:v>
      </x:c>
      <x:c r="G4" s="34" t="n">
        <x:v>1</x:v>
      </x:c>
      <x:c r="H4" s="32" t="n">
        <x:f>IF(E4=0,"",I4/E4)</x:f>
        <x:v>384.8633404025366</x:v>
      </x:c>
      <x:c r="I4" s="31" t="n">
        <x:f>IF(C4=0,"",SUMIF('Species'!$G$2:$G$160,A4,'Species'!$U$2:$U$160))</x:f>
        <x:v>69586.14211725068</x:v>
      </x:c>
      <x:c r="J4" s="32" t="n">
        <x:v>2.6589630686173336</x:v>
      </x:c>
      <x:c r="K4" s="32" t="n">
        <x:f>IF(J4="","",(1/'Metadata'!$B$5)^(J4-1))</x:f>
        <x:v>45.599813729195354</x:v>
      </x:c>
      <x:c r="L4" s="31" t="n">
        <x:f>IF(E4=0,"",E4*K4)</x:f>
        <x:v>8244.784019598019</x:v>
      </x:c>
      <x:c r="M4" s="31" t="n">
        <x:f>IF(E4=0,"",I4-L4)</x:f>
        <x:v>61341.358097652665</x:v>
      </x:c>
      <x:c r="N4" s="32" t="n">
        <x:f>IF(L4=0,"",I4/L4)</x:f>
        <x:v>8.440020011663497</x:v>
      </x:c>
      <x:c r="O4" s="34" t="n">
        <x:f>IF(L4=0,"",M4/L4)</x:f>
        <x:v>7.4400200116634965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5110.1888105527005</x:v>
      </x:c>
      <x:c r="E5" s="31" t="n">
        <x:v>5110.1888105527005</x:v>
      </x:c>
      <x:c r="F5" s="32" t="n">
        <x:v>0</x:v>
      </x:c>
      <x:c r="G5" s="34" t="n">
        <x:v>1</x:v>
      </x:c>
      <x:c r="H5" s="32" t="n">
        <x:f>IF(E5=0,"",I5/E5)</x:f>
        <x:v>2146.3189494951735</x:v>
      </x:c>
      <x:c r="I5" s="31" t="n">
        <x:f>IF(C5=0,"",SUMIF('Species'!$G$2:$G$160,A5,'Species'!$U$2:$U$160))</x:f>
        <x:v>10968095.079587461</x:v>
      </x:c>
      <x:c r="J5" s="32" t="n">
        <x:v>4.2529020842281575</x:v>
      </x:c>
      <x:c r="K5" s="32" t="n">
        <x:f>IF(J5="","",(1/'Metadata'!$B$5)^(J5-1))</x:f>
        <x:v>1790.2021906264351</x:v>
      </x:c>
      <x:c r="L5" s="31" t="n">
        <x:f>IF(E5=0,"",E5*K5)</x:f>
        <x:v>9148271.203166142</x:v>
      </x:c>
      <x:c r="M5" s="31" t="n">
        <x:f>IF(E5=0,"",I5-L5)</x:f>
        <x:v>1819823.8764213193</x:v>
      </x:c>
      <x:c r="N5" s="32" t="n">
        <x:f>IF(L5=0,"",I5/L5)</x:f>
        <x:v>1.198925440228695</x:v>
      </x:c>
      <x:c r="O5" s="34" t="n">
        <x:f>IF(L5=0,"",M5/L5)</x:f>
        <x:v>0.19892544022869513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46.2828961022</x:v>
      </x:c>
      <x:c r="E6" s="31" t="n">
        <x:v>46.2828961022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IF(C6=0,"",SUMIF('Species'!$G$2:$G$160,A6,'Species'!$U$2:$U$160))</x:f>
        <x:v>106027.98955694171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106027.98955694171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10</x:v>
      </x:c>
      <x:c r="C7" s="33" t="n">
        <x:v>10</x:v>
      </x:c>
      <x:c r="D7" s="31" t="n">
        <x:v>414.9087926017</x:v>
      </x:c>
      <x:c r="E7" s="31" t="n">
        <x:v>414.9087926017</x:v>
      </x:c>
      <x:c r="F7" s="32" t="n">
        <x:v>0</x:v>
      </x:c>
      <x:c r="G7" s="34" t="n">
        <x:v>1</x:v>
      </x:c>
      <x:c r="H7" s="32" t="n">
        <x:f>IF(E7=0,"",I7/E7)</x:f>
        <x:v>2821.239402876913</x:v>
      </x:c>
      <x:c r="I7" s="31" t="n">
        <x:f>IF(C7=0,"",SUMIF('Species'!$G$2:$G$160,A7,'Species'!$U$2:$U$160))</x:f>
        <x:v>1170557.034288001</x:v>
      </x:c>
      <x:c r="J7" s="32" t="n">
        <x:v>4.44988020276366</x:v>
      </x:c>
      <x:c r="K7" s="32" t="n">
        <x:f>IF(J7="","",(1/'Metadata'!$B$5)^(J7-1))</x:f>
        <x:v>2817.605606344727</x:v>
      </x:c>
      <x:c r="L7" s="31" t="n">
        <x:f>IF(E7=0,"",E7*K7)</x:f>
        <x:v>1169049.3401562716</x:v>
      </x:c>
      <x:c r="M7" s="31" t="n">
        <x:f>IF(E7=0,"",I7-L7)</x:f>
        <x:v>1507.6941317294259</x:v>
      </x:c>
      <x:c r="N7" s="32" t="n">
        <x:f>IF(L7=0,"",I7/L7)</x:f>
        <x:v>1.0012896753626566</x:v>
      </x:c>
      <x:c r="O7" s="34" t="n">
        <x:f>IF(L7=0,"",M7/L7)</x:f>
        <x:v>0.001289675362656538</x:v>
      </x:c>
    </x:row>
    <x:row r="8" ht="18" customHeight="1">
      <x:c r="A8" s="24" t="str">
        <x:v>Large rays (&gt;=90 cm)</x:v>
      </x:c>
      <x:c r="B8" s="33" t="n">
        <x:v>6</x:v>
      </x:c>
      <x:c r="C8" s="33" t="n">
        <x:v>6</x:v>
      </x:c>
      <x:c r="D8" s="31" t="n">
        <x:v>456.7059529942</x:v>
      </x:c>
      <x:c r="E8" s="31" t="n">
        <x:v>456.7059529942</x:v>
      </x:c>
      <x:c r="F8" s="32" t="n">
        <x:v>0</x:v>
      </x:c>
      <x:c r="G8" s="34" t="n">
        <x:v>1</x:v>
      </x:c>
      <x:c r="H8" s="32" t="n">
        <x:f>IF(E8=0,"",I8/E8)</x:f>
        <x:v>679.221082340696</x:v>
      </x:c>
      <x:c r="I8" s="31" t="n">
        <x:f>IF(C8=0,"",SUMIF('Species'!$G$2:$G$160,A8,'Species'!$U$2:$U$160))</x:f>
        <x:v>310204.31170415954</x:v>
      </x:c>
      <x:c r="J8" s="32" t="n">
        <x:v>3.816100029825476</x:v>
      </x:c>
      <x:c r="K8" s="32" t="n">
        <x:f>IF(J8="","",(1/'Metadata'!$B$5)^(J8-1))</x:f>
        <x:v>654.7869719402023</x:v>
      </x:c>
      <x:c r="L8" s="31" t="n">
        <x:f>IF(E8=0,"",E8*K8)</x:f>
        <x:v>299045.1080281366</x:v>
      </x:c>
      <x:c r="M8" s="31" t="n">
        <x:f>IF(E8=0,"",I8-L8)</x:f>
        <x:v>11159.203676022938</x:v>
      </x:c>
      <x:c r="N8" s="32" t="n">
        <x:f>IF(L8=0,"",I8/L8)</x:f>
        <x:v>1.0373161218038485</x:v>
      </x:c>
      <x:c r="O8" s="34" t="n">
        <x:f>IF(L8=0,"",M8/L8)</x:f>
        <x:v>0.037316121803848364</x:v>
      </x:c>
    </x:row>
    <x:row r="9" ht="18" customHeight="1">
      <x:c r="A9" s="24" t="str">
        <x:v>Large reef assoc. fish (&gt;=90 cm)</x:v>
      </x:c>
      <x:c r="B9" s="33" t="n">
        <x:v>3</x:v>
      </x:c>
      <x:c r="C9" s="33" t="n">
        <x:v>3</x:v>
      </x:c>
      <x:c r="D9" s="31" t="n">
        <x:v>483.547522576</x:v>
      </x:c>
      <x:c r="E9" s="31" t="n">
        <x:v>483.547522576</x:v>
      </x:c>
      <x:c r="F9" s="32" t="n">
        <x:v>0</x:v>
      </x:c>
      <x:c r="G9" s="34" t="n">
        <x:v>1</x:v>
      </x:c>
      <x:c r="H9" s="32" t="n">
        <x:f>IF(E9=0,"",I9/E9)</x:f>
        <x:v>881.4220381398429</x:v>
      </x:c>
      <x:c r="I9" s="31" t="n">
        <x:f>IF(C9=0,"",SUMIF('Species'!$G$2:$G$160,A9,'Species'!$U$2:$U$160))</x:f>
        <x:v>426209.44288640964</x:v>
      </x:c>
      <x:c r="J9" s="32" t="n">
        <x:v>3.9336675219692623</x:v>
      </x:c>
      <x:c r="K9" s="32" t="n">
        <x:f>IF(J9="","",(1/'Metadata'!$B$5)^(J9-1))</x:f>
        <x:v>858.3561476708641</x:v>
      </x:c>
      <x:c r="L9" s="31" t="n">
        <x:f>IF(E9=0,"",E9*K9)</x:f>
        <x:v>415055.98869412555</x:v>
      </x:c>
      <x:c r="M9" s="31" t="n">
        <x:f>IF(E9=0,"",I9-L9)</x:f>
        <x:v>11153.454192284087</x:v>
      </x:c>
      <x:c r="N9" s="32" t="n">
        <x:f>IF(L9=0,"",I9/L9)</x:f>
        <x:v>1.0268721678426465</x:v>
      </x:c>
      <x:c r="O9" s="34" t="n">
        <x:f>IF(L9=0,"",M9/L9)</x:f>
        <x:v>0.026872167842646396</x:v>
      </x:c>
    </x:row>
    <x:row r="10" ht="18" customHeight="1">
      <x:c r="A10" s="24" t="str">
        <x:v>Large sharks (&gt;=90 cm)</x:v>
      </x:c>
      <x:c r="B10" s="33" t="n">
        <x:v>13</x:v>
      </x:c>
      <x:c r="C10" s="33" t="n">
        <x:v>13</x:v>
      </x:c>
      <x:c r="D10" s="31" t="n">
        <x:v>1174.7488760033002</x:v>
      </x:c>
      <x:c r="E10" s="31" t="n">
        <x:v>1174.7488760033002</x:v>
      </x:c>
      <x:c r="F10" s="32" t="n">
        <x:v>0</x:v>
      </x:c>
      <x:c r="G10" s="34" t="n">
        <x:v>1</x:v>
      </x:c>
      <x:c r="H10" s="32" t="n">
        <x:f>IF(E10=0,"",I10/E10)</x:f>
        <x:v>1530.3622899887575</x:v>
      </x:c>
      <x:c r="I10" s="31" t="n">
        <x:f>IF(C10=0,"",SUMIF('Species'!$G$2:$G$160,A10,'Species'!$U$2:$U$160))</x:f>
        <x:v>1797791.3800421294</x:v>
      </x:c>
      <x:c r="J10" s="32" t="n">
        <x:v>4.134059408639334</x:v>
      </x:c>
      <x:c r="K10" s="32" t="n">
        <x:f>IF(J10="","",(1/'Metadata'!$B$5)^(J10-1))</x:f>
        <x:v>1361.6309319159682</x:v>
      </x:c>
      <x:c r="L10" s="31" t="n">
        <x:f>IF(E10=0,"",E10*K10)</x:f>
        <x:v>1599574.4067996098</x:v>
      </x:c>
      <x:c r="M10" s="31" t="n">
        <x:f>IF(E10=0,"",I10-L10)</x:f>
        <x:v>198216.97324251966</x:v>
      </x:c>
      <x:c r="N10" s="32" t="n">
        <x:f>IF(L10=0,"",I10/L10)</x:f>
        <x:v>1.1239185700895948</x:v>
      </x:c>
      <x:c r="O10" s="34" t="n">
        <x:f>IF(L10=0,"",M10/L10)</x:f>
        <x:v>0.12391857008959492</x:v>
      </x:c>
    </x:row>
    <x:row r="11" ht="18" customHeight="1">
      <x:c r="A11" s="24" t="str">
        <x:v>Lobsters, crabs</x:v>
      </x:c>
      <x:c r="B11" s="33" t="n">
        <x:v>7</x:v>
      </x:c>
      <x:c r="C11" s="33" t="n">
        <x:v>7</x:v>
      </x:c>
      <x:c r="D11" s="31" t="n">
        <x:v>116.75698116250003</x:v>
      </x:c>
      <x:c r="E11" s="31" t="n">
        <x:v>116.75698116250003</x:v>
      </x:c>
      <x:c r="F11" s="32" t="n">
        <x:v>0</x:v>
      </x:c>
      <x:c r="G11" s="34" t="n">
        <x:v>1</x:v>
      </x:c>
      <x:c r="H11" s="32" t="n">
        <x:f>IF(E11=0,"",I11/E11)</x:f>
        <x:v>230.8791994091426</x:v>
      </x:c>
      <x:c r="I11" s="31" t="n">
        <x:f>IF(C11=0,"",SUMIF('Species'!$G$2:$G$160,A11,'Species'!$U$2:$U$160))</x:f>
        <x:v>26956.758336226347</x:v>
      </x:c>
      <x:c r="J11" s="32" t="n">
        <x:v>3.3211862134825254</x:v>
      </x:c>
      <x:c r="K11" s="32" t="n">
        <x:f>IF(J11="","",(1/'Metadata'!$B$5)^(J11-1))</x:f>
        <x:v>209.50105459757404</x:v>
      </x:c>
      <x:c r="L11" s="31" t="n">
        <x:f>IF(E11=0,"",E11*K11)</x:f>
        <x:v>24460.710685172842</x:v>
      </x:c>
      <x:c r="M11" s="31" t="n">
        <x:f>IF(E11=0,"",I11-L11)</x:f>
        <x:v>2496.0476510535045</x:v>
      </x:c>
      <x:c r="N11" s="32" t="n">
        <x:f>IF(L11=0,"",I11/L11)</x:f>
        <x:v>1.1020431369791113</x:v>
      </x:c>
      <x:c r="O11" s="34" t="n">
        <x:f>IF(L11=0,"",M11/L11)</x:f>
        <x:v>0.10204313697911133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1515.656974349</x:v>
      </x:c>
      <x:c r="E12" s="31" t="n">
        <x:v>1515.656974349</x:v>
      </x:c>
      <x:c r="F12" s="32" t="n">
        <x:v>0</x:v>
      </x:c>
      <x:c r="G12" s="34" t="n">
        <x:v>1</x:v>
      </x:c>
      <x:c r="H12" s="32" t="n">
        <x:f>IF(E12=0,"",I12/E12)</x:f>
        <x:v>2867.9446971436923</x:v>
      </x:c>
      <x:c r="I12" s="31" t="n">
        <x:f>IF(C12=0,"",SUMIF('Species'!$G$2:$G$160,A12,'Species'!$U$2:$U$160))</x:f>
        <x:v>4346820.382273068</x:v>
      </x:c>
      <x:c r="J12" s="32" t="n">
        <x:v>4.453287486940421</x:v>
      </x:c>
      <x:c r="K12" s="32" t="n">
        <x:f>IF(J12="","",(1/'Metadata'!$B$5)^(J12-1))</x:f>
        <x:v>2839.798248160936</x:v>
      </x:c>
      <x:c r="L12" s="31" t="n">
        <x:f>IF(E12=0,"",E12*K12)</x:f>
        <x:v>4304160.020569195</x:v>
      </x:c>
      <x:c r="M12" s="31" t="n">
        <x:f>IF(E12=0,"",I12-L12)</x:f>
        <x:v>42660.36170387268</x:v>
      </x:c>
      <x:c r="N12" s="32" t="n">
        <x:f>IF(L12=0,"",I12/L12)</x:f>
        <x:v>1.0099114255743287</x:v>
      </x:c>
      <x:c r="O12" s="34" t="n">
        <x:f>IF(L12=0,"",M12/L12)</x:f>
        <x:v>0.009911425574328704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0.3530681481</x:v>
      </x:c>
      <x:c r="E13" s="31" t="n">
        <x:v>0.3530681481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IF(C13=0,"",SUMIF('Species'!$G$2:$G$160,A13,'Species'!$U$2:$U$160))</x:f>
        <x:v>424.48127745686355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424.48127745686355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20</x:v>
      </x:c>
      <x:c r="C14" s="33" t="n">
        <x:v>20</x:v>
      </x:c>
      <x:c r="D14" s="31" t="n">
        <x:v>4619.115086357499</x:v>
      </x:c>
      <x:c r="E14" s="31" t="n">
        <x:v>4619.115086357499</x:v>
      </x:c>
      <x:c r="F14" s="32" t="n">
        <x:v>0</x:v>
      </x:c>
      <x:c r="G14" s="34" t="n">
        <x:v>1</x:v>
      </x:c>
      <x:c r="H14" s="32" t="n">
        <x:f>IF(E14=0,"",I14/E14)</x:f>
        <x:v>465.37554898844365</x:v>
      </x:c>
      <x:c r="I14" s="31" t="n">
        <x:f>IF(C14=0,"",SUMIF('Species'!$G$2:$G$160,A14,'Species'!$U$2:$U$160))</x:f>
        <x:v>2149623.2191544236</x:v>
      </x:c>
      <x:c r="J14" s="32" t="n">
        <x:v>3.5255423330227864</x:v>
      </x:c>
      <x:c r="K14" s="32" t="n">
        <x:f>IF(J14="","",(1/'Metadata'!$B$5)^(J14-1))</x:f>
        <x:v>335.3839945420269</x:v>
      </x:c>
      <x:c r="L14" s="31" t="n">
        <x:f>IF(E14=0,"",E14*K14)</x:f>
        <x:v>1549177.268911918</x:v>
      </x:c>
      <x:c r="M14" s="31" t="n">
        <x:f>IF(E14=0,"",I14-L14)</x:f>
        <x:v>600445.9502425056</x:v>
      </x:c>
      <x:c r="N14" s="32" t="n">
        <x:f>IF(L14=0,"",I14/L14)</x:f>
        <x:v>1.3875902146848795</x:v>
      </x:c>
      <x:c r="O14" s="34" t="n">
        <x:f>IF(L14=0,"",M14/L14)</x:f>
        <x:v>0.38759021468487953</x:v>
      </x:c>
    </x:row>
    <x:row r="15" ht="18" customHeight="1">
      <x:c r="A15" s="24" t="str">
        <x:v>Medium demersals (30 - 89 cm)</x:v>
      </x:c>
      <x:c r="B15" s="33" t="n">
        <x:v>17</x:v>
      </x:c>
      <x:c r="C15" s="33" t="n">
        <x:v>17</x:v>
      </x:c>
      <x:c r="D15" s="31" t="n">
        <x:v>10954.865029215402</x:v>
      </x:c>
      <x:c r="E15" s="31" t="n">
        <x:v>10954.865029215402</x:v>
      </x:c>
      <x:c r="F15" s="32" t="n">
        <x:v>0</x:v>
      </x:c>
      <x:c r="G15" s="34" t="n">
        <x:v>1</x:v>
      </x:c>
      <x:c r="H15" s="32" t="n">
        <x:f>IF(E15=0,"",I15/E15)</x:f>
        <x:v>387.6374743545324</x:v>
      </x:c>
      <x:c r="I15" s="31" t="n">
        <x:f>IF(C15=0,"",SUMIF('Species'!$G$2:$G$160,A15,'Species'!$U$2:$U$160))</x:f>
        <x:v>4246516.211819849</x:v>
      </x:c>
      <x:c r="J15" s="32" t="n">
        <x:v>3.4813059841397997</x:v>
      </x:c>
      <x:c r="K15" s="32" t="n">
        <x:f>IF(J15="","",(1/'Metadata'!$B$5)^(J15-1))</x:f>
        <x:v>302.9046805087631</x:v>
      </x:c>
      <x:c r="L15" s="31" t="n">
        <x:f>IF(E15=0,"",E15*K15)</x:f>
        <x:v>3318279.891691113</x:v>
      </x:c>
      <x:c r="M15" s="31" t="n">
        <x:f>IF(E15=0,"",I15-L15)</x:f>
        <x:v>928236.3201287361</x:v>
      </x:c>
      <x:c r="N15" s="32" t="n">
        <x:f>IF(L15=0,"",I15/L15)</x:f>
        <x:v>1.2797341847060628</x:v>
      </x:c>
      <x:c r="O15" s="34" t="n">
        <x:f>IF(L15=0,"",M15/L15)</x:f>
        <x:v>0.27973418470606287</x:v>
      </x:c>
    </x:row>
    <x:row r="16" ht="18" customHeight="1">
      <x:c r="A16" s="24" t="str">
        <x:v>Medium pelagics (30 - 89 cm)</x:v>
      </x:c>
      <x:c r="B16" s="33" t="n">
        <x:v>13</x:v>
      </x:c>
      <x:c r="C16" s="33" t="n">
        <x:v>13</x:v>
      </x:c>
      <x:c r="D16" s="31" t="n">
        <x:v>5964.653578957001</x:v>
      </x:c>
      <x:c r="E16" s="31" t="n">
        <x:v>5964.653578957001</x:v>
      </x:c>
      <x:c r="F16" s="32" t="n">
        <x:v>0</x:v>
      </x:c>
      <x:c r="G16" s="34" t="n">
        <x:v>1</x:v>
      </x:c>
      <x:c r="H16" s="32" t="n">
        <x:f>IF(E16=0,"",I16/E16)</x:f>
        <x:v>845.2201814928917</x:v>
      </x:c>
      <x:c r="I16" s="31" t="n">
        <x:f>IF(C16=0,"",SUMIF('Species'!$G$2:$G$160,A16,'Species'!$U$2:$U$160))</x:f>
        <x:v>5041445.580548262</x:v>
      </x:c>
      <x:c r="J16" s="32" t="n">
        <x:v>3.8137572676616753</x:v>
      </x:c>
      <x:c r="K16" s="32" t="n">
        <x:f>IF(J16="","",(1/'Metadata'!$B$5)^(J16-1))</x:f>
        <x:v>651.264292980289</x:v>
      </x:c>
      <x:c r="L16" s="31" t="n">
        <x:f>IF(E16=0,"",E16*K16)</x:f>
        <x:v>3884565.8959717816</x:v>
      </x:c>
      <x:c r="M16" s="31" t="n">
        <x:f>IF(E16=0,"",I16-L16)</x:f>
        <x:v>1156879.6845764806</x:v>
      </x:c>
      <x:c r="N16" s="32" t="n">
        <x:f>IF(L16=0,"",I16/L16)</x:f>
        <x:v>1.2978144059227164</x:v>
      </x:c>
      <x:c r="O16" s="34" t="n">
        <x:f>IF(L16=0,"",M16/L16)</x:f>
        <x:v>0.2978144059227164</x:v>
      </x:c>
    </x:row>
    <x:row r="17" ht="18" customHeight="1">
      <x:c r="A17" s="24" t="str">
        <x:v>Medium reef assoc. fish (30 - 89 cm)</x:v>
      </x:c>
      <x:c r="B17" s="33" t="n">
        <x:v>5</x:v>
      </x:c>
      <x:c r="C17" s="33" t="n">
        <x:v>5</x:v>
      </x:c>
      <x:c r="D17" s="31" t="n">
        <x:v>3071.5417734644</x:v>
      </x:c>
      <x:c r="E17" s="31" t="n">
        <x:v>3071.5417734644</x:v>
      </x:c>
      <x:c r="F17" s="32" t="n">
        <x:v>0</x:v>
      </x:c>
      <x:c r="G17" s="34" t="n">
        <x:v>1</x:v>
      </x:c>
      <x:c r="H17" s="32" t="n">
        <x:f>IF(E17=0,"",I17/E17)</x:f>
        <x:v>507.10028869969744</x:v>
      </x:c>
      <x:c r="I17" s="31" t="n">
        <x:f>IF(C17=0,"",SUMIF('Species'!$G$2:$G$160,A17,'Species'!$U$2:$U$160))</x:f>
        <x:v>1557579.720076978</x:v>
      </x:c>
      <x:c r="J17" s="32" t="n">
        <x:v>3.3852207320123555</x:v>
      </x:c>
      <x:c r="K17" s="32" t="n">
        <x:f>IF(J17="","",(1/'Metadata'!$B$5)^(J17-1))</x:f>
        <x:v>242.78437434319176</x:v>
      </x:c>
      <x:c r="L17" s="31" t="n">
        <x:f>IF(E17=0,"",E17*K17)</x:f>
        <x:v>745722.347739532</x:v>
      </x:c>
      <x:c r="M17" s="31" t="n">
        <x:f>IF(E17=0,"",I17-L17)</x:f>
        <x:v>811857.372337446</x:v>
      </x:c>
      <x:c r="N17" s="32" t="n">
        <x:f>IF(L17=0,"",I17/L17)</x:f>
        <x:v>2.0886858557992602</x:v>
      </x:c>
      <x:c r="O17" s="34" t="n">
        <x:f>IF(L17=0,"",M17/L17)</x:f>
        <x:v>1.0886858557992602</x:v>
      </x:c>
    </x:row>
    <x:row r="18" ht="18" customHeight="1">
      <x:c r="A18" s="24" t="str">
        <x:v>Other demersal invertebrates</x:v>
      </x:c>
      <x:c r="B18" s="33" t="n">
        <x:v>14</x:v>
      </x:c>
      <x:c r="C18" s="33" t="n">
        <x:v>14</x:v>
      </x:c>
      <x:c r="D18" s="31" t="n">
        <x:v>1625.0153135075</x:v>
      </x:c>
      <x:c r="E18" s="31" t="n">
        <x:v>1625.0153135075</x:v>
      </x:c>
      <x:c r="F18" s="32" t="n">
        <x:v>0</x:v>
      </x:c>
      <x:c r="G18" s="34" t="n">
        <x:v>1</x:v>
      </x:c>
      <x:c r="H18" s="32" t="n">
        <x:f>IF(E18=0,"",I18/E18)</x:f>
        <x:v>65.47312239614492</x:v>
      </x:c>
      <x:c r="I18" s="31" t="n">
        <x:f>IF(C18=0,"",SUMIF('Species'!$G$2:$G$160,A18,'Species'!$U$2:$U$160))</x:f>
        <x:v>106394.82651688634</x:v>
      </x:c>
      <x:c r="J18" s="32" t="n">
        <x:v>2.6507931335344135</x:v>
      </x:c>
      <x:c r="K18" s="32" t="n">
        <x:f>IF(J18="","",(1/'Metadata'!$B$5)^(J18-1))</x:f>
        <x:v>44.75000967371618</x:v>
      </x:c>
      <x:c r="L18" s="31" t="n">
        <x:f>IF(E18=0,"",E18*K18)</x:f>
        <x:v>72719.45099939755</x:v>
      </x:c>
      <x:c r="M18" s="31" t="n">
        <x:f>IF(E18=0,"",I18-L18)</x:f>
        <x:v>33675.37551748879</x:v>
      </x:c>
      <x:c r="N18" s="32" t="n">
        <x:f>IF(L18=0,"",I18/L18)</x:f>
        <x:v>1.4630862177131643</x:v>
      </x:c>
      <x:c r="O18" s="34" t="n">
        <x:f>IF(L18=0,"",M18/L18)</x:f>
        <x:v>0.4630862177131642</x:v>
      </x:c>
    </x:row>
    <x:row r="19" ht="18" customHeight="1">
      <x:c r="A19" s="24" t="str">
        <x:v>Shrimps</x:v>
      </x:c>
      <x:c r="B19" s="33" t="n">
        <x:v>9</x:v>
      </x:c>
      <x:c r="C19" s="33" t="n">
        <x:v>9</x:v>
      </x:c>
      <x:c r="D19" s="31" t="n">
        <x:v>421.29403639500003</x:v>
      </x:c>
      <x:c r="E19" s="31" t="n">
        <x:v>421.29403639500003</x:v>
      </x:c>
      <x:c r="F19" s="32" t="n">
        <x:v>0</x:v>
      </x:c>
      <x:c r="G19" s="34" t="n">
        <x:v>1</x:v>
      </x:c>
      <x:c r="H19" s="32" t="n">
        <x:f>IF(E19=0,"",I19/E19)</x:f>
        <x:v>202.21589338929292</x:v>
      </x:c>
      <x:c r="I19" s="31" t="n">
        <x:f>IF(C19=0,"",SUMIF('Species'!$G$2:$G$160,A19,'Species'!$U$2:$U$160))</x:f>
        <x:v>85192.34994919621</x:v>
      </x:c>
      <x:c r="J19" s="32" t="n">
        <x:v>3.107860364599147</x:v>
      </x:c>
      <x:c r="K19" s="32" t="n">
        <x:f>IF(J19="","",(1/'Metadata'!$B$5)^(J19-1))</x:f>
        <x:v>128.19183509335792</x:v>
      </x:c>
      <x:c r="L19" s="31" t="n">
        <x:f>IF(E19=0,"",E19*K19)</x:f>
        <x:v>54006.455639362975</x:v>
      </x:c>
      <x:c r="M19" s="31" t="n">
        <x:f>IF(E19=0,"",I19-L19)</x:f>
        <x:v>31185.89430983324</x:v>
      </x:c>
      <x:c r="N19" s="32" t="n">
        <x:f>IF(L19=0,"",I19/L19)</x:f>
        <x:v>1.5774475280896454</x:v>
      </x:c>
      <x:c r="O19" s="34" t="n">
        <x:f>IF(L19=0,"",M19/L19)</x:f>
        <x:v>0.5774475280896454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15.622664259299999</x:v>
      </x:c>
      <x:c r="E20" s="31" t="n">
        <x:v>15.622664259299999</x:v>
      </x:c>
      <x:c r="F20" s="32" t="n">
        <x:v>0</x:v>
      </x:c>
      <x:c r="G20" s="34" t="n">
        <x:v>1</x:v>
      </x:c>
      <x:c r="H20" s="32" t="n">
        <x:f>IF(E20=0,"",I20/E20)</x:f>
        <x:v>368.1526362219499</x:v>
      </x:c>
      <x:c r="I20" s="31" t="n">
        <x:f>IF(C20=0,"",SUMIF('Species'!$G$2:$G$160,A20,'Species'!$U$2:$U$160))</x:f>
        <x:v>5751.525031871731</x:v>
      </x:c>
      <x:c r="J20" s="32" t="n">
        <x:v>3.5496058519400537</x:v>
      </x:c>
      <x:c r="K20" s="32" t="n">
        <x:f>IF(J20="","",(1/'Metadata'!$B$5)^(J20-1))</x:f>
        <x:v>354.49152106949964</x:v>
      </x:c>
      <x:c r="L20" s="31" t="n">
        <x:f>IF(E20=0,"",E20*K20)</x:f>
        <x:v>5538.102016437365</x:v>
      </x:c>
      <x:c r="M20" s="31" t="n">
        <x:f>IF(E20=0,"",I20-L20)</x:f>
        <x:v>213.42301543436588</x:v>
      </x:c>
      <x:c r="N20" s="32" t="n">
        <x:f>IF(L20=0,"",I20/L20)</x:f>
        <x:v>1.038537212713113</x:v>
      </x:c>
      <x:c r="O20" s="34" t="n">
        <x:f>IF(L20=0,"",M20/L20)</x:f>
        <x:v>0.03853721271311284</x:v>
      </x:c>
    </x:row>
    <x:row r="21" ht="18" customHeight="1">
      <x:c r="A21" s="24" t="str">
        <x:v>Small demersals (&lt;30 cm)</x:v>
      </x:c>
      <x:c r="B21" s="33" t="n">
        <x:v>1</x:v>
      </x:c>
      <x:c r="C21" s="33" t="n">
        <x:v>1</x:v>
      </x:c>
      <x:c r="D21" s="31" t="n">
        <x:v>44.3745315382</x:v>
      </x:c>
      <x:c r="E21" s="31" t="n">
        <x:v>44.3745315382</x:v>
      </x:c>
      <x:c r="F21" s="32" t="n">
        <x:v>0</x:v>
      </x:c>
      <x:c r="G21" s="34" t="n">
        <x:v>1</x:v>
      </x:c>
      <x:c r="H21" s="32" t="n">
        <x:f>IF(E21=0,"",I21/E21)</x:f>
        <x:v>380.1893963205613</x:v>
      </x:c>
      <x:c r="I21" s="31" t="n">
        <x:f>IF(C21=0,"",SUMIF('Species'!$G$2:$G$160,A21,'Species'!$U$2:$U$160))</x:f>
        <x:v>16870.726357515967</x:v>
      </x:c>
      <x:c r="J21" s="32" t="n">
        <x:v>3.5800000000000005</x:v>
      </x:c>
      <x:c r="K21" s="32" t="n">
        <x:f>IF(J21="","",(1/'Metadata'!$B$5)^(J21-1))</x:f>
        <x:v>380.1893963205616</x:v>
      </x:c>
      <x:c r="L21" s="31" t="n">
        <x:f>IF(E21=0,"",E21*K21)</x:f>
        <x:v>16870.72635751598</x:v>
      </x:c>
      <x:c r="M21" s="31" t="n">
        <x:f>IF(E21=0,"",I21-L21)</x:f>
        <x:v>-1.4551915228366852e-11</x:v>
      </x:c>
      <x:c r="N21" s="32" t="n">
        <x:f>IF(L21=0,"",I21/L21)</x:f>
        <x:v>0.9999999999999991</x:v>
      </x:c>
      <x:c r="O21" s="34" t="n">
        <x:f>IF(L21=0,"",M21/L21)</x:f>
        <x:v>-8.625541615689778e-16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5823.338386621501</x:v>
      </x:c>
      <x:c r="E22" s="31" t="n">
        <x:v>5823.338386621501</x:v>
      </x:c>
      <x:c r="F22" s="32" t="n">
        <x:v>0</x:v>
      </x:c>
      <x:c r="G22" s="34" t="n">
        <x:v>1</x:v>
      </x:c>
      <x:c r="H22" s="32" t="n">
        <x:f>IF(E22=0,"",I22/E22)</x:f>
        <x:v>126.17759896492245</x:v>
      </x:c>
      <x:c r="I22" s="31" t="n">
        <x:f>IF(C22=0,"",SUMIF('Species'!$G$2:$G$160,A22,'Species'!$U$2:$U$160))</x:f>
        <x:v>734774.8555841662</x:v>
      </x:c>
      <x:c r="J22" s="32" t="n">
        <x:v>3.100051746009127</x:v>
      </x:c>
      <x:c r="K22" s="32" t="n">
        <x:f>IF(J22="","",(1/'Metadata'!$B$5)^(J22-1))</x:f>
        <x:v>125.90754211764643</x:v>
      </x:c>
      <x:c r="L22" s="31" t="n">
        <x:f>IF(E22=0,"",E22*K22)</x:f>
        <x:v>733202.2231788539</x:v>
      </x:c>
      <x:c r="M22" s="31" t="n">
        <x:f>IF(E22=0,"",I22-L22)</x:f>
        <x:v>1572.6324053123826</x:v>
      </x:c>
      <x:c r="N22" s="32" t="n">
        <x:f>IF(L22=0,"",I22/L22)</x:f>
        <x:v>1.0021448822106596</x:v>
      </x:c>
      <x:c r="O22" s="34" t="n">
        <x:f>IF(L22=0,"",M22/L22)</x:f>
        <x:v>0.002144882210659585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97.6404007128</x:v>
      </x:c>
      <x:c r="E23" s="31" t="n">
        <x:v>97.6404007128</x:v>
      </x:c>
      <x:c r="F23" s="32" t="n">
        <x:v>0</x:v>
      </x:c>
      <x:c r="G23" s="34" t="n">
        <x:v>1</x:v>
      </x:c>
      <x:c r="H23" s="32" t="n">
        <x:f>IF(E23=0,"",I23/E23)</x:f>
        <x:v>128.82495516931337</x:v>
      </x:c>
      <x:c r="I23" s="31" t="n">
        <x:f>IF(C23=0,"",SUMIF('Species'!$G$2:$G$160,A23,'Species'!$U$2:$U$160))</x:f>
        <x:v>12578.520244540254</x:v>
      </x:c>
      <x:c r="J23" s="32" t="n">
        <x:v>3.11</x:v>
      </x:c>
      <x:c r="K23" s="32" t="n">
        <x:f>IF(J23="","",(1/'Metadata'!$B$5)^(J23-1))</x:f>
        <x:v>128.82495516931337</x:v>
      </x:c>
      <x:c r="L23" s="31" t="n">
        <x:f>IF(E23=0,"",E23*K23)</x:f>
        <x:v>12578.520244540254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6</x:v>
      </x:c>
      <x:c r="C24" s="33" t="n">
        <x:v>6</x:v>
      </x:c>
      <x:c r="D24" s="31" t="n">
        <x:v>687.3498312336001</x:v>
      </x:c>
      <x:c r="E24" s="31" t="n">
        <x:v>687.3498312336001</x:v>
      </x:c>
      <x:c r="F24" s="32" t="n">
        <x:v>0</x:v>
      </x:c>
      <x:c r="G24" s="34" t="n">
        <x:v>1</x:v>
      </x:c>
      <x:c r="H24" s="32" t="n">
        <x:f>IF(E24=0,"",I24/E24)</x:f>
        <x:v>840.2056031969029</x:v>
      </x:c>
      <x:c r="I24" s="31" t="n">
        <x:f>IF(C24=0,"",SUMIF('Species'!$G$2:$G$160,A24,'Species'!$U$2:$U$160))</x:f>
        <x:v>577515.1795589164</x:v>
      </x:c>
      <x:c r="J24" s="32" t="n">
        <x:v>3.5850554913198467</x:v>
      </x:c>
      <x:c r="K24" s="32" t="n">
        <x:f>IF(J24="","",(1/'Metadata'!$B$5)^(J24-1))</x:f>
        <x:v>384.64092581755096</x:v>
      </x:c>
      <x:c r="L24" s="31" t="n">
        <x:f>IF(E24=0,"",E24*K24)</x:f>
        <x:v>264382.87544622936</x:v>
      </x:c>
      <x:c r="M24" s="31" t="n">
        <x:f>IF(E24=0,"",I24-L24)</x:f>
        <x:v>313132.304112687</x:v>
      </x:c>
      <x:c r="N24" s="32" t="n">
        <x:f>IF(L24=0,"",I24/L24)</x:f>
        <x:v>2.184389509283374</x:v>
      </x:c>
      <x:c r="O24" s="34" t="n">
        <x:f>IF(L24=0,"",M24/L24)</x:f>
        <x:v>1.184389509283374</x:v>
      </x:c>
    </x:row>
    <x:row r="25" ht="18" customHeight="1">
      <x:c r="A25" s="24" t="str">
        <x:v>Small to medium rays (&lt;90 cm)</x:v>
      </x:c>
      <x:c r="B25" s="33" t="n">
        <x:v>4</x:v>
      </x:c>
      <x:c r="C25" s="33" t="n">
        <x:v>4</x:v>
      </x:c>
      <x:c r="D25" s="31" t="n">
        <x:v>220.6169293974</x:v>
      </x:c>
      <x:c r="E25" s="31" t="n">
        <x:v>220.6169293974</x:v>
      </x:c>
      <x:c r="F25" s="32" t="n">
        <x:v>0</x:v>
      </x:c>
      <x:c r="G25" s="34" t="n">
        <x:v>1</x:v>
      </x:c>
      <x:c r="H25" s="32" t="n">
        <x:f>IF(E25=0,"",I25/E25)</x:f>
        <x:v>807.2062931561243</x:v>
      </x:c>
      <x:c r="I25" s="31" t="n">
        <x:f>IF(C25=0,"",SUMIF('Species'!$G$2:$G$160,A25,'Species'!$U$2:$U$160))</x:f>
        <x:v>178083.37378636166</x:v>
      </x:c>
      <x:c r="J25" s="32" t="n">
        <x:v>3.8562768993238112</x:v>
      </x:c>
      <x:c r="K25" s="32" t="n">
        <x:f>IF(J25="","",(1/'Metadata'!$B$5)^(J25-1))</x:f>
        <x:v>718.2520915376099</x:v>
      </x:c>
      <x:c r="L25" s="31" t="n">
        <x:f>IF(E25=0,"",E25*K25)</x:f>
        <x:v>158458.57096828776</x:v>
      </x:c>
      <x:c r="M25" s="31" t="n">
        <x:f>IF(E25=0,"",I25-L25)</x:f>
        <x:v>19624.80281807389</x:v>
      </x:c>
      <x:c r="N25" s="32" t="n">
        <x:f>IF(L25=0,"",I25/L25)</x:f>
        <x:v>1.1238481623187262</x:v>
      </x:c>
      <x:c r="O25" s="34" t="n">
        <x:f>IF(L25=0,"",M25/L25)</x:f>
        <x:v>0.12384816231872615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89.8843424585</x:v>
      </x:c>
      <x:c r="E26" s="31" t="n">
        <x:v>89.8843424585</x:v>
      </x:c>
      <x:c r="F26" s="32" t="n">
        <x:v>0</x:v>
      </x:c>
      <x:c r="G26" s="34" t="n">
        <x:v>1</x:v>
      </x:c>
      <x:c r="H26" s="32" t="n">
        <x:f>IF(E26=0,"",I26/E26)</x:f>
        <x:v>665.8092014449121</x:v>
      </x:c>
      <x:c r="I26" s="31" t="n">
        <x:f>IF(C26=0,"",SUMIF('Species'!$G$2:$G$160,A26,'Species'!$U$2:$U$160))</x:f>
        <x:v>59845.82227469489</x:v>
      </x:c>
      <x:c r="J26" s="32" t="n">
        <x:v>3.8232102615798427</x:v>
      </x:c>
      <x:c r="K26" s="32" t="n">
        <x:f>IF(J26="","",(1/'Metadata'!$B$5)^(J26-1))</x:f>
        <x:v>665.5953229747363</x:v>
      </x:c>
      <x:c r="L26" s="31" t="n">
        <x:f>IF(E26=0,"",E26*K26)</x:f>
        <x:v>59826.59794903711</x:v>
      </x:c>
      <x:c r="M26" s="31" t="n">
        <x:f>IF(E26=0,"",I26-L26)</x:f>
        <x:v>19.224325657778536</x:v>
      </x:c>
      <x:c r="N26" s="32" t="n">
        <x:f>IF(L26=0,"",I26/L26)</x:f>
        <x:v>1.0003213340941457</x:v>
      </x:c>
      <x:c r="O26" s="34" t="n">
        <x:f>IF(L26=0,"",M26/L26)</x:f>
        <x:v>0.0003213340941457953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37b8a277197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EEZ_918</x:v>
      </x:c>
      <x:c r="B2" s="24" t="str">
        <x:v>raw_filtered_tonnes</x:v>
      </x:c>
      <x:c r="C2" s="24" t="n">
        <x:v>49423.405775673295</x:v>
      </x:c>
      <x:c r="D2" s="24" t="str">
        <x:v>tonnes</x:v>
      </x:c>
    </x:row>
    <x:row r="3" ht="18" customHeight="1">
      <x:c r="A3" s="24" t="str">
        <x:v>EEZ_918</x:v>
      </x:c>
      <x:c r="B3" s="24" t="str">
        <x:v>species_catch_tonnes</x:v>
      </x:c>
      <x:c r="C3" s="24" t="n">
        <x:v>49423.4057756733</x:v>
      </x:c>
      <x:c r="D3" s="24" t="str">
        <x:v>tonnes</x:v>
      </x:c>
    </x:row>
    <x:row r="4" ht="18" customHeight="1">
      <x:c r="A4" s="24" t="str">
        <x:v>EEZ_918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EEZ_918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EEZ_918</x:v>
      </x:c>
      <x:c r="B6" s="24" t="str">
        <x:v>matched_catch_tonnes</x:v>
      </x:c>
      <x:c r="C6" s="24" t="n">
        <x:v>49423.4057756733</x:v>
      </x:c>
      <x:c r="D6" s="24" t="str">
        <x:v>tonnes</x:v>
      </x:c>
    </x:row>
    <x:row r="7" ht="18" customHeight="1">
      <x:c r="A7" s="24" t="str">
        <x:v>EEZ_918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EEZ_918</x:v>
      </x:c>
      <x:c r="B8" s="24" t="str">
        <x:v>taxa_count</x:v>
      </x:c>
      <x:c r="C8" s="24" t="n">
        <x:v>159</x:v>
      </x:c>
      <x:c r="D8" s="24" t="str">
        <x:v>count</x:v>
      </x:c>
    </x:row>
    <x:row r="9" ht="18" customHeight="1">
      <x:c r="A9" s="24" t="str">
        <x:v>EEZ_918</x:v>
      </x:c>
      <x:c r="B9" s="24" t="str">
        <x:v>matched_taxa_count</x:v>
      </x:c>
      <x:c r="C9" s="24" t="n">
        <x:v>159</x:v>
      </x:c>
      <x:c r="D9" s="24" t="str">
        <x:v>count</x:v>
      </x:c>
    </x:row>
    <x:row r="10" ht="18" customHeight="1">
      <x:c r="A10" s="24" t="str">
        <x:v>EEZ_918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EEZ_918</x:v>
      </x:c>
      <x:c r="B11" s="24" t="str">
        <x:v>species_ppr</x:v>
      </x:c>
      <x:c r="C11" s="24" t="n">
        <x:v>38061004.150797874</x:v>
      </x:c>
      <x:c r="D11" s="24" t="str">
        <x:v>tonnes_primary_production_equivalent</x:v>
      </x:c>
    </x:row>
    <x:row r="12" ht="18" customHeight="1">
      <x:c r="A12" s="24" t="str">
        <x:v>EEZ_918</x:v>
      </x:c>
      <x:c r="B12" s="24" t="str">
        <x:v>commercial_ppr</x:v>
      </x:c>
      <x:c r="C12" s="24" t="n">
        <x:v>38061004.15079787</x:v>
      </x:c>
      <x:c r="D12" s="24" t="str">
        <x:v>tonnes_primary_production_equivalent</x:v>
      </x:c>
    </x:row>
    <x:row r="13" ht="18" customHeight="1">
      <x:c r="A13" s="24" t="str">
        <x:v>EEZ_918</x:v>
      </x:c>
      <x:c r="B13" s="24" t="str">
        <x:v>functional_ppr</x:v>
      </x:c>
      <x:c r="C13" s="24" t="n">
        <x:v>38061004.150797874</x:v>
      </x:c>
      <x:c r="D13" s="24" t="str">
        <x:v>tonnes_primary_production_equivalent</x:v>
      </x:c>
    </x:row>
    <x:row r="14" ht="18" customHeight="1">
      <x:c r="A14" s="24" t="str">
        <x:v>EEZ_918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EEZ_918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EEZ_918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8bbb0df6f1a49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EEZ_918 - France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