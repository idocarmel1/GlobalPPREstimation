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721cfc3e4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0bd3fd7ab7146bf"/>
    <x:sheet xmlns:r="http://schemas.openxmlformats.org/officeDocument/2006/relationships" name="Commercial" sheetId="2" r:id="R5d5a048c26c14aab"/>
    <x:sheet xmlns:r="http://schemas.openxmlformats.org/officeDocument/2006/relationships" name="Functional" sheetId="3" r:id="R475490cfab604391"/>
    <x:sheet xmlns:r="http://schemas.openxmlformats.org/officeDocument/2006/relationships" name="Missing TL" sheetId="4" r:id="R8aacc69c472d4227"/>
    <x:sheet xmlns:r="http://schemas.openxmlformats.org/officeDocument/2006/relationships" name="Validation" sheetId="5" r:id="R885cd68a5b304650"/>
    <x:sheet xmlns:r="http://schemas.openxmlformats.org/officeDocument/2006/relationships" name="Metadata" sheetId="6" r:id="R16c28ddc09e9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e4ed86f364004" /><Relationship Type="http://schemas.openxmlformats.org/officeDocument/2006/relationships/theme" Target="/xl/theme/theme1.xml" Id="Rc6098a3027434ae3" /><Relationship Type="http://schemas.microsoft.com/office/2022/11/relationships/FeaturePropertyBag" Target="/xl/featurePropertyBag/featurePropertyBag.xml" Id="R6ba42e73ac72439c" /><Relationship Type="http://schemas.openxmlformats.org/officeDocument/2006/relationships/sharedStrings" Target="/xl/sharedStrings.xml" Id="R2390eeb8e05a44db" /><Relationship Type="http://schemas.openxmlformats.org/officeDocument/2006/relationships/worksheet" Target="/xl/worksheets/sheet1.xml" Id="Rf0bd3fd7ab7146bf" /><Relationship Type="http://schemas.openxmlformats.org/officeDocument/2006/relationships/worksheet" Target="/xl/worksheets/sheet2.xml" Id="R5d5a048c26c14aab" /><Relationship Type="http://schemas.openxmlformats.org/officeDocument/2006/relationships/worksheet" Target="/xl/worksheets/sheet3.xml" Id="R475490cfab604391" /><Relationship Type="http://schemas.openxmlformats.org/officeDocument/2006/relationships/worksheet" Target="/xl/worksheets/sheet4.xml" Id="R8aacc69c472d4227" /><Relationship Type="http://schemas.openxmlformats.org/officeDocument/2006/relationships/worksheet" Target="/xl/worksheets/sheet5.xml" Id="R885cd68a5b304650" /><Relationship Type="http://schemas.openxmlformats.org/officeDocument/2006/relationships/worksheet" Target="/xl/worksheets/sheet6.xml" Id="R16c28ddc09e947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4SpeciesTable" displayName="EEZ624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4CommercialTable" displayName="EEZ62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4FunctionalTable" displayName="EEZ624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4ValidationTable" displayName="EEZ6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5be6cd6b1f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9f97baa0d0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d78b7d4c0845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223150539d49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EEZ_624</x:v>
      </x:c>
      <x:c r="B2" s="24" t="str">
        <x:v>Guinea-Bissau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613440.4988327837</x:v>
      </x:c>
      <x:c r="J2" s="31" t="n">
        <x:v>533443.4239790366</x:v>
      </x:c>
      <x:c r="K2" s="31" t="n">
        <x:v>79997.07485374699</x:v>
      </x:c>
      <x:c r="L2" s="31" t="n">
        <x:v>9160.4087728635</x:v>
      </x:c>
      <x:c r="M2" s="31" t="n">
        <x:v>604280.0900599202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116888677.3333648</x:v>
      </x:c>
    </x:row>
    <x:row r="3" ht="18" customHeight="1">
      <x:c r="A3" s="24" t="str">
        <x:v>EEZ_624</x:v>
      </x:c>
      <x:c r="B3" s="24" t="str">
        <x:v>Guinea-Bissau</x:v>
      </x:c>
      <x:c r="C3" s="24" t="str">
        <x:v>EEZ</x:v>
      </x:c>
      <x:c r="D3" s="30" t="n">
        <x:v>2019</x:v>
      </x:c>
      <x:c r="E3" s="24" t="str">
        <x:v>Rachycentron canadum</x:v>
      </x:c>
      <x:c r="F3" s="24" t="str">
        <x:v>Cobia</x:v>
      </x:c>
      <x:c r="G3" s="24" t="str">
        <x:v>Large pelagics (&gt;=90 cm)</x:v>
      </x:c>
      <x:c r="H3" s="24" t="str">
        <x:v>Perch-likes</x:v>
      </x:c>
      <x:c r="I3" s="31" t="n">
        <x:v>72456.3503172096</x:v>
      </x:c>
      <x:c r="J3" s="31" t="n">
        <x:v>72456.3503172096</x:v>
      </x:c>
      <x:c r="K3" s="31" t="n">
        <x:v>0</x:v>
      </x:c>
      <x:c r="L3" s="31" t="n">
        <x:v>0.00285402</x:v>
      </x:c>
      <x:c r="M3" s="31" t="n">
        <x:v>72456.3474631896</x:v>
      </x:c>
      <x:c r="N3" s="24" t="str">
        <x:v>rachycentron canadum</x:v>
      </x:c>
      <x:c r="O3" s="32" t="n">
        <x:v>3.96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Rachycentron canadum</x:v>
      </x:c>
      <x:c r="T3" s="32" t="n">
        <x:f>IF(O3="","",(1/'Metadata'!$B$5)^(O3-1))</x:f>
        <x:v>912.0108393559096</x:v>
      </x:c>
      <x:c r="U3" s="31" t="n">
        <x:f>IF(T3="","",I3*T3)</x:f>
        <x:v>66080976.86946415</x:v>
      </x:c>
    </x:row>
    <x:row r="4" ht="18" customHeight="1">
      <x:c r="A4" s="24" t="str">
        <x:v>EEZ_624</x:v>
      </x:c>
      <x:c r="B4" s="24" t="str">
        <x:v>Guinea-Bissau</x:v>
      </x:c>
      <x:c r="C4" s="24" t="str">
        <x:v>EEZ</x:v>
      </x:c>
      <x:c r="D4" s="30" t="n">
        <x:v>2019</x:v>
      </x:c>
      <x:c r="E4" s="24" t="str">
        <x:v>Galeoides decadactylus</x:v>
      </x:c>
      <x:c r="F4" s="24" t="str">
        <x:v>Lesser African threadfin</x:v>
      </x:c>
      <x:c r="G4" s="24" t="str">
        <x:v>Medium demersals (30 - 89 cm)</x:v>
      </x:c>
      <x:c r="H4" s="24" t="str">
        <x:v>Perch-likes</x:v>
      </x:c>
      <x:c r="I4" s="31" t="n">
        <x:v>43164.6482934834</x:v>
      </x:c>
      <x:c r="J4" s="31" t="n">
        <x:v>2918.7999039694</x:v>
      </x:c>
      <x:c r="K4" s="31" t="n">
        <x:v>40245.848389514</x:v>
      </x:c>
      <x:c r="L4" s="31" t="n">
        <x:v>461.960743773</x:v>
      </x:c>
      <x:c r="M4" s="31" t="n">
        <x:v>42702.6875497104</x:v>
      </x:c>
      <x:c r="N4" s="24" t="str">
        <x:v>galeoides decadactylus</x:v>
      </x:c>
      <x:c r="O4" s="32" t="n">
        <x:v>3.57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Galeoides decadactylus</x:v>
      </x:c>
      <x:c r="T4" s="32" t="n">
        <x:f>IF(O4="","",(1/'Metadata'!$B$5)^(O4-1))</x:f>
        <x:v>371.5352290971724</x:v>
      </x:c>
      <x:c r="U4" s="31" t="n">
        <x:f>IF(T4="","",I4*T4)</x:f>
        <x:v>16037187.492618227</x:v>
      </x:c>
    </x:row>
    <x:row r="5" ht="18" customHeight="1">
      <x:c r="A5" s="24" t="str">
        <x:v>EEZ_624</x:v>
      </x:c>
      <x:c r="B5" s="24" t="str">
        <x:v>Guinea-Bissau</x:v>
      </x:c>
      <x:c r="C5" s="24" t="str">
        <x:v>EEZ</x:v>
      </x:c>
      <x:c r="D5" s="30" t="n">
        <x:v>2019</x:v>
      </x:c>
      <x:c r="E5" s="24" t="str">
        <x:v>Brachydeuterus auritus</x:v>
      </x:c>
      <x:c r="F5" s="24" t="str">
        <x:v>Bigeye grunt</x:v>
      </x:c>
      <x:c r="G5" s="24" t="str">
        <x:v>Small demersals (&lt;30 cm)</x:v>
      </x:c>
      <x:c r="H5" s="24" t="str">
        <x:v>Perch-likes</x:v>
      </x:c>
      <x:c r="I5" s="31" t="n">
        <x:v>41164.8861252749</x:v>
      </x:c>
      <x:c r="J5" s="31" t="n">
        <x:v>919.6278265545</x:v>
      </x:c>
      <x:c r="K5" s="31" t="n">
        <x:v>40245.2582987204</x:v>
      </x:c>
      <x:c r="L5" s="31" t="n">
        <x:v>0.4586025892</x:v>
      </x:c>
      <x:c r="M5" s="31" t="n">
        <x:v>41164.4275226857</x:v>
      </x:c>
      <x:c r="N5" s="24" t="str">
        <x:v>brachydeuterus auritus</x:v>
      </x:c>
      <x:c r="O5" s="32" t="n">
        <x:v>3.03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Brachydeuterus auritus</x:v>
      </x:c>
      <x:c r="T5" s="32" t="n">
        <x:f>IF(O5="","",(1/'Metadata'!$B$5)^(O5-1))</x:f>
        <x:v>107.1519305237606</x:v>
      </x:c>
      <x:c r="U5" s="31" t="n">
        <x:f>IF(T5="","",I5*T5)</x:f>
        <x:v>4410897.018113973</x:v>
      </x:c>
    </x:row>
    <x:row r="6" ht="18" customHeight="1">
      <x:c r="A6" s="24" t="str">
        <x:v>EEZ_624</x:v>
      </x:c>
      <x:c r="B6" s="24" t="str">
        <x:v>Guinea-Bissau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40745.6570593095</x:v>
      </x:c>
      <x:c r="J6" s="31" t="n">
        <x:v>482.8456648679</x:v>
      </x:c>
      <x:c r="K6" s="31" t="n">
        <x:v>40262.811394441596</x:v>
      </x:c>
      <x:c r="L6" s="31" t="n">
        <x:v>294.0729517896</x:v>
      </x:c>
      <x:c r="M6" s="31" t="n">
        <x:v>40451.5841075199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107171997.57184787</x:v>
      </x:c>
    </x:row>
    <x:row r="7" ht="18" customHeight="1">
      <x:c r="A7" s="24" t="str">
        <x:v>EEZ_624</x:v>
      </x:c>
      <x:c r="B7" s="24" t="str">
        <x:v>Guinea-Bissau</x:v>
      </x:c>
      <x:c r="C7" s="24" t="str">
        <x:v>EEZ</x:v>
      </x:c>
      <x:c r="D7" s="30" t="n">
        <x:v>2019</x:v>
      </x:c>
      <x:c r="E7" s="24" t="str">
        <x:v>Chloroscombrus chrysurus</x:v>
      </x:c>
      <x:c r="F7" s="24" t="str">
        <x:v>Atlantic bumper</x:v>
      </x:c>
      <x:c r="G7" s="24" t="str">
        <x:v>Medium pelagics (30 - 89 cm)</x:v>
      </x:c>
      <x:c r="H7" s="24" t="str">
        <x:v>Perch-likes</x:v>
      </x:c>
      <x:c r="I7" s="31" t="n">
        <x:v>40416.9639544587</x:v>
      </x:c>
      <x:c r="J7" s="31" t="n">
        <x:v>189.67872652900002</x:v>
      </x:c>
      <x:c r="K7" s="31" t="n">
        <x:v>40227.2852279297</x:v>
      </x:c>
      <x:c r="L7" s="31" t="n">
        <x:v>0.628082</x:v>
      </x:c>
      <x:c r="M7" s="31" t="n">
        <x:v>40416.3358724587</x:v>
      </x:c>
      <x:c r="N7" s="24" t="str">
        <x:v>chloroscombrus chrysurus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Chloroscombrus chrysurus</x:v>
      </x:c>
      <x:c r="T7" s="32" t="n">
        <x:f>IF(O7="","",(1/'Metadata'!$B$5)^(O7-1))</x:f>
        <x:v>346.73685045253166</x:v>
      </x:c>
      <x:c r="U7" s="31" t="n">
        <x:f>IF(T7="","",I7*T7)</x:f>
        <x:v>14014050.786422508</x:v>
      </x:c>
    </x:row>
    <x:row r="8" ht="18" customHeight="1">
      <x:c r="A8" s="24" t="str">
        <x:v>EEZ_624</x:v>
      </x:c>
      <x:c r="B8" s="24" t="str">
        <x:v>Guinea-Bissau</x:v>
      </x:c>
      <x:c r="C8" s="24" t="str">
        <x:v>EEZ</x:v>
      </x:c>
      <x:c r="D8" s="30" t="n">
        <x:v>2019</x:v>
      </x:c>
      <x:c r="E8" s="24" t="str">
        <x:v>Pseudotolithus</x:v>
      </x:c>
      <x:c r="F8" s="24" t="str">
        <x:v>African croakers</x:v>
      </x:c>
      <x:c r="G8" s="24" t="str">
        <x:v>Large demersals (&gt;=90 cm)</x:v>
      </x:c>
      <x:c r="H8" s="24" t="str">
        <x:v>Perch-likes</x:v>
      </x:c>
      <x:c r="I8" s="31" t="n">
        <x:v>40236.6768838675</x:v>
      </x:c>
      <x:c r="J8" s="31" t="n">
        <x:v>0</x:v>
      </x:c>
      <x:c r="K8" s="31" t="n">
        <x:v>40236.6768838675</x:v>
      </x:c>
      <x:c r="L8" s="31" t="n">
        <x:v>0</x:v>
      </x:c>
      <x:c r="M8" s="31" t="n">
        <x:v>40236.6768838675</x:v>
      </x:c>
      <x:c r="N8" s="24" t="str">
        <x:v>pseudotolithus</x:v>
      </x:c>
      <x:c r="O8" s="32" t="n">
        <x:v>3.79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Pseudotolithus</x:v>
      </x:c>
      <x:c r="T8" s="32" t="n">
        <x:f>IF(O8="","",(1/'Metadata'!$B$5)^(O8-1))</x:f>
        <x:v>616.5950018614822</x:v>
      </x:c>
      <x:c r="U8" s="31" t="n">
        <x:f>IF(T8="","",I8*T8)</x:f>
        <x:v>24809733.858108137</x:v>
      </x:c>
    </x:row>
    <x:row r="9" ht="18" customHeight="1">
      <x:c r="A9" s="24" t="str">
        <x:v>EEZ_624</x:v>
      </x:c>
      <x:c r="B9" s="24" t="str">
        <x:v>Guinea-Bissau</x:v>
      </x:c>
      <x:c r="C9" s="24" t="str">
        <x:v>EEZ</x:v>
      </x:c>
      <x:c r="D9" s="30" t="n">
        <x:v>2019</x:v>
      </x:c>
      <x:c r="E9" s="24" t="str">
        <x:v>Sepia</x:v>
      </x:c>
      <x:c r="F9" s="24" t="str">
        <x:v>Sepia cuttlefishes</x:v>
      </x:c>
      <x:c r="G9" s="24" t="str">
        <x:v>Cephalopods</x:v>
      </x:c>
      <x:c r="H9" s="24" t="str">
        <x:v>Other fishes &amp; inverts</x:v>
      </x:c>
      <x:c r="I9" s="31" t="n">
        <x:v>40231.7553154289</x:v>
      </x:c>
      <x:c r="J9" s="31" t="n">
        <x:v>0</x:v>
      </x:c>
      <x:c r="K9" s="31" t="n">
        <x:v>40231.7553154289</x:v>
      </x:c>
      <x:c r="L9" s="31" t="n">
        <x:v>0</x:v>
      </x:c>
      <x:c r="M9" s="31" t="n">
        <x:v>40231.7553154289</x:v>
      </x:c>
      <x:c r="N9" s="24" t="str">
        <x:v>sepia</x:v>
      </x:c>
      <x:c r="O9" s="32" t="n">
        <x:v>3.69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Sepia</x:v>
      </x:c>
      <x:c r="T9" s="32" t="n">
        <x:f>IF(O9="","",(1/'Metadata'!$B$5)^(O9-1))</x:f>
        <x:v>489.77881936844614</x:v>
      </x:c>
      <x:c r="U9" s="31" t="n">
        <x:f>IF(T9="","",I9*T9)</x:f>
        <x:v>19704661.619510975</x:v>
      </x:c>
    </x:row>
    <x:row r="10" ht="18" customHeight="1">
      <x:c r="A10" s="24" t="str">
        <x:v>EEZ_624</x:v>
      </x:c>
      <x:c r="B10" s="24" t="str">
        <x:v>Guinea-Bissau</x:v>
      </x:c>
      <x:c r="C10" s="24" t="str">
        <x:v>EEZ</x:v>
      </x:c>
      <x:c r="D10" s="30" t="n">
        <x:v>2019</x:v>
      </x:c>
      <x:c r="E10" s="24" t="str">
        <x:v>Cynoglossus monodi</x:v>
      </x:c>
      <x:c r="F10" s="24" t="str">
        <x:v>Guinean tonguesole</x:v>
      </x:c>
      <x:c r="G10" s="24" t="str">
        <x:v>Small to medium flatfishes (&lt;90 cm)</x:v>
      </x:c>
      <x:c r="H10" s="24" t="str">
        <x:v>Flatfishes</x:v>
      </x:c>
      <x:c r="I10" s="31" t="n">
        <x:v>33001.2897105771</x:v>
      </x:c>
      <x:c r="J10" s="31" t="n">
        <x:v>0</x:v>
      </x:c>
      <x:c r="K10" s="31" t="n">
        <x:v>33001.2897105771</x:v>
      </x:c>
      <x:c r="L10" s="31" t="n">
        <x:v>0</x:v>
      </x:c>
      <x:c r="M10" s="31" t="n">
        <x:v>33001.2897105771</x:v>
      </x:c>
      <x:c r="N10" s="24" t="str">
        <x:v>cynoglossus monodi</x:v>
      </x:c>
      <x:c r="O10" s="32" t="n">
        <x:v>3.6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Cynoglossus monodi</x:v>
      </x:c>
      <x:c r="T10" s="32" t="n">
        <x:f>IF(O10="","",(1/'Metadata'!$B$5)^(O10-1))</x:f>
        <x:v>398.1071705534973</x:v>
      </x:c>
      <x:c r="U10" s="31" t="n">
        <x:f>IF(T10="","",I10*T10)</x:f>
        <x:v>13138050.071294094</x:v>
      </x:c>
    </x:row>
    <x:row r="11" ht="18" customHeight="1">
      <x:c r="A11" s="24" t="str">
        <x:v>EEZ_624</x:v>
      </x:c>
      <x:c r="B11" s="24" t="str">
        <x:v>Guinea-Bissau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27313.544076300503</x:v>
      </x:c>
      <x:c r="J11" s="31" t="n">
        <x:v>25045.4438638659</x:v>
      </x:c>
      <x:c r="K11" s="31" t="n">
        <x:v>2268.1002124346</x:v>
      </x:c>
      <x:c r="L11" s="31" t="n">
        <x:v>25045.4438638659</x:v>
      </x:c>
      <x:c r="M11" s="31" t="n">
        <x:v>2268.1002124346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13377595.370458476</x:v>
      </x:c>
    </x:row>
    <x:row r="12" ht="18" customHeight="1">
      <x:c r="A12" s="24" t="str">
        <x:v>EEZ_624</x:v>
      </x:c>
      <x:c r="B12" s="24" t="str">
        <x:v>Guinea-Bissau</x:v>
      </x:c>
      <x:c r="C12" s="24" t="str">
        <x:v>EEZ</x:v>
      </x:c>
      <x:c r="D12" s="30" t="n">
        <x:v>2019</x:v>
      </x:c>
      <x:c r="E12" s="24" t="str">
        <x:v>Cynoglossus</x:v>
      </x:c>
      <x:c r="F12" s="24" t="str">
        <x:v>Tonguesoles</x:v>
      </x:c>
      <x:c r="G12" s="24" t="str">
        <x:v>Small to medium flatfishes (&lt;90 cm)</x:v>
      </x:c>
      <x:c r="H12" s="24" t="str">
        <x:v>Flatfishes</x:v>
      </x:c>
      <x:c r="I12" s="31" t="n">
        <x:v>13207.736701407099</x:v>
      </x:c>
      <x:c r="J12" s="31" t="n">
        <x:v>5979.0672014086</x:v>
      </x:c>
      <x:c r="K12" s="31" t="n">
        <x:v>7228.6694999985</x:v>
      </x:c>
      <x:c r="L12" s="31" t="n">
        <x:v>238.26885839279998</x:v>
      </x:c>
      <x:c r="M12" s="31" t="n">
        <x:v>12969.4678430143</x:v>
      </x:c>
      <x:c r="N12" s="24" t="str">
        <x:v>cynoglossus</x:v>
      </x:c>
      <x:c r="O12" s="32" t="n">
        <x:v>3.36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Cynoglossus</x:v>
      </x:c>
      <x:c r="T12" s="32" t="n">
        <x:f>IF(O12="","",(1/'Metadata'!$B$5)^(O12-1))</x:f>
        <x:v>229.08676527677724</x:v>
      </x:c>
      <x:c r="U12" s="31" t="n">
        <x:f>IF(T12="","",I12*T12)</x:f>
        <x:v>3025717.6775527243</x:v>
      </x:c>
    </x:row>
    <x:row r="13" ht="18" customHeight="1">
      <x:c r="A13" s="24" t="str">
        <x:v>EEZ_624</x:v>
      </x:c>
      <x:c r="B13" s="24" t="str">
        <x:v>Guinea-Bissau</x:v>
      </x:c>
      <x:c r="C13" s="24" t="str">
        <x:v>EEZ</x:v>
      </x:c>
      <x:c r="D13" s="30" t="n">
        <x:v>2019</x:v>
      </x:c>
      <x:c r="E13" s="24" t="str">
        <x:v>Ethmalosa fimbriata</x:v>
      </x:c>
      <x:c r="F13" s="24" t="str">
        <x:v>Bonga shad</x:v>
      </x:c>
      <x:c r="G13" s="24" t="str">
        <x:v>Medium pelagics (30 - 89 cm)</x:v>
      </x:c>
      <x:c r="H13" s="24" t="str">
        <x:v>Herring-likes</x:v>
      </x:c>
      <x:c r="I13" s="31" t="n">
        <x:v>10666.8532968253</x:v>
      </x:c>
      <x:c r="J13" s="31" t="n">
        <x:v>10666.8532968253</x:v>
      </x:c>
      <x:c r="K13" s="31" t="n">
        <x:v>0</x:v>
      </x:c>
      <x:c r="L13" s="31" t="n">
        <x:v>1424.5598913219999</x:v>
      </x:c>
      <x:c r="M13" s="31" t="n">
        <x:v>9242.2934055033</x:v>
      </x:c>
      <x:c r="N13" s="24" t="str">
        <x:v>ethmalosa fimbriata</x:v>
      </x:c>
      <x:c r="O13" s="32" t="n">
        <x:v>2.5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Ethmalosa fimbriata</x:v>
      </x:c>
      <x:c r="T13" s="32" t="n">
        <x:f>IF(O13="","",(1/'Metadata'!$B$5)^(O13-1))</x:f>
        <x:v>31.622776601683793</x:v>
      </x:c>
      <x:c r="U13" s="31" t="n">
        <x:f>IF(T13="","",I13*T13)</x:f>
        <x:v>337315.5188484407</x:v>
      </x:c>
    </x:row>
    <x:row r="14" ht="18" customHeight="1">
      <x:c r="A14" s="24" t="str">
        <x:v>EEZ_624</x:v>
      </x:c>
      <x:c r="B14" s="24" t="str">
        <x:v>Guinea-Bissau</x:v>
      </x:c>
      <x:c r="C14" s="24" t="str">
        <x:v>EEZ</x:v>
      </x:c>
      <x:c r="D14" s="30" t="n">
        <x:v>2019</x:v>
      </x:c>
      <x:c r="E14" s="24" t="str">
        <x:v>Carlarius heudelotii</x:v>
      </x:c>
      <x:c r="F14" s="24" t="str">
        <x:v>Smoothmouth sea catfish</x:v>
      </x:c>
      <x:c r="G14" s="24" t="str">
        <x:v>Medium demersals (30 - 89 cm)</x:v>
      </x:c>
      <x:c r="H14" s="24" t="str">
        <x:v>Other fishes &amp; inverts</x:v>
      </x:c>
      <x:c r="I14" s="31" t="n">
        <x:v>9776.8198597248</x:v>
      </x:c>
      <x:c r="J14" s="31" t="n">
        <x:v>9776.8198597248</x:v>
      </x:c>
      <x:c r="K14" s="31" t="n">
        <x:v>0</x:v>
      </x:c>
      <x:c r="L14" s="31" t="n">
        <x:v>160.2689241805</x:v>
      </x:c>
      <x:c r="M14" s="31" t="n">
        <x:v>9616.5509355443</x:v>
      </x:c>
      <x:c r="N14" s="24" t="str">
        <x:v>carlarius heudelotii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Carlarius heudelotii</x:v>
      </x:c>
      <x:c r="T14" s="32" t="n">
        <x:f>IF(O14="","",(1/'Metadata'!$B$5)^(O14-1))</x:f>
        <x:v>588.843655355589</x:v>
      </x:c>
      <x:c r="U14" s="31" t="n">
        <x:f>IF(T14="","",I14*T14)</x:f>
        <x:v>5757018.343953468</x:v>
      </x:c>
    </x:row>
    <x:row r="15" ht="18" customHeight="1">
      <x:c r="A15" s="24" t="str">
        <x:v>EEZ_624</x:v>
      </x:c>
      <x:c r="B15" s="24" t="str">
        <x:v>Guinea-Bissau</x:v>
      </x:c>
      <x:c r="C15" s="24" t="str">
        <x:v>EEZ</x:v>
      </x:c>
      <x:c r="D15" s="30" t="n">
        <x:v>2019</x:v>
      </x:c>
      <x:c r="E15" s="24" t="str">
        <x:v>Zeus faber</x:v>
      </x:c>
      <x:c r="F15" s="24" t="str">
        <x:v>John dory</x:v>
      </x:c>
      <x:c r="G15" s="24" t="str">
        <x:v>Medium benthopelagics (30 - 89 cm)</x:v>
      </x:c>
      <x:c r="H15" s="24" t="str">
        <x:v>Other fishes &amp; inverts</x:v>
      </x:c>
      <x:c r="I15" s="31" t="n">
        <x:v>8927.3840060485</x:v>
      </x:c>
      <x:c r="J15" s="31" t="n">
        <x:v>8927.3840060485</x:v>
      </x:c>
      <x:c r="K15" s="31" t="n">
        <x:v>0</x:v>
      </x:c>
      <x:c r="L15" s="31" t="n">
        <x:v>9.859150214400001</x:v>
      </x:c>
      <x:c r="M15" s="31" t="n">
        <x:v>8917.5248558341</x:v>
      </x:c>
      <x:c r="N15" s="24" t="str">
        <x:v>zeus faber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Zeus faber</x:v>
      </x:c>
      <x:c r="T15" s="32" t="n">
        <x:f>IF(O15="","",(1/'Metadata'!$B$5)^(O15-1))</x:f>
        <x:v>3162.2776601683795</x:v>
      </x:c>
      <x:c r="U15" s="31" t="n">
        <x:f>IF(T15="","",I15*T15)</x:f>
        <x:v>28230867.006071664</x:v>
      </x:c>
    </x:row>
    <x:row r="16" ht="18" customHeight="1">
      <x:c r="A16" s="24" t="str">
        <x:v>EEZ_624</x:v>
      </x:c>
      <x:c r="B16" s="24" t="str">
        <x:v>Guinea-Bissau</x:v>
      </x:c>
      <x:c r="C16" s="24" t="str">
        <x:v>EEZ</x:v>
      </x:c>
      <x:c r="D16" s="30" t="n">
        <x:v>2019</x:v>
      </x:c>
      <x:c r="E16" s="24" t="str">
        <x:v>Sphyrna zygaena</x:v>
      </x:c>
      <x:c r="F16" s="24" t="str">
        <x:v>Smooth hammerhead</x:v>
      </x:c>
      <x:c r="G16" s="24" t="str">
        <x:v>Large sharks (&gt;=90 cm)</x:v>
      </x:c>
      <x:c r="H16" s="24" t="str">
        <x:v>Sharks &amp; rays</x:v>
      </x:c>
      <x:c r="I16" s="31" t="n">
        <x:v>8496.6054062001</x:v>
      </x:c>
      <x:c r="J16" s="31" t="n">
        <x:v>8496.6054062001</x:v>
      </x:c>
      <x:c r="K16" s="31" t="n">
        <x:v>0</x:v>
      </x:c>
      <x:c r="L16" s="31" t="n">
        <x:v>0</x:v>
      </x:c>
      <x:c r="M16" s="31" t="n">
        <x:v>8496.6054062001</x:v>
      </x:c>
      <x:c r="N16" s="24" t="str">
        <x:v>sphyrna zygaena</x:v>
      </x:c>
      <x:c r="O16" s="32" t="n">
        <x:v>4.94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Sphyrna zygaena</x:v>
      </x:c>
      <x:c r="T16" s="32" t="n">
        <x:f>IF(O16="","",(1/'Metadata'!$B$5)^(O16-1))</x:f>
        <x:v>8709.635899560813</x:v>
      </x:c>
      <x:c r="U16" s="31" t="n">
        <x:f>IF(T16="","",I16*T16)</x:f>
        <x:v>74002339.47024289</x:v>
      </x:c>
    </x:row>
    <x:row r="17" ht="18" customHeight="1">
      <x:c r="A17" s="24" t="str">
        <x:v>EEZ_624</x:v>
      </x:c>
      <x:c r="B17" s="24" t="str">
        <x:v>Guinea-Bissau</x:v>
      </x:c>
      <x:c r="C17" s="24" t="str">
        <x:v>EEZ</x:v>
      </x:c>
      <x:c r="D17" s="30" t="n">
        <x:v>2019</x:v>
      </x:c>
      <x:c r="E17" s="24" t="str">
        <x:v>Dentex</x:v>
      </x:c>
      <x:c r="F17" s="24" t="str">
        <x:v>Toothed seabreams</x:v>
      </x:c>
      <x:c r="G17" s="24" t="str">
        <x:v>Large benthopelagics (&gt;=90 cm)</x:v>
      </x:c>
      <x:c r="H17" s="24" t="str">
        <x:v>Perch-likes</x:v>
      </x:c>
      <x:c r="I17" s="31" t="n">
        <x:v>6867.0218751817</x:v>
      </x:c>
      <x:c r="J17" s="31" t="n">
        <x:v>6867.0218751817</x:v>
      </x:c>
      <x:c r="K17" s="31" t="n">
        <x:v>0</x:v>
      </x:c>
      <x:c r="L17" s="31" t="n">
        <x:v>33.0242572173</x:v>
      </x:c>
      <x:c r="M17" s="31" t="n">
        <x:v>6833.9976179644</x:v>
      </x:c>
      <x:c r="N17" s="24" t="str">
        <x:v>dentex</x:v>
      </x:c>
      <x:c r="O17" s="32" t="n">
        <x:v>3.96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Dentex</x:v>
      </x:c>
      <x:c r="T17" s="32" t="n">
        <x:f>IF(O17="","",(1/'Metadata'!$B$5)^(O17-1))</x:f>
        <x:v>912.0108393559096</x:v>
      </x:c>
      <x:c r="U17" s="31" t="n">
        <x:f>IF(T17="","",I17*T17)</x:f>
        <x:v>6262798.384259854</x:v>
      </x:c>
    </x:row>
    <x:row r="18" ht="18" customHeight="1">
      <x:c r="A18" s="24" t="str">
        <x:v>EEZ_624</x:v>
      </x:c>
      <x:c r="B18" s="24" t="str">
        <x:v>Guinea-Bissau</x:v>
      </x:c>
      <x:c r="C18" s="24" t="str">
        <x:v>EEZ</x:v>
      </x:c>
      <x:c r="D18" s="30" t="n">
        <x:v>2019</x:v>
      </x:c>
      <x:c r="E18" s="24" t="str">
        <x:v>Sardinella maderensis</x:v>
      </x:c>
      <x:c r="F18" s="24" t="str">
        <x:v>Madeiran sardinella</x:v>
      </x:c>
      <x:c r="G18" s="24" t="str">
        <x:v>Medium pelagics (30 - 89 cm)</x:v>
      </x:c>
      <x:c r="H18" s="24" t="str">
        <x:v>Herring-likes</x:v>
      </x:c>
      <x:c r="I18" s="31" t="n">
        <x:v>6698.2354303166</x:v>
      </x:c>
      <x:c r="J18" s="31" t="n">
        <x:v>6698.2354303166</x:v>
      </x:c>
      <x:c r="K18" s="31" t="n">
        <x:v>0</x:v>
      </x:c>
      <x:c r="L18" s="31" t="n">
        <x:v>1.6198908512</x:v>
      </x:c>
      <x:c r="M18" s="31" t="n">
        <x:v>6696.615539465401</x:v>
      </x:c>
      <x:c r="N18" s="24" t="str">
        <x:v>sardinella maderensis</x:v>
      </x:c>
      <x:c r="O18" s="32" t="n">
        <x:v>3.2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maderensis</x:v>
      </x:c>
      <x:c r="T18" s="32" t="n">
        <x:f>IF(O18="","",(1/'Metadata'!$B$5)^(O18-1))</x:f>
        <x:v>158.48931924611142</x:v>
      </x:c>
      <x:c r="U18" s="31" t="n">
        <x:f>IF(T18="","",I18*T18)</x:f>
        <x:v>1061598.773501062</x:v>
      </x:c>
    </x:row>
    <x:row r="19" ht="18" customHeight="1">
      <x:c r="A19" s="24" t="str">
        <x:v>EEZ_624</x:v>
      </x:c>
      <x:c r="B19" s="24" t="str">
        <x:v>Guinea-Bissau</x:v>
      </x:c>
      <x:c r="C19" s="24" t="str">
        <x:v>EEZ</x:v>
      </x:c>
      <x:c r="D19" s="30" t="n">
        <x:v>2019</x:v>
      </x:c>
      <x:c r="E19" s="24" t="str">
        <x:v>Murex</x:v>
      </x:c>
      <x:c r="F19" s="24" t="str">
        <x:v>Murex shells</x:v>
      </x:c>
      <x:c r="G19" s="24" t="str">
        <x:v>Other demersal invertebrates</x:v>
      </x:c>
      <x:c r="H19" s="24" t="str">
        <x:v>Molluscs</x:v>
      </x:c>
      <x:c r="I19" s="31" t="n">
        <x:v>5932.109115705601</x:v>
      </x:c>
      <x:c r="J19" s="31" t="n">
        <x:v>5932.109115705601</x:v>
      </x:c>
      <x:c r="K19" s="31" t="n">
        <x:v>0</x:v>
      </x:c>
      <x:c r="L19" s="31" t="n">
        <x:v>419.7352231445</x:v>
      </x:c>
      <x:c r="M19" s="31" t="n">
        <x:v>5512.373892561101</x:v>
      </x:c>
      <x:c r="N19" s="24" t="str">
        <x:v>murex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Murex</x:v>
      </x:c>
      <x:c r="T19" s="32" t="n">
        <x:f>IF(O19="","",(1/'Metadata'!$B$5)^(O19-1))</x:f>
        <x:v>10</x:v>
      </x:c>
      <x:c r="U19" s="31" t="n">
        <x:f>IF(T19="","",I19*T19)</x:f>
        <x:v>59321.091157056006</x:v>
      </x:c>
    </x:row>
    <x:row r="20" ht="18" customHeight="1">
      <x:c r="A20" s="24" t="str">
        <x:v>EEZ_624</x:v>
      </x:c>
      <x:c r="B20" s="24" t="str">
        <x:v>Guinea-Bissau</x:v>
      </x:c>
      <x:c r="C20" s="24" t="str">
        <x:v>EEZ</x:v>
      </x:c>
      <x:c r="D20" s="30" t="n">
        <x:v>2019</x:v>
      </x:c>
      <x:c r="E20" s="24" t="str">
        <x:v>Sardinella</x:v>
      </x:c>
      <x:c r="F20" s="24" t="str">
        <x:v>Sardinellas</x:v>
      </x:c>
      <x:c r="G20" s="24" t="str">
        <x:v>Small pelagics (&lt;30 cm)</x:v>
      </x:c>
      <x:c r="H20" s="24" t="str">
        <x:v>Herring-likes</x:v>
      </x:c>
      <x:c r="I20" s="31" t="n">
        <x:v>5000.8962169996</x:v>
      </x:c>
      <x:c r="J20" s="31" t="n">
        <x:v>4550.3090509645</x:v>
      </x:c>
      <x:c r="K20" s="31" t="n">
        <x:v>450.5871660351</x:v>
      </x:c>
      <x:c r="L20" s="31" t="n">
        <x:v>4550.3090509645</x:v>
      </x:c>
      <x:c r="M20" s="31" t="n">
        <x:v>450.5871660351</x:v>
      </x:c>
      <x:c r="N20" s="24" t="str">
        <x:v>sardinella</x:v>
      </x:c>
      <x:c r="O20" s="32" t="n">
        <x:v>2.77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Sardinella</x:v>
      </x:c>
      <x:c r="T20" s="32" t="n">
        <x:f>IF(O20="","",(1/'Metadata'!$B$5)^(O20-1))</x:f>
        <x:v>58.8843655355589</x:v>
      </x:c>
      <x:c r="U20" s="31" t="n">
        <x:f>IF(T20="","",I20*T20)</x:f>
        <x:v>294474.60084719816</x:v>
      </x:c>
    </x:row>
    <x:row r="21" ht="18" customHeight="1">
      <x:c r="A21" s="24" t="str">
        <x:v>EEZ_624</x:v>
      </x:c>
      <x:c r="B21" s="24" t="str">
        <x:v>Guinea-Bissau</x:v>
      </x:c>
      <x:c r="C21" s="24" t="str">
        <x:v>EEZ</x:v>
      </x:c>
      <x:c r="D21" s="30" t="n">
        <x:v>2019</x:v>
      </x:c>
      <x:c r="E21" s="24" t="str">
        <x:v>Scyris alexandrina</x:v>
      </x:c>
      <x:c r="F21" s="24" t="str">
        <x:v>Alexandria pompano</x:v>
      </x:c>
      <x:c r="G21" s="24" t="str">
        <x:v>Medium pelagics (30 - 89 cm)</x:v>
      </x:c>
      <x:c r="H21" s="24" t="str">
        <x:v>Perch-likes</x:v>
      </x:c>
      <x:c r="I21" s="31" t="n">
        <x:v>3863.4792699080003</x:v>
      </x:c>
      <x:c r="J21" s="31" t="n">
        <x:v>3863.4792699080003</x:v>
      </x:c>
      <x:c r="K21" s="31" t="n">
        <x:v>0</x:v>
      </x:c>
      <x:c r="L21" s="31" t="n">
        <x:v>1.0679742839</x:v>
      </x:c>
      <x:c r="M21" s="31" t="n">
        <x:v>3862.4112956241</x:v>
      </x:c>
      <x:c r="N21" s="24" t="str">
        <x:v>scyris alexandrina</x:v>
      </x:c>
      <x:c r="O21" s="32" t="n">
        <x:v>3.6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Scyris alexandrina</x:v>
      </x:c>
      <x:c r="T21" s="32" t="n">
        <x:f>IF(O21="","",(1/'Metadata'!$B$5)^(O21-1))</x:f>
        <x:v>398.1071705534973</x:v>
      </x:c>
      <x:c r="U21" s="31" t="n">
        <x:f>IF(T21="","",I21*T21)</x:f>
        <x:v>1538078.8006351655</x:v>
      </x:c>
    </x:row>
    <x:row r="22" ht="18" customHeight="1">
      <x:c r="A22" s="24" t="str">
        <x:v>EEZ_624</x:v>
      </x:c>
      <x:c r="B22" s="24" t="str">
        <x:v>Guinea-Bissau</x:v>
      </x:c>
      <x:c r="C22" s="24" t="str">
        <x:v>EEZ</x:v>
      </x:c>
      <x:c r="D22" s="30" t="n">
        <x:v>2019</x:v>
      </x:c>
      <x:c r="E22" s="24" t="str">
        <x:v>Selene dorsalis</x:v>
      </x:c>
      <x:c r="F22" s="24" t="str">
        <x:v>African moonfish</x:v>
      </x:c>
      <x:c r="G22" s="24" t="str">
        <x:v>Small demersals (&lt;30 cm)</x:v>
      </x:c>
      <x:c r="H22" s="24" t="str">
        <x:v>Perch-likes</x:v>
      </x:c>
      <x:c r="I22" s="31" t="n">
        <x:v>2702.3154694668</x:v>
      </x:c>
      <x:c r="J22" s="31" t="n">
        <x:v>2702.3154694668</x:v>
      </x:c>
      <x:c r="K22" s="31" t="n">
        <x:v>0</x:v>
      </x:c>
      <x:c r="L22" s="31" t="n">
        <x:v>0</x:v>
      </x:c>
      <x:c r="M22" s="31" t="n">
        <x:v>2702.3154694668</x:v>
      </x:c>
      <x:c r="N22" s="24" t="str">
        <x:v>selene dorsalis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Selene dorsalis</x:v>
      </x:c>
      <x:c r="T22" s="32" t="n">
        <x:f>IF(O22="","",(1/'Metadata'!$B$5)^(O22-1))</x:f>
        <x:v>1202.2644346174131</x:v>
      </x:c>
      <x:c r="U22" s="31" t="n">
        <x:f>IF(T22="","",I22*T22)</x:f>
        <x:v>3248897.780056392</x:v>
      </x:c>
    </x:row>
    <x:row r="23" ht="18" customHeight="1">
      <x:c r="A23" s="24" t="str">
        <x:v>EEZ_624</x:v>
      </x:c>
      <x:c r="B23" s="24" t="str">
        <x:v>Guinea-Bissau</x:v>
      </x:c>
      <x:c r="C23" s="24" t="str">
        <x:v>EEZ</x:v>
      </x:c>
      <x:c r="D23" s="30" t="n">
        <x:v>2019</x:v>
      </x:c>
      <x:c r="E23" s="24" t="str">
        <x:v>Lithognathus mormyrus</x:v>
      </x:c>
      <x:c r="F23" s="24" t="str">
        <x:v>Sand steenbras</x:v>
      </x:c>
      <x:c r="G23" s="24" t="str">
        <x:v>Medium benthopelagics (30 - 89 cm)</x:v>
      </x:c>
      <x:c r="H23" s="24" t="str">
        <x:v>Perch-likes</x:v>
      </x:c>
      <x:c r="I23" s="31" t="n">
        <x:v>2632.885757313</x:v>
      </x:c>
      <x:c r="J23" s="31" t="n">
        <x:v>2632.885757313</x:v>
      </x:c>
      <x:c r="K23" s="31" t="n">
        <x:v>0</x:v>
      </x:c>
      <x:c r="L23" s="31" t="n">
        <x:v>0.3379155734</x:v>
      </x:c>
      <x:c r="M23" s="31" t="n">
        <x:v>2632.5478417396</x:v>
      </x:c>
      <x:c r="N23" s="24" t="str">
        <x:v>lithognathus mormyrus</x:v>
      </x:c>
      <x:c r="O23" s="32" t="n">
        <x:v>3.42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Lithognathus mormyrus</x:v>
      </x:c>
      <x:c r="T23" s="32" t="n">
        <x:f>IF(O23="","",(1/'Metadata'!$B$5)^(O23-1))</x:f>
        <x:v>263.02679918953817</x:v>
      </x:c>
      <x:c r="U23" s="31" t="n">
        <x:f>IF(T23="","",I23*T23)</x:f>
        <x:v>692519.5133777616</x:v>
      </x:c>
    </x:row>
    <x:row r="24" ht="18" customHeight="1">
      <x:c r="A24" s="24" t="str">
        <x:v>EEZ_624</x:v>
      </x:c>
      <x:c r="B24" s="24" t="str">
        <x:v>Guinea-Bissau</x:v>
      </x:c>
      <x:c r="C24" s="24" t="str">
        <x:v>EEZ</x:v>
      </x:c>
      <x:c r="D24" s="30" t="n">
        <x:v>2019</x:v>
      </x:c>
      <x:c r="E24" s="24" t="str">
        <x:v>Mollusca</x:v>
      </x:c>
      <x:c r="F24" s="24" t="str">
        <x:v>Clams, seasnails, squids, octopuses</x:v>
      </x:c>
      <x:c r="G24" s="24" t="str">
        <x:v>Other demersal invertebrates</x:v>
      </x:c>
      <x:c r="H24" s="24" t="str">
        <x:v>Molluscs</x:v>
      </x:c>
      <x:c r="I24" s="31" t="n">
        <x:v>2522.9607786793003</x:v>
      </x:c>
      <x:c r="J24" s="31" t="n">
        <x:v>2522.9607786793003</x:v>
      </x:c>
      <x:c r="K24" s="31" t="n">
        <x:v>0</x:v>
      </x:c>
      <x:c r="L24" s="31" t="n">
        <x:v>3.3947972199</x:v>
      </x:c>
      <x:c r="M24" s="31" t="n">
        <x:v>2519.5659814594</x:v>
      </x:c>
      <x:c r="N24" s="24" t="str">
        <x:v>mollusca</x:v>
      </x:c>
      <x:c r="O24" s="32" t="n">
        <x:v>2.1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Mollusca</x:v>
      </x:c>
      <x:c r="T24" s="32" t="n">
        <x:f>IF(O24="","",(1/'Metadata'!$B$5)^(O24-1))</x:f>
        <x:v>12.589254117941675</x:v>
      </x:c>
      <x:c r="U24" s="31" t="n">
        <x:f>IF(T24="","",I24*T24)</x:f>
        <x:v>31762.194372393715</x:v>
      </x:c>
    </x:row>
    <x:row r="25" ht="18" customHeight="1">
      <x:c r="A25" s="24" t="str">
        <x:v>EEZ_624</x:v>
      </x:c>
      <x:c r="B25" s="24" t="str">
        <x:v>Guinea-Bissau</x:v>
      </x:c>
      <x:c r="C25" s="24" t="str">
        <x:v>EEZ</x:v>
      </x:c>
      <x:c r="D25" s="30" t="n">
        <x:v>2019</x:v>
      </x:c>
      <x:c r="E25" s="24" t="str">
        <x:v>Sardinella aurita</x:v>
      </x:c>
      <x:c r="F25" s="24" t="str">
        <x:v>Round sardinella</x:v>
      </x:c>
      <x:c r="G25" s="24" t="str">
        <x:v>Small pelagics (&lt;30 cm)</x:v>
      </x:c>
      <x:c r="H25" s="24" t="str">
        <x:v>Herring-likes</x:v>
      </x:c>
      <x:c r="I25" s="31" t="n">
        <x:v>2461.7933595872</x:v>
      </x:c>
      <x:c r="J25" s="31" t="n">
        <x:v>2461.7933595872</x:v>
      </x:c>
      <x:c r="K25" s="31" t="n">
        <x:v>0</x:v>
      </x:c>
      <x:c r="L25" s="31" t="n">
        <x:v>38.477479680600005</x:v>
      </x:c>
      <x:c r="M25" s="31" t="n">
        <x:v>2423.3158799066</x:v>
      </x:c>
      <x:c r="N25" s="24" t="str">
        <x:v>sardinella aurita</x:v>
      </x:c>
      <x:c r="O25" s="32" t="n">
        <x:v>3.4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Sardinella aurita</x:v>
      </x:c>
      <x:c r="T25" s="32" t="n">
        <x:f>IF(O25="","",(1/'Metadata'!$B$5)^(O25-1))</x:f>
        <x:v>251.18864315095797</x:v>
      </x:c>
      <x:c r="U25" s="31" t="n">
        <x:f>IF(T25="","",I25*T25)</x:f>
        <x:v>618374.5337127472</x:v>
      </x:c>
    </x:row>
    <x:row r="26" ht="18" customHeight="1">
      <x:c r="A26" s="24" t="str">
        <x:v>EEZ_624</x:v>
      </x:c>
      <x:c r="B26" s="24" t="str">
        <x:v>Guinea-Bissau</x:v>
      </x:c>
      <x:c r="C26" s="24" t="str">
        <x:v>EEZ</x:v>
      </x:c>
      <x:c r="D26" s="30" t="n">
        <x:v>2019</x:v>
      </x:c>
      <x:c r="E26" s="24" t="str">
        <x:v>Brotula barbata</x:v>
      </x:c>
      <x:c r="F26" s="24" t="str">
        <x:v>Bearded brotula</x:v>
      </x:c>
      <x:c r="G26" s="24" t="str">
        <x:v>Medium benthopelagics (30 - 89 cm)</x:v>
      </x:c>
      <x:c r="H26" s="24" t="str">
        <x:v>Other fishes &amp; inverts</x:v>
      </x:c>
      <x:c r="I26" s="31" t="n">
        <x:v>2306.0089105408</x:v>
      </x:c>
      <x:c r="J26" s="31" t="n">
        <x:v>2306.0089105408</x:v>
      </x:c>
      <x:c r="K26" s="31" t="n">
        <x:v>0</x:v>
      </x:c>
      <x:c r="L26" s="31" t="n">
        <x:v>0.968083584</x:v>
      </x:c>
      <x:c r="M26" s="31" t="n">
        <x:v>2305.0408269568</x:v>
      </x:c>
      <x:c r="N26" s="24" t="str">
        <x:v>brotula barbata</x:v>
      </x:c>
      <x:c r="O26" s="32" t="n">
        <x:v>3.8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Brotula barbata</x:v>
      </x:c>
      <x:c r="T26" s="32" t="n">
        <x:f>IF(O26="","",(1/'Metadata'!$B$5)^(O26-1))</x:f>
        <x:v>630.957344480193</x:v>
      </x:c>
      <x:c r="U26" s="31" t="n">
        <x:f>IF(T26="","",I26*T26)</x:f>
        <x:v>1454993.2585424862</x:v>
      </x:c>
    </x:row>
    <x:row r="27" ht="18" customHeight="1">
      <x:c r="A27" s="24" t="str">
        <x:v>EEZ_624</x:v>
      </x:c>
      <x:c r="B27" s="24" t="str">
        <x:v>Guinea-Bissau</x:v>
      </x:c>
      <x:c r="C27" s="24" t="str">
        <x:v>EEZ</x:v>
      </x:c>
      <x:c r="D27" s="30" t="n">
        <x:v>2019</x:v>
      </x:c>
      <x:c r="E27" s="24" t="str">
        <x:v>Argyrosomus regius</x:v>
      </x:c>
      <x:c r="F27" s="24" t="str">
        <x:v>Meagre</x:v>
      </x:c>
      <x:c r="G27" s="24" t="str">
        <x:v>Large benthopelagics (&gt;=90 cm)</x:v>
      </x:c>
      <x:c r="H27" s="24" t="str">
        <x:v>Perch-likes</x:v>
      </x:c>
      <x:c r="I27" s="31" t="n">
        <x:v>2290.9736675895</x:v>
      </x:c>
      <x:c r="J27" s="31" t="n">
        <x:v>2290.9736675895</x:v>
      </x:c>
      <x:c r="K27" s="31" t="n">
        <x:v>0</x:v>
      </x:c>
      <x:c r="L27" s="31" t="n">
        <x:v>686.2889792505</x:v>
      </x:c>
      <x:c r="M27" s="31" t="n">
        <x:v>1604.684688339</x:v>
      </x:c>
      <x:c r="N27" s="24" t="str">
        <x:v>argyrosomus regius</x:v>
      </x:c>
      <x:c r="O27" s="32" t="n">
        <x:v>4.29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Argyrosomus regius</x:v>
      </x:c>
      <x:c r="T27" s="32" t="n">
        <x:f>IF(O27="","",(1/'Metadata'!$B$5)^(O27-1))</x:f>
        <x:v>1949.8445997580454</x:v>
      </x:c>
      <x:c r="U27" s="31" t="n">
        <x:f>IF(T27="","",I27*T27)</x:f>
        <x:v>4467042.63393727</x:v>
      </x:c>
    </x:row>
    <x:row r="28" ht="18" customHeight="1">
      <x:c r="A28" s="24" t="str">
        <x:v>EEZ_624</x:v>
      </x:c>
      <x:c r="B28" s="24" t="str">
        <x:v>Guinea-Bissau</x:v>
      </x:c>
      <x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2237.4453001279003</x:v>
      </x:c>
      <x:c r="J28" s="31" t="n">
        <x:v>2237.4453001279003</x:v>
      </x:c>
      <x:c r="K28" s="31" t="n">
        <x:v>0</x:v>
      </x:c>
      <x:c r="L28" s="31" t="n">
        <x:v>0</x:v>
      </x:c>
      <x:c r="M28" s="31" t="n">
        <x:v>2237.4453001279003</x:v>
      </x:c>
      <x:c r="N28" s="24" t="str">
        <x:v>lutjanus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Lutjanus</x:v>
      </x:c>
      <x:c r="T28" s="32" t="n">
        <x:f>IF(O28="","",(1/'Metadata'!$B$5)^(O28-1))</x:f>
        <x:v>1047.1285480508984</x:v>
      </x:c>
      <x:c r="U28" s="31" t="n">
        <x:f>IF(T28="","",I28*T28)</x:f>
        <x:v>2342892.8484662347</x:v>
      </x:c>
    </x:row>
    <x:row r="29" ht="18" customHeight="1">
      <x:c r="A29" s="24" t="str">
        <x:v>EEZ_624</x:v>
      </x:c>
      <x:c r="B29" s="24" t="str">
        <x:v>Guinea-Bissau</x:v>
      </x:c>
      <x:c r="C29" s="24" t="str">
        <x:v>EEZ</x:v>
      </x:c>
      <x:c r="D29" s="30" t="n">
        <x:v>2019</x:v>
      </x:c>
      <x:c r="E29" s="24" t="str">
        <x:v>Diplodus</x:v>
      </x:c>
      <x:c r="F29" s="24" t="str">
        <x:v>Two-toothed seabreams</x:v>
      </x:c>
      <x:c r="G29" s="24" t="str">
        <x:v>Medium benthopelagics (30 - 89 cm)</x:v>
      </x:c>
      <x:c r="H29" s="24" t="str">
        <x:v>Perch-likes</x:v>
      </x:c>
      <x:c r="I29" s="31" t="n">
        <x:v>2228.8911628872</x:v>
      </x:c>
      <x:c r="J29" s="31" t="n">
        <x:v>2228.8911628872</x:v>
      </x:c>
      <x:c r="K29" s="31" t="n">
        <x:v>0</x:v>
      </x:c>
      <x:c r="L29" s="31" t="n">
        <x:v>72.0873246013</x:v>
      </x:c>
      <x:c r="M29" s="31" t="n">
        <x:v>2156.8038382859</x:v>
      </x:c>
      <x:c r="N29" s="24" t="str">
        <x:v>diplodus</x:v>
      </x:c>
      <x:c r="O29" s="32" t="n">
        <x:v>2.97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Diplodus</x:v>
      </x:c>
      <x:c r="T29" s="32" t="n">
        <x:f>IF(O29="","",(1/'Metadata'!$B$5)^(O29-1))</x:f>
        <x:v>93.32543007969915</x:v>
      </x:c>
      <x:c r="U29" s="31" t="n">
        <x:f>IF(T29="","",I29*T29)</x:f>
        <x:v>208012.22637728872</x:v>
      </x:c>
    </x:row>
    <x:row r="30" ht="18" customHeight="1">
      <x:c r="A30" s="24" t="str">
        <x:v>EEZ_624</x:v>
      </x:c>
      <x:c r="B30" s="24" t="str">
        <x:v>Guinea-Bissau</x:v>
      </x:c>
      <x:c r="C30" s="24" t="str">
        <x:v>EEZ</x:v>
      </x:c>
      <x:c r="D30" s="30" t="n">
        <x:v>2019</x:v>
      </x:c>
      <x:c r="E30" s="24" t="str">
        <x:v>Elasmobranchii</x:v>
      </x:c>
      <x:c r="F30" s="24" t="str">
        <x:v>Sharks, rays, skates</x:v>
      </x:c>
      <x:c r="G30" s="24" t="str">
        <x:v>Large sharks (&gt;=90 cm)</x:v>
      </x:c>
      <x:c r="H30" s="24" t="str">
        <x:v>Sharks &amp; rays</x:v>
      </x:c>
      <x:c r="I30" s="31" t="n">
        <x:v>2150.5602244467</x:v>
      </x:c>
      <x:c r="J30" s="31" t="n">
        <x:v>2150.5602244467</x:v>
      </x:c>
      <x:c r="K30" s="31" t="n">
        <x:v>0</x:v>
      </x:c>
      <x:c r="L30" s="31" t="n">
        <x:v>3.5459530761</x:v>
      </x:c>
      <x:c r="M30" s="31" t="n">
        <x:v>2147.0142713706</x:v>
      </x:c>
      <x:c r="N30" s="24" t="str">
        <x:v>elasmobranchii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Elasmobranchii</x:v>
      </x:c>
      <x:c r="T30" s="32" t="n">
        <x:f>IF(O30="","",(1/'Metadata'!$B$5)^(O30-1))</x:f>
        <x:v>1122.018454301963</x:v>
      </x:c>
      <x:c r="U30" s="31" t="n">
        <x:f>IF(T30="","",I30*T30)</x:f>
        <x:v>2412968.258916969</x:v>
      </x:c>
    </x:row>
    <x:row r="31" ht="18" customHeight="1">
      <x:c r="A31" s="24" t="str">
        <x:v>EEZ_624</x:v>
      </x:c>
      <x:c r="B31" s="24" t="str">
        <x:v>Guinea-Bissau</x:v>
      </x:c>
      <x:c r="C31" s="24" t="str">
        <x:v>EEZ</x:v>
      </x:c>
      <x:c r="D31" s="30" t="n">
        <x:v>2019</x:v>
      </x:c>
      <x:c r="E31" s="24" t="str">
        <x:v>Isurus oxyrinchus</x:v>
      </x:c>
      <x:c r="F31" s="24" t="str">
        <x:v>Shortfin mako</x:v>
      </x:c>
      <x:c r="G31" s="24" t="str">
        <x:v>Large sharks (&gt;=90 cm)</x:v>
      </x:c>
      <x:c r="H31" s="24" t="str">
        <x:v>Sharks &amp; rays</x:v>
      </x:c>
      <x:c r="I31" s="31" t="n">
        <x:v>2094.8213133316003</x:v>
      </x:c>
      <x:c r="J31" s="31" t="n">
        <x:v>2094.8213133316003</x:v>
      </x:c>
      <x:c r="K31" s="31" t="n">
        <x:v>0</x:v>
      </x:c>
      <x:c r="L31" s="31" t="n">
        <x:v>41.3514703073</x:v>
      </x:c>
      <x:c r="M31" s="31" t="n">
        <x:v>2053.4698430243</x:v>
      </x:c>
      <x:c r="N31" s="24" t="str">
        <x:v>isurus oxyrinchus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Isurus oxyrinchus</x:v>
      </x:c>
      <x:c r="T31" s="32" t="n">
        <x:f>IF(O31="","",(1/'Metadata'!$B$5)^(O31-1))</x:f>
        <x:v>3162.2776601683795</x:v>
      </x:c>
      <x:c r="U31" s="31" t="n">
        <x:f>IF(T31="","",I31*T31)</x:f>
        <x:v>6624406.641193105</x:v>
      </x:c>
    </x:row>
    <x:row r="32" ht="18" customHeight="1">
      <x:c r="A32" s="24" t="str">
        <x:v>EEZ_624</x:v>
      </x:c>
      <x:c r="B32" s="24" t="str">
        <x:v>Guinea-Bissau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1931.5052311624</x:v>
      </x:c>
      <x:c r="J32" s="31" t="n">
        <x:v>1931.5052311624</x:v>
      </x:c>
      <x:c r="K32" s="31" t="n">
        <x:v>0</x:v>
      </x:c>
      <x:c r="L32" s="31" t="n">
        <x:v>83.5282552464</x:v>
      </x:c>
      <x:c r="M32" s="31" t="n">
        <x:v>1847.976975916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1218697.4115038293</x:v>
      </x:c>
    </x:row>
    <x:row r="33" ht="18" customHeight="1">
      <x:c r="A33" s="24" t="str">
        <x:v>EEZ_624</x:v>
      </x:c>
      <x:c r="B33" s="24" t="str">
        <x:v>Guinea-Bissau</x:v>
      </x:c>
      <x:c r="C33" s="24" t="str">
        <x:v>EEZ</x:v>
      </x:c>
      <x:c r="D33" s="30" t="n">
        <x:v>2019</x:v>
      </x:c>
      <x:c r="E33" s="24" t="str">
        <x:v>Merluccius senegalensis</x:v>
      </x:c>
      <x:c r="F33" s="24" t="str">
        <x:v>Senegalese hake</x:v>
      </x:c>
      <x:c r="G33" s="24" t="str">
        <x:v>Medium demersals (30 - 89 cm)</x:v>
      </x:c>
      <x:c r="H33" s="24" t="str">
        <x:v>Cod-likes</x:v>
      </x:c>
      <x:c r="I33" s="31" t="n">
        <x:v>1870.6626928679</x:v>
      </x:c>
      <x:c r="J33" s="31" t="n">
        <x:v>1870.6626928679</x:v>
      </x:c>
      <x:c r="K33" s="31" t="n">
        <x:v>0</x:v>
      </x:c>
      <x:c r="L33" s="31" t="n">
        <x:v>525.2480426354</x:v>
      </x:c>
      <x:c r="M33" s="31" t="n">
        <x:v>1345.4146502325</x:v>
      </x:c>
      <x:c r="N33" s="24" t="str">
        <x:v>merluccius senegalensis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Merluccius senegalensis</x:v>
      </x:c>
      <x:c r="T33" s="32" t="n">
        <x:f>IF(O33="","",(1/'Metadata'!$B$5)^(O33-1))</x:f>
        <x:v>3162.2776601683795</x:v>
      </x:c>
      <x:c r="U33" s="31" t="n">
        <x:f>IF(T33="","",I33*T33)</x:f>
        <x:v>5915554.843366583</x:v>
      </x:c>
    </x:row>
    <x:row r="34" ht="18" customHeight="1">
      <x:c r="A34" s="24" t="str">
        <x:v>EEZ_624</x:v>
      </x:c>
      <x:c r="B34" s="24" t="str">
        <x:v>Guinea-Bissau</x:v>
      </x:c>
      <x:c r="C34" s="24" t="str">
        <x:v>EEZ</x:v>
      </x:c>
      <x:c r="D34" s="30" t="n">
        <x:v>2019</x:v>
      </x:c>
      <x:c r="E34" s="24" t="str">
        <x:v>Prionace glauca</x:v>
      </x:c>
      <x:c r="F34" s="24" t="str">
        <x:v>Blue shark</x:v>
      </x:c>
      <x:c r="G34" s="24" t="str">
        <x:v>Large sharks (&gt;=90 cm)</x:v>
      </x:c>
      <x:c r="H34" s="24" t="str">
        <x:v>Sharks &amp; rays</x:v>
      </x:c>
      <x:c r="I34" s="31" t="n">
        <x:v>1852.6242470022</x:v>
      </x:c>
      <x:c r="J34" s="31" t="n">
        <x:v>1852.6242470022</x:v>
      </x:c>
      <x:c r="K34" s="31" t="n">
        <x:v>0</x:v>
      </x:c>
      <x:c r="L34" s="31" t="n">
        <x:v>1044.6980877372</x:v>
      </x:c>
      <x:c r="M34" s="31" t="n">
        <x:v>807.926159265</x:v>
      </x:c>
      <x:c r="N34" s="24" t="str">
        <x:v>prionace glauca</x:v>
      </x:c>
      <x:c r="O34" s="32" t="n">
        <x:v>4.35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Prionace glauca</x:v>
      </x:c>
      <x:c r="T34" s="32" t="n">
        <x:f>IF(O34="","",(1/'Metadata'!$B$5)^(O34-1))</x:f>
        <x:v>2238.7211385683377</x:v>
      </x:c>
      <x:c r="U34" s="31" t="n">
        <x:f>IF(T34="","",I34*T34)</x:f>
        <x:v>4147509.0635880744</x:v>
      </x:c>
    </x:row>
    <x:row r="35" ht="18" customHeight="1">
      <x:c r="A35" s="24" t="str">
        <x:v>EEZ_624</x:v>
      </x:c>
      <x:c r="B35" s="24" t="str">
        <x:v>Guinea-Bissau</x:v>
      </x:c>
      <x:c r="C35" s="24" t="str">
        <x:v>EEZ</x:v>
      </x:c>
      <x:c r="D35" s="30" t="n">
        <x:v>2019</x:v>
      </x:c>
      <x:c r="E35" s="24" t="str">
        <x:v>Sphyraena barracuda</x:v>
      </x:c>
      <x:c r="F35" s="24" t="str">
        <x:v>Great barracuda</x:v>
      </x:c>
      <x:c r="G35" s="24" t="str">
        <x:v>Large pelagics (&gt;=90 cm)</x:v>
      </x:c>
      <x:c r="H35" s="24" t="str">
        <x:v>Perch-likes</x:v>
      </x:c>
      <x:c r="I35" s="31" t="n">
        <x:v>1715.1437426862</x:v>
      </x:c>
      <x:c r="J35" s="31" t="n">
        <x:v>1715.1437426862</x:v>
      </x:c>
      <x:c r="K35" s="31" t="n">
        <x:v>0</x:v>
      </x:c>
      <x:c r="L35" s="31" t="n">
        <x:v>0.3888754688</x:v>
      </x:c>
      <x:c r="M35" s="31" t="n">
        <x:v>1714.7548672174</x:v>
      </x:c>
      <x:c r="N35" s="24" t="str">
        <x:v>sphyraena barracuda</x:v>
      </x:c>
      <x:c r="O35" s="32" t="n">
        <x:v>4.49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Sphyraena barracuda</x:v>
      </x:c>
      <x:c r="T35" s="32" t="n">
        <x:f>IF(O35="","",(1/'Metadata'!$B$5)^(O35-1))</x:f>
        <x:v>3090.295432513592</x:v>
      </x:c>
      <x:c r="U35" s="31" t="n">
        <x:f>IF(T35="","",I35*T35)</x:f>
        <x:v>5300300.874127432</x:v>
      </x:c>
    </x:row>
    <x:row r="36" ht="18" customHeight="1">
      <x:c r="A36" s="24" t="str">
        <x:v>EEZ_624</x:v>
      </x:c>
      <x:c r="B36" s="24" t="str">
        <x:v>Guinea-Bissau</x:v>
      </x:c>
      <x:c r="C36" s="24" t="str">
        <x:v>EEZ</x:v>
      </x:c>
      <x:c r="D36" s="30" t="n">
        <x:v>2019</x:v>
      </x:c>
      <x:c r="E36" s="24" t="str">
        <x:v>Mugilidae</x:v>
      </x:c>
      <x:c r="F36" s="24" t="str">
        <x:v>Mullets, grey mullets</x:v>
      </x:c>
      <x:c r="G36" s="24" t="str">
        <x:v>Medium reef assoc. fish (30 - 89 cm)</x:v>
      </x:c>
      <x:c r="H36" s="24" t="str">
        <x:v>Perch-likes</x:v>
      </x:c>
      <x:c r="I36" s="31" t="n">
        <x:v>1630.7664981874</x:v>
      </x:c>
      <x:c r="J36" s="31" t="n">
        <x:v>1617.1737553123</x:v>
      </x:c>
      <x:c r="K36" s="31" t="n">
        <x:v>13.5927428751</x:v>
      </x:c>
      <x:c r="L36" s="31" t="n">
        <x:v>1617.1737553123</x:v>
      </x:c>
      <x:c r="M36" s="31" t="n">
        <x:v>13.5927428751</x:v>
      </x:c>
      <x:c r="N36" s="24" t="str">
        <x:v>mugilidae</x:v>
      </x:c>
      <x:c r="O36" s="32" t="n">
        <x:v>2.53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Mugilidae</x:v>
      </x:c>
      <x:c r="T36" s="32" t="n">
        <x:f>IF(O36="","",(1/'Metadata'!$B$5)^(O36-1))</x:f>
        <x:v>33.88441561392024</x:v>
      </x:c>
      <x:c r="U36" s="31" t="n">
        <x:f>IF(T36="","",I36*T36)</x:f>
        <x:v>55257.56979383917</x:v>
      </x:c>
    </x:row>
    <x:row r="37" ht="18" customHeight="1">
      <x:c r="A37" s="24" t="str">
        <x:v>EEZ_624</x:v>
      </x:c>
      <x:c r="B37" s="24" t="str">
        <x:v>Guinea-Bissau</x:v>
      </x:c>
      <x:c r="C37" s="24" t="str">
        <x:v>EEZ</x:v>
      </x:c>
      <x:c r="D37" s="30" t="n">
        <x:v>2019</x:v>
      </x:c>
      <x:c r="E37" s="24" t="str">
        <x:v>Katsuwonus pelamis</x:v>
      </x:c>
      <x:c r="F37" s="24" t="str">
        <x:v>Skipjack tuna</x:v>
      </x:c>
      <x:c r="G37" s="24" t="str">
        <x:v>Large pelagics (&gt;=90 cm)</x:v>
      </x:c>
      <x:c r="H37" s="24" t="str">
        <x:v>Tuna &amp; billfishes</x:v>
      </x:c>
      <x:c r="I37" s="31" t="n">
        <x:v>1452.1180809820999</x:v>
      </x:c>
      <x:c r="J37" s="31" t="n">
        <x:v>1452.1180809820999</x:v>
      </x:c>
      <x:c r="K37" s="31" t="n">
        <x:v>0</x:v>
      </x:c>
      <x:c r="L37" s="31" t="n">
        <x:v>1452.1180809820999</x:v>
      </x:c>
      <x:c r="M37" s="31" t="n">
        <x:v>0</x:v>
      </x:c>
      <x:c r="N37" s="24" t="str">
        <x:v>katsuwonus pelamis</x:v>
      </x:c>
      <x:c r="O37" s="32" t="n">
        <x:v>4.43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Katsuwonus pelamis</x:v>
      </x:c>
      <x:c r="T37" s="32" t="n">
        <x:f>IF(O37="","",(1/'Metadata'!$B$5)^(O37-1))</x:f>
        <x:v>2691.534803926914</x:v>
      </x:c>
      <x:c r="U37" s="31" t="n">
        <x:f>IF(T37="","",I37*T37)</x:f>
        <x:v>3908426.3543748823</x:v>
      </x:c>
    </x:row>
    <x:row r="38" ht="18" customHeight="1">
      <x:c r="A38" s="24" t="str">
        <x:v>EEZ_624</x:v>
      </x:c>
      <x:c r="B38" s="24" t="str">
        <x:v>Guinea-Bissau</x:v>
      </x:c>
      <x:c r="C38" s="24" t="str">
        <x:v>EEZ</x:v>
      </x:c>
      <x:c r="D38" s="30" t="n">
        <x:v>2019</x:v>
      </x:c>
      <x:c r="E38" s="24" t="str">
        <x:v>Plectorhinchus macrolepis</x:v>
      </x:c>
      <x:c r="F38" s="24" t="str">
        <x:v>Biglip grunt</x:v>
      </x:c>
      <x:c r="G38" s="24" t="str">
        <x:v>Medium benthopelagics (30 - 89 cm)</x:v>
      </x:c>
      <x:c r="H38" s="24" t="str">
        <x:v>Perch-likes</x:v>
      </x:c>
      <x:c r="I38" s="31" t="n">
        <x:v>1381.1583510509</x:v>
      </x:c>
      <x:c r="J38" s="31" t="n">
        <x:v>1381.1583510509</x:v>
      </x:c>
      <x:c r="K38" s="31" t="n">
        <x:v>0</x:v>
      </x:c>
      <x:c r="L38" s="31" t="n">
        <x:v>0</x:v>
      </x:c>
      <x:c r="M38" s="31" t="n">
        <x:v>1381.1583510509</x:v>
      </x:c>
      <x:c r="N38" s="24" t="str">
        <x:v>plectorhinchus macrolepis</x:v>
      </x:c>
      <x:c r="O38" s="32" t="n">
        <x:v>3.69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Plectorhinchus macrolepis</x:v>
      </x:c>
      <x:c r="T38" s="32" t="n">
        <x:f>IF(O38="","",(1/'Metadata'!$B$5)^(O38-1))</x:f>
        <x:v>489.77881936844614</x:v>
      </x:c>
      <x:c r="U38" s="31" t="n">
        <x:f>IF(T38="","",I38*T38)</x:f>
        <x:v>676462.1065385796</x:v>
      </x:c>
    </x:row>
    <x:row r="39" ht="18" customHeight="1">
      <x:c r="A39" s="24" t="str">
        <x:v>EEZ_624</x:v>
      </x:c>
      <x:c r="B39" s="24" t="str">
        <x:v>Guinea-Bissau</x:v>
      </x:c>
      <x:c r="C39" s="24" t="str">
        <x:v>EEZ</x:v>
      </x:c>
      <x:c r="D39" s="30" t="n">
        <x:v>2019</x:v>
      </x:c>
      <x:c r="E39" s="24" t="str">
        <x:v>Balistidae</x:v>
      </x:c>
      <x:c r="F39" s="24" t="str">
        <x:v>Triggerfishes</x:v>
      </x:c>
      <x:c r="G39" s="24" t="str">
        <x:v>Medium reef assoc. fish (30 - 89 cm)</x:v>
      </x:c>
      <x:c r="H39" s="24" t="str">
        <x:v>Other fishes &amp; inverts</x:v>
      </x:c>
      <x:c r="I39" s="31" t="n">
        <x:v>1315.9920140895</x:v>
      </x:c>
      <x:c r="J39" s="31" t="n">
        <x:v>1315.9920140895</x:v>
      </x:c>
      <x:c r="K39" s="31" t="n">
        <x:v>0</x:v>
      </x:c>
      <x:c r="L39" s="31" t="n">
        <x:v>9.8891866793</x:v>
      </x:c>
      <x:c r="M39" s="31" t="n">
        <x:v>1306.1028274102</x:v>
      </x:c>
      <x:c r="N39" s="24" t="str">
        <x:v>balistidae</x:v>
      </x:c>
      <x:c r="O39" s="32" t="n">
        <x:v>3.25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Balistidae</x:v>
      </x:c>
      <x:c r="T39" s="32" t="n">
        <x:f>IF(O39="","",(1/'Metadata'!$B$5)^(O39-1))</x:f>
        <x:v>177.82794100389228</x:v>
      </x:c>
      <x:c r="U39" s="31" t="n">
        <x:f>IF(T39="","",I39*T39)</x:f>
        <x:v>234020.15024310097</x:v>
      </x:c>
    </x:row>
    <x:row r="40" ht="18" customHeight="1">
      <x:c r="A40" s="24" t="str">
        <x:v>EEZ_624</x:v>
      </x:c>
      <x:c r="B40" s="24" t="str">
        <x:v>Guinea-Bissau</x:v>
      </x:c>
      <x:c r="C40" s="24" t="str">
        <x:v>EEZ</x:v>
      </x:c>
      <x:c r="D40" s="30" t="n">
        <x:v>2019</x:v>
      </x:c>
      <x:c r="E40" s="24" t="str">
        <x:v>Ablennes hians</x:v>
      </x:c>
      <x:c r="F40" s="24" t="str">
        <x:v>Flat needlefish</x:v>
      </x:c>
      <x:c r="G40" s="24" t="str">
        <x:v>Large pelagics (&gt;=90 cm)</x:v>
      </x:c>
      <x:c r="H40" s="24" t="str">
        <x:v>Other fishes &amp; inverts</x:v>
      </x:c>
      <x:c r="I40" s="31" t="n">
        <x:v>1305.5645313733</x:v>
      </x:c>
      <x:c r="J40" s="31" t="n">
        <x:v>1305.5645313733</x:v>
      </x:c>
      <x:c r="K40" s="31" t="n">
        <x:v>0</x:v>
      </x:c>
      <x:c r="L40" s="31" t="n">
        <x:v>0</x:v>
      </x:c>
      <x:c r="M40" s="31" t="n">
        <x:v>1305.5645313733</x:v>
      </x:c>
      <x:c r="N40" s="24" t="str">
        <x:v>ablennes hians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Ablennes hians</x:v>
      </x:c>
      <x:c r="T40" s="32" t="n">
        <x:f>IF(O40="","",(1/'Metadata'!$B$5)^(O40-1))</x:f>
        <x:v>3162.2776601683795</x:v>
      </x:c>
      <x:c r="U40" s="31" t="n">
        <x:f>IF(T40="","",I40*T40)</x:f>
        <x:v>4128557.5514699863</x:v>
      </x:c>
    </x:row>
    <x:row r="41" ht="18" customHeight="1">
      <x:c r="A41" s="24" t="str">
        <x:v>EEZ_624</x:v>
      </x:c>
      <x:c r="B41" s="24" t="str">
        <x:v>Guinea-Bissau</x:v>
      </x:c>
      <x:c r="C41" s="24" t="str">
        <x:v>EEZ</x:v>
      </x:c>
      <x:c r="D41" s="30" t="n">
        <x:v>2019</x:v>
      </x:c>
      <x:c r="E41" s="24" t="str">
        <x:v>Muraenidae</x:v>
      </x:c>
      <x:c r="F41" s="24" t="str">
        <x:v>Moray eels</x:v>
      </x:c>
      <x:c r="G41" s="24" t="str">
        <x:v>Large reef assoc. fish (&gt;=90 cm)</x:v>
      </x:c>
      <x:c r="H41" s="24" t="str">
        <x:v>Other fishes &amp; inverts</x:v>
      </x:c>
      <x:c r="I41" s="31" t="n">
        <x:v>1215.4063525479999</x:v>
      </x:c>
      <x:c r="J41" s="31" t="n">
        <x:v>1215.4063525479999</x:v>
      </x:c>
      <x:c r="K41" s="31" t="n">
        <x:v>0</x:v>
      </x:c>
      <x:c r="L41" s="31" t="n">
        <x:v>3.283794972</x:v>
      </x:c>
      <x:c r="M41" s="31" t="n">
        <x:v>1212.122557576</x:v>
      </x:c>
      <x:c r="N41" s="24" t="str">
        <x:v>muraenidae</x:v>
      </x:c>
      <x:c r="O41" s="32" t="n">
        <x:v>4.07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Muraenidae</x:v>
      </x:c>
      <x:c r="T41" s="32" t="n">
        <x:f>IF(O41="","",(1/'Metadata'!$B$5)^(O41-1))</x:f>
        <x:v>1174.8975549395302</x:v>
      </x:c>
      <x:c r="U41" s="31" t="n">
        <x:f>IF(T41="","",I41*T41)</x:f>
        <x:v>1427977.9518666177</x:v>
      </x:c>
    </x:row>
    <x:row r="42" ht="18" customHeight="1">
      <x:c r="A42" s="24" t="str">
        <x:v>EEZ_624</x:v>
      </x:c>
      <x:c r="B42" s="24" t="str">
        <x:v>Guinea-Bissau</x:v>
      </x:c>
      <x:c r="C42" s="24" t="str">
        <x:v>EEZ</x:v>
      </x:c>
      <x:c r="D42" s="30" t="n">
        <x:v>2019</x:v>
      </x:c>
      <x:c r="E42" s="24" t="str">
        <x:v>Epinephelus</x:v>
      </x:c>
      <x:c r="F42" s="24" t="str">
        <x:v>Seabasses, hinds</x:v>
      </x:c>
      <x:c r="G42" s="24" t="str">
        <x:v>Medium reef assoc. fish (30 - 89 cm)</x:v>
      </x:c>
      <x:c r="H42" s="24" t="str">
        <x:v>Perch-likes</x:v>
      </x:c>
      <x:c r="I42" s="31" t="n">
        <x:v>1144.0744816126</x:v>
      </x:c>
      <x:c r="J42" s="31" t="n">
        <x:v>1144.0744816126</x:v>
      </x:c>
      <x:c r="K42" s="31" t="n">
        <x:v>0</x:v>
      </x:c>
      <x:c r="L42" s="31" t="n">
        <x:v>149.7725173981</x:v>
      </x:c>
      <x:c r="M42" s="31" t="n">
        <x:v>994.3019642144999</x:v>
      </x:c>
      <x:c r="N42" s="24" t="str">
        <x:v>epinephelus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Epinephelus</x:v>
      </x:c>
      <x:c r="T42" s="32" t="n">
        <x:f>IF(O42="","",(1/'Metadata'!$B$5)^(O42-1))</x:f>
        <x:v>691.8309709189363</x:v>
      </x:c>
      <x:c r="U42" s="31" t="n">
        <x:f>IF(T42="","",I42*T42)</x:f>
        <x:v>791506.1594176238</x:v>
      </x:c>
    </x:row>
    <x:row r="43" ht="18" customHeight="1">
      <x:c r="A43" s="24" t="str">
        <x:v>EEZ_624</x:v>
      </x:c>
      <x:c r="B43" s="24" t="str">
        <x:v>Guinea-Bissau</x:v>
      </x:c>
      <x:c r="C43" s="24" t="str">
        <x:v>EEZ</x:v>
      </x:c>
      <x:c r="D43" s="30" t="n">
        <x:v>2019</x:v>
      </x:c>
      <x:c r="E43" s="24" t="str">
        <x:v>Raja</x:v>
      </x:c>
      <x:c r="F43" s="24" t="str">
        <x:v>Stingrays, skates</x:v>
      </x:c>
      <x:c r="G43" s="24" t="str">
        <x:v>Small to medium rays (&lt;90 cm)</x:v>
      </x:c>
      <x:c r="H43" s="24" t="str">
        <x:v>Sharks &amp; rays</x:v>
      </x:c>
      <x:c r="I43" s="31" t="n">
        <x:v>1132.6815679208</x:v>
      </x:c>
      <x:c r="J43" s="31" t="n">
        <x:v>1132.6815679208</x:v>
      </x:c>
      <x:c r="K43" s="31" t="n">
        <x:v>0</x:v>
      </x:c>
      <x:c r="L43" s="31" t="n">
        <x:v>1.107930564</x:v>
      </x:c>
      <x:c r="M43" s="31" t="n">
        <x:v>1131.5736373568</x:v>
      </x:c>
      <x:c r="N43" s="24" t="str">
        <x:v>raja</x:v>
      </x:c>
      <x:c r="O43" s="32" t="n">
        <x:v>3.8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Raja</x:v>
      </x:c>
      <x:c r="T43" s="32" t="n">
        <x:f>IF(O43="","",(1/'Metadata'!$B$5)^(O43-1))</x:f>
        <x:v>630.957344480193</x:v>
      </x:c>
      <x:c r="U43" s="31" t="n">
        <x:f>IF(T43="","",I43*T43)</x:f>
        <x:v>714673.7542369694</x:v>
      </x:c>
    </x:row>
    <x:row r="44" ht="18" customHeight="1">
      <x:c r="A44" s="24" t="str">
        <x:v>EEZ_624</x:v>
      </x:c>
      <x:c r="B44" s="24" t="str">
        <x:v>Guinea-Bissau</x:v>
      </x:c>
      <x:c r="C44" s="24" t="str">
        <x:v>EEZ</x:v>
      </x:c>
      <x:c r="D44" s="30" t="n">
        <x:v>2019</x:v>
      </x:c>
      <x:c r="E44" s="24" t="str">
        <x:v>Pagrus</x:v>
      </x:c>
      <x:c r="F44" s="24" t="str">
        <x:v>Subtropical seabreams</x:v>
      </x:c>
      <x:c r="G44" s="24" t="str">
        <x:v>Medium benthopelagics (30 - 89 cm)</x:v>
      </x:c>
      <x:c r="H44" s="24" t="str">
        <x:v>Perch-likes</x:v>
      </x:c>
      <x:c r="I44" s="31" t="n">
        <x:v>943.6790423969</x:v>
      </x:c>
      <x:c r="J44" s="31" t="n">
        <x:v>943.6790423969</x:v>
      </x:c>
      <x:c r="K44" s="31" t="n">
        <x:v>0</x:v>
      </x:c>
      <x:c r="L44" s="31" t="n">
        <x:v>0</x:v>
      </x:c>
      <x:c r="M44" s="31" t="n">
        <x:v>943.6790423969</x:v>
      </x:c>
      <x:c r="N44" s="24" t="str">
        <x:v>pagrus</x:v>
      </x:c>
      <x:c r="O44" s="32" t="n">
        <x:v>3.55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Pagrus</x:v>
      </x:c>
      <x:c r="T44" s="32" t="n">
        <x:f>IF(O44="","",(1/'Metadata'!$B$5)^(O44-1))</x:f>
        <x:v>354.8133892335753</x:v>
      </x:c>
      <x:c r="U44" s="31" t="n">
        <x:f>IF(T44="","",I44*T44)</x:f>
        <x:v>334829.9593815389</x:v>
      </x:c>
    </x:row>
    <x:row r="45" ht="18" customHeight="1">
      <x:c r="A45" s="24" t="str">
        <x:v>EEZ_624</x:v>
      </x:c>
      <x:c r="B45" s="24" t="str">
        <x:v>Guinea-Bissau</x:v>
      </x:c>
      <x:c r="C45" s="24" t="str">
        <x:v>EEZ</x:v>
      </x:c>
      <x:c r="D45" s="30" t="n">
        <x:v>2019</x:v>
      </x:c>
      <x:c r="E45" s="24" t="str">
        <x:v>Penaeidae</x:v>
      </x:c>
      <x:c r="F45" s="24" t="str">
        <x:v>Commercial shrimps and prawns</x:v>
      </x:c>
      <x:c r="G45" s="24" t="str">
        <x:v>Shrimps</x:v>
      </x:c>
      <x:c r="H45" s="24" t="str">
        <x:v>Crustaceans</x:v>
      </x:c>
      <x:c r="I45" s="31" t="n">
        <x:v>916.1901141612</x:v>
      </x:c>
      <x:c r="J45" s="31" t="n">
        <x:v>916.1901141612</x:v>
      </x:c>
      <x:c r="K45" s="31" t="n">
        <x:v>0</x:v>
      </x:c>
      <x:c r="L45" s="31" t="n">
        <x:v>266.776182376</x:v>
      </x:c>
      <x:c r="M45" s="31" t="n">
        <x:v>649.4139317852</x:v>
      </x:c>
      <x:c r="N45" s="24" t="str">
        <x:v>penaeidae</x:v>
      </x:c>
      <x:c r="O45" s="32" t="n">
        <x:v>3.31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Penaeidae</x:v>
      </x:c>
      <x:c r="T45" s="32" t="n">
        <x:f>IF(O45="","",(1/'Metadata'!$B$5)^(O45-1))</x:f>
        <x:v>204.17379446695296</x:v>
      </x:c>
      <x:c r="U45" s="31" t="n">
        <x:f>IF(T45="","",I45*T45)</x:f>
        <x:v>187062.01206140302</x:v>
      </x:c>
    </x:row>
    <x:row r="46" ht="18" customHeight="1">
      <x:c r="A46" s="24" t="str">
        <x:v>EEZ_624</x:v>
      </x:c>
      <x:c r="B46" s="24" t="str">
        <x:v>Guinea-Bissau</x:v>
      </x:c>
      <x:c r="C46" s="24" t="str">
        <x:v>EEZ</x:v>
      </x:c>
      <x:c r="D46" s="30" t="n">
        <x:v>2019</x:v>
      </x:c>
      <x:c r="E46" s="24" t="str">
        <x:v>Auxis</x:v>
      </x:c>
      <x:c r="F46" s="24" t="str">
        <x:v>Bullet and frigate tunas</x:v>
      </x:c>
      <x:c r="G46" s="24" t="str">
        <x:v>Medium pelagics (30 - 89 cm)</x:v>
      </x:c>
      <x:c r="H46" s="24" t="str">
        <x:v>Tuna &amp; billfishes</x:v>
      </x:c>
      <x:c r="I46" s="31" t="n">
        <x:v>880.1917110507</x:v>
      </x:c>
      <x:c r="J46" s="31" t="n">
        <x:v>880.1917110507</x:v>
      </x:c>
      <x:c r="K46" s="31" t="n">
        <x:v>0</x:v>
      </x:c>
      <x:c r="L46" s="31" t="n">
        <x:v>39.1411368245</x:v>
      </x:c>
      <x:c r="M46" s="31" t="n">
        <x:v>841.0505742262</x:v>
      </x:c>
      <x:c r="N46" s="24" t="str">
        <x:v>auxis</x:v>
      </x:c>
      <x:c r="O46" s="32" t="n">
        <x:v>4.24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Auxis</x:v>
      </x:c>
      <x:c r="T46" s="32" t="n">
        <x:f>IF(O46="","",(1/'Metadata'!$B$5)^(O46-1))</x:f>
        <x:v>1737.8008287493763</x:v>
      </x:c>
      <x:c r="U46" s="31" t="n">
        <x:f>IF(T46="","",I46*T46)</x:f>
        <x:v>1529597.8849222378</x:v>
      </x:c>
    </x:row>
    <x:row r="47" ht="18" customHeight="1">
      <x:c r="A47" s="24" t="str">
        <x:v>EEZ_624</x:v>
      </x:c>
      <x:c r="B47" s="24" t="str">
        <x:v>Guinea-Bissau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776.8934760111999</x:v>
      </x:c>
      <x:c r="J47" s="31" t="n">
        <x:v>776.8934760111999</x:v>
      </x:c>
      <x:c r="K47" s="31" t="n">
        <x:v>0</x:v>
      </x:c>
      <x:c r="L47" s="31" t="n">
        <x:v>371.14196552709996</x:v>
      </x:c>
      <x:c r="M47" s="31" t="n">
        <x:v>405.7515104841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109739.12030382968</x:v>
      </x:c>
    </x:row>
    <x:row r="48" ht="18" customHeight="1">
      <x:c r="A48" s="24" t="str">
        <x:v>EEZ_624</x:v>
      </x:c>
      <x:c r="B48" s="24" t="str">
        <x:v>Guinea-Bissau</x:v>
      </x:c>
      <x:c r="C48" s="24" t="str">
        <x:v>EEZ</x:v>
      </x:c>
      <x:c r="D48" s="30" t="n">
        <x:v>2019</x:v>
      </x:c>
      <x:c r="E48" s="24" t="str">
        <x:v>Thunnus albacares</x:v>
      </x:c>
      <x:c r="F48" s="24" t="str">
        <x:v>Yellowfin tuna</x:v>
      </x:c>
      <x:c r="G48" s="24" t="str">
        <x:v>Large pelagics (&gt;=90 cm)</x:v>
      </x:c>
      <x:c r="H48" s="24" t="str">
        <x:v>Tuna &amp; billfishes</x:v>
      </x:c>
      <x:c r="I48" s="31" t="n">
        <x:v>765.3859188063999</x:v>
      </x:c>
      <x:c r="J48" s="31" t="n">
        <x:v>765.3859188063999</x:v>
      </x:c>
      <x:c r="K48" s="31" t="n">
        <x:v>0</x:v>
      </x:c>
      <x:c r="L48" s="31" t="n">
        <x:v>765.3859188063999</x:v>
      </x:c>
      <x:c r="M48" s="31" t="n">
        <x:v>0</x:v>
      </x:c>
      <x:c r="N48" s="24" t="str">
        <x:v>thunnus albacares</x:v>
      </x:c>
      <x:c r="O48" s="32" t="n">
        <x:v>4.41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albacares</x:v>
      </x:c>
      <x:c r="T48" s="32" t="n">
        <x:f>IF(O48="","",(1/'Metadata'!$B$5)^(O48-1))</x:f>
        <x:v>2570.3957827688646</x:v>
      </x:c>
      <x:c r="U48" s="31" t="n">
        <x:f>IF(T48="","",I48*T48)</x:f>
        <x:v>1967344.7378906428</x:v>
      </x:c>
    </x:row>
    <x:row r="49" ht="18" customHeight="1">
      <x:c r="A49" s="24" t="str">
        <x:v>EEZ_624</x:v>
      </x:c>
      <x:c r="B49" s="24" t="str">
        <x:v>Guinea-Bissau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763.0257701674</x:v>
      </x:c>
      <x:c r="J49" s="31" t="n">
        <x:v>763.0257701674</x:v>
      </x:c>
      <x:c r="K49" s="31" t="n">
        <x:v>0</x:v>
      </x:c>
      <x:c r="L49" s="31" t="n">
        <x:v>338.94585728090004</x:v>
      </x:c>
      <x:c r="M49" s="31" t="n">
        <x:v>424.0799128865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439075.5013717643</x:v>
      </x:c>
    </x:row>
    <x:row r="50" ht="18" customHeight="1">
      <x:c r="A50" s="24" t="str">
        <x:v>EEZ_624</x:v>
      </x:c>
      <x:c r="B50" s="24" t="str">
        <x:v>Guinea-Bissau</x:v>
      </x:c>
      <x:c r="C50" s="24" t="str">
        <x:v>EEZ</x:v>
      </x:c>
      <x:c r="D50" s="30" t="n">
        <x:v>2019</x:v>
      </x:c>
      <x:c r="E50" s="24" t="str">
        <x:v>Pomadasys jubelini</x:v>
      </x:c>
      <x:c r="F50" s="24" t="str">
        <x:v>Sompat grunt</x:v>
      </x:c>
      <x:c r="G50" s="24" t="str">
        <x:v>Medium demersals (30 - 89 cm)</x:v>
      </x:c>
      <x:c r="H50" s="24" t="str">
        <x:v>Perch-likes</x:v>
      </x:c>
      <x:c r="I50" s="31" t="n">
        <x:v>746.7181307345</x:v>
      </x:c>
      <x:c r="J50" s="31" t="n">
        <x:v>746.7181307345</x:v>
      </x:c>
      <x:c r="K50" s="31" t="n">
        <x:v>0</x:v>
      </x:c>
      <x:c r="L50" s="31" t="n">
        <x:v>370.0775242367</x:v>
      </x:c>
      <x:c r="M50" s="31" t="n">
        <x:v>376.64060649780004</x:v>
      </x:c>
      <x:c r="N50" s="24" t="str">
        <x:v>pomadasys jubelini</x:v>
      </x:c>
      <x:c r="O50" s="32" t="n">
        <x:v>3.33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Pomadasys jubelini</x:v>
      </x:c>
      <x:c r="T50" s="32" t="n">
        <x:f>IF(O50="","",(1/'Metadata'!$B$5)^(O50-1))</x:f>
        <x:v>213.79620895022325</x:v>
      </x:c>
      <x:c r="U50" s="31" t="n">
        <x:f>IF(T50="","",I50*T50)</x:f>
        <x:v>159645.50550543328</x:v>
      </x:c>
    </x:row>
    <x:row r="51" ht="18" customHeight="1">
      <x:c r="A51" s="24" t="str">
        <x:v>EEZ_624</x:v>
      </x:c>
      <x:c r="B51" s="24" t="str">
        <x:v>Guinea-Bissau</x:v>
      </x:c>
      <x:c r="C51" s="24" t="str">
        <x:v>EEZ</x:v>
      </x:c>
      <x:c r="D51" s="30" t="n">
        <x:v>2019</x:v>
      </x:c>
      <x:c r="E51" s="24" t="str">
        <x:v>Octopus vulgaris</x:v>
      </x:c>
      <x:c r="F51" s="24" t="str">
        <x:v>Common octopus</x:v>
      </x:c>
      <x:c r="G51" s="24" t="str">
        <x:v>Cephalopods</x:v>
      </x:c>
      <x:c r="H51" s="24" t="str">
        <x:v>Other fishes &amp; inverts</x:v>
      </x:c>
      <x:c r="I51" s="31" t="n">
        <x:v>640.5979328236999</x:v>
      </x:c>
      <x:c r="J51" s="31" t="n">
        <x:v>640.5979328236999</x:v>
      </x:c>
      <x:c r="K51" s="31" t="n">
        <x:v>0</x:v>
      </x:c>
      <x:c r="L51" s="31" t="n">
        <x:v>639.6840147764</x:v>
      </x:c>
      <x:c r="M51" s="31" t="n">
        <x:v>0.9139180473</x:v>
      </x:c>
      <x:c r="N51" s="24" t="str">
        <x:v>octopus vulgaris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Octopus vulgaris</x:v>
      </x:c>
      <x:c r="T51" s="32" t="n">
        <x:f>IF(O51="","",(1/'Metadata'!$B$5)^(O51-1))</x:f>
        <x:v>398.1071705534973</x:v>
      </x:c>
      <x:c r="U51" s="31" t="n">
        <x:f>IF(T51="","",I51*T51)</x:f>
        <x:v>255026.63049886253</x:v>
      </x:c>
    </x:row>
    <x:row r="52" ht="18" customHeight="1">
      <x:c r="A52" s="24" t="str">
        <x:v>EEZ_624</x:v>
      </x:c>
      <x:c r="B52" s="24" t="str">
        <x:v>Guinea-Bissau</x:v>
      </x:c>
      <x:c r="C52" s="24" t="str">
        <x:v>EEZ</x:v>
      </x:c>
      <x:c r="D52" s="30" t="n">
        <x:v>2019</x:v>
      </x:c>
      <x:c r="E52" s="24" t="str">
        <x:v>Pomadasys</x:v>
      </x:c>
      <x:c r="F52" s="24" t="str">
        <x:v>Grunters</x:v>
      </x:c>
      <x:c r="G52" s="24" t="str">
        <x:v>Medium demersals (30 - 89 cm)</x:v>
      </x:c>
      <x:c r="H52" s="24" t="str">
        <x:v>Perch-likes</x:v>
      </x:c>
      <x:c r="I52" s="31" t="n">
        <x:v>606.2488212456</x:v>
      </x:c>
      <x:c r="J52" s="31" t="n">
        <x:v>606.2488212456</x:v>
      </x:c>
      <x:c r="K52" s="31" t="n">
        <x:v>0</x:v>
      </x:c>
      <x:c r="L52" s="31" t="n">
        <x:v>0.028540199999999998</x:v>
      </x:c>
      <x:c r="M52" s="31" t="n">
        <x:v>606.2202810456</x:v>
      </x:c>
      <x:c r="N52" s="24" t="str">
        <x:v>pomadasys</x:v>
      </x:c>
      <x:c r="O52" s="32" t="n">
        <x:v>3.59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Pomadasys</x:v>
      </x:c>
      <x:c r="T52" s="32" t="n">
        <x:f>IF(O52="","",(1/'Metadata'!$B$5)^(O52-1))</x:f>
        <x:v>389.04514499428046</x:v>
      </x:c>
      <x:c r="U52" s="31" t="n">
        <x:f>IF(T52="","",I52*T52)</x:f>
        <x:v>235858.16056410605</x:v>
      </x:c>
    </x:row>
    <x:row r="53" ht="18" customHeight="1">
      <x:c r="A53" s="24" t="str">
        <x:v>EEZ_624</x:v>
      </x:c>
      <x:c r="B53" s="24" t="str">
        <x:v>Guinea-Bissau</x:v>
      </x:c>
      <x:c r="C53" s="24" t="str">
        <x:v>EEZ</x:v>
      </x:c>
      <x:c r="D53" s="30" t="n">
        <x:v>2019</x:v>
      </x:c>
      <x:c r="E53" s="24" t="str">
        <x:v>Scorpaena</x:v>
      </x:c>
      <x:c r="F53" s="24" t="str">
        <x:v>Scorpionfishes</x:v>
      </x:c>
      <x:c r="G53" s="24" t="str">
        <x:v>Large reef assoc. fish (&gt;=90 cm)</x:v>
      </x:c>
      <x:c r="H53" s="24" t="str">
        <x:v>Scorpionfishes</x:v>
      </x:c>
      <x:c r="I53" s="31" t="n">
        <x:v>585.9896508379</x:v>
      </x:c>
      <x:c r="J53" s="31" t="n">
        <x:v>585.9896508379</x:v>
      </x:c>
      <x:c r="K53" s="31" t="n">
        <x:v>0</x:v>
      </x:c>
      <x:c r="L53" s="31" t="n">
        <x:v>2.4984091081</x:v>
      </x:c>
      <x:c r="M53" s="31" t="n">
        <x:v>583.4912417298</x:v>
      </x:c>
      <x:c r="N53" s="24" t="str">
        <x:v>scorpaena</x:v>
      </x:c>
      <x:c r="O53" s="32" t="n">
        <x:v>3.87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Scorpaena</x:v>
      </x:c>
      <x:c r="T53" s="32" t="n">
        <x:f>IF(O53="","",(1/'Metadata'!$B$5)^(O53-1))</x:f>
        <x:v>741.3102413009177</x:v>
      </x:c>
      <x:c r="U53" s="31" t="n">
        <x:f>IF(T53="","",I53*T53)</x:f>
        <x:v>434400.1294624841</x:v>
      </x:c>
    </x:row>
    <x:row r="54" ht="18" customHeight="1">
      <x:c r="A54" s="24" t="str">
        <x:v>EEZ_624</x:v>
      </x:c>
      <x:c r="B54" s="24" t="str">
        <x:v>Guinea-Bissau</x:v>
      </x:c>
      <x:c r="C54" s="24" t="str">
        <x:v>EEZ</x:v>
      </x:c>
      <x:c r="D54" s="30" t="n">
        <x:v>2019</x:v>
      </x:c>
      <x:c r="E54" s="24" t="str">
        <x:v>Mugil</x:v>
      </x:c>
      <x:c r="F54" s="24" t="str">
        <x:v>Grey mullets</x:v>
      </x:c>
      <x:c r="G54" s="24" t="str">
        <x:v>Medium demersals (30 - 89 cm)</x:v>
      </x:c>
      <x:c r="H54" s="24" t="str">
        <x:v>Perch-likes</x:v>
      </x:c>
      <x:c r="I54" s="31" t="n">
        <x:v>582.8267662283</x:v>
      </x:c>
      <x:c r="J54" s="31" t="n">
        <x:v>582.8267662283</x:v>
      </x:c>
      <x:c r="K54" s="31" t="n">
        <x:v>0</x:v>
      </x:c>
      <x:c r="L54" s="31" t="n">
        <x:v>0</x:v>
      </x:c>
      <x:c r="M54" s="31" t="n">
        <x:v>582.8267662283</x:v>
      </x:c>
      <x:c r="N54" s="24" t="str">
        <x:v>mugil</x:v>
      </x:c>
      <x:c r="O54" s="32" t="n">
        <x:v>2.26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Mugil</x:v>
      </x:c>
      <x:c r="T54" s="32" t="n">
        <x:f>IF(O54="","",(1/'Metadata'!$B$5)^(O54-1))</x:f>
        <x:v>18.197008586099827</x:v>
      </x:c>
      <x:c r="U54" s="31" t="n">
        <x:f>IF(T54="","",I54*T54)</x:f>
        <x:v>10605.703669265173</x:v>
      </x:c>
    </x:row>
    <x:row r="55" ht="18" customHeight="1">
      <x:c r="A55" s="24" t="str">
        <x:v>EEZ_624</x:v>
      </x:c>
      <x:c r="B55" s="24" t="str">
        <x:v>Guinea-Bissau</x:v>
      </x:c>
      <x:c r="C55" s="24" t="str">
        <x:v>EEZ</x:v>
      </x:c>
      <x:c r="D55" s="30" t="n">
        <x:v>2019</x:v>
      </x:c>
      <x:c r="E55" s="24" t="str">
        <x:v>Scomber colias</x:v>
      </x:c>
      <x:c r="F55" s="24" t="str">
        <x:v>Atlantic chub mackerel</x:v>
      </x:c>
      <x:c r="G55" s="24" t="str">
        <x:v>Medium pelagics (30 - 89 cm)</x:v>
      </x:c>
      <x:c r="H55" s="24" t="str">
        <x:v>Perch-likes</x:v>
      </x:c>
      <x:c r="I55" s="31" t="n">
        <x:v>580.3891546021</x:v>
      </x:c>
      <x:c r="J55" s="31" t="n">
        <x:v>580.3891546021</x:v>
      </x:c>
      <x:c r="K55" s="31" t="n">
        <x:v>0</x:v>
      </x:c>
      <x:c r="L55" s="31" t="n">
        <x:v>580.3891546021</x:v>
      </x:c>
      <x:c r="M55" s="31" t="n">
        <x:v>0</x:v>
      </x:c>
      <x:c r="N55" s="24" t="str">
        <x:v>scomber colias</x:v>
      </x:c>
      <x:c r="O55" s="32" t="n">
        <x:v>3.91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Scomber colias</x:v>
      </x:c>
      <x:c r="T55" s="32" t="n">
        <x:f>IF(O55="","",(1/'Metadata'!$B$5)^(O55-1))</x:f>
        <x:v>812.8305161640995</x:v>
      </x:c>
      <x:c r="U55" s="31" t="n">
        <x:f>IF(T55="","",I55*T55)</x:f>
        <x:v>471758.01611127035</x:v>
      </x:c>
    </x:row>
    <x:row r="56" ht="18" customHeight="1">
      <x:c r="A56" s="24" t="str">
        <x:v>EEZ_624</x:v>
      </x:c>
      <x:c r="B56" s="24" t="str">
        <x:v>Guinea-Bissau</x:v>
      </x:c>
      <x:c r="C56" s="24" t="str">
        <x:v>EEZ</x:v>
      </x:c>
      <x:c r="D56" s="30" t="n">
        <x:v>2019</x:v>
      </x:c>
      <x:c r="E56" s="24" t="str">
        <x:v>Cymbium</x:v>
      </x:c>
      <x:c r="F56" s="24" t="str">
        <x:v>Volutes</x:v>
      </x:c>
      <x:c r="G56" s="24" t="str">
        <x:v>Other demersal invertebrates</x:v>
      </x:c>
      <x:c r="H56" s="24" t="str">
        <x:v>Molluscs</x:v>
      </x:c>
      <x:c r="I56" s="31" t="n">
        <x:v>573.5961839107</x:v>
      </x:c>
      <x:c r="J56" s="31" t="n">
        <x:v>573.5961839107</x:v>
      </x:c>
      <x:c r="K56" s="31" t="n">
        <x:v>0</x:v>
      </x:c>
      <x:c r="L56" s="31" t="n">
        <x:v>450.2172474737</x:v>
      </x:c>
      <x:c r="M56" s="31" t="n">
        <x:v>123.378936437</x:v>
      </x:c>
      <x:c r="N56" s="24" t="str">
        <x:v>cymbium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Cymbium</x:v>
      </x:c>
      <x:c r="T56" s="32" t="n">
        <x:f>IF(O56="","",(1/'Metadata'!$B$5)^(O56-1))</x:f>
        <x:v>10</x:v>
      </x:c>
      <x:c r="U56" s="31" t="n">
        <x:f>IF(T56="","",I56*T56)</x:f>
        <x:v>5735.961839107</x:v>
      </x:c>
    </x:row>
    <x:row r="57" ht="18" customHeight="1">
      <x:c r="A57" s="24" t="str">
        <x:v>EEZ_624</x:v>
      </x:c>
      <x:c r="B57" s="24" t="str">
        <x:v>Guinea-Bissau</x:v>
      </x:c>
      <x:c r="C57" s="24" t="str">
        <x:v>EEZ</x:v>
      </x:c>
      <x:c r="D57" s="30" t="n">
        <x:v>2019</x:v>
      </x:c>
      <x:c r="E57" s="24" t="str">
        <x:v>Pseudupeneus prayensis</x:v>
      </x:c>
      <x:c r="F57" s="24" t="str">
        <x:v>West African goatfish</x:v>
      </x:c>
      <x:c r="G57" s="24" t="str">
        <x:v>Medium demersals (30 - 89 cm)</x:v>
      </x:c>
      <x:c r="H57" s="24" t="str">
        <x:v>Perch-likes</x:v>
      </x:c>
      <x:c r="I57" s="31" t="n">
        <x:v>469.62535164770003</x:v>
      </x:c>
      <x:c r="J57" s="31" t="n">
        <x:v>469.62535164770003</x:v>
      </x:c>
      <x:c r="K57" s="31" t="n">
        <x:v>0</x:v>
      </x:c>
      <x:c r="L57" s="31" t="n">
        <x:v>33.0769797183</x:v>
      </x:c>
      <x:c r="M57" s="31" t="n">
        <x:v>436.5483719294</x:v>
      </x:c>
      <x:c r="N57" s="24" t="str">
        <x:v>pseudupeneus prayensis</x:v>
      </x:c>
      <x:c r="O57" s="32" t="n">
        <x:v>3.24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Pseudupeneus prayensis</x:v>
      </x:c>
      <x:c r="T57" s="32" t="n">
        <x:f>IF(O57="","",(1/'Metadata'!$B$5)^(O57-1))</x:f>
        <x:v>173.78008287493762</x:v>
      </x:c>
      <x:c r="U57" s="31" t="n">
        <x:f>IF(T57="","",I57*T57)</x:f>
        <x:v>81611.53252950903</x:v>
      </x:c>
    </x:row>
    <x:row r="58" ht="18" customHeight="1">
      <x:c r="A58" s="24" t="str">
        <x:v>EEZ_624</x:v>
      </x:c>
      <x:c r="B58" s="24" t="str">
        <x:v>Guinea-Bissau</x:v>
      </x:c>
      <x:c r="C58" s="24" t="str">
        <x:v>EEZ</x:v>
      </x:c>
      <x:c r="D58" s="30" t="n">
        <x:v>2019</x:v>
      </x:c>
      <x:c r="E58" s="24" t="str">
        <x:v>Trachinotus</x:v>
      </x:c>
      <x:c r="F58" s="24" t="str">
        <x:v>Pompanos</x:v>
      </x:c>
      <x:c r="G58" s="24" t="str">
        <x:v>Medium pelagics (30 - 89 cm)</x:v>
      </x:c>
      <x:c r="H58" s="24" t="str">
        <x:v>Perch-likes</x:v>
      </x:c>
      <x:c r="I58" s="31" t="n">
        <x:v>436.4990890223</x:v>
      </x:c>
      <x:c r="J58" s="31" t="n">
        <x:v>436.4990890223</x:v>
      </x:c>
      <x:c r="K58" s="31" t="n">
        <x:v>0</x:v>
      </x:c>
      <x:c r="L58" s="31" t="n">
        <x:v>0.1182000038</x:v>
      </x:c>
      <x:c r="M58" s="31" t="n">
        <x:v>436.3808890185</x:v>
      </x:c>
      <x:c r="N58" s="24" t="str">
        <x:v>trachinotus</x:v>
      </x:c>
      <x:c r="O58" s="32" t="n">
        <x:v>3.69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Trachinotus</x:v>
      </x:c>
      <x:c r="T58" s="32" t="n">
        <x:f>IF(O58="","",(1/'Metadata'!$B$5)^(O58-1))</x:f>
        <x:v>489.77881936844614</x:v>
      </x:c>
      <x:c r="U58" s="31" t="n">
        <x:f>IF(T58="","",I58*T58)</x:f>
        <x:v>213788.00847674435</x:v>
      </x:c>
    </x:row>
    <x:row r="59" ht="18" customHeight="1">
      <x:c r="A59" s="24" t="str">
        <x:v>EEZ_624</x:v>
      </x:c>
      <x:c r="B59" s="24" t="str">
        <x:v>Guinea-Bissau</x:v>
      </x:c>
      <x:c r="C59" s="24" t="str">
        <x:v>EEZ</x:v>
      </x:c>
      <x:c r="D59" s="30" t="n">
        <x:v>2019</x:v>
      </x:c>
      <x:c r="E59" s="24" t="str">
        <x:v>Caranx</x:v>
      </x:c>
      <x:c r="F59" s="24" t="str">
        <x:v>Jacks</x:v>
      </x:c>
      <x:c r="G59" s="24" t="str">
        <x:v>Medium reef assoc. fish (30 - 89 cm)</x:v>
      </x:c>
      <x:c r="H59" s="24" t="str">
        <x:v>Perch-likes</x:v>
      </x:c>
      <x:c r="I59" s="31" t="n">
        <x:v>409.767118968</x:v>
      </x:c>
      <x:c r="J59" s="31" t="n">
        <x:v>409.767118968</x:v>
      </x:c>
      <x:c r="K59" s="31" t="n">
        <x:v>0</x:v>
      </x:c>
      <x:c r="L59" s="31" t="n">
        <x:v>279.88431028139996</x:v>
      </x:c>
      <x:c r="M59" s="31" t="n">
        <x:v>129.88280868660001</x:v>
      </x:c>
      <x:c r="N59" s="24" t="str">
        <x:v>caranx</x:v>
      </x:c>
      <x:c r="O59" s="32" t="n">
        <x:v>4.12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Caranx</x:v>
      </x:c>
      <x:c r="T59" s="32" t="n">
        <x:f>IF(O59="","",(1/'Metadata'!$B$5)^(O59-1))</x:f>
        <x:v>1318.2567385564075</x:v>
      </x:c>
      <x:c r="U59" s="31" t="n">
        <x:f>IF(T59="","",I59*T59)</x:f>
        <x:v>540178.2658184111</x:v>
      </x:c>
    </x:row>
    <x:row r="60" ht="18" customHeight="1">
      <x:c r="A60" s="24" t="str">
        <x:v>EEZ_624</x:v>
      </x:c>
      <x:c r="B60" s="24" t="str">
        <x:v>Guinea-Bissau</x:v>
      </x:c>
      <x:c r="C60" s="24" t="str">
        <x:v>EEZ</x:v>
      </x:c>
      <x:c r="D60" s="30" t="n">
        <x:v>2019</x:v>
      </x:c>
      <x:c r="E60" s="24" t="str">
        <x:v>Polydactylus quadrifilis</x:v>
      </x:c>
      <x:c r="F60" s="24" t="str">
        <x:v>Giant African threadfin</x:v>
      </x:c>
      <x:c r="G60" s="24" t="str">
        <x:v>Large demersals (&gt;=90 cm)</x:v>
      </x:c>
      <x:c r="H60" s="24" t="str">
        <x:v>Perch-likes</x:v>
      </x:c>
      <x:c r="I60" s="31" t="n">
        <x:v>408.7810644213</x:v>
      </x:c>
      <x:c r="J60" s="31" t="n">
        <x:v>408.7810644213</x:v>
      </x:c>
      <x:c r="K60" s="31" t="n">
        <x:v>0</x:v>
      </x:c>
      <x:c r="L60" s="31" t="n">
        <x:v>19.7499510074</x:v>
      </x:c>
      <x:c r="M60" s="31" t="n">
        <x:v>389.0311134139</x:v>
      </x:c>
      <x:c r="N60" s="24" t="str">
        <x:v>polydactylus quadrifilis</x:v>
      </x:c>
      <x:c r="O60" s="32" t="n">
        <x:v>4.01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Polydactylus quadrifilis</x:v>
      </x:c>
      <x:c r="T60" s="32" t="n">
        <x:f>IF(O60="","",(1/'Metadata'!$B$5)^(O60-1))</x:f>
        <x:v>1023.2929922807537</x:v>
      </x:c>
      <x:c r="U60" s="31" t="n">
        <x:f>IF(T60="","",I60*T60)</x:f>
        <x:v>418302.7985993836</x:v>
      </x:c>
    </x:row>
    <x:row r="61" ht="18" customHeight="1">
      <x:c r="A61" s="24" t="str">
        <x:v>EEZ_624</x:v>
      </x:c>
      <x:c r="B61" s="24" t="str">
        <x:v>Guinea-Bissau</x:v>
      </x:c>
      <x:c r="C61" s="24" t="str">
        <x:v>EEZ</x:v>
      </x:c>
      <x:c r="D61" s="30" t="n">
        <x:v>2019</x:v>
      </x:c>
      <x:c r="E61" s="24" t="str">
        <x:v>Cephalopoda</x:v>
      </x:c>
      <x:c r="F61" s="24" t="str">
        <x:v>Squids, cuttlefishes, octopuses</x:v>
      </x:c>
      <x:c r="G61" s="24" t="str">
        <x:v>Cephalopods</x:v>
      </x:c>
      <x:c r="H61" s="24" t="str">
        <x:v>Other fishes &amp; inverts</x:v>
      </x:c>
      <x:c r="I61" s="31" t="n">
        <x:v>390.6722079316</x:v>
      </x:c>
      <x:c r="J61" s="31" t="n">
        <x:v>9.180050268899999</x:v>
      </x:c>
      <x:c r="K61" s="31" t="n">
        <x:v>381.4921576627</x:v>
      </x:c>
      <x:c r="L61" s="31" t="n">
        <x:v>9.180050268899999</x:v>
      </x:c>
      <x:c r="M61" s="31" t="n">
        <x:v>381.4921576627</x:v>
      </x:c>
      <x:c r="N61" s="24" t="str">
        <x:v>cephalopoda</x:v>
      </x:c>
      <x:c r="O61" s="32" t="n">
        <x:v>3.81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Cephalopoda</x:v>
      </x:c>
      <x:c r="T61" s="32" t="n">
        <x:f>IF(O61="","",(1/'Metadata'!$B$5)^(O61-1))</x:f>
        <x:v>645.6542290346556</x:v>
      </x:c>
      <x:c r="U61" s="31" t="n">
        <x:f>IF(T61="","",I61*T61)</x:f>
        <x:v>252239.16321734386</x:v>
      </x:c>
    </x:row>
    <x:row r="62" ht="18" customHeight="1">
      <x:c r="A62" s="24" t="str">
        <x:v>EEZ_624</x:v>
      </x:c>
      <x:c r="B62" s="24" t="str">
        <x:v>Guinea-Bissau</x:v>
      </x:c>
      <x:c r="C62" s="24" t="str">
        <x:v>EEZ</x:v>
      </x:c>
      <x:c r="D62" s="30" t="n">
        <x:v>2019</x:v>
      </x:c>
      <x:c r="E62" s="24" t="str">
        <x:v>Lethrinus atlanticus</x:v>
      </x:c>
      <x:c r="F62" s="24" t="str">
        <x:v>Atlantic emperor</x:v>
      </x:c>
      <x:c r="G62" s="24" t="str">
        <x:v>Medium reef assoc. fish (30 - 89 cm)</x:v>
      </x:c>
      <x:c r="H62" s="24" t="str">
        <x:v>Perch-likes</x:v>
      </x:c>
      <x:c r="I62" s="31" t="n">
        <x:v>386.6206876009</x:v>
      </x:c>
      <x:c r="J62" s="31" t="n">
        <x:v>386.6206876009</x:v>
      </x:c>
      <x:c r="K62" s="31" t="n">
        <x:v>0</x:v>
      </x:c>
      <x:c r="L62" s="31" t="n">
        <x:v>0</x:v>
      </x:c>
      <x:c r="M62" s="31" t="n">
        <x:v>386.6206876009</x:v>
      </x:c>
      <x:c r="N62" s="24" t="str">
        <x:v>lethrinus atlanticus</x:v>
      </x:c>
      <x:c r="O62" s="32" t="n">
        <x:v>3.54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Lethrinus atlanticus</x:v>
      </x:c>
      <x:c r="T62" s="32" t="n">
        <x:f>IF(O62="","",(1/'Metadata'!$B$5)^(O62-1))</x:f>
        <x:v>346.73685045253166</x:v>
      </x:c>
      <x:c r="U62" s="31" t="n">
        <x:f>IF(T62="","",I62*T62)</x:f>
        <x:v>134055.63953852822</x:v>
      </x:c>
    </x:row>
    <x:row r="63" ht="18" customHeight="1">
      <x:c r="A63" s="24" t="str">
        <x:v>EEZ_624</x:v>
      </x:c>
      <x:c r="B63" s="24" t="str">
        <x:v>Guinea-Bissau</x:v>
      </x:c>
      <x:c r="C63" s="24" t="str">
        <x:v>EEZ</x:v>
      </x:c>
      <x:c r="D63" s="30" t="n">
        <x:v>2019</x:v>
      </x:c>
      <x:c r="E63" s="24" t="str">
        <x:v>Loligo</x:v>
      </x:c>
      <x:c r="F63" s="24" t="str">
        <x:v>Common squids</x:v>
      </x:c>
      <x:c r="G63" s="24" t="str">
        <x:v>Cephalopods</x:v>
      </x:c>
      <x:c r="H63" s="24" t="str">
        <x:v>Other fishes &amp; inverts</x:v>
      </x:c>
      <x:c r="I63" s="31" t="n">
        <x:v>373.91519432269996</x:v>
      </x:c>
      <x:c r="J63" s="31" t="n">
        <x:v>373.91519432269996</x:v>
      </x:c>
      <x:c r="K63" s="31" t="n">
        <x:v>0</x:v>
      </x:c>
      <x:c r="L63" s="31" t="n">
        <x:v>1.548634844</x:v>
      </x:c>
      <x:c r="M63" s="31" t="n">
        <x:v>372.36655947869997</x:v>
      </x:c>
      <x:c r="N63" s="24" t="str">
        <x:v>loligo</x:v>
      </x:c>
      <x:c r="O63" s="32" t="n">
        <x:v>3.99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Loligo</x:v>
      </x:c>
      <x:c r="T63" s="32" t="n">
        <x:f>IF(O63="","",(1/'Metadata'!$B$5)^(O63-1))</x:f>
        <x:v>977.2372209558112</x:v>
      </x:c>
      <x:c r="U63" s="31" t="n">
        <x:f>IF(T63="","",I63*T63)</x:f>
        <x:v>365403.8453730674</x:v>
      </x:c>
    </x:row>
    <x:row r="64" ht="18" customHeight="1">
      <x:c r="A64" s="24" t="str">
        <x:v>EEZ_624</x:v>
      </x:c>
      <x:c r="B64" s="24" t="str">
        <x:v>Guinea-Bissau</x:v>
      </x:c>
      <x:c r="C64" s="24" t="str">
        <x:v>EEZ</x:v>
      </x:c>
      <x:c r="D64" s="30" t="n">
        <x:v>2019</x:v>
      </x:c>
      <x:c r="E64" s="24" t="str">
        <x:v>Gadiformes</x:v>
      </x:c>
      <x:c r="F64" s="24" t="str">
        <x:v>Cods</x:v>
      </x:c>
      <x:c r="G64" s="24" t="str">
        <x:v>Medium benthopelagics (30 - 89 cm)</x:v>
      </x:c>
      <x:c r="H64" s="24" t="str">
        <x:v>Cod-likes</x:v>
      </x:c>
      <x:c r="I64" s="31" t="n">
        <x:v>336.5923321447</x:v>
      </x:c>
      <x:c r="J64" s="31" t="n">
        <x:v>317.4319429657</x:v>
      </x:c>
      <x:c r="K64" s="31" t="n">
        <x:v>19.160389179</x:v>
      </x:c>
      <x:c r="L64" s="31" t="n">
        <x:v>317.4319429657</x:v>
      </x:c>
      <x:c r="M64" s="31" t="n">
        <x:v>19.160389179</x:v>
      </x:c>
      <x:c r="N64" s="24" t="str">
        <x:v>gadiformes</x:v>
      </x:c>
      <x:c r="O64" s="32" t="n">
        <x:v>3.91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Gadiformes</x:v>
      </x:c>
      <x:c r="T64" s="32" t="n">
        <x:f>IF(O64="","",(1/'Metadata'!$B$5)^(O64-1))</x:f>
        <x:v>812.8305161640995</x:v>
      </x:c>
      <x:c r="U64" s="31" t="n">
        <x:f>IF(T64="","",I64*T64)</x:f>
        <x:v>273592.5190740545</x:v>
      </x:c>
    </x:row>
    <x:row r="65" ht="18" customHeight="1">
      <x:c r="A65" s="24" t="str">
        <x:v>EEZ_624</x:v>
      </x:c>
      <x:c r="B65" s="24" t="str">
        <x:v>Guinea-Bissau</x:v>
      </x:c>
      <x:c r="C65" s="24" t="str">
        <x:v>EEZ</x:v>
      </x:c>
      <x:c r="D65" s="30" t="n">
        <x:v>2019</x:v>
      </x:c>
      <x:c r="E65" s="24" t="str">
        <x:v>Triglidae</x:v>
      </x:c>
      <x:c r="F65" s="24" t="str">
        <x:v>Searobins, gurnards</x:v>
      </x:c>
      <x:c r="G65" s="24" t="str">
        <x:v>Medium demersals (30 - 89 cm)</x:v>
      </x:c>
      <x:c r="H65" s="24" t="str">
        <x:v>Scorpionfishes</x:v>
      </x:c>
      <x:c r="I65" s="31" t="n">
        <x:v>330.256752514</x:v>
      </x:c>
      <x:c r="J65" s="31" t="n">
        <x:v>330.256752514</x:v>
      </x:c>
      <x:c r="K65" s="31" t="n">
        <x:v>0</x:v>
      </x:c>
      <x:c r="L65" s="31" t="n">
        <x:v>0</x:v>
      </x:c>
      <x:c r="M65" s="31" t="n">
        <x:v>330.256752514</x:v>
      </x:c>
      <x:c r="N65" s="24" t="str">
        <x:v>triglidae</x:v>
      </x:c>
      <x:c r="O65" s="32" t="n">
        <x:v>3.74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Triglidae</x:v>
      </x:c>
      <x:c r="T65" s="32" t="n">
        <x:f>IF(O65="","",(1/'Metadata'!$B$5)^(O65-1))</x:f>
        <x:v>549.5408738576248</x:v>
      </x:c>
      <x:c r="U65" s="31" t="n">
        <x:f>IF(T65="","",I65*T65)</x:f>
        <x:v>181489.58437392488</x:v>
      </x:c>
    </x:row>
    <x:row r="66" ht="18" customHeight="1">
      <x:c r="A66" s="24" t="str">
        <x:v>EEZ_624</x:v>
      </x:c>
      <x:c r="B66" s="24" t="str">
        <x:v>Guinea-Bissau</x:v>
      </x:c>
      <x:c r="C66" s="24" t="str">
        <x:v>EEZ</x:v>
      </x:c>
      <x:c r="D66" s="30" t="n">
        <x:v>2019</x:v>
      </x:c>
      <x:c r="E66" s="24" t="str">
        <x:v>Auxis thazard</x:v>
      </x:c>
      <x:c r="F66" s="24" t="str">
        <x:v>Frigate tuna</x:v>
      </x:c>
      <x:c r="G66" s="24" t="str">
        <x:v>Medium pelagics (30 - 89 cm)</x:v>
      </x:c>
      <x:c r="H66" s="24" t="str">
        <x:v>Tuna &amp; billfishes</x:v>
      </x:c>
      <x:c r="I66" s="31" t="n">
        <x:v>317.3789005697</x:v>
      </x:c>
      <x:c r="J66" s="31" t="n">
        <x:v>316.7294228201</x:v>
      </x:c>
      <x:c r="K66" s="31" t="n">
        <x:v>0.6494777496</x:v>
      </x:c>
      <x:c r="L66" s="31" t="n">
        <x:v>316.7294228201</x:v>
      </x:c>
      <x:c r="M66" s="31" t="n">
        <x:v>0.6494777496</x:v>
      </x:c>
      <x:c r="N66" s="24" t="str">
        <x:v>auxis thazard</x:v>
      </x:c>
      <x:c r="O66" s="32" t="n">
        <x:v>4.37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Auxis thazard</x:v>
      </x:c>
      <x:c r="T66" s="32" t="n">
        <x:f>IF(O66="","",(1/'Metadata'!$B$5)^(O66-1))</x:f>
        <x:v>2344.228815319923</x:v>
      </x:c>
      <x:c r="U66" s="31" t="n">
        <x:f>IF(T66="","",I66*T66)</x:f>
        <x:v>744008.7640900475</x:v>
      </x:c>
    </x:row>
    <x:row r="67" ht="18" customHeight="1">
      <x:c r="A67" s="24" t="str">
        <x:v>EEZ_624</x:v>
      </x:c>
      <x:c r="B67" s="24" t="str">
        <x:v>Guinea-Bissau</x:v>
      </x:c>
      <x:c r="C67" s="24" t="str">
        <x:v>EEZ</x:v>
      </x:c>
      <x:c r="D67" s="30" t="n">
        <x:v>2019</x:v>
      </x:c>
      <x:c r="E67" s="24" t="str">
        <x:v>Drepane africana</x:v>
      </x:c>
      <x:c r="F67" s="24" t="str">
        <x:v>African sicklefish</x:v>
      </x:c>
      <x:c r="G67" s="24" t="str">
        <x:v>Medium benthopelagics (30 - 89 cm)</x:v>
      </x:c>
      <x:c r="H67" s="24" t="str">
        <x:v>Perch-likes</x:v>
      </x:c>
      <x:c r="I67" s="31" t="n">
        <x:v>312.64913429169997</x:v>
      </x:c>
      <x:c r="J67" s="31" t="n">
        <x:v>312.64913429169997</x:v>
      </x:c>
      <x:c r="K67" s="31" t="n">
        <x:v>0</x:v>
      </x:c>
      <x:c r="L67" s="31" t="n">
        <x:v>122.15603413929999</x:v>
      </x:c>
      <x:c r="M67" s="31" t="n">
        <x:v>190.4931001524</x:v>
      </x:c>
      <x:c r="N67" s="24" t="str">
        <x:v>drepane africana</x:v>
      </x:c>
      <x:c r="O67" s="32" t="n">
        <x:v>3.1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Drepane africana</x:v>
      </x:c>
      <x:c r="T67" s="32" t="n">
        <x:f>IF(O67="","",(1/'Metadata'!$B$5)^(O67-1))</x:f>
        <x:v>125.89254117941675</x:v>
      </x:c>
      <x:c r="U67" s="31" t="n">
        <x:f>IF(T67="","",I67*T67)</x:f>
        <x:v>39360.19401352684</x:v>
      </x:c>
    </x:row>
    <x:row r="68" ht="18" customHeight="1">
      <x:c r="A68" s="24" t="str">
        <x:v>EEZ_624</x:v>
      </x:c>
      <x:c r="B68" s="24" t="str">
        <x:v>Guinea-Bissau</x:v>
      </x:c>
      <x:c r="C68" s="24" t="str">
        <x:v>EEZ</x:v>
      </x:c>
      <x:c r="D68" s="30" t="n">
        <x:v>2019</x:v>
      </x:c>
      <x:c r="E68" s="24" t="str">
        <x:v>Merluccius polli</x:v>
      </x:c>
      <x:c r="F68" s="24" t="str">
        <x:v>Benguela hake</x:v>
      </x:c>
      <x:c r="G68" s="24" t="str">
        <x:v>Medium bathydemersals (30 - 89 cm)</x:v>
      </x:c>
      <x:c r="H68" s="24" t="str">
        <x:v>Cod-likes</x:v>
      </x:c>
      <x:c r="I68" s="31" t="n">
        <x:v>311.43694124399997</x:v>
      </x:c>
      <x:c r="J68" s="31" t="n">
        <x:v>311.43694124399997</x:v>
      </x:c>
      <x:c r="K68" s="31" t="n">
        <x:v>0</x:v>
      </x:c>
      <x:c r="L68" s="31" t="n">
        <x:v>311.43694124399997</x:v>
      </x:c>
      <x:c r="M68" s="31" t="n">
        <x:v>0</x:v>
      </x:c>
      <x:c r="N68" s="24" t="str">
        <x:v>merluccius polli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Merluccius polli</x:v>
      </x:c>
      <x:c r="T68" s="32" t="n">
        <x:f>IF(O68="","",(1/'Metadata'!$B$5)^(O68-1))</x:f>
        <x:v>3162.2776601683795</x:v>
      </x:c>
      <x:c r="U68" s="31" t="n">
        <x:f>IF(T68="","",I68*T68)</x:f>
        <x:v>984850.0818470733</x:v>
      </x:c>
    </x:row>
    <x:row r="69" ht="18" customHeight="1">
      <x:c r="A69" s="24" t="str">
        <x:v>EEZ_624</x:v>
      </x:c>
      <x:c r="B69" s="24" t="str">
        <x:v>Guinea-Bissau</x:v>
      </x:c>
      <x:c r="C69" s="24" t="str">
        <x:v>EEZ</x:v>
      </x:c>
      <x:c r="D69" s="30" t="n">
        <x:v>2019</x:v>
      </x:c>
      <x:c r="E69" s="24" t="str">
        <x:v>Epinephelus marginatus</x:v>
      </x:c>
      <x:c r="F69" s="24" t="str">
        <x:v>Dusky grouper</x:v>
      </x:c>
      <x:c r="G69" s="24" t="str">
        <x:v>Large reef assoc. fish (&gt;=90 cm)</x:v>
      </x:c>
      <x:c r="H69" s="24" t="str">
        <x:v>Perch-likes</x:v>
      </x:c>
      <x:c r="I69" s="31" t="n">
        <x:v>308.6828337145</x:v>
      </x:c>
      <x:c r="J69" s="31" t="n">
        <x:v>308.6828337145</x:v>
      </x:c>
      <x:c r="K69" s="31" t="n">
        <x:v>0</x:v>
      </x:c>
      <x:c r="L69" s="31" t="n">
        <x:v>3.8994271937</x:v>
      </x:c>
      <x:c r="M69" s="31" t="n">
        <x:v>304.7834065208</x:v>
      </x:c>
      <x:c r="N69" s="24" t="str">
        <x:v>epinephelus marginatus</x:v>
      </x:c>
      <x:c r="O69" s="32" t="n">
        <x:v>4.43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Epinephelus marginatus</x:v>
      </x:c>
      <x:c r="T69" s="32" t="n">
        <x:f>IF(O69="","",(1/'Metadata'!$B$5)^(O69-1))</x:f>
        <x:v>2691.534803926914</x:v>
      </x:c>
      <x:c r="U69" s="31" t="n">
        <x:f>IF(T69="","",I69*T69)</x:f>
        <x:v>830830.5903173609</x:v>
      </x:c>
    </x:row>
    <x:row r="70" ht="18" customHeight="1">
      <x:c r="A70" s="24" t="str">
        <x:v>EEZ_624</x:v>
      </x:c>
      <x:c r="B70" s="24" t="str">
        <x:v>Guinea-Bissau</x:v>
      </x:c>
      <x:c r="C70" s="24" t="str">
        <x:v>EEZ</x:v>
      </x:c>
      <x:c r="D70" s="30" t="n">
        <x:v>2019</x:v>
      </x:c>
      <x:c r="E70" s="24" t="str">
        <x:v>Lichia amia</x:v>
      </x:c>
      <x:c r="F70" s="24" t="str">
        <x:v>Leerfish</x:v>
      </x:c>
      <x:c r="G70" s="24" t="str">
        <x:v>Large pelagics (&gt;=90 cm)</x:v>
      </x:c>
      <x:c r="H70" s="24" t="str">
        <x:v>Perch-likes</x:v>
      </x:c>
      <x:c r="I70" s="31" t="n">
        <x:v>283.6433181619</x:v>
      </x:c>
      <x:c r="J70" s="31" t="n">
        <x:v>283.6433181619</x:v>
      </x:c>
      <x:c r="K70" s="31" t="n">
        <x:v>0</x:v>
      </x:c>
      <x:c r="L70" s="31" t="n">
        <x:v>5.7951230955</x:v>
      </x:c>
      <x:c r="M70" s="31" t="n">
        <x:v>277.8481950664</x:v>
      </x:c>
      <x:c r="N70" s="24" t="str">
        <x:v>lichia amia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Lichia amia</x:v>
      </x:c>
      <x:c r="T70" s="32" t="n">
        <x:f>IF(O70="","",(1/'Metadata'!$B$5)^(O70-1))</x:f>
        <x:v>3162.2776601683795</x:v>
      </x:c>
      <x:c r="U70" s="31" t="n">
        <x:f>IF(T70="","",I70*T70)</x:f>
        <x:v>896958.9284794084</x:v>
      </x:c>
    </x:row>
    <x:row r="71" ht="18" customHeight="1">
      <x:c r="A71" s="24" t="str">
        <x:v>EEZ_624</x:v>
      </x:c>
      <x:c r="B71" s="24" t="str">
        <x:v>Guinea-Bissau</x:v>
      </x:c>
      <x:c r="C71" s="24" t="str">
        <x:v>EEZ</x:v>
      </x:c>
      <x:c r="D71" s="30" t="n">
        <x:v>2019</x:v>
      </x:c>
      <x:c r="E71" s="24" t="str">
        <x:v>Beryx</x:v>
      </x:c>
      <x:c r="F71" s="24" t="str">
        <x:v>Alfonsinos</x:v>
      </x:c>
      <x:c r="G71" s="24" t="str">
        <x:v>Medium benthopelagics (30 - 89 cm)</x:v>
      </x:c>
      <x:c r="H71" s="24" t="str">
        <x:v>Other fishes &amp; inverts</x:v>
      </x:c>
      <x:c r="I71" s="31" t="n">
        <x:v>274.59481682759997</x:v>
      </x:c>
      <x:c r="J71" s="31" t="n">
        <x:v>274.59481682759997</x:v>
      </x:c>
      <x:c r="K71" s="31" t="n">
        <x:v>0</x:v>
      </x:c>
      <x:c r="L71" s="31" t="n">
        <x:v>274.59481682759997</x:v>
      </x:c>
      <x:c r="M71" s="31" t="n">
        <x:v>0</x:v>
      </x:c>
      <x:c r="N71" s="24" t="str">
        <x:v>beryx</x:v>
      </x:c>
      <x:c r="O71" s="32" t="n">
        <x:v>3.97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Beryx</x:v>
      </x:c>
      <x:c r="T71" s="32" t="n">
        <x:f>IF(O71="","",(1/'Metadata'!$B$5)^(O71-1))</x:f>
        <x:v>933.2543007969915</x:v>
      </x:c>
      <x:c r="U71" s="31" t="n">
        <x:f>IF(T71="","",I71*T71)</x:f>
        <x:v>256266.79378091978</x:v>
      </x:c>
    </x:row>
    <x:row r="72" ht="18" customHeight="1">
      <x:c r="A72" s="24" t="str">
        <x:v>EEZ_624</x:v>
      </x:c>
      <x:c r="B72" s="24" t="str">
        <x:v>Guinea-Bissau</x:v>
      </x:c>
      <x:c r="C72" s="24" t="str">
        <x:v>EEZ</x:v>
      </x:c>
      <x:c r="D72" s="30" t="n">
        <x:v>2019</x:v>
      </x:c>
      <x:c r="E72" s="24" t="str">
        <x:v>Stromateus fiatola</x:v>
      </x:c>
      <x:c r="F72" s="24" t="str">
        <x:v>Blue butterfish</x:v>
      </x:c>
      <x:c r="G72" s="24" t="str">
        <x:v>Medium benthopelagics (30 - 89 cm)</x:v>
      </x:c>
      <x:c r="H72" s="24" t="str">
        <x:v>Perch-likes</x:v>
      </x:c>
      <x:c r="I72" s="31" t="n">
        <x:v>272.33722098650003</x:v>
      </x:c>
      <x:c r="J72" s="31" t="n">
        <x:v>272.33722098650003</x:v>
      </x:c>
      <x:c r="K72" s="31" t="n">
        <x:v>0</x:v>
      </x:c>
      <x:c r="L72" s="31" t="n">
        <x:v>0.5178043676999999</x:v>
      </x:c>
      <x:c r="M72" s="31" t="n">
        <x:v>271.8194166188</x:v>
      </x:c>
      <x:c r="N72" s="24" t="str">
        <x:v>stromateus fiatola</x:v>
      </x:c>
      <x:c r="O72" s="32" t="n">
        <x:v>4.03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Stromateus fiatola</x:v>
      </x:c>
      <x:c r="T72" s="32" t="n">
        <x:f>IF(O72="","",(1/'Metadata'!$B$5)^(O72-1))</x:f>
        <x:v>1071.519305237607</x:v>
      </x:c>
      <x:c r="U72" s="31" t="n">
        <x:f>IF(T72="","",I72*T72)</x:f>
        <x:v>291814.5898217952</x:v>
      </x:c>
    </x:row>
    <x:row r="73" ht="18" customHeight="1">
      <x:c r="A73" s="24" t="str">
        <x:v>EEZ_624</x:v>
      </x:c>
      <x:c r="B73" s="24" t="str">
        <x:v>Guinea-Bissau</x:v>
      </x:c>
      <x:c r="C73" s="24" t="str">
        <x:v>EEZ</x:v>
      </x:c>
      <x:c r="D73" s="30" t="n">
        <x:v>2019</x:v>
      </x:c>
      <x:c r="E73" s="24" t="str">
        <x:v>Spondyliosoma cantharus</x:v>
      </x:c>
      <x:c r="F73" s="24" t="str">
        <x:v>Black seabream</x:v>
      </x:c>
      <x:c r="G73" s="24" t="str">
        <x:v>Medium benthopelagics (30 - 89 cm)</x:v>
      </x:c>
      <x:c r="H73" s="24" t="str">
        <x:v>Perch-likes</x:v>
      </x:c>
      <x:c r="I73" s="31" t="n">
        <x:v>269.6881669177</x:v>
      </x:c>
      <x:c r="J73" s="31" t="n">
        <x:v>269.6881669177</x:v>
      </x:c>
      <x:c r="K73" s="31" t="n">
        <x:v>0</x:v>
      </x:c>
      <x:c r="L73" s="31" t="n">
        <x:v>2.0163268892</x:v>
      </x:c>
      <x:c r="M73" s="31" t="n">
        <x:v>267.6718400285</x:v>
      </x:c>
      <x:c r="N73" s="24" t="str">
        <x:v>spondyliosoma cantharus</x:v>
      </x:c>
      <x:c r="O73" s="32" t="n">
        <x:v>3.34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Spondyliosoma cantharus</x:v>
      </x:c>
      <x:c r="T73" s="32" t="n">
        <x:f>IF(O73="","",(1/'Metadata'!$B$5)^(O73-1))</x:f>
        <x:v>218.77616239495518</x:v>
      </x:c>
      <x:c r="U73" s="31" t="n">
        <x:f>IF(T73="","",I73*T73)</x:f>
        <x:v>59001.34220158452</x:v>
      </x:c>
    </x:row>
    <x:row r="74" ht="18" customHeight="1">
      <x:c r="A74" s="24" t="str">
        <x:v>EEZ_624</x:v>
      </x:c>
      <x:c r="B74" s="24" t="str">
        <x:v>Guinea-Bissau</x:v>
      </x:c>
      <x:c r="C74" s="24" t="str">
        <x:v>EEZ</x:v>
      </x:c>
      <x:c r="D74" s="30" t="n">
        <x:v>2019</x:v>
      </x:c>
      <x:c r="E74" s="24" t="str">
        <x:v>Pomadasys rogerii</x:v>
      </x:c>
      <x:c r="F74" s="24" t="str">
        <x:v>Pigsnout grunt</x:v>
      </x:c>
      <x:c r="G74" s="24" t="str">
        <x:v>Medium benthopelagics (30 - 89 cm)</x:v>
      </x:c>
      <x:c r="H74" s="24" t="str">
        <x:v>Perch-likes</x:v>
      </x:c>
      <x:c r="I74" s="31" t="n">
        <x:v>265.0362338285</x:v>
      </x:c>
      <x:c r="J74" s="31" t="n">
        <x:v>265.0362338285</x:v>
      </x:c>
      <x:c r="K74" s="31" t="n">
        <x:v>0</x:v>
      </x:c>
      <x:c r="L74" s="31" t="n">
        <x:v>0</x:v>
      </x:c>
      <x:c r="M74" s="31" t="n">
        <x:v>265.0362338285</x:v>
      </x:c>
      <x:c r="N74" s="24" t="str">
        <x:v>pomadasys rogerii</x:v>
      </x:c>
      <x:c r="O74" s="32" t="n">
        <x:v>3.55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Pomadasys rogerii</x:v>
      </x:c>
      <x:c r="T74" s="32" t="n">
        <x:f>IF(O74="","",(1/'Metadata'!$B$5)^(O74-1))</x:f>
        <x:v>354.8133892335753</x:v>
      </x:c>
      <x:c r="U74" s="31" t="n">
        <x:f>IF(T74="","",I74*T74)</x:f>
        <x:v>94038.40439439245</x:v>
      </x:c>
    </x:row>
    <x:row r="75" ht="18" customHeight="1">
      <x:c r="A75" s="24" t="str">
        <x:v>EEZ_624</x:v>
      </x:c>
      <x:c r="B75" s="24" t="str">
        <x:v>Guinea-Bissau</x:v>
      </x:c>
      <x:c r="C75" s="24" t="str">
        <x:v>EEZ</x:v>
      </x:c>
      <x:c r="D75" s="30" t="n">
        <x:v>2019</x:v>
      </x:c>
      <x:c r="E75" s="24" t="str">
        <x:v>Trachurus trecae</x:v>
      </x:c>
      <x:c r="F75" s="24" t="str">
        <x:v>Cunene horse mackerel</x:v>
      </x:c>
      <x:c r="G75" s="24" t="str">
        <x:v>Medium benthopelagics (30 - 89 cm)</x:v>
      </x:c>
      <x:c r="H75" s="24" t="str">
        <x:v>Perch-likes</x:v>
      </x:c>
      <x:c r="I75" s="31" t="n">
        <x:v>255.8657634995</x:v>
      </x:c>
      <x:c r="J75" s="31" t="n">
        <x:v>255.8657634995</x:v>
      </x:c>
      <x:c r="K75" s="31" t="n">
        <x:v>0</x:v>
      </x:c>
      <x:c r="L75" s="31" t="n">
        <x:v>255.8657634995</x:v>
      </x:c>
      <x:c r="M75" s="31" t="n">
        <x:v>0</x:v>
      </x:c>
      <x:c r="N75" s="24" t="str">
        <x:v>trachurus trecae</x:v>
      </x:c>
      <x:c r="O75" s="32" t="n">
        <x:v>3.49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Trachurus trecae</x:v>
      </x:c>
      <x:c r="T75" s="32" t="n">
        <x:f>IF(O75="","",(1/'Metadata'!$B$5)^(O75-1))</x:f>
        <x:v>309.0295432513592</x:v>
      </x:c>
      <x:c r="U75" s="31" t="n">
        <x:f>IF(T75="","",I75*T75)</x:f>
        <x:v>79070.08002791078</x:v>
      </x:c>
    </x:row>
    <x:row r="76" ht="18" customHeight="1">
      <x:c r="A76" s="24" t="str">
        <x:v>EEZ_624</x:v>
      </x:c>
      <x:c r="B76" s="24" t="str">
        <x:v>Guinea-Bissau</x:v>
      </x:c>
      <x:c r="C76" s="24" t="str">
        <x:v>EEZ</x:v>
      </x:c>
      <x:c r="D76" s="30" t="n">
        <x:v>2019</x:v>
      </x:c>
      <x:c r="E76" s="24" t="str">
        <x:v>Epinephelus aeneus</x:v>
      </x:c>
      <x:c r="F76" s="24" t="str">
        <x:v>White grouper</x:v>
      </x:c>
      <x:c r="G76" s="24" t="str">
        <x:v>Large demersals (&gt;=90 cm)</x:v>
      </x:c>
      <x:c r="H76" s="24" t="str">
        <x:v>Perch-likes</x:v>
      </x:c>
      <x:c r="I76" s="31" t="n">
        <x:v>253.6773381797</x:v>
      </x:c>
      <x:c r="J76" s="31" t="n">
        <x:v>253.6773381797</x:v>
      </x:c>
      <x:c r="K76" s="31" t="n">
        <x:v>0</x:v>
      </x:c>
      <x:c r="L76" s="31" t="n">
        <x:v>14.3376097419</x:v>
      </x:c>
      <x:c r="M76" s="31" t="n">
        <x:v>239.3397284378</x:v>
      </x:c>
      <x:c r="N76" s="24" t="str">
        <x:v>epinephelus aeneus</x:v>
      </x:c>
      <x:c r="O76" s="32" t="n">
        <x:v>4.02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aeneus</x:v>
      </x:c>
      <x:c r="T76" s="32" t="n">
        <x:f>IF(O76="","",(1/'Metadata'!$B$5)^(O76-1))</x:f>
        <x:v>1047.1285480508984</x:v>
      </x:c>
      <x:c r="U76" s="31" t="n">
        <x:f>IF(T76="","",I76*T76)</x:f>
        <x:v>265632.782801526</x:v>
      </x:c>
    </x:row>
    <x:row r="77" ht="18" customHeight="1">
      <x:c r="A77" s="24" t="str">
        <x:v>EEZ_624</x:v>
      </x:c>
      <x:c r="B77" s="24" t="str">
        <x:v>Guinea-Bissau</x:v>
      </x:c>
      <x:c r="C77" s="24" t="str">
        <x:v>EEZ</x:v>
      </x:c>
      <x:c r="D77" s="30" t="n">
        <x:v>2019</x:v>
      </x:c>
      <x:c r="E77" s="24" t="str">
        <x:v>Sparidae</x:v>
      </x:c>
      <x:c r="F77" s="24" t="str">
        <x:v>Porgies, seabreams</x:v>
      </x:c>
      <x:c r="G77" s="24" t="str">
        <x:v>Medium benthopelagics (30 - 89 cm)</x:v>
      </x:c>
      <x:c r="H77" s="24" t="str">
        <x:v>Perch-likes</x:v>
      </x:c>
      <x:c r="I77" s="31" t="n">
        <x:v>241.57100667159997</x:v>
      </x:c>
      <x:c r="J77" s="31" t="n">
        <x:v>227.91757527919998</x:v>
      </x:c>
      <x:c r="K77" s="31" t="n">
        <x:v>13.6534313924</x:v>
      </x:c>
      <x:c r="L77" s="31" t="n">
        <x:v>138.0714156604</x:v>
      </x:c>
      <x:c r="M77" s="31" t="n">
        <x:v>103.4995910112</x:v>
      </x:c>
      <x:c r="N77" s="24" t="str">
        <x:v>sparidae</x:v>
      </x:c>
      <x:c r="O77" s="32" t="n">
        <x:v>3.31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Sparidae</x:v>
      </x:c>
      <x:c r="T77" s="32" t="n">
        <x:f>IF(O77="","",(1/'Metadata'!$B$5)^(O77-1))</x:f>
        <x:v>204.17379446695296</x:v>
      </x:c>
      <x:c r="U77" s="31" t="n">
        <x:f>IF(T77="","",I77*T77)</x:f>
        <x:v>49322.46906534217</x:v>
      </x:c>
    </x:row>
    <x:row r="78" ht="18" customHeight="1">
      <x:c r="A78" s="24" t="str">
        <x:v>EEZ_624</x:v>
      </x:c>
      <x:c r="B78" s="24" t="str">
        <x:v>Guinea-Bissau</x:v>
      </x:c>
      <x:c r="C78" s="24" t="str">
        <x:v>EEZ</x:v>
      </x:c>
      <x:c r="D78" s="30" t="n">
        <x:v>2019</x:v>
      </x:c>
      <x:c r="E78" s="24" t="str">
        <x:v>Penaeus kerathurus</x:v>
      </x:c>
      <x:c r="F78" s="24" t="str">
        <x:v>Caramote prawn</x:v>
      </x:c>
      <x:c r="G78" s="24" t="str">
        <x:v>Shrimps</x:v>
      </x:c>
      <x:c r="H78" s="24" t="str">
        <x:v>Crustaceans</x:v>
      </x:c>
      <x:c r="I78" s="31" t="n">
        <x:v>235.3477336746</x:v>
      </x:c>
      <x:c r="J78" s="31" t="n">
        <x:v>235.3477336746</x:v>
      </x:c>
      <x:c r="K78" s="31" t="n">
        <x:v>0</x:v>
      </x:c>
      <x:c r="L78" s="31" t="n">
        <x:v>32.4719494059</x:v>
      </x:c>
      <x:c r="M78" s="31" t="n">
        <x:v>202.8757842687</x:v>
      </x:c>
      <x:c r="N78" s="24" t="str">
        <x:v>penaeus kerathurus</x:v>
      </x:c>
      <x:c r="O78" s="32" t="n">
        <x:v>2.7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Penaeus kerathurus</x:v>
      </x:c>
      <x:c r="T78" s="32" t="n">
        <x:f>IF(O78="","",(1/'Metadata'!$B$5)^(O78-1))</x:f>
        <x:v>50.11872336272725</x:v>
      </x:c>
      <x:c r="U78" s="31" t="n">
        <x:f>IF(T78="","",I78*T78)</x:f>
        <x:v>11795.327958082085</x:v>
      </x:c>
    </x:row>
    <x:row r="79" ht="18" customHeight="1">
      <x:c r="A79" s="24" t="str">
        <x:v>EEZ_624</x:v>
      </x:c>
      <x:c r="B79" s="24" t="str">
        <x:v>Guinea-Bissau</x:v>
      </x:c>
      <x:c r="C79" s="24" t="str">
        <x:v>EEZ</x:v>
      </x:c>
      <x:c r="D79" s="30" t="n">
        <x:v>2019</x:v>
      </x:c>
      <x:c r="E79" s="24" t="str">
        <x:v>Pleuronectiformes</x:v>
      </x:c>
      <x:c r="F79" s="24" t="str">
        <x:v>Flatfishes</x:v>
      </x:c>
      <x:c r="G79" s="24" t="str">
        <x:v>Small to medium flatfishes (&lt;90 cm)</x:v>
      </x:c>
      <x:c r="H79" s="24" t="str">
        <x:v>Flatfishes</x:v>
      </x:c>
      <x:c r="I79" s="31" t="n">
        <x:v>234.70128423699998</x:v>
      </x:c>
      <x:c r="J79" s="31" t="n">
        <x:v>234.70128423699998</x:v>
      </x:c>
      <x:c r="K79" s="31" t="n">
        <x:v>0</x:v>
      </x:c>
      <x:c r="L79" s="31" t="n">
        <x:v>151.1817175928</x:v>
      </x:c>
      <x:c r="M79" s="31" t="n">
        <x:v>83.5195666442</x:v>
      </x:c>
      <x:c r="N79" s="24" t="str">
        <x:v>pleuronectiformes</x:v>
      </x:c>
      <x:c r="O79" s="32" t="n">
        <x:v>3.57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Pleuronectiformes</x:v>
      </x:c>
      <x:c r="T79" s="32" t="n">
        <x:f>IF(O79="","",(1/'Metadata'!$B$5)^(O79-1))</x:f>
        <x:v>371.5352290971724</x:v>
      </x:c>
      <x:c r="U79" s="31" t="n">
        <x:f>IF(T79="","",I79*T79)</x:f>
        <x:v>87199.79540839438</x:v>
      </x:c>
    </x:row>
    <x:row r="80" ht="18" customHeight="1">
      <x:c r="A80" s="24" t="str">
        <x:v>EEZ_624</x:v>
      </x:c>
      <x:c r="B80" s="24" t="str">
        <x:v>Guinea-Bissau</x:v>
      </x:c>
      <x:c r="C80" s="24" t="str">
        <x:v>EEZ</x:v>
      </x:c>
      <x:c r="D80" s="30" t="n">
        <x:v>2019</x:v>
      </x:c>
      <x:c r="E80" s="24" t="str">
        <x:v>Dendrobranchiata</x:v>
      </x:c>
      <x:c r="F80" s="24" t="str">
        <x:v>Shrimps and prawns</x:v>
      </x:c>
      <x:c r="G80" s="24" t="str">
        <x:v>Shrimps</x:v>
      </x:c>
      <x:c r="H80" s="24" t="str">
        <x:v>Crustaceans</x:v>
      </x:c>
      <x:c r="I80" s="31" t="n">
        <x:v>230.1413563618</x:v>
      </x:c>
      <x:c r="J80" s="31" t="n">
        <x:v>230.1413563618</x:v>
      </x:c>
      <x:c r="K80" s="31" t="n">
        <x:v>0</x:v>
      </x:c>
      <x:c r="L80" s="31" t="n">
        <x:v>54.622534277</x:v>
      </x:c>
      <x:c r="M80" s="31" t="n">
        <x:v>175.5188220848</x:v>
      </x:c>
      <x:c r="N80" s="24" t="str">
        <x:v>dendrobranchiata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Dendrobranchiata</x:v>
      </x:c>
      <x:c r="T80" s="32" t="n">
        <x:f>IF(O80="","",(1/'Metadata'!$B$5)^(O80-1))</x:f>
        <x:v>173.78008287493762</x:v>
      </x:c>
      <x:c r="U80" s="31" t="n">
        <x:f>IF(T80="","",I80*T80)</x:f>
        <x:v>39993.983981504156</x:v>
      </x:c>
    </x:row>
    <x:row r="81" ht="18" customHeight="1">
      <x:c r="A81" s="24" t="str">
        <x:v>EEZ_624</x:v>
      </x:c>
      <x:c r="B81" s="24" t="str">
        <x:v>Guinea-Bissau</x:v>
      </x:c>
      <x:c r="C81" s="24" t="str">
        <x:v>EEZ</x:v>
      </x:c>
      <x:c r="D81" s="30" t="n">
        <x:v>2019</x:v>
      </x:c>
      <x:c r="E81" s="24" t="str">
        <x:v>Acanthurus monroviae</x:v>
      </x:c>
      <x:c r="F81" s="24" t="str">
        <x:v>Monrovia doctorfish</x:v>
      </x:c>
      <x:c r="G81" s="24" t="str">
        <x:v>Medium demersals (30 - 89 cm)</x:v>
      </x:c>
      <x:c r="H81" s="24" t="str">
        <x:v>Perch-likes</x:v>
      </x:c>
      <x:c r="I81" s="31" t="n">
        <x:v>218.7152727256</x:v>
      </x:c>
      <x:c r="J81" s="31" t="n">
        <x:v>218.7152727256</x:v>
      </x:c>
      <x:c r="K81" s="31" t="n">
        <x:v>0</x:v>
      </x:c>
      <x:c r="L81" s="31" t="n">
        <x:v>0</x:v>
      </x:c>
      <x:c r="M81" s="31" t="n">
        <x:v>218.7152727256</x:v>
      </x:c>
      <x:c r="N81" s="24" t="str">
        <x:v>acanthurus monroviae</x:v>
      </x:c>
      <x:c r="O81" s="32" t="n">
        <x:v>2.5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Acanthurus monroviae</x:v>
      </x:c>
      <x:c r="T81" s="32" t="n">
        <x:f>IF(O81="","",(1/'Metadata'!$B$5)^(O81-1))</x:f>
        <x:v>31.622776601683793</x:v>
      </x:c>
      <x:c r="U81" s="31" t="n">
        <x:f>IF(T81="","",I81*T81)</x:f>
        <x:v>6916.384208777993</x:v>
      </x:c>
    </x:row>
    <x:row r="82" ht="18" customHeight="1">
      <x:c r="A82" s="24" t="str">
        <x:v>EEZ_624</x:v>
      </x:c>
      <x:c r="B82" s="24" t="str">
        <x:v>Guinea-Bissau</x:v>
      </x:c>
      <x:c r="C82" s="24" t="str">
        <x:v>EEZ</x:v>
      </x:c>
      <x:c r="D82" s="30" t="n">
        <x:v>2019</x:v>
      </x:c>
      <x:c r="E82" s="24" t="str">
        <x:v>Brama brama</x:v>
      </x:c>
      <x:c r="F82" s="24" t="str">
        <x:v>Atlantic pomfret</x:v>
      </x:c>
      <x:c r="G82" s="24" t="str">
        <x:v>Medium bathypelagics (30 - 89 cm)</x:v>
      </x:c>
      <x:c r="H82" s="24" t="str">
        <x:v>Perch-likes</x:v>
      </x:c>
      <x:c r="I82" s="31" t="n">
        <x:v>202.8125991681</x:v>
      </x:c>
      <x:c r="J82" s="31" t="n">
        <x:v>202.8125991681</x:v>
      </x:c>
      <x:c r="K82" s="31" t="n">
        <x:v>0</x:v>
      </x:c>
      <x:c r="L82" s="31" t="n">
        <x:v>202.8125991681</x:v>
      </x:c>
      <x:c r="M82" s="31" t="n">
        <x:v>0</x:v>
      </x:c>
      <x:c r="N82" s="24" t="str">
        <x:v>brama brama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Brama brama</x:v>
      </x:c>
      <x:c r="T82" s="32" t="n">
        <x:f>IF(O82="","",(1/'Metadata'!$B$5)^(O82-1))</x:f>
        <x:v>1202.2644346174131</x:v>
      </x:c>
      <x:c r="U82" s="31" t="n">
        <x:f>IF(T82="","",I82*T82)</x:f>
        <x:v>243834.3748721238</x:v>
      </x:c>
    </x:row>
    <x:row r="83" ht="18" customHeight="1">
      <x:c r="A83" s="24" t="str">
        <x:v>EEZ_624</x:v>
      </x:c>
      <x:c r="B83" s="24" t="str">
        <x:v>Guinea-Bissau</x:v>
      </x:c>
      <x:c r="C83" s="24" t="str">
        <x:v>EEZ</x:v>
      </x:c>
      <x:c r="D83" s="30" t="n">
        <x:v>2019</x:v>
      </x:c>
      <x:c r="E83" s="24" t="str">
        <x:v>Teuthida</x:v>
      </x:c>
      <x:c r="F83" s="24" t="str">
        <x:v>Squids</x:v>
      </x:c>
      <x:c r="G83" s="24" t="str">
        <x:v>Cephalopods</x:v>
      </x:c>
      <x:c r="H83" s="24" t="str">
        <x:v>Other fishes &amp; inverts</x:v>
      </x:c>
      <x:c r="I83" s="31" t="n">
        <x:v>186.256413411</x:v>
      </x:c>
      <x:c r="J83" s="31" t="n">
        <x:v>186.19510594300002</x:v>
      </x:c>
      <x:c r="K83" s="31" t="n">
        <x:v>0.061307468</x:v>
      </x:c>
      <x:c r="L83" s="31" t="n">
        <x:v>186.19510594300002</x:v>
      </x:c>
      <x:c r="M83" s="31" t="n">
        <x:v>0.061307468</x:v>
      </x:c>
      <x:c r="N83" s="24" t="str">
        <x:v>teuthida</x:v>
      </x:c>
      <x:c r="O83" s="32" t="n">
        <x:v>4.13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Teuthida</x:v>
      </x:c>
      <x:c r="T83" s="32" t="n">
        <x:f>IF(O83="","",(1/'Metadata'!$B$5)^(O83-1))</x:f>
        <x:v>1348.9628825916532</x:v>
      </x:c>
      <x:c r="U83" s="31" t="n">
        <x:f>IF(T83="","",I83*T83)</x:f>
        <x:v>251252.98833608523</x:v>
      </x:c>
    </x:row>
    <x:row r="84" ht="18" customHeight="1">
      <x:c r="A84" s="24" t="str">
        <x:v>EEZ_624</x:v>
      </x:c>
      <x:c r="B84" s="24" t="str">
        <x:v>Guinea-Bissau</x:v>
      </x:c>
      <x:c r="C84" s="24" t="str">
        <x:v>EEZ</x:v>
      </x:c>
      <x:c r="D84" s="30" t="n">
        <x:v>2019</x:v>
      </x:c>
      <x:c r="E84" s="24" t="str">
        <x:v>Caranx rhonchus</x:v>
      </x:c>
      <x:c r="F84" s="24" t="str">
        <x:v>False scad</x:v>
      </x:c>
      <x:c r="G84" s="24" t="str">
        <x:v>Medium benthopelagics (30 - 89 cm)</x:v>
      </x:c>
      <x:c r="H84" s="24" t="str">
        <x:v>Perch-likes</x:v>
      </x:c>
      <x:c r="I84" s="31" t="n">
        <x:v>148.8932014126</x:v>
      </x:c>
      <x:c r="J84" s="31" t="n">
        <x:v>148.8932014126</x:v>
      </x:c>
      <x:c r="K84" s="31" t="n">
        <x:v>0</x:v>
      </x:c>
      <x:c r="L84" s="31" t="n">
        <x:v>3.5802318313</x:v>
      </x:c>
      <x:c r="M84" s="31" t="n">
        <x:v>145.3129695813</x:v>
      </x:c>
      <x:c r="N84" s="24" t="str">
        <x:v>caranx rhonchus</x:v>
      </x:c>
      <x:c r="O84" s="32" t="n">
        <x:v>3.6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Caranx rhonchus</x:v>
      </x:c>
      <x:c r="T84" s="32" t="n">
        <x:f>IF(O84="","",(1/'Metadata'!$B$5)^(O84-1))</x:f>
        <x:v>398.1071705534973</x:v>
      </x:c>
      <x:c r="U84" s="31" t="n">
        <x:f>IF(T84="","",I84*T84)</x:f>
        <x:v>59275.45112902218</x:v>
      </x:c>
    </x:row>
    <x:row r="85" ht="18" customHeight="1">
      <x:c r="A85" s="24" t="str">
        <x:v>EEZ_624</x:v>
      </x:c>
      <x:c r="B85" s="24" t="str">
        <x:v>Guinea-Bissau</x:v>
      </x:c>
      <x:c r="C85" s="24" t="str">
        <x:v>EEZ</x:v>
      </x:c>
      <x:c r="D85" s="30" t="n">
        <x:v>2019</x:v>
      </x:c>
      <x:c r="E85" s="24" t="str">
        <x:v>Gerres nigri</x:v>
      </x:c>
      <x:c r="F85" s="24" t="str">
        <x:v>Guinean striped mojarra</x:v>
      </x:c>
      <x:c r="G85" s="24" t="str">
        <x:v>Small benthopelagics (&lt;30 cm)</x:v>
      </x:c>
      <x:c r="H85" s="24" t="str">
        <x:v>Perch-likes</x:v>
      </x:c>
      <x:c r="I85" s="31" t="n">
        <x:v>140.2461063628</x:v>
      </x:c>
      <x:c r="J85" s="31" t="n">
        <x:v>140.2461063628</x:v>
      </x:c>
      <x:c r="K85" s="31" t="n">
        <x:v>0</x:v>
      </x:c>
      <x:c r="L85" s="31" t="n">
        <x:v>0</x:v>
      </x:c>
      <x:c r="M85" s="31" t="n">
        <x:v>140.2461063628</x:v>
      </x:c>
      <x:c r="N85" s="24" t="str">
        <x:v>gerres nigri</x:v>
      </x:c>
      <x:c r="O85" s="32" t="n">
        <x:v>3.19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Gerres nigri</x:v>
      </x:c>
      <x:c r="T85" s="32" t="n">
        <x:f>IF(O85="","",(1/'Metadata'!$B$5)^(O85-1))</x:f>
        <x:v>154.88166189124811</x:v>
      </x:c>
      <x:c r="U85" s="31" t="n">
        <x:f>IF(T85="","",I85*T85)</x:f>
        <x:v>21721.55002724721</x:v>
      </x:c>
    </x:row>
    <x:row r="86" ht="18" customHeight="1">
      <x:c r="A86" s="24" t="str">
        <x:v>EEZ_624</x:v>
      </x:c>
      <x:c r="B86" s="24" t="str">
        <x:v>Guinea-Bissau</x:v>
      </x:c>
      <x:c r="C86" s="24" t="str">
        <x:v>EEZ</x:v>
      </x:c>
      <x:c r="D86" s="30" t="n">
        <x:v>2019</x:v>
      </x:c>
      <x:c r="E86" s="24" t="str">
        <x:v>Trachurus trachurus</x:v>
      </x:c>
      <x:c r="F86" s="24" t="str">
        <x:v>Atlantic horse mackerel</x:v>
      </x:c>
      <x:c r="G86" s="24" t="str">
        <x:v>Medium pelagics (30 - 89 cm)</x:v>
      </x:c>
      <x:c r="H86" s="24" t="str">
        <x:v>Perch-likes</x:v>
      </x:c>
      <x:c r="I86" s="31" t="n">
        <x:v>138.5251572565</x:v>
      </x:c>
      <x:c r="J86" s="31" t="n">
        <x:v>138.5251572565</x:v>
      </x:c>
      <x:c r="K86" s="31" t="n">
        <x:v>0</x:v>
      </x:c>
      <x:c r="L86" s="31" t="n">
        <x:v>127.5581406839</x:v>
      </x:c>
      <x:c r="M86" s="31" t="n">
        <x:v>10.9670165726</x:v>
      </x:c>
      <x:c r="N86" s="24" t="str">
        <x:v>trachurus trachurus</x:v>
      </x:c>
      <x:c r="O86" s="32" t="n">
        <x:v>3.71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Trachurus trachurus</x:v>
      </x:c>
      <x:c r="T86" s="32" t="n">
        <x:f>IF(O86="","",(1/'Metadata'!$B$5)^(O86-1))</x:f>
        <x:v>512.8613839913648</x:v>
      </x:c>
      <x:c r="U86" s="31" t="n">
        <x:f>IF(T86="","",I86*T86)</x:f>
        <x:v>71044.20386819004</x:v>
      </x:c>
    </x:row>
    <x:row r="87" ht="18" customHeight="1">
      <x:c r="A87" s="24" t="str">
        <x:v>EEZ_624</x:v>
      </x:c>
      <x:c r="B87" s="24" t="str">
        <x:v>Guinea-Bissau</x:v>
      </x:c>
      <x:c r="C87" s="24" t="str">
        <x:v>EEZ</x:v>
      </x:c>
      <x:c r="D87" s="30" t="n">
        <x:v>2019</x:v>
      </x:c>
      <x:c r="E87" s="24" t="str">
        <x:v>Carcharhinus signatus</x:v>
      </x:c>
      <x:c r="F87" s="24" t="str">
        <x:v>Night shark</x:v>
      </x:c>
      <x:c r="G87" s="24" t="str">
        <x:v>Large sharks (&gt;=90 cm)</x:v>
      </x:c>
      <x:c r="H87" s="24" t="str">
        <x:v>Sharks &amp; rays</x:v>
      </x:c>
      <x:c r="I87" s="31" t="n">
        <x:v>138.2295212776</x:v>
      </x:c>
      <x:c r="J87" s="31" t="n">
        <x:v>138.2295212776</x:v>
      </x:c>
      <x:c r="K87" s="31" t="n">
        <x:v>0</x:v>
      </x:c>
      <x:c r="L87" s="31" t="n">
        <x:v>138.2295212776</x:v>
      </x:c>
      <x:c r="M87" s="31" t="n">
        <x:v>0</x:v>
      </x:c>
      <x:c r="N87" s="24" t="str">
        <x:v>carcharhinus signatus</x:v>
      </x:c>
      <x:c r="O87" s="32" t="n">
        <x:v>4.63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Carcharhinus signatus</x:v>
      </x:c>
      <x:c r="T87" s="32" t="n">
        <x:f>IF(O87="","",(1/'Metadata'!$B$5)^(O87-1))</x:f>
        <x:v>4265.795188015925</x:v>
      </x:c>
      <x:c r="U87" s="31" t="n">
        <x:f>IF(T87="","",I87*T87)</x:f>
        <x:v>589658.8267077311</x:v>
      </x:c>
    </x:row>
    <x:row r="88" ht="18" customHeight="1">
      <x:c r="A88" s="24" t="str">
        <x:v>EEZ_624</x:v>
      </x:c>
      <x:c r="B88" s="24" t="str">
        <x:v>Guinea-Bissau</x:v>
      </x:c>
      <x:c r="C88" s="24" t="str">
        <x:v>EEZ</x:v>
      </x:c>
      <x:c r="D88" s="30" t="n">
        <x:v>2019</x:v>
      </x:c>
      <x:c r="E88" s="24" t="str">
        <x:v>Thunnus obesus</x:v>
      </x:c>
      <x:c r="F88" s="24" t="str">
        <x:v>Bigeye tuna</x:v>
      </x:c>
      <x:c r="G88" s="24" t="str">
        <x:v>Large pelagics (&gt;=90 cm)</x:v>
      </x:c>
      <x:c r="H88" s="24" t="str">
        <x:v>Tuna &amp; billfishes</x:v>
      </x:c>
      <x:c r="I88" s="31" t="n">
        <x:v>136.4321646013</x:v>
      </x:c>
      <x:c r="J88" s="31" t="n">
        <x:v>136.4321646013</x:v>
      </x:c>
      <x:c r="K88" s="31" t="n">
        <x:v>0</x:v>
      </x:c>
      <x:c r="L88" s="31" t="n">
        <x:v>136.4321646013</x:v>
      </x:c>
      <x:c r="M88" s="31" t="n">
        <x:v>0</x:v>
      </x:c>
      <x:c r="N88" s="24" t="str">
        <x:v>thunnus obesus</x:v>
      </x:c>
      <x:c r="O88" s="32" t="n">
        <x:v>4.49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Thunnus obesus</x:v>
      </x:c>
      <x:c r="T88" s="32" t="n">
        <x:f>IF(O88="","",(1/'Metadata'!$B$5)^(O88-1))</x:f>
        <x:v>3090.295432513592</x:v>
      </x:c>
      <x:c r="U88" s="31" t="n">
        <x:f>IF(T88="","",I88*T88)</x:f>
        <x:v>421615.69511533994</x:v>
      </x:c>
    </x:row>
    <x:row r="89" ht="18" customHeight="1">
      <x:c r="A89" s="24" t="str">
        <x:v>EEZ_624</x:v>
      </x:c>
      <x:c r="B89" s="24" t="str">
        <x:v>Guinea-Bissau</x:v>
      </x:c>
      <x:c r="C89" s="24" t="str">
        <x:v>EEZ</x:v>
      </x:c>
      <x:c r="D89" s="30" t="n">
        <x:v>2019</x:v>
      </x:c>
      <x:c r="E89" s="24" t="str">
        <x:v>Parapenaeus longirostris</x:v>
      </x:c>
      <x:c r="F89" s="24" t="str">
        <x:v>Deepwater rose shrimp</x:v>
      </x:c>
      <x:c r="G89" s="24" t="str">
        <x:v>Shrimps</x:v>
      </x:c>
      <x:c r="H89" s="24" t="str">
        <x:v>Crustaceans</x:v>
      </x:c>
      <x:c r="I89" s="31" t="n">
        <x:v>131.74083512989998</x:v>
      </x:c>
      <x:c r="J89" s="31" t="n">
        <x:v>131.74083512989998</x:v>
      </x:c>
      <x:c r="K89" s="31" t="n">
        <x:v>0</x:v>
      </x:c>
      <x:c r="L89" s="31" t="n">
        <x:v>116.30784179049999</x:v>
      </x:c>
      <x:c r="M89" s="31" t="n">
        <x:v>15.4329933394</x:v>
      </x:c>
      <x:c r="N89" s="24" t="str">
        <x:v>parapenaeus longirostris</x:v>
      </x:c>
      <x:c r="O89" s="32" t="n">
        <x:v>3.3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Parapenaeus longirostris</x:v>
      </x:c>
      <x:c r="T89" s="32" t="n">
        <x:f>IF(O89="","",(1/'Metadata'!$B$5)^(O89-1))</x:f>
        <x:v>199.52623149688787</x:v>
      </x:c>
      <x:c r="U89" s="31" t="n">
        <x:f>IF(T89="","",I89*T89)</x:f>
        <x:v>26285.75236772176</x:v>
      </x:c>
    </x:row>
    <x:row r="90" ht="18" customHeight="1">
      <x:c r="A90" s="24" t="str">
        <x:v>EEZ_624</x:v>
      </x:c>
      <x:c r="B90" s="24" t="str">
        <x:v>Guinea-Bissau</x:v>
      </x:c>
      <x:c r="C90" s="24" t="str">
        <x:v>EEZ</x:v>
      </x:c>
      <x:c r="D90" s="30" t="n">
        <x:v>2019</x:v>
      </x:c>
      <x:c r="E90" s="24" t="str">
        <x:v>Scomberomorus tritor</x:v>
      </x:c>
      <x:c r="F90" s="24" t="str">
        <x:v>West African Spanish mackerel</x:v>
      </x:c>
      <x:c r="G90" s="24" t="str">
        <x:v>Medium pelagics (30 - 89 cm)</x:v>
      </x:c>
      <x:c r="H90" s="24" t="str">
        <x:v>Perch-likes</x:v>
      </x:c>
      <x:c r="I90" s="31" t="n">
        <x:v>119.60270991339999</x:v>
      </x:c>
      <x:c r="J90" s="31" t="n">
        <x:v>119.60270991339999</x:v>
      </x:c>
      <x:c r="K90" s="31" t="n">
        <x:v>0</x:v>
      </x:c>
      <x:c r="L90" s="31" t="n">
        <x:v>29.626780417299997</x:v>
      </x:c>
      <x:c r="M90" s="31" t="n">
        <x:v>89.9759294961</x:v>
      </x:c>
      <x:c r="N90" s="24" t="str">
        <x:v>scomberomorus tritor</x:v>
      </x:c>
      <x:c r="O90" s="32" t="n">
        <x:v>4.26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Scomberomorus tritor</x:v>
      </x:c>
      <x:c r="T90" s="32" t="n">
        <x:f>IF(O90="","",(1/'Metadata'!$B$5)^(O90-1))</x:f>
        <x:v>1819.7008586099826</x:v>
      </x:c>
      <x:c r="U90" s="31" t="n">
        <x:f>IF(T90="","",I90*T90)</x:f>
        <x:v>217641.15392149464</x:v>
      </x:c>
    </x:row>
    <x:row r="91" ht="18" customHeight="1">
      <x:c r="A91" s="24" t="str">
        <x:v>EEZ_624</x:v>
      </x:c>
      <x:c r="B91" s="24" t="str">
        <x:v>Guinea-Bissau</x:v>
      </x:c>
      <x:c r="C91" s="24" t="str">
        <x:v>EEZ</x:v>
      </x:c>
      <x:c r="D91" s="30" t="n">
        <x:v>2019</x:v>
      </x:c>
      <x:c r="E91" s="24" t="str">
        <x:v>Acanthocybium solandri</x:v>
      </x:c>
      <x:c r="F91" s="24" t="str">
        <x:v>Wahoo</x:v>
      </x:c>
      <x:c r="G91" s="24" t="str">
        <x:v>Large pelagics (&gt;=90 cm)</x:v>
      </x:c>
      <x:c r="H91" s="24" t="str">
        <x:v>Perch-likes</x:v>
      </x:c>
      <x:c r="I91" s="31" t="n">
        <x:v>113.52528261819998</x:v>
      </x:c>
      <x:c r="J91" s="31" t="n">
        <x:v>113.52528261819998</x:v>
      </x:c>
      <x:c r="K91" s="31" t="n">
        <x:v>0</x:v>
      </x:c>
      <x:c r="L91" s="31" t="n">
        <x:v>113.52528261819998</x:v>
      </x:c>
      <x:c r="M91" s="31" t="n">
        <x:v>0</x:v>
      </x:c>
      <x:c r="N91" s="24" t="str">
        <x:v>acanthocybium solandri</x:v>
      </x:c>
      <x:c r="O91" s="32" t="n">
        <x:v>4.26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Acanthocybium solandri</x:v>
      </x:c>
      <x:c r="T91" s="32" t="n">
        <x:f>IF(O91="","",(1/'Metadata'!$B$5)^(O91-1))</x:f>
        <x:v>1819.7008586099826</x:v>
      </x:c>
      <x:c r="U91" s="31" t="n">
        <x:f>IF(T91="","",I91*T91)</x:f>
        <x:v>206582.05425427944</x:v>
      </x:c>
    </x:row>
    <x:row r="92" ht="18" customHeight="1">
      <x:c r="A92" s="24" t="str">
        <x:v>EEZ_624</x:v>
      </x:c>
      <x:c r="B92" s="24" t="str">
        <x:v>Guinea-Bissau</x:v>
      </x:c>
      <x:c r="C92" s="24" t="str">
        <x:v>EEZ</x:v>
      </x:c>
      <x:c r="D92" s="30" t="n">
        <x:v>2019</x:v>
      </x:c>
      <x:c r="E92" s="24" t="str">
        <x:v>Clupeiformes</x:v>
      </x:c>
      <x:c r="F92" s="24" t="str">
        <x:v>Herrings, shads, anchovies</x:v>
      </x:c>
      <x:c r="G92" s="24" t="str">
        <x:v>Small pelagics (&lt;30 cm)</x:v>
      </x:c>
      <x:c r="H92" s="24" t="str">
        <x:v>Other fishes &amp; inverts</x:v>
      </x:c>
      <x:c r="I92" s="31" t="n">
        <x:v>109.30954411900001</x:v>
      </x:c>
      <x:c r="J92" s="31" t="n">
        <x:v>109.30954411900001</x:v>
      </x:c>
      <x:c r="K92" s="31" t="n">
        <x:v>0</x:v>
      </x:c>
      <x:c r="L92" s="31" t="n">
        <x:v>109.30954411900001</x:v>
      </x:c>
      <x:c r="M92" s="31" t="n">
        <x:v>0</x:v>
      </x:c>
      <x:c r="N92" s="24" t="str">
        <x:v>clupeiformes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Clupeiformes</x:v>
      </x:c>
      <x:c r="T92" s="32" t="n">
        <x:f>IF(O92="","",(1/'Metadata'!$B$5)^(O92-1))</x:f>
        <x:v>173.78008287493762</x:v>
      </x:c>
      <x:c r="U92" s="31" t="n">
        <x:f>IF(T92="","",I92*T92)</x:f>
        <x:v>18995.821636021472</x:v>
      </x:c>
    </x:row>
    <x:row r="93" ht="18" customHeight="1">
      <x:c r="A93" s="24" t="str">
        <x:v>EEZ_624</x:v>
      </x:c>
      <x:c r="B93" s="24" t="str">
        <x:v>Guinea-Bissau</x:v>
      </x:c>
      <x:c r="C93" s="24" t="str">
        <x:v>EEZ</x:v>
      </x:c>
      <x:c r="D93" s="30" t="n">
        <x:v>2019</x:v>
      </x:c>
      <x:c r="E93" s="24" t="str">
        <x:v>Decapterus</x:v>
      </x:c>
      <x:c r="F93" s="24" t="str">
        <x:v>Scads</x:v>
      </x:c>
      <x:c r="G93" s="24" t="str">
        <x:v>Medium pelagics (30 - 89 cm)</x:v>
      </x:c>
      <x:c r="H93" s="24" t="str">
        <x:v>Perch-likes</x:v>
      </x:c>
      <x:c r="I93" s="31" t="n">
        <x:v>108.9510236981</x:v>
      </x:c>
      <x:c r="J93" s="31" t="n">
        <x:v>108.9510236981</x:v>
      </x:c>
      <x:c r="K93" s="31" t="n">
        <x:v>0</x:v>
      </x:c>
      <x:c r="L93" s="31" t="n">
        <x:v>0</x:v>
      </x:c>
      <x:c r="M93" s="31" t="n">
        <x:v>108.9510236981</x:v>
      </x:c>
      <x:c r="N93" s="24" t="str">
        <x:v>decapterus</x:v>
      </x:c>
      <x:c r="O93" s="32" t="n">
        <x:v>3.63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Decapterus</x:v>
      </x:c>
      <x:c r="T93" s="32" t="n">
        <x:f>IF(O93="","",(1/'Metadata'!$B$5)^(O93-1))</x:f>
        <x:v>426.57951880159254</x:v>
      </x:c>
      <x:c r="U93" s="31" t="n">
        <x:f>IF(T93="","",I93*T93)</x:f>
        <x:v>46476.27526207641</x:v>
      </x:c>
    </x:row>
    <x:row r="94" ht="18" customHeight="1">
      <x:c r="A94" s="24" t="str">
        <x:v>EEZ_624</x:v>
      </x:c>
      <x:c r="B94" s="24" t="str">
        <x:v>Guinea-Bissau</x:v>
      </x:c>
      <x:c r="C94" s="24" t="str">
        <x:v>EEZ</x:v>
      </x:c>
      <x:c r="D94" s="30" t="n">
        <x:v>2019</x:v>
      </x:c>
      <x:c r="E94" s="24" t="str">
        <x:v>Fistularia tabacaria</x:v>
      </x:c>
      <x:c r="F94" s="24" t="str">
        <x:v>Cornetfish</x:v>
      </x:c>
      <x:c r="G94" s="24" t="str">
        <x:v>Large reef assoc. fish (&gt;=90 cm)</x:v>
      </x:c>
      <x:c r="H94" s="24" t="str">
        <x:v>Other fishes &amp; inverts</x:v>
      </x:c>
      <x:c r="I94" s="31" t="n">
        <x:v>101.6748043487</x:v>
      </x:c>
      <x:c r="J94" s="31" t="n">
        <x:v>101.6748043487</x:v>
      </x:c>
      <x:c r="K94" s="31" t="n">
        <x:v>0</x:v>
      </x:c>
      <x:c r="L94" s="31" t="n">
        <x:v>0</x:v>
      </x:c>
      <x:c r="M94" s="31" t="n">
        <x:v>101.6748043487</x:v>
      </x:c>
      <x:c r="N94" s="24" t="str">
        <x:v>fistularia tabacaria</x:v>
      </x:c>
      <x:c r="O94" s="32" t="n">
        <x:v>3.69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Fistularia tabacaria</x:v>
      </x:c>
      <x:c r="T94" s="32" t="n">
        <x:f>IF(O94="","",(1/'Metadata'!$B$5)^(O94-1))</x:f>
        <x:v>489.77881936844614</x:v>
      </x:c>
      <x:c r="U94" s="31" t="n">
        <x:f>IF(T94="","",I94*T94)</x:f>
        <x:v>49798.16563342403</x:v>
      </x:c>
    </x:row>
    <x:row r="95" ht="18" customHeight="1">
      <x:c r="A95" s="24" t="str">
        <x:v>EEZ_624</x:v>
      </x:c>
      <x:c r="B95" s="24" t="str">
        <x:v>Guinea-Bissau</x:v>
      </x:c>
      <x:c r="C95" s="24" t="str">
        <x:v>EEZ</x:v>
      </x:c>
      <x:c r="D95" s="30" t="n">
        <x:v>2019</x:v>
      </x:c>
      <x:c r="E95" s="24" t="str">
        <x:v>Dentex macrophthalmus</x:v>
      </x:c>
      <x:c r="F95" s="24" t="str">
        <x:v>Large-eye dentex</x:v>
      </x:c>
      <x:c r="G95" s="24" t="str">
        <x:v>Medium benthopelagics (30 - 89 cm)</x:v>
      </x:c>
      <x:c r="H95" s="24" t="str">
        <x:v>Perch-likes</x:v>
      </x:c>
      <x:c r="I95" s="31" t="n">
        <x:v>95.88052617269999</x:v>
      </x:c>
      <x:c r="J95" s="31" t="n">
        <x:v>95.88052617269999</x:v>
      </x:c>
      <x:c r="K95" s="31" t="n">
        <x:v>0</x:v>
      </x:c>
      <x:c r="L95" s="31" t="n">
        <x:v>21.8070277795</x:v>
      </x:c>
      <x:c r="M95" s="31" t="n">
        <x:v>74.0734983932</x:v>
      </x:c>
      <x:c r="N95" s="24" t="str">
        <x:v>dentex macrophthalmus</x:v>
      </x:c>
      <x:c r="O95" s="32" t="n">
        <x:v>3.52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Dentex macrophthalmus</x:v>
      </x:c>
      <x:c r="T95" s="32" t="n">
        <x:f>IF(O95="","",(1/'Metadata'!$B$5)^(O95-1))</x:f>
        <x:v>331.1311214825911</x:v>
      </x:c>
      <x:c r="U95" s="31" t="n">
        <x:f>IF(T95="","",I95*T95)</x:f>
        <x:v>31749.026159907073</x:v>
      </x:c>
    </x:row>
    <x:row r="96" ht="18" customHeight="1">
      <x:c r="A96" s="24" t="str">
        <x:v>EEZ_624</x:v>
      </x:c>
      <x:c r="B96" s="24" t="str">
        <x:v>Guinea-Bissau</x:v>
      </x:c>
      <x:c r="C96" s="24" t="str">
        <x:v>EEZ</x:v>
      </x:c>
      <x:c r="D96" s="30" t="n">
        <x:v>2019</x:v>
      </x:c>
      <x:c r="E96" s="24" t="str">
        <x:v>Caranx hippos</x:v>
      </x:c>
      <x:c r="F96" s="24" t="str">
        <x:v>Crevalle jack</x:v>
      </x:c>
      <x:c r="G96" s="24" t="str">
        <x:v>Large reef assoc. fish (&gt;=90 cm)</x:v>
      </x:c>
      <x:c r="H96" s="24" t="str">
        <x:v>Perch-likes</x:v>
      </x:c>
      <x:c r="I96" s="31" t="n">
        <x:v>90.6509168723</x:v>
      </x:c>
      <x:c r="J96" s="31" t="n">
        <x:v>90.6509168723</x:v>
      </x:c>
      <x:c r="K96" s="31" t="n">
        <x:v>0</x:v>
      </x:c>
      <x:c r="L96" s="31" t="n">
        <x:v>0.9563608666</x:v>
      </x:c>
      <x:c r="M96" s="31" t="n">
        <x:v>89.6945560057</x:v>
      </x:c>
      <x:c r="N96" s="24" t="str">
        <x:v>caranx hippos</x:v>
      </x:c>
      <x:c r="O96" s="32" t="n">
        <x:v>3.56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Caranx hippos</x:v>
      </x:c>
      <x:c r="T96" s="32" t="n">
        <x:f>IF(O96="","",(1/'Metadata'!$B$5)^(O96-1))</x:f>
        <x:v>363.0780547701014</x:v>
      </x:c>
      <x:c r="U96" s="31" t="n">
        <x:f>IF(T96="","",I96*T96)</x:f>
        <x:v>32913.35856112085</x:v>
      </x:c>
    </x:row>
    <x:row r="97" ht="18" customHeight="1">
      <x:c r="A97" s="24" t="str">
        <x:v>EEZ_624</x:v>
      </x:c>
      <x:c r="B97" s="24" t="str">
        <x:v>Guinea-Bissau</x:v>
      </x:c>
      <x:c r="C97" s="24" t="str">
        <x:v>EEZ</x:v>
      </x:c>
      <x:c r="D97" s="30" t="n">
        <x:v>2019</x:v>
      </x:c>
      <x:c r="E97" s="24" t="str">
        <x:v>Sepiida</x:v>
      </x:c>
      <x:c r="F97" s="24" t="str">
        <x:v>Cuttlefishes, bobtail squids</x:v>
      </x:c>
      <x:c r="G97" s="24" t="str">
        <x:v>Cephalopods</x:v>
      </x:c>
      <x:c r="H97" s="24" t="str">
        <x:v>Other fishes &amp; inverts</x:v>
      </x:c>
      <x:c r="I97" s="31" t="n">
        <x:v>84.5947745247</x:v>
      </x:c>
      <x:c r="J97" s="31" t="n">
        <x:v>84.5947745247</x:v>
      </x:c>
      <x:c r="K97" s="31" t="n">
        <x:v>0</x:v>
      </x:c>
      <x:c r="L97" s="31" t="n">
        <x:v>84.5947745247</x:v>
      </x:c>
      <x:c r="M97" s="31" t="n">
        <x:v>0</x:v>
      </x:c>
      <x:c r="N97" s="24" t="str">
        <x:v>sepiida</x:v>
      </x:c>
      <x:c r="O97" s="32" t="n">
        <x:v>3.7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Sepiida</x:v>
      </x:c>
      <x:c r="T97" s="32" t="n">
        <x:f>IF(O97="","",(1/'Metadata'!$B$5)^(O97-1))</x:f>
        <x:v>501.18723362727246</x:v>
      </x:c>
      <x:c r="U97" s="31" t="n">
        <x:f>IF(T97="","",I97*T97)</x:f>
        <x:v>42397.82102335725</x:v>
      </x:c>
    </x:row>
    <x:row r="98" ht="18" customHeight="1">
      <x:c r="A98" s="24" t="str">
        <x:v>EEZ_624</x:v>
      </x:c>
      <x:c r="B98" s="24" t="str">
        <x:v>Guinea-Bissau</x:v>
      </x:c>
      <x:c r="C98" s="24" t="str">
        <x:v>EEZ</x:v>
      </x:c>
      <x:c r="D98" s="30" t="n">
        <x:v>2019</x:v>
      </x:c>
      <x:c r="E98" s="24" t="str">
        <x:v>Lagocephalus laevigatus</x:v>
      </x:c>
      <x:c r="F98" s="24" t="str">
        <x:v>Smooth puffer</x:v>
      </x:c>
      <x:c r="G98" s="24" t="str">
        <x:v>Medium pelagics (30 - 89 cm)</x:v>
      </x:c>
      <x:c r="H98" s="24" t="str">
        <x:v>Other fishes &amp; inverts</x:v>
      </x:c>
      <x:c r="I98" s="31" t="n">
        <x:v>74.6945708944</x:v>
      </x:c>
      <x:c r="J98" s="31" t="n">
        <x:v>74.6945708944</x:v>
      </x:c>
      <x:c r="K98" s="31" t="n">
        <x:v>0</x:v>
      </x:c>
      <x:c r="L98" s="31" t="n">
        <x:v>1.5811270799</x:v>
      </x:c>
      <x:c r="M98" s="31" t="n">
        <x:v>73.1134438145</x:v>
      </x:c>
      <x:c r="N98" s="24" t="str">
        <x:v>lagocephalus laevigatus</x:v>
      </x:c>
      <x:c r="O98" s="32" t="n">
        <x:v>4.02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Lagocephalus laevigatus</x:v>
      </x:c>
      <x:c r="T98" s="32" t="n">
        <x:f>IF(O98="","",(1/'Metadata'!$B$5)^(O98-1))</x:f>
        <x:v>1047.1285480508984</x:v>
      </x:c>
      <x:c r="U98" s="31" t="n">
        <x:f>IF(T98="","",I98*T98)</x:f>
        <x:v>78214.81756793796</x:v>
      </x:c>
    </x:row>
    <x:row r="99" ht="18" customHeight="1">
      <x:c r="A99" s="24" t="str">
        <x:v>EEZ_624</x:v>
      </x:c>
      <x:c r="B99" s="24" t="str">
        <x:v>Guinea-Bissau</x:v>
      </x:c>
      <x:c r="C99" s="24" t="str">
        <x:v>EEZ</x:v>
      </x:c>
      <x:c r="D99" s="30" t="n">
        <x:v>2019</x:v>
      </x:c>
      <x:c r="E99" s="24" t="str">
        <x:v>Hemiramphus brasiliensis</x:v>
      </x:c>
      <x:c r="F99" s="24" t="str">
        <x:v>Ballyhoo halfbeak</x:v>
      </x:c>
      <x:c r="G99" s="24" t="str">
        <x:v>Medium pelagics (30 - 89 cm)</x:v>
      </x:c>
      <x:c r="H99" s="24" t="str">
        <x:v>Other fishes &amp; inverts</x:v>
      </x:c>
      <x:c r="I99" s="31" t="n">
        <x:v>72.9905525105</x:v>
      </x:c>
      <x:c r="J99" s="31" t="n">
        <x:v>72.9905525105</x:v>
      </x:c>
      <x:c r="K99" s="31" t="n">
        <x:v>0</x:v>
      </x:c>
      <x:c r="L99" s="31" t="n">
        <x:v>0</x:v>
      </x:c>
      <x:c r="M99" s="31" t="n">
        <x:v>72.9905525105</x:v>
      </x:c>
      <x:c r="N99" s="24" t="str">
        <x:v>hemiramphus brasiliensis</x:v>
      </x:c>
      <x:c r="O99" s="32" t="n">
        <x:v>2.28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Hemiramphus brasiliensis</x:v>
      </x:c>
      <x:c r="T99" s="32" t="n">
        <x:f>IF(O99="","",(1/'Metadata'!$B$5)^(O99-1))</x:f>
        <x:v>19.054607179632463</x:v>
      </x:c>
      <x:c r="U99" s="31" t="n">
        <x:f>IF(T99="","",I99*T99)</x:f>
        <x:v>1390.8063059119136</x:v>
      </x:c>
    </x:row>
    <x:row r="100" ht="18" customHeight="1">
      <x:c r="A100" s="24" t="str">
        <x:v>EEZ_624</x:v>
      </x:c>
      <x:c r="B100" s="24" t="str">
        <x:v>Guinea-Bissau</x:v>
      </x:c>
      <x:c r="C100" s="24" t="str">
        <x:v>EEZ</x:v>
      </x:c>
      <x:c r="D100" s="30" t="n">
        <x:v>2019</x:v>
      </x:c>
      <x:c r="E100" s="24" t="str">
        <x:v>Sepiidae</x:v>
      </x:c>
      <x:c r="F100" s="24" t="str">
        <x:v>Cuttlefishes</x:v>
      </x:c>
      <x:c r="G100" s="24" t="str">
        <x:v>Cephalopods</x:v>
      </x:c>
      <x:c r="H100" s="24" t="str">
        <x:v>Other fishes &amp; inverts</x:v>
      </x:c>
      <x:c r="I100" s="31" t="n">
        <x:v>69.2948205017</x:v>
      </x:c>
      <x:c r="J100" s="31" t="n">
        <x:v>69.2948205017</x:v>
      </x:c>
      <x:c r="K100" s="31" t="n">
        <x:v>0</x:v>
      </x:c>
      <x:c r="L100" s="31" t="n">
        <x:v>69.2948205017</x:v>
      </x:c>
      <x:c r="M100" s="31" t="n">
        <x:v>0</x:v>
      </x:c>
      <x:c r="N100" s="24" t="str">
        <x:v>sepiidae</x:v>
      </x:c>
      <x:c r="O100" s="32" t="n">
        <x:v>3.6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Sepiidae</x:v>
      </x:c>
      <x:c r="T100" s="32" t="n">
        <x:f>IF(O100="","",(1/'Metadata'!$B$5)^(O100-1))</x:f>
        <x:v>398.1071705534973</x:v>
      </x:c>
      <x:c r="U100" s="31" t="n">
        <x:f>IF(T100="","",I100*T100)</x:f>
        <x:v>27586.764923944265</x:v>
      </x:c>
    </x:row>
    <x:row r="101" ht="18" customHeight="1">
      <x:c r="A101" s="24" t="str">
        <x:v>EEZ_624</x:v>
      </x:c>
      <x:c r="B101" s="24" t="str">
        <x:v>Guinea-Bissau</x:v>
      </x:c>
      <x:c r="C101" s="24" t="str">
        <x:v>EEZ</x:v>
      </x:c>
      <x:c r="D101" s="30" t="n">
        <x:v>2019</x:v>
      </x:c>
      <x:c r="E101" s="24" t="str">
        <x:v>Scomber</x:v>
      </x:c>
      <x:c r="F101" s="24" t="str">
        <x:v>Chub mackerels</x:v>
      </x:c>
      <x:c r="G101" s="24" t="str">
        <x:v>Medium pelagics (30 - 89 cm)</x:v>
      </x:c>
      <x:c r="H101" s="24" t="str">
        <x:v>Perch-likes</x:v>
      </x:c>
      <x:c r="I101" s="31" t="n">
        <x:v>63.32499576</x:v>
      </x:c>
      <x:c r="J101" s="31" t="n">
        <x:v>63.32499576</x:v>
      </x:c>
      <x:c r="K101" s="31" t="n">
        <x:v>0</x:v>
      </x:c>
      <x:c r="L101" s="31" t="n">
        <x:v>63.32499576</x:v>
      </x:c>
      <x:c r="M101" s="31" t="n">
        <x:v>0</x:v>
      </x:c>
      <x:c r="N101" s="24" t="str">
        <x:v>scomber</x:v>
      </x:c>
      <x:c r="O101" s="32" t="n">
        <x:v>3.65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Scomber</x:v>
      </x:c>
      <x:c r="T101" s="32" t="n">
        <x:f>IF(O101="","",(1/'Metadata'!$B$5)^(O101-1))</x:f>
        <x:v>446.683592150963</x:v>
      </x:c>
      <x:c r="U101" s="31" t="n">
        <x:f>IF(T101="","",I101*T101)</x:f>
        <x:v>28286.236579021304</x:v>
      </x:c>
    </x:row>
    <x:row r="102" ht="18" customHeight="1">
      <x:c r="A102" s="24" t="str">
        <x:v>EEZ_624</x:v>
      </x:c>
      <x:c r="B102" s="24" t="str">
        <x:v>Guinea-Bissau</x:v>
      </x:c>
      <x:c r="C102" s="24" t="str">
        <x:v>EEZ</x:v>
      </x:c>
      <x:c r="D102" s="30" t="n">
        <x:v>2019</x:v>
      </x:c>
      <x:c r="E102" s="24" t="str">
        <x:v>Lutjanus agennes</x:v>
      </x:c>
      <x:c r="F102" s="24" t="str">
        <x:v>African red snapper</x:v>
      </x:c>
      <x:c r="G102" s="24" t="str">
        <x:v>Large reef assoc. fish (&gt;=90 cm)</x:v>
      </x:c>
      <x:c r="H102" s="24" t="str">
        <x:v>Perch-likes</x:v>
      </x:c>
      <x:c r="I102" s="31" t="n">
        <x:v>61.2325091951</x:v>
      </x:c>
      <x:c r="J102" s="31" t="n">
        <x:v>61.2325091951</x:v>
      </x:c>
      <x:c r="K102" s="31" t="n">
        <x:v>0</x:v>
      </x:c>
      <x:c r="L102" s="31" t="n">
        <x:v>0</x:v>
      </x:c>
      <x:c r="M102" s="31" t="n">
        <x:v>61.2325091951</x:v>
      </x:c>
      <x:c r="N102" s="24" t="str">
        <x:v>lutjanus agennes</x:v>
      </x:c>
      <x:c r="O102" s="32" t="n">
        <x:v>4.01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Lutjanus agennes</x:v>
      </x:c>
      <x:c r="T102" s="32" t="n">
        <x:f>IF(O102="","",(1/'Metadata'!$B$5)^(O102-1))</x:f>
        <x:v>1023.2929922807537</x:v>
      </x:c>
      <x:c r="U102" s="31" t="n">
        <x:f>IF(T102="","",I102*T102)</x:f>
        <x:v>62658.797559112645</x:v>
      </x:c>
    </x:row>
    <x:row r="103" ht="18" customHeight="1">
      <x:c r="A103" s="24" t="str">
        <x:v>EEZ_624</x:v>
      </x:c>
      <x:c r="B103" s="24" t="str">
        <x:v>Guinea-Bissau</x:v>
      </x:c>
      <x:c r="C103" s="24" t="str">
        <x:v>EEZ</x:v>
      </x:c>
      <x:c r="D103" s="30" t="n">
        <x:v>2019</x:v>
      </x:c>
      <x:c r="E103" s="24" t="str">
        <x:v>Pagellus bellottii</x:v>
      </x:c>
      <x:c r="F103" s="24" t="str">
        <x:v>Red pandora</x:v>
      </x:c>
      <x:c r="G103" s="24" t="str">
        <x:v>Medium demersals (30 - 89 cm)</x:v>
      </x:c>
      <x:c r="H103" s="24" t="str">
        <x:v>Perch-likes</x:v>
      </x:c>
      <x:c r="I103" s="31" t="n">
        <x:v>58.0061793064</x:v>
      </x:c>
      <x:c r="J103" s="31" t="n">
        <x:v>58.0061793064</x:v>
      </x:c>
      <x:c r="K103" s="31" t="n">
        <x:v>0</x:v>
      </x:c>
      <x:c r="L103" s="31" t="n">
        <x:v>28.686896628</x:v>
      </x:c>
      <x:c r="M103" s="31" t="n">
        <x:v>29.3192826784</x:v>
      </x:c>
      <x:c r="N103" s="24" t="str">
        <x:v>pagellus bellottii</x:v>
      </x:c>
      <x:c r="O103" s="32" t="n">
        <x:v>3.6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bellottii</x:v>
      </x:c>
      <x:c r="T103" s="32" t="n">
        <x:f>IF(O103="","",(1/'Metadata'!$B$5)^(O103-1))</x:f>
        <x:v>398.1071705534973</x:v>
      </x:c>
      <x:c r="U103" s="31" t="n">
        <x:f>IF(T103="","",I103*T103)</x:f>
        <x:v>23092.675918289733</x:v>
      </x:c>
    </x:row>
    <x:row r="104" ht="18" customHeight="1">
      <x:c r="A104" s="24" t="str">
        <x:v>EEZ_624</x:v>
      </x:c>
      <x:c r="B104" s="24" t="str">
        <x:v>Guinea-Bissau</x:v>
      </x:c>
      <x:c r="C104" s="24" t="str">
        <x:v>EEZ</x:v>
      </x:c>
      <x:c r="D104" s="30" t="n">
        <x:v>2019</x:v>
      </x:c>
      <x:c r="E104" s="24" t="str">
        <x:v>Scombroidei</x:v>
      </x:c>
      <x:c r="F104" s="24" t="str">
        <x:v>Tunas, bonitos, billfishes</x:v>
      </x:c>
      <x:c r="G104" s="24" t="str">
        <x:v>Large pelagics (&gt;=90 cm)</x:v>
      </x:c>
      <x:c r="H104" s="24" t="str">
        <x:v>Tuna &amp; billfishes</x:v>
      </x:c>
      <x:c r="I104" s="31" t="n">
        <x:v>57.0669138404</x:v>
      </x:c>
      <x:c r="J104" s="31" t="n">
        <x:v>57.0669138404</x:v>
      </x:c>
      <x:c r="K104" s="31" t="n">
        <x:v>0</x:v>
      </x:c>
      <x:c r="L104" s="31" t="n">
        <x:v>0</x:v>
      </x:c>
      <x:c r="M104" s="31" t="n">
        <x:v>57.0669138404</x:v>
      </x:c>
      <x:c r="N104" s="24" t="str">
        <x:v>scombroidei</x:v>
      </x:c>
      <x:c r="O104" s="32" t="n">
        <x:v>4.2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Scombroidei</x:v>
      </x:c>
      <x:c r="T104" s="32" t="n">
        <x:f>IF(O104="","",(1/'Metadata'!$B$5)^(O104-1))</x:f>
        <x:v>1584.893192461114</x:v>
      </x:c>
      <x:c r="U104" s="31" t="n">
        <x:f>IF(T104="","",I104*T104)</x:f>
        <x:v>90444.9632604149</x:v>
      </x:c>
    </x:row>
    <x:row r="105" ht="18" customHeight="1">
      <x:c r="A105" s="24" t="str">
        <x:v>EEZ_624</x:v>
      </x:c>
      <x:c r="B105" s="24" t="str">
        <x:v>Guinea-Bissau</x:v>
      </x:c>
      <x:c r="C105" s="24" t="str">
        <x:v>EEZ</x:v>
      </x:c>
      <x:c r="D105" s="30" t="n">
        <x:v>2019</x:v>
      </x:c>
      <x:c r="E105" s="24" t="str">
        <x:v>Pteroscion peli</x:v>
      </x:c>
      <x:c r="F105" s="24" t="str">
        <x:v>Boe drum</x:v>
      </x:c>
      <x:c r="G105" s="24" t="str">
        <x:v>Medium benthopelagics (30 - 89 cm)</x:v>
      </x:c>
      <x:c r="H105" s="24" t="str">
        <x:v>Perch-likes</x:v>
      </x:c>
      <x:c r="I105" s="31" t="n">
        <x:v>55.0136508536</x:v>
      </x:c>
      <x:c r="J105" s="31" t="n">
        <x:v>55.0136508536</x:v>
      </x:c>
      <x:c r="K105" s="31" t="n">
        <x:v>0</x:v>
      </x:c>
      <x:c r="L105" s="31" t="n">
        <x:v>0</x:v>
      </x:c>
      <x:c r="M105" s="31" t="n">
        <x:v>55.0136508536</x:v>
      </x:c>
      <x:c r="N105" s="24" t="str">
        <x:v>pteroscion peli</x:v>
      </x:c>
      <x:c r="O105" s="32" t="n">
        <x:v>3.56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Pteroscion peli</x:v>
      </x:c>
      <x:c r="T105" s="32" t="n">
        <x:f>IF(O105="","",(1/'Metadata'!$B$5)^(O105-1))</x:f>
        <x:v>363.0780547701014</x:v>
      </x:c>
      <x:c r="U105" s="31" t="n">
        <x:f>IF(T105="","",I105*T105)</x:f>
        <x:v>19974.249337726615</x:v>
      </x:c>
    </x:row>
    <x:row r="106" ht="18" customHeight="1">
      <x:c r="A106" s="24" t="str">
        <x:v>EEZ_624</x:v>
      </x:c>
      <x:c r="B106" s="24" t="str">
        <x:v>Guinea-Bissau</x:v>
      </x:c>
      <x:c r="C106" s="24" t="str">
        <x:v>EEZ</x:v>
      </x:c>
      <x:c r="D106" s="30" t="n">
        <x:v>2019</x:v>
      </x:c>
      <x:c r="E106" s="24" t="str">
        <x:v>Engraulis encrasicolus</x:v>
      </x:c>
      <x:c r="F106" s="24" t="str">
        <x:v>European anchovy</x:v>
      </x:c>
      <x:c r="G106" s="24" t="str">
        <x:v>Small pelagics (&lt;30 cm)</x:v>
      </x:c>
      <x:c r="H106" s="24" t="str">
        <x:v>Anchovies</x:v>
      </x:c>
      <x:c r="I106" s="31" t="n">
        <x:v>52.529000159599995</x:v>
      </x:c>
      <x:c r="J106" s="31" t="n">
        <x:v>50.0254032297</x:v>
      </x:c>
      <x:c r="K106" s="31" t="n">
        <x:v>2.5035969299</x:v>
      </x:c>
      <x:c r="L106" s="31" t="n">
        <x:v>25.4596813038</x:v>
      </x:c>
      <x:c r="M106" s="31" t="n">
        <x:v>27.0693188558</x:v>
      </x:c>
      <x:c r="N106" s="24" t="str">
        <x:v>engraulis encrasicolus</x:v>
      </x:c>
      <x:c r="O106" s="32" t="n">
        <x:v>3.11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Engraulis encrasicolus</x:v>
      </x:c>
      <x:c r="T106" s="32" t="n">
        <x:f>IF(O106="","",(1/'Metadata'!$B$5)^(O106-1))</x:f>
        <x:v>128.82495516931337</x:v>
      </x:c>
      <x:c r="U106" s="31" t="n">
        <x:f>IF(T106="","",I106*T106)</x:f>
        <x:v>6767.0460906493245</x:v>
      </x:c>
    </x:row>
    <x:row r="107" ht="18" customHeight="1">
      <x:c r="A107" s="24" t="str">
        <x:v>EEZ_624</x:v>
      </x:c>
      <x:c r="B107" s="24" t="str">
        <x:v>Guinea-Bissau</x:v>
      </x:c>
      <x:c r="C107" s="24" t="str">
        <x:v>EEZ</x:v>
      </x:c>
      <x:c r="D107" s="30" t="n">
        <x:v>2019</x:v>
      </x:c>
      <x:c r="E107" s="24" t="str">
        <x:v>Pseudotolithus senegalensis</x:v>
      </x:c>
      <x:c r="F107" s="24" t="str">
        <x:v>Cassava croaker</x:v>
      </x:c>
      <x:c r="G107" s="24" t="str">
        <x:v>Large demersals (&gt;=90 cm)</x:v>
      </x:c>
      <x:c r="H107" s="24" t="str">
        <x:v>Perch-likes</x:v>
      </x:c>
      <x:c r="I107" s="31" t="n">
        <x:v>47.6519020655</x:v>
      </x:c>
      <x:c r="J107" s="31" t="n">
        <x:v>47.6519020655</x:v>
      </x:c>
      <x:c r="K107" s="31" t="n">
        <x:v>0</x:v>
      </x:c>
      <x:c r="L107" s="31" t="n">
        <x:v>0.0022832160000000002</x:v>
      </x:c>
      <x:c r="M107" s="31" t="n">
        <x:v>47.6496188495</x:v>
      </x:c>
      <x:c r="N107" s="24" t="str">
        <x:v>pseudotolithus senegalensis</x:v>
      </x:c>
      <x:c r="O107" s="32" t="n">
        <x:v>3.79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Pseudotolithus senegalensis</x:v>
      </x:c>
      <x:c r="T107" s="32" t="n">
        <x:f>IF(O107="","",(1/'Metadata'!$B$5)^(O107-1))</x:f>
        <x:v>616.5950018614822</x:v>
      </x:c>
      <x:c r="U107" s="31" t="n">
        <x:f>IF(T107="","",I107*T107)</x:f>
        <x:v>29381.92464278014</x:v>
      </x:c>
    </x:row>
    <x:row r="108" ht="18" customHeight="1">
      <x:c r="A108" s="24" t="str">
        <x:v>EEZ_624</x:v>
      </x:c>
      <x:c r="B108" s="24" t="str">
        <x:v>Guinea-Bissau</x:v>
      </x:c>
      <x:c r="C108" s="24" t="str">
        <x:v>EEZ</x:v>
      </x:c>
      <x:c r="D108" s="30" t="n">
        <x:v>2019</x:v>
      </x:c>
      <x:c r="E108" s="24" t="str">
        <x:v>Gastropoda</x:v>
      </x:c>
      <x:c r="F108" s="24" t="str">
        <x:v>Sea snails</x:v>
      </x:c>
      <x:c r="G108" s="24" t="str">
        <x:v>Other demersal invertebrates</x:v>
      </x:c>
      <x:c r="H108" s="24" t="str">
        <x:v>Molluscs</x:v>
      </x:c>
      <x:c r="I108" s="31" t="n">
        <x:v>46.1334946186</x:v>
      </x:c>
      <x:c r="J108" s="31" t="n">
        <x:v>46.1334946186</x:v>
      </x:c>
      <x:c r="K108" s="31" t="n">
        <x:v>0</x:v>
      </x:c>
      <x:c r="L108" s="31" t="n">
        <x:v>0</x:v>
      </x:c>
      <x:c r="M108" s="31" t="n">
        <x:v>46.1334946186</x:v>
      </x:c>
      <x:c r="N108" s="24" t="str">
        <x:v>gastropoda</x:v>
      </x:c>
      <x:c r="O108" s="32" t="n">
        <x:v>3.06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Gastropoda</x:v>
      </x:c>
      <x:c r="T108" s="32" t="n">
        <x:f>IF(O108="","",(1/'Metadata'!$B$5)^(O108-1))</x:f>
        <x:v>114.81536214968828</x:v>
      </x:c>
      <x:c r="U108" s="31" t="n">
        <x:f>IF(T108="","",I108*T108)</x:f>
        <x:v>5296.833891865254</x:v>
      </x:c>
    </x:row>
    <x:row r="109" ht="18" customHeight="1">
      <x:c r="A109" s="24" t="str">
        <x:v>EEZ_624</x:v>
      </x:c>
      <x:c r="B109" s="24" t="str">
        <x:v>Guinea-Bissau</x:v>
      </x:c>
      <x:c r="C109" s="24" t="str">
        <x:v>EEZ</x:v>
      </x:c>
      <x:c r="D109" s="30" t="n">
        <x:v>2019</x:v>
      </x:c>
      <x:c r="E109" s="24" t="str">
        <x:v>Myliobatidae</x:v>
      </x:c>
      <x:c r="F109" s="24" t="str">
        <x:v>Eagle/manta rays</x:v>
      </x:c>
      <x:c r="G109" s="24" t="str">
        <x:v>Large rays (&gt;=90 cm)</x:v>
      </x:c>
      <x:c r="H109" s="24" t="str">
        <x:v>Sharks &amp; rays</x:v>
      </x:c>
      <x:c r="I109" s="31" t="n">
        <x:v>43.8506582799</x:v>
      </x:c>
      <x:c r="J109" s="31" t="n">
        <x:v>43.8506582799</x:v>
      </x:c>
      <x:c r="K109" s="31" t="n">
        <x:v>0</x:v>
      </x:c>
      <x:c r="L109" s="31" t="n">
        <x:v>43.8506582799</x:v>
      </x:c>
      <x:c r="M109" s="31" t="n">
        <x:v>0</x:v>
      </x:c>
      <x:c r="N109" s="24" t="str">
        <x:v>myliobatidae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Myliobatidae</x:v>
      </x:c>
      <x:c r="T109" s="32" t="n">
        <x:f>IF(O109="","",(1/'Metadata'!$B$5)^(O109-1))</x:f>
        <x:v>229.08676527677724</x:v>
      </x:c>
      <x:c r="U109" s="31" t="n">
        <x:f>IF(T109="","",I109*T109)</x:f>
        <x:v>10045.60546059962</x:v>
      </x:c>
    </x:row>
    <x:row r="110" ht="18" customHeight="1">
      <x:c r="A110" s="24" t="str">
        <x:v>EEZ_624</x:v>
      </x:c>
      <x:c r="B110" s="24" t="str">
        <x:v>Guinea-Bissau</x:v>
      </x:c>
      <x:c r="C110" s="24" t="str">
        <x:v>EEZ</x:v>
      </x:c>
      <x:c r="D110" s="30" t="n">
        <x:v>2019</x:v>
      </x:c>
      <x:c r="E110" s="24" t="str">
        <x:v>Scorpaenidae</x:v>
      </x:c>
      <x:c r="F110" s="24" t="str">
        <x:v>Scorpionfishes, rockfishes</x:v>
      </x:c>
      <x:c r="G110" s="24" t="str">
        <x:v>Large reef assoc. fish (&gt;=90 cm)</x:v>
      </x:c>
      <x:c r="H110" s="24" t="str">
        <x:v>Scorpionfishes</x:v>
      </x:c>
      <x:c r="I110" s="31" t="n">
        <x:v>41.1515493141</x:v>
      </x:c>
      <x:c r="J110" s="31" t="n">
        <x:v>41.1515493141</x:v>
      </x:c>
      <x:c r="K110" s="31" t="n">
        <x:v>0</x:v>
      </x:c>
      <x:c r="L110" s="31" t="n">
        <x:v>41.1515493141</x:v>
      </x:c>
      <x:c r="M110" s="31" t="n">
        <x:v>0</x:v>
      </x:c>
      <x:c r="N110" s="24" t="str">
        <x:v>scorpaenidae</x:v>
      </x:c>
      <x:c r="O110" s="32" t="n">
        <x:v>3.92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Scorpaenidae</x:v>
      </x:c>
      <x:c r="T110" s="32" t="n">
        <x:f>IF(O110="","",(1/'Metadata'!$B$5)^(O110-1))</x:f>
        <x:v>831.7637711026708</x:v>
      </x:c>
      <x:c r="U110" s="31" t="n">
        <x:f>IF(T110="","",I110*T110)</x:f>
        <x:v>34228.367844213346</x:v>
      </x:c>
    </x:row>
    <x:row r="111" ht="18" customHeight="1">
      <x:c r="A111" s="24" t="str">
        <x:v>EEZ_624</x:v>
      </x:c>
      <x:c r="B111" s="24" t="str">
        <x:v>Guinea-Bissau</x:v>
      </x:c>
      <x:c r="C111" s="24" t="str">
        <x:v>EEZ</x:v>
      </x:c>
      <x:c r="D111" s="30" t="n">
        <x:v>2019</x:v>
      </x:c>
      <x:c r="E111" s="24" t="str">
        <x:v>Epinephelus goreensis</x:v>
      </x:c>
      <x:c r="F111" s="24" t="str">
        <x:v>Dungat grouper</x:v>
      </x:c>
      <x:c r="G111" s="24" t="str">
        <x:v>Large demersals (&gt;=90 cm)</x:v>
      </x:c>
      <x:c r="H111" s="24" t="str">
        <x:v>Perch-likes</x:v>
      </x:c>
      <x:c r="I111" s="31" t="n">
        <x:v>40.5991616658</x:v>
      </x:c>
      <x:c r="J111" s="31" t="n">
        <x:v>40.5991616658</x:v>
      </x:c>
      <x:c r="K111" s="31" t="n">
        <x:v>0</x:v>
      </x:c>
      <x:c r="L111" s="31" t="n">
        <x:v>7.6981119488</x:v>
      </x:c>
      <x:c r="M111" s="31" t="n">
        <x:v>32.901049717</x:v>
      </x:c>
      <x:c r="N111" s="24" t="str">
        <x:v>epinephelus goreensis</x:v>
      </x:c>
      <x:c r="O111" s="32" t="n">
        <x:v>3.94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Epinephelus goreensis</x:v>
      </x:c>
      <x:c r="T111" s="32" t="n">
        <x:f>IF(O111="","",(1/'Metadata'!$B$5)^(O111-1))</x:f>
        <x:v>870.9635899560806</x:v>
      </x:c>
      <x:c r="U111" s="31" t="n">
        <x:f>IF(T111="","",I111*T111)</x:f>
        <x:v>35360.39159365245</x:v>
      </x:c>
    </x:row>
    <x:row r="112" ht="18" customHeight="1">
      <x:c r="A112" s="24" t="str">
        <x:v>EEZ_624</x:v>
      </x:c>
      <x:c r="B112" s="24" t="str">
        <x:v>Guinea-Bissau</x:v>
      </x:c>
      <x:c r="C112" s="24" t="str">
        <x:v>EEZ</x:v>
      </x:c>
      <x:c r="D112" s="30" t="n">
        <x:v>2019</x:v>
      </x:c>
      <x:c r="E112" s="24" t="str">
        <x:v>Lophiidae</x:v>
      </x:c>
      <x:c r="F112" s="24" t="str">
        <x:v>Goosefishes</x:v>
      </x:c>
      <x:c r="G112" s="24" t="str">
        <x:v>Medium bathydemersals (30 - 89 cm)</x:v>
      </x:c>
      <x:c r="H112" s="24" t="str">
        <x:v>Other fishes &amp; inverts</x:v>
      </x:c>
      <x:c r="I112" s="31" t="n">
        <x:v>37.994680513</x:v>
      </x:c>
      <x:c r="J112" s="31" t="n">
        <x:v>37.994680513</x:v>
      </x:c>
      <x:c r="K112" s="31" t="n">
        <x:v>0</x:v>
      </x:c>
      <x:c r="L112" s="31" t="n">
        <x:v>37.994680513</x:v>
      </x:c>
      <x:c r="M112" s="31" t="n">
        <x:v>0</x:v>
      </x:c>
      <x:c r="N112" s="24" t="str">
        <x:v>lophiidae</x:v>
      </x:c>
      <x:c r="O112" s="32" t="n">
        <x:v>4.46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Lophiidae</x:v>
      </x:c>
      <x:c r="T112" s="32" t="n">
        <x:f>IF(O112="","",(1/'Metadata'!$B$5)^(O112-1))</x:f>
        <x:v>2884.031503126606</x:v>
      </x:c>
      <x:c r="U112" s="31" t="n">
        <x:f>IF(T112="","",I112*T112)</x:f>
        <x:v>109577.85555072255</x:v>
      </x:c>
    </x:row>
    <x:row r="113" ht="18" customHeight="1">
      <x:c r="A113" s="24" t="str">
        <x:v>EEZ_624</x:v>
      </x:c>
      <x:c r="B113" s="24" t="str">
        <x:v>Guinea-Bissau</x:v>
      </x:c>
      <x:c r="C113" s="24" t="str">
        <x:v>EEZ</x:v>
      </x:c>
      <x:c r="D113" s="30" t="n">
        <x:v>2019</x:v>
      </x:c>
      <x:c r="E113" s="24" t="str">
        <x:v>Sphyraena</x:v>
      </x:c>
      <x:c r="F113" s="24" t="str">
        <x:v>Barracudas, sennets</x:v>
      </x:c>
      <x:c r="G113" s="24" t="str">
        <x:v>Large pelagics (&gt;=90 cm)</x:v>
      </x:c>
      <x:c r="H113" s="24" t="str">
        <x:v>Perch-likes</x:v>
      </x:c>
      <x:c r="I113" s="31" t="n">
        <x:v>36.5567219073</x:v>
      </x:c>
      <x:c r="J113" s="31" t="n">
        <x:v>36.5567219073</x:v>
      </x:c>
      <x:c r="K113" s="31" t="n">
        <x:v>0</x:v>
      </x:c>
      <x:c r="L113" s="31" t="n">
        <x:v>0</x:v>
      </x:c>
      <x:c r="M113" s="31" t="n">
        <x:v>36.5567219073</x:v>
      </x:c>
      <x:c r="N113" s="24" t="str">
        <x:v>sphyraena</x:v>
      </x:c>
      <x:c r="O113" s="32" t="n">
        <x:v>4.4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Sphyraena</x:v>
      </x:c>
      <x:c r="T113" s="32" t="n">
        <x:f>IF(O113="","",(1/'Metadata'!$B$5)^(O113-1))</x:f>
        <x:v>2511.886431509582</x:v>
      </x:c>
      <x:c r="U113" s="31" t="n">
        <x:f>IF(T113="","",I113*T113)</x:f>
        <x:v>91826.33373941596</x:v>
      </x:c>
    </x:row>
    <x:row r="114" ht="18" customHeight="1">
      <x:c r="A114" s="24" t="str">
        <x:v>EEZ_624</x:v>
      </x:c>
      <x:c r="B114" s="24" t="str">
        <x:v>Guinea-Bissau</x:v>
      </x:c>
      <x:c r="C114" s="24" t="str">
        <x:v>EEZ</x:v>
      </x:c>
      <x:c r="D114" s="30" t="n">
        <x:v>2019</x:v>
      </x:c>
      <x:c r="E114" s="24" t="str">
        <x:v>Arnoglossus laterna</x:v>
      </x:c>
      <x:c r="F114" s="24" t="str">
        <x:v>Mediterranean scaldfish</x:v>
      </x:c>
      <x:c r="G114" s="24" t="str">
        <x:v>Small to medium flatfishes (&lt;90 cm)</x:v>
      </x:c>
      <x:c r="H114" s="24" t="str">
        <x:v>Flatfishes</x:v>
      </x:c>
      <x:c r="I114" s="31" t="n">
        <x:v>35.8437549852</x:v>
      </x:c>
      <x:c r="J114" s="31" t="n">
        <x:v>35.8437549852</x:v>
      </x:c>
      <x:c r="K114" s="31" t="n">
        <x:v>0</x:v>
      </x:c>
      <x:c r="L114" s="31" t="n">
        <x:v>35.8437549852</x:v>
      </x:c>
      <x:c r="M114" s="31" t="n">
        <x:v>0</x:v>
      </x:c>
      <x:c r="N114" s="24" t="str">
        <x:v>arnoglossus laterna</x:v>
      </x:c>
      <x:c r="O114" s="32" t="n">
        <x:v>3.59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Arnoglossus laterna</x:v>
      </x:c>
      <x:c r="T114" s="32" t="n">
        <x:f>IF(O114="","",(1/'Metadata'!$B$5)^(O114-1))</x:f>
        <x:v>389.04514499428046</x:v>
      </x:c>
      <x:c r="U114" s="31" t="n">
        <x:f>IF(T114="","",I114*T114)</x:f>
        <x:v>13944.838855356596</x:v>
      </x:c>
    </x:row>
    <x:row r="115" ht="18" customHeight="1">
      <x:c r="A115" s="24" t="str">
        <x:v>EEZ_624</x:v>
      </x:c>
      <x:c r="B115" s="24" t="str">
        <x:v>Guinea-Bissau</x:v>
      </x:c>
      <x:c r="C115" s="24" t="str">
        <x:v>EEZ</x:v>
      </x:c>
      <x:c r="D115" s="30" t="n">
        <x:v>2019</x:v>
      </x:c>
      <x:c r="E115" s="24" t="str">
        <x:v>Pomatomus saltatrix</x:v>
      </x:c>
      <x:c r="F115" s="24" t="str">
        <x:v>Bluefish</x:v>
      </x:c>
      <x:c r="G115" s="24" t="str">
        <x:v>Large pelagics (&gt;=90 cm)</x:v>
      </x:c>
      <x:c r="H115" s="24" t="str">
        <x:v>Perch-likes</x:v>
      </x:c>
      <x:c r="I115" s="31" t="n">
        <x:v>35.3110763273</x:v>
      </x:c>
      <x:c r="J115" s="31" t="n">
        <x:v>35.3110763273</x:v>
      </x:c>
      <x:c r="K115" s="31" t="n">
        <x:v>0</x:v>
      </x:c>
      <x:c r="L115" s="31" t="n">
        <x:v>0.1849404959</x:v>
      </x:c>
      <x:c r="M115" s="31" t="n">
        <x:v>35.1261358314</x:v>
      </x:c>
      <x:c r="N115" s="24" t="str">
        <x:v>pomatomus saltatrix</x:v>
      </x:c>
      <x:c r="O115" s="32" t="n">
        <x:v>4.53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Pomatomus saltatrix</x:v>
      </x:c>
      <x:c r="T115" s="32" t="n">
        <x:f>IF(O115="","",(1/'Metadata'!$B$5)^(O115-1))</x:f>
        <x:v>3388.4415613920273</x:v>
      </x:c>
      <x:c r="U115" s="31" t="n">
        <x:f>IF(T115="","",I115*T115)</x:f>
        <x:v>119649.51860490946</x:v>
      </x:c>
    </x:row>
    <x:row r="116" ht="18" customHeight="1">
      <x:c r="A116" s="24" t="str">
        <x:v>EEZ_624</x:v>
      </x:c>
      <x:c r="B116" s="24" t="str">
        <x:v>Guinea-Bissau</x:v>
      </x:c>
      <x:c r="C116" s="24" t="str">
        <x:v>EEZ</x:v>
      </x:c>
      <x:c r="D116" s="30" t="n">
        <x:v>2019</x:v>
      </x:c>
      <x:c r="E116" s="24" t="str">
        <x:v>Pseudotolithus senegallus</x:v>
      </x:c>
      <x:c r="F116" s="24" t="str">
        <x:v>Law croaker</x:v>
      </x:c>
      <x:c r="G116" s="24" t="str">
        <x:v>Large demersals (&gt;=90 cm)</x:v>
      </x:c>
      <x:c r="H116" s="24" t="str">
        <x:v>Perch-likes</x:v>
      </x:c>
      <x:c r="I116" s="31" t="n">
        <x:v>34.8802947416</x:v>
      </x:c>
      <x:c r="J116" s="31" t="n">
        <x:v>34.8802947416</x:v>
      </x:c>
      <x:c r="K116" s="31" t="n">
        <x:v>0</x:v>
      </x:c>
      <x:c r="L116" s="31" t="n">
        <x:v>34.8802947416</x:v>
      </x:c>
      <x:c r="M116" s="31" t="n">
        <x:v>0</x:v>
      </x:c>
      <x:c r="N116" s="24" t="str">
        <x:v>pseudotolithus senegallus</x:v>
      </x:c>
      <x:c r="O116" s="32" t="n">
        <x:v>3.89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Pseudotolithus senegallus</x:v>
      </x:c>
      <x:c r="T116" s="32" t="n">
        <x:f>IF(O116="","",(1/'Metadata'!$B$5)^(O116-1))</x:f>
        <x:v>776.247116628692</x:v>
      </x:c>
      <x:c r="U116" s="31" t="n">
        <x:f>IF(T116="","",I116*T116)</x:f>
        <x:v>27075.728220325924</x:v>
      </x:c>
    </x:row>
    <x:row r="117" ht="18" customHeight="1">
      <x:c r="A117" s="24" t="str">
        <x:v>EEZ_624</x:v>
      </x:c>
      <x:c r="B117" s="24" t="str">
        <x:v>Guinea-Bissau</x:v>
      </x:c>
      <x:c r="C117" s="24" t="str">
        <x:v>EEZ</x:v>
      </x:c>
      <x:c r="D117" s="30" t="n">
        <x:v>2019</x:v>
      </x:c>
      <x:c r="E117" s="24" t="str">
        <x:v>Carangidae</x:v>
      </x:c>
      <x:c r="F117" s="24" t="str">
        <x:v>Jacks, pompanos</x:v>
      </x:c>
      <x:c r="G117" s="24" t="str">
        <x:v>Medium pelagics (30 - 89 cm)</x:v>
      </x:c>
      <x:c r="H117" s="24" t="str">
        <x:v>Perch-likes</x:v>
      </x:c>
      <x:c r="I117" s="31" t="n">
        <x:v>33.3920628358</x:v>
      </x:c>
      <x:c r="J117" s="31" t="n">
        <x:v>33.3920628358</x:v>
      </x:c>
      <x:c r="K117" s="31" t="n">
        <x:v>0</x:v>
      </x:c>
      <x:c r="L117" s="31" t="n">
        <x:v>0.2904722406</x:v>
      </x:c>
      <x:c r="M117" s="31" t="n">
        <x:v>33.1015905952</x:v>
      </x:c>
      <x:c r="N117" s="24" t="str">
        <x:v>carangidae</x:v>
      </x:c>
      <x:c r="O117" s="32" t="n">
        <x:v>4.05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Carangidae</x:v>
      </x:c>
      <x:c r="T117" s="32" t="n">
        <x:f>IF(O117="","",(1/'Metadata'!$B$5)^(O117-1))</x:f>
        <x:v>1122.018454301963</x:v>
      </x:c>
      <x:c r="U117" s="31" t="n">
        <x:f>IF(T117="","",I117*T117)</x:f>
        <x:v>37466.510728978334</x:v>
      </x:c>
    </x:row>
    <x:row r="118" ht="18" customHeight="1">
      <x:c r="A118" s="24" t="str">
        <x:v>EEZ_624</x:v>
      </x:c>
      <x:c r="B118" s="24" t="str">
        <x:v>Guinea-Bissau</x:v>
      </x:c>
      <x:c r="C118" s="24" t="str">
        <x:v>EEZ</x:v>
      </x:c>
      <x:c r="D118" s="30" t="n">
        <x:v>2019</x:v>
      </x:c>
      <x:c r="E118" s="24" t="str">
        <x:v>Aristeus varidens</x:v>
      </x:c>
      <x:c r="F118" s="24" t="str">
        <x:v>Striped red shrimp</x:v>
      </x:c>
      <x:c r="G118" s="24" t="str">
        <x:v>Shrimps</x:v>
      </x:c>
      <x:c r="H118" s="24" t="str">
        <x:v>Crustaceans</x:v>
      </x:c>
      <x:c r="I118" s="31" t="n">
        <x:v>26.5195598701</x:v>
      </x:c>
      <x:c r="J118" s="31" t="n">
        <x:v>26.5195598701</x:v>
      </x:c>
      <x:c r="K118" s="31" t="n">
        <x:v>0</x:v>
      </x:c>
      <x:c r="L118" s="31" t="n">
        <x:v>26.5195598701</x:v>
      </x:c>
      <x:c r="M118" s="31" t="n">
        <x:v>0</x:v>
      </x:c>
      <x:c r="N118" s="24" t="str">
        <x:v>aristeus varidens</x:v>
      </x:c>
      <x:c r="O118" s="32" t="n">
        <x:v>3.77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Aristeus varidens</x:v>
      </x:c>
      <x:c r="T118" s="32" t="n">
        <x:f>IF(O118="","",(1/'Metadata'!$B$5)^(O118-1))</x:f>
        <x:v>588.843655355589</x:v>
      </x:c>
      <x:c r="U118" s="31" t="n">
        <x:f>IF(T118="","",I118*T118)</x:f>
        <x:v>15615.874572331073</x:v>
      </x:c>
    </x:row>
    <x:row r="119" ht="18" customHeight="1">
      <x:c r="A119" s="24" t="str">
        <x:v>EEZ_624</x:v>
      </x:c>
      <x:c r="B119" s="24" t="str">
        <x:v>Guinea-Bissau</x:v>
      </x:c>
      <x:c r="C119" s="24" t="str">
        <x:v>EEZ</x:v>
      </x:c>
      <x:c r="D119" s="30" t="n">
        <x:v>2019</x:v>
      </x:c>
      <x:c r="E119" s="24" t="str">
        <x:v>Crassostrea</x:v>
      </x:c>
      <x:c r="F119" s="24" t="str">
        <x:v>Cupped oysters</x:v>
      </x:c>
      <x:c r="G119" s="24" t="str">
        <x:v>Other demersal invertebrates</x:v>
      </x:c>
      <x:c r="H119" s="24" t="str">
        <x:v>Molluscs</x:v>
      </x:c>
      <x:c r="I119" s="31" t="n">
        <x:v>26.2028976673</x:v>
      </x:c>
      <x:c r="J119" s="31" t="n">
        <x:v>26.2028976673</x:v>
      </x:c>
      <x:c r="K119" s="31" t="n">
        <x:v>0</x:v>
      </x:c>
      <x:c r="L119" s="31" t="n">
        <x:v>26.2028976673</x:v>
      </x:c>
      <x:c r="M119" s="31" t="n">
        <x:v>0</x:v>
      </x:c>
      <x:c r="N119" s="24" t="str">
        <x:v>crassostrea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Crassostrea</x:v>
      </x:c>
      <x:c r="T119" s="32" t="n">
        <x:f>IF(O119="","",(1/'Metadata'!$B$5)^(O119-1))</x:f>
        <x:v>10</x:v>
      </x:c>
      <x:c r="U119" s="31" t="n">
        <x:f>IF(T119="","",I119*T119)</x:f>
        <x:v>262.028976673</x:v>
      </x:c>
    </x:row>
    <x:row r="120" ht="18" customHeight="1">
      <x:c r="A120" s="24" t="str">
        <x:v>EEZ_624</x:v>
      </x:c>
      <x:c r="B120" s="24" t="str">
        <x:v>Guinea-Bissau</x:v>
      </x:c>
      <x:c r="C120" s="24" t="str">
        <x:v>EEZ</x:v>
      </x:c>
      <x:c r="D120" s="30" t="n">
        <x:v>2019</x:v>
      </x:c>
      <x:c r="E120" s="24" t="str">
        <x:v>Xiphias gladius</x:v>
      </x:c>
      <x:c r="F120" s="24" t="str">
        <x:v>Swordfish</x:v>
      </x:c>
      <x:c r="G120" s="24" t="str">
        <x:v>Large pelagics (&gt;=90 cm)</x:v>
      </x:c>
      <x:c r="H120" s="24" t="str">
        <x:v>Tuna &amp; billfishes</x:v>
      </x:c>
      <x:c r="I120" s="31" t="n">
        <x:v>25.7728752075</x:v>
      </x:c>
      <x:c r="J120" s="31" t="n">
        <x:v>25.7728752075</x:v>
      </x:c>
      <x:c r="K120" s="31" t="n">
        <x:v>0</x:v>
      </x:c>
      <x:c r="L120" s="31" t="n">
        <x:v>25.7728752075</x:v>
      </x:c>
      <x:c r="M120" s="31" t="n">
        <x:v>0</x:v>
      </x:c>
      <x:c r="N120" s="24" t="str">
        <x:v>xiphias gladius</x:v>
      </x:c>
      <x:c r="O120" s="32" t="n">
        <x:v>4.53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Xiphias gladius</x:v>
      </x:c>
      <x:c r="T120" s="32" t="n">
        <x:f>IF(O120="","",(1/'Metadata'!$B$5)^(O120-1))</x:f>
        <x:v>3388.4415613920273</x:v>
      </x:c>
      <x:c r="U120" s="31" t="n">
        <x:f>IF(T120="","",I120*T120)</x:f>
        <x:v>87329.88150966317</x:v>
      </x:c>
    </x:row>
    <x:row r="121" ht="18" customHeight="1">
      <x:c r="A121" s="24" t="str">
        <x:v>EEZ_624</x:v>
      </x:c>
      <x:c r="B121" s="24" t="str">
        <x:v>Guinea-Bissau</x:v>
      </x:c>
      <x:c r="C121" s="24" t="str">
        <x:v>EEZ</x:v>
      </x:c>
      <x:c r="D121" s="30" t="n">
        <x:v>2019</x:v>
      </x:c>
      <x:c r="E121" s="24" t="str">
        <x:v>Palinuridae</x:v>
      </x:c>
      <x:c r="F121" s="24" t="str">
        <x:v>Spiny lobsters</x:v>
      </x:c>
      <x:c r="G121" s="24" t="str">
        <x:v>Lobsters, crabs</x:v>
      </x:c>
      <x:c r="H121" s="24" t="str">
        <x:v>Crustaceans</x:v>
      </x:c>
      <x:c r="I121" s="31" t="n">
        <x:v>24.3531525131</x:v>
      </x:c>
      <x:c r="J121" s="31" t="n">
        <x:v>24.3531525131</x:v>
      </x:c>
      <x:c r="K121" s="31" t="n">
        <x:v>0</x:v>
      </x:c>
      <x:c r="L121" s="31" t="n">
        <x:v>0.026256983999999997</x:v>
      </x:c>
      <x:c r="M121" s="31" t="n">
        <x:v>24.3268955291</x:v>
      </x:c>
      <x:c r="N121" s="24" t="str">
        <x:v>palinuridae</x:v>
      </x:c>
      <x:c r="O121" s="32" t="n">
        <x:v>3.14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Palinuridae</x:v>
      </x:c>
      <x:c r="T121" s="32" t="n">
        <x:f>IF(O121="","",(1/'Metadata'!$B$5)^(O121-1))</x:f>
        <x:v>138.03842646028852</x:v>
      </x:c>
      <x:c r="U121" s="31" t="n">
        <x:f>IF(T121="","",I121*T121)</x:f>
        <x:v>3361.6708522557446</x:v>
      </x:c>
    </x:row>
    <x:row r="122" ht="18" customHeight="1">
      <x:c r="A122" s="24" t="str">
        <x:v>EEZ_624</x:v>
      </x:c>
      <x:c r="B122" s="24" t="str">
        <x:v>Guinea-Bissau</x:v>
      </x:c>
      <x:c r="C122" s="24" t="str">
        <x:v>EEZ</x:v>
      </x:c>
      <x:c r="D122" s="30" t="n">
        <x:v>2019</x:v>
      </x:c>
      <x:c r="E122" s="24" t="str">
        <x:v>Sepia officinalis</x:v>
      </x:c>
      <x:c r="F122" s="24" t="str">
        <x:v>Common cuttlefish</x:v>
      </x:c>
      <x:c r="G122" s="24" t="str">
        <x:v>Cephalopods</x:v>
      </x:c>
      <x:c r="H122" s="24" t="str">
        <x:v>Other fishes &amp; inverts</x:v>
      </x:c>
      <x:c r="I122" s="31" t="n">
        <x:v>20.070610248</x:v>
      </x:c>
      <x:c r="J122" s="31" t="n">
        <x:v>20.070610248</x:v>
      </x:c>
      <x:c r="K122" s="31" t="n">
        <x:v>0</x:v>
      </x:c>
      <x:c r="L122" s="31" t="n">
        <x:v>20.070610248</x:v>
      </x:c>
      <x:c r="M122" s="31" t="n">
        <x:v>0</x:v>
      </x:c>
      <x:c r="N122" s="24" t="str">
        <x:v>sepia officinalis</x:v>
      </x:c>
      <x:c r="O122" s="32" t="n">
        <x:v>4.27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Sepia officinalis</x:v>
      </x:c>
      <x:c r="T122" s="32" t="n">
        <x:f>IF(O122="","",(1/'Metadata'!$B$5)^(O122-1))</x:f>
        <x:v>1862.0871366628655</x:v>
      </x:c>
      <x:c r="U122" s="31" t="n">
        <x:f>IF(T122="","",I122*T122)</x:f>
        <x:v>37373.22516777469</x:v>
      </x:c>
    </x:row>
    <x:row r="123" ht="18" customHeight="1">
      <x:c r="A123" s="24" t="str">
        <x:v>EEZ_624</x:v>
      </x:c>
      <x:c r="B123" s="24" t="str">
        <x:v>Guinea-Bissau</x:v>
      </x:c>
      <x:c r="C123" s="24" t="str">
        <x:v>EEZ</x:v>
      </x:c>
      <x:c r="D123" s="30" t="n">
        <x:v>2019</x:v>
      </x:c>
      <x:c r="E123" s="24" t="str">
        <x:v>Pseudotolithus elongatus</x:v>
      </x:c>
      <x:c r="F123" s="24" t="str">
        <x:v>Bobo croaker</x:v>
      </x:c>
      <x:c r="G123" s="24" t="str">
        <x:v>Medium demersals (30 - 89 cm)</x:v>
      </x:c>
      <x:c r="H123" s="24" t="str">
        <x:v>Perch-likes</x:v>
      </x:c>
      <x:c r="I123" s="31" t="n">
        <x:v>17.5262471463</x:v>
      </x:c>
      <x:c r="J123" s="31" t="n">
        <x:v>17.5262471463</x:v>
      </x:c>
      <x:c r="K123" s="31" t="n">
        <x:v>0</x:v>
      </x:c>
      <x:c r="L123" s="31" t="n">
        <x:v>0</x:v>
      </x:c>
      <x:c r="M123" s="31" t="n">
        <x:v>17.5262471463</x:v>
      </x:c>
      <x:c r="N123" s="24" t="str">
        <x:v>pseudotolithus elongatus</x:v>
      </x:c>
      <x:c r="O123" s="32" t="n">
        <x:v>4.06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Pseudotolithus elongatus</x:v>
      </x:c>
      <x:c r="T123" s="32" t="n">
        <x:f>IF(O123="","",(1/'Metadata'!$B$5)^(O123-1))</x:f>
        <x:v>1148.1536214968817</x:v>
      </x:c>
      <x:c r="U123" s="31" t="n">
        <x:f>IF(T123="","",I123*T123)</x:f>
        <x:v>20122.824132273734</x:v>
      </x:c>
    </x:row>
    <x:row r="124" ht="18" customHeight="1">
      <x:c r="A124" s="24" t="str">
        <x:v>EEZ_624</x:v>
      </x:c>
      <x:c r="B124" s="24" t="str">
        <x:v>Guinea-Bissau</x:v>
      </x:c>
      <x:c r="C124" s="24" t="str">
        <x:v>EEZ</x:v>
      </x:c>
      <x:c r="D124" s="30" t="n">
        <x:v>2019</x:v>
      </x:c>
      <x:c r="E124" s="24" t="str">
        <x:v>Merluccius</x:v>
      </x:c>
      <x:c r="F124" s="24" t="str">
        <x:v>Hakes</x:v>
      </x:c>
      <x:c r="G124" s="24" t="str">
        <x:v>Medium bathydemersals (30 - 89 cm)</x:v>
      </x:c>
      <x:c r="H124" s="24" t="str">
        <x:v>Cod-likes</x:v>
      </x:c>
      <x:c r="I124" s="31" t="n">
        <x:v>16.2797931577</x:v>
      </x:c>
      <x:c r="J124" s="31" t="n">
        <x:v>16.2797931577</x:v>
      </x:c>
      <x:c r="K124" s="31" t="n">
        <x:v>0</x:v>
      </x:c>
      <x:c r="L124" s="31" t="n">
        <x:v>16.2797931577</x:v>
      </x:c>
      <x:c r="M124" s="31" t="n">
        <x:v>0</x:v>
      </x:c>
      <x:c r="N124" s="24" t="str">
        <x:v>merluccius</x:v>
      </x:c>
      <x:c r="O124" s="32" t="n">
        <x:v>4.27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Merluccius</x:v>
      </x:c>
      <x:c r="T124" s="32" t="n">
        <x:f>IF(O124="","",(1/'Metadata'!$B$5)^(O124-1))</x:f>
        <x:v>1862.0871366628655</x:v>
      </x:c>
      <x:c r="U124" s="31" t="n">
        <x:f>IF(T124="","",I124*T124)</x:f>
        <x:v>30314.3934264853</x:v>
      </x:c>
    </x:row>
    <x:row r="125" ht="18" customHeight="1">
      <x:c r="A125" s="24" t="str">
        <x:v>EEZ_624</x:v>
      </x:c>
      <x:c r="B125" s="24" t="str">
        <x:v>Guinea-Bissau</x:v>
      </x:c>
      <x:c r="C125" s="24" t="str">
        <x:v>EEZ</x:v>
      </x:c>
      <x:c r="D125" s="30" t="n">
        <x:v>2019</x:v>
      </x:c>
      <x:c r="E125" s="24" t="str">
        <x:v>Umbrina canariensis</x:v>
      </x:c>
      <x:c r="F125" s="24" t="str">
        <x:v>Canary drum</x:v>
      </x:c>
      <x:c r="G125" s="24" t="str">
        <x:v>Medium demersals (30 - 89 cm)</x:v>
      </x:c>
      <x:c r="H125" s="24" t="str">
        <x:v>Perch-likes</x:v>
      </x:c>
      <x:c r="I125" s="31" t="n">
        <x:v>15.46643623</x:v>
      </x:c>
      <x:c r="J125" s="31" t="n">
        <x:v>15.46643623</x:v>
      </x:c>
      <x:c r="K125" s="31" t="n">
        <x:v>0</x:v>
      </x:c>
      <x:c r="L125" s="31" t="n">
        <x:v>15.46643623</x:v>
      </x:c>
      <x:c r="M125" s="31" t="n">
        <x:v>0</x:v>
      </x:c>
      <x:c r="N125" s="24" t="str">
        <x:v>umbrina canariensis</x:v>
      </x:c>
      <x:c r="O125" s="32" t="n">
        <x:v>3.37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Umbrina canariensis</x:v>
      </x:c>
      <x:c r="T125" s="32" t="n">
        <x:f>IF(O125="","",(1/'Metadata'!$B$5)^(O125-1))</x:f>
        <x:v>234.42288153199226</x:v>
      </x:c>
      <x:c r="U125" s="31" t="n">
        <x:f>IF(T125="","",I125*T125)</x:f>
        <x:v>3625.686548067403</x:v>
      </x:c>
    </x:row>
    <x:row r="126" ht="18" customHeight="1">
      <x:c r="A126" s="24" t="str">
        <x:v>EEZ_624</x:v>
      </x:c>
      <x:c r="B126" s="24" t="str">
        <x:v>Guinea-Bissau</x:v>
      </x:c>
      <x:c r="C126" s="24" t="str">
        <x:v>EEZ</x:v>
      </x:c>
      <x:c r="D126" s="30" t="n">
        <x:v>2019</x:v>
      </x:c>
      <x:c r="E126" s="24" t="str">
        <x:v>Perciformes</x:v>
      </x:c>
      <x:c r="F126" s="24" t="str">
        <x:v>Perch-likes</x:v>
      </x:c>
      <x:c r="G126" s="24" t="str">
        <x:v>Medium demersals (30 - 89 cm)</x:v>
      </x:c>
      <x:c r="H126" s="24" t="str">
        <x:v>Perch-likes</x:v>
      </x:c>
      <x:c r="I126" s="31" t="n">
        <x:v>13.7616763268</x:v>
      </x:c>
      <x:c r="J126" s="31" t="n">
        <x:v>13.7616763268</x:v>
      </x:c>
      <x:c r="K126" s="31" t="n">
        <x:v>0</x:v>
      </x:c>
      <x:c r="L126" s="31" t="n">
        <x:v>2.3445896748</x:v>
      </x:c>
      <x:c r="M126" s="31" t="n">
        <x:v>11.417086652</x:v>
      </x:c>
      <x:c r="N126" s="24" t="str">
        <x:v>perciformes</x:v>
      </x:c>
      <x:c r="O126" s="32" t="n">
        <x:v>3.53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Perciformes</x:v>
      </x:c>
      <x:c r="T126" s="32" t="n">
        <x:f>IF(O126="","",(1/'Metadata'!$B$5)^(O126-1))</x:f>
        <x:v>338.84415613920237</x:v>
      </x:c>
      <x:c r="U126" s="31" t="n">
        <x:f>IF(T126="","",I126*T126)</x:f>
        <x:v>4663.063602015384</x:v>
      </x:c>
    </x:row>
    <x:row r="127" ht="18" customHeight="1">
      <x:c r="A127" s="24" t="str">
        <x:v>EEZ_624</x:v>
      </x:c>
      <x:c r="B127" s="24" t="str">
        <x:v>Guinea-Bissau</x:v>
      </x:c>
      <x:c r="C127" s="24" t="str">
        <x:v>EEZ</x:v>
      </x:c>
      <x:c r="D127" s="30" t="n">
        <x:v>2019</x:v>
      </x:c>
      <x:c r="E127" s="24" t="str">
        <x:v>Mustelus mustelus</x:v>
      </x:c>
      <x:c r="F127" s="24" t="str">
        <x:v>Smooth-hound</x:v>
      </x:c>
      <x:c r="G127" s="24" t="str">
        <x:v>Large sharks (&gt;=90 cm)</x:v>
      </x:c>
      <x:c r="H127" s="24" t="str">
        <x:v>Sharks &amp; rays</x:v>
      </x:c>
      <x:c r="I127" s="31" t="n">
        <x:v>13.109978087</x:v>
      </x:c>
      <x:c r="J127" s="31" t="n">
        <x:v>13.109978087</x:v>
      </x:c>
      <x:c r="K127" s="31" t="n">
        <x:v>0</x:v>
      </x:c>
      <x:c r="L127" s="31" t="n">
        <x:v>0.13242652810000002</x:v>
      </x:c>
      <x:c r="M127" s="31" t="n">
        <x:v>12.9775515589</x:v>
      </x:c>
      <x:c r="N127" s="24" t="str">
        <x:v>mustelus mustelus</x:v>
      </x:c>
      <x:c r="O127" s="32" t="n">
        <x:v>3.75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Mustelus mustelus</x:v>
      </x:c>
      <x:c r="T127" s="32" t="n">
        <x:f>IF(O127="","",(1/'Metadata'!$B$5)^(O127-1))</x:f>
        <x:v>562.341325190349</x:v>
      </x:c>
      <x:c r="U127" s="31" t="n">
        <x:f>IF(T127="","",I127*T127)</x:f>
        <x:v>7372.282450660017</x:v>
      </x:c>
    </x:row>
    <x:row r="128" ht="18" customHeight="1">
      <x:c r="A128" s="24" t="str">
        <x:v>EEZ_624</x:v>
      </x:c>
      <x:c r="B128" s="24" t="str">
        <x:v>Guinea-Bissau</x:v>
      </x:c>
      <x:c r="C128" s="24" t="str">
        <x:v>EEZ</x:v>
      </x:c>
      <x:c r="D128" s="30" t="n">
        <x:v>2019</x:v>
      </x:c>
      <x:c r="E128" s="24" t="str">
        <x:v>Beryx splendens</x:v>
      </x:c>
      <x:c r="F128" s="24" t="str">
        <x:v>Splendid alfonsino</x:v>
      </x:c>
      <x:c r="G128" s="24" t="str">
        <x:v>Medium benthopelagics (30 - 89 cm)</x:v>
      </x:c>
      <x:c r="H128" s="24" t="str">
        <x:v>Other fishes &amp; inverts</x:v>
      </x:c>
      <x:c r="I128" s="31" t="n">
        <x:v>12.724965462100002</x:v>
      </x:c>
      <x:c r="J128" s="31" t="n">
        <x:v>12.724965462100002</x:v>
      </x:c>
      <x:c r="K128" s="31" t="n">
        <x:v>0</x:v>
      </x:c>
      <x:c r="L128" s="31" t="n">
        <x:v>12.724965462100002</x:v>
      </x:c>
      <x:c r="M128" s="31" t="n">
        <x:v>0</x:v>
      </x:c>
      <x:c r="N128" s="24" t="str">
        <x:v>beryx splendens</x:v>
      </x:c>
      <x:c r="O128" s="32" t="n">
        <x:v>4.27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Beryx splendens</x:v>
      </x:c>
      <x:c r="T128" s="32" t="n">
        <x:f>IF(O128="","",(1/'Metadata'!$B$5)^(O128-1))</x:f>
        <x:v>1862.0871366628655</x:v>
      </x:c>
      <x:c r="U128" s="31" t="n">
        <x:f>IF(T128="","",I128*T128)</x:f>
        <x:v>23694.99450145565</x:v>
      </x:c>
    </x:row>
    <x:row r="129" ht="18" customHeight="1">
      <x:c r="A129" s="24" t="str">
        <x:v>EEZ_624</x:v>
      </x:c>
      <x:c r="B129" s="24" t="str">
        <x:v>Guinea-Bissau</x:v>
      </x:c>
      <x:c r="C129" s="24" t="str">
        <x:v>EEZ</x:v>
      </x:c>
      <x:c r="D129" s="30" t="n">
        <x:v>2019</x:v>
      </x:c>
      <x:c r="E129" s="24" t="str">
        <x:v>Zenopsis conchifer</x:v>
      </x:c>
      <x:c r="F129" s="24" t="str">
        <x:v>Silvery John dory</x:v>
      </x:c>
      <x:c r="G129" s="24" t="str">
        <x:v>Medium benthopelagics (30 - 89 cm)</x:v>
      </x:c>
      <x:c r="H129" s="24" t="str">
        <x:v>Other fishes &amp; inverts</x:v>
      </x:c>
      <x:c r="I129" s="31" t="n">
        <x:v>12.5228687401</x:v>
      </x:c>
      <x:c r="J129" s="31" t="n">
        <x:v>12.5228687401</x:v>
      </x:c>
      <x:c r="K129" s="31" t="n">
        <x:v>0</x:v>
      </x:c>
      <x:c r="L129" s="31" t="n">
        <x:v>12.5228687401</x:v>
      </x:c>
      <x:c r="M129" s="31" t="n">
        <x:v>0</x:v>
      </x:c>
      <x:c r="N129" s="24" t="str">
        <x:v>zenopsis conchifer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Zenopsis conchifer</x:v>
      </x:c>
      <x:c r="T129" s="32" t="n">
        <x:f>IF(O129="","",(1/'Metadata'!$B$5)^(O129-1))</x:f>
        <x:v>3162.2776601683795</x:v>
      </x:c>
      <x:c r="U129" s="31" t="n">
        <x:f>IF(T129="","",I129*T129)</x:f>
        <x:v>39600.78805803917</x:v>
      </x:c>
    </x:row>
    <x:row r="130" ht="18" customHeight="1">
      <x:c r="A130" s="24" t="str">
        <x:v>EEZ_624</x:v>
      </x:c>
      <x:c r="B130" s="24" t="str">
        <x:v>Guinea-Bissau</x:v>
      </x:c>
      <x:c r="C130" s="24" t="str">
        <x:v>EEZ</x:v>
      </x:c>
      <x:c r="D130" s="30" t="n">
        <x:v>2019</x:v>
      </x:c>
      <x:c r="E130" s="24" t="str">
        <x:v>Penaeus notialis</x:v>
      </x:c>
      <x:c r="F130" s="24" t="str">
        <x:v>Southern pink shrimp</x:v>
      </x:c>
      <x:c r="G130" s="24" t="str">
        <x:v>Shrimps</x:v>
      </x:c>
      <x:c r="H130" s="24" t="str">
        <x:v>Crustaceans</x:v>
      </x:c>
      <x:c r="I130" s="31" t="n">
        <x:v>11.7643120156</x:v>
      </x:c>
      <x:c r="J130" s="31" t="n">
        <x:v>11.7643120156</x:v>
      </x:c>
      <x:c r="K130" s="31" t="n">
        <x:v>0</x:v>
      </x:c>
      <x:c r="L130" s="31" t="n">
        <x:v>0.0684964799</x:v>
      </x:c>
      <x:c r="M130" s="31" t="n">
        <x:v>11.6958155357</x:v>
      </x:c>
      <x:c r="N130" s="24" t="str">
        <x:v>penaeus notialis</x:v>
      </x:c>
      <x:c r="O130" s="32" t="n">
        <x:v>2.7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Penaeus notialis</x:v>
      </x:c>
      <x:c r="T130" s="32" t="n">
        <x:f>IF(O130="","",(1/'Metadata'!$B$5)^(O130-1))</x:f>
        <x:v>50.11872336272725</x:v>
      </x:c>
      <x:c r="U130" s="31" t="n">
        <x:f>IF(T130="","",I130*T130)</x:f>
        <x:v>589.6122994626646</x:v>
      </x:c>
    </x:row>
    <x:row r="131" ht="18" customHeight="1">
      <x:c r="A131" s="24" t="str">
        <x:v>EEZ_624</x:v>
      </x:c>
      <x:c r="B131" s="24" t="str">
        <x:v>Guinea-Bissau</x:v>
      </x:c>
      <x:c r="C131" s="24" t="str">
        <x:v>EEZ</x:v>
      </x:c>
      <x:c r="D131" s="30" t="n">
        <x:v>2019</x:v>
      </x:c>
      <x:c r="E131" s="24" t="str">
        <x:v>Berycidae</x:v>
      </x:c>
      <x:c r="F131" s="24" t="str">
        <x:v>Alfonsinos, redfishes</x:v>
      </x:c>
      <x:c r="G131" s="24" t="str">
        <x:v>Medium benthopelagics (30 - 89 cm)</x:v>
      </x:c>
      <x:c r="H131" s="24" t="str">
        <x:v>Other fishes &amp; inverts</x:v>
      </x:c>
      <x:c r="I131" s="31" t="n">
        <x:v>11.4123978005</x:v>
      </x:c>
      <x:c r="J131" s="31" t="n">
        <x:v>11.4123978005</x:v>
      </x:c>
      <x:c r="K131" s="31" t="n">
        <x:v>0</x:v>
      </x:c>
      <x:c r="L131" s="31" t="n">
        <x:v>11.4123978005</x:v>
      </x:c>
      <x:c r="M131" s="31" t="n">
        <x:v>0</x:v>
      </x:c>
      <x:c r="N131" s="24" t="str">
        <x:v>berycidae</x:v>
      </x:c>
      <x:c r="O131" s="32" t="n">
        <x:v>3.99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Berycidae</x:v>
      </x:c>
      <x:c r="T131" s="32" t="n">
        <x:f>IF(O131="","",(1/'Metadata'!$B$5)^(O131-1))</x:f>
        <x:v>977.2372209558112</x:v>
      </x:c>
      <x:c r="U131" s="31" t="n">
        <x:f>IF(T131="","",I131*T131)</x:f>
        <x:v>11152.619911002832</x:v>
      </x:c>
    </x:row>
    <x:row r="132" ht="18" customHeight="1">
      <x:c r="A132" s="24" t="str">
        <x:v>EEZ_624</x:v>
      </x:c>
      <x:c r="B132" s="24" t="str">
        <x:v>Guinea-Bissau</x:v>
      </x:c>
      <x:c r="C132" s="24" t="str">
        <x:v>EEZ</x:v>
      </x:c>
      <x:c r="D132" s="30" t="n">
        <x:v>2019</x:v>
      </x:c>
      <x:c r="E132" s="24" t="str">
        <x:v>Elagatis bipinnulata</x:v>
      </x:c>
      <x:c r="F132" s="24" t="str">
        <x:v>Rainbow runner</x:v>
      </x:c>
      <x:c r="G132" s="24" t="str">
        <x:v>Large pelagics (&gt;=90 cm)</x:v>
      </x:c>
      <x:c r="H132" s="24" t="str">
        <x:v>Perch-likes</x:v>
      </x:c>
      <x:c r="I132" s="31" t="n">
        <x:v>11.3870786192</x:v>
      </x:c>
      <x:c r="J132" s="31" t="n">
        <x:v>11.3870786192</x:v>
      </x:c>
      <x:c r="K132" s="31" t="n">
        <x:v>0</x:v>
      </x:c>
      <x:c r="L132" s="31" t="n">
        <x:v>11.3870786192</x:v>
      </x:c>
      <x:c r="M132" s="31" t="n">
        <x:v>0</x:v>
      </x:c>
      <x:c r="N132" s="24" t="str">
        <x:v>elagatis bipinnulata</x:v>
      </x:c>
      <x:c r="O132" s="32" t="n">
        <x:v>4.27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Elagatis bipinnulata</x:v>
      </x:c>
      <x:c r="T132" s="32" t="n">
        <x:f>IF(O132="","",(1/'Metadata'!$B$5)^(O132-1))</x:f>
        <x:v>1862.0871366628655</x:v>
      </x:c>
      <x:c r="U132" s="31" t="n">
        <x:f>IF(T132="","",I132*T132)</x:f>
        <x:v>21203.732620981064</x:v>
      </x:c>
    </x:row>
    <x:row r="133" ht="18" customHeight="1">
      <x:c r="A133" s="24" t="str">
        <x:v>EEZ_624</x:v>
      </x:c>
      <x:c r="B133" s="24" t="str">
        <x:v>Guinea-Bissau</x:v>
      </x:c>
      <x:c r="C133" s="24" t="str">
        <x:v>EEZ</x:v>
      </x:c>
      <x:c r="D133" s="30" t="n">
        <x:v>2019</x:v>
      </x:c>
      <x:c r="E133" s="24" t="str">
        <x:v>Miscellaneous marine crustaceans</x:v>
      </x:c>
      <x:c r="F133" s="24" t="str">
        <x:v>Marine crabs, shrimps, lobsters nei</x:v>
      </x:c>
      <x:c r="G133" s="24" t="str">
        <x:v>Shrimps</x:v>
      </x:c>
      <x:c r="H133" s="24" t="str">
        <x:v>Crustaceans</x:v>
      </x:c>
      <x:c r="I133" s="31" t="n">
        <x:v>11.260011428499999</x:v>
      </x:c>
      <x:c r="J133" s="31" t="n">
        <x:v>11.260011428499999</x:v>
      </x:c>
      <x:c r="K133" s="31" t="n">
        <x:v>0</x:v>
      </x:c>
      <x:c r="L133" s="31" t="n">
        <x:v>11.260011428499999</x:v>
      </x:c>
      <x:c r="M133" s="31" t="n">
        <x:v>0</x:v>
      </x:c>
      <x:c r="N133" s="24" t="str">
        <x:v>miscellaneous marine crustaceans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Miscellaneous marine crustaceans</x:v>
      </x:c>
      <x:c r="T133" s="32" t="n">
        <x:f>IF(O133="","",(1/'Metadata'!$B$5)^(O133-1))</x:f>
        <x:v>50.11872336272725</x:v>
      </x:c>
      <x:c r="U133" s="31" t="n">
        <x:f>IF(T133="","",I133*T133)</x:f>
        <x:v>564.3373978461387</x:v>
      </x:c>
    </x:row>
    <x:row r="134" ht="18" customHeight="1">
      <x:c r="A134" s="24" t="str">
        <x:v>EEZ_624</x:v>
      </x:c>
      <x:c r="B134" s="24" t="str">
        <x:v>Guinea-Bissau</x:v>
      </x:c>
      <x:c r="C134" s="24" t="str">
        <x:v>EEZ</x:v>
      </x:c>
      <x:c r="D134" s="30" t="n">
        <x:v>2019</x:v>
      </x:c>
      <x:c r="E134" s="24" t="str">
        <x:v>Peristediidae</x:v>
      </x:c>
      <x:c r="F134" s="24" t="str">
        <x:v>Armored searobins, gurnards</x:v>
      </x:c>
      <x:c r="G134" s="24" t="str">
        <x:v>Medium bathydemersals (30 - 89 cm)</x:v>
      </x:c>
      <x:c r="H134" s="24" t="str">
        <x:v>Scorpionfishes</x:v>
      </x:c>
      <x:c r="I134" s="31" t="n">
        <x:v>11.035853550099999</x:v>
      </x:c>
      <x:c r="J134" s="31" t="n">
        <x:v>11.035853550099999</x:v>
      </x:c>
      <x:c r="K134" s="31" t="n">
        <x:v>0</x:v>
      </x:c>
      <x:c r="L134" s="31" t="n">
        <x:v>11.035853550099999</x:v>
      </x:c>
      <x:c r="M134" s="31" t="n">
        <x:v>0</x:v>
      </x:c>
      <x:c r="N134" s="24" t="str">
        <x:v>peristediidae</x:v>
      </x:c>
      <x:c r="O134" s="32" t="n">
        <x:v>3.47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Peristediidae</x:v>
      </x:c>
      <x:c r="T134" s="32" t="n">
        <x:f>IF(O134="","",(1/'Metadata'!$B$5)^(O134-1))</x:f>
        <x:v>295.1209226666387</x:v>
      </x:c>
      <x:c r="U134" s="31" t="n">
        <x:f>IF(T134="","",I134*T134)</x:f>
        <x:v>3256.911282119412</x:v>
      </x:c>
    </x:row>
    <x:row r="135" ht="18" customHeight="1">
      <x:c r="A135" s="24" t="str">
        <x:v>EEZ_624</x:v>
      </x:c>
      <x:c r="B135" s="24" t="str">
        <x:v>Guinea-Bissau</x:v>
      </x:c>
      <x:c r="C135" s="24" t="str">
        <x:v>EEZ</x:v>
      </x:c>
      <x:c r="D135" s="30" t="n">
        <x:v>2019</x:v>
      </x:c>
      <x:c r="E135" s="24" t="str">
        <x:v>Boops boops</x:v>
      </x:c>
      <x:c r="F135" s="24" t="str">
        <x:v>Bogue</x:v>
      </x:c>
      <x:c r="G135" s="24" t="str">
        <x:v>Medium demersals (30 - 89 cm)</x:v>
      </x:c>
      <x:c r="H135" s="24" t="str">
        <x:v>Perch-likes</x:v>
      </x:c>
      <x:c r="I135" s="31" t="n">
        <x:v>10.4617075792</x:v>
      </x:c>
      <x:c r="J135" s="31" t="n">
        <x:v>10.4617075792</x:v>
      </x:c>
      <x:c r="K135" s="31" t="n">
        <x:v>0</x:v>
      </x:c>
      <x:c r="L135" s="31" t="n">
        <x:v>0.3139859313</x:v>
      </x:c>
      <x:c r="M135" s="31" t="n">
        <x:v>10.1477216479</x:v>
      </x:c>
      <x:c r="N135" s="24" t="str">
        <x:v>boops boops</x:v>
      </x:c>
      <x:c r="O135" s="32" t="n">
        <x:v>2.79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Boops boops</x:v>
      </x:c>
      <x:c r="T135" s="32" t="n">
        <x:f>IF(O135="","",(1/'Metadata'!$B$5)^(O135-1))</x:f>
        <x:v>61.65950018614822</x:v>
      </x:c>
      <x:c r="U135" s="31" t="n">
        <x:f>IF(T135="","",I135*T135)</x:f>
        <x:v>645.0636604271107</x:v>
      </x:c>
    </x:row>
    <x:row r="136" ht="18" customHeight="1">
      <x:c r="A136" s="24" t="str">
        <x:v>EEZ_624</x:v>
      </x:c>
      <x:c r="B136" s="24" t="str">
        <x:v>Guinea-Bissau</x:v>
      </x:c>
      <x:c r="C136" s="24" t="str">
        <x:v>EEZ</x:v>
      </x:c>
      <x:c r="D136" s="30" t="n">
        <x:v>2019</x:v>
      </x:c>
      <x:c r="E136" s="24" t="str">
        <x:v>Carcharodon carcharias</x:v>
      </x:c>
      <x:c r="F136" s="24" t="str">
        <x:v>Great white shark</x:v>
      </x:c>
      <x:c r="G136" s="24" t="str">
        <x:v>Large sharks (&gt;=90 cm)</x:v>
      </x:c>
      <x:c r="H136" s="24" t="str">
        <x:v>Sharks &amp; rays</x:v>
      </x:c>
      <x:c r="I136" s="31" t="n">
        <x:v>10.1796912997</x:v>
      </x:c>
      <x:c r="J136" s="31" t="n">
        <x:v>10.1796912997</x:v>
      </x:c>
      <x:c r="K136" s="31" t="n">
        <x:v>0</x:v>
      </x:c>
      <x:c r="L136" s="31" t="n">
        <x:v>0</x:v>
      </x:c>
      <x:c r="M136" s="31" t="n">
        <x:v>10.1796912997</x:v>
      </x:c>
      <x:c r="N136" s="24" t="str">
        <x:v>carcharodon carcharias</x:v>
      </x:c>
      <x:c r="O136" s="32" t="n">
        <x:v>4.53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Carcharodon carcharias</x:v>
      </x:c>
      <x:c r="T136" s="32" t="n">
        <x:f>IF(O136="","",(1/'Metadata'!$B$5)^(O136-1))</x:f>
        <x:v>3388.4415613920273</x:v>
      </x:c>
      <x:c r="U136" s="31" t="n">
        <x:f>IF(T136="","",I136*T136)</x:f>
        <x:v>34493.289082044306</x:v>
      </x:c>
    </x:row>
    <x:row r="137" ht="18" customHeight="1">
      <x:c r="A137" s="24" t="str">
        <x:v>EEZ_624</x:v>
      </x:c>
      <x:c r="B137" s="24" t="str">
        <x:v>Guinea-Bissau</x:v>
      </x:c>
      <x:c r="C137" s="24" t="str">
        <x:v>EEZ</x:v>
      </x:c>
      <x:c r="D137" s="30" t="n">
        <x:v>2019</x:v>
      </x:c>
      <x:c r="E137" s="24" t="str">
        <x:v>Epinephelus caninus</x:v>
      </x:c>
      <x:c r="F137" s="24" t="str">
        <x:v>Dogtooth grouper</x:v>
      </x:c>
      <x:c r="G137" s="24" t="str">
        <x:v>Large demersals (&gt;=90 cm)</x:v>
      </x:c>
      <x:c r="H137" s="24" t="str">
        <x:v>Perch-likes</x:v>
      </x:c>
      <x:c r="I137" s="31" t="n">
        <x:v>9.1391804772</x:v>
      </x:c>
      <x:c r="J137" s="31" t="n">
        <x:v>9.1391804772</x:v>
      </x:c>
      <x:c r="K137" s="31" t="n">
        <x:v>0</x:v>
      </x:c>
      <x:c r="L137" s="31" t="n">
        <x:v>0</x:v>
      </x:c>
      <x:c r="M137" s="31" t="n">
        <x:v>9.1391804772</x:v>
      </x:c>
      <x:c r="N137" s="24" t="str">
        <x:v>epinephelus caninus</x:v>
      </x:c>
      <x:c r="O137" s="32" t="n">
        <x:v>3.77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Epinephelus caninus</x:v>
      </x:c>
      <x:c r="T137" s="32" t="n">
        <x:f>IF(O137="","",(1/'Metadata'!$B$5)^(O137-1))</x:f>
        <x:v>588.843655355589</x:v>
      </x:c>
      <x:c r="U137" s="31" t="n">
        <x:f>IF(T137="","",I137*T137)</x:f>
        <x:v>5381.548439148884</x:v>
      </x:c>
    </x:row>
    <x:row r="138" ht="18" customHeight="1">
      <x:c r="A138" s="24" t="str">
        <x:v>EEZ_624</x:v>
      </x:c>
      <x:c r="B138" s="24" t="str">
        <x:v>Guinea-Bissau</x:v>
      </x:c>
      <x:c r="C138" s="24" t="str">
        <x:v>EEZ</x:v>
      </x:c>
      <x:c r="D138" s="30" t="n">
        <x:v>2019</x:v>
      </x:c>
      <x:c r="E138" s="24" t="str">
        <x:v>Caranx crysos</x:v>
      </x:c>
      <x:c r="F138" s="24" t="str">
        <x:v>Blue runner</x:v>
      </x:c>
      <x:c r="G138" s="24" t="str">
        <x:v>Medium reef assoc. fish (30 - 89 cm)</x:v>
      </x:c>
      <x:c r="H138" s="24" t="str">
        <x:v>Perch-likes</x:v>
      </x:c>
      <x:c r="I138" s="31" t="n">
        <x:v>9.1385813813</x:v>
      </x:c>
      <x:c r="J138" s="31" t="n">
        <x:v>9.1385813813</x:v>
      </x:c>
      <x:c r="K138" s="31" t="n">
        <x:v>0</x:v>
      </x:c>
      <x:c r="L138" s="31" t="n">
        <x:v>9.1385813813</x:v>
      </x:c>
      <x:c r="M138" s="31" t="n">
        <x:v>0</x:v>
      </x:c>
      <x:c r="N138" s="24" t="str">
        <x:v>caranx crysos</x:v>
      </x:c>
      <x:c r="O138" s="32" t="n">
        <x:v>4.13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Caranx crysos</x:v>
      </x:c>
      <x:c r="T138" s="32" t="n">
        <x:f>IF(O138="","",(1/'Metadata'!$B$5)^(O138-1))</x:f>
        <x:v>1348.9628825916532</x:v>
      </x:c>
      <x:c r="U138" s="31" t="n">
        <x:f>IF(T138="","",I138*T138)</x:f>
        <x:v>12327.60708291686</x:v>
      </x:c>
    </x:row>
    <x:row r="139" ht="18" customHeight="1">
      <x:c r="A139" s="24" t="str">
        <x:v>EEZ_624</x:v>
      </x:c>
      <x:c r="B139" s="24" t="str">
        <x:v>Guinea-Bissau</x:v>
      </x:c>
      <x:c r="C139" s="24" t="str">
        <x:v>EEZ</x:v>
      </x:c>
      <x:c r="D139" s="30" t="n">
        <x:v>2019</x:v>
      </x:c>
      <x:c r="E139" s="24" t="str">
        <x:v>Rajiformes</x:v>
      </x:c>
      <x:c r="F139" s="24" t="str">
        <x:v>Skates and rays</x:v>
      </x:c>
      <x:c r="G139" s="24" t="str">
        <x:v>Large rays (&gt;=90 cm)</x:v>
      </x:c>
      <x:c r="H139" s="24" t="str">
        <x:v>Sharks &amp; rays</x:v>
      </x:c>
      <x:c r="I139" s="31" t="n">
        <x:v>8.8339659251</x:v>
      </x:c>
      <x:c r="J139" s="31" t="n">
        <x:v>8.8339659251</x:v>
      </x:c>
      <x:c r="K139" s="31" t="n">
        <x:v>0</x:v>
      </x:c>
      <x:c r="L139" s="31" t="n">
        <x:v>8.8339659251</x:v>
      </x:c>
      <x:c r="M139" s="31" t="n">
        <x:v>0</x:v>
      </x:c>
      <x:c r="N139" s="24" t="str">
        <x:v>rajiformes</x:v>
      </x:c>
      <x:c r="O139" s="32" t="n">
        <x:v>3.61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Rajiformes</x:v>
      </x:c>
      <x:c r="T139" s="32" t="n">
        <x:f>IF(O139="","",(1/'Metadata'!$B$5)^(O139-1))</x:f>
        <x:v>407.3802778041126</x:v>
      </x:c>
      <x:c r="U139" s="31" t="n">
        <x:f>IF(T139="","",I139*T139)</x:f>
        <x:v>3598.7834926793025</x:v>
      </x:c>
    </x:row>
    <x:row r="140" ht="18" customHeight="1">
      <x:c r="A140" s="24" t="str">
        <x:v>EEZ_624</x:v>
      </x:c>
      <x:c r="B140" s="24" t="str">
        <x:v>Guinea-Bissau</x:v>
      </x:c>
      <x:c r="C140" s="24" t="str">
        <x:v>EEZ</x:v>
      </x:c>
      <x:c r="D140" s="30" t="n">
        <x:v>2019</x:v>
      </x:c>
      <x:c r="E140" s="24" t="str">
        <x:v>Dentex angolensis</x:v>
      </x:c>
      <x:c r="F140" s="24" t="str">
        <x:v>Angolan dentex</x:v>
      </x:c>
      <x:c r="G140" s="24" t="str">
        <x:v>Small demersals (&lt;30 cm)</x:v>
      </x:c>
      <x:c r="H140" s="24" t="str">
        <x:v>Perch-likes</x:v>
      </x:c>
      <x:c r="I140" s="31" t="n">
        <x:v>8.419843817</x:v>
      </x:c>
      <x:c r="J140" s="31" t="n">
        <x:v>8.419843817</x:v>
      </x:c>
      <x:c r="K140" s="31" t="n">
        <x:v>0</x:v>
      </x:c>
      <x:c r="L140" s="31" t="n">
        <x:v>8.419843817</x:v>
      </x:c>
      <x:c r="M140" s="31" t="n">
        <x:v>0</x:v>
      </x:c>
      <x:c r="N140" s="24" t="str">
        <x:v>dentex angolensis</x:v>
      </x:c>
      <x:c r="O140" s="32" t="n">
        <x:v>3.52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Dentex angolensis</x:v>
      </x:c>
      <x:c r="T140" s="32" t="n">
        <x:f>IF(O140="","",(1/'Metadata'!$B$5)^(O140-1))</x:f>
        <x:v>331.1311214825911</x:v>
      </x:c>
      <x:c r="U140" s="31" t="n">
        <x:f>IF(T140="","",I140*T140)</x:f>
        <x:v>2788.0723258314706</x:v>
      </x:c>
    </x:row>
    <x:row r="141" ht="18" customHeight="1">
      <x:c r="A141" s="24" t="str">
        <x:v>EEZ_624</x:v>
      </x:c>
      <x:c r="B141" s="24" t="str">
        <x:v>Guinea-Bissau</x:v>
      </x:c>
      <x:c r="C141" s="24" t="str">
        <x:v>EEZ</x:v>
      </x:c>
      <x:c r="D141" s="30" t="n">
        <x:v>2019</x:v>
      </x:c>
      <x:c r="E141" s="24" t="str">
        <x:v>Branchiostegus</x:v>
      </x:c>
      <x:c r="F141" s="24" t="str">
        <x:v>Indian and Pacific tilefishes</x:v>
      </x:c>
      <x:c r="G141" s="24" t="str">
        <x:v>Medium demersals (30 - 89 cm)</x:v>
      </x:c>
      <x:c r="H141" s="24" t="str">
        <x:v>Perch-likes</x:v>
      </x:c>
      <x:c r="I141" s="31" t="n">
        <x:v>8.0123757481</x:v>
      </x:c>
      <x:c r="J141" s="31" t="n">
        <x:v>8.0123757481</x:v>
      </x:c>
      <x:c r="K141" s="31" t="n">
        <x:v>0</x:v>
      </x:c>
      <x:c r="L141" s="31" t="n">
        <x:v>8.0123757481</x:v>
      </x:c>
      <x:c r="M141" s="31" t="n">
        <x:v>0</x:v>
      </x:c>
      <x:c r="N141" s="24" t="str">
        <x:v>branchiostegus</x:v>
      </x:c>
      <x:c r="O141" s="32" t="n">
        <x:v>3.4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Branchiostegus</x:v>
      </x:c>
      <x:c r="T141" s="32" t="n">
        <x:f>IF(O141="","",(1/'Metadata'!$B$5)^(O141-1))</x:f>
        <x:v>251.18864315095797</x:v>
      </x:c>
      <x:c r="U141" s="31" t="n">
        <x:f>IF(T141="","",I141*T141)</x:f>
        <x:v>2012.6177925808809</x:v>
      </x:c>
    </x:row>
    <x:row r="142" ht="18" customHeight="1">
      <x:c r="A142" s="24" t="str">
        <x:v>EEZ_624</x:v>
      </x:c>
      <x:c r="B142" s="24" t="str">
        <x:v>Guinea-Bissau</x:v>
      </x:c>
      <x:c r="C142" s="24" t="str">
        <x:v>EEZ</x:v>
      </x:c>
      <x:c r="D142" s="30" t="n">
        <x:v>2019</x:v>
      </x:c>
      <x:c r="E142" s="24" t="str">
        <x:v>Dentex gibbosus</x:v>
      </x:c>
      <x:c r="F142" s="24" t="str">
        <x:v>Pink dentex</x:v>
      </x:c>
      <x:c r="G142" s="24" t="str">
        <x:v>Large benthopelagics (&gt;=90 cm)</x:v>
      </x:c>
      <x:c r="H142" s="24" t="str">
        <x:v>Perch-likes</x:v>
      </x:c>
      <x:c r="I142" s="31" t="n">
        <x:v>7.9301799719999995</x:v>
      </x:c>
      <x:c r="J142" s="31" t="n">
        <x:v>7.9301799719999995</x:v>
      </x:c>
      <x:c r="K142" s="31" t="n">
        <x:v>0</x:v>
      </x:c>
      <x:c r="L142" s="31" t="n">
        <x:v>7.9301799719999995</x:v>
      </x:c>
      <x:c r="M142" s="31" t="n">
        <x:v>0</x:v>
      </x:c>
      <x:c r="N142" s="24" t="str">
        <x:v>dentex gibbosus</x:v>
      </x:c>
      <x:c r="O142" s="32" t="n">
        <x:v>4.14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gibbosus</x:v>
      </x:c>
      <x:c r="T142" s="32" t="n">
        <x:f>IF(O142="","",(1/'Metadata'!$B$5)^(O142-1))</x:f>
        <x:v>1380.3842646028838</x:v>
      </x:c>
      <x:c r="U142" s="31" t="n">
        <x:f>IF(T142="","",I142*T142)</x:f>
        <x:v>10946.695648817737</x:v>
      </x:c>
    </x:row>
    <x:row r="143" ht="18" customHeight="1">
      <x:c r="A143" s="24" t="str">
        <x:v>EEZ_624</x:v>
      </x:c>
      <x:c r="B143" s="24" t="str">
        <x:v>Guinea-Bissau</x:v>
      </x:c>
      <x:c r="C143" s="24" t="str">
        <x:v>EEZ</x:v>
      </x:c>
      <x:c r="D143" s="30" t="n">
        <x:v>2019</x:v>
      </x:c>
      <x:c r="E143" s="24" t="str">
        <x:v>Dicologlossa cuneata</x:v>
      </x:c>
      <x:c r="F143" s="24" t="str">
        <x:v>Wedge sole</x:v>
      </x:c>
      <x:c r="G143" s="24" t="str">
        <x:v>Small to medium flatfishes (&lt;90 cm)</x:v>
      </x:c>
      <x:c r="H143" s="24" t="str">
        <x:v>Flatfishes</x:v>
      </x:c>
      <x:c r="I143" s="31" t="n">
        <x:v>7.6477184112000005</x:v>
      </x:c>
      <x:c r="J143" s="31" t="n">
        <x:v>7.6477184112000005</x:v>
      </x:c>
      <x:c r="K143" s="31" t="n">
        <x:v>0</x:v>
      </x:c>
      <x:c r="L143" s="31" t="n">
        <x:v>7.6477184112000005</x:v>
      </x:c>
      <x:c r="M143" s="31" t="n">
        <x:v>0</x:v>
      </x:c>
      <x:c r="N143" s="24" t="str">
        <x:v>dicologlossa cuneata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Dicologlossa cuneata</x:v>
      </x:c>
      <x:c r="T143" s="32" t="n">
        <x:f>IF(O143="","",(1/'Metadata'!$B$5)^(O143-1))</x:f>
        <x:v>208.92961308540387</x:v>
      </x:c>
      <x:c r="U143" s="31" t="n">
        <x:f>IF(T143="","",I143*T143)</x:f>
        <x:v>1597.8348486381358</x:v>
      </x:c>
    </x:row>
    <x:row r="144" ht="18" customHeight="1">
      <x:c r="A144" s="24" t="str">
        <x:v>EEZ_624</x:v>
      </x:c>
      <x:c r="B144" s="24" t="str">
        <x:v>Guinea-Bissau</x:v>
      </x:c>
      <x:c r="C144" s="24" t="str">
        <x:v>EEZ</x:v>
      </x:c>
      <x:c r="D144" s="30" t="n">
        <x:v>2019</x:v>
      </x:c>
      <x:c r="E144" s="24" t="str">
        <x:v>Cynoglossus senegalensis</x:v>
      </x:c>
      <x:c r="F144" s="24" t="str">
        <x:v>Senegalese tonguesole</x:v>
      </x:c>
      <x:c r="G144" s="24" t="str">
        <x:v>Small to medium flatfishes (&lt;90 cm)</x:v>
      </x:c>
      <x:c r="H144" s="24" t="str">
        <x:v>Flatfishes</x:v>
      </x:c>
      <x:c r="I144" s="31" t="n">
        <x:v>7.301724768</x:v>
      </x:c>
      <x:c r="J144" s="31" t="n">
        <x:v>7.301724768</x:v>
      </x:c>
      <x:c r="K144" s="31" t="n">
        <x:v>0</x:v>
      </x:c>
      <x:c r="L144" s="31" t="n">
        <x:v>7.301724768</x:v>
      </x:c>
      <x:c r="M144" s="31" t="n">
        <x:v>0</x:v>
      </x:c>
      <x:c r="N144" s="24" t="str">
        <x:v>cynoglossus senegalensis</x:v>
      </x:c>
      <x:c r="O144" s="32" t="n">
        <x:v>3.62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Cynoglossus senegalensis</x:v>
      </x:c>
      <x:c r="T144" s="32" t="n">
        <x:f>IF(O144="","",(1/'Metadata'!$B$5)^(O144-1))</x:f>
        <x:v>416.8693834703355</x:v>
      </x:c>
      <x:c r="U144" s="31" t="n">
        <x:f>IF(T144="","",I144*T144)</x:f>
        <x:v>3043.8655023062383</x:v>
      </x:c>
    </x:row>
    <x:row r="145" ht="18" customHeight="1">
      <x:c r="A145" s="24" t="str">
        <x:v>EEZ_624</x:v>
      </x:c>
      <x:c r="B145" s="24" t="str">
        <x:v>Guinea-Bissau</x:v>
      </x:c>
      <x:c r="C145" s="24" t="str">
        <x:v>EEZ</x:v>
      </x:c>
      <x:c r="D145" s="30" t="n">
        <x:v>2019</x:v>
      </x:c>
      <x:c r="E145" s="24" t="str">
        <x:v>Sarda sarda</x:v>
      </x:c>
      <x:c r="F145" s="24" t="str">
        <x:v>Atlantic bonito</x:v>
      </x:c>
      <x:c r="G145" s="24" t="str">
        <x:v>Medium pelagics (30 - 89 cm)</x:v>
      </x:c>
      <x:c r="H145" s="24" t="str">
        <x:v>Tuna &amp; billfishes</x:v>
      </x:c>
      <x:c r="I145" s="31" t="n">
        <x:v>6.229502837299999</x:v>
      </x:c>
      <x:c r="J145" s="31" t="n">
        <x:v>6.229502837299999</x:v>
      </x:c>
      <x:c r="K145" s="31" t="n">
        <x:v>0</x:v>
      </x:c>
      <x:c r="L145" s="31" t="n">
        <x:v>6.229502837299999</x:v>
      </x:c>
      <x:c r="M145" s="31" t="n">
        <x:v>0</x:v>
      </x:c>
      <x:c r="N145" s="24" t="str">
        <x:v>sarda sarda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Sarda sarda</x:v>
      </x:c>
      <x:c r="T145" s="32" t="n">
        <x:f>IF(O145="","",(1/'Metadata'!$B$5)^(O145-1))</x:f>
        <x:v>3162.2776601683795</x:v>
      </x:c>
      <x:c r="U145" s="31" t="n">
        <x:f>IF(T145="","",I145*T145)</x:f>
        <x:v>19699.417656349324</x:v>
      </x:c>
    </x:row>
    <x:row r="146" ht="18" customHeight="1">
      <x:c r="A146" s="24" t="str">
        <x:v>EEZ_624</x:v>
      </x:c>
      <x:c r="B146" s="24" t="str">
        <x:v>Guinea-Bissau</x:v>
      </x:c>
      <x:c r="C146" s="24" t="str">
        <x:v>EEZ</x:v>
      </x:c>
      <x:c r="D146" s="30" t="n">
        <x:v>2019</x:v>
      </x:c>
      <x:c r="E146" s="24" t="str">
        <x:v>Aristaeopsis edwardsiana</x:v>
      </x:c>
      <x:c r="F146" s="24" t="str">
        <x:v>Scarlet shrimp</x:v>
      </x:c>
      <x:c r="G146" s="24" t="str">
        <x:v>Shrimps</x:v>
      </x:c>
      <x:c r="H146" s="24" t="str">
        <x:v>Crustaceans</x:v>
      </x:c>
      <x:c r="I146" s="31" t="n">
        <x:v>5.845025837200001</x:v>
      </x:c>
      <x:c r="J146" s="31" t="n">
        <x:v>5.845025837200001</x:v>
      </x:c>
      <x:c r="K146" s="31" t="n">
        <x:v>0</x:v>
      </x:c>
      <x:c r="L146" s="31" t="n">
        <x:v>5.845025837200001</x:v>
      </x:c>
      <x:c r="M146" s="31" t="n">
        <x:v>0</x:v>
      </x:c>
      <x:c r="N146" s="24" t="str">
        <x:v>aristaeopsis edwardsiana</x:v>
      </x:c>
      <x:c r="O146" s="32" t="n">
        <x:v>2.3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Aristaeopsis edwardsiana</x:v>
      </x:c>
      <x:c r="T146" s="32" t="n">
        <x:f>IF(O146="","",(1/'Metadata'!$B$5)^(O146-1))</x:f>
        <x:v>19.952623149688787</x:v>
      </x:c>
      <x:c r="U146" s="31" t="n">
        <x:f>IF(T146="","",I146*T146)</x:f>
        <x:v>116.6235978298458</x:v>
      </x:c>
    </x:row>
    <x:row r="147" ht="18" customHeight="1">
      <x:c r="A147" s="24" t="str">
        <x:v>EEZ_624</x:v>
      </x:c>
      <x:c r="B147" s="24" t="str">
        <x:v>Guinea-Bissau</x:v>
      </x:c>
      <x:c r="C147" s="24" t="str">
        <x:v>EEZ</x:v>
      </x:c>
      <x:c r="D147" s="30" t="n">
        <x:v>2019</x:v>
      </x:c>
      <x:c r="E147" s="24" t="str">
        <x:v>Panulirus</x:v>
      </x:c>
      <x:c r="F147" s="24" t="str">
        <x:v>Spiny lobsters</x:v>
      </x:c>
      <x:c r="G147" s="24" t="str">
        <x:v>Lobsters, crabs</x:v>
      </x:c>
      <x:c r="H147" s="24" t="str">
        <x:v>Crustaceans</x:v>
      </x:c>
      <x:c r="I147" s="31" t="n">
        <x:v>5.4375608474</x:v>
      </x:c>
      <x:c r="J147" s="31" t="n">
        <x:v>5.4375608474</x:v>
      </x:c>
      <x:c r="K147" s="31" t="n">
        <x:v>0</x:v>
      </x:c>
      <x:c r="L147" s="31" t="n">
        <x:v>5.4375608474</x:v>
      </x:c>
      <x:c r="M147" s="31" t="n">
        <x:v>0</x:v>
      </x:c>
      <x:c r="N147" s="24" t="str">
        <x:v>panulirus</x:v>
      </x:c>
      <x:c r="O147" s="32" t="n">
        <x:v>2.6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Panulirus</x:v>
      </x:c>
      <x:c r="T147" s="32" t="n">
        <x:f>IF(O147="","",(1/'Metadata'!$B$5)^(O147-1))</x:f>
        <x:v>39.810717055349734</x:v>
      </x:c>
      <x:c r="U147" s="31" t="n">
        <x:f>IF(T147="","",I147*T147)</x:f>
        <x:v>216.47319636708914</x:v>
      </x:c>
    </x:row>
    <x:row r="148" ht="18" customHeight="1">
      <x:c r="A148" s="24" t="str">
        <x:v>EEZ_624</x:v>
      </x:c>
      <x:c r="B148" s="24" t="str">
        <x:v>Guinea-Bissau</x:v>
      </x:c>
      <x:c r="C148" s="24" t="str">
        <x:v>EEZ</x:v>
      </x:c>
      <x:c r="D148" s="30" t="n">
        <x:v>2019</x:v>
      </x:c>
      <x:c r="E148" s="24" t="str">
        <x:v>Schedophilus pemarco</x:v>
      </x:c>
      <x:c r="F148" s="24" t="str">
        <x:v>Pemarco blackfish</x:v>
      </x:c>
      <x:c r="G148" s="24" t="str">
        <x:v>Medium benthopelagics (30 - 89 cm)</x:v>
      </x:c>
      <x:c r="H148" s="24" t="str">
        <x:v>Perch-likes</x:v>
      </x:c>
      <x:c r="I148" s="31" t="n">
        <x:v>5.4147294146</x:v>
      </x:c>
      <x:c r="J148" s="31" t="n">
        <x:v>5.4147294146</x:v>
      </x:c>
      <x:c r="K148" s="31" t="n">
        <x:v>0</x:v>
      </x:c>
      <x:c r="L148" s="31" t="n">
        <x:v>0</x:v>
      </x:c>
      <x:c r="M148" s="31" t="n">
        <x:v>5.4147294146</x:v>
      </x:c>
      <x:c r="N148" s="24" t="str">
        <x:v>schedophilus pemarco</x:v>
      </x:c>
      <x:c r="O148" s="32" t="n">
        <x:v>3.96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Schedophilus pemarco</x:v>
      </x:c>
      <x:c r="T148" s="32" t="n">
        <x:f>IF(O148="","",(1/'Metadata'!$B$5)^(O148-1))</x:f>
        <x:v>912.0108393559096</x:v>
      </x:c>
      <x:c r="U148" s="31" t="n">
        <x:f>IF(T148="","",I148*T148)</x:f>
        <x:v>4938.291918294479</x:v>
      </x:c>
    </x:row>
    <x:row r="149" ht="18" customHeight="1">
      <x:c r="A149" s="24" t="str">
        <x:v>EEZ_624</x:v>
      </x:c>
      <x:c r="B149" s="24" t="str">
        <x:v>Guinea-Bissau</x:v>
      </x:c>
      <x:c r="C149" s="24" t="str">
        <x:v>EEZ</x:v>
      </x:c>
      <x:c r="D149" s="30" t="n">
        <x:v>2019</x:v>
      </x:c>
      <x:c r="E149" s="24" t="str">
        <x:v>Scombridae</x:v>
      </x:c>
      <x:c r="F149" s="24" t="str">
        <x:v>Mackerels, tunas, bonitos</x:v>
      </x:c>
      <x:c r="G149" s="24" t="str">
        <x:v>Medium pelagics (30 - 89 cm)</x:v>
      </x:c>
      <x:c r="H149" s="24" t="str">
        <x:v>Perch-likes</x:v>
      </x:c>
      <x:c r="I149" s="31" t="n">
        <x:v>5.2767033071</x:v>
      </x:c>
      <x:c r="J149" s="31" t="n">
        <x:v>5.2767033071</x:v>
      </x:c>
      <x:c r="K149" s="31" t="n">
        <x:v>0</x:v>
      </x:c>
      <x:c r="L149" s="31" t="n">
        <x:v>5.2767033071</x:v>
      </x:c>
      <x:c r="M149" s="31" t="n">
        <x:v>0</x:v>
      </x:c>
      <x:c r="N149" s="24" t="str">
        <x:v>scombridae</x:v>
      </x:c>
      <x:c r="O149" s="32" t="n">
        <x:v>4.26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Scombridae</x:v>
      </x:c>
      <x:c r="T149" s="32" t="n">
        <x:f>IF(O149="","",(1/'Metadata'!$B$5)^(O149-1))</x:f>
        <x:v>1819.7008586099826</x:v>
      </x:c>
      <x:c r="U149" s="31" t="n">
        <x:f>IF(T149="","",I149*T149)</x:f>
        <x:v>9602.021538560004</x:v>
      </x:c>
    </x:row>
    <x:row r="150" ht="18" customHeight="1">
      <x:c r="A150" s="24" t="str">
        <x:v>EEZ_624</x:v>
      </x:c>
      <x:c r="B150" s="24" t="str">
        <x:v>Guinea-Bissau</x:v>
      </x:c>
      <x:c r="C150" s="24" t="str">
        <x:v>EEZ</x:v>
      </x:c>
      <x:c r="D150" s="30" t="n">
        <x:v>2019</x:v>
      </x:c>
      <x:c r="E150" s="24" t="str">
        <x:v>Raja miraletus</x:v>
      </x:c>
      <x:c r="F150" s="24" t="str">
        <x:v>Brown ray</x:v>
      </x:c>
      <x:c r="G150" s="24" t="str">
        <x:v>Small to medium rays (&lt;90 cm)</x:v>
      </x:c>
      <x:c r="H150" s="24" t="str">
        <x:v>Sharks &amp; rays</x:v>
      </x:c>
      <x:c r="I150" s="31" t="n">
        <x:v>4.9517247001</x:v>
      </x:c>
      <x:c r="J150" s="31" t="n">
        <x:v>4.9517247001</x:v>
      </x:c>
      <x:c r="K150" s="31" t="n">
        <x:v>0</x:v>
      </x:c>
      <x:c r="L150" s="31" t="n">
        <x:v>4.9517247001</x:v>
      </x:c>
      <x:c r="M150" s="31" t="n">
        <x:v>0</x:v>
      </x:c>
      <x:c r="N150" s="24" t="str">
        <x:v>raja miraletus</x:v>
      </x:c>
      <x:c r="O150" s="32" t="n">
        <x:v>3.8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Raja miraletus</x:v>
      </x:c>
      <x:c r="T150" s="32" t="n">
        <x:f>IF(O150="","",(1/'Metadata'!$B$5)^(O150-1))</x:f>
        <x:v>630.957344480193</x:v>
      </x:c>
      <x:c r="U150" s="31" t="n">
        <x:f>IF(T150="","",I150*T150)</x:f>
        <x:v>3124.327067372076</x:v>
      </x:c>
    </x:row>
    <x:row r="151" ht="18" customHeight="1">
      <x:c r="A151" s="24" t="str">
        <x:v>EEZ_624</x:v>
      </x:c>
      <x:c r="B151" s="24" t="str">
        <x:v>Guinea-Bissau</x:v>
      </x:c>
      <x:c r="C151" s="24" t="str">
        <x:v>EEZ</x:v>
      </x:c>
      <x:c r="D151" s="30" t="n">
        <x:v>2019</x:v>
      </x:c>
      <x:c r="E151" s="24" t="str">
        <x:v>Sphyrna lewini</x:v>
      </x:c>
      <x:c r="F151" s="24" t="str">
        <x:v>Scalloped hammerhead</x:v>
      </x:c>
      <x:c r="G151" s="24" t="str">
        <x:v>Large sharks (&gt;=90 cm)</x:v>
      </x:c>
      <x:c r="H151" s="24" t="str">
        <x:v>Sharks &amp; rays</x:v>
      </x:c>
      <x:c r="I151" s="31" t="n">
        <x:v>4.9374878209</x:v>
      </x:c>
      <x:c r="J151" s="31" t="n">
        <x:v>4.9374878209</x:v>
      </x:c>
      <x:c r="K151" s="31" t="n">
        <x:v>0</x:v>
      </x:c>
      <x:c r="L151" s="31" t="n">
        <x:v>4.9374878209</x:v>
      </x:c>
      <x:c r="M151" s="31" t="n">
        <x:v>0</x:v>
      </x:c>
      <x:c r="N151" s="24" t="str">
        <x:v>sphyrna lewini</x:v>
      </x:c>
      <x:c r="O151" s="32" t="n">
        <x:v>4.08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Sphyrna lewini</x:v>
      </x:c>
      <x:c r="T151" s="32" t="n">
        <x:f>IF(O151="","",(1/'Metadata'!$B$5)^(O151-1))</x:f>
        <x:v>1202.2644346174131</x:v>
      </x:c>
      <x:c r="U151" s="31" t="n">
        <x:f>IF(T151="","",I151*T151)</x:f>
        <x:v>5936.1660034247025</x:v>
      </x:c>
    </x:row>
    <x:row r="152" ht="18" customHeight="1">
      <x:c r="A152" s="24" t="str">
        <x:v>EEZ_624</x:v>
      </x:c>
      <x:c r="B152" s="24" t="str">
        <x:v>Guinea-Bissau</x:v>
      </x:c>
      <x:c r="C152" s="24" t="str">
        <x:v>EEZ</x:v>
      </x:c>
      <x:c r="D152" s="30" t="n">
        <x:v>2019</x:v>
      </x:c>
      <x:c r="E152" s="24" t="str">
        <x:v>Liza</x:v>
      </x:c>
      <x:c r="F152" s="24" t="str">
        <x:v>Mullets</x:v>
      </x:c>
      <x:c r="G152" s="24" t="str">
        <x:v>Medium pelagics (30 - 89 cm)</x:v>
      </x:c>
      <x:c r="H152" s="24" t="str">
        <x:v>Perch-likes</x:v>
      </x:c>
      <x:c r="I152" s="31" t="n">
        <x:v>4.896094584</x:v>
      </x:c>
      <x:c r="J152" s="31" t="n">
        <x:v>4.896094584</x:v>
      </x:c>
      <x:c r="K152" s="31" t="n">
        <x:v>0</x:v>
      </x:c>
      <x:c r="L152" s="31" t="n">
        <x:v>4.896094584</x:v>
      </x:c>
      <x:c r="M152" s="31" t="n">
        <x:v>0</x:v>
      </x:c>
      <x:c r="N152" s="24" t="str">
        <x:v>liza</x:v>
      </x:c>
      <x:c r="O152" s="32" t="n">
        <x:v>2.57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Liza</x:v>
      </x:c>
      <x:c r="T152" s="32" t="n">
        <x:f>IF(O152="","",(1/'Metadata'!$B$5)^(O152-1))</x:f>
        <x:v>37.15352290971724</x:v>
      </x:c>
      <x:c r="U152" s="31" t="n">
        <x:f>IF(T152="","",I152*T152)</x:f>
        <x:v>181.9071622947865</x:v>
      </x:c>
    </x:row>
    <x:row r="153" ht="18" customHeight="1">
      <x:c r="A153" s="24" t="str">
        <x:v>EEZ_624</x:v>
      </x:c>
      <x:c r="B153" s="24" t="str">
        <x:v>Guinea-Bissau</x:v>
      </x:c>
      <x:c r="C153" s="24" t="str">
        <x:v>EEZ</x:v>
      </x:c>
      <x:c r="D153" s="30" t="n">
        <x:v>2019</x:v>
      </x:c>
      <x:c r="E153" s="24" t="str">
        <x:v>Isurus paucus</x:v>
      </x:c>
      <x:c r="F153" s="24" t="str">
        <x:v>Longfin mako</x:v>
      </x:c>
      <x:c r="G153" s="24" t="str">
        <x:v>Large sharks (&gt;=90 cm)</x:v>
      </x:c>
      <x:c r="H153" s="24" t="str">
        <x:v>Sharks &amp; rays</x:v>
      </x:c>
      <x:c r="I153" s="31" t="n">
        <x:v>4.8533934131</x:v>
      </x:c>
      <x:c r="J153" s="31" t="n">
        <x:v>4.8533934131</x:v>
      </x:c>
      <x:c r="K153" s="31" t="n">
        <x:v>0</x:v>
      </x:c>
      <x:c r="L153" s="31" t="n">
        <x:v>4.8533934131</x:v>
      </x:c>
      <x:c r="M153" s="31" t="n">
        <x:v>0</x:v>
      </x:c>
      <x:c r="N153" s="24" t="str">
        <x:v>isurus paucus</x:v>
      </x:c>
      <x:c r="O153" s="32" t="n">
        <x:v>4.51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paucus</x:v>
      </x:c>
      <x:c r="T153" s="32" t="n">
        <x:f>IF(O153="","",(1/'Metadata'!$B$5)^(O153-1))</x:f>
        <x:v>3235.936569296281</x:v>
      </x:c>
      <x:c r="U153" s="31" t="n">
        <x:f>IF(T153="","",I153*T153)</x:f>
        <x:v>15705.273230631983</x:v>
      </x:c>
    </x:row>
    <x:row r="154" ht="18" customHeight="1">
      <x:c r="A154" s="24" t="str">
        <x:v>EEZ_624</x:v>
      </x:c>
      <x:c r="B154" s="24" t="str">
        <x:v>Guinea-Bissau</x:v>
      </x:c>
      <x:c r="C154" s="24" t="str">
        <x:v>EEZ</x:v>
      </x:c>
      <x:c r="D154" s="30" t="n">
        <x:v>2019</x:v>
      </x:c>
      <x:c r="E154" s="24" t="str">
        <x:v>Caranx senegallus</x:v>
      </x:c>
      <x:c r="F154" s="24" t="str">
        <x:v>Senegal jack</x:v>
      </x:c>
      <x:c r="G154" s="24" t="str">
        <x:v>Medium benthopelagics (30 - 89 cm)</x:v>
      </x:c>
      <x:c r="H154" s="24" t="str">
        <x:v>Perch-likes</x:v>
      </x:c>
      <x:c r="I154" s="31" t="n">
        <x:v>4.3765018727</x:v>
      </x:c>
      <x:c r="J154" s="31" t="n">
        <x:v>4.3765018727</x:v>
      </x:c>
      <x:c r="K154" s="31" t="n">
        <x:v>0</x:v>
      </x:c>
      <x:c r="L154" s="31" t="n">
        <x:v>4.3765018727</x:v>
      </x:c>
      <x:c r="M154" s="31" t="n">
        <x:v>0</x:v>
      </x:c>
      <x:c r="N154" s="24" t="str">
        <x:v>caranx senegallus</x:v>
      </x:c>
      <x:c r="O154" s="32" t="n">
        <x:v>3.86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Caranx senegallus</x:v>
      </x:c>
      <x:c r="T154" s="32" t="n">
        <x:f>IF(O154="","",(1/'Metadata'!$B$5)^(O154-1))</x:f>
        <x:v>724.4359600749899</x:v>
      </x:c>
      <x:c r="U154" s="31" t="n">
        <x:f>IF(T154="","",I154*T154)</x:f>
        <x:v>3170.4953359194155</x:v>
      </x:c>
    </x:row>
    <x:row r="155" ht="18" customHeight="1">
      <x:c r="A155" s="24" t="str">
        <x:v>EEZ_624</x:v>
      </x:c>
      <x:c r="B155" s="24" t="str">
        <x:v>Guinea-Bissau</x:v>
      </x:c>
      <x:c r="C155" s="24" t="str">
        <x:v>EEZ</x:v>
      </x:c>
      <x:c r="D155" s="30" t="n">
        <x:v>2019</x:v>
      </x:c>
      <x:c r="E155" s="24" t="str">
        <x:v>Schedophilus ovalis</x:v>
      </x:c>
      <x:c r="F155" s="24" t="str">
        <x:v>Imperial blackfish</x:v>
      </x:c>
      <x:c r="G155" s="24" t="str">
        <x:v>Medium demersals (30 - 89 cm)</x:v>
      </x:c>
      <x:c r="H155" s="24" t="str">
        <x:v>Perch-likes</x:v>
      </x:c>
      <x:c r="I155" s="31" t="n">
        <x:v>3.9985691717</x:v>
      </x:c>
      <x:c r="J155" s="31" t="n">
        <x:v>3.9985691717</x:v>
      </x:c>
      <x:c r="K155" s="31" t="n">
        <x:v>0</x:v>
      </x:c>
      <x:c r="L155" s="31" t="n">
        <x:v>3.9985691717</x:v>
      </x:c>
      <x:c r="M155" s="31" t="n">
        <x:v>0</x:v>
      </x:c>
      <x:c r="N155" s="24" t="str">
        <x:v>schedophilus ovalis</x:v>
      </x:c>
      <x:c r="O155" s="32" t="n">
        <x:v>3.54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Schedophilus ovalis</x:v>
      </x:c>
      <x:c r="T155" s="32" t="n">
        <x:f>IF(O155="","",(1/'Metadata'!$B$5)^(O155-1))</x:f>
        <x:v>346.73685045253166</x:v>
      </x:c>
      <x:c r="U155" s="31" t="n">
        <x:f>IF(T155="","",I155*T155)</x:f>
        <x:v>1386.4512809118462</x:v>
      </x:c>
    </x:row>
    <x:row r="156" ht="18" customHeight="1">
      <x:c r="A156" s="24" t="str">
        <x:v>EEZ_624</x:v>
      </x:c>
      <x:c r="B156" s="24" t="str">
        <x:v>Guinea-Bissau</x:v>
      </x:c>
      <x:c r="C156" s="24" t="str">
        <x:v>EEZ</x:v>
      </x:c>
      <x:c r="D156" s="30" t="n">
        <x:v>2019</x:v>
      </x:c>
      <x:c r="E156" s="24" t="str">
        <x:v>Eucinostomus melanopterus</x:v>
      </x:c>
      <x:c r="F156" s="24" t="str">
        <x:v>Flagfin mojarra</x:v>
      </x:c>
      <x:c r="G156" s="24" t="str">
        <x:v>Large reef assoc. fish (&gt;=90 cm)</x:v>
      </x:c>
      <x:c r="H156" s="24" t="str">
        <x:v>Perch-likes</x:v>
      </x:c>
      <x:c r="I156" s="31" t="n">
        <x:v>3.9842119201000004</x:v>
      </x:c>
      <x:c r="J156" s="31" t="n">
        <x:v>3.9842119201000004</x:v>
      </x:c>
      <x:c r="K156" s="31" t="n">
        <x:v>0</x:v>
      </x:c>
      <x:c r="L156" s="31" t="n">
        <x:v>3.9842119201000004</x:v>
      </x:c>
      <x:c r="M156" s="31" t="n">
        <x:v>0</x:v>
      </x:c>
      <x:c r="N156" s="24" t="str">
        <x:v>eucinostomus melanopterus</x:v>
      </x:c>
      <x:c r="O156" s="32" t="n">
        <x:v>3.39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Eucinostomus melanopterus</x:v>
      </x:c>
      <x:c r="T156" s="32" t="n">
        <x:f>IF(O156="","",(1/'Metadata'!$B$5)^(O156-1))</x:f>
        <x:v>245.4708915685031</x:v>
      </x:c>
      <x:c r="U156" s="31" t="n">
        <x:f>IF(T156="","",I156*T156)</x:f>
        <x:v>978.0080522248047</x:v>
      </x:c>
    </x:row>
    <x:row r="157" ht="18" customHeight="1">
      <x:c r="A157" s="24" t="str">
        <x:v>EEZ_624</x:v>
      </x:c>
      <x:c r="B157" s="24" t="str">
        <x:v>Guinea-Bissau</x:v>
      </x:c>
      <x:c r="C157" s="24" t="str">
        <x:v>EEZ</x:v>
      </x:c>
      <x:c r="D157" s="30" t="n">
        <x:v>2019</x:v>
      </x:c>
      <x:c r="E157" s="24" t="str">
        <x:v>Centrophorus squamosus</x:v>
      </x:c>
      <x:c r="F157" s="24" t="str">
        <x:v>Leafscale gulper shark</x:v>
      </x:c>
      <x:c r="G157" s="24" t="str">
        <x:v>Large sharks (&gt;=90 cm)</x:v>
      </x:c>
      <x:c r="H157" s="24" t="str">
        <x:v>Sharks &amp; rays</x:v>
      </x:c>
      <x:c r="I157" s="31" t="n">
        <x:v>3.7043829140999995</x:v>
      </x:c>
      <x:c r="J157" s="31" t="n">
        <x:v>3.7043829140999995</x:v>
      </x:c>
      <x:c r="K157" s="31" t="n">
        <x:v>0</x:v>
      </x:c>
      <x:c r="L157" s="31" t="n">
        <x:v>3.7043829140999995</x:v>
      </x:c>
      <x:c r="M157" s="31" t="n">
        <x:v>0</x:v>
      </x:c>
      <x:c r="N157" s="24" t="str">
        <x:v>centrophorus squamosus</x:v>
      </x:c>
      <x:c r="O157" s="32" t="n">
        <x:v>4.47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Centrophorus squamosus</x:v>
      </x:c>
      <x:c r="T157" s="32" t="n">
        <x:f>IF(O157="","",(1/'Metadata'!$B$5)^(O157-1))</x:f>
        <x:v>2951.209226666384</x:v>
      </x:c>
      <x:c r="U157" s="31" t="n">
        <x:f>IF(T157="","",I157*T157)</x:f>
        <x:v>10932.409035197226</x:v>
      </x:c>
    </x:row>
    <x:row r="158" ht="18" customHeight="1">
      <x:c r="A158" s="24" t="str">
        <x:v>EEZ_624</x:v>
      </x:c>
      <x:c r="B158" s="24" t="str">
        <x:v>Guinea-Bissau</x:v>
      </x:c>
      <x:c r="C158" s="24" t="str">
        <x:v>EEZ</x:v>
      </x:c>
      <x:c r="D158" s="30" t="n">
        <x:v>2019</x:v>
      </x:c>
      <x:c r="E158" s="24" t="str">
        <x:v>Pseudocaranx dentex</x:v>
      </x:c>
      <x:c r="F158" s="24" t="str">
        <x:v>White trevally</x:v>
      </x:c>
      <x:c r="G158" s="24" t="str">
        <x:v>Large reef assoc. fish (&gt;=90 cm)</x:v>
      </x:c>
      <x:c r="H158" s="24" t="str">
        <x:v>Perch-likes</x:v>
      </x:c>
      <x:c r="I158" s="31" t="n">
        <x:v>3.560675352</x:v>
      </x:c>
      <x:c r="J158" s="31" t="n">
        <x:v>3.560675352</x:v>
      </x:c>
      <x:c r="K158" s="31" t="n">
        <x:v>0</x:v>
      </x:c>
      <x:c r="L158" s="31" t="n">
        <x:v>3.560675352</x:v>
      </x:c>
      <x:c r="M158" s="31" t="n">
        <x:v>0</x:v>
      </x:c>
      <x:c r="N158" s="24" t="str">
        <x:v>pseudocaranx dentex</x:v>
      </x:c>
      <x:c r="O158" s="32" t="n">
        <x:v>3.92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Pseudocaranx dentex</x:v>
      </x:c>
      <x:c r="T158" s="32" t="n">
        <x:f>IF(O158="","",(1/'Metadata'!$B$5)^(O158-1))</x:f>
        <x:v>831.7637711026708</x:v>
      </x:c>
      <x:c r="U158" s="31" t="n">
        <x:f>IF(T158="","",I158*T158)</x:f>
        <x:v>2961.64075845185</x:v>
      </x:c>
    </x:row>
    <x:row r="159" ht="18" customHeight="1">
      <x:c r="A159" s="24" t="str">
        <x:v>EEZ_624</x:v>
      </x:c>
      <x:c r="B159" s="24" t="str">
        <x:v>Guinea-Bissau</x:v>
      </x:c>
      <x:c r="C159" s="24" t="str">
        <x:v>EEZ</x:v>
      </x:c>
      <x:c r="D159" s="30" t="n">
        <x:v>2019</x:v>
      </x:c>
      <x:c r="E159" s="24" t="str">
        <x:v>Helicolenus dactylopterus</x:v>
      </x:c>
      <x:c r="F159" s="24" t="str">
        <x:v>Blackbelly rosefish</x:v>
      </x:c>
      <x:c r="G159" s="24" t="str">
        <x:v>Medium bathydemersals (30 - 89 cm)</x:v>
      </x:c>
      <x:c r="H159" s="24" t="str">
        <x:v>Scorpionfishes</x:v>
      </x:c>
      <x:c r="I159" s="31" t="n">
        <x:v>3.5182147182</x:v>
      </x:c>
      <x:c r="J159" s="31" t="n">
        <x:v>3.5182147182</x:v>
      </x:c>
      <x:c r="K159" s="31" t="n">
        <x:v>0</x:v>
      </x:c>
      <x:c r="L159" s="31" t="n">
        <x:v>3.5182147182</x:v>
      </x:c>
      <x:c r="M159" s="31" t="n">
        <x:v>0</x:v>
      </x:c>
      <x:c r="N159" s="24" t="str">
        <x:v>helicolenus dactylopterus</x:v>
      </x:c>
      <x:c r="O159" s="32" t="n">
        <x:v>3.54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Helicolenus dactylopterus</x:v>
      </x:c>
      <x:c r="T159" s="32" t="n">
        <x:f>IF(O159="","",(1/'Metadata'!$B$5)^(O159-1))</x:f>
        <x:v>346.73685045253166</x:v>
      </x:c>
      <x:c r="U159" s="31" t="n">
        <x:f>IF(T159="","",I159*T159)</x:f>
        <x:v>1219.894690604409</x:v>
      </x:c>
    </x:row>
    <x:row r="160" ht="18" customHeight="1">
      <x:c r="A160" s="24" t="str">
        <x:v>EEZ_624</x:v>
      </x:c>
      <x:c r="B160" s="24" t="str">
        <x:v>Guinea-Bissau</x:v>
      </x:c>
      <x:c r="C160" s="24" t="str">
        <x:v>EEZ</x:v>
      </x:c>
      <x:c r="D160" s="30" t="n">
        <x:v>2019</x:v>
      </x:c>
      <x:c r="E160" s="24" t="str">
        <x:v>Lepidocybium flavobrunneum</x:v>
      </x:c>
      <x:c r="F160" s="24" t="str">
        <x:v>Escolar</x:v>
      </x:c>
      <x:c r="G160" s="24" t="str">
        <x:v>Large bathypelagics (&gt;=90 cm)</x:v>
      </x:c>
      <x:c r="H160" s="24" t="str">
        <x:v>Perch-likes</x:v>
      </x:c>
      <x:c r="I160" s="31" t="n">
        <x:v>3.1292459573</x:v>
      </x:c>
      <x:c r="J160" s="31" t="n">
        <x:v>3.1292459573</x:v>
      </x:c>
      <x:c r="K160" s="31" t="n">
        <x:v>0</x:v>
      </x:c>
      <x:c r="L160" s="31" t="n">
        <x:v>3.1292459573</x:v>
      </x:c>
      <x:c r="M160" s="31" t="n">
        <x:v>0</x:v>
      </x:c>
      <x:c r="N160" s="24" t="str">
        <x:v>lepidocybium flavobrunneum</x:v>
      </x:c>
      <x:c r="O160" s="32" t="n">
        <x:v>4.34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Lepidocybium flavobrunneum</x:v>
      </x:c>
      <x:c r="T160" s="32" t="n">
        <x:f>IF(O160="","",(1/'Metadata'!$B$5)^(O160-1))</x:f>
        <x:v>2187.761623949552</x:v>
      </x:c>
      <x:c r="U160" s="31" t="n">
        <x:f>IF(T160="","",I160*T160)</x:f>
        <x:v>6846.044217280219</x:v>
      </x:c>
    </x:row>
    <x:row r="161" ht="18" customHeight="1">
      <x:c r="A161" s="24" t="str">
        <x:v>EEZ_624</x:v>
      </x:c>
      <x:c r="B161" s="24" t="str">
        <x:v>Guinea-Bissau</x:v>
      </x:c>
      <x:c r="C161" s="24" t="str">
        <x:v>EEZ</x:v>
      </x:c>
      <x:c r="D161" s="30" t="n">
        <x:v>2019</x:v>
      </x:c>
      <x:c r="E161" s="24" t="str">
        <x:v>Decapoda</x:v>
      </x:c>
      <x:c r="F161" s="24" t="str">
        <x:v>Crabs, lobsters, shrimps</x:v>
      </x:c>
      <x:c r="G161" s="24" t="str">
        <x:v>Lobsters, crabs</x:v>
      </x:c>
      <x:c r="H161" s="24" t="str">
        <x:v>Crustaceans</x:v>
      </x:c>
      <x:c r="I161" s="31" t="n">
        <x:v>3.018576653</x:v>
      </x:c>
      <x:c r="J161" s="31" t="n">
        <x:v>3.018576653</x:v>
      </x:c>
      <x:c r="K161" s="31" t="n">
        <x:v>0</x:v>
      </x:c>
      <x:c r="L161" s="31" t="n">
        <x:v>0.852684887</x:v>
      </x:c>
      <x:c r="M161" s="31" t="n">
        <x:v>2.165891766</x:v>
      </x:c>
      <x:c r="N161" s="24" t="str">
        <x:v>decapoda</x:v>
      </x:c>
      <x:c r="O161" s="32" t="n">
        <x:v>3.43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Decapoda</x:v>
      </x:c>
      <x:c r="T161" s="32" t="n">
        <x:f>IF(O161="","",(1/'Metadata'!$B$5)^(O161-1))</x:f>
        <x:v>269.1534803926917</x:v>
      </x:c>
      <x:c r="U161" s="31" t="n">
        <x:f>IF(T161="","",I161*T161)</x:f>
        <x:v>812.4604119870725</x:v>
      </x:c>
    </x:row>
    <x:row r="162" ht="18" customHeight="1">
      <x:c r="A162" s="24" t="str">
        <x:v>EEZ_624</x:v>
      </x:c>
      <x:c r="B162" s="24" t="str">
        <x:v>Guinea-Bissau</x:v>
      </x:c>
      <x:c r="C162" s="24" t="str">
        <x:v>EEZ</x:v>
      </x:c>
      <x:c r="D162" s="30" t="n">
        <x:v>2019</x:v>
      </x:c>
      <x:c r="E162" s="24" t="str">
        <x:v>Galeorhinus galeus</x:v>
      </x:c>
      <x:c r="F162" s="24" t="str">
        <x:v>Tope shark</x:v>
      </x:c>
      <x:c r="G162" s="24" t="str">
        <x:v>Large sharks (&gt;=90 cm)</x:v>
      </x:c>
      <x:c r="H162" s="24" t="str">
        <x:v>Sharks &amp; rays</x:v>
      </x:c>
      <x:c r="I162" s="31" t="n">
        <x:v>2.9237901058</x:v>
      </x:c>
      <x:c r="J162" s="31" t="n">
        <x:v>2.9237901058</x:v>
      </x:c>
      <x:c r="K162" s="31" t="n">
        <x:v>0</x:v>
      </x:c>
      <x:c r="L162" s="31" t="n">
        <x:v>2.9237901058</x:v>
      </x:c>
      <x:c r="M162" s="31" t="n">
        <x:v>0</x:v>
      </x:c>
      <x:c r="N162" s="24" t="str">
        <x:v>galeorhinus galeus</x:v>
      </x:c>
      <x:c r="O162" s="32" t="n">
        <x:v>4.34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Galeorhinus galeus</x:v>
      </x:c>
      <x:c r="T162" s="32" t="n">
        <x:f>IF(O162="","",(1/'Metadata'!$B$5)^(O162-1))</x:f>
        <x:v>2187.761623949552</x:v>
      </x:c>
      <x:c r="U162" s="31" t="n">
        <x:f>IF(T162="","",I162*T162)</x:f>
        <x:v>6396.55578995264</x:v>
      </x:c>
    </x:row>
    <x:row r="163" ht="18" customHeight="1">
      <x:c r="A163" s="24" t="str">
        <x:v>EEZ_624</x:v>
      </x:c>
      <x:c r="B163" s="24" t="str">
        <x:v>Guinea-Bissau</x:v>
      </x:c>
      <x:c r="C163" s="24" t="str">
        <x:v>EEZ</x:v>
      </x:c>
      <x:c r="D163" s="30" t="n">
        <x:v>2019</x:v>
      </x:c>
      <x:c r="E163" s="24" t="str">
        <x:v>Ginglymostoma cirratum</x:v>
      </x:c>
      <x:c r="F163" s="24" t="str">
        <x:v>Nurse shark</x:v>
      </x:c>
      <x:c r="G163" s="24" t="str">
        <x:v>Large sharks (&gt;=90 cm)</x:v>
      </x:c>
      <x:c r="H163" s="24" t="str">
        <x:v>Sharks &amp; rays</x:v>
      </x:c>
      <x:c r="I163" s="31" t="n">
        <x:v>2.87232</x:v>
      </x:c>
      <x:c r="J163" s="31" t="n">
        <x:v>2.87232</x:v>
      </x:c>
      <x:c r="K163" s="31" t="n">
        <x:v>0</x:v>
      </x:c>
      <x:c r="L163" s="31" t="n">
        <x:v>0</x:v>
      </x:c>
      <x:c r="M163" s="31" t="n">
        <x:v>2.87232</x:v>
      </x:c>
      <x:c r="N163" s="24" t="str">
        <x:v>ginglymostoma cirratum</x:v>
      </x:c>
      <x:c r="O163" s="32" t="n">
        <x:v>4.15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Ginglymostoma cirratum</x:v>
      </x:c>
      <x:c r="T163" s="32" t="n">
        <x:f>IF(O163="","",(1/'Metadata'!$B$5)^(O163-1))</x:f>
        <x:v>1412.5375446227554</x:v>
      </x:c>
      <x:c r="U163" s="31" t="n">
        <x:f>IF(T163="","",I163*T163)</x:f>
        <x:v>4057.259840170833</x:v>
      </x:c>
    </x:row>
    <x:row r="164" ht="18" customHeight="1">
      <x:c r="A164" s="24" t="str">
        <x:v>EEZ_624</x:v>
      </x:c>
      <x:c r="B164" s="24" t="str">
        <x:v>Guinea-Bissau</x:v>
      </x:c>
      <x:c r="C164" s="24" t="str">
        <x:v>EEZ</x:v>
      </x:c>
      <x:c r="D164" s="30" t="n">
        <x:v>2019</x:v>
      </x:c>
      <x:c r="E164" s="24" t="str">
        <x:v>Rhinobatos</x:v>
      </x:c>
      <x:c r="F164" s="24" t="str">
        <x:v>Guitarfishes</x:v>
      </x:c>
      <x:c r="G164" s="24" t="str">
        <x:v>Large rays (&gt;=90 cm)</x:v>
      </x:c>
      <x:c r="H164" s="24" t="str">
        <x:v>Sharks &amp; rays</x:v>
      </x:c>
      <x:c r="I164" s="31" t="n">
        <x:v>2.87232</x:v>
      </x:c>
      <x:c r="J164" s="31" t="n">
        <x:v>2.87232</x:v>
      </x:c>
      <x:c r="K164" s="31" t="n">
        <x:v>0</x:v>
      </x:c>
      <x:c r="L164" s="31" t="n">
        <x:v>0</x:v>
      </x:c>
      <x:c r="M164" s="31" t="n">
        <x:v>2.87232</x:v>
      </x:c>
      <x:c r="N164" s="24" t="str">
        <x:v>rhinobatos</x:v>
      </x:c>
      <x:c r="O164" s="32" t="n">
        <x:v>3.73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Rhinobatos</x:v>
      </x:c>
      <x:c r="T164" s="32" t="n">
        <x:f>IF(O164="","",(1/'Metadata'!$B$5)^(O164-1))</x:f>
        <x:v>537.0317963702527</x:v>
      </x:c>
      <x:c r="U164" s="31" t="n">
        <x:f>IF(T164="","",I164*T164)</x:f>
        <x:v>1542.5271693502043</x:v>
      </x:c>
    </x:row>
    <x:row r="165" ht="18" customHeight="1">
      <x:c r="A165" s="24" t="str">
        <x:v>EEZ_624</x:v>
      </x:c>
      <x:c r="B165" s="24" t="str">
        <x:v>Guinea-Bissau</x:v>
      </x:c>
      <x:c r="C165" s="24" t="str">
        <x:v>EEZ</x:v>
      </x:c>
      <x:c r="D165" s="30" t="n">
        <x:v>2019</x:v>
      </x:c>
      <x:c r="E165" s="24" t="str">
        <x:v>Balistes capriscus</x:v>
      </x:c>
      <x:c r="F165" s="24" t="str">
        <x:v>Grey triggerfish</x:v>
      </x:c>
      <x:c r="G165" s="24" t="str">
        <x:v>Medium benthopelagics (30 - 89 cm)</x:v>
      </x:c>
      <x:c r="H165" s="24" t="str">
        <x:v>Other fishes &amp; inverts</x:v>
      </x:c>
      <x:c r="I165" s="31" t="n">
        <x:v>2.7969396</x:v>
      </x:c>
      <x:c r="J165" s="31" t="n">
        <x:v>2.7969396</x:v>
      </x:c>
      <x:c r="K165" s="31" t="n">
        <x:v>0</x:v>
      </x:c>
      <x:c r="L165" s="31" t="n">
        <x:v>2.7969396</x:v>
      </x:c>
      <x:c r="M165" s="31" t="n">
        <x:v>0</x:v>
      </x:c>
      <x:c r="N165" s="24" t="str">
        <x:v>balistes capriscus</x:v>
      </x:c>
      <x:c r="O165" s="32" t="n">
        <x:v>4.06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Balistes capriscus</x:v>
      </x:c>
      <x:c r="T165" s="32" t="n">
        <x:f>IF(O165="","",(1/'Metadata'!$B$5)^(O165-1))</x:f>
        <x:v>1148.1536214968817</x:v>
      </x:c>
      <x:c r="U165" s="31" t="n">
        <x:f>IF(T165="","",I165*T165)</x:f>
        <x:v>3211.31633084804</x:v>
      </x:c>
    </x:row>
    <x:row r="166" ht="18" customHeight="1">
      <x:c r="A166" s="24" t="str">
        <x:v>EEZ_624</x:v>
      </x:c>
      <x:c r="B166" s="24" t="str">
        <x:v>Guinea-Bissau</x:v>
      </x:c>
      <x:c r="C166" s="24" t="str">
        <x:v>EEZ</x:v>
      </x:c>
      <x:c r="D166" s="30" t="n">
        <x:v>2019</x:v>
      </x:c>
      <x:c r="E166" s="24" t="str">
        <x:v>Squaliformes</x:v>
      </x:c>
      <x:c r="F166" s="24" t="str">
        <x:v>Bramble, sleeper, dogfish sharks</x:v>
      </x:c>
      <x:c r="G166" s="24" t="str">
        <x:v>Large sharks (&gt;=90 cm)</x:v>
      </x:c>
      <x:c r="H166" s="24" t="str">
        <x:v>Sharks &amp; rays</x:v>
      </x:c>
      <x:c r="I166" s="31" t="n">
        <x:v>2.736434376</x:v>
      </x:c>
      <x:c r="J166" s="31" t="n">
        <x:v>2.736434376</x:v>
      </x:c>
      <x:c r="K166" s="31" t="n">
        <x:v>0</x:v>
      </x:c>
      <x:c r="L166" s="31" t="n">
        <x:v>2.736434376</x:v>
      </x:c>
      <x:c r="M166" s="31" t="n">
        <x:v>0</x:v>
      </x:c>
      <x:c r="N166" s="24" t="str">
        <x:v>squaliformes</x:v>
      </x:c>
      <x:c r="O166" s="32" t="n">
        <x:v>4.19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Squaliformes</x:v>
      </x:c>
      <x:c r="T166" s="32" t="n">
        <x:f>IF(O166="","",(1/'Metadata'!$B$5)^(O166-1))</x:f>
        <x:v>1548.8166189124827</x:v>
      </x:c>
      <x:c r="U166" s="31" t="n">
        <x:f>IF(T166="","",I166*T166)</x:f>
        <x:v>4238.23503811221</x:v>
      </x:c>
    </x:row>
    <x:row r="167" ht="18" customHeight="1">
      <x:c r="A167" s="24" t="str">
        <x:v>EEZ_624</x:v>
      </x:c>
      <x:c r="B167" s="24" t="str">
        <x:v>Guinea-Bissau</x:v>
      </x:c>
      <x:c r="C167" s="24" t="str">
        <x:v>EEZ</x:v>
      </x:c>
      <x:c r="D167" s="30" t="n">
        <x:v>2019</x:v>
      </x:c>
      <x:c r="E167" s="24" t="str">
        <x:v>Pagellus</x:v>
      </x:c>
      <x:c r="F167" s="24" t="str">
        <x:v>Pandoras</x:v>
      </x:c>
      <x:c r="G167" s="24" t="str">
        <x:v>Medium benthopelagics (30 - 89 cm)</x:v>
      </x:c>
      <x:c r="H167" s="24" t="str">
        <x:v>Perch-likes</x:v>
      </x:c>
      <x:c r="I167" s="31" t="n">
        <x:v>2.4531323526</x:v>
      </x:c>
      <x:c r="J167" s="31" t="n">
        <x:v>2.4531323526</x:v>
      </x:c>
      <x:c r="K167" s="31" t="n">
        <x:v>0</x:v>
      </x:c>
      <x:c r="L167" s="31" t="n">
        <x:v>2.4531323526</x:v>
      </x:c>
      <x:c r="M167" s="31" t="n">
        <x:v>0</x:v>
      </x:c>
      <x:c r="N167" s="24" t="str">
        <x:v>pagellus</x:v>
      </x:c>
      <x:c r="O167" s="32" t="n">
        <x:v>3.44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Pagellus</x:v>
      </x:c>
      <x:c r="T167" s="32" t="n">
        <x:f>IF(O167="","",(1/'Metadata'!$B$5)^(O167-1))</x:f>
        <x:v>275.4228703338166</x:v>
      </x:c>
      <x:c r="U167" s="31" t="n">
        <x:f>IF(T167="","",I167*T167)</x:f>
        <x:v>675.6487538618403</x:v>
      </x:c>
    </x:row>
    <x:row r="168" ht="18" customHeight="1">
      <x:c r="A168" s="24" t="str">
        <x:v>EEZ_624</x:v>
      </x:c>
      <x:c r="B168" s="24" t="str">
        <x:v>Guinea-Bissau</x:v>
      </x:c>
      <x:c r="C168" s="24" t="str">
        <x:v>EEZ</x:v>
      </x:c>
      <x:c r="D168" s="30" t="n">
        <x:v>2019</x:v>
      </x:c>
      <x:c r="E168" s="24" t="str">
        <x:v>Sarda</x:v>
      </x:c>
      <x:c r="F168" s="24" t="str">
        <x:v>Bonitos</x:v>
      </x:c>
      <x:c r="G168" s="24" t="str">
        <x:v>Large pelagics (&gt;=90 cm)</x:v>
      </x:c>
      <x:c r="H168" s="24" t="str">
        <x:v>Tuna &amp; billfishes</x:v>
      </x:c>
      <x:c r="I168" s="31" t="n">
        <x:v>2.3802938316</x:v>
      </x:c>
      <x:c r="J168" s="31" t="n">
        <x:v>2.3802938316</x:v>
      </x:c>
      <x:c r="K168" s="31" t="n">
        <x:v>0</x:v>
      </x:c>
      <x:c r="L168" s="31" t="n">
        <x:v>2.3802938316</x:v>
      </x:c>
      <x:c r="M168" s="31" t="n">
        <x:v>0</x:v>
      </x:c>
      <x:c r="N168" s="24" t="str">
        <x:v>sarda</x:v>
      </x:c>
      <x:c r="O168" s="32" t="n">
        <x:v>4.37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Sarda</x:v>
      </x:c>
      <x:c r="T168" s="32" t="n">
        <x:f>IF(O168="","",(1/'Metadata'!$B$5)^(O168-1))</x:f>
        <x:v>2344.228815319923</x:v>
      </x:c>
      <x:c r="U168" s="31" t="n">
        <x:f>IF(T168="","",I168*T168)</x:f>
        <x:v>5579.953388964988</x:v>
      </x:c>
    </x:row>
    <x:row r="169" ht="18" customHeight="1">
      <x:c r="A169" s="24" t="str">
        <x:v>EEZ_624</x:v>
      </x:c>
      <x:c r="B169" s="24" t="str">
        <x:v>Guinea-Bissau</x:v>
      </x:c>
      <x:c r="C169" s="24" t="str">
        <x:v>EEZ</x:v>
      </x:c>
      <x:c r="D169" s="30" t="n">
        <x:v>2019</x:v>
      </x:c>
      <x:c r="E169" s="24" t="str">
        <x:v>Beryx decadactylus</x:v>
      </x:c>
      <x:c r="F169" s="24" t="str">
        <x:v>Alfonsino</x:v>
      </x:c>
      <x:c r="G169" s="24" t="str">
        <x:v>Medium bathydemersals (30 - 89 cm)</x:v>
      </x:c>
      <x:c r="H169" s="24" t="str">
        <x:v>Other fishes &amp; inverts</x:v>
      </x:c>
      <x:c r="I169" s="31" t="n">
        <x:v>2.341485768</x:v>
      </x:c>
      <x:c r="J169" s="31" t="n">
        <x:v>2.341485768</x:v>
      </x:c>
      <x:c r="K169" s="31" t="n">
        <x:v>0</x:v>
      </x:c>
      <x:c r="L169" s="31" t="n">
        <x:v>2.341485768</x:v>
      </x:c>
      <x:c r="M169" s="31" t="n">
        <x:v>0</x:v>
      </x:c>
      <x:c r="N169" s="24" t="str">
        <x:v>beryx decadactylus</x:v>
      </x:c>
      <x:c r="O169" s="32" t="n">
        <x:v>4.13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Beryx decadactylus</x:v>
      </x:c>
      <x:c r="T169" s="32" t="n">
        <x:f>IF(O169="","",(1/'Metadata'!$B$5)^(O169-1))</x:f>
        <x:v>1348.9628825916532</x:v>
      </x:c>
      <x:c r="U169" s="31" t="n">
        <x:f>IF(T169="","",I169*T169)</x:f>
        <x:v>3158.577391148611</x:v>
      </x:c>
    </x:row>
    <x:row r="170" ht="18" customHeight="1">
      <x:c r="A170" s="24" t="str">
        <x:v>EEZ_624</x:v>
      </x:c>
      <x:c r="B170" s="24" t="str">
        <x:v>Guinea-Bissau</x:v>
      </x:c>
      <x:c r="C170" s="24" t="str">
        <x:v>EEZ</x:v>
      </x:c>
      <x:c r="D170" s="30" t="n">
        <x:v>2019</x:v>
      </x:c>
      <x:c r="E170" s="24" t="str">
        <x:v>Squalus blainville</x:v>
      </x:c>
      <x:c r="F170" s="24" t="str">
        <x:v>Longnose spurdog</x:v>
      </x:c>
      <x:c r="G170" s="24" t="str">
        <x:v>Small to medium sharks (&lt;90 cm)</x:v>
      </x:c>
      <x:c r="H170" s="24" t="str">
        <x:v>Sharks &amp; rays</x:v>
      </x:c>
      <x:c r="I170" s="31" t="n">
        <x:v>2.2604294963</x:v>
      </x:c>
      <x:c r="J170" s="31" t="n">
        <x:v>2.2604294963</x:v>
      </x:c>
      <x:c r="K170" s="31" t="n">
        <x:v>0</x:v>
      </x:c>
      <x:c r="L170" s="31" t="n">
        <x:v>2.2604294963</x:v>
      </x:c>
      <x:c r="M170" s="31" t="n">
        <x:v>0</x:v>
      </x:c>
      <x:c r="N170" s="24" t="str">
        <x:v>squalus blainville</x:v>
      </x:c>
      <x:c r="O170" s="32" t="n">
        <x:v>3.97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Squalus blainville</x:v>
      </x:c>
      <x:c r="T170" s="32" t="n">
        <x:f>IF(O170="","",(1/'Metadata'!$B$5)^(O170-1))</x:f>
        <x:v>933.2543007969915</x:v>
      </x:c>
      <x:c r="U170" s="31" t="n">
        <x:f>IF(T170="","",I170*T170)</x:f>
        <x:v>2109.5555490703523</x:v>
      </x:c>
    </x:row>
    <x:row r="171" ht="18" customHeight="1">
      <x:c r="A171" s="24" t="str">
        <x:v>EEZ_624</x:v>
      </x:c>
      <x:c r="B171" s="24" t="str">
        <x:v>Guinea-Bissau</x:v>
      </x:c>
      <x:c r="C171" s="24" t="str">
        <x:v>EEZ</x:v>
      </x:c>
      <x:c r="D171" s="30" t="n">
        <x:v>2019</x:v>
      </x:c>
      <x:c r="E171" s="24" t="str">
        <x:v>Thunnus alalunga</x:v>
      </x:c>
      <x:c r="F171" s="24" t="str">
        <x:v>Albacore</x:v>
      </x:c>
      <x:c r="G171" s="24" t="str">
        <x:v>Large pelagics (&gt;=90 cm)</x:v>
      </x:c>
      <x:c r="H171" s="24" t="str">
        <x:v>Tuna &amp; billfishes</x:v>
      </x:c>
      <x:c r="I171" s="31" t="n">
        <x:v>2.1484728473</x:v>
      </x:c>
      <x:c r="J171" s="31" t="n">
        <x:v>2.1484728473</x:v>
      </x:c>
      <x:c r="K171" s="31" t="n">
        <x:v>0</x:v>
      </x:c>
      <x:c r="L171" s="31" t="n">
        <x:v>2.1484728473</x:v>
      </x:c>
      <x:c r="M171" s="31" t="n">
        <x:v>0</x:v>
      </x:c>
      <x:c r="N171" s="24" t="str">
        <x:v>thunnus alalunga</x:v>
      </x:c>
      <x:c r="O171" s="32" t="n">
        <x:v>4.3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Thunnus alalunga</x:v>
      </x:c>
      <x:c r="T171" s="32" t="n">
        <x:f>IF(O171="","",(1/'Metadata'!$B$5)^(O171-1))</x:f>
        <x:v>1995.2623149688789</x:v>
      </x:c>
      <x:c r="U171" s="31" t="n">
        <x:f>IF(T171="","",I171*T171)</x:f>
        <x:v>4286.766906951576</x:v>
      </x:c>
    </x:row>
    <x:row r="172" ht="18" customHeight="1">
      <x:c r="A172" s="24" t="str">
        <x:v>EEZ_624</x:v>
      </x:c>
      <x:c r="B172" s="24" t="str">
        <x:v>Guinea-Bissau</x:v>
      </x:c>
      <x:c r="C172" s="24" t="str">
        <x:v>EEZ</x:v>
      </x:c>
      <x:c r="D172" s="30" t="n">
        <x:v>2019</x:v>
      </x:c>
      <x:c r="E172" s="24" t="str">
        <x:v>Coryphaena hippurus</x:v>
      </x:c>
      <x:c r="F172" s="24" t="str">
        <x:v>Common dolphinfish</x:v>
      </x:c>
      <x:c r="G172" s="24" t="str">
        <x:v>Large pelagics (&gt;=90 cm)</x:v>
      </x:c>
      <x:c r="H172" s="24" t="str">
        <x:v>Perch-likes</x:v>
      </x:c>
      <x:c r="I172" s="31" t="n">
        <x:v>2.0965366323</x:v>
      </x:c>
      <x:c r="J172" s="31" t="n">
        <x:v>2.0965366323</x:v>
      </x:c>
      <x:c r="K172" s="31" t="n">
        <x:v>0</x:v>
      </x:c>
      <x:c r="L172" s="31" t="n">
        <x:v>2.0965366323</x:v>
      </x:c>
      <x:c r="M172" s="31" t="n">
        <x:v>0</x:v>
      </x:c>
      <x:c r="N172" s="24" t="str">
        <x:v>coryphaena hippurus</x:v>
      </x:c>
      <x:c r="O172" s="32" t="n">
        <x:v>4.37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Coryphaena hippurus</x:v>
      </x:c>
      <x:c r="T172" s="32" t="n">
        <x:f>IF(O172="","",(1/'Metadata'!$B$5)^(O172-1))</x:f>
        <x:v>2344.228815319923</x:v>
      </x:c>
      <x:c r="U172" s="31" t="n">
        <x:f>IF(T172="","",I172*T172)</x:f>
        <x:v>4914.76158581145</x:v>
      </x:c>
    </x:row>
    <x:row r="173" ht="18" customHeight="1">
      <x:c r="A173" s="24" t="str">
        <x:v>EEZ_624</x:v>
      </x:c>
      <x:c r="B173" s="24" t="str">
        <x:v>Guinea-Bissau</x:v>
      </x:c>
      <x:c r="C173" s="24" t="str">
        <x:v>EEZ</x:v>
      </x:c>
      <x:c r="D173" s="30" t="n">
        <x:v>2019</x:v>
      </x:c>
      <x:c r="E173" s="24" t="str">
        <x:v>Sphyrnidae</x:v>
      </x:c>
      <x:c r="F173" s="24" t="str">
        <x:v>Hammer, bonnet, scoophead sharks</x:v>
      </x:c>
      <x:c r="G173" s="24" t="str">
        <x:v>Large sharks (&gt;=90 cm)</x:v>
      </x:c>
      <x:c r="H173" s="24" t="str">
        <x:v>Sharks &amp; rays</x:v>
      </x:c>
      <x:c r="I173" s="31" t="n">
        <x:v>2.0197543256</x:v>
      </x:c>
      <x:c r="J173" s="31" t="n">
        <x:v>2.0197543256</x:v>
      </x:c>
      <x:c r="K173" s="31" t="n">
        <x:v>0</x:v>
      </x:c>
      <x:c r="L173" s="31" t="n">
        <x:v>2.0197543256</x:v>
      </x:c>
      <x:c r="M173" s="31" t="n">
        <x:v>0</x:v>
      </x:c>
      <x:c r="N173" s="24" t="str">
        <x:v>sphyrnidae</x:v>
      </x:c>
      <x:c r="O173" s="32" t="n">
        <x:v>4.19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Sphyrnidae</x:v>
      </x:c>
      <x:c r="T173" s="32" t="n">
        <x:f>IF(O173="","",(1/'Metadata'!$B$5)^(O173-1))</x:f>
        <x:v>1548.8166189124827</x:v>
      </x:c>
      <x:c r="U173" s="31" t="n">
        <x:f>IF(T173="","",I173*T173)</x:f>
        <x:v>3128.229065609654</x:v>
      </x:c>
    </x:row>
    <x:row r="174" ht="18" customHeight="1">
      <x:c r="A174" s="24" t="str">
        <x:v>EEZ_624</x:v>
      </x:c>
      <x:c r="B174" s="24" t="str">
        <x:v>Guinea-Bissau</x:v>
      </x:c>
      <x:c r="C174" s="24" t="str">
        <x:v>EEZ</x:v>
      </x:c>
      <x:c r="D174" s="30" t="n">
        <x:v>2019</x:v>
      </x:c>
      <x:c r="E174" s="24" t="str">
        <x:v>Centroscymnus coelolepis</x:v>
      </x:c>
      <x:c r="F174" s="24" t="str">
        <x:v>Portuguese dogfish</x:v>
      </x:c>
      <x:c r="G174" s="24" t="str">
        <x:v>Large sharks (&gt;=90 cm)</x:v>
      </x:c>
      <x:c r="H174" s="24" t="str">
        <x:v>Sharks &amp; rays</x:v>
      </x:c>
      <x:c r="I174" s="31" t="n">
        <x:v>1.94358762</x:v>
      </x:c>
      <x:c r="J174" s="31" t="n">
        <x:v>1.94358762</x:v>
      </x:c>
      <x:c r="K174" s="31" t="n">
        <x:v>0</x:v>
      </x:c>
      <x:c r="L174" s="31" t="n">
        <x:v>1.94358762</x:v>
      </x:c>
      <x:c r="M174" s="31" t="n">
        <x:v>0</x:v>
      </x:c>
      <x:c r="N174" s="24" t="str">
        <x:v>centroscymnus coelolepis</x:v>
      </x:c>
      <x:c r="O174" s="32" t="n">
        <x:v>4.48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Centroscymnus coelolepis</x:v>
      </x:c>
      <x:c r="T174" s="32" t="n">
        <x:f>IF(O174="","",(1/'Metadata'!$B$5)^(O174-1))</x:f>
        <x:v>3019.951720402019</x:v>
      </x:c>
      <x:c r="U174" s="31" t="n">
        <x:f>IF(T174="","",I174*T174)</x:f>
        <x:v>5869.540776771066</x:v>
      </x:c>
    </x:row>
    <x:row r="175" ht="18" customHeight="1">
      <x:c r="A175" s="24" t="str">
        <x:v>EEZ_624</x:v>
      </x:c>
      <x:c r="B175" s="24" t="str">
        <x:v>Guinea-Bissau</x:v>
      </x:c>
      <x:c r="C175" s="24" t="str">
        <x:v>EEZ</x:v>
      </x:c>
      <x:c r="D175" s="30" t="n">
        <x:v>2019</x:v>
      </x:c>
      <x:c r="E175" s="24" t="str">
        <x:v>Centrophorus granulosus</x:v>
      </x:c>
      <x:c r="F175" s="24" t="str">
        <x:v>Gulper shark</x:v>
      </x:c>
      <x:c r="G175" s="24" t="str">
        <x:v>Large sharks (&gt;=90 cm)</x:v>
      </x:c>
      <x:c r="H175" s="24" t="str">
        <x:v>Sharks &amp; rays</x:v>
      </x:c>
      <x:c r="I175" s="31" t="n">
        <x:v>1.8105902879</x:v>
      </x:c>
      <x:c r="J175" s="31" t="n">
        <x:v>1.8105902879</x:v>
      </x:c>
      <x:c r="K175" s="31" t="n">
        <x:v>0</x:v>
      </x:c>
      <x:c r="L175" s="31" t="n">
        <x:v>1.8105902879</x:v>
      </x:c>
      <x:c r="M175" s="31" t="n">
        <x:v>0</x:v>
      </x:c>
      <x:c r="N175" s="24" t="str">
        <x:v>centrophorus granulosus</x:v>
      </x:c>
      <x:c r="O175" s="32" t="n">
        <x:v>4.11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Centrophorus granulosus</x:v>
      </x:c>
      <x:c r="T175" s="32" t="n">
        <x:f>IF(O175="","",(1/'Metadata'!$B$5)^(O175-1))</x:f>
        <x:v>1288.249551693135</x:v>
      </x:c>
      <x:c r="U175" s="31" t="n">
        <x:f>IF(T175="","",I175*T175)</x:f>
        <x:v>2332.492126687119</x:v>
      </x:c>
    </x:row>
    <x:row r="176" ht="18" customHeight="1">
      <x:c r="A176" s="24" t="str">
        <x:v>EEZ_624</x:v>
      </x:c>
      <x:c r="B176" s="24" t="str">
        <x:v>Guinea-Bissau</x:v>
      </x:c>
      <x:c r="C176" s="24" t="str">
        <x:v>EEZ</x:v>
      </x:c>
      <x:c r="D176" s="30" t="n">
        <x:v>2019</x:v>
      </x:c>
      <x:c r="E176" s="24" t="str">
        <x:v>Ilisha africana</x:v>
      </x:c>
      <x:c r="F176" s="24" t="str">
        <x:v>West African ilisha</x:v>
      </x:c>
      <x:c r="G176" s="24" t="str">
        <x:v>Medium pelagics (30 - 89 cm)</x:v>
      </x:c>
      <x:c r="H176" s="24" t="str">
        <x:v>Herring-likes</x:v>
      </x:c>
      <x:c r="I176" s="31" t="n">
        <x:v>1.79232456</x:v>
      </x:c>
      <x:c r="J176" s="31" t="n">
        <x:v>1.79232456</x:v>
      </x:c>
      <x:c r="K176" s="31" t="n">
        <x:v>0</x:v>
      </x:c>
      <x:c r="L176" s="31" t="n">
        <x:v>1.79232456</x:v>
      </x:c>
      <x:c r="M176" s="31" t="n">
        <x:v>0</x:v>
      </x:c>
      <x:c r="N176" s="24" t="str">
        <x:v>ilisha africana</x:v>
      </x:c>
      <x:c r="O176" s="32" t="n">
        <x:v>3.59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Ilisha africana</x:v>
      </x:c>
      <x:c r="T176" s="32" t="n">
        <x:f>IF(O176="","",(1/'Metadata'!$B$5)^(O176-1))</x:f>
        <x:v>389.04514499428046</x:v>
      </x:c>
      <x:c r="U176" s="31" t="n">
        <x:f>IF(T176="","",I176*T176)</x:f>
        <x:v>697.2951683220099</x:v>
      </x:c>
    </x:row>
    <x:row r="177" ht="18" customHeight="1">
      <x:c r="A177" s="24" t="str">
        <x:v>EEZ_624</x:v>
      </x:c>
      <x:c r="B177" s="24" t="str">
        <x:v>Guinea-Bissau</x:v>
      </x:c>
      <x:c r="C177" s="24" t="str">
        <x:v>EEZ</x:v>
      </x:c>
      <x:c r="D177" s="30" t="n">
        <x:v>2019</x:v>
      </x:c>
      <x:c r="E177" s="24" t="str">
        <x:v>Sarpa salpa</x:v>
      </x:c>
      <x:c r="F177" s="24" t="str">
        <x:v>Salema</x:v>
      </x:c>
      <x:c r="G177" s="24" t="str">
        <x:v>Medium benthopelagics (30 - 89 cm)</x:v>
      </x:c>
      <x:c r="H177" s="24" t="str">
        <x:v>Perch-likes</x:v>
      </x:c>
      <x:c r="I177" s="31" t="n">
        <x:v>1.6935757378</x:v>
      </x:c>
      <x:c r="J177" s="31" t="n">
        <x:v>1.6935757378</x:v>
      </x:c>
      <x:c r="K177" s="31" t="n">
        <x:v>0</x:v>
      </x:c>
      <x:c r="L177" s="31" t="n">
        <x:v>1.6935757378</x:v>
      </x:c>
      <x:c r="M177" s="31" t="n">
        <x:v>0</x:v>
      </x:c>
      <x:c r="N177" s="24" t="str">
        <x:v>sarpa salpa</x:v>
      </x:c>
      <x:c r="O177" s="32" t="n">
        <x:v>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Sarpa salpa</x:v>
      </x:c>
      <x:c r="T177" s="32" t="n">
        <x:f>IF(O177="","",(1/'Metadata'!$B$5)^(O177-1))</x:f>
        <x:v>10</x:v>
      </x:c>
      <x:c r="U177" s="31" t="n">
        <x:f>IF(T177="","",I177*T177)</x:f>
        <x:v>16.935757378</x:v>
      </x:c>
    </x:row>
    <x:row r="178" ht="18" customHeight="1">
      <x:c r="A178" s="24" t="str">
        <x:v>EEZ_624</x:v>
      </x:c>
      <x:c r="B178" s="24" t="str">
        <x:v>Guinea-Bissau</x:v>
      </x:c>
      <x:c r="C178" s="24" t="str">
        <x:v>EEZ</x:v>
      </x:c>
      <x:c r="D178" s="30" t="n">
        <x:v>2019</x:v>
      </x:c>
      <x:c r="E178" s="24" t="str">
        <x:v>Chaceon maritae</x:v>
      </x:c>
      <x:c r="F178" s="24" t="str">
        <x:v>West African geryon</x:v>
      </x:c>
      <x:c r="G178" s="24" t="str">
        <x:v>Lobsters, crabs</x:v>
      </x:c>
      <x:c r="H178" s="24" t="str">
        <x:v>Crustaceans</x:v>
      </x:c>
      <x:c r="I178" s="31" t="n">
        <x:v>1.6530483839999999</x:v>
      </x:c>
      <x:c r="J178" s="31" t="n">
        <x:v>1.6530483839999999</x:v>
      </x:c>
      <x:c r="K178" s="31" t="n">
        <x:v>0</x:v>
      </x:c>
      <x:c r="L178" s="31" t="n">
        <x:v>1.6530483839999999</x:v>
      </x:c>
      <x:c r="M178" s="31" t="n">
        <x:v>0</x:v>
      </x:c>
      <x:c r="N178" s="24" t="str">
        <x:v>chaceon maritae</x:v>
      </x:c>
      <x:c r="O178" s="32" t="n">
        <x:v>2.85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Chaceon maritae</x:v>
      </x:c>
      <x:c r="T178" s="32" t="n">
        <x:f>IF(O178="","",(1/'Metadata'!$B$5)^(O178-1))</x:f>
        <x:v>70.79457843841381</x:v>
      </x:c>
      <x:c r="U178" s="31" t="n">
        <x:f>IF(T178="","",I178*T178)</x:f>
        <x:v>117.02686348358118</x:v>
      </x:c>
    </x:row>
    <x:row r="179" ht="18" customHeight="1">
      <x:c r="A179" s="24" t="str">
        <x:v>EEZ_624</x:v>
      </x:c>
      <x:c r="B179" s="24" t="str">
        <x:v>Guinea-Bissau</x:v>
      </x:c>
      <x:c r="C179" s="24" t="str">
        <x:v>EEZ</x:v>
      </x:c>
      <x:c r="D179" s="30" t="n">
        <x:v>2019</x:v>
      </x:c>
      <x:c r="E179" s="24" t="str">
        <x:v>Hoplostethus atlanticus</x:v>
      </x:c>
      <x:c r="F179" s="24" t="str">
        <x:v>Orange roughy</x:v>
      </x:c>
      <x:c r="G179" s="24" t="str">
        <x:v>Medium bathypelagics (30 - 89 cm)</x:v>
      </x:c>
      <x:c r="H179" s="24" t="str">
        <x:v>Other fishes &amp; inverts</x:v>
      </x:c>
      <x:c r="I179" s="31" t="n">
        <x:v>1.5297547201</x:v>
      </x:c>
      <x:c r="J179" s="31" t="n">
        <x:v>1.5297547201</x:v>
      </x:c>
      <x:c r="K179" s="31" t="n">
        <x:v>0</x:v>
      </x:c>
      <x:c r="L179" s="31" t="n">
        <x:v>1.5297547201</x:v>
      </x:c>
      <x:c r="M179" s="31" t="n">
        <x:v>0</x:v>
      </x:c>
      <x:c r="N179" s="24" t="str">
        <x:v>hoplostethus atlanticus</x:v>
      </x:c>
      <x:c r="O179" s="32" t="n">
        <x:v>4.25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Hoplostethus atlanticus</x:v>
      </x:c>
      <x:c r="T179" s="32" t="n">
        <x:f>IF(O179="","",(1/'Metadata'!$B$5)^(O179-1))</x:f>
        <x:v>1778.2794100389228</x:v>
      </x:c>
      <x:c r="U179" s="31" t="n">
        <x:f>IF(T179="","",I179*T179)</x:f>
        <x:v>2720.3313211636855</x:v>
      </x:c>
    </x:row>
    <x:row r="180" ht="18" customHeight="1">
      <x:c r="A180" s="24" t="str">
        <x:v>EEZ_624</x:v>
      </x:c>
      <x:c r="B180" s="24" t="str">
        <x:v>Guinea-Bissau</x:v>
      </x:c>
      <x:c r="C180" s="24" t="str">
        <x:v>EEZ</x:v>
      </x:c>
      <x:c r="D180" s="30" t="n">
        <x:v>2019</x:v>
      </x:c>
      <x:c r="E180" s="24" t="str">
        <x:v>Polyprion americanus</x:v>
      </x:c>
      <x:c r="F180" s="24" t="str">
        <x:v>Wreckfish</x:v>
      </x:c>
      <x:c r="G180" s="24" t="str">
        <x:v>Large bathydemersals (&gt;=90 cm)</x:v>
      </x:c>
      <x:c r="H180" s="24" t="str">
        <x:v>Perch-likes</x:v>
      </x:c>
      <x:c r="I180" s="31" t="n">
        <x:v>1.5113541818</x:v>
      </x:c>
      <x:c r="J180" s="31" t="n">
        <x:v>1.5113541818</x:v>
      </x:c>
      <x:c r="K180" s="31" t="n">
        <x:v>0</x:v>
      </x:c>
      <x:c r="L180" s="31" t="n">
        <x:v>1.5113541818</x:v>
      </x:c>
      <x:c r="M180" s="31" t="n">
        <x:v>0</x:v>
      </x:c>
      <x:c r="N180" s="24" t="str">
        <x:v>polyprion americanus</x:v>
      </x:c>
      <x:c r="O180" s="32" t="n">
        <x:v>4.14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Polyprion americanus</x:v>
      </x:c>
      <x:c r="T180" s="32" t="n">
        <x:f>IF(O180="","",(1/'Metadata'!$B$5)^(O180-1))</x:f>
        <x:v>1380.3842646028838</x:v>
      </x:c>
      <x:c r="U180" s="31" t="n">
        <x:f>IF(T180="","",I180*T180)</x:f>
        <x:v>2086.2495307984864</x:v>
      </x:c>
    </x:row>
    <x:row r="181" ht="18" customHeight="1">
      <x:c r="A181" s="24" t="str">
        <x:v>EEZ_624</x:v>
      </x:c>
      <x:c r="B181" s="24" t="str">
        <x:v>Guinea-Bissau</x:v>
      </x:c>
      <x:c r="C181" s="24" t="str">
        <x:v>EEZ</x:v>
      </x:c>
      <x:c r="D181" s="30" t="n">
        <x:v>2019</x:v>
      </x:c>
      <x:c r="E181" s="24" t="str">
        <x:v>Carcharhinus</x:v>
      </x:c>
      <x:c r="F181" s="24" t="str">
        <x:v>Sharp-nosed sharks</x:v>
      </x:c>
      <x:c r="G181" s="24" t="str">
        <x:v>Large sharks (&gt;=90 cm)</x:v>
      </x:c>
      <x:c r="H181" s="24" t="str">
        <x:v>Sharks &amp; rays</x:v>
      </x:c>
      <x:c r="I181" s="31" t="n">
        <x:v>1.43616</x:v>
      </x:c>
      <x:c r="J181" s="31" t="n">
        <x:v>1.43616</x:v>
      </x:c>
      <x:c r="K181" s="31" t="n">
        <x:v>0</x:v>
      </x:c>
      <x:c r="L181" s="31" t="n">
        <x:v>0</x:v>
      </x:c>
      <x:c r="M181" s="31" t="n">
        <x:v>1.43616</x:v>
      </x:c>
      <x:c r="N181" s="24" t="str">
        <x:v>carcharhinus</x:v>
      </x:c>
      <x:c r="O181" s="32" t="n">
        <x:v>4.26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Carcharhinus</x:v>
      </x:c>
      <x:c r="T181" s="32" t="n">
        <x:f>IF(O181="","",(1/'Metadata'!$B$5)^(O181-1))</x:f>
        <x:v>1819.7008586099826</x:v>
      </x:c>
      <x:c r="U181" s="31" t="n">
        <x:f>IF(T181="","",I181*T181)</x:f>
        <x:v>2613.381585101313</x:v>
      </x:c>
    </x:row>
    <x:row r="182" ht="18" customHeight="1">
      <x:c r="A182" s="24" t="str">
        <x:v>EEZ_624</x:v>
      </x:c>
      <x:c r="B182" s="24" t="str">
        <x:v>Guinea-Bissau</x:v>
      </x:c>
      <x:c r="C182" s="24" t="str">
        <x:v>EEZ</x:v>
      </x:c>
      <x:c r="D182" s="30" t="n">
        <x:v>2019</x:v>
      </x:c>
      <x:c r="E182" s="24" t="str">
        <x:v>Ruvettus pretiosus</x:v>
      </x:c>
      <x:c r="F182" s="24" t="str">
        <x:v>Oilfish</x:v>
      </x:c>
      <x:c r="G182" s="24" t="str">
        <x:v>Large benthopelagics (&gt;=90 cm)</x:v>
      </x:c>
      <x:c r="H182" s="24" t="str">
        <x:v>Perch-likes</x:v>
      </x:c>
      <x:c r="I182" s="31" t="n">
        <x:v>1.4043715335</x:v>
      </x:c>
      <x:c r="J182" s="31" t="n">
        <x:v>1.4043715335</x:v>
      </x:c>
      <x:c r="K182" s="31" t="n">
        <x:v>0</x:v>
      </x:c>
      <x:c r="L182" s="31" t="n">
        <x:v>1.4043715335</x:v>
      </x:c>
      <x:c r="M182" s="31" t="n">
        <x:v>0</x:v>
      </x:c>
      <x:c r="N182" s="24" t="str">
        <x:v>ruvettus pretiosus</x:v>
      </x:c>
      <x:c r="O182" s="32" t="n">
        <x:v>4.18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Ruvettus pretiosus</x:v>
      </x:c>
      <x:c r="T182" s="32" t="n">
        <x:f>IF(O182="","",(1/'Metadata'!$B$5)^(O182-1))</x:f>
        <x:v>1513.5612484362073</x:v>
      </x:c>
      <x:c r="U182" s="31" t="n">
        <x:f>IF(T182="","",I182*T182)</x:f>
        <x:v>2125.602331512531</x:v>
      </x:c>
    </x:row>
    <x:row r="183" ht="18" customHeight="1">
      <x:c r="A183" s="24" t="str">
        <x:v>EEZ_624</x:v>
      </x:c>
      <x:c r="B183" s="24" t="str">
        <x:v>Guinea-Bissau</x:v>
      </x:c>
      <x:c r="C183" s="24" t="str">
        <x:v>EEZ</x:v>
      </x:c>
      <x:c r="D183" s="30" t="n">
        <x:v>2019</x:v>
      </x:c>
      <x:c r="E183" s="24" t="str">
        <x:v>Pagrus auriga</x:v>
      </x:c>
      <x:c r="F183" s="24" t="str">
        <x:v>Redbanded seabream</x:v>
      </x:c>
      <x:c r="G183" s="24" t="str">
        <x:v>Medium benthopelagics (30 - 89 cm)</x:v>
      </x:c>
      <x:c r="H183" s="24" t="str">
        <x:v>Perch-likes</x:v>
      </x:c>
      <x:c r="I183" s="31" t="n">
        <x:v>1.3807748759</x:v>
      </x:c>
      <x:c r="J183" s="31" t="n">
        <x:v>1.3807748759</x:v>
      </x:c>
      <x:c r="K183" s="31" t="n">
        <x:v>0</x:v>
      </x:c>
      <x:c r="L183" s="31" t="n">
        <x:v>1.3807748759</x:v>
      </x:c>
      <x:c r="M183" s="31" t="n">
        <x:v>0</x:v>
      </x:c>
      <x:c r="N183" s="24" t="str">
        <x:v>pagrus auriga</x:v>
      </x:c>
      <x:c r="O183" s="32" t="n">
        <x:v>3.84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Pagrus auriga</x:v>
      </x:c>
      <x:c r="T183" s="32" t="n">
        <x:f>IF(O183="","",(1/'Metadata'!$B$5)^(O183-1))</x:f>
        <x:v>691.8309709189363</x:v>
      </x:c>
      <x:c r="U183" s="31" t="n">
        <x:f>IF(T183="","",I183*T183)</x:f>
        <x:v>955.2628230143707</x:v>
      </x:c>
    </x:row>
    <x:row r="184" ht="18" customHeight="1">
      <x:c r="A184" s="24" t="str">
        <x:v>EEZ_624</x:v>
      </x:c>
      <x:c r="B184" s="24" t="str">
        <x:v>Guinea-Bissau</x:v>
      </x:c>
      <x:c r="C184" s="24" t="str">
        <x:v>EEZ</x:v>
      </x:c>
      <x:c r="D184" s="30" t="n">
        <x:v>2019</x:v>
      </x:c>
      <x:c r="E184" s="24" t="str">
        <x:v>Rhinobatos rhinobatos</x:v>
      </x:c>
      <x:c r="F184" s="24" t="str">
        <x:v>Common guitarfish</x:v>
      </x:c>
      <x:c r="G184" s="24" t="str">
        <x:v>Large rays (&gt;=90 cm)</x:v>
      </x:c>
      <x:c r="H184" s="24" t="str">
        <x:v>Sharks &amp; rays</x:v>
      </x:c>
      <x:c r="I184" s="31" t="n">
        <x:v>1.2746053321</x:v>
      </x:c>
      <x:c r="J184" s="31" t="n">
        <x:v>1.2746053321</x:v>
      </x:c>
      <x:c r="K184" s="31" t="n">
        <x:v>0</x:v>
      </x:c>
      <x:c r="L184" s="31" t="n">
        <x:v>1.2746053321</x:v>
      </x:c>
      <x:c r="M184" s="31" t="n">
        <x:v>0</x:v>
      </x:c>
      <x:c r="N184" s="24" t="str">
        <x:v>rhinobatos rhinobatos</x:v>
      </x:c>
      <x:c r="O184" s="32" t="n">
        <x:v>4.08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Rhinobatos rhinobatos</x:v>
      </x:c>
      <x:c r="T184" s="32" t="n">
        <x:f>IF(O184="","",(1/'Metadata'!$B$5)^(O184-1))</x:f>
        <x:v>1202.2644346174131</x:v>
      </x:c>
      <x:c r="U184" s="31" t="n">
        <x:f>IF(T184="","",I184*T184)</x:f>
        <x:v>1532.4126589575465</x:v>
      </x:c>
    </x:row>
    <x:row r="185" ht="18" customHeight="1">
      <x:c r="A185" s="24" t="str">
        <x:v>EEZ_624</x:v>
      </x:c>
      <x:c r="B185" s="24" t="str">
        <x:v>Guinea-Bissau</x:v>
      </x:c>
      <x:c r="C185" s="24" t="str">
        <x:v>EEZ</x:v>
      </x:c>
      <x:c r="D185" s="30" t="n">
        <x:v>2019</x:v>
      </x:c>
      <x:c r="E185" s="24" t="str">
        <x:v>Serranus cabrilla</x:v>
      </x:c>
      <x:c r="F185" s="24" t="str">
        <x:v>Comber</x:v>
      </x:c>
      <x:c r="G185" s="24" t="str">
        <x:v>Medium bathydemersals (30 - 89 cm)</x:v>
      </x:c>
      <x:c r="H185" s="24" t="str">
        <x:v>Perch-likes</x:v>
      </x:c>
      <x:c r="I185" s="31" t="n">
        <x:v>1.262618448</x:v>
      </x:c>
      <x:c r="J185" s="31" t="n">
        <x:v>1.262618448</x:v>
      </x:c>
      <x:c r="K185" s="31" t="n">
        <x:v>0</x:v>
      </x:c>
      <x:c r="L185" s="31" t="n">
        <x:v>1.262618448</x:v>
      </x:c>
      <x:c r="M185" s="31" t="n">
        <x:v>0</x:v>
      </x:c>
      <x:c r="N185" s="24" t="str">
        <x:v>serranus cabrilla</x:v>
      </x:c>
      <x:c r="O185" s="32" t="n">
        <x:v>3.35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Serranus cabrilla</x:v>
      </x:c>
      <x:c r="T185" s="32" t="n">
        <x:f>IF(O185="","",(1/'Metadata'!$B$5)^(O185-1))</x:f>
        <x:v>223.872113856834</x:v>
      </x:c>
      <x:c r="U185" s="31" t="n">
        <x:f>IF(T185="","",I185*T185)</x:f>
        <x:v>282.665060948395</x:v>
      </x:c>
    </x:row>
    <x:row r="186" ht="18" customHeight="1">
      <x:c r="A186" s="24" t="str">
        <x:v>EEZ_624</x:v>
      </x:c>
      <x:c r="B186" s="24" t="str">
        <x:v>Guinea-Bissau</x:v>
      </x:c>
      <x:c r="C186" s="24" t="str">
        <x:v>EEZ</x:v>
      </x:c>
      <x:c r="D186" s="30" t="n">
        <x:v>2019</x:v>
      </x:c>
      <x:c r="E186" s="24" t="str">
        <x:v>Plectorhinchus mediterraneus</x:v>
      </x:c>
      <x:c r="F186" s="24" t="str">
        <x:v>Rubberlip grunt</x:v>
      </x:c>
      <x:c r="G186" s="24" t="str">
        <x:v>Medium demersals (30 - 89 cm)</x:v>
      </x:c>
      <x:c r="H186" s="24" t="str">
        <x:v>Perch-likes</x:v>
      </x:c>
      <x:c r="I186" s="31" t="n">
        <x:v>1.2540182901</x:v>
      </x:c>
      <x:c r="J186" s="31" t="n">
        <x:v>1.2540182901</x:v>
      </x:c>
      <x:c r="K186" s="31" t="n">
        <x:v>0</x:v>
      </x:c>
      <x:c r="L186" s="31" t="n">
        <x:v>1.2540182901</x:v>
      </x:c>
      <x:c r="M186" s="31" t="n">
        <x:v>0</x:v>
      </x:c>
      <x:c r="N186" s="24" t="str">
        <x:v>plectorhinchus mediterraneus</x:v>
      </x:c>
      <x:c r="O186" s="32" t="n">
        <x:v>3.49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Plectorhinchus mediterraneus</x:v>
      </x:c>
      <x:c r="T186" s="32" t="n">
        <x:f>IF(O186="","",(1/'Metadata'!$B$5)^(O186-1))</x:f>
        <x:v>309.0295432513592</x:v>
      </x:c>
      <x:c r="U186" s="31" t="n">
        <x:f>IF(T186="","",I186*T186)</x:f>
        <x:v>387.52869941845347</x:v>
      </x:c>
    </x:row>
    <x:row r="187" ht="18" customHeight="1">
      <x:c r="A187" s="24" t="str">
        <x:v>EEZ_624</x:v>
      </x:c>
      <x:c r="B187" s="24" t="str">
        <x:v>Guinea-Bissau</x:v>
      </x:c>
      <x:c r="C187" s="24" t="str">
        <x:v>EEZ</x:v>
      </x:c>
      <x:c r="D187" s="30" t="n">
        <x:v>2019</x:v>
      </x:c>
      <x:c r="E187" s="24" t="str">
        <x:v>Diplodus sargus</x:v>
      </x:c>
      <x:c r="F187" s="24" t="str">
        <x:v>White seabream</x:v>
      </x:c>
      <x:c r="G187" s="24" t="str">
        <x:v>Medium demersals (30 - 89 cm)</x:v>
      </x:c>
      <x:c r="H187" s="24" t="str">
        <x:v>Perch-likes</x:v>
      </x:c>
      <x:c r="I187" s="31" t="n">
        <x:v>1.220949756</x:v>
      </x:c>
      <x:c r="J187" s="31" t="n">
        <x:v>1.220949756</x:v>
      </x:c>
      <x:c r="K187" s="31" t="n">
        <x:v>0</x:v>
      </x:c>
      <x:c r="L187" s="31" t="n">
        <x:v>1.220949756</x:v>
      </x:c>
      <x:c r="M187" s="31" t="n">
        <x:v>0</x:v>
      </x:c>
      <x:c r="N187" s="24" t="str">
        <x:v>diplodus sargus</x:v>
      </x:c>
      <x:c r="O187" s="32" t="n">
        <x:v>3.38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Diplodus sargus</x:v>
      </x:c>
      <x:c r="T187" s="32" t="n">
        <x:f>IF(O187="","",(1/'Metadata'!$B$5)^(O187-1))</x:f>
        <x:v>239.88329190194898</x:v>
      </x:c>
      <x:c r="U187" s="31" t="n">
        <x:f>IF(T187="","",I187*T187)</x:f>
        <x:v>292.88544671616137</x:v>
      </x:c>
    </x:row>
    <x:row r="188" ht="18" customHeight="1">
      <x:c r="A188" s="24" t="str">
        <x:v>EEZ_624</x:v>
      </x:c>
      <x:c r="B188" s="24" t="str">
        <x:v>Guinea-Bissau</x:v>
      </x:c>
      <x:c r="C188" s="24" t="str">
        <x:v>EEZ</x:v>
      </x:c>
      <x:c r="D188" s="30" t="n">
        <x:v>2019</x:v>
      </x:c>
      <x:c r="E188" s="24" t="str">
        <x:v>Serranus</x:v>
      </x:c>
      <x:c r="F188" s="24" t="str">
        <x:v>Groupers</x:v>
      </x:c>
      <x:c r="G188" s="24" t="str">
        <x:v>Small reef assoc. fish (&lt;30 cm)</x:v>
      </x:c>
      <x:c r="H188" s="24" t="str">
        <x:v>Perch-likes</x:v>
      </x:c>
      <x:c r="I188" s="31" t="n">
        <x:v>1.2012082306999998</x:v>
      </x:c>
      <x:c r="J188" s="31" t="n">
        <x:v>1.2012082306999998</x:v>
      </x:c>
      <x:c r="K188" s="31" t="n">
        <x:v>0</x:v>
      </x:c>
      <x:c r="L188" s="31" t="n">
        <x:v>1.2012082306999998</x:v>
      </x:c>
      <x:c r="M188" s="31" t="n">
        <x:v>0</x:v>
      </x:c>
      <x:c r="N188" s="24" t="str">
        <x:v>serranus</x:v>
      </x:c>
      <x:c r="O188" s="32" t="n">
        <x:v>3.73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Serranus</x:v>
      </x:c>
      <x:c r="T188" s="32" t="n">
        <x:f>IF(O188="","",(1/'Metadata'!$B$5)^(O188-1))</x:f>
        <x:v>537.0317963702527</x:v>
      </x:c>
      <x:c r="U188" s="31" t="n">
        <x:f>IF(T188="","",I188*T188)</x:f>
        <x:v>645.0870139475538</x:v>
      </x:c>
    </x:row>
    <x:row r="189" ht="18" customHeight="1">
      <x:c r="A189" s="24" t="str">
        <x:v>EEZ_624</x:v>
      </x:c>
      <x:c r="B189" s="24" t="str">
        <x:v>Guinea-Bissau</x:v>
      </x:c>
      <x:c r="C189" s="24" t="str">
        <x:v>EEZ</x:v>
      </x:c>
      <x:c r="D189" s="30" t="n">
        <x:v>2019</x:v>
      </x:c>
      <x:c r="E189" s="24" t="str">
        <x:v>Sphyraenidae</x:v>
      </x:c>
      <x:c r="F189" s="24" t="str">
        <x:v>Barracudas</x:v>
      </x:c>
      <x:c r="G189" s="24" t="str">
        <x:v>Medium reef assoc. fish (30 - 89 cm)</x:v>
      </x:c>
      <x:c r="H189" s="24" t="str">
        <x:v>Perch-likes</x:v>
      </x:c>
      <x:c r="I189" s="31" t="n">
        <x:v>1.1882334279</x:v>
      </x:c>
      <x:c r="J189" s="31" t="n">
        <x:v>1.1882334279</x:v>
      </x:c>
      <x:c r="K189" s="31" t="n">
        <x:v>0</x:v>
      </x:c>
      <x:c r="L189" s="31" t="n">
        <x:v>1.1882334279</x:v>
      </x:c>
      <x:c r="M189" s="31" t="n">
        <x:v>0</x:v>
      </x:c>
      <x:c r="N189" s="24" t="str">
        <x:v>sphyraenidae</x:v>
      </x:c>
      <x:c r="O189" s="32" t="n">
        <x:v>4.4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Sphyraenidae</x:v>
      </x:c>
      <x:c r="T189" s="32" t="n">
        <x:f>IF(O189="","",(1/'Metadata'!$B$5)^(O189-1))</x:f>
        <x:v>2511.886431509582</x:v>
      </x:c>
      <x:c r="U189" s="31" t="n">
        <x:f>IF(T189="","",I189*T189)</x:f>
        <x:v>2984.707425008129</x:v>
      </x:c>
    </x:row>
    <x:row r="190" ht="18" customHeight="1">
      <x:c r="A190" s="24" t="str">
        <x:v>EEZ_624</x:v>
      </x:c>
      <x:c r="B190" s="24" t="str">
        <x:v>Guinea-Bissau</x:v>
      </x:c>
      <x:c r="C190" s="24" t="str">
        <x:v>EEZ</x:v>
      </x:c>
      <x:c r="D190" s="30" t="n">
        <x:v>2019</x:v>
      </x:c>
      <x:c r="E190" s="24" t="str">
        <x:v>Haemulidae</x:v>
      </x:c>
      <x:c r="F190" s="24" t="str">
        <x:v>Grunts, sweetlips, bonnetmouths</x:v>
      </x:c>
      <x:c r="G190" s="24" t="str">
        <x:v>Medium demersals (30 - 89 cm)</x:v>
      </x:c>
      <x:c r="H190" s="24" t="str">
        <x:v>Perch-likes</x:v>
      </x:c>
      <x:c r="I190" s="31" t="n">
        <x:v>1.1405951585</x:v>
      </x:c>
      <x:c r="J190" s="31" t="n">
        <x:v>1.1405951585</x:v>
      </x:c>
      <x:c r="K190" s="31" t="n">
        <x:v>0</x:v>
      </x:c>
      <x:c r="L190" s="31" t="n">
        <x:v>1.1405951585</x:v>
      </x:c>
      <x:c r="M190" s="31" t="n">
        <x:v>0</x:v>
      </x:c>
      <x:c r="N190" s="24" t="str">
        <x:v>haemulidae</x:v>
      </x:c>
      <x:c r="O190" s="32" t="n">
        <x:v>3.36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Haemulidae</x:v>
      </x:c>
      <x:c r="T190" s="32" t="n">
        <x:f>IF(O190="","",(1/'Metadata'!$B$5)^(O190-1))</x:f>
        <x:v>229.08676527677724</x:v>
      </x:c>
      <x:c r="U190" s="31" t="n">
        <x:f>IF(T190="","",I190*T190)</x:f>
        <x:v>261.29525535111804</x:v>
      </x:c>
    </x:row>
    <x:row r="191" ht="18" customHeight="1">
      <x:c r="A191" s="24" t="str">
        <x:v>EEZ_624</x:v>
      </x:c>
      <x:c r="B191" s="24" t="str">
        <x:v>Guinea-Bissau</x:v>
      </x:c>
      <x:c r="C191" s="24" t="str">
        <x:v>EEZ</x:v>
      </x:c>
      <x:c r="D191" s="30" t="n">
        <x:v>2019</x:v>
      </x:c>
      <x:c r="E191" s="24" t="str">
        <x:v>Dicologlossa hexophthalma</x:v>
      </x:c>
      <x:c r="F191" s="24" t="str">
        <x:v>Ocellated wedge sole</x:v>
      </x:c>
      <x:c r="G191" s="24" t="str">
        <x:v>Small to medium flatfishes (&lt;90 cm)</x:v>
      </x:c>
      <x:c r="H191" s="24" t="str">
        <x:v>Flatfishes</x:v>
      </x:c>
      <x:c r="I191" s="31" t="n">
        <x:v>1.108501368</x:v>
      </x:c>
      <x:c r="J191" s="31" t="n">
        <x:v>1.108501368</x:v>
      </x:c>
      <x:c r="K191" s="31" t="n">
        <x:v>0</x:v>
      </x:c>
      <x:c r="L191" s="31" t="n">
        <x:v>1.108501368</x:v>
      </x:c>
      <x:c r="M191" s="31" t="n">
        <x:v>0</x:v>
      </x:c>
      <x:c r="N191" s="24" t="str">
        <x:v>dicologlossa hexophthalma</x:v>
      </x:c>
      <x:c r="O191" s="32" t="n">
        <x:v>3.4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Dicologlossa hexophthalma</x:v>
      </x:c>
      <x:c r="T191" s="32" t="n">
        <x:f>IF(O191="","",(1/'Metadata'!$B$5)^(O191-1))</x:f>
        <x:v>251.18864315095797</x:v>
      </x:c>
      <x:c r="U191" s="31" t="n">
        <x:f>IF(T191="","",I191*T191)</x:f>
        <x:v>278.44295455890074</x:v>
      </x:c>
    </x:row>
    <x:row r="192" ht="18" customHeight="1">
      <x:c r="A192" s="24" t="str">
        <x:v>EEZ_624</x:v>
      </x:c>
      <x:c r="B192" s="24" t="str">
        <x:v>Guinea-Bissau</x:v>
      </x:c>
      <x:c r="C192" s="24" t="str">
        <x:v>EEZ</x:v>
      </x:c>
      <x:c r="D192" s="30" t="n">
        <x:v>2019</x:v>
      </x:c>
      <x:c r="E192" s="24" t="str">
        <x:v>Bothidae</x:v>
      </x:c>
      <x:c r="F192" s="24" t="str">
        <x:v>Lefteye flounders</x:v>
      </x:c>
      <x:c r="G192" s="24" t="str">
        <x:v>Small to medium flatfishes (&lt;90 cm)</x:v>
      </x:c>
      <x:c r="H192" s="24" t="str">
        <x:v>Flatfishes</x:v>
      </x:c>
      <x:c r="I192" s="31" t="n">
        <x:v>1.0645494598999998</x:v>
      </x:c>
      <x:c r="J192" s="31" t="n">
        <x:v>1.0645494598999998</x:v>
      </x:c>
      <x:c r="K192" s="31" t="n">
        <x:v>0</x:v>
      </x:c>
      <x:c r="L192" s="31" t="n">
        <x:v>1.0645494598999998</x:v>
      </x:c>
      <x:c r="M192" s="31" t="n">
        <x:v>0</x:v>
      </x:c>
      <x:c r="N192" s="24" t="str">
        <x:v>bothidae</x:v>
      </x:c>
      <x:c r="O192" s="32" t="n">
        <x:v>3.77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Bothidae</x:v>
      </x:c>
      <x:c r="T192" s="32" t="n">
        <x:f>IF(O192="","",(1/'Metadata'!$B$5)^(O192-1))</x:f>
        <x:v>588.843655355589</x:v>
      </x:c>
      <x:c r="U192" s="31" t="n">
        <x:f>IF(T192="","",I192*T192)</x:f>
        <x:v>626.853195274334</x:v>
      </x:c>
    </x:row>
    <x:row r="193" ht="18" customHeight="1">
      <x:c r="A193" s="24" t="str">
        <x:v>EEZ_624</x:v>
      </x:c>
      <x:c r="B193" s="24" t="str">
        <x:v>Guinea-Bissau</x:v>
      </x:c>
      <x:c r="C193" s="24" t="str">
        <x:v>EEZ</x:v>
      </x:c>
      <x:c r="D193" s="30" t="n">
        <x:v>2019</x:v>
      </x:c>
      <x:c r="E193" s="24" t="str">
        <x:v>Pontinus kuhlii</x:v>
      </x:c>
      <x:c r="F193" s="24" t="str">
        <x:v>Offshore rockfish</x:v>
      </x:c>
      <x:c r="G193" s="24" t="str">
        <x:v>Medium bathydemersals (30 - 89 cm)</x:v>
      </x:c>
      <x:c r="H193" s="24" t="str">
        <x:v>Scorpionfishes</x:v>
      </x:c>
      <x:c r="I193" s="31" t="n">
        <x:v>0.9823536839</x:v>
      </x:c>
      <x:c r="J193" s="31" t="n">
        <x:v>0.9823536839</x:v>
      </x:c>
      <x:c r="K193" s="31" t="n">
        <x:v>0</x:v>
      </x:c>
      <x:c r="L193" s="31" t="n">
        <x:v>0.9823536839</x:v>
      </x:c>
      <x:c r="M193" s="31" t="n">
        <x:v>0</x:v>
      </x:c>
      <x:c r="N193" s="24" t="str">
        <x:v>pontinus kuhlii</x:v>
      </x:c>
      <x:c r="O193" s="32" t="n">
        <x:v>4.05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Pontinus kuhlii</x:v>
      </x:c>
      <x:c r="T193" s="32" t="n">
        <x:f>IF(O193="","",(1/'Metadata'!$B$5)^(O193-1))</x:f>
        <x:v>1122.018454301963</x:v>
      </x:c>
      <x:c r="U193" s="31" t="n">
        <x:f>IF(T193="","",I193*T193)</x:f>
        <x:v>1102.218961987317</x:v>
      </x:c>
    </x:row>
    <x:row r="194" ht="18" customHeight="1">
      <x:c r="A194" s="24" t="str">
        <x:v>EEZ_624</x:v>
      </x:c>
      <x:c r="B194" s="24" t="str">
        <x:v>Guinea-Bissau</x:v>
      </x:c>
      <x:c r="C194" s="24" t="str">
        <x:v>EEZ</x:v>
      </x:c>
      <x:c r="D194" s="30" t="n">
        <x:v>2019</x:v>
      </x:c>
      <x:c r="E194" s="24" t="str">
        <x:v>Gempylidae</x:v>
      </x:c>
      <x:c r="F194" s="24" t="str">
        <x:v>Snake mackerels</x:v>
      </x:c>
      <x:c r="G194" s="24" t="str">
        <x:v>Large benthopelagics (&gt;=90 cm)</x:v>
      </x:c>
      <x:c r="H194" s="24" t="str">
        <x:v>Perch-likes</x:v>
      </x:c>
      <x:c r="I194" s="31" t="n">
        <x:v>0.9802449404</x:v>
      </x:c>
      <x:c r="J194" s="31" t="n">
        <x:v>0.9802449404</x:v>
      </x:c>
      <x:c r="K194" s="31" t="n">
        <x:v>0</x:v>
      </x:c>
      <x:c r="L194" s="31" t="n">
        <x:v>0.9802449404</x:v>
      </x:c>
      <x:c r="M194" s="31" t="n">
        <x:v>0</x:v>
      </x:c>
      <x:c r="N194" s="24" t="str">
        <x:v>gempylidae</x:v>
      </x:c>
      <x:c r="O194" s="32" t="n">
        <x:v>4.21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Gempylidae</x:v>
      </x:c>
      <x:c r="T194" s="32" t="n">
        <x:f>IF(O194="","",(1/'Metadata'!$B$5)^(O194-1))</x:f>
        <x:v>1621.8100973589299</x:v>
      </x:c>
      <x:c r="U194" s="31" t="n">
        <x:f>IF(T194="","",I194*T194)</x:f>
        <x:v>1589.7711422257223</x:v>
      </x:c>
    </x:row>
    <x:row r="195" ht="18" customHeight="1">
      <x:c r="A195" s="24" t="str">
        <x:v>EEZ_624</x:v>
      </x:c>
      <x:c r="B195" s="24" t="str">
        <x:v>Guinea-Bissau</x:v>
      </x:c>
      <x:c r="C195" s="24" t="str">
        <x:v>EEZ</x:v>
      </x:c>
      <x:c r="D195" s="30" t="n">
        <x:v>2019</x:v>
      </x:c>
      <x:c r="E195" s="24" t="str">
        <x:v>Gymnothorax</x:v>
      </x:c>
      <x:c r="F195" s="24" t="str">
        <x:v>Morays</x:v>
      </x:c>
      <x:c r="G195" s="24" t="str">
        <x:v>Large reef assoc. fish (&gt;=90 cm)</x:v>
      </x:c>
      <x:c r="H195" s="24" t="str">
        <x:v>Other fishes &amp; inverts</x:v>
      </x:c>
      <x:c r="I195" s="31" t="n">
        <x:v>0.9183944535999999</x:v>
      </x:c>
      <x:c r="J195" s="31" t="n">
        <x:v>0.9183944535999999</x:v>
      </x:c>
      <x:c r="K195" s="31" t="n">
        <x:v>0</x:v>
      </x:c>
      <x:c r="L195" s="31" t="n">
        <x:v>0.9183944535999999</x:v>
      </x:c>
      <x:c r="M195" s="31" t="n">
        <x:v>0</x:v>
      </x:c>
      <x:c r="N195" s="24" t="str">
        <x:v>gymnothorax</x:v>
      </x:c>
      <x:c r="O195" s="32" t="n">
        <x:v>4.22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Gymnothorax</x:v>
      </x:c>
      <x:c r="T195" s="32" t="n">
        <x:f>IF(O195="","",(1/'Metadata'!$B$5)^(O195-1))</x:f>
        <x:v>1659.5869074375596</x:v>
      </x:c>
      <x:c r="U195" s="31" t="n">
        <x:f>IF(T195="","",I195*T195)</x:f>
        <x:v>1524.1554110578313</x:v>
      </x:c>
    </x:row>
    <x:row r="196" ht="18" customHeight="1">
      <x:c r="A196" s="24" t="str">
        <x:v>EEZ_624</x:v>
      </x:c>
      <x:c r="B196" s="24" t="str">
        <x:v>Guinea-Bissau</x:v>
      </x:c>
      <x:c r="C196" s="24" t="str">
        <x:v>EEZ</x:v>
      </x:c>
      <x:c r="D196" s="30" t="n">
        <x:v>2019</x:v>
      </x:c>
      <x:c r="E196" s="24" t="str">
        <x:v>Pomadasys incisus</x:v>
      </x:c>
      <x:c r="F196" s="24" t="str">
        <x:v>Bastard grunt</x:v>
      </x:c>
      <x:c r="G196" s="24" t="str">
        <x:v>Medium demersals (30 - 89 cm)</x:v>
      </x:c>
      <x:c r="H196" s="24" t="str">
        <x:v>Perch-likes</x:v>
      </x:c>
      <x:c r="I196" s="31" t="n">
        <x:v>0.9086535335</x:v>
      </x:c>
      <x:c r="J196" s="31" t="n">
        <x:v>0.9086535335</x:v>
      </x:c>
      <x:c r="K196" s="31" t="n">
        <x:v>0</x:v>
      </x:c>
      <x:c r="L196" s="31" t="n">
        <x:v>0.9086535335</x:v>
      </x:c>
      <x:c r="M196" s="31" t="n">
        <x:v>0</x:v>
      </x:c>
      <x:c r="N196" s="24" t="str">
        <x:v>pomadasys incisus</x:v>
      </x:c>
      <x:c r="O196" s="32" t="n">
        <x:v>3.8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Pomadasys incisus</x:v>
      </x:c>
      <x:c r="T196" s="32" t="n">
        <x:f>IF(O196="","",(1/'Metadata'!$B$5)^(O196-1))</x:f>
        <x:v>630.957344480193</x:v>
      </x:c>
      <x:c r="U196" s="31" t="n">
        <x:f>IF(T196="","",I196*T196)</x:f>
        <x:v>573.3216205497041</x:v>
      </x:c>
    </x:row>
    <x:row r="197" ht="18" customHeight="1">
      <x:c r="A197" s="24" t="str">
        <x:v>EEZ_624</x:v>
      </x:c>
      <x:c r="B197" s="24" t="str">
        <x:v>Guinea-Bissau</x:v>
      </x:c>
      <x:c r="C197" s="24" t="str">
        <x:v>EEZ</x:v>
      </x:c>
      <x:c r="D197" s="30" t="n">
        <x:v>2019</x:v>
      </x:c>
      <x:c r="E197" s="24" t="str">
        <x:v>Seriola dumerili</x:v>
      </x:c>
      <x:c r="F197" s="24" t="str">
        <x:v>Greater amberjack</x:v>
      </x:c>
      <x:c r="G197" s="24" t="str">
        <x:v>Large reef assoc. fish (&gt;=90 cm)</x:v>
      </x:c>
      <x:c r="H197" s="24" t="str">
        <x:v>Perch-likes</x:v>
      </x:c>
      <x:c r="I197" s="31" t="n">
        <x:v>0.891025044</x:v>
      </x:c>
      <x:c r="J197" s="31" t="n">
        <x:v>0.891025044</x:v>
      </x:c>
      <x:c r="K197" s="31" t="n">
        <x:v>0</x:v>
      </x:c>
      <x:c r="L197" s="31" t="n">
        <x:v>0.891025044</x:v>
      </x:c>
      <x:c r="M197" s="31" t="n">
        <x:v>0</x:v>
      </x:c>
      <x:c r="N197" s="24" t="str">
        <x:v>seriola dumerili</x:v>
      </x:c>
      <x:c r="O197" s="32" t="n">
        <x:v>4.5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Seriola dumerili</x:v>
      </x:c>
      <x:c r="T197" s="32" t="n">
        <x:f>IF(O197="","",(1/'Metadata'!$B$5)^(O197-1))</x:f>
        <x:v>3162.2776601683795</x:v>
      </x:c>
      <x:c r="U197" s="31" t="n">
        <x:f>IF(T197="","",I197*T197)</x:f>
        <x:v>2817.6685912917474</x:v>
      </x:c>
    </x:row>
    <x:row r="198" ht="18" customHeight="1">
      <x:c r="A198" s="24" t="str">
        <x:v>EEZ_624</x:v>
      </x:c>
      <x:c r="B198" s="24" t="str">
        <x:v>Guinea-Bissau</x:v>
      </x:c>
      <x:c r="C198" s="24" t="str">
        <x:v>EEZ</x:v>
      </x:c>
      <x:c r="D198" s="30" t="n">
        <x:v>2019</x:v>
      </x:c>
      <x:c r="E198" s="24" t="str">
        <x:v>Serranidae</x:v>
      </x:c>
      <x:c r="F198" s="24" t="str">
        <x:v>Basses, groupers, hinds</x:v>
      </x:c>
      <x:c r="G198" s="24" t="str">
        <x:v>Medium reef assoc. fish (30 - 89 cm)</x:v>
      </x:c>
      <x:c r="H198" s="24" t="str">
        <x:v>Perch-likes</x:v>
      </x:c>
      <x:c r="I198" s="31" t="n">
        <x:v>0.8684109477</x:v>
      </x:c>
      <x:c r="J198" s="31" t="n">
        <x:v>0.8684109477</x:v>
      </x:c>
      <x:c r="K198" s="31" t="n">
        <x:v>0</x:v>
      </x:c>
      <x:c r="L198" s="31" t="n">
        <x:v>0.8684109477</x:v>
      </x:c>
      <x:c r="M198" s="31" t="n">
        <x:v>0</x:v>
      </x:c>
      <x:c r="N198" s="24" t="str">
        <x:v>serranidae</x:v>
      </x:c>
      <x:c r="O198" s="32" t="n">
        <x:v>3.98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Serranidae</x:v>
      </x:c>
      <x:c r="T198" s="32" t="n">
        <x:f>IF(O198="","",(1/'Metadata'!$B$5)^(O198-1))</x:f>
        <x:v>954.992586021436</x:v>
      </x:c>
      <x:c r="U198" s="31" t="n">
        <x:f>IF(T198="","",I198*T198)</x:f>
        <x:v>829.326016673349</x:v>
      </x:c>
    </x:row>
    <x:row r="199" ht="18" customHeight="1">
      <x:c r="A199" s="24" t="str">
        <x:v>EEZ_624</x:v>
      </x:c>
      <x:c r="B199" s="24" t="str">
        <x:v>Guinea-Bissau</x:v>
      </x:c>
      <x:c r="C199" s="24" t="str">
        <x:v>EEZ</x:v>
      </x:c>
      <x:c r="D199" s="30" t="n">
        <x:v>2019</x:v>
      </x:c>
      <x:c r="E199" s="24" t="str">
        <x:v>Mugil cephalus</x:v>
      </x:c>
      <x:c r="F199" s="24" t="str">
        <x:v>Flathead grey mullet</x:v>
      </x:c>
      <x:c r="G199" s="24" t="str">
        <x:v>Large benthopelagics (&gt;=90 cm)</x:v>
      </x:c>
      <x:c r="H199" s="24" t="str">
        <x:v>Perch-likes</x:v>
      </x:c>
      <x:c r="I199" s="31" t="n">
        <x:v>0.85335198</x:v>
      </x:c>
      <x:c r="J199" s="31" t="n">
        <x:v>0.85335198</x:v>
      </x:c>
      <x:c r="K199" s="31" t="n">
        <x:v>0</x:v>
      </x:c>
      <x:c r="L199" s="31" t="n">
        <x:v>0.85335198</x:v>
      </x:c>
      <x:c r="M199" s="31" t="n">
        <x:v>0</x:v>
      </x:c>
      <x:c r="N199" s="24" t="str">
        <x:v>mugil cephalus</x:v>
      </x:c>
      <x:c r="O199" s="32" t="n">
        <x:v>2.14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Mugil cephalus</x:v>
      </x:c>
      <x:c r="T199" s="32" t="n">
        <x:f>IF(O199="","",(1/'Metadata'!$B$5)^(O199-1))</x:f>
        <x:v>13.803842646028853</x:v>
      </x:c>
      <x:c r="U199" s="31" t="n">
        <x:f>IF(T199="","",I199*T199)</x:f>
        <x:v>11.779536453597162</x:v>
      </x:c>
    </x:row>
    <x:row r="200" ht="18" customHeight="1">
      <x:c r="A200" s="24" t="str">
        <x:v>EEZ_624</x:v>
      </x:c>
      <x:c r="B200" s="24" t="str">
        <x:v>Guinea-Bissau</x:v>
      </x:c>
      <x:c r="C200" s="24" t="str">
        <x:v>EEZ</x:v>
      </x:c>
      <x:c r="D200" s="30" t="n">
        <x:v>2019</x:v>
      </x:c>
      <x:c r="E200" s="24" t="str">
        <x:v>Thunnus thynnus</x:v>
      </x:c>
      <x:c r="F200" s="24" t="str">
        <x:v>Atlantic bluefin tuna</x:v>
      </x:c>
      <x:c r="G200" s="24" t="str">
        <x:v>Large pelagics (&gt;=90 cm)</x:v>
      </x:c>
      <x:c r="H200" s="24" t="str">
        <x:v>Tuna &amp; billfishes</x:v>
      </x:c>
      <x:c r="I200" s="31" t="n">
        <x:v>0.8069026614</x:v>
      </x:c>
      <x:c r="J200" s="31" t="n">
        <x:v>0.8069026614</x:v>
      </x:c>
      <x:c r="K200" s="31" t="n">
        <x:v>0</x:v>
      </x:c>
      <x:c r="L200" s="31" t="n">
        <x:v>0.8069026614</x:v>
      </x:c>
      <x:c r="M200" s="31" t="n">
        <x:v>0</x:v>
      </x:c>
      <x:c r="N200" s="24" t="str">
        <x:v>thunnus thynnus</x:v>
      </x:c>
      <x:c r="O200" s="32" t="n">
        <x:v>4.45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Thunnus thynnus</x:v>
      </x:c>
      <x:c r="T200" s="32" t="n">
        <x:f>IF(O200="","",(1/'Metadata'!$B$5)^(O200-1))</x:f>
        <x:v>2818.382931264455</x:v>
      </x:c>
      <x:c r="U200" s="31" t="n">
        <x:f>IF(T200="","",I200*T200)</x:f>
        <x:v>2274.1606880816216</x:v>
      </x:c>
    </x:row>
    <x:row r="201" ht="18" customHeight="1">
      <x:c r="A201" s="24" t="str">
        <x:v>EEZ_624</x:v>
      </x:c>
      <x:c r="B201" s="24" t="str">
        <x:v>Guinea-Bissau</x:v>
      </x:c>
      <x:c r="C201" s="24" t="str">
        <x:v>EEZ</x:v>
      </x:c>
      <x:c r="D201" s="30" t="n">
        <x:v>2019</x:v>
      </x:c>
      <x:c r="E201" s="24" t="str">
        <x:v>Gephyroberyx darwinii</x:v>
      </x:c>
      <x:c r="F201" s="24" t="str">
        <x:v>Darwin's slimehead</x:v>
      </x:c>
      <x:c r="G201" s="24" t="str">
        <x:v>Medium benthopelagics (30 - 89 cm)</x:v>
      </x:c>
      <x:c r="H201" s="24" t="str">
        <x:v>Other fishes &amp; inverts</x:v>
      </x:c>
      <x:c r="I201" s="31" t="n">
        <x:v>0.735766356</x:v>
      </x:c>
      <x:c r="J201" s="31" t="n">
        <x:v>0.735766356</x:v>
      </x:c>
      <x:c r="K201" s="31" t="n">
        <x:v>0</x:v>
      </x:c>
      <x:c r="L201" s="31" t="n">
        <x:v>0.735766356</x:v>
      </x:c>
      <x:c r="M201" s="31" t="n">
        <x:v>0</x:v>
      </x:c>
      <x:c r="N201" s="24" t="str">
        <x:v>gephyroberyx darwinii</x:v>
      </x:c>
      <x:c r="O201" s="32" t="n">
        <x:v>3.94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Gephyroberyx darwinii</x:v>
      </x:c>
      <x:c r="T201" s="32" t="n">
        <x:f>IF(O201="","",(1/'Metadata'!$B$5)^(O201-1))</x:f>
        <x:v>870.9635899560806</x:v>
      </x:c>
      <x:c r="U201" s="31" t="n">
        <x:f>IF(T201="","",I201*T201)</x:f>
        <x:v>640.8257067906636</x:v>
      </x:c>
    </x:row>
    <x:row r="202" ht="18" customHeight="1">
      <x:c r="A202" s="24" t="str">
        <x:v>EEZ_624</x:v>
      </x:c>
      <x:c r="B202" s="24" t="str">
        <x:v>Guinea-Bissau</x:v>
      </x:c>
      <x:c r="C202" s="24" t="str">
        <x:v>EEZ</x:v>
      </x:c>
      <x:c r="D202" s="30" t="n">
        <x:v>2019</x:v>
      </x:c>
      <x:c r="E202" s="24" t="str">
        <x:v>Parapristipoma octolineatum</x:v>
      </x:c>
      <x:c r="F202" s="24" t="str">
        <x:v>African striped grunt</x:v>
      </x:c>
      <x:c r="G202" s="24" t="str">
        <x:v>Medium demersals (30 - 89 cm)</x:v>
      </x:c>
      <x:c r="H202" s="24" t="str">
        <x:v>Perch-likes</x:v>
      </x:c>
      <x:c r="I202" s="31" t="n">
        <x:v>0.7260626879</x:v>
      </x:c>
      <x:c r="J202" s="31" t="n">
        <x:v>0.7260626879</x:v>
      </x:c>
      <x:c r="K202" s="31" t="n">
        <x:v>0</x:v>
      </x:c>
      <x:c r="L202" s="31" t="n">
        <x:v>0.7260626879</x:v>
      </x:c>
      <x:c r="M202" s="31" t="n">
        <x:v>0</x:v>
      </x:c>
      <x:c r="N202" s="24" t="str">
        <x:v>parapristipoma octolineatum</x:v>
      </x:c>
      <x:c r="O202" s="32" t="n">
        <x:v>3.55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Parapristipoma octolineatum</x:v>
      </x:c>
      <x:c r="T202" s="32" t="n">
        <x:f>IF(O202="","",(1/'Metadata'!$B$5)^(O202-1))</x:f>
        <x:v>354.8133892335753</x:v>
      </x:c>
      <x:c r="U202" s="31" t="n">
        <x:f>IF(T202="","",I202*T202)</x:f>
        <x:v>257.6167630898386</x:v>
      </x:c>
    </x:row>
    <x:row r="203" ht="18" customHeight="1">
      <x:c r="A203" s="24" t="str">
        <x:v>EEZ_624</x:v>
      </x:c>
      <x:c r="B203" s="24" t="str">
        <x:v>Guinea-Bissau</x:v>
      </x:c>
      <x:c r="C203" s="24" t="str">
        <x:v>EEZ</x:v>
      </x:c>
      <x:c r="D203" s="30" t="n">
        <x:v>2019</x:v>
      </x:c>
      <x:c r="E203" s="24" t="str">
        <x:v>Marine pelagic fishes not identified</x:v>
      </x:c>
      <x:c r="F203" s="24" t="str">
        <x:v>Pelagic fishes</x:v>
      </x:c>
      <x:c r="G203" s="24" t="str">
        <x:v>Medium pelagics (30 - 89 cm)</x:v>
      </x:c>
      <x:c r="H203" s="24" t="str">
        <x:v>Other fishes &amp; inverts</x:v>
      </x:c>
      <x:c r="I203" s="31" t="n">
        <x:v>0.6998087352</x:v>
      </x:c>
      <x:c r="J203" s="31" t="n">
        <x:v>0.6998087352</x:v>
      </x:c>
      <x:c r="K203" s="31" t="n">
        <x:v>0</x:v>
      </x:c>
      <x:c r="L203" s="31" t="n">
        <x:v>0.6998087352</x:v>
      </x:c>
      <x:c r="M203" s="31" t="n">
        <x:v>0</x:v>
      </x:c>
      <x:c r="N203" s="24" t="str">
        <x:v>marine pelagic fishes not identified</x:v>
      </x:c>
      <x:c r="O203" s="32" t="n">
        <x:v>3.35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Marine pelagic fishes not identified</x:v>
      </x:c>
      <x:c r="T203" s="32" t="n">
        <x:f>IF(O203="","",(1/'Metadata'!$B$5)^(O203-1))</x:f>
        <x:v>223.872113856834</x:v>
      </x:c>
      <x:c r="U203" s="31" t="n">
        <x:f>IF(T203="","",I203*T203)</x:f>
        <x:v>156.6676608447014</x:v>
      </x:c>
    </x:row>
    <x:row r="204" ht="18" customHeight="1">
      <x:c r="A204" s="24" t="str">
        <x:v>EEZ_624</x:v>
      </x:c>
      <x:c r="B204" s="24" t="str">
        <x:v>Guinea-Bissau</x:v>
      </x:c>
      <x:c r="C204" s="24" t="str">
        <x:v>EEZ</x:v>
      </x:c>
      <x:c r="D204" s="30" t="n">
        <x:v>2019</x:v>
      </x:c>
      <x:c r="E204" s="24" t="str">
        <x:v>Dentex maroccanus</x:v>
      </x:c>
      <x:c r="F204" s="24" t="str">
        <x:v>Morocco dentex</x:v>
      </x:c>
      <x:c r="G204" s="24" t="str">
        <x:v>Medium demersals (30 - 89 cm)</x:v>
      </x:c>
      <x:c r="H204" s="24" t="str">
        <x:v>Perch-likes</x:v>
      </x:c>
      <x:c r="I204" s="31" t="n">
        <x:v>0.688960428</x:v>
      </x:c>
      <x:c r="J204" s="31" t="n">
        <x:v>0.688960428</x:v>
      </x:c>
      <x:c r="K204" s="31" t="n">
        <x:v>0</x:v>
      </x:c>
      <x:c r="L204" s="31" t="n">
        <x:v>0.688960428</x:v>
      </x:c>
      <x:c r="M204" s="31" t="n">
        <x:v>0</x:v>
      </x:c>
      <x:c r="N204" s="24" t="str">
        <x:v>dentex maroccanus</x:v>
      </x:c>
      <x:c r="O204" s="32" t="n">
        <x:v>3.85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Dentex maroccanus</x:v>
      </x:c>
      <x:c r="T204" s="32" t="n">
        <x:f>IF(O204="","",(1/'Metadata'!$B$5)^(O204-1))</x:f>
        <x:v>707.945784384138</x:v>
      </x:c>
      <x:c r="U204" s="31" t="n">
        <x:f>IF(T204="","",I204*T204)</x:f>
        <x:v>487.7466306100915</x:v>
      </x:c>
    </x:row>
    <x:row r="205" ht="18" customHeight="1">
      <x:c r="A205" s="24" t="str">
        <x:v>EEZ_624</x:v>
      </x:c>
      <x:c r="B205" s="24" t="str">
        <x:v>Guinea-Bissau</x:v>
      </x:c>
      <x:c r="C205" s="24" t="str">
        <x:v>EEZ</x:v>
      </x:c>
      <x:c r="D205" s="30" t="n">
        <x:v>2019</x:v>
      </x:c>
      <x:c r="E205" s="24" t="str">
        <x:v>Priacanthidae</x:v>
      </x:c>
      <x:c r="F205" s="24" t="str">
        <x:v>Bigeyes, catalufas</x:v>
      </x:c>
      <x:c r="G205" s="24" t="str">
        <x:v>Medium reef assoc. fish (30 - 89 cm)</x:v>
      </x:c>
      <x:c r="H205" s="24" t="str">
        <x:v>Perch-likes</x:v>
      </x:c>
      <x:c r="I205" s="31" t="n">
        <x:v>0.6627034439999999</x:v>
      </x:c>
      <x:c r="J205" s="31" t="n">
        <x:v>0.6627034439999999</x:v>
      </x:c>
      <x:c r="K205" s="31" t="n">
        <x:v>0</x:v>
      </x:c>
      <x:c r="L205" s="31" t="n">
        <x:v>0.6627034439999999</x:v>
      </x:c>
      <x:c r="M205" s="31" t="n">
        <x:v>0</x:v>
      </x:c>
      <x:c r="N205" s="24" t="str">
        <x:v>priacanthidae</x:v>
      </x:c>
      <x:c r="O205" s="32" t="n">
        <x:v>3.79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Priacanthidae</x:v>
      </x:c>
      <x:c r="T205" s="32" t="n">
        <x:f>IF(O205="","",(1/'Metadata'!$B$5)^(O205-1))</x:f>
        <x:v>616.5950018614822</x:v>
      </x:c>
      <x:c r="U205" s="31" t="n">
        <x:f>IF(T205="","",I205*T205)</x:f>
        <x:v>408.6196312867906</x:v>
      </x:c>
    </x:row>
    <x:row r="206" ht="18" customHeight="1">
      <x:c r="A206" s="24" t="str">
        <x:v>EEZ_624</x:v>
      </x:c>
      <x:c r="B206" s="24" t="str">
        <x:v>Guinea-Bissau</x:v>
      </x:c>
      <x:c r="C206" s="24" t="str">
        <x:v>EEZ</x:v>
      </x:c>
      <x:c r="D206" s="30" t="n">
        <x:v>2019</x:v>
      </x:c>
      <x:c r="E206" s="24" t="str">
        <x:v>Psettodes bennettii</x:v>
      </x:c>
      <x:c r="F206" s="24" t="str">
        <x:v>Spiny turbot</x:v>
      </x:c>
      <x:c r="G206" s="24" t="str">
        <x:v>Small to medium flatfishes (&lt;90 cm)</x:v>
      </x:c>
      <x:c r="H206" s="24" t="str">
        <x:v>Flatfishes</x:v>
      </x:c>
      <x:c r="I206" s="31" t="n">
        <x:v>0.6478625401</x:v>
      </x:c>
      <x:c r="J206" s="31" t="n">
        <x:v>0.6478625401</x:v>
      </x:c>
      <x:c r="K206" s="31" t="n">
        <x:v>0</x:v>
      </x:c>
      <x:c r="L206" s="31" t="n">
        <x:v>0.6478625401</x:v>
      </x:c>
      <x:c r="M206" s="31" t="n">
        <x:v>0</x:v>
      </x:c>
      <x:c r="N206" s="24" t="str">
        <x:v>psettodes bennettii</x:v>
      </x:c>
      <x:c r="O206" s="32" t="n">
        <x:v>3.02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Psettodes bennettii</x:v>
      </x:c>
      <x:c r="T206" s="32" t="n">
        <x:f>IF(O206="","",(1/'Metadata'!$B$5)^(O206-1))</x:f>
        <x:v>104.71285480508996</x:v>
      </x:c>
      <x:c r="U206" s="31" t="n">
        <x:f>IF(T206="","",I206*T206)</x:f>
        <x:v>67.83953609514808</x:v>
      </x:c>
    </x:row>
    <x:row r="207" ht="18" customHeight="1">
      <x:c r="A207" s="24" t="str">
        <x:v>EEZ_624</x:v>
      </x:c>
      <x:c r="B207" s="24" t="str">
        <x:v>Guinea-Bissau</x:v>
      </x:c>
      <x:c r="C207" s="24" t="str">
        <x:v>EEZ</x:v>
      </x:c>
      <x:c r="D207" s="30" t="n">
        <x:v>2019</x:v>
      </x:c>
      <x:c r="E207" s="24" t="str">
        <x:v>Seriola rivoliana</x:v>
      </x:c>
      <x:c r="F207" s="24" t="str">
        <x:v>Longfin yellowtail</x:v>
      </x:c>
      <x:c r="G207" s="24" t="str">
        <x:v>Large benthopelagics (&gt;=90 cm)</x:v>
      </x:c>
      <x:c r="H207" s="24" t="str">
        <x:v>Perch-likes</x:v>
      </x:c>
      <x:c r="I207" s="31" t="n">
        <x:v>0.6084770639</x:v>
      </x:c>
      <x:c r="J207" s="31" t="n">
        <x:v>0.6084770639</x:v>
      </x:c>
      <x:c r="K207" s="31" t="n">
        <x:v>0</x:v>
      </x:c>
      <x:c r="L207" s="31" t="n">
        <x:v>0.6084770639</x:v>
      </x:c>
      <x:c r="M207" s="31" t="n">
        <x:v>0</x:v>
      </x:c>
      <x:c r="N207" s="24" t="str">
        <x:v>seriola rivoliana</x:v>
      </x:c>
      <x:c r="O207" s="32" t="n">
        <x:v>4.45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Seriola rivoliana</x:v>
      </x:c>
      <x:c r="T207" s="32" t="n">
        <x:f>IF(O207="","",(1/'Metadata'!$B$5)^(O207-1))</x:f>
        <x:v>2818.382931264455</x:v>
      </x:c>
      <x:c r="U207" s="31" t="n">
        <x:f>IF(T207="","",I207*T207)</x:f>
        <x:v>1714.921370961671</x:v>
      </x:c>
    </x:row>
    <x:row r="208" ht="18" customHeight="1">
      <x:c r="A208" s="24" t="str">
        <x:v>EEZ_624</x:v>
      </x:c>
      <x:c r="B208" s="24" t="str">
        <x:v>Guinea-Bissau</x:v>
      </x:c>
      <x:c r="C208" s="24" t="str">
        <x:v>EEZ</x:v>
      </x:c>
      <x:c r="D208" s="30" t="n">
        <x:v>2019</x:v>
      </x:c>
      <x:c r="E208" s="24" t="str">
        <x:v>Trachinotus ovatus</x:v>
      </x:c>
      <x:c r="F208" s="24" t="str">
        <x:v>Pompano</x:v>
      </x:c>
      <x:c r="G208" s="24" t="str">
        <x:v>Medium pelagics (30 - 89 cm)</x:v>
      </x:c>
      <x:c r="H208" s="24" t="str">
        <x:v>Perch-likes</x:v>
      </x:c>
      <x:c r="I208" s="31" t="n">
        <x:v>0.5588171161</x:v>
      </x:c>
      <x:c r="J208" s="31" t="n">
        <x:v>0.5588171161</x:v>
      </x:c>
      <x:c r="K208" s="31" t="n">
        <x:v>0</x:v>
      </x:c>
      <x:c r="L208" s="31" t="n">
        <x:v>0.5588171161</x:v>
      </x:c>
      <x:c r="M208" s="31" t="n">
        <x:v>0</x:v>
      </x:c>
      <x:c r="N208" s="24" t="str">
        <x:v>trachinotus ovatus</x:v>
      </x:c>
      <x:c r="O208" s="32" t="n">
        <x:v>3.73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Trachinotus ovatus</x:v>
      </x:c>
      <x:c r="T208" s="32" t="n">
        <x:f>IF(O208="","",(1/'Metadata'!$B$5)^(O208-1))</x:f>
        <x:v>537.0317963702527</x:v>
      </x:c>
      <x:c r="U208" s="31" t="n">
        <x:f>IF(T208="","",I208*T208)</x:f>
        <x:v>300.102559701627</x:v>
      </x:c>
    </x:row>
    <x:row r="209" ht="18" customHeight="1">
      <x:c r="A209" s="24" t="str">
        <x:v>EEZ_624</x:v>
      </x:c>
      <x:c r="B209" s="24" t="str">
        <x:v>Guinea-Bissau</x:v>
      </x:c>
      <x:c r="C209" s="24" t="str">
        <x:v>EEZ</x:v>
      </x:c>
      <x:c r="D209" s="30" t="n">
        <x:v>2019</x:v>
      </x:c>
      <x:c r="E209" s="24" t="str">
        <x:v>Istiophorus albicans</x:v>
      </x:c>
      <x:c r="F209" s="24" t="str">
        <x:v>Atlantic sailfish</x:v>
      </x:c>
      <x:c r="G209" s="24" t="str">
        <x:v>Large pelagics (&gt;=90 cm)</x:v>
      </x:c>
      <x:c r="H209" s="24" t="str">
        <x:v>Tuna &amp; billfishes</x:v>
      </x:c>
      <x:c r="I209" s="31" t="n">
        <x:v>0.4279779499</x:v>
      </x:c>
      <x:c r="J209" s="31" t="n">
        <x:v>0.4279779499</x:v>
      </x:c>
      <x:c r="K209" s="31" t="n">
        <x:v>0</x:v>
      </x:c>
      <x:c r="L209" s="31" t="n">
        <x:v>0.4279779499</x:v>
      </x:c>
      <x:c r="M209" s="31" t="n">
        <x:v>0</x:v>
      </x:c>
      <x:c r="N209" s="24" t="str">
        <x:v>istiophorus albicans</x:v>
      </x:c>
      <x:c r="O209" s="32" t="n">
        <x:v>4.5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Istiophorus albicans</x:v>
      </x:c>
      <x:c r="T209" s="32" t="n">
        <x:f>IF(O209="","",(1/'Metadata'!$B$5)^(O209-1))</x:f>
        <x:v>3162.2776601683795</x:v>
      </x:c>
      <x:c r="U209" s="31" t="n">
        <x:f>IF(T209="","",I209*T209)</x:f>
        <x:v>1353.3851100134318</x:v>
      </x:c>
    </x:row>
    <x:row r="210" ht="18" customHeight="1">
      <x:c r="A210" s="24" t="str">
        <x:v>EEZ_624</x:v>
      </x:c>
      <x:c r="B210" s="24" t="str">
        <x:v>Guinea-Bissau</x:v>
      </x:c>
      <x:c r="C210" s="24" t="str">
        <x:v>EEZ</x:v>
      </x:c>
      <x:c r="D210" s="30" t="n">
        <x:v>2019</x:v>
      </x:c>
      <x:c r="E210" s="24" t="str">
        <x:v>Carcharhinidae</x:v>
      </x:c>
      <x:c r="F210" s="24" t="str">
        <x:v>Requiem sharks</x:v>
      </x:c>
      <x:c r="G210" s="24" t="str">
        <x:v>Large sharks (&gt;=90 cm)</x:v>
      </x:c>
      <x:c r="H210" s="24" t="str">
        <x:v>Sharks &amp; rays</x:v>
      </x:c>
      <x:c r="I210" s="31" t="n">
        <x:v>0.37939458130000003</x:v>
      </x:c>
      <x:c r="J210" s="31" t="n">
        <x:v>0.37939458130000003</x:v>
      </x:c>
      <x:c r="K210" s="31" t="n">
        <x:v>0</x:v>
      </x:c>
      <x:c r="L210" s="31" t="n">
        <x:v>0.37939458130000003</x:v>
      </x:c>
      <x:c r="M210" s="31" t="n">
        <x:v>0</x:v>
      </x:c>
      <x:c r="N210" s="24" t="str">
        <x:v>carcharhinidae</x:v>
      </x:c>
      <x:c r="O210" s="32" t="n">
        <x:v>4.24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Carcharhinidae</x:v>
      </x:c>
      <x:c r="T210" s="32" t="n">
        <x:f>IF(O210="","",(1/'Metadata'!$B$5)^(O210-1))</x:f>
        <x:v>1737.8008287493763</x:v>
      </x:c>
      <x:c r="U210" s="31" t="n">
        <x:f>IF(T210="","",I210*T210)</x:f>
        <x:v>659.3122178061626</x:v>
      </x:c>
    </x:row>
    <x:row r="211" ht="18" customHeight="1">
      <x:c r="A211" s="24" t="str">
        <x:v>EEZ_624</x:v>
      </x:c>
      <x:c r="B211" s="24" t="str">
        <x:v>Guinea-Bissau</x:v>
      </x:c>
      <x:c r="C211" s="24" t="str">
        <x:v>EEZ</x:v>
      </x:c>
      <x:c r="D211" s="30" t="n">
        <x:v>2019</x:v>
      </x:c>
      <x:c r="E211" s="24" t="str">
        <x:v>Triakidae</x:v>
      </x:c>
      <x:c r="F211" s="24" t="str">
        <x:v>Houndsharks</x:v>
      </x:c>
      <x:c r="G211" s="24" t="str">
        <x:v>Large sharks (&gt;=90 cm)</x:v>
      </x:c>
      <x:c r="H211" s="24" t="str">
        <x:v>Sharks &amp; rays</x:v>
      </x:c>
      <x:c r="I211" s="31" t="n">
        <x:v>0.3584649121</x:v>
      </x:c>
      <x:c r="J211" s="31" t="n">
        <x:v>0.3584649121</x:v>
      </x:c>
      <x:c r="K211" s="31" t="n">
        <x:v>0</x:v>
      </x:c>
      <x:c r="L211" s="31" t="n">
        <x:v>0.3584649121</x:v>
      </x:c>
      <x:c r="M211" s="31" t="n">
        <x:v>0</x:v>
      </x:c>
      <x:c r="N211" s="24" t="str">
        <x:v>triakidae</x:v>
      </x:c>
      <x:c r="O211" s="32" t="n">
        <x:v>3.82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Triakidae</x:v>
      </x:c>
      <x:c r="T211" s="32" t="n">
        <x:f>IF(O211="","",(1/'Metadata'!$B$5)^(O211-1))</x:f>
        <x:v>660.6934480075957</x:v>
      </x:c>
      <x:c r="U211" s="31" t="n">
        <x:f>IF(T211="","",I211*T211)</x:f>
        <x:v>236.83541876508872</x:v>
      </x:c>
    </x:row>
    <x:row r="212" ht="18" customHeight="1">
      <x:c r="A212" s="24" t="str">
        <x:v>EEZ_624</x:v>
      </x:c>
      <x:c r="B212" s="24" t="str">
        <x:v>Guinea-Bissau</x:v>
      </x:c>
      <x:c r="C212" s="24" t="str">
        <x:v>EEZ</x:v>
      </x:c>
      <x:c r="D212" s="30" t="n">
        <x:v>2019</x:v>
      </x:c>
      <x:c r="E212" s="24" t="str">
        <x:v>Squalidae</x:v>
      </x:c>
      <x:c r="F212" s="24" t="str">
        <x:v>Dogfish sharks</x:v>
      </x:c>
      <x:c r="G212" s="24" t="str">
        <x:v>Large sharks (&gt;=90 cm)</x:v>
      </x:c>
      <x:c r="H212" s="24" t="str">
        <x:v>Sharks &amp; rays</x:v>
      </x:c>
      <x:c r="I212" s="31" t="n">
        <x:v>0.309375768</x:v>
      </x:c>
      <x:c r="J212" s="31" t="n">
        <x:v>0.309375768</x:v>
      </x:c>
      <x:c r="K212" s="31" t="n">
        <x:v>0</x:v>
      </x:c>
      <x:c r="L212" s="31" t="n">
        <x:v>0.309375768</x:v>
      </x:c>
      <x:c r="M212" s="31" t="n">
        <x:v>0</x:v>
      </x:c>
      <x:c r="N212" s="24" t="str">
        <x:v>squalidae</x:v>
      </x:c>
      <x:c r="O212" s="32" t="n">
        <x:v>4.23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Squalidae</x:v>
      </x:c>
      <x:c r="T212" s="32" t="n">
        <x:f>IF(O212="","",(1/'Metadata'!$B$5)^(O212-1))</x:f>
        <x:v>1698.243652461746</x:v>
      </x:c>
      <x:c r="U212" s="31" t="n">
        <x:f>IF(T212="","",I212*T212)</x:f>
        <x:v>525.3954342314778</x:v>
      </x:c>
    </x:row>
    <x:row r="213" ht="18" customHeight="1">
      <x:c r="A213" s="24" t="str">
        <x:v>EEZ_624</x:v>
      </x:c>
      <x:c r="B213" s="24" t="str">
        <x:v>Guinea-Bissau</x:v>
      </x:c>
      <x:c r="C213" s="24" t="str">
        <x:v>EEZ</x:v>
      </x:c>
      <x:c r="D213" s="30" t="n">
        <x:v>2019</x:v>
      </x:c>
      <x:c r="E213" s="24" t="str">
        <x:v>Dicentrarchus punctatus</x:v>
      </x:c>
      <x:c r="F213" s="24" t="str">
        <x:v>Spotted seabass</x:v>
      </x:c>
      <x:c r="G213" s="24" t="str">
        <x:v>Medium pelagics (30 - 89 cm)</x:v>
      </x:c>
      <x:c r="H213" s="24" t="str">
        <x:v>Perch-likes</x:v>
      </x:c>
      <x:c r="I213" s="31" t="n">
        <x:v>0.2522849016</x:v>
      </x:c>
      <x:c r="J213" s="31" t="n">
        <x:v>0.2522849016</x:v>
      </x:c>
      <x:c r="K213" s="31" t="n">
        <x:v>0</x:v>
      </x:c>
      <x:c r="L213" s="31" t="n">
        <x:v>0.2522849016</x:v>
      </x:c>
      <x:c r="M213" s="31" t="n">
        <x:v>0</x:v>
      </x:c>
      <x:c r="N213" s="24" t="str">
        <x:v>dicentrarchus punctatus</x:v>
      </x:c>
      <x:c r="O213" s="32" t="n">
        <x:v>3.94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Dicentrarchus punctatus</x:v>
      </x:c>
      <x:c r="T213" s="32" t="n">
        <x:f>IF(O213="","",(1/'Metadata'!$B$5)^(O213-1))</x:f>
        <x:v>870.9635899560806</x:v>
      </x:c>
      <x:c r="U213" s="31" t="n">
        <x:f>IF(T213="","",I213*T213)</x:f>
        <x:v>219.73096358925253</x:v>
      </x:c>
    </x:row>
    <x:row r="214" ht="18" customHeight="1">
      <x:c r="A214" s="24" t="str">
        <x:v>EEZ_624</x:v>
      </x:c>
      <x:c r="B214" s="24" t="str">
        <x:v>Guinea-Bissau</x:v>
      </x:c>
      <x:c r="C214" s="24" t="str">
        <x:v>EEZ</x:v>
      </x:c>
      <x:c r="D214" s="30" t="n">
        <x:v>2019</x:v>
      </x:c>
      <x:c r="E214" s="24" t="str">
        <x:v>Makaira nigricans</x:v>
      </x:c>
      <x:c r="F214" s="24" t="str">
        <x:v>Blue marlin</x:v>
      </x:c>
      <x:c r="G214" s="24" t="str">
        <x:v>Large pelagics (&gt;=90 cm)</x:v>
      </x:c>
      <x:c r="H214" s="24" t="str">
        <x:v>Tuna &amp; billfishes</x:v>
      </x:c>
      <x:c r="I214" s="31" t="n">
        <x:v>0.2372219171</x:v>
      </x:c>
      <x:c r="J214" s="31" t="n">
        <x:v>0.2372219171</x:v>
      </x:c>
      <x:c r="K214" s="31" t="n">
        <x:v>0</x:v>
      </x:c>
      <x:c r="L214" s="31" t="n">
        <x:v>0.2372219171</x:v>
      </x:c>
      <x:c r="M214" s="31" t="n">
        <x:v>0</x:v>
      </x:c>
      <x:c r="N214" s="24" t="str">
        <x:v>makaira nigricans</x:v>
      </x:c>
      <x:c r="O214" s="32" t="n">
        <x:v>4.49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Makaira nigricans</x:v>
      </x:c>
      <x:c r="T214" s="32" t="n">
        <x:f>IF(O214="","",(1/'Metadata'!$B$5)^(O214-1))</x:f>
        <x:v>3090.295432513592</x:v>
      </x:c>
      <x:c r="U214" s="31" t="n">
        <x:f>IF(T214="","",I214*T214)</x:f>
        <x:v>733.085806906248</x:v>
      </x:c>
    </x:row>
    <x:row r="215" ht="18" customHeight="1">
      <x:c r="A215" s="24" t="str">
        <x:v>EEZ_624</x:v>
      </x:c>
      <x:c r="B215" s="24" t="str">
        <x:v>Guinea-Bissau</x:v>
      </x:c>
      <x:c r="C215" s="24" t="str">
        <x:v>EEZ</x:v>
      </x:c>
      <x:c r="D215" s="30" t="n">
        <x:v>2019</x:v>
      </x:c>
      <x:c r="E215" s="24" t="str">
        <x:v>Rhinobatidae</x:v>
      </x:c>
      <x:c r="F215" s="24" t="str">
        <x:v>Guitarfishes, fanrays</x:v>
      </x:c>
      <x:c r="G215" s="24" t="str">
        <x:v>Large rays (&gt;=90 cm)</x:v>
      </x:c>
      <x:c r="H215" s="24" t="str">
        <x:v>Sharks &amp; rays</x:v>
      </x:c>
      <x:c r="I215" s="31" t="n">
        <x:v>0.1404639622</x:v>
      </x:c>
      <x:c r="J215" s="31" t="n">
        <x:v>0.1404639622</x:v>
      </x:c>
      <x:c r="K215" s="31" t="n">
        <x:v>0</x:v>
      </x:c>
      <x:c r="L215" s="31" t="n">
        <x:v>0.1404639622</x:v>
      </x:c>
      <x:c r="M215" s="31" t="n">
        <x:v>0</x:v>
      </x:c>
      <x:c r="N215" s="24" t="str">
        <x:v>rhinobatidae</x:v>
      </x:c>
      <x:c r="O215" s="32" t="n">
        <x:v>3.7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Rhinobatidae</x:v>
      </x:c>
      <x:c r="T215" s="32" t="n">
        <x:f>IF(O215="","",(1/'Metadata'!$B$5)^(O215-1))</x:f>
        <x:v>501.18723362727246</x:v>
      </x:c>
      <x:c r="U215" s="31" t="n">
        <x:f>IF(T215="","",I215*T215)</x:f>
        <x:v>70.39874463934376</x:v>
      </x:c>
    </x:row>
    <x:row r="216" ht="18" customHeight="1">
      <x:c r="A216" s="24" t="str">
        <x:v>EEZ_624</x:v>
      </x:c>
      <x:c r="B216" s="24" t="str">
        <x:v>Guinea-Bissau</x:v>
      </x:c>
      <x:c r="C216" s="24" t="str">
        <x:v>EEZ</x:v>
      </x:c>
      <x:c r="D216" s="30" t="n">
        <x:v>2019</x:v>
      </x:c>
      <x:c r="E216" s="24" t="str">
        <x:v>Promethichthys prometheus</x:v>
      </x:c>
      <x:c r="F216" s="24" t="str">
        <x:v>Roudi escolar</x:v>
      </x:c>
      <x:c r="G216" s="24" t="str">
        <x:v>Large benthopelagics (&gt;=90 cm)</x:v>
      </x:c>
      <x:c r="H216" s="24" t="str">
        <x:v>Perch-likes</x:v>
      </x:c>
      <x:c r="I216" s="31" t="n">
        <x:v>0.1356085</x:v>
      </x:c>
      <x:c r="J216" s="31" t="n">
        <x:v>0.1356085</x:v>
      </x:c>
      <x:c r="K216" s="31" t="n">
        <x:v>0</x:v>
      </x:c>
      <x:c r="L216" s="31" t="n">
        <x:v>0.1356085</x:v>
      </x:c>
      <x:c r="M216" s="31" t="n">
        <x:v>0</x:v>
      </x:c>
      <x:c r="N216" s="24" t="str">
        <x:v>promethichthys prometheus</x:v>
      </x:c>
      <x:c r="O216" s="32" t="n">
        <x:v>4.18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Promethichthys prometheus</x:v>
      </x:c>
      <x:c r="T216" s="32" t="n">
        <x:f>IF(O216="","",(1/'Metadata'!$B$5)^(O216-1))</x:f>
        <x:v>1513.5612484362073</x:v>
      </x:c>
      <x:c r="U216" s="31" t="n">
        <x:f>IF(T216="","",I216*T216)</x:f>
        <x:v>205.25177055856142</x:v>
      </x:c>
    </x:row>
    <x:row r="217" ht="18" customHeight="1">
      <x:c r="A217" s="24" t="str">
        <x:v>EEZ_624</x:v>
      </x:c>
      <x:c r="B217" s="24" t="str">
        <x:v>Guinea-Bissau</x:v>
      </x:c>
      <x:c r="C217" s="24" t="str">
        <x:v>EEZ</x:v>
      </x:c>
      <x:c r="D217" s="30" t="n">
        <x:v>2019</x:v>
      </x:c>
      <x:c r="E217" s="24" t="str">
        <x:v>Auxis rochei</x:v>
      </x:c>
      <x:c r="F217" s="24" t="str">
        <x:v>Bullet tuna</x:v>
      </x:c>
      <x:c r="G217" s="24" t="str">
        <x:v>Medium pelagics (30 - 89 cm)</x:v>
      </x:c>
      <x:c r="H217" s="24" t="str">
        <x:v>Tuna &amp; billfishes</x:v>
      </x:c>
      <x:c r="I217" s="31" t="n">
        <x:v>0.1201343212</x:v>
      </x:c>
      <x:c r="J217" s="31" t="n">
        <x:v>0.1201343212</x:v>
      </x:c>
      <x:c r="K217" s="31" t="n">
        <x:v>0</x:v>
      </x:c>
      <x:c r="L217" s="31" t="n">
        <x:v>0.1201343212</x:v>
      </x:c>
      <x:c r="M217" s="31" t="n">
        <x:v>0</x:v>
      </x:c>
      <x:c r="N217" s="24" t="str">
        <x:v>auxis rochei</x:v>
      </x:c>
      <x:c r="O217" s="32" t="n">
        <x:v>4.13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Auxis rochei</x:v>
      </x:c>
      <x:c r="T217" s="32" t="n">
        <x:f>IF(O217="","",(1/'Metadata'!$B$5)^(O217-1))</x:f>
        <x:v>1348.9628825916532</x:v>
      </x:c>
      <x:c r="U217" s="31" t="n">
        <x:f>IF(T217="","",I217*T217)</x:f>
        <x:v>162.05674022414357</x:v>
      </x:c>
    </x:row>
    <x:row r="218" ht="18" customHeight="1">
      <x:c r="A218" s="24" t="str">
        <x:v>EEZ_624</x:v>
      </x:c>
      <x:c r="B218" s="24" t="str">
        <x:v>Guinea-Bissau</x:v>
      </x:c>
      <x:c r="C218" s="24" t="str">
        <x:v>EEZ</x:v>
      </x:c>
      <x:c r="D218" s="30" t="n">
        <x:v>2019</x:v>
      </x:c>
      <x:c r="E218" s="24" t="str">
        <x:v>Dalatias licha</x:v>
      </x:c>
      <x:c r="F218" s="24" t="str">
        <x:v>Kitefin shark</x:v>
      </x:c>
      <x:c r="G218" s="24" t="str">
        <x:v>Large sharks (&gt;=90 cm)</x:v>
      </x:c>
      <x:c r="H218" s="24" t="str">
        <x:v>Sharks &amp; rays</x:v>
      </x:c>
      <x:c r="I218" s="31" t="n">
        <x:v>0.0856206</x:v>
      </x:c>
      <x:c r="J218" s="31" t="n">
        <x:v>0.0856206</x:v>
      </x:c>
      <x:c r="K218" s="31" t="n">
        <x:v>0</x:v>
      </x:c>
      <x:c r="L218" s="31" t="n">
        <x:v>0.0856206</x:v>
      </x:c>
      <x:c r="M218" s="31" t="n">
        <x:v>0</x:v>
      </x:c>
      <x:c r="N218" s="24" t="str">
        <x:v>dalatias licha</x:v>
      </x:c>
      <x:c r="O218" s="32" t="n">
        <x:v>4.23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Dalatias licha</x:v>
      </x:c>
      <x:c r="T218" s="32" t="n">
        <x:f>IF(O218="","",(1/'Metadata'!$B$5)^(O218-1))</x:f>
        <x:v>1698.243652461746</x:v>
      </x:c>
      <x:c r="U218" s="31" t="n">
        <x:f>IF(T218="","",I218*T218)</x:f>
        <x:v>145.40464046996618</x:v>
      </x:c>
    </x:row>
    <x:row r="219" ht="18" customHeight="1">
      <x:c r="A219" s="24" t="str">
        <x:v>EEZ_624</x:v>
      </x:c>
      <x:c r="B219" s="24" t="str">
        <x:v>Guinea-Bissau</x:v>
      </x:c>
      <x:c r="C219" s="24" t="str">
        <x:v>EEZ</x:v>
      </x:c>
      <x:c r="D219" s="30" t="n">
        <x:v>2019</x:v>
      </x:c>
      <x:c r="E219" s="24" t="str">
        <x:v>Bivalvia</x:v>
      </x:c>
      <x:c r="F219" s="24" t="str">
        <x:v>Clams</x:v>
      </x:c>
      <x:c r="G219" s="24" t="str">
        <x:v>Other demersal invertebrates</x:v>
      </x:c>
      <x:c r="H219" s="24" t="str">
        <x:v>Molluscs</x:v>
      </x:c>
      <x:c r="I219" s="31" t="n">
        <x:v>0.07363362999999999</x:v>
      </x:c>
      <x:c r="J219" s="31" t="n">
        <x:v>0.07363362999999999</x:v>
      </x:c>
      <x:c r="K219" s="31" t="n">
        <x:v>0</x:v>
      </x:c>
      <x:c r="L219" s="31" t="n">
        <x:v>0.07363362999999999</x:v>
      </x:c>
      <x:c r="M219" s="31" t="n">
        <x:v>0</x:v>
      </x:c>
      <x:c r="N219" s="24" t="str">
        <x:v>bivalvia</x:v>
      </x:c>
      <x:c r="O219" s="32" t="n">
        <x:v>2.23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Bivalvia</x:v>
      </x:c>
      <x:c r="T219" s="32" t="n">
        <x:f>IF(O219="","",(1/'Metadata'!$B$5)^(O219-1))</x:f>
        <x:v>16.982436524617444</x:v>
      </x:c>
      <x:c r="U219" s="31" t="n">
        <x:f>IF(T219="","",I219*T219)</x:f>
        <x:v>1.2504784475521666</x:v>
      </x:c>
    </x:row>
    <x:row r="220" ht="18" customHeight="1">
      <x:c r="A220" s="24" t="str">
        <x:v>EEZ_624</x:v>
      </x:c>
      <x:c r="B220" s="24" t="str">
        <x:v>Guinea-Bissau</x:v>
      </x:c>
      <x:c r="C220" s="24" t="str">
        <x:v>EEZ</x:v>
      </x:c>
      <x:c r="D220" s="30" t="n">
        <x:v>2019</x:v>
      </x:c>
      <x:c r="E220" s="24" t="str">
        <x:v>Centrolophidae</x:v>
      </x:c>
      <x:c r="F220" s="24" t="str">
        <x:v>Medusafishes</x:v>
      </x:c>
      <x:c r="G220" s="24" t="str">
        <x:v>Medium benthopelagics (30 - 89 cm)</x:v>
      </x:c>
      <x:c r="H220" s="24" t="str">
        <x:v>Perch-likes</x:v>
      </x:c>
      <x:c r="I220" s="31" t="n">
        <x:v>0.0388147401</x:v>
      </x:c>
      <x:c r="J220" s="31" t="n">
        <x:v>0.0388147401</x:v>
      </x:c>
      <x:c r="K220" s="31" t="n">
        <x:v>0</x:v>
      </x:c>
      <x:c r="L220" s="31" t="n">
        <x:v>0.0388147401</x:v>
      </x:c>
      <x:c r="M220" s="31" t="n">
        <x:v>0</x:v>
      </x:c>
      <x:c r="N220" s="24" t="str">
        <x:v>centrolophidae</x:v>
      </x:c>
      <x:c r="O220" s="32" t="n">
        <x:v>3.65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Centrolophidae</x:v>
      </x:c>
      <x:c r="T220" s="32" t="n">
        <x:f>IF(O220="","",(1/'Metadata'!$B$5)^(O220-1))</x:f>
        <x:v>446.683592150963</x:v>
      </x:c>
      <x:c r="U220" s="31" t="n">
        <x:f>IF(T220="","",I220*T220)</x:f>
        <x:v>17.33790753627403</x:v>
      </x:c>
    </x:row>
    <x:row r="221" ht="18" customHeight="1">
      <x:c r="A221" s="24" t="str">
        <x:v>EEZ_624</x:v>
      </x:c>
      <x:c r="B221" s="24" t="str">
        <x:v>Guinea-Bissau</x:v>
      </x:c>
      <x:c r="C221" s="24" t="str">
        <x:v>EEZ</x:v>
      </x:c>
      <x:c r="D221" s="30" t="n">
        <x:v>2019</x:v>
      </x:c>
      <x:c r="E221" s="24" t="str">
        <x:v>Scymnodon ringens</x:v>
      </x:c>
      <x:c r="F221" s="24" t="str">
        <x:v>Knifetooth dogfish</x:v>
      </x:c>
      <x:c r="G221" s="24" t="str">
        <x:v>Small to medium sharks (&lt;90 cm)</x:v>
      </x:c>
      <x:c r="H221" s="24" t="str">
        <x:v>Sharks &amp; rays</x:v>
      </x:c>
      <x:c r="I221" s="31" t="n">
        <x:v>0.0359606519</x:v>
      </x:c>
      <x:c r="J221" s="31" t="n">
        <x:v>0.0359606519</x:v>
      </x:c>
      <x:c r="K221" s="31" t="n">
        <x:v>0</x:v>
      </x:c>
      <x:c r="L221" s="31" t="n">
        <x:v>0.0359606519</x:v>
      </x:c>
      <x:c r="M221" s="31" t="n">
        <x:v>0</x:v>
      </x:c>
      <x:c r="N221" s="24" t="str">
        <x:v>scymnodon ringens</x:v>
      </x:c>
      <x:c r="O221" s="32" t="n">
        <x:v>3.88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Scymnodon ringens</x:v>
      </x:c>
      <x:c r="T221" s="32" t="n">
        <x:f>IF(O221="","",(1/'Metadata'!$B$5)^(O221-1))</x:f>
        <x:v>758.5775750291835</x:v>
      </x:c>
      <x:c r="U221" s="31" t="n">
        <x:f>IF(T221="","",I221*T221)</x:f>
        <x:v>27.278944114770603</x:v>
      </x:c>
    </x:row>
    <x:row r="222" ht="18" customHeight="1">
      <x:c r="A222" s="24" t="str">
        <x:v>EEZ_624</x:v>
      </x:c>
      <x:c r="B222" s="24" t="str">
        <x:v>Guinea-Bissau</x:v>
      </x:c>
      <x:c r="C222" s="24" t="str">
        <x:v>EEZ</x:v>
      </x:c>
      <x:c r="D222" s="30" t="n">
        <x:v>2019</x:v>
      </x:c>
      <x:c r="E222" s="24" t="str">
        <x:v>Miscellaneous aquatic invertebrates</x:v>
      </x:c>
      <x:c r="F222" s="24" t="str">
        <x:v>Aquatic invertebrates</x:v>
      </x:c>
      <x:c r="G222" s="24" t="str">
        <x:v>Other demersal invertebrates</x:v>
      </x:c>
      <x:c r="H222" s="24" t="str">
        <x:v>Other fishes &amp; inverts</x:v>
      </x:c>
      <x:c r="I222" s="31" t="n">
        <x:v>0.017694924100000002</x:v>
      </x:c>
      <x:c r="J222" s="31" t="n">
        <x:v>0.017694924100000002</x:v>
      </x:c>
      <x:c r="K222" s="31" t="n">
        <x:v>0</x:v>
      </x:c>
      <x:c r="L222" s="31" t="n">
        <x:v>0.017694924100000002</x:v>
      </x:c>
      <x:c r="M222" s="31" t="n">
        <x:v>0</x:v>
      </x:c>
      <x:c r="N222" s="24" t="str">
        <x:v>miscellaneous aquatic invertebrates</x:v>
      </x:c>
      <x:c r="O222" s="32" t="n">
        <x:v>2.43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Miscellaneous aquatic invertebrates</x:v>
      </x:c>
      <x:c r="T222" s="32" t="n">
        <x:f>IF(O222="","",(1/'Metadata'!$B$5)^(O222-1))</x:f>
        <x:v>26.915348039269166</x:v>
      </x:c>
      <x:c r="U222" s="31" t="n">
        <x:f>IF(T222="","",I222*T222)</x:f>
        <x:v>0.47626504067995173</x:v>
      </x:c>
    </x:row>
    <x:row r="223" ht="18" customHeight="1">
      <x:c r="A223" s="24" t="str">
        <x:v>EEZ_624</x:v>
      </x:c>
      <x:c r="B223" s="24" t="str">
        <x:v>Guinea-Bissau</x:v>
      </x:c>
      <x:c r="C223" s="24" t="str">
        <x:v>EEZ</x:v>
      </x:c>
      <x:c r="D223" s="30" t="n">
        <x:v>2019</x:v>
      </x:c>
      <x:c r="E223" s="24" t="str">
        <x:v>Centrophorus</x:v>
      </x:c>
      <x:c r="F223" s="24" t="str">
        <x:v>Gulper shark dogfishes</x:v>
      </x:c>
      <x:c r="G223" s="24" t="str">
        <x:v>Large sharks (&gt;=90 cm)</x:v>
      </x:c>
      <x:c r="H223" s="24" t="str">
        <x:v>Sharks &amp; rays</x:v>
      </x:c>
      <x:c r="I223" s="31" t="n">
        <x:v>0.0148409041</x:v>
      </x:c>
      <x:c r="J223" s="31" t="n">
        <x:v>0.0148409041</x:v>
      </x:c>
      <x:c r="K223" s="31" t="n">
        <x:v>0</x:v>
      </x:c>
      <x:c r="L223" s="31" t="n">
        <x:v>0.0148409041</x:v>
      </x:c>
      <x:c r="M223" s="31" t="n">
        <x:v>0</x:v>
      </x:c>
      <x:c r="N223" s="24" t="str">
        <x:v>centrophorus</x:v>
      </x:c>
      <x:c r="O223" s="32" t="n">
        <x:v>4.34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Centrophorus</x:v>
      </x:c>
      <x:c r="T223" s="32" t="n">
        <x:f>IF(O223="","",(1/'Metadata'!$B$5)^(O223-1))</x:f>
        <x:v>2187.761623949552</x:v>
      </x:c>
      <x:c r="U223" s="31" t="n">
        <x:f>IF(T223="","",I223*T223)</x:f>
        <x:v>32.46836045469556</x:v>
      </x:c>
    </x:row>
    <x:row r="224" ht="18" customHeight="1">
      <x:c r="A224" s="24" t="str">
        <x:v>EEZ_624</x:v>
      </x:c>
      <x:c r="B224" s="24" t="str">
        <x:v>Guinea-Bissau</x:v>
      </x:c>
      <x:c r="C224" s="24" t="str">
        <x:v>EEZ</x:v>
      </x:c>
      <x:c r="D224" s="30" t="n">
        <x:v>2019</x:v>
      </x:c>
      <x:c r="E224" s="24" t="str">
        <x:v>Tetrapturus pfluegeri</x:v>
      </x:c>
      <x:c r="F224" s="24" t="str">
        <x:v>Longbill spearfish</x:v>
      </x:c>
      <x:c r="G224" s="24" t="str">
        <x:v>Large pelagics (&gt;=90 cm)</x:v>
      </x:c>
      <x:c r="H224" s="24" t="str">
        <x:v>Tuna &amp; billfishes</x:v>
      </x:c>
      <x:c r="I224" s="31" t="n">
        <x:v>0.0058241547</x:v>
      </x:c>
      <x:c r="J224" s="31" t="n">
        <x:v>0.0058241547</x:v>
      </x:c>
      <x:c r="K224" s="31" t="n">
        <x:v>0</x:v>
      </x:c>
      <x:c r="L224" s="31" t="n">
        <x:v>0.0058241547</x:v>
      </x:c>
      <x:c r="M224" s="31" t="n">
        <x:v>0</x:v>
      </x:c>
      <x:c r="N224" s="24" t="str">
        <x:v>tetrapturus pfluegeri</x:v>
      </x:c>
      <x:c r="O224" s="32" t="n">
        <x:v>4.4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Tetrapturus pfluegeri</x:v>
      </x:c>
      <x:c r="T224" s="32" t="n">
        <x:f>IF(O224="","",(1/'Metadata'!$B$5)^(O224-1))</x:f>
        <x:v>2511.886431509582</x:v>
      </x:c>
      <x:c r="U224" s="31" t="n">
        <x:f>IF(T224="","",I224*T224)</x:f>
        <x:v>14.62961516594276</x:v>
      </x:c>
    </x:row>
    <x:row r="225" ht="18" customHeight="1">
      <x:c r="A225" s="24" t="str">
        <x:v>EEZ_624</x:v>
      </x:c>
      <x:c r="B225" s="24" t="str">
        <x:v>Guinea-Bissau</x:v>
      </x:c>
      <x:c r="C225" s="24" t="str">
        <x:v>EEZ</x:v>
      </x:c>
      <x:c r="D225" s="30" t="n">
        <x:v>2019</x:v>
      </x:c>
      <x:c r="E225" s="24" t="str">
        <x:v>Kajikia albida</x:v>
      </x:c>
      <x:c r="F225" s="24" t="str">
        <x:v>Atlantic white marlin</x:v>
      </x:c>
      <x:c r="G225" s="24" t="str">
        <x:v>Large pelagics (&gt;=90 cm)</x:v>
      </x:c>
      <x:c r="H225" s="24" t="str">
        <x:v>Tuna &amp; billfishes</x:v>
      </x:c>
      <x:c r="I225" s="31" t="n">
        <x:v>0.0034218174</x:v>
      </x:c>
      <x:c r="J225" s="31" t="n">
        <x:v>0.0034218174</x:v>
      </x:c>
      <x:c r="K225" s="31" t="n">
        <x:v>0</x:v>
      </x:c>
      <x:c r="L225" s="31" t="n">
        <x:v>0.0034218174</x:v>
      </x:c>
      <x:c r="M225" s="31" t="n">
        <x:v>0</x:v>
      </x:c>
      <x:c r="N225" s="24" t="str">
        <x:v>kajikia albida</x:v>
      </x:c>
      <x:c r="O225" s="32" t="n">
        <x:v>4.49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Kajikia albida</x:v>
      </x:c>
      <x:c r="T225" s="32" t="n">
        <x:f>IF(O225="","",(1/'Metadata'!$B$5)^(O225-1))</x:f>
        <x:v>3090.295432513592</x:v>
      </x:c>
      <x:c r="U225" s="31" t="n">
        <x:f>IF(T225="","",I225*T225)</x:f>
        <x:v>10.574426682115535</x:v>
      </x:c>
    </x:row>
    <x:row r="226" ht="18" customHeight="1">
      <x:c r="A226" s="24" t="str">
        <x:v>EEZ_624</x:v>
      </x:c>
      <x:c r="B226" s="24" t="str">
        <x:v>Guinea-Bissau</x:v>
      </x:c>
      <x:c r="C226" s="24" t="str">
        <x:v>EEZ</x:v>
      </x:c>
      <x:c r="D226" s="30" t="n">
        <x:v>2019</x:v>
      </x:c>
      <x:c r="E226" s="24" t="str">
        <x:v>Istiophoridae</x:v>
      </x:c>
      <x:c r="F226" s="24" t="str">
        <x:v>Billfishes</x:v>
      </x:c>
      <x:c r="G226" s="24" t="str">
        <x:v>Large pelagics (&gt;=90 cm)</x:v>
      </x:c>
      <x:c r="H226" s="24" t="str">
        <x:v>Tuna &amp; billfishes</x:v>
      </x:c>
      <x:c r="I226" s="31" t="n">
        <x:v>0.0024919616</x:v>
      </x:c>
      <x:c r="J226" s="31" t="n">
        <x:v>0.0024919616</x:v>
      </x:c>
      <x:c r="K226" s="31" t="n">
        <x:v>0</x:v>
      </x:c>
      <x:c r="L226" s="31" t="n">
        <x:v>0.0024919616</x:v>
      </x:c>
      <x:c r="M226" s="31" t="n">
        <x:v>0</x:v>
      </x:c>
      <x:c r="N226" s="24" t="str">
        <x:v>istiophoridae</x:v>
      </x:c>
      <x:c r="O226" s="32" t="n">
        <x:v>4.48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Istiophoridae</x:v>
      </x:c>
      <x:c r="T226" s="32" t="n">
        <x:f>IF(O226="","",(1/'Metadata'!$B$5)^(O226-1))</x:f>
        <x:v>3019.951720402019</x:v>
      </x:c>
      <x:c r="U226" s="31" t="n">
        <x:f>IF(T226="","",I226*T226)</x:f>
        <x:v>7.525603721095768</x:v>
      </x:c>
    </x:row>
    <x:row r="227" ht="18" customHeight="1">
      <x:c r="A227" s="24" t="str">
        <x:v>EEZ_624</x:v>
      </x:c>
      <x:c r="B227" s="24" t="str">
        <x:v>Guinea-Bissau</x:v>
      </x:c>
      <x:c r="C227" s="24" t="str">
        <x:v>EEZ</x:v>
      </x:c>
      <x:c r="D227" s="30" t="n">
        <x:v>2019</x:v>
      </x:c>
      <x:c r="E227" s="24" t="str">
        <x:v>Euthynnus alletteratus</x:v>
      </x:c>
      <x:c r="F227" s="24" t="str">
        <x:v>Little tunny </x:v>
      </x:c>
      <x:c r="G227" s="24" t="str">
        <x:v>Large pelagics (&gt;=90 cm)</x:v>
      </x:c>
      <x:c r="H227" s="24" t="str">
        <x:v>Tuna &amp; billfishes</x:v>
      </x:c>
      <x:c r="I227" s="31" t="n">
        <x:v>0.0022592675</x:v>
      </x:c>
      <x:c r="J227" s="31" t="n">
        <x:v>0.0022592675</x:v>
      </x:c>
      <x:c r="K227" s="31" t="n">
        <x:v>0</x:v>
      </x:c>
      <x:c r="L227" s="31" t="n">
        <x:v>0.0022592675</x:v>
      </x:c>
      <x:c r="M227" s="31" t="n">
        <x:v>0</x:v>
      </x:c>
      <x:c r="N227" s="24" t="str">
        <x:v>euthynnus alletteratus</x:v>
      </x:c>
      <x:c r="O227" s="32" t="n">
        <x:v>4.49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Euthynnus alletteratus</x:v>
      </x:c>
      <x:c r="T227" s="32" t="n">
        <x:f>IF(O227="","",(1/'Metadata'!$B$5)^(O227-1))</x:f>
        <x:v>3090.295432513592</x:v>
      </x:c>
      <x:c r="U227" s="31" t="n">
        <x:f>IF(T227="","",I227*T227)</x:f>
        <x:v>6.981804036076401</x:v>
      </x:c>
    </x:row>
    <x:row r="228" ht="18" customHeight="1">
      <x:c r="A228" s="24" t="str">
        <x:v>EEZ_624</x:v>
      </x:c>
      <x:c r="B228" s="24" t="str">
        <x:v>Guinea-Bissau</x:v>
      </x:c>
      <x:c r="C228" s="24" t="str">
        <x:v>EEZ</x:v>
      </x:c>
      <x:c r="D228" s="30" t="n">
        <x:v>2019</x:v>
      </x:c>
      <x:c r="E228" s="24" t="str">
        <x:v>Hexanchus griseus</x:v>
      </x:c>
      <x:c r="F228" s="24" t="str">
        <x:v>Bluntnose sixgill shark</x:v>
      </x:c>
      <x:c r="G228" s="24" t="str">
        <x:v>Large sharks (&gt;=90 cm)</x:v>
      </x:c>
      <x:c r="H228" s="24" t="str">
        <x:v>Sharks &amp; rays</x:v>
      </x:c>
      <x:c r="I228" s="31" t="n">
        <x:v>0.0005708040000000001</x:v>
      </x:c>
      <x:c r="J228" s="31" t="n">
        <x:v>0.0005708040000000001</x:v>
      </x:c>
      <x:c r="K228" s="31" t="n">
        <x:v>0</x:v>
      </x:c>
      <x:c r="L228" s="31" t="n">
        <x:v>0.0005708040000000001</x:v>
      </x:c>
      <x:c r="M228" s="31" t="n">
        <x:v>0</x:v>
      </x:c>
      <x:c r="N228" s="24" t="str">
        <x:v>hexanchus griseus</x:v>
      </x:c>
      <x:c r="O228" s="32" t="n">
        <x:v>4.48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Hexanchus griseus</x:v>
      </x:c>
      <x:c r="T228" s="32" t="n">
        <x:f>IF(O228="","",(1/'Metadata'!$B$5)^(O228-1))</x:f>
        <x:v>3019.951720402019</x:v>
      </x:c>
      <x:c r="U228" s="31" t="n">
        <x:f>IF(T228="","",I228*T228)</x:f>
        <x:v>1.7238005218123542</x:v>
      </x:c>
    </x:row>
    <x:row r="229" ht="18" customHeight="1">
      <x:c r="A229" s="24" t="str">
        <x:v>EEZ_624</x:v>
      </x:c>
      <x:c r="B229" s="24" t="str">
        <x:v>Guinea-Bissau</x:v>
      </x:c>
      <x:c r="C229" s="24" t="str">
        <x:v>EEZ</x:v>
      </x:c>
      <x:c r="D229" s="30" t="n">
        <x:v>2019</x:v>
      </x:c>
      <x:c r="E229" s="24" t="str">
        <x:v>Lutjanidae</x:v>
      </x:c>
      <x:c r="F229" s="24" t="str">
        <x:v>Snappers</x:v>
      </x:c>
      <x:c r="G229" s="24" t="str">
        <x:v>Medium reef assoc. fish (30 - 89 cm)</x:v>
      </x:c>
      <x:c r="H229" s="24" t="str">
        <x:v>Perch-likes</x:v>
      </x:c>
      <x:c r="I229" s="31" t="n">
        <x:v>0.00026301330000000003</x:v>
      </x:c>
      <x:c r="J229" s="31" t="n">
        <x:v>0.00026301330000000003</x:v>
      </x:c>
      <x:c r="K229" s="31" t="n">
        <x:v>0</x:v>
      </x:c>
      <x:c r="L229" s="31" t="n">
        <x:v>0.00026301330000000003</x:v>
      </x:c>
      <x:c r="M229" s="31" t="n">
        <x:v>0</x:v>
      </x:c>
      <x:c r="N229" s="24" t="str">
        <x:v>lutjanidae</x:v>
      </x:c>
      <x:c r="O229" s="32" t="n">
        <x:v>4.02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Lutjanidae</x:v>
      </x:c>
      <x:c r="T229" s="32" t="n">
        <x:f>IF(O229="","",(1/'Metadata'!$B$5)^(O229-1))</x:f>
        <x:v>1047.1285480508984</x:v>
      </x:c>
      <x:c r="U229" s="31" t="n">
        <x:f>IF(T229="","",I229*T229)</x:f>
        <x:v>0.2754087349470754</x:v>
      </x:c>
    </x:row>
    <x:row r="230" ht="18" customHeight="1">
      <x:c r="A230" s="24" t="str">
        <x:v>EEZ_624</x:v>
      </x:c>
      <x:c r="B230" s="24" t="str">
        <x:v>Guinea-Bissau</x:v>
      </x:c>
      <x:c r="C230" s="24" t="str">
        <x:v>EEZ</x:v>
      </x:c>
      <x:c r="D230" s="30" t="n">
        <x:v>2019</x:v>
      </x:c>
      <x:c r="E230" s="24" t="str">
        <x:v>Carcharhinus falciformis</x:v>
      </x:c>
      <x:c r="F230" s="24" t="str">
        <x:v>Silky shark</x:v>
      </x:c>
      <x:c r="G230" s="24" t="str">
        <x:v>Large sharks (&gt;=90 cm)</x:v>
      </x:c>
      <x:c r="H230" s="24" t="str">
        <x:v>Sharks &amp; rays</x:v>
      </x:c>
      <x:c r="I230" s="31" t="n">
        <x:v>0.0000181435</x:v>
      </x:c>
      <x:c r="J230" s="31" t="n">
        <x:v>0.0000181435</x:v>
      </x:c>
      <x:c r="K230" s="31" t="n">
        <x:v>0</x:v>
      </x:c>
      <x:c r="L230" s="31" t="n">
        <x:v>0.0000181435</x:v>
      </x:c>
      <x:c r="M230" s="31" t="n">
        <x:v>0</x:v>
      </x:c>
      <x:c r="N230" s="24" t="str">
        <x:v>carcharhinus falciformis</x:v>
      </x:c>
      <x:c r="O230" s="32" t="n">
        <x:v>4.51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Carcharhinus falciformis</x:v>
      </x:c>
      <x:c r="T230" s="32" t="n">
        <x:f>IF(O230="","",(1/'Metadata'!$B$5)^(O230-1))</x:f>
        <x:v>3235.936569296281</x:v>
      </x:c>
      <x:c r="U230" s="31" t="n">
        <x:f>IF(T230="","",I230*T230)</x:f>
        <x:v>0.05871121514502708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95be6cd6b1f4b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52.529000159599995</x:v>
      </x:c>
      <x:c r="E2" s="31" t="n">
        <x:v>52.529000159599995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IF(C2=0,"",SUMIF('Species'!$H$2:$H$230,A2,'Species'!$U$2:$U$230))</x:f>
        <x:v>6767.0460906493245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6767.0460906493245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2534.9717594143003</x:v>
      </x:c>
      <x:c r="E3" s="31" t="n">
        <x:v>2534.9717594143003</x:v>
      </x:c>
      <x:c r="F3" s="32" t="n">
        <x:v>0</x:v>
      </x:c>
      <x:c r="G3" s="34" t="n">
        <x:v>1</x:v>
      </x:c>
      <x:c r="H3" s="32" t="n">
        <x:f>IF(E3=0,"",I3/E3)</x:f>
        <x:v>2841.9692688721457</x:v>
      </x:c>
      <x:c r="I3" s="31" t="n">
        <x:f>IF(C3=0,"",SUMIF('Species'!$H$2:$H$230,A3,'Species'!$U$2:$U$230))</x:f>
        <x:v>7204311.837714196</x:v>
      </x:c>
      <x:c r="J3" s="32" t="n">
        <x:v>4.420183004942669</x:v>
      </x:c>
      <x:c r="K3" s="32" t="n">
        <x:f>IF(J3="","",(1/'Metadata'!$B$5)^(J3-1))</x:f>
        <x:v>2631.3765794886012</x:v>
      </x:c>
      <x:c r="L3" s="31" t="n">
        <x:f>IF(E3=0,"",E3*K3)</x:f>
        <x:v>6670465.3173878025</x:v>
      </x:c>
      <x:c r="M3" s="31" t="n">
        <x:f>IF(E3=0,"",I3-L3)</x:f>
        <x:v>533846.5203263937</x:v>
      </x:c>
      <x:c r="N3" s="32" t="n">
        <x:f>IF(L3=0,"",I3/L3)</x:f>
        <x:v>1.0800313763621294</x:v>
      </x:c>
      <x:c r="O3" s="34" t="n">
        <x:f>IF(L3=0,"",M3/L3)</x:f>
        <x:v>0.08003137636212933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1603.2712868764</x:v>
      </x:c>
      <x:c r="E4" s="31" t="n">
        <x:v>1603.2712868764</x:v>
      </x:c>
      <x:c r="F4" s="32" t="n">
        <x:v>0</x:v>
      </x:c>
      <x:c r="G4" s="34" t="n">
        <x:v>1</x:v>
      </x:c>
      <x:c r="H4" s="32" t="n">
        <x:f>IF(E4=0,"",I4/E4)</x:f>
        <x:v>178.71657648064874</x:v>
      </x:c>
      <x:c r="I4" s="31" t="n">
        <x:f>IF(C4=0,"",SUMIF('Species'!$H$2:$H$230,A4,'Species'!$U$2:$U$230))</x:f>
        <x:v>286531.15556027426</x:v>
      </x:c>
      <x:c r="J4" s="32" t="n">
        <x:v>3.199514884142515</x:v>
      </x:c>
      <x:c r="K4" s="32" t="n">
        <x:f>IF(J4="","",(1/'Metadata'!$B$5)^(J4-1))</x:f>
        <x:v>158.31238226037573</x:v>
      </x:c>
      <x:c r="L4" s="31" t="n">
        <x:f>IF(E4=0,"",E4*K4)</x:f>
        <x:v>253817.69683506113</x:v>
      </x:c>
      <x:c r="M4" s="31" t="n">
        <x:f>IF(E4=0,"",I4-L4)</x:f>
        <x:v>32713.45872521313</x:v>
      </x:c>
      <x:c r="N4" s="32" t="n">
        <x:f>IF(L4=0,"",I4/L4)</x:f>
        <x:v>1.1288856495552846</x:v>
      </x:c>
      <x:c r="O4" s="34" t="n">
        <x:f>IF(L4=0,"",M4/L4)</x:f>
        <x:v>0.1288856495552845</x:v>
      </x:c>
    </x:row>
    <x:row r="5" ht="18" customHeight="1">
      <x:c r="A5" s="24" t="str">
        <x:v>Flatfishes</x:v>
      </x:c>
      <x:c r="B5" s="33" t="n">
        <x:v>10</x:v>
      </x:c>
      <x:c r="C5" s="33" t="n">
        <x:v>10</x:v>
      </x:c>
      <x:c r="D5" s="31" t="n">
        <x:v>47274.23528376479</x:v>
      </x:c>
      <x:c r="E5" s="31" t="n">
        <x:v>47274.23528376479</x:v>
      </x:c>
      <x:c r="F5" s="32" t="n">
        <x:v>0</x:v>
      </x:c>
      <x:c r="G5" s="34" t="n">
        <x:v>1</x:v>
      </x:c>
      <x:c r="H5" s="32" t="n">
        <x:f>IF(E5=0,"",I5/E5)</x:f>
        <x:v>346.49458084574627</x:v>
      </x:c>
      <x:c r="I5" s="31" t="n">
        <x:f>IF(C5=0,"",SUMIF('Species'!$H$2:$H$230,A5,'Species'!$U$2:$U$230))</x:f>
        <x:v>16380266.33945127</x:v>
      </x:c>
      <x:c r="J5" s="32" t="n">
        <x:v>3.5253447434689615</x:v>
      </x:c>
      <x:c r="K5" s="32" t="n">
        <x:f>IF(J5="","",(1/'Metadata'!$B$5)^(J5-1))</x:f>
        <x:v>335.2314406783825</x:v>
      </x:c>
      <x:c r="L5" s="31" t="n">
        <x:f>IF(E5=0,"",E5*K5)</x:f>
        <x:v>15847810.001145294</x:v>
      </x:c>
      <x:c r="M5" s="31" t="n">
        <x:f>IF(E5=0,"",I5-L5)</x:f>
        <x:v>532456.3383059762</x:v>
      </x:c>
      <x:c r="N5" s="32" t="n">
        <x:f>IF(L5=0,"",I5/L5)</x:f>
        <x:v>1.0335981020890266</x:v>
      </x:c>
      <x:c r="O5" s="34" t="n">
        <x:f>IF(L5=0,"",M5/L5)</x:f>
        <x:v>0.033598102089026596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24829.5706282887</x:v>
      </x:c>
      <x:c r="E6" s="31" t="n">
        <x:v>24829.5706282887</x:v>
      </x:c>
      <x:c r="F6" s="32" t="n">
        <x:v>0</x:v>
      </x:c>
      <x:c r="G6" s="34" t="n">
        <x:v>1</x:v>
      </x:c>
      <x:c r="H6" s="32" t="n">
        <x:f>IF(E6=0,"",I6/E6)</x:f>
        <x:v>93.13333511466965</x:v>
      </x:c>
      <x:c r="I6" s="31" t="n">
        <x:f>IF(C6=0,"",SUMIF('Species'!$H$2:$H$230,A6,'Species'!$U$2:$U$230))</x:f>
        <x:v>2312460.72207777</x:v>
      </x:c>
      <x:c r="J6" s="32" t="n">
        <x:v>2.832529891910557</x:v>
      </x:c>
      <x:c r="K6" s="32" t="n">
        <x:f>IF(J6="","",(1/'Metadata'!$B$5)^(J6-1))</x:f>
        <x:v>68.00328491475354</x:v>
      </x:c>
      <x:c r="L6" s="31" t="n">
        <x:f>IF(E6=0,"",E6*K6)</x:f>
        <x:v>1688492.3657465125</x:v>
      </x:c>
      <x:c r="M6" s="31" t="n">
        <x:f>IF(E6=0,"",I6-L6)</x:f>
        <x:v>623968.3563312576</x:v>
      </x:c>
      <x:c r="N6" s="32" t="n">
        <x:f>IF(L6=0,"",I6/L6)</x:f>
        <x:v>1.3695417101014786</x:v>
      </x:c>
      <x:c r="O6" s="34" t="n">
        <x:f>IF(L6=0,"",M6/L6)</x:f>
        <x:v>0.3695417101014787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9101.076104211501</x:v>
      </x:c>
      <x:c r="E7" s="31" t="n">
        <x:v>9101.076104211501</x:v>
      </x:c>
      <x:c r="F7" s="32" t="n">
        <x:v>0</x:v>
      </x:c>
      <x:c r="G7" s="34" t="n">
        <x:v>1</x:v>
      </x:c>
      <x:c r="H7" s="32" t="n">
        <x:f>IF(E7=0,"",I7/E7)</x:f>
        <x:v>11.249148951536261</x:v>
      </x:c>
      <x:c r="I7" s="31" t="n">
        <x:f>IF(C7=0,"",SUMIF('Species'!$H$2:$H$230,A7,'Species'!$U$2:$U$230))</x:f>
        <x:v>102379.36071554253</x:v>
      </x:c>
      <x:c r="J7" s="32" t="n">
        <x:v>2.033096582695222</x:v>
      </x:c>
      <x:c r="K7" s="32" t="n">
        <x:f>IF(J7="","",(1/'Metadata'!$B$5)^(J7-1))</x:f>
        <x:v>10.791866957385679</x:v>
      </x:c>
      <x:c r="L7" s="31" t="n">
        <x:f>IF(E7=0,"",E7*K7)</x:f>
        <x:v>98217.60248569248</x:v>
      </x:c>
      <x:c r="M7" s="31" t="n">
        <x:f>IF(E7=0,"",I7-L7)</x:f>
        <x:v>4161.758229850049</x:v>
      </x:c>
      <x:c r="N7" s="32" t="n">
        <x:f>IF(L7=0,"",I7/L7)</x:f>
        <x:v>1.0423728346500445</x:v>
      </x:c>
      <x:c r="O7" s="34" t="n">
        <x:f>IF(L7=0,"",M7/L7)</x:f>
        <x:v>0.04237283465004452</x:v>
      </x:c>
    </x:row>
    <x:row r="8" ht="18" customHeight="1">
      <x:c r="A8" s="24" t="str">
        <x:v>Other fishes &amp; inverts</x:v>
      </x:c>
      <x:c r="B8" s="33" t="n">
        <x:v>32</x:v>
      </x:c>
      <x:c r="C8" s="33" t="n">
        <x:v>32</x:v>
      </x:c>
      <x:c r="D8" s="31" t="n">
        <x:v>682933.2960532362</x:v>
      </x:c>
      <x:c r="E8" s="31" t="n">
        <x:v>682933.2960532362</x:v>
      </x:c>
      <x:c r="F8" s="32" t="n">
        <x:v>0</x:v>
      </x:c>
      <x:c r="G8" s="34" t="n">
        <x:v>1</x:v>
      </x:c>
      <x:c r="H8" s="32" t="n">
        <x:f>IF(E8=0,"",I8/E8)</x:f>
        <x:v>264.8528884495915</x:v>
      </x:c>
      <x:c r="I8" s="31" t="n">
        <x:f>IF(C8=0,"",SUMIF('Species'!$H$2:$H$230,A8,'Species'!$U$2:$U$230))</x:f>
        <x:v>180876856.0780996</x:v>
      </x:c>
      <x:c r="J8" s="32" t="n">
        <x:v>3.3357951936468537</x:v>
      </x:c>
      <x:c r="K8" s="32" t="n">
        <x:f>IF(J8="","",(1/'Metadata'!$B$5)^(J8-1))</x:f>
        <x:v>216.66820911279967</x:v>
      </x:c>
      <x:c r="L8" s="31" t="n">
        <x:f>IF(E8=0,"",E8*K8)</x:f>
        <x:v>147969934.1993561</x:v>
      </x:c>
      <x:c r="M8" s="31" t="n">
        <x:f>IF(E8=0,"",I8-L8)</x:f>
        <x:v>32906921.8787435</x:v>
      </x:c>
      <x:c r="N8" s="32" t="n">
        <x:f>IF(L8=0,"",I8/L8)</x:f>
        <x:v>1.2223892445232072</x:v>
      </x:c>
      <x:c r="O8" s="34" t="n">
        <x:f>IF(L8=0,"",M8/L8)</x:f>
        <x:v>0.2223892445232073</x:v>
      </x:c>
    </x:row>
    <x:row r="9" ht="18" customHeight="1">
      <x:c r="A9" s="24" t="str">
        <x:v>Perch-likes</x:v>
      </x:c>
      <x:c r="B9" s="33" t="n">
        <x:v>102</x:v>
      </x:c>
      <x:c r="C9" s="33" t="n">
        <x:v>102</x:v>
      </x:c>
      <x:c r="D9" s="31" t="n">
        <x:v>345005.84673590277</x:v>
      </x:c>
      <x:c r="E9" s="31" t="n">
        <x:v>345005.84673590277</x:v>
      </x:c>
      <x:c r="F9" s="32" t="n">
        <x:v>0</x:v>
      </x:c>
      <x:c r="G9" s="34" t="n">
        <x:v>1</x:v>
      </x:c>
      <x:c r="H9" s="32" t="n">
        <x:f>IF(E9=0,"",I9/E9)</x:f>
        <x:v>807.7651988922399</x:v>
      </x:c>
      <x:c r="I9" s="31" t="n">
        <x:f>IF(C9=0,"",SUMIF('Species'!$H$2:$H$230,A9,'Species'!$U$2:$U$230))</x:f>
        <x:v>278683716.40761214</x:v>
      </x:c>
      <x:c r="J9" s="32" t="n">
        <x:v>3.736264040298324</x:v>
      </x:c>
      <x:c r="K9" s="32" t="n">
        <x:f>IF(J9="","",(1/'Metadata'!$B$5)^(J9-1))</x:f>
        <x:v>544.8337976352806</x:v>
      </x:c>
      <x:c r="L9" s="31" t="n">
        <x:f>IF(E9=0,"",E9*K9)</x:f>
        <x:v>187970845.6834975</x:v>
      </x:c>
      <x:c r="M9" s="31" t="n">
        <x:f>IF(E9=0,"",I9-L9)</x:f>
        <x:v>90712870.72411466</x:v>
      </x:c>
      <x:c r="N9" s="32" t="n">
        <x:f>IF(L9=0,"",I9/L9)</x:f>
        <x:v>1.4825901080258779</x:v>
      </x:c>
      <x:c r="O9" s="34" t="n">
        <x:f>IF(L9=0,"",M9/L9)</x:f>
        <x:v>0.48259010802587776</x:v>
      </x:c>
    </x:row>
    <x:row r="10" ht="18" customHeight="1">
      <x:c r="A10" s="24" t="str">
        <x:v>Scorpionfishes</x:v>
      </x:c>
      <x:c r="B10" s="33" t="n">
        <x:v>6</x:v>
      </x:c>
      <x:c r="C10" s="33" t="n">
        <x:v>6</x:v>
      </x:c>
      <x:c r="D10" s="31" t="n">
        <x:v>972.9343746182</x:v>
      </x:c>
      <x:c r="E10" s="31" t="n">
        <x:v>972.9343746182</x:v>
      </x:c>
      <x:c r="F10" s="32" t="n">
        <x:v>0</x:v>
      </x:c>
      <x:c r="G10" s="34" t="n">
        <x:v>1</x:v>
      </x:c>
      <x:c r="H10" s="32" t="n">
        <x:f>IF(E10=0,"",I10/E10)</x:f>
        <x:v>673.9376505970846</x:v>
      </x:c>
      <x:c r="I10" s="31" t="n">
        <x:f>IF(C10=0,"",SUMIF('Species'!$H$2:$H$230,A10,'Species'!$U$2:$U$230))</x:f>
        <x:v>655697.1066153335</x:v>
      </x:c>
      <x:c r="J10" s="32" t="n">
        <x:v>3.8224383862033675</x:v>
      </x:c>
      <x:c r="K10" s="32" t="n">
        <x:f>IF(J10="","",(1/'Metadata'!$B$5)^(J10-1))</x:f>
        <x:v>664.4134052203889</x:v>
      </x:c>
      <x:c r="L10" s="31" t="n">
        <x:f>IF(E10=0,"",E10*K10)</x:f>
        <x:v>646430.6408960477</x:v>
      </x:c>
      <x:c r="M10" s="31" t="n">
        <x:f>IF(E10=0,"",I10-L10)</x:f>
        <x:v>9266.46571928577</x:v>
      </x:c>
      <x:c r="N10" s="32" t="n">
        <x:f>IF(L10=0,"",I10/L10)</x:f>
        <x:v>1.0143348182048442</x:v>
      </x:c>
      <x:c r="O10" s="34" t="n">
        <x:f>IF(L10=0,"",M10/L10)</x:f>
        <x:v>0.014334818204844203</x:v>
      </x:c>
    </x:row>
    <x:row r="11" ht="18" customHeight="1">
      <x:c r="A11" s="24" t="str">
        <x:v>Sharks &amp; rays</x:v>
      </x:c>
      <x:c r="B11" s="33" t="n">
        <x:v>33</x:v>
      </x:c>
      <x:c r="C11" s="33" t="n">
        <x:v>33</x:v>
      </x:c>
      <x:c r="D11" s="31" t="n">
        <x:v>15983.4182644897</x:v>
      </x:c>
      <x:c r="E11" s="31" t="n">
        <x:v>15983.4182644897</x:v>
      </x:c>
      <x:c r="F11" s="32" t="n">
        <x:v>0</x:v>
      </x:c>
      <x:c r="G11" s="34" t="n">
        <x:v>1</x:v>
      </x:c>
      <x:c r="H11" s="32" t="n">
        <x:f>IF(E11=0,"",I11/E11)</x:f>
        <x:v>5544.388675197424</x:v>
      </x:c>
      <x:c r="I11" s="31" t="n">
        <x:f>IF(C11=0,"",SUMIF('Species'!$H$2:$H$230,A11,'Species'!$U$2:$U$230))</x:f>
        <x:v>88618283.21658036</x:v>
      </x:c>
      <x:c r="J11" s="32" t="n">
        <x:v>4.602381315767192</x:v>
      </x:c>
      <x:c r="K11" s="32" t="n">
        <x:f>IF(J11="","",(1/'Metadata'!$B$5)^(J11-1))</x:f>
        <x:v>4002.9606025607527</x:v>
      </x:c>
      <x:c r="L11" s="31" t="n">
        <x:f>IF(E11=0,"",E11*K11)</x:f>
        <x:v>63980993.60700223</x:v>
      </x:c>
      <x:c r="M11" s="31" t="n">
        <x:f>IF(E11=0,"",I11-L11)</x:f>
        <x:v>24637289.609578133</x:v>
      </x:c>
      <x:c r="N11" s="32" t="n">
        <x:f>IF(L11=0,"",I11/L11)</x:f>
        <x:v>1.385072006866767</x:v>
      </x:c>
      <x:c r="O11" s="34" t="n">
        <x:f>IF(L11=0,"",M11/L11)</x:f>
        <x:v>0.3850720068667669</x:v>
      </x:c>
    </x:row>
    <x:row r="12" ht="18" customHeight="1">
      <x:c r="A12" s="24" t="str">
        <x:v>Tuna &amp; billfishes</x:v>
      </x:c>
      <x:c r="B12" s="33" t="n">
        <x:v>18</x:v>
      </x:c>
      <x:c r="C12" s="33" t="n">
        <x:v>18</x:v>
      </x:c>
      <x:c r="D12" s="31" t="n">
        <x:v>3646.7110686251</x:v>
      </x:c>
      <x:c r="E12" s="31" t="n">
        <x:v>3646.7110686251</x:v>
      </x:c>
      <x:c r="F12" s="32" t="n">
        <x:v>0</x:v>
      </x:c>
      <x:c r="G12" s="34" t="n">
        <x:v>1</x:v>
      </x:c>
      <x:c r="H12" s="32" t="n">
        <x:f>IF(E12=0,"",I12/E12)</x:f>
        <x:v>2408.443294143863</x:v>
      </x:c>
      <x:c r="I12" s="31" t="n">
        <x:f>IF(C12=0,"",SUMIF('Species'!$H$2:$H$230,A12,'Species'!$U$2:$U$230))</x:f>
        <x:v>8782896.818910323</x:v>
      </x:c>
      <x:c r="J12" s="32" t="n">
        <x:v>4.374083718152148</x:v>
      </x:c>
      <x:c r="K12" s="32" t="n">
        <x:f>IF(J12="","",(1/'Metadata'!$B$5)^(J12-1))</x:f>
        <x:v>2366.3758154552975</x:v>
      </x:c>
      <x:c r="L12" s="31" t="n">
        <x:f>IF(E12=0,"",E12*K12)</x:f>
        <x:v>8629488.87874758</x:v>
      </x:c>
      <x:c r="M12" s="31" t="n">
        <x:f>IF(E12=0,"",I12-L12)</x:f>
        <x:v>153407.9401627425</x:v>
      </x:c>
      <x:c r="N12" s="32" t="n">
        <x:f>IF(L12=0,"",I12/L12)</x:f>
        <x:v>1.0177771757190104</x:v>
      </x:c>
      <x:c r="O12" s="34" t="n">
        <x:f>IF(L12=0,"",M12/L12)</x:f>
        <x:v>0.017777175719010486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d9f97baa0d0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9</x:v>
      </x:c>
      <x:c r="C2" s="33" t="n">
        <x:v>9</x:v>
      </x:c>
      <x:c r="D2" s="31" t="n">
        <x:v>43928.66250035471</x:v>
      </x:c>
      <x:c r="E2" s="31" t="n">
        <x:v>43928.66250035471</x:v>
      </x:c>
      <x:c r="F2" s="32" t="n">
        <x:v>0</x:v>
      </x:c>
      <x:c r="G2" s="34" t="n">
        <x:v>1</x:v>
      </x:c>
      <x:c r="H2" s="32" t="n">
        <x:f>IF(E2=0,"",I2/E2)</x:f>
        <x:v>504.3322106466672</x:v>
      </x:c>
      <x:c r="I2" s="31" t="n">
        <x:f>IF(C2=0,"",SUMIF('Species'!$G$2:$G$230,A2,'Species'!$U$2:$U$230))</x:f>
        <x:v>22154639.46955524</x:v>
      </x:c>
      <x:c r="J2" s="32" t="n">
        <x:v>3.699152798004352</x:v>
      </x:c>
      <x:c r="K2" s="32" t="n">
        <x:f>IF(J2="","",(1/'Metadata'!$B$5)^(J2-1))</x:f>
        <x:v>500.2104932828899</x:v>
      </x:c>
      <x:c r="L2" s="31" t="n">
        <x:f>IF(E2=0,"",E2*K2)</x:f>
        <x:v>21973577.938560016</x:v>
      </x:c>
      <x:c r="M2" s="31" t="n">
        <x:f>IF(E2=0,"",I2-L2)</x:f>
        <x:v>181061.53099522367</x:v>
      </x:c>
      <x:c r="N2" s="32" t="n">
        <x:f>IF(L2=0,"",I2/L2)</x:f>
        <x:v>1.0082399658126449</x:v>
      </x:c>
      <x:c r="O2" s="34" t="n">
        <x:f>IF(L2=0,"",M2/L2)</x:f>
        <x:v>0.008239965812644943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1.5113541818</x:v>
      </x:c>
      <x:c r="E3" s="31" t="n">
        <x:v>1.5113541818</x:v>
      </x:c>
      <x:c r="F3" s="32" t="n">
        <x:v>0</x:v>
      </x:c>
      <x:c r="G3" s="34" t="n">
        <x:v>1</x:v>
      </x:c>
      <x:c r="H3" s="32" t="n">
        <x:f>IF(E3=0,"",I3/E3)</x:f>
        <x:v>1380.3842646028838</x:v>
      </x:c>
      <x:c r="I3" s="31" t="n">
        <x:f>IF(C3=0,"",SUMIF('Species'!$G$2:$G$230,A3,'Species'!$U$2:$U$230))</x:f>
        <x:v>2086.2495307984864</x:v>
      </x:c>
      <x:c r="J3" s="32" t="n">
        <x:v>4.14</x:v>
      </x:c>
      <x:c r="K3" s="32" t="n">
        <x:f>IF(J3="","",(1/'Metadata'!$B$5)^(J3-1))</x:f>
        <x:v>1380.3842646028838</x:v>
      </x:c>
      <x:c r="L3" s="31" t="n">
        <x:f>IF(E3=0,"",E3*K3)</x:f>
        <x:v>2086.2495307984864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3.1292459573</x:v>
      </x:c>
      <x:c r="E4" s="31" t="n">
        <x:v>3.1292459573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IF(C4=0,"",SUMIF('Species'!$G$2:$G$230,A4,'Species'!$U$2:$U$230))</x:f>
        <x:v>6846.044217280219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6846.044217280219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9</x:v>
      </x:c>
      <x:c r="C5" s="33" t="n">
        <x:v>9</x:v>
      </x:c>
      <x:c r="D5" s="31" t="n">
        <x:v>49915.5648360705</x:v>
      </x:c>
      <x:c r="E5" s="31" t="n">
        <x:v>49915.5648360705</x:v>
      </x:c>
      <x:c r="F5" s="32" t="n">
        <x:v>0</x:v>
      </x:c>
      <x:c r="G5" s="34" t="n">
        <x:v>1</x:v>
      </x:c>
      <x:c r="H5" s="32" t="n">
        <x:f>IF(E5=0,"",I5/E5)</x:f>
        <x:v>2362.3579738926264</x:v>
      </x:c>
      <x:c r="I5" s="31" t="n">
        <x:f>IF(C5=0,"",SUMIF('Species'!$G$2:$G$230,A5,'Species'!$U$2:$U$230))</x:f>
        <x:v>117918432.61184554</x:v>
      </x:c>
      <x:c r="J5" s="32" t="n">
        <x:v>4.350655298883664</x:v>
      </x:c>
      <x:c r="K5" s="32" t="n">
        <x:f>IF(J5="","",(1/'Metadata'!$B$5)^(J5-1))</x:f>
        <x:v>2242.101653102303</x:v>
      </x:c>
      <x:c r="L5" s="31" t="n">
        <x:f>IF(E5=0,"",E5*K5)</x:f>
        <x:v>111915770.43448885</x:v>
      </x:c>
      <x:c r="M5" s="31" t="n">
        <x:f>IF(E5=0,"",I5-L5)</x:f>
        <x:v>6002662.17735669</x:v>
      </x:c>
      <x:c r="N5" s="32" t="n">
        <x:f>IF(L5=0,"",I5/L5)</x:f>
        <x:v>1.0536355345993924</x:v>
      </x:c>
      <x:c r="O5" s="34" t="n">
        <x:f>IF(L5=0,"",M5/L5)</x:f>
        <x:v>0.05363553459939246</x:v>
      </x:c>
    </x:row>
    <x:row r="6" ht="18" customHeight="1">
      <x:c r="A6" s="24" t="str">
        <x:v>Large demersals (&gt;=90 cm)</x:v>
      </x:c>
      <x:c r="B6" s="33" t="n">
        <x:v>7</x:v>
      </x:c>
      <x:c r="C6" s="33" t="n">
        <x:v>7</x:v>
      </x:c>
      <x:c r="D6" s="31" t="n">
        <x:v>41031.4058254186</x:v>
      </x:c>
      <x:c r="E6" s="31" t="n">
        <x:v>41031.4058254186</x:v>
      </x:c>
      <x:c r="F6" s="32" t="n">
        <x:v>0</x:v>
      </x:c>
      <x:c r="G6" s="34" t="n">
        <x:v>1</x:v>
      </x:c>
      <x:c r="H6" s="32" t="n">
        <x:f>IF(E6=0,"",I6/E6)</x:f>
        <x:v>623.6897936495179</x:v>
      </x:c>
      <x:c r="I6" s="31" t="n">
        <x:f>IF(C6=0,"",SUMIF('Species'!$G$2:$G$230,A6,'Species'!$U$2:$U$230))</x:f>
        <x:v>25590869.032404955</x:v>
      </x:c>
      <x:c r="J6" s="32" t="n">
        <x:v>3.7938427331186095</x:v>
      </x:c>
      <x:c r="K6" s="32" t="n">
        <x:f>IF(J6="","",(1/'Metadata'!$B$5)^(J6-1))</x:f>
        <x:v>622.0749783520232</x:v>
      </x:c>
      <x:c r="L6" s="31" t="n">
        <x:f>IF(E6=0,"",E6*K6)</x:f>
        <x:v>25524610.890600357</x:v>
      </x:c>
      <x:c r="M6" s="31" t="n">
        <x:f>IF(E6=0,"",I6-L6)</x:f>
        <x:v>66258.14180459827</x:v>
      </x:c>
      <x:c r="N6" s="32" t="n">
        <x:f>IF(L6=0,"",I6/L6)</x:f>
        <x:v>1.002595853158686</x:v>
      </x:c>
      <x:c r="O6" s="34" t="n">
        <x:f>IF(L6=0,"",M6/L6)</x:f>
        <x:v>0.0025958531586860885</x:v>
      </x:c>
    </x:row>
    <x:row r="7" ht="18" customHeight="1">
      <x:c r="A7" s="24" t="str">
        <x:v>Large pelagics (&gt;=90 cm)</x:v>
      </x:c>
      <x:c r="B7" s="33" t="n">
        <x:v>23</x:v>
      </x:c>
      <x:c r="C7" s="33" t="n">
        <x:v>23</x:v>
      </x:c>
      <x:c r="D7" s="31" t="n">
        <x:v>78402.36942538146</x:v>
      </x:c>
      <x:c r="E7" s="31" t="n">
        <x:v>78402.36942538146</x:v>
      </x:c>
      <x:c r="F7" s="32" t="n">
        <x:v>0</x:v>
      </x:c>
      <x:c r="G7" s="34" t="n">
        <x:v>1</x:v>
      </x:c>
      <x:c r="H7" s="32" t="n">
        <x:f>IF(E7=0,"",I7/E7)</x:f>
        <x:v>1062.9831716905712</x:v>
      </x:c>
      <x:c r="I7" s="31" t="n">
        <x:f>IF(C7=0,"",SUMIF('Species'!$G$2:$G$230,A7,'Species'!$U$2:$U$230))</x:f>
        <x:v>83340399.31984785</x:v>
      </x:c>
      <x:c r="J7" s="32" t="n">
        <x:v>3.997906228728865</x:v>
      </x:c>
      <x:c r="K7" s="32" t="n">
        <x:f>IF(J7="","",(1/'Metadata'!$B$5)^(J7-1))</x:f>
        <x:v>995.1905162670507</x:v>
      </x:c>
      <x:c r="L7" s="31" t="n">
        <x:f>IF(E7=0,"",E7*K7)</x:f>
        <x:v>78025294.5050054</x:v>
      </x:c>
      <x:c r="M7" s="31" t="n">
        <x:f>IF(E7=0,"",I7-L7)</x:f>
        <x:v>5315104.814842448</x:v>
      </x:c>
      <x:c r="N7" s="32" t="n">
        <x:f>IF(L7=0,"",I7/L7)</x:f>
        <x:v>1.0681202787962751</x:v>
      </x:c>
      <x:c r="O7" s="34" t="n">
        <x:f>IF(L7=0,"",M7/L7)</x:f>
        <x:v>0.0681202787962752</x:v>
      </x:c>
    </x:row>
    <x:row r="8" ht="18" customHeight="1">
      <x:c r="A8" s="24" t="str">
        <x:v>Large rays (&gt;=90 cm)</x:v>
      </x:c>
      <x:c r="B8" s="33" t="n">
        <x:v>5</x:v>
      </x:c>
      <x:c r="C8" s="33" t="n">
        <x:v>5</x:v>
      </x:c>
      <x:c r="D8" s="31" t="n">
        <x:v>56.97201349930001</x:v>
      </x:c>
      <x:c r="E8" s="31" t="n">
        <x:v>56.97201349930001</x:v>
      </x:c>
      <x:c r="F8" s="32" t="n">
        <x:v>0</x:v>
      </x:c>
      <x:c r="G8" s="34" t="n">
        <x:v>1</x:v>
      </x:c>
      <x:c r="H8" s="32" t="n">
        <x:f>IF(E8=0,"",I8/E8)</x:f>
        <x:v>294.7013190332882</x:v>
      </x:c>
      <x:c r="I8" s="31" t="n">
        <x:f>IF(C8=0,"",SUMIF('Species'!$G$2:$G$230,A8,'Species'!$U$2:$U$230))</x:f>
        <x:v>16789.727526226015</x:v>
      </x:c>
      <x:c r="J8" s="32" t="n">
        <x:v>3.434364994447441</x:v>
      </x:c>
      <x:c r="K8" s="32" t="n">
        <x:f>IF(J8="","",(1/'Metadata'!$B$5)^(J8-1))</x:f>
        <x:v>271.87232076072894</x:v>
      </x:c>
      <x:c r="L8" s="31" t="n">
        <x:f>IF(E8=0,"",E8*K8)</x:f>
        <x:v>15489.113528466272</x:v>
      </x:c>
      <x:c r="M8" s="31" t="n">
        <x:f>IF(E8=0,"",I8-L8)</x:f>
        <x:v>1300.6139977597431</x:v>
      </x:c>
      <x:c r="N8" s="32" t="n">
        <x:f>IF(L8=0,"",I8/L8)</x:f>
        <x:v>1.083969556770918</x:v>
      </x:c>
      <x:c r="O8" s="34" t="n">
        <x:f>IF(L8=0,"",M8/L8)</x:f>
        <x:v>0.08396955677091802</x:v>
      </x:c>
    </x:row>
    <x:row r="9" ht="18" customHeight="1">
      <x:c r="A9" s="24" t="str">
        <x:v>Large reef assoc. fish (&gt;=90 cm)</x:v>
      </x:c>
      <x:c r="B9" s="33" t="n">
        <x:v>11</x:v>
      </x:c>
      <x:c r="C9" s="33" t="n">
        <x:v>11</x:v>
      </x:c>
      <x:c r="D9" s="31" t="n">
        <x:v>2414.1429236002996</x:v>
      </x:c>
      <x:c r="E9" s="31" t="n">
        <x:v>2414.1429236002996</x:v>
      </x:c>
      <x:c r="F9" s="32" t="n">
        <x:v>0</x:v>
      </x:c>
      <x:c r="G9" s="34" t="n">
        <x:v>1</x:v>
      </x:c>
      <x:c r="H9" s="32" t="n">
        <x:f>IF(E9=0,"",I9/E9)</x:f>
        <x:v>1193.4209884146737</x:v>
      </x:c>
      <x:c r="I9" s="31" t="n">
        <x:f>IF(C9=0,"",SUMIF('Species'!$G$2:$G$230,A9,'Species'!$U$2:$U$230))</x:f>
        <x:v>2881088.83405736</x:v>
      </x:c>
      <x:c r="J9" s="32" t="n">
        <x:v>4.027123643883644</x:v>
      </x:c>
      <x:c r="K9" s="32" t="n">
        <x:f>IF(J9="","",(1/'Metadata'!$B$5)^(J9-1))</x:f>
        <x:v>1064.446023471891</x:v>
      </x:c>
      <x:c r="L9" s="31" t="n">
        <x:f>IF(E9=0,"",E9*K9)</x:f>
        <x:v>2569724.835119144</x:v>
      </x:c>
      <x:c r="M9" s="31" t="n">
        <x:f>IF(E9=0,"",I9-L9)</x:f>
        <x:v>311363.9989382159</x:v>
      </x:c>
      <x:c r="N9" s="32" t="n">
        <x:f>IF(L9=0,"",I9/L9)</x:f>
        <x:v>1.1211662800168174</x:v>
      </x:c>
      <x:c r="O9" s="34" t="n">
        <x:f>IF(L9=0,"",M9/L9)</x:f>
        <x:v>0.12116628001681731</x:v>
      </x:c>
    </x:row>
    <x:row r="10" ht="18" customHeight="1">
      <x:c r="A10" s="24" t="str">
        <x:v>Large sharks (&gt;=90 cm)</x:v>
      </x:c>
      <x:c r="B10" s="33" t="n">
        <x:v>24</x:v>
      </x:c>
      <x:c r="C10" s="33" t="n">
        <x:v>24</x:v>
      </x:c>
      <x:c r="D10" s="31" t="n">
        <x:v>14786.5165682213</x:v>
      </x:c>
      <x:c r="E10" s="31" t="n">
        <x:v>14786.5165682213</x:v>
      </x:c>
      <x:c r="F10" s="32" t="n">
        <x:v>0</x:v>
      </x:c>
      <x:c r="G10" s="34" t="n">
        <x:v>1</x:v>
      </x:c>
      <x:c r="H10" s="32" t="n">
        <x:f>IF(E10=0,"",I10/E10)</x:f>
        <x:v>5943.357799505584</x:v>
      </x:c>
      <x:c r="I10" s="31" t="n">
        <x:f>IF(C10=0,"",SUMIF('Species'!$G$2:$G$230,A10,'Species'!$U$2:$U$230))</x:f>
        <x:v>87881558.5732566</x:v>
      </x:c>
      <x:c r="J10" s="32" t="n">
        <x:v>4.668713055631427</x:v>
      </x:c>
      <x:c r="K10" s="32" t="n">
        <x:f>IF(J10="","",(1/'Metadata'!$B$5)^(J10-1))</x:f>
        <x:v>4663.511538458288</x:v>
      </x:c>
      <x:c r="L10" s="31" t="n">
        <x:f>IF(E10=0,"",E10*K10)</x:f>
        <x:v>68957090.62950467</x:v>
      </x:c>
      <x:c r="M10" s="31" t="n">
        <x:f>IF(E10=0,"",I10-L10)</x:f>
        <x:v>18924467.94375193</x:v>
      </x:c>
      <x:c r="N10" s="32" t="n">
        <x:f>IF(L10=0,"",I10/L10)</x:f>
        <x:v>1.2744383176696077</x:v>
      </x:c>
      <x:c r="O10" s="34" t="n">
        <x:f>IF(L10=0,"",M10/L10)</x:f>
        <x:v>0.27443831766960775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34.462338397500005</x:v>
      </x:c>
      <x:c r="E11" s="31" t="n">
        <x:v>34.462338397500005</x:v>
      </x:c>
      <x:c r="F11" s="32" t="n">
        <x:v>0</x:v>
      </x:c>
      <x:c r="G11" s="34" t="n">
        <x:v>1</x:v>
      </x:c>
      <x:c r="H11" s="32" t="n">
        <x:f>IF(E11=0,"",I11/E11)</x:f>
        <x:v>130.7987656583537</x:v>
      </x:c>
      <x:c r="I11" s="31" t="n">
        <x:f>IF(C11=0,"",SUMIF('Species'!$G$2:$G$230,A11,'Species'!$U$2:$U$230))</x:f>
        <x:v>4507.631324093488</x:v>
      </x:c>
      <x:c r="J11" s="32" t="n">
        <x:v>3.066288238764138</x:v>
      </x:c>
      <x:c r="K11" s="32" t="n">
        <x:f>IF(J11="","",(1/'Metadata'!$B$5)^(J11-1))</x:f>
        <x:v>116.48989096489146</x:v>
      </x:c>
      <x:c r="L11" s="31" t="n">
        <x:f>IF(E11=0,"",E11*K11)</x:f>
        <x:v>4014.5140423199678</x:v>
      </x:c>
      <x:c r="M11" s="31" t="n">
        <x:f>IF(E11=0,"",I11-L11)</x:f>
        <x:v>493.11728177352006</x:v>
      </x:c>
      <x:c r="N11" s="32" t="n">
        <x:f>IF(L11=0,"",I11/L11)</x:f>
        <x:v>1.122833617363199</x:v>
      </x:c>
      <x:c r="O11" s="34" t="n">
        <x:f>IF(L11=0,"",M11/L11)</x:f>
        <x:v>0.12283361736319896</x:v>
      </x:c>
    </x:row>
    <x:row r="12" ht="18" customHeight="1">
      <x:c r="A12" s="24" t="str">
        <x:v>Medium bathydemersals (30 - 89 cm)</x:v>
      </x:c>
      <x:c r="B12" s="33" t="n">
        <x:v>8</x:v>
      </x:c>
      <x:c r="C12" s="33" t="n">
        <x:v>8</x:v>
      </x:c>
      <x:c r="D12" s="31" t="n">
        <x:v>384.85194108289994</x:v>
      </x:c>
      <x:c r="E12" s="31" t="n">
        <x:v>384.85194108289994</x:v>
      </x:c>
      <x:c r="F12" s="32" t="n">
        <x:v>0</x:v>
      </x:c>
      <x:c r="G12" s="34" t="n">
        <x:v>1</x:v>
      </x:c>
      <x:c r="H12" s="32" t="n">
        <x:f>IF(E12=0,"",I12/E12)</x:f>
        <x:v>2945.970845361719</x:v>
      </x:c>
      <x:c r="I12" s="31" t="n">
        <x:f>IF(C12=0,"",SUMIF('Species'!$G$2:$G$230,A12,'Species'!$U$2:$U$230))</x:f>
        <x:v>1133762.5982110891</x:v>
      </x:c>
      <x:c r="J12" s="32" t="n">
        <x:v>4.440837052878274</x:v>
      </x:c>
      <x:c r="K12" s="32" t="n">
        <x:f>IF(J12="","",(1/'Metadata'!$B$5)^(J12-1))</x:f>
        <x:v>2759.542282761373</x:v>
      </x:c>
      <x:c r="L12" s="31" t="n">
        <x:f>IF(E12=0,"",E12*K12)</x:f>
        <x:v>1062015.204021051</x:v>
      </x:c>
      <x:c r="M12" s="31" t="n">
        <x:f>IF(E12=0,"",I12-L12)</x:f>
        <x:v>71747.39419003809</x:v>
      </x:c>
      <x:c r="N12" s="32" t="n">
        <x:f>IF(L12=0,"",I12/L12)</x:f>
        <x:v>1.0675577844068378</x:v>
      </x:c>
      <x:c r="O12" s="34" t="n">
        <x:f>IF(L12=0,"",M12/L12)</x:f>
        <x:v>0.06755778440683785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204.3423538882</x:v>
      </x:c>
      <x:c r="E13" s="31" t="n">
        <x:v>204.3423538882</x:v>
      </x:c>
      <x:c r="F13" s="32" t="n">
        <x:v>0</x:v>
      </x:c>
      <x:c r="G13" s="34" t="n">
        <x:v>1</x:v>
      </x:c>
      <x:c r="H13" s="32" t="n">
        <x:f>IF(E13=0,"",I13/E13)</x:f>
        <x:v>1206.5766176315203</x:v>
      </x:c>
      <x:c r="I13" s="31" t="n">
        <x:f>IF(C13=0,"",SUMIF('Species'!$G$2:$G$230,A13,'Species'!$U$2:$U$230))</x:f>
        <x:v>246554.70619328748</x:v>
      </x:c>
      <x:c r="J13" s="32" t="n">
        <x:v>4.081272659815593</x:v>
      </x:c>
      <x:c r="K13" s="32" t="n">
        <x:f>IF(J13="","",(1/'Metadata'!$B$5)^(J13-1))</x:f>
        <x:v>1205.7927264991072</x:v>
      </x:c>
      <x:c r="L13" s="31" t="n">
        <x:f>IF(E13=0,"",E13*K13)</x:f>
        <x:v>246394.5240340981</x:v>
      </x:c>
      <x:c r="M13" s="31" t="n">
        <x:f>IF(E13=0,"",I13-L13)</x:f>
        <x:v>160.18215918936767</x:v>
      </x:c>
      <x:c r="N13" s="32" t="n">
        <x:f>IF(L13=0,"",I13/L13)</x:f>
        <x:v>1.0006501043796217</x:v>
      </x:c>
      <x:c r="O13" s="34" t="n">
        <x:f>IF(L13=0,"",M13/L13)</x:f>
        <x:v>0.0006501043796216849</x:v>
      </x:c>
    </x:row>
    <x:row r="14" ht="18" customHeight="1">
      <x:c r="A14" s="24" t="str">
        <x:v>Medium benthopelagics (30 - 89 cm)</x:v>
      </x:c>
      <x:c r="B14" s="33" t="n">
        <x:v>28</x:v>
      </x:c>
      <x:c r="C14" s="33" t="n">
        <x:v>28</x:v>
      </x:c>
      <x:c r="D14" s="31" t="n">
        <x:v>21003.6797507964</x:v>
      </x:c>
      <x:c r="E14" s="31" t="n">
        <x:v>21003.6797507964</x:v>
      </x:c>
      <x:c r="F14" s="32" t="n">
        <x:v>0</x:v>
      </x:c>
      <x:c r="G14" s="34" t="n">
        <x:v>1</x:v>
      </x:c>
      <x:c r="H14" s="32" t="n">
        <x:f>IF(E14=0,"",I14/E14)</x:f>
        <x:v>1568.2596619790247</x:v>
      </x:c>
      <x:c r="I14" s="31" t="n">
        <x:f>IF(C14=0,"",SUMIF('Species'!$G$2:$G$230,A14,'Species'!$U$2:$U$230))</x:f>
        <x:v>32939223.706299648</x:v>
      </x:c>
      <x:c r="J14" s="32" t="n">
        <x:v>3.9188122598298754</x:v>
      </x:c>
      <x:c r="K14" s="32" t="n">
        <x:f>IF(J14="","",(1/'Metadata'!$B$5)^(J14-1))</x:f>
        <x:v>829.492110747655</x:v>
      </x:c>
      <x:c r="L14" s="31" t="n">
        <x:f>IF(E14=0,"",E14*K14)</x:f>
        <x:v>17422386.649955887</x:v>
      </x:c>
      <x:c r="M14" s="31" t="n">
        <x:f>IF(E14=0,"",I14-L14)</x:f>
        <x:v>15516837.05634376</x:v>
      </x:c>
      <x:c r="N14" s="32" t="n">
        <x:f>IF(L14=0,"",I14/L14)</x:f>
        <x:v>1.8906263744515766</x:v>
      </x:c>
      <x:c r="O14" s="34" t="n">
        <x:f>IF(L14=0,"",M14/L14)</x:f>
        <x:v>0.8906263744515766</x:v>
      </x:c>
    </x:row>
    <x:row r="15" ht="18" customHeight="1">
      <x:c r="A15" s="24" t="str">
        <x:v>Medium demersals (30 - 89 cm)</x:v>
      </x:c>
      <x:c r="B15" s="33" t="n">
        <x:v>24</x:v>
      </x:c>
      <x:c r="C15" s="33" t="n">
        <x:v>24</x:v>
      </x:c>
      <x:c r="D15" s="31" t="n">
        <x:v>672103.2189754854</x:v>
      </x:c>
      <x:c r="E15" s="31" t="n">
        <x:v>672103.2189754854</x:v>
      </x:c>
      <x:c r="F15" s="32" t="n">
        <x:v>0</x:v>
      </x:c>
      <x:c r="G15" s="34" t="n">
        <x:v>1</x:v>
      </x:c>
      <x:c r="H15" s="32" t="n">
        <x:f>IF(E15=0,"",I15/E15)</x:f>
        <x:v>216.88848535063053</x:v>
      </x:c>
      <x:c r="I15" s="31" t="n">
        <x:f>IF(C15=0,"",SUMIF('Species'!$G$2:$G$230,A15,'Species'!$U$2:$U$230))</x:f>
        <x:v>145771449.1628762</x:v>
      </x:c>
      <x:c r="J15" s="32" t="n">
        <x:v>3.3091408411875123</x:v>
      </x:c>
      <x:c r="K15" s="32" t="n">
        <x:f>IF(J15="","",(1/'Metadata'!$B$5)^(J15-1))</x:f>
        <x:v>203.77027951746132</x:v>
      </x:c>
      <x:c r="L15" s="31" t="n">
        <x:f>IF(E15=0,"",E15*K15)</x:f>
        <x:v>136954660.79522017</x:v>
      </x:c>
      <x:c r="M15" s="31" t="n">
        <x:f>IF(E15=0,"",I15-L15)</x:f>
        <x:v>8816788.367656022</x:v>
      </x:c>
      <x:c r="N15" s="32" t="n">
        <x:f>IF(L15=0,"",I15/L15)</x:f>
        <x:v>1.0643774247364917</x:v>
      </x:c>
      <x:c r="O15" s="34" t="n">
        <x:f>IF(L15=0,"",M15/L15)</x:f>
        <x:v>0.06437742473649159</x:v>
      </x:c>
    </x:row>
    <x:row r="16" ht="18" customHeight="1">
      <x:c r="A16" s="24" t="str">
        <x:v>Medium pelagics (30 - 89 cm)</x:v>
      </x:c>
      <x:c r="B16" s="33" t="n">
        <x:v>24</x:v>
      </x:c>
      <x:c r="C16" s="33" t="n">
        <x:v>24</x:v>
      </x:c>
      <x:c r="D16" s="31" t="n">
        <x:v>91804.8416262851</x:v>
      </x:c>
      <x:c r="E16" s="31" t="n">
        <x:v>91804.8416262851</x:v>
      </x:c>
      <x:c r="F16" s="32" t="n">
        <x:v>0</x:v>
      </x:c>
      <x:c r="G16" s="34" t="n">
        <x:v>1</x:v>
      </x:c>
      <x:c r="H16" s="32" t="n">
        <x:f>IF(E16=0,"",I16/E16)</x:f>
        <x:v>368.16501753511216</x:v>
      </x:c>
      <x:c r="I16" s="31" t="n">
        <x:f>IF(C16=0,"",SUMIF('Species'!$G$2:$G$230,A16,'Species'!$U$2:$U$230))</x:f>
        <x:v>33799331.12714945</x:v>
      </x:c>
      <x:c r="J16" s="32" t="n">
        <x:v>3.455149411994274</x:v>
      </x:c>
      <x:c r="K16" s="32" t="n">
        <x:f>IF(J16="","",(1/'Metadata'!$B$5)^(J16-1))</x:f>
        <x:v>285.19992829815385</x:v>
      </x:c>
      <x:c r="L16" s="31" t="n">
        <x:f>IF(E16=0,"",E16*K16)</x:f>
        <x:v>26182734.24923988</x:v>
      </x:c>
      <x:c r="M16" s="31" t="n">
        <x:f>IF(E16=0,"",I16-L16)</x:f>
        <x:v>7616596.877909567</x:v>
      </x:c>
      <x:c r="N16" s="32" t="n">
        <x:f>IF(L16=0,"",I16/L16)</x:f>
        <x:v>1.2909015080474526</x:v>
      </x:c>
      <x:c r="O16" s="34" t="n">
        <x:f>IF(L16=0,"",M16/L16)</x:f>
        <x:v>0.2909015080474526</x:v>
      </x:c>
    </x:row>
    <x:row r="17" ht="18" customHeight="1">
      <x:c r="A17" s="24" t="str">
        <x:v>Medium reef assoc. fish (30 - 89 cm)</x:v>
      </x:c>
      <x:c r="B17" s="33" t="n">
        <x:v>11</x:v>
      </x:c>
      <x:c r="C17" s="33" t="n">
        <x:v>11</x:v>
      </x:c>
      <x:c r="D17" s="31" t="n">
        <x:v>7136.5242928005</x:v>
      </x:c>
      <x:c r="E17" s="31" t="n">
        <x:v>7136.5242928005</x:v>
      </x:c>
      <x:c r="F17" s="32" t="n">
        <x:v>0</x:v>
      </x:c>
      <x:c r="G17" s="34" t="n">
        <x:v>1</x:v>
      </x:c>
      <x:c r="H17" s="32" t="n">
        <x:f>IF(E17=0,"",I17/E17)</x:f>
        <x:v>576.5357196349947</x:v>
      </x:c>
      <x:c r="I17" s="31" t="n">
        <x:f>IF(C17=0,"",SUMIF('Species'!$G$2:$G$230,A17,'Species'!$U$2:$U$230))</x:f>
        <x:v>4114461.168842358</x:v>
      </x:c>
      <x:c r="J17" s="32" t="n">
        <x:v>3.4885899202513175</x:v>
      </x:c>
      <x:c r="K17" s="32" t="n">
        <x:f>IF(J17="","",(1/'Metadata'!$B$5)^(J17-1))</x:f>
        <x:v>308.0278044064165</x:v>
      </x:c>
      <x:c r="L17" s="31" t="n">
        <x:f>IF(E17=0,"",E17*K17)</x:f>
        <x:v>2198247.9090043926</x:v>
      </x:c>
      <x:c r="M17" s="31" t="n">
        <x:f>IF(E17=0,"",I17-L17)</x:f>
        <x:v>1916213.2598379655</x:v>
      </x:c>
      <x:c r="N17" s="32" t="n">
        <x:f>IF(L17=0,"",I17/L17)</x:f>
        <x:v>1.871700253637833</x:v>
      </x:c>
      <x:c r="O17" s="34" t="n">
        <x:f>IF(L17=0,"",M17/L17)</x:f>
        <x:v>0.8717002536378332</x:v>
      </x:c>
    </x:row>
    <x:row r="18" ht="18" customHeight="1">
      <x:c r="A18" s="24" t="str">
        <x:v>Other demersal invertebrates</x:v>
      </x:c>
      <x:c r="B18" s="33" t="n">
        <x:v>7</x:v>
      </x:c>
      <x:c r="C18" s="33" t="n">
        <x:v>7</x:v>
      </x:c>
      <x:c r="D18" s="31" t="n">
        <x:v>9101.0937991356</x:v>
      </x:c>
      <x:c r="E18" s="31" t="n">
        <x:v>9101.0937991356</x:v>
      </x:c>
      <x:c r="F18" s="32" t="n">
        <x:v>0</x:v>
      </x:c>
      <x:c r="G18" s="34" t="n">
        <x:v>1</x:v>
      </x:c>
      <x:c r="H18" s="32" t="n">
        <x:f>IF(E18=0,"",I18/E18)</x:f>
        <x:v>11.249179410754671</x:v>
      </x:c>
      <x:c r="I18" s="31" t="n">
        <x:f>IF(C18=0,"",SUMIF('Species'!$G$2:$G$230,A18,'Species'!$U$2:$U$230))</x:f>
        <x:v>102379.8369805832</x:v>
      </x:c>
      <x:c r="J18" s="32" t="n">
        <x:v>2.0330973543800326</x:v>
      </x:c>
      <x:c r="K18" s="32" t="n">
        <x:f>IF(J18="","",(1/'Metadata'!$B$5)^(J18-1))</x:f>
        <x:v>10.791886133146726</x:v>
      </x:c>
      <x:c r="L18" s="31" t="n">
        <x:f>IF(E18=0,"",E18*K18)</x:f>
        <x:v>98217.96796735913</x:v>
      </x:c>
      <x:c r="M18" s="31" t="n">
        <x:f>IF(E18=0,"",I18-L18)</x:f>
        <x:v>4161.869013224074</x:v>
      </x:c>
      <x:c r="N18" s="32" t="n">
        <x:f>IF(L18=0,"",I18/L18)</x:f>
        <x:v>1.0423738049091709</x:v>
      </x:c>
      <x:c r="O18" s="34" t="n">
        <x:f>IF(L18=0,"",M18/L18)</x:f>
        <x:v>0.04237380490917091</x:v>
      </x:c>
    </x:row>
    <x:row r="19" ht="18" customHeight="1">
      <x:c r="A19" s="24" t="str">
        <x:v>Shrimps</x:v>
      </x:c>
      <x:c r="B19" s="33" t="n">
        <x:v>8</x:v>
      </x:c>
      <x:c r="C19" s="33" t="n">
        <x:v>8</x:v>
      </x:c>
      <x:c r="D19" s="31" t="n">
        <x:v>1568.8089484789</x:v>
      </x:c>
      <x:c r="E19" s="31" t="n">
        <x:v>1568.8089484789</x:v>
      </x:c>
      <x:c r="F19" s="32" t="n">
        <x:v>0</x:v>
      </x:c>
      <x:c r="G19" s="34" t="n">
        <x:v>1</x:v>
      </x:c>
      <x:c r="H19" s="32" t="n">
        <x:f>IF(E19=0,"",I19/E19)</x:f>
        <x:v>179.76919656764304</x:v>
      </x:c>
      <x:c r="I19" s="31" t="n">
        <x:f>IF(C19=0,"",SUMIF('Species'!$G$2:$G$230,A19,'Species'!$U$2:$U$230))</x:f>
        <x:v>282023.52423618076</x:v>
      </x:c>
      <x:c r="J19" s="32" t="n">
        <x:v>3.2024415003764704</x:v>
      </x:c>
      <x:c r="K19" s="32" t="n">
        <x:f>IF(J19="","",(1/'Metadata'!$B$5)^(J19-1))</x:f>
        <x:v>159.38281770212575</x:v>
      </x:c>
      <x:c r="L19" s="31" t="n">
        <x:f>IF(E19=0,"",E19*K19)</x:f>
        <x:v>250041.1906448761</x:v>
      </x:c>
      <x:c r="M19" s="31" t="n">
        <x:f>IF(E19=0,"",I19-L19)</x:f>
        <x:v>31982.33359130466</x:v>
      </x:c>
      <x:c r="N19" s="32" t="n">
        <x:f>IF(L19=0,"",I19/L19)</x:f>
        <x:v>1.1279082598703825</x:v>
      </x:c>
      <x:c r="O19" s="34" t="n">
        <x:f>IF(L19=0,"",M19/L19)</x:f>
        <x:v>0.12790825987038248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140.2461063628</x:v>
      </x:c>
      <x:c r="E20" s="31" t="n">
        <x:v>140.2461063628</x:v>
      </x:c>
      <x:c r="F20" s="32" t="n">
        <x:v>0</x:v>
      </x:c>
      <x:c r="G20" s="34" t="n">
        <x:v>1</x:v>
      </x:c>
      <x:c r="H20" s="32" t="n">
        <x:f>IF(E20=0,"",I20/E20)</x:f>
        <x:v>154.88166189124811</x:v>
      </x:c>
      <x:c r="I20" s="31" t="n">
        <x:f>IF(C20=0,"",SUMIF('Species'!$G$2:$G$230,A20,'Species'!$U$2:$U$230))</x:f>
        <x:v>21721.55002724721</x:v>
      </x:c>
      <x:c r="J20" s="32" t="n">
        <x:v>3.19</x:v>
      </x:c>
      <x:c r="K20" s="32" t="n">
        <x:f>IF(J20="","",(1/'Metadata'!$B$5)^(J20-1))</x:f>
        <x:v>154.88166189124811</x:v>
      </x:c>
      <x:c r="L20" s="31" t="n">
        <x:f>IF(E20=0,"",E20*K20)</x:f>
        <x:v>21721.55002724721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3</x:v>
      </x:c>
      <x:c r="C21" s="33" t="n">
        <x:v>3</x:v>
      </x:c>
      <x:c r="D21" s="31" t="n">
        <x:v>43875.62143855869</x:v>
      </x:c>
      <x:c r="E21" s="31" t="n">
        <x:v>43875.62143855869</x:v>
      </x:c>
      <x:c r="F21" s="32" t="n">
        <x:v>0</x:v>
      </x:c>
      <x:c r="G21" s="34" t="n">
        <x:v>1</x:v>
      </x:c>
      <x:c r="H21" s="32" t="n">
        <x:f>IF(E21=0,"",I21/E21)</x:f>
        <x:v>174.64328981018554</x:v>
      </x:c>
      <x:c r="I21" s="31" t="n">
        <x:f>IF(C21=0,"",SUMIF('Species'!$G$2:$G$230,A21,'Species'!$U$2:$U$230))</x:f>
        <x:v>7662582.870496196</x:v>
      </x:c>
      <x:c r="J21" s="32" t="n">
        <x:v>3.0947639138374288</x:v>
      </x:c>
      <x:c r="K21" s="32" t="n">
        <x:f>IF(J21="","",(1/'Metadata'!$B$5)^(J21-1))</x:f>
        <x:v>124.38382669267378</x:v>
      </x:c>
      <x:c r="L21" s="31" t="n">
        <x:f>IF(E21=0,"",E21*K21)</x:f>
        <x:v>5457417.693047047</x:v>
      </x:c>
      <x:c r="M21" s="31" t="n">
        <x:f>IF(E21=0,"",I21-L21)</x:f>
        <x:v>2205165.177449149</x:v>
      </x:c>
      <x:c r="N21" s="32" t="n">
        <x:f>IF(L21=0,"",I21/L21)</x:f>
        <x:v>1.4040675098515203</x:v>
      </x:c>
      <x:c r="O21" s="34" t="n">
        <x:f>IF(L21=0,"",M21/L21)</x:f>
        <x:v>0.40406750985152035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7624.5281208654005</x:v>
      </x:c>
      <x:c r="E22" s="31" t="n">
        <x:v>7624.5281208654005</x:v>
      </x:c>
      <x:c r="F22" s="32" t="n">
        <x:v>0</x:v>
      </x:c>
      <x:c r="G22" s="34" t="n">
        <x:v>1</x:v>
      </x:c>
      <x:c r="H22" s="32" t="n">
        <x:f>IF(E22=0,"",I22/E22)</x:f>
        <x:v>123.10427444263681</x:v>
      </x:c>
      <x:c r="I22" s="31" t="n">
        <x:f>IF(C22=0,"",SUMIF('Species'!$G$2:$G$230,A22,'Species'!$U$2:$U$230))</x:f>
        <x:v>938612.0022866161</x:v>
      </x:c>
      <x:c r="J22" s="32" t="n">
        <x:v>2.982493827374885</x:v>
      </x:c>
      <x:c r="K22" s="32" t="n">
        <x:f>IF(J22="","",(1/'Metadata'!$B$5)^(J22-1))</x:f>
        <x:v>96.04921668197599</x:v>
      </x:c>
      <x:c r="L22" s="31" t="n">
        <x:f>IF(E22=0,"",E22*K22)</x:f>
        <x:v>732329.9535788201</x:v>
      </x:c>
      <x:c r="M22" s="31" t="n">
        <x:f>IF(E22=0,"",I22-L22)</x:f>
        <x:v>206282.04870779603</x:v>
      </x:c>
      <x:c r="N22" s="32" t="n">
        <x:f>IF(L22=0,"",I22/L22)</x:f>
        <x:v>1.2816791088493884</x:v>
      </x:c>
      <x:c r="O22" s="34" t="n">
        <x:f>IF(L22=0,"",M22/L22)</x:f>
        <x:v>0.2816791088493884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1.2012082306999998</x:v>
      </x:c>
      <x:c r="E23" s="31" t="n">
        <x:v>1.2012082306999998</x:v>
      </x:c>
      <x:c r="F23" s="32" t="n">
        <x:v>0</x:v>
      </x:c>
      <x:c r="G23" s="34" t="n">
        <x:v>1</x:v>
      </x:c>
      <x:c r="H23" s="32" t="n">
        <x:f>IF(E23=0,"",I23/E23)</x:f>
        <x:v>537.0317963702527</x:v>
      </x:c>
      <x:c r="I23" s="31" t="n">
        <x:f>IF(C23=0,"",SUMIF('Species'!$G$2:$G$230,A23,'Species'!$U$2:$U$230))</x:f>
        <x:v>645.0870139475538</x:v>
      </x:c>
      <x:c r="J23" s="32" t="n">
        <x:v>3.73</x:v>
      </x:c>
      <x:c r="K23" s="32" t="n">
        <x:f>IF(J23="","",(1/'Metadata'!$B$5)^(J23-1))</x:f>
        <x:v>537.0317963702527</x:v>
      </x:c>
      <x:c r="L23" s="31" t="n">
        <x:f>IF(E23=0,"",E23*K23)</x:f>
        <x:v>645.0870139475538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10</x:v>
      </x:c>
      <x:c r="C24" s="33" t="n">
        <x:v>10</x:v>
      </x:c>
      <x:c r="D24" s="31" t="n">
        <x:v>47274.23528376479</x:v>
      </x:c>
      <x:c r="E24" s="31" t="n">
        <x:v>47274.23528376479</x:v>
      </x:c>
      <x:c r="F24" s="32" t="n">
        <x:v>0</x:v>
      </x:c>
      <x:c r="G24" s="34" t="n">
        <x:v>1</x:v>
      </x:c>
      <x:c r="H24" s="32" t="n">
        <x:f>IF(E24=0,"",I24/E24)</x:f>
        <x:v>346.49458084574627</x:v>
      </x:c>
      <x:c r="I24" s="31" t="n">
        <x:f>IF(C24=0,"",SUMIF('Species'!$G$2:$G$230,A24,'Species'!$U$2:$U$230))</x:f>
        <x:v>16380266.33945127</x:v>
      </x:c>
      <x:c r="J24" s="32" t="n">
        <x:v>3.5253447434689615</x:v>
      </x:c>
      <x:c r="K24" s="32" t="n">
        <x:f>IF(J24="","",(1/'Metadata'!$B$5)^(J24-1))</x:f>
        <x:v>335.2314406783825</x:v>
      </x:c>
      <x:c r="L24" s="31" t="n">
        <x:f>IF(E24=0,"",E24*K24)</x:f>
        <x:v>15847810.001145294</x:v>
      </x:c>
      <x:c r="M24" s="31" t="n">
        <x:f>IF(E24=0,"",I24-L24)</x:f>
        <x:v>532456.3383059762</x:v>
      </x:c>
      <x:c r="N24" s="32" t="n">
        <x:f>IF(L24=0,"",I24/L24)</x:f>
        <x:v>1.0335981020890266</x:v>
      </x:c>
      <x:c r="O24" s="34" t="n">
        <x:f>IF(L24=0,"",M24/L24)</x:f>
        <x:v>0.033598102089026596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1137.6332926209</x:v>
      </x:c>
      <x:c r="E25" s="31" t="n">
        <x:v>1137.6332926209</x:v>
      </x:c>
      <x:c r="F25" s="32" t="n">
        <x:v>0</x:v>
      </x:c>
      <x:c r="G25" s="34" t="n">
        <x:v>1</x:v>
      </x:c>
      <x:c r="H25" s="32" t="n">
        <x:f>IF(E25=0,"",I25/E25)</x:f>
        <x:v>630.957344480193</x:v>
      </x:c>
      <x:c r="I25" s="31" t="n">
        <x:f>IF(C25=0,"",SUMIF('Species'!$G$2:$G$230,A25,'Species'!$U$2:$U$230))</x:f>
        <x:v>717798.0813043414</x:v>
      </x:c>
      <x:c r="J25" s="32" t="n">
        <x:v>3.8000000000000003</x:v>
      </x:c>
      <x:c r="K25" s="32" t="n">
        <x:f>IF(J25="","",(1/'Metadata'!$B$5)^(J25-1))</x:f>
        <x:v>630.9573444801937</x:v>
      </x:c>
      <x:c r="L25" s="31" t="n">
        <x:f>IF(E25=0,"",E25*K25)</x:f>
        <x:v>717798.0813043421</x:v>
      </x:c>
      <x:c r="M25" s="31" t="n">
        <x:f>IF(E25=0,"",I25-L25)</x:f>
        <x:v>-6.984919309616089e-10</x:v>
      </x:c>
      <x:c r="N25" s="32" t="n">
        <x:f>IF(L25=0,"",I25/L25)</x:f>
        <x:v>0.999999999999999</x:v>
      </x:c>
      <x:c r="O25" s="34" t="n">
        <x:f>IF(L25=0,"",M25/L25)</x:f>
        <x:v>-9.731036473270433e-16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2.2963901482</x:v>
      </x:c>
      <x:c r="E26" s="31" t="n">
        <x:v>2.2963901482</x:v>
      </x:c>
      <x:c r="F26" s="32" t="n">
        <x:v>0</x:v>
      </x:c>
      <x:c r="G26" s="34" t="n">
        <x:v>1</x:v>
      </x:c>
      <x:c r="H26" s="32" t="n">
        <x:f>IF(E26=0,"",I26/E26)</x:f>
        <x:v>930.518925479652</x:v>
      </x:c>
      <x:c r="I26" s="31" t="n">
        <x:f>IF(C26=0,"",SUMIF('Species'!$G$2:$G$230,A26,'Species'!$U$2:$U$230))</x:f>
        <x:v>2136.834493185123</x:v>
      </x:c>
      <x:c r="J26" s="32" t="n">
        <x:v>3.9685906320519897</x:v>
      </x:c>
      <x:c r="K26" s="32" t="n">
        <x:f>IF(J26="","",(1/'Metadata'!$B$5)^(J26-1))</x:f>
        <x:v>930.2306224784536</x:v>
      </x:c>
      <x:c r="L26" s="31" t="n">
        <x:f>IF(E26=0,"",E26*K26)</x:f>
        <x:v>2136.1724370134743</x:v>
      </x:c>
      <x:c r="M26" s="31" t="n">
        <x:f>IF(E26=0,"",I26-L26)</x:f>
        <x:v>0.6620561716486009</x:v>
      </x:c>
      <x:c r="N26" s="32" t="n">
        <x:f>IF(L26=0,"",I26/L26)</x:f>
        <x:v>1.000309926371194</x:v>
      </x:c>
      <x:c r="O26" s="34" t="n">
        <x:f>IF(L26=0,"",M26/L26)</x:f>
        <x:v>0.0003099263711941738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d78b7d4c0845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EEZ_624</x:v>
      </x:c>
      <x:c r="B2" s="24" t="str">
        <x:v>raw_filtered_tonnes</x:v>
      </x:c>
      <x:c r="C2" s="24" t="n">
        <x:v>1133937.8605595874</x:v>
      </x:c>
      <x:c r="D2" s="24" t="str">
        <x:v>tonnes</x:v>
      </x:c>
    </x:row>
    <x:row r="3" ht="18" customHeight="1">
      <x:c r="A3" s="24" t="str">
        <x:v>EEZ_624</x:v>
      </x:c>
      <x:c r="B3" s="24" t="str">
        <x:v>species_catch_tonnes</x:v>
      </x:c>
      <x:c r="C3" s="24" t="n">
        <x:v>1133937.8605595871</x:v>
      </x:c>
      <x:c r="D3" s="24" t="str">
        <x:v>tonnes</x:v>
      </x:c>
    </x:row>
    <x:row r="4" ht="18" customHeight="1">
      <x:c r="A4" s="24" t="str">
        <x:v>EEZ_624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EEZ_624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EEZ_624</x:v>
      </x:c>
      <x:c r="B6" s="24" t="str">
        <x:v>matched_catch_tonnes</x:v>
      </x:c>
      <x:c r="C6" s="24" t="n">
        <x:v>1133937.8605595871</x:v>
      </x:c>
      <x:c r="D6" s="24" t="str">
        <x:v>tonnes</x:v>
      </x:c>
    </x:row>
    <x:row r="7" ht="18" customHeight="1">
      <x:c r="A7" s="24" t="str">
        <x:v>EEZ_624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EEZ_624</x:v>
      </x:c>
      <x:c r="B8" s="24" t="str">
        <x:v>taxa_count</x:v>
      </x:c>
      <x:c r="C8" s="24" t="n">
        <x:v>229</x:v>
      </x:c>
      <x:c r="D8" s="24" t="str">
        <x:v>count</x:v>
      </x:c>
    </x:row>
    <x:row r="9" ht="18" customHeight="1">
      <x:c r="A9" s="24" t="str">
        <x:v>EEZ_624</x:v>
      </x:c>
      <x:c r="B9" s="24" t="str">
        <x:v>matched_taxa_count</x:v>
      </x:c>
      <x:c r="C9" s="24" t="n">
        <x:v>229</x:v>
      </x:c>
      <x:c r="D9" s="24" t="str">
        <x:v>count</x:v>
      </x:c>
    </x:row>
    <x:row r="10" ht="18" customHeight="1">
      <x:c r="A10" s="24" t="str">
        <x:v>EEZ_624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EEZ_624</x:v>
      </x:c>
      <x:c r="B11" s="24" t="str">
        <x:v>species_ppr</x:v>
      </x:c>
      <x:c r="C11" s="24" t="n">
        <x:v>583910166.0894275</x:v>
      </x:c>
      <x:c r="D11" s="24" t="str">
        <x:v>tonnes_primary_production_equivalent</x:v>
      </x:c>
    </x:row>
    <x:row r="12" ht="18" customHeight="1">
      <x:c r="A12" s="24" t="str">
        <x:v>EEZ_624</x:v>
      </x:c>
      <x:c r="B12" s="24" t="str">
        <x:v>commercial_ppr</x:v>
      </x:c>
      <x:c r="C12" s="24" t="n">
        <x:v>583910166.0894275</x:v>
      </x:c>
      <x:c r="D12" s="24" t="str">
        <x:v>tonnes_primary_production_equivalent</x:v>
      </x:c>
    </x:row>
    <x:row r="13" ht="18" customHeight="1">
      <x:c r="A13" s="24" t="str">
        <x:v>EEZ_624</x:v>
      </x:c>
      <x:c r="B13" s="24" t="str">
        <x:v>functional_ppr</x:v>
      </x:c>
      <x:c r="C13" s="24" t="n">
        <x:v>583910166.0894275</x:v>
      </x:c>
      <x:c r="D13" s="24" t="str">
        <x:v>tonnes_primary_production_equivalent</x:v>
      </x:c>
    </x:row>
    <x:row r="14" ht="18" customHeight="1">
      <x:c r="A14" s="24" t="str">
        <x:v>EEZ_624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EEZ_624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EEZ_624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EEZ_624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EEZ_624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EEZ_624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f223150539d49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EEZ_624 - Guinea-Bissau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