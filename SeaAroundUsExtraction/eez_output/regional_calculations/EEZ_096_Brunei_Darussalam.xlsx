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1d268cd3f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81a65bdbf534d29"/>
    <x:sheet xmlns:r="http://schemas.openxmlformats.org/officeDocument/2006/relationships" name="Commercial" sheetId="2" r:id="Rc09c4f4377d6448c"/>
    <x:sheet xmlns:r="http://schemas.openxmlformats.org/officeDocument/2006/relationships" name="Functional" sheetId="3" r:id="R415ce81a7beb4f73"/>
    <x:sheet xmlns:r="http://schemas.openxmlformats.org/officeDocument/2006/relationships" name="Missing TL" sheetId="4" r:id="R7beae19b4c704cc2"/>
    <x:sheet xmlns:r="http://schemas.openxmlformats.org/officeDocument/2006/relationships" name="Validation" sheetId="5" r:id="Rfae845ae78e24cd8"/>
    <x:sheet xmlns:r="http://schemas.openxmlformats.org/officeDocument/2006/relationships" name="Metadata" sheetId="6" r:id="R0dc20c554105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e186f1d6849b2" /><Relationship Type="http://schemas.openxmlformats.org/officeDocument/2006/relationships/theme" Target="/xl/theme/theme1.xml" Id="Redfd57f0f1c44d7c" /><Relationship Type="http://schemas.microsoft.com/office/2022/11/relationships/FeaturePropertyBag" Target="/xl/featurePropertyBag/featurePropertyBag.xml" Id="Rd91bfd9704cc4161" /><Relationship Type="http://schemas.openxmlformats.org/officeDocument/2006/relationships/sharedStrings" Target="/xl/sharedStrings.xml" Id="R0d7f9e94de11461c" /><Relationship Type="http://schemas.openxmlformats.org/officeDocument/2006/relationships/worksheet" Target="/xl/worksheets/sheet1.xml" Id="R781a65bdbf534d29" /><Relationship Type="http://schemas.openxmlformats.org/officeDocument/2006/relationships/worksheet" Target="/xl/worksheets/sheet2.xml" Id="Rc09c4f4377d6448c" /><Relationship Type="http://schemas.openxmlformats.org/officeDocument/2006/relationships/worksheet" Target="/xl/worksheets/sheet3.xml" Id="R415ce81a7beb4f73" /><Relationship Type="http://schemas.openxmlformats.org/officeDocument/2006/relationships/worksheet" Target="/xl/worksheets/sheet4.xml" Id="R7beae19b4c704cc2" /><Relationship Type="http://schemas.openxmlformats.org/officeDocument/2006/relationships/worksheet" Target="/xl/worksheets/sheet5.xml" Id="Rfae845ae78e24cd8" /><Relationship Type="http://schemas.openxmlformats.org/officeDocument/2006/relationships/worksheet" Target="/xl/worksheets/sheet6.xml" Id="R0dc20c55410547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96SpeciesTable" displayName="EEZ096SpeciesTable" ref="A1:U98" headerRowCount="1" totalsRowCount="0" totalsRowShown="0">
  <x:autoFilter ref="A1:U9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96CommercialTable" displayName="EEZ096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96FunctionalTable" displayName="EEZ096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96ValidationTable" displayName="EEZ09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8a8ab186554c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33847db34f4f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88b1b967b448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ab78aa2f9f4c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EEZ_096</x:v>
      </x:c>
      <x:c r="B2" s="24" t="str">
        <x:v>Brunei Darussalam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4092.6397556406</x:v>
      </x:c>
      <x:c r="J2" s="31" t="n">
        <x:v>3496.4689526516</x:v>
      </x:c>
      <x:c r="K2" s="31" t="n">
        <x:v>596.170802989</x:v>
      </x:c>
      <x:c r="L2" s="31" t="n">
        <x:v>1777.5024692461</x:v>
      </x:c>
      <x:c r="M2" s="31" t="n">
        <x:v>2315.1372863945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779836.4287147863</x:v>
      </x:c>
    </x:row>
    <x:row r="3" ht="18" customHeight="1">
      <x:c r="A3" s="24" t="str">
        <x:v>EEZ_096</x:v>
      </x:c>
      <x:c r="B3" s="24" t="str">
        <x:v>Brunei Darussalam</x:v>
      </x:c>
      <x:c r="C3" s="24" t="str">
        <x:v>EEZ</x:v>
      </x:c>
      <x:c r="D3" s="30" t="n">
        <x:v>2019</x:v>
      </x:c>
      <x:c r="E3" s="24" t="str">
        <x:v>Penaeus</x:v>
      </x:c>
      <x:c r="F3" s="24" t="str">
        <x:v>Tiger prawns</x:v>
      </x:c>
      <x:c r="G3" s="24" t="str">
        <x:v>Shrimps</x:v>
      </x:c>
      <x:c r="H3" s="24" t="str">
        <x:v>Crustaceans</x:v>
      </x:c>
      <x:c r="I3" s="31" t="n">
        <x:v>1240.72</x:v>
      </x:c>
      <x:c r="J3" s="31" t="n">
        <x:v>1240.72</x:v>
      </x:c>
      <x:c r="K3" s="31" t="n">
        <x:v>0</x:v>
      </x:c>
      <x:c r="L3" s="31" t="n">
        <x:v>1240.72</x:v>
      </x:c>
      <x:c r="M3" s="31" t="n">
        <x:v>0</x:v>
      </x:c>
      <x:c r="N3" s="24" t="str">
        <x:v>penaeus</x:v>
      </x:c>
      <x:c r="O3" s="32" t="n">
        <x:v>2.7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Penaeus</x:v>
      </x:c>
      <x:c r="T3" s="32" t="n">
        <x:f>IF(O3="","",(1/'Metadata'!$B$5)^(O3-1))</x:f>
        <x:v>50.11872336272725</x:v>
      </x:c>
      <x:c r="U3" s="31" t="n">
        <x:f>IF(T3="","",I3*T3)</x:f>
        <x:v>62183.302450602954</x:v>
      </x:c>
    </x:row>
    <x:row r="4" ht="18" customHeight="1">
      <x:c r="A4" s="24" t="str">
        <x:v>EEZ_096</x:v>
      </x:c>
      <x:c r="B4" s="24" t="str">
        <x:v>Brunei Darussalam</x:v>
      </x:c>
      <x:c r="C4" s="24" t="str">
        <x:v>EEZ</x:v>
      </x:c>
      <x:c r="D4" s="30" t="n">
        <x:v>2019</x:v>
      </x:c>
      <x:c r="E4" s="24" t="str">
        <x:v>Rastrelliger</x:v>
      </x:c>
      <x:c r="F4" s="24" t="str">
        <x:v>Indian mackerels</x:v>
      </x:c>
      <x:c r="G4" s="24" t="str">
        <x:v>Medium pelagics (30 - 89 cm)</x:v>
      </x:c>
      <x:c r="H4" s="24" t="str">
        <x:v>Perch-likes</x:v>
      </x:c>
      <x:c r="I4" s="31" t="n">
        <x:v>1077.4851055152</x:v>
      </x:c>
      <x:c r="J4" s="31" t="n">
        <x:v>1077.4851055152</x:v>
      </x:c>
      <x:c r="K4" s="31" t="n">
        <x:v>0</x:v>
      </x:c>
      <x:c r="L4" s="31" t="n">
        <x:v>1077.4851055152</x:v>
      </x:c>
      <x:c r="M4" s="31" t="n">
        <x:v>0</x:v>
      </x:c>
      <x:c r="N4" s="24" t="str">
        <x:v>rastrelliger</x:v>
      </x:c>
      <x:c r="O4" s="32" t="n">
        <x:v>3.1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Rastrelliger</x:v>
      </x:c>
      <x:c r="T4" s="32" t="n">
        <x:f>IF(O4="","",(1/'Metadata'!$B$5)^(O4-1))</x:f>
        <x:v>125.89254117941675</x:v>
      </x:c>
      <x:c r="U4" s="31" t="n">
        <x:f>IF(T4="","",I4*T4)</x:f>
        <x:v>135647.33801628053</x:v>
      </x:c>
    </x:row>
    <x:row r="5" ht="18" customHeight="1">
      <x:c r="A5" s="24" t="str">
        <x:v>EEZ_096</x:v>
      </x:c>
      <x:c r="B5" s="24" t="str">
        <x:v>Brunei Darussalam</x:v>
      </x:c>
      <x:c r="C5" s="24" t="str">
        <x:v>EEZ</x:v>
      </x:c>
      <x:c r="D5" s="30" t="n">
        <x:v>2019</x:v>
      </x:c>
      <x:c r="E5" s="24" t="str">
        <x:v>Metapenaeus</x:v>
      </x:c>
      <x:c r="F5" s="24" t="str">
        <x:v>Indo-Pacific prawns</x:v>
      </x:c>
      <x:c r="G5" s="24" t="str">
        <x:v>Shrimps</x:v>
      </x:c>
      <x:c r="H5" s="24" t="str">
        <x:v>Crustaceans</x:v>
      </x:c>
      <x:c r="I5" s="31" t="n">
        <x:v>803.75</x:v>
      </x:c>
      <x:c r="J5" s="31" t="n">
        <x:v>803.75</x:v>
      </x:c>
      <x:c r="K5" s="31" t="n">
        <x:v>0</x:v>
      </x:c>
      <x:c r="L5" s="31" t="n">
        <x:v>803.75</x:v>
      </x:c>
      <x:c r="M5" s="31" t="n">
        <x:v>0</x:v>
      </x:c>
      <x:c r="N5" s="24" t="str">
        <x:v>metapenaeus</x:v>
      </x:c>
      <x:c r="O5" s="32" t="n">
        <x:v>2.7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Metapenaeus</x:v>
      </x:c>
      <x:c r="T5" s="32" t="n">
        <x:f>IF(O5="","",(1/'Metadata'!$B$5)^(O5-1))</x:f>
        <x:v>50.11872336272725</x:v>
      </x:c>
      <x:c r="U5" s="31" t="n">
        <x:f>IF(T5="","",I5*T5)</x:f>
        <x:v>40282.92390279203</x:v>
      </x:c>
    </x:row>
    <x:row r="6" ht="18" customHeight="1">
      <x:c r="A6" s="24" t="str">
        <x:v>EEZ_096</x:v>
      </x:c>
      <x:c r="B6" s="24" t="str">
        <x:v>Brunei Darussalam</x:v>
      </x:c>
      <x:c r="C6" s="24" t="str">
        <x:v>EEZ</x:v>
      </x:c>
      <x:c r="D6" s="30" t="n">
        <x:v>2019</x:v>
      </x:c>
      <x:c r="E6" s="24" t="str">
        <x:v>Anodontostoma chacunda</x:v>
      </x:c>
      <x:c r="F6" s="24" t="str">
        <x:v>Chacunda gizzard shad</x:v>
      </x:c>
      <x:c r="G6" s="24" t="str">
        <x:v>Small pelagics (&lt;30 cm)</x:v>
      </x:c>
      <x:c r="H6" s="24" t="str">
        <x:v>Herring-likes</x:v>
      </x:c>
      <x:c r="I6" s="31" t="n">
        <x:v>795.1594009655</x:v>
      </x:c>
      <x:c r="J6" s="31" t="n">
        <x:v>795.1594009655</x:v>
      </x:c>
      <x:c r="K6" s="31" t="n">
        <x:v>0</x:v>
      </x:c>
      <x:c r="L6" s="31" t="n">
        <x:v>795.1594009655</x:v>
      </x:c>
      <x:c r="M6" s="31" t="n">
        <x:v>0</x:v>
      </x:c>
      <x:c r="N6" s="24" t="str">
        <x:v>anodontostoma chacunda</x:v>
      </x:c>
      <x:c r="O6" s="32" t="n">
        <x:v>2.84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Anodontostoma chacunda</x:v>
      </x:c>
      <x:c r="T6" s="32" t="n">
        <x:f>IF(O6="","",(1/'Metadata'!$B$5)^(O6-1))</x:f>
        <x:v>69.18309709189363</x:v>
      </x:c>
      <x:c r="U6" s="31" t="n">
        <x:f>IF(T6="","",I6*T6)</x:f>
        <x:v>55011.590040528165</x:v>
      </x:c>
    </x:row>
    <x:row r="7" ht="18" customHeight="1">
      <x:c r="A7" s="24" t="str">
        <x:v>EEZ_096</x:v>
      </x:c>
      <x:c r="B7" s="24" t="str">
        <x:v>Brunei Darussalam</x:v>
      </x:c>
      <x:c r="C7" s="24" t="str">
        <x:v>EEZ</x:v>
      </x:c>
      <x:c r="D7" s="30" t="n">
        <x:v>2019</x:v>
      </x:c>
      <x:c r="E7" s="24" t="str">
        <x:v>Thunnus albacares</x:v>
      </x:c>
      <x:c r="F7" s="24" t="str">
        <x:v>Yellowfin tuna</x:v>
      </x:c>
      <x:c r="G7" s="24" t="str">
        <x:v>Large pelagics (&gt;=90 cm)</x:v>
      </x:c>
      <x:c r="H7" s="24" t="str">
        <x:v>Tuna &amp; billfishes</x:v>
      </x:c>
      <x:c r="I7" s="31" t="n">
        <x:v>675.8339729853999</x:v>
      </x:c>
      <x:c r="J7" s="31" t="n">
        <x:v>675.8339729853999</x:v>
      </x:c>
      <x:c r="K7" s="31" t="n">
        <x:v>0</x:v>
      </x:c>
      <x:c r="L7" s="31" t="n">
        <x:v>675.8339729853999</x:v>
      </x:c>
      <x:c r="M7" s="31" t="n">
        <x:v>0</x:v>
      </x:c>
      <x:c r="N7" s="24" t="str">
        <x:v>thunnus albacares</x:v>
      </x:c>
      <x:c r="O7" s="32" t="n">
        <x:v>4.41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albacares</x:v>
      </x:c>
      <x:c r="T7" s="32" t="n">
        <x:f>IF(O7="","",(1/'Metadata'!$B$5)^(O7-1))</x:f>
        <x:v>2570.3957827688646</x:v>
      </x:c>
      <x:c r="U7" s="31" t="n">
        <x:f>IF(T7="","",I7*T7)</x:f>
        <x:v>1737160.7940135987</x:v>
      </x:c>
    </x:row>
    <x:row r="8" ht="18" customHeight="1">
      <x:c r="A8" s="24" t="str">
        <x:v>EEZ_096</x:v>
      </x:c>
      <x:c r="B8" s="24" t="str">
        <x:v>Brunei Darussalam</x:v>
      </x:c>
      <x:c r="C8" s="24" t="str">
        <x:v>EEZ</x:v>
      </x:c>
      <x:c r="D8" s="30" t="n">
        <x:v>2019</x:v>
      </x:c>
      <x:c r="E8" s="24" t="str">
        <x:v>Penaeidae</x:v>
      </x:c>
      <x:c r="F8" s="24" t="str">
        <x:v>Commercial shrimps and prawns</x:v>
      </x:c>
      <x:c r="G8" s="24" t="str">
        <x:v>Shrimps</x:v>
      </x:c>
      <x:c r="H8" s="24" t="str">
        <x:v>Crustaceans</x:v>
      </x:c>
      <x:c r="I8" s="31" t="n">
        <x:v>597.5321244919</x:v>
      </x:c>
      <x:c r="J8" s="31" t="n">
        <x:v>597.5321244919</x:v>
      </x:c>
      <x:c r="K8" s="31" t="n">
        <x:v>0</x:v>
      </x:c>
      <x:c r="L8" s="31" t="n">
        <x:v>475.1996452195</x:v>
      </x:c>
      <x:c r="M8" s="31" t="n">
        <x:v>122.3324792724</x:v>
      </x:c>
      <x:c r="N8" s="24" t="str">
        <x:v>penaeidae</x:v>
      </x:c>
      <x:c r="O8" s="32" t="n">
        <x:v>3.31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Penaeidae</x:v>
      </x:c>
      <x:c r="T8" s="32" t="n">
        <x:f>IF(O8="","",(1/'Metadata'!$B$5)^(O8-1))</x:f>
        <x:v>204.17379446695296</x:v>
      </x:c>
      <x:c r="U8" s="31" t="n">
        <x:f>IF(T8="","",I8*T8)</x:f>
        <x:v>122000.40117341095</x:v>
      </x:c>
    </x:row>
    <x:row r="9" ht="18" customHeight="1">
      <x:c r="A9" s="24" t="str">
        <x:v>EEZ_096</x:v>
      </x:c>
      <x:c r="B9" s="24" t="str">
        <x:v>Brunei Darussalam</x:v>
      </x:c>
      <x:c r="C9" s="24" t="str">
        <x:v>EEZ</x:v>
      </x:c>
      <x:c r="D9" s="30" t="n">
        <x:v>2019</x:v>
      </x:c>
      <x:c r="E9" s="24" t="str">
        <x:v>Sergestidae</x:v>
      </x:c>
      <x:c r="F9" s="24" t="str">
        <x:v>Sergestid shrimp</x:v>
      </x:c>
      <x:c r="G9" s="24" t="str">
        <x:v>Shrimps</x:v>
      </x:c>
      <x:c r="H9" s="24" t="str">
        <x:v>Crustaceans</x:v>
      </x:c>
      <x:c r="I9" s="31" t="n">
        <x:v>431.28</x:v>
      </x:c>
      <x:c r="J9" s="31" t="n">
        <x:v>431.28</x:v>
      </x:c>
      <x:c r="K9" s="31" t="n">
        <x:v>0</x:v>
      </x:c>
      <x:c r="L9" s="31" t="n">
        <x:v>431.28</x:v>
      </x:c>
      <x:c r="M9" s="31" t="n">
        <x:v>0</x:v>
      </x:c>
      <x:c r="N9" s="24" t="str">
        <x:v>sergestidae</x:v>
      </x:c>
      <x:c r="O9" s="32" t="n">
        <x:v>2.93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Sergestidae</x:v>
      </x:c>
      <x:c r="T9" s="32" t="n">
        <x:f>IF(O9="","",(1/'Metadata'!$B$5)^(O9-1))</x:f>
        <x:v>85.11380382023768</x:v>
      </x:c>
      <x:c r="U9" s="31" t="n">
        <x:f>IF(T9="","",I9*T9)</x:f>
        <x:v>36707.8813115921</x:v>
      </x:c>
    </x:row>
    <x:row r="10" ht="18" customHeight="1">
      <x:c r="A10" s="24" t="str">
        <x:v>EEZ_096</x:v>
      </x:c>
      <x:c r="B10" s="24" t="str">
        <x:v>Brunei Darussalam</x:v>
      </x:c>
      <x:c r="C10" s="24" t="str">
        <x:v>EEZ</x:v>
      </x:c>
      <x:c r="D10" s="30" t="n">
        <x:v>2019</x:v>
      </x:c>
      <x:c r="E10" s="24" t="str">
        <x:v>Carangidae</x:v>
      </x:c>
      <x:c r="F10" s="24" t="str">
        <x:v>Jacks, pompanos</x:v>
      </x:c>
      <x:c r="G10" s="24" t="str">
        <x:v>Medium pelagics (30 - 89 cm)</x:v>
      </x:c>
      <x:c r="H10" s="24" t="str">
        <x:v>Perch-likes</x:v>
      </x:c>
      <x:c r="I10" s="31" t="n">
        <x:v>406.6152918534</x:v>
      </x:c>
      <x:c r="J10" s="31" t="n">
        <x:v>406.6152918534</x:v>
      </x:c>
      <x:c r="K10" s="31" t="n">
        <x:v>0</x:v>
      </x:c>
      <x:c r="L10" s="31" t="n">
        <x:v>302.0318970673</x:v>
      </x:c>
      <x:c r="M10" s="31" t="n">
        <x:v>104.58339478609999</x:v>
      </x:c>
      <x:c r="N10" s="24" t="str">
        <x:v>carangidae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Carangidae</x:v>
      </x:c>
      <x:c r="T10" s="32" t="n">
        <x:f>IF(O10="","",(1/'Metadata'!$B$5)^(O10-1))</x:f>
        <x:v>1122.018454301963</x:v>
      </x:c>
      <x:c r="U10" s="31" t="n">
        <x:f>IF(T10="","",I10*T10)</x:f>
        <x:v>456229.8612608934</x:v>
      </x:c>
    </x:row>
    <x:row r="11" ht="18" customHeight="1">
      <x:c r="A11" s="24" t="str">
        <x:v>EEZ_096</x:v>
      </x:c>
      <x:c r="B11" s="24" t="str">
        <x:v>Brunei Darussalam</x:v>
      </x:c>
      <x:c r="C11" s="24" t="str">
        <x:v>EEZ</x:v>
      </x:c>
      <x:c r="D11" s="30" t="n">
        <x:v>2019</x:v>
      </x:c>
      <x:c r="E11" s="24" t="str">
        <x:v>Epinephelus</x:v>
      </x:c>
      <x:c r="F11" s="24" t="str">
        <x:v>Seabasses, hinds</x:v>
      </x:c>
      <x:c r="G11" s="24" t="str">
        <x:v>Medium reef assoc. fish (30 - 89 cm)</x:v>
      </x:c>
      <x:c r="H11" s="24" t="str">
        <x:v>Perch-likes</x:v>
      </x:c>
      <x:c r="I11" s="31" t="n">
        <x:v>394.11</x:v>
      </x:c>
      <x:c r="J11" s="31" t="n">
        <x:v>394.11</x:v>
      </x:c>
      <x:c r="K11" s="31" t="n">
        <x:v>0</x:v>
      </x:c>
      <x:c r="L11" s="31" t="n">
        <x:v>394.11</x:v>
      </x:c>
      <x:c r="M11" s="31" t="n">
        <x:v>0</x:v>
      </x:c>
      <x:c r="N11" s="24" t="str">
        <x:v>epinephelus</x:v>
      </x:c>
      <x:c r="O11" s="32" t="n">
        <x:v>3.84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Epinephelus</x:v>
      </x:c>
      <x:c r="T11" s="32" t="n">
        <x:f>IF(O11="","",(1/'Metadata'!$B$5)^(O11-1))</x:f>
        <x:v>691.8309709189363</x:v>
      </x:c>
      <x:c r="U11" s="31" t="n">
        <x:f>IF(T11="","",I11*T11)</x:f>
        <x:v>272657.50394886197</x:v>
      </x:c>
    </x:row>
    <x:row r="12" ht="18" customHeight="1">
      <x:c r="A12" s="24" t="str">
        <x:v>EEZ_096</x:v>
      </x:c>
      <x:c r="B12" s="24" t="str">
        <x:v>Brunei Darussalam</x:v>
      </x:c>
      <x:c r="C12" s="24" t="str">
        <x:v>EEZ</x:v>
      </x:c>
      <x:c r="D12" s="30" t="n">
        <x:v>2019</x:v>
      </x:c>
      <x:c r="E12" s="24" t="str">
        <x:v>Decapterus</x:v>
      </x:c>
      <x:c r="F12" s="24" t="str">
        <x:v>Scads</x:v>
      </x:c>
      <x:c r="G12" s="24" t="str">
        <x:v>Medium pelagics (30 - 89 cm)</x:v>
      </x:c>
      <x:c r="H12" s="24" t="str">
        <x:v>Perch-likes</x:v>
      </x:c>
      <x:c r="I12" s="31" t="n">
        <x:v>393.27664824880003</x:v>
      </x:c>
      <x:c r="J12" s="31" t="n">
        <x:v>393.27664824880003</x:v>
      </x:c>
      <x:c r="K12" s="31" t="n">
        <x:v>0</x:v>
      </x:c>
      <x:c r="L12" s="31" t="n">
        <x:v>393.27664824880003</x:v>
      </x:c>
      <x:c r="M12" s="31" t="n">
        <x:v>0</x:v>
      </x:c>
      <x:c r="N12" s="24" t="str">
        <x:v>decapterus</x:v>
      </x:c>
      <x:c r="O12" s="32" t="n">
        <x:v>3.63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Decapterus</x:v>
      </x:c>
      <x:c r="T12" s="32" t="n">
        <x:f>IF(O12="","",(1/'Metadata'!$B$5)^(O12-1))</x:f>
        <x:v>426.57951880159254</x:v>
      </x:c>
      <x:c r="U12" s="31" t="n">
        <x:f>IF(T12="","",I12*T12)</x:f>
        <x:v>167763.76336587628</x:v>
      </x:c>
    </x:row>
    <x:row r="13" ht="18" customHeight="1">
      <x:c r="A13" s="24" t="str">
        <x:v>EEZ_096</x:v>
      </x:c>
      <x:c r="B13" s="24" t="str">
        <x:v>Brunei Darussalam</x:v>
      </x:c>
      <x:c r="C13" s="24" t="str">
        <x:v>EEZ</x:v>
      </x:c>
      <x:c r="D13" s="30" t="n">
        <x:v>2019</x:v>
      </x:c>
      <x:c r="E13" s="24" t="str">
        <x:v>Stolephorus</x:v>
      </x:c>
      <x:c r="F13" s="24" t="str">
        <x:v>Garment anchovies</x:v>
      </x:c>
      <x:c r="G13" s="24" t="str">
        <x:v>Small pelagics (&lt;30 cm)</x:v>
      </x:c>
      <x:c r="H13" s="24" t="str">
        <x:v>Anchovies</x:v>
      </x:c>
      <x:c r="I13" s="31" t="n">
        <x:v>370.0370501311</x:v>
      </x:c>
      <x:c r="J13" s="31" t="n">
        <x:v>0</x:v>
      </x:c>
      <x:c r="K13" s="31" t="n">
        <x:v>370.0370501311</x:v>
      </x:c>
      <x:c r="L13" s="31" t="n">
        <x:v>0</x:v>
      </x:c>
      <x:c r="M13" s="31" t="n">
        <x:v>370.0370501311</x:v>
      </x:c>
      <x:c r="N13" s="24" t="str">
        <x:v>stolephorus</x:v>
      </x:c>
      <x:c r="O13" s="32" t="n">
        <x:v>3.44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Stolephorus</x:v>
      </x:c>
      <x:c r="T13" s="32" t="n">
        <x:f>IF(O13="","",(1/'Metadata'!$B$5)^(O13-1))</x:f>
        <x:v>275.4228703338166</x:v>
      </x:c>
      <x:c r="U13" s="31" t="n">
        <x:f>IF(T13="","",I13*T13)</x:f>
        <x:v>101916.66647696594</x:v>
      </x:c>
    </x:row>
    <x:row r="14" ht="18" customHeight="1">
      <x:c r="A14" s="24" t="str">
        <x:v>EEZ_096</x:v>
      </x:c>
      <x:c r="B14" s="24" t="str">
        <x:v>Brunei Darussalam</x:v>
      </x:c>
      <x:c r="C14" s="24" t="str">
        <x:v>EEZ</x:v>
      </x:c>
      <x:c r="D14" s="30" t="n">
        <x:v>2019</x:v>
      </x:c>
      <x:c r="E14" s="24" t="str">
        <x:v>Leiognathidae</x:v>
      </x:c>
      <x:c r="F14" s="24" t="str">
        <x:v>Slipmouths, ponyfishes</x:v>
      </x:c>
      <x:c r="G14" s="24" t="str">
        <x:v>Small benthopelagics (&lt;30 cm)</x:v>
      </x:c>
      <x:c r="H14" s="24" t="str">
        <x:v>Perch-likes</x:v>
      </x:c>
      <x:c r="I14" s="31" t="n">
        <x:v>354.47847420560004</x:v>
      </x:c>
      <x:c r="J14" s="31" t="n">
        <x:v>107.7871074517</x:v>
      </x:c>
      <x:c r="K14" s="31" t="n">
        <x:v>246.6913667539</x:v>
      </x:c>
      <x:c r="L14" s="31" t="n">
        <x:v>107.7871074517</x:v>
      </x:c>
      <x:c r="M14" s="31" t="n">
        <x:v>246.6913667539</x:v>
      </x:c>
      <x:c r="N14" s="24" t="str">
        <x:v>leiognathidae</x:v>
      </x:c>
      <x:c r="O14" s="32" t="n">
        <x:v>3.24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Leiognathidae</x:v>
      </x:c>
      <x:c r="T14" s="32" t="n">
        <x:f>IF(O14="","",(1/'Metadata'!$B$5)^(O14-1))</x:f>
        <x:v>173.78008287493762</x:v>
      </x:c>
      <x:c r="U14" s="31" t="n">
        <x:f>IF(T14="","",I14*T14)</x:f>
        <x:v>61601.29862483061</x:v>
      </x:c>
    </x:row>
    <x:row r="15" ht="18" customHeight="1">
      <x:c r="A15" s="24" t="str">
        <x:v>EEZ_096</x:v>
      </x:c>
      <x:c r="B15" s="24" t="str">
        <x:v>Brunei Darussalam</x:v>
      </x:c>
      <x:c r="C15" s="24" t="str">
        <x:v>EEZ</x:v>
      </x:c>
      <x:c r="D15" s="30" t="n">
        <x:v>2019</x:v>
      </x:c>
      <x:c r="E15" s="24" t="str">
        <x:v>Scomberomorus commerson</x:v>
      </x:c>
      <x:c r="F15" s="24" t="str">
        <x:v>Narrow-barred Spanish mackerel</x:v>
      </x:c>
      <x:c r="G15" s="24" t="str">
        <x:v>Large pelagics (&gt;=90 cm)</x:v>
      </x:c>
      <x:c r="H15" s="24" t="str">
        <x:v>Perch-likes</x:v>
      </x:c>
      <x:c r="I15" s="31" t="n">
        <x:v>350.6791401035</x:v>
      </x:c>
      <x:c r="J15" s="31" t="n">
        <x:v>350.6791401035</x:v>
      </x:c>
      <x:c r="K15" s="31" t="n">
        <x:v>0</x:v>
      </x:c>
      <x:c r="L15" s="31" t="n">
        <x:v>350.6791401035</x:v>
      </x:c>
      <x:c r="M15" s="31" t="n">
        <x:v>0</x:v>
      </x:c>
      <x:c r="N15" s="24" t="str">
        <x:v>scomberomorus commerson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Scomberomorus commerson</x:v>
      </x:c>
      <x:c r="T15" s="32" t="n">
        <x:f>IF(O15="","",(1/'Metadata'!$B$5)^(O15-1))</x:f>
        <x:v>3162.2776601683795</x:v>
      </x:c>
      <x:c r="U15" s="31" t="n">
        <x:f>IF(T15="","",I15*T15)</x:f>
        <x:v>1108944.8106363553</x:v>
      </x:c>
    </x:row>
    <x:row r="16" ht="18" customHeight="1">
      <x:c r="A16" s="24" t="str">
        <x:v>EEZ_096</x:v>
      </x:c>
      <x:c r="B16" s="24" t="str">
        <x:v>Brunei Darussalam</x:v>
      </x:c>
      <x:c r="C16" s="24" t="str">
        <x:v>EEZ</x:v>
      </x:c>
      <x:c r="D16" s="30" t="n">
        <x:v>2019</x:v>
      </x:c>
      <x:c r="E16" s="24" t="str">
        <x:v>Apogonidae</x:v>
      </x:c>
      <x:c r="F16" s="24" t="str">
        <x:v>Cardinalfishes</x:v>
      </x:c>
      <x:c r="G16" s="24" t="str">
        <x:v>Small reef assoc. fish (&lt;30 cm)</x:v>
      </x:c>
      <x:c r="H16" s="24" t="str">
        <x:v>Perch-likes</x:v>
      </x:c>
      <x:c r="I16" s="31" t="n">
        <x:v>349.479436235</x:v>
      </x:c>
      <x:c r="J16" s="31" t="n">
        <x:v>0</x:v>
      </x:c>
      <x:c r="K16" s="31" t="n">
        <x:v>349.479436235</x:v>
      </x:c>
      <x:c r="L16" s="31" t="n">
        <x:v>0</x:v>
      </x:c>
      <x:c r="M16" s="31" t="n">
        <x:v>349.479436235</x:v>
      </x:c>
      <x:c r="N16" s="24" t="str">
        <x:v>apogonidae</x:v>
      </x:c>
      <x:c r="O16" s="32" t="n">
        <x:v>3.54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Apogonidae</x:v>
      </x:c>
      <x:c r="T16" s="32" t="n">
        <x:f>IF(O16="","",(1/'Metadata'!$B$5)^(O16-1))</x:f>
        <x:v>346.73685045253166</x:v>
      </x:c>
      <x:c r="U16" s="31" t="n">
        <x:f>IF(T16="","",I16*T16)</x:f>
        <x:v>121177.39901805026</x:v>
      </x:c>
    </x:row>
    <x:row r="17" ht="18" customHeight="1">
      <x:c r="A17" s="24" t="str">
        <x:v>EEZ_096</x:v>
      </x:c>
      <x:c r="B17" s="24" t="str">
        <x:v>Brunei Darussalam</x:v>
      </x:c>
      <x:c r="C17" s="24" t="str">
        <x:v>EEZ</x:v>
      </x:c>
      <x:c r="D17" s="30" t="n">
        <x:v>2019</x:v>
      </x:c>
      <x:c r="E17" s="24" t="str">
        <x:v>Lutjanidae</x:v>
      </x:c>
      <x:c r="F17" s="24" t="str">
        <x:v>Snappers</x:v>
      </x:c>
      <x:c r="G17" s="24" t="str">
        <x:v>Medium reef assoc. fish (30 - 89 cm)</x:v>
      </x:c>
      <x:c r="H17" s="24" t="str">
        <x:v>Perch-likes</x:v>
      </x:c>
      <x:c r="I17" s="31" t="n">
        <x:v>348.82045430430003</x:v>
      </x:c>
      <x:c r="J17" s="31" t="n">
        <x:v>348.82045430430003</x:v>
      </x:c>
      <x:c r="K17" s="31" t="n">
        <x:v>0</x:v>
      </x:c>
      <x:c r="L17" s="31" t="n">
        <x:v>299.683345834</x:v>
      </x:c>
      <x:c r="M17" s="31" t="n">
        <x:v>49.1371084703</x:v>
      </x:c>
      <x:c r="N17" s="24" t="str">
        <x:v>lutjanidae</x:v>
      </x:c>
      <x:c r="O17" s="32" t="n">
        <x:v>4.02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Lutjanidae</x:v>
      </x:c>
      <x:c r="T17" s="32" t="n">
        <x:f>IF(O17="","",(1/'Metadata'!$B$5)^(O17-1))</x:f>
        <x:v>1047.1285480508984</x:v>
      </x:c>
      <x:c r="U17" s="31" t="n">
        <x:f>IF(T17="","",I17*T17)</x:f>
        <x:v>365259.85584611644</x:v>
      </x:c>
    </x:row>
    <x:row r="18" ht="18" customHeight="1">
      <x:c r="A18" s="24" t="str">
        <x:v>EEZ_096</x:v>
      </x:c>
      <x:c r="B18" s="24" t="str">
        <x:v>Brunei Darussalam</x:v>
      </x:c>
      <x:c r="C18" s="24" t="str">
        <x:v>EEZ</x:v>
      </x:c>
      <x:c r="D18" s="30" t="n">
        <x:v>2019</x:v>
      </x:c>
      <x:c r="E18" s="24" t="str">
        <x:v>Saurida tumbil</x:v>
      </x:c>
      <x:c r="F18" s="24" t="str">
        <x:v>Greater lizardfish</x:v>
      </x:c>
      <x:c r="G18" s="24" t="str">
        <x:v>Medium demersals (30 - 89 cm)</x:v>
      </x:c>
      <x:c r="H18" s="24" t="str">
        <x:v>Other fishes &amp; inverts</x:v>
      </x:c>
      <x:c r="I18" s="31" t="n">
        <x:v>308.3642084425</x:v>
      </x:c>
      <x:c r="J18" s="31" t="n">
        <x:v>0</x:v>
      </x:c>
      <x:c r="K18" s="31" t="n">
        <x:v>308.3642084425</x:v>
      </x:c>
      <x:c r="L18" s="31" t="n">
        <x:v>0</x:v>
      </x:c>
      <x:c r="M18" s="31" t="n">
        <x:v>308.3642084425</x:v>
      </x:c>
      <x:c r="N18" s="24" t="str">
        <x:v>saurida tumbil</x:v>
      </x:c>
      <x:c r="O18" s="32" t="n">
        <x:v>4.4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Saurida tumbil</x:v>
      </x:c>
      <x:c r="T18" s="32" t="n">
        <x:f>IF(O18="","",(1/'Metadata'!$B$5)^(O18-1))</x:f>
        <x:v>2511.886431509582</x:v>
      </x:c>
      <x:c r="U18" s="31" t="n">
        <x:f>IF(T18="","",I18*T18)</x:f>
        <x:v>774575.8711499083</x:v>
      </x:c>
    </x:row>
    <x:row r="19" ht="18" customHeight="1">
      <x:c r="A19" s="24" t="str">
        <x:v>EEZ_096</x:v>
      </x:c>
      <x:c r="B19" s="24" t="str">
        <x:v>Brunei Darussalam</x:v>
      </x:c>
      <x:c r="C19" s="24" t="str">
        <x:v>EEZ</x:v>
      </x:c>
      <x:c r="D19" s="30" t="n">
        <x:v>2019</x:v>
      </x:c>
      <x:c r="E19" s="24" t="str">
        <x:v>Leiognathus</x:v>
      </x:c>
      <x:c r="F19" s="24" t="str">
        <x:v>Ponyfishes</x:v>
      </x:c>
      <x:c r="G19" s="24" t="str">
        <x:v>Small benthopelagics (&lt;30 cm)</x:v>
      </x:c>
      <x:c r="H19" s="24" t="str">
        <x:v>Perch-likes</x:v>
      </x:c>
      <x:c r="I19" s="31" t="n">
        <x:v>290.920306639</x:v>
      </x:c>
      <x:c r="J19" s="31" t="n">
        <x:v>290.920306639</x:v>
      </x:c>
      <x:c r="K19" s="31" t="n">
        <x:v>0</x:v>
      </x:c>
      <x:c r="L19" s="31" t="n">
        <x:v>290.920306639</x:v>
      </x:c>
      <x:c r="M19" s="31" t="n">
        <x:v>0</x:v>
      </x:c>
      <x:c r="N19" s="24" t="str">
        <x:v>leiognathus</x:v>
      </x:c>
      <x:c r="O19" s="32" t="n">
        <x:v>3.22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Leiognathus</x:v>
      </x:c>
      <x:c r="T19" s="32" t="n">
        <x:f>IF(O19="","",(1/'Metadata'!$B$5)^(O19-1))</x:f>
        <x:v>165.95869074375614</x:v>
      </x:c>
      <x:c r="U19" s="31" t="n">
        <x:f>IF(T19="","",I19*T19)</x:f>
        <x:v>48280.753200580504</x:v>
      </x:c>
    </x:row>
    <x:row r="20" ht="18" customHeight="1">
      <x:c r="A20" s="24" t="str">
        <x:v>EEZ_096</x:v>
      </x:c>
      <x:c r="B20" s="24" t="str">
        <x:v>Brunei Darussalam</x:v>
      </x:c>
      <x:c r="C20" s="24" t="str">
        <x:v>EEZ</x:v>
      </x:c>
      <x:c r="D20" s="30" t="n">
        <x:v>2019</x:v>
      </x:c>
      <x:c r="E20" s="24" t="str">
        <x:v>Nemipterus</x:v>
      </x:c>
      <x:c r="F20" s="24" t="str">
        <x:v>Threadfin breams</x:v>
      </x:c>
      <x:c r="G20" s="24" t="str">
        <x:v>Small demersals (&lt;30 cm)</x:v>
      </x:c>
      <x:c r="H20" s="24" t="str">
        <x:v>Perch-likes</x:v>
      </x:c>
      <x:c r="I20" s="31" t="n">
        <x:v>251.24385948309998</x:v>
      </x:c>
      <x:c r="J20" s="31" t="n">
        <x:v>251.24385948309998</x:v>
      </x:c>
      <x:c r="K20" s="31" t="n">
        <x:v>0</x:v>
      </x:c>
      <x:c r="L20" s="31" t="n">
        <x:v>251.24385948309998</x:v>
      </x:c>
      <x:c r="M20" s="31" t="n">
        <x:v>0</x:v>
      </x:c>
      <x:c r="N20" s="24" t="str">
        <x:v>nemipterus</x:v>
      </x:c>
      <x:c r="O20" s="32" t="n">
        <x:v>3.72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Nemipterus</x:v>
      </x:c>
      <x:c r="T20" s="32" t="n">
        <x:f>IF(O20="","",(1/'Metadata'!$B$5)^(O20-1))</x:f>
        <x:v>524.8074602497728</x:v>
      </x:c>
      <x:c r="U20" s="31" t="n">
        <x:f>IF(T20="","",I20*T20)</x:f>
        <x:v>131854.6517986765</x:v>
      </x:c>
    </x:row>
    <x:row r="21" ht="18" customHeight="1">
      <x:c r="A21" s="24" t="str">
        <x:v>EEZ_096</x:v>
      </x:c>
      <x:c r="B21" s="24" t="str">
        <x:v>Brunei Darussalam</x:v>
      </x:c>
      <x:c r="C21" s="24" t="str">
        <x:v>EEZ</x:v>
      </x:c>
      <x:c r="D21" s="30" t="n">
        <x:v>2019</x:v>
      </x:c>
      <x:c r="E21" s="24" t="str">
        <x:v>Scombridae</x:v>
      </x:c>
      <x:c r="F21" s="24" t="str">
        <x:v>Mackerels, tunas, bonitos</x:v>
      </x:c>
      <x:c r="G21" s="24" t="str">
        <x:v>Medium pelagics (30 - 89 cm)</x:v>
      </x:c>
      <x:c r="H21" s="24" t="str">
        <x:v>Perch-likes</x:v>
      </x:c>
      <x:c r="I21" s="31" t="n">
        <x:v>224.2939490844</x:v>
      </x:c>
      <x:c r="J21" s="31" t="n">
        <x:v>224.2939490844</x:v>
      </x:c>
      <x:c r="K21" s="31" t="n">
        <x:v>0</x:v>
      </x:c>
      <x:c r="L21" s="31" t="n">
        <x:v>158.0422048599</x:v>
      </x:c>
      <x:c r="M21" s="31" t="n">
        <x:v>66.2517442245</x:v>
      </x:c>
      <x:c r="N21" s="24" t="str">
        <x:v>scombridae</x:v>
      </x:c>
      <x:c r="O21" s="32" t="n">
        <x:v>4.26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Scombridae</x:v>
      </x:c>
      <x:c r="T21" s="32" t="n">
        <x:f>IF(O21="","",(1/'Metadata'!$B$5)^(O21-1))</x:f>
        <x:v>1819.7008586099826</x:v>
      </x:c>
      <x:c r="U21" s="31" t="n">
        <x:f>IF(T21="","",I21*T21)</x:f>
        <x:v>408147.8917299064</x:v>
      </x:c>
    </x:row>
    <x:row r="22" ht="18" customHeight="1">
      <x:c r="A22" s="24" t="str">
        <x:v>EEZ_096</x:v>
      </x:c>
      <x:c r="B22" s="24" t="str">
        <x:v>Brunei Darussalam</x:v>
      </x:c>
      <x:c r="C22" s="24" t="str">
        <x:v>EEZ</x:v>
      </x:c>
      <x:c r="D22" s="30" t="n">
        <x:v>2019</x:v>
      </x:c>
      <x:c r="E22" s="24" t="str">
        <x:v>Trichiurus lepturus</x:v>
      </x:c>
      <x:c r="F22" s="24" t="str">
        <x:v>Largehead hairtail</x:v>
      </x:c>
      <x:c r="G22" s="24" t="str">
        <x:v>Large benthopelagics (&gt;=90 cm)</x:v>
      </x:c>
      <x:c r="H22" s="24" t="str">
        <x:v>Perch-likes</x:v>
      </x:c>
      <x:c r="I22" s="31" t="n">
        <x:v>209.8538829146</x:v>
      </x:c>
      <x:c r="J22" s="31" t="n">
        <x:v>24.8353578493</x:v>
      </x:c>
      <x:c r="K22" s="31" t="n">
        <x:v>185.0185250653</x:v>
      </x:c>
      <x:c r="L22" s="31" t="n">
        <x:v>24.8353578493</x:v>
      </x:c>
      <x:c r="M22" s="31" t="n">
        <x:v>185.0185250653</x:v>
      </x:c>
      <x:c r="N22" s="24" t="str">
        <x:v>trichiurus lepturus</x:v>
      </x:c>
      <x:c r="O22" s="32" t="n">
        <x:v>4.42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Trichiurus lepturus</x:v>
      </x:c>
      <x:c r="T22" s="32" t="n">
        <x:f>IF(O22="","",(1/'Metadata'!$B$5)^(O22-1))</x:f>
        <x:v>2630.2679918953813</x:v>
      </x:c>
      <x:c r="U22" s="31" t="n">
        <x:f>IF(T22="","",I22*T22)</x:f>
        <x:v>551971.9512052335</x:v>
      </x:c>
    </x:row>
    <x:row r="23" ht="18" customHeight="1">
      <x:c r="A23" s="24" t="str">
        <x:v>EEZ_096</x:v>
      </x:c>
      <x:c r="B23" s="24" t="str">
        <x:v>Brunei Darussalam</x:v>
      </x:c>
      <x:c r="C23" s="24" t="str">
        <x:v>EEZ</x:v>
      </x:c>
      <x:c r="D23" s="30" t="n">
        <x:v>2019</x:v>
      </x:c>
      <x:c r="E23" s="24" t="str">
        <x:v>Miscellaneous aquatic invertebrates</x:v>
      </x:c>
      <x:c r="F23" s="24" t="str">
        <x:v>Aquatic invertebrates</x:v>
      </x:c>
      <x:c r="G23" s="24" t="str">
        <x:v>Other demersal invertebrates</x:v>
      </x:c>
      <x:c r="H23" s="24" t="str">
        <x:v>Other fishes &amp; inverts</x:v>
      </x:c>
      <x:c r="I23" s="31" t="n">
        <x:v>207.6117975279</x:v>
      </x:c>
      <x:c r="J23" s="31" t="n">
        <x:v>207.6117975279</x:v>
      </x:c>
      <x:c r="K23" s="31" t="n">
        <x:v>0</x:v>
      </x:c>
      <x:c r="L23" s="31" t="n">
        <x:v>64.0232427553</x:v>
      </x:c>
      <x:c r="M23" s="31" t="n">
        <x:v>143.5885547726</x:v>
      </x:c>
      <x:c r="N23" s="24" t="str">
        <x:v>miscellaneous aquatic invertebrates</x:v>
      </x:c>
      <x:c r="O23" s="32" t="n">
        <x:v>2.43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Miscellaneous aquatic invertebrates</x:v>
      </x:c>
      <x:c r="T23" s="32" t="n">
        <x:f>IF(O23="","",(1/'Metadata'!$B$5)^(O23-1))</x:f>
        <x:v>26.915348039269166</x:v>
      </x:c>
      <x:c r="U23" s="31" t="n">
        <x:f>IF(T23="","",I23*T23)</x:f>
        <x:v>5587.94378752171</x:v>
      </x:c>
    </x:row>
    <x:row r="24" ht="18" customHeight="1">
      <x:c r="A24" s="24" t="str">
        <x:v>EEZ_096</x:v>
      </x:c>
      <x:c r="B24" s="24" t="str">
        <x:v>Brunei Darussalam</x:v>
      </x:c>
      <x:c r="C24" s="24" t="str">
        <x:v>EEZ</x:v>
      </x:c>
      <x:c r="D24" s="30" t="n">
        <x:v>2019</x:v>
      </x:c>
      <x:c r="E24" s="24" t="str">
        <x:v>Ariidae</x:v>
      </x:c>
      <x:c r="F24" s="24" t="str">
        <x:v>Sea catfishes, coblers</x:v>
      </x:c>
      <x:c r="G24" s="24" t="str">
        <x:v>Medium demersals (30 - 89 cm)</x:v>
      </x:c>
      <x:c r="H24" s="24" t="str">
        <x:v>Other fishes &amp; inverts</x:v>
      </x:c>
      <x:c r="I24" s="31" t="n">
        <x:v>183.34232875459998</x:v>
      </x:c>
      <x:c r="J24" s="31" t="n">
        <x:v>183.34232875459998</x:v>
      </x:c>
      <x:c r="K24" s="31" t="n">
        <x:v>0</x:v>
      </x:c>
      <x:c r="L24" s="31" t="n">
        <x:v>134.2052202843</x:v>
      </x:c>
      <x:c r="M24" s="31" t="n">
        <x:v>49.1371084703</x:v>
      </x:c>
      <x:c r="N24" s="24" t="str">
        <x:v>ariidae</x:v>
      </x:c>
      <x:c r="O24" s="32" t="n">
        <x:v>3.48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Ariidae</x:v>
      </x:c>
      <x:c r="T24" s="32" t="n">
        <x:f>IF(O24="","",(1/'Metadata'!$B$5)^(O24-1))</x:f>
        <x:v>301.9951720402016</x:v>
      </x:c>
      <x:c r="U24" s="31" t="n">
        <x:f>IF(T24="","",I24*T24)</x:f>
        <x:v>55368.49811449662</x:v>
      </x:c>
    </x:row>
    <x:row r="25" ht="18" customHeight="1">
      <x:c r="A25" s="24" t="str">
        <x:v>EEZ_096</x:v>
      </x:c>
      <x:c r="B25" s="24" t="str">
        <x:v>Brunei Darussalam</x:v>
      </x:c>
      <x:c r="C25" s="24" t="str">
        <x:v>EEZ</x:v>
      </x:c>
      <x:c r="D25" s="30" t="n">
        <x:v>2019</x:v>
      </x:c>
      <x:c r="E25" s="24" t="str">
        <x:v>Rastrelliger brachysoma</x:v>
      </x:c>
      <x:c r="F25" s="24" t="str">
        <x:v>Short mackerel</x:v>
      </x:c>
      <x:c r="G25" s="24" t="str">
        <x:v>Medium pelagics (30 - 89 cm)</x:v>
      </x:c>
      <x:c r="H25" s="24" t="str">
        <x:v>Perch-likes</x:v>
      </x:c>
      <x:c r="I25" s="31" t="n">
        <x:v>179.38</x:v>
      </x:c>
      <x:c r="J25" s="31" t="n">
        <x:v>179.38</x:v>
      </x:c>
      <x:c r="K25" s="31" t="n">
        <x:v>0</x:v>
      </x:c>
      <x:c r="L25" s="31" t="n">
        <x:v>179.38</x:v>
      </x:c>
      <x:c r="M25" s="31" t="n">
        <x:v>0</x:v>
      </x:c>
      <x:c r="N25" s="24" t="str">
        <x:v>rastrelliger brachysoma</x:v>
      </x:c>
      <x:c r="O25" s="32" t="n">
        <x:v>2.72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Rastrelliger brachysoma</x:v>
      </x:c>
      <x:c r="T25" s="32" t="n">
        <x:f>IF(O25="","",(1/'Metadata'!$B$5)^(O25-1))</x:f>
        <x:v>52.480746024977286</x:v>
      </x:c>
      <x:c r="U25" s="31" t="n">
        <x:f>IF(T25="","",I25*T25)</x:f>
        <x:v>9413.996221960426</x:v>
      </x:c>
    </x:row>
    <x:row r="26" ht="18" customHeight="1">
      <x:c r="A26" s="24" t="str">
        <x:v>EEZ_096</x:v>
      </x:c>
      <x:c r="B26" s="24" t="str">
        <x:v>Brunei Darussalam</x:v>
      </x:c>
      <x:c r="C26" s="24" t="str">
        <x:v>EEZ</x:v>
      </x:c>
      <x:c r="D26" s="30" t="n">
        <x:v>2019</x:v>
      </x:c>
      <x:c r="E26" s="24" t="str">
        <x:v>Clupeidae</x:v>
      </x:c>
      <x:c r="F26" s="24" t="str">
        <x:v>Herrings, sardines, menhadens</x:v>
      </x:c>
      <x:c r="G26" s="24" t="str">
        <x:v>Small pelagics (&lt;30 cm)</x:v>
      </x:c>
      <x:c r="H26" s="24" t="str">
        <x:v>Herring-likes</x:v>
      </x:c>
      <x:c r="I26" s="31" t="n">
        <x:v>176.5160262713</x:v>
      </x:c>
      <x:c r="J26" s="31" t="n">
        <x:v>176.5160262713</x:v>
      </x:c>
      <x:c r="K26" s="31" t="n">
        <x:v>0</x:v>
      </x:c>
      <x:c r="L26" s="31" t="n">
        <x:v>103.41740985370001</x:v>
      </x:c>
      <x:c r="M26" s="31" t="n">
        <x:v>73.0986164176</x:v>
      </x:c>
      <x:c r="N26" s="24" t="str">
        <x:v>clupeidae</x:v>
      </x:c>
      <x:c r="O26" s="32" t="n">
        <x:v>3.16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Clupeidae</x:v>
      </x:c>
      <x:c r="T26" s="32" t="n">
        <x:f>IF(O26="","",(1/'Metadata'!$B$5)^(O26-1))</x:f>
        <x:v>144.5439770745928</x:v>
      </x:c>
      <x:c r="U26" s="31" t="n">
        <x:f>IF(T26="","",I26*T26)</x:f>
        <x:v>25514.328454657007</x:v>
      </x:c>
    </x:row>
    <x:row r="27" ht="18" customHeight="1">
      <x:c r="A27" s="24" t="str">
        <x:v>EEZ_096</x:v>
      </x:c>
      <x:c r="B27" s="24" t="str">
        <x:v>Brunei Darussalam</x:v>
      </x:c>
      <x:c r="C27" s="24" t="str">
        <x:v>EEZ</x:v>
      </x:c>
      <x:c r="D27" s="30" t="n">
        <x:v>2019</x:v>
      </x:c>
      <x:c r="E27" s="24" t="str">
        <x:v>Auxis</x:v>
      </x:c>
      <x:c r="F27" s="24" t="str">
        <x:v>Bullet and frigate tunas</x:v>
      </x:c>
      <x:c r="G27" s="24" t="str">
        <x:v>Medium pelagics (30 - 89 cm)</x:v>
      </x:c>
      <x:c r="H27" s="24" t="str">
        <x:v>Tuna &amp; billfishes</x:v>
      </x:c>
      <x:c r="I27" s="31" t="n">
        <x:v>172.4442518114</x:v>
      </x:c>
      <x:c r="J27" s="31" t="n">
        <x:v>172.4442518114</x:v>
      </x:c>
      <x:c r="K27" s="31" t="n">
        <x:v>0</x:v>
      </x:c>
      <x:c r="L27" s="31" t="n">
        <x:v>172.4442518114</x:v>
      </x:c>
      <x:c r="M27" s="31" t="n">
        <x:v>0</x:v>
      </x:c>
      <x:c r="N27" s="24" t="str">
        <x:v>auxis</x:v>
      </x:c>
      <x:c r="O27" s="32" t="n">
        <x:v>4.24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Auxis</x:v>
      </x:c>
      <x:c r="T27" s="32" t="n">
        <x:f>IF(O27="","",(1/'Metadata'!$B$5)^(O27-1))</x:f>
        <x:v>1737.8008287493763</x:v>
      </x:c>
      <x:c r="U27" s="31" t="n">
        <x:f>IF(T27="","",I27*T27)</x:f>
        <x:v>299673.76371091703</x:v>
      </x:c>
    </x:row>
    <x:row r="28" ht="18" customHeight="1">
      <x:c r="A28" s="24" t="str">
        <x:v>EEZ_096</x:v>
      </x:c>
      <x:c r="B28" s="24" t="str">
        <x:v>Brunei Darussalam</x:v>
      </x:c>
      <x:c r="C28" s="24" t="str">
        <x:v>EEZ</x:v>
      </x:c>
      <x:c r="D28" s="30" t="n">
        <x:v>2019</x:v>
      </x:c>
      <x:c r="E28" s="24" t="str">
        <x:v>Dussumieria acuta</x:v>
      </x:c>
      <x:c r="F28" s="24" t="str">
        <x:v>Rainbow sardine</x:v>
      </x:c>
      <x:c r="G28" s="24" t="str">
        <x:v>Small pelagics (&lt;30 cm)</x:v>
      </x:c>
      <x:c r="H28" s="24" t="str">
        <x:v>Herring-likes</x:v>
      </x:c>
      <x:c r="I28" s="31" t="n">
        <x:v>156.42</x:v>
      </x:c>
      <x:c r="J28" s="31" t="n">
        <x:v>156.42</x:v>
      </x:c>
      <x:c r="K28" s="31" t="n">
        <x:v>0</x:v>
      </x:c>
      <x:c r="L28" s="31" t="n">
        <x:v>156.42</x:v>
      </x:c>
      <x:c r="M28" s="31" t="n">
        <x:v>0</x:v>
      </x:c>
      <x:c r="N28" s="24" t="str">
        <x:v>dussumieria acuta</x:v>
      </x:c>
      <x:c r="O28" s="32" t="n">
        <x:v>3.4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Dussumieria acuta</x:v>
      </x:c>
      <x:c r="T28" s="32" t="n">
        <x:f>IF(O28="","",(1/'Metadata'!$B$5)^(O28-1))</x:f>
        <x:v>251.18864315095797</x:v>
      </x:c>
      <x:c r="U28" s="31" t="n">
        <x:f>IF(T28="","",I28*T28)</x:f>
        <x:v>39290.92756167284</x:v>
      </x:c>
    </x:row>
    <x:row r="29" ht="18" customHeight="1">
      <x:c r="A29" s="24" t="str">
        <x:v>EEZ_096</x:v>
      </x:c>
      <x:c r="B29" s="24" t="str">
        <x:v>Brunei Darussalam</x:v>
      </x:c>
      <x:c r="C29" s="24" t="str">
        <x:v>EEZ</x:v>
      </x:c>
      <x:c r="D29" s="30" t="n">
        <x:v>2019</x:v>
      </x:c>
      <x:c r="E29" s="24" t="str">
        <x:v>Nemipteridae</x:v>
      </x:c>
      <x:c r="F29" s="24" t="str">
        <x:v>Threadfins, whiptail breams</x:v>
      </x:c>
      <x:c r="G29" s="24" t="str">
        <x:v>Small demersals (&lt;30 cm)</x:v>
      </x:c>
      <x:c r="H29" s="24" t="str">
        <x:v>Perch-likes</x:v>
      </x:c>
      <x:c r="I29" s="31" t="n">
        <x:v>137.52411333150002</x:v>
      </x:c>
      <x:c r="J29" s="31" t="n">
        <x:v>137.52411333150002</x:v>
      </x:c>
      <x:c r="K29" s="31" t="n">
        <x:v>0</x:v>
      </x:c>
      <x:c r="L29" s="31" t="n">
        <x:v>137.52411333150002</x:v>
      </x:c>
      <x:c r="M29" s="31" t="n">
        <x:v>0</x:v>
      </x:c>
      <x:c r="N29" s="24" t="str">
        <x:v>nemipteridae</x:v>
      </x:c>
      <x:c r="O29" s="32" t="n">
        <x:v>3.51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Nemipteridae</x:v>
      </x:c>
      <x:c r="T29" s="32" t="n">
        <x:f>IF(O29="","",(1/'Metadata'!$B$5)^(O29-1))</x:f>
        <x:v>323.5936569296281</x:v>
      </x:c>
      <x:c r="U29" s="31" t="n">
        <x:f>IF(T29="","",I29*T29)</x:f>
        <x:v>44501.93074894471</x:v>
      </x:c>
    </x:row>
    <x:row r="30" ht="18" customHeight="1">
      <x:c r="A30" s="24" t="str">
        <x:v>EEZ_096</x:v>
      </x:c>
      <x:c r="B30" s="24" t="str">
        <x:v>Brunei Darussalam</x:v>
      </x:c>
      <x:c r="C30" s="24" t="str">
        <x:v>EEZ</x:v>
      </x:c>
      <x:c r="D30" s="30" t="n">
        <x:v>2019</x:v>
      </x:c>
      <x:c r="E30" s="24" t="str">
        <x:v>Elasmobranchii</x:v>
      </x:c>
      <x:c r="F30" s="24" t="str">
        <x:v>Sharks, rays, skates</x:v>
      </x:c>
      <x:c r="G30" s="24" t="str">
        <x:v>Large sharks (&gt;=90 cm)</x:v>
      </x:c>
      <x:c r="H30" s="24" t="str">
        <x:v>Sharks &amp; rays</x:v>
      </x:c>
      <x:c r="I30" s="31" t="n">
        <x:v>114.5800142749</x:v>
      </x:c>
      <x:c r="J30" s="31" t="n">
        <x:v>114.5800142749</x:v>
      </x:c>
      <x:c r="K30" s="31" t="n">
        <x:v>0</x:v>
      </x:c>
      <x:c r="L30" s="31" t="n">
        <x:v>24.6797947003</x:v>
      </x:c>
      <x:c r="M30" s="31" t="n">
        <x:v>89.90021957459999</x:v>
      </x:c>
      <x:c r="N30" s="24" t="str">
        <x:v>elasmobranchii</x:v>
      </x:c>
      <x:c r="O30" s="32" t="n">
        <x:v>4.05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Elasmobranchii</x:v>
      </x:c>
      <x:c r="T30" s="32" t="n">
        <x:f>IF(O30="","",(1/'Metadata'!$B$5)^(O30-1))</x:f>
        <x:v>1122.018454301963</x:v>
      </x:c>
      <x:c r="U30" s="31" t="n">
        <x:f>IF(T30="","",I30*T30)</x:f>
        <x:v>128560.89051062014</x:v>
      </x:c>
    </x:row>
    <x:row r="31" ht="18" customHeight="1">
      <x:c r="A31" s="24" t="str">
        <x:v>EEZ_096</x:v>
      </x:c>
      <x:c r="B31" s="24" t="str">
        <x:v>Brunei Darussalam</x:v>
      </x:c>
      <x:c r="C31" s="24" t="str">
        <x:v>EEZ</x:v>
      </x:c>
      <x:c r="D31" s="30" t="n">
        <x:v>2019</x:v>
      </x:c>
      <x:c r="E31" s="24" t="str">
        <x:v>Serranidae</x:v>
      </x:c>
      <x:c r="F31" s="24" t="str">
        <x:v>Basses, groupers, hinds</x:v>
      </x:c>
      <x:c r="G31" s="24" t="str">
        <x:v>Medium reef assoc. fish (30 - 89 cm)</x:v>
      </x:c>
      <x:c r="H31" s="24" t="str">
        <x:v>Perch-likes</x:v>
      </x:c>
      <x:c r="I31" s="31" t="n">
        <x:v>109.9222313418</x:v>
      </x:c>
      <x:c r="J31" s="31" t="n">
        <x:v>109.9222313418</x:v>
      </x:c>
      <x:c r="K31" s="31" t="n">
        <x:v>0</x:v>
      </x:c>
      <x:c r="L31" s="31" t="n">
        <x:v>54.444850810800006</x:v>
      </x:c>
      <x:c r="M31" s="31" t="n">
        <x:v>55.477380531</x:v>
      </x:c>
      <x:c r="N31" s="24" t="str">
        <x:v>serranidae</x:v>
      </x:c>
      <x:c r="O31" s="32" t="n">
        <x:v>3.98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Serranidae</x:v>
      </x:c>
      <x:c r="T31" s="32" t="n">
        <x:f>IF(O31="","",(1/'Metadata'!$B$5)^(O31-1))</x:f>
        <x:v>954.992586021436</x:v>
      </x:c>
      <x:c r="U31" s="31" t="n">
        <x:f>IF(T31="","",I31*T31)</x:f>
        <x:v>104974.91597035211</x:v>
      </x:c>
    </x:row>
    <x:row r="32" ht="18" customHeight="1">
      <x:c r="A32" s="24" t="str">
        <x:v>EEZ_096</x:v>
      </x:c>
      <x:c r="B32" s="24" t="str">
        <x:v>Brunei Darussalam</x:v>
      </x:c>
      <x:c r="C32" s="24" t="str">
        <x:v>EEZ</x:v>
      </x:c>
      <x:c r="D32" s="30" t="n">
        <x:v>2019</x:v>
      </x:c>
      <x:c r="E32" s="24" t="str">
        <x:v>Chirocentrus</x:v>
      </x:c>
      <x:c r="F32" s="24" t="str">
        <x:v>Wolf herrings</x:v>
      </x:c>
      <x:c r="G32" s="24" t="str">
        <x:v>Large pelagics (&gt;=90 cm)</x:v>
      </x:c>
      <x:c r="H32" s="24" t="str">
        <x:v>Herring-likes</x:v>
      </x:c>
      <x:c r="I32" s="31" t="n">
        <x:v>105.6673315177</x:v>
      </x:c>
      <x:c r="J32" s="31" t="n">
        <x:v>105.6673315177</x:v>
      </x:c>
      <x:c r="K32" s="31" t="n">
        <x:v>0</x:v>
      </x:c>
      <x:c r="L32" s="31" t="n">
        <x:v>105.6673315177</x:v>
      </x:c>
      <x:c r="M32" s="31" t="n">
        <x:v>0</x:v>
      </x:c>
      <x:c r="N32" s="24" t="str">
        <x:v>chirocentrus</x:v>
      </x:c>
      <x:c r="O32" s="32" t="n">
        <x:v>4.3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Chirocentrus</x:v>
      </x:c>
      <x:c r="T32" s="32" t="n">
        <x:f>IF(O32="","",(1/'Metadata'!$B$5)^(O32-1))</x:f>
        <x:v>1995.2623149688789</x:v>
      </x:c>
      <x:c r="U32" s="31" t="n">
        <x:f>IF(T32="","",I32*T32)</x:f>
        <x:v>210834.0445005901</x:v>
      </x:c>
    </x:row>
    <x:row r="33" ht="18" customHeight="1">
      <x:c r="A33" s="24" t="str">
        <x:v>EEZ_096</x:v>
      </x:c>
      <x:c r="B33" s="24" t="str">
        <x:v>Brunei Darussalam</x:v>
      </x:c>
      <x:c r="C33" s="24" t="str">
        <x:v>EEZ</x:v>
      </x:c>
      <x:c r="D33" s="30" t="n">
        <x:v>2019</x:v>
      </x:c>
      <x:c r="E33" s="24" t="str">
        <x:v>Siganus</x:v>
      </x:c>
      <x:c r="F33" s="24" t="str">
        <x:v>Spinefoots</x:v>
      </x:c>
      <x:c r="G33" s="24" t="str">
        <x:v>Medium reef assoc. fish (30 - 89 cm)</x:v>
      </x:c>
      <x:c r="H33" s="24" t="str">
        <x:v>Perch-likes</x:v>
      </x:c>
      <x:c r="I33" s="31" t="n">
        <x:v>94.86</x:v>
      </x:c>
      <x:c r="J33" s="31" t="n">
        <x:v>94.86</x:v>
      </x:c>
      <x:c r="K33" s="31" t="n">
        <x:v>0</x:v>
      </x:c>
      <x:c r="L33" s="31" t="n">
        <x:v>94.86</x:v>
      </x:c>
      <x:c r="M33" s="31" t="n">
        <x:v>0</x:v>
      </x:c>
      <x:c r="N33" s="24" t="str">
        <x:v>siganus</x:v>
      </x:c>
      <x:c r="O33" s="32" t="n">
        <x:v>2.11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Siganus</x:v>
      </x:c>
      <x:c r="T33" s="32" t="n">
        <x:f>IF(O33="","",(1/'Metadata'!$B$5)^(O33-1))</x:f>
        <x:v>12.882495516931336</x:v>
      </x:c>
      <x:c r="U33" s="31" t="n">
        <x:f>IF(T33="","",I33*T33)</x:f>
        <x:v>1222.0335247361065</x:v>
      </x:c>
    </x:row>
    <x:row r="34" ht="18" customHeight="1">
      <x:c r="A34" s="24" t="str">
        <x:v>EEZ_096</x:v>
      </x:c>
      <x:c r="B34" s="24" t="str">
        <x:v>Brunei Darussalam</x:v>
      </x:c>
      <x:c r="C34" s="24" t="str">
        <x:v>EEZ</x:v>
      </x:c>
      <x:c r="D34" s="30" t="n">
        <x:v>2019</x:v>
      </x:c>
      <x:c r="E34" s="24" t="str">
        <x:v>Caesionidae</x:v>
      </x:c>
      <x:c r="F34" s="24" t="str">
        <x:v>Fusiliers</x:v>
      </x:c>
      <x:c r="G34" s="24" t="str">
        <x:v>Medium reef assoc. fish (30 - 89 cm)</x:v>
      </x:c>
      <x:c r="H34" s="24" t="str">
        <x:v>Perch-likes</x:v>
      </x:c>
      <x:c r="I34" s="31" t="n">
        <x:v>86.07</x:v>
      </x:c>
      <x:c r="J34" s="31" t="n">
        <x:v>86.07</x:v>
      </x:c>
      <x:c r="K34" s="31" t="n">
        <x:v>0</x:v>
      </x:c>
      <x:c r="L34" s="31" t="n">
        <x:v>86.07</x:v>
      </x:c>
      <x:c r="M34" s="31" t="n">
        <x:v>0</x:v>
      </x:c>
      <x:c r="N34" s="24" t="str">
        <x:v>caesionidae</x:v>
      </x:c>
      <x:c r="O34" s="32" t="n">
        <x:v>3.39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Caesionidae</x:v>
      </x:c>
      <x:c r="T34" s="32" t="n">
        <x:f>IF(O34="","",(1/'Metadata'!$B$5)^(O34-1))</x:f>
        <x:v>245.4708915685031</x:v>
      </x:c>
      <x:c r="U34" s="31" t="n">
        <x:f>IF(T34="","",I34*T34)</x:f>
        <x:v>21127.679637301062</x:v>
      </x:c>
    </x:row>
    <x:row r="35" ht="18" customHeight="1">
      <x:c r="A35" s="24" t="str">
        <x:v>EEZ_096</x:v>
      </x:c>
      <x:c r="B35" s="24" t="str">
        <x:v>Brunei Darussalam</x:v>
      </x:c>
      <x:c r="C35" s="24" t="str">
        <x:v>EEZ</x:v>
      </x:c>
      <x:c r="D35" s="30" t="n">
        <x:v>2019</x:v>
      </x:c>
      <x:c r="E35" s="24" t="str">
        <x:v>Amblygaster sirm</x:v>
      </x:c>
      <x:c r="F35" s="24" t="str">
        <x:v>Spotted sardinella</x:v>
      </x:c>
      <x:c r="G35" s="24" t="str">
        <x:v>Small pelagics (&lt;30 cm)</x:v>
      </x:c>
      <x:c r="H35" s="24" t="str">
        <x:v>Herring-likes</x:v>
      </x:c>
      <x:c r="I35" s="31" t="n">
        <x:v>81.73</x:v>
      </x:c>
      <x:c r="J35" s="31" t="n">
        <x:v>81.73</x:v>
      </x:c>
      <x:c r="K35" s="31" t="n">
        <x:v>0</x:v>
      </x:c>
      <x:c r="L35" s="31" t="n">
        <x:v>81.73</x:v>
      </x:c>
      <x:c r="M35" s="31" t="n">
        <x:v>0</x:v>
      </x:c>
      <x:c r="N35" s="24" t="str">
        <x:v>amblygaster sirm</x:v>
      </x:c>
      <x:c r="O35" s="32" t="n">
        <x:v>3.2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Amblygaster sirm</x:v>
      </x:c>
      <x:c r="T35" s="32" t="n">
        <x:f>IF(O35="","",(1/'Metadata'!$B$5)^(O35-1))</x:f>
        <x:v>158.48931924611142</x:v>
      </x:c>
      <x:c r="U35" s="31" t="n">
        <x:f>IF(T35="","",I35*T35)</x:f>
        <x:v>12953.332061984687</x:v>
      </x:c>
    </x:row>
    <x:row r="36" ht="18" customHeight="1">
      <x:c r="A36" s="24" t="str">
        <x:v>EEZ_096</x:v>
      </x:c>
      <x:c r="B36" s="24" t="str">
        <x:v>Brunei Darussalam</x:v>
      </x:c>
      <x:c r="C36" s="24" t="str">
        <x:v>EEZ</x:v>
      </x:c>
      <x:c r="D36" s="30" t="n">
        <x:v>2019</x:v>
      </x:c>
      <x:c r="E36" s="24" t="str">
        <x:v>Katsuwonus pelamis</x:v>
      </x:c>
      <x:c r="F36" s="24" t="str">
        <x:v>Skipjack tuna</x:v>
      </x:c>
      <x:c r="G36" s="24" t="str">
        <x:v>Large pelagics (&gt;=90 cm)</x:v>
      </x:c>
      <x:c r="H36" s="24" t="str">
        <x:v>Tuna &amp; billfishes</x:v>
      </x:c>
      <x:c r="I36" s="31" t="n">
        <x:v>78.689216776</x:v>
      </x:c>
      <x:c r="J36" s="31" t="n">
        <x:v>78.689216776</x:v>
      </x:c>
      <x:c r="K36" s="31" t="n">
        <x:v>0</x:v>
      </x:c>
      <x:c r="L36" s="31" t="n">
        <x:v>78.689216776</x:v>
      </x:c>
      <x:c r="M36" s="31" t="n">
        <x:v>0</x:v>
      </x:c>
      <x:c r="N36" s="24" t="str">
        <x:v>katsuwonus pelamis</x:v>
      </x:c>
      <x:c r="O36" s="32" t="n">
        <x:v>4.43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Katsuwonus pelamis</x:v>
      </x:c>
      <x:c r="T36" s="32" t="n">
        <x:f>IF(O36="","",(1/'Metadata'!$B$5)^(O36-1))</x:f>
        <x:v>2691.534803926914</x:v>
      </x:c>
      <x:c r="U36" s="31" t="n">
        <x:f>IF(T36="","",I36*T36)</x:f>
        <x:v>211794.76564635357</x:v>
      </x:c>
    </x:row>
    <x:row r="37" ht="18" customHeight="1">
      <x:c r="A37" s="24" t="str">
        <x:v>EEZ_096</x:v>
      </x:c>
      <x:c r="B37" s="24" t="str">
        <x:v>Brunei Darussalam</x:v>
      </x:c>
      <x:c r="C37" s="24" t="str">
        <x:v>EEZ</x:v>
      </x:c>
      <x:c r="D37" s="30" t="n">
        <x:v>2019</x:v>
      </x:c>
      <x:c r="E37" s="24" t="str">
        <x:v>Lethrinidae</x:v>
      </x:c>
      <x:c r="F37" s="24" t="str">
        <x:v>Emperors, scavengers</x:v>
      </x:c>
      <x:c r="G37" s="24" t="str">
        <x:v>Medium reef assoc. fish (30 - 89 cm)</x:v>
      </x:c>
      <x:c r="H37" s="24" t="str">
        <x:v>Perch-likes</x:v>
      </x:c>
      <x:c r="I37" s="31" t="n">
        <x:v>65.3871084703</x:v>
      </x:c>
      <x:c r="J37" s="31" t="n">
        <x:v>65.3871084703</x:v>
      </x:c>
      <x:c r="K37" s="31" t="n">
        <x:v>0</x:v>
      </x:c>
      <x:c r="L37" s="31" t="n">
        <x:v>16.25</x:v>
      </x:c>
      <x:c r="M37" s="31" t="n">
        <x:v>49.1371084703</x:v>
      </x:c>
      <x:c r="N37" s="24" t="str">
        <x:v>lethrinidae</x:v>
      </x:c>
      <x:c r="O37" s="32" t="n">
        <x:v>3.59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Lethrinidae</x:v>
      </x:c>
      <x:c r="T37" s="32" t="n">
        <x:f>IF(O37="","",(1/'Metadata'!$B$5)^(O37-1))</x:f>
        <x:v>389.04514499428046</x:v>
      </x:c>
      <x:c r="U37" s="31" t="n">
        <x:f>IF(T37="","",I37*T37)</x:f>
        <x:v>25438.537095584612</x:v>
      </x:c>
    </x:row>
    <x:row r="38" ht="18" customHeight="1">
      <x:c r="A38" s="24" t="str">
        <x:v>EEZ_096</x:v>
      </x:c>
      <x:c r="B38" s="24" t="str">
        <x:v>Brunei Darussalam</x:v>
      </x:c>
      <x:c r="C38" s="24" t="str">
        <x:v>EEZ</x:v>
      </x:c>
      <x:c r="D38" s="30" t="n">
        <x:v>2019</x:v>
      </x:c>
      <x:c r="E38" s="24" t="str">
        <x:v>Lactarius lactarius</x:v>
      </x:c>
      <x:c r="F38" s="24" t="str">
        <x:v>False trevally</x:v>
      </x:c>
      <x:c r="G38" s="24" t="str">
        <x:v>Medium pelagics (30 - 89 cm)</x:v>
      </x:c>
      <x:c r="H38" s="24" t="str">
        <x:v>Perch-likes</x:v>
      </x:c>
      <x:c r="I38" s="31" t="n">
        <x:v>61.8753788718</x:v>
      </x:c>
      <x:c r="J38" s="31" t="n">
        <x:v>61.8753788718</x:v>
      </x:c>
      <x:c r="K38" s="31" t="n">
        <x:v>0</x:v>
      </x:c>
      <x:c r="L38" s="31" t="n">
        <x:v>47.0880588718</x:v>
      </x:c>
      <x:c r="M38" s="31" t="n">
        <x:v>14.78732</x:v>
      </x:c>
      <x:c r="N38" s="24" t="str">
        <x:v>lactarius lactarius</x:v>
      </x:c>
      <x:c r="O38" s="32" t="n">
        <x:v>3.97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Lactarius lactarius</x:v>
      </x:c>
      <x:c r="T38" s="32" t="n">
        <x:f>IF(O38="","",(1/'Metadata'!$B$5)^(O38-1))</x:f>
        <x:v>933.2543007969915</x:v>
      </x:c>
      <x:c r="U38" s="31" t="n">
        <x:f>IF(T38="","",I38*T38)</x:f>
        <x:v>57745.46344555065</x:v>
      </x:c>
    </x:row>
    <x:row r="39" ht="18" customHeight="1">
      <x:c r="A39" s="24" t="str">
        <x:v>EEZ_096</x:v>
      </x:c>
      <x:c r="B39" s="24" t="str">
        <x:v>Brunei Darussalam</x:v>
      </x:c>
      <x:c r="C39" s="24" t="str">
        <x:v>EEZ</x:v>
      </x:c>
      <x:c r="D39" s="30" t="n">
        <x:v>2019</x:v>
      </x:c>
      <x:c r="E39" s="24" t="str">
        <x:v>Marine groundfishes not identified</x:v>
      </x:c>
      <x:c r="F39" s="24" t="str">
        <x:v>Groundfishes</x:v>
      </x:c>
      <x:c r="G39" s="24" t="str">
        <x:v>Medium demersals (30 - 89 cm)</x:v>
      </x:c>
      <x:c r="H39" s="24" t="str">
        <x:v>Other fishes &amp; inverts</x:v>
      </x:c>
      <x:c r="I39" s="31" t="n">
        <x:v>60.090573910399996</x:v>
      </x:c>
      <x:c r="J39" s="31" t="n">
        <x:v>60.090573910399996</x:v>
      </x:c>
      <x:c r="K39" s="31" t="n">
        <x:v>0</x:v>
      </x:c>
      <x:c r="L39" s="31" t="n">
        <x:v>0.9412939104</x:v>
      </x:c>
      <x:c r="M39" s="31" t="n">
        <x:v>59.14928</x:v>
      </x:c>
      <x:c r="N39" s="24" t="str">
        <x:v>marine groundfishes not identified</x:v>
      </x:c>
      <x:c r="O39" s="32" t="n">
        <x:v>3.22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Marine groundfishes not identified</x:v>
      </x:c>
      <x:c r="T39" s="32" t="n">
        <x:f>IF(O39="","",(1/'Metadata'!$B$5)^(O39-1))</x:f>
        <x:v>165.95869074375614</x:v>
      </x:c>
      <x:c r="U39" s="31" t="n">
        <x:f>IF(T39="","",I39*T39)</x:f>
        <x:v>9972.552972210893</x:v>
      </x:c>
    </x:row>
    <x:row r="40" ht="18" customHeight="1">
      <x:c r="A40" s="24" t="str">
        <x:v>EEZ_096</x:v>
      </x:c>
      <x:c r="B40" s="24" t="str">
        <x:v>Brunei Darussalam</x:v>
      </x:c>
      <x:c r="C40" s="24" t="str">
        <x:v>EEZ</x:v>
      </x:c>
      <x:c r="D40" s="30" t="n">
        <x:v>2019</x:v>
      </x:c>
      <x:c r="E40" s="24" t="str">
        <x:v>Sepiidae</x:v>
      </x:c>
      <x:c r="F40" s="24" t="str">
        <x:v>Cuttlefishes</x:v>
      </x:c>
      <x:c r="G40" s="24" t="str">
        <x:v>Cephalopods</x:v>
      </x:c>
      <x:c r="H40" s="24" t="str">
        <x:v>Other fishes &amp; inverts</x:v>
      </x:c>
      <x:c r="I40" s="31" t="n">
        <x:v>54.26</x:v>
      </x:c>
      <x:c r="J40" s="31" t="n">
        <x:v>54.26</x:v>
      </x:c>
      <x:c r="K40" s="31" t="n">
        <x:v>0</x:v>
      </x:c>
      <x:c r="L40" s="31" t="n">
        <x:v>54.26</x:v>
      </x:c>
      <x:c r="M40" s="31" t="n">
        <x:v>0</x:v>
      </x:c>
      <x:c r="N40" s="24" t="str">
        <x:v>sepiidae</x:v>
      </x:c>
      <x:c r="O40" s="32" t="n">
        <x:v>3.6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Sepiidae</x:v>
      </x:c>
      <x:c r="T40" s="32" t="n">
        <x:f>IF(O40="","",(1/'Metadata'!$B$5)^(O40-1))</x:f>
        <x:v>398.1071705534973</x:v>
      </x:c>
      <x:c r="U40" s="31" t="n">
        <x:f>IF(T40="","",I40*T40)</x:f>
        <x:v>21601.295074232763</x:v>
      </x:c>
    </x:row>
    <x:row r="41" ht="18" customHeight="1">
      <x:c r="A41" s="24" t="str">
        <x:v>EEZ_096</x:v>
      </x:c>
      <x:c r="B41" s="24" t="str">
        <x:v>Brunei Darussalam</x:v>
      </x:c>
      <x:c r="C41" s="24" t="str">
        <x:v>EEZ</x:v>
      </x:c>
      <x:c r="D41" s="30" t="n">
        <x:v>2019</x:v>
      </x:c>
      <x:c r="E41" s="24" t="str">
        <x:v>Caranx</x:v>
      </x:c>
      <x:c r="F41" s="24" t="str">
        <x:v>Jacks</x:v>
      </x:c>
      <x:c r="G41" s="24" t="str">
        <x:v>Medium reef assoc. fish (30 - 89 cm)</x:v>
      </x:c>
      <x:c r="H41" s="24" t="str">
        <x:v>Perch-likes</x:v>
      </x:c>
      <x:c r="I41" s="31" t="n">
        <x:v>50.85</x:v>
      </x:c>
      <x:c r="J41" s="31" t="n">
        <x:v>50.85</x:v>
      </x:c>
      <x:c r="K41" s="31" t="n">
        <x:v>0</x:v>
      </x:c>
      <x:c r="L41" s="31" t="n">
        <x:v>50.85</x:v>
      </x:c>
      <x:c r="M41" s="31" t="n">
        <x:v>0</x:v>
      </x:c>
      <x:c r="N41" s="24" t="str">
        <x:v>caranx</x:v>
      </x:c>
      <x:c r="O41" s="32" t="n">
        <x:v>4.12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Caranx</x:v>
      </x:c>
      <x:c r="T41" s="32" t="n">
        <x:f>IF(O41="","",(1/'Metadata'!$B$5)^(O41-1))</x:f>
        <x:v>1318.2567385564075</x:v>
      </x:c>
      <x:c r="U41" s="31" t="n">
        <x:f>IF(T41="","",I41*T41)</x:f>
        <x:v>67033.35515559332</x:v>
      </x:c>
    </x:row>
    <x:row r="42" ht="18" customHeight="1">
      <x:c r="A42" s="24" t="str">
        <x:v>EEZ_096</x:v>
      </x:c>
      <x:c r="B42" s="24" t="str">
        <x:v>Brunei Darussalam</x:v>
      </x:c>
      <x:c r="C42" s="24" t="str">
        <x:v>EEZ</x:v>
      </x:c>
      <x:c r="D42" s="30" t="n">
        <x:v>2019</x:v>
      </x:c>
      <x:c r="E42" s="24" t="str">
        <x:v>Latidae</x:v>
      </x:c>
      <x:c r="F42" s="24" t="str">
        <x:v>Lates perches</x:v>
      </x:c>
      <x:c r="G42" s="24" t="str">
        <x:v>Large demersals (&gt;=90 cm)</x:v>
      </x:c>
      <x:c r="H42" s="24" t="str">
        <x:v>Perch-likes</x:v>
      </x:c>
      <x:c r="I42" s="31" t="n">
        <x:v>49.1371084703</x:v>
      </x:c>
      <x:c r="J42" s="31" t="n">
        <x:v>49.1371084703</x:v>
      </x:c>
      <x:c r="K42" s="31" t="n">
        <x:v>0</x:v>
      </x:c>
      <x:c r="L42" s="31" t="n">
        <x:v>0</x:v>
      </x:c>
      <x:c r="M42" s="31" t="n">
        <x:v>49.1371084703</x:v>
      </x:c>
      <x:c r="N42" s="24" t="str">
        <x:v>latidae</x:v>
      </x:c>
      <x:c r="O42" s="32" t="n">
        <x:v>4.35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Latidae</x:v>
      </x:c>
      <x:c r="T42" s="32" t="n">
        <x:f>IF(O42="","",(1/'Metadata'!$B$5)^(O42-1))</x:f>
        <x:v>2238.7211385683377</x:v>
      </x:c>
      <x:c r="U42" s="31" t="n">
        <x:f>IF(T42="","",I42*T42)</x:f>
        <x:v>110004.28342058593</x:v>
      </x:c>
    </x:row>
    <x:row r="43" ht="18" customHeight="1">
      <x:c r="A43" s="24" t="str">
        <x:v>EEZ_096</x:v>
      </x:c>
      <x:c r="B43" s="24" t="str">
        <x:v>Brunei Darussalam</x:v>
      </x:c>
      <x:c r="C43" s="24" t="str">
        <x:v>EEZ</x:v>
      </x:c>
      <x:c r="D43" s="30" t="n">
        <x:v>2019</x:v>
      </x:c>
      <x:c r="E43" s="24" t="str">
        <x:v>Sphyraena</x:v>
      </x:c>
      <x:c r="F43" s="24" t="str">
        <x:v>Barracudas, sennets</x:v>
      </x:c>
      <x:c r="G43" s="24" t="str">
        <x:v>Large pelagics (&gt;=90 cm)</x:v>
      </x:c>
      <x:c r="H43" s="24" t="str">
        <x:v>Perch-likes</x:v>
      </x:c>
      <x:c r="I43" s="31" t="n">
        <x:v>46.7373568357</x:v>
      </x:c>
      <x:c r="J43" s="31" t="n">
        <x:v>46.7373568357</x:v>
      </x:c>
      <x:c r="K43" s="31" t="n">
        <x:v>0</x:v>
      </x:c>
      <x:c r="L43" s="31" t="n">
        <x:v>46.7373568357</x:v>
      </x:c>
      <x:c r="M43" s="31" t="n">
        <x:v>0</x:v>
      </x:c>
      <x:c r="N43" s="24" t="str">
        <x:v>sphyraena</x:v>
      </x:c>
      <x:c r="O43" s="32" t="n">
        <x:v>4.4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Sphyraena</x:v>
      </x:c>
      <x:c r="T43" s="32" t="n">
        <x:f>IF(O43="","",(1/'Metadata'!$B$5)^(O43-1))</x:f>
        <x:v>2511.886431509582</x:v>
      </x:c>
      <x:c r="U43" s="31" t="n">
        <x:f>IF(T43="","",I43*T43)</x:f>
        <x:v>117398.93248021643</x:v>
      </x:c>
    </x:row>
    <x:row r="44" ht="18" customHeight="1">
      <x:c r="A44" s="24" t="str">
        <x:v>EEZ_096</x:v>
      </x:c>
      <x:c r="B44" s="24" t="str">
        <x:v>Brunei Darussalam</x:v>
      </x:c>
      <x:c r="C44" s="24" t="str">
        <x:v>EEZ</x:v>
      </x:c>
      <x:c r="D44" s="30" t="n">
        <x:v>2019</x:v>
      </x:c>
      <x:c r="E44" s="24" t="str">
        <x:v>Priacanthidae</x:v>
      </x:c>
      <x:c r="F44" s="24" t="str">
        <x:v>Bigeyes, catalufas</x:v>
      </x:c>
      <x:c r="G44" s="24" t="str">
        <x:v>Medium reef assoc. fish (30 - 89 cm)</x:v>
      </x:c>
      <x:c r="H44" s="24" t="str">
        <x:v>Perch-likes</x:v>
      </x:c>
      <x:c r="I44" s="31" t="n">
        <x:v>46.297928466900004</x:v>
      </x:c>
      <x:c r="J44" s="31" t="n">
        <x:v>46.297928466900004</x:v>
      </x:c>
      <x:c r="K44" s="31" t="n">
        <x:v>0</x:v>
      </x:c>
      <x:c r="L44" s="31" t="n">
        <x:v>46.297928466900004</x:v>
      </x:c>
      <x:c r="M44" s="31" t="n">
        <x:v>0</x:v>
      </x:c>
      <x:c r="N44" s="24" t="str">
        <x:v>priacanthidae</x:v>
      </x:c>
      <x:c r="O44" s="32" t="n">
        <x:v>3.79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Priacanthidae</x:v>
      </x:c>
      <x:c r="T44" s="32" t="n">
        <x:f>IF(O44="","",(1/'Metadata'!$B$5)^(O44-1))</x:f>
        <x:v>616.5950018614822</x:v>
      </x:c>
      <x:c r="U44" s="31" t="n">
        <x:f>IF(T44="","",I44*T44)</x:f>
        <x:v>28547.071289230975</x:v>
      </x:c>
    </x:row>
    <x:row r="45" ht="18" customHeight="1">
      <x:c r="A45" s="24" t="str">
        <x:v>EEZ_096</x:v>
      </x:c>
      <x:c r="B45" s="24" t="str">
        <x:v>Brunei Darussalam</x:v>
      </x:c>
      <x:c r="C45" s="24" t="str">
        <x:v>EEZ</x:v>
      </x:c>
      <x:c r="D45" s="30" t="n">
        <x:v>2019</x:v>
      </x:c>
      <x:c r="E45" s="24" t="str">
        <x:v>Rastrelliger kanagurta</x:v>
      </x:c>
      <x:c r="F45" s="24" t="str">
        <x:v>Indian mackerel</x:v>
      </x:c>
      <x:c r="G45" s="24" t="str">
        <x:v>Medium pelagics (30 - 89 cm)</x:v>
      </x:c>
      <x:c r="H45" s="24" t="str">
        <x:v>Perch-likes</x:v>
      </x:c>
      <x:c r="I45" s="31" t="n">
        <x:v>43.4417951912</x:v>
      </x:c>
      <x:c r="J45" s="31" t="n">
        <x:v>43.4417951912</x:v>
      </x:c>
      <x:c r="K45" s="31" t="n">
        <x:v>0</x:v>
      </x:c>
      <x:c r="L45" s="31" t="n">
        <x:v>43.4417951912</x:v>
      </x:c>
      <x:c r="M45" s="31" t="n">
        <x:v>0</x:v>
      </x:c>
      <x:c r="N45" s="24" t="str">
        <x:v>rastrelliger kanagurta</x:v>
      </x:c>
      <x:c r="O45" s="32" t="n">
        <x:v>3.19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Rastrelliger kanagurta</x:v>
      </x:c>
      <x:c r="T45" s="32" t="n">
        <x:f>IF(O45="","",(1/'Metadata'!$B$5)^(O45-1))</x:f>
        <x:v>154.88166189124811</x:v>
      </x:c>
      <x:c r="U45" s="31" t="n">
        <x:f>IF(T45="","",I45*T45)</x:f>
        <x:v>6728.337434752287</x:v>
      </x:c>
    </x:row>
    <x:row r="46" ht="18" customHeight="1">
      <x:c r="A46" s="24" t="str">
        <x:v>EEZ_096</x:v>
      </x:c>
      <x:c r="B46" s="24" t="str">
        <x:v>Brunei Darussalam</x:v>
      </x:c>
      <x:c r="C46" s="24" t="str">
        <x:v>EEZ</x:v>
      </x:c>
      <x:c r="D46" s="30" t="n">
        <x:v>2019</x:v>
      </x:c>
      <x:c r="E46" s="24" t="str">
        <x:v>Selar crumenophthalmus</x:v>
      </x:c>
      <x:c r="F46" s="24" t="str">
        <x:v>Bigeye scad</x:v>
      </x:c>
      <x:c r="G46" s="24" t="str">
        <x:v>Medium pelagics (30 - 89 cm)</x:v>
      </x:c>
      <x:c r="H46" s="24" t="str">
        <x:v>Perch-likes</x:v>
      </x:c>
      <x:c r="I46" s="31" t="n">
        <x:v>39.55</x:v>
      </x:c>
      <x:c r="J46" s="31" t="n">
        <x:v>39.55</x:v>
      </x:c>
      <x:c r="K46" s="31" t="n">
        <x:v>0</x:v>
      </x:c>
      <x:c r="L46" s="31" t="n">
        <x:v>39.55</x:v>
      </x:c>
      <x:c r="M46" s="31" t="n">
        <x:v>0</x:v>
      </x:c>
      <x:c r="N46" s="24" t="str">
        <x:v>selar crumenophthalmus</x:v>
      </x:c>
      <x:c r="O46" s="32" t="n">
        <x:v>3.81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Selar crumenophthalmus</x:v>
      </x:c>
      <x:c r="T46" s="32" t="n">
        <x:f>IF(O46="","",(1/'Metadata'!$B$5)^(O46-1))</x:f>
        <x:v>645.6542290346556</x:v>
      </x:c>
      <x:c r="U46" s="31" t="n">
        <x:f>IF(T46="","",I46*T46)</x:f>
        <x:v>25535.624758320628</x:v>
      </x:c>
    </x:row>
    <x:row r="47" ht="18" customHeight="1">
      <x:c r="A47" s="24" t="str">
        <x:v>EEZ_096</x:v>
      </x:c>
      <x:c r="B47" s="24" t="str">
        <x:v>Brunei Darussalam</x:v>
      </x:c>
      <x:c r="C47" s="24" t="str">
        <x:v>EEZ</x:v>
      </x:c>
      <x:c r="D47" s="30" t="n">
        <x:v>2019</x:v>
      </x:c>
      <x:c r="E47" s="24" t="str">
        <x:v>Teuthida</x:v>
      </x:c>
      <x:c r="F47" s="24" t="str">
        <x:v>Squids</x:v>
      </x:c>
      <x:c r="G47" s="24" t="str">
        <x:v>Cephalopods</x:v>
      </x:c>
      <x:c r="H47" s="24" t="str">
        <x:v>Other fishes &amp; inverts</x:v>
      </x:c>
      <x:c r="I47" s="31" t="n">
        <x:v>36.560000000100004</x:v>
      </x:c>
      <x:c r="J47" s="31" t="n">
        <x:v>36.560000000100004</x:v>
      </x:c>
      <x:c r="K47" s="31" t="n">
        <x:v>0</x:v>
      </x:c>
      <x:c r="L47" s="31" t="n">
        <x:v>36.560000000100004</x:v>
      </x:c>
      <x:c r="M47" s="31" t="n">
        <x:v>0</x:v>
      </x:c>
      <x:c r="N47" s="24" t="str">
        <x:v>teuthida</x:v>
      </x:c>
      <x:c r="O47" s="32" t="n">
        <x:v>4.13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Teuthida</x:v>
      </x:c>
      <x:c r="T47" s="32" t="n">
        <x:f>IF(O47="","",(1/'Metadata'!$B$5)^(O47-1))</x:f>
        <x:v>1348.9628825916532</x:v>
      </x:c>
      <x:c r="U47" s="31" t="n">
        <x:f>IF(T47="","",I47*T47)</x:f>
        <x:v>49318.08298768574</x:v>
      </x:c>
    </x:row>
    <x:row r="48" ht="18" customHeight="1">
      <x:c r="A48" s="24" t="str">
        <x:v>EEZ_096</x:v>
      </x:c>
      <x:c r="B48" s="24" t="str">
        <x:v>Brunei Darussalam</x:v>
      </x:c>
      <x:c r="C48" s="24" t="str">
        <x:v>EEZ</x:v>
      </x:c>
      <x:c r="D48" s="30" t="n">
        <x:v>2019</x:v>
      </x:c>
      <x:c r="E48" s="24" t="str">
        <x:v>Perciformes</x:v>
      </x:c>
      <x:c r="F48" s="24" t="str">
        <x:v>Perch-likes</x:v>
      </x:c>
      <x:c r="G48" s="24" t="str">
        <x:v>Medium demersals (30 - 89 cm)</x:v>
      </x:c>
      <x:c r="H48" s="24" t="str">
        <x:v>Perch-likes</x:v>
      </x:c>
      <x:c r="I48" s="31" t="n">
        <x:v>36.421250765</x:v>
      </x:c>
      <x:c r="J48" s="31" t="n">
        <x:v>36.421250765</x:v>
      </x:c>
      <x:c r="K48" s="31" t="n">
        <x:v>0</x:v>
      </x:c>
      <x:c r="L48" s="31" t="n">
        <x:v>4.998139931</x:v>
      </x:c>
      <x:c r="M48" s="31" t="n">
        <x:v>31.423110834000003</x:v>
      </x:c>
      <x:c r="N48" s="24" t="str">
        <x:v>perciformes</x:v>
      </x:c>
      <x:c r="O48" s="32" t="n">
        <x:v>3.53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Perciformes</x:v>
      </x:c>
      <x:c r="T48" s="32" t="n">
        <x:f>IF(O48="","",(1/'Metadata'!$B$5)^(O48-1))</x:f>
        <x:v>338.84415613920237</x:v>
      </x:c>
      <x:c r="U48" s="31" t="n">
        <x:f>IF(T48="","",I48*T48)</x:f>
        <x:v>12341.127981000705</x:v>
      </x:c>
    </x:row>
    <x:row r="49" ht="18" customHeight="1">
      <x:c r="A49" s="24" t="str">
        <x:v>EEZ_096</x:v>
      </x:c>
      <x:c r="B49" s="24" t="str">
        <x:v>Brunei Darussalam</x:v>
      </x:c>
      <x:c r="C49" s="24" t="str">
        <x:v>EEZ</x:v>
      </x:c>
      <x:c r="D49" s="30" t="n">
        <x:v>2019</x:v>
      </x:c>
      <x:c r="E49" s="24" t="str">
        <x:v>Mullidae</x:v>
      </x:c>
      <x:c r="F49" s="24" t="str">
        <x:v>Goatfishes</x:v>
      </x:c>
      <x:c r="G49" s="24" t="str">
        <x:v>Medium reef assoc. fish (30 - 89 cm)</x:v>
      </x:c>
      <x:c r="H49" s="24" t="str">
        <x:v>Perch-likes</x:v>
      </x:c>
      <x:c r="I49" s="31" t="n">
        <x:v>34.9439607466</x:v>
      </x:c>
      <x:c r="J49" s="31" t="n">
        <x:v>34.9439607466</x:v>
      </x:c>
      <x:c r="K49" s="31" t="n">
        <x:v>0</x:v>
      </x:c>
      <x:c r="L49" s="31" t="n">
        <x:v>34.9439607466</x:v>
      </x:c>
      <x:c r="M49" s="31" t="n">
        <x:v>0</x:v>
      </x:c>
      <x:c r="N49" s="24" t="str">
        <x:v>mullidae</x:v>
      </x:c>
      <x:c r="O49" s="32" t="n">
        <x:v>3.46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Mullidae</x:v>
      </x:c>
      <x:c r="T49" s="32" t="n">
        <x:f>IF(O49="","",(1/'Metadata'!$B$5)^(O49-1))</x:f>
        <x:v>288.40315031266056</x:v>
      </x:c>
      <x:c r="U49" s="31" t="n">
        <x:f>IF(T49="","",I49*T49)</x:f>
        <x:v>10077.948363721389</x:v>
      </x:c>
    </x:row>
    <x:row r="50" ht="18" customHeight="1">
      <x:c r="A50" s="24" t="str">
        <x:v>EEZ_096</x:v>
      </x:c>
      <x:c r="B50" s="24" t="str">
        <x:v>Brunei Darussalam</x:v>
      </x:c>
      <x:c r="C50" s="24" t="str">
        <x:v>EEZ</x:v>
      </x:c>
      <x:c r="D50" s="30" t="n">
        <x:v>2019</x:v>
      </x:c>
      <x:c r="E50" s="24" t="str">
        <x:v>Haemulidae</x:v>
      </x:c>
      <x:c r="F50" s="24" t="str">
        <x:v>Grunts, sweetlips, bonnetmouths</x:v>
      </x:c>
      <x:c r="G50" s="24" t="str">
        <x:v>Medium demersals (30 - 89 cm)</x:v>
      </x:c>
      <x:c r="H50" s="24" t="str">
        <x:v>Perch-likes</x:v>
      </x:c>
      <x:c r="I50" s="31" t="n">
        <x:v>27.53</x:v>
      </x:c>
      <x:c r="J50" s="31" t="n">
        <x:v>27.53</x:v>
      </x:c>
      <x:c r="K50" s="31" t="n">
        <x:v>0</x:v>
      </x:c>
      <x:c r="L50" s="31" t="n">
        <x:v>27.53</x:v>
      </x:c>
      <x:c r="M50" s="31" t="n">
        <x:v>0</x:v>
      </x:c>
      <x:c r="N50" s="24" t="str">
        <x:v>haemulidae</x:v>
      </x:c>
      <x:c r="O50" s="32" t="n">
        <x:v>3.36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Haemulidae</x:v>
      </x:c>
      <x:c r="T50" s="32" t="n">
        <x:f>IF(O50="","",(1/'Metadata'!$B$5)^(O50-1))</x:f>
        <x:v>229.08676527677724</x:v>
      </x:c>
      <x:c r="U50" s="31" t="n">
        <x:f>IF(T50="","",I50*T50)</x:f>
        <x:v>6306.758648069678</x:v>
      </x:c>
    </x:row>
    <x:row r="51" ht="18" customHeight="1">
      <x:c r="A51" s="24" t="str">
        <x:v>EEZ_096</x:v>
      </x:c>
      <x:c r="B51" s="24" t="str">
        <x:v>Brunei Darussalam</x:v>
      </x:c>
      <x:c r="C51" s="24" t="str">
        <x:v>EEZ</x:v>
      </x:c>
      <x:c r="D51" s="30" t="n">
        <x:v>2019</x:v>
      </x:c>
      <x:c r="E51" s="24" t="str">
        <x:v>Penaeus semisulcatus</x:v>
      </x:c>
      <x:c r="F51" s="24" t="str">
        <x:v>Green tiger prawn</x:v>
      </x:c>
      <x:c r="G51" s="24" t="str">
        <x:v>Shrimps</x:v>
      </x:c>
      <x:c r="H51" s="24" t="str">
        <x:v>Crustaceans</x:v>
      </x:c>
      <x:c r="I51" s="31" t="n">
        <x:v>26.18</x:v>
      </x:c>
      <x:c r="J51" s="31" t="n">
        <x:v>26.18</x:v>
      </x:c>
      <x:c r="K51" s="31" t="n">
        <x:v>0</x:v>
      </x:c>
      <x:c r="L51" s="31" t="n">
        <x:v>26.18</x:v>
      </x:c>
      <x:c r="M51" s="31" t="n">
        <x:v>0</x:v>
      </x:c>
      <x:c r="N51" s="24" t="str">
        <x:v>penaeus semisulcatus</x:v>
      </x:c>
      <x:c r="O51" s="32" t="n">
        <x:v>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Penaeus semisulcatus</x:v>
      </x:c>
      <x:c r="T51" s="32" t="n">
        <x:f>IF(O51="","",(1/'Metadata'!$B$5)^(O51-1))</x:f>
        <x:v>10</x:v>
      </x:c>
      <x:c r="U51" s="31" t="n">
        <x:f>IF(T51="","",I51*T51)</x:f>
        <x:v>261.8</x:v>
      </x:c>
    </x:row>
    <x:row r="52" ht="18" customHeight="1">
      <x:c r="A52" s="24" t="str">
        <x:v>EEZ_096</x:v>
      </x:c>
      <x:c r="B52" s="24" t="str">
        <x:v>Brunei Darussalam</x:v>
      </x:c>
      <x:c r="C52" s="24" t="str">
        <x:v>EEZ</x:v>
      </x:c>
      <x:c r="D52" s="30" t="n">
        <x:v>2019</x:v>
      </x:c>
      <x:c r="E52" s="24" t="str">
        <x:v>Priacanthus</x:v>
      </x:c>
      <x:c r="F52" s="24" t="str">
        <x:v>Bigeyes</x:v>
      </x:c>
      <x:c r="G52" s="24" t="str">
        <x:v>Medium reef assoc. fish (30 - 89 cm)</x:v>
      </x:c>
      <x:c r="H52" s="24" t="str">
        <x:v>Perch-likes</x:v>
      </x:c>
      <x:c r="I52" s="31" t="n">
        <x:v>22.414891713600003</x:v>
      </x:c>
      <x:c r="J52" s="31" t="n">
        <x:v>22.414891713600003</x:v>
      </x:c>
      <x:c r="K52" s="31" t="n">
        <x:v>0</x:v>
      </x:c>
      <x:c r="L52" s="31" t="n">
        <x:v>22.414891713600003</x:v>
      </x:c>
      <x:c r="M52" s="31" t="n">
        <x:v>0</x:v>
      </x:c>
      <x:c r="N52" s="24" t="str">
        <x:v>priacanthus</x:v>
      </x:c>
      <x:c r="O52" s="32" t="n">
        <x:v>3.81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Priacanthus</x:v>
      </x:c>
      <x:c r="T52" s="32" t="n">
        <x:f>IF(O52="","",(1/'Metadata'!$B$5)^(O52-1))</x:f>
        <x:v>645.6542290346556</x:v>
      </x:c>
      <x:c r="U52" s="31" t="n">
        <x:f>IF(T52="","",I52*T52)</x:f>
        <x:v>14472.269628239701</x:v>
      </x:c>
    </x:row>
    <x:row r="53" ht="18" customHeight="1">
      <x:c r="A53" s="24" t="str">
        <x:v>EEZ_096</x:v>
      </x:c>
      <x:c r="B53" s="24" t="str">
        <x:v>Brunei Darussalam</x:v>
      </x:c>
      <x:c r="C53" s="24" t="str">
        <x:v>EEZ</x:v>
      </x:c>
      <x:c r="D53" s="30" t="n">
        <x:v>2019</x:v>
      </x:c>
      <x:c r="E53" s="24" t="str">
        <x:v>Synodontidae</x:v>
      </x:c>
      <x:c r="F53" s="24" t="str">
        <x:v>Lizardfishes, sauries</x:v>
      </x:c>
      <x:c r="G53" s="24" t="str">
        <x:v>Medium demersals (30 - 89 cm)</x:v>
      </x:c>
      <x:c r="H53" s="24" t="str">
        <x:v>Other fishes &amp; inverts</x:v>
      </x:c>
      <x:c r="I53" s="31" t="n">
        <x:v>18.1092860886</x:v>
      </x:c>
      <x:c r="J53" s="31" t="n">
        <x:v>18.1092860886</x:v>
      </x:c>
      <x:c r="K53" s="31" t="n">
        <x:v>0</x:v>
      </x:c>
      <x:c r="L53" s="31" t="n">
        <x:v>18.1092860886</x:v>
      </x:c>
      <x:c r="M53" s="31" t="n">
        <x:v>0</x:v>
      </x:c>
      <x:c r="N53" s="24" t="str">
        <x:v>synodontidae</x:v>
      </x:c>
      <x:c r="O53" s="32" t="n">
        <x:v>4.3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Synodontidae</x:v>
      </x:c>
      <x:c r="T53" s="32" t="n">
        <x:f>IF(O53="","",(1/'Metadata'!$B$5)^(O53-1))</x:f>
        <x:v>1995.2623149688789</x:v>
      </x:c>
      <x:c r="U53" s="31" t="n">
        <x:f>IF(T53="","",I53*T53)</x:f>
        <x:v>36132.77608357375</x:v>
      </x:c>
    </x:row>
    <x:row r="54" ht="18" customHeight="1">
      <x:c r="A54" s="24" t="str">
        <x:v>EEZ_096</x:v>
      </x:c>
      <x:c r="B54" s="24" t="str">
        <x:v>Brunei Darussalam</x:v>
      </x:c>
      <x:c r="C54" s="24" t="str">
        <x:v>EEZ</x:v>
      </x:c>
      <x:c r="D54" s="30" t="n">
        <x:v>2019</x:v>
      </x:c>
      <x:c r="E54" s="24" t="str">
        <x:v>Eleutheronema tetradactylum</x:v>
      </x:c>
      <x:c r="F54" s="24" t="str">
        <x:v>Fourfinger threadfin</x:v>
      </x:c>
      <x:c r="G54" s="24" t="str">
        <x:v>Large demersals (&gt;=90 cm)</x:v>
      </x:c>
      <x:c r="H54" s="24" t="str">
        <x:v>Perch-likes</x:v>
      </x:c>
      <x:c r="I54" s="31" t="n">
        <x:v>15.93</x:v>
      </x:c>
      <x:c r="J54" s="31" t="n">
        <x:v>15.93</x:v>
      </x:c>
      <x:c r="K54" s="31" t="n">
        <x:v>0</x:v>
      </x:c>
      <x:c r="L54" s="31" t="n">
        <x:v>15.93</x:v>
      </x:c>
      <x:c r="M54" s="31" t="n">
        <x:v>0</x:v>
      </x:c>
      <x:c r="N54" s="24" t="str">
        <x:v>eleutheronema tetradactylum</x:v>
      </x:c>
      <x:c r="O54" s="32" t="n">
        <x:v>4.06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Eleutheronema tetradactylum</x:v>
      </x:c>
      <x:c r="T54" s="32" t="n">
        <x:f>IF(O54="","",(1/'Metadata'!$B$5)^(O54-1))</x:f>
        <x:v>1148.1536214968817</x:v>
      </x:c>
      <x:c r="U54" s="31" t="n">
        <x:f>IF(T54="","",I54*T54)</x:f>
        <x:v>18290.087190445323</x:v>
      </x:c>
    </x:row>
    <x:row r="55" ht="18" customHeight="1">
      <x:c r="A55" s="24" t="str">
        <x:v>EEZ_096</x:v>
      </x:c>
      <x:c r="B55" s="24" t="str">
        <x:v>Brunei Darussalam</x:v>
      </x:c>
      <x:c r="C55" s="24" t="str">
        <x:v>EEZ</x:v>
      </x:c>
      <x:c r="D55" s="30" t="n">
        <x:v>2019</x:v>
      </x:c>
      <x:c r="E55" s="24" t="str">
        <x:v>Istiophoridae</x:v>
      </x:c>
      <x:c r="F55" s="24" t="str">
        <x:v>Billfishes</x:v>
      </x:c>
      <x:c r="G55" s="24" t="str">
        <x:v>Large pelagics (&gt;=90 cm)</x:v>
      </x:c>
      <x:c r="H55" s="24" t="str">
        <x:v>Tuna &amp; billfishes</x:v>
      </x:c>
      <x:c r="I55" s="31" t="n">
        <x:v>15.355346397</x:v>
      </x:c>
      <x:c r="J55" s="31" t="n">
        <x:v>15.355346397</x:v>
      </x:c>
      <x:c r="K55" s="31" t="n">
        <x:v>0</x:v>
      </x:c>
      <x:c r="L55" s="31" t="n">
        <x:v>0</x:v>
      </x:c>
      <x:c r="M55" s="31" t="n">
        <x:v>15.355346397</x:v>
      </x:c>
      <x:c r="N55" s="24" t="str">
        <x:v>istiophoridae</x:v>
      </x:c>
      <x:c r="O55" s="32" t="n">
        <x:v>4.48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Istiophoridae</x:v>
      </x:c>
      <x:c r="T55" s="32" t="n">
        <x:f>IF(O55="","",(1/'Metadata'!$B$5)^(O55-1))</x:f>
        <x:v>3019.951720402019</x:v>
      </x:c>
      <x:c r="U55" s="31" t="n">
        <x:f>IF(T55="","",I55*T55)</x:f>
        <x:v>46372.404768989094</x:v>
      </x:c>
    </x:row>
    <x:row r="56" ht="18" customHeight="1">
      <x:c r="A56" s="24" t="str">
        <x:v>EEZ_096</x:v>
      </x:c>
      <x:c r="B56" s="24" t="str">
        <x:v>Brunei Darussalam</x:v>
      </x:c>
      <x:c r="C56" s="24" t="str">
        <x:v>EEZ</x:v>
      </x:c>
      <x:c r="D56" s="30" t="n">
        <x:v>2019</x:v>
      </x:c>
      <x:c r="E56" s="24" t="str">
        <x:v>Psettodes erumei</x:v>
      </x:c>
      <x:c r="F56" s="24" t="str">
        <x:v>Indian halibut</x:v>
      </x:c>
      <x:c r="G56" s="24" t="str">
        <x:v>Small to medium flatfishes (&lt;90 cm)</x:v>
      </x:c>
      <x:c r="H56" s="24" t="str">
        <x:v>Flatfishes</x:v>
      </x:c>
      <x:c r="I56" s="31" t="n">
        <x:v>15.2099533173</x:v>
      </x:c>
      <x:c r="J56" s="31" t="n">
        <x:v>15.2099533173</x:v>
      </x:c>
      <x:c r="K56" s="31" t="n">
        <x:v>0</x:v>
      </x:c>
      <x:c r="L56" s="31" t="n">
        <x:v>15.2099533173</x:v>
      </x:c>
      <x:c r="M56" s="31" t="n">
        <x:v>0</x:v>
      </x:c>
      <x:c r="N56" s="24" t="str">
        <x:v>psettodes erumei</x:v>
      </x:c>
      <x:c r="O56" s="32" t="n">
        <x:v>4.39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Psettodes erumei</x:v>
      </x:c>
      <x:c r="T56" s="32" t="n">
        <x:f>IF(O56="","",(1/'Metadata'!$B$5)^(O56-1))</x:f>
        <x:v>2454.7089156850284</x:v>
      </x:c>
      <x:c r="U56" s="31" t="n">
        <x:f>IF(T56="","",I56*T56)</x:f>
        <x:v>37336.00801512938</x:v>
      </x:c>
    </x:row>
    <x:row r="57" ht="18" customHeight="1">
      <x:c r="A57" s="24" t="str">
        <x:v>EEZ_096</x:v>
      </x:c>
      <x:c r="B57" s="24" t="str">
        <x:v>Brunei Darussalam</x:v>
      </x:c>
      <x:c r="C57" s="24" t="str">
        <x:v>EEZ</x:v>
      </x:c>
      <x:c r="D57" s="30" t="n">
        <x:v>2019</x:v>
      </x:c>
      <x:c r="E57" s="24" t="str">
        <x:v>Penaeus merguiensis</x:v>
      </x:c>
      <x:c r="F57" s="24" t="str">
        <x:v>Banana prawn</x:v>
      </x:c>
      <x:c r="G57" s="24" t="str">
        <x:v>Shrimps</x:v>
      </x:c>
      <x:c r="H57" s="24" t="str">
        <x:v>Crustaceans</x:v>
      </x:c>
      <x:c r="I57" s="31" t="n">
        <x:v>10.31</x:v>
      </x:c>
      <x:c r="J57" s="31" t="n">
        <x:v>10.31</x:v>
      </x:c>
      <x:c r="K57" s="31" t="n">
        <x:v>0</x:v>
      </x:c>
      <x:c r="L57" s="31" t="n">
        <x:v>10.31</x:v>
      </x:c>
      <x:c r="M57" s="31" t="n">
        <x:v>0</x:v>
      </x:c>
      <x:c r="N57" s="24" t="str">
        <x:v>penaeus merguiensis</x:v>
      </x:c>
      <x:c r="O57" s="32" t="n">
        <x:v>3.77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Penaeus merguiensis</x:v>
      </x:c>
      <x:c r="T57" s="32" t="n">
        <x:f>IF(O57="","",(1/'Metadata'!$B$5)^(O57-1))</x:f>
        <x:v>588.843655355589</x:v>
      </x:c>
      <x:c r="U57" s="31" t="n">
        <x:f>IF(T57="","",I57*T57)</x:f>
        <x:v>6070.9780867161235</x:v>
      </x:c>
    </x:row>
    <x:row r="58" ht="18" customHeight="1">
      <x:c r="A58" s="24" t="str">
        <x:v>EEZ_096</x:v>
      </x:c>
      <x:c r="B58" s="24" t="str">
        <x:v>Brunei Darussalam</x:v>
      </x:c>
      <x:c r="C58" s="24" t="str">
        <x:v>EEZ</x:v>
      </x:c>
      <x:c r="D58" s="30" t="n">
        <x:v>2019</x:v>
      </x:c>
      <x:c r="E58" s="24" t="str">
        <x:v>Plectorhinchus</x:v>
      </x:c>
      <x:c r="F58" s="24" t="str">
        <x:v>Sweetlips</x:v>
      </x:c>
      <x:c r="G58" s="24" t="str">
        <x:v>Medium reef assoc. fish (30 - 89 cm)</x:v>
      </x:c>
      <x:c r="H58" s="24" t="str">
        <x:v>Perch-likes</x:v>
      </x:c>
      <x:c r="I58" s="31" t="n">
        <x:v>10.183112440199999</x:v>
      </x:c>
      <x:c r="J58" s="31" t="n">
        <x:v>10.183112440199999</x:v>
      </x:c>
      <x:c r="K58" s="31" t="n">
        <x:v>0</x:v>
      </x:c>
      <x:c r="L58" s="31" t="n">
        <x:v>10.183112440199999</x:v>
      </x:c>
      <x:c r="M58" s="31" t="n">
        <x:v>0</x:v>
      </x:c>
      <x:c r="N58" s="24" t="str">
        <x:v>plectorhinchus</x:v>
      </x:c>
      <x:c r="O58" s="32" t="n">
        <x:v>3.43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Plectorhinchus</x:v>
      </x:c>
      <x:c r="T58" s="32" t="n">
        <x:f>IF(O58="","",(1/'Metadata'!$B$5)^(O58-1))</x:f>
        <x:v>269.1534803926917</x:v>
      </x:c>
      <x:c r="U58" s="31" t="n">
        <x:f>IF(T58="","",I58*T58)</x:f>
        <x:v>2740.820154509945</x:v>
      </x:c>
    </x:row>
    <x:row r="59" ht="18" customHeight="1">
      <x:c r="A59" s="24" t="str">
        <x:v>EEZ_096</x:v>
      </x:c>
      <x:c r="B59" s="24" t="str">
        <x:v>Brunei Darussalam</x:v>
      </x:c>
      <x:c r="C59" s="24" t="str">
        <x:v>EEZ</x:v>
      </x:c>
      <x:c r="D59" s="30" t="n">
        <x:v>2019</x:v>
      </x:c>
      <x:c r="E59" s="24" t="str">
        <x:v>Sciaenidae</x:v>
      </x:c>
      <x:c r="F59" s="24" t="str">
        <x:v>Drums, croakers</x:v>
      </x:c>
      <x:c r="G59" s="24" t="str">
        <x:v>Medium demersals (30 - 89 cm)</x:v>
      </x:c>
      <x:c r="H59" s="24" t="str">
        <x:v>Perch-likes</x:v>
      </x:c>
      <x:c r="I59" s="31" t="n">
        <x:v>8.171303781399999</x:v>
      </x:c>
      <x:c r="J59" s="31" t="n">
        <x:v>8.171303781399999</x:v>
      </x:c>
      <x:c r="K59" s="31" t="n">
        <x:v>0</x:v>
      </x:c>
      <x:c r="L59" s="31" t="n">
        <x:v>8.171303781399999</x:v>
      </x:c>
      <x:c r="M59" s="31" t="n">
        <x:v>0</x:v>
      </x:c>
      <x:c r="N59" s="24" t="str">
        <x:v>sciaenidae</x:v>
      </x:c>
      <x:c r="O59" s="32" t="n">
        <x:v>3.76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Sciaenidae</x:v>
      </x:c>
      <x:c r="T59" s="32" t="n">
        <x:f>IF(O59="","",(1/'Metadata'!$B$5)^(O59-1))</x:f>
        <x:v>575.4399373371566</x:v>
      </x:c>
      <x:c r="U59" s="31" t="n">
        <x:f>IF(T59="","",I59*T59)</x:f>
        <x:v>4702.094535931687</x:v>
      </x:c>
    </x:row>
    <x:row r="60" ht="18" customHeight="1">
      <x:c r="A60" s="24" t="str">
        <x:v>EEZ_096</x:v>
      </x:c>
      <x:c r="B60" s="24" t="str">
        <x:v>Brunei Darussalam</x:v>
      </x:c>
      <x:c r="C60" s="24" t="str">
        <x:v>EEZ</x:v>
      </x:c>
      <x:c r="D60" s="30" t="n">
        <x:v>2019</x:v>
      </x:c>
      <x:c r="E60" s="24" t="str">
        <x:v>Drepane punctata</x:v>
      </x:c>
      <x:c r="F60" s="24" t="str">
        <x:v>Spotted sicklefish</x:v>
      </x:c>
      <x:c r="G60" s="24" t="str">
        <x:v>Medium reef assoc. fish (30 - 89 cm)</x:v>
      </x:c>
      <x:c r="H60" s="24" t="str">
        <x:v>Perch-likes</x:v>
      </x:c>
      <x:c r="I60" s="31" t="n">
        <x:v>7.67</x:v>
      </x:c>
      <x:c r="J60" s="31" t="n">
        <x:v>7.67</x:v>
      </x:c>
      <x:c r="K60" s="31" t="n">
        <x:v>0</x:v>
      </x:c>
      <x:c r="L60" s="31" t="n">
        <x:v>7.67</x:v>
      </x:c>
      <x:c r="M60" s="31" t="n">
        <x:v>0</x:v>
      </x:c>
      <x:c r="N60" s="24" t="str">
        <x:v>drepane punctata</x:v>
      </x:c>
      <x:c r="O60" s="32" t="n">
        <x:v>3.32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Drepane punctata</x:v>
      </x:c>
      <x:c r="T60" s="32" t="n">
        <x:f>IF(O60="","",(1/'Metadata'!$B$5)^(O60-1))</x:f>
        <x:v>208.92961308540387</x:v>
      </x:c>
      <x:c r="U60" s="31" t="n">
        <x:f>IF(T60="","",I60*T60)</x:f>
        <x:v>1602.4901323650477</x:v>
      </x:c>
    </x:row>
    <x:row r="61" ht="18" customHeight="1">
      <x:c r="A61" s="24" t="str">
        <x:v>EEZ_096</x:v>
      </x:c>
      <x:c r="B61" s="24" t="str">
        <x:v>Brunei Darussalam</x:v>
      </x:c>
      <x:c r="C61" s="24" t="str">
        <x:v>EEZ</x:v>
      </x:c>
      <x:c r="D61" s="30" t="n">
        <x:v>2019</x:v>
      </x:c>
      <x:c r="E61" s="24" t="str">
        <x:v>Balistidae</x:v>
      </x:c>
      <x:c r="F61" s="24" t="str">
        <x:v>Triggerfishes</x:v>
      </x:c>
      <x:c r="G61" s="24" t="str">
        <x:v>Medium reef assoc. fish (30 - 89 cm)</x:v>
      </x:c>
      <x:c r="H61" s="24" t="str">
        <x:v>Other fishes &amp; inverts</x:v>
      </x:c>
      <x:c r="I61" s="31" t="n">
        <x:v>5.5880755928</x:v>
      </x:c>
      <x:c r="J61" s="31" t="n">
        <x:v>5.5880755928</x:v>
      </x:c>
      <x:c r="K61" s="31" t="n">
        <x:v>0</x:v>
      </x:c>
      <x:c r="L61" s="31" t="n">
        <x:v>5.5880755928</x:v>
      </x:c>
      <x:c r="M61" s="31" t="n">
        <x:v>0</x:v>
      </x:c>
      <x:c r="N61" s="24" t="str">
        <x:v>balistidae</x:v>
      </x:c>
      <x:c r="O61" s="32" t="n">
        <x:v>3.25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Balistidae</x:v>
      </x:c>
      <x:c r="T61" s="32" t="n">
        <x:f>IF(O61="","",(1/'Metadata'!$B$5)^(O61-1))</x:f>
        <x:v>177.82794100389228</x:v>
      </x:c>
      <x:c r="U61" s="31" t="n">
        <x:f>IF(T61="","",I61*T61)</x:f>
        <x:v>993.7159768417288</x:v>
      </x:c>
    </x:row>
    <x:row r="62" ht="18" customHeight="1">
      <x:c r="A62" s="24" t="str">
        <x:v>EEZ_096</x:v>
      </x:c>
      <x:c r="B62" s="24" t="str">
        <x:v>Brunei Darussalam</x:v>
      </x:c>
      <x:c r="C62" s="24" t="str">
        <x:v>EEZ</x:v>
      </x:c>
      <x:c r="D62" s="30" t="n">
        <x:v>2019</x:v>
      </x:c>
      <x:c r="E62" s="24" t="str">
        <x:v>Muraenesox cinereus</x:v>
      </x:c>
      <x:c r="F62" s="24" t="str">
        <x:v>Daggertooth pike conger</x:v>
      </x:c>
      <x:c r="G62" s="24" t="str">
        <x:v>Large demersals (&gt;=90 cm)</x:v>
      </x:c>
      <x:c r="H62" s="24" t="str">
        <x:v>Other fishes &amp; inverts</x:v>
      </x:c>
      <x:c r="I62" s="31" t="n">
        <x:v>4.99</x:v>
      </x:c>
      <x:c r="J62" s="31" t="n">
        <x:v>4.99</x:v>
      </x:c>
      <x:c r="K62" s="31" t="n">
        <x:v>0</x:v>
      </x:c>
      <x:c r="L62" s="31" t="n">
        <x:v>4.99</x:v>
      </x:c>
      <x:c r="M62" s="31" t="n">
        <x:v>0</x:v>
      </x:c>
      <x:c r="N62" s="24" t="str">
        <x:v>muraenesox cinereus</x:v>
      </x:c>
      <x:c r="O62" s="32" t="n">
        <x:v>4.38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Muraenesox cinereus</x:v>
      </x:c>
      <x:c r="T62" s="32" t="n">
        <x:f>IF(O62="","",(1/'Metadata'!$B$5)^(O62-1))</x:f>
        <x:v>2398.83291901949</x:v>
      </x:c>
      <x:c r="U62" s="31" t="n">
        <x:f>IF(T62="","",I62*T62)</x:f>
        <x:v>11970.176265907256</x:v>
      </x:c>
    </x:row>
    <x:row r="63" ht="18" customHeight="1">
      <x:c r="A63" s="24" t="str">
        <x:v>EEZ_096</x:v>
      </x:c>
      <x:c r="B63" s="24" t="str">
        <x:v>Brunei Darussalam</x:v>
      </x:c>
      <x:c r="C63" s="24" t="str">
        <x:v>EEZ</x:v>
      </x:c>
      <x:c r="D63" s="30" t="n">
        <x:v>2019</x:v>
      </x:c>
      <x:c r="E63" s="24" t="str">
        <x:v>Megalops cyprinoides</x:v>
      </x:c>
      <x:c r="F63" s="24" t="str">
        <x:v>Indo-Pacific tarpon</x:v>
      </x:c>
      <x:c r="G63" s="24" t="str">
        <x:v>Large pelagics (&gt;=90 cm)</x:v>
      </x:c>
      <x:c r="H63" s="24" t="str">
        <x:v>Other fishes &amp; inverts</x:v>
      </x:c>
      <x:c r="I63" s="31" t="n">
        <x:v>4.777047845999999</x:v>
      </x:c>
      <x:c r="J63" s="31" t="n">
        <x:v>4.777047845999999</x:v>
      </x:c>
      <x:c r="K63" s="31" t="n">
        <x:v>0</x:v>
      </x:c>
      <x:c r="L63" s="31" t="n">
        <x:v>4.777047845999999</x:v>
      </x:c>
      <x:c r="M63" s="31" t="n">
        <x:v>0</x:v>
      </x:c>
      <x:c r="N63" s="24" t="str">
        <x:v>megalops cyprinoides</x:v>
      </x:c>
      <x:c r="O63" s="32" t="n">
        <x:v>3.48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Megalops cyprinoides</x:v>
      </x:c>
      <x:c r="T63" s="32" t="n">
        <x:f>IF(O63="","",(1/'Metadata'!$B$5)^(O63-1))</x:f>
        <x:v>301.9951720402016</x:v>
      </x:c>
      <x:c r="U63" s="31" t="n">
        <x:f>IF(T63="","",I63*T63)</x:f>
        <x:v>1442.6453860970444</x:v>
      </x:c>
    </x:row>
    <x:row r="64" ht="18" customHeight="1">
      <x:c r="A64" s="24" t="str">
        <x:v>EEZ_096</x:v>
      </x:c>
      <x:c r="B64" s="24" t="str">
        <x:v>Brunei Darussalam</x:v>
      </x:c>
      <x:c r="C64" s="24" t="str">
        <x:v>EEZ</x:v>
      </x:c>
      <x:c r="D64" s="30" t="n">
        <x:v>2019</x:v>
      </x:c>
      <x:c r="E64" s="24" t="str">
        <x:v>Portunus pelagicus</x:v>
      </x:c>
      <x:c r="F64" s="24" t="str">
        <x:v>Blue swimming crab</x:v>
      </x:c>
      <x:c r="G64" s="24" t="str">
        <x:v>Lobsters, crabs</x:v>
      </x:c>
      <x:c r="H64" s="24" t="str">
        <x:v>Crustaceans</x:v>
      </x:c>
      <x:c r="I64" s="31" t="n">
        <x:v>3.9400000000000004</x:v>
      </x:c>
      <x:c r="J64" s="31" t="n">
        <x:v>3.9400000000000004</x:v>
      </x:c>
      <x:c r="K64" s="31" t="n">
        <x:v>0</x:v>
      </x:c>
      <x:c r="L64" s="31" t="n">
        <x:v>3.9400000000000004</x:v>
      </x:c>
      <x:c r="M64" s="31" t="n">
        <x:v>0</x:v>
      </x:c>
      <x:c r="N64" s="24" t="str">
        <x:v>portunus pelagicus</x:v>
      </x:c>
      <x:c r="O64" s="32" t="n">
        <x:v>2.48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Portunus pelagicus</x:v>
      </x:c>
      <x:c r="T64" s="32" t="n">
        <x:f>IF(O64="","",(1/'Metadata'!$B$5)^(O64-1))</x:f>
        <x:v>30.19951720402016</x:v>
      </x:c>
      <x:c r="U64" s="31" t="n">
        <x:f>IF(T64="","",I64*T64)</x:f>
        <x:v>118.98609778383944</x:v>
      </x:c>
    </x:row>
    <x:row r="65" ht="18" customHeight="1">
      <x:c r="A65" s="24" t="str">
        <x:v>EEZ_096</x:v>
      </x:c>
      <x:c r="B65" s="24" t="str">
        <x:v>Brunei Darussalam</x:v>
      </x:c>
      <x:c r="C65" s="24" t="str">
        <x:v>EEZ</x:v>
      </x:c>
      <x:c r="D65" s="30" t="n">
        <x:v>2019</x:v>
      </x:c>
      <x:c r="E65" s="24" t="str">
        <x:v>Parastromateus niger</x:v>
      </x:c>
      <x:c r="F65" s="24" t="str">
        <x:v>Black pomfret</x:v>
      </x:c>
      <x:c r="G65" s="24" t="str">
        <x:v>Medium benthopelagics (30 - 89 cm)</x:v>
      </x:c>
      <x:c r="H65" s="24" t="str">
        <x:v>Perch-likes</x:v>
      </x:c>
      <x:c r="I65" s="31" t="n">
        <x:v>3.4093837017</x:v>
      </x:c>
      <x:c r="J65" s="31" t="n">
        <x:v>3.4093837017</x:v>
      </x:c>
      <x:c r="K65" s="31" t="n">
        <x:v>0</x:v>
      </x:c>
      <x:c r="L65" s="31" t="n">
        <x:v>3.4093837017</x:v>
      </x:c>
      <x:c r="M65" s="31" t="n">
        <x:v>0</x:v>
      </x:c>
      <x:c r="N65" s="24" t="str">
        <x:v>parastromateus niger</x:v>
      </x:c>
      <x:c r="O65" s="32" t="n">
        <x:v>2.93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Parastromateus niger</x:v>
      </x:c>
      <x:c r="T65" s="32" t="n">
        <x:f>IF(O65="","",(1/'Metadata'!$B$5)^(O65-1))</x:f>
        <x:v>85.11380382023768</x:v>
      </x:c>
      <x:c r="U65" s="31" t="n">
        <x:f>IF(T65="","",I65*T65)</x:f>
        <x:v>290.1856155344095</x:v>
      </x:c>
    </x:row>
    <x:row r="66" ht="18" customHeight="1">
      <x:c r="A66" s="24" t="str">
        <x:v>EEZ_096</x:v>
      </x:c>
      <x:c r="B66" s="24" t="str">
        <x:v>Brunei Darussalam</x:v>
      </x:c>
      <x:c r="C66" s="24" t="str">
        <x:v>EEZ</x:v>
      </x:c>
      <x:c r="D66" s="30" t="n">
        <x:v>2019</x:v>
      </x:c>
      <x:c r="E66" s="24" t="str">
        <x:v>Dendrobranchiata</x:v>
      </x:c>
      <x:c r="F66" s="24" t="str">
        <x:v>Shrimps and prawns</x:v>
      </x:c>
      <x:c r="G66" s="24" t="str">
        <x:v>Shrimps</x:v>
      </x:c>
      <x:c r="H66" s="24" t="str">
        <x:v>Crustaceans</x:v>
      </x:c>
      <x:c r="I66" s="31" t="n">
        <x:v>3.0365216423</x:v>
      </x:c>
      <x:c r="J66" s="31" t="n">
        <x:v>3.0365216423</x:v>
      </x:c>
      <x:c r="K66" s="31" t="n">
        <x:v>0</x:v>
      </x:c>
      <x:c r="L66" s="31" t="n">
        <x:v>3.0365216423</x:v>
      </x:c>
      <x:c r="M66" s="31" t="n">
        <x:v>0</x:v>
      </x:c>
      <x:c r="N66" s="24" t="str">
        <x:v>dendrobranchiata</x:v>
      </x:c>
      <x:c r="O66" s="32" t="n">
        <x:v>3.24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Dendrobranchiata</x:v>
      </x:c>
      <x:c r="T66" s="32" t="n">
        <x:f>IF(O66="","",(1/'Metadata'!$B$5)^(O66-1))</x:f>
        <x:v>173.78008287493762</x:v>
      </x:c>
      <x:c r="U66" s="31" t="n">
        <x:f>IF(T66="","",I66*T66)</x:f>
        <x:v>527.6869826504357</x:v>
      </x:c>
    </x:row>
    <x:row r="67" ht="18" customHeight="1">
      <x:c r="A67" s="24" t="str">
        <x:v>EEZ_096</x:v>
      </x:c>
      <x:c r="B67" s="24" t="str">
        <x:v>Brunei Darussalam</x:v>
      </x:c>
      <x:c r="C67" s="24" t="str">
        <x:v>EEZ</x:v>
      </x:c>
      <x:c r="D67" s="30" t="n">
        <x:v>2019</x:v>
      </x:c>
      <x:c r="E67" s="24" t="str">
        <x:v>Thunnus tonggol</x:v>
      </x:c>
      <x:c r="F67" s="24" t="str">
        <x:v>Longtail tuna</x:v>
      </x:c>
      <x:c r="G67" s="24" t="str">
        <x:v>Large pelagics (&gt;=90 cm)</x:v>
      </x:c>
      <x:c r="H67" s="24" t="str">
        <x:v>Tuna &amp; billfishes</x:v>
      </x:c>
      <x:c r="I67" s="31" t="n">
        <x:v>2.1969070674</x:v>
      </x:c>
      <x:c r="J67" s="31" t="n">
        <x:v>2.1969070674</x:v>
      </x:c>
      <x:c r="K67" s="31" t="n">
        <x:v>0</x:v>
      </x:c>
      <x:c r="L67" s="31" t="n">
        <x:v>2.1969070674</x:v>
      </x:c>
      <x:c r="M67" s="31" t="n">
        <x:v>0</x:v>
      </x:c>
      <x:c r="N67" s="24" t="str">
        <x:v>thunnus tonggol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Thunnus tonggol</x:v>
      </x:c>
      <x:c r="T67" s="32" t="n">
        <x:f>IF(O67="","",(1/'Metadata'!$B$5)^(O67-1))</x:f>
        <x:v>3162.2776601683795</x:v>
      </x:c>
      <x:c r="U67" s="31" t="n">
        <x:f>IF(T67="","",I67*T67)</x:f>
        <x:v>6947.230140705049</x:v>
      </x:c>
    </x:row>
    <x:row r="68" ht="18" customHeight="1">
      <x:c r="A68" s="24" t="str">
        <x:v>EEZ_096</x:v>
      </x:c>
      <x:c r="B68" s="24" t="str">
        <x:v>Brunei Darussalam</x:v>
      </x:c>
      <x:c r="C68" s="24" t="str">
        <x:v>EEZ</x:v>
      </x:c>
      <x:c r="D68" s="30" t="n">
        <x:v>2019</x:v>
      </x:c>
      <x:c r="E68" s="24" t="str">
        <x:v>Scomberomorus guttatus</x:v>
      </x:c>
      <x:c r="F68" s="24" t="str">
        <x:v>Indo-Pacific king mackerel</x:v>
      </x:c>
      <x:c r="G68" s="24" t="str">
        <x:v>Medium pelagics (30 - 89 cm)</x:v>
      </x:c>
      <x:c r="H68" s="24" t="str">
        <x:v>Perch-likes</x:v>
      </x:c>
      <x:c r="I68" s="31" t="n">
        <x:v>1.59</x:v>
      </x:c>
      <x:c r="J68" s="31" t="n">
        <x:v>1.59</x:v>
      </x:c>
      <x:c r="K68" s="31" t="n">
        <x:v>0</x:v>
      </x:c>
      <x:c r="L68" s="31" t="n">
        <x:v>1.59</x:v>
      </x:c>
      <x:c r="M68" s="31" t="n">
        <x:v>0</x:v>
      </x:c>
      <x:c r="N68" s="24" t="str">
        <x:v>scomberomorus guttatus</x:v>
      </x:c>
      <x:c r="O68" s="32" t="n">
        <x:v>4.28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Scomberomorus guttatus</x:v>
      </x:c>
      <x:c r="T68" s="32" t="n">
        <x:f>IF(O68="","",(1/'Metadata'!$B$5)^(O68-1))</x:f>
        <x:v>1905.4607179632483</x:v>
      </x:c>
      <x:c r="U68" s="31" t="n">
        <x:f>IF(T68="","",I68*T68)</x:f>
        <x:v>3029.682541561565</x:v>
      </x:c>
    </x:row>
    <x:row r="69" ht="18" customHeight="1">
      <x:c r="A69" s="24" t="str">
        <x:v>EEZ_096</x:v>
      </x:c>
      <x:c r="B69" s="24" t="str">
        <x:v>Brunei Darussalam</x:v>
      </x:c>
      <x:c r="C69" s="24" t="str">
        <x:v>EEZ</x:v>
      </x:c>
      <x:c r="D69" s="30" t="n">
        <x:v>2019</x:v>
      </x:c>
      <x:c r="E69" s="24" t="str">
        <x:v>Acetes</x:v>
      </x:c>
      <x:c r="F69" s="24" t="str">
        <x:v>Acetes shrimps</x:v>
      </x:c>
      <x:c r="G69" s="24" t="str">
        <x:v>Shrimps</x:v>
      </x:c>
      <x:c r="H69" s="24" t="str">
        <x:v>Crustaceans</x:v>
      </x:c>
      <x:c r="I69" s="31" t="n">
        <x:v>1.0892238122</x:v>
      </x:c>
      <x:c r="J69" s="31" t="n">
        <x:v>1.0892238122</x:v>
      </x:c>
      <x:c r="K69" s="31" t="n">
        <x:v>0</x:v>
      </x:c>
      <x:c r="L69" s="31" t="n">
        <x:v>1.0892238122</x:v>
      </x:c>
      <x:c r="M69" s="31" t="n">
        <x:v>0</x:v>
      </x:c>
      <x:c r="N69" s="24" t="str">
        <x:v>acetes</x:v>
      </x:c>
      <x:c r="O69" s="32" t="n">
        <x:v>2.7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Acetes</x:v>
      </x:c>
      <x:c r="T69" s="32" t="n">
        <x:f>IF(O69="","",(1/'Metadata'!$B$5)^(O69-1))</x:f>
        <x:v>50.11872336272725</x:v>
      </x:c>
      <x:c r="U69" s="31" t="n">
        <x:f>IF(T69="","",I69*T69)</x:f>
        <x:v>54.59050692374698</x:v>
      </x:c>
    </x:row>
    <x:row r="70" ht="18" customHeight="1">
      <x:c r="A70" s="24" t="str">
        <x:v>EEZ_096</x:v>
      </x:c>
      <x:c r="B70" s="24" t="str">
        <x:v>Brunei Darussalam</x:v>
      </x:c>
      <x:c r="C70" s="24" t="str">
        <x:v>EEZ</x:v>
      </x:c>
      <x:c r="D70" s="30" t="n">
        <x:v>2019</x:v>
      </x:c>
      <x:c r="E70" s="24" t="str">
        <x:v>Pellona ditchela</x:v>
      </x:c>
      <x:c r="F70" s="24" t="str">
        <x:v>Indian pellona</x:v>
      </x:c>
      <x:c r="G70" s="24" t="str">
        <x:v>Small pelagics (&lt;30 cm)</x:v>
      </x:c>
      <x:c r="H70" s="24" t="str">
        <x:v>Herring-likes</x:v>
      </x:c>
      <x:c r="I70" s="31" t="n">
        <x:v>0.7966342053</x:v>
      </x:c>
      <x:c r="J70" s="31" t="n">
        <x:v>0.7966342053</x:v>
      </x:c>
      <x:c r="K70" s="31" t="n">
        <x:v>0</x:v>
      </x:c>
      <x:c r="L70" s="31" t="n">
        <x:v>0.7966342053</x:v>
      </x:c>
      <x:c r="M70" s="31" t="n">
        <x:v>0</x:v>
      </x:c>
      <x:c r="N70" s="24" t="str">
        <x:v>pellona ditchela</x:v>
      </x:c>
      <x:c r="O70" s="32" t="n">
        <x:v>3.37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Pellona ditchela</x:v>
      </x:c>
      <x:c r="T70" s="32" t="n">
        <x:f>IF(O70="","",(1/'Metadata'!$B$5)^(O70-1))</x:f>
        <x:v>234.42288153199226</x:v>
      </x:c>
      <x:c r="U70" s="31" t="n">
        <x:f>IF(T70="","",I70*T70)</x:f>
        <x:v>186.7492859333747</x:v>
      </x:c>
    </x:row>
    <x:row r="71" ht="18" customHeight="1">
      <x:c r="A71" s="24" t="str">
        <x:v>EEZ_096</x:v>
      </x:c>
      <x:c r="B71" s="24" t="str">
        <x:v>Brunei Darussalam</x:v>
      </x:c>
      <x:c r="C71" s="24" t="str">
        <x:v>EEZ</x:v>
      </x:c>
      <x:c r="D71" s="30" t="n">
        <x:v>2019</x:v>
      </x:c>
      <x:c r="E71" s="24" t="str">
        <x:v>Clupeiformes</x:v>
      </x:c>
      <x:c r="F71" s="24" t="str">
        <x:v>Herrings, shads, anchovies</x:v>
      </x:c>
      <x:c r="G71" s="24" t="str">
        <x:v>Small pelagics (&lt;30 cm)</x:v>
      </x:c>
      <x:c r="H71" s="24" t="str">
        <x:v>Other fishes &amp; inverts</x:v>
      </x:c>
      <x:c r="I71" s="31" t="n">
        <x:v>0.7558567113</x:v>
      </x:c>
      <x:c r="J71" s="31" t="n">
        <x:v>0.7558567113</x:v>
      </x:c>
      <x:c r="K71" s="31" t="n">
        <x:v>0</x:v>
      </x:c>
      <x:c r="L71" s="31" t="n">
        <x:v>0.7558567113</x:v>
      </x:c>
      <x:c r="M71" s="31" t="n">
        <x:v>0</x:v>
      </x:c>
      <x:c r="N71" s="24" t="str">
        <x:v>clupeiformes</x:v>
      </x:c>
      <x:c r="O71" s="32" t="n">
        <x:v>3.24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Clupeiformes</x:v>
      </x:c>
      <x:c r="T71" s="32" t="n">
        <x:f>IF(O71="","",(1/'Metadata'!$B$5)^(O71-1))</x:f>
        <x:v>173.78008287493762</x:v>
      </x:c>
      <x:c r="U71" s="31" t="n">
        <x:f>IF(T71="","",I71*T71)</x:f>
        <x:v>131.3528419312918</x:v>
      </x:c>
    </x:row>
    <x:row r="72" ht="18" customHeight="1">
      <x:c r="A72" s="24" t="str">
        <x:v>EEZ_096</x:v>
      </x:c>
      <x:c r="B72" s="24" t="str">
        <x:v>Brunei Darussalam</x:v>
      </x:c>
      <x:c r="C72" s="24" t="str">
        <x:v>EEZ</x:v>
      </x:c>
      <x:c r="D72" s="30" t="n">
        <x:v>2019</x:v>
      </x:c>
      <x:c r="E72" s="24" t="str">
        <x:v>Hilsa kelee</x:v>
      </x:c>
      <x:c r="F72" s="24" t="str">
        <x:v>Kelee shad</x:v>
      </x:c>
      <x:c r="G72" s="24" t="str">
        <x:v>Small pelagics (&lt;30 cm)</x:v>
      </x:c>
      <x:c r="H72" s="24" t="str">
        <x:v>Herring-likes</x:v>
      </x:c>
      <x:c r="I72" s="31" t="n">
        <x:v>0.5264008094</x:v>
      </x:c>
      <x:c r="J72" s="31" t="n">
        <x:v>0.5264008094</x:v>
      </x:c>
      <x:c r="K72" s="31" t="n">
        <x:v>0</x:v>
      </x:c>
      <x:c r="L72" s="31" t="n">
        <x:v>0.5264008094</x:v>
      </x:c>
      <x:c r="M72" s="31" t="n">
        <x:v>0</x:v>
      </x:c>
      <x:c r="N72" s="24" t="str">
        <x:v>hilsa kelee</x:v>
      </x:c>
      <x:c r="O72" s="32" t="n">
        <x:v>3.25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Hilsa kelee</x:v>
      </x:c>
      <x:c r="T72" s="32" t="n">
        <x:f>IF(O72="","",(1/'Metadata'!$B$5)^(O72-1))</x:f>
        <x:v>177.82794100389228</x:v>
      </x:c>
      <x:c r="U72" s="31" t="n">
        <x:f>IF(T72="","",I72*T72)</x:f>
        <x:v>93.60877207838435</x:v>
      </x:c>
    </x:row>
    <x:row r="73" ht="18" customHeight="1">
      <x:c r="A73" s="24" t="str">
        <x:v>EEZ_096</x:v>
      </x:c>
      <x:c r="B73" s="24" t="str">
        <x:v>Brunei Darussalam</x:v>
      </x:c>
      <x:c r="C73" s="24" t="str">
        <x:v>EEZ</x:v>
      </x:c>
      <x:c r="D73" s="30" t="n">
        <x:v>2019</x:v>
      </x:c>
      <x:c r="E73" s="24" t="str">
        <x:v>Pomadasys argenteus</x:v>
      </x:c>
      <x:c r="F73" s="24" t="str">
        <x:v>Silver grunt</x:v>
      </x:c>
      <x:c r="G73" s="24" t="str">
        <x:v>Medium demersals (30 - 89 cm)</x:v>
      </x:c>
      <x:c r="H73" s="24" t="str">
        <x:v>Perch-likes</x:v>
      </x:c>
      <x:c r="I73" s="31" t="n">
        <x:v>0.5159182459999999</x:v>
      </x:c>
      <x:c r="J73" s="31" t="n">
        <x:v>0.5159182459999999</x:v>
      </x:c>
      <x:c r="K73" s="31" t="n">
        <x:v>0</x:v>
      </x:c>
      <x:c r="L73" s="31" t="n">
        <x:v>0.5159182459999999</x:v>
      </x:c>
      <x:c r="M73" s="31" t="n">
        <x:v>0</x:v>
      </x:c>
      <x:c r="N73" s="24" t="str">
        <x:v>pomadasys argenteus</x:v>
      </x:c>
      <x:c r="O73" s="32" t="n">
        <x:v>3.47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Pomadasys argenteus</x:v>
      </x:c>
      <x:c r="T73" s="32" t="n">
        <x:f>IF(O73="","",(1/'Metadata'!$B$5)^(O73-1))</x:f>
        <x:v>295.1209226666387</x:v>
      </x:c>
      <x:c r="U73" s="31" t="n">
        <x:f>IF(T73="","",I73*T73)</x:f>
        <x:v>152.25826878007385</x:v>
      </x:c>
    </x:row>
    <x:row r="74" ht="18" customHeight="1">
      <x:c r="A74" s="24" t="str">
        <x:v>EEZ_096</x:v>
      </x:c>
      <x:c r="B74" s="24" t="str">
        <x:v>Brunei Darussalam</x:v>
      </x:c>
      <x:c r="C74" s="24" t="str">
        <x:v>EEZ</x:v>
      </x:c>
      <x:c r="D74" s="30" t="n">
        <x:v>2019</x:v>
      </x:c>
      <x:c r="E74" s="24" t="str">
        <x:v>Sepia</x:v>
      </x:c>
      <x:c r="F74" s="24" t="str">
        <x:v>Sepia cuttlefishes</x:v>
      </x:c>
      <x:c r="G74" s="24" t="str">
        <x:v>Cephalopods</x:v>
      </x:c>
      <x:c r="H74" s="24" t="str">
        <x:v>Other fishes &amp; inverts</x:v>
      </x:c>
      <x:c r="I74" s="31" t="n">
        <x:v>0.48559216720000004</x:v>
      </x:c>
      <x:c r="J74" s="31" t="n">
        <x:v>0.48559216720000004</x:v>
      </x:c>
      <x:c r="K74" s="31" t="n">
        <x:v>0</x:v>
      </x:c>
      <x:c r="L74" s="31" t="n">
        <x:v>0.48559216720000004</x:v>
      </x:c>
      <x:c r="M74" s="31" t="n">
        <x:v>0</x:v>
      </x:c>
      <x:c r="N74" s="24" t="str">
        <x:v>sepia</x:v>
      </x:c>
      <x:c r="O74" s="32" t="n">
        <x:v>3.69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Sepia</x:v>
      </x:c>
      <x:c r="T74" s="32" t="n">
        <x:f>IF(O74="","",(1/'Metadata'!$B$5)^(O74-1))</x:f>
        <x:v>489.77881936844614</x:v>
      </x:c>
      <x:c r="U74" s="31" t="n">
        <x:f>IF(T74="","",I74*T74)</x:f>
        <x:v>237.83275834578112</x:v>
      </x:c>
    </x:row>
    <x:row r="75" ht="18" customHeight="1">
      <x:c r="A75" s="24" t="str">
        <x:v>EEZ_096</x:v>
      </x:c>
      <x:c r="B75" s="24" t="str">
        <x:v>Brunei Darussalam</x:v>
      </x:c>
      <x:c r="C75" s="24" t="str">
        <x:v>EEZ</x:v>
      </x:c>
      <x:c r="D75" s="30" t="n">
        <x:v>2019</x:v>
      </x:c>
      <x:c r="E75" s="24" t="str">
        <x:v>Stromateidae</x:v>
      </x:c>
      <x:c r="F75" s="24" t="str">
        <x:v>Butterfishes</x:v>
      </x:c>
      <x:c r="G75" s="24" t="str">
        <x:v>Small benthopelagics (&lt;30 cm)</x:v>
      </x:c>
      <x:c r="H75" s="24" t="str">
        <x:v>Perch-likes</x:v>
      </x:c>
      <x:c r="I75" s="31" t="n">
        <x:v>0.4501494903</x:v>
      </x:c>
      <x:c r="J75" s="31" t="n">
        <x:v>0.4501494903</x:v>
      </x:c>
      <x:c r="K75" s="31" t="n">
        <x:v>0</x:v>
      </x:c>
      <x:c r="L75" s="31" t="n">
        <x:v>0.4501494903</x:v>
      </x:c>
      <x:c r="M75" s="31" t="n">
        <x:v>0</x:v>
      </x:c>
      <x:c r="N75" s="24" t="str">
        <x:v>stromateidae</x:v>
      </x:c>
      <x:c r="O75" s="32" t="n">
        <x:v>3.62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Stromateidae</x:v>
      </x:c>
      <x:c r="T75" s="32" t="n">
        <x:f>IF(O75="","",(1/'Metadata'!$B$5)^(O75-1))</x:f>
        <x:v>416.8693834703355</x:v>
      </x:c>
      <x:c r="U75" s="31" t="n">
        <x:f>IF(T75="","",I75*T75)</x:f>
        <x:v>187.65354049084678</x:v>
      </x:c>
    </x:row>
    <x:row r="76" ht="18" customHeight="1">
      <x:c r="A76" s="24" t="str">
        <x:v>EEZ_096</x:v>
      </x:c>
      <x:c r="B76" s="24" t="str">
        <x:v>Brunei Darussalam</x:v>
      </x:c>
      <x:c r="C76" s="24" t="str">
        <x:v>EEZ</x:v>
      </x:c>
      <x:c r="D76" s="30" t="n">
        <x:v>2019</x:v>
      </x:c>
      <x:c r="E76" s="24" t="str">
        <x:v>Muraenesox</x:v>
      </x:c>
      <x:c r="F76" s="24" t="str">
        <x:v>Congers</x:v>
      </x:c>
      <x:c r="G76" s="24" t="str">
        <x:v>Large demersals (&gt;=90 cm)</x:v>
      </x:c>
      <x:c r="H76" s="24" t="str">
        <x:v>Other fishes &amp; inverts</x:v>
      </x:c>
      <x:c r="I76" s="31" t="n">
        <x:v>0.4399562339</x:v>
      </x:c>
      <x:c r="J76" s="31" t="n">
        <x:v>0.4399562339</x:v>
      </x:c>
      <x:c r="K76" s="31" t="n">
        <x:v>0</x:v>
      </x:c>
      <x:c r="L76" s="31" t="n">
        <x:v>0.4399562339</x:v>
      </x:c>
      <x:c r="M76" s="31" t="n">
        <x:v>0</x:v>
      </x:c>
      <x:c r="N76" s="24" t="str">
        <x:v>muraenesox</x:v>
      </x:c>
      <x:c r="O76" s="32" t="n">
        <x:v>3.99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Muraenesox</x:v>
      </x:c>
      <x:c r="T76" s="32" t="n">
        <x:f>IF(O76="","",(1/'Metadata'!$B$5)^(O76-1))</x:f>
        <x:v>977.2372209558112</x:v>
      </x:c>
      <x:c r="U76" s="31" t="n">
        <x:f>IF(T76="","",I76*T76)</x:f>
        <x:v>429.94160735862084</x:v>
      </x:c>
    </x:row>
    <x:row r="77" ht="18" customHeight="1">
      <x:c r="A77" s="24" t="str">
        <x:v>EEZ_096</x:v>
      </x:c>
      <x:c r="B77" s="24" t="str">
        <x:v>Brunei Darussalam</x:v>
      </x:c>
      <x:c r="C77" s="24" t="str">
        <x:v>EEZ</x:v>
      </x:c>
      <x:c r="D77" s="30" t="n">
        <x:v>2019</x:v>
      </x:c>
      <x:c r="E77" s="24" t="str">
        <x:v>Euthynnus affinis</x:v>
      </x:c>
      <x:c r="F77" s="24" t="str">
        <x:v>Kawakawa</x:v>
      </x:c>
      <x:c r="G77" s="24" t="str">
        <x:v>Large pelagics (&gt;=90 cm)</x:v>
      </x:c>
      <x:c r="H77" s="24" t="str">
        <x:v>Tuna &amp; billfishes</x:v>
      </x:c>
      <x:c r="I77" s="31" t="n">
        <x:v>0.39943764860000003</x:v>
      </x:c>
      <x:c r="J77" s="31" t="n">
        <x:v>0.39943764860000003</x:v>
      </x:c>
      <x:c r="K77" s="31" t="n">
        <x:v>0</x:v>
      </x:c>
      <x:c r="L77" s="31" t="n">
        <x:v>0.39943764860000003</x:v>
      </x:c>
      <x:c r="M77" s="31" t="n">
        <x:v>0</x:v>
      </x:c>
      <x:c r="N77" s="24" t="str">
        <x:v>euthynnus affinis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Euthynnus affinis</x:v>
      </x:c>
      <x:c r="T77" s="32" t="n">
        <x:f>IF(O77="","",(1/'Metadata'!$B$5)^(O77-1))</x:f>
        <x:v>3162.2776601683795</x:v>
      </x:c>
      <x:c r="U77" s="31" t="n">
        <x:f>IF(T77="","",I77*T77)</x:f>
        <x:v>1263.1327527979674</x:v>
      </x:c>
    </x:row>
    <x:row r="78" ht="18" customHeight="1">
      <x:c r="A78" s="24" t="str">
        <x:v>EEZ_096</x:v>
      </x:c>
      <x:c r="B78" s="24" t="str">
        <x:v>Brunei Darussalam</x:v>
      </x:c>
      <x:c r="C78" s="24" t="str">
        <x:v>EEZ</x:v>
      </x:c>
      <x:c r="D78" s="30" t="n">
        <x:v>2019</x:v>
      </x:c>
      <x:c r="E78" s="24" t="str">
        <x:v>Pampus argenteus</x:v>
      </x:c>
      <x:c r="F78" s="24" t="str">
        <x:v>Silver pomfret</x:v>
      </x:c>
      <x:c r="G78" s="24" t="str">
        <x:v>Medium benthopelagics (30 - 89 cm)</x:v>
      </x:c>
      <x:c r="H78" s="24" t="str">
        <x:v>Perch-likes</x:v>
      </x:c>
      <x:c r="I78" s="31" t="n">
        <x:v>0.39</x:v>
      </x:c>
      <x:c r="J78" s="31" t="n">
        <x:v>0.39</x:v>
      </x:c>
      <x:c r="K78" s="31" t="n">
        <x:v>0</x:v>
      </x:c>
      <x:c r="L78" s="31" t="n">
        <x:v>0.39</x:v>
      </x:c>
      <x:c r="M78" s="31" t="n">
        <x:v>0</x:v>
      </x:c>
      <x:c r="N78" s="24" t="str">
        <x:v>pampus argenteus</x:v>
      </x:c>
      <x:c r="O78" s="32" t="n">
        <x:v>3.3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Pampus argenteus</x:v>
      </x:c>
      <x:c r="T78" s="32" t="n">
        <x:f>IF(O78="","",(1/'Metadata'!$B$5)^(O78-1))</x:f>
        <x:v>199.52623149688787</x:v>
      </x:c>
      <x:c r="U78" s="31" t="n">
        <x:f>IF(T78="","",I78*T78)</x:f>
        <x:v>77.81523028378628</x:v>
      </x:c>
    </x:row>
    <x:row r="79" ht="18" customHeight="1">
      <x:c r="A79" s="24" t="str">
        <x:v>EEZ_096</x:v>
      </x:c>
      <x:c r="B79" s="24" t="str">
        <x:v>Brunei Darussalam</x:v>
      </x:c>
      <x:c r="C79" s="24" t="str">
        <x:v>EEZ</x:v>
      </x:c>
      <x:c r="D79" s="30" t="n">
        <x:v>2019</x:v>
      </x:c>
      <x:c r="E79" s="24" t="str">
        <x:v>Scomberoides</x:v>
      </x:c>
      <x:c r="F79" s="24" t="str">
        <x:v>Queenfishes</x:v>
      </x:c>
      <x:c r="G79" s="24" t="str">
        <x:v>Medium pelagics (30 - 89 cm)</x:v>
      </x:c>
      <x:c r="H79" s="24" t="str">
        <x:v>Perch-likes</x:v>
      </x:c>
      <x:c r="I79" s="31" t="n">
        <x:v>0.3808448974</x:v>
      </x:c>
      <x:c r="J79" s="31" t="n">
        <x:v>0.3808448974</x:v>
      </x:c>
      <x:c r="K79" s="31" t="n">
        <x:v>0</x:v>
      </x:c>
      <x:c r="L79" s="31" t="n">
        <x:v>0.3808448974</x:v>
      </x:c>
      <x:c r="M79" s="31" t="n">
        <x:v>0</x:v>
      </x:c>
      <x:c r="N79" s="24" t="str">
        <x:v>scomberoides</x:v>
      </x:c>
      <x:c r="O79" s="32" t="n">
        <x:v>4.47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Scomberoides</x:v>
      </x:c>
      <x:c r="T79" s="32" t="n">
        <x:f>IF(O79="","",(1/'Metadata'!$B$5)^(O79-1))</x:f>
        <x:v>2951.209226666384</x:v>
      </x:c>
      <x:c r="U79" s="31" t="n">
        <x:f>IF(T79="","",I79*T79)</x:f>
        <x:v>1123.9529751356924</x:v>
      </x:c>
    </x:row>
    <x:row r="80" ht="18" customHeight="1">
      <x:c r="A80" s="24" t="str">
        <x:v>EEZ_096</x:v>
      </x:c>
      <x:c r="B80" s="24" t="str">
        <x:v>Brunei Darussalam</x:v>
      </x:c>
      <x:c r="C80" s="24" t="str">
        <x:v>EEZ</x:v>
      </x:c>
      <x:c r="D80" s="30" t="n">
        <x:v>2019</x:v>
      </x:c>
      <x:c r="E80" s="24" t="str">
        <x:v>Mollusca</x:v>
      </x:c>
      <x:c r="F80" s="24" t="str">
        <x:v>Clams, seasnails, squids, octopuses</x:v>
      </x:c>
      <x:c r="G80" s="24" t="str">
        <x:v>Other demersal invertebrates</x:v>
      </x:c>
      <x:c r="H80" s="24" t="str">
        <x:v>Molluscs</x:v>
      </x:c>
      <x:c r="I80" s="31" t="n">
        <x:v>0.3521378622</x:v>
      </x:c>
      <x:c r="J80" s="31" t="n">
        <x:v>0.3521378622</x:v>
      </x:c>
      <x:c r="K80" s="31" t="n">
        <x:v>0</x:v>
      </x:c>
      <x:c r="L80" s="31" t="n">
        <x:v>0.3521378622</x:v>
      </x:c>
      <x:c r="M80" s="31" t="n">
        <x:v>0</x:v>
      </x:c>
      <x:c r="N80" s="24" t="str">
        <x:v>mollusca</x:v>
      </x:c>
      <x:c r="O80" s="32" t="n">
        <x:v>2.1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Mollusca</x:v>
      </x:c>
      <x:c r="T80" s="32" t="n">
        <x:f>IF(O80="","",(1/'Metadata'!$B$5)^(O80-1))</x:f>
        <x:v>12.589254117941675</x:v>
      </x:c>
      <x:c r="U80" s="31" t="n">
        <x:f>IF(T80="","",I80*T80)</x:f>
        <x:v>4.433153031784528</x:v>
      </x:c>
    </x:row>
    <x:row r="81" ht="18" customHeight="1">
      <x:c r="A81" s="24" t="str">
        <x:v>EEZ_096</x:v>
      </x:c>
      <x:c r="B81" s="24" t="str">
        <x:v>Brunei Darussalam</x:v>
      </x:c>
      <x:c r="C81" s="24" t="str">
        <x:v>EEZ</x:v>
      </x:c>
      <x:c r="D81" s="30" t="n">
        <x:v>2019</x:v>
      </x:c>
      <x:c r="E81" s="24" t="str">
        <x:v>Saurida</x:v>
      </x:c>
      <x:c r="F81" s="24" t="str">
        <x:v>Lizardfishes</x:v>
      </x:c>
      <x:c r="G81" s="24" t="str">
        <x:v>Medium demersals (30 - 89 cm)</x:v>
      </x:c>
      <x:c r="H81" s="24" t="str">
        <x:v>Other fishes &amp; inverts</x:v>
      </x:c>
      <x:c r="I81" s="31" t="n">
        <x:v>0.35132824009999997</x:v>
      </x:c>
      <x:c r="J81" s="31" t="n">
        <x:v>0.35132824009999997</x:v>
      </x:c>
      <x:c r="K81" s="31" t="n">
        <x:v>0</x:v>
      </x:c>
      <x:c r="L81" s="31" t="n">
        <x:v>0.35132824009999997</x:v>
      </x:c>
      <x:c r="M81" s="31" t="n">
        <x:v>0</x:v>
      </x:c>
      <x:c r="N81" s="24" t="str">
        <x:v>saurida</x:v>
      </x:c>
      <x:c r="O81" s="32" t="n">
        <x:v>4.35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Saurida</x:v>
      </x:c>
      <x:c r="T81" s="32" t="n">
        <x:f>IF(O81="","",(1/'Metadata'!$B$5)^(O81-1))</x:f>
        <x:v>2238.7211385683377</x:v>
      </x:c>
      <x:c r="U81" s="31" t="n">
        <x:f>IF(T81="","",I81*T81)</x:f>
        <x:v>786.5259576878823</x:v>
      </x:c>
    </x:row>
    <x:row r="82" ht="18" customHeight="1">
      <x:c r="A82" s="24" t="str">
        <x:v>EEZ_096</x:v>
      </x:c>
      <x:c r="B82" s="24" t="str">
        <x:v>Brunei Darussalam</x:v>
      </x:c>
      <x:c r="C82" s="24" t="str">
        <x:v>EEZ</x:v>
      </x:c>
      <x:c r="D82" s="30" t="n">
        <x:v>2019</x:v>
      </x:c>
      <x:c r="E82" s="24" t="str">
        <x:v>Pennahia</x:v>
      </x:c>
      <x:c r="F82" s="24" t="str">
        <x:v>Pennah croakers</x:v>
      </x:c>
      <x:c r="G82" s="24" t="str">
        <x:v>Medium benthopelagics (30 - 89 cm)</x:v>
      </x:c>
      <x:c r="H82" s="24" t="str">
        <x:v>Perch-likes</x:v>
      </x:c>
      <x:c r="I82" s="31" t="n">
        <x:v>0.2852978649</x:v>
      </x:c>
      <x:c r="J82" s="31" t="n">
        <x:v>0.2852978649</x:v>
      </x:c>
      <x:c r="K82" s="31" t="n">
        <x:v>0</x:v>
      </x:c>
      <x:c r="L82" s="31" t="n">
        <x:v>0.2852978649</x:v>
      </x:c>
      <x:c r="M82" s="31" t="n">
        <x:v>0</x:v>
      </x:c>
      <x:c r="N82" s="24" t="str">
        <x:v>pennahia</x:v>
      </x:c>
      <x:c r="O82" s="32" t="n">
        <x:v>3.73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Pennahia</x:v>
      </x:c>
      <x:c r="T82" s="32" t="n">
        <x:f>IF(O82="","",(1/'Metadata'!$B$5)^(O82-1))</x:f>
        <x:v>537.0317963702527</x:v>
      </x:c>
      <x:c r="U82" s="31" t="n">
        <x:f>IF(T82="","",I82*T82)</x:f>
        <x:v>153.21402488784463</x:v>
      </x:c>
    </x:row>
    <x:row r="83" ht="18" customHeight="1">
      <x:c r="A83" s="24" t="str">
        <x:v>EEZ_096</x:v>
      </x:c>
      <x:c r="B83" s="24" t="str">
        <x:v>Brunei Darussalam</x:v>
      </x:c>
      <x:c r="C83" s="24" t="str">
        <x:v>EEZ</x:v>
      </x:c>
      <x:c r="D83" s="30" t="n">
        <x:v>2019</x:v>
      </x:c>
      <x:c r="E83" s="24" t="str">
        <x:v>Upeneus</x:v>
      </x:c>
      <x:c r="F83" s="24" t="str">
        <x:v>Upeneid goatfishes</x:v>
      </x:c>
      <x:c r="G83" s="24" t="str">
        <x:v>Small reef assoc. fish (&lt;30 cm)</x:v>
      </x:c>
      <x:c r="H83" s="24" t="str">
        <x:v>Perch-likes</x:v>
      </x:c>
      <x:c r="I83" s="31" t="n">
        <x:v>0.28</x:v>
      </x:c>
      <x:c r="J83" s="31" t="n">
        <x:v>0.28</x:v>
      </x:c>
      <x:c r="K83" s="31" t="n">
        <x:v>0</x:v>
      </x:c>
      <x:c r="L83" s="31" t="n">
        <x:v>0.28</x:v>
      </x:c>
      <x:c r="M83" s="31" t="n">
        <x:v>0</x:v>
      </x:c>
      <x:c r="N83" s="24" t="str">
        <x:v>upeneus</x:v>
      </x:c>
      <x:c r="O83" s="32" t="n">
        <x:v>3.54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Upeneus</x:v>
      </x:c>
      <x:c r="T83" s="32" t="n">
        <x:f>IF(O83="","",(1/'Metadata'!$B$5)^(O83-1))</x:f>
        <x:v>346.73685045253166</x:v>
      </x:c>
      <x:c r="U83" s="31" t="n">
        <x:f>IF(T83="","",I83*T83)</x:f>
        <x:v>97.08631812670887</x:v>
      </x:c>
    </x:row>
    <x:row r="84" ht="18" customHeight="1">
      <x:c r="A84" s="24" t="str">
        <x:v>EEZ_096</x:v>
      </x:c>
      <x:c r="B84" s="24" t="str">
        <x:v>Brunei Darussalam</x:v>
      </x:c>
      <x:c r="C84" s="24" t="str">
        <x:v>EEZ</x:v>
      </x:c>
      <x:c r="D84" s="30" t="n">
        <x:v>2019</x:v>
      </x:c>
      <x:c r="E84" s="24" t="str">
        <x:v>Plotosus</x:v>
      </x:c>
      <x:c r="F84" s="24" t="str">
        <x:v>Eel catfishes</x:v>
      </x:c>
      <x:c r="G84" s="24" t="str">
        <x:v>Medium reef assoc. fish (30 - 89 cm)</x:v>
      </x:c>
      <x:c r="H84" s="24" t="str">
        <x:v>Other fishes &amp; inverts</x:v>
      </x:c>
      <x:c r="I84" s="31" t="n">
        <x:v>0.2448503289</x:v>
      </x:c>
      <x:c r="J84" s="31" t="n">
        <x:v>0.2448503289</x:v>
      </x:c>
      <x:c r="K84" s="31" t="n">
        <x:v>0</x:v>
      </x:c>
      <x:c r="L84" s="31" t="n">
        <x:v>0.2448503289</x:v>
      </x:c>
      <x:c r="M84" s="31" t="n">
        <x:v>0</x:v>
      </x:c>
      <x:c r="N84" s="24" t="str">
        <x:v>plotosus</x:v>
      </x:c>
      <x:c r="O84" s="32" t="n">
        <x:v>3.49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Plotosus</x:v>
      </x:c>
      <x:c r="T84" s="32" t="n">
        <x:f>IF(O84="","",(1/'Metadata'!$B$5)^(O84-1))</x:f>
        <x:v>309.0295432513592</x:v>
      </x:c>
      <x:c r="U84" s="31" t="n">
        <x:f>IF(T84="","",I84*T84)</x:f>
        <x:v>75.66598530491207</x:v>
      </x:c>
    </x:row>
    <x:row r="85" ht="18" customHeight="1">
      <x:c r="A85" s="24" t="str">
        <x:v>EEZ_096</x:v>
      </x:c>
      <x:c r="B85" s="24" t="str">
        <x:v>Brunei Darussalam</x:v>
      </x:c>
      <x:c r="C85" s="24" t="str">
        <x:v>EEZ</x:v>
      </x:c>
      <x:c r="D85" s="30" t="n">
        <x:v>2019</x:v>
      </x:c>
      <x:c r="E85" s="24" t="str">
        <x:v>Gerres</x:v>
      </x:c>
      <x:c r="F85" s="24" t="str">
        <x:v>Silver biddies</x:v>
      </x:c>
      <x:c r="G85" s="24" t="str">
        <x:v>Small benthopelagics (&lt;30 cm)</x:v>
      </x:c>
      <x:c r="H85" s="24" t="str">
        <x:v>Perch-likes</x:v>
      </x:c>
      <x:c r="I85" s="31" t="n">
        <x:v>0.190174381</x:v>
      </x:c>
      <x:c r="J85" s="31" t="n">
        <x:v>0.190174381</x:v>
      </x:c>
      <x:c r="K85" s="31" t="n">
        <x:v>0</x:v>
      </x:c>
      <x:c r="L85" s="31" t="n">
        <x:v>0.190174381</x:v>
      </x:c>
      <x:c r="M85" s="31" t="n">
        <x:v>0</x:v>
      </x:c>
      <x:c r="N85" s="24" t="str">
        <x:v>gerres</x:v>
      </x:c>
      <x:c r="O85" s="32" t="n">
        <x:v>3.27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Gerres</x:v>
      </x:c>
      <x:c r="T85" s="32" t="n">
        <x:f>IF(O85="","",(1/'Metadata'!$B$5)^(O85-1))</x:f>
        <x:v>186.20871366628674</x:v>
      </x:c>
      <x:c r="U85" s="31" t="n">
        <x:f>IF(T85="","",I85*T85)</x:f>
        <x:v>35.412126858292325</x:v>
      </x:c>
    </x:row>
    <x:row r="86" ht="18" customHeight="1">
      <x:c r="A86" s="24" t="str">
        <x:v>EEZ_096</x:v>
      </x:c>
      <x:c r="B86" s="24" t="str">
        <x:v>Brunei Darussalam</x:v>
      </x:c>
      <x:c r="C86" s="24" t="str">
        <x:v>EEZ</x:v>
      </x:c>
      <x:c r="D86" s="30" t="n">
        <x:v>2019</x:v>
      </x:c>
      <x:c r="E86" s="24" t="str">
        <x:v>Plotosidae</x:v>
      </x:c>
      <x:c r="F86" s="24" t="str">
        <x:v>Eeltail catfishes</x:v>
      </x:c>
      <x:c r="G86" s="24" t="str">
        <x:v>Medium reef assoc. fish (30 - 89 cm)</x:v>
      </x:c>
      <x:c r="H86" s="24" t="str">
        <x:v>Other fishes &amp; inverts</x:v>
      </x:c>
      <x:c r="I86" s="31" t="n">
        <x:v>0.1538351843</x:v>
      </x:c>
      <x:c r="J86" s="31" t="n">
        <x:v>0.1538351843</x:v>
      </x:c>
      <x:c r="K86" s="31" t="n">
        <x:v>0</x:v>
      </x:c>
      <x:c r="L86" s="31" t="n">
        <x:v>0.1538351843</x:v>
      </x:c>
      <x:c r="M86" s="31" t="n">
        <x:v>0</x:v>
      </x:c>
      <x:c r="N86" s="24" t="str">
        <x:v>plotosidae</x:v>
      </x:c>
      <x:c r="O86" s="32" t="n">
        <x:v>3.49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Plotosidae</x:v>
      </x:c>
      <x:c r="T86" s="32" t="n">
        <x:f>IF(O86="","",(1/'Metadata'!$B$5)^(O86-1))</x:f>
        <x:v>309.0295432513592</x:v>
      </x:c>
      <x:c r="U86" s="31" t="n">
        <x:f>IF(T86="","",I86*T86)</x:f>
        <x:v>47.53961674021767</x:v>
      </x:c>
    </x:row>
    <x:row r="87" ht="18" customHeight="1">
      <x:c r="A87" s="24" t="str">
        <x:v>EEZ_096</x:v>
      </x:c>
      <x:c r="B87" s="24" t="str">
        <x:v>Brunei Darussalam</x:v>
      </x:c>
      <x:c r="C87" s="24" t="str">
        <x:v>EEZ</x:v>
      </x:c>
      <x:c r="D87" s="30" t="n">
        <x:v>2019</x:v>
      </x:c>
      <x:c r="E87" s="24" t="str">
        <x:v>Paralichthyidae</x:v>
      </x:c>
      <x:c r="F87" s="24" t="str">
        <x:v>Largetooth flounders</x:v>
      </x:c>
      <x:c r="G87" s="24" t="str">
        <x:v>Small to medium flatfishes (&lt;90 cm)</x:v>
      </x:c>
      <x:c r="H87" s="24" t="str">
        <x:v>Flatfishes</x:v>
      </x:c>
      <x:c r="I87" s="31" t="n">
        <x:v>0.1389920432</x:v>
      </x:c>
      <x:c r="J87" s="31" t="n">
        <x:v>0.1389920432</x:v>
      </x:c>
      <x:c r="K87" s="31" t="n">
        <x:v>0</x:v>
      </x:c>
      <x:c r="L87" s="31" t="n">
        <x:v>0.1389920432</x:v>
      </x:c>
      <x:c r="M87" s="31" t="n">
        <x:v>0</x:v>
      </x:c>
      <x:c r="N87" s="24" t="str">
        <x:v>paralichthyidae</x:v>
      </x:c>
      <x:c r="O87" s="32" t="n">
        <x:v>4.06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Paralichthyidae</x:v>
      </x:c>
      <x:c r="T87" s="32" t="n">
        <x:f>IF(O87="","",(1/'Metadata'!$B$5)^(O87-1))</x:f>
        <x:v>1148.1536214968817</x:v>
      </x:c>
      <x:c r="U87" s="31" t="n">
        <x:f>IF(T87="","",I87*T87)</x:f>
        <x:v>159.584217759331</x:v>
      </x:c>
    </x:row>
    <x:row r="88" ht="18" customHeight="1">
      <x:c r="A88" s="24" t="str">
        <x:v>EEZ_096</x:v>
      </x:c>
      <x:c r="B88" s="24" t="str">
        <x:v>Brunei Darussalam</x:v>
      </x:c>
      <x:c r="C88" s="24" t="str">
        <x:v>EEZ</x:v>
      </x:c>
      <x:c r="D88" s="30" t="n">
        <x:v>2019</x:v>
      </x:c>
      <x:c r="E88" s="24" t="str">
        <x:v>Labridae</x:v>
      </x:c>
      <x:c r="F88" s="24" t="str">
        <x:v>Wrasses, gropers, tuskfishes</x:v>
      </x:c>
      <x:c r="G88" s="24" t="str">
        <x:v>Medium reef assoc. fish (30 - 89 cm)</x:v>
      </x:c>
      <x:c r="H88" s="24" t="str">
        <x:v>Perch-likes</x:v>
      </x:c>
      <x:c r="I88" s="31" t="n">
        <x:v>0.1369633419</x:v>
      </x:c>
      <x:c r="J88" s="31" t="n">
        <x:v>0.1369633419</x:v>
      </x:c>
      <x:c r="K88" s="31" t="n">
        <x:v>0</x:v>
      </x:c>
      <x:c r="L88" s="31" t="n">
        <x:v>0.1369633419</x:v>
      </x:c>
      <x:c r="M88" s="31" t="n">
        <x:v>0</x:v>
      </x:c>
      <x:c r="N88" s="24" t="str">
        <x:v>labridae</x:v>
      </x:c>
      <x:c r="O88" s="32" t="n">
        <x:v>3.46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Labridae</x:v>
      </x:c>
      <x:c r="T88" s="32" t="n">
        <x:f>IF(O88="","",(1/'Metadata'!$B$5)^(O88-1))</x:f>
        <x:v>288.40315031266056</x:v>
      </x:c>
      <x:c r="U88" s="31" t="n">
        <x:f>IF(T88="","",I88*T88)</x:f>
        <x:v>39.50065928131002</x:v>
      </x:c>
    </x:row>
    <x:row r="89" ht="18" customHeight="1">
      <x:c r="A89" s="24" t="str">
        <x:v>EEZ_096</x:v>
      </x:c>
      <x:c r="B89" s="24" t="str">
        <x:v>Brunei Darussalam</x:v>
      </x:c>
      <x:c r="C89" s="24" t="str">
        <x:v>EEZ</x:v>
      </x:c>
      <x:c r="D89" s="30" t="n">
        <x:v>2019</x:v>
      </x:c>
      <x:c r="E89" s="24" t="str">
        <x:v>Trichiurus</x:v>
      </x:c>
      <x:c r="F89" s="24" t="str">
        <x:v>Hairtails</x:v>
      </x:c>
      <x:c r="G89" s="24" t="str">
        <x:v>Large benthopelagics (&gt;=90 cm)</x:v>
      </x:c>
      <x:c r="H89" s="24" t="str">
        <x:v>Perch-likes</x:v>
      </x:c>
      <x:c r="I89" s="31" t="n">
        <x:v>0.1188628203</x:v>
      </x:c>
      <x:c r="J89" s="31" t="n">
        <x:v>0.1188628203</x:v>
      </x:c>
      <x:c r="K89" s="31" t="n">
        <x:v>0</x:v>
      </x:c>
      <x:c r="L89" s="31" t="n">
        <x:v>0.1188628203</x:v>
      </x:c>
      <x:c r="M89" s="31" t="n">
        <x:v>0</x:v>
      </x:c>
      <x:c r="N89" s="24" t="str">
        <x:v>trichiurus</x:v>
      </x:c>
      <x:c r="O89" s="32" t="n">
        <x:v>4.42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Trichiurus</x:v>
      </x:c>
      <x:c r="T89" s="32" t="n">
        <x:f>IF(O89="","",(1/'Metadata'!$B$5)^(O89-1))</x:f>
        <x:v>2630.2679918953813</x:v>
      </x:c>
      <x:c r="U89" s="31" t="n">
        <x:f>IF(T89="","",I89*T89)</x:f>
        <x:v>312.64107166150256</x:v>
      </x:c>
    </x:row>
    <x:row r="90" ht="18" customHeight="1">
      <x:c r="A90" s="24" t="str">
        <x:v>EEZ_096</x:v>
      </x:c>
      <x:c r="B90" s="24" t="str">
        <x:v>Brunei Darussalam</x:v>
      </x:c>
      <x:c r="C90" s="24" t="str">
        <x:v>EEZ</x:v>
      </x:c>
      <x:c r="D90" s="30" t="n">
        <x:v>2019</x:v>
      </x:c>
      <x:c r="E90" s="24" t="str">
        <x:v>Lethrinus</x:v>
      </x:c>
      <x:c r="F90" s="24" t="str">
        <x:v>Emperors</x:v>
      </x:c>
      <x:c r="G90" s="24" t="str">
        <x:v>Medium reef assoc. fish (30 - 89 cm)</x:v>
      </x:c>
      <x:c r="H90" s="24" t="str">
        <x:v>Perch-likes</x:v>
      </x:c>
      <x:c r="I90" s="31" t="n">
        <x:v>0.10930500380000001</x:v>
      </x:c>
      <x:c r="J90" s="31" t="n">
        <x:v>0.10930500380000001</x:v>
      </x:c>
      <x:c r="K90" s="31" t="n">
        <x:v>0</x:v>
      </x:c>
      <x:c r="L90" s="31" t="n">
        <x:v>0.10930500380000001</x:v>
      </x:c>
      <x:c r="M90" s="31" t="n">
        <x:v>0</x:v>
      </x:c>
      <x:c r="N90" s="24" t="str">
        <x:v>lethrinus</x:v>
      </x:c>
      <x:c r="O90" s="32" t="n">
        <x:v>3.75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Lethrinus</x:v>
      </x:c>
      <x:c r="T90" s="32" t="n">
        <x:f>IF(O90="","",(1/'Metadata'!$B$5)^(O90-1))</x:f>
        <x:v>562.341325190349</x:v>
      </x:c>
      <x:c r="U90" s="31" t="n">
        <x:f>IF(T90="","",I90*T90)</x:f>
        <x:v>61.46672068682814</x:v>
      </x:c>
    </x:row>
    <x:row r="91" ht="18" customHeight="1">
      <x:c r="A91" s="24" t="str">
        <x:v>EEZ_096</x:v>
      </x:c>
      <x:c r="B91" s="24" t="str">
        <x:v>Brunei Darussalam</x:v>
      </x:c>
      <x:c r="C91" s="24" t="str">
        <x:v>EEZ</x:v>
      </x:c>
      <x:c r="D91" s="30" t="n">
        <x:v>2019</x:v>
      </x:c>
      <x:c r="E91" s="24" t="str">
        <x:v>Cynoglossus</x:v>
      </x:c>
      <x:c r="F91" s="24" t="str">
        <x:v>Tonguesoles</x:v>
      </x:c>
      <x:c r="G91" s="24" t="str">
        <x:v>Small to medium flatfishes (&lt;90 cm)</x:v>
      </x:c>
      <x:c r="H91" s="24" t="str">
        <x:v>Flatfishes</x:v>
      </x:c>
      <x:c r="I91" s="31" t="n">
        <x:v>0.1069217932</x:v>
      </x:c>
      <x:c r="J91" s="31" t="n">
        <x:v>0.1069217932</x:v>
      </x:c>
      <x:c r="K91" s="31" t="n">
        <x:v>0</x:v>
      </x:c>
      <x:c r="L91" s="31" t="n">
        <x:v>0.1069217932</x:v>
      </x:c>
      <x:c r="M91" s="31" t="n">
        <x:v>0</x:v>
      </x:c>
      <x:c r="N91" s="24" t="str">
        <x:v>cynoglossus</x:v>
      </x:c>
      <x:c r="O91" s="32" t="n">
        <x:v>3.36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Cynoglossus</x:v>
      </x:c>
      <x:c r="T91" s="32" t="n">
        <x:f>IF(O91="","",(1/'Metadata'!$B$5)^(O91-1))</x:f>
        <x:v>229.08676527677724</x:v>
      </x:c>
      <x:c r="U91" s="31" t="n">
        <x:f>IF(T91="","",I91*T91)</x:f>
        <x:v>24.49436774178052</x:v>
      </x:c>
    </x:row>
    <x:row r="92" ht="18" customHeight="1">
      <x:c r="A92" s="24" t="str">
        <x:v>EEZ_096</x:v>
      </x:c>
      <x:c r="B92" s="24" t="str">
        <x:v>Brunei Darussalam</x:v>
      </x:c>
      <x:c r="C92" s="24" t="str">
        <x:v>EEZ</x:v>
      </x:c>
      <x:c r="D92" s="30" t="n">
        <x:v>2019</x:v>
      </x:c>
      <x:c r="E92" s="24" t="str">
        <x:v>Gerreidae</x:v>
      </x:c>
      <x:c r="F92" s="24" t="str">
        <x:v>Mojarras, silverbellies</x:v>
      </x:c>
      <x:c r="G92" s="24" t="str">
        <x:v>Small benthopelagics (&lt;30 cm)</x:v>
      </x:c>
      <x:c r="H92" s="24" t="str">
        <x:v>Perch-likes</x:v>
      </x:c>
      <x:c r="I92" s="31" t="n">
        <x:v>0.1</x:v>
      </x:c>
      <x:c r="J92" s="31" t="n">
        <x:v>0.1</x:v>
      </x:c>
      <x:c r="K92" s="31" t="n">
        <x:v>0</x:v>
      </x:c>
      <x:c r="L92" s="31" t="n">
        <x:v>0.1</x:v>
      </x:c>
      <x:c r="M92" s="31" t="n">
        <x:v>0</x:v>
      </x:c>
      <x:c r="N92" s="24" t="str">
        <x:v>gerreidae</x:v>
      </x:c>
      <x:c r="O92" s="32" t="n">
        <x:v>3.03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Gerreidae</x:v>
      </x:c>
      <x:c r="T92" s="32" t="n">
        <x:f>IF(O92="","",(1/'Metadata'!$B$5)^(O92-1))</x:f>
        <x:v>107.1519305237606</x:v>
      </x:c>
      <x:c r="U92" s="31" t="n">
        <x:f>IF(T92="","",I92*T92)</x:f>
        <x:v>10.71519305237606</x:v>
      </x:c>
    </x:row>
    <x:row r="93" ht="18" customHeight="1">
      <x:c r="A93" s="24" t="str">
        <x:v>EEZ_096</x:v>
      </x:c>
      <x:c r="B93" s="24" t="str">
        <x:v>Brunei Darussalam</x:v>
      </x:c>
      <x:c r="C93" s="24" t="str">
        <x:v>EEZ</x:v>
      </x:c>
      <x:c r="D93" s="30" t="n">
        <x:v>2019</x:v>
      </x:c>
      <x:c r="E93" s="24" t="str">
        <x:v>Panulirus longipes</x:v>
      </x:c>
      <x:c r="F93" s="24" t="str">
        <x:v>Longlegged spiny lobster</x:v>
      </x:c>
      <x:c r="G93" s="24" t="str">
        <x:v>Lobsters, crabs</x:v>
      </x:c>
      <x:c r="H93" s="24" t="str">
        <x:v>Crustaceans</x:v>
      </x:c>
      <x:c r="I93" s="31" t="n">
        <x:v>0.07984401299999999</x:v>
      </x:c>
      <x:c r="J93" s="31" t="n">
        <x:v>0.07984401299999999</x:v>
      </x:c>
      <x:c r="K93" s="31" t="n">
        <x:v>0</x:v>
      </x:c>
      <x:c r="L93" s="31" t="n">
        <x:v>0.07984401299999999</x:v>
      </x:c>
      <x:c r="M93" s="31" t="n">
        <x:v>0</x:v>
      </x:c>
      <x:c r="N93" s="24" t="str">
        <x:v>panulirus longipes</x:v>
      </x:c>
      <x:c r="O93" s="32" t="n">
        <x:v>2.6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Panulirus longipes</x:v>
      </x:c>
      <x:c r="T93" s="32" t="n">
        <x:f>IF(O93="","",(1/'Metadata'!$B$5)^(O93-1))</x:f>
        <x:v>39.810717055349734</x:v>
      </x:c>
      <x:c r="U93" s="31" t="n">
        <x:f>IF(T93="","",I93*T93)</x:f>
        <x:v>3.1786474101066657</x:v>
      </x:c>
    </x:row>
    <x:row r="94" ht="18" customHeight="1">
      <x:c r="A94" s="24" t="str">
        <x:v>EEZ_096</x:v>
      </x:c>
      <x:c r="B94" s="24" t="str">
        <x:v>Brunei Darussalam</x:v>
      </x:c>
      <x:c r="C94" s="24" t="str">
        <x:v>EEZ</x:v>
      </x:c>
      <x:c r="D94" s="30" t="n">
        <x:v>2019</x:v>
      </x:c>
      <x:c r="E94" s="24" t="str">
        <x:v>Sillago</x:v>
      </x:c>
      <x:c r="F94" s="24" t="str">
        <x:v>Smelt-whitings</x:v>
      </x:c>
      <x:c r="G94" s="24" t="str">
        <x:v>Medium demersals (30 - 89 cm)</x:v>
      </x:c>
      <x:c r="H94" s="24" t="str">
        <x:v>Perch-likes</x:v>
      </x:c>
      <x:c r="I94" s="31" t="n">
        <x:v>0.0554998724</x:v>
      </x:c>
      <x:c r="J94" s="31" t="n">
        <x:v>0.0554998724</x:v>
      </x:c>
      <x:c r="K94" s="31" t="n">
        <x:v>0</x:v>
      </x:c>
      <x:c r="L94" s="31" t="n">
        <x:v>0.0554998724</x:v>
      </x:c>
      <x:c r="M94" s="31" t="n">
        <x:v>0</x:v>
      </x:c>
      <x:c r="N94" s="24" t="str">
        <x:v>sillago</x:v>
      </x:c>
      <x:c r="O94" s="32" t="n">
        <x:v>3.33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Sillago</x:v>
      </x:c>
      <x:c r="T94" s="32" t="n">
        <x:f>IF(O94="","",(1/'Metadata'!$B$5)^(O94-1))</x:f>
        <x:v>213.79620895022325</x:v>
      </x:c>
      <x:c r="U94" s="31" t="n">
        <x:f>IF(T94="","",I94*T94)</x:f>
        <x:v>11.865662316341128</x:v>
      </x:c>
    </x:row>
    <x:row r="95" ht="18" customHeight="1">
      <x:c r="A95" s="24" t="str">
        <x:v>EEZ_096</x:v>
      </x:c>
      <x:c r="B95" s="24" t="str">
        <x:v>Brunei Darussalam</x:v>
      </x:c>
      <x:c r="C95" s="24" t="str">
        <x:v>EEZ</x:v>
      </x:c>
      <x:c r="D95" s="30" t="n">
        <x:v>2019</x:v>
      </x:c>
      <x:c r="E95" s="24" t="str">
        <x:v>Drepane</x:v>
      </x:c>
      <x:c r="F95" s="24" t="str">
        <x:v>Sicklefishes</x:v>
      </x:c>
      <x:c r="G95" s="24" t="str">
        <x:v>Medium benthopelagics (30 - 89 cm)</x:v>
      </x:c>
      <x:c r="H95" s="24" t="str">
        <x:v>Perch-likes</x:v>
      </x:c>
      <x:c r="I95" s="31" t="n">
        <x:v>0.0191633591</x:v>
      </x:c>
      <x:c r="J95" s="31" t="n">
        <x:v>0.0191633591</x:v>
      </x:c>
      <x:c r="K95" s="31" t="n">
        <x:v>0</x:v>
      </x:c>
      <x:c r="L95" s="31" t="n">
        <x:v>0.0191633591</x:v>
      </x:c>
      <x:c r="M95" s="31" t="n">
        <x:v>0</x:v>
      </x:c>
      <x:c r="N95" s="24" t="str">
        <x:v>drepane</x:v>
      </x:c>
      <x:c r="O95" s="32" t="n">
        <x:v>3.32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Drepane</x:v>
      </x:c>
      <x:c r="T95" s="32" t="n">
        <x:f>IF(O95="","",(1/'Metadata'!$B$5)^(O95-1))</x:f>
        <x:v>208.92961308540387</x:v>
      </x:c>
      <x:c r="U95" s="31" t="n">
        <x:f>IF(T95="","",I95*T95)</x:f>
        <x:v>4.003793202179653</x:v>
      </x:c>
    </x:row>
    <x:row r="96" ht="18" customHeight="1">
      <x:c r="A96" s="24" t="str">
        <x:v>EEZ_096</x:v>
      </x:c>
      <x:c r="B96" s="24" t="str">
        <x:v>Brunei Darussalam</x:v>
      </x:c>
      <x:c r="C96" s="24" t="str">
        <x:v>EEZ</x:v>
      </x:c>
      <x:c r="D96" s="30" t="n">
        <x:v>2019</x:v>
      </x:c>
      <x:c r="E96" s="24" t="str">
        <x:v>Scolopsis</x:v>
      </x:c>
      <x:c r="F96" s="24" t="str">
        <x:v>Monocle breams</x:v>
      </x:c>
      <x:c r="G96" s="24" t="str">
        <x:v>Small reef assoc. fish (&lt;30 cm)</x:v>
      </x:c>
      <x:c r="H96" s="24" t="str">
        <x:v>Perch-likes</x:v>
      </x:c>
      <x:c r="I96" s="31" t="n">
        <x:v>0.0131982817</x:v>
      </x:c>
      <x:c r="J96" s="31" t="n">
        <x:v>0.0131982817</x:v>
      </x:c>
      <x:c r="K96" s="31" t="n">
        <x:v>0</x:v>
      </x:c>
      <x:c r="L96" s="31" t="n">
        <x:v>0.0131982817</x:v>
      </x:c>
      <x:c r="M96" s="31" t="n">
        <x:v>0</x:v>
      </x:c>
      <x:c r="N96" s="24" t="str">
        <x:v>scolopsis</x:v>
      </x:c>
      <x:c r="O96" s="32" t="n">
        <x:v>3.3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Scolopsis</x:v>
      </x:c>
      <x:c r="T96" s="32" t="n">
        <x:f>IF(O96="","",(1/'Metadata'!$B$5)^(O96-1))</x:f>
        <x:v>199.52623149688787</x:v>
      </x:c>
      <x:c r="U96" s="31" t="n">
        <x:f>IF(T96="","",I96*T96)</x:f>
        <x:v>2.633403409835339</x:v>
      </x:c>
    </x:row>
    <x:row r="97" ht="18" customHeight="1">
      <x:c r="A97" s="24" t="str">
        <x:v>EEZ_096</x:v>
      </x:c>
      <x:c r="B97" s="24" t="str">
        <x:v>Brunei Darussalam</x:v>
      </x:c>
      <x:c r="C97" s="24" t="str">
        <x:v>EEZ</x:v>
      </x:c>
      <x:c r="D97" s="30" t="n">
        <x:v>2019</x:v>
      </x:c>
      <x:c r="E97" s="24" t="str">
        <x:v>Sphyraena jello</x:v>
      </x:c>
      <x:c r="F97" s="24" t="str">
        <x:v>Pickhandle barracuda</x:v>
      </x:c>
      <x:c r="G97" s="24" t="str">
        <x:v>Large reef assoc. fish (&gt;=90 cm)</x:v>
      </x:c>
      <x:c r="H97" s="24" t="str">
        <x:v>Perch-likes</x:v>
      </x:c>
      <x:c r="I97" s="31" t="n">
        <x:v>0.01</x:v>
      </x:c>
      <x:c r="J97" s="31" t="n">
        <x:v>0.01</x:v>
      </x:c>
      <x:c r="K97" s="31" t="n">
        <x:v>0</x:v>
      </x:c>
      <x:c r="L97" s="31" t="n">
        <x:v>0.01</x:v>
      </x:c>
      <x:c r="M97" s="31" t="n">
        <x:v>0</x:v>
      </x:c>
      <x:c r="N97" s="24" t="str">
        <x:v>sphyraena jello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Sphyraena jello</x:v>
      </x:c>
      <x:c r="T97" s="32" t="n">
        <x:f>IF(O97="","",(1/'Metadata'!$B$5)^(O97-1))</x:f>
        <x:v>3162.2776601683795</x:v>
      </x:c>
      <x:c r="U97" s="31" t="n">
        <x:f>IF(T97="","",I97*T97)</x:f>
        <x:v>31.622776601683796</x:v>
      </x:c>
    </x:row>
    <x:row r="98" ht="18" customHeight="1">
      <x:c r="A98" s="24" t="str">
        <x:v>EEZ_096</x:v>
      </x:c>
      <x:c r="B98" s="24" t="str">
        <x:v>Brunei Darussalam</x:v>
      </x:c>
      <x:c r="C98" s="24" t="str">
        <x:v>EEZ</x:v>
      </x:c>
      <x:c r="D98" s="30" t="n">
        <x:v>2019</x:v>
      </x:c>
      <x:c r="E98" s="24" t="str">
        <x:v>Rachycentron canadum</x:v>
      </x:c>
      <x:c r="F98" s="24" t="str">
        <x:v>Cobia</x:v>
      </x:c>
      <x:c r="G98" s="24" t="str">
        <x:v>Large pelagics (&gt;=90 cm)</x:v>
      </x:c>
      <x:c r="H98" s="24" t="str">
        <x:v>Perch-likes</x:v>
      </x:c>
      <x:c r="I98" s="31" t="n">
        <x:v>0.009933181</x:v>
      </x:c>
      <x:c r="J98" s="31" t="n">
        <x:v>0.009933181</x:v>
      </x:c>
      <x:c r="K98" s="31" t="n">
        <x:v>0</x:v>
      </x:c>
      <x:c r="L98" s="31" t="n">
        <x:v>0.009933181</x:v>
      </x:c>
      <x:c r="M98" s="31" t="n">
        <x:v>0</x:v>
      </x:c>
      <x:c r="N98" s="24" t="str">
        <x:v>rachycentron canadum</x:v>
      </x:c>
      <x:c r="O98" s="32" t="n">
        <x:v>3.96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Rachycentron canadum</x:v>
      </x:c>
      <x:c r="T98" s="32" t="n">
        <x:f>IF(O98="","",(1/'Metadata'!$B$5)^(O98-1))</x:f>
        <x:v>912.0108393559096</x:v>
      </x:c>
      <x:c r="U98" s="31" t="n">
        <x:f>IF(T98="","",I98*T98)</x:f>
        <x:v>9.059168741284173</x:v>
      </x:c>
    </x:row>
  </x:sheetData>
  <x:conditionalFormatting sqref="R2:R9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58a8ab186554c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370.0370501311</x:v>
      </x:c>
      <x:c r="E2" s="31" t="n">
        <x:v>370.0370501311</x:v>
      </x:c>
      <x:c r="F2" s="32" t="n">
        <x:v>0</x:v>
      </x:c>
      <x:c r="G2" s="34" t="n">
        <x:v>1</x:v>
      </x:c>
      <x:c r="H2" s="32" t="n">
        <x:f>IF(E2=0,"",I2/E2)</x:f>
        <x:v>275.4228703338166</x:v>
      </x:c>
      <x:c r="I2" s="31" t="n">
        <x:f>IF(C2=0,"",SUMIF('Species'!$H$2:$H$98,A2,'Species'!$U$2:$U$98))</x:f>
        <x:v>101916.66647696594</x:v>
      </x:c>
      <x:c r="J2" s="32" t="n">
        <x:v>3.44</x:v>
      </x:c>
      <x:c r="K2" s="32" t="n">
        <x:f>IF(J2="","",(1/'Metadata'!$B$5)^(J2-1))</x:f>
        <x:v>275.4228703338166</x:v>
      </x:c>
      <x:c r="L2" s="31" t="n">
        <x:f>IF(E2=0,"",E2*K2)</x:f>
        <x:v>101916.66647696594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10</x:v>
      </x:c>
      <x:c r="C3" s="33" t="n">
        <x:v>10</x:v>
      </x:c>
      <x:c r="D3" s="31" t="n">
        <x:v>3117.9177139594003</x:v>
      </x:c>
      <x:c r="E3" s="31" t="n">
        <x:v>3117.9177139594003</x:v>
      </x:c>
      <x:c r="F3" s="32" t="n">
        <x:v>0</x:v>
      </x:c>
      <x:c r="G3" s="34" t="n">
        <x:v>1</x:v>
      </x:c>
      <x:c r="H3" s="32" t="n">
        <x:f>IF(E3=0,"",I3/E3)</x:f>
        <x:v>86.02270930982456</x:v>
      </x:c>
      <x:c r="I3" s="31" t="n">
        <x:f>IF(C3=0,"",SUMIF('Species'!$H$2:$H$98,A3,'Species'!$U$2:$U$98))</x:f>
        <x:v>268211.72915988223</x:v>
      </x:c>
      <x:c r="J3" s="32" t="n">
        <x:v>2.846623379821355</x:v>
      </x:c>
      <x:c r="K3" s="32" t="n">
        <x:f>IF(J3="","",(1/'Metadata'!$B$5)^(J3-1))</x:f>
        <x:v>70.24628798530476</x:v>
      </x:c>
      <x:c r="L3" s="31" t="n">
        <x:f>IF(E3=0,"",E3*K3)</x:f>
        <x:v>219022.1456492751</x:v>
      </x:c>
      <x:c r="M3" s="31" t="n">
        <x:f>IF(E3=0,"",I3-L3)</x:f>
        <x:v>49189.58351060713</x:v>
      </x:c>
      <x:c r="N3" s="32" t="n">
        <x:f>IF(L3=0,"",I3/L3)</x:f>
        <x:v>1.2245872597256693</x:v>
      </x:c>
      <x:c r="O3" s="34" t="n">
        <x:f>IF(L3=0,"",M3/L3)</x:f>
        <x:v>0.22458725972566937</x:v>
      </x:c>
    </x:row>
    <x:row r="4" ht="18" customHeight="1">
      <x:c r="A4" s="24" t="str">
        <x:v>Flatfishes</x:v>
      </x:c>
      <x:c r="B4" s="33" t="n">
        <x:v>3</x:v>
      </x:c>
      <x:c r="C4" s="33" t="n">
        <x:v>3</x:v>
      </x:c>
      <x:c r="D4" s="31" t="n">
        <x:v>15.4558671537</x:v>
      </x:c>
      <x:c r="E4" s="31" t="n">
        <x:v>15.4558671537</x:v>
      </x:c>
      <x:c r="F4" s="32" t="n">
        <x:v>0</x:v>
      </x:c>
      <x:c r="G4" s="34" t="n">
        <x:v>1</x:v>
      </x:c>
      <x:c r="H4" s="32" t="n">
        <x:f>IF(E4=0,"",I4/E4)</x:f>
        <x:v>2427.562700139313</x:v>
      </x:c>
      <x:c r="I4" s="31" t="n">
        <x:f>IF(C4=0,"",SUMIF('Species'!$H$2:$H$98,A4,'Species'!$U$2:$U$98))</x:f>
        <x:v>37520.08660063049</x:v>
      </x:c>
      <x:c r="J4" s="32" t="n">
        <x:v>4.379906951211427</x:v>
      </x:c>
      <x:c r="K4" s="32" t="n">
        <x:f>IF(J4="","",(1/'Metadata'!$B$5)^(J4-1))</x:f>
        <x:v>2398.319017515802</x:v>
      </x:c>
      <x:c r="L4" s="31" t="n">
        <x:f>IF(E4=0,"",E4*K4)</x:f>
        <x:v>37068.100126916535</x:v>
      </x:c>
      <x:c r="M4" s="31" t="n">
        <x:f>IF(E4=0,"",I4-L4)</x:f>
        <x:v>451.9864737139578</x:v>
      </x:c>
      <x:c r="N4" s="32" t="n">
        <x:f>IF(L4=0,"",I4/L4)</x:f>
        <x:v>1.0121934081370885</x:v>
      </x:c>
      <x:c r="O4" s="34" t="n">
        <x:f>IF(L4=0,"",M4/L4)</x:f>
        <x:v>0.012193408137088567</x:v>
      </x:c>
    </x:row>
    <x:row r="5" ht="18" customHeight="1">
      <x:c r="A5" s="24" t="str">
        <x:v>Herring-likes</x:v>
      </x:c>
      <x:c r="B5" s="33" t="n">
        <x:v>7</x:v>
      </x:c>
      <x:c r="C5" s="33" t="n">
        <x:v>7</x:v>
      </x:c>
      <x:c r="D5" s="31" t="n">
        <x:v>1316.8157937692001</x:v>
      </x:c>
      <x:c r="E5" s="31" t="n">
        <x:v>1316.8157937692001</x:v>
      </x:c>
      <x:c r="F5" s="32" t="n">
        <x:v>0</x:v>
      </x:c>
      <x:c r="G5" s="34" t="n">
        <x:v>1</x:v>
      </x:c>
      <x:c r="H5" s="32" t="n">
        <x:f>IF(E5=0,"",I5/E5)</x:f>
        <x:v>261.14858456635255</x:v>
      </x:c>
      <x:c r="I5" s="31" t="n">
        <x:f>IF(C5=0,"",SUMIF('Species'!$H$2:$H$98,A5,'Species'!$U$2:$U$98))</x:f>
        <x:v>343884.58067744464</x:v>
      </x:c>
      <x:c r="J5" s="32" t="n">
        <x:v>3.089401225621146</x:v>
      </x:c>
      <x:c r="K5" s="32" t="n">
        <x:f>IF(J5="","",(1/'Metadata'!$B$5)^(J5-1))</x:f>
        <x:v>122.85737323987159</x:v>
      </x:c>
      <x:c r="L5" s="31" t="n">
        <x:f>IF(E5=0,"",E5*K5)</x:f>
        <x:v>161780.5294632604</x:v>
      </x:c>
      <x:c r="M5" s="31" t="n">
        <x:f>IF(E5=0,"",I5-L5)</x:f>
        <x:v>182104.05121418423</x:v>
      </x:c>
      <x:c r="N5" s="32" t="n">
        <x:f>IF(L5=0,"",I5/L5)</x:f>
        <x:v>2.1256240279244434</x:v>
      </x:c>
      <x:c r="O5" s="34" t="n">
        <x:f>IF(L5=0,"",M5/L5)</x:f>
        <x:v>1.1256240279244432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0.3521378622</x:v>
      </x:c>
      <x:c r="E6" s="31" t="n">
        <x:v>0.3521378622</x:v>
      </x:c>
      <x:c r="F6" s="32" t="n">
        <x:v>0</x:v>
      </x:c>
      <x:c r="G6" s="34" t="n">
        <x:v>1</x:v>
      </x:c>
      <x:c r="H6" s="32" t="n">
        <x:f>IF(E6=0,"",I6/E6)</x:f>
        <x:v>12.589254117941675</x:v>
      </x:c>
      <x:c r="I6" s="31" t="n">
        <x:f>IF(C6=0,"",SUMIF('Species'!$H$2:$H$98,A6,'Species'!$U$2:$U$98))</x:f>
        <x:v>4.433153031784528</x:v>
      </x:c>
      <x:c r="J6" s="32" t="n">
        <x:v>2.1</x:v>
      </x:c>
      <x:c r="K6" s="32" t="n">
        <x:f>IF(J6="","",(1/'Metadata'!$B$5)^(J6-1))</x:f>
        <x:v>12.589254117941675</x:v>
      </x:c>
      <x:c r="L6" s="31" t="n">
        <x:f>IF(E6=0,"",E6*K6)</x:f>
        <x:v>4.433153031784528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17</x:v>
      </x:c>
      <x:c r="C7" s="33" t="n">
        <x:v>17</x:v>
      </x:c>
      <x:c r="D7" s="31" t="n">
        <x:v>4978.7644926692</x:v>
      </x:c>
      <x:c r="E7" s="31" t="n">
        <x:v>4978.7644926692</x:v>
      </x:c>
      <x:c r="F7" s="32" t="n">
        <x:v>0</x:v>
      </x:c>
      <x:c r="G7" s="34" t="n">
        <x:v>1</x:v>
      </x:c>
      <x:c r="H7" s="32" t="n">
        <x:f>IF(E7=0,"",I7/E7)</x:f>
        <x:v>351.1933227320069</x:v>
      </x:c>
      <x:c r="I7" s="31" t="n">
        <x:f>IF(C7=0,"",SUMIF('Species'!$H$2:$H$98,A7,'Species'!$U$2:$U$98))</x:f>
        <x:v>1748508.845280631</x:v>
      </x:c>
      <x:c r="J7" s="32" t="n">
        <x:v>3.3354533617752793</x:v>
      </x:c>
      <x:c r="K7" s="32" t="n">
        <x:f>IF(J7="","",(1/'Metadata'!$B$5)^(J7-1))</x:f>
        <x:v>216.49773731923935</x:v>
      </x:c>
      <x:c r="L7" s="31" t="n">
        <x:f>IF(E7=0,"",E7*K7)</x:f>
        <x:v>1077891.2473082524</x:v>
      </x:c>
      <x:c r="M7" s="31" t="n">
        <x:f>IF(E7=0,"",I7-L7)</x:f>
        <x:v>670617.5979723786</x:v>
      </x:c>
      <x:c r="N7" s="32" t="n">
        <x:f>IF(L7=0,"",I7/L7)</x:f>
        <x:v>1.6221570122654472</x:v>
      </x:c>
      <x:c r="O7" s="34" t="n">
        <x:f>IF(L7=0,"",M7/L7)</x:f>
        <x:v>0.6221570122654473</x:v>
      </x:c>
    </x:row>
    <x:row r="8" ht="18" customHeight="1">
      <x:c r="A8" s="24" t="str">
        <x:v>Perch-likes</x:v>
      </x:c>
      <x:c r="B8" s="33" t="n">
        <x:v>51</x:v>
      </x:c>
      <x:c r="C8" s="33" t="n">
        <x:v>51</x:v>
      </x:c>
      <x:c r="D8" s="31" t="n">
        <x:v>5833.6187834547</x:v>
      </x:c>
      <x:c r="E8" s="31" t="n">
        <x:v>5833.6187834547</x:v>
      </x:c>
      <x:c r="F8" s="32" t="n">
        <x:v>0</x:v>
      </x:c>
      <x:c r="G8" s="34" t="n">
        <x:v>1</x:v>
      </x:c>
      <x:c r="H8" s="32" t="n">
        <x:f>IF(E8=0,"",I8/E8)</x:f>
        <x:v>775.7403720645141</x:v>
      </x:c>
      <x:c r="I8" s="31" t="n">
        <x:f>IF(C8=0,"",SUMIF('Species'!$H$2:$H$98,A8,'Species'!$U$2:$U$98))</x:f>
        <x:v>4525373.605559687</x:v>
      </x:c>
      <x:c r="J8" s="32" t="n">
        <x:v>3.6227230276068165</x:v>
      </x:c>
      <x:c r="K8" s="32" t="n">
        <x:f>IF(J8="","",(1/'Metadata'!$B$5)^(J8-1))</x:f>
        <x:v>419.49136699378596</x:v>
      </x:c>
      <x:c r="L8" s="31" t="n">
        <x:f>IF(E8=0,"",E8*K8)</x:f>
        <x:v>2447152.717992039</x:v>
      </x:c>
      <x:c r="M8" s="31" t="n">
        <x:f>IF(E8=0,"",I8-L8)</x:f>
        <x:v>2078220.8875676482</x:v>
      </x:c>
      <x:c r="N8" s="32" t="n">
        <x:f>IF(L8=0,"",I8/L8)</x:f>
        <x:v>1.8492403732256195</x:v>
      </x:c>
      <x:c r="O8" s="34" t="n">
        <x:f>IF(L8=0,"",M8/L8)</x:f>
        <x:v>0.8492403732256194</x:v>
      </x:c>
    </x:row>
    <x:row r="9" ht="18" customHeight="1">
      <x:c r="A9" s="24" t="str">
        <x:v>Sharks &amp; rays</x:v>
      </x:c>
      <x:c r="B9" s="33" t="n">
        <x:v>1</x:v>
      </x:c>
      <x:c r="C9" s="33" t="n">
        <x:v>1</x:v>
      </x:c>
      <x:c r="D9" s="31" t="n">
        <x:v>114.5800142749</x:v>
      </x:c>
      <x:c r="E9" s="31" t="n">
        <x:v>114.5800142749</x:v>
      </x:c>
      <x:c r="F9" s="32" t="n">
        <x:v>0</x:v>
      </x:c>
      <x:c r="G9" s="34" t="n">
        <x:v>1</x:v>
      </x:c>
      <x:c r="H9" s="32" t="n">
        <x:f>IF(E9=0,"",I9/E9)</x:f>
        <x:v>1122.018454301963</x:v>
      </x:c>
      <x:c r="I9" s="31" t="n">
        <x:f>IF(C9=0,"",SUMIF('Species'!$H$2:$H$98,A9,'Species'!$U$2:$U$98))</x:f>
        <x:v>128560.89051062014</x:v>
      </x:c>
      <x:c r="J9" s="32" t="n">
        <x:v>4.05</x:v>
      </x:c>
      <x:c r="K9" s="32" t="n">
        <x:f>IF(J9="","",(1/'Metadata'!$B$5)^(J9-1))</x:f>
        <x:v>1122.018454301963</x:v>
      </x:c>
      <x:c r="L9" s="31" t="n">
        <x:f>IF(E9=0,"",E9*K9)</x:f>
        <x:v>128560.89051062014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Tuna &amp; billfishes</x:v>
      </x:c>
      <x:c r="B10" s="33" t="n">
        <x:v>6</x:v>
      </x:c>
      <x:c r="C10" s="33" t="n">
        <x:v>6</x:v>
      </x:c>
      <x:c r="D10" s="31" t="n">
        <x:v>944.9191326857999</x:v>
      </x:c>
      <x:c r="E10" s="31" t="n">
        <x:v>944.9191326857999</x:v>
      </x:c>
      <x:c r="F10" s="32" t="n">
        <x:v>0</x:v>
      </x:c>
      <x:c r="G10" s="34" t="n">
        <x:v>1</x:v>
      </x:c>
      <x:c r="H10" s="32" t="n">
        <x:f>IF(E10=0,"",I10/E10)</x:f>
        <x:v>2437.47005575684</x:v>
      </x:c>
      <x:c r="I10" s="31" t="n">
        <x:f>IF(C10=0,"",SUMIF('Species'!$H$2:$H$98,A10,'Species'!$U$2:$U$98))</x:f>
        <x:v>2303212.0910333614</x:v>
      </x:c>
      <x:c r="J10" s="32" t="n">
        <x:v>4.382025973137981</x:v>
      </x:c>
      <x:c r="K10" s="32" t="n">
        <x:f>IF(J10="","",(1/'Metadata'!$B$5)^(J10-1))</x:f>
        <x:v>2410.0495582589465</x:v>
      </x:c>
      <x:c r="L10" s="31" t="n">
        <x:f>IF(E10=0,"",E10*K10)</x:f>
        <x:v>2277301.938319839</x:v>
      </x:c>
      <x:c r="M10" s="31" t="n">
        <x:f>IF(E10=0,"",I10-L10)</x:f>
        <x:v>25910.152713522315</x:v>
      </x:c>
      <x:c r="N10" s="32" t="n">
        <x:f>IF(L10=0,"",I10/L10)</x:f>
        <x:v>1.0113775658280248</x:v>
      </x:c>
      <x:c r="O10" s="34" t="n">
        <x:f>IF(L10=0,"",M10/L10)</x:f>
        <x:v>0.011377565828024743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f33847db34f4f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91.3055921673</x:v>
      </x:c>
      <x:c r="E2" s="31" t="n">
        <x:v>91.3055921673</x:v>
      </x:c>
      <x:c r="F2" s="32" t="n">
        <x:v>0</x:v>
      </x:c>
      <x:c r="G2" s="34" t="n">
        <x:v>1</x:v>
      </x:c>
      <x:c r="H2" s="32" t="n">
        <x:f>IF(E2=0,"",I2/E2)</x:f>
        <x:v>779.3302593107586</x:v>
      </x:c>
      <x:c r="I2" s="31" t="n">
        <x:f>IF(C2=0,"",SUMIF('Species'!$G$2:$G$98,A2,'Species'!$U$2:$U$98))</x:f>
        <x:v>71157.21082026428</x:v>
      </x:c>
      <x:c r="J2" s="32" t="n">
        <x:v>3.8126978516224574</x:v>
      </x:c>
      <x:c r="K2" s="32" t="n">
        <x:f>IF(J2="","",(1/'Metadata'!$B$5)^(J2-1))</x:f>
        <x:v>649.6775378916402</x:v>
      </x:c>
      <x:c r="L2" s="31" t="n">
        <x:f>IF(E2=0,"",E2*K2)</x:f>
        <x:v>59319.1923149897</x:v>
      </x:c>
      <x:c r="M2" s="31" t="n">
        <x:f>IF(E2=0,"",I2-L2)</x:f>
        <x:v>11838.018505274587</x:v>
      </x:c>
      <x:c r="N2" s="32" t="n">
        <x:f>IF(L2=0,"",I2/L2)</x:f>
        <x:v>1.1995647284341593</x:v>
      </x:c>
      <x:c r="O2" s="34" t="n">
        <x:f>IF(L2=0,"",M2/L2)</x:f>
        <x:v>0.1995647284341593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209.9727457349</x:v>
      </x:c>
      <x:c r="E3" s="31" t="n">
        <x:v>209.9727457349</x:v>
      </x:c>
      <x:c r="F3" s="32" t="n">
        <x:v>0</x:v>
      </x:c>
      <x:c r="G3" s="34" t="n">
        <x:v>1</x:v>
      </x:c>
      <x:c r="H3" s="32" t="n">
        <x:f>IF(E3=0,"",I3/E3)</x:f>
        <x:v>2630.2679918953813</x:v>
      </x:c>
      <x:c r="I3" s="31" t="n">
        <x:f>IF(C3=0,"",SUMIF('Species'!$G$2:$G$98,A3,'Species'!$U$2:$U$98))</x:f>
        <x:v>552284.592276895</x:v>
      </x:c>
      <x:c r="J3" s="32" t="n">
        <x:v>4.42</x:v>
      </x:c>
      <x:c r="K3" s="32" t="n">
        <x:f>IF(J3="","",(1/'Metadata'!$B$5)^(J3-1))</x:f>
        <x:v>2630.2679918953813</x:v>
      </x:c>
      <x:c r="L3" s="31" t="n">
        <x:f>IF(E3=0,"",E3*K3)</x:f>
        <x:v>552284.592276895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demersals (&gt;=90 cm)</x:v>
      </x:c>
      <x:c r="B4" s="33" t="n">
        <x:v>4</x:v>
      </x:c>
      <x:c r="C4" s="33" t="n">
        <x:v>4</x:v>
      </x:c>
      <x:c r="D4" s="31" t="n">
        <x:v>70.4970647042</x:v>
      </x:c>
      <x:c r="E4" s="31" t="n">
        <x:v>70.4970647042</x:v>
      </x:c>
      <x:c r="F4" s="32" t="n">
        <x:v>0</x:v>
      </x:c>
      <x:c r="G4" s="34" t="n">
        <x:v>1</x:v>
      </x:c>
      <x:c r="H4" s="32" t="n">
        <x:f>IF(E4=0,"",I4/E4)</x:f>
        <x:v>1995.749597158972</x:v>
      </x:c>
      <x:c r="I4" s="31" t="n">
        <x:f>IF(C4=0,"",SUMIF('Species'!$G$2:$G$98,A4,'Species'!$U$2:$U$98))</x:f>
        <x:v>140694.48848429712</x:v>
      </x:c>
      <x:c r="J4" s="32" t="n">
        <x:v>4.284346426143778</x:v>
      </x:c>
      <x:c r="K4" s="32" t="n">
        <x:f>IF(J4="","",(1/'Metadata'!$B$5)^(J4-1))</x:f>
        <x:v>1924.6263443834628</x:v>
      </x:c>
      <x:c r="L4" s="31" t="n">
        <x:f>IF(E4=0,"",E4*K4)</x:f>
        <x:v>135680.50793140888</x:v>
      </x:c>
      <x:c r="M4" s="31" t="n">
        <x:f>IF(E4=0,"",I4-L4)</x:f>
        <x:v>5013.9805528882425</x:v>
      </x:c>
      <x:c r="N4" s="32" t="n">
        <x:f>IF(L4=0,"",I4/L4)</x:f>
        <x:v>1.0369543173837688</x:v>
      </x:c>
      <x:c r="O4" s="34" t="n">
        <x:f>IF(L4=0,"",M4/L4)</x:f>
        <x:v>0.03695431738376879</x:v>
      </x:c>
    </x:row>
    <x:row r="5" ht="18" customHeight="1">
      <x:c r="A5" s="24" t="str">
        <x:v>Large pelagics (&gt;=90 cm)</x:v>
      </x:c>
      <x:c r="B5" s="33" t="n">
        <x:v>10</x:v>
      </x:c>
      <x:c r="C5" s="33" t="n">
        <x:v>10</x:v>
      </x:c>
      <x:c r="D5" s="31" t="n">
        <x:v>1280.3456903582999</x:v>
      </x:c>
      <x:c r="E5" s="31" t="n">
        <x:v>1280.3456903582999</x:v>
      </x:c>
      <x:c r="F5" s="32" t="n">
        <x:v>0</x:v>
      </x:c>
      <x:c r="G5" s="34" t="n">
        <x:v>1</x:v>
      </x:c>
      <x:c r="H5" s="32" t="n">
        <x:f>IF(E5=0,"",I5/E5)</x:f>
        <x:v>2688.467532960701</x:v>
      </x:c>
      <x:c r="I5" s="31" t="n">
        <x:f>IF(C5=0,"",SUMIF('Species'!$G$2:$G$98,A5,'Species'!$U$2:$U$98))</x:f>
        <x:v>3442167.8194944444</x:v>
      </x:c>
      <x:c r="J5" s="32" t="n">
        <x:v>4.4239849322635045</x:v>
      </x:c>
      <x:c r="K5" s="32" t="n">
        <x:f>IF(J5="","",(1/'Metadata'!$B$5)^(J5-1))</x:f>
        <x:v>2654.5134627090138</x:v>
      </x:c>
      <x:c r="L5" s="31" t="n">
        <x:f>IF(E5=0,"",E5*K5)</x:f>
        <x:v>3398694.8719775733</x:v>
      </x:c>
      <x:c r="M5" s="31" t="n">
        <x:f>IF(E5=0,"",I5-L5)</x:f>
        <x:v>43472.94751687115</x:v>
      </x:c>
      <x:c r="N5" s="32" t="n">
        <x:f>IF(L5=0,"",I5/L5)</x:f>
        <x:v>1.012791071030032</x:v>
      </x:c>
      <x:c r="O5" s="34" t="n">
        <x:f>IF(L5=0,"",M5/L5)</x:f>
        <x:v>0.012791071030032146</x:v>
      </x:c>
    </x:row>
    <x:row r="6" ht="18" customHeight="1">
      <x:c r="A6" s="24" t="str">
        <x:v>Large reef assoc. fish (&gt;=90 cm)</x:v>
      </x:c>
      <x:c r="B6" s="33" t="n">
        <x:v>1</x:v>
      </x:c>
      <x:c r="C6" s="33" t="n">
        <x:v>1</x:v>
      </x:c>
      <x:c r="D6" s="31" t="n">
        <x:v>0.01</x:v>
      </x:c>
      <x:c r="E6" s="31" t="n">
        <x:v>0.01</x:v>
      </x:c>
      <x:c r="F6" s="32" t="n">
        <x:v>0</x:v>
      </x:c>
      <x:c r="G6" s="34" t="n">
        <x:v>1</x:v>
      </x:c>
      <x:c r="H6" s="32" t="n">
        <x:f>IF(E6=0,"",I6/E6)</x:f>
        <x:v>3162.2776601683795</x:v>
      </x:c>
      <x:c r="I6" s="31" t="n">
        <x:f>IF(C6=0,"",SUMIF('Species'!$G$2:$G$98,A6,'Species'!$U$2:$U$98))</x:f>
        <x:v>31.622776601683796</x:v>
      </x:c>
      <x:c r="J6" s="32" t="n">
        <x:v>4.5</x:v>
      </x:c>
      <x:c r="K6" s="32" t="n">
        <x:f>IF(J6="","",(1/'Metadata'!$B$5)^(J6-1))</x:f>
        <x:v>3162.2776601683795</x:v>
      </x:c>
      <x:c r="L6" s="31" t="n">
        <x:f>IF(E6=0,"",E6*K6)</x:f>
        <x:v>31.622776601683796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sharks (&gt;=90 cm)</x:v>
      </x:c>
      <x:c r="B7" s="33" t="n">
        <x:v>1</x:v>
      </x:c>
      <x:c r="C7" s="33" t="n">
        <x:v>1</x:v>
      </x:c>
      <x:c r="D7" s="31" t="n">
        <x:v>114.5800142749</x:v>
      </x:c>
      <x:c r="E7" s="31" t="n">
        <x:v>114.5800142749</x:v>
      </x:c>
      <x:c r="F7" s="32" t="n">
        <x:v>0</x:v>
      </x:c>
      <x:c r="G7" s="34" t="n">
        <x:v>1</x:v>
      </x:c>
      <x:c r="H7" s="32" t="n">
        <x:f>IF(E7=0,"",I7/E7)</x:f>
        <x:v>1122.018454301963</x:v>
      </x:c>
      <x:c r="I7" s="31" t="n">
        <x:f>IF(C7=0,"",SUMIF('Species'!$G$2:$G$98,A7,'Species'!$U$2:$U$98))</x:f>
        <x:v>128560.89051062014</x:v>
      </x:c>
      <x:c r="J7" s="32" t="n">
        <x:v>4.05</x:v>
      </x:c>
      <x:c r="K7" s="32" t="n">
        <x:f>IF(J7="","",(1/'Metadata'!$B$5)^(J7-1))</x:f>
        <x:v>1122.018454301963</x:v>
      </x:c>
      <x:c r="L7" s="31" t="n">
        <x:f>IF(E7=0,"",E7*K7)</x:f>
        <x:v>128560.89051062014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Lobsters, crabs</x:v>
      </x:c>
      <x:c r="B8" s="33" t="n">
        <x:v>2</x:v>
      </x:c>
      <x:c r="C8" s="33" t="n">
        <x:v>2</x:v>
      </x:c>
      <x:c r="D8" s="31" t="n">
        <x:v>4.019844013</x:v>
      </x:c>
      <x:c r="E8" s="31" t="n">
        <x:v>4.019844013</x:v>
      </x:c>
      <x:c r="F8" s="32" t="n">
        <x:v>0</x:v>
      </x:c>
      <x:c r="G8" s="34" t="n">
        <x:v>1</x:v>
      </x:c>
      <x:c r="H8" s="32" t="n">
        <x:f>IF(E8=0,"",I8/E8)</x:f>
        <x:v>30.390419329424386</x:v>
      </x:c>
      <x:c r="I8" s="31" t="n">
        <x:f>IF(C8=0,"",SUMIF('Species'!$G$2:$G$98,A8,'Species'!$U$2:$U$98))</x:f>
        <x:v>122.1647451939461</x:v>
      </x:c>
      <x:c r="J8" s="32" t="n">
        <x:v>2.482383495859296</x:v>
      </x:c>
      <x:c r="K8" s="32" t="n">
        <x:f>IF(J8="","",(1/'Metadata'!$B$5)^(J8-1))</x:f>
        <x:v>30.36571389915178</x:v>
      </x:c>
      <x:c r="L8" s="31" t="n">
        <x:f>IF(E8=0,"",E8*K8)</x:f>
        <x:v>122.06543321797616</x:v>
      </x:c>
      <x:c r="M8" s="31" t="n">
        <x:f>IF(E8=0,"",I8-L8)</x:f>
        <x:v>0.09931197596993968</x:v>
      </x:c>
      <x:c r="N8" s="32" t="n">
        <x:f>IF(L8=0,"",I8/L8)</x:f>
        <x:v>1.0008135962274642</x:v>
      </x:c>
      <x:c r="O8" s="34" t="n">
        <x:f>IF(L8=0,"",M8/L8)</x:f>
        <x:v>0.0008135962274642903</x:v>
      </x:c>
    </x:row>
    <x:row r="9" ht="18" customHeight="1">
      <x:c r="A9" s="24" t="str">
        <x:v>Medium benthopelagics (30 - 89 cm)</x:v>
      </x:c>
      <x:c r="B9" s="33" t="n">
        <x:v>4</x:v>
      </x:c>
      <x:c r="C9" s="33" t="n">
        <x:v>4</x:v>
      </x:c>
      <x:c r="D9" s="31" t="n">
        <x:v>4.103844925700001</x:v>
      </x:c>
      <x:c r="E9" s="31" t="n">
        <x:v>4.103844925700001</x:v>
      </x:c>
      <x:c r="F9" s="32" t="n">
        <x:v>0</x:v>
      </x:c>
      <x:c r="G9" s="34" t="n">
        <x:v>1</x:v>
      </x:c>
      <x:c r="H9" s="32" t="n">
        <x:f>IF(E9=0,"",I9/E9)</x:f>
        <x:v>127.98209323629169</x:v>
      </x:c>
      <x:c r="I9" s="31" t="n">
        <x:f>IF(C9=0,"",SUMIF('Species'!$G$2:$G$98,A9,'Species'!$U$2:$U$98))</x:f>
        <x:v>525.21866390822</x:v>
      </x:c>
      <x:c r="J9" s="32" t="n">
        <x:v>3.02259901600794</x:v>
      </x:c>
      <x:c r="K9" s="32" t="n">
        <x:f>IF(J9="","",(1/'Metadata'!$B$5)^(J9-1))</x:f>
        <x:v>105.34138305049606</x:v>
      </x:c>
      <x:c r="L9" s="31" t="n">
        <x:f>IF(E9=0,"",E9*K9)</x:f>
        <x:v>432.30470029799835</x:v>
      </x:c>
      <x:c r="M9" s="31" t="n">
        <x:f>IF(E9=0,"",I9-L9)</x:f>
        <x:v>92.91396361022169</x:v>
      </x:c>
      <x:c r="N9" s="32" t="n">
        <x:f>IF(L9=0,"",I9/L9)</x:f>
        <x:v>1.2149270261141594</x:v>
      </x:c>
      <x:c r="O9" s="34" t="n">
        <x:f>IF(L9=0,"",M9/L9)</x:f>
        <x:v>0.21492702611415926</x:v>
      </x:c>
    </x:row>
    <x:row r="10" ht="18" customHeight="1">
      <x:c r="A10" s="24" t="str">
        <x:v>Medium demersals (30 - 89 cm)</x:v>
      </x:c>
      <x:c r="B10" s="33" t="n">
        <x:v>11</x:v>
      </x:c>
      <x:c r="C10" s="33" t="n">
        <x:v>11</x:v>
      </x:c>
      <x:c r="D10" s="31" t="n">
        <x:v>4735.5914537416</x:v>
      </x:c>
      <x:c r="E10" s="31" t="n">
        <x:v>4735.5914537416</x:v>
      </x:c>
      <x:c r="F10" s="32" t="n">
        <x:v>0</x:v>
      </x:c>
      <x:c r="G10" s="34" t="n">
        <x:v>1</x:v>
      </x:c>
      <x:c r="H10" s="32" t="n">
        <x:f>IF(E10=0,"",I10/E10)</x:f>
        <x:v>354.79976989172985</x:v>
      </x:c>
      <x:c r="I10" s="31" t="n">
        <x:f>IF(C10=0,"",SUMIF('Species'!$G$2:$G$98,A10,'Species'!$U$2:$U$98))</x:f>
        <x:v>1680186.7580887622</x:v>
      </x:c>
      <x:c r="J10" s="32" t="n">
        <x:v>3.3671293648948226</x:v>
      </x:c>
      <x:c r="K10" s="32" t="n">
        <x:f>IF(J10="","",(1/'Metadata'!$B$5)^(J10-1))</x:f>
        <x:v>232.87848380660662</x:v>
      </x:c>
      <x:c r="L10" s="31" t="n">
        <x:f>IF(E10=0,"",E10*K10)</x:f>
        <x:v>1102817.3576748678</x:v>
      </x:c>
      <x:c r="M10" s="31" t="n">
        <x:f>IF(E10=0,"",I10-L10)</x:f>
        <x:v>577369.4004138943</x:v>
      </x:c>
      <x:c r="N10" s="32" t="n">
        <x:f>IF(L10=0,"",I10/L10)</x:f>
        <x:v>1.523540363593111</x:v>
      </x:c>
      <x:c r="O10" s="34" t="n">
        <x:f>IF(L10=0,"",M10/L10)</x:f>
        <x:v>0.5235403635931111</x:v>
      </x:c>
    </x:row>
    <x:row r="11" ht="18" customHeight="1">
      <x:c r="A11" s="24" t="str">
        <x:v>Medium pelagics (30 - 89 cm)</x:v>
      </x:c>
      <x:c r="B11" s="33" t="n">
        <x:v>11</x:v>
      </x:c>
      <x:c r="C11" s="33" t="n">
        <x:v>11</x:v>
      </x:c>
      <x:c r="D11" s="31" t="n">
        <x:v>2600.333265473601</x:v>
      </x:c>
      <x:c r="E11" s="31" t="n">
        <x:v>2600.333265473601</x:v>
      </x:c>
      <x:c r="F11" s="32" t="n">
        <x:v>0</x:v>
      </x:c>
      <x:c r="G11" s="34" t="n">
        <x:v>1</x:v>
      </x:c>
      <x:c r="H11" s="32" t="n">
        <x:f>IF(E11=0,"",I11/E11)</x:f>
        <x:v>604.1685872810692</x:v>
      </x:c>
      <x:c r="I11" s="31" t="n">
        <x:f>IF(C11=0,"",SUMIF('Species'!$G$2:$G$98,A11,'Species'!$U$2:$U$98))</x:f>
        <x:v>1571039.6754611551</x:v>
      </x:c>
      <x:c r="J11" s="32" t="n">
        <x:v>3.5120794791030145</x:v>
      </x:c>
      <x:c r="K11" s="32" t="n">
        <x:f>IF(J11="","",(1/'Metadata'!$B$5)^(J11-1))</x:f>
        <x:v>325.1467962099851</x:v>
      </x:c>
      <x:c r="L11" s="31" t="n">
        <x:f>IF(E11=0,"",E11*K11)</x:f>
        <x:v>845490.03034699</x:v>
      </x:c>
      <x:c r="M11" s="31" t="n">
        <x:f>IF(E11=0,"",I11-L11)</x:f>
        <x:v>725549.6451141651</x:v>
      </x:c>
      <x:c r="N11" s="32" t="n">
        <x:f>IF(L11=0,"",I11/L11)</x:f>
        <x:v>1.8581409822377193</x:v>
      </x:c>
      <x:c r="O11" s="34" t="n">
        <x:f>IF(L11=0,"",M11/L11)</x:f>
        <x:v>0.8581409822377194</x:v>
      </x:c>
    </x:row>
    <x:row r="12" ht="18" customHeight="1">
      <x:c r="A12" s="24" t="str">
        <x:v>Medium reef assoc. fish (30 - 89 cm)</x:v>
      </x:c>
      <x:c r="B12" s="33" t="n">
        <x:v>17</x:v>
      </x:c>
      <x:c r="C12" s="33" t="n">
        <x:v>17</x:v>
      </x:c>
      <x:c r="D12" s="31" t="n">
        <x:v>1277.7627169354</x:v>
      </x:c>
      <x:c r="E12" s="31" t="n">
        <x:v>1277.7627169354</x:v>
      </x:c>
      <x:c r="F12" s="32" t="n">
        <x:v>0</x:v>
      </x:c>
      <x:c r="G12" s="34" t="n">
        <x:v>1</x:v>
      </x:c>
      <x:c r="H12" s="32" t="n">
        <x:f>IF(E12=0,"",I12/E12)</x:f>
        <x:v>717.1694380810429</x:v>
      </x:c>
      <x:c r="I12" s="31" t="n">
        <x:f>IF(C12=0,"",SUMIF('Species'!$G$2:$G$98,A12,'Species'!$U$2:$U$98))</x:f>
        <x:v>916372.3697054675</x:v>
      </x:c>
      <x:c r="J12" s="32" t="n">
        <x:v>3.7189296374724723</x:v>
      </x:c>
      <x:c r="K12" s="32" t="n">
        <x:f>IF(J12="","",(1/'Metadata'!$B$5)^(J12-1))</x:f>
        <x:v>523.5156119624824</x:v>
      </x:c>
      <x:c r="L12" s="31" t="n">
        <x:f>IF(E12=0,"",E12*K12)</x:f>
        <x:v>668928.73069928</x:v>
      </x:c>
      <x:c r="M12" s="31" t="n">
        <x:f>IF(E12=0,"",I12-L12)</x:f>
        <x:v>247443.63900618744</x:v>
      </x:c>
      <x:c r="N12" s="32" t="n">
        <x:f>IF(L12=0,"",I12/L12)</x:f>
        <x:v>1.3699103172732865</x:v>
      </x:c>
      <x:c r="O12" s="34" t="n">
        <x:f>IF(L12=0,"",M12/L12)</x:f>
        <x:v>0.3699103172732864</x:v>
      </x:c>
    </x:row>
    <x:row r="13" ht="18" customHeight="1">
      <x:c r="A13" s="24" t="str">
        <x:v>Other demersal invertebrates</x:v>
      </x:c>
      <x:c r="B13" s="33" t="n">
        <x:v>2</x:v>
      </x:c>
      <x:c r="C13" s="33" t="n">
        <x:v>2</x:v>
      </x:c>
      <x:c r="D13" s="31" t="n">
        <x:v>207.9639353901</x:v>
      </x:c>
      <x:c r="E13" s="31" t="n">
        <x:v>207.9639353901</x:v>
      </x:c>
      <x:c r="F13" s="32" t="n">
        <x:v>0</x:v>
      </x:c>
      <x:c r="G13" s="34" t="n">
        <x:v>1</x:v>
      </x:c>
      <x:c r="H13" s="32" t="n">
        <x:f>IF(E13=0,"",I13/E13)</x:f>
        <x:v>26.891090178993203</x:v>
      </x:c>
      <x:c r="I13" s="31" t="n">
        <x:f>IF(C13=0,"",SUMIF('Species'!$G$2:$G$98,A13,'Species'!$U$2:$U$98))</x:f>
        <x:v>5592.376940553495</x:v>
      </x:c>
      <x:c r="J13" s="32" t="n">
        <x:v>2.429441222852857</x:v>
      </x:c>
      <x:c r="K13" s="32" t="n">
        <x:f>IF(J13="","",(1/'Metadata'!$B$5)^(J13-1))</x:f>
        <x:v>26.880740161667518</x:v>
      </x:c>
      <x:c r="L13" s="31" t="n">
        <x:f>IF(E13=0,"",E13*K13)</x:f>
        <x:v>5590.22451021909</x:v>
      </x:c>
      <x:c r="M13" s="31" t="n">
        <x:f>IF(E13=0,"",I13-L13)</x:f>
        <x:v>2.152430334404926</x:v>
      </x:c>
      <x:c r="N13" s="32" t="n">
        <x:f>IF(L13=0,"",I13/L13)</x:f>
        <x:v>1.0003850346851848</x:v>
      </x:c>
      <x:c r="O13" s="34" t="n">
        <x:f>IF(L13=0,"",M13/L13)</x:f>
        <x:v>0.0003850346851848654</x:v>
      </x:c>
    </x:row>
    <x:row r="14" ht="18" customHeight="1">
      <x:c r="A14" s="24" t="str">
        <x:v>Shrimps</x:v>
      </x:c>
      <x:c r="B14" s="33" t="n">
        <x:v>8</x:v>
      </x:c>
      <x:c r="C14" s="33" t="n">
        <x:v>8</x:v>
      </x:c>
      <x:c r="D14" s="31" t="n">
        <x:v>3113.8978699464</x:v>
      </x:c>
      <x:c r="E14" s="31" t="n">
        <x:v>3113.8978699464</x:v>
      </x:c>
      <x:c r="F14" s="32" t="n">
        <x:v>0</x:v>
      </x:c>
      <x:c r="G14" s="34" t="n">
        <x:v>1</x:v>
      </x:c>
      <x:c r="H14" s="32" t="n">
        <x:f>IF(E14=0,"",I14/E14)</x:f>
        <x:v>86.0945270563106</x:v>
      </x:c>
      <x:c r="I14" s="31" t="n">
        <x:f>IF(C14=0,"",SUMIF('Species'!$G$2:$G$98,A14,'Species'!$U$2:$U$98))</x:f>
        <x:v>268089.56441468827</x:v>
      </x:c>
      <x:c r="J14" s="32" t="n">
        <x:v>2.8470935903349925</x:v>
      </x:c>
      <x:c r="K14" s="32" t="n">
        <x:f>IF(J14="","",(1/'Metadata'!$B$5)^(J14-1))</x:f>
        <x:v>70.32238480915755</x:v>
      </x:c>
      <x:c r="L14" s="31" t="n">
        <x:f>IF(E14=0,"",E14*K14)</x:f>
        <x:v>218976.7242667868</x:v>
      </x:c>
      <x:c r="M14" s="31" t="n">
        <x:f>IF(E14=0,"",I14-L14)</x:f>
        <x:v>49112.84014790147</x:v>
      </x:c>
      <x:c r="N14" s="32" t="n">
        <x:f>IF(L14=0,"",I14/L14)</x:f>
        <x:v>1.2242833813152927</x:v>
      </x:c>
      <x:c r="O14" s="34" t="n">
        <x:f>IF(L14=0,"",M14/L14)</x:f>
        <x:v>0.2242833813152928</x:v>
      </x:c>
    </x:row>
    <x:row r="15" ht="18" customHeight="1">
      <x:c r="A15" s="24" t="str">
        <x:v>Small benthopelagics (&lt;30 cm)</x:v>
      </x:c>
      <x:c r="B15" s="33" t="n">
        <x:v>5</x:v>
      </x:c>
      <x:c r="C15" s="33" t="n">
        <x:v>5</x:v>
      </x:c>
      <x:c r="D15" s="31" t="n">
        <x:v>646.1391047159</x:v>
      </x:c>
      <x:c r="E15" s="31" t="n">
        <x:v>646.1391047159</x:v>
      </x:c>
      <x:c r="F15" s="32" t="n">
        <x:v>0</x:v>
      </x:c>
      <x:c r="G15" s="34" t="n">
        <x:v>1</x:v>
      </x:c>
      <x:c r="H15" s="32" t="n">
        <x:f>IF(E15=0,"",I15/E15)</x:f>
        <x:v>170.42124812153156</x:v>
      </x:c>
      <x:c r="I15" s="31" t="n">
        <x:f>IF(C15=0,"",SUMIF('Species'!$G$2:$G$98,A15,'Species'!$U$2:$U$98))</x:f>
        <x:v>110115.83268581265</x:v>
      </x:c>
      <x:c r="J15" s="32" t="n">
        <x:v>3.2312361841998007</x:v>
      </x:c>
      <x:c r="K15" s="32" t="n">
        <x:f>IF(J15="","",(1/'Metadata'!$B$5)^(J15-1))</x:f>
        <x:v>170.30844521928395</x:v>
      </x:c>
      <x:c r="L15" s="31" t="n">
        <x:f>IF(E15=0,"",E15*K15)</x:f>
        <x:v>110042.94631954502</x:v>
      </x:c>
      <x:c r="M15" s="31" t="n">
        <x:f>IF(E15=0,"",I15-L15)</x:f>
        <x:v>72.88636626763036</x:v>
      </x:c>
      <x:c r="N15" s="32" t="n">
        <x:f>IF(L15=0,"",I15/L15)</x:f>
        <x:v>1.0006623447363538</x:v>
      </x:c>
      <x:c r="O15" s="34" t="n">
        <x:f>IF(L15=0,"",M15/L15)</x:f>
        <x:v>0.000662344736353945</x:v>
      </x:c>
    </x:row>
    <x:row r="16" ht="18" customHeight="1">
      <x:c r="A16" s="24" t="str">
        <x:v>Small demersals (&lt;30 cm)</x:v>
      </x:c>
      <x:c r="B16" s="33" t="n">
        <x:v>2</x:v>
      </x:c>
      <x:c r="C16" s="33" t="n">
        <x:v>2</x:v>
      </x:c>
      <x:c r="D16" s="31" t="n">
        <x:v>388.7679728146</x:v>
      </x:c>
      <x:c r="E16" s="31" t="n">
        <x:v>388.7679728146</x:v>
      </x:c>
      <x:c r="F16" s="32" t="n">
        <x:v>0</x:v>
      </x:c>
      <x:c r="G16" s="34" t="n">
        <x:v>1</x:v>
      </x:c>
      <x:c r="H16" s="32" t="n">
        <x:f>IF(E16=0,"",I16/E16)</x:f>
        <x:v>453.62940077300067</x:v>
      </x:c>
      <x:c r="I16" s="31" t="n">
        <x:f>IF(C16=0,"",SUMIF('Species'!$G$2:$G$98,A16,'Species'!$U$2:$U$98))</x:f>
        <x:v>176356.58254762122</x:v>
      </x:c>
      <x:c r="J16" s="32" t="n">
        <x:v>3.645713881237363</x:v>
      </x:c>
      <x:c r="K16" s="32" t="n">
        <x:f>IF(J16="","",(1/'Metadata'!$B$5)^(J16-1))</x:f>
        <x:v>442.29688550699063</x:v>
      </x:c>
      <x:c r="L16" s="31" t="n">
        <x:f>IF(E16=0,"",E16*K16)</x:f>
        <x:v>171950.86356076397</x:v>
      </x:c>
      <x:c r="M16" s="31" t="n">
        <x:f>IF(E16=0,"",I16-L16)</x:f>
        <x:v>4405.718986857246</x:v>
      </x:c>
      <x:c r="N16" s="32" t="n">
        <x:f>IF(L16=0,"",I16/L16)</x:f>
        <x:v>1.0256219648777767</x:v>
      </x:c>
      <x:c r="O16" s="34" t="n">
        <x:f>IF(L16=0,"",M16/L16)</x:f>
        <x:v>0.02562196487777657</x:v>
      </x:c>
    </x:row>
    <x:row r="17" ht="18" customHeight="1">
      <x:c r="A17" s="24" t="str">
        <x:v>Small pelagics (&lt;30 cm)</x:v>
      </x:c>
      <x:c r="B17" s="33" t="n">
        <x:v>8</x:v>
      </x:c>
      <x:c r="C17" s="33" t="n">
        <x:v>8</x:v>
      </x:c>
      <x:c r="D17" s="31" t="n">
        <x:v>1581.9413690938998</x:v>
      </x:c>
      <x:c r="E17" s="31" t="n">
        <x:v>1581.9413690938998</x:v>
      </x:c>
      <x:c r="F17" s="32" t="n">
        <x:v>0</x:v>
      </x:c>
      <x:c r="G17" s="34" t="n">
        <x:v>1</x:v>
      </x:c>
      <x:c r="H17" s="32" t="n">
        <x:f>IF(E17=0,"",I17/E17)</x:f>
        <x:v>148.6139499786966</x:v>
      </x:c>
      <x:c r="I17" s="31" t="n">
        <x:f>IF(C17=0,"",SUMIF('Species'!$G$2:$G$98,A17,'Species'!$U$2:$U$98))</x:f>
        <x:v>235098.55549575167</x:v>
      </x:c>
      <x:c r="J17" s="32" t="n">
        <x:v>3.090619744433225</x:v>
      </x:c>
      <x:c r="K17" s="32" t="n">
        <x:f>IF(J17="","",(1/'Metadata'!$B$5)^(J17-1))</x:f>
        <x:v>123.20256351702065</x:v>
      </x:c>
      <x:c r="L17" s="31" t="n">
        <x:f>IF(E17=0,"",E17*K17)</x:f>
        <x:v>194899.2320059938</x:v>
      </x:c>
      <x:c r="M17" s="31" t="n">
        <x:f>IF(E17=0,"",I17-L17)</x:f>
        <x:v>40199.323489757866</x:v>
      </x:c>
      <x:c r="N17" s="32" t="n">
        <x:f>IF(L17=0,"",I17/L17)</x:f>
        <x:v>1.2062569620003512</x:v>
      </x:c>
      <x:c r="O17" s="34" t="n">
        <x:f>IF(L17=0,"",M17/L17)</x:f>
        <x:v>0.20625696200035104</x:v>
      </x:c>
    </x:row>
    <x:row r="18" ht="18" customHeight="1">
      <x:c r="A18" s="24" t="str">
        <x:v>Small reef assoc. fish (&lt;30 cm)</x:v>
      </x:c>
      <x:c r="B18" s="33" t="n">
        <x:v>3</x:v>
      </x:c>
      <x:c r="C18" s="33" t="n">
        <x:v>3</x:v>
      </x:c>
      <x:c r="D18" s="31" t="n">
        <x:v>349.77263451669995</x:v>
      </x:c>
      <x:c r="E18" s="31" t="n">
        <x:v>349.77263451669995</x:v>
      </x:c>
      <x:c r="F18" s="32" t="n">
        <x:v>0</x:v>
      </x:c>
      <x:c r="G18" s="34" t="n">
        <x:v>1</x:v>
      </x:c>
      <x:c r="H18" s="32" t="n">
        <x:f>IF(E18=0,"",I18/E18)</x:f>
        <x:v>346.7312956234042</x:v>
      </x:c>
      <x:c r="I18" s="31" t="n">
        <x:f>IF(C18=0,"",SUMIF('Species'!$G$2:$G$98,A18,'Species'!$U$2:$U$98))</x:f>
        <x:v>121277.1187395868</x:v>
      </x:c>
      <x:c r="J18" s="32" t="n">
        <x:v>3.5399909438666857</x:v>
      </x:c>
      <x:c r="K18" s="32" t="n">
        <x:f>IF(J18="","",(1/'Metadata'!$B$5)^(J18-1))</x:f>
        <x:v>346.7296201916503</x:v>
      </x:c>
      <x:c r="L18" s="31" t="n">
        <x:f>IF(E18=0,"",E18*K18)</x:f>
        <x:v>121276.5327194083</x:v>
      </x:c>
      <x:c r="M18" s="31" t="n">
        <x:f>IF(E18=0,"",I18-L18)</x:f>
        <x:v>0.5860201785108075</x:v>
      </x:c>
      <x:c r="N18" s="32" t="n">
        <x:f>IF(L18=0,"",I18/L18)</x:f>
        <x:v>1.0000048320987198</x:v>
      </x:c>
      <x:c r="O18" s="34" t="n">
        <x:f>IF(L18=0,"",M18/L18)</x:f>
        <x:v>0.0000048320987199284</x:v>
      </x:c>
    </x:row>
    <x:row r="19" ht="18" customHeight="1">
      <x:c r="A19" s="24" t="str">
        <x:v>Small to medium flatfishes (&lt;90 cm)</x:v>
      </x:c>
      <x:c r="B19" s="33" t="n">
        <x:v>3</x:v>
      </x:c>
      <x:c r="C19" s="33" t="n">
        <x:v>3</x:v>
      </x:c>
      <x:c r="D19" s="31" t="n">
        <x:v>15.4558671537</x:v>
      </x:c>
      <x:c r="E19" s="31" t="n">
        <x:v>15.4558671537</x:v>
      </x:c>
      <x:c r="F19" s="32" t="n">
        <x:v>0</x:v>
      </x:c>
      <x:c r="G19" s="34" t="n">
        <x:v>1</x:v>
      </x:c>
      <x:c r="H19" s="32" t="n">
        <x:f>IF(E19=0,"",I19/E19)</x:f>
        <x:v>2427.562700139313</x:v>
      </x:c>
      <x:c r="I19" s="31" t="n">
        <x:f>IF(C19=0,"",SUMIF('Species'!$G$2:$G$98,A19,'Species'!$U$2:$U$98))</x:f>
        <x:v>37520.08660063049</x:v>
      </x:c>
      <x:c r="J19" s="32" t="n">
        <x:v>4.379906951211427</x:v>
      </x:c>
      <x:c r="K19" s="32" t="n">
        <x:f>IF(J19="","",(1/'Metadata'!$B$5)^(J19-1))</x:f>
        <x:v>2398.319017515802</x:v>
      </x:c>
      <x:c r="L19" s="31" t="n">
        <x:f>IF(E19=0,"",E19*K19)</x:f>
        <x:v>37068.100126916535</x:v>
      </x:c>
      <x:c r="M19" s="31" t="n">
        <x:f>IF(E19=0,"",I19-L19)</x:f>
        <x:v>451.9864737139578</x:v>
      </x:c>
      <x:c r="N19" s="32" t="n">
        <x:f>IF(L19=0,"",I19/L19)</x:f>
        <x:v>1.0121934081370885</x:v>
      </x:c>
      <x:c r="O19" s="34" t="n">
        <x:f>IF(L19=0,"",M19/L19)</x:f>
        <x:v>0.012193408137088567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c88b1b967b448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EEZ_096</x:v>
      </x:c>
      <x:c r="B2" s="24" t="str">
        <x:v>raw_filtered_tonnes</x:v>
      </x:c>
      <x:c r="C2" s="24" t="n">
        <x:v>16692.4609859602</x:v>
      </x:c>
      <x:c r="D2" s="24" t="str">
        <x:v>tonnes</x:v>
      </x:c>
    </x:row>
    <x:row r="3" ht="18" customHeight="1">
      <x:c r="A3" s="24" t="str">
        <x:v>EEZ_096</x:v>
      </x:c>
      <x:c r="B3" s="24" t="str">
        <x:v>species_catch_tonnes</x:v>
      </x:c>
      <x:c r="C3" s="24" t="n">
        <x:v>16692.4609859602</x:v>
      </x:c>
      <x:c r="D3" s="24" t="str">
        <x:v>tonnes</x:v>
      </x:c>
    </x:row>
    <x:row r="4" ht="18" customHeight="1">
      <x:c r="A4" s="24" t="str">
        <x:v>EEZ_096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EEZ_096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EEZ_096</x:v>
      </x:c>
      <x:c r="B6" s="24" t="str">
        <x:v>matched_catch_tonnes</x:v>
      </x:c>
      <x:c r="C6" s="24" t="n">
        <x:v>16692.4609859602</x:v>
      </x:c>
      <x:c r="D6" s="24" t="str">
        <x:v>tonnes</x:v>
      </x:c>
    </x:row>
    <x:row r="7" ht="18" customHeight="1">
      <x:c r="A7" s="24" t="str">
        <x:v>EEZ_096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EEZ_096</x:v>
      </x:c>
      <x:c r="B8" s="24" t="str">
        <x:v>taxa_count</x:v>
      </x:c>
      <x:c r="C8" s="24" t="n">
        <x:v>97</x:v>
      </x:c>
      <x:c r="D8" s="24" t="str">
        <x:v>count</x:v>
      </x:c>
    </x:row>
    <x:row r="9" ht="18" customHeight="1">
      <x:c r="A9" s="24" t="str">
        <x:v>EEZ_096</x:v>
      </x:c>
      <x:c r="B9" s="24" t="str">
        <x:v>matched_taxa_count</x:v>
      </x:c>
      <x:c r="C9" s="24" t="n">
        <x:v>97</x:v>
      </x:c>
      <x:c r="D9" s="24" t="str">
        <x:v>count</x:v>
      </x:c>
    </x:row>
    <x:row r="10" ht="18" customHeight="1">
      <x:c r="A10" s="24" t="str">
        <x:v>EEZ_096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EEZ_096</x:v>
      </x:c>
      <x:c r="B11" s="24" t="str">
        <x:v>species_ppr</x:v>
      </x:c>
      <x:c r="C11" s="24" t="n">
        <x:v>9457192.928452253</x:v>
      </x:c>
      <x:c r="D11" s="24" t="str">
        <x:v>tonnes_primary_production_equivalent</x:v>
      </x:c>
    </x:row>
    <x:row r="12" ht="18" customHeight="1">
      <x:c r="A12" s="24" t="str">
        <x:v>EEZ_096</x:v>
      </x:c>
      <x:c r="B12" s="24" t="str">
        <x:v>commercial_ppr</x:v>
      </x:c>
      <x:c r="C12" s="24" t="n">
        <x:v>9457192.928452255</x:v>
      </x:c>
      <x:c r="D12" s="24" t="str">
        <x:v>tonnes_primary_production_equivalent</x:v>
      </x:c>
    </x:row>
    <x:row r="13" ht="18" customHeight="1">
      <x:c r="A13" s="24" t="str">
        <x:v>EEZ_096</x:v>
      </x:c>
      <x:c r="B13" s="24" t="str">
        <x:v>functional_ppr</x:v>
      </x:c>
      <x:c r="C13" s="24" t="n">
        <x:v>9457192.928452251</x:v>
      </x:c>
      <x:c r="D13" s="24" t="str">
        <x:v>tonnes_primary_production_equivalent</x:v>
      </x:c>
    </x:row>
    <x:row r="14" ht="18" customHeight="1">
      <x:c r="A14" s="24" t="str">
        <x:v>EEZ_096</x:v>
      </x:c>
      <x:c r="B14" s="24" t="str">
        <x:v>commercial_ppr_difference</x:v>
      </x:c>
      <x:c r="C14" s="24" t="n">
        <x:v>1.862645149230957e-9</x:v>
      </x:c>
      <x:c r="D14" s="24" t="str">
        <x:v>tonnes_primary_production_equivalent</x:v>
      </x:c>
    </x:row>
    <x:row r="15" ht="18" customHeight="1">
      <x:c r="A15" s="24" t="str">
        <x:v>EEZ_096</x:v>
      </x:c>
      <x:c r="B15" s="24" t="str">
        <x:v>functional_ppr_difference</x:v>
      </x:c>
      <x:c r="C15" s="24" t="n">
        <x:v>-1.862645149230957e-9</x:v>
      </x:c>
      <x:c r="D15" s="24" t="str">
        <x:v>tonnes_primary_production_equivalent</x:v>
      </x:c>
    </x:row>
    <x:row r="16" ht="18" customHeight="1">
      <x:c r="A16" s="24" t="str">
        <x:v>EEZ_096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EEZ_096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EEZ_096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EEZ_096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2ab78aa2f9f4c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EEZ_096 - Brunei Darussalam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EEZ_096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raw_data/SAU_downloads/EEZ_096-catch.zip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