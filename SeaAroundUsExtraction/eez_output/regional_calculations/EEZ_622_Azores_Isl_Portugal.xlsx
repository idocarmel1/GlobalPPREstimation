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862568f37f41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b3b6f0a216874055"/>
    <x:sheet xmlns:r="http://schemas.openxmlformats.org/officeDocument/2006/relationships" name="Commercial" sheetId="2" r:id="R03724f02fcc843d7"/>
    <x:sheet xmlns:r="http://schemas.openxmlformats.org/officeDocument/2006/relationships" name="Functional" sheetId="3" r:id="Red8de1aadcb64ae8"/>
    <x:sheet xmlns:r="http://schemas.openxmlformats.org/officeDocument/2006/relationships" name="Missing TL" sheetId="4" r:id="R106e195b37074a7f"/>
    <x:sheet xmlns:r="http://schemas.openxmlformats.org/officeDocument/2006/relationships" name="Validation" sheetId="5" r:id="Rb39c49d6c4294764"/>
    <x:sheet xmlns:r="http://schemas.openxmlformats.org/officeDocument/2006/relationships" name="Metadata" sheetId="6" r:id="R8baafbfbc3be4d7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b82277f92e4894" /><Relationship Type="http://schemas.openxmlformats.org/officeDocument/2006/relationships/theme" Target="/xl/theme/theme1.xml" Id="R98b0b9db02804330" /><Relationship Type="http://schemas.microsoft.com/office/2022/11/relationships/FeaturePropertyBag" Target="/xl/featurePropertyBag/featurePropertyBag.xml" Id="R5854ba9ce7e147b5" /><Relationship Type="http://schemas.openxmlformats.org/officeDocument/2006/relationships/sharedStrings" Target="/xl/sharedStrings.xml" Id="R5d73ff5a25014c62" /><Relationship Type="http://schemas.openxmlformats.org/officeDocument/2006/relationships/worksheet" Target="/xl/worksheets/sheet1.xml" Id="Rb3b6f0a216874055" /><Relationship Type="http://schemas.openxmlformats.org/officeDocument/2006/relationships/worksheet" Target="/xl/worksheets/sheet2.xml" Id="R03724f02fcc843d7" /><Relationship Type="http://schemas.openxmlformats.org/officeDocument/2006/relationships/worksheet" Target="/xl/worksheets/sheet3.xml" Id="Red8de1aadcb64ae8" /><Relationship Type="http://schemas.openxmlformats.org/officeDocument/2006/relationships/worksheet" Target="/xl/worksheets/sheet4.xml" Id="R106e195b37074a7f" /><Relationship Type="http://schemas.openxmlformats.org/officeDocument/2006/relationships/worksheet" Target="/xl/worksheets/sheet5.xml" Id="Rb39c49d6c4294764" /><Relationship Type="http://schemas.openxmlformats.org/officeDocument/2006/relationships/worksheet" Target="/xl/worksheets/sheet6.xml" Id="R8baafbfbc3be4d7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622SpeciesTable" displayName="EEZ622SpeciesTable" ref="A1:U133" headerRowCount="1" totalsRowCount="0" totalsRowShown="0">
  <x:autoFilter ref="A1:U133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622CommercialTable" displayName="EEZ622CommercialTable" ref="A1:O12" headerRowCount="1" totalsRowCount="0" totalsRowShown="0">
  <x:autoFilter ref="A1:O12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622FunctionalTable" displayName="EEZ622FunctionalTable" ref="A1:O25" headerRowCount="1" totalsRowCount="0" totalsRowShown="0">
  <x:autoFilter ref="A1:O25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622ValidationTable" displayName="EEZ622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074610f47664bd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e55ff31b099410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854aaa120da420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eb67771ba9448a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EEZ_622</x:v>
      </x:c>
      <x:c r="B2" s="24" t="str">
        <x:v>Azores Isl. (Portugal)</x:v>
      </x:c>
      <x:c r="C2" s="24" t="str">
        <x:v>EEZ</x:v>
      </x:c>
      <x:c r="D2" s="30" t="n">
        <x:v>2019</x:v>
      </x:c>
      <x:c r="E2" s="24" t="str">
        <x:v>Marine fishes not identified</x:v>
      </x:c>
      <x:c r="F2" s="24" t="str">
        <x:v>Marine fishes nei</x:v>
      </x:c>
      <x:c r="G2" s="24" t="str">
        <x:v>Medium demersals (30 - 89 cm)</x:v>
      </x:c>
      <x:c r="H2" s="24" t="str">
        <x:v>Other fishes &amp; inverts</x:v>
      </x:c>
      <x:c r="I2" s="31" t="n">
        <x:v>4983.5396130318995</x:v>
      </x:c>
      <x:c r="J2" s="31" t="n">
        <x:v>4788.8074860597</x:v>
      </x:c>
      <x:c r="K2" s="31" t="n">
        <x:v>194.7321269722</x:v>
      </x:c>
      <x:c r="L2" s="31" t="n">
        <x:v>4406.1254235225</x:v>
      </x:c>
      <x:c r="M2" s="31" t="n">
        <x:v>577.4141895094</x:v>
      </x:c>
      <x:c r="N2" s="24" t="str">
        <x:v>marine fishes not identified</x:v>
      </x:c>
      <x:c r="O2" s="32" t="n">
        <x:v>3.28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Marine fishes not identified</x:v>
      </x:c>
      <x:c r="T2" s="32" t="n">
        <x:f>IF(O2="","",(1/'Metadata'!$B$5)^(O2-1))</x:f>
        <x:v>190.54607179632464</x:v>
      </x:c>
      <x:c r="U2" s="31" t="n">
        <x:f>IF(T2="","",I2*T2)</x:f>
        <x:v>949593.8969046043</x:v>
      </x:c>
    </x:row>
    <x:row r="3" ht="18" customHeight="1">
      <x:c r="A3" s="24" t="str">
        <x:v>EEZ_622</x:v>
      </x:c>
      <x:c r="B3" s="24" t="str">
        <x:v>Azores Isl. (Portugal)</x:v>
      </x:c>
      <x:c r="C3" s="24" t="str">
        <x:v>EEZ</x:v>
      </x:c>
      <x:c r="D3" s="30" t="n">
        <x:v>2019</x:v>
      </x:c>
      <x:c r="E3" s="24" t="str">
        <x:v>Katsuwonus pelamis</x:v>
      </x:c>
      <x:c r="F3" s="24" t="str">
        <x:v>Skipjack tuna</x:v>
      </x:c>
      <x:c r="G3" s="24" t="str">
        <x:v>Large pelagics (&gt;=90 cm)</x:v>
      </x:c>
      <x:c r="H3" s="24" t="str">
        <x:v>Tuna &amp; billfishes</x:v>
      </x:c>
      <x:c r="I3" s="31" t="n">
        <x:v>3283.4165667021</x:v>
      </x:c>
      <x:c r="J3" s="31" t="n">
        <x:v>3283.4165667021</x:v>
      </x:c>
      <x:c r="K3" s="31" t="n">
        <x:v>0</x:v>
      </x:c>
      <x:c r="L3" s="31" t="n">
        <x:v>3283.4165667021</x:v>
      </x:c>
      <x:c r="M3" s="31" t="n">
        <x:v>0</x:v>
      </x:c>
      <x:c r="N3" s="24" t="str">
        <x:v>katsuwonus pelamis</x:v>
      </x:c>
      <x:c r="O3" s="32" t="n">
        <x:v>4.43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Katsuwonus pelamis</x:v>
      </x:c>
      <x:c r="T3" s="32" t="n">
        <x:f>IF(O3="","",(1/'Metadata'!$B$5)^(O3-1))</x:f>
        <x:v>2691.534803926914</x:v>
      </x:c>
      <x:c r="U3" s="31" t="n">
        <x:f>IF(T3="","",I3*T3)</x:f>
        <x:v>8837429.965068918</x:v>
      </x:c>
    </x:row>
    <x:row r="4" ht="18" customHeight="1">
      <x:c r="A4" s="24" t="str">
        <x:v>EEZ_622</x:v>
      </x:c>
      <x:c r="B4" s="24" t="str">
        <x:v>Azores Isl. (Portugal)</x:v>
      </x:c>
      <x:c r="C4" s="24" t="str">
        <x:v>EEZ</x:v>
      </x:c>
      <x:c r="D4" s="30" t="n">
        <x:v>2019</x:v>
      </x:c>
      <x:c r="E4" s="24" t="str">
        <x:v>Trachurus picturatus</x:v>
      </x:c>
      <x:c r="F4" s="24" t="str">
        <x:v>Blue jack mackerel</x:v>
      </x:c>
      <x:c r="G4" s="24" t="str">
        <x:v>Medium benthopelagics (30 - 89 cm)</x:v>
      </x:c>
      <x:c r="H4" s="24" t="str">
        <x:v>Perch-likes</x:v>
      </x:c>
      <x:c r="I4" s="31" t="n">
        <x:v>2573.669994194</x:v>
      </x:c>
      <x:c r="J4" s="31" t="n">
        <x:v>2476.237085439</x:v>
      </x:c>
      <x:c r="K4" s="31" t="n">
        <x:v>97.432908755</x:v>
      </x:c>
      <x:c r="L4" s="31" t="n">
        <x:v>2156.218</x:v>
      </x:c>
      <x:c r="M4" s="31" t="n">
        <x:v>417.451994194</x:v>
      </x:c>
      <x:c r="N4" s="24" t="str">
        <x:v>trachurus picturatus</x:v>
      </x:c>
      <x:c r="O4" s="32" t="n">
        <x:v>3.32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Trachurus picturatus</x:v>
      </x:c>
      <x:c r="T4" s="32" t="n">
        <x:f>IF(O4="","",(1/'Metadata'!$B$5)^(O4-1))</x:f>
        <x:v>208.92961308540387</x:v>
      </x:c>
      <x:c r="U4" s="31" t="n">
        <x:f>IF(T4="","",I4*T4)</x:f>
        <x:v>537715.8760964661</x:v>
      </x:c>
    </x:row>
    <x:row r="5" ht="18" customHeight="1">
      <x:c r="A5" s="24" t="str">
        <x:v>EEZ_622</x:v>
      </x:c>
      <x:c r="B5" s="24" t="str">
        <x:v>Azores Isl. (Portugal)</x:v>
      </x:c>
      <x:c r="C5" s="24" t="str">
        <x:v>EEZ</x:v>
      </x:c>
      <x:c r="D5" s="30" t="n">
        <x:v>2019</x:v>
      </x:c>
      <x:c r="E5" s="24" t="str">
        <x:v>Prionace glauca</x:v>
      </x:c>
      <x:c r="F5" s="24" t="str">
        <x:v>Blue shark</x:v>
      </x:c>
      <x:c r="G5" s="24" t="str">
        <x:v>Large sharks (&gt;=90 cm)</x:v>
      </x:c>
      <x:c r="H5" s="24" t="str">
        <x:v>Sharks &amp; rays</x:v>
      </x:c>
      <x:c r="I5" s="31" t="n">
        <x:v>2529.2298171978</x:v>
      </x:c>
      <x:c r="J5" s="31" t="n">
        <x:v>2462.3622467968</x:v>
      </x:c>
      <x:c r="K5" s="31" t="n">
        <x:v>66.86757040100001</x:v>
      </x:c>
      <x:c r="L5" s="31" t="n">
        <x:v>2419.2236351458</x:v>
      </x:c>
      <x:c r="M5" s="31" t="n">
        <x:v>110.006182052</x:v>
      </x:c>
      <x:c r="N5" s="24" t="str">
        <x:v>prionace glauca</x:v>
      </x:c>
      <x:c r="O5" s="32" t="n">
        <x:v>4.35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Prionace glauca</x:v>
      </x:c>
      <x:c r="T5" s="32" t="n">
        <x:f>IF(O5="","",(1/'Metadata'!$B$5)^(O5-1))</x:f>
        <x:v>2238.7211385683377</x:v>
      </x:c>
      <x:c r="U5" s="31" t="n">
        <x:f>IF(T5="","",I5*T5)</x:f>
        <x:v>5662240.2560580475</x:v>
      </x:c>
    </x:row>
    <x:row r="6" ht="18" customHeight="1">
      <x:c r="A6" s="24" t="str">
        <x:v>EEZ_622</x:v>
      </x:c>
      <x:c r="B6" s="24" t="str">
        <x:v>Azores Isl. (Portugal)</x:v>
      </x:c>
      <x:c r="C6" s="24" t="str">
        <x:v>EEZ</x:v>
      </x:c>
      <x:c r="D6" s="30" t="n">
        <x:v>2019</x:v>
      </x:c>
      <x:c r="E6" s="24" t="str">
        <x:v>Mollusca</x:v>
      </x:c>
      <x:c r="F6" s="24" t="str">
        <x:v>Clams, seasnails, squids, octopuses</x:v>
      </x:c>
      <x:c r="G6" s="24" t="str">
        <x:v>Other demersal invertebrates</x:v>
      </x:c>
      <x:c r="H6" s="24" t="str">
        <x:v>Molluscs</x:v>
      </x:c>
      <x:c r="I6" s="31" t="n">
        <x:v>1314.000744797</x:v>
      </x:c>
      <x:c r="J6" s="31" t="n">
        <x:v>1314.000744797</x:v>
      </x:c>
      <x:c r="K6" s="31" t="n">
        <x:v>0</x:v>
      </x:c>
      <x:c r="L6" s="31" t="n">
        <x:v>1314</x:v>
      </x:c>
      <x:c r="M6" s="31" t="n">
        <x:v>0.000744797</x:v>
      </x:c>
      <x:c r="N6" s="24" t="str">
        <x:v>mollusca</x:v>
      </x:c>
      <x:c r="O6" s="32" t="n">
        <x:v>2.1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Mollusca</x:v>
      </x:c>
      <x:c r="T6" s="32" t="n">
        <x:f>IF(O6="","",(1/'Metadata'!$B$5)^(O6-1))</x:f>
        <x:v>12.589254117941675</x:v>
      </x:c>
      <x:c r="U6" s="31" t="n">
        <x:f>IF(T6="","",I6*T6)</x:f>
        <x:v>16542.28928741406</x:v>
      </x:c>
    </x:row>
    <x:row r="7" ht="18" customHeight="1">
      <x:c r="A7" s="24" t="str">
        <x:v>EEZ_622</x:v>
      </x:c>
      <x:c r="B7" s="24" t="str">
        <x:v>Azores Isl. (Portugal)</x:v>
      </x:c>
      <x:c r="C7" s="24" t="str">
        <x:v>EEZ</x:v>
      </x:c>
      <x:c r="D7" s="30" t="n">
        <x:v>2019</x:v>
      </x:c>
      <x:c r="E7" s="24" t="str">
        <x:v>Thunnus obesus</x:v>
      </x:c>
      <x:c r="F7" s="24" t="str">
        <x:v>Bigeye tuna</x:v>
      </x:c>
      <x:c r="G7" s="24" t="str">
        <x:v>Large pelagics (&gt;=90 cm)</x:v>
      </x:c>
      <x:c r="H7" s="24" t="str">
        <x:v>Tuna &amp; billfishes</x:v>
      </x:c>
      <x:c r="I7" s="31" t="n">
        <x:v>1183.0544373357</x:v>
      </x:c>
      <x:c r="J7" s="31" t="n">
        <x:v>1183.0544373357</x:v>
      </x:c>
      <x:c r="K7" s="31" t="n">
        <x:v>0</x:v>
      </x:c>
      <x:c r="L7" s="31" t="n">
        <x:v>1182.8308128497</x:v>
      </x:c>
      <x:c r="M7" s="31" t="n">
        <x:v>0.223624486</x:v>
      </x:c>
      <x:c r="N7" s="24" t="str">
        <x:v>thunnus obesus</x:v>
      </x:c>
      <x:c r="O7" s="32" t="n">
        <x:v>4.49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Thunnus obesus</x:v>
      </x:c>
      <x:c r="T7" s="32" t="n">
        <x:f>IF(O7="","",(1/'Metadata'!$B$5)^(O7-1))</x:f>
        <x:v>3090.295432513592</x:v>
      </x:c>
      <x:c r="U7" s="31" t="n">
        <x:f>IF(T7="","",I7*T7)</x:f>
        <x:v>3655987.7241134513</x:v>
      </x:c>
    </x:row>
    <x:row r="8" ht="18" customHeight="1">
      <x:c r="A8" s="24" t="str">
        <x:v>EEZ_622</x:v>
      </x:c>
      <x:c r="B8" s="24" t="str">
        <x:v>Azores Isl. (Portugal)</x:v>
      </x:c>
      <x:c r="C8" s="24" t="str">
        <x:v>EEZ</x:v>
      </x:c>
      <x:c r="D8" s="30" t="n">
        <x:v>2019</x:v>
      </x:c>
      <x:c r="E8" s="24" t="str">
        <x:v>Pagellus bogaraveo</x:v>
      </x:c>
      <x:c r="F8" s="24" t="str">
        <x:v>Blackspot seabream</x:v>
      </x:c>
      <x:c r="G8" s="24" t="str">
        <x:v>Medium benthopelagics (30 - 89 cm)</x:v>
      </x:c>
      <x:c r="H8" s="24" t="str">
        <x:v>Perch-likes</x:v>
      </x:c>
      <x:c r="I8" s="31" t="n">
        <x:v>995.3929688489</x:v>
      </x:c>
      <x:c r="J8" s="31" t="n">
        <x:v>984.2489180639</x:v>
      </x:c>
      <x:c r="K8" s="31" t="n">
        <x:v>11.144050785000001</x:v>
      </x:c>
      <x:c r="L8" s="31" t="n">
        <x:v>935.3073973649</x:v>
      </x:c>
      <x:c r="M8" s="31" t="n">
        <x:v>60.085571484</x:v>
      </x:c>
      <x:c r="N8" s="24" t="str">
        <x:v>pagellus bogaraveo</x:v>
      </x:c>
      <x:c r="O8" s="32" t="n">
        <x:v>4.21</x:v>
      </x:c>
      <x:c r="P8" s="24" t="str">
        <x:v>exact_2020_supplement</x:v>
      </x:c>
      <x:c r="Q8" s="32" t="str">
        <x:v>2020 supplement MeanTL</x:v>
      </x:c>
      <x:c r="R8" s="24" t="str">
        <x:v>high</x:v>
      </x:c>
      <x:c r="S8" s="24" t="str">
        <x:v>Pagellus bogaraveo</x:v>
      </x:c>
      <x:c r="T8" s="32" t="n">
        <x:f>IF(O8="","",(1/'Metadata'!$B$5)^(O8-1))</x:f>
        <x:v>1621.8100973589299</x:v>
      </x:c>
      <x:c r="U8" s="31" t="n">
        <x:f>IF(T8="","",I8*T8)</x:f>
        <x:v>1614338.3677192286</x:v>
      </x:c>
    </x:row>
    <x:row r="9" ht="18" customHeight="1">
      <x:c r="A9" s="24" t="str">
        <x:v>EEZ_622</x:v>
      </x:c>
      <x:c r="B9" s="24" t="str">
        <x:v>Azores Isl. (Portugal)</x:v>
      </x:c>
      <x:c r="C9" s="24" t="str">
        <x:v>EEZ</x:v>
      </x:c>
      <x:c r="D9" s="30" t="n">
        <x:v>2019</x:v>
      </x:c>
      <x:c r="E9" s="24" t="str">
        <x:v>Xiphias gladius</x:v>
      </x:c>
      <x:c r="F9" s="24" t="str">
        <x:v>Swordfish</x:v>
      </x:c>
      <x:c r="G9" s="24" t="str">
        <x:v>Large pelagics (&gt;=90 cm)</x:v>
      </x:c>
      <x:c r="H9" s="24" t="str">
        <x:v>Tuna &amp; billfishes</x:v>
      </x:c>
      <x:c r="I9" s="31" t="n">
        <x:v>551.8619014321</x:v>
      </x:c>
      <x:c r="J9" s="31" t="n">
        <x:v>551.2474247591</x:v>
      </x:c>
      <x:c r="K9" s="31" t="n">
        <x:v>0.614476673</x:v>
      </x:c>
      <x:c r="L9" s="31" t="n">
        <x:v>550.0667529721</x:v>
      </x:c>
      <x:c r="M9" s="31" t="n">
        <x:v>1.79514846</x:v>
      </x:c>
      <x:c r="N9" s="24" t="str">
        <x:v>xiphias gladius</x:v>
      </x:c>
      <x:c r="O9" s="32" t="n">
        <x:v>4.53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Xiphias gladius</x:v>
      </x:c>
      <x:c r="T9" s="32" t="n">
        <x:f>IF(O9="","",(1/'Metadata'!$B$5)^(O9-1))</x:f>
        <x:v>3388.4415613920273</x:v>
      </x:c>
      <x:c r="U9" s="31" t="n">
        <x:f>IF(T9="","",I9*T9)</x:f>
        <x:v>1869951.802961358</x:v>
      </x:c>
    </x:row>
    <x:row r="10" ht="18" customHeight="1">
      <x:c r="A10" s="24" t="str">
        <x:v>EEZ_622</x:v>
      </x:c>
      <x:c r="B10" s="24" t="str">
        <x:v>Azores Isl. (Portugal)</x:v>
      </x:c>
      <x:c r="C10" s="24" t="str">
        <x:v>EEZ</x:v>
      </x:c>
      <x:c r="D10" s="30" t="n">
        <x:v>2019</x:v>
      </x:c>
      <x:c r="E10" s="24" t="str">
        <x:v>Conger conger</x:v>
      </x:c>
      <x:c r="F10" s="24" t="str">
        <x:v>European conger</x:v>
      </x:c>
      <x:c r="G10" s="24" t="str">
        <x:v>Large demersals (&gt;=90 cm)</x:v>
      </x:c>
      <x:c r="H10" s="24" t="str">
        <x:v>Other fishes &amp; inverts</x:v>
      </x:c>
      <x:c r="I10" s="31" t="n">
        <x:v>393.983771857</x:v>
      </x:c>
      <x:c r="J10" s="31" t="n">
        <x:v>358.028951808</x:v>
      </x:c>
      <x:c r="K10" s="31" t="n">
        <x:v>35.954820049</x:v>
      </x:c>
      <x:c r="L10" s="31" t="n">
        <x:v>348.23</x:v>
      </x:c>
      <x:c r="M10" s="31" t="n">
        <x:v>45.753771857000004</x:v>
      </x:c>
      <x:c r="N10" s="24" t="str">
        <x:v>conger conger</x:v>
      </x:c>
      <x:c r="O10" s="32" t="n">
        <x:v>4.31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Conger conger</x:v>
      </x:c>
      <x:c r="T10" s="32" t="n">
        <x:f>IF(O10="","",(1/'Metadata'!$B$5)^(O10-1))</x:f>
        <x:v>2041.7379446695275</x:v>
      </x:c>
      <x:c r="U10" s="31" t="n">
        <x:f>IF(T10="","",I10*T10)</x:f>
        <x:v>804411.6165844592</x:v>
      </x:c>
    </x:row>
    <x:row r="11" ht="18" customHeight="1">
      <x:c r="A11" s="24" t="str">
        <x:v>EEZ_622</x:v>
      </x:c>
      <x:c r="B11" s="24" t="str">
        <x:v>Azores Isl. (Portugal)</x:v>
      </x:c>
      <x:c r="C11" s="24" t="str">
        <x:v>EEZ</x:v>
      </x:c>
      <x:c r="D11" s="30" t="n">
        <x:v>2019</x:v>
      </x:c>
      <x:c r="E11" s="24" t="str">
        <x:v>Sparisoma cretense</x:v>
      </x:c>
      <x:c r="F11" s="24" t="str">
        <x:v>Old parrotfish</x:v>
      </x:c>
      <x:c r="G11" s="24" t="str">
        <x:v>Medium reef assoc. fish (30 - 89 cm)</x:v>
      </x:c>
      <x:c r="H11" s="24" t="str">
        <x:v>Perch-likes</x:v>
      </x:c>
      <x:c r="I11" s="31" t="n">
        <x:v>252.224744639</x:v>
      </x:c>
      <x:c r="J11" s="31" t="n">
        <x:v>252.224744639</x:v>
      </x:c>
      <x:c r="K11" s="31" t="n">
        <x:v>0</x:v>
      </x:c>
      <x:c r="L11" s="31" t="n">
        <x:v>230.54</x:v>
      </x:c>
      <x:c r="M11" s="31" t="n">
        <x:v>21.684744639</x:v>
      </x:c>
      <x:c r="N11" s="24" t="str">
        <x:v>sparisoma cretense</x:v>
      </x:c>
      <x:c r="O11" s="32" t="n">
        <x:v>2.86</x:v>
      </x:c>
      <x:c r="P11" s="24" t="str">
        <x:v>exact_2020_supplement</x:v>
      </x:c>
      <x:c r="Q11" s="32" t="str">
        <x:v>2020 supplement MeanTL</x:v>
      </x:c>
      <x:c r="R11" s="24" t="str">
        <x:v>high</x:v>
      </x:c>
      <x:c r="S11" s="24" t="str">
        <x:v>Sparisoma cretense</x:v>
      </x:c>
      <x:c r="T11" s="32" t="n">
        <x:f>IF(O11="","",(1/'Metadata'!$B$5)^(O11-1))</x:f>
        <x:v>72.44359600749898</x:v>
      </x:c>
      <x:c r="U11" s="31" t="n">
        <x:f>IF(T11="","",I11*T11)</x:f>
        <x:v>18272.06750372231</x:v>
      </x:c>
    </x:row>
    <x:row r="12" ht="18" customHeight="1">
      <x:c r="A12" s="24" t="str">
        <x:v>EEZ_622</x:v>
      </x:c>
      <x:c r="B12" s="24" t="str">
        <x:v>Azores Isl. (Portugal)</x:v>
      </x:c>
      <x:c r="C12" s="24" t="str">
        <x:v>EEZ</x:v>
      </x:c>
      <x:c r="D12" s="30" t="n">
        <x:v>2019</x:v>
      </x:c>
      <x:c r="E12" s="24" t="str">
        <x:v>Lepidopus caudatus</x:v>
      </x:c>
      <x:c r="F12" s="24" t="str">
        <x:v>Silver scabbardfish</x:v>
      </x:c>
      <x:c r="G12" s="24" t="str">
        <x:v>Large bathydemersals (&gt;=90 cm)</x:v>
      </x:c>
      <x:c r="H12" s="24" t="str">
        <x:v>Perch-likes</x:v>
      </x:c>
      <x:c r="I12" s="31" t="n">
        <x:v>234.50947991</x:v>
      </x:c>
      <x:c r="J12" s="31" t="n">
        <x:v>173.841159491</x:v>
      </x:c>
      <x:c r="K12" s="31" t="n">
        <x:v>60.668320419</x:v>
      </x:c>
      <x:c r="L12" s="31" t="n">
        <x:v>131.24</x:v>
      </x:c>
      <x:c r="M12" s="31" t="n">
        <x:v>103.26947991</x:v>
      </x:c>
      <x:c r="N12" s="24" t="str">
        <x:v>lepidopus caudatus</x:v>
      </x:c>
      <x:c r="O12" s="32" t="n">
        <x:v>3.82</x:v>
      </x:c>
      <x:c r="P12" s="24" t="str">
        <x:v>exact_2020_supplement</x:v>
      </x:c>
      <x:c r="Q12" s="32" t="str">
        <x:v>2020 supplement MeanTL</x:v>
      </x:c>
      <x:c r="R12" s="24" t="str">
        <x:v>high</x:v>
      </x:c>
      <x:c r="S12" s="24" t="str">
        <x:v>Lepidopus caudatus</x:v>
      </x:c>
      <x:c r="T12" s="32" t="n">
        <x:f>IF(O12="","",(1/'Metadata'!$B$5)^(O12-1))</x:f>
        <x:v>660.6934480075957</x:v>
      </x:c>
      <x:c r="U12" s="31" t="n">
        <x:f>IF(T12="","",I12*T12)</x:f>
        <x:v>154938.8768722059</x:v>
      </x:c>
    </x:row>
    <x:row r="13" ht="18" customHeight="1">
      <x:c r="A13" s="24" t="str">
        <x:v>EEZ_622</x:v>
      </x:c>
      <x:c r="B13" s="24" t="str">
        <x:v>Azores Isl. (Portugal)</x:v>
      </x:c>
      <x:c r="C13" s="24" t="str">
        <x:v>EEZ</x:v>
      </x:c>
      <x:c r="D13" s="30" t="n">
        <x:v>2019</x:v>
      </x:c>
      <x:c r="E13" s="24" t="str">
        <x:v>Scorpaenidae</x:v>
      </x:c>
      <x:c r="F13" s="24" t="str">
        <x:v>Scorpionfishes, rockfishes</x:v>
      </x:c>
      <x:c r="G13" s="24" t="str">
        <x:v>Large reef assoc. fish (&gt;=90 cm)</x:v>
      </x:c>
      <x:c r="H13" s="24" t="str">
        <x:v>Scorpionfishes</x:v>
      </x:c>
      <x:c r="I13" s="31" t="n">
        <x:v>214</x:v>
      </x:c>
      <x:c r="J13" s="31" t="n">
        <x:v>214</x:v>
      </x:c>
      <x:c r="K13" s="31" t="n">
        <x:v>0</x:v>
      </x:c>
      <x:c r="L13" s="31" t="n">
        <x:v>214</x:v>
      </x:c>
      <x:c r="M13" s="31" t="n">
        <x:v>0</x:v>
      </x:c>
      <x:c r="N13" s="24" t="str">
        <x:v>scorpaenidae</x:v>
      </x:c>
      <x:c r="O13" s="32" t="n">
        <x:v>3.92</x:v>
      </x:c>
      <x:c r="P13" s="24" t="str">
        <x:v>exact_sea_around_us</x:v>
      </x:c>
      <x:c r="Q13" s="32" t="str">
        <x:v>Sea Around Us exploited organisms</x:v>
      </x:c>
      <x:c r="R13" s="24" t="str">
        <x:v>high</x:v>
      </x:c>
      <x:c r="S13" s="24" t="str">
        <x:v>Scorpaenidae</x:v>
      </x:c>
      <x:c r="T13" s="32" t="n">
        <x:f>IF(O13="","",(1/'Metadata'!$B$5)^(O13-1))</x:f>
        <x:v>831.7637711026708</x:v>
      </x:c>
      <x:c r="U13" s="31" t="n">
        <x:f>IF(T13="","",I13*T13)</x:f>
        <x:v>177997.44701597156</x:v>
      </x:c>
    </x:row>
    <x:row r="14" ht="18" customHeight="1">
      <x:c r="A14" s="24" t="str">
        <x:v>EEZ_622</x:v>
      </x:c>
      <x:c r="B14" s="24" t="str">
        <x:v>Azores Isl. (Portugal)</x:v>
      </x:c>
      <x:c r="C14" s="24" t="str">
        <x:v>EEZ</x:v>
      </x:c>
      <x:c r="D14" s="30" t="n">
        <x:v>2019</x:v>
      </x:c>
      <x:c r="E14" s="24" t="str">
        <x:v>Helicolenus dactylopterus</x:v>
      </x:c>
      <x:c r="F14" s="24" t="str">
        <x:v>Blackbelly rosefish</x:v>
      </x:c>
      <x:c r="G14" s="24" t="str">
        <x:v>Medium bathydemersals (30 - 89 cm)</x:v>
      </x:c>
      <x:c r="H14" s="24" t="str">
        <x:v>Scorpionfishes</x:v>
      </x:c>
      <x:c r="I14" s="31" t="n">
        <x:v>205.617805185</x:v>
      </x:c>
      <x:c r="J14" s="31" t="n">
        <x:v>205.3592625</x:v>
      </x:c>
      <x:c r="K14" s="31" t="n">
        <x:v>0.258542685</x:v>
      </x:c>
      <x:c r="L14" s="31" t="n">
        <x:v>191.71</x:v>
      </x:c>
      <x:c r="M14" s="31" t="n">
        <x:v>13.907805184999999</x:v>
      </x:c>
      <x:c r="N14" s="24" t="str">
        <x:v>helicolenus dactylopterus</x:v>
      </x:c>
      <x:c r="O14" s="32" t="n">
        <x:v>3.54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Helicolenus dactylopterus</x:v>
      </x:c>
      <x:c r="T14" s="32" t="n">
        <x:f>IF(O14="","",(1/'Metadata'!$B$5)^(O14-1))</x:f>
        <x:v>346.73685045253166</x:v>
      </x:c>
      <x:c r="U14" s="31" t="n">
        <x:f>IF(T14="","",I14*T14)</x:f>
        <x:v>71295.27016680913</x:v>
      </x:c>
    </x:row>
    <x:row r="15" ht="18" customHeight="1">
      <x:c r="A15" s="24" t="str">
        <x:v>EEZ_622</x:v>
      </x:c>
      <x:c r="B15" s="24" t="str">
        <x:v>Azores Isl. (Portugal)</x:v>
      </x:c>
      <x:c r="C15" s="24" t="str">
        <x:v>EEZ</x:v>
      </x:c>
      <x:c r="D15" s="30" t="n">
        <x:v>2019</x:v>
      </x:c>
      <x:c r="E15" s="24" t="str">
        <x:v>Sardina pilchardus</x:v>
      </x:c>
      <x:c r="F15" s="24" t="str">
        <x:v>European pilchard</x:v>
      </x:c>
      <x:c r="G15" s="24" t="str">
        <x:v>Small pelagics (&lt;30 cm)</x:v>
      </x:c>
      <x:c r="H15" s="24" t="str">
        <x:v>Herring-likes</x:v>
      </x:c>
      <x:c r="I15" s="31" t="n">
        <x:v>191.082329868</x:v>
      </x:c>
      <x:c r="J15" s="31" t="n">
        <x:v>182.01</x:v>
      </x:c>
      <x:c r="K15" s="31" t="n">
        <x:v>9.072329868</x:v>
      </x:c>
      <x:c r="L15" s="31" t="n">
        <x:v>47.6</x:v>
      </x:c>
      <x:c r="M15" s="31" t="n">
        <x:v>143.482329868</x:v>
      </x:c>
      <x:c r="N15" s="24" t="str">
        <x:v>sardina pilchardus</x:v>
      </x:c>
      <x:c r="O15" s="32" t="n">
        <x:v>3.06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Sardina pilchardus</x:v>
      </x:c>
      <x:c r="T15" s="32" t="n">
        <x:f>IF(O15="","",(1/'Metadata'!$B$5)^(O15-1))</x:f>
        <x:v>114.81536214968828</x:v>
      </x:c>
      <x:c r="U15" s="31" t="n">
        <x:f>IF(T15="","",I15*T15)</x:f>
        <x:v>21939.18690420062</x:v>
      </x:c>
    </x:row>
    <x:row r="16" ht="18" customHeight="1">
      <x:c r="A16" s="24" t="str">
        <x:v>EEZ_622</x:v>
      </x:c>
      <x:c r="B16" s="24" t="str">
        <x:v>Azores Isl. (Portugal)</x:v>
      </x:c>
      <x:c r="C16" s="24" t="str">
        <x:v>EEZ</x:v>
      </x:c>
      <x:c r="D16" s="30" t="n">
        <x:v>2019</x:v>
      </x:c>
      <x:c r="E16" s="24" t="str">
        <x:v>Beryx decadactylus</x:v>
      </x:c>
      <x:c r="F16" s="24" t="str">
        <x:v>Alfonsino</x:v>
      </x:c>
      <x:c r="G16" s="24" t="str">
        <x:v>Medium bathydemersals (30 - 89 cm)</x:v>
      </x:c>
      <x:c r="H16" s="24" t="str">
        <x:v>Other fishes &amp; inverts</x:v>
      </x:c>
      <x:c r="I16" s="31" t="n">
        <x:v>188.74089999999998</x:v>
      </x:c>
      <x:c r="J16" s="31" t="n">
        <x:v>187.610863554</x:v>
      </x:c>
      <x:c r="K16" s="31" t="n">
        <x:v>1.130036446</x:v>
      </x:c>
      <x:c r="L16" s="31" t="n">
        <x:v>185.5609</x:v>
      </x:c>
      <x:c r="M16" s="31" t="n">
        <x:v>3.18</x:v>
      </x:c>
      <x:c r="N16" s="24" t="str">
        <x:v>beryx decadactylus</x:v>
      </x:c>
      <x:c r="O16" s="32" t="n">
        <x:v>4.13</x:v>
      </x:c>
      <x:c r="P16" s="24" t="str">
        <x:v>exact_2020_supplement</x:v>
      </x:c>
      <x:c r="Q16" s="32" t="str">
        <x:v>2020 supplement MeanTL</x:v>
      </x:c>
      <x:c r="R16" s="24" t="str">
        <x:v>high</x:v>
      </x:c>
      <x:c r="S16" s="24" t="str">
        <x:v>Beryx decadactylus</x:v>
      </x:c>
      <x:c r="T16" s="32" t="n">
        <x:f>IF(O16="","",(1/'Metadata'!$B$5)^(O16-1))</x:f>
        <x:v>1348.9628825916532</x:v>
      </x:c>
      <x:c r="U16" s="31" t="n">
        <x:f>IF(T16="","",I16*T16)</x:f>
        <x:v>254604.46852694292</x:v>
      </x:c>
    </x:row>
    <x:row r="17" ht="18" customHeight="1">
      <x:c r="A17" s="24" t="str">
        <x:v>EEZ_622</x:v>
      </x:c>
      <x:c r="B17" s="24" t="str">
        <x:v>Azores Isl. (Portugal)</x:v>
      </x:c>
      <x:c r="C17" s="24" t="str">
        <x:v>EEZ</x:v>
      </x:c>
      <x:c r="D17" s="30" t="n">
        <x:v>2019</x:v>
      </x:c>
      <x:c r="E17" s="24" t="str">
        <x:v>Patella</x:v>
      </x:c>
      <x:c r="F17" s="24" t="str">
        <x:v>Limpets</x:v>
      </x:c>
      <x:c r="G17" s="24" t="str">
        <x:v>Other demersal invertebrates</x:v>
      </x:c>
      <x:c r="H17" s="24" t="str">
        <x:v>Molluscs</x:v>
      </x:c>
      <x:c r="I17" s="31" t="n">
        <x:v>169.803103321</x:v>
      </x:c>
      <x:c r="J17" s="31" t="n">
        <x:v>169.803103321</x:v>
      </x:c>
      <x:c r="K17" s="31" t="n">
        <x:v>0</x:v>
      </x:c>
      <x:c r="L17" s="31" t="n">
        <x:v>0</x:v>
      </x:c>
      <x:c r="M17" s="31" t="n">
        <x:v>169.803103321</x:v>
      </x:c>
      <x:c r="N17" s="24" t="str">
        <x:v>patella</x:v>
      </x:c>
      <x:c r="O17" s="32" t="n">
        <x:v>2</x:v>
      </x:c>
      <x:c r="P17" s="24" t="str">
        <x:v>exact_sea_around_us</x:v>
      </x:c>
      <x:c r="Q17" s="32" t="str">
        <x:v>Sea Around Us exploited organisms</x:v>
      </x:c>
      <x:c r="R17" s="24" t="str">
        <x:v>high</x:v>
      </x:c>
      <x:c r="S17" s="24" t="str">
        <x:v>Patella</x:v>
      </x:c>
      <x:c r="T17" s="32" t="n">
        <x:f>IF(O17="","",(1/'Metadata'!$B$5)^(O17-1))</x:f>
        <x:v>10</x:v>
      </x:c>
      <x:c r="U17" s="31" t="n">
        <x:f>IF(T17="","",I17*T17)</x:f>
        <x:v>1698.03103321</x:v>
      </x:c>
    </x:row>
    <x:row r="18" ht="18" customHeight="1">
      <x:c r="A18" s="24" t="str">
        <x:v>EEZ_622</x:v>
      </x:c>
      <x:c r="B18" s="24" t="str">
        <x:v>Azores Isl. (Portugal)</x:v>
      </x:c>
      <x:c r="C18" s="24" t="str">
        <x:v>EEZ</x:v>
      </x:c>
      <x:c r="D18" s="30" t="n">
        <x:v>2019</x:v>
      </x:c>
      <x:c r="E18" s="24" t="str">
        <x:v>Thunnus alalunga</x:v>
      </x:c>
      <x:c r="F18" s="24" t="str">
        <x:v>Albacore</x:v>
      </x:c>
      <x:c r="G18" s="24" t="str">
        <x:v>Large pelagics (&gt;=90 cm)</x:v>
      </x:c>
      <x:c r="H18" s="24" t="str">
        <x:v>Tuna &amp; billfishes</x:v>
      </x:c>
      <x:c r="I18" s="31" t="n">
        <x:v>141.4934476968</x:v>
      </x:c>
      <x:c r="J18" s="31" t="n">
        <x:v>141.4934476968</x:v>
      </x:c>
      <x:c r="K18" s="31" t="n">
        <x:v>0</x:v>
      </x:c>
      <x:c r="L18" s="31" t="n">
        <x:v>141.4858218988</x:v>
      </x:c>
      <x:c r="M18" s="31" t="n">
        <x:v>0.007625798</x:v>
      </x:c>
      <x:c r="N18" s="24" t="str">
        <x:v>thunnus alalunga</x:v>
      </x:c>
      <x:c r="O18" s="32" t="n">
        <x:v>4.3</x:v>
      </x:c>
      <x:c r="P18" s="24" t="str">
        <x:v>exact_2020_supplement</x:v>
      </x:c>
      <x:c r="Q18" s="32" t="str">
        <x:v>2020 supplement MeanTL</x:v>
      </x:c>
      <x:c r="R18" s="24" t="str">
        <x:v>high</x:v>
      </x:c>
      <x:c r="S18" s="24" t="str">
        <x:v>Thunnus alalunga</x:v>
      </x:c>
      <x:c r="T18" s="32" t="n">
        <x:f>IF(O18="","",(1/'Metadata'!$B$5)^(O18-1))</x:f>
        <x:v>1995.2623149688789</x:v>
      </x:c>
      <x:c r="U18" s="31" t="n">
        <x:f>IF(T18="","",I18*T18)</x:f>
        <x:v>282316.54400444514</x:v>
      </x:c>
    </x:row>
    <x:row r="19" ht="18" customHeight="1">
      <x:c r="A19" s="24" t="str">
        <x:v>EEZ_622</x:v>
      </x:c>
      <x:c r="B19" s="24" t="str">
        <x:v>Azores Isl. (Portugal)</x:v>
      </x:c>
      <x:c r="C19" s="24" t="str">
        <x:v>EEZ</x:v>
      </x:c>
      <x:c r="D19" s="30" t="n">
        <x:v>2019</x:v>
      </x:c>
      <x:c r="E19" s="24" t="str">
        <x:v>Beryx splendens</x:v>
      </x:c>
      <x:c r="F19" s="24" t="str">
        <x:v>Splendid alfonsino</x:v>
      </x:c>
      <x:c r="G19" s="24" t="str">
        <x:v>Medium benthopelagics (30 - 89 cm)</x:v>
      </x:c>
      <x:c r="H19" s="24" t="str">
        <x:v>Other fishes &amp; inverts</x:v>
      </x:c>
      <x:c r="I19" s="31" t="n">
        <x:v>138.313605464</x:v>
      </x:c>
      <x:c r="J19" s="31" t="n">
        <x:v>116.88804745099999</x:v>
      </x:c>
      <x:c r="K19" s="31" t="n">
        <x:v>21.425558013</x:v>
      </x:c>
      <x:c r="L19" s="31" t="n">
        <x:v>89.5003</x:v>
      </x:c>
      <x:c r="M19" s="31" t="n">
        <x:v>48.813305463999995</x:v>
      </x:c>
      <x:c r="N19" s="24" t="str">
        <x:v>beryx splendens</x:v>
      </x:c>
      <x:c r="O19" s="32" t="n">
        <x:v>4.27</x:v>
      </x:c>
      <x:c r="P19" s="24" t="str">
        <x:v>exact_2020_supplement</x:v>
      </x:c>
      <x:c r="Q19" s="32" t="str">
        <x:v>2020 supplement MeanTL</x:v>
      </x:c>
      <x:c r="R19" s="24" t="str">
        <x:v>high</x:v>
      </x:c>
      <x:c r="S19" s="24" t="str">
        <x:v>Beryx splendens</x:v>
      </x:c>
      <x:c r="T19" s="32" t="n">
        <x:f>IF(O19="","",(1/'Metadata'!$B$5)^(O19-1))</x:f>
        <x:v>1862.0871366628655</x:v>
      </x:c>
      <x:c r="U19" s="31" t="n">
        <x:f>IF(T19="","",I19*T19)</x:f>
        <x:v>257551.98555997704</x:v>
      </x:c>
    </x:row>
    <x:row r="20" ht="18" customHeight="1">
      <x:c r="A20" s="24" t="str">
        <x:v>EEZ_622</x:v>
      </x:c>
      <x:c r="B20" s="24" t="str">
        <x:v>Azores Isl. (Portugal)</x:v>
      </x:c>
      <x:c r="C20" s="24" t="str">
        <x:v>EEZ</x:v>
      </x:c>
      <x:c r="D20" s="30" t="n">
        <x:v>2019</x:v>
      </x:c>
      <x:c r="E20" s="24" t="str">
        <x:v>Mora moro</x:v>
      </x:c>
      <x:c r="F20" s="24" t="str">
        <x:v>Common mora</x:v>
      </x:c>
      <x:c r="G20" s="24" t="str">
        <x:v>Medium bathypelagics (30 - 89 cm)</x:v>
      </x:c>
      <x:c r="H20" s="24" t="str">
        <x:v>Cod-likes</x:v>
      </x:c>
      <x:c r="I20" s="31" t="n">
        <x:v>132.38763826</x:v>
      </x:c>
      <x:c r="J20" s="31" t="n">
        <x:v>125.163715746</x:v>
      </x:c>
      <x:c r="K20" s="31" t="n">
        <x:v>7.223922514</x:v>
      </x:c>
      <x:c r="L20" s="31" t="n">
        <x:v>124.25</x:v>
      </x:c>
      <x:c r="M20" s="31" t="n">
        <x:v>8.137638260000001</x:v>
      </x:c>
      <x:c r="N20" s="24" t="str">
        <x:v>mora moro</x:v>
      </x:c>
      <x:c r="O20" s="32" t="n">
        <x:v>3.75</x:v>
      </x:c>
      <x:c r="P20" s="24" t="str">
        <x:v>exact_2020_supplement</x:v>
      </x:c>
      <x:c r="Q20" s="32" t="str">
        <x:v>2020 supplement MeanTL</x:v>
      </x:c>
      <x:c r="R20" s="24" t="str">
        <x:v>high</x:v>
      </x:c>
      <x:c r="S20" s="24" t="str">
        <x:v>Mora moro</x:v>
      </x:c>
      <x:c r="T20" s="32" t="n">
        <x:f>IF(O20="","",(1/'Metadata'!$B$5)^(O20-1))</x:f>
        <x:v>562.341325190349</x:v>
      </x:c>
      <x:c r="U20" s="31" t="n">
        <x:f>IF(T20="","",I20*T20)</x:f>
        <x:v>74447.03993794895</x:v>
      </x:c>
    </x:row>
    <x:row r="21" ht="18" customHeight="1">
      <x:c r="A21" s="24" t="str">
        <x:v>EEZ_622</x:v>
      </x:c>
      <x:c r="B21" s="24" t="str">
        <x:v>Azores Isl. (Portugal)</x:v>
      </x:c>
      <x:c r="C21" s="24" t="str">
        <x:v>EEZ</x:v>
      </x:c>
      <x:c r="D21" s="30" t="n">
        <x:v>2019</x:v>
      </x:c>
      <x:c r="E21" s="24" t="str">
        <x:v>Balistes capriscus</x:v>
      </x:c>
      <x:c r="F21" s="24" t="str">
        <x:v>Grey triggerfish</x:v>
      </x:c>
      <x:c r="G21" s="24" t="str">
        <x:v>Medium benthopelagics (30 - 89 cm)</x:v>
      </x:c>
      <x:c r="H21" s="24" t="str">
        <x:v>Other fishes &amp; inverts</x:v>
      </x:c>
      <x:c r="I21" s="31" t="n">
        <x:v>124.991691885</x:v>
      </x:c>
      <x:c r="J21" s="31" t="n">
        <x:v>123.817376301</x:v>
      </x:c>
      <x:c r="K21" s="31" t="n">
        <x:v>1.174315584</x:v>
      </x:c>
      <x:c r="L21" s="31" t="n">
        <x:v>100.63</x:v>
      </x:c>
      <x:c r="M21" s="31" t="n">
        <x:v>24.361691885</x:v>
      </x:c>
      <x:c r="N21" s="24" t="str">
        <x:v>balistes capriscus</x:v>
      </x:c>
      <x:c r="O21" s="32" t="n">
        <x:v>4.06</x:v>
      </x:c>
      <x:c r="P21" s="24" t="str">
        <x:v>exact_2020_supplement</x:v>
      </x:c>
      <x:c r="Q21" s="32" t="str">
        <x:v>2020 supplement MeanTL</x:v>
      </x:c>
      <x:c r="R21" s="24" t="str">
        <x:v>high</x:v>
      </x:c>
      <x:c r="S21" s="24" t="str">
        <x:v>Balistes capriscus</x:v>
      </x:c>
      <x:c r="T21" s="32" t="n">
        <x:f>IF(O21="","",(1/'Metadata'!$B$5)^(O21-1))</x:f>
        <x:v>1148.1536214968817</x:v>
      </x:c>
      <x:c r="U21" s="31" t="n">
        <x:f>IF(T21="","",I21*T21)</x:f>
        <x:v>143509.66369478515</x:v>
      </x:c>
    </x:row>
    <x:row r="22" ht="18" customHeight="1">
      <x:c r="A22" s="24" t="str">
        <x:v>EEZ_622</x:v>
      </x:c>
      <x:c r="B22" s="24" t="str">
        <x:v>Azores Isl. (Portugal)</x:v>
      </x:c>
      <x:c r="C22" s="24" t="str">
        <x:v>EEZ</x:v>
      </x:c>
      <x:c r="D22" s="30" t="n">
        <x:v>2019</x:v>
      </x:c>
      <x:c r="E22" s="24" t="str">
        <x:v>Serranidae</x:v>
      </x:c>
      <x:c r="F22" s="24" t="str">
        <x:v>Basses, groupers, hinds</x:v>
      </x:c>
      <x:c r="G22" s="24" t="str">
        <x:v>Medium reef assoc. fish (30 - 89 cm)</x:v>
      </x:c>
      <x:c r="H22" s="24" t="str">
        <x:v>Perch-likes</x:v>
      </x:c>
      <x:c r="I22" s="31" t="n">
        <x:v>109.19631274</x:v>
      </x:c>
      <x:c r="J22" s="31" t="n">
        <x:v>109.03164613199999</x:v>
      </x:c>
      <x:c r="K22" s="31" t="n">
        <x:v>0.164666608</x:v>
      </x:c>
      <x:c r="L22" s="31" t="n">
        <x:v>31</x:v>
      </x:c>
      <x:c r="M22" s="31" t="n">
        <x:v>78.19631274</x:v>
      </x:c>
      <x:c r="N22" s="24" t="str">
        <x:v>serranidae</x:v>
      </x:c>
      <x:c r="O22" s="32" t="n">
        <x:v>3.98</x:v>
      </x:c>
      <x:c r="P22" s="24" t="str">
        <x:v>exact_sea_around_us</x:v>
      </x:c>
      <x:c r="Q22" s="32" t="str">
        <x:v>Sea Around Us exploited organisms</x:v>
      </x:c>
      <x:c r="R22" s="24" t="str">
        <x:v>high</x:v>
      </x:c>
      <x:c r="S22" s="24" t="str">
        <x:v>Serranidae</x:v>
      </x:c>
      <x:c r="T22" s="32" t="n">
        <x:f>IF(O22="","",(1/'Metadata'!$B$5)^(O22-1))</x:f>
        <x:v>954.992586021436</x:v>
      </x:c>
      <x:c r="U22" s="31" t="n">
        <x:f>IF(T22="","",I22*T22)</x:f>
        <x:v>104281.66908757806</x:v>
      </x:c>
    </x:row>
    <x:row r="23" ht="18" customHeight="1">
      <x:c r="A23" s="24" t="str">
        <x:v>EEZ_622</x:v>
      </x:c>
      <x:c r="B23" s="24" t="str">
        <x:v>Azores Isl. (Portugal)</x:v>
      </x:c>
      <x:c r="C23" s="24" t="str">
        <x:v>EEZ</x:v>
      </x:c>
      <x:c r="D23" s="30" t="n">
        <x:v>2019</x:v>
      </x:c>
      <x:c r="E23" s="24" t="str">
        <x:v>Isurus oxyrinchus</x:v>
      </x:c>
      <x:c r="F23" s="24" t="str">
        <x:v>Shortfin mako</x:v>
      </x:c>
      <x:c r="G23" s="24" t="str">
        <x:v>Large sharks (&gt;=90 cm)</x:v>
      </x:c>
      <x:c r="H23" s="24" t="str">
        <x:v>Sharks &amp; rays</x:v>
      </x:c>
      <x:c r="I23" s="31" t="n">
        <x:v>99.2784418931</x:v>
      </x:c>
      <x:c r="J23" s="31" t="n">
        <x:v>98.4420212571</x:v>
      </x:c>
      <x:c r="K23" s="31" t="n">
        <x:v>0.8364206359999999</x:v>
      </x:c>
      <x:c r="L23" s="31" t="n">
        <x:v>98.0889245961</x:v>
      </x:c>
      <x:c r="M23" s="31" t="n">
        <x:v>1.189517297</x:v>
      </x:c>
      <x:c r="N23" s="24" t="str">
        <x:v>isurus oxyrinchus</x:v>
      </x:c>
      <x:c r="O23" s="32" t="n">
        <x:v>4.5</x:v>
      </x:c>
      <x:c r="P23" s="24" t="str">
        <x:v>exact_2020_supplement</x:v>
      </x:c>
      <x:c r="Q23" s="32" t="str">
        <x:v>2020 supplement MeanTL</x:v>
      </x:c>
      <x:c r="R23" s="24" t="str">
        <x:v>high</x:v>
      </x:c>
      <x:c r="S23" s="24" t="str">
        <x:v>Isurus oxyrinchus</x:v>
      </x:c>
      <x:c r="T23" s="32" t="n">
        <x:f>IF(O23="","",(1/'Metadata'!$B$5)^(O23-1))</x:f>
        <x:v>3162.2776601683795</x:v>
      </x:c>
      <x:c r="U23" s="31" t="n">
        <x:f>IF(T23="","",I23*T23)</x:f>
        <x:v>313945.99893487466</x:v>
      </x:c>
    </x:row>
    <x:row r="24" ht="18" customHeight="1">
      <x:c r="A24" s="24" t="str">
        <x:v>EEZ_622</x:v>
      </x:c>
      <x:c r="B24" s="24" t="str">
        <x:v>Azores Isl. (Portugal)</x:v>
      </x:c>
      <x:c r="C24" s="24" t="str">
        <x:v>EEZ</x:v>
      </x:c>
      <x:c r="D24" s="30" t="n">
        <x:v>2019</x:v>
      </x:c>
      <x:c r="E24" s="24" t="str">
        <x:v>Phycis phycis</x:v>
      </x:c>
      <x:c r="F24" s="24" t="str">
        <x:v>Forkbeard</x:v>
      </x:c>
      <x:c r="G24" s="24" t="str">
        <x:v>Medium benthopelagics (30 - 89 cm)</x:v>
      </x:c>
      <x:c r="H24" s="24" t="str">
        <x:v>Cod-likes</x:v>
      </x:c>
      <x:c r="I24" s="31" t="n">
        <x:v>96.136078794</x:v>
      </x:c>
      <x:c r="J24" s="31" t="n">
        <x:v>91.13074735199999</x:v>
      </x:c>
      <x:c r="K24" s="31" t="n">
        <x:v>5.005331442</x:v>
      </x:c>
      <x:c r="L24" s="31" t="n">
        <x:v>83.773779767</x:v>
      </x:c>
      <x:c r="M24" s="31" t="n">
        <x:v>12.362299026999999</x:v>
      </x:c>
      <x:c r="N24" s="24" t="str">
        <x:v>phycis phycis</x:v>
      </x:c>
      <x:c r="O24" s="32" t="n">
        <x:v>4.25</x:v>
      </x:c>
      <x:c r="P24" s="24" t="str">
        <x:v>exact_2020_supplement</x:v>
      </x:c>
      <x:c r="Q24" s="32" t="str">
        <x:v>2020 supplement MeanTL</x:v>
      </x:c>
      <x:c r="R24" s="24" t="str">
        <x:v>high</x:v>
      </x:c>
      <x:c r="S24" s="24" t="str">
        <x:v>Phycis phycis</x:v>
      </x:c>
      <x:c r="T24" s="32" t="n">
        <x:f>IF(O24="","",(1/'Metadata'!$B$5)^(O24-1))</x:f>
        <x:v>1778.2794100389228</x:v>
      </x:c>
      <x:c r="U24" s="31" t="n">
        <x:f>IF(T24="","",I24*T24)</x:f>
        <x:v>170956.80948124971</x:v>
      </x:c>
    </x:row>
    <x:row r="25" ht="18" customHeight="1">
      <x:c r="A25" s="24" t="str">
        <x:v>EEZ_622</x:v>
      </x:c>
      <x:c r="B25" s="24" t="str">
        <x:v>Azores Isl. (Portugal)</x:v>
      </x:c>
      <x:c r="C25" s="24" t="str">
        <x:v>EEZ</x:v>
      </x:c>
      <x:c r="D25" s="30" t="n">
        <x:v>2019</x:v>
      </x:c>
      <x:c r="E25" s="24" t="str">
        <x:v>Aphanopus carbo</x:v>
      </x:c>
      <x:c r="F25" s="24" t="str">
        <x:v>Black scabbardfish</x:v>
      </x:c>
      <x:c r="G25" s="24" t="str">
        <x:v>Large benthopelagics (&gt;=90 cm)</x:v>
      </x:c>
      <x:c r="H25" s="24" t="str">
        <x:v>Perch-likes</x:v>
      </x:c>
      <x:c r="I25" s="31" t="n">
        <x:v>88.75</x:v>
      </x:c>
      <x:c r="J25" s="31" t="n">
        <x:v>84.70028461</x:v>
      </x:c>
      <x:c r="K25" s="31" t="n">
        <x:v>4.04971539</x:v>
      </x:c>
      <x:c r="L25" s="31" t="n">
        <x:v>46.38</x:v>
      </x:c>
      <x:c r="M25" s="31" t="n">
        <x:v>42.370000000000005</x:v>
      </x:c>
      <x:c r="N25" s="24" t="str">
        <x:v>aphanopus carbo</x:v>
      </x:c>
      <x:c r="O25" s="32" t="n">
        <x:v>4.48</x:v>
      </x:c>
      <x:c r="P25" s="24" t="str">
        <x:v>exact_2020_supplement</x:v>
      </x:c>
      <x:c r="Q25" s="32" t="str">
        <x:v>2020 supplement MeanTL</x:v>
      </x:c>
      <x:c r="R25" s="24" t="str">
        <x:v>high</x:v>
      </x:c>
      <x:c r="S25" s="24" t="str">
        <x:v>Aphanopus carbo</x:v>
      </x:c>
      <x:c r="T25" s="32" t="n">
        <x:f>IF(O25="","",(1/'Metadata'!$B$5)^(O25-1))</x:f>
        <x:v>3019.951720402019</x:v>
      </x:c>
      <x:c r="U25" s="31" t="n">
        <x:f>IF(T25="","",I25*T25)</x:f>
        <x:v>268020.7151856792</x:v>
      </x:c>
    </x:row>
    <x:row r="26" ht="18" customHeight="1">
      <x:c r="A26" s="24" t="str">
        <x:v>EEZ_622</x:v>
      </x:c>
      <x:c r="B26" s="24" t="str">
        <x:v>Azores Isl. (Portugal)</x:v>
      </x:c>
      <x:c r="C26" s="24" t="str">
        <x:v>EEZ</x:v>
      </x:c>
      <x:c r="D26" s="30" t="n">
        <x:v>2019</x:v>
      </x:c>
      <x:c r="E26" s="24" t="str">
        <x:v>Pagrus pagrus</x:v>
      </x:c>
      <x:c r="F26" s="24" t="str">
        <x:v>Red porgy</x:v>
      </x:c>
      <x:c r="G26" s="24" t="str">
        <x:v>Medium benthopelagics (30 - 89 cm)</x:v>
      </x:c>
      <x:c r="H26" s="24" t="str">
        <x:v>Perch-likes</x:v>
      </x:c>
      <x:c r="I26" s="31" t="n">
        <x:v>87.399973758</x:v>
      </x:c>
      <x:c r="J26" s="31" t="n">
        <x:v>86.35376456</x:v>
      </x:c>
      <x:c r="K26" s="31" t="n">
        <x:v>1.046209198</x:v>
      </x:c>
      <x:c r="L26" s="31" t="n">
        <x:v>77.85</x:v>
      </x:c>
      <x:c r="M26" s="31" t="n">
        <x:v>9.549973758</x:v>
      </x:c>
      <x:c r="N26" s="24" t="str">
        <x:v>pagrus pagrus</x:v>
      </x:c>
      <x:c r="O26" s="32" t="n">
        <x:v>3.86</x:v>
      </x:c>
      <x:c r="P26" s="24" t="str">
        <x:v>exact_2020_supplement</x:v>
      </x:c>
      <x:c r="Q26" s="32" t="str">
        <x:v>2020 supplement MeanTL</x:v>
      </x:c>
      <x:c r="R26" s="24" t="str">
        <x:v>high</x:v>
      </x:c>
      <x:c r="S26" s="24" t="str">
        <x:v>Pagrus pagrus</x:v>
      </x:c>
      <x:c r="T26" s="32" t="n">
        <x:f>IF(O26="","",(1/'Metadata'!$B$5)^(O26-1))</x:f>
        <x:v>724.4359600749899</x:v>
      </x:c>
      <x:c r="U26" s="31" t="n">
        <x:f>IF(T26="","",I26*T26)</x:f>
        <x:v>63315.683899905656</x:v>
      </x:c>
    </x:row>
    <x:row r="27" ht="18" customHeight="1">
      <x:c r="A27" s="24" t="str">
        <x:v>EEZ_622</x:v>
      </x:c>
      <x:c r="B27" s="24" t="str">
        <x:v>Azores Isl. (Portugal)</x:v>
      </x:c>
      <x:c r="C27" s="24" t="str">
        <x:v>EEZ</x:v>
      </x:c>
      <x:c r="D27" s="30" t="n">
        <x:v>2019</x:v>
      </x:c>
      <x:c r="E27" s="24" t="str">
        <x:v>Diplodus</x:v>
      </x:c>
      <x:c r="F27" s="24" t="str">
        <x:v>Two-toothed seabreams</x:v>
      </x:c>
      <x:c r="G27" s="24" t="str">
        <x:v>Medium benthopelagics (30 - 89 cm)</x:v>
      </x:c>
      <x:c r="H27" s="24" t="str">
        <x:v>Perch-likes</x:v>
      </x:c>
      <x:c r="I27" s="31" t="n">
        <x:v>82.7301438581</x:v>
      </x:c>
      <x:c r="J27" s="31" t="n">
        <x:v>75.6929914871</x:v>
      </x:c>
      <x:c r="K27" s="31" t="n">
        <x:v>7.037152371</x:v>
      </x:c>
      <x:c r="L27" s="31" t="n">
        <x:v>43.9867784891</x:v>
      </x:c>
      <x:c r="M27" s="31" t="n">
        <x:v>38.743365369</x:v>
      </x:c>
      <x:c r="N27" s="24" t="str">
        <x:v>diplodus</x:v>
      </x:c>
      <x:c r="O27" s="32" t="n">
        <x:v>2.97</x:v>
      </x:c>
      <x:c r="P27" s="24" t="str">
        <x:v>exact_sea_around_us</x:v>
      </x:c>
      <x:c r="Q27" s="32" t="str">
        <x:v>Sea Around Us exploited organisms</x:v>
      </x:c>
      <x:c r="R27" s="24" t="str">
        <x:v>high</x:v>
      </x:c>
      <x:c r="S27" s="24" t="str">
        <x:v>Diplodus</x:v>
      </x:c>
      <x:c r="T27" s="32" t="n">
        <x:f>IF(O27="","",(1/'Metadata'!$B$5)^(O27-1))</x:f>
        <x:v>93.32543007969915</x:v>
      </x:c>
      <x:c r="U27" s="31" t="n">
        <x:f>IF(T27="","",I27*T27)</x:f>
        <x:v>7720.826256112564</x:v>
      </x:c>
    </x:row>
    <x:row r="28" ht="18" customHeight="1">
      <x:c r="A28" s="24" t="str">
        <x:v>EEZ_622</x:v>
      </x:c>
      <x:c r="B28" s="24" t="str">
        <x:v>Azores Isl. (Portugal)</x:v>
      </x:c>
      <x:c r="C28" s="24" t="str">
        <x:v>EEZ</x:v>
      </x:c>
      <x:c r="D28" s="30" t="n">
        <x:v>2019</x:v>
      </x:c>
      <x:c r="E28" s="24" t="str">
        <x:v>Boops boops</x:v>
      </x:c>
      <x:c r="F28" s="24" t="str">
        <x:v>Bogue</x:v>
      </x:c>
      <x:c r="G28" s="24" t="str">
        <x:v>Medium demersals (30 - 89 cm)</x:v>
      </x:c>
      <x:c r="H28" s="24" t="str">
        <x:v>Perch-likes</x:v>
      </x:c>
      <x:c r="I28" s="31" t="n">
        <x:v>58.836444375</x:v>
      </x:c>
      <x:c r="J28" s="31" t="n">
        <x:v>37.500047896</x:v>
      </x:c>
      <x:c r="K28" s="31" t="n">
        <x:v>21.336396479</x:v>
      </x:c>
      <x:c r="L28" s="31" t="n">
        <x:v>34.58</x:v>
      </x:c>
      <x:c r="M28" s="31" t="n">
        <x:v>24.256444375</x:v>
      </x:c>
      <x:c r="N28" s="24" t="str">
        <x:v>boops boops</x:v>
      </x:c>
      <x:c r="O28" s="32" t="n">
        <x:v>2.79</x:v>
      </x:c>
      <x:c r="P28" s="24" t="str">
        <x:v>exact_2020_supplement</x:v>
      </x:c>
      <x:c r="Q28" s="32" t="str">
        <x:v>2020 supplement MeanTL</x:v>
      </x:c>
      <x:c r="R28" s="24" t="str">
        <x:v>high</x:v>
      </x:c>
      <x:c r="S28" s="24" t="str">
        <x:v>Boops boops</x:v>
      </x:c>
      <x:c r="T28" s="32" t="n">
        <x:f>IF(O28="","",(1/'Metadata'!$B$5)^(O28-1))</x:f>
        <x:v>61.65950018614822</x:v>
      </x:c>
      <x:c r="U28" s="31" t="n">
        <x:f>IF(T28="","",I28*T28)</x:f>
        <x:v>3627.825752892612</x:v>
      </x:c>
    </x:row>
    <x:row r="29" ht="18" customHeight="1">
      <x:c r="A29" s="24" t="str">
        <x:v>EEZ_622</x:v>
      </x:c>
      <x:c r="B29" s="24" t="str">
        <x:v>Azores Isl. (Portugal)</x:v>
      </x:c>
      <x:c r="C29" s="24" t="str">
        <x:v>EEZ</x:v>
      </x:c>
      <x:c r="D29" s="30" t="n">
        <x:v>2019</x:v>
      </x:c>
      <x:c r="E29" s="24" t="str">
        <x:v>Muraena helena</x:v>
      </x:c>
      <x:c r="F29" s="24" t="str">
        <x:v>Mediterranean moray</x:v>
      </x:c>
      <x:c r="G29" s="24" t="str">
        <x:v>Large reef assoc. fish (&gt;=90 cm)</x:v>
      </x:c>
      <x:c r="H29" s="24" t="str">
        <x:v>Other fishes &amp; inverts</x:v>
      </x:c>
      <x:c r="I29" s="31" t="n">
        <x:v>58.382760696999995</x:v>
      </x:c>
      <x:c r="J29" s="31" t="n">
        <x:v>50.341417504999995</x:v>
      </x:c>
      <x:c r="K29" s="31" t="n">
        <x:v>8.041343192</x:v>
      </x:c>
      <x:c r="L29" s="31" t="n">
        <x:v>35.61</x:v>
      </x:c>
      <x:c r="M29" s="31" t="n">
        <x:v>22.772760697</x:v>
      </x:c>
      <x:c r="N29" s="24" t="str">
        <x:v>muraena helena</x:v>
      </x:c>
      <x:c r="O29" s="32" t="n">
        <x:v>4.18</x:v>
      </x:c>
      <x:c r="P29" s="24" t="str">
        <x:v>exact_2020_supplement</x:v>
      </x:c>
      <x:c r="Q29" s="32" t="str">
        <x:v>2020 supplement MeanTL</x:v>
      </x:c>
      <x:c r="R29" s="24" t="str">
        <x:v>high</x:v>
      </x:c>
      <x:c r="S29" s="24" t="str">
        <x:v>Muraena helena</x:v>
      </x:c>
      <x:c r="T29" s="32" t="n">
        <x:f>IF(O29="","",(1/'Metadata'!$B$5)^(O29-1))</x:f>
        <x:v>1513.5612484362073</x:v>
      </x:c>
      <x:c r="U29" s="31" t="n">
        <x:f>IF(T29="","",I29*T29)</x:f>
        <x:v>88365.88416770365</x:v>
      </x:c>
    </x:row>
    <x:row r="30" ht="18" customHeight="1">
      <x:c r="A30" s="24" t="str">
        <x:v>EEZ_622</x:v>
      </x:c>
      <x:c r="B30" s="24" t="str">
        <x:v>Azores Isl. (Portugal)</x:v>
      </x:c>
      <x:c r="C30" s="24" t="str">
        <x:v>EEZ</x:v>
      </x:c>
      <x:c r="D30" s="30" t="n">
        <x:v>2019</x:v>
      </x:c>
      <x:c r="E30" s="24" t="str">
        <x:v>Epinephelus marginatus</x:v>
      </x:c>
      <x:c r="F30" s="24" t="str">
        <x:v>Dusky grouper</x:v>
      </x:c>
      <x:c r="G30" s="24" t="str">
        <x:v>Large reef assoc. fish (&gt;=90 cm)</x:v>
      </x:c>
      <x:c r="H30" s="24" t="str">
        <x:v>Perch-likes</x:v>
      </x:c>
      <x:c r="I30" s="31" t="n">
        <x:v>54.69234505199999</x:v>
      </x:c>
      <x:c r="J30" s="31" t="n">
        <x:v>54.69234505199999</x:v>
      </x:c>
      <x:c r="K30" s="31" t="n">
        <x:v>0</x:v>
      </x:c>
      <x:c r="L30" s="31" t="n">
        <x:v>35.629999999999995</x:v>
      </x:c>
      <x:c r="M30" s="31" t="n">
        <x:v>19.062345052</x:v>
      </x:c>
      <x:c r="N30" s="24" t="str">
        <x:v>epinephelus marginatus</x:v>
      </x:c>
      <x:c r="O30" s="32" t="n">
        <x:v>4.43</x:v>
      </x:c>
      <x:c r="P30" s="24" t="str">
        <x:v>exact_2020_supplement</x:v>
      </x:c>
      <x:c r="Q30" s="32" t="str">
        <x:v>2020 supplement MeanTL</x:v>
      </x:c>
      <x:c r="R30" s="24" t="str">
        <x:v>high</x:v>
      </x:c>
      <x:c r="S30" s="24" t="str">
        <x:v>Epinephelus marginatus</x:v>
      </x:c>
      <x:c r="T30" s="32" t="n">
        <x:f>IF(O30="","",(1/'Metadata'!$B$5)^(O30-1))</x:f>
        <x:v>2691.534803926914</x:v>
      </x:c>
      <x:c r="U30" s="31" t="n">
        <x:f>IF(T30="","",I30*T30)</x:f>
        <x:v>147206.3502158379</x:v>
      </x:c>
    </x:row>
    <x:row r="31" ht="18" customHeight="1">
      <x:c r="A31" s="24" t="str">
        <x:v>EEZ_622</x:v>
      </x:c>
      <x:c r="B31" s="24" t="str">
        <x:v>Azores Isl. (Portugal)</x:v>
      </x:c>
      <x:c r="C31" s="24" t="str">
        <x:v>EEZ</x:v>
      </x:c>
      <x:c r="D31" s="30" t="n">
        <x:v>2019</x:v>
      </x:c>
      <x:c r="E31" s="24" t="str">
        <x:v>Pagellus acarne</x:v>
      </x:c>
      <x:c r="F31" s="24" t="str">
        <x:v>Axillary seabream</x:v>
      </x:c>
      <x:c r="G31" s="24" t="str">
        <x:v>Medium benthopelagics (30 - 89 cm)</x:v>
      </x:c>
      <x:c r="H31" s="24" t="str">
        <x:v>Perch-likes</x:v>
      </x:c>
      <x:c r="I31" s="31" t="n">
        <x:v>54.490411667100005</x:v>
      </x:c>
      <x:c r="J31" s="31" t="n">
        <x:v>54.373370262099996</x:v>
      </x:c>
      <x:c r="K31" s="31" t="n">
        <x:v>0.117041405</x:v>
      </x:c>
      <x:c r="L31" s="31" t="n">
        <x:v>51.5626026351</x:v>
      </x:c>
      <x:c r="M31" s="31" t="n">
        <x:v>2.9278090320000003</x:v>
      </x:c>
      <x:c r="N31" s="24" t="str">
        <x:v>pagellus acarne</x:v>
      </x:c>
      <x:c r="O31" s="32" t="n">
        <x:v>3.81</x:v>
      </x:c>
      <x:c r="P31" s="24" t="str">
        <x:v>exact_2020_supplement</x:v>
      </x:c>
      <x:c r="Q31" s="32" t="str">
        <x:v>2020 supplement MeanTL</x:v>
      </x:c>
      <x:c r="R31" s="24" t="str">
        <x:v>high</x:v>
      </x:c>
      <x:c r="S31" s="24" t="str">
        <x:v>Pagellus acarne</x:v>
      </x:c>
      <x:c r="T31" s="32" t="n">
        <x:f>IF(O31="","",(1/'Metadata'!$B$5)^(O31-1))</x:f>
        <x:v>645.6542290346556</x:v>
      </x:c>
      <x:c r="U31" s="31" t="n">
        <x:f>IF(T31="","",I31*T31)</x:f>
        <x:v>35181.96473470246</x:v>
      </x:c>
    </x:row>
    <x:row r="32" ht="18" customHeight="1">
      <x:c r="A32" s="24" t="str">
        <x:v>EEZ_622</x:v>
      </x:c>
      <x:c r="B32" s="24" t="str">
        <x:v>Azores Isl. (Portugal)</x:v>
      </x:c>
      <x:c r="C32" s="24" t="str">
        <x:v>EEZ</x:v>
      </x:c>
      <x:c r="D32" s="30" t="n">
        <x:v>2019</x:v>
      </x:c>
      <x:c r="E32" s="24" t="str">
        <x:v>Coryphaena hippurus</x:v>
      </x:c>
      <x:c r="F32" s="24" t="str">
        <x:v>Common dolphinfish</x:v>
      </x:c>
      <x:c r="G32" s="24" t="str">
        <x:v>Large pelagics (&gt;=90 cm)</x:v>
      </x:c>
      <x:c r="H32" s="24" t="str">
        <x:v>Perch-likes</x:v>
      </x:c>
      <x:c r="I32" s="31" t="n">
        <x:v>52.1998906085</x:v>
      </x:c>
      <x:c r="J32" s="31" t="n">
        <x:v>52.1373953925</x:v>
      </x:c>
      <x:c r="K32" s="31" t="n">
        <x:v>0.062495216</x:v>
      </x:c>
      <x:c r="L32" s="31" t="n">
        <x:v>25.7743019985</x:v>
      </x:c>
      <x:c r="M32" s="31" t="n">
        <x:v>26.425588610000002</x:v>
      </x:c>
      <x:c r="N32" s="24" t="str">
        <x:v>coryphaena hippurus</x:v>
      </x:c>
      <x:c r="O32" s="32" t="n">
        <x:v>4.37</x:v>
      </x:c>
      <x:c r="P32" s="24" t="str">
        <x:v>exact_2020_supplement</x:v>
      </x:c>
      <x:c r="Q32" s="32" t="str">
        <x:v>2020 supplement MeanTL</x:v>
      </x:c>
      <x:c r="R32" s="24" t="str">
        <x:v>high</x:v>
      </x:c>
      <x:c r="S32" s="24" t="str">
        <x:v>Coryphaena hippurus</x:v>
      </x:c>
      <x:c r="T32" s="32" t="n">
        <x:f>IF(O32="","",(1/'Metadata'!$B$5)^(O32-1))</x:f>
        <x:v>2344.228815319923</x:v>
      </x:c>
      <x:c r="U32" s="31" t="n">
        <x:f>IF(T32="","",I32*T32)</x:f>
        <x:v>122368.48772099352</x:v>
      </x:c>
    </x:row>
    <x:row r="33" ht="18" customHeight="1">
      <x:c r="A33" s="24" t="str">
        <x:v>EEZ_622</x:v>
      </x:c>
      <x:c r="B33" s="24" t="str">
        <x:v>Azores Isl. (Portugal)</x:v>
      </x:c>
      <x:c r="C33" s="24" t="str">
        <x:v>EEZ</x:v>
      </x:c>
      <x:c r="D33" s="30" t="n">
        <x:v>2019</x:v>
      </x:c>
      <x:c r="E33" s="24" t="str">
        <x:v>Pseudocaranx dentex</x:v>
      </x:c>
      <x:c r="F33" s="24" t="str">
        <x:v>White trevally</x:v>
      </x:c>
      <x:c r="G33" s="24" t="str">
        <x:v>Large reef assoc. fish (&gt;=90 cm)</x:v>
      </x:c>
      <x:c r="H33" s="24" t="str">
        <x:v>Perch-likes</x:v>
      </x:c>
      <x:c r="I33" s="31" t="n">
        <x:v>48.32847848</x:v>
      </x:c>
      <x:c r="J33" s="31" t="n">
        <x:v>48.32847848</x:v>
      </x:c>
      <x:c r="K33" s="31" t="n">
        <x:v>0</x:v>
      </x:c>
      <x:c r="L33" s="31" t="n">
        <x:v>30.09</x:v>
      </x:c>
      <x:c r="M33" s="31" t="n">
        <x:v>18.238478479999998</x:v>
      </x:c>
      <x:c r="N33" s="24" t="str">
        <x:v>pseudocaranx dentex</x:v>
      </x:c>
      <x:c r="O33" s="32" t="n">
        <x:v>3.92</x:v>
      </x:c>
      <x:c r="P33" s="24" t="str">
        <x:v>exact_2020_supplement</x:v>
      </x:c>
      <x:c r="Q33" s="32" t="str">
        <x:v>2020 supplement MeanTL</x:v>
      </x:c>
      <x:c r="R33" s="24" t="str">
        <x:v>high</x:v>
      </x:c>
      <x:c r="S33" s="24" t="str">
        <x:v>Pseudocaranx dentex</x:v>
      </x:c>
      <x:c r="T33" s="32" t="n">
        <x:f>IF(O33="","",(1/'Metadata'!$B$5)^(O33-1))</x:f>
        <x:v>831.7637711026708</x:v>
      </x:c>
      <x:c r="U33" s="31" t="n">
        <x:f>IF(T33="","",I33*T33)</x:f>
        <x:v>40197.877512179075</x:v>
      </x:c>
    </x:row>
    <x:row r="34" ht="18" customHeight="1">
      <x:c r="A34" s="24" t="str">
        <x:v>EEZ_622</x:v>
      </x:c>
      <x:c r="B34" s="24" t="str">
        <x:v>Azores Isl. (Portugal)</x:v>
      </x:c>
      <x:c r="C34" s="24" t="str">
        <x:v>EEZ</x:v>
      </x:c>
      <x:c r="D34" s="30" t="n">
        <x:v>2019</x:v>
      </x:c>
      <x:c r="E34" s="24" t="str">
        <x:v>Elasmobranchii</x:v>
      </x:c>
      <x:c r="F34" s="24" t="str">
        <x:v>Sharks, rays, skates</x:v>
      </x:c>
      <x:c r="G34" s="24" t="str">
        <x:v>Large sharks (&gt;=90 cm)</x:v>
      </x:c>
      <x:c r="H34" s="24" t="str">
        <x:v>Sharks &amp; rays</x:v>
      </x:c>
      <x:c r="I34" s="31" t="n">
        <x:v>45.472858717</x:v>
      </x:c>
      <x:c r="J34" s="31" t="n">
        <x:v>37.176065892</x:v>
      </x:c>
      <x:c r="K34" s="31" t="n">
        <x:v>8.296792825</x:v>
      </x:c>
      <x:c r="L34" s="31" t="n">
        <x:v>27</x:v>
      </x:c>
      <x:c r="M34" s="31" t="n">
        <x:v>18.472858717</x:v>
      </x:c>
      <x:c r="N34" s="24" t="str">
        <x:v>elasmobranchii</x:v>
      </x:c>
      <x:c r="O34" s="32" t="n">
        <x:v>4.05</x:v>
      </x:c>
      <x:c r="P34" s="24" t="str">
        <x:v>exact_sea_around_us</x:v>
      </x:c>
      <x:c r="Q34" s="32" t="str">
        <x:v>Sea Around Us exploited organisms</x:v>
      </x:c>
      <x:c r="R34" s="24" t="str">
        <x:v>high</x:v>
      </x:c>
      <x:c r="S34" s="24" t="str">
        <x:v>Elasmobranchii</x:v>
      </x:c>
      <x:c r="T34" s="32" t="n">
        <x:f>IF(O34="","",(1/'Metadata'!$B$5)^(O34-1))</x:f>
        <x:v>1122.018454301963</x:v>
      </x:c>
      <x:c r="U34" s="31" t="n">
        <x:f>IF(T34="","",I34*T34)</x:f>
        <x:v>51021.38665033988</x:v>
      </x:c>
    </x:row>
    <x:row r="35" ht="18" customHeight="1">
      <x:c r="A35" s="24" t="str">
        <x:v>EEZ_622</x:v>
      </x:c>
      <x:c r="B35" s="24" t="str">
        <x:v>Azores Isl. (Portugal)</x:v>
      </x:c>
      <x:c r="C35" s="24" t="str">
        <x:v>EEZ</x:v>
      </x:c>
      <x:c r="D35" s="30" t="n">
        <x:v>2019</x:v>
      </x:c>
      <x:c r="E35" s="24" t="str">
        <x:v>Alopias superciliosus</x:v>
      </x:c>
      <x:c r="F35" s="24" t="str">
        <x:v>Bigeye thresher</x:v>
      </x:c>
      <x:c r="G35" s="24" t="str">
        <x:v>Large sharks (&gt;=90 cm)</x:v>
      </x:c>
      <x:c r="H35" s="24" t="str">
        <x:v>Sharks &amp; rays</x:v>
      </x:c>
      <x:c r="I35" s="31" t="n">
        <x:v>41.5468353341</x:v>
      </x:c>
      <x:c r="J35" s="31" t="n">
        <x:v>26.457982640100003</x:v>
      </x:c>
      <x:c r="K35" s="31" t="n">
        <x:v>15.088852694</x:v>
      </x:c>
      <x:c r="L35" s="31" t="n">
        <x:v>0</x:v>
      </x:c>
      <x:c r="M35" s="31" t="n">
        <x:v>41.5468353341</x:v>
      </x:c>
      <x:c r="N35" s="24" t="str">
        <x:v>alopias superciliosus</x:v>
      </x:c>
      <x:c r="O35" s="32" t="n">
        <x:v>4.51</x:v>
      </x:c>
      <x:c r="P35" s="24" t="str">
        <x:v>exact_2020_supplement</x:v>
      </x:c>
      <x:c r="Q35" s="32" t="str">
        <x:v>2020 supplement MeanTL</x:v>
      </x:c>
      <x:c r="R35" s="24" t="str">
        <x:v>high</x:v>
      </x:c>
      <x:c r="S35" s="24" t="str">
        <x:v>Alopias superciliosus</x:v>
      </x:c>
      <x:c r="T35" s="32" t="n">
        <x:f>IF(O35="","",(1/'Metadata'!$B$5)^(O35-1))</x:f>
        <x:v>3235.936569296281</x:v>
      </x:c>
      <x:c r="U35" s="31" t="n">
        <x:f>IF(T35="","",I35*T35)</x:f>
        <x:v>134442.92379614507</x:v>
      </x:c>
    </x:row>
    <x:row r="36" ht="18" customHeight="1">
      <x:c r="A36" s="24" t="str">
        <x:v>EEZ_622</x:v>
      </x:c>
      <x:c r="B36" s="24" t="str">
        <x:v>Azores Isl. (Portugal)</x:v>
      </x:c>
      <x:c r="C36" s="24" t="str">
        <x:v>EEZ</x:v>
      </x:c>
      <x:c r="D36" s="30" t="n">
        <x:v>2019</x:v>
      </x:c>
      <x:c r="E36" s="24" t="str">
        <x:v>Pontinus kuhlii</x:v>
      </x:c>
      <x:c r="F36" s="24" t="str">
        <x:v>Offshore rockfish</x:v>
      </x:c>
      <x:c r="G36" s="24" t="str">
        <x:v>Medium bathydemersals (30 - 89 cm)</x:v>
      </x:c>
      <x:c r="H36" s="24" t="str">
        <x:v>Scorpionfishes</x:v>
      </x:c>
      <x:c r="I36" s="31" t="n">
        <x:v>39.441203432</x:v>
      </x:c>
      <x:c r="J36" s="31" t="n">
        <x:v>38.248546454</x:v>
      </x:c>
      <x:c r="K36" s="31" t="n">
        <x:v>1.192656978</x:v>
      </x:c>
      <x:c r="L36" s="31" t="n">
        <x:v>29.14</x:v>
      </x:c>
      <x:c r="M36" s="31" t="n">
        <x:v>10.301203432000001</x:v>
      </x:c>
      <x:c r="N36" s="24" t="str">
        <x:v>pontinus kuhlii</x:v>
      </x:c>
      <x:c r="O36" s="32" t="n">
        <x:v>4.05</x:v>
      </x:c>
      <x:c r="P36" s="24" t="str">
        <x:v>exact_2020_supplement</x:v>
      </x:c>
      <x:c r="Q36" s="32" t="str">
        <x:v>2020 supplement MeanTL</x:v>
      </x:c>
      <x:c r="R36" s="24" t="str">
        <x:v>high</x:v>
      </x:c>
      <x:c r="S36" s="24" t="str">
        <x:v>Pontinus kuhlii</x:v>
      </x:c>
      <x:c r="T36" s="32" t="n">
        <x:f>IF(O36="","",(1/'Metadata'!$B$5)^(O36-1))</x:f>
        <x:v>1122.018454301963</x:v>
      </x:c>
      <x:c r="U36" s="31" t="n">
        <x:f>IF(T36="","",I36*T36)</x:f>
        <x:v>44253.75811058192</x:v>
      </x:c>
    </x:row>
    <x:row r="37" ht="18" customHeight="1">
      <x:c r="A37" s="24" t="str">
        <x:v>EEZ_622</x:v>
      </x:c>
      <x:c r="B37" s="24" t="str">
        <x:v>Azores Isl. (Portugal)</x:v>
      </x:c>
      <x:c r="C37" s="24" t="str">
        <x:v>EEZ</x:v>
      </x:c>
      <x:c r="D37" s="30" t="n">
        <x:v>2019</x:v>
      </x:c>
      <x:c r="E37" s="24" t="str">
        <x:v>Seriola dumerili</x:v>
      </x:c>
      <x:c r="F37" s="24" t="str">
        <x:v>Greater amberjack</x:v>
      </x:c>
      <x:c r="G37" s="24" t="str">
        <x:v>Large reef assoc. fish (&gt;=90 cm)</x:v>
      </x:c>
      <x:c r="H37" s="24" t="str">
        <x:v>Perch-likes</x:v>
      </x:c>
      <x:c r="I37" s="31" t="n">
        <x:v>33.330434464999996</x:v>
      </x:c>
      <x:c r="J37" s="31" t="n">
        <x:v>33.330434464999996</x:v>
      </x:c>
      <x:c r="K37" s="31" t="n">
        <x:v>0</x:v>
      </x:c>
      <x:c r="L37" s="31" t="n">
        <x:v>33.33</x:v>
      </x:c>
      <x:c r="M37" s="31" t="n">
        <x:v>0.000434465</x:v>
      </x:c>
      <x:c r="N37" s="24" t="str">
        <x:v>seriola dumerili</x:v>
      </x:c>
      <x:c r="O37" s="32" t="n">
        <x:v>4.5</x:v>
      </x:c>
      <x:c r="P37" s="24" t="str">
        <x:v>exact_2020_supplement</x:v>
      </x:c>
      <x:c r="Q37" s="32" t="str">
        <x:v>2020 supplement MeanTL</x:v>
      </x:c>
      <x:c r="R37" s="24" t="str">
        <x:v>high</x:v>
      </x:c>
      <x:c r="S37" s="24" t="str">
        <x:v>Seriola dumerili</x:v>
      </x:c>
      <x:c r="T37" s="32" t="n">
        <x:f>IF(O37="","",(1/'Metadata'!$B$5)^(O37-1))</x:f>
        <x:v>3162.2776601683795</x:v>
      </x:c>
      <x:c r="U37" s="31" t="n">
        <x:f>IF(T37="","",I37*T37)</x:f>
        <x:v>105400.08831237571</x:v>
      </x:c>
    </x:row>
    <x:row r="38" ht="18" customHeight="1">
      <x:c r="A38" s="24" t="str">
        <x:v>EEZ_622</x:v>
      </x:c>
      <x:c r="B38" s="24" t="str">
        <x:v>Azores Isl. (Portugal)</x:v>
      </x:c>
      <x:c r="C38" s="24" t="str">
        <x:v>EEZ</x:v>
      </x:c>
      <x:c r="D38" s="30" t="n">
        <x:v>2019</x:v>
      </x:c>
      <x:c r="E38" s="24" t="str">
        <x:v>Labrus bergylta</x:v>
      </x:c>
      <x:c r="F38" s="24" t="str">
        <x:v>Ballan wrasse</x:v>
      </x:c>
      <x:c r="G38" s="24" t="str">
        <x:v>Medium reef assoc. fish (30 - 89 cm)</x:v>
      </x:c>
      <x:c r="H38" s="24" t="str">
        <x:v>Perch-likes</x:v>
      </x:c>
      <x:c r="I38" s="31" t="n">
        <x:v>33.040721106999996</x:v>
      </x:c>
      <x:c r="J38" s="31" t="n">
        <x:v>32.911796799</x:v>
      </x:c>
      <x:c r="K38" s="31" t="n">
        <x:v>0.128924308</x:v>
      </x:c>
      <x:c r="L38" s="31" t="n">
        <x:v>5.96</x:v>
      </x:c>
      <x:c r="M38" s="31" t="n">
        <x:v>27.080721107000002</x:v>
      </x:c>
      <x:c r="N38" s="24" t="str">
        <x:v>labrus bergylta</x:v>
      </x:c>
      <x:c r="O38" s="32" t="n">
        <x:v>3.2</x:v>
      </x:c>
      <x:c r="P38" s="24" t="str">
        <x:v>exact_2020_supplement</x:v>
      </x:c>
      <x:c r="Q38" s="32" t="str">
        <x:v>2020 supplement MeanTL</x:v>
      </x:c>
      <x:c r="R38" s="24" t="str">
        <x:v>high</x:v>
      </x:c>
      <x:c r="S38" s="24" t="str">
        <x:v>Labrus bergylta</x:v>
      </x:c>
      <x:c r="T38" s="32" t="n">
        <x:f>IF(O38="","",(1/'Metadata'!$B$5)^(O38-1))</x:f>
        <x:v>158.48931924611142</x:v>
      </x:c>
      <x:c r="U38" s="31" t="n">
        <x:f>IF(T38="","",I38*T38)</x:f>
        <x:v>5236.601395649054</x:v>
      </x:c>
    </x:row>
    <x:row r="39" ht="18" customHeight="1">
      <x:c r="A39" s="24" t="str">
        <x:v>EEZ_622</x:v>
      </x:c>
      <x:c r="B39" s="24" t="str">
        <x:v>Azores Isl. (Portugal)</x:v>
      </x:c>
      <x:c r="C39" s="24" t="str">
        <x:v>EEZ</x:v>
      </x:c>
      <x:c r="D39" s="30" t="n">
        <x:v>2019</x:v>
      </x:c>
      <x:c r="E39" s="24" t="str">
        <x:v>Serranus</x:v>
      </x:c>
      <x:c r="F39" s="24" t="str">
        <x:v>Groupers</x:v>
      </x:c>
      <x:c r="G39" s="24" t="str">
        <x:v>Small reef assoc. fish (&lt;30 cm)</x:v>
      </x:c>
      <x:c r="H39" s="24" t="str">
        <x:v>Perch-likes</x:v>
      </x:c>
      <x:c r="I39" s="31" t="n">
        <x:v>31.669999999999998</x:v>
      </x:c>
      <x:c r="J39" s="31" t="n">
        <x:v>31.669999999999998</x:v>
      </x:c>
      <x:c r="K39" s="31" t="n">
        <x:v>0</x:v>
      </x:c>
      <x:c r="L39" s="31" t="n">
        <x:v>31.669999999999998</x:v>
      </x:c>
      <x:c r="M39" s="31" t="n">
        <x:v>0</x:v>
      </x:c>
      <x:c r="N39" s="24" t="str">
        <x:v>serranus</x:v>
      </x:c>
      <x:c r="O39" s="32" t="n">
        <x:v>3.73</x:v>
      </x:c>
      <x:c r="P39" s="24" t="str">
        <x:v>exact_sea_around_us</x:v>
      </x:c>
      <x:c r="Q39" s="32" t="str">
        <x:v>Sea Around Us exploited organisms</x:v>
      </x:c>
      <x:c r="R39" s="24" t="str">
        <x:v>high</x:v>
      </x:c>
      <x:c r="S39" s="24" t="str">
        <x:v>Serranus</x:v>
      </x:c>
      <x:c r="T39" s="32" t="n">
        <x:f>IF(O39="","",(1/'Metadata'!$B$5)^(O39-1))</x:f>
        <x:v>537.0317963702527</x:v>
      </x:c>
      <x:c r="U39" s="31" t="n">
        <x:f>IF(T39="","",I39*T39)</x:f>
        <x:v>17007.7969910459</x:v>
      </x:c>
    </x:row>
    <x:row r="40" ht="18" customHeight="1">
      <x:c r="A40" s="24" t="str">
        <x:v>EEZ_622</x:v>
      </x:c>
      <x:c r="B40" s="24" t="str">
        <x:v>Azores Isl. (Portugal)</x:v>
      </x:c>
      <x:c r="C40" s="24" t="str">
        <x:v>EEZ</x:v>
      </x:c>
      <x:c r="D40" s="30" t="n">
        <x:v>2019</x:v>
      </x:c>
      <x:c r="E40" s="24" t="str">
        <x:v>Chelon labrosus</x:v>
      </x:c>
      <x:c r="F40" s="24" t="str">
        <x:v>Thicklip grey mullet</x:v>
      </x:c>
      <x:c r="G40" s="24" t="str">
        <x:v>Medium demersals (30 - 89 cm)</x:v>
      </x:c>
      <x:c r="H40" s="24" t="str">
        <x:v>Perch-likes</x:v>
      </x:c>
      <x:c r="I40" s="31" t="n">
        <x:v>27.78644408</x:v>
      </x:c>
      <x:c r="J40" s="31" t="n">
        <x:v>27.227748112</x:v>
      </x:c>
      <x:c r="K40" s="31" t="n">
        <x:v>0.558695968</x:v>
      </x:c>
      <x:c r="L40" s="31" t="n">
        <x:v>15.66</x:v>
      </x:c>
      <x:c r="M40" s="31" t="n">
        <x:v>12.12644408</x:v>
      </x:c>
      <x:c r="N40" s="24" t="str">
        <x:v>chelon labrosus</x:v>
      </x:c>
      <x:c r="O40" s="32" t="n">
        <x:v>2.59</x:v>
      </x:c>
      <x:c r="P40" s="24" t="str">
        <x:v>exact_2020_supplement</x:v>
      </x:c>
      <x:c r="Q40" s="32" t="str">
        <x:v>2020 supplement MeanTL</x:v>
      </x:c>
      <x:c r="R40" s="24" t="str">
        <x:v>high</x:v>
      </x:c>
      <x:c r="S40" s="24" t="str">
        <x:v>Chelon labrosus</x:v>
      </x:c>
      <x:c r="T40" s="32" t="n">
        <x:f>IF(O40="","",(1/'Metadata'!$B$5)^(O40-1))</x:f>
        <x:v>38.904514499428046</x:v>
      </x:c>
      <x:c r="U40" s="31" t="n">
        <x:f>IF(T40="","",I40*T40)</x:f>
        <x:v>1081.0181165979066</x:v>
      </x:c>
    </x:row>
    <x:row r="41" ht="18" customHeight="1">
      <x:c r="A41" s="24" t="str">
        <x:v>EEZ_622</x:v>
      </x:c>
      <x:c r="B41" s="24" t="str">
        <x:v>Azores Isl. (Portugal)</x:v>
      </x:c>
      <x:c r="C41" s="24" t="str">
        <x:v>EEZ</x:v>
      </x:c>
      <x:c r="D41" s="30" t="n">
        <x:v>2019</x:v>
      </x:c>
      <x:c r="E41" s="24" t="str">
        <x:v>Istiophorus albicans</x:v>
      </x:c>
      <x:c r="F41" s="24" t="str">
        <x:v>Atlantic sailfish</x:v>
      </x:c>
      <x:c r="G41" s="24" t="str">
        <x:v>Large pelagics (&gt;=90 cm)</x:v>
      </x:c>
      <x:c r="H41" s="24" t="str">
        <x:v>Tuna &amp; billfishes</x:v>
      </x:c>
      <x:c r="I41" s="31" t="n">
        <x:v>22.6720147243</x:v>
      </x:c>
      <x:c r="J41" s="31" t="n">
        <x:v>22.6720147243</x:v>
      </x:c>
      <x:c r="K41" s="31" t="n">
        <x:v>0</x:v>
      </x:c>
      <x:c r="L41" s="31" t="n">
        <x:v>22.6720147243</x:v>
      </x:c>
      <x:c r="M41" s="31" t="n">
        <x:v>0</x:v>
      </x:c>
      <x:c r="N41" s="24" t="str">
        <x:v>istiophorus albicans</x:v>
      </x:c>
      <x:c r="O41" s="32" t="n">
        <x:v>4.5</x:v>
      </x:c>
      <x:c r="P41" s="24" t="str">
        <x:v>exact_2020_supplement</x:v>
      </x:c>
      <x:c r="Q41" s="32" t="str">
        <x:v>2020 supplement MeanTL</x:v>
      </x:c>
      <x:c r="R41" s="24" t="str">
        <x:v>high</x:v>
      </x:c>
      <x:c r="S41" s="24" t="str">
        <x:v>Istiophorus albicans</x:v>
      </x:c>
      <x:c r="T41" s="32" t="n">
        <x:f>IF(O41="","",(1/'Metadata'!$B$5)^(O41-1))</x:f>
        <x:v>3162.2776601683795</x:v>
      </x:c>
      <x:c r="U41" s="31" t="n">
        <x:f>IF(T41="","",I41*T41)</x:f>
        <x:v>71695.20567366245</x:v>
      </x:c>
    </x:row>
    <x:row r="42" ht="18" customHeight="1">
      <x:c r="A42" s="24" t="str">
        <x:v>EEZ_622</x:v>
      </x:c>
      <x:c r="B42" s="24" t="str">
        <x:v>Azores Isl. (Portugal)</x:v>
      </x:c>
      <x:c r="C42" s="24" t="str">
        <x:v>EEZ</x:v>
      </x:c>
      <x:c r="D42" s="30" t="n">
        <x:v>2019</x:v>
      </x:c>
      <x:c r="E42" s="24" t="str">
        <x:v>Miscellaneous marine crustaceans</x:v>
      </x:c>
      <x:c r="F42" s="24" t="str">
        <x:v>Marine crabs, shrimps, lobsters nei</x:v>
      </x:c>
      <x:c r="G42" s="24" t="str">
        <x:v>Shrimps</x:v>
      </x:c>
      <x:c r="H42" s="24" t="str">
        <x:v>Crustaceans</x:v>
      </x:c>
      <x:c r="I42" s="31" t="n">
        <x:v>20</x:v>
      </x:c>
      <x:c r="J42" s="31" t="n">
        <x:v>20</x:v>
      </x:c>
      <x:c r="K42" s="31" t="n">
        <x:v>0</x:v>
      </x:c>
      <x:c r="L42" s="31" t="n">
        <x:v>20</x:v>
      </x:c>
      <x:c r="M42" s="31" t="n">
        <x:v>0</x:v>
      </x:c>
      <x:c r="N42" s="24" t="str">
        <x:v>miscellaneous marine crustaceans</x:v>
      </x:c>
      <x:c r="O42" s="32" t="n">
        <x:v>2.7</x:v>
      </x:c>
      <x:c r="P42" s="24" t="str">
        <x:v>exact_sea_around_us</x:v>
      </x:c>
      <x:c r="Q42" s="32" t="str">
        <x:v>Sea Around Us exploited organisms</x:v>
      </x:c>
      <x:c r="R42" s="24" t="str">
        <x:v>high</x:v>
      </x:c>
      <x:c r="S42" s="24" t="str">
        <x:v>Miscellaneous marine crustaceans</x:v>
      </x:c>
      <x:c r="T42" s="32" t="n">
        <x:f>IF(O42="","",(1/'Metadata'!$B$5)^(O42-1))</x:f>
        <x:v>50.11872336272725</x:v>
      </x:c>
      <x:c r="U42" s="31" t="n">
        <x:f>IF(T42="","",I42*T42)</x:f>
        <x:v>1002.374467254545</x:v>
      </x:c>
    </x:row>
    <x:row r="43" ht="18" customHeight="1">
      <x:c r="A43" s="24" t="str">
        <x:v>EEZ_622</x:v>
      </x:c>
      <x:c r="B43" s="24" t="str">
        <x:v>Azores Isl. (Portugal)</x:v>
      </x:c>
      <x:c r="C43" s="24" t="str">
        <x:v>EEZ</x:v>
      </x:c>
      <x:c r="D43" s="30" t="n">
        <x:v>2019</x:v>
      </x:c>
      <x:c r="E43" s="24" t="str">
        <x:v>Lepidocybium flavobrunneum</x:v>
      </x:c>
      <x:c r="F43" s="24" t="str">
        <x:v>Escolar</x:v>
      </x:c>
      <x:c r="G43" s="24" t="str">
        <x:v>Large bathypelagics (&gt;=90 cm)</x:v>
      </x:c>
      <x:c r="H43" s="24" t="str">
        <x:v>Perch-likes</x:v>
      </x:c>
      <x:c r="I43" s="31" t="n">
        <x:v>17.6558089739</x:v>
      </x:c>
      <x:c r="J43" s="31" t="n">
        <x:v>17.3972196349</x:v>
      </x:c>
      <x:c r="K43" s="31" t="n">
        <x:v>0.25858933900000003</x:v>
      </x:c>
      <x:c r="L43" s="31" t="n">
        <x:v>11.9259234</x:v>
      </x:c>
      <x:c r="M43" s="31" t="n">
        <x:v>5.7298855739</x:v>
      </x:c>
      <x:c r="N43" s="24" t="str">
        <x:v>lepidocybium flavobrunneum</x:v>
      </x:c>
      <x:c r="O43" s="32" t="n">
        <x:v>4.34</x:v>
      </x:c>
      <x:c r="P43" s="24" t="str">
        <x:v>exact_2020_supplement</x:v>
      </x:c>
      <x:c r="Q43" s="32" t="str">
        <x:v>2020 supplement MeanTL</x:v>
      </x:c>
      <x:c r="R43" s="24" t="str">
        <x:v>high</x:v>
      </x:c>
      <x:c r="S43" s="24" t="str">
        <x:v>Lepidocybium flavobrunneum</x:v>
      </x:c>
      <x:c r="T43" s="32" t="n">
        <x:f>IF(O43="","",(1/'Metadata'!$B$5)^(O43-1))</x:f>
        <x:v>2187.761623949552</x:v>
      </x:c>
      <x:c r="U43" s="31" t="n">
        <x:f>IF(T43="","",I43*T43)</x:f>
        <x:v>38626.701312882535</x:v>
      </x:c>
    </x:row>
    <x:row r="44" ht="18" customHeight="1">
      <x:c r="A44" s="24" t="str">
        <x:v>EEZ_622</x:v>
      </x:c>
      <x:c r="B44" s="24" t="str">
        <x:v>Azores Isl. (Portugal)</x:v>
      </x:c>
      <x:c r="C44" s="24" t="str">
        <x:v>EEZ</x:v>
      </x:c>
      <x:c r="D44" s="30" t="n">
        <x:v>2019</x:v>
      </x:c>
      <x:c r="E44" s="24" t="str">
        <x:v>Mugilidae</x:v>
      </x:c>
      <x:c r="F44" s="24" t="str">
        <x:v>Mullets, grey mullets</x:v>
      </x:c>
      <x:c r="G44" s="24" t="str">
        <x:v>Medium reef assoc. fish (30 - 89 cm)</x:v>
      </x:c>
      <x:c r="H44" s="24" t="str">
        <x:v>Perch-likes</x:v>
      </x:c>
      <x:c r="I44" s="31" t="n">
        <x:v>16</x:v>
      </x:c>
      <x:c r="J44" s="31" t="n">
        <x:v>16</x:v>
      </x:c>
      <x:c r="K44" s="31" t="n">
        <x:v>0</x:v>
      </x:c>
      <x:c r="L44" s="31" t="n">
        <x:v>16</x:v>
      </x:c>
      <x:c r="M44" s="31" t="n">
        <x:v>0</x:v>
      </x:c>
      <x:c r="N44" s="24" t="str">
        <x:v>mugilidae</x:v>
      </x:c>
      <x:c r="O44" s="32" t="n">
        <x:v>2.53</x:v>
      </x:c>
      <x:c r="P44" s="24" t="str">
        <x:v>exact_sea_around_us</x:v>
      </x:c>
      <x:c r="Q44" s="32" t="str">
        <x:v>Sea Around Us exploited organisms</x:v>
      </x:c>
      <x:c r="R44" s="24" t="str">
        <x:v>high</x:v>
      </x:c>
      <x:c r="S44" s="24" t="str">
        <x:v>Mugilidae</x:v>
      </x:c>
      <x:c r="T44" s="32" t="n">
        <x:f>IF(O44="","",(1/'Metadata'!$B$5)^(O44-1))</x:f>
        <x:v>33.88441561392024</x:v>
      </x:c>
      <x:c r="U44" s="31" t="n">
        <x:f>IF(T44="","",I44*T44)</x:f>
        <x:v>542.1506498227238</x:v>
      </x:c>
    </x:row>
    <x:row r="45" ht="18" customHeight="1">
      <x:c r="A45" s="24" t="str">
        <x:v>EEZ_622</x:v>
      </x:c>
      <x:c r="B45" s="24" t="str">
        <x:v>Azores Isl. (Portugal)</x:v>
      </x:c>
      <x:c r="C45" s="24" t="str">
        <x:v>EEZ</x:v>
      </x:c>
      <x:c r="D45" s="30" t="n">
        <x:v>2019</x:v>
      </x:c>
      <x:c r="E45" s="24" t="str">
        <x:v>Hexanchus griseus</x:v>
      </x:c>
      <x:c r="F45" s="24" t="str">
        <x:v>Bluntnose sixgill shark</x:v>
      </x:c>
      <x:c r="G45" s="24" t="str">
        <x:v>Large sharks (&gt;=90 cm)</x:v>
      </x:c>
      <x:c r="H45" s="24" t="str">
        <x:v>Sharks &amp; rays</x:v>
      </x:c>
      <x:c r="I45" s="31" t="n">
        <x:v>12.74</x:v>
      </x:c>
      <x:c r="J45" s="31" t="n">
        <x:v>6.742247883</x:v>
      </x:c>
      <x:c r="K45" s="31" t="n">
        <x:v>5.997752117</x:v>
      </x:c>
      <x:c r="L45" s="31" t="n">
        <x:v>0.13</x:v>
      </x:c>
      <x:c r="M45" s="31" t="n">
        <x:v>12.61</x:v>
      </x:c>
      <x:c r="N45" s="24" t="str">
        <x:v>hexanchus griseus</x:v>
      </x:c>
      <x:c r="O45" s="32" t="n">
        <x:v>4.48</x:v>
      </x:c>
      <x:c r="P45" s="24" t="str">
        <x:v>exact_2020_supplement</x:v>
      </x:c>
      <x:c r="Q45" s="32" t="str">
        <x:v>2020 supplement MeanTL</x:v>
      </x:c>
      <x:c r="R45" s="24" t="str">
        <x:v>high</x:v>
      </x:c>
      <x:c r="S45" s="24" t="str">
        <x:v>Hexanchus griseus</x:v>
      </x:c>
      <x:c r="T45" s="32" t="n">
        <x:f>IF(O45="","",(1/'Metadata'!$B$5)^(O45-1))</x:f>
        <x:v>3019.951720402019</x:v>
      </x:c>
      <x:c r="U45" s="31" t="n">
        <x:f>IF(T45="","",I45*T45)</x:f>
        <x:v>38474.184917921724</x:v>
      </x:c>
    </x:row>
    <x:row r="46" ht="18" customHeight="1">
      <x:c r="A46" s="24" t="str">
        <x:v>EEZ_622</x:v>
      </x:c>
      <x:c r="B46" s="24" t="str">
        <x:v>Azores Isl. (Portugal)</x:v>
      </x:c>
      <x:c r="C46" s="24" t="str">
        <x:v>EEZ</x:v>
      </x:c>
      <x:c r="D46" s="30" t="n">
        <x:v>2019</x:v>
      </x:c>
      <x:c r="E46" s="24" t="str">
        <x:v>Etmopterus spinax</x:v>
      </x:c>
      <x:c r="F46" s="24" t="str">
        <x:v>Velvet belly</x:v>
      </x:c>
      <x:c r="G46" s="24" t="str">
        <x:v>Small to medium sharks (&lt;90 cm)</x:v>
      </x:c>
      <x:c r="H46" s="24" t="str">
        <x:v>Sharks &amp; rays</x:v>
      </x:c>
      <x:c r="I46" s="31" t="n">
        <x:v>12.53</x:v>
      </x:c>
      <x:c r="J46" s="31" t="n">
        <x:v>0</x:v>
      </x:c>
      <x:c r="K46" s="31" t="n">
        <x:v>12.53</x:v>
      </x:c>
      <x:c r="L46" s="31" t="n">
        <x:v>0</x:v>
      </x:c>
      <x:c r="M46" s="31" t="n">
        <x:v>12.53</x:v>
      </x:c>
      <x:c r="N46" s="24" t="str">
        <x:v>etmopterus spinax</x:v>
      </x:c>
      <x:c r="O46" s="32" t="n">
        <x:v>4.14</x:v>
      </x:c>
      <x:c r="P46" s="24" t="str">
        <x:v>exact_2020_supplement</x:v>
      </x:c>
      <x:c r="Q46" s="32" t="str">
        <x:v>2020 supplement MeanTL</x:v>
      </x:c>
      <x:c r="R46" s="24" t="str">
        <x:v>high</x:v>
      </x:c>
      <x:c r="S46" s="24" t="str">
        <x:v>Etmopterus spinax</x:v>
      </x:c>
      <x:c r="T46" s="32" t="n">
        <x:f>IF(O46="","",(1/'Metadata'!$B$5)^(O46-1))</x:f>
        <x:v>1380.3842646028838</x:v>
      </x:c>
      <x:c r="U46" s="31" t="n">
        <x:f>IF(T46="","",I46*T46)</x:f>
        <x:v>17296.214835474133</x:v>
      </x:c>
    </x:row>
    <x:row r="47" ht="18" customHeight="1">
      <x:c r="A47" s="24" t="str">
        <x:v>EEZ_622</x:v>
      </x:c>
      <x:c r="B47" s="24" t="str">
        <x:v>Azores Isl. (Portugal)</x:v>
      </x:c>
      <x:c r="C47" s="24" t="str">
        <x:v>EEZ</x:v>
      </x:c>
      <x:c r="D47" s="30" t="n">
        <x:v>2019</x:v>
      </x:c>
      <x:c r="E47" s="24" t="str">
        <x:v>Ruvettus pretiosus</x:v>
      </x:c>
      <x:c r="F47" s="24" t="str">
        <x:v>Oilfish</x:v>
      </x:c>
      <x:c r="G47" s="24" t="str">
        <x:v>Large benthopelagics (&gt;=90 cm)</x:v>
      </x:c>
      <x:c r="H47" s="24" t="str">
        <x:v>Perch-likes</x:v>
      </x:c>
      <x:c r="I47" s="31" t="n">
        <x:v>8.6686079248</x:v>
      </x:c>
      <x:c r="J47" s="31" t="n">
        <x:v>7.8537320388000005</x:v>
      </x:c>
      <x:c r="K47" s="31" t="n">
        <x:v>0.814875886</x:v>
      </x:c>
      <x:c r="L47" s="31" t="n">
        <x:v>7.1972334688</x:v>
      </x:c>
      <x:c r="M47" s="31" t="n">
        <x:v>1.471374456</x:v>
      </x:c>
      <x:c r="N47" s="24" t="str">
        <x:v>ruvettus pretiosus</x:v>
      </x:c>
      <x:c r="O47" s="32" t="n">
        <x:v>4.18</x:v>
      </x:c>
      <x:c r="P47" s="24" t="str">
        <x:v>exact_2020_supplement</x:v>
      </x:c>
      <x:c r="Q47" s="32" t="str">
        <x:v>2020 supplement MeanTL</x:v>
      </x:c>
      <x:c r="R47" s="24" t="str">
        <x:v>high</x:v>
      </x:c>
      <x:c r="S47" s="24" t="str">
        <x:v>Ruvettus pretiosus</x:v>
      </x:c>
      <x:c r="T47" s="32" t="n">
        <x:f>IF(O47="","",(1/'Metadata'!$B$5)^(O47-1))</x:f>
        <x:v>1513.5612484362073</x:v>
      </x:c>
      <x:c r="U47" s="31" t="n">
        <x:f>IF(T47="","",I47*T47)</x:f>
        <x:v>13120.469032864288</x:v>
      </x:c>
    </x:row>
    <x:row r="48" ht="18" customHeight="1">
      <x:c r="A48" s="24" t="str">
        <x:v>EEZ_622</x:v>
      </x:c>
      <x:c r="B48" s="24" t="str">
        <x:v>Azores Isl. (Portugal)</x:v>
      </x:c>
      <x:c r="C48" s="24" t="str">
        <x:v>EEZ</x:v>
      </x:c>
      <x:c r="D48" s="30" t="n">
        <x:v>2019</x:v>
      </x:c>
      <x:c r="E48" s="24" t="str">
        <x:v>Sphyrna zygaena</x:v>
      </x:c>
      <x:c r="F48" s="24" t="str">
        <x:v>Smooth hammerhead</x:v>
      </x:c>
      <x:c r="G48" s="24" t="str">
        <x:v>Large sharks (&gt;=90 cm)</x:v>
      </x:c>
      <x:c r="H48" s="24" t="str">
        <x:v>Sharks &amp; rays</x:v>
      </x:c>
      <x:c r="I48" s="31" t="n">
        <x:v>8.505927591899999</x:v>
      </x:c>
      <x:c r="J48" s="31" t="n">
        <x:v>0.8659275919</x:v>
      </x:c>
      <x:c r="K48" s="31" t="n">
        <x:v>7.64</x:v>
      </x:c>
      <x:c r="L48" s="31" t="n">
        <x:v>0</x:v>
      </x:c>
      <x:c r="M48" s="31" t="n">
        <x:v>8.505927591899999</x:v>
      </x:c>
      <x:c r="N48" s="24" t="str">
        <x:v>sphyrna zygaena</x:v>
      </x:c>
      <x:c r="O48" s="32" t="n">
        <x:v>4.94</x:v>
      </x:c>
      <x:c r="P48" s="24" t="str">
        <x:v>exact_2020_supplement</x:v>
      </x:c>
      <x:c r="Q48" s="32" t="str">
        <x:v>2020 supplement MeanTL</x:v>
      </x:c>
      <x:c r="R48" s="24" t="str">
        <x:v>high</x:v>
      </x:c>
      <x:c r="S48" s="24" t="str">
        <x:v>Sphyrna zygaena</x:v>
      </x:c>
      <x:c r="T48" s="32" t="n">
        <x:f>IF(O48="","",(1/'Metadata'!$B$5)^(O48-1))</x:f>
        <x:v>8709.635899560813</x:v>
      </x:c>
      <x:c r="U48" s="31" t="n">
        <x:f>IF(T48="","",I48*T48)</x:f>
        <x:v>74083.53231347709</x:v>
      </x:c>
    </x:row>
    <x:row r="49" ht="18" customHeight="1">
      <x:c r="A49" s="24" t="str">
        <x:v>EEZ_622</x:v>
      </x:c>
      <x:c r="B49" s="24" t="str">
        <x:v>Azores Isl. (Portugal)</x:v>
      </x:c>
      <x:c r="C49" s="24" t="str">
        <x:v>EEZ</x:v>
      </x:c>
      <x:c r="D49" s="30" t="n">
        <x:v>2019</x:v>
      </x:c>
      <x:c r="E49" s="24" t="str">
        <x:v>Zeus faber</x:v>
      </x:c>
      <x:c r="F49" s="24" t="str">
        <x:v>John dory</x:v>
      </x:c>
      <x:c r="G49" s="24" t="str">
        <x:v>Medium benthopelagics (30 - 89 cm)</x:v>
      </x:c>
      <x:c r="H49" s="24" t="str">
        <x:v>Other fishes &amp; inverts</x:v>
      </x:c>
      <x:c r="I49" s="31" t="n">
        <x:v>8.042766489</x:v>
      </x:c>
      <x:c r="J49" s="31" t="n">
        <x:v>8.042766489</x:v>
      </x:c>
      <x:c r="K49" s="31" t="n">
        <x:v>0</x:v>
      </x:c>
      <x:c r="L49" s="31" t="n">
        <x:v>7.8</x:v>
      </x:c>
      <x:c r="M49" s="31" t="n">
        <x:v>0.242766489</x:v>
      </x:c>
      <x:c r="N49" s="24" t="str">
        <x:v>zeus faber</x:v>
      </x:c>
      <x:c r="O49" s="32" t="n">
        <x:v>4.5</x:v>
      </x:c>
      <x:c r="P49" s="24" t="str">
        <x:v>exact_2020_supplement</x:v>
      </x:c>
      <x:c r="Q49" s="32" t="str">
        <x:v>2020 supplement MeanTL</x:v>
      </x:c>
      <x:c r="R49" s="24" t="str">
        <x:v>high</x:v>
      </x:c>
      <x:c r="S49" s="24" t="str">
        <x:v>Zeus faber</x:v>
      </x:c>
      <x:c r="T49" s="32" t="n">
        <x:f>IF(O49="","",(1/'Metadata'!$B$5)^(O49-1))</x:f>
        <x:v>3162.2776601683795</x:v>
      </x:c>
      <x:c r="U49" s="31" t="n">
        <x:f>IF(T49="","",I49*T49)</x:f>
        <x:v>25433.460794115574</x:v>
      </x:c>
    </x:row>
    <x:row r="50" ht="18" customHeight="1">
      <x:c r="A50" s="24" t="str">
        <x:v>EEZ_622</x:v>
      </x:c>
      <x:c r="B50" s="24" t="str">
        <x:v>Azores Isl. (Portugal)</x:v>
      </x:c>
      <x:c r="C50" s="24" t="str">
        <x:v>EEZ</x:v>
      </x:c>
      <x:c r="D50" s="30" t="n">
        <x:v>2019</x:v>
      </x:c>
      <x:c r="E50" s="24" t="str">
        <x:v>Seriola rivoliana</x:v>
      </x:c>
      <x:c r="F50" s="24" t="str">
        <x:v>Longfin yellowtail</x:v>
      </x:c>
      <x:c r="G50" s="24" t="str">
        <x:v>Large benthopelagics (&gt;=90 cm)</x:v>
      </x:c>
      <x:c r="H50" s="24" t="str">
        <x:v>Perch-likes</x:v>
      </x:c>
      <x:c r="I50" s="31" t="n">
        <x:v>7.290604792999999</x:v>
      </x:c>
      <x:c r="J50" s="31" t="n">
        <x:v>7.290604792999999</x:v>
      </x:c>
      <x:c r="K50" s="31" t="n">
        <x:v>0</x:v>
      </x:c>
      <x:c r="L50" s="31" t="n">
        <x:v>5.239999999999999</x:v>
      </x:c>
      <x:c r="M50" s="31" t="n">
        <x:v>2.050604793</x:v>
      </x:c>
      <x:c r="N50" s="24" t="str">
        <x:v>seriola rivoliana</x:v>
      </x:c>
      <x:c r="O50" s="32" t="n">
        <x:v>4.45</x:v>
      </x:c>
      <x:c r="P50" s="24" t="str">
        <x:v>exact_2020_supplement</x:v>
      </x:c>
      <x:c r="Q50" s="32" t="str">
        <x:v>2020 supplement MeanTL</x:v>
      </x:c>
      <x:c r="R50" s="24" t="str">
        <x:v>high</x:v>
      </x:c>
      <x:c r="S50" s="24" t="str">
        <x:v>Seriola rivoliana</x:v>
      </x:c>
      <x:c r="T50" s="32" t="n">
        <x:f>IF(O50="","",(1/'Metadata'!$B$5)^(O50-1))</x:f>
        <x:v>2818.382931264455</x:v>
      </x:c>
      <x:c r="U50" s="31" t="n">
        <x:f>IF(T50="","",I50*T50)</x:f>
        <x:v>20547.71610718602</x:v>
      </x:c>
    </x:row>
    <x:row r="51" ht="18" customHeight="1">
      <x:c r="A51" s="24" t="str">
        <x:v>EEZ_622</x:v>
      </x:c>
      <x:c r="B51" s="24" t="str">
        <x:v>Azores Isl. (Portugal)</x:v>
      </x:c>
      <x:c r="C51" s="24" t="str">
        <x:v>EEZ</x:v>
      </x:c>
      <x:c r="D51" s="30" t="n">
        <x:v>2019</x:v>
      </x:c>
      <x:c r="E51" s="24" t="str">
        <x:v>Lophius piscatorius</x:v>
      </x:c>
      <x:c r="F51" s="24" t="str">
        <x:v>Angler</x:v>
      </x:c>
      <x:c r="G51" s="24" t="str">
        <x:v>Large bathydemersals (&gt;=90 cm)</x:v>
      </x:c>
      <x:c r="H51" s="24" t="str">
        <x:v>Other fishes &amp; inverts</x:v>
      </x:c>
      <x:c r="I51" s="31" t="n">
        <x:v>7.0508</x:v>
      </x:c>
      <x:c r="J51" s="31" t="n">
        <x:v>6.975747715</x:v>
      </x:c>
      <x:c r="K51" s="31" t="n">
        <x:v>0.075052285</x:v>
      </x:c>
      <x:c r="L51" s="31" t="n">
        <x:v>6.8308</x:v>
      </x:c>
      <x:c r="M51" s="31" t="n">
        <x:v>0.22</x:v>
      </x:c>
      <x:c r="N51" s="24" t="str">
        <x:v>lophius piscatorius</x:v>
      </x:c>
      <x:c r="O51" s="32" t="n">
        <x:v>4.45</x:v>
      </x:c>
      <x:c r="P51" s="24" t="str">
        <x:v>exact_2020_supplement</x:v>
      </x:c>
      <x:c r="Q51" s="32" t="str">
        <x:v>2020 supplement MeanTL</x:v>
      </x:c>
      <x:c r="R51" s="24" t="str">
        <x:v>high</x:v>
      </x:c>
      <x:c r="S51" s="24" t="str">
        <x:v>Lophius piscatorius</x:v>
      </x:c>
      <x:c r="T51" s="32" t="n">
        <x:f>IF(O51="","",(1/'Metadata'!$B$5)^(O51-1))</x:f>
        <x:v>2818.382931264455</x:v>
      </x:c>
      <x:c r="U51" s="31" t="n">
        <x:f>IF(T51="","",I51*T51)</x:f>
        <x:v>19871.85437175942</x:v>
      </x:c>
    </x:row>
    <x:row r="52" ht="18" customHeight="1">
      <x:c r="A52" s="24" t="str">
        <x:v>EEZ_622</x:v>
      </x:c>
      <x:c r="B52" s="24" t="str">
        <x:v>Azores Isl. (Portugal)</x:v>
      </x:c>
      <x:c r="C52" s="24" t="str">
        <x:v>EEZ</x:v>
      </x:c>
      <x:c r="D52" s="30" t="n">
        <x:v>2019</x:v>
      </x:c>
      <x:c r="E52" s="24" t="str">
        <x:v>Deania calceus</x:v>
      </x:c>
      <x:c r="F52" s="24" t="str">
        <x:v>Birdbeak dogfish</x:v>
      </x:c>
      <x:c r="G52" s="24" t="str">
        <x:v>Large sharks (&gt;=90 cm)</x:v>
      </x:c>
      <x:c r="H52" s="24" t="str">
        <x:v>Sharks &amp; rays</x:v>
      </x:c>
      <x:c r="I52" s="31" t="n">
        <x:v>6.406823301</x:v>
      </x:c>
      <x:c r="J52" s="31" t="n">
        <x:v>3.0852434279999996</x:v>
      </x:c>
      <x:c r="K52" s="31" t="n">
        <x:v>3.321579873</x:v>
      </x:c>
      <x:c r="L52" s="31" t="n">
        <x:v>0</x:v>
      </x:c>
      <x:c r="M52" s="31" t="n">
        <x:v>6.406823301</x:v>
      </x:c>
      <x:c r="N52" s="24" t="str">
        <x:v>deania calceus</x:v>
      </x:c>
      <x:c r="O52" s="32" t="n">
        <x:v>4.33</x:v>
      </x:c>
      <x:c r="P52" s="24" t="str">
        <x:v>exact_sea_around_us</x:v>
      </x:c>
      <x:c r="Q52" s="32" t="str">
        <x:v>Sea Around Us exploited organisms</x:v>
      </x:c>
      <x:c r="R52" s="24" t="str">
        <x:v>high</x:v>
      </x:c>
      <x:c r="S52" s="24" t="str">
        <x:v>Deania calceus</x:v>
      </x:c>
      <x:c r="T52" s="32" t="n">
        <x:f>IF(O52="","",(1/'Metadata'!$B$5)^(O52-1))</x:f>
        <x:v>2137.9620895022326</x:v>
      </x:c>
      <x:c r="U52" s="31" t="n">
        <x:f>IF(T52="","",I52*T52)</x:f>
        <x:v>13697.545331677551</x:v>
      </x:c>
    </x:row>
    <x:row r="53" ht="18" customHeight="1">
      <x:c r="A53" s="24" t="str">
        <x:v>EEZ_622</x:v>
      </x:c>
      <x:c r="B53" s="24" t="str">
        <x:v>Azores Isl. (Portugal)</x:v>
      </x:c>
      <x:c r="C53" s="24" t="str">
        <x:v>EEZ</x:v>
      </x:c>
      <x:c r="D53" s="30" t="n">
        <x:v>2019</x:v>
      </x:c>
      <x:c r="E53" s="24" t="str">
        <x:v>Decapoda</x:v>
      </x:c>
      <x:c r="F53" s="24" t="str">
        <x:v>Crabs, lobsters, shrimps</x:v>
      </x:c>
      <x:c r="G53" s="24" t="str">
        <x:v>Lobsters, crabs</x:v>
      </x:c>
      <x:c r="H53" s="24" t="str">
        <x:v>Crustaceans</x:v>
      </x:c>
      <x:c r="I53" s="31" t="n">
        <x:v>6.2617432090000005</x:v>
      </x:c>
      <x:c r="J53" s="31" t="n">
        <x:v>6.2617432090000005</x:v>
      </x:c>
      <x:c r="K53" s="31" t="n">
        <x:v>0</x:v>
      </x:c>
      <x:c r="L53" s="31" t="n">
        <x:v>3</x:v>
      </x:c>
      <x:c r="M53" s="31" t="n">
        <x:v>3.2617432089999996</x:v>
      </x:c>
      <x:c r="N53" s="24" t="str">
        <x:v>decapoda</x:v>
      </x:c>
      <x:c r="O53" s="32" t="n">
        <x:v>3.43</x:v>
      </x:c>
      <x:c r="P53" s="24" t="str">
        <x:v>exact_sea_around_us</x:v>
      </x:c>
      <x:c r="Q53" s="32" t="str">
        <x:v>Sea Around Us exploited organisms</x:v>
      </x:c>
      <x:c r="R53" s="24" t="str">
        <x:v>high</x:v>
      </x:c>
      <x:c r="S53" s="24" t="str">
        <x:v>Decapoda</x:v>
      </x:c>
      <x:c r="T53" s="32" t="n">
        <x:f>IF(O53="","",(1/'Metadata'!$B$5)^(O53-1))</x:f>
        <x:v>269.1534803926917</x:v>
      </x:c>
      <x:c r="U53" s="31" t="n">
        <x:f>IF(T53="","",I53*T53)</x:f>
        <x:v>1685.369978027652</x:v>
      </x:c>
    </x:row>
    <x:row r="54" ht="18" customHeight="1">
      <x:c r="A54" s="24" t="str">
        <x:v>EEZ_622</x:v>
      </x:c>
      <x:c r="B54" s="24" t="str">
        <x:v>Azores Isl. (Portugal)</x:v>
      </x:c>
      <x:c r="C54" s="24" t="str">
        <x:v>EEZ</x:v>
      </x:c>
      <x:c r="D54" s="30" t="n">
        <x:v>2019</x:v>
      </x:c>
      <x:c r="E54" s="24" t="str">
        <x:v>Sphyraena</x:v>
      </x:c>
      <x:c r="F54" s="24" t="str">
        <x:v>Barracudas, sennets</x:v>
      </x:c>
      <x:c r="G54" s="24" t="str">
        <x:v>Large pelagics (&gt;=90 cm)</x:v>
      </x:c>
      <x:c r="H54" s="24" t="str">
        <x:v>Perch-likes</x:v>
      </x:c>
      <x:c r="I54" s="31" t="n">
        <x:v>5.35</x:v>
      </x:c>
      <x:c r="J54" s="31" t="n">
        <x:v>5.35</x:v>
      </x:c>
      <x:c r="K54" s="31" t="n">
        <x:v>0</x:v>
      </x:c>
      <x:c r="L54" s="31" t="n">
        <x:v>5.35</x:v>
      </x:c>
      <x:c r="M54" s="31" t="n">
        <x:v>0</x:v>
      </x:c>
      <x:c r="N54" s="24" t="str">
        <x:v>sphyraena</x:v>
      </x:c>
      <x:c r="O54" s="32" t="n">
        <x:v>4.4</x:v>
      </x:c>
      <x:c r="P54" s="24" t="str">
        <x:v>exact_sea_around_us</x:v>
      </x:c>
      <x:c r="Q54" s="32" t="str">
        <x:v>Sea Around Us exploited organisms</x:v>
      </x:c>
      <x:c r="R54" s="24" t="str">
        <x:v>high</x:v>
      </x:c>
      <x:c r="S54" s="24" t="str">
        <x:v>Sphyraena</x:v>
      </x:c>
      <x:c r="T54" s="32" t="n">
        <x:f>IF(O54="","",(1/'Metadata'!$B$5)^(O54-1))</x:f>
        <x:v>2511.886431509582</x:v>
      </x:c>
      <x:c r="U54" s="31" t="n">
        <x:f>IF(T54="","",I54*T54)</x:f>
        <x:v>13438.592408576264</x:v>
      </x:c>
    </x:row>
    <x:row r="55" ht="18" customHeight="1">
      <x:c r="A55" s="24" t="str">
        <x:v>EEZ_622</x:v>
      </x:c>
      <x:c r="B55" s="24" t="str">
        <x:v>Azores Isl. (Portugal)</x:v>
      </x:c>
      <x:c r="C55" s="24" t="str">
        <x:v>EEZ</x:v>
      </x:c>
      <x:c r="D55" s="30" t="n">
        <x:v>2019</x:v>
      </x:c>
      <x:c r="E55" s="24" t="str">
        <x:v>Thunnus thynnus</x:v>
      </x:c>
      <x:c r="F55" s="24" t="str">
        <x:v>Atlantic bluefin tuna</x:v>
      </x:c>
      <x:c r="G55" s="24" t="str">
        <x:v>Large pelagics (&gt;=90 cm)</x:v>
      </x:c>
      <x:c r="H55" s="24" t="str">
        <x:v>Tuna &amp; billfishes</x:v>
      </x:c>
      <x:c r="I55" s="31" t="n">
        <x:v>5.0501358574</x:v>
      </x:c>
      <x:c r="J55" s="31" t="n">
        <x:v>5.0501358574</x:v>
      </x:c>
      <x:c r="K55" s="31" t="n">
        <x:v>0</x:v>
      </x:c>
      <x:c r="L55" s="31" t="n">
        <x:v>5.0501358574</x:v>
      </x:c>
      <x:c r="M55" s="31" t="n">
        <x:v>0</x:v>
      </x:c>
      <x:c r="N55" s="24" t="str">
        <x:v>thunnus thynnus</x:v>
      </x:c>
      <x:c r="O55" s="32" t="n">
        <x:v>4.45</x:v>
      </x:c>
      <x:c r="P55" s="24" t="str">
        <x:v>exact_2020_supplement</x:v>
      </x:c>
      <x:c r="Q55" s="32" t="str">
        <x:v>2020 supplement MeanTL</x:v>
      </x:c>
      <x:c r="R55" s="24" t="str">
        <x:v>high</x:v>
      </x:c>
      <x:c r="S55" s="24" t="str">
        <x:v>Thunnus thynnus</x:v>
      </x:c>
      <x:c r="T55" s="32" t="n">
        <x:f>IF(O55="","",(1/'Metadata'!$B$5)^(O55-1))</x:f>
        <x:v>2818.382931264455</x:v>
      </x:c>
      <x:c r="U55" s="31" t="n">
        <x:f>IF(T55="","",I55*T55)</x:f>
        <x:v>14233.216701062742</x:v>
      </x:c>
    </x:row>
    <x:row r="56" ht="18" customHeight="1">
      <x:c r="A56" s="24" t="str">
        <x:v>EEZ_622</x:v>
      </x:c>
      <x:c r="B56" s="24" t="str">
        <x:v>Azores Isl. (Portugal)</x:v>
      </x:c>
      <x:c r="C56" s="24" t="str">
        <x:v>EEZ</x:v>
      </x:c>
      <x:c r="D56" s="30" t="n">
        <x:v>2019</x:v>
      </x:c>
      <x:c r="E56" s="24" t="str">
        <x:v>Marine pelagic fishes not identified</x:v>
      </x:c>
      <x:c r="F56" s="24" t="str">
        <x:v>Pelagic fishes</x:v>
      </x:c>
      <x:c r="G56" s="24" t="str">
        <x:v>Medium pelagics (30 - 89 cm)</x:v>
      </x:c>
      <x:c r="H56" s="24" t="str">
        <x:v>Other fishes &amp; inverts</x:v>
      </x:c>
      <x:c r="I56" s="31" t="n">
        <x:v>4.7441375085</x:v>
      </x:c>
      <x:c r="J56" s="31" t="n">
        <x:v>4.741392222499999</x:v>
      </x:c>
      <x:c r="K56" s="31" t="n">
        <x:v>0.002745286</x:v>
      </x:c>
      <x:c r="L56" s="31" t="n">
        <x:v>4.7166846405</x:v>
      </x:c>
      <x:c r="M56" s="31" t="n">
        <x:v>0.027452868</x:v>
      </x:c>
      <x:c r="N56" s="24" t="str">
        <x:v>marine pelagic fishes not identified</x:v>
      </x:c>
      <x:c r="O56" s="32" t="n">
        <x:v>3.35</x:v>
      </x:c>
      <x:c r="P56" s="24" t="str">
        <x:v>exact_sea_around_us</x:v>
      </x:c>
      <x:c r="Q56" s="32" t="str">
        <x:v>Sea Around Us exploited organisms</x:v>
      </x:c>
      <x:c r="R56" s="24" t="str">
        <x:v>high</x:v>
      </x:c>
      <x:c r="S56" s="24" t="str">
        <x:v>Marine pelagic fishes not identified</x:v>
      </x:c>
      <x:c r="T56" s="32" t="n">
        <x:f>IF(O56="","",(1/'Metadata'!$B$5)^(O56-1))</x:f>
        <x:v>223.872113856834</x:v>
      </x:c>
      <x:c r="U56" s="31" t="n">
        <x:f>IF(T56="","",I56*T56)</x:f>
        <x:v>1062.0800924553887</x:v>
      </x:c>
    </x:row>
    <x:row r="57" ht="18" customHeight="1">
      <x:c r="A57" s="24" t="str">
        <x:v>EEZ_622</x:v>
      </x:c>
      <x:c r="B57" s="24" t="str">
        <x:v>Azores Isl. (Portugal)</x:v>
      </x:c>
      <x:c r="C57" s="24" t="str">
        <x:v>EEZ</x:v>
      </x:c>
      <x:c r="D57" s="30" t="n">
        <x:v>2019</x:v>
      </x:c>
      <x:c r="E57" s="24" t="str">
        <x:v>Kyphosus sectatrix</x:v>
      </x:c>
      <x:c r="F57" s="24" t="str">
        <x:v>Bermuda sea chub</x:v>
      </x:c>
      <x:c r="G57" s="24" t="str">
        <x:v>Medium reef assoc. fish (30 - 89 cm)</x:v>
      </x:c>
      <x:c r="H57" s="24" t="str">
        <x:v>Perch-likes</x:v>
      </x:c>
      <x:c r="I57" s="31" t="n">
        <x:v>4.590000000000001</x:v>
      </x:c>
      <x:c r="J57" s="31" t="n">
        <x:v>4.590000000000001</x:v>
      </x:c>
      <x:c r="K57" s="31" t="n">
        <x:v>0</x:v>
      </x:c>
      <x:c r="L57" s="31" t="n">
        <x:v>4.590000000000001</x:v>
      </x:c>
      <x:c r="M57" s="31" t="n">
        <x:v>0</x:v>
      </x:c>
      <x:c r="N57" s="24" t="str">
        <x:v>kyphosus sectatrix</x:v>
      </x:c>
      <x:c r="O57" s="32" t="n">
        <x:v>2</x:v>
      </x:c>
      <x:c r="P57" s="24" t="str">
        <x:v>exact_2020_supplement</x:v>
      </x:c>
      <x:c r="Q57" s="32" t="str">
        <x:v>2020 supplement MeanTL</x:v>
      </x:c>
      <x:c r="R57" s="24" t="str">
        <x:v>high</x:v>
      </x:c>
      <x:c r="S57" s="24" t="str">
        <x:v>Kyphosus sectatrix</x:v>
      </x:c>
      <x:c r="T57" s="32" t="n">
        <x:f>IF(O57="","",(1/'Metadata'!$B$5)^(O57-1))</x:f>
        <x:v>10</x:v>
      </x:c>
      <x:c r="U57" s="31" t="n">
        <x:f>IF(T57="","",I57*T57)</x:f>
        <x:v>45.900000000000006</x:v>
      </x:c>
    </x:row>
    <x:row r="58" ht="18" customHeight="1">
      <x:c r="A58" s="24" t="str">
        <x:v>EEZ_622</x:v>
      </x:c>
      <x:c r="B58" s="24" t="str">
        <x:v>Azores Isl. (Portugal)</x:v>
      </x:c>
      <x:c r="C58" s="24" t="str">
        <x:v>EEZ</x:v>
      </x:c>
      <x:c r="D58" s="30" t="n">
        <x:v>2019</x:v>
      </x:c>
      <x:c r="E58" s="24" t="str">
        <x:v>Sarda sarda</x:v>
      </x:c>
      <x:c r="F58" s="24" t="str">
        <x:v>Atlantic bonito</x:v>
      </x:c>
      <x:c r="G58" s="24" t="str">
        <x:v>Medium pelagics (30 - 89 cm)</x:v>
      </x:c>
      <x:c r="H58" s="24" t="str">
        <x:v>Tuna &amp; billfishes</x:v>
      </x:c>
      <x:c r="I58" s="31" t="n">
        <x:v>4.3286849830000005</x:v>
      </x:c>
      <x:c r="J58" s="31" t="n">
        <x:v>4.3286849830000005</x:v>
      </x:c>
      <x:c r="K58" s="31" t="n">
        <x:v>0</x:v>
      </x:c>
      <x:c r="L58" s="31" t="n">
        <x:v>4.20082116</x:v>
      </x:c>
      <x:c r="M58" s="31" t="n">
        <x:v>0.127863823</x:v>
      </x:c>
      <x:c r="N58" s="24" t="str">
        <x:v>sarda sarda</x:v>
      </x:c>
      <x:c r="O58" s="32" t="n">
        <x:v>4.5</x:v>
      </x:c>
      <x:c r="P58" s="24" t="str">
        <x:v>exact_2020_supplement</x:v>
      </x:c>
      <x:c r="Q58" s="32" t="str">
        <x:v>2020 supplement MeanTL</x:v>
      </x:c>
      <x:c r="R58" s="24" t="str">
        <x:v>high</x:v>
      </x:c>
      <x:c r="S58" s="24" t="str">
        <x:v>Sarda sarda</x:v>
      </x:c>
      <x:c r="T58" s="32" t="n">
        <x:f>IF(O58="","",(1/'Metadata'!$B$5)^(O58-1))</x:f>
        <x:v>3162.2776601683795</x:v>
      </x:c>
      <x:c r="U58" s="31" t="n">
        <x:f>IF(T58="","",I58*T58)</x:f>
        <x:v>13688.503819647243</x:v>
      </x:c>
    </x:row>
    <x:row r="59" ht="18" customHeight="1">
      <x:c r="A59" s="24" t="str">
        <x:v>EEZ_622</x:v>
      </x:c>
      <x:c r="B59" s="24" t="str">
        <x:v>Azores Isl. (Portugal)</x:v>
      </x:c>
      <x:c r="C59" s="24" t="str">
        <x:v>EEZ</x:v>
      </x:c>
      <x:c r="D59" s="30" t="n">
        <x:v>2019</x:v>
      </x:c>
      <x:c r="E59" s="24" t="str">
        <x:v>Gymnothorax unicolor</x:v>
      </x:c>
      <x:c r="F59" s="24" t="str">
        <x:v>Brown moray</x:v>
      </x:c>
      <x:c r="G59" s="24" t="str">
        <x:v>Medium demersals (30 - 89 cm)</x:v>
      </x:c>
      <x:c r="H59" s="24" t="str">
        <x:v>Other fishes &amp; inverts</x:v>
      </x:c>
      <x:c r="I59" s="31" t="n">
        <x:v>3.9999999999999996</x:v>
      </x:c>
      <x:c r="J59" s="31" t="n">
        <x:v>3.3250979749999994</x:v>
      </x:c>
      <x:c r="K59" s="31" t="n">
        <x:v>0.674902025</x:v>
      </x:c>
      <x:c r="L59" s="31" t="n">
        <x:v>3.2899999999999996</x:v>
      </x:c>
      <x:c r="M59" s="31" t="n">
        <x:v>0.71</x:v>
      </x:c>
      <x:c r="N59" s="24" t="str">
        <x:v>gymnothorax unicolor</x:v>
      </x:c>
      <x:c r="O59" s="32" t="n">
        <x:v>3.44</x:v>
      </x:c>
      <x:c r="P59" s="24" t="str">
        <x:v>exact_2020_supplement</x:v>
      </x:c>
      <x:c r="Q59" s="32" t="str">
        <x:v>2020 supplement MeanTL</x:v>
      </x:c>
      <x:c r="R59" s="24" t="str">
        <x:v>high</x:v>
      </x:c>
      <x:c r="S59" s="24" t="str">
        <x:v>Gymnothorax unicolor</x:v>
      </x:c>
      <x:c r="T59" s="32" t="n">
        <x:f>IF(O59="","",(1/'Metadata'!$B$5)^(O59-1))</x:f>
        <x:v>275.4228703338166</x:v>
      </x:c>
      <x:c r="U59" s="31" t="n">
        <x:f>IF(T59="","",I59*T59)</x:f>
        <x:v>1101.6914813352662</x:v>
      </x:c>
    </x:row>
    <x:row r="60" ht="18" customHeight="1">
      <x:c r="A60" s="24" t="str">
        <x:v>EEZ_622</x:v>
      </x:c>
      <x:c r="B60" s="24" t="str">
        <x:v>Azores Isl. (Portugal)</x:v>
      </x:c>
      <x:c r="C60" s="24" t="str">
        <x:v>EEZ</x:v>
      </x:c>
      <x:c r="D60" s="30" t="n">
        <x:v>2019</x:v>
      </x:c>
      <x:c r="E60" s="24" t="str">
        <x:v>Chaceon affinis</x:v>
      </x:c>
      <x:c r="F60" s="24" t="str">
        <x:v>Deepsea red crab</x:v>
      </x:c>
      <x:c r="G60" s="24" t="str">
        <x:v>Lobsters, crabs</x:v>
      </x:c>
      <x:c r="H60" s="24" t="str">
        <x:v>Crustaceans</x:v>
      </x:c>
      <x:c r="I60" s="31" t="n">
        <x:v>3.89</x:v>
      </x:c>
      <x:c r="J60" s="31" t="n">
        <x:v>3.400016569</x:v>
      </x:c>
      <x:c r="K60" s="31" t="n">
        <x:v>0.489983431</x:v>
      </x:c>
      <x:c r="L60" s="31" t="n">
        <x:v>1.8199999999999998</x:v>
      </x:c>
      <x:c r="M60" s="31" t="n">
        <x:v>2.0700000000000003</x:v>
      </x:c>
      <x:c r="N60" s="24" t="str">
        <x:v>chaceon affinis</x:v>
      </x:c>
      <x:c r="O60" s="32" t="n">
        <x:v>3.1</x:v>
      </x:c>
      <x:c r="P60" s="24" t="str">
        <x:v>exact_sea_around_us</x:v>
      </x:c>
      <x:c r="Q60" s="32" t="str">
        <x:v>Sea Around Us exploited organisms</x:v>
      </x:c>
      <x:c r="R60" s="24" t="str">
        <x:v>high</x:v>
      </x:c>
      <x:c r="S60" s="24" t="str">
        <x:v>Chaceon affinis</x:v>
      </x:c>
      <x:c r="T60" s="32" t="n">
        <x:f>IF(O60="","",(1/'Metadata'!$B$5)^(O60-1))</x:f>
        <x:v>125.89254117941675</x:v>
      </x:c>
      <x:c r="U60" s="31" t="n">
        <x:f>IF(T60="","",I60*T60)</x:f>
        <x:v>489.7219851879312</x:v>
      </x:c>
    </x:row>
    <x:row r="61" ht="18" customHeight="1">
      <x:c r="A61" s="24" t="str">
        <x:v>EEZ_622</x:v>
      </x:c>
      <x:c r="B61" s="24" t="str">
        <x:v>Azores Isl. (Portugal)</x:v>
      </x:c>
      <x:c r="C61" s="24" t="str">
        <x:v>EEZ</x:v>
      </x:c>
      <x:c r="D61" s="30" t="n">
        <x:v>2019</x:v>
      </x:c>
      <x:c r="E61" s="24" t="str">
        <x:v>Alepisaurus ferox</x:v>
      </x:c>
      <x:c r="F61" s="24" t="str">
        <x:v>Long snouted lancetfish</x:v>
      </x:c>
      <x:c r="G61" s="24" t="str">
        <x:v>Large bathypelagics (&gt;=90 cm)</x:v>
      </x:c>
      <x:c r="H61" s="24" t="str">
        <x:v>Other fishes &amp; inverts</x:v>
      </x:c>
      <x:c r="I61" s="31" t="n">
        <x:v>3.854646077</x:v>
      </x:c>
      <x:c r="J61" s="31" t="n">
        <x:v>1.561611439</x:v>
      </x:c>
      <x:c r="K61" s="31" t="n">
        <x:v>2.293034638</x:v>
      </x:c>
      <x:c r="L61" s="31" t="n">
        <x:v>0</x:v>
      </x:c>
      <x:c r="M61" s="31" t="n">
        <x:v>3.854646077</x:v>
      </x:c>
      <x:c r="N61" s="24" t="str">
        <x:v>alepisaurus ferox</x:v>
      </x:c>
      <x:c r="O61" s="32" t="n">
        <x:v>4.03</x:v>
      </x:c>
      <x:c r="P61" s="24" t="str">
        <x:v>exact_2020_supplement</x:v>
      </x:c>
      <x:c r="Q61" s="32" t="str">
        <x:v>2020 supplement MeanTL</x:v>
      </x:c>
      <x:c r="R61" s="24" t="str">
        <x:v>high</x:v>
      </x:c>
      <x:c r="S61" s="24" t="str">
        <x:v>Alepisaurus ferox</x:v>
      </x:c>
      <x:c r="T61" s="32" t="n">
        <x:f>IF(O61="","",(1/'Metadata'!$B$5)^(O61-1))</x:f>
        <x:v>1071.519305237607</x:v>
      </x:c>
      <x:c r="U61" s="31" t="n">
        <x:f>IF(T61="","",I61*T61)</x:f>
        <x:v>4130.327686363908</x:v>
      </x:c>
    </x:row>
    <x:row r="62" ht="18" customHeight="1">
      <x:c r="A62" s="24" t="str">
        <x:v>EEZ_622</x:v>
      </x:c>
      <x:c r="B62" s="24" t="str">
        <x:v>Azores Isl. (Portugal)</x:v>
      </x:c>
      <x:c r="C62" s="24" t="str">
        <x:v>EEZ</x:v>
      </x:c>
      <x:c r="D62" s="30" t="n">
        <x:v>2019</x:v>
      </x:c>
      <x:c r="E62" s="24" t="str">
        <x:v>Muraenidae</x:v>
      </x:c>
      <x:c r="F62" s="24" t="str">
        <x:v>Moray eels</x:v>
      </x:c>
      <x:c r="G62" s="24" t="str">
        <x:v>Large reef assoc. fish (&gt;=90 cm)</x:v>
      </x:c>
      <x:c r="H62" s="24" t="str">
        <x:v>Other fishes &amp; inverts</x:v>
      </x:c>
      <x:c r="I62" s="31" t="n">
        <x:v>3.67</x:v>
      </x:c>
      <x:c r="J62" s="31" t="n">
        <x:v>3.67</x:v>
      </x:c>
      <x:c r="K62" s="31" t="n">
        <x:v>0</x:v>
      </x:c>
      <x:c r="L62" s="31" t="n">
        <x:v>3.67</x:v>
      </x:c>
      <x:c r="M62" s="31" t="n">
        <x:v>0</x:v>
      </x:c>
      <x:c r="N62" s="24" t="str">
        <x:v>muraenidae</x:v>
      </x:c>
      <x:c r="O62" s="32" t="n">
        <x:v>4.07</x:v>
      </x:c>
      <x:c r="P62" s="24" t="str">
        <x:v>exact_sea_around_us</x:v>
      </x:c>
      <x:c r="Q62" s="32" t="str">
        <x:v>Sea Around Us exploited organisms</x:v>
      </x:c>
      <x:c r="R62" s="24" t="str">
        <x:v>high</x:v>
      </x:c>
      <x:c r="S62" s="24" t="str">
        <x:v>Muraenidae</x:v>
      </x:c>
      <x:c r="T62" s="32" t="n">
        <x:f>IF(O62="","",(1/'Metadata'!$B$5)^(O62-1))</x:f>
        <x:v>1174.8975549395302</x:v>
      </x:c>
      <x:c r="U62" s="31" t="n">
        <x:f>IF(T62="","",I62*T62)</x:f>
        <x:v>4311.874026628076</x:v>
      </x:c>
    </x:row>
    <x:row r="63" ht="18" customHeight="1">
      <x:c r="A63" s="24" t="str">
        <x:v>EEZ_622</x:v>
      </x:c>
      <x:c r="B63" s="24" t="str">
        <x:v>Azores Isl. (Portugal)</x:v>
      </x:c>
      <x:c r="C63" s="24" t="str">
        <x:v>EEZ</x:v>
      </x:c>
      <x:c r="D63" s="30" t="n">
        <x:v>2019</x:v>
      </x:c>
      <x:c r="E63" s="24" t="str">
        <x:v>Macrouridae</x:v>
      </x:c>
      <x:c r="F63" s="24" t="str">
        <x:v>Grenadiers, rattails</x:v>
      </x:c>
      <x:c r="G63" s="24" t="str">
        <x:v>Medium benthopelagics (30 - 89 cm)</x:v>
      </x:c>
      <x:c r="H63" s="24" t="str">
        <x:v>Cod-likes</x:v>
      </x:c>
      <x:c r="I63" s="31" t="n">
        <x:v>3.56</x:v>
      </x:c>
      <x:c r="J63" s="31" t="n">
        <x:v>0</x:v>
      </x:c>
      <x:c r="K63" s="31" t="n">
        <x:v>3.56</x:v>
      </x:c>
      <x:c r="L63" s="31" t="n">
        <x:v>0</x:v>
      </x:c>
      <x:c r="M63" s="31" t="n">
        <x:v>3.56</x:v>
      </x:c>
      <x:c r="N63" s="24" t="str">
        <x:v>macrouridae</x:v>
      </x:c>
      <x:c r="O63" s="32" t="n">
        <x:v>3.88</x:v>
      </x:c>
      <x:c r="P63" s="24" t="str">
        <x:v>exact_sea_around_us</x:v>
      </x:c>
      <x:c r="Q63" s="32" t="str">
        <x:v>Sea Around Us exploited organisms</x:v>
      </x:c>
      <x:c r="R63" s="24" t="str">
        <x:v>high</x:v>
      </x:c>
      <x:c r="S63" s="24" t="str">
        <x:v>Macrouridae</x:v>
      </x:c>
      <x:c r="T63" s="32" t="n">
        <x:f>IF(O63="","",(1/'Metadata'!$B$5)^(O63-1))</x:f>
        <x:v>758.5775750291835</x:v>
      </x:c>
      <x:c r="U63" s="31" t="n">
        <x:f>IF(T63="","",I63*T63)</x:f>
        <x:v>2700.5361671038936</x:v>
      </x:c>
    </x:row>
    <x:row r="64" ht="18" customHeight="1">
      <x:c r="A64" s="24" t="str">
        <x:v>EEZ_622</x:v>
      </x:c>
      <x:c r="B64" s="24" t="str">
        <x:v>Azores Isl. (Portugal)</x:v>
      </x:c>
      <x:c r="C64" s="24" t="str">
        <x:v>EEZ</x:v>
      </x:c>
      <x:c r="D64" s="30" t="n">
        <x:v>2019</x:v>
      </x:c>
      <x:c r="E64" s="24" t="str">
        <x:v>Thunnus albacares</x:v>
      </x:c>
      <x:c r="F64" s="24" t="str">
        <x:v>Yellowfin tuna</x:v>
      </x:c>
      <x:c r="G64" s="24" t="str">
        <x:v>Large pelagics (&gt;=90 cm)</x:v>
      </x:c>
      <x:c r="H64" s="24" t="str">
        <x:v>Tuna &amp; billfishes</x:v>
      </x:c>
      <x:c r="I64" s="31" t="n">
        <x:v>3.5290371861</x:v>
      </x:c>
      <x:c r="J64" s="31" t="n">
        <x:v>3.5290371861</x:v>
      </x:c>
      <x:c r="K64" s="31" t="n">
        <x:v>0</x:v>
      </x:c>
      <x:c r="L64" s="31" t="n">
        <x:v>3.5290371861</x:v>
      </x:c>
      <x:c r="M64" s="31" t="n">
        <x:v>0</x:v>
      </x:c>
      <x:c r="N64" s="24" t="str">
        <x:v>thunnus albacares</x:v>
      </x:c>
      <x:c r="O64" s="32" t="n">
        <x:v>4.41</x:v>
      </x:c>
      <x:c r="P64" s="24" t="str">
        <x:v>exact_2020_supplement</x:v>
      </x:c>
      <x:c r="Q64" s="32" t="str">
        <x:v>2020 supplement MeanTL</x:v>
      </x:c>
      <x:c r="R64" s="24" t="str">
        <x:v>high</x:v>
      </x:c>
      <x:c r="S64" s="24" t="str">
        <x:v>Thunnus albacares</x:v>
      </x:c>
      <x:c r="T64" s="32" t="n">
        <x:f>IF(O64="","",(1/'Metadata'!$B$5)^(O64-1))</x:f>
        <x:v>2570.3957827688646</x:v>
      </x:c>
      <x:c r="U64" s="31" t="n">
        <x:f>IF(T64="","",I64*T64)</x:f>
        <x:v>9071.022300385941</x:v>
      </x:c>
    </x:row>
    <x:row r="65" ht="18" customHeight="1">
      <x:c r="A65" s="24" t="str">
        <x:v>EEZ_622</x:v>
      </x:c>
      <x:c r="B65" s="24" t="str">
        <x:v>Azores Isl. (Portugal)</x:v>
      </x:c>
      <x:c r="C65" s="24" t="str">
        <x:v>EEZ</x:v>
      </x:c>
      <x:c r="D65" s="30" t="n">
        <x:v>2019</x:v>
      </x:c>
      <x:c r="E65" s="24" t="str">
        <x:v>Labridae</x:v>
      </x:c>
      <x:c r="F65" s="24" t="str">
        <x:v>Wrasses, gropers, tuskfishes</x:v>
      </x:c>
      <x:c r="G65" s="24" t="str">
        <x:v>Medium reef assoc. fish (30 - 89 cm)</x:v>
      </x:c>
      <x:c r="H65" s="24" t="str">
        <x:v>Perch-likes</x:v>
      </x:c>
      <x:c r="I65" s="31" t="n">
        <x:v>3.3018178889999996</x:v>
      </x:c>
      <x:c r="J65" s="31" t="n">
        <x:v>2.991800626</x:v>
      </x:c>
      <x:c r="K65" s="31" t="n">
        <x:v>0.310017263</x:v>
      </x:c>
      <x:c r="L65" s="31" t="n">
        <x:v>2.9699999999999998</x:v>
      </x:c>
      <x:c r="M65" s="31" t="n">
        <x:v>0.331817889</x:v>
      </x:c>
      <x:c r="N65" s="24" t="str">
        <x:v>labridae</x:v>
      </x:c>
      <x:c r="O65" s="32" t="n">
        <x:v>3.46</x:v>
      </x:c>
      <x:c r="P65" s="24" t="str">
        <x:v>exact_sea_around_us</x:v>
      </x:c>
      <x:c r="Q65" s="32" t="str">
        <x:v>Sea Around Us exploited organisms</x:v>
      </x:c>
      <x:c r="R65" s="24" t="str">
        <x:v>high</x:v>
      </x:c>
      <x:c r="S65" s="24" t="str">
        <x:v>Labridae</x:v>
      </x:c>
      <x:c r="T65" s="32" t="n">
        <x:f>IF(O65="","",(1/'Metadata'!$B$5)^(O65-1))</x:f>
        <x:v>288.40315031266056</x:v>
      </x:c>
      <x:c r="U65" s="31" t="n">
        <x:f>IF(T65="","",I65*T65)</x:f>
        <x:v>952.2546809462984</x:v>
      </x:c>
    </x:row>
    <x:row r="66" ht="18" customHeight="1">
      <x:c r="A66" s="24" t="str">
        <x:v>EEZ_622</x:v>
      </x:c>
      <x:c r="B66" s="24" t="str">
        <x:v>Azores Isl. (Portugal)</x:v>
      </x:c>
      <x:c r="C66" s="24" t="str">
        <x:v>EEZ</x:v>
      </x:c>
      <x:c r="D66" s="30" t="n">
        <x:v>2019</x:v>
      </x:c>
      <x:c r="E66" s="24" t="str">
        <x:v>Nezumia aequalis</x:v>
      </x:c>
      <x:c r="F66" s="24" t="str">
        <x:v>Common Atlantic grenadier</x:v>
      </x:c>
      <x:c r="G66" s="24" t="str">
        <x:v>Medium benthopelagics (30 - 89 cm)</x:v>
      </x:c>
      <x:c r="H66" s="24" t="str">
        <x:v>Cod-likes</x:v>
      </x:c>
      <x:c r="I66" s="31" t="n">
        <x:v>3.12</x:v>
      </x:c>
      <x:c r="J66" s="31" t="n">
        <x:v>0</x:v>
      </x:c>
      <x:c r="K66" s="31" t="n">
        <x:v>3.12</x:v>
      </x:c>
      <x:c r="L66" s="31" t="n">
        <x:v>0</x:v>
      </x:c>
      <x:c r="M66" s="31" t="n">
        <x:v>3.12</x:v>
      </x:c>
      <x:c r="N66" s="24" t="str">
        <x:v>nezumia aequalis</x:v>
      </x:c>
      <x:c r="O66" s="32" t="n">
        <x:v>3.26</x:v>
      </x:c>
      <x:c r="P66" s="24" t="str">
        <x:v>exact_2020_supplement</x:v>
      </x:c>
      <x:c r="Q66" s="32" t="str">
        <x:v>2020 supplement MeanTL</x:v>
      </x:c>
      <x:c r="R66" s="24" t="str">
        <x:v>high</x:v>
      </x:c>
      <x:c r="S66" s="24" t="str">
        <x:v>Nezumia aequalis</x:v>
      </x:c>
      <x:c r="T66" s="32" t="n">
        <x:f>IF(O66="","",(1/'Metadata'!$B$5)^(O66-1))</x:f>
        <x:v>181.97008586099827</x:v>
      </x:c>
      <x:c r="U66" s="31" t="n">
        <x:f>IF(T66="","",I66*T66)</x:f>
        <x:v>567.7466678863146</x:v>
      </x:c>
    </x:row>
    <x:row r="67" ht="18" customHeight="1">
      <x:c r="A67" s="24" t="str">
        <x:v>EEZ_622</x:v>
      </x:c>
      <x:c r="B67" s="24" t="str">
        <x:v>Azores Isl. (Portugal)</x:v>
      </x:c>
      <x:c r="C67" s="24" t="str">
        <x:v>EEZ</x:v>
      </x:c>
      <x:c r="D67" s="30" t="n">
        <x:v>2019</x:v>
      </x:c>
      <x:c r="E67" s="24" t="str">
        <x:v>Paromola cuvieri</x:v>
      </x:c>
      <x:c r="F67" s="24" t="str">
        <x:v>Paromola</x:v>
      </x:c>
      <x:c r="G67" s="24" t="str">
        <x:v>Lobsters, crabs</x:v>
      </x:c>
      <x:c r="H67" s="24" t="str">
        <x:v>Crustaceans</x:v>
      </x:c>
      <x:c r="I67" s="31" t="n">
        <x:v>3.1</x:v>
      </x:c>
      <x:c r="J67" s="31" t="n">
        <x:v>0.637271083</x:v>
      </x:c>
      <x:c r="K67" s="31" t="n">
        <x:v>2.462728917</x:v>
      </x:c>
      <x:c r="L67" s="31" t="n">
        <x:v>0</x:v>
      </x:c>
      <x:c r="M67" s="31" t="n">
        <x:v>3.1</x:v>
      </x:c>
      <x:c r="N67" s="24" t="str">
        <x:v>paromola cuvieri</x:v>
      </x:c>
      <x:c r="O67" s="32" t="n">
        <x:v>3.42</x:v>
      </x:c>
      <x:c r="P67" s="24" t="str">
        <x:v>exact_2020_supplement</x:v>
      </x:c>
      <x:c r="Q67" s="32" t="str">
        <x:v>2020 supplement MeanTL</x:v>
      </x:c>
      <x:c r="R67" s="24" t="str">
        <x:v>high</x:v>
      </x:c>
      <x:c r="S67" s="24" t="str">
        <x:v>Paromola cuvieri</x:v>
      </x:c>
      <x:c r="T67" s="32" t="n">
        <x:f>IF(O67="","",(1/'Metadata'!$B$5)^(O67-1))</x:f>
        <x:v>263.02679918953817</x:v>
      </x:c>
      <x:c r="U67" s="31" t="n">
        <x:f>IF(T67="","",I67*T67)</x:f>
        <x:v>815.3830774875684</x:v>
      </x:c>
    </x:row>
    <x:row r="68" ht="18" customHeight="1">
      <x:c r="A68" s="24" t="str">
        <x:v>EEZ_622</x:v>
      </x:c>
      <x:c r="B68" s="24" t="str">
        <x:v>Azores Isl. (Portugal)</x:v>
      </x:c>
      <x:c r="C68" s="24" t="str">
        <x:v>EEZ</x:v>
      </x:c>
      <x:c r="D68" s="30" t="n">
        <x:v>2019</x:v>
      </x:c>
      <x:c r="E68" s="24" t="str">
        <x:v>Bodianus scrofa</x:v>
      </x:c>
      <x:c r="F68" s="24" t="str">
        <x:v>Barred hogfish</x:v>
      </x:c>
      <x:c r="G68" s="24" t="str">
        <x:v>Medium reef assoc. fish (30 - 89 cm)</x:v>
      </x:c>
      <x:c r="H68" s="24" t="str">
        <x:v>Perch-likes</x:v>
      </x:c>
      <x:c r="I68" s="31" t="n">
        <x:v>3.033378571</x:v>
      </x:c>
      <x:c r="J68" s="31" t="n">
        <x:v>3.0241369810000003</x:v>
      </x:c>
      <x:c r="K68" s="31" t="n">
        <x:v>0.00924159</x:v>
      </x:c>
      <x:c r="L68" s="31" t="n">
        <x:v>0</x:v>
      </x:c>
      <x:c r="M68" s="31" t="n">
        <x:v>3.033378571</x:v>
      </x:c>
      <x:c r="N68" s="24" t="str">
        <x:v>bodianus scrofa</x:v>
      </x:c>
      <x:c r="O68" s="32" t="n">
        <x:v>3.5</x:v>
      </x:c>
      <x:c r="P68" s="24" t="str">
        <x:v>exact_2020_supplement</x:v>
      </x:c>
      <x:c r="Q68" s="32" t="str">
        <x:v>2020 supplement MeanTL</x:v>
      </x:c>
      <x:c r="R68" s="24" t="str">
        <x:v>high</x:v>
      </x:c>
      <x:c r="S68" s="24" t="str">
        <x:v>Bodianus scrofa</x:v>
      </x:c>
      <x:c r="T68" s="32" t="n">
        <x:f>IF(O68="","",(1/'Metadata'!$B$5)^(O68-1))</x:f>
        <x:v>316.22776601683796</x:v>
      </x:c>
      <x:c r="U68" s="31" t="n">
        <x:f>IF(T68="","",I68*T68)</x:f>
        <x:v>959.2385289906783</x:v>
      </x:c>
    </x:row>
    <x:row r="69" ht="18" customHeight="1">
      <x:c r="A69" s="24" t="str">
        <x:v>EEZ_622</x:v>
      </x:c>
      <x:c r="B69" s="24" t="str">
        <x:v>Azores Isl. (Portugal)</x:v>
      </x:c>
      <x:c r="C69" s="24" t="str">
        <x:v>EEZ</x:v>
      </x:c>
      <x:c r="D69" s="30" t="n">
        <x:v>2019</x:v>
      </x:c>
      <x:c r="E69" s="24" t="str">
        <x:v>Palinurus elephas</x:v>
      </x:c>
      <x:c r="F69" s="24" t="str">
        <x:v>Common spiny lobster</x:v>
      </x:c>
      <x:c r="G69" s="24" t="str">
        <x:v>Lobsters, crabs</x:v>
      </x:c>
      <x:c r="H69" s="24" t="str">
        <x:v>Crustaceans</x:v>
      </x:c>
      <x:c r="I69" s="31" t="n">
        <x:v>2.87</x:v>
      </x:c>
      <x:c r="J69" s="31" t="n">
        <x:v>2.83</x:v>
      </x:c>
      <x:c r="K69" s="31" t="n">
        <x:v>0.04</x:v>
      </x:c>
      <x:c r="L69" s="31" t="n">
        <x:v>2.83</x:v>
      </x:c>
      <x:c r="M69" s="31" t="n">
        <x:v>0.04</x:v>
      </x:c>
      <x:c r="N69" s="24" t="str">
        <x:v>palinurus elephas</x:v>
      </x:c>
      <x:c r="O69" s="32" t="n">
        <x:v>3.34</x:v>
      </x:c>
      <x:c r="P69" s="24" t="str">
        <x:v>exact_2020_supplement</x:v>
      </x:c>
      <x:c r="Q69" s="32" t="str">
        <x:v>2020 supplement MeanTL</x:v>
      </x:c>
      <x:c r="R69" s="24" t="str">
        <x:v>high</x:v>
      </x:c>
      <x:c r="S69" s="24" t="str">
        <x:v>Palinurus elephas</x:v>
      </x:c>
      <x:c r="T69" s="32" t="n">
        <x:f>IF(O69="","",(1/'Metadata'!$B$5)^(O69-1))</x:f>
        <x:v>218.77616239495518</x:v>
      </x:c>
      <x:c r="U69" s="31" t="n">
        <x:f>IF(T69="","",I69*T69)</x:f>
        <x:v>627.8875860735213</x:v>
      </x:c>
    </x:row>
    <x:row r="70" ht="18" customHeight="1">
      <x:c r="A70" s="24" t="str">
        <x:v>EEZ_622</x:v>
      </x:c>
      <x:c r="B70" s="24" t="str">
        <x:v>Azores Isl. (Portugal)</x:v>
      </x:c>
      <x:c r="C70" s="24" t="str">
        <x:v>EEZ</x:v>
      </x:c>
      <x:c r="D70" s="30" t="n">
        <x:v>2019</x:v>
      </x:c>
      <x:c r="E70" s="24" t="str">
        <x:v>Etmopterus pusillus</x:v>
      </x:c>
      <x:c r="F70" s="24" t="str">
        <x:v>Smooth lanternshark</x:v>
      </x:c>
      <x:c r="G70" s="24" t="str">
        <x:v>Small to medium sharks (&lt;90 cm)</x:v>
      </x:c>
      <x:c r="H70" s="24" t="str">
        <x:v>Sharks &amp; rays</x:v>
      </x:c>
      <x:c r="I70" s="31" t="n">
        <x:v>2.7482581280000002</x:v>
      </x:c>
      <x:c r="J70" s="31" t="n">
        <x:v>0.046938158</x:v>
      </x:c>
      <x:c r="K70" s="31" t="n">
        <x:v>2.70131997</x:v>
      </x:c>
      <x:c r="L70" s="31" t="n">
        <x:v>0</x:v>
      </x:c>
      <x:c r="M70" s="31" t="n">
        <x:v>2.7482581280000002</x:v>
      </x:c>
      <x:c r="N70" s="24" t="str">
        <x:v>etmopterus pusillus</x:v>
      </x:c>
      <x:c r="O70" s="32" t="n">
        <x:v>4.22</x:v>
      </x:c>
      <x:c r="P70" s="24" t="str">
        <x:v>exact_2020_supplement</x:v>
      </x:c>
      <x:c r="Q70" s="32" t="str">
        <x:v>2020 supplement MeanTL</x:v>
      </x:c>
      <x:c r="R70" s="24" t="str">
        <x:v>high</x:v>
      </x:c>
      <x:c r="S70" s="24" t="str">
        <x:v>Etmopterus pusillus</x:v>
      </x:c>
      <x:c r="T70" s="32" t="n">
        <x:f>IF(O70="","",(1/'Metadata'!$B$5)^(O70-1))</x:f>
        <x:v>1659.5869074375596</x:v>
      </x:c>
      <x:c r="U70" s="31" t="n">
        <x:f>IF(T70="","",I70*T70)</x:f>
        <x:v>4560.973207487657</x:v>
      </x:c>
    </x:row>
    <x:row r="71" ht="18" customHeight="1">
      <x:c r="A71" s="24" t="str">
        <x:v>EEZ_622</x:v>
      </x:c>
      <x:c r="B71" s="24" t="str">
        <x:v>Azores Isl. (Portugal)</x:v>
      </x:c>
      <x:c r="C71" s="24" t="str">
        <x:v>EEZ</x:v>
      </x:c>
      <x:c r="D71" s="30" t="n">
        <x:v>2019</x:v>
      </x:c>
      <x:c r="E71" s="24" t="str">
        <x:v>Makaira nigricans</x:v>
      </x:c>
      <x:c r="F71" s="24" t="str">
        <x:v>Blue marlin</x:v>
      </x:c>
      <x:c r="G71" s="24" t="str">
        <x:v>Large pelagics (&gt;=90 cm)</x:v>
      </x:c>
      <x:c r="H71" s="24" t="str">
        <x:v>Tuna &amp; billfishes</x:v>
      </x:c>
      <x:c r="I71" s="31" t="n">
        <x:v>2.687268904</x:v>
      </x:c>
      <x:c r="J71" s="31" t="n">
        <x:v>2.687268904</x:v>
      </x:c>
      <x:c r="K71" s="31" t="n">
        <x:v>0</x:v>
      </x:c>
      <x:c r="L71" s="31" t="n">
        <x:v>0</x:v>
      </x:c>
      <x:c r="M71" s="31" t="n">
        <x:v>2.687268904</x:v>
      </x:c>
      <x:c r="N71" s="24" t="str">
        <x:v>makaira nigricans</x:v>
      </x:c>
      <x:c r="O71" s="32" t="n">
        <x:v>4.49</x:v>
      </x:c>
      <x:c r="P71" s="24" t="str">
        <x:v>exact_2020_supplement</x:v>
      </x:c>
      <x:c r="Q71" s="32" t="str">
        <x:v>2020 supplement MeanTL</x:v>
      </x:c>
      <x:c r="R71" s="24" t="str">
        <x:v>high</x:v>
      </x:c>
      <x:c r="S71" s="24" t="str">
        <x:v>Makaira nigricans</x:v>
      </x:c>
      <x:c r="T71" s="32" t="n">
        <x:f>IF(O71="","",(1/'Metadata'!$B$5)^(O71-1))</x:f>
        <x:v>3090.295432513592</x:v>
      </x:c>
      <x:c r="U71" s="31" t="n">
        <x:f>IF(T71="","",I71*T71)</x:f>
        <x:v>8304.454819967006</x:v>
      </x:c>
    </x:row>
    <x:row r="72" ht="18" customHeight="1">
      <x:c r="A72" s="24" t="str">
        <x:v>EEZ_622</x:v>
      </x:c>
      <x:c r="B72" s="24" t="str">
        <x:v>Azores Isl. (Portugal)</x:v>
      </x:c>
      <x:c r="C72" s="24" t="str">
        <x:v>EEZ</x:v>
      </x:c>
      <x:c r="D72" s="30" t="n">
        <x:v>2019</x:v>
      </x:c>
      <x:c r="E72" s="24" t="str">
        <x:v>Sarpa salpa</x:v>
      </x:c>
      <x:c r="F72" s="24" t="str">
        <x:v>Salema</x:v>
      </x:c>
      <x:c r="G72" s="24" t="str">
        <x:v>Medium benthopelagics (30 - 89 cm)</x:v>
      </x:c>
      <x:c r="H72" s="24" t="str">
        <x:v>Perch-likes</x:v>
      </x:c>
      <x:c r="I72" s="31" t="n">
        <x:v>2.2401573299999997</x:v>
      </x:c>
      <x:c r="J72" s="31" t="n">
        <x:v>2.205078665</x:v>
      </x:c>
      <x:c r="K72" s="31" t="n">
        <x:v>0.035078665</x:v>
      </x:c>
      <x:c r="L72" s="31" t="n">
        <x:v>2.17</x:v>
      </x:c>
      <x:c r="M72" s="31" t="n">
        <x:v>0.07015733</x:v>
      </x:c>
      <x:c r="N72" s="24" t="str">
        <x:v>sarpa salpa</x:v>
      </x:c>
      <x:c r="O72" s="32" t="n">
        <x:v>2</x:v>
      </x:c>
      <x:c r="P72" s="24" t="str">
        <x:v>exact_2020_supplement</x:v>
      </x:c>
      <x:c r="Q72" s="32" t="str">
        <x:v>2020 supplement MeanTL</x:v>
      </x:c>
      <x:c r="R72" s="24" t="str">
        <x:v>high</x:v>
      </x:c>
      <x:c r="S72" s="24" t="str">
        <x:v>Sarpa salpa</x:v>
      </x:c>
      <x:c r="T72" s="32" t="n">
        <x:f>IF(O72="","",(1/'Metadata'!$B$5)^(O72-1))</x:f>
        <x:v>10</x:v>
      </x:c>
      <x:c r="U72" s="31" t="n">
        <x:f>IF(T72="","",I72*T72)</x:f>
        <x:v>22.401573299999995</x:v>
      </x:c>
    </x:row>
    <x:row r="73" ht="18" customHeight="1">
      <x:c r="A73" s="24" t="str">
        <x:v>EEZ_622</x:v>
      </x:c>
      <x:c r="B73" s="24" t="str">
        <x:v>Azores Isl. (Portugal)</x:v>
      </x:c>
      <x:c r="C73" s="24" t="str">
        <x:v>EEZ</x:v>
      </x:c>
      <x:c r="D73" s="30" t="n">
        <x:v>2019</x:v>
      </x:c>
      <x:c r="E73" s="24" t="str">
        <x:v>Muraena augusti</x:v>
      </x:c>
      <x:c r="F73" s="24" t="str">
        <x:v>Black moray</x:v>
      </x:c>
      <x:c r="G73" s="24" t="str">
        <x:v>Large demersals (&gt;=90 cm)</x:v>
      </x:c>
      <x:c r="H73" s="24" t="str">
        <x:v>Other fishes &amp; inverts</x:v>
      </x:c>
      <x:c r="I73" s="31" t="n">
        <x:v>2.11</x:v>
      </x:c>
      <x:c r="J73" s="31" t="n">
        <x:v>0</x:v>
      </x:c>
      <x:c r="K73" s="31" t="n">
        <x:v>2.11</x:v>
      </x:c>
      <x:c r="L73" s="31" t="n">
        <x:v>0</x:v>
      </x:c>
      <x:c r="M73" s="31" t="n">
        <x:v>2.11</x:v>
      </x:c>
      <x:c r="N73" s="24" t="str">
        <x:v>muraena augusti</x:v>
      </x:c>
      <x:c r="O73" s="32" t="n">
        <x:v>4</x:v>
      </x:c>
      <x:c r="P73" s="24" t="str">
        <x:v>exact_sea_around_us</x:v>
      </x:c>
      <x:c r="Q73" s="32" t="str">
        <x:v>Sea Around Us exploited organisms</x:v>
      </x:c>
      <x:c r="R73" s="24" t="str">
        <x:v>high</x:v>
      </x:c>
      <x:c r="S73" s="24" t="str">
        <x:v>Muraena augusti</x:v>
      </x:c>
      <x:c r="T73" s="32" t="n">
        <x:f>IF(O73="","",(1/'Metadata'!$B$5)^(O73-1))</x:f>
        <x:v>1000</x:v>
      </x:c>
      <x:c r="U73" s="31" t="n">
        <x:f>IF(T73="","",I73*T73)</x:f>
        <x:v>2110</x:v>
      </x:c>
    </x:row>
    <x:row r="74" ht="18" customHeight="1">
      <x:c r="A74" s="24" t="str">
        <x:v>EEZ_622</x:v>
      </x:c>
      <x:c r="B74" s="24" t="str">
        <x:v>Azores Isl. (Portugal)</x:v>
      </x:c>
      <x:c r="C74" s="24" t="str">
        <x:v>EEZ</x:v>
      </x:c>
      <x:c r="D74" s="30" t="n">
        <x:v>2019</x:v>
      </x:c>
      <x:c r="E74" s="24" t="str">
        <x:v>Gymnothorax</x:v>
      </x:c>
      <x:c r="F74" s="24" t="str">
        <x:v>Morays</x:v>
      </x:c>
      <x:c r="G74" s="24" t="str">
        <x:v>Large reef assoc. fish (&gt;=90 cm)</x:v>
      </x:c>
      <x:c r="H74" s="24" t="str">
        <x:v>Other fishes &amp; inverts</x:v>
      </x:c>
      <x:c r="I74" s="31" t="n">
        <x:v>1.87</x:v>
      </x:c>
      <x:c r="J74" s="31" t="n">
        <x:v>0</x:v>
      </x:c>
      <x:c r="K74" s="31" t="n">
        <x:v>1.87</x:v>
      </x:c>
      <x:c r="L74" s="31" t="n">
        <x:v>0</x:v>
      </x:c>
      <x:c r="M74" s="31" t="n">
        <x:v>1.87</x:v>
      </x:c>
      <x:c r="N74" s="24" t="str">
        <x:v>gymnothorax</x:v>
      </x:c>
      <x:c r="O74" s="32" t="n">
        <x:v>4.22</x:v>
      </x:c>
      <x:c r="P74" s="24" t="str">
        <x:v>exact_sea_around_us</x:v>
      </x:c>
      <x:c r="Q74" s="32" t="str">
        <x:v>Sea Around Us exploited organisms</x:v>
      </x:c>
      <x:c r="R74" s="24" t="str">
        <x:v>high</x:v>
      </x:c>
      <x:c r="S74" s="24" t="str">
        <x:v>Gymnothorax</x:v>
      </x:c>
      <x:c r="T74" s="32" t="n">
        <x:f>IF(O74="","",(1/'Metadata'!$B$5)^(O74-1))</x:f>
        <x:v>1659.5869074375596</x:v>
      </x:c>
      <x:c r="U74" s="31" t="n">
        <x:f>IF(T74="","",I74*T74)</x:f>
        <x:v>3103.4275169082366</x:v>
      </x:c>
    </x:row>
    <x:row r="75" ht="18" customHeight="1">
      <x:c r="A75" s="24" t="str">
        <x:v>EEZ_622</x:v>
      </x:c>
      <x:c r="B75" s="24" t="str">
        <x:v>Azores Isl. (Portugal)</x:v>
      </x:c>
      <x:c r="C75" s="24" t="str">
        <x:v>EEZ</x:v>
      </x:c>
      <x:c r="D75" s="30" t="n">
        <x:v>2019</x:v>
      </x:c>
      <x:c r="E75" s="24" t="str">
        <x:v>Chromis chromis</x:v>
      </x:c>
      <x:c r="F75" s="24" t="str">
        <x:v>Damselfish</x:v>
      </x:c>
      <x:c r="G75" s="24" t="str">
        <x:v>Small reef assoc. fish (&lt;30 cm)</x:v>
      </x:c>
      <x:c r="H75" s="24" t="str">
        <x:v>Perch-likes</x:v>
      </x:c>
      <x:c r="I75" s="31" t="n">
        <x:v>1.6700000000000002</x:v>
      </x:c>
      <x:c r="J75" s="31" t="n">
        <x:v>1.6700000000000002</x:v>
      </x:c>
      <x:c r="K75" s="31" t="n">
        <x:v>0</x:v>
      </x:c>
      <x:c r="L75" s="31" t="n">
        <x:v>1.6700000000000002</x:v>
      </x:c>
      <x:c r="M75" s="31" t="n">
        <x:v>0</x:v>
      </x:c>
      <x:c r="N75" s="24" t="str">
        <x:v>chromis chromis</x:v>
      </x:c>
      <x:c r="O75" s="32" t="n">
        <x:v>3.77</x:v>
      </x:c>
      <x:c r="P75" s="24" t="str">
        <x:v>exact_2020_supplement</x:v>
      </x:c>
      <x:c r="Q75" s="32" t="str">
        <x:v>2020 supplement MeanTL</x:v>
      </x:c>
      <x:c r="R75" s="24" t="str">
        <x:v>high</x:v>
      </x:c>
      <x:c r="S75" s="24" t="str">
        <x:v>Chromis chromis</x:v>
      </x:c>
      <x:c r="T75" s="32" t="n">
        <x:f>IF(O75="","",(1/'Metadata'!$B$5)^(O75-1))</x:f>
        <x:v>588.843655355589</x:v>
      </x:c>
      <x:c r="U75" s="31" t="n">
        <x:f>IF(T75="","",I75*T75)</x:f>
        <x:v>983.3689044438338</x:v>
      </x:c>
    </x:row>
    <x:row r="76" ht="18" customHeight="1">
      <x:c r="A76" s="24" t="str">
        <x:v>EEZ_622</x:v>
      </x:c>
      <x:c r="B76" s="24" t="str">
        <x:v>Azores Isl. (Portugal)</x:v>
      </x:c>
      <x:c r="C76" s="24" t="str">
        <x:v>EEZ</x:v>
      </x:c>
      <x:c r="D76" s="30" t="n">
        <x:v>2019</x:v>
      </x:c>
      <x:c r="E76" s="24" t="str">
        <x:v>Bramidae</x:v>
      </x:c>
      <x:c r="F76" s="24" t="str">
        <x:v>Pomfrets</x:v>
      </x:c>
      <x:c r="G76" s="24" t="str">
        <x:v>Medium pelagics (30 - 89 cm)</x:v>
      </x:c>
      <x:c r="H76" s="24" t="str">
        <x:v>Perch-likes</x:v>
      </x:c>
      <x:c r="I76" s="31" t="n">
        <x:v>1.6411055399</x:v>
      </x:c>
      <x:c r="J76" s="31" t="n">
        <x:v>1.4811981689</x:v>
      </x:c>
      <x:c r="K76" s="31" t="n">
        <x:v>0.159907371</x:v>
      </x:c>
      <x:c r="L76" s="31" t="n">
        <x:v>0</x:v>
      </x:c>
      <x:c r="M76" s="31" t="n">
        <x:v>1.6411055399</x:v>
      </x:c>
      <x:c r="N76" s="24" t="str">
        <x:v>bramidae</x:v>
      </x:c>
      <x:c r="O76" s="32" t="n">
        <x:v>4.14</x:v>
      </x:c>
      <x:c r="P76" s="24" t="str">
        <x:v>exact_sea_around_us</x:v>
      </x:c>
      <x:c r="Q76" s="32" t="str">
        <x:v>Sea Around Us exploited organisms</x:v>
      </x:c>
      <x:c r="R76" s="24" t="str">
        <x:v>high</x:v>
      </x:c>
      <x:c r="S76" s="24" t="str">
        <x:v>Bramidae</x:v>
      </x:c>
      <x:c r="T76" s="32" t="n">
        <x:f>IF(O76="","",(1/'Metadata'!$B$5)^(O76-1))</x:f>
        <x:v>1380.3842646028838</x:v>
      </x:c>
      <x:c r="U76" s="31" t="n">
        <x:f>IF(T76="","",I76*T76)</x:f>
        <x:v>2265.3562638305802</x:v>
      </x:c>
    </x:row>
    <x:row r="77" ht="18" customHeight="1">
      <x:c r="A77" s="24" t="str">
        <x:v>EEZ_622</x:v>
      </x:c>
      <x:c r="B77" s="24" t="str">
        <x:v>Azores Isl. (Portugal)</x:v>
      </x:c>
      <x:c r="C77" s="24" t="str">
        <x:v>EEZ</x:v>
      </x:c>
      <x:c r="D77" s="30" t="n">
        <x:v>2019</x:v>
      </x:c>
      <x:c r="E77" s="24" t="str">
        <x:v>Leucoraja fullonica</x:v>
      </x:c>
      <x:c r="F77" s="24" t="str">
        <x:v>Shagreen ray</x:v>
      </x:c>
      <x:c r="G77" s="24" t="str">
        <x:v>Large rays (&gt;=90 cm)</x:v>
      </x:c>
      <x:c r="H77" s="24" t="str">
        <x:v>Sharks &amp; rays</x:v>
      </x:c>
      <x:c r="I77" s="31" t="n">
        <x:v>1.37</x:v>
      </x:c>
      <x:c r="J77" s="31" t="n">
        <x:v>0.018457372</x:v>
      </x:c>
      <x:c r="K77" s="31" t="n">
        <x:v>1.351542628</x:v>
      </x:c>
      <x:c r="L77" s="31" t="n">
        <x:v>0</x:v>
      </x:c>
      <x:c r="M77" s="31" t="n">
        <x:v>1.37</x:v>
      </x:c>
      <x:c r="N77" s="24" t="str">
        <x:v>leucoraja fullonica</x:v>
      </x:c>
      <x:c r="O77" s="32" t="n">
        <x:v>3.5</x:v>
      </x:c>
      <x:c r="P77" s="24" t="str">
        <x:v>exact_2020_supplement</x:v>
      </x:c>
      <x:c r="Q77" s="32" t="str">
        <x:v>2020 supplement MeanTL</x:v>
      </x:c>
      <x:c r="R77" s="24" t="str">
        <x:v>high</x:v>
      </x:c>
      <x:c r="S77" s="24" t="str">
        <x:v>Leucoraja fullonica</x:v>
      </x:c>
      <x:c r="T77" s="32" t="n">
        <x:f>IF(O77="","",(1/'Metadata'!$B$5)^(O77-1))</x:f>
        <x:v>316.22776601683796</x:v>
      </x:c>
      <x:c r="U77" s="31" t="n">
        <x:f>IF(T77="","",I77*T77)</x:f>
        <x:v>433.23203944306806</x:v>
      </x:c>
    </x:row>
    <x:row r="78" ht="18" customHeight="1">
      <x:c r="A78" s="24" t="str">
        <x:v>EEZ_622</x:v>
      </x:c>
      <x:c r="B78" s="24" t="str">
        <x:v>Azores Isl. (Portugal)</x:v>
      </x:c>
      <x:c r="C78" s="24" t="str">
        <x:v>EEZ</x:v>
      </x:c>
      <x:c r="D78" s="30" t="n">
        <x:v>2019</x:v>
      </x:c>
      <x:c r="E78" s="24" t="str">
        <x:v>Chelidonichthys cuculus</x:v>
      </x:c>
      <x:c r="F78" s="24" t="str">
        <x:v>Red gurnard</x:v>
      </x:c>
      <x:c r="G78" s="24" t="str">
        <x:v>Medium demersals (30 - 89 cm)</x:v>
      </x:c>
      <x:c r="H78" s="24" t="str">
        <x:v>Scorpionfishes</x:v>
      </x:c>
      <x:c r="I78" s="31" t="n">
        <x:v>1.28</x:v>
      </x:c>
      <x:c r="J78" s="31" t="n">
        <x:v>0.55519153</x:v>
      </x:c>
      <x:c r="K78" s="31" t="n">
        <x:v>0.72480847</x:v>
      </x:c>
      <x:c r="L78" s="31" t="n">
        <x:v>0.38</x:v>
      </x:c>
      <x:c r="M78" s="31" t="n">
        <x:v>0.9</x:v>
      </x:c>
      <x:c r="N78" s="24" t="str">
        <x:v>chelidonichthys cuculus</x:v>
      </x:c>
      <x:c r="O78" s="32" t="n">
        <x:v>3.81</x:v>
      </x:c>
      <x:c r="P78" s="24" t="str">
        <x:v>exact_2020_supplement</x:v>
      </x:c>
      <x:c r="Q78" s="32" t="str">
        <x:v>2020 supplement MeanTL</x:v>
      </x:c>
      <x:c r="R78" s="24" t="str">
        <x:v>high</x:v>
      </x:c>
      <x:c r="S78" s="24" t="str">
        <x:v>Chelidonichthys cuculus</x:v>
      </x:c>
      <x:c r="T78" s="32" t="n">
        <x:f>IF(O78="","",(1/'Metadata'!$B$5)^(O78-1))</x:f>
        <x:v>645.6542290346556</x:v>
      </x:c>
      <x:c r="U78" s="31" t="n">
        <x:f>IF(T78="","",I78*T78)</x:f>
        <x:v>826.4374131643592</x:v>
      </x:c>
    </x:row>
    <x:row r="79" ht="18" customHeight="1">
      <x:c r="A79" s="24" t="str">
        <x:v>EEZ_622</x:v>
      </x:c>
      <x:c r="B79" s="24" t="str">
        <x:v>Azores Isl. (Portugal)</x:v>
      </x:c>
      <x:c r="C79" s="24" t="str">
        <x:v>EEZ</x:v>
      </x:c>
      <x:c r="D79" s="30" t="n">
        <x:v>2019</x:v>
      </x:c>
      <x:c r="E79" s="24" t="str">
        <x:v>Gempylidae</x:v>
      </x:c>
      <x:c r="F79" s="24" t="str">
        <x:v>Snake mackerels</x:v>
      </x:c>
      <x:c r="G79" s="24" t="str">
        <x:v>Large benthopelagics (&gt;=90 cm)</x:v>
      </x:c>
      <x:c r="H79" s="24" t="str">
        <x:v>Perch-likes</x:v>
      </x:c>
      <x:c r="I79" s="31" t="n">
        <x:v>1.171979506</x:v>
      </x:c>
      <x:c r="J79" s="31" t="n">
        <x:v>1.171451941</x:v>
      </x:c>
      <x:c r="K79" s="31" t="n">
        <x:v>0.000527565</x:v>
      </x:c>
      <x:c r="L79" s="31" t="n">
        <x:v>0</x:v>
      </x:c>
      <x:c r="M79" s="31" t="n">
        <x:v>1.171979506</x:v>
      </x:c>
      <x:c r="N79" s="24" t="str">
        <x:v>gempylidae</x:v>
      </x:c>
      <x:c r="O79" s="32" t="n">
        <x:v>4.21</x:v>
      </x:c>
      <x:c r="P79" s="24" t="str">
        <x:v>exact_sea_around_us</x:v>
      </x:c>
      <x:c r="Q79" s="32" t="str">
        <x:v>Sea Around Us exploited organisms</x:v>
      </x:c>
      <x:c r="R79" s="24" t="str">
        <x:v>high</x:v>
      </x:c>
      <x:c r="S79" s="24" t="str">
        <x:v>Gempylidae</x:v>
      </x:c>
      <x:c r="T79" s="32" t="n">
        <x:f>IF(O79="","",(1/'Metadata'!$B$5)^(O79-1))</x:f>
        <x:v>1621.8100973589299</x:v>
      </x:c>
      <x:c r="U79" s="31" t="n">
        <x:f>IF(T79="","",I79*T79)</x:f>
        <x:v>1900.7281967285305</x:v>
      </x:c>
    </x:row>
    <x:row r="80" ht="18" customHeight="1">
      <x:c r="A80" s="24" t="str">
        <x:v>EEZ_622</x:v>
      </x:c>
      <x:c r="B80" s="24" t="str">
        <x:v>Azores Isl. (Portugal)</x:v>
      </x:c>
      <x:c r="C80" s="24" t="str">
        <x:v>EEZ</x:v>
      </x:c>
      <x:c r="D80" s="30" t="n">
        <x:v>2019</x:v>
      </x:c>
      <x:c r="E80" s="24" t="str">
        <x:v>Scyllarides latus</x:v>
      </x:c>
      <x:c r="F80" s="24" t="str">
        <x:v>Mediterranean slipper lobster</x:v>
      </x:c>
      <x:c r="G80" s="24" t="str">
        <x:v>Lobsters, crabs</x:v>
      </x:c>
      <x:c r="H80" s="24" t="str">
        <x:v>Crustaceans</x:v>
      </x:c>
      <x:c r="I80" s="31" t="n">
        <x:v>1.15</x:v>
      </x:c>
      <x:c r="J80" s="31" t="n">
        <x:v>1.15</x:v>
      </x:c>
      <x:c r="K80" s="31" t="n">
        <x:v>0</x:v>
      </x:c>
      <x:c r="L80" s="31" t="n">
        <x:v>1.15</x:v>
      </x:c>
      <x:c r="M80" s="31" t="n">
        <x:v>0</x:v>
      </x:c>
      <x:c r="N80" s="24" t="str">
        <x:v>scyllarides latus</x:v>
      </x:c>
      <x:c r="O80" s="32" t="n">
        <x:v>3.37</x:v>
      </x:c>
      <x:c r="P80" s="24" t="str">
        <x:v>exact_sea_around_us</x:v>
      </x:c>
      <x:c r="Q80" s="32" t="str">
        <x:v>Sea Around Us exploited organisms</x:v>
      </x:c>
      <x:c r="R80" s="24" t="str">
        <x:v>high</x:v>
      </x:c>
      <x:c r="S80" s="24" t="str">
        <x:v>Scyllarides latus</x:v>
      </x:c>
      <x:c r="T80" s="32" t="n">
        <x:f>IF(O80="","",(1/'Metadata'!$B$5)^(O80-1))</x:f>
        <x:v>234.42288153199226</x:v>
      </x:c>
      <x:c r="U80" s="31" t="n">
        <x:f>IF(T80="","",I80*T80)</x:f>
        <x:v>269.5863137617911</x:v>
      </x:c>
    </x:row>
    <x:row r="81" ht="18" customHeight="1">
      <x:c r="A81" s="24" t="str">
        <x:v>EEZ_622</x:v>
      </x:c>
      <x:c r="B81" s="24" t="str">
        <x:v>Azores Isl. (Portugal)</x:v>
      </x:c>
      <x:c r="C81" s="24" t="str">
        <x:v>EEZ</x:v>
      </x:c>
      <x:c r="D81" s="30" t="n">
        <x:v>2019</x:v>
      </x:c>
      <x:c r="E81" s="24" t="str">
        <x:v>Pteroplatytrygon violacea</x:v>
      </x:c>
      <x:c r="F81" s="24" t="str">
        <x:v>Pelagic stingray</x:v>
      </x:c>
      <x:c r="G81" s="24" t="str">
        <x:v>Large rays (&gt;=90 cm)</x:v>
      </x:c>
      <x:c r="H81" s="24" t="str">
        <x:v>Sharks &amp; rays</x:v>
      </x:c>
      <x:c r="I81" s="31" t="n">
        <x:v>1.146964672</x:v>
      </x:c>
      <x:c r="J81" s="31" t="n">
        <x:v>0</x:v>
      </x:c>
      <x:c r="K81" s="31" t="n">
        <x:v>1.146964672</x:v>
      </x:c>
      <x:c r="L81" s="31" t="n">
        <x:v>0</x:v>
      </x:c>
      <x:c r="M81" s="31" t="n">
        <x:v>1.146964672</x:v>
      </x:c>
      <x:c r="N81" s="24" t="str">
        <x:v>pteroplatytrygon violacea</x:v>
      </x:c>
      <x:c r="O81" s="32" t="n">
        <x:v>4.36</x:v>
      </x:c>
      <x:c r="P81" s="24" t="str">
        <x:v>exact_2020_supplement</x:v>
      </x:c>
      <x:c r="Q81" s="32" t="str">
        <x:v>2020 supplement MeanTL</x:v>
      </x:c>
      <x:c r="R81" s="24" t="str">
        <x:v>high</x:v>
      </x:c>
      <x:c r="S81" s="24" t="str">
        <x:v>Pteroplatytrygon violacea</x:v>
      </x:c>
      <x:c r="T81" s="32" t="n">
        <x:f>IF(O81="","",(1/'Metadata'!$B$5)^(O81-1))</x:f>
        <x:v>2290.867652767775</x:v>
      </x:c>
      <x:c r="U81" s="31" t="n">
        <x:f>IF(T81="","",I81*T81)</x:f>
        <x:v>2627.544265952201</x:v>
      </x:c>
    </x:row>
    <x:row r="82" ht="18" customHeight="1">
      <x:c r="A82" s="24" t="str">
        <x:v>EEZ_622</x:v>
      </x:c>
      <x:c r="B82" s="24" t="str">
        <x:v>Azores Isl. (Portugal)</x:v>
      </x:c>
      <x:c r="C82" s="24" t="str">
        <x:v>EEZ</x:v>
      </x:c>
      <x:c r="D82" s="30" t="n">
        <x:v>2019</x:v>
      </x:c>
      <x:c r="E82" s="24" t="str">
        <x:v>Mycteroperca fusca</x:v>
      </x:c>
      <x:c r="F82" s="24" t="str">
        <x:v>Island grouper</x:v>
      </x:c>
      <x:c r="G82" s="24" t="str">
        <x:v>Large reef assoc. fish (&gt;=90 cm)</x:v>
      </x:c>
      <x:c r="H82" s="24" t="str">
        <x:v>Perch-likes</x:v>
      </x:c>
      <x:c r="I82" s="31" t="n">
        <x:v>1.14</x:v>
      </x:c>
      <x:c r="J82" s="31" t="n">
        <x:v>1.14</x:v>
      </x:c>
      <x:c r="K82" s="31" t="n">
        <x:v>0</x:v>
      </x:c>
      <x:c r="L82" s="31" t="n">
        <x:v>1.14</x:v>
      </x:c>
      <x:c r="M82" s="31" t="n">
        <x:v>0</x:v>
      </x:c>
      <x:c r="N82" s="24" t="str">
        <x:v>mycteroperca fusca</x:v>
      </x:c>
      <x:c r="O82" s="32" t="n">
        <x:v>4.3</x:v>
      </x:c>
      <x:c r="P82" s="24" t="str">
        <x:v>exact_sea_around_us</x:v>
      </x:c>
      <x:c r="Q82" s="32" t="str">
        <x:v>Sea Around Us exploited organisms</x:v>
      </x:c>
      <x:c r="R82" s="24" t="str">
        <x:v>high</x:v>
      </x:c>
      <x:c r="S82" s="24" t="str">
        <x:v>Mycteroperca fusca</x:v>
      </x:c>
      <x:c r="T82" s="32" t="n">
        <x:f>IF(O82="","",(1/'Metadata'!$B$5)^(O82-1))</x:f>
        <x:v>1995.2623149688789</x:v>
      </x:c>
      <x:c r="U82" s="31" t="n">
        <x:f>IF(T82="","",I82*T82)</x:f>
        <x:v>2274.5990390645215</x:v>
      </x:c>
    </x:row>
    <x:row r="83" ht="18" customHeight="1">
      <x:c r="A83" s="24" t="str">
        <x:v>EEZ_622</x:v>
      </x:c>
      <x:c r="B83" s="24" t="str">
        <x:v>Azores Isl. (Portugal)</x:v>
      </x:c>
      <x:c r="C83" s="24" t="str">
        <x:v>EEZ</x:v>
      </x:c>
      <x:c r="D83" s="30" t="n">
        <x:v>2019</x:v>
      </x:c>
      <x:c r="E83" s="24" t="str">
        <x:v>Brama brama</x:v>
      </x:c>
      <x:c r="F83" s="24" t="str">
        <x:v>Atlantic pomfret</x:v>
      </x:c>
      <x:c r="G83" s="24" t="str">
        <x:v>Medium bathypelagics (30 - 89 cm)</x:v>
      </x:c>
      <x:c r="H83" s="24" t="str">
        <x:v>Perch-likes</x:v>
      </x:c>
      <x:c r="I83" s="31" t="n">
        <x:v>1.0686165774</x:v>
      </x:c>
      <x:c r="J83" s="31" t="n">
        <x:v>0.9789905464</x:v>
      </x:c>
      <x:c r="K83" s="31" t="n">
        <x:v>0.089626031</x:v>
      </x:c>
      <x:c r="L83" s="31" t="n">
        <x:v>0.5886165774000001</x:v>
      </x:c>
      <x:c r="M83" s="31" t="n">
        <x:v>0.48</x:v>
      </x:c>
      <x:c r="N83" s="24" t="str">
        <x:v>brama brama</x:v>
      </x:c>
      <x:c r="O83" s="32" t="n">
        <x:v>4.08</x:v>
      </x:c>
      <x:c r="P83" s="24" t="str">
        <x:v>exact_2020_supplement</x:v>
      </x:c>
      <x:c r="Q83" s="32" t="str">
        <x:v>2020 supplement MeanTL</x:v>
      </x:c>
      <x:c r="R83" s="24" t="str">
        <x:v>high</x:v>
      </x:c>
      <x:c r="S83" s="24" t="str">
        <x:v>Brama brama</x:v>
      </x:c>
      <x:c r="T83" s="32" t="n">
        <x:f>IF(O83="","",(1/'Metadata'!$B$5)^(O83-1))</x:f>
        <x:v>1202.2644346174131</x:v>
      </x:c>
      <x:c r="U83" s="31" t="n">
        <x:f>IF(T83="","",I83*T83)</x:f>
        <x:v>1284.7597052506062</x:v>
      </x:c>
    </x:row>
    <x:row r="84" ht="18" customHeight="1">
      <x:c r="A84" s="24" t="str">
        <x:v>EEZ_622</x:v>
      </x:c>
      <x:c r="B84" s="24" t="str">
        <x:v>Azores Isl. (Portugal)</x:v>
      </x:c>
      <x:c r="C84" s="24" t="str">
        <x:v>EEZ</x:v>
      </x:c>
      <x:c r="D84" s="30" t="n">
        <x:v>2019</x:v>
      </x:c>
      <x:c r="E84" s="24" t="str">
        <x:v>Moridae</x:v>
      </x:c>
      <x:c r="F84" s="24" t="str">
        <x:v>Codlings, moras</x:v>
      </x:c>
      <x:c r="G84" s="24" t="str">
        <x:v>Medium benthopelagics (30 - 89 cm)</x:v>
      </x:c>
      <x:c r="H84" s="24" t="str">
        <x:v>Cod-likes</x:v>
      </x:c>
      <x:c r="I84" s="31" t="n">
        <x:v>1.061086162</x:v>
      </x:c>
      <x:c r="J84" s="31" t="n">
        <x:v>0.001086162</x:v>
      </x:c>
      <x:c r="K84" s="31" t="n">
        <x:v>1.06</x:v>
      </x:c>
      <x:c r="L84" s="31" t="n">
        <x:v>0</x:v>
      </x:c>
      <x:c r="M84" s="31" t="n">
        <x:v>1.061086162</x:v>
      </x:c>
      <x:c r="N84" s="24" t="str">
        <x:v>moridae</x:v>
      </x:c>
      <x:c r="O84" s="32" t="n">
        <x:v>3.87</x:v>
      </x:c>
      <x:c r="P84" s="24" t="str">
        <x:v>exact_sea_around_us</x:v>
      </x:c>
      <x:c r="Q84" s="32" t="str">
        <x:v>Sea Around Us exploited organisms</x:v>
      </x:c>
      <x:c r="R84" s="24" t="str">
        <x:v>high</x:v>
      </x:c>
      <x:c r="S84" s="24" t="str">
        <x:v>Moridae</x:v>
      </x:c>
      <x:c r="T84" s="32" t="n">
        <x:f>IF(O84="","",(1/'Metadata'!$B$5)^(O84-1))</x:f>
        <x:v>741.3102413009177</x:v>
      </x:c>
      <x:c r="U84" s="31" t="n">
        <x:f>IF(T84="","",I84*T84)</x:f>
        <x:v>786.5940387932847</x:v>
      </x:c>
    </x:row>
    <x:row r="85" ht="18" customHeight="1">
      <x:c r="A85" s="24" t="str">
        <x:v>EEZ_622</x:v>
      </x:c>
      <x:c r="B85" s="24" t="str">
        <x:v>Azores Isl. (Portugal)</x:v>
      </x:c>
      <x:c r="C85" s="24" t="str">
        <x:v>EEZ</x:v>
      </x:c>
      <x:c r="D85" s="30" t="n">
        <x:v>2019</x:v>
      </x:c>
      <x:c r="E85" s="24" t="str">
        <x:v>Bivalvia</x:v>
      </x:c>
      <x:c r="F85" s="24" t="str">
        <x:v>Clams</x:v>
      </x:c>
      <x:c r="G85" s="24" t="str">
        <x:v>Other demersal invertebrates</x:v>
      </x:c>
      <x:c r="H85" s="24" t="str">
        <x:v>Molluscs</x:v>
      </x:c>
      <x:c r="I85" s="31" t="n">
        <x:v>1</x:v>
      </x:c>
      <x:c r="J85" s="31" t="n">
        <x:v>1</x:v>
      </x:c>
      <x:c r="K85" s="31" t="n">
        <x:v>0</x:v>
      </x:c>
      <x:c r="L85" s="31" t="n">
        <x:v>1</x:v>
      </x:c>
      <x:c r="M85" s="31" t="n">
        <x:v>0</x:v>
      </x:c>
      <x:c r="N85" s="24" t="str">
        <x:v>bivalvia</x:v>
      </x:c>
      <x:c r="O85" s="32" t="n">
        <x:v>2.23</x:v>
      </x:c>
      <x:c r="P85" s="24" t="str">
        <x:v>exact_sea_around_us</x:v>
      </x:c>
      <x:c r="Q85" s="32" t="str">
        <x:v>Sea Around Us exploited organisms</x:v>
      </x:c>
      <x:c r="R85" s="24" t="str">
        <x:v>high</x:v>
      </x:c>
      <x:c r="S85" s="24" t="str">
        <x:v>Bivalvia</x:v>
      </x:c>
      <x:c r="T85" s="32" t="n">
        <x:f>IF(O85="","",(1/'Metadata'!$B$5)^(O85-1))</x:f>
        <x:v>16.982436524617444</x:v>
      </x:c>
      <x:c r="U85" s="31" t="n">
        <x:f>IF(T85="","",I85*T85)</x:f>
        <x:v>16.982436524617444</x:v>
      </x:c>
    </x:row>
    <x:row r="86" ht="18" customHeight="1">
      <x:c r="A86" s="24" t="str">
        <x:v>EEZ_622</x:v>
      </x:c>
      <x:c r="B86" s="24" t="str">
        <x:v>Azores Isl. (Portugal)</x:v>
      </x:c>
      <x:c r="C86" s="24" t="str">
        <x:v>EEZ</x:v>
      </x:c>
      <x:c r="D86" s="30" t="n">
        <x:v>2019</x:v>
      </x:c>
      <x:c r="E86" s="24" t="str">
        <x:v>Echinodermata</x:v>
      </x:c>
      <x:c r="F86" s="24" t="str">
        <x:v>Sea urchins, stars, cucumbers</x:v>
      </x:c>
      <x:c r="G86" s="24" t="str">
        <x:v>Other demersal invertebrates</x:v>
      </x:c>
      <x:c r="H86" s="24" t="str">
        <x:v>Other fishes &amp; inverts</x:v>
      </x:c>
      <x:c r="I86" s="31" t="n">
        <x:v>1</x:v>
      </x:c>
      <x:c r="J86" s="31" t="n">
        <x:v>1</x:v>
      </x:c>
      <x:c r="K86" s="31" t="n">
        <x:v>0</x:v>
      </x:c>
      <x:c r="L86" s="31" t="n">
        <x:v>1</x:v>
      </x:c>
      <x:c r="M86" s="31" t="n">
        <x:v>0</x:v>
      </x:c>
      <x:c r="N86" s="24" t="str">
        <x:v>echinodermata</x:v>
      </x:c>
      <x:c r="O86" s="32" t="n">
        <x:v>2.3</x:v>
      </x:c>
      <x:c r="P86" s="24" t="str">
        <x:v>exact_sea_around_us</x:v>
      </x:c>
      <x:c r="Q86" s="32" t="str">
        <x:v>Sea Around Us exploited organisms</x:v>
      </x:c>
      <x:c r="R86" s="24" t="str">
        <x:v>high</x:v>
      </x:c>
      <x:c r="S86" s="24" t="str">
        <x:v>Echinodermata</x:v>
      </x:c>
      <x:c r="T86" s="32" t="n">
        <x:f>IF(O86="","",(1/'Metadata'!$B$5)^(O86-1))</x:f>
        <x:v>19.952623149688787</x:v>
      </x:c>
      <x:c r="U86" s="31" t="n">
        <x:f>IF(T86="","",I86*T86)</x:f>
        <x:v>19.952623149688787</x:v>
      </x:c>
    </x:row>
    <x:row r="87" ht="18" customHeight="1">
      <x:c r="A87" s="24" t="str">
        <x:v>EEZ_622</x:v>
      </x:c>
      <x:c r="B87" s="24" t="str">
        <x:v>Azores Isl. (Portugal)</x:v>
      </x:c>
      <x:c r="C87" s="24" t="str">
        <x:v>EEZ</x:v>
      </x:c>
      <x:c r="D87" s="30" t="n">
        <x:v>2019</x:v>
      </x:c>
      <x:c r="E87" s="24" t="str">
        <x:v>Murex</x:v>
      </x:c>
      <x:c r="F87" s="24" t="str">
        <x:v>Murex shells</x:v>
      </x:c>
      <x:c r="G87" s="24" t="str">
        <x:v>Other demersal invertebrates</x:v>
      </x:c>
      <x:c r="H87" s="24" t="str">
        <x:v>Molluscs</x:v>
      </x:c>
      <x:c r="I87" s="31" t="n">
        <x:v>0.88</x:v>
      </x:c>
      <x:c r="J87" s="31" t="n">
        <x:v>0.88</x:v>
      </x:c>
      <x:c r="K87" s="31" t="n">
        <x:v>0</x:v>
      </x:c>
      <x:c r="L87" s="31" t="n">
        <x:v>0.88</x:v>
      </x:c>
      <x:c r="M87" s="31" t="n">
        <x:v>0</x:v>
      </x:c>
      <x:c r="N87" s="24" t="str">
        <x:v>murex</x:v>
      </x:c>
      <x:c r="O87" s="32" t="n">
        <x:v>2</x:v>
      </x:c>
      <x:c r="P87" s="24" t="str">
        <x:v>exact_sea_around_us</x:v>
      </x:c>
      <x:c r="Q87" s="32" t="str">
        <x:v>Sea Around Us exploited organisms</x:v>
      </x:c>
      <x:c r="R87" s="24" t="str">
        <x:v>high</x:v>
      </x:c>
      <x:c r="S87" s="24" t="str">
        <x:v>Murex</x:v>
      </x:c>
      <x:c r="T87" s="32" t="n">
        <x:f>IF(O87="","",(1/'Metadata'!$B$5)^(O87-1))</x:f>
        <x:v>10</x:v>
      </x:c>
      <x:c r="U87" s="31" t="n">
        <x:f>IF(T87="","",I87*T87)</x:f>
        <x:v>8.8</x:v>
      </x:c>
    </x:row>
    <x:row r="88" ht="18" customHeight="1">
      <x:c r="A88" s="24" t="str">
        <x:v>EEZ_622</x:v>
      </x:c>
      <x:c r="B88" s="24" t="str">
        <x:v>Azores Isl. (Portugal)</x:v>
      </x:c>
      <x:c r="C88" s="24" t="str">
        <x:v>EEZ</x:v>
      </x:c>
      <x:c r="D88" s="30" t="n">
        <x:v>2019</x:v>
      </x:c>
      <x:c r="E88" s="24" t="str">
        <x:v>Sphoeroides pachygaster</x:v>
      </x:c>
      <x:c r="F88" s="24" t="str">
        <x:v>Blunthead puffer</x:v>
      </x:c>
      <x:c r="G88" s="24" t="str">
        <x:v>Medium benthopelagics (30 - 89 cm)</x:v>
      </x:c>
      <x:c r="H88" s="24" t="str">
        <x:v>Other fishes &amp; inverts</x:v>
      </x:c>
      <x:c r="I88" s="31" t="n">
        <x:v>0.66</x:v>
      </x:c>
      <x:c r="J88" s="31" t="n">
        <x:v>0</x:v>
      </x:c>
      <x:c r="K88" s="31" t="n">
        <x:v>0.66</x:v>
      </x:c>
      <x:c r="L88" s="31" t="n">
        <x:v>0</x:v>
      </x:c>
      <x:c r="M88" s="31" t="n">
        <x:v>0.66</x:v>
      </x:c>
      <x:c r="N88" s="24" t="str">
        <x:v>sphoeroides pachygaster</x:v>
      </x:c>
      <x:c r="O88" s="32" t="n">
        <x:v>4.2</x:v>
      </x:c>
      <x:c r="P88" s="24" t="str">
        <x:v>exact_2020_supplement</x:v>
      </x:c>
      <x:c r="Q88" s="32" t="str">
        <x:v>2020 supplement MeanTL</x:v>
      </x:c>
      <x:c r="R88" s="24" t="str">
        <x:v>high</x:v>
      </x:c>
      <x:c r="S88" s="24" t="str">
        <x:v>Sphoeroides pachygaster</x:v>
      </x:c>
      <x:c r="T88" s="32" t="n">
        <x:f>IF(O88="","",(1/'Metadata'!$B$5)^(O88-1))</x:f>
        <x:v>1584.893192461114</x:v>
      </x:c>
      <x:c r="U88" s="31" t="n">
        <x:f>IF(T88="","",I88*T88)</x:f>
        <x:v>1046.0295070243353</x:v>
      </x:c>
    </x:row>
    <x:row r="89" ht="18" customHeight="1">
      <x:c r="A89" s="24" t="str">
        <x:v>EEZ_622</x:v>
      </x:c>
      <x:c r="B89" s="24" t="str">
        <x:v>Azores Isl. (Portugal)</x:v>
      </x:c>
      <x:c r="C89" s="24" t="str">
        <x:v>EEZ</x:v>
      </x:c>
      <x:c r="D89" s="30" t="n">
        <x:v>2019</x:v>
      </x:c>
      <x:c r="E89" s="24" t="str">
        <x:v>Tetrapturus pfluegeri</x:v>
      </x:c>
      <x:c r="F89" s="24" t="str">
        <x:v>Longbill spearfish</x:v>
      </x:c>
      <x:c r="G89" s="24" t="str">
        <x:v>Large pelagics (&gt;=90 cm)</x:v>
      </x:c>
      <x:c r="H89" s="24" t="str">
        <x:v>Tuna &amp; billfishes</x:v>
      </x:c>
      <x:c r="I89" s="31" t="n">
        <x:v>0.6253862662999999</x:v>
      </x:c>
      <x:c r="J89" s="31" t="n">
        <x:v>0.6253862662999999</x:v>
      </x:c>
      <x:c r="K89" s="31" t="n">
        <x:v>0</x:v>
      </x:c>
      <x:c r="L89" s="31" t="n">
        <x:v>0.5991509383</x:v>
      </x:c>
      <x:c r="M89" s="31" t="n">
        <x:v>0.026235328</x:v>
      </x:c>
      <x:c r="N89" s="24" t="str">
        <x:v>tetrapturus pfluegeri</x:v>
      </x:c>
      <x:c r="O89" s="32" t="n">
        <x:v>4.4</x:v>
      </x:c>
      <x:c r="P89" s="24" t="str">
        <x:v>exact_2020_supplement</x:v>
      </x:c>
      <x:c r="Q89" s="32" t="str">
        <x:v>2020 supplement MeanTL</x:v>
      </x:c>
      <x:c r="R89" s="24" t="str">
        <x:v>high</x:v>
      </x:c>
      <x:c r="S89" s="24" t="str">
        <x:v>Tetrapturus pfluegeri</x:v>
      </x:c>
      <x:c r="T89" s="32" t="n">
        <x:f>IF(O89="","",(1/'Metadata'!$B$5)^(O89-1))</x:f>
        <x:v>2511.886431509582</x:v>
      </x:c>
      <x:c r="U89" s="31" t="n">
        <x:f>IF(T89="","",I89*T89)</x:f>
        <x:v>1570.899276771408</x:v>
      </x:c>
    </x:row>
    <x:row r="90" ht="18" customHeight="1">
      <x:c r="A90" s="24" t="str">
        <x:v>EEZ_622</x:v>
      </x:c>
      <x:c r="B90" s="24" t="str">
        <x:v>Azores Isl. (Portugal)</x:v>
      </x:c>
      <x:c r="C90" s="24" t="str">
        <x:v>EEZ</x:v>
      </x:c>
      <x:c r="D90" s="30" t="n">
        <x:v>2019</x:v>
      </x:c>
      <x:c r="E90" s="24" t="str">
        <x:v>Isurus paucus</x:v>
      </x:c>
      <x:c r="F90" s="24" t="str">
        <x:v>Longfin mako</x:v>
      </x:c>
      <x:c r="G90" s="24" t="str">
        <x:v>Large sharks (&gt;=90 cm)</x:v>
      </x:c>
      <x:c r="H90" s="24" t="str">
        <x:v>Sharks &amp; rays</x:v>
      </x:c>
      <x:c r="I90" s="31" t="n">
        <x:v>0.6045420725</x:v>
      </x:c>
      <x:c r="J90" s="31" t="n">
        <x:v>0.6045420725</x:v>
      </x:c>
      <x:c r="K90" s="31" t="n">
        <x:v>0</x:v>
      </x:c>
      <x:c r="L90" s="31" t="n">
        <x:v>0.6045420725</x:v>
      </x:c>
      <x:c r="M90" s="31" t="n">
        <x:v>0</x:v>
      </x:c>
      <x:c r="N90" s="24" t="str">
        <x:v>isurus paucus</x:v>
      </x:c>
      <x:c r="O90" s="32" t="n">
        <x:v>4.51</x:v>
      </x:c>
      <x:c r="P90" s="24" t="str">
        <x:v>exact_2020_supplement</x:v>
      </x:c>
      <x:c r="Q90" s="32" t="str">
        <x:v>2020 supplement MeanTL</x:v>
      </x:c>
      <x:c r="R90" s="24" t="str">
        <x:v>high</x:v>
      </x:c>
      <x:c r="S90" s="24" t="str">
        <x:v>Isurus paucus</x:v>
      </x:c>
      <x:c r="T90" s="32" t="n">
        <x:f>IF(O90="","",(1/'Metadata'!$B$5)^(O90-1))</x:f>
        <x:v>3235.936569296281</x:v>
      </x:c>
      <x:c r="U90" s="31" t="n">
        <x:f>IF(T90="","",I90*T90)</x:f>
        <x:v>1956.2598000809137</x:v>
      </x:c>
    </x:row>
    <x:row r="91" ht="18" customHeight="1">
      <x:c r="A91" s="24" t="str">
        <x:v>EEZ_622</x:v>
      </x:c>
      <x:c r="B91" s="24" t="str">
        <x:v>Azores Isl. (Portugal)</x:v>
      </x:c>
      <x:c r="C91" s="24" t="str">
        <x:v>EEZ</x:v>
      </x:c>
      <x:c r="D91" s="30" t="n">
        <x:v>2019</x:v>
      </x:c>
      <x:c r="E91" s="24" t="str">
        <x:v>Aphanopus intermedius</x:v>
      </x:c>
      <x:c r="F91" s="24" t="str">
        <x:v>Intermediate scabbardfish</x:v>
      </x:c>
      <x:c r="G91" s="24" t="str">
        <x:v>Large benthopelagics (&gt;=90 cm)</x:v>
      </x:c>
      <x:c r="H91" s="24" t="str">
        <x:v>Perch-likes</x:v>
      </x:c>
      <x:c r="I91" s="31" t="n">
        <x:v>0.538123504</x:v>
      </x:c>
      <x:c r="J91" s="31" t="n">
        <x:v>0.292368466</x:v>
      </x:c>
      <x:c r="K91" s="31" t="n">
        <x:v>0.245755038</x:v>
      </x:c>
      <x:c r="L91" s="31" t="n">
        <x:v>0.01</x:v>
      </x:c>
      <x:c r="M91" s="31" t="n">
        <x:v>0.528123504</x:v>
      </x:c>
      <x:c r="N91" s="24" t="str">
        <x:v>aphanopus intermedius</x:v>
      </x:c>
      <x:c r="O91" s="32" t="n">
        <x:v>4.11</x:v>
      </x:c>
      <x:c r="P91" s="24" t="str">
        <x:v>exact_sea_around_us</x:v>
      </x:c>
      <x:c r="Q91" s="32" t="str">
        <x:v>Sea Around Us exploited organisms</x:v>
      </x:c>
      <x:c r="R91" s="24" t="str">
        <x:v>high</x:v>
      </x:c>
      <x:c r="S91" s="24" t="str">
        <x:v>Aphanopus intermedius</x:v>
      </x:c>
      <x:c r="T91" s="32" t="n">
        <x:f>IF(O91="","",(1/'Metadata'!$B$5)^(O91-1))</x:f>
        <x:v>1288.249551693135</x:v>
      </x:c>
      <x:c r="U91" s="31" t="n">
        <x:f>IF(T91="","",I91*T91)</x:f>
        <x:v>693.2373627835389</x:v>
      </x:c>
    </x:row>
    <x:row r="92" ht="18" customHeight="1">
      <x:c r="A92" s="24" t="str">
        <x:v>EEZ_622</x:v>
      </x:c>
      <x:c r="B92" s="24" t="str">
        <x:v>Azores Isl. (Portugal)</x:v>
      </x:c>
      <x:c r="C92" s="24" t="str">
        <x:v>EEZ</x:v>
      </x:c>
      <x:c r="D92" s="30" t="n">
        <x:v>2019</x:v>
      </x:c>
      <x:c r="E92" s="24" t="str">
        <x:v>Capros aper</x:v>
      </x:c>
      <x:c r="F92" s="24" t="str">
        <x:v>Boarfish</x:v>
      </x:c>
      <x:c r="G92" s="24" t="str">
        <x:v>Small demersals (&lt;30 cm)</x:v>
      </x:c>
      <x:c r="H92" s="24" t="str">
        <x:v>Perch-likes</x:v>
      </x:c>
      <x:c r="I92" s="31" t="n">
        <x:v>0.470894087</x:v>
      </x:c>
      <x:c r="J92" s="31" t="n">
        <x:v>0</x:v>
      </x:c>
      <x:c r="K92" s="31" t="n">
        <x:v>0.470894087</x:v>
      </x:c>
      <x:c r="L92" s="31" t="n">
        <x:v>0</x:v>
      </x:c>
      <x:c r="M92" s="31" t="n">
        <x:v>0.470894087</x:v>
      </x:c>
      <x:c r="N92" s="24" t="str">
        <x:v>capros aper</x:v>
      </x:c>
      <x:c r="O92" s="32" t="n">
        <x:v>3.14</x:v>
      </x:c>
      <x:c r="P92" s="24" t="str">
        <x:v>exact_2020_supplement</x:v>
      </x:c>
      <x:c r="Q92" s="32" t="str">
        <x:v>2020 supplement MeanTL</x:v>
      </x:c>
      <x:c r="R92" s="24" t="str">
        <x:v>high</x:v>
      </x:c>
      <x:c r="S92" s="24" t="str">
        <x:v>Capros aper</x:v>
      </x:c>
      <x:c r="T92" s="32" t="n">
        <x:f>IF(O92="","",(1/'Metadata'!$B$5)^(O92-1))</x:f>
        <x:v>138.03842646028852</x:v>
      </x:c>
      <x:c r="U92" s="31" t="n">
        <x:f>IF(T92="","",I92*T92)</x:f>
        <x:v>65.0014787989342</x:v>
      </x:c>
    </x:row>
    <x:row r="93" ht="18" customHeight="1">
      <x:c r="A93" s="24" t="str">
        <x:v>EEZ_622</x:v>
      </x:c>
      <x:c r="B93" s="24" t="str">
        <x:v>Azores Isl. (Portugal)</x:v>
      </x:c>
      <x:c r="C93" s="24" t="str">
        <x:v>EEZ</x:v>
      </x:c>
      <x:c r="D93" s="30" t="n">
        <x:v>2019</x:v>
      </x:c>
      <x:c r="E93" s="24" t="str">
        <x:v>Gastropoda</x:v>
      </x:c>
      <x:c r="F93" s="24" t="str">
        <x:v>Sea snails</x:v>
      </x:c>
      <x:c r="G93" s="24" t="str">
        <x:v>Other demersal invertebrates</x:v>
      </x:c>
      <x:c r="H93" s="24" t="str">
        <x:v>Molluscs</x:v>
      </x:c>
      <x:c r="I93" s="31" t="n">
        <x:v>0.45</x:v>
      </x:c>
      <x:c r="J93" s="31" t="n">
        <x:v>0.45</x:v>
      </x:c>
      <x:c r="K93" s="31" t="n">
        <x:v>0</x:v>
      </x:c>
      <x:c r="L93" s="31" t="n">
        <x:v>0.45</x:v>
      </x:c>
      <x:c r="M93" s="31" t="n">
        <x:v>0</x:v>
      </x:c>
      <x:c r="N93" s="24" t="str">
        <x:v>gastropoda</x:v>
      </x:c>
      <x:c r="O93" s="32" t="n">
        <x:v>3.06</x:v>
      </x:c>
      <x:c r="P93" s="24" t="str">
        <x:v>exact_sea_around_us</x:v>
      </x:c>
      <x:c r="Q93" s="32" t="str">
        <x:v>Sea Around Us exploited organisms</x:v>
      </x:c>
      <x:c r="R93" s="24" t="str">
        <x:v>high</x:v>
      </x:c>
      <x:c r="S93" s="24" t="str">
        <x:v>Gastropoda</x:v>
      </x:c>
      <x:c r="T93" s="32" t="n">
        <x:f>IF(O93="","",(1/'Metadata'!$B$5)^(O93-1))</x:f>
        <x:v>114.81536214968828</x:v>
      </x:c>
      <x:c r="U93" s="31" t="n">
        <x:f>IF(T93="","",I93*T93)</x:f>
        <x:v>51.66691296735973</x:v>
      </x:c>
    </x:row>
    <x:row r="94" ht="18" customHeight="1">
      <x:c r="A94" s="24" t="str">
        <x:v>EEZ_622</x:v>
      </x:c>
      <x:c r="B94" s="24" t="str">
        <x:v>Azores Isl. (Portugal)</x:v>
      </x:c>
      <x:c r="C94" s="24" t="str">
        <x:v>EEZ</x:v>
      </x:c>
      <x:c r="D94" s="30" t="n">
        <x:v>2019</x:v>
      </x:c>
      <x:c r="E94" s="24" t="str">
        <x:v>Maja squinado</x:v>
      </x:c>
      <x:c r="F94" s="24" t="str">
        <x:v>Spinous spider crab</x:v>
      </x:c>
      <x:c r="G94" s="24" t="str">
        <x:v>Lobsters, crabs</x:v>
      </x:c>
      <x:c r="H94" s="24" t="str">
        <x:v>Crustaceans</x:v>
      </x:c>
      <x:c r="I94" s="31" t="n">
        <x:v>0.44</x:v>
      </x:c>
      <x:c r="J94" s="31" t="n">
        <x:v>0.44</x:v>
      </x:c>
      <x:c r="K94" s="31" t="n">
        <x:v>0</x:v>
      </x:c>
      <x:c r="L94" s="31" t="n">
        <x:v>0.44</x:v>
      </x:c>
      <x:c r="M94" s="31" t="n">
        <x:v>0</x:v>
      </x:c>
      <x:c r="N94" s="24" t="str">
        <x:v>maja squinado</x:v>
      </x:c>
      <x:c r="O94" s="32" t="n">
        <x:v>2.94</x:v>
      </x:c>
      <x:c r="P94" s="24" t="str">
        <x:v>exact_2020_supplement</x:v>
      </x:c>
      <x:c r="Q94" s="32" t="str">
        <x:v>2020 supplement MeanTL</x:v>
      </x:c>
      <x:c r="R94" s="24" t="str">
        <x:v>high</x:v>
      </x:c>
      <x:c r="S94" s="24" t="str">
        <x:v>Maja squinado</x:v>
      </x:c>
      <x:c r="T94" s="32" t="n">
        <x:f>IF(O94="","",(1/'Metadata'!$B$5)^(O94-1))</x:f>
        <x:v>87.09635899560806</x:v>
      </x:c>
      <x:c r="U94" s="31" t="n">
        <x:f>IF(T94="","",I94*T94)</x:f>
        <x:v>38.32239795806755</x:v>
      </x:c>
    </x:row>
    <x:row r="95" ht="18" customHeight="1">
      <x:c r="A95" s="24" t="str">
        <x:v>EEZ_622</x:v>
      </x:c>
      <x:c r="B95" s="24" t="str">
        <x:v>Azores Isl. (Portugal)</x:v>
      </x:c>
      <x:c r="C95" s="24" t="str">
        <x:v>EEZ</x:v>
      </x:c>
      <x:c r="D95" s="30" t="n">
        <x:v>2019</x:v>
      </x:c>
      <x:c r="E95" s="24" t="str">
        <x:v>Serranus cabrilla</x:v>
      </x:c>
      <x:c r="F95" s="24" t="str">
        <x:v>Comber</x:v>
      </x:c>
      <x:c r="G95" s="24" t="str">
        <x:v>Medium bathydemersals (30 - 89 cm)</x:v>
      </x:c>
      <x:c r="H95" s="24" t="str">
        <x:v>Perch-likes</x:v>
      </x:c>
      <x:c r="I95" s="31" t="n">
        <x:v>0.43</x:v>
      </x:c>
      <x:c r="J95" s="31" t="n">
        <x:v>0.354532624</x:v>
      </x:c>
      <x:c r="K95" s="31" t="n">
        <x:v>0.075467376</x:v>
      </x:c>
      <x:c r="L95" s="31" t="n">
        <x:v>0.31</x:v>
      </x:c>
      <x:c r="M95" s="31" t="n">
        <x:v>0.12</x:v>
      </x:c>
      <x:c r="N95" s="24" t="str">
        <x:v>serranus cabrilla</x:v>
      </x:c>
      <x:c r="O95" s="32" t="n">
        <x:v>3.35</x:v>
      </x:c>
      <x:c r="P95" s="24" t="str">
        <x:v>exact_2020_supplement</x:v>
      </x:c>
      <x:c r="Q95" s="32" t="str">
        <x:v>2020 supplement MeanTL</x:v>
      </x:c>
      <x:c r="R95" s="24" t="str">
        <x:v>high</x:v>
      </x:c>
      <x:c r="S95" s="24" t="str">
        <x:v>Serranus cabrilla</x:v>
      </x:c>
      <x:c r="T95" s="32" t="n">
        <x:f>IF(O95="","",(1/'Metadata'!$B$5)^(O95-1))</x:f>
        <x:v>223.872113856834</x:v>
      </x:c>
      <x:c r="U95" s="31" t="n">
        <x:f>IF(T95="","",I95*T95)</x:f>
        <x:v>96.26500895843861</x:v>
      </x:c>
    </x:row>
    <x:row r="96" ht="18" customHeight="1">
      <x:c r="A96" s="24" t="str">
        <x:v>EEZ_622</x:v>
      </x:c>
      <x:c r="B96" s="24" t="str">
        <x:v>Azores Isl. (Portugal)</x:v>
      </x:c>
      <x:c r="C96" s="24" t="str">
        <x:v>EEZ</x:v>
      </x:c>
      <x:c r="D96" s="30" t="n">
        <x:v>2019</x:v>
      </x:c>
      <x:c r="E96" s="24" t="str">
        <x:v>Ommastrephes bartramii</x:v>
      </x:c>
      <x:c r="F96" s="24" t="str">
        <x:v>Neon flying squid</x:v>
      </x:c>
      <x:c r="G96" s="24" t="str">
        <x:v>Cephalopods</x:v>
      </x:c>
      <x:c r="H96" s="24" t="str">
        <x:v>Other fishes &amp; inverts</x:v>
      </x:c>
      <x:c r="I96" s="31" t="n">
        <x:v>0.40006210000000003</x:v>
      </x:c>
      <x:c r="J96" s="31" t="n">
        <x:v>0.0000621</x:v>
      </x:c>
      <x:c r="K96" s="31" t="n">
        <x:v>0.4</x:v>
      </x:c>
      <x:c r="L96" s="31" t="n">
        <x:v>0</x:v>
      </x:c>
      <x:c r="M96" s="31" t="n">
        <x:v>0.40006210000000003</x:v>
      </x:c>
      <x:c r="N96" s="24" t="str">
        <x:v>ommastrephes bartramii</x:v>
      </x:c>
      <x:c r="O96" s="32" t="n">
        <x:v>4.37</x:v>
      </x:c>
      <x:c r="P96" s="24" t="str">
        <x:v>exact_2020_supplement</x:v>
      </x:c>
      <x:c r="Q96" s="32" t="str">
        <x:v>2020 supplement MeanTL</x:v>
      </x:c>
      <x:c r="R96" s="24" t="str">
        <x:v>high</x:v>
      </x:c>
      <x:c r="S96" s="24" t="str">
        <x:v>Ommastrephes bartramii</x:v>
      </x:c>
      <x:c r="T96" s="32" t="n">
        <x:f>IF(O96="","",(1/'Metadata'!$B$5)^(O96-1))</x:f>
        <x:v>2344.228815319923</x:v>
      </x:c>
      <x:c r="U96" s="31" t="n">
        <x:f>IF(T96="","",I96*T96)</x:f>
        <x:v>937.8371027374006</x:v>
      </x:c>
    </x:row>
    <x:row r="97" ht="18" customHeight="1">
      <x:c r="A97" s="24" t="str">
        <x:v>EEZ_622</x:v>
      </x:c>
      <x:c r="B97" s="24" t="str">
        <x:v>Azores Isl. (Portugal)</x:v>
      </x:c>
      <x:c r="C97" s="24" t="str">
        <x:v>EEZ</x:v>
      </x:c>
      <x:c r="D97" s="30" t="n">
        <x:v>2019</x:v>
      </x:c>
      <x:c r="E97" s="24" t="str">
        <x:v>Micromesistius poutassou</x:v>
      </x:c>
      <x:c r="F97" s="24" t="str">
        <x:v>Blue whiting</x:v>
      </x:c>
      <x:c r="G97" s="24" t="str">
        <x:v>Medium benthopelagics (30 - 89 cm)</x:v>
      </x:c>
      <x:c r="H97" s="24" t="str">
        <x:v>Cod-likes</x:v>
      </x:c>
      <x:c r="I97" s="31" t="n">
        <x:v>0.3</x:v>
      </x:c>
      <x:c r="J97" s="31" t="n">
        <x:v>0.117144316</x:v>
      </x:c>
      <x:c r="K97" s="31" t="n">
        <x:v>0.182855684</x:v>
      </x:c>
      <x:c r="L97" s="31" t="n">
        <x:v>0</x:v>
      </x:c>
      <x:c r="M97" s="31" t="n">
        <x:v>0.3</x:v>
      </x:c>
      <x:c r="N97" s="24" t="str">
        <x:v>micromesistius poutassou</x:v>
      </x:c>
      <x:c r="O97" s="32" t="n">
        <x:v>4.13</x:v>
      </x:c>
      <x:c r="P97" s="24" t="str">
        <x:v>exact_2020_supplement</x:v>
      </x:c>
      <x:c r="Q97" s="32" t="str">
        <x:v>2020 supplement MeanTL</x:v>
      </x:c>
      <x:c r="R97" s="24" t="str">
        <x:v>high</x:v>
      </x:c>
      <x:c r="S97" s="24" t="str">
        <x:v>Micromesistius poutassou</x:v>
      </x:c>
      <x:c r="T97" s="32" t="n">
        <x:f>IF(O97="","",(1/'Metadata'!$B$5)^(O97-1))</x:f>
        <x:v>1348.9628825916532</x:v>
      </x:c>
      <x:c r="U97" s="31" t="n">
        <x:f>IF(T97="","",I97*T97)</x:f>
        <x:v>404.68886477749595</x:v>
      </x:c>
    </x:row>
    <x:row r="98" ht="18" customHeight="1">
      <x:c r="A98" s="24" t="str">
        <x:v>EEZ_622</x:v>
      </x:c>
      <x:c r="B98" s="24" t="str">
        <x:v>Azores Isl. (Portugal)</x:v>
      </x:c>
      <x:c r="C98" s="24" t="str">
        <x:v>EEZ</x:v>
      </x:c>
      <x:c r="D98" s="30" t="n">
        <x:v>2019</x:v>
      </x:c>
      <x:c r="E98" s="24" t="str">
        <x:v>Anguilliformes</x:v>
      </x:c>
      <x:c r="F98" s="24" t="str">
        <x:v>Eels, morays</x:v>
      </x:c>
      <x:c r="G98" s="24" t="str">
        <x:v>Large demersals (&gt;=90 cm)</x:v>
      </x:c>
      <x:c r="H98" s="24" t="str">
        <x:v>Other fishes &amp; inverts</x:v>
      </x:c>
      <x:c r="I98" s="31" t="n">
        <x:v>0.26042001600000003</x:v>
      </x:c>
      <x:c r="J98" s="31" t="n">
        <x:v>0.000370316</x:v>
      </x:c>
      <x:c r="K98" s="31" t="n">
        <x:v>0.2600497</x:v>
      </x:c>
      <x:c r="L98" s="31" t="n">
        <x:v>0</x:v>
      </x:c>
      <x:c r="M98" s="31" t="n">
        <x:v>0.26042001600000003</x:v>
      </x:c>
      <x:c r="N98" s="24" t="str">
        <x:v>anguilliformes</x:v>
      </x:c>
      <x:c r="O98" s="32" t="n">
        <x:v>3.89</x:v>
      </x:c>
      <x:c r="P98" s="24" t="str">
        <x:v>exact_sea_around_us</x:v>
      </x:c>
      <x:c r="Q98" s="32" t="str">
        <x:v>Sea Around Us exploited organisms</x:v>
      </x:c>
      <x:c r="R98" s="24" t="str">
        <x:v>high</x:v>
      </x:c>
      <x:c r="S98" s="24" t="str">
        <x:v>Anguilliformes</x:v>
      </x:c>
      <x:c r="T98" s="32" t="n">
        <x:f>IF(O98="","",(1/'Metadata'!$B$5)^(O98-1))</x:f>
        <x:v>776.247116628692</x:v>
      </x:c>
      <x:c r="U98" s="31" t="n">
        <x:f>IF(T98="","",I98*T98)</x:f>
        <x:v>202.15028653239784</x:v>
      </x:c>
    </x:row>
    <x:row r="99" ht="18" customHeight="1">
      <x:c r="A99" s="24" t="str">
        <x:v>EEZ_622</x:v>
      </x:c>
      <x:c r="B99" s="24" t="str">
        <x:v>Azores Isl. (Portugal)</x:v>
      </x:c>
      <x:c r="C99" s="24" t="str">
        <x:v>EEZ</x:v>
      </x:c>
      <x:c r="D99" s="30" t="n">
        <x:v>2019</x:v>
      </x:c>
      <x:c r="E99" s="24" t="str">
        <x:v>Dendrobranchiata</x:v>
      </x:c>
      <x:c r="F99" s="24" t="str">
        <x:v>Shrimps and prawns</x:v>
      </x:c>
      <x:c r="G99" s="24" t="str">
        <x:v>Shrimps</x:v>
      </x:c>
      <x:c r="H99" s="24" t="str">
        <x:v>Crustaceans</x:v>
      </x:c>
      <x:c r="I99" s="31" t="n">
        <x:v>0.25</x:v>
      </x:c>
      <x:c r="J99" s="31" t="n">
        <x:v>0.25</x:v>
      </x:c>
      <x:c r="K99" s="31" t="n">
        <x:v>0</x:v>
      </x:c>
      <x:c r="L99" s="31" t="n">
        <x:v>0.25</x:v>
      </x:c>
      <x:c r="M99" s="31" t="n">
        <x:v>0</x:v>
      </x:c>
      <x:c r="N99" s="24" t="str">
        <x:v>dendrobranchiata</x:v>
      </x:c>
      <x:c r="O99" s="32" t="n">
        <x:v>3.24</x:v>
      </x:c>
      <x:c r="P99" s="24" t="str">
        <x:v>exact_sea_around_us</x:v>
      </x:c>
      <x:c r="Q99" s="32" t="str">
        <x:v>Sea Around Us exploited organisms</x:v>
      </x:c>
      <x:c r="R99" s="24" t="str">
        <x:v>high</x:v>
      </x:c>
      <x:c r="S99" s="24" t="str">
        <x:v>Dendrobranchiata</x:v>
      </x:c>
      <x:c r="T99" s="32" t="n">
        <x:f>IF(O99="","",(1/'Metadata'!$B$5)^(O99-1))</x:f>
        <x:v>173.78008287493762</x:v>
      </x:c>
      <x:c r="U99" s="31" t="n">
        <x:f>IF(T99="","",I99*T99)</x:f>
        <x:v>43.445020718734405</x:v>
      </x:c>
    </x:row>
    <x:row r="100" ht="18" customHeight="1">
      <x:c r="A100" s="24" t="str">
        <x:v>EEZ_622</x:v>
      </x:c>
      <x:c r="B100" s="24" t="str">
        <x:v>Azores Isl. (Portugal)</x:v>
      </x:c>
      <x:c r="C100" s="24" t="str">
        <x:v>EEZ</x:v>
      </x:c>
      <x:c r="D100" s="30" t="n">
        <x:v>2019</x:v>
      </x:c>
      <x:c r="E100" s="24" t="str">
        <x:v>Pleuronectiformes</x:v>
      </x:c>
      <x:c r="F100" s="24" t="str">
        <x:v>Flatfishes</x:v>
      </x:c>
      <x:c r="G100" s="24" t="str">
        <x:v>Small to medium flatfishes (&lt;90 cm)</x:v>
      </x:c>
      <x:c r="H100" s="24" t="str">
        <x:v>Flatfishes</x:v>
      </x:c>
      <x:c r="I100" s="31" t="n">
        <x:v>0.25</x:v>
      </x:c>
      <x:c r="J100" s="31" t="n">
        <x:v>0.25</x:v>
      </x:c>
      <x:c r="K100" s="31" t="n">
        <x:v>0</x:v>
      </x:c>
      <x:c r="L100" s="31" t="n">
        <x:v>0.25</x:v>
      </x:c>
      <x:c r="M100" s="31" t="n">
        <x:v>0</x:v>
      </x:c>
      <x:c r="N100" s="24" t="str">
        <x:v>pleuronectiformes</x:v>
      </x:c>
      <x:c r="O100" s="32" t="n">
        <x:v>3.57</x:v>
      </x:c>
      <x:c r="P100" s="24" t="str">
        <x:v>exact_sea_around_us</x:v>
      </x:c>
      <x:c r="Q100" s="32" t="str">
        <x:v>Sea Around Us exploited organisms</x:v>
      </x:c>
      <x:c r="R100" s="24" t="str">
        <x:v>high</x:v>
      </x:c>
      <x:c r="S100" s="24" t="str">
        <x:v>Pleuronectiformes</x:v>
      </x:c>
      <x:c r="T100" s="32" t="n">
        <x:f>IF(O100="","",(1/'Metadata'!$B$5)^(O100-1))</x:f>
        <x:v>371.5352290971724</x:v>
      </x:c>
      <x:c r="U100" s="31" t="n">
        <x:f>IF(T100="","",I100*T100)</x:f>
        <x:v>92.8838072742931</x:v>
      </x:c>
    </x:row>
    <x:row r="101" ht="18" customHeight="1">
      <x:c r="A101" s="24" t="str">
        <x:v>EEZ_622</x:v>
      </x:c>
      <x:c r="B101" s="24" t="str">
        <x:v>Azores Isl. (Portugal)</x:v>
      </x:c>
      <x:c r="C101" s="24" t="str">
        <x:v>EEZ</x:v>
      </x:c>
      <x:c r="D101" s="30" t="n">
        <x:v>2019</x:v>
      </x:c>
      <x:c r="E101" s="24" t="str">
        <x:v>Anthias anthias</x:v>
      </x:c>
      <x:c r="F101" s="24" t="str">
        <x:v>Swallowtail seaperch</x:v>
      </x:c>
      <x:c r="G101" s="24" t="str">
        <x:v>Small reef assoc. fish (&lt;30 cm)</x:v>
      </x:c>
      <x:c r="H101" s="24" t="str">
        <x:v>Perch-likes</x:v>
      </x:c>
      <x:c r="I101" s="31" t="n">
        <x:v>0.24</x:v>
      </x:c>
      <x:c r="J101" s="31" t="n">
        <x:v>0.03</x:v>
      </x:c>
      <x:c r="K101" s="31" t="n">
        <x:v>0.21</x:v>
      </x:c>
      <x:c r="L101" s="31" t="n">
        <x:v>0.03</x:v>
      </x:c>
      <x:c r="M101" s="31" t="n">
        <x:v>0.21</x:v>
      </x:c>
      <x:c r="N101" s="24" t="str">
        <x:v>anthias anthias</x:v>
      </x:c>
      <x:c r="O101" s="32" t="n">
        <x:v>3.75</x:v>
      </x:c>
      <x:c r="P101" s="24" t="str">
        <x:v>exact_2020_supplement</x:v>
      </x:c>
      <x:c r="Q101" s="32" t="str">
        <x:v>2020 supplement MeanTL</x:v>
      </x:c>
      <x:c r="R101" s="24" t="str">
        <x:v>high</x:v>
      </x:c>
      <x:c r="S101" s="24" t="str">
        <x:v>Anthias anthias</x:v>
      </x:c>
      <x:c r="T101" s="32" t="n">
        <x:f>IF(O101="","",(1/'Metadata'!$B$5)^(O101-1))</x:f>
        <x:v>562.341325190349</x:v>
      </x:c>
      <x:c r="U101" s="31" t="n">
        <x:f>IF(T101="","",I101*T101)</x:f>
        <x:v>134.96191804568377</x:v>
      </x:c>
    </x:row>
    <x:row r="102" ht="18" customHeight="1">
      <x:c r="A102" s="24" t="str">
        <x:v>EEZ_622</x:v>
      </x:c>
      <x:c r="B102" s="24" t="str">
        <x:v>Azores Isl. (Portugal)</x:v>
      </x:c>
      <x:c r="C102" s="24" t="str">
        <x:v>EEZ</x:v>
      </x:c>
      <x:c r="D102" s="30" t="n">
        <x:v>2019</x:v>
      </x:c>
      <x:c r="E102" s="24" t="str">
        <x:v>Perciformes</x:v>
      </x:c>
      <x:c r="F102" s="24" t="str">
        <x:v>Perch-likes</x:v>
      </x:c>
      <x:c r="G102" s="24" t="str">
        <x:v>Medium demersals (30 - 89 cm)</x:v>
      </x:c>
      <x:c r="H102" s="24" t="str">
        <x:v>Perch-likes</x:v>
      </x:c>
      <x:c r="I102" s="31" t="n">
        <x:v>0.18</x:v>
      </x:c>
      <x:c r="J102" s="31" t="n">
        <x:v>0</x:v>
      </x:c>
      <x:c r="K102" s="31" t="n">
        <x:v>0.18</x:v>
      </x:c>
      <x:c r="L102" s="31" t="n">
        <x:v>0</x:v>
      </x:c>
      <x:c r="M102" s="31" t="n">
        <x:v>0.18</x:v>
      </x:c>
      <x:c r="N102" s="24" t="str">
        <x:v>perciformes</x:v>
      </x:c>
      <x:c r="O102" s="32" t="n">
        <x:v>3.53</x:v>
      </x:c>
      <x:c r="P102" s="24" t="str">
        <x:v>exact_sea_around_us</x:v>
      </x:c>
      <x:c r="Q102" s="32" t="str">
        <x:v>Sea Around Us exploited organisms</x:v>
      </x:c>
      <x:c r="R102" s="24" t="str">
        <x:v>high</x:v>
      </x:c>
      <x:c r="S102" s="24" t="str">
        <x:v>Perciformes</x:v>
      </x:c>
      <x:c r="T102" s="32" t="n">
        <x:f>IF(O102="","",(1/'Metadata'!$B$5)^(O102-1))</x:f>
        <x:v>338.84415613920237</x:v>
      </x:c>
      <x:c r="U102" s="31" t="n">
        <x:f>IF(T102="","",I102*T102)</x:f>
        <x:v>60.99194810505642</x:v>
      </x:c>
    </x:row>
    <x:row r="103" ht="18" customHeight="1">
      <x:c r="A103" s="24" t="str">
        <x:v>EEZ_622</x:v>
      </x:c>
      <x:c r="B103" s="24" t="str">
        <x:v>Azores Isl. (Portugal)</x:v>
      </x:c>
      <x:c r="C103" s="24" t="str">
        <x:v>EEZ</x:v>
      </x:c>
      <x:c r="D103" s="30" t="n">
        <x:v>2019</x:v>
      </x:c>
      <x:c r="E103" s="24" t="str">
        <x:v>Alepocephalus rostratus</x:v>
      </x:c>
      <x:c r="F103" s="24" t="str">
        <x:v>Risso's smooth-head</x:v>
      </x:c>
      <x:c r="G103" s="24" t="str">
        <x:v>Medium bathydemersals (30 - 89 cm)</x:v>
      </x:c>
      <x:c r="H103" s="24" t="str">
        <x:v>Salmon, smelts, etc</x:v>
      </x:c>
      <x:c r="I103" s="31" t="n">
        <x:v>0.163895574</x:v>
      </x:c>
      <x:c r="J103" s="31" t="n">
        <x:v>0.040741471</x:v>
      </x:c>
      <x:c r="K103" s="31" t="n">
        <x:v>0.123154103</x:v>
      </x:c>
      <x:c r="L103" s="31" t="n">
        <x:v>0.02</x:v>
      </x:c>
      <x:c r="M103" s="31" t="n">
        <x:v>0.143895574</x:v>
      </x:c>
      <x:c r="N103" s="24" t="str">
        <x:v>alepocephalus rostratus</x:v>
      </x:c>
      <x:c r="O103" s="32" t="n">
        <x:v>3.67</x:v>
      </x:c>
      <x:c r="P103" s="24" t="str">
        <x:v>exact_2020_supplement</x:v>
      </x:c>
      <x:c r="Q103" s="32" t="str">
        <x:v>2020 supplement MeanTL</x:v>
      </x:c>
      <x:c r="R103" s="24" t="str">
        <x:v>high</x:v>
      </x:c>
      <x:c r="S103" s="24" t="str">
        <x:v>Alepocephalus rostratus</x:v>
      </x:c>
      <x:c r="T103" s="32" t="n">
        <x:f>IF(O103="","",(1/'Metadata'!$B$5)^(O103-1))</x:f>
        <x:v>467.73514128719813</x:v>
      </x:c>
      <x:c r="U103" s="31" t="n">
        <x:f>IF(T103="","",I103*T103)</x:f>
        <x:v>76.65971946123643</x:v>
      </x:c>
    </x:row>
    <x:row r="104" ht="18" customHeight="1">
      <x:c r="A104" s="24" t="str">
        <x:v>EEZ_622</x:v>
      </x:c>
      <x:c r="B104" s="24" t="str">
        <x:v>Azores Isl. (Portugal)</x:v>
      </x:c>
      <x:c r="C104" s="24" t="str">
        <x:v>EEZ</x:v>
      </x:c>
      <x:c r="D104" s="30" t="n">
        <x:v>2019</x:v>
      </x:c>
      <x:c r="E104" s="24" t="str">
        <x:v>Macroramphosus scolopax</x:v>
      </x:c>
      <x:c r="F104" s="24" t="str">
        <x:v>Longspine snipefish</x:v>
      </x:c>
      <x:c r="G104" s="24" t="str">
        <x:v>Small demersals (&lt;30 cm)</x:v>
      </x:c>
      <x:c r="H104" s="24" t="str">
        <x:v>Other fishes &amp; inverts</x:v>
      </x:c>
      <x:c r="I104" s="31" t="n">
        <x:v>0.163497092</x:v>
      </x:c>
      <x:c r="J104" s="31" t="n">
        <x:v>0.053380581</x:v>
      </x:c>
      <x:c r="K104" s="31" t="n">
        <x:v>0.110116511</x:v>
      </x:c>
      <x:c r="L104" s="31" t="n">
        <x:v>0</x:v>
      </x:c>
      <x:c r="M104" s="31" t="n">
        <x:v>0.163497092</x:v>
      </x:c>
      <x:c r="N104" s="24" t="str">
        <x:v>macroramphosus scolopax</x:v>
      </x:c>
      <x:c r="O104" s="32" t="n">
        <x:v>3.47</x:v>
      </x:c>
      <x:c r="P104" s="24" t="str">
        <x:v>exact_2020_supplement</x:v>
      </x:c>
      <x:c r="Q104" s="32" t="str">
        <x:v>2020 supplement MeanTL</x:v>
      </x:c>
      <x:c r="R104" s="24" t="str">
        <x:v>high</x:v>
      </x:c>
      <x:c r="S104" s="24" t="str">
        <x:v>Macroramphosus scolopax</x:v>
      </x:c>
      <x:c r="T104" s="32" t="n">
        <x:f>IF(O104="","",(1/'Metadata'!$B$5)^(O104-1))</x:f>
        <x:v>295.1209226666387</x:v>
      </x:c>
      <x:c r="U104" s="31" t="n">
        <x:f>IF(T104="","",I104*T104)</x:f>
        <x:v>48.251412644352314</x:v>
      </x:c>
    </x:row>
    <x:row r="105" ht="18" customHeight="1">
      <x:c r="A105" s="24" t="str">
        <x:v>EEZ_622</x:v>
      </x:c>
      <x:c r="B105" s="24" t="str">
        <x:v>Azores Isl. (Portugal)</x:v>
      </x:c>
      <x:c r="C105" s="24" t="str">
        <x:v>EEZ</x:v>
      </x:c>
      <x:c r="D105" s="30" t="n">
        <x:v>2019</x:v>
      </x:c>
      <x:c r="E105" s="24" t="str">
        <x:v>Octopodidae</x:v>
      </x:c>
      <x:c r="F105" s="24" t="str">
        <x:v>Octopuses</x:v>
      </x:c>
      <x:c r="G105" s="24" t="str">
        <x:v>Cephalopods</x:v>
      </x:c>
      <x:c r="H105" s="24" t="str">
        <x:v>Other fishes &amp; inverts</x:v>
      </x:c>
      <x:c r="I105" s="31" t="n">
        <x:v>0.16</x:v>
      </x:c>
      <x:c r="J105" s="31" t="n">
        <x:v>0</x:v>
      </x:c>
      <x:c r="K105" s="31" t="n">
        <x:v>0.16</x:v>
      </x:c>
      <x:c r="L105" s="31" t="n">
        <x:v>0</x:v>
      </x:c>
      <x:c r="M105" s="31" t="n">
        <x:v>0.16</x:v>
      </x:c>
      <x:c r="N105" s="24" t="str">
        <x:v>octopodidae</x:v>
      </x:c>
      <x:c r="O105" s="32" t="n">
        <x:v>3.59</x:v>
      </x:c>
      <x:c r="P105" s="24" t="str">
        <x:v>exact_sea_around_us</x:v>
      </x:c>
      <x:c r="Q105" s="32" t="str">
        <x:v>Sea Around Us exploited organisms</x:v>
      </x:c>
      <x:c r="R105" s="24" t="str">
        <x:v>high</x:v>
      </x:c>
      <x:c r="S105" s="24" t="str">
        <x:v>Octopodidae</x:v>
      </x:c>
      <x:c r="T105" s="32" t="n">
        <x:f>IF(O105="","",(1/'Metadata'!$B$5)^(O105-1))</x:f>
        <x:v>389.04514499428046</x:v>
      </x:c>
      <x:c r="U105" s="31" t="n">
        <x:f>IF(T105="","",I105*T105)</x:f>
        <x:v>62.24722319908488</x:v>
      </x:c>
    </x:row>
    <x:row r="106" ht="18" customHeight="1">
      <x:c r="A106" s="24" t="str">
        <x:v>EEZ_622</x:v>
      </x:c>
      <x:c r="B106" s="24" t="str">
        <x:v>Azores Isl. (Portugal)</x:v>
      </x:c>
      <x:c r="C106" s="24" t="str">
        <x:v>EEZ</x:v>
      </x:c>
      <x:c r="D106" s="30" t="n">
        <x:v>2019</x:v>
      </x:c>
      <x:c r="E106" s="24" t="str">
        <x:v>Istiophoridae</x:v>
      </x:c>
      <x:c r="F106" s="24" t="str">
        <x:v>Billfishes</x:v>
      </x:c>
      <x:c r="G106" s="24" t="str">
        <x:v>Large pelagics (&gt;=90 cm)</x:v>
      </x:c>
      <x:c r="H106" s="24" t="str">
        <x:v>Tuna &amp; billfishes</x:v>
      </x:c>
      <x:c r="I106" s="31" t="n">
        <x:v>0.1385305684</x:v>
      </x:c>
      <x:c r="J106" s="31" t="n">
        <x:v>0.1385305684</x:v>
      </x:c>
      <x:c r="K106" s="31" t="n">
        <x:v>0</x:v>
      </x:c>
      <x:c r="L106" s="31" t="n">
        <x:v>0.1385305684</x:v>
      </x:c>
      <x:c r="M106" s="31" t="n">
        <x:v>0</x:v>
      </x:c>
      <x:c r="N106" s="24" t="str">
        <x:v>istiophoridae</x:v>
      </x:c>
      <x:c r="O106" s="32" t="n">
        <x:v>4.48</x:v>
      </x:c>
      <x:c r="P106" s="24" t="str">
        <x:v>exact_sea_around_us</x:v>
      </x:c>
      <x:c r="Q106" s="32" t="str">
        <x:v>Sea Around Us exploited organisms</x:v>
      </x:c>
      <x:c r="R106" s="24" t="str">
        <x:v>high</x:v>
      </x:c>
      <x:c r="S106" s="24" t="str">
        <x:v>Istiophoridae</x:v>
      </x:c>
      <x:c r="T106" s="32" t="n">
        <x:f>IF(O106="","",(1/'Metadata'!$B$5)^(O106-1))</x:f>
        <x:v>3019.951720402019</x:v>
      </x:c>
      <x:c r="U106" s="31" t="n">
        <x:f>IF(T106="","",I106*T106)</x:f>
        <x:v>418.35562836784953</x:v>
      </x:c>
    </x:row>
    <x:row r="107" ht="18" customHeight="1">
      <x:c r="A107" s="24" t="str">
        <x:v>EEZ_622</x:v>
      </x:c>
      <x:c r="B107" s="24" t="str">
        <x:v>Azores Isl. (Portugal)</x:v>
      </x:c>
      <x:c r="C107" s="24" t="str">
        <x:v>EEZ</x:v>
      </x:c>
      <x:c r="D107" s="30" t="n">
        <x:v>2019</x:v>
      </x:c>
      <x:c r="E107" s="24" t="str">
        <x:v>Centroselachus crepidater</x:v>
      </x:c>
      <x:c r="F107" s="24" t="str">
        <x:v>Longnose velvet dogfish</x:v>
      </x:c>
      <x:c r="G107" s="24" t="str">
        <x:v>Large sharks (&gt;=90 cm)</x:v>
      </x:c>
      <x:c r="H107" s="24" t="str">
        <x:v>Sharks &amp; rays</x:v>
      </x:c>
      <x:c r="I107" s="31" t="n">
        <x:v>0.11179127</x:v>
      </x:c>
      <x:c r="J107" s="31" t="n">
        <x:v>0.095841807</x:v>
      </x:c>
      <x:c r="K107" s="31" t="n">
        <x:v>0.015949463</x:v>
      </x:c>
      <x:c r="L107" s="31" t="n">
        <x:v>0</x:v>
      </x:c>
      <x:c r="M107" s="31" t="n">
        <x:v>0.11179127</x:v>
      </x:c>
      <x:c r="N107" s="24" t="str">
        <x:v>centroselachus crepidater</x:v>
      </x:c>
      <x:c r="O107" s="32" t="n">
        <x:v>4.16</x:v>
      </x:c>
      <x:c r="P107" s="24" t="str">
        <x:v>exact_sea_around_us</x:v>
      </x:c>
      <x:c r="Q107" s="32" t="str">
        <x:v>Sea Around Us exploited organisms</x:v>
      </x:c>
      <x:c r="R107" s="24" t="str">
        <x:v>high</x:v>
      </x:c>
      <x:c r="S107" s="24" t="str">
        <x:v>Centroselachus crepidater</x:v>
      </x:c>
      <x:c r="T107" s="32" t="n">
        <x:f>IF(O107="","",(1/'Metadata'!$B$5)^(O107-1))</x:f>
        <x:v>1445.439770745928</x:v>
      </x:c>
      <x:c r="U107" s="31" t="n">
        <x:f>IF(T107="","",I107*T107)</x:f>
        <x:v>161.58754768019614</x:v>
      </x:c>
    </x:row>
    <x:row r="108" ht="18" customHeight="1">
      <x:c r="A108" s="24" t="str">
        <x:v>EEZ_622</x:v>
      </x:c>
      <x:c r="B108" s="24" t="str">
        <x:v>Azores Isl. (Portugal)</x:v>
      </x:c>
      <x:c r="C108" s="24" t="str">
        <x:v>EEZ</x:v>
      </x:c>
      <x:c r="D108" s="30" t="n">
        <x:v>2019</x:v>
      </x:c>
      <x:c r="E108" s="24" t="str">
        <x:v>Zenopsis conchifer</x:v>
      </x:c>
      <x:c r="F108" s="24" t="str">
        <x:v>Silvery John dory</x:v>
      </x:c>
      <x:c r="G108" s="24" t="str">
        <x:v>Medium benthopelagics (30 - 89 cm)</x:v>
      </x:c>
      <x:c r="H108" s="24" t="str">
        <x:v>Other fishes &amp; inverts</x:v>
      </x:c>
      <x:c r="I108" s="31" t="n">
        <x:v>0.11</x:v>
      </x:c>
      <x:c r="J108" s="31" t="n">
        <x:v>0.11</x:v>
      </x:c>
      <x:c r="K108" s="31" t="n">
        <x:v>0</x:v>
      </x:c>
      <x:c r="L108" s="31" t="n">
        <x:v>0.03</x:v>
      </x:c>
      <x:c r="M108" s="31" t="n">
        <x:v>0.08</x:v>
      </x:c>
      <x:c r="N108" s="24" t="str">
        <x:v>zenopsis conchifer</x:v>
      </x:c>
      <x:c r="O108" s="32" t="n">
        <x:v>4.5</x:v>
      </x:c>
      <x:c r="P108" s="24" t="str">
        <x:v>exact_2020_supplement</x:v>
      </x:c>
      <x:c r="Q108" s="32" t="str">
        <x:v>2020 supplement MeanTL</x:v>
      </x:c>
      <x:c r="R108" s="24" t="str">
        <x:v>high</x:v>
      </x:c>
      <x:c r="S108" s="24" t="str">
        <x:v>Zenopsis conchifer</x:v>
      </x:c>
      <x:c r="T108" s="32" t="n">
        <x:f>IF(O108="","",(1/'Metadata'!$B$5)^(O108-1))</x:f>
        <x:v>3162.2776601683795</x:v>
      </x:c>
      <x:c r="U108" s="31" t="n">
        <x:f>IF(T108="","",I108*T108)</x:f>
        <x:v>347.85054261852173</x:v>
      </x:c>
    </x:row>
    <x:row r="109" ht="18" customHeight="1">
      <x:c r="A109" s="24" t="str">
        <x:v>EEZ_622</x:v>
      </x:c>
      <x:c r="B109" s="24" t="str">
        <x:v>Azores Isl. (Portugal)</x:v>
      </x:c>
      <x:c r="C109" s="24" t="str">
        <x:v>EEZ</x:v>
      </x:c>
      <x:c r="D109" s="30" t="n">
        <x:v>2019</x:v>
      </x:c>
      <x:c r="E109" s="24" t="str">
        <x:v>Etmopterus princeps</x:v>
      </x:c>
      <x:c r="F109" s="24" t="str">
        <x:v>Great lanternshark</x:v>
      </x:c>
      <x:c r="G109" s="24" t="str">
        <x:v>Small to medium sharks (&lt;90 cm)</x:v>
      </x:c>
      <x:c r="H109" s="24" t="str">
        <x:v>Sharks &amp; rays</x:v>
      </x:c>
      <x:c r="I109" s="31" t="n">
        <x:v>0.09989451799999999</x:v>
      </x:c>
      <x:c r="J109" s="31" t="n">
        <x:v>0.099231802</x:v>
      </x:c>
      <x:c r="K109" s="31" t="n">
        <x:v>0.000662716</x:v>
      </x:c>
      <x:c r="L109" s="31" t="n">
        <x:v>0</x:v>
      </x:c>
      <x:c r="M109" s="31" t="n">
        <x:v>0.09989451799999999</x:v>
      </x:c>
      <x:c r="N109" s="24" t="str">
        <x:v>etmopterus princeps</x:v>
      </x:c>
      <x:c r="O109" s="32" t="n">
        <x:v>4.17</x:v>
      </x:c>
      <x:c r="P109" s="24" t="str">
        <x:v>exact_2020_supplement</x:v>
      </x:c>
      <x:c r="Q109" s="32" t="str">
        <x:v>2020 supplement MeanTL</x:v>
      </x:c>
      <x:c r="R109" s="24" t="str">
        <x:v>high</x:v>
      </x:c>
      <x:c r="S109" s="24" t="str">
        <x:v>Etmopterus princeps</x:v>
      </x:c>
      <x:c r="T109" s="32" t="n">
        <x:f>IF(O109="","",(1/'Metadata'!$B$5)^(O109-1))</x:f>
        <x:v>1479.1083881682073</x:v>
      </x:c>
      <x:c r="U109" s="31" t="n">
        <x:f>IF(T109="","",I109*T109)</x:f>
        <x:v>147.75481950581994</x:v>
      </x:c>
    </x:row>
    <x:row r="110" ht="18" customHeight="1">
      <x:c r="A110" s="24" t="str">
        <x:v>EEZ_622</x:v>
      </x:c>
      <x:c r="B110" s="24" t="str">
        <x:v>Azores Isl. (Portugal)</x:v>
      </x:c>
      <x:c r="C110" s="24" t="str">
        <x:v>EEZ</x:v>
      </x:c>
      <x:c r="D110" s="30" t="n">
        <x:v>2019</x:v>
      </x:c>
      <x:c r="E110" s="24" t="str">
        <x:v>Promethichthys prometheus</x:v>
      </x:c>
      <x:c r="F110" s="24" t="str">
        <x:v>Roudi escolar</x:v>
      </x:c>
      <x:c r="G110" s="24" t="str">
        <x:v>Large benthopelagics (&gt;=90 cm)</x:v>
      </x:c>
      <x:c r="H110" s="24" t="str">
        <x:v>Perch-likes</x:v>
      </x:c>
      <x:c r="I110" s="31" t="n">
        <x:v>0.091406839</x:v>
      </x:c>
      <x:c r="J110" s="31" t="n">
        <x:v>0.010930996</x:v>
      </x:c>
      <x:c r="K110" s="31" t="n">
        <x:v>0.080475843</x:v>
      </x:c>
      <x:c r="L110" s="31" t="n">
        <x:v>0.01</x:v>
      </x:c>
      <x:c r="M110" s="31" t="n">
        <x:v>0.08140683900000001</x:v>
      </x:c>
      <x:c r="N110" s="24" t="str">
        <x:v>promethichthys prometheus</x:v>
      </x:c>
      <x:c r="O110" s="32" t="n">
        <x:v>4.18</x:v>
      </x:c>
      <x:c r="P110" s="24" t="str">
        <x:v>exact_2020_supplement</x:v>
      </x:c>
      <x:c r="Q110" s="32" t="str">
        <x:v>2020 supplement MeanTL</x:v>
      </x:c>
      <x:c r="R110" s="24" t="str">
        <x:v>high</x:v>
      </x:c>
      <x:c r="S110" s="24" t="str">
        <x:v>Promethichthys prometheus</x:v>
      </x:c>
      <x:c r="T110" s="32" t="n">
        <x:f>IF(O110="","",(1/'Metadata'!$B$5)^(O110-1))</x:f>
        <x:v>1513.5612484362073</x:v>
      </x:c>
      <x:c r="U110" s="31" t="n">
        <x:f>IF(T110="","",I110*T110)</x:f>
        <x:v>138.3498493524474</x:v>
      </x:c>
    </x:row>
    <x:row r="111" ht="18" customHeight="1">
      <x:c r="A111" s="24" t="str">
        <x:v>EEZ_622</x:v>
      </x:c>
      <x:c r="B111" s="24" t="str">
        <x:v>Azores Isl. (Portugal)</x:v>
      </x:c>
      <x:c r="C111" s="24" t="str">
        <x:v>EEZ</x:v>
      </x:c>
      <x:c r="D111" s="30" t="n">
        <x:v>2019</x:v>
      </x:c>
      <x:c r="E111" s="24" t="str">
        <x:v>Stromateidae</x:v>
      </x:c>
      <x:c r="F111" s="24" t="str">
        <x:v>Butterfishes</x:v>
      </x:c>
      <x:c r="G111" s="24" t="str">
        <x:v>Small benthopelagics (&lt;30 cm)</x:v>
      </x:c>
      <x:c r="H111" s="24" t="str">
        <x:v>Perch-likes</x:v>
      </x:c>
      <x:c r="I111" s="31" t="n">
        <x:v>0.09000000000000001</x:v>
      </x:c>
      <x:c r="J111" s="31" t="n">
        <x:v>0.09000000000000001</x:v>
      </x:c>
      <x:c r="K111" s="31" t="n">
        <x:v>0</x:v>
      </x:c>
      <x:c r="L111" s="31" t="n">
        <x:v>0.09000000000000001</x:v>
      </x:c>
      <x:c r="M111" s="31" t="n">
        <x:v>0</x:v>
      </x:c>
      <x:c r="N111" s="24" t="str">
        <x:v>stromateidae</x:v>
      </x:c>
      <x:c r="O111" s="32" t="n">
        <x:v>3.62</x:v>
      </x:c>
      <x:c r="P111" s="24" t="str">
        <x:v>exact_sea_around_us</x:v>
      </x:c>
      <x:c r="Q111" s="32" t="str">
        <x:v>Sea Around Us exploited organisms</x:v>
      </x:c>
      <x:c r="R111" s="24" t="str">
        <x:v>high</x:v>
      </x:c>
      <x:c r="S111" s="24" t="str">
        <x:v>Stromateidae</x:v>
      </x:c>
      <x:c r="T111" s="32" t="n">
        <x:f>IF(O111="","",(1/'Metadata'!$B$5)^(O111-1))</x:f>
        <x:v>416.8693834703355</x:v>
      </x:c>
      <x:c r="U111" s="31" t="n">
        <x:f>IF(T111="","",I111*T111)</x:f>
        <x:v>37.5182445123302</x:v>
      </x:c>
    </x:row>
    <x:row r="112" ht="18" customHeight="1">
      <x:c r="A112" s="24" t="str">
        <x:v>EEZ_622</x:v>
      </x:c>
      <x:c r="B112" s="24" t="str">
        <x:v>Azores Isl. (Portugal)</x:v>
      </x:c>
      <x:c r="C112" s="24" t="str">
        <x:v>EEZ</x:v>
      </x:c>
      <x:c r="D112" s="30" t="n">
        <x:v>2019</x:v>
      </x:c>
      <x:c r="E112" s="24" t="str">
        <x:v>Centroscymnus coelolepis</x:v>
      </x:c>
      <x:c r="F112" s="24" t="str">
        <x:v>Portuguese dogfish</x:v>
      </x:c>
      <x:c r="G112" s="24" t="str">
        <x:v>Large sharks (&gt;=90 cm)</x:v>
      </x:c>
      <x:c r="H112" s="24" t="str">
        <x:v>Sharks &amp; rays</x:v>
      </x:c>
      <x:c r="I112" s="31" t="n">
        <x:v>0.088346312</x:v>
      </x:c>
      <x:c r="J112" s="31" t="n">
        <x:v>0.05928459</x:v>
      </x:c>
      <x:c r="K112" s="31" t="n">
        <x:v>0.029061722</x:v>
      </x:c>
      <x:c r="L112" s="31" t="n">
        <x:v>0</x:v>
      </x:c>
      <x:c r="M112" s="31" t="n">
        <x:v>0.088346312</x:v>
      </x:c>
      <x:c r="N112" s="24" t="str">
        <x:v>centroscymnus coelolepis</x:v>
      </x:c>
      <x:c r="O112" s="32" t="n">
        <x:v>4.48</x:v>
      </x:c>
      <x:c r="P112" s="24" t="str">
        <x:v>exact_2020_supplement</x:v>
      </x:c>
      <x:c r="Q112" s="32" t="str">
        <x:v>2020 supplement MeanTL</x:v>
      </x:c>
      <x:c r="R112" s="24" t="str">
        <x:v>high</x:v>
      </x:c>
      <x:c r="S112" s="24" t="str">
        <x:v>Centroscymnus coelolepis</x:v>
      </x:c>
      <x:c r="T112" s="32" t="n">
        <x:f>IF(O112="","",(1/'Metadata'!$B$5)^(O112-1))</x:f>
        <x:v>3019.951720402019</x:v>
      </x:c>
      <x:c r="U112" s="31" t="n">
        <x:f>IF(T112="","",I112*T112)</x:f>
        <x:v>266.8015969155735</x:v>
      </x:c>
    </x:row>
    <x:row r="113" ht="18" customHeight="1">
      <x:c r="A113" s="24" t="str">
        <x:v>EEZ_622</x:v>
      </x:c>
      <x:c r="B113" s="24" t="str">
        <x:v>Azores Isl. (Portugal)</x:v>
      </x:c>
      <x:c r="C113" s="24" t="str">
        <x:v>EEZ</x:v>
      </x:c>
      <x:c r="D113" s="30" t="n">
        <x:v>2019</x:v>
      </x:c>
      <x:c r="E113" s="24" t="str">
        <x:v>Hoplostethus atlanticus</x:v>
      </x:c>
      <x:c r="F113" s="24" t="str">
        <x:v>Orange roughy</x:v>
      </x:c>
      <x:c r="G113" s="24" t="str">
        <x:v>Medium bathypelagics (30 - 89 cm)</x:v>
      </x:c>
      <x:c r="H113" s="24" t="str">
        <x:v>Other fishes &amp; inverts</x:v>
      </x:c>
      <x:c r="I113" s="31" t="n">
        <x:v>0.08</x:v>
      </x:c>
      <x:c r="J113" s="31" t="n">
        <x:v>0.002660777</x:v>
      </x:c>
      <x:c r="K113" s="31" t="n">
        <x:v>0.077339223</x:v>
      </x:c>
      <x:c r="L113" s="31" t="n">
        <x:v>0</x:v>
      </x:c>
      <x:c r="M113" s="31" t="n">
        <x:v>0.08</x:v>
      </x:c>
      <x:c r="N113" s="24" t="str">
        <x:v>hoplostethus atlanticus</x:v>
      </x:c>
      <x:c r="O113" s="32" t="n">
        <x:v>4.25</x:v>
      </x:c>
      <x:c r="P113" s="24" t="str">
        <x:v>exact_2020_supplement</x:v>
      </x:c>
      <x:c r="Q113" s="32" t="str">
        <x:v>2020 supplement MeanTL</x:v>
      </x:c>
      <x:c r="R113" s="24" t="str">
        <x:v>high</x:v>
      </x:c>
      <x:c r="S113" s="24" t="str">
        <x:v>Hoplostethus atlanticus</x:v>
      </x:c>
      <x:c r="T113" s="32" t="n">
        <x:f>IF(O113="","",(1/'Metadata'!$B$5)^(O113-1))</x:f>
        <x:v>1778.2794100389228</x:v>
      </x:c>
      <x:c r="U113" s="31" t="n">
        <x:f>IF(T113="","",I113*T113)</x:f>
        <x:v>142.26235280311383</x:v>
      </x:c>
    </x:row>
    <x:row r="114" ht="18" customHeight="1">
      <x:c r="A114" s="24" t="str">
        <x:v>EEZ_622</x:v>
      </x:c>
      <x:c r="B114" s="24" t="str">
        <x:v>Azores Isl. (Portugal)</x:v>
      </x:c>
      <x:c r="C114" s="24" t="str">
        <x:v>EEZ</x:v>
      </x:c>
      <x:c r="D114" s="30" t="n">
        <x:v>2019</x:v>
      </x:c>
      <x:c r="E114" s="24" t="str">
        <x:v>Kajikia albida</x:v>
      </x:c>
      <x:c r="F114" s="24" t="str">
        <x:v>Atlantic white marlin</x:v>
      </x:c>
      <x:c r="G114" s="24" t="str">
        <x:v>Large pelagics (&gt;=90 cm)</x:v>
      </x:c>
      <x:c r="H114" s="24" t="str">
        <x:v>Tuna &amp; billfishes</x:v>
      </x:c>
      <x:c r="I114" s="31" t="n">
        <x:v>0.072</x:v>
      </x:c>
      <x:c r="J114" s="31" t="n">
        <x:v>0.072</x:v>
      </x:c>
      <x:c r="K114" s="31" t="n">
        <x:v>0</x:v>
      </x:c>
      <x:c r="L114" s="31" t="n">
        <x:v>0</x:v>
      </x:c>
      <x:c r="M114" s="31" t="n">
        <x:v>0.072</x:v>
      </x:c>
      <x:c r="N114" s="24" t="str">
        <x:v>kajikia albida</x:v>
      </x:c>
      <x:c r="O114" s="32" t="n">
        <x:v>4.49</x:v>
      </x:c>
      <x:c r="P114" s="24" t="str">
        <x:v>exact_2020_supplement</x:v>
      </x:c>
      <x:c r="Q114" s="32" t="str">
        <x:v>2020 supplement MeanTL</x:v>
      </x:c>
      <x:c r="R114" s="24" t="str">
        <x:v>high</x:v>
      </x:c>
      <x:c r="S114" s="24" t="str">
        <x:v>Kajikia albida</x:v>
      </x:c>
      <x:c r="T114" s="32" t="n">
        <x:f>IF(O114="","",(1/'Metadata'!$B$5)^(O114-1))</x:f>
        <x:v>3090.295432513592</x:v>
      </x:c>
      <x:c r="U114" s="31" t="n">
        <x:f>IF(T114="","",I114*T114)</x:f>
        <x:v>222.50127114097862</x:v>
      </x:c>
    </x:row>
    <x:row r="115" ht="18" customHeight="1">
      <x:c r="A115" s="24" t="str">
        <x:v>EEZ_622</x:v>
      </x:c>
      <x:c r="B115" s="24" t="str">
        <x:v>Azores Isl. (Portugal)</x:v>
      </x:c>
      <x:c r="C115" s="24" t="str">
        <x:v>EEZ</x:v>
      </x:c>
      <x:c r="D115" s="30" t="n">
        <x:v>2019</x:v>
      </x:c>
      <x:c r="E115" s="24" t="str">
        <x:v>Polymixia nobilis</x:v>
      </x:c>
      <x:c r="F115" s="24" t="str">
        <x:v>Stout beardfish</x:v>
      </x:c>
      <x:c r="G115" s="24" t="str">
        <x:v>Medium bathydemersals (30 - 89 cm)</x:v>
      </x:c>
      <x:c r="H115" s="24" t="str">
        <x:v>Other fishes &amp; inverts</x:v>
      </x:c>
      <x:c r="I115" s="31" t="n">
        <x:v>0.07</x:v>
      </x:c>
      <x:c r="J115" s="31" t="n">
        <x:v>0.07</x:v>
      </x:c>
      <x:c r="K115" s="31" t="n">
        <x:v>0</x:v>
      </x:c>
      <x:c r="L115" s="31" t="n">
        <x:v>0.06</x:v>
      </x:c>
      <x:c r="M115" s="31" t="n">
        <x:v>0.01</x:v>
      </x:c>
      <x:c r="N115" s="24" t="str">
        <x:v>polymixia nobilis</x:v>
      </x:c>
      <x:c r="O115" s="32" t="n">
        <x:v>4.2</x:v>
      </x:c>
      <x:c r="P115" s="24" t="str">
        <x:v>exact_2020_supplement</x:v>
      </x:c>
      <x:c r="Q115" s="32" t="str">
        <x:v>2020 supplement MeanTL</x:v>
      </x:c>
      <x:c r="R115" s="24" t="str">
        <x:v>high</x:v>
      </x:c>
      <x:c r="S115" s="24" t="str">
        <x:v>Polymixia nobilis</x:v>
      </x:c>
      <x:c r="T115" s="32" t="n">
        <x:f>IF(O115="","",(1/'Metadata'!$B$5)^(O115-1))</x:f>
        <x:v>1584.893192461114</x:v>
      </x:c>
      <x:c r="U115" s="31" t="n">
        <x:f>IF(T115="","",I115*T115)</x:f>
        <x:v>110.942523472278</x:v>
      </x:c>
    </x:row>
    <x:row r="116" ht="18" customHeight="1">
      <x:c r="A116" s="24" t="str">
        <x:v>EEZ_622</x:v>
      </x:c>
      <x:c r="B116" s="24" t="str">
        <x:v>Azores Isl. (Portugal)</x:v>
      </x:c>
      <x:c r="C116" s="24" t="str">
        <x:v>EEZ</x:v>
      </x:c>
      <x:c r="D116" s="30" t="n">
        <x:v>2019</x:v>
      </x:c>
      <x:c r="E116" s="24" t="str">
        <x:v>Thalassoma pavo</x:v>
      </x:c>
      <x:c r="F116" s="24" t="str">
        <x:v>Ornate wrasse</x:v>
      </x:c>
      <x:c r="G116" s="24" t="str">
        <x:v>Small reef assoc. fish (&lt;30 cm)</x:v>
      </x:c>
      <x:c r="H116" s="24" t="str">
        <x:v>Perch-likes</x:v>
      </x:c>
      <x:c r="I116" s="31" t="n">
        <x:v>0.06</x:v>
      </x:c>
      <x:c r="J116" s="31" t="n">
        <x:v>0.06</x:v>
      </x:c>
      <x:c r="K116" s="31" t="n">
        <x:v>0</x:v>
      </x:c>
      <x:c r="L116" s="31" t="n">
        <x:v>0.06</x:v>
      </x:c>
      <x:c r="M116" s="31" t="n">
        <x:v>0</x:v>
      </x:c>
      <x:c r="N116" s="24" t="str">
        <x:v>thalassoma pavo</x:v>
      </x:c>
      <x:c r="O116" s="32" t="n">
        <x:v>3.5</x:v>
      </x:c>
      <x:c r="P116" s="24" t="str">
        <x:v>exact_2020_supplement</x:v>
      </x:c>
      <x:c r="Q116" s="32" t="str">
        <x:v>2020 supplement MeanTL</x:v>
      </x:c>
      <x:c r="R116" s="24" t="str">
        <x:v>high</x:v>
      </x:c>
      <x:c r="S116" s="24" t="str">
        <x:v>Thalassoma pavo</x:v>
      </x:c>
      <x:c r="T116" s="32" t="n">
        <x:f>IF(O116="","",(1/'Metadata'!$B$5)^(O116-1))</x:f>
        <x:v>316.22776601683796</x:v>
      </x:c>
      <x:c r="U116" s="31" t="n">
        <x:f>IF(T116="","",I116*T116)</x:f>
        <x:v>18.973665961010276</x:v>
      </x:c>
    </x:row>
    <x:row r="117" ht="18" customHeight="1">
      <x:c r="A117" s="24" t="str">
        <x:v>EEZ_622</x:v>
      </x:c>
      <x:c r="B117" s="24" t="str">
        <x:v>Azores Isl. (Portugal)</x:v>
      </x:c>
      <x:c r="C117" s="24" t="str">
        <x:v>EEZ</x:v>
      </x:c>
      <x:c r="D117" s="30" t="n">
        <x:v>2019</x:v>
      </x:c>
      <x:c r="E117" s="24" t="str">
        <x:v>Scombridae</x:v>
      </x:c>
      <x:c r="F117" s="24" t="str">
        <x:v>Mackerels, tunas, bonitos</x:v>
      </x:c>
      <x:c r="G117" s="24" t="str">
        <x:v>Medium pelagics (30 - 89 cm)</x:v>
      </x:c>
      <x:c r="H117" s="24" t="str">
        <x:v>Perch-likes</x:v>
      </x:c>
      <x:c r="I117" s="31" t="n">
        <x:v>0.054425545199999995</x:v>
      </x:c>
      <x:c r="J117" s="31" t="n">
        <x:v>0.054425545199999995</x:v>
      </x:c>
      <x:c r="K117" s="31" t="n">
        <x:v>0</x:v>
      </x:c>
      <x:c r="L117" s="31" t="n">
        <x:v>0.054425545199999995</x:v>
      </x:c>
      <x:c r="M117" s="31" t="n">
        <x:v>0</x:v>
      </x:c>
      <x:c r="N117" s="24" t="str">
        <x:v>scombridae</x:v>
      </x:c>
      <x:c r="O117" s="32" t="n">
        <x:v>4.26</x:v>
      </x:c>
      <x:c r="P117" s="24" t="str">
        <x:v>exact_sea_around_us</x:v>
      </x:c>
      <x:c r="Q117" s="32" t="str">
        <x:v>Sea Around Us exploited organisms</x:v>
      </x:c>
      <x:c r="R117" s="24" t="str">
        <x:v>high</x:v>
      </x:c>
      <x:c r="S117" s="24" t="str">
        <x:v>Scombridae</x:v>
      </x:c>
      <x:c r="T117" s="32" t="n">
        <x:f>IF(O117="","",(1/'Metadata'!$B$5)^(O117-1))</x:f>
        <x:v>1819.7008586099826</x:v>
      </x:c>
      <x:c r="U117" s="31" t="n">
        <x:f>IF(T117="","",I117*T117)</x:f>
        <x:v>99.03821133075641</x:v>
      </x:c>
    </x:row>
    <x:row r="118" ht="18" customHeight="1">
      <x:c r="A118" s="24" t="str">
        <x:v>EEZ_622</x:v>
      </x:c>
      <x:c r="B118" s="24" t="str">
        <x:v>Azores Isl. (Portugal)</x:v>
      </x:c>
      <x:c r="C118" s="24" t="str">
        <x:v>EEZ</x:v>
      </x:c>
      <x:c r="D118" s="30" t="n">
        <x:v>2019</x:v>
      </x:c>
      <x:c r="E118" s="24" t="str">
        <x:v>Beryx</x:v>
      </x:c>
      <x:c r="F118" s="24" t="str">
        <x:v>Alfonsinos</x:v>
      </x:c>
      <x:c r="G118" s="24" t="str">
        <x:v>Medium benthopelagics (30 - 89 cm)</x:v>
      </x:c>
      <x:c r="H118" s="24" t="str">
        <x:v>Other fishes &amp; inverts</x:v>
      </x:c>
      <x:c r="I118" s="31" t="n">
        <x:v>0.05</x:v>
      </x:c>
      <x:c r="J118" s="31" t="n">
        <x:v>0.05</x:v>
      </x:c>
      <x:c r="K118" s="31" t="n">
        <x:v>0</x:v>
      </x:c>
      <x:c r="L118" s="31" t="n">
        <x:v>0.05</x:v>
      </x:c>
      <x:c r="M118" s="31" t="n">
        <x:v>0</x:v>
      </x:c>
      <x:c r="N118" s="24" t="str">
        <x:v>beryx</x:v>
      </x:c>
      <x:c r="O118" s="32" t="n">
        <x:v>3.97</x:v>
      </x:c>
      <x:c r="P118" s="24" t="str">
        <x:v>exact_sea_around_us</x:v>
      </x:c>
      <x:c r="Q118" s="32" t="str">
        <x:v>Sea Around Us exploited organisms</x:v>
      </x:c>
      <x:c r="R118" s="24" t="str">
        <x:v>high</x:v>
      </x:c>
      <x:c r="S118" s="24" t="str">
        <x:v>Beryx</x:v>
      </x:c>
      <x:c r="T118" s="32" t="n">
        <x:f>IF(O118="","",(1/'Metadata'!$B$5)^(O118-1))</x:f>
        <x:v>933.2543007969915</x:v>
      </x:c>
      <x:c r="U118" s="31" t="n">
        <x:f>IF(T118="","",I118*T118)</x:f>
        <x:v>46.66271503984958</x:v>
      </x:c>
    </x:row>
    <x:row r="119" ht="18" customHeight="1">
      <x:c r="A119" s="24" t="str">
        <x:v>EEZ_622</x:v>
      </x:c>
      <x:c r="B119" s="24" t="str">
        <x:v>Azores Isl. (Portugal)</x:v>
      </x:c>
      <x:c r="C119" s="24" t="str">
        <x:v>EEZ</x:v>
      </x:c>
      <x:c r="D119" s="30" t="n">
        <x:v>2019</x:v>
      </x:c>
      <x:c r="E119" s="24" t="str">
        <x:v>Belone belone</x:v>
      </x:c>
      <x:c r="F119" s="24" t="str">
        <x:v>Garfish</x:v>
      </x:c>
      <x:c r="G119" s="24" t="str">
        <x:v>Medium pelagics (30 - 89 cm)</x:v>
      </x:c>
      <x:c r="H119" s="24" t="str">
        <x:v>Other fishes &amp; inverts</x:v>
      </x:c>
      <x:c r="I119" s="31" t="n">
        <x:v>0.04727994</x:v>
      </x:c>
      <x:c r="J119" s="31" t="n">
        <x:v>0</x:v>
      </x:c>
      <x:c r="K119" s="31" t="n">
        <x:v>0.04727994</x:v>
      </x:c>
      <x:c r="L119" s="31" t="n">
        <x:v>0</x:v>
      </x:c>
      <x:c r="M119" s="31" t="n">
        <x:v>0.04727994</x:v>
      </x:c>
      <x:c r="N119" s="24" t="str">
        <x:v>belone belone</x:v>
      </x:c>
      <x:c r="O119" s="32" t="n">
        <x:v>4.16</x:v>
      </x:c>
      <x:c r="P119" s="24" t="str">
        <x:v>exact_2020_supplement</x:v>
      </x:c>
      <x:c r="Q119" s="32" t="str">
        <x:v>2020 supplement MeanTL</x:v>
      </x:c>
      <x:c r="R119" s="24" t="str">
        <x:v>high</x:v>
      </x:c>
      <x:c r="S119" s="24" t="str">
        <x:v>Belone belone</x:v>
      </x:c>
      <x:c r="T119" s="32" t="n">
        <x:f>IF(O119="","",(1/'Metadata'!$B$5)^(O119-1))</x:f>
        <x:v>1445.439770745928</x:v>
      </x:c>
      <x:c r="U119" s="31" t="n">
        <x:f>IF(T119="","",I119*T119)</x:f>
        <x:v>68.34030563448123</x:v>
      </x:c>
    </x:row>
    <x:row r="120" ht="18" customHeight="1">
      <x:c r="A120" s="24" t="str">
        <x:v>EEZ_622</x:v>
      </x:c>
      <x:c r="B120" s="24" t="str">
        <x:v>Azores Isl. (Portugal)</x:v>
      </x:c>
      <x:c r="C120" s="24" t="str">
        <x:v>EEZ</x:v>
      </x:c>
      <x:c r="D120" s="30" t="n">
        <x:v>2019</x:v>
      </x:c>
      <x:c r="E120" s="24" t="str">
        <x:v>Gaidropsarus</x:v>
      </x:c>
      <x:c r="F120" s="24" t="str">
        <x:v>Rocklings</x:v>
      </x:c>
      <x:c r="G120" s="24" t="str">
        <x:v>Medium benthopelagics (30 - 89 cm)</x:v>
      </x:c>
      <x:c r="H120" s="24" t="str">
        <x:v>Cod-likes</x:v>
      </x:c>
      <x:c r="I120" s="31" t="n">
        <x:v>0.039999999999999994</x:v>
      </x:c>
      <x:c r="J120" s="31" t="n">
        <x:v>0.001539558</x:v>
      </x:c>
      <x:c r="K120" s="31" t="n">
        <x:v>0.038460442</x:v>
      </x:c>
      <x:c r="L120" s="31" t="n">
        <x:v>0</x:v>
      </x:c>
      <x:c r="M120" s="31" t="n">
        <x:v>0.039999999999999994</x:v>
      </x:c>
      <x:c r="N120" s="24" t="str">
        <x:v>gaidropsarus</x:v>
      </x:c>
      <x:c r="O120" s="32" t="n">
        <x:v>3.4</x:v>
      </x:c>
      <x:c r="P120" s="24" t="str">
        <x:v>exact_sea_around_us</x:v>
      </x:c>
      <x:c r="Q120" s="32" t="str">
        <x:v>Sea Around Us exploited organisms</x:v>
      </x:c>
      <x:c r="R120" s="24" t="str">
        <x:v>high</x:v>
      </x:c>
      <x:c r="S120" s="24" t="str">
        <x:v>Gaidropsarus</x:v>
      </x:c>
      <x:c r="T120" s="32" t="n">
        <x:f>IF(O120="","",(1/'Metadata'!$B$5)^(O120-1))</x:f>
        <x:v>251.18864315095797</x:v>
      </x:c>
      <x:c r="U120" s="31" t="n">
        <x:f>IF(T120="","",I120*T120)</x:f>
        <x:v>10.047545726038317</x:v>
      </x:c>
    </x:row>
    <x:row r="121" ht="18" customHeight="1">
      <x:c r="A121" s="24" t="str">
        <x:v>EEZ_622</x:v>
      </x:c>
      <x:c r="B121" s="24" t="str">
        <x:v>Azores Isl. (Portugal)</x:v>
      </x:c>
      <x:c r="C121" s="24" t="str">
        <x:v>EEZ</x:v>
      </x:c>
      <x:c r="D121" s="30" t="n">
        <x:v>2019</x:v>
      </x:c>
      <x:c r="E121" s="24" t="str">
        <x:v>Dicentrarchus</x:v>
      </x:c>
      <x:c r="F121" s="24" t="str">
        <x:v>Seabasses</x:v>
      </x:c>
      <x:c r="G121" s="24" t="str">
        <x:v>Large demersals (&gt;=90 cm)</x:v>
      </x:c>
      <x:c r="H121" s="24" t="str">
        <x:v>Perch-likes</x:v>
      </x:c>
      <x:c r="I121" s="31" t="n">
        <x:v>0.03</x:v>
      </x:c>
      <x:c r="J121" s="31" t="n">
        <x:v>0.03</x:v>
      </x:c>
      <x:c r="K121" s="31" t="n">
        <x:v>0</x:v>
      </x:c>
      <x:c r="L121" s="31" t="n">
        <x:v>0.03</x:v>
      </x:c>
      <x:c r="M121" s="31" t="n">
        <x:v>0</x:v>
      </x:c>
      <x:c r="N121" s="24" t="str">
        <x:v>dicentrarchus</x:v>
      </x:c>
      <x:c r="O121" s="32" t="n">
        <x:v>3.94</x:v>
      </x:c>
      <x:c r="P121" s="24" t="str">
        <x:v>exact_sea_around_us</x:v>
      </x:c>
      <x:c r="Q121" s="32" t="str">
        <x:v>Sea Around Us exploited organisms</x:v>
      </x:c>
      <x:c r="R121" s="24" t="str">
        <x:v>high</x:v>
      </x:c>
      <x:c r="S121" s="24" t="str">
        <x:v>Dicentrarchus</x:v>
      </x:c>
      <x:c r="T121" s="32" t="n">
        <x:f>IF(O121="","",(1/'Metadata'!$B$5)^(O121-1))</x:f>
        <x:v>870.9635899560806</x:v>
      </x:c>
      <x:c r="U121" s="31" t="n">
        <x:f>IF(T121="","",I121*T121)</x:f>
        <x:v>26.128907698682415</x:v>
      </x:c>
    </x:row>
    <x:row r="122" ht="18" customHeight="1">
      <x:c r="A122" s="24" t="str">
        <x:v>EEZ_622</x:v>
      </x:c>
      <x:c r="B122" s="24" t="str">
        <x:v>Azores Isl. (Portugal)</x:v>
      </x:c>
      <x:c r="C122" s="24" t="str">
        <x:v>EEZ</x:v>
      </x:c>
      <x:c r="D122" s="30" t="n">
        <x:v>2019</x:v>
      </x:c>
      <x:c r="E122" s="24" t="str">
        <x:v>Sphoeroides marmoratus</x:v>
      </x:c>
      <x:c r="F122" s="24" t="str">
        <x:v>Guinean puffer</x:v>
      </x:c>
      <x:c r="G122" s="24" t="str">
        <x:v>Large reef assoc. fish (&gt;=90 cm)</x:v>
      </x:c>
      <x:c r="H122" s="24" t="str">
        <x:v>Other fishes &amp; inverts</x:v>
      </x:c>
      <x:c r="I122" s="31" t="n">
        <x:v>0.023965415</x:v>
      </x:c>
      <x:c r="J122" s="31" t="n">
        <x:v>0</x:v>
      </x:c>
      <x:c r="K122" s="31" t="n">
        <x:v>0.023965415</x:v>
      </x:c>
      <x:c r="L122" s="31" t="n">
        <x:v>0</x:v>
      </x:c>
      <x:c r="M122" s="31" t="n">
        <x:v>0.023965415</x:v>
      </x:c>
      <x:c r="N122" s="24" t="str">
        <x:v>sphoeroides marmoratus</x:v>
      </x:c>
      <x:c r="O122" s="32" t="n">
        <x:v>3.4</x:v>
      </x:c>
      <x:c r="P122" s="24" t="str">
        <x:v>exact_sea_around_us</x:v>
      </x:c>
      <x:c r="Q122" s="32" t="str">
        <x:v>Sea Around Us exploited organisms</x:v>
      </x:c>
      <x:c r="R122" s="24" t="str">
        <x:v>high</x:v>
      </x:c>
      <x:c r="S122" s="24" t="str">
        <x:v>Sphoeroides marmoratus</x:v>
      </x:c>
      <x:c r="T122" s="32" t="n">
        <x:f>IF(O122="","",(1/'Metadata'!$B$5)^(O122-1))</x:f>
        <x:v>251.18864315095797</x:v>
      </x:c>
      <x:c r="U122" s="31" t="n">
        <x:f>IF(T122="","",I122*T122)</x:f>
        <x:v>6.019840076399616</x:v>
      </x:c>
    </x:row>
    <x:row r="123" ht="18" customHeight="1">
      <x:c r="A123" s="24" t="str">
        <x:v>EEZ_622</x:v>
      </x:c>
      <x:c r="B123" s="24" t="str">
        <x:v>Azores Isl. (Portugal)</x:v>
      </x:c>
      <x:c r="C123" s="24" t="str">
        <x:v>EEZ</x:v>
      </x:c>
      <x:c r="D123" s="30" t="n">
        <x:v>2019</x:v>
      </x:c>
      <x:c r="E123" s="24" t="str">
        <x:v>Pomadasys incisus</x:v>
      </x:c>
      <x:c r="F123" s="24" t="str">
        <x:v>Bastard grunt</x:v>
      </x:c>
      <x:c r="G123" s="24" t="str">
        <x:v>Medium demersals (30 - 89 cm)</x:v>
      </x:c>
      <x:c r="H123" s="24" t="str">
        <x:v>Perch-likes</x:v>
      </x:c>
      <x:c r="I123" s="31" t="n">
        <x:v>0.02</x:v>
      </x:c>
      <x:c r="J123" s="31" t="n">
        <x:v>0.02</x:v>
      </x:c>
      <x:c r="K123" s="31" t="n">
        <x:v>0</x:v>
      </x:c>
      <x:c r="L123" s="31" t="n">
        <x:v>0.02</x:v>
      </x:c>
      <x:c r="M123" s="31" t="n">
        <x:v>0</x:v>
      </x:c>
      <x:c r="N123" s="24" t="str">
        <x:v>pomadasys incisus</x:v>
      </x:c>
      <x:c r="O123" s="32" t="n">
        <x:v>3.8</x:v>
      </x:c>
      <x:c r="P123" s="24" t="str">
        <x:v>exact_2020_supplement</x:v>
      </x:c>
      <x:c r="Q123" s="32" t="str">
        <x:v>2020 supplement MeanTL</x:v>
      </x:c>
      <x:c r="R123" s="24" t="str">
        <x:v>high</x:v>
      </x:c>
      <x:c r="S123" s="24" t="str">
        <x:v>Pomadasys incisus</x:v>
      </x:c>
      <x:c r="T123" s="32" t="n">
        <x:f>IF(O123="","",(1/'Metadata'!$B$5)^(O123-1))</x:f>
        <x:v>630.957344480193</x:v>
      </x:c>
      <x:c r="U123" s="31" t="n">
        <x:f>IF(T123="","",I123*T123)</x:f>
        <x:v>12.61914688960386</x:v>
      </x:c>
    </x:row>
    <x:row r="124" ht="18" customHeight="1">
      <x:c r="A124" s="24" t="str">
        <x:v>EEZ_622</x:v>
      </x:c>
      <x:c r="B124" s="24" t="str">
        <x:v>Azores Isl. (Portugal)</x:v>
      </x:c>
      <x:c r="C124" s="24" t="str">
        <x:v>EEZ</x:v>
      </x:c>
      <x:c r="D124" s="30" t="n">
        <x:v>2019</x:v>
      </x:c>
      <x:c r="E124" s="24" t="str">
        <x:v>Scorpaena</x:v>
      </x:c>
      <x:c r="F124" s="24" t="str">
        <x:v>Scorpionfishes</x:v>
      </x:c>
      <x:c r="G124" s="24" t="str">
        <x:v>Large reef assoc. fish (&gt;=90 cm)</x:v>
      </x:c>
      <x:c r="H124" s="24" t="str">
        <x:v>Scorpionfishes</x:v>
      </x:c>
      <x:c r="I124" s="31" t="n">
        <x:v>0.02</x:v>
      </x:c>
      <x:c r="J124" s="31" t="n">
        <x:v>0</x:v>
      </x:c>
      <x:c r="K124" s="31" t="n">
        <x:v>0.02</x:v>
      </x:c>
      <x:c r="L124" s="31" t="n">
        <x:v>0</x:v>
      </x:c>
      <x:c r="M124" s="31" t="n">
        <x:v>0.02</x:v>
      </x:c>
      <x:c r="N124" s="24" t="str">
        <x:v>scorpaena</x:v>
      </x:c>
      <x:c r="O124" s="32" t="n">
        <x:v>3.87</x:v>
      </x:c>
      <x:c r="P124" s="24" t="str">
        <x:v>exact_sea_around_us</x:v>
      </x:c>
      <x:c r="Q124" s="32" t="str">
        <x:v>Sea Around Us exploited organisms</x:v>
      </x:c>
      <x:c r="R124" s="24" t="str">
        <x:v>high</x:v>
      </x:c>
      <x:c r="S124" s="24" t="str">
        <x:v>Scorpaena</x:v>
      </x:c>
      <x:c r="T124" s="32" t="n">
        <x:f>IF(O124="","",(1/'Metadata'!$B$5)^(O124-1))</x:f>
        <x:v>741.3102413009177</x:v>
      </x:c>
      <x:c r="U124" s="31" t="n">
        <x:f>IF(T124="","",I124*T124)</x:f>
        <x:v>14.826204826018355</x:v>
      </x:c>
    </x:row>
    <x:row r="125" ht="18" customHeight="1">
      <x:c r="A125" s="24" t="str">
        <x:v>EEZ_622</x:v>
      </x:c>
      <x:c r="B125" s="24" t="str">
        <x:v>Azores Isl. (Portugal)</x:v>
      </x:c>
      <x:c r="C125" s="24" t="str">
        <x:v>EEZ</x:v>
      </x:c>
      <x:c r="D125" s="30" t="n">
        <x:v>2019</x:v>
      </x:c>
      <x:c r="E125" s="24" t="str">
        <x:v>Lampris guttatus</x:v>
      </x:c>
      <x:c r="F125" s="24" t="str">
        <x:v>Opah</x:v>
      </x:c>
      <x:c r="G125" s="24" t="str">
        <x:v>Large bathypelagics (&gt;=90 cm)</x:v>
      </x:c>
      <x:c r="H125" s="24" t="str">
        <x:v>Other fishes &amp; inverts</x:v>
      </x:c>
      <x:c r="I125" s="31" t="n">
        <x:v>0.02</x:v>
      </x:c>
      <x:c r="J125" s="31" t="n">
        <x:v>0.02</x:v>
      </x:c>
      <x:c r="K125" s="31" t="n">
        <x:v>0</x:v>
      </x:c>
      <x:c r="L125" s="31" t="n">
        <x:v>0.02</x:v>
      </x:c>
      <x:c r="M125" s="31" t="n">
        <x:v>0</x:v>
      </x:c>
      <x:c r="N125" s="24" t="str">
        <x:v>lampris guttatus</x:v>
      </x:c>
      <x:c r="O125" s="32" t="n">
        <x:v>4.22</x:v>
      </x:c>
      <x:c r="P125" s="24" t="str">
        <x:v>exact_2020_supplement</x:v>
      </x:c>
      <x:c r="Q125" s="32" t="str">
        <x:v>2020 supplement MeanTL</x:v>
      </x:c>
      <x:c r="R125" s="24" t="str">
        <x:v>high</x:v>
      </x:c>
      <x:c r="S125" s="24" t="str">
        <x:v>Lampris guttatus</x:v>
      </x:c>
      <x:c r="T125" s="32" t="n">
        <x:f>IF(O125="","",(1/'Metadata'!$B$5)^(O125-1))</x:f>
        <x:v>1659.5869074375596</x:v>
      </x:c>
      <x:c r="U125" s="31" t="n">
        <x:f>IF(T125="","",I125*T125)</x:f>
        <x:v>33.19173814875119</x:v>
      </x:c>
    </x:row>
    <x:row r="126" ht="18" customHeight="1">
      <x:c r="A126" s="24" t="str">
        <x:v>EEZ_622</x:v>
      </x:c>
      <x:c r="B126" s="24" t="str">
        <x:v>Azores Isl. (Portugal)</x:v>
      </x:c>
      <x:c r="C126" s="24" t="str">
        <x:v>EEZ</x:v>
      </x:c>
      <x:c r="D126" s="30" t="n">
        <x:v>2019</x:v>
      </x:c>
      <x:c r="E126" s="24" t="str">
        <x:v>Kyphosus</x:v>
      </x:c>
      <x:c r="F126" s="24" t="str">
        <x:v>Sea chubs</x:v>
      </x:c>
      <x:c r="G126" s="24" t="str">
        <x:v>Medium reef assoc. fish (30 - 89 cm)</x:v>
      </x:c>
      <x:c r="H126" s="24" t="str">
        <x:v>Perch-likes</x:v>
      </x:c>
      <x:c r="I126" s="31" t="n">
        <x:v>0.015709141</x:v>
      </x:c>
      <x:c r="J126" s="31" t="n">
        <x:v>0</x:v>
      </x:c>
      <x:c r="K126" s="31" t="n">
        <x:v>0.015709141</x:v>
      </x:c>
      <x:c r="L126" s="31" t="n">
        <x:v>0</x:v>
      </x:c>
      <x:c r="M126" s="31" t="n">
        <x:v>0.015709141</x:v>
      </x:c>
      <x:c r="N126" s="24" t="str">
        <x:v>kyphosus</x:v>
      </x:c>
      <x:c r="O126" s="32" t="n">
        <x:v>2.05</x:v>
      </x:c>
      <x:c r="P126" s="24" t="str">
        <x:v>exact_sea_around_us</x:v>
      </x:c>
      <x:c r="Q126" s="32" t="str">
        <x:v>Sea Around Us exploited organisms</x:v>
      </x:c>
      <x:c r="R126" s="24" t="str">
        <x:v>high</x:v>
      </x:c>
      <x:c r="S126" s="24" t="str">
        <x:v>Kyphosus</x:v>
      </x:c>
      <x:c r="T126" s="32" t="n">
        <x:f>IF(O126="","",(1/'Metadata'!$B$5)^(O126-1))</x:f>
        <x:v>11.220184543019629</x:v>
      </x:c>
      <x:c r="U126" s="31" t="n">
        <x:f>IF(T126="","",I126*T126)</x:f>
        <x:v>0.1762594610323159</x:v>
      </x:c>
    </x:row>
    <x:row r="127" ht="18" customHeight="1">
      <x:c r="A127" s="24" t="str">
        <x:v>EEZ_622</x:v>
      </x:c>
      <x:c r="B127" s="24" t="str">
        <x:v>Azores Isl. (Portugal)</x:v>
      </x:c>
      <x:c r="C127" s="24" t="str">
        <x:v>EEZ</x:v>
      </x:c>
      <x:c r="D127" s="30" t="n">
        <x:v>2019</x:v>
      </x:c>
      <x:c r="E127" s="24" t="str">
        <x:v>Squaliformes</x:v>
      </x:c>
      <x:c r="F127" s="24" t="str">
        <x:v>Bramble, sleeper, dogfish sharks</x:v>
      </x:c>
      <x:c r="G127" s="24" t="str">
        <x:v>Large sharks (&gt;=90 cm)</x:v>
      </x:c>
      <x:c r="H127" s="24" t="str">
        <x:v>Sharks &amp; rays</x:v>
      </x:c>
      <x:c r="I127" s="31" t="n">
        <x:v>0.010744797</x:v>
      </x:c>
      <x:c r="J127" s="31" t="n">
        <x:v>0.010744797</x:v>
      </x:c>
      <x:c r="K127" s="31" t="n">
        <x:v>0</x:v>
      </x:c>
      <x:c r="L127" s="31" t="n">
        <x:v>0.01</x:v>
      </x:c>
      <x:c r="M127" s="31" t="n">
        <x:v>0.000744797</x:v>
      </x:c>
      <x:c r="N127" s="24" t="str">
        <x:v>squaliformes</x:v>
      </x:c>
      <x:c r="O127" s="32" t="n">
        <x:v>4.19</x:v>
      </x:c>
      <x:c r="P127" s="24" t="str">
        <x:v>exact_sea_around_us</x:v>
      </x:c>
      <x:c r="Q127" s="32" t="str">
        <x:v>Sea Around Us exploited organisms</x:v>
      </x:c>
      <x:c r="R127" s="24" t="str">
        <x:v>high</x:v>
      </x:c>
      <x:c r="S127" s="24" t="str">
        <x:v>Squaliformes</x:v>
      </x:c>
      <x:c r="T127" s="32" t="n">
        <x:f>IF(O127="","",(1/'Metadata'!$B$5)^(O127-1))</x:f>
        <x:v>1548.8166189124827</x:v>
      </x:c>
      <x:c r="U127" s="31" t="n">
        <x:f>IF(T127="","",I127*T127)</x:f>
        <x:v>16.641720160440986</x:v>
      </x:c>
    </x:row>
    <x:row r="128" ht="18" customHeight="1">
      <x:c r="A128" s="24" t="str">
        <x:v>EEZ_622</x:v>
      </x:c>
      <x:c r="B128" s="24" t="str">
        <x:v>Azores Isl. (Portugal)</x:v>
      </x:c>
      <x:c r="C128" s="24" t="str">
        <x:v>EEZ</x:v>
      </x:c>
      <x:c r="D128" s="30" t="n">
        <x:v>2019</x:v>
      </x:c>
      <x:c r="E128" s="24" t="str">
        <x:v>Plesionika edwardsii</x:v>
      </x:c>
      <x:c r="F128" s="24" t="str">
        <x:v>Soldier striped shrimp</x:v>
      </x:c>
      <x:c r="G128" s="24" t="str">
        <x:v>Shrimps</x:v>
      </x:c>
      <x:c r="H128" s="24" t="str">
        <x:v>Crustaceans</x:v>
      </x:c>
      <x:c r="I128" s="31" t="n">
        <x:v>0.01</x:v>
      </x:c>
      <x:c r="J128" s="31" t="n">
        <x:v>0.01</x:v>
      </x:c>
      <x:c r="K128" s="31" t="n">
        <x:v>0</x:v>
      </x:c>
      <x:c r="L128" s="31" t="n">
        <x:v>0.01</x:v>
      </x:c>
      <x:c r="M128" s="31" t="n">
        <x:v>0</x:v>
      </x:c>
      <x:c r="N128" s="24" t="str">
        <x:v>plesionika edwardsii</x:v>
      </x:c>
      <x:c r="O128" s="32" t="n">
        <x:v>3.53</x:v>
      </x:c>
      <x:c r="P128" s="24" t="str">
        <x:v>exact_sea_around_us</x:v>
      </x:c>
      <x:c r="Q128" s="32" t="str">
        <x:v>Sea Around Us exploited organisms</x:v>
      </x:c>
      <x:c r="R128" s="24" t="str">
        <x:v>high</x:v>
      </x:c>
      <x:c r="S128" s="24" t="str">
        <x:v>Plesionika edwardsii</x:v>
      </x:c>
      <x:c r="T128" s="32" t="n">
        <x:f>IF(O128="","",(1/'Metadata'!$B$5)^(O128-1))</x:f>
        <x:v>338.84415613920237</x:v>
      </x:c>
      <x:c r="U128" s="31" t="n">
        <x:f>IF(T128="","",I128*T128)</x:f>
        <x:v>3.388441561392024</x:v>
      </x:c>
    </x:row>
    <x:row r="129" ht="18" customHeight="1">
      <x:c r="A129" s="24" t="str">
        <x:v>EEZ_622</x:v>
      </x:c>
      <x:c r="B129" s="24" t="str">
        <x:v>Azores Isl. (Portugal)</x:v>
      </x:c>
      <x:c r="C129" s="24" t="str">
        <x:v>EEZ</x:v>
      </x:c>
      <x:c r="D129" s="30" t="n">
        <x:v>2019</x:v>
      </x:c>
      <x:c r="E129" s="24" t="str">
        <x:v>Phycis</x:v>
      </x:c>
      <x:c r="F129" s="24" t="str">
        <x:v>Gunnels, forkbeards</x:v>
      </x:c>
      <x:c r="G129" s="24" t="str">
        <x:v>Medium benthopelagics (30 - 89 cm)</x:v>
      </x:c>
      <x:c r="H129" s="24" t="str">
        <x:v>Cod-likes</x:v>
      </x:c>
      <x:c r="I129" s="31" t="n">
        <x:v>0.01</x:v>
      </x:c>
      <x:c r="J129" s="31" t="n">
        <x:v>0.01</x:v>
      </x:c>
      <x:c r="K129" s="31" t="n">
        <x:v>0</x:v>
      </x:c>
      <x:c r="L129" s="31" t="n">
        <x:v>0.01</x:v>
      </x:c>
      <x:c r="M129" s="31" t="n">
        <x:v>0</x:v>
      </x:c>
      <x:c r="N129" s="24" t="str">
        <x:v>phycis</x:v>
      </x:c>
      <x:c r="O129" s="32" t="n">
        <x:v>3.99</x:v>
      </x:c>
      <x:c r="P129" s="24" t="str">
        <x:v>exact_sea_around_us</x:v>
      </x:c>
      <x:c r="Q129" s="32" t="str">
        <x:v>Sea Around Us exploited organisms</x:v>
      </x:c>
      <x:c r="R129" s="24" t="str">
        <x:v>high</x:v>
      </x:c>
      <x:c r="S129" s="24" t="str">
        <x:v>Phycis</x:v>
      </x:c>
      <x:c r="T129" s="32" t="n">
        <x:f>IF(O129="","",(1/'Metadata'!$B$5)^(O129-1))</x:f>
        <x:v>977.2372209558112</x:v>
      </x:c>
      <x:c r="U129" s="31" t="n">
        <x:f>IF(T129="","",I129*T129)</x:f>
        <x:v>9.772372209558112</x:v>
      </x:c>
    </x:row>
    <x:row r="130" ht="18" customHeight="1">
      <x:c r="A130" s="24" t="str">
        <x:v>EEZ_622</x:v>
      </x:c>
      <x:c r="B130" s="24" t="str">
        <x:v>Azores Isl. (Portugal)</x:v>
      </x:c>
      <x:c r="C130" s="24" t="str">
        <x:v>EEZ</x:v>
      </x:c>
      <x:c r="D130" s="30" t="n">
        <x:v>2019</x:v>
      </x:c>
      <x:c r="E130" s="24" t="str">
        <x:v>Chromis limbata</x:v>
      </x:c>
      <x:c r="F130" s="24" t="str">
        <x:v>Azores chromis</x:v>
      </x:c>
      <x:c r="G130" s="24" t="str">
        <x:v>Small reef assoc. fish (&lt;30 cm)</x:v>
      </x:c>
      <x:c r="H130" s="24" t="str">
        <x:v>Perch-likes</x:v>
      </x:c>
      <x:c r="I130" s="31" t="n">
        <x:v>0.005338057</x:v>
      </x:c>
      <x:c r="J130" s="31" t="n">
        <x:v>0</x:v>
      </x:c>
      <x:c r="K130" s="31" t="n">
        <x:v>0.005338057</x:v>
      </x:c>
      <x:c r="L130" s="31" t="n">
        <x:v>0</x:v>
      </x:c>
      <x:c r="M130" s="31" t="n">
        <x:v>0.005338057</x:v>
      </x:c>
      <x:c r="N130" s="24" t="str">
        <x:v>chromis limbata</x:v>
      </x:c>
      <x:c r="O130" s="32" t="n">
        <x:v>3.4</x:v>
      </x:c>
      <x:c r="P130" s="24" t="str">
        <x:v>exact_2020_supplement</x:v>
      </x:c>
      <x:c r="Q130" s="32" t="str">
        <x:v>2020 supplement MeanTL</x:v>
      </x:c>
      <x:c r="R130" s="24" t="str">
        <x:v>high</x:v>
      </x:c>
      <x:c r="S130" s="24" t="str">
        <x:v>Chromis limbata</x:v>
      </x:c>
      <x:c r="T130" s="32" t="n">
        <x:f>IF(O130="","",(1/'Metadata'!$B$5)^(O130-1))</x:f>
        <x:v>251.18864315095797</x:v>
      </x:c>
      <x:c r="U130" s="31" t="n">
        <x:f>IF(T130="","",I130*T130)</x:f>
        <x:v>1.3408592948924734</x:v>
      </x:c>
    </x:row>
    <x:row r="131" ht="18" customHeight="1">
      <x:c r="A131" s="24" t="str">
        <x:v>EEZ_622</x:v>
      </x:c>
      <x:c r="B131" s="24" t="str">
        <x:v>Azores Isl. (Portugal)</x:v>
      </x:c>
      <x:c r="C131" s="24" t="str">
        <x:v>EEZ</x:v>
      </x:c>
      <x:c r="D131" s="30" t="n">
        <x:v>2019</x:v>
      </x:c>
      <x:c r="E131" s="24" t="str">
        <x:v>Alepocephalus agassizii</x:v>
      </x:c>
      <x:c r="F131" s="24" t="str">
        <x:v>Agassiz slickhead</x:v>
      </x:c>
      <x:c r="G131" s="24" t="str">
        <x:v>Medium bathydemersals (30 - 89 cm)</x:v>
      </x:c>
      <x:c r="H131" s="24" t="str">
        <x:v>Salmon, smelts, etc</x:v>
      </x:c>
      <x:c r="I131" s="31" t="n">
        <x:v>0.001955092</x:v>
      </x:c>
      <x:c r="J131" s="31" t="n">
        <x:v>0.001955092</x:v>
      </x:c>
      <x:c r="K131" s="31" t="n">
        <x:v>0</x:v>
      </x:c>
      <x:c r="L131" s="31" t="n">
        <x:v>0</x:v>
      </x:c>
      <x:c r="M131" s="31" t="n">
        <x:v>0.001955092</x:v>
      </x:c>
      <x:c r="N131" s="24" t="str">
        <x:v>alepocephalus agassizii</x:v>
      </x:c>
      <x:c r="O131" s="32" t="n">
        <x:v>3.38</x:v>
      </x:c>
      <x:c r="P131" s="24" t="str">
        <x:v>exact_2020_supplement</x:v>
      </x:c>
      <x:c r="Q131" s="32" t="str">
        <x:v>2020 supplement MeanTL</x:v>
      </x:c>
      <x:c r="R131" s="24" t="str">
        <x:v>high</x:v>
      </x:c>
      <x:c r="S131" s="24" t="str">
        <x:v>Alepocephalus agassizii</x:v>
      </x:c>
      <x:c r="T131" s="32" t="n">
        <x:f>IF(O131="","",(1/'Metadata'!$B$5)^(O131-1))</x:f>
        <x:v>239.88329190194898</x:v>
      </x:c>
      <x:c r="U131" s="31" t="n">
        <x:f>IF(T131="","",I131*T131)</x:f>
        <x:v>0.4689939049311652</x:v>
      </x:c>
    </x:row>
    <x:row r="132" ht="18" customHeight="1">
      <x:c r="A132" s="24" t="str">
        <x:v>EEZ_622</x:v>
      </x:c>
      <x:c r="B132" s="24" t="str">
        <x:v>Azores Isl. (Portugal)</x:v>
      </x:c>
      <x:c r="C132" s="24" t="str">
        <x:v>EEZ</x:v>
      </x:c>
      <x:c r="D132" s="30" t="n">
        <x:v>2019</x:v>
      </x:c>
      <x:c r="E132" s="24" t="str">
        <x:v>Centrolophus niger</x:v>
      </x:c>
      <x:c r="F132" s="24" t="str">
        <x:v>Rudderfish</x:v>
      </x:c>
      <x:c r="G132" s="24" t="str">
        <x:v>Large bathypelagics (&gt;=90 cm)</x:v>
      </x:c>
      <x:c r="H132" s="24" t="str">
        <x:v>Perch-likes</x:v>
      </x:c>
      <x:c r="I132" s="31" t="n">
        <x:v>0.000372399</x:v>
      </x:c>
      <x:c r="J132" s="31" t="n">
        <x:v>0.000372399</x:v>
      </x:c>
      <x:c r="K132" s="31" t="n">
        <x:v>0</x:v>
      </x:c>
      <x:c r="L132" s="31" t="n">
        <x:v>0</x:v>
      </x:c>
      <x:c r="M132" s="31" t="n">
        <x:v>0.000372399</x:v>
      </x:c>
      <x:c r="N132" s="24" t="str">
        <x:v>centrolophus niger</x:v>
      </x:c>
      <x:c r="O132" s="32" t="n">
        <x:v>3.92</x:v>
      </x:c>
      <x:c r="P132" s="24" t="str">
        <x:v>exact_2020_supplement</x:v>
      </x:c>
      <x:c r="Q132" s="32" t="str">
        <x:v>2020 supplement MeanTL</x:v>
      </x:c>
      <x:c r="R132" s="24" t="str">
        <x:v>high</x:v>
      </x:c>
      <x:c r="S132" s="24" t="str">
        <x:v>Centrolophus niger</x:v>
      </x:c>
      <x:c r="T132" s="32" t="n">
        <x:f>IF(O132="","",(1/'Metadata'!$B$5)^(O132-1))</x:f>
        <x:v>831.7637711026708</x:v>
      </x:c>
      <x:c r="U132" s="31" t="n">
        <x:f>IF(T132="","",I132*T132)</x:f>
        <x:v>0.3097479965948635</x:v>
      </x:c>
    </x:row>
    <x:row r="133" ht="18" customHeight="1">
      <x:c r="A133" s="24" t="str">
        <x:v>EEZ_622</x:v>
      </x:c>
      <x:c r="B133" s="24" t="str">
        <x:v>Azores Isl. (Portugal)</x:v>
      </x:c>
      <x:c r="C133" s="24" t="str">
        <x:v>EEZ</x:v>
      </x:c>
      <x:c r="D133" s="30" t="n">
        <x:v>2019</x:v>
      </x:c>
      <x:c r="E133" s="24" t="str">
        <x:v>Alepocephalidae</x:v>
      </x:c>
      <x:c r="F133" s="24" t="str">
        <x:v>Slickheads</x:v>
      </x:c>
      <x:c r="G133" s="24" t="str">
        <x:v>Medium bathypelagics (30 - 89 cm)</x:v>
      </x:c>
      <x:c r="H133" s="24" t="str">
        <x:v>Salmon, smelts, etc</x:v>
      </x:c>
      <x:c r="I133" s="31" t="n">
        <x:v>0.0000031</x:v>
      </x:c>
      <x:c r="J133" s="31" t="n">
        <x:v>0</x:v>
      </x:c>
      <x:c r="K133" s="31" t="n">
        <x:v>0.0000031</x:v>
      </x:c>
      <x:c r="L133" s="31" t="n">
        <x:v>0</x:v>
      </x:c>
      <x:c r="M133" s="31" t="n">
        <x:v>0.0000031</x:v>
      </x:c>
      <x:c r="N133" s="24" t="str">
        <x:v>alepocephalidae</x:v>
      </x:c>
      <x:c r="O133" s="32" t="n">
        <x:v>3.5</x:v>
      </x:c>
      <x:c r="P133" s="24" t="str">
        <x:v>exact_sea_around_us</x:v>
      </x:c>
      <x:c r="Q133" s="32" t="str">
        <x:v>Sea Around Us exploited organisms</x:v>
      </x:c>
      <x:c r="R133" s="24" t="str">
        <x:v>high</x:v>
      </x:c>
      <x:c r="S133" s="24" t="str">
        <x:v>Alepocephalidae</x:v>
      </x:c>
      <x:c r="T133" s="32" t="n">
        <x:f>IF(O133="","",(1/'Metadata'!$B$5)^(O133-1))</x:f>
        <x:v>316.22776601683796</x:v>
      </x:c>
      <x:c r="U133" s="31" t="n">
        <x:f>IF(T133="","",I133*T133)</x:f>
        <x:v>0.0009803060746521976</x:v>
      </x:c>
    </x:row>
  </x:sheetData>
  <x:conditionalFormatting sqref="R2:R133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a074610f47664bdb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commercial_group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Cod-likes</x:v>
      </x:c>
      <x:c r="B2" s="33" t="n">
        <x:v>8</x:v>
      </x:c>
      <x:c r="C2" s="33" t="n">
        <x:v>8</x:v>
      </x:c>
      <x:c r="D2" s="31" t="n">
        <x:v>236.61480321599998</x:v>
      </x:c>
      <x:c r="E2" s="31" t="n">
        <x:v>236.61480321599998</x:v>
      </x:c>
      <x:c r="F2" s="32" t="n">
        <x:v>0</x:v>
      </x:c>
      <x:c r="G2" s="34" t="n">
        <x:v>1</x:v>
      </x:c>
      <x:c r="H2" s="32" t="n">
        <x:f>IF(E2=0,"",I2/E2)</x:f>
        <x:v>1056.0760851787572</x:v>
      </x:c>
      <x:c r="I2" s="31" t="n">
        <x:f>IF(C2=0,"",SUMIF('Species'!$H$2:$H$133,A2,'Species'!$U$2:$U$133))</x:f>
        <x:v>249883.23507569527</x:v>
      </x:c>
      <x:c r="J2" s="32" t="n">
        <x:v>3.9496146018527982</x:v>
      </x:c>
      <x:c r="K2" s="32" t="n">
        <x:f>IF(J2="","",(1/'Metadata'!$B$5)^(J2-1))</x:f>
        <x:v>890.4603821570536</x:v>
      </x:c>
      <x:c r="L2" s="31" t="n">
        <x:f>IF(E2=0,"",E2*K2)</x:f>
        <x:v>210696.10809573537</x:v>
      </x:c>
      <x:c r="M2" s="31" t="n">
        <x:f>IF(E2=0,"",I2-L2)</x:f>
        <x:v>39187.126979959896</x:v>
      </x:c>
      <x:c r="N2" s="32" t="n">
        <x:f>IF(L2=0,"",I2/L2)</x:f>
        <x:v>1.1859888506443326</x:v>
      </x:c>
      <x:c r="O2" s="34" t="n">
        <x:f>IF(L2=0,"",M2/L2)</x:f>
        <x:v>0.18598885064433265</x:v>
      </x:c>
    </x:row>
    <x:row r="3" ht="18" customHeight="1">
      <x:c r="A3" s="24" t="str">
        <x:v>Crustaceans</x:v>
      </x:c>
      <x:c r="B3" s="33" t="n">
        <x:v>9</x:v>
      </x:c>
      <x:c r="C3" s="33" t="n">
        <x:v>9</x:v>
      </x:c>
      <x:c r="D3" s="31" t="n">
        <x:v>37.971743209</x:v>
      </x:c>
      <x:c r="E3" s="31" t="n">
        <x:v>37.971743209</x:v>
      </x:c>
      <x:c r="F3" s="32" t="n">
        <x:v>0</x:v>
      </x:c>
      <x:c r="G3" s="34" t="n">
        <x:v>1</x:v>
      </x:c>
      <x:c r="H3" s="32" t="n">
        <x:f>IF(E3=0,"",I3/E3)</x:f>
        <x:v>131.03109964285028</x:v>
      </x:c>
      <x:c r="I3" s="31" t="n">
        <x:f>IF(C3=0,"",SUMIF('Species'!$H$2:$H$133,A3,'Species'!$U$2:$U$133))</x:f>
        <x:v>4975.479268031203</x:v>
      </x:c>
      <x:c r="J3" s="32" t="n">
        <x:v>2.9953583795413365</x:v>
      </x:c>
      <x:c r="K3" s="32" t="n">
        <x:f>IF(J3="","",(1/'Metadata'!$B$5)^(J3-1))</x:f>
        <x:v>98.93691847393625</x:v>
      </x:c>
      <x:c r="L3" s="31" t="n">
        <x:f>IF(E3=0,"",E3*K3)</x:f>
        <x:v>3756.8072621820756</x:v>
      </x:c>
      <x:c r="M3" s="31" t="n">
        <x:f>IF(E3=0,"",I3-L3)</x:f>
        <x:v>1218.6720058491273</x:v>
      </x:c>
      <x:c r="N3" s="32" t="n">
        <x:f>IF(L3=0,"",I3/L3)</x:f>
        <x:v>1.3243903455247483</x:v>
      </x:c>
      <x:c r="O3" s="34" t="n">
        <x:f>IF(L3=0,"",M3/L3)</x:f>
        <x:v>0.3243903455247483</x:v>
      </x:c>
    </x:row>
    <x:row r="4" ht="18" customHeight="1">
      <x:c r="A4" s="24" t="str">
        <x:v>Flatfishes</x:v>
      </x:c>
      <x:c r="B4" s="33" t="n">
        <x:v>1</x:v>
      </x:c>
      <x:c r="C4" s="33" t="n">
        <x:v>1</x:v>
      </x:c>
      <x:c r="D4" s="31" t="n">
        <x:v>0.25</x:v>
      </x:c>
      <x:c r="E4" s="31" t="n">
        <x:v>0.25</x:v>
      </x:c>
      <x:c r="F4" s="32" t="n">
        <x:v>0</x:v>
      </x:c>
      <x:c r="G4" s="34" t="n">
        <x:v>1</x:v>
      </x:c>
      <x:c r="H4" s="32" t="n">
        <x:f>IF(E4=0,"",I4/E4)</x:f>
        <x:v>371.5352290971724</x:v>
      </x:c>
      <x:c r="I4" s="31" t="n">
        <x:f>IF(C4=0,"",SUMIF('Species'!$H$2:$H$133,A4,'Species'!$U$2:$U$133))</x:f>
        <x:v>92.8838072742931</x:v>
      </x:c>
      <x:c r="J4" s="32" t="n">
        <x:v>3.57</x:v>
      </x:c>
      <x:c r="K4" s="32" t="n">
        <x:f>IF(J4="","",(1/'Metadata'!$B$5)^(J4-1))</x:f>
        <x:v>371.5352290971724</x:v>
      </x:c>
      <x:c r="L4" s="31" t="n">
        <x:f>IF(E4=0,"",E4*K4)</x:f>
        <x:v>92.8838072742931</x:v>
      </x:c>
      <x:c r="M4" s="31" t="n">
        <x:f>IF(E4=0,"",I4-L4)</x:f>
        <x:v>0</x:v>
      </x:c>
      <x:c r="N4" s="32" t="n">
        <x:f>IF(L4=0,"",I4/L4)</x:f>
        <x:v>1</x:v>
      </x:c>
      <x:c r="O4" s="34" t="n">
        <x:f>IF(L4=0,"",M4/L4)</x:f>
        <x:v>0</x:v>
      </x:c>
    </x:row>
    <x:row r="5" ht="18" customHeight="1">
      <x:c r="A5" s="24" t="str">
        <x:v>Herring-likes</x:v>
      </x:c>
      <x:c r="B5" s="33" t="n">
        <x:v>1</x:v>
      </x:c>
      <x:c r="C5" s="33" t="n">
        <x:v>1</x:v>
      </x:c>
      <x:c r="D5" s="31" t="n">
        <x:v>191.082329868</x:v>
      </x:c>
      <x:c r="E5" s="31" t="n">
        <x:v>191.082329868</x:v>
      </x:c>
      <x:c r="F5" s="32" t="n">
        <x:v>0</x:v>
      </x:c>
      <x:c r="G5" s="34" t="n">
        <x:v>1</x:v>
      </x:c>
      <x:c r="H5" s="32" t="n">
        <x:f>IF(E5=0,"",I5/E5)</x:f>
        <x:v>114.8153621496883</x:v>
      </x:c>
      <x:c r="I5" s="31" t="n">
        <x:f>IF(C5=0,"",SUMIF('Species'!$H$2:$H$133,A5,'Species'!$U$2:$U$133))</x:f>
        <x:v>21939.18690420062</x:v>
      </x:c>
      <x:c r="J5" s="32" t="n">
        <x:v>3.06</x:v>
      </x:c>
      <x:c r="K5" s="32" t="n">
        <x:f>IF(J5="","",(1/'Metadata'!$B$5)^(J5-1))</x:f>
        <x:v>114.81536214968828</x:v>
      </x:c>
      <x:c r="L5" s="31" t="n">
        <x:f>IF(E5=0,"",E5*K5)</x:f>
        <x:v>21939.18690420062</x:v>
      </x:c>
      <x:c r="M5" s="31" t="n">
        <x:f>IF(E5=0,"",I5-L5)</x:f>
        <x:v>0</x:v>
      </x:c>
      <x:c r="N5" s="32" t="n">
        <x:f>IF(L5=0,"",I5/L5)</x:f>
        <x:v>1</x:v>
      </x:c>
      <x:c r="O5" s="34" t="n">
        <x:f>IF(L5=0,"",M5/L5)</x:f>
        <x:v>0</x:v>
      </x:c>
    </x:row>
    <x:row r="6" ht="18" customHeight="1">
      <x:c r="A6" s="24" t="str">
        <x:v>Molluscs</x:v>
      </x:c>
      <x:c r="B6" s="33" t="n">
        <x:v>5</x:v>
      </x:c>
      <x:c r="C6" s="33" t="n">
        <x:v>5</x:v>
      </x:c>
      <x:c r="D6" s="31" t="n">
        <x:v>1486.133848118</x:v>
      </x:c>
      <x:c r="E6" s="31" t="n">
        <x:v>1486.133848118</x:v>
      </x:c>
      <x:c r="F6" s="32" t="n">
        <x:v>0</x:v>
      </x:c>
      <x:c r="G6" s="34" t="n">
        <x:v>1</x:v>
      </x:c>
      <x:c r="H6" s="32" t="n">
        <x:f>IF(E6=0,"",I6/E6)</x:f>
        <x:v>12.325787272332953</x:v>
      </x:c>
      <x:c r="I6" s="31" t="n">
        <x:f>IF(C6=0,"",SUMIF('Species'!$H$2:$H$133,A6,'Species'!$U$2:$U$133))</x:f>
        <x:v>18317.76967011604</x:v>
      </x:c>
      <x:c r="J6" s="32" t="n">
        <x:v>2.0888931199884833</x:v>
      </x:c>
      <x:c r="K6" s="32" t="n">
        <x:f>IF(J6="","",(1/'Metadata'!$B$5)^(J6-1))</x:f>
        <x:v>12.271371951364006</x:v>
      </x:c>
      <x:c r="L6" s="31" t="n">
        <x:f>IF(E6=0,"",E6*K6)</x:f>
        <x:v>18236.901219767882</x:v>
      </x:c>
      <x:c r="M6" s="31" t="n">
        <x:f>IF(E6=0,"",I6-L6)</x:f>
        <x:v>80.86845034815633</x:v>
      </x:c>
      <x:c r="N6" s="32" t="n">
        <x:f>IF(L6=0,"",I6/L6)</x:f>
        <x:v>1.0044343306669061</x:v>
      </x:c>
      <x:c r="O6" s="34" t="n">
        <x:f>IF(L6=0,"",M6/L6)</x:f>
        <x:v>0.004434330666906228</x:v>
      </x:c>
    </x:row>
    <x:row r="7" ht="18" customHeight="1">
      <x:c r="A7" s="24" t="str">
        <x:v>Other fishes &amp; inverts</x:v>
      </x:c>
      <x:c r="B7" s="33" t="n">
        <x:v>27</x:v>
      </x:c>
      <x:c r="C7" s="33" t="n">
        <x:v>27</x:v>
      </x:c>
      <x:c r="D7" s="31" t="n">
        <x:v>5926.339917572401</x:v>
      </x:c>
      <x:c r="E7" s="31" t="n">
        <x:v>5926.339917572401</x:v>
      </x:c>
      <x:c r="F7" s="32" t="n">
        <x:v>0</x:v>
      </x:c>
      <x:c r="G7" s="34" t="n">
        <x:v>1</x:v>
      </x:c>
      <x:c r="H7" s="32" t="n">
        <x:f>IF(E7=0,"",I7/E7)</x:f>
        <x:v>432.34677814948606</x:v>
      </x:c>
      <x:c r="I7" s="31" t="n">
        <x:f>IF(C7=0,"",SUMIF('Species'!$H$2:$H$133,A7,'Species'!$U$2:$U$133))</x:f>
        <x:v>2562233.9695811183</x:v>
      </x:c>
      <x:c r="J7" s="32" t="n">
        <x:v>3.4288236064468127</x:v>
      </x:c>
      <x:c r="K7" s="32" t="n">
        <x:f>IF(J7="","",(1/'Metadata'!$B$5)^(J7-1))</x:f>
        <x:v>268.4253984493641</x:v>
      </x:c>
      <x:c r="L7" s="31" t="n">
        <x:f>IF(E7=0,"",E7*K7)</x:f>
        <x:v>1590780.1537207433</x:v>
      </x:c>
      <x:c r="M7" s="31" t="n">
        <x:f>IF(E7=0,"",I7-L7)</x:f>
        <x:v>971453.8158603751</x:v>
      </x:c>
      <x:c r="N7" s="32" t="n">
        <x:f>IF(L7=0,"",I7/L7)</x:f>
        <x:v>1.6106776059458627</x:v>
      </x:c>
      <x:c r="O7" s="34" t="n">
        <x:f>IF(L7=0,"",M7/L7)</x:f>
        <x:v>0.6106776059458627</x:v>
      </x:c>
    </x:row>
    <x:row r="8" ht="18" customHeight="1">
      <x:c r="A8" s="24" t="str">
        <x:v>Perch-likes</x:v>
      </x:c>
      <x:c r="B8" s="33" t="n">
        <x:v>45</x:v>
      </x:c>
      <x:c r="C8" s="33" t="n">
        <x:v>45</x:v>
      </x:c>
      <x:c r="D8" s="31" t="n">
        <x:v>4895.297134459801</x:v>
      </x:c>
      <x:c r="E8" s="31" t="n">
        <x:v>4895.297134459801</x:v>
      </x:c>
      <x:c r="F8" s="32" t="n">
        <x:v>0</x:v>
      </x:c>
      <x:c r="G8" s="34" t="n">
        <x:v>1</x:v>
      </x:c>
      <x:c r="H8" s="32" t="n">
        <x:f>IF(E8=0,"",I8/E8)</x:f>
        <x:v>683.1579678472959</x:v>
      </x:c>
      <x:c r="I8" s="31" t="n">
        <x:f>IF(C8=0,"",SUMIF('Species'!$H$2:$H$133,A8,'Species'!$U$2:$U$133))</x:f>
        <x:v>3344261.2423862484</x:v>
      </x:c>
      <x:c r="J8" s="32" t="n">
        <x:v>3.5800582272467953</x:v>
      </x:c>
      <x:c r="K8" s="32" t="n">
        <x:f>IF(J8="","",(1/'Metadata'!$B$5)^(J8-1))</x:f>
        <x:v>380.2403729431343</x:v>
      </x:c>
      <x:c r="L8" s="31" t="n">
        <x:f>IF(E8=0,"",E8*K8)</x:f>
        <x:v>1861389.6080744513</x:v>
      </x:c>
      <x:c r="M8" s="31" t="n">
        <x:f>IF(E8=0,"",I8-L8)</x:f>
        <x:v>1482871.634311797</x:v>
      </x:c>
      <x:c r="N8" s="32" t="n">
        <x:f>IF(L8=0,"",I8/L8)</x:f>
        <x:v>1.7966476378074232</x:v>
      </x:c>
      <x:c r="O8" s="34" t="n">
        <x:f>IF(L8=0,"",M8/L8)</x:f>
        <x:v>0.7966476378074233</x:v>
      </x:c>
    </x:row>
    <x:row r="9" ht="18" customHeight="1">
      <x:c r="A9" s="24" t="str">
        <x:v>Salmon, smelts, etc</x:v>
      </x:c>
      <x:c r="B9" s="33" t="n">
        <x:v>3</x:v>
      </x:c>
      <x:c r="C9" s="33" t="n">
        <x:v>3</x:v>
      </x:c>
      <x:c r="D9" s="31" t="n">
        <x:v>0.16585376599999999</x:v>
      </x:c>
      <x:c r="E9" s="31" t="n">
        <x:v>0.16585376599999999</x:v>
      </x:c>
      <x:c r="F9" s="32" t="n">
        <x:v>0</x:v>
      </x:c>
      <x:c r="G9" s="34" t="n">
        <x:v>1</x:v>
      </x:c>
      <x:c r="H9" s="32" t="n">
        <x:f>IF(E9=0,"",I9/E9)</x:f>
        <x:v>465.04638111287903</x:v>
      </x:c>
      <x:c r="I9" s="31" t="n">
        <x:f>IF(C9=0,"",SUMIF('Species'!$H$2:$H$133,A9,'Species'!$U$2:$U$133))</x:f>
        <x:v>77.12969367224225</x:v>
      </x:c>
      <x:c r="J9" s="32" t="n">
        <x:v>3.6665782888523615</x:v>
      </x:c>
      <x:c r="K9" s="32" t="n">
        <x:f>IF(J9="","",(1/'Metadata'!$B$5)^(J9-1))</x:f>
        <x:v>464.0644378278334</x:v>
      </x:c>
      <x:c r="L9" s="31" t="n">
        <x:f>IF(E9=0,"",E9*K9)</x:f>
        <x:v>76.96683468041903</x:v>
      </x:c>
      <x:c r="M9" s="31" t="n">
        <x:f>IF(E9=0,"",I9-L9)</x:f>
        <x:v>0.16285899182322794</x:v>
      </x:c>
      <x:c r="N9" s="32" t="n">
        <x:f>IF(L9=0,"",I9/L9)</x:f>
        <x:v>1.0021159632262318</x:v>
      </x:c>
      <x:c r="O9" s="34" t="n">
        <x:f>IF(L9=0,"",M9/L9)</x:f>
        <x:v>0.0021159632262317857</x:v>
      </x:c>
    </x:row>
    <x:row r="10" ht="18" customHeight="1">
      <x:c r="A10" s="24" t="str">
        <x:v>Scorpionfishes</x:v>
      </x:c>
      <x:c r="B10" s="33" t="n">
        <x:v>5</x:v>
      </x:c>
      <x:c r="C10" s="33" t="n">
        <x:v>5</x:v>
      </x:c>
      <x:c r="D10" s="31" t="n">
        <x:v>460.359008617</x:v>
      </x:c>
      <x:c r="E10" s="31" t="n">
        <x:v>460.359008617</x:v>
      </x:c>
      <x:c r="F10" s="32" t="n">
        <x:v>0</x:v>
      </x:c>
      <x:c r="G10" s="34" t="n">
        <x:v>1</x:v>
      </x:c>
      <x:c r="H10" s="32" t="n">
        <x:f>IF(E10=0,"",I10/E10)</x:f>
        <x:v>639.4742655210459</x:v>
      </x:c>
      <x:c r="I10" s="31" t="n">
        <x:f>IF(C10=0,"",SUMIF('Species'!$H$2:$H$133,A10,'Species'!$U$2:$U$133))</x:f>
        <x:v>294387.73891135294</x:v>
      </x:c>
      <x:c r="J10" s="32" t="n">
        <x:v>3.7611039902447154</x:v>
      </x:c>
      <x:c r="K10" s="32" t="n">
        <x:f>IF(J10="","",(1/'Metadata'!$B$5)^(J10-1))</x:f>
        <x:v>576.904584573874</x:v>
      </x:c>
      <x:c r="L10" s="31" t="n">
        <x:f>IF(E10=0,"",E10*K10)</x:f>
        <x:v>265583.2226210309</x:v>
      </x:c>
      <x:c r="M10" s="31" t="n">
        <x:f>IF(E10=0,"",I10-L10)</x:f>
        <x:v>28804.516290322063</x:v>
      </x:c>
      <x:c r="N10" s="32" t="n">
        <x:f>IF(L10=0,"",I10/L10)</x:f>
        <x:v>1.1084575900768556</x:v>
      </x:c>
      <x:c r="O10" s="34" t="n">
        <x:f>IF(L10=0,"",M10/L10)</x:f>
        <x:v>0.10845759007685565</x:v>
      </x:c>
    </x:row>
    <x:row r="11" ht="18" customHeight="1">
      <x:c r="A11" s="24" t="str">
        <x:v>Sharks &amp; rays</x:v>
      </x:c>
      <x:c r="B11" s="33" t="n">
        <x:v>16</x:v>
      </x:c>
      <x:c r="C11" s="33" t="n">
        <x:v>16</x:v>
      </x:c>
      <x:c r="D11" s="31" t="n">
        <x:v>2761.8912458044</x:v>
      </x:c>
      <x:c r="E11" s="31" t="n">
        <x:v>2761.8912458044</x:v>
      </x:c>
      <x:c r="F11" s="32" t="n">
        <x:v>0</x:v>
      </x:c>
      <x:c r="G11" s="34" t="n">
        <x:v>1</x:v>
      </x:c>
      <x:c r="H11" s="32" t="n">
        <x:f>IF(E11=0,"",I11/E11)</x:f>
        <x:v>2286.611700380633</x:v>
      </x:c>
      <x:c r="I11" s="31" t="n">
        <x:f>IF(C11=0,"",SUMIF('Species'!$H$2:$H$133,A11,'Species'!$U$2:$U$133))</x:f>
        <x:v>6315372.837835184</x:v>
      </x:c>
      <x:c r="J11" s="32" t="n">
        <x:v>4.35375453974571</x:v>
      </x:c>
      <x:c r="K11" s="32" t="n">
        <x:f>IF(J11="","",(1/'Metadata'!$B$5)^(J11-1))</x:f>
        <x:v>2258.1591134758196</x:v>
      </x:c>
      <x:c r="L11" s="31" t="n">
        <x:f>IF(E11=0,"",E11*K11)</x:f>
        <x:v>6236789.887142291</x:v>
      </x:c>
      <x:c r="M11" s="31" t="n">
        <x:f>IF(E11=0,"",I11-L11)</x:f>
        <x:v>78582.950692893</x:v>
      </x:c>
      <x:c r="N11" s="32" t="n">
        <x:f>IF(L11=0,"",I11/L11)</x:f>
        <x:v>1.012599903494408</x:v>
      </x:c>
      <x:c r="O11" s="34" t="n">
        <x:f>IF(L11=0,"",M11/L11)</x:f>
        <x:v>0.01259990349440806</x:v>
      </x:c>
    </x:row>
    <x:row r="12" ht="18" customHeight="1">
      <x:c r="A12" s="24" t="str">
        <x:v>Tuna &amp; billfishes</x:v>
      </x:c>
      <x:c r="B12" s="33" t="n">
        <x:v>12</x:v>
      </x:c>
      <x:c r="C12" s="33" t="n">
        <x:v>12</x:v>
      </x:c>
      <x:c r="D12" s="31" t="n">
        <x:v>5198.9294116562005</x:v>
      </x:c>
      <x:c r="E12" s="31" t="n">
        <x:v>5198.9294116562005</x:v>
      </x:c>
      <x:c r="F12" s="32" t="n">
        <x:v>0</x:v>
      </x:c>
      <x:c r="G12" s="34" t="n">
        <x:v>1</x:v>
      </x:c>
      <x:c r="H12" s="32" t="n">
        <x:f>IF(E12=0,"",I12/E12)</x:f>
        <x:v>2839.986663895787</x:v>
      </x:c>
      <x:c r="I12" s="31" t="n">
        <x:f>IF(C12=0,"",SUMIF('Species'!$H$2:$H$133,A12,'Species'!$U$2:$U$133))</x:f>
        <x:v>14764890.195639178</x:v>
      </x:c>
      <x:c r="J12" s="32" t="n">
        <x:v>4.4511292540275855</x:v>
      </x:c>
      <x:c r="K12" s="32" t="n">
        <x:f>IF(J12="","",(1/'Metadata'!$B$5)^(J12-1))</x:f>
        <x:v>2825.7208362876204</x:v>
      </x:c>
      <x:c r="L12" s="31" t="n">
        <x:f>IF(E12=0,"",E12*K12)</x:f>
        <x:v>14690723.164905464</x:v>
      </x:c>
      <x:c r="M12" s="31" t="n">
        <x:f>IF(E12=0,"",I12-L12)</x:f>
        <x:v>74167.03073371388</x:v>
      </x:c>
      <x:c r="N12" s="32" t="n">
        <x:f>IF(L12=0,"",I12/L12)</x:f>
        <x:v>1.0050485622730194</x:v>
      </x:c>
      <x:c r="O12" s="34" t="n">
        <x:f>IF(L12=0,"",M12/L12)</x:f>
        <x:v>0.0050485622730194</x:v>
      </x:c>
    </x:row>
  </x:sheetData>
  <x:conditionalFormatting sqref="G2:G12">
    <x:cfRule type="cellIs" dxfId="1" priority="1" operator="lessThan">
      <x:formula>0.9</x:formula>
    </x:cfRule>
  </x:conditionalFormatting>
  <x:conditionalFormatting sqref="O2:O12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0e55ff31b099410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functional_group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Cephalopods</x:v>
      </x:c>
      <x:c r="B2" s="33" t="n">
        <x:v>2</x:v>
      </x:c>
      <x:c r="C2" s="33" t="n">
        <x:v>2</x:v>
      </x:c>
      <x:c r="D2" s="31" t="n">
        <x:v>0.5600621</x:v>
      </x:c>
      <x:c r="E2" s="31" t="n">
        <x:v>0.5600621</x:v>
      </x:c>
      <x:c r="F2" s="32" t="n">
        <x:v>0</x:v>
      </x:c>
      <x:c r="G2" s="34" t="n">
        <x:v>1</x:v>
      </x:c>
      <x:c r="H2" s="32" t="n">
        <x:f>IF(E2=0,"",I2/E2)</x:f>
        <x:v>1785.6668500448172</x:v>
      </x:c>
      <x:c r="I2" s="31" t="n">
        <x:f>IF(C2=0,"",SUMIF('Species'!$G$2:$G$133,A2,'Species'!$U$2:$U$133))</x:f>
        <x:v>1000.0843259364855</x:v>
      </x:c>
      <x:c r="J2" s="32" t="n">
        <x:v>4.147167567667943</x:v>
      </x:c>
      <x:c r="K2" s="32" t="n">
        <x:f>IF(J2="","",(1/'Metadata'!$B$5)^(J2-1))</x:f>
        <x:v>1403.3550689713586</x:v>
      </x:c>
      <x:c r="L2" s="31" t="n">
        <x:f>IF(E2=0,"",E2*K2)</x:f>
        <x:v>785.965986973744</x:v>
      </x:c>
      <x:c r="M2" s="31" t="n">
        <x:f>IF(E2=0,"",I2-L2)</x:f>
        <x:v>214.11833896274152</x:v>
      </x:c>
      <x:c r="N2" s="32" t="n">
        <x:f>IF(L2=0,"",I2/L2)</x:f>
        <x:v>1.2724269784080293</x:v>
      </x:c>
      <x:c r="O2" s="34" t="n">
        <x:f>IF(L2=0,"",M2/L2)</x:f>
        <x:v>0.2724269784080292</x:v>
      </x:c>
    </x:row>
    <x:row r="3" ht="18" customHeight="1">
      <x:c r="A3" s="24" t="str">
        <x:v>Large bathydemersals (&gt;=90 cm)</x:v>
      </x:c>
      <x:c r="B3" s="33" t="n">
        <x:v>2</x:v>
      </x:c>
      <x:c r="C3" s="33" t="n">
        <x:v>2</x:v>
      </x:c>
      <x:c r="D3" s="31" t="n">
        <x:v>241.56027991000002</x:v>
      </x:c>
      <x:c r="E3" s="31" t="n">
        <x:v>241.56027991000002</x:v>
      </x:c>
      <x:c r="F3" s="32" t="n">
        <x:v>0</x:v>
      </x:c>
      <x:c r="G3" s="34" t="n">
        <x:v>1</x:v>
      </x:c>
      <x:c r="H3" s="32" t="n">
        <x:f>IF(E3=0,"",I3/E3)</x:f>
        <x:v>723.6733262152864</x:v>
      </x:c>
      <x:c r="I3" s="31" t="n">
        <x:f>IF(C3=0,"",SUMIF('Species'!$G$2:$G$133,A3,'Species'!$U$2:$U$133))</x:f>
        <x:v>174810.73124396533</x:v>
      </x:c>
      <x:c r="J3" s="32" t="n">
        <x:v>3.838388801344555</x:v>
      </x:c>
      <x:c r="K3" s="32" t="n">
        <x:f>IF(J3="","",(1/'Metadata'!$B$5)^(J3-1))</x:f>
        <x:v>689.2690871085152</x:v>
      </x:c>
      <x:c r="L3" s="31" t="n">
        <x:f>IF(E3=0,"",E3*K3)</x:f>
        <x:v>166500.03361524313</x:v>
      </x:c>
      <x:c r="M3" s="31" t="n">
        <x:f>IF(E3=0,"",I3-L3)</x:f>
        <x:v>8310.697628722206</x:v>
      </x:c>
      <x:c r="N3" s="32" t="n">
        <x:f>IF(L3=0,"",I3/L3)</x:f>
        <x:v>1.0499140897948824</x:v>
      </x:c>
      <x:c r="O3" s="34" t="n">
        <x:f>IF(L3=0,"",M3/L3)</x:f>
        <x:v>0.04991408979488254</x:v>
      </x:c>
    </x:row>
    <x:row r="4" ht="18" customHeight="1">
      <x:c r="A4" s="24" t="str">
        <x:v>Large bathypelagics (&gt;=90 cm)</x:v>
      </x:c>
      <x:c r="B4" s="33" t="n">
        <x:v>4</x:v>
      </x:c>
      <x:c r="C4" s="33" t="n">
        <x:v>4</x:v>
      </x:c>
      <x:c r="D4" s="31" t="n">
        <x:v>21.5308274499</x:v>
      </x:c>
      <x:c r="E4" s="31" t="n">
        <x:v>21.5308274499</x:v>
      </x:c>
      <x:c r="F4" s="32" t="n">
        <x:v>0</x:v>
      </x:c>
      <x:c r="G4" s="34" t="n">
        <x:v>1</x:v>
      </x:c>
      <x:c r="H4" s="32" t="n">
        <x:f>IF(E4=0,"",I4/E4)</x:f>
        <x:v>1987.4076175177618</x:v>
      </x:c>
      <x:c r="I4" s="31" t="n">
        <x:f>IF(C4=0,"",SUMIF('Species'!$G$2:$G$133,A4,'Species'!$U$2:$U$133))</x:f>
        <x:v>42790.530485391784</x:v>
      </x:c>
      <x:c r="J4" s="32" t="n">
        <x:v>4.284382226171454</x:v>
      </x:c>
      <x:c r="K4" s="32" t="n">
        <x:f>IF(J4="","",(1/'Metadata'!$B$5)^(J4-1))</x:f>
        <x:v>1924.7850028956382</x:v>
      </x:c>
      <x:c r="L4" s="31" t="n">
        <x:f>IF(E4=0,"",E4*K4)</x:f>
        <x:v>41442.21377550125</x:v>
      </x:c>
      <x:c r="M4" s="31" t="n">
        <x:f>IF(E4=0,"",I4-L4)</x:f>
        <x:v>1348.3167098905324</x:v>
      </x:c>
      <x:c r="N4" s="32" t="n">
        <x:f>IF(L4=0,"",I4/L4)</x:f>
        <x:v>1.0325348620900072</x:v>
      </x:c>
      <x:c r="O4" s="34" t="n">
        <x:f>IF(L4=0,"",M4/L4)</x:f>
        <x:v>0.03253486209000726</x:v>
      </x:c>
    </x:row>
    <x:row r="5" ht="18" customHeight="1">
      <x:c r="A5" s="24" t="str">
        <x:v>Large benthopelagics (&gt;=90 cm)</x:v>
      </x:c>
      <x:c r="B5" s="33" t="n">
        <x:v>6</x:v>
      </x:c>
      <x:c r="C5" s="33" t="n">
        <x:v>6</x:v>
      </x:c>
      <x:c r="D5" s="31" t="n">
        <x:v>106.5107225668</x:v>
      </x:c>
      <x:c r="E5" s="31" t="n">
        <x:v>106.5107225668</x:v>
      </x:c>
      <x:c r="F5" s="32" t="n">
        <x:v>0</x:v>
      </x:c>
      <x:c r="G5" s="34" t="n">
        <x:v>1</x:v>
      </x:c>
      <x:c r="H5" s="32" t="n">
        <x:f>IF(E5=0,"",I5/E5)</x:f>
        <x:v>2858.127411009451</x:v>
      </x:c>
      <x:c r="I5" s="31" t="n">
        <x:f>IF(C5=0,"",SUMIF('Species'!$G$2:$G$133,A5,'Species'!$U$2:$U$133))</x:f>
        <x:v>304421.215734594</x:v>
      </x:c>
      <x:c r="J5" s="32" t="n">
        <x:v>4.448432636123361</x:v>
      </x:c>
      <x:c r="K5" s="32" t="n">
        <x:f>IF(J5="","",(1/'Metadata'!$B$5)^(J5-1))</x:f>
        <x:v>2808.229751495652</x:v>
      </x:c>
      <x:c r="L5" s="31" t="n">
        <x:f>IF(E5=0,"",E5*K5)</x:f>
        <x:v>299106.5799653871</x:v>
      </x:c>
      <x:c r="M5" s="31" t="n">
        <x:f>IF(E5=0,"",I5-L5)</x:f>
        <x:v>5314.635769206856</x:v>
      </x:c>
      <x:c r="N5" s="32" t="n">
        <x:f>IF(L5=0,"",I5/L5)</x:f>
        <x:v>1.017768367950387</x:v>
      </x:c>
      <x:c r="O5" s="34" t="n">
        <x:f>IF(L5=0,"",M5/L5)</x:f>
        <x:v>0.017768367950387016</x:v>
      </x:c>
    </x:row>
    <x:row r="6" ht="18" customHeight="1">
      <x:c r="A6" s="24" t="str">
        <x:v>Large demersals (&gt;=90 cm)</x:v>
      </x:c>
      <x:c r="B6" s="33" t="n">
        <x:v>4</x:v>
      </x:c>
      <x:c r="C6" s="33" t="n">
        <x:v>4</x:v>
      </x:c>
      <x:c r="D6" s="31" t="n">
        <x:v>396.384191873</x:v>
      </x:c>
      <x:c r="E6" s="31" t="n">
        <x:v>396.384191873</x:v>
      </x:c>
      <x:c r="F6" s="32" t="n">
        <x:v>0</x:v>
      </x:c>
      <x:c r="G6" s="34" t="n">
        <x:v>1</x:v>
      </x:c>
      <x:c r="H6" s="32" t="n">
        <x:f>IF(E6=0,"",I6/E6)</x:f>
        <x:v>2035.2726277166214</x:v>
      </x:c>
      <x:c r="I6" s="31" t="n">
        <x:f>IF(C6=0,"",SUMIF('Species'!$G$2:$G$133,A6,'Species'!$U$2:$U$133))</x:f>
        <x:v>806749.8957786902</x:v>
      </x:c>
      <x:c r="J6" s="32" t="n">
        <x:v>4.308045894809629</x:v>
      </x:c>
      <x:c r="K6" s="32" t="n">
        <x:f>IF(J6="","",(1/'Metadata'!$B$5)^(J6-1))</x:f>
        <x:v>2032.5717950761398</x:v>
      </x:c>
      <x:c r="L6" s="31" t="n">
        <x:f>IF(E6=0,"",E6*K6)</x:f>
        <x:v>805679.3284151086</x:v>
      </x:c>
      <x:c r="M6" s="31" t="n">
        <x:f>IF(E6=0,"",I6-L6)</x:f>
        <x:v>1070.5673635816202</x:v>
      </x:c>
      <x:c r="N6" s="32" t="n">
        <x:f>IF(L6=0,"",I6/L6)</x:f>
        <x:v>1.0013287760102862</x:v>
      </x:c>
      <x:c r="O6" s="34" t="n">
        <x:f>IF(L6=0,"",M6/L6)</x:f>
        <x:v>0.0013287760102863577</x:v>
      </x:c>
    </x:row>
    <x:row r="7" ht="18" customHeight="1">
      <x:c r="A7" s="24" t="str">
        <x:v>Large pelagics (&gt;=90 cm)</x:v>
      </x:c>
      <x:c r="B7" s="33" t="n">
        <x:v>13</x:v>
      </x:c>
      <x:c r="C7" s="33" t="n">
        <x:v>13</x:v>
      </x:c>
      <x:c r="D7" s="31" t="n">
        <x:v>5252.150617281701</x:v>
      </x:c>
      <x:c r="E7" s="31" t="n">
        <x:v>5252.150617281701</x:v>
      </x:c>
      <x:c r="F7" s="32" t="n">
        <x:v>0</x:v>
      </x:c>
      <x:c r="G7" s="34" t="n">
        <x:v>1</x:v>
      </x:c>
      <x:c r="H7" s="32" t="n">
        <x:f>IF(E7=0,"",I7/E7)</x:f>
        <x:v>2834.4596065019196</x:v>
      </x:c>
      <x:c r="I7" s="31" t="n">
        <x:f>IF(C7=0,"",SUMIF('Species'!$G$2:$G$133,A7,'Species'!$U$2:$U$133))</x:f>
        <x:v>14887008.771949103</x:v>
      </x:c>
      <x:c r="J7" s="32" t="n">
        <x:v>4.45023056964045</x:v>
      </x:c>
      <x:c r="K7" s="32" t="n">
        <x:f>IF(J7="","",(1/'Metadata'!$B$5)^(J7-1))</x:f>
        <x:v>2819.879625551536</x:v>
      </x:c>
      <x:c r="L7" s="31" t="n">
        <x:f>IF(E7=0,"",E7*K7)</x:f>
        <x:v>14810432.51600059</x:v>
      </x:c>
      <x:c r="M7" s="31" t="n">
        <x:f>IF(E7=0,"",I7-L7)</x:f>
        <x:v>76576.25594851375</x:v>
      </x:c>
      <x:c r="N7" s="32" t="n">
        <x:f>IF(L7=0,"",I7/L7)</x:f>
        <x:v>1.005170426715478</x:v>
      </x:c>
      <x:c r="O7" s="34" t="n">
        <x:f>IF(L7=0,"",M7/L7)</x:f>
        <x:v>0.005170426715478017</x:v>
      </x:c>
    </x:row>
    <x:row r="8" ht="18" customHeight="1">
      <x:c r="A8" s="24" t="str">
        <x:v>Large rays (&gt;=90 cm)</x:v>
      </x:c>
      <x:c r="B8" s="33" t="n">
        <x:v>2</x:v>
      </x:c>
      <x:c r="C8" s="33" t="n">
        <x:v>2</x:v>
      </x:c>
      <x:c r="D8" s="31" t="n">
        <x:v>2.5169646720000003</x:v>
      </x:c>
      <x:c r="E8" s="31" t="n">
        <x:v>2.5169646720000003</x:v>
      </x:c>
      <x:c r="F8" s="32" t="n">
        <x:v>0</x:v>
      </x:c>
      <x:c r="G8" s="34" t="n">
        <x:v>1</x:v>
      </x:c>
      <x:c r="H8" s="32" t="n">
        <x:f>IF(E8=0,"",I8/E8)</x:f>
        <x:v>1216.0585086651818</x:v>
      </x:c>
      <x:c r="I8" s="31" t="n">
        <x:f>IF(C8=0,"",SUMIF('Species'!$G$2:$G$133,A8,'Species'!$U$2:$U$133))</x:f>
        <x:v>3060.776305395269</x:v>
      </x:c>
      <x:c r="J8" s="32" t="n">
        <x:v>3.8918964890103944</x:v>
      </x:c>
      <x:c r="K8" s="32" t="n">
        <x:f>IF(J8="","",(1/'Metadata'!$B$5)^(J8-1))</x:f>
        <x:v>779.6442657314034</x:v>
      </x:c>
      <x:c r="L8" s="31" t="n">
        <x:f>IF(E8=0,"",E8*K8)</x:f>
        <x:v>1962.3370735733229</x:v>
      </x:c>
      <x:c r="M8" s="31" t="n">
        <x:f>IF(E8=0,"",I8-L8)</x:f>
        <x:v>1098.4392318219461</x:v>
      </x:c>
      <x:c r="N8" s="32" t="n">
        <x:f>IF(L8=0,"",I8/L8)</x:f>
        <x:v>1.5597607294967628</x:v>
      </x:c>
      <x:c r="O8" s="34" t="n">
        <x:f>IF(L8=0,"",M8/L8)</x:f>
        <x:v>0.5597607294967629</x:v>
      </x:c>
    </x:row>
    <x:row r="9" ht="18" customHeight="1">
      <x:c r="A9" s="24" t="str">
        <x:v>Large reef assoc. fish (&gt;=90 cm)</x:v>
      </x:c>
      <x:c r="B9" s="33" t="n">
        <x:v>10</x:v>
      </x:c>
      <x:c r="C9" s="33" t="n">
        <x:v>10</x:v>
      </x:c>
      <x:c r="D9" s="31" t="n">
        <x:v>415.457984109</x:v>
      </x:c>
      <x:c r="E9" s="31" t="n">
        <x:v>415.457984109</x:v>
      </x:c>
      <x:c r="F9" s="32" t="n">
        <x:v>0</x:v>
      </x:c>
      <x:c r="G9" s="34" t="n">
        <x:v>1</x:v>
      </x:c>
      <x:c r="H9" s="32" t="n">
        <x:f>IF(E9=0,"",I9/E9)</x:f>
        <x:v>1369.280205486001</x:v>
      </x:c>
      <x:c r="I9" s="31" t="n">
        <x:f>IF(C9=0,"",SUMIF('Species'!$G$2:$G$133,A9,'Species'!$U$2:$U$133))</x:f>
        <x:v>568878.3938515713</x:v>
      </x:c>
      <x:c r="J9" s="32" t="n">
        <x:v>4.0738916236469915</x:v>
      </x:c>
      <x:c r="K9" s="32" t="n">
        <x:f>IF(J9="","",(1/'Metadata'!$B$5)^(J9-1))</x:f>
        <x:v>1185.472881503755</x:v>
      </x:c>
      <x:c r="L9" s="31" t="n">
        <x:f>IF(E9=0,"",E9*K9)</x:f>
        <x:v>492514.17356543744</x:v>
      </x:c>
      <x:c r="M9" s="31" t="n">
        <x:f>IF(E9=0,"",I9-L9)</x:f>
        <x:v>76364.22028613382</x:v>
      </x:c>
      <x:c r="N9" s="32" t="n">
        <x:f>IF(L9=0,"",I9/L9)</x:f>
        <x:v>1.1550497922391014</x:v>
      </x:c>
      <x:c r="O9" s="34" t="n">
        <x:f>IF(L9=0,"",M9/L9)</x:f>
        <x:v>0.15504979223910142</x:v>
      </x:c>
    </x:row>
    <x:row r="10" ht="18" customHeight="1">
      <x:c r="A10" s="24" t="str">
        <x:v>Large sharks (&gt;=90 cm)</x:v>
      </x:c>
      <x:c r="B10" s="33" t="n">
        <x:v>11</x:v>
      </x:c>
      <x:c r="C10" s="33" t="n">
        <x:v>11</x:v>
      </x:c>
      <x:c r="D10" s="31" t="n">
        <x:v>2743.9961284864003</x:v>
      </x:c>
      <x:c r="E10" s="31" t="n">
        <x:v>2743.9961284864003</x:v>
      </x:c>
      <x:c r="F10" s="32" t="n">
        <x:v>0</x:v>
      </x:c>
      <x:c r="G10" s="34" t="n">
        <x:v>1</x:v>
      </x:c>
      <x:c r="H10" s="32" t="n">
        <x:f>IF(E10=0,"",I10/E10)</x:f>
        <x:v>2292.3892105259933</x:v>
      </x:c>
      <x:c r="I10" s="31" t="n">
        <x:f>IF(C10=0,"",SUMIF('Species'!$G$2:$G$133,A10,'Species'!$U$2:$U$133))</x:f>
        <x:v>6290307.118667321</x:v>
      </x:c>
      <x:c r="J10" s="32" t="n">
        <x:v>4.355294911034322</x:v>
      </x:c>
      <x:c r="K10" s="32" t="n">
        <x:f>IF(J10="","",(1/'Metadata'!$B$5)^(J10-1))</x:f>
        <x:v>2266.1826541182254</x:v>
      </x:c>
      <x:c r="L10" s="31" t="n">
        <x:f>IF(E10=0,"",E10*K10)</x:f>
        <x:v>6218396.429343445</x:v>
      </x:c>
      <x:c r="M10" s="31" t="n">
        <x:f>IF(E10=0,"",I10-L10)</x:f>
        <x:v>71910.68932387605</x:v>
      </x:c>
      <x:c r="N10" s="32" t="n">
        <x:f>IF(L10=0,"",I10/L10)</x:f>
        <x:v>1.011564185419981</x:v>
      </x:c>
      <x:c r="O10" s="34" t="n">
        <x:f>IF(L10=0,"",M10/L10)</x:f>
        <x:v>0.011564185419981108</x:v>
      </x:c>
    </x:row>
    <x:row r="11" ht="18" customHeight="1">
      <x:c r="A11" s="24" t="str">
        <x:v>Lobsters, crabs</x:v>
      </x:c>
      <x:c r="B11" s="33" t="n">
        <x:v>6</x:v>
      </x:c>
      <x:c r="C11" s="33" t="n">
        <x:v>6</x:v>
      </x:c>
      <x:c r="D11" s="31" t="n">
        <x:v>17.711743209</x:v>
      </x:c>
      <x:c r="E11" s="31" t="n">
        <x:v>17.711743209</x:v>
      </x:c>
      <x:c r="F11" s="32" t="n">
        <x:v>0</x:v>
      </x:c>
      <x:c r="G11" s="34" t="n">
        <x:v>1</x:v>
      </x:c>
      <x:c r="H11" s="32" t="n">
        <x:f>IF(E11=0,"",I11/E11)</x:f>
        <x:v>221.6761666068784</x:v>
      </x:c>
      <x:c r="I11" s="31" t="n">
        <x:f>IF(C11=0,"",SUMIF('Species'!$G$2:$G$133,A11,'Species'!$U$2:$U$133))</x:f>
        <x:v>3926.271338496532</x:v>
      </x:c>
      <x:c r="J11" s="32" t="n">
        <x:v>3.325120430661163</x:v>
      </x:c>
      <x:c r="K11" s="32" t="n">
        <x:f>IF(J11="","",(1/'Metadata'!$B$5)^(J11-1))</x:f>
        <x:v>211.4075195514331</x:v>
      </x:c>
      <x:c r="L11" s="31" t="n">
        <x:f>IF(E11=0,"",E11*K11)</x:f>
        <x:v>3744.3956987466304</x:v>
      </x:c>
      <x:c r="M11" s="31" t="n">
        <x:f>IF(E11=0,"",I11-L11)</x:f>
        <x:v>181.87563974990144</x:v>
      </x:c>
      <x:c r="N11" s="32" t="n">
        <x:f>IF(L11=0,"",I11/L11)</x:f>
        <x:v>1.0485727616370195</x:v>
      </x:c>
      <x:c r="O11" s="34" t="n">
        <x:f>IF(L11=0,"",M11/L11)</x:f>
        <x:v>0.048572761637019575</x:v>
      </x:c>
    </x:row>
    <x:row r="12" ht="18" customHeight="1">
      <x:c r="A12" s="24" t="str">
        <x:v>Medium bathydemersals (30 - 89 cm)</x:v>
      </x:c>
      <x:c r="B12" s="33" t="n">
        <x:v>7</x:v>
      </x:c>
      <x:c r="C12" s="33" t="n">
        <x:v>7</x:v>
      </x:c>
      <x:c r="D12" s="31" t="n">
        <x:v>434.46575928299995</x:v>
      </x:c>
      <x:c r="E12" s="31" t="n">
        <x:v>434.46575928299995</x:v>
      </x:c>
      <x:c r="F12" s="32" t="n">
        <x:v>0</x:v>
      </x:c>
      <x:c r="G12" s="34" t="n">
        <x:v>1</x:v>
      </x:c>
      <x:c r="H12" s="32" t="n">
        <x:f>IF(E12=0,"",I12/E12)</x:f>
        <x:v>852.6283720527607</x:v>
      </x:c>
      <x:c r="I12" s="31" t="n">
        <x:f>IF(C12=0,"",SUMIF('Species'!$G$2:$G$133,A12,'Species'!$U$2:$U$133))</x:f>
        <x:v>370437.83305013087</x:v>
      </x:c>
      <x:c r="J12" s="32" t="n">
        <x:v>3.842573069456992</x:v>
      </x:c>
      <x:c r="K12" s="32" t="n">
        <x:f>IF(J12="","",(1/'Metadata'!$B$5)^(J12-1))</x:f>
        <x:v>695.9420361537192</x:v>
      </x:c>
      <x:c r="L12" s="31" t="n">
        <x:f>IF(E12=0,"",E12*K12)</x:f>
        <x:v>302362.9851544826</x:v>
      </x:c>
      <x:c r="M12" s="31" t="n">
        <x:f>IF(E12=0,"",I12-L12)</x:f>
        <x:v>68074.84789564827</x:v>
      </x:c>
      <x:c r="N12" s="32" t="n">
        <x:f>IF(L12=0,"",I12/L12)</x:f>
        <x:v>1.2251427960365837</x:v>
      </x:c>
      <x:c r="O12" s="34" t="n">
        <x:f>IF(L12=0,"",M12/L12)</x:f>
        <x:v>0.22514279603658374</x:v>
      </x:c>
    </x:row>
    <x:row r="13" ht="18" customHeight="1">
      <x:c r="A13" s="24" t="str">
        <x:v>Medium bathypelagics (30 - 89 cm)</x:v>
      </x:c>
      <x:c r="B13" s="33" t="n">
        <x:v>4</x:v>
      </x:c>
      <x:c r="C13" s="33" t="n">
        <x:v>4</x:v>
      </x:c>
      <x:c r="D13" s="31" t="n">
        <x:v>133.5362579374</x:v>
      </x:c>
      <x:c r="E13" s="31" t="n">
        <x:v>133.5362579374</x:v>
      </x:c>
      <x:c r="F13" s="32" t="n">
        <x:v>0</x:v>
      </x:c>
      <x:c r="G13" s="34" t="n">
        <x:v>1</x:v>
      </x:c>
      <x:c r="H13" s="32" t="n">
        <x:f>IF(E13=0,"",I13/E13)</x:f>
        <x:v>568.1907232407058</x:v>
      </x:c>
      <x:c r="I13" s="31" t="n">
        <x:f>IF(C13=0,"",SUMIF('Species'!$G$2:$G$133,A13,'Species'!$U$2:$U$133))</x:f>
        <x:v>75874.06297630873</x:v>
      </x:c>
      <x:c r="J13" s="32" t="n">
        <x:v>3.752940345203668</x:v>
      </x:c>
      <x:c r="K13" s="32" t="n">
        <x:f>IF(J13="","",(1/'Metadata'!$B$5)^(J13-1))</x:f>
        <x:v>566.1615156125292</x:v>
      </x:c>
      <x:c r="L13" s="31" t="n">
        <x:f>IF(E13=0,"",E13*K13)</x:f>
        <x:v>75603.09018306402</x:v>
      </x:c>
      <x:c r="M13" s="31" t="n">
        <x:f>IF(E13=0,"",I13-L13)</x:f>
        <x:v>270.9727932447131</x:v>
      </x:c>
      <x:c r="N13" s="32" t="n">
        <x:f>IF(L13=0,"",I13/L13)</x:f>
        <x:v>1.003584149703254</x:v>
      </x:c>
      <x:c r="O13" s="34" t="n">
        <x:f>IF(L13=0,"",M13/L13)</x:f>
        <x:v>0.003584149703253984</x:v>
      </x:c>
    </x:row>
    <x:row r="14" ht="18" customHeight="1">
      <x:c r="A14" s="24" t="str">
        <x:v>Medium benthopelagics (30 - 89 cm)</x:v>
      </x:c>
      <x:c r="B14" s="33" t="n">
        <x:v>19</x:v>
      </x:c>
      <x:c r="C14" s="33" t="n">
        <x:v>19</x:v>
      </x:c>
      <x:c r="D14" s="31" t="n">
        <x:v>4172.318878450101</x:v>
      </x:c>
      <x:c r="E14" s="31" t="n">
        <x:v>4172.318878450101</x:v>
      </x:c>
      <x:c r="F14" s="32" t="n">
        <x:v>0</x:v>
      </x:c>
      <x:c r="G14" s="34" t="n">
        <x:v>1</x:v>
      </x:c>
      <x:c r="H14" s="32" t="n">
        <x:f>IF(E14=0,"",I14/E14)</x:f>
        <x:v>685.8696690254053</x:v>
      </x:c>
      <x:c r="I14" s="31" t="n">
        <x:f>IF(C14=0,"",SUMIF('Species'!$G$2:$G$133,A14,'Species'!$U$2:$U$133))</x:f>
        <x:v>2861666.968231021</x:v>
      </x:c>
      <x:c r="J14" s="32" t="n">
        <x:v>3.6205662559933267</x:v>
      </x:c>
      <x:c r="K14" s="32" t="n">
        <x:f>IF(J14="","",(1/'Metadata'!$B$5)^(J14-1))</x:f>
        <x:v>417.4132742032303</x:v>
      </x:c>
      <x:c r="L14" s="31" t="n">
        <x:f>IF(E14=0,"",E14*K14)</x:f>
        <x:v>1741581.2840738061</x:v>
      </x:c>
      <x:c r="M14" s="31" t="n">
        <x:f>IF(E14=0,"",I14-L14)</x:f>
        <x:v>1120085.6841572148</x:v>
      </x:c>
      <x:c r="N14" s="32" t="n">
        <x:f>IF(L14=0,"",I14/L14)</x:f>
        <x:v>1.6431429267183988</x:v>
      </x:c>
      <x:c r="O14" s="34" t="n">
        <x:f>IF(L14=0,"",M14/L14)</x:f>
        <x:v>0.6431429267183988</x:v>
      </x:c>
    </x:row>
    <x:row r="15" ht="18" customHeight="1">
      <x:c r="A15" s="24" t="str">
        <x:v>Medium demersals (30 - 89 cm)</x:v>
      </x:c>
      <x:c r="B15" s="33" t="n">
        <x:v>7</x:v>
      </x:c>
      <x:c r="C15" s="33" t="n">
        <x:v>7</x:v>
      </x:c>
      <x:c r="D15" s="31" t="n">
        <x:v>5075.6425014869</x:v>
      </x:c>
      <x:c r="E15" s="31" t="n">
        <x:v>5075.6425014869</x:v>
      </x:c>
      <x:c r="F15" s="32" t="n">
        <x:v>0</x:v>
      </x:c>
      <x:c r="G15" s="34" t="n">
        <x:v>1</x:v>
      </x:c>
      <x:c r="H15" s="32" t="n">
        <x:f>IF(E15=0,"",I15/E15)</x:f>
        <x:v>188.41052743242685</x:v>
      </x:c>
      <x:c r="I15" s="31" t="n">
        <x:f>IF(C15=0,"",SUMIF('Species'!$G$2:$G$133,A15,'Species'!$U$2:$U$133))</x:f>
        <x:v>956304.4807635893</x:v>
      </x:c>
      <x:c r="J15" s="32" t="n">
        <x:v>3.270813241053661</x:v>
      </x:c>
      <x:c r="K15" s="32" t="n">
        <x:f>IF(J15="","",(1/'Metadata'!$B$5)^(J15-1))</x:f>
        <x:v>186.55772671710483</x:v>
      </x:c>
      <x:c r="L15" s="31" t="n">
        <x:f>IF(E15=0,"",E15*K15)</x:f>
        <x:v>946900.3267061154</x:v>
      </x:c>
      <x:c r="M15" s="31" t="n">
        <x:f>IF(E15=0,"",I15-L15)</x:f>
        <x:v>9404.154057473876</x:v>
      </x:c>
      <x:c r="N15" s="32" t="n">
        <x:f>IF(L15=0,"",I15/L15)</x:f>
        <x:v>1.00993151421775</x:v>
      </x:c>
      <x:c r="O15" s="34" t="n">
        <x:f>IF(L15=0,"",M15/L15)</x:f>
        <x:v>0.00993151421774997</x:v>
      </x:c>
    </x:row>
    <x:row r="16" ht="18" customHeight="1">
      <x:c r="A16" s="24" t="str">
        <x:v>Medium pelagics (30 - 89 cm)</x:v>
      </x:c>
      <x:c r="B16" s="33" t="n">
        <x:v>5</x:v>
      </x:c>
      <x:c r="C16" s="33" t="n">
        <x:v>5</x:v>
      </x:c>
      <x:c r="D16" s="31" t="n">
        <x:v>10.8156335166</x:v>
      </x:c>
      <x:c r="E16" s="31" t="n">
        <x:v>10.8156335166</x:v>
      </x:c>
      <x:c r="F16" s="32" t="n">
        <x:v>0</x:v>
      </x:c>
      <x:c r="G16" s="34" t="n">
        <x:v>1</x:v>
      </x:c>
      <x:c r="H16" s="32" t="n">
        <x:f>IF(E16=0,"",I16/E16)</x:f>
        <x:v>1588.7482380505246</x:v>
      </x:c>
      <x:c r="I16" s="31" t="n">
        <x:f>IF(C16=0,"",SUMIF('Species'!$G$2:$G$133,A16,'Species'!$U$2:$U$133))</x:f>
        <x:v>17183.31869289845</x:v>
      </x:c>
      <x:c r="J16" s="32" t="n">
        <x:v>3.938248954140141</x:v>
      </x:c>
      <x:c r="K16" s="32" t="n">
        <x:f>IF(J16="","",(1/'Metadata'!$B$5)^(J16-1))</x:f>
        <x:v>867.4589937995361</x:v>
      </x:c>
      <x:c r="L16" s="31" t="n">
        <x:f>IF(E16=0,"",E16*K16)</x:f>
        <x:v>9382.118567614374</x:v>
      </x:c>
      <x:c r="M16" s="31" t="n">
        <x:f>IF(E16=0,"",I16-L16)</x:f>
        <x:v>7801.200125284076</x:v>
      </x:c>
      <x:c r="N16" s="32" t="n">
        <x:f>IF(L16=0,"",I16/L16)</x:f>
        <x:v>1.8314966464197773</x:v>
      </x:c>
      <x:c r="O16" s="34" t="n">
        <x:f>IF(L16=0,"",M16/L16)</x:f>
        <x:v>0.8314966464197773</x:v>
      </x:c>
    </x:row>
    <x:row r="17" ht="18" customHeight="1">
      <x:c r="A17" s="24" t="str">
        <x:v>Medium reef assoc. fish (30 - 89 cm)</x:v>
      </x:c>
      <x:c r="B17" s="33" t="n">
        <x:v>8</x:v>
      </x:c>
      <x:c r="C17" s="33" t="n">
        <x:v>8</x:v>
      </x:c>
      <x:c r="D17" s="31" t="n">
        <x:v>421.40268408699995</x:v>
      </x:c>
      <x:c r="E17" s="31" t="n">
        <x:v>421.40268408699995</x:v>
      </x:c>
      <x:c r="F17" s="32" t="n">
        <x:v>0</x:v>
      </x:c>
      <x:c r="G17" s="34" t="n">
        <x:v>1</x:v>
      </x:c>
      <x:c r="H17" s="32" t="n">
        <x:f>IF(E17=0,"",I17/E17)</x:f>
        <x:v>309.18184203893526</x:v>
      </x:c>
      <x:c r="I17" s="31" t="n">
        <x:f>IF(C17=0,"",SUMIF('Species'!$G$2:$G$133,A17,'Species'!$U$2:$U$133))</x:f>
        <x:v>130290.05810617015</x:v>
      </x:c>
      <x:c r="J17" s="32" t="n">
        <x:v>3.1642601504487318</x:v>
      </x:c>
      <x:c r="K17" s="32" t="n">
        <x:f>IF(J17="","",(1/'Metadata'!$B$5)^(J17-1))</x:f>
        <x:v>145.96883788517155</x:v>
      </x:c>
      <x:c r="L17" s="31" t="n">
        <x:f>IF(E17=0,"",E17*K17)</x:f>
        <x:v>61511.66007787146</x:v>
      </x:c>
      <x:c r="M17" s="31" t="n">
        <x:f>IF(E17=0,"",I17-L17)</x:f>
        <x:v>68778.39802829869</x:v>
      </x:c>
      <x:c r="N17" s="32" t="n">
        <x:f>IF(L17=0,"",I17/L17)</x:f>
        <x:v>2.118135942701397</x:v>
      </x:c>
      <x:c r="O17" s="34" t="n">
        <x:f>IF(L17=0,"",M17/L17)</x:f>
        <x:v>1.118135942701397</x:v>
      </x:c>
    </x:row>
    <x:row r="18" ht="18" customHeight="1">
      <x:c r="A18" s="24" t="str">
        <x:v>Other demersal invertebrates</x:v>
      </x:c>
      <x:c r="B18" s="33" t="n">
        <x:v>6</x:v>
      </x:c>
      <x:c r="C18" s="33" t="n">
        <x:v>6</x:v>
      </x:c>
      <x:c r="D18" s="31" t="n">
        <x:v>1487.133848118</x:v>
      </x:c>
      <x:c r="E18" s="31" t="n">
        <x:v>1487.133848118</x:v>
      </x:c>
      <x:c r="F18" s="32" t="n">
        <x:v>0</x:v>
      </x:c>
      <x:c r="G18" s="34" t="n">
        <x:v>1</x:v>
      </x:c>
      <x:c r="H18" s="32" t="n">
        <x:f>IF(E18=0,"",I18/E18)</x:f>
        <x:v>12.33091581936119</x:v>
      </x:c>
      <x:c r="I18" s="31" t="n">
        <x:f>IF(C18=0,"",SUMIF('Species'!$G$2:$G$133,A18,'Species'!$U$2:$U$133))</x:f>
        <x:v>18337.722293265728</x:v>
      </x:c>
      <x:c r="J18" s="32" t="n">
        <x:v>2.0890350755228013</x:v>
      </x:c>
      <x:c r="K18" s="32" t="n">
        <x:f>IF(J18="","",(1/'Metadata'!$B$5)^(J18-1))</x:f>
        <x:v>12.275383685252352</x:v>
      </x:c>
      <x:c r="L18" s="31" t="n">
        <x:f>IF(E18=0,"",E18*K18)</x:f>
        <x:v>18255.13857697425</x:v>
      </x:c>
      <x:c r="M18" s="31" t="n">
        <x:f>IF(E18=0,"",I18-L18)</x:f>
        <x:v>82.5837162914795</x:v>
      </x:c>
      <x:c r="N18" s="32" t="n">
        <x:f>IF(L18=0,"",I18/L18)</x:f>
        <x:v>1.0045238613743335</x:v>
      </x:c>
      <x:c r="O18" s="34" t="n">
        <x:f>IF(L18=0,"",M18/L18)</x:f>
        <x:v>0.004523861374333516</x:v>
      </x:c>
    </x:row>
    <x:row r="19" ht="18" customHeight="1">
      <x:c r="A19" s="24" t="str">
        <x:v>Shrimps</x:v>
      </x:c>
      <x:c r="B19" s="33" t="n">
        <x:v>3</x:v>
      </x:c>
      <x:c r="C19" s="33" t="n">
        <x:v>3</x:v>
      </x:c>
      <x:c r="D19" s="31" t="n">
        <x:v>20.26</x:v>
      </x:c>
      <x:c r="E19" s="31" t="n">
        <x:v>20.26</x:v>
      </x:c>
      <x:c r="F19" s="32" t="n">
        <x:v>0</x:v>
      </x:c>
      <x:c r="G19" s="34" t="n">
        <x:v>1</x:v>
      </x:c>
      <x:c r="H19" s="32" t="n">
        <x:f>IF(E19=0,"",I19/E19)</x:f>
        <x:v>51.78716335314271</x:v>
      </x:c>
      <x:c r="I19" s="31" t="n">
        <x:f>IF(C19=0,"",SUMIF('Species'!$G$2:$G$133,A19,'Species'!$U$2:$U$133))</x:f>
        <x:v>1049.2079295346714</x:v>
      </x:c>
      <x:c r="J19" s="32" t="n">
        <x:v>2.707073050345508</x:v>
      </x:c>
      <x:c r="K19" s="32" t="n">
        <x:f>IF(J19="","",(1/'Metadata'!$B$5)^(J19-1))</x:f>
        <x:v>50.941655007687544</x:v>
      </x:c>
      <x:c r="L19" s="31" t="n">
        <x:f>IF(E19=0,"",E19*K19)</x:f>
        <x:v>1032.0779304557498</x:v>
      </x:c>
      <x:c r="M19" s="31" t="n">
        <x:f>IF(E19=0,"",I19-L19)</x:f>
        <x:v>17.129999078921628</x:v>
      </x:c>
      <x:c r="N19" s="32" t="n">
        <x:f>IF(L19=0,"",I19/L19)</x:f>
        <x:v>1.0165975829667797</x:v>
      </x:c>
      <x:c r="O19" s="34" t="n">
        <x:f>IF(L19=0,"",M19/L19)</x:f>
        <x:v>0.016597582966779732</x:v>
      </x:c>
    </x:row>
    <x:row r="20" ht="18" customHeight="1">
      <x:c r="A20" s="24" t="str">
        <x:v>Small benthopelagics (&lt;30 cm)</x:v>
      </x:c>
      <x:c r="B20" s="33" t="n">
        <x:v>1</x:v>
      </x:c>
      <x:c r="C20" s="33" t="n">
        <x:v>1</x:v>
      </x:c>
      <x:c r="D20" s="31" t="n">
        <x:v>0.09000000000000001</x:v>
      </x:c>
      <x:c r="E20" s="31" t="n">
        <x:v>0.09000000000000001</x:v>
      </x:c>
      <x:c r="F20" s="32" t="n">
        <x:v>0</x:v>
      </x:c>
      <x:c r="G20" s="34" t="n">
        <x:v>1</x:v>
      </x:c>
      <x:c r="H20" s="32" t="n">
        <x:f>IF(E20=0,"",I20/E20)</x:f>
        <x:v>416.8693834703355</x:v>
      </x:c>
      <x:c r="I20" s="31" t="n">
        <x:f>IF(C20=0,"",SUMIF('Species'!$G$2:$G$133,A20,'Species'!$U$2:$U$133))</x:f>
        <x:v>37.5182445123302</x:v>
      </x:c>
      <x:c r="J20" s="32" t="n">
        <x:v>3.62</x:v>
      </x:c>
      <x:c r="K20" s="32" t="n">
        <x:f>IF(J20="","",(1/'Metadata'!$B$5)^(J20-1))</x:f>
        <x:v>416.8693834703355</x:v>
      </x:c>
      <x:c r="L20" s="31" t="n">
        <x:f>IF(E20=0,"",E20*K20)</x:f>
        <x:v>37.5182445123302</x:v>
      </x:c>
      <x:c r="M20" s="31" t="n">
        <x:f>IF(E20=0,"",I20-L20)</x:f>
        <x:v>0</x:v>
      </x:c>
      <x:c r="N20" s="32" t="n">
        <x:f>IF(L20=0,"",I20/L20)</x:f>
        <x:v>1</x:v>
      </x:c>
      <x:c r="O20" s="34" t="n">
        <x:f>IF(L20=0,"",M20/L20)</x:f>
        <x:v>0</x:v>
      </x:c>
    </x:row>
    <x:row r="21" ht="18" customHeight="1">
      <x:c r="A21" s="24" t="str">
        <x:v>Small demersals (&lt;30 cm)</x:v>
      </x:c>
      <x:c r="B21" s="33" t="n">
        <x:v>2</x:v>
      </x:c>
      <x:c r="C21" s="33" t="n">
        <x:v>2</x:v>
      </x:c>
      <x:c r="D21" s="31" t="n">
        <x:v>0.6343911790000001</x:v>
      </x:c>
      <x:c r="E21" s="31" t="n">
        <x:v>0.6343911790000001</x:v>
      </x:c>
      <x:c r="F21" s="32" t="n">
        <x:v>0</x:v>
      </x:c>
      <x:c r="G21" s="34" t="n">
        <x:v>1</x:v>
      </x:c>
      <x:c r="H21" s="32" t="n">
        <x:f>IF(E21=0,"",I21/E21)</x:f>
        <x:v>178.52217242649664</x:v>
      </x:c>
      <x:c r="I21" s="31" t="n">
        <x:f>IF(C21=0,"",SUMIF('Species'!$G$2:$G$133,A21,'Species'!$U$2:$U$133))</x:f>
        <x:v>113.25289144328652</x:v>
      </x:c>
      <x:c r="J21" s="32" t="n">
        <x:v>3.2250485349513345</x:v>
      </x:c>
      <x:c r="K21" s="32" t="n">
        <x:f>IF(J21="","",(1/'Metadata'!$B$5)^(J21-1))</x:f>
        <x:v>167.8991644785702</x:v>
      </x:c>
      <x:c r="L21" s="31" t="n">
        <x:f>IF(E21=0,"",E21*K21)</x:f>
        <x:v>106.51374890667509</x:v>
      </x:c>
      <x:c r="M21" s="31" t="n">
        <x:f>IF(E21=0,"",I21-L21)</x:f>
        <x:v>6.739142536611425</x:v>
      </x:c>
      <x:c r="N21" s="32" t="n">
        <x:f>IF(L21=0,"",I21/L21)</x:f>
        <x:v>1.063270165643274</x:v>
      </x:c>
      <x:c r="O21" s="34" t="n">
        <x:f>IF(L21=0,"",M21/L21)</x:f>
        <x:v>0.06327016564327397</x:v>
      </x:c>
    </x:row>
    <x:row r="22" ht="18" customHeight="1">
      <x:c r="A22" s="24" t="str">
        <x:v>Small pelagics (&lt;30 cm)</x:v>
      </x:c>
      <x:c r="B22" s="33" t="n">
        <x:v>1</x:v>
      </x:c>
      <x:c r="C22" s="33" t="n">
        <x:v>1</x:v>
      </x:c>
      <x:c r="D22" s="31" t="n">
        <x:v>191.082329868</x:v>
      </x:c>
      <x:c r="E22" s="31" t="n">
        <x:v>191.082329868</x:v>
      </x:c>
      <x:c r="F22" s="32" t="n">
        <x:v>0</x:v>
      </x:c>
      <x:c r="G22" s="34" t="n">
        <x:v>1</x:v>
      </x:c>
      <x:c r="H22" s="32" t="n">
        <x:f>IF(E22=0,"",I22/E22)</x:f>
        <x:v>114.8153621496883</x:v>
      </x:c>
      <x:c r="I22" s="31" t="n">
        <x:f>IF(C22=0,"",SUMIF('Species'!$G$2:$G$133,A22,'Species'!$U$2:$U$133))</x:f>
        <x:v>21939.18690420062</x:v>
      </x:c>
      <x:c r="J22" s="32" t="n">
        <x:v>3.06</x:v>
      </x:c>
      <x:c r="K22" s="32" t="n">
        <x:f>IF(J22="","",(1/'Metadata'!$B$5)^(J22-1))</x:f>
        <x:v>114.81536214968828</x:v>
      </x:c>
      <x:c r="L22" s="31" t="n">
        <x:f>IF(E22=0,"",E22*K22)</x:f>
        <x:v>21939.18690420062</x:v>
      </x:c>
      <x:c r="M22" s="31" t="n">
        <x:f>IF(E22=0,"",I22-L22)</x:f>
        <x:v>0</x:v>
      </x:c>
      <x:c r="N22" s="32" t="n">
        <x:f>IF(L22=0,"",I22/L22)</x:f>
        <x:v>1</x:v>
      </x:c>
      <x:c r="O22" s="34" t="n">
        <x:f>IF(L22=0,"",M22/L22)</x:f>
        <x:v>0</x:v>
      </x:c>
    </x:row>
    <x:row r="23" ht="18" customHeight="1">
      <x:c r="A23" s="24" t="str">
        <x:v>Small reef assoc. fish (&lt;30 cm)</x:v>
      </x:c>
      <x:c r="B23" s="33" t="n">
        <x:v>5</x:v>
      </x:c>
      <x:c r="C23" s="33" t="n">
        <x:v>5</x:v>
      </x:c>
      <x:c r="D23" s="31" t="n">
        <x:v>33.645338057000004</x:v>
      </x:c>
      <x:c r="E23" s="31" t="n">
        <x:v>33.645338057000004</x:v>
      </x:c>
      <x:c r="F23" s="32" t="n">
        <x:v>0</x:v>
      </x:c>
      <x:c r="G23" s="34" t="n">
        <x:v>1</x:v>
      </x:c>
      <x:c r="H23" s="32" t="n">
        <x:f>IF(E23=0,"",I23/E23)</x:f>
        <x:v>539.3449252329892</x:v>
      </x:c>
      <x:c r="I23" s="31" t="n">
        <x:f>IF(C23=0,"",SUMIF('Species'!$G$2:$G$133,A23,'Species'!$U$2:$U$133))</x:f>
        <x:v>18146.442338791316</x:v>
      </x:c>
      <x:c r="J23" s="32" t="n">
        <x:v>3.7316655633269327</x:v>
      </x:c>
      <x:c r="K23" s="32" t="n">
        <x:f>IF(J23="","",(1/'Metadata'!$B$5)^(J23-1))</x:f>
        <x:v>539.0953220901055</x:v>
      </x:c>
      <x:c r="L23" s="31" t="n">
        <x:f>IF(E23=0,"",E23*K23)</x:f>
        <x:v>18138.0443566689</x:v>
      </x:c>
      <x:c r="M23" s="31" t="n">
        <x:f>IF(E23=0,"",I23-L23)</x:f>
        <x:v>8.397982122416579</x:v>
      </x:c>
      <x:c r="N23" s="32" t="n">
        <x:f>IF(L23=0,"",I23/L23)</x:f>
        <x:v>1.0004630037261613</x:v>
      </x:c>
      <x:c r="O23" s="34" t="n">
        <x:f>IF(L23=0,"",M23/L23)</x:f>
        <x:v>0.00046300372616129665</x:v>
      </x:c>
    </x:row>
    <x:row r="24" ht="18" customHeight="1">
      <x:c r="A24" s="24" t="str">
        <x:v>Small to medium flatfishes (&lt;90 cm)</x:v>
      </x:c>
      <x:c r="B24" s="33" t="n">
        <x:v>1</x:v>
      </x:c>
      <x:c r="C24" s="33" t="n">
        <x:v>1</x:v>
      </x:c>
      <x:c r="D24" s="31" t="n">
        <x:v>0.25</x:v>
      </x:c>
      <x:c r="E24" s="31" t="n">
        <x:v>0.25</x:v>
      </x:c>
      <x:c r="F24" s="32" t="n">
        <x:v>0</x:v>
      </x:c>
      <x:c r="G24" s="34" t="n">
        <x:v>1</x:v>
      </x:c>
      <x:c r="H24" s="32" t="n">
        <x:f>IF(E24=0,"",I24/E24)</x:f>
        <x:v>371.5352290971724</x:v>
      </x:c>
      <x:c r="I24" s="31" t="n">
        <x:f>IF(C24=0,"",SUMIF('Species'!$G$2:$G$133,A24,'Species'!$U$2:$U$133))</x:f>
        <x:v>92.8838072742931</x:v>
      </x:c>
      <x:c r="J24" s="32" t="n">
        <x:v>3.57</x:v>
      </x:c>
      <x:c r="K24" s="32" t="n">
        <x:f>IF(J24="","",(1/'Metadata'!$B$5)^(J24-1))</x:f>
        <x:v>371.5352290971724</x:v>
      </x:c>
      <x:c r="L24" s="31" t="n">
        <x:f>IF(E24=0,"",E24*K24)</x:f>
        <x:v>92.8838072742931</x:v>
      </x:c>
      <x:c r="M24" s="31" t="n">
        <x:f>IF(E24=0,"",I24-L24)</x:f>
        <x:v>0</x:v>
      </x:c>
      <x:c r="N24" s="32" t="n">
        <x:f>IF(L24=0,"",I24/L24)</x:f>
        <x:v>1</x:v>
      </x:c>
      <x:c r="O24" s="34" t="n">
        <x:f>IF(L24=0,"",M24/L24)</x:f>
        <x:v>0</x:v>
      </x:c>
    </x:row>
    <x:row r="25" ht="18" customHeight="1">
      <x:c r="A25" s="24" t="str">
        <x:v>Small to medium sharks (&lt;90 cm)</x:v>
      </x:c>
      <x:c r="B25" s="33" t="n">
        <x:v>3</x:v>
      </x:c>
      <x:c r="C25" s="33" t="n">
        <x:v>3</x:v>
      </x:c>
      <x:c r="D25" s="31" t="n">
        <x:v>15.378152645999998</x:v>
      </x:c>
      <x:c r="E25" s="31" t="n">
        <x:v>15.378152645999998</x:v>
      </x:c>
      <x:c r="F25" s="32" t="n">
        <x:v>0</x:v>
      </x:c>
      <x:c r="G25" s="34" t="n">
        <x:v>1</x:v>
      </x:c>
      <x:c r="H25" s="32" t="n">
        <x:f>IF(E25=0,"",I25/E25)</x:f>
        <x:v>1430.922385088387</x:v>
      </x:c>
      <x:c r="I25" s="31" t="n">
        <x:f>IF(C25=0,"",SUMIF('Species'!$G$2:$G$133,A25,'Species'!$U$2:$U$133))</x:f>
        <x:v>22004.942862467607</x:v>
      </x:c>
      <x:c r="J25" s="32" t="n">
        <x:v>4.154491824272402</x:v>
      </x:c>
      <x:c r="K25" s="32" t="n">
        <x:f>IF(J25="","",(1/'Metadata'!$B$5)^(J25-1))</x:f>
        <x:v>1427.2229619994466</x:v>
      </x:c>
      <x:c r="L25" s="31" t="n">
        <x:f>IF(E25=0,"",E25*K25)</x:f>
        <x:v>21948.052569503747</x:v>
      </x:c>
      <x:c r="M25" s="31" t="n">
        <x:f>IF(E25=0,"",I25-L25)</x:f>
        <x:v>56.8902929638607</x:v>
      </x:c>
      <x:c r="N25" s="32" t="n">
        <x:f>IF(L25=0,"",I25/L25)</x:f>
        <x:v>1.0025920428604636</x:v>
      </x:c>
      <x:c r="O25" s="34" t="n">
        <x:f>IF(L25=0,"",M25/L25)</x:f>
        <x:v>0.002592042860463543</x:v>
      </x:c>
    </x:row>
  </x:sheetData>
  <x:conditionalFormatting sqref="G2:G25">
    <x:cfRule type="cellIs" dxfId="2" priority="1" operator="lessThan">
      <x:formula>0.9</x:formula>
    </x:cfRule>
  </x:conditionalFormatting>
  <x:conditionalFormatting sqref="O2:O25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3854aaa120da420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EEZ_622</x:v>
      </x:c>
      <x:c r="B2" s="24" t="str">
        <x:v>raw_filtered_tonnes</x:v>
      </x:c>
      <x:c r="C2" s="24" t="n">
        <x:v>21195.035296286802</x:v>
      </x:c>
      <x:c r="D2" s="24" t="str">
        <x:v>tonnes</x:v>
      </x:c>
    </x:row>
    <x:row r="3" ht="18" customHeight="1">
      <x:c r="A3" s="24" t="str">
        <x:v>EEZ_622</x:v>
      </x:c>
      <x:c r="B3" s="24" t="str">
        <x:v>species_catch_tonnes</x:v>
      </x:c>
      <x:c r="C3" s="24" t="n">
        <x:v>21195.0352962868</x:v>
      </x:c>
      <x:c r="D3" s="24" t="str">
        <x:v>tonnes</x:v>
      </x:c>
    </x:row>
    <x:row r="4" ht="18" customHeight="1">
      <x:c r="A4" s="24" t="str">
        <x:v>EEZ_622</x:v>
      </x:c>
      <x:c r="B4" s="24" t="str">
        <x:v>catch_difference_tonnes</x:v>
      </x:c>
      <x:c r="C4" s="24" t="n">
        <x:v>-3.637978807091713e-12</x:v>
      </x:c>
      <x:c r="D4" s="24" t="str">
        <x:v>tonnes</x:v>
      </x:c>
    </x:row>
    <x:row r="5" ht="18" customHeight="1">
      <x:c r="A5" s="24" t="str">
        <x:v>EEZ_622</x:v>
      </x:c>
      <x:c r="B5" s="24" t="str">
        <x:v>catch_reconciled</x:v>
      </x:c>
      <x:c r="C5" s="35" t="b">
        <x:v>1</x:v>
      </x:c>
      <x:c r="D5" s="24" t="str">
        <x:v>boolean</x:v>
      </x:c>
    </x:row>
    <x:row r="6" ht="18" customHeight="1">
      <x:c r="A6" s="24" t="str">
        <x:v>EEZ_622</x:v>
      </x:c>
      <x:c r="B6" s="24" t="str">
        <x:v>matched_catch_tonnes</x:v>
      </x:c>
      <x:c r="C6" s="24" t="n">
        <x:v>21195.0352962868</x:v>
      </x:c>
      <x:c r="D6" s="24" t="str">
        <x:v>tonnes</x:v>
      </x:c>
    </x:row>
    <x:row r="7" ht="18" customHeight="1">
      <x:c r="A7" s="24" t="str">
        <x:v>EEZ_622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EEZ_622</x:v>
      </x:c>
      <x:c r="B8" s="24" t="str">
        <x:v>taxa_count</x:v>
      </x:c>
      <x:c r="C8" s="24" t="n">
        <x:v>132</x:v>
      </x:c>
      <x:c r="D8" s="24" t="str">
        <x:v>count</x:v>
      </x:c>
    </x:row>
    <x:row r="9" ht="18" customHeight="1">
      <x:c r="A9" s="24" t="str">
        <x:v>EEZ_622</x:v>
      </x:c>
      <x:c r="B9" s="24" t="str">
        <x:v>matched_taxa_count</x:v>
      </x:c>
      <x:c r="C9" s="24" t="n">
        <x:v>132</x:v>
      </x:c>
      <x:c r="D9" s="24" t="str">
        <x:v>count</x:v>
      </x:c>
    </x:row>
    <x:row r="10" ht="18" customHeight="1">
      <x:c r="A10" s="24" t="str">
        <x:v>EEZ_622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EEZ_622</x:v>
      </x:c>
      <x:c r="B11" s="24" t="str">
        <x:v>species_ppr</x:v>
      </x:c>
      <x:c r="C11" s="24" t="n">
        <x:v>27576431.66877207</x:v>
      </x:c>
      <x:c r="D11" s="24" t="str">
        <x:v>tonnes_primary_production_equivalent</x:v>
      </x:c>
    </x:row>
    <x:row r="12" ht="18" customHeight="1">
      <x:c r="A12" s="24" t="str">
        <x:v>EEZ_622</x:v>
      </x:c>
      <x:c r="B12" s="24" t="str">
        <x:v>commercial_ppr</x:v>
      </x:c>
      <x:c r="C12" s="24" t="n">
        <x:v>27576431.66877207</x:v>
      </x:c>
      <x:c r="D12" s="24" t="str">
        <x:v>tonnes_primary_production_equivalent</x:v>
      </x:c>
    </x:row>
    <x:row r="13" ht="18" customHeight="1">
      <x:c r="A13" s="24" t="str">
        <x:v>EEZ_622</x:v>
      </x:c>
      <x:c r="B13" s="24" t="str">
        <x:v>functional_ppr</x:v>
      </x:c>
      <x:c r="C13" s="24" t="n">
        <x:v>27576431.66877207</x:v>
      </x:c>
      <x:c r="D13" s="24" t="str">
        <x:v>tonnes_primary_production_equivalent</x:v>
      </x:c>
    </x:row>
    <x:row r="14" ht="18" customHeight="1">
      <x:c r="A14" s="24" t="str">
        <x:v>EEZ_622</x:v>
      </x:c>
      <x:c r="B14" s="24" t="str">
        <x:v>commercial_ppr_difference</x:v>
      </x:c>
      <x:c r="C14" s="24" t="n">
        <x:v>0</x:v>
      </x:c>
      <x:c r="D14" s="24" t="str">
        <x:v>tonnes_primary_production_equivalent</x:v>
      </x:c>
    </x:row>
    <x:row r="15" ht="18" customHeight="1">
      <x:c r="A15" s="24" t="str">
        <x:v>EEZ_622</x:v>
      </x:c>
      <x:c r="B15" s="24" t="str">
        <x:v>functional_ppr_difference</x:v>
      </x:c>
      <x:c r="C15" s="24" t="n">
        <x:v>0</x:v>
      </x:c>
      <x:c r="D15" s="24" t="str">
        <x:v>tonnes_primary_production_equivalent</x:v>
      </x:c>
    </x:row>
    <x:row r="16" ht="18" customHeight="1">
      <x:c r="A16" s="24" t="str">
        <x:v>EEZ_622</x:v>
      </x:c>
      <x:c r="B16" s="24" t="str">
        <x:v>commercial_ppr_reconciled</x:v>
      </x:c>
      <x:c r="C16" s="35" t="b">
        <x:v>1</x:v>
      </x:c>
      <x:c r="D16" s="24" t="str">
        <x:v>boolean</x:v>
      </x:c>
    </x:row>
    <x:row r="17" ht="18" customHeight="1">
      <x:c r="A17" s="24" t="str">
        <x:v>EEZ_622</x:v>
      </x:c>
      <x:c r="B17" s="24" t="str">
        <x:v>functional_ppr_reconciled</x:v>
      </x:c>
      <x:c r="C17" s="35" t="b">
        <x:v>1</x:v>
      </x:c>
      <x:c r="D17" s="24" t="str">
        <x:v>boolean</x:v>
      </x:c>
    </x:row>
    <x:row r="18" ht="18" customHeight="1">
      <x:c r="A18" s="24" t="str">
        <x:v>EEZ_622</x:v>
      </x:c>
      <x:c r="B18" s="24" t="str">
        <x:v>commercial_jensen_violations</x:v>
      </x:c>
      <x:c r="C18" s="24" t="n">
        <x:v>0</x:v>
      </x:c>
      <x:c r="D18" s="24" t="str">
        <x:v>count</x:v>
      </x:c>
    </x:row>
    <x:row r="19" ht="18" customHeight="1">
      <x:c r="A19" s="24" t="str">
        <x:v>EEZ_622</x:v>
      </x:c>
      <x:c r="B19" s="24" t="str">
        <x:v>functional_jensen_violations</x:v>
      </x:c>
      <x:c r="C19" s="24" t="n">
        <x:v>0</x:v>
      </x:c>
      <x:c r="D19" s="24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6eb67771ba9448a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EEZ_622 - Azores Isl. (Portugal)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EEZ_622</x:v>
      </x:c>
      <x:c r="C4" s="18" t="str">
        <x:v>Sea Around Us region identifier</x:v>
      </x:c>
    </x:row>
    <x:row r="5">
      <x:c r="A5" s="22" t="str">
        <x:v>Transfer efficiency</x:v>
      </x:c>
      <x:c r="B5" s="36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raw_data/SAU_downloads/EEZ_622-catch.zip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